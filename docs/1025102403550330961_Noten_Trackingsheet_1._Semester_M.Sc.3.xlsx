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nleitung" sheetId="1" r:id="rId4"/>
    <sheet state="hidden" name="Semesterplan" sheetId="2" r:id="rId5"/>
    <sheet state="visible" name="Kopie von Semesterplan" sheetId="3" r:id="rId6"/>
    <sheet state="hidden" name="COMMITTMENT" sheetId="4" r:id="rId7"/>
    <sheet state="hidden" name="Wochenplan KW 19" sheetId="5" r:id="rId8"/>
    <sheet state="hidden" name="Wochenplan KW 20" sheetId="6" r:id="rId9"/>
  </sheets>
  <definedNames/>
  <calcPr/>
  <extLst>
    <ext uri="GoogleSheetsCustomDataVersion1">
      <go:sheetsCustomData xmlns:go="http://customooxmlschemas.google.com/" r:id="rId10" roundtripDataSignature="AMtx7mjzXMPCC+pBweYTIi7q5fsIBOAJwQ=="/>
    </ext>
  </extLst>
</workbook>
</file>

<file path=xl/sharedStrings.xml><?xml version="1.0" encoding="utf-8"?>
<sst xmlns="http://schemas.openxmlformats.org/spreadsheetml/2006/main" count="747" uniqueCount="159">
  <si>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</si>
  <si>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</si>
  <si>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</si>
  <si>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</si>
  <si>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</si>
  <si>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</si>
  <si>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</si>
  <si>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</si>
  <si>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</si>
  <si>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</si>
  <si>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</si>
  <si>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</si>
  <si>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</si>
  <si>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</si>
  <si>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</si>
  <si>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Kapitel</t>
  </si>
  <si>
    <t>Lernwochen</t>
  </si>
  <si>
    <t>Levelups</t>
  </si>
  <si>
    <t>Levelups pro Woche</t>
  </si>
  <si>
    <t xml:space="preserve"> </t>
  </si>
  <si>
    <t>Semesterplan</t>
  </si>
  <si>
    <t>68 Kapitel</t>
  </si>
  <si>
    <t>12 Wochen</t>
  </si>
  <si>
    <t>17 Levelups/Woche</t>
  </si>
  <si>
    <t>SYMPOSIUM</t>
  </si>
  <si>
    <t>WIEDERHOLUNGSWOCHE</t>
  </si>
  <si>
    <t>Übersicht</t>
  </si>
  <si>
    <t>KW 35</t>
  </si>
  <si>
    <t>KW 36</t>
  </si>
  <si>
    <t>KW 37</t>
  </si>
  <si>
    <t>KW 38</t>
  </si>
  <si>
    <t>KW 39</t>
  </si>
  <si>
    <t>KW 40</t>
  </si>
  <si>
    <t>KW 41</t>
  </si>
  <si>
    <t>KW 42</t>
  </si>
  <si>
    <t>KLAUSUREN Oktober</t>
  </si>
  <si>
    <t>KW 44</t>
  </si>
  <si>
    <t>KW 45</t>
  </si>
  <si>
    <t>KW 46</t>
  </si>
  <si>
    <t>KW 47</t>
  </si>
  <si>
    <t>KW 48</t>
  </si>
  <si>
    <t>KW 49</t>
  </si>
  <si>
    <t>KW 50</t>
  </si>
  <si>
    <t>KLAUSUREN Dezember</t>
  </si>
  <si>
    <t>Typ</t>
  </si>
  <si>
    <t>Course</t>
  </si>
  <si>
    <t>Exam Date</t>
  </si>
  <si>
    <t>ECTS</t>
  </si>
  <si>
    <t>Topic</t>
  </si>
  <si>
    <t>% of Exam</t>
  </si>
  <si>
    <t>Stunden</t>
  </si>
  <si>
    <t>Skript Niveau</t>
  </si>
  <si>
    <t>Rechnen Niveau</t>
  </si>
  <si>
    <t>Bemerkungen</t>
  </si>
  <si>
    <t>Ziel</t>
  </si>
  <si>
    <t>Managerial Economics</t>
  </si>
  <si>
    <t>Thema</t>
  </si>
  <si>
    <t>1) Markets, Games and Competition</t>
  </si>
  <si>
    <t>2) Simultaneous Games</t>
  </si>
  <si>
    <t>3) Simultaneous Competition</t>
  </si>
  <si>
    <t>4)Dynamic Games</t>
  </si>
  <si>
    <t>5)Dynamic Competition</t>
  </si>
  <si>
    <t>6) Collusion and Market Power</t>
  </si>
  <si>
    <t>7) Stochastic Games</t>
  </si>
  <si>
    <t>8) Competition with Incomplete Information</t>
  </si>
  <si>
    <t>Research Methods</t>
  </si>
  <si>
    <t>Business Analytics</t>
  </si>
  <si>
    <t>1)Data Collection &amp; Basic Spreadsheet Modelling</t>
  </si>
  <si>
    <t>2) Confidence Interval Estimation &amp; Hypothesis Testing</t>
  </si>
  <si>
    <t>3) Regression Analytics</t>
  </si>
  <si>
    <t>4) Inference &amp; Forecasting</t>
  </si>
  <si>
    <t>Wiederholungen</t>
  </si>
  <si>
    <t>EXAM</t>
  </si>
  <si>
    <t>5) Analysis of Variance (ANOVA)</t>
  </si>
  <si>
    <t>6) Data Mining</t>
  </si>
  <si>
    <t>Product Management &amp; Services Marketing</t>
  </si>
  <si>
    <t>Product Management</t>
  </si>
  <si>
    <t>1)</t>
  </si>
  <si>
    <t>2)</t>
  </si>
  <si>
    <t xml:space="preserve">3) </t>
  </si>
  <si>
    <t>4)</t>
  </si>
  <si>
    <t xml:space="preserve">5) </t>
  </si>
  <si>
    <t xml:space="preserve">6) </t>
  </si>
  <si>
    <t xml:space="preserve">7) </t>
  </si>
  <si>
    <t xml:space="preserve">8) </t>
  </si>
  <si>
    <t>Services Marketing</t>
  </si>
  <si>
    <t>Field Project</t>
  </si>
  <si>
    <t>1) Case Introduction</t>
  </si>
  <si>
    <t>2) Essay</t>
  </si>
  <si>
    <t>3) Questions for Case</t>
  </si>
  <si>
    <t>4) Concept Presentation</t>
  </si>
  <si>
    <t>5) Coaching 1</t>
  </si>
  <si>
    <t>6) Coaching 2</t>
  </si>
  <si>
    <t>7) Coaching3</t>
  </si>
  <si>
    <t>8) FINAL</t>
  </si>
  <si>
    <t>Studium Fundamentale</t>
  </si>
  <si>
    <t>Philosophy of Science</t>
  </si>
  <si>
    <t>Strategic Management</t>
  </si>
  <si>
    <t>1)Strategic Analysis</t>
  </si>
  <si>
    <t>2) Cost Leadership Strategy, Differentiation Strategy &amp; Dual Strategy</t>
  </si>
  <si>
    <t>3) Global Strategy</t>
  </si>
  <si>
    <t>4) Industry Evolution</t>
  </si>
  <si>
    <t>5) Value Innovation</t>
  </si>
  <si>
    <t>6) Disruptive Innovation and Platforms</t>
  </si>
  <si>
    <t>7) Corporate Entrepreneurship</t>
  </si>
  <si>
    <t>8) Corporate Strategy Introduction</t>
  </si>
  <si>
    <t>9) Vertical Integration, Diversification and Scope of the Firm</t>
  </si>
  <si>
    <t>10)  Decisions about Portfolio Composition</t>
  </si>
  <si>
    <t>11) Organizational Design and Structure</t>
  </si>
  <si>
    <t>12) Self Organization and the Special Case of Holacracy</t>
  </si>
  <si>
    <t>13) Strategic Planning &amp; Guided Evolution - Managing Strategic Initiative Portfolios</t>
  </si>
  <si>
    <t>14) Temporary Organizations, SLS &amp; Virtual Teams</t>
  </si>
  <si>
    <t>Management Methods for a Digital Age</t>
  </si>
  <si>
    <t>Management Methods for a Digital World</t>
  </si>
  <si>
    <t>1) Introduction to PM Simulation &amp; Agile Certifications</t>
  </si>
  <si>
    <t>2) Modern project management &amp; organizational strategy</t>
  </si>
  <si>
    <t>3) PMBOK Project Management</t>
  </si>
  <si>
    <t>58 Kapitel</t>
  </si>
  <si>
    <t>PRESENTATIONS</t>
  </si>
  <si>
    <t>Exam</t>
  </si>
  <si>
    <t>noch keine Lecture &amp; Skript</t>
  </si>
  <si>
    <t>1) Introduction to PM</t>
  </si>
  <si>
    <t>2) Design Thinking</t>
  </si>
  <si>
    <t>3) Strategy &amp; Positioning</t>
  </si>
  <si>
    <t>Wiederholung</t>
  </si>
  <si>
    <t>4) Product Innovation</t>
  </si>
  <si>
    <t>5) Presentation</t>
  </si>
  <si>
    <t>1) Theory</t>
  </si>
  <si>
    <t>END</t>
  </si>
  <si>
    <t>2) Case Study</t>
  </si>
  <si>
    <t>3) Presentation</t>
  </si>
  <si>
    <t>Start</t>
  </si>
  <si>
    <t>2) Questions for Case</t>
  </si>
  <si>
    <t>3) Essay</t>
  </si>
  <si>
    <t>Wiederholung &amp; Final Presentation</t>
  </si>
  <si>
    <t>1) Introduction</t>
  </si>
  <si>
    <t>4) Simulation</t>
  </si>
  <si>
    <t>5) Essay</t>
  </si>
  <si>
    <t>6) Simulation Part 2</t>
  </si>
  <si>
    <t>7) Workshop</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</si>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</sst>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0.0%"/>
    <numFmt numFmtId="166" formatCode="0.0"/>
  </numFmts>
  <fonts count="8">
    <font>
      <sz val="12.0"/>
      <color theme="1"/>
      <name val="Calibri"/>
      <scheme val="minor"/>
    </font>
    <font>
      <sz val="12.0"/>
      <color theme="1"/>
      <name val="Calibri"/>
    </font>
    <font>
      <b/>
      <i/>
      <u/>
      <sz val="16.0"/>
      <color theme="1"/>
      <name val="Calibri"/>
    </font>
    <font>
      <b/>
      <sz val="12.0"/>
      <color theme="1"/>
      <name val="Calibri"/>
    </font>
    <font>
      <color theme="1"/>
      <name val="Calibri"/>
      <scheme val="minor"/>
    </font>
    <font>
      <b/>
      <sz val="26.0"/>
      <color theme="1"/>
      <name val="Calibri"/>
    </font>
    <font/>
    <font>
      <b/>
      <sz val="20.0"/>
      <color theme="1"/>
      <name val="Calibri"/>
    </font>
  </fonts>
  <fills count="6">
    <fill>
      <patternFill patternType="none"/>
    </fill>
    <fill>
      <patternFill patternType="lightGray"/>
    </fill>
    <fill>
      <patternFill patternType="solid">
        <fgColor rgb="FFFDFF05"/>
        <bgColor rgb="FFFDFF05"/>
      </patternFill>
    </fill>
    <fill>
      <patternFill patternType="solid">
        <fgColor rgb="FFE0E0E0"/>
        <bgColor rgb="FFE0E0E0"/>
      </patternFill>
    </fill>
    <fill>
      <patternFill patternType="solid">
        <fgColor rgb="FFFF231B"/>
        <bgColor rgb="FFFF231B"/>
      </patternFill>
    </fill>
    <fill>
      <patternFill patternType="solid">
        <fgColor theme="5"/>
        <bgColor theme="5"/>
      </patternFill>
    </fill>
  </fills>
  <borders count="6">
    <border/>
    <border>
      <left/>
      <right/>
      <top/>
      <bottom/>
    </border>
    <border>
      <left/>
      <top/>
      <bottom/>
    </border>
    <border>
      <top/>
      <bottom/>
    </border>
    <border>
      <right/>
      <top/>
      <bottom/>
    </border>
    <border>
      <left/>
      <right/>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shrinkToFit="0" wrapText="1"/>
    </xf>
    <xf borderId="0" fillId="0" fontId="4" numFmtId="0" xfId="0" applyAlignment="1" applyFont="1">
      <alignment readingOrder="0"/>
    </xf>
    <xf borderId="0" fillId="0" fontId="4" numFmtId="0" xfId="0" applyFont="1"/>
    <xf borderId="0" fillId="0" fontId="5" numFmtId="0" xfId="0" applyFont="1"/>
    <xf borderId="0" fillId="0" fontId="4" numFmtId="0" xfId="0" applyAlignment="1" applyFont="1">
      <alignment shrinkToFit="0" wrapText="0"/>
    </xf>
    <xf borderId="1" fillId="2" fontId="1" numFmtId="0" xfId="0" applyBorder="1" applyFill="1" applyFont="1"/>
    <xf borderId="1" fillId="2" fontId="1" numFmtId="0" xfId="0" applyAlignment="1" applyBorder="1" applyFont="1">
      <alignment readingOrder="0"/>
    </xf>
    <xf borderId="0" fillId="0" fontId="1" numFmtId="0" xfId="0" applyAlignment="1" applyFont="1">
      <alignment vertical="bottom"/>
    </xf>
    <xf borderId="2" fillId="3" fontId="3" numFmtId="0" xfId="0" applyAlignment="1" applyBorder="1" applyFill="1" applyFont="1">
      <alignment horizontal="center"/>
    </xf>
    <xf borderId="3" fillId="0" fontId="6" numFmtId="0" xfId="0" applyBorder="1" applyFont="1"/>
    <xf borderId="4" fillId="0" fontId="6" numFmtId="0" xfId="0" applyBorder="1" applyFont="1"/>
    <xf borderId="2" fillId="3" fontId="3" numFmtId="0" xfId="0" applyAlignment="1" applyBorder="1" applyFont="1">
      <alignment horizontal="center" readingOrder="0"/>
    </xf>
    <xf borderId="5" fillId="0" fontId="1" numFmtId="0" xfId="0" applyAlignment="1" applyBorder="1" applyFont="1">
      <alignment vertical="bottom"/>
    </xf>
    <xf borderId="2" fillId="4" fontId="3" numFmtId="0" xfId="0" applyAlignment="1" applyBorder="1" applyFill="1" applyFont="1">
      <alignment horizontal="center" readingOrder="0"/>
    </xf>
    <xf borderId="2" fillId="5" fontId="3" numFmtId="0" xfId="0" applyAlignment="1" applyBorder="1" applyFill="1" applyFont="1">
      <alignment horizontal="center" readingOrder="0"/>
    </xf>
    <xf borderId="1" fillId="3" fontId="3" numFmtId="0" xfId="0" applyBorder="1" applyFont="1"/>
    <xf borderId="1" fillId="3" fontId="3" numFmtId="0" xfId="0" applyAlignment="1" applyBorder="1" applyFont="1">
      <alignment readingOrder="0" shrinkToFit="0" wrapText="0"/>
    </xf>
    <xf borderId="1" fillId="3" fontId="3" numFmtId="0" xfId="0" applyAlignment="1" applyBorder="1" applyFont="1">
      <alignment readingOrder="0"/>
    </xf>
    <xf borderId="1" fillId="3" fontId="3" numFmtId="0" xfId="0" applyAlignment="1" applyBorder="1" applyFont="1">
      <alignment horizontal="center"/>
    </xf>
    <xf borderId="1" fillId="3" fontId="3" numFmtId="0" xfId="0" applyAlignment="1" applyBorder="1" applyFont="1">
      <alignment horizontal="center" shrinkToFit="0" wrapText="1"/>
    </xf>
    <xf borderId="0" fillId="0" fontId="4" numFmtId="0" xfId="0" applyAlignment="1" applyFont="1">
      <alignment readingOrder="0" shrinkToFit="0" wrapText="0"/>
    </xf>
    <xf borderId="0" fillId="0" fontId="4" numFmtId="164" xfId="0" applyAlignment="1" applyFont="1" applyNumberFormat="1">
      <alignment readingOrder="0"/>
    </xf>
    <xf borderId="0" fillId="0" fontId="1" numFmtId="0" xfId="0" applyAlignment="1" applyFont="1">
      <alignment horizontal="center"/>
    </xf>
    <xf borderId="0" fillId="0" fontId="1" numFmtId="9" xfId="0" applyFont="1" applyNumberFormat="1"/>
    <xf borderId="0" fillId="0" fontId="1" numFmtId="1" xfId="0" applyAlignment="1" applyFont="1" applyNumberFormat="1">
      <alignment horizontal="center"/>
    </xf>
    <xf borderId="0" fillId="0" fontId="1" numFmtId="9" xfId="0" applyAlignment="1" applyFont="1" applyNumberFormat="1">
      <alignment horizontal="center"/>
    </xf>
    <xf borderId="0" fillId="0" fontId="1" numFmtId="9"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horizontal="center" readingOrder="0"/>
    </xf>
    <xf borderId="0" fillId="0" fontId="1" numFmtId="0" xfId="0" applyAlignment="1" applyFont="1">
      <alignment readingOrder="0"/>
    </xf>
    <xf borderId="0" fillId="0" fontId="1" numFmtId="166" xfId="0" applyAlignment="1" applyFont="1" applyNumberFormat="1">
      <alignment horizontal="center"/>
    </xf>
    <xf borderId="0" fillId="0" fontId="1" numFmtId="2" xfId="0" applyAlignment="1" applyFont="1" applyNumberFormat="1">
      <alignment horizontal="center"/>
    </xf>
    <xf borderId="0" fillId="5"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shrinkToFit="0" wrapText="1"/>
    </xf>
    <xf borderId="0" fillId="0" fontId="1" numFmtId="14" xfId="0" applyAlignment="1" applyFont="1" applyNumberFormat="1">
      <alignment horizontal="center"/>
    </xf>
    <xf borderId="0" fillId="0" fontId="1" numFmtId="9" xfId="0" applyAlignment="1" applyFont="1" applyNumberFormat="1">
      <alignment horizontal="center"/>
    </xf>
    <xf borderId="0" fillId="0" fontId="4" numFmtId="0" xfId="0" applyFont="1"/>
    <xf borderId="0" fillId="0" fontId="7" numFmtId="0" xfId="0" applyFont="1"/>
    <xf borderId="0" fillId="0" fontId="1" numFmtId="20" xfId="0" applyFont="1" applyNumberFormat="1"/>
  </cellXfs>
  <cellStyles count="1">
    <cellStyle xfId="0" name="Normal" builtinId="0"/>
  </cellStyles>
  <dxfs count="13">
    <dxf>
      <font/>
      <fill>
        <patternFill patternType="solid">
          <fgColor rgb="FFFF0000"/>
          <bgColor rgb="FFFF0000"/>
        </patternFill>
      </fill>
      <border/>
    </dxf>
    <dxf>
      <font/>
      <fill>
        <patternFill patternType="solid">
          <fgColor rgb="FF10FF07"/>
          <bgColor rgb="FF10FF07"/>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u/>
      </font>
      <fill>
        <patternFill patternType="solid">
          <fgColor rgb="FF00FF29"/>
          <bgColor rgb="FF00FF29"/>
        </patternFill>
      </fill>
      <border/>
    </dxf>
    <dxf>
      <font/>
      <fill>
        <patternFill patternType="solid">
          <fgColor rgb="FF56FF5E"/>
          <bgColor rgb="FF56FF5E"/>
        </patternFill>
      </fill>
      <border/>
    </dxf>
    <dxf>
      <font/>
      <fill>
        <patternFill patternType="solid">
          <fgColor rgb="FFC4FF87"/>
          <bgColor rgb="FFC4FF87"/>
        </patternFill>
      </fill>
      <border/>
    </dxf>
    <dxf>
      <font/>
      <fill>
        <patternFill patternType="solid">
          <fgColor rgb="FFFFDE7F"/>
          <bgColor rgb="FFFFDE7F"/>
        </patternFill>
      </fill>
      <border/>
    </dxf>
    <dxf>
      <font/>
      <fill>
        <patternFill patternType="solid">
          <fgColor rgb="FFFF755A"/>
          <bgColor rgb="FFFF755A"/>
        </patternFill>
      </fill>
      <border/>
    </dxf>
    <dxf>
      <font/>
      <fill>
        <patternFill patternType="none"/>
      </fill>
      <border/>
    </dxf>
    <dxf>
      <font/>
      <fill>
        <patternFill patternType="solid">
          <fgColor theme="5"/>
          <bgColor theme="5"/>
        </patternFill>
      </fill>
      <border/>
    </dxf>
    <dxf>
      <font/>
      <fill>
        <patternFill patternType="solid">
          <fgColor rgb="FFB4C6E7"/>
          <bgColor rgb="FFB4C6E7"/>
        </patternFill>
      </fill>
      <border/>
    </dxf>
    <dxf>
      <font/>
      <fill>
        <patternFill patternType="solid">
          <fgColor rgb="FFD9E2F3"/>
          <bgColor rgb="FFD9E2F3"/>
        </patternFill>
      </fill>
      <border/>
    </dxf>
  </dxfs>
  <tableStyles count="1">
    <tableStyle count="3" pivot="0" name="COMMITTMENT-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46" displayName="Table_1" id="1">
  <tableColumns count="11">
    <tableColumn name="Datum" id="1"/>
    <tableColumn name="Lerneinheiten durchgezogen" id="2"/>
    <tableColumn name="Tagesplan erstellt" id="3"/>
    <tableColumn name="Konzentrationslevel" id="4"/>
    <tableColumn name="Kcal" id="5"/>
    <tableColumn name="Fette" id="6"/>
    <tableColumn name="Eiweiss" id="7"/>
    <tableColumn name="Kohlenhydrate" id="8"/>
    <tableColumn name="Gewicht" id="9"/>
    <tableColumn name="Sonstiges Gefühl" id="10"/>
    <tableColumn name="Optimierungen" id="11"/>
  </tableColumns>
  <tableStyleInfo name="COMMITT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1.0"/>
    <col customWidth="1" min="3" max="3" width="10.78"/>
    <col customWidth="1" min="4" max="26" width="10.67"/>
  </cols>
  <sheetData>
    <row r="1" ht="15.75" customHeight="1">
      <c r="C1" s="1"/>
    </row>
    <row r="2" ht="15.75" customHeight="1">
      <c r="C2" s="1"/>
    </row>
    <row r="3" ht="15.75" customHeight="1">
      <c r="C3" s="1"/>
    </row>
    <row r="4" ht="15.75" customHeight="1">
      <c r="B4" s="2" t="s">
        <v>0</v>
      </c>
      <c r="C4" s="1"/>
    </row>
    <row r="5" ht="15.75" customHeight="1">
      <c r="C5" s="1"/>
    </row>
    <row r="6" ht="15.75" customHeight="1">
      <c r="B6" s="3" t="s">
        <v>1</v>
      </c>
      <c r="C6" s="1"/>
    </row>
    <row r="7" ht="15.75" customHeight="1">
      <c r="B7" s="4" t="s">
        <v>2</v>
      </c>
      <c r="C7" s="1"/>
    </row>
    <row r="8" ht="15.75" customHeight="1">
      <c r="C8" s="1"/>
    </row>
    <row r="9" ht="15.75" customHeight="1">
      <c r="B9" s="3" t="s">
        <v>3</v>
      </c>
      <c r="C9" s="1"/>
    </row>
    <row r="10" ht="15.75" customHeight="1">
      <c r="B10" s="4" t="s">
        <v>4</v>
      </c>
      <c r="C10" s="1"/>
    </row>
    <row r="11" ht="15.75" customHeight="1">
      <c r="C11" s="1"/>
    </row>
    <row r="12" ht="15.75" customHeight="1">
      <c r="B12" s="3" t="s">
        <v>5</v>
      </c>
      <c r="C12" s="1"/>
    </row>
    <row r="13" ht="15.75" customHeight="1">
      <c r="B13" s="4" t="s">
        <v>6</v>
      </c>
      <c r="C13" s="1"/>
    </row>
    <row r="14" ht="15.75" customHeight="1">
      <c r="C14" s="1"/>
    </row>
    <row r="15" ht="15.75" customHeight="1">
      <c r="B15" s="3" t="s">
        <v>7</v>
      </c>
      <c r="C15" s="1"/>
    </row>
    <row r="16" ht="15.75" customHeight="1">
      <c r="B16" s="4" t="s">
        <v>8</v>
      </c>
      <c r="C16" s="1"/>
    </row>
    <row r="17" ht="15.75" customHeight="1">
      <c r="B17" s="4"/>
      <c r="C17" s="1"/>
    </row>
    <row r="18" ht="15.75" customHeight="1">
      <c r="B18" s="3" t="s">
        <v>9</v>
      </c>
      <c r="C18" s="1"/>
    </row>
    <row r="19" ht="15.75" customHeight="1">
      <c r="B19" s="4" t="s">
        <v>10</v>
      </c>
      <c r="C19" s="1"/>
    </row>
    <row r="20" ht="15.75" customHeight="1">
      <c r="C20" s="1"/>
    </row>
    <row r="21" ht="15.75" customHeight="1">
      <c r="B21" s="3" t="s">
        <v>11</v>
      </c>
      <c r="C21" s="1"/>
    </row>
    <row r="22" ht="15.75" customHeight="1">
      <c r="B22" s="4" t="s">
        <v>12</v>
      </c>
      <c r="C22" s="1"/>
    </row>
    <row r="23" ht="15.75" customHeight="1">
      <c r="C23" s="1"/>
    </row>
    <row r="24" ht="15.75" customHeight="1">
      <c r="B24" s="3" t="s">
        <v>13</v>
      </c>
      <c r="C24" s="1"/>
    </row>
    <row r="25" ht="15.75" customHeight="1">
      <c r="B25" s="4" t="s">
        <v>14</v>
      </c>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A32" s="5">
        <v>68.0</v>
      </c>
      <c r="B32" s="5" t="s">
        <v>15</v>
      </c>
      <c r="C32" s="1"/>
    </row>
    <row r="33" ht="15.75" customHeight="1">
      <c r="A33" s="5">
        <v>13.0</v>
      </c>
      <c r="B33" s="5" t="s">
        <v>16</v>
      </c>
      <c r="C33" s="1"/>
    </row>
    <row r="34" ht="15.75" customHeight="1">
      <c r="A34" s="6">
        <f>A32*3</f>
        <v>204</v>
      </c>
      <c r="B34" s="5" t="s">
        <v>17</v>
      </c>
      <c r="C34" s="1"/>
    </row>
    <row r="35" ht="15.75" customHeight="1">
      <c r="A35" s="6">
        <f>A34/A33</f>
        <v>15.69230769</v>
      </c>
      <c r="B35" s="5" t="s">
        <v>18</v>
      </c>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c r="C226" s="1"/>
    </row>
    <row r="227" ht="15.75" customHeight="1">
      <c r="C227" s="1"/>
    </row>
    <row r="228" ht="15.75" customHeight="1">
      <c r="C228" s="1"/>
    </row>
    <row r="229" ht="15.75" customHeight="1">
      <c r="C229" s="1"/>
    </row>
    <row r="230" ht="15.75" customHeight="1">
      <c r="C230" s="1"/>
    </row>
    <row r="231" ht="15.75" customHeight="1">
      <c r="C231" s="1"/>
    </row>
    <row r="232" ht="15.75" customHeight="1">
      <c r="C232" s="1"/>
    </row>
    <row r="233" ht="15.75" customHeight="1">
      <c r="C233" s="1"/>
    </row>
    <row r="234" ht="15.75" customHeight="1">
      <c r="C234" s="1"/>
    </row>
    <row r="235" ht="15.75" customHeight="1">
      <c r="C235" s="1"/>
    </row>
    <row r="236" ht="15.75" customHeight="1">
      <c r="C236" s="1"/>
    </row>
    <row r="237" ht="15.75" customHeight="1">
      <c r="C237" s="1"/>
    </row>
    <row r="238" ht="15.75" customHeight="1">
      <c r="C238" s="1"/>
    </row>
    <row r="239" ht="15.75" customHeight="1">
      <c r="C239" s="1"/>
    </row>
    <row r="240" ht="15.75" customHeight="1">
      <c r="C240" s="1"/>
    </row>
    <row r="241" ht="15.75" customHeight="1">
      <c r="C241" s="1"/>
    </row>
    <row r="242" ht="15.75" customHeight="1">
      <c r="C242" s="1"/>
    </row>
    <row r="243" ht="15.75" customHeight="1">
      <c r="C243" s="1"/>
    </row>
    <row r="244" ht="15.75" customHeight="1">
      <c r="C244" s="1"/>
    </row>
    <row r="245" ht="15.75" customHeight="1">
      <c r="C245" s="1"/>
    </row>
    <row r="246" ht="15.75" customHeight="1">
      <c r="C246" s="1"/>
    </row>
    <row r="247" ht="15.75" customHeight="1">
      <c r="C247" s="1"/>
    </row>
    <row r="248" ht="15.75" customHeight="1">
      <c r="C248" s="1"/>
    </row>
    <row r="249" ht="15.75" customHeight="1">
      <c r="C249" s="1"/>
    </row>
    <row r="250" ht="15.75" customHeight="1">
      <c r="C250" s="1"/>
    </row>
    <row r="251" ht="15.75" customHeight="1">
      <c r="C251" s="1"/>
    </row>
    <row r="252" ht="15.75" customHeight="1">
      <c r="C252" s="1"/>
    </row>
    <row r="253" ht="15.75" customHeight="1">
      <c r="C253" s="1"/>
    </row>
    <row r="254" ht="15.75" customHeight="1">
      <c r="C254" s="1"/>
    </row>
    <row r="255" ht="15.75" customHeight="1">
      <c r="C255" s="1"/>
    </row>
    <row r="256" ht="15.75" customHeight="1">
      <c r="C256" s="1"/>
    </row>
    <row r="257" ht="15.75" customHeight="1">
      <c r="C257" s="1"/>
    </row>
    <row r="258" ht="15.75" customHeight="1">
      <c r="C258" s="1"/>
    </row>
    <row r="259" ht="15.75" customHeight="1">
      <c r="C259" s="1"/>
    </row>
    <row r="260" ht="15.75" customHeight="1">
      <c r="C260" s="1"/>
    </row>
    <row r="261" ht="15.75" customHeight="1">
      <c r="C261" s="1"/>
    </row>
    <row r="262" ht="15.75" customHeight="1">
      <c r="C262" s="1"/>
    </row>
    <row r="263" ht="15.75" customHeight="1">
      <c r="C263" s="1"/>
    </row>
    <row r="264" ht="15.75" customHeight="1">
      <c r="C264" s="1"/>
    </row>
    <row r="265" ht="15.75" customHeight="1">
      <c r="C265" s="1"/>
    </row>
    <row r="266" ht="15.75" customHeight="1">
      <c r="C266" s="1"/>
    </row>
    <row r="267" ht="15.75" customHeight="1">
      <c r="C267" s="1"/>
    </row>
    <row r="268" ht="15.75" customHeight="1">
      <c r="C268" s="1"/>
    </row>
    <row r="269" ht="15.75" customHeight="1">
      <c r="C269" s="1"/>
    </row>
    <row r="270" ht="15.75" customHeight="1">
      <c r="C270" s="1"/>
    </row>
    <row r="271" ht="15.75" customHeight="1">
      <c r="C271" s="1"/>
    </row>
    <row r="272" ht="15.75" customHeight="1">
      <c r="C272" s="1"/>
    </row>
    <row r="273" ht="15.75" customHeight="1">
      <c r="C273" s="1"/>
    </row>
    <row r="274" ht="15.75" customHeight="1">
      <c r="C274" s="1"/>
    </row>
    <row r="275" ht="15.75" customHeight="1">
      <c r="C275" s="1"/>
    </row>
    <row r="276" ht="15.75" customHeight="1">
      <c r="C276" s="1"/>
    </row>
    <row r="277" ht="15.75" customHeight="1">
      <c r="C277" s="1"/>
    </row>
    <row r="278" ht="15.75" customHeight="1">
      <c r="C278" s="1"/>
    </row>
    <row r="279" ht="15.75" customHeight="1">
      <c r="C279" s="1"/>
    </row>
    <row r="280" ht="15.75" customHeight="1">
      <c r="C280" s="1"/>
    </row>
    <row r="281" ht="15.75" customHeight="1">
      <c r="C281" s="1"/>
    </row>
    <row r="282" ht="15.75" customHeight="1">
      <c r="C282" s="1"/>
    </row>
    <row r="283" ht="15.75" customHeight="1">
      <c r="C283" s="1"/>
    </row>
    <row r="284" ht="15.75" customHeight="1">
      <c r="C284" s="1"/>
    </row>
    <row r="285" ht="15.75" customHeight="1">
      <c r="C285" s="1"/>
    </row>
    <row r="286" ht="15.75" customHeight="1">
      <c r="C286" s="1"/>
    </row>
    <row r="287" ht="15.75" customHeight="1">
      <c r="C287" s="1"/>
    </row>
    <row r="288" ht="15.75" customHeight="1">
      <c r="C288" s="1"/>
    </row>
    <row r="289" ht="15.75" customHeight="1">
      <c r="C289" s="1"/>
    </row>
    <row r="290" ht="15.75" customHeight="1">
      <c r="C290" s="1"/>
    </row>
    <row r="291" ht="15.75" customHeight="1">
      <c r="C291" s="1"/>
    </row>
    <row r="292" ht="15.75" customHeight="1">
      <c r="C292" s="1"/>
    </row>
    <row r="293" ht="15.75" customHeight="1">
      <c r="C293" s="1"/>
    </row>
    <row r="294" ht="15.75" customHeight="1">
      <c r="C294" s="1"/>
    </row>
    <row r="295" ht="15.75" customHeight="1">
      <c r="C295" s="1"/>
    </row>
    <row r="296" ht="15.75" customHeight="1">
      <c r="C296" s="1"/>
    </row>
    <row r="297" ht="15.75" customHeight="1">
      <c r="C297" s="1"/>
    </row>
    <row r="298" ht="15.75" customHeight="1">
      <c r="C298" s="1"/>
    </row>
    <row r="299" ht="15.75" customHeight="1">
      <c r="C299" s="1"/>
    </row>
    <row r="300" ht="15.75" customHeight="1">
      <c r="C300" s="1"/>
    </row>
    <row r="301" ht="15.75" customHeight="1">
      <c r="C301" s="1"/>
    </row>
    <row r="302" ht="15.75" customHeight="1">
      <c r="C302" s="1"/>
    </row>
    <row r="303" ht="15.75" customHeight="1">
      <c r="C303" s="1"/>
    </row>
    <row r="304" ht="15.75" customHeight="1">
      <c r="C304" s="1"/>
    </row>
    <row r="305" ht="15.75" customHeight="1">
      <c r="C305" s="1"/>
    </row>
    <row r="306" ht="15.75" customHeight="1">
      <c r="C306" s="1"/>
    </row>
    <row r="307" ht="15.75" customHeight="1">
      <c r="C307" s="1"/>
    </row>
    <row r="308" ht="15.75" customHeight="1">
      <c r="C308" s="1"/>
    </row>
    <row r="309" ht="15.75" customHeight="1">
      <c r="C309" s="1"/>
    </row>
    <row r="310" ht="15.75" customHeight="1">
      <c r="C310" s="1"/>
    </row>
    <row r="311" ht="15.75" customHeight="1">
      <c r="C311" s="1"/>
    </row>
    <row r="312" ht="15.75" customHeight="1">
      <c r="C312" s="1"/>
    </row>
    <row r="313" ht="15.75" customHeight="1">
      <c r="C313" s="1"/>
    </row>
    <row r="314" ht="15.75" customHeight="1">
      <c r="C314" s="1"/>
    </row>
    <row r="315" ht="15.75" customHeight="1">
      <c r="C315" s="1"/>
    </row>
    <row r="316" ht="15.75" customHeight="1">
      <c r="C316" s="1"/>
    </row>
    <row r="317" ht="15.75" customHeight="1">
      <c r="C317" s="1"/>
    </row>
    <row r="318" ht="15.75" customHeight="1">
      <c r="C318" s="1"/>
    </row>
    <row r="319" ht="15.75" customHeight="1">
      <c r="C319" s="1"/>
    </row>
    <row r="320" ht="15.75" customHeight="1">
      <c r="C320" s="1"/>
    </row>
    <row r="321" ht="15.75" customHeight="1">
      <c r="C321" s="1"/>
    </row>
    <row r="322" ht="15.75" customHeight="1">
      <c r="C322" s="1"/>
    </row>
    <row r="323" ht="15.75" customHeight="1">
      <c r="C323" s="1"/>
    </row>
    <row r="324" ht="15.75" customHeight="1">
      <c r="C324" s="1"/>
    </row>
    <row r="325" ht="15.75" customHeight="1">
      <c r="C325" s="1"/>
    </row>
    <row r="326" ht="15.75" customHeight="1">
      <c r="C326" s="1"/>
    </row>
    <row r="327" ht="15.75" customHeight="1">
      <c r="C327" s="1"/>
    </row>
    <row r="328" ht="15.75" customHeight="1">
      <c r="C328" s="1"/>
    </row>
    <row r="329" ht="15.75" customHeight="1">
      <c r="C329" s="1"/>
    </row>
    <row r="330" ht="15.75" customHeight="1">
      <c r="C330" s="1"/>
    </row>
    <row r="331" ht="15.75" customHeight="1">
      <c r="C331" s="1"/>
    </row>
    <row r="332" ht="15.75" customHeight="1">
      <c r="C332" s="1"/>
    </row>
    <row r="333" ht="15.75" customHeight="1">
      <c r="C333" s="1"/>
    </row>
    <row r="334" ht="15.75" customHeight="1">
      <c r="C334" s="1"/>
    </row>
    <row r="335" ht="15.75" customHeight="1">
      <c r="C335" s="1"/>
    </row>
    <row r="336" ht="15.75" customHeight="1">
      <c r="C336" s="1"/>
    </row>
    <row r="337" ht="15.75" customHeight="1">
      <c r="C337" s="1"/>
    </row>
    <row r="338" ht="15.75" customHeight="1">
      <c r="C338" s="1"/>
    </row>
    <row r="339" ht="15.75" customHeight="1">
      <c r="C339" s="1"/>
    </row>
    <row r="340" ht="15.75" customHeight="1">
      <c r="C340" s="1"/>
    </row>
    <row r="341" ht="15.75" customHeight="1">
      <c r="C341" s="1"/>
    </row>
    <row r="342" ht="15.75" customHeight="1">
      <c r="C342" s="1"/>
    </row>
    <row r="343" ht="15.75" customHeight="1">
      <c r="C343" s="1"/>
    </row>
    <row r="344" ht="15.75" customHeight="1">
      <c r="C344" s="1"/>
    </row>
    <row r="345" ht="15.75" customHeight="1">
      <c r="C345" s="1"/>
    </row>
    <row r="346" ht="15.75" customHeight="1">
      <c r="C346" s="1"/>
    </row>
    <row r="347" ht="15.75" customHeight="1">
      <c r="C347" s="1"/>
    </row>
    <row r="348" ht="15.75" customHeight="1">
      <c r="C348" s="1"/>
    </row>
    <row r="349" ht="15.75" customHeight="1">
      <c r="C349" s="1"/>
    </row>
    <row r="350" ht="15.75" customHeight="1">
      <c r="C350" s="1"/>
    </row>
    <row r="351" ht="15.75" customHeight="1">
      <c r="C351" s="1"/>
    </row>
    <row r="352" ht="15.75" customHeight="1">
      <c r="C352" s="1"/>
    </row>
    <row r="353" ht="15.75" customHeight="1">
      <c r="C353" s="1"/>
    </row>
    <row r="354" ht="15.75" customHeight="1">
      <c r="C354" s="1"/>
    </row>
    <row r="355" ht="15.75" customHeight="1">
      <c r="C355" s="1"/>
    </row>
    <row r="356" ht="15.75" customHeight="1">
      <c r="C356" s="1"/>
    </row>
    <row r="357" ht="15.75" customHeight="1">
      <c r="C357" s="1"/>
    </row>
    <row r="358" ht="15.75" customHeight="1">
      <c r="C358" s="1"/>
    </row>
    <row r="359" ht="15.75" customHeight="1">
      <c r="C359" s="1"/>
    </row>
    <row r="360" ht="15.75" customHeight="1">
      <c r="C360" s="1"/>
    </row>
    <row r="361" ht="15.75" customHeight="1">
      <c r="C361" s="1"/>
    </row>
    <row r="362" ht="15.75" customHeight="1">
      <c r="C362" s="1"/>
    </row>
    <row r="363" ht="15.75" customHeight="1">
      <c r="C363" s="1"/>
    </row>
    <row r="364" ht="15.75" customHeight="1">
      <c r="C364" s="1"/>
    </row>
    <row r="365" ht="15.75" customHeight="1">
      <c r="C365" s="1"/>
    </row>
    <row r="366" ht="15.75" customHeight="1">
      <c r="C366" s="1"/>
    </row>
    <row r="367" ht="15.75" customHeight="1">
      <c r="C367" s="1"/>
    </row>
    <row r="368" ht="15.75" customHeight="1">
      <c r="C368" s="1"/>
    </row>
    <row r="369" ht="15.75" customHeight="1">
      <c r="C369" s="1"/>
    </row>
    <row r="370" ht="15.75" customHeight="1">
      <c r="C370" s="1"/>
    </row>
    <row r="371" ht="15.75" customHeight="1">
      <c r="C371" s="1"/>
    </row>
    <row r="372" ht="15.75" customHeight="1">
      <c r="C372" s="1"/>
    </row>
    <row r="373" ht="15.75" customHeight="1">
      <c r="C373" s="1"/>
    </row>
    <row r="374" ht="15.75" customHeight="1">
      <c r="C374" s="1"/>
    </row>
    <row r="375" ht="15.75" customHeight="1">
      <c r="C375" s="1"/>
    </row>
    <row r="376" ht="15.75" customHeight="1">
      <c r="C376" s="1"/>
    </row>
    <row r="377" ht="15.75" customHeight="1">
      <c r="C377" s="1"/>
    </row>
    <row r="378" ht="15.75" customHeight="1">
      <c r="C378" s="1"/>
    </row>
    <row r="379" ht="15.75" customHeight="1">
      <c r="C379" s="1"/>
    </row>
    <row r="380" ht="15.75" customHeight="1">
      <c r="C380" s="1"/>
    </row>
    <row r="381" ht="15.75" customHeight="1">
      <c r="C381" s="1"/>
    </row>
    <row r="382" ht="15.75" customHeight="1">
      <c r="C382" s="1"/>
    </row>
    <row r="383" ht="15.75" customHeight="1">
      <c r="C383" s="1"/>
    </row>
    <row r="384" ht="15.75" customHeight="1">
      <c r="C384" s="1"/>
    </row>
    <row r="385" ht="15.75" customHeight="1">
      <c r="C385" s="1"/>
    </row>
    <row r="386" ht="15.75" customHeight="1">
      <c r="C386" s="1"/>
    </row>
    <row r="387" ht="15.75" customHeight="1">
      <c r="C387" s="1"/>
    </row>
    <row r="388" ht="15.75" customHeight="1">
      <c r="C388" s="1"/>
    </row>
    <row r="389" ht="15.75" customHeight="1">
      <c r="C389" s="1"/>
    </row>
    <row r="390" ht="15.75" customHeight="1">
      <c r="C390" s="1"/>
    </row>
    <row r="391" ht="15.75" customHeight="1">
      <c r="C391" s="1"/>
    </row>
    <row r="392" ht="15.75" customHeight="1">
      <c r="C392" s="1"/>
    </row>
    <row r="393" ht="15.75" customHeight="1">
      <c r="C393" s="1"/>
    </row>
    <row r="394" ht="15.75" customHeight="1">
      <c r="C394" s="1"/>
    </row>
    <row r="395" ht="15.75" customHeight="1">
      <c r="C395" s="1"/>
    </row>
    <row r="396" ht="15.75" customHeight="1">
      <c r="C396" s="1"/>
    </row>
    <row r="397" ht="15.75" customHeight="1">
      <c r="C397" s="1"/>
    </row>
    <row r="398" ht="15.75" customHeight="1">
      <c r="C398" s="1"/>
    </row>
    <row r="399" ht="15.75" customHeight="1">
      <c r="C399" s="1"/>
    </row>
    <row r="400" ht="15.75" customHeight="1">
      <c r="C400" s="1"/>
    </row>
    <row r="401" ht="15.75" customHeight="1">
      <c r="C401" s="1"/>
    </row>
    <row r="402" ht="15.75" customHeight="1">
      <c r="C402" s="1"/>
    </row>
    <row r="403" ht="15.75" customHeight="1">
      <c r="C403" s="1"/>
    </row>
    <row r="404" ht="15.75" customHeight="1">
      <c r="C404" s="1"/>
    </row>
    <row r="405" ht="15.75" customHeight="1">
      <c r="C405" s="1"/>
    </row>
    <row r="406" ht="15.75" customHeight="1">
      <c r="C406" s="1"/>
    </row>
    <row r="407" ht="15.75" customHeight="1">
      <c r="C407" s="1"/>
    </row>
    <row r="408" ht="15.75" customHeight="1">
      <c r="C408" s="1"/>
    </row>
    <row r="409" ht="15.75" customHeight="1">
      <c r="C409" s="1"/>
    </row>
    <row r="410" ht="15.75" customHeight="1">
      <c r="C410" s="1"/>
    </row>
    <row r="411" ht="15.75" customHeight="1">
      <c r="C411" s="1"/>
    </row>
    <row r="412" ht="15.75" customHeight="1">
      <c r="C412" s="1"/>
    </row>
    <row r="413" ht="15.75" customHeight="1">
      <c r="C413" s="1"/>
    </row>
    <row r="414" ht="15.75" customHeight="1">
      <c r="C414" s="1"/>
    </row>
    <row r="415" ht="15.75" customHeight="1">
      <c r="C415" s="1"/>
    </row>
    <row r="416" ht="15.75" customHeight="1">
      <c r="C416" s="1"/>
    </row>
    <row r="417" ht="15.75" customHeight="1">
      <c r="C417" s="1"/>
    </row>
    <row r="418" ht="15.75" customHeight="1">
      <c r="C418" s="1"/>
    </row>
    <row r="419" ht="15.75" customHeight="1">
      <c r="C419" s="1"/>
    </row>
    <row r="420" ht="15.75" customHeight="1">
      <c r="C420" s="1"/>
    </row>
    <row r="421" ht="15.75" customHeight="1">
      <c r="C421" s="1"/>
    </row>
    <row r="422" ht="15.75" customHeight="1">
      <c r="C422" s="1"/>
    </row>
    <row r="423" ht="15.75" customHeight="1">
      <c r="C423" s="1"/>
    </row>
    <row r="424" ht="15.75" customHeight="1">
      <c r="C424" s="1"/>
    </row>
    <row r="425" ht="15.75" customHeight="1">
      <c r="C425" s="1"/>
    </row>
    <row r="426" ht="15.75" customHeight="1">
      <c r="C426" s="1"/>
    </row>
    <row r="427" ht="15.75" customHeight="1">
      <c r="C427" s="1"/>
    </row>
    <row r="428" ht="15.75" customHeight="1">
      <c r="C428" s="1"/>
    </row>
    <row r="429" ht="15.75" customHeight="1">
      <c r="C429" s="1"/>
    </row>
    <row r="430" ht="15.75" customHeight="1">
      <c r="C430" s="1"/>
    </row>
    <row r="431" ht="15.75" customHeight="1">
      <c r="C431" s="1"/>
    </row>
    <row r="432" ht="15.75" customHeight="1">
      <c r="C432" s="1"/>
    </row>
    <row r="433" ht="15.75" customHeight="1">
      <c r="C433" s="1"/>
    </row>
    <row r="434" ht="15.75" customHeight="1">
      <c r="C434" s="1"/>
    </row>
    <row r="435" ht="15.75" customHeight="1">
      <c r="C435" s="1"/>
    </row>
    <row r="436" ht="15.75" customHeight="1">
      <c r="C436" s="1"/>
    </row>
    <row r="437" ht="15.75" customHeight="1">
      <c r="C437" s="1"/>
    </row>
    <row r="438" ht="15.75" customHeight="1">
      <c r="C438" s="1"/>
    </row>
    <row r="439" ht="15.75" customHeight="1">
      <c r="C439" s="1"/>
    </row>
    <row r="440" ht="15.75" customHeight="1">
      <c r="C440" s="1"/>
    </row>
    <row r="441" ht="15.75" customHeight="1">
      <c r="C441" s="1"/>
    </row>
    <row r="442" ht="15.75" customHeight="1">
      <c r="C442" s="1"/>
    </row>
    <row r="443" ht="15.75" customHeight="1">
      <c r="C443" s="1"/>
    </row>
    <row r="444" ht="15.75" customHeight="1">
      <c r="C444" s="1"/>
    </row>
    <row r="445" ht="15.75" customHeight="1">
      <c r="C445" s="1"/>
    </row>
    <row r="446" ht="15.75" customHeight="1">
      <c r="C446" s="1"/>
    </row>
    <row r="447" ht="15.75" customHeight="1">
      <c r="C447" s="1"/>
    </row>
    <row r="448" ht="15.75" customHeight="1">
      <c r="C448" s="1"/>
    </row>
    <row r="449" ht="15.75" customHeight="1">
      <c r="C449" s="1"/>
    </row>
    <row r="450" ht="15.75" customHeight="1">
      <c r="C450" s="1"/>
    </row>
    <row r="451" ht="15.75" customHeight="1">
      <c r="C451" s="1"/>
    </row>
    <row r="452" ht="15.75" customHeight="1">
      <c r="C452" s="1"/>
    </row>
    <row r="453" ht="15.75" customHeight="1">
      <c r="C453" s="1"/>
    </row>
    <row r="454" ht="15.75" customHeight="1">
      <c r="C454" s="1"/>
    </row>
    <row r="455" ht="15.75" customHeight="1">
      <c r="C455" s="1"/>
    </row>
    <row r="456" ht="15.75" customHeight="1">
      <c r="C456" s="1"/>
    </row>
    <row r="457" ht="15.75" customHeight="1">
      <c r="C457" s="1"/>
    </row>
    <row r="458" ht="15.75" customHeight="1">
      <c r="C458" s="1"/>
    </row>
    <row r="459" ht="15.75" customHeight="1">
      <c r="C459" s="1"/>
    </row>
    <row r="460" ht="15.75" customHeight="1">
      <c r="C460" s="1"/>
    </row>
    <row r="461" ht="15.75" customHeight="1">
      <c r="C461" s="1"/>
    </row>
    <row r="462" ht="15.75" customHeight="1">
      <c r="C462" s="1"/>
    </row>
    <row r="463" ht="15.75" customHeight="1">
      <c r="C463" s="1"/>
    </row>
    <row r="464" ht="15.75" customHeight="1">
      <c r="C464" s="1"/>
    </row>
    <row r="465" ht="15.75" customHeight="1">
      <c r="C465" s="1"/>
    </row>
    <row r="466" ht="15.75" customHeight="1">
      <c r="C466" s="1"/>
    </row>
    <row r="467" ht="15.75" customHeight="1">
      <c r="C467" s="1"/>
    </row>
    <row r="468" ht="15.75" customHeight="1">
      <c r="C468" s="1"/>
    </row>
    <row r="469" ht="15.75" customHeight="1">
      <c r="C469" s="1"/>
    </row>
    <row r="470" ht="15.75" customHeight="1">
      <c r="C470" s="1"/>
    </row>
    <row r="471" ht="15.75" customHeight="1">
      <c r="C471" s="1"/>
    </row>
    <row r="472" ht="15.75" customHeight="1">
      <c r="C472" s="1"/>
    </row>
    <row r="473" ht="15.75" customHeight="1">
      <c r="C473" s="1"/>
    </row>
    <row r="474" ht="15.75" customHeight="1">
      <c r="C474" s="1"/>
    </row>
    <row r="475" ht="15.75" customHeight="1">
      <c r="C475" s="1"/>
    </row>
    <row r="476" ht="15.75" customHeight="1">
      <c r="C476" s="1"/>
    </row>
    <row r="477" ht="15.75" customHeight="1">
      <c r="C477" s="1"/>
    </row>
    <row r="478" ht="15.75" customHeight="1">
      <c r="C478" s="1"/>
    </row>
    <row r="479" ht="15.75" customHeight="1">
      <c r="C479" s="1"/>
    </row>
    <row r="480" ht="15.75" customHeight="1">
      <c r="C480" s="1"/>
    </row>
    <row r="481" ht="15.75" customHeight="1">
      <c r="C481" s="1"/>
    </row>
    <row r="482" ht="15.75" customHeight="1">
      <c r="C482" s="1"/>
    </row>
    <row r="483" ht="15.75" customHeight="1">
      <c r="C483" s="1"/>
    </row>
    <row r="484" ht="15.75" customHeight="1">
      <c r="C484" s="1"/>
    </row>
    <row r="485" ht="15.75" customHeight="1">
      <c r="C485" s="1"/>
    </row>
    <row r="486" ht="15.75" customHeight="1">
      <c r="C486" s="1"/>
    </row>
    <row r="487" ht="15.75" customHeight="1">
      <c r="C487" s="1"/>
    </row>
    <row r="488" ht="15.75" customHeight="1">
      <c r="C488" s="1"/>
    </row>
    <row r="489" ht="15.75" customHeight="1">
      <c r="C489" s="1"/>
    </row>
    <row r="490" ht="15.75" customHeight="1">
      <c r="C490" s="1"/>
    </row>
    <row r="491" ht="15.75" customHeight="1">
      <c r="C491" s="1"/>
    </row>
    <row r="492" ht="15.75" customHeight="1">
      <c r="C492" s="1"/>
    </row>
    <row r="493" ht="15.75" customHeight="1">
      <c r="C493" s="1"/>
    </row>
    <row r="494" ht="15.75" customHeight="1">
      <c r="C494" s="1"/>
    </row>
    <row r="495" ht="15.75" customHeight="1">
      <c r="C495" s="1"/>
    </row>
    <row r="496" ht="15.75" customHeight="1">
      <c r="C496" s="1"/>
    </row>
    <row r="497" ht="15.75" customHeight="1">
      <c r="C497" s="1"/>
    </row>
    <row r="498" ht="15.75" customHeight="1">
      <c r="C498" s="1"/>
    </row>
    <row r="499" ht="15.75" customHeight="1">
      <c r="C499" s="1"/>
    </row>
    <row r="500" ht="15.75" customHeight="1">
      <c r="C500" s="1"/>
    </row>
    <row r="501" ht="15.75" customHeight="1">
      <c r="C501" s="1"/>
    </row>
    <row r="502" ht="15.75" customHeight="1">
      <c r="C502" s="1"/>
    </row>
    <row r="503" ht="15.75" customHeight="1">
      <c r="C503" s="1"/>
    </row>
    <row r="504" ht="15.75" customHeight="1">
      <c r="C504" s="1"/>
    </row>
    <row r="505" ht="15.75" customHeight="1">
      <c r="C505" s="1"/>
    </row>
    <row r="506" ht="15.75" customHeight="1">
      <c r="C506" s="1"/>
    </row>
    <row r="507" ht="15.75" customHeight="1">
      <c r="C507" s="1"/>
    </row>
    <row r="508" ht="15.75" customHeight="1">
      <c r="C508" s="1"/>
    </row>
    <row r="509" ht="15.75" customHeight="1">
      <c r="C509" s="1"/>
    </row>
    <row r="510" ht="15.75" customHeight="1">
      <c r="C510" s="1"/>
    </row>
    <row r="511" ht="15.75" customHeight="1">
      <c r="C511" s="1"/>
    </row>
    <row r="512" ht="15.75" customHeight="1">
      <c r="C512" s="1"/>
    </row>
    <row r="513" ht="15.75" customHeight="1">
      <c r="C513" s="1"/>
    </row>
    <row r="514" ht="15.75" customHeight="1">
      <c r="C514" s="1"/>
    </row>
    <row r="515" ht="15.75" customHeight="1">
      <c r="C515" s="1"/>
    </row>
    <row r="516" ht="15.75" customHeight="1">
      <c r="C516" s="1"/>
    </row>
    <row r="517" ht="15.75" customHeight="1">
      <c r="C517" s="1"/>
    </row>
    <row r="518" ht="15.75" customHeight="1">
      <c r="C518" s="1"/>
    </row>
    <row r="519" ht="15.75" customHeight="1">
      <c r="C519" s="1"/>
    </row>
    <row r="520" ht="15.75" customHeight="1">
      <c r="C520" s="1"/>
    </row>
    <row r="521" ht="15.75" customHeight="1">
      <c r="C521" s="1"/>
    </row>
    <row r="522" ht="15.75" customHeight="1">
      <c r="C522" s="1"/>
    </row>
    <row r="523" ht="15.75" customHeight="1">
      <c r="C523" s="1"/>
    </row>
    <row r="524" ht="15.75" customHeight="1">
      <c r="C524" s="1"/>
    </row>
    <row r="525" ht="15.75" customHeight="1">
      <c r="C525" s="1"/>
    </row>
    <row r="526" ht="15.75" customHeight="1">
      <c r="C526" s="1"/>
    </row>
    <row r="527" ht="15.75" customHeight="1">
      <c r="C527" s="1"/>
    </row>
    <row r="528" ht="15.75" customHeight="1">
      <c r="C528" s="1"/>
    </row>
    <row r="529" ht="15.75" customHeight="1">
      <c r="C529" s="1"/>
    </row>
    <row r="530" ht="15.75" customHeight="1">
      <c r="C530" s="1"/>
    </row>
    <row r="531" ht="15.75" customHeight="1">
      <c r="C531" s="1"/>
    </row>
    <row r="532" ht="15.75" customHeight="1">
      <c r="C532" s="1"/>
    </row>
    <row r="533" ht="15.75" customHeight="1">
      <c r="C533" s="1"/>
    </row>
    <row r="534" ht="15.75" customHeight="1">
      <c r="C534" s="1"/>
    </row>
    <row r="535" ht="15.75" customHeight="1">
      <c r="C535" s="1"/>
    </row>
    <row r="536" ht="15.75" customHeight="1">
      <c r="C536" s="1"/>
    </row>
    <row r="537" ht="15.75" customHeight="1">
      <c r="C537" s="1"/>
    </row>
    <row r="538" ht="15.75" customHeight="1">
      <c r="C538" s="1"/>
    </row>
    <row r="539" ht="15.75" customHeight="1">
      <c r="C539" s="1"/>
    </row>
    <row r="540" ht="15.75" customHeight="1">
      <c r="C540" s="1"/>
    </row>
    <row r="541" ht="15.75" customHeight="1">
      <c r="C541" s="1"/>
    </row>
    <row r="542" ht="15.75" customHeight="1">
      <c r="C542" s="1"/>
    </row>
    <row r="543" ht="15.75" customHeight="1">
      <c r="C543" s="1"/>
    </row>
    <row r="544" ht="15.75" customHeight="1">
      <c r="C544" s="1"/>
    </row>
    <row r="545" ht="15.75" customHeight="1">
      <c r="C545" s="1"/>
    </row>
    <row r="546" ht="15.75" customHeight="1">
      <c r="C546" s="1"/>
    </row>
    <row r="547" ht="15.75" customHeight="1">
      <c r="C547" s="1"/>
    </row>
    <row r="548" ht="15.75" customHeight="1">
      <c r="C548" s="1"/>
    </row>
    <row r="549" ht="15.75" customHeight="1">
      <c r="C549" s="1"/>
    </row>
    <row r="550" ht="15.75" customHeight="1">
      <c r="C550" s="1"/>
    </row>
    <row r="551" ht="15.75" customHeight="1">
      <c r="C551" s="1"/>
    </row>
    <row r="552" ht="15.75" customHeight="1">
      <c r="C552" s="1"/>
    </row>
    <row r="553" ht="15.75" customHeight="1">
      <c r="C553" s="1"/>
    </row>
    <row r="554" ht="15.75" customHeight="1">
      <c r="C554" s="1"/>
    </row>
    <row r="555" ht="15.75" customHeight="1">
      <c r="C555" s="1"/>
    </row>
    <row r="556" ht="15.75" customHeight="1">
      <c r="C556" s="1"/>
    </row>
    <row r="557" ht="15.75" customHeight="1">
      <c r="C557" s="1"/>
    </row>
    <row r="558" ht="15.75" customHeight="1">
      <c r="C558" s="1"/>
    </row>
    <row r="559" ht="15.75" customHeight="1">
      <c r="C559" s="1"/>
    </row>
    <row r="560" ht="15.75" customHeight="1">
      <c r="C560" s="1"/>
    </row>
    <row r="561" ht="15.75" customHeight="1">
      <c r="C561" s="1"/>
    </row>
    <row r="562" ht="15.75" customHeight="1">
      <c r="C562" s="1"/>
    </row>
    <row r="563" ht="15.75" customHeight="1">
      <c r="C563" s="1"/>
    </row>
    <row r="564" ht="15.75" customHeight="1">
      <c r="C564" s="1"/>
    </row>
    <row r="565" ht="15.75" customHeight="1">
      <c r="C565" s="1"/>
    </row>
    <row r="566" ht="15.75" customHeight="1">
      <c r="C566" s="1"/>
    </row>
    <row r="567" ht="15.75" customHeight="1">
      <c r="C567" s="1"/>
    </row>
    <row r="568" ht="15.75" customHeight="1">
      <c r="C568" s="1"/>
    </row>
    <row r="569" ht="15.75" customHeight="1">
      <c r="C569" s="1"/>
    </row>
    <row r="570" ht="15.75" customHeight="1">
      <c r="C570" s="1"/>
    </row>
    <row r="571" ht="15.75" customHeight="1">
      <c r="C571" s="1"/>
    </row>
    <row r="572" ht="15.75" customHeight="1">
      <c r="C572" s="1"/>
    </row>
    <row r="573" ht="15.75" customHeight="1">
      <c r="C573" s="1"/>
    </row>
    <row r="574" ht="15.75" customHeight="1">
      <c r="C574" s="1"/>
    </row>
    <row r="575" ht="15.75" customHeight="1">
      <c r="C575" s="1"/>
    </row>
    <row r="576" ht="15.75" customHeight="1">
      <c r="C576" s="1"/>
    </row>
    <row r="577" ht="15.75" customHeight="1">
      <c r="C577" s="1"/>
    </row>
    <row r="578" ht="15.75" customHeight="1">
      <c r="C578" s="1"/>
    </row>
    <row r="579" ht="15.75" customHeight="1">
      <c r="C579" s="1"/>
    </row>
    <row r="580" ht="15.75" customHeight="1">
      <c r="C580" s="1"/>
    </row>
    <row r="581" ht="15.75" customHeight="1">
      <c r="C581" s="1"/>
    </row>
    <row r="582" ht="15.75" customHeight="1">
      <c r="C582" s="1"/>
    </row>
    <row r="583" ht="15.75" customHeight="1">
      <c r="C583" s="1"/>
    </row>
    <row r="584" ht="15.75" customHeight="1">
      <c r="C584" s="1"/>
    </row>
    <row r="585" ht="15.75" customHeight="1">
      <c r="C585" s="1"/>
    </row>
    <row r="586" ht="15.75" customHeight="1">
      <c r="C586" s="1"/>
    </row>
    <row r="587" ht="15.75" customHeight="1">
      <c r="C587" s="1"/>
    </row>
    <row r="588" ht="15.75" customHeight="1">
      <c r="C588" s="1"/>
    </row>
    <row r="589" ht="15.75" customHeight="1">
      <c r="C589" s="1"/>
    </row>
    <row r="590" ht="15.75" customHeight="1">
      <c r="C590" s="1"/>
    </row>
    <row r="591" ht="15.75" customHeight="1">
      <c r="C591" s="1"/>
    </row>
    <row r="592" ht="15.75" customHeight="1">
      <c r="C592" s="1"/>
    </row>
    <row r="593" ht="15.75" customHeight="1">
      <c r="C593" s="1"/>
    </row>
    <row r="594" ht="15.75" customHeight="1">
      <c r="C594" s="1"/>
    </row>
    <row r="595" ht="15.75" customHeight="1">
      <c r="C595" s="1"/>
    </row>
    <row r="596" ht="15.75" customHeight="1">
      <c r="C596" s="1"/>
    </row>
    <row r="597" ht="15.75" customHeight="1">
      <c r="C597" s="1"/>
    </row>
    <row r="598" ht="15.75" customHeight="1">
      <c r="C598" s="1"/>
    </row>
    <row r="599" ht="15.75" customHeight="1">
      <c r="C599" s="1"/>
    </row>
    <row r="600" ht="15.75" customHeight="1">
      <c r="C600" s="1"/>
    </row>
    <row r="601" ht="15.75" customHeight="1">
      <c r="C601" s="1"/>
    </row>
    <row r="602" ht="15.75" customHeight="1">
      <c r="C602" s="1"/>
    </row>
    <row r="603" ht="15.75" customHeight="1">
      <c r="C603" s="1"/>
    </row>
    <row r="604" ht="15.75" customHeight="1">
      <c r="C604" s="1"/>
    </row>
    <row r="605" ht="15.75" customHeight="1">
      <c r="C605" s="1"/>
    </row>
    <row r="606" ht="15.75" customHeight="1">
      <c r="C606" s="1"/>
    </row>
    <row r="607" ht="15.75" customHeight="1">
      <c r="C607" s="1"/>
    </row>
    <row r="608" ht="15.75" customHeight="1">
      <c r="C608" s="1"/>
    </row>
    <row r="609" ht="15.75" customHeight="1">
      <c r="C609" s="1"/>
    </row>
    <row r="610" ht="15.75" customHeight="1">
      <c r="C610" s="1"/>
    </row>
    <row r="611" ht="15.75" customHeight="1">
      <c r="C611" s="1"/>
    </row>
    <row r="612" ht="15.75" customHeight="1">
      <c r="C612" s="1"/>
    </row>
    <row r="613" ht="15.75" customHeight="1">
      <c r="C613" s="1"/>
    </row>
    <row r="614" ht="15.75" customHeight="1">
      <c r="C614" s="1"/>
    </row>
    <row r="615" ht="15.75" customHeight="1">
      <c r="C615" s="1"/>
    </row>
    <row r="616" ht="15.75" customHeight="1">
      <c r="C616" s="1"/>
    </row>
    <row r="617" ht="15.75" customHeight="1">
      <c r="C617" s="1"/>
    </row>
    <row r="618" ht="15.75" customHeight="1">
      <c r="C618" s="1"/>
    </row>
    <row r="619" ht="15.75" customHeight="1">
      <c r="C619" s="1"/>
    </row>
    <row r="620" ht="15.75" customHeight="1">
      <c r="C620" s="1"/>
    </row>
    <row r="621" ht="15.75" customHeight="1">
      <c r="C621" s="1"/>
    </row>
    <row r="622" ht="15.75" customHeight="1">
      <c r="C622" s="1"/>
    </row>
    <row r="623" ht="15.75" customHeight="1">
      <c r="C623" s="1"/>
    </row>
    <row r="624" ht="15.75" customHeight="1">
      <c r="C624" s="1"/>
    </row>
    <row r="625" ht="15.75" customHeight="1">
      <c r="C625" s="1"/>
    </row>
    <row r="626" ht="15.75" customHeight="1">
      <c r="C626" s="1"/>
    </row>
    <row r="627" ht="15.75" customHeight="1">
      <c r="C627" s="1"/>
    </row>
    <row r="628" ht="15.75" customHeight="1">
      <c r="C628" s="1"/>
    </row>
    <row r="629" ht="15.75" customHeight="1">
      <c r="C629" s="1"/>
    </row>
    <row r="630" ht="15.75" customHeight="1">
      <c r="C630" s="1"/>
    </row>
    <row r="631" ht="15.75" customHeight="1">
      <c r="C631" s="1"/>
    </row>
    <row r="632" ht="15.75" customHeight="1">
      <c r="C632" s="1"/>
    </row>
    <row r="633" ht="15.75" customHeight="1">
      <c r="C633" s="1"/>
    </row>
    <row r="634" ht="15.75" customHeight="1">
      <c r="C634" s="1"/>
    </row>
    <row r="635" ht="15.75" customHeight="1">
      <c r="C635" s="1"/>
    </row>
    <row r="636" ht="15.75" customHeight="1">
      <c r="C636" s="1"/>
    </row>
    <row r="637" ht="15.75" customHeight="1">
      <c r="C637" s="1"/>
    </row>
    <row r="638" ht="15.75" customHeight="1">
      <c r="C638" s="1"/>
    </row>
    <row r="639" ht="15.75" customHeight="1">
      <c r="C639" s="1"/>
    </row>
    <row r="640" ht="15.75" customHeight="1">
      <c r="C640" s="1"/>
    </row>
    <row r="641" ht="15.75" customHeight="1">
      <c r="C641" s="1"/>
    </row>
    <row r="642" ht="15.75" customHeight="1">
      <c r="C642" s="1"/>
    </row>
    <row r="643" ht="15.75" customHeight="1">
      <c r="C643" s="1"/>
    </row>
    <row r="644" ht="15.75" customHeight="1">
      <c r="C644" s="1"/>
    </row>
    <row r="645" ht="15.75" customHeight="1">
      <c r="C645" s="1"/>
    </row>
    <row r="646" ht="15.75" customHeight="1">
      <c r="C646" s="1"/>
    </row>
    <row r="647" ht="15.75" customHeight="1">
      <c r="C647" s="1"/>
    </row>
    <row r="648" ht="15.75" customHeight="1">
      <c r="C648" s="1"/>
    </row>
    <row r="649" ht="15.75" customHeight="1">
      <c r="C649" s="1"/>
    </row>
    <row r="650" ht="15.75" customHeight="1">
      <c r="C650" s="1"/>
    </row>
    <row r="651" ht="15.75" customHeight="1">
      <c r="C651" s="1"/>
    </row>
    <row r="652" ht="15.75" customHeight="1">
      <c r="C652" s="1"/>
    </row>
    <row r="653" ht="15.75" customHeight="1">
      <c r="C653" s="1"/>
    </row>
    <row r="654" ht="15.75" customHeight="1">
      <c r="C654" s="1"/>
    </row>
    <row r="655" ht="15.75" customHeight="1">
      <c r="C655" s="1"/>
    </row>
    <row r="656" ht="15.75" customHeight="1">
      <c r="C656" s="1"/>
    </row>
    <row r="657" ht="15.75" customHeight="1">
      <c r="C657" s="1"/>
    </row>
    <row r="658" ht="15.75" customHeight="1">
      <c r="C658" s="1"/>
    </row>
    <row r="659" ht="15.75" customHeight="1">
      <c r="C659" s="1"/>
    </row>
    <row r="660" ht="15.75" customHeight="1">
      <c r="C660" s="1"/>
    </row>
    <row r="661" ht="15.75" customHeight="1">
      <c r="C661" s="1"/>
    </row>
    <row r="662" ht="15.75" customHeight="1">
      <c r="C662" s="1"/>
    </row>
    <row r="663" ht="15.75" customHeight="1">
      <c r="C663" s="1"/>
    </row>
    <row r="664" ht="15.75" customHeight="1">
      <c r="C664" s="1"/>
    </row>
    <row r="665" ht="15.75" customHeight="1">
      <c r="C665" s="1"/>
    </row>
    <row r="666" ht="15.75" customHeight="1">
      <c r="C666" s="1"/>
    </row>
    <row r="667" ht="15.75" customHeight="1">
      <c r="C667" s="1"/>
    </row>
    <row r="668" ht="15.75" customHeight="1">
      <c r="C668" s="1"/>
    </row>
    <row r="669" ht="15.75" customHeight="1">
      <c r="C669" s="1"/>
    </row>
    <row r="670" ht="15.75" customHeight="1">
      <c r="C670" s="1"/>
    </row>
    <row r="671" ht="15.75" customHeight="1">
      <c r="C671" s="1"/>
    </row>
    <row r="672" ht="15.75" customHeight="1">
      <c r="C672" s="1"/>
    </row>
    <row r="673" ht="15.75" customHeight="1">
      <c r="C673" s="1"/>
    </row>
    <row r="674" ht="15.75" customHeight="1">
      <c r="C674" s="1"/>
    </row>
    <row r="675" ht="15.75" customHeight="1">
      <c r="C675" s="1"/>
    </row>
    <row r="676" ht="15.75" customHeight="1">
      <c r="C676" s="1"/>
    </row>
    <row r="677" ht="15.75" customHeight="1">
      <c r="C677" s="1"/>
    </row>
    <row r="678" ht="15.75" customHeight="1">
      <c r="C678" s="1"/>
    </row>
    <row r="679" ht="15.75" customHeight="1">
      <c r="C679" s="1"/>
    </row>
    <row r="680" ht="15.75" customHeight="1">
      <c r="C680" s="1"/>
    </row>
    <row r="681" ht="15.75" customHeight="1">
      <c r="C681" s="1"/>
    </row>
    <row r="682" ht="15.75" customHeight="1">
      <c r="C682" s="1"/>
    </row>
    <row r="683" ht="15.75" customHeight="1">
      <c r="C683" s="1"/>
    </row>
    <row r="684" ht="15.75" customHeight="1">
      <c r="C684" s="1"/>
    </row>
    <row r="685" ht="15.75" customHeight="1">
      <c r="C685" s="1"/>
    </row>
    <row r="686" ht="15.75" customHeight="1">
      <c r="C686" s="1"/>
    </row>
    <row r="687" ht="15.75" customHeight="1">
      <c r="C687" s="1"/>
    </row>
    <row r="688" ht="15.75" customHeight="1">
      <c r="C688" s="1"/>
    </row>
    <row r="689" ht="15.75" customHeight="1">
      <c r="C689" s="1"/>
    </row>
    <row r="690" ht="15.75" customHeight="1">
      <c r="C690" s="1"/>
    </row>
    <row r="691" ht="15.75" customHeight="1">
      <c r="C691" s="1"/>
    </row>
    <row r="692" ht="15.75" customHeight="1">
      <c r="C692" s="1"/>
    </row>
    <row r="693" ht="15.75" customHeight="1">
      <c r="C693" s="1"/>
    </row>
    <row r="694" ht="15.75" customHeight="1">
      <c r="C694" s="1"/>
    </row>
    <row r="695" ht="15.75" customHeight="1">
      <c r="C695" s="1"/>
    </row>
    <row r="696" ht="15.75" customHeight="1">
      <c r="C696" s="1"/>
    </row>
    <row r="697" ht="15.75" customHeight="1">
      <c r="C697" s="1"/>
    </row>
    <row r="698" ht="15.75" customHeight="1">
      <c r="C698" s="1"/>
    </row>
    <row r="699" ht="15.75" customHeight="1">
      <c r="C699" s="1"/>
    </row>
    <row r="700" ht="15.75" customHeight="1">
      <c r="C700" s="1"/>
    </row>
    <row r="701" ht="15.75" customHeight="1">
      <c r="C701" s="1"/>
    </row>
    <row r="702" ht="15.75" customHeight="1">
      <c r="C702" s="1"/>
    </row>
    <row r="703" ht="15.75" customHeight="1">
      <c r="C703" s="1"/>
    </row>
    <row r="704" ht="15.75" customHeight="1">
      <c r="C704" s="1"/>
    </row>
    <row r="705" ht="15.75" customHeight="1">
      <c r="C705" s="1"/>
    </row>
    <row r="706" ht="15.75" customHeight="1">
      <c r="C706" s="1"/>
    </row>
    <row r="707" ht="15.75" customHeight="1">
      <c r="C707" s="1"/>
    </row>
    <row r="708" ht="15.75" customHeight="1">
      <c r="C708" s="1"/>
    </row>
    <row r="709" ht="15.75" customHeight="1">
      <c r="C709" s="1"/>
    </row>
    <row r="710" ht="15.75" customHeight="1">
      <c r="C710" s="1"/>
    </row>
    <row r="711" ht="15.75" customHeight="1">
      <c r="C711" s="1"/>
    </row>
    <row r="712" ht="15.75" customHeight="1">
      <c r="C712" s="1"/>
    </row>
    <row r="713" ht="15.75" customHeight="1">
      <c r="C713" s="1"/>
    </row>
    <row r="714" ht="15.75" customHeight="1">
      <c r="C714" s="1"/>
    </row>
    <row r="715" ht="15.75" customHeight="1">
      <c r="C715" s="1"/>
    </row>
    <row r="716" ht="15.75" customHeight="1">
      <c r="C716" s="1"/>
    </row>
    <row r="717" ht="15.75" customHeight="1">
      <c r="C717" s="1"/>
    </row>
    <row r="718" ht="15.75" customHeight="1">
      <c r="C718" s="1"/>
    </row>
    <row r="719" ht="15.75" customHeight="1">
      <c r="C719" s="1"/>
    </row>
    <row r="720" ht="15.75" customHeight="1">
      <c r="C720" s="1"/>
    </row>
    <row r="721" ht="15.75" customHeight="1">
      <c r="C721" s="1"/>
    </row>
    <row r="722" ht="15.75" customHeight="1">
      <c r="C722" s="1"/>
    </row>
    <row r="723" ht="15.75" customHeight="1">
      <c r="C723" s="1"/>
    </row>
    <row r="724" ht="15.75" customHeight="1">
      <c r="C724" s="1"/>
    </row>
    <row r="725" ht="15.75" customHeight="1">
      <c r="C725" s="1"/>
    </row>
    <row r="726" ht="15.75" customHeight="1">
      <c r="C726" s="1"/>
    </row>
    <row r="727" ht="15.75" customHeight="1">
      <c r="C727" s="1"/>
    </row>
    <row r="728" ht="15.75" customHeight="1">
      <c r="C728" s="1"/>
    </row>
    <row r="729" ht="15.75" customHeight="1">
      <c r="C729" s="1"/>
    </row>
    <row r="730" ht="15.75" customHeight="1">
      <c r="C730" s="1"/>
    </row>
    <row r="731" ht="15.75" customHeight="1">
      <c r="C731" s="1"/>
    </row>
    <row r="732" ht="15.75" customHeight="1">
      <c r="C732" s="1"/>
    </row>
    <row r="733" ht="15.75" customHeight="1">
      <c r="C733" s="1"/>
    </row>
    <row r="734" ht="15.75" customHeight="1">
      <c r="C734" s="1"/>
    </row>
    <row r="735" ht="15.75" customHeight="1">
      <c r="C735" s="1"/>
    </row>
    <row r="736" ht="15.75" customHeight="1">
      <c r="C736" s="1"/>
    </row>
    <row r="737" ht="15.75" customHeight="1">
      <c r="C737" s="1"/>
    </row>
    <row r="738" ht="15.75" customHeight="1">
      <c r="C738" s="1"/>
    </row>
    <row r="739" ht="15.75" customHeight="1">
      <c r="C739" s="1"/>
    </row>
    <row r="740" ht="15.75" customHeight="1">
      <c r="C740" s="1"/>
    </row>
    <row r="741" ht="15.75" customHeight="1">
      <c r="C741" s="1"/>
    </row>
    <row r="742" ht="15.75" customHeight="1">
      <c r="C742" s="1"/>
    </row>
    <row r="743" ht="15.75" customHeight="1">
      <c r="C743" s="1"/>
    </row>
    <row r="744" ht="15.75" customHeight="1">
      <c r="C744" s="1"/>
    </row>
    <row r="745" ht="15.75" customHeight="1">
      <c r="C745" s="1"/>
    </row>
    <row r="746" ht="15.75" customHeight="1">
      <c r="C746" s="1"/>
    </row>
    <row r="747" ht="15.75" customHeight="1">
      <c r="C747" s="1"/>
    </row>
    <row r="748" ht="15.75" customHeight="1">
      <c r="C748" s="1"/>
    </row>
    <row r="749" ht="15.75" customHeight="1">
      <c r="C749" s="1"/>
    </row>
    <row r="750" ht="15.75" customHeight="1">
      <c r="C750" s="1"/>
    </row>
    <row r="751" ht="15.75" customHeight="1">
      <c r="C751" s="1"/>
    </row>
    <row r="752" ht="15.75" customHeight="1">
      <c r="C752" s="1"/>
    </row>
    <row r="753" ht="15.75" customHeight="1">
      <c r="C753" s="1"/>
    </row>
    <row r="754" ht="15.75" customHeight="1">
      <c r="C754" s="1"/>
    </row>
    <row r="755" ht="15.75" customHeight="1">
      <c r="C755" s="1"/>
    </row>
    <row r="756" ht="15.75" customHeight="1">
      <c r="C756" s="1"/>
    </row>
    <row r="757" ht="15.75" customHeight="1">
      <c r="C757" s="1"/>
    </row>
    <row r="758" ht="15.75" customHeight="1">
      <c r="C758" s="1"/>
    </row>
    <row r="759" ht="15.75" customHeight="1">
      <c r="C759" s="1"/>
    </row>
    <row r="760" ht="15.75" customHeight="1">
      <c r="C760" s="1"/>
    </row>
    <row r="761" ht="15.75" customHeight="1">
      <c r="C761" s="1"/>
    </row>
    <row r="762" ht="15.75" customHeight="1">
      <c r="C762" s="1"/>
    </row>
    <row r="763" ht="15.75" customHeight="1">
      <c r="C763" s="1"/>
    </row>
    <row r="764" ht="15.75" customHeight="1">
      <c r="C764" s="1"/>
    </row>
    <row r="765" ht="15.75" customHeight="1">
      <c r="C765" s="1"/>
    </row>
    <row r="766" ht="15.75" customHeight="1">
      <c r="C766" s="1"/>
    </row>
    <row r="767" ht="15.75" customHeight="1">
      <c r="C767" s="1"/>
    </row>
    <row r="768" ht="15.75" customHeight="1">
      <c r="C768" s="1"/>
    </row>
    <row r="769" ht="15.75" customHeight="1">
      <c r="C769" s="1"/>
    </row>
    <row r="770" ht="15.75" customHeight="1">
      <c r="C770" s="1"/>
    </row>
    <row r="771" ht="15.75" customHeight="1">
      <c r="C771" s="1"/>
    </row>
    <row r="772" ht="15.75" customHeight="1">
      <c r="C772" s="1"/>
    </row>
    <row r="773" ht="15.75" customHeight="1">
      <c r="C773" s="1"/>
    </row>
    <row r="774" ht="15.75" customHeight="1">
      <c r="C774" s="1"/>
    </row>
    <row r="775" ht="15.75" customHeight="1">
      <c r="C775" s="1"/>
    </row>
    <row r="776" ht="15.75" customHeight="1">
      <c r="C776" s="1"/>
    </row>
    <row r="777" ht="15.75" customHeight="1">
      <c r="C777" s="1"/>
    </row>
    <row r="778" ht="15.75" customHeight="1">
      <c r="C778" s="1"/>
    </row>
    <row r="779" ht="15.75" customHeight="1">
      <c r="C779" s="1"/>
    </row>
    <row r="780" ht="15.75" customHeight="1">
      <c r="C780" s="1"/>
    </row>
    <row r="781" ht="15.75" customHeight="1">
      <c r="C781" s="1"/>
    </row>
    <row r="782" ht="15.75" customHeight="1">
      <c r="C782" s="1"/>
    </row>
    <row r="783" ht="15.75" customHeight="1">
      <c r="C783" s="1"/>
    </row>
    <row r="784" ht="15.75" customHeight="1">
      <c r="C784" s="1"/>
    </row>
    <row r="785" ht="15.75" customHeight="1">
      <c r="C785" s="1"/>
    </row>
    <row r="786" ht="15.75" customHeight="1">
      <c r="C786" s="1"/>
    </row>
    <row r="787" ht="15.75" customHeight="1">
      <c r="C787" s="1"/>
    </row>
    <row r="788" ht="15.75" customHeight="1">
      <c r="C788" s="1"/>
    </row>
    <row r="789" ht="15.75" customHeight="1">
      <c r="C789" s="1"/>
    </row>
    <row r="790" ht="15.75" customHeight="1">
      <c r="C790" s="1"/>
    </row>
    <row r="791" ht="15.75" customHeight="1">
      <c r="C791" s="1"/>
    </row>
    <row r="792" ht="15.75" customHeight="1">
      <c r="C792" s="1"/>
    </row>
    <row r="793" ht="15.75" customHeight="1">
      <c r="C793" s="1"/>
    </row>
    <row r="794" ht="15.75" customHeight="1">
      <c r="C794" s="1"/>
    </row>
    <row r="795" ht="15.75" customHeight="1">
      <c r="C795" s="1"/>
    </row>
    <row r="796" ht="15.75" customHeight="1">
      <c r="C796" s="1"/>
    </row>
    <row r="797" ht="15.75" customHeight="1">
      <c r="C797" s="1"/>
    </row>
    <row r="798" ht="15.75" customHeight="1">
      <c r="C798" s="1"/>
    </row>
    <row r="799" ht="15.75" customHeight="1">
      <c r="C799" s="1"/>
    </row>
    <row r="800" ht="15.75" customHeight="1">
      <c r="C800" s="1"/>
    </row>
    <row r="801" ht="15.75" customHeight="1">
      <c r="C801" s="1"/>
    </row>
    <row r="802" ht="15.75" customHeight="1">
      <c r="C802" s="1"/>
    </row>
    <row r="803" ht="15.75" customHeight="1">
      <c r="C803" s="1"/>
    </row>
    <row r="804" ht="15.75" customHeight="1">
      <c r="C804" s="1"/>
    </row>
    <row r="805" ht="15.75" customHeight="1">
      <c r="C805" s="1"/>
    </row>
    <row r="806" ht="15.75" customHeight="1">
      <c r="C806" s="1"/>
    </row>
    <row r="807" ht="15.75" customHeight="1">
      <c r="C807" s="1"/>
    </row>
    <row r="808" ht="15.75" customHeight="1">
      <c r="C808" s="1"/>
    </row>
    <row r="809" ht="15.75" customHeight="1">
      <c r="C809" s="1"/>
    </row>
    <row r="810" ht="15.75" customHeight="1">
      <c r="C810" s="1"/>
    </row>
    <row r="811" ht="15.75" customHeight="1">
      <c r="C811" s="1"/>
    </row>
    <row r="812" ht="15.75" customHeight="1">
      <c r="C812" s="1"/>
    </row>
    <row r="813" ht="15.75" customHeight="1">
      <c r="C813" s="1"/>
    </row>
    <row r="814" ht="15.75" customHeight="1">
      <c r="C814" s="1"/>
    </row>
    <row r="815" ht="15.75" customHeight="1">
      <c r="C815" s="1"/>
    </row>
    <row r="816" ht="15.75" customHeight="1">
      <c r="C816" s="1"/>
    </row>
    <row r="817" ht="15.75" customHeight="1">
      <c r="C817" s="1"/>
    </row>
    <row r="818" ht="15.75" customHeight="1">
      <c r="C818" s="1"/>
    </row>
    <row r="819" ht="15.75" customHeight="1">
      <c r="C819" s="1"/>
    </row>
    <row r="820" ht="15.75" customHeight="1">
      <c r="C820" s="1"/>
    </row>
    <row r="821" ht="15.75" customHeight="1">
      <c r="C821" s="1"/>
    </row>
    <row r="822" ht="15.75" customHeight="1">
      <c r="C822" s="1"/>
    </row>
    <row r="823" ht="15.75" customHeight="1">
      <c r="C823" s="1"/>
    </row>
    <row r="824" ht="15.75" customHeight="1">
      <c r="C824" s="1"/>
    </row>
    <row r="825" ht="15.75" customHeight="1">
      <c r="C825" s="1"/>
    </row>
    <row r="826" ht="15.75" customHeight="1">
      <c r="C826" s="1"/>
    </row>
    <row r="827" ht="15.75" customHeight="1">
      <c r="C827" s="1"/>
    </row>
    <row r="828" ht="15.75" customHeight="1">
      <c r="C828" s="1"/>
    </row>
    <row r="829" ht="15.75" customHeight="1">
      <c r="C829" s="1"/>
    </row>
    <row r="830" ht="15.75" customHeight="1">
      <c r="C830" s="1"/>
    </row>
    <row r="831" ht="15.75" customHeight="1">
      <c r="C831" s="1"/>
    </row>
    <row r="832" ht="15.75" customHeight="1">
      <c r="C832" s="1"/>
    </row>
    <row r="833" ht="15.75" customHeight="1">
      <c r="C833" s="1"/>
    </row>
    <row r="834" ht="15.75" customHeight="1">
      <c r="C834" s="1"/>
    </row>
    <row r="835" ht="15.75" customHeight="1">
      <c r="C835" s="1"/>
    </row>
    <row r="836" ht="15.75" customHeight="1">
      <c r="C836" s="1"/>
    </row>
    <row r="837" ht="15.75" customHeight="1">
      <c r="C837" s="1"/>
    </row>
    <row r="838" ht="15.75" customHeight="1">
      <c r="C838" s="1"/>
    </row>
    <row r="839" ht="15.75" customHeight="1">
      <c r="C839" s="1"/>
    </row>
    <row r="840" ht="15.75" customHeight="1">
      <c r="C840" s="1"/>
    </row>
    <row r="841" ht="15.75" customHeight="1">
      <c r="C841" s="1"/>
    </row>
    <row r="842" ht="15.75" customHeight="1">
      <c r="C842" s="1"/>
    </row>
    <row r="843" ht="15.75" customHeight="1">
      <c r="C843" s="1"/>
    </row>
    <row r="844" ht="15.75" customHeight="1">
      <c r="C844" s="1"/>
    </row>
    <row r="845" ht="15.75" customHeight="1">
      <c r="C845" s="1"/>
    </row>
    <row r="846" ht="15.75" customHeight="1">
      <c r="C846" s="1"/>
    </row>
    <row r="847" ht="15.75" customHeight="1">
      <c r="C847" s="1"/>
    </row>
    <row r="848" ht="15.75" customHeight="1">
      <c r="C848" s="1"/>
    </row>
    <row r="849" ht="15.75" customHeight="1">
      <c r="C849" s="1"/>
    </row>
    <row r="850" ht="15.75" customHeight="1">
      <c r="C850" s="1"/>
    </row>
    <row r="851" ht="15.75" customHeight="1">
      <c r="C851" s="1"/>
    </row>
    <row r="852" ht="15.75" customHeight="1">
      <c r="C852" s="1"/>
    </row>
    <row r="853" ht="15.75" customHeight="1">
      <c r="C853" s="1"/>
    </row>
    <row r="854" ht="15.75" customHeight="1">
      <c r="C854" s="1"/>
    </row>
    <row r="855" ht="15.75" customHeight="1">
      <c r="C855" s="1"/>
    </row>
    <row r="856" ht="15.75" customHeight="1">
      <c r="C856" s="1"/>
    </row>
    <row r="857" ht="15.75" customHeight="1">
      <c r="C857" s="1"/>
    </row>
    <row r="858" ht="15.75" customHeight="1">
      <c r="C858" s="1"/>
    </row>
    <row r="859" ht="15.75" customHeight="1">
      <c r="C859" s="1"/>
    </row>
    <row r="860" ht="15.75" customHeight="1">
      <c r="C860" s="1"/>
    </row>
    <row r="861" ht="15.75" customHeight="1">
      <c r="C861" s="1"/>
    </row>
    <row r="862" ht="15.75" customHeight="1">
      <c r="C862" s="1"/>
    </row>
    <row r="863" ht="15.75" customHeight="1">
      <c r="C863" s="1"/>
    </row>
    <row r="864" ht="15.75" customHeight="1">
      <c r="C864" s="1"/>
    </row>
    <row r="865" ht="15.75" customHeight="1">
      <c r="C865" s="1"/>
    </row>
    <row r="866" ht="15.75" customHeight="1">
      <c r="C866" s="1"/>
    </row>
    <row r="867" ht="15.75" customHeight="1">
      <c r="C867" s="1"/>
    </row>
    <row r="868" ht="15.75" customHeight="1">
      <c r="C868" s="1"/>
    </row>
    <row r="869" ht="15.75" customHeight="1">
      <c r="C869" s="1"/>
    </row>
    <row r="870" ht="15.75" customHeight="1">
      <c r="C870" s="1"/>
    </row>
    <row r="871" ht="15.75" customHeight="1">
      <c r="C871" s="1"/>
    </row>
    <row r="872" ht="15.75" customHeight="1">
      <c r="C872" s="1"/>
    </row>
    <row r="873" ht="15.75" customHeight="1">
      <c r="C873" s="1"/>
    </row>
    <row r="874" ht="15.75" customHeight="1">
      <c r="C874" s="1"/>
    </row>
    <row r="875" ht="15.75" customHeight="1">
      <c r="C875" s="1"/>
    </row>
    <row r="876" ht="15.75" customHeight="1">
      <c r="C876" s="1"/>
    </row>
    <row r="877" ht="15.75" customHeight="1">
      <c r="C877" s="1"/>
    </row>
    <row r="878" ht="15.75" customHeight="1">
      <c r="C878" s="1"/>
    </row>
    <row r="879" ht="15.75" customHeight="1">
      <c r="C879" s="1"/>
    </row>
    <row r="880" ht="15.75" customHeight="1">
      <c r="C880" s="1"/>
    </row>
    <row r="881" ht="15.75" customHeight="1">
      <c r="C881" s="1"/>
    </row>
    <row r="882" ht="15.75" customHeight="1">
      <c r="C882" s="1"/>
    </row>
    <row r="883" ht="15.75" customHeight="1">
      <c r="C883" s="1"/>
    </row>
    <row r="884" ht="15.75" customHeight="1">
      <c r="C884" s="1"/>
    </row>
    <row r="885" ht="15.75" customHeight="1">
      <c r="C885" s="1"/>
    </row>
    <row r="886" ht="15.75" customHeight="1">
      <c r="C886" s="1"/>
    </row>
    <row r="887" ht="15.75" customHeight="1">
      <c r="C887" s="1"/>
    </row>
    <row r="888" ht="15.75" customHeight="1">
      <c r="C888" s="1"/>
    </row>
    <row r="889" ht="15.75" customHeight="1">
      <c r="C889" s="1"/>
    </row>
    <row r="890" ht="15.75" customHeight="1">
      <c r="C890" s="1"/>
    </row>
    <row r="891" ht="15.75" customHeight="1">
      <c r="C891" s="1"/>
    </row>
    <row r="892" ht="15.75" customHeight="1">
      <c r="C892" s="1"/>
    </row>
    <row r="893" ht="15.75" customHeight="1">
      <c r="C893" s="1"/>
    </row>
    <row r="894" ht="15.75" customHeight="1">
      <c r="C894" s="1"/>
    </row>
    <row r="895" ht="15.75" customHeight="1">
      <c r="C895" s="1"/>
    </row>
    <row r="896" ht="15.75" customHeight="1">
      <c r="C896" s="1"/>
    </row>
    <row r="897" ht="15.75" customHeight="1">
      <c r="C897" s="1"/>
    </row>
    <row r="898" ht="15.75" customHeight="1">
      <c r="C898" s="1"/>
    </row>
    <row r="899" ht="15.75" customHeight="1">
      <c r="C899" s="1"/>
    </row>
    <row r="900" ht="15.75" customHeight="1">
      <c r="C900" s="1"/>
    </row>
    <row r="901" ht="15.75" customHeight="1">
      <c r="C901" s="1"/>
    </row>
    <row r="902" ht="15.75" customHeight="1">
      <c r="C902" s="1"/>
    </row>
    <row r="903" ht="15.75" customHeight="1">
      <c r="C903" s="1"/>
    </row>
    <row r="904" ht="15.75" customHeight="1">
      <c r="C904" s="1"/>
    </row>
    <row r="905" ht="15.75" customHeight="1">
      <c r="C905" s="1"/>
    </row>
    <row r="906" ht="15.75" customHeight="1">
      <c r="C906" s="1"/>
    </row>
    <row r="907" ht="15.75" customHeight="1">
      <c r="C907" s="1"/>
    </row>
    <row r="908" ht="15.75" customHeight="1">
      <c r="C908" s="1"/>
    </row>
    <row r="909" ht="15.75" customHeight="1">
      <c r="C909" s="1"/>
    </row>
    <row r="910" ht="15.75" customHeight="1">
      <c r="C910" s="1"/>
    </row>
    <row r="911" ht="15.75" customHeight="1">
      <c r="C911" s="1"/>
    </row>
    <row r="912" ht="15.75" customHeight="1">
      <c r="C912" s="1"/>
    </row>
    <row r="913" ht="15.75" customHeight="1">
      <c r="C913" s="1"/>
    </row>
    <row r="914" ht="15.75" customHeight="1">
      <c r="C914" s="1"/>
    </row>
    <row r="915" ht="15.75" customHeight="1">
      <c r="C915" s="1"/>
    </row>
    <row r="916" ht="15.75" customHeight="1">
      <c r="C916" s="1"/>
    </row>
    <row r="917" ht="15.75" customHeight="1">
      <c r="C917" s="1"/>
    </row>
    <row r="918" ht="15.75" customHeight="1">
      <c r="C918" s="1"/>
    </row>
    <row r="919" ht="15.75" customHeight="1">
      <c r="C919" s="1"/>
    </row>
    <row r="920" ht="15.75" customHeight="1">
      <c r="C920" s="1"/>
    </row>
    <row r="921" ht="15.75" customHeight="1">
      <c r="C921" s="1"/>
    </row>
    <row r="922" ht="15.75" customHeight="1">
      <c r="C922" s="1"/>
    </row>
    <row r="923" ht="15.75" customHeight="1">
      <c r="C923" s="1"/>
    </row>
    <row r="924" ht="15.75" customHeight="1">
      <c r="C924" s="1"/>
    </row>
    <row r="925" ht="15.75" customHeight="1">
      <c r="C925" s="1"/>
    </row>
    <row r="926" ht="15.75" customHeight="1">
      <c r="C926" s="1"/>
    </row>
    <row r="927" ht="15.75" customHeight="1">
      <c r="C927" s="1"/>
    </row>
    <row r="928" ht="15.75" customHeight="1">
      <c r="C928" s="1"/>
    </row>
    <row r="929" ht="15.75" customHeight="1">
      <c r="C929" s="1"/>
    </row>
    <row r="930" ht="15.75" customHeight="1">
      <c r="C930" s="1"/>
    </row>
    <row r="931" ht="15.75" customHeight="1">
      <c r="C931" s="1"/>
    </row>
    <row r="932" ht="15.75" customHeight="1">
      <c r="C932" s="1"/>
    </row>
    <row r="933" ht="15.75" customHeight="1">
      <c r="C933" s="1"/>
    </row>
    <row r="934" ht="15.75" customHeight="1">
      <c r="C934" s="1"/>
    </row>
    <row r="935" ht="15.75" customHeight="1">
      <c r="C935" s="1"/>
    </row>
    <row r="936" ht="15.75" customHeight="1">
      <c r="C936" s="1"/>
    </row>
    <row r="937" ht="15.75" customHeight="1">
      <c r="C937" s="1"/>
    </row>
    <row r="938" ht="15.75" customHeight="1">
      <c r="C938" s="1"/>
    </row>
    <row r="939" ht="15.75" customHeight="1">
      <c r="C939" s="1"/>
    </row>
    <row r="940" ht="15.75" customHeight="1">
      <c r="C940" s="1"/>
    </row>
    <row r="941" ht="15.75" customHeight="1">
      <c r="C941" s="1"/>
    </row>
    <row r="942" ht="15.75" customHeight="1">
      <c r="C942" s="1"/>
    </row>
    <row r="943" ht="15.75" customHeight="1">
      <c r="C943" s="1"/>
    </row>
    <row r="944" ht="15.75" customHeight="1">
      <c r="C944" s="1"/>
    </row>
    <row r="945" ht="15.75" customHeight="1">
      <c r="C945" s="1"/>
    </row>
    <row r="946" ht="15.75" customHeight="1">
      <c r="C946" s="1"/>
    </row>
    <row r="947" ht="15.75" customHeight="1">
      <c r="C947" s="1"/>
    </row>
    <row r="948" ht="15.75" customHeight="1">
      <c r="C948" s="1"/>
    </row>
    <row r="949" ht="15.75" customHeight="1">
      <c r="C949" s="1"/>
    </row>
    <row r="950" ht="15.75" customHeight="1">
      <c r="C950" s="1"/>
    </row>
    <row r="951" ht="15.75" customHeight="1">
      <c r="C951" s="1"/>
    </row>
    <row r="952" ht="15.75" customHeight="1">
      <c r="C952" s="1"/>
    </row>
    <row r="953" ht="15.75" customHeight="1">
      <c r="C953" s="1"/>
    </row>
    <row r="954" ht="15.75" customHeight="1">
      <c r="C954" s="1"/>
    </row>
    <row r="955" ht="15.75" customHeight="1">
      <c r="C955" s="1"/>
    </row>
    <row r="956" ht="15.75" customHeight="1">
      <c r="C956" s="1"/>
    </row>
    <row r="957" ht="15.75" customHeight="1">
      <c r="C957" s="1"/>
    </row>
    <row r="958" ht="15.75" customHeight="1">
      <c r="C958" s="1"/>
    </row>
    <row r="959" ht="15.75" customHeight="1">
      <c r="C959" s="1"/>
    </row>
    <row r="960" ht="15.75" customHeight="1">
      <c r="C960" s="1"/>
    </row>
    <row r="961" ht="15.75" customHeight="1">
      <c r="C961" s="1"/>
    </row>
    <row r="962" ht="15.75" customHeight="1">
      <c r="C962" s="1"/>
    </row>
    <row r="963" ht="15.75" customHeight="1">
      <c r="C963" s="1"/>
    </row>
    <row r="964" ht="15.75" customHeight="1">
      <c r="C964" s="1"/>
    </row>
    <row r="965" ht="15.75" customHeight="1">
      <c r="C965" s="1"/>
    </row>
    <row r="966" ht="15.75" customHeight="1">
      <c r="C966" s="1"/>
    </row>
    <row r="967" ht="15.75" customHeight="1">
      <c r="C967" s="1"/>
    </row>
    <row r="968" ht="15.75" customHeight="1">
      <c r="C968" s="1"/>
    </row>
    <row r="969" ht="15.75" customHeight="1">
      <c r="C969" s="1"/>
    </row>
    <row r="970" ht="15.75" customHeight="1">
      <c r="C970" s="1"/>
    </row>
    <row r="971" ht="15.75" customHeight="1">
      <c r="C971" s="1"/>
    </row>
    <row r="972" ht="15.75" customHeight="1">
      <c r="C972" s="1"/>
    </row>
    <row r="973" ht="15.75" customHeight="1">
      <c r="C973" s="1"/>
    </row>
    <row r="974" ht="15.75" customHeight="1">
      <c r="C974" s="1"/>
    </row>
    <row r="975" ht="15.75" customHeight="1">
      <c r="C975" s="1"/>
    </row>
    <row r="976" ht="15.75" customHeight="1">
      <c r="C976" s="1"/>
    </row>
    <row r="977" ht="15.75" customHeight="1">
      <c r="C977" s="1"/>
    </row>
    <row r="978" ht="15.75" customHeight="1">
      <c r="C978" s="1"/>
    </row>
    <row r="979" ht="15.75" customHeight="1">
      <c r="C979" s="1"/>
    </row>
    <row r="980" ht="15.75" customHeight="1">
      <c r="C980" s="1"/>
    </row>
    <row r="981" ht="15.75" customHeight="1">
      <c r="C981" s="1"/>
    </row>
    <row r="982" ht="15.75" customHeight="1">
      <c r="C982" s="1"/>
    </row>
    <row r="983" ht="15.75" customHeight="1">
      <c r="C983" s="1"/>
    </row>
    <row r="984" ht="15.75" customHeight="1">
      <c r="C984" s="1"/>
    </row>
    <row r="985" ht="15.75" customHeight="1">
      <c r="C985" s="1"/>
    </row>
    <row r="986" ht="15.75" customHeight="1">
      <c r="C986" s="1"/>
    </row>
    <row r="987" ht="15.75" customHeight="1">
      <c r="C987" s="1"/>
    </row>
    <row r="988" ht="15.75" customHeight="1">
      <c r="C988" s="1"/>
    </row>
    <row r="989" ht="15.75" customHeight="1">
      <c r="C989" s="1"/>
    </row>
    <row r="990" ht="15.75" customHeight="1">
      <c r="C990" s="1"/>
    </row>
    <row r="991" ht="15.75" customHeight="1">
      <c r="C991" s="1"/>
    </row>
    <row r="992" ht="15.75" customHeight="1">
      <c r="C992" s="1"/>
    </row>
    <row r="993" ht="15.75" customHeight="1">
      <c r="C993" s="1"/>
    </row>
    <row r="994" ht="15.75" customHeight="1">
      <c r="C994" s="1"/>
    </row>
    <row r="995" ht="15.75" customHeight="1">
      <c r="C995" s="1"/>
    </row>
    <row r="996" ht="15.75" customHeight="1">
      <c r="C996" s="1"/>
    </row>
    <row r="997" ht="15.75" customHeight="1">
      <c r="C997" s="1"/>
    </row>
    <row r="998" ht="15.75" customHeight="1">
      <c r="C998" s="1"/>
    </row>
    <row r="999" ht="15.75" customHeight="1">
      <c r="C999" s="1"/>
    </row>
    <row r="1000" ht="15.75" customHeight="1">
      <c r="C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16.44"/>
    <col customWidth="1" min="7" max="7" width="9.0"/>
    <col customWidth="1" min="8" max="8" width="2.44"/>
    <col customWidth="1" min="9" max="9" width="8.78"/>
    <col customWidth="1" min="10" max="10" width="8.67"/>
    <col customWidth="1" min="11" max="11" width="11.33"/>
    <col customWidth="1" min="12" max="12" width="4.78"/>
    <col customWidth="1" min="13" max="13" width="5.56"/>
    <col customWidth="1" min="14" max="14" width="8.78"/>
    <col customWidth="1" min="15" max="15" width="12.44"/>
    <col customWidth="1" min="16" max="16" width="6.33"/>
    <col customWidth="1" min="17" max="17" width="14.78"/>
    <col customWidth="1" min="18" max="18" width="6.0"/>
    <col customWidth="1" min="19" max="19" width="12.67"/>
    <col customWidth="1" min="20" max="20" width="2.22"/>
    <col customWidth="1" min="21" max="21" width="8.78"/>
    <col customWidth="1" min="22" max="22" width="12.44"/>
    <col customWidth="1" min="23" max="23" width="6.33"/>
    <col customWidth="1" min="24" max="24" width="14.78"/>
    <col customWidth="1" min="25" max="25" width="6.0"/>
    <col customWidth="1" min="26" max="26" width="12.67"/>
    <col customWidth="1" min="27" max="27" width="2.22"/>
    <col customWidth="1" min="28" max="28" width="8.78"/>
    <col customWidth="1" min="29" max="29" width="12.44"/>
    <col customWidth="1" min="30" max="30" width="6.33"/>
    <col customWidth="1" min="31" max="31" width="14.78"/>
    <col customWidth="1" min="32" max="32" width="6.0"/>
    <col customWidth="1" min="33" max="33" width="12.67"/>
    <col customWidth="1" min="34" max="34" width="2.22"/>
    <col customWidth="1" min="35" max="35" width="8.78"/>
    <col customWidth="1" min="36" max="36" width="12.44"/>
    <col customWidth="1" min="37" max="37" width="6.33"/>
    <col customWidth="1" min="38" max="38" width="14.78"/>
    <col customWidth="1" min="39" max="39" width="6.0"/>
    <col customWidth="1" min="40" max="40" width="12.67"/>
    <col customWidth="1" min="41" max="41" width="2.22"/>
    <col customWidth="1" min="42" max="42" width="8.78"/>
    <col customWidth="1" min="43" max="43" width="12.44"/>
    <col customWidth="1" min="44" max="44" width="6.33"/>
    <col customWidth="1" min="45" max="45" width="14.78"/>
    <col customWidth="1" min="46" max="46" width="6.0"/>
    <col customWidth="1" min="47" max="47" width="12.67"/>
    <col customWidth="1" min="48" max="48" width="2.22"/>
    <col customWidth="1" min="49" max="49" width="8.78"/>
    <col customWidth="1" min="50" max="50" width="12.44"/>
    <col customWidth="1" min="51" max="51" width="6.33"/>
    <col customWidth="1" min="52" max="52" width="14.78"/>
    <col customWidth="1" min="53" max="53" width="6.0"/>
    <col customWidth="1" min="54" max="54" width="12.67"/>
    <col customWidth="1" min="55" max="55" width="3.33"/>
    <col customWidth="1" min="56" max="56" width="8.78"/>
    <col customWidth="1" min="57" max="57" width="12.44"/>
    <col customWidth="1" min="58" max="58" width="6.33"/>
    <col customWidth="1" min="59" max="59" width="14.78"/>
    <col customWidth="1" min="60" max="60" width="6.0"/>
    <col customWidth="1" min="61" max="61" width="12.67"/>
    <col customWidth="1" min="62" max="62" width="2.22"/>
    <col customWidth="1" min="63" max="63" width="8.78"/>
    <col customWidth="1" min="64" max="64" width="12.44"/>
    <col customWidth="1" min="65" max="65" width="6.33"/>
    <col customWidth="1" min="66" max="66" width="14.78"/>
    <col customWidth="1" min="67" max="67" width="6.0"/>
    <col customWidth="1" min="68" max="68" width="12.67"/>
    <col customWidth="1" min="69" max="69" width="2.22"/>
    <col customWidth="1" min="70" max="70" width="8.78"/>
    <col customWidth="1" min="71" max="71" width="12.44"/>
    <col customWidth="1" min="72" max="72" width="6.33"/>
    <col customWidth="1" min="73" max="73" width="14.78"/>
    <col customWidth="1" min="74" max="74" width="6.0"/>
    <col customWidth="1" min="75" max="75" width="12.67"/>
    <col customWidth="1" min="76" max="76" width="2.22"/>
    <col customWidth="1" min="77" max="77" width="8.78"/>
    <col customWidth="1" min="78" max="78" width="12.44"/>
    <col customWidth="1" min="79" max="79" width="6.33"/>
    <col customWidth="1" min="80" max="80" width="14.78"/>
    <col customWidth="1" min="81" max="81" width="6.0"/>
    <col customWidth="1" min="82" max="82" width="12.67"/>
    <col customWidth="1" min="83" max="83" width="2.22"/>
    <col customWidth="1" min="84" max="84" width="8.78"/>
    <col customWidth="1" min="85" max="85" width="12.44"/>
    <col customWidth="1" min="86" max="86" width="6.33"/>
    <col customWidth="1" min="87" max="87" width="14.78"/>
    <col customWidth="1" min="88" max="88" width="6.0"/>
    <col customWidth="1" min="89" max="89" width="12.67"/>
    <col customWidth="1" min="90" max="90" width="2.22"/>
    <col customWidth="1" min="91" max="91" width="8.78"/>
    <col customWidth="1" min="92" max="92" width="12.44"/>
    <col customWidth="1" min="93" max="93" width="6.33"/>
    <col customWidth="1" min="94" max="94" width="14.78"/>
    <col customWidth="1" min="95" max="95" width="6.0"/>
    <col customWidth="1" min="96" max="96" width="12.67"/>
    <col customWidth="1" min="97" max="97" width="2.22"/>
    <col customWidth="1" min="98" max="98" width="8.78"/>
    <col customWidth="1" min="99" max="99" width="12.44"/>
    <col customWidth="1" min="100" max="100" width="6.33"/>
    <col customWidth="1" min="101" max="101" width="14.78"/>
    <col customWidth="1" min="102" max="102" width="6.0"/>
    <col customWidth="1" min="103" max="103" width="12.67"/>
    <col customWidth="1" min="104" max="104" width="2.22"/>
    <col customWidth="1" min="105" max="105" width="8.78"/>
    <col customWidth="1" min="106" max="106" width="12.44"/>
    <col customWidth="1" min="107" max="107" width="6.33"/>
    <col customWidth="1" min="108" max="108" width="14.78"/>
    <col customWidth="1" min="109" max="109" width="6.0"/>
    <col customWidth="1" min="110" max="110" width="12.67"/>
    <col customWidth="1" min="111" max="111" width="2.22"/>
    <col customWidth="1" min="112" max="112" width="8.78"/>
    <col customWidth="1" min="113" max="113" width="12.44"/>
    <col customWidth="1" min="114" max="114" width="6.33"/>
    <col customWidth="1" min="115" max="115" width="14.78"/>
    <col customWidth="1" min="116" max="116" width="6.0"/>
    <col customWidth="1" min="117" max="117" width="12.67"/>
    <col customWidth="1" min="118" max="118" width="2.22"/>
    <col customWidth="1" min="119" max="119" width="8.78"/>
    <col customWidth="1" min="120" max="120" width="12.44"/>
    <col customWidth="1" min="121" max="121" width="6.33"/>
    <col customWidth="1" min="122" max="122" width="14.78"/>
    <col customWidth="1" min="123" max="123" width="6.0"/>
    <col customWidth="1" min="124" max="124" width="12.67"/>
    <col customWidth="1" min="125" max="125" width="2.22"/>
    <col customWidth="1" min="126" max="126" width="8.78"/>
    <col customWidth="1" min="127" max="127" width="12.44"/>
    <col customWidth="1" min="128" max="128" width="6.33"/>
    <col customWidth="1" min="129" max="129" width="14.78"/>
    <col customWidth="1" min="130" max="130" width="6.0"/>
    <col customWidth="1" min="131" max="131" width="12.67"/>
    <col customWidth="1" min="132" max="132" width="2.22"/>
  </cols>
  <sheetData>
    <row r="1" ht="15.75" customHeight="1">
      <c r="A1" s="5" t="s">
        <v>19</v>
      </c>
      <c r="B1" s="7" t="s">
        <v>20</v>
      </c>
      <c r="C1" s="8"/>
      <c r="D1" s="7"/>
      <c r="G1" s="9"/>
      <c r="I1" s="10" t="s">
        <v>21</v>
      </c>
      <c r="J1" s="9"/>
      <c r="K1" s="10" t="s">
        <v>22</v>
      </c>
      <c r="L1" s="5" t="s">
        <v>23</v>
      </c>
      <c r="AB1" s="5" t="s">
        <v>24</v>
      </c>
      <c r="BJ1" s="11"/>
      <c r="BN1" s="5" t="s">
        <v>25</v>
      </c>
      <c r="BX1" s="11"/>
      <c r="CE1" s="11"/>
      <c r="CL1" s="11"/>
      <c r="CS1" s="11"/>
      <c r="CZ1" s="11"/>
      <c r="DG1" s="11"/>
      <c r="DN1" s="11"/>
      <c r="DU1" s="11"/>
    </row>
    <row r="2" ht="15.75" customHeight="1">
      <c r="C2" s="8"/>
      <c r="I2" s="12" t="s">
        <v>26</v>
      </c>
      <c r="J2" s="13"/>
      <c r="K2" s="13"/>
      <c r="L2" s="14"/>
      <c r="N2" s="15" t="s">
        <v>27</v>
      </c>
      <c r="O2" s="13"/>
      <c r="P2" s="13"/>
      <c r="Q2" s="13"/>
      <c r="R2" s="13"/>
      <c r="S2" s="14"/>
      <c r="U2" s="15" t="s">
        <v>28</v>
      </c>
      <c r="V2" s="13"/>
      <c r="W2" s="13"/>
      <c r="X2" s="13"/>
      <c r="Y2" s="13"/>
      <c r="Z2" s="14"/>
      <c r="AB2" s="15" t="s">
        <v>29</v>
      </c>
      <c r="AC2" s="13"/>
      <c r="AD2" s="13"/>
      <c r="AE2" s="13"/>
      <c r="AF2" s="13"/>
      <c r="AG2" s="14"/>
      <c r="AI2" s="15" t="s">
        <v>30</v>
      </c>
      <c r="AJ2" s="13"/>
      <c r="AK2" s="13"/>
      <c r="AL2" s="13"/>
      <c r="AM2" s="13"/>
      <c r="AN2" s="14"/>
      <c r="AP2" s="15" t="s">
        <v>31</v>
      </c>
      <c r="AQ2" s="13"/>
      <c r="AR2" s="13"/>
      <c r="AS2" s="13"/>
      <c r="AT2" s="13"/>
      <c r="AU2" s="14"/>
      <c r="AW2" s="15" t="s">
        <v>32</v>
      </c>
      <c r="AX2" s="13"/>
      <c r="AY2" s="13"/>
      <c r="AZ2" s="13"/>
      <c r="BA2" s="13"/>
      <c r="BB2" s="14"/>
      <c r="BD2" s="15" t="s">
        <v>33</v>
      </c>
      <c r="BE2" s="13"/>
      <c r="BF2" s="13"/>
      <c r="BG2" s="13"/>
      <c r="BH2" s="13"/>
      <c r="BI2" s="14"/>
      <c r="BJ2" s="16"/>
      <c r="BK2" s="15" t="s">
        <v>34</v>
      </c>
      <c r="BL2" s="13"/>
      <c r="BM2" s="13"/>
      <c r="BN2" s="13"/>
      <c r="BO2" s="13"/>
      <c r="BP2" s="14"/>
      <c r="BR2" s="17" t="s">
        <v>35</v>
      </c>
      <c r="BS2" s="13"/>
      <c r="BT2" s="13"/>
      <c r="BU2" s="13"/>
      <c r="BV2" s="13"/>
      <c r="BW2" s="14"/>
      <c r="BX2" s="16"/>
      <c r="BY2" s="15" t="s">
        <v>36</v>
      </c>
      <c r="BZ2" s="13"/>
      <c r="CA2" s="13"/>
      <c r="CB2" s="13"/>
      <c r="CC2" s="13"/>
      <c r="CD2" s="14"/>
      <c r="CE2" s="16"/>
      <c r="CF2" s="15" t="s">
        <v>37</v>
      </c>
      <c r="CG2" s="13"/>
      <c r="CH2" s="13"/>
      <c r="CI2" s="13"/>
      <c r="CJ2" s="13"/>
      <c r="CK2" s="14"/>
      <c r="CL2" s="16"/>
      <c r="CM2" s="15" t="s">
        <v>38</v>
      </c>
      <c r="CN2" s="13"/>
      <c r="CO2" s="13"/>
      <c r="CP2" s="13"/>
      <c r="CQ2" s="13"/>
      <c r="CR2" s="14"/>
      <c r="CS2" s="16"/>
      <c r="CT2" s="15" t="s">
        <v>39</v>
      </c>
      <c r="CU2" s="13"/>
      <c r="CV2" s="13"/>
      <c r="CW2" s="13"/>
      <c r="CX2" s="13"/>
      <c r="CY2" s="14"/>
      <c r="CZ2" s="16"/>
      <c r="DA2" s="18" t="s">
        <v>40</v>
      </c>
      <c r="DB2" s="13"/>
      <c r="DC2" s="13"/>
      <c r="DD2" s="13"/>
      <c r="DE2" s="13"/>
      <c r="DF2" s="14"/>
      <c r="DG2" s="16"/>
      <c r="DH2" s="15" t="s">
        <v>41</v>
      </c>
      <c r="DI2" s="13"/>
      <c r="DJ2" s="13"/>
      <c r="DK2" s="13"/>
      <c r="DL2" s="13"/>
      <c r="DM2" s="14"/>
      <c r="DN2" s="16"/>
      <c r="DO2" s="15" t="s">
        <v>42</v>
      </c>
      <c r="DP2" s="13"/>
      <c r="DQ2" s="13"/>
      <c r="DR2" s="13"/>
      <c r="DS2" s="13"/>
      <c r="DT2" s="14"/>
      <c r="DU2" s="16"/>
      <c r="DV2" s="17" t="s">
        <v>43</v>
      </c>
      <c r="DW2" s="13"/>
      <c r="DX2" s="13"/>
      <c r="DY2" s="13"/>
      <c r="DZ2" s="13"/>
      <c r="EA2" s="14"/>
    </row>
    <row r="3" ht="15.75" customHeight="1">
      <c r="B3" s="19" t="s">
        <v>44</v>
      </c>
      <c r="C3" s="20" t="s">
        <v>45</v>
      </c>
      <c r="D3" s="21" t="s">
        <v>46</v>
      </c>
      <c r="E3" s="22" t="s">
        <v>47</v>
      </c>
      <c r="F3" s="21" t="s">
        <v>48</v>
      </c>
      <c r="G3" s="21" t="s">
        <v>49</v>
      </c>
      <c r="I3" s="22" t="s">
        <v>50</v>
      </c>
      <c r="J3" s="23" t="s">
        <v>51</v>
      </c>
      <c r="K3" s="23" t="s">
        <v>52</v>
      </c>
      <c r="L3" s="22" t="s">
        <v>53</v>
      </c>
      <c r="N3" s="19" t="s">
        <v>50</v>
      </c>
      <c r="O3" s="19" t="s">
        <v>51</v>
      </c>
      <c r="P3" s="19" t="s">
        <v>54</v>
      </c>
      <c r="Q3" s="19" t="s">
        <v>52</v>
      </c>
      <c r="R3" s="19" t="s">
        <v>54</v>
      </c>
      <c r="S3" s="19" t="s">
        <v>53</v>
      </c>
      <c r="U3" s="19" t="s">
        <v>50</v>
      </c>
      <c r="V3" s="19" t="s">
        <v>51</v>
      </c>
      <c r="W3" s="19" t="s">
        <v>54</v>
      </c>
      <c r="X3" s="19" t="s">
        <v>52</v>
      </c>
      <c r="Y3" s="19" t="s">
        <v>54</v>
      </c>
      <c r="Z3" s="19" t="s">
        <v>53</v>
      </c>
      <c r="AB3" s="19" t="s">
        <v>50</v>
      </c>
      <c r="AC3" s="19" t="s">
        <v>51</v>
      </c>
      <c r="AD3" s="19" t="s">
        <v>54</v>
      </c>
      <c r="AE3" s="19" t="s">
        <v>52</v>
      </c>
      <c r="AF3" s="19" t="s">
        <v>54</v>
      </c>
      <c r="AG3" s="19" t="s">
        <v>53</v>
      </c>
      <c r="AI3" s="19" t="s">
        <v>50</v>
      </c>
      <c r="AJ3" s="19" t="s">
        <v>51</v>
      </c>
      <c r="AK3" s="19" t="s">
        <v>54</v>
      </c>
      <c r="AL3" s="19" t="s">
        <v>52</v>
      </c>
      <c r="AM3" s="19" t="s">
        <v>54</v>
      </c>
      <c r="AN3" s="19" t="s">
        <v>53</v>
      </c>
      <c r="AP3" s="19" t="s">
        <v>50</v>
      </c>
      <c r="AQ3" s="19" t="s">
        <v>51</v>
      </c>
      <c r="AR3" s="19" t="s">
        <v>54</v>
      </c>
      <c r="AS3" s="19" t="s">
        <v>52</v>
      </c>
      <c r="AT3" s="19" t="s">
        <v>54</v>
      </c>
      <c r="AU3" s="19" t="s">
        <v>53</v>
      </c>
      <c r="AW3" s="19" t="s">
        <v>50</v>
      </c>
      <c r="AX3" s="19" t="s">
        <v>51</v>
      </c>
      <c r="AY3" s="19" t="s">
        <v>54</v>
      </c>
      <c r="AZ3" s="19" t="s">
        <v>52</v>
      </c>
      <c r="BA3" s="19" t="s">
        <v>54</v>
      </c>
      <c r="BB3" s="19" t="s">
        <v>53</v>
      </c>
      <c r="BD3" s="19" t="s">
        <v>50</v>
      </c>
      <c r="BE3" s="19" t="s">
        <v>51</v>
      </c>
      <c r="BF3" s="19" t="s">
        <v>54</v>
      </c>
      <c r="BG3" s="19" t="s">
        <v>52</v>
      </c>
      <c r="BH3" s="19" t="s">
        <v>54</v>
      </c>
      <c r="BI3" s="19" t="s">
        <v>53</v>
      </c>
      <c r="BJ3" s="16"/>
      <c r="BK3" s="19" t="s">
        <v>50</v>
      </c>
      <c r="BL3" s="19" t="s">
        <v>51</v>
      </c>
      <c r="BM3" s="19" t="s">
        <v>54</v>
      </c>
      <c r="BN3" s="19" t="s">
        <v>52</v>
      </c>
      <c r="BO3" s="19" t="s">
        <v>54</v>
      </c>
      <c r="BP3" s="19" t="s">
        <v>53</v>
      </c>
      <c r="BR3" s="19" t="s">
        <v>50</v>
      </c>
      <c r="BS3" s="19" t="s">
        <v>51</v>
      </c>
      <c r="BT3" s="19" t="s">
        <v>54</v>
      </c>
      <c r="BU3" s="19" t="s">
        <v>52</v>
      </c>
      <c r="BV3" s="19" t="s">
        <v>54</v>
      </c>
      <c r="BW3" s="19" t="s">
        <v>53</v>
      </c>
      <c r="BX3" s="16"/>
      <c r="BY3" s="19" t="s">
        <v>50</v>
      </c>
      <c r="BZ3" s="19" t="s">
        <v>51</v>
      </c>
      <c r="CA3" s="19" t="s">
        <v>54</v>
      </c>
      <c r="CB3" s="19" t="s">
        <v>52</v>
      </c>
      <c r="CC3" s="19" t="s">
        <v>54</v>
      </c>
      <c r="CD3" s="19" t="s">
        <v>53</v>
      </c>
      <c r="CE3" s="16"/>
      <c r="CF3" s="19" t="s">
        <v>50</v>
      </c>
      <c r="CG3" s="19" t="s">
        <v>51</v>
      </c>
      <c r="CH3" s="19" t="s">
        <v>54</v>
      </c>
      <c r="CI3" s="19" t="s">
        <v>52</v>
      </c>
      <c r="CJ3" s="19" t="s">
        <v>54</v>
      </c>
      <c r="CK3" s="19" t="s">
        <v>53</v>
      </c>
      <c r="CL3" s="16"/>
      <c r="CM3" s="19" t="s">
        <v>50</v>
      </c>
      <c r="CN3" s="19" t="s">
        <v>51</v>
      </c>
      <c r="CO3" s="19" t="s">
        <v>54</v>
      </c>
      <c r="CP3" s="19" t="s">
        <v>52</v>
      </c>
      <c r="CQ3" s="19" t="s">
        <v>54</v>
      </c>
      <c r="CR3" s="19" t="s">
        <v>53</v>
      </c>
      <c r="CS3" s="16"/>
      <c r="CT3" s="19" t="s">
        <v>50</v>
      </c>
      <c r="CU3" s="19" t="s">
        <v>51</v>
      </c>
      <c r="CV3" s="19" t="s">
        <v>54</v>
      </c>
      <c r="CW3" s="19" t="s">
        <v>52</v>
      </c>
      <c r="CX3" s="19" t="s">
        <v>54</v>
      </c>
      <c r="CY3" s="19" t="s">
        <v>53</v>
      </c>
      <c r="CZ3" s="16"/>
      <c r="DA3" s="19" t="s">
        <v>50</v>
      </c>
      <c r="DB3" s="19" t="s">
        <v>51</v>
      </c>
      <c r="DC3" s="19" t="s">
        <v>54</v>
      </c>
      <c r="DD3" s="19" t="s">
        <v>52</v>
      </c>
      <c r="DE3" s="19" t="s">
        <v>54</v>
      </c>
      <c r="DF3" s="19" t="s">
        <v>53</v>
      </c>
      <c r="DG3" s="16"/>
      <c r="DH3" s="19" t="s">
        <v>50</v>
      </c>
      <c r="DI3" s="19" t="s">
        <v>51</v>
      </c>
      <c r="DJ3" s="19" t="s">
        <v>54</v>
      </c>
      <c r="DK3" s="19" t="s">
        <v>52</v>
      </c>
      <c r="DL3" s="19" t="s">
        <v>54</v>
      </c>
      <c r="DM3" s="19" t="s">
        <v>53</v>
      </c>
      <c r="DN3" s="16"/>
      <c r="DO3" s="19" t="s">
        <v>50</v>
      </c>
      <c r="DP3" s="19" t="s">
        <v>51</v>
      </c>
      <c r="DQ3" s="19" t="s">
        <v>54</v>
      </c>
      <c r="DR3" s="19" t="s">
        <v>52</v>
      </c>
      <c r="DS3" s="19" t="s">
        <v>54</v>
      </c>
      <c r="DT3" s="19" t="s">
        <v>53</v>
      </c>
      <c r="DU3" s="16"/>
      <c r="DV3" s="19" t="s">
        <v>50</v>
      </c>
      <c r="DW3" s="19" t="s">
        <v>51</v>
      </c>
      <c r="DX3" s="19" t="s">
        <v>54</v>
      </c>
      <c r="DY3" s="19" t="s">
        <v>52</v>
      </c>
      <c r="DZ3" s="19" t="s">
        <v>54</v>
      </c>
      <c r="EA3" s="19" t="s">
        <v>53</v>
      </c>
    </row>
    <row r="4" ht="15.75" customHeight="1">
      <c r="B4" s="6" t="s">
        <v>26</v>
      </c>
      <c r="C4" s="24" t="s">
        <v>55</v>
      </c>
      <c r="D4" s="25">
        <v>44917.0</v>
      </c>
      <c r="E4" s="26">
        <v>6.0</v>
      </c>
      <c r="G4" s="27">
        <f>+SUM(G5:G12)</f>
        <v>1</v>
      </c>
      <c r="I4" s="28">
        <f>+SUM(I5:I12)</f>
        <v>0</v>
      </c>
      <c r="J4" s="29">
        <f>+SUMPRODUCT(G5:G12,J5:J12)</f>
        <v>0.05</v>
      </c>
      <c r="K4" s="29">
        <f>+SUMPRODUCT(G5:G12,K5:K12)</f>
        <v>0.05</v>
      </c>
      <c r="L4" s="26"/>
      <c r="N4" s="28">
        <f>SUM(N5:N12)</f>
        <v>0</v>
      </c>
      <c r="O4" s="28"/>
      <c r="P4" s="28"/>
      <c r="Q4" s="28"/>
      <c r="R4" s="28"/>
      <c r="S4" s="28"/>
      <c r="T4" s="28"/>
      <c r="U4" s="28">
        <f>SUM(U5:U12)</f>
        <v>0</v>
      </c>
      <c r="AB4" s="28">
        <f>SUM(AB5:AB12)</f>
        <v>0</v>
      </c>
      <c r="AI4" s="28">
        <f>SUM(AI5:AI12)</f>
        <v>0</v>
      </c>
      <c r="AP4" s="28">
        <f>SUM(AP5:AP12)</f>
        <v>0</v>
      </c>
      <c r="AW4" s="28">
        <f>SUM(AW5:AW12)</f>
        <v>0</v>
      </c>
      <c r="BD4" s="28">
        <f>SUM(BD5:BD12)</f>
        <v>0</v>
      </c>
      <c r="BJ4" s="11"/>
      <c r="BK4" s="28">
        <f>SUM(BK5:BK12)</f>
        <v>0</v>
      </c>
      <c r="BR4" s="28">
        <f>SUM(BR5:BR12)</f>
        <v>0</v>
      </c>
      <c r="BX4" s="11"/>
      <c r="BY4" s="28">
        <f>SUM(BY5:BY12)</f>
        <v>0</v>
      </c>
      <c r="CE4" s="11"/>
      <c r="CF4" s="28">
        <f>SUM(CF5:CF12)</f>
        <v>0</v>
      </c>
      <c r="CL4" s="11"/>
      <c r="CM4" s="28">
        <f>SUM(CM5:CM12)</f>
        <v>0</v>
      </c>
      <c r="CS4" s="11"/>
      <c r="CT4" s="28">
        <f>SUM(CT5:CT12)</f>
        <v>0</v>
      </c>
      <c r="CZ4" s="11"/>
      <c r="DA4" s="28">
        <f>SUM(DA5:DA12)</f>
        <v>0</v>
      </c>
      <c r="DG4" s="11"/>
      <c r="DH4" s="28">
        <f>SUM(DH5:DH12)</f>
        <v>0</v>
      </c>
      <c r="DN4" s="11"/>
      <c r="DO4" s="28">
        <f>SUM(DO5:DO12)</f>
        <v>0</v>
      </c>
      <c r="DU4" s="11"/>
      <c r="DV4" s="28"/>
    </row>
    <row r="5" ht="15.75" customHeight="1" outlineLevel="1">
      <c r="B5" s="6" t="s">
        <v>56</v>
      </c>
      <c r="C5" s="24" t="s">
        <v>55</v>
      </c>
      <c r="E5" s="26"/>
      <c r="F5" s="5" t="s">
        <v>57</v>
      </c>
      <c r="G5" s="27">
        <v>0.1</v>
      </c>
      <c r="I5" s="26">
        <f t="shared" ref="I5:I12" si="1">+SUMIF($N$3:$ACS$3,I$3,$N5:$ACS5)</f>
        <v>0</v>
      </c>
      <c r="J5" s="29">
        <f t="array" ref="J5">MAX(IF($N$3:$HA$3=$J$3,N5:HA5))</f>
        <v>0.1</v>
      </c>
      <c r="K5" s="29">
        <f t="array" ref="K5">MAX(IF($N$3:$HA$3=$J$3,N5:HA5))</f>
        <v>0.1</v>
      </c>
      <c r="L5" s="26"/>
      <c r="O5" s="30"/>
      <c r="P5" s="30"/>
      <c r="Q5" s="27"/>
      <c r="R5" s="27"/>
      <c r="V5" s="30">
        <v>0.1</v>
      </c>
      <c r="W5" s="30">
        <v>0.5</v>
      </c>
      <c r="X5" s="30">
        <v>0.4</v>
      </c>
      <c r="Y5" s="30">
        <v>0.5</v>
      </c>
      <c r="AC5" s="30"/>
      <c r="AD5" s="30">
        <v>0.5</v>
      </c>
      <c r="AE5" s="27"/>
      <c r="AF5" s="30">
        <v>0.5</v>
      </c>
      <c r="AJ5" s="30"/>
      <c r="AK5" s="30">
        <v>0.5</v>
      </c>
      <c r="AL5" s="27"/>
      <c r="AM5" s="30">
        <v>0.5</v>
      </c>
      <c r="AQ5" s="30"/>
      <c r="AR5" s="30">
        <v>0.5</v>
      </c>
      <c r="AS5" s="27"/>
      <c r="AT5" s="30">
        <v>0.5</v>
      </c>
      <c r="AX5" s="30"/>
      <c r="AY5" s="30">
        <v>0.8</v>
      </c>
      <c r="AZ5" s="27"/>
      <c r="BA5" s="30">
        <v>0.8</v>
      </c>
      <c r="BE5" s="30"/>
      <c r="BF5" s="30">
        <v>0.8</v>
      </c>
      <c r="BG5" s="27"/>
      <c r="BH5" s="30">
        <v>0.8</v>
      </c>
      <c r="BJ5" s="11"/>
      <c r="BL5" s="30"/>
      <c r="BM5" s="30">
        <v>0.8</v>
      </c>
      <c r="BN5" s="27"/>
      <c r="BO5" s="30">
        <v>0.8</v>
      </c>
      <c r="BS5" s="30"/>
      <c r="BT5" s="30">
        <v>0.8</v>
      </c>
      <c r="BU5" s="27"/>
      <c r="BV5" s="30">
        <v>0.8</v>
      </c>
      <c r="BX5" s="11"/>
      <c r="BZ5" s="30"/>
      <c r="CA5" s="30">
        <v>0.8</v>
      </c>
      <c r="CB5" s="27"/>
      <c r="CC5" s="30">
        <v>0.8</v>
      </c>
      <c r="CE5" s="11"/>
      <c r="CG5" s="30"/>
      <c r="CH5" s="30">
        <v>1.0</v>
      </c>
      <c r="CI5" s="27"/>
      <c r="CJ5" s="30">
        <v>1.0</v>
      </c>
      <c r="CL5" s="11"/>
      <c r="CN5" s="30"/>
      <c r="CO5" s="30">
        <v>1.0</v>
      </c>
      <c r="CP5" s="27"/>
      <c r="CQ5" s="30">
        <v>1.0</v>
      </c>
      <c r="CS5" s="11"/>
      <c r="CU5" s="30"/>
      <c r="CV5" s="30">
        <v>1.0</v>
      </c>
      <c r="CW5" s="27"/>
      <c r="CX5" s="30">
        <v>1.0</v>
      </c>
      <c r="CZ5" s="11"/>
      <c r="DB5" s="30"/>
      <c r="DC5" s="30">
        <v>1.0</v>
      </c>
      <c r="DD5" s="27"/>
      <c r="DE5" s="30">
        <v>1.0</v>
      </c>
      <c r="DG5" s="11"/>
      <c r="DI5" s="30"/>
      <c r="DJ5" s="30"/>
      <c r="DK5" s="27"/>
      <c r="DL5" s="27"/>
      <c r="DN5" s="11"/>
      <c r="DP5" s="30"/>
      <c r="DQ5" s="30"/>
      <c r="DR5" s="27"/>
      <c r="DS5" s="27"/>
      <c r="DU5" s="11"/>
      <c r="DW5" s="30"/>
      <c r="DX5" s="30"/>
      <c r="DY5" s="27"/>
      <c r="DZ5" s="27"/>
    </row>
    <row r="6" ht="15.75" customHeight="1" outlineLevel="1">
      <c r="B6" s="6" t="s">
        <v>56</v>
      </c>
      <c r="C6" s="24" t="s">
        <v>55</v>
      </c>
      <c r="E6" s="26"/>
      <c r="F6" s="5" t="s">
        <v>58</v>
      </c>
      <c r="G6" s="30">
        <v>0.1</v>
      </c>
      <c r="I6" s="26">
        <f t="shared" si="1"/>
        <v>0</v>
      </c>
      <c r="J6" s="29">
        <f t="array" ref="J6">MAX(IF($N$3:$HA$3=$J$3,N6:HA6))</f>
        <v>0.4</v>
      </c>
      <c r="K6" s="29">
        <f t="array" ref="K6">MAX(IF($N$3:$HA$3=$J$3,N6:HA6))</f>
        <v>0.4</v>
      </c>
      <c r="L6" s="26"/>
      <c r="O6" s="30"/>
      <c r="P6" s="27"/>
      <c r="Q6" s="27"/>
      <c r="R6" s="27"/>
      <c r="V6" s="30">
        <v>0.4</v>
      </c>
      <c r="W6" s="30">
        <v>0.5</v>
      </c>
      <c r="X6" s="30">
        <v>0.4</v>
      </c>
      <c r="Y6" s="30">
        <v>0.5</v>
      </c>
      <c r="AC6" s="30"/>
      <c r="AD6" s="30">
        <v>0.5</v>
      </c>
      <c r="AE6" s="27"/>
      <c r="AF6" s="30">
        <v>0.5</v>
      </c>
      <c r="AJ6" s="30"/>
      <c r="AK6" s="30">
        <v>0.5</v>
      </c>
      <c r="AL6" s="27"/>
      <c r="AM6" s="30">
        <v>0.5</v>
      </c>
      <c r="AQ6" s="30"/>
      <c r="AR6" s="30">
        <v>0.5</v>
      </c>
      <c r="AS6" s="27"/>
      <c r="AT6" s="30">
        <v>0.5</v>
      </c>
      <c r="AX6" s="30"/>
      <c r="AY6" s="30">
        <v>0.5</v>
      </c>
      <c r="AZ6" s="27"/>
      <c r="BA6" s="30">
        <v>0.5</v>
      </c>
      <c r="BE6" s="30"/>
      <c r="BF6" s="30">
        <v>0.8</v>
      </c>
      <c r="BG6" s="27"/>
      <c r="BH6" s="30">
        <v>0.8</v>
      </c>
      <c r="BJ6" s="11"/>
      <c r="BL6" s="30"/>
      <c r="BM6" s="30">
        <v>0.8</v>
      </c>
      <c r="BN6" s="27"/>
      <c r="BO6" s="30">
        <v>0.8</v>
      </c>
      <c r="BS6" s="30"/>
      <c r="BT6" s="30">
        <v>0.8</v>
      </c>
      <c r="BU6" s="27"/>
      <c r="BV6" s="30">
        <v>0.8</v>
      </c>
      <c r="BX6" s="11"/>
      <c r="BZ6" s="30"/>
      <c r="CA6" s="30">
        <v>0.8</v>
      </c>
      <c r="CB6" s="27"/>
      <c r="CC6" s="30">
        <v>0.8</v>
      </c>
      <c r="CE6" s="11"/>
      <c r="CG6" s="30"/>
      <c r="CH6" s="30">
        <v>0.8</v>
      </c>
      <c r="CI6" s="27"/>
      <c r="CJ6" s="30">
        <v>0.8</v>
      </c>
      <c r="CL6" s="11"/>
      <c r="CN6" s="30"/>
      <c r="CO6" s="30">
        <v>1.0</v>
      </c>
      <c r="CP6" s="27"/>
      <c r="CQ6" s="30">
        <v>1.0</v>
      </c>
      <c r="CS6" s="11"/>
      <c r="CU6" s="30"/>
      <c r="CV6" s="30">
        <v>1.0</v>
      </c>
      <c r="CW6" s="27"/>
      <c r="CX6" s="30">
        <v>1.0</v>
      </c>
      <c r="CZ6" s="11"/>
      <c r="DB6" s="30"/>
      <c r="DC6" s="30">
        <v>1.0</v>
      </c>
      <c r="DD6" s="27"/>
      <c r="DE6" s="30">
        <v>1.0</v>
      </c>
      <c r="DG6" s="11"/>
      <c r="DI6" s="30"/>
      <c r="DJ6" s="27"/>
      <c r="DK6" s="27"/>
      <c r="DL6" s="27"/>
      <c r="DN6" s="11"/>
      <c r="DP6" s="30"/>
      <c r="DQ6" s="27"/>
      <c r="DR6" s="27"/>
      <c r="DS6" s="27"/>
      <c r="DU6" s="11"/>
      <c r="DW6" s="30"/>
      <c r="DX6" s="27"/>
      <c r="DY6" s="27"/>
      <c r="DZ6" s="27"/>
    </row>
    <row r="7" ht="15.75" customHeight="1" outlineLevel="1">
      <c r="B7" s="6" t="s">
        <v>56</v>
      </c>
      <c r="C7" s="24" t="s">
        <v>55</v>
      </c>
      <c r="E7" s="26"/>
      <c r="F7" s="5" t="s">
        <v>59</v>
      </c>
      <c r="G7" s="30">
        <v>0.1</v>
      </c>
      <c r="I7" s="26">
        <f t="shared" si="1"/>
        <v>0</v>
      </c>
      <c r="J7" s="29">
        <f t="array" ref="J7">MAX(IF($N$3:$HA$3=$J$3,N7:HA7))</f>
        <v>0</v>
      </c>
      <c r="K7" s="29">
        <f t="array" ref="K7">MAX(IF($N$3:$HA$3=$J$3,N7:HA7))</f>
        <v>0</v>
      </c>
      <c r="L7" s="26"/>
      <c r="O7" s="30"/>
      <c r="P7" s="27"/>
      <c r="Q7" s="27"/>
      <c r="R7" s="27"/>
      <c r="V7" s="30"/>
      <c r="W7" s="27"/>
      <c r="X7" s="27"/>
      <c r="Y7" s="30">
        <v>0.0</v>
      </c>
      <c r="AC7" s="30"/>
      <c r="AD7" s="27"/>
      <c r="AE7" s="27"/>
      <c r="AF7" s="30">
        <v>0.0</v>
      </c>
      <c r="AJ7" s="30"/>
      <c r="AK7" s="27"/>
      <c r="AL7" s="27"/>
      <c r="AM7" s="30">
        <v>0.0</v>
      </c>
      <c r="AQ7" s="30"/>
      <c r="AR7" s="30">
        <v>0.5</v>
      </c>
      <c r="AS7" s="27"/>
      <c r="AT7" s="30">
        <v>0.5</v>
      </c>
      <c r="AX7" s="30"/>
      <c r="AY7" s="30">
        <v>0.5</v>
      </c>
      <c r="AZ7" s="27"/>
      <c r="BA7" s="30">
        <v>0.5</v>
      </c>
      <c r="BE7" s="30"/>
      <c r="BF7" s="30">
        <v>0.5</v>
      </c>
      <c r="BG7" s="27"/>
      <c r="BH7" s="30">
        <v>0.5</v>
      </c>
      <c r="BJ7" s="11"/>
      <c r="BL7" s="30"/>
      <c r="BM7" s="30">
        <v>0.8</v>
      </c>
      <c r="BN7" s="27"/>
      <c r="BO7" s="30">
        <v>0.8</v>
      </c>
      <c r="BS7" s="30"/>
      <c r="BT7" s="30">
        <v>0.8</v>
      </c>
      <c r="BU7" s="27"/>
      <c r="BV7" s="30">
        <v>0.8</v>
      </c>
      <c r="BX7" s="11"/>
      <c r="BZ7" s="30"/>
      <c r="CA7" s="30">
        <v>0.8</v>
      </c>
      <c r="CB7" s="27"/>
      <c r="CC7" s="30">
        <v>0.8</v>
      </c>
      <c r="CE7" s="11"/>
      <c r="CG7" s="30"/>
      <c r="CH7" s="30">
        <v>0.8</v>
      </c>
      <c r="CI7" s="27"/>
      <c r="CJ7" s="30">
        <v>0.8</v>
      </c>
      <c r="CL7" s="11"/>
      <c r="CN7" s="30"/>
      <c r="CO7" s="30">
        <v>0.8</v>
      </c>
      <c r="CP7" s="27"/>
      <c r="CQ7" s="30">
        <v>0.8</v>
      </c>
      <c r="CS7" s="11"/>
      <c r="CU7" s="30"/>
      <c r="CV7" s="30">
        <v>1.0</v>
      </c>
      <c r="CW7" s="27"/>
      <c r="CX7" s="30">
        <v>1.0</v>
      </c>
      <c r="CZ7" s="11"/>
      <c r="DB7" s="30"/>
      <c r="DC7" s="30">
        <v>1.0</v>
      </c>
      <c r="DD7" s="27"/>
      <c r="DE7" s="30">
        <v>1.0</v>
      </c>
      <c r="DG7" s="11"/>
      <c r="DI7" s="30"/>
      <c r="DJ7" s="27"/>
      <c r="DK7" s="27"/>
      <c r="DL7" s="27"/>
      <c r="DN7" s="11"/>
      <c r="DP7" s="30"/>
      <c r="DQ7" s="27"/>
      <c r="DR7" s="27"/>
      <c r="DS7" s="27"/>
      <c r="DU7" s="11"/>
      <c r="DW7" s="30"/>
      <c r="DX7" s="27"/>
      <c r="DY7" s="27"/>
      <c r="DZ7" s="27"/>
    </row>
    <row r="8" ht="15.75" customHeight="1" outlineLevel="1">
      <c r="B8" s="6" t="s">
        <v>56</v>
      </c>
      <c r="C8" s="24" t="s">
        <v>55</v>
      </c>
      <c r="E8" s="26"/>
      <c r="F8" s="5" t="s">
        <v>60</v>
      </c>
      <c r="G8" s="31">
        <v>0.125</v>
      </c>
      <c r="I8" s="26">
        <f t="shared" si="1"/>
        <v>0</v>
      </c>
      <c r="J8" s="29">
        <f t="array" ref="J8">MAX(IF($N$3:$HA$3=$J$3,N8:HA8))</f>
        <v>0</v>
      </c>
      <c r="K8" s="29">
        <f t="array" ref="K8">MAX(IF($N$3:$HA$3=$J$3,N8:HA8))</f>
        <v>0</v>
      </c>
      <c r="L8" s="26"/>
      <c r="O8" s="27"/>
      <c r="P8" s="27"/>
      <c r="Q8" s="27"/>
      <c r="R8" s="27"/>
      <c r="V8" s="27"/>
      <c r="W8" s="27"/>
      <c r="X8" s="27"/>
      <c r="Y8" s="30">
        <v>0.0</v>
      </c>
      <c r="AC8" s="27"/>
      <c r="AD8" s="27"/>
      <c r="AE8" s="27"/>
      <c r="AF8" s="30">
        <v>0.0</v>
      </c>
      <c r="AJ8" s="27"/>
      <c r="AK8" s="27"/>
      <c r="AL8" s="27"/>
      <c r="AM8" s="30">
        <v>0.0</v>
      </c>
      <c r="AQ8" s="27"/>
      <c r="AR8" s="30">
        <v>0.5</v>
      </c>
      <c r="AS8" s="27"/>
      <c r="AT8" s="30">
        <v>0.5</v>
      </c>
      <c r="AX8" s="27"/>
      <c r="AY8" s="30">
        <v>0.5</v>
      </c>
      <c r="AZ8" s="27"/>
      <c r="BA8" s="30">
        <v>0.5</v>
      </c>
      <c r="BE8" s="27"/>
      <c r="BF8" s="30">
        <v>0.5</v>
      </c>
      <c r="BG8" s="27"/>
      <c r="BH8" s="30">
        <v>0.5</v>
      </c>
      <c r="BJ8" s="11"/>
      <c r="BL8" s="27"/>
      <c r="BM8" s="30">
        <v>0.5</v>
      </c>
      <c r="BN8" s="27"/>
      <c r="BO8" s="30">
        <v>0.5</v>
      </c>
      <c r="BS8" s="27"/>
      <c r="BT8" s="30">
        <v>0.8</v>
      </c>
      <c r="BU8" s="27"/>
      <c r="BV8" s="30">
        <v>0.8</v>
      </c>
      <c r="BX8" s="11"/>
      <c r="BZ8" s="27"/>
      <c r="CA8" s="30">
        <v>0.8</v>
      </c>
      <c r="CB8" s="27"/>
      <c r="CC8" s="30">
        <v>0.8</v>
      </c>
      <c r="CE8" s="11"/>
      <c r="CG8" s="27"/>
      <c r="CH8" s="30">
        <v>0.8</v>
      </c>
      <c r="CI8" s="27"/>
      <c r="CJ8" s="30">
        <v>0.8</v>
      </c>
      <c r="CL8" s="11"/>
      <c r="CN8" s="27"/>
      <c r="CO8" s="30">
        <v>0.8</v>
      </c>
      <c r="CP8" s="27"/>
      <c r="CQ8" s="30">
        <v>0.8</v>
      </c>
      <c r="CS8" s="11"/>
      <c r="CU8" s="27"/>
      <c r="CV8" s="30">
        <v>1.0</v>
      </c>
      <c r="CW8" s="27"/>
      <c r="CX8" s="30">
        <v>1.0</v>
      </c>
      <c r="CZ8" s="11"/>
      <c r="DB8" s="27"/>
      <c r="DC8" s="30">
        <v>1.0</v>
      </c>
      <c r="DD8" s="27"/>
      <c r="DE8" s="30">
        <v>1.0</v>
      </c>
      <c r="DG8" s="11"/>
      <c r="DI8" s="27"/>
      <c r="DJ8" s="27"/>
      <c r="DK8" s="27"/>
      <c r="DL8" s="27"/>
      <c r="DN8" s="11"/>
      <c r="DP8" s="27"/>
      <c r="DQ8" s="27"/>
      <c r="DR8" s="27"/>
      <c r="DS8" s="27"/>
      <c r="DU8" s="11"/>
      <c r="DW8" s="27"/>
      <c r="DX8" s="27"/>
      <c r="DY8" s="27"/>
      <c r="DZ8" s="27"/>
    </row>
    <row r="9" ht="15.75" customHeight="1" outlineLevel="1">
      <c r="B9" s="6" t="s">
        <v>56</v>
      </c>
      <c r="C9" s="24" t="s">
        <v>55</v>
      </c>
      <c r="E9" s="26"/>
      <c r="F9" s="5" t="s">
        <v>61</v>
      </c>
      <c r="G9" s="31">
        <v>0.125</v>
      </c>
      <c r="I9" s="26">
        <f t="shared" si="1"/>
        <v>0</v>
      </c>
      <c r="J9" s="29">
        <f t="array" ref="J9">MAX(IF($N$3:$HA$3=$J$3,N9:HA9))</f>
        <v>0</v>
      </c>
      <c r="K9" s="29">
        <f t="array" ref="K9">MAX(IF($N$3:$HA$3=$J$3,N9:HA9))</f>
        <v>0</v>
      </c>
      <c r="L9" s="26"/>
      <c r="O9" s="27"/>
      <c r="P9" s="27"/>
      <c r="Q9" s="27"/>
      <c r="R9" s="27"/>
      <c r="V9" s="27"/>
      <c r="W9" s="27"/>
      <c r="X9" s="27"/>
      <c r="Y9" s="30">
        <v>0.0</v>
      </c>
      <c r="AC9" s="27"/>
      <c r="AD9" s="27"/>
      <c r="AE9" s="27"/>
      <c r="AF9" s="30">
        <v>0.0</v>
      </c>
      <c r="AJ9" s="27"/>
      <c r="AK9" s="27"/>
      <c r="AL9" s="27"/>
      <c r="AM9" s="30">
        <v>0.0</v>
      </c>
      <c r="AQ9" s="27"/>
      <c r="AR9" s="30">
        <v>0.0</v>
      </c>
      <c r="AS9" s="27"/>
      <c r="AT9" s="30">
        <v>0.0</v>
      </c>
      <c r="AX9" s="27"/>
      <c r="AY9" s="30">
        <v>0.5</v>
      </c>
      <c r="AZ9" s="27"/>
      <c r="BA9" s="30">
        <v>0.5</v>
      </c>
      <c r="BE9" s="27"/>
      <c r="BF9" s="30">
        <v>0.5</v>
      </c>
      <c r="BG9" s="27"/>
      <c r="BH9" s="30">
        <v>0.5</v>
      </c>
      <c r="BJ9" s="11"/>
      <c r="BL9" s="27"/>
      <c r="BM9" s="30">
        <v>0.5</v>
      </c>
      <c r="BN9" s="27"/>
      <c r="BO9" s="30">
        <v>0.5</v>
      </c>
      <c r="BS9" s="27"/>
      <c r="BT9" s="30">
        <v>0.5</v>
      </c>
      <c r="BU9" s="27"/>
      <c r="BV9" s="30">
        <v>0.5</v>
      </c>
      <c r="BX9" s="11"/>
      <c r="BZ9" s="27"/>
      <c r="CA9" s="30">
        <v>0.5</v>
      </c>
      <c r="CB9" s="27"/>
      <c r="CC9" s="30">
        <v>0.5</v>
      </c>
      <c r="CE9" s="11"/>
      <c r="CG9" s="27"/>
      <c r="CH9" s="30">
        <v>0.8</v>
      </c>
      <c r="CI9" s="27"/>
      <c r="CJ9" s="30">
        <v>0.8</v>
      </c>
      <c r="CL9" s="11"/>
      <c r="CN9" s="27"/>
      <c r="CO9" s="30">
        <v>0.8</v>
      </c>
      <c r="CP9" s="27"/>
      <c r="CQ9" s="30">
        <v>0.8</v>
      </c>
      <c r="CS9" s="11"/>
      <c r="CU9" s="27"/>
      <c r="CV9" s="30">
        <v>1.0</v>
      </c>
      <c r="CW9" s="27"/>
      <c r="CX9" s="30">
        <v>1.0</v>
      </c>
      <c r="CZ9" s="11"/>
      <c r="DB9" s="27"/>
      <c r="DC9" s="30">
        <v>1.0</v>
      </c>
      <c r="DD9" s="27"/>
      <c r="DE9" s="30">
        <v>1.0</v>
      </c>
      <c r="DG9" s="11"/>
      <c r="DI9" s="27"/>
      <c r="DJ9" s="27"/>
      <c r="DK9" s="27"/>
      <c r="DL9" s="27"/>
      <c r="DN9" s="11"/>
      <c r="DP9" s="27"/>
      <c r="DQ9" s="27"/>
      <c r="DR9" s="27"/>
      <c r="DS9" s="27"/>
      <c r="DU9" s="11"/>
      <c r="DW9" s="27"/>
      <c r="DX9" s="27"/>
      <c r="DY9" s="27"/>
      <c r="DZ9" s="27"/>
    </row>
    <row r="10" ht="15.75" customHeight="1" outlineLevel="1">
      <c r="B10" s="6" t="s">
        <v>56</v>
      </c>
      <c r="C10" s="24" t="s">
        <v>55</v>
      </c>
      <c r="E10" s="26"/>
      <c r="F10" s="5" t="s">
        <v>62</v>
      </c>
      <c r="G10" s="30">
        <v>0.15</v>
      </c>
      <c r="I10" s="26">
        <f t="shared" si="1"/>
        <v>0</v>
      </c>
      <c r="J10" s="29">
        <f t="array" ref="J10">MAX(IF($N$3:$HA$3=$J$3,N10:HA10))</f>
        <v>0</v>
      </c>
      <c r="K10" s="29">
        <f t="array" ref="K10">MAX(IF($N$3:$HA$3=$J$3,N10:HA10))</f>
        <v>0</v>
      </c>
      <c r="L10" s="26"/>
      <c r="O10" s="27"/>
      <c r="P10" s="27"/>
      <c r="Q10" s="27"/>
      <c r="R10" s="27"/>
      <c r="V10" s="27"/>
      <c r="W10" s="27"/>
      <c r="X10" s="27"/>
      <c r="Y10" s="30">
        <v>0.0</v>
      </c>
      <c r="AC10" s="27"/>
      <c r="AD10" s="27"/>
      <c r="AE10" s="27"/>
      <c r="AF10" s="30">
        <v>0.0</v>
      </c>
      <c r="AJ10" s="27"/>
      <c r="AK10" s="27"/>
      <c r="AL10" s="27"/>
      <c r="AM10" s="30">
        <v>0.0</v>
      </c>
      <c r="AQ10" s="27"/>
      <c r="AR10" s="30">
        <v>0.0</v>
      </c>
      <c r="AS10" s="27"/>
      <c r="AT10" s="30">
        <v>0.0</v>
      </c>
      <c r="AX10" s="27"/>
      <c r="AY10" s="30">
        <v>0.0</v>
      </c>
      <c r="AZ10" s="27"/>
      <c r="BA10" s="30">
        <v>0.0</v>
      </c>
      <c r="BE10" s="27"/>
      <c r="BF10" s="30">
        <v>0.5</v>
      </c>
      <c r="BG10" s="27"/>
      <c r="BH10" s="30">
        <v>0.5</v>
      </c>
      <c r="BJ10" s="11"/>
      <c r="BL10" s="27"/>
      <c r="BM10" s="30">
        <v>0.5</v>
      </c>
      <c r="BN10" s="27"/>
      <c r="BO10" s="30">
        <v>0.5</v>
      </c>
      <c r="BS10" s="27"/>
      <c r="BT10" s="30">
        <v>0.5</v>
      </c>
      <c r="BU10" s="27"/>
      <c r="BV10" s="30">
        <v>0.5</v>
      </c>
      <c r="BX10" s="11"/>
      <c r="BZ10" s="27"/>
      <c r="CA10" s="30">
        <v>0.5</v>
      </c>
      <c r="CB10" s="27"/>
      <c r="CC10" s="30">
        <v>0.5</v>
      </c>
      <c r="CE10" s="11"/>
      <c r="CG10" s="27"/>
      <c r="CH10" s="30">
        <v>0.8</v>
      </c>
      <c r="CI10" s="27"/>
      <c r="CJ10" s="30">
        <v>0.8</v>
      </c>
      <c r="CL10" s="11"/>
      <c r="CN10" s="27"/>
      <c r="CO10" s="30">
        <v>0.8</v>
      </c>
      <c r="CP10" s="27"/>
      <c r="CQ10" s="30">
        <v>0.8</v>
      </c>
      <c r="CS10" s="11"/>
      <c r="CU10" s="27"/>
      <c r="CV10" s="30">
        <v>0.8</v>
      </c>
      <c r="CW10" s="27"/>
      <c r="CX10" s="30">
        <v>0.8</v>
      </c>
      <c r="CZ10" s="11"/>
      <c r="DB10" s="27"/>
      <c r="DC10" s="30">
        <v>1.0</v>
      </c>
      <c r="DD10" s="27"/>
      <c r="DE10" s="30">
        <v>1.0</v>
      </c>
      <c r="DG10" s="11"/>
      <c r="DI10" s="27"/>
      <c r="DJ10" s="27"/>
      <c r="DK10" s="27"/>
      <c r="DL10" s="27"/>
      <c r="DN10" s="11"/>
      <c r="DP10" s="27"/>
      <c r="DQ10" s="27"/>
      <c r="DR10" s="27"/>
      <c r="DS10" s="27"/>
      <c r="DU10" s="11"/>
      <c r="DW10" s="27"/>
      <c r="DX10" s="27"/>
      <c r="DY10" s="27"/>
      <c r="DZ10" s="27"/>
    </row>
    <row r="11" ht="15.75" customHeight="1" outlineLevel="1">
      <c r="B11" s="6" t="s">
        <v>56</v>
      </c>
      <c r="C11" s="24" t="s">
        <v>55</v>
      </c>
      <c r="E11" s="26"/>
      <c r="F11" s="5" t="s">
        <v>63</v>
      </c>
      <c r="G11" s="30">
        <v>0.15</v>
      </c>
      <c r="I11" s="26">
        <f t="shared" si="1"/>
        <v>0</v>
      </c>
      <c r="J11" s="29">
        <f t="array" ref="J11">MAX(IF($N$3:$HA$3=$J$3,N11:HA11))</f>
        <v>0</v>
      </c>
      <c r="K11" s="29">
        <f t="array" ref="K11">MAX(IF($N$3:$HA$3=$J$3,N11:HA11))</f>
        <v>0</v>
      </c>
      <c r="L11" s="26"/>
      <c r="O11" s="27"/>
      <c r="P11" s="27"/>
      <c r="Q11" s="27"/>
      <c r="R11" s="27"/>
      <c r="V11" s="27"/>
      <c r="W11" s="27"/>
      <c r="X11" s="27"/>
      <c r="Y11" s="30">
        <v>0.0</v>
      </c>
      <c r="AC11" s="27"/>
      <c r="AD11" s="27"/>
      <c r="AE11" s="27"/>
      <c r="AF11" s="30">
        <v>0.0</v>
      </c>
      <c r="AJ11" s="27"/>
      <c r="AK11" s="27"/>
      <c r="AL11" s="27"/>
      <c r="AM11" s="30">
        <v>0.0</v>
      </c>
      <c r="AQ11" s="27"/>
      <c r="AR11" s="30">
        <v>0.0</v>
      </c>
      <c r="AS11" s="27"/>
      <c r="AT11" s="30">
        <v>0.0</v>
      </c>
      <c r="AX11" s="27"/>
      <c r="AY11" s="30">
        <v>0.0</v>
      </c>
      <c r="AZ11" s="27"/>
      <c r="BA11" s="30">
        <v>0.0</v>
      </c>
      <c r="BE11" s="27"/>
      <c r="BF11" s="30">
        <v>0.0</v>
      </c>
      <c r="BG11" s="27"/>
      <c r="BH11" s="30">
        <v>0.0</v>
      </c>
      <c r="BJ11" s="11"/>
      <c r="BL11" s="27"/>
      <c r="BM11" s="30">
        <v>0.5</v>
      </c>
      <c r="BN11" s="27"/>
      <c r="BO11" s="30">
        <v>0.5</v>
      </c>
      <c r="BS11" s="27"/>
      <c r="BT11" s="30">
        <v>0.5</v>
      </c>
      <c r="BU11" s="27"/>
      <c r="BV11" s="30">
        <v>0.5</v>
      </c>
      <c r="BX11" s="11"/>
      <c r="BZ11" s="27"/>
      <c r="CA11" s="30">
        <v>0.5</v>
      </c>
      <c r="CB11" s="27"/>
      <c r="CC11" s="30">
        <v>0.5</v>
      </c>
      <c r="CE11" s="11"/>
      <c r="CG11" s="27"/>
      <c r="CH11" s="30">
        <v>0.5</v>
      </c>
      <c r="CI11" s="27"/>
      <c r="CJ11" s="30">
        <v>0.5</v>
      </c>
      <c r="CL11" s="11"/>
      <c r="CN11" s="27"/>
      <c r="CO11" s="30">
        <v>0.8</v>
      </c>
      <c r="CP11" s="27"/>
      <c r="CQ11" s="30">
        <v>0.8</v>
      </c>
      <c r="CS11" s="11"/>
      <c r="CU11" s="27"/>
      <c r="CV11" s="30">
        <v>0.8</v>
      </c>
      <c r="CW11" s="27"/>
      <c r="CX11" s="30">
        <v>0.8</v>
      </c>
      <c r="CZ11" s="11"/>
      <c r="DB11" s="27"/>
      <c r="DC11" s="30">
        <v>1.0</v>
      </c>
      <c r="DD11" s="27"/>
      <c r="DE11" s="30">
        <v>1.0</v>
      </c>
      <c r="DG11" s="11"/>
      <c r="DI11" s="27"/>
      <c r="DJ11" s="27"/>
      <c r="DK11" s="27"/>
      <c r="DL11" s="27"/>
      <c r="DN11" s="11"/>
      <c r="DP11" s="27"/>
      <c r="DQ11" s="27"/>
      <c r="DR11" s="27"/>
      <c r="DS11" s="27"/>
      <c r="DU11" s="11"/>
      <c r="DW11" s="27"/>
      <c r="DX11" s="27"/>
      <c r="DY11" s="27"/>
      <c r="DZ11" s="27"/>
    </row>
    <row r="12" ht="15.75" customHeight="1" outlineLevel="1">
      <c r="B12" s="6" t="s">
        <v>56</v>
      </c>
      <c r="C12" s="24" t="s">
        <v>55</v>
      </c>
      <c r="E12" s="26"/>
      <c r="F12" s="5" t="s">
        <v>64</v>
      </c>
      <c r="G12" s="30">
        <v>0.15</v>
      </c>
      <c r="I12" s="26">
        <f t="shared" si="1"/>
        <v>0</v>
      </c>
      <c r="J12" s="29">
        <f t="array" ref="J12">MAX(IF($N$3:$HA$3=$J$3,N12:HA12))</f>
        <v>0</v>
      </c>
      <c r="K12" s="29">
        <f t="array" ref="K12">MAX(IF($N$3:$HA$3=$J$3,N12:HA12))</f>
        <v>0</v>
      </c>
      <c r="L12" s="26"/>
      <c r="O12" s="27"/>
      <c r="P12" s="27"/>
      <c r="Q12" s="27"/>
      <c r="R12" s="27"/>
      <c r="V12" s="27"/>
      <c r="W12" s="27"/>
      <c r="X12" s="27"/>
      <c r="Y12" s="30">
        <v>0.0</v>
      </c>
      <c r="AC12" s="27"/>
      <c r="AD12" s="27"/>
      <c r="AE12" s="27"/>
      <c r="AF12" s="30">
        <v>0.0</v>
      </c>
      <c r="AJ12" s="27"/>
      <c r="AK12" s="27"/>
      <c r="AL12" s="27"/>
      <c r="AM12" s="30">
        <v>0.0</v>
      </c>
      <c r="AQ12" s="27"/>
      <c r="AR12" s="30">
        <v>0.0</v>
      </c>
      <c r="AS12" s="27"/>
      <c r="AT12" s="30">
        <v>0.0</v>
      </c>
      <c r="AX12" s="27"/>
      <c r="AY12" s="30">
        <v>0.0</v>
      </c>
      <c r="AZ12" s="27"/>
      <c r="BA12" s="30">
        <v>0.0</v>
      </c>
      <c r="BE12" s="27"/>
      <c r="BF12" s="30">
        <v>0.0</v>
      </c>
      <c r="BG12" s="27"/>
      <c r="BH12" s="30">
        <v>0.0</v>
      </c>
      <c r="BJ12" s="11"/>
      <c r="BL12" s="27"/>
      <c r="BM12" s="30">
        <v>0.0</v>
      </c>
      <c r="BN12" s="27"/>
      <c r="BO12" s="30">
        <v>0.0</v>
      </c>
      <c r="BS12" s="27"/>
      <c r="BT12" s="30">
        <v>0.0</v>
      </c>
      <c r="BU12" s="27"/>
      <c r="BV12" s="30">
        <v>0.0</v>
      </c>
      <c r="BX12" s="11"/>
      <c r="BZ12" s="27"/>
      <c r="CA12" s="30">
        <v>0.5</v>
      </c>
      <c r="CB12" s="27"/>
      <c r="CC12" s="30">
        <v>0.5</v>
      </c>
      <c r="CE12" s="11"/>
      <c r="CG12" s="27"/>
      <c r="CH12" s="30">
        <v>0.5</v>
      </c>
      <c r="CI12" s="27"/>
      <c r="CJ12" s="30">
        <v>0.5</v>
      </c>
      <c r="CL12" s="11"/>
      <c r="CN12" s="27"/>
      <c r="CO12" s="30">
        <v>0.8</v>
      </c>
      <c r="CP12" s="27"/>
      <c r="CQ12" s="30">
        <v>0.8</v>
      </c>
      <c r="CS12" s="11"/>
      <c r="CU12" s="27"/>
      <c r="CV12" s="30">
        <v>0.8</v>
      </c>
      <c r="CW12" s="27"/>
      <c r="CX12" s="30">
        <v>0.8</v>
      </c>
      <c r="CZ12" s="11"/>
      <c r="DB12" s="27"/>
      <c r="DC12" s="30">
        <v>1.0</v>
      </c>
      <c r="DD12" s="27"/>
      <c r="DE12" s="30">
        <v>1.0</v>
      </c>
      <c r="DG12" s="11"/>
      <c r="DI12" s="27"/>
      <c r="DJ12" s="27"/>
      <c r="DK12" s="27"/>
      <c r="DL12" s="27"/>
      <c r="DN12" s="11"/>
      <c r="DP12" s="27"/>
      <c r="DQ12" s="27"/>
      <c r="DR12" s="27"/>
      <c r="DS12" s="27"/>
      <c r="DU12" s="11"/>
      <c r="DW12" s="27"/>
      <c r="DX12" s="27"/>
      <c r="DY12" s="27"/>
      <c r="DZ12" s="27"/>
    </row>
    <row r="13" ht="15.75" customHeight="1">
      <c r="C13" s="8"/>
      <c r="O13" s="1"/>
      <c r="V13" s="1"/>
      <c r="AC13" s="1"/>
      <c r="AJ13" s="1"/>
      <c r="AQ13" s="1"/>
      <c r="AX13" s="1"/>
      <c r="BE13" s="1"/>
      <c r="BJ13" s="11"/>
      <c r="BL13" s="1"/>
      <c r="BS13" s="1"/>
      <c r="BX13" s="11"/>
      <c r="BZ13" s="1"/>
      <c r="CE13" s="11"/>
      <c r="CG13" s="1"/>
      <c r="CL13" s="11"/>
      <c r="CN13" s="1"/>
      <c r="CS13" s="11"/>
      <c r="CU13" s="1"/>
      <c r="CZ13" s="11"/>
      <c r="DB13" s="1"/>
      <c r="DG13" s="11"/>
      <c r="DI13" s="1"/>
      <c r="DN13" s="11"/>
      <c r="DP13" s="1"/>
      <c r="DU13" s="11"/>
      <c r="DW13" s="1"/>
    </row>
    <row r="14" ht="15.75" customHeight="1">
      <c r="B14" s="6" t="s">
        <v>26</v>
      </c>
      <c r="C14" s="24" t="s">
        <v>65</v>
      </c>
      <c r="D14" s="25">
        <v>44858.0</v>
      </c>
      <c r="E14" s="32">
        <v>3.0</v>
      </c>
      <c r="G14" s="27">
        <f>+SUM(G15:G20)</f>
        <v>1</v>
      </c>
      <c r="I14" s="28">
        <f>+SUM(I15:I20)</f>
        <v>0</v>
      </c>
      <c r="J14" s="29">
        <f>+SUMPRODUCT(G15:G20,J15:J20)</f>
        <v>0.05</v>
      </c>
      <c r="K14" s="29">
        <f>+SUMPRODUCT(G15:G20,K15:K20)</f>
        <v>0.05</v>
      </c>
      <c r="L14" s="26"/>
      <c r="N14" s="28">
        <f>SUM(N15:N20)</f>
        <v>0</v>
      </c>
      <c r="U14" s="28">
        <f>SUM(U15:U20)</f>
        <v>0</v>
      </c>
      <c r="AB14" s="28">
        <f>SUM(AB15:AB20)</f>
        <v>0</v>
      </c>
      <c r="AI14" s="28">
        <f>SUM(AI15:AI20)</f>
        <v>0</v>
      </c>
      <c r="AP14" s="28">
        <f>SUM(AP15:AP20)</f>
        <v>0</v>
      </c>
      <c r="AW14" s="28">
        <f>SUM(AW15:AW20)</f>
        <v>0</v>
      </c>
      <c r="BD14" s="28">
        <f>SUM(BD15:BD20)</f>
        <v>0</v>
      </c>
      <c r="BJ14" s="11"/>
      <c r="BK14" s="28">
        <f>SUM(BK15:BK20)</f>
        <v>0</v>
      </c>
      <c r="BR14" s="28">
        <f>SUM(BR15:BR20)</f>
        <v>0</v>
      </c>
      <c r="BX14" s="11"/>
      <c r="BY14" s="28"/>
      <c r="CE14" s="11"/>
      <c r="CF14" s="28"/>
      <c r="CL14" s="11"/>
      <c r="CM14" s="28"/>
      <c r="CS14" s="11"/>
      <c r="CT14" s="28"/>
      <c r="CZ14" s="11"/>
      <c r="DA14" s="28"/>
      <c r="DG14" s="11"/>
      <c r="DH14" s="28"/>
      <c r="DN14" s="11"/>
      <c r="DO14" s="28"/>
      <c r="DU14" s="11"/>
      <c r="DV14" s="28"/>
    </row>
    <row r="15" ht="15.75" customHeight="1" outlineLevel="1">
      <c r="B15" s="6" t="s">
        <v>56</v>
      </c>
      <c r="C15" s="24" t="s">
        <v>66</v>
      </c>
      <c r="E15" s="26"/>
      <c r="F15" s="5" t="s">
        <v>67</v>
      </c>
      <c r="G15" s="30">
        <v>0.1</v>
      </c>
      <c r="I15" s="26">
        <f t="shared" ref="I15:I20" si="2">+SUMIF($N$3:$ACS$3,I$3,$N15:$ACS15)</f>
        <v>0</v>
      </c>
      <c r="J15" s="29">
        <f t="array" ref="J15">MAX(IF($N$3:$HA$3=$J$3,N15:HA15))</f>
        <v>0.5</v>
      </c>
      <c r="K15" s="29">
        <f t="array" ref="K15">MAX(IF($N$3:$HA$3=$J$3,N15:HA15))</f>
        <v>0.5</v>
      </c>
      <c r="L15" s="26"/>
      <c r="O15" s="27"/>
      <c r="P15" s="27"/>
      <c r="Q15" s="27"/>
      <c r="R15" s="27"/>
      <c r="V15" s="30">
        <v>0.5</v>
      </c>
      <c r="W15" s="30">
        <v>0.5</v>
      </c>
      <c r="X15" s="30">
        <v>0.5</v>
      </c>
      <c r="Y15" s="30">
        <v>0.5</v>
      </c>
      <c r="AC15" s="27"/>
      <c r="AD15" s="30">
        <v>0.5</v>
      </c>
      <c r="AE15" s="27"/>
      <c r="AF15" s="30">
        <v>0.5</v>
      </c>
      <c r="AJ15" s="27"/>
      <c r="AK15" s="30">
        <v>0.8</v>
      </c>
      <c r="AL15" s="27"/>
      <c r="AM15" s="30">
        <v>0.8</v>
      </c>
      <c r="AQ15" s="27"/>
      <c r="AR15" s="30">
        <v>0.8</v>
      </c>
      <c r="AS15" s="27"/>
      <c r="AT15" s="30">
        <v>0.8</v>
      </c>
      <c r="AX15" s="27"/>
      <c r="AY15" s="30">
        <v>1.0</v>
      </c>
      <c r="AZ15" s="27"/>
      <c r="BA15" s="30">
        <v>1.0</v>
      </c>
      <c r="BE15" s="27"/>
      <c r="BF15" s="30">
        <v>1.0</v>
      </c>
      <c r="BG15" s="27"/>
      <c r="BH15" s="30">
        <v>1.0</v>
      </c>
      <c r="BJ15" s="11"/>
      <c r="BL15" s="27"/>
      <c r="BM15" s="27"/>
      <c r="BN15" s="27"/>
      <c r="BO15" s="27"/>
      <c r="BS15" s="27"/>
      <c r="BT15" s="27"/>
      <c r="BU15" s="27"/>
      <c r="BV15" s="27"/>
      <c r="BX15" s="11"/>
      <c r="BZ15" s="27"/>
      <c r="CA15" s="27"/>
      <c r="CB15" s="27"/>
      <c r="CC15" s="27"/>
      <c r="CE15" s="11"/>
      <c r="CG15" s="27"/>
      <c r="CH15" s="27"/>
      <c r="CI15" s="27"/>
      <c r="CJ15" s="27"/>
      <c r="CL15" s="11"/>
      <c r="CN15" s="27"/>
      <c r="CO15" s="27"/>
      <c r="CP15" s="27"/>
      <c r="CQ15" s="27"/>
      <c r="CS15" s="11"/>
      <c r="CU15" s="27"/>
      <c r="CV15" s="27"/>
      <c r="CW15" s="27"/>
      <c r="CX15" s="27"/>
      <c r="CZ15" s="11"/>
      <c r="DB15" s="27"/>
      <c r="DC15" s="27"/>
      <c r="DD15" s="27"/>
      <c r="DE15" s="27"/>
      <c r="DG15" s="11"/>
      <c r="DI15" s="27"/>
      <c r="DJ15" s="27"/>
      <c r="DK15" s="27"/>
      <c r="DL15" s="27"/>
      <c r="DN15" s="11"/>
      <c r="DP15" s="27"/>
      <c r="DQ15" s="27"/>
      <c r="DR15" s="27"/>
      <c r="DS15" s="27"/>
      <c r="DU15" s="11"/>
      <c r="DW15" s="27"/>
      <c r="DX15" s="27"/>
      <c r="DY15" s="27"/>
      <c r="DZ15" s="27"/>
    </row>
    <row r="16" ht="15.75" customHeight="1" outlineLevel="1">
      <c r="B16" s="6" t="s">
        <v>56</v>
      </c>
      <c r="C16" s="24" t="s">
        <v>66</v>
      </c>
      <c r="E16" s="26"/>
      <c r="F16" s="5" t="s">
        <v>68</v>
      </c>
      <c r="G16" s="30">
        <v>0.1</v>
      </c>
      <c r="I16" s="26">
        <f t="shared" si="2"/>
        <v>0</v>
      </c>
      <c r="J16" s="29">
        <f t="array" ref="J16">MAX(IF($N$3:$HA$3=$J$3,N16:HA16))</f>
        <v>0</v>
      </c>
      <c r="K16" s="29">
        <f t="array" ref="K16">MAX(IF($N$3:$HA$3=$J$3,N16:HA16))</f>
        <v>0</v>
      </c>
      <c r="L16" s="26"/>
      <c r="O16" s="27"/>
      <c r="P16" s="27"/>
      <c r="Q16" s="27"/>
      <c r="R16" s="30"/>
      <c r="V16" s="27"/>
      <c r="W16" s="30">
        <v>0.5</v>
      </c>
      <c r="X16" s="27"/>
      <c r="Y16" s="30">
        <v>0.5</v>
      </c>
      <c r="AC16" s="27"/>
      <c r="AD16" s="30">
        <v>0.5</v>
      </c>
      <c r="AE16" s="27"/>
      <c r="AF16" s="30">
        <v>0.5</v>
      </c>
      <c r="AJ16" s="27"/>
      <c r="AK16" s="30">
        <v>0.8</v>
      </c>
      <c r="AL16" s="27"/>
      <c r="AM16" s="30">
        <v>0.8</v>
      </c>
      <c r="AQ16" s="27"/>
      <c r="AR16" s="30">
        <v>0.8</v>
      </c>
      <c r="AS16" s="27"/>
      <c r="AT16" s="30">
        <v>0.8</v>
      </c>
      <c r="AX16" s="27"/>
      <c r="AY16" s="30">
        <v>1.0</v>
      </c>
      <c r="AZ16" s="27"/>
      <c r="BA16" s="30">
        <v>1.0</v>
      </c>
      <c r="BE16" s="27"/>
      <c r="BF16" s="30">
        <v>1.0</v>
      </c>
      <c r="BG16" s="27"/>
      <c r="BH16" s="30">
        <v>1.0</v>
      </c>
      <c r="BJ16" s="11"/>
      <c r="BL16" s="27"/>
      <c r="BM16" s="27"/>
      <c r="BN16" s="27"/>
      <c r="BO16" s="30"/>
      <c r="BS16" s="27"/>
      <c r="BT16" s="27"/>
      <c r="BU16" s="27"/>
      <c r="BV16" s="30"/>
      <c r="BX16" s="11"/>
      <c r="BZ16" s="27"/>
      <c r="CA16" s="27"/>
      <c r="CB16" s="27"/>
      <c r="CC16" s="30"/>
      <c r="CE16" s="11"/>
      <c r="CG16" s="27"/>
      <c r="CH16" s="27"/>
      <c r="CI16" s="27"/>
      <c r="CJ16" s="30"/>
      <c r="CL16" s="11"/>
      <c r="CN16" s="27"/>
      <c r="CO16" s="27"/>
      <c r="CP16" s="27"/>
      <c r="CQ16" s="30"/>
      <c r="CS16" s="11"/>
      <c r="CU16" s="27"/>
      <c r="CV16" s="27"/>
      <c r="CW16" s="27"/>
      <c r="CX16" s="30"/>
      <c r="CZ16" s="11"/>
      <c r="DB16" s="27"/>
      <c r="DC16" s="27"/>
      <c r="DD16" s="27"/>
      <c r="DE16" s="30"/>
      <c r="DG16" s="11"/>
      <c r="DI16" s="27"/>
      <c r="DJ16" s="27"/>
      <c r="DK16" s="27"/>
      <c r="DL16" s="30"/>
      <c r="DN16" s="11"/>
      <c r="DP16" s="27"/>
      <c r="DQ16" s="27"/>
      <c r="DR16" s="27"/>
      <c r="DS16" s="30"/>
      <c r="DU16" s="11"/>
      <c r="DW16" s="27"/>
      <c r="DX16" s="27"/>
      <c r="DY16" s="27"/>
      <c r="DZ16" s="30"/>
    </row>
    <row r="17" ht="15.75" customHeight="1" outlineLevel="1">
      <c r="B17" s="6" t="s">
        <v>56</v>
      </c>
      <c r="C17" s="24" t="s">
        <v>66</v>
      </c>
      <c r="E17" s="26"/>
      <c r="F17" s="5" t="s">
        <v>69</v>
      </c>
      <c r="G17" s="30">
        <v>0.2</v>
      </c>
      <c r="I17" s="26">
        <f t="shared" si="2"/>
        <v>0</v>
      </c>
      <c r="J17" s="29">
        <f t="array" ref="J17">MAX(IF($N$3:$HA$3=$J$3,N17:HA17))</f>
        <v>0</v>
      </c>
      <c r="K17" s="29">
        <f t="array" ref="K17">MAX(IF($N$3:$HA$3=$J$3,N17:HA17))</f>
        <v>0</v>
      </c>
      <c r="L17" s="26"/>
      <c r="O17" s="27"/>
      <c r="P17" s="27"/>
      <c r="Q17" s="27"/>
      <c r="R17" s="27"/>
      <c r="V17" s="27"/>
      <c r="W17" s="27"/>
      <c r="X17" s="27"/>
      <c r="Y17" s="30">
        <v>0.0</v>
      </c>
      <c r="AC17" s="27"/>
      <c r="AD17" s="30">
        <v>0.5</v>
      </c>
      <c r="AE17" s="27"/>
      <c r="AF17" s="30">
        <v>0.5</v>
      </c>
      <c r="AJ17" s="27"/>
      <c r="AK17" s="30">
        <v>0.5</v>
      </c>
      <c r="AL17" s="27"/>
      <c r="AM17" s="30">
        <v>0.5</v>
      </c>
      <c r="AQ17" s="27"/>
      <c r="AR17" s="30">
        <v>0.8</v>
      </c>
      <c r="AS17" s="27"/>
      <c r="AT17" s="30">
        <v>0.8</v>
      </c>
      <c r="AX17" s="27"/>
      <c r="AY17" s="30">
        <v>0.8</v>
      </c>
      <c r="AZ17" s="27"/>
      <c r="BA17" s="30">
        <v>0.8</v>
      </c>
      <c r="BE17" s="27"/>
      <c r="BF17" s="30">
        <v>1.0</v>
      </c>
      <c r="BG17" s="27"/>
      <c r="BH17" s="30">
        <v>1.0</v>
      </c>
      <c r="BJ17" s="11"/>
      <c r="BL17" s="27"/>
      <c r="BM17" s="27"/>
      <c r="BN17" s="27"/>
      <c r="BO17" s="27"/>
      <c r="BS17" s="27"/>
      <c r="BT17" s="27"/>
      <c r="BU17" s="27"/>
      <c r="BV17" s="27"/>
      <c r="BX17" s="11"/>
      <c r="BZ17" s="27"/>
      <c r="CA17" s="27"/>
      <c r="CB17" s="27"/>
      <c r="CC17" s="27"/>
      <c r="CE17" s="11"/>
      <c r="CG17" s="27"/>
      <c r="CH17" s="27"/>
      <c r="CI17" s="27"/>
      <c r="CJ17" s="27"/>
      <c r="CL17" s="11"/>
      <c r="CN17" s="27"/>
      <c r="CO17" s="27"/>
      <c r="CP17" s="27"/>
      <c r="CQ17" s="27"/>
      <c r="CS17" s="11"/>
      <c r="CU17" s="27"/>
      <c r="CV17" s="27"/>
      <c r="CW17" s="27"/>
      <c r="CX17" s="27"/>
      <c r="CZ17" s="11"/>
      <c r="DB17" s="27"/>
      <c r="DC17" s="27"/>
      <c r="DD17" s="27"/>
      <c r="DE17" s="27"/>
      <c r="DG17" s="11"/>
      <c r="DI17" s="27"/>
      <c r="DJ17" s="27"/>
      <c r="DK17" s="27"/>
      <c r="DL17" s="27"/>
      <c r="DN17" s="11"/>
      <c r="DP17" s="27"/>
      <c r="DQ17" s="27"/>
      <c r="DR17" s="27"/>
      <c r="DS17" s="27"/>
      <c r="DU17" s="11"/>
      <c r="DW17" s="27"/>
      <c r="DX17" s="27"/>
      <c r="DY17" s="27"/>
      <c r="DZ17" s="27"/>
    </row>
    <row r="18" ht="15.75" customHeight="1" outlineLevel="1">
      <c r="B18" s="6" t="s">
        <v>56</v>
      </c>
      <c r="C18" s="24" t="s">
        <v>66</v>
      </c>
      <c r="E18" s="26"/>
      <c r="F18" s="5" t="s">
        <v>70</v>
      </c>
      <c r="G18" s="30">
        <v>0.2</v>
      </c>
      <c r="I18" s="26">
        <f t="shared" si="2"/>
        <v>0</v>
      </c>
      <c r="J18" s="29">
        <f t="array" ref="J18">MAX(IF($N$3:$HA$3=$J$3,N18:HA18))</f>
        <v>0</v>
      </c>
      <c r="K18" s="29">
        <f t="array" ref="K18">MAX(IF($N$3:$HA$3=$J$3,N18:HA18))</f>
        <v>0</v>
      </c>
      <c r="L18" s="26"/>
      <c r="O18" s="27"/>
      <c r="P18" s="30"/>
      <c r="Q18" s="27"/>
      <c r="R18" s="27"/>
      <c r="V18" s="27"/>
      <c r="W18" s="30"/>
      <c r="X18" s="27"/>
      <c r="Y18" s="30">
        <v>0.0</v>
      </c>
      <c r="AC18" s="27"/>
      <c r="AD18" s="30"/>
      <c r="AE18" s="27"/>
      <c r="AF18" s="30">
        <v>0.0</v>
      </c>
      <c r="AJ18" s="27"/>
      <c r="AK18" s="30">
        <v>0.5</v>
      </c>
      <c r="AL18" s="27"/>
      <c r="AM18" s="30">
        <v>0.5</v>
      </c>
      <c r="AQ18" s="27"/>
      <c r="AR18" s="30">
        <v>0.8</v>
      </c>
      <c r="AS18" s="27"/>
      <c r="AT18" s="30">
        <v>0.8</v>
      </c>
      <c r="AX18" s="27"/>
      <c r="AY18" s="30">
        <v>0.8</v>
      </c>
      <c r="AZ18" s="27"/>
      <c r="BA18" s="30">
        <v>0.8</v>
      </c>
      <c r="BE18" s="27"/>
      <c r="BF18" s="30">
        <v>1.0</v>
      </c>
      <c r="BG18" s="27"/>
      <c r="BH18" s="30">
        <v>1.0</v>
      </c>
      <c r="BJ18" s="11"/>
      <c r="BL18" s="27"/>
      <c r="BM18" s="30"/>
      <c r="BN18" s="33" t="s">
        <v>71</v>
      </c>
      <c r="BO18" s="27"/>
      <c r="BS18" s="27"/>
      <c r="BT18" s="30"/>
      <c r="BU18" s="33" t="s">
        <v>72</v>
      </c>
      <c r="BV18" s="27"/>
      <c r="BX18" s="11"/>
      <c r="BZ18" s="27"/>
      <c r="CA18" s="30"/>
      <c r="CB18" s="27"/>
      <c r="CC18" s="27"/>
      <c r="CE18" s="11"/>
      <c r="CG18" s="27"/>
      <c r="CH18" s="30"/>
      <c r="CI18" s="27"/>
      <c r="CJ18" s="27"/>
      <c r="CL18" s="11"/>
      <c r="CN18" s="27"/>
      <c r="CO18" s="30"/>
      <c r="CP18" s="27"/>
      <c r="CQ18" s="27"/>
      <c r="CS18" s="11"/>
      <c r="CU18" s="27"/>
      <c r="CV18" s="30"/>
      <c r="CW18" s="27"/>
      <c r="CX18" s="27"/>
      <c r="CZ18" s="11"/>
      <c r="DB18" s="27"/>
      <c r="DC18" s="30"/>
      <c r="DD18" s="27"/>
      <c r="DE18" s="27"/>
      <c r="DG18" s="11"/>
      <c r="DI18" s="27"/>
      <c r="DJ18" s="30"/>
      <c r="DK18" s="27"/>
      <c r="DL18" s="27"/>
      <c r="DN18" s="11"/>
      <c r="DP18" s="27"/>
      <c r="DQ18" s="30"/>
      <c r="DR18" s="27"/>
      <c r="DS18" s="27"/>
      <c r="DU18" s="11"/>
      <c r="DW18" s="27"/>
      <c r="DX18" s="30"/>
      <c r="DY18" s="27"/>
      <c r="DZ18" s="27"/>
    </row>
    <row r="19" ht="15.75" customHeight="1" outlineLevel="1">
      <c r="B19" s="6" t="s">
        <v>56</v>
      </c>
      <c r="C19" s="24" t="s">
        <v>66</v>
      </c>
      <c r="E19" s="26"/>
      <c r="F19" s="5" t="s">
        <v>73</v>
      </c>
      <c r="G19" s="30">
        <v>0.2</v>
      </c>
      <c r="I19" s="26">
        <f t="shared" si="2"/>
        <v>0</v>
      </c>
      <c r="J19" s="29">
        <f t="array" ref="J19">MAX(IF($N$3:$HA$3=$J$3,N19:HA19))</f>
        <v>0</v>
      </c>
      <c r="K19" s="29">
        <f t="array" ref="K19">MAX(IF($N$3:$HA$3=$J$3,N19:HA19))</f>
        <v>0</v>
      </c>
      <c r="L19" s="26"/>
      <c r="O19" s="27"/>
      <c r="P19" s="27"/>
      <c r="Q19" s="27"/>
      <c r="R19" s="27"/>
      <c r="V19" s="27"/>
      <c r="W19" s="27"/>
      <c r="X19" s="27"/>
      <c r="Y19" s="30">
        <v>0.0</v>
      </c>
      <c r="AC19" s="27"/>
      <c r="AD19" s="27"/>
      <c r="AE19" s="27"/>
      <c r="AF19" s="30">
        <v>0.0</v>
      </c>
      <c r="AJ19" s="27"/>
      <c r="AK19" s="27"/>
      <c r="AL19" s="27"/>
      <c r="AM19" s="30">
        <v>0.0</v>
      </c>
      <c r="AQ19" s="27"/>
      <c r="AR19" s="30">
        <v>0.5</v>
      </c>
      <c r="AS19" s="27"/>
      <c r="AT19" s="30">
        <v>0.5</v>
      </c>
      <c r="AX19" s="27"/>
      <c r="AY19" s="30">
        <v>0.8</v>
      </c>
      <c r="AZ19" s="27"/>
      <c r="BA19" s="30">
        <v>0.8</v>
      </c>
      <c r="BE19" s="27"/>
      <c r="BF19" s="30">
        <v>1.0</v>
      </c>
      <c r="BG19" s="27"/>
      <c r="BH19" s="30">
        <v>1.0</v>
      </c>
      <c r="BJ19" s="11"/>
      <c r="BL19" s="27"/>
      <c r="BM19" s="27"/>
      <c r="BN19" s="27"/>
      <c r="BO19" s="27"/>
      <c r="BS19" s="27"/>
      <c r="BT19" s="27"/>
      <c r="BU19" s="27"/>
      <c r="BV19" s="27"/>
      <c r="BX19" s="11"/>
      <c r="BZ19" s="27"/>
      <c r="CA19" s="27"/>
      <c r="CB19" s="27"/>
      <c r="CC19" s="27"/>
      <c r="CE19" s="11"/>
      <c r="CG19" s="27"/>
      <c r="CH19" s="27"/>
      <c r="CI19" s="27"/>
      <c r="CJ19" s="27"/>
      <c r="CL19" s="11"/>
      <c r="CN19" s="27"/>
      <c r="CO19" s="27"/>
      <c r="CP19" s="27"/>
      <c r="CQ19" s="27"/>
      <c r="CS19" s="11"/>
      <c r="CU19" s="27"/>
      <c r="CV19" s="27"/>
      <c r="CW19" s="27"/>
      <c r="CX19" s="27"/>
      <c r="CZ19" s="11"/>
      <c r="DB19" s="27"/>
      <c r="DC19" s="27"/>
      <c r="DD19" s="27"/>
      <c r="DE19" s="27"/>
      <c r="DG19" s="11"/>
      <c r="DI19" s="27"/>
      <c r="DJ19" s="27"/>
      <c r="DK19" s="27"/>
      <c r="DL19" s="27"/>
      <c r="DN19" s="11"/>
      <c r="DP19" s="27"/>
      <c r="DQ19" s="27"/>
      <c r="DR19" s="27"/>
      <c r="DS19" s="27"/>
      <c r="DU19" s="11"/>
      <c r="DW19" s="27"/>
      <c r="DX19" s="27"/>
      <c r="DY19" s="27"/>
      <c r="DZ19" s="27"/>
    </row>
    <row r="20" ht="15.75" customHeight="1" outlineLevel="1">
      <c r="B20" s="6" t="s">
        <v>56</v>
      </c>
      <c r="C20" s="24" t="s">
        <v>66</v>
      </c>
      <c r="E20" s="26"/>
      <c r="F20" s="5" t="s">
        <v>74</v>
      </c>
      <c r="G20" s="30">
        <v>0.2</v>
      </c>
      <c r="I20" s="26">
        <f t="shared" si="2"/>
        <v>0</v>
      </c>
      <c r="J20" s="29">
        <f t="array" ref="J20">MAX(IF($N$3:$HA$3=$J$3,N20:HA20))</f>
        <v>0</v>
      </c>
      <c r="K20" s="29">
        <f t="array" ref="K20">MAX(IF($N$3:$HA$3=$J$3,N20:HA20))</f>
        <v>0</v>
      </c>
      <c r="L20" s="26"/>
      <c r="O20" s="27"/>
      <c r="P20" s="27"/>
      <c r="Q20" s="27"/>
      <c r="R20" s="27"/>
      <c r="V20" s="27"/>
      <c r="W20" s="27"/>
      <c r="X20" s="27"/>
      <c r="Y20" s="30">
        <v>0.0</v>
      </c>
      <c r="AC20" s="27"/>
      <c r="AD20" s="27"/>
      <c r="AE20" s="27"/>
      <c r="AF20" s="30">
        <v>0.0</v>
      </c>
      <c r="AJ20" s="27"/>
      <c r="AK20" s="27"/>
      <c r="AL20" s="27"/>
      <c r="AM20" s="30">
        <v>0.0</v>
      </c>
      <c r="AQ20" s="27"/>
      <c r="AR20" s="30">
        <v>0.5</v>
      </c>
      <c r="AS20" s="27"/>
      <c r="AT20" s="30">
        <v>0.5</v>
      </c>
      <c r="AX20" s="27"/>
      <c r="AY20" s="30">
        <v>0.8</v>
      </c>
      <c r="AZ20" s="27"/>
      <c r="BA20" s="30">
        <v>0.8</v>
      </c>
      <c r="BE20" s="27"/>
      <c r="BF20" s="30">
        <v>1.0</v>
      </c>
      <c r="BG20" s="27"/>
      <c r="BH20" s="30">
        <v>1.0</v>
      </c>
      <c r="BJ20" s="11"/>
      <c r="BL20" s="27"/>
      <c r="BM20" s="27"/>
      <c r="BN20" s="27"/>
      <c r="BO20" s="27"/>
      <c r="BS20" s="27"/>
      <c r="BT20" s="27"/>
      <c r="BU20" s="27"/>
      <c r="BV20" s="27"/>
      <c r="BX20" s="11"/>
      <c r="BZ20" s="27"/>
      <c r="CA20" s="27"/>
      <c r="CB20" s="27"/>
      <c r="CC20" s="27"/>
      <c r="CE20" s="11"/>
      <c r="CG20" s="27"/>
      <c r="CH20" s="27"/>
      <c r="CI20" s="27"/>
      <c r="CJ20" s="27"/>
      <c r="CL20" s="11"/>
      <c r="CN20" s="27"/>
      <c r="CO20" s="27"/>
      <c r="CP20" s="27"/>
      <c r="CQ20" s="27"/>
      <c r="CS20" s="11"/>
      <c r="CU20" s="27"/>
      <c r="CV20" s="27"/>
      <c r="CW20" s="27"/>
      <c r="CX20" s="27"/>
      <c r="CZ20" s="11"/>
      <c r="DB20" s="27"/>
      <c r="DC20" s="27"/>
      <c r="DD20" s="27"/>
      <c r="DE20" s="27"/>
      <c r="DG20" s="11"/>
      <c r="DI20" s="27"/>
      <c r="DJ20" s="27"/>
      <c r="DK20" s="27"/>
      <c r="DL20" s="27"/>
      <c r="DN20" s="11"/>
      <c r="DP20" s="27"/>
      <c r="DQ20" s="27"/>
      <c r="DR20" s="27"/>
      <c r="DS20" s="27"/>
      <c r="DU20" s="11"/>
      <c r="DW20" s="27"/>
      <c r="DX20" s="27"/>
      <c r="DY20" s="27"/>
      <c r="DZ20" s="27"/>
    </row>
    <row r="21" ht="15.75" customHeight="1">
      <c r="C21" s="8"/>
      <c r="BJ21" s="11"/>
      <c r="BX21" s="11"/>
      <c r="CE21" s="11"/>
      <c r="CL21" s="11"/>
      <c r="CS21" s="11"/>
      <c r="CZ21" s="11"/>
      <c r="DG21" s="11"/>
      <c r="DN21" s="11"/>
      <c r="DU21" s="11"/>
    </row>
    <row r="22" ht="15.75" customHeight="1">
      <c r="B22" s="6" t="s">
        <v>26</v>
      </c>
      <c r="C22" s="24" t="s">
        <v>75</v>
      </c>
      <c r="D22" s="25">
        <v>44914.0</v>
      </c>
      <c r="E22" s="32">
        <v>3.0</v>
      </c>
      <c r="G22" s="27">
        <f>+SUM(G23:G30)</f>
        <v>1</v>
      </c>
      <c r="I22" s="28">
        <f>+SUM(I23:I30)</f>
        <v>0</v>
      </c>
      <c r="J22" s="29">
        <f>+SUMPRODUCT(G23:G30,J23:J30)</f>
        <v>0</v>
      </c>
      <c r="K22" s="29">
        <f>+SUMPRODUCT(G23:G30,K23:K30)</f>
        <v>0</v>
      </c>
      <c r="L22" s="26"/>
      <c r="N22" s="28">
        <f>SUM(N23:N30)</f>
        <v>0</v>
      </c>
      <c r="U22" s="28">
        <f>SUM(U23:U30)</f>
        <v>0</v>
      </c>
      <c r="AB22" s="28">
        <f>SUM(AB23:AB30)</f>
        <v>0</v>
      </c>
      <c r="AI22" s="28">
        <f>SUM(AI23:AI30)</f>
        <v>0</v>
      </c>
      <c r="AP22" s="28">
        <f>SUM(AP23:AP30)</f>
        <v>0</v>
      </c>
      <c r="AW22" s="28">
        <f>SUM(AW23:AW30)</f>
        <v>0</v>
      </c>
      <c r="BD22" s="28">
        <f>SUM(BD23:BD30)</f>
        <v>0</v>
      </c>
      <c r="BJ22" s="11"/>
      <c r="BK22" s="28">
        <f>SUM(BK23:BK30)</f>
        <v>0</v>
      </c>
      <c r="BR22" s="28">
        <f>SUM(BR23:BR30)</f>
        <v>0</v>
      </c>
      <c r="BX22" s="11"/>
      <c r="BY22" s="28">
        <f>SUM(BY23:BY30)</f>
        <v>0</v>
      </c>
      <c r="CE22" s="11"/>
      <c r="CF22" s="28">
        <f>SUM(CF23:CF30)</f>
        <v>0</v>
      </c>
      <c r="CL22" s="11"/>
      <c r="CM22" s="28">
        <f>SUM(CM23:CM30)</f>
        <v>0</v>
      </c>
      <c r="CS22" s="11"/>
      <c r="CT22" s="28">
        <f>SUM(CT23:CT30)</f>
        <v>0</v>
      </c>
      <c r="CZ22" s="11"/>
      <c r="DA22" s="28">
        <f>SUM(DA23:DA30)</f>
        <v>0</v>
      </c>
      <c r="DG22" s="11"/>
      <c r="DH22" s="28">
        <f>SUM(DH23:DH30)</f>
        <v>0</v>
      </c>
      <c r="DN22" s="11"/>
      <c r="DO22" s="28">
        <f>SUM(DO23:DO30)</f>
        <v>0</v>
      </c>
      <c r="DU22" s="11"/>
      <c r="DV22" s="28"/>
    </row>
    <row r="23" ht="15.75" customHeight="1" outlineLevel="1">
      <c r="B23" s="6" t="s">
        <v>56</v>
      </c>
      <c r="C23" s="24" t="s">
        <v>76</v>
      </c>
      <c r="E23" s="26"/>
      <c r="F23" s="5" t="s">
        <v>77</v>
      </c>
      <c r="G23" s="27">
        <v>0.1</v>
      </c>
      <c r="I23" s="26">
        <f t="shared" ref="I23:I30" si="3">+SUMIF($N$3:$ACS$3,I$3,$N23:$ACS23)</f>
        <v>0</v>
      </c>
      <c r="J23" s="29">
        <f t="array" ref="J23">MAX(IF($N$3:$HA$3=$J$3,N23:HA23))</f>
        <v>0</v>
      </c>
      <c r="K23" s="29">
        <f t="array" ref="K23">MAX(IF($N$3:$HA$3=$J$3,N23:HA23))</f>
        <v>0</v>
      </c>
      <c r="L23" s="26"/>
      <c r="O23" s="27"/>
      <c r="P23" s="27"/>
      <c r="Q23" s="27"/>
      <c r="R23" s="27"/>
      <c r="V23" s="27"/>
      <c r="W23" s="30">
        <v>0.5</v>
      </c>
      <c r="X23" s="27"/>
      <c r="Y23" s="30">
        <v>0.5</v>
      </c>
      <c r="AC23" s="27"/>
      <c r="AD23" s="30">
        <v>0.5</v>
      </c>
      <c r="AE23" s="27"/>
      <c r="AF23" s="30">
        <v>0.5</v>
      </c>
      <c r="AJ23" s="27"/>
      <c r="AK23" s="30">
        <v>0.8</v>
      </c>
      <c r="AL23" s="27"/>
      <c r="AM23" s="30">
        <v>0.8</v>
      </c>
      <c r="AQ23" s="27"/>
      <c r="AR23" s="30">
        <v>0.8</v>
      </c>
      <c r="AS23" s="27"/>
      <c r="AT23" s="30">
        <v>0.8</v>
      </c>
      <c r="AX23" s="27"/>
      <c r="AY23" s="30">
        <v>0.8</v>
      </c>
      <c r="AZ23" s="27"/>
      <c r="BA23" s="30">
        <v>0.8</v>
      </c>
      <c r="BE23" s="27"/>
      <c r="BF23" s="30">
        <v>0.8</v>
      </c>
      <c r="BG23" s="27"/>
      <c r="BH23" s="30">
        <v>0.8</v>
      </c>
      <c r="BJ23" s="11"/>
      <c r="BL23" s="27"/>
      <c r="BM23" s="30">
        <v>0.8</v>
      </c>
      <c r="BN23" s="27"/>
      <c r="BO23" s="30">
        <v>0.8</v>
      </c>
      <c r="BS23" s="27"/>
      <c r="BT23" s="30">
        <v>0.8</v>
      </c>
      <c r="BU23" s="27"/>
      <c r="BV23" s="30">
        <v>0.8</v>
      </c>
      <c r="BX23" s="11"/>
      <c r="BZ23" s="27"/>
      <c r="CA23" s="30">
        <v>0.8</v>
      </c>
      <c r="CB23" s="27"/>
      <c r="CC23" s="30">
        <v>0.8</v>
      </c>
      <c r="CE23" s="11"/>
      <c r="CG23" s="27"/>
      <c r="CH23" s="30">
        <v>1.0</v>
      </c>
      <c r="CI23" s="27"/>
      <c r="CJ23" s="30">
        <v>1.0</v>
      </c>
      <c r="CL23" s="11"/>
      <c r="CN23" s="27"/>
      <c r="CO23" s="30">
        <v>1.0</v>
      </c>
      <c r="CP23" s="27"/>
      <c r="CQ23" s="30">
        <v>1.0</v>
      </c>
      <c r="CS23" s="11"/>
      <c r="CU23" s="27"/>
      <c r="CV23" s="30">
        <v>1.0</v>
      </c>
      <c r="CW23" s="27"/>
      <c r="CX23" s="30">
        <v>1.0</v>
      </c>
      <c r="CZ23" s="11"/>
      <c r="DB23" s="27"/>
      <c r="DC23" s="30">
        <v>1.0</v>
      </c>
      <c r="DD23" s="27"/>
      <c r="DE23" s="30">
        <v>1.0</v>
      </c>
      <c r="DG23" s="11"/>
      <c r="DI23" s="27"/>
      <c r="DJ23" s="27"/>
      <c r="DK23" s="27"/>
      <c r="DL23" s="27"/>
      <c r="DN23" s="11"/>
      <c r="DP23" s="27"/>
      <c r="DQ23" s="27"/>
      <c r="DR23" s="27"/>
      <c r="DS23" s="27"/>
      <c r="DU23" s="11"/>
      <c r="DW23" s="27"/>
      <c r="DX23" s="27"/>
      <c r="DY23" s="27"/>
      <c r="DZ23" s="27"/>
    </row>
    <row r="24" ht="15.75" customHeight="1" outlineLevel="1">
      <c r="B24" s="6" t="s">
        <v>56</v>
      </c>
      <c r="C24" s="24" t="s">
        <v>76</v>
      </c>
      <c r="E24" s="26"/>
      <c r="F24" s="5" t="s">
        <v>78</v>
      </c>
      <c r="G24" s="30">
        <v>0.1</v>
      </c>
      <c r="I24" s="26">
        <f t="shared" si="3"/>
        <v>0</v>
      </c>
      <c r="J24" s="29">
        <f t="array" ref="J24">MAX(IF($N$3:$HA$3=$J$3,N24:HA24))</f>
        <v>0</v>
      </c>
      <c r="K24" s="29">
        <f t="array" ref="K24">MAX(IF($N$3:$HA$3=$J$3,N24:HA24))</f>
        <v>0</v>
      </c>
      <c r="L24" s="26"/>
      <c r="O24" s="27"/>
      <c r="P24" s="27"/>
      <c r="Q24" s="27"/>
      <c r="R24" s="27"/>
      <c r="V24" s="27"/>
      <c r="W24" s="30">
        <v>0.5</v>
      </c>
      <c r="X24" s="27"/>
      <c r="Y24" s="30">
        <v>0.5</v>
      </c>
      <c r="AC24" s="27"/>
      <c r="AD24" s="30">
        <v>0.5</v>
      </c>
      <c r="AE24" s="27"/>
      <c r="AF24" s="30">
        <v>0.5</v>
      </c>
      <c r="AJ24" s="27"/>
      <c r="AK24" s="30">
        <v>0.5</v>
      </c>
      <c r="AL24" s="27"/>
      <c r="AM24" s="30">
        <v>0.5</v>
      </c>
      <c r="AQ24" s="27"/>
      <c r="AR24" s="30">
        <v>0.5</v>
      </c>
      <c r="AS24" s="27"/>
      <c r="AT24" s="30">
        <v>0.5</v>
      </c>
      <c r="AX24" s="27"/>
      <c r="AY24" s="30">
        <v>0.5</v>
      </c>
      <c r="AZ24" s="27"/>
      <c r="BA24" s="30">
        <v>0.5</v>
      </c>
      <c r="BE24" s="27"/>
      <c r="BF24" s="30">
        <v>0.5</v>
      </c>
      <c r="BG24" s="27"/>
      <c r="BH24" s="30">
        <v>0.5</v>
      </c>
      <c r="BJ24" s="11"/>
      <c r="BL24" s="27"/>
      <c r="BM24" s="30">
        <v>0.8</v>
      </c>
      <c r="BN24" s="27"/>
      <c r="BO24" s="30">
        <v>0.8</v>
      </c>
      <c r="BS24" s="27"/>
      <c r="BT24" s="30">
        <v>0.8</v>
      </c>
      <c r="BU24" s="27"/>
      <c r="BV24" s="30">
        <v>0.8</v>
      </c>
      <c r="BX24" s="11"/>
      <c r="BZ24" s="27"/>
      <c r="CA24" s="30">
        <v>0.8</v>
      </c>
      <c r="CB24" s="27"/>
      <c r="CC24" s="30">
        <v>0.8</v>
      </c>
      <c r="CE24" s="11"/>
      <c r="CG24" s="27"/>
      <c r="CH24" s="30">
        <v>0.8</v>
      </c>
      <c r="CI24" s="27"/>
      <c r="CJ24" s="30">
        <v>0.8</v>
      </c>
      <c r="CL24" s="11"/>
      <c r="CN24" s="27"/>
      <c r="CO24" s="30">
        <v>1.0</v>
      </c>
      <c r="CP24" s="27"/>
      <c r="CQ24" s="30">
        <v>1.0</v>
      </c>
      <c r="CS24" s="11"/>
      <c r="CU24" s="27"/>
      <c r="CV24" s="30">
        <v>1.0</v>
      </c>
      <c r="CW24" s="27"/>
      <c r="CX24" s="30">
        <v>1.0</v>
      </c>
      <c r="CZ24" s="11"/>
      <c r="DB24" s="27"/>
      <c r="DC24" s="30">
        <v>1.0</v>
      </c>
      <c r="DD24" s="27"/>
      <c r="DE24" s="30">
        <v>1.0</v>
      </c>
      <c r="DG24" s="11"/>
      <c r="DI24" s="27"/>
      <c r="DJ24" s="27"/>
      <c r="DK24" s="27"/>
      <c r="DL24" s="27"/>
      <c r="DN24" s="11"/>
      <c r="DP24" s="27"/>
      <c r="DQ24" s="27"/>
      <c r="DR24" s="27"/>
      <c r="DS24" s="27"/>
      <c r="DU24" s="11"/>
      <c r="DW24" s="27"/>
      <c r="DX24" s="27"/>
      <c r="DY24" s="27"/>
      <c r="DZ24" s="27"/>
    </row>
    <row r="25" ht="15.75" customHeight="1" outlineLevel="1">
      <c r="B25" s="6" t="s">
        <v>56</v>
      </c>
      <c r="C25" s="24" t="s">
        <v>76</v>
      </c>
      <c r="E25" s="26"/>
      <c r="F25" s="5" t="s">
        <v>79</v>
      </c>
      <c r="G25" s="30">
        <v>0.1</v>
      </c>
      <c r="I25" s="26">
        <f t="shared" si="3"/>
        <v>0</v>
      </c>
      <c r="J25" s="29">
        <f t="array" ref="J25">MAX(IF($N$3:$HA$3=$J$3,N25:HA25))</f>
        <v>0</v>
      </c>
      <c r="K25" s="29">
        <f t="array" ref="K25">MAX(IF($N$3:$HA$3=$J$3,N25:HA25))</f>
        <v>0</v>
      </c>
      <c r="L25" s="26"/>
      <c r="O25" s="27"/>
      <c r="P25" s="27"/>
      <c r="Q25" s="27"/>
      <c r="R25" s="27"/>
      <c r="V25" s="27"/>
      <c r="W25" s="27"/>
      <c r="X25" s="27"/>
      <c r="Y25" s="30">
        <v>0.0</v>
      </c>
      <c r="AC25" s="27"/>
      <c r="AD25" s="27"/>
      <c r="AE25" s="27"/>
      <c r="AF25" s="30">
        <v>0.0</v>
      </c>
      <c r="AJ25" s="27"/>
      <c r="AK25" s="30">
        <v>0.5</v>
      </c>
      <c r="AL25" s="27"/>
      <c r="AM25" s="30">
        <v>0.5</v>
      </c>
      <c r="AQ25" s="27"/>
      <c r="AR25" s="30">
        <v>0.5</v>
      </c>
      <c r="AS25" s="27"/>
      <c r="AT25" s="30">
        <v>0.5</v>
      </c>
      <c r="AX25" s="27"/>
      <c r="AY25" s="30">
        <v>0.5</v>
      </c>
      <c r="AZ25" s="27"/>
      <c r="BA25" s="30">
        <v>0.5</v>
      </c>
      <c r="BE25" s="27"/>
      <c r="BF25" s="30">
        <v>0.5</v>
      </c>
      <c r="BG25" s="27"/>
      <c r="BH25" s="30">
        <v>0.5</v>
      </c>
      <c r="BJ25" s="11"/>
      <c r="BL25" s="27"/>
      <c r="BM25" s="30">
        <v>0.5</v>
      </c>
      <c r="BN25" s="27"/>
      <c r="BO25" s="30">
        <v>0.5</v>
      </c>
      <c r="BS25" s="27"/>
      <c r="BT25" s="30">
        <v>0.8</v>
      </c>
      <c r="BU25" s="27"/>
      <c r="BV25" s="30">
        <v>0.8</v>
      </c>
      <c r="BX25" s="11"/>
      <c r="BZ25" s="27"/>
      <c r="CA25" s="30">
        <v>0.8</v>
      </c>
      <c r="CB25" s="27"/>
      <c r="CC25" s="30">
        <v>0.8</v>
      </c>
      <c r="CE25" s="11"/>
      <c r="CG25" s="27"/>
      <c r="CH25" s="30">
        <v>0.8</v>
      </c>
      <c r="CI25" s="27"/>
      <c r="CJ25" s="30">
        <v>0.8</v>
      </c>
      <c r="CL25" s="11"/>
      <c r="CN25" s="27"/>
      <c r="CO25" s="30">
        <v>0.8</v>
      </c>
      <c r="CP25" s="27"/>
      <c r="CQ25" s="30">
        <v>0.8</v>
      </c>
      <c r="CS25" s="11"/>
      <c r="CU25" s="27"/>
      <c r="CV25" s="30">
        <v>1.0</v>
      </c>
      <c r="CW25" s="27"/>
      <c r="CX25" s="30">
        <v>1.0</v>
      </c>
      <c r="CZ25" s="11"/>
      <c r="DB25" s="27"/>
      <c r="DC25" s="30">
        <v>1.0</v>
      </c>
      <c r="DD25" s="27"/>
      <c r="DE25" s="30">
        <v>1.0</v>
      </c>
      <c r="DG25" s="11"/>
      <c r="DI25" s="27"/>
      <c r="DJ25" s="27"/>
      <c r="DK25" s="27"/>
      <c r="DL25" s="27"/>
      <c r="DN25" s="11"/>
      <c r="DP25" s="27"/>
      <c r="DQ25" s="27"/>
      <c r="DR25" s="27"/>
      <c r="DS25" s="27"/>
      <c r="DU25" s="11"/>
      <c r="DW25" s="27"/>
      <c r="DX25" s="27"/>
      <c r="DY25" s="27"/>
      <c r="DZ25" s="27"/>
    </row>
    <row r="26" ht="15.75" customHeight="1" outlineLevel="1">
      <c r="B26" s="6" t="s">
        <v>56</v>
      </c>
      <c r="C26" s="24" t="s">
        <v>76</v>
      </c>
      <c r="E26" s="26"/>
      <c r="F26" s="5" t="s">
        <v>80</v>
      </c>
      <c r="G26" s="30">
        <v>0.1</v>
      </c>
      <c r="I26" s="26">
        <f t="shared" si="3"/>
        <v>0</v>
      </c>
      <c r="J26" s="29">
        <f t="array" ref="J26">MAX(IF($N$3:$HA$3=$J$3,N26:HA26))</f>
        <v>0</v>
      </c>
      <c r="K26" s="29">
        <f t="array" ref="K26">MAX(IF($N$3:$HA$3=$J$3,N26:HA26))</f>
        <v>0</v>
      </c>
      <c r="L26" s="26"/>
      <c r="O26" s="27"/>
      <c r="P26" s="27"/>
      <c r="Q26" s="27"/>
      <c r="R26" s="27"/>
      <c r="V26" s="27"/>
      <c r="W26" s="27"/>
      <c r="X26" s="27"/>
      <c r="Y26" s="30">
        <v>0.0</v>
      </c>
      <c r="AC26" s="27"/>
      <c r="AD26" s="27"/>
      <c r="AE26" s="27"/>
      <c r="AF26" s="30">
        <v>0.0</v>
      </c>
      <c r="AJ26" s="27"/>
      <c r="AK26" s="27"/>
      <c r="AL26" s="27"/>
      <c r="AM26" s="30">
        <v>0.0</v>
      </c>
      <c r="AQ26" s="27"/>
      <c r="AR26" s="30">
        <v>0.5</v>
      </c>
      <c r="AS26" s="27"/>
      <c r="AT26" s="30">
        <v>0.5</v>
      </c>
      <c r="AX26" s="27"/>
      <c r="AY26" s="30">
        <v>0.5</v>
      </c>
      <c r="AZ26" s="27"/>
      <c r="BA26" s="30">
        <v>0.5</v>
      </c>
      <c r="BE26" s="27"/>
      <c r="BF26" s="30">
        <v>0.5</v>
      </c>
      <c r="BG26" s="27"/>
      <c r="BH26" s="30">
        <v>0.5</v>
      </c>
      <c r="BJ26" s="11"/>
      <c r="BL26" s="27"/>
      <c r="BM26" s="30">
        <v>0.5</v>
      </c>
      <c r="BN26" s="27"/>
      <c r="BO26" s="30">
        <v>0.5</v>
      </c>
      <c r="BS26" s="27"/>
      <c r="BT26" s="30">
        <v>0.5</v>
      </c>
      <c r="BU26" s="27"/>
      <c r="BV26" s="30">
        <v>0.5</v>
      </c>
      <c r="BX26" s="11"/>
      <c r="BZ26" s="27"/>
      <c r="CA26" s="30">
        <v>0.8</v>
      </c>
      <c r="CB26" s="27"/>
      <c r="CC26" s="30">
        <v>0.8</v>
      </c>
      <c r="CE26" s="11"/>
      <c r="CG26" s="27"/>
      <c r="CH26" s="30">
        <v>0.8</v>
      </c>
      <c r="CI26" s="27"/>
      <c r="CJ26" s="30">
        <v>0.8</v>
      </c>
      <c r="CL26" s="11"/>
      <c r="CN26" s="27"/>
      <c r="CO26" s="30">
        <v>0.8</v>
      </c>
      <c r="CP26" s="27"/>
      <c r="CQ26" s="30">
        <v>0.8</v>
      </c>
      <c r="CS26" s="11"/>
      <c r="CU26" s="27"/>
      <c r="CV26" s="30">
        <v>1.0</v>
      </c>
      <c r="CW26" s="27"/>
      <c r="CX26" s="30">
        <v>1.0</v>
      </c>
      <c r="CZ26" s="11"/>
      <c r="DB26" s="27"/>
      <c r="DC26" s="30">
        <v>1.0</v>
      </c>
      <c r="DD26" s="27"/>
      <c r="DE26" s="30">
        <v>1.0</v>
      </c>
      <c r="DG26" s="11"/>
      <c r="DI26" s="27"/>
      <c r="DJ26" s="27"/>
      <c r="DK26" s="27"/>
      <c r="DL26" s="27"/>
      <c r="DN26" s="11"/>
      <c r="DP26" s="27"/>
      <c r="DQ26" s="27"/>
      <c r="DR26" s="27"/>
      <c r="DS26" s="27"/>
      <c r="DU26" s="11"/>
      <c r="DW26" s="27"/>
      <c r="DX26" s="27"/>
      <c r="DY26" s="27"/>
      <c r="DZ26" s="27"/>
    </row>
    <row r="27" ht="15.75" customHeight="1" outlineLevel="1">
      <c r="B27" s="6" t="s">
        <v>56</v>
      </c>
      <c r="C27" s="24" t="s">
        <v>76</v>
      </c>
      <c r="E27" s="26"/>
      <c r="F27" s="5" t="s">
        <v>81</v>
      </c>
      <c r="G27" s="30">
        <v>0.15</v>
      </c>
      <c r="I27" s="26">
        <f t="shared" si="3"/>
        <v>0</v>
      </c>
      <c r="J27" s="29">
        <f t="array" ref="J27">MAX(IF($N$3:$HA$3=$J$3,N27:HA27))</f>
        <v>0</v>
      </c>
      <c r="K27" s="29">
        <f t="array" ref="K27">MAX(IF($N$3:$HA$3=$J$3,N27:HA27))</f>
        <v>0</v>
      </c>
      <c r="L27" s="26"/>
      <c r="O27" s="27"/>
      <c r="P27" s="27"/>
      <c r="Q27" s="27"/>
      <c r="R27" s="27"/>
      <c r="V27" s="27"/>
      <c r="W27" s="27"/>
      <c r="X27" s="27"/>
      <c r="Y27" s="30">
        <v>0.0</v>
      </c>
      <c r="AC27" s="27"/>
      <c r="AD27" s="27"/>
      <c r="AE27" s="27"/>
      <c r="AF27" s="30">
        <v>0.0</v>
      </c>
      <c r="AJ27" s="27"/>
      <c r="AK27" s="27"/>
      <c r="AL27" s="27"/>
      <c r="AM27" s="30">
        <v>0.0</v>
      </c>
      <c r="AQ27" s="27"/>
      <c r="AR27" s="30">
        <v>0.0</v>
      </c>
      <c r="AS27" s="27"/>
      <c r="AT27" s="30">
        <v>0.0</v>
      </c>
      <c r="AX27" s="27"/>
      <c r="AY27" s="30">
        <v>0.5</v>
      </c>
      <c r="AZ27" s="27"/>
      <c r="BA27" s="30">
        <v>0.5</v>
      </c>
      <c r="BE27" s="27"/>
      <c r="BF27" s="30">
        <v>0.5</v>
      </c>
      <c r="BG27" s="27"/>
      <c r="BH27" s="30">
        <v>0.5</v>
      </c>
      <c r="BJ27" s="11"/>
      <c r="BL27" s="27"/>
      <c r="BM27" s="30">
        <v>0.5</v>
      </c>
      <c r="BN27" s="27"/>
      <c r="BO27" s="30">
        <v>0.5</v>
      </c>
      <c r="BS27" s="27"/>
      <c r="BT27" s="30">
        <v>0.5</v>
      </c>
      <c r="BU27" s="27"/>
      <c r="BV27" s="30">
        <v>0.5</v>
      </c>
      <c r="BX27" s="11"/>
      <c r="BZ27" s="27"/>
      <c r="CA27" s="30">
        <v>0.5</v>
      </c>
      <c r="CB27" s="27"/>
      <c r="CC27" s="30">
        <v>0.5</v>
      </c>
      <c r="CE27" s="11"/>
      <c r="CG27" s="27"/>
      <c r="CH27" s="30">
        <v>0.8</v>
      </c>
      <c r="CI27" s="27"/>
      <c r="CJ27" s="30">
        <v>0.8</v>
      </c>
      <c r="CL27" s="11"/>
      <c r="CN27" s="27"/>
      <c r="CO27" s="30">
        <v>0.8</v>
      </c>
      <c r="CP27" s="27"/>
      <c r="CQ27" s="30">
        <v>0.8</v>
      </c>
      <c r="CS27" s="11"/>
      <c r="CU27" s="27"/>
      <c r="CV27" s="30">
        <v>1.0</v>
      </c>
      <c r="CW27" s="27"/>
      <c r="CX27" s="30">
        <v>1.0</v>
      </c>
      <c r="CZ27" s="11"/>
      <c r="DB27" s="27"/>
      <c r="DC27" s="30">
        <v>1.0</v>
      </c>
      <c r="DD27" s="27"/>
      <c r="DE27" s="30">
        <v>1.0</v>
      </c>
      <c r="DG27" s="11"/>
      <c r="DI27" s="27"/>
      <c r="DJ27" s="27"/>
      <c r="DK27" s="27"/>
      <c r="DL27" s="27"/>
      <c r="DN27" s="11"/>
      <c r="DP27" s="27"/>
      <c r="DQ27" s="27"/>
      <c r="DR27" s="27"/>
      <c r="DS27" s="27"/>
      <c r="DU27" s="11"/>
      <c r="DW27" s="27"/>
      <c r="DX27" s="27"/>
      <c r="DY27" s="27"/>
      <c r="DZ27" s="27"/>
    </row>
    <row r="28" ht="15.75" customHeight="1" outlineLevel="1">
      <c r="B28" s="6" t="s">
        <v>56</v>
      </c>
      <c r="C28" s="24" t="s">
        <v>76</v>
      </c>
      <c r="E28" s="26"/>
      <c r="F28" s="5" t="s">
        <v>82</v>
      </c>
      <c r="G28" s="30">
        <v>0.15</v>
      </c>
      <c r="I28" s="26">
        <f t="shared" si="3"/>
        <v>0</v>
      </c>
      <c r="J28" s="29">
        <f t="array" ref="J28">MAX(IF($N$3:$HA$3=$J$3,N28:HA28))</f>
        <v>0</v>
      </c>
      <c r="K28" s="29">
        <f t="array" ref="K28">MAX(IF($N$3:$HA$3=$J$3,N28:HA28))</f>
        <v>0</v>
      </c>
      <c r="L28" s="26"/>
      <c r="O28" s="27"/>
      <c r="P28" s="27"/>
      <c r="Q28" s="27"/>
      <c r="R28" s="27"/>
      <c r="V28" s="27"/>
      <c r="W28" s="27"/>
      <c r="X28" s="27"/>
      <c r="Y28" s="30">
        <v>0.0</v>
      </c>
      <c r="AC28" s="27"/>
      <c r="AD28" s="27"/>
      <c r="AE28" s="27"/>
      <c r="AF28" s="30">
        <v>0.0</v>
      </c>
      <c r="AJ28" s="27"/>
      <c r="AK28" s="27"/>
      <c r="AL28" s="27"/>
      <c r="AM28" s="30">
        <v>0.0</v>
      </c>
      <c r="AQ28" s="27"/>
      <c r="AR28" s="30">
        <v>0.0</v>
      </c>
      <c r="AS28" s="27"/>
      <c r="AT28" s="30">
        <v>0.0</v>
      </c>
      <c r="AX28" s="27"/>
      <c r="AY28" s="30">
        <v>0.0</v>
      </c>
      <c r="AZ28" s="27"/>
      <c r="BA28" s="30">
        <v>0.0</v>
      </c>
      <c r="BE28" s="27"/>
      <c r="BF28" s="30">
        <v>0.5</v>
      </c>
      <c r="BG28" s="27"/>
      <c r="BH28" s="30">
        <v>0.5</v>
      </c>
      <c r="BJ28" s="11"/>
      <c r="BL28" s="27"/>
      <c r="BM28" s="30">
        <v>0.5</v>
      </c>
      <c r="BN28" s="27"/>
      <c r="BO28" s="30">
        <v>0.5</v>
      </c>
      <c r="BS28" s="27"/>
      <c r="BT28" s="30">
        <v>0.5</v>
      </c>
      <c r="BU28" s="27"/>
      <c r="BV28" s="30">
        <v>0.5</v>
      </c>
      <c r="BX28" s="11"/>
      <c r="BZ28" s="27"/>
      <c r="CA28" s="30">
        <v>0.5</v>
      </c>
      <c r="CB28" s="27"/>
      <c r="CC28" s="30">
        <v>0.5</v>
      </c>
      <c r="CE28" s="11"/>
      <c r="CG28" s="27"/>
      <c r="CH28" s="30">
        <v>0.8</v>
      </c>
      <c r="CI28" s="27"/>
      <c r="CJ28" s="30">
        <v>0.8</v>
      </c>
      <c r="CL28" s="11"/>
      <c r="CN28" s="27"/>
      <c r="CO28" s="30">
        <v>0.8</v>
      </c>
      <c r="CP28" s="27"/>
      <c r="CQ28" s="30">
        <v>0.8</v>
      </c>
      <c r="CS28" s="11"/>
      <c r="CU28" s="27"/>
      <c r="CV28" s="30">
        <v>0.8</v>
      </c>
      <c r="CW28" s="27"/>
      <c r="CX28" s="30">
        <v>0.8</v>
      </c>
      <c r="CZ28" s="11"/>
      <c r="DB28" s="27"/>
      <c r="DC28" s="30">
        <v>1.0</v>
      </c>
      <c r="DD28" s="27"/>
      <c r="DE28" s="30">
        <v>1.0</v>
      </c>
      <c r="DG28" s="11"/>
      <c r="DI28" s="27"/>
      <c r="DJ28" s="27"/>
      <c r="DK28" s="27"/>
      <c r="DL28" s="27"/>
      <c r="DN28" s="11"/>
      <c r="DP28" s="27"/>
      <c r="DQ28" s="27"/>
      <c r="DR28" s="27"/>
      <c r="DS28" s="27"/>
      <c r="DU28" s="11"/>
      <c r="DW28" s="27"/>
      <c r="DX28" s="27"/>
      <c r="DY28" s="27"/>
      <c r="DZ28" s="27"/>
    </row>
    <row r="29" ht="15.75" customHeight="1" outlineLevel="1">
      <c r="B29" s="6" t="s">
        <v>56</v>
      </c>
      <c r="C29" s="24" t="s">
        <v>76</v>
      </c>
      <c r="E29" s="26"/>
      <c r="F29" s="5" t="s">
        <v>83</v>
      </c>
      <c r="G29" s="30">
        <v>0.15</v>
      </c>
      <c r="I29" s="26">
        <f t="shared" si="3"/>
        <v>0</v>
      </c>
      <c r="J29" s="29">
        <f t="array" ref="J29">MAX(IF($N$3:$HA$3=$J$3,N29:HA29))</f>
        <v>0</v>
      </c>
      <c r="K29" s="29">
        <f t="array" ref="K29">MAX(IF($N$3:$HA$3=$J$3,N29:HA29))</f>
        <v>0</v>
      </c>
      <c r="L29" s="26"/>
      <c r="O29" s="27"/>
      <c r="P29" s="27"/>
      <c r="Q29" s="27"/>
      <c r="R29" s="27"/>
      <c r="V29" s="27"/>
      <c r="W29" s="27"/>
      <c r="X29" s="27"/>
      <c r="Y29" s="30">
        <v>0.0</v>
      </c>
      <c r="AC29" s="27"/>
      <c r="AD29" s="27"/>
      <c r="AE29" s="27"/>
      <c r="AF29" s="30">
        <v>0.0</v>
      </c>
      <c r="AJ29" s="27"/>
      <c r="AK29" s="27"/>
      <c r="AL29" s="27"/>
      <c r="AM29" s="30">
        <v>0.0</v>
      </c>
      <c r="AQ29" s="27"/>
      <c r="AR29" s="30">
        <v>0.0</v>
      </c>
      <c r="AS29" s="27"/>
      <c r="AT29" s="30">
        <v>0.0</v>
      </c>
      <c r="AX29" s="27"/>
      <c r="AY29" s="30">
        <v>0.0</v>
      </c>
      <c r="AZ29" s="27"/>
      <c r="BA29" s="30">
        <v>0.0</v>
      </c>
      <c r="BE29" s="27"/>
      <c r="BF29" s="30">
        <v>0.0</v>
      </c>
      <c r="BG29" s="27"/>
      <c r="BH29" s="30">
        <v>0.0</v>
      </c>
      <c r="BJ29" s="11"/>
      <c r="BL29" s="27"/>
      <c r="BM29" s="30">
        <v>0.5</v>
      </c>
      <c r="BN29" s="27"/>
      <c r="BO29" s="30">
        <v>0.5</v>
      </c>
      <c r="BS29" s="27"/>
      <c r="BT29" s="30">
        <v>0.5</v>
      </c>
      <c r="BU29" s="27"/>
      <c r="BV29" s="30">
        <v>0.5</v>
      </c>
      <c r="BX29" s="11"/>
      <c r="BZ29" s="27"/>
      <c r="CA29" s="30">
        <v>0.5</v>
      </c>
      <c r="CB29" s="27"/>
      <c r="CC29" s="30">
        <v>0.5</v>
      </c>
      <c r="CE29" s="11"/>
      <c r="CG29" s="27"/>
      <c r="CH29" s="30">
        <v>0.5</v>
      </c>
      <c r="CI29" s="27"/>
      <c r="CJ29" s="30">
        <v>0.5</v>
      </c>
      <c r="CL29" s="11"/>
      <c r="CN29" s="27"/>
      <c r="CO29" s="30">
        <v>0.8</v>
      </c>
      <c r="CP29" s="27"/>
      <c r="CQ29" s="30">
        <v>0.8</v>
      </c>
      <c r="CS29" s="11"/>
      <c r="CU29" s="27"/>
      <c r="CV29" s="30">
        <v>0.8</v>
      </c>
      <c r="CW29" s="27"/>
      <c r="CX29" s="30">
        <v>0.8</v>
      </c>
      <c r="CZ29" s="11"/>
      <c r="DB29" s="27"/>
      <c r="DC29" s="30">
        <v>1.0</v>
      </c>
      <c r="DD29" s="27"/>
      <c r="DE29" s="30">
        <v>1.0</v>
      </c>
      <c r="DG29" s="11"/>
      <c r="DI29" s="27"/>
      <c r="DJ29" s="27"/>
      <c r="DK29" s="27"/>
      <c r="DL29" s="27"/>
      <c r="DN29" s="11"/>
      <c r="DP29" s="27"/>
      <c r="DQ29" s="27"/>
      <c r="DR29" s="27"/>
      <c r="DS29" s="27"/>
      <c r="DU29" s="11"/>
      <c r="DW29" s="27"/>
      <c r="DX29" s="27"/>
      <c r="DY29" s="27"/>
      <c r="DZ29" s="27"/>
    </row>
    <row r="30" ht="15.75" customHeight="1" outlineLevel="1">
      <c r="B30" s="6" t="s">
        <v>56</v>
      </c>
      <c r="C30" s="24" t="s">
        <v>76</v>
      </c>
      <c r="E30" s="26"/>
      <c r="F30" s="5" t="s">
        <v>84</v>
      </c>
      <c r="G30" s="30">
        <v>0.15</v>
      </c>
      <c r="I30" s="26">
        <f t="shared" si="3"/>
        <v>0</v>
      </c>
      <c r="J30" s="29">
        <f t="array" ref="J30">MAX(IF($N$3:$HA$3=$J$3,N30:HA30))</f>
        <v>0</v>
      </c>
      <c r="K30" s="29">
        <f t="array" ref="K30">MAX(IF($N$3:$HA$3=$J$3,N30:HA30))</f>
        <v>0</v>
      </c>
      <c r="L30" s="26"/>
      <c r="O30" s="27"/>
      <c r="P30" s="27"/>
      <c r="Q30" s="27"/>
      <c r="R30" s="27"/>
      <c r="V30" s="27"/>
      <c r="W30" s="27"/>
      <c r="X30" s="27"/>
      <c r="Y30" s="30">
        <v>0.0</v>
      </c>
      <c r="AC30" s="27"/>
      <c r="AD30" s="27"/>
      <c r="AE30" s="27"/>
      <c r="AF30" s="30">
        <v>0.0</v>
      </c>
      <c r="AJ30" s="27"/>
      <c r="AK30" s="27"/>
      <c r="AL30" s="27"/>
      <c r="AM30" s="30">
        <v>0.0</v>
      </c>
      <c r="AQ30" s="27"/>
      <c r="AR30" s="30">
        <v>0.0</v>
      </c>
      <c r="AS30" s="27"/>
      <c r="AT30" s="30">
        <v>0.0</v>
      </c>
      <c r="AX30" s="27"/>
      <c r="AY30" s="30">
        <v>0.0</v>
      </c>
      <c r="AZ30" s="27"/>
      <c r="BA30" s="30">
        <v>0.0</v>
      </c>
      <c r="BE30" s="27"/>
      <c r="BF30" s="30">
        <v>0.0</v>
      </c>
      <c r="BG30" s="27"/>
      <c r="BH30" s="30">
        <v>0.0</v>
      </c>
      <c r="BJ30" s="11"/>
      <c r="BL30" s="27"/>
      <c r="BM30" s="30">
        <v>0.5</v>
      </c>
      <c r="BN30" s="27"/>
      <c r="BO30" s="30">
        <v>0.5</v>
      </c>
      <c r="BS30" s="27"/>
      <c r="BT30" s="30">
        <v>0.5</v>
      </c>
      <c r="BU30" s="27"/>
      <c r="BV30" s="30">
        <v>0.5</v>
      </c>
      <c r="BX30" s="11"/>
      <c r="BZ30" s="27"/>
      <c r="CA30" s="30">
        <v>0.5</v>
      </c>
      <c r="CB30" s="27"/>
      <c r="CC30" s="30">
        <v>0.5</v>
      </c>
      <c r="CE30" s="11"/>
      <c r="CG30" s="27"/>
      <c r="CH30" s="30">
        <v>0.5</v>
      </c>
      <c r="CI30" s="27"/>
      <c r="CJ30" s="30">
        <v>0.5</v>
      </c>
      <c r="CL30" s="11"/>
      <c r="CN30" s="27"/>
      <c r="CO30" s="30">
        <v>0.8</v>
      </c>
      <c r="CP30" s="27"/>
      <c r="CQ30" s="30">
        <v>0.8</v>
      </c>
      <c r="CS30" s="11"/>
      <c r="CU30" s="27"/>
      <c r="CV30" s="30">
        <v>0.8</v>
      </c>
      <c r="CW30" s="27"/>
      <c r="CX30" s="30">
        <v>0.8</v>
      </c>
      <c r="CZ30" s="11"/>
      <c r="DB30" s="27"/>
      <c r="DC30" s="30">
        <v>1.0</v>
      </c>
      <c r="DD30" s="27"/>
      <c r="DE30" s="30">
        <v>1.0</v>
      </c>
      <c r="DG30" s="11"/>
      <c r="DI30" s="27"/>
      <c r="DJ30" s="27"/>
      <c r="DK30" s="27"/>
      <c r="DL30" s="27"/>
      <c r="DN30" s="11"/>
      <c r="DP30" s="27"/>
      <c r="DQ30" s="27"/>
      <c r="DR30" s="27"/>
      <c r="DS30" s="27"/>
      <c r="DU30" s="11"/>
      <c r="DW30" s="27"/>
      <c r="DX30" s="27"/>
      <c r="DY30" s="27"/>
      <c r="DZ30" s="27"/>
    </row>
    <row r="31" ht="15.75" customHeight="1">
      <c r="C31" s="8"/>
      <c r="BJ31" s="11"/>
      <c r="BX31" s="11"/>
      <c r="CE31" s="11"/>
      <c r="CL31" s="11"/>
      <c r="CS31" s="11"/>
      <c r="CZ31" s="11"/>
      <c r="DG31" s="11"/>
      <c r="DN31" s="11"/>
      <c r="DU31" s="11"/>
    </row>
    <row r="32" ht="15.75" customHeight="1">
      <c r="B32" s="6" t="s">
        <v>26</v>
      </c>
      <c r="C32" s="24" t="s">
        <v>75</v>
      </c>
      <c r="D32" s="25">
        <v>44862.0</v>
      </c>
      <c r="E32" s="32">
        <v>3.0</v>
      </c>
      <c r="G32" s="27">
        <f>+SUM(G33:G40)</f>
        <v>1</v>
      </c>
      <c r="I32" s="28">
        <f>+SUM(I33:I40)</f>
        <v>0</v>
      </c>
      <c r="J32" s="29">
        <f>+SUMPRODUCT(G33:G40,J33:J40)</f>
        <v>0</v>
      </c>
      <c r="K32" s="29">
        <f>+SUMPRODUCT(G33:G40,K33:K40)</f>
        <v>0</v>
      </c>
      <c r="L32" s="26"/>
      <c r="N32" s="28">
        <f>SUM(N33:N40)</f>
        <v>0</v>
      </c>
      <c r="U32" s="28">
        <f>SUM(U33:U40)</f>
        <v>0</v>
      </c>
      <c r="AB32" s="28">
        <f>SUM(AB33:AB40)</f>
        <v>0</v>
      </c>
      <c r="AI32" s="28">
        <f>SUM(AI33:AI40)</f>
        <v>0</v>
      </c>
      <c r="AP32" s="28">
        <f>SUM(AP33:AP40)</f>
        <v>0</v>
      </c>
      <c r="AW32" s="28">
        <f>SUM(AW33:AW40)</f>
        <v>0</v>
      </c>
      <c r="BD32" s="28">
        <f>SUM(BD33:BD40)</f>
        <v>0</v>
      </c>
      <c r="BJ32" s="11"/>
      <c r="BK32" s="28">
        <f>SUM(BK33:BK40)</f>
        <v>0</v>
      </c>
      <c r="BR32" s="28">
        <f>SUM(BR33:BR40)</f>
        <v>0</v>
      </c>
      <c r="BX32" s="11"/>
      <c r="BY32" s="28">
        <f>SUM(BY33:BY40)</f>
        <v>0</v>
      </c>
      <c r="CE32" s="11"/>
      <c r="CF32" s="28">
        <f>SUM(CF33:CF40)</f>
        <v>0</v>
      </c>
      <c r="CL32" s="11"/>
      <c r="CM32" s="28">
        <f>SUM(CM33:CM40)</f>
        <v>0</v>
      </c>
      <c r="CS32" s="11"/>
      <c r="CT32" s="28"/>
      <c r="CZ32" s="11"/>
      <c r="DA32" s="28">
        <f>SUM(DA33:DA40)</f>
        <v>0</v>
      </c>
      <c r="DG32" s="28"/>
      <c r="DH32" s="28">
        <f>SUM(DH33:DH40)</f>
        <v>0</v>
      </c>
      <c r="DN32" s="11"/>
      <c r="DO32" s="28">
        <f>SUM(DO33:DO40)</f>
        <v>0</v>
      </c>
      <c r="DU32" s="11"/>
      <c r="DV32" s="28"/>
    </row>
    <row r="33" ht="15.75" customHeight="1" outlineLevel="1">
      <c r="B33" s="6" t="s">
        <v>56</v>
      </c>
      <c r="C33" s="24" t="s">
        <v>85</v>
      </c>
      <c r="E33" s="26"/>
      <c r="F33" s="5" t="s">
        <v>77</v>
      </c>
      <c r="G33" s="27">
        <v>0.1</v>
      </c>
      <c r="I33" s="26">
        <f t="shared" ref="I33:I40" si="4">+SUMIF($N$3:$ACS$3,I$3,$N33:$ACS33)</f>
        <v>0</v>
      </c>
      <c r="J33" s="29">
        <f t="array" ref="J33">MAX(IF($N$3:$HA$3=$J$3,N33:HA33))</f>
        <v>0</v>
      </c>
      <c r="K33" s="29">
        <f t="array" ref="K33">MAX(IF($N$3:$HA$3=$J$3,N33:HA33))</f>
        <v>0</v>
      </c>
      <c r="L33" s="26"/>
      <c r="O33" s="27"/>
      <c r="P33" s="27"/>
      <c r="Q33" s="27"/>
      <c r="R33" s="27"/>
      <c r="V33" s="27"/>
      <c r="W33" s="30">
        <v>0.5</v>
      </c>
      <c r="X33" s="27"/>
      <c r="Y33" s="30">
        <v>0.5</v>
      </c>
      <c r="AC33" s="27"/>
      <c r="AD33" s="30">
        <v>0.5</v>
      </c>
      <c r="AE33" s="27"/>
      <c r="AF33" s="30">
        <v>0.5</v>
      </c>
      <c r="AJ33" s="27"/>
      <c r="AK33" s="30">
        <v>0.8</v>
      </c>
      <c r="AL33" s="27"/>
      <c r="AM33" s="30">
        <v>0.8</v>
      </c>
      <c r="AQ33" s="27"/>
      <c r="AR33" s="30">
        <v>0.8</v>
      </c>
      <c r="AS33" s="27"/>
      <c r="AT33" s="30">
        <v>0.8</v>
      </c>
      <c r="AX33" s="27"/>
      <c r="AY33" s="30">
        <v>0.8</v>
      </c>
      <c r="AZ33" s="27"/>
      <c r="BA33" s="30">
        <v>0.8</v>
      </c>
      <c r="BE33" s="27"/>
      <c r="BF33" s="30">
        <v>0.8</v>
      </c>
      <c r="BG33" s="27"/>
      <c r="BH33" s="30">
        <v>0.8</v>
      </c>
      <c r="BJ33" s="11"/>
      <c r="BL33" s="27"/>
      <c r="BM33" s="30">
        <v>0.8</v>
      </c>
      <c r="BN33" s="27"/>
      <c r="BO33" s="30">
        <v>0.8</v>
      </c>
      <c r="BS33" s="27"/>
      <c r="BT33" s="30">
        <v>0.8</v>
      </c>
      <c r="BU33" s="27"/>
      <c r="BV33" s="30">
        <v>0.8</v>
      </c>
      <c r="BX33" s="11"/>
      <c r="BZ33" s="27"/>
      <c r="CA33" s="30">
        <v>0.8</v>
      </c>
      <c r="CB33" s="27"/>
      <c r="CC33" s="30">
        <v>0.8</v>
      </c>
      <c r="CE33" s="11"/>
      <c r="CG33" s="27"/>
      <c r="CH33" s="30">
        <v>1.0</v>
      </c>
      <c r="CI33" s="27"/>
      <c r="CJ33" s="30">
        <v>1.0</v>
      </c>
      <c r="CL33" s="11"/>
      <c r="CN33" s="27"/>
      <c r="CO33" s="30">
        <v>1.0</v>
      </c>
      <c r="CP33" s="27"/>
      <c r="CQ33" s="30">
        <v>1.0</v>
      </c>
      <c r="CS33" s="11"/>
      <c r="CU33" s="27"/>
      <c r="CV33" s="30">
        <v>1.0</v>
      </c>
      <c r="CW33" s="27"/>
      <c r="CX33" s="30">
        <v>1.0</v>
      </c>
      <c r="CZ33" s="11"/>
      <c r="DB33" s="27"/>
      <c r="DC33" s="30">
        <v>1.0</v>
      </c>
      <c r="DD33" s="27"/>
      <c r="DE33" s="30">
        <v>1.0</v>
      </c>
      <c r="DG33" s="11"/>
      <c r="DI33" s="27"/>
      <c r="DJ33" s="27"/>
      <c r="DK33" s="27"/>
      <c r="DL33" s="27"/>
      <c r="DN33" s="11"/>
      <c r="DP33" s="27"/>
      <c r="DQ33" s="27"/>
      <c r="DR33" s="27"/>
      <c r="DS33" s="27"/>
      <c r="DU33" s="11"/>
      <c r="DW33" s="27"/>
      <c r="DX33" s="27"/>
      <c r="DY33" s="27"/>
      <c r="DZ33" s="27"/>
    </row>
    <row r="34" ht="15.75" customHeight="1" outlineLevel="1">
      <c r="B34" s="6" t="s">
        <v>56</v>
      </c>
      <c r="C34" s="24" t="s">
        <v>85</v>
      </c>
      <c r="E34" s="26"/>
      <c r="F34" s="5" t="s">
        <v>78</v>
      </c>
      <c r="G34" s="30">
        <v>0.15</v>
      </c>
      <c r="I34" s="26">
        <f t="shared" si="4"/>
        <v>0</v>
      </c>
      <c r="J34" s="29">
        <f t="array" ref="J34">MAX(IF($N$3:$HA$3=$J$3,N34:HA34))</f>
        <v>0</v>
      </c>
      <c r="K34" s="29">
        <f t="array" ref="K34">MAX(IF($N$3:$HA$3=$J$3,N34:HA34))</f>
        <v>0</v>
      </c>
      <c r="L34" s="26"/>
      <c r="O34" s="27"/>
      <c r="P34" s="27"/>
      <c r="Q34" s="27"/>
      <c r="R34" s="27"/>
      <c r="V34" s="27"/>
      <c r="W34" s="30">
        <v>0.5</v>
      </c>
      <c r="X34" s="27"/>
      <c r="Y34" s="30">
        <v>0.5</v>
      </c>
      <c r="AC34" s="27"/>
      <c r="AD34" s="30">
        <v>0.5</v>
      </c>
      <c r="AE34" s="27"/>
      <c r="AF34" s="30">
        <v>0.5</v>
      </c>
      <c r="AJ34" s="27"/>
      <c r="AK34" s="30">
        <v>0.5</v>
      </c>
      <c r="AL34" s="27"/>
      <c r="AM34" s="30">
        <v>0.5</v>
      </c>
      <c r="AQ34" s="27"/>
      <c r="AR34" s="30">
        <v>0.5</v>
      </c>
      <c r="AS34" s="27"/>
      <c r="AT34" s="30">
        <v>0.5</v>
      </c>
      <c r="AX34" s="27"/>
      <c r="AY34" s="30">
        <v>0.5</v>
      </c>
      <c r="AZ34" s="27"/>
      <c r="BA34" s="30">
        <v>0.5</v>
      </c>
      <c r="BE34" s="27"/>
      <c r="BF34" s="30">
        <v>0.5</v>
      </c>
      <c r="BG34" s="27"/>
      <c r="BH34" s="30">
        <v>0.5</v>
      </c>
      <c r="BJ34" s="11"/>
      <c r="BL34" s="27"/>
      <c r="BM34" s="30">
        <v>0.8</v>
      </c>
      <c r="BN34" s="27"/>
      <c r="BO34" s="30">
        <v>0.8</v>
      </c>
      <c r="BS34" s="27"/>
      <c r="BT34" s="30">
        <v>0.8</v>
      </c>
      <c r="BU34" s="27"/>
      <c r="BV34" s="30">
        <v>0.8</v>
      </c>
      <c r="BX34" s="11"/>
      <c r="BZ34" s="27"/>
      <c r="CA34" s="30">
        <v>0.8</v>
      </c>
      <c r="CB34" s="27"/>
      <c r="CC34" s="30">
        <v>0.8</v>
      </c>
      <c r="CE34" s="11"/>
      <c r="CG34" s="27"/>
      <c r="CH34" s="30">
        <v>0.8</v>
      </c>
      <c r="CI34" s="27"/>
      <c r="CJ34" s="30">
        <v>0.8</v>
      </c>
      <c r="CL34" s="11"/>
      <c r="CN34" s="27"/>
      <c r="CO34" s="30">
        <v>1.0</v>
      </c>
      <c r="CP34" s="27"/>
      <c r="CQ34" s="30">
        <v>1.0</v>
      </c>
      <c r="CS34" s="11"/>
      <c r="CU34" s="27"/>
      <c r="CV34" s="30">
        <v>1.0</v>
      </c>
      <c r="CW34" s="27"/>
      <c r="CX34" s="30">
        <v>1.0</v>
      </c>
      <c r="CZ34" s="11"/>
      <c r="DB34" s="27"/>
      <c r="DC34" s="30">
        <v>1.0</v>
      </c>
      <c r="DD34" s="27"/>
      <c r="DE34" s="30">
        <v>1.0</v>
      </c>
      <c r="DG34" s="11"/>
      <c r="DI34" s="27"/>
      <c r="DJ34" s="27"/>
      <c r="DK34" s="27"/>
      <c r="DL34" s="27"/>
      <c r="DN34" s="11"/>
      <c r="DP34" s="27"/>
      <c r="DQ34" s="27"/>
      <c r="DR34" s="27"/>
      <c r="DS34" s="27"/>
      <c r="DU34" s="11"/>
      <c r="DW34" s="27"/>
      <c r="DX34" s="27"/>
      <c r="DY34" s="27"/>
      <c r="DZ34" s="27"/>
    </row>
    <row r="35" ht="15.75" customHeight="1" outlineLevel="1">
      <c r="B35" s="6" t="s">
        <v>56</v>
      </c>
      <c r="C35" s="24" t="s">
        <v>85</v>
      </c>
      <c r="E35" s="26"/>
      <c r="F35" s="5" t="s">
        <v>79</v>
      </c>
      <c r="G35" s="30">
        <v>0.15</v>
      </c>
      <c r="I35" s="26">
        <f t="shared" si="4"/>
        <v>0</v>
      </c>
      <c r="J35" s="29">
        <f t="array" ref="J35">MAX(IF($N$3:$HA$3=$J$3,N35:HA35))</f>
        <v>0</v>
      </c>
      <c r="K35" s="29">
        <f t="array" ref="K35">MAX(IF($N$3:$HA$3=$J$3,N35:HA35))</f>
        <v>0</v>
      </c>
      <c r="L35" s="26"/>
      <c r="O35" s="27"/>
      <c r="P35" s="27"/>
      <c r="Q35" s="27"/>
      <c r="R35" s="27"/>
      <c r="V35" s="27"/>
      <c r="W35" s="27"/>
      <c r="X35" s="27"/>
      <c r="Y35" s="30">
        <v>0.0</v>
      </c>
      <c r="AC35" s="27"/>
      <c r="AD35" s="27"/>
      <c r="AE35" s="27"/>
      <c r="AF35" s="30">
        <v>0.0</v>
      </c>
      <c r="AJ35" s="27"/>
      <c r="AK35" s="30">
        <v>0.5</v>
      </c>
      <c r="AL35" s="27"/>
      <c r="AM35" s="30">
        <v>0.5</v>
      </c>
      <c r="AQ35" s="27"/>
      <c r="AR35" s="30">
        <v>0.5</v>
      </c>
      <c r="AS35" s="27"/>
      <c r="AT35" s="30">
        <v>0.5</v>
      </c>
      <c r="AX35" s="27"/>
      <c r="AY35" s="30">
        <v>0.5</v>
      </c>
      <c r="AZ35" s="27"/>
      <c r="BA35" s="30">
        <v>0.5</v>
      </c>
      <c r="BE35" s="27"/>
      <c r="BF35" s="30">
        <v>0.5</v>
      </c>
      <c r="BG35" s="27"/>
      <c r="BH35" s="30">
        <v>0.5</v>
      </c>
      <c r="BJ35" s="11"/>
      <c r="BL35" s="27"/>
      <c r="BM35" s="30">
        <v>0.5</v>
      </c>
      <c r="BN35" s="27"/>
      <c r="BO35" s="30">
        <v>0.5</v>
      </c>
      <c r="BS35" s="27"/>
      <c r="BT35" s="30">
        <v>0.8</v>
      </c>
      <c r="BU35" s="27"/>
      <c r="BV35" s="30">
        <v>0.8</v>
      </c>
      <c r="BX35" s="11"/>
      <c r="BZ35" s="27"/>
      <c r="CA35" s="30">
        <v>0.8</v>
      </c>
      <c r="CB35" s="27"/>
      <c r="CC35" s="30">
        <v>0.8</v>
      </c>
      <c r="CE35" s="11"/>
      <c r="CG35" s="27"/>
      <c r="CH35" s="30">
        <v>0.8</v>
      </c>
      <c r="CI35" s="27"/>
      <c r="CJ35" s="30">
        <v>0.8</v>
      </c>
      <c r="CL35" s="11"/>
      <c r="CN35" s="27"/>
      <c r="CO35" s="30">
        <v>0.8</v>
      </c>
      <c r="CP35" s="27"/>
      <c r="CQ35" s="30">
        <v>0.8</v>
      </c>
      <c r="CS35" s="11"/>
      <c r="CU35" s="27"/>
      <c r="CV35" s="30">
        <v>1.0</v>
      </c>
      <c r="CW35" s="27"/>
      <c r="CX35" s="30">
        <v>1.0</v>
      </c>
      <c r="CZ35" s="11"/>
      <c r="DB35" s="27"/>
      <c r="DC35" s="30">
        <v>1.0</v>
      </c>
      <c r="DD35" s="27"/>
      <c r="DE35" s="30">
        <v>1.0</v>
      </c>
      <c r="DG35" s="11"/>
      <c r="DI35" s="27"/>
      <c r="DJ35" s="27"/>
      <c r="DK35" s="27"/>
      <c r="DL35" s="27"/>
      <c r="DN35" s="11"/>
      <c r="DP35" s="27"/>
      <c r="DQ35" s="27"/>
      <c r="DR35" s="27"/>
      <c r="DS35" s="27"/>
      <c r="DU35" s="11"/>
      <c r="DW35" s="27"/>
      <c r="DX35" s="27"/>
      <c r="DY35" s="27"/>
      <c r="DZ35" s="27"/>
    </row>
    <row r="36" ht="15.75" customHeight="1" outlineLevel="1">
      <c r="B36" s="6" t="s">
        <v>56</v>
      </c>
      <c r="C36" s="24" t="s">
        <v>85</v>
      </c>
      <c r="E36" s="26"/>
      <c r="F36" s="5" t="s">
        <v>80</v>
      </c>
      <c r="G36" s="30">
        <v>0.15</v>
      </c>
      <c r="I36" s="26">
        <f t="shared" si="4"/>
        <v>0</v>
      </c>
      <c r="J36" s="29">
        <f t="array" ref="J36">MAX(IF($N$3:$HA$3=$J$3,N36:HA36))</f>
        <v>0</v>
      </c>
      <c r="K36" s="29">
        <f t="array" ref="K36">MAX(IF($N$3:$HA$3=$J$3,N36:HA36))</f>
        <v>0</v>
      </c>
      <c r="L36" s="26"/>
      <c r="O36" s="27"/>
      <c r="P36" s="27"/>
      <c r="Q36" s="27"/>
      <c r="R36" s="27"/>
      <c r="V36" s="27"/>
      <c r="W36" s="27"/>
      <c r="X36" s="27"/>
      <c r="Y36" s="30">
        <v>0.0</v>
      </c>
      <c r="AC36" s="27"/>
      <c r="AD36" s="27"/>
      <c r="AE36" s="27"/>
      <c r="AF36" s="30">
        <v>0.0</v>
      </c>
      <c r="AJ36" s="27"/>
      <c r="AK36" s="27"/>
      <c r="AL36" s="27"/>
      <c r="AM36" s="30">
        <v>0.0</v>
      </c>
      <c r="AQ36" s="27"/>
      <c r="AR36" s="30">
        <v>0.5</v>
      </c>
      <c r="AS36" s="27"/>
      <c r="AT36" s="30">
        <v>0.5</v>
      </c>
      <c r="AX36" s="27"/>
      <c r="AY36" s="30">
        <v>0.5</v>
      </c>
      <c r="AZ36" s="27"/>
      <c r="BA36" s="30">
        <v>0.5</v>
      </c>
      <c r="BE36" s="27"/>
      <c r="BF36" s="30">
        <v>0.5</v>
      </c>
      <c r="BG36" s="27"/>
      <c r="BH36" s="30">
        <v>0.5</v>
      </c>
      <c r="BJ36" s="11"/>
      <c r="BL36" s="27"/>
      <c r="BM36" s="30">
        <v>0.5</v>
      </c>
      <c r="BN36" s="27"/>
      <c r="BO36" s="30">
        <v>0.5</v>
      </c>
      <c r="BS36" s="27"/>
      <c r="BT36" s="30">
        <v>0.5</v>
      </c>
      <c r="BU36" s="27"/>
      <c r="BV36" s="30">
        <v>0.5</v>
      </c>
      <c r="BX36" s="11"/>
      <c r="BZ36" s="27"/>
      <c r="CA36" s="30">
        <v>0.8</v>
      </c>
      <c r="CB36" s="27"/>
      <c r="CC36" s="30">
        <v>0.8</v>
      </c>
      <c r="CE36" s="11"/>
      <c r="CG36" s="27"/>
      <c r="CH36" s="30">
        <v>0.8</v>
      </c>
      <c r="CI36" s="27"/>
      <c r="CJ36" s="30">
        <v>0.8</v>
      </c>
      <c r="CL36" s="11"/>
      <c r="CN36" s="27"/>
      <c r="CO36" s="30">
        <v>0.8</v>
      </c>
      <c r="CP36" s="27"/>
      <c r="CQ36" s="30">
        <v>0.8</v>
      </c>
      <c r="CS36" s="11"/>
      <c r="CU36" s="27"/>
      <c r="CV36" s="30">
        <v>1.0</v>
      </c>
      <c r="CW36" s="27"/>
      <c r="CX36" s="30">
        <v>1.0</v>
      </c>
      <c r="CZ36" s="11"/>
      <c r="DB36" s="27"/>
      <c r="DC36" s="30">
        <v>1.0</v>
      </c>
      <c r="DD36" s="27"/>
      <c r="DE36" s="30">
        <v>1.0</v>
      </c>
      <c r="DG36" s="11"/>
      <c r="DI36" s="27"/>
      <c r="DJ36" s="27"/>
      <c r="DK36" s="27"/>
      <c r="DL36" s="27"/>
      <c r="DN36" s="11"/>
      <c r="DP36" s="27"/>
      <c r="DQ36" s="27"/>
      <c r="DR36" s="27"/>
      <c r="DS36" s="27"/>
      <c r="DU36" s="11"/>
      <c r="DW36" s="27"/>
      <c r="DX36" s="27"/>
      <c r="DY36" s="27"/>
      <c r="DZ36" s="27"/>
    </row>
    <row r="37" ht="15.75" customHeight="1" outlineLevel="1">
      <c r="B37" s="6" t="s">
        <v>56</v>
      </c>
      <c r="C37" s="24" t="s">
        <v>85</v>
      </c>
      <c r="E37" s="26"/>
      <c r="F37" s="5" t="s">
        <v>81</v>
      </c>
      <c r="G37" s="30">
        <v>0.15</v>
      </c>
      <c r="I37" s="26">
        <f t="shared" si="4"/>
        <v>0</v>
      </c>
      <c r="J37" s="29">
        <f t="array" ref="J37">MAX(IF($N$3:$HA$3=$J$3,N37:HA37))</f>
        <v>0</v>
      </c>
      <c r="K37" s="29">
        <f t="array" ref="K37">MAX(IF($N$3:$HA$3=$J$3,N37:HA37))</f>
        <v>0</v>
      </c>
      <c r="L37" s="26"/>
      <c r="O37" s="27"/>
      <c r="P37" s="27"/>
      <c r="Q37" s="27"/>
      <c r="R37" s="27"/>
      <c r="V37" s="27"/>
      <c r="W37" s="27"/>
      <c r="X37" s="27"/>
      <c r="Y37" s="30">
        <v>0.0</v>
      </c>
      <c r="AC37" s="27"/>
      <c r="AD37" s="27"/>
      <c r="AE37" s="27"/>
      <c r="AF37" s="30">
        <v>0.0</v>
      </c>
      <c r="AJ37" s="27"/>
      <c r="AK37" s="27"/>
      <c r="AL37" s="27"/>
      <c r="AM37" s="30">
        <v>0.0</v>
      </c>
      <c r="AQ37" s="27"/>
      <c r="AR37" s="30">
        <v>0.0</v>
      </c>
      <c r="AS37" s="27"/>
      <c r="AT37" s="30">
        <v>0.0</v>
      </c>
      <c r="AX37" s="27"/>
      <c r="AY37" s="30">
        <v>0.5</v>
      </c>
      <c r="AZ37" s="27"/>
      <c r="BA37" s="30">
        <v>0.5</v>
      </c>
      <c r="BE37" s="27"/>
      <c r="BF37" s="30">
        <v>0.5</v>
      </c>
      <c r="BG37" s="27"/>
      <c r="BH37" s="30">
        <v>0.5</v>
      </c>
      <c r="BJ37" s="11"/>
      <c r="BL37" s="27"/>
      <c r="BM37" s="30">
        <v>0.5</v>
      </c>
      <c r="BN37" s="27"/>
      <c r="BO37" s="30">
        <v>0.5</v>
      </c>
      <c r="BS37" s="27"/>
      <c r="BT37" s="30">
        <v>0.5</v>
      </c>
      <c r="BU37" s="27"/>
      <c r="BV37" s="30">
        <v>0.5</v>
      </c>
      <c r="BX37" s="11"/>
      <c r="BZ37" s="27"/>
      <c r="CA37" s="30">
        <v>0.5</v>
      </c>
      <c r="CB37" s="27"/>
      <c r="CC37" s="30">
        <v>0.5</v>
      </c>
      <c r="CE37" s="11"/>
      <c r="CG37" s="27"/>
      <c r="CH37" s="30">
        <v>0.8</v>
      </c>
      <c r="CI37" s="27"/>
      <c r="CJ37" s="30">
        <v>0.8</v>
      </c>
      <c r="CL37" s="11"/>
      <c r="CN37" s="27"/>
      <c r="CO37" s="30">
        <v>0.8</v>
      </c>
      <c r="CP37" s="27"/>
      <c r="CQ37" s="30">
        <v>0.8</v>
      </c>
      <c r="CS37" s="11"/>
      <c r="CU37" s="27"/>
      <c r="CV37" s="30">
        <v>1.0</v>
      </c>
      <c r="CW37" s="27"/>
      <c r="CX37" s="30">
        <v>1.0</v>
      </c>
      <c r="CZ37" s="11"/>
      <c r="DB37" s="27"/>
      <c r="DC37" s="30">
        <v>1.0</v>
      </c>
      <c r="DD37" s="27"/>
      <c r="DE37" s="30">
        <v>1.0</v>
      </c>
      <c r="DG37" s="11"/>
      <c r="DI37" s="27"/>
      <c r="DJ37" s="27"/>
      <c r="DK37" s="27"/>
      <c r="DL37" s="27"/>
      <c r="DN37" s="11"/>
      <c r="DP37" s="27"/>
      <c r="DQ37" s="27"/>
      <c r="DR37" s="27"/>
      <c r="DS37" s="27"/>
      <c r="DU37" s="11"/>
      <c r="DW37" s="27"/>
      <c r="DX37" s="27"/>
      <c r="DY37" s="27"/>
      <c r="DZ37" s="27"/>
    </row>
    <row r="38" ht="15.75" customHeight="1" outlineLevel="1">
      <c r="B38" s="6" t="s">
        <v>56</v>
      </c>
      <c r="C38" s="24" t="s">
        <v>85</v>
      </c>
      <c r="E38" s="26"/>
      <c r="F38" s="5" t="s">
        <v>82</v>
      </c>
      <c r="G38" s="27">
        <v>0.1</v>
      </c>
      <c r="I38" s="26">
        <f t="shared" si="4"/>
        <v>0</v>
      </c>
      <c r="J38" s="29">
        <f t="array" ref="J38">MAX(IF($N$3:$HA$3=$J$3,N38:HA38))</f>
        <v>0</v>
      </c>
      <c r="K38" s="29">
        <f t="array" ref="K38">MAX(IF($N$3:$HA$3=$J$3,N38:HA38))</f>
        <v>0</v>
      </c>
      <c r="L38" s="26"/>
      <c r="O38" s="27"/>
      <c r="P38" s="27"/>
      <c r="Q38" s="27"/>
      <c r="R38" s="27"/>
      <c r="V38" s="27"/>
      <c r="W38" s="27"/>
      <c r="X38" s="27"/>
      <c r="Y38" s="30">
        <v>0.0</v>
      </c>
      <c r="AC38" s="27"/>
      <c r="AD38" s="27"/>
      <c r="AE38" s="27"/>
      <c r="AF38" s="30">
        <v>0.0</v>
      </c>
      <c r="AJ38" s="27"/>
      <c r="AK38" s="27"/>
      <c r="AL38" s="27"/>
      <c r="AM38" s="30">
        <v>0.0</v>
      </c>
      <c r="AQ38" s="27"/>
      <c r="AR38" s="30">
        <v>0.0</v>
      </c>
      <c r="AS38" s="27"/>
      <c r="AT38" s="30">
        <v>0.0</v>
      </c>
      <c r="AX38" s="27"/>
      <c r="AY38" s="30">
        <v>0.0</v>
      </c>
      <c r="AZ38" s="27"/>
      <c r="BA38" s="30">
        <v>0.0</v>
      </c>
      <c r="BE38" s="27"/>
      <c r="BF38" s="30">
        <v>0.5</v>
      </c>
      <c r="BG38" s="27"/>
      <c r="BH38" s="30">
        <v>0.5</v>
      </c>
      <c r="BJ38" s="11"/>
      <c r="BL38" s="27"/>
      <c r="BM38" s="30">
        <v>0.5</v>
      </c>
      <c r="BN38" s="27"/>
      <c r="BO38" s="30">
        <v>0.5</v>
      </c>
      <c r="BS38" s="27"/>
      <c r="BT38" s="30">
        <v>0.5</v>
      </c>
      <c r="BU38" s="27"/>
      <c r="BV38" s="30">
        <v>0.5</v>
      </c>
      <c r="BX38" s="11"/>
      <c r="BZ38" s="27"/>
      <c r="CA38" s="30">
        <v>0.5</v>
      </c>
      <c r="CB38" s="27"/>
      <c r="CC38" s="30">
        <v>0.5</v>
      </c>
      <c r="CE38" s="11"/>
      <c r="CG38" s="27"/>
      <c r="CH38" s="30">
        <v>0.8</v>
      </c>
      <c r="CI38" s="27"/>
      <c r="CJ38" s="30">
        <v>0.8</v>
      </c>
      <c r="CL38" s="11"/>
      <c r="CN38" s="27"/>
      <c r="CO38" s="30">
        <v>0.8</v>
      </c>
      <c r="CP38" s="27"/>
      <c r="CQ38" s="30">
        <v>0.8</v>
      </c>
      <c r="CS38" s="11"/>
      <c r="CU38" s="27"/>
      <c r="CV38" s="30">
        <v>0.8</v>
      </c>
      <c r="CW38" s="27"/>
      <c r="CX38" s="30">
        <v>0.8</v>
      </c>
      <c r="CZ38" s="11"/>
      <c r="DB38" s="27"/>
      <c r="DC38" s="30">
        <v>1.0</v>
      </c>
      <c r="DD38" s="27"/>
      <c r="DE38" s="30">
        <v>1.0</v>
      </c>
      <c r="DG38" s="11"/>
      <c r="DI38" s="27"/>
      <c r="DJ38" s="27"/>
      <c r="DK38" s="27"/>
      <c r="DL38" s="27"/>
      <c r="DN38" s="11"/>
      <c r="DP38" s="27"/>
      <c r="DQ38" s="27"/>
      <c r="DR38" s="27"/>
      <c r="DS38" s="27"/>
      <c r="DU38" s="11"/>
      <c r="DW38" s="27"/>
      <c r="DX38" s="27"/>
      <c r="DY38" s="27"/>
      <c r="DZ38" s="27"/>
    </row>
    <row r="39" ht="15.75" customHeight="1" outlineLevel="1">
      <c r="B39" s="6" t="s">
        <v>56</v>
      </c>
      <c r="C39" s="24" t="s">
        <v>85</v>
      </c>
      <c r="E39" s="26"/>
      <c r="F39" s="5" t="s">
        <v>83</v>
      </c>
      <c r="G39" s="27">
        <v>0.1</v>
      </c>
      <c r="I39" s="26">
        <f t="shared" si="4"/>
        <v>0</v>
      </c>
      <c r="J39" s="29">
        <f t="array" ref="J39">MAX(IF($N$3:$HA$3=$J$3,N39:HA39))</f>
        <v>0</v>
      </c>
      <c r="K39" s="29">
        <f t="array" ref="K39">MAX(IF($N$3:$HA$3=$J$3,N39:HA39))</f>
        <v>0</v>
      </c>
      <c r="L39" s="26"/>
      <c r="O39" s="27"/>
      <c r="P39" s="27"/>
      <c r="Q39" s="27"/>
      <c r="R39" s="27"/>
      <c r="V39" s="27"/>
      <c r="W39" s="27"/>
      <c r="X39" s="27"/>
      <c r="Y39" s="30">
        <v>0.0</v>
      </c>
      <c r="AC39" s="27"/>
      <c r="AD39" s="27"/>
      <c r="AE39" s="27"/>
      <c r="AF39" s="30">
        <v>0.0</v>
      </c>
      <c r="AJ39" s="27"/>
      <c r="AK39" s="27"/>
      <c r="AL39" s="27"/>
      <c r="AM39" s="30">
        <v>0.0</v>
      </c>
      <c r="AQ39" s="27"/>
      <c r="AR39" s="30">
        <v>0.0</v>
      </c>
      <c r="AS39" s="27"/>
      <c r="AT39" s="30">
        <v>0.0</v>
      </c>
      <c r="AX39" s="27"/>
      <c r="AY39" s="30">
        <v>0.0</v>
      </c>
      <c r="AZ39" s="27"/>
      <c r="BA39" s="30">
        <v>0.0</v>
      </c>
      <c r="BE39" s="27"/>
      <c r="BF39" s="30">
        <v>0.0</v>
      </c>
      <c r="BG39" s="27"/>
      <c r="BH39" s="30">
        <v>0.0</v>
      </c>
      <c r="BJ39" s="11"/>
      <c r="BL39" s="27"/>
      <c r="BM39" s="30">
        <v>0.5</v>
      </c>
      <c r="BN39" s="27"/>
      <c r="BO39" s="30">
        <v>0.5</v>
      </c>
      <c r="BS39" s="27"/>
      <c r="BT39" s="30">
        <v>0.5</v>
      </c>
      <c r="BU39" s="27"/>
      <c r="BV39" s="30">
        <v>0.5</v>
      </c>
      <c r="BX39" s="11"/>
      <c r="BZ39" s="27"/>
      <c r="CA39" s="30">
        <v>0.5</v>
      </c>
      <c r="CB39" s="27"/>
      <c r="CC39" s="30">
        <v>0.5</v>
      </c>
      <c r="CE39" s="11"/>
      <c r="CG39" s="27"/>
      <c r="CH39" s="30">
        <v>0.5</v>
      </c>
      <c r="CI39" s="27"/>
      <c r="CJ39" s="30">
        <v>0.5</v>
      </c>
      <c r="CL39" s="11"/>
      <c r="CN39" s="27"/>
      <c r="CO39" s="30">
        <v>0.8</v>
      </c>
      <c r="CP39" s="27"/>
      <c r="CQ39" s="30">
        <v>0.8</v>
      </c>
      <c r="CS39" s="11"/>
      <c r="CU39" s="27"/>
      <c r="CV39" s="30">
        <v>0.8</v>
      </c>
      <c r="CW39" s="27"/>
      <c r="CX39" s="30">
        <v>0.8</v>
      </c>
      <c r="CZ39" s="11"/>
      <c r="DB39" s="27"/>
      <c r="DC39" s="30">
        <v>1.0</v>
      </c>
      <c r="DD39" s="27"/>
      <c r="DE39" s="30">
        <v>1.0</v>
      </c>
      <c r="DG39" s="11"/>
      <c r="DI39" s="27"/>
      <c r="DJ39" s="27"/>
      <c r="DK39" s="27"/>
      <c r="DL39" s="27"/>
      <c r="DN39" s="11"/>
      <c r="DP39" s="27"/>
      <c r="DQ39" s="27"/>
      <c r="DR39" s="27"/>
      <c r="DS39" s="27"/>
      <c r="DU39" s="11"/>
      <c r="DW39" s="27"/>
      <c r="DX39" s="27"/>
      <c r="DY39" s="27"/>
      <c r="DZ39" s="27"/>
    </row>
    <row r="40" ht="15.75" customHeight="1" outlineLevel="1">
      <c r="B40" s="6" t="s">
        <v>56</v>
      </c>
      <c r="C40" s="24" t="s">
        <v>85</v>
      </c>
      <c r="E40" s="26"/>
      <c r="F40" s="5" t="s">
        <v>84</v>
      </c>
      <c r="G40" s="27">
        <v>0.1</v>
      </c>
      <c r="I40" s="26">
        <f t="shared" si="4"/>
        <v>0</v>
      </c>
      <c r="J40" s="29">
        <f t="array" ref="J40">MAX(IF($N$3:$HA$3=$J$3,N40:HA40))</f>
        <v>0</v>
      </c>
      <c r="K40" s="29">
        <f t="array" ref="K40">MAX(IF($N$3:$HA$3=$J$3,N40:HA40))</f>
        <v>0</v>
      </c>
      <c r="L40" s="26"/>
      <c r="O40" s="27"/>
      <c r="P40" s="27"/>
      <c r="Q40" s="27"/>
      <c r="R40" s="27"/>
      <c r="V40" s="27"/>
      <c r="W40" s="27"/>
      <c r="X40" s="27"/>
      <c r="Y40" s="30">
        <v>0.0</v>
      </c>
      <c r="AC40" s="27"/>
      <c r="AD40" s="27"/>
      <c r="AE40" s="27"/>
      <c r="AF40" s="30">
        <v>0.0</v>
      </c>
      <c r="AJ40" s="27"/>
      <c r="AK40" s="27"/>
      <c r="AL40" s="27"/>
      <c r="AM40" s="30">
        <v>0.0</v>
      </c>
      <c r="AQ40" s="27"/>
      <c r="AR40" s="30">
        <v>0.0</v>
      </c>
      <c r="AS40" s="27"/>
      <c r="AT40" s="30">
        <v>0.0</v>
      </c>
      <c r="AX40" s="27"/>
      <c r="AY40" s="30">
        <v>0.0</v>
      </c>
      <c r="AZ40" s="27"/>
      <c r="BA40" s="30">
        <v>0.0</v>
      </c>
      <c r="BE40" s="27"/>
      <c r="BF40" s="30">
        <v>0.0</v>
      </c>
      <c r="BG40" s="27"/>
      <c r="BH40" s="30">
        <v>0.0</v>
      </c>
      <c r="BJ40" s="11"/>
      <c r="BL40" s="27"/>
      <c r="BM40" s="30">
        <v>0.5</v>
      </c>
      <c r="BN40" s="27"/>
      <c r="BO40" s="30">
        <v>0.5</v>
      </c>
      <c r="BS40" s="27"/>
      <c r="BT40" s="30">
        <v>0.5</v>
      </c>
      <c r="BU40" s="27"/>
      <c r="BV40" s="30">
        <v>0.5</v>
      </c>
      <c r="BX40" s="11"/>
      <c r="BZ40" s="27"/>
      <c r="CA40" s="30">
        <v>0.5</v>
      </c>
      <c r="CB40" s="27"/>
      <c r="CC40" s="30">
        <v>0.5</v>
      </c>
      <c r="CE40" s="11"/>
      <c r="CG40" s="27"/>
      <c r="CH40" s="30">
        <v>0.5</v>
      </c>
      <c r="CI40" s="27"/>
      <c r="CJ40" s="30">
        <v>0.5</v>
      </c>
      <c r="CL40" s="11"/>
      <c r="CN40" s="27"/>
      <c r="CO40" s="30">
        <v>0.8</v>
      </c>
      <c r="CP40" s="27"/>
      <c r="CQ40" s="30">
        <v>0.8</v>
      </c>
      <c r="CS40" s="11"/>
      <c r="CU40" s="27"/>
      <c r="CV40" s="30">
        <v>0.8</v>
      </c>
      <c r="CW40" s="27"/>
      <c r="CX40" s="30">
        <v>0.8</v>
      </c>
      <c r="CZ40" s="11"/>
      <c r="DB40" s="27"/>
      <c r="DC40" s="30">
        <v>1.0</v>
      </c>
      <c r="DD40" s="27"/>
      <c r="DE40" s="30">
        <v>1.0</v>
      </c>
      <c r="DG40" s="11"/>
      <c r="DI40" s="27"/>
      <c r="DJ40" s="27"/>
      <c r="DK40" s="27"/>
      <c r="DL40" s="27"/>
      <c r="DN40" s="11"/>
      <c r="DP40" s="27"/>
      <c r="DQ40" s="27"/>
      <c r="DR40" s="27"/>
      <c r="DS40" s="27"/>
      <c r="DU40" s="11"/>
      <c r="DW40" s="27"/>
      <c r="DX40" s="27"/>
      <c r="DY40" s="27"/>
      <c r="DZ40" s="27"/>
    </row>
    <row r="41" ht="15.75" customHeight="1">
      <c r="C41" s="8"/>
      <c r="BJ41" s="11"/>
      <c r="BX41" s="11"/>
      <c r="CE41" s="11"/>
      <c r="CL41" s="11"/>
      <c r="CS41" s="11"/>
      <c r="CZ41" s="11"/>
      <c r="DG41" s="11"/>
      <c r="DN41" s="11"/>
      <c r="DU41" s="11"/>
    </row>
    <row r="42" ht="15.75" customHeight="1">
      <c r="B42" s="6" t="s">
        <v>26</v>
      </c>
      <c r="C42" s="24" t="s">
        <v>86</v>
      </c>
      <c r="D42" s="25">
        <v>44888.0</v>
      </c>
      <c r="E42" s="32">
        <v>3.0</v>
      </c>
      <c r="G42" s="27">
        <f>+SUM(G43:G50)</f>
        <v>1</v>
      </c>
      <c r="I42" s="28">
        <f>+SUM(I43:I50)</f>
        <v>0</v>
      </c>
      <c r="J42" s="29">
        <f>+SUMPRODUCT(G43:G50,J43:J50)</f>
        <v>0</v>
      </c>
      <c r="K42" s="29">
        <f>+SUMPRODUCT(G43:G50,K43:K50)</f>
        <v>0</v>
      </c>
      <c r="L42" s="26"/>
      <c r="N42" s="28">
        <f>SUM(N43:N50)</f>
        <v>0</v>
      </c>
      <c r="U42" s="28">
        <f>SUM(U43:U50)</f>
        <v>0</v>
      </c>
      <c r="AB42" s="28">
        <f>SUM(AB43:AB50)</f>
        <v>0</v>
      </c>
      <c r="AI42" s="28">
        <f>SUM(AI43:AI50)</f>
        <v>0</v>
      </c>
      <c r="AP42" s="28">
        <f>SUM(AP43:AP50)</f>
        <v>0</v>
      </c>
      <c r="AW42" s="28">
        <f>SUM(AW43:AW50)</f>
        <v>0</v>
      </c>
      <c r="BD42" s="28">
        <f>SUM(BD43:BD50)</f>
        <v>0</v>
      </c>
      <c r="BJ42" s="11"/>
      <c r="BK42" s="28">
        <f>SUM(BK43:BK50)</f>
        <v>0</v>
      </c>
      <c r="BR42" s="28">
        <f>SUM(BR43:BR50)</f>
        <v>0</v>
      </c>
      <c r="BX42" s="11"/>
      <c r="BY42" s="28">
        <f>SUM(BY43:BY50)</f>
        <v>0</v>
      </c>
      <c r="CE42" s="11"/>
      <c r="CF42" s="28">
        <f>SUM(CF43:CF50)</f>
        <v>0</v>
      </c>
      <c r="CL42" s="11"/>
      <c r="CM42" s="28">
        <f>SUM(CM43:CM50)</f>
        <v>0</v>
      </c>
      <c r="CS42" s="11"/>
      <c r="CT42" s="28">
        <f>SUM(CT43:CT50)</f>
        <v>0</v>
      </c>
      <c r="CZ42" s="11"/>
      <c r="DA42" s="28">
        <f>SUM(DA43:DA50)</f>
        <v>0</v>
      </c>
      <c r="DG42" s="11"/>
      <c r="DH42" s="28">
        <f>SUM(DH43:DH50)</f>
        <v>0</v>
      </c>
      <c r="DN42" s="11"/>
      <c r="DO42" s="28">
        <f>SUM(DO43:DO50)</f>
        <v>0</v>
      </c>
      <c r="DU42" s="11"/>
      <c r="DV42" s="28"/>
    </row>
    <row r="43" ht="15.75" customHeight="1" outlineLevel="1">
      <c r="B43" s="6" t="s">
        <v>56</v>
      </c>
      <c r="C43" s="24" t="s">
        <v>86</v>
      </c>
      <c r="E43" s="26"/>
      <c r="F43" s="5" t="s">
        <v>87</v>
      </c>
      <c r="G43" s="30">
        <v>0.05</v>
      </c>
      <c r="I43" s="26">
        <f t="shared" ref="I43:I50" si="5">+SUMIF($N$3:$ACS$3,I$3,$N43:$ACS43)</f>
        <v>0</v>
      </c>
      <c r="J43" s="29">
        <f t="array" ref="J43">MAX(IF($N$3:$HA$3=$J$3,N43:HA43))</f>
        <v>0</v>
      </c>
      <c r="K43" s="29">
        <f t="array" ref="K43">MAX(IF($N$3:$HA$3=$J$3,N43:HA43))</f>
        <v>0</v>
      </c>
      <c r="L43" s="26"/>
      <c r="O43" s="27"/>
      <c r="P43" s="27"/>
      <c r="Q43" s="27"/>
      <c r="R43" s="27"/>
      <c r="V43" s="27"/>
      <c r="W43" s="27"/>
      <c r="X43" s="27"/>
      <c r="Y43" s="30">
        <v>0.8</v>
      </c>
      <c r="AC43" s="27"/>
      <c r="AD43" s="30">
        <v>0.8</v>
      </c>
      <c r="AE43" s="27"/>
      <c r="AF43" s="30">
        <v>0.8</v>
      </c>
      <c r="AJ43" s="27"/>
      <c r="AK43" s="30">
        <v>0.8</v>
      </c>
      <c r="AL43" s="27"/>
      <c r="AM43" s="30">
        <v>0.8</v>
      </c>
      <c r="AQ43" s="27"/>
      <c r="AR43" s="30">
        <v>0.8</v>
      </c>
      <c r="AS43" s="27"/>
      <c r="AT43" s="30">
        <v>0.8</v>
      </c>
      <c r="AX43" s="27"/>
      <c r="AY43" s="30">
        <v>0.8</v>
      </c>
      <c r="AZ43" s="27"/>
      <c r="BA43" s="30">
        <v>0.8</v>
      </c>
      <c r="BE43" s="27"/>
      <c r="BF43" s="30">
        <v>0.8</v>
      </c>
      <c r="BG43" s="27"/>
      <c r="BH43" s="30">
        <v>0.8</v>
      </c>
      <c r="BJ43" s="11"/>
      <c r="BL43" s="27"/>
      <c r="BM43" s="30">
        <v>0.8</v>
      </c>
      <c r="BN43" s="27"/>
      <c r="BO43" s="30">
        <v>0.8</v>
      </c>
      <c r="BS43" s="27"/>
      <c r="BT43" s="30">
        <v>0.8</v>
      </c>
      <c r="BU43" s="27"/>
      <c r="BV43" s="30">
        <v>0.8</v>
      </c>
      <c r="BX43" s="11"/>
      <c r="BZ43" s="27"/>
      <c r="CA43" s="30">
        <v>1.0</v>
      </c>
      <c r="CB43" s="27"/>
      <c r="CC43" s="30">
        <v>1.0</v>
      </c>
      <c r="CE43" s="11"/>
      <c r="CG43" s="27"/>
      <c r="CH43" s="30">
        <v>1.0</v>
      </c>
      <c r="CI43" s="27"/>
      <c r="CJ43" s="30">
        <v>1.0</v>
      </c>
      <c r="CL43" s="11"/>
      <c r="CN43" s="27"/>
      <c r="CO43" s="30">
        <v>1.0</v>
      </c>
      <c r="CP43" s="27"/>
      <c r="CQ43" s="30">
        <v>1.0</v>
      </c>
      <c r="CS43" s="11"/>
      <c r="CU43" s="27"/>
      <c r="CV43" s="30">
        <v>1.0</v>
      </c>
      <c r="CW43" s="27"/>
      <c r="CX43" s="30">
        <v>1.0</v>
      </c>
      <c r="CZ43" s="11"/>
      <c r="DB43" s="27"/>
      <c r="DC43" s="30">
        <v>1.0</v>
      </c>
      <c r="DD43" s="27"/>
      <c r="DE43" s="30">
        <v>1.0</v>
      </c>
      <c r="DG43" s="11"/>
      <c r="DI43" s="27"/>
      <c r="DJ43" s="27"/>
      <c r="DK43" s="27"/>
      <c r="DL43" s="27"/>
      <c r="DN43" s="11"/>
      <c r="DP43" s="27"/>
      <c r="DQ43" s="27"/>
      <c r="DR43" s="27"/>
      <c r="DS43" s="27"/>
      <c r="DU43" s="11"/>
      <c r="DW43" s="27"/>
      <c r="DX43" s="27"/>
      <c r="DY43" s="27"/>
      <c r="DZ43" s="27"/>
    </row>
    <row r="44" ht="15.75" customHeight="1" outlineLevel="1">
      <c r="B44" s="6" t="s">
        <v>56</v>
      </c>
      <c r="C44" s="24" t="s">
        <v>86</v>
      </c>
      <c r="E44" s="26"/>
      <c r="F44" s="5" t="s">
        <v>88</v>
      </c>
      <c r="G44" s="30">
        <v>0.15</v>
      </c>
      <c r="I44" s="26">
        <f t="shared" si="5"/>
        <v>0</v>
      </c>
      <c r="J44" s="29">
        <f t="array" ref="J44">MAX(IF($N$3:$HA$3=$J$3,N44:HA44))</f>
        <v>0</v>
      </c>
      <c r="K44" s="29">
        <f t="array" ref="K44">MAX(IF($N$3:$HA$3=$J$3,N44:HA44))</f>
        <v>0</v>
      </c>
      <c r="L44" s="26"/>
      <c r="O44" s="27"/>
      <c r="P44" s="27"/>
      <c r="Q44" s="27"/>
      <c r="R44" s="27"/>
      <c r="V44" s="27"/>
      <c r="W44" s="27"/>
      <c r="X44" s="27"/>
      <c r="Y44" s="30">
        <v>0.5</v>
      </c>
      <c r="AC44" s="27"/>
      <c r="AD44" s="30">
        <v>0.5</v>
      </c>
      <c r="AE44" s="27"/>
      <c r="AF44" s="30">
        <v>0.5</v>
      </c>
      <c r="AJ44" s="27"/>
      <c r="AK44" s="30">
        <v>0.5</v>
      </c>
      <c r="AL44" s="27"/>
      <c r="AM44" s="30">
        <v>0.5</v>
      </c>
      <c r="AQ44" s="27"/>
      <c r="AR44" s="30">
        <v>0.5</v>
      </c>
      <c r="AS44" s="27"/>
      <c r="AT44" s="30">
        <v>0.5</v>
      </c>
      <c r="AX44" s="27"/>
      <c r="AY44" s="30">
        <v>0.5</v>
      </c>
      <c r="AZ44" s="27"/>
      <c r="BA44" s="30">
        <v>0.5</v>
      </c>
      <c r="BE44" s="27"/>
      <c r="BF44" s="30">
        <v>0.8</v>
      </c>
      <c r="BG44" s="27"/>
      <c r="BH44" s="30">
        <v>0.8</v>
      </c>
      <c r="BJ44" s="11"/>
      <c r="BL44" s="27"/>
      <c r="BM44" s="30">
        <v>0.8</v>
      </c>
      <c r="BN44" s="27"/>
      <c r="BO44" s="30">
        <v>0.8</v>
      </c>
      <c r="BS44" s="27"/>
      <c r="BT44" s="30">
        <v>0.8</v>
      </c>
      <c r="BU44" s="27"/>
      <c r="BV44" s="30">
        <v>0.8</v>
      </c>
      <c r="BX44" s="11"/>
      <c r="BZ44" s="27"/>
      <c r="CA44" s="30">
        <v>0.8</v>
      </c>
      <c r="CB44" s="27"/>
      <c r="CC44" s="30">
        <v>0.8</v>
      </c>
      <c r="CE44" s="11"/>
      <c r="CG44" s="27"/>
      <c r="CH44" s="30">
        <v>1.0</v>
      </c>
      <c r="CI44" s="27"/>
      <c r="CJ44" s="30">
        <v>1.0</v>
      </c>
      <c r="CL44" s="11"/>
      <c r="CN44" s="27"/>
      <c r="CO44" s="30">
        <v>1.0</v>
      </c>
      <c r="CP44" s="27"/>
      <c r="CQ44" s="30">
        <v>1.0</v>
      </c>
      <c r="CS44" s="11"/>
      <c r="CU44" s="27"/>
      <c r="CV44" s="30">
        <v>1.0</v>
      </c>
      <c r="CW44" s="27"/>
      <c r="CX44" s="30">
        <v>1.0</v>
      </c>
      <c r="CZ44" s="11"/>
      <c r="DB44" s="27"/>
      <c r="DC44" s="30">
        <v>1.0</v>
      </c>
      <c r="DD44" s="27"/>
      <c r="DE44" s="30">
        <v>1.0</v>
      </c>
      <c r="DG44" s="11"/>
      <c r="DI44" s="27"/>
      <c r="DJ44" s="27"/>
      <c r="DK44" s="27"/>
      <c r="DL44" s="27"/>
      <c r="DN44" s="11"/>
      <c r="DP44" s="27"/>
      <c r="DQ44" s="27"/>
      <c r="DR44" s="27"/>
      <c r="DS44" s="27"/>
      <c r="DU44" s="11"/>
      <c r="DW44" s="27"/>
      <c r="DX44" s="27"/>
      <c r="DY44" s="27"/>
      <c r="DZ44" s="27"/>
    </row>
    <row r="45" ht="15.75" customHeight="1" outlineLevel="1">
      <c r="B45" s="6" t="s">
        <v>56</v>
      </c>
      <c r="C45" s="24" t="s">
        <v>86</v>
      </c>
      <c r="E45" s="26"/>
      <c r="F45" s="5" t="s">
        <v>89</v>
      </c>
      <c r="G45" s="30">
        <v>0.05</v>
      </c>
      <c r="I45" s="26">
        <f t="shared" si="5"/>
        <v>0</v>
      </c>
      <c r="J45" s="29">
        <f t="array" ref="J45">MAX(IF($N$3:$HA$3=$J$3,N45:HA45))</f>
        <v>0</v>
      </c>
      <c r="K45" s="29">
        <f t="array" ref="K45">MAX(IF($N$3:$HA$3=$J$3,N45:HA45))</f>
        <v>0</v>
      </c>
      <c r="L45" s="26"/>
      <c r="O45" s="27"/>
      <c r="P45" s="27"/>
      <c r="Q45" s="27"/>
      <c r="R45" s="27"/>
      <c r="V45" s="27"/>
      <c r="W45" s="27"/>
      <c r="X45" s="27"/>
      <c r="Y45" s="30">
        <v>0.5</v>
      </c>
      <c r="AC45" s="27"/>
      <c r="AD45" s="30">
        <v>0.5</v>
      </c>
      <c r="AE45" s="27"/>
      <c r="AF45" s="30">
        <v>0.5</v>
      </c>
      <c r="AJ45" s="27"/>
      <c r="AK45" s="30">
        <v>0.5</v>
      </c>
      <c r="AL45" s="27"/>
      <c r="AM45" s="30">
        <v>0.5</v>
      </c>
      <c r="AQ45" s="27"/>
      <c r="AR45" s="30">
        <v>0.5</v>
      </c>
      <c r="AS45" s="27"/>
      <c r="AT45" s="30">
        <v>0.5</v>
      </c>
      <c r="AX45" s="27"/>
      <c r="AY45" s="30">
        <v>0.5</v>
      </c>
      <c r="AZ45" s="27"/>
      <c r="BA45" s="30">
        <v>0.5</v>
      </c>
      <c r="BE45" s="27"/>
      <c r="BF45" s="30">
        <v>0.5</v>
      </c>
      <c r="BG45" s="27"/>
      <c r="BH45" s="30">
        <v>0.5</v>
      </c>
      <c r="BJ45" s="11"/>
      <c r="BL45" s="27"/>
      <c r="BM45" s="30">
        <v>0.8</v>
      </c>
      <c r="BN45" s="27"/>
      <c r="BO45" s="30">
        <v>0.8</v>
      </c>
      <c r="BS45" s="27"/>
      <c r="BT45" s="30">
        <v>0.8</v>
      </c>
      <c r="BU45" s="27"/>
      <c r="BV45" s="30">
        <v>0.8</v>
      </c>
      <c r="BX45" s="11"/>
      <c r="BZ45" s="27"/>
      <c r="CA45" s="30">
        <v>0.8</v>
      </c>
      <c r="CB45" s="27"/>
      <c r="CC45" s="30">
        <v>0.8</v>
      </c>
      <c r="CE45" s="11"/>
      <c r="CG45" s="27"/>
      <c r="CH45" s="30">
        <v>0.8</v>
      </c>
      <c r="CI45" s="27"/>
      <c r="CJ45" s="30">
        <v>0.8</v>
      </c>
      <c r="CL45" s="11"/>
      <c r="CN45" s="27"/>
      <c r="CO45" s="30">
        <v>1.0</v>
      </c>
      <c r="CP45" s="27"/>
      <c r="CQ45" s="30">
        <v>1.0</v>
      </c>
      <c r="CS45" s="11"/>
      <c r="CU45" s="27"/>
      <c r="CV45" s="30">
        <v>1.0</v>
      </c>
      <c r="CW45" s="27"/>
      <c r="CX45" s="30">
        <v>1.0</v>
      </c>
      <c r="CZ45" s="11"/>
      <c r="DB45" s="27"/>
      <c r="DC45" s="30">
        <v>1.0</v>
      </c>
      <c r="DD45" s="27"/>
      <c r="DE45" s="30">
        <v>1.0</v>
      </c>
      <c r="DG45" s="11"/>
      <c r="DI45" s="27"/>
      <c r="DJ45" s="27"/>
      <c r="DK45" s="27"/>
      <c r="DL45" s="27"/>
      <c r="DN45" s="11"/>
      <c r="DP45" s="27"/>
      <c r="DQ45" s="27"/>
      <c r="DR45" s="27"/>
      <c r="DS45" s="27"/>
      <c r="DU45" s="11"/>
      <c r="DW45" s="27"/>
      <c r="DX45" s="27"/>
      <c r="DY45" s="27"/>
      <c r="DZ45" s="27"/>
    </row>
    <row r="46" ht="15.75" customHeight="1" outlineLevel="1">
      <c r="B46" s="6" t="s">
        <v>56</v>
      </c>
      <c r="C46" s="24" t="s">
        <v>86</v>
      </c>
      <c r="E46" s="26"/>
      <c r="F46" s="5" t="s">
        <v>90</v>
      </c>
      <c r="G46" s="30">
        <v>0.15</v>
      </c>
      <c r="I46" s="26">
        <f t="shared" si="5"/>
        <v>0</v>
      </c>
      <c r="J46" s="29">
        <f t="array" ref="J46">MAX(IF($N$3:$HA$3=$J$3,N46:HA46))</f>
        <v>0</v>
      </c>
      <c r="K46" s="29">
        <f t="array" ref="K46">MAX(IF($N$3:$HA$3=$J$3,N46:HA46))</f>
        <v>0</v>
      </c>
      <c r="L46" s="26"/>
      <c r="O46" s="27"/>
      <c r="P46" s="27"/>
      <c r="Q46" s="27"/>
      <c r="R46" s="27"/>
      <c r="V46" s="27"/>
      <c r="W46" s="27"/>
      <c r="X46" s="27"/>
      <c r="Y46" s="30">
        <v>0.5</v>
      </c>
      <c r="AC46" s="27"/>
      <c r="AD46" s="27"/>
      <c r="AE46" s="27"/>
      <c r="AF46" s="30">
        <v>0.5</v>
      </c>
      <c r="AJ46" s="27"/>
      <c r="AK46" s="30">
        <v>0.5</v>
      </c>
      <c r="AL46" s="27"/>
      <c r="AM46" s="30">
        <v>0.5</v>
      </c>
      <c r="AQ46" s="27"/>
      <c r="AR46" s="30">
        <v>0.5</v>
      </c>
      <c r="AS46" s="27"/>
      <c r="AT46" s="30">
        <v>0.5</v>
      </c>
      <c r="AX46" s="27"/>
      <c r="AY46" s="30">
        <v>0.5</v>
      </c>
      <c r="AZ46" s="27"/>
      <c r="BA46" s="30">
        <v>0.5</v>
      </c>
      <c r="BE46" s="27"/>
      <c r="BF46" s="30">
        <v>0.5</v>
      </c>
      <c r="BG46" s="27"/>
      <c r="BH46" s="30">
        <v>0.5</v>
      </c>
      <c r="BJ46" s="11"/>
      <c r="BL46" s="27"/>
      <c r="BM46" s="30">
        <v>0.8</v>
      </c>
      <c r="BN46" s="27"/>
      <c r="BO46" s="30">
        <v>0.8</v>
      </c>
      <c r="BS46" s="27"/>
      <c r="BT46" s="30">
        <v>0.8</v>
      </c>
      <c r="BU46" s="27"/>
      <c r="BV46" s="30">
        <v>0.8</v>
      </c>
      <c r="BX46" s="11"/>
      <c r="BZ46" s="27"/>
      <c r="CA46" s="30">
        <v>0.8</v>
      </c>
      <c r="CB46" s="27"/>
      <c r="CC46" s="30">
        <v>0.8</v>
      </c>
      <c r="CE46" s="11"/>
      <c r="CG46" s="27"/>
      <c r="CH46" s="30">
        <v>0.8</v>
      </c>
      <c r="CI46" s="27"/>
      <c r="CJ46" s="30">
        <v>0.8</v>
      </c>
      <c r="CL46" s="11"/>
      <c r="CN46" s="27"/>
      <c r="CO46" s="30">
        <v>1.0</v>
      </c>
      <c r="CP46" s="27"/>
      <c r="CQ46" s="30">
        <v>1.0</v>
      </c>
      <c r="CS46" s="11"/>
      <c r="CU46" s="27"/>
      <c r="CV46" s="30">
        <v>1.0</v>
      </c>
      <c r="CW46" s="27"/>
      <c r="CX46" s="30">
        <v>1.0</v>
      </c>
      <c r="CZ46" s="11"/>
      <c r="DB46" s="27"/>
      <c r="DC46" s="30">
        <v>1.0</v>
      </c>
      <c r="DD46" s="27"/>
      <c r="DE46" s="30">
        <v>1.0</v>
      </c>
      <c r="DG46" s="11"/>
      <c r="DI46" s="27"/>
      <c r="DJ46" s="27"/>
      <c r="DK46" s="27"/>
      <c r="DL46" s="27"/>
      <c r="DN46" s="11"/>
      <c r="DP46" s="27"/>
      <c r="DQ46" s="27"/>
      <c r="DR46" s="27"/>
      <c r="DS46" s="27"/>
      <c r="DU46" s="11"/>
      <c r="DW46" s="27"/>
      <c r="DX46" s="27"/>
      <c r="DY46" s="27"/>
      <c r="DZ46" s="27"/>
    </row>
    <row r="47" ht="15.75" customHeight="1" outlineLevel="1">
      <c r="B47" s="6" t="s">
        <v>56</v>
      </c>
      <c r="C47" s="24" t="s">
        <v>86</v>
      </c>
      <c r="E47" s="26"/>
      <c r="F47" s="5" t="s">
        <v>91</v>
      </c>
      <c r="G47" s="30">
        <v>0.05</v>
      </c>
      <c r="I47" s="26">
        <f t="shared" si="5"/>
        <v>0</v>
      </c>
      <c r="J47" s="29">
        <f t="array" ref="J47">MAX(IF($N$3:$HA$3=$J$3,N47:HA47))</f>
        <v>0</v>
      </c>
      <c r="K47" s="29">
        <f t="array" ref="K47">MAX(IF($N$3:$HA$3=$J$3,N47:HA47))</f>
        <v>0</v>
      </c>
      <c r="L47" s="26"/>
      <c r="O47" s="27"/>
      <c r="P47" s="27"/>
      <c r="Q47" s="27"/>
      <c r="R47" s="27"/>
      <c r="V47" s="27"/>
      <c r="W47" s="27"/>
      <c r="X47" s="27"/>
      <c r="Y47" s="30">
        <v>0.0</v>
      </c>
      <c r="AC47" s="27"/>
      <c r="AD47" s="27"/>
      <c r="AE47" s="27"/>
      <c r="AF47" s="30">
        <v>0.0</v>
      </c>
      <c r="AJ47" s="27"/>
      <c r="AK47" s="30">
        <v>0.5</v>
      </c>
      <c r="AL47" s="27"/>
      <c r="AM47" s="30">
        <v>0.5</v>
      </c>
      <c r="AQ47" s="27"/>
      <c r="AR47" s="30">
        <v>0.5</v>
      </c>
      <c r="AS47" s="27"/>
      <c r="AT47" s="30">
        <v>0.5</v>
      </c>
      <c r="AX47" s="27"/>
      <c r="AY47" s="30">
        <v>0.5</v>
      </c>
      <c r="AZ47" s="27"/>
      <c r="BA47" s="30">
        <v>0.5</v>
      </c>
      <c r="BE47" s="27"/>
      <c r="BF47" s="30">
        <v>0.5</v>
      </c>
      <c r="BG47" s="27"/>
      <c r="BH47" s="30">
        <v>0.5</v>
      </c>
      <c r="BJ47" s="11"/>
      <c r="BL47" s="27"/>
      <c r="BM47" s="30">
        <v>0.8</v>
      </c>
      <c r="BN47" s="27"/>
      <c r="BO47" s="30">
        <v>0.8</v>
      </c>
      <c r="BS47" s="27"/>
      <c r="BT47" s="30">
        <v>0.8</v>
      </c>
      <c r="BU47" s="27"/>
      <c r="BV47" s="30">
        <v>0.8</v>
      </c>
      <c r="BX47" s="11"/>
      <c r="BZ47" s="27"/>
      <c r="CA47" s="30">
        <v>0.8</v>
      </c>
      <c r="CB47" s="27"/>
      <c r="CC47" s="30">
        <v>0.8</v>
      </c>
      <c r="CE47" s="11"/>
      <c r="CG47" s="27"/>
      <c r="CH47" s="30">
        <v>0.8</v>
      </c>
      <c r="CI47" s="27"/>
      <c r="CJ47" s="30">
        <v>0.8</v>
      </c>
      <c r="CL47" s="11"/>
      <c r="CN47" s="27"/>
      <c r="CO47" s="30">
        <v>0.8</v>
      </c>
      <c r="CP47" s="27"/>
      <c r="CQ47" s="30">
        <v>0.8</v>
      </c>
      <c r="CS47" s="11"/>
      <c r="CU47" s="27"/>
      <c r="CV47" s="30">
        <v>1.0</v>
      </c>
      <c r="CW47" s="27"/>
      <c r="CX47" s="30">
        <v>1.0</v>
      </c>
      <c r="CZ47" s="11"/>
      <c r="DB47" s="27"/>
      <c r="DC47" s="30">
        <v>1.0</v>
      </c>
      <c r="DD47" s="27"/>
      <c r="DE47" s="30">
        <v>1.0</v>
      </c>
      <c r="DG47" s="11"/>
      <c r="DI47" s="27"/>
      <c r="DJ47" s="27"/>
      <c r="DK47" s="27"/>
      <c r="DL47" s="27"/>
      <c r="DN47" s="11"/>
      <c r="DP47" s="27"/>
      <c r="DQ47" s="27"/>
      <c r="DR47" s="27"/>
      <c r="DS47" s="27"/>
      <c r="DU47" s="11"/>
      <c r="DW47" s="27"/>
      <c r="DX47" s="27"/>
      <c r="DY47" s="27"/>
      <c r="DZ47" s="27"/>
    </row>
    <row r="48" ht="15.75" customHeight="1" outlineLevel="1">
      <c r="B48" s="6" t="s">
        <v>56</v>
      </c>
      <c r="C48" s="24" t="s">
        <v>86</v>
      </c>
      <c r="E48" s="26"/>
      <c r="F48" s="5" t="s">
        <v>92</v>
      </c>
      <c r="G48" s="30">
        <v>0.05</v>
      </c>
      <c r="I48" s="26">
        <f t="shared" si="5"/>
        <v>0</v>
      </c>
      <c r="J48" s="29">
        <f t="array" ref="J48">MAX(IF($N$3:$HA$3=$J$3,N48:HA48))</f>
        <v>0</v>
      </c>
      <c r="K48" s="29">
        <f t="array" ref="K48">MAX(IF($N$3:$HA$3=$J$3,N48:HA48))</f>
        <v>0</v>
      </c>
      <c r="L48" s="26"/>
      <c r="O48" s="27"/>
      <c r="P48" s="27"/>
      <c r="Q48" s="27"/>
      <c r="R48" s="27"/>
      <c r="V48" s="27"/>
      <c r="W48" s="27"/>
      <c r="X48" s="27"/>
      <c r="Y48" s="30">
        <v>0.0</v>
      </c>
      <c r="AC48" s="27"/>
      <c r="AD48" s="27"/>
      <c r="AE48" s="27"/>
      <c r="AF48" s="30">
        <v>0.0</v>
      </c>
      <c r="AJ48" s="27"/>
      <c r="AK48" s="30">
        <v>0.5</v>
      </c>
      <c r="AL48" s="27"/>
      <c r="AM48" s="30">
        <v>0.5</v>
      </c>
      <c r="AQ48" s="27"/>
      <c r="AR48" s="30">
        <v>0.5</v>
      </c>
      <c r="AS48" s="27"/>
      <c r="AT48" s="30">
        <v>0.5</v>
      </c>
      <c r="AX48" s="27"/>
      <c r="AY48" s="30">
        <v>0.5</v>
      </c>
      <c r="AZ48" s="27"/>
      <c r="BA48" s="30">
        <v>0.5</v>
      </c>
      <c r="BE48" s="27"/>
      <c r="BF48" s="30">
        <v>0.5</v>
      </c>
      <c r="BG48" s="27"/>
      <c r="BH48" s="30">
        <v>0.5</v>
      </c>
      <c r="BJ48" s="11"/>
      <c r="BL48" s="27"/>
      <c r="BM48" s="30">
        <v>0.5</v>
      </c>
      <c r="BN48" s="27"/>
      <c r="BO48" s="30">
        <v>0.5</v>
      </c>
      <c r="BS48" s="27"/>
      <c r="BT48" s="30">
        <v>0.8</v>
      </c>
      <c r="BU48" s="27"/>
      <c r="BV48" s="30">
        <v>0.8</v>
      </c>
      <c r="BX48" s="11"/>
      <c r="BZ48" s="27"/>
      <c r="CA48" s="30">
        <v>0.8</v>
      </c>
      <c r="CB48" s="27"/>
      <c r="CC48" s="30">
        <v>0.8</v>
      </c>
      <c r="CE48" s="11"/>
      <c r="CG48" s="27"/>
      <c r="CH48" s="30">
        <v>0.8</v>
      </c>
      <c r="CI48" s="27"/>
      <c r="CJ48" s="30">
        <v>0.8</v>
      </c>
      <c r="CL48" s="11"/>
      <c r="CN48" s="27"/>
      <c r="CO48" s="30">
        <v>0.8</v>
      </c>
      <c r="CP48" s="27"/>
      <c r="CQ48" s="30">
        <v>0.8</v>
      </c>
      <c r="CS48" s="11"/>
      <c r="CU48" s="27"/>
      <c r="CV48" s="30">
        <v>1.0</v>
      </c>
      <c r="CW48" s="27"/>
      <c r="CX48" s="30">
        <v>1.0</v>
      </c>
      <c r="CZ48" s="11"/>
      <c r="DB48" s="27"/>
      <c r="DC48" s="30">
        <v>1.0</v>
      </c>
      <c r="DD48" s="27"/>
      <c r="DE48" s="30">
        <v>1.0</v>
      </c>
      <c r="DG48" s="11"/>
      <c r="DI48" s="27"/>
      <c r="DJ48" s="27"/>
      <c r="DK48" s="27"/>
      <c r="DL48" s="27"/>
      <c r="DN48" s="11"/>
      <c r="DP48" s="27"/>
      <c r="DQ48" s="27"/>
      <c r="DR48" s="27"/>
      <c r="DS48" s="27"/>
      <c r="DU48" s="11"/>
      <c r="DW48" s="27"/>
      <c r="DX48" s="27"/>
      <c r="DY48" s="27"/>
      <c r="DZ48" s="27"/>
    </row>
    <row r="49" ht="15.75" customHeight="1" outlineLevel="1">
      <c r="B49" s="6" t="s">
        <v>56</v>
      </c>
      <c r="C49" s="24" t="s">
        <v>86</v>
      </c>
      <c r="E49" s="26"/>
      <c r="F49" s="5" t="s">
        <v>93</v>
      </c>
      <c r="G49" s="30">
        <v>0.05</v>
      </c>
      <c r="I49" s="26">
        <f t="shared" si="5"/>
        <v>0</v>
      </c>
      <c r="J49" s="29">
        <f t="array" ref="J49">MAX(IF($N$3:$HA$3=$J$3,N49:HA49))</f>
        <v>0</v>
      </c>
      <c r="K49" s="29">
        <f t="array" ref="K49">MAX(IF($N$3:$HA$3=$J$3,N49:HA49))</f>
        <v>0</v>
      </c>
      <c r="L49" s="26"/>
      <c r="O49" s="27"/>
      <c r="P49" s="27"/>
      <c r="Q49" s="27"/>
      <c r="R49" s="27"/>
      <c r="V49" s="27"/>
      <c r="W49" s="27"/>
      <c r="X49" s="27"/>
      <c r="Y49" s="30">
        <v>0.0</v>
      </c>
      <c r="AC49" s="27"/>
      <c r="AD49" s="27"/>
      <c r="AE49" s="27"/>
      <c r="AF49" s="30">
        <v>0.0</v>
      </c>
      <c r="AJ49" s="27"/>
      <c r="AK49" s="27"/>
      <c r="AL49" s="27"/>
      <c r="AM49" s="30">
        <v>0.0</v>
      </c>
      <c r="AQ49" s="27"/>
      <c r="AR49" s="30">
        <v>0.5</v>
      </c>
      <c r="AS49" s="27"/>
      <c r="AT49" s="30">
        <v>0.5</v>
      </c>
      <c r="AX49" s="27"/>
      <c r="AY49" s="30">
        <v>0.5</v>
      </c>
      <c r="AZ49" s="27"/>
      <c r="BA49" s="30">
        <v>0.5</v>
      </c>
      <c r="BE49" s="27"/>
      <c r="BF49" s="30">
        <v>0.5</v>
      </c>
      <c r="BG49" s="27"/>
      <c r="BH49" s="30">
        <v>0.5</v>
      </c>
      <c r="BJ49" s="11"/>
      <c r="BL49" s="27"/>
      <c r="BM49" s="30">
        <v>0.5</v>
      </c>
      <c r="BN49" s="27"/>
      <c r="BO49" s="30">
        <v>0.5</v>
      </c>
      <c r="BS49" s="27"/>
      <c r="BT49" s="30">
        <v>0.8</v>
      </c>
      <c r="BU49" s="27"/>
      <c r="BV49" s="30">
        <v>0.8</v>
      </c>
      <c r="BX49" s="11"/>
      <c r="BZ49" s="27"/>
      <c r="CA49" s="30">
        <v>0.8</v>
      </c>
      <c r="CB49" s="27"/>
      <c r="CC49" s="30">
        <v>0.8</v>
      </c>
      <c r="CE49" s="11"/>
      <c r="CG49" s="27"/>
      <c r="CH49" s="30">
        <v>0.8</v>
      </c>
      <c r="CI49" s="27"/>
      <c r="CJ49" s="30">
        <v>0.8</v>
      </c>
      <c r="CL49" s="11"/>
      <c r="CN49" s="27"/>
      <c r="CO49" s="30">
        <v>0.8</v>
      </c>
      <c r="CP49" s="27"/>
      <c r="CQ49" s="30">
        <v>0.8</v>
      </c>
      <c r="CS49" s="11"/>
      <c r="CU49" s="27"/>
      <c r="CV49" s="30">
        <v>0.8</v>
      </c>
      <c r="CW49" s="27"/>
      <c r="CX49" s="30">
        <v>0.8</v>
      </c>
      <c r="CZ49" s="11"/>
      <c r="DB49" s="27"/>
      <c r="DC49" s="30">
        <v>1.0</v>
      </c>
      <c r="DD49" s="27"/>
      <c r="DE49" s="30">
        <v>1.0</v>
      </c>
      <c r="DG49" s="11"/>
      <c r="DI49" s="27"/>
      <c r="DJ49" s="27"/>
      <c r="DK49" s="27"/>
      <c r="DL49" s="27"/>
      <c r="DN49" s="11"/>
      <c r="DP49" s="27"/>
      <c r="DQ49" s="27"/>
      <c r="DR49" s="27"/>
      <c r="DS49" s="27"/>
      <c r="DU49" s="11"/>
      <c r="DW49" s="27"/>
      <c r="DX49" s="27"/>
      <c r="DY49" s="27"/>
      <c r="DZ49" s="27"/>
    </row>
    <row r="50" ht="15.75" customHeight="1" outlineLevel="1">
      <c r="B50" s="6" t="s">
        <v>56</v>
      </c>
      <c r="C50" s="24" t="s">
        <v>86</v>
      </c>
      <c r="E50" s="26"/>
      <c r="F50" s="5" t="s">
        <v>94</v>
      </c>
      <c r="G50" s="30">
        <v>0.45</v>
      </c>
      <c r="I50" s="26">
        <f t="shared" si="5"/>
        <v>0</v>
      </c>
      <c r="J50" s="29">
        <f t="array" ref="J50">MAX(IF($N$3:$HA$3=$J$3,N50:HA50))</f>
        <v>0</v>
      </c>
      <c r="K50" s="29">
        <f t="array" ref="K50">MAX(IF($N$3:$HA$3=$J$3,N50:HA50))</f>
        <v>0</v>
      </c>
      <c r="L50" s="26"/>
      <c r="O50" s="27"/>
      <c r="P50" s="27"/>
      <c r="Q50" s="27"/>
      <c r="R50" s="27"/>
      <c r="V50" s="27"/>
      <c r="W50" s="27"/>
      <c r="X50" s="27"/>
      <c r="Y50" s="30">
        <v>0.0</v>
      </c>
      <c r="AC50" s="27"/>
      <c r="AD50" s="27"/>
      <c r="AE50" s="27"/>
      <c r="AF50" s="30">
        <v>0.0</v>
      </c>
      <c r="AJ50" s="27"/>
      <c r="AK50" s="27"/>
      <c r="AL50" s="27"/>
      <c r="AM50" s="30">
        <v>0.0</v>
      </c>
      <c r="AQ50" s="27"/>
      <c r="AR50" s="30">
        <v>0.0</v>
      </c>
      <c r="AS50" s="27"/>
      <c r="AT50" s="30">
        <v>0.0</v>
      </c>
      <c r="AX50" s="27"/>
      <c r="AY50" s="30">
        <v>0.5</v>
      </c>
      <c r="AZ50" s="27"/>
      <c r="BA50" s="30">
        <v>0.5</v>
      </c>
      <c r="BE50" s="27"/>
      <c r="BF50" s="30">
        <v>0.5</v>
      </c>
      <c r="BG50" s="27"/>
      <c r="BH50" s="30">
        <v>0.5</v>
      </c>
      <c r="BJ50" s="11"/>
      <c r="BL50" s="27"/>
      <c r="BM50" s="30">
        <v>0.5</v>
      </c>
      <c r="BN50" s="27"/>
      <c r="BO50" s="30">
        <v>0.5</v>
      </c>
      <c r="BS50" s="27"/>
      <c r="BT50" s="30">
        <v>0.5</v>
      </c>
      <c r="BU50" s="27"/>
      <c r="BV50" s="30">
        <v>0.5</v>
      </c>
      <c r="BX50" s="11"/>
      <c r="BZ50" s="27"/>
      <c r="CA50" s="30">
        <v>0.5</v>
      </c>
      <c r="CB50" s="27"/>
      <c r="CC50" s="30">
        <v>0.5</v>
      </c>
      <c r="CE50" s="11"/>
      <c r="CG50" s="27"/>
      <c r="CH50" s="30">
        <v>0.8</v>
      </c>
      <c r="CI50" s="27"/>
      <c r="CJ50" s="30">
        <v>0.8</v>
      </c>
      <c r="CL50" s="11"/>
      <c r="CN50" s="27"/>
      <c r="CO50" s="30">
        <v>0.8</v>
      </c>
      <c r="CP50" s="27"/>
      <c r="CQ50" s="30">
        <v>0.8</v>
      </c>
      <c r="CS50" s="11"/>
      <c r="CU50" s="27"/>
      <c r="CV50" s="30">
        <v>0.8</v>
      </c>
      <c r="CW50" s="27"/>
      <c r="CX50" s="30">
        <v>0.8</v>
      </c>
      <c r="CZ50" s="11"/>
      <c r="DB50" s="27"/>
      <c r="DC50" s="30">
        <v>1.0</v>
      </c>
      <c r="DD50" s="27"/>
      <c r="DE50" s="30">
        <v>1.0</v>
      </c>
      <c r="DG50" s="11"/>
      <c r="DI50" s="27"/>
      <c r="DJ50" s="27"/>
      <c r="DK50" s="27"/>
      <c r="DL50" s="27"/>
      <c r="DN50" s="11"/>
      <c r="DP50" s="27"/>
      <c r="DQ50" s="27"/>
      <c r="DR50" s="27"/>
      <c r="DS50" s="27"/>
      <c r="DU50" s="11"/>
      <c r="DW50" s="27"/>
      <c r="DX50" s="27"/>
      <c r="DY50" s="27"/>
      <c r="DZ50" s="27"/>
    </row>
    <row r="51" ht="15.75" customHeight="1">
      <c r="C51" s="8"/>
      <c r="BJ51" s="11"/>
      <c r="BX51" s="11"/>
      <c r="CE51" s="11"/>
      <c r="CL51" s="11"/>
      <c r="CS51" s="11"/>
      <c r="CZ51" s="11"/>
      <c r="DG51" s="11"/>
      <c r="DN51" s="11"/>
      <c r="DU51" s="11"/>
    </row>
    <row r="52" ht="15.75" customHeight="1">
      <c r="B52" s="6" t="s">
        <v>26</v>
      </c>
      <c r="C52" s="24" t="s">
        <v>95</v>
      </c>
      <c r="D52" s="25">
        <v>44914.0</v>
      </c>
      <c r="E52" s="32">
        <v>3.0</v>
      </c>
      <c r="G52" s="27">
        <f>+SUM(G53:G60)</f>
        <v>1</v>
      </c>
      <c r="I52" s="28">
        <f>+SUM(I53:I60)</f>
        <v>0</v>
      </c>
      <c r="J52" s="29">
        <f>+SUMPRODUCT(G53:G60,J53:J60)</f>
        <v>0</v>
      </c>
      <c r="K52" s="29">
        <f>+SUMPRODUCT(G53:G60,K53:K60)</f>
        <v>0</v>
      </c>
      <c r="L52" s="26"/>
      <c r="N52" s="28">
        <f>SUM(N53:N60)</f>
        <v>0</v>
      </c>
      <c r="U52" s="28">
        <f>SUM(U53:U60)</f>
        <v>0</v>
      </c>
      <c r="AB52" s="28">
        <f>SUM(AB53:AB60)</f>
        <v>0</v>
      </c>
      <c r="AI52" s="28">
        <f>SUM(AI53:AI60)</f>
        <v>0</v>
      </c>
      <c r="AP52" s="28">
        <f>SUM(AP53:AP60)</f>
        <v>0</v>
      </c>
      <c r="AW52" s="28">
        <f>SUM(AW53:AW60)</f>
        <v>0</v>
      </c>
      <c r="BD52" s="28">
        <f>SUM(BD53:BD60)</f>
        <v>0</v>
      </c>
      <c r="BJ52" s="11"/>
      <c r="BK52" s="28">
        <f>SUM(BK53:BK60)</f>
        <v>0</v>
      </c>
      <c r="BR52" s="28">
        <f>SUM(BR53:BR60)</f>
        <v>0</v>
      </c>
      <c r="BX52" s="11"/>
      <c r="BY52" s="28">
        <f>SUM(BY53:BY60)</f>
        <v>0</v>
      </c>
      <c r="CE52" s="11"/>
      <c r="CF52" s="28">
        <f>SUM(CF53:CF60)</f>
        <v>0</v>
      </c>
      <c r="CL52" s="11"/>
      <c r="CM52" s="28">
        <f>SUM(CM53:CM60)</f>
        <v>0</v>
      </c>
      <c r="CS52" s="11"/>
      <c r="CT52" s="28">
        <f>SUM(CT53:CT60)</f>
        <v>0</v>
      </c>
      <c r="CZ52" s="11"/>
      <c r="DA52" s="28">
        <f>SUM(DA53:DA60)</f>
        <v>0</v>
      </c>
      <c r="DG52" s="11"/>
      <c r="DH52" s="28">
        <f>SUM(DH53:DH60)</f>
        <v>0</v>
      </c>
      <c r="DN52" s="11"/>
      <c r="DO52" s="28">
        <f>SUM(DO53:DO60)</f>
        <v>0</v>
      </c>
      <c r="DU52" s="11"/>
      <c r="DV52" s="28"/>
    </row>
    <row r="53" ht="15.75" customHeight="1" outlineLevel="1">
      <c r="B53" s="6" t="s">
        <v>56</v>
      </c>
      <c r="C53" s="24" t="s">
        <v>96</v>
      </c>
      <c r="E53" s="26"/>
      <c r="F53" s="5" t="s">
        <v>77</v>
      </c>
      <c r="G53" s="27">
        <v>0.1</v>
      </c>
      <c r="I53" s="26">
        <f t="shared" ref="I53:I60" si="6">+SUMIF($N$3:$ACS$3,I$3,$N53:$ACS53)</f>
        <v>0</v>
      </c>
      <c r="J53" s="29">
        <f t="array" ref="J53">MAX(IF($N$3:$HA$3=$J$3,N53:HA53))</f>
        <v>0</v>
      </c>
      <c r="K53" s="29">
        <f t="array" ref="K53">MAX(IF($N$3:$HA$3=$J$3,N53:HA53))</f>
        <v>0</v>
      </c>
      <c r="L53" s="26"/>
      <c r="O53" s="27"/>
      <c r="P53" s="27"/>
      <c r="Q53" s="27"/>
      <c r="R53" s="27"/>
      <c r="V53" s="27"/>
      <c r="W53" s="30">
        <v>0.0</v>
      </c>
      <c r="X53" s="27"/>
      <c r="Y53" s="30">
        <v>0.0</v>
      </c>
      <c r="AC53" s="27"/>
      <c r="AD53" s="30">
        <v>0.8</v>
      </c>
      <c r="AE53" s="27"/>
      <c r="AF53" s="30">
        <v>0.8</v>
      </c>
      <c r="AJ53" s="27"/>
      <c r="AK53" s="30">
        <v>0.8</v>
      </c>
      <c r="AL53" s="27"/>
      <c r="AM53" s="30">
        <v>0.8</v>
      </c>
      <c r="AQ53" s="27"/>
      <c r="AR53" s="30">
        <v>0.8</v>
      </c>
      <c r="AS53" s="27"/>
      <c r="AT53" s="30">
        <v>0.8</v>
      </c>
      <c r="AX53" s="27"/>
      <c r="AY53" s="30">
        <v>0.8</v>
      </c>
      <c r="AZ53" s="27"/>
      <c r="BA53" s="30">
        <v>0.8</v>
      </c>
      <c r="BE53" s="27"/>
      <c r="BF53" s="30">
        <v>0.8</v>
      </c>
      <c r="BG53" s="27"/>
      <c r="BH53" s="30">
        <v>0.8</v>
      </c>
      <c r="BJ53" s="11"/>
      <c r="BL53" s="27"/>
      <c r="BM53" s="30">
        <v>0.8</v>
      </c>
      <c r="BN53" s="27"/>
      <c r="BO53" s="30">
        <v>0.8</v>
      </c>
      <c r="BS53" s="27"/>
      <c r="BT53" s="30">
        <v>0.8</v>
      </c>
      <c r="BU53" s="27"/>
      <c r="BV53" s="30">
        <v>0.8</v>
      </c>
      <c r="BX53" s="11"/>
      <c r="BZ53" s="27"/>
      <c r="CA53" s="30">
        <v>1.0</v>
      </c>
      <c r="CB53" s="27"/>
      <c r="CC53" s="30">
        <v>1.0</v>
      </c>
      <c r="CE53" s="11"/>
      <c r="CG53" s="27"/>
      <c r="CH53" s="30">
        <v>1.0</v>
      </c>
      <c r="CI53" s="27"/>
      <c r="CJ53" s="30">
        <v>1.0</v>
      </c>
      <c r="CL53" s="11"/>
      <c r="CN53" s="27"/>
      <c r="CO53" s="30">
        <v>1.0</v>
      </c>
      <c r="CP53" s="27"/>
      <c r="CQ53" s="30">
        <v>1.0</v>
      </c>
      <c r="CS53" s="11"/>
      <c r="CU53" s="27"/>
      <c r="CV53" s="30">
        <v>1.0</v>
      </c>
      <c r="CW53" s="27"/>
      <c r="CX53" s="30">
        <v>1.0</v>
      </c>
      <c r="CZ53" s="11"/>
      <c r="DB53" s="27"/>
      <c r="DC53" s="30">
        <v>1.0</v>
      </c>
      <c r="DD53" s="27"/>
      <c r="DE53" s="30">
        <v>1.0</v>
      </c>
      <c r="DG53" s="11"/>
      <c r="DI53" s="27"/>
      <c r="DJ53" s="27"/>
      <c r="DK53" s="27"/>
      <c r="DL53" s="27"/>
      <c r="DN53" s="11"/>
      <c r="DP53" s="27"/>
      <c r="DQ53" s="27"/>
      <c r="DR53" s="27"/>
      <c r="DS53" s="27"/>
      <c r="DU53" s="11"/>
      <c r="DW53" s="27"/>
      <c r="DX53" s="27"/>
      <c r="DY53" s="27"/>
      <c r="DZ53" s="27"/>
    </row>
    <row r="54" ht="15.75" customHeight="1" outlineLevel="1">
      <c r="B54" s="6" t="s">
        <v>56</v>
      </c>
      <c r="C54" s="24" t="s">
        <v>96</v>
      </c>
      <c r="E54" s="26"/>
      <c r="F54" s="5" t="s">
        <v>78</v>
      </c>
      <c r="G54" s="30">
        <v>0.15</v>
      </c>
      <c r="I54" s="26">
        <f t="shared" si="6"/>
        <v>0</v>
      </c>
      <c r="J54" s="29">
        <f t="array" ref="J54">MAX(IF($N$3:$HA$3=$J$3,N54:HA54))</f>
        <v>0</v>
      </c>
      <c r="K54" s="29">
        <f t="array" ref="K54">MAX(IF($N$3:$HA$3=$J$3,N54:HA54))</f>
        <v>0</v>
      </c>
      <c r="L54" s="26"/>
      <c r="O54" s="27"/>
      <c r="P54" s="27"/>
      <c r="Q54" s="27"/>
      <c r="R54" s="27"/>
      <c r="V54" s="27"/>
      <c r="W54" s="30">
        <v>0.0</v>
      </c>
      <c r="X54" s="27"/>
      <c r="Y54" s="30">
        <v>0.0</v>
      </c>
      <c r="AC54" s="27"/>
      <c r="AD54" s="30">
        <v>0.5</v>
      </c>
      <c r="AE54" s="27"/>
      <c r="AF54" s="30">
        <v>0.5</v>
      </c>
      <c r="AJ54" s="27"/>
      <c r="AK54" s="30">
        <v>0.5</v>
      </c>
      <c r="AL54" s="27"/>
      <c r="AM54" s="30">
        <v>0.5</v>
      </c>
      <c r="AQ54" s="27"/>
      <c r="AR54" s="30">
        <v>0.5</v>
      </c>
      <c r="AS54" s="27"/>
      <c r="AT54" s="30">
        <v>0.5</v>
      </c>
      <c r="AX54" s="27"/>
      <c r="AY54" s="30">
        <v>0.5</v>
      </c>
      <c r="AZ54" s="27"/>
      <c r="BA54" s="30">
        <v>0.5</v>
      </c>
      <c r="BE54" s="27"/>
      <c r="BF54" s="30">
        <v>0.8</v>
      </c>
      <c r="BG54" s="27"/>
      <c r="BH54" s="30">
        <v>0.8</v>
      </c>
      <c r="BJ54" s="11"/>
      <c r="BL54" s="27"/>
      <c r="BM54" s="30">
        <v>0.8</v>
      </c>
      <c r="BN54" s="27"/>
      <c r="BO54" s="30">
        <v>0.8</v>
      </c>
      <c r="BS54" s="27"/>
      <c r="BT54" s="30">
        <v>0.8</v>
      </c>
      <c r="BU54" s="27"/>
      <c r="BV54" s="30">
        <v>0.8</v>
      </c>
      <c r="BX54" s="11"/>
      <c r="BZ54" s="27"/>
      <c r="CA54" s="30">
        <v>0.8</v>
      </c>
      <c r="CB54" s="27"/>
      <c r="CC54" s="30">
        <v>0.8</v>
      </c>
      <c r="CE54" s="11"/>
      <c r="CG54" s="27"/>
      <c r="CH54" s="30">
        <v>1.0</v>
      </c>
      <c r="CI54" s="27"/>
      <c r="CJ54" s="30">
        <v>1.0</v>
      </c>
      <c r="CL54" s="11"/>
      <c r="CN54" s="27"/>
      <c r="CO54" s="30">
        <v>1.0</v>
      </c>
      <c r="CP54" s="27"/>
      <c r="CQ54" s="30">
        <v>1.0</v>
      </c>
      <c r="CS54" s="11"/>
      <c r="CU54" s="27"/>
      <c r="CV54" s="30">
        <v>1.0</v>
      </c>
      <c r="CW54" s="27"/>
      <c r="CX54" s="30">
        <v>1.0</v>
      </c>
      <c r="CZ54" s="11"/>
      <c r="DB54" s="27"/>
      <c r="DC54" s="30">
        <v>1.0</v>
      </c>
      <c r="DD54" s="27"/>
      <c r="DE54" s="30">
        <v>1.0</v>
      </c>
      <c r="DG54" s="11"/>
      <c r="DI54" s="27"/>
      <c r="DJ54" s="27"/>
      <c r="DK54" s="27"/>
      <c r="DL54" s="27"/>
      <c r="DN54" s="11"/>
      <c r="DP54" s="27"/>
      <c r="DQ54" s="27"/>
      <c r="DR54" s="27"/>
      <c r="DS54" s="27"/>
      <c r="DU54" s="11"/>
      <c r="DW54" s="27"/>
      <c r="DX54" s="27"/>
      <c r="DY54" s="27"/>
      <c r="DZ54" s="27"/>
    </row>
    <row r="55" ht="15.75" customHeight="1" outlineLevel="1">
      <c r="B55" s="6" t="s">
        <v>56</v>
      </c>
      <c r="C55" s="24" t="s">
        <v>96</v>
      </c>
      <c r="E55" s="26"/>
      <c r="F55" s="5" t="s">
        <v>79</v>
      </c>
      <c r="G55" s="30">
        <v>0.15</v>
      </c>
      <c r="I55" s="26">
        <f t="shared" si="6"/>
        <v>0</v>
      </c>
      <c r="J55" s="29">
        <f t="array" ref="J55">MAX(IF($N$3:$HA$3=$J$3,N55:HA55))</f>
        <v>0</v>
      </c>
      <c r="K55" s="29">
        <f t="array" ref="K55">MAX(IF($N$3:$HA$3=$J$3,N55:HA55))</f>
        <v>0</v>
      </c>
      <c r="L55" s="26"/>
      <c r="O55" s="27"/>
      <c r="P55" s="27"/>
      <c r="Q55" s="27"/>
      <c r="R55" s="27"/>
      <c r="V55" s="27"/>
      <c r="W55" s="30">
        <v>0.0</v>
      </c>
      <c r="X55" s="27"/>
      <c r="Y55" s="30">
        <v>0.0</v>
      </c>
      <c r="AC55" s="27"/>
      <c r="AD55" s="30">
        <v>0.5</v>
      </c>
      <c r="AE55" s="27"/>
      <c r="AF55" s="30">
        <v>0.5</v>
      </c>
      <c r="AJ55" s="27"/>
      <c r="AK55" s="30">
        <v>0.5</v>
      </c>
      <c r="AL55" s="27"/>
      <c r="AM55" s="30">
        <v>0.5</v>
      </c>
      <c r="AQ55" s="27"/>
      <c r="AR55" s="30">
        <v>0.5</v>
      </c>
      <c r="AS55" s="27"/>
      <c r="AT55" s="30">
        <v>0.5</v>
      </c>
      <c r="AX55" s="27"/>
      <c r="AY55" s="30">
        <v>0.5</v>
      </c>
      <c r="AZ55" s="27"/>
      <c r="BA55" s="30">
        <v>0.5</v>
      </c>
      <c r="BE55" s="27"/>
      <c r="BF55" s="30">
        <v>0.5</v>
      </c>
      <c r="BG55" s="27"/>
      <c r="BH55" s="30">
        <v>0.5</v>
      </c>
      <c r="BJ55" s="11"/>
      <c r="BL55" s="27"/>
      <c r="BM55" s="30">
        <v>0.8</v>
      </c>
      <c r="BN55" s="27"/>
      <c r="BO55" s="30">
        <v>0.8</v>
      </c>
      <c r="BS55" s="27"/>
      <c r="BT55" s="30">
        <v>0.8</v>
      </c>
      <c r="BU55" s="27"/>
      <c r="BV55" s="30">
        <v>0.8</v>
      </c>
      <c r="BX55" s="11"/>
      <c r="BZ55" s="27"/>
      <c r="CA55" s="30">
        <v>0.8</v>
      </c>
      <c r="CB55" s="27"/>
      <c r="CC55" s="30">
        <v>0.8</v>
      </c>
      <c r="CE55" s="11"/>
      <c r="CG55" s="27"/>
      <c r="CH55" s="30">
        <v>0.8</v>
      </c>
      <c r="CI55" s="27"/>
      <c r="CJ55" s="30">
        <v>0.8</v>
      </c>
      <c r="CL55" s="11"/>
      <c r="CN55" s="27"/>
      <c r="CO55" s="30">
        <v>1.0</v>
      </c>
      <c r="CP55" s="27"/>
      <c r="CQ55" s="30">
        <v>1.0</v>
      </c>
      <c r="CS55" s="11"/>
      <c r="CU55" s="27"/>
      <c r="CV55" s="30">
        <v>1.0</v>
      </c>
      <c r="CW55" s="27"/>
      <c r="CX55" s="30">
        <v>1.0</v>
      </c>
      <c r="CZ55" s="11"/>
      <c r="DB55" s="27"/>
      <c r="DC55" s="30">
        <v>1.0</v>
      </c>
      <c r="DD55" s="27"/>
      <c r="DE55" s="30">
        <v>1.0</v>
      </c>
      <c r="DG55" s="11"/>
      <c r="DI55" s="27"/>
      <c r="DJ55" s="27"/>
      <c r="DK55" s="27"/>
      <c r="DL55" s="27"/>
      <c r="DN55" s="11"/>
      <c r="DP55" s="27"/>
      <c r="DQ55" s="27"/>
      <c r="DR55" s="27"/>
      <c r="DS55" s="27"/>
      <c r="DU55" s="11"/>
      <c r="DW55" s="27"/>
      <c r="DX55" s="27"/>
      <c r="DY55" s="27"/>
      <c r="DZ55" s="27"/>
    </row>
    <row r="56" ht="15.75" customHeight="1" outlineLevel="1">
      <c r="B56" s="6" t="s">
        <v>56</v>
      </c>
      <c r="C56" s="24" t="s">
        <v>96</v>
      </c>
      <c r="E56" s="26"/>
      <c r="F56" s="5" t="s">
        <v>80</v>
      </c>
      <c r="G56" s="30">
        <v>0.15</v>
      </c>
      <c r="I56" s="26">
        <f t="shared" si="6"/>
        <v>0</v>
      </c>
      <c r="J56" s="29">
        <f t="array" ref="J56">MAX(IF($N$3:$HA$3=$J$3,N56:HA56))</f>
        <v>0</v>
      </c>
      <c r="K56" s="29">
        <f t="array" ref="K56">MAX(IF($N$3:$HA$3=$J$3,N56:HA56))</f>
        <v>0</v>
      </c>
      <c r="L56" s="26"/>
      <c r="O56" s="27"/>
      <c r="P56" s="27"/>
      <c r="Q56" s="27"/>
      <c r="R56" s="27"/>
      <c r="V56" s="27"/>
      <c r="W56" s="30">
        <v>0.0</v>
      </c>
      <c r="X56" s="27"/>
      <c r="Y56" s="30">
        <v>0.0</v>
      </c>
      <c r="AC56" s="27"/>
      <c r="AD56" s="30">
        <v>0.0</v>
      </c>
      <c r="AE56" s="27"/>
      <c r="AF56" s="30">
        <v>0.0</v>
      </c>
      <c r="AJ56" s="27"/>
      <c r="AK56" s="30">
        <v>0.5</v>
      </c>
      <c r="AL56" s="27"/>
      <c r="AM56" s="30">
        <v>0.5</v>
      </c>
      <c r="AQ56" s="27"/>
      <c r="AR56" s="30">
        <v>0.5</v>
      </c>
      <c r="AS56" s="27"/>
      <c r="AT56" s="30">
        <v>0.5</v>
      </c>
      <c r="AX56" s="27"/>
      <c r="AY56" s="30">
        <v>0.5</v>
      </c>
      <c r="AZ56" s="27"/>
      <c r="BA56" s="30">
        <v>0.5</v>
      </c>
      <c r="BE56" s="27"/>
      <c r="BF56" s="30">
        <v>0.5</v>
      </c>
      <c r="BG56" s="27"/>
      <c r="BH56" s="30">
        <v>0.5</v>
      </c>
      <c r="BJ56" s="11"/>
      <c r="BL56" s="27"/>
      <c r="BM56" s="30">
        <v>0.8</v>
      </c>
      <c r="BN56" s="27"/>
      <c r="BO56" s="30">
        <v>0.8</v>
      </c>
      <c r="BS56" s="27"/>
      <c r="BT56" s="30">
        <v>0.8</v>
      </c>
      <c r="BU56" s="27"/>
      <c r="BV56" s="30">
        <v>0.8</v>
      </c>
      <c r="BX56" s="11"/>
      <c r="BZ56" s="27"/>
      <c r="CA56" s="30">
        <v>0.8</v>
      </c>
      <c r="CB56" s="27"/>
      <c r="CC56" s="30">
        <v>0.8</v>
      </c>
      <c r="CE56" s="11"/>
      <c r="CG56" s="27"/>
      <c r="CH56" s="30">
        <v>0.8</v>
      </c>
      <c r="CI56" s="27"/>
      <c r="CJ56" s="30">
        <v>0.8</v>
      </c>
      <c r="CL56" s="11"/>
      <c r="CN56" s="27"/>
      <c r="CO56" s="30">
        <v>1.0</v>
      </c>
      <c r="CP56" s="27"/>
      <c r="CQ56" s="30">
        <v>1.0</v>
      </c>
      <c r="CS56" s="11"/>
      <c r="CU56" s="27"/>
      <c r="CV56" s="30">
        <v>1.0</v>
      </c>
      <c r="CW56" s="27"/>
      <c r="CX56" s="30">
        <v>1.0</v>
      </c>
      <c r="CZ56" s="11"/>
      <c r="DB56" s="27"/>
      <c r="DC56" s="30">
        <v>1.0</v>
      </c>
      <c r="DD56" s="27"/>
      <c r="DE56" s="30">
        <v>1.0</v>
      </c>
      <c r="DG56" s="11"/>
      <c r="DI56" s="27"/>
      <c r="DJ56" s="27"/>
      <c r="DK56" s="27"/>
      <c r="DL56" s="27"/>
      <c r="DN56" s="11"/>
      <c r="DP56" s="27"/>
      <c r="DQ56" s="27"/>
      <c r="DR56" s="27"/>
      <c r="DS56" s="27"/>
      <c r="DU56" s="11"/>
      <c r="DW56" s="27"/>
      <c r="DX56" s="27"/>
      <c r="DY56" s="27"/>
      <c r="DZ56" s="27"/>
    </row>
    <row r="57" ht="15.75" customHeight="1" outlineLevel="1">
      <c r="B57" s="6" t="s">
        <v>56</v>
      </c>
      <c r="C57" s="24" t="s">
        <v>96</v>
      </c>
      <c r="E57" s="26"/>
      <c r="F57" s="5" t="s">
        <v>81</v>
      </c>
      <c r="G57" s="30">
        <v>0.15</v>
      </c>
      <c r="I57" s="26">
        <f t="shared" si="6"/>
        <v>0</v>
      </c>
      <c r="J57" s="29">
        <f t="array" ref="J57">MAX(IF($N$3:$HA$3=$J$3,N57:HA57))</f>
        <v>0</v>
      </c>
      <c r="K57" s="29">
        <f t="array" ref="K57">MAX(IF($N$3:$HA$3=$J$3,N57:HA57))</f>
        <v>0</v>
      </c>
      <c r="L57" s="26"/>
      <c r="O57" s="27"/>
      <c r="P57" s="27"/>
      <c r="Q57" s="27"/>
      <c r="R57" s="27"/>
      <c r="V57" s="27"/>
      <c r="W57" s="27"/>
      <c r="X57" s="27"/>
      <c r="Y57" s="30">
        <v>0.0</v>
      </c>
      <c r="AC57" s="27"/>
      <c r="AD57" s="30">
        <v>0.0</v>
      </c>
      <c r="AE57" s="27"/>
      <c r="AF57" s="30">
        <v>0.0</v>
      </c>
      <c r="AJ57" s="27"/>
      <c r="AK57" s="27"/>
      <c r="AL57" s="27"/>
      <c r="AM57" s="30">
        <v>0.0</v>
      </c>
      <c r="AQ57" s="27"/>
      <c r="AR57" s="30">
        <v>0.5</v>
      </c>
      <c r="AS57" s="27"/>
      <c r="AT57" s="30">
        <v>0.5</v>
      </c>
      <c r="AX57" s="27"/>
      <c r="AY57" s="30">
        <v>0.5</v>
      </c>
      <c r="AZ57" s="27"/>
      <c r="BA57" s="30">
        <v>0.5</v>
      </c>
      <c r="BE57" s="27"/>
      <c r="BF57" s="30">
        <v>0.5</v>
      </c>
      <c r="BG57" s="27"/>
      <c r="BH57" s="30">
        <v>0.5</v>
      </c>
      <c r="BJ57" s="11"/>
      <c r="BL57" s="27"/>
      <c r="BM57" s="30">
        <v>0.8</v>
      </c>
      <c r="BN57" s="27"/>
      <c r="BO57" s="30">
        <v>0.8</v>
      </c>
      <c r="BS57" s="27"/>
      <c r="BT57" s="30">
        <v>0.8</v>
      </c>
      <c r="BU57" s="27"/>
      <c r="BV57" s="30">
        <v>0.8</v>
      </c>
      <c r="BX57" s="11"/>
      <c r="BZ57" s="27"/>
      <c r="CA57" s="30">
        <v>0.8</v>
      </c>
      <c r="CB57" s="27"/>
      <c r="CC57" s="30">
        <v>0.8</v>
      </c>
      <c r="CE57" s="11"/>
      <c r="CG57" s="27"/>
      <c r="CH57" s="30">
        <v>0.8</v>
      </c>
      <c r="CI57" s="27"/>
      <c r="CJ57" s="30">
        <v>0.8</v>
      </c>
      <c r="CL57" s="11"/>
      <c r="CN57" s="27"/>
      <c r="CO57" s="30">
        <v>0.8</v>
      </c>
      <c r="CP57" s="27"/>
      <c r="CQ57" s="30">
        <v>0.8</v>
      </c>
      <c r="CS57" s="11"/>
      <c r="CU57" s="27"/>
      <c r="CV57" s="30">
        <v>1.0</v>
      </c>
      <c r="CW57" s="27"/>
      <c r="CX57" s="30">
        <v>1.0</v>
      </c>
      <c r="CZ57" s="11"/>
      <c r="DB57" s="27"/>
      <c r="DC57" s="30">
        <v>1.0</v>
      </c>
      <c r="DD57" s="27"/>
      <c r="DE57" s="30">
        <v>1.0</v>
      </c>
      <c r="DG57" s="11"/>
      <c r="DI57" s="27"/>
      <c r="DJ57" s="27"/>
      <c r="DK57" s="27"/>
      <c r="DL57" s="27"/>
      <c r="DN57" s="11"/>
      <c r="DP57" s="27"/>
      <c r="DQ57" s="27"/>
      <c r="DR57" s="27"/>
      <c r="DS57" s="27"/>
      <c r="DU57" s="11"/>
      <c r="DW57" s="27"/>
      <c r="DX57" s="27"/>
      <c r="DY57" s="27"/>
      <c r="DZ57" s="27"/>
    </row>
    <row r="58" ht="15.75" customHeight="1" outlineLevel="1">
      <c r="B58" s="6" t="s">
        <v>56</v>
      </c>
      <c r="C58" s="24" t="s">
        <v>96</v>
      </c>
      <c r="E58" s="26"/>
      <c r="F58" s="5" t="s">
        <v>82</v>
      </c>
      <c r="G58" s="27">
        <v>0.1</v>
      </c>
      <c r="I58" s="26">
        <f t="shared" si="6"/>
        <v>0</v>
      </c>
      <c r="J58" s="29">
        <f t="array" ref="J58">MAX(IF($N$3:$HA$3=$J$3,N58:HA58))</f>
        <v>0</v>
      </c>
      <c r="K58" s="29">
        <f t="array" ref="K58">MAX(IF($N$3:$HA$3=$J$3,N58:HA58))</f>
        <v>0</v>
      </c>
      <c r="L58" s="26"/>
      <c r="O58" s="27"/>
      <c r="P58" s="27"/>
      <c r="Q58" s="27"/>
      <c r="R58" s="27"/>
      <c r="V58" s="27"/>
      <c r="W58" s="27"/>
      <c r="X58" s="27"/>
      <c r="Y58" s="30">
        <v>0.0</v>
      </c>
      <c r="AC58" s="27"/>
      <c r="AD58" s="30">
        <v>0.0</v>
      </c>
      <c r="AE58" s="27"/>
      <c r="AF58" s="30">
        <v>0.0</v>
      </c>
      <c r="AJ58" s="27"/>
      <c r="AK58" s="27"/>
      <c r="AL58" s="27"/>
      <c r="AM58" s="30">
        <v>0.0</v>
      </c>
      <c r="AQ58" s="27"/>
      <c r="AR58" s="30">
        <v>0.5</v>
      </c>
      <c r="AS58" s="27"/>
      <c r="AT58" s="30">
        <v>0.5</v>
      </c>
      <c r="AX58" s="27"/>
      <c r="AY58" s="30">
        <v>0.5</v>
      </c>
      <c r="AZ58" s="27"/>
      <c r="BA58" s="30">
        <v>0.5</v>
      </c>
      <c r="BE58" s="27"/>
      <c r="BF58" s="30">
        <v>0.5</v>
      </c>
      <c r="BG58" s="27"/>
      <c r="BH58" s="30">
        <v>0.5</v>
      </c>
      <c r="BJ58" s="11"/>
      <c r="BL58" s="27"/>
      <c r="BM58" s="30">
        <v>0.5</v>
      </c>
      <c r="BN58" s="27"/>
      <c r="BO58" s="30">
        <v>0.5</v>
      </c>
      <c r="BS58" s="27"/>
      <c r="BT58" s="30">
        <v>0.8</v>
      </c>
      <c r="BU58" s="27"/>
      <c r="BV58" s="30">
        <v>0.8</v>
      </c>
      <c r="BX58" s="11"/>
      <c r="BZ58" s="27"/>
      <c r="CA58" s="30">
        <v>0.8</v>
      </c>
      <c r="CB58" s="27"/>
      <c r="CC58" s="30">
        <v>0.8</v>
      </c>
      <c r="CE58" s="11"/>
      <c r="CG58" s="27"/>
      <c r="CH58" s="30">
        <v>0.8</v>
      </c>
      <c r="CI58" s="27"/>
      <c r="CJ58" s="30">
        <v>0.8</v>
      </c>
      <c r="CL58" s="11"/>
      <c r="CN58" s="27"/>
      <c r="CO58" s="30">
        <v>0.8</v>
      </c>
      <c r="CP58" s="27"/>
      <c r="CQ58" s="30">
        <v>0.8</v>
      </c>
      <c r="CS58" s="11"/>
      <c r="CU58" s="27"/>
      <c r="CV58" s="30">
        <v>1.0</v>
      </c>
      <c r="CW58" s="27"/>
      <c r="CX58" s="30">
        <v>1.0</v>
      </c>
      <c r="CZ58" s="11"/>
      <c r="DB58" s="27"/>
      <c r="DC58" s="30">
        <v>1.0</v>
      </c>
      <c r="DD58" s="27"/>
      <c r="DE58" s="30">
        <v>1.0</v>
      </c>
      <c r="DG58" s="11"/>
      <c r="DI58" s="27"/>
      <c r="DJ58" s="27"/>
      <c r="DK58" s="27"/>
      <c r="DL58" s="27"/>
      <c r="DN58" s="11"/>
      <c r="DP58" s="27"/>
      <c r="DQ58" s="27"/>
      <c r="DR58" s="27"/>
      <c r="DS58" s="27"/>
      <c r="DU58" s="11"/>
      <c r="DW58" s="27"/>
      <c r="DX58" s="27"/>
      <c r="DY58" s="27"/>
      <c r="DZ58" s="27"/>
    </row>
    <row r="59" ht="15.75" customHeight="1" outlineLevel="1">
      <c r="B59" s="6" t="s">
        <v>56</v>
      </c>
      <c r="C59" s="24" t="s">
        <v>96</v>
      </c>
      <c r="E59" s="26"/>
      <c r="F59" s="5" t="s">
        <v>83</v>
      </c>
      <c r="G59" s="27">
        <v>0.1</v>
      </c>
      <c r="I59" s="26">
        <f t="shared" si="6"/>
        <v>0</v>
      </c>
      <c r="J59" s="29">
        <f t="array" ref="J59">MAX(IF($N$3:$HA$3=$J$3,N59:HA59))</f>
        <v>0</v>
      </c>
      <c r="K59" s="29">
        <f t="array" ref="K59">MAX(IF($N$3:$HA$3=$J$3,N59:HA59))</f>
        <v>0</v>
      </c>
      <c r="L59" s="26"/>
      <c r="O59" s="27"/>
      <c r="P59" s="27"/>
      <c r="Q59" s="27"/>
      <c r="R59" s="27"/>
      <c r="V59" s="27"/>
      <c r="W59" s="27"/>
      <c r="X59" s="27"/>
      <c r="Y59" s="30">
        <v>0.0</v>
      </c>
      <c r="AC59" s="27"/>
      <c r="AD59" s="30">
        <v>0.0</v>
      </c>
      <c r="AE59" s="27"/>
      <c r="AF59" s="30">
        <v>0.0</v>
      </c>
      <c r="AJ59" s="27"/>
      <c r="AK59" s="27"/>
      <c r="AL59" s="27"/>
      <c r="AM59" s="30">
        <v>0.0</v>
      </c>
      <c r="AQ59" s="27"/>
      <c r="AR59" s="30">
        <v>0.0</v>
      </c>
      <c r="AS59" s="27"/>
      <c r="AT59" s="30">
        <v>0.0</v>
      </c>
      <c r="AX59" s="27"/>
      <c r="AY59" s="30">
        <v>0.5</v>
      </c>
      <c r="AZ59" s="27"/>
      <c r="BA59" s="30">
        <v>0.5</v>
      </c>
      <c r="BE59" s="27"/>
      <c r="BF59" s="30">
        <v>0.5</v>
      </c>
      <c r="BG59" s="27"/>
      <c r="BH59" s="30">
        <v>0.5</v>
      </c>
      <c r="BJ59" s="11"/>
      <c r="BL59" s="27"/>
      <c r="BM59" s="30">
        <v>0.5</v>
      </c>
      <c r="BN59" s="27"/>
      <c r="BO59" s="30">
        <v>0.5</v>
      </c>
      <c r="BS59" s="27"/>
      <c r="BT59" s="30">
        <v>0.8</v>
      </c>
      <c r="BU59" s="27"/>
      <c r="BV59" s="30">
        <v>0.8</v>
      </c>
      <c r="BX59" s="11"/>
      <c r="BZ59" s="27"/>
      <c r="CA59" s="30">
        <v>0.8</v>
      </c>
      <c r="CB59" s="27"/>
      <c r="CC59" s="30">
        <v>0.8</v>
      </c>
      <c r="CE59" s="11"/>
      <c r="CG59" s="27"/>
      <c r="CH59" s="30">
        <v>0.8</v>
      </c>
      <c r="CI59" s="27"/>
      <c r="CJ59" s="30">
        <v>0.8</v>
      </c>
      <c r="CL59" s="11"/>
      <c r="CN59" s="27"/>
      <c r="CO59" s="30">
        <v>0.8</v>
      </c>
      <c r="CP59" s="27"/>
      <c r="CQ59" s="30">
        <v>0.8</v>
      </c>
      <c r="CS59" s="11"/>
      <c r="CU59" s="27"/>
      <c r="CV59" s="30">
        <v>0.8</v>
      </c>
      <c r="CW59" s="27"/>
      <c r="CX59" s="30">
        <v>0.8</v>
      </c>
      <c r="CZ59" s="11"/>
      <c r="DB59" s="27"/>
      <c r="DC59" s="30">
        <v>1.0</v>
      </c>
      <c r="DD59" s="27"/>
      <c r="DE59" s="30">
        <v>1.0</v>
      </c>
      <c r="DG59" s="11"/>
      <c r="DI59" s="27"/>
      <c r="DJ59" s="27"/>
      <c r="DK59" s="27"/>
      <c r="DL59" s="27"/>
      <c r="DN59" s="11"/>
      <c r="DP59" s="27"/>
      <c r="DQ59" s="27"/>
      <c r="DR59" s="27"/>
      <c r="DS59" s="27"/>
      <c r="DU59" s="11"/>
      <c r="DW59" s="27"/>
      <c r="DX59" s="27"/>
      <c r="DY59" s="27"/>
      <c r="DZ59" s="27"/>
    </row>
    <row r="60" ht="15.75" customHeight="1" outlineLevel="1">
      <c r="B60" s="6" t="s">
        <v>56</v>
      </c>
      <c r="C60" s="24" t="s">
        <v>96</v>
      </c>
      <c r="E60" s="26"/>
      <c r="F60" s="5" t="s">
        <v>84</v>
      </c>
      <c r="G60" s="27">
        <v>0.1</v>
      </c>
      <c r="I60" s="26">
        <f t="shared" si="6"/>
        <v>0</v>
      </c>
      <c r="J60" s="29">
        <f t="array" ref="J60">MAX(IF($N$3:$HA$3=$J$3,N60:HA60))</f>
        <v>0</v>
      </c>
      <c r="K60" s="29">
        <f t="array" ref="K60">MAX(IF($N$3:$HA$3=$J$3,N60:HA60))</f>
        <v>0</v>
      </c>
      <c r="L60" s="26"/>
      <c r="O60" s="27"/>
      <c r="P60" s="27"/>
      <c r="Q60" s="27"/>
      <c r="R60" s="27"/>
      <c r="V60" s="27"/>
      <c r="W60" s="27"/>
      <c r="X60" s="27"/>
      <c r="Y60" s="30">
        <v>0.0</v>
      </c>
      <c r="AC60" s="27"/>
      <c r="AD60" s="30">
        <v>0.0</v>
      </c>
      <c r="AE60" s="27"/>
      <c r="AF60" s="30">
        <v>0.0</v>
      </c>
      <c r="AJ60" s="27"/>
      <c r="AK60" s="27"/>
      <c r="AL60" s="27"/>
      <c r="AM60" s="30">
        <v>0.0</v>
      </c>
      <c r="AQ60" s="27"/>
      <c r="AR60" s="30">
        <v>0.0</v>
      </c>
      <c r="AS60" s="27"/>
      <c r="AT60" s="30">
        <v>0.0</v>
      </c>
      <c r="AX60" s="27"/>
      <c r="AY60" s="30">
        <v>0.5</v>
      </c>
      <c r="AZ60" s="27"/>
      <c r="BA60" s="30">
        <v>0.5</v>
      </c>
      <c r="BE60" s="27"/>
      <c r="BF60" s="30">
        <v>0.5</v>
      </c>
      <c r="BG60" s="27"/>
      <c r="BH60" s="30">
        <v>0.5</v>
      </c>
      <c r="BJ60" s="11"/>
      <c r="BL60" s="27"/>
      <c r="BM60" s="30">
        <v>0.5</v>
      </c>
      <c r="BN60" s="27"/>
      <c r="BO60" s="30">
        <v>0.5</v>
      </c>
      <c r="BS60" s="27"/>
      <c r="BT60" s="30">
        <v>0.5</v>
      </c>
      <c r="BU60" s="27"/>
      <c r="BV60" s="30">
        <v>0.5</v>
      </c>
      <c r="BX60" s="11"/>
      <c r="BZ60" s="27"/>
      <c r="CA60" s="30">
        <v>0.5</v>
      </c>
      <c r="CB60" s="27"/>
      <c r="CC60" s="30">
        <v>0.5</v>
      </c>
      <c r="CE60" s="11"/>
      <c r="CG60" s="27"/>
      <c r="CH60" s="30">
        <v>0.8</v>
      </c>
      <c r="CI60" s="27"/>
      <c r="CJ60" s="30">
        <v>0.8</v>
      </c>
      <c r="CL60" s="11"/>
      <c r="CN60" s="27"/>
      <c r="CO60" s="30">
        <v>0.8</v>
      </c>
      <c r="CP60" s="27"/>
      <c r="CQ60" s="30">
        <v>0.8</v>
      </c>
      <c r="CS60" s="11"/>
      <c r="CU60" s="27"/>
      <c r="CV60" s="30">
        <v>0.8</v>
      </c>
      <c r="CW60" s="27"/>
      <c r="CX60" s="30">
        <v>0.8</v>
      </c>
      <c r="CZ60" s="11"/>
      <c r="DB60" s="27"/>
      <c r="DC60" s="30">
        <v>1.0</v>
      </c>
      <c r="DD60" s="27"/>
      <c r="DE60" s="30">
        <v>1.0</v>
      </c>
      <c r="DG60" s="11"/>
      <c r="DI60" s="27"/>
      <c r="DJ60" s="27"/>
      <c r="DK60" s="27"/>
      <c r="DL60" s="27"/>
      <c r="DN60" s="11"/>
      <c r="DP60" s="27"/>
      <c r="DQ60" s="27"/>
      <c r="DR60" s="27"/>
      <c r="DS60" s="27"/>
      <c r="DU60" s="11"/>
      <c r="DW60" s="27"/>
      <c r="DX60" s="27"/>
      <c r="DY60" s="27"/>
      <c r="DZ60" s="27"/>
    </row>
    <row r="61" ht="15.75" customHeight="1">
      <c r="C61" s="8"/>
      <c r="BJ61" s="11"/>
      <c r="BX61" s="11"/>
      <c r="CE61" s="11"/>
      <c r="CL61" s="11"/>
      <c r="CS61" s="11"/>
      <c r="CZ61" s="11"/>
      <c r="DG61" s="11"/>
      <c r="DN61" s="11"/>
      <c r="DU61" s="11"/>
    </row>
    <row r="62" ht="15.75" customHeight="1">
      <c r="B62" s="6" t="s">
        <v>26</v>
      </c>
      <c r="C62" s="24" t="s">
        <v>97</v>
      </c>
      <c r="D62" s="25">
        <v>44914.0</v>
      </c>
      <c r="E62" s="26">
        <v>6.0</v>
      </c>
      <c r="G62" s="27">
        <f>+SUM(G63:G74)</f>
        <v>1</v>
      </c>
      <c r="I62" s="28">
        <f>+SUM(I63:I74)</f>
        <v>0</v>
      </c>
      <c r="J62" s="29">
        <f>+SUMPRODUCT(G63:G74,J63:J74)</f>
        <v>0.075</v>
      </c>
      <c r="K62" s="29"/>
      <c r="L62" s="26"/>
      <c r="N62" s="28">
        <f>SUM(N63:N76)</f>
        <v>0</v>
      </c>
      <c r="U62" s="28">
        <f>SUM(U63:U76)</f>
        <v>0</v>
      </c>
      <c r="AB62" s="28">
        <f>SUM(AB63:AB76)</f>
        <v>0</v>
      </c>
      <c r="AI62" s="28">
        <f>SUM(AI63:AI76)</f>
        <v>0</v>
      </c>
      <c r="AP62" s="28">
        <f>SUM(AP63:AP76)</f>
        <v>0</v>
      </c>
      <c r="AW62" s="28">
        <f>SUM(AW63:AW76)</f>
        <v>0</v>
      </c>
      <c r="BD62" s="28">
        <f>SUM(BD63:BD76)</f>
        <v>0</v>
      </c>
      <c r="BJ62" s="11"/>
      <c r="BK62" s="28">
        <f>SUM(BK63:BK76)</f>
        <v>0</v>
      </c>
      <c r="BR62" s="28">
        <f>SUM(BR63:BR76)</f>
        <v>0</v>
      </c>
      <c r="BX62" s="11"/>
      <c r="BY62" s="28">
        <f>SUM(BY63:BY76)</f>
        <v>0</v>
      </c>
      <c r="CE62" s="11"/>
      <c r="CF62" s="28">
        <f>SUM(CF63:CF76)</f>
        <v>0</v>
      </c>
      <c r="CL62" s="11"/>
      <c r="CM62" s="28">
        <f>SUM(CM63:CM76)</f>
        <v>0</v>
      </c>
      <c r="CS62" s="11"/>
      <c r="CT62" s="28">
        <f>SUM(CT63:CT76)</f>
        <v>0</v>
      </c>
      <c r="CZ62" s="11"/>
      <c r="DA62" s="28">
        <f>SUM(DA63:DA76)</f>
        <v>0</v>
      </c>
      <c r="DG62" s="11"/>
      <c r="DH62" s="28">
        <f>SUM(DH63:DH76)</f>
        <v>0</v>
      </c>
      <c r="DN62" s="11"/>
      <c r="DO62" s="28">
        <f>SUM(DO63:DO76)</f>
        <v>0</v>
      </c>
      <c r="DU62" s="11"/>
      <c r="DV62" s="28"/>
    </row>
    <row r="63" ht="15.75" customHeight="1" outlineLevel="1">
      <c r="B63" s="6" t="s">
        <v>56</v>
      </c>
      <c r="C63" s="24" t="s">
        <v>97</v>
      </c>
      <c r="E63" s="26"/>
      <c r="F63" s="5" t="s">
        <v>98</v>
      </c>
      <c r="G63" s="27">
        <v>0.1</v>
      </c>
      <c r="I63" s="26">
        <f t="shared" ref="I63:I76" si="7">+SUMIF($N$3:$ACS$3,I$3,$N63:$ACS63)</f>
        <v>0</v>
      </c>
      <c r="J63" s="29">
        <f t="array" ref="J63">MAX(IF($N$3:$HA$3=$J$3,N63:HA63))</f>
        <v>0.6</v>
      </c>
      <c r="K63" s="29"/>
      <c r="L63" s="26"/>
      <c r="O63" s="30"/>
      <c r="P63" s="30"/>
      <c r="Q63" s="27"/>
      <c r="R63" s="27"/>
      <c r="V63" s="30">
        <v>0.6</v>
      </c>
      <c r="W63" s="30">
        <v>0.8</v>
      </c>
      <c r="X63" s="27"/>
      <c r="Y63" s="30"/>
      <c r="AC63" s="30"/>
      <c r="AD63" s="30">
        <v>0.8</v>
      </c>
      <c r="AE63" s="27"/>
      <c r="AF63" s="30">
        <v>0.8</v>
      </c>
      <c r="AJ63" s="30"/>
      <c r="AK63" s="30">
        <v>0.8</v>
      </c>
      <c r="AL63" s="27"/>
      <c r="AM63" s="30">
        <v>0.8</v>
      </c>
      <c r="AQ63" s="30"/>
      <c r="AR63" s="30">
        <v>0.8</v>
      </c>
      <c r="AS63" s="27"/>
      <c r="AT63" s="30">
        <v>0.8</v>
      </c>
      <c r="AX63" s="30"/>
      <c r="AY63" s="30">
        <v>0.8</v>
      </c>
      <c r="AZ63" s="27"/>
      <c r="BA63" s="30">
        <v>0.8</v>
      </c>
      <c r="BE63" s="30"/>
      <c r="BF63" s="30">
        <v>0.8</v>
      </c>
      <c r="BG63" s="27"/>
      <c r="BH63" s="30">
        <v>0.8</v>
      </c>
      <c r="BJ63" s="11"/>
      <c r="BL63" s="30"/>
      <c r="BM63" s="30">
        <v>0.8</v>
      </c>
      <c r="BN63" s="27"/>
      <c r="BO63" s="30">
        <v>0.8</v>
      </c>
      <c r="BS63" s="30"/>
      <c r="BT63" s="30">
        <v>0.8</v>
      </c>
      <c r="BU63" s="27"/>
      <c r="BV63" s="30">
        <v>0.8</v>
      </c>
      <c r="BX63" s="11"/>
      <c r="BZ63" s="30"/>
      <c r="CA63" s="30">
        <v>1.0</v>
      </c>
      <c r="CB63" s="27"/>
      <c r="CC63" s="30">
        <v>1.0</v>
      </c>
      <c r="CE63" s="11"/>
      <c r="CG63" s="30"/>
      <c r="CH63" s="30">
        <v>1.0</v>
      </c>
      <c r="CI63" s="27"/>
      <c r="CJ63" s="30">
        <v>1.0</v>
      </c>
      <c r="CL63" s="11"/>
      <c r="CN63" s="30"/>
      <c r="CO63" s="30">
        <v>1.0</v>
      </c>
      <c r="CP63" s="27"/>
      <c r="CQ63" s="30">
        <v>1.0</v>
      </c>
      <c r="CS63" s="11"/>
      <c r="CU63" s="30"/>
      <c r="CV63" s="30">
        <v>1.0</v>
      </c>
      <c r="CW63" s="27"/>
      <c r="CX63" s="30">
        <v>1.0</v>
      </c>
      <c r="CZ63" s="11"/>
      <c r="DB63" s="30"/>
      <c r="DC63" s="30">
        <v>1.0</v>
      </c>
      <c r="DD63" s="27"/>
      <c r="DE63" s="30">
        <v>1.0</v>
      </c>
      <c r="DG63" s="11"/>
      <c r="DI63" s="30"/>
      <c r="DJ63" s="30"/>
      <c r="DK63" s="27"/>
      <c r="DL63" s="27"/>
      <c r="DN63" s="11"/>
      <c r="DP63" s="30"/>
      <c r="DQ63" s="30"/>
      <c r="DR63" s="27"/>
      <c r="DS63" s="27"/>
      <c r="DU63" s="11"/>
      <c r="DW63" s="30"/>
      <c r="DX63" s="30"/>
      <c r="DY63" s="27"/>
      <c r="DZ63" s="27"/>
    </row>
    <row r="64" ht="15.75" customHeight="1" outlineLevel="1">
      <c r="B64" s="6" t="s">
        <v>56</v>
      </c>
      <c r="C64" s="24" t="s">
        <v>97</v>
      </c>
      <c r="E64" s="26"/>
      <c r="F64" s="5" t="s">
        <v>99</v>
      </c>
      <c r="G64" s="27">
        <v>0.05</v>
      </c>
      <c r="I64" s="26">
        <f t="shared" si="7"/>
        <v>0</v>
      </c>
      <c r="J64" s="29">
        <f t="array" ref="J64">MAX(IF($N$3:$HA$3=$J$3,N64:HA64))</f>
        <v>0.3</v>
      </c>
      <c r="K64" s="29"/>
      <c r="L64" s="26"/>
      <c r="O64" s="30"/>
      <c r="P64" s="27"/>
      <c r="Q64" s="27"/>
      <c r="R64" s="27"/>
      <c r="V64" s="30">
        <v>0.3</v>
      </c>
      <c r="W64" s="30">
        <v>0.8</v>
      </c>
      <c r="X64" s="27"/>
      <c r="Y64" s="30"/>
      <c r="AC64" s="30"/>
      <c r="AD64" s="30">
        <v>0.8</v>
      </c>
      <c r="AE64" s="27"/>
      <c r="AF64" s="30">
        <v>0.8</v>
      </c>
      <c r="AJ64" s="30"/>
      <c r="AK64" s="30">
        <v>0.8</v>
      </c>
      <c r="AL64" s="27"/>
      <c r="AM64" s="30">
        <v>0.8</v>
      </c>
      <c r="AQ64" s="30"/>
      <c r="AR64" s="30">
        <v>0.8</v>
      </c>
      <c r="AS64" s="27"/>
      <c r="AT64" s="30">
        <v>0.8</v>
      </c>
      <c r="AX64" s="30"/>
      <c r="AY64" s="30">
        <v>0.8</v>
      </c>
      <c r="AZ64" s="27"/>
      <c r="BA64" s="30">
        <v>0.8</v>
      </c>
      <c r="BE64" s="30"/>
      <c r="BF64" s="30">
        <v>0.8</v>
      </c>
      <c r="BG64" s="27"/>
      <c r="BH64" s="30">
        <v>0.8</v>
      </c>
      <c r="BJ64" s="11"/>
      <c r="BL64" s="30"/>
      <c r="BM64" s="30">
        <v>0.8</v>
      </c>
      <c r="BN64" s="27"/>
      <c r="BO64" s="30">
        <v>0.8</v>
      </c>
      <c r="BS64" s="30"/>
      <c r="BT64" s="30">
        <v>0.8</v>
      </c>
      <c r="BU64" s="27"/>
      <c r="BV64" s="30">
        <v>0.8</v>
      </c>
      <c r="BX64" s="11"/>
      <c r="BZ64" s="30"/>
      <c r="CA64" s="30">
        <v>0.8</v>
      </c>
      <c r="CB64" s="27"/>
      <c r="CC64" s="30">
        <v>0.8</v>
      </c>
      <c r="CE64" s="11"/>
      <c r="CG64" s="30"/>
      <c r="CH64" s="30">
        <v>1.0</v>
      </c>
      <c r="CI64" s="27"/>
      <c r="CJ64" s="30">
        <v>1.0</v>
      </c>
      <c r="CL64" s="11"/>
      <c r="CN64" s="30"/>
      <c r="CO64" s="30">
        <v>1.0</v>
      </c>
      <c r="CP64" s="27"/>
      <c r="CQ64" s="30">
        <v>1.0</v>
      </c>
      <c r="CS64" s="11"/>
      <c r="CU64" s="30"/>
      <c r="CV64" s="30">
        <v>1.0</v>
      </c>
      <c r="CW64" s="27"/>
      <c r="CX64" s="30">
        <v>1.0</v>
      </c>
      <c r="CZ64" s="11"/>
      <c r="DB64" s="30"/>
      <c r="DC64" s="30">
        <v>1.0</v>
      </c>
      <c r="DD64" s="27"/>
      <c r="DE64" s="30">
        <v>1.0</v>
      </c>
      <c r="DG64" s="11"/>
      <c r="DI64" s="30"/>
      <c r="DJ64" s="27"/>
      <c r="DK64" s="27"/>
      <c r="DL64" s="27"/>
      <c r="DN64" s="11"/>
      <c r="DP64" s="30"/>
      <c r="DQ64" s="27"/>
      <c r="DR64" s="27"/>
      <c r="DS64" s="27"/>
      <c r="DU64" s="11"/>
      <c r="DW64" s="30"/>
      <c r="DX64" s="27"/>
      <c r="DY64" s="27"/>
      <c r="DZ64" s="27"/>
    </row>
    <row r="65" ht="15.75" customHeight="1" outlineLevel="1">
      <c r="B65" s="6" t="s">
        <v>56</v>
      </c>
      <c r="C65" s="24" t="s">
        <v>97</v>
      </c>
      <c r="E65" s="26"/>
      <c r="F65" s="5" t="s">
        <v>100</v>
      </c>
      <c r="G65" s="27">
        <v>0.05</v>
      </c>
      <c r="I65" s="26">
        <f t="shared" si="7"/>
        <v>0</v>
      </c>
      <c r="J65" s="29">
        <f t="array" ref="J65">MAX(IF($N$3:$HA$3=$J$3,N65:HA65))</f>
        <v>0</v>
      </c>
      <c r="K65" s="29"/>
      <c r="L65" s="26"/>
      <c r="O65" s="30"/>
      <c r="P65" s="27"/>
      <c r="Q65" s="27"/>
      <c r="R65" s="27"/>
      <c r="V65" s="30"/>
      <c r="W65" s="30">
        <v>0.8</v>
      </c>
      <c r="X65" s="27"/>
      <c r="Y65" s="30"/>
      <c r="AC65" s="30"/>
      <c r="AD65" s="30">
        <v>0.8</v>
      </c>
      <c r="AE65" s="27"/>
      <c r="AF65" s="30">
        <v>0.8</v>
      </c>
      <c r="AJ65" s="30"/>
      <c r="AK65" s="30">
        <v>0.8</v>
      </c>
      <c r="AL65" s="27"/>
      <c r="AM65" s="30">
        <v>0.8</v>
      </c>
      <c r="AQ65" s="30"/>
      <c r="AR65" s="30">
        <v>0.8</v>
      </c>
      <c r="AS65" s="27"/>
      <c r="AT65" s="30">
        <v>0.8</v>
      </c>
      <c r="AX65" s="30"/>
      <c r="AY65" s="30">
        <v>0.8</v>
      </c>
      <c r="AZ65" s="27"/>
      <c r="BA65" s="30">
        <v>0.8</v>
      </c>
      <c r="BE65" s="30"/>
      <c r="BF65" s="30">
        <v>0.8</v>
      </c>
      <c r="BG65" s="27"/>
      <c r="BH65" s="30">
        <v>0.8</v>
      </c>
      <c r="BJ65" s="11"/>
      <c r="BL65" s="30"/>
      <c r="BM65" s="30">
        <v>0.8</v>
      </c>
      <c r="BN65" s="27"/>
      <c r="BO65" s="30">
        <v>0.8</v>
      </c>
      <c r="BS65" s="30"/>
      <c r="BT65" s="30">
        <v>0.8</v>
      </c>
      <c r="BU65" s="27"/>
      <c r="BV65" s="30">
        <v>0.8</v>
      </c>
      <c r="BX65" s="11"/>
      <c r="BZ65" s="30"/>
      <c r="CA65" s="30">
        <v>0.8</v>
      </c>
      <c r="CB65" s="27"/>
      <c r="CC65" s="30">
        <v>0.8</v>
      </c>
      <c r="CE65" s="11"/>
      <c r="CG65" s="30"/>
      <c r="CH65" s="30">
        <v>1.0</v>
      </c>
      <c r="CI65" s="27"/>
      <c r="CJ65" s="30">
        <v>1.0</v>
      </c>
      <c r="CL65" s="11"/>
      <c r="CN65" s="30"/>
      <c r="CO65" s="30">
        <v>1.0</v>
      </c>
      <c r="CP65" s="27"/>
      <c r="CQ65" s="30">
        <v>1.0</v>
      </c>
      <c r="CS65" s="11"/>
      <c r="CU65" s="30"/>
      <c r="CV65" s="30">
        <v>1.0</v>
      </c>
      <c r="CW65" s="27"/>
      <c r="CX65" s="30">
        <v>1.0</v>
      </c>
      <c r="CZ65" s="11"/>
      <c r="DB65" s="30"/>
      <c r="DC65" s="30">
        <v>1.0</v>
      </c>
      <c r="DD65" s="27"/>
      <c r="DE65" s="30">
        <v>1.0</v>
      </c>
      <c r="DG65" s="11"/>
      <c r="DI65" s="30"/>
      <c r="DJ65" s="27"/>
      <c r="DK65" s="27"/>
      <c r="DL65" s="27"/>
      <c r="DN65" s="11"/>
      <c r="DP65" s="30"/>
      <c r="DQ65" s="27"/>
      <c r="DR65" s="27"/>
      <c r="DS65" s="27"/>
      <c r="DU65" s="11"/>
      <c r="DW65" s="30"/>
      <c r="DX65" s="27"/>
      <c r="DY65" s="27"/>
      <c r="DZ65" s="27"/>
    </row>
    <row r="66" ht="15.75" customHeight="1" outlineLevel="1">
      <c r="B66" s="6" t="s">
        <v>56</v>
      </c>
      <c r="C66" s="24" t="s">
        <v>97</v>
      </c>
      <c r="E66" s="26"/>
      <c r="F66" s="5" t="s">
        <v>101</v>
      </c>
      <c r="G66" s="27">
        <v>0.05</v>
      </c>
      <c r="I66" s="26">
        <f t="shared" si="7"/>
        <v>0</v>
      </c>
      <c r="J66" s="29">
        <f t="array" ref="J66">MAX(IF($N$3:$HA$3=$J$3,N66:HA66))</f>
        <v>0</v>
      </c>
      <c r="K66" s="29"/>
      <c r="L66" s="26"/>
      <c r="O66" s="27"/>
      <c r="P66" s="27"/>
      <c r="Q66" s="27"/>
      <c r="R66" s="27"/>
      <c r="V66" s="27"/>
      <c r="W66" s="30">
        <v>0.5</v>
      </c>
      <c r="X66" s="27"/>
      <c r="Y66" s="30"/>
      <c r="AC66" s="27"/>
      <c r="AD66" s="30">
        <v>0.8</v>
      </c>
      <c r="AE66" s="27"/>
      <c r="AF66" s="30">
        <v>0.8</v>
      </c>
      <c r="AJ66" s="27"/>
      <c r="AK66" s="30">
        <v>0.8</v>
      </c>
      <c r="AL66" s="27"/>
      <c r="AM66" s="30">
        <v>0.8</v>
      </c>
      <c r="AQ66" s="27"/>
      <c r="AR66" s="30">
        <v>0.8</v>
      </c>
      <c r="AS66" s="27"/>
      <c r="AT66" s="30">
        <v>0.8</v>
      </c>
      <c r="AX66" s="27"/>
      <c r="AY66" s="30">
        <v>0.8</v>
      </c>
      <c r="AZ66" s="27"/>
      <c r="BA66" s="30">
        <v>0.8</v>
      </c>
      <c r="BE66" s="27"/>
      <c r="BF66" s="30">
        <v>0.8</v>
      </c>
      <c r="BG66" s="27"/>
      <c r="BH66" s="30">
        <v>0.8</v>
      </c>
      <c r="BJ66" s="11"/>
      <c r="BL66" s="27"/>
      <c r="BM66" s="30">
        <v>0.8</v>
      </c>
      <c r="BN66" s="27"/>
      <c r="BO66" s="30">
        <v>0.8</v>
      </c>
      <c r="BS66" s="27"/>
      <c r="BT66" s="30">
        <v>0.8</v>
      </c>
      <c r="BU66" s="27"/>
      <c r="BV66" s="30">
        <v>0.8</v>
      </c>
      <c r="BX66" s="11"/>
      <c r="BZ66" s="27"/>
      <c r="CA66" s="30">
        <v>0.8</v>
      </c>
      <c r="CB66" s="27"/>
      <c r="CC66" s="30">
        <v>0.8</v>
      </c>
      <c r="CE66" s="11"/>
      <c r="CG66" s="27"/>
      <c r="CH66" s="30">
        <v>0.8</v>
      </c>
      <c r="CI66" s="27"/>
      <c r="CJ66" s="30">
        <v>0.8</v>
      </c>
      <c r="CL66" s="11"/>
      <c r="CN66" s="27"/>
      <c r="CO66" s="30">
        <v>1.0</v>
      </c>
      <c r="CP66" s="27"/>
      <c r="CQ66" s="30">
        <v>1.0</v>
      </c>
      <c r="CS66" s="11"/>
      <c r="CU66" s="27"/>
      <c r="CV66" s="30">
        <v>1.0</v>
      </c>
      <c r="CW66" s="27"/>
      <c r="CX66" s="30">
        <v>1.0</v>
      </c>
      <c r="CZ66" s="11"/>
      <c r="DB66" s="27"/>
      <c r="DC66" s="30">
        <v>1.0</v>
      </c>
      <c r="DD66" s="27"/>
      <c r="DE66" s="30">
        <v>1.0</v>
      </c>
      <c r="DG66" s="11"/>
      <c r="DI66" s="27"/>
      <c r="DJ66" s="27"/>
      <c r="DK66" s="27"/>
      <c r="DL66" s="27"/>
      <c r="DN66" s="11"/>
      <c r="DP66" s="27"/>
      <c r="DQ66" s="27"/>
      <c r="DR66" s="27"/>
      <c r="DS66" s="27"/>
      <c r="DU66" s="11"/>
      <c r="DW66" s="27"/>
      <c r="DX66" s="27"/>
      <c r="DY66" s="27"/>
      <c r="DZ66" s="27"/>
    </row>
    <row r="67" ht="15.75" customHeight="1" outlineLevel="1">
      <c r="B67" s="6" t="s">
        <v>56</v>
      </c>
      <c r="C67" s="24" t="s">
        <v>97</v>
      </c>
      <c r="E67" s="26"/>
      <c r="F67" s="5" t="s">
        <v>102</v>
      </c>
      <c r="G67" s="27">
        <v>0.05</v>
      </c>
      <c r="I67" s="26">
        <f t="shared" si="7"/>
        <v>0</v>
      </c>
      <c r="J67" s="29">
        <f t="array" ref="J67">MAX(IF($N$3:$HA$3=$J$3,N67:HA67))</f>
        <v>0</v>
      </c>
      <c r="K67" s="29"/>
      <c r="L67" s="26"/>
      <c r="O67" s="27"/>
      <c r="P67" s="27"/>
      <c r="Q67" s="27"/>
      <c r="R67" s="27"/>
      <c r="V67" s="27"/>
      <c r="W67" s="30">
        <v>0.5</v>
      </c>
      <c r="X67" s="27"/>
      <c r="Y67" s="30"/>
      <c r="AC67" s="27"/>
      <c r="AD67" s="30">
        <v>0.8</v>
      </c>
      <c r="AE67" s="27"/>
      <c r="AF67" s="30">
        <v>0.8</v>
      </c>
      <c r="AJ67" s="27"/>
      <c r="AK67" s="30">
        <v>0.8</v>
      </c>
      <c r="AL67" s="27"/>
      <c r="AM67" s="30">
        <v>0.8</v>
      </c>
      <c r="AQ67" s="27"/>
      <c r="AR67" s="30">
        <v>0.8</v>
      </c>
      <c r="AS67" s="27"/>
      <c r="AT67" s="30">
        <v>0.8</v>
      </c>
      <c r="AX67" s="27"/>
      <c r="AY67" s="30">
        <v>0.8</v>
      </c>
      <c r="AZ67" s="27"/>
      <c r="BA67" s="30">
        <v>0.8</v>
      </c>
      <c r="BE67" s="27"/>
      <c r="BF67" s="30">
        <v>0.8</v>
      </c>
      <c r="BG67" s="27"/>
      <c r="BH67" s="30">
        <v>0.8</v>
      </c>
      <c r="BJ67" s="11"/>
      <c r="BL67" s="27"/>
      <c r="BM67" s="30">
        <v>0.8</v>
      </c>
      <c r="BN67" s="27"/>
      <c r="BO67" s="30">
        <v>0.8</v>
      </c>
      <c r="BS67" s="27"/>
      <c r="BT67" s="30">
        <v>0.8</v>
      </c>
      <c r="BU67" s="27"/>
      <c r="BV67" s="30">
        <v>0.8</v>
      </c>
      <c r="BX67" s="11"/>
      <c r="BZ67" s="27"/>
      <c r="CA67" s="30">
        <v>0.8</v>
      </c>
      <c r="CB67" s="27"/>
      <c r="CC67" s="30">
        <v>0.8</v>
      </c>
      <c r="CE67" s="11"/>
      <c r="CG67" s="27"/>
      <c r="CH67" s="30">
        <v>0.8</v>
      </c>
      <c r="CI67" s="27"/>
      <c r="CJ67" s="30">
        <v>0.8</v>
      </c>
      <c r="CL67" s="11"/>
      <c r="CN67" s="27"/>
      <c r="CO67" s="30">
        <v>1.0</v>
      </c>
      <c r="CP67" s="27"/>
      <c r="CQ67" s="30">
        <v>1.0</v>
      </c>
      <c r="CS67" s="11"/>
      <c r="CU67" s="27"/>
      <c r="CV67" s="30">
        <v>1.0</v>
      </c>
      <c r="CW67" s="27"/>
      <c r="CX67" s="30">
        <v>1.0</v>
      </c>
      <c r="CZ67" s="11"/>
      <c r="DB67" s="27"/>
      <c r="DC67" s="30">
        <v>1.0</v>
      </c>
      <c r="DD67" s="27"/>
      <c r="DE67" s="30">
        <v>1.0</v>
      </c>
      <c r="DG67" s="11"/>
      <c r="DI67" s="27"/>
      <c r="DJ67" s="27"/>
      <c r="DK67" s="27"/>
      <c r="DL67" s="27"/>
      <c r="DN67" s="11"/>
      <c r="DP67" s="27"/>
      <c r="DQ67" s="27"/>
      <c r="DR67" s="27"/>
      <c r="DS67" s="27"/>
      <c r="DU67" s="11"/>
      <c r="DW67" s="27"/>
      <c r="DX67" s="27"/>
      <c r="DY67" s="27"/>
      <c r="DZ67" s="27"/>
    </row>
    <row r="68" ht="15.75" customHeight="1" outlineLevel="1">
      <c r="B68" s="6" t="s">
        <v>56</v>
      </c>
      <c r="C68" s="24" t="s">
        <v>97</v>
      </c>
      <c r="E68" s="26"/>
      <c r="F68" s="5" t="s">
        <v>103</v>
      </c>
      <c r="G68" s="27">
        <v>0.1</v>
      </c>
      <c r="I68" s="26">
        <f t="shared" si="7"/>
        <v>0</v>
      </c>
      <c r="J68" s="29">
        <f t="array" ref="J68">MAX(IF($N$3:$HA$3=$J$3,N68:HA68))</f>
        <v>0</v>
      </c>
      <c r="K68" s="29"/>
      <c r="L68" s="26"/>
      <c r="O68" s="27"/>
      <c r="P68" s="27"/>
      <c r="Q68" s="27"/>
      <c r="R68" s="27"/>
      <c r="V68" s="27"/>
      <c r="W68" s="27"/>
      <c r="X68" s="27"/>
      <c r="Y68" s="30">
        <v>0.0</v>
      </c>
      <c r="AC68" s="27"/>
      <c r="AD68" s="30">
        <v>0.5</v>
      </c>
      <c r="AE68" s="27"/>
      <c r="AF68" s="30">
        <v>0.5</v>
      </c>
      <c r="AJ68" s="27"/>
      <c r="AK68" s="30">
        <v>0.8</v>
      </c>
      <c r="AL68" s="27"/>
      <c r="AM68" s="30">
        <v>0.8</v>
      </c>
      <c r="AQ68" s="27"/>
      <c r="AR68" s="30">
        <v>0.8</v>
      </c>
      <c r="AS68" s="27"/>
      <c r="AT68" s="30">
        <v>0.8</v>
      </c>
      <c r="AX68" s="27"/>
      <c r="AY68" s="30">
        <v>0.8</v>
      </c>
      <c r="AZ68" s="27"/>
      <c r="BA68" s="30">
        <v>0.8</v>
      </c>
      <c r="BE68" s="27"/>
      <c r="BF68" s="30">
        <v>0.8</v>
      </c>
      <c r="BG68" s="27"/>
      <c r="BH68" s="30">
        <v>0.8</v>
      </c>
      <c r="BJ68" s="11"/>
      <c r="BL68" s="27"/>
      <c r="BM68" s="30">
        <v>0.8</v>
      </c>
      <c r="BN68" s="27"/>
      <c r="BO68" s="30">
        <v>0.8</v>
      </c>
      <c r="BS68" s="27"/>
      <c r="BT68" s="30">
        <v>0.8</v>
      </c>
      <c r="BU68" s="27"/>
      <c r="BV68" s="30">
        <v>0.8</v>
      </c>
      <c r="BX68" s="11"/>
      <c r="BZ68" s="27"/>
      <c r="CA68" s="30">
        <v>0.8</v>
      </c>
      <c r="CB68" s="27"/>
      <c r="CC68" s="30">
        <v>0.8</v>
      </c>
      <c r="CE68" s="11"/>
      <c r="CG68" s="27"/>
      <c r="CH68" s="30">
        <v>0.8</v>
      </c>
      <c r="CI68" s="27"/>
      <c r="CJ68" s="30">
        <v>0.8</v>
      </c>
      <c r="CL68" s="11"/>
      <c r="CN68" s="27"/>
      <c r="CO68" s="30">
        <v>1.0</v>
      </c>
      <c r="CP68" s="27"/>
      <c r="CQ68" s="30">
        <v>1.0</v>
      </c>
      <c r="CS68" s="11"/>
      <c r="CU68" s="27"/>
      <c r="CV68" s="30">
        <v>1.0</v>
      </c>
      <c r="CW68" s="27"/>
      <c r="CX68" s="30">
        <v>1.0</v>
      </c>
      <c r="CZ68" s="11"/>
      <c r="DB68" s="27"/>
      <c r="DC68" s="30">
        <v>1.0</v>
      </c>
      <c r="DD68" s="27"/>
      <c r="DE68" s="30">
        <v>1.0</v>
      </c>
      <c r="DG68" s="11"/>
      <c r="DI68" s="27"/>
      <c r="DJ68" s="27"/>
      <c r="DK68" s="27"/>
      <c r="DL68" s="27"/>
      <c r="DN68" s="11"/>
      <c r="DP68" s="27"/>
      <c r="DQ68" s="27"/>
      <c r="DR68" s="27"/>
      <c r="DS68" s="27"/>
      <c r="DU68" s="11"/>
      <c r="DW68" s="27"/>
      <c r="DX68" s="27"/>
      <c r="DY68" s="27"/>
      <c r="DZ68" s="27"/>
    </row>
    <row r="69" ht="15.75" customHeight="1" outlineLevel="1">
      <c r="B69" s="6" t="s">
        <v>56</v>
      </c>
      <c r="C69" s="24" t="s">
        <v>97</v>
      </c>
      <c r="E69" s="26"/>
      <c r="F69" s="5" t="s">
        <v>104</v>
      </c>
      <c r="G69" s="27">
        <v>0.1</v>
      </c>
      <c r="I69" s="26">
        <f t="shared" si="7"/>
        <v>0</v>
      </c>
      <c r="J69" s="29">
        <f t="array" ref="J69">MAX(IF($N$3:$HA$3=$J$3,N69:HA69))</f>
        <v>0</v>
      </c>
      <c r="K69" s="29"/>
      <c r="L69" s="26"/>
      <c r="O69" s="27"/>
      <c r="P69" s="27"/>
      <c r="Q69" s="27"/>
      <c r="R69" s="27"/>
      <c r="V69" s="27"/>
      <c r="W69" s="27"/>
      <c r="X69" s="27"/>
      <c r="Y69" s="30">
        <v>0.0</v>
      </c>
      <c r="AC69" s="27"/>
      <c r="AD69" s="30">
        <v>0.5</v>
      </c>
      <c r="AE69" s="27"/>
      <c r="AF69" s="30">
        <v>0.5</v>
      </c>
      <c r="AJ69" s="27"/>
      <c r="AK69" s="30">
        <v>0.5</v>
      </c>
      <c r="AL69" s="27"/>
      <c r="AM69" s="30">
        <v>0.5</v>
      </c>
      <c r="AQ69" s="27"/>
      <c r="AR69" s="30">
        <v>0.5</v>
      </c>
      <c r="AS69" s="27"/>
      <c r="AT69" s="30">
        <v>0.5</v>
      </c>
      <c r="AX69" s="27"/>
      <c r="AY69" s="30">
        <v>0.5</v>
      </c>
      <c r="AZ69" s="27"/>
      <c r="BA69" s="30">
        <v>0.5</v>
      </c>
      <c r="BE69" s="27"/>
      <c r="BF69" s="30">
        <v>0.5</v>
      </c>
      <c r="BG69" s="27"/>
      <c r="BH69" s="30">
        <v>0.5</v>
      </c>
      <c r="BJ69" s="11"/>
      <c r="BL69" s="27"/>
      <c r="BM69" s="30">
        <v>0.8</v>
      </c>
      <c r="BN69" s="27"/>
      <c r="BO69" s="30">
        <v>0.8</v>
      </c>
      <c r="BS69" s="27"/>
      <c r="BT69" s="30">
        <v>0.8</v>
      </c>
      <c r="BU69" s="27"/>
      <c r="BV69" s="30">
        <v>0.8</v>
      </c>
      <c r="BX69" s="11"/>
      <c r="BZ69" s="27"/>
      <c r="CA69" s="30">
        <v>0.8</v>
      </c>
      <c r="CB69" s="27"/>
      <c r="CC69" s="30">
        <v>0.8</v>
      </c>
      <c r="CE69" s="11"/>
      <c r="CG69" s="27"/>
      <c r="CH69" s="30">
        <v>0.8</v>
      </c>
      <c r="CI69" s="27"/>
      <c r="CJ69" s="30">
        <v>0.8</v>
      </c>
      <c r="CL69" s="11"/>
      <c r="CN69" s="27"/>
      <c r="CO69" s="30">
        <v>0.8</v>
      </c>
      <c r="CP69" s="27"/>
      <c r="CQ69" s="30">
        <v>0.8</v>
      </c>
      <c r="CS69" s="11"/>
      <c r="CU69" s="27"/>
      <c r="CV69" s="30">
        <v>1.0</v>
      </c>
      <c r="CW69" s="27"/>
      <c r="CX69" s="30">
        <v>1.0</v>
      </c>
      <c r="CZ69" s="11"/>
      <c r="DB69" s="27"/>
      <c r="DC69" s="30">
        <v>1.0</v>
      </c>
      <c r="DD69" s="27"/>
      <c r="DE69" s="30">
        <v>1.0</v>
      </c>
      <c r="DG69" s="11"/>
      <c r="DI69" s="27"/>
      <c r="DJ69" s="27"/>
      <c r="DK69" s="27"/>
      <c r="DL69" s="27"/>
      <c r="DN69" s="11"/>
      <c r="DP69" s="27"/>
      <c r="DQ69" s="27"/>
      <c r="DR69" s="27"/>
      <c r="DS69" s="27"/>
      <c r="DU69" s="11"/>
      <c r="DW69" s="27"/>
      <c r="DX69" s="27"/>
      <c r="DY69" s="27"/>
      <c r="DZ69" s="27"/>
    </row>
    <row r="70" ht="15.75" customHeight="1" outlineLevel="1">
      <c r="B70" s="6" t="s">
        <v>56</v>
      </c>
      <c r="C70" s="24" t="s">
        <v>97</v>
      </c>
      <c r="E70" s="26"/>
      <c r="F70" s="5" t="s">
        <v>105</v>
      </c>
      <c r="G70" s="27">
        <v>0.1</v>
      </c>
      <c r="I70" s="26">
        <f t="shared" si="7"/>
        <v>0</v>
      </c>
      <c r="J70" s="29">
        <f t="array" ref="J70">MAX(IF($N$3:$HA$3=$J$3,N70:HA70))</f>
        <v>0</v>
      </c>
      <c r="K70" s="29"/>
      <c r="L70" s="26"/>
      <c r="O70" s="27"/>
      <c r="P70" s="27"/>
      <c r="Q70" s="27"/>
      <c r="R70" s="27"/>
      <c r="V70" s="27"/>
      <c r="W70" s="27"/>
      <c r="X70" s="27"/>
      <c r="Y70" s="30">
        <v>0.0</v>
      </c>
      <c r="AC70" s="27"/>
      <c r="AD70" s="27"/>
      <c r="AE70" s="27"/>
      <c r="AF70" s="30">
        <v>0.0</v>
      </c>
      <c r="AJ70" s="27"/>
      <c r="AK70" s="30">
        <v>0.5</v>
      </c>
      <c r="AL70" s="27"/>
      <c r="AM70" s="30">
        <v>0.5</v>
      </c>
      <c r="AQ70" s="27"/>
      <c r="AR70" s="30">
        <v>0.5</v>
      </c>
      <c r="AS70" s="27"/>
      <c r="AT70" s="30">
        <v>0.5</v>
      </c>
      <c r="AX70" s="27"/>
      <c r="AY70" s="30">
        <v>0.5</v>
      </c>
      <c r="AZ70" s="27"/>
      <c r="BA70" s="30">
        <v>0.5</v>
      </c>
      <c r="BE70" s="27"/>
      <c r="BF70" s="30">
        <v>0.5</v>
      </c>
      <c r="BG70" s="27"/>
      <c r="BH70" s="30">
        <v>0.5</v>
      </c>
      <c r="BJ70" s="11"/>
      <c r="BL70" s="27"/>
      <c r="BM70" s="30">
        <v>0.8</v>
      </c>
      <c r="BN70" s="27"/>
      <c r="BO70" s="30">
        <v>0.8</v>
      </c>
      <c r="BS70" s="27"/>
      <c r="BT70" s="30">
        <v>0.8</v>
      </c>
      <c r="BU70" s="27"/>
      <c r="BV70" s="30">
        <v>0.8</v>
      </c>
      <c r="BX70" s="11"/>
      <c r="BZ70" s="27"/>
      <c r="CA70" s="30">
        <v>0.8</v>
      </c>
      <c r="CB70" s="27"/>
      <c r="CC70" s="30">
        <v>0.8</v>
      </c>
      <c r="CE70" s="11"/>
      <c r="CG70" s="27"/>
      <c r="CH70" s="30">
        <v>0.8</v>
      </c>
      <c r="CI70" s="27"/>
      <c r="CJ70" s="30">
        <v>0.8</v>
      </c>
      <c r="CL70" s="11"/>
      <c r="CN70" s="27"/>
      <c r="CO70" s="30">
        <v>0.8</v>
      </c>
      <c r="CP70" s="27"/>
      <c r="CQ70" s="30">
        <v>0.8</v>
      </c>
      <c r="CS70" s="11"/>
      <c r="CU70" s="27"/>
      <c r="CV70" s="30">
        <v>1.0</v>
      </c>
      <c r="CW70" s="27"/>
      <c r="CX70" s="30">
        <v>1.0</v>
      </c>
      <c r="CZ70" s="11"/>
      <c r="DB70" s="27"/>
      <c r="DC70" s="30">
        <v>1.0</v>
      </c>
      <c r="DD70" s="27"/>
      <c r="DE70" s="30">
        <v>1.0</v>
      </c>
      <c r="DG70" s="11"/>
      <c r="DI70" s="27"/>
      <c r="DJ70" s="27"/>
      <c r="DK70" s="27"/>
      <c r="DL70" s="27"/>
      <c r="DN70" s="11"/>
      <c r="DP70" s="27"/>
      <c r="DQ70" s="27"/>
      <c r="DR70" s="27"/>
      <c r="DS70" s="27"/>
      <c r="DU70" s="11"/>
      <c r="DW70" s="27"/>
      <c r="DX70" s="27"/>
      <c r="DY70" s="27"/>
      <c r="DZ70" s="27"/>
    </row>
    <row r="71" ht="15.75" customHeight="1" outlineLevel="1">
      <c r="B71" s="6" t="s">
        <v>56</v>
      </c>
      <c r="C71" s="24" t="s">
        <v>97</v>
      </c>
      <c r="E71" s="26"/>
      <c r="F71" s="5" t="s">
        <v>106</v>
      </c>
      <c r="G71" s="27">
        <v>0.1</v>
      </c>
      <c r="I71" s="26">
        <f t="shared" si="7"/>
        <v>0</v>
      </c>
      <c r="J71" s="29">
        <f t="array" ref="J71">MAX(IF($N$3:$HA$3=$J$3,N71:HA71))</f>
        <v>0</v>
      </c>
      <c r="K71" s="29"/>
      <c r="L71" s="26"/>
      <c r="O71" s="27"/>
      <c r="P71" s="27"/>
      <c r="Q71" s="27"/>
      <c r="R71" s="27"/>
      <c r="V71" s="27"/>
      <c r="W71" s="27"/>
      <c r="X71" s="27"/>
      <c r="Y71" s="30">
        <v>0.0</v>
      </c>
      <c r="AC71" s="27"/>
      <c r="AD71" s="27"/>
      <c r="AE71" s="27"/>
      <c r="AF71" s="30">
        <v>0.0</v>
      </c>
      <c r="AJ71" s="27"/>
      <c r="AK71" s="27"/>
      <c r="AL71" s="27"/>
      <c r="AM71" s="30">
        <v>0.0</v>
      </c>
      <c r="AQ71" s="27"/>
      <c r="AR71" s="30">
        <v>0.5</v>
      </c>
      <c r="AS71" s="27"/>
      <c r="AT71" s="30">
        <v>0.5</v>
      </c>
      <c r="AX71" s="27"/>
      <c r="AY71" s="30">
        <v>0.5</v>
      </c>
      <c r="AZ71" s="27"/>
      <c r="BA71" s="30">
        <v>0.5</v>
      </c>
      <c r="BE71" s="27"/>
      <c r="BF71" s="30">
        <v>0.5</v>
      </c>
      <c r="BG71" s="27"/>
      <c r="BH71" s="30">
        <v>0.5</v>
      </c>
      <c r="BJ71" s="11"/>
      <c r="BL71" s="27"/>
      <c r="BM71" s="30">
        <v>0.800000000000001</v>
      </c>
      <c r="BN71" s="27"/>
      <c r="BO71" s="30">
        <v>0.800000000000001</v>
      </c>
      <c r="BS71" s="27"/>
      <c r="BT71" s="30">
        <v>0.8</v>
      </c>
      <c r="BU71" s="27"/>
      <c r="BV71" s="30">
        <v>0.8</v>
      </c>
      <c r="BX71" s="11"/>
      <c r="BZ71" s="27"/>
      <c r="CA71" s="30">
        <v>0.8</v>
      </c>
      <c r="CB71" s="27"/>
      <c r="CC71" s="30">
        <v>0.8</v>
      </c>
      <c r="CE71" s="11"/>
      <c r="CG71" s="27"/>
      <c r="CH71" s="30">
        <v>0.8</v>
      </c>
      <c r="CI71" s="27"/>
      <c r="CJ71" s="30">
        <v>0.8</v>
      </c>
      <c r="CL71" s="11"/>
      <c r="CN71" s="27"/>
      <c r="CO71" s="30">
        <v>0.8</v>
      </c>
      <c r="CP71" s="27"/>
      <c r="CQ71" s="30">
        <v>0.8</v>
      </c>
      <c r="CS71" s="11"/>
      <c r="CU71" s="27"/>
      <c r="CV71" s="30">
        <v>1.0</v>
      </c>
      <c r="CW71" s="27"/>
      <c r="CX71" s="30">
        <v>1.0</v>
      </c>
      <c r="CZ71" s="11"/>
      <c r="DB71" s="27"/>
      <c r="DC71" s="30">
        <v>1.0</v>
      </c>
      <c r="DD71" s="27"/>
      <c r="DE71" s="30">
        <v>1.0</v>
      </c>
      <c r="DG71" s="11"/>
      <c r="DI71" s="27"/>
      <c r="DJ71" s="27"/>
      <c r="DK71" s="27"/>
      <c r="DL71" s="27"/>
      <c r="DN71" s="11"/>
      <c r="DP71" s="27"/>
      <c r="DQ71" s="27"/>
      <c r="DR71" s="27"/>
      <c r="DS71" s="27"/>
      <c r="DU71" s="11"/>
      <c r="DW71" s="27"/>
      <c r="DX71" s="27"/>
      <c r="DY71" s="27"/>
      <c r="DZ71" s="27"/>
    </row>
    <row r="72" ht="15.75" customHeight="1" outlineLevel="1">
      <c r="B72" s="6" t="s">
        <v>56</v>
      </c>
      <c r="C72" s="24" t="s">
        <v>97</v>
      </c>
      <c r="E72" s="26"/>
      <c r="F72" s="5" t="s">
        <v>107</v>
      </c>
      <c r="G72" s="27">
        <v>0.1</v>
      </c>
      <c r="I72" s="26">
        <f t="shared" si="7"/>
        <v>0</v>
      </c>
      <c r="J72" s="29">
        <f t="array" ref="J72">MAX(IF($N$3:$HA$3=$J$3,N72:HA72))</f>
        <v>0</v>
      </c>
      <c r="K72" s="29"/>
      <c r="L72" s="26"/>
      <c r="O72" s="27"/>
      <c r="P72" s="27"/>
      <c r="Q72" s="27"/>
      <c r="R72" s="27"/>
      <c r="V72" s="27"/>
      <c r="W72" s="27"/>
      <c r="X72" s="27"/>
      <c r="Y72" s="30">
        <v>0.0</v>
      </c>
      <c r="AC72" s="27"/>
      <c r="AD72" s="27"/>
      <c r="AE72" s="27"/>
      <c r="AF72" s="30">
        <v>0.0</v>
      </c>
      <c r="AJ72" s="27"/>
      <c r="AK72" s="27"/>
      <c r="AL72" s="27"/>
      <c r="AM72" s="30">
        <v>0.0</v>
      </c>
      <c r="AQ72" s="27"/>
      <c r="AR72" s="30">
        <v>0.5</v>
      </c>
      <c r="AS72" s="27"/>
      <c r="AT72" s="30">
        <v>0.5</v>
      </c>
      <c r="AX72" s="27"/>
      <c r="AY72" s="30">
        <v>0.5</v>
      </c>
      <c r="AZ72" s="27"/>
      <c r="BA72" s="30">
        <v>0.5</v>
      </c>
      <c r="BE72" s="27"/>
      <c r="BF72" s="30">
        <v>0.5</v>
      </c>
      <c r="BG72" s="27"/>
      <c r="BH72" s="30">
        <v>0.5</v>
      </c>
      <c r="BJ72" s="11"/>
      <c r="BL72" s="27"/>
      <c r="BM72" s="30">
        <v>0.5</v>
      </c>
      <c r="BN72" s="27"/>
      <c r="BO72" s="30">
        <v>0.5</v>
      </c>
      <c r="BS72" s="27"/>
      <c r="BT72" s="30">
        <v>0.8</v>
      </c>
      <c r="BU72" s="27"/>
      <c r="BV72" s="30">
        <v>0.8</v>
      </c>
      <c r="BX72" s="11"/>
      <c r="BZ72" s="27"/>
      <c r="CA72" s="30">
        <v>0.8</v>
      </c>
      <c r="CB72" s="27"/>
      <c r="CC72" s="30">
        <v>0.8</v>
      </c>
      <c r="CE72" s="11"/>
      <c r="CG72" s="27"/>
      <c r="CH72" s="30">
        <v>0.8</v>
      </c>
      <c r="CI72" s="27"/>
      <c r="CJ72" s="30">
        <v>0.8</v>
      </c>
      <c r="CL72" s="11"/>
      <c r="CN72" s="27"/>
      <c r="CO72" s="30">
        <v>0.8</v>
      </c>
      <c r="CP72" s="27"/>
      <c r="CQ72" s="30">
        <v>0.8</v>
      </c>
      <c r="CS72" s="11"/>
      <c r="CU72" s="27"/>
      <c r="CV72" s="30">
        <v>1.0</v>
      </c>
      <c r="CW72" s="27"/>
      <c r="CX72" s="30">
        <v>1.0</v>
      </c>
      <c r="CZ72" s="11"/>
      <c r="DB72" s="27"/>
      <c r="DC72" s="30">
        <v>1.0</v>
      </c>
      <c r="DD72" s="27"/>
      <c r="DE72" s="30">
        <v>1.0</v>
      </c>
      <c r="DG72" s="11"/>
      <c r="DI72" s="27"/>
      <c r="DJ72" s="27"/>
      <c r="DK72" s="27"/>
      <c r="DL72" s="27"/>
      <c r="DN72" s="11"/>
      <c r="DP72" s="27"/>
      <c r="DQ72" s="27"/>
      <c r="DR72" s="27"/>
      <c r="DS72" s="27"/>
      <c r="DU72" s="11"/>
      <c r="DW72" s="27"/>
      <c r="DX72" s="27"/>
      <c r="DY72" s="27"/>
      <c r="DZ72" s="27"/>
    </row>
    <row r="73" ht="15.75" customHeight="1" outlineLevel="1">
      <c r="B73" s="6" t="s">
        <v>56</v>
      </c>
      <c r="C73" s="24" t="s">
        <v>97</v>
      </c>
      <c r="E73" s="26"/>
      <c r="F73" s="5" t="s">
        <v>108</v>
      </c>
      <c r="G73" s="27">
        <v>0.1</v>
      </c>
      <c r="I73" s="26">
        <f t="shared" si="7"/>
        <v>0</v>
      </c>
      <c r="J73" s="29">
        <f t="array" ref="J73">MAX(IF($N$3:$HA$3=$J$3,N73:HA73))</f>
        <v>0</v>
      </c>
      <c r="K73" s="29"/>
      <c r="L73" s="26"/>
      <c r="O73" s="27"/>
      <c r="P73" s="27"/>
      <c r="Q73" s="27"/>
      <c r="R73" s="27"/>
      <c r="V73" s="27"/>
      <c r="W73" s="27"/>
      <c r="X73" s="27"/>
      <c r="Y73" s="30">
        <v>0.0</v>
      </c>
      <c r="AC73" s="27"/>
      <c r="AD73" s="27"/>
      <c r="AE73" s="27"/>
      <c r="AF73" s="30">
        <v>0.0</v>
      </c>
      <c r="AJ73" s="27"/>
      <c r="AK73" s="27"/>
      <c r="AL73" s="27"/>
      <c r="AM73" s="30">
        <v>0.0</v>
      </c>
      <c r="AQ73" s="27"/>
      <c r="AR73" s="30">
        <v>0.0</v>
      </c>
      <c r="AS73" s="27"/>
      <c r="AT73" s="30">
        <v>0.0</v>
      </c>
      <c r="AX73" s="27"/>
      <c r="AY73" s="30">
        <v>0.5</v>
      </c>
      <c r="AZ73" s="27"/>
      <c r="BA73" s="30">
        <v>0.5</v>
      </c>
      <c r="BE73" s="27"/>
      <c r="BF73" s="30">
        <v>0.5</v>
      </c>
      <c r="BG73" s="27"/>
      <c r="BH73" s="30">
        <v>0.5</v>
      </c>
      <c r="BJ73" s="11"/>
      <c r="BL73" s="27"/>
      <c r="BM73" s="30">
        <v>0.5</v>
      </c>
      <c r="BN73" s="27"/>
      <c r="BO73" s="30">
        <v>0.5</v>
      </c>
      <c r="BS73" s="27"/>
      <c r="BT73" s="30">
        <v>0.5</v>
      </c>
      <c r="BU73" s="27"/>
      <c r="BV73" s="30">
        <v>0.5</v>
      </c>
      <c r="BX73" s="11"/>
      <c r="BZ73" s="27"/>
      <c r="CA73" s="30">
        <v>0.5</v>
      </c>
      <c r="CB73" s="27"/>
      <c r="CC73" s="30">
        <v>0.5</v>
      </c>
      <c r="CE73" s="11"/>
      <c r="CG73" s="27"/>
      <c r="CH73" s="30">
        <v>0.8</v>
      </c>
      <c r="CI73" s="27"/>
      <c r="CJ73" s="30">
        <v>0.8</v>
      </c>
      <c r="CL73" s="11"/>
      <c r="CN73" s="27"/>
      <c r="CO73" s="30">
        <v>0.8</v>
      </c>
      <c r="CP73" s="27"/>
      <c r="CQ73" s="30">
        <v>0.8</v>
      </c>
      <c r="CS73" s="11"/>
      <c r="CU73" s="27"/>
      <c r="CV73" s="30">
        <v>0.8</v>
      </c>
      <c r="CW73" s="27"/>
      <c r="CX73" s="30">
        <v>0.8</v>
      </c>
      <c r="CZ73" s="11"/>
      <c r="DB73" s="27"/>
      <c r="DC73" s="30">
        <v>1.0</v>
      </c>
      <c r="DD73" s="27"/>
      <c r="DE73" s="30">
        <v>1.0</v>
      </c>
      <c r="DG73" s="11"/>
      <c r="DI73" s="27"/>
      <c r="DJ73" s="27"/>
      <c r="DK73" s="27"/>
      <c r="DL73" s="27"/>
      <c r="DN73" s="11"/>
      <c r="DP73" s="27"/>
      <c r="DQ73" s="27"/>
      <c r="DR73" s="27"/>
      <c r="DS73" s="27"/>
      <c r="DU73" s="11"/>
      <c r="DW73" s="27"/>
      <c r="DX73" s="27"/>
      <c r="DY73" s="27"/>
      <c r="DZ73" s="27"/>
    </row>
    <row r="74" ht="15.75" customHeight="1" outlineLevel="1">
      <c r="B74" s="6" t="s">
        <v>56</v>
      </c>
      <c r="C74" s="24" t="s">
        <v>97</v>
      </c>
      <c r="E74" s="26"/>
      <c r="F74" s="5" t="s">
        <v>109</v>
      </c>
      <c r="G74" s="27">
        <v>0.1</v>
      </c>
      <c r="I74" s="26">
        <f t="shared" si="7"/>
        <v>0</v>
      </c>
      <c r="J74" s="29">
        <f t="array" ref="J74">MAX(IF($N$3:$HA$3=$J$3,N74:HA74))</f>
        <v>0</v>
      </c>
      <c r="K74" s="29"/>
      <c r="L74" s="26"/>
      <c r="O74" s="27"/>
      <c r="P74" s="27"/>
      <c r="Q74" s="27"/>
      <c r="R74" s="27"/>
      <c r="V74" s="27"/>
      <c r="W74" s="27"/>
      <c r="X74" s="27"/>
      <c r="Y74" s="30">
        <v>0.0</v>
      </c>
      <c r="AC74" s="27"/>
      <c r="AD74" s="27"/>
      <c r="AE74" s="27"/>
      <c r="AF74" s="30">
        <v>0.0</v>
      </c>
      <c r="AJ74" s="27"/>
      <c r="AK74" s="27"/>
      <c r="AL74" s="27"/>
      <c r="AM74" s="30">
        <v>0.0</v>
      </c>
      <c r="AQ74" s="27"/>
      <c r="AR74" s="30">
        <v>0.0</v>
      </c>
      <c r="AS74" s="27"/>
      <c r="AT74" s="30">
        <v>0.0</v>
      </c>
      <c r="AX74" s="27"/>
      <c r="AY74" s="30">
        <v>0.5</v>
      </c>
      <c r="AZ74" s="27"/>
      <c r="BA74" s="30">
        <v>0.5</v>
      </c>
      <c r="BE74" s="27"/>
      <c r="BF74" s="30">
        <v>0.5</v>
      </c>
      <c r="BG74" s="27"/>
      <c r="BH74" s="30">
        <v>0.5</v>
      </c>
      <c r="BJ74" s="11"/>
      <c r="BL74" s="27"/>
      <c r="BM74" s="30">
        <v>0.5</v>
      </c>
      <c r="BN74" s="27"/>
      <c r="BO74" s="30">
        <v>0.5</v>
      </c>
      <c r="BS74" s="27"/>
      <c r="BT74" s="30">
        <v>0.5</v>
      </c>
      <c r="BU74" s="27"/>
      <c r="BV74" s="30">
        <v>0.5</v>
      </c>
      <c r="BX74" s="11"/>
      <c r="BZ74" s="27"/>
      <c r="CA74" s="30">
        <v>0.5</v>
      </c>
      <c r="CB74" s="27"/>
      <c r="CC74" s="30">
        <v>0.5</v>
      </c>
      <c r="CE74" s="11"/>
      <c r="CG74" s="27"/>
      <c r="CH74" s="30">
        <v>0.8</v>
      </c>
      <c r="CI74" s="27"/>
      <c r="CJ74" s="30">
        <v>0.8</v>
      </c>
      <c r="CL74" s="11"/>
      <c r="CN74" s="27"/>
      <c r="CO74" s="30">
        <v>0.8</v>
      </c>
      <c r="CP74" s="27"/>
      <c r="CQ74" s="30">
        <v>0.8</v>
      </c>
      <c r="CS74" s="11"/>
      <c r="CU74" s="27"/>
      <c r="CV74" s="30">
        <v>0.8</v>
      </c>
      <c r="CW74" s="27"/>
      <c r="CX74" s="30">
        <v>0.8</v>
      </c>
      <c r="CZ74" s="11"/>
      <c r="DB74" s="27"/>
      <c r="DC74" s="30">
        <v>1.0</v>
      </c>
      <c r="DD74" s="27"/>
      <c r="DE74" s="30">
        <v>1.0</v>
      </c>
      <c r="DG74" s="11"/>
      <c r="DI74" s="27"/>
      <c r="DJ74" s="27"/>
      <c r="DK74" s="27"/>
      <c r="DL74" s="27"/>
      <c r="DN74" s="11"/>
      <c r="DP74" s="27"/>
      <c r="DQ74" s="27"/>
      <c r="DR74" s="27"/>
      <c r="DS74" s="27"/>
      <c r="DU74" s="11"/>
      <c r="DW74" s="27"/>
      <c r="DX74" s="27"/>
      <c r="DY74" s="27"/>
      <c r="DZ74" s="27"/>
    </row>
    <row r="75" ht="15.75" customHeight="1" outlineLevel="1">
      <c r="B75" s="6" t="s">
        <v>56</v>
      </c>
      <c r="C75" s="24" t="s">
        <v>97</v>
      </c>
      <c r="E75" s="26"/>
      <c r="F75" s="5" t="s">
        <v>110</v>
      </c>
      <c r="G75" s="27">
        <v>0.1</v>
      </c>
      <c r="I75" s="26">
        <f t="shared" si="7"/>
        <v>0</v>
      </c>
      <c r="J75" s="29">
        <f t="array" ref="J75">MAX(IF($N$3:$HA$3=$J$3,N75:HA75))</f>
        <v>0</v>
      </c>
      <c r="K75" s="29"/>
      <c r="L75" s="26"/>
      <c r="O75" s="27"/>
      <c r="P75" s="27"/>
      <c r="Q75" s="27"/>
      <c r="R75" s="27"/>
      <c r="V75" s="27"/>
      <c r="W75" s="27"/>
      <c r="X75" s="27"/>
      <c r="Y75" s="30">
        <v>0.0</v>
      </c>
      <c r="AC75" s="27"/>
      <c r="AD75" s="27"/>
      <c r="AE75" s="27"/>
      <c r="AF75" s="30">
        <v>0.0</v>
      </c>
      <c r="AJ75" s="27"/>
      <c r="AK75" s="27"/>
      <c r="AL75" s="27"/>
      <c r="AM75" s="30">
        <v>0.0</v>
      </c>
      <c r="AQ75" s="27"/>
      <c r="AR75" s="30">
        <v>0.0</v>
      </c>
      <c r="AS75" s="27"/>
      <c r="AT75" s="30">
        <v>0.0</v>
      </c>
      <c r="AX75" s="27"/>
      <c r="AY75" s="30">
        <v>0.0</v>
      </c>
      <c r="AZ75" s="27"/>
      <c r="BA75" s="30">
        <v>0.0</v>
      </c>
      <c r="BE75" s="27"/>
      <c r="BF75" s="30">
        <v>0.5</v>
      </c>
      <c r="BG75" s="27"/>
      <c r="BH75" s="30">
        <v>0.5</v>
      </c>
      <c r="BJ75" s="11"/>
      <c r="BL75" s="27"/>
      <c r="BM75" s="30">
        <v>0.5</v>
      </c>
      <c r="BN75" s="27"/>
      <c r="BO75" s="30">
        <v>0.5</v>
      </c>
      <c r="BS75" s="27"/>
      <c r="BT75" s="30">
        <v>0.5</v>
      </c>
      <c r="BU75" s="27"/>
      <c r="BV75" s="30">
        <v>0.5</v>
      </c>
      <c r="BX75" s="11"/>
      <c r="BZ75" s="27"/>
      <c r="CA75" s="30">
        <v>0.5</v>
      </c>
      <c r="CB75" s="27"/>
      <c r="CC75" s="30">
        <v>0.5</v>
      </c>
      <c r="CE75" s="11"/>
      <c r="CG75" s="27"/>
      <c r="CH75" s="30">
        <v>0.5</v>
      </c>
      <c r="CI75" s="27"/>
      <c r="CJ75" s="30">
        <v>0.5</v>
      </c>
      <c r="CL75" s="11"/>
      <c r="CN75" s="27"/>
      <c r="CO75" s="30">
        <v>0.8</v>
      </c>
      <c r="CP75" s="27"/>
      <c r="CQ75" s="30">
        <v>0.8</v>
      </c>
      <c r="CS75" s="11"/>
      <c r="CU75" s="27"/>
      <c r="CV75" s="30">
        <v>0.8</v>
      </c>
      <c r="CW75" s="27"/>
      <c r="CX75" s="30">
        <v>0.8</v>
      </c>
      <c r="CZ75" s="11"/>
      <c r="DB75" s="27"/>
      <c r="DC75" s="30">
        <v>1.0</v>
      </c>
      <c r="DD75" s="27"/>
      <c r="DE75" s="30">
        <v>1.0</v>
      </c>
      <c r="DG75" s="11"/>
      <c r="DI75" s="27"/>
      <c r="DJ75" s="27"/>
      <c r="DK75" s="27"/>
      <c r="DL75" s="27"/>
      <c r="DN75" s="11"/>
      <c r="DP75" s="27"/>
      <c r="DQ75" s="27"/>
      <c r="DR75" s="27"/>
      <c r="DS75" s="27"/>
      <c r="DU75" s="11"/>
      <c r="DW75" s="27"/>
      <c r="DX75" s="27"/>
      <c r="DY75" s="27"/>
      <c r="DZ75" s="27"/>
    </row>
    <row r="76" ht="15.75" customHeight="1" outlineLevel="1">
      <c r="B76" s="6" t="s">
        <v>56</v>
      </c>
      <c r="C76" s="24" t="s">
        <v>97</v>
      </c>
      <c r="E76" s="26"/>
      <c r="F76" s="5" t="s">
        <v>111</v>
      </c>
      <c r="G76" s="27">
        <v>0.1</v>
      </c>
      <c r="I76" s="26">
        <f t="shared" si="7"/>
        <v>0</v>
      </c>
      <c r="J76" s="29">
        <f t="array" ref="J76">MAX(IF($N$3:$HA$3=$J$3,N76:HA76))</f>
        <v>0</v>
      </c>
      <c r="K76" s="29"/>
      <c r="L76" s="26"/>
      <c r="O76" s="27"/>
      <c r="P76" s="27"/>
      <c r="Q76" s="27"/>
      <c r="R76" s="27"/>
      <c r="V76" s="27"/>
      <c r="W76" s="27"/>
      <c r="X76" s="27"/>
      <c r="Y76" s="30">
        <v>0.0</v>
      </c>
      <c r="AC76" s="27"/>
      <c r="AD76" s="27"/>
      <c r="AE76" s="27"/>
      <c r="AF76" s="30">
        <v>0.0</v>
      </c>
      <c r="AJ76" s="27"/>
      <c r="AK76" s="27"/>
      <c r="AL76" s="27"/>
      <c r="AM76" s="30">
        <v>0.0</v>
      </c>
      <c r="AQ76" s="27"/>
      <c r="AR76" s="30">
        <v>0.0</v>
      </c>
      <c r="AS76" s="27"/>
      <c r="AT76" s="30">
        <v>0.0</v>
      </c>
      <c r="AX76" s="27"/>
      <c r="AY76" s="30">
        <v>0.0</v>
      </c>
      <c r="AZ76" s="27"/>
      <c r="BA76" s="30">
        <v>0.0</v>
      </c>
      <c r="BE76" s="27"/>
      <c r="BF76" s="30">
        <v>0.5</v>
      </c>
      <c r="BG76" s="27"/>
      <c r="BH76" s="30">
        <v>0.5</v>
      </c>
      <c r="BJ76" s="11"/>
      <c r="BL76" s="27"/>
      <c r="BM76" s="30">
        <v>0.5</v>
      </c>
      <c r="BN76" s="27"/>
      <c r="BO76" s="30">
        <v>0.5</v>
      </c>
      <c r="BS76" s="27"/>
      <c r="BT76" s="30">
        <v>0.5</v>
      </c>
      <c r="BU76" s="27"/>
      <c r="BV76" s="30">
        <v>0.5</v>
      </c>
      <c r="BX76" s="11"/>
      <c r="BZ76" s="27"/>
      <c r="CA76" s="30">
        <v>0.5</v>
      </c>
      <c r="CB76" s="27"/>
      <c r="CC76" s="30">
        <v>0.5</v>
      </c>
      <c r="CE76" s="11"/>
      <c r="CG76" s="27"/>
      <c r="CH76" s="30">
        <v>0.5</v>
      </c>
      <c r="CI76" s="27"/>
      <c r="CJ76" s="30">
        <v>0.5</v>
      </c>
      <c r="CL76" s="11"/>
      <c r="CN76" s="27"/>
      <c r="CO76" s="30">
        <v>0.8</v>
      </c>
      <c r="CP76" s="27"/>
      <c r="CQ76" s="30">
        <v>0.8</v>
      </c>
      <c r="CS76" s="11"/>
      <c r="CU76" s="27"/>
      <c r="CV76" s="30">
        <v>0.8</v>
      </c>
      <c r="CW76" s="27"/>
      <c r="CX76" s="30">
        <v>0.8</v>
      </c>
      <c r="CZ76" s="11"/>
      <c r="DB76" s="27"/>
      <c r="DC76" s="30">
        <v>1.0</v>
      </c>
      <c r="DD76" s="27"/>
      <c r="DE76" s="30">
        <v>1.0</v>
      </c>
      <c r="DG76" s="11"/>
      <c r="DI76" s="27"/>
      <c r="DJ76" s="27"/>
      <c r="DK76" s="27"/>
      <c r="DL76" s="27"/>
      <c r="DN76" s="11"/>
      <c r="DP76" s="27"/>
      <c r="DQ76" s="27"/>
      <c r="DR76" s="27"/>
      <c r="DS76" s="27"/>
      <c r="DU76" s="11"/>
      <c r="DW76" s="27"/>
      <c r="DX76" s="27"/>
      <c r="DY76" s="27"/>
      <c r="DZ76" s="27"/>
    </row>
    <row r="77" ht="15.75" customHeight="1">
      <c r="C77" s="8"/>
      <c r="BJ77" s="11"/>
      <c r="BX77" s="11"/>
      <c r="CE77" s="11"/>
      <c r="CL77" s="11"/>
      <c r="CS77" s="11"/>
      <c r="CZ77" s="11"/>
      <c r="DG77" s="11"/>
      <c r="DN77" s="11"/>
      <c r="DU77" s="11"/>
    </row>
    <row r="78" ht="15.75" customHeight="1">
      <c r="B78" s="6" t="s">
        <v>26</v>
      </c>
      <c r="C78" s="24" t="s">
        <v>112</v>
      </c>
      <c r="D78" s="25">
        <v>44861.0</v>
      </c>
      <c r="E78" s="32">
        <v>3.0</v>
      </c>
      <c r="G78" s="27">
        <f>+SUM(G79:G86)</f>
        <v>1</v>
      </c>
      <c r="I78" s="28">
        <f>+SUM(I79:I86)</f>
        <v>0</v>
      </c>
      <c r="J78" s="29">
        <f>+SUMPRODUCT(G79:G86,J79:J86)</f>
        <v>0</v>
      </c>
      <c r="K78" s="29">
        <f>+SUMPRODUCT(G79:G86,K79:K86)</f>
        <v>0</v>
      </c>
      <c r="L78" s="26"/>
      <c r="N78" s="28">
        <f>SUM(N79:N86)</f>
        <v>0</v>
      </c>
      <c r="U78" s="28">
        <f>SUM(U79:U86)</f>
        <v>0</v>
      </c>
      <c r="AB78" s="28">
        <f>SUM(AB79:AB86)</f>
        <v>0</v>
      </c>
      <c r="AI78" s="28">
        <f>SUM(AI79:AI86)</f>
        <v>0</v>
      </c>
      <c r="AP78" s="28">
        <f>SUM(AP79:AP86)</f>
        <v>0</v>
      </c>
      <c r="AW78" s="28">
        <f>SUM(AW79:AW86)</f>
        <v>0</v>
      </c>
      <c r="BD78" s="28">
        <f>SUM(BD79:BD86)</f>
        <v>0</v>
      </c>
      <c r="BJ78" s="11"/>
      <c r="BK78" s="28">
        <f>SUM(BK79:BK86)</f>
        <v>0</v>
      </c>
      <c r="BR78" s="28">
        <f>SUM(BR79:BR86)</f>
        <v>0</v>
      </c>
      <c r="BX78" s="11"/>
      <c r="BY78" s="28"/>
      <c r="CE78" s="11"/>
      <c r="CF78" s="28"/>
      <c r="CL78" s="11"/>
      <c r="CM78" s="28"/>
      <c r="CS78" s="11"/>
      <c r="CT78" s="28"/>
      <c r="CZ78" s="11"/>
      <c r="DA78" s="28"/>
      <c r="DG78" s="11"/>
      <c r="DH78" s="28"/>
      <c r="DN78" s="11"/>
      <c r="DO78" s="28"/>
      <c r="DU78" s="11"/>
      <c r="DV78" s="28"/>
    </row>
    <row r="79" ht="15.75" customHeight="1" outlineLevel="1">
      <c r="B79" s="6" t="s">
        <v>56</v>
      </c>
      <c r="C79" s="24" t="s">
        <v>113</v>
      </c>
      <c r="E79" s="26"/>
      <c r="F79" s="5" t="s">
        <v>114</v>
      </c>
      <c r="G79" s="30">
        <v>0.05</v>
      </c>
      <c r="I79" s="26">
        <f t="shared" ref="I79:I86" si="8">+SUMIF($N$3:$ACS$3,I$3,$N79:$ACS79)</f>
        <v>0</v>
      </c>
      <c r="J79" s="29">
        <f t="array" ref="J79">MAX(IF($N$3:$HA$3=$J$3,N79:HA79))</f>
        <v>0</v>
      </c>
      <c r="K79" s="29">
        <f t="array" ref="K79">MAX(IF($N$3:$HA$3=$J$3,N79:HA79))</f>
        <v>0</v>
      </c>
      <c r="L79" s="26"/>
      <c r="O79" s="27"/>
      <c r="P79" s="27"/>
      <c r="Q79" s="27"/>
      <c r="R79" s="30"/>
      <c r="V79" s="27"/>
      <c r="W79" s="30">
        <v>0.5</v>
      </c>
      <c r="X79" s="27"/>
      <c r="Y79" s="30"/>
      <c r="AC79" s="27"/>
      <c r="AD79" s="30">
        <v>0.8</v>
      </c>
      <c r="AE79" s="27"/>
      <c r="AF79" s="30">
        <v>0.8</v>
      </c>
      <c r="AJ79" s="27"/>
      <c r="AK79" s="30">
        <v>0.8</v>
      </c>
      <c r="AL79" s="27"/>
      <c r="AM79" s="30">
        <v>0.8</v>
      </c>
      <c r="AQ79" s="27"/>
      <c r="AR79" s="30">
        <v>1.0</v>
      </c>
      <c r="AS79" s="27"/>
      <c r="AT79" s="30">
        <v>1.0</v>
      </c>
      <c r="AX79" s="27"/>
      <c r="AY79" s="30">
        <v>1.0</v>
      </c>
      <c r="AZ79" s="27"/>
      <c r="BA79" s="30">
        <v>1.0</v>
      </c>
      <c r="BE79" s="27"/>
      <c r="BF79" s="30">
        <v>1.0</v>
      </c>
      <c r="BG79" s="27"/>
      <c r="BH79" s="30">
        <v>1.0</v>
      </c>
      <c r="BJ79" s="11"/>
      <c r="BL79" s="27"/>
      <c r="BM79" s="27"/>
      <c r="BN79" s="27"/>
      <c r="BO79" s="27"/>
      <c r="BS79" s="27"/>
      <c r="BT79" s="27"/>
      <c r="BU79" s="27"/>
      <c r="BV79" s="27"/>
      <c r="BX79" s="11"/>
      <c r="BZ79" s="27"/>
      <c r="CA79" s="27"/>
      <c r="CB79" s="27"/>
      <c r="CC79" s="27"/>
      <c r="CE79" s="11"/>
      <c r="CG79" s="27"/>
      <c r="CH79" s="27"/>
      <c r="CI79" s="27"/>
      <c r="CJ79" s="27"/>
      <c r="CL79" s="11"/>
      <c r="CN79" s="27"/>
      <c r="CO79" s="27"/>
      <c r="CP79" s="27"/>
      <c r="CQ79" s="27"/>
      <c r="CS79" s="11"/>
      <c r="CU79" s="27"/>
      <c r="CV79" s="27"/>
      <c r="CW79" s="27"/>
      <c r="CX79" s="27"/>
      <c r="CZ79" s="11"/>
      <c r="DB79" s="27"/>
      <c r="DC79" s="27"/>
      <c r="DD79" s="27"/>
      <c r="DE79" s="27"/>
      <c r="DG79" s="11"/>
      <c r="DI79" s="27"/>
      <c r="DJ79" s="27"/>
      <c r="DK79" s="27"/>
      <c r="DL79" s="27"/>
      <c r="DN79" s="11"/>
      <c r="DP79" s="27"/>
      <c r="DQ79" s="27"/>
      <c r="DR79" s="27"/>
      <c r="DS79" s="27"/>
      <c r="DU79" s="11"/>
      <c r="DW79" s="27"/>
      <c r="DX79" s="27"/>
      <c r="DY79" s="27"/>
      <c r="DZ79" s="27"/>
    </row>
    <row r="80" ht="15.75" customHeight="1" outlineLevel="1">
      <c r="B80" s="6" t="s">
        <v>56</v>
      </c>
      <c r="C80" s="24" t="s">
        <v>113</v>
      </c>
      <c r="E80" s="26"/>
      <c r="F80" s="5" t="s">
        <v>115</v>
      </c>
      <c r="G80" s="30">
        <v>0.15</v>
      </c>
      <c r="I80" s="26">
        <f t="shared" si="8"/>
        <v>0</v>
      </c>
      <c r="J80" s="29">
        <f t="array" ref="J80">MAX(IF($N$3:$HA$3=$J$3,N80:HA80))</f>
        <v>0</v>
      </c>
      <c r="K80" s="29">
        <f t="array" ref="K80">MAX(IF($N$3:$HA$3=$J$3,N80:HA80))</f>
        <v>0</v>
      </c>
      <c r="L80" s="26"/>
      <c r="O80" s="27"/>
      <c r="P80" s="27"/>
      <c r="Q80" s="27"/>
      <c r="R80" s="30"/>
      <c r="V80" s="27"/>
      <c r="W80" s="30">
        <v>0.5</v>
      </c>
      <c r="X80" s="27"/>
      <c r="Y80" s="30"/>
      <c r="AC80" s="27"/>
      <c r="AD80" s="30">
        <v>0.8</v>
      </c>
      <c r="AE80" s="27"/>
      <c r="AF80" s="30">
        <v>0.8</v>
      </c>
      <c r="AJ80" s="27"/>
      <c r="AK80" s="30">
        <v>0.8</v>
      </c>
      <c r="AL80" s="27"/>
      <c r="AM80" s="30">
        <v>0.8</v>
      </c>
      <c r="AQ80" s="27"/>
      <c r="AR80" s="30">
        <v>1.0</v>
      </c>
      <c r="AS80" s="27"/>
      <c r="AT80" s="30">
        <v>1.0</v>
      </c>
      <c r="AX80" s="27"/>
      <c r="AY80" s="30">
        <v>1.0</v>
      </c>
      <c r="AZ80" s="27"/>
      <c r="BA80" s="30">
        <v>1.0</v>
      </c>
      <c r="BE80" s="27"/>
      <c r="BF80" s="30">
        <v>1.0</v>
      </c>
      <c r="BG80" s="27"/>
      <c r="BH80" s="30">
        <v>1.0</v>
      </c>
      <c r="BJ80" s="11"/>
      <c r="BL80" s="27"/>
      <c r="BM80" s="27"/>
      <c r="BN80" s="27"/>
      <c r="BO80" s="27"/>
      <c r="BS80" s="27"/>
      <c r="BT80" s="27"/>
      <c r="BU80" s="27"/>
      <c r="BV80" s="27"/>
      <c r="BX80" s="11"/>
      <c r="BZ80" s="27"/>
      <c r="CA80" s="27"/>
      <c r="CB80" s="27"/>
      <c r="CC80" s="27"/>
      <c r="CE80" s="11"/>
      <c r="CG80" s="27"/>
      <c r="CH80" s="27"/>
      <c r="CI80" s="27"/>
      <c r="CJ80" s="27"/>
      <c r="CL80" s="11"/>
      <c r="CN80" s="27"/>
      <c r="CO80" s="27"/>
      <c r="CP80" s="27"/>
      <c r="CQ80" s="27"/>
      <c r="CS80" s="11"/>
      <c r="CU80" s="27"/>
      <c r="CV80" s="27"/>
      <c r="CW80" s="27"/>
      <c r="CX80" s="27"/>
      <c r="CZ80" s="11"/>
      <c r="DB80" s="27"/>
      <c r="DC80" s="27"/>
      <c r="DD80" s="27"/>
      <c r="DE80" s="27"/>
      <c r="DG80" s="11"/>
      <c r="DI80" s="27"/>
      <c r="DJ80" s="27"/>
      <c r="DK80" s="27"/>
      <c r="DL80" s="27"/>
      <c r="DN80" s="11"/>
      <c r="DP80" s="27"/>
      <c r="DQ80" s="27"/>
      <c r="DR80" s="27"/>
      <c r="DS80" s="27"/>
      <c r="DU80" s="11"/>
      <c r="DW80" s="27"/>
      <c r="DX80" s="27"/>
      <c r="DY80" s="27"/>
      <c r="DZ80" s="27"/>
    </row>
    <row r="81" ht="15.75" customHeight="1" outlineLevel="1">
      <c r="B81" s="6" t="s">
        <v>56</v>
      </c>
      <c r="C81" s="24" t="s">
        <v>113</v>
      </c>
      <c r="E81" s="26"/>
      <c r="F81" s="5" t="s">
        <v>116</v>
      </c>
      <c r="G81" s="30">
        <v>0.2</v>
      </c>
      <c r="I81" s="26">
        <f t="shared" si="8"/>
        <v>0</v>
      </c>
      <c r="J81" s="29">
        <f t="array" ref="J81">MAX(IF($N$3:$HA$3=$J$3,N81:HA81))</f>
        <v>0</v>
      </c>
      <c r="K81" s="29">
        <f t="array" ref="K81">MAX(IF($N$3:$HA$3=$J$3,N81:HA81))</f>
        <v>0</v>
      </c>
      <c r="L81" s="26"/>
      <c r="O81" s="27"/>
      <c r="P81" s="27"/>
      <c r="Q81" s="27"/>
      <c r="R81" s="30"/>
      <c r="V81" s="27"/>
      <c r="W81" s="30">
        <v>0.5</v>
      </c>
      <c r="X81" s="27"/>
      <c r="Y81" s="30"/>
      <c r="AC81" s="27"/>
      <c r="AD81" s="30">
        <v>0.5</v>
      </c>
      <c r="AE81" s="27"/>
      <c r="AF81" s="30">
        <v>0.5</v>
      </c>
      <c r="AJ81" s="27"/>
      <c r="AK81" s="30">
        <v>0.8</v>
      </c>
      <c r="AL81" s="27"/>
      <c r="AM81" s="30">
        <v>0.8</v>
      </c>
      <c r="AQ81" s="27"/>
      <c r="AR81" s="30">
        <v>0.8</v>
      </c>
      <c r="AS81" s="27"/>
      <c r="AT81" s="30">
        <v>0.8</v>
      </c>
      <c r="AX81" s="27"/>
      <c r="AY81" s="30">
        <v>1.0</v>
      </c>
      <c r="AZ81" s="27"/>
      <c r="BA81" s="30">
        <v>1.0</v>
      </c>
      <c r="BE81" s="27"/>
      <c r="BF81" s="30">
        <v>1.0</v>
      </c>
      <c r="BG81" s="27"/>
      <c r="BH81" s="30">
        <v>1.0</v>
      </c>
      <c r="BJ81" s="11"/>
      <c r="BL81" s="27"/>
      <c r="BM81" s="27"/>
      <c r="BN81" s="27"/>
      <c r="BO81" s="27"/>
      <c r="BS81" s="27"/>
      <c r="BT81" s="27"/>
      <c r="BU81" s="27"/>
      <c r="BV81" s="27"/>
      <c r="BX81" s="11"/>
      <c r="BZ81" s="27"/>
      <c r="CA81" s="27"/>
      <c r="CB81" s="27"/>
      <c r="CC81" s="27"/>
      <c r="CE81" s="11"/>
      <c r="CG81" s="27"/>
      <c r="CH81" s="27"/>
      <c r="CI81" s="27"/>
      <c r="CJ81" s="27"/>
      <c r="CL81" s="11"/>
      <c r="CN81" s="27"/>
      <c r="CO81" s="27"/>
      <c r="CP81" s="27"/>
      <c r="CQ81" s="27"/>
      <c r="CS81" s="11"/>
      <c r="CU81" s="27"/>
      <c r="CV81" s="27"/>
      <c r="CW81" s="27"/>
      <c r="CX81" s="27"/>
      <c r="CZ81" s="11"/>
      <c r="DB81" s="27"/>
      <c r="DC81" s="27"/>
      <c r="DD81" s="27"/>
      <c r="DE81" s="27"/>
      <c r="DG81" s="11"/>
      <c r="DI81" s="27"/>
      <c r="DJ81" s="27"/>
      <c r="DK81" s="27"/>
      <c r="DL81" s="27"/>
      <c r="DN81" s="11"/>
      <c r="DP81" s="27"/>
      <c r="DQ81" s="27"/>
      <c r="DR81" s="27"/>
      <c r="DS81" s="27"/>
      <c r="DU81" s="11"/>
      <c r="DW81" s="27"/>
      <c r="DX81" s="27"/>
      <c r="DY81" s="27"/>
      <c r="DZ81" s="27"/>
    </row>
    <row r="82" ht="15.75" customHeight="1" outlineLevel="1">
      <c r="B82" s="6" t="s">
        <v>56</v>
      </c>
      <c r="C82" s="24" t="s">
        <v>113</v>
      </c>
      <c r="E82" s="26"/>
      <c r="F82" s="5" t="s">
        <v>80</v>
      </c>
      <c r="G82" s="30">
        <v>0.15</v>
      </c>
      <c r="I82" s="26">
        <f t="shared" si="8"/>
        <v>0</v>
      </c>
      <c r="J82" s="29">
        <f t="array" ref="J82">MAX(IF($N$3:$HA$3=$J$3,N82:HA82))</f>
        <v>0</v>
      </c>
      <c r="K82" s="29">
        <f t="array" ref="K82">MAX(IF($N$3:$HA$3=$J$3,N82:HA82))</f>
        <v>0</v>
      </c>
      <c r="L82" s="26"/>
      <c r="O82" s="27"/>
      <c r="P82" s="27"/>
      <c r="Q82" s="27"/>
      <c r="R82" s="30"/>
      <c r="V82" s="27"/>
      <c r="W82" s="30">
        <v>0.5</v>
      </c>
      <c r="X82" s="27"/>
      <c r="Y82" s="30"/>
      <c r="AC82" s="27"/>
      <c r="AD82" s="30">
        <v>0.5</v>
      </c>
      <c r="AE82" s="27"/>
      <c r="AF82" s="30">
        <v>0.5</v>
      </c>
      <c r="AJ82" s="27"/>
      <c r="AK82" s="30">
        <v>0.8</v>
      </c>
      <c r="AL82" s="27"/>
      <c r="AM82" s="30">
        <v>0.8</v>
      </c>
      <c r="AQ82" s="27"/>
      <c r="AR82" s="30">
        <v>0.8</v>
      </c>
      <c r="AS82" s="27"/>
      <c r="AT82" s="30">
        <v>0.8</v>
      </c>
      <c r="AX82" s="27"/>
      <c r="AY82" s="30">
        <v>1.0</v>
      </c>
      <c r="AZ82" s="27"/>
      <c r="BA82" s="30">
        <v>1.0</v>
      </c>
      <c r="BE82" s="27"/>
      <c r="BF82" s="30">
        <v>1.0</v>
      </c>
      <c r="BG82" s="27"/>
      <c r="BH82" s="30">
        <v>1.0</v>
      </c>
      <c r="BJ82" s="11"/>
      <c r="BL82" s="27"/>
      <c r="BM82" s="27"/>
      <c r="BN82" s="33" t="s">
        <v>71</v>
      </c>
      <c r="BO82" s="27"/>
      <c r="BS82" s="27"/>
      <c r="BT82" s="27"/>
      <c r="BU82" s="33" t="s">
        <v>72</v>
      </c>
      <c r="BV82" s="27"/>
      <c r="BX82" s="11"/>
      <c r="BZ82" s="27"/>
      <c r="CA82" s="27"/>
      <c r="CB82" s="27"/>
      <c r="CC82" s="27"/>
      <c r="CE82" s="11"/>
      <c r="CG82" s="27"/>
      <c r="CH82" s="27"/>
      <c r="CI82" s="27"/>
      <c r="CJ82" s="27"/>
      <c r="CL82" s="11"/>
      <c r="CN82" s="27"/>
      <c r="CO82" s="27"/>
      <c r="CP82" s="27"/>
      <c r="CQ82" s="27"/>
      <c r="CS82" s="11"/>
      <c r="CU82" s="27"/>
      <c r="CV82" s="27"/>
      <c r="CW82" s="27"/>
      <c r="CX82" s="27"/>
      <c r="CZ82" s="11"/>
      <c r="DB82" s="27"/>
      <c r="DC82" s="27"/>
      <c r="DD82" s="27"/>
      <c r="DE82" s="27"/>
      <c r="DG82" s="11"/>
      <c r="DI82" s="27"/>
      <c r="DJ82" s="27"/>
      <c r="DK82" s="27"/>
      <c r="DL82" s="27"/>
      <c r="DN82" s="11"/>
      <c r="DP82" s="27"/>
      <c r="DQ82" s="27"/>
      <c r="DR82" s="27"/>
      <c r="DS82" s="27"/>
      <c r="DU82" s="11"/>
      <c r="DW82" s="27"/>
      <c r="DX82" s="27"/>
      <c r="DY82" s="27"/>
      <c r="DZ82" s="27"/>
    </row>
    <row r="83" ht="15.75" customHeight="1" outlineLevel="1">
      <c r="B83" s="6" t="s">
        <v>56</v>
      </c>
      <c r="C83" s="24" t="s">
        <v>113</v>
      </c>
      <c r="E83" s="26"/>
      <c r="F83" s="5" t="s">
        <v>81</v>
      </c>
      <c r="G83" s="30">
        <v>0.15</v>
      </c>
      <c r="I83" s="26">
        <f t="shared" si="8"/>
        <v>0</v>
      </c>
      <c r="J83" s="29">
        <f t="array" ref="J83">MAX(IF($N$3:$HA$3=$J$3,N83:HA83))</f>
        <v>0</v>
      </c>
      <c r="K83" s="29">
        <f t="array" ref="K83">MAX(IF($N$3:$HA$3=$J$3,N83:HA83))</f>
        <v>0</v>
      </c>
      <c r="L83" s="26"/>
      <c r="O83" s="27"/>
      <c r="P83" s="27"/>
      <c r="Q83" s="27"/>
      <c r="R83" s="30"/>
      <c r="V83" s="27"/>
      <c r="W83" s="27"/>
      <c r="X83" s="27"/>
      <c r="Y83" s="30">
        <v>0.0</v>
      </c>
      <c r="AC83" s="27"/>
      <c r="AD83" s="30">
        <v>0.5</v>
      </c>
      <c r="AE83" s="27"/>
      <c r="AF83" s="30">
        <v>0.5</v>
      </c>
      <c r="AJ83" s="27"/>
      <c r="AK83" s="30">
        <v>0.5</v>
      </c>
      <c r="AL83" s="27"/>
      <c r="AM83" s="30">
        <v>0.5</v>
      </c>
      <c r="AQ83" s="27"/>
      <c r="AR83" s="30">
        <v>0.8</v>
      </c>
      <c r="AS83" s="27"/>
      <c r="AT83" s="30">
        <v>0.8</v>
      </c>
      <c r="AX83" s="27"/>
      <c r="AY83" s="30">
        <v>0.8</v>
      </c>
      <c r="AZ83" s="27"/>
      <c r="BA83" s="30">
        <v>0.8</v>
      </c>
      <c r="BE83" s="27"/>
      <c r="BF83" s="30">
        <v>1.0</v>
      </c>
      <c r="BG83" s="27"/>
      <c r="BH83" s="30">
        <v>1.0</v>
      </c>
      <c r="BJ83" s="11"/>
      <c r="BL83" s="27"/>
      <c r="BM83" s="27"/>
      <c r="BN83" s="27"/>
      <c r="BO83" s="27"/>
      <c r="BS83" s="27"/>
      <c r="BT83" s="27"/>
      <c r="BU83" s="27"/>
      <c r="BV83" s="27"/>
      <c r="BX83" s="11"/>
      <c r="BZ83" s="27"/>
      <c r="CA83" s="27"/>
      <c r="CB83" s="27"/>
      <c r="CC83" s="27"/>
      <c r="CE83" s="11"/>
      <c r="CG83" s="27"/>
      <c r="CH83" s="27"/>
      <c r="CI83" s="27"/>
      <c r="CJ83" s="27"/>
      <c r="CL83" s="11"/>
      <c r="CN83" s="27"/>
      <c r="CO83" s="27"/>
      <c r="CP83" s="27"/>
      <c r="CQ83" s="27"/>
      <c r="CS83" s="11"/>
      <c r="CU83" s="27"/>
      <c r="CV83" s="27"/>
      <c r="CW83" s="27"/>
      <c r="CX83" s="27"/>
      <c r="CZ83" s="11"/>
      <c r="DB83" s="27"/>
      <c r="DC83" s="27"/>
      <c r="DD83" s="27"/>
      <c r="DE83" s="27"/>
      <c r="DG83" s="11"/>
      <c r="DI83" s="27"/>
      <c r="DJ83" s="27"/>
      <c r="DK83" s="27"/>
      <c r="DL83" s="27"/>
      <c r="DN83" s="11"/>
      <c r="DP83" s="27"/>
      <c r="DQ83" s="27"/>
      <c r="DR83" s="27"/>
      <c r="DS83" s="27"/>
      <c r="DU83" s="11"/>
      <c r="DW83" s="27"/>
      <c r="DX83" s="27"/>
      <c r="DY83" s="27"/>
      <c r="DZ83" s="27"/>
    </row>
    <row r="84" ht="15.75" customHeight="1" outlineLevel="1">
      <c r="B84" s="6" t="s">
        <v>56</v>
      </c>
      <c r="C84" s="24" t="s">
        <v>113</v>
      </c>
      <c r="E84" s="26"/>
      <c r="F84" s="5" t="s">
        <v>82</v>
      </c>
      <c r="G84" s="27">
        <v>0.1</v>
      </c>
      <c r="I84" s="26">
        <f t="shared" si="8"/>
        <v>0</v>
      </c>
      <c r="J84" s="29">
        <f t="array" ref="J84">MAX(IF($N$3:$HA$3=$J$3,N84:HA84))</f>
        <v>0</v>
      </c>
      <c r="K84" s="29">
        <f t="array" ref="K84">MAX(IF($N$3:$HA$3=$J$3,N84:HA84))</f>
        <v>0</v>
      </c>
      <c r="L84" s="26"/>
      <c r="O84" s="27"/>
      <c r="P84" s="27"/>
      <c r="Q84" s="27"/>
      <c r="R84" s="30"/>
      <c r="V84" s="27"/>
      <c r="W84" s="27"/>
      <c r="X84" s="27"/>
      <c r="Y84" s="30">
        <v>0.0</v>
      </c>
      <c r="AC84" s="27"/>
      <c r="AD84" s="30">
        <v>0.5</v>
      </c>
      <c r="AE84" s="27"/>
      <c r="AF84" s="30">
        <v>0.5</v>
      </c>
      <c r="AJ84" s="27"/>
      <c r="AK84" s="30">
        <v>0.5</v>
      </c>
      <c r="AL84" s="27"/>
      <c r="AM84" s="30">
        <v>0.5</v>
      </c>
      <c r="AQ84" s="27"/>
      <c r="AR84" s="30">
        <v>0.8</v>
      </c>
      <c r="AS84" s="27"/>
      <c r="AT84" s="30">
        <v>0.8</v>
      </c>
      <c r="AX84" s="27"/>
      <c r="AY84" s="30">
        <v>0.8</v>
      </c>
      <c r="AZ84" s="27"/>
      <c r="BA84" s="30">
        <v>0.8</v>
      </c>
      <c r="BE84" s="27"/>
      <c r="BF84" s="30">
        <v>1.0</v>
      </c>
      <c r="BG84" s="27"/>
      <c r="BH84" s="30">
        <v>1.0</v>
      </c>
      <c r="BJ84" s="11"/>
      <c r="BL84" s="27"/>
      <c r="BM84" s="27"/>
      <c r="BN84" s="27"/>
      <c r="BO84" s="27"/>
      <c r="BS84" s="27"/>
      <c r="BT84" s="27"/>
      <c r="BU84" s="27"/>
      <c r="BV84" s="27"/>
      <c r="BX84" s="11"/>
      <c r="BZ84" s="27"/>
      <c r="CA84" s="27"/>
      <c r="CB84" s="27"/>
      <c r="CC84" s="27"/>
      <c r="CE84" s="11"/>
      <c r="CG84" s="27"/>
      <c r="CH84" s="27"/>
      <c r="CI84" s="27"/>
      <c r="CJ84" s="27"/>
      <c r="CL84" s="11"/>
      <c r="CN84" s="27"/>
      <c r="CO84" s="27"/>
      <c r="CP84" s="27"/>
      <c r="CQ84" s="27"/>
      <c r="CS84" s="11"/>
      <c r="CU84" s="27"/>
      <c r="CV84" s="27"/>
      <c r="CW84" s="27"/>
      <c r="CX84" s="27"/>
      <c r="CZ84" s="11"/>
      <c r="DB84" s="27"/>
      <c r="DC84" s="27"/>
      <c r="DD84" s="27"/>
      <c r="DE84" s="27"/>
      <c r="DG84" s="11"/>
      <c r="DI84" s="27"/>
      <c r="DJ84" s="27"/>
      <c r="DK84" s="27"/>
      <c r="DL84" s="27"/>
      <c r="DN84" s="11"/>
      <c r="DP84" s="27"/>
      <c r="DQ84" s="27"/>
      <c r="DR84" s="27"/>
      <c r="DS84" s="27"/>
      <c r="DU84" s="11"/>
      <c r="DW84" s="27"/>
      <c r="DX84" s="27"/>
      <c r="DY84" s="27"/>
      <c r="DZ84" s="27"/>
    </row>
    <row r="85" ht="15.75" customHeight="1" outlineLevel="1">
      <c r="B85" s="6" t="s">
        <v>56</v>
      </c>
      <c r="C85" s="24" t="s">
        <v>113</v>
      </c>
      <c r="E85" s="26"/>
      <c r="F85" s="5" t="s">
        <v>83</v>
      </c>
      <c r="G85" s="27">
        <v>0.1</v>
      </c>
      <c r="I85" s="26">
        <f t="shared" si="8"/>
        <v>0</v>
      </c>
      <c r="J85" s="29">
        <f t="array" ref="J85">MAX(IF($N$3:$HA$3=$J$3,N85:HA85))</f>
        <v>0</v>
      </c>
      <c r="K85" s="29">
        <f t="array" ref="K85">MAX(IF($N$3:$HA$3=$J$3,N85:HA85))</f>
        <v>0</v>
      </c>
      <c r="L85" s="26"/>
      <c r="O85" s="27"/>
      <c r="P85" s="27"/>
      <c r="Q85" s="27"/>
      <c r="R85" s="30"/>
      <c r="V85" s="27"/>
      <c r="W85" s="27"/>
      <c r="X85" s="27"/>
      <c r="Y85" s="30">
        <v>0.0</v>
      </c>
      <c r="AC85" s="27"/>
      <c r="AD85" s="27"/>
      <c r="AE85" s="27"/>
      <c r="AF85" s="30">
        <v>0.0</v>
      </c>
      <c r="AJ85" s="27"/>
      <c r="AK85" s="30">
        <v>0.5</v>
      </c>
      <c r="AL85" s="27"/>
      <c r="AM85" s="30">
        <v>0.5</v>
      </c>
      <c r="AQ85" s="27"/>
      <c r="AR85" s="30">
        <v>0.5</v>
      </c>
      <c r="AS85" s="27"/>
      <c r="AT85" s="30">
        <v>0.5</v>
      </c>
      <c r="AX85" s="27"/>
      <c r="AY85" s="30">
        <v>0.8</v>
      </c>
      <c r="AZ85" s="27"/>
      <c r="BA85" s="30">
        <v>0.8</v>
      </c>
      <c r="BE85" s="27"/>
      <c r="BF85" s="30">
        <v>1.0</v>
      </c>
      <c r="BG85" s="27"/>
      <c r="BH85" s="30">
        <v>1.0</v>
      </c>
      <c r="BJ85" s="11"/>
      <c r="BL85" s="27"/>
      <c r="BM85" s="27"/>
      <c r="BN85" s="27"/>
      <c r="BO85" s="27"/>
      <c r="BS85" s="27"/>
      <c r="BT85" s="27"/>
      <c r="BU85" s="27"/>
      <c r="BV85" s="27"/>
      <c r="BX85" s="11"/>
      <c r="BZ85" s="27"/>
      <c r="CA85" s="27"/>
      <c r="CB85" s="27"/>
      <c r="CC85" s="27"/>
      <c r="CE85" s="11"/>
      <c r="CG85" s="27"/>
      <c r="CH85" s="27"/>
      <c r="CI85" s="27"/>
      <c r="CJ85" s="27"/>
      <c r="CL85" s="11"/>
      <c r="CN85" s="27"/>
      <c r="CO85" s="27"/>
      <c r="CP85" s="27"/>
      <c r="CQ85" s="27"/>
      <c r="CS85" s="11"/>
      <c r="CU85" s="27"/>
      <c r="CV85" s="27"/>
      <c r="CW85" s="27"/>
      <c r="CX85" s="27"/>
      <c r="CZ85" s="11"/>
      <c r="DB85" s="27"/>
      <c r="DC85" s="27"/>
      <c r="DD85" s="27"/>
      <c r="DE85" s="27"/>
      <c r="DG85" s="11"/>
      <c r="DI85" s="27"/>
      <c r="DJ85" s="27"/>
      <c r="DK85" s="27"/>
      <c r="DL85" s="27"/>
      <c r="DN85" s="11"/>
      <c r="DP85" s="27"/>
      <c r="DQ85" s="27"/>
      <c r="DR85" s="27"/>
      <c r="DS85" s="27"/>
      <c r="DU85" s="11"/>
      <c r="DW85" s="27"/>
      <c r="DX85" s="27"/>
      <c r="DY85" s="27"/>
      <c r="DZ85" s="27"/>
    </row>
    <row r="86" ht="15.75" customHeight="1" outlineLevel="1">
      <c r="B86" s="6" t="s">
        <v>56</v>
      </c>
      <c r="C86" s="24" t="s">
        <v>113</v>
      </c>
      <c r="E86" s="26"/>
      <c r="F86" s="5" t="s">
        <v>84</v>
      </c>
      <c r="G86" s="27">
        <v>0.1</v>
      </c>
      <c r="I86" s="26">
        <f t="shared" si="8"/>
        <v>0</v>
      </c>
      <c r="J86" s="29">
        <f t="array" ref="J86">MAX(IF($N$3:$HA$3=$J$3,N86:HA86))</f>
        <v>0</v>
      </c>
      <c r="K86" s="29">
        <f t="array" ref="K86">MAX(IF($N$3:$HA$3=$J$3,N86:HA86))</f>
        <v>0</v>
      </c>
      <c r="L86" s="26"/>
      <c r="O86" s="27"/>
      <c r="P86" s="27"/>
      <c r="Q86" s="27"/>
      <c r="R86" s="30"/>
      <c r="V86" s="27"/>
      <c r="W86" s="27"/>
      <c r="X86" s="27"/>
      <c r="Y86" s="30">
        <v>0.0</v>
      </c>
      <c r="AC86" s="27"/>
      <c r="AD86" s="27"/>
      <c r="AE86" s="27"/>
      <c r="AF86" s="30">
        <v>0.0</v>
      </c>
      <c r="AJ86" s="27"/>
      <c r="AK86" s="30">
        <v>0.5</v>
      </c>
      <c r="AL86" s="27"/>
      <c r="AM86" s="30">
        <v>0.5</v>
      </c>
      <c r="AQ86" s="27"/>
      <c r="AR86" s="30">
        <v>0.5</v>
      </c>
      <c r="AS86" s="27"/>
      <c r="AT86" s="30">
        <v>0.5</v>
      </c>
      <c r="AX86" s="27"/>
      <c r="AY86" s="30">
        <v>0.8</v>
      </c>
      <c r="AZ86" s="27"/>
      <c r="BA86" s="30">
        <v>0.8</v>
      </c>
      <c r="BE86" s="27"/>
      <c r="BF86" s="30">
        <v>1.0</v>
      </c>
      <c r="BG86" s="27"/>
      <c r="BH86" s="30">
        <v>1.0</v>
      </c>
      <c r="BJ86" s="11"/>
      <c r="BL86" s="27"/>
      <c r="BM86" s="27"/>
      <c r="BN86" s="27"/>
      <c r="BO86" s="27"/>
      <c r="BS86" s="27"/>
      <c r="BT86" s="27"/>
      <c r="BU86" s="27"/>
      <c r="BV86" s="27"/>
      <c r="BX86" s="11"/>
      <c r="BZ86" s="27"/>
      <c r="CA86" s="27"/>
      <c r="CB86" s="27"/>
      <c r="CC86" s="27"/>
      <c r="CE86" s="11"/>
      <c r="CG86" s="27"/>
      <c r="CH86" s="27"/>
      <c r="CI86" s="27"/>
      <c r="CJ86" s="27"/>
      <c r="CL86" s="11"/>
      <c r="CN86" s="27"/>
      <c r="CO86" s="27"/>
      <c r="CP86" s="27"/>
      <c r="CQ86" s="27"/>
      <c r="CS86" s="11"/>
      <c r="CU86" s="27"/>
      <c r="CV86" s="27"/>
      <c r="CW86" s="27"/>
      <c r="CX86" s="27"/>
      <c r="CZ86" s="11"/>
      <c r="DB86" s="27"/>
      <c r="DC86" s="27"/>
      <c r="DD86" s="27"/>
      <c r="DE86" s="27"/>
      <c r="DG86" s="11"/>
      <c r="DI86" s="27"/>
      <c r="DJ86" s="27"/>
      <c r="DK86" s="27"/>
      <c r="DL86" s="27"/>
      <c r="DN86" s="11"/>
      <c r="DP86" s="27"/>
      <c r="DQ86" s="27"/>
      <c r="DR86" s="27"/>
      <c r="DS86" s="27"/>
      <c r="DU86" s="11"/>
      <c r="DW86" s="27"/>
      <c r="DX86" s="27"/>
      <c r="DY86" s="27"/>
      <c r="DZ86" s="27"/>
    </row>
    <row r="87" ht="15.75" customHeight="1">
      <c r="C87" s="8"/>
      <c r="AT87" s="30"/>
      <c r="BJ87" s="11"/>
      <c r="BX87" s="11"/>
      <c r="CE87" s="11"/>
      <c r="CL87" s="11"/>
      <c r="CS87" s="11"/>
      <c r="CZ87" s="11"/>
      <c r="DG87" s="11"/>
      <c r="DN87" s="11"/>
      <c r="DU87" s="11"/>
    </row>
    <row r="88" ht="15.75" customHeight="1">
      <c r="C88" s="8"/>
      <c r="BJ88" s="11"/>
      <c r="BX88" s="11"/>
      <c r="CE88" s="11"/>
      <c r="CL88" s="11"/>
      <c r="CS88" s="11"/>
      <c r="CZ88" s="11"/>
      <c r="DG88" s="11"/>
      <c r="DN88" s="11"/>
      <c r="DU88" s="11"/>
    </row>
    <row r="89" ht="15.75" customHeight="1">
      <c r="C89" s="8"/>
      <c r="BJ89" s="11"/>
      <c r="BX89" s="11"/>
      <c r="CE89" s="11"/>
      <c r="CL89" s="11"/>
      <c r="CS89" s="11"/>
      <c r="CZ89" s="11"/>
      <c r="DG89" s="11"/>
      <c r="DN89" s="11"/>
      <c r="DU89" s="11"/>
    </row>
    <row r="90" ht="15.75" customHeight="1">
      <c r="C90" s="24"/>
      <c r="BJ90" s="11"/>
      <c r="BX90" s="11"/>
      <c r="CE90" s="11"/>
      <c r="CL90" s="11"/>
      <c r="CS90" s="11"/>
      <c r="CZ90" s="11"/>
      <c r="DG90" s="11"/>
      <c r="DN90" s="11"/>
      <c r="DU90" s="11"/>
    </row>
    <row r="91" ht="15.75" customHeight="1">
      <c r="C91" s="8"/>
      <c r="BJ91" s="11"/>
      <c r="BX91" s="11"/>
      <c r="CE91" s="11"/>
      <c r="CL91" s="11"/>
      <c r="CS91" s="11"/>
      <c r="CZ91" s="11"/>
      <c r="DG91" s="11"/>
      <c r="DN91" s="11"/>
      <c r="DU91" s="11"/>
    </row>
    <row r="92" ht="15.75" customHeight="1">
      <c r="C92" s="8"/>
      <c r="BJ92" s="11"/>
      <c r="BX92" s="11"/>
      <c r="CE92" s="11"/>
      <c r="CL92" s="11"/>
      <c r="CS92" s="11"/>
      <c r="CZ92" s="11"/>
      <c r="DG92" s="11"/>
      <c r="DN92" s="11"/>
      <c r="DU92" s="11"/>
    </row>
    <row r="93" ht="15.75" customHeight="1">
      <c r="C93" s="8"/>
      <c r="BJ93" s="11"/>
      <c r="BX93" s="11"/>
      <c r="CE93" s="11"/>
      <c r="CL93" s="11"/>
      <c r="CS93" s="11"/>
      <c r="CZ93" s="11"/>
      <c r="DG93" s="11"/>
      <c r="DN93" s="11"/>
      <c r="DU93" s="11"/>
    </row>
    <row r="94" ht="15.75" customHeight="1">
      <c r="C94" s="8"/>
      <c r="BJ94" s="11"/>
      <c r="BX94" s="11"/>
      <c r="CE94" s="11"/>
      <c r="CL94" s="11"/>
      <c r="CS94" s="11"/>
      <c r="CZ94" s="11"/>
      <c r="DG94" s="11"/>
      <c r="DN94" s="11"/>
      <c r="DU94" s="11"/>
    </row>
    <row r="95" ht="15.75" customHeight="1">
      <c r="C95" s="8"/>
      <c r="BJ95" s="11"/>
      <c r="BX95" s="11"/>
      <c r="CE95" s="11"/>
      <c r="CL95" s="11"/>
      <c r="CS95" s="11"/>
      <c r="CZ95" s="11"/>
      <c r="DG95" s="11"/>
      <c r="DN95" s="11"/>
      <c r="DU95" s="11"/>
    </row>
    <row r="96" ht="15.75" customHeight="1">
      <c r="C96" s="8"/>
      <c r="BJ96" s="11"/>
      <c r="BX96" s="11"/>
      <c r="CE96" s="11"/>
      <c r="CL96" s="11"/>
      <c r="CS96" s="11"/>
      <c r="CZ96" s="11"/>
      <c r="DG96" s="11"/>
      <c r="DN96" s="11"/>
      <c r="DU96" s="11"/>
    </row>
    <row r="97" ht="15.75" customHeight="1">
      <c r="C97" s="8"/>
      <c r="BJ97" s="11"/>
      <c r="BX97" s="11"/>
      <c r="CE97" s="11"/>
      <c r="CL97" s="11"/>
      <c r="CS97" s="11"/>
      <c r="CZ97" s="11"/>
      <c r="DG97" s="11"/>
      <c r="DN97" s="11"/>
      <c r="DU97" s="11"/>
    </row>
    <row r="98" ht="15.75" customHeight="1">
      <c r="C98" s="8"/>
      <c r="BJ98" s="11"/>
      <c r="BX98" s="11"/>
      <c r="CE98" s="11"/>
      <c r="CL98" s="11"/>
      <c r="CS98" s="11"/>
      <c r="CZ98" s="11"/>
      <c r="DG98" s="11"/>
      <c r="DN98" s="11"/>
      <c r="DU98" s="11"/>
    </row>
    <row r="99" ht="15.75" customHeight="1">
      <c r="C99" s="8"/>
      <c r="BJ99" s="11"/>
      <c r="BX99" s="11"/>
      <c r="CE99" s="11"/>
      <c r="CL99" s="11"/>
      <c r="CS99" s="11"/>
      <c r="CZ99" s="11"/>
      <c r="DG99" s="11"/>
      <c r="DN99" s="11"/>
      <c r="DU99" s="11"/>
    </row>
    <row r="100" ht="15.75" customHeight="1">
      <c r="C100" s="8"/>
      <c r="BJ100" s="11"/>
      <c r="BX100" s="11"/>
      <c r="CE100" s="11"/>
      <c r="CL100" s="11"/>
      <c r="CS100" s="11"/>
      <c r="CZ100" s="11"/>
      <c r="DG100" s="11"/>
      <c r="DN100" s="11"/>
      <c r="DU100" s="11"/>
    </row>
    <row r="101" ht="15.75" customHeight="1">
      <c r="C101" s="8"/>
      <c r="BJ101" s="11"/>
      <c r="BX101" s="11"/>
      <c r="CE101" s="11"/>
      <c r="CL101" s="11"/>
      <c r="CS101" s="11"/>
      <c r="CZ101" s="11"/>
      <c r="DG101" s="11"/>
      <c r="DN101" s="11"/>
      <c r="DU101" s="11"/>
    </row>
    <row r="102" ht="15.75" customHeight="1">
      <c r="C102" s="8"/>
      <c r="BJ102" s="11"/>
      <c r="BX102" s="11"/>
      <c r="CE102" s="11"/>
      <c r="CL102" s="11"/>
      <c r="CS102" s="11"/>
      <c r="CZ102" s="11"/>
      <c r="DG102" s="11"/>
      <c r="DN102" s="11"/>
      <c r="DU102" s="11"/>
    </row>
    <row r="103" ht="15.75" customHeight="1">
      <c r="C103" s="8"/>
      <c r="BJ103" s="11"/>
      <c r="BX103" s="11"/>
      <c r="CE103" s="11"/>
      <c r="CL103" s="11"/>
      <c r="CS103" s="11"/>
      <c r="CZ103" s="11"/>
      <c r="DG103" s="11"/>
      <c r="DN103" s="11"/>
      <c r="DU103" s="11"/>
    </row>
    <row r="104" ht="15.75" customHeight="1">
      <c r="C104" s="8"/>
      <c r="BJ104" s="11"/>
      <c r="BX104" s="11"/>
      <c r="CE104" s="11"/>
      <c r="CL104" s="11"/>
      <c r="CS104" s="11"/>
      <c r="CZ104" s="11"/>
      <c r="DG104" s="11"/>
      <c r="DN104" s="11"/>
      <c r="DU104" s="11"/>
    </row>
    <row r="105" ht="15.75" customHeight="1">
      <c r="C105" s="8"/>
      <c r="BJ105" s="11"/>
      <c r="BX105" s="11"/>
      <c r="CE105" s="11"/>
      <c r="CL105" s="11"/>
      <c r="CS105" s="11"/>
      <c r="CZ105" s="11"/>
      <c r="DG105" s="11"/>
      <c r="DN105" s="11"/>
      <c r="DU105" s="11"/>
    </row>
    <row r="106" ht="15.75" customHeight="1">
      <c r="C106" s="8"/>
      <c r="BJ106" s="11"/>
      <c r="BX106" s="11"/>
      <c r="CE106" s="11"/>
      <c r="CL106" s="11"/>
      <c r="CS106" s="11"/>
      <c r="CZ106" s="11"/>
      <c r="DG106" s="11"/>
      <c r="DN106" s="11"/>
      <c r="DU106" s="11"/>
    </row>
    <row r="107" ht="15.75" customHeight="1">
      <c r="C107" s="8"/>
      <c r="BJ107" s="11"/>
      <c r="BX107" s="11"/>
      <c r="CE107" s="11"/>
      <c r="CL107" s="11"/>
      <c r="CS107" s="11"/>
      <c r="CZ107" s="11"/>
      <c r="DG107" s="11"/>
      <c r="DN107" s="11"/>
      <c r="DU107" s="11"/>
    </row>
    <row r="108" ht="15.75" customHeight="1">
      <c r="C108" s="8"/>
      <c r="BJ108" s="11"/>
      <c r="BX108" s="11"/>
      <c r="CE108" s="11"/>
      <c r="CL108" s="11"/>
      <c r="CS108" s="11"/>
      <c r="CZ108" s="11"/>
      <c r="DG108" s="11"/>
      <c r="DN108" s="11"/>
      <c r="DU108" s="11"/>
    </row>
    <row r="109" ht="15.75" customHeight="1">
      <c r="C109" s="8"/>
      <c r="BJ109" s="11"/>
      <c r="BX109" s="11"/>
      <c r="CE109" s="11"/>
      <c r="CL109" s="11"/>
      <c r="CS109" s="11"/>
      <c r="CZ109" s="11"/>
      <c r="DG109" s="11"/>
      <c r="DN109" s="11"/>
      <c r="DU109" s="11"/>
    </row>
    <row r="110" ht="15.75" customHeight="1">
      <c r="C110" s="8"/>
      <c r="BJ110" s="11"/>
      <c r="BX110" s="11"/>
      <c r="CE110" s="11"/>
      <c r="CL110" s="11"/>
      <c r="CS110" s="11"/>
      <c r="CZ110" s="11"/>
      <c r="DG110" s="11"/>
      <c r="DN110" s="11"/>
      <c r="DU110" s="11"/>
    </row>
    <row r="111" ht="15.75" customHeight="1">
      <c r="C111" s="8"/>
      <c r="BJ111" s="11"/>
      <c r="BX111" s="11"/>
      <c r="CE111" s="11"/>
      <c r="CL111" s="11"/>
      <c r="CS111" s="11"/>
      <c r="CZ111" s="11"/>
      <c r="DG111" s="11"/>
      <c r="DN111" s="11"/>
      <c r="DU111" s="11"/>
    </row>
    <row r="112" ht="15.75" customHeight="1">
      <c r="C112" s="8"/>
      <c r="BJ112" s="11"/>
      <c r="BX112" s="11"/>
      <c r="CE112" s="11"/>
      <c r="CL112" s="11"/>
      <c r="CS112" s="11"/>
      <c r="CZ112" s="11"/>
      <c r="DG112" s="11"/>
      <c r="DN112" s="11"/>
      <c r="DU112" s="11"/>
    </row>
    <row r="113" ht="15.75" customHeight="1">
      <c r="C113" s="8"/>
      <c r="BJ113" s="11"/>
      <c r="BX113" s="11"/>
      <c r="CE113" s="11"/>
      <c r="CL113" s="11"/>
      <c r="CS113" s="11"/>
      <c r="CZ113" s="11"/>
      <c r="DG113" s="11"/>
      <c r="DN113" s="11"/>
      <c r="DU113" s="11"/>
    </row>
    <row r="114" ht="15.75" customHeight="1">
      <c r="C114" s="8"/>
      <c r="BJ114" s="11"/>
      <c r="BX114" s="11"/>
      <c r="CE114" s="11"/>
      <c r="CL114" s="11"/>
      <c r="CS114" s="11"/>
      <c r="CZ114" s="11"/>
      <c r="DG114" s="11"/>
      <c r="DN114" s="11"/>
      <c r="DU114" s="11"/>
    </row>
    <row r="115" ht="15.75" customHeight="1">
      <c r="C115" s="8"/>
      <c r="BJ115" s="11"/>
      <c r="BX115" s="11"/>
      <c r="CE115" s="11"/>
      <c r="CL115" s="11"/>
      <c r="CS115" s="11"/>
      <c r="CZ115" s="11"/>
      <c r="DG115" s="11"/>
      <c r="DN115" s="11"/>
      <c r="DU115" s="11"/>
    </row>
    <row r="116" ht="15.75" customHeight="1">
      <c r="C116" s="8"/>
      <c r="BJ116" s="11"/>
      <c r="BX116" s="11"/>
      <c r="CE116" s="11"/>
      <c r="CL116" s="11"/>
      <c r="CS116" s="11"/>
      <c r="CZ116" s="11"/>
      <c r="DG116" s="11"/>
      <c r="DN116" s="11"/>
      <c r="DU116" s="11"/>
    </row>
    <row r="117" ht="15.75" customHeight="1">
      <c r="C117" s="8"/>
      <c r="BJ117" s="11"/>
      <c r="BX117" s="11"/>
      <c r="CE117" s="11"/>
      <c r="CL117" s="11"/>
      <c r="CS117" s="11"/>
      <c r="CZ117" s="11"/>
      <c r="DG117" s="11"/>
      <c r="DN117" s="11"/>
      <c r="DU117" s="11"/>
    </row>
    <row r="118" ht="15.75" customHeight="1">
      <c r="C118" s="8"/>
      <c r="BJ118" s="11"/>
      <c r="BX118" s="11"/>
      <c r="CE118" s="11"/>
      <c r="CL118" s="11"/>
      <c r="CS118" s="11"/>
      <c r="CZ118" s="11"/>
      <c r="DG118" s="11"/>
      <c r="DN118" s="11"/>
      <c r="DU118" s="11"/>
    </row>
    <row r="119" ht="15.75" customHeight="1">
      <c r="C119" s="8"/>
      <c r="BJ119" s="11"/>
      <c r="BX119" s="11"/>
      <c r="CE119" s="11"/>
      <c r="CL119" s="11"/>
      <c r="CS119" s="11"/>
      <c r="CZ119" s="11"/>
      <c r="DG119" s="11"/>
      <c r="DN119" s="11"/>
      <c r="DU119" s="11"/>
    </row>
    <row r="120" ht="15.75" customHeight="1">
      <c r="C120" s="8"/>
      <c r="BJ120" s="11"/>
      <c r="BX120" s="11"/>
      <c r="CE120" s="11"/>
      <c r="CL120" s="11"/>
      <c r="CS120" s="11"/>
      <c r="CZ120" s="11"/>
      <c r="DG120" s="11"/>
      <c r="DN120" s="11"/>
      <c r="DU120" s="11"/>
    </row>
    <row r="121" ht="15.75" customHeight="1">
      <c r="C121" s="8"/>
      <c r="BJ121" s="11"/>
      <c r="BX121" s="11"/>
      <c r="CE121" s="11"/>
      <c r="CL121" s="11"/>
      <c r="CS121" s="11"/>
      <c r="CZ121" s="11"/>
      <c r="DG121" s="11"/>
      <c r="DN121" s="11"/>
      <c r="DU121" s="11"/>
    </row>
    <row r="122" ht="15.75" customHeight="1">
      <c r="C122" s="8"/>
      <c r="BJ122" s="11"/>
      <c r="BX122" s="11"/>
      <c r="CE122" s="11"/>
      <c r="CL122" s="11"/>
      <c r="CS122" s="11"/>
      <c r="CZ122" s="11"/>
      <c r="DG122" s="11"/>
      <c r="DN122" s="11"/>
      <c r="DU122" s="11"/>
    </row>
    <row r="123" ht="15.75" customHeight="1">
      <c r="C123" s="8"/>
      <c r="BJ123" s="11"/>
      <c r="BX123" s="11"/>
      <c r="CE123" s="11"/>
      <c r="CL123" s="11"/>
      <c r="CS123" s="11"/>
      <c r="CZ123" s="11"/>
      <c r="DG123" s="11"/>
      <c r="DN123" s="11"/>
      <c r="DU123" s="11"/>
    </row>
    <row r="124" ht="15.75" customHeight="1">
      <c r="C124" s="8"/>
      <c r="BJ124" s="11"/>
      <c r="BX124" s="11"/>
      <c r="CE124" s="11"/>
      <c r="CL124" s="11"/>
      <c r="CS124" s="11"/>
      <c r="CZ124" s="11"/>
      <c r="DG124" s="11"/>
      <c r="DN124" s="11"/>
      <c r="DU124" s="11"/>
    </row>
    <row r="125" ht="15.75" customHeight="1">
      <c r="C125" s="8"/>
      <c r="BJ125" s="11"/>
      <c r="BX125" s="11"/>
      <c r="CE125" s="11"/>
      <c r="CL125" s="11"/>
      <c r="CS125" s="11"/>
      <c r="CZ125" s="11"/>
      <c r="DG125" s="11"/>
      <c r="DN125" s="11"/>
      <c r="DU125" s="11"/>
    </row>
    <row r="126" ht="15.75" customHeight="1">
      <c r="C126" s="8"/>
      <c r="BJ126" s="11"/>
      <c r="BX126" s="11"/>
      <c r="CE126" s="11"/>
      <c r="CL126" s="11"/>
      <c r="CS126" s="11"/>
      <c r="CZ126" s="11"/>
      <c r="DG126" s="11"/>
      <c r="DN126" s="11"/>
      <c r="DU126" s="11"/>
    </row>
    <row r="127" ht="15.75" customHeight="1">
      <c r="C127" s="8"/>
      <c r="BJ127" s="11"/>
      <c r="BX127" s="11"/>
      <c r="CE127" s="11"/>
      <c r="CL127" s="11"/>
      <c r="CS127" s="11"/>
      <c r="CZ127" s="11"/>
      <c r="DG127" s="11"/>
      <c r="DN127" s="11"/>
      <c r="DU127" s="11"/>
    </row>
    <row r="128" ht="15.75" customHeight="1">
      <c r="C128" s="8"/>
      <c r="BJ128" s="11"/>
      <c r="BX128" s="11"/>
      <c r="CE128" s="11"/>
      <c r="CL128" s="11"/>
      <c r="CS128" s="11"/>
      <c r="CZ128" s="11"/>
      <c r="DG128" s="11"/>
      <c r="DN128" s="11"/>
      <c r="DU128" s="11"/>
    </row>
    <row r="129" ht="15.75" customHeight="1">
      <c r="C129" s="8"/>
      <c r="BJ129" s="11"/>
      <c r="BX129" s="11"/>
      <c r="CE129" s="11"/>
      <c r="CL129" s="11"/>
      <c r="CS129" s="11"/>
      <c r="CZ129" s="11"/>
      <c r="DG129" s="11"/>
      <c r="DN129" s="11"/>
      <c r="DU129" s="11"/>
    </row>
    <row r="130" ht="15.75" customHeight="1">
      <c r="C130" s="8"/>
      <c r="BJ130" s="11"/>
      <c r="BX130" s="11"/>
      <c r="CE130" s="11"/>
      <c r="CL130" s="11"/>
      <c r="CS130" s="11"/>
      <c r="CZ130" s="11"/>
      <c r="DG130" s="11"/>
      <c r="DN130" s="11"/>
      <c r="DU130" s="11"/>
    </row>
    <row r="131" ht="15.75" customHeight="1">
      <c r="C131" s="8"/>
      <c r="BJ131" s="11"/>
      <c r="BX131" s="11"/>
      <c r="CE131" s="11"/>
      <c r="CL131" s="11"/>
      <c r="CS131" s="11"/>
      <c r="CZ131" s="11"/>
      <c r="DG131" s="11"/>
      <c r="DN131" s="11"/>
      <c r="DU131" s="11"/>
    </row>
    <row r="132" ht="15.75" customHeight="1">
      <c r="C132" s="8"/>
      <c r="BJ132" s="11"/>
      <c r="BX132" s="11"/>
      <c r="CE132" s="11"/>
      <c r="CL132" s="11"/>
      <c r="CS132" s="11"/>
      <c r="CZ132" s="11"/>
      <c r="DG132" s="11"/>
      <c r="DN132" s="11"/>
      <c r="DU132" s="11"/>
    </row>
    <row r="133" ht="15.75" customHeight="1">
      <c r="C133" s="8"/>
      <c r="BJ133" s="11"/>
      <c r="BX133" s="11"/>
      <c r="CE133" s="11"/>
      <c r="CL133" s="11"/>
      <c r="CS133" s="11"/>
      <c r="CZ133" s="11"/>
      <c r="DG133" s="11"/>
      <c r="DN133" s="11"/>
      <c r="DU133" s="11"/>
    </row>
    <row r="134" ht="15.75" customHeight="1">
      <c r="C134" s="8"/>
      <c r="BJ134" s="11"/>
      <c r="BX134" s="11"/>
      <c r="CE134" s="11"/>
      <c r="CL134" s="11"/>
      <c r="CS134" s="11"/>
      <c r="CZ134" s="11"/>
      <c r="DG134" s="11"/>
      <c r="DN134" s="11"/>
      <c r="DU134" s="11"/>
    </row>
    <row r="135" ht="15.75" customHeight="1">
      <c r="C135" s="8"/>
      <c r="BJ135" s="11"/>
      <c r="BX135" s="11"/>
      <c r="CE135" s="11"/>
      <c r="CL135" s="11"/>
      <c r="CS135" s="11"/>
      <c r="CZ135" s="11"/>
      <c r="DG135" s="11"/>
      <c r="DN135" s="11"/>
      <c r="DU135" s="11"/>
    </row>
    <row r="136" ht="15.75" customHeight="1">
      <c r="C136" s="8"/>
      <c r="BJ136" s="11"/>
      <c r="BX136" s="11"/>
      <c r="CE136" s="11"/>
      <c r="CL136" s="11"/>
      <c r="CS136" s="11"/>
      <c r="CZ136" s="11"/>
      <c r="DG136" s="11"/>
      <c r="DN136" s="11"/>
      <c r="DU136" s="11"/>
    </row>
    <row r="137" ht="15.75" customHeight="1">
      <c r="C137" s="8"/>
      <c r="BJ137" s="11"/>
      <c r="BX137" s="11"/>
      <c r="CE137" s="11"/>
      <c r="CL137" s="11"/>
      <c r="CS137" s="11"/>
      <c r="CZ137" s="11"/>
      <c r="DG137" s="11"/>
      <c r="DN137" s="11"/>
      <c r="DU137" s="11"/>
    </row>
    <row r="138" ht="15.75" customHeight="1">
      <c r="C138" s="8"/>
      <c r="BJ138" s="11"/>
      <c r="BX138" s="11"/>
      <c r="CE138" s="11"/>
      <c r="CL138" s="11"/>
      <c r="CS138" s="11"/>
      <c r="CZ138" s="11"/>
      <c r="DG138" s="11"/>
      <c r="DN138" s="11"/>
      <c r="DU138" s="11"/>
    </row>
    <row r="139" ht="15.75" customHeight="1">
      <c r="C139" s="8"/>
      <c r="BJ139" s="11"/>
      <c r="BX139" s="11"/>
      <c r="CE139" s="11"/>
      <c r="CL139" s="11"/>
      <c r="CS139" s="11"/>
      <c r="CZ139" s="11"/>
      <c r="DG139" s="11"/>
      <c r="DN139" s="11"/>
      <c r="DU139" s="11"/>
    </row>
    <row r="140" ht="15.75" customHeight="1">
      <c r="C140" s="8"/>
      <c r="BJ140" s="11"/>
      <c r="BX140" s="11"/>
      <c r="CE140" s="11"/>
      <c r="CL140" s="11"/>
      <c r="CS140" s="11"/>
      <c r="CZ140" s="11"/>
      <c r="DG140" s="11"/>
      <c r="DN140" s="11"/>
      <c r="DU140" s="11"/>
    </row>
    <row r="141" ht="15.75" customHeight="1">
      <c r="C141" s="8"/>
      <c r="BJ141" s="11"/>
      <c r="BX141" s="11"/>
      <c r="CE141" s="11"/>
      <c r="CL141" s="11"/>
      <c r="CS141" s="11"/>
      <c r="CZ141" s="11"/>
      <c r="DG141" s="11"/>
      <c r="DN141" s="11"/>
      <c r="DU141" s="11"/>
    </row>
    <row r="142" ht="15.75" customHeight="1">
      <c r="C142" s="8"/>
      <c r="BJ142" s="11"/>
      <c r="BX142" s="11"/>
      <c r="CE142" s="11"/>
      <c r="CL142" s="11"/>
      <c r="CS142" s="11"/>
      <c r="CZ142" s="11"/>
      <c r="DG142" s="11"/>
      <c r="DN142" s="11"/>
      <c r="DU142" s="11"/>
    </row>
    <row r="143" ht="15.75" customHeight="1">
      <c r="C143" s="8"/>
      <c r="BJ143" s="11"/>
      <c r="BX143" s="11"/>
      <c r="CE143" s="11"/>
      <c r="CL143" s="11"/>
      <c r="CS143" s="11"/>
      <c r="CZ143" s="11"/>
      <c r="DG143" s="11"/>
      <c r="DN143" s="11"/>
      <c r="DU143" s="11"/>
    </row>
    <row r="144" ht="15.75" customHeight="1">
      <c r="C144" s="8"/>
      <c r="BJ144" s="11"/>
      <c r="BX144" s="11"/>
      <c r="CE144" s="11"/>
      <c r="CL144" s="11"/>
      <c r="CS144" s="11"/>
      <c r="CZ144" s="11"/>
      <c r="DG144" s="11"/>
      <c r="DN144" s="11"/>
      <c r="DU144" s="11"/>
    </row>
    <row r="145" ht="15.75" customHeight="1">
      <c r="C145" s="8"/>
      <c r="BJ145" s="11"/>
      <c r="BX145" s="11"/>
      <c r="CE145" s="11"/>
      <c r="CL145" s="11"/>
      <c r="CS145" s="11"/>
      <c r="CZ145" s="11"/>
      <c r="DG145" s="11"/>
      <c r="DN145" s="11"/>
      <c r="DU145" s="11"/>
    </row>
    <row r="146" ht="15.75" customHeight="1">
      <c r="C146" s="8"/>
      <c r="BJ146" s="11"/>
      <c r="BX146" s="11"/>
      <c r="CE146" s="11"/>
      <c r="CL146" s="11"/>
      <c r="CS146" s="11"/>
      <c r="CZ146" s="11"/>
      <c r="DG146" s="11"/>
      <c r="DN146" s="11"/>
      <c r="DU146" s="11"/>
    </row>
    <row r="147" ht="15.75" customHeight="1">
      <c r="C147" s="8"/>
      <c r="BJ147" s="11"/>
      <c r="BX147" s="11"/>
      <c r="CE147" s="11"/>
      <c r="CL147" s="11"/>
      <c r="CS147" s="11"/>
      <c r="CZ147" s="11"/>
      <c r="DG147" s="11"/>
      <c r="DN147" s="11"/>
      <c r="DU147" s="11"/>
    </row>
    <row r="148" ht="15.75" customHeight="1">
      <c r="C148" s="8"/>
      <c r="BJ148" s="11"/>
      <c r="BX148" s="11"/>
      <c r="CE148" s="11"/>
      <c r="CL148" s="11"/>
      <c r="CS148" s="11"/>
      <c r="CZ148" s="11"/>
      <c r="DG148" s="11"/>
      <c r="DN148" s="11"/>
      <c r="DU148" s="11"/>
    </row>
    <row r="149" ht="15.75" customHeight="1">
      <c r="C149" s="8"/>
      <c r="BJ149" s="11"/>
      <c r="BX149" s="11"/>
      <c r="CE149" s="11"/>
      <c r="CL149" s="11"/>
      <c r="CS149" s="11"/>
      <c r="CZ149" s="11"/>
      <c r="DG149" s="11"/>
      <c r="DN149" s="11"/>
      <c r="DU149" s="11"/>
    </row>
    <row r="150" ht="15.75" customHeight="1">
      <c r="C150" s="8"/>
      <c r="BJ150" s="11"/>
      <c r="BX150" s="11"/>
      <c r="CE150" s="11"/>
      <c r="CL150" s="11"/>
      <c r="CS150" s="11"/>
      <c r="CZ150" s="11"/>
      <c r="DG150" s="11"/>
      <c r="DN150" s="11"/>
      <c r="DU150" s="11"/>
    </row>
    <row r="151" ht="15.75" customHeight="1">
      <c r="C151" s="8"/>
      <c r="BJ151" s="11"/>
      <c r="BX151" s="11"/>
      <c r="CE151" s="11"/>
      <c r="CL151" s="11"/>
      <c r="CS151" s="11"/>
      <c r="CZ151" s="11"/>
      <c r="DG151" s="11"/>
      <c r="DN151" s="11"/>
      <c r="DU151" s="11"/>
    </row>
    <row r="152" ht="15.75" customHeight="1">
      <c r="C152" s="8"/>
      <c r="BJ152" s="11"/>
      <c r="BX152" s="11"/>
      <c r="CE152" s="11"/>
      <c r="CL152" s="11"/>
      <c r="CS152" s="11"/>
      <c r="CZ152" s="11"/>
      <c r="DG152" s="11"/>
      <c r="DN152" s="11"/>
      <c r="DU152" s="11"/>
    </row>
    <row r="153" ht="15.75" customHeight="1">
      <c r="C153" s="8"/>
      <c r="BJ153" s="11"/>
      <c r="BX153" s="11"/>
      <c r="CE153" s="11"/>
      <c r="CL153" s="11"/>
      <c r="CS153" s="11"/>
      <c r="CZ153" s="11"/>
      <c r="DG153" s="11"/>
      <c r="DN153" s="11"/>
      <c r="DU153" s="11"/>
    </row>
    <row r="154" ht="15.75" customHeight="1">
      <c r="C154" s="8"/>
      <c r="BJ154" s="11"/>
      <c r="BX154" s="11"/>
      <c r="CE154" s="11"/>
      <c r="CL154" s="11"/>
      <c r="CS154" s="11"/>
      <c r="CZ154" s="11"/>
      <c r="DG154" s="11"/>
      <c r="DN154" s="11"/>
      <c r="DU154" s="11"/>
    </row>
    <row r="155" ht="15.75" customHeight="1">
      <c r="C155" s="8"/>
      <c r="BJ155" s="11"/>
      <c r="BX155" s="11"/>
      <c r="CE155" s="11"/>
      <c r="CL155" s="11"/>
      <c r="CS155" s="11"/>
      <c r="CZ155" s="11"/>
      <c r="DG155" s="11"/>
      <c r="DN155" s="11"/>
      <c r="DU155" s="11"/>
    </row>
    <row r="156" ht="15.75" customHeight="1">
      <c r="C156" s="8"/>
      <c r="BJ156" s="11"/>
      <c r="BX156" s="11"/>
      <c r="CE156" s="11"/>
      <c r="CL156" s="11"/>
      <c r="CS156" s="11"/>
      <c r="CZ156" s="11"/>
      <c r="DG156" s="11"/>
      <c r="DN156" s="11"/>
      <c r="DU156" s="11"/>
    </row>
    <row r="157" ht="15.75" customHeight="1">
      <c r="C157" s="8"/>
      <c r="BJ157" s="11"/>
      <c r="BX157" s="11"/>
      <c r="CE157" s="11"/>
      <c r="CL157" s="11"/>
      <c r="CS157" s="11"/>
      <c r="CZ157" s="11"/>
      <c r="DG157" s="11"/>
      <c r="DN157" s="11"/>
      <c r="DU157" s="11"/>
    </row>
    <row r="158" ht="15.75" customHeight="1">
      <c r="C158" s="8"/>
      <c r="BJ158" s="11"/>
      <c r="BX158" s="11"/>
      <c r="CE158" s="11"/>
      <c r="CL158" s="11"/>
      <c r="CS158" s="11"/>
      <c r="CZ158" s="11"/>
      <c r="DG158" s="11"/>
      <c r="DN158" s="11"/>
      <c r="DU158" s="11"/>
    </row>
    <row r="159" ht="15.75" customHeight="1">
      <c r="C159" s="8"/>
      <c r="BJ159" s="11"/>
      <c r="BX159" s="11"/>
      <c r="CE159" s="11"/>
      <c r="CL159" s="11"/>
      <c r="CS159" s="11"/>
      <c r="CZ159" s="11"/>
      <c r="DG159" s="11"/>
      <c r="DN159" s="11"/>
      <c r="DU159" s="11"/>
    </row>
    <row r="160" ht="15.75" customHeight="1">
      <c r="C160" s="8"/>
      <c r="BJ160" s="11"/>
      <c r="BX160" s="11"/>
      <c r="CE160" s="11"/>
      <c r="CL160" s="11"/>
      <c r="CS160" s="11"/>
      <c r="CZ160" s="11"/>
      <c r="DG160" s="11"/>
      <c r="DN160" s="11"/>
      <c r="DU160" s="11"/>
    </row>
    <row r="161" ht="15.75" customHeight="1">
      <c r="C161" s="8"/>
      <c r="BJ161" s="11"/>
      <c r="BX161" s="11"/>
      <c r="CE161" s="11"/>
      <c r="CL161" s="11"/>
      <c r="CS161" s="11"/>
      <c r="CZ161" s="11"/>
      <c r="DG161" s="11"/>
      <c r="DN161" s="11"/>
      <c r="DU161" s="11"/>
    </row>
    <row r="162" ht="15.75" customHeight="1">
      <c r="C162" s="8"/>
      <c r="BJ162" s="11"/>
      <c r="BX162" s="11"/>
      <c r="CE162" s="11"/>
      <c r="CL162" s="11"/>
      <c r="CS162" s="11"/>
      <c r="CZ162" s="11"/>
      <c r="DG162" s="11"/>
      <c r="DN162" s="11"/>
      <c r="DU162" s="11"/>
    </row>
    <row r="163" ht="15.75" customHeight="1">
      <c r="C163" s="8"/>
      <c r="BJ163" s="11"/>
      <c r="BX163" s="11"/>
      <c r="CE163" s="11"/>
      <c r="CL163" s="11"/>
      <c r="CS163" s="11"/>
      <c r="CZ163" s="11"/>
      <c r="DG163" s="11"/>
      <c r="DN163" s="11"/>
      <c r="DU163" s="11"/>
    </row>
    <row r="164" ht="15.75" customHeight="1">
      <c r="C164" s="8"/>
      <c r="BJ164" s="11"/>
      <c r="BX164" s="11"/>
      <c r="CE164" s="11"/>
      <c r="CL164" s="11"/>
      <c r="CS164" s="11"/>
      <c r="CZ164" s="11"/>
      <c r="DG164" s="11"/>
      <c r="DN164" s="11"/>
      <c r="DU164" s="11"/>
    </row>
    <row r="165" ht="15.75" customHeight="1">
      <c r="C165" s="8"/>
      <c r="BJ165" s="11"/>
      <c r="BX165" s="11"/>
      <c r="CE165" s="11"/>
      <c r="CL165" s="11"/>
      <c r="CS165" s="11"/>
      <c r="CZ165" s="11"/>
      <c r="DG165" s="11"/>
      <c r="DN165" s="11"/>
      <c r="DU165" s="11"/>
    </row>
    <row r="166" ht="15.75" customHeight="1">
      <c r="C166" s="8"/>
      <c r="BJ166" s="11"/>
      <c r="BX166" s="11"/>
      <c r="CE166" s="11"/>
      <c r="CL166" s="11"/>
      <c r="CS166" s="11"/>
      <c r="CZ166" s="11"/>
      <c r="DG166" s="11"/>
      <c r="DN166" s="11"/>
      <c r="DU166" s="11"/>
    </row>
    <row r="167" ht="15.75" customHeight="1">
      <c r="C167" s="8"/>
      <c r="BJ167" s="11"/>
      <c r="BX167" s="11"/>
      <c r="CE167" s="11"/>
      <c r="CL167" s="11"/>
      <c r="CS167" s="11"/>
      <c r="CZ167" s="11"/>
      <c r="DG167" s="11"/>
      <c r="DN167" s="11"/>
      <c r="DU167" s="11"/>
    </row>
    <row r="168" ht="15.75" customHeight="1">
      <c r="C168" s="8"/>
      <c r="BJ168" s="11"/>
      <c r="BX168" s="11"/>
      <c r="CE168" s="11"/>
      <c r="CL168" s="11"/>
      <c r="CS168" s="11"/>
      <c r="CZ168" s="11"/>
      <c r="DG168" s="11"/>
      <c r="DN168" s="11"/>
      <c r="DU168" s="11"/>
    </row>
    <row r="169" ht="15.75" customHeight="1">
      <c r="C169" s="8"/>
      <c r="BJ169" s="11"/>
      <c r="BX169" s="11"/>
      <c r="CE169" s="11"/>
      <c r="CL169" s="11"/>
      <c r="CS169" s="11"/>
      <c r="CZ169" s="11"/>
      <c r="DG169" s="11"/>
      <c r="DN169" s="11"/>
      <c r="DU169" s="11"/>
    </row>
    <row r="170" ht="15.75" customHeight="1">
      <c r="C170" s="8"/>
      <c r="BJ170" s="11"/>
      <c r="BX170" s="11"/>
      <c r="CE170" s="11"/>
      <c r="CL170" s="11"/>
      <c r="CS170" s="11"/>
      <c r="CZ170" s="11"/>
      <c r="DG170" s="11"/>
      <c r="DN170" s="11"/>
      <c r="DU170" s="11"/>
    </row>
    <row r="171" ht="15.75" customHeight="1">
      <c r="C171" s="8"/>
      <c r="BJ171" s="11"/>
      <c r="BX171" s="11"/>
      <c r="CE171" s="11"/>
      <c r="CL171" s="11"/>
      <c r="CS171" s="11"/>
      <c r="CZ171" s="11"/>
      <c r="DG171" s="11"/>
      <c r="DN171" s="11"/>
      <c r="DU171" s="11"/>
    </row>
    <row r="172" ht="15.75" customHeight="1">
      <c r="C172" s="8"/>
      <c r="BJ172" s="11"/>
      <c r="BX172" s="11"/>
      <c r="CE172" s="11"/>
      <c r="CL172" s="11"/>
      <c r="CS172" s="11"/>
      <c r="CZ172" s="11"/>
      <c r="DG172" s="11"/>
      <c r="DN172" s="11"/>
      <c r="DU172" s="11"/>
    </row>
    <row r="173" ht="15.75" customHeight="1">
      <c r="C173" s="8"/>
      <c r="BJ173" s="11"/>
      <c r="BX173" s="11"/>
      <c r="CE173" s="11"/>
      <c r="CL173" s="11"/>
      <c r="CS173" s="11"/>
      <c r="CZ173" s="11"/>
      <c r="DG173" s="11"/>
      <c r="DN173" s="11"/>
      <c r="DU173" s="11"/>
    </row>
    <row r="174" ht="15.75" customHeight="1">
      <c r="C174" s="8"/>
      <c r="BJ174" s="11"/>
      <c r="BX174" s="11"/>
      <c r="CE174" s="11"/>
      <c r="CL174" s="11"/>
      <c r="CS174" s="11"/>
      <c r="CZ174" s="11"/>
      <c r="DG174" s="11"/>
      <c r="DN174" s="11"/>
      <c r="DU174" s="11"/>
    </row>
    <row r="175" ht="15.75" customHeight="1">
      <c r="C175" s="8"/>
      <c r="BJ175" s="11"/>
      <c r="BX175" s="11"/>
      <c r="CE175" s="11"/>
      <c r="CL175" s="11"/>
      <c r="CS175" s="11"/>
      <c r="CZ175" s="11"/>
      <c r="DG175" s="11"/>
      <c r="DN175" s="11"/>
      <c r="DU175" s="11"/>
    </row>
    <row r="176" ht="15.75" customHeight="1">
      <c r="C176" s="8"/>
      <c r="BJ176" s="11"/>
      <c r="BX176" s="11"/>
      <c r="CE176" s="11"/>
      <c r="CL176" s="11"/>
      <c r="CS176" s="11"/>
      <c r="CZ176" s="11"/>
      <c r="DG176" s="11"/>
      <c r="DN176" s="11"/>
      <c r="DU176" s="11"/>
    </row>
    <row r="177" ht="15.75" customHeight="1">
      <c r="C177" s="8"/>
      <c r="BJ177" s="11"/>
      <c r="BX177" s="11"/>
      <c r="CE177" s="11"/>
      <c r="CL177" s="11"/>
      <c r="CS177" s="11"/>
      <c r="CZ177" s="11"/>
      <c r="DG177" s="11"/>
      <c r="DN177" s="11"/>
      <c r="DU177" s="11"/>
    </row>
    <row r="178" ht="15.75" customHeight="1">
      <c r="C178" s="8"/>
      <c r="BJ178" s="11"/>
      <c r="BX178" s="11"/>
      <c r="CE178" s="11"/>
      <c r="CL178" s="11"/>
      <c r="CS178" s="11"/>
      <c r="CZ178" s="11"/>
      <c r="DG178" s="11"/>
      <c r="DN178" s="11"/>
      <c r="DU178" s="11"/>
    </row>
    <row r="179" ht="15.75" customHeight="1">
      <c r="C179" s="8"/>
      <c r="BJ179" s="11"/>
      <c r="BX179" s="11"/>
      <c r="CE179" s="11"/>
      <c r="CL179" s="11"/>
      <c r="CS179" s="11"/>
      <c r="CZ179" s="11"/>
      <c r="DG179" s="11"/>
      <c r="DN179" s="11"/>
      <c r="DU179" s="11"/>
    </row>
    <row r="180" ht="15.75" customHeight="1">
      <c r="C180" s="8"/>
      <c r="BJ180" s="11"/>
      <c r="BX180" s="11"/>
      <c r="CE180" s="11"/>
      <c r="CL180" s="11"/>
      <c r="CS180" s="11"/>
      <c r="CZ180" s="11"/>
      <c r="DG180" s="11"/>
      <c r="DN180" s="11"/>
      <c r="DU180" s="11"/>
    </row>
    <row r="181" ht="15.75" customHeight="1">
      <c r="C181" s="8"/>
      <c r="BJ181" s="11"/>
      <c r="BX181" s="11"/>
      <c r="CE181" s="11"/>
      <c r="CL181" s="11"/>
      <c r="CS181" s="11"/>
      <c r="CZ181" s="11"/>
      <c r="DG181" s="11"/>
      <c r="DN181" s="11"/>
      <c r="DU181" s="11"/>
    </row>
    <row r="182" ht="15.75" customHeight="1">
      <c r="C182" s="8"/>
      <c r="BJ182" s="11"/>
      <c r="BX182" s="11"/>
      <c r="CE182" s="11"/>
      <c r="CL182" s="11"/>
      <c r="CS182" s="11"/>
      <c r="CZ182" s="11"/>
      <c r="DG182" s="11"/>
      <c r="DN182" s="11"/>
      <c r="DU182" s="11"/>
    </row>
    <row r="183" ht="15.75" customHeight="1">
      <c r="C183" s="8"/>
      <c r="BJ183" s="11"/>
      <c r="BX183" s="11"/>
      <c r="CE183" s="11"/>
      <c r="CL183" s="11"/>
      <c r="CS183" s="11"/>
      <c r="CZ183" s="11"/>
      <c r="DG183" s="11"/>
      <c r="DN183" s="11"/>
      <c r="DU183" s="11"/>
    </row>
    <row r="184" ht="15.75" customHeight="1">
      <c r="C184" s="8"/>
      <c r="BJ184" s="11"/>
      <c r="BX184" s="11"/>
      <c r="CE184" s="11"/>
      <c r="CL184" s="11"/>
      <c r="CS184" s="11"/>
      <c r="CZ184" s="11"/>
      <c r="DG184" s="11"/>
      <c r="DN184" s="11"/>
      <c r="DU184" s="11"/>
    </row>
    <row r="185" ht="15.75" customHeight="1">
      <c r="C185" s="8"/>
      <c r="BJ185" s="11"/>
      <c r="BX185" s="11"/>
      <c r="CE185" s="11"/>
      <c r="CL185" s="11"/>
      <c r="CS185" s="11"/>
      <c r="CZ185" s="11"/>
      <c r="DG185" s="11"/>
      <c r="DN185" s="11"/>
      <c r="DU185" s="11"/>
    </row>
    <row r="186" ht="15.75" customHeight="1">
      <c r="C186" s="8"/>
      <c r="BJ186" s="11"/>
      <c r="BX186" s="11"/>
      <c r="CE186" s="11"/>
      <c r="CL186" s="11"/>
      <c r="CS186" s="11"/>
      <c r="CZ186" s="11"/>
      <c r="DG186" s="11"/>
      <c r="DN186" s="11"/>
      <c r="DU186" s="11"/>
    </row>
    <row r="187" ht="15.75" customHeight="1">
      <c r="C187" s="8"/>
      <c r="BJ187" s="11"/>
      <c r="BX187" s="11"/>
      <c r="CE187" s="11"/>
      <c r="CL187" s="11"/>
      <c r="CS187" s="11"/>
      <c r="CZ187" s="11"/>
      <c r="DG187" s="11"/>
      <c r="DN187" s="11"/>
      <c r="DU187" s="11"/>
    </row>
    <row r="188" ht="15.75" customHeight="1">
      <c r="C188" s="8"/>
      <c r="BJ188" s="11"/>
      <c r="BX188" s="11"/>
      <c r="CE188" s="11"/>
      <c r="CL188" s="11"/>
      <c r="CS188" s="11"/>
      <c r="CZ188" s="11"/>
      <c r="DG188" s="11"/>
      <c r="DN188" s="11"/>
      <c r="DU188" s="11"/>
    </row>
    <row r="189" ht="15.75" customHeight="1">
      <c r="C189" s="8"/>
      <c r="BJ189" s="11"/>
      <c r="BX189" s="11"/>
      <c r="CE189" s="11"/>
      <c r="CL189" s="11"/>
      <c r="CS189" s="11"/>
      <c r="CZ189" s="11"/>
      <c r="DG189" s="11"/>
      <c r="DN189" s="11"/>
      <c r="DU189" s="11"/>
    </row>
    <row r="190" ht="15.75" customHeight="1">
      <c r="C190" s="8"/>
      <c r="BJ190" s="11"/>
      <c r="BX190" s="11"/>
      <c r="CE190" s="11"/>
      <c r="CL190" s="11"/>
      <c r="CS190" s="11"/>
      <c r="CZ190" s="11"/>
      <c r="DG190" s="11"/>
      <c r="DN190" s="11"/>
      <c r="DU190" s="11"/>
    </row>
    <row r="191" ht="15.75" customHeight="1">
      <c r="C191" s="8"/>
      <c r="BJ191" s="11"/>
      <c r="BX191" s="11"/>
      <c r="CE191" s="11"/>
      <c r="CL191" s="11"/>
      <c r="CS191" s="11"/>
      <c r="CZ191" s="11"/>
      <c r="DG191" s="11"/>
      <c r="DN191" s="11"/>
      <c r="DU191" s="11"/>
    </row>
    <row r="192" ht="15.75" customHeight="1">
      <c r="C192" s="8"/>
      <c r="BJ192" s="11"/>
      <c r="BX192" s="11"/>
      <c r="CE192" s="11"/>
      <c r="CL192" s="11"/>
      <c r="CS192" s="11"/>
      <c r="CZ192" s="11"/>
      <c r="DG192" s="11"/>
      <c r="DN192" s="11"/>
      <c r="DU192" s="11"/>
    </row>
    <row r="193" ht="15.75" customHeight="1">
      <c r="C193" s="8"/>
      <c r="BJ193" s="11"/>
      <c r="BX193" s="11"/>
      <c r="CE193" s="11"/>
      <c r="CL193" s="11"/>
      <c r="CS193" s="11"/>
      <c r="CZ193" s="11"/>
      <c r="DG193" s="11"/>
      <c r="DN193" s="11"/>
      <c r="DU193" s="11"/>
    </row>
    <row r="194" ht="15.75" customHeight="1">
      <c r="C194" s="8"/>
      <c r="BJ194" s="11"/>
      <c r="BX194" s="11"/>
      <c r="CE194" s="11"/>
      <c r="CL194" s="11"/>
      <c r="CS194" s="11"/>
      <c r="CZ194" s="11"/>
      <c r="DG194" s="11"/>
      <c r="DN194" s="11"/>
      <c r="DU194" s="11"/>
    </row>
    <row r="195" ht="15.75" customHeight="1">
      <c r="C195" s="8"/>
      <c r="BJ195" s="11"/>
      <c r="BX195" s="11"/>
      <c r="CE195" s="11"/>
      <c r="CL195" s="11"/>
      <c r="CS195" s="11"/>
      <c r="CZ195" s="11"/>
      <c r="DG195" s="11"/>
      <c r="DN195" s="11"/>
      <c r="DU195" s="11"/>
    </row>
    <row r="196" ht="15.75" customHeight="1">
      <c r="C196" s="8"/>
      <c r="BJ196" s="11"/>
      <c r="BX196" s="11"/>
      <c r="CE196" s="11"/>
      <c r="CL196" s="11"/>
      <c r="CS196" s="11"/>
      <c r="CZ196" s="11"/>
      <c r="DG196" s="11"/>
      <c r="DN196" s="11"/>
      <c r="DU196" s="11"/>
    </row>
    <row r="197" ht="15.75" customHeight="1">
      <c r="C197" s="8"/>
      <c r="BJ197" s="11"/>
      <c r="BX197" s="11"/>
      <c r="CE197" s="11"/>
      <c r="CL197" s="11"/>
      <c r="CS197" s="11"/>
      <c r="CZ197" s="11"/>
      <c r="DG197" s="11"/>
      <c r="DN197" s="11"/>
      <c r="DU197" s="11"/>
    </row>
    <row r="198" ht="15.75" customHeight="1">
      <c r="C198" s="8"/>
      <c r="BJ198" s="11"/>
      <c r="BX198" s="11"/>
      <c r="CE198" s="11"/>
      <c r="CL198" s="11"/>
      <c r="CS198" s="11"/>
      <c r="CZ198" s="11"/>
      <c r="DG198" s="11"/>
      <c r="DN198" s="11"/>
      <c r="DU198" s="11"/>
    </row>
    <row r="199" ht="15.75" customHeight="1">
      <c r="C199" s="8"/>
      <c r="BJ199" s="11"/>
      <c r="BX199" s="11"/>
      <c r="CE199" s="11"/>
      <c r="CL199" s="11"/>
      <c r="CS199" s="11"/>
      <c r="CZ199" s="11"/>
      <c r="DG199" s="11"/>
      <c r="DN199" s="11"/>
      <c r="DU199" s="11"/>
    </row>
    <row r="200" ht="15.75" customHeight="1">
      <c r="C200" s="8"/>
      <c r="BJ200" s="11"/>
      <c r="BX200" s="11"/>
      <c r="CE200" s="11"/>
      <c r="CL200" s="11"/>
      <c r="CS200" s="11"/>
      <c r="CZ200" s="11"/>
      <c r="DG200" s="11"/>
      <c r="DN200" s="11"/>
      <c r="DU200" s="11"/>
    </row>
    <row r="201" ht="15.75" customHeight="1">
      <c r="C201" s="8"/>
      <c r="BJ201" s="11"/>
      <c r="BX201" s="11"/>
      <c r="CE201" s="11"/>
      <c r="CL201" s="11"/>
      <c r="CS201" s="11"/>
      <c r="CZ201" s="11"/>
      <c r="DG201" s="11"/>
      <c r="DN201" s="11"/>
      <c r="DU201" s="11"/>
    </row>
    <row r="202" ht="15.75" customHeight="1">
      <c r="C202" s="8"/>
      <c r="BJ202" s="11"/>
      <c r="BX202" s="11"/>
      <c r="CE202" s="11"/>
      <c r="CL202" s="11"/>
      <c r="CS202" s="11"/>
      <c r="CZ202" s="11"/>
      <c r="DG202" s="11"/>
      <c r="DN202" s="11"/>
      <c r="DU202" s="11"/>
    </row>
    <row r="203" ht="15.75" customHeight="1">
      <c r="C203" s="8"/>
      <c r="BJ203" s="11"/>
      <c r="BX203" s="11"/>
      <c r="CE203" s="11"/>
      <c r="CL203" s="11"/>
      <c r="CS203" s="11"/>
      <c r="CZ203" s="11"/>
      <c r="DG203" s="11"/>
      <c r="DN203" s="11"/>
      <c r="DU203" s="11"/>
    </row>
    <row r="204" ht="15.75" customHeight="1">
      <c r="C204" s="8"/>
      <c r="BJ204" s="11"/>
      <c r="BX204" s="11"/>
      <c r="CE204" s="11"/>
      <c r="CL204" s="11"/>
      <c r="CS204" s="11"/>
      <c r="CZ204" s="11"/>
      <c r="DG204" s="11"/>
      <c r="DN204" s="11"/>
      <c r="DU204" s="11"/>
    </row>
    <row r="205" ht="15.75" customHeight="1">
      <c r="C205" s="8"/>
      <c r="BJ205" s="11"/>
      <c r="BX205" s="11"/>
      <c r="CE205" s="11"/>
      <c r="CL205" s="11"/>
      <c r="CS205" s="11"/>
      <c r="CZ205" s="11"/>
      <c r="DG205" s="11"/>
      <c r="DN205" s="11"/>
      <c r="DU205" s="11"/>
    </row>
    <row r="206" ht="15.75" customHeight="1">
      <c r="C206" s="8"/>
      <c r="BJ206" s="11"/>
      <c r="BX206" s="11"/>
      <c r="CE206" s="11"/>
      <c r="CL206" s="11"/>
      <c r="CS206" s="11"/>
      <c r="CZ206" s="11"/>
      <c r="DG206" s="11"/>
      <c r="DN206" s="11"/>
      <c r="DU206" s="11"/>
    </row>
    <row r="207" ht="15.75" customHeight="1">
      <c r="C207" s="8"/>
      <c r="BJ207" s="11"/>
      <c r="BX207" s="11"/>
      <c r="CE207" s="11"/>
      <c r="CL207" s="11"/>
      <c r="CS207" s="11"/>
      <c r="CZ207" s="11"/>
      <c r="DG207" s="11"/>
      <c r="DN207" s="11"/>
      <c r="DU207" s="11"/>
    </row>
    <row r="208" ht="15.75" customHeight="1">
      <c r="C208" s="8"/>
      <c r="BJ208" s="11"/>
      <c r="BX208" s="11"/>
      <c r="CE208" s="11"/>
      <c r="CL208" s="11"/>
      <c r="CS208" s="11"/>
      <c r="CZ208" s="11"/>
      <c r="DG208" s="11"/>
      <c r="DN208" s="11"/>
      <c r="DU208" s="11"/>
    </row>
    <row r="209" ht="15.75" customHeight="1">
      <c r="C209" s="8"/>
      <c r="BJ209" s="11"/>
      <c r="BX209" s="11"/>
      <c r="CE209" s="11"/>
      <c r="CL209" s="11"/>
      <c r="CS209" s="11"/>
      <c r="CZ209" s="11"/>
      <c r="DG209" s="11"/>
      <c r="DN209" s="11"/>
      <c r="DU209" s="11"/>
    </row>
    <row r="210" ht="15.75" customHeight="1">
      <c r="C210" s="8"/>
      <c r="BJ210" s="11"/>
      <c r="BX210" s="11"/>
      <c r="CE210" s="11"/>
      <c r="CL210" s="11"/>
      <c r="CS210" s="11"/>
      <c r="CZ210" s="11"/>
      <c r="DG210" s="11"/>
      <c r="DN210" s="11"/>
      <c r="DU210" s="11"/>
    </row>
    <row r="211" ht="15.75" customHeight="1">
      <c r="C211" s="8"/>
      <c r="BJ211" s="11"/>
      <c r="BX211" s="11"/>
      <c r="CE211" s="11"/>
      <c r="CL211" s="11"/>
      <c r="CS211" s="11"/>
      <c r="CZ211" s="11"/>
      <c r="DG211" s="11"/>
      <c r="DN211" s="11"/>
      <c r="DU211" s="11"/>
    </row>
    <row r="212" ht="15.75" customHeight="1">
      <c r="C212" s="8"/>
      <c r="BJ212" s="11"/>
      <c r="BX212" s="11"/>
      <c r="CE212" s="11"/>
      <c r="CL212" s="11"/>
      <c r="CS212" s="11"/>
      <c r="CZ212" s="11"/>
      <c r="DG212" s="11"/>
      <c r="DN212" s="11"/>
      <c r="DU212" s="11"/>
    </row>
    <row r="213" ht="15.75" customHeight="1">
      <c r="C213" s="8"/>
      <c r="BJ213" s="11"/>
      <c r="BX213" s="11"/>
      <c r="CE213" s="11"/>
      <c r="CL213" s="11"/>
      <c r="CS213" s="11"/>
      <c r="CZ213" s="11"/>
      <c r="DG213" s="11"/>
      <c r="DN213" s="11"/>
      <c r="DU213" s="11"/>
    </row>
    <row r="214" ht="15.75" customHeight="1">
      <c r="C214" s="8"/>
      <c r="BJ214" s="11"/>
      <c r="BX214" s="11"/>
      <c r="CE214" s="11"/>
      <c r="CL214" s="11"/>
      <c r="CS214" s="11"/>
      <c r="CZ214" s="11"/>
      <c r="DG214" s="11"/>
      <c r="DN214" s="11"/>
      <c r="DU214" s="11"/>
    </row>
    <row r="215" ht="15.75" customHeight="1">
      <c r="C215" s="8"/>
      <c r="BJ215" s="11"/>
      <c r="BX215" s="11"/>
      <c r="CE215" s="11"/>
      <c r="CL215" s="11"/>
      <c r="CS215" s="11"/>
      <c r="CZ215" s="11"/>
      <c r="DG215" s="11"/>
      <c r="DN215" s="11"/>
      <c r="DU215" s="11"/>
    </row>
    <row r="216" ht="15.75" customHeight="1">
      <c r="C216" s="8"/>
      <c r="BJ216" s="11"/>
      <c r="BX216" s="11"/>
      <c r="CE216" s="11"/>
      <c r="CL216" s="11"/>
      <c r="CS216" s="11"/>
      <c r="CZ216" s="11"/>
      <c r="DG216" s="11"/>
      <c r="DN216" s="11"/>
      <c r="DU216" s="11"/>
    </row>
    <row r="217" ht="15.75" customHeight="1">
      <c r="C217" s="8"/>
      <c r="BJ217" s="11"/>
      <c r="BX217" s="11"/>
      <c r="CE217" s="11"/>
      <c r="CL217" s="11"/>
      <c r="CS217" s="11"/>
      <c r="CZ217" s="11"/>
      <c r="DG217" s="11"/>
      <c r="DN217" s="11"/>
      <c r="DU217" s="11"/>
    </row>
    <row r="218" ht="15.75" customHeight="1">
      <c r="C218" s="8"/>
      <c r="BJ218" s="11"/>
      <c r="BX218" s="11"/>
      <c r="CE218" s="11"/>
      <c r="CL218" s="11"/>
      <c r="CS218" s="11"/>
      <c r="CZ218" s="11"/>
      <c r="DG218" s="11"/>
      <c r="DN218" s="11"/>
      <c r="DU218" s="11"/>
    </row>
    <row r="219" ht="15.75" customHeight="1">
      <c r="C219" s="8"/>
      <c r="BJ219" s="11"/>
      <c r="BX219" s="11"/>
      <c r="CE219" s="11"/>
      <c r="CL219" s="11"/>
      <c r="CS219" s="11"/>
      <c r="CZ219" s="11"/>
      <c r="DG219" s="11"/>
      <c r="DN219" s="11"/>
      <c r="DU219" s="11"/>
    </row>
    <row r="220" ht="15.75" customHeight="1">
      <c r="C220" s="8"/>
      <c r="BJ220" s="11"/>
      <c r="BX220" s="11"/>
      <c r="CE220" s="11"/>
      <c r="CL220" s="11"/>
      <c r="CS220" s="11"/>
      <c r="CZ220" s="11"/>
      <c r="DG220" s="11"/>
      <c r="DN220" s="11"/>
      <c r="DU220" s="11"/>
    </row>
    <row r="221" ht="15.75" customHeight="1">
      <c r="C221" s="8"/>
      <c r="BJ221" s="11"/>
      <c r="BX221" s="11"/>
      <c r="CE221" s="11"/>
      <c r="CL221" s="11"/>
      <c r="CS221" s="11"/>
      <c r="CZ221" s="11"/>
      <c r="DG221" s="11"/>
      <c r="DN221" s="11"/>
      <c r="DU221" s="11"/>
    </row>
    <row r="222" ht="15.75" customHeight="1">
      <c r="C222" s="8"/>
      <c r="BJ222" s="11"/>
      <c r="BX222" s="11"/>
      <c r="CE222" s="11"/>
      <c r="CL222" s="11"/>
      <c r="CS222" s="11"/>
      <c r="CZ222" s="11"/>
      <c r="DG222" s="11"/>
      <c r="DN222" s="11"/>
      <c r="DU222" s="11"/>
    </row>
    <row r="223" ht="15.75" customHeight="1">
      <c r="C223" s="8"/>
      <c r="BJ223" s="11"/>
      <c r="BX223" s="11"/>
      <c r="CE223" s="11"/>
      <c r="CL223" s="11"/>
      <c r="CS223" s="11"/>
      <c r="CZ223" s="11"/>
      <c r="DG223" s="11"/>
      <c r="DN223" s="11"/>
      <c r="DU223" s="11"/>
    </row>
    <row r="224" ht="15.75" customHeight="1">
      <c r="C224" s="8"/>
      <c r="BJ224" s="11"/>
      <c r="BX224" s="11"/>
      <c r="CE224" s="11"/>
      <c r="CL224" s="11"/>
      <c r="CS224" s="11"/>
      <c r="CZ224" s="11"/>
      <c r="DG224" s="11"/>
      <c r="DN224" s="11"/>
      <c r="DU224" s="11"/>
    </row>
    <row r="225" ht="15.75" customHeight="1">
      <c r="C225" s="8"/>
      <c r="BJ225" s="11"/>
      <c r="BX225" s="11"/>
      <c r="CE225" s="11"/>
      <c r="CL225" s="11"/>
      <c r="CS225" s="11"/>
      <c r="CZ225" s="11"/>
      <c r="DG225" s="11"/>
      <c r="DN225" s="11"/>
      <c r="DU225" s="11"/>
    </row>
    <row r="226" ht="15.75" customHeight="1">
      <c r="C226" s="8"/>
      <c r="BJ226" s="11"/>
      <c r="BX226" s="11"/>
      <c r="CE226" s="11"/>
      <c r="CL226" s="11"/>
      <c r="CS226" s="11"/>
      <c r="CZ226" s="11"/>
      <c r="DG226" s="11"/>
      <c r="DN226" s="11"/>
      <c r="DU226" s="11"/>
    </row>
    <row r="227" ht="15.75" customHeight="1">
      <c r="C227" s="8"/>
      <c r="BJ227" s="11"/>
      <c r="BX227" s="11"/>
      <c r="CE227" s="11"/>
      <c r="CL227" s="11"/>
      <c r="CS227" s="11"/>
      <c r="CZ227" s="11"/>
      <c r="DG227" s="11"/>
      <c r="DN227" s="11"/>
      <c r="DU227" s="11"/>
    </row>
    <row r="228" ht="15.75" customHeight="1">
      <c r="C228" s="8"/>
      <c r="BJ228" s="11"/>
      <c r="BX228" s="11"/>
      <c r="CE228" s="11"/>
      <c r="CL228" s="11"/>
      <c r="CS228" s="11"/>
      <c r="CZ228" s="11"/>
      <c r="DG228" s="11"/>
      <c r="DN228" s="11"/>
      <c r="DU228" s="11"/>
    </row>
    <row r="229" ht="15.75" customHeight="1">
      <c r="C229" s="8"/>
      <c r="BJ229" s="11"/>
      <c r="BX229" s="11"/>
      <c r="CE229" s="11"/>
      <c r="CL229" s="11"/>
      <c r="CS229" s="11"/>
      <c r="CZ229" s="11"/>
      <c r="DG229" s="11"/>
      <c r="DN229" s="11"/>
      <c r="DU229" s="11"/>
    </row>
    <row r="230" ht="15.75" customHeight="1">
      <c r="C230" s="8"/>
      <c r="BJ230" s="11"/>
      <c r="BX230" s="11"/>
      <c r="CE230" s="11"/>
      <c r="CL230" s="11"/>
      <c r="CS230" s="11"/>
      <c r="CZ230" s="11"/>
      <c r="DG230" s="11"/>
      <c r="DN230" s="11"/>
      <c r="DU230" s="11"/>
    </row>
    <row r="231" ht="15.75" customHeight="1">
      <c r="C231" s="8"/>
      <c r="BJ231" s="11"/>
      <c r="BX231" s="11"/>
      <c r="CE231" s="11"/>
      <c r="CL231" s="11"/>
      <c r="CS231" s="11"/>
      <c r="CZ231" s="11"/>
      <c r="DG231" s="11"/>
      <c r="DN231" s="11"/>
      <c r="DU231" s="11"/>
    </row>
    <row r="232" ht="15.75" customHeight="1">
      <c r="C232" s="8"/>
      <c r="BJ232" s="11"/>
      <c r="BX232" s="11"/>
      <c r="CE232" s="11"/>
      <c r="CL232" s="11"/>
      <c r="CS232" s="11"/>
      <c r="CZ232" s="11"/>
      <c r="DG232" s="11"/>
      <c r="DN232" s="11"/>
      <c r="DU232" s="11"/>
    </row>
    <row r="233" ht="15.75" customHeight="1">
      <c r="C233" s="8"/>
      <c r="BJ233" s="11"/>
      <c r="BX233" s="11"/>
      <c r="CE233" s="11"/>
      <c r="CL233" s="11"/>
      <c r="CS233" s="11"/>
      <c r="CZ233" s="11"/>
      <c r="DG233" s="11"/>
      <c r="DN233" s="11"/>
      <c r="DU233" s="11"/>
    </row>
    <row r="234" ht="15.75" customHeight="1">
      <c r="C234" s="8"/>
      <c r="BJ234" s="11"/>
      <c r="BX234" s="11"/>
      <c r="CE234" s="11"/>
      <c r="CL234" s="11"/>
      <c r="CS234" s="11"/>
      <c r="CZ234" s="11"/>
      <c r="DG234" s="11"/>
      <c r="DN234" s="11"/>
      <c r="DU234" s="11"/>
    </row>
    <row r="235" ht="15.75" customHeight="1">
      <c r="C235" s="8"/>
      <c r="BJ235" s="11"/>
      <c r="BX235" s="11"/>
      <c r="CE235" s="11"/>
      <c r="CL235" s="11"/>
      <c r="CS235" s="11"/>
      <c r="CZ235" s="11"/>
      <c r="DG235" s="11"/>
      <c r="DN235" s="11"/>
      <c r="DU235" s="11"/>
    </row>
    <row r="236" ht="15.75" customHeight="1">
      <c r="C236" s="8"/>
      <c r="BJ236" s="11"/>
      <c r="BX236" s="11"/>
      <c r="CE236" s="11"/>
      <c r="CL236" s="11"/>
      <c r="CS236" s="11"/>
      <c r="CZ236" s="11"/>
      <c r="DG236" s="11"/>
      <c r="DN236" s="11"/>
      <c r="DU236" s="11"/>
    </row>
    <row r="237" ht="15.75" customHeight="1">
      <c r="C237" s="8"/>
      <c r="BJ237" s="11"/>
      <c r="BX237" s="11"/>
      <c r="CE237" s="11"/>
      <c r="CL237" s="11"/>
      <c r="CS237" s="11"/>
      <c r="CZ237" s="11"/>
      <c r="DG237" s="11"/>
      <c r="DN237" s="11"/>
      <c r="DU237" s="11"/>
    </row>
    <row r="238" ht="15.75" customHeight="1">
      <c r="C238" s="8"/>
      <c r="BJ238" s="11"/>
      <c r="BX238" s="11"/>
      <c r="CE238" s="11"/>
      <c r="CL238" s="11"/>
      <c r="CS238" s="11"/>
      <c r="CZ238" s="11"/>
      <c r="DG238" s="11"/>
      <c r="DN238" s="11"/>
      <c r="DU238" s="11"/>
    </row>
    <row r="239" ht="15.75" customHeight="1">
      <c r="C239" s="8"/>
      <c r="BJ239" s="11"/>
      <c r="BX239" s="11"/>
      <c r="CE239" s="11"/>
      <c r="CL239" s="11"/>
      <c r="CS239" s="11"/>
      <c r="CZ239" s="11"/>
      <c r="DG239" s="11"/>
      <c r="DN239" s="11"/>
      <c r="DU239" s="11"/>
    </row>
    <row r="240" ht="15.75" customHeight="1">
      <c r="C240" s="8"/>
      <c r="BJ240" s="11"/>
      <c r="BX240" s="11"/>
      <c r="CE240" s="11"/>
      <c r="CL240" s="11"/>
      <c r="CS240" s="11"/>
      <c r="CZ240" s="11"/>
      <c r="DG240" s="11"/>
      <c r="DN240" s="11"/>
      <c r="DU240" s="11"/>
    </row>
    <row r="241" ht="15.75" customHeight="1">
      <c r="C241" s="8"/>
      <c r="BJ241" s="11"/>
      <c r="BX241" s="11"/>
      <c r="CE241" s="11"/>
      <c r="CL241" s="11"/>
      <c r="CS241" s="11"/>
      <c r="CZ241" s="11"/>
      <c r="DG241" s="11"/>
      <c r="DN241" s="11"/>
      <c r="DU241" s="11"/>
    </row>
    <row r="242" ht="15.75" customHeight="1">
      <c r="C242" s="8"/>
      <c r="BJ242" s="11"/>
      <c r="BX242" s="11"/>
      <c r="CE242" s="11"/>
      <c r="CL242" s="11"/>
      <c r="CS242" s="11"/>
      <c r="CZ242" s="11"/>
      <c r="DG242" s="11"/>
      <c r="DN242" s="11"/>
      <c r="DU242" s="11"/>
    </row>
    <row r="243" ht="15.75" customHeight="1">
      <c r="C243" s="8"/>
      <c r="BJ243" s="11"/>
      <c r="BX243" s="11"/>
      <c r="CE243" s="11"/>
      <c r="CL243" s="11"/>
      <c r="CS243" s="11"/>
      <c r="CZ243" s="11"/>
      <c r="DG243" s="11"/>
      <c r="DN243" s="11"/>
      <c r="DU243" s="11"/>
    </row>
    <row r="244" ht="15.75" customHeight="1">
      <c r="C244" s="8"/>
      <c r="BJ244" s="11"/>
      <c r="BX244" s="11"/>
      <c r="CE244" s="11"/>
      <c r="CL244" s="11"/>
      <c r="CS244" s="11"/>
      <c r="CZ244" s="11"/>
      <c r="DG244" s="11"/>
      <c r="DN244" s="11"/>
      <c r="DU244" s="11"/>
    </row>
    <row r="245" ht="15.75" customHeight="1">
      <c r="C245" s="8"/>
      <c r="BJ245" s="11"/>
      <c r="BX245" s="11"/>
      <c r="CE245" s="11"/>
      <c r="CL245" s="11"/>
      <c r="CS245" s="11"/>
      <c r="CZ245" s="11"/>
      <c r="DG245" s="11"/>
      <c r="DN245" s="11"/>
      <c r="DU245" s="11"/>
    </row>
    <row r="246" ht="15.75" customHeight="1">
      <c r="C246" s="8"/>
      <c r="BJ246" s="11"/>
      <c r="BX246" s="11"/>
      <c r="CE246" s="11"/>
      <c r="CL246" s="11"/>
      <c r="CS246" s="11"/>
      <c r="CZ246" s="11"/>
      <c r="DG246" s="11"/>
      <c r="DN246" s="11"/>
      <c r="DU246" s="11"/>
    </row>
    <row r="247" ht="15.75" customHeight="1">
      <c r="C247" s="8"/>
      <c r="BJ247" s="11"/>
      <c r="BX247" s="11"/>
      <c r="CE247" s="11"/>
      <c r="CL247" s="11"/>
      <c r="CS247" s="11"/>
      <c r="CZ247" s="11"/>
      <c r="DG247" s="11"/>
      <c r="DN247" s="11"/>
      <c r="DU247" s="11"/>
    </row>
    <row r="248" ht="15.75" customHeight="1">
      <c r="C248" s="8"/>
      <c r="BJ248" s="11"/>
      <c r="BX248" s="11"/>
      <c r="CE248" s="11"/>
      <c r="CL248" s="11"/>
      <c r="CS248" s="11"/>
      <c r="CZ248" s="11"/>
      <c r="DG248" s="11"/>
      <c r="DN248" s="11"/>
      <c r="DU248" s="11"/>
    </row>
    <row r="249" ht="15.75" customHeight="1">
      <c r="C249" s="8"/>
      <c r="BJ249" s="11"/>
      <c r="BX249" s="11"/>
      <c r="CE249" s="11"/>
      <c r="CL249" s="11"/>
      <c r="CS249" s="11"/>
      <c r="CZ249" s="11"/>
      <c r="DG249" s="11"/>
      <c r="DN249" s="11"/>
      <c r="DU249" s="11"/>
    </row>
    <row r="250" ht="15.75" customHeight="1">
      <c r="C250" s="8"/>
      <c r="BJ250" s="11"/>
      <c r="BX250" s="11"/>
      <c r="CE250" s="11"/>
      <c r="CL250" s="11"/>
      <c r="CS250" s="11"/>
      <c r="CZ250" s="11"/>
      <c r="DG250" s="11"/>
      <c r="DN250" s="11"/>
      <c r="DU250" s="11"/>
    </row>
    <row r="251" ht="15.75" customHeight="1">
      <c r="C251" s="8"/>
      <c r="BJ251" s="11"/>
      <c r="BX251" s="11"/>
      <c r="CE251" s="11"/>
      <c r="CL251" s="11"/>
      <c r="CS251" s="11"/>
      <c r="CZ251" s="11"/>
      <c r="DG251" s="11"/>
      <c r="DN251" s="11"/>
      <c r="DU251" s="11"/>
    </row>
    <row r="252" ht="15.75" customHeight="1">
      <c r="C252" s="8"/>
      <c r="BJ252" s="11"/>
      <c r="BX252" s="11"/>
      <c r="CE252" s="11"/>
      <c r="CL252" s="11"/>
      <c r="CS252" s="11"/>
      <c r="CZ252" s="11"/>
      <c r="DG252" s="11"/>
      <c r="DN252" s="11"/>
      <c r="DU252" s="11"/>
    </row>
    <row r="253" ht="15.75" customHeight="1">
      <c r="C253" s="8"/>
      <c r="BJ253" s="11"/>
      <c r="BX253" s="11"/>
      <c r="CE253" s="11"/>
      <c r="CL253" s="11"/>
      <c r="CS253" s="11"/>
      <c r="CZ253" s="11"/>
      <c r="DG253" s="11"/>
      <c r="DN253" s="11"/>
      <c r="DU253" s="11"/>
    </row>
    <row r="254" ht="15.75" customHeight="1">
      <c r="C254" s="8"/>
      <c r="BJ254" s="11"/>
      <c r="BX254" s="11"/>
      <c r="CE254" s="11"/>
      <c r="CL254" s="11"/>
      <c r="CS254" s="11"/>
      <c r="CZ254" s="11"/>
      <c r="DG254" s="11"/>
      <c r="DN254" s="11"/>
      <c r="DU254" s="11"/>
    </row>
    <row r="255" ht="15.75" customHeight="1">
      <c r="C255" s="8"/>
      <c r="BJ255" s="11"/>
      <c r="BX255" s="11"/>
      <c r="CE255" s="11"/>
      <c r="CL255" s="11"/>
      <c r="CS255" s="11"/>
      <c r="CZ255" s="11"/>
      <c r="DG255" s="11"/>
      <c r="DN255" s="11"/>
      <c r="DU255" s="11"/>
    </row>
    <row r="256" ht="15.75" customHeight="1">
      <c r="C256" s="8"/>
      <c r="BJ256" s="11"/>
      <c r="BX256" s="11"/>
      <c r="CE256" s="11"/>
      <c r="CL256" s="11"/>
      <c r="CS256" s="11"/>
      <c r="CZ256" s="11"/>
      <c r="DG256" s="11"/>
      <c r="DN256" s="11"/>
      <c r="DU256" s="11"/>
    </row>
    <row r="257" ht="15.75" customHeight="1">
      <c r="C257" s="8"/>
      <c r="BJ257" s="11"/>
      <c r="BX257" s="11"/>
      <c r="CE257" s="11"/>
      <c r="CL257" s="11"/>
      <c r="CS257" s="11"/>
      <c r="CZ257" s="11"/>
      <c r="DG257" s="11"/>
      <c r="DN257" s="11"/>
      <c r="DU257" s="11"/>
    </row>
    <row r="258" ht="15.75" customHeight="1">
      <c r="C258" s="8"/>
      <c r="BJ258" s="11"/>
      <c r="BX258" s="11"/>
      <c r="CE258" s="11"/>
      <c r="CL258" s="11"/>
      <c r="CS258" s="11"/>
      <c r="CZ258" s="11"/>
      <c r="DG258" s="11"/>
      <c r="DN258" s="11"/>
      <c r="DU258" s="11"/>
    </row>
    <row r="259" ht="15.75" customHeight="1">
      <c r="C259" s="8"/>
      <c r="BJ259" s="11"/>
      <c r="BX259" s="11"/>
      <c r="CE259" s="11"/>
      <c r="CL259" s="11"/>
      <c r="CS259" s="11"/>
      <c r="CZ259" s="11"/>
      <c r="DG259" s="11"/>
      <c r="DN259" s="11"/>
      <c r="DU259" s="11"/>
    </row>
    <row r="260" ht="15.75" customHeight="1">
      <c r="C260" s="8"/>
      <c r="BJ260" s="11"/>
      <c r="BX260" s="11"/>
      <c r="CE260" s="11"/>
      <c r="CL260" s="11"/>
      <c r="CS260" s="11"/>
      <c r="CZ260" s="11"/>
      <c r="DG260" s="11"/>
      <c r="DN260" s="11"/>
      <c r="DU260" s="11"/>
    </row>
    <row r="261" ht="15.75" customHeight="1">
      <c r="C261" s="8"/>
      <c r="BJ261" s="11"/>
      <c r="BX261" s="11"/>
      <c r="CE261" s="11"/>
      <c r="CL261" s="11"/>
      <c r="CS261" s="11"/>
      <c r="CZ261" s="11"/>
      <c r="DG261" s="11"/>
      <c r="DN261" s="11"/>
      <c r="DU261" s="11"/>
    </row>
    <row r="262" ht="15.75" customHeight="1">
      <c r="C262" s="8"/>
      <c r="BJ262" s="11"/>
      <c r="BX262" s="11"/>
      <c r="CE262" s="11"/>
      <c r="CL262" s="11"/>
      <c r="CS262" s="11"/>
      <c r="CZ262" s="11"/>
      <c r="DG262" s="11"/>
      <c r="DN262" s="11"/>
      <c r="DU262" s="11"/>
    </row>
    <row r="263" ht="15.75" customHeight="1">
      <c r="C263" s="8"/>
      <c r="BJ263" s="11"/>
      <c r="BX263" s="11"/>
      <c r="CE263" s="11"/>
      <c r="CL263" s="11"/>
      <c r="CS263" s="11"/>
      <c r="CZ263" s="11"/>
      <c r="DG263" s="11"/>
      <c r="DN263" s="11"/>
      <c r="DU263" s="11"/>
    </row>
    <row r="264" ht="15.75" customHeight="1">
      <c r="C264" s="8"/>
      <c r="BJ264" s="11"/>
      <c r="BX264" s="11"/>
      <c r="CE264" s="11"/>
      <c r="CL264" s="11"/>
      <c r="CS264" s="11"/>
      <c r="CZ264" s="11"/>
      <c r="DG264" s="11"/>
      <c r="DN264" s="11"/>
      <c r="DU264" s="11"/>
    </row>
    <row r="265" ht="15.75" customHeight="1">
      <c r="C265" s="8"/>
      <c r="BJ265" s="11"/>
      <c r="BX265" s="11"/>
      <c r="CE265" s="11"/>
      <c r="CL265" s="11"/>
      <c r="CS265" s="11"/>
      <c r="CZ265" s="11"/>
      <c r="DG265" s="11"/>
      <c r="DN265" s="11"/>
      <c r="DU265" s="11"/>
    </row>
    <row r="266" ht="15.75" customHeight="1">
      <c r="C266" s="8"/>
      <c r="BJ266" s="11"/>
      <c r="BX266" s="11"/>
      <c r="CE266" s="11"/>
      <c r="CL266" s="11"/>
      <c r="CS266" s="11"/>
      <c r="CZ266" s="11"/>
      <c r="DG266" s="11"/>
      <c r="DN266" s="11"/>
      <c r="DU266" s="11"/>
    </row>
    <row r="267" ht="15.75" customHeight="1">
      <c r="C267" s="8"/>
      <c r="BJ267" s="11"/>
      <c r="BX267" s="11"/>
      <c r="CE267" s="11"/>
      <c r="CL267" s="11"/>
      <c r="CS267" s="11"/>
      <c r="CZ267" s="11"/>
      <c r="DG267" s="11"/>
      <c r="DN267" s="11"/>
      <c r="DU267" s="11"/>
    </row>
    <row r="268" ht="15.75" customHeight="1">
      <c r="C268" s="8"/>
      <c r="BJ268" s="11"/>
      <c r="BX268" s="11"/>
      <c r="CE268" s="11"/>
      <c r="CL268" s="11"/>
      <c r="CS268" s="11"/>
      <c r="CZ268" s="11"/>
      <c r="DG268" s="11"/>
      <c r="DN268" s="11"/>
      <c r="DU268" s="11"/>
    </row>
    <row r="269" ht="15.75" customHeight="1">
      <c r="C269" s="8"/>
      <c r="BJ269" s="11"/>
      <c r="BX269" s="11"/>
      <c r="CE269" s="11"/>
      <c r="CL269" s="11"/>
      <c r="CS269" s="11"/>
      <c r="CZ269" s="11"/>
      <c r="DG269" s="11"/>
      <c r="DN269" s="11"/>
      <c r="DU269" s="11"/>
    </row>
    <row r="270" ht="15.75" customHeight="1">
      <c r="C270" s="8"/>
      <c r="BJ270" s="11"/>
      <c r="BX270" s="11"/>
      <c r="CE270" s="11"/>
      <c r="CL270" s="11"/>
      <c r="CS270" s="11"/>
      <c r="CZ270" s="11"/>
      <c r="DG270" s="11"/>
      <c r="DN270" s="11"/>
      <c r="DU270" s="11"/>
    </row>
    <row r="271" ht="15.75" customHeight="1">
      <c r="C271" s="8"/>
      <c r="BJ271" s="11"/>
      <c r="BX271" s="11"/>
      <c r="CE271" s="11"/>
      <c r="CL271" s="11"/>
      <c r="CS271" s="11"/>
      <c r="CZ271" s="11"/>
      <c r="DG271" s="11"/>
      <c r="DN271" s="11"/>
      <c r="DU271" s="11"/>
    </row>
    <row r="272" ht="15.75" customHeight="1">
      <c r="C272" s="8"/>
      <c r="BJ272" s="11"/>
      <c r="BX272" s="11"/>
      <c r="CE272" s="11"/>
      <c r="CL272" s="11"/>
      <c r="CS272" s="11"/>
      <c r="CZ272" s="11"/>
      <c r="DG272" s="11"/>
      <c r="DN272" s="11"/>
      <c r="DU272" s="11"/>
    </row>
    <row r="273" ht="15.75" customHeight="1">
      <c r="C273" s="8"/>
      <c r="BJ273" s="11"/>
      <c r="BX273" s="11"/>
      <c r="CE273" s="11"/>
      <c r="CL273" s="11"/>
      <c r="CS273" s="11"/>
      <c r="CZ273" s="11"/>
      <c r="DG273" s="11"/>
      <c r="DN273" s="11"/>
      <c r="DU273" s="11"/>
    </row>
    <row r="274" ht="15.75" customHeight="1">
      <c r="C274" s="8"/>
      <c r="BJ274" s="11"/>
      <c r="BX274" s="11"/>
      <c r="CE274" s="11"/>
      <c r="CL274" s="11"/>
      <c r="CS274" s="11"/>
      <c r="CZ274" s="11"/>
      <c r="DG274" s="11"/>
      <c r="DN274" s="11"/>
      <c r="DU274" s="11"/>
    </row>
    <row r="275" ht="15.75" customHeight="1">
      <c r="C275" s="8"/>
      <c r="BJ275" s="11"/>
      <c r="BX275" s="11"/>
      <c r="CE275" s="11"/>
      <c r="CL275" s="11"/>
      <c r="CS275" s="11"/>
      <c r="CZ275" s="11"/>
      <c r="DG275" s="11"/>
      <c r="DN275" s="11"/>
      <c r="DU275" s="11"/>
    </row>
    <row r="276" ht="15.75" customHeight="1">
      <c r="C276" s="8"/>
      <c r="BJ276" s="11"/>
      <c r="BX276" s="11"/>
      <c r="CE276" s="11"/>
      <c r="CL276" s="11"/>
      <c r="CS276" s="11"/>
      <c r="CZ276" s="11"/>
      <c r="DG276" s="11"/>
      <c r="DN276" s="11"/>
      <c r="DU276" s="11"/>
    </row>
    <row r="277" ht="15.75" customHeight="1">
      <c r="C277" s="8"/>
      <c r="BJ277" s="11"/>
      <c r="BX277" s="11"/>
      <c r="CE277" s="11"/>
      <c r="CL277" s="11"/>
      <c r="CS277" s="11"/>
      <c r="CZ277" s="11"/>
      <c r="DG277" s="11"/>
      <c r="DN277" s="11"/>
      <c r="DU277" s="11"/>
    </row>
    <row r="278" ht="15.75" customHeight="1">
      <c r="C278" s="8"/>
      <c r="BJ278" s="11"/>
      <c r="BX278" s="11"/>
      <c r="CE278" s="11"/>
      <c r="CL278" s="11"/>
      <c r="CS278" s="11"/>
      <c r="CZ278" s="11"/>
      <c r="DG278" s="11"/>
      <c r="DN278" s="11"/>
      <c r="DU278" s="11"/>
    </row>
    <row r="279" ht="15.75" customHeight="1">
      <c r="C279" s="8"/>
      <c r="BJ279" s="11"/>
      <c r="BX279" s="11"/>
      <c r="CE279" s="11"/>
      <c r="CL279" s="11"/>
      <c r="CS279" s="11"/>
      <c r="CZ279" s="11"/>
      <c r="DG279" s="11"/>
      <c r="DN279" s="11"/>
      <c r="DU279" s="11"/>
    </row>
    <row r="280" ht="15.75" customHeight="1">
      <c r="C280" s="8"/>
      <c r="BJ280" s="11"/>
      <c r="BX280" s="11"/>
      <c r="CE280" s="11"/>
      <c r="CL280" s="11"/>
      <c r="CS280" s="11"/>
      <c r="CZ280" s="11"/>
      <c r="DG280" s="11"/>
      <c r="DN280" s="11"/>
      <c r="DU280" s="11"/>
    </row>
    <row r="281" ht="15.75" customHeight="1">
      <c r="C281" s="8"/>
      <c r="BJ281" s="11"/>
      <c r="BX281" s="11"/>
      <c r="CE281" s="11"/>
      <c r="CL281" s="11"/>
      <c r="CS281" s="11"/>
      <c r="CZ281" s="11"/>
      <c r="DG281" s="11"/>
      <c r="DN281" s="11"/>
      <c r="DU281" s="11"/>
    </row>
    <row r="282" ht="15.75" customHeight="1">
      <c r="C282" s="8"/>
      <c r="BJ282" s="11"/>
      <c r="BX282" s="11"/>
      <c r="CE282" s="11"/>
      <c r="CL282" s="11"/>
      <c r="CS282" s="11"/>
      <c r="CZ282" s="11"/>
      <c r="DG282" s="11"/>
      <c r="DN282" s="11"/>
      <c r="DU282" s="11"/>
    </row>
    <row r="283" ht="15.75" customHeight="1">
      <c r="C283" s="8"/>
      <c r="BJ283" s="11"/>
      <c r="BX283" s="11"/>
      <c r="CE283" s="11"/>
      <c r="CL283" s="11"/>
      <c r="CS283" s="11"/>
      <c r="CZ283" s="11"/>
      <c r="DG283" s="11"/>
      <c r="DN283" s="11"/>
      <c r="DU283" s="11"/>
    </row>
    <row r="284" ht="15.75" customHeight="1">
      <c r="C284" s="8"/>
      <c r="BJ284" s="11"/>
      <c r="BX284" s="11"/>
      <c r="CE284" s="11"/>
      <c r="CL284" s="11"/>
      <c r="CS284" s="11"/>
      <c r="CZ284" s="11"/>
      <c r="DG284" s="11"/>
      <c r="DN284" s="11"/>
      <c r="DU284" s="11"/>
    </row>
    <row r="285" ht="15.75" customHeight="1">
      <c r="C285" s="8"/>
      <c r="BJ285" s="11"/>
      <c r="BX285" s="11"/>
      <c r="CE285" s="11"/>
      <c r="CL285" s="11"/>
      <c r="CS285" s="11"/>
      <c r="CZ285" s="11"/>
      <c r="DG285" s="11"/>
      <c r="DN285" s="11"/>
      <c r="DU285" s="11"/>
    </row>
    <row r="286" ht="15.75" customHeight="1">
      <c r="C286" s="8"/>
      <c r="BJ286" s="11"/>
      <c r="BX286" s="11"/>
      <c r="CE286" s="11"/>
      <c r="CL286" s="11"/>
      <c r="CS286" s="11"/>
      <c r="CZ286" s="11"/>
      <c r="DG286" s="11"/>
      <c r="DN286" s="11"/>
      <c r="DU286" s="11"/>
    </row>
    <row r="287" ht="15.75" customHeight="1">
      <c r="C287" s="8"/>
      <c r="BJ287" s="11"/>
      <c r="BX287" s="11"/>
      <c r="CE287" s="11"/>
      <c r="CL287" s="11"/>
      <c r="CS287" s="11"/>
      <c r="CZ287" s="11"/>
      <c r="DG287" s="11"/>
      <c r="DN287" s="11"/>
      <c r="DU287" s="11"/>
    </row>
    <row r="288" ht="15.75" customHeight="1">
      <c r="C288" s="8"/>
      <c r="BJ288" s="11"/>
      <c r="BX288" s="11"/>
      <c r="CE288" s="11"/>
      <c r="CL288" s="11"/>
      <c r="CS288" s="11"/>
      <c r="CZ288" s="11"/>
      <c r="DG288" s="11"/>
      <c r="DN288" s="11"/>
      <c r="DU288" s="11"/>
    </row>
    <row r="289" ht="15.75" customHeight="1">
      <c r="C289" s="8"/>
      <c r="BJ289" s="11"/>
      <c r="BX289" s="11"/>
      <c r="CE289" s="11"/>
      <c r="CL289" s="11"/>
      <c r="CS289" s="11"/>
      <c r="CZ289" s="11"/>
      <c r="DG289" s="11"/>
      <c r="DN289" s="11"/>
      <c r="DU289" s="11"/>
    </row>
    <row r="290" ht="15.75" customHeight="1">
      <c r="C290" s="8"/>
      <c r="BJ290" s="11"/>
      <c r="BX290" s="11"/>
      <c r="CE290" s="11"/>
      <c r="CL290" s="11"/>
      <c r="CS290" s="11"/>
      <c r="CZ290" s="11"/>
      <c r="DG290" s="11"/>
      <c r="DN290" s="11"/>
      <c r="DU290" s="11"/>
    </row>
    <row r="291" ht="15.75" customHeight="1">
      <c r="C291" s="8"/>
      <c r="BJ291" s="11"/>
      <c r="BX291" s="11"/>
      <c r="CE291" s="11"/>
      <c r="CL291" s="11"/>
      <c r="CS291" s="11"/>
      <c r="CZ291" s="11"/>
      <c r="DG291" s="11"/>
      <c r="DN291" s="11"/>
      <c r="DU291" s="11"/>
    </row>
    <row r="292" ht="15.75" customHeight="1">
      <c r="C292" s="8"/>
      <c r="BJ292" s="11"/>
      <c r="BX292" s="11"/>
      <c r="CE292" s="11"/>
      <c r="CL292" s="11"/>
      <c r="CS292" s="11"/>
      <c r="CZ292" s="11"/>
      <c r="DG292" s="11"/>
      <c r="DN292" s="11"/>
      <c r="DU292" s="11"/>
    </row>
    <row r="293" ht="15.75" customHeight="1">
      <c r="C293" s="8"/>
      <c r="BJ293" s="11"/>
      <c r="BX293" s="11"/>
      <c r="CE293" s="11"/>
      <c r="CL293" s="11"/>
      <c r="CS293" s="11"/>
      <c r="CZ293" s="11"/>
      <c r="DG293" s="11"/>
      <c r="DN293" s="11"/>
      <c r="DU293" s="11"/>
    </row>
    <row r="294" ht="15.75" customHeight="1">
      <c r="C294" s="8"/>
      <c r="BJ294" s="11"/>
      <c r="BX294" s="11"/>
      <c r="CE294" s="11"/>
      <c r="CL294" s="11"/>
      <c r="CS294" s="11"/>
      <c r="CZ294" s="11"/>
      <c r="DG294" s="11"/>
      <c r="DN294" s="11"/>
      <c r="DU294" s="11"/>
    </row>
    <row r="295" ht="15.75" customHeight="1">
      <c r="C295" s="8"/>
      <c r="BJ295" s="11"/>
      <c r="BX295" s="11"/>
      <c r="CE295" s="11"/>
      <c r="CL295" s="11"/>
      <c r="CS295" s="11"/>
      <c r="CZ295" s="11"/>
      <c r="DG295" s="11"/>
      <c r="DN295" s="11"/>
      <c r="DU295" s="11"/>
    </row>
    <row r="296" ht="15.75" customHeight="1">
      <c r="C296" s="8"/>
      <c r="BJ296" s="11"/>
      <c r="BX296" s="11"/>
      <c r="CE296" s="11"/>
      <c r="CL296" s="11"/>
      <c r="CS296" s="11"/>
      <c r="CZ296" s="11"/>
      <c r="DG296" s="11"/>
      <c r="DN296" s="11"/>
      <c r="DU296" s="11"/>
    </row>
    <row r="297" ht="15.75" customHeight="1">
      <c r="C297" s="8"/>
      <c r="BJ297" s="11"/>
      <c r="BX297" s="11"/>
      <c r="CE297" s="11"/>
      <c r="CL297" s="11"/>
      <c r="CS297" s="11"/>
      <c r="CZ297" s="11"/>
      <c r="DG297" s="11"/>
      <c r="DN297" s="11"/>
      <c r="DU297" s="11"/>
    </row>
    <row r="298" ht="15.75" customHeight="1">
      <c r="C298" s="8"/>
      <c r="BJ298" s="11"/>
      <c r="BX298" s="11"/>
      <c r="CE298" s="11"/>
      <c r="CL298" s="11"/>
      <c r="CS298" s="11"/>
      <c r="CZ298" s="11"/>
      <c r="DG298" s="11"/>
      <c r="DN298" s="11"/>
      <c r="DU298" s="11"/>
    </row>
    <row r="299" ht="15.75" customHeight="1">
      <c r="C299" s="8"/>
      <c r="BJ299" s="11"/>
      <c r="BX299" s="11"/>
      <c r="CE299" s="11"/>
      <c r="CL299" s="11"/>
      <c r="CS299" s="11"/>
      <c r="CZ299" s="11"/>
      <c r="DG299" s="11"/>
      <c r="DN299" s="11"/>
      <c r="DU299" s="11"/>
    </row>
    <row r="300" ht="15.75" customHeight="1">
      <c r="C300" s="8"/>
      <c r="BJ300" s="11"/>
      <c r="BX300" s="11"/>
      <c r="CE300" s="11"/>
      <c r="CL300" s="11"/>
      <c r="CS300" s="11"/>
      <c r="CZ300" s="11"/>
      <c r="DG300" s="11"/>
      <c r="DN300" s="11"/>
      <c r="DU300" s="11"/>
    </row>
    <row r="301" ht="15.75" customHeight="1">
      <c r="C301" s="8"/>
      <c r="BJ301" s="11"/>
      <c r="BX301" s="11"/>
      <c r="CE301" s="11"/>
      <c r="CL301" s="11"/>
      <c r="CS301" s="11"/>
      <c r="CZ301" s="11"/>
      <c r="DG301" s="11"/>
      <c r="DN301" s="11"/>
      <c r="DU301" s="11"/>
    </row>
    <row r="302" ht="15.75" customHeight="1">
      <c r="C302" s="8"/>
      <c r="BJ302" s="11"/>
      <c r="BX302" s="11"/>
      <c r="CE302" s="11"/>
      <c r="CL302" s="11"/>
      <c r="CS302" s="11"/>
      <c r="CZ302" s="11"/>
      <c r="DG302" s="11"/>
      <c r="DN302" s="11"/>
      <c r="DU302" s="11"/>
    </row>
    <row r="303" ht="15.75" customHeight="1">
      <c r="C303" s="8"/>
      <c r="BJ303" s="11"/>
      <c r="BX303" s="11"/>
      <c r="CE303" s="11"/>
      <c r="CL303" s="11"/>
      <c r="CS303" s="11"/>
      <c r="CZ303" s="11"/>
      <c r="DG303" s="11"/>
      <c r="DN303" s="11"/>
      <c r="DU303" s="11"/>
    </row>
    <row r="304" ht="15.75" customHeight="1">
      <c r="C304" s="8"/>
      <c r="BJ304" s="11"/>
      <c r="BX304" s="11"/>
      <c r="CE304" s="11"/>
      <c r="CL304" s="11"/>
      <c r="CS304" s="11"/>
      <c r="CZ304" s="11"/>
      <c r="DG304" s="11"/>
      <c r="DN304" s="11"/>
      <c r="DU304" s="11"/>
    </row>
    <row r="305" ht="15.75" customHeight="1">
      <c r="C305" s="8"/>
      <c r="BJ305" s="11"/>
      <c r="BX305" s="11"/>
      <c r="CE305" s="11"/>
      <c r="CL305" s="11"/>
      <c r="CS305" s="11"/>
      <c r="CZ305" s="11"/>
      <c r="DG305" s="11"/>
      <c r="DN305" s="11"/>
      <c r="DU305" s="11"/>
    </row>
    <row r="306" ht="15.75" customHeight="1">
      <c r="C306" s="8"/>
      <c r="BJ306" s="11"/>
      <c r="BX306" s="11"/>
      <c r="CE306" s="11"/>
      <c r="CL306" s="11"/>
      <c r="CS306" s="11"/>
      <c r="CZ306" s="11"/>
      <c r="DG306" s="11"/>
      <c r="DN306" s="11"/>
      <c r="DU306" s="11"/>
    </row>
    <row r="307" ht="15.75" customHeight="1">
      <c r="C307" s="8"/>
      <c r="BJ307" s="11"/>
      <c r="BX307" s="11"/>
      <c r="CE307" s="11"/>
      <c r="CL307" s="11"/>
      <c r="CS307" s="11"/>
      <c r="CZ307" s="11"/>
      <c r="DG307" s="11"/>
      <c r="DN307" s="11"/>
      <c r="DU307" s="11"/>
    </row>
    <row r="308" ht="15.75" customHeight="1">
      <c r="C308" s="8"/>
      <c r="BJ308" s="11"/>
      <c r="BX308" s="11"/>
      <c r="CE308" s="11"/>
      <c r="CL308" s="11"/>
      <c r="CS308" s="11"/>
      <c r="CZ308" s="11"/>
      <c r="DG308" s="11"/>
      <c r="DN308" s="11"/>
      <c r="DU308" s="11"/>
    </row>
    <row r="309" ht="15.75" customHeight="1">
      <c r="C309" s="8"/>
      <c r="BJ309" s="11"/>
      <c r="BX309" s="11"/>
      <c r="CE309" s="11"/>
      <c r="CL309" s="11"/>
      <c r="CS309" s="11"/>
      <c r="CZ309" s="11"/>
      <c r="DG309" s="11"/>
      <c r="DN309" s="11"/>
      <c r="DU309" s="11"/>
    </row>
    <row r="310" ht="15.75" customHeight="1">
      <c r="C310" s="8"/>
      <c r="BJ310" s="11"/>
      <c r="BX310" s="11"/>
      <c r="CE310" s="11"/>
      <c r="CL310" s="11"/>
      <c r="CS310" s="11"/>
      <c r="CZ310" s="11"/>
      <c r="DG310" s="11"/>
      <c r="DN310" s="11"/>
      <c r="DU310" s="11"/>
    </row>
    <row r="311" ht="15.75" customHeight="1">
      <c r="C311" s="8"/>
      <c r="BJ311" s="11"/>
      <c r="BX311" s="11"/>
      <c r="CE311" s="11"/>
      <c r="CL311" s="11"/>
      <c r="CS311" s="11"/>
      <c r="CZ311" s="11"/>
      <c r="DG311" s="11"/>
      <c r="DN311" s="11"/>
      <c r="DU311" s="11"/>
    </row>
    <row r="312" ht="15.75" customHeight="1">
      <c r="C312" s="8"/>
      <c r="BJ312" s="11"/>
      <c r="BX312" s="11"/>
      <c r="CE312" s="11"/>
      <c r="CL312" s="11"/>
      <c r="CS312" s="11"/>
      <c r="CZ312" s="11"/>
      <c r="DG312" s="11"/>
      <c r="DN312" s="11"/>
      <c r="DU312" s="11"/>
    </row>
    <row r="313" ht="15.75" customHeight="1">
      <c r="C313" s="8"/>
      <c r="BJ313" s="11"/>
      <c r="BX313" s="11"/>
      <c r="CE313" s="11"/>
      <c r="CL313" s="11"/>
      <c r="CS313" s="11"/>
      <c r="CZ313" s="11"/>
      <c r="DG313" s="11"/>
      <c r="DN313" s="11"/>
      <c r="DU313" s="11"/>
    </row>
    <row r="314" ht="15.75" customHeight="1">
      <c r="C314" s="8"/>
      <c r="BJ314" s="11"/>
      <c r="BX314" s="11"/>
      <c r="CE314" s="11"/>
      <c r="CL314" s="11"/>
      <c r="CS314" s="11"/>
      <c r="CZ314" s="11"/>
      <c r="DG314" s="11"/>
      <c r="DN314" s="11"/>
      <c r="DU314" s="11"/>
    </row>
    <row r="315" ht="15.75" customHeight="1">
      <c r="C315" s="8"/>
      <c r="BJ315" s="11"/>
      <c r="BX315" s="11"/>
      <c r="CE315" s="11"/>
      <c r="CL315" s="11"/>
      <c r="CS315" s="11"/>
      <c r="CZ315" s="11"/>
      <c r="DG315" s="11"/>
      <c r="DN315" s="11"/>
      <c r="DU315" s="11"/>
    </row>
    <row r="316" ht="15.75" customHeight="1">
      <c r="C316" s="8"/>
      <c r="BJ316" s="11"/>
      <c r="BX316" s="11"/>
      <c r="CE316" s="11"/>
      <c r="CL316" s="11"/>
      <c r="CS316" s="11"/>
      <c r="CZ316" s="11"/>
      <c r="DG316" s="11"/>
      <c r="DN316" s="11"/>
      <c r="DU316" s="11"/>
    </row>
    <row r="317" ht="15.75" customHeight="1">
      <c r="C317" s="8"/>
      <c r="BJ317" s="11"/>
      <c r="BX317" s="11"/>
      <c r="CE317" s="11"/>
      <c r="CL317" s="11"/>
      <c r="CS317" s="11"/>
      <c r="CZ317" s="11"/>
      <c r="DG317" s="11"/>
      <c r="DN317" s="11"/>
      <c r="DU317" s="11"/>
    </row>
    <row r="318" ht="15.75" customHeight="1">
      <c r="C318" s="8"/>
      <c r="BJ318" s="11"/>
      <c r="BX318" s="11"/>
      <c r="CE318" s="11"/>
      <c r="CL318" s="11"/>
      <c r="CS318" s="11"/>
      <c r="CZ318" s="11"/>
      <c r="DG318" s="11"/>
      <c r="DN318" s="11"/>
      <c r="DU318" s="11"/>
    </row>
    <row r="319" ht="15.75" customHeight="1">
      <c r="C319" s="8"/>
      <c r="BJ319" s="11"/>
      <c r="BX319" s="11"/>
      <c r="CE319" s="11"/>
      <c r="CL319" s="11"/>
      <c r="CS319" s="11"/>
      <c r="CZ319" s="11"/>
      <c r="DG319" s="11"/>
      <c r="DN319" s="11"/>
      <c r="DU319" s="11"/>
    </row>
    <row r="320" ht="15.75" customHeight="1">
      <c r="C320" s="8"/>
      <c r="BJ320" s="11"/>
      <c r="BX320" s="11"/>
      <c r="CE320" s="11"/>
      <c r="CL320" s="11"/>
      <c r="CS320" s="11"/>
      <c r="CZ320" s="11"/>
      <c r="DG320" s="11"/>
      <c r="DN320" s="11"/>
      <c r="DU320" s="11"/>
    </row>
    <row r="321" ht="15.75" customHeight="1">
      <c r="C321" s="8"/>
      <c r="BJ321" s="11"/>
      <c r="BX321" s="11"/>
      <c r="CE321" s="11"/>
      <c r="CL321" s="11"/>
      <c r="CS321" s="11"/>
      <c r="CZ321" s="11"/>
      <c r="DG321" s="11"/>
      <c r="DN321" s="11"/>
      <c r="DU321" s="11"/>
    </row>
    <row r="322" ht="15.75" customHeight="1">
      <c r="C322" s="8"/>
      <c r="BJ322" s="11"/>
      <c r="BX322" s="11"/>
      <c r="CE322" s="11"/>
      <c r="CL322" s="11"/>
      <c r="CS322" s="11"/>
      <c r="CZ322" s="11"/>
      <c r="DG322" s="11"/>
      <c r="DN322" s="11"/>
      <c r="DU322" s="11"/>
    </row>
    <row r="323" ht="15.75" customHeight="1">
      <c r="C323" s="8"/>
      <c r="BJ323" s="11"/>
      <c r="BX323" s="11"/>
      <c r="CE323" s="11"/>
      <c r="CL323" s="11"/>
      <c r="CS323" s="11"/>
      <c r="CZ323" s="11"/>
      <c r="DG323" s="11"/>
      <c r="DN323" s="11"/>
      <c r="DU323" s="11"/>
    </row>
    <row r="324" ht="15.75" customHeight="1">
      <c r="C324" s="8"/>
      <c r="BJ324" s="11"/>
      <c r="BX324" s="11"/>
      <c r="CE324" s="11"/>
      <c r="CL324" s="11"/>
      <c r="CS324" s="11"/>
      <c r="CZ324" s="11"/>
      <c r="DG324" s="11"/>
      <c r="DN324" s="11"/>
      <c r="DU324" s="11"/>
    </row>
    <row r="325" ht="15.75" customHeight="1">
      <c r="C325" s="8"/>
      <c r="BJ325" s="11"/>
      <c r="BX325" s="11"/>
      <c r="CE325" s="11"/>
      <c r="CL325" s="11"/>
      <c r="CS325" s="11"/>
      <c r="CZ325" s="11"/>
      <c r="DG325" s="11"/>
      <c r="DN325" s="11"/>
      <c r="DU325" s="11"/>
    </row>
    <row r="326" ht="15.75" customHeight="1">
      <c r="C326" s="8"/>
      <c r="BJ326" s="11"/>
      <c r="BX326" s="11"/>
      <c r="CE326" s="11"/>
      <c r="CL326" s="11"/>
      <c r="CS326" s="11"/>
      <c r="CZ326" s="11"/>
      <c r="DG326" s="11"/>
      <c r="DN326" s="11"/>
      <c r="DU326" s="11"/>
    </row>
    <row r="327" ht="15.75" customHeight="1">
      <c r="C327" s="8"/>
      <c r="BJ327" s="11"/>
      <c r="BX327" s="11"/>
      <c r="CE327" s="11"/>
      <c r="CL327" s="11"/>
      <c r="CS327" s="11"/>
      <c r="CZ327" s="11"/>
      <c r="DG327" s="11"/>
      <c r="DN327" s="11"/>
      <c r="DU327" s="11"/>
    </row>
    <row r="328" ht="15.75" customHeight="1">
      <c r="C328" s="8"/>
      <c r="BJ328" s="11"/>
      <c r="BX328" s="11"/>
      <c r="CE328" s="11"/>
      <c r="CL328" s="11"/>
      <c r="CS328" s="11"/>
      <c r="CZ328" s="11"/>
      <c r="DG328" s="11"/>
      <c r="DN328" s="11"/>
      <c r="DU328" s="11"/>
    </row>
    <row r="329" ht="15.75" customHeight="1">
      <c r="C329" s="8"/>
      <c r="BJ329" s="11"/>
      <c r="BX329" s="11"/>
      <c r="CE329" s="11"/>
      <c r="CL329" s="11"/>
      <c r="CS329" s="11"/>
      <c r="CZ329" s="11"/>
      <c r="DG329" s="11"/>
      <c r="DN329" s="11"/>
      <c r="DU329" s="11"/>
    </row>
    <row r="330" ht="15.75" customHeight="1">
      <c r="C330" s="8"/>
      <c r="BJ330" s="11"/>
      <c r="BX330" s="11"/>
      <c r="CE330" s="11"/>
      <c r="CL330" s="11"/>
      <c r="CS330" s="11"/>
      <c r="CZ330" s="11"/>
      <c r="DG330" s="11"/>
      <c r="DN330" s="11"/>
      <c r="DU330" s="11"/>
    </row>
    <row r="331" ht="15.75" customHeight="1">
      <c r="C331" s="8"/>
      <c r="BJ331" s="11"/>
      <c r="BX331" s="11"/>
      <c r="CE331" s="11"/>
      <c r="CL331" s="11"/>
      <c r="CS331" s="11"/>
      <c r="CZ331" s="11"/>
      <c r="DG331" s="11"/>
      <c r="DN331" s="11"/>
      <c r="DU331" s="11"/>
    </row>
    <row r="332" ht="15.75" customHeight="1">
      <c r="C332" s="8"/>
      <c r="BJ332" s="11"/>
      <c r="BX332" s="11"/>
      <c r="CE332" s="11"/>
      <c r="CL332" s="11"/>
      <c r="CS332" s="11"/>
      <c r="CZ332" s="11"/>
      <c r="DG332" s="11"/>
      <c r="DN332" s="11"/>
      <c r="DU332" s="11"/>
    </row>
    <row r="333" ht="15.75" customHeight="1">
      <c r="C333" s="8"/>
      <c r="BJ333" s="11"/>
      <c r="BX333" s="11"/>
      <c r="CE333" s="11"/>
      <c r="CL333" s="11"/>
      <c r="CS333" s="11"/>
      <c r="CZ333" s="11"/>
      <c r="DG333" s="11"/>
      <c r="DN333" s="11"/>
      <c r="DU333" s="11"/>
    </row>
    <row r="334" ht="15.75" customHeight="1">
      <c r="C334" s="8"/>
      <c r="BJ334" s="11"/>
      <c r="BX334" s="11"/>
      <c r="CE334" s="11"/>
      <c r="CL334" s="11"/>
      <c r="CS334" s="11"/>
      <c r="CZ334" s="11"/>
      <c r="DG334" s="11"/>
      <c r="DN334" s="11"/>
      <c r="DU334" s="11"/>
    </row>
    <row r="335" ht="15.75" customHeight="1">
      <c r="C335" s="8"/>
      <c r="BJ335" s="11"/>
      <c r="BX335" s="11"/>
      <c r="CE335" s="11"/>
      <c r="CL335" s="11"/>
      <c r="CS335" s="11"/>
      <c r="CZ335" s="11"/>
      <c r="DG335" s="11"/>
      <c r="DN335" s="11"/>
      <c r="DU335" s="11"/>
    </row>
    <row r="336" ht="15.75" customHeight="1">
      <c r="C336" s="8"/>
      <c r="BJ336" s="11"/>
      <c r="BX336" s="11"/>
      <c r="CE336" s="11"/>
      <c r="CL336" s="11"/>
      <c r="CS336" s="11"/>
      <c r="CZ336" s="11"/>
      <c r="DG336" s="11"/>
      <c r="DN336" s="11"/>
      <c r="DU336" s="11"/>
    </row>
    <row r="337" ht="15.75" customHeight="1">
      <c r="C337" s="8"/>
      <c r="BJ337" s="11"/>
      <c r="BX337" s="11"/>
      <c r="CE337" s="11"/>
      <c r="CL337" s="11"/>
      <c r="CS337" s="11"/>
      <c r="CZ337" s="11"/>
      <c r="DG337" s="11"/>
      <c r="DN337" s="11"/>
      <c r="DU337" s="11"/>
    </row>
    <row r="338" ht="15.75" customHeight="1">
      <c r="C338" s="8"/>
      <c r="BJ338" s="11"/>
      <c r="BX338" s="11"/>
      <c r="CE338" s="11"/>
      <c r="CL338" s="11"/>
      <c r="CS338" s="11"/>
      <c r="CZ338" s="11"/>
      <c r="DG338" s="11"/>
      <c r="DN338" s="11"/>
      <c r="DU338" s="11"/>
    </row>
    <row r="339" ht="15.75" customHeight="1">
      <c r="C339" s="8"/>
      <c r="BJ339" s="11"/>
      <c r="BX339" s="11"/>
      <c r="CE339" s="11"/>
      <c r="CL339" s="11"/>
      <c r="CS339" s="11"/>
      <c r="CZ339" s="11"/>
      <c r="DG339" s="11"/>
      <c r="DN339" s="11"/>
      <c r="DU339" s="11"/>
    </row>
    <row r="340" ht="15.75" customHeight="1">
      <c r="C340" s="8"/>
      <c r="BJ340" s="11"/>
      <c r="BX340" s="11"/>
      <c r="CE340" s="11"/>
      <c r="CL340" s="11"/>
      <c r="CS340" s="11"/>
      <c r="CZ340" s="11"/>
      <c r="DG340" s="11"/>
      <c r="DN340" s="11"/>
      <c r="DU340" s="11"/>
    </row>
    <row r="341" ht="15.75" customHeight="1">
      <c r="C341" s="8"/>
      <c r="BJ341" s="11"/>
      <c r="BX341" s="11"/>
      <c r="CE341" s="11"/>
      <c r="CL341" s="11"/>
      <c r="CS341" s="11"/>
      <c r="CZ341" s="11"/>
      <c r="DG341" s="11"/>
      <c r="DN341" s="11"/>
      <c r="DU341" s="11"/>
    </row>
    <row r="342" ht="15.75" customHeight="1">
      <c r="C342" s="8"/>
      <c r="BJ342" s="11"/>
      <c r="BX342" s="11"/>
      <c r="CE342" s="11"/>
      <c r="CL342" s="11"/>
      <c r="CS342" s="11"/>
      <c r="CZ342" s="11"/>
      <c r="DG342" s="11"/>
      <c r="DN342" s="11"/>
      <c r="DU342" s="11"/>
    </row>
    <row r="343" ht="15.75" customHeight="1">
      <c r="C343" s="8"/>
      <c r="BJ343" s="11"/>
      <c r="BX343" s="11"/>
      <c r="CE343" s="11"/>
      <c r="CL343" s="11"/>
      <c r="CS343" s="11"/>
      <c r="CZ343" s="11"/>
      <c r="DG343" s="11"/>
      <c r="DN343" s="11"/>
      <c r="DU343" s="11"/>
    </row>
    <row r="344" ht="15.75" customHeight="1">
      <c r="C344" s="8"/>
      <c r="BJ344" s="11"/>
      <c r="BX344" s="11"/>
      <c r="CE344" s="11"/>
      <c r="CL344" s="11"/>
      <c r="CS344" s="11"/>
      <c r="CZ344" s="11"/>
      <c r="DG344" s="11"/>
      <c r="DN344" s="11"/>
      <c r="DU344" s="11"/>
    </row>
    <row r="345" ht="15.75" customHeight="1">
      <c r="C345" s="8"/>
      <c r="BJ345" s="11"/>
      <c r="BX345" s="11"/>
      <c r="CE345" s="11"/>
      <c r="CL345" s="11"/>
      <c r="CS345" s="11"/>
      <c r="CZ345" s="11"/>
      <c r="DG345" s="11"/>
      <c r="DN345" s="11"/>
      <c r="DU345" s="11"/>
    </row>
    <row r="346" ht="15.75" customHeight="1">
      <c r="C346" s="8"/>
      <c r="BJ346" s="11"/>
      <c r="BX346" s="11"/>
      <c r="CE346" s="11"/>
      <c r="CL346" s="11"/>
      <c r="CS346" s="11"/>
      <c r="CZ346" s="11"/>
      <c r="DG346" s="11"/>
      <c r="DN346" s="11"/>
      <c r="DU346" s="11"/>
    </row>
    <row r="347" ht="15.75" customHeight="1">
      <c r="C347" s="8"/>
      <c r="BJ347" s="11"/>
      <c r="BX347" s="11"/>
      <c r="CE347" s="11"/>
      <c r="CL347" s="11"/>
      <c r="CS347" s="11"/>
      <c r="CZ347" s="11"/>
      <c r="DG347" s="11"/>
      <c r="DN347" s="11"/>
      <c r="DU347" s="11"/>
    </row>
    <row r="348" ht="15.75" customHeight="1">
      <c r="C348" s="8"/>
      <c r="BJ348" s="11"/>
      <c r="BX348" s="11"/>
      <c r="CE348" s="11"/>
      <c r="CL348" s="11"/>
      <c r="CS348" s="11"/>
      <c r="CZ348" s="11"/>
      <c r="DG348" s="11"/>
      <c r="DN348" s="11"/>
      <c r="DU348" s="11"/>
    </row>
    <row r="349" ht="15.75" customHeight="1">
      <c r="C349" s="8"/>
      <c r="BJ349" s="11"/>
      <c r="BX349" s="11"/>
      <c r="CE349" s="11"/>
      <c r="CL349" s="11"/>
      <c r="CS349" s="11"/>
      <c r="CZ349" s="11"/>
      <c r="DG349" s="11"/>
      <c r="DN349" s="11"/>
      <c r="DU349" s="11"/>
    </row>
    <row r="350" ht="15.75" customHeight="1">
      <c r="C350" s="8"/>
      <c r="BJ350" s="11"/>
      <c r="BX350" s="11"/>
      <c r="CE350" s="11"/>
      <c r="CL350" s="11"/>
      <c r="CS350" s="11"/>
      <c r="CZ350" s="11"/>
      <c r="DG350" s="11"/>
      <c r="DN350" s="11"/>
      <c r="DU350" s="11"/>
    </row>
    <row r="351" ht="15.75" customHeight="1">
      <c r="C351" s="8"/>
      <c r="BJ351" s="11"/>
      <c r="BX351" s="11"/>
      <c r="CE351" s="11"/>
      <c r="CL351" s="11"/>
      <c r="CS351" s="11"/>
      <c r="CZ351" s="11"/>
      <c r="DG351" s="11"/>
      <c r="DN351" s="11"/>
      <c r="DU351" s="11"/>
    </row>
    <row r="352" ht="15.75" customHeight="1">
      <c r="C352" s="8"/>
      <c r="BJ352" s="11"/>
      <c r="BX352" s="11"/>
      <c r="CE352" s="11"/>
      <c r="CL352" s="11"/>
      <c r="CS352" s="11"/>
      <c r="CZ352" s="11"/>
      <c r="DG352" s="11"/>
      <c r="DN352" s="11"/>
      <c r="DU352" s="11"/>
    </row>
    <row r="353" ht="15.75" customHeight="1">
      <c r="C353" s="8"/>
      <c r="BJ353" s="11"/>
      <c r="BX353" s="11"/>
      <c r="CE353" s="11"/>
      <c r="CL353" s="11"/>
      <c r="CS353" s="11"/>
      <c r="CZ353" s="11"/>
      <c r="DG353" s="11"/>
      <c r="DN353" s="11"/>
      <c r="DU353" s="11"/>
    </row>
    <row r="354" ht="15.75" customHeight="1">
      <c r="C354" s="8"/>
      <c r="BJ354" s="11"/>
      <c r="BX354" s="11"/>
      <c r="CE354" s="11"/>
      <c r="CL354" s="11"/>
      <c r="CS354" s="11"/>
      <c r="CZ354" s="11"/>
      <c r="DG354" s="11"/>
      <c r="DN354" s="11"/>
      <c r="DU354" s="11"/>
    </row>
    <row r="355" ht="15.75" customHeight="1">
      <c r="C355" s="8"/>
      <c r="BJ355" s="11"/>
      <c r="BX355" s="11"/>
      <c r="CE355" s="11"/>
      <c r="CL355" s="11"/>
      <c r="CS355" s="11"/>
      <c r="CZ355" s="11"/>
      <c r="DG355" s="11"/>
      <c r="DN355" s="11"/>
      <c r="DU355" s="11"/>
    </row>
    <row r="356" ht="15.75" customHeight="1">
      <c r="C356" s="8"/>
      <c r="BJ356" s="11"/>
      <c r="BX356" s="11"/>
      <c r="CE356" s="11"/>
      <c r="CL356" s="11"/>
      <c r="CS356" s="11"/>
      <c r="CZ356" s="11"/>
      <c r="DG356" s="11"/>
      <c r="DN356" s="11"/>
      <c r="DU356" s="11"/>
    </row>
    <row r="357" ht="15.75" customHeight="1">
      <c r="C357" s="8"/>
      <c r="BJ357" s="11"/>
      <c r="BX357" s="11"/>
      <c r="CE357" s="11"/>
      <c r="CL357" s="11"/>
      <c r="CS357" s="11"/>
      <c r="CZ357" s="11"/>
      <c r="DG357" s="11"/>
      <c r="DN357" s="11"/>
      <c r="DU357" s="11"/>
    </row>
    <row r="358" ht="15.75" customHeight="1">
      <c r="C358" s="8"/>
      <c r="BJ358" s="11"/>
      <c r="BX358" s="11"/>
      <c r="CE358" s="11"/>
      <c r="CL358" s="11"/>
      <c r="CS358" s="11"/>
      <c r="CZ358" s="11"/>
      <c r="DG358" s="11"/>
      <c r="DN358" s="11"/>
      <c r="DU358" s="11"/>
    </row>
    <row r="359" ht="15.75" customHeight="1">
      <c r="C359" s="8"/>
      <c r="BJ359" s="11"/>
      <c r="BX359" s="11"/>
      <c r="CE359" s="11"/>
      <c r="CL359" s="11"/>
      <c r="CS359" s="11"/>
      <c r="CZ359" s="11"/>
      <c r="DG359" s="11"/>
      <c r="DN359" s="11"/>
      <c r="DU359" s="11"/>
    </row>
    <row r="360" ht="15.75" customHeight="1">
      <c r="C360" s="8"/>
      <c r="BJ360" s="11"/>
      <c r="BX360" s="11"/>
      <c r="CE360" s="11"/>
      <c r="CL360" s="11"/>
      <c r="CS360" s="11"/>
      <c r="CZ360" s="11"/>
      <c r="DG360" s="11"/>
      <c r="DN360" s="11"/>
      <c r="DU360" s="11"/>
    </row>
    <row r="361" ht="15.75" customHeight="1">
      <c r="C361" s="8"/>
      <c r="BJ361" s="11"/>
      <c r="BX361" s="11"/>
      <c r="CE361" s="11"/>
      <c r="CL361" s="11"/>
      <c r="CS361" s="11"/>
      <c r="CZ361" s="11"/>
      <c r="DG361" s="11"/>
      <c r="DN361" s="11"/>
      <c r="DU361" s="11"/>
    </row>
    <row r="362" ht="15.75" customHeight="1">
      <c r="C362" s="8"/>
      <c r="BJ362" s="11"/>
      <c r="BX362" s="11"/>
      <c r="CE362" s="11"/>
      <c r="CL362" s="11"/>
      <c r="CS362" s="11"/>
      <c r="CZ362" s="11"/>
      <c r="DG362" s="11"/>
      <c r="DN362" s="11"/>
      <c r="DU362" s="11"/>
    </row>
    <row r="363" ht="15.75" customHeight="1">
      <c r="C363" s="8"/>
      <c r="BJ363" s="11"/>
      <c r="BX363" s="11"/>
      <c r="CE363" s="11"/>
      <c r="CL363" s="11"/>
      <c r="CS363" s="11"/>
      <c r="CZ363" s="11"/>
      <c r="DG363" s="11"/>
      <c r="DN363" s="11"/>
      <c r="DU363" s="11"/>
    </row>
    <row r="364" ht="15.75" customHeight="1">
      <c r="C364" s="8"/>
      <c r="BJ364" s="11"/>
      <c r="BX364" s="11"/>
      <c r="CE364" s="11"/>
      <c r="CL364" s="11"/>
      <c r="CS364" s="11"/>
      <c r="CZ364" s="11"/>
      <c r="DG364" s="11"/>
      <c r="DN364" s="11"/>
      <c r="DU364" s="11"/>
    </row>
    <row r="365" ht="15.75" customHeight="1">
      <c r="C365" s="8"/>
      <c r="BJ365" s="11"/>
      <c r="BX365" s="11"/>
      <c r="CE365" s="11"/>
      <c r="CL365" s="11"/>
      <c r="CS365" s="11"/>
      <c r="CZ365" s="11"/>
      <c r="DG365" s="11"/>
      <c r="DN365" s="11"/>
      <c r="DU365" s="11"/>
    </row>
    <row r="366" ht="15.75" customHeight="1">
      <c r="C366" s="8"/>
      <c r="BJ366" s="11"/>
      <c r="BX366" s="11"/>
      <c r="CE366" s="11"/>
      <c r="CL366" s="11"/>
      <c r="CS366" s="11"/>
      <c r="CZ366" s="11"/>
      <c r="DG366" s="11"/>
      <c r="DN366" s="11"/>
      <c r="DU366" s="11"/>
    </row>
    <row r="367" ht="15.75" customHeight="1">
      <c r="C367" s="8"/>
      <c r="BJ367" s="11"/>
      <c r="BX367" s="11"/>
      <c r="CE367" s="11"/>
      <c r="CL367" s="11"/>
      <c r="CS367" s="11"/>
      <c r="CZ367" s="11"/>
      <c r="DG367" s="11"/>
      <c r="DN367" s="11"/>
      <c r="DU367" s="11"/>
    </row>
    <row r="368" ht="15.75" customHeight="1">
      <c r="C368" s="8"/>
      <c r="BJ368" s="11"/>
      <c r="BX368" s="11"/>
      <c r="CE368" s="11"/>
      <c r="CL368" s="11"/>
      <c r="CS368" s="11"/>
      <c r="CZ368" s="11"/>
      <c r="DG368" s="11"/>
      <c r="DN368" s="11"/>
      <c r="DU368" s="11"/>
    </row>
    <row r="369" ht="15.75" customHeight="1">
      <c r="C369" s="8"/>
      <c r="BJ369" s="11"/>
      <c r="BX369" s="11"/>
      <c r="CE369" s="11"/>
      <c r="CL369" s="11"/>
      <c r="CS369" s="11"/>
      <c r="CZ369" s="11"/>
      <c r="DG369" s="11"/>
      <c r="DN369" s="11"/>
      <c r="DU369" s="11"/>
    </row>
    <row r="370" ht="15.75" customHeight="1">
      <c r="C370" s="8"/>
      <c r="BJ370" s="11"/>
      <c r="BX370" s="11"/>
      <c r="CE370" s="11"/>
      <c r="CL370" s="11"/>
      <c r="CS370" s="11"/>
      <c r="CZ370" s="11"/>
      <c r="DG370" s="11"/>
      <c r="DN370" s="11"/>
      <c r="DU370" s="11"/>
    </row>
    <row r="371" ht="15.75" customHeight="1">
      <c r="C371" s="8"/>
      <c r="BJ371" s="11"/>
      <c r="BX371" s="11"/>
      <c r="CE371" s="11"/>
      <c r="CL371" s="11"/>
      <c r="CS371" s="11"/>
      <c r="CZ371" s="11"/>
      <c r="DG371" s="11"/>
      <c r="DN371" s="11"/>
      <c r="DU371" s="11"/>
    </row>
    <row r="372" ht="15.75" customHeight="1">
      <c r="C372" s="8"/>
      <c r="BJ372" s="11"/>
      <c r="BX372" s="11"/>
      <c r="CE372" s="11"/>
      <c r="CL372" s="11"/>
      <c r="CS372" s="11"/>
      <c r="CZ372" s="11"/>
      <c r="DG372" s="11"/>
      <c r="DN372" s="11"/>
      <c r="DU372" s="11"/>
    </row>
    <row r="373" ht="15.75" customHeight="1">
      <c r="C373" s="8"/>
      <c r="BJ373" s="11"/>
      <c r="BX373" s="11"/>
      <c r="CE373" s="11"/>
      <c r="CL373" s="11"/>
      <c r="CS373" s="11"/>
      <c r="CZ373" s="11"/>
      <c r="DG373" s="11"/>
      <c r="DN373" s="11"/>
      <c r="DU373" s="11"/>
    </row>
    <row r="374" ht="15.75" customHeight="1">
      <c r="C374" s="8"/>
      <c r="BJ374" s="11"/>
      <c r="BX374" s="11"/>
      <c r="CE374" s="11"/>
      <c r="CL374" s="11"/>
      <c r="CS374" s="11"/>
      <c r="CZ374" s="11"/>
      <c r="DG374" s="11"/>
      <c r="DN374" s="11"/>
      <c r="DU374" s="11"/>
    </row>
    <row r="375" ht="15.75" customHeight="1">
      <c r="C375" s="8"/>
      <c r="BJ375" s="11"/>
      <c r="BX375" s="11"/>
      <c r="CE375" s="11"/>
      <c r="CL375" s="11"/>
      <c r="CS375" s="11"/>
      <c r="CZ375" s="11"/>
      <c r="DG375" s="11"/>
      <c r="DN375" s="11"/>
      <c r="DU375" s="11"/>
    </row>
    <row r="376" ht="15.75" customHeight="1">
      <c r="C376" s="8"/>
      <c r="BJ376" s="11"/>
      <c r="BX376" s="11"/>
      <c r="CE376" s="11"/>
      <c r="CL376" s="11"/>
      <c r="CS376" s="11"/>
      <c r="CZ376" s="11"/>
      <c r="DG376" s="11"/>
      <c r="DN376" s="11"/>
      <c r="DU376" s="11"/>
    </row>
    <row r="377" ht="15.75" customHeight="1">
      <c r="C377" s="8"/>
      <c r="BJ377" s="11"/>
      <c r="BX377" s="11"/>
      <c r="CE377" s="11"/>
      <c r="CL377" s="11"/>
      <c r="CS377" s="11"/>
      <c r="CZ377" s="11"/>
      <c r="DG377" s="11"/>
      <c r="DN377" s="11"/>
      <c r="DU377" s="11"/>
    </row>
    <row r="378" ht="15.75" customHeight="1">
      <c r="C378" s="8"/>
      <c r="BJ378" s="11"/>
      <c r="BX378" s="11"/>
      <c r="CE378" s="11"/>
      <c r="CL378" s="11"/>
      <c r="CS378" s="11"/>
      <c r="CZ378" s="11"/>
      <c r="DG378" s="11"/>
      <c r="DN378" s="11"/>
      <c r="DU378" s="11"/>
    </row>
    <row r="379" ht="15.75" customHeight="1">
      <c r="C379" s="8"/>
      <c r="BJ379" s="11"/>
      <c r="BX379" s="11"/>
      <c r="CE379" s="11"/>
      <c r="CL379" s="11"/>
      <c r="CS379" s="11"/>
      <c r="CZ379" s="11"/>
      <c r="DG379" s="11"/>
      <c r="DN379" s="11"/>
      <c r="DU379" s="11"/>
    </row>
    <row r="380" ht="15.75" customHeight="1">
      <c r="C380" s="8"/>
      <c r="BJ380" s="11"/>
      <c r="BX380" s="11"/>
      <c r="CE380" s="11"/>
      <c r="CL380" s="11"/>
      <c r="CS380" s="11"/>
      <c r="CZ380" s="11"/>
      <c r="DG380" s="11"/>
      <c r="DN380" s="11"/>
      <c r="DU380" s="11"/>
    </row>
    <row r="381" ht="15.75" customHeight="1">
      <c r="C381" s="8"/>
      <c r="BJ381" s="11"/>
      <c r="BX381" s="11"/>
      <c r="CE381" s="11"/>
      <c r="CL381" s="11"/>
      <c r="CS381" s="11"/>
      <c r="CZ381" s="11"/>
      <c r="DG381" s="11"/>
      <c r="DN381" s="11"/>
      <c r="DU381" s="11"/>
    </row>
    <row r="382" ht="15.75" customHeight="1">
      <c r="C382" s="8"/>
      <c r="BJ382" s="11"/>
      <c r="BX382" s="11"/>
      <c r="CE382" s="11"/>
      <c r="CL382" s="11"/>
      <c r="CS382" s="11"/>
      <c r="CZ382" s="11"/>
      <c r="DG382" s="11"/>
      <c r="DN382" s="11"/>
      <c r="DU382" s="11"/>
    </row>
    <row r="383" ht="15.75" customHeight="1">
      <c r="C383" s="8"/>
      <c r="BJ383" s="11"/>
      <c r="BX383" s="11"/>
      <c r="CE383" s="11"/>
      <c r="CL383" s="11"/>
      <c r="CS383" s="11"/>
      <c r="CZ383" s="11"/>
      <c r="DG383" s="11"/>
      <c r="DN383" s="11"/>
      <c r="DU383" s="11"/>
    </row>
    <row r="384" ht="15.75" customHeight="1">
      <c r="C384" s="8"/>
      <c r="BJ384" s="11"/>
      <c r="BX384" s="11"/>
      <c r="CE384" s="11"/>
      <c r="CL384" s="11"/>
      <c r="CS384" s="11"/>
      <c r="CZ384" s="11"/>
      <c r="DG384" s="11"/>
      <c r="DN384" s="11"/>
      <c r="DU384" s="11"/>
    </row>
    <row r="385" ht="15.75" customHeight="1">
      <c r="C385" s="8"/>
      <c r="BJ385" s="11"/>
      <c r="BX385" s="11"/>
      <c r="CE385" s="11"/>
      <c r="CL385" s="11"/>
      <c r="CS385" s="11"/>
      <c r="CZ385" s="11"/>
      <c r="DG385" s="11"/>
      <c r="DN385" s="11"/>
      <c r="DU385" s="11"/>
    </row>
    <row r="386" ht="15.75" customHeight="1">
      <c r="C386" s="8"/>
      <c r="BJ386" s="11"/>
      <c r="BX386" s="11"/>
      <c r="CE386" s="11"/>
      <c r="CL386" s="11"/>
      <c r="CS386" s="11"/>
      <c r="CZ386" s="11"/>
      <c r="DG386" s="11"/>
      <c r="DN386" s="11"/>
      <c r="DU386" s="11"/>
    </row>
    <row r="387" ht="15.75" customHeight="1">
      <c r="C387" s="8"/>
      <c r="BJ387" s="11"/>
      <c r="BX387" s="11"/>
      <c r="CE387" s="11"/>
      <c r="CL387" s="11"/>
      <c r="CS387" s="11"/>
      <c r="CZ387" s="11"/>
      <c r="DG387" s="11"/>
      <c r="DN387" s="11"/>
      <c r="DU387" s="11"/>
    </row>
    <row r="388" ht="15.75" customHeight="1">
      <c r="C388" s="8"/>
      <c r="BJ388" s="11"/>
      <c r="BX388" s="11"/>
      <c r="CE388" s="11"/>
      <c r="CL388" s="11"/>
      <c r="CS388" s="11"/>
      <c r="CZ388" s="11"/>
      <c r="DG388" s="11"/>
      <c r="DN388" s="11"/>
      <c r="DU388" s="11"/>
    </row>
    <row r="389" ht="15.75" customHeight="1">
      <c r="C389" s="8"/>
      <c r="BJ389" s="11"/>
      <c r="BX389" s="11"/>
      <c r="CE389" s="11"/>
      <c r="CL389" s="11"/>
      <c r="CS389" s="11"/>
      <c r="CZ389" s="11"/>
      <c r="DG389" s="11"/>
      <c r="DN389" s="11"/>
      <c r="DU389" s="11"/>
    </row>
    <row r="390" ht="15.75" customHeight="1">
      <c r="C390" s="8"/>
      <c r="BJ390" s="11"/>
      <c r="BX390" s="11"/>
      <c r="CE390" s="11"/>
      <c r="CL390" s="11"/>
      <c r="CS390" s="11"/>
      <c r="CZ390" s="11"/>
      <c r="DG390" s="11"/>
      <c r="DN390" s="11"/>
      <c r="DU390" s="11"/>
    </row>
    <row r="391" ht="15.75" customHeight="1">
      <c r="C391" s="8"/>
      <c r="BJ391" s="11"/>
      <c r="BX391" s="11"/>
      <c r="CE391" s="11"/>
      <c r="CL391" s="11"/>
      <c r="CS391" s="11"/>
      <c r="CZ391" s="11"/>
      <c r="DG391" s="11"/>
      <c r="DN391" s="11"/>
      <c r="DU391" s="11"/>
    </row>
    <row r="392" ht="15.75" customHeight="1">
      <c r="C392" s="8"/>
      <c r="BJ392" s="11"/>
      <c r="BX392" s="11"/>
      <c r="CE392" s="11"/>
      <c r="CL392" s="11"/>
      <c r="CS392" s="11"/>
      <c r="CZ392" s="11"/>
      <c r="DG392" s="11"/>
      <c r="DN392" s="11"/>
      <c r="DU392" s="11"/>
    </row>
    <row r="393" ht="15.75" customHeight="1">
      <c r="C393" s="8"/>
      <c r="BJ393" s="11"/>
      <c r="BX393" s="11"/>
      <c r="CE393" s="11"/>
      <c r="CL393" s="11"/>
      <c r="CS393" s="11"/>
      <c r="CZ393" s="11"/>
      <c r="DG393" s="11"/>
      <c r="DN393" s="11"/>
      <c r="DU393" s="11"/>
    </row>
    <row r="394" ht="15.75" customHeight="1">
      <c r="C394" s="8"/>
      <c r="BJ394" s="11"/>
      <c r="BX394" s="11"/>
      <c r="CE394" s="11"/>
      <c r="CL394" s="11"/>
      <c r="CS394" s="11"/>
      <c r="CZ394" s="11"/>
      <c r="DG394" s="11"/>
      <c r="DN394" s="11"/>
      <c r="DU394" s="11"/>
    </row>
    <row r="395" ht="15.75" customHeight="1">
      <c r="C395" s="8"/>
      <c r="BJ395" s="11"/>
      <c r="BX395" s="11"/>
      <c r="CE395" s="11"/>
      <c r="CL395" s="11"/>
      <c r="CS395" s="11"/>
      <c r="CZ395" s="11"/>
      <c r="DG395" s="11"/>
      <c r="DN395" s="11"/>
      <c r="DU395" s="11"/>
    </row>
    <row r="396" ht="15.75" customHeight="1">
      <c r="C396" s="8"/>
      <c r="BJ396" s="11"/>
      <c r="BX396" s="11"/>
      <c r="CE396" s="11"/>
      <c r="CL396" s="11"/>
      <c r="CS396" s="11"/>
      <c r="CZ396" s="11"/>
      <c r="DG396" s="11"/>
      <c r="DN396" s="11"/>
      <c r="DU396" s="11"/>
    </row>
    <row r="397" ht="15.75" customHeight="1">
      <c r="C397" s="8"/>
      <c r="BJ397" s="11"/>
      <c r="BX397" s="11"/>
      <c r="CE397" s="11"/>
      <c r="CL397" s="11"/>
      <c r="CS397" s="11"/>
      <c r="CZ397" s="11"/>
      <c r="DG397" s="11"/>
      <c r="DN397" s="11"/>
      <c r="DU397" s="11"/>
    </row>
    <row r="398" ht="15.75" customHeight="1">
      <c r="C398" s="8"/>
      <c r="BJ398" s="11"/>
      <c r="BX398" s="11"/>
      <c r="CE398" s="11"/>
      <c r="CL398" s="11"/>
      <c r="CS398" s="11"/>
      <c r="CZ398" s="11"/>
      <c r="DG398" s="11"/>
      <c r="DN398" s="11"/>
      <c r="DU398" s="11"/>
    </row>
    <row r="399" ht="15.75" customHeight="1">
      <c r="C399" s="8"/>
      <c r="BJ399" s="11"/>
      <c r="BX399" s="11"/>
      <c r="CE399" s="11"/>
      <c r="CL399" s="11"/>
      <c r="CS399" s="11"/>
      <c r="CZ399" s="11"/>
      <c r="DG399" s="11"/>
      <c r="DN399" s="11"/>
      <c r="DU399" s="11"/>
    </row>
    <row r="400" ht="15.75" customHeight="1">
      <c r="C400" s="8"/>
      <c r="BJ400" s="11"/>
      <c r="BX400" s="11"/>
      <c r="CE400" s="11"/>
      <c r="CL400" s="11"/>
      <c r="CS400" s="11"/>
      <c r="CZ400" s="11"/>
      <c r="DG400" s="11"/>
      <c r="DN400" s="11"/>
      <c r="DU400" s="11"/>
    </row>
    <row r="401" ht="15.75" customHeight="1">
      <c r="C401" s="8"/>
      <c r="BJ401" s="11"/>
      <c r="BX401" s="11"/>
      <c r="CE401" s="11"/>
      <c r="CL401" s="11"/>
      <c r="CS401" s="11"/>
      <c r="CZ401" s="11"/>
      <c r="DG401" s="11"/>
      <c r="DN401" s="11"/>
      <c r="DU401" s="11"/>
    </row>
    <row r="402" ht="15.75" customHeight="1">
      <c r="C402" s="8"/>
      <c r="BJ402" s="11"/>
      <c r="BX402" s="11"/>
      <c r="CE402" s="11"/>
      <c r="CL402" s="11"/>
      <c r="CS402" s="11"/>
      <c r="CZ402" s="11"/>
      <c r="DG402" s="11"/>
      <c r="DN402" s="11"/>
      <c r="DU402" s="11"/>
    </row>
    <row r="403" ht="15.75" customHeight="1">
      <c r="C403" s="8"/>
      <c r="BJ403" s="11"/>
      <c r="BX403" s="11"/>
      <c r="CE403" s="11"/>
      <c r="CL403" s="11"/>
      <c r="CS403" s="11"/>
      <c r="CZ403" s="11"/>
      <c r="DG403" s="11"/>
      <c r="DN403" s="11"/>
      <c r="DU403" s="11"/>
    </row>
    <row r="404" ht="15.75" customHeight="1">
      <c r="C404" s="8"/>
      <c r="BJ404" s="11"/>
      <c r="BX404" s="11"/>
      <c r="CE404" s="11"/>
      <c r="CL404" s="11"/>
      <c r="CS404" s="11"/>
      <c r="CZ404" s="11"/>
      <c r="DG404" s="11"/>
      <c r="DN404" s="11"/>
      <c r="DU404" s="11"/>
    </row>
    <row r="405" ht="15.75" customHeight="1">
      <c r="C405" s="8"/>
      <c r="BJ405" s="11"/>
      <c r="BX405" s="11"/>
      <c r="CE405" s="11"/>
      <c r="CL405" s="11"/>
      <c r="CS405" s="11"/>
      <c r="CZ405" s="11"/>
      <c r="DG405" s="11"/>
      <c r="DN405" s="11"/>
      <c r="DU405" s="11"/>
    </row>
    <row r="406" ht="15.75" customHeight="1">
      <c r="C406" s="8"/>
      <c r="BJ406" s="11"/>
      <c r="BX406" s="11"/>
      <c r="CE406" s="11"/>
      <c r="CL406" s="11"/>
      <c r="CS406" s="11"/>
      <c r="CZ406" s="11"/>
      <c r="DG406" s="11"/>
      <c r="DN406" s="11"/>
      <c r="DU406" s="11"/>
    </row>
    <row r="407" ht="15.75" customHeight="1">
      <c r="C407" s="8"/>
      <c r="BJ407" s="11"/>
      <c r="BX407" s="11"/>
      <c r="CE407" s="11"/>
      <c r="CL407" s="11"/>
      <c r="CS407" s="11"/>
      <c r="CZ407" s="11"/>
      <c r="DG407" s="11"/>
      <c r="DN407" s="11"/>
      <c r="DU407" s="11"/>
    </row>
    <row r="408" ht="15.75" customHeight="1">
      <c r="C408" s="8"/>
      <c r="BJ408" s="11"/>
      <c r="BX408" s="11"/>
      <c r="CE408" s="11"/>
      <c r="CL408" s="11"/>
      <c r="CS408" s="11"/>
      <c r="CZ408" s="11"/>
      <c r="DG408" s="11"/>
      <c r="DN408" s="11"/>
      <c r="DU408" s="11"/>
    </row>
    <row r="409" ht="15.75" customHeight="1">
      <c r="C409" s="8"/>
      <c r="BJ409" s="11"/>
      <c r="BX409" s="11"/>
      <c r="CE409" s="11"/>
      <c r="CL409" s="11"/>
      <c r="CS409" s="11"/>
      <c r="CZ409" s="11"/>
      <c r="DG409" s="11"/>
      <c r="DN409" s="11"/>
      <c r="DU409" s="11"/>
    </row>
    <row r="410" ht="15.75" customHeight="1">
      <c r="C410" s="8"/>
      <c r="BJ410" s="11"/>
      <c r="BX410" s="11"/>
      <c r="CE410" s="11"/>
      <c r="CL410" s="11"/>
      <c r="CS410" s="11"/>
      <c r="CZ410" s="11"/>
      <c r="DG410" s="11"/>
      <c r="DN410" s="11"/>
      <c r="DU410" s="11"/>
    </row>
    <row r="411" ht="15.75" customHeight="1">
      <c r="C411" s="8"/>
      <c r="BJ411" s="11"/>
      <c r="BX411" s="11"/>
      <c r="CE411" s="11"/>
      <c r="CL411" s="11"/>
      <c r="CS411" s="11"/>
      <c r="CZ411" s="11"/>
      <c r="DG411" s="11"/>
      <c r="DN411" s="11"/>
      <c r="DU411" s="11"/>
    </row>
    <row r="412" ht="15.75" customHeight="1">
      <c r="C412" s="8"/>
      <c r="BJ412" s="11"/>
      <c r="BX412" s="11"/>
      <c r="CE412" s="11"/>
      <c r="CL412" s="11"/>
      <c r="CS412" s="11"/>
      <c r="CZ412" s="11"/>
      <c r="DG412" s="11"/>
      <c r="DN412" s="11"/>
      <c r="DU412" s="11"/>
    </row>
    <row r="413" ht="15.75" customHeight="1">
      <c r="C413" s="8"/>
      <c r="BJ413" s="11"/>
      <c r="BX413" s="11"/>
      <c r="CE413" s="11"/>
      <c r="CL413" s="11"/>
      <c r="CS413" s="11"/>
      <c r="CZ413" s="11"/>
      <c r="DG413" s="11"/>
      <c r="DN413" s="11"/>
      <c r="DU413" s="11"/>
    </row>
    <row r="414" ht="15.75" customHeight="1">
      <c r="C414" s="8"/>
      <c r="BJ414" s="11"/>
      <c r="BX414" s="11"/>
      <c r="CE414" s="11"/>
      <c r="CL414" s="11"/>
      <c r="CS414" s="11"/>
      <c r="CZ414" s="11"/>
      <c r="DG414" s="11"/>
      <c r="DN414" s="11"/>
      <c r="DU414" s="11"/>
    </row>
    <row r="415" ht="15.75" customHeight="1">
      <c r="C415" s="8"/>
      <c r="BJ415" s="11"/>
      <c r="BX415" s="11"/>
      <c r="CE415" s="11"/>
      <c r="CL415" s="11"/>
      <c r="CS415" s="11"/>
      <c r="CZ415" s="11"/>
      <c r="DG415" s="11"/>
      <c r="DN415" s="11"/>
      <c r="DU415" s="11"/>
    </row>
    <row r="416" ht="15.75" customHeight="1">
      <c r="C416" s="8"/>
      <c r="BJ416" s="11"/>
      <c r="BX416" s="11"/>
      <c r="CE416" s="11"/>
      <c r="CL416" s="11"/>
      <c r="CS416" s="11"/>
      <c r="CZ416" s="11"/>
      <c r="DG416" s="11"/>
      <c r="DN416" s="11"/>
      <c r="DU416" s="11"/>
    </row>
    <row r="417" ht="15.75" customHeight="1">
      <c r="C417" s="8"/>
      <c r="BJ417" s="11"/>
      <c r="BX417" s="11"/>
      <c r="CE417" s="11"/>
      <c r="CL417" s="11"/>
      <c r="CS417" s="11"/>
      <c r="CZ417" s="11"/>
      <c r="DG417" s="11"/>
      <c r="DN417" s="11"/>
      <c r="DU417" s="11"/>
    </row>
    <row r="418" ht="15.75" customHeight="1">
      <c r="C418" s="8"/>
      <c r="BJ418" s="11"/>
      <c r="BX418" s="11"/>
      <c r="CE418" s="11"/>
      <c r="CL418" s="11"/>
      <c r="CS418" s="11"/>
      <c r="CZ418" s="11"/>
      <c r="DG418" s="11"/>
      <c r="DN418" s="11"/>
      <c r="DU418" s="11"/>
    </row>
    <row r="419" ht="15.75" customHeight="1">
      <c r="C419" s="8"/>
      <c r="BJ419" s="11"/>
      <c r="BX419" s="11"/>
      <c r="CE419" s="11"/>
      <c r="CL419" s="11"/>
      <c r="CS419" s="11"/>
      <c r="CZ419" s="11"/>
      <c r="DG419" s="11"/>
      <c r="DN419" s="11"/>
      <c r="DU419" s="11"/>
    </row>
    <row r="420" ht="15.75" customHeight="1">
      <c r="C420" s="8"/>
      <c r="BJ420" s="11"/>
      <c r="BX420" s="11"/>
      <c r="CE420" s="11"/>
      <c r="CL420" s="11"/>
      <c r="CS420" s="11"/>
      <c r="CZ420" s="11"/>
      <c r="DG420" s="11"/>
      <c r="DN420" s="11"/>
      <c r="DU420" s="11"/>
    </row>
    <row r="421" ht="15.75" customHeight="1">
      <c r="C421" s="8"/>
      <c r="BJ421" s="11"/>
      <c r="BX421" s="11"/>
      <c r="CE421" s="11"/>
      <c r="CL421" s="11"/>
      <c r="CS421" s="11"/>
      <c r="CZ421" s="11"/>
      <c r="DG421" s="11"/>
      <c r="DN421" s="11"/>
      <c r="DU421" s="11"/>
    </row>
    <row r="422" ht="15.75" customHeight="1">
      <c r="C422" s="8"/>
      <c r="BJ422" s="11"/>
      <c r="BX422" s="11"/>
      <c r="CE422" s="11"/>
      <c r="CL422" s="11"/>
      <c r="CS422" s="11"/>
      <c r="CZ422" s="11"/>
      <c r="DG422" s="11"/>
      <c r="DN422" s="11"/>
      <c r="DU422" s="11"/>
    </row>
    <row r="423" ht="15.75" customHeight="1">
      <c r="C423" s="8"/>
      <c r="BJ423" s="11"/>
      <c r="BX423" s="11"/>
      <c r="CE423" s="11"/>
      <c r="CL423" s="11"/>
      <c r="CS423" s="11"/>
      <c r="CZ423" s="11"/>
      <c r="DG423" s="11"/>
      <c r="DN423" s="11"/>
      <c r="DU423" s="11"/>
    </row>
    <row r="424" ht="15.75" customHeight="1">
      <c r="C424" s="8"/>
      <c r="BJ424" s="11"/>
      <c r="BX424" s="11"/>
      <c r="CE424" s="11"/>
      <c r="CL424" s="11"/>
      <c r="CS424" s="11"/>
      <c r="CZ424" s="11"/>
      <c r="DG424" s="11"/>
      <c r="DN424" s="11"/>
      <c r="DU424" s="11"/>
    </row>
    <row r="425" ht="15.75" customHeight="1">
      <c r="C425" s="8"/>
      <c r="BJ425" s="11"/>
      <c r="BX425" s="11"/>
      <c r="CE425" s="11"/>
      <c r="CL425" s="11"/>
      <c r="CS425" s="11"/>
      <c r="CZ425" s="11"/>
      <c r="DG425" s="11"/>
      <c r="DN425" s="11"/>
      <c r="DU425" s="11"/>
    </row>
    <row r="426" ht="15.75" customHeight="1">
      <c r="C426" s="8"/>
      <c r="BJ426" s="11"/>
      <c r="BX426" s="11"/>
      <c r="CE426" s="11"/>
      <c r="CL426" s="11"/>
      <c r="CS426" s="11"/>
      <c r="CZ426" s="11"/>
      <c r="DG426" s="11"/>
      <c r="DN426" s="11"/>
      <c r="DU426" s="11"/>
    </row>
    <row r="427" ht="15.75" customHeight="1">
      <c r="C427" s="8"/>
      <c r="BJ427" s="11"/>
      <c r="BX427" s="11"/>
      <c r="CE427" s="11"/>
      <c r="CL427" s="11"/>
      <c r="CS427" s="11"/>
      <c r="CZ427" s="11"/>
      <c r="DG427" s="11"/>
      <c r="DN427" s="11"/>
      <c r="DU427" s="11"/>
    </row>
    <row r="428" ht="15.75" customHeight="1">
      <c r="C428" s="8"/>
      <c r="BJ428" s="11"/>
      <c r="BX428" s="11"/>
      <c r="CE428" s="11"/>
      <c r="CL428" s="11"/>
      <c r="CS428" s="11"/>
      <c r="CZ428" s="11"/>
      <c r="DG428" s="11"/>
      <c r="DN428" s="11"/>
      <c r="DU428" s="11"/>
    </row>
    <row r="429" ht="15.75" customHeight="1">
      <c r="C429" s="8"/>
      <c r="BJ429" s="11"/>
      <c r="BX429" s="11"/>
      <c r="CE429" s="11"/>
      <c r="CL429" s="11"/>
      <c r="CS429" s="11"/>
      <c r="CZ429" s="11"/>
      <c r="DG429" s="11"/>
      <c r="DN429" s="11"/>
      <c r="DU429" s="11"/>
    </row>
    <row r="430" ht="15.75" customHeight="1">
      <c r="C430" s="8"/>
      <c r="BJ430" s="11"/>
      <c r="BX430" s="11"/>
      <c r="CE430" s="11"/>
      <c r="CL430" s="11"/>
      <c r="CS430" s="11"/>
      <c r="CZ430" s="11"/>
      <c r="DG430" s="11"/>
      <c r="DN430" s="11"/>
      <c r="DU430" s="11"/>
    </row>
    <row r="431" ht="15.75" customHeight="1">
      <c r="C431" s="8"/>
      <c r="BJ431" s="11"/>
      <c r="BX431" s="11"/>
      <c r="CE431" s="11"/>
      <c r="CL431" s="11"/>
      <c r="CS431" s="11"/>
      <c r="CZ431" s="11"/>
      <c r="DG431" s="11"/>
      <c r="DN431" s="11"/>
      <c r="DU431" s="11"/>
    </row>
    <row r="432" ht="15.75" customHeight="1">
      <c r="C432" s="8"/>
      <c r="BJ432" s="11"/>
      <c r="BX432" s="11"/>
      <c r="CE432" s="11"/>
      <c r="CL432" s="11"/>
      <c r="CS432" s="11"/>
      <c r="CZ432" s="11"/>
      <c r="DG432" s="11"/>
      <c r="DN432" s="11"/>
      <c r="DU432" s="11"/>
    </row>
    <row r="433" ht="15.75" customHeight="1">
      <c r="C433" s="8"/>
      <c r="BJ433" s="11"/>
      <c r="BX433" s="11"/>
      <c r="CE433" s="11"/>
      <c r="CL433" s="11"/>
      <c r="CS433" s="11"/>
      <c r="CZ433" s="11"/>
      <c r="DG433" s="11"/>
      <c r="DN433" s="11"/>
      <c r="DU433" s="11"/>
    </row>
    <row r="434" ht="15.75" customHeight="1">
      <c r="C434" s="8"/>
      <c r="BJ434" s="11"/>
      <c r="BX434" s="11"/>
      <c r="CE434" s="11"/>
      <c r="CL434" s="11"/>
      <c r="CS434" s="11"/>
      <c r="CZ434" s="11"/>
      <c r="DG434" s="11"/>
      <c r="DN434" s="11"/>
      <c r="DU434" s="11"/>
    </row>
    <row r="435" ht="15.75" customHeight="1">
      <c r="C435" s="8"/>
      <c r="BJ435" s="11"/>
      <c r="BX435" s="11"/>
      <c r="CE435" s="11"/>
      <c r="CL435" s="11"/>
      <c r="CS435" s="11"/>
      <c r="CZ435" s="11"/>
      <c r="DG435" s="11"/>
      <c r="DN435" s="11"/>
      <c r="DU435" s="11"/>
    </row>
    <row r="436" ht="15.75" customHeight="1">
      <c r="C436" s="8"/>
      <c r="BJ436" s="11"/>
      <c r="BX436" s="11"/>
      <c r="CE436" s="11"/>
      <c r="CL436" s="11"/>
      <c r="CS436" s="11"/>
      <c r="CZ436" s="11"/>
      <c r="DG436" s="11"/>
      <c r="DN436" s="11"/>
      <c r="DU436" s="11"/>
    </row>
    <row r="437" ht="15.75" customHeight="1">
      <c r="C437" s="8"/>
      <c r="BJ437" s="11"/>
      <c r="BX437" s="11"/>
      <c r="CE437" s="11"/>
      <c r="CL437" s="11"/>
      <c r="CS437" s="11"/>
      <c r="CZ437" s="11"/>
      <c r="DG437" s="11"/>
      <c r="DN437" s="11"/>
      <c r="DU437" s="11"/>
    </row>
    <row r="438" ht="15.75" customHeight="1">
      <c r="C438" s="8"/>
      <c r="BJ438" s="11"/>
      <c r="BX438" s="11"/>
      <c r="CE438" s="11"/>
      <c r="CL438" s="11"/>
      <c r="CS438" s="11"/>
      <c r="CZ438" s="11"/>
      <c r="DG438" s="11"/>
      <c r="DN438" s="11"/>
      <c r="DU438" s="11"/>
    </row>
    <row r="439" ht="15.75" customHeight="1">
      <c r="C439" s="8"/>
      <c r="BJ439" s="11"/>
      <c r="BX439" s="11"/>
      <c r="CE439" s="11"/>
      <c r="CL439" s="11"/>
      <c r="CS439" s="11"/>
      <c r="CZ439" s="11"/>
      <c r="DG439" s="11"/>
      <c r="DN439" s="11"/>
      <c r="DU439" s="11"/>
    </row>
    <row r="440" ht="15.75" customHeight="1">
      <c r="C440" s="8"/>
      <c r="BJ440" s="11"/>
      <c r="BX440" s="11"/>
      <c r="CE440" s="11"/>
      <c r="CL440" s="11"/>
      <c r="CS440" s="11"/>
      <c r="CZ440" s="11"/>
      <c r="DG440" s="11"/>
      <c r="DN440" s="11"/>
      <c r="DU440" s="11"/>
    </row>
    <row r="441" ht="15.75" customHeight="1">
      <c r="C441" s="8"/>
      <c r="BJ441" s="11"/>
      <c r="BX441" s="11"/>
      <c r="CE441" s="11"/>
      <c r="CL441" s="11"/>
      <c r="CS441" s="11"/>
      <c r="CZ441" s="11"/>
      <c r="DG441" s="11"/>
      <c r="DN441" s="11"/>
      <c r="DU441" s="11"/>
    </row>
    <row r="442" ht="15.75" customHeight="1">
      <c r="C442" s="8"/>
      <c r="BJ442" s="11"/>
      <c r="BX442" s="11"/>
      <c r="CE442" s="11"/>
      <c r="CL442" s="11"/>
      <c r="CS442" s="11"/>
      <c r="CZ442" s="11"/>
      <c r="DG442" s="11"/>
      <c r="DN442" s="11"/>
      <c r="DU442" s="11"/>
    </row>
    <row r="443" ht="15.75" customHeight="1">
      <c r="C443" s="8"/>
      <c r="BJ443" s="11"/>
      <c r="BX443" s="11"/>
      <c r="CE443" s="11"/>
      <c r="CL443" s="11"/>
      <c r="CS443" s="11"/>
      <c r="CZ443" s="11"/>
      <c r="DG443" s="11"/>
      <c r="DN443" s="11"/>
      <c r="DU443" s="11"/>
    </row>
    <row r="444" ht="15.75" customHeight="1">
      <c r="C444" s="8"/>
      <c r="BJ444" s="11"/>
      <c r="BX444" s="11"/>
      <c r="CE444" s="11"/>
      <c r="CL444" s="11"/>
      <c r="CS444" s="11"/>
      <c r="CZ444" s="11"/>
      <c r="DG444" s="11"/>
      <c r="DN444" s="11"/>
      <c r="DU444" s="11"/>
    </row>
    <row r="445" ht="15.75" customHeight="1">
      <c r="C445" s="8"/>
      <c r="BJ445" s="11"/>
      <c r="BX445" s="11"/>
      <c r="CE445" s="11"/>
      <c r="CL445" s="11"/>
      <c r="CS445" s="11"/>
      <c r="CZ445" s="11"/>
      <c r="DG445" s="11"/>
      <c r="DN445" s="11"/>
      <c r="DU445" s="11"/>
    </row>
    <row r="446" ht="15.75" customHeight="1">
      <c r="C446" s="8"/>
      <c r="BJ446" s="11"/>
      <c r="BX446" s="11"/>
      <c r="CE446" s="11"/>
      <c r="CL446" s="11"/>
      <c r="CS446" s="11"/>
      <c r="CZ446" s="11"/>
      <c r="DG446" s="11"/>
      <c r="DN446" s="11"/>
      <c r="DU446" s="11"/>
    </row>
    <row r="447" ht="15.75" customHeight="1">
      <c r="C447" s="8"/>
      <c r="BJ447" s="11"/>
      <c r="BX447" s="11"/>
      <c r="CE447" s="11"/>
      <c r="CL447" s="11"/>
      <c r="CS447" s="11"/>
      <c r="CZ447" s="11"/>
      <c r="DG447" s="11"/>
      <c r="DN447" s="11"/>
      <c r="DU447" s="11"/>
    </row>
    <row r="448" ht="15.75" customHeight="1">
      <c r="C448" s="8"/>
      <c r="BJ448" s="11"/>
      <c r="BX448" s="11"/>
      <c r="CE448" s="11"/>
      <c r="CL448" s="11"/>
      <c r="CS448" s="11"/>
      <c r="CZ448" s="11"/>
      <c r="DG448" s="11"/>
      <c r="DN448" s="11"/>
      <c r="DU448" s="11"/>
    </row>
    <row r="449" ht="15.75" customHeight="1">
      <c r="C449" s="8"/>
      <c r="BJ449" s="11"/>
      <c r="BX449" s="11"/>
      <c r="CE449" s="11"/>
      <c r="CL449" s="11"/>
      <c r="CS449" s="11"/>
      <c r="CZ449" s="11"/>
      <c r="DG449" s="11"/>
      <c r="DN449" s="11"/>
      <c r="DU449" s="11"/>
    </row>
    <row r="450" ht="15.75" customHeight="1">
      <c r="C450" s="8"/>
      <c r="BJ450" s="11"/>
      <c r="BX450" s="11"/>
      <c r="CE450" s="11"/>
      <c r="CL450" s="11"/>
      <c r="CS450" s="11"/>
      <c r="CZ450" s="11"/>
      <c r="DG450" s="11"/>
      <c r="DN450" s="11"/>
      <c r="DU450" s="11"/>
    </row>
    <row r="451" ht="15.75" customHeight="1">
      <c r="C451" s="8"/>
      <c r="BJ451" s="11"/>
      <c r="BX451" s="11"/>
      <c r="CE451" s="11"/>
      <c r="CL451" s="11"/>
      <c r="CS451" s="11"/>
      <c r="CZ451" s="11"/>
      <c r="DG451" s="11"/>
      <c r="DN451" s="11"/>
      <c r="DU451" s="11"/>
    </row>
    <row r="452" ht="15.75" customHeight="1">
      <c r="C452" s="8"/>
      <c r="BJ452" s="11"/>
      <c r="BX452" s="11"/>
      <c r="CE452" s="11"/>
      <c r="CL452" s="11"/>
      <c r="CS452" s="11"/>
      <c r="CZ452" s="11"/>
      <c r="DG452" s="11"/>
      <c r="DN452" s="11"/>
      <c r="DU452" s="11"/>
    </row>
    <row r="453" ht="15.75" customHeight="1">
      <c r="C453" s="8"/>
      <c r="BJ453" s="11"/>
      <c r="BX453" s="11"/>
      <c r="CE453" s="11"/>
      <c r="CL453" s="11"/>
      <c r="CS453" s="11"/>
      <c r="CZ453" s="11"/>
      <c r="DG453" s="11"/>
      <c r="DN453" s="11"/>
      <c r="DU453" s="11"/>
    </row>
    <row r="454" ht="15.75" customHeight="1">
      <c r="C454" s="8"/>
      <c r="BJ454" s="11"/>
      <c r="BX454" s="11"/>
      <c r="CE454" s="11"/>
      <c r="CL454" s="11"/>
      <c r="CS454" s="11"/>
      <c r="CZ454" s="11"/>
      <c r="DG454" s="11"/>
      <c r="DN454" s="11"/>
      <c r="DU454" s="11"/>
    </row>
    <row r="455" ht="15.75" customHeight="1">
      <c r="C455" s="8"/>
      <c r="BJ455" s="11"/>
      <c r="BX455" s="11"/>
      <c r="CE455" s="11"/>
      <c r="CL455" s="11"/>
      <c r="CS455" s="11"/>
      <c r="CZ455" s="11"/>
      <c r="DG455" s="11"/>
      <c r="DN455" s="11"/>
      <c r="DU455" s="11"/>
    </row>
    <row r="456" ht="15.75" customHeight="1">
      <c r="C456" s="8"/>
      <c r="BJ456" s="11"/>
      <c r="BX456" s="11"/>
      <c r="CE456" s="11"/>
      <c r="CL456" s="11"/>
      <c r="CS456" s="11"/>
      <c r="CZ456" s="11"/>
      <c r="DG456" s="11"/>
      <c r="DN456" s="11"/>
      <c r="DU456" s="11"/>
    </row>
    <row r="457" ht="15.75" customHeight="1">
      <c r="C457" s="8"/>
      <c r="BJ457" s="11"/>
      <c r="BX457" s="11"/>
      <c r="CE457" s="11"/>
      <c r="CL457" s="11"/>
      <c r="CS457" s="11"/>
      <c r="CZ457" s="11"/>
      <c r="DG457" s="11"/>
      <c r="DN457" s="11"/>
      <c r="DU457" s="11"/>
    </row>
    <row r="458" ht="15.75" customHeight="1">
      <c r="C458" s="8"/>
      <c r="BJ458" s="11"/>
      <c r="BX458" s="11"/>
      <c r="CE458" s="11"/>
      <c r="CL458" s="11"/>
      <c r="CS458" s="11"/>
      <c r="CZ458" s="11"/>
      <c r="DG458" s="11"/>
      <c r="DN458" s="11"/>
      <c r="DU458" s="11"/>
    </row>
    <row r="459" ht="15.75" customHeight="1">
      <c r="C459" s="8"/>
      <c r="BJ459" s="11"/>
      <c r="BX459" s="11"/>
      <c r="CE459" s="11"/>
      <c r="CL459" s="11"/>
      <c r="CS459" s="11"/>
      <c r="CZ459" s="11"/>
      <c r="DG459" s="11"/>
      <c r="DN459" s="11"/>
      <c r="DU459" s="11"/>
    </row>
    <row r="460" ht="15.75" customHeight="1">
      <c r="C460" s="8"/>
      <c r="BJ460" s="11"/>
      <c r="BX460" s="11"/>
      <c r="CE460" s="11"/>
      <c r="CL460" s="11"/>
      <c r="CS460" s="11"/>
      <c r="CZ460" s="11"/>
      <c r="DG460" s="11"/>
      <c r="DN460" s="11"/>
      <c r="DU460" s="11"/>
    </row>
    <row r="461" ht="15.75" customHeight="1">
      <c r="C461" s="8"/>
      <c r="BJ461" s="11"/>
      <c r="BX461" s="11"/>
      <c r="CE461" s="11"/>
      <c r="CL461" s="11"/>
      <c r="CS461" s="11"/>
      <c r="CZ461" s="11"/>
      <c r="DG461" s="11"/>
      <c r="DN461" s="11"/>
      <c r="DU461" s="11"/>
    </row>
    <row r="462" ht="15.75" customHeight="1">
      <c r="C462" s="8"/>
      <c r="BJ462" s="11"/>
      <c r="BX462" s="11"/>
      <c r="CE462" s="11"/>
      <c r="CL462" s="11"/>
      <c r="CS462" s="11"/>
      <c r="CZ462" s="11"/>
      <c r="DG462" s="11"/>
      <c r="DN462" s="11"/>
      <c r="DU462" s="11"/>
    </row>
    <row r="463" ht="15.75" customHeight="1">
      <c r="C463" s="8"/>
      <c r="BJ463" s="11"/>
      <c r="BX463" s="11"/>
      <c r="CE463" s="11"/>
      <c r="CL463" s="11"/>
      <c r="CS463" s="11"/>
      <c r="CZ463" s="11"/>
      <c r="DG463" s="11"/>
      <c r="DN463" s="11"/>
      <c r="DU463" s="11"/>
    </row>
    <row r="464" ht="15.75" customHeight="1">
      <c r="C464" s="8"/>
      <c r="BJ464" s="11"/>
      <c r="BX464" s="11"/>
      <c r="CE464" s="11"/>
      <c r="CL464" s="11"/>
      <c r="CS464" s="11"/>
      <c r="CZ464" s="11"/>
      <c r="DG464" s="11"/>
      <c r="DN464" s="11"/>
      <c r="DU464" s="11"/>
    </row>
    <row r="465" ht="15.75" customHeight="1">
      <c r="C465" s="8"/>
      <c r="BJ465" s="11"/>
      <c r="BX465" s="11"/>
      <c r="CE465" s="11"/>
      <c r="CL465" s="11"/>
      <c r="CS465" s="11"/>
      <c r="CZ465" s="11"/>
      <c r="DG465" s="11"/>
      <c r="DN465" s="11"/>
      <c r="DU465" s="11"/>
    </row>
    <row r="466" ht="15.75" customHeight="1">
      <c r="C466" s="8"/>
      <c r="BJ466" s="11"/>
      <c r="BX466" s="11"/>
      <c r="CE466" s="11"/>
      <c r="CL466" s="11"/>
      <c r="CS466" s="11"/>
      <c r="CZ466" s="11"/>
      <c r="DG466" s="11"/>
      <c r="DN466" s="11"/>
      <c r="DU466" s="11"/>
    </row>
    <row r="467" ht="15.75" customHeight="1">
      <c r="C467" s="8"/>
      <c r="BJ467" s="11"/>
      <c r="BX467" s="11"/>
      <c r="CE467" s="11"/>
      <c r="CL467" s="11"/>
      <c r="CS467" s="11"/>
      <c r="CZ467" s="11"/>
      <c r="DG467" s="11"/>
      <c r="DN467" s="11"/>
      <c r="DU467" s="11"/>
    </row>
    <row r="468" ht="15.75" customHeight="1">
      <c r="C468" s="8"/>
      <c r="BJ468" s="11"/>
      <c r="BX468" s="11"/>
      <c r="CE468" s="11"/>
      <c r="CL468" s="11"/>
      <c r="CS468" s="11"/>
      <c r="CZ468" s="11"/>
      <c r="DG468" s="11"/>
      <c r="DN468" s="11"/>
      <c r="DU468" s="11"/>
    </row>
    <row r="469" ht="15.75" customHeight="1">
      <c r="C469" s="8"/>
      <c r="BJ469" s="11"/>
      <c r="BX469" s="11"/>
      <c r="CE469" s="11"/>
      <c r="CL469" s="11"/>
      <c r="CS469" s="11"/>
      <c r="CZ469" s="11"/>
      <c r="DG469" s="11"/>
      <c r="DN469" s="11"/>
      <c r="DU469" s="11"/>
    </row>
    <row r="470" ht="15.75" customHeight="1">
      <c r="C470" s="8"/>
      <c r="BJ470" s="11"/>
      <c r="BX470" s="11"/>
      <c r="CE470" s="11"/>
      <c r="CL470" s="11"/>
      <c r="CS470" s="11"/>
      <c r="CZ470" s="11"/>
      <c r="DG470" s="11"/>
      <c r="DN470" s="11"/>
      <c r="DU470" s="11"/>
    </row>
    <row r="471" ht="15.75" customHeight="1">
      <c r="C471" s="8"/>
      <c r="BJ471" s="11"/>
      <c r="BX471" s="11"/>
      <c r="CE471" s="11"/>
      <c r="CL471" s="11"/>
      <c r="CS471" s="11"/>
      <c r="CZ471" s="11"/>
      <c r="DG471" s="11"/>
      <c r="DN471" s="11"/>
      <c r="DU471" s="11"/>
    </row>
    <row r="472" ht="15.75" customHeight="1">
      <c r="C472" s="8"/>
      <c r="BJ472" s="11"/>
      <c r="BX472" s="11"/>
      <c r="CE472" s="11"/>
      <c r="CL472" s="11"/>
      <c r="CS472" s="11"/>
      <c r="CZ472" s="11"/>
      <c r="DG472" s="11"/>
      <c r="DN472" s="11"/>
      <c r="DU472" s="11"/>
    </row>
    <row r="473" ht="15.75" customHeight="1">
      <c r="C473" s="8"/>
      <c r="BJ473" s="11"/>
      <c r="BX473" s="11"/>
      <c r="CE473" s="11"/>
      <c r="CL473" s="11"/>
      <c r="CS473" s="11"/>
      <c r="CZ473" s="11"/>
      <c r="DG473" s="11"/>
      <c r="DN473" s="11"/>
      <c r="DU473" s="11"/>
    </row>
    <row r="474" ht="15.75" customHeight="1">
      <c r="C474" s="8"/>
      <c r="BJ474" s="11"/>
      <c r="BX474" s="11"/>
      <c r="CE474" s="11"/>
      <c r="CL474" s="11"/>
      <c r="CS474" s="11"/>
      <c r="CZ474" s="11"/>
      <c r="DG474" s="11"/>
      <c r="DN474" s="11"/>
      <c r="DU474" s="11"/>
    </row>
    <row r="475" ht="15.75" customHeight="1">
      <c r="C475" s="8"/>
      <c r="BJ475" s="11"/>
      <c r="BX475" s="11"/>
      <c r="CE475" s="11"/>
      <c r="CL475" s="11"/>
      <c r="CS475" s="11"/>
      <c r="CZ475" s="11"/>
      <c r="DG475" s="11"/>
      <c r="DN475" s="11"/>
      <c r="DU475" s="11"/>
    </row>
    <row r="476" ht="15.75" customHeight="1">
      <c r="C476" s="8"/>
      <c r="BJ476" s="11"/>
      <c r="BX476" s="11"/>
      <c r="CE476" s="11"/>
      <c r="CL476" s="11"/>
      <c r="CS476" s="11"/>
      <c r="CZ476" s="11"/>
      <c r="DG476" s="11"/>
      <c r="DN476" s="11"/>
      <c r="DU476" s="11"/>
    </row>
    <row r="477" ht="15.75" customHeight="1">
      <c r="C477" s="8"/>
      <c r="BJ477" s="11"/>
      <c r="BX477" s="11"/>
      <c r="CE477" s="11"/>
      <c r="CL477" s="11"/>
      <c r="CS477" s="11"/>
      <c r="CZ477" s="11"/>
      <c r="DG477" s="11"/>
      <c r="DN477" s="11"/>
      <c r="DU477" s="11"/>
    </row>
    <row r="478" ht="15.75" customHeight="1">
      <c r="C478" s="8"/>
      <c r="BJ478" s="11"/>
      <c r="BX478" s="11"/>
      <c r="CE478" s="11"/>
      <c r="CL478" s="11"/>
      <c r="CS478" s="11"/>
      <c r="CZ478" s="11"/>
      <c r="DG478" s="11"/>
      <c r="DN478" s="11"/>
      <c r="DU478" s="11"/>
    </row>
    <row r="479" ht="15.75" customHeight="1">
      <c r="C479" s="8"/>
      <c r="BJ479" s="11"/>
      <c r="BX479" s="11"/>
      <c r="CE479" s="11"/>
      <c r="CL479" s="11"/>
      <c r="CS479" s="11"/>
      <c r="CZ479" s="11"/>
      <c r="DG479" s="11"/>
      <c r="DN479" s="11"/>
      <c r="DU479" s="11"/>
    </row>
    <row r="480" ht="15.75" customHeight="1">
      <c r="C480" s="8"/>
      <c r="BJ480" s="11"/>
      <c r="BX480" s="11"/>
      <c r="CE480" s="11"/>
      <c r="CL480" s="11"/>
      <c r="CS480" s="11"/>
      <c r="CZ480" s="11"/>
      <c r="DG480" s="11"/>
      <c r="DN480" s="11"/>
      <c r="DU480" s="11"/>
    </row>
    <row r="481" ht="15.75" customHeight="1">
      <c r="C481" s="8"/>
      <c r="BJ481" s="11"/>
      <c r="BX481" s="11"/>
      <c r="CE481" s="11"/>
      <c r="CL481" s="11"/>
      <c r="CS481" s="11"/>
      <c r="CZ481" s="11"/>
      <c r="DG481" s="11"/>
      <c r="DN481" s="11"/>
      <c r="DU481" s="11"/>
    </row>
    <row r="482" ht="15.75" customHeight="1">
      <c r="C482" s="8"/>
      <c r="BJ482" s="11"/>
      <c r="BX482" s="11"/>
      <c r="CE482" s="11"/>
      <c r="CL482" s="11"/>
      <c r="CS482" s="11"/>
      <c r="CZ482" s="11"/>
      <c r="DG482" s="11"/>
      <c r="DN482" s="11"/>
      <c r="DU482" s="11"/>
    </row>
    <row r="483" ht="15.75" customHeight="1">
      <c r="C483" s="8"/>
      <c r="BJ483" s="11"/>
      <c r="BX483" s="11"/>
      <c r="CE483" s="11"/>
      <c r="CL483" s="11"/>
      <c r="CS483" s="11"/>
      <c r="CZ483" s="11"/>
      <c r="DG483" s="11"/>
      <c r="DN483" s="11"/>
      <c r="DU483" s="11"/>
    </row>
    <row r="484" ht="15.75" customHeight="1">
      <c r="C484" s="8"/>
      <c r="BJ484" s="11"/>
      <c r="BX484" s="11"/>
      <c r="CE484" s="11"/>
      <c r="CL484" s="11"/>
      <c r="CS484" s="11"/>
      <c r="CZ484" s="11"/>
      <c r="DG484" s="11"/>
      <c r="DN484" s="11"/>
      <c r="DU484" s="11"/>
    </row>
    <row r="485" ht="15.75" customHeight="1">
      <c r="C485" s="8"/>
      <c r="BJ485" s="11"/>
      <c r="BX485" s="11"/>
      <c r="CE485" s="11"/>
      <c r="CL485" s="11"/>
      <c r="CS485" s="11"/>
      <c r="CZ485" s="11"/>
      <c r="DG485" s="11"/>
      <c r="DN485" s="11"/>
      <c r="DU485" s="11"/>
    </row>
    <row r="486" ht="15.75" customHeight="1">
      <c r="C486" s="8"/>
      <c r="BJ486" s="11"/>
      <c r="BX486" s="11"/>
      <c r="CE486" s="11"/>
      <c r="CL486" s="11"/>
      <c r="CS486" s="11"/>
      <c r="CZ486" s="11"/>
      <c r="DG486" s="11"/>
      <c r="DN486" s="11"/>
      <c r="DU486" s="11"/>
    </row>
    <row r="487" ht="15.75" customHeight="1">
      <c r="C487" s="8"/>
      <c r="BJ487" s="11"/>
      <c r="BX487" s="11"/>
      <c r="CE487" s="11"/>
      <c r="CL487" s="11"/>
      <c r="CS487" s="11"/>
      <c r="CZ487" s="11"/>
      <c r="DG487" s="11"/>
      <c r="DN487" s="11"/>
      <c r="DU487" s="11"/>
    </row>
    <row r="488" ht="15.75" customHeight="1">
      <c r="C488" s="8"/>
      <c r="BJ488" s="11"/>
      <c r="BX488" s="11"/>
      <c r="CE488" s="11"/>
      <c r="CL488" s="11"/>
      <c r="CS488" s="11"/>
      <c r="CZ488" s="11"/>
      <c r="DG488" s="11"/>
      <c r="DN488" s="11"/>
      <c r="DU488" s="11"/>
    </row>
    <row r="489" ht="15.75" customHeight="1">
      <c r="C489" s="8"/>
      <c r="BJ489" s="11"/>
      <c r="BX489" s="11"/>
      <c r="CE489" s="11"/>
      <c r="CL489" s="11"/>
      <c r="CS489" s="11"/>
      <c r="CZ489" s="11"/>
      <c r="DG489" s="11"/>
      <c r="DN489" s="11"/>
      <c r="DU489" s="11"/>
    </row>
    <row r="490" ht="15.75" customHeight="1">
      <c r="C490" s="8"/>
      <c r="BJ490" s="11"/>
      <c r="BX490" s="11"/>
      <c r="CE490" s="11"/>
      <c r="CL490" s="11"/>
      <c r="CS490" s="11"/>
      <c r="CZ490" s="11"/>
      <c r="DG490" s="11"/>
      <c r="DN490" s="11"/>
      <c r="DU490" s="11"/>
    </row>
    <row r="491" ht="15.75" customHeight="1">
      <c r="C491" s="8"/>
      <c r="BJ491" s="11"/>
      <c r="BX491" s="11"/>
      <c r="CE491" s="11"/>
      <c r="CL491" s="11"/>
      <c r="CS491" s="11"/>
      <c r="CZ491" s="11"/>
      <c r="DG491" s="11"/>
      <c r="DN491" s="11"/>
      <c r="DU491" s="11"/>
    </row>
    <row r="492" ht="15.75" customHeight="1">
      <c r="C492" s="8"/>
      <c r="BJ492" s="11"/>
      <c r="BX492" s="11"/>
      <c r="CE492" s="11"/>
      <c r="CL492" s="11"/>
      <c r="CS492" s="11"/>
      <c r="CZ492" s="11"/>
      <c r="DG492" s="11"/>
      <c r="DN492" s="11"/>
      <c r="DU492" s="11"/>
    </row>
    <row r="493" ht="15.75" customHeight="1">
      <c r="C493" s="8"/>
      <c r="BJ493" s="11"/>
      <c r="BX493" s="11"/>
      <c r="CE493" s="11"/>
      <c r="CL493" s="11"/>
      <c r="CS493" s="11"/>
      <c r="CZ493" s="11"/>
      <c r="DG493" s="11"/>
      <c r="DN493" s="11"/>
      <c r="DU493" s="11"/>
    </row>
    <row r="494" ht="15.75" customHeight="1">
      <c r="C494" s="8"/>
      <c r="BJ494" s="11"/>
      <c r="BX494" s="11"/>
      <c r="CE494" s="11"/>
      <c r="CL494" s="11"/>
      <c r="CS494" s="11"/>
      <c r="CZ494" s="11"/>
      <c r="DG494" s="11"/>
      <c r="DN494" s="11"/>
      <c r="DU494" s="11"/>
    </row>
    <row r="495" ht="15.75" customHeight="1">
      <c r="C495" s="8"/>
      <c r="BJ495" s="11"/>
      <c r="BX495" s="11"/>
      <c r="CE495" s="11"/>
      <c r="CL495" s="11"/>
      <c r="CS495" s="11"/>
      <c r="CZ495" s="11"/>
      <c r="DG495" s="11"/>
      <c r="DN495" s="11"/>
      <c r="DU495" s="11"/>
    </row>
    <row r="496" ht="15.75" customHeight="1">
      <c r="C496" s="8"/>
      <c r="BJ496" s="11"/>
      <c r="BX496" s="11"/>
      <c r="CE496" s="11"/>
      <c r="CL496" s="11"/>
      <c r="CS496" s="11"/>
      <c r="CZ496" s="11"/>
      <c r="DG496" s="11"/>
      <c r="DN496" s="11"/>
      <c r="DU496" s="11"/>
    </row>
    <row r="497" ht="15.75" customHeight="1">
      <c r="C497" s="8"/>
      <c r="BJ497" s="11"/>
      <c r="BX497" s="11"/>
      <c r="CE497" s="11"/>
      <c r="CL497" s="11"/>
      <c r="CS497" s="11"/>
      <c r="CZ497" s="11"/>
      <c r="DG497" s="11"/>
      <c r="DN497" s="11"/>
      <c r="DU497" s="11"/>
    </row>
    <row r="498" ht="15.75" customHeight="1">
      <c r="C498" s="8"/>
      <c r="BJ498" s="11"/>
      <c r="BX498" s="11"/>
      <c r="CE498" s="11"/>
      <c r="CL498" s="11"/>
      <c r="CS498" s="11"/>
      <c r="CZ498" s="11"/>
      <c r="DG498" s="11"/>
      <c r="DN498" s="11"/>
      <c r="DU498" s="11"/>
    </row>
    <row r="499" ht="15.75" customHeight="1">
      <c r="C499" s="8"/>
      <c r="BJ499" s="11"/>
      <c r="BX499" s="11"/>
      <c r="CE499" s="11"/>
      <c r="CL499" s="11"/>
      <c r="CS499" s="11"/>
      <c r="CZ499" s="11"/>
      <c r="DG499" s="11"/>
      <c r="DN499" s="11"/>
      <c r="DU499" s="11"/>
    </row>
    <row r="500" ht="15.75" customHeight="1">
      <c r="C500" s="8"/>
      <c r="BJ500" s="11"/>
      <c r="BX500" s="11"/>
      <c r="CE500" s="11"/>
      <c r="CL500" s="11"/>
      <c r="CS500" s="11"/>
      <c r="CZ500" s="11"/>
      <c r="DG500" s="11"/>
      <c r="DN500" s="11"/>
      <c r="DU500" s="11"/>
    </row>
    <row r="501" ht="15.75" customHeight="1">
      <c r="C501" s="8"/>
      <c r="BJ501" s="11"/>
      <c r="BX501" s="11"/>
      <c r="CE501" s="11"/>
      <c r="CL501" s="11"/>
      <c r="CS501" s="11"/>
      <c r="CZ501" s="11"/>
      <c r="DG501" s="11"/>
      <c r="DN501" s="11"/>
      <c r="DU501" s="11"/>
    </row>
    <row r="502" ht="15.75" customHeight="1">
      <c r="C502" s="8"/>
      <c r="BJ502" s="11"/>
      <c r="BX502" s="11"/>
      <c r="CE502" s="11"/>
      <c r="CL502" s="11"/>
      <c r="CS502" s="11"/>
      <c r="CZ502" s="11"/>
      <c r="DG502" s="11"/>
      <c r="DN502" s="11"/>
      <c r="DU502" s="11"/>
    </row>
    <row r="503" ht="15.75" customHeight="1">
      <c r="C503" s="8"/>
      <c r="BJ503" s="11"/>
      <c r="BX503" s="11"/>
      <c r="CE503" s="11"/>
      <c r="CL503" s="11"/>
      <c r="CS503" s="11"/>
      <c r="CZ503" s="11"/>
      <c r="DG503" s="11"/>
      <c r="DN503" s="11"/>
      <c r="DU503" s="11"/>
    </row>
    <row r="504" ht="15.75" customHeight="1">
      <c r="C504" s="8"/>
      <c r="BJ504" s="11"/>
      <c r="BX504" s="11"/>
      <c r="CE504" s="11"/>
      <c r="CL504" s="11"/>
      <c r="CS504" s="11"/>
      <c r="CZ504" s="11"/>
      <c r="DG504" s="11"/>
      <c r="DN504" s="11"/>
      <c r="DU504" s="11"/>
    </row>
    <row r="505" ht="15.75" customHeight="1">
      <c r="C505" s="8"/>
      <c r="BJ505" s="11"/>
      <c r="BX505" s="11"/>
      <c r="CE505" s="11"/>
      <c r="CL505" s="11"/>
      <c r="CS505" s="11"/>
      <c r="CZ505" s="11"/>
      <c r="DG505" s="11"/>
      <c r="DN505" s="11"/>
      <c r="DU505" s="11"/>
    </row>
    <row r="506" ht="15.75" customHeight="1">
      <c r="C506" s="8"/>
      <c r="BJ506" s="11"/>
      <c r="BX506" s="11"/>
      <c r="CE506" s="11"/>
      <c r="CL506" s="11"/>
      <c r="CS506" s="11"/>
      <c r="CZ506" s="11"/>
      <c r="DG506" s="11"/>
      <c r="DN506" s="11"/>
      <c r="DU506" s="11"/>
    </row>
    <row r="507" ht="15.75" customHeight="1">
      <c r="C507" s="8"/>
      <c r="BJ507" s="11"/>
      <c r="BX507" s="11"/>
      <c r="CE507" s="11"/>
      <c r="CL507" s="11"/>
      <c r="CS507" s="11"/>
      <c r="CZ507" s="11"/>
      <c r="DG507" s="11"/>
      <c r="DN507" s="11"/>
      <c r="DU507" s="11"/>
    </row>
    <row r="508" ht="15.75" customHeight="1">
      <c r="C508" s="8"/>
      <c r="BJ508" s="11"/>
      <c r="BX508" s="11"/>
      <c r="CE508" s="11"/>
      <c r="CL508" s="11"/>
      <c r="CS508" s="11"/>
      <c r="CZ508" s="11"/>
      <c r="DG508" s="11"/>
      <c r="DN508" s="11"/>
      <c r="DU508" s="11"/>
    </row>
    <row r="509" ht="15.75" customHeight="1">
      <c r="C509" s="8"/>
      <c r="BJ509" s="11"/>
      <c r="BX509" s="11"/>
      <c r="CE509" s="11"/>
      <c r="CL509" s="11"/>
      <c r="CS509" s="11"/>
      <c r="CZ509" s="11"/>
      <c r="DG509" s="11"/>
      <c r="DN509" s="11"/>
      <c r="DU509" s="11"/>
    </row>
    <row r="510" ht="15.75" customHeight="1">
      <c r="C510" s="8"/>
      <c r="BJ510" s="11"/>
      <c r="BX510" s="11"/>
      <c r="CE510" s="11"/>
      <c r="CL510" s="11"/>
      <c r="CS510" s="11"/>
      <c r="CZ510" s="11"/>
      <c r="DG510" s="11"/>
      <c r="DN510" s="11"/>
      <c r="DU510" s="11"/>
    </row>
    <row r="511" ht="15.75" customHeight="1">
      <c r="C511" s="8"/>
      <c r="BJ511" s="11"/>
      <c r="BX511" s="11"/>
      <c r="CE511" s="11"/>
      <c r="CL511" s="11"/>
      <c r="CS511" s="11"/>
      <c r="CZ511" s="11"/>
      <c r="DG511" s="11"/>
      <c r="DN511" s="11"/>
      <c r="DU511" s="11"/>
    </row>
    <row r="512" ht="15.75" customHeight="1">
      <c r="C512" s="8"/>
      <c r="BJ512" s="11"/>
      <c r="BX512" s="11"/>
      <c r="CE512" s="11"/>
      <c r="CL512" s="11"/>
      <c r="CS512" s="11"/>
      <c r="CZ512" s="11"/>
      <c r="DG512" s="11"/>
      <c r="DN512" s="11"/>
      <c r="DU512" s="11"/>
    </row>
    <row r="513" ht="15.75" customHeight="1">
      <c r="C513" s="8"/>
      <c r="BJ513" s="11"/>
      <c r="BX513" s="11"/>
      <c r="CE513" s="11"/>
      <c r="CL513" s="11"/>
      <c r="CS513" s="11"/>
      <c r="CZ513" s="11"/>
      <c r="DG513" s="11"/>
      <c r="DN513" s="11"/>
      <c r="DU513" s="11"/>
    </row>
    <row r="514" ht="15.75" customHeight="1">
      <c r="C514" s="8"/>
      <c r="BJ514" s="11"/>
      <c r="BX514" s="11"/>
      <c r="CE514" s="11"/>
      <c r="CL514" s="11"/>
      <c r="CS514" s="11"/>
      <c r="CZ514" s="11"/>
      <c r="DG514" s="11"/>
      <c r="DN514" s="11"/>
      <c r="DU514" s="11"/>
    </row>
    <row r="515" ht="15.75" customHeight="1">
      <c r="C515" s="8"/>
      <c r="BJ515" s="11"/>
      <c r="BX515" s="11"/>
      <c r="CE515" s="11"/>
      <c r="CL515" s="11"/>
      <c r="CS515" s="11"/>
      <c r="CZ515" s="11"/>
      <c r="DG515" s="11"/>
      <c r="DN515" s="11"/>
      <c r="DU515" s="11"/>
    </row>
    <row r="516" ht="15.75" customHeight="1">
      <c r="C516" s="8"/>
      <c r="BJ516" s="11"/>
      <c r="BX516" s="11"/>
      <c r="CE516" s="11"/>
      <c r="CL516" s="11"/>
      <c r="CS516" s="11"/>
      <c r="CZ516" s="11"/>
      <c r="DG516" s="11"/>
      <c r="DN516" s="11"/>
      <c r="DU516" s="11"/>
    </row>
    <row r="517" ht="15.75" customHeight="1">
      <c r="C517" s="8"/>
      <c r="BJ517" s="11"/>
      <c r="BX517" s="11"/>
      <c r="CE517" s="11"/>
      <c r="CL517" s="11"/>
      <c r="CS517" s="11"/>
      <c r="CZ517" s="11"/>
      <c r="DG517" s="11"/>
      <c r="DN517" s="11"/>
      <c r="DU517" s="11"/>
    </row>
    <row r="518" ht="15.75" customHeight="1">
      <c r="C518" s="8"/>
      <c r="BJ518" s="11"/>
      <c r="BX518" s="11"/>
      <c r="CE518" s="11"/>
      <c r="CL518" s="11"/>
      <c r="CS518" s="11"/>
      <c r="CZ518" s="11"/>
      <c r="DG518" s="11"/>
      <c r="DN518" s="11"/>
      <c r="DU518" s="11"/>
    </row>
    <row r="519" ht="15.75" customHeight="1">
      <c r="C519" s="8"/>
      <c r="BJ519" s="11"/>
      <c r="BX519" s="11"/>
      <c r="CE519" s="11"/>
      <c r="CL519" s="11"/>
      <c r="CS519" s="11"/>
      <c r="CZ519" s="11"/>
      <c r="DG519" s="11"/>
      <c r="DN519" s="11"/>
      <c r="DU519" s="11"/>
    </row>
    <row r="520" ht="15.75" customHeight="1">
      <c r="C520" s="8"/>
      <c r="BJ520" s="11"/>
      <c r="BX520" s="11"/>
      <c r="CE520" s="11"/>
      <c r="CL520" s="11"/>
      <c r="CS520" s="11"/>
      <c r="CZ520" s="11"/>
      <c r="DG520" s="11"/>
      <c r="DN520" s="11"/>
      <c r="DU520" s="11"/>
    </row>
    <row r="521" ht="15.75" customHeight="1">
      <c r="C521" s="8"/>
      <c r="BJ521" s="11"/>
      <c r="BX521" s="11"/>
      <c r="CE521" s="11"/>
      <c r="CL521" s="11"/>
      <c r="CS521" s="11"/>
      <c r="CZ521" s="11"/>
      <c r="DG521" s="11"/>
      <c r="DN521" s="11"/>
      <c r="DU521" s="11"/>
    </row>
    <row r="522" ht="15.75" customHeight="1">
      <c r="C522" s="8"/>
      <c r="BJ522" s="11"/>
      <c r="BX522" s="11"/>
      <c r="CE522" s="11"/>
      <c r="CL522" s="11"/>
      <c r="CS522" s="11"/>
      <c r="CZ522" s="11"/>
      <c r="DG522" s="11"/>
      <c r="DN522" s="11"/>
      <c r="DU522" s="11"/>
    </row>
    <row r="523" ht="15.75" customHeight="1">
      <c r="C523" s="8"/>
      <c r="BJ523" s="11"/>
      <c r="BX523" s="11"/>
      <c r="CE523" s="11"/>
      <c r="CL523" s="11"/>
      <c r="CS523" s="11"/>
      <c r="CZ523" s="11"/>
      <c r="DG523" s="11"/>
      <c r="DN523" s="11"/>
      <c r="DU523" s="11"/>
    </row>
    <row r="524" ht="15.75" customHeight="1">
      <c r="C524" s="8"/>
      <c r="BJ524" s="11"/>
      <c r="BX524" s="11"/>
      <c r="CE524" s="11"/>
      <c r="CL524" s="11"/>
      <c r="CS524" s="11"/>
      <c r="CZ524" s="11"/>
      <c r="DG524" s="11"/>
      <c r="DN524" s="11"/>
      <c r="DU524" s="11"/>
    </row>
    <row r="525" ht="15.75" customHeight="1">
      <c r="C525" s="8"/>
      <c r="BJ525" s="11"/>
      <c r="BX525" s="11"/>
      <c r="CE525" s="11"/>
      <c r="CL525" s="11"/>
      <c r="CS525" s="11"/>
      <c r="CZ525" s="11"/>
      <c r="DG525" s="11"/>
      <c r="DN525" s="11"/>
      <c r="DU525" s="11"/>
    </row>
    <row r="526" ht="15.75" customHeight="1">
      <c r="C526" s="8"/>
      <c r="BJ526" s="11"/>
      <c r="BX526" s="11"/>
      <c r="CE526" s="11"/>
      <c r="CL526" s="11"/>
      <c r="CS526" s="11"/>
      <c r="CZ526" s="11"/>
      <c r="DG526" s="11"/>
      <c r="DN526" s="11"/>
      <c r="DU526" s="11"/>
    </row>
    <row r="527" ht="15.75" customHeight="1">
      <c r="C527" s="8"/>
      <c r="BJ527" s="11"/>
      <c r="BX527" s="11"/>
      <c r="CE527" s="11"/>
      <c r="CL527" s="11"/>
      <c r="CS527" s="11"/>
      <c r="CZ527" s="11"/>
      <c r="DG527" s="11"/>
      <c r="DN527" s="11"/>
      <c r="DU527" s="11"/>
    </row>
    <row r="528" ht="15.75" customHeight="1">
      <c r="C528" s="8"/>
      <c r="BJ528" s="11"/>
      <c r="BX528" s="11"/>
      <c r="CE528" s="11"/>
      <c r="CL528" s="11"/>
      <c r="CS528" s="11"/>
      <c r="CZ528" s="11"/>
      <c r="DG528" s="11"/>
      <c r="DN528" s="11"/>
      <c r="DU528" s="11"/>
    </row>
    <row r="529" ht="15.75" customHeight="1">
      <c r="C529" s="8"/>
      <c r="BJ529" s="11"/>
      <c r="BX529" s="11"/>
      <c r="CE529" s="11"/>
      <c r="CL529" s="11"/>
      <c r="CS529" s="11"/>
      <c r="CZ529" s="11"/>
      <c r="DG529" s="11"/>
      <c r="DN529" s="11"/>
      <c r="DU529" s="11"/>
    </row>
    <row r="530" ht="15.75" customHeight="1">
      <c r="C530" s="8"/>
      <c r="BJ530" s="11"/>
      <c r="BX530" s="11"/>
      <c r="CE530" s="11"/>
      <c r="CL530" s="11"/>
      <c r="CS530" s="11"/>
      <c r="CZ530" s="11"/>
      <c r="DG530" s="11"/>
      <c r="DN530" s="11"/>
      <c r="DU530" s="11"/>
    </row>
    <row r="531" ht="15.75" customHeight="1">
      <c r="C531" s="8"/>
      <c r="BJ531" s="11"/>
      <c r="BX531" s="11"/>
      <c r="CE531" s="11"/>
      <c r="CL531" s="11"/>
      <c r="CS531" s="11"/>
      <c r="CZ531" s="11"/>
      <c r="DG531" s="11"/>
      <c r="DN531" s="11"/>
      <c r="DU531" s="11"/>
    </row>
    <row r="532" ht="15.75" customHeight="1">
      <c r="C532" s="8"/>
      <c r="BJ532" s="11"/>
      <c r="BX532" s="11"/>
      <c r="CE532" s="11"/>
      <c r="CL532" s="11"/>
      <c r="CS532" s="11"/>
      <c r="CZ532" s="11"/>
      <c r="DG532" s="11"/>
      <c r="DN532" s="11"/>
      <c r="DU532" s="11"/>
    </row>
    <row r="533" ht="15.75" customHeight="1">
      <c r="C533" s="8"/>
      <c r="BJ533" s="11"/>
      <c r="BX533" s="11"/>
      <c r="CE533" s="11"/>
      <c r="CL533" s="11"/>
      <c r="CS533" s="11"/>
      <c r="CZ533" s="11"/>
      <c r="DG533" s="11"/>
      <c r="DN533" s="11"/>
      <c r="DU533" s="11"/>
    </row>
    <row r="534" ht="15.75" customHeight="1">
      <c r="C534" s="8"/>
      <c r="BJ534" s="11"/>
      <c r="BX534" s="11"/>
      <c r="CE534" s="11"/>
      <c r="CL534" s="11"/>
      <c r="CS534" s="11"/>
      <c r="CZ534" s="11"/>
      <c r="DG534" s="11"/>
      <c r="DN534" s="11"/>
      <c r="DU534" s="11"/>
    </row>
    <row r="535" ht="15.75" customHeight="1">
      <c r="C535" s="8"/>
      <c r="BJ535" s="11"/>
      <c r="BX535" s="11"/>
      <c r="CE535" s="11"/>
      <c r="CL535" s="11"/>
      <c r="CS535" s="11"/>
      <c r="CZ535" s="11"/>
      <c r="DG535" s="11"/>
      <c r="DN535" s="11"/>
      <c r="DU535" s="11"/>
    </row>
    <row r="536" ht="15.75" customHeight="1">
      <c r="C536" s="8"/>
      <c r="BJ536" s="11"/>
      <c r="BX536" s="11"/>
      <c r="CE536" s="11"/>
      <c r="CL536" s="11"/>
      <c r="CS536" s="11"/>
      <c r="CZ536" s="11"/>
      <c r="DG536" s="11"/>
      <c r="DN536" s="11"/>
      <c r="DU536" s="11"/>
    </row>
    <row r="537" ht="15.75" customHeight="1">
      <c r="C537" s="8"/>
      <c r="BJ537" s="11"/>
      <c r="BX537" s="11"/>
      <c r="CE537" s="11"/>
      <c r="CL537" s="11"/>
      <c r="CS537" s="11"/>
      <c r="CZ537" s="11"/>
      <c r="DG537" s="11"/>
      <c r="DN537" s="11"/>
      <c r="DU537" s="11"/>
    </row>
    <row r="538" ht="15.75" customHeight="1">
      <c r="C538" s="8"/>
      <c r="BJ538" s="11"/>
      <c r="BX538" s="11"/>
      <c r="CE538" s="11"/>
      <c r="CL538" s="11"/>
      <c r="CS538" s="11"/>
      <c r="CZ538" s="11"/>
      <c r="DG538" s="11"/>
      <c r="DN538" s="11"/>
      <c r="DU538" s="11"/>
    </row>
    <row r="539" ht="15.75" customHeight="1">
      <c r="C539" s="8"/>
      <c r="BJ539" s="11"/>
      <c r="BX539" s="11"/>
      <c r="CE539" s="11"/>
      <c r="CL539" s="11"/>
      <c r="CS539" s="11"/>
      <c r="CZ539" s="11"/>
      <c r="DG539" s="11"/>
      <c r="DN539" s="11"/>
      <c r="DU539" s="11"/>
    </row>
    <row r="540" ht="15.75" customHeight="1">
      <c r="C540" s="8"/>
      <c r="BJ540" s="11"/>
      <c r="BX540" s="11"/>
      <c r="CE540" s="11"/>
      <c r="CL540" s="11"/>
      <c r="CS540" s="11"/>
      <c r="CZ540" s="11"/>
      <c r="DG540" s="11"/>
      <c r="DN540" s="11"/>
      <c r="DU540" s="11"/>
    </row>
    <row r="541" ht="15.75" customHeight="1">
      <c r="C541" s="8"/>
      <c r="BJ541" s="11"/>
      <c r="BX541" s="11"/>
      <c r="CE541" s="11"/>
      <c r="CL541" s="11"/>
      <c r="CS541" s="11"/>
      <c r="CZ541" s="11"/>
      <c r="DG541" s="11"/>
      <c r="DN541" s="11"/>
      <c r="DU541" s="11"/>
    </row>
    <row r="542" ht="15.75" customHeight="1">
      <c r="C542" s="8"/>
      <c r="BJ542" s="11"/>
      <c r="BX542" s="11"/>
      <c r="CE542" s="11"/>
      <c r="CL542" s="11"/>
      <c r="CS542" s="11"/>
      <c r="CZ542" s="11"/>
      <c r="DG542" s="11"/>
      <c r="DN542" s="11"/>
      <c r="DU542" s="11"/>
    </row>
    <row r="543" ht="15.75" customHeight="1">
      <c r="C543" s="8"/>
      <c r="BJ543" s="11"/>
      <c r="BX543" s="11"/>
      <c r="CE543" s="11"/>
      <c r="CL543" s="11"/>
      <c r="CS543" s="11"/>
      <c r="CZ543" s="11"/>
      <c r="DG543" s="11"/>
      <c r="DN543" s="11"/>
      <c r="DU543" s="11"/>
    </row>
    <row r="544" ht="15.75" customHeight="1">
      <c r="C544" s="8"/>
      <c r="BJ544" s="11"/>
      <c r="BX544" s="11"/>
      <c r="CE544" s="11"/>
      <c r="CL544" s="11"/>
      <c r="CS544" s="11"/>
      <c r="CZ544" s="11"/>
      <c r="DG544" s="11"/>
      <c r="DN544" s="11"/>
      <c r="DU544" s="11"/>
    </row>
    <row r="545" ht="15.75" customHeight="1">
      <c r="C545" s="8"/>
      <c r="BJ545" s="11"/>
      <c r="BX545" s="11"/>
      <c r="CE545" s="11"/>
      <c r="CL545" s="11"/>
      <c r="CS545" s="11"/>
      <c r="CZ545" s="11"/>
      <c r="DG545" s="11"/>
      <c r="DN545" s="11"/>
      <c r="DU545" s="11"/>
    </row>
    <row r="546" ht="15.75" customHeight="1">
      <c r="C546" s="8"/>
      <c r="BJ546" s="11"/>
      <c r="BX546" s="11"/>
      <c r="CE546" s="11"/>
      <c r="CL546" s="11"/>
      <c r="CS546" s="11"/>
      <c r="CZ546" s="11"/>
      <c r="DG546" s="11"/>
      <c r="DN546" s="11"/>
      <c r="DU546" s="11"/>
    </row>
    <row r="547" ht="15.75" customHeight="1">
      <c r="C547" s="8"/>
      <c r="BJ547" s="11"/>
      <c r="BX547" s="11"/>
      <c r="CE547" s="11"/>
      <c r="CL547" s="11"/>
      <c r="CS547" s="11"/>
      <c r="CZ547" s="11"/>
      <c r="DG547" s="11"/>
      <c r="DN547" s="11"/>
      <c r="DU547" s="11"/>
    </row>
    <row r="548" ht="15.75" customHeight="1">
      <c r="C548" s="8"/>
      <c r="BJ548" s="11"/>
      <c r="BX548" s="11"/>
      <c r="CE548" s="11"/>
      <c r="CL548" s="11"/>
      <c r="CS548" s="11"/>
      <c r="CZ548" s="11"/>
      <c r="DG548" s="11"/>
      <c r="DN548" s="11"/>
      <c r="DU548" s="11"/>
    </row>
    <row r="549" ht="15.75" customHeight="1">
      <c r="C549" s="8"/>
      <c r="BJ549" s="11"/>
      <c r="BX549" s="11"/>
      <c r="CE549" s="11"/>
      <c r="CL549" s="11"/>
      <c r="CS549" s="11"/>
      <c r="CZ549" s="11"/>
      <c r="DG549" s="11"/>
      <c r="DN549" s="11"/>
      <c r="DU549" s="11"/>
    </row>
    <row r="550" ht="15.75" customHeight="1">
      <c r="C550" s="8"/>
      <c r="BJ550" s="11"/>
      <c r="BX550" s="11"/>
      <c r="CE550" s="11"/>
      <c r="CL550" s="11"/>
      <c r="CS550" s="11"/>
      <c r="CZ550" s="11"/>
      <c r="DG550" s="11"/>
      <c r="DN550" s="11"/>
      <c r="DU550" s="11"/>
    </row>
    <row r="551" ht="15.75" customHeight="1">
      <c r="C551" s="8"/>
      <c r="BJ551" s="11"/>
      <c r="BX551" s="11"/>
      <c r="CE551" s="11"/>
      <c r="CL551" s="11"/>
      <c r="CS551" s="11"/>
      <c r="CZ551" s="11"/>
      <c r="DG551" s="11"/>
      <c r="DN551" s="11"/>
      <c r="DU551" s="11"/>
    </row>
    <row r="552" ht="15.75" customHeight="1">
      <c r="C552" s="8"/>
      <c r="BJ552" s="11"/>
      <c r="BX552" s="11"/>
      <c r="CE552" s="11"/>
      <c r="CL552" s="11"/>
      <c r="CS552" s="11"/>
      <c r="CZ552" s="11"/>
      <c r="DG552" s="11"/>
      <c r="DN552" s="11"/>
      <c r="DU552" s="11"/>
    </row>
    <row r="553" ht="15.75" customHeight="1">
      <c r="C553" s="8"/>
      <c r="BJ553" s="11"/>
      <c r="BX553" s="11"/>
      <c r="CE553" s="11"/>
      <c r="CL553" s="11"/>
      <c r="CS553" s="11"/>
      <c r="CZ553" s="11"/>
      <c r="DG553" s="11"/>
      <c r="DN553" s="11"/>
      <c r="DU553" s="11"/>
    </row>
    <row r="554" ht="15.75" customHeight="1">
      <c r="C554" s="8"/>
      <c r="BJ554" s="11"/>
      <c r="BX554" s="11"/>
      <c r="CE554" s="11"/>
      <c r="CL554" s="11"/>
      <c r="CS554" s="11"/>
      <c r="CZ554" s="11"/>
      <c r="DG554" s="11"/>
      <c r="DN554" s="11"/>
      <c r="DU554" s="11"/>
    </row>
    <row r="555" ht="15.75" customHeight="1">
      <c r="C555" s="8"/>
      <c r="BJ555" s="11"/>
      <c r="BX555" s="11"/>
      <c r="CE555" s="11"/>
      <c r="CL555" s="11"/>
      <c r="CS555" s="11"/>
      <c r="CZ555" s="11"/>
      <c r="DG555" s="11"/>
      <c r="DN555" s="11"/>
      <c r="DU555" s="11"/>
    </row>
    <row r="556" ht="15.75" customHeight="1">
      <c r="C556" s="8"/>
      <c r="BJ556" s="11"/>
      <c r="BX556" s="11"/>
      <c r="CE556" s="11"/>
      <c r="CL556" s="11"/>
      <c r="CS556" s="11"/>
      <c r="CZ556" s="11"/>
      <c r="DG556" s="11"/>
      <c r="DN556" s="11"/>
      <c r="DU556" s="11"/>
    </row>
    <row r="557" ht="15.75" customHeight="1">
      <c r="C557" s="8"/>
      <c r="BJ557" s="11"/>
      <c r="BX557" s="11"/>
      <c r="CE557" s="11"/>
      <c r="CL557" s="11"/>
      <c r="CS557" s="11"/>
      <c r="CZ557" s="11"/>
      <c r="DG557" s="11"/>
      <c r="DN557" s="11"/>
      <c r="DU557" s="11"/>
    </row>
    <row r="558" ht="15.75" customHeight="1">
      <c r="C558" s="8"/>
      <c r="BJ558" s="11"/>
      <c r="BX558" s="11"/>
      <c r="CE558" s="11"/>
      <c r="CL558" s="11"/>
      <c r="CS558" s="11"/>
      <c r="CZ558" s="11"/>
      <c r="DG558" s="11"/>
      <c r="DN558" s="11"/>
      <c r="DU558" s="11"/>
    </row>
    <row r="559" ht="15.75" customHeight="1">
      <c r="C559" s="8"/>
      <c r="BJ559" s="11"/>
      <c r="BX559" s="11"/>
      <c r="CE559" s="11"/>
      <c r="CL559" s="11"/>
      <c r="CS559" s="11"/>
      <c r="CZ559" s="11"/>
      <c r="DG559" s="11"/>
      <c r="DN559" s="11"/>
      <c r="DU559" s="11"/>
    </row>
    <row r="560" ht="15.75" customHeight="1">
      <c r="C560" s="8"/>
      <c r="BJ560" s="11"/>
      <c r="BX560" s="11"/>
      <c r="CE560" s="11"/>
      <c r="CL560" s="11"/>
      <c r="CS560" s="11"/>
      <c r="CZ560" s="11"/>
      <c r="DG560" s="11"/>
      <c r="DN560" s="11"/>
      <c r="DU560" s="11"/>
    </row>
    <row r="561" ht="15.75" customHeight="1">
      <c r="C561" s="8"/>
      <c r="BJ561" s="11"/>
      <c r="BX561" s="11"/>
      <c r="CE561" s="11"/>
      <c r="CL561" s="11"/>
      <c r="CS561" s="11"/>
      <c r="CZ561" s="11"/>
      <c r="DG561" s="11"/>
      <c r="DN561" s="11"/>
      <c r="DU561" s="11"/>
    </row>
    <row r="562" ht="15.75" customHeight="1">
      <c r="C562" s="8"/>
      <c r="BJ562" s="11"/>
      <c r="BX562" s="11"/>
      <c r="CE562" s="11"/>
      <c r="CL562" s="11"/>
      <c r="CS562" s="11"/>
      <c r="CZ562" s="11"/>
      <c r="DG562" s="11"/>
      <c r="DN562" s="11"/>
      <c r="DU562" s="11"/>
    </row>
    <row r="563" ht="15.75" customHeight="1">
      <c r="C563" s="8"/>
      <c r="BJ563" s="11"/>
      <c r="BX563" s="11"/>
      <c r="CE563" s="11"/>
      <c r="CL563" s="11"/>
      <c r="CS563" s="11"/>
      <c r="CZ563" s="11"/>
      <c r="DG563" s="11"/>
      <c r="DN563" s="11"/>
      <c r="DU563" s="11"/>
    </row>
    <row r="564" ht="15.75" customHeight="1">
      <c r="C564" s="8"/>
      <c r="BJ564" s="11"/>
      <c r="BX564" s="11"/>
      <c r="CE564" s="11"/>
      <c r="CL564" s="11"/>
      <c r="CS564" s="11"/>
      <c r="CZ564" s="11"/>
      <c r="DG564" s="11"/>
      <c r="DN564" s="11"/>
      <c r="DU564" s="11"/>
    </row>
    <row r="565" ht="15.75" customHeight="1">
      <c r="C565" s="8"/>
      <c r="BJ565" s="11"/>
      <c r="BX565" s="11"/>
      <c r="CE565" s="11"/>
      <c r="CL565" s="11"/>
      <c r="CS565" s="11"/>
      <c r="CZ565" s="11"/>
      <c r="DG565" s="11"/>
      <c r="DN565" s="11"/>
      <c r="DU565" s="11"/>
    </row>
    <row r="566" ht="15.75" customHeight="1">
      <c r="C566" s="8"/>
      <c r="BJ566" s="11"/>
      <c r="BX566" s="11"/>
      <c r="CE566" s="11"/>
      <c r="CL566" s="11"/>
      <c r="CS566" s="11"/>
      <c r="CZ566" s="11"/>
      <c r="DG566" s="11"/>
      <c r="DN566" s="11"/>
      <c r="DU566" s="11"/>
    </row>
    <row r="567" ht="15.75" customHeight="1">
      <c r="C567" s="8"/>
      <c r="BJ567" s="11"/>
      <c r="BX567" s="11"/>
      <c r="CE567" s="11"/>
      <c r="CL567" s="11"/>
      <c r="CS567" s="11"/>
      <c r="CZ567" s="11"/>
      <c r="DG567" s="11"/>
      <c r="DN567" s="11"/>
      <c r="DU567" s="11"/>
    </row>
    <row r="568" ht="15.75" customHeight="1">
      <c r="C568" s="8"/>
      <c r="BJ568" s="11"/>
      <c r="BX568" s="11"/>
      <c r="CE568" s="11"/>
      <c r="CL568" s="11"/>
      <c r="CS568" s="11"/>
      <c r="CZ568" s="11"/>
      <c r="DG568" s="11"/>
      <c r="DN568" s="11"/>
      <c r="DU568" s="11"/>
    </row>
    <row r="569" ht="15.75" customHeight="1">
      <c r="C569" s="8"/>
      <c r="BJ569" s="11"/>
      <c r="BX569" s="11"/>
      <c r="CE569" s="11"/>
      <c r="CL569" s="11"/>
      <c r="CS569" s="11"/>
      <c r="CZ569" s="11"/>
      <c r="DG569" s="11"/>
      <c r="DN569" s="11"/>
      <c r="DU569" s="11"/>
    </row>
    <row r="570" ht="15.75" customHeight="1">
      <c r="C570" s="8"/>
      <c r="BJ570" s="11"/>
      <c r="BX570" s="11"/>
      <c r="CE570" s="11"/>
      <c r="CL570" s="11"/>
      <c r="CS570" s="11"/>
      <c r="CZ570" s="11"/>
      <c r="DG570" s="11"/>
      <c r="DN570" s="11"/>
      <c r="DU570" s="11"/>
    </row>
    <row r="571" ht="15.75" customHeight="1">
      <c r="C571" s="8"/>
      <c r="BJ571" s="11"/>
      <c r="BX571" s="11"/>
      <c r="CE571" s="11"/>
      <c r="CL571" s="11"/>
      <c r="CS571" s="11"/>
      <c r="CZ571" s="11"/>
      <c r="DG571" s="11"/>
      <c r="DN571" s="11"/>
      <c r="DU571" s="11"/>
    </row>
    <row r="572" ht="15.75" customHeight="1">
      <c r="C572" s="8"/>
      <c r="BJ572" s="11"/>
      <c r="BX572" s="11"/>
      <c r="CE572" s="11"/>
      <c r="CL572" s="11"/>
      <c r="CS572" s="11"/>
      <c r="CZ572" s="11"/>
      <c r="DG572" s="11"/>
      <c r="DN572" s="11"/>
      <c r="DU572" s="11"/>
    </row>
    <row r="573" ht="15.75" customHeight="1">
      <c r="C573" s="8"/>
      <c r="BJ573" s="11"/>
      <c r="BX573" s="11"/>
      <c r="CE573" s="11"/>
      <c r="CL573" s="11"/>
      <c r="CS573" s="11"/>
      <c r="CZ573" s="11"/>
      <c r="DG573" s="11"/>
      <c r="DN573" s="11"/>
      <c r="DU573" s="11"/>
    </row>
    <row r="574" ht="15.75" customHeight="1">
      <c r="C574" s="8"/>
      <c r="BJ574" s="11"/>
      <c r="BX574" s="11"/>
      <c r="CE574" s="11"/>
      <c r="CL574" s="11"/>
      <c r="CS574" s="11"/>
      <c r="CZ574" s="11"/>
      <c r="DG574" s="11"/>
      <c r="DN574" s="11"/>
      <c r="DU574" s="11"/>
    </row>
    <row r="575" ht="15.75" customHeight="1">
      <c r="C575" s="8"/>
      <c r="BJ575" s="11"/>
      <c r="BX575" s="11"/>
      <c r="CE575" s="11"/>
      <c r="CL575" s="11"/>
      <c r="CS575" s="11"/>
      <c r="CZ575" s="11"/>
      <c r="DG575" s="11"/>
      <c r="DN575" s="11"/>
      <c r="DU575" s="11"/>
    </row>
    <row r="576" ht="15.75" customHeight="1">
      <c r="C576" s="8"/>
      <c r="BJ576" s="11"/>
      <c r="BX576" s="11"/>
      <c r="CE576" s="11"/>
      <c r="CL576" s="11"/>
      <c r="CS576" s="11"/>
      <c r="CZ576" s="11"/>
      <c r="DG576" s="11"/>
      <c r="DN576" s="11"/>
      <c r="DU576" s="11"/>
    </row>
    <row r="577" ht="15.75" customHeight="1">
      <c r="C577" s="8"/>
      <c r="BJ577" s="11"/>
      <c r="BX577" s="11"/>
      <c r="CE577" s="11"/>
      <c r="CL577" s="11"/>
      <c r="CS577" s="11"/>
      <c r="CZ577" s="11"/>
      <c r="DG577" s="11"/>
      <c r="DN577" s="11"/>
      <c r="DU577" s="11"/>
    </row>
    <row r="578" ht="15.75" customHeight="1">
      <c r="C578" s="8"/>
      <c r="BJ578" s="11"/>
      <c r="BX578" s="11"/>
      <c r="CE578" s="11"/>
      <c r="CL578" s="11"/>
      <c r="CS578" s="11"/>
      <c r="CZ578" s="11"/>
      <c r="DG578" s="11"/>
      <c r="DN578" s="11"/>
      <c r="DU578" s="11"/>
    </row>
    <row r="579" ht="15.75" customHeight="1">
      <c r="C579" s="8"/>
      <c r="BJ579" s="11"/>
      <c r="BX579" s="11"/>
      <c r="CE579" s="11"/>
      <c r="CL579" s="11"/>
      <c r="CS579" s="11"/>
      <c r="CZ579" s="11"/>
      <c r="DG579" s="11"/>
      <c r="DN579" s="11"/>
      <c r="DU579" s="11"/>
    </row>
    <row r="580" ht="15.75" customHeight="1">
      <c r="C580" s="8"/>
      <c r="BJ580" s="11"/>
      <c r="BX580" s="11"/>
      <c r="CE580" s="11"/>
      <c r="CL580" s="11"/>
      <c r="CS580" s="11"/>
      <c r="CZ580" s="11"/>
      <c r="DG580" s="11"/>
      <c r="DN580" s="11"/>
      <c r="DU580" s="11"/>
    </row>
    <row r="581" ht="15.75" customHeight="1">
      <c r="C581" s="8"/>
      <c r="BJ581" s="11"/>
      <c r="BX581" s="11"/>
      <c r="CE581" s="11"/>
      <c r="CL581" s="11"/>
      <c r="CS581" s="11"/>
      <c r="CZ581" s="11"/>
      <c r="DG581" s="11"/>
      <c r="DN581" s="11"/>
      <c r="DU581" s="11"/>
    </row>
    <row r="582" ht="15.75" customHeight="1">
      <c r="C582" s="8"/>
      <c r="BJ582" s="11"/>
      <c r="BX582" s="11"/>
      <c r="CE582" s="11"/>
      <c r="CL582" s="11"/>
      <c r="CS582" s="11"/>
      <c r="CZ582" s="11"/>
      <c r="DG582" s="11"/>
      <c r="DN582" s="11"/>
      <c r="DU582" s="11"/>
    </row>
    <row r="583" ht="15.75" customHeight="1">
      <c r="C583" s="8"/>
      <c r="BJ583" s="11"/>
      <c r="BX583" s="11"/>
      <c r="CE583" s="11"/>
      <c r="CL583" s="11"/>
      <c r="CS583" s="11"/>
      <c r="CZ583" s="11"/>
      <c r="DG583" s="11"/>
      <c r="DN583" s="11"/>
      <c r="DU583" s="11"/>
    </row>
    <row r="584" ht="15.75" customHeight="1">
      <c r="C584" s="8"/>
      <c r="BJ584" s="11"/>
      <c r="BX584" s="11"/>
      <c r="CE584" s="11"/>
      <c r="CL584" s="11"/>
      <c r="CS584" s="11"/>
      <c r="CZ584" s="11"/>
      <c r="DG584" s="11"/>
      <c r="DN584" s="11"/>
      <c r="DU584" s="11"/>
    </row>
    <row r="585" ht="15.75" customHeight="1">
      <c r="C585" s="8"/>
      <c r="BJ585" s="11"/>
      <c r="BX585" s="11"/>
      <c r="CE585" s="11"/>
      <c r="CL585" s="11"/>
      <c r="CS585" s="11"/>
      <c r="CZ585" s="11"/>
      <c r="DG585" s="11"/>
      <c r="DN585" s="11"/>
      <c r="DU585" s="11"/>
    </row>
    <row r="586" ht="15.75" customHeight="1">
      <c r="C586" s="8"/>
      <c r="BJ586" s="11"/>
      <c r="BX586" s="11"/>
      <c r="CE586" s="11"/>
      <c r="CL586" s="11"/>
      <c r="CS586" s="11"/>
      <c r="CZ586" s="11"/>
      <c r="DG586" s="11"/>
      <c r="DN586" s="11"/>
      <c r="DU586" s="11"/>
    </row>
    <row r="587" ht="15.75" customHeight="1">
      <c r="C587" s="8"/>
      <c r="BJ587" s="11"/>
      <c r="BX587" s="11"/>
      <c r="CE587" s="11"/>
      <c r="CL587" s="11"/>
      <c r="CS587" s="11"/>
      <c r="CZ587" s="11"/>
      <c r="DG587" s="11"/>
      <c r="DN587" s="11"/>
      <c r="DU587" s="11"/>
    </row>
    <row r="588" ht="15.75" customHeight="1">
      <c r="C588" s="8"/>
      <c r="BJ588" s="11"/>
      <c r="BX588" s="11"/>
      <c r="CE588" s="11"/>
      <c r="CL588" s="11"/>
      <c r="CS588" s="11"/>
      <c r="CZ588" s="11"/>
      <c r="DG588" s="11"/>
      <c r="DN588" s="11"/>
      <c r="DU588" s="11"/>
    </row>
    <row r="589" ht="15.75" customHeight="1">
      <c r="C589" s="8"/>
      <c r="BJ589" s="11"/>
      <c r="BX589" s="11"/>
      <c r="CE589" s="11"/>
      <c r="CL589" s="11"/>
      <c r="CS589" s="11"/>
      <c r="CZ589" s="11"/>
      <c r="DG589" s="11"/>
      <c r="DN589" s="11"/>
      <c r="DU589" s="11"/>
    </row>
    <row r="590" ht="15.75" customHeight="1">
      <c r="C590" s="8"/>
      <c r="BJ590" s="11"/>
      <c r="BX590" s="11"/>
      <c r="CE590" s="11"/>
      <c r="CL590" s="11"/>
      <c r="CS590" s="11"/>
      <c r="CZ590" s="11"/>
      <c r="DG590" s="11"/>
      <c r="DN590" s="11"/>
      <c r="DU590" s="11"/>
    </row>
    <row r="591" ht="15.75" customHeight="1">
      <c r="C591" s="8"/>
      <c r="BJ591" s="11"/>
      <c r="BX591" s="11"/>
      <c r="CE591" s="11"/>
      <c r="CL591" s="11"/>
      <c r="CS591" s="11"/>
      <c r="CZ591" s="11"/>
      <c r="DG591" s="11"/>
      <c r="DN591" s="11"/>
      <c r="DU591" s="11"/>
    </row>
    <row r="592" ht="15.75" customHeight="1">
      <c r="C592" s="8"/>
      <c r="BJ592" s="11"/>
      <c r="BX592" s="11"/>
      <c r="CE592" s="11"/>
      <c r="CL592" s="11"/>
      <c r="CS592" s="11"/>
      <c r="CZ592" s="11"/>
      <c r="DG592" s="11"/>
      <c r="DN592" s="11"/>
      <c r="DU592" s="11"/>
    </row>
    <row r="593" ht="15.75" customHeight="1">
      <c r="C593" s="8"/>
      <c r="BJ593" s="11"/>
      <c r="BX593" s="11"/>
      <c r="CE593" s="11"/>
      <c r="CL593" s="11"/>
      <c r="CS593" s="11"/>
      <c r="CZ593" s="11"/>
      <c r="DG593" s="11"/>
      <c r="DN593" s="11"/>
      <c r="DU593" s="11"/>
    </row>
    <row r="594" ht="15.75" customHeight="1">
      <c r="C594" s="8"/>
      <c r="BJ594" s="11"/>
      <c r="BX594" s="11"/>
      <c r="CE594" s="11"/>
      <c r="CL594" s="11"/>
      <c r="CS594" s="11"/>
      <c r="CZ594" s="11"/>
      <c r="DG594" s="11"/>
      <c r="DN594" s="11"/>
      <c r="DU594" s="11"/>
    </row>
    <row r="595" ht="15.75" customHeight="1">
      <c r="C595" s="8"/>
      <c r="BJ595" s="11"/>
      <c r="BX595" s="11"/>
      <c r="CE595" s="11"/>
      <c r="CL595" s="11"/>
      <c r="CS595" s="11"/>
      <c r="CZ595" s="11"/>
      <c r="DG595" s="11"/>
      <c r="DN595" s="11"/>
      <c r="DU595" s="11"/>
    </row>
    <row r="596" ht="15.75" customHeight="1">
      <c r="C596" s="8"/>
      <c r="BJ596" s="11"/>
      <c r="BX596" s="11"/>
      <c r="CE596" s="11"/>
      <c r="CL596" s="11"/>
      <c r="CS596" s="11"/>
      <c r="CZ596" s="11"/>
      <c r="DG596" s="11"/>
      <c r="DN596" s="11"/>
      <c r="DU596" s="11"/>
    </row>
    <row r="597" ht="15.75" customHeight="1">
      <c r="C597" s="8"/>
      <c r="BJ597" s="11"/>
      <c r="BX597" s="11"/>
      <c r="CE597" s="11"/>
      <c r="CL597" s="11"/>
      <c r="CS597" s="11"/>
      <c r="CZ597" s="11"/>
      <c r="DG597" s="11"/>
      <c r="DN597" s="11"/>
      <c r="DU597" s="11"/>
    </row>
    <row r="598" ht="15.75" customHeight="1">
      <c r="C598" s="8"/>
      <c r="BJ598" s="11"/>
      <c r="BX598" s="11"/>
      <c r="CE598" s="11"/>
      <c r="CL598" s="11"/>
      <c r="CS598" s="11"/>
      <c r="CZ598" s="11"/>
      <c r="DG598" s="11"/>
      <c r="DN598" s="11"/>
      <c r="DU598" s="11"/>
    </row>
    <row r="599" ht="15.75" customHeight="1">
      <c r="C599" s="8"/>
      <c r="BJ599" s="11"/>
      <c r="BX599" s="11"/>
      <c r="CE599" s="11"/>
      <c r="CL599" s="11"/>
      <c r="CS599" s="11"/>
      <c r="CZ599" s="11"/>
      <c r="DG599" s="11"/>
      <c r="DN599" s="11"/>
      <c r="DU599" s="11"/>
    </row>
    <row r="600" ht="15.75" customHeight="1">
      <c r="C600" s="8"/>
      <c r="BJ600" s="11"/>
      <c r="BX600" s="11"/>
      <c r="CE600" s="11"/>
      <c r="CL600" s="11"/>
      <c r="CS600" s="11"/>
      <c r="CZ600" s="11"/>
      <c r="DG600" s="11"/>
      <c r="DN600" s="11"/>
      <c r="DU600" s="11"/>
    </row>
    <row r="601" ht="15.75" customHeight="1">
      <c r="C601" s="8"/>
      <c r="BJ601" s="11"/>
      <c r="BX601" s="11"/>
      <c r="CE601" s="11"/>
      <c r="CL601" s="11"/>
      <c r="CS601" s="11"/>
      <c r="CZ601" s="11"/>
      <c r="DG601" s="11"/>
      <c r="DN601" s="11"/>
      <c r="DU601" s="11"/>
    </row>
    <row r="602" ht="15.75" customHeight="1">
      <c r="C602" s="8"/>
      <c r="BJ602" s="11"/>
      <c r="BX602" s="11"/>
      <c r="CE602" s="11"/>
      <c r="CL602" s="11"/>
      <c r="CS602" s="11"/>
      <c r="CZ602" s="11"/>
      <c r="DG602" s="11"/>
      <c r="DN602" s="11"/>
      <c r="DU602" s="11"/>
    </row>
    <row r="603" ht="15.75" customHeight="1">
      <c r="C603" s="8"/>
      <c r="BJ603" s="11"/>
      <c r="BX603" s="11"/>
      <c r="CE603" s="11"/>
      <c r="CL603" s="11"/>
      <c r="CS603" s="11"/>
      <c r="CZ603" s="11"/>
      <c r="DG603" s="11"/>
      <c r="DN603" s="11"/>
      <c r="DU603" s="11"/>
    </row>
    <row r="604" ht="15.75" customHeight="1">
      <c r="C604" s="8"/>
      <c r="BJ604" s="11"/>
      <c r="BX604" s="11"/>
      <c r="CE604" s="11"/>
      <c r="CL604" s="11"/>
      <c r="CS604" s="11"/>
      <c r="CZ604" s="11"/>
      <c r="DG604" s="11"/>
      <c r="DN604" s="11"/>
      <c r="DU604" s="11"/>
    </row>
    <row r="605" ht="15.75" customHeight="1">
      <c r="C605" s="8"/>
      <c r="BJ605" s="11"/>
      <c r="BX605" s="11"/>
      <c r="CE605" s="11"/>
      <c r="CL605" s="11"/>
      <c r="CS605" s="11"/>
      <c r="CZ605" s="11"/>
      <c r="DG605" s="11"/>
      <c r="DN605" s="11"/>
      <c r="DU605" s="11"/>
    </row>
    <row r="606" ht="15.75" customHeight="1">
      <c r="C606" s="8"/>
      <c r="BJ606" s="11"/>
      <c r="BX606" s="11"/>
      <c r="CE606" s="11"/>
      <c r="CL606" s="11"/>
      <c r="CS606" s="11"/>
      <c r="CZ606" s="11"/>
      <c r="DG606" s="11"/>
      <c r="DN606" s="11"/>
      <c r="DU606" s="11"/>
    </row>
    <row r="607" ht="15.75" customHeight="1">
      <c r="C607" s="8"/>
      <c r="BJ607" s="11"/>
      <c r="BX607" s="11"/>
      <c r="CE607" s="11"/>
      <c r="CL607" s="11"/>
      <c r="CS607" s="11"/>
      <c r="CZ607" s="11"/>
      <c r="DG607" s="11"/>
      <c r="DN607" s="11"/>
      <c r="DU607" s="11"/>
    </row>
    <row r="608" ht="15.75" customHeight="1">
      <c r="C608" s="8"/>
      <c r="BJ608" s="11"/>
      <c r="BX608" s="11"/>
      <c r="CE608" s="11"/>
      <c r="CL608" s="11"/>
      <c r="CS608" s="11"/>
      <c r="CZ608" s="11"/>
      <c r="DG608" s="11"/>
      <c r="DN608" s="11"/>
      <c r="DU608" s="11"/>
    </row>
    <row r="609" ht="15.75" customHeight="1">
      <c r="C609" s="8"/>
      <c r="BJ609" s="11"/>
      <c r="BX609" s="11"/>
      <c r="CE609" s="11"/>
      <c r="CL609" s="11"/>
      <c r="CS609" s="11"/>
      <c r="CZ609" s="11"/>
      <c r="DG609" s="11"/>
      <c r="DN609" s="11"/>
      <c r="DU609" s="11"/>
    </row>
    <row r="610" ht="15.75" customHeight="1">
      <c r="C610" s="8"/>
      <c r="BJ610" s="11"/>
      <c r="BX610" s="11"/>
      <c r="CE610" s="11"/>
      <c r="CL610" s="11"/>
      <c r="CS610" s="11"/>
      <c r="CZ610" s="11"/>
      <c r="DG610" s="11"/>
      <c r="DN610" s="11"/>
      <c r="DU610" s="11"/>
    </row>
    <row r="611" ht="15.75" customHeight="1">
      <c r="C611" s="8"/>
      <c r="BJ611" s="11"/>
      <c r="BX611" s="11"/>
      <c r="CE611" s="11"/>
      <c r="CL611" s="11"/>
      <c r="CS611" s="11"/>
      <c r="CZ611" s="11"/>
      <c r="DG611" s="11"/>
      <c r="DN611" s="11"/>
      <c r="DU611" s="11"/>
    </row>
    <row r="612" ht="15.75" customHeight="1">
      <c r="C612" s="8"/>
      <c r="BJ612" s="11"/>
      <c r="BX612" s="11"/>
      <c r="CE612" s="11"/>
      <c r="CL612" s="11"/>
      <c r="CS612" s="11"/>
      <c r="CZ612" s="11"/>
      <c r="DG612" s="11"/>
      <c r="DN612" s="11"/>
      <c r="DU612" s="11"/>
    </row>
    <row r="613" ht="15.75" customHeight="1">
      <c r="C613" s="8"/>
      <c r="BJ613" s="11"/>
      <c r="BX613" s="11"/>
      <c r="CE613" s="11"/>
      <c r="CL613" s="11"/>
      <c r="CS613" s="11"/>
      <c r="CZ613" s="11"/>
      <c r="DG613" s="11"/>
      <c r="DN613" s="11"/>
      <c r="DU613" s="11"/>
    </row>
    <row r="614" ht="15.75" customHeight="1">
      <c r="C614" s="8"/>
      <c r="BJ614" s="11"/>
      <c r="BX614" s="11"/>
      <c r="CE614" s="11"/>
      <c r="CL614" s="11"/>
      <c r="CS614" s="11"/>
      <c r="CZ614" s="11"/>
      <c r="DG614" s="11"/>
      <c r="DN614" s="11"/>
      <c r="DU614" s="11"/>
    </row>
    <row r="615" ht="15.75" customHeight="1">
      <c r="C615" s="8"/>
      <c r="BJ615" s="11"/>
      <c r="BX615" s="11"/>
      <c r="CE615" s="11"/>
      <c r="CL615" s="11"/>
      <c r="CS615" s="11"/>
      <c r="CZ615" s="11"/>
      <c r="DG615" s="11"/>
      <c r="DN615" s="11"/>
      <c r="DU615" s="11"/>
    </row>
    <row r="616" ht="15.75" customHeight="1">
      <c r="C616" s="8"/>
      <c r="BJ616" s="11"/>
      <c r="BX616" s="11"/>
      <c r="CE616" s="11"/>
      <c r="CL616" s="11"/>
      <c r="CS616" s="11"/>
      <c r="CZ616" s="11"/>
      <c r="DG616" s="11"/>
      <c r="DN616" s="11"/>
      <c r="DU616" s="11"/>
    </row>
    <row r="617" ht="15.75" customHeight="1">
      <c r="C617" s="8"/>
      <c r="BJ617" s="11"/>
      <c r="BX617" s="11"/>
      <c r="CE617" s="11"/>
      <c r="CL617" s="11"/>
      <c r="CS617" s="11"/>
      <c r="CZ617" s="11"/>
      <c r="DG617" s="11"/>
      <c r="DN617" s="11"/>
      <c r="DU617" s="11"/>
    </row>
    <row r="618" ht="15.75" customHeight="1">
      <c r="C618" s="8"/>
      <c r="BJ618" s="11"/>
      <c r="BX618" s="11"/>
      <c r="CE618" s="11"/>
      <c r="CL618" s="11"/>
      <c r="CS618" s="11"/>
      <c r="CZ618" s="11"/>
      <c r="DG618" s="11"/>
      <c r="DN618" s="11"/>
      <c r="DU618" s="11"/>
    </row>
    <row r="619" ht="15.75" customHeight="1">
      <c r="C619" s="8"/>
      <c r="BJ619" s="11"/>
      <c r="BX619" s="11"/>
      <c r="CE619" s="11"/>
      <c r="CL619" s="11"/>
      <c r="CS619" s="11"/>
      <c r="CZ619" s="11"/>
      <c r="DG619" s="11"/>
      <c r="DN619" s="11"/>
      <c r="DU619" s="11"/>
    </row>
    <row r="620" ht="15.75" customHeight="1">
      <c r="C620" s="8"/>
      <c r="BJ620" s="11"/>
      <c r="BX620" s="11"/>
      <c r="CE620" s="11"/>
      <c r="CL620" s="11"/>
      <c r="CS620" s="11"/>
      <c r="CZ620" s="11"/>
      <c r="DG620" s="11"/>
      <c r="DN620" s="11"/>
      <c r="DU620" s="11"/>
    </row>
    <row r="621" ht="15.75" customHeight="1">
      <c r="C621" s="8"/>
      <c r="BJ621" s="11"/>
      <c r="BX621" s="11"/>
      <c r="CE621" s="11"/>
      <c r="CL621" s="11"/>
      <c r="CS621" s="11"/>
      <c r="CZ621" s="11"/>
      <c r="DG621" s="11"/>
      <c r="DN621" s="11"/>
      <c r="DU621" s="11"/>
    </row>
    <row r="622" ht="15.75" customHeight="1">
      <c r="C622" s="8"/>
      <c r="BJ622" s="11"/>
      <c r="BX622" s="11"/>
      <c r="CE622" s="11"/>
      <c r="CL622" s="11"/>
      <c r="CS622" s="11"/>
      <c r="CZ622" s="11"/>
      <c r="DG622" s="11"/>
      <c r="DN622" s="11"/>
      <c r="DU622" s="11"/>
    </row>
    <row r="623" ht="15.75" customHeight="1">
      <c r="C623" s="8"/>
      <c r="BJ623" s="11"/>
      <c r="BX623" s="11"/>
      <c r="CE623" s="11"/>
      <c r="CL623" s="11"/>
      <c r="CS623" s="11"/>
      <c r="CZ623" s="11"/>
      <c r="DG623" s="11"/>
      <c r="DN623" s="11"/>
      <c r="DU623" s="11"/>
    </row>
    <row r="624" ht="15.75" customHeight="1">
      <c r="C624" s="8"/>
      <c r="BJ624" s="11"/>
      <c r="BX624" s="11"/>
      <c r="CE624" s="11"/>
      <c r="CL624" s="11"/>
      <c r="CS624" s="11"/>
      <c r="CZ624" s="11"/>
      <c r="DG624" s="11"/>
      <c r="DN624" s="11"/>
      <c r="DU624" s="11"/>
    </row>
    <row r="625" ht="15.75" customHeight="1">
      <c r="C625" s="8"/>
      <c r="BJ625" s="11"/>
      <c r="BX625" s="11"/>
      <c r="CE625" s="11"/>
      <c r="CL625" s="11"/>
      <c r="CS625" s="11"/>
      <c r="CZ625" s="11"/>
      <c r="DG625" s="11"/>
      <c r="DN625" s="11"/>
      <c r="DU625" s="11"/>
    </row>
    <row r="626" ht="15.75" customHeight="1">
      <c r="C626" s="8"/>
      <c r="BJ626" s="11"/>
      <c r="BX626" s="11"/>
      <c r="CE626" s="11"/>
      <c r="CL626" s="11"/>
      <c r="CS626" s="11"/>
      <c r="CZ626" s="11"/>
      <c r="DG626" s="11"/>
      <c r="DN626" s="11"/>
      <c r="DU626" s="11"/>
    </row>
    <row r="627" ht="15.75" customHeight="1">
      <c r="C627" s="8"/>
      <c r="BJ627" s="11"/>
      <c r="BX627" s="11"/>
      <c r="CE627" s="11"/>
      <c r="CL627" s="11"/>
      <c r="CS627" s="11"/>
      <c r="CZ627" s="11"/>
      <c r="DG627" s="11"/>
      <c r="DN627" s="11"/>
      <c r="DU627" s="11"/>
    </row>
    <row r="628" ht="15.75" customHeight="1">
      <c r="C628" s="8"/>
      <c r="BJ628" s="11"/>
      <c r="BX628" s="11"/>
      <c r="CE628" s="11"/>
      <c r="CL628" s="11"/>
      <c r="CS628" s="11"/>
      <c r="CZ628" s="11"/>
      <c r="DG628" s="11"/>
      <c r="DN628" s="11"/>
      <c r="DU628" s="11"/>
    </row>
    <row r="629" ht="15.75" customHeight="1">
      <c r="C629" s="8"/>
      <c r="BJ629" s="11"/>
      <c r="BX629" s="11"/>
      <c r="CE629" s="11"/>
      <c r="CL629" s="11"/>
      <c r="CS629" s="11"/>
      <c r="CZ629" s="11"/>
      <c r="DG629" s="11"/>
      <c r="DN629" s="11"/>
      <c r="DU629" s="11"/>
    </row>
    <row r="630" ht="15.75" customHeight="1">
      <c r="C630" s="8"/>
      <c r="BJ630" s="11"/>
      <c r="BX630" s="11"/>
      <c r="CE630" s="11"/>
      <c r="CL630" s="11"/>
      <c r="CS630" s="11"/>
      <c r="CZ630" s="11"/>
      <c r="DG630" s="11"/>
      <c r="DN630" s="11"/>
      <c r="DU630" s="11"/>
    </row>
    <row r="631" ht="15.75" customHeight="1">
      <c r="C631" s="8"/>
      <c r="BJ631" s="11"/>
      <c r="BX631" s="11"/>
      <c r="CE631" s="11"/>
      <c r="CL631" s="11"/>
      <c r="CS631" s="11"/>
      <c r="CZ631" s="11"/>
      <c r="DG631" s="11"/>
      <c r="DN631" s="11"/>
      <c r="DU631" s="11"/>
    </row>
    <row r="632" ht="15.75" customHeight="1">
      <c r="C632" s="8"/>
      <c r="BJ632" s="11"/>
      <c r="BX632" s="11"/>
      <c r="CE632" s="11"/>
      <c r="CL632" s="11"/>
      <c r="CS632" s="11"/>
      <c r="CZ632" s="11"/>
      <c r="DG632" s="11"/>
      <c r="DN632" s="11"/>
      <c r="DU632" s="11"/>
    </row>
    <row r="633" ht="15.75" customHeight="1">
      <c r="C633" s="8"/>
      <c r="BJ633" s="11"/>
      <c r="BX633" s="11"/>
      <c r="CE633" s="11"/>
      <c r="CL633" s="11"/>
      <c r="CS633" s="11"/>
      <c r="CZ633" s="11"/>
      <c r="DG633" s="11"/>
      <c r="DN633" s="11"/>
      <c r="DU633" s="11"/>
    </row>
    <row r="634" ht="15.75" customHeight="1">
      <c r="C634" s="8"/>
      <c r="BJ634" s="11"/>
      <c r="BX634" s="11"/>
      <c r="CE634" s="11"/>
      <c r="CL634" s="11"/>
      <c r="CS634" s="11"/>
      <c r="CZ634" s="11"/>
      <c r="DG634" s="11"/>
      <c r="DN634" s="11"/>
      <c r="DU634" s="11"/>
    </row>
    <row r="635" ht="15.75" customHeight="1">
      <c r="C635" s="8"/>
      <c r="BJ635" s="11"/>
      <c r="BX635" s="11"/>
      <c r="CE635" s="11"/>
      <c r="CL635" s="11"/>
      <c r="CS635" s="11"/>
      <c r="CZ635" s="11"/>
      <c r="DG635" s="11"/>
      <c r="DN635" s="11"/>
      <c r="DU635" s="11"/>
    </row>
    <row r="636" ht="15.75" customHeight="1">
      <c r="C636" s="8"/>
      <c r="BJ636" s="11"/>
      <c r="BX636" s="11"/>
      <c r="CE636" s="11"/>
      <c r="CL636" s="11"/>
      <c r="CS636" s="11"/>
      <c r="CZ636" s="11"/>
      <c r="DG636" s="11"/>
      <c r="DN636" s="11"/>
      <c r="DU636" s="11"/>
    </row>
    <row r="637" ht="15.75" customHeight="1">
      <c r="C637" s="8"/>
      <c r="BJ637" s="11"/>
      <c r="BX637" s="11"/>
      <c r="CE637" s="11"/>
      <c r="CL637" s="11"/>
      <c r="CS637" s="11"/>
      <c r="CZ637" s="11"/>
      <c r="DG637" s="11"/>
      <c r="DN637" s="11"/>
      <c r="DU637" s="11"/>
    </row>
    <row r="638" ht="15.75" customHeight="1">
      <c r="C638" s="8"/>
      <c r="BJ638" s="11"/>
      <c r="BX638" s="11"/>
      <c r="CE638" s="11"/>
      <c r="CL638" s="11"/>
      <c r="CS638" s="11"/>
      <c r="CZ638" s="11"/>
      <c r="DG638" s="11"/>
      <c r="DN638" s="11"/>
      <c r="DU638" s="11"/>
    </row>
    <row r="639" ht="15.75" customHeight="1">
      <c r="C639" s="8"/>
      <c r="BJ639" s="11"/>
      <c r="BX639" s="11"/>
      <c r="CE639" s="11"/>
      <c r="CL639" s="11"/>
      <c r="CS639" s="11"/>
      <c r="CZ639" s="11"/>
      <c r="DG639" s="11"/>
      <c r="DN639" s="11"/>
      <c r="DU639" s="11"/>
    </row>
    <row r="640" ht="15.75" customHeight="1">
      <c r="C640" s="8"/>
      <c r="BJ640" s="11"/>
      <c r="BX640" s="11"/>
      <c r="CE640" s="11"/>
      <c r="CL640" s="11"/>
      <c r="CS640" s="11"/>
      <c r="CZ640" s="11"/>
      <c r="DG640" s="11"/>
      <c r="DN640" s="11"/>
      <c r="DU640" s="11"/>
    </row>
    <row r="641" ht="15.75" customHeight="1">
      <c r="C641" s="8"/>
      <c r="BJ641" s="11"/>
      <c r="BX641" s="11"/>
      <c r="CE641" s="11"/>
      <c r="CL641" s="11"/>
      <c r="CS641" s="11"/>
      <c r="CZ641" s="11"/>
      <c r="DG641" s="11"/>
      <c r="DN641" s="11"/>
      <c r="DU641" s="11"/>
    </row>
    <row r="642" ht="15.75" customHeight="1">
      <c r="C642" s="8"/>
      <c r="BJ642" s="11"/>
      <c r="BX642" s="11"/>
      <c r="CE642" s="11"/>
      <c r="CL642" s="11"/>
      <c r="CS642" s="11"/>
      <c r="CZ642" s="11"/>
      <c r="DG642" s="11"/>
      <c r="DN642" s="11"/>
      <c r="DU642" s="11"/>
    </row>
    <row r="643" ht="15.75" customHeight="1">
      <c r="C643" s="8"/>
      <c r="BJ643" s="11"/>
      <c r="BX643" s="11"/>
      <c r="CE643" s="11"/>
      <c r="CL643" s="11"/>
      <c r="CS643" s="11"/>
      <c r="CZ643" s="11"/>
      <c r="DG643" s="11"/>
      <c r="DN643" s="11"/>
      <c r="DU643" s="11"/>
    </row>
    <row r="644" ht="15.75" customHeight="1">
      <c r="C644" s="8"/>
      <c r="BJ644" s="11"/>
      <c r="BX644" s="11"/>
      <c r="CE644" s="11"/>
      <c r="CL644" s="11"/>
      <c r="CS644" s="11"/>
      <c r="CZ644" s="11"/>
      <c r="DG644" s="11"/>
      <c r="DN644" s="11"/>
      <c r="DU644" s="11"/>
    </row>
    <row r="645" ht="15.75" customHeight="1">
      <c r="C645" s="8"/>
      <c r="BJ645" s="11"/>
      <c r="BX645" s="11"/>
      <c r="CE645" s="11"/>
      <c r="CL645" s="11"/>
      <c r="CS645" s="11"/>
      <c r="CZ645" s="11"/>
      <c r="DG645" s="11"/>
      <c r="DN645" s="11"/>
      <c r="DU645" s="11"/>
    </row>
    <row r="646" ht="15.75" customHeight="1">
      <c r="C646" s="8"/>
      <c r="BJ646" s="11"/>
      <c r="BX646" s="11"/>
      <c r="CE646" s="11"/>
      <c r="CL646" s="11"/>
      <c r="CS646" s="11"/>
      <c r="CZ646" s="11"/>
      <c r="DG646" s="11"/>
      <c r="DN646" s="11"/>
      <c r="DU646" s="11"/>
    </row>
    <row r="647" ht="15.75" customHeight="1">
      <c r="C647" s="8"/>
      <c r="BJ647" s="11"/>
      <c r="BX647" s="11"/>
      <c r="CE647" s="11"/>
      <c r="CL647" s="11"/>
      <c r="CS647" s="11"/>
      <c r="CZ647" s="11"/>
      <c r="DG647" s="11"/>
      <c r="DN647" s="11"/>
      <c r="DU647" s="11"/>
    </row>
    <row r="648" ht="15.75" customHeight="1">
      <c r="C648" s="8"/>
      <c r="BJ648" s="11"/>
      <c r="BX648" s="11"/>
      <c r="CE648" s="11"/>
      <c r="CL648" s="11"/>
      <c r="CS648" s="11"/>
      <c r="CZ648" s="11"/>
      <c r="DG648" s="11"/>
      <c r="DN648" s="11"/>
      <c r="DU648" s="11"/>
    </row>
    <row r="649" ht="15.75" customHeight="1">
      <c r="C649" s="8"/>
      <c r="BJ649" s="11"/>
      <c r="BX649" s="11"/>
      <c r="CE649" s="11"/>
      <c r="CL649" s="11"/>
      <c r="CS649" s="11"/>
      <c r="CZ649" s="11"/>
      <c r="DG649" s="11"/>
      <c r="DN649" s="11"/>
      <c r="DU649" s="11"/>
    </row>
    <row r="650" ht="15.75" customHeight="1">
      <c r="C650" s="8"/>
      <c r="BJ650" s="11"/>
      <c r="BX650" s="11"/>
      <c r="CE650" s="11"/>
      <c r="CL650" s="11"/>
      <c r="CS650" s="11"/>
      <c r="CZ650" s="11"/>
      <c r="DG650" s="11"/>
      <c r="DN650" s="11"/>
      <c r="DU650" s="11"/>
    </row>
    <row r="651" ht="15.75" customHeight="1">
      <c r="C651" s="8"/>
      <c r="BJ651" s="11"/>
      <c r="BX651" s="11"/>
      <c r="CE651" s="11"/>
      <c r="CL651" s="11"/>
      <c r="CS651" s="11"/>
      <c r="CZ651" s="11"/>
      <c r="DG651" s="11"/>
      <c r="DN651" s="11"/>
      <c r="DU651" s="11"/>
    </row>
    <row r="652" ht="15.75" customHeight="1">
      <c r="C652" s="8"/>
      <c r="BJ652" s="11"/>
      <c r="BX652" s="11"/>
      <c r="CE652" s="11"/>
      <c r="CL652" s="11"/>
      <c r="CS652" s="11"/>
      <c r="CZ652" s="11"/>
      <c r="DG652" s="11"/>
      <c r="DN652" s="11"/>
      <c r="DU652" s="11"/>
    </row>
    <row r="653" ht="15.75" customHeight="1">
      <c r="C653" s="8"/>
      <c r="BJ653" s="11"/>
      <c r="BX653" s="11"/>
      <c r="CE653" s="11"/>
      <c r="CL653" s="11"/>
      <c r="CS653" s="11"/>
      <c r="CZ653" s="11"/>
      <c r="DG653" s="11"/>
      <c r="DN653" s="11"/>
      <c r="DU653" s="11"/>
    </row>
    <row r="654" ht="15.75" customHeight="1">
      <c r="C654" s="8"/>
      <c r="BJ654" s="11"/>
      <c r="BX654" s="11"/>
      <c r="CE654" s="11"/>
      <c r="CL654" s="11"/>
      <c r="CS654" s="11"/>
      <c r="CZ654" s="11"/>
      <c r="DG654" s="11"/>
      <c r="DN654" s="11"/>
      <c r="DU654" s="11"/>
    </row>
    <row r="655" ht="15.75" customHeight="1">
      <c r="C655" s="8"/>
      <c r="BJ655" s="11"/>
      <c r="BX655" s="11"/>
      <c r="CE655" s="11"/>
      <c r="CL655" s="11"/>
      <c r="CS655" s="11"/>
      <c r="CZ655" s="11"/>
      <c r="DG655" s="11"/>
      <c r="DN655" s="11"/>
      <c r="DU655" s="11"/>
    </row>
    <row r="656" ht="15.75" customHeight="1">
      <c r="C656" s="8"/>
      <c r="BJ656" s="11"/>
      <c r="BX656" s="11"/>
      <c r="CE656" s="11"/>
      <c r="CL656" s="11"/>
      <c r="CS656" s="11"/>
      <c r="CZ656" s="11"/>
      <c r="DG656" s="11"/>
      <c r="DN656" s="11"/>
      <c r="DU656" s="11"/>
    </row>
    <row r="657" ht="15.75" customHeight="1">
      <c r="C657" s="8"/>
      <c r="BJ657" s="11"/>
      <c r="BX657" s="11"/>
      <c r="CE657" s="11"/>
      <c r="CL657" s="11"/>
      <c r="CS657" s="11"/>
      <c r="CZ657" s="11"/>
      <c r="DG657" s="11"/>
      <c r="DN657" s="11"/>
      <c r="DU657" s="11"/>
    </row>
    <row r="658" ht="15.75" customHeight="1">
      <c r="C658" s="8"/>
      <c r="BJ658" s="11"/>
      <c r="BX658" s="11"/>
      <c r="CE658" s="11"/>
      <c r="CL658" s="11"/>
      <c r="CS658" s="11"/>
      <c r="CZ658" s="11"/>
      <c r="DG658" s="11"/>
      <c r="DN658" s="11"/>
      <c r="DU658" s="11"/>
    </row>
    <row r="659" ht="15.75" customHeight="1">
      <c r="C659" s="8"/>
      <c r="BJ659" s="11"/>
      <c r="BX659" s="11"/>
      <c r="CE659" s="11"/>
      <c r="CL659" s="11"/>
      <c r="CS659" s="11"/>
      <c r="CZ659" s="11"/>
      <c r="DG659" s="11"/>
      <c r="DN659" s="11"/>
      <c r="DU659" s="11"/>
    </row>
    <row r="660" ht="15.75" customHeight="1">
      <c r="C660" s="8"/>
      <c r="BJ660" s="11"/>
      <c r="BX660" s="11"/>
      <c r="CE660" s="11"/>
      <c r="CL660" s="11"/>
      <c r="CS660" s="11"/>
      <c r="CZ660" s="11"/>
      <c r="DG660" s="11"/>
      <c r="DN660" s="11"/>
      <c r="DU660" s="11"/>
    </row>
    <row r="661" ht="15.75" customHeight="1">
      <c r="C661" s="8"/>
      <c r="BJ661" s="11"/>
      <c r="BX661" s="11"/>
      <c r="CE661" s="11"/>
      <c r="CL661" s="11"/>
      <c r="CS661" s="11"/>
      <c r="CZ661" s="11"/>
      <c r="DG661" s="11"/>
      <c r="DN661" s="11"/>
      <c r="DU661" s="11"/>
    </row>
    <row r="662" ht="15.75" customHeight="1">
      <c r="C662" s="8"/>
      <c r="BJ662" s="11"/>
      <c r="BX662" s="11"/>
      <c r="CE662" s="11"/>
      <c r="CL662" s="11"/>
      <c r="CS662" s="11"/>
      <c r="CZ662" s="11"/>
      <c r="DG662" s="11"/>
      <c r="DN662" s="11"/>
      <c r="DU662" s="11"/>
    </row>
    <row r="663" ht="15.75" customHeight="1">
      <c r="C663" s="8"/>
      <c r="BJ663" s="11"/>
      <c r="BX663" s="11"/>
      <c r="CE663" s="11"/>
      <c r="CL663" s="11"/>
      <c r="CS663" s="11"/>
      <c r="CZ663" s="11"/>
      <c r="DG663" s="11"/>
      <c r="DN663" s="11"/>
      <c r="DU663" s="11"/>
    </row>
    <row r="664" ht="15.75" customHeight="1">
      <c r="C664" s="8"/>
      <c r="BJ664" s="11"/>
      <c r="BX664" s="11"/>
      <c r="CE664" s="11"/>
      <c r="CL664" s="11"/>
      <c r="CS664" s="11"/>
      <c r="CZ664" s="11"/>
      <c r="DG664" s="11"/>
      <c r="DN664" s="11"/>
      <c r="DU664" s="11"/>
    </row>
    <row r="665" ht="15.75" customHeight="1">
      <c r="C665" s="8"/>
      <c r="BJ665" s="11"/>
      <c r="BX665" s="11"/>
      <c r="CE665" s="11"/>
      <c r="CL665" s="11"/>
      <c r="CS665" s="11"/>
      <c r="CZ665" s="11"/>
      <c r="DG665" s="11"/>
      <c r="DN665" s="11"/>
      <c r="DU665" s="11"/>
    </row>
    <row r="666" ht="15.75" customHeight="1">
      <c r="C666" s="8"/>
      <c r="BJ666" s="11"/>
      <c r="BX666" s="11"/>
      <c r="CE666" s="11"/>
      <c r="CL666" s="11"/>
      <c r="CS666" s="11"/>
      <c r="CZ666" s="11"/>
      <c r="DG666" s="11"/>
      <c r="DN666" s="11"/>
      <c r="DU666" s="11"/>
    </row>
    <row r="667" ht="15.75" customHeight="1">
      <c r="C667" s="8"/>
      <c r="BJ667" s="11"/>
      <c r="BX667" s="11"/>
      <c r="CE667" s="11"/>
      <c r="CL667" s="11"/>
      <c r="CS667" s="11"/>
      <c r="CZ667" s="11"/>
      <c r="DG667" s="11"/>
      <c r="DN667" s="11"/>
      <c r="DU667" s="11"/>
    </row>
    <row r="668" ht="15.75" customHeight="1">
      <c r="C668" s="8"/>
      <c r="BJ668" s="11"/>
      <c r="BX668" s="11"/>
      <c r="CE668" s="11"/>
      <c r="CL668" s="11"/>
      <c r="CS668" s="11"/>
      <c r="CZ668" s="11"/>
      <c r="DG668" s="11"/>
      <c r="DN668" s="11"/>
      <c r="DU668" s="11"/>
    </row>
    <row r="669" ht="15.75" customHeight="1">
      <c r="C669" s="8"/>
      <c r="BJ669" s="11"/>
      <c r="BX669" s="11"/>
      <c r="CE669" s="11"/>
      <c r="CL669" s="11"/>
      <c r="CS669" s="11"/>
      <c r="CZ669" s="11"/>
      <c r="DG669" s="11"/>
      <c r="DN669" s="11"/>
      <c r="DU669" s="11"/>
    </row>
    <row r="670" ht="15.75" customHeight="1">
      <c r="C670" s="8"/>
      <c r="BJ670" s="11"/>
      <c r="BX670" s="11"/>
      <c r="CE670" s="11"/>
      <c r="CL670" s="11"/>
      <c r="CS670" s="11"/>
      <c r="CZ670" s="11"/>
      <c r="DG670" s="11"/>
      <c r="DN670" s="11"/>
      <c r="DU670" s="11"/>
    </row>
    <row r="671" ht="15.75" customHeight="1">
      <c r="C671" s="8"/>
      <c r="BJ671" s="11"/>
      <c r="BX671" s="11"/>
      <c r="CE671" s="11"/>
      <c r="CL671" s="11"/>
      <c r="CS671" s="11"/>
      <c r="CZ671" s="11"/>
      <c r="DG671" s="11"/>
      <c r="DN671" s="11"/>
      <c r="DU671" s="11"/>
    </row>
    <row r="672" ht="15.75" customHeight="1">
      <c r="C672" s="8"/>
      <c r="BJ672" s="11"/>
      <c r="BX672" s="11"/>
      <c r="CE672" s="11"/>
      <c r="CL672" s="11"/>
      <c r="CS672" s="11"/>
      <c r="CZ672" s="11"/>
      <c r="DG672" s="11"/>
      <c r="DN672" s="11"/>
      <c r="DU672" s="11"/>
    </row>
    <row r="673" ht="15.75" customHeight="1">
      <c r="C673" s="8"/>
      <c r="BJ673" s="11"/>
      <c r="BX673" s="11"/>
      <c r="CE673" s="11"/>
      <c r="CL673" s="11"/>
      <c r="CS673" s="11"/>
      <c r="CZ673" s="11"/>
      <c r="DG673" s="11"/>
      <c r="DN673" s="11"/>
      <c r="DU673" s="11"/>
    </row>
    <row r="674" ht="15.75" customHeight="1">
      <c r="C674" s="8"/>
      <c r="BJ674" s="11"/>
      <c r="BX674" s="11"/>
      <c r="CE674" s="11"/>
      <c r="CL674" s="11"/>
      <c r="CS674" s="11"/>
      <c r="CZ674" s="11"/>
      <c r="DG674" s="11"/>
      <c r="DN674" s="11"/>
      <c r="DU674" s="11"/>
    </row>
    <row r="675" ht="15.75" customHeight="1">
      <c r="C675" s="8"/>
      <c r="BJ675" s="11"/>
      <c r="BX675" s="11"/>
      <c r="CE675" s="11"/>
      <c r="CL675" s="11"/>
      <c r="CS675" s="11"/>
      <c r="CZ675" s="11"/>
      <c r="DG675" s="11"/>
      <c r="DN675" s="11"/>
      <c r="DU675" s="11"/>
    </row>
    <row r="676" ht="15.75" customHeight="1">
      <c r="C676" s="8"/>
      <c r="BJ676" s="11"/>
      <c r="BX676" s="11"/>
      <c r="CE676" s="11"/>
      <c r="CL676" s="11"/>
      <c r="CS676" s="11"/>
      <c r="CZ676" s="11"/>
      <c r="DG676" s="11"/>
      <c r="DN676" s="11"/>
      <c r="DU676" s="11"/>
    </row>
    <row r="677" ht="15.75" customHeight="1">
      <c r="C677" s="8"/>
      <c r="BJ677" s="11"/>
      <c r="BX677" s="11"/>
      <c r="CE677" s="11"/>
      <c r="CL677" s="11"/>
      <c r="CS677" s="11"/>
      <c r="CZ677" s="11"/>
      <c r="DG677" s="11"/>
      <c r="DN677" s="11"/>
      <c r="DU677" s="11"/>
    </row>
    <row r="678" ht="15.75" customHeight="1">
      <c r="C678" s="8"/>
      <c r="BJ678" s="11"/>
      <c r="BX678" s="11"/>
      <c r="CE678" s="11"/>
      <c r="CL678" s="11"/>
      <c r="CS678" s="11"/>
      <c r="CZ678" s="11"/>
      <c r="DG678" s="11"/>
      <c r="DN678" s="11"/>
      <c r="DU678" s="11"/>
    </row>
    <row r="679" ht="15.75" customHeight="1">
      <c r="C679" s="8"/>
      <c r="BJ679" s="11"/>
      <c r="BX679" s="11"/>
      <c r="CE679" s="11"/>
      <c r="CL679" s="11"/>
      <c r="CS679" s="11"/>
      <c r="CZ679" s="11"/>
      <c r="DG679" s="11"/>
      <c r="DN679" s="11"/>
      <c r="DU679" s="11"/>
    </row>
    <row r="680" ht="15.75" customHeight="1">
      <c r="C680" s="8"/>
      <c r="BJ680" s="11"/>
      <c r="BX680" s="11"/>
      <c r="CE680" s="11"/>
      <c r="CL680" s="11"/>
      <c r="CS680" s="11"/>
      <c r="CZ680" s="11"/>
      <c r="DG680" s="11"/>
      <c r="DN680" s="11"/>
      <c r="DU680" s="11"/>
    </row>
    <row r="681" ht="15.75" customHeight="1">
      <c r="C681" s="8"/>
      <c r="BJ681" s="11"/>
      <c r="BX681" s="11"/>
      <c r="CE681" s="11"/>
      <c r="CL681" s="11"/>
      <c r="CS681" s="11"/>
      <c r="CZ681" s="11"/>
      <c r="DG681" s="11"/>
      <c r="DN681" s="11"/>
      <c r="DU681" s="11"/>
    </row>
    <row r="682" ht="15.75" customHeight="1">
      <c r="C682" s="8"/>
      <c r="BJ682" s="11"/>
      <c r="BX682" s="11"/>
      <c r="CE682" s="11"/>
      <c r="CL682" s="11"/>
      <c r="CS682" s="11"/>
      <c r="CZ682" s="11"/>
      <c r="DG682" s="11"/>
      <c r="DN682" s="11"/>
      <c r="DU682" s="11"/>
    </row>
    <row r="683" ht="15.75" customHeight="1">
      <c r="C683" s="8"/>
      <c r="BJ683" s="11"/>
      <c r="BX683" s="11"/>
      <c r="CE683" s="11"/>
      <c r="CL683" s="11"/>
      <c r="CS683" s="11"/>
      <c r="CZ683" s="11"/>
      <c r="DG683" s="11"/>
      <c r="DN683" s="11"/>
      <c r="DU683" s="11"/>
    </row>
    <row r="684" ht="15.75" customHeight="1">
      <c r="C684" s="8"/>
      <c r="BJ684" s="11"/>
      <c r="BX684" s="11"/>
      <c r="CE684" s="11"/>
      <c r="CL684" s="11"/>
      <c r="CS684" s="11"/>
      <c r="CZ684" s="11"/>
      <c r="DG684" s="11"/>
      <c r="DN684" s="11"/>
      <c r="DU684" s="11"/>
    </row>
    <row r="685" ht="15.75" customHeight="1">
      <c r="C685" s="8"/>
      <c r="BJ685" s="11"/>
      <c r="BX685" s="11"/>
      <c r="CE685" s="11"/>
      <c r="CL685" s="11"/>
      <c r="CS685" s="11"/>
      <c r="CZ685" s="11"/>
      <c r="DG685" s="11"/>
      <c r="DN685" s="11"/>
      <c r="DU685" s="11"/>
    </row>
    <row r="686" ht="15.75" customHeight="1">
      <c r="C686" s="8"/>
      <c r="BJ686" s="11"/>
      <c r="BX686" s="11"/>
      <c r="CE686" s="11"/>
      <c r="CL686" s="11"/>
      <c r="CS686" s="11"/>
      <c r="CZ686" s="11"/>
      <c r="DG686" s="11"/>
      <c r="DN686" s="11"/>
      <c r="DU686" s="11"/>
    </row>
    <row r="687" ht="15.75" customHeight="1">
      <c r="C687" s="8"/>
      <c r="BJ687" s="11"/>
      <c r="BX687" s="11"/>
      <c r="CE687" s="11"/>
      <c r="CL687" s="11"/>
      <c r="CS687" s="11"/>
      <c r="CZ687" s="11"/>
      <c r="DG687" s="11"/>
      <c r="DN687" s="11"/>
      <c r="DU687" s="11"/>
    </row>
    <row r="688" ht="15.75" customHeight="1">
      <c r="C688" s="8"/>
      <c r="BJ688" s="11"/>
      <c r="BX688" s="11"/>
      <c r="CE688" s="11"/>
      <c r="CL688" s="11"/>
      <c r="CS688" s="11"/>
      <c r="CZ688" s="11"/>
      <c r="DG688" s="11"/>
      <c r="DN688" s="11"/>
      <c r="DU688" s="11"/>
    </row>
    <row r="689" ht="15.75" customHeight="1">
      <c r="C689" s="8"/>
      <c r="BJ689" s="11"/>
      <c r="BX689" s="11"/>
      <c r="CE689" s="11"/>
      <c r="CL689" s="11"/>
      <c r="CS689" s="11"/>
      <c r="CZ689" s="11"/>
      <c r="DG689" s="11"/>
      <c r="DN689" s="11"/>
      <c r="DU689" s="11"/>
    </row>
    <row r="690" ht="15.75" customHeight="1">
      <c r="C690" s="8"/>
      <c r="BJ690" s="11"/>
      <c r="BX690" s="11"/>
      <c r="CE690" s="11"/>
      <c r="CL690" s="11"/>
      <c r="CS690" s="11"/>
      <c r="CZ690" s="11"/>
      <c r="DG690" s="11"/>
      <c r="DN690" s="11"/>
      <c r="DU690" s="11"/>
    </row>
    <row r="691" ht="15.75" customHeight="1">
      <c r="C691" s="8"/>
      <c r="BJ691" s="11"/>
      <c r="BX691" s="11"/>
      <c r="CE691" s="11"/>
      <c r="CL691" s="11"/>
      <c r="CS691" s="11"/>
      <c r="CZ691" s="11"/>
      <c r="DG691" s="11"/>
      <c r="DN691" s="11"/>
      <c r="DU691" s="11"/>
    </row>
    <row r="692" ht="15.75" customHeight="1">
      <c r="C692" s="8"/>
      <c r="BJ692" s="11"/>
      <c r="BX692" s="11"/>
      <c r="CE692" s="11"/>
      <c r="CL692" s="11"/>
      <c r="CS692" s="11"/>
      <c r="CZ692" s="11"/>
      <c r="DG692" s="11"/>
      <c r="DN692" s="11"/>
      <c r="DU692" s="11"/>
    </row>
    <row r="693" ht="15.75" customHeight="1">
      <c r="C693" s="8"/>
      <c r="BJ693" s="11"/>
      <c r="BX693" s="11"/>
      <c r="CE693" s="11"/>
      <c r="CL693" s="11"/>
      <c r="CS693" s="11"/>
      <c r="CZ693" s="11"/>
      <c r="DG693" s="11"/>
      <c r="DN693" s="11"/>
      <c r="DU693" s="11"/>
    </row>
    <row r="694" ht="15.75" customHeight="1">
      <c r="C694" s="8"/>
      <c r="BJ694" s="11"/>
      <c r="BX694" s="11"/>
      <c r="CE694" s="11"/>
      <c r="CL694" s="11"/>
      <c r="CS694" s="11"/>
      <c r="CZ694" s="11"/>
      <c r="DG694" s="11"/>
      <c r="DN694" s="11"/>
      <c r="DU694" s="11"/>
    </row>
    <row r="695" ht="15.75" customHeight="1">
      <c r="C695" s="8"/>
      <c r="BJ695" s="11"/>
      <c r="BX695" s="11"/>
      <c r="CE695" s="11"/>
      <c r="CL695" s="11"/>
      <c r="CS695" s="11"/>
      <c r="CZ695" s="11"/>
      <c r="DG695" s="11"/>
      <c r="DN695" s="11"/>
      <c r="DU695" s="11"/>
    </row>
    <row r="696" ht="15.75" customHeight="1">
      <c r="C696" s="8"/>
      <c r="BJ696" s="11"/>
      <c r="BX696" s="11"/>
      <c r="CE696" s="11"/>
      <c r="CL696" s="11"/>
      <c r="CS696" s="11"/>
      <c r="CZ696" s="11"/>
      <c r="DG696" s="11"/>
      <c r="DN696" s="11"/>
      <c r="DU696" s="11"/>
    </row>
    <row r="697" ht="15.75" customHeight="1">
      <c r="C697" s="8"/>
      <c r="BJ697" s="11"/>
      <c r="BX697" s="11"/>
      <c r="CE697" s="11"/>
      <c r="CL697" s="11"/>
      <c r="CS697" s="11"/>
      <c r="CZ697" s="11"/>
      <c r="DG697" s="11"/>
      <c r="DN697" s="11"/>
      <c r="DU697" s="11"/>
    </row>
    <row r="698" ht="15.75" customHeight="1">
      <c r="C698" s="8"/>
      <c r="BJ698" s="11"/>
      <c r="BX698" s="11"/>
      <c r="CE698" s="11"/>
      <c r="CL698" s="11"/>
      <c r="CS698" s="11"/>
      <c r="CZ698" s="11"/>
      <c r="DG698" s="11"/>
      <c r="DN698" s="11"/>
      <c r="DU698" s="11"/>
    </row>
    <row r="699" ht="15.75" customHeight="1">
      <c r="C699" s="8"/>
      <c r="BJ699" s="11"/>
      <c r="BX699" s="11"/>
      <c r="CE699" s="11"/>
      <c r="CL699" s="11"/>
      <c r="CS699" s="11"/>
      <c r="CZ699" s="11"/>
      <c r="DG699" s="11"/>
      <c r="DN699" s="11"/>
      <c r="DU699" s="11"/>
    </row>
    <row r="700" ht="15.75" customHeight="1">
      <c r="C700" s="8"/>
      <c r="BJ700" s="11"/>
      <c r="BX700" s="11"/>
      <c r="CE700" s="11"/>
      <c r="CL700" s="11"/>
      <c r="CS700" s="11"/>
      <c r="CZ700" s="11"/>
      <c r="DG700" s="11"/>
      <c r="DN700" s="11"/>
      <c r="DU700" s="11"/>
    </row>
    <row r="701" ht="15.75" customHeight="1">
      <c r="C701" s="8"/>
      <c r="BJ701" s="11"/>
      <c r="BX701" s="11"/>
      <c r="CE701" s="11"/>
      <c r="CL701" s="11"/>
      <c r="CS701" s="11"/>
      <c r="CZ701" s="11"/>
      <c r="DG701" s="11"/>
      <c r="DN701" s="11"/>
      <c r="DU701" s="11"/>
    </row>
    <row r="702" ht="15.75" customHeight="1">
      <c r="C702" s="8"/>
      <c r="BJ702" s="11"/>
      <c r="BX702" s="11"/>
      <c r="CE702" s="11"/>
      <c r="CL702" s="11"/>
      <c r="CS702" s="11"/>
      <c r="CZ702" s="11"/>
      <c r="DG702" s="11"/>
      <c r="DN702" s="11"/>
      <c r="DU702" s="11"/>
    </row>
    <row r="703" ht="15.75" customHeight="1">
      <c r="C703" s="8"/>
      <c r="BJ703" s="11"/>
      <c r="BX703" s="11"/>
      <c r="CE703" s="11"/>
      <c r="CL703" s="11"/>
      <c r="CS703" s="11"/>
      <c r="CZ703" s="11"/>
      <c r="DG703" s="11"/>
      <c r="DN703" s="11"/>
      <c r="DU703" s="11"/>
    </row>
    <row r="704" ht="15.75" customHeight="1">
      <c r="C704" s="8"/>
      <c r="BJ704" s="11"/>
      <c r="BX704" s="11"/>
      <c r="CE704" s="11"/>
      <c r="CL704" s="11"/>
      <c r="CS704" s="11"/>
      <c r="CZ704" s="11"/>
      <c r="DG704" s="11"/>
      <c r="DN704" s="11"/>
      <c r="DU704" s="11"/>
    </row>
    <row r="705" ht="15.75" customHeight="1">
      <c r="C705" s="8"/>
      <c r="BJ705" s="11"/>
      <c r="BX705" s="11"/>
      <c r="CE705" s="11"/>
      <c r="CL705" s="11"/>
      <c r="CS705" s="11"/>
      <c r="CZ705" s="11"/>
      <c r="DG705" s="11"/>
      <c r="DN705" s="11"/>
      <c r="DU705" s="11"/>
    </row>
    <row r="706" ht="15.75" customHeight="1">
      <c r="C706" s="8"/>
      <c r="BJ706" s="11"/>
      <c r="BX706" s="11"/>
      <c r="CE706" s="11"/>
      <c r="CL706" s="11"/>
      <c r="CS706" s="11"/>
      <c r="CZ706" s="11"/>
      <c r="DG706" s="11"/>
      <c r="DN706" s="11"/>
      <c r="DU706" s="11"/>
    </row>
    <row r="707" ht="15.75" customHeight="1">
      <c r="C707" s="8"/>
      <c r="BJ707" s="11"/>
      <c r="BX707" s="11"/>
      <c r="CE707" s="11"/>
      <c r="CL707" s="11"/>
      <c r="CS707" s="11"/>
      <c r="CZ707" s="11"/>
      <c r="DG707" s="11"/>
      <c r="DN707" s="11"/>
      <c r="DU707" s="11"/>
    </row>
    <row r="708" ht="15.75" customHeight="1">
      <c r="C708" s="8"/>
      <c r="BJ708" s="11"/>
      <c r="BX708" s="11"/>
      <c r="CE708" s="11"/>
      <c r="CL708" s="11"/>
      <c r="CS708" s="11"/>
      <c r="CZ708" s="11"/>
      <c r="DG708" s="11"/>
      <c r="DN708" s="11"/>
      <c r="DU708" s="11"/>
    </row>
    <row r="709" ht="15.75" customHeight="1">
      <c r="C709" s="8"/>
      <c r="BJ709" s="11"/>
      <c r="BX709" s="11"/>
      <c r="CE709" s="11"/>
      <c r="CL709" s="11"/>
      <c r="CS709" s="11"/>
      <c r="CZ709" s="11"/>
      <c r="DG709" s="11"/>
      <c r="DN709" s="11"/>
      <c r="DU709" s="11"/>
    </row>
    <row r="710" ht="15.75" customHeight="1">
      <c r="C710" s="8"/>
      <c r="BJ710" s="11"/>
      <c r="BX710" s="11"/>
      <c r="CE710" s="11"/>
      <c r="CL710" s="11"/>
      <c r="CS710" s="11"/>
      <c r="CZ710" s="11"/>
      <c r="DG710" s="11"/>
      <c r="DN710" s="11"/>
      <c r="DU710" s="11"/>
    </row>
    <row r="711" ht="15.75" customHeight="1">
      <c r="C711" s="8"/>
      <c r="BJ711" s="11"/>
      <c r="BX711" s="11"/>
      <c r="CE711" s="11"/>
      <c r="CL711" s="11"/>
      <c r="CS711" s="11"/>
      <c r="CZ711" s="11"/>
      <c r="DG711" s="11"/>
      <c r="DN711" s="11"/>
      <c r="DU711" s="11"/>
    </row>
    <row r="712" ht="15.75" customHeight="1">
      <c r="C712" s="8"/>
      <c r="BJ712" s="11"/>
      <c r="BX712" s="11"/>
      <c r="CE712" s="11"/>
      <c r="CL712" s="11"/>
      <c r="CS712" s="11"/>
      <c r="CZ712" s="11"/>
      <c r="DG712" s="11"/>
      <c r="DN712" s="11"/>
      <c r="DU712" s="11"/>
    </row>
    <row r="713" ht="15.75" customHeight="1">
      <c r="C713" s="8"/>
      <c r="BJ713" s="11"/>
      <c r="BX713" s="11"/>
      <c r="CE713" s="11"/>
      <c r="CL713" s="11"/>
      <c r="CS713" s="11"/>
      <c r="CZ713" s="11"/>
      <c r="DG713" s="11"/>
      <c r="DN713" s="11"/>
      <c r="DU713" s="11"/>
    </row>
    <row r="714" ht="15.75" customHeight="1">
      <c r="C714" s="8"/>
      <c r="BJ714" s="11"/>
      <c r="BX714" s="11"/>
      <c r="CE714" s="11"/>
      <c r="CL714" s="11"/>
      <c r="CS714" s="11"/>
      <c r="CZ714" s="11"/>
      <c r="DG714" s="11"/>
      <c r="DN714" s="11"/>
      <c r="DU714" s="11"/>
    </row>
    <row r="715" ht="15.75" customHeight="1">
      <c r="C715" s="8"/>
      <c r="BJ715" s="11"/>
      <c r="BX715" s="11"/>
      <c r="CE715" s="11"/>
      <c r="CL715" s="11"/>
      <c r="CS715" s="11"/>
      <c r="CZ715" s="11"/>
      <c r="DG715" s="11"/>
      <c r="DN715" s="11"/>
      <c r="DU715" s="11"/>
    </row>
    <row r="716" ht="15.75" customHeight="1">
      <c r="C716" s="8"/>
      <c r="BJ716" s="11"/>
      <c r="BX716" s="11"/>
      <c r="CE716" s="11"/>
      <c r="CL716" s="11"/>
      <c r="CS716" s="11"/>
      <c r="CZ716" s="11"/>
      <c r="DG716" s="11"/>
      <c r="DN716" s="11"/>
      <c r="DU716" s="11"/>
    </row>
    <row r="717" ht="15.75" customHeight="1">
      <c r="C717" s="8"/>
      <c r="BJ717" s="11"/>
      <c r="BX717" s="11"/>
      <c r="CE717" s="11"/>
      <c r="CL717" s="11"/>
      <c r="CS717" s="11"/>
      <c r="CZ717" s="11"/>
      <c r="DG717" s="11"/>
      <c r="DN717" s="11"/>
      <c r="DU717" s="11"/>
    </row>
    <row r="718" ht="15.75" customHeight="1">
      <c r="C718" s="8"/>
      <c r="BJ718" s="11"/>
      <c r="BX718" s="11"/>
      <c r="CE718" s="11"/>
      <c r="CL718" s="11"/>
      <c r="CS718" s="11"/>
      <c r="CZ718" s="11"/>
      <c r="DG718" s="11"/>
      <c r="DN718" s="11"/>
      <c r="DU718" s="11"/>
    </row>
    <row r="719" ht="15.75" customHeight="1">
      <c r="C719" s="8"/>
      <c r="BJ719" s="11"/>
      <c r="BX719" s="11"/>
      <c r="CE719" s="11"/>
      <c r="CL719" s="11"/>
      <c r="CS719" s="11"/>
      <c r="CZ719" s="11"/>
      <c r="DG719" s="11"/>
      <c r="DN719" s="11"/>
      <c r="DU719" s="11"/>
    </row>
    <row r="720" ht="15.75" customHeight="1">
      <c r="C720" s="8"/>
      <c r="BJ720" s="11"/>
      <c r="BX720" s="11"/>
      <c r="CE720" s="11"/>
      <c r="CL720" s="11"/>
      <c r="CS720" s="11"/>
      <c r="CZ720" s="11"/>
      <c r="DG720" s="11"/>
      <c r="DN720" s="11"/>
      <c r="DU720" s="11"/>
    </row>
    <row r="721" ht="15.75" customHeight="1">
      <c r="C721" s="8"/>
      <c r="BJ721" s="11"/>
      <c r="BX721" s="11"/>
      <c r="CE721" s="11"/>
      <c r="CL721" s="11"/>
      <c r="CS721" s="11"/>
      <c r="CZ721" s="11"/>
      <c r="DG721" s="11"/>
      <c r="DN721" s="11"/>
      <c r="DU721" s="11"/>
    </row>
    <row r="722" ht="15.75" customHeight="1">
      <c r="C722" s="8"/>
      <c r="BJ722" s="11"/>
      <c r="BX722" s="11"/>
      <c r="CE722" s="11"/>
      <c r="CL722" s="11"/>
      <c r="CS722" s="11"/>
      <c r="CZ722" s="11"/>
      <c r="DG722" s="11"/>
      <c r="DN722" s="11"/>
      <c r="DU722" s="11"/>
    </row>
    <row r="723" ht="15.75" customHeight="1">
      <c r="C723" s="8"/>
      <c r="BJ723" s="11"/>
      <c r="BX723" s="11"/>
      <c r="CE723" s="11"/>
      <c r="CL723" s="11"/>
      <c r="CS723" s="11"/>
      <c r="CZ723" s="11"/>
      <c r="DG723" s="11"/>
      <c r="DN723" s="11"/>
      <c r="DU723" s="11"/>
    </row>
    <row r="724" ht="15.75" customHeight="1">
      <c r="C724" s="8"/>
      <c r="BJ724" s="11"/>
      <c r="BX724" s="11"/>
      <c r="CE724" s="11"/>
      <c r="CL724" s="11"/>
      <c r="CS724" s="11"/>
      <c r="CZ724" s="11"/>
      <c r="DG724" s="11"/>
      <c r="DN724" s="11"/>
      <c r="DU724" s="11"/>
    </row>
    <row r="725" ht="15.75" customHeight="1">
      <c r="C725" s="8"/>
      <c r="BJ725" s="11"/>
      <c r="BX725" s="11"/>
      <c r="CE725" s="11"/>
      <c r="CL725" s="11"/>
      <c r="CS725" s="11"/>
      <c r="CZ725" s="11"/>
      <c r="DG725" s="11"/>
      <c r="DN725" s="11"/>
      <c r="DU725" s="11"/>
    </row>
    <row r="726" ht="15.75" customHeight="1">
      <c r="C726" s="8"/>
      <c r="BJ726" s="11"/>
      <c r="BX726" s="11"/>
      <c r="CE726" s="11"/>
      <c r="CL726" s="11"/>
      <c r="CS726" s="11"/>
      <c r="CZ726" s="11"/>
      <c r="DG726" s="11"/>
      <c r="DN726" s="11"/>
      <c r="DU726" s="11"/>
    </row>
    <row r="727" ht="15.75" customHeight="1">
      <c r="C727" s="8"/>
      <c r="BJ727" s="11"/>
      <c r="BX727" s="11"/>
      <c r="CE727" s="11"/>
      <c r="CL727" s="11"/>
      <c r="CS727" s="11"/>
      <c r="CZ727" s="11"/>
      <c r="DG727" s="11"/>
      <c r="DN727" s="11"/>
      <c r="DU727" s="11"/>
    </row>
    <row r="728" ht="15.75" customHeight="1">
      <c r="C728" s="8"/>
      <c r="BJ728" s="11"/>
      <c r="BX728" s="11"/>
      <c r="CE728" s="11"/>
      <c r="CL728" s="11"/>
      <c r="CS728" s="11"/>
      <c r="CZ728" s="11"/>
      <c r="DG728" s="11"/>
      <c r="DN728" s="11"/>
      <c r="DU728" s="11"/>
    </row>
    <row r="729" ht="15.75" customHeight="1">
      <c r="C729" s="8"/>
      <c r="BJ729" s="11"/>
      <c r="BX729" s="11"/>
      <c r="CE729" s="11"/>
      <c r="CL729" s="11"/>
      <c r="CS729" s="11"/>
      <c r="CZ729" s="11"/>
      <c r="DG729" s="11"/>
      <c r="DN729" s="11"/>
      <c r="DU729" s="11"/>
    </row>
    <row r="730" ht="15.75" customHeight="1">
      <c r="C730" s="8"/>
      <c r="BJ730" s="11"/>
      <c r="BX730" s="11"/>
      <c r="CE730" s="11"/>
      <c r="CL730" s="11"/>
      <c r="CS730" s="11"/>
      <c r="CZ730" s="11"/>
      <c r="DG730" s="11"/>
      <c r="DN730" s="11"/>
      <c r="DU730" s="11"/>
    </row>
    <row r="731" ht="15.75" customHeight="1">
      <c r="C731" s="8"/>
      <c r="BJ731" s="11"/>
      <c r="BX731" s="11"/>
      <c r="CE731" s="11"/>
      <c r="CL731" s="11"/>
      <c r="CS731" s="11"/>
      <c r="CZ731" s="11"/>
      <c r="DG731" s="11"/>
      <c r="DN731" s="11"/>
      <c r="DU731" s="11"/>
    </row>
    <row r="732" ht="15.75" customHeight="1">
      <c r="C732" s="8"/>
      <c r="BJ732" s="11"/>
      <c r="BX732" s="11"/>
      <c r="CE732" s="11"/>
      <c r="CL732" s="11"/>
      <c r="CS732" s="11"/>
      <c r="CZ732" s="11"/>
      <c r="DG732" s="11"/>
      <c r="DN732" s="11"/>
      <c r="DU732" s="11"/>
    </row>
    <row r="733" ht="15.75" customHeight="1">
      <c r="C733" s="8"/>
      <c r="BJ733" s="11"/>
      <c r="BX733" s="11"/>
      <c r="CE733" s="11"/>
      <c r="CL733" s="11"/>
      <c r="CS733" s="11"/>
      <c r="CZ733" s="11"/>
      <c r="DG733" s="11"/>
      <c r="DN733" s="11"/>
      <c r="DU733" s="11"/>
    </row>
    <row r="734" ht="15.75" customHeight="1">
      <c r="C734" s="8"/>
      <c r="BJ734" s="11"/>
      <c r="BX734" s="11"/>
      <c r="CE734" s="11"/>
      <c r="CL734" s="11"/>
      <c r="CS734" s="11"/>
      <c r="CZ734" s="11"/>
      <c r="DG734" s="11"/>
      <c r="DN734" s="11"/>
      <c r="DU734" s="11"/>
    </row>
    <row r="735" ht="15.75" customHeight="1">
      <c r="C735" s="8"/>
      <c r="BJ735" s="11"/>
      <c r="BX735" s="11"/>
      <c r="CE735" s="11"/>
      <c r="CL735" s="11"/>
      <c r="CS735" s="11"/>
      <c r="CZ735" s="11"/>
      <c r="DG735" s="11"/>
      <c r="DN735" s="11"/>
      <c r="DU735" s="11"/>
    </row>
    <row r="736" ht="15.75" customHeight="1">
      <c r="C736" s="8"/>
      <c r="BJ736" s="11"/>
      <c r="BX736" s="11"/>
      <c r="CE736" s="11"/>
      <c r="CL736" s="11"/>
      <c r="CS736" s="11"/>
      <c r="CZ736" s="11"/>
      <c r="DG736" s="11"/>
      <c r="DN736" s="11"/>
      <c r="DU736" s="11"/>
    </row>
    <row r="737" ht="15.75" customHeight="1">
      <c r="C737" s="8"/>
      <c r="BJ737" s="11"/>
      <c r="BX737" s="11"/>
      <c r="CE737" s="11"/>
      <c r="CL737" s="11"/>
      <c r="CS737" s="11"/>
      <c r="CZ737" s="11"/>
      <c r="DG737" s="11"/>
      <c r="DN737" s="11"/>
      <c r="DU737" s="11"/>
    </row>
    <row r="738" ht="15.75" customHeight="1">
      <c r="C738" s="8"/>
      <c r="BJ738" s="11"/>
      <c r="BX738" s="11"/>
      <c r="CE738" s="11"/>
      <c r="CL738" s="11"/>
      <c r="CS738" s="11"/>
      <c r="CZ738" s="11"/>
      <c r="DG738" s="11"/>
      <c r="DN738" s="11"/>
      <c r="DU738" s="11"/>
    </row>
    <row r="739" ht="15.75" customHeight="1">
      <c r="C739" s="8"/>
      <c r="BJ739" s="11"/>
      <c r="BX739" s="11"/>
      <c r="CE739" s="11"/>
      <c r="CL739" s="11"/>
      <c r="CS739" s="11"/>
      <c r="CZ739" s="11"/>
      <c r="DG739" s="11"/>
      <c r="DN739" s="11"/>
      <c r="DU739" s="11"/>
    </row>
    <row r="740" ht="15.75" customHeight="1">
      <c r="C740" s="8"/>
      <c r="BJ740" s="11"/>
      <c r="BX740" s="11"/>
      <c r="CE740" s="11"/>
      <c r="CL740" s="11"/>
      <c r="CS740" s="11"/>
      <c r="CZ740" s="11"/>
      <c r="DG740" s="11"/>
      <c r="DN740" s="11"/>
      <c r="DU740" s="11"/>
    </row>
    <row r="741" ht="15.75" customHeight="1">
      <c r="C741" s="8"/>
      <c r="BJ741" s="11"/>
      <c r="BX741" s="11"/>
      <c r="CE741" s="11"/>
      <c r="CL741" s="11"/>
      <c r="CS741" s="11"/>
      <c r="CZ741" s="11"/>
      <c r="DG741" s="11"/>
      <c r="DN741" s="11"/>
      <c r="DU741" s="11"/>
    </row>
    <row r="742" ht="15.75" customHeight="1">
      <c r="C742" s="8"/>
      <c r="BJ742" s="11"/>
      <c r="BX742" s="11"/>
      <c r="CE742" s="11"/>
      <c r="CL742" s="11"/>
      <c r="CS742" s="11"/>
      <c r="CZ742" s="11"/>
      <c r="DG742" s="11"/>
      <c r="DN742" s="11"/>
      <c r="DU742" s="11"/>
    </row>
    <row r="743" ht="15.75" customHeight="1">
      <c r="C743" s="8"/>
      <c r="BJ743" s="11"/>
      <c r="BX743" s="11"/>
      <c r="CE743" s="11"/>
      <c r="CL743" s="11"/>
      <c r="CS743" s="11"/>
      <c r="CZ743" s="11"/>
      <c r="DG743" s="11"/>
      <c r="DN743" s="11"/>
      <c r="DU743" s="11"/>
    </row>
    <row r="744" ht="15.75" customHeight="1">
      <c r="C744" s="8"/>
      <c r="BJ744" s="11"/>
      <c r="BX744" s="11"/>
      <c r="CE744" s="11"/>
      <c r="CL744" s="11"/>
      <c r="CS744" s="11"/>
      <c r="CZ744" s="11"/>
      <c r="DG744" s="11"/>
      <c r="DN744" s="11"/>
      <c r="DU744" s="11"/>
    </row>
    <row r="745" ht="15.75" customHeight="1">
      <c r="C745" s="8"/>
      <c r="BJ745" s="11"/>
      <c r="BX745" s="11"/>
      <c r="CE745" s="11"/>
      <c r="CL745" s="11"/>
      <c r="CS745" s="11"/>
      <c r="CZ745" s="11"/>
      <c r="DG745" s="11"/>
      <c r="DN745" s="11"/>
      <c r="DU745" s="11"/>
    </row>
    <row r="746" ht="15.75" customHeight="1">
      <c r="C746" s="8"/>
      <c r="BJ746" s="11"/>
      <c r="BX746" s="11"/>
      <c r="CE746" s="11"/>
      <c r="CL746" s="11"/>
      <c r="CS746" s="11"/>
      <c r="CZ746" s="11"/>
      <c r="DG746" s="11"/>
      <c r="DN746" s="11"/>
      <c r="DU746" s="11"/>
    </row>
    <row r="747" ht="15.75" customHeight="1">
      <c r="C747" s="8"/>
      <c r="BJ747" s="11"/>
      <c r="BX747" s="11"/>
      <c r="CE747" s="11"/>
      <c r="CL747" s="11"/>
      <c r="CS747" s="11"/>
      <c r="CZ747" s="11"/>
      <c r="DG747" s="11"/>
      <c r="DN747" s="11"/>
      <c r="DU747" s="11"/>
    </row>
    <row r="748" ht="15.75" customHeight="1">
      <c r="C748" s="8"/>
      <c r="BJ748" s="11"/>
      <c r="BX748" s="11"/>
      <c r="CE748" s="11"/>
      <c r="CL748" s="11"/>
      <c r="CS748" s="11"/>
      <c r="CZ748" s="11"/>
      <c r="DG748" s="11"/>
      <c r="DN748" s="11"/>
      <c r="DU748" s="11"/>
    </row>
    <row r="749" ht="15.75" customHeight="1">
      <c r="C749" s="8"/>
      <c r="BJ749" s="11"/>
      <c r="BX749" s="11"/>
      <c r="CE749" s="11"/>
      <c r="CL749" s="11"/>
      <c r="CS749" s="11"/>
      <c r="CZ749" s="11"/>
      <c r="DG749" s="11"/>
      <c r="DN749" s="11"/>
      <c r="DU749" s="11"/>
    </row>
    <row r="750" ht="15.75" customHeight="1">
      <c r="C750" s="8"/>
      <c r="BJ750" s="11"/>
      <c r="BX750" s="11"/>
      <c r="CE750" s="11"/>
      <c r="CL750" s="11"/>
      <c r="CS750" s="11"/>
      <c r="CZ750" s="11"/>
      <c r="DG750" s="11"/>
      <c r="DN750" s="11"/>
      <c r="DU750" s="11"/>
    </row>
    <row r="751" ht="15.75" customHeight="1">
      <c r="C751" s="8"/>
      <c r="BJ751" s="11"/>
      <c r="BX751" s="11"/>
      <c r="CE751" s="11"/>
      <c r="CL751" s="11"/>
      <c r="CS751" s="11"/>
      <c r="CZ751" s="11"/>
      <c r="DG751" s="11"/>
      <c r="DN751" s="11"/>
      <c r="DU751" s="11"/>
    </row>
    <row r="752" ht="15.75" customHeight="1">
      <c r="C752" s="8"/>
      <c r="BJ752" s="11"/>
      <c r="BX752" s="11"/>
      <c r="CE752" s="11"/>
      <c r="CL752" s="11"/>
      <c r="CS752" s="11"/>
      <c r="CZ752" s="11"/>
      <c r="DG752" s="11"/>
      <c r="DN752" s="11"/>
      <c r="DU752" s="11"/>
    </row>
    <row r="753" ht="15.75" customHeight="1">
      <c r="C753" s="8"/>
      <c r="BJ753" s="11"/>
      <c r="BX753" s="11"/>
      <c r="CE753" s="11"/>
      <c r="CL753" s="11"/>
      <c r="CS753" s="11"/>
      <c r="CZ753" s="11"/>
      <c r="DG753" s="11"/>
      <c r="DN753" s="11"/>
      <c r="DU753" s="11"/>
    </row>
    <row r="754" ht="15.75" customHeight="1">
      <c r="C754" s="8"/>
      <c r="BJ754" s="11"/>
      <c r="BX754" s="11"/>
      <c r="CE754" s="11"/>
      <c r="CL754" s="11"/>
      <c r="CS754" s="11"/>
      <c r="CZ754" s="11"/>
      <c r="DG754" s="11"/>
      <c r="DN754" s="11"/>
      <c r="DU754" s="11"/>
    </row>
    <row r="755" ht="15.75" customHeight="1">
      <c r="C755" s="8"/>
      <c r="BJ755" s="11"/>
      <c r="BX755" s="11"/>
      <c r="CE755" s="11"/>
      <c r="CL755" s="11"/>
      <c r="CS755" s="11"/>
      <c r="CZ755" s="11"/>
      <c r="DG755" s="11"/>
      <c r="DN755" s="11"/>
      <c r="DU755" s="11"/>
    </row>
    <row r="756" ht="15.75" customHeight="1">
      <c r="C756" s="8"/>
      <c r="BJ756" s="11"/>
      <c r="BX756" s="11"/>
      <c r="CE756" s="11"/>
      <c r="CL756" s="11"/>
      <c r="CS756" s="11"/>
      <c r="CZ756" s="11"/>
      <c r="DG756" s="11"/>
      <c r="DN756" s="11"/>
      <c r="DU756" s="11"/>
    </row>
    <row r="757" ht="15.75" customHeight="1">
      <c r="C757" s="8"/>
      <c r="BJ757" s="11"/>
      <c r="BX757" s="11"/>
      <c r="CE757" s="11"/>
      <c r="CL757" s="11"/>
      <c r="CS757" s="11"/>
      <c r="CZ757" s="11"/>
      <c r="DG757" s="11"/>
      <c r="DN757" s="11"/>
      <c r="DU757" s="11"/>
    </row>
    <row r="758" ht="15.75" customHeight="1">
      <c r="C758" s="8"/>
      <c r="BJ758" s="11"/>
      <c r="BX758" s="11"/>
      <c r="CE758" s="11"/>
      <c r="CL758" s="11"/>
      <c r="CS758" s="11"/>
      <c r="CZ758" s="11"/>
      <c r="DG758" s="11"/>
      <c r="DN758" s="11"/>
      <c r="DU758" s="11"/>
    </row>
    <row r="759" ht="15.75" customHeight="1">
      <c r="C759" s="8"/>
      <c r="BJ759" s="11"/>
      <c r="BX759" s="11"/>
      <c r="CE759" s="11"/>
      <c r="CL759" s="11"/>
      <c r="CS759" s="11"/>
      <c r="CZ759" s="11"/>
      <c r="DG759" s="11"/>
      <c r="DN759" s="11"/>
      <c r="DU759" s="11"/>
    </row>
    <row r="760" ht="15.75" customHeight="1">
      <c r="C760" s="8"/>
      <c r="BJ760" s="11"/>
      <c r="BX760" s="11"/>
      <c r="CE760" s="11"/>
      <c r="CL760" s="11"/>
      <c r="CS760" s="11"/>
      <c r="CZ760" s="11"/>
      <c r="DG760" s="11"/>
      <c r="DN760" s="11"/>
      <c r="DU760" s="11"/>
    </row>
    <row r="761" ht="15.75" customHeight="1">
      <c r="C761" s="8"/>
      <c r="BJ761" s="11"/>
      <c r="BX761" s="11"/>
      <c r="CE761" s="11"/>
      <c r="CL761" s="11"/>
      <c r="CS761" s="11"/>
      <c r="CZ761" s="11"/>
      <c r="DG761" s="11"/>
      <c r="DN761" s="11"/>
      <c r="DU761" s="11"/>
    </row>
    <row r="762" ht="15.75" customHeight="1">
      <c r="C762" s="8"/>
      <c r="BJ762" s="11"/>
      <c r="BX762" s="11"/>
      <c r="CE762" s="11"/>
      <c r="CL762" s="11"/>
      <c r="CS762" s="11"/>
      <c r="CZ762" s="11"/>
      <c r="DG762" s="11"/>
      <c r="DN762" s="11"/>
      <c r="DU762" s="11"/>
    </row>
    <row r="763" ht="15.75" customHeight="1">
      <c r="C763" s="8"/>
      <c r="BJ763" s="11"/>
      <c r="BX763" s="11"/>
      <c r="CE763" s="11"/>
      <c r="CL763" s="11"/>
      <c r="CS763" s="11"/>
      <c r="CZ763" s="11"/>
      <c r="DG763" s="11"/>
      <c r="DN763" s="11"/>
      <c r="DU763" s="11"/>
    </row>
    <row r="764" ht="15.75" customHeight="1">
      <c r="C764" s="8"/>
      <c r="BJ764" s="11"/>
      <c r="BX764" s="11"/>
      <c r="CE764" s="11"/>
      <c r="CL764" s="11"/>
      <c r="CS764" s="11"/>
      <c r="CZ764" s="11"/>
      <c r="DG764" s="11"/>
      <c r="DN764" s="11"/>
      <c r="DU764" s="11"/>
    </row>
    <row r="765" ht="15.75" customHeight="1">
      <c r="C765" s="8"/>
      <c r="BJ765" s="11"/>
      <c r="BX765" s="11"/>
      <c r="CE765" s="11"/>
      <c r="CL765" s="11"/>
      <c r="CS765" s="11"/>
      <c r="CZ765" s="11"/>
      <c r="DG765" s="11"/>
      <c r="DN765" s="11"/>
      <c r="DU765" s="11"/>
    </row>
    <row r="766" ht="15.75" customHeight="1">
      <c r="C766" s="8"/>
      <c r="BJ766" s="11"/>
      <c r="BX766" s="11"/>
      <c r="CE766" s="11"/>
      <c r="CL766" s="11"/>
      <c r="CS766" s="11"/>
      <c r="CZ766" s="11"/>
      <c r="DG766" s="11"/>
      <c r="DN766" s="11"/>
      <c r="DU766" s="11"/>
    </row>
    <row r="767" ht="15.75" customHeight="1">
      <c r="C767" s="8"/>
      <c r="BJ767" s="11"/>
      <c r="BX767" s="11"/>
      <c r="CE767" s="11"/>
      <c r="CL767" s="11"/>
      <c r="CS767" s="11"/>
      <c r="CZ767" s="11"/>
      <c r="DG767" s="11"/>
      <c r="DN767" s="11"/>
      <c r="DU767" s="11"/>
    </row>
    <row r="768" ht="15.75" customHeight="1">
      <c r="C768" s="8"/>
      <c r="BJ768" s="11"/>
      <c r="BX768" s="11"/>
      <c r="CE768" s="11"/>
      <c r="CL768" s="11"/>
      <c r="CS768" s="11"/>
      <c r="CZ768" s="11"/>
      <c r="DG768" s="11"/>
      <c r="DN768" s="11"/>
      <c r="DU768" s="11"/>
    </row>
    <row r="769" ht="15.75" customHeight="1">
      <c r="C769" s="8"/>
      <c r="BJ769" s="11"/>
      <c r="BX769" s="11"/>
      <c r="CE769" s="11"/>
      <c r="CL769" s="11"/>
      <c r="CS769" s="11"/>
      <c r="CZ769" s="11"/>
      <c r="DG769" s="11"/>
      <c r="DN769" s="11"/>
      <c r="DU769" s="11"/>
    </row>
    <row r="770" ht="15.75" customHeight="1">
      <c r="C770" s="8"/>
      <c r="BJ770" s="11"/>
      <c r="BX770" s="11"/>
      <c r="CE770" s="11"/>
      <c r="CL770" s="11"/>
      <c r="CS770" s="11"/>
      <c r="CZ770" s="11"/>
      <c r="DG770" s="11"/>
      <c r="DN770" s="11"/>
      <c r="DU770" s="11"/>
    </row>
    <row r="771" ht="15.75" customHeight="1">
      <c r="C771" s="8"/>
      <c r="BJ771" s="11"/>
      <c r="BX771" s="11"/>
      <c r="CE771" s="11"/>
      <c r="CL771" s="11"/>
      <c r="CS771" s="11"/>
      <c r="CZ771" s="11"/>
      <c r="DG771" s="11"/>
      <c r="DN771" s="11"/>
      <c r="DU771" s="11"/>
    </row>
    <row r="772" ht="15.75" customHeight="1">
      <c r="C772" s="8"/>
      <c r="BJ772" s="11"/>
      <c r="BX772" s="11"/>
      <c r="CE772" s="11"/>
      <c r="CL772" s="11"/>
      <c r="CS772" s="11"/>
      <c r="CZ772" s="11"/>
      <c r="DG772" s="11"/>
      <c r="DN772" s="11"/>
      <c r="DU772" s="11"/>
    </row>
    <row r="773" ht="15.75" customHeight="1">
      <c r="C773" s="8"/>
      <c r="BJ773" s="11"/>
      <c r="BX773" s="11"/>
      <c r="CE773" s="11"/>
      <c r="CL773" s="11"/>
      <c r="CS773" s="11"/>
      <c r="CZ773" s="11"/>
      <c r="DG773" s="11"/>
      <c r="DN773" s="11"/>
      <c r="DU773" s="11"/>
    </row>
    <row r="774" ht="15.75" customHeight="1">
      <c r="C774" s="8"/>
      <c r="BJ774" s="11"/>
      <c r="BX774" s="11"/>
      <c r="CE774" s="11"/>
      <c r="CL774" s="11"/>
      <c r="CS774" s="11"/>
      <c r="CZ774" s="11"/>
      <c r="DG774" s="11"/>
      <c r="DN774" s="11"/>
      <c r="DU774" s="11"/>
    </row>
    <row r="775" ht="15.75" customHeight="1">
      <c r="C775" s="8"/>
      <c r="BJ775" s="11"/>
      <c r="BX775" s="11"/>
      <c r="CE775" s="11"/>
      <c r="CL775" s="11"/>
      <c r="CS775" s="11"/>
      <c r="CZ775" s="11"/>
      <c r="DG775" s="11"/>
      <c r="DN775" s="11"/>
      <c r="DU775" s="11"/>
    </row>
    <row r="776" ht="15.75" customHeight="1">
      <c r="C776" s="8"/>
      <c r="BJ776" s="11"/>
      <c r="BX776" s="11"/>
      <c r="CE776" s="11"/>
      <c r="CL776" s="11"/>
      <c r="CS776" s="11"/>
      <c r="CZ776" s="11"/>
      <c r="DG776" s="11"/>
      <c r="DN776" s="11"/>
      <c r="DU776" s="11"/>
    </row>
    <row r="777" ht="15.75" customHeight="1">
      <c r="C777" s="8"/>
      <c r="BJ777" s="11"/>
      <c r="BX777" s="11"/>
      <c r="CE777" s="11"/>
      <c r="CL777" s="11"/>
      <c r="CS777" s="11"/>
      <c r="CZ777" s="11"/>
      <c r="DG777" s="11"/>
      <c r="DN777" s="11"/>
      <c r="DU777" s="11"/>
    </row>
    <row r="778" ht="15.75" customHeight="1">
      <c r="C778" s="8"/>
      <c r="BJ778" s="11"/>
      <c r="BX778" s="11"/>
      <c r="CE778" s="11"/>
      <c r="CL778" s="11"/>
      <c r="CS778" s="11"/>
      <c r="CZ778" s="11"/>
      <c r="DG778" s="11"/>
      <c r="DN778" s="11"/>
      <c r="DU778" s="11"/>
    </row>
    <row r="779" ht="15.75" customHeight="1">
      <c r="C779" s="8"/>
      <c r="BJ779" s="11"/>
      <c r="BX779" s="11"/>
      <c r="CE779" s="11"/>
      <c r="CL779" s="11"/>
      <c r="CS779" s="11"/>
      <c r="CZ779" s="11"/>
      <c r="DG779" s="11"/>
      <c r="DN779" s="11"/>
      <c r="DU779" s="11"/>
    </row>
    <row r="780" ht="15.75" customHeight="1">
      <c r="C780" s="8"/>
      <c r="BJ780" s="11"/>
      <c r="BX780" s="11"/>
      <c r="CE780" s="11"/>
      <c r="CL780" s="11"/>
      <c r="CS780" s="11"/>
      <c r="CZ780" s="11"/>
      <c r="DG780" s="11"/>
      <c r="DN780" s="11"/>
      <c r="DU780" s="11"/>
    </row>
    <row r="781" ht="15.75" customHeight="1">
      <c r="C781" s="8"/>
      <c r="BJ781" s="11"/>
      <c r="BX781" s="11"/>
      <c r="CE781" s="11"/>
      <c r="CL781" s="11"/>
      <c r="CS781" s="11"/>
      <c r="CZ781" s="11"/>
      <c r="DG781" s="11"/>
      <c r="DN781" s="11"/>
      <c r="DU781" s="11"/>
    </row>
    <row r="782" ht="15.75" customHeight="1">
      <c r="C782" s="8"/>
      <c r="BJ782" s="11"/>
      <c r="BX782" s="11"/>
      <c r="CE782" s="11"/>
      <c r="CL782" s="11"/>
      <c r="CS782" s="11"/>
      <c r="CZ782" s="11"/>
      <c r="DG782" s="11"/>
      <c r="DN782" s="11"/>
      <c r="DU782" s="11"/>
    </row>
    <row r="783" ht="15.75" customHeight="1">
      <c r="C783" s="8"/>
      <c r="BJ783" s="11"/>
      <c r="BX783" s="11"/>
      <c r="CE783" s="11"/>
      <c r="CL783" s="11"/>
      <c r="CS783" s="11"/>
      <c r="CZ783" s="11"/>
      <c r="DG783" s="11"/>
      <c r="DN783" s="11"/>
      <c r="DU783" s="11"/>
    </row>
    <row r="784" ht="15.75" customHeight="1">
      <c r="C784" s="8"/>
      <c r="BJ784" s="11"/>
      <c r="BX784" s="11"/>
      <c r="CE784" s="11"/>
      <c r="CL784" s="11"/>
      <c r="CS784" s="11"/>
      <c r="CZ784" s="11"/>
      <c r="DG784" s="11"/>
      <c r="DN784" s="11"/>
      <c r="DU784" s="11"/>
    </row>
    <row r="785" ht="15.75" customHeight="1">
      <c r="C785" s="8"/>
      <c r="BJ785" s="11"/>
      <c r="BX785" s="11"/>
      <c r="CE785" s="11"/>
      <c r="CL785" s="11"/>
      <c r="CS785" s="11"/>
      <c r="CZ785" s="11"/>
      <c r="DG785" s="11"/>
      <c r="DN785" s="11"/>
      <c r="DU785" s="11"/>
    </row>
    <row r="786" ht="15.75" customHeight="1">
      <c r="C786" s="8"/>
      <c r="BJ786" s="11"/>
      <c r="BX786" s="11"/>
      <c r="CE786" s="11"/>
      <c r="CL786" s="11"/>
      <c r="CS786" s="11"/>
      <c r="CZ786" s="11"/>
      <c r="DG786" s="11"/>
      <c r="DN786" s="11"/>
      <c r="DU786" s="11"/>
    </row>
    <row r="787" ht="15.75" customHeight="1">
      <c r="C787" s="8"/>
      <c r="BJ787" s="11"/>
      <c r="BX787" s="11"/>
      <c r="CE787" s="11"/>
      <c r="CL787" s="11"/>
      <c r="CS787" s="11"/>
      <c r="CZ787" s="11"/>
      <c r="DG787" s="11"/>
      <c r="DN787" s="11"/>
      <c r="DU787" s="11"/>
    </row>
    <row r="788" ht="15.75" customHeight="1">
      <c r="C788" s="8"/>
      <c r="BJ788" s="11"/>
      <c r="BX788" s="11"/>
      <c r="CE788" s="11"/>
      <c r="CL788" s="11"/>
      <c r="CS788" s="11"/>
      <c r="CZ788" s="11"/>
      <c r="DG788" s="11"/>
      <c r="DN788" s="11"/>
      <c r="DU788" s="11"/>
    </row>
    <row r="789" ht="15.75" customHeight="1">
      <c r="C789" s="8"/>
      <c r="BJ789" s="11"/>
      <c r="BX789" s="11"/>
      <c r="CE789" s="11"/>
      <c r="CL789" s="11"/>
      <c r="CS789" s="11"/>
      <c r="CZ789" s="11"/>
      <c r="DG789" s="11"/>
      <c r="DN789" s="11"/>
      <c r="DU789" s="11"/>
    </row>
    <row r="790" ht="15.75" customHeight="1">
      <c r="C790" s="8"/>
      <c r="BJ790" s="11"/>
      <c r="BX790" s="11"/>
      <c r="CE790" s="11"/>
      <c r="CL790" s="11"/>
      <c r="CS790" s="11"/>
      <c r="CZ790" s="11"/>
      <c r="DG790" s="11"/>
      <c r="DN790" s="11"/>
      <c r="DU790" s="11"/>
    </row>
    <row r="791" ht="15.75" customHeight="1">
      <c r="C791" s="8"/>
      <c r="BJ791" s="11"/>
      <c r="BX791" s="11"/>
      <c r="CE791" s="11"/>
      <c r="CL791" s="11"/>
      <c r="CS791" s="11"/>
      <c r="CZ791" s="11"/>
      <c r="DG791" s="11"/>
      <c r="DN791" s="11"/>
      <c r="DU791" s="11"/>
    </row>
    <row r="792" ht="15.75" customHeight="1">
      <c r="C792" s="8"/>
      <c r="BJ792" s="11"/>
      <c r="BX792" s="11"/>
      <c r="CE792" s="11"/>
      <c r="CL792" s="11"/>
      <c r="CS792" s="11"/>
      <c r="CZ792" s="11"/>
      <c r="DG792" s="11"/>
      <c r="DN792" s="11"/>
      <c r="DU792" s="11"/>
    </row>
    <row r="793" ht="15.75" customHeight="1">
      <c r="C793" s="8"/>
      <c r="BJ793" s="11"/>
      <c r="BX793" s="11"/>
      <c r="CE793" s="11"/>
      <c r="CL793" s="11"/>
      <c r="CS793" s="11"/>
      <c r="CZ793" s="11"/>
      <c r="DG793" s="11"/>
      <c r="DN793" s="11"/>
      <c r="DU793" s="11"/>
    </row>
    <row r="794" ht="15.75" customHeight="1">
      <c r="C794" s="8"/>
      <c r="BJ794" s="11"/>
      <c r="BX794" s="11"/>
      <c r="CE794" s="11"/>
      <c r="CL794" s="11"/>
      <c r="CS794" s="11"/>
      <c r="CZ794" s="11"/>
      <c r="DG794" s="11"/>
      <c r="DN794" s="11"/>
      <c r="DU794" s="11"/>
    </row>
    <row r="795" ht="15.75" customHeight="1">
      <c r="C795" s="8"/>
      <c r="BJ795" s="11"/>
      <c r="BX795" s="11"/>
      <c r="CE795" s="11"/>
      <c r="CL795" s="11"/>
      <c r="CS795" s="11"/>
      <c r="CZ795" s="11"/>
      <c r="DG795" s="11"/>
      <c r="DN795" s="11"/>
      <c r="DU795" s="11"/>
    </row>
    <row r="796" ht="15.75" customHeight="1">
      <c r="C796" s="8"/>
      <c r="BJ796" s="11"/>
      <c r="BX796" s="11"/>
      <c r="CE796" s="11"/>
      <c r="CL796" s="11"/>
      <c r="CS796" s="11"/>
      <c r="CZ796" s="11"/>
      <c r="DG796" s="11"/>
      <c r="DN796" s="11"/>
      <c r="DU796" s="11"/>
    </row>
    <row r="797" ht="15.75" customHeight="1">
      <c r="C797" s="8"/>
      <c r="BJ797" s="11"/>
      <c r="BX797" s="11"/>
      <c r="CE797" s="11"/>
      <c r="CL797" s="11"/>
      <c r="CS797" s="11"/>
      <c r="CZ797" s="11"/>
      <c r="DG797" s="11"/>
      <c r="DN797" s="11"/>
      <c r="DU797" s="11"/>
    </row>
    <row r="798" ht="15.75" customHeight="1">
      <c r="C798" s="8"/>
      <c r="BJ798" s="11"/>
      <c r="BX798" s="11"/>
      <c r="CE798" s="11"/>
      <c r="CL798" s="11"/>
      <c r="CS798" s="11"/>
      <c r="CZ798" s="11"/>
      <c r="DG798" s="11"/>
      <c r="DN798" s="11"/>
      <c r="DU798" s="11"/>
    </row>
    <row r="799" ht="15.75" customHeight="1">
      <c r="C799" s="8"/>
      <c r="BJ799" s="11"/>
      <c r="BX799" s="11"/>
      <c r="CE799" s="11"/>
      <c r="CL799" s="11"/>
      <c r="CS799" s="11"/>
      <c r="CZ799" s="11"/>
      <c r="DG799" s="11"/>
      <c r="DN799" s="11"/>
      <c r="DU799" s="11"/>
    </row>
    <row r="800" ht="15.75" customHeight="1">
      <c r="C800" s="8"/>
      <c r="BJ800" s="11"/>
      <c r="BX800" s="11"/>
      <c r="CE800" s="11"/>
      <c r="CL800" s="11"/>
      <c r="CS800" s="11"/>
      <c r="CZ800" s="11"/>
      <c r="DG800" s="11"/>
      <c r="DN800" s="11"/>
      <c r="DU800" s="11"/>
    </row>
    <row r="801" ht="15.75" customHeight="1">
      <c r="C801" s="8"/>
      <c r="BJ801" s="11"/>
      <c r="BX801" s="11"/>
      <c r="CE801" s="11"/>
      <c r="CL801" s="11"/>
      <c r="CS801" s="11"/>
      <c r="CZ801" s="11"/>
      <c r="DG801" s="11"/>
      <c r="DN801" s="11"/>
      <c r="DU801" s="11"/>
    </row>
    <row r="802" ht="15.75" customHeight="1">
      <c r="C802" s="8"/>
      <c r="BJ802" s="11"/>
      <c r="BX802" s="11"/>
      <c r="CE802" s="11"/>
      <c r="CL802" s="11"/>
      <c r="CS802" s="11"/>
      <c r="CZ802" s="11"/>
      <c r="DG802" s="11"/>
      <c r="DN802" s="11"/>
      <c r="DU802" s="11"/>
    </row>
    <row r="803" ht="15.75" customHeight="1">
      <c r="C803" s="8"/>
      <c r="BJ803" s="11"/>
      <c r="BX803" s="11"/>
      <c r="CE803" s="11"/>
      <c r="CL803" s="11"/>
      <c r="CS803" s="11"/>
      <c r="CZ803" s="11"/>
      <c r="DG803" s="11"/>
      <c r="DN803" s="11"/>
      <c r="DU803" s="11"/>
    </row>
    <row r="804" ht="15.75" customHeight="1">
      <c r="C804" s="8"/>
      <c r="BJ804" s="11"/>
      <c r="BX804" s="11"/>
      <c r="CE804" s="11"/>
      <c r="CL804" s="11"/>
      <c r="CS804" s="11"/>
      <c r="CZ804" s="11"/>
      <c r="DG804" s="11"/>
      <c r="DN804" s="11"/>
      <c r="DU804" s="11"/>
    </row>
    <row r="805" ht="15.75" customHeight="1">
      <c r="C805" s="8"/>
      <c r="BJ805" s="11"/>
      <c r="BX805" s="11"/>
      <c r="CE805" s="11"/>
      <c r="CL805" s="11"/>
      <c r="CS805" s="11"/>
      <c r="CZ805" s="11"/>
      <c r="DG805" s="11"/>
      <c r="DN805" s="11"/>
      <c r="DU805" s="11"/>
    </row>
    <row r="806" ht="15.75" customHeight="1">
      <c r="C806" s="8"/>
      <c r="BJ806" s="11"/>
      <c r="BX806" s="11"/>
      <c r="CE806" s="11"/>
      <c r="CL806" s="11"/>
      <c r="CS806" s="11"/>
      <c r="CZ806" s="11"/>
      <c r="DG806" s="11"/>
      <c r="DN806" s="11"/>
      <c r="DU806" s="11"/>
    </row>
    <row r="807" ht="15.75" customHeight="1">
      <c r="C807" s="8"/>
      <c r="BJ807" s="11"/>
      <c r="BX807" s="11"/>
      <c r="CE807" s="11"/>
      <c r="CL807" s="11"/>
      <c r="CS807" s="11"/>
      <c r="CZ807" s="11"/>
      <c r="DG807" s="11"/>
      <c r="DN807" s="11"/>
      <c r="DU807" s="11"/>
    </row>
    <row r="808" ht="15.75" customHeight="1">
      <c r="C808" s="8"/>
      <c r="BJ808" s="11"/>
      <c r="BX808" s="11"/>
      <c r="CE808" s="11"/>
      <c r="CL808" s="11"/>
      <c r="CS808" s="11"/>
      <c r="CZ808" s="11"/>
      <c r="DG808" s="11"/>
      <c r="DN808" s="11"/>
      <c r="DU808" s="11"/>
    </row>
    <row r="809" ht="15.75" customHeight="1">
      <c r="C809" s="8"/>
      <c r="BJ809" s="11"/>
      <c r="BX809" s="11"/>
      <c r="CE809" s="11"/>
      <c r="CL809" s="11"/>
      <c r="CS809" s="11"/>
      <c r="CZ809" s="11"/>
      <c r="DG809" s="11"/>
      <c r="DN809" s="11"/>
      <c r="DU809" s="11"/>
    </row>
    <row r="810" ht="15.75" customHeight="1">
      <c r="C810" s="8"/>
      <c r="BJ810" s="11"/>
      <c r="BX810" s="11"/>
      <c r="CE810" s="11"/>
      <c r="CL810" s="11"/>
      <c r="CS810" s="11"/>
      <c r="CZ810" s="11"/>
      <c r="DG810" s="11"/>
      <c r="DN810" s="11"/>
      <c r="DU810" s="11"/>
    </row>
    <row r="811" ht="15.75" customHeight="1">
      <c r="C811" s="8"/>
      <c r="BJ811" s="11"/>
      <c r="BX811" s="11"/>
      <c r="CE811" s="11"/>
      <c r="CL811" s="11"/>
      <c r="CS811" s="11"/>
      <c r="CZ811" s="11"/>
      <c r="DG811" s="11"/>
      <c r="DN811" s="11"/>
      <c r="DU811" s="11"/>
    </row>
    <row r="812" ht="15.75" customHeight="1">
      <c r="C812" s="8"/>
      <c r="BJ812" s="11"/>
      <c r="BX812" s="11"/>
      <c r="CE812" s="11"/>
      <c r="CL812" s="11"/>
      <c r="CS812" s="11"/>
      <c r="CZ812" s="11"/>
      <c r="DG812" s="11"/>
      <c r="DN812" s="11"/>
      <c r="DU812" s="11"/>
    </row>
    <row r="813" ht="15.75" customHeight="1">
      <c r="C813" s="8"/>
      <c r="BJ813" s="11"/>
      <c r="BX813" s="11"/>
      <c r="CE813" s="11"/>
      <c r="CL813" s="11"/>
      <c r="CS813" s="11"/>
      <c r="CZ813" s="11"/>
      <c r="DG813" s="11"/>
      <c r="DN813" s="11"/>
      <c r="DU813" s="11"/>
    </row>
    <row r="814" ht="15.75" customHeight="1">
      <c r="C814" s="8"/>
      <c r="BJ814" s="11"/>
      <c r="BX814" s="11"/>
      <c r="CE814" s="11"/>
      <c r="CL814" s="11"/>
      <c r="CS814" s="11"/>
      <c r="CZ814" s="11"/>
      <c r="DG814" s="11"/>
      <c r="DN814" s="11"/>
      <c r="DU814" s="11"/>
    </row>
    <row r="815" ht="15.75" customHeight="1">
      <c r="C815" s="8"/>
      <c r="BJ815" s="11"/>
      <c r="BX815" s="11"/>
      <c r="CE815" s="11"/>
      <c r="CL815" s="11"/>
      <c r="CS815" s="11"/>
      <c r="CZ815" s="11"/>
      <c r="DG815" s="11"/>
      <c r="DN815" s="11"/>
      <c r="DU815" s="11"/>
    </row>
    <row r="816" ht="15.75" customHeight="1">
      <c r="C816" s="8"/>
      <c r="BJ816" s="11"/>
      <c r="BX816" s="11"/>
      <c r="CE816" s="11"/>
      <c r="CL816" s="11"/>
      <c r="CS816" s="11"/>
      <c r="CZ816" s="11"/>
      <c r="DG816" s="11"/>
      <c r="DN816" s="11"/>
      <c r="DU816" s="11"/>
    </row>
    <row r="817" ht="15.75" customHeight="1">
      <c r="C817" s="8"/>
      <c r="BJ817" s="11"/>
      <c r="BX817" s="11"/>
      <c r="CE817" s="11"/>
      <c r="CL817" s="11"/>
      <c r="CS817" s="11"/>
      <c r="CZ817" s="11"/>
      <c r="DG817" s="11"/>
      <c r="DN817" s="11"/>
      <c r="DU817" s="11"/>
    </row>
    <row r="818" ht="15.75" customHeight="1">
      <c r="C818" s="8"/>
      <c r="BJ818" s="11"/>
      <c r="BX818" s="11"/>
      <c r="CE818" s="11"/>
      <c r="CL818" s="11"/>
      <c r="CS818" s="11"/>
      <c r="CZ818" s="11"/>
      <c r="DG818" s="11"/>
      <c r="DN818" s="11"/>
      <c r="DU818" s="11"/>
    </row>
    <row r="819" ht="15.75" customHeight="1">
      <c r="C819" s="8"/>
      <c r="BJ819" s="11"/>
      <c r="BX819" s="11"/>
      <c r="CE819" s="11"/>
      <c r="CL819" s="11"/>
      <c r="CS819" s="11"/>
      <c r="CZ819" s="11"/>
      <c r="DG819" s="11"/>
      <c r="DN819" s="11"/>
      <c r="DU819" s="11"/>
    </row>
    <row r="820" ht="15.75" customHeight="1">
      <c r="C820" s="8"/>
      <c r="BJ820" s="11"/>
      <c r="BX820" s="11"/>
      <c r="CE820" s="11"/>
      <c r="CL820" s="11"/>
      <c r="CS820" s="11"/>
      <c r="CZ820" s="11"/>
      <c r="DG820" s="11"/>
      <c r="DN820" s="11"/>
      <c r="DU820" s="11"/>
    </row>
    <row r="821" ht="15.75" customHeight="1">
      <c r="C821" s="8"/>
      <c r="BJ821" s="11"/>
      <c r="BX821" s="11"/>
      <c r="CE821" s="11"/>
      <c r="CL821" s="11"/>
      <c r="CS821" s="11"/>
      <c r="CZ821" s="11"/>
      <c r="DG821" s="11"/>
      <c r="DN821" s="11"/>
      <c r="DU821" s="11"/>
    </row>
    <row r="822" ht="15.75" customHeight="1">
      <c r="C822" s="8"/>
      <c r="BJ822" s="11"/>
      <c r="BX822" s="11"/>
      <c r="CE822" s="11"/>
      <c r="CL822" s="11"/>
      <c r="CS822" s="11"/>
      <c r="CZ822" s="11"/>
      <c r="DG822" s="11"/>
      <c r="DN822" s="11"/>
      <c r="DU822" s="11"/>
    </row>
    <row r="823" ht="15.75" customHeight="1">
      <c r="C823" s="8"/>
      <c r="BJ823" s="11"/>
      <c r="BX823" s="11"/>
      <c r="CE823" s="11"/>
      <c r="CL823" s="11"/>
      <c r="CS823" s="11"/>
      <c r="CZ823" s="11"/>
      <c r="DG823" s="11"/>
      <c r="DN823" s="11"/>
      <c r="DU823" s="11"/>
    </row>
    <row r="824" ht="15.75" customHeight="1">
      <c r="C824" s="8"/>
      <c r="BJ824" s="11"/>
      <c r="BX824" s="11"/>
      <c r="CE824" s="11"/>
      <c r="CL824" s="11"/>
      <c r="CS824" s="11"/>
      <c r="CZ824" s="11"/>
      <c r="DG824" s="11"/>
      <c r="DN824" s="11"/>
      <c r="DU824" s="11"/>
    </row>
    <row r="825" ht="15.75" customHeight="1">
      <c r="C825" s="8"/>
      <c r="BJ825" s="11"/>
      <c r="BX825" s="11"/>
      <c r="CE825" s="11"/>
      <c r="CL825" s="11"/>
      <c r="CS825" s="11"/>
      <c r="CZ825" s="11"/>
      <c r="DG825" s="11"/>
      <c r="DN825" s="11"/>
      <c r="DU825" s="11"/>
    </row>
    <row r="826" ht="15.75" customHeight="1">
      <c r="C826" s="8"/>
      <c r="BJ826" s="11"/>
      <c r="BX826" s="11"/>
      <c r="CE826" s="11"/>
      <c r="CL826" s="11"/>
      <c r="CS826" s="11"/>
      <c r="CZ826" s="11"/>
      <c r="DG826" s="11"/>
      <c r="DN826" s="11"/>
      <c r="DU826" s="11"/>
    </row>
    <row r="827" ht="15.75" customHeight="1">
      <c r="C827" s="8"/>
      <c r="BJ827" s="11"/>
      <c r="BX827" s="11"/>
      <c r="CE827" s="11"/>
      <c r="CL827" s="11"/>
      <c r="CS827" s="11"/>
      <c r="CZ827" s="11"/>
      <c r="DG827" s="11"/>
      <c r="DN827" s="11"/>
      <c r="DU827" s="11"/>
    </row>
    <row r="828" ht="15.75" customHeight="1">
      <c r="C828" s="8"/>
      <c r="BJ828" s="11"/>
      <c r="BX828" s="11"/>
      <c r="CE828" s="11"/>
      <c r="CL828" s="11"/>
      <c r="CS828" s="11"/>
      <c r="CZ828" s="11"/>
      <c r="DG828" s="11"/>
      <c r="DN828" s="11"/>
      <c r="DU828" s="11"/>
    </row>
    <row r="829" ht="15.75" customHeight="1">
      <c r="C829" s="8"/>
      <c r="BJ829" s="11"/>
      <c r="BX829" s="11"/>
      <c r="CE829" s="11"/>
      <c r="CL829" s="11"/>
      <c r="CS829" s="11"/>
      <c r="CZ829" s="11"/>
      <c r="DG829" s="11"/>
      <c r="DN829" s="11"/>
      <c r="DU829" s="11"/>
    </row>
    <row r="830" ht="15.75" customHeight="1">
      <c r="C830" s="8"/>
      <c r="BJ830" s="11"/>
      <c r="BX830" s="11"/>
      <c r="CE830" s="11"/>
      <c r="CL830" s="11"/>
      <c r="CS830" s="11"/>
      <c r="CZ830" s="11"/>
      <c r="DG830" s="11"/>
      <c r="DN830" s="11"/>
      <c r="DU830" s="11"/>
    </row>
    <row r="831" ht="15.75" customHeight="1">
      <c r="C831" s="8"/>
      <c r="BJ831" s="11"/>
      <c r="BX831" s="11"/>
      <c r="CE831" s="11"/>
      <c r="CL831" s="11"/>
      <c r="CS831" s="11"/>
      <c r="CZ831" s="11"/>
      <c r="DG831" s="11"/>
      <c r="DN831" s="11"/>
      <c r="DU831" s="11"/>
    </row>
    <row r="832" ht="15.75" customHeight="1">
      <c r="C832" s="8"/>
      <c r="BJ832" s="11"/>
      <c r="BX832" s="11"/>
      <c r="CE832" s="11"/>
      <c r="CL832" s="11"/>
      <c r="CS832" s="11"/>
      <c r="CZ832" s="11"/>
      <c r="DG832" s="11"/>
      <c r="DN832" s="11"/>
      <c r="DU832" s="11"/>
    </row>
    <row r="833" ht="15.75" customHeight="1">
      <c r="C833" s="8"/>
      <c r="BJ833" s="11"/>
      <c r="BX833" s="11"/>
      <c r="CE833" s="11"/>
      <c r="CL833" s="11"/>
      <c r="CS833" s="11"/>
      <c r="CZ833" s="11"/>
      <c r="DG833" s="11"/>
      <c r="DN833" s="11"/>
      <c r="DU833" s="11"/>
    </row>
    <row r="834" ht="15.75" customHeight="1">
      <c r="C834" s="8"/>
      <c r="BJ834" s="11"/>
      <c r="BX834" s="11"/>
      <c r="CE834" s="11"/>
      <c r="CL834" s="11"/>
      <c r="CS834" s="11"/>
      <c r="CZ834" s="11"/>
      <c r="DG834" s="11"/>
      <c r="DN834" s="11"/>
      <c r="DU834" s="11"/>
    </row>
    <row r="835" ht="15.75" customHeight="1">
      <c r="C835" s="8"/>
      <c r="BJ835" s="11"/>
      <c r="BX835" s="11"/>
      <c r="CE835" s="11"/>
      <c r="CL835" s="11"/>
      <c r="CS835" s="11"/>
      <c r="CZ835" s="11"/>
      <c r="DG835" s="11"/>
      <c r="DN835" s="11"/>
      <c r="DU835" s="11"/>
    </row>
    <row r="836" ht="15.75" customHeight="1">
      <c r="C836" s="8"/>
      <c r="BJ836" s="11"/>
      <c r="BX836" s="11"/>
      <c r="CE836" s="11"/>
      <c r="CL836" s="11"/>
      <c r="CS836" s="11"/>
      <c r="CZ836" s="11"/>
      <c r="DG836" s="11"/>
      <c r="DN836" s="11"/>
      <c r="DU836" s="11"/>
    </row>
    <row r="837" ht="15.75" customHeight="1">
      <c r="C837" s="8"/>
      <c r="BJ837" s="11"/>
      <c r="BX837" s="11"/>
      <c r="CE837" s="11"/>
      <c r="CL837" s="11"/>
      <c r="CS837" s="11"/>
      <c r="CZ837" s="11"/>
      <c r="DG837" s="11"/>
      <c r="DN837" s="11"/>
      <c r="DU837" s="11"/>
    </row>
    <row r="838" ht="15.75" customHeight="1">
      <c r="C838" s="8"/>
      <c r="BJ838" s="11"/>
      <c r="BX838" s="11"/>
      <c r="CE838" s="11"/>
      <c r="CL838" s="11"/>
      <c r="CS838" s="11"/>
      <c r="CZ838" s="11"/>
      <c r="DG838" s="11"/>
      <c r="DN838" s="11"/>
      <c r="DU838" s="11"/>
    </row>
    <row r="839" ht="15.75" customHeight="1">
      <c r="C839" s="8"/>
      <c r="BJ839" s="11"/>
      <c r="BX839" s="11"/>
      <c r="CE839" s="11"/>
      <c r="CL839" s="11"/>
      <c r="CS839" s="11"/>
      <c r="CZ839" s="11"/>
      <c r="DG839" s="11"/>
      <c r="DN839" s="11"/>
      <c r="DU839" s="11"/>
    </row>
    <row r="840" ht="15.75" customHeight="1">
      <c r="C840" s="8"/>
      <c r="BJ840" s="11"/>
      <c r="BX840" s="11"/>
      <c r="CE840" s="11"/>
      <c r="CL840" s="11"/>
      <c r="CS840" s="11"/>
      <c r="CZ840" s="11"/>
      <c r="DG840" s="11"/>
      <c r="DN840" s="11"/>
      <c r="DU840" s="11"/>
    </row>
    <row r="841" ht="15.75" customHeight="1">
      <c r="C841" s="8"/>
      <c r="BJ841" s="11"/>
      <c r="BX841" s="11"/>
      <c r="CE841" s="11"/>
      <c r="CL841" s="11"/>
      <c r="CS841" s="11"/>
      <c r="CZ841" s="11"/>
      <c r="DG841" s="11"/>
      <c r="DN841" s="11"/>
      <c r="DU841" s="11"/>
    </row>
    <row r="842" ht="15.75" customHeight="1">
      <c r="C842" s="8"/>
      <c r="BJ842" s="11"/>
      <c r="BX842" s="11"/>
      <c r="CE842" s="11"/>
      <c r="CL842" s="11"/>
      <c r="CS842" s="11"/>
      <c r="CZ842" s="11"/>
      <c r="DG842" s="11"/>
      <c r="DN842" s="11"/>
      <c r="DU842" s="11"/>
    </row>
    <row r="843" ht="15.75" customHeight="1">
      <c r="C843" s="8"/>
      <c r="BJ843" s="11"/>
      <c r="BX843" s="11"/>
      <c r="CE843" s="11"/>
      <c r="CL843" s="11"/>
      <c r="CS843" s="11"/>
      <c r="CZ843" s="11"/>
      <c r="DG843" s="11"/>
      <c r="DN843" s="11"/>
      <c r="DU843" s="11"/>
    </row>
    <row r="844" ht="15.75" customHeight="1">
      <c r="C844" s="8"/>
      <c r="BJ844" s="11"/>
      <c r="BX844" s="11"/>
      <c r="CE844" s="11"/>
      <c r="CL844" s="11"/>
      <c r="CS844" s="11"/>
      <c r="CZ844" s="11"/>
      <c r="DG844" s="11"/>
      <c r="DN844" s="11"/>
      <c r="DU844" s="11"/>
    </row>
    <row r="845" ht="15.75" customHeight="1">
      <c r="C845" s="8"/>
      <c r="BJ845" s="11"/>
      <c r="BX845" s="11"/>
      <c r="CE845" s="11"/>
      <c r="CL845" s="11"/>
      <c r="CS845" s="11"/>
      <c r="CZ845" s="11"/>
      <c r="DG845" s="11"/>
      <c r="DN845" s="11"/>
      <c r="DU845" s="11"/>
    </row>
    <row r="846" ht="15.75" customHeight="1">
      <c r="C846" s="8"/>
      <c r="BJ846" s="11"/>
      <c r="BX846" s="11"/>
      <c r="CE846" s="11"/>
      <c r="CL846" s="11"/>
      <c r="CS846" s="11"/>
      <c r="CZ846" s="11"/>
      <c r="DG846" s="11"/>
      <c r="DN846" s="11"/>
      <c r="DU846" s="11"/>
    </row>
    <row r="847" ht="15.75" customHeight="1">
      <c r="C847" s="8"/>
      <c r="BJ847" s="11"/>
      <c r="BX847" s="11"/>
      <c r="CE847" s="11"/>
      <c r="CL847" s="11"/>
      <c r="CS847" s="11"/>
      <c r="CZ847" s="11"/>
      <c r="DG847" s="11"/>
      <c r="DN847" s="11"/>
      <c r="DU847" s="11"/>
    </row>
    <row r="848" ht="15.75" customHeight="1">
      <c r="C848" s="8"/>
      <c r="BJ848" s="11"/>
      <c r="BX848" s="11"/>
      <c r="CE848" s="11"/>
      <c r="CL848" s="11"/>
      <c r="CS848" s="11"/>
      <c r="CZ848" s="11"/>
      <c r="DG848" s="11"/>
      <c r="DN848" s="11"/>
      <c r="DU848" s="11"/>
    </row>
    <row r="849" ht="15.75" customHeight="1">
      <c r="C849" s="8"/>
      <c r="BJ849" s="11"/>
      <c r="BX849" s="11"/>
      <c r="CE849" s="11"/>
      <c r="CL849" s="11"/>
      <c r="CS849" s="11"/>
      <c r="CZ849" s="11"/>
      <c r="DG849" s="11"/>
      <c r="DN849" s="11"/>
      <c r="DU849" s="11"/>
    </row>
    <row r="850" ht="15.75" customHeight="1">
      <c r="C850" s="8"/>
      <c r="BJ850" s="11"/>
      <c r="BX850" s="11"/>
      <c r="CE850" s="11"/>
      <c r="CL850" s="11"/>
      <c r="CS850" s="11"/>
      <c r="CZ850" s="11"/>
      <c r="DG850" s="11"/>
      <c r="DN850" s="11"/>
      <c r="DU850" s="11"/>
    </row>
    <row r="851" ht="15.75" customHeight="1">
      <c r="C851" s="8"/>
      <c r="BJ851" s="11"/>
      <c r="BX851" s="11"/>
      <c r="CE851" s="11"/>
      <c r="CL851" s="11"/>
      <c r="CS851" s="11"/>
      <c r="CZ851" s="11"/>
      <c r="DG851" s="11"/>
      <c r="DN851" s="11"/>
      <c r="DU851" s="11"/>
    </row>
    <row r="852" ht="15.75" customHeight="1">
      <c r="C852" s="8"/>
      <c r="BJ852" s="11"/>
      <c r="BX852" s="11"/>
      <c r="CE852" s="11"/>
      <c r="CL852" s="11"/>
      <c r="CS852" s="11"/>
      <c r="CZ852" s="11"/>
      <c r="DG852" s="11"/>
      <c r="DN852" s="11"/>
      <c r="DU852" s="11"/>
    </row>
    <row r="853" ht="15.75" customHeight="1">
      <c r="C853" s="8"/>
      <c r="BJ853" s="11"/>
      <c r="BX853" s="11"/>
      <c r="CE853" s="11"/>
      <c r="CL853" s="11"/>
      <c r="CS853" s="11"/>
      <c r="CZ853" s="11"/>
      <c r="DG853" s="11"/>
      <c r="DN853" s="11"/>
      <c r="DU853" s="11"/>
    </row>
    <row r="854" ht="15.75" customHeight="1">
      <c r="C854" s="8"/>
      <c r="BJ854" s="11"/>
      <c r="BX854" s="11"/>
      <c r="CE854" s="11"/>
      <c r="CL854" s="11"/>
      <c r="CS854" s="11"/>
      <c r="CZ854" s="11"/>
      <c r="DG854" s="11"/>
      <c r="DN854" s="11"/>
      <c r="DU854" s="11"/>
    </row>
    <row r="855" ht="15.75" customHeight="1">
      <c r="C855" s="8"/>
      <c r="BJ855" s="11"/>
      <c r="BX855" s="11"/>
      <c r="CE855" s="11"/>
      <c r="CL855" s="11"/>
      <c r="CS855" s="11"/>
      <c r="CZ855" s="11"/>
      <c r="DG855" s="11"/>
      <c r="DN855" s="11"/>
      <c r="DU855" s="11"/>
    </row>
    <row r="856" ht="15.75" customHeight="1">
      <c r="C856" s="8"/>
      <c r="BJ856" s="11"/>
      <c r="BX856" s="11"/>
      <c r="CE856" s="11"/>
      <c r="CL856" s="11"/>
      <c r="CS856" s="11"/>
      <c r="CZ856" s="11"/>
      <c r="DG856" s="11"/>
      <c r="DN856" s="11"/>
      <c r="DU856" s="11"/>
    </row>
    <row r="857" ht="15.75" customHeight="1">
      <c r="C857" s="8"/>
      <c r="BJ857" s="11"/>
      <c r="BX857" s="11"/>
      <c r="CE857" s="11"/>
      <c r="CL857" s="11"/>
      <c r="CS857" s="11"/>
      <c r="CZ857" s="11"/>
      <c r="DG857" s="11"/>
      <c r="DN857" s="11"/>
      <c r="DU857" s="11"/>
    </row>
    <row r="858" ht="15.75" customHeight="1">
      <c r="C858" s="8"/>
      <c r="BJ858" s="11"/>
      <c r="BX858" s="11"/>
      <c r="CE858" s="11"/>
      <c r="CL858" s="11"/>
      <c r="CS858" s="11"/>
      <c r="CZ858" s="11"/>
      <c r="DG858" s="11"/>
      <c r="DN858" s="11"/>
      <c r="DU858" s="11"/>
    </row>
    <row r="859" ht="15.75" customHeight="1">
      <c r="C859" s="8"/>
      <c r="BJ859" s="11"/>
      <c r="BX859" s="11"/>
      <c r="CE859" s="11"/>
      <c r="CL859" s="11"/>
      <c r="CS859" s="11"/>
      <c r="CZ859" s="11"/>
      <c r="DG859" s="11"/>
      <c r="DN859" s="11"/>
      <c r="DU859" s="11"/>
    </row>
    <row r="860" ht="15.75" customHeight="1">
      <c r="C860" s="8"/>
      <c r="BJ860" s="11"/>
      <c r="BX860" s="11"/>
      <c r="CE860" s="11"/>
      <c r="CL860" s="11"/>
      <c r="CS860" s="11"/>
      <c r="CZ860" s="11"/>
      <c r="DG860" s="11"/>
      <c r="DN860" s="11"/>
      <c r="DU860" s="11"/>
    </row>
    <row r="861" ht="15.75" customHeight="1">
      <c r="C861" s="8"/>
      <c r="BJ861" s="11"/>
      <c r="BX861" s="11"/>
      <c r="CE861" s="11"/>
      <c r="CL861" s="11"/>
      <c r="CS861" s="11"/>
      <c r="CZ861" s="11"/>
      <c r="DG861" s="11"/>
      <c r="DN861" s="11"/>
      <c r="DU861" s="11"/>
    </row>
    <row r="862" ht="15.75" customHeight="1">
      <c r="C862" s="8"/>
      <c r="BJ862" s="11"/>
      <c r="BX862" s="11"/>
      <c r="CE862" s="11"/>
      <c r="CL862" s="11"/>
      <c r="CS862" s="11"/>
      <c r="CZ862" s="11"/>
      <c r="DG862" s="11"/>
      <c r="DN862" s="11"/>
      <c r="DU862" s="11"/>
    </row>
    <row r="863" ht="15.75" customHeight="1">
      <c r="C863" s="8"/>
      <c r="BJ863" s="11"/>
      <c r="BX863" s="11"/>
      <c r="CE863" s="11"/>
      <c r="CL863" s="11"/>
      <c r="CS863" s="11"/>
      <c r="CZ863" s="11"/>
      <c r="DG863" s="11"/>
      <c r="DN863" s="11"/>
      <c r="DU863" s="11"/>
    </row>
    <row r="864" ht="15.75" customHeight="1">
      <c r="C864" s="8"/>
      <c r="BJ864" s="11"/>
      <c r="BX864" s="11"/>
      <c r="CE864" s="11"/>
      <c r="CL864" s="11"/>
      <c r="CS864" s="11"/>
      <c r="CZ864" s="11"/>
      <c r="DG864" s="11"/>
      <c r="DN864" s="11"/>
      <c r="DU864" s="11"/>
    </row>
    <row r="865" ht="15.75" customHeight="1">
      <c r="C865" s="8"/>
      <c r="BJ865" s="11"/>
      <c r="BX865" s="11"/>
      <c r="CE865" s="11"/>
      <c r="CL865" s="11"/>
      <c r="CS865" s="11"/>
      <c r="CZ865" s="11"/>
      <c r="DG865" s="11"/>
      <c r="DN865" s="11"/>
      <c r="DU865" s="11"/>
    </row>
    <row r="866" ht="15.75" customHeight="1">
      <c r="C866" s="8"/>
      <c r="BJ866" s="11"/>
      <c r="BX866" s="11"/>
      <c r="CE866" s="11"/>
      <c r="CL866" s="11"/>
      <c r="CS866" s="11"/>
      <c r="CZ866" s="11"/>
      <c r="DG866" s="11"/>
      <c r="DN866" s="11"/>
      <c r="DU866" s="11"/>
    </row>
    <row r="867" ht="15.75" customHeight="1">
      <c r="C867" s="8"/>
      <c r="BJ867" s="11"/>
      <c r="BX867" s="11"/>
      <c r="CE867" s="11"/>
      <c r="CL867" s="11"/>
      <c r="CS867" s="11"/>
      <c r="CZ867" s="11"/>
      <c r="DG867" s="11"/>
      <c r="DN867" s="11"/>
      <c r="DU867" s="11"/>
    </row>
    <row r="868" ht="15.75" customHeight="1">
      <c r="C868" s="8"/>
      <c r="BJ868" s="11"/>
      <c r="BX868" s="11"/>
      <c r="CE868" s="11"/>
      <c r="CL868" s="11"/>
      <c r="CS868" s="11"/>
      <c r="CZ868" s="11"/>
      <c r="DG868" s="11"/>
      <c r="DN868" s="11"/>
      <c r="DU868" s="11"/>
    </row>
    <row r="869" ht="15.75" customHeight="1">
      <c r="C869" s="8"/>
      <c r="BJ869" s="11"/>
      <c r="BX869" s="11"/>
      <c r="CE869" s="11"/>
      <c r="CL869" s="11"/>
      <c r="CS869" s="11"/>
      <c r="CZ869" s="11"/>
      <c r="DG869" s="11"/>
      <c r="DN869" s="11"/>
      <c r="DU869" s="11"/>
    </row>
    <row r="870" ht="15.75" customHeight="1">
      <c r="C870" s="8"/>
      <c r="BJ870" s="11"/>
      <c r="BX870" s="11"/>
      <c r="CE870" s="11"/>
      <c r="CL870" s="11"/>
      <c r="CS870" s="11"/>
      <c r="CZ870" s="11"/>
      <c r="DG870" s="11"/>
      <c r="DN870" s="11"/>
      <c r="DU870" s="11"/>
    </row>
    <row r="871" ht="15.75" customHeight="1">
      <c r="C871" s="8"/>
      <c r="BJ871" s="11"/>
      <c r="BX871" s="11"/>
      <c r="CE871" s="11"/>
      <c r="CL871" s="11"/>
      <c r="CS871" s="11"/>
      <c r="CZ871" s="11"/>
      <c r="DG871" s="11"/>
      <c r="DN871" s="11"/>
      <c r="DU871" s="11"/>
    </row>
    <row r="872" ht="15.75" customHeight="1">
      <c r="C872" s="8"/>
      <c r="BJ872" s="11"/>
      <c r="BX872" s="11"/>
      <c r="CE872" s="11"/>
      <c r="CL872" s="11"/>
      <c r="CS872" s="11"/>
      <c r="CZ872" s="11"/>
      <c r="DG872" s="11"/>
      <c r="DN872" s="11"/>
      <c r="DU872" s="11"/>
    </row>
    <row r="873" ht="15.75" customHeight="1">
      <c r="C873" s="8"/>
      <c r="BJ873" s="11"/>
      <c r="BX873" s="11"/>
      <c r="CE873" s="11"/>
      <c r="CL873" s="11"/>
      <c r="CS873" s="11"/>
      <c r="CZ873" s="11"/>
      <c r="DG873" s="11"/>
      <c r="DN873" s="11"/>
      <c r="DU873" s="11"/>
    </row>
    <row r="874" ht="15.75" customHeight="1">
      <c r="C874" s="8"/>
      <c r="BJ874" s="11"/>
      <c r="BX874" s="11"/>
      <c r="CE874" s="11"/>
      <c r="CL874" s="11"/>
      <c r="CS874" s="11"/>
      <c r="CZ874" s="11"/>
      <c r="DG874" s="11"/>
      <c r="DN874" s="11"/>
      <c r="DU874" s="11"/>
    </row>
    <row r="875" ht="15.75" customHeight="1">
      <c r="C875" s="8"/>
      <c r="BJ875" s="11"/>
      <c r="BX875" s="11"/>
      <c r="CE875" s="11"/>
      <c r="CL875" s="11"/>
      <c r="CS875" s="11"/>
      <c r="CZ875" s="11"/>
      <c r="DG875" s="11"/>
      <c r="DN875" s="11"/>
      <c r="DU875" s="11"/>
    </row>
    <row r="876" ht="15.75" customHeight="1">
      <c r="C876" s="8"/>
      <c r="BJ876" s="11"/>
      <c r="BX876" s="11"/>
      <c r="CE876" s="11"/>
      <c r="CL876" s="11"/>
      <c r="CS876" s="11"/>
      <c r="CZ876" s="11"/>
      <c r="DG876" s="11"/>
      <c r="DN876" s="11"/>
      <c r="DU876" s="11"/>
    </row>
    <row r="877" ht="15.75" customHeight="1">
      <c r="C877" s="8"/>
      <c r="BJ877" s="11"/>
      <c r="BX877" s="11"/>
      <c r="CE877" s="11"/>
      <c r="CL877" s="11"/>
      <c r="CS877" s="11"/>
      <c r="CZ877" s="11"/>
      <c r="DG877" s="11"/>
      <c r="DN877" s="11"/>
      <c r="DU877" s="11"/>
    </row>
    <row r="878" ht="15.75" customHeight="1">
      <c r="C878" s="8"/>
      <c r="BJ878" s="11"/>
      <c r="BX878" s="11"/>
      <c r="CE878" s="11"/>
      <c r="CL878" s="11"/>
      <c r="CS878" s="11"/>
      <c r="CZ878" s="11"/>
      <c r="DG878" s="11"/>
      <c r="DN878" s="11"/>
      <c r="DU878" s="11"/>
    </row>
    <row r="879" ht="15.75" customHeight="1">
      <c r="C879" s="8"/>
      <c r="BJ879" s="11"/>
      <c r="BX879" s="11"/>
      <c r="CE879" s="11"/>
      <c r="CL879" s="11"/>
      <c r="CS879" s="11"/>
      <c r="CZ879" s="11"/>
      <c r="DG879" s="11"/>
      <c r="DN879" s="11"/>
      <c r="DU879" s="11"/>
    </row>
    <row r="880" ht="15.75" customHeight="1">
      <c r="C880" s="8"/>
      <c r="BJ880" s="11"/>
      <c r="BX880" s="11"/>
      <c r="CE880" s="11"/>
      <c r="CL880" s="11"/>
      <c r="CS880" s="11"/>
      <c r="CZ880" s="11"/>
      <c r="DG880" s="11"/>
      <c r="DN880" s="11"/>
      <c r="DU880" s="11"/>
    </row>
    <row r="881" ht="15.75" customHeight="1">
      <c r="C881" s="8"/>
      <c r="BJ881" s="11"/>
      <c r="BX881" s="11"/>
      <c r="CE881" s="11"/>
      <c r="CL881" s="11"/>
      <c r="CS881" s="11"/>
      <c r="CZ881" s="11"/>
      <c r="DG881" s="11"/>
      <c r="DN881" s="11"/>
      <c r="DU881" s="11"/>
    </row>
    <row r="882" ht="15.75" customHeight="1">
      <c r="C882" s="8"/>
      <c r="BJ882" s="11"/>
      <c r="BX882" s="11"/>
      <c r="CE882" s="11"/>
      <c r="CL882" s="11"/>
      <c r="CS882" s="11"/>
      <c r="CZ882" s="11"/>
      <c r="DG882" s="11"/>
      <c r="DN882" s="11"/>
      <c r="DU882" s="11"/>
    </row>
    <row r="883" ht="15.75" customHeight="1">
      <c r="C883" s="8"/>
      <c r="BJ883" s="11"/>
      <c r="BX883" s="11"/>
      <c r="CE883" s="11"/>
      <c r="CL883" s="11"/>
      <c r="CS883" s="11"/>
      <c r="CZ883" s="11"/>
      <c r="DG883" s="11"/>
      <c r="DN883" s="11"/>
      <c r="DU883" s="11"/>
    </row>
    <row r="884" ht="15.75" customHeight="1">
      <c r="C884" s="8"/>
      <c r="BJ884" s="11"/>
      <c r="BX884" s="11"/>
      <c r="CE884" s="11"/>
      <c r="CL884" s="11"/>
      <c r="CS884" s="11"/>
      <c r="CZ884" s="11"/>
      <c r="DG884" s="11"/>
      <c r="DN884" s="11"/>
      <c r="DU884" s="11"/>
    </row>
    <row r="885" ht="15.75" customHeight="1">
      <c r="C885" s="8"/>
      <c r="BJ885" s="11"/>
      <c r="BX885" s="11"/>
      <c r="CE885" s="11"/>
      <c r="CL885" s="11"/>
      <c r="CS885" s="11"/>
      <c r="CZ885" s="11"/>
      <c r="DG885" s="11"/>
      <c r="DN885" s="11"/>
      <c r="DU885" s="11"/>
    </row>
    <row r="886" ht="15.75" customHeight="1">
      <c r="C886" s="8"/>
      <c r="BJ886" s="11"/>
      <c r="BX886" s="11"/>
      <c r="CE886" s="11"/>
      <c r="CL886" s="11"/>
      <c r="CS886" s="11"/>
      <c r="CZ886" s="11"/>
      <c r="DG886" s="11"/>
      <c r="DN886" s="11"/>
      <c r="DU886" s="11"/>
    </row>
    <row r="887" ht="15.75" customHeight="1">
      <c r="C887" s="8"/>
      <c r="BJ887" s="11"/>
      <c r="BX887" s="11"/>
      <c r="CE887" s="11"/>
      <c r="CL887" s="11"/>
      <c r="CS887" s="11"/>
      <c r="CZ887" s="11"/>
      <c r="DG887" s="11"/>
      <c r="DN887" s="11"/>
      <c r="DU887" s="11"/>
    </row>
    <row r="888" ht="15.75" customHeight="1">
      <c r="C888" s="8"/>
      <c r="BJ888" s="11"/>
      <c r="BX888" s="11"/>
      <c r="CE888" s="11"/>
      <c r="CL888" s="11"/>
      <c r="CS888" s="11"/>
      <c r="CZ888" s="11"/>
      <c r="DG888" s="11"/>
      <c r="DN888" s="11"/>
      <c r="DU888" s="11"/>
    </row>
    <row r="889" ht="15.75" customHeight="1">
      <c r="C889" s="8"/>
      <c r="BJ889" s="11"/>
      <c r="BX889" s="11"/>
      <c r="CE889" s="11"/>
      <c r="CL889" s="11"/>
      <c r="CS889" s="11"/>
      <c r="CZ889" s="11"/>
      <c r="DG889" s="11"/>
      <c r="DN889" s="11"/>
      <c r="DU889" s="11"/>
    </row>
    <row r="890" ht="15.75" customHeight="1">
      <c r="C890" s="8"/>
      <c r="BJ890" s="11"/>
      <c r="BX890" s="11"/>
      <c r="CE890" s="11"/>
      <c r="CL890" s="11"/>
      <c r="CS890" s="11"/>
      <c r="CZ890" s="11"/>
      <c r="DG890" s="11"/>
      <c r="DN890" s="11"/>
      <c r="DU890" s="11"/>
    </row>
    <row r="891" ht="15.75" customHeight="1">
      <c r="C891" s="8"/>
      <c r="BJ891" s="11"/>
      <c r="BX891" s="11"/>
      <c r="CE891" s="11"/>
      <c r="CL891" s="11"/>
      <c r="CS891" s="11"/>
      <c r="CZ891" s="11"/>
      <c r="DG891" s="11"/>
      <c r="DN891" s="11"/>
      <c r="DU891" s="11"/>
    </row>
    <row r="892" ht="15.75" customHeight="1">
      <c r="C892" s="8"/>
      <c r="BJ892" s="11"/>
      <c r="BX892" s="11"/>
      <c r="CE892" s="11"/>
      <c r="CL892" s="11"/>
      <c r="CS892" s="11"/>
      <c r="CZ892" s="11"/>
      <c r="DG892" s="11"/>
      <c r="DN892" s="11"/>
      <c r="DU892" s="11"/>
    </row>
    <row r="893" ht="15.75" customHeight="1">
      <c r="C893" s="8"/>
      <c r="BJ893" s="11"/>
      <c r="BX893" s="11"/>
      <c r="CE893" s="11"/>
      <c r="CL893" s="11"/>
      <c r="CS893" s="11"/>
      <c r="CZ893" s="11"/>
      <c r="DG893" s="11"/>
      <c r="DN893" s="11"/>
      <c r="DU893" s="11"/>
    </row>
    <row r="894" ht="15.75" customHeight="1">
      <c r="C894" s="8"/>
      <c r="BJ894" s="11"/>
      <c r="BX894" s="11"/>
      <c r="CE894" s="11"/>
      <c r="CL894" s="11"/>
      <c r="CS894" s="11"/>
      <c r="CZ894" s="11"/>
      <c r="DG894" s="11"/>
      <c r="DN894" s="11"/>
      <c r="DU894" s="11"/>
    </row>
    <row r="895" ht="15.75" customHeight="1">
      <c r="C895" s="8"/>
      <c r="BJ895" s="11"/>
      <c r="BX895" s="11"/>
      <c r="CE895" s="11"/>
      <c r="CL895" s="11"/>
      <c r="CS895" s="11"/>
      <c r="CZ895" s="11"/>
      <c r="DG895" s="11"/>
      <c r="DN895" s="11"/>
      <c r="DU895" s="11"/>
    </row>
    <row r="896" ht="15.75" customHeight="1">
      <c r="C896" s="8"/>
      <c r="BJ896" s="11"/>
      <c r="BX896" s="11"/>
      <c r="CE896" s="11"/>
      <c r="CL896" s="11"/>
      <c r="CS896" s="11"/>
      <c r="CZ896" s="11"/>
      <c r="DG896" s="11"/>
      <c r="DN896" s="11"/>
      <c r="DU896" s="11"/>
    </row>
    <row r="897" ht="15.75" customHeight="1">
      <c r="C897" s="8"/>
      <c r="BJ897" s="11"/>
      <c r="BX897" s="11"/>
      <c r="CE897" s="11"/>
      <c r="CL897" s="11"/>
      <c r="CS897" s="11"/>
      <c r="CZ897" s="11"/>
      <c r="DG897" s="11"/>
      <c r="DN897" s="11"/>
      <c r="DU897" s="11"/>
    </row>
    <row r="898" ht="15.75" customHeight="1">
      <c r="C898" s="8"/>
      <c r="BJ898" s="11"/>
      <c r="BX898" s="11"/>
      <c r="CE898" s="11"/>
      <c r="CL898" s="11"/>
      <c r="CS898" s="11"/>
      <c r="CZ898" s="11"/>
      <c r="DG898" s="11"/>
      <c r="DN898" s="11"/>
      <c r="DU898" s="11"/>
    </row>
    <row r="899" ht="15.75" customHeight="1">
      <c r="C899" s="8"/>
      <c r="BJ899" s="11"/>
      <c r="BX899" s="11"/>
      <c r="CE899" s="11"/>
      <c r="CL899" s="11"/>
      <c r="CS899" s="11"/>
      <c r="CZ899" s="11"/>
      <c r="DG899" s="11"/>
      <c r="DN899" s="11"/>
      <c r="DU899" s="11"/>
    </row>
    <row r="900" ht="15.75" customHeight="1">
      <c r="C900" s="8"/>
      <c r="BJ900" s="11"/>
      <c r="BX900" s="11"/>
      <c r="CE900" s="11"/>
      <c r="CL900" s="11"/>
      <c r="CS900" s="11"/>
      <c r="CZ900" s="11"/>
      <c r="DG900" s="11"/>
      <c r="DN900" s="11"/>
      <c r="DU900" s="11"/>
    </row>
    <row r="901" ht="15.75" customHeight="1">
      <c r="C901" s="8"/>
      <c r="BJ901" s="11"/>
      <c r="BX901" s="11"/>
      <c r="CE901" s="11"/>
      <c r="CL901" s="11"/>
      <c r="CS901" s="11"/>
      <c r="CZ901" s="11"/>
      <c r="DG901" s="11"/>
      <c r="DN901" s="11"/>
      <c r="DU901" s="11"/>
    </row>
    <row r="902" ht="15.75" customHeight="1">
      <c r="C902" s="8"/>
      <c r="BJ902" s="11"/>
      <c r="BX902" s="11"/>
      <c r="CE902" s="11"/>
      <c r="CL902" s="11"/>
      <c r="CS902" s="11"/>
      <c r="CZ902" s="11"/>
      <c r="DG902" s="11"/>
      <c r="DN902" s="11"/>
      <c r="DU902" s="11"/>
    </row>
    <row r="903" ht="15.75" customHeight="1">
      <c r="C903" s="8"/>
      <c r="BJ903" s="11"/>
      <c r="BX903" s="11"/>
      <c r="CE903" s="11"/>
      <c r="CL903" s="11"/>
      <c r="CS903" s="11"/>
      <c r="CZ903" s="11"/>
      <c r="DG903" s="11"/>
      <c r="DN903" s="11"/>
      <c r="DU903" s="11"/>
    </row>
    <row r="904" ht="15.75" customHeight="1">
      <c r="C904" s="8"/>
      <c r="BJ904" s="11"/>
      <c r="BX904" s="11"/>
      <c r="CE904" s="11"/>
      <c r="CL904" s="11"/>
      <c r="CS904" s="11"/>
      <c r="CZ904" s="11"/>
      <c r="DG904" s="11"/>
      <c r="DN904" s="11"/>
      <c r="DU904" s="11"/>
    </row>
    <row r="905" ht="15.75" customHeight="1">
      <c r="C905" s="8"/>
      <c r="BJ905" s="11"/>
      <c r="BX905" s="11"/>
      <c r="CE905" s="11"/>
      <c r="CL905" s="11"/>
      <c r="CS905" s="11"/>
      <c r="CZ905" s="11"/>
      <c r="DG905" s="11"/>
      <c r="DN905" s="11"/>
      <c r="DU905" s="11"/>
    </row>
    <row r="906" ht="15.75" customHeight="1">
      <c r="C906" s="8"/>
      <c r="BJ906" s="11"/>
      <c r="BX906" s="11"/>
      <c r="CE906" s="11"/>
      <c r="CL906" s="11"/>
      <c r="CS906" s="11"/>
      <c r="CZ906" s="11"/>
      <c r="DG906" s="11"/>
      <c r="DN906" s="11"/>
      <c r="DU906" s="11"/>
    </row>
    <row r="907" ht="15.75" customHeight="1">
      <c r="C907" s="8"/>
      <c r="BJ907" s="11"/>
      <c r="BX907" s="11"/>
      <c r="CE907" s="11"/>
      <c r="CL907" s="11"/>
      <c r="CS907" s="11"/>
      <c r="CZ907" s="11"/>
      <c r="DG907" s="11"/>
      <c r="DN907" s="11"/>
      <c r="DU907" s="11"/>
    </row>
    <row r="908" ht="15.75" customHeight="1">
      <c r="C908" s="8"/>
      <c r="BJ908" s="11"/>
      <c r="BX908" s="11"/>
      <c r="CE908" s="11"/>
      <c r="CL908" s="11"/>
      <c r="CS908" s="11"/>
      <c r="CZ908" s="11"/>
      <c r="DG908" s="11"/>
      <c r="DN908" s="11"/>
      <c r="DU908" s="11"/>
    </row>
    <row r="909" ht="15.75" customHeight="1">
      <c r="C909" s="8"/>
      <c r="BJ909" s="11"/>
      <c r="BX909" s="11"/>
      <c r="CE909" s="11"/>
      <c r="CL909" s="11"/>
      <c r="CS909" s="11"/>
      <c r="CZ909" s="11"/>
      <c r="DG909" s="11"/>
      <c r="DN909" s="11"/>
      <c r="DU909" s="11"/>
    </row>
    <row r="910" ht="15.75" customHeight="1">
      <c r="C910" s="8"/>
      <c r="BJ910" s="11"/>
      <c r="BX910" s="11"/>
      <c r="CE910" s="11"/>
      <c r="CL910" s="11"/>
      <c r="CS910" s="11"/>
      <c r="CZ910" s="11"/>
      <c r="DG910" s="11"/>
      <c r="DN910" s="11"/>
      <c r="DU910" s="11"/>
    </row>
    <row r="911" ht="15.75" customHeight="1">
      <c r="C911" s="8"/>
      <c r="BJ911" s="11"/>
      <c r="BX911" s="11"/>
      <c r="CE911" s="11"/>
      <c r="CL911" s="11"/>
      <c r="CS911" s="11"/>
      <c r="CZ911" s="11"/>
      <c r="DG911" s="11"/>
      <c r="DN911" s="11"/>
      <c r="DU911" s="11"/>
    </row>
    <row r="912" ht="15.75" customHeight="1">
      <c r="C912" s="8"/>
      <c r="BJ912" s="11"/>
      <c r="BX912" s="11"/>
      <c r="CE912" s="11"/>
      <c r="CL912" s="11"/>
      <c r="CS912" s="11"/>
      <c r="CZ912" s="11"/>
      <c r="DG912" s="11"/>
      <c r="DN912" s="11"/>
      <c r="DU912" s="11"/>
    </row>
    <row r="913" ht="15.75" customHeight="1">
      <c r="C913" s="8"/>
      <c r="BJ913" s="11"/>
      <c r="BX913" s="11"/>
      <c r="CE913" s="11"/>
      <c r="CL913" s="11"/>
      <c r="CS913" s="11"/>
      <c r="CZ913" s="11"/>
      <c r="DG913" s="11"/>
      <c r="DN913" s="11"/>
      <c r="DU913" s="11"/>
    </row>
    <row r="914" ht="15.75" customHeight="1">
      <c r="C914" s="8"/>
      <c r="BJ914" s="11"/>
      <c r="BX914" s="11"/>
      <c r="CE914" s="11"/>
      <c r="CL914" s="11"/>
      <c r="CS914" s="11"/>
      <c r="CZ914" s="11"/>
      <c r="DG914" s="11"/>
      <c r="DN914" s="11"/>
      <c r="DU914" s="11"/>
    </row>
    <row r="915" ht="15.75" customHeight="1">
      <c r="C915" s="8"/>
      <c r="BJ915" s="11"/>
      <c r="BX915" s="11"/>
      <c r="CE915" s="11"/>
      <c r="CL915" s="11"/>
      <c r="CS915" s="11"/>
      <c r="CZ915" s="11"/>
      <c r="DG915" s="11"/>
      <c r="DN915" s="11"/>
      <c r="DU915" s="11"/>
    </row>
    <row r="916" ht="15.75" customHeight="1">
      <c r="C916" s="8"/>
      <c r="BJ916" s="11"/>
      <c r="BX916" s="11"/>
      <c r="CE916" s="11"/>
      <c r="CL916" s="11"/>
      <c r="CS916" s="11"/>
      <c r="CZ916" s="11"/>
      <c r="DG916" s="11"/>
      <c r="DN916" s="11"/>
      <c r="DU916" s="11"/>
    </row>
    <row r="917" ht="15.75" customHeight="1">
      <c r="C917" s="8"/>
      <c r="BJ917" s="11"/>
      <c r="BX917" s="11"/>
      <c r="CE917" s="11"/>
      <c r="CL917" s="11"/>
      <c r="CS917" s="11"/>
      <c r="CZ917" s="11"/>
      <c r="DG917" s="11"/>
      <c r="DN917" s="11"/>
      <c r="DU917" s="11"/>
    </row>
    <row r="918" ht="15.75" customHeight="1">
      <c r="C918" s="8"/>
      <c r="BJ918" s="11"/>
      <c r="BX918" s="11"/>
      <c r="CE918" s="11"/>
      <c r="CL918" s="11"/>
      <c r="CS918" s="11"/>
      <c r="CZ918" s="11"/>
      <c r="DG918" s="11"/>
      <c r="DN918" s="11"/>
      <c r="DU918" s="11"/>
    </row>
    <row r="919" ht="15.75" customHeight="1">
      <c r="C919" s="8"/>
      <c r="BJ919" s="11"/>
      <c r="BX919" s="11"/>
      <c r="CE919" s="11"/>
      <c r="CL919" s="11"/>
      <c r="CS919" s="11"/>
      <c r="CZ919" s="11"/>
      <c r="DG919" s="11"/>
      <c r="DN919" s="11"/>
      <c r="DU919" s="11"/>
    </row>
    <row r="920" ht="15.75" customHeight="1">
      <c r="C920" s="8"/>
      <c r="BJ920" s="11"/>
      <c r="BX920" s="11"/>
      <c r="CE920" s="11"/>
      <c r="CL920" s="11"/>
      <c r="CS920" s="11"/>
      <c r="CZ920" s="11"/>
      <c r="DG920" s="11"/>
      <c r="DN920" s="11"/>
      <c r="DU920" s="11"/>
    </row>
    <row r="921" ht="15.75" customHeight="1">
      <c r="C921" s="8"/>
      <c r="BJ921" s="11"/>
      <c r="BX921" s="11"/>
      <c r="CE921" s="11"/>
      <c r="CL921" s="11"/>
      <c r="CS921" s="11"/>
      <c r="CZ921" s="11"/>
      <c r="DG921" s="11"/>
      <c r="DN921" s="11"/>
      <c r="DU921" s="11"/>
    </row>
    <row r="922" ht="15.75" customHeight="1">
      <c r="C922" s="8"/>
      <c r="BJ922" s="11"/>
      <c r="BX922" s="11"/>
      <c r="CE922" s="11"/>
      <c r="CL922" s="11"/>
      <c r="CS922" s="11"/>
      <c r="CZ922" s="11"/>
      <c r="DG922" s="11"/>
      <c r="DN922" s="11"/>
      <c r="DU922" s="11"/>
    </row>
    <row r="923" ht="15.75" customHeight="1">
      <c r="C923" s="8"/>
      <c r="BJ923" s="11"/>
      <c r="BX923" s="11"/>
      <c r="CE923" s="11"/>
      <c r="CL923" s="11"/>
      <c r="CS923" s="11"/>
      <c r="CZ923" s="11"/>
      <c r="DG923" s="11"/>
      <c r="DN923" s="11"/>
      <c r="DU923" s="11"/>
    </row>
    <row r="924" ht="15.75" customHeight="1">
      <c r="C924" s="8"/>
      <c r="BJ924" s="11"/>
      <c r="BX924" s="11"/>
      <c r="CE924" s="11"/>
      <c r="CL924" s="11"/>
      <c r="CS924" s="11"/>
      <c r="CZ924" s="11"/>
      <c r="DG924" s="11"/>
      <c r="DN924" s="11"/>
      <c r="DU924" s="11"/>
    </row>
    <row r="925" ht="15.75" customHeight="1">
      <c r="C925" s="8"/>
      <c r="BJ925" s="11"/>
      <c r="BX925" s="11"/>
      <c r="CE925" s="11"/>
      <c r="CL925" s="11"/>
      <c r="CS925" s="11"/>
      <c r="CZ925" s="11"/>
      <c r="DG925" s="11"/>
      <c r="DN925" s="11"/>
      <c r="DU925" s="11"/>
    </row>
    <row r="926" ht="15.75" customHeight="1">
      <c r="C926" s="8"/>
      <c r="BJ926" s="11"/>
      <c r="BX926" s="11"/>
      <c r="CE926" s="11"/>
      <c r="CL926" s="11"/>
      <c r="CS926" s="11"/>
      <c r="CZ926" s="11"/>
      <c r="DG926" s="11"/>
      <c r="DN926" s="11"/>
      <c r="DU926" s="11"/>
    </row>
    <row r="927" ht="15.75" customHeight="1">
      <c r="C927" s="8"/>
      <c r="BJ927" s="11"/>
      <c r="BX927" s="11"/>
      <c r="CE927" s="11"/>
      <c r="CL927" s="11"/>
      <c r="CS927" s="11"/>
      <c r="CZ927" s="11"/>
      <c r="DG927" s="11"/>
      <c r="DN927" s="11"/>
      <c r="DU927" s="11"/>
    </row>
    <row r="928" ht="15.75" customHeight="1">
      <c r="C928" s="8"/>
      <c r="BJ928" s="11"/>
      <c r="BX928" s="11"/>
      <c r="CE928" s="11"/>
      <c r="CL928" s="11"/>
      <c r="CS928" s="11"/>
      <c r="CZ928" s="11"/>
      <c r="DG928" s="11"/>
      <c r="DN928" s="11"/>
      <c r="DU928" s="11"/>
    </row>
    <row r="929" ht="15.75" customHeight="1">
      <c r="C929" s="8"/>
      <c r="BJ929" s="11"/>
      <c r="BX929" s="11"/>
      <c r="CE929" s="11"/>
      <c r="CL929" s="11"/>
      <c r="CS929" s="11"/>
      <c r="CZ929" s="11"/>
      <c r="DG929" s="11"/>
      <c r="DN929" s="11"/>
      <c r="DU929" s="11"/>
    </row>
    <row r="930" ht="15.75" customHeight="1">
      <c r="C930" s="8"/>
      <c r="BJ930" s="11"/>
      <c r="BX930" s="11"/>
      <c r="CE930" s="11"/>
      <c r="CL930" s="11"/>
      <c r="CS930" s="11"/>
      <c r="CZ930" s="11"/>
      <c r="DG930" s="11"/>
      <c r="DN930" s="11"/>
      <c r="DU930" s="11"/>
    </row>
    <row r="931" ht="15.75" customHeight="1">
      <c r="C931" s="8"/>
      <c r="BJ931" s="11"/>
      <c r="BX931" s="11"/>
      <c r="CE931" s="11"/>
      <c r="CL931" s="11"/>
      <c r="CS931" s="11"/>
      <c r="CZ931" s="11"/>
      <c r="DG931" s="11"/>
      <c r="DN931" s="11"/>
      <c r="DU931" s="11"/>
    </row>
    <row r="932" ht="15.75" customHeight="1">
      <c r="C932" s="8"/>
      <c r="BJ932" s="11"/>
      <c r="BX932" s="11"/>
      <c r="CE932" s="11"/>
      <c r="CL932" s="11"/>
      <c r="CS932" s="11"/>
      <c r="CZ932" s="11"/>
      <c r="DG932" s="11"/>
      <c r="DN932" s="11"/>
      <c r="DU932" s="11"/>
    </row>
    <row r="933" ht="15.75" customHeight="1">
      <c r="C933" s="8"/>
      <c r="BJ933" s="11"/>
      <c r="BX933" s="11"/>
      <c r="CE933" s="11"/>
      <c r="CL933" s="11"/>
      <c r="CS933" s="11"/>
      <c r="CZ933" s="11"/>
      <c r="DG933" s="11"/>
      <c r="DN933" s="11"/>
      <c r="DU933" s="11"/>
    </row>
    <row r="934" ht="15.75" customHeight="1">
      <c r="C934" s="8"/>
      <c r="BJ934" s="11"/>
      <c r="BX934" s="11"/>
      <c r="CE934" s="11"/>
      <c r="CL934" s="11"/>
      <c r="CS934" s="11"/>
      <c r="CZ934" s="11"/>
      <c r="DG934" s="11"/>
      <c r="DN934" s="11"/>
      <c r="DU934" s="11"/>
    </row>
    <row r="935" ht="15.75" customHeight="1">
      <c r="C935" s="8"/>
      <c r="BJ935" s="11"/>
      <c r="BX935" s="11"/>
      <c r="CE935" s="11"/>
      <c r="CL935" s="11"/>
      <c r="CS935" s="11"/>
      <c r="CZ935" s="11"/>
      <c r="DG935" s="11"/>
      <c r="DN935" s="11"/>
      <c r="DU935" s="11"/>
    </row>
    <row r="936" ht="15.75" customHeight="1">
      <c r="C936" s="8"/>
      <c r="BJ936" s="11"/>
      <c r="BX936" s="11"/>
      <c r="CE936" s="11"/>
      <c r="CL936" s="11"/>
      <c r="CS936" s="11"/>
      <c r="CZ936" s="11"/>
      <c r="DG936" s="11"/>
      <c r="DN936" s="11"/>
      <c r="DU936" s="11"/>
    </row>
    <row r="937" ht="15.75" customHeight="1">
      <c r="C937" s="8"/>
      <c r="BJ937" s="11"/>
      <c r="BX937" s="11"/>
      <c r="CE937" s="11"/>
      <c r="CL937" s="11"/>
      <c r="CS937" s="11"/>
      <c r="CZ937" s="11"/>
      <c r="DG937" s="11"/>
      <c r="DN937" s="11"/>
      <c r="DU937" s="11"/>
    </row>
    <row r="938" ht="15.75" customHeight="1">
      <c r="C938" s="8"/>
      <c r="BJ938" s="11"/>
      <c r="BX938" s="11"/>
      <c r="CE938" s="11"/>
      <c r="CL938" s="11"/>
      <c r="CS938" s="11"/>
      <c r="CZ938" s="11"/>
      <c r="DG938" s="11"/>
      <c r="DN938" s="11"/>
      <c r="DU938" s="11"/>
    </row>
    <row r="939" ht="15.75" customHeight="1">
      <c r="C939" s="8"/>
      <c r="BJ939" s="11"/>
      <c r="BX939" s="11"/>
      <c r="CE939" s="11"/>
      <c r="CL939" s="11"/>
      <c r="CS939" s="11"/>
      <c r="CZ939" s="11"/>
      <c r="DG939" s="11"/>
      <c r="DN939" s="11"/>
      <c r="DU939" s="11"/>
    </row>
    <row r="940" ht="15.75" customHeight="1">
      <c r="C940" s="8"/>
      <c r="BJ940" s="11"/>
      <c r="BX940" s="11"/>
      <c r="CE940" s="11"/>
      <c r="CL940" s="11"/>
      <c r="CS940" s="11"/>
      <c r="CZ940" s="11"/>
      <c r="DG940" s="11"/>
      <c r="DN940" s="11"/>
      <c r="DU940" s="11"/>
    </row>
    <row r="941" ht="15.75" customHeight="1">
      <c r="C941" s="8"/>
      <c r="BJ941" s="11"/>
      <c r="BX941" s="11"/>
      <c r="CE941" s="11"/>
      <c r="CL941" s="11"/>
      <c r="CS941" s="11"/>
      <c r="CZ941" s="11"/>
      <c r="DG941" s="11"/>
      <c r="DN941" s="11"/>
      <c r="DU941" s="11"/>
    </row>
    <row r="942" ht="15.75" customHeight="1">
      <c r="C942" s="8"/>
      <c r="BJ942" s="11"/>
      <c r="BX942" s="11"/>
      <c r="CE942" s="11"/>
      <c r="CL942" s="11"/>
      <c r="CS942" s="11"/>
      <c r="CZ942" s="11"/>
      <c r="DG942" s="11"/>
      <c r="DN942" s="11"/>
      <c r="DU942" s="11"/>
    </row>
    <row r="943" ht="15.75" customHeight="1">
      <c r="C943" s="8"/>
      <c r="BJ943" s="11"/>
      <c r="BX943" s="11"/>
      <c r="CE943" s="11"/>
      <c r="CL943" s="11"/>
      <c r="CS943" s="11"/>
      <c r="CZ943" s="11"/>
      <c r="DG943" s="11"/>
      <c r="DN943" s="11"/>
      <c r="DU943" s="11"/>
    </row>
    <row r="944" ht="15.75" customHeight="1">
      <c r="C944" s="8"/>
      <c r="BJ944" s="11"/>
      <c r="BX944" s="11"/>
      <c r="CE944" s="11"/>
      <c r="CL944" s="11"/>
      <c r="CS944" s="11"/>
      <c r="CZ944" s="11"/>
      <c r="DG944" s="11"/>
      <c r="DN944" s="11"/>
      <c r="DU944" s="11"/>
    </row>
    <row r="945" ht="15.75" customHeight="1">
      <c r="C945" s="8"/>
      <c r="BJ945" s="11"/>
      <c r="BX945" s="11"/>
      <c r="CE945" s="11"/>
      <c r="CL945" s="11"/>
      <c r="CS945" s="11"/>
      <c r="CZ945" s="11"/>
      <c r="DG945" s="11"/>
      <c r="DN945" s="11"/>
      <c r="DU945" s="11"/>
    </row>
    <row r="946" ht="15.75" customHeight="1">
      <c r="C946" s="8"/>
      <c r="BJ946" s="11"/>
      <c r="BX946" s="11"/>
      <c r="CE946" s="11"/>
      <c r="CL946" s="11"/>
      <c r="CS946" s="11"/>
      <c r="CZ946" s="11"/>
      <c r="DG946" s="11"/>
      <c r="DN946" s="11"/>
      <c r="DU946" s="11"/>
    </row>
    <row r="947" ht="15.75" customHeight="1">
      <c r="C947" s="8"/>
      <c r="BJ947" s="11"/>
      <c r="BX947" s="11"/>
      <c r="CE947" s="11"/>
      <c r="CL947" s="11"/>
      <c r="CS947" s="11"/>
      <c r="CZ947" s="11"/>
      <c r="DG947" s="11"/>
      <c r="DN947" s="11"/>
      <c r="DU947" s="11"/>
    </row>
    <row r="948" ht="15.75" customHeight="1">
      <c r="C948" s="8"/>
      <c r="BJ948" s="11"/>
      <c r="BX948" s="11"/>
      <c r="CE948" s="11"/>
      <c r="CL948" s="11"/>
      <c r="CS948" s="11"/>
      <c r="CZ948" s="11"/>
      <c r="DG948" s="11"/>
      <c r="DN948" s="11"/>
      <c r="DU948" s="11"/>
    </row>
    <row r="949" ht="15.75" customHeight="1">
      <c r="C949" s="8"/>
      <c r="BJ949" s="11"/>
      <c r="BX949" s="11"/>
      <c r="CE949" s="11"/>
      <c r="CL949" s="11"/>
      <c r="CS949" s="11"/>
      <c r="CZ949" s="11"/>
      <c r="DG949" s="11"/>
      <c r="DN949" s="11"/>
      <c r="DU949" s="11"/>
    </row>
    <row r="950" ht="15.75" customHeight="1">
      <c r="C950" s="8"/>
      <c r="BJ950" s="11"/>
      <c r="BX950" s="11"/>
      <c r="CE950" s="11"/>
      <c r="CL950" s="11"/>
      <c r="CS950" s="11"/>
      <c r="CZ950" s="11"/>
      <c r="DG950" s="11"/>
      <c r="DN950" s="11"/>
      <c r="DU950" s="11"/>
    </row>
    <row r="951" ht="15.75" customHeight="1">
      <c r="C951" s="8"/>
      <c r="BJ951" s="11"/>
      <c r="BX951" s="11"/>
      <c r="CE951" s="11"/>
      <c r="CL951" s="11"/>
      <c r="CS951" s="11"/>
      <c r="CZ951" s="11"/>
      <c r="DG951" s="11"/>
      <c r="DN951" s="11"/>
      <c r="DU951" s="11"/>
    </row>
    <row r="952" ht="15.75" customHeight="1">
      <c r="C952" s="8"/>
      <c r="BJ952" s="11"/>
      <c r="BX952" s="11"/>
      <c r="CE952" s="11"/>
      <c r="CL952" s="11"/>
      <c r="CS952" s="11"/>
      <c r="CZ952" s="11"/>
      <c r="DG952" s="11"/>
      <c r="DN952" s="11"/>
      <c r="DU952" s="11"/>
    </row>
    <row r="953" ht="15.75" customHeight="1">
      <c r="C953" s="8"/>
      <c r="BJ953" s="11"/>
      <c r="BX953" s="11"/>
      <c r="CE953" s="11"/>
      <c r="CL953" s="11"/>
      <c r="CS953" s="11"/>
      <c r="CZ953" s="11"/>
      <c r="DG953" s="11"/>
      <c r="DN953" s="11"/>
      <c r="DU953" s="11"/>
    </row>
    <row r="954" ht="15.75" customHeight="1">
      <c r="C954" s="8"/>
      <c r="BJ954" s="11"/>
      <c r="BX954" s="11"/>
      <c r="CE954" s="11"/>
      <c r="CL954" s="11"/>
      <c r="CS954" s="11"/>
      <c r="CZ954" s="11"/>
      <c r="DG954" s="11"/>
      <c r="DN954" s="11"/>
      <c r="DU954" s="11"/>
    </row>
    <row r="955" ht="15.75" customHeight="1">
      <c r="C955" s="8"/>
      <c r="BJ955" s="11"/>
      <c r="BX955" s="11"/>
      <c r="CE955" s="11"/>
      <c r="CL955" s="11"/>
      <c r="CS955" s="11"/>
      <c r="CZ955" s="11"/>
      <c r="DG955" s="11"/>
      <c r="DN955" s="11"/>
      <c r="DU955" s="11"/>
    </row>
    <row r="956" ht="15.75" customHeight="1">
      <c r="C956" s="8"/>
      <c r="BJ956" s="11"/>
      <c r="BX956" s="11"/>
      <c r="CE956" s="11"/>
      <c r="CL956" s="11"/>
      <c r="CS956" s="11"/>
      <c r="CZ956" s="11"/>
      <c r="DG956" s="11"/>
      <c r="DN956" s="11"/>
      <c r="DU956" s="11"/>
    </row>
    <row r="957" ht="15.75" customHeight="1">
      <c r="C957" s="8"/>
      <c r="BJ957" s="11"/>
      <c r="BX957" s="11"/>
      <c r="CE957" s="11"/>
      <c r="CL957" s="11"/>
      <c r="CS957" s="11"/>
      <c r="CZ957" s="11"/>
      <c r="DG957" s="11"/>
      <c r="DN957" s="11"/>
      <c r="DU957" s="11"/>
    </row>
    <row r="958" ht="15.75" customHeight="1">
      <c r="C958" s="8"/>
      <c r="BJ958" s="11"/>
      <c r="BX958" s="11"/>
      <c r="CE958" s="11"/>
      <c r="CL958" s="11"/>
      <c r="CS958" s="11"/>
      <c r="CZ958" s="11"/>
      <c r="DG958" s="11"/>
      <c r="DN958" s="11"/>
      <c r="DU958" s="11"/>
    </row>
    <row r="959" ht="15.75" customHeight="1">
      <c r="C959" s="8"/>
      <c r="BJ959" s="11"/>
      <c r="BX959" s="11"/>
      <c r="CE959" s="11"/>
      <c r="CL959" s="11"/>
      <c r="CS959" s="11"/>
      <c r="CZ959" s="11"/>
      <c r="DG959" s="11"/>
      <c r="DN959" s="11"/>
      <c r="DU959" s="11"/>
    </row>
    <row r="960" ht="15.75" customHeight="1">
      <c r="C960" s="8"/>
      <c r="BJ960" s="11"/>
      <c r="BX960" s="11"/>
      <c r="CE960" s="11"/>
      <c r="CL960" s="11"/>
      <c r="CS960" s="11"/>
      <c r="CZ960" s="11"/>
      <c r="DG960" s="11"/>
      <c r="DN960" s="11"/>
      <c r="DU960" s="11"/>
    </row>
    <row r="961" ht="15.75" customHeight="1">
      <c r="C961" s="8"/>
      <c r="BJ961" s="11"/>
      <c r="BX961" s="11"/>
      <c r="CE961" s="11"/>
      <c r="CL961" s="11"/>
      <c r="CS961" s="11"/>
      <c r="CZ961" s="11"/>
      <c r="DG961" s="11"/>
      <c r="DN961" s="11"/>
      <c r="DU961" s="11"/>
    </row>
    <row r="962" ht="15.75" customHeight="1">
      <c r="C962" s="8"/>
      <c r="BJ962" s="11"/>
      <c r="BX962" s="11"/>
      <c r="CE962" s="11"/>
      <c r="CL962" s="11"/>
      <c r="CS962" s="11"/>
      <c r="CZ962" s="11"/>
      <c r="DG962" s="11"/>
      <c r="DN962" s="11"/>
      <c r="DU962" s="11"/>
    </row>
    <row r="963" ht="15.75" customHeight="1">
      <c r="C963" s="8"/>
      <c r="BJ963" s="11"/>
      <c r="BX963" s="11"/>
      <c r="CE963" s="11"/>
      <c r="CL963" s="11"/>
      <c r="CS963" s="11"/>
      <c r="CZ963" s="11"/>
      <c r="DG963" s="11"/>
      <c r="DN963" s="11"/>
      <c r="DU963" s="11"/>
    </row>
    <row r="964" ht="15.75" customHeight="1">
      <c r="C964" s="8"/>
      <c r="BJ964" s="11"/>
      <c r="BX964" s="11"/>
      <c r="CE964" s="11"/>
      <c r="CL964" s="11"/>
      <c r="CS964" s="11"/>
      <c r="CZ964" s="11"/>
      <c r="DG964" s="11"/>
      <c r="DN964" s="11"/>
      <c r="DU964" s="11"/>
    </row>
    <row r="965" ht="15.75" customHeight="1">
      <c r="C965" s="8"/>
      <c r="BJ965" s="11"/>
      <c r="BX965" s="11"/>
      <c r="CE965" s="11"/>
      <c r="CL965" s="11"/>
      <c r="CS965" s="11"/>
      <c r="CZ965" s="11"/>
      <c r="DG965" s="11"/>
      <c r="DN965" s="11"/>
      <c r="DU965" s="11"/>
    </row>
    <row r="966" ht="15.75" customHeight="1">
      <c r="C966" s="8"/>
      <c r="BJ966" s="11"/>
      <c r="BX966" s="11"/>
      <c r="CE966" s="11"/>
      <c r="CL966" s="11"/>
      <c r="CS966" s="11"/>
      <c r="CZ966" s="11"/>
      <c r="DG966" s="11"/>
      <c r="DN966" s="11"/>
      <c r="DU966" s="11"/>
    </row>
    <row r="967" ht="15.75" customHeight="1">
      <c r="C967" s="8"/>
      <c r="BJ967" s="11"/>
      <c r="BX967" s="11"/>
      <c r="CE967" s="11"/>
      <c r="CL967" s="11"/>
      <c r="CS967" s="11"/>
      <c r="CZ967" s="11"/>
      <c r="DG967" s="11"/>
      <c r="DN967" s="11"/>
      <c r="DU967" s="11"/>
    </row>
    <row r="968" ht="15.75" customHeight="1">
      <c r="C968" s="8"/>
      <c r="BJ968" s="11"/>
      <c r="BX968" s="11"/>
      <c r="CE968" s="11"/>
      <c r="CL968" s="11"/>
      <c r="CS968" s="11"/>
      <c r="CZ968" s="11"/>
      <c r="DG968" s="11"/>
      <c r="DN968" s="11"/>
      <c r="DU968" s="11"/>
    </row>
    <row r="969" ht="15.75" customHeight="1">
      <c r="C969" s="8"/>
      <c r="BJ969" s="11"/>
      <c r="BX969" s="11"/>
      <c r="CE969" s="11"/>
      <c r="CL969" s="11"/>
      <c r="CS969" s="11"/>
      <c r="CZ969" s="11"/>
      <c r="DG969" s="11"/>
      <c r="DN969" s="11"/>
      <c r="DU969" s="11"/>
    </row>
    <row r="970" ht="15.75" customHeight="1">
      <c r="C970" s="8"/>
      <c r="BJ970" s="11"/>
      <c r="BX970" s="11"/>
      <c r="CE970" s="11"/>
      <c r="CL970" s="11"/>
      <c r="CS970" s="11"/>
      <c r="CZ970" s="11"/>
      <c r="DG970" s="11"/>
      <c r="DN970" s="11"/>
      <c r="DU970" s="11"/>
    </row>
    <row r="971" ht="15.75" customHeight="1">
      <c r="C971" s="8"/>
      <c r="BJ971" s="11"/>
      <c r="BX971" s="11"/>
      <c r="CE971" s="11"/>
      <c r="CL971" s="11"/>
      <c r="CS971" s="11"/>
      <c r="CZ971" s="11"/>
      <c r="DG971" s="11"/>
      <c r="DN971" s="11"/>
      <c r="DU971" s="11"/>
    </row>
    <row r="972" ht="15.75" customHeight="1">
      <c r="C972" s="8"/>
      <c r="BJ972" s="11"/>
      <c r="BX972" s="11"/>
      <c r="CE972" s="11"/>
      <c r="CL972" s="11"/>
      <c r="CS972" s="11"/>
      <c r="CZ972" s="11"/>
      <c r="DG972" s="11"/>
      <c r="DN972" s="11"/>
      <c r="DU972" s="11"/>
    </row>
    <row r="973" ht="15.75" customHeight="1">
      <c r="C973" s="8"/>
      <c r="BJ973" s="11"/>
      <c r="BX973" s="11"/>
      <c r="CE973" s="11"/>
      <c r="CL973" s="11"/>
      <c r="CS973" s="11"/>
      <c r="CZ973" s="11"/>
      <c r="DG973" s="11"/>
      <c r="DN973" s="11"/>
      <c r="DU973" s="11"/>
    </row>
    <row r="974" ht="15.75" customHeight="1">
      <c r="C974" s="8"/>
      <c r="BJ974" s="11"/>
      <c r="BX974" s="11"/>
      <c r="CE974" s="11"/>
      <c r="CL974" s="11"/>
      <c r="CS974" s="11"/>
      <c r="CZ974" s="11"/>
      <c r="DG974" s="11"/>
      <c r="DN974" s="11"/>
      <c r="DU974" s="11"/>
    </row>
    <row r="975" ht="15.75" customHeight="1">
      <c r="C975" s="8"/>
      <c r="BJ975" s="11"/>
      <c r="BX975" s="11"/>
      <c r="CE975" s="11"/>
      <c r="CL975" s="11"/>
      <c r="CS975" s="11"/>
      <c r="CZ975" s="11"/>
      <c r="DG975" s="11"/>
      <c r="DN975" s="11"/>
      <c r="DU975" s="11"/>
    </row>
    <row r="976" ht="15.75" customHeight="1">
      <c r="C976" s="8"/>
      <c r="BJ976" s="11"/>
      <c r="BX976" s="11"/>
      <c r="CE976" s="11"/>
      <c r="CL976" s="11"/>
      <c r="CS976" s="11"/>
      <c r="CZ976" s="11"/>
      <c r="DG976" s="11"/>
      <c r="DN976" s="11"/>
      <c r="DU976" s="11"/>
    </row>
    <row r="977" ht="15.75" customHeight="1">
      <c r="C977" s="8"/>
      <c r="BJ977" s="11"/>
      <c r="BX977" s="11"/>
      <c r="CE977" s="11"/>
      <c r="CL977" s="11"/>
      <c r="CS977" s="11"/>
      <c r="CZ977" s="11"/>
      <c r="DG977" s="11"/>
      <c r="DN977" s="11"/>
      <c r="DU977" s="11"/>
    </row>
    <row r="978" ht="15.75" customHeight="1">
      <c r="C978" s="8"/>
      <c r="BJ978" s="11"/>
      <c r="BX978" s="11"/>
      <c r="CE978" s="11"/>
      <c r="CL978" s="11"/>
      <c r="CS978" s="11"/>
      <c r="CZ978" s="11"/>
      <c r="DG978" s="11"/>
      <c r="DN978" s="11"/>
      <c r="DU978" s="11"/>
    </row>
    <row r="979" ht="15.75" customHeight="1">
      <c r="C979" s="8"/>
      <c r="BJ979" s="11"/>
      <c r="BX979" s="11"/>
      <c r="CE979" s="11"/>
      <c r="CL979" s="11"/>
      <c r="CS979" s="11"/>
      <c r="CZ979" s="11"/>
      <c r="DG979" s="11"/>
      <c r="DN979" s="11"/>
      <c r="DU979" s="11"/>
    </row>
    <row r="980" ht="15.75" customHeight="1">
      <c r="C980" s="8"/>
      <c r="BJ980" s="11"/>
      <c r="BX980" s="11"/>
      <c r="CE980" s="11"/>
      <c r="CL980" s="11"/>
      <c r="CS980" s="11"/>
      <c r="CZ980" s="11"/>
      <c r="DG980" s="11"/>
      <c r="DN980" s="11"/>
      <c r="DU980" s="11"/>
    </row>
    <row r="981" ht="15.75" customHeight="1">
      <c r="C981" s="8"/>
      <c r="BJ981" s="11"/>
      <c r="BX981" s="11"/>
      <c r="CE981" s="11"/>
      <c r="CL981" s="11"/>
      <c r="CS981" s="11"/>
      <c r="CZ981" s="11"/>
      <c r="DG981" s="11"/>
      <c r="DN981" s="11"/>
      <c r="DU981" s="11"/>
    </row>
    <row r="982" ht="15.75" customHeight="1">
      <c r="C982" s="8"/>
      <c r="BJ982" s="11"/>
      <c r="BX982" s="11"/>
      <c r="CE982" s="11"/>
      <c r="CL982" s="11"/>
      <c r="CS982" s="11"/>
      <c r="CZ982" s="11"/>
      <c r="DG982" s="11"/>
      <c r="DN982" s="11"/>
      <c r="DU982" s="11"/>
    </row>
    <row r="983" ht="15.75" customHeight="1">
      <c r="C983" s="8"/>
      <c r="BJ983" s="11"/>
      <c r="BX983" s="11"/>
      <c r="CE983" s="11"/>
      <c r="CL983" s="11"/>
      <c r="CS983" s="11"/>
      <c r="CZ983" s="11"/>
      <c r="DG983" s="11"/>
      <c r="DN983" s="11"/>
      <c r="DU983" s="11"/>
    </row>
    <row r="984" ht="15.75" customHeight="1">
      <c r="C984" s="8"/>
      <c r="BJ984" s="11"/>
      <c r="BX984" s="11"/>
      <c r="CE984" s="11"/>
      <c r="CL984" s="11"/>
      <c r="CS984" s="11"/>
      <c r="CZ984" s="11"/>
      <c r="DG984" s="11"/>
      <c r="DN984" s="11"/>
      <c r="DU984" s="11"/>
    </row>
    <row r="985" ht="15.75" customHeight="1">
      <c r="C985" s="8"/>
      <c r="BJ985" s="11"/>
      <c r="BX985" s="11"/>
      <c r="CE985" s="11"/>
      <c r="CL985" s="11"/>
      <c r="CS985" s="11"/>
      <c r="CZ985" s="11"/>
      <c r="DG985" s="11"/>
      <c r="DN985" s="11"/>
      <c r="DU985" s="11"/>
    </row>
    <row r="986" ht="15.75" customHeight="1">
      <c r="C986" s="8"/>
      <c r="BJ986" s="11"/>
      <c r="BX986" s="11"/>
      <c r="CE986" s="11"/>
      <c r="CL986" s="11"/>
      <c r="CS986" s="11"/>
      <c r="CZ986" s="11"/>
      <c r="DG986" s="11"/>
      <c r="DN986" s="11"/>
      <c r="DU986" s="11"/>
    </row>
    <row r="987" ht="15.75" customHeight="1">
      <c r="C987" s="8"/>
      <c r="BJ987" s="11"/>
      <c r="BX987" s="11"/>
      <c r="CE987" s="11"/>
      <c r="CL987" s="11"/>
      <c r="CS987" s="11"/>
      <c r="CZ987" s="11"/>
      <c r="DG987" s="11"/>
      <c r="DN987" s="11"/>
      <c r="DU987" s="11"/>
    </row>
    <row r="988" ht="15.75" customHeight="1">
      <c r="C988" s="8"/>
      <c r="BJ988" s="11"/>
      <c r="BX988" s="11"/>
      <c r="CE988" s="11"/>
      <c r="CL988" s="11"/>
      <c r="CS988" s="11"/>
      <c r="CZ988" s="11"/>
      <c r="DG988" s="11"/>
      <c r="DN988" s="11"/>
      <c r="DU988" s="11"/>
    </row>
    <row r="989" ht="15.75" customHeight="1">
      <c r="C989" s="8"/>
      <c r="BJ989" s="11"/>
      <c r="BX989" s="11"/>
      <c r="CE989" s="11"/>
      <c r="CL989" s="11"/>
      <c r="CS989" s="11"/>
      <c r="CZ989" s="11"/>
      <c r="DG989" s="11"/>
      <c r="DN989" s="11"/>
      <c r="DU989" s="11"/>
    </row>
    <row r="990" ht="15.75" customHeight="1">
      <c r="C990" s="8"/>
      <c r="BJ990" s="11"/>
      <c r="BX990" s="11"/>
      <c r="CE990" s="11"/>
      <c r="CL990" s="11"/>
      <c r="CS990" s="11"/>
      <c r="CZ990" s="11"/>
      <c r="DG990" s="11"/>
      <c r="DN990" s="11"/>
      <c r="DU990" s="11"/>
    </row>
    <row r="991" ht="15.75" customHeight="1">
      <c r="C991" s="8"/>
      <c r="BJ991" s="11"/>
      <c r="BX991" s="11"/>
      <c r="CE991" s="11"/>
      <c r="CL991" s="11"/>
      <c r="CS991" s="11"/>
      <c r="CZ991" s="11"/>
      <c r="DG991" s="11"/>
      <c r="DN991" s="11"/>
      <c r="DU991" s="11"/>
    </row>
    <row r="992" ht="15.75" customHeight="1">
      <c r="C992" s="8"/>
      <c r="BJ992" s="11"/>
      <c r="BX992" s="11"/>
      <c r="CE992" s="11"/>
      <c r="CL992" s="11"/>
      <c r="CS992" s="11"/>
      <c r="CZ992" s="11"/>
      <c r="DG992" s="11"/>
      <c r="DN992" s="11"/>
      <c r="DU992" s="11"/>
    </row>
    <row r="993" ht="15.75" customHeight="1">
      <c r="C993" s="8"/>
      <c r="BJ993" s="11"/>
      <c r="BX993" s="11"/>
      <c r="CE993" s="11"/>
      <c r="CL993" s="11"/>
      <c r="CS993" s="11"/>
      <c r="CZ993" s="11"/>
      <c r="DG993" s="11"/>
      <c r="DN993" s="11"/>
      <c r="DU993" s="11"/>
    </row>
  </sheetData>
  <mergeCells count="18">
    <mergeCell ref="I2:L2"/>
    <mergeCell ref="N2:S2"/>
    <mergeCell ref="U2:Z2"/>
    <mergeCell ref="AB2:AG2"/>
    <mergeCell ref="AI2:AN2"/>
    <mergeCell ref="AP2:AU2"/>
    <mergeCell ref="AW2:BB2"/>
    <mergeCell ref="DA2:DF2"/>
    <mergeCell ref="DH2:DM2"/>
    <mergeCell ref="DO2:DT2"/>
    <mergeCell ref="DV2:EA2"/>
    <mergeCell ref="BD2:BI2"/>
    <mergeCell ref="BK2:BP2"/>
    <mergeCell ref="BR2:BW2"/>
    <mergeCell ref="BY2:CD2"/>
    <mergeCell ref="CF2:CK2"/>
    <mergeCell ref="CM2:CR2"/>
    <mergeCell ref="CT2:CY2"/>
  </mergeCells>
  <conditionalFormatting sqref="J6:K12 J64:K76">
    <cfRule type="colorScale" priority="1">
      <colorScale>
        <cfvo type="percent" val="0"/>
        <cfvo type="percent" val="100"/>
        <color rgb="FFFF231B"/>
        <color rgb="FF10FF07"/>
      </colorScale>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0" priority="2">
      <formula>OR(IF(O5&lt;P5,TRUE),IF(AND(P5="",O5&lt;&gt;""),TRUE))</formula>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1" priority="3">
      <formula>IF(O5&gt;=P5,IF(O5="",FALSE,TRUE))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0" priority="4">
      <formula>OR(IF(Q5&lt;R5,TRUE),IF(AND(R5="",Q5&lt;&gt;""),TRUE))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1" priority="5">
      <formula>IF(Q5&gt;=R5,IF(Q5="",FALSE,TRUE))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0" priority="6">
      <formula>OR(IF(O23&lt;P23,TRUE),IF(AND(P23="",O23&lt;&gt;""),TRUE))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1" priority="7">
      <formula>IF(O23&gt;=P23,IF(O23="",FALSE,TRUE))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0" priority="8">
      <formula>OR(IF(Q23&lt;R23,TRUE),IF(AND(R23="",Q23&lt;&gt;""),TRUE))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1" priority="9">
      <formula>IF(Q23&gt;=R23,IF(Q23="",FALSE,TRUE))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0" priority="10">
      <formula>OR(IF(Q25&lt;R25,TRUE),IF(AND(R25="",Q25&lt;&gt;""),TRUE))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1" priority="11">
      <formula>IF(Q25&gt;=R25,IF(Q25="",FALSE,TRUE))</formula>
    </cfRule>
  </conditionalFormatting>
  <conditionalFormatting sqref="O20 V20 AC20 AJ20 AQ20 AX20 BE20 BL20 BS20 BZ20 CG20 CN20 CU20 DB20 DI20 DP20 DW20">
    <cfRule type="expression" dxfId="0" priority="12">
      <formula>OR(IF(O20&lt;P20,TRUE),IF(AND(P20="",O20&lt;&gt;""),TRUE))</formula>
    </cfRule>
  </conditionalFormatting>
  <conditionalFormatting sqref="O20 V20 AC20 AJ20 AQ20 AX20 BE20 BL20 BS20 BZ20 CG20 CN20 CU20 DB20 DI20 DP20 DW20">
    <cfRule type="expression" dxfId="1" priority="13">
      <formula>IF(O20&gt;=P20,IF(O20="",FALSE,TRUE))</formula>
    </cfRule>
  </conditionalFormatting>
  <conditionalFormatting sqref="Q20 X20 AE20 AL20 AS20 AZ20 BG20 BN20 BU20 CB20 CI20 CP20 CW20 DD20 DK20 DR20 DY20">
    <cfRule type="expression" dxfId="0" priority="14">
      <formula>OR(IF(Q20&lt;R20,TRUE),IF(AND(R20="",Q20&lt;&gt;""),TRUE))</formula>
    </cfRule>
  </conditionalFormatting>
  <conditionalFormatting sqref="Q20 X20 AE20 AL20 AS20 AZ20 BG20 BN20 BU20 CB20 CI20 CP20 CW20 DD20 DK20 DR20 DY20">
    <cfRule type="expression" dxfId="1" priority="15">
      <formula>IF(Q20&gt;=R20,IF(Q20="",FALSE,TRUE))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0" priority="16">
      <formula>OR(IF(O25&lt;P25,TRUE),IF(AND(P25="",O25&lt;&gt;""),TRUE))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1" priority="17">
      <formula>IF(O25&gt;=P25,IF(O25="",FALSE,TRUE))</formula>
    </cfRule>
  </conditionalFormatting>
  <conditionalFormatting sqref="J5:J12 J63:J76">
    <cfRule type="colorScale" priority="18">
      <colorScale>
        <cfvo type="percent" val="0"/>
        <cfvo type="percent" val="100"/>
        <color rgb="FFFF231B"/>
        <color rgb="FF10FF07"/>
      </colorScale>
    </cfRule>
  </conditionalFormatting>
  <conditionalFormatting sqref="K5:K12 K63:K76">
    <cfRule type="colorScale" priority="19">
      <colorScale>
        <cfvo type="percent" val="0"/>
        <cfvo type="percent" val="100"/>
        <color rgb="FFFF231B"/>
        <color rgb="FF10FF07"/>
      </colorScale>
    </cfRule>
  </conditionalFormatting>
  <conditionalFormatting sqref="J24:K30 J34:K40 J44:K50 J54:K60 J80:K86">
    <cfRule type="colorScale" priority="20">
      <colorScale>
        <cfvo type="percent" val="0"/>
        <cfvo type="percent" val="100"/>
        <color rgb="FFFF231B"/>
        <color rgb="FF10FF07"/>
      </colorScale>
    </cfRule>
  </conditionalFormatting>
  <conditionalFormatting sqref="J23:J30 J33:J40 J43:J50 J53:J60 J79:J86">
    <cfRule type="colorScale" priority="21">
      <colorScale>
        <cfvo type="percent" val="0"/>
        <cfvo type="percent" val="100"/>
        <color rgb="FFFF231B"/>
        <color rgb="FF10FF07"/>
      </colorScale>
    </cfRule>
  </conditionalFormatting>
  <conditionalFormatting sqref="K23:K30 K33:K40 K43:K50 K53:K60 K79:K86">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dataValidation type="list" allowBlank="1" sqref="O5:R12 V5:Y12 AC5:AF12 AJ5:AM12 AQ5:AT12 AX5:BA12 BE5:BH12 BL5:BO12 BS5:BV12 BZ5:CC12 CG5:CJ12 CN5:CQ12 CU5:CX12 DB5:DE12 DI5:DL12 DP5:DS12 DW5:DZ12 O15:R20 V15:Y20 AC15:AF20 AJ15:AM20 AQ15:AT20 AX15:BA20 BE15:BH20 BL15:BO20 BS15:BV20 O23:R30 V23:Y30 AC23:AF30 AJ23:AM30 AQ23:AT30 AX23:BA30 BE23:BH30 BL23:BO30 BS23:BV30 BZ23:CC30 CG23:CJ30 CN23:CQ30 CU23:CX30 DB23:DE30 DI23:DL30 DP23:DS30 DW23:DZ30 O33:R40 V33:Y40 AC33:AF40 AJ33:AM40 AQ33:AT40 AX33:BA40 BE33:BH40 BL33:BO40 BS33:BV40 BZ33:CC40 CG33:CJ40 CN33:CQ40 CU33:CX40 DB33:DE40 DI33:DL40 DP33:DS40 DW33:DZ40 O43:R50 V43:Y50 AC43:AF50 AJ43:AM50 AQ43:AT50 AX43:BA50 BE43:BH50 BL43:BO50 BS43:BV50 BZ43:CC50 CG43:CJ50 CN43:CQ50 CU43:CX50 DB43:DE50 DI43:DL50 DP43:DS50 DW43:DZ50 O53:R60 V53:Y60 AC53:AF60 AJ53:AM60 AQ53:AT60 AX53:BA60 BE53:BH60 BL53:BO60 BS53:BV60 BZ53:CC60 CG53:CJ60 CN53:CQ60 CU53:CX60 DB53:DE60 DI53:DL60 DP53:DS60 DW53:DZ60 O63:R76 V63:Y76 AC63:AF76 AJ63:AM76 AQ63:AT76 AX63:BA76 BE63:BH76 BL63:BO76 BS63:BV76 BZ63:CC76 CG63:CJ76 CN63:CQ76 CU63:CX76 DB63:DE76 DI63:DL76 DP63:DS76 DW63:DZ76 O79:R86 V79:Y86 AC79:AF86 AJ79:AM86 AQ79:AT86 AX79:BA86 BE79:BH86 BL79:BO86 BS79:BV86">
      <formula1>"10%,20%,30%,40%,50%,60%,70%,80%,90%,100%"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16.44"/>
    <col customWidth="1" min="7" max="7" width="9.0"/>
    <col customWidth="1" min="8" max="8" width="2.44"/>
    <col customWidth="1" min="9" max="9" width="8.78"/>
    <col customWidth="1" min="10" max="10" width="8.67"/>
    <col customWidth="1" min="11" max="11" width="11.33"/>
    <col customWidth="1" min="12" max="12" width="4.78"/>
    <col customWidth="1" min="13" max="13" width="5.56"/>
    <col customWidth="1" min="14" max="14" width="2.22"/>
    <col customWidth="1" hidden="1" min="15" max="15" width="8.78"/>
    <col customWidth="1" hidden="1" min="16" max="16" width="12.44"/>
    <col customWidth="1" hidden="1" min="17" max="17" width="6.33"/>
    <col customWidth="1" hidden="1" min="18" max="18" width="14.78"/>
    <col customWidth="1" hidden="1" min="19" max="19" width="6.0"/>
    <col customWidth="1" hidden="1" min="20" max="20" width="12.67"/>
    <col customWidth="1" min="21" max="21" width="2.22"/>
    <col customWidth="1" hidden="1" min="22" max="22" width="8.78"/>
    <col customWidth="1" hidden="1" min="23" max="23" width="12.44"/>
    <col customWidth="1" hidden="1" min="24" max="24" width="6.33"/>
    <col customWidth="1" hidden="1" min="25" max="25" width="14.78"/>
    <col customWidth="1" hidden="1" min="26" max="26" width="6.0"/>
    <col customWidth="1" hidden="1" min="27" max="27" width="12.67"/>
    <col customWidth="1" min="28" max="28" width="2.22"/>
    <col customWidth="1" min="29" max="29" width="8.78"/>
    <col customWidth="1" min="30" max="30" width="12.44"/>
    <col customWidth="1" min="31" max="31" width="6.33"/>
    <col customWidth="1" min="32" max="32" width="14.78"/>
    <col customWidth="1" min="33" max="33" width="6.0"/>
    <col customWidth="1" min="34" max="34" width="12.67"/>
    <col customWidth="1" min="35" max="35" width="2.22"/>
    <col customWidth="1" min="36" max="36" width="8.78"/>
    <col customWidth="1" min="37" max="37" width="12.44"/>
    <col customWidth="1" min="38" max="38" width="6.33"/>
    <col customWidth="1" min="39" max="39" width="14.78"/>
    <col customWidth="1" min="40" max="40" width="6.0"/>
    <col customWidth="1" min="41" max="41" width="12.67"/>
    <col customWidth="1" min="42" max="42" width="2.22"/>
    <col customWidth="1" min="43" max="43" width="8.78"/>
    <col customWidth="1" min="44" max="44" width="12.44"/>
    <col customWidth="1" min="45" max="45" width="6.33"/>
    <col customWidth="1" min="46" max="46" width="14.78"/>
    <col customWidth="1" min="47" max="47" width="6.0"/>
    <col customWidth="1" min="48" max="48" width="12.67"/>
    <col customWidth="1" min="49" max="49" width="3.33"/>
    <col customWidth="1" min="50" max="50" width="8.78"/>
    <col customWidth="1" min="51" max="51" width="12.44"/>
    <col customWidth="1" min="52" max="52" width="6.33"/>
    <col customWidth="1" min="53" max="53" width="14.78"/>
    <col customWidth="1" min="54" max="54" width="6.0"/>
    <col customWidth="1" min="55" max="55" width="12.67"/>
    <col customWidth="1" min="56" max="56" width="2.22"/>
    <col customWidth="1" min="57" max="57" width="8.78"/>
    <col customWidth="1" min="58" max="58" width="12.44"/>
    <col customWidth="1" min="59" max="59" width="6.33"/>
    <col customWidth="1" min="60" max="60" width="14.78"/>
    <col customWidth="1" min="61" max="61" width="6.0"/>
    <col customWidth="1" min="62" max="62" width="12.67"/>
    <col customWidth="1" min="63" max="63" width="2.22"/>
    <col customWidth="1" min="64" max="64" width="8.78"/>
    <col customWidth="1" min="65" max="65" width="12.44"/>
    <col customWidth="1" min="66" max="66" width="6.33"/>
    <col customWidth="1" min="67" max="67" width="14.78"/>
    <col customWidth="1" min="68" max="68" width="6.0"/>
    <col customWidth="1" min="69" max="69" width="12.67"/>
    <col customWidth="1" min="70" max="70" width="2.22"/>
    <col customWidth="1" min="71" max="71" width="8.78"/>
    <col customWidth="1" min="72" max="72" width="12.44"/>
    <col customWidth="1" min="73" max="73" width="6.33"/>
    <col customWidth="1" min="74" max="74" width="14.78"/>
    <col customWidth="1" min="75" max="75" width="6.0"/>
    <col customWidth="1" min="76" max="76" width="12.67"/>
    <col customWidth="1" min="77" max="77" width="2.22"/>
    <col customWidth="1" min="78" max="78" width="8.78"/>
    <col customWidth="1" min="79" max="79" width="12.44"/>
    <col customWidth="1" min="80" max="80" width="6.33"/>
    <col customWidth="1" min="81" max="81" width="14.78"/>
    <col customWidth="1" min="82" max="82" width="6.0"/>
    <col customWidth="1" min="83" max="83" width="12.67"/>
    <col customWidth="1" min="84" max="84" width="2.22"/>
    <col customWidth="1" min="85" max="85" width="8.78"/>
    <col customWidth="1" min="86" max="86" width="12.44"/>
    <col customWidth="1" min="87" max="87" width="6.33"/>
    <col customWidth="1" min="88" max="88" width="14.78"/>
    <col customWidth="1" min="89" max="89" width="6.0"/>
    <col customWidth="1" min="90" max="90" width="12.67"/>
    <col customWidth="1" min="91" max="91" width="2.22"/>
    <col customWidth="1" min="92" max="92" width="8.78"/>
    <col customWidth="1" min="93" max="93" width="12.44"/>
    <col customWidth="1" min="94" max="94" width="6.33"/>
    <col customWidth="1" min="95" max="95" width="14.78"/>
    <col customWidth="1" min="96" max="96" width="6.0"/>
    <col customWidth="1" min="97" max="97" width="12.67"/>
    <col customWidth="1" min="98" max="98" width="2.22"/>
    <col customWidth="1" min="99" max="99" width="8.78"/>
    <col customWidth="1" min="100" max="100" width="12.44"/>
    <col customWidth="1" min="101" max="101" width="6.33"/>
    <col customWidth="1" min="102" max="102" width="14.78"/>
    <col customWidth="1" min="103" max="103" width="6.0"/>
    <col customWidth="1" min="104" max="104" width="12.67"/>
    <col customWidth="1" min="105" max="105" width="2.22"/>
    <col customWidth="1" min="106" max="106" width="8.78"/>
    <col customWidth="1" min="107" max="107" width="12.44"/>
    <col customWidth="1" min="108" max="108" width="6.33"/>
    <col customWidth="1" min="109" max="109" width="14.78"/>
    <col customWidth="1" min="110" max="110" width="6.0"/>
    <col customWidth="1" min="111" max="111" width="12.67"/>
    <col customWidth="1" min="112" max="112" width="2.22"/>
    <col customWidth="1" min="113" max="113" width="8.78"/>
    <col customWidth="1" min="114" max="114" width="12.44"/>
    <col customWidth="1" min="115" max="115" width="6.33"/>
    <col customWidth="1" min="116" max="116" width="14.78"/>
    <col customWidth="1" min="117" max="117" width="6.0"/>
    <col customWidth="1" min="118" max="118" width="12.67"/>
    <col customWidth="1" min="119" max="119" width="2.22"/>
    <col customWidth="1" min="120" max="120" width="8.78"/>
    <col customWidth="1" min="121" max="121" width="12.44"/>
    <col customWidth="1" min="122" max="122" width="6.33"/>
    <col customWidth="1" min="123" max="123" width="14.78"/>
    <col customWidth="1" min="124" max="124" width="6.0"/>
    <col customWidth="1" min="125" max="125" width="12.67"/>
    <col customWidth="1" min="126" max="126" width="2.22"/>
  </cols>
  <sheetData>
    <row r="1" ht="15.75" customHeight="1">
      <c r="A1" s="5" t="s">
        <v>19</v>
      </c>
      <c r="B1" s="7" t="s">
        <v>20</v>
      </c>
      <c r="C1" s="8"/>
      <c r="D1" s="7"/>
      <c r="G1" s="10" t="s">
        <v>117</v>
      </c>
      <c r="I1" s="10" t="s">
        <v>22</v>
      </c>
      <c r="J1" s="9">
        <f>(58*3)/12</f>
        <v>14.5</v>
      </c>
      <c r="K1" s="10"/>
      <c r="T1" s="5">
        <v>8.0</v>
      </c>
      <c r="V1" s="5" t="s">
        <v>24</v>
      </c>
      <c r="AA1" s="5">
        <v>13.0</v>
      </c>
      <c r="AH1" s="5">
        <v>15.0</v>
      </c>
      <c r="AO1" s="5">
        <v>18.0</v>
      </c>
      <c r="AV1" s="5">
        <v>18.0</v>
      </c>
      <c r="BC1" s="5">
        <v>9.0</v>
      </c>
      <c r="BD1" s="11"/>
      <c r="BH1" s="5" t="s">
        <v>25</v>
      </c>
      <c r="BJ1" s="5">
        <v>3.0</v>
      </c>
      <c r="BQ1" s="5">
        <v>4.0</v>
      </c>
      <c r="BR1" s="11"/>
      <c r="BX1" s="5">
        <v>11.0</v>
      </c>
      <c r="BY1" s="11"/>
      <c r="CE1" s="5">
        <v>12.0</v>
      </c>
      <c r="CF1" s="11"/>
      <c r="CL1" s="5">
        <v>9.0</v>
      </c>
      <c r="CM1" s="11"/>
      <c r="CO1" s="5" t="s">
        <v>118</v>
      </c>
      <c r="CS1" s="5">
        <v>9.0</v>
      </c>
      <c r="CT1" s="11"/>
      <c r="DA1" s="11"/>
      <c r="DH1" s="11"/>
      <c r="DO1" s="11"/>
    </row>
    <row r="2" ht="15.75" customHeight="1">
      <c r="C2" s="8"/>
      <c r="I2" s="12" t="s">
        <v>26</v>
      </c>
      <c r="J2" s="13"/>
      <c r="K2" s="13"/>
      <c r="L2" s="14"/>
      <c r="O2" s="15" t="s">
        <v>28</v>
      </c>
      <c r="P2" s="13"/>
      <c r="Q2" s="13"/>
      <c r="R2" s="13"/>
      <c r="S2" s="13"/>
      <c r="T2" s="14"/>
      <c r="V2" s="15" t="s">
        <v>29</v>
      </c>
      <c r="W2" s="13"/>
      <c r="X2" s="13"/>
      <c r="Y2" s="13"/>
      <c r="Z2" s="13"/>
      <c r="AA2" s="14"/>
      <c r="AC2" s="15" t="s">
        <v>30</v>
      </c>
      <c r="AD2" s="13"/>
      <c r="AE2" s="13"/>
      <c r="AF2" s="13"/>
      <c r="AG2" s="13"/>
      <c r="AH2" s="14"/>
      <c r="AJ2" s="15" t="s">
        <v>31</v>
      </c>
      <c r="AK2" s="13"/>
      <c r="AL2" s="13"/>
      <c r="AM2" s="13"/>
      <c r="AN2" s="13"/>
      <c r="AO2" s="14"/>
      <c r="AQ2" s="15" t="s">
        <v>32</v>
      </c>
      <c r="AR2" s="13"/>
      <c r="AS2" s="13"/>
      <c r="AT2" s="13"/>
      <c r="AU2" s="13"/>
      <c r="AV2" s="14"/>
      <c r="AX2" s="18" t="s">
        <v>33</v>
      </c>
      <c r="AY2" s="13"/>
      <c r="AZ2" s="13"/>
      <c r="BA2" s="13"/>
      <c r="BB2" s="13"/>
      <c r="BC2" s="14"/>
      <c r="BD2" s="16"/>
      <c r="BE2" s="15" t="s">
        <v>34</v>
      </c>
      <c r="BF2" s="13"/>
      <c r="BG2" s="13"/>
      <c r="BH2" s="13"/>
      <c r="BI2" s="13"/>
      <c r="BJ2" s="14"/>
      <c r="BL2" s="17" t="s">
        <v>35</v>
      </c>
      <c r="BM2" s="13"/>
      <c r="BN2" s="13"/>
      <c r="BO2" s="13"/>
      <c r="BP2" s="13"/>
      <c r="BQ2" s="14"/>
      <c r="BR2" s="16"/>
      <c r="BS2" s="15" t="s">
        <v>36</v>
      </c>
      <c r="BT2" s="13"/>
      <c r="BU2" s="13"/>
      <c r="BV2" s="13"/>
      <c r="BW2" s="13"/>
      <c r="BX2" s="14"/>
      <c r="BY2" s="16"/>
      <c r="BZ2" s="15" t="s">
        <v>37</v>
      </c>
      <c r="CA2" s="13"/>
      <c r="CB2" s="13"/>
      <c r="CC2" s="13"/>
      <c r="CD2" s="13"/>
      <c r="CE2" s="14"/>
      <c r="CF2" s="16"/>
      <c r="CG2" s="15" t="s">
        <v>38</v>
      </c>
      <c r="CH2" s="13"/>
      <c r="CI2" s="13"/>
      <c r="CJ2" s="13"/>
      <c r="CK2" s="13"/>
      <c r="CL2" s="14"/>
      <c r="CM2" s="16"/>
      <c r="CN2" s="15" t="s">
        <v>39</v>
      </c>
      <c r="CO2" s="13"/>
      <c r="CP2" s="13"/>
      <c r="CQ2" s="13"/>
      <c r="CR2" s="13"/>
      <c r="CS2" s="14"/>
      <c r="CT2" s="16"/>
      <c r="CU2" s="18" t="s">
        <v>40</v>
      </c>
      <c r="CV2" s="13"/>
      <c r="CW2" s="13"/>
      <c r="CX2" s="13"/>
      <c r="CY2" s="13"/>
      <c r="CZ2" s="14"/>
      <c r="DA2" s="16"/>
      <c r="DB2" s="15" t="s">
        <v>41</v>
      </c>
      <c r="DC2" s="13"/>
      <c r="DD2" s="13"/>
      <c r="DE2" s="13"/>
      <c r="DF2" s="13"/>
      <c r="DG2" s="14"/>
      <c r="DH2" s="16"/>
      <c r="DI2" s="15" t="s">
        <v>42</v>
      </c>
      <c r="DJ2" s="13"/>
      <c r="DK2" s="13"/>
      <c r="DL2" s="13"/>
      <c r="DM2" s="13"/>
      <c r="DN2" s="14"/>
      <c r="DO2" s="16"/>
      <c r="DP2" s="17" t="s">
        <v>43</v>
      </c>
      <c r="DQ2" s="13"/>
      <c r="DR2" s="13"/>
      <c r="DS2" s="13"/>
      <c r="DT2" s="13"/>
      <c r="DU2" s="14"/>
    </row>
    <row r="3" ht="15.75" customHeight="1">
      <c r="B3" s="19" t="s">
        <v>44</v>
      </c>
      <c r="C3" s="20" t="s">
        <v>45</v>
      </c>
      <c r="D3" s="21" t="s">
        <v>46</v>
      </c>
      <c r="E3" s="22" t="s">
        <v>47</v>
      </c>
      <c r="F3" s="21" t="s">
        <v>48</v>
      </c>
      <c r="G3" s="21" t="s">
        <v>49</v>
      </c>
      <c r="I3" s="22" t="s">
        <v>50</v>
      </c>
      <c r="J3" s="23" t="s">
        <v>51</v>
      </c>
      <c r="K3" s="23" t="s">
        <v>52</v>
      </c>
      <c r="L3" s="22" t="s">
        <v>53</v>
      </c>
      <c r="O3" s="19" t="s">
        <v>50</v>
      </c>
      <c r="P3" s="19" t="s">
        <v>51</v>
      </c>
      <c r="Q3" s="19" t="s">
        <v>54</v>
      </c>
      <c r="R3" s="19" t="s">
        <v>52</v>
      </c>
      <c r="S3" s="19" t="s">
        <v>54</v>
      </c>
      <c r="T3" s="19" t="s">
        <v>53</v>
      </c>
      <c r="V3" s="19" t="s">
        <v>50</v>
      </c>
      <c r="W3" s="19" t="s">
        <v>51</v>
      </c>
      <c r="X3" s="19" t="s">
        <v>54</v>
      </c>
      <c r="Y3" s="19" t="s">
        <v>52</v>
      </c>
      <c r="Z3" s="19" t="s">
        <v>54</v>
      </c>
      <c r="AA3" s="19" t="s">
        <v>53</v>
      </c>
      <c r="AC3" s="19" t="s">
        <v>50</v>
      </c>
      <c r="AD3" s="19" t="s">
        <v>51</v>
      </c>
      <c r="AE3" s="19" t="s">
        <v>54</v>
      </c>
      <c r="AF3" s="19" t="s">
        <v>52</v>
      </c>
      <c r="AG3" s="19" t="s">
        <v>54</v>
      </c>
      <c r="AH3" s="19" t="s">
        <v>53</v>
      </c>
      <c r="AJ3" s="19" t="s">
        <v>50</v>
      </c>
      <c r="AK3" s="19" t="s">
        <v>51</v>
      </c>
      <c r="AL3" s="19" t="s">
        <v>54</v>
      </c>
      <c r="AM3" s="19" t="s">
        <v>52</v>
      </c>
      <c r="AN3" s="19" t="s">
        <v>54</v>
      </c>
      <c r="AO3" s="19" t="s">
        <v>53</v>
      </c>
      <c r="AQ3" s="19" t="s">
        <v>50</v>
      </c>
      <c r="AR3" s="19" t="s">
        <v>51</v>
      </c>
      <c r="AS3" s="19" t="s">
        <v>54</v>
      </c>
      <c r="AT3" s="19" t="s">
        <v>52</v>
      </c>
      <c r="AU3" s="19" t="s">
        <v>54</v>
      </c>
      <c r="AV3" s="19" t="s">
        <v>53</v>
      </c>
      <c r="AX3" s="19" t="s">
        <v>50</v>
      </c>
      <c r="AY3" s="19" t="s">
        <v>51</v>
      </c>
      <c r="AZ3" s="19" t="s">
        <v>54</v>
      </c>
      <c r="BA3" s="19" t="s">
        <v>52</v>
      </c>
      <c r="BB3" s="19" t="s">
        <v>54</v>
      </c>
      <c r="BC3" s="19" t="s">
        <v>53</v>
      </c>
      <c r="BD3" s="16"/>
      <c r="BE3" s="19" t="s">
        <v>50</v>
      </c>
      <c r="BF3" s="19" t="s">
        <v>51</v>
      </c>
      <c r="BG3" s="19" t="s">
        <v>54</v>
      </c>
      <c r="BH3" s="19" t="s">
        <v>52</v>
      </c>
      <c r="BI3" s="19" t="s">
        <v>54</v>
      </c>
      <c r="BJ3" s="19" t="s">
        <v>53</v>
      </c>
      <c r="BL3" s="19" t="s">
        <v>50</v>
      </c>
      <c r="BM3" s="19" t="s">
        <v>51</v>
      </c>
      <c r="BN3" s="19" t="s">
        <v>54</v>
      </c>
      <c r="BO3" s="19" t="s">
        <v>52</v>
      </c>
      <c r="BP3" s="19" t="s">
        <v>54</v>
      </c>
      <c r="BQ3" s="19" t="s">
        <v>53</v>
      </c>
      <c r="BR3" s="16"/>
      <c r="BS3" s="19" t="s">
        <v>50</v>
      </c>
      <c r="BT3" s="19" t="s">
        <v>51</v>
      </c>
      <c r="BU3" s="19" t="s">
        <v>54</v>
      </c>
      <c r="BV3" s="19" t="s">
        <v>52</v>
      </c>
      <c r="BW3" s="19" t="s">
        <v>54</v>
      </c>
      <c r="BX3" s="19" t="s">
        <v>53</v>
      </c>
      <c r="BY3" s="16"/>
      <c r="BZ3" s="19" t="s">
        <v>50</v>
      </c>
      <c r="CA3" s="19" t="s">
        <v>51</v>
      </c>
      <c r="CB3" s="19" t="s">
        <v>54</v>
      </c>
      <c r="CC3" s="19" t="s">
        <v>52</v>
      </c>
      <c r="CD3" s="19" t="s">
        <v>54</v>
      </c>
      <c r="CE3" s="19" t="s">
        <v>53</v>
      </c>
      <c r="CF3" s="16"/>
      <c r="CG3" s="19" t="s">
        <v>50</v>
      </c>
      <c r="CH3" s="19" t="s">
        <v>51</v>
      </c>
      <c r="CI3" s="19" t="s">
        <v>54</v>
      </c>
      <c r="CJ3" s="19" t="s">
        <v>52</v>
      </c>
      <c r="CK3" s="19" t="s">
        <v>54</v>
      </c>
      <c r="CL3" s="19" t="s">
        <v>53</v>
      </c>
      <c r="CM3" s="16"/>
      <c r="CN3" s="19" t="s">
        <v>50</v>
      </c>
      <c r="CO3" s="19" t="s">
        <v>51</v>
      </c>
      <c r="CP3" s="19" t="s">
        <v>54</v>
      </c>
      <c r="CQ3" s="19" t="s">
        <v>52</v>
      </c>
      <c r="CR3" s="19" t="s">
        <v>54</v>
      </c>
      <c r="CS3" s="19" t="s">
        <v>53</v>
      </c>
      <c r="CT3" s="16"/>
      <c r="CU3" s="19" t="s">
        <v>50</v>
      </c>
      <c r="CV3" s="19" t="s">
        <v>51</v>
      </c>
      <c r="CW3" s="19" t="s">
        <v>54</v>
      </c>
      <c r="CX3" s="19" t="s">
        <v>52</v>
      </c>
      <c r="CY3" s="19" t="s">
        <v>54</v>
      </c>
      <c r="CZ3" s="19" t="s">
        <v>53</v>
      </c>
      <c r="DA3" s="16"/>
      <c r="DB3" s="19" t="s">
        <v>50</v>
      </c>
      <c r="DC3" s="19" t="s">
        <v>51</v>
      </c>
      <c r="DD3" s="19" t="s">
        <v>54</v>
      </c>
      <c r="DE3" s="19" t="s">
        <v>52</v>
      </c>
      <c r="DF3" s="19" t="s">
        <v>54</v>
      </c>
      <c r="DG3" s="19" t="s">
        <v>53</v>
      </c>
      <c r="DH3" s="16"/>
      <c r="DI3" s="19" t="s">
        <v>50</v>
      </c>
      <c r="DJ3" s="19" t="s">
        <v>51</v>
      </c>
      <c r="DK3" s="19" t="s">
        <v>54</v>
      </c>
      <c r="DL3" s="19" t="s">
        <v>52</v>
      </c>
      <c r="DM3" s="19" t="s">
        <v>54</v>
      </c>
      <c r="DN3" s="19" t="s">
        <v>53</v>
      </c>
      <c r="DO3" s="16"/>
      <c r="DP3" s="19" t="s">
        <v>50</v>
      </c>
      <c r="DQ3" s="19" t="s">
        <v>51</v>
      </c>
      <c r="DR3" s="19" t="s">
        <v>54</v>
      </c>
      <c r="DS3" s="19" t="s">
        <v>52</v>
      </c>
      <c r="DT3" s="19" t="s">
        <v>54</v>
      </c>
      <c r="DU3" s="19" t="s">
        <v>53</v>
      </c>
    </row>
    <row r="4" ht="15.75" customHeight="1">
      <c r="B4" s="6" t="s">
        <v>26</v>
      </c>
      <c r="C4" s="24" t="s">
        <v>55</v>
      </c>
      <c r="D4" s="25">
        <v>44917.0</v>
      </c>
      <c r="E4" s="26">
        <v>6.0</v>
      </c>
      <c r="G4" s="27">
        <f>+SUM(G5:G12)</f>
        <v>1</v>
      </c>
      <c r="I4" s="28">
        <f>+SUM(I5:I12)</f>
        <v>16.5</v>
      </c>
      <c r="J4" s="29">
        <f>+SUMPRODUCT(G5:G12,J5:J12)</f>
        <v>0.12</v>
      </c>
      <c r="K4" s="29">
        <f>+SUMPRODUCT(G5:G12,K5:K12)</f>
        <v>0.12</v>
      </c>
      <c r="L4" s="26"/>
      <c r="N4" s="28"/>
      <c r="O4" s="28">
        <f>SUM(O5:O12)</f>
        <v>6</v>
      </c>
      <c r="V4" s="34">
        <f>SUM(V5:V12)</f>
        <v>3.5</v>
      </c>
      <c r="AC4" s="34">
        <f>SUM(AC5:AC12)</f>
        <v>3</v>
      </c>
      <c r="AJ4" s="28">
        <f>SUM(AJ5:AJ12)</f>
        <v>4</v>
      </c>
      <c r="AQ4" s="28">
        <f>SUM(AQ5:AQ12)</f>
        <v>0</v>
      </c>
      <c r="AX4" s="28">
        <f>SUM(AX5:AX12)</f>
        <v>0</v>
      </c>
      <c r="BD4" s="11"/>
      <c r="BE4" s="28">
        <f>SUM(BE5:BE12)</f>
        <v>0</v>
      </c>
      <c r="BL4" s="28">
        <f>SUM(BL5:BL12)</f>
        <v>0</v>
      </c>
      <c r="BR4" s="11"/>
      <c r="BS4" s="28">
        <f>SUM(BS5:BS12)</f>
        <v>0</v>
      </c>
      <c r="BY4" s="11"/>
      <c r="BZ4" s="28">
        <f>SUM(BZ5:BZ12)</f>
        <v>0</v>
      </c>
      <c r="CF4" s="11"/>
      <c r="CG4" s="28">
        <f>SUM(CG5:CG12)</f>
        <v>0</v>
      </c>
      <c r="CM4" s="11"/>
      <c r="CN4" s="28">
        <f>SUM(CN5:CN12)</f>
        <v>0</v>
      </c>
      <c r="CT4" s="11"/>
      <c r="CU4" s="28">
        <f>SUM(CU5:CU12)</f>
        <v>0</v>
      </c>
      <c r="DA4" s="11"/>
      <c r="DB4" s="28">
        <f>SUM(DB5:DB12)</f>
        <v>0</v>
      </c>
      <c r="DH4" s="11"/>
      <c r="DI4" s="28">
        <f>SUM(DI5:DI12)</f>
        <v>0</v>
      </c>
      <c r="DO4" s="11"/>
      <c r="DP4" s="28"/>
    </row>
    <row r="5" ht="15.75" customHeight="1" outlineLevel="1">
      <c r="B5" s="6" t="s">
        <v>56</v>
      </c>
      <c r="C5" s="24" t="s">
        <v>55</v>
      </c>
      <c r="E5" s="26"/>
      <c r="F5" s="5" t="s">
        <v>57</v>
      </c>
      <c r="G5" s="27">
        <v>0.1</v>
      </c>
      <c r="I5" s="26">
        <f t="shared" ref="I5:I12" si="1">+SUMIF($N$3:$ACM$3,I$3,$N5:$ACM5)</f>
        <v>4</v>
      </c>
      <c r="J5" s="29">
        <f t="array" ref="J5">MAX(IF($N$3:$GU$3=$J$3,N5:GU5))</f>
        <v>0.6</v>
      </c>
      <c r="K5" s="29">
        <f t="array" ref="K5">MAX(IF($N$3:$GU$3=$J$3,N5:GU5))</f>
        <v>0.6</v>
      </c>
      <c r="L5" s="26"/>
      <c r="O5" s="5">
        <v>2.5</v>
      </c>
      <c r="P5" s="30">
        <v>0.4</v>
      </c>
      <c r="Q5" s="30">
        <v>0.8</v>
      </c>
      <c r="R5" s="30">
        <v>0.3</v>
      </c>
      <c r="S5" s="30">
        <v>0.8</v>
      </c>
      <c r="T5" s="5">
        <v>2.0</v>
      </c>
      <c r="V5" s="5">
        <v>0.5</v>
      </c>
      <c r="W5" s="30">
        <v>0.6</v>
      </c>
      <c r="X5" s="30">
        <v>0.8</v>
      </c>
      <c r="Y5" s="30">
        <v>0.5</v>
      </c>
      <c r="Z5" s="30">
        <v>0.8</v>
      </c>
      <c r="AA5" s="5">
        <v>2.0</v>
      </c>
      <c r="AD5" s="30">
        <v>0.6</v>
      </c>
      <c r="AE5" s="30">
        <v>0.8</v>
      </c>
      <c r="AF5" s="30">
        <v>0.5</v>
      </c>
      <c r="AG5" s="30">
        <v>0.8</v>
      </c>
      <c r="AH5" s="5">
        <v>2.0</v>
      </c>
      <c r="AJ5" s="5">
        <v>1.0</v>
      </c>
      <c r="AK5" s="30">
        <v>0.6</v>
      </c>
      <c r="AL5" s="30">
        <v>0.8</v>
      </c>
      <c r="AM5" s="30">
        <v>0.5</v>
      </c>
      <c r="AN5" s="30">
        <v>0.8</v>
      </c>
      <c r="AO5" s="5">
        <v>2.0</v>
      </c>
      <c r="AR5" s="30"/>
      <c r="AS5" s="30"/>
      <c r="AT5" s="27"/>
      <c r="AU5" s="30">
        <v>1.0</v>
      </c>
      <c r="AV5" s="5">
        <v>2.0</v>
      </c>
      <c r="AY5" s="30"/>
      <c r="AZ5" s="30"/>
      <c r="BA5" s="27"/>
      <c r="BB5" s="30">
        <v>1.0</v>
      </c>
      <c r="BC5" s="5">
        <v>2.0</v>
      </c>
      <c r="BD5" s="11"/>
      <c r="BF5" s="30"/>
      <c r="BG5" s="30"/>
      <c r="BH5" s="27"/>
      <c r="BI5" s="30">
        <v>1.0</v>
      </c>
      <c r="BJ5" s="5">
        <v>1.0</v>
      </c>
      <c r="BM5" s="30"/>
      <c r="BN5" s="30"/>
      <c r="BO5" s="27"/>
      <c r="BP5" s="30">
        <v>1.0</v>
      </c>
      <c r="BQ5" s="5">
        <v>0.0</v>
      </c>
      <c r="BR5" s="11"/>
      <c r="BT5" s="30"/>
      <c r="BU5" s="30"/>
      <c r="BV5" s="27"/>
      <c r="BW5" s="30">
        <v>1.0</v>
      </c>
      <c r="BX5" s="5">
        <v>2.0</v>
      </c>
      <c r="BY5" s="11"/>
      <c r="CA5" s="30"/>
      <c r="CB5" s="30"/>
      <c r="CC5" s="27"/>
      <c r="CD5" s="30">
        <v>1.0</v>
      </c>
      <c r="CE5" s="5">
        <v>2.0</v>
      </c>
      <c r="CF5" s="11"/>
      <c r="CH5" s="30"/>
      <c r="CI5" s="30"/>
      <c r="CJ5" s="27"/>
      <c r="CK5" s="30">
        <v>1.0</v>
      </c>
      <c r="CL5" s="5">
        <v>2.0</v>
      </c>
      <c r="CM5" s="11"/>
      <c r="CO5" s="30"/>
      <c r="CP5" s="30"/>
      <c r="CQ5" s="27"/>
      <c r="CR5" s="30">
        <v>1.0</v>
      </c>
      <c r="CS5" s="5">
        <v>2.0</v>
      </c>
      <c r="CT5" s="11"/>
      <c r="CV5" s="30"/>
      <c r="CW5" s="30"/>
      <c r="CX5" s="27"/>
      <c r="CY5" s="30">
        <v>1.0</v>
      </c>
      <c r="DA5" s="11"/>
      <c r="DC5" s="30"/>
      <c r="DD5" s="30"/>
      <c r="DE5" s="27"/>
      <c r="DF5" s="27"/>
      <c r="DH5" s="11"/>
      <c r="DJ5" s="30"/>
      <c r="DK5" s="30"/>
      <c r="DL5" s="27"/>
      <c r="DM5" s="27"/>
      <c r="DO5" s="11"/>
      <c r="DQ5" s="30"/>
      <c r="DR5" s="30"/>
      <c r="DS5" s="27"/>
      <c r="DT5" s="27"/>
    </row>
    <row r="6" ht="15.75" customHeight="1" outlineLevel="1">
      <c r="B6" s="6" t="s">
        <v>56</v>
      </c>
      <c r="C6" s="24" t="s">
        <v>55</v>
      </c>
      <c r="E6" s="26"/>
      <c r="F6" s="5" t="s">
        <v>58</v>
      </c>
      <c r="G6" s="30">
        <v>0.1</v>
      </c>
      <c r="I6" s="26">
        <f t="shared" si="1"/>
        <v>5</v>
      </c>
      <c r="J6" s="29">
        <f t="array" ref="J6">MAX(IF($N$3:$GU$3=$J$3,N6:GU6))</f>
        <v>0.5</v>
      </c>
      <c r="K6" s="29">
        <f t="array" ref="K6">MAX(IF($N$3:$GU$3=$J$3,N6:GU6))</f>
        <v>0.5</v>
      </c>
      <c r="L6" s="26"/>
      <c r="O6" s="5">
        <v>3.5</v>
      </c>
      <c r="P6" s="30">
        <v>0.5</v>
      </c>
      <c r="Q6" s="30">
        <v>0.5</v>
      </c>
      <c r="R6" s="30">
        <v>0.5</v>
      </c>
      <c r="S6" s="30">
        <v>0.5</v>
      </c>
      <c r="V6" s="5">
        <v>1.5</v>
      </c>
      <c r="W6" s="30">
        <v>0.5</v>
      </c>
      <c r="X6" s="30">
        <v>0.8</v>
      </c>
      <c r="Y6" s="30">
        <v>0.5</v>
      </c>
      <c r="Z6" s="30">
        <v>0.8</v>
      </c>
      <c r="AD6" s="30">
        <v>0.5</v>
      </c>
      <c r="AE6" s="30">
        <v>0.8</v>
      </c>
      <c r="AF6" s="30">
        <v>0.5</v>
      </c>
      <c r="AG6" s="30">
        <v>0.8</v>
      </c>
      <c r="AK6" s="30">
        <v>0.5</v>
      </c>
      <c r="AL6" s="30">
        <v>0.8</v>
      </c>
      <c r="AM6" s="30">
        <v>0.5</v>
      </c>
      <c r="AN6" s="30">
        <v>0.8</v>
      </c>
      <c r="AR6" s="30"/>
      <c r="AS6" s="30"/>
      <c r="AT6" s="27"/>
      <c r="AU6" s="30">
        <v>1.0</v>
      </c>
      <c r="AY6" s="30"/>
      <c r="AZ6" s="30"/>
      <c r="BA6" s="27"/>
      <c r="BB6" s="30">
        <v>1.0</v>
      </c>
      <c r="BD6" s="11"/>
      <c r="BF6" s="30"/>
      <c r="BG6" s="30"/>
      <c r="BH6" s="27"/>
      <c r="BI6" s="30">
        <v>1.0</v>
      </c>
      <c r="BM6" s="30"/>
      <c r="BN6" s="30"/>
      <c r="BO6" s="27"/>
      <c r="BP6" s="30">
        <v>1.0</v>
      </c>
      <c r="BR6" s="11"/>
      <c r="BT6" s="30"/>
      <c r="BU6" s="30"/>
      <c r="BV6" s="27"/>
      <c r="BW6" s="30">
        <v>1.0</v>
      </c>
      <c r="BY6" s="11"/>
      <c r="CA6" s="30"/>
      <c r="CB6" s="30"/>
      <c r="CC6" s="27"/>
      <c r="CD6" s="30">
        <v>1.0</v>
      </c>
      <c r="CF6" s="11"/>
      <c r="CH6" s="30"/>
      <c r="CI6" s="30"/>
      <c r="CJ6" s="27"/>
      <c r="CK6" s="30">
        <v>1.0</v>
      </c>
      <c r="CM6" s="11"/>
      <c r="CO6" s="30"/>
      <c r="CP6" s="30"/>
      <c r="CQ6" s="27"/>
      <c r="CR6" s="30">
        <v>1.0</v>
      </c>
      <c r="CT6" s="11"/>
      <c r="CV6" s="30"/>
      <c r="CW6" s="30"/>
      <c r="CX6" s="27"/>
      <c r="CY6" s="30">
        <v>1.0</v>
      </c>
      <c r="DA6" s="11"/>
      <c r="DC6" s="30"/>
      <c r="DD6" s="27"/>
      <c r="DE6" s="27"/>
      <c r="DF6" s="27"/>
      <c r="DH6" s="11"/>
      <c r="DJ6" s="30"/>
      <c r="DK6" s="27"/>
      <c r="DL6" s="27"/>
      <c r="DM6" s="27"/>
      <c r="DO6" s="11"/>
      <c r="DQ6" s="30"/>
      <c r="DR6" s="27"/>
      <c r="DS6" s="27"/>
      <c r="DT6" s="27"/>
    </row>
    <row r="7" ht="15.75" customHeight="1" outlineLevel="1">
      <c r="B7" s="6" t="s">
        <v>56</v>
      </c>
      <c r="C7" s="24" t="s">
        <v>55</v>
      </c>
      <c r="E7" s="26"/>
      <c r="F7" s="5" t="s">
        <v>59</v>
      </c>
      <c r="G7" s="30">
        <v>0.1</v>
      </c>
      <c r="I7" s="26">
        <f t="shared" si="1"/>
        <v>1.5</v>
      </c>
      <c r="J7" s="29">
        <f t="array" ref="J7">MAX(IF($N$3:$GU$3=$J$3,N7:GU7))</f>
        <v>0.1</v>
      </c>
      <c r="K7" s="29">
        <f t="array" ref="K7">MAX(IF($N$3:$GU$3=$J$3,N7:GU7))</f>
        <v>0.1</v>
      </c>
      <c r="L7" s="26"/>
      <c r="P7" s="30"/>
      <c r="Q7" s="27"/>
      <c r="R7" s="27"/>
      <c r="S7" s="30">
        <v>0.0</v>
      </c>
      <c r="V7" s="5">
        <v>1.5</v>
      </c>
      <c r="W7" s="30">
        <v>0.1</v>
      </c>
      <c r="X7" s="30">
        <v>0.5</v>
      </c>
      <c r="Y7" s="27"/>
      <c r="Z7" s="30">
        <v>0.5</v>
      </c>
      <c r="AD7" s="30">
        <v>0.1</v>
      </c>
      <c r="AE7" s="30">
        <v>0.8</v>
      </c>
      <c r="AF7" s="27"/>
      <c r="AG7" s="30">
        <v>0.8</v>
      </c>
      <c r="AK7" s="30">
        <v>0.1</v>
      </c>
      <c r="AL7" s="30">
        <v>0.8</v>
      </c>
      <c r="AM7" s="27"/>
      <c r="AN7" s="30">
        <v>0.8</v>
      </c>
      <c r="AR7" s="30"/>
      <c r="AS7" s="30"/>
      <c r="AT7" s="27"/>
      <c r="AU7" s="30">
        <v>0.8</v>
      </c>
      <c r="AY7" s="30"/>
      <c r="AZ7" s="30"/>
      <c r="BA7" s="27"/>
      <c r="BB7" s="30">
        <v>0.8</v>
      </c>
      <c r="BD7" s="11"/>
      <c r="BF7" s="30"/>
      <c r="BG7" s="30"/>
      <c r="BH7" s="27"/>
      <c r="BI7" s="30">
        <v>1.0</v>
      </c>
      <c r="BM7" s="30"/>
      <c r="BN7" s="30"/>
      <c r="BO7" s="27"/>
      <c r="BP7" s="30">
        <v>1.0</v>
      </c>
      <c r="BR7" s="11"/>
      <c r="BT7" s="30"/>
      <c r="BU7" s="30"/>
      <c r="BV7" s="27"/>
      <c r="BW7" s="30">
        <v>1.0</v>
      </c>
      <c r="BY7" s="11"/>
      <c r="CA7" s="30"/>
      <c r="CB7" s="30"/>
      <c r="CC7" s="27"/>
      <c r="CD7" s="30">
        <v>1.0</v>
      </c>
      <c r="CF7" s="11"/>
      <c r="CH7" s="30"/>
      <c r="CI7" s="30"/>
      <c r="CJ7" s="27"/>
      <c r="CK7" s="30">
        <v>1.0</v>
      </c>
      <c r="CM7" s="11"/>
      <c r="CO7" s="30"/>
      <c r="CP7" s="30"/>
      <c r="CQ7" s="27"/>
      <c r="CR7" s="30">
        <v>1.0</v>
      </c>
      <c r="CT7" s="11"/>
      <c r="CV7" s="30"/>
      <c r="CW7" s="30"/>
      <c r="CX7" s="27"/>
      <c r="CY7" s="30">
        <v>1.0</v>
      </c>
      <c r="DA7" s="11"/>
      <c r="DC7" s="30"/>
      <c r="DD7" s="27"/>
      <c r="DE7" s="27"/>
      <c r="DF7" s="27"/>
      <c r="DH7" s="11"/>
      <c r="DJ7" s="30"/>
      <c r="DK7" s="27"/>
      <c r="DL7" s="27"/>
      <c r="DM7" s="27"/>
      <c r="DO7" s="11"/>
      <c r="DQ7" s="30"/>
      <c r="DR7" s="27"/>
      <c r="DS7" s="27"/>
      <c r="DT7" s="27"/>
    </row>
    <row r="8" ht="15.75" customHeight="1" outlineLevel="1">
      <c r="B8" s="6" t="s">
        <v>56</v>
      </c>
      <c r="C8" s="24" t="s">
        <v>55</v>
      </c>
      <c r="E8" s="26"/>
      <c r="F8" s="5" t="s">
        <v>60</v>
      </c>
      <c r="G8" s="31">
        <v>0.125</v>
      </c>
      <c r="I8" s="26">
        <f t="shared" si="1"/>
        <v>3</v>
      </c>
      <c r="J8" s="29">
        <f t="array" ref="J8">MAX(IF($N$3:$GU$3=$J$3,N8:GU8))</f>
        <v>0</v>
      </c>
      <c r="K8" s="29">
        <f t="array" ref="K8">MAX(IF($N$3:$GU$3=$J$3,N8:GU8))</f>
        <v>0</v>
      </c>
      <c r="L8" s="26"/>
      <c r="P8" s="27"/>
      <c r="Q8" s="27"/>
      <c r="R8" s="27"/>
      <c r="S8" s="30">
        <v>0.0</v>
      </c>
      <c r="W8" s="27"/>
      <c r="X8" s="30">
        <v>0.0</v>
      </c>
      <c r="Y8" s="27"/>
      <c r="Z8" s="30">
        <v>0.0</v>
      </c>
      <c r="AC8" s="5">
        <v>1.5</v>
      </c>
      <c r="AD8" s="27"/>
      <c r="AE8" s="30">
        <v>0.5</v>
      </c>
      <c r="AF8" s="27"/>
      <c r="AG8" s="30">
        <v>0.5</v>
      </c>
      <c r="AJ8" s="5">
        <v>1.5</v>
      </c>
      <c r="AK8" s="27"/>
      <c r="AL8" s="30">
        <v>0.5</v>
      </c>
      <c r="AM8" s="27"/>
      <c r="AN8" s="30">
        <v>0.5</v>
      </c>
      <c r="AR8" s="27"/>
      <c r="AS8" s="30"/>
      <c r="AT8" s="27"/>
      <c r="AU8" s="30">
        <v>0.5</v>
      </c>
      <c r="AY8" s="27"/>
      <c r="AZ8" s="30"/>
      <c r="BA8" s="27"/>
      <c r="BB8" s="30">
        <v>0.8</v>
      </c>
      <c r="BD8" s="11"/>
      <c r="BF8" s="27"/>
      <c r="BG8" s="30"/>
      <c r="BH8" s="27"/>
      <c r="BI8" s="30">
        <v>1.0</v>
      </c>
      <c r="BM8" s="27"/>
      <c r="BN8" s="30"/>
      <c r="BO8" s="27"/>
      <c r="BP8" s="30">
        <v>1.0</v>
      </c>
      <c r="BR8" s="11"/>
      <c r="BT8" s="27"/>
      <c r="BU8" s="30"/>
      <c r="BV8" s="27"/>
      <c r="BW8" s="30">
        <v>1.0</v>
      </c>
      <c r="BY8" s="11"/>
      <c r="CA8" s="27"/>
      <c r="CB8" s="30"/>
      <c r="CC8" s="27"/>
      <c r="CD8" s="30">
        <v>1.0</v>
      </c>
      <c r="CF8" s="11"/>
      <c r="CH8" s="27"/>
      <c r="CI8" s="30"/>
      <c r="CJ8" s="27"/>
      <c r="CK8" s="30">
        <v>1.0</v>
      </c>
      <c r="CM8" s="11"/>
      <c r="CO8" s="27"/>
      <c r="CP8" s="30"/>
      <c r="CQ8" s="27"/>
      <c r="CR8" s="30">
        <v>1.0</v>
      </c>
      <c r="CT8" s="11"/>
      <c r="CV8" s="27"/>
      <c r="CW8" s="30"/>
      <c r="CX8" s="27"/>
      <c r="CY8" s="30">
        <v>1.0</v>
      </c>
      <c r="DA8" s="11"/>
      <c r="DC8" s="32" t="s">
        <v>71</v>
      </c>
      <c r="DH8" s="11"/>
      <c r="DJ8" s="32" t="s">
        <v>71</v>
      </c>
      <c r="DO8" s="11"/>
      <c r="DQ8" s="32" t="s">
        <v>119</v>
      </c>
    </row>
    <row r="9" ht="15.75" customHeight="1" outlineLevel="1">
      <c r="B9" s="6" t="s">
        <v>56</v>
      </c>
      <c r="C9" s="24" t="s">
        <v>55</v>
      </c>
      <c r="E9" s="26"/>
      <c r="F9" s="5" t="s">
        <v>61</v>
      </c>
      <c r="G9" s="31">
        <v>0.125</v>
      </c>
      <c r="I9" s="26">
        <f t="shared" si="1"/>
        <v>3</v>
      </c>
      <c r="J9" s="29">
        <f t="array" ref="J9">MAX(IF($N$3:$GU$3=$J$3,N9:GU9))</f>
        <v>0</v>
      </c>
      <c r="K9" s="29">
        <f t="array" ref="K9">MAX(IF($N$3:$GU$3=$J$3,N9:GU9))</f>
        <v>0</v>
      </c>
      <c r="L9" s="26"/>
      <c r="P9" s="27"/>
      <c r="Q9" s="27"/>
      <c r="R9" s="27"/>
      <c r="S9" s="30">
        <v>0.0</v>
      </c>
      <c r="W9" s="27"/>
      <c r="X9" s="30">
        <v>0.0</v>
      </c>
      <c r="Y9" s="27"/>
      <c r="Z9" s="30">
        <v>0.0</v>
      </c>
      <c r="AC9" s="5">
        <v>1.5</v>
      </c>
      <c r="AD9" s="27"/>
      <c r="AE9" s="30">
        <v>0.0</v>
      </c>
      <c r="AF9" s="27"/>
      <c r="AG9" s="30">
        <v>0.0</v>
      </c>
      <c r="AJ9" s="5">
        <v>1.5</v>
      </c>
      <c r="AK9" s="27"/>
      <c r="AL9" s="30">
        <v>0.5</v>
      </c>
      <c r="AM9" s="27"/>
      <c r="AN9" s="30">
        <v>0.5</v>
      </c>
      <c r="AR9" s="27"/>
      <c r="AS9" s="30"/>
      <c r="AT9" s="27"/>
      <c r="AU9" s="30">
        <v>0.5</v>
      </c>
      <c r="AY9" s="27"/>
      <c r="AZ9" s="30"/>
      <c r="BA9" s="27"/>
      <c r="BB9" s="30">
        <v>0.8</v>
      </c>
      <c r="BD9" s="11"/>
      <c r="BF9" s="27"/>
      <c r="BG9" s="30"/>
      <c r="BH9" s="27"/>
      <c r="BI9" s="30">
        <v>0.8</v>
      </c>
      <c r="BM9" s="27"/>
      <c r="BN9" s="30"/>
      <c r="BO9" s="27"/>
      <c r="BP9" s="30">
        <v>0.8</v>
      </c>
      <c r="BR9" s="11"/>
      <c r="BT9" s="27"/>
      <c r="BU9" s="30"/>
      <c r="BV9" s="27"/>
      <c r="BW9" s="30">
        <v>0.8</v>
      </c>
      <c r="BY9" s="11"/>
      <c r="CA9" s="27"/>
      <c r="CB9" s="30"/>
      <c r="CC9" s="27"/>
      <c r="CD9" s="30">
        <v>0.8</v>
      </c>
      <c r="CF9" s="11"/>
      <c r="CH9" s="27"/>
      <c r="CI9" s="30"/>
      <c r="CJ9" s="27"/>
      <c r="CK9" s="30">
        <v>1.0</v>
      </c>
      <c r="CM9" s="11"/>
      <c r="CO9" s="27"/>
      <c r="CP9" s="30"/>
      <c r="CQ9" s="27"/>
      <c r="CR9" s="30">
        <v>1.0</v>
      </c>
      <c r="CT9" s="11"/>
      <c r="CV9" s="27"/>
      <c r="CW9" s="30"/>
      <c r="CX9" s="27"/>
      <c r="CY9" s="30">
        <v>1.0</v>
      </c>
      <c r="DA9" s="11"/>
      <c r="DC9" s="27"/>
      <c r="DD9" s="27"/>
      <c r="DE9" s="27"/>
      <c r="DF9" s="27"/>
      <c r="DH9" s="11"/>
      <c r="DJ9" s="27"/>
      <c r="DK9" s="27"/>
      <c r="DL9" s="27"/>
      <c r="DM9" s="27"/>
      <c r="DO9" s="11"/>
      <c r="DQ9" s="27"/>
      <c r="DR9" s="27"/>
      <c r="DS9" s="27"/>
      <c r="DT9" s="27"/>
    </row>
    <row r="10" ht="15.75" customHeight="1" outlineLevel="1">
      <c r="B10" s="6" t="s">
        <v>56</v>
      </c>
      <c r="C10" s="24" t="s">
        <v>55</v>
      </c>
      <c r="E10" s="26"/>
      <c r="F10" s="5" t="s">
        <v>62</v>
      </c>
      <c r="G10" s="30">
        <v>0.15</v>
      </c>
      <c r="I10" s="26">
        <f t="shared" si="1"/>
        <v>0</v>
      </c>
      <c r="J10" s="29">
        <f t="array" ref="J10">MAX(IF($N$3:$GU$3=$J$3,N10:GU10))</f>
        <v>0</v>
      </c>
      <c r="K10" s="29">
        <f t="array" ref="K10">MAX(IF($N$3:$GU$3=$J$3,N10:GU10))</f>
        <v>0</v>
      </c>
      <c r="L10" s="26"/>
      <c r="P10" s="27"/>
      <c r="Q10" s="27"/>
      <c r="R10" s="27"/>
      <c r="S10" s="30">
        <v>0.0</v>
      </c>
      <c r="W10" s="27"/>
      <c r="X10" s="30">
        <v>0.0</v>
      </c>
      <c r="Y10" s="27"/>
      <c r="Z10" s="30">
        <v>0.0</v>
      </c>
      <c r="AD10" s="27"/>
      <c r="AE10" s="30">
        <v>0.0</v>
      </c>
      <c r="AF10" s="27"/>
      <c r="AG10" s="30">
        <v>0.0</v>
      </c>
      <c r="AK10" s="27"/>
      <c r="AL10" s="30">
        <v>0.0</v>
      </c>
      <c r="AM10" s="27"/>
      <c r="AN10" s="30">
        <v>0.0</v>
      </c>
      <c r="AR10" s="27"/>
      <c r="AS10" s="30"/>
      <c r="AT10" s="27"/>
      <c r="AU10" s="30">
        <v>0.5</v>
      </c>
      <c r="AY10" s="27"/>
      <c r="AZ10" s="30"/>
      <c r="BA10" s="27"/>
      <c r="BB10" s="30">
        <v>0.5</v>
      </c>
      <c r="BD10" s="11"/>
      <c r="BF10" s="27"/>
      <c r="BG10" s="30"/>
      <c r="BH10" s="27"/>
      <c r="BI10" s="30">
        <v>0.5</v>
      </c>
      <c r="BM10" s="27"/>
      <c r="BN10" s="30"/>
      <c r="BO10" s="27"/>
      <c r="BP10" s="30">
        <v>0.5</v>
      </c>
      <c r="BR10" s="11"/>
      <c r="BT10" s="27"/>
      <c r="BU10" s="30"/>
      <c r="BV10" s="27"/>
      <c r="BW10" s="30">
        <v>0.5</v>
      </c>
      <c r="BY10" s="11"/>
      <c r="CA10" s="27"/>
      <c r="CB10" s="30"/>
      <c r="CC10" s="27"/>
      <c r="CD10" s="30">
        <v>0.8</v>
      </c>
      <c r="CF10" s="11"/>
      <c r="CH10" s="27"/>
      <c r="CI10" s="30"/>
      <c r="CJ10" s="27"/>
      <c r="CK10" s="30">
        <v>0.8</v>
      </c>
      <c r="CM10" s="11"/>
      <c r="CO10" s="27"/>
      <c r="CP10" s="30"/>
      <c r="CQ10" s="27"/>
      <c r="CR10" s="30">
        <v>1.0</v>
      </c>
      <c r="CT10" s="11"/>
      <c r="CV10" s="27"/>
      <c r="CW10" s="30"/>
      <c r="CX10" s="27"/>
      <c r="CY10" s="30">
        <v>1.0</v>
      </c>
      <c r="DA10" s="11"/>
      <c r="DC10" s="27"/>
      <c r="DD10" s="27"/>
      <c r="DE10" s="27"/>
      <c r="DF10" s="27"/>
      <c r="DH10" s="11"/>
      <c r="DJ10" s="27"/>
      <c r="DK10" s="27"/>
      <c r="DL10" s="27"/>
      <c r="DM10" s="27"/>
      <c r="DO10" s="11"/>
      <c r="DQ10" s="27"/>
      <c r="DR10" s="27"/>
      <c r="DS10" s="27"/>
      <c r="DT10" s="27"/>
    </row>
    <row r="11" ht="15.75" customHeight="1" outlineLevel="1">
      <c r="B11" s="6" t="s">
        <v>56</v>
      </c>
      <c r="C11" s="24" t="s">
        <v>55</v>
      </c>
      <c r="E11" s="26"/>
      <c r="F11" s="5" t="s">
        <v>63</v>
      </c>
      <c r="G11" s="30">
        <v>0.15</v>
      </c>
      <c r="I11" s="26">
        <f t="shared" si="1"/>
        <v>0</v>
      </c>
      <c r="J11" s="29">
        <f t="array" ref="J11">MAX(IF($N$3:$GU$3=$J$3,N11:GU11))</f>
        <v>0</v>
      </c>
      <c r="K11" s="29">
        <f t="array" ref="K11">MAX(IF($N$3:$GU$3=$J$3,N11:GU11))</f>
        <v>0</v>
      </c>
      <c r="L11" s="26"/>
      <c r="P11" s="27"/>
      <c r="Q11" s="27"/>
      <c r="R11" s="27"/>
      <c r="S11" s="30">
        <v>0.0</v>
      </c>
      <c r="W11" s="27"/>
      <c r="X11" s="30">
        <v>0.0</v>
      </c>
      <c r="Y11" s="27"/>
      <c r="Z11" s="30">
        <v>0.0</v>
      </c>
      <c r="AD11" s="27"/>
      <c r="AE11" s="30">
        <v>0.0</v>
      </c>
      <c r="AF11" s="27"/>
      <c r="AG11" s="30">
        <v>0.0</v>
      </c>
      <c r="AK11" s="27"/>
      <c r="AL11" s="30">
        <v>0.0</v>
      </c>
      <c r="AM11" s="27"/>
      <c r="AN11" s="30">
        <v>0.0</v>
      </c>
      <c r="AR11" s="27"/>
      <c r="AS11" s="30"/>
      <c r="AT11" s="27"/>
      <c r="AU11" s="30">
        <v>0.0</v>
      </c>
      <c r="AY11" s="27"/>
      <c r="AZ11" s="30"/>
      <c r="BA11" s="27"/>
      <c r="BB11" s="30">
        <v>0.0</v>
      </c>
      <c r="BD11" s="11"/>
      <c r="BF11" s="27"/>
      <c r="BG11" s="30"/>
      <c r="BH11" s="27"/>
      <c r="BI11" s="30">
        <v>0.0</v>
      </c>
      <c r="BM11" s="27"/>
      <c r="BN11" s="30"/>
      <c r="BO11" s="27"/>
      <c r="BP11" s="30">
        <v>0.5</v>
      </c>
      <c r="BR11" s="11"/>
      <c r="BT11" s="27"/>
      <c r="BU11" s="30"/>
      <c r="BV11" s="27"/>
      <c r="BW11" s="30">
        <v>0.5</v>
      </c>
      <c r="BY11" s="11"/>
      <c r="CA11" s="27"/>
      <c r="CB11" s="30"/>
      <c r="CC11" s="27"/>
      <c r="CD11" s="30">
        <v>0.5</v>
      </c>
      <c r="CF11" s="11"/>
      <c r="CH11" s="27"/>
      <c r="CI11" s="30"/>
      <c r="CJ11" s="27"/>
      <c r="CK11" s="30">
        <v>0.8</v>
      </c>
      <c r="CM11" s="11"/>
      <c r="CO11" s="27"/>
      <c r="CP11" s="30"/>
      <c r="CQ11" s="27"/>
      <c r="CR11" s="30">
        <v>0.8</v>
      </c>
      <c r="CT11" s="11"/>
      <c r="CV11" s="27"/>
      <c r="CW11" s="30"/>
      <c r="CX11" s="27"/>
      <c r="CY11" s="30">
        <v>1.0</v>
      </c>
      <c r="DA11" s="11"/>
      <c r="DC11" s="27"/>
      <c r="DD11" s="27"/>
      <c r="DE11" s="27"/>
      <c r="DF11" s="27"/>
      <c r="DH11" s="11"/>
      <c r="DJ11" s="27"/>
      <c r="DK11" s="27"/>
      <c r="DL11" s="27"/>
      <c r="DM11" s="27"/>
      <c r="DO11" s="11"/>
      <c r="DQ11" s="27"/>
      <c r="DR11" s="27"/>
      <c r="DS11" s="27"/>
      <c r="DT11" s="27"/>
    </row>
    <row r="12" ht="15.75" customHeight="1" outlineLevel="1">
      <c r="B12" s="6" t="s">
        <v>56</v>
      </c>
      <c r="C12" s="24" t="s">
        <v>55</v>
      </c>
      <c r="E12" s="26"/>
      <c r="F12" s="5" t="s">
        <v>64</v>
      </c>
      <c r="G12" s="30">
        <v>0.15</v>
      </c>
      <c r="I12" s="26">
        <f t="shared" si="1"/>
        <v>0</v>
      </c>
      <c r="J12" s="29">
        <f t="array" ref="J12">MAX(IF($N$3:$GU$3=$J$3,N12:GU12))</f>
        <v>0</v>
      </c>
      <c r="K12" s="29">
        <f t="array" ref="K12">MAX(IF($N$3:$GU$3=$J$3,N12:GU12))</f>
        <v>0</v>
      </c>
      <c r="L12" s="26"/>
      <c r="P12" s="27"/>
      <c r="Q12" s="27"/>
      <c r="R12" s="27"/>
      <c r="S12" s="30">
        <v>0.0</v>
      </c>
      <c r="W12" s="27"/>
      <c r="X12" s="30">
        <v>0.0</v>
      </c>
      <c r="Y12" s="27"/>
      <c r="Z12" s="30">
        <v>0.0</v>
      </c>
      <c r="AD12" s="27"/>
      <c r="AE12" s="30">
        <v>0.0</v>
      </c>
      <c r="AF12" s="27"/>
      <c r="AG12" s="30">
        <v>0.0</v>
      </c>
      <c r="AK12" s="27"/>
      <c r="AL12" s="30">
        <v>0.0</v>
      </c>
      <c r="AM12" s="27"/>
      <c r="AN12" s="30">
        <v>0.0</v>
      </c>
      <c r="AR12" s="27"/>
      <c r="AS12" s="30"/>
      <c r="AT12" s="27"/>
      <c r="AU12" s="30">
        <v>0.0</v>
      </c>
      <c r="AY12" s="27"/>
      <c r="AZ12" s="30"/>
      <c r="BA12" s="27"/>
      <c r="BB12" s="30">
        <v>0.0</v>
      </c>
      <c r="BD12" s="11"/>
      <c r="BF12" s="27"/>
      <c r="BG12" s="30"/>
      <c r="BH12" s="27"/>
      <c r="BI12" s="30">
        <v>0.0</v>
      </c>
      <c r="BM12" s="27"/>
      <c r="BN12" s="30"/>
      <c r="BO12" s="27"/>
      <c r="BP12" s="30">
        <v>0.0</v>
      </c>
      <c r="BR12" s="11"/>
      <c r="BT12" s="27"/>
      <c r="BU12" s="30"/>
      <c r="BV12" s="27"/>
      <c r="BW12" s="30">
        <v>0.0</v>
      </c>
      <c r="BY12" s="11"/>
      <c r="CA12" s="27"/>
      <c r="CB12" s="30"/>
      <c r="CC12" s="27"/>
      <c r="CD12" s="30">
        <v>0.5</v>
      </c>
      <c r="CF12" s="11"/>
      <c r="CH12" s="27"/>
      <c r="CI12" s="30"/>
      <c r="CJ12" s="27"/>
      <c r="CK12" s="30">
        <v>0.5</v>
      </c>
      <c r="CM12" s="11"/>
      <c r="CO12" s="27"/>
      <c r="CP12" s="30"/>
      <c r="CQ12" s="27"/>
      <c r="CR12" s="30">
        <v>0.8</v>
      </c>
      <c r="CT12" s="11"/>
      <c r="CV12" s="27"/>
      <c r="CW12" s="30"/>
      <c r="CX12" s="27"/>
      <c r="CY12" s="30">
        <v>1.0</v>
      </c>
      <c r="DA12" s="11"/>
      <c r="DC12" s="27"/>
      <c r="DD12" s="27"/>
      <c r="DE12" s="27"/>
      <c r="DF12" s="27"/>
      <c r="DH12" s="11"/>
      <c r="DJ12" s="27"/>
      <c r="DK12" s="27"/>
      <c r="DL12" s="27"/>
      <c r="DM12" s="27"/>
      <c r="DO12" s="11"/>
      <c r="DQ12" s="27"/>
      <c r="DR12" s="27"/>
      <c r="DS12" s="27"/>
      <c r="DT12" s="27"/>
    </row>
    <row r="13" ht="15.75" customHeight="1">
      <c r="C13" s="8"/>
      <c r="P13" s="1"/>
      <c r="W13" s="1"/>
      <c r="AD13" s="1"/>
      <c r="AK13" s="1"/>
      <c r="AR13" s="1"/>
      <c r="AY13" s="1"/>
      <c r="BD13" s="11"/>
      <c r="BF13" s="1"/>
      <c r="BM13" s="1"/>
      <c r="BR13" s="11"/>
      <c r="BT13" s="1"/>
      <c r="BY13" s="11"/>
      <c r="CA13" s="1"/>
      <c r="CF13" s="11"/>
      <c r="CH13" s="1"/>
      <c r="CM13" s="11"/>
      <c r="CO13" s="1"/>
      <c r="CT13" s="11"/>
      <c r="CV13" s="1"/>
      <c r="DA13" s="11"/>
      <c r="DC13" s="1"/>
      <c r="DH13" s="11"/>
      <c r="DJ13" s="1"/>
      <c r="DO13" s="11"/>
      <c r="DQ13" s="1"/>
    </row>
    <row r="14" ht="15.75" customHeight="1">
      <c r="B14" s="6" t="s">
        <v>26</v>
      </c>
      <c r="C14" s="24" t="s">
        <v>65</v>
      </c>
      <c r="D14" s="25">
        <v>44858.0</v>
      </c>
      <c r="E14" s="32">
        <v>3.0</v>
      </c>
      <c r="G14" s="27">
        <f>+SUM(G15:G20)</f>
        <v>1</v>
      </c>
      <c r="I14" s="28">
        <f>+SUM(I15:I20)</f>
        <v>12.25</v>
      </c>
      <c r="J14" s="29">
        <f>+SUMPRODUCT(G15:G20,J15:J20)</f>
        <v>0.13</v>
      </c>
      <c r="K14" s="29">
        <f>+SUMPRODUCT(G15:G20,K15:K20)</f>
        <v>0.13</v>
      </c>
      <c r="L14" s="26"/>
      <c r="O14" s="35">
        <f>SUM(O15:O20)</f>
        <v>5.5</v>
      </c>
      <c r="V14" s="35">
        <f>SUM(V15:V20)</f>
        <v>3.75</v>
      </c>
      <c r="AC14" s="28">
        <f>SUM(AC15:AC20)</f>
        <v>3</v>
      </c>
      <c r="AJ14" s="28"/>
      <c r="AQ14" s="28"/>
      <c r="AX14" s="28"/>
      <c r="BD14" s="11"/>
      <c r="BE14" s="28"/>
      <c r="BL14" s="28"/>
      <c r="BR14" s="11"/>
      <c r="BS14" s="28"/>
      <c r="BY14" s="11"/>
      <c r="BZ14" s="28"/>
      <c r="CF14" s="11"/>
      <c r="CG14" s="28"/>
      <c r="CM14" s="11"/>
      <c r="CN14" s="28"/>
      <c r="CT14" s="11"/>
      <c r="CU14" s="28"/>
      <c r="DA14" s="11"/>
      <c r="DB14" s="28"/>
      <c r="DH14" s="11"/>
      <c r="DI14" s="28"/>
      <c r="DO14" s="11"/>
      <c r="DP14" s="28"/>
    </row>
    <row r="15" ht="15.75" customHeight="1" outlineLevel="1">
      <c r="B15" s="6" t="s">
        <v>56</v>
      </c>
      <c r="C15" s="24" t="s">
        <v>66</v>
      </c>
      <c r="E15" s="26"/>
      <c r="F15" s="5" t="s">
        <v>67</v>
      </c>
      <c r="G15" s="30">
        <v>0.1</v>
      </c>
      <c r="I15" s="26">
        <f t="shared" ref="I15:I20" si="2">+SUMIF($N$3:$ACM$3,I$3,$N15:$ACM15)</f>
        <v>6.5</v>
      </c>
      <c r="J15" s="29">
        <f t="array" ref="J15">MAX(IF($N$3:$GU$3=$J$3,N15:GU15))</f>
        <v>1</v>
      </c>
      <c r="K15" s="29">
        <f t="array" ref="K15">MAX(IF($N$3:$GU$3=$J$3,N15:GU15))</f>
        <v>1</v>
      </c>
      <c r="L15" s="26"/>
      <c r="O15" s="5">
        <v>5.5</v>
      </c>
      <c r="P15" s="30">
        <v>0.7</v>
      </c>
      <c r="Q15" s="30">
        <v>0.8</v>
      </c>
      <c r="R15" s="30">
        <v>0.8</v>
      </c>
      <c r="S15" s="30">
        <v>0.8</v>
      </c>
      <c r="T15" s="5">
        <v>3.0</v>
      </c>
      <c r="V15" s="5">
        <v>1.0</v>
      </c>
      <c r="W15" s="30">
        <v>0.7</v>
      </c>
      <c r="X15" s="30">
        <v>0.8</v>
      </c>
      <c r="Y15" s="30">
        <v>0.8</v>
      </c>
      <c r="Z15" s="30">
        <v>0.8</v>
      </c>
      <c r="AA15" s="5">
        <v>3.0</v>
      </c>
      <c r="AD15" s="30">
        <v>0.7</v>
      </c>
      <c r="AE15" s="30">
        <v>0.8</v>
      </c>
      <c r="AF15" s="30">
        <v>0.8</v>
      </c>
      <c r="AG15" s="30">
        <v>0.8</v>
      </c>
      <c r="AH15" s="5">
        <v>3.0</v>
      </c>
      <c r="AK15" s="30">
        <v>1.0</v>
      </c>
      <c r="AL15" s="30">
        <v>1.0</v>
      </c>
      <c r="AM15" s="30">
        <v>1.0</v>
      </c>
      <c r="AN15" s="30">
        <v>1.0</v>
      </c>
      <c r="AO15" s="5">
        <v>3.0</v>
      </c>
      <c r="AR15" s="27"/>
      <c r="AS15" s="30"/>
      <c r="AT15" s="27"/>
      <c r="AU15" s="30">
        <v>1.0</v>
      </c>
      <c r="AV15" s="5">
        <v>3.0</v>
      </c>
      <c r="AY15" s="27"/>
      <c r="AZ15" s="30"/>
      <c r="BA15" s="27"/>
      <c r="BB15" s="30">
        <v>1.0</v>
      </c>
      <c r="BC15" s="5">
        <v>0.0</v>
      </c>
      <c r="BD15" s="11"/>
      <c r="BF15" s="27"/>
      <c r="BG15" s="27"/>
      <c r="BH15" s="27"/>
      <c r="BI15" s="27"/>
      <c r="BM15" s="27"/>
      <c r="BN15" s="27"/>
      <c r="BO15" s="27"/>
      <c r="BP15" s="27"/>
      <c r="BR15" s="11"/>
      <c r="BT15" s="27"/>
      <c r="BU15" s="27"/>
      <c r="BV15" s="27"/>
      <c r="BW15" s="27"/>
      <c r="BY15" s="11"/>
      <c r="CA15" s="27"/>
      <c r="CB15" s="27"/>
      <c r="CC15" s="27"/>
      <c r="CD15" s="27"/>
      <c r="CF15" s="11"/>
      <c r="CH15" s="27"/>
      <c r="CI15" s="27"/>
      <c r="CJ15" s="27"/>
      <c r="CK15" s="27"/>
      <c r="CM15" s="11"/>
      <c r="CO15" s="27"/>
      <c r="CP15" s="27"/>
      <c r="CQ15" s="27"/>
      <c r="CR15" s="27"/>
      <c r="CT15" s="11"/>
      <c r="CV15" s="27"/>
      <c r="CW15" s="27"/>
      <c r="CX15" s="27"/>
      <c r="CY15" s="27"/>
      <c r="DA15" s="11"/>
      <c r="DC15" s="27"/>
      <c r="DD15" s="27"/>
      <c r="DE15" s="27"/>
      <c r="DF15" s="27"/>
      <c r="DH15" s="11"/>
      <c r="DJ15" s="27"/>
      <c r="DK15" s="27"/>
      <c r="DL15" s="27"/>
      <c r="DM15" s="27"/>
      <c r="DO15" s="11"/>
      <c r="DQ15" s="27"/>
      <c r="DR15" s="27"/>
      <c r="DS15" s="27"/>
      <c r="DT15" s="27"/>
    </row>
    <row r="16" ht="15.75" customHeight="1" outlineLevel="1">
      <c r="B16" s="6" t="s">
        <v>56</v>
      </c>
      <c r="C16" s="24" t="s">
        <v>66</v>
      </c>
      <c r="E16" s="26"/>
      <c r="F16" s="5" t="s">
        <v>68</v>
      </c>
      <c r="G16" s="30">
        <v>0.1</v>
      </c>
      <c r="I16" s="26">
        <f t="shared" si="2"/>
        <v>2.75</v>
      </c>
      <c r="J16" s="29">
        <f t="array" ref="J16">MAX(IF($N$3:$GU$3=$J$3,N16:GU16))</f>
        <v>0.3</v>
      </c>
      <c r="K16" s="29">
        <f t="array" ref="K16">MAX(IF($N$3:$GU$3=$J$3,N16:GU16))</f>
        <v>0.3</v>
      </c>
      <c r="L16" s="26"/>
      <c r="P16" s="27"/>
      <c r="Q16" s="30">
        <v>0.5</v>
      </c>
      <c r="R16" s="27"/>
      <c r="S16" s="30">
        <v>0.5</v>
      </c>
      <c r="T16" s="5" t="s">
        <v>120</v>
      </c>
      <c r="V16" s="5">
        <v>2.75</v>
      </c>
      <c r="W16" s="30">
        <v>0.3</v>
      </c>
      <c r="X16" s="30">
        <v>0.8</v>
      </c>
      <c r="Y16" s="30">
        <v>0.3</v>
      </c>
      <c r="Z16" s="30">
        <v>0.8</v>
      </c>
      <c r="AD16" s="30">
        <v>0.3</v>
      </c>
      <c r="AE16" s="30">
        <v>0.8</v>
      </c>
      <c r="AF16" s="30">
        <v>0.3</v>
      </c>
      <c r="AG16" s="30">
        <v>0.8</v>
      </c>
      <c r="AK16" s="30">
        <v>0.3</v>
      </c>
      <c r="AL16" s="30">
        <v>0.8</v>
      </c>
      <c r="AM16" s="30">
        <v>0.3</v>
      </c>
      <c r="AN16" s="30">
        <v>0.8</v>
      </c>
      <c r="AR16" s="27"/>
      <c r="AS16" s="30"/>
      <c r="AT16" s="27"/>
      <c r="AU16" s="30">
        <v>1.0</v>
      </c>
      <c r="AY16" s="27"/>
      <c r="AZ16" s="30"/>
      <c r="BA16" s="27"/>
      <c r="BB16" s="30">
        <v>1.0</v>
      </c>
      <c r="BD16" s="11"/>
      <c r="BF16" s="27"/>
      <c r="BG16" s="27"/>
      <c r="BH16" s="27"/>
      <c r="BI16" s="30"/>
      <c r="BM16" s="27"/>
      <c r="BN16" s="27"/>
      <c r="BO16" s="27"/>
      <c r="BP16" s="30"/>
      <c r="BR16" s="11"/>
      <c r="BT16" s="27"/>
      <c r="BU16" s="27"/>
      <c r="BV16" s="27"/>
      <c r="BW16" s="30"/>
      <c r="BY16" s="11"/>
      <c r="CA16" s="27"/>
      <c r="CB16" s="27"/>
      <c r="CC16" s="27"/>
      <c r="CD16" s="30"/>
      <c r="CF16" s="11"/>
      <c r="CH16" s="27"/>
      <c r="CI16" s="27"/>
      <c r="CJ16" s="27"/>
      <c r="CK16" s="30"/>
      <c r="CM16" s="11"/>
      <c r="CO16" s="27"/>
      <c r="CP16" s="27"/>
      <c r="CQ16" s="27"/>
      <c r="CR16" s="30"/>
      <c r="CT16" s="11"/>
      <c r="CV16" s="27"/>
      <c r="CW16" s="27"/>
      <c r="CX16" s="27"/>
      <c r="CY16" s="30"/>
      <c r="DA16" s="11"/>
      <c r="DC16" s="27"/>
      <c r="DD16" s="27"/>
      <c r="DE16" s="27"/>
      <c r="DF16" s="30"/>
      <c r="DH16" s="11"/>
      <c r="DJ16" s="27"/>
      <c r="DK16" s="27"/>
      <c r="DL16" s="27"/>
      <c r="DM16" s="30"/>
      <c r="DO16" s="11"/>
      <c r="DQ16" s="27"/>
      <c r="DR16" s="27"/>
      <c r="DS16" s="27"/>
      <c r="DT16" s="30"/>
    </row>
    <row r="17" ht="15.75" customHeight="1" outlineLevel="1">
      <c r="B17" s="6" t="s">
        <v>56</v>
      </c>
      <c r="C17" s="24" t="s">
        <v>66</v>
      </c>
      <c r="E17" s="26"/>
      <c r="F17" s="5" t="s">
        <v>69</v>
      </c>
      <c r="G17" s="30">
        <v>0.2</v>
      </c>
      <c r="I17" s="26">
        <f t="shared" si="2"/>
        <v>3</v>
      </c>
      <c r="J17" s="29">
        <f t="array" ref="J17">MAX(IF($N$3:$GU$3=$J$3,N17:GU17))</f>
        <v>0</v>
      </c>
      <c r="K17" s="29">
        <f t="array" ref="K17">MAX(IF($N$3:$GU$3=$J$3,N17:GU17))</f>
        <v>0</v>
      </c>
      <c r="L17" s="26"/>
      <c r="P17" s="27"/>
      <c r="Q17" s="27"/>
      <c r="R17" s="27"/>
      <c r="S17" s="30">
        <v>0.0</v>
      </c>
      <c r="W17" s="27"/>
      <c r="X17" s="30">
        <v>0.5</v>
      </c>
      <c r="Y17" s="27"/>
      <c r="Z17" s="30">
        <v>0.5</v>
      </c>
      <c r="AC17" s="5">
        <v>3.0</v>
      </c>
      <c r="AD17" s="27"/>
      <c r="AE17" s="30">
        <v>0.5</v>
      </c>
      <c r="AF17" s="27"/>
      <c r="AG17" s="30">
        <v>0.5</v>
      </c>
      <c r="AK17" s="27"/>
      <c r="AL17" s="30">
        <v>0.8</v>
      </c>
      <c r="AM17" s="27"/>
      <c r="AN17" s="30">
        <v>0.8</v>
      </c>
      <c r="AR17" s="27"/>
      <c r="AS17" s="30"/>
      <c r="AT17" s="27"/>
      <c r="AU17" s="30">
        <v>1.0</v>
      </c>
      <c r="AY17" s="27"/>
      <c r="AZ17" s="30"/>
      <c r="BA17" s="27"/>
      <c r="BB17" s="30">
        <v>1.0</v>
      </c>
      <c r="BD17" s="11"/>
      <c r="BF17" s="36" t="s">
        <v>71</v>
      </c>
      <c r="BJ17" s="32"/>
      <c r="BM17" s="32" t="s">
        <v>119</v>
      </c>
      <c r="BR17" s="11"/>
      <c r="BT17" s="27"/>
      <c r="BU17" s="27"/>
      <c r="BV17" s="27"/>
      <c r="BW17" s="27"/>
      <c r="BY17" s="11"/>
      <c r="CA17" s="27"/>
      <c r="CB17" s="27"/>
      <c r="CC17" s="27"/>
      <c r="CD17" s="27"/>
      <c r="CF17" s="11"/>
      <c r="CH17" s="27"/>
      <c r="CI17" s="27"/>
      <c r="CJ17" s="27"/>
      <c r="CK17" s="27"/>
      <c r="CM17" s="11"/>
      <c r="CO17" s="27"/>
      <c r="CP17" s="27"/>
      <c r="CQ17" s="27"/>
      <c r="CR17" s="27"/>
      <c r="CT17" s="11"/>
      <c r="CV17" s="27"/>
      <c r="CW17" s="27"/>
      <c r="CX17" s="27"/>
      <c r="CY17" s="27"/>
      <c r="DA17" s="11"/>
      <c r="DC17" s="27"/>
      <c r="DD17" s="27"/>
      <c r="DE17" s="27"/>
      <c r="DF17" s="27"/>
      <c r="DH17" s="11"/>
      <c r="DJ17" s="27"/>
      <c r="DK17" s="27"/>
      <c r="DL17" s="27"/>
      <c r="DM17" s="27"/>
      <c r="DO17" s="11"/>
      <c r="DQ17" s="27"/>
      <c r="DR17" s="27"/>
      <c r="DS17" s="27"/>
      <c r="DT17" s="27"/>
    </row>
    <row r="18" ht="15.75" customHeight="1" outlineLevel="1">
      <c r="B18" s="6" t="s">
        <v>56</v>
      </c>
      <c r="C18" s="24" t="s">
        <v>66</v>
      </c>
      <c r="E18" s="26"/>
      <c r="F18" s="5" t="s">
        <v>70</v>
      </c>
      <c r="G18" s="30">
        <v>0.2</v>
      </c>
      <c r="I18" s="26">
        <f t="shared" si="2"/>
        <v>0</v>
      </c>
      <c r="J18" s="29">
        <f t="array" ref="J18">MAX(IF($N$3:$GU$3=$J$3,N18:GU18))</f>
        <v>0</v>
      </c>
      <c r="K18" s="29">
        <f t="array" ref="K18">MAX(IF($N$3:$GU$3=$J$3,N18:GU18))</f>
        <v>0</v>
      </c>
      <c r="L18" s="26"/>
      <c r="P18" s="27"/>
      <c r="Q18" s="30"/>
      <c r="R18" s="27"/>
      <c r="S18" s="30">
        <v>0.0</v>
      </c>
      <c r="W18" s="27"/>
      <c r="X18" s="30">
        <v>0.0</v>
      </c>
      <c r="Y18" s="27"/>
      <c r="Z18" s="30">
        <v>0.0</v>
      </c>
      <c r="AD18" s="27"/>
      <c r="AE18" s="30">
        <v>0.0</v>
      </c>
      <c r="AF18" s="27"/>
      <c r="AG18" s="30">
        <v>0.0</v>
      </c>
      <c r="AK18" s="27"/>
      <c r="AL18" s="30">
        <v>0.8</v>
      </c>
      <c r="AM18" s="27"/>
      <c r="AN18" s="30">
        <v>0.8</v>
      </c>
      <c r="AR18" s="27"/>
      <c r="AS18" s="30"/>
      <c r="AT18" s="27"/>
      <c r="AU18" s="30">
        <v>0.8</v>
      </c>
      <c r="AY18" s="27"/>
      <c r="AZ18" s="30"/>
      <c r="BA18" s="27"/>
      <c r="BB18" s="30">
        <v>1.0</v>
      </c>
      <c r="BD18" s="11"/>
      <c r="BF18" s="27"/>
      <c r="BG18" s="30"/>
      <c r="BH18" s="33"/>
      <c r="BI18" s="27"/>
      <c r="BM18" s="27"/>
      <c r="BN18" s="30"/>
      <c r="BO18" s="33"/>
      <c r="BP18" s="27"/>
      <c r="BR18" s="11"/>
      <c r="BT18" s="27"/>
      <c r="BU18" s="30"/>
      <c r="BV18" s="27"/>
      <c r="BW18" s="27"/>
      <c r="BY18" s="11"/>
      <c r="CA18" s="27"/>
      <c r="CB18" s="30"/>
      <c r="CC18" s="27"/>
      <c r="CD18" s="27"/>
      <c r="CF18" s="11"/>
      <c r="CH18" s="27"/>
      <c r="CI18" s="30"/>
      <c r="CJ18" s="27"/>
      <c r="CK18" s="27"/>
      <c r="CM18" s="11"/>
      <c r="CO18" s="27"/>
      <c r="CP18" s="30"/>
      <c r="CQ18" s="27"/>
      <c r="CR18" s="27"/>
      <c r="CT18" s="11"/>
      <c r="CV18" s="27"/>
      <c r="CW18" s="30"/>
      <c r="CX18" s="27"/>
      <c r="CY18" s="27"/>
      <c r="DA18" s="11"/>
      <c r="DC18" s="27"/>
      <c r="DD18" s="30"/>
      <c r="DE18" s="27"/>
      <c r="DF18" s="27"/>
      <c r="DH18" s="11"/>
      <c r="DJ18" s="27"/>
      <c r="DK18" s="30"/>
      <c r="DL18" s="27"/>
      <c r="DM18" s="27"/>
      <c r="DO18" s="11"/>
      <c r="DQ18" s="27"/>
      <c r="DR18" s="30"/>
      <c r="DS18" s="27"/>
      <c r="DT18" s="27"/>
    </row>
    <row r="19" ht="15.75" customHeight="1" outlineLevel="1">
      <c r="B19" s="6" t="s">
        <v>56</v>
      </c>
      <c r="C19" s="24" t="s">
        <v>66</v>
      </c>
      <c r="E19" s="26"/>
      <c r="F19" s="5" t="s">
        <v>73</v>
      </c>
      <c r="G19" s="30">
        <v>0.2</v>
      </c>
      <c r="I19" s="26">
        <f t="shared" si="2"/>
        <v>0</v>
      </c>
      <c r="J19" s="29">
        <f t="array" ref="J19">MAX(IF($N$3:$GU$3=$J$3,N19:GU19))</f>
        <v>0</v>
      </c>
      <c r="K19" s="29">
        <f t="array" ref="K19">MAX(IF($N$3:$GU$3=$J$3,N19:GU19))</f>
        <v>0</v>
      </c>
      <c r="L19" s="26"/>
      <c r="P19" s="27"/>
      <c r="Q19" s="27"/>
      <c r="R19" s="27"/>
      <c r="S19" s="30">
        <v>0.0</v>
      </c>
      <c r="W19" s="27"/>
      <c r="X19" s="30">
        <v>0.0</v>
      </c>
      <c r="Y19" s="27"/>
      <c r="Z19" s="30">
        <v>0.0</v>
      </c>
      <c r="AD19" s="27"/>
      <c r="AE19" s="30">
        <v>0.0</v>
      </c>
      <c r="AF19" s="27"/>
      <c r="AG19" s="30">
        <v>0.0</v>
      </c>
      <c r="AK19" s="27"/>
      <c r="AL19" s="30">
        <v>0.0</v>
      </c>
      <c r="AM19" s="27"/>
      <c r="AN19" s="30">
        <v>0.0</v>
      </c>
      <c r="AR19" s="27"/>
      <c r="AS19" s="30"/>
      <c r="AT19" s="27"/>
      <c r="AU19" s="30">
        <v>0.8</v>
      </c>
      <c r="AY19" s="27"/>
      <c r="AZ19" s="30"/>
      <c r="BA19" s="27"/>
      <c r="BB19" s="30">
        <v>1.0</v>
      </c>
      <c r="BD19" s="11"/>
      <c r="BF19" s="27"/>
      <c r="BG19" s="27"/>
      <c r="BH19" s="27"/>
      <c r="BI19" s="27"/>
      <c r="BM19" s="27"/>
      <c r="BN19" s="27"/>
      <c r="BO19" s="27"/>
      <c r="BP19" s="27"/>
      <c r="BR19" s="11"/>
      <c r="BT19" s="27"/>
      <c r="BU19" s="27"/>
      <c r="BV19" s="27"/>
      <c r="BW19" s="27"/>
      <c r="BY19" s="11"/>
      <c r="CA19" s="27"/>
      <c r="CB19" s="27"/>
      <c r="CC19" s="27"/>
      <c r="CD19" s="27"/>
      <c r="CF19" s="11"/>
      <c r="CH19" s="27"/>
      <c r="CI19" s="27"/>
      <c r="CJ19" s="27"/>
      <c r="CK19" s="27"/>
      <c r="CM19" s="11"/>
      <c r="CO19" s="27"/>
      <c r="CP19" s="27"/>
      <c r="CQ19" s="27"/>
      <c r="CR19" s="27"/>
      <c r="CT19" s="11"/>
      <c r="CV19" s="27"/>
      <c r="CW19" s="27"/>
      <c r="CX19" s="27"/>
      <c r="CY19" s="27"/>
      <c r="DA19" s="11"/>
      <c r="DC19" s="27"/>
      <c r="DD19" s="27"/>
      <c r="DE19" s="27"/>
      <c r="DF19" s="27"/>
      <c r="DH19" s="11"/>
      <c r="DJ19" s="27"/>
      <c r="DK19" s="27"/>
      <c r="DL19" s="27"/>
      <c r="DM19" s="27"/>
      <c r="DO19" s="11"/>
      <c r="DQ19" s="27"/>
      <c r="DR19" s="27"/>
      <c r="DS19" s="27"/>
      <c r="DT19" s="27"/>
    </row>
    <row r="20" ht="15.75" customHeight="1" outlineLevel="1">
      <c r="B20" s="6" t="s">
        <v>56</v>
      </c>
      <c r="C20" s="24" t="s">
        <v>66</v>
      </c>
      <c r="E20" s="26"/>
      <c r="F20" s="5" t="s">
        <v>74</v>
      </c>
      <c r="G20" s="30">
        <v>0.2</v>
      </c>
      <c r="I20" s="26">
        <f t="shared" si="2"/>
        <v>0</v>
      </c>
      <c r="J20" s="29">
        <f t="array" ref="J20">MAX(IF($N$3:$GU$3=$J$3,N20:GU20))</f>
        <v>0</v>
      </c>
      <c r="K20" s="29">
        <f t="array" ref="K20">MAX(IF($N$3:$GU$3=$J$3,N20:GU20))</f>
        <v>0</v>
      </c>
      <c r="L20" s="26"/>
      <c r="P20" s="27"/>
      <c r="Q20" s="27"/>
      <c r="R20" s="27"/>
      <c r="S20" s="30">
        <v>0.0</v>
      </c>
      <c r="W20" s="27"/>
      <c r="X20" s="30">
        <v>0.0</v>
      </c>
      <c r="Y20" s="27"/>
      <c r="Z20" s="30">
        <v>0.0</v>
      </c>
      <c r="AD20" s="27"/>
      <c r="AE20" s="30">
        <v>0.0</v>
      </c>
      <c r="AF20" s="27"/>
      <c r="AG20" s="30">
        <v>0.0</v>
      </c>
      <c r="AK20" s="27"/>
      <c r="AL20" s="30">
        <v>0.0</v>
      </c>
      <c r="AM20" s="27"/>
      <c r="AN20" s="30">
        <v>0.0</v>
      </c>
      <c r="AR20" s="27"/>
      <c r="AS20" s="30"/>
      <c r="AT20" s="27"/>
      <c r="AU20" s="30">
        <v>0.8</v>
      </c>
      <c r="AY20" s="27"/>
      <c r="AZ20" s="30"/>
      <c r="BA20" s="27"/>
      <c r="BB20" s="30">
        <v>1.0</v>
      </c>
      <c r="BD20" s="11"/>
      <c r="BF20" s="27"/>
      <c r="BG20" s="27"/>
      <c r="BH20" s="27"/>
      <c r="BI20" s="27"/>
      <c r="BM20" s="27"/>
      <c r="BN20" s="27"/>
      <c r="BO20" s="27"/>
      <c r="BP20" s="27"/>
      <c r="BR20" s="11"/>
      <c r="BT20" s="27"/>
      <c r="BU20" s="27"/>
      <c r="BV20" s="27"/>
      <c r="BW20" s="27"/>
      <c r="BY20" s="11"/>
      <c r="CA20" s="27"/>
      <c r="CB20" s="27"/>
      <c r="CC20" s="27"/>
      <c r="CD20" s="27"/>
      <c r="CF20" s="11"/>
      <c r="CH20" s="27"/>
      <c r="CI20" s="27"/>
      <c r="CJ20" s="27"/>
      <c r="CK20" s="27"/>
      <c r="CM20" s="11"/>
      <c r="CO20" s="27"/>
      <c r="CP20" s="27"/>
      <c r="CQ20" s="27"/>
      <c r="CR20" s="27"/>
      <c r="CT20" s="11"/>
      <c r="CV20" s="27"/>
      <c r="CW20" s="27"/>
      <c r="CX20" s="27"/>
      <c r="CY20" s="27"/>
      <c r="DA20" s="11"/>
      <c r="DC20" s="27"/>
      <c r="DD20" s="27"/>
      <c r="DE20" s="27"/>
      <c r="DF20" s="27"/>
      <c r="DH20" s="11"/>
      <c r="DJ20" s="27"/>
      <c r="DK20" s="27"/>
      <c r="DL20" s="27"/>
      <c r="DM20" s="27"/>
      <c r="DO20" s="11"/>
      <c r="DQ20" s="27"/>
      <c r="DR20" s="27"/>
      <c r="DS20" s="27"/>
      <c r="DT20" s="27"/>
    </row>
    <row r="21" ht="15.75" customHeight="1">
      <c r="C21" s="8"/>
      <c r="BD21" s="11"/>
      <c r="BR21" s="11"/>
      <c r="BY21" s="11"/>
      <c r="CF21" s="11"/>
      <c r="CM21" s="11"/>
      <c r="CT21" s="11"/>
      <c r="DA21" s="11"/>
      <c r="DH21" s="11"/>
      <c r="DO21" s="11"/>
    </row>
    <row r="22" ht="15.75" customHeight="1">
      <c r="B22" s="6" t="s">
        <v>26</v>
      </c>
      <c r="C22" s="24" t="s">
        <v>75</v>
      </c>
      <c r="D22" s="25">
        <v>44862.0</v>
      </c>
      <c r="E22" s="32">
        <v>3.0</v>
      </c>
      <c r="G22" s="27">
        <f>+SUM(G23:G27)</f>
        <v>0.55</v>
      </c>
      <c r="I22" s="28">
        <f>+SUM(I23:I27)</f>
        <v>12.5</v>
      </c>
      <c r="J22" s="29">
        <f>+SUMPRODUCT(G23:G27,J23:J27)</f>
        <v>0.3</v>
      </c>
      <c r="K22" s="29">
        <f>+SUMPRODUCT(G23:G27,K23:K27)</f>
        <v>0.3</v>
      </c>
      <c r="L22" s="26"/>
      <c r="O22" s="28">
        <f>SUM(O23:O27)</f>
        <v>10</v>
      </c>
      <c r="V22" s="35">
        <f>SUM(V23:V27)</f>
        <v>2.5</v>
      </c>
      <c r="AC22" s="28"/>
      <c r="AJ22" s="28"/>
      <c r="AQ22" s="28"/>
      <c r="AX22" s="28"/>
      <c r="BD22" s="11"/>
      <c r="BE22" s="28"/>
      <c r="BL22" s="28"/>
      <c r="BR22" s="11"/>
      <c r="BS22" s="28"/>
      <c r="BY22" s="11"/>
      <c r="BZ22" s="28"/>
      <c r="CF22" s="11"/>
      <c r="CG22" s="28"/>
      <c r="CM22" s="11"/>
      <c r="CN22" s="28"/>
      <c r="CT22" s="11"/>
      <c r="CU22" s="28"/>
      <c r="DA22" s="11"/>
      <c r="DB22" s="28">
        <f>SUM(DB23:DB27)</f>
        <v>0</v>
      </c>
      <c r="DH22" s="11"/>
      <c r="DI22" s="28">
        <f>SUM(DI23:DI27)</f>
        <v>0</v>
      </c>
      <c r="DO22" s="11"/>
      <c r="DP22" s="28"/>
    </row>
    <row r="23" ht="15.75" customHeight="1" outlineLevel="1">
      <c r="B23" s="6" t="s">
        <v>56</v>
      </c>
      <c r="C23" s="24" t="s">
        <v>76</v>
      </c>
      <c r="E23" s="26"/>
      <c r="F23" s="5" t="s">
        <v>121</v>
      </c>
      <c r="G23" s="27">
        <v>0.1</v>
      </c>
      <c r="I23" s="26">
        <f t="shared" ref="I23:I27" si="3">+SUMIF($N$3:$ACM$3,I$3,$N23:$ACM23)</f>
        <v>5.5</v>
      </c>
      <c r="J23" s="29">
        <f t="array" ref="J23">MAX(IF($N$3:$GU$3=$J$3,N23:GU23))</f>
        <v>0.8</v>
      </c>
      <c r="K23" s="29">
        <f t="array" ref="K23">MAX(IF($N$3:$GU$3=$J$3,N23:GU23))</f>
        <v>0.8</v>
      </c>
      <c r="L23" s="26"/>
      <c r="O23" s="5">
        <v>5.0</v>
      </c>
      <c r="P23" s="30">
        <v>0.8</v>
      </c>
      <c r="Q23" s="30">
        <v>0.8</v>
      </c>
      <c r="R23" s="27"/>
      <c r="S23" s="30"/>
      <c r="T23" s="5">
        <v>2.0</v>
      </c>
      <c r="V23" s="5">
        <v>0.5</v>
      </c>
      <c r="W23" s="30">
        <v>0.8</v>
      </c>
      <c r="X23" s="30">
        <v>0.8</v>
      </c>
      <c r="Y23" s="27"/>
      <c r="Z23" s="30"/>
      <c r="AA23" s="5">
        <v>2.0</v>
      </c>
      <c r="AD23" s="30">
        <v>0.8</v>
      </c>
      <c r="AE23" s="30">
        <v>0.8</v>
      </c>
      <c r="AF23" s="30"/>
      <c r="AG23" s="30"/>
      <c r="AH23" s="5">
        <v>2.0</v>
      </c>
      <c r="AK23" s="30">
        <v>0.8</v>
      </c>
      <c r="AL23" s="30">
        <v>1.0</v>
      </c>
      <c r="AM23" s="27"/>
      <c r="AN23" s="30"/>
      <c r="AO23" s="5">
        <v>2.0</v>
      </c>
      <c r="AR23" s="27"/>
      <c r="AS23" s="30"/>
      <c r="AT23" s="27"/>
      <c r="AU23" s="30">
        <v>1.0</v>
      </c>
      <c r="AV23" s="5">
        <v>2.0</v>
      </c>
      <c r="AY23" s="27"/>
      <c r="AZ23" s="30"/>
      <c r="BA23" s="27"/>
      <c r="BB23" s="30">
        <v>1.0</v>
      </c>
      <c r="BC23" s="5">
        <v>0.0</v>
      </c>
      <c r="BD23" s="11"/>
      <c r="BF23" s="27"/>
      <c r="BG23" s="30"/>
      <c r="BH23" s="27"/>
      <c r="BI23" s="30"/>
      <c r="BM23" s="27"/>
      <c r="BN23" s="30"/>
      <c r="BO23" s="27"/>
      <c r="BP23" s="30"/>
      <c r="BR23" s="11"/>
      <c r="BT23" s="27"/>
      <c r="BU23" s="30"/>
      <c r="BV23" s="27"/>
      <c r="BW23" s="30"/>
      <c r="BY23" s="11"/>
      <c r="CA23" s="27"/>
      <c r="CB23" s="30"/>
      <c r="CC23" s="27"/>
      <c r="CD23" s="30"/>
      <c r="CF23" s="11"/>
      <c r="CH23" s="27"/>
      <c r="CI23" s="30"/>
      <c r="CJ23" s="27"/>
      <c r="CK23" s="30"/>
      <c r="CM23" s="11"/>
      <c r="CO23" s="27"/>
      <c r="CP23" s="30"/>
      <c r="CQ23" s="27"/>
      <c r="CR23" s="30"/>
      <c r="CT23" s="11"/>
      <c r="CV23" s="27"/>
      <c r="CW23" s="30"/>
      <c r="CX23" s="27"/>
      <c r="CY23" s="30"/>
      <c r="DA23" s="11"/>
      <c r="DC23" s="27"/>
      <c r="DD23" s="27"/>
      <c r="DE23" s="27"/>
      <c r="DF23" s="27"/>
      <c r="DH23" s="11"/>
      <c r="DJ23" s="27"/>
      <c r="DK23" s="27"/>
      <c r="DL23" s="27"/>
      <c r="DM23" s="27"/>
      <c r="DO23" s="11"/>
      <c r="DQ23" s="27"/>
      <c r="DR23" s="27"/>
      <c r="DS23" s="27"/>
      <c r="DT23" s="27"/>
    </row>
    <row r="24" ht="15.75" customHeight="1" outlineLevel="1">
      <c r="B24" s="6" t="s">
        <v>56</v>
      </c>
      <c r="C24" s="24" t="s">
        <v>76</v>
      </c>
      <c r="E24" s="26"/>
      <c r="F24" s="5" t="s">
        <v>122</v>
      </c>
      <c r="G24" s="30">
        <v>0.1</v>
      </c>
      <c r="I24" s="26">
        <f t="shared" si="3"/>
        <v>2</v>
      </c>
      <c r="J24" s="29">
        <f t="array" ref="J24">MAX(IF($N$3:$GU$3=$J$3,N24:GU24))</f>
        <v>0.6</v>
      </c>
      <c r="K24" s="29">
        <f t="array" ref="K24">MAX(IF($N$3:$GU$3=$J$3,N24:GU24))</f>
        <v>0.6</v>
      </c>
      <c r="L24" s="26"/>
      <c r="O24" s="5">
        <v>2.0</v>
      </c>
      <c r="P24" s="30">
        <v>0.6</v>
      </c>
      <c r="Q24" s="30">
        <v>0.8</v>
      </c>
      <c r="R24" s="27"/>
      <c r="S24" s="30"/>
      <c r="W24" s="30">
        <v>0.6</v>
      </c>
      <c r="X24" s="30">
        <v>0.8</v>
      </c>
      <c r="Y24" s="27"/>
      <c r="Z24" s="30"/>
      <c r="AD24" s="30">
        <v>0.6</v>
      </c>
      <c r="AE24" s="30">
        <v>0.8</v>
      </c>
      <c r="AF24" s="30"/>
      <c r="AG24" s="30"/>
      <c r="AK24" s="30">
        <v>0.6</v>
      </c>
      <c r="AL24" s="30">
        <v>1.0</v>
      </c>
      <c r="AM24" s="27"/>
      <c r="AN24" s="30"/>
      <c r="AR24" s="27"/>
      <c r="AS24" s="30"/>
      <c r="AT24" s="27"/>
      <c r="AU24" s="30">
        <v>1.0</v>
      </c>
      <c r="AY24" s="27"/>
      <c r="AZ24" s="30"/>
      <c r="BA24" s="27"/>
      <c r="BB24" s="30">
        <v>1.0</v>
      </c>
      <c r="BD24" s="11"/>
      <c r="BF24" s="27"/>
      <c r="BG24" s="30"/>
      <c r="BH24" s="27"/>
      <c r="BI24" s="30"/>
      <c r="BM24" s="27"/>
      <c r="BN24" s="30"/>
      <c r="BO24" s="27"/>
      <c r="BP24" s="30"/>
      <c r="BR24" s="11"/>
      <c r="BT24" s="27"/>
      <c r="BU24" s="30"/>
      <c r="BV24" s="27"/>
      <c r="BW24" s="30"/>
      <c r="BY24" s="11"/>
      <c r="CA24" s="27"/>
      <c r="CB24" s="30"/>
      <c r="CC24" s="27"/>
      <c r="CD24" s="30"/>
      <c r="CF24" s="11"/>
      <c r="CH24" s="27"/>
      <c r="CI24" s="30"/>
      <c r="CJ24" s="27"/>
      <c r="CK24" s="30"/>
      <c r="CM24" s="11"/>
      <c r="CO24" s="27"/>
      <c r="CP24" s="30"/>
      <c r="CQ24" s="27"/>
      <c r="CR24" s="30"/>
      <c r="CT24" s="11"/>
      <c r="CV24" s="27"/>
      <c r="CW24" s="30"/>
      <c r="CX24" s="27"/>
      <c r="CY24" s="30"/>
      <c r="DA24" s="11"/>
      <c r="DC24" s="27"/>
      <c r="DD24" s="27"/>
      <c r="DE24" s="27"/>
      <c r="DF24" s="27"/>
      <c r="DH24" s="11"/>
      <c r="DJ24" s="27"/>
      <c r="DK24" s="27"/>
      <c r="DL24" s="27"/>
      <c r="DM24" s="27"/>
      <c r="DO24" s="11"/>
      <c r="DQ24" s="27"/>
      <c r="DR24" s="27"/>
      <c r="DS24" s="27"/>
      <c r="DT24" s="27"/>
    </row>
    <row r="25" ht="15.75" customHeight="1" outlineLevel="1">
      <c r="B25" s="6" t="s">
        <v>56</v>
      </c>
      <c r="C25" s="24" t="s">
        <v>76</v>
      </c>
      <c r="E25" s="26"/>
      <c r="F25" s="5" t="s">
        <v>123</v>
      </c>
      <c r="G25" s="30">
        <v>0.1</v>
      </c>
      <c r="I25" s="26">
        <f t="shared" si="3"/>
        <v>5</v>
      </c>
      <c r="J25" s="29">
        <f t="array" ref="J25">MAX(IF($N$3:$GU$3=$J$3,N25:GU25))</f>
        <v>0.8</v>
      </c>
      <c r="K25" s="29">
        <f t="array" ref="K25">MAX(IF($N$3:$GU$3=$J$3,N25:GU25))</f>
        <v>0.8</v>
      </c>
      <c r="L25" s="26"/>
      <c r="O25" s="5">
        <v>3.0</v>
      </c>
      <c r="P25" s="30">
        <v>0.3</v>
      </c>
      <c r="Q25" s="30">
        <v>0.5</v>
      </c>
      <c r="R25" s="27"/>
      <c r="S25" s="30"/>
      <c r="V25" s="5">
        <v>2.0</v>
      </c>
      <c r="W25" s="30">
        <v>0.5</v>
      </c>
      <c r="X25" s="30">
        <v>0.8</v>
      </c>
      <c r="Y25" s="27"/>
      <c r="Z25" s="30"/>
      <c r="AD25" s="30">
        <v>0.8</v>
      </c>
      <c r="AE25" s="30">
        <v>0.8</v>
      </c>
      <c r="AF25" s="30"/>
      <c r="AG25" s="30"/>
      <c r="AK25" s="30">
        <v>0.3</v>
      </c>
      <c r="AL25" s="30">
        <v>0.8</v>
      </c>
      <c r="AM25" s="27"/>
      <c r="AN25" s="30"/>
      <c r="AR25" s="27"/>
      <c r="AS25" s="30"/>
      <c r="AT25" s="27"/>
      <c r="AU25" s="30">
        <v>1.0</v>
      </c>
      <c r="AY25" s="27"/>
      <c r="AZ25" s="30"/>
      <c r="BA25" s="27"/>
      <c r="BB25" s="30">
        <v>1.0</v>
      </c>
      <c r="BD25" s="11"/>
      <c r="BF25" s="32" t="s">
        <v>124</v>
      </c>
      <c r="BM25" s="32" t="s">
        <v>119</v>
      </c>
      <c r="BR25" s="11"/>
      <c r="BT25" s="27"/>
      <c r="BU25" s="30"/>
      <c r="BV25" s="27"/>
      <c r="BW25" s="30"/>
      <c r="BY25" s="11"/>
      <c r="CA25" s="27"/>
      <c r="CB25" s="30"/>
      <c r="CC25" s="27"/>
      <c r="CD25" s="30"/>
      <c r="CF25" s="11"/>
      <c r="CH25" s="27"/>
      <c r="CI25" s="30"/>
      <c r="CJ25" s="27"/>
      <c r="CK25" s="30"/>
      <c r="CM25" s="11"/>
      <c r="CO25" s="27"/>
      <c r="CP25" s="30"/>
      <c r="CQ25" s="27"/>
      <c r="CR25" s="30"/>
      <c r="CT25" s="11"/>
      <c r="CV25" s="27"/>
      <c r="CW25" s="30"/>
      <c r="CX25" s="27"/>
      <c r="CY25" s="30"/>
      <c r="DA25" s="11"/>
      <c r="DC25" s="32" t="s">
        <v>71</v>
      </c>
      <c r="DH25" s="11"/>
      <c r="DJ25" s="32" t="s">
        <v>71</v>
      </c>
      <c r="DO25" s="11"/>
      <c r="DQ25" s="32" t="s">
        <v>119</v>
      </c>
    </row>
    <row r="26" ht="15.75" customHeight="1" outlineLevel="1">
      <c r="B26" s="6" t="s">
        <v>56</v>
      </c>
      <c r="C26" s="24" t="s">
        <v>76</v>
      </c>
      <c r="E26" s="26"/>
      <c r="F26" s="5" t="s">
        <v>125</v>
      </c>
      <c r="G26" s="30">
        <v>0.1</v>
      </c>
      <c r="I26" s="26">
        <f t="shared" si="3"/>
        <v>0</v>
      </c>
      <c r="J26" s="29">
        <f t="array" ref="J26">MAX(IF($N$3:$GU$3=$J$3,N26:GU26))</f>
        <v>0.8</v>
      </c>
      <c r="K26" s="29">
        <f t="array" ref="K26">MAX(IF($N$3:$GU$3=$J$3,N26:GU26))</f>
        <v>0.8</v>
      </c>
      <c r="L26" s="26"/>
      <c r="P26" s="30">
        <v>0.1</v>
      </c>
      <c r="Q26" s="30">
        <v>0.0</v>
      </c>
      <c r="R26" s="27"/>
      <c r="S26" s="30"/>
      <c r="W26" s="30">
        <v>0.1</v>
      </c>
      <c r="X26" s="30">
        <v>0.5</v>
      </c>
      <c r="Y26" s="27"/>
      <c r="Z26" s="30"/>
      <c r="AD26" s="30">
        <v>0.3</v>
      </c>
      <c r="AE26" s="30">
        <v>0.8</v>
      </c>
      <c r="AF26" s="30"/>
      <c r="AG26" s="30"/>
      <c r="AK26" s="30">
        <v>0.8</v>
      </c>
      <c r="AL26" s="30">
        <v>0.8</v>
      </c>
      <c r="AM26" s="27"/>
      <c r="AN26" s="30"/>
      <c r="AR26" s="27"/>
      <c r="AS26" s="30"/>
      <c r="AT26" s="27"/>
      <c r="AU26" s="30">
        <v>0.8</v>
      </c>
      <c r="AY26" s="27"/>
      <c r="AZ26" s="30"/>
      <c r="BA26" s="27"/>
      <c r="BB26" s="30">
        <v>1.0</v>
      </c>
      <c r="BD26" s="11"/>
      <c r="BF26" s="27"/>
      <c r="BG26" s="30"/>
      <c r="BH26" s="27"/>
      <c r="BI26" s="30"/>
      <c r="BM26" s="27"/>
      <c r="BN26" s="30"/>
      <c r="BO26" s="27"/>
      <c r="BP26" s="30"/>
      <c r="BR26" s="11"/>
      <c r="BT26" s="27"/>
      <c r="BU26" s="30"/>
      <c r="BV26" s="27"/>
      <c r="BW26" s="30"/>
      <c r="BY26" s="11"/>
      <c r="CA26" s="27"/>
      <c r="CB26" s="30"/>
      <c r="CC26" s="27"/>
      <c r="CD26" s="30"/>
      <c r="CF26" s="11"/>
      <c r="CH26" s="27"/>
      <c r="CI26" s="30"/>
      <c r="CJ26" s="27"/>
      <c r="CK26" s="30"/>
      <c r="CM26" s="11"/>
      <c r="CO26" s="27"/>
      <c r="CP26" s="30"/>
      <c r="CQ26" s="27"/>
      <c r="CR26" s="30"/>
      <c r="CT26" s="11"/>
      <c r="CV26" s="27"/>
      <c r="CW26" s="30"/>
      <c r="CX26" s="27"/>
      <c r="CY26" s="30"/>
      <c r="DA26" s="11"/>
      <c r="DC26" s="27"/>
      <c r="DD26" s="27"/>
      <c r="DE26" s="27"/>
      <c r="DF26" s="27"/>
      <c r="DH26" s="11"/>
      <c r="DJ26" s="27"/>
      <c r="DK26" s="27"/>
      <c r="DL26" s="27"/>
      <c r="DM26" s="27"/>
      <c r="DO26" s="11"/>
      <c r="DQ26" s="27"/>
      <c r="DR26" s="27"/>
      <c r="DS26" s="27"/>
      <c r="DT26" s="27"/>
    </row>
    <row r="27" ht="15.75" customHeight="1" outlineLevel="1">
      <c r="B27" s="6" t="s">
        <v>56</v>
      </c>
      <c r="C27" s="24" t="s">
        <v>76</v>
      </c>
      <c r="E27" s="26"/>
      <c r="F27" s="5" t="s">
        <v>126</v>
      </c>
      <c r="G27" s="30">
        <v>0.15</v>
      </c>
      <c r="I27" s="26">
        <f t="shared" si="3"/>
        <v>0</v>
      </c>
      <c r="J27" s="29">
        <f t="array" ref="J27">MAX(IF($N$3:$GU$3=$J$3,N27:GU27))</f>
        <v>0</v>
      </c>
      <c r="K27" s="29">
        <f t="array" ref="K27">MAX(IF($N$3:$GU$3=$J$3,N27:GU27))</f>
        <v>0</v>
      </c>
      <c r="L27" s="26"/>
      <c r="P27" s="27"/>
      <c r="Q27" s="30">
        <v>0.0</v>
      </c>
      <c r="R27" s="27"/>
      <c r="S27" s="30"/>
      <c r="W27" s="27"/>
      <c r="X27" s="30">
        <v>0.0</v>
      </c>
      <c r="Y27" s="27"/>
      <c r="Z27" s="30"/>
      <c r="AD27" s="27"/>
      <c r="AE27" s="30">
        <v>0.5</v>
      </c>
      <c r="AF27" s="27"/>
      <c r="AG27" s="30"/>
      <c r="AK27" s="27"/>
      <c r="AL27" s="30">
        <v>0.5</v>
      </c>
      <c r="AM27" s="27"/>
      <c r="AN27" s="30"/>
      <c r="AR27" s="27"/>
      <c r="AS27" s="30"/>
      <c r="AT27" s="27"/>
      <c r="AU27" s="30">
        <v>0.8</v>
      </c>
      <c r="AY27" s="27"/>
      <c r="AZ27" s="30"/>
      <c r="BA27" s="27"/>
      <c r="BB27" s="30">
        <v>1.0</v>
      </c>
      <c r="BD27" s="11"/>
      <c r="BF27" s="27"/>
      <c r="BG27" s="30"/>
      <c r="BH27" s="27"/>
      <c r="BI27" s="30"/>
      <c r="BM27" s="27"/>
      <c r="BN27" s="30"/>
      <c r="BO27" s="27"/>
      <c r="BP27" s="30"/>
      <c r="BR27" s="11"/>
      <c r="BT27" s="27"/>
      <c r="BU27" s="30"/>
      <c r="BV27" s="27"/>
      <c r="BW27" s="30"/>
      <c r="BY27" s="11"/>
      <c r="CA27" s="27"/>
      <c r="CB27" s="30"/>
      <c r="CC27" s="27"/>
      <c r="CD27" s="30"/>
      <c r="CF27" s="11"/>
      <c r="CH27" s="27"/>
      <c r="CI27" s="30"/>
      <c r="CJ27" s="27"/>
      <c r="CK27" s="30"/>
      <c r="CM27" s="11"/>
      <c r="CO27" s="27"/>
      <c r="CP27" s="30"/>
      <c r="CQ27" s="27"/>
      <c r="CR27" s="30"/>
      <c r="CT27" s="11"/>
      <c r="CV27" s="27"/>
      <c r="CW27" s="30"/>
      <c r="CX27" s="27"/>
      <c r="CY27" s="30"/>
      <c r="DA27" s="11"/>
      <c r="DC27" s="27"/>
      <c r="DD27" s="27"/>
      <c r="DE27" s="27"/>
      <c r="DF27" s="27"/>
      <c r="DH27" s="11"/>
      <c r="DJ27" s="27"/>
      <c r="DK27" s="27"/>
      <c r="DL27" s="27"/>
      <c r="DM27" s="27"/>
      <c r="DO27" s="11"/>
      <c r="DQ27" s="27"/>
      <c r="DR27" s="27"/>
      <c r="DS27" s="27"/>
      <c r="DT27" s="27"/>
    </row>
    <row r="28" ht="15.75" customHeight="1">
      <c r="C28" s="8"/>
      <c r="BD28" s="11"/>
      <c r="BR28" s="11"/>
      <c r="BY28" s="11"/>
      <c r="CF28" s="11"/>
      <c r="CM28" s="11"/>
      <c r="CT28" s="11"/>
      <c r="DA28" s="11"/>
      <c r="DH28" s="11"/>
      <c r="DO28" s="11"/>
    </row>
    <row r="29" ht="15.75" customHeight="1">
      <c r="B29" s="6" t="s">
        <v>26</v>
      </c>
      <c r="C29" s="24" t="s">
        <v>75</v>
      </c>
      <c r="D29" s="25">
        <v>44914.0</v>
      </c>
      <c r="E29" s="32">
        <v>3.0</v>
      </c>
      <c r="G29" s="27">
        <f>+SUM(G30:G32)</f>
        <v>0.85</v>
      </c>
      <c r="I29" s="28">
        <f>+SUM(I30:I32)</f>
        <v>2</v>
      </c>
      <c r="J29" s="29">
        <f>+SUMPRODUCT(G30:G32,J30:J32)</f>
        <v>0</v>
      </c>
      <c r="K29" s="29">
        <f>+SUMPRODUCT(G30:G32,K30:K32)</f>
        <v>0</v>
      </c>
      <c r="L29" s="26"/>
      <c r="O29" s="28">
        <f>SUM(O30:O32)</f>
        <v>0</v>
      </c>
      <c r="V29" s="28"/>
      <c r="AC29" s="28"/>
      <c r="AJ29" s="34">
        <f>SUM(AJ30:AJ32)</f>
        <v>2</v>
      </c>
      <c r="AQ29" s="28"/>
      <c r="AX29" s="28"/>
      <c r="BD29" s="11"/>
      <c r="BE29" s="28"/>
      <c r="BL29" s="28"/>
      <c r="BR29" s="11"/>
      <c r="BS29" s="28"/>
      <c r="BY29" s="11"/>
      <c r="BZ29" s="28"/>
      <c r="CF29" s="11"/>
      <c r="CG29" s="28"/>
      <c r="CM29" s="11"/>
      <c r="CN29" s="28"/>
      <c r="CT29" s="11"/>
      <c r="CU29" s="28"/>
      <c r="DA29" s="28"/>
      <c r="DB29" s="28"/>
      <c r="DH29" s="11"/>
      <c r="DI29" s="28"/>
      <c r="DO29" s="11"/>
      <c r="DP29" s="28"/>
    </row>
    <row r="30" ht="15.75" customHeight="1" outlineLevel="1">
      <c r="B30" s="6" t="s">
        <v>56</v>
      </c>
      <c r="C30" s="24" t="s">
        <v>85</v>
      </c>
      <c r="E30" s="26"/>
      <c r="F30" s="5" t="s">
        <v>127</v>
      </c>
      <c r="G30" s="30">
        <v>0.15</v>
      </c>
      <c r="I30" s="26">
        <f t="shared" ref="I30:I32" si="4">+SUMIF($N$3:$ACM$3,I$3,$N30:$ACM30)</f>
        <v>0.5</v>
      </c>
      <c r="J30" s="29">
        <f t="array" ref="J30">MAX(IF($N$3:$GU$3=$J$3,N30:GU30))</f>
        <v>0</v>
      </c>
      <c r="K30" s="29">
        <f t="array" ref="K30">MAX(IF($N$3:$GU$3=$J$3,N30:GU30))</f>
        <v>0</v>
      </c>
      <c r="L30" s="26"/>
      <c r="P30" s="27"/>
      <c r="Q30" s="30"/>
      <c r="R30" s="27"/>
      <c r="S30" s="30"/>
      <c r="W30" s="27"/>
      <c r="X30" s="30"/>
      <c r="Y30" s="27"/>
      <c r="Z30" s="30"/>
      <c r="AD30" s="27"/>
      <c r="AE30" s="30"/>
      <c r="AF30" s="27"/>
      <c r="AG30" s="30"/>
      <c r="AJ30" s="5">
        <v>0.5</v>
      </c>
      <c r="AK30" s="27"/>
      <c r="AL30" s="30"/>
      <c r="AM30" s="27"/>
      <c r="AN30" s="30">
        <v>0.8</v>
      </c>
      <c r="AO30" s="5">
        <v>2.0</v>
      </c>
      <c r="AR30" s="27"/>
      <c r="AS30" s="30"/>
      <c r="AT30" s="27"/>
      <c r="AU30" s="30">
        <v>0.8</v>
      </c>
      <c r="AV30" s="5">
        <v>2.0</v>
      </c>
      <c r="AY30" s="27"/>
      <c r="AZ30" s="30"/>
      <c r="BA30" s="27"/>
      <c r="BB30" s="30">
        <v>1.0</v>
      </c>
      <c r="BC30" s="5">
        <v>2.0</v>
      </c>
      <c r="BD30" s="11"/>
      <c r="BF30" s="27"/>
      <c r="BG30" s="30"/>
      <c r="BH30" s="27"/>
      <c r="BI30" s="30">
        <v>1.0</v>
      </c>
      <c r="BJ30" s="5" t="s">
        <v>128</v>
      </c>
      <c r="BM30" s="27"/>
      <c r="BN30" s="30"/>
      <c r="BO30" s="27"/>
      <c r="BP30" s="30"/>
      <c r="BR30" s="11"/>
      <c r="BT30" s="27"/>
      <c r="BU30" s="30"/>
      <c r="BV30" s="27"/>
      <c r="BW30" s="30"/>
      <c r="BY30" s="11"/>
      <c r="CA30" s="27"/>
      <c r="CB30" s="30"/>
      <c r="CC30" s="27"/>
      <c r="CD30" s="30"/>
      <c r="CF30" s="11"/>
      <c r="CH30" s="27"/>
      <c r="CI30" s="30"/>
      <c r="CJ30" s="27"/>
      <c r="CK30" s="30"/>
      <c r="CM30" s="11"/>
      <c r="CO30" s="27"/>
      <c r="CP30" s="30"/>
      <c r="CQ30" s="27"/>
      <c r="CR30" s="30"/>
      <c r="CT30" s="11"/>
      <c r="CV30" s="27"/>
      <c r="CW30" s="30"/>
      <c r="CX30" s="27"/>
      <c r="CY30" s="30"/>
      <c r="DA30" s="11"/>
      <c r="DC30" s="27"/>
      <c r="DD30" s="27"/>
      <c r="DE30" s="27"/>
      <c r="DF30" s="27"/>
      <c r="DH30" s="11"/>
      <c r="DJ30" s="27"/>
      <c r="DK30" s="27"/>
      <c r="DL30" s="27"/>
      <c r="DM30" s="27"/>
      <c r="DO30" s="11"/>
      <c r="DQ30" s="27"/>
      <c r="DR30" s="27"/>
      <c r="DS30" s="27"/>
      <c r="DT30" s="27"/>
    </row>
    <row r="31" ht="15.75" customHeight="1" outlineLevel="1">
      <c r="B31" s="6" t="s">
        <v>56</v>
      </c>
      <c r="C31" s="24" t="s">
        <v>85</v>
      </c>
      <c r="E31" s="26"/>
      <c r="F31" s="5" t="s">
        <v>129</v>
      </c>
      <c r="G31" s="30">
        <v>0.3</v>
      </c>
      <c r="I31" s="26">
        <f t="shared" si="4"/>
        <v>1.5</v>
      </c>
      <c r="J31" s="29">
        <f t="array" ref="J31">MAX(IF($N$3:$GU$3=$J$3,N31:GU31))</f>
        <v>0</v>
      </c>
      <c r="K31" s="29">
        <f t="array" ref="K31">MAX(IF($N$3:$GU$3=$J$3,N31:GU31))</f>
        <v>0</v>
      </c>
      <c r="L31" s="26"/>
      <c r="P31" s="27"/>
      <c r="Q31" s="30"/>
      <c r="R31" s="27"/>
      <c r="S31" s="30"/>
      <c r="W31" s="27"/>
      <c r="X31" s="30"/>
      <c r="Y31" s="27"/>
      <c r="Z31" s="30"/>
      <c r="AD31" s="27"/>
      <c r="AE31" s="30"/>
      <c r="AF31" s="27"/>
      <c r="AG31" s="30"/>
      <c r="AJ31" s="5">
        <v>1.5</v>
      </c>
      <c r="AK31" s="27"/>
      <c r="AL31" s="30"/>
      <c r="AM31" s="27"/>
      <c r="AN31" s="30">
        <v>0.5</v>
      </c>
      <c r="AR31" s="27"/>
      <c r="AS31" s="30"/>
      <c r="AT31" s="27"/>
      <c r="AU31" s="30">
        <v>0.8</v>
      </c>
      <c r="AY31" s="27"/>
      <c r="AZ31" s="30"/>
      <c r="BA31" s="27"/>
      <c r="BB31" s="30">
        <v>0.8</v>
      </c>
      <c r="BD31" s="11"/>
      <c r="BF31" s="27"/>
      <c r="BG31" s="30"/>
      <c r="BH31" s="27"/>
      <c r="BI31" s="30">
        <v>1.0</v>
      </c>
      <c r="BM31" s="27"/>
      <c r="BN31" s="30"/>
      <c r="BO31" s="27"/>
      <c r="BP31" s="30"/>
      <c r="BR31" s="11"/>
      <c r="BT31" s="27"/>
      <c r="BU31" s="30"/>
      <c r="BV31" s="27"/>
      <c r="BW31" s="30"/>
      <c r="BY31" s="11"/>
      <c r="CA31" s="27"/>
      <c r="CB31" s="30"/>
      <c r="CC31" s="27"/>
      <c r="CD31" s="30"/>
      <c r="CF31" s="11"/>
      <c r="CH31" s="27"/>
      <c r="CI31" s="30"/>
      <c r="CJ31" s="27"/>
      <c r="CK31" s="30"/>
      <c r="CM31" s="11"/>
      <c r="CO31" s="27"/>
      <c r="CP31" s="30"/>
      <c r="CQ31" s="27"/>
      <c r="CR31" s="30"/>
      <c r="CT31" s="11"/>
      <c r="CV31" s="27"/>
      <c r="CW31" s="30"/>
      <c r="CX31" s="27"/>
      <c r="CY31" s="30"/>
      <c r="DA31" s="11"/>
      <c r="DC31" s="27"/>
      <c r="DD31" s="27"/>
      <c r="DE31" s="27"/>
      <c r="DF31" s="27"/>
      <c r="DH31" s="11"/>
      <c r="DJ31" s="27"/>
      <c r="DK31" s="27"/>
      <c r="DL31" s="27"/>
      <c r="DM31" s="27"/>
      <c r="DO31" s="11"/>
      <c r="DQ31" s="27"/>
      <c r="DR31" s="27"/>
      <c r="DS31" s="27"/>
      <c r="DT31" s="27"/>
    </row>
    <row r="32" ht="15.75" customHeight="1" outlineLevel="1">
      <c r="B32" s="6" t="s">
        <v>56</v>
      </c>
      <c r="C32" s="24" t="s">
        <v>85</v>
      </c>
      <c r="E32" s="26"/>
      <c r="F32" s="5" t="s">
        <v>130</v>
      </c>
      <c r="G32" s="30">
        <v>0.4</v>
      </c>
      <c r="I32" s="26">
        <f t="shared" si="4"/>
        <v>0</v>
      </c>
      <c r="J32" s="29">
        <f t="array" ref="J32">MAX(IF($N$3:$GU$3=$J$3,N32:GU32))</f>
        <v>0</v>
      </c>
      <c r="K32" s="29">
        <f t="array" ref="K32">MAX(IF($N$3:$GU$3=$J$3,N32:GU32))</f>
        <v>0</v>
      </c>
      <c r="L32" s="26"/>
      <c r="P32" s="27"/>
      <c r="Q32" s="27"/>
      <c r="R32" s="27"/>
      <c r="S32" s="30"/>
      <c r="W32" s="27"/>
      <c r="X32" s="27"/>
      <c r="Y32" s="27"/>
      <c r="Z32" s="30"/>
      <c r="AD32" s="27"/>
      <c r="AE32" s="30"/>
      <c r="AF32" s="27"/>
      <c r="AG32" s="30"/>
      <c r="AK32" s="27"/>
      <c r="AL32" s="30"/>
      <c r="AM32" s="27"/>
      <c r="AN32" s="30">
        <v>0.0</v>
      </c>
      <c r="AO32" s="5" t="s">
        <v>131</v>
      </c>
      <c r="AR32" s="27"/>
      <c r="AS32" s="30"/>
      <c r="AT32" s="27"/>
      <c r="AU32" s="30">
        <v>0.5</v>
      </c>
      <c r="AY32" s="27"/>
      <c r="AZ32" s="30"/>
      <c r="BA32" s="27"/>
      <c r="BB32" s="30">
        <v>0.8</v>
      </c>
      <c r="BD32" s="11"/>
      <c r="BF32" s="27"/>
      <c r="BG32" s="30"/>
      <c r="BH32" s="27"/>
      <c r="BI32" s="30">
        <v>1.0</v>
      </c>
      <c r="BM32" s="27"/>
      <c r="BN32" s="30"/>
      <c r="BO32" s="27"/>
      <c r="BP32" s="30"/>
      <c r="BR32" s="11"/>
      <c r="BT32" s="27"/>
      <c r="BU32" s="30"/>
      <c r="BV32" s="27"/>
      <c r="BW32" s="30"/>
      <c r="BY32" s="11"/>
      <c r="CA32" s="27"/>
      <c r="CB32" s="30"/>
      <c r="CC32" s="27"/>
      <c r="CD32" s="30"/>
      <c r="CF32" s="11"/>
      <c r="CH32" s="27"/>
      <c r="CI32" s="30"/>
      <c r="CJ32" s="27"/>
      <c r="CK32" s="30"/>
      <c r="CM32" s="11"/>
      <c r="CO32" s="27"/>
      <c r="CP32" s="30"/>
      <c r="CQ32" s="27"/>
      <c r="CR32" s="30"/>
      <c r="CT32" s="11"/>
      <c r="CV32" s="27"/>
      <c r="CW32" s="30"/>
      <c r="CX32" s="27"/>
      <c r="CY32" s="30"/>
      <c r="DA32" s="11"/>
      <c r="DC32" s="27"/>
      <c r="DD32" s="27"/>
      <c r="DE32" s="27"/>
      <c r="DF32" s="27"/>
      <c r="DH32" s="11"/>
      <c r="DJ32" s="27"/>
      <c r="DK32" s="27"/>
      <c r="DL32" s="27"/>
      <c r="DM32" s="27"/>
      <c r="DO32" s="11"/>
      <c r="DQ32" s="27"/>
      <c r="DR32" s="27"/>
      <c r="DS32" s="27"/>
      <c r="DT32" s="27"/>
    </row>
    <row r="33" ht="15.75" customHeight="1">
      <c r="C33" s="8"/>
      <c r="BD33" s="11"/>
      <c r="BR33" s="11"/>
      <c r="BY33" s="11"/>
      <c r="CF33" s="11"/>
      <c r="CM33" s="11"/>
      <c r="CT33" s="11"/>
      <c r="DA33" s="11"/>
      <c r="DH33" s="11"/>
      <c r="DO33" s="11"/>
    </row>
    <row r="34" ht="15.75" customHeight="1">
      <c r="B34" s="6" t="s">
        <v>26</v>
      </c>
      <c r="C34" s="24" t="s">
        <v>86</v>
      </c>
      <c r="D34" s="25">
        <v>44888.0</v>
      </c>
      <c r="E34" s="32">
        <v>3.0</v>
      </c>
      <c r="G34" s="27">
        <f>+SUM(G35:G42)</f>
        <v>1</v>
      </c>
      <c r="I34" s="28">
        <f>+SUM(I35:I42)</f>
        <v>26.5</v>
      </c>
      <c r="J34" s="29">
        <f>+SUMPRODUCT(G35:G42,J35:J42)</f>
        <v>0.23</v>
      </c>
      <c r="K34" s="29">
        <f>+SUMPRODUCT(G35:G42,K35:K42)</f>
        <v>0.23</v>
      </c>
      <c r="L34" s="26"/>
      <c r="O34" s="34">
        <f>SUM(O35:O42)</f>
        <v>3</v>
      </c>
      <c r="V34" s="34">
        <f>SUM(V35:V42)</f>
        <v>8</v>
      </c>
      <c r="AC34" s="28">
        <f>SUM(AC35:AC42)</f>
        <v>14.5</v>
      </c>
      <c r="AJ34" s="28">
        <f>SUM(AJ35:AJ42)</f>
        <v>1</v>
      </c>
      <c r="AQ34" s="28"/>
      <c r="AX34" s="28"/>
      <c r="BD34" s="11"/>
      <c r="BE34" s="28"/>
      <c r="BL34" s="28"/>
      <c r="BR34" s="11"/>
      <c r="BS34" s="28">
        <f>SUM(BS35:BS42)</f>
        <v>0</v>
      </c>
      <c r="BY34" s="11"/>
      <c r="BZ34" s="28"/>
      <c r="CF34" s="11"/>
      <c r="CG34" s="28"/>
      <c r="CM34" s="11"/>
      <c r="CN34" s="28"/>
      <c r="CT34" s="11"/>
      <c r="CU34" s="28"/>
      <c r="DA34" s="11"/>
      <c r="DB34" s="28"/>
      <c r="DH34" s="11"/>
      <c r="DI34" s="28"/>
      <c r="DO34" s="11"/>
      <c r="DP34" s="28"/>
    </row>
    <row r="35" ht="15.75" customHeight="1" outlineLevel="1">
      <c r="B35" s="6" t="s">
        <v>56</v>
      </c>
      <c r="C35" s="24" t="s">
        <v>86</v>
      </c>
      <c r="E35" s="26"/>
      <c r="F35" s="5" t="s">
        <v>87</v>
      </c>
      <c r="G35" s="30">
        <v>0.05</v>
      </c>
      <c r="I35" s="26">
        <f t="shared" ref="I35:I42" si="5">+SUMIF($N$3:$ACM$3,I$3,$N35:$ACM35)</f>
        <v>3</v>
      </c>
      <c r="J35" s="29">
        <f t="array" ref="J35">MAX(IF($N$3:$GU$3=$J$3,N35:GU35))</f>
        <v>1</v>
      </c>
      <c r="K35" s="29">
        <f t="array" ref="K35">MAX(IF($N$3:$GU$3=$J$3,N35:GU35))</f>
        <v>1</v>
      </c>
      <c r="L35" s="26"/>
      <c r="O35" s="5">
        <v>2.0</v>
      </c>
      <c r="P35" s="30">
        <v>1.0</v>
      </c>
      <c r="Q35" s="30">
        <v>1.0</v>
      </c>
      <c r="R35" s="27"/>
      <c r="S35" s="30"/>
      <c r="T35" s="5">
        <v>1.0</v>
      </c>
      <c r="V35" s="5">
        <v>1.0</v>
      </c>
      <c r="W35" s="30">
        <v>1.0</v>
      </c>
      <c r="X35" s="30">
        <v>1.0</v>
      </c>
      <c r="Y35" s="30"/>
      <c r="Z35" s="30"/>
      <c r="AD35" s="27"/>
      <c r="AE35" s="30"/>
      <c r="AF35" s="30">
        <v>1.0</v>
      </c>
      <c r="AG35" s="30">
        <v>1.0</v>
      </c>
      <c r="AK35" s="27"/>
      <c r="AL35" s="30"/>
      <c r="AM35" s="30">
        <v>1.0</v>
      </c>
      <c r="AN35" s="30">
        <v>1.0</v>
      </c>
      <c r="AO35" s="5">
        <v>0.0</v>
      </c>
      <c r="AR35" s="27"/>
      <c r="AS35" s="30"/>
      <c r="AT35" s="27"/>
      <c r="AU35" s="30">
        <v>1.0</v>
      </c>
      <c r="AV35" s="5">
        <v>0.0</v>
      </c>
      <c r="AY35" s="27"/>
      <c r="AZ35" s="30"/>
      <c r="BA35" s="27"/>
      <c r="BB35" s="30">
        <v>1.0</v>
      </c>
      <c r="BC35" s="5">
        <v>0.0</v>
      </c>
      <c r="BD35" s="11"/>
      <c r="BF35" s="27"/>
      <c r="BG35" s="30"/>
      <c r="BH35" s="27"/>
      <c r="BI35" s="30">
        <v>1.0</v>
      </c>
      <c r="BJ35" s="5">
        <v>0.0</v>
      </c>
      <c r="BM35" s="27"/>
      <c r="BN35" s="30"/>
      <c r="BO35" s="27"/>
      <c r="BP35" s="30">
        <v>1.0</v>
      </c>
      <c r="BQ35" s="5">
        <v>1.0</v>
      </c>
      <c r="BR35" s="11"/>
      <c r="BT35" s="27"/>
      <c r="BU35" s="30"/>
      <c r="BV35" s="27"/>
      <c r="BW35" s="30">
        <v>1.0</v>
      </c>
      <c r="BX35" s="5">
        <v>2.0</v>
      </c>
      <c r="BY35" s="11"/>
      <c r="CA35" s="27"/>
      <c r="CB35" s="30"/>
      <c r="CC35" s="27"/>
      <c r="CD35" s="30">
        <v>1.0</v>
      </c>
      <c r="CE35" s="5">
        <v>3.0</v>
      </c>
      <c r="CF35" s="11"/>
      <c r="CH35" s="27"/>
      <c r="CI35" s="30"/>
      <c r="CJ35" s="27"/>
      <c r="CK35" s="30">
        <v>1.0</v>
      </c>
      <c r="CM35" s="11"/>
      <c r="CO35" s="27"/>
      <c r="CP35" s="30"/>
      <c r="CQ35" s="27"/>
      <c r="CR35" s="30"/>
      <c r="CT35" s="11"/>
      <c r="CV35" s="27"/>
      <c r="CW35" s="30"/>
      <c r="CX35" s="27"/>
      <c r="CY35" s="30"/>
      <c r="DA35" s="11"/>
      <c r="DC35" s="27"/>
      <c r="DD35" s="27"/>
      <c r="DE35" s="27"/>
      <c r="DF35" s="27"/>
      <c r="DH35" s="11"/>
      <c r="DJ35" s="27"/>
      <c r="DK35" s="27"/>
      <c r="DL35" s="27"/>
      <c r="DM35" s="27"/>
      <c r="DO35" s="11"/>
      <c r="DQ35" s="27"/>
      <c r="DR35" s="27"/>
      <c r="DS35" s="27"/>
      <c r="DT35" s="27"/>
    </row>
    <row r="36" ht="15.75" customHeight="1" outlineLevel="1">
      <c r="B36" s="6" t="s">
        <v>56</v>
      </c>
      <c r="C36" s="24" t="s">
        <v>86</v>
      </c>
      <c r="E36" s="26"/>
      <c r="F36" s="5" t="s">
        <v>132</v>
      </c>
      <c r="G36" s="30">
        <v>0.15</v>
      </c>
      <c r="I36" s="26">
        <f t="shared" si="5"/>
        <v>2</v>
      </c>
      <c r="J36" s="29">
        <f t="array" ref="J36">MAX(IF($N$3:$GU$3=$J$3,N36:GU36))</f>
        <v>1</v>
      </c>
      <c r="K36" s="29">
        <f t="array" ref="K36">MAX(IF($N$3:$GU$3=$J$3,N36:GU36))</f>
        <v>1</v>
      </c>
      <c r="L36" s="26"/>
      <c r="O36" s="5">
        <v>1.0</v>
      </c>
      <c r="P36" s="30">
        <v>0.1</v>
      </c>
      <c r="Q36" s="30">
        <v>0.0</v>
      </c>
      <c r="R36" s="27"/>
      <c r="S36" s="30"/>
      <c r="V36" s="5">
        <v>1.0</v>
      </c>
      <c r="W36" s="30">
        <v>1.0</v>
      </c>
      <c r="X36" s="30">
        <v>1.0</v>
      </c>
      <c r="Y36" s="30"/>
      <c r="Z36" s="30"/>
      <c r="AD36" s="27"/>
      <c r="AE36" s="30"/>
      <c r="AF36" s="30">
        <v>1.0</v>
      </c>
      <c r="AG36" s="30">
        <v>1.0</v>
      </c>
      <c r="AK36" s="27"/>
      <c r="AL36" s="30"/>
      <c r="AM36" s="30">
        <v>1.0</v>
      </c>
      <c r="AN36" s="30">
        <v>1.0</v>
      </c>
      <c r="AR36" s="27"/>
      <c r="AS36" s="30"/>
      <c r="AT36" s="27"/>
      <c r="AU36" s="30">
        <v>1.0</v>
      </c>
      <c r="AY36" s="27"/>
      <c r="AZ36" s="30"/>
      <c r="BA36" s="27"/>
      <c r="BB36" s="30">
        <v>1.0</v>
      </c>
      <c r="BD36" s="11"/>
      <c r="BF36" s="27"/>
      <c r="BG36" s="30"/>
      <c r="BH36" s="27"/>
      <c r="BI36" s="30">
        <v>1.0</v>
      </c>
      <c r="BM36" s="27"/>
      <c r="BN36" s="30"/>
      <c r="BO36" s="27"/>
      <c r="BP36" s="30">
        <v>1.0</v>
      </c>
      <c r="BR36" s="11"/>
      <c r="BT36" s="27"/>
      <c r="BU36" s="30"/>
      <c r="BV36" s="27"/>
      <c r="BW36" s="30">
        <v>1.0</v>
      </c>
      <c r="BY36" s="11"/>
      <c r="CA36" s="27"/>
      <c r="CB36" s="30"/>
      <c r="CC36" s="27"/>
      <c r="CD36" s="30">
        <v>1.0</v>
      </c>
      <c r="CF36" s="11"/>
      <c r="CH36" s="27"/>
      <c r="CI36" s="30"/>
      <c r="CJ36" s="27"/>
      <c r="CK36" s="30">
        <v>1.0</v>
      </c>
      <c r="CM36" s="11"/>
      <c r="CO36" s="27"/>
      <c r="CP36" s="30"/>
      <c r="CQ36" s="27"/>
      <c r="CR36" s="30"/>
      <c r="CT36" s="11"/>
      <c r="CV36" s="27"/>
      <c r="CW36" s="30"/>
      <c r="CX36" s="27"/>
      <c r="CY36" s="30"/>
      <c r="DA36" s="11"/>
      <c r="DC36" s="27"/>
      <c r="DD36" s="27"/>
      <c r="DE36" s="27"/>
      <c r="DF36" s="27"/>
      <c r="DH36" s="11"/>
      <c r="DJ36" s="27"/>
      <c r="DK36" s="27"/>
      <c r="DL36" s="27"/>
      <c r="DM36" s="27"/>
      <c r="DO36" s="11"/>
      <c r="DQ36" s="27"/>
      <c r="DR36" s="27"/>
      <c r="DS36" s="27"/>
      <c r="DT36" s="27"/>
    </row>
    <row r="37" ht="15.75" customHeight="1" outlineLevel="1">
      <c r="B37" s="6" t="s">
        <v>56</v>
      </c>
      <c r="C37" s="24" t="s">
        <v>86</v>
      </c>
      <c r="E37" s="26"/>
      <c r="F37" s="5" t="s">
        <v>133</v>
      </c>
      <c r="G37" s="30">
        <v>0.05</v>
      </c>
      <c r="I37" s="26">
        <f t="shared" si="5"/>
        <v>15</v>
      </c>
      <c r="J37" s="29">
        <f t="array" ref="J37">MAX(IF($N$3:$GU$3=$J$3,N37:GU37))</f>
        <v>0.3</v>
      </c>
      <c r="K37" s="29">
        <f t="array" ref="K37">MAX(IF($N$3:$GU$3=$J$3,N37:GU37))</f>
        <v>0.3</v>
      </c>
      <c r="L37" s="26"/>
      <c r="P37" s="30">
        <v>0.1</v>
      </c>
      <c r="Q37" s="30">
        <v>0.0</v>
      </c>
      <c r="R37" s="27"/>
      <c r="S37" s="30"/>
      <c r="V37" s="5">
        <v>6.0</v>
      </c>
      <c r="W37" s="30">
        <v>0.3</v>
      </c>
      <c r="X37" s="30">
        <v>0.5</v>
      </c>
      <c r="Y37" s="30"/>
      <c r="Z37" s="30"/>
      <c r="AC37" s="5">
        <v>9.0</v>
      </c>
      <c r="AD37" s="27"/>
      <c r="AE37" s="30"/>
      <c r="AF37" s="30">
        <v>1.0</v>
      </c>
      <c r="AG37" s="30">
        <v>1.0</v>
      </c>
      <c r="AK37" s="27"/>
      <c r="AL37" s="30"/>
      <c r="AM37" s="30">
        <v>1.0</v>
      </c>
      <c r="AN37" s="30">
        <v>1.0</v>
      </c>
      <c r="AR37" s="27"/>
      <c r="AS37" s="30"/>
      <c r="AT37" s="27"/>
      <c r="AU37" s="30">
        <v>1.0</v>
      </c>
      <c r="AY37" s="27"/>
      <c r="AZ37" s="30"/>
      <c r="BA37" s="27"/>
      <c r="BB37" s="30">
        <v>1.0</v>
      </c>
      <c r="BD37" s="11"/>
      <c r="BF37" s="27"/>
      <c r="BG37" s="30"/>
      <c r="BH37" s="27"/>
      <c r="BI37" s="30">
        <v>1.0</v>
      </c>
      <c r="BM37" s="27"/>
      <c r="BN37" s="30"/>
      <c r="BO37" s="27"/>
      <c r="BP37" s="30">
        <v>1.0</v>
      </c>
      <c r="BR37" s="11"/>
      <c r="BT37" s="27"/>
      <c r="BU37" s="30"/>
      <c r="BV37" s="27"/>
      <c r="BW37" s="30">
        <v>1.0</v>
      </c>
      <c r="BY37" s="11"/>
      <c r="CA37" s="27"/>
      <c r="CB37" s="30"/>
      <c r="CC37" s="27"/>
      <c r="CD37" s="30">
        <v>1.0</v>
      </c>
      <c r="CF37" s="11"/>
      <c r="CH37" s="27"/>
      <c r="CI37" s="30"/>
      <c r="CJ37" s="27"/>
      <c r="CK37" s="30">
        <v>1.0</v>
      </c>
      <c r="CM37" s="11"/>
      <c r="CO37" s="27"/>
      <c r="CP37" s="30"/>
      <c r="CQ37" s="27"/>
      <c r="CR37" s="30"/>
      <c r="CT37" s="11"/>
      <c r="CV37" s="27"/>
      <c r="CW37" s="30"/>
      <c r="CX37" s="27"/>
      <c r="CY37" s="30"/>
      <c r="DA37" s="11"/>
      <c r="DC37" s="27"/>
      <c r="DD37" s="27"/>
      <c r="DE37" s="27"/>
      <c r="DF37" s="27"/>
      <c r="DH37" s="11"/>
      <c r="DJ37" s="27"/>
      <c r="DK37" s="27"/>
      <c r="DL37" s="27"/>
      <c r="DM37" s="27"/>
      <c r="DO37" s="11"/>
      <c r="DQ37" s="27"/>
      <c r="DR37" s="27"/>
      <c r="DS37" s="27"/>
      <c r="DT37" s="27"/>
    </row>
    <row r="38" ht="15.75" customHeight="1" outlineLevel="1">
      <c r="B38" s="6" t="s">
        <v>56</v>
      </c>
      <c r="C38" s="24" t="s">
        <v>86</v>
      </c>
      <c r="E38" s="26"/>
      <c r="F38" s="5" t="s">
        <v>90</v>
      </c>
      <c r="G38" s="30">
        <v>0.15</v>
      </c>
      <c r="I38" s="26">
        <f t="shared" si="5"/>
        <v>5</v>
      </c>
      <c r="J38" s="29">
        <f t="array" ref="J38">MAX(IF($N$3:$GU$3=$J$3,N38:GU38))</f>
        <v>0</v>
      </c>
      <c r="K38" s="29">
        <f t="array" ref="K38">MAX(IF($N$3:$GU$3=$J$3,N38:GU38))</f>
        <v>0</v>
      </c>
      <c r="L38" s="26"/>
      <c r="P38" s="27"/>
      <c r="Q38" s="30">
        <v>0.0</v>
      </c>
      <c r="R38" s="27"/>
      <c r="S38" s="30"/>
      <c r="W38" s="27"/>
      <c r="X38" s="30">
        <v>0.0</v>
      </c>
      <c r="Y38" s="27"/>
      <c r="Z38" s="30"/>
      <c r="AC38" s="5">
        <v>4.0</v>
      </c>
      <c r="AD38" s="27"/>
      <c r="AE38" s="30"/>
      <c r="AF38" s="30">
        <v>1.0</v>
      </c>
      <c r="AG38" s="30">
        <v>0.0</v>
      </c>
      <c r="AJ38" s="5">
        <v>1.0</v>
      </c>
      <c r="AK38" s="27"/>
      <c r="AL38" s="30"/>
      <c r="AM38" s="30">
        <v>1.0</v>
      </c>
      <c r="AN38" s="30">
        <v>1.0</v>
      </c>
      <c r="AR38" s="27"/>
      <c r="AS38" s="30"/>
      <c r="AT38" s="27"/>
      <c r="AU38" s="30">
        <v>1.0</v>
      </c>
      <c r="AY38" s="27"/>
      <c r="AZ38" s="30"/>
      <c r="BA38" s="27"/>
      <c r="BB38" s="30">
        <v>1.0</v>
      </c>
      <c r="BD38" s="11"/>
      <c r="BF38" s="27"/>
      <c r="BG38" s="30"/>
      <c r="BH38" s="27"/>
      <c r="BI38" s="30">
        <v>1.0</v>
      </c>
      <c r="BM38" s="27"/>
      <c r="BN38" s="30"/>
      <c r="BO38" s="27"/>
      <c r="BP38" s="30">
        <v>1.0</v>
      </c>
      <c r="BR38" s="11"/>
      <c r="BT38" s="27"/>
      <c r="BU38" s="30"/>
      <c r="BV38" s="27"/>
      <c r="BW38" s="30">
        <v>1.0</v>
      </c>
      <c r="BY38" s="11"/>
      <c r="CA38" s="27"/>
      <c r="CB38" s="30"/>
      <c r="CC38" s="27"/>
      <c r="CD38" s="30">
        <v>1.0</v>
      </c>
      <c r="CF38" s="11"/>
      <c r="CH38" s="27"/>
      <c r="CI38" s="30"/>
      <c r="CJ38" s="27"/>
      <c r="CK38" s="30">
        <v>1.0</v>
      </c>
      <c r="CM38" s="11"/>
      <c r="CO38" s="33" t="s">
        <v>134</v>
      </c>
      <c r="CT38" s="11"/>
      <c r="CV38" s="27"/>
      <c r="CW38" s="30"/>
      <c r="CX38" s="27"/>
      <c r="CY38" s="30"/>
      <c r="DA38" s="11"/>
      <c r="DC38" s="27"/>
      <c r="DD38" s="27"/>
      <c r="DE38" s="27"/>
      <c r="DF38" s="27"/>
      <c r="DH38" s="11"/>
      <c r="DJ38" s="27"/>
      <c r="DK38" s="27"/>
      <c r="DL38" s="27"/>
      <c r="DM38" s="27"/>
      <c r="DO38" s="11"/>
      <c r="DQ38" s="27"/>
      <c r="DR38" s="27"/>
      <c r="DS38" s="27"/>
      <c r="DT38" s="27"/>
    </row>
    <row r="39" ht="15.75" customHeight="1" outlineLevel="1">
      <c r="B39" s="6" t="s">
        <v>56</v>
      </c>
      <c r="C39" s="24" t="s">
        <v>86</v>
      </c>
      <c r="E39" s="26"/>
      <c r="F39" s="5" t="s">
        <v>91</v>
      </c>
      <c r="G39" s="30">
        <v>0.05</v>
      </c>
      <c r="I39" s="26">
        <f t="shared" si="5"/>
        <v>1.5</v>
      </c>
      <c r="J39" s="29">
        <f t="array" ref="J39">MAX(IF($N$3:$GU$3=$J$3,N39:GU39))</f>
        <v>0.3</v>
      </c>
      <c r="K39" s="29">
        <f t="array" ref="K39">MAX(IF($N$3:$GU$3=$J$3,N39:GU39))</f>
        <v>0.3</v>
      </c>
      <c r="L39" s="26"/>
      <c r="P39" s="27"/>
      <c r="Q39" s="30">
        <v>0.0</v>
      </c>
      <c r="R39" s="27"/>
      <c r="S39" s="30"/>
      <c r="W39" s="30">
        <v>0.3</v>
      </c>
      <c r="X39" s="30">
        <v>0.0</v>
      </c>
      <c r="Y39" s="27"/>
      <c r="Z39" s="30"/>
      <c r="AC39" s="5">
        <v>1.5</v>
      </c>
      <c r="AD39" s="27"/>
      <c r="AE39" s="30"/>
      <c r="AF39" s="30">
        <v>1.0</v>
      </c>
      <c r="AG39" s="30">
        <v>0.0</v>
      </c>
      <c r="AK39" s="27"/>
      <c r="AL39" s="30"/>
      <c r="AM39" s="30">
        <v>1.0</v>
      </c>
      <c r="AN39" s="30">
        <v>1.0</v>
      </c>
      <c r="AR39" s="27"/>
      <c r="AS39" s="30"/>
      <c r="AT39" s="27"/>
      <c r="AU39" s="30">
        <v>1.0</v>
      </c>
      <c r="AY39" s="27"/>
      <c r="AZ39" s="30"/>
      <c r="BA39" s="27"/>
      <c r="BB39" s="30">
        <v>1.0</v>
      </c>
      <c r="BD39" s="11"/>
      <c r="BF39" s="27"/>
      <c r="BG39" s="30"/>
      <c r="BH39" s="27"/>
      <c r="BI39" s="30">
        <v>1.0</v>
      </c>
      <c r="BM39" s="27"/>
      <c r="BN39" s="30"/>
      <c r="BO39" s="27"/>
      <c r="BP39" s="30">
        <v>1.0</v>
      </c>
      <c r="BR39" s="11"/>
      <c r="BT39" s="27"/>
      <c r="BU39" s="30"/>
      <c r="BV39" s="27"/>
      <c r="BW39" s="30">
        <v>1.0</v>
      </c>
      <c r="BY39" s="11"/>
      <c r="CA39" s="27"/>
      <c r="CB39" s="30"/>
      <c r="CC39" s="27"/>
      <c r="CD39" s="30">
        <v>1.0</v>
      </c>
      <c r="CF39" s="11"/>
      <c r="CH39" s="27"/>
      <c r="CI39" s="30"/>
      <c r="CJ39" s="27"/>
      <c r="CK39" s="30">
        <v>1.0</v>
      </c>
      <c r="CM39" s="11"/>
      <c r="CO39" s="27"/>
      <c r="CP39" s="30"/>
      <c r="CQ39" s="27"/>
      <c r="CR39" s="30"/>
      <c r="CT39" s="11"/>
      <c r="CV39" s="27"/>
      <c r="CW39" s="30"/>
      <c r="CX39" s="27"/>
      <c r="CY39" s="30"/>
      <c r="DA39" s="11"/>
      <c r="DC39" s="27"/>
      <c r="DD39" s="27"/>
      <c r="DE39" s="27"/>
      <c r="DF39" s="27"/>
      <c r="DH39" s="11"/>
      <c r="DJ39" s="27"/>
      <c r="DK39" s="27"/>
      <c r="DL39" s="27"/>
      <c r="DM39" s="27"/>
      <c r="DO39" s="11"/>
      <c r="DQ39" s="27"/>
      <c r="DR39" s="27"/>
      <c r="DS39" s="27"/>
      <c r="DT39" s="27"/>
    </row>
    <row r="40" ht="15.75" customHeight="1" outlineLevel="1">
      <c r="B40" s="6" t="s">
        <v>56</v>
      </c>
      <c r="C40" s="24" t="s">
        <v>86</v>
      </c>
      <c r="E40" s="26"/>
      <c r="F40" s="5" t="s">
        <v>92</v>
      </c>
      <c r="G40" s="30">
        <v>0.05</v>
      </c>
      <c r="I40" s="26">
        <f t="shared" si="5"/>
        <v>0</v>
      </c>
      <c r="J40" s="29">
        <f t="array" ref="J40">MAX(IF($N$3:$GU$3=$J$3,N40:GU40))</f>
        <v>0</v>
      </c>
      <c r="K40" s="29">
        <f t="array" ref="K40">MAX(IF($N$3:$GU$3=$J$3,N40:GU40))</f>
        <v>0</v>
      </c>
      <c r="L40" s="26"/>
      <c r="P40" s="27"/>
      <c r="Q40" s="30">
        <v>0.0</v>
      </c>
      <c r="R40" s="27"/>
      <c r="S40" s="30"/>
      <c r="W40" s="27"/>
      <c r="X40" s="30">
        <v>0.0</v>
      </c>
      <c r="Y40" s="27"/>
      <c r="Z40" s="30"/>
      <c r="AD40" s="27"/>
      <c r="AE40" s="30"/>
      <c r="AF40" s="27"/>
      <c r="AG40" s="30">
        <v>0.0</v>
      </c>
      <c r="AK40" s="27"/>
      <c r="AL40" s="30"/>
      <c r="AM40" s="27"/>
      <c r="AN40" s="30">
        <v>0.0</v>
      </c>
      <c r="AR40" s="27"/>
      <c r="AS40" s="30"/>
      <c r="AT40" s="27"/>
      <c r="AU40" s="30">
        <v>0.0</v>
      </c>
      <c r="AY40" s="27"/>
      <c r="AZ40" s="30"/>
      <c r="BA40" s="27"/>
      <c r="BB40" s="30">
        <v>1.0</v>
      </c>
      <c r="BD40" s="11"/>
      <c r="BF40" s="27"/>
      <c r="BG40" s="30"/>
      <c r="BH40" s="27"/>
      <c r="BI40" s="30">
        <v>1.0</v>
      </c>
      <c r="BM40" s="27"/>
      <c r="BN40" s="30"/>
      <c r="BO40" s="27"/>
      <c r="BP40" s="30">
        <v>1.0</v>
      </c>
      <c r="BR40" s="11"/>
      <c r="BT40" s="27"/>
      <c r="BU40" s="30"/>
      <c r="BV40" s="27"/>
      <c r="BW40" s="30">
        <v>1.0</v>
      </c>
      <c r="BY40" s="11"/>
      <c r="CA40" s="27"/>
      <c r="CB40" s="30"/>
      <c r="CC40" s="27"/>
      <c r="CD40" s="30">
        <v>1.0</v>
      </c>
      <c r="CF40" s="11"/>
      <c r="CH40" s="27"/>
      <c r="CI40" s="30"/>
      <c r="CJ40" s="27"/>
      <c r="CK40" s="30">
        <v>1.0</v>
      </c>
      <c r="CM40" s="11"/>
      <c r="CO40" s="27"/>
      <c r="CP40" s="30"/>
      <c r="CQ40" s="27"/>
      <c r="CR40" s="30"/>
      <c r="CT40" s="11"/>
      <c r="CV40" s="27"/>
      <c r="CW40" s="30"/>
      <c r="CX40" s="27"/>
      <c r="CY40" s="30"/>
      <c r="DA40" s="11"/>
      <c r="DC40" s="27"/>
      <c r="DD40" s="27"/>
      <c r="DE40" s="27"/>
      <c r="DF40" s="27"/>
      <c r="DH40" s="11"/>
      <c r="DJ40" s="27"/>
      <c r="DK40" s="27"/>
      <c r="DL40" s="27"/>
      <c r="DM40" s="27"/>
      <c r="DO40" s="11"/>
      <c r="DQ40" s="27"/>
      <c r="DR40" s="27"/>
      <c r="DS40" s="27"/>
      <c r="DT40" s="27"/>
    </row>
    <row r="41" ht="15.75" customHeight="1" outlineLevel="1">
      <c r="B41" s="6" t="s">
        <v>56</v>
      </c>
      <c r="C41" s="24" t="s">
        <v>86</v>
      </c>
      <c r="E41" s="26"/>
      <c r="F41" s="5" t="s">
        <v>93</v>
      </c>
      <c r="G41" s="30">
        <v>0.05</v>
      </c>
      <c r="I41" s="26">
        <f t="shared" si="5"/>
        <v>0</v>
      </c>
      <c r="J41" s="29">
        <f t="array" ref="J41">MAX(IF($N$3:$GU$3=$J$3,N41:GU41))</f>
        <v>0</v>
      </c>
      <c r="K41" s="29">
        <f t="array" ref="K41">MAX(IF($N$3:$GU$3=$J$3,N41:GU41))</f>
        <v>0</v>
      </c>
      <c r="L41" s="26"/>
      <c r="P41" s="27"/>
      <c r="Q41" s="30">
        <v>0.0</v>
      </c>
      <c r="R41" s="27"/>
      <c r="S41" s="30"/>
      <c r="W41" s="27"/>
      <c r="X41" s="30">
        <v>0.0</v>
      </c>
      <c r="Y41" s="27"/>
      <c r="Z41" s="30"/>
      <c r="AD41" s="27"/>
      <c r="AE41" s="27"/>
      <c r="AF41" s="27"/>
      <c r="AG41" s="30">
        <v>0.0</v>
      </c>
      <c r="AK41" s="27"/>
      <c r="AL41" s="30"/>
      <c r="AM41" s="27"/>
      <c r="AN41" s="30">
        <v>0.0</v>
      </c>
      <c r="AR41" s="27"/>
      <c r="AS41" s="30"/>
      <c r="AT41" s="27"/>
      <c r="AU41" s="30">
        <v>0.0</v>
      </c>
      <c r="AY41" s="27"/>
      <c r="AZ41" s="30"/>
      <c r="BA41" s="27"/>
      <c r="BB41" s="30">
        <v>0.0</v>
      </c>
      <c r="BD41" s="11"/>
      <c r="BF41" s="27"/>
      <c r="BG41" s="30"/>
      <c r="BH41" s="27"/>
      <c r="BI41" s="30">
        <v>0.0</v>
      </c>
      <c r="BM41" s="27"/>
      <c r="BN41" s="30"/>
      <c r="BO41" s="27"/>
      <c r="BP41" s="30">
        <v>0.0</v>
      </c>
      <c r="BR41" s="11"/>
      <c r="BT41" s="27"/>
      <c r="BU41" s="30"/>
      <c r="BV41" s="27"/>
      <c r="BW41" s="30">
        <v>0.5</v>
      </c>
      <c r="BY41" s="11"/>
      <c r="CA41" s="27"/>
      <c r="CB41" s="30"/>
      <c r="CC41" s="27"/>
      <c r="CD41" s="30">
        <v>0.8</v>
      </c>
      <c r="CF41" s="11"/>
      <c r="CH41" s="27"/>
      <c r="CI41" s="30"/>
      <c r="CJ41" s="27"/>
      <c r="CK41" s="30">
        <v>1.0</v>
      </c>
      <c r="CM41" s="11"/>
      <c r="CO41" s="27"/>
      <c r="CP41" s="30"/>
      <c r="CQ41" s="27"/>
      <c r="CR41" s="30"/>
      <c r="CT41" s="11"/>
      <c r="CV41" s="27"/>
      <c r="CW41" s="30"/>
      <c r="CX41" s="27"/>
      <c r="CY41" s="30"/>
      <c r="DA41" s="11"/>
      <c r="DC41" s="27"/>
      <c r="DD41" s="27"/>
      <c r="DE41" s="27"/>
      <c r="DF41" s="27"/>
      <c r="DH41" s="11"/>
      <c r="DJ41" s="27"/>
      <c r="DK41" s="27"/>
      <c r="DL41" s="27"/>
      <c r="DM41" s="27"/>
      <c r="DO41" s="11"/>
      <c r="DQ41" s="27"/>
      <c r="DR41" s="27"/>
      <c r="DS41" s="27"/>
      <c r="DT41" s="27"/>
    </row>
    <row r="42" ht="15.75" customHeight="1" outlineLevel="1">
      <c r="B42" s="6" t="s">
        <v>56</v>
      </c>
      <c r="C42" s="24" t="s">
        <v>86</v>
      </c>
      <c r="E42" s="26"/>
      <c r="F42" s="5" t="s">
        <v>94</v>
      </c>
      <c r="G42" s="30">
        <v>0.45</v>
      </c>
      <c r="I42" s="26">
        <f t="shared" si="5"/>
        <v>0</v>
      </c>
      <c r="J42" s="29">
        <f t="array" ref="J42">MAX(IF($N$3:$GU$3=$J$3,N42:GU42))</f>
        <v>0</v>
      </c>
      <c r="K42" s="29">
        <f t="array" ref="K42">MAX(IF($N$3:$GU$3=$J$3,N42:GU42))</f>
        <v>0</v>
      </c>
      <c r="L42" s="26"/>
      <c r="P42" s="27"/>
      <c r="Q42" s="30">
        <v>0.0</v>
      </c>
      <c r="R42" s="27"/>
      <c r="S42" s="30"/>
      <c r="W42" s="27"/>
      <c r="X42" s="30">
        <v>0.0</v>
      </c>
      <c r="Y42" s="27"/>
      <c r="Z42" s="30"/>
      <c r="AD42" s="27"/>
      <c r="AE42" s="27"/>
      <c r="AF42" s="27"/>
      <c r="AG42" s="30">
        <v>0.0</v>
      </c>
      <c r="AK42" s="27"/>
      <c r="AL42" s="30"/>
      <c r="AM42" s="27"/>
      <c r="AN42" s="30">
        <v>0.0</v>
      </c>
      <c r="AR42" s="27"/>
      <c r="AS42" s="30"/>
      <c r="AT42" s="27"/>
      <c r="AU42" s="30">
        <v>0.0</v>
      </c>
      <c r="AY42" s="27"/>
      <c r="AZ42" s="30"/>
      <c r="BA42" s="27"/>
      <c r="BB42" s="30">
        <v>0.0</v>
      </c>
      <c r="BD42" s="11"/>
      <c r="BF42" s="27"/>
      <c r="BG42" s="30"/>
      <c r="BH42" s="27"/>
      <c r="BI42" s="30">
        <v>0.0</v>
      </c>
      <c r="BM42" s="27"/>
      <c r="BN42" s="30"/>
      <c r="BO42" s="27"/>
      <c r="BP42" s="30">
        <v>0.0</v>
      </c>
      <c r="BR42" s="11"/>
      <c r="BT42" s="27"/>
      <c r="BU42" s="30"/>
      <c r="BV42" s="27"/>
      <c r="BW42" s="30">
        <v>0.0</v>
      </c>
      <c r="BY42" s="11"/>
      <c r="CA42" s="27"/>
      <c r="CB42" s="30"/>
      <c r="CC42" s="27"/>
      <c r="CD42" s="30">
        <v>0.5</v>
      </c>
      <c r="CF42" s="11"/>
      <c r="CH42" s="27"/>
      <c r="CI42" s="30"/>
      <c r="CJ42" s="27"/>
      <c r="CK42" s="30">
        <v>1.0</v>
      </c>
      <c r="CM42" s="11"/>
      <c r="CO42" s="27"/>
      <c r="CP42" s="30"/>
      <c r="CQ42" s="27"/>
      <c r="CR42" s="30"/>
      <c r="CT42" s="11"/>
      <c r="CV42" s="27"/>
      <c r="CW42" s="30"/>
      <c r="CX42" s="27"/>
      <c r="CY42" s="30"/>
      <c r="DA42" s="11"/>
      <c r="DC42" s="27"/>
      <c r="DD42" s="27"/>
      <c r="DE42" s="27"/>
      <c r="DF42" s="27"/>
      <c r="DH42" s="11"/>
      <c r="DJ42" s="27"/>
      <c r="DK42" s="27"/>
      <c r="DL42" s="27"/>
      <c r="DM42" s="27"/>
      <c r="DO42" s="11"/>
      <c r="DQ42" s="27"/>
      <c r="DR42" s="27"/>
      <c r="DS42" s="27"/>
      <c r="DT42" s="27"/>
    </row>
    <row r="43" ht="15.75" customHeight="1">
      <c r="C43" s="8"/>
      <c r="BD43" s="11"/>
      <c r="BR43" s="11"/>
      <c r="BY43" s="11"/>
      <c r="CF43" s="11"/>
      <c r="CM43" s="11"/>
      <c r="CT43" s="11"/>
      <c r="DA43" s="11"/>
      <c r="DH43" s="11"/>
      <c r="DO43" s="11"/>
    </row>
    <row r="44" ht="15.75" customHeight="1">
      <c r="B44" s="6" t="s">
        <v>26</v>
      </c>
      <c r="C44" s="24" t="s">
        <v>95</v>
      </c>
      <c r="D44" s="25">
        <v>44914.0</v>
      </c>
      <c r="E44" s="32">
        <v>3.0</v>
      </c>
      <c r="G44" s="27">
        <f>+SUM(G45:G50)</f>
        <v>0.8</v>
      </c>
      <c r="I44" s="28">
        <f>+SUM(I45:I50)</f>
        <v>1.5</v>
      </c>
      <c r="J44" s="29">
        <f>+SUMPRODUCT(G45:G50,J45:J50)</f>
        <v>0</v>
      </c>
      <c r="K44" s="29">
        <f>+SUMPRODUCT(G45:G50,K45:K50)</f>
        <v>0</v>
      </c>
      <c r="L44" s="26"/>
      <c r="O44" s="28">
        <f>SUM(O45:O50)</f>
        <v>0</v>
      </c>
      <c r="V44" s="28"/>
      <c r="AC44" s="28"/>
      <c r="AJ44" s="28">
        <f>SUM(AJ45:AJ50)</f>
        <v>1.5</v>
      </c>
      <c r="AQ44" s="28"/>
      <c r="AX44" s="28"/>
      <c r="BD44" s="11"/>
      <c r="BE44" s="28"/>
      <c r="BL44" s="28"/>
      <c r="BR44" s="11"/>
      <c r="BS44" s="28">
        <f>SUM(BS45:BS50)</f>
        <v>0</v>
      </c>
      <c r="BY44" s="11"/>
      <c r="BZ44" s="28"/>
      <c r="CF44" s="11"/>
      <c r="CG44" s="28"/>
      <c r="CM44" s="11"/>
      <c r="CN44" s="28"/>
      <c r="CT44" s="11"/>
      <c r="CU44" s="28"/>
      <c r="DA44" s="11"/>
      <c r="DB44" s="28">
        <f>SUM(DB45:DB50)</f>
        <v>0</v>
      </c>
      <c r="DH44" s="11"/>
      <c r="DI44" s="28">
        <f>SUM(DI45:DI50)</f>
        <v>0</v>
      </c>
      <c r="DO44" s="11"/>
      <c r="DP44" s="28"/>
    </row>
    <row r="45" ht="15.75" customHeight="1" outlineLevel="1">
      <c r="B45" s="6" t="s">
        <v>56</v>
      </c>
      <c r="C45" s="24" t="s">
        <v>96</v>
      </c>
      <c r="E45" s="26"/>
      <c r="F45" s="5" t="s">
        <v>135</v>
      </c>
      <c r="G45" s="27">
        <v>0.1</v>
      </c>
      <c r="I45" s="26">
        <f t="shared" ref="I45:I50" si="6">+SUMIF($N$3:$ACM$3,I$3,$N45:$ACM45)</f>
        <v>1.5</v>
      </c>
      <c r="J45" s="29">
        <f t="array" ref="J45">MAX(IF($N$3:$GU$3=$J$3,N45:GU45))</f>
        <v>0</v>
      </c>
      <c r="K45" s="29">
        <f t="array" ref="K45">MAX(IF($N$3:$GU$3=$J$3,N45:GU45))</f>
        <v>0</v>
      </c>
      <c r="L45" s="26"/>
      <c r="P45" s="27"/>
      <c r="Q45" s="30"/>
      <c r="R45" s="27"/>
      <c r="S45" s="30"/>
      <c r="W45" s="27"/>
      <c r="X45" s="30"/>
      <c r="Y45" s="27"/>
      <c r="Z45" s="30"/>
      <c r="AD45" s="27"/>
      <c r="AE45" s="30"/>
      <c r="AF45" s="27"/>
      <c r="AG45" s="30"/>
      <c r="AJ45" s="5">
        <v>1.5</v>
      </c>
      <c r="AK45" s="27"/>
      <c r="AL45" s="30"/>
      <c r="AM45" s="27"/>
      <c r="AN45" s="30">
        <v>0.0</v>
      </c>
      <c r="AO45" s="5">
        <v>1.0</v>
      </c>
      <c r="AR45" s="27"/>
      <c r="AS45" s="30"/>
      <c r="AT45" s="27"/>
      <c r="AU45" s="30">
        <v>0.5</v>
      </c>
      <c r="AV45" s="5">
        <v>1.0</v>
      </c>
      <c r="AY45" s="27"/>
      <c r="AZ45" s="30"/>
      <c r="BA45" s="27"/>
      <c r="BB45" s="30">
        <v>0.5</v>
      </c>
      <c r="BC45" s="5">
        <v>1.0</v>
      </c>
      <c r="BD45" s="11"/>
      <c r="BF45" s="27"/>
      <c r="BG45" s="30"/>
      <c r="BH45" s="27"/>
      <c r="BI45" s="30">
        <v>0.5</v>
      </c>
      <c r="BJ45" s="5">
        <v>0.0</v>
      </c>
      <c r="BM45" s="27"/>
      <c r="BN45" s="30"/>
      <c r="BO45" s="27"/>
      <c r="BP45" s="30">
        <v>0.5</v>
      </c>
      <c r="BQ45" s="5">
        <v>3.0</v>
      </c>
      <c r="BR45" s="11"/>
      <c r="BT45" s="27"/>
      <c r="BU45" s="30"/>
      <c r="BV45" s="27"/>
      <c r="BW45" s="30">
        <v>0.8</v>
      </c>
      <c r="BX45" s="5">
        <v>3.0</v>
      </c>
      <c r="BY45" s="11"/>
      <c r="CA45" s="27"/>
      <c r="CB45" s="30"/>
      <c r="CC45" s="27"/>
      <c r="CD45" s="30">
        <v>0.8</v>
      </c>
      <c r="CE45" s="5">
        <v>3.0</v>
      </c>
      <c r="CF45" s="11"/>
      <c r="CH45" s="27"/>
      <c r="CI45" s="30"/>
      <c r="CJ45" s="27"/>
      <c r="CK45" s="30">
        <v>1.0</v>
      </c>
      <c r="CL45" s="5">
        <v>3.0</v>
      </c>
      <c r="CM45" s="11"/>
      <c r="CO45" s="27"/>
      <c r="CP45" s="30"/>
      <c r="CQ45" s="27"/>
      <c r="CR45" s="30">
        <v>1.0</v>
      </c>
      <c r="CS45" s="5">
        <v>3.0</v>
      </c>
      <c r="CT45" s="11"/>
      <c r="CV45" s="27"/>
      <c r="CW45" s="30"/>
      <c r="CX45" s="27"/>
      <c r="CY45" s="30">
        <v>1.0</v>
      </c>
      <c r="DA45" s="11"/>
      <c r="DC45" s="27"/>
      <c r="DD45" s="27"/>
      <c r="DE45" s="27"/>
      <c r="DF45" s="27"/>
      <c r="DH45" s="11"/>
      <c r="DJ45" s="27"/>
      <c r="DK45" s="27"/>
      <c r="DL45" s="27"/>
      <c r="DM45" s="27"/>
      <c r="DO45" s="11"/>
      <c r="DQ45" s="27"/>
      <c r="DR45" s="27"/>
      <c r="DS45" s="27"/>
      <c r="DT45" s="27"/>
    </row>
    <row r="46" ht="15.75" customHeight="1" outlineLevel="1">
      <c r="B46" s="6" t="s">
        <v>56</v>
      </c>
      <c r="C46" s="24" t="s">
        <v>96</v>
      </c>
      <c r="E46" s="26"/>
      <c r="F46" s="5" t="s">
        <v>78</v>
      </c>
      <c r="G46" s="30">
        <v>0.15</v>
      </c>
      <c r="I46" s="26">
        <f t="shared" si="6"/>
        <v>0</v>
      </c>
      <c r="J46" s="29">
        <f t="array" ref="J46">MAX(IF($N$3:$GU$3=$J$3,N46:GU46))</f>
        <v>0</v>
      </c>
      <c r="K46" s="29">
        <f t="array" ref="K46">MAX(IF($N$3:$GU$3=$J$3,N46:GU46))</f>
        <v>0</v>
      </c>
      <c r="L46" s="26"/>
      <c r="P46" s="27"/>
      <c r="Q46" s="30"/>
      <c r="R46" s="27"/>
      <c r="S46" s="30"/>
      <c r="W46" s="27"/>
      <c r="X46" s="30"/>
      <c r="Y46" s="27"/>
      <c r="Z46" s="30"/>
      <c r="AD46" s="27"/>
      <c r="AE46" s="30"/>
      <c r="AF46" s="27"/>
      <c r="AG46" s="30"/>
      <c r="AK46" s="27"/>
      <c r="AL46" s="30"/>
      <c r="AM46" s="27"/>
      <c r="AN46" s="30">
        <v>0.0</v>
      </c>
      <c r="AO46" s="5" t="s">
        <v>131</v>
      </c>
      <c r="AR46" s="27"/>
      <c r="AS46" s="30"/>
      <c r="AT46" s="27"/>
      <c r="AU46" s="30">
        <v>0.0</v>
      </c>
      <c r="AY46" s="27"/>
      <c r="AZ46" s="30"/>
      <c r="BA46" s="27"/>
      <c r="BB46" s="30">
        <v>0.5</v>
      </c>
      <c r="BD46" s="11"/>
      <c r="BF46" s="27"/>
      <c r="BG46" s="30"/>
      <c r="BH46" s="27"/>
      <c r="BI46" s="30">
        <v>0.5</v>
      </c>
      <c r="BM46" s="27"/>
      <c r="BN46" s="30"/>
      <c r="BO46" s="27"/>
      <c r="BP46" s="30">
        <v>0.5</v>
      </c>
      <c r="BR46" s="11"/>
      <c r="BT46" s="27"/>
      <c r="BU46" s="30"/>
      <c r="BV46" s="27"/>
      <c r="BW46" s="30">
        <v>0.8</v>
      </c>
      <c r="BY46" s="11"/>
      <c r="CA46" s="27"/>
      <c r="CB46" s="30"/>
      <c r="CC46" s="27"/>
      <c r="CD46" s="30">
        <v>0.8</v>
      </c>
      <c r="CF46" s="11"/>
      <c r="CH46" s="27"/>
      <c r="CI46" s="30"/>
      <c r="CJ46" s="27"/>
      <c r="CK46" s="30">
        <v>1.0</v>
      </c>
      <c r="CM46" s="11"/>
      <c r="CO46" s="27"/>
      <c r="CP46" s="30"/>
      <c r="CQ46" s="27"/>
      <c r="CR46" s="30">
        <v>1.0</v>
      </c>
      <c r="CT46" s="11"/>
      <c r="CV46" s="27"/>
      <c r="CW46" s="30"/>
      <c r="CX46" s="27"/>
      <c r="CY46" s="30">
        <v>1.0</v>
      </c>
      <c r="DA46" s="11"/>
      <c r="DC46" s="27"/>
      <c r="DD46" s="27"/>
      <c r="DE46" s="27"/>
      <c r="DF46" s="27"/>
      <c r="DH46" s="11"/>
      <c r="DJ46" s="27"/>
      <c r="DK46" s="27"/>
      <c r="DL46" s="27"/>
      <c r="DM46" s="27"/>
      <c r="DO46" s="11"/>
      <c r="DQ46" s="27"/>
      <c r="DR46" s="27"/>
      <c r="DS46" s="27"/>
      <c r="DT46" s="27"/>
    </row>
    <row r="47" ht="15.75" customHeight="1" outlineLevel="1">
      <c r="B47" s="6" t="s">
        <v>56</v>
      </c>
      <c r="C47" s="24" t="s">
        <v>96</v>
      </c>
      <c r="E47" s="26"/>
      <c r="F47" s="5" t="s">
        <v>79</v>
      </c>
      <c r="G47" s="30">
        <v>0.15</v>
      </c>
      <c r="I47" s="26">
        <f t="shared" si="6"/>
        <v>0</v>
      </c>
      <c r="J47" s="29">
        <f t="array" ref="J47">MAX(IF($N$3:$GU$3=$J$3,N47:GU47))</f>
        <v>0</v>
      </c>
      <c r="K47" s="29">
        <f t="array" ref="K47">MAX(IF($N$3:$GU$3=$J$3,N47:GU47))</f>
        <v>0</v>
      </c>
      <c r="L47" s="26"/>
      <c r="P47" s="27"/>
      <c r="Q47" s="30"/>
      <c r="R47" s="27"/>
      <c r="S47" s="30"/>
      <c r="W47" s="27"/>
      <c r="X47" s="30"/>
      <c r="Y47" s="27"/>
      <c r="Z47" s="30"/>
      <c r="AD47" s="27"/>
      <c r="AE47" s="30"/>
      <c r="AF47" s="27"/>
      <c r="AG47" s="30"/>
      <c r="AK47" s="27"/>
      <c r="AL47" s="30"/>
      <c r="AM47" s="27"/>
      <c r="AN47" s="30">
        <v>0.0</v>
      </c>
      <c r="AR47" s="27"/>
      <c r="AS47" s="30"/>
      <c r="AT47" s="27"/>
      <c r="AU47" s="30">
        <v>0.0</v>
      </c>
      <c r="AY47" s="27"/>
      <c r="AZ47" s="30"/>
      <c r="BA47" s="27"/>
      <c r="BB47" s="30">
        <v>0.0</v>
      </c>
      <c r="BD47" s="11"/>
      <c r="BF47" s="27"/>
      <c r="BG47" s="30"/>
      <c r="BH47" s="27"/>
      <c r="BI47" s="30">
        <v>0.5</v>
      </c>
      <c r="BM47" s="27"/>
      <c r="BN47" s="30"/>
      <c r="BO47" s="27"/>
      <c r="BP47" s="30">
        <v>0.5</v>
      </c>
      <c r="BR47" s="11"/>
      <c r="BT47" s="27"/>
      <c r="BU47" s="30"/>
      <c r="BV47" s="27"/>
      <c r="BW47" s="30">
        <v>0.5</v>
      </c>
      <c r="BY47" s="11"/>
      <c r="CA47" s="27"/>
      <c r="CB47" s="30"/>
      <c r="CC47" s="27"/>
      <c r="CD47" s="30">
        <v>0.8</v>
      </c>
      <c r="CF47" s="11"/>
      <c r="CH47" s="27"/>
      <c r="CI47" s="30"/>
      <c r="CJ47" s="27"/>
      <c r="CK47" s="30">
        <v>0.8</v>
      </c>
      <c r="CM47" s="11"/>
      <c r="CO47" s="27"/>
      <c r="CP47" s="30"/>
      <c r="CQ47" s="27"/>
      <c r="CR47" s="30">
        <v>1.0</v>
      </c>
      <c r="CT47" s="11"/>
      <c r="CV47" s="27"/>
      <c r="CW47" s="30"/>
      <c r="CX47" s="27"/>
      <c r="CY47" s="30">
        <v>1.0</v>
      </c>
      <c r="DA47" s="11"/>
      <c r="DC47" s="27"/>
      <c r="DD47" s="27"/>
      <c r="DE47" s="27"/>
      <c r="DF47" s="27"/>
      <c r="DH47" s="11"/>
      <c r="DJ47" s="27"/>
      <c r="DK47" s="27"/>
      <c r="DL47" s="27"/>
      <c r="DM47" s="27"/>
      <c r="DO47" s="11"/>
      <c r="DQ47" s="27"/>
      <c r="DR47" s="27"/>
      <c r="DS47" s="27"/>
      <c r="DT47" s="27"/>
    </row>
    <row r="48" ht="15.75" customHeight="1" outlineLevel="1">
      <c r="B48" s="6" t="s">
        <v>56</v>
      </c>
      <c r="C48" s="24" t="s">
        <v>96</v>
      </c>
      <c r="E48" s="26"/>
      <c r="F48" s="5" t="s">
        <v>80</v>
      </c>
      <c r="G48" s="30">
        <v>0.15</v>
      </c>
      <c r="I48" s="26">
        <f t="shared" si="6"/>
        <v>0</v>
      </c>
      <c r="J48" s="29">
        <f t="array" ref="J48">MAX(IF($N$3:$GU$3=$J$3,N48:GU48))</f>
        <v>0</v>
      </c>
      <c r="K48" s="29">
        <f t="array" ref="K48">MAX(IF($N$3:$GU$3=$J$3,N48:GU48))</f>
        <v>0</v>
      </c>
      <c r="L48" s="26"/>
      <c r="P48" s="27"/>
      <c r="Q48" s="30"/>
      <c r="R48" s="27"/>
      <c r="S48" s="30"/>
      <c r="W48" s="27"/>
      <c r="X48" s="30"/>
      <c r="Y48" s="27"/>
      <c r="Z48" s="30"/>
      <c r="AD48" s="27"/>
      <c r="AE48" s="30"/>
      <c r="AF48" s="27"/>
      <c r="AG48" s="30"/>
      <c r="AK48" s="27"/>
      <c r="AL48" s="30"/>
      <c r="AM48" s="27"/>
      <c r="AN48" s="30">
        <v>0.0</v>
      </c>
      <c r="AR48" s="27"/>
      <c r="AS48" s="30"/>
      <c r="AT48" s="27"/>
      <c r="AU48" s="30">
        <v>0.0</v>
      </c>
      <c r="AY48" s="27"/>
      <c r="AZ48" s="30"/>
      <c r="BA48" s="27"/>
      <c r="BB48" s="30">
        <v>0.0</v>
      </c>
      <c r="BD48" s="11"/>
      <c r="BF48" s="27"/>
      <c r="BG48" s="30"/>
      <c r="BH48" s="27"/>
      <c r="BI48" s="30">
        <v>0.0</v>
      </c>
      <c r="BM48" s="27"/>
      <c r="BN48" s="30"/>
      <c r="BO48" s="27"/>
      <c r="BP48" s="30">
        <v>0.0</v>
      </c>
      <c r="BR48" s="11"/>
      <c r="BT48" s="27"/>
      <c r="BU48" s="30"/>
      <c r="BV48" s="27"/>
      <c r="BW48" s="30">
        <v>0.5</v>
      </c>
      <c r="BY48" s="11"/>
      <c r="CA48" s="27"/>
      <c r="CB48" s="30"/>
      <c r="CC48" s="27"/>
      <c r="CD48" s="30">
        <v>0.8</v>
      </c>
      <c r="CF48" s="11"/>
      <c r="CH48" s="27"/>
      <c r="CI48" s="30"/>
      <c r="CJ48" s="27"/>
      <c r="CK48" s="30">
        <v>0.8</v>
      </c>
      <c r="CM48" s="11"/>
      <c r="CO48" s="27"/>
      <c r="CP48" s="30"/>
      <c r="CQ48" s="27"/>
      <c r="CR48" s="30">
        <v>0.8</v>
      </c>
      <c r="CT48" s="11"/>
      <c r="CV48" s="27"/>
      <c r="CW48" s="30"/>
      <c r="CX48" s="27"/>
      <c r="CY48" s="30">
        <v>1.0</v>
      </c>
      <c r="DA48" s="11"/>
      <c r="DC48" s="27"/>
      <c r="DD48" s="27"/>
      <c r="DE48" s="27"/>
      <c r="DF48" s="27"/>
      <c r="DH48" s="11"/>
      <c r="DJ48" s="27"/>
      <c r="DK48" s="27"/>
      <c r="DL48" s="27"/>
      <c r="DM48" s="27"/>
      <c r="DO48" s="11"/>
      <c r="DQ48" s="27"/>
      <c r="DR48" s="27"/>
      <c r="DS48" s="27"/>
      <c r="DT48" s="27"/>
    </row>
    <row r="49" ht="15.75" customHeight="1" outlineLevel="1">
      <c r="B49" s="6" t="s">
        <v>56</v>
      </c>
      <c r="C49" s="24" t="s">
        <v>96</v>
      </c>
      <c r="E49" s="26"/>
      <c r="F49" s="5" t="s">
        <v>81</v>
      </c>
      <c r="G49" s="30">
        <v>0.15</v>
      </c>
      <c r="I49" s="26">
        <f t="shared" si="6"/>
        <v>0</v>
      </c>
      <c r="J49" s="29">
        <f t="array" ref="J49">MAX(IF($N$3:$GU$3=$J$3,N49:GU49))</f>
        <v>0</v>
      </c>
      <c r="K49" s="29">
        <f t="array" ref="K49">MAX(IF($N$3:$GU$3=$J$3,N49:GU49))</f>
        <v>0</v>
      </c>
      <c r="L49" s="26"/>
      <c r="P49" s="27"/>
      <c r="Q49" s="27"/>
      <c r="R49" s="27"/>
      <c r="S49" s="30"/>
      <c r="W49" s="27"/>
      <c r="X49" s="30"/>
      <c r="Y49" s="27"/>
      <c r="Z49" s="30"/>
      <c r="AD49" s="27"/>
      <c r="AE49" s="27"/>
      <c r="AF49" s="27"/>
      <c r="AG49" s="30"/>
      <c r="AK49" s="27"/>
      <c r="AL49" s="30"/>
      <c r="AM49" s="27"/>
      <c r="AN49" s="30">
        <v>0.0</v>
      </c>
      <c r="AR49" s="27"/>
      <c r="AS49" s="30"/>
      <c r="AT49" s="27"/>
      <c r="AU49" s="30">
        <v>0.0</v>
      </c>
      <c r="AY49" s="27"/>
      <c r="AZ49" s="30"/>
      <c r="BA49" s="27"/>
      <c r="BB49" s="30">
        <v>0.0</v>
      </c>
      <c r="BD49" s="11"/>
      <c r="BF49" s="27"/>
      <c r="BG49" s="30"/>
      <c r="BH49" s="27"/>
      <c r="BI49" s="30">
        <v>0.0</v>
      </c>
      <c r="BM49" s="27"/>
      <c r="BN49" s="30"/>
      <c r="BO49" s="27"/>
      <c r="BP49" s="30">
        <v>0.0</v>
      </c>
      <c r="BR49" s="11"/>
      <c r="BT49" s="27"/>
      <c r="BU49" s="30"/>
      <c r="BV49" s="27"/>
      <c r="BW49" s="30">
        <v>0.0</v>
      </c>
      <c r="BY49" s="11"/>
      <c r="CA49" s="27"/>
      <c r="CB49" s="30"/>
      <c r="CC49" s="27"/>
      <c r="CD49" s="30">
        <v>0.5</v>
      </c>
      <c r="CF49" s="11"/>
      <c r="CH49" s="27"/>
      <c r="CI49" s="30"/>
      <c r="CJ49" s="27"/>
      <c r="CK49" s="30">
        <v>0.5</v>
      </c>
      <c r="CM49" s="11"/>
      <c r="CO49" s="27"/>
      <c r="CP49" s="30"/>
      <c r="CQ49" s="27"/>
      <c r="CR49" s="30">
        <v>0.8</v>
      </c>
      <c r="CT49" s="11"/>
      <c r="CV49" s="27"/>
      <c r="CW49" s="30"/>
      <c r="CX49" s="27"/>
      <c r="CY49" s="30">
        <v>1.0</v>
      </c>
      <c r="DA49" s="11"/>
      <c r="DC49" s="27"/>
      <c r="DD49" s="27"/>
      <c r="DE49" s="27"/>
      <c r="DF49" s="27"/>
      <c r="DH49" s="11"/>
      <c r="DJ49" s="27"/>
      <c r="DK49" s="27"/>
      <c r="DL49" s="27"/>
      <c r="DM49" s="27"/>
      <c r="DO49" s="11"/>
      <c r="DQ49" s="27"/>
      <c r="DR49" s="27"/>
      <c r="DS49" s="27"/>
      <c r="DT49" s="27"/>
    </row>
    <row r="50" ht="15.75" customHeight="1" outlineLevel="1">
      <c r="B50" s="6" t="s">
        <v>56</v>
      </c>
      <c r="C50" s="24" t="s">
        <v>96</v>
      </c>
      <c r="E50" s="26"/>
      <c r="F50" s="5" t="s">
        <v>82</v>
      </c>
      <c r="G50" s="27">
        <v>0.1</v>
      </c>
      <c r="I50" s="26">
        <f t="shared" si="6"/>
        <v>0</v>
      </c>
      <c r="J50" s="29">
        <f t="array" ref="J50">MAX(IF($N$3:$GU$3=$J$3,N50:GU50))</f>
        <v>0</v>
      </c>
      <c r="K50" s="29">
        <f t="array" ref="K50">MAX(IF($N$3:$GU$3=$J$3,N50:GU50))</f>
        <v>0</v>
      </c>
      <c r="L50" s="26"/>
      <c r="P50" s="27"/>
      <c r="Q50" s="27"/>
      <c r="R50" s="27"/>
      <c r="S50" s="30"/>
      <c r="W50" s="27"/>
      <c r="X50" s="30"/>
      <c r="Y50" s="27"/>
      <c r="Z50" s="30"/>
      <c r="AD50" s="27"/>
      <c r="AE50" s="27"/>
      <c r="AF50" s="27"/>
      <c r="AG50" s="30"/>
      <c r="AK50" s="27"/>
      <c r="AL50" s="30"/>
      <c r="AM50" s="27"/>
      <c r="AN50" s="30">
        <v>0.0</v>
      </c>
      <c r="AR50" s="27"/>
      <c r="AS50" s="30"/>
      <c r="AT50" s="27"/>
      <c r="AU50" s="30">
        <v>0.0</v>
      </c>
      <c r="AY50" s="27"/>
      <c r="AZ50" s="30"/>
      <c r="BA50" s="27"/>
      <c r="BB50" s="30">
        <v>0.0</v>
      </c>
      <c r="BD50" s="11"/>
      <c r="BF50" s="27"/>
      <c r="BG50" s="30"/>
      <c r="BH50" s="27"/>
      <c r="BI50" s="30">
        <v>0.0</v>
      </c>
      <c r="BM50" s="27"/>
      <c r="BN50" s="30"/>
      <c r="BO50" s="27"/>
      <c r="BP50" s="30">
        <v>0.0</v>
      </c>
      <c r="BR50" s="11"/>
      <c r="BT50" s="27"/>
      <c r="BU50" s="30"/>
      <c r="BV50" s="27"/>
      <c r="BW50" s="30">
        <v>0.0</v>
      </c>
      <c r="BY50" s="11"/>
      <c r="CA50" s="27"/>
      <c r="CB50" s="30"/>
      <c r="CC50" s="27"/>
      <c r="CD50" s="30">
        <v>0.0</v>
      </c>
      <c r="CF50" s="11"/>
      <c r="CH50" s="27"/>
      <c r="CI50" s="30"/>
      <c r="CJ50" s="27"/>
      <c r="CK50" s="30">
        <v>0.5</v>
      </c>
      <c r="CM50" s="11"/>
      <c r="CO50" s="27"/>
      <c r="CP50" s="30"/>
      <c r="CQ50" s="27"/>
      <c r="CR50" s="30">
        <v>0.8</v>
      </c>
      <c r="CT50" s="11"/>
      <c r="CV50" s="27"/>
      <c r="CW50" s="30"/>
      <c r="CX50" s="27"/>
      <c r="CY50" s="30">
        <v>1.0</v>
      </c>
      <c r="DA50" s="11"/>
      <c r="DC50" s="27"/>
      <c r="DD50" s="27"/>
      <c r="DE50" s="27"/>
      <c r="DF50" s="27"/>
      <c r="DH50" s="11"/>
      <c r="DJ50" s="27"/>
      <c r="DK50" s="27"/>
      <c r="DL50" s="27"/>
      <c r="DM50" s="27"/>
      <c r="DO50" s="11"/>
      <c r="DQ50" s="27"/>
      <c r="DR50" s="27"/>
      <c r="DS50" s="27"/>
      <c r="DT50" s="27"/>
    </row>
    <row r="51" ht="15.75" customHeight="1">
      <c r="C51" s="8"/>
      <c r="BD51" s="11"/>
      <c r="BR51" s="11"/>
      <c r="BY51" s="11"/>
      <c r="CF51" s="11"/>
      <c r="CM51" s="11"/>
      <c r="CT51" s="11"/>
      <c r="DA51" s="11"/>
      <c r="DH51" s="11"/>
      <c r="DO51" s="11"/>
    </row>
    <row r="52" ht="15.75" customHeight="1">
      <c r="B52" s="6" t="s">
        <v>26</v>
      </c>
      <c r="C52" s="24" t="s">
        <v>97</v>
      </c>
      <c r="D52" s="25">
        <v>44914.0</v>
      </c>
      <c r="E52" s="26">
        <v>6.0</v>
      </c>
      <c r="G52" s="27">
        <f>+SUM(G53:G64)</f>
        <v>1</v>
      </c>
      <c r="I52" s="28">
        <f>+SUM(I53:I64)</f>
        <v>16.5</v>
      </c>
      <c r="J52" s="29">
        <f>+SUMPRODUCT(G53:G64,J53:J64)</f>
        <v>0.135</v>
      </c>
      <c r="K52" s="29"/>
      <c r="L52" s="26"/>
      <c r="O52" s="35">
        <f>SUM(O53:O66)</f>
        <v>7</v>
      </c>
      <c r="V52" s="34">
        <f>SUM(V53:V66)</f>
        <v>4</v>
      </c>
      <c r="AC52" s="28">
        <f>SUM(AC53:AC66)</f>
        <v>2.5</v>
      </c>
      <c r="AJ52" s="28">
        <f>SUM(AJ53:AJ66)</f>
        <v>3</v>
      </c>
      <c r="AQ52" s="28"/>
      <c r="AX52" s="28"/>
      <c r="BD52" s="11"/>
      <c r="BE52" s="28"/>
      <c r="BL52" s="28"/>
      <c r="BR52" s="11"/>
      <c r="BS52" s="28">
        <f>SUM(BS53:BS66)</f>
        <v>0</v>
      </c>
      <c r="BY52" s="11"/>
      <c r="BZ52" s="28"/>
      <c r="CF52" s="11"/>
      <c r="CG52" s="28"/>
      <c r="CM52" s="11"/>
      <c r="CN52" s="28"/>
      <c r="CT52" s="11"/>
      <c r="CU52" s="28"/>
      <c r="DA52" s="11"/>
      <c r="DB52" s="28">
        <f>SUM(DB53:DB66)</f>
        <v>0</v>
      </c>
      <c r="DH52" s="11"/>
      <c r="DI52" s="28">
        <f>SUM(DI53:DI66)</f>
        <v>0</v>
      </c>
      <c r="DO52" s="11"/>
      <c r="DP52" s="28"/>
    </row>
    <row r="53" ht="15.75" customHeight="1" outlineLevel="1">
      <c r="B53" s="6" t="s">
        <v>56</v>
      </c>
      <c r="C53" s="24" t="s">
        <v>97</v>
      </c>
      <c r="E53" s="26"/>
      <c r="F53" s="5" t="s">
        <v>98</v>
      </c>
      <c r="G53" s="27">
        <v>0.1</v>
      </c>
      <c r="I53" s="26">
        <f t="shared" ref="I53:I66" si="7">+SUMIF($N$3:$ACM$3,I$3,$N53:$ACM53)</f>
        <v>3.5</v>
      </c>
      <c r="J53" s="29">
        <f t="array" ref="J53">MAX(IF($N$3:$GU$3=$J$3,N53:GU53))</f>
        <v>0.8</v>
      </c>
      <c r="K53" s="29"/>
      <c r="L53" s="26"/>
      <c r="O53" s="5">
        <v>3.5</v>
      </c>
      <c r="P53" s="30">
        <v>0.8</v>
      </c>
      <c r="Q53" s="30">
        <v>1.0</v>
      </c>
      <c r="R53" s="27"/>
      <c r="S53" s="30"/>
      <c r="T53" s="5">
        <v>2.0</v>
      </c>
      <c r="W53" s="30">
        <v>0.8</v>
      </c>
      <c r="X53" s="30">
        <v>1.0</v>
      </c>
      <c r="Y53" s="30"/>
      <c r="AA53" s="5">
        <v>2.0</v>
      </c>
      <c r="AD53" s="30"/>
      <c r="AE53" s="30"/>
      <c r="AF53" s="30">
        <v>0.8</v>
      </c>
      <c r="AG53" s="30">
        <v>1.0</v>
      </c>
      <c r="AH53" s="5">
        <v>4.0</v>
      </c>
      <c r="AK53" s="30"/>
      <c r="AL53" s="30"/>
      <c r="AM53" s="30">
        <v>0.8</v>
      </c>
      <c r="AN53" s="30">
        <v>1.0</v>
      </c>
      <c r="AO53" s="5">
        <v>4.0</v>
      </c>
      <c r="AR53" s="30"/>
      <c r="AS53" s="30"/>
      <c r="AT53" s="27"/>
      <c r="AU53" s="30">
        <v>1.0</v>
      </c>
      <c r="AV53" s="5">
        <v>4.0</v>
      </c>
      <c r="AY53" s="30"/>
      <c r="AZ53" s="30"/>
      <c r="BA53" s="27"/>
      <c r="BB53" s="30">
        <v>1.0</v>
      </c>
      <c r="BC53" s="5">
        <v>4.0</v>
      </c>
      <c r="BD53" s="11"/>
      <c r="BF53" s="30"/>
      <c r="BG53" s="30"/>
      <c r="BH53" s="27"/>
      <c r="BI53" s="30">
        <v>1.0</v>
      </c>
      <c r="BJ53" s="5">
        <v>2.0</v>
      </c>
      <c r="BM53" s="30"/>
      <c r="BN53" s="30"/>
      <c r="BO53" s="27"/>
      <c r="BP53" s="30">
        <v>1.0</v>
      </c>
      <c r="BQ53" s="5">
        <v>0.0</v>
      </c>
      <c r="BR53" s="11"/>
      <c r="BT53" s="30"/>
      <c r="BU53" s="30"/>
      <c r="BV53" s="27"/>
      <c r="BW53" s="30">
        <v>1.0</v>
      </c>
      <c r="BX53" s="5">
        <v>4.0</v>
      </c>
      <c r="BY53" s="11"/>
      <c r="CA53" s="30"/>
      <c r="CB53" s="30"/>
      <c r="CC53" s="27"/>
      <c r="CD53" s="30">
        <v>1.0</v>
      </c>
      <c r="CE53" s="5">
        <v>4.0</v>
      </c>
      <c r="CF53" s="11"/>
      <c r="CH53" s="30"/>
      <c r="CI53" s="30"/>
      <c r="CJ53" s="27"/>
      <c r="CK53" s="30">
        <v>1.0</v>
      </c>
      <c r="CL53" s="5">
        <v>4.0</v>
      </c>
      <c r="CM53" s="11"/>
      <c r="CO53" s="30"/>
      <c r="CP53" s="30"/>
      <c r="CQ53" s="27"/>
      <c r="CR53" s="30">
        <v>1.0</v>
      </c>
      <c r="CS53" s="5">
        <v>4.0</v>
      </c>
      <c r="CT53" s="11"/>
      <c r="CV53" s="30"/>
      <c r="CW53" s="30"/>
      <c r="CX53" s="27"/>
      <c r="CY53" s="30">
        <v>1.0</v>
      </c>
      <c r="DA53" s="11"/>
      <c r="DC53" s="30"/>
      <c r="DD53" s="30"/>
      <c r="DE53" s="27"/>
      <c r="DF53" s="27"/>
      <c r="DH53" s="11"/>
      <c r="DJ53" s="30"/>
      <c r="DK53" s="30"/>
      <c r="DL53" s="27"/>
      <c r="DM53" s="27"/>
      <c r="DO53" s="11"/>
      <c r="DQ53" s="30"/>
      <c r="DR53" s="30"/>
      <c r="DS53" s="27"/>
      <c r="DT53" s="27"/>
    </row>
    <row r="54" ht="15.75" customHeight="1" outlineLevel="1">
      <c r="B54" s="6" t="s">
        <v>56</v>
      </c>
      <c r="C54" s="24" t="s">
        <v>97</v>
      </c>
      <c r="E54" s="26"/>
      <c r="F54" s="5" t="s">
        <v>99</v>
      </c>
      <c r="G54" s="27">
        <v>0.05</v>
      </c>
      <c r="I54" s="26">
        <f t="shared" si="7"/>
        <v>5.5</v>
      </c>
      <c r="J54" s="29">
        <f t="array" ref="J54">MAX(IF($N$3:$GU$3=$J$3,N54:GU54))</f>
        <v>0.8</v>
      </c>
      <c r="K54" s="29"/>
      <c r="L54" s="26"/>
      <c r="O54" s="5">
        <v>3.5</v>
      </c>
      <c r="P54" s="30">
        <v>0.4</v>
      </c>
      <c r="Q54" s="30">
        <v>0.5</v>
      </c>
      <c r="R54" s="27"/>
      <c r="S54" s="30"/>
      <c r="V54" s="5">
        <v>2.0</v>
      </c>
      <c r="W54" s="30">
        <v>0.8</v>
      </c>
      <c r="X54" s="30">
        <v>0.8</v>
      </c>
      <c r="Y54" s="30"/>
      <c r="AD54" s="30"/>
      <c r="AE54" s="30"/>
      <c r="AF54" s="30">
        <v>0.8</v>
      </c>
      <c r="AG54" s="30">
        <v>0.8</v>
      </c>
      <c r="AK54" s="30"/>
      <c r="AL54" s="30"/>
      <c r="AM54" s="30">
        <v>0.8</v>
      </c>
      <c r="AN54" s="30">
        <v>0.8</v>
      </c>
      <c r="AR54" s="30"/>
      <c r="AS54" s="30"/>
      <c r="AT54" s="27"/>
      <c r="AU54" s="30">
        <v>1.0</v>
      </c>
      <c r="AY54" s="30"/>
      <c r="AZ54" s="30"/>
      <c r="BA54" s="27"/>
      <c r="BB54" s="30">
        <v>1.0</v>
      </c>
      <c r="BD54" s="11"/>
      <c r="BF54" s="30"/>
      <c r="BG54" s="30"/>
      <c r="BH54" s="27"/>
      <c r="BI54" s="30">
        <v>1.0</v>
      </c>
      <c r="BM54" s="30"/>
      <c r="BN54" s="30"/>
      <c r="BO54" s="27"/>
      <c r="BP54" s="30">
        <v>1.0</v>
      </c>
      <c r="BR54" s="11"/>
      <c r="BT54" s="30"/>
      <c r="BU54" s="30"/>
      <c r="BV54" s="27"/>
      <c r="BW54" s="30">
        <v>1.0</v>
      </c>
      <c r="BY54" s="11"/>
      <c r="CA54" s="30"/>
      <c r="CB54" s="30"/>
      <c r="CC54" s="27"/>
      <c r="CD54" s="30">
        <v>1.0</v>
      </c>
      <c r="CF54" s="11"/>
      <c r="CH54" s="30"/>
      <c r="CI54" s="30"/>
      <c r="CJ54" s="27"/>
      <c r="CK54" s="30">
        <v>1.0</v>
      </c>
      <c r="CM54" s="11"/>
      <c r="CO54" s="30"/>
      <c r="CP54" s="30"/>
      <c r="CQ54" s="27"/>
      <c r="CR54" s="30">
        <v>1.0</v>
      </c>
      <c r="CT54" s="11"/>
      <c r="CV54" s="30"/>
      <c r="CW54" s="30"/>
      <c r="CX54" s="27"/>
      <c r="CY54" s="30">
        <v>1.0</v>
      </c>
      <c r="DA54" s="11"/>
      <c r="DC54" s="30"/>
      <c r="DD54" s="27"/>
      <c r="DE54" s="27"/>
      <c r="DF54" s="27"/>
      <c r="DH54" s="11"/>
      <c r="DJ54" s="30"/>
      <c r="DK54" s="27"/>
      <c r="DL54" s="27"/>
      <c r="DM54" s="27"/>
      <c r="DO54" s="11"/>
      <c r="DQ54" s="30"/>
      <c r="DR54" s="27"/>
      <c r="DS54" s="27"/>
      <c r="DT54" s="27"/>
    </row>
    <row r="55" ht="15.75" customHeight="1" outlineLevel="1">
      <c r="B55" s="6" t="s">
        <v>56</v>
      </c>
      <c r="C55" s="24" t="s">
        <v>97</v>
      </c>
      <c r="E55" s="26"/>
      <c r="F55" s="5" t="s">
        <v>100</v>
      </c>
      <c r="G55" s="27">
        <v>0.05</v>
      </c>
      <c r="I55" s="26">
        <f t="shared" si="7"/>
        <v>6</v>
      </c>
      <c r="J55" s="29">
        <f t="array" ref="J55">MAX(IF($N$3:$GU$3=$J$3,N55:GU55))</f>
        <v>0.3</v>
      </c>
      <c r="K55" s="29"/>
      <c r="L55" s="26"/>
      <c r="P55" s="30"/>
      <c r="Q55" s="30">
        <v>0.0</v>
      </c>
      <c r="R55" s="27"/>
      <c r="S55" s="30"/>
      <c r="V55" s="5">
        <v>2.0</v>
      </c>
      <c r="W55" s="30">
        <v>0.3</v>
      </c>
      <c r="X55" s="30">
        <v>0.5</v>
      </c>
      <c r="Y55" s="27"/>
      <c r="AC55" s="5">
        <v>1.0</v>
      </c>
      <c r="AD55" s="30"/>
      <c r="AE55" s="30"/>
      <c r="AF55" s="30">
        <v>0.3</v>
      </c>
      <c r="AG55" s="30">
        <v>0.5</v>
      </c>
      <c r="AJ55" s="5">
        <v>3.0</v>
      </c>
      <c r="AK55" s="30"/>
      <c r="AL55" s="30"/>
      <c r="AM55" s="30">
        <v>0.3</v>
      </c>
      <c r="AN55" s="30">
        <v>0.8</v>
      </c>
      <c r="AR55" s="30"/>
      <c r="AS55" s="30"/>
      <c r="AT55" s="27"/>
      <c r="AU55" s="30">
        <v>1.0</v>
      </c>
      <c r="AY55" s="30"/>
      <c r="AZ55" s="30"/>
      <c r="BA55" s="27"/>
      <c r="BB55" s="30">
        <v>1.0</v>
      </c>
      <c r="BD55" s="11"/>
      <c r="BF55" s="30"/>
      <c r="BG55" s="30"/>
      <c r="BH55" s="27"/>
      <c r="BI55" s="30">
        <v>1.0</v>
      </c>
      <c r="BM55" s="30"/>
      <c r="BN55" s="30"/>
      <c r="BO55" s="27"/>
      <c r="BP55" s="30">
        <v>1.0</v>
      </c>
      <c r="BR55" s="11"/>
      <c r="BT55" s="30"/>
      <c r="BU55" s="30"/>
      <c r="BV55" s="27"/>
      <c r="BW55" s="30">
        <v>1.0</v>
      </c>
      <c r="BY55" s="11"/>
      <c r="CA55" s="30"/>
      <c r="CB55" s="30"/>
      <c r="CC55" s="27"/>
      <c r="CD55" s="30">
        <v>1.0</v>
      </c>
      <c r="CF55" s="11"/>
      <c r="CH55" s="30"/>
      <c r="CI55" s="30"/>
      <c r="CJ55" s="27"/>
      <c r="CK55" s="30">
        <v>1.0</v>
      </c>
      <c r="CM55" s="11"/>
      <c r="CO55" s="30"/>
      <c r="CP55" s="30"/>
      <c r="CQ55" s="27"/>
      <c r="CR55" s="30">
        <v>1.0</v>
      </c>
      <c r="CT55" s="11"/>
      <c r="CV55" s="30"/>
      <c r="CW55" s="30"/>
      <c r="CX55" s="27"/>
      <c r="CY55" s="30">
        <v>1.0</v>
      </c>
      <c r="DA55" s="11"/>
      <c r="DC55" s="30"/>
      <c r="DD55" s="27"/>
      <c r="DE55" s="27"/>
      <c r="DF55" s="27"/>
      <c r="DH55" s="11"/>
      <c r="DJ55" s="30"/>
      <c r="DK55" s="27"/>
      <c r="DL55" s="27"/>
      <c r="DM55" s="27"/>
      <c r="DO55" s="11"/>
      <c r="DQ55" s="30"/>
      <c r="DR55" s="27"/>
      <c r="DS55" s="27"/>
      <c r="DT55" s="27"/>
    </row>
    <row r="56" ht="15.75" customHeight="1" outlineLevel="1">
      <c r="B56" s="6" t="s">
        <v>56</v>
      </c>
      <c r="C56" s="24" t="s">
        <v>97</v>
      </c>
      <c r="E56" s="26"/>
      <c r="F56" s="5" t="s">
        <v>101</v>
      </c>
      <c r="G56" s="27">
        <v>0.05</v>
      </c>
      <c r="I56" s="26">
        <f t="shared" si="7"/>
        <v>1.5</v>
      </c>
      <c r="J56" s="29">
        <f t="array" ref="J56">MAX(IF($N$3:$GU$3=$J$3,N56:GU56))</f>
        <v>0</v>
      </c>
      <c r="K56" s="29"/>
      <c r="L56" s="26"/>
      <c r="P56" s="27"/>
      <c r="Q56" s="30">
        <v>0.0</v>
      </c>
      <c r="R56" s="27"/>
      <c r="S56" s="30"/>
      <c r="W56" s="27"/>
      <c r="X56" s="30">
        <v>0.0</v>
      </c>
      <c r="Y56" s="27"/>
      <c r="AC56" s="5">
        <v>1.5</v>
      </c>
      <c r="AD56" s="27"/>
      <c r="AE56" s="30"/>
      <c r="AF56" s="27"/>
      <c r="AG56" s="30">
        <v>0.5</v>
      </c>
      <c r="AK56" s="27"/>
      <c r="AL56" s="30"/>
      <c r="AM56" s="27"/>
      <c r="AN56" s="30">
        <v>0.8</v>
      </c>
      <c r="AR56" s="27"/>
      <c r="AS56" s="30"/>
      <c r="AT56" s="27"/>
      <c r="AU56" s="30">
        <v>0.8</v>
      </c>
      <c r="AY56" s="27"/>
      <c r="AZ56" s="30"/>
      <c r="BA56" s="27"/>
      <c r="BB56" s="30">
        <v>0.8</v>
      </c>
      <c r="BD56" s="11"/>
      <c r="BF56" s="27"/>
      <c r="BG56" s="30"/>
      <c r="BH56" s="27"/>
      <c r="BI56" s="30">
        <v>0.8</v>
      </c>
      <c r="BM56" s="27"/>
      <c r="BN56" s="30"/>
      <c r="BO56" s="27"/>
      <c r="BP56" s="30">
        <v>0.8</v>
      </c>
      <c r="BR56" s="11"/>
      <c r="BT56" s="27"/>
      <c r="BU56" s="30"/>
      <c r="BV56" s="27"/>
      <c r="BW56" s="30">
        <v>0.8</v>
      </c>
      <c r="BY56" s="11"/>
      <c r="CA56" s="27"/>
      <c r="CB56" s="30"/>
      <c r="CC56" s="27"/>
      <c r="CD56" s="30">
        <v>1.0</v>
      </c>
      <c r="CF56" s="11"/>
      <c r="CH56" s="27"/>
      <c r="CI56" s="30"/>
      <c r="CJ56" s="27"/>
      <c r="CK56" s="30">
        <v>1.0</v>
      </c>
      <c r="CM56" s="11"/>
      <c r="CO56" s="27"/>
      <c r="CP56" s="30"/>
      <c r="CQ56" s="27"/>
      <c r="CR56" s="30">
        <v>1.0</v>
      </c>
      <c r="CT56" s="11"/>
      <c r="CV56" s="27"/>
      <c r="CW56" s="30"/>
      <c r="CX56" s="27"/>
      <c r="CY56" s="30">
        <v>1.0</v>
      </c>
      <c r="DA56" s="11"/>
      <c r="DC56" s="27"/>
      <c r="DD56" s="27"/>
      <c r="DE56" s="27"/>
      <c r="DF56" s="27"/>
      <c r="DH56" s="11"/>
      <c r="DJ56" s="27"/>
      <c r="DK56" s="27"/>
      <c r="DL56" s="27"/>
      <c r="DM56" s="27"/>
      <c r="DO56" s="11"/>
      <c r="DQ56" s="27"/>
      <c r="DR56" s="27"/>
      <c r="DS56" s="27"/>
      <c r="DT56" s="27"/>
    </row>
    <row r="57" ht="15.75" customHeight="1" outlineLevel="1">
      <c r="B57" s="6" t="s">
        <v>56</v>
      </c>
      <c r="C57" s="24" t="s">
        <v>97</v>
      </c>
      <c r="E57" s="26"/>
      <c r="F57" s="5" t="s">
        <v>102</v>
      </c>
      <c r="G57" s="27">
        <v>0.05</v>
      </c>
      <c r="I57" s="26">
        <f t="shared" si="7"/>
        <v>0</v>
      </c>
      <c r="J57" s="29">
        <f t="array" ref="J57">MAX(IF($N$3:$GU$3=$J$3,N57:GU57))</f>
        <v>0</v>
      </c>
      <c r="K57" s="29"/>
      <c r="L57" s="26"/>
      <c r="P57" s="27"/>
      <c r="Q57" s="30">
        <v>0.0</v>
      </c>
      <c r="R57" s="27"/>
      <c r="S57" s="30"/>
      <c r="W57" s="27"/>
      <c r="X57" s="30">
        <v>0.0</v>
      </c>
      <c r="Y57" s="27"/>
      <c r="AD57" s="27"/>
      <c r="AE57" s="30"/>
      <c r="AF57" s="27"/>
      <c r="AG57" s="30">
        <v>0.5</v>
      </c>
      <c r="AK57" s="27"/>
      <c r="AL57" s="30"/>
      <c r="AM57" s="27"/>
      <c r="AN57" s="30">
        <v>0.5</v>
      </c>
      <c r="AR57" s="27"/>
      <c r="AS57" s="30"/>
      <c r="AT57" s="27"/>
      <c r="AU57" s="30">
        <v>0.8</v>
      </c>
      <c r="AY57" s="27"/>
      <c r="AZ57" s="30"/>
      <c r="BA57" s="27"/>
      <c r="BB57" s="30">
        <v>0.8</v>
      </c>
      <c r="BD57" s="11"/>
      <c r="BF57" s="27"/>
      <c r="BG57" s="30"/>
      <c r="BH57" s="27"/>
      <c r="BI57" s="30">
        <v>0.8</v>
      </c>
      <c r="BM57" s="27"/>
      <c r="BN57" s="30"/>
      <c r="BO57" s="27"/>
      <c r="BP57" s="30">
        <v>0.8</v>
      </c>
      <c r="BR57" s="11"/>
      <c r="BT57" s="27"/>
      <c r="BU57" s="30"/>
      <c r="BV57" s="27"/>
      <c r="BW57" s="30">
        <v>0.8</v>
      </c>
      <c r="BY57" s="11"/>
      <c r="CA57" s="27"/>
      <c r="CB57" s="30"/>
      <c r="CC57" s="27"/>
      <c r="CD57" s="30">
        <v>0.8</v>
      </c>
      <c r="CF57" s="11"/>
      <c r="CH57" s="27"/>
      <c r="CI57" s="30"/>
      <c r="CJ57" s="27"/>
      <c r="CK57" s="30">
        <v>1.0</v>
      </c>
      <c r="CM57" s="11"/>
      <c r="CO57" s="27"/>
      <c r="CP57" s="30"/>
      <c r="CQ57" s="27"/>
      <c r="CR57" s="30">
        <v>1.0</v>
      </c>
      <c r="CT57" s="11"/>
      <c r="CV57" s="27"/>
      <c r="CW57" s="30"/>
      <c r="CX57" s="27"/>
      <c r="CY57" s="30">
        <v>1.0</v>
      </c>
      <c r="DA57" s="11"/>
      <c r="DC57" s="27"/>
      <c r="DD57" s="27"/>
      <c r="DE57" s="27"/>
      <c r="DF57" s="27"/>
      <c r="DH57" s="11"/>
      <c r="DJ57" s="27"/>
      <c r="DK57" s="27"/>
      <c r="DL57" s="27"/>
      <c r="DM57" s="27"/>
      <c r="DO57" s="11"/>
      <c r="DQ57" s="27"/>
      <c r="DR57" s="27"/>
      <c r="DS57" s="27"/>
      <c r="DT57" s="27"/>
    </row>
    <row r="58" ht="15.75" customHeight="1" outlineLevel="1">
      <c r="B58" s="6" t="s">
        <v>56</v>
      </c>
      <c r="C58" s="24" t="s">
        <v>97</v>
      </c>
      <c r="E58" s="26"/>
      <c r="F58" s="5" t="s">
        <v>103</v>
      </c>
      <c r="G58" s="27">
        <v>0.1</v>
      </c>
      <c r="I58" s="26">
        <f t="shared" si="7"/>
        <v>0</v>
      </c>
      <c r="J58" s="29">
        <f t="array" ref="J58">MAX(IF($N$3:$GU$3=$J$3,N58:GU58))</f>
        <v>0</v>
      </c>
      <c r="K58" s="29"/>
      <c r="L58" s="26"/>
      <c r="P58" s="27"/>
      <c r="Q58" s="30">
        <v>0.0</v>
      </c>
      <c r="R58" s="27"/>
      <c r="S58" s="30"/>
      <c r="W58" s="27"/>
      <c r="X58" s="30">
        <v>0.0</v>
      </c>
      <c r="Y58" s="27"/>
      <c r="AD58" s="27"/>
      <c r="AE58" s="30"/>
      <c r="AF58" s="27"/>
      <c r="AG58" s="30">
        <v>0.0</v>
      </c>
      <c r="AK58" s="27"/>
      <c r="AL58" s="30"/>
      <c r="AM58" s="27"/>
      <c r="AN58" s="30">
        <v>0.5</v>
      </c>
      <c r="AR58" s="27"/>
      <c r="AS58" s="30"/>
      <c r="AT58" s="27"/>
      <c r="AU58" s="30">
        <v>0.5</v>
      </c>
      <c r="AY58" s="27"/>
      <c r="AZ58" s="30"/>
      <c r="BA58" s="27"/>
      <c r="BB58" s="30">
        <v>0.8</v>
      </c>
      <c r="BD58" s="11"/>
      <c r="BF58" s="27"/>
      <c r="BG58" s="30"/>
      <c r="BH58" s="27"/>
      <c r="BI58" s="30">
        <v>0.8</v>
      </c>
      <c r="BM58" s="27"/>
      <c r="BN58" s="30"/>
      <c r="BO58" s="27"/>
      <c r="BP58" s="30">
        <v>0.8</v>
      </c>
      <c r="BR58" s="11"/>
      <c r="BT58" s="27"/>
      <c r="BU58" s="30"/>
      <c r="BV58" s="27"/>
      <c r="BW58" s="30">
        <v>0.8</v>
      </c>
      <c r="BY58" s="11"/>
      <c r="CA58" s="27"/>
      <c r="CB58" s="30"/>
      <c r="CC58" s="27"/>
      <c r="CD58" s="30">
        <v>0.8</v>
      </c>
      <c r="CF58" s="11"/>
      <c r="CH58" s="27"/>
      <c r="CI58" s="30"/>
      <c r="CJ58" s="27"/>
      <c r="CK58" s="30">
        <v>1.0</v>
      </c>
      <c r="CM58" s="11"/>
      <c r="CO58" s="27"/>
      <c r="CP58" s="30"/>
      <c r="CQ58" s="27"/>
      <c r="CR58" s="30">
        <v>1.0</v>
      </c>
      <c r="CT58" s="11"/>
      <c r="CV58" s="27"/>
      <c r="CW58" s="30"/>
      <c r="CX58" s="27"/>
      <c r="CY58" s="30">
        <v>1.0</v>
      </c>
      <c r="DA58" s="11"/>
      <c r="DC58" s="32" t="s">
        <v>71</v>
      </c>
      <c r="DH58" s="11"/>
      <c r="DJ58" s="32" t="s">
        <v>71</v>
      </c>
      <c r="DO58" s="11"/>
      <c r="DQ58" s="32" t="s">
        <v>119</v>
      </c>
    </row>
    <row r="59" ht="15.75" customHeight="1" outlineLevel="1">
      <c r="B59" s="6" t="s">
        <v>56</v>
      </c>
      <c r="C59" s="24" t="s">
        <v>97</v>
      </c>
      <c r="E59" s="26"/>
      <c r="F59" s="5" t="s">
        <v>104</v>
      </c>
      <c r="G59" s="27">
        <v>0.1</v>
      </c>
      <c r="I59" s="26">
        <f t="shared" si="7"/>
        <v>0</v>
      </c>
      <c r="J59" s="29">
        <f t="array" ref="J59">MAX(IF($N$3:$GU$3=$J$3,N59:GU59))</f>
        <v>0</v>
      </c>
      <c r="K59" s="29"/>
      <c r="L59" s="26"/>
      <c r="P59" s="27"/>
      <c r="Q59" s="30">
        <v>0.0</v>
      </c>
      <c r="R59" s="27"/>
      <c r="S59" s="30"/>
      <c r="W59" s="27"/>
      <c r="X59" s="30">
        <v>0.0</v>
      </c>
      <c r="Y59" s="27"/>
      <c r="AD59" s="27"/>
      <c r="AE59" s="30"/>
      <c r="AF59" s="27"/>
      <c r="AG59" s="30">
        <v>0.0</v>
      </c>
      <c r="AK59" s="27"/>
      <c r="AL59" s="30"/>
      <c r="AM59" s="27"/>
      <c r="AN59" s="30">
        <v>0.5</v>
      </c>
      <c r="AR59" s="27"/>
      <c r="AS59" s="30"/>
      <c r="AT59" s="27"/>
      <c r="AU59" s="30">
        <v>0.5</v>
      </c>
      <c r="AY59" s="27"/>
      <c r="AZ59" s="30"/>
      <c r="BA59" s="27"/>
      <c r="BB59" s="30">
        <v>0.8</v>
      </c>
      <c r="BD59" s="11"/>
      <c r="BF59" s="27"/>
      <c r="BG59" s="30"/>
      <c r="BH59" s="27"/>
      <c r="BI59" s="30">
        <v>0.8</v>
      </c>
      <c r="BM59" s="27"/>
      <c r="BN59" s="30"/>
      <c r="BO59" s="27"/>
      <c r="BP59" s="30">
        <v>0.8</v>
      </c>
      <c r="BR59" s="11"/>
      <c r="BT59" s="27"/>
      <c r="BU59" s="30"/>
      <c r="BV59" s="27"/>
      <c r="BW59" s="30">
        <v>0.8</v>
      </c>
      <c r="BY59" s="11"/>
      <c r="CA59" s="27"/>
      <c r="CB59" s="30"/>
      <c r="CC59" s="27"/>
      <c r="CD59" s="30">
        <v>0.8</v>
      </c>
      <c r="CF59" s="11"/>
      <c r="CH59" s="27"/>
      <c r="CI59" s="30"/>
      <c r="CJ59" s="27"/>
      <c r="CK59" s="30">
        <v>1.0</v>
      </c>
      <c r="CM59" s="11"/>
      <c r="CO59" s="27"/>
      <c r="CP59" s="30"/>
      <c r="CQ59" s="27"/>
      <c r="CR59" s="30">
        <v>1.0</v>
      </c>
      <c r="CT59" s="11"/>
      <c r="CV59" s="27"/>
      <c r="CW59" s="30"/>
      <c r="CX59" s="27"/>
      <c r="CY59" s="30">
        <v>1.0</v>
      </c>
      <c r="DA59" s="11"/>
      <c r="DC59" s="27"/>
      <c r="DD59" s="27"/>
      <c r="DE59" s="27"/>
      <c r="DF59" s="27"/>
      <c r="DH59" s="11"/>
      <c r="DJ59" s="27"/>
      <c r="DK59" s="27"/>
      <c r="DL59" s="27"/>
      <c r="DM59" s="27"/>
      <c r="DO59" s="11"/>
      <c r="DQ59" s="27"/>
      <c r="DR59" s="27"/>
      <c r="DS59" s="27"/>
      <c r="DT59" s="27"/>
    </row>
    <row r="60" ht="15.75" customHeight="1" outlineLevel="1">
      <c r="B60" s="6" t="s">
        <v>56</v>
      </c>
      <c r="C60" s="24" t="s">
        <v>97</v>
      </c>
      <c r="E60" s="26"/>
      <c r="F60" s="5" t="s">
        <v>105</v>
      </c>
      <c r="G60" s="27">
        <v>0.1</v>
      </c>
      <c r="I60" s="26">
        <f t="shared" si="7"/>
        <v>0</v>
      </c>
      <c r="J60" s="29">
        <f t="array" ref="J60">MAX(IF($N$3:$GU$3=$J$3,N60:GU60))</f>
        <v>0</v>
      </c>
      <c r="K60" s="29"/>
      <c r="L60" s="26"/>
      <c r="P60" s="27"/>
      <c r="Q60" s="30">
        <v>0.0</v>
      </c>
      <c r="R60" s="27"/>
      <c r="S60" s="30"/>
      <c r="W60" s="27"/>
      <c r="X60" s="30">
        <v>0.0</v>
      </c>
      <c r="Y60" s="27"/>
      <c r="AD60" s="27"/>
      <c r="AE60" s="30"/>
      <c r="AF60" s="27"/>
      <c r="AG60" s="30">
        <v>0.0</v>
      </c>
      <c r="AK60" s="27"/>
      <c r="AL60" s="30"/>
      <c r="AM60" s="27"/>
      <c r="AN60" s="30">
        <v>0.0</v>
      </c>
      <c r="AR60" s="27"/>
      <c r="AS60" s="30"/>
      <c r="AT60" s="27"/>
      <c r="AU60" s="30">
        <v>0.5</v>
      </c>
      <c r="AY60" s="27"/>
      <c r="AZ60" s="30"/>
      <c r="BA60" s="27"/>
      <c r="BB60" s="30">
        <v>0.5</v>
      </c>
      <c r="BD60" s="11"/>
      <c r="BF60" s="27"/>
      <c r="BG60" s="30"/>
      <c r="BH60" s="27"/>
      <c r="BI60" s="30">
        <v>0.8</v>
      </c>
      <c r="BM60" s="27"/>
      <c r="BN60" s="30"/>
      <c r="BO60" s="27"/>
      <c r="BP60" s="30">
        <v>0.8</v>
      </c>
      <c r="BR60" s="11"/>
      <c r="BT60" s="27"/>
      <c r="BU60" s="30"/>
      <c r="BV60" s="27"/>
      <c r="BW60" s="30">
        <v>0.8</v>
      </c>
      <c r="BY60" s="11"/>
      <c r="CA60" s="27"/>
      <c r="CB60" s="30"/>
      <c r="CC60" s="27"/>
      <c r="CD60" s="30">
        <v>0.8</v>
      </c>
      <c r="CF60" s="11"/>
      <c r="CH60" s="27"/>
      <c r="CI60" s="30"/>
      <c r="CJ60" s="27"/>
      <c r="CK60" s="30">
        <v>0.8</v>
      </c>
      <c r="CM60" s="11"/>
      <c r="CO60" s="27"/>
      <c r="CP60" s="30"/>
      <c r="CQ60" s="27"/>
      <c r="CR60" s="30">
        <v>1.0</v>
      </c>
      <c r="CT60" s="11"/>
      <c r="CV60" s="27"/>
      <c r="CW60" s="30"/>
      <c r="CX60" s="27"/>
      <c r="CY60" s="30">
        <v>1.0</v>
      </c>
      <c r="DA60" s="11"/>
      <c r="DC60" s="27"/>
      <c r="DD60" s="27"/>
      <c r="DE60" s="27"/>
      <c r="DF60" s="27"/>
      <c r="DH60" s="11"/>
      <c r="DJ60" s="27"/>
      <c r="DK60" s="27"/>
      <c r="DL60" s="27"/>
      <c r="DM60" s="27"/>
      <c r="DO60" s="11"/>
      <c r="DQ60" s="27"/>
      <c r="DR60" s="27"/>
      <c r="DS60" s="27"/>
      <c r="DT60" s="27"/>
    </row>
    <row r="61" ht="15.75" customHeight="1" outlineLevel="1">
      <c r="B61" s="6" t="s">
        <v>56</v>
      </c>
      <c r="C61" s="24" t="s">
        <v>97</v>
      </c>
      <c r="E61" s="26"/>
      <c r="F61" s="5" t="s">
        <v>106</v>
      </c>
      <c r="G61" s="27">
        <v>0.1</v>
      </c>
      <c r="I61" s="26">
        <f t="shared" si="7"/>
        <v>0</v>
      </c>
      <c r="J61" s="29">
        <f t="array" ref="J61">MAX(IF($N$3:$GU$3=$J$3,N61:GU61))</f>
        <v>0</v>
      </c>
      <c r="K61" s="29"/>
      <c r="L61" s="26"/>
      <c r="P61" s="27"/>
      <c r="Q61" s="30">
        <v>0.0</v>
      </c>
      <c r="R61" s="27"/>
      <c r="S61" s="30"/>
      <c r="W61" s="27"/>
      <c r="X61" s="30">
        <v>0.0</v>
      </c>
      <c r="Y61" s="27"/>
      <c r="AD61" s="27"/>
      <c r="AE61" s="27"/>
      <c r="AF61" s="27"/>
      <c r="AG61" s="30">
        <v>0.0</v>
      </c>
      <c r="AK61" s="27"/>
      <c r="AL61" s="30"/>
      <c r="AM61" s="27"/>
      <c r="AN61" s="30">
        <v>0.0</v>
      </c>
      <c r="AR61" s="27"/>
      <c r="AS61" s="30"/>
      <c r="AT61" s="27"/>
      <c r="AU61" s="30">
        <v>0.0</v>
      </c>
      <c r="AY61" s="27"/>
      <c r="AZ61" s="30"/>
      <c r="BA61" s="27"/>
      <c r="BB61" s="30">
        <v>0.5</v>
      </c>
      <c r="BD61" s="11"/>
      <c r="BF61" s="27"/>
      <c r="BG61" s="30"/>
      <c r="BH61" s="27"/>
      <c r="BI61" s="30">
        <v>0.8</v>
      </c>
      <c r="BM61" s="27"/>
      <c r="BN61" s="30"/>
      <c r="BO61" s="27"/>
      <c r="BP61" s="30">
        <v>0.8</v>
      </c>
      <c r="BR61" s="11"/>
      <c r="BT61" s="27"/>
      <c r="BU61" s="30"/>
      <c r="BV61" s="27"/>
      <c r="BW61" s="30">
        <v>0.8</v>
      </c>
      <c r="BY61" s="11"/>
      <c r="CA61" s="27"/>
      <c r="CB61" s="30"/>
      <c r="CC61" s="27"/>
      <c r="CD61" s="30">
        <v>0.8</v>
      </c>
      <c r="CF61" s="11"/>
      <c r="CH61" s="27"/>
      <c r="CI61" s="30"/>
      <c r="CJ61" s="27"/>
      <c r="CK61" s="30">
        <v>0.8</v>
      </c>
      <c r="CM61" s="11"/>
      <c r="CO61" s="27"/>
      <c r="CP61" s="30"/>
      <c r="CQ61" s="27"/>
      <c r="CR61" s="30">
        <v>1.0</v>
      </c>
      <c r="CT61" s="11"/>
      <c r="CV61" s="27"/>
      <c r="CW61" s="30"/>
      <c r="CX61" s="27"/>
      <c r="CY61" s="30">
        <v>1.0</v>
      </c>
      <c r="DA61" s="11"/>
      <c r="DC61" s="27"/>
      <c r="DD61" s="27"/>
      <c r="DE61" s="27"/>
      <c r="DF61" s="27"/>
      <c r="DH61" s="11"/>
      <c r="DJ61" s="27"/>
      <c r="DK61" s="27"/>
      <c r="DL61" s="27"/>
      <c r="DM61" s="27"/>
      <c r="DO61" s="11"/>
      <c r="DQ61" s="27"/>
      <c r="DR61" s="27"/>
      <c r="DS61" s="27"/>
      <c r="DT61" s="27"/>
    </row>
    <row r="62" ht="15.75" customHeight="1" outlineLevel="1">
      <c r="B62" s="6" t="s">
        <v>56</v>
      </c>
      <c r="C62" s="24" t="s">
        <v>97</v>
      </c>
      <c r="E62" s="26"/>
      <c r="F62" s="5" t="s">
        <v>107</v>
      </c>
      <c r="G62" s="27">
        <v>0.1</v>
      </c>
      <c r="I62" s="26">
        <f t="shared" si="7"/>
        <v>0</v>
      </c>
      <c r="J62" s="29">
        <f t="array" ref="J62">MAX(IF($N$3:$GU$3=$J$3,N62:GU62))</f>
        <v>0</v>
      </c>
      <c r="K62" s="29"/>
      <c r="L62" s="26"/>
      <c r="P62" s="27"/>
      <c r="Q62" s="30">
        <v>0.0</v>
      </c>
      <c r="R62" s="27"/>
      <c r="S62" s="30"/>
      <c r="W62" s="27"/>
      <c r="X62" s="30">
        <v>0.0</v>
      </c>
      <c r="Y62" s="27"/>
      <c r="AD62" s="27"/>
      <c r="AE62" s="27"/>
      <c r="AF62" s="27"/>
      <c r="AG62" s="30">
        <v>0.0</v>
      </c>
      <c r="AK62" s="27"/>
      <c r="AL62" s="30"/>
      <c r="AM62" s="27"/>
      <c r="AN62" s="30">
        <v>0.0</v>
      </c>
      <c r="AR62" s="27"/>
      <c r="AS62" s="30"/>
      <c r="AT62" s="27"/>
      <c r="AU62" s="30">
        <v>0.0</v>
      </c>
      <c r="AY62" s="27"/>
      <c r="AZ62" s="30"/>
      <c r="BA62" s="27"/>
      <c r="BB62" s="30">
        <v>0.5</v>
      </c>
      <c r="BD62" s="11"/>
      <c r="BF62" s="27"/>
      <c r="BG62" s="30"/>
      <c r="BH62" s="27"/>
      <c r="BI62" s="30">
        <v>0.5</v>
      </c>
      <c r="BM62" s="27"/>
      <c r="BN62" s="30"/>
      <c r="BO62" s="27"/>
      <c r="BP62" s="30">
        <v>0.8</v>
      </c>
      <c r="BR62" s="11"/>
      <c r="BT62" s="27"/>
      <c r="BU62" s="30"/>
      <c r="BV62" s="27"/>
      <c r="BW62" s="30">
        <v>0.8</v>
      </c>
      <c r="BY62" s="11"/>
      <c r="CA62" s="27"/>
      <c r="CB62" s="30"/>
      <c r="CC62" s="27"/>
      <c r="CD62" s="30">
        <v>0.8</v>
      </c>
      <c r="CF62" s="11"/>
      <c r="CH62" s="27"/>
      <c r="CI62" s="30"/>
      <c r="CJ62" s="27"/>
      <c r="CK62" s="30">
        <v>0.8</v>
      </c>
      <c r="CM62" s="11"/>
      <c r="CO62" s="27"/>
      <c r="CP62" s="30"/>
      <c r="CQ62" s="27"/>
      <c r="CR62" s="30">
        <v>1.0</v>
      </c>
      <c r="CT62" s="11"/>
      <c r="CV62" s="27"/>
      <c r="CW62" s="30"/>
      <c r="CX62" s="27"/>
      <c r="CY62" s="30">
        <v>1.0</v>
      </c>
      <c r="DA62" s="11"/>
      <c r="DC62" s="27"/>
      <c r="DD62" s="27"/>
      <c r="DE62" s="27"/>
      <c r="DF62" s="27"/>
      <c r="DH62" s="11"/>
      <c r="DJ62" s="27"/>
      <c r="DK62" s="27"/>
      <c r="DL62" s="27"/>
      <c r="DM62" s="27"/>
      <c r="DO62" s="11"/>
      <c r="DQ62" s="27"/>
      <c r="DR62" s="27"/>
      <c r="DS62" s="27"/>
      <c r="DT62" s="27"/>
    </row>
    <row r="63" ht="15.75" customHeight="1" outlineLevel="1">
      <c r="B63" s="6" t="s">
        <v>56</v>
      </c>
      <c r="C63" s="24" t="s">
        <v>97</v>
      </c>
      <c r="E63" s="26"/>
      <c r="F63" s="5" t="s">
        <v>108</v>
      </c>
      <c r="G63" s="27">
        <v>0.1</v>
      </c>
      <c r="I63" s="26">
        <f t="shared" si="7"/>
        <v>0</v>
      </c>
      <c r="J63" s="29">
        <f t="array" ref="J63">MAX(IF($N$3:$GU$3=$J$3,N63:GU63))</f>
        <v>0</v>
      </c>
      <c r="K63" s="29"/>
      <c r="L63" s="26"/>
      <c r="P63" s="27"/>
      <c r="Q63" s="30">
        <v>0.0</v>
      </c>
      <c r="R63" s="27"/>
      <c r="S63" s="30"/>
      <c r="W63" s="27"/>
      <c r="X63" s="30">
        <v>0.0</v>
      </c>
      <c r="Y63" s="27"/>
      <c r="AD63" s="27"/>
      <c r="AE63" s="27"/>
      <c r="AF63" s="27"/>
      <c r="AG63" s="30">
        <v>0.0</v>
      </c>
      <c r="AK63" s="27"/>
      <c r="AL63" s="30"/>
      <c r="AM63" s="27"/>
      <c r="AN63" s="30">
        <v>0.0</v>
      </c>
      <c r="AR63" s="27"/>
      <c r="AS63" s="30"/>
      <c r="AT63" s="27"/>
      <c r="AU63" s="30">
        <v>0.0</v>
      </c>
      <c r="AY63" s="27"/>
      <c r="AZ63" s="30"/>
      <c r="BA63" s="27"/>
      <c r="BB63" s="30">
        <v>0.0</v>
      </c>
      <c r="BD63" s="11"/>
      <c r="BF63" s="27"/>
      <c r="BG63" s="30"/>
      <c r="BH63" s="27"/>
      <c r="BI63" s="30">
        <v>0.5</v>
      </c>
      <c r="BM63" s="27"/>
      <c r="BN63" s="30"/>
      <c r="BO63" s="27"/>
      <c r="BP63" s="30">
        <v>0.5</v>
      </c>
      <c r="BR63" s="11"/>
      <c r="BT63" s="27"/>
      <c r="BU63" s="30"/>
      <c r="BV63" s="27"/>
      <c r="BW63" s="30">
        <v>0.5</v>
      </c>
      <c r="BY63" s="11"/>
      <c r="CA63" s="27"/>
      <c r="CB63" s="30"/>
      <c r="CC63" s="27"/>
      <c r="CD63" s="30">
        <v>0.8</v>
      </c>
      <c r="CF63" s="11"/>
      <c r="CH63" s="27"/>
      <c r="CI63" s="30"/>
      <c r="CJ63" s="27"/>
      <c r="CK63" s="30">
        <v>0.8</v>
      </c>
      <c r="CM63" s="11"/>
      <c r="CO63" s="27"/>
      <c r="CP63" s="30"/>
      <c r="CQ63" s="27"/>
      <c r="CR63" s="30">
        <v>0.8</v>
      </c>
      <c r="CT63" s="11"/>
      <c r="CV63" s="27"/>
      <c r="CW63" s="30"/>
      <c r="CX63" s="27"/>
      <c r="CY63" s="30">
        <v>1.0</v>
      </c>
      <c r="DA63" s="11"/>
      <c r="DC63" s="27"/>
      <c r="DD63" s="27"/>
      <c r="DE63" s="27"/>
      <c r="DF63" s="27"/>
      <c r="DH63" s="11"/>
      <c r="DJ63" s="27"/>
      <c r="DK63" s="27"/>
      <c r="DL63" s="27"/>
      <c r="DM63" s="27"/>
      <c r="DO63" s="11"/>
      <c r="DQ63" s="27"/>
      <c r="DR63" s="27"/>
      <c r="DS63" s="27"/>
      <c r="DT63" s="27"/>
    </row>
    <row r="64" ht="15.75" customHeight="1" outlineLevel="1">
      <c r="B64" s="6" t="s">
        <v>56</v>
      </c>
      <c r="C64" s="24" t="s">
        <v>97</v>
      </c>
      <c r="E64" s="26"/>
      <c r="F64" s="5" t="s">
        <v>109</v>
      </c>
      <c r="G64" s="27">
        <v>0.1</v>
      </c>
      <c r="I64" s="26">
        <f t="shared" si="7"/>
        <v>0</v>
      </c>
      <c r="J64" s="29">
        <f t="array" ref="J64">MAX(IF($N$3:$GU$3=$J$3,N64:GU64))</f>
        <v>0</v>
      </c>
      <c r="K64" s="29"/>
      <c r="L64" s="26"/>
      <c r="P64" s="27"/>
      <c r="Q64" s="30">
        <v>0.0</v>
      </c>
      <c r="R64" s="27"/>
      <c r="S64" s="30"/>
      <c r="W64" s="27"/>
      <c r="X64" s="30">
        <v>0.0</v>
      </c>
      <c r="Y64" s="27"/>
      <c r="AD64" s="27"/>
      <c r="AE64" s="27"/>
      <c r="AF64" s="27"/>
      <c r="AG64" s="30">
        <v>0.0</v>
      </c>
      <c r="AK64" s="27"/>
      <c r="AL64" s="30"/>
      <c r="AM64" s="27"/>
      <c r="AN64" s="30">
        <v>0.0</v>
      </c>
      <c r="AR64" s="27"/>
      <c r="AS64" s="30"/>
      <c r="AT64" s="27"/>
      <c r="AU64" s="30">
        <v>0.0</v>
      </c>
      <c r="AY64" s="27"/>
      <c r="AZ64" s="30"/>
      <c r="BA64" s="27"/>
      <c r="BB64" s="30">
        <v>0.0</v>
      </c>
      <c r="BD64" s="11"/>
      <c r="BF64" s="27"/>
      <c r="BG64" s="30"/>
      <c r="BH64" s="27"/>
      <c r="BI64" s="30">
        <v>0.5</v>
      </c>
      <c r="BM64" s="27"/>
      <c r="BN64" s="30"/>
      <c r="BO64" s="27"/>
      <c r="BP64" s="30">
        <v>0.5</v>
      </c>
      <c r="BR64" s="11"/>
      <c r="BT64" s="27"/>
      <c r="BU64" s="30"/>
      <c r="BV64" s="27"/>
      <c r="BW64" s="30">
        <v>0.5</v>
      </c>
      <c r="BY64" s="11"/>
      <c r="CA64" s="27"/>
      <c r="CB64" s="30"/>
      <c r="CC64" s="27"/>
      <c r="CD64" s="30">
        <v>0.8</v>
      </c>
      <c r="CF64" s="11"/>
      <c r="CH64" s="27"/>
      <c r="CI64" s="30"/>
      <c r="CJ64" s="27"/>
      <c r="CK64" s="30">
        <v>0.8</v>
      </c>
      <c r="CM64" s="11"/>
      <c r="CO64" s="27"/>
      <c r="CP64" s="30"/>
      <c r="CQ64" s="27"/>
      <c r="CR64" s="30">
        <v>0.8</v>
      </c>
      <c r="CT64" s="11"/>
      <c r="CV64" s="27"/>
      <c r="CW64" s="30"/>
      <c r="CX64" s="27"/>
      <c r="CY64" s="30">
        <v>1.0</v>
      </c>
      <c r="DA64" s="11"/>
      <c r="DC64" s="27"/>
      <c r="DD64" s="27"/>
      <c r="DE64" s="27"/>
      <c r="DF64" s="27"/>
      <c r="DH64" s="11"/>
      <c r="DJ64" s="27"/>
      <c r="DK64" s="27"/>
      <c r="DL64" s="27"/>
      <c r="DM64" s="27"/>
      <c r="DO64" s="11"/>
      <c r="DQ64" s="27"/>
      <c r="DR64" s="27"/>
      <c r="DS64" s="27"/>
      <c r="DT64" s="27"/>
    </row>
    <row r="65" ht="15.75" customHeight="1" outlineLevel="1">
      <c r="B65" s="6" t="s">
        <v>56</v>
      </c>
      <c r="C65" s="24" t="s">
        <v>97</v>
      </c>
      <c r="E65" s="26"/>
      <c r="F65" s="5" t="s">
        <v>110</v>
      </c>
      <c r="G65" s="27">
        <v>0.1</v>
      </c>
      <c r="I65" s="26">
        <f t="shared" si="7"/>
        <v>0</v>
      </c>
      <c r="J65" s="29">
        <f t="array" ref="J65">MAX(IF($N$3:$GU$3=$J$3,N65:GU65))</f>
        <v>0</v>
      </c>
      <c r="K65" s="29"/>
      <c r="L65" s="26"/>
      <c r="P65" s="27"/>
      <c r="Q65" s="30">
        <v>0.0</v>
      </c>
      <c r="R65" s="27"/>
      <c r="S65" s="30"/>
      <c r="W65" s="27"/>
      <c r="X65" s="30">
        <v>0.0</v>
      </c>
      <c r="Y65" s="27"/>
      <c r="AD65" s="27"/>
      <c r="AE65" s="27"/>
      <c r="AF65" s="27"/>
      <c r="AG65" s="30">
        <v>0.0</v>
      </c>
      <c r="AK65" s="27"/>
      <c r="AL65" s="30"/>
      <c r="AM65" s="27"/>
      <c r="AN65" s="30">
        <v>0.0</v>
      </c>
      <c r="AR65" s="27"/>
      <c r="AS65" s="30"/>
      <c r="AT65" s="27"/>
      <c r="AU65" s="30">
        <v>0.0</v>
      </c>
      <c r="AY65" s="27"/>
      <c r="AZ65" s="30"/>
      <c r="BA65" s="27"/>
      <c r="BB65" s="30">
        <v>0.0</v>
      </c>
      <c r="BD65" s="11"/>
      <c r="BF65" s="27"/>
      <c r="BG65" s="30"/>
      <c r="BH65" s="27"/>
      <c r="BI65" s="30">
        <v>0.0</v>
      </c>
      <c r="BM65" s="27"/>
      <c r="BN65" s="30"/>
      <c r="BO65" s="27"/>
      <c r="BP65" s="30">
        <v>0.5</v>
      </c>
      <c r="BR65" s="11"/>
      <c r="BT65" s="27"/>
      <c r="BU65" s="30"/>
      <c r="BV65" s="27"/>
      <c r="BW65" s="30">
        <v>0.5</v>
      </c>
      <c r="BY65" s="11"/>
      <c r="CA65" s="27"/>
      <c r="CB65" s="30"/>
      <c r="CC65" s="27"/>
      <c r="CD65" s="30">
        <v>0.5</v>
      </c>
      <c r="CF65" s="11"/>
      <c r="CH65" s="27"/>
      <c r="CI65" s="30"/>
      <c r="CJ65" s="27"/>
      <c r="CK65" s="30">
        <v>0.8</v>
      </c>
      <c r="CM65" s="11"/>
      <c r="CO65" s="27"/>
      <c r="CP65" s="30"/>
      <c r="CQ65" s="27"/>
      <c r="CR65" s="30">
        <v>0.8</v>
      </c>
      <c r="CT65" s="11"/>
      <c r="CV65" s="27"/>
      <c r="CW65" s="30"/>
      <c r="CX65" s="27"/>
      <c r="CY65" s="30">
        <v>1.0</v>
      </c>
      <c r="DA65" s="11"/>
      <c r="DC65" s="27"/>
      <c r="DD65" s="27"/>
      <c r="DE65" s="27"/>
      <c r="DF65" s="27"/>
      <c r="DH65" s="11"/>
      <c r="DJ65" s="27"/>
      <c r="DK65" s="27"/>
      <c r="DL65" s="27"/>
      <c r="DM65" s="27"/>
      <c r="DO65" s="11"/>
      <c r="DQ65" s="27"/>
      <c r="DR65" s="27"/>
      <c r="DS65" s="27"/>
      <c r="DT65" s="27"/>
    </row>
    <row r="66" ht="15.75" customHeight="1" outlineLevel="1">
      <c r="B66" s="6" t="s">
        <v>56</v>
      </c>
      <c r="C66" s="24" t="s">
        <v>97</v>
      </c>
      <c r="E66" s="26"/>
      <c r="F66" s="5" t="s">
        <v>111</v>
      </c>
      <c r="G66" s="27">
        <v>0.1</v>
      </c>
      <c r="I66" s="26">
        <f t="shared" si="7"/>
        <v>0</v>
      </c>
      <c r="J66" s="29">
        <f t="array" ref="J66">MAX(IF($N$3:$GU$3=$J$3,N66:GU66))</f>
        <v>0</v>
      </c>
      <c r="K66" s="29"/>
      <c r="L66" s="26"/>
      <c r="P66" s="27"/>
      <c r="Q66" s="30">
        <v>0.0</v>
      </c>
      <c r="R66" s="27"/>
      <c r="S66" s="30"/>
      <c r="W66" s="27"/>
      <c r="X66" s="30">
        <v>0.0</v>
      </c>
      <c r="Y66" s="27"/>
      <c r="AD66" s="27"/>
      <c r="AE66" s="27"/>
      <c r="AF66" s="27"/>
      <c r="AG66" s="30">
        <v>0.0</v>
      </c>
      <c r="AK66" s="27"/>
      <c r="AL66" s="30"/>
      <c r="AM66" s="27"/>
      <c r="AN66" s="30">
        <v>0.0</v>
      </c>
      <c r="AR66" s="27"/>
      <c r="AS66" s="30"/>
      <c r="AT66" s="27"/>
      <c r="AU66" s="30">
        <v>0.0</v>
      </c>
      <c r="AY66" s="27"/>
      <c r="AZ66" s="30"/>
      <c r="BA66" s="27"/>
      <c r="BB66" s="30">
        <v>0.0</v>
      </c>
      <c r="BD66" s="11"/>
      <c r="BF66" s="27"/>
      <c r="BG66" s="30"/>
      <c r="BH66" s="27"/>
      <c r="BI66" s="30">
        <v>0.0</v>
      </c>
      <c r="BM66" s="27"/>
      <c r="BN66" s="30"/>
      <c r="BO66" s="27"/>
      <c r="BP66" s="30">
        <v>0.0</v>
      </c>
      <c r="BR66" s="11"/>
      <c r="BT66" s="27"/>
      <c r="BU66" s="30"/>
      <c r="BV66" s="27"/>
      <c r="BW66" s="30">
        <v>0.0</v>
      </c>
      <c r="BY66" s="11"/>
      <c r="CA66" s="27"/>
      <c r="CB66" s="30"/>
      <c r="CC66" s="27"/>
      <c r="CD66" s="30">
        <v>0.5</v>
      </c>
      <c r="CF66" s="11"/>
      <c r="CH66" s="27"/>
      <c r="CI66" s="30"/>
      <c r="CJ66" s="27"/>
      <c r="CK66" s="30">
        <v>0.5</v>
      </c>
      <c r="CM66" s="11"/>
      <c r="CO66" s="27"/>
      <c r="CP66" s="30"/>
      <c r="CQ66" s="27"/>
      <c r="CR66" s="30">
        <v>0.8</v>
      </c>
      <c r="CT66" s="11"/>
      <c r="CV66" s="27"/>
      <c r="CW66" s="30"/>
      <c r="CX66" s="27"/>
      <c r="CY66" s="30">
        <v>1.0</v>
      </c>
      <c r="DA66" s="11"/>
      <c r="DC66" s="27"/>
      <c r="DD66" s="27"/>
      <c r="DE66" s="27"/>
      <c r="DF66" s="27"/>
      <c r="DH66" s="11"/>
      <c r="DJ66" s="27"/>
      <c r="DK66" s="27"/>
      <c r="DL66" s="27"/>
      <c r="DM66" s="27"/>
      <c r="DO66" s="11"/>
      <c r="DQ66" s="27"/>
      <c r="DR66" s="27"/>
      <c r="DS66" s="27"/>
      <c r="DT66" s="27"/>
    </row>
    <row r="67" ht="15.75" customHeight="1">
      <c r="C67" s="8"/>
      <c r="BD67" s="11"/>
      <c r="BR67" s="11"/>
      <c r="BY67" s="11"/>
      <c r="CF67" s="11"/>
      <c r="CM67" s="11"/>
      <c r="CT67" s="11"/>
      <c r="DA67" s="11"/>
      <c r="DH67" s="11"/>
      <c r="DO67" s="11"/>
    </row>
    <row r="68" ht="15.75" customHeight="1">
      <c r="B68" s="6" t="s">
        <v>26</v>
      </c>
      <c r="C68" s="24" t="s">
        <v>112</v>
      </c>
      <c r="D68" s="25">
        <v>44861.0</v>
      </c>
      <c r="E68" s="32">
        <v>3.0</v>
      </c>
      <c r="G68" s="27">
        <f>+SUM(G69:G76)</f>
        <v>1</v>
      </c>
      <c r="I68" s="28">
        <f>+SUM(I69:I76)</f>
        <v>11</v>
      </c>
      <c r="J68" s="29">
        <f>+SUMPRODUCT(G69:G76,J69:J76)</f>
        <v>0</v>
      </c>
      <c r="K68" s="29">
        <f>+SUMPRODUCT(G69:G76,K69:K76)</f>
        <v>0</v>
      </c>
      <c r="L68" s="26"/>
      <c r="O68" s="28">
        <f>SUM(O69:O76)</f>
        <v>3</v>
      </c>
      <c r="V68" s="34">
        <f>SUM(V69:V76)</f>
        <v>3.5</v>
      </c>
      <c r="AC68" s="28">
        <f>SUM(AC69:AC76)</f>
        <v>3</v>
      </c>
      <c r="AJ68" s="28"/>
      <c r="AQ68" s="28"/>
      <c r="AX68" s="28"/>
      <c r="BD68" s="11"/>
      <c r="BE68" s="28"/>
      <c r="BL68" s="28"/>
      <c r="BR68" s="11"/>
      <c r="BS68" s="28"/>
      <c r="BY68" s="11"/>
      <c r="BZ68" s="28"/>
      <c r="CF68" s="11"/>
      <c r="CG68" s="28"/>
      <c r="CM68" s="11"/>
      <c r="CN68" s="28"/>
      <c r="CT68" s="11"/>
      <c r="CU68" s="28"/>
      <c r="DA68" s="11"/>
      <c r="DB68" s="28"/>
      <c r="DH68" s="11"/>
      <c r="DI68" s="28"/>
      <c r="DO68" s="11"/>
      <c r="DP68" s="28"/>
    </row>
    <row r="69" ht="15.75" customHeight="1" outlineLevel="1">
      <c r="B69" s="6" t="s">
        <v>56</v>
      </c>
      <c r="C69" s="24" t="s">
        <v>113</v>
      </c>
      <c r="E69" s="26"/>
      <c r="F69" s="5" t="s">
        <v>114</v>
      </c>
      <c r="G69" s="30">
        <v>0.05</v>
      </c>
      <c r="I69" s="26">
        <f t="shared" ref="I69:I76" si="8">+SUMIF($N$3:$ACM$3,I$3,$N69:$ACM69)</f>
        <v>2.5</v>
      </c>
      <c r="J69" s="29">
        <f t="array" ref="J69">MAX(IF($N$3:$GU$3=$J$3,N69:GU69))</f>
        <v>0</v>
      </c>
      <c r="K69" s="29">
        <f t="array" ref="K69">MAX(IF($N$3:$GU$3=$J$3,N69:GU69))</f>
        <v>0</v>
      </c>
      <c r="L69" s="26"/>
      <c r="O69" s="5">
        <v>1.0</v>
      </c>
      <c r="R69" s="30">
        <v>0.3</v>
      </c>
      <c r="S69" s="30">
        <v>0.8</v>
      </c>
      <c r="T69" s="5">
        <v>4.0</v>
      </c>
      <c r="Y69" s="30">
        <v>0.3</v>
      </c>
      <c r="Z69" s="30">
        <v>0.8</v>
      </c>
      <c r="AA69" s="5">
        <v>4.0</v>
      </c>
      <c r="AD69" s="27"/>
      <c r="AE69" s="30"/>
      <c r="AF69" s="30">
        <v>0.3</v>
      </c>
      <c r="AG69" s="30">
        <v>0.8</v>
      </c>
      <c r="AH69" s="5">
        <v>4.0</v>
      </c>
      <c r="AJ69" s="5">
        <v>1.5</v>
      </c>
      <c r="AK69" s="27"/>
      <c r="AL69" s="30"/>
      <c r="AM69" s="30">
        <v>0.5</v>
      </c>
      <c r="AN69" s="30">
        <v>1.0</v>
      </c>
      <c r="AO69" s="5">
        <v>4.0</v>
      </c>
      <c r="AR69" s="27"/>
      <c r="AS69" s="30"/>
      <c r="AT69" s="27"/>
      <c r="AU69" s="30">
        <v>1.0</v>
      </c>
      <c r="AV69" s="5">
        <v>4.0</v>
      </c>
      <c r="AY69" s="27"/>
      <c r="AZ69" s="30"/>
      <c r="BA69" s="27"/>
      <c r="BB69" s="30">
        <v>1.0</v>
      </c>
      <c r="BC69" s="5">
        <v>0.0</v>
      </c>
      <c r="BD69" s="11"/>
      <c r="BF69" s="27"/>
      <c r="BG69" s="27"/>
      <c r="BH69" s="27"/>
      <c r="BI69" s="27"/>
      <c r="BM69" s="27"/>
      <c r="BN69" s="27"/>
      <c r="BO69" s="27"/>
      <c r="BP69" s="27"/>
      <c r="BR69" s="11"/>
      <c r="BT69" s="27"/>
      <c r="BU69" s="27"/>
      <c r="BV69" s="27"/>
      <c r="BW69" s="27"/>
      <c r="BY69" s="11"/>
      <c r="CA69" s="27"/>
      <c r="CB69" s="27"/>
      <c r="CC69" s="27"/>
      <c r="CD69" s="27"/>
      <c r="CF69" s="11"/>
      <c r="CH69" s="27"/>
      <c r="CI69" s="27"/>
      <c r="CJ69" s="27"/>
      <c r="CK69" s="27"/>
      <c r="CM69" s="11"/>
      <c r="CO69" s="27"/>
      <c r="CP69" s="27"/>
      <c r="CQ69" s="27"/>
      <c r="CR69" s="27"/>
      <c r="CT69" s="11"/>
      <c r="CV69" s="27"/>
      <c r="CW69" s="27"/>
      <c r="CX69" s="27"/>
      <c r="CY69" s="27"/>
      <c r="DA69" s="11"/>
      <c r="DC69" s="27"/>
      <c r="DD69" s="27"/>
      <c r="DE69" s="27"/>
      <c r="DF69" s="27"/>
      <c r="DH69" s="11"/>
      <c r="DJ69" s="27"/>
      <c r="DK69" s="27"/>
      <c r="DL69" s="27"/>
      <c r="DM69" s="27"/>
      <c r="DO69" s="11"/>
      <c r="DQ69" s="27"/>
      <c r="DR69" s="27"/>
      <c r="DS69" s="27"/>
      <c r="DT69" s="27"/>
    </row>
    <row r="70" ht="15.75" customHeight="1" outlineLevel="1">
      <c r="B70" s="6" t="s">
        <v>56</v>
      </c>
      <c r="C70" s="24" t="s">
        <v>113</v>
      </c>
      <c r="E70" s="26"/>
      <c r="F70" s="5" t="s">
        <v>115</v>
      </c>
      <c r="G70" s="30">
        <v>0.15</v>
      </c>
      <c r="I70" s="26">
        <f t="shared" si="8"/>
        <v>1</v>
      </c>
      <c r="J70" s="29">
        <f t="array" ref="J70">MAX(IF($N$3:$GU$3=$J$3,N70:GU70))</f>
        <v>0</v>
      </c>
      <c r="K70" s="29">
        <f t="array" ref="K70">MAX(IF($N$3:$GU$3=$J$3,N70:GU70))</f>
        <v>0</v>
      </c>
      <c r="L70" s="26"/>
      <c r="O70" s="5">
        <v>1.0</v>
      </c>
      <c r="R70" s="30">
        <v>0.3</v>
      </c>
      <c r="S70" s="30">
        <v>0.5</v>
      </c>
      <c r="Y70" s="30">
        <v>0.3</v>
      </c>
      <c r="Z70" s="30">
        <v>0.8</v>
      </c>
      <c r="AD70" s="27"/>
      <c r="AE70" s="30"/>
      <c r="AF70" s="30">
        <v>0.3</v>
      </c>
      <c r="AG70" s="30">
        <v>0.8</v>
      </c>
      <c r="AK70" s="27"/>
      <c r="AL70" s="30"/>
      <c r="AM70" s="30">
        <v>0.3</v>
      </c>
      <c r="AN70" s="30">
        <v>1.0</v>
      </c>
      <c r="AR70" s="27"/>
      <c r="AS70" s="30"/>
      <c r="AT70" s="27"/>
      <c r="AU70" s="30">
        <v>1.0</v>
      </c>
      <c r="AY70" s="27"/>
      <c r="AZ70" s="30"/>
      <c r="BA70" s="27"/>
      <c r="BB70" s="30">
        <v>1.0</v>
      </c>
      <c r="BD70" s="11"/>
      <c r="BF70" s="27"/>
      <c r="BG70" s="27"/>
      <c r="BH70" s="27"/>
      <c r="BI70" s="27"/>
      <c r="BM70" s="27"/>
      <c r="BN70" s="27"/>
      <c r="BO70" s="27"/>
      <c r="BP70" s="27"/>
      <c r="BR70" s="11"/>
      <c r="BT70" s="27"/>
      <c r="BU70" s="27"/>
      <c r="BV70" s="27"/>
      <c r="BW70" s="27"/>
      <c r="BY70" s="11"/>
      <c r="CA70" s="27"/>
      <c r="CB70" s="27"/>
      <c r="CC70" s="27"/>
      <c r="CD70" s="27"/>
      <c r="CF70" s="11"/>
      <c r="CH70" s="27"/>
      <c r="CI70" s="27"/>
      <c r="CJ70" s="27"/>
      <c r="CK70" s="27"/>
      <c r="CM70" s="11"/>
      <c r="CO70" s="27"/>
      <c r="CP70" s="27"/>
      <c r="CQ70" s="27"/>
      <c r="CR70" s="27"/>
      <c r="CT70" s="11"/>
      <c r="CV70" s="27"/>
      <c r="CW70" s="27"/>
      <c r="CX70" s="27"/>
      <c r="CY70" s="27"/>
      <c r="DA70" s="11"/>
      <c r="DC70" s="27"/>
      <c r="DD70" s="27"/>
      <c r="DE70" s="27"/>
      <c r="DF70" s="27"/>
      <c r="DH70" s="11"/>
      <c r="DJ70" s="27"/>
      <c r="DK70" s="27"/>
      <c r="DL70" s="27"/>
      <c r="DM70" s="27"/>
      <c r="DO70" s="11"/>
      <c r="DQ70" s="27"/>
      <c r="DR70" s="27"/>
      <c r="DS70" s="27"/>
      <c r="DT70" s="27"/>
    </row>
    <row r="71" ht="15.75" customHeight="1" outlineLevel="1">
      <c r="B71" s="6" t="s">
        <v>56</v>
      </c>
      <c r="C71" s="24" t="s">
        <v>113</v>
      </c>
      <c r="E71" s="26"/>
      <c r="F71" s="5" t="s">
        <v>116</v>
      </c>
      <c r="G71" s="30">
        <v>0.15</v>
      </c>
      <c r="I71" s="26">
        <f t="shared" si="8"/>
        <v>2</v>
      </c>
      <c r="J71" s="29">
        <f t="array" ref="J71">MAX(IF($N$3:$GU$3=$J$3,N71:GU71))</f>
        <v>0</v>
      </c>
      <c r="K71" s="29">
        <f t="array" ref="K71">MAX(IF($N$3:$GU$3=$J$3,N71:GU71))</f>
        <v>0</v>
      </c>
      <c r="L71" s="26"/>
      <c r="O71" s="5">
        <v>1.0</v>
      </c>
      <c r="R71" s="30">
        <v>0.3</v>
      </c>
      <c r="S71" s="30">
        <v>0.5</v>
      </c>
      <c r="V71" s="5">
        <v>1.0</v>
      </c>
      <c r="Y71" s="30">
        <v>0.3</v>
      </c>
      <c r="Z71" s="30">
        <v>0.8</v>
      </c>
      <c r="AD71" s="27"/>
      <c r="AE71" s="30"/>
      <c r="AF71" s="30">
        <v>0.3</v>
      </c>
      <c r="AG71" s="30">
        <v>0.8</v>
      </c>
      <c r="AK71" s="27"/>
      <c r="AL71" s="30"/>
      <c r="AM71" s="30">
        <v>0.3</v>
      </c>
      <c r="AN71" s="30">
        <v>0.8</v>
      </c>
      <c r="AR71" s="27"/>
      <c r="AS71" s="30"/>
      <c r="AT71" s="27"/>
      <c r="AU71" s="30">
        <v>1.0</v>
      </c>
      <c r="AY71" s="27"/>
      <c r="AZ71" s="30"/>
      <c r="BA71" s="27"/>
      <c r="BB71" s="30">
        <v>1.0</v>
      </c>
      <c r="BD71" s="11"/>
      <c r="BF71" s="27"/>
      <c r="BG71" s="27"/>
      <c r="BH71" s="27"/>
      <c r="BI71" s="27"/>
      <c r="BM71" s="27"/>
      <c r="BN71" s="27"/>
      <c r="BO71" s="27"/>
      <c r="BP71" s="27"/>
      <c r="BR71" s="11"/>
      <c r="BT71" s="27"/>
      <c r="BU71" s="27"/>
      <c r="BV71" s="27"/>
      <c r="BW71" s="27"/>
      <c r="BY71" s="11"/>
      <c r="CA71" s="27"/>
      <c r="CB71" s="27"/>
      <c r="CC71" s="27"/>
      <c r="CD71" s="27"/>
      <c r="CF71" s="11"/>
      <c r="CH71" s="27"/>
      <c r="CI71" s="27"/>
      <c r="CJ71" s="27"/>
      <c r="CK71" s="27"/>
      <c r="CM71" s="11"/>
      <c r="CO71" s="27"/>
      <c r="CP71" s="27"/>
      <c r="CQ71" s="27"/>
      <c r="CR71" s="27"/>
      <c r="CT71" s="11"/>
      <c r="CV71" s="27"/>
      <c r="CW71" s="27"/>
      <c r="CX71" s="27"/>
      <c r="CY71" s="27"/>
      <c r="DA71" s="11"/>
      <c r="DC71" s="27"/>
      <c r="DD71" s="27"/>
      <c r="DE71" s="27"/>
      <c r="DF71" s="27"/>
      <c r="DH71" s="11"/>
      <c r="DJ71" s="27"/>
      <c r="DK71" s="27"/>
      <c r="DL71" s="27"/>
      <c r="DM71" s="27"/>
      <c r="DO71" s="11"/>
      <c r="DQ71" s="27"/>
      <c r="DR71" s="27"/>
      <c r="DS71" s="27"/>
      <c r="DT71" s="27"/>
    </row>
    <row r="72" ht="15.75" customHeight="1" outlineLevel="1">
      <c r="B72" s="6" t="s">
        <v>56</v>
      </c>
      <c r="C72" s="24" t="s">
        <v>113</v>
      </c>
      <c r="E72" s="26"/>
      <c r="F72" s="5" t="s">
        <v>136</v>
      </c>
      <c r="G72" s="30">
        <v>0.2</v>
      </c>
      <c r="I72" s="26">
        <f t="shared" si="8"/>
        <v>2.5</v>
      </c>
      <c r="J72" s="29">
        <f t="array" ref="J72">MAX(IF($N$3:$GU$3=$J$3,N72:GU72))</f>
        <v>0</v>
      </c>
      <c r="K72" s="29">
        <f t="array" ref="K72">MAX(IF($N$3:$GU$3=$J$3,N72:GU72))</f>
        <v>0</v>
      </c>
      <c r="L72" s="26"/>
      <c r="R72" s="27"/>
      <c r="S72" s="30">
        <v>0.0</v>
      </c>
      <c r="V72" s="5">
        <v>2.5</v>
      </c>
      <c r="Y72" s="30">
        <v>0.5</v>
      </c>
      <c r="Z72" s="30">
        <v>0.5</v>
      </c>
      <c r="AD72" s="27"/>
      <c r="AE72" s="30"/>
      <c r="AF72" s="30">
        <v>0.8</v>
      </c>
      <c r="AG72" s="30">
        <v>0.8</v>
      </c>
      <c r="AK72" s="27"/>
      <c r="AL72" s="30"/>
      <c r="AM72" s="30">
        <v>0.8</v>
      </c>
      <c r="AN72" s="30">
        <v>0.8</v>
      </c>
      <c r="AR72" s="27"/>
      <c r="AS72" s="30"/>
      <c r="AT72" s="27"/>
      <c r="AU72" s="30">
        <v>1.0</v>
      </c>
      <c r="AY72" s="27"/>
      <c r="AZ72" s="30"/>
      <c r="BA72" s="27"/>
      <c r="BB72" s="30">
        <v>1.0</v>
      </c>
      <c r="BD72" s="11"/>
      <c r="BF72" s="32" t="s">
        <v>124</v>
      </c>
      <c r="BM72" s="32" t="s">
        <v>119</v>
      </c>
      <c r="BR72" s="11"/>
      <c r="BT72" s="27"/>
      <c r="BU72" s="27"/>
      <c r="BV72" s="27"/>
      <c r="BW72" s="27"/>
      <c r="BY72" s="11"/>
      <c r="CA72" s="27"/>
      <c r="CB72" s="27"/>
      <c r="CC72" s="27"/>
      <c r="CD72" s="27"/>
      <c r="CF72" s="11"/>
      <c r="CH72" s="27"/>
      <c r="CI72" s="27"/>
      <c r="CJ72" s="27"/>
      <c r="CK72" s="27"/>
      <c r="CM72" s="11"/>
      <c r="CO72" s="27"/>
      <c r="CP72" s="27"/>
      <c r="CQ72" s="27"/>
      <c r="CR72" s="27"/>
      <c r="CT72" s="11"/>
      <c r="CV72" s="27"/>
      <c r="CW72" s="27"/>
      <c r="CX72" s="27"/>
      <c r="CY72" s="27"/>
      <c r="DA72" s="11"/>
      <c r="DC72" s="27"/>
      <c r="DD72" s="27"/>
      <c r="DE72" s="27"/>
      <c r="DF72" s="27"/>
      <c r="DH72" s="11"/>
      <c r="DJ72" s="27"/>
      <c r="DK72" s="27"/>
      <c r="DL72" s="27"/>
      <c r="DM72" s="27"/>
      <c r="DO72" s="11"/>
      <c r="DQ72" s="27"/>
      <c r="DR72" s="27"/>
      <c r="DS72" s="27"/>
      <c r="DT72" s="27"/>
    </row>
    <row r="73" ht="15.75" customHeight="1" outlineLevel="1">
      <c r="B73" s="6" t="s">
        <v>56</v>
      </c>
      <c r="C73" s="24" t="s">
        <v>113</v>
      </c>
      <c r="E73" s="26"/>
      <c r="F73" s="5" t="s">
        <v>137</v>
      </c>
      <c r="G73" s="30">
        <v>0.15</v>
      </c>
      <c r="I73" s="26">
        <f t="shared" si="8"/>
        <v>0</v>
      </c>
      <c r="J73" s="29">
        <f t="array" ref="J73">MAX(IF($N$3:$GU$3=$J$3,N73:GU73))</f>
        <v>0</v>
      </c>
      <c r="K73" s="29">
        <f t="array" ref="K73">MAX(IF($N$3:$GU$3=$J$3,N73:GU73))</f>
        <v>0</v>
      </c>
      <c r="L73" s="26"/>
      <c r="R73" s="27"/>
      <c r="S73" s="30">
        <v>0.0</v>
      </c>
      <c r="Y73" s="27"/>
      <c r="Z73" s="30">
        <v>0.5</v>
      </c>
      <c r="AD73" s="27"/>
      <c r="AE73" s="30"/>
      <c r="AF73" s="27"/>
      <c r="AG73" s="30">
        <v>0.8</v>
      </c>
      <c r="AK73" s="27"/>
      <c r="AL73" s="30"/>
      <c r="AM73" s="27"/>
      <c r="AN73" s="30">
        <v>0.8</v>
      </c>
      <c r="AR73" s="27"/>
      <c r="AS73" s="30"/>
      <c r="AT73" s="27"/>
      <c r="AU73" s="30">
        <v>0.8</v>
      </c>
      <c r="AY73" s="27"/>
      <c r="AZ73" s="30"/>
      <c r="BA73" s="27"/>
      <c r="BB73" s="30">
        <v>1.0</v>
      </c>
      <c r="BD73" s="11"/>
      <c r="BF73" s="27"/>
      <c r="BG73" s="27"/>
      <c r="BH73" s="27"/>
      <c r="BI73" s="27"/>
      <c r="BM73" s="27"/>
      <c r="BN73" s="27"/>
      <c r="BO73" s="27"/>
      <c r="BP73" s="27"/>
      <c r="BR73" s="11"/>
      <c r="BT73" s="27"/>
      <c r="BU73" s="27"/>
      <c r="BV73" s="27"/>
      <c r="BW73" s="27"/>
      <c r="BY73" s="11"/>
      <c r="CA73" s="27"/>
      <c r="CB73" s="27"/>
      <c r="CC73" s="27"/>
      <c r="CD73" s="27"/>
      <c r="CF73" s="11"/>
      <c r="CH73" s="27"/>
      <c r="CI73" s="27"/>
      <c r="CJ73" s="27"/>
      <c r="CK73" s="27"/>
      <c r="CM73" s="11"/>
      <c r="CO73" s="27"/>
      <c r="CP73" s="27"/>
      <c r="CQ73" s="27"/>
      <c r="CR73" s="27"/>
      <c r="CT73" s="11"/>
      <c r="CV73" s="27"/>
      <c r="CW73" s="27"/>
      <c r="CX73" s="27"/>
      <c r="CY73" s="27"/>
      <c r="DA73" s="11"/>
      <c r="DC73" s="27"/>
      <c r="DD73" s="27"/>
      <c r="DE73" s="27"/>
      <c r="DF73" s="27"/>
      <c r="DH73" s="11"/>
      <c r="DJ73" s="27"/>
      <c r="DK73" s="27"/>
      <c r="DL73" s="27"/>
      <c r="DM73" s="27"/>
      <c r="DO73" s="11"/>
      <c r="DQ73" s="27"/>
      <c r="DR73" s="27"/>
      <c r="DS73" s="27"/>
      <c r="DT73" s="27"/>
    </row>
    <row r="74" ht="15.75" customHeight="1" outlineLevel="1">
      <c r="B74" s="6" t="s">
        <v>56</v>
      </c>
      <c r="C74" s="24" t="s">
        <v>113</v>
      </c>
      <c r="E74" s="26"/>
      <c r="F74" s="5" t="s">
        <v>138</v>
      </c>
      <c r="G74" s="27">
        <v>0.1</v>
      </c>
      <c r="I74" s="26">
        <f t="shared" si="8"/>
        <v>3</v>
      </c>
      <c r="J74" s="29">
        <f t="array" ref="J74">MAX(IF($N$3:$GU$3=$J$3,N74:GU74))</f>
        <v>0</v>
      </c>
      <c r="K74" s="29">
        <f t="array" ref="K74">MAX(IF($N$3:$GU$3=$J$3,N74:GU74))</f>
        <v>0</v>
      </c>
      <c r="L74" s="26"/>
      <c r="R74" s="27"/>
      <c r="S74" s="30">
        <v>0.0</v>
      </c>
      <c r="Y74" s="27"/>
      <c r="Z74" s="30">
        <v>0.0</v>
      </c>
      <c r="AC74" s="5">
        <v>3.0</v>
      </c>
      <c r="AD74" s="27"/>
      <c r="AE74" s="30"/>
      <c r="AF74" s="27"/>
      <c r="AG74" s="30">
        <v>0.5</v>
      </c>
      <c r="AK74" s="27"/>
      <c r="AL74" s="30"/>
      <c r="AM74" s="27"/>
      <c r="AN74" s="30">
        <v>0.8</v>
      </c>
      <c r="AR74" s="27"/>
      <c r="AS74" s="30"/>
      <c r="AT74" s="27"/>
      <c r="AU74" s="30">
        <v>0.8</v>
      </c>
      <c r="AY74" s="27"/>
      <c r="AZ74" s="30"/>
      <c r="BA74" s="27"/>
      <c r="BB74" s="30">
        <v>1.0</v>
      </c>
      <c r="BD74" s="11"/>
      <c r="BF74" s="27"/>
      <c r="BG74" s="27"/>
      <c r="BH74" s="27"/>
      <c r="BI74" s="27"/>
      <c r="BM74" s="27"/>
      <c r="BN74" s="27"/>
      <c r="BO74" s="27"/>
      <c r="BP74" s="27"/>
      <c r="BR74" s="11"/>
      <c r="BT74" s="27"/>
      <c r="BU74" s="27"/>
      <c r="BV74" s="27"/>
      <c r="BW74" s="27"/>
      <c r="BY74" s="11"/>
      <c r="CA74" s="27"/>
      <c r="CB74" s="27"/>
      <c r="CC74" s="27"/>
      <c r="CD74" s="27"/>
      <c r="CF74" s="11"/>
      <c r="CH74" s="27"/>
      <c r="CI74" s="27"/>
      <c r="CJ74" s="27"/>
      <c r="CK74" s="27"/>
      <c r="CM74" s="11"/>
      <c r="CO74" s="27"/>
      <c r="CP74" s="27"/>
      <c r="CQ74" s="27"/>
      <c r="CR74" s="27"/>
      <c r="CT74" s="11"/>
      <c r="CV74" s="27"/>
      <c r="CW74" s="27"/>
      <c r="CX74" s="27"/>
      <c r="CY74" s="27"/>
      <c r="DA74" s="11"/>
      <c r="DC74" s="27"/>
      <c r="DD74" s="27"/>
      <c r="DE74" s="27"/>
      <c r="DF74" s="27"/>
      <c r="DH74" s="11"/>
      <c r="DJ74" s="27"/>
      <c r="DK74" s="27"/>
      <c r="DL74" s="27"/>
      <c r="DM74" s="27"/>
      <c r="DO74" s="11"/>
      <c r="DQ74" s="27"/>
      <c r="DR74" s="27"/>
      <c r="DS74" s="27"/>
      <c r="DT74" s="27"/>
    </row>
    <row r="75" ht="15.75" customHeight="1" outlineLevel="1">
      <c r="B75" s="6" t="s">
        <v>56</v>
      </c>
      <c r="C75" s="24" t="s">
        <v>113</v>
      </c>
      <c r="E75" s="26"/>
      <c r="F75" s="5" t="s">
        <v>139</v>
      </c>
      <c r="G75" s="27">
        <v>0.1</v>
      </c>
      <c r="I75" s="26">
        <f t="shared" si="8"/>
        <v>0</v>
      </c>
      <c r="J75" s="29">
        <f t="array" ref="J75">MAX(IF($N$3:$GU$3=$J$3,N75:GU75))</f>
        <v>0</v>
      </c>
      <c r="K75" s="29">
        <f t="array" ref="K75">MAX(IF($N$3:$GU$3=$J$3,N75:GU75))</f>
        <v>0</v>
      </c>
      <c r="L75" s="26"/>
      <c r="R75" s="27"/>
      <c r="S75" s="30">
        <v>0.0</v>
      </c>
      <c r="Y75" s="27"/>
      <c r="Z75" s="30">
        <v>0.0</v>
      </c>
      <c r="AD75" s="27"/>
      <c r="AE75" s="30"/>
      <c r="AF75" s="27"/>
      <c r="AG75" s="30">
        <v>0.5</v>
      </c>
      <c r="AK75" s="27"/>
      <c r="AL75" s="30"/>
      <c r="AM75" s="27"/>
      <c r="AN75" s="30">
        <v>0.5</v>
      </c>
      <c r="AR75" s="27"/>
      <c r="AS75" s="30"/>
      <c r="AT75" s="27"/>
      <c r="AU75" s="30">
        <v>0.8</v>
      </c>
      <c r="AY75" s="27"/>
      <c r="AZ75" s="30"/>
      <c r="BA75" s="27"/>
      <c r="BB75" s="30">
        <v>1.0</v>
      </c>
      <c r="BD75" s="11"/>
      <c r="BF75" s="27"/>
      <c r="BG75" s="27"/>
      <c r="BH75" s="27"/>
      <c r="BI75" s="27"/>
      <c r="BM75" s="27"/>
      <c r="BN75" s="27"/>
      <c r="BO75" s="27"/>
      <c r="BP75" s="27"/>
      <c r="BR75" s="11"/>
      <c r="BT75" s="27"/>
      <c r="BU75" s="27"/>
      <c r="BV75" s="27"/>
      <c r="BW75" s="27"/>
      <c r="BY75" s="11"/>
      <c r="CA75" s="27"/>
      <c r="CB75" s="27"/>
      <c r="CC75" s="27"/>
      <c r="CD75" s="27"/>
      <c r="CF75" s="11"/>
      <c r="CH75" s="27"/>
      <c r="CI75" s="27"/>
      <c r="CJ75" s="27"/>
      <c r="CK75" s="27"/>
      <c r="CM75" s="11"/>
      <c r="CO75" s="27"/>
      <c r="CP75" s="27"/>
      <c r="CQ75" s="27"/>
      <c r="CR75" s="27"/>
      <c r="CT75" s="11"/>
      <c r="CV75" s="27"/>
      <c r="CW75" s="27"/>
      <c r="CX75" s="27"/>
      <c r="CY75" s="27"/>
      <c r="DA75" s="11"/>
      <c r="DC75" s="27"/>
      <c r="DD75" s="27"/>
      <c r="DE75" s="27"/>
      <c r="DF75" s="27"/>
      <c r="DH75" s="11"/>
      <c r="DJ75" s="27"/>
      <c r="DK75" s="27"/>
      <c r="DL75" s="27"/>
      <c r="DM75" s="27"/>
      <c r="DO75" s="11"/>
      <c r="DQ75" s="27"/>
      <c r="DR75" s="27"/>
      <c r="DS75" s="27"/>
      <c r="DT75" s="27"/>
    </row>
    <row r="76" ht="15.75" customHeight="1" outlineLevel="1">
      <c r="B76" s="6" t="s">
        <v>56</v>
      </c>
      <c r="C76" s="24" t="s">
        <v>113</v>
      </c>
      <c r="E76" s="26"/>
      <c r="F76" s="5" t="s">
        <v>84</v>
      </c>
      <c r="G76" s="27">
        <v>0.1</v>
      </c>
      <c r="I76" s="26">
        <f t="shared" si="8"/>
        <v>0</v>
      </c>
      <c r="J76" s="29">
        <f t="array" ref="J76">MAX(IF($N$3:$GU$3=$J$3,N76:GU76))</f>
        <v>0</v>
      </c>
      <c r="K76" s="29">
        <f t="array" ref="K76">MAX(IF($N$3:$GU$3=$J$3,N76:GU76))</f>
        <v>0</v>
      </c>
      <c r="L76" s="26"/>
      <c r="R76" s="27"/>
      <c r="S76" s="30">
        <v>0.0</v>
      </c>
      <c r="Y76" s="27"/>
      <c r="Z76" s="30">
        <v>0.0</v>
      </c>
      <c r="AD76" s="27"/>
      <c r="AE76" s="30"/>
      <c r="AF76" s="27"/>
      <c r="AG76" s="30">
        <v>0.0</v>
      </c>
      <c r="AK76" s="27"/>
      <c r="AL76" s="30"/>
      <c r="AM76" s="27"/>
      <c r="AN76" s="30">
        <v>0.5</v>
      </c>
      <c r="AR76" s="27"/>
      <c r="AS76" s="30"/>
      <c r="AT76" s="27"/>
      <c r="AU76" s="30">
        <v>0.8</v>
      </c>
      <c r="AY76" s="27"/>
      <c r="AZ76" s="30"/>
      <c r="BA76" s="27"/>
      <c r="BB76" s="30">
        <v>1.0</v>
      </c>
      <c r="BD76" s="11"/>
      <c r="BF76" s="27"/>
      <c r="BG76" s="27"/>
      <c r="BH76" s="27"/>
      <c r="BI76" s="27"/>
      <c r="BM76" s="27"/>
      <c r="BN76" s="27"/>
      <c r="BO76" s="27"/>
      <c r="BP76" s="27"/>
      <c r="BR76" s="11"/>
      <c r="BT76" s="27"/>
      <c r="BU76" s="27"/>
      <c r="BV76" s="27"/>
      <c r="BW76" s="27"/>
      <c r="BY76" s="11"/>
      <c r="CA76" s="27"/>
      <c r="CB76" s="27"/>
      <c r="CC76" s="27"/>
      <c r="CD76" s="27"/>
      <c r="CF76" s="11"/>
      <c r="CH76" s="27"/>
      <c r="CI76" s="27"/>
      <c r="CJ76" s="27"/>
      <c r="CK76" s="27"/>
      <c r="CM76" s="11"/>
      <c r="CO76" s="27"/>
      <c r="CP76" s="27"/>
      <c r="CQ76" s="27"/>
      <c r="CR76" s="27"/>
      <c r="CT76" s="11"/>
      <c r="CV76" s="27"/>
      <c r="CW76" s="27"/>
      <c r="CX76" s="27"/>
      <c r="CY76" s="27"/>
      <c r="DA76" s="11"/>
      <c r="DC76" s="27"/>
      <c r="DD76" s="27"/>
      <c r="DE76" s="27"/>
      <c r="DF76" s="27"/>
      <c r="DH76" s="11"/>
      <c r="DJ76" s="27"/>
      <c r="DK76" s="27"/>
      <c r="DL76" s="27"/>
      <c r="DM76" s="27"/>
      <c r="DO76" s="11"/>
      <c r="DQ76" s="27"/>
      <c r="DR76" s="27"/>
      <c r="DS76" s="27"/>
      <c r="DT76" s="27"/>
    </row>
    <row r="77" ht="15.75" customHeight="1">
      <c r="C77" s="8"/>
      <c r="AN77" s="30"/>
      <c r="BD77" s="11"/>
      <c r="BR77" s="11"/>
      <c r="BY77" s="11"/>
      <c r="CF77" s="11"/>
      <c r="CM77" s="11"/>
      <c r="CT77" s="11"/>
      <c r="DA77" s="11"/>
      <c r="DH77" s="11"/>
      <c r="DO77" s="11"/>
    </row>
    <row r="78" ht="15.75" customHeight="1">
      <c r="C78" s="8"/>
      <c r="BD78" s="11"/>
      <c r="BR78" s="11"/>
      <c r="BY78" s="11"/>
      <c r="CF78" s="11"/>
      <c r="CM78" s="11"/>
      <c r="CT78" s="11"/>
      <c r="DA78" s="11"/>
      <c r="DH78" s="11"/>
      <c r="DO78" s="11"/>
    </row>
    <row r="79" ht="15.75" customHeight="1">
      <c r="C79" s="8"/>
      <c r="BD79" s="11"/>
      <c r="BR79" s="11"/>
      <c r="BY79" s="11"/>
      <c r="CF79" s="11"/>
      <c r="CM79" s="11"/>
      <c r="CT79" s="11"/>
      <c r="DA79" s="11"/>
      <c r="DH79" s="11"/>
      <c r="DO79" s="11"/>
    </row>
    <row r="80" ht="15.75" customHeight="1">
      <c r="C80" s="24"/>
      <c r="BD80" s="11"/>
      <c r="BR80" s="11"/>
      <c r="BY80" s="11"/>
      <c r="CF80" s="11"/>
      <c r="CM80" s="11"/>
      <c r="CT80" s="11"/>
      <c r="DA80" s="11"/>
      <c r="DH80" s="11"/>
      <c r="DO80" s="11"/>
    </row>
    <row r="81" ht="15.75" customHeight="1">
      <c r="C81" s="8"/>
      <c r="BD81" s="11"/>
      <c r="BR81" s="11"/>
      <c r="BY81" s="11"/>
      <c r="CF81" s="11"/>
      <c r="CM81" s="11"/>
      <c r="CT81" s="11"/>
      <c r="DA81" s="11"/>
      <c r="DH81" s="11"/>
      <c r="DO81" s="11"/>
    </row>
    <row r="82" ht="15.75" customHeight="1">
      <c r="C82" s="8"/>
      <c r="BD82" s="11"/>
      <c r="BR82" s="11"/>
      <c r="BY82" s="11"/>
      <c r="CF82" s="11"/>
      <c r="CM82" s="11"/>
      <c r="CT82" s="11"/>
      <c r="DA82" s="11"/>
      <c r="DH82" s="11"/>
      <c r="DO82" s="11"/>
    </row>
    <row r="83" ht="15.75" customHeight="1">
      <c r="C83" s="8"/>
      <c r="BD83" s="11"/>
      <c r="BR83" s="11"/>
      <c r="BY83" s="11"/>
      <c r="CF83" s="11"/>
      <c r="CM83" s="11"/>
      <c r="CT83" s="11"/>
      <c r="DA83" s="11"/>
      <c r="DH83" s="11"/>
      <c r="DO83" s="11"/>
    </row>
    <row r="84" ht="15.75" customHeight="1">
      <c r="C84" s="8"/>
      <c r="BD84" s="11"/>
      <c r="BR84" s="11"/>
      <c r="BY84" s="11"/>
      <c r="CF84" s="11"/>
      <c r="CM84" s="11"/>
      <c r="CT84" s="11"/>
      <c r="DA84" s="11"/>
      <c r="DH84" s="11"/>
      <c r="DO84" s="11"/>
    </row>
    <row r="85" ht="15.75" customHeight="1">
      <c r="C85" s="8"/>
      <c r="BD85" s="11"/>
      <c r="BR85" s="11"/>
      <c r="BY85" s="11"/>
      <c r="CF85" s="11"/>
      <c r="CM85" s="11"/>
      <c r="CT85" s="11"/>
      <c r="DA85" s="11"/>
      <c r="DH85" s="11"/>
      <c r="DO85" s="11"/>
    </row>
    <row r="86" ht="15.75" customHeight="1">
      <c r="C86" s="8"/>
      <c r="BD86" s="11"/>
      <c r="BR86" s="11"/>
      <c r="BY86" s="11"/>
      <c r="CF86" s="11"/>
      <c r="CM86" s="11"/>
      <c r="CT86" s="11"/>
      <c r="DA86" s="11"/>
      <c r="DH86" s="11"/>
      <c r="DO86" s="11"/>
    </row>
    <row r="87" ht="15.75" customHeight="1">
      <c r="C87" s="8"/>
      <c r="BD87" s="11"/>
      <c r="BR87" s="11"/>
      <c r="BY87" s="11"/>
      <c r="CF87" s="11"/>
      <c r="CM87" s="11"/>
      <c r="CT87" s="11"/>
      <c r="DA87" s="11"/>
      <c r="DH87" s="11"/>
      <c r="DO87" s="11"/>
    </row>
    <row r="88" ht="15.75" customHeight="1">
      <c r="C88" s="8"/>
      <c r="BD88" s="11"/>
      <c r="BR88" s="11"/>
      <c r="BY88" s="11"/>
      <c r="CF88" s="11"/>
      <c r="CM88" s="11"/>
      <c r="CT88" s="11"/>
      <c r="DA88" s="11"/>
      <c r="DH88" s="11"/>
      <c r="DO88" s="11"/>
    </row>
    <row r="89" ht="15.75" customHeight="1">
      <c r="C89" s="8"/>
      <c r="BD89" s="11"/>
      <c r="BR89" s="11"/>
      <c r="BY89" s="11"/>
      <c r="CF89" s="11"/>
      <c r="CM89" s="11"/>
      <c r="CT89" s="11"/>
      <c r="DA89" s="11"/>
      <c r="DH89" s="11"/>
      <c r="DO89" s="11"/>
    </row>
    <row r="90" ht="15.75" customHeight="1">
      <c r="C90" s="8"/>
      <c r="BD90" s="11"/>
      <c r="BR90" s="11"/>
      <c r="BY90" s="11"/>
      <c r="CF90" s="11"/>
      <c r="CM90" s="11"/>
      <c r="CT90" s="11"/>
      <c r="DA90" s="11"/>
      <c r="DH90" s="11"/>
      <c r="DO90" s="11"/>
    </row>
    <row r="91" ht="15.75" customHeight="1">
      <c r="C91" s="8"/>
      <c r="BD91" s="11"/>
      <c r="BR91" s="11"/>
      <c r="BY91" s="11"/>
      <c r="CF91" s="11"/>
      <c r="CM91" s="11"/>
      <c r="CT91" s="11"/>
      <c r="DA91" s="11"/>
      <c r="DH91" s="11"/>
      <c r="DO91" s="11"/>
    </row>
    <row r="92" ht="15.75" customHeight="1">
      <c r="C92" s="8"/>
      <c r="BD92" s="11"/>
      <c r="BR92" s="11"/>
      <c r="BY92" s="11"/>
      <c r="CF92" s="11"/>
      <c r="CM92" s="11"/>
      <c r="CT92" s="11"/>
      <c r="DA92" s="11"/>
      <c r="DH92" s="11"/>
      <c r="DO92" s="11"/>
    </row>
    <row r="93" ht="15.75" customHeight="1">
      <c r="C93" s="8"/>
      <c r="BD93" s="11"/>
      <c r="BR93" s="11"/>
      <c r="BY93" s="11"/>
      <c r="CF93" s="11"/>
      <c r="CM93" s="11"/>
      <c r="CT93" s="11"/>
      <c r="DA93" s="11"/>
      <c r="DH93" s="11"/>
      <c r="DO93" s="11"/>
    </row>
    <row r="94" ht="15.75" customHeight="1">
      <c r="C94" s="8"/>
      <c r="BD94" s="11"/>
      <c r="BR94" s="11"/>
      <c r="BY94" s="11"/>
      <c r="CF94" s="11"/>
      <c r="CM94" s="11"/>
      <c r="CT94" s="11"/>
      <c r="DA94" s="11"/>
      <c r="DH94" s="11"/>
      <c r="DO94" s="11"/>
    </row>
    <row r="95" ht="15.75" customHeight="1">
      <c r="C95" s="8"/>
      <c r="BD95" s="11"/>
      <c r="BR95" s="11"/>
      <c r="BY95" s="11"/>
      <c r="CF95" s="11"/>
      <c r="CM95" s="11"/>
      <c r="CT95" s="11"/>
      <c r="DA95" s="11"/>
      <c r="DH95" s="11"/>
      <c r="DO95" s="11"/>
    </row>
    <row r="96" ht="15.75" customHeight="1">
      <c r="C96" s="8"/>
      <c r="BD96" s="11"/>
      <c r="BR96" s="11"/>
      <c r="BY96" s="11"/>
      <c r="CF96" s="11"/>
      <c r="CM96" s="11"/>
      <c r="CT96" s="11"/>
      <c r="DA96" s="11"/>
      <c r="DH96" s="11"/>
      <c r="DO96" s="11"/>
    </row>
    <row r="97" ht="15.75" customHeight="1">
      <c r="C97" s="8"/>
      <c r="BD97" s="11"/>
      <c r="BR97" s="11"/>
      <c r="BY97" s="11"/>
      <c r="CF97" s="11"/>
      <c r="CM97" s="11"/>
      <c r="CT97" s="11"/>
      <c r="DA97" s="11"/>
      <c r="DH97" s="11"/>
      <c r="DO97" s="11"/>
    </row>
    <row r="98" ht="15.75" customHeight="1">
      <c r="C98" s="8"/>
      <c r="BD98" s="11"/>
      <c r="BR98" s="11"/>
      <c r="BY98" s="11"/>
      <c r="CF98" s="11"/>
      <c r="CM98" s="11"/>
      <c r="CT98" s="11"/>
      <c r="DA98" s="11"/>
      <c r="DH98" s="11"/>
      <c r="DO98" s="11"/>
    </row>
    <row r="99" ht="15.75" customHeight="1">
      <c r="C99" s="8"/>
      <c r="BD99" s="11"/>
      <c r="BR99" s="11"/>
      <c r="BY99" s="11"/>
      <c r="CF99" s="11"/>
      <c r="CM99" s="11"/>
      <c r="CT99" s="11"/>
      <c r="DA99" s="11"/>
      <c r="DH99" s="11"/>
      <c r="DO99" s="11"/>
    </row>
    <row r="100" ht="15.75" customHeight="1">
      <c r="C100" s="8"/>
      <c r="BD100" s="11"/>
      <c r="BR100" s="11"/>
      <c r="BY100" s="11"/>
      <c r="CF100" s="11"/>
      <c r="CM100" s="11"/>
      <c r="CT100" s="11"/>
      <c r="DA100" s="11"/>
      <c r="DH100" s="11"/>
      <c r="DO100" s="11"/>
    </row>
    <row r="101" ht="15.75" customHeight="1">
      <c r="C101" s="8"/>
      <c r="BD101" s="11"/>
      <c r="BR101" s="11"/>
      <c r="BY101" s="11"/>
      <c r="CF101" s="11"/>
      <c r="CM101" s="11"/>
      <c r="CT101" s="11"/>
      <c r="DA101" s="11"/>
      <c r="DH101" s="11"/>
      <c r="DO101" s="11"/>
    </row>
    <row r="102" ht="15.75" customHeight="1">
      <c r="C102" s="8"/>
      <c r="BD102" s="11"/>
      <c r="BR102" s="11"/>
      <c r="BY102" s="11"/>
      <c r="CF102" s="11"/>
      <c r="CM102" s="11"/>
      <c r="CT102" s="11"/>
      <c r="DA102" s="11"/>
      <c r="DH102" s="11"/>
      <c r="DO102" s="11"/>
    </row>
    <row r="103" ht="15.75" customHeight="1">
      <c r="C103" s="8"/>
      <c r="BD103" s="11"/>
      <c r="BR103" s="11"/>
      <c r="BY103" s="11"/>
      <c r="CF103" s="11"/>
      <c r="CM103" s="11"/>
      <c r="CT103" s="11"/>
      <c r="DA103" s="11"/>
      <c r="DH103" s="11"/>
      <c r="DO103" s="11"/>
    </row>
    <row r="104" ht="15.75" customHeight="1">
      <c r="C104" s="8"/>
      <c r="BD104" s="11"/>
      <c r="BR104" s="11"/>
      <c r="BY104" s="11"/>
      <c r="CF104" s="11"/>
      <c r="CM104" s="11"/>
      <c r="CT104" s="11"/>
      <c r="DA104" s="11"/>
      <c r="DH104" s="11"/>
      <c r="DO104" s="11"/>
    </row>
    <row r="105" ht="15.75" customHeight="1">
      <c r="C105" s="8"/>
      <c r="BD105" s="11"/>
      <c r="BR105" s="11"/>
      <c r="BY105" s="11"/>
      <c r="CF105" s="11"/>
      <c r="CM105" s="11"/>
      <c r="CT105" s="11"/>
      <c r="DA105" s="11"/>
      <c r="DH105" s="11"/>
      <c r="DO105" s="11"/>
    </row>
    <row r="106" ht="15.75" customHeight="1">
      <c r="C106" s="8"/>
      <c r="BD106" s="11"/>
      <c r="BR106" s="11"/>
      <c r="BY106" s="11"/>
      <c r="CF106" s="11"/>
      <c r="CM106" s="11"/>
      <c r="CT106" s="11"/>
      <c r="DA106" s="11"/>
      <c r="DH106" s="11"/>
      <c r="DO106" s="11"/>
    </row>
    <row r="107" ht="15.75" customHeight="1">
      <c r="C107" s="8"/>
      <c r="BD107" s="11"/>
      <c r="BR107" s="11"/>
      <c r="BY107" s="11"/>
      <c r="CF107" s="11"/>
      <c r="CM107" s="11"/>
      <c r="CT107" s="11"/>
      <c r="DA107" s="11"/>
      <c r="DH107" s="11"/>
      <c r="DO107" s="11"/>
    </row>
    <row r="108" ht="15.75" customHeight="1">
      <c r="C108" s="8"/>
      <c r="BD108" s="11"/>
      <c r="BR108" s="11"/>
      <c r="BY108" s="11"/>
      <c r="CF108" s="11"/>
      <c r="CM108" s="11"/>
      <c r="CT108" s="11"/>
      <c r="DA108" s="11"/>
      <c r="DH108" s="11"/>
      <c r="DO108" s="11"/>
    </row>
    <row r="109" ht="15.75" customHeight="1">
      <c r="C109" s="8"/>
      <c r="BD109" s="11"/>
      <c r="BR109" s="11"/>
      <c r="BY109" s="11"/>
      <c r="CF109" s="11"/>
      <c r="CM109" s="11"/>
      <c r="CT109" s="11"/>
      <c r="DA109" s="11"/>
      <c r="DH109" s="11"/>
      <c r="DO109" s="11"/>
    </row>
    <row r="110" ht="15.75" customHeight="1">
      <c r="C110" s="8"/>
      <c r="BD110" s="11"/>
      <c r="BR110" s="11"/>
      <c r="BY110" s="11"/>
      <c r="CF110" s="11"/>
      <c r="CM110" s="11"/>
      <c r="CT110" s="11"/>
      <c r="DA110" s="11"/>
      <c r="DH110" s="11"/>
      <c r="DO110" s="11"/>
    </row>
    <row r="111" ht="15.75" customHeight="1">
      <c r="C111" s="8"/>
      <c r="BD111" s="11"/>
      <c r="BR111" s="11"/>
      <c r="BY111" s="11"/>
      <c r="CF111" s="11"/>
      <c r="CM111" s="11"/>
      <c r="CT111" s="11"/>
      <c r="DA111" s="11"/>
      <c r="DH111" s="11"/>
      <c r="DO111" s="11"/>
    </row>
    <row r="112" ht="15.75" customHeight="1">
      <c r="C112" s="8"/>
      <c r="BD112" s="11"/>
      <c r="BR112" s="11"/>
      <c r="BY112" s="11"/>
      <c r="CF112" s="11"/>
      <c r="CM112" s="11"/>
      <c r="CT112" s="11"/>
      <c r="DA112" s="11"/>
      <c r="DH112" s="11"/>
      <c r="DO112" s="11"/>
    </row>
    <row r="113" ht="15.75" customHeight="1">
      <c r="C113" s="8"/>
      <c r="BD113" s="11"/>
      <c r="BR113" s="11"/>
      <c r="BY113" s="11"/>
      <c r="CF113" s="11"/>
      <c r="CM113" s="11"/>
      <c r="CT113" s="11"/>
      <c r="DA113" s="11"/>
      <c r="DH113" s="11"/>
      <c r="DO113" s="11"/>
    </row>
    <row r="114" ht="15.75" customHeight="1">
      <c r="C114" s="8"/>
      <c r="BD114" s="11"/>
      <c r="BR114" s="11"/>
      <c r="BY114" s="11"/>
      <c r="CF114" s="11"/>
      <c r="CM114" s="11"/>
      <c r="CT114" s="11"/>
      <c r="DA114" s="11"/>
      <c r="DH114" s="11"/>
      <c r="DO114" s="11"/>
    </row>
    <row r="115" ht="15.75" customHeight="1">
      <c r="C115" s="8"/>
      <c r="BD115" s="11"/>
      <c r="BR115" s="11"/>
      <c r="BY115" s="11"/>
      <c r="CF115" s="11"/>
      <c r="CM115" s="11"/>
      <c r="CT115" s="11"/>
      <c r="DA115" s="11"/>
      <c r="DH115" s="11"/>
      <c r="DO115" s="11"/>
    </row>
    <row r="116" ht="15.75" customHeight="1">
      <c r="C116" s="8"/>
      <c r="BD116" s="11"/>
      <c r="BR116" s="11"/>
      <c r="BY116" s="11"/>
      <c r="CF116" s="11"/>
      <c r="CM116" s="11"/>
      <c r="CT116" s="11"/>
      <c r="DA116" s="11"/>
      <c r="DH116" s="11"/>
      <c r="DO116" s="11"/>
    </row>
    <row r="117" ht="15.75" customHeight="1">
      <c r="C117" s="8"/>
      <c r="BD117" s="11"/>
      <c r="BR117" s="11"/>
      <c r="BY117" s="11"/>
      <c r="CF117" s="11"/>
      <c r="CM117" s="11"/>
      <c r="CT117" s="11"/>
      <c r="DA117" s="11"/>
      <c r="DH117" s="11"/>
      <c r="DO117" s="11"/>
    </row>
    <row r="118" ht="15.75" customHeight="1">
      <c r="C118" s="8"/>
      <c r="BD118" s="11"/>
      <c r="BR118" s="11"/>
      <c r="BY118" s="11"/>
      <c r="CF118" s="11"/>
      <c r="CM118" s="11"/>
      <c r="CT118" s="11"/>
      <c r="DA118" s="11"/>
      <c r="DH118" s="11"/>
      <c r="DO118" s="11"/>
    </row>
    <row r="119" ht="15.75" customHeight="1">
      <c r="C119" s="8"/>
      <c r="BD119" s="11"/>
      <c r="BR119" s="11"/>
      <c r="BY119" s="11"/>
      <c r="CF119" s="11"/>
      <c r="CM119" s="11"/>
      <c r="CT119" s="11"/>
      <c r="DA119" s="11"/>
      <c r="DH119" s="11"/>
      <c r="DO119" s="11"/>
    </row>
    <row r="120" ht="15.75" customHeight="1">
      <c r="C120" s="8"/>
      <c r="BD120" s="11"/>
      <c r="BR120" s="11"/>
      <c r="BY120" s="11"/>
      <c r="CF120" s="11"/>
      <c r="CM120" s="11"/>
      <c r="CT120" s="11"/>
      <c r="DA120" s="11"/>
      <c r="DH120" s="11"/>
      <c r="DO120" s="11"/>
    </row>
    <row r="121" ht="15.75" customHeight="1">
      <c r="C121" s="8"/>
      <c r="BD121" s="11"/>
      <c r="BR121" s="11"/>
      <c r="BY121" s="11"/>
      <c r="CF121" s="11"/>
      <c r="CM121" s="11"/>
      <c r="CT121" s="11"/>
      <c r="DA121" s="11"/>
      <c r="DH121" s="11"/>
      <c r="DO121" s="11"/>
    </row>
    <row r="122" ht="15.75" customHeight="1">
      <c r="C122" s="8"/>
      <c r="BD122" s="11"/>
      <c r="BR122" s="11"/>
      <c r="BY122" s="11"/>
      <c r="CF122" s="11"/>
      <c r="CM122" s="11"/>
      <c r="CT122" s="11"/>
      <c r="DA122" s="11"/>
      <c r="DH122" s="11"/>
      <c r="DO122" s="11"/>
    </row>
    <row r="123" ht="15.75" customHeight="1">
      <c r="C123" s="8"/>
      <c r="BD123" s="11"/>
      <c r="BR123" s="11"/>
      <c r="BY123" s="11"/>
      <c r="CF123" s="11"/>
      <c r="CM123" s="11"/>
      <c r="CT123" s="11"/>
      <c r="DA123" s="11"/>
      <c r="DH123" s="11"/>
      <c r="DO123" s="11"/>
    </row>
    <row r="124" ht="15.75" customHeight="1">
      <c r="C124" s="8"/>
      <c r="BD124" s="11"/>
      <c r="BR124" s="11"/>
      <c r="BY124" s="11"/>
      <c r="CF124" s="11"/>
      <c r="CM124" s="11"/>
      <c r="CT124" s="11"/>
      <c r="DA124" s="11"/>
      <c r="DH124" s="11"/>
      <c r="DO124" s="11"/>
    </row>
    <row r="125" ht="15.75" customHeight="1">
      <c r="C125" s="8"/>
      <c r="BD125" s="11"/>
      <c r="BR125" s="11"/>
      <c r="BY125" s="11"/>
      <c r="CF125" s="11"/>
      <c r="CM125" s="11"/>
      <c r="CT125" s="11"/>
      <c r="DA125" s="11"/>
      <c r="DH125" s="11"/>
      <c r="DO125" s="11"/>
    </row>
    <row r="126" ht="15.75" customHeight="1">
      <c r="C126" s="8"/>
      <c r="BD126" s="11"/>
      <c r="BR126" s="11"/>
      <c r="BY126" s="11"/>
      <c r="CF126" s="11"/>
      <c r="CM126" s="11"/>
      <c r="CT126" s="11"/>
      <c r="DA126" s="11"/>
      <c r="DH126" s="11"/>
      <c r="DO126" s="11"/>
    </row>
    <row r="127" ht="15.75" customHeight="1">
      <c r="C127" s="8"/>
      <c r="BD127" s="11"/>
      <c r="BR127" s="11"/>
      <c r="BY127" s="11"/>
      <c r="CF127" s="11"/>
      <c r="CM127" s="11"/>
      <c r="CT127" s="11"/>
      <c r="DA127" s="11"/>
      <c r="DH127" s="11"/>
      <c r="DO127" s="11"/>
    </row>
    <row r="128" ht="15.75" customHeight="1">
      <c r="C128" s="8"/>
      <c r="BD128" s="11"/>
      <c r="BR128" s="11"/>
      <c r="BY128" s="11"/>
      <c r="CF128" s="11"/>
      <c r="CM128" s="11"/>
      <c r="CT128" s="11"/>
      <c r="DA128" s="11"/>
      <c r="DH128" s="11"/>
      <c r="DO128" s="11"/>
    </row>
    <row r="129" ht="15.75" customHeight="1">
      <c r="C129" s="8"/>
      <c r="BD129" s="11"/>
      <c r="BR129" s="11"/>
      <c r="BY129" s="11"/>
      <c r="CF129" s="11"/>
      <c r="CM129" s="11"/>
      <c r="CT129" s="11"/>
      <c r="DA129" s="11"/>
      <c r="DH129" s="11"/>
      <c r="DO129" s="11"/>
    </row>
    <row r="130" ht="15.75" customHeight="1">
      <c r="C130" s="8"/>
      <c r="BD130" s="11"/>
      <c r="BR130" s="11"/>
      <c r="BY130" s="11"/>
      <c r="CF130" s="11"/>
      <c r="CM130" s="11"/>
      <c r="CT130" s="11"/>
      <c r="DA130" s="11"/>
      <c r="DH130" s="11"/>
      <c r="DO130" s="11"/>
    </row>
    <row r="131" ht="15.75" customHeight="1">
      <c r="C131" s="8"/>
      <c r="BD131" s="11"/>
      <c r="BR131" s="11"/>
      <c r="BY131" s="11"/>
      <c r="CF131" s="11"/>
      <c r="CM131" s="11"/>
      <c r="CT131" s="11"/>
      <c r="DA131" s="11"/>
      <c r="DH131" s="11"/>
      <c r="DO131" s="11"/>
    </row>
    <row r="132" ht="15.75" customHeight="1">
      <c r="C132" s="8"/>
      <c r="BD132" s="11"/>
      <c r="BR132" s="11"/>
      <c r="BY132" s="11"/>
      <c r="CF132" s="11"/>
      <c r="CM132" s="11"/>
      <c r="CT132" s="11"/>
      <c r="DA132" s="11"/>
      <c r="DH132" s="11"/>
      <c r="DO132" s="11"/>
    </row>
    <row r="133" ht="15.75" customHeight="1">
      <c r="C133" s="8"/>
      <c r="BD133" s="11"/>
      <c r="BR133" s="11"/>
      <c r="BY133" s="11"/>
      <c r="CF133" s="11"/>
      <c r="CM133" s="11"/>
      <c r="CT133" s="11"/>
      <c r="DA133" s="11"/>
      <c r="DH133" s="11"/>
      <c r="DO133" s="11"/>
    </row>
    <row r="134" ht="15.75" customHeight="1">
      <c r="C134" s="8"/>
      <c r="BD134" s="11"/>
      <c r="BR134" s="11"/>
      <c r="BY134" s="11"/>
      <c r="CF134" s="11"/>
      <c r="CM134" s="11"/>
      <c r="CT134" s="11"/>
      <c r="DA134" s="11"/>
      <c r="DH134" s="11"/>
      <c r="DO134" s="11"/>
    </row>
    <row r="135" ht="15.75" customHeight="1">
      <c r="C135" s="8"/>
      <c r="BD135" s="11"/>
      <c r="BR135" s="11"/>
      <c r="BY135" s="11"/>
      <c r="CF135" s="11"/>
      <c r="CM135" s="11"/>
      <c r="CT135" s="11"/>
      <c r="DA135" s="11"/>
      <c r="DH135" s="11"/>
      <c r="DO135" s="11"/>
    </row>
    <row r="136" ht="15.75" customHeight="1">
      <c r="C136" s="8"/>
      <c r="BD136" s="11"/>
      <c r="BR136" s="11"/>
      <c r="BY136" s="11"/>
      <c r="CF136" s="11"/>
      <c r="CM136" s="11"/>
      <c r="CT136" s="11"/>
      <c r="DA136" s="11"/>
      <c r="DH136" s="11"/>
      <c r="DO136" s="11"/>
    </row>
    <row r="137" ht="15.75" customHeight="1">
      <c r="C137" s="8"/>
      <c r="BD137" s="11"/>
      <c r="BR137" s="11"/>
      <c r="BY137" s="11"/>
      <c r="CF137" s="11"/>
      <c r="CM137" s="11"/>
      <c r="CT137" s="11"/>
      <c r="DA137" s="11"/>
      <c r="DH137" s="11"/>
      <c r="DO137" s="11"/>
    </row>
    <row r="138" ht="15.75" customHeight="1">
      <c r="C138" s="8"/>
      <c r="BD138" s="11"/>
      <c r="BR138" s="11"/>
      <c r="BY138" s="11"/>
      <c r="CF138" s="11"/>
      <c r="CM138" s="11"/>
      <c r="CT138" s="11"/>
      <c r="DA138" s="11"/>
      <c r="DH138" s="11"/>
      <c r="DO138" s="11"/>
    </row>
    <row r="139" ht="15.75" customHeight="1">
      <c r="C139" s="8"/>
      <c r="BD139" s="11"/>
      <c r="BR139" s="11"/>
      <c r="BY139" s="11"/>
      <c r="CF139" s="11"/>
      <c r="CM139" s="11"/>
      <c r="CT139" s="11"/>
      <c r="DA139" s="11"/>
      <c r="DH139" s="11"/>
      <c r="DO139" s="11"/>
    </row>
    <row r="140" ht="15.75" customHeight="1">
      <c r="C140" s="8"/>
      <c r="BD140" s="11"/>
      <c r="BR140" s="11"/>
      <c r="BY140" s="11"/>
      <c r="CF140" s="11"/>
      <c r="CM140" s="11"/>
      <c r="CT140" s="11"/>
      <c r="DA140" s="11"/>
      <c r="DH140" s="11"/>
      <c r="DO140" s="11"/>
    </row>
    <row r="141" ht="15.75" customHeight="1">
      <c r="C141" s="8"/>
      <c r="BD141" s="11"/>
      <c r="BR141" s="11"/>
      <c r="BY141" s="11"/>
      <c r="CF141" s="11"/>
      <c r="CM141" s="11"/>
      <c r="CT141" s="11"/>
      <c r="DA141" s="11"/>
      <c r="DH141" s="11"/>
      <c r="DO141" s="11"/>
    </row>
    <row r="142" ht="15.75" customHeight="1">
      <c r="C142" s="8"/>
      <c r="BD142" s="11"/>
      <c r="BR142" s="11"/>
      <c r="BY142" s="11"/>
      <c r="CF142" s="11"/>
      <c r="CM142" s="11"/>
      <c r="CT142" s="11"/>
      <c r="DA142" s="11"/>
      <c r="DH142" s="11"/>
      <c r="DO142" s="11"/>
    </row>
    <row r="143" ht="15.75" customHeight="1">
      <c r="C143" s="8"/>
      <c r="BD143" s="11"/>
      <c r="BR143" s="11"/>
      <c r="BY143" s="11"/>
      <c r="CF143" s="11"/>
      <c r="CM143" s="11"/>
      <c r="CT143" s="11"/>
      <c r="DA143" s="11"/>
      <c r="DH143" s="11"/>
      <c r="DO143" s="11"/>
    </row>
    <row r="144" ht="15.75" customHeight="1">
      <c r="C144" s="8"/>
      <c r="BD144" s="11"/>
      <c r="BR144" s="11"/>
      <c r="BY144" s="11"/>
      <c r="CF144" s="11"/>
      <c r="CM144" s="11"/>
      <c r="CT144" s="11"/>
      <c r="DA144" s="11"/>
      <c r="DH144" s="11"/>
      <c r="DO144" s="11"/>
    </row>
    <row r="145" ht="15.75" customHeight="1">
      <c r="C145" s="8"/>
      <c r="BD145" s="11"/>
      <c r="BR145" s="11"/>
      <c r="BY145" s="11"/>
      <c r="CF145" s="11"/>
      <c r="CM145" s="11"/>
      <c r="CT145" s="11"/>
      <c r="DA145" s="11"/>
      <c r="DH145" s="11"/>
      <c r="DO145" s="11"/>
    </row>
    <row r="146" ht="15.75" customHeight="1">
      <c r="C146" s="8"/>
      <c r="BD146" s="11"/>
      <c r="BR146" s="11"/>
      <c r="BY146" s="11"/>
      <c r="CF146" s="11"/>
      <c r="CM146" s="11"/>
      <c r="CT146" s="11"/>
      <c r="DA146" s="11"/>
      <c r="DH146" s="11"/>
      <c r="DO146" s="11"/>
    </row>
    <row r="147" ht="15.75" customHeight="1">
      <c r="C147" s="8"/>
      <c r="BD147" s="11"/>
      <c r="BR147" s="11"/>
      <c r="BY147" s="11"/>
      <c r="CF147" s="11"/>
      <c r="CM147" s="11"/>
      <c r="CT147" s="11"/>
      <c r="DA147" s="11"/>
      <c r="DH147" s="11"/>
      <c r="DO147" s="11"/>
    </row>
    <row r="148" ht="15.75" customHeight="1">
      <c r="C148" s="8"/>
      <c r="BD148" s="11"/>
      <c r="BR148" s="11"/>
      <c r="BY148" s="11"/>
      <c r="CF148" s="11"/>
      <c r="CM148" s="11"/>
      <c r="CT148" s="11"/>
      <c r="DA148" s="11"/>
      <c r="DH148" s="11"/>
      <c r="DO148" s="11"/>
    </row>
    <row r="149" ht="15.75" customHeight="1">
      <c r="C149" s="8"/>
      <c r="BD149" s="11"/>
      <c r="BR149" s="11"/>
      <c r="BY149" s="11"/>
      <c r="CF149" s="11"/>
      <c r="CM149" s="11"/>
      <c r="CT149" s="11"/>
      <c r="DA149" s="11"/>
      <c r="DH149" s="11"/>
      <c r="DO149" s="11"/>
    </row>
    <row r="150" ht="15.75" customHeight="1">
      <c r="C150" s="8"/>
      <c r="BD150" s="11"/>
      <c r="BR150" s="11"/>
      <c r="BY150" s="11"/>
      <c r="CF150" s="11"/>
      <c r="CM150" s="11"/>
      <c r="CT150" s="11"/>
      <c r="DA150" s="11"/>
      <c r="DH150" s="11"/>
      <c r="DO150" s="11"/>
    </row>
    <row r="151" ht="15.75" customHeight="1">
      <c r="C151" s="8"/>
      <c r="BD151" s="11"/>
      <c r="BR151" s="11"/>
      <c r="BY151" s="11"/>
      <c r="CF151" s="11"/>
      <c r="CM151" s="11"/>
      <c r="CT151" s="11"/>
      <c r="DA151" s="11"/>
      <c r="DH151" s="11"/>
      <c r="DO151" s="11"/>
    </row>
    <row r="152" ht="15.75" customHeight="1">
      <c r="C152" s="8"/>
      <c r="BD152" s="11"/>
      <c r="BR152" s="11"/>
      <c r="BY152" s="11"/>
      <c r="CF152" s="11"/>
      <c r="CM152" s="11"/>
      <c r="CT152" s="11"/>
      <c r="DA152" s="11"/>
      <c r="DH152" s="11"/>
      <c r="DO152" s="11"/>
    </row>
    <row r="153" ht="15.75" customHeight="1">
      <c r="C153" s="8"/>
      <c r="BD153" s="11"/>
      <c r="BR153" s="11"/>
      <c r="BY153" s="11"/>
      <c r="CF153" s="11"/>
      <c r="CM153" s="11"/>
      <c r="CT153" s="11"/>
      <c r="DA153" s="11"/>
      <c r="DH153" s="11"/>
      <c r="DO153" s="11"/>
    </row>
    <row r="154" ht="15.75" customHeight="1">
      <c r="C154" s="8"/>
      <c r="BD154" s="11"/>
      <c r="BR154" s="11"/>
      <c r="BY154" s="11"/>
      <c r="CF154" s="11"/>
      <c r="CM154" s="11"/>
      <c r="CT154" s="11"/>
      <c r="DA154" s="11"/>
      <c r="DH154" s="11"/>
      <c r="DO154" s="11"/>
    </row>
    <row r="155" ht="15.75" customHeight="1">
      <c r="C155" s="8"/>
      <c r="BD155" s="11"/>
      <c r="BR155" s="11"/>
      <c r="BY155" s="11"/>
      <c r="CF155" s="11"/>
      <c r="CM155" s="11"/>
      <c r="CT155" s="11"/>
      <c r="DA155" s="11"/>
      <c r="DH155" s="11"/>
      <c r="DO155" s="11"/>
    </row>
    <row r="156" ht="15.75" customHeight="1">
      <c r="C156" s="8"/>
      <c r="BD156" s="11"/>
      <c r="BR156" s="11"/>
      <c r="BY156" s="11"/>
      <c r="CF156" s="11"/>
      <c r="CM156" s="11"/>
      <c r="CT156" s="11"/>
      <c r="DA156" s="11"/>
      <c r="DH156" s="11"/>
      <c r="DO156" s="11"/>
    </row>
    <row r="157" ht="15.75" customHeight="1">
      <c r="C157" s="8"/>
      <c r="BD157" s="11"/>
      <c r="BR157" s="11"/>
      <c r="BY157" s="11"/>
      <c r="CF157" s="11"/>
      <c r="CM157" s="11"/>
      <c r="CT157" s="11"/>
      <c r="DA157" s="11"/>
      <c r="DH157" s="11"/>
      <c r="DO157" s="11"/>
    </row>
    <row r="158" ht="15.75" customHeight="1">
      <c r="C158" s="8"/>
      <c r="BD158" s="11"/>
      <c r="BR158" s="11"/>
      <c r="BY158" s="11"/>
      <c r="CF158" s="11"/>
      <c r="CM158" s="11"/>
      <c r="CT158" s="11"/>
      <c r="DA158" s="11"/>
      <c r="DH158" s="11"/>
      <c r="DO158" s="11"/>
    </row>
    <row r="159" ht="15.75" customHeight="1">
      <c r="C159" s="8"/>
      <c r="BD159" s="11"/>
      <c r="BR159" s="11"/>
      <c r="BY159" s="11"/>
      <c r="CF159" s="11"/>
      <c r="CM159" s="11"/>
      <c r="CT159" s="11"/>
      <c r="DA159" s="11"/>
      <c r="DH159" s="11"/>
      <c r="DO159" s="11"/>
    </row>
    <row r="160" ht="15.75" customHeight="1">
      <c r="C160" s="8"/>
      <c r="BD160" s="11"/>
      <c r="BR160" s="11"/>
      <c r="BY160" s="11"/>
      <c r="CF160" s="11"/>
      <c r="CM160" s="11"/>
      <c r="CT160" s="11"/>
      <c r="DA160" s="11"/>
      <c r="DH160" s="11"/>
      <c r="DO160" s="11"/>
    </row>
    <row r="161" ht="15.75" customHeight="1">
      <c r="C161" s="8"/>
      <c r="BD161" s="11"/>
      <c r="BR161" s="11"/>
      <c r="BY161" s="11"/>
      <c r="CF161" s="11"/>
      <c r="CM161" s="11"/>
      <c r="CT161" s="11"/>
      <c r="DA161" s="11"/>
      <c r="DH161" s="11"/>
      <c r="DO161" s="11"/>
    </row>
    <row r="162" ht="15.75" customHeight="1">
      <c r="C162" s="8"/>
      <c r="BD162" s="11"/>
      <c r="BR162" s="11"/>
      <c r="BY162" s="11"/>
      <c r="CF162" s="11"/>
      <c r="CM162" s="11"/>
      <c r="CT162" s="11"/>
      <c r="DA162" s="11"/>
      <c r="DH162" s="11"/>
      <c r="DO162" s="11"/>
    </row>
    <row r="163" ht="15.75" customHeight="1">
      <c r="C163" s="8"/>
      <c r="BD163" s="11"/>
      <c r="BR163" s="11"/>
      <c r="BY163" s="11"/>
      <c r="CF163" s="11"/>
      <c r="CM163" s="11"/>
      <c r="CT163" s="11"/>
      <c r="DA163" s="11"/>
      <c r="DH163" s="11"/>
      <c r="DO163" s="11"/>
    </row>
    <row r="164" ht="15.75" customHeight="1">
      <c r="C164" s="8"/>
      <c r="BD164" s="11"/>
      <c r="BR164" s="11"/>
      <c r="BY164" s="11"/>
      <c r="CF164" s="11"/>
      <c r="CM164" s="11"/>
      <c r="CT164" s="11"/>
      <c r="DA164" s="11"/>
      <c r="DH164" s="11"/>
      <c r="DO164" s="11"/>
    </row>
    <row r="165" ht="15.75" customHeight="1">
      <c r="C165" s="8"/>
      <c r="BD165" s="11"/>
      <c r="BR165" s="11"/>
      <c r="BY165" s="11"/>
      <c r="CF165" s="11"/>
      <c r="CM165" s="11"/>
      <c r="CT165" s="11"/>
      <c r="DA165" s="11"/>
      <c r="DH165" s="11"/>
      <c r="DO165" s="11"/>
    </row>
    <row r="166" ht="15.75" customHeight="1">
      <c r="C166" s="8"/>
      <c r="BD166" s="11"/>
      <c r="BR166" s="11"/>
      <c r="BY166" s="11"/>
      <c r="CF166" s="11"/>
      <c r="CM166" s="11"/>
      <c r="CT166" s="11"/>
      <c r="DA166" s="11"/>
      <c r="DH166" s="11"/>
      <c r="DO166" s="11"/>
    </row>
    <row r="167" ht="15.75" customHeight="1">
      <c r="C167" s="8"/>
      <c r="BD167" s="11"/>
      <c r="BR167" s="11"/>
      <c r="BY167" s="11"/>
      <c r="CF167" s="11"/>
      <c r="CM167" s="11"/>
      <c r="CT167" s="11"/>
      <c r="DA167" s="11"/>
      <c r="DH167" s="11"/>
      <c r="DO167" s="11"/>
    </row>
    <row r="168" ht="15.75" customHeight="1">
      <c r="C168" s="8"/>
      <c r="BD168" s="11"/>
      <c r="BR168" s="11"/>
      <c r="BY168" s="11"/>
      <c r="CF168" s="11"/>
      <c r="CM168" s="11"/>
      <c r="CT168" s="11"/>
      <c r="DA168" s="11"/>
      <c r="DH168" s="11"/>
      <c r="DO168" s="11"/>
    </row>
    <row r="169" ht="15.75" customHeight="1">
      <c r="C169" s="8"/>
      <c r="BD169" s="11"/>
      <c r="BR169" s="11"/>
      <c r="BY169" s="11"/>
      <c r="CF169" s="11"/>
      <c r="CM169" s="11"/>
      <c r="CT169" s="11"/>
      <c r="DA169" s="11"/>
      <c r="DH169" s="11"/>
      <c r="DO169" s="11"/>
    </row>
    <row r="170" ht="15.75" customHeight="1">
      <c r="C170" s="8"/>
      <c r="BD170" s="11"/>
      <c r="BR170" s="11"/>
      <c r="BY170" s="11"/>
      <c r="CF170" s="11"/>
      <c r="CM170" s="11"/>
      <c r="CT170" s="11"/>
      <c r="DA170" s="11"/>
      <c r="DH170" s="11"/>
      <c r="DO170" s="11"/>
    </row>
    <row r="171" ht="15.75" customHeight="1">
      <c r="C171" s="8"/>
      <c r="BD171" s="11"/>
      <c r="BR171" s="11"/>
      <c r="BY171" s="11"/>
      <c r="CF171" s="11"/>
      <c r="CM171" s="11"/>
      <c r="CT171" s="11"/>
      <c r="DA171" s="11"/>
      <c r="DH171" s="11"/>
      <c r="DO171" s="11"/>
    </row>
    <row r="172" ht="15.75" customHeight="1">
      <c r="C172" s="8"/>
      <c r="BD172" s="11"/>
      <c r="BR172" s="11"/>
      <c r="BY172" s="11"/>
      <c r="CF172" s="11"/>
      <c r="CM172" s="11"/>
      <c r="CT172" s="11"/>
      <c r="DA172" s="11"/>
      <c r="DH172" s="11"/>
      <c r="DO172" s="11"/>
    </row>
    <row r="173" ht="15.75" customHeight="1">
      <c r="C173" s="8"/>
      <c r="BD173" s="11"/>
      <c r="BR173" s="11"/>
      <c r="BY173" s="11"/>
      <c r="CF173" s="11"/>
      <c r="CM173" s="11"/>
      <c r="CT173" s="11"/>
      <c r="DA173" s="11"/>
      <c r="DH173" s="11"/>
      <c r="DO173" s="11"/>
    </row>
    <row r="174" ht="15.75" customHeight="1">
      <c r="C174" s="8"/>
      <c r="BD174" s="11"/>
      <c r="BR174" s="11"/>
      <c r="BY174" s="11"/>
      <c r="CF174" s="11"/>
      <c r="CM174" s="11"/>
      <c r="CT174" s="11"/>
      <c r="DA174" s="11"/>
      <c r="DH174" s="11"/>
      <c r="DO174" s="11"/>
    </row>
    <row r="175" ht="15.75" customHeight="1">
      <c r="C175" s="8"/>
      <c r="BD175" s="11"/>
      <c r="BR175" s="11"/>
      <c r="BY175" s="11"/>
      <c r="CF175" s="11"/>
      <c r="CM175" s="11"/>
      <c r="CT175" s="11"/>
      <c r="DA175" s="11"/>
      <c r="DH175" s="11"/>
      <c r="DO175" s="11"/>
    </row>
    <row r="176" ht="15.75" customHeight="1">
      <c r="C176" s="8"/>
      <c r="BD176" s="11"/>
      <c r="BR176" s="11"/>
      <c r="BY176" s="11"/>
      <c r="CF176" s="11"/>
      <c r="CM176" s="11"/>
      <c r="CT176" s="11"/>
      <c r="DA176" s="11"/>
      <c r="DH176" s="11"/>
      <c r="DO176" s="11"/>
    </row>
    <row r="177" ht="15.75" customHeight="1">
      <c r="C177" s="8"/>
      <c r="BD177" s="11"/>
      <c r="BR177" s="11"/>
      <c r="BY177" s="11"/>
      <c r="CF177" s="11"/>
      <c r="CM177" s="11"/>
      <c r="CT177" s="11"/>
      <c r="DA177" s="11"/>
      <c r="DH177" s="11"/>
      <c r="DO177" s="11"/>
    </row>
    <row r="178" ht="15.75" customHeight="1">
      <c r="C178" s="8"/>
      <c r="BD178" s="11"/>
      <c r="BR178" s="11"/>
      <c r="BY178" s="11"/>
      <c r="CF178" s="11"/>
      <c r="CM178" s="11"/>
      <c r="CT178" s="11"/>
      <c r="DA178" s="11"/>
      <c r="DH178" s="11"/>
      <c r="DO178" s="11"/>
    </row>
    <row r="179" ht="15.75" customHeight="1">
      <c r="C179" s="8"/>
      <c r="BD179" s="11"/>
      <c r="BR179" s="11"/>
      <c r="BY179" s="11"/>
      <c r="CF179" s="11"/>
      <c r="CM179" s="11"/>
      <c r="CT179" s="11"/>
      <c r="DA179" s="11"/>
      <c r="DH179" s="11"/>
      <c r="DO179" s="11"/>
    </row>
    <row r="180" ht="15.75" customHeight="1">
      <c r="C180" s="8"/>
      <c r="BD180" s="11"/>
      <c r="BR180" s="11"/>
      <c r="BY180" s="11"/>
      <c r="CF180" s="11"/>
      <c r="CM180" s="11"/>
      <c r="CT180" s="11"/>
      <c r="DA180" s="11"/>
      <c r="DH180" s="11"/>
      <c r="DO180" s="11"/>
    </row>
    <row r="181" ht="15.75" customHeight="1">
      <c r="C181" s="8"/>
      <c r="BD181" s="11"/>
      <c r="BR181" s="11"/>
      <c r="BY181" s="11"/>
      <c r="CF181" s="11"/>
      <c r="CM181" s="11"/>
      <c r="CT181" s="11"/>
      <c r="DA181" s="11"/>
      <c r="DH181" s="11"/>
      <c r="DO181" s="11"/>
    </row>
    <row r="182" ht="15.75" customHeight="1">
      <c r="C182" s="8"/>
      <c r="BD182" s="11"/>
      <c r="BR182" s="11"/>
      <c r="BY182" s="11"/>
      <c r="CF182" s="11"/>
      <c r="CM182" s="11"/>
      <c r="CT182" s="11"/>
      <c r="DA182" s="11"/>
      <c r="DH182" s="11"/>
      <c r="DO182" s="11"/>
    </row>
    <row r="183" ht="15.75" customHeight="1">
      <c r="C183" s="8"/>
      <c r="BD183" s="11"/>
      <c r="BR183" s="11"/>
      <c r="BY183" s="11"/>
      <c r="CF183" s="11"/>
      <c r="CM183" s="11"/>
      <c r="CT183" s="11"/>
      <c r="DA183" s="11"/>
      <c r="DH183" s="11"/>
      <c r="DO183" s="11"/>
    </row>
    <row r="184" ht="15.75" customHeight="1">
      <c r="C184" s="8"/>
      <c r="BD184" s="11"/>
      <c r="BR184" s="11"/>
      <c r="BY184" s="11"/>
      <c r="CF184" s="11"/>
      <c r="CM184" s="11"/>
      <c r="CT184" s="11"/>
      <c r="DA184" s="11"/>
      <c r="DH184" s="11"/>
      <c r="DO184" s="11"/>
    </row>
    <row r="185" ht="15.75" customHeight="1">
      <c r="C185" s="8"/>
      <c r="BD185" s="11"/>
      <c r="BR185" s="11"/>
      <c r="BY185" s="11"/>
      <c r="CF185" s="11"/>
      <c r="CM185" s="11"/>
      <c r="CT185" s="11"/>
      <c r="DA185" s="11"/>
      <c r="DH185" s="11"/>
      <c r="DO185" s="11"/>
    </row>
    <row r="186" ht="15.75" customHeight="1">
      <c r="C186" s="8"/>
      <c r="BD186" s="11"/>
      <c r="BR186" s="11"/>
      <c r="BY186" s="11"/>
      <c r="CF186" s="11"/>
      <c r="CM186" s="11"/>
      <c r="CT186" s="11"/>
      <c r="DA186" s="11"/>
      <c r="DH186" s="11"/>
      <c r="DO186" s="11"/>
    </row>
    <row r="187" ht="15.75" customHeight="1">
      <c r="C187" s="8"/>
      <c r="BD187" s="11"/>
      <c r="BR187" s="11"/>
      <c r="BY187" s="11"/>
      <c r="CF187" s="11"/>
      <c r="CM187" s="11"/>
      <c r="CT187" s="11"/>
      <c r="DA187" s="11"/>
      <c r="DH187" s="11"/>
      <c r="DO187" s="11"/>
    </row>
    <row r="188" ht="15.75" customHeight="1">
      <c r="C188" s="8"/>
      <c r="BD188" s="11"/>
      <c r="BR188" s="11"/>
      <c r="BY188" s="11"/>
      <c r="CF188" s="11"/>
      <c r="CM188" s="11"/>
      <c r="CT188" s="11"/>
      <c r="DA188" s="11"/>
      <c r="DH188" s="11"/>
      <c r="DO188" s="11"/>
    </row>
    <row r="189" ht="15.75" customHeight="1">
      <c r="C189" s="8"/>
      <c r="BD189" s="11"/>
      <c r="BR189" s="11"/>
      <c r="BY189" s="11"/>
      <c r="CF189" s="11"/>
      <c r="CM189" s="11"/>
      <c r="CT189" s="11"/>
      <c r="DA189" s="11"/>
      <c r="DH189" s="11"/>
      <c r="DO189" s="11"/>
    </row>
    <row r="190" ht="15.75" customHeight="1">
      <c r="C190" s="8"/>
      <c r="BD190" s="11"/>
      <c r="BR190" s="11"/>
      <c r="BY190" s="11"/>
      <c r="CF190" s="11"/>
      <c r="CM190" s="11"/>
      <c r="CT190" s="11"/>
      <c r="DA190" s="11"/>
      <c r="DH190" s="11"/>
      <c r="DO190" s="11"/>
    </row>
    <row r="191" ht="15.75" customHeight="1">
      <c r="C191" s="8"/>
      <c r="BD191" s="11"/>
      <c r="BR191" s="11"/>
      <c r="BY191" s="11"/>
      <c r="CF191" s="11"/>
      <c r="CM191" s="11"/>
      <c r="CT191" s="11"/>
      <c r="DA191" s="11"/>
      <c r="DH191" s="11"/>
      <c r="DO191" s="11"/>
    </row>
    <row r="192" ht="15.75" customHeight="1">
      <c r="C192" s="8"/>
      <c r="BD192" s="11"/>
      <c r="BR192" s="11"/>
      <c r="BY192" s="11"/>
      <c r="CF192" s="11"/>
      <c r="CM192" s="11"/>
      <c r="CT192" s="11"/>
      <c r="DA192" s="11"/>
      <c r="DH192" s="11"/>
      <c r="DO192" s="11"/>
    </row>
    <row r="193" ht="15.75" customHeight="1">
      <c r="C193" s="8"/>
      <c r="BD193" s="11"/>
      <c r="BR193" s="11"/>
      <c r="BY193" s="11"/>
      <c r="CF193" s="11"/>
      <c r="CM193" s="11"/>
      <c r="CT193" s="11"/>
      <c r="DA193" s="11"/>
      <c r="DH193" s="11"/>
      <c r="DO193" s="11"/>
    </row>
    <row r="194" ht="15.75" customHeight="1">
      <c r="C194" s="8"/>
      <c r="BD194" s="11"/>
      <c r="BR194" s="11"/>
      <c r="BY194" s="11"/>
      <c r="CF194" s="11"/>
      <c r="CM194" s="11"/>
      <c r="CT194" s="11"/>
      <c r="DA194" s="11"/>
      <c r="DH194" s="11"/>
      <c r="DO194" s="11"/>
    </row>
    <row r="195" ht="15.75" customHeight="1">
      <c r="C195" s="8"/>
      <c r="BD195" s="11"/>
      <c r="BR195" s="11"/>
      <c r="BY195" s="11"/>
      <c r="CF195" s="11"/>
      <c r="CM195" s="11"/>
      <c r="CT195" s="11"/>
      <c r="DA195" s="11"/>
      <c r="DH195" s="11"/>
      <c r="DO195" s="11"/>
    </row>
    <row r="196" ht="15.75" customHeight="1">
      <c r="C196" s="8"/>
      <c r="BD196" s="11"/>
      <c r="BR196" s="11"/>
      <c r="BY196" s="11"/>
      <c r="CF196" s="11"/>
      <c r="CM196" s="11"/>
      <c r="CT196" s="11"/>
      <c r="DA196" s="11"/>
      <c r="DH196" s="11"/>
      <c r="DO196" s="11"/>
    </row>
    <row r="197" ht="15.75" customHeight="1">
      <c r="C197" s="8"/>
      <c r="BD197" s="11"/>
      <c r="BR197" s="11"/>
      <c r="BY197" s="11"/>
      <c r="CF197" s="11"/>
      <c r="CM197" s="11"/>
      <c r="CT197" s="11"/>
      <c r="DA197" s="11"/>
      <c r="DH197" s="11"/>
      <c r="DO197" s="11"/>
    </row>
    <row r="198" ht="15.75" customHeight="1">
      <c r="C198" s="8"/>
      <c r="BD198" s="11"/>
      <c r="BR198" s="11"/>
      <c r="BY198" s="11"/>
      <c r="CF198" s="11"/>
      <c r="CM198" s="11"/>
      <c r="CT198" s="11"/>
      <c r="DA198" s="11"/>
      <c r="DH198" s="11"/>
      <c r="DO198" s="11"/>
    </row>
    <row r="199" ht="15.75" customHeight="1">
      <c r="C199" s="8"/>
      <c r="BD199" s="11"/>
      <c r="BR199" s="11"/>
      <c r="BY199" s="11"/>
      <c r="CF199" s="11"/>
      <c r="CM199" s="11"/>
      <c r="CT199" s="11"/>
      <c r="DA199" s="11"/>
      <c r="DH199" s="11"/>
      <c r="DO199" s="11"/>
    </row>
    <row r="200" ht="15.75" customHeight="1">
      <c r="C200" s="8"/>
      <c r="BD200" s="11"/>
      <c r="BR200" s="11"/>
      <c r="BY200" s="11"/>
      <c r="CF200" s="11"/>
      <c r="CM200" s="11"/>
      <c r="CT200" s="11"/>
      <c r="DA200" s="11"/>
      <c r="DH200" s="11"/>
      <c r="DO200" s="11"/>
    </row>
    <row r="201" ht="15.75" customHeight="1">
      <c r="C201" s="8"/>
      <c r="BD201" s="11"/>
      <c r="BR201" s="11"/>
      <c r="BY201" s="11"/>
      <c r="CF201" s="11"/>
      <c r="CM201" s="11"/>
      <c r="CT201" s="11"/>
      <c r="DA201" s="11"/>
      <c r="DH201" s="11"/>
      <c r="DO201" s="11"/>
    </row>
    <row r="202" ht="15.75" customHeight="1">
      <c r="C202" s="8"/>
      <c r="BD202" s="11"/>
      <c r="BR202" s="11"/>
      <c r="BY202" s="11"/>
      <c r="CF202" s="11"/>
      <c r="CM202" s="11"/>
      <c r="CT202" s="11"/>
      <c r="DA202" s="11"/>
      <c r="DH202" s="11"/>
      <c r="DO202" s="11"/>
    </row>
    <row r="203" ht="15.75" customHeight="1">
      <c r="C203" s="8"/>
      <c r="BD203" s="11"/>
      <c r="BR203" s="11"/>
      <c r="BY203" s="11"/>
      <c r="CF203" s="11"/>
      <c r="CM203" s="11"/>
      <c r="CT203" s="11"/>
      <c r="DA203" s="11"/>
      <c r="DH203" s="11"/>
      <c r="DO203" s="11"/>
    </row>
    <row r="204" ht="15.75" customHeight="1">
      <c r="C204" s="8"/>
      <c r="BD204" s="11"/>
      <c r="BR204" s="11"/>
      <c r="BY204" s="11"/>
      <c r="CF204" s="11"/>
      <c r="CM204" s="11"/>
      <c r="CT204" s="11"/>
      <c r="DA204" s="11"/>
      <c r="DH204" s="11"/>
      <c r="DO204" s="11"/>
    </row>
    <row r="205" ht="15.75" customHeight="1">
      <c r="C205" s="8"/>
      <c r="BD205" s="11"/>
      <c r="BR205" s="11"/>
      <c r="BY205" s="11"/>
      <c r="CF205" s="11"/>
      <c r="CM205" s="11"/>
      <c r="CT205" s="11"/>
      <c r="DA205" s="11"/>
      <c r="DH205" s="11"/>
      <c r="DO205" s="11"/>
    </row>
    <row r="206" ht="15.75" customHeight="1">
      <c r="C206" s="8"/>
      <c r="BD206" s="11"/>
      <c r="BR206" s="11"/>
      <c r="BY206" s="11"/>
      <c r="CF206" s="11"/>
      <c r="CM206" s="11"/>
      <c r="CT206" s="11"/>
      <c r="DA206" s="11"/>
      <c r="DH206" s="11"/>
      <c r="DO206" s="11"/>
    </row>
    <row r="207" ht="15.75" customHeight="1">
      <c r="C207" s="8"/>
      <c r="BD207" s="11"/>
      <c r="BR207" s="11"/>
      <c r="BY207" s="11"/>
      <c r="CF207" s="11"/>
      <c r="CM207" s="11"/>
      <c r="CT207" s="11"/>
      <c r="DA207" s="11"/>
      <c r="DH207" s="11"/>
      <c r="DO207" s="11"/>
    </row>
    <row r="208" ht="15.75" customHeight="1">
      <c r="C208" s="8"/>
      <c r="BD208" s="11"/>
      <c r="BR208" s="11"/>
      <c r="BY208" s="11"/>
      <c r="CF208" s="11"/>
      <c r="CM208" s="11"/>
      <c r="CT208" s="11"/>
      <c r="DA208" s="11"/>
      <c r="DH208" s="11"/>
      <c r="DO208" s="11"/>
    </row>
    <row r="209" ht="15.75" customHeight="1">
      <c r="C209" s="8"/>
      <c r="BD209" s="11"/>
      <c r="BR209" s="11"/>
      <c r="BY209" s="11"/>
      <c r="CF209" s="11"/>
      <c r="CM209" s="11"/>
      <c r="CT209" s="11"/>
      <c r="DA209" s="11"/>
      <c r="DH209" s="11"/>
      <c r="DO209" s="11"/>
    </row>
    <row r="210" ht="15.75" customHeight="1">
      <c r="C210" s="8"/>
      <c r="BD210" s="11"/>
      <c r="BR210" s="11"/>
      <c r="BY210" s="11"/>
      <c r="CF210" s="11"/>
      <c r="CM210" s="11"/>
      <c r="CT210" s="11"/>
      <c r="DA210" s="11"/>
      <c r="DH210" s="11"/>
      <c r="DO210" s="11"/>
    </row>
    <row r="211" ht="15.75" customHeight="1">
      <c r="C211" s="8"/>
      <c r="BD211" s="11"/>
      <c r="BR211" s="11"/>
      <c r="BY211" s="11"/>
      <c r="CF211" s="11"/>
      <c r="CM211" s="11"/>
      <c r="CT211" s="11"/>
      <c r="DA211" s="11"/>
      <c r="DH211" s="11"/>
      <c r="DO211" s="11"/>
    </row>
    <row r="212" ht="15.75" customHeight="1">
      <c r="C212" s="8"/>
      <c r="BD212" s="11"/>
      <c r="BR212" s="11"/>
      <c r="BY212" s="11"/>
      <c r="CF212" s="11"/>
      <c r="CM212" s="11"/>
      <c r="CT212" s="11"/>
      <c r="DA212" s="11"/>
      <c r="DH212" s="11"/>
      <c r="DO212" s="11"/>
    </row>
    <row r="213" ht="15.75" customHeight="1">
      <c r="C213" s="8"/>
      <c r="BD213" s="11"/>
      <c r="BR213" s="11"/>
      <c r="BY213" s="11"/>
      <c r="CF213" s="11"/>
      <c r="CM213" s="11"/>
      <c r="CT213" s="11"/>
      <c r="DA213" s="11"/>
      <c r="DH213" s="11"/>
      <c r="DO213" s="11"/>
    </row>
    <row r="214" ht="15.75" customHeight="1">
      <c r="C214" s="8"/>
      <c r="BD214" s="11"/>
      <c r="BR214" s="11"/>
      <c r="BY214" s="11"/>
      <c r="CF214" s="11"/>
      <c r="CM214" s="11"/>
      <c r="CT214" s="11"/>
      <c r="DA214" s="11"/>
      <c r="DH214" s="11"/>
      <c r="DO214" s="11"/>
    </row>
    <row r="215" ht="15.75" customHeight="1">
      <c r="C215" s="8"/>
      <c r="BD215" s="11"/>
      <c r="BR215" s="11"/>
      <c r="BY215" s="11"/>
      <c r="CF215" s="11"/>
      <c r="CM215" s="11"/>
      <c r="CT215" s="11"/>
      <c r="DA215" s="11"/>
      <c r="DH215" s="11"/>
      <c r="DO215" s="11"/>
    </row>
    <row r="216" ht="15.75" customHeight="1">
      <c r="C216" s="8"/>
      <c r="BD216" s="11"/>
      <c r="BR216" s="11"/>
      <c r="BY216" s="11"/>
      <c r="CF216" s="11"/>
      <c r="CM216" s="11"/>
      <c r="CT216" s="11"/>
      <c r="DA216" s="11"/>
      <c r="DH216" s="11"/>
      <c r="DO216" s="11"/>
    </row>
    <row r="217" ht="15.75" customHeight="1">
      <c r="C217" s="8"/>
      <c r="BD217" s="11"/>
      <c r="BR217" s="11"/>
      <c r="BY217" s="11"/>
      <c r="CF217" s="11"/>
      <c r="CM217" s="11"/>
      <c r="CT217" s="11"/>
      <c r="DA217" s="11"/>
      <c r="DH217" s="11"/>
      <c r="DO217" s="11"/>
    </row>
    <row r="218" ht="15.75" customHeight="1">
      <c r="C218" s="8"/>
      <c r="BD218" s="11"/>
      <c r="BR218" s="11"/>
      <c r="BY218" s="11"/>
      <c r="CF218" s="11"/>
      <c r="CM218" s="11"/>
      <c r="CT218" s="11"/>
      <c r="DA218" s="11"/>
      <c r="DH218" s="11"/>
      <c r="DO218" s="11"/>
    </row>
    <row r="219" ht="15.75" customHeight="1">
      <c r="C219" s="8"/>
      <c r="BD219" s="11"/>
      <c r="BR219" s="11"/>
      <c r="BY219" s="11"/>
      <c r="CF219" s="11"/>
      <c r="CM219" s="11"/>
      <c r="CT219" s="11"/>
      <c r="DA219" s="11"/>
      <c r="DH219" s="11"/>
      <c r="DO219" s="11"/>
    </row>
    <row r="220" ht="15.75" customHeight="1">
      <c r="C220" s="8"/>
      <c r="BD220" s="11"/>
      <c r="BR220" s="11"/>
      <c r="BY220" s="11"/>
      <c r="CF220" s="11"/>
      <c r="CM220" s="11"/>
      <c r="CT220" s="11"/>
      <c r="DA220" s="11"/>
      <c r="DH220" s="11"/>
      <c r="DO220" s="11"/>
    </row>
    <row r="221" ht="15.75" customHeight="1">
      <c r="C221" s="8"/>
      <c r="BD221" s="11"/>
      <c r="BR221" s="11"/>
      <c r="BY221" s="11"/>
      <c r="CF221" s="11"/>
      <c r="CM221" s="11"/>
      <c r="CT221" s="11"/>
      <c r="DA221" s="11"/>
      <c r="DH221" s="11"/>
      <c r="DO221" s="11"/>
    </row>
    <row r="222" ht="15.75" customHeight="1">
      <c r="C222" s="8"/>
      <c r="BD222" s="11"/>
      <c r="BR222" s="11"/>
      <c r="BY222" s="11"/>
      <c r="CF222" s="11"/>
      <c r="CM222" s="11"/>
      <c r="CT222" s="11"/>
      <c r="DA222" s="11"/>
      <c r="DH222" s="11"/>
      <c r="DO222" s="11"/>
    </row>
    <row r="223" ht="15.75" customHeight="1">
      <c r="C223" s="8"/>
      <c r="BD223" s="11"/>
      <c r="BR223" s="11"/>
      <c r="BY223" s="11"/>
      <c r="CF223" s="11"/>
      <c r="CM223" s="11"/>
      <c r="CT223" s="11"/>
      <c r="DA223" s="11"/>
      <c r="DH223" s="11"/>
      <c r="DO223" s="11"/>
    </row>
    <row r="224" ht="15.75" customHeight="1">
      <c r="C224" s="8"/>
      <c r="BD224" s="11"/>
      <c r="BR224" s="11"/>
      <c r="BY224" s="11"/>
      <c r="CF224" s="11"/>
      <c r="CM224" s="11"/>
      <c r="CT224" s="11"/>
      <c r="DA224" s="11"/>
      <c r="DH224" s="11"/>
      <c r="DO224" s="11"/>
    </row>
    <row r="225" ht="15.75" customHeight="1">
      <c r="C225" s="8"/>
      <c r="BD225" s="11"/>
      <c r="BR225" s="11"/>
      <c r="BY225" s="11"/>
      <c r="CF225" s="11"/>
      <c r="CM225" s="11"/>
      <c r="CT225" s="11"/>
      <c r="DA225" s="11"/>
      <c r="DH225" s="11"/>
      <c r="DO225" s="11"/>
    </row>
    <row r="226" ht="15.75" customHeight="1">
      <c r="C226" s="8"/>
      <c r="BD226" s="11"/>
      <c r="BR226" s="11"/>
      <c r="BY226" s="11"/>
      <c r="CF226" s="11"/>
      <c r="CM226" s="11"/>
      <c r="CT226" s="11"/>
      <c r="DA226" s="11"/>
      <c r="DH226" s="11"/>
      <c r="DO226" s="11"/>
    </row>
    <row r="227" ht="15.75" customHeight="1">
      <c r="C227" s="8"/>
      <c r="BD227" s="11"/>
      <c r="BR227" s="11"/>
      <c r="BY227" s="11"/>
      <c r="CF227" s="11"/>
      <c r="CM227" s="11"/>
      <c r="CT227" s="11"/>
      <c r="DA227" s="11"/>
      <c r="DH227" s="11"/>
      <c r="DO227" s="11"/>
    </row>
    <row r="228" ht="15.75" customHeight="1">
      <c r="C228" s="8"/>
      <c r="BD228" s="11"/>
      <c r="BR228" s="11"/>
      <c r="BY228" s="11"/>
      <c r="CF228" s="11"/>
      <c r="CM228" s="11"/>
      <c r="CT228" s="11"/>
      <c r="DA228" s="11"/>
      <c r="DH228" s="11"/>
      <c r="DO228" s="11"/>
    </row>
    <row r="229" ht="15.75" customHeight="1">
      <c r="C229" s="8"/>
      <c r="BD229" s="11"/>
      <c r="BR229" s="11"/>
      <c r="BY229" s="11"/>
      <c r="CF229" s="11"/>
      <c r="CM229" s="11"/>
      <c r="CT229" s="11"/>
      <c r="DA229" s="11"/>
      <c r="DH229" s="11"/>
      <c r="DO229" s="11"/>
    </row>
    <row r="230" ht="15.75" customHeight="1">
      <c r="C230" s="8"/>
      <c r="BD230" s="11"/>
      <c r="BR230" s="11"/>
      <c r="BY230" s="11"/>
      <c r="CF230" s="11"/>
      <c r="CM230" s="11"/>
      <c r="CT230" s="11"/>
      <c r="DA230" s="11"/>
      <c r="DH230" s="11"/>
      <c r="DO230" s="11"/>
    </row>
    <row r="231" ht="15.75" customHeight="1">
      <c r="C231" s="8"/>
      <c r="BD231" s="11"/>
      <c r="BR231" s="11"/>
      <c r="BY231" s="11"/>
      <c r="CF231" s="11"/>
      <c r="CM231" s="11"/>
      <c r="CT231" s="11"/>
      <c r="DA231" s="11"/>
      <c r="DH231" s="11"/>
      <c r="DO231" s="11"/>
    </row>
    <row r="232" ht="15.75" customHeight="1">
      <c r="C232" s="8"/>
      <c r="BD232" s="11"/>
      <c r="BR232" s="11"/>
      <c r="BY232" s="11"/>
      <c r="CF232" s="11"/>
      <c r="CM232" s="11"/>
      <c r="CT232" s="11"/>
      <c r="DA232" s="11"/>
      <c r="DH232" s="11"/>
      <c r="DO232" s="11"/>
    </row>
    <row r="233" ht="15.75" customHeight="1">
      <c r="C233" s="8"/>
      <c r="BD233" s="11"/>
      <c r="BR233" s="11"/>
      <c r="BY233" s="11"/>
      <c r="CF233" s="11"/>
      <c r="CM233" s="11"/>
      <c r="CT233" s="11"/>
      <c r="DA233" s="11"/>
      <c r="DH233" s="11"/>
      <c r="DO233" s="11"/>
    </row>
    <row r="234" ht="15.75" customHeight="1">
      <c r="C234" s="8"/>
      <c r="BD234" s="11"/>
      <c r="BR234" s="11"/>
      <c r="BY234" s="11"/>
      <c r="CF234" s="11"/>
      <c r="CM234" s="11"/>
      <c r="CT234" s="11"/>
      <c r="DA234" s="11"/>
      <c r="DH234" s="11"/>
      <c r="DO234" s="11"/>
    </row>
    <row r="235" ht="15.75" customHeight="1">
      <c r="C235" s="8"/>
      <c r="BD235" s="11"/>
      <c r="BR235" s="11"/>
      <c r="BY235" s="11"/>
      <c r="CF235" s="11"/>
      <c r="CM235" s="11"/>
      <c r="CT235" s="11"/>
      <c r="DA235" s="11"/>
      <c r="DH235" s="11"/>
      <c r="DO235" s="11"/>
    </row>
    <row r="236" ht="15.75" customHeight="1">
      <c r="C236" s="8"/>
      <c r="BD236" s="11"/>
      <c r="BR236" s="11"/>
      <c r="BY236" s="11"/>
      <c r="CF236" s="11"/>
      <c r="CM236" s="11"/>
      <c r="CT236" s="11"/>
      <c r="DA236" s="11"/>
      <c r="DH236" s="11"/>
      <c r="DO236" s="11"/>
    </row>
    <row r="237" ht="15.75" customHeight="1">
      <c r="C237" s="8"/>
      <c r="BD237" s="11"/>
      <c r="BR237" s="11"/>
      <c r="BY237" s="11"/>
      <c r="CF237" s="11"/>
      <c r="CM237" s="11"/>
      <c r="CT237" s="11"/>
      <c r="DA237" s="11"/>
      <c r="DH237" s="11"/>
      <c r="DO237" s="11"/>
    </row>
    <row r="238" ht="15.75" customHeight="1">
      <c r="C238" s="8"/>
      <c r="BD238" s="11"/>
      <c r="BR238" s="11"/>
      <c r="BY238" s="11"/>
      <c r="CF238" s="11"/>
      <c r="CM238" s="11"/>
      <c r="CT238" s="11"/>
      <c r="DA238" s="11"/>
      <c r="DH238" s="11"/>
      <c r="DO238" s="11"/>
    </row>
    <row r="239" ht="15.75" customHeight="1">
      <c r="C239" s="8"/>
      <c r="BD239" s="11"/>
      <c r="BR239" s="11"/>
      <c r="BY239" s="11"/>
      <c r="CF239" s="11"/>
      <c r="CM239" s="11"/>
      <c r="CT239" s="11"/>
      <c r="DA239" s="11"/>
      <c r="DH239" s="11"/>
      <c r="DO239" s="11"/>
    </row>
    <row r="240" ht="15.75" customHeight="1">
      <c r="C240" s="8"/>
      <c r="BD240" s="11"/>
      <c r="BR240" s="11"/>
      <c r="BY240" s="11"/>
      <c r="CF240" s="11"/>
      <c r="CM240" s="11"/>
      <c r="CT240" s="11"/>
      <c r="DA240" s="11"/>
      <c r="DH240" s="11"/>
      <c r="DO240" s="11"/>
    </row>
    <row r="241" ht="15.75" customHeight="1">
      <c r="C241" s="8"/>
      <c r="BD241" s="11"/>
      <c r="BR241" s="11"/>
      <c r="BY241" s="11"/>
      <c r="CF241" s="11"/>
      <c r="CM241" s="11"/>
      <c r="CT241" s="11"/>
      <c r="DA241" s="11"/>
      <c r="DH241" s="11"/>
      <c r="DO241" s="11"/>
    </row>
    <row r="242" ht="15.75" customHeight="1">
      <c r="C242" s="8"/>
      <c r="BD242" s="11"/>
      <c r="BR242" s="11"/>
      <c r="BY242" s="11"/>
      <c r="CF242" s="11"/>
      <c r="CM242" s="11"/>
      <c r="CT242" s="11"/>
      <c r="DA242" s="11"/>
      <c r="DH242" s="11"/>
      <c r="DO242" s="11"/>
    </row>
    <row r="243" ht="15.75" customHeight="1">
      <c r="C243" s="8"/>
      <c r="BD243" s="11"/>
      <c r="BR243" s="11"/>
      <c r="BY243" s="11"/>
      <c r="CF243" s="11"/>
      <c r="CM243" s="11"/>
      <c r="CT243" s="11"/>
      <c r="DA243" s="11"/>
      <c r="DH243" s="11"/>
      <c r="DO243" s="11"/>
    </row>
    <row r="244" ht="15.75" customHeight="1">
      <c r="C244" s="8"/>
      <c r="BD244" s="11"/>
      <c r="BR244" s="11"/>
      <c r="BY244" s="11"/>
      <c r="CF244" s="11"/>
      <c r="CM244" s="11"/>
      <c r="CT244" s="11"/>
      <c r="DA244" s="11"/>
      <c r="DH244" s="11"/>
      <c r="DO244" s="11"/>
    </row>
    <row r="245" ht="15.75" customHeight="1">
      <c r="C245" s="8"/>
      <c r="BD245" s="11"/>
      <c r="BR245" s="11"/>
      <c r="BY245" s="11"/>
      <c r="CF245" s="11"/>
      <c r="CM245" s="11"/>
      <c r="CT245" s="11"/>
      <c r="DA245" s="11"/>
      <c r="DH245" s="11"/>
      <c r="DO245" s="11"/>
    </row>
    <row r="246" ht="15.75" customHeight="1">
      <c r="C246" s="8"/>
      <c r="BD246" s="11"/>
      <c r="BR246" s="11"/>
      <c r="BY246" s="11"/>
      <c r="CF246" s="11"/>
      <c r="CM246" s="11"/>
      <c r="CT246" s="11"/>
      <c r="DA246" s="11"/>
      <c r="DH246" s="11"/>
      <c r="DO246" s="11"/>
    </row>
    <row r="247" ht="15.75" customHeight="1">
      <c r="C247" s="8"/>
      <c r="BD247" s="11"/>
      <c r="BR247" s="11"/>
      <c r="BY247" s="11"/>
      <c r="CF247" s="11"/>
      <c r="CM247" s="11"/>
      <c r="CT247" s="11"/>
      <c r="DA247" s="11"/>
      <c r="DH247" s="11"/>
      <c r="DO247" s="11"/>
    </row>
    <row r="248" ht="15.75" customHeight="1">
      <c r="C248" s="8"/>
      <c r="BD248" s="11"/>
      <c r="BR248" s="11"/>
      <c r="BY248" s="11"/>
      <c r="CF248" s="11"/>
      <c r="CM248" s="11"/>
      <c r="CT248" s="11"/>
      <c r="DA248" s="11"/>
      <c r="DH248" s="11"/>
      <c r="DO248" s="11"/>
    </row>
    <row r="249" ht="15.75" customHeight="1">
      <c r="C249" s="8"/>
      <c r="BD249" s="11"/>
      <c r="BR249" s="11"/>
      <c r="BY249" s="11"/>
      <c r="CF249" s="11"/>
      <c r="CM249" s="11"/>
      <c r="CT249" s="11"/>
      <c r="DA249" s="11"/>
      <c r="DH249" s="11"/>
      <c r="DO249" s="11"/>
    </row>
    <row r="250" ht="15.75" customHeight="1">
      <c r="C250" s="8"/>
      <c r="BD250" s="11"/>
      <c r="BR250" s="11"/>
      <c r="BY250" s="11"/>
      <c r="CF250" s="11"/>
      <c r="CM250" s="11"/>
      <c r="CT250" s="11"/>
      <c r="DA250" s="11"/>
      <c r="DH250" s="11"/>
      <c r="DO250" s="11"/>
    </row>
    <row r="251" ht="15.75" customHeight="1">
      <c r="C251" s="8"/>
      <c r="BD251" s="11"/>
      <c r="BR251" s="11"/>
      <c r="BY251" s="11"/>
      <c r="CF251" s="11"/>
      <c r="CM251" s="11"/>
      <c r="CT251" s="11"/>
      <c r="DA251" s="11"/>
      <c r="DH251" s="11"/>
      <c r="DO251" s="11"/>
    </row>
    <row r="252" ht="15.75" customHeight="1">
      <c r="C252" s="8"/>
      <c r="BD252" s="11"/>
      <c r="BR252" s="11"/>
      <c r="BY252" s="11"/>
      <c r="CF252" s="11"/>
      <c r="CM252" s="11"/>
      <c r="CT252" s="11"/>
      <c r="DA252" s="11"/>
      <c r="DH252" s="11"/>
      <c r="DO252" s="11"/>
    </row>
    <row r="253" ht="15.75" customHeight="1">
      <c r="C253" s="8"/>
      <c r="BD253" s="11"/>
      <c r="BR253" s="11"/>
      <c r="BY253" s="11"/>
      <c r="CF253" s="11"/>
      <c r="CM253" s="11"/>
      <c r="CT253" s="11"/>
      <c r="DA253" s="11"/>
      <c r="DH253" s="11"/>
      <c r="DO253" s="11"/>
    </row>
    <row r="254" ht="15.75" customHeight="1">
      <c r="C254" s="8"/>
      <c r="BD254" s="11"/>
      <c r="BR254" s="11"/>
      <c r="BY254" s="11"/>
      <c r="CF254" s="11"/>
      <c r="CM254" s="11"/>
      <c r="CT254" s="11"/>
      <c r="DA254" s="11"/>
      <c r="DH254" s="11"/>
      <c r="DO254" s="11"/>
    </row>
    <row r="255" ht="15.75" customHeight="1">
      <c r="C255" s="8"/>
      <c r="BD255" s="11"/>
      <c r="BR255" s="11"/>
      <c r="BY255" s="11"/>
      <c r="CF255" s="11"/>
      <c r="CM255" s="11"/>
      <c r="CT255" s="11"/>
      <c r="DA255" s="11"/>
      <c r="DH255" s="11"/>
      <c r="DO255" s="11"/>
    </row>
    <row r="256" ht="15.75" customHeight="1">
      <c r="C256" s="8"/>
      <c r="BD256" s="11"/>
      <c r="BR256" s="11"/>
      <c r="BY256" s="11"/>
      <c r="CF256" s="11"/>
      <c r="CM256" s="11"/>
      <c r="CT256" s="11"/>
      <c r="DA256" s="11"/>
      <c r="DH256" s="11"/>
      <c r="DO256" s="11"/>
    </row>
    <row r="257" ht="15.75" customHeight="1">
      <c r="C257" s="8"/>
      <c r="BD257" s="11"/>
      <c r="BR257" s="11"/>
      <c r="BY257" s="11"/>
      <c r="CF257" s="11"/>
      <c r="CM257" s="11"/>
      <c r="CT257" s="11"/>
      <c r="DA257" s="11"/>
      <c r="DH257" s="11"/>
      <c r="DO257" s="11"/>
    </row>
    <row r="258" ht="15.75" customHeight="1">
      <c r="C258" s="8"/>
      <c r="BD258" s="11"/>
      <c r="BR258" s="11"/>
      <c r="BY258" s="11"/>
      <c r="CF258" s="11"/>
      <c r="CM258" s="11"/>
      <c r="CT258" s="11"/>
      <c r="DA258" s="11"/>
      <c r="DH258" s="11"/>
      <c r="DO258" s="11"/>
    </row>
    <row r="259" ht="15.75" customHeight="1">
      <c r="C259" s="8"/>
      <c r="BD259" s="11"/>
      <c r="BR259" s="11"/>
      <c r="BY259" s="11"/>
      <c r="CF259" s="11"/>
      <c r="CM259" s="11"/>
      <c r="CT259" s="11"/>
      <c r="DA259" s="11"/>
      <c r="DH259" s="11"/>
      <c r="DO259" s="11"/>
    </row>
    <row r="260" ht="15.75" customHeight="1">
      <c r="C260" s="8"/>
      <c r="BD260" s="11"/>
      <c r="BR260" s="11"/>
      <c r="BY260" s="11"/>
      <c r="CF260" s="11"/>
      <c r="CM260" s="11"/>
      <c r="CT260" s="11"/>
      <c r="DA260" s="11"/>
      <c r="DH260" s="11"/>
      <c r="DO260" s="11"/>
    </row>
    <row r="261" ht="15.75" customHeight="1">
      <c r="C261" s="8"/>
      <c r="BD261" s="11"/>
      <c r="BR261" s="11"/>
      <c r="BY261" s="11"/>
      <c r="CF261" s="11"/>
      <c r="CM261" s="11"/>
      <c r="CT261" s="11"/>
      <c r="DA261" s="11"/>
      <c r="DH261" s="11"/>
      <c r="DO261" s="11"/>
    </row>
    <row r="262" ht="15.75" customHeight="1">
      <c r="C262" s="8"/>
      <c r="BD262" s="11"/>
      <c r="BR262" s="11"/>
      <c r="BY262" s="11"/>
      <c r="CF262" s="11"/>
      <c r="CM262" s="11"/>
      <c r="CT262" s="11"/>
      <c r="DA262" s="11"/>
      <c r="DH262" s="11"/>
      <c r="DO262" s="11"/>
    </row>
    <row r="263" ht="15.75" customHeight="1">
      <c r="C263" s="8"/>
      <c r="BD263" s="11"/>
      <c r="BR263" s="11"/>
      <c r="BY263" s="11"/>
      <c r="CF263" s="11"/>
      <c r="CM263" s="11"/>
      <c r="CT263" s="11"/>
      <c r="DA263" s="11"/>
      <c r="DH263" s="11"/>
      <c r="DO263" s="11"/>
    </row>
    <row r="264" ht="15.75" customHeight="1">
      <c r="C264" s="8"/>
      <c r="BD264" s="11"/>
      <c r="BR264" s="11"/>
      <c r="BY264" s="11"/>
      <c r="CF264" s="11"/>
      <c r="CM264" s="11"/>
      <c r="CT264" s="11"/>
      <c r="DA264" s="11"/>
      <c r="DH264" s="11"/>
      <c r="DO264" s="11"/>
    </row>
    <row r="265" ht="15.75" customHeight="1">
      <c r="C265" s="8"/>
      <c r="BD265" s="11"/>
      <c r="BR265" s="11"/>
      <c r="BY265" s="11"/>
      <c r="CF265" s="11"/>
      <c r="CM265" s="11"/>
      <c r="CT265" s="11"/>
      <c r="DA265" s="11"/>
      <c r="DH265" s="11"/>
      <c r="DO265" s="11"/>
    </row>
    <row r="266" ht="15.75" customHeight="1">
      <c r="C266" s="8"/>
      <c r="BD266" s="11"/>
      <c r="BR266" s="11"/>
      <c r="BY266" s="11"/>
      <c r="CF266" s="11"/>
      <c r="CM266" s="11"/>
      <c r="CT266" s="11"/>
      <c r="DA266" s="11"/>
      <c r="DH266" s="11"/>
      <c r="DO266" s="11"/>
    </row>
    <row r="267" ht="15.75" customHeight="1">
      <c r="C267" s="8"/>
      <c r="BD267" s="11"/>
      <c r="BR267" s="11"/>
      <c r="BY267" s="11"/>
      <c r="CF267" s="11"/>
      <c r="CM267" s="11"/>
      <c r="CT267" s="11"/>
      <c r="DA267" s="11"/>
      <c r="DH267" s="11"/>
      <c r="DO267" s="11"/>
    </row>
    <row r="268" ht="15.75" customHeight="1">
      <c r="C268" s="8"/>
      <c r="BD268" s="11"/>
      <c r="BR268" s="11"/>
      <c r="BY268" s="11"/>
      <c r="CF268" s="11"/>
      <c r="CM268" s="11"/>
      <c r="CT268" s="11"/>
      <c r="DA268" s="11"/>
      <c r="DH268" s="11"/>
      <c r="DO268" s="11"/>
    </row>
    <row r="269" ht="15.75" customHeight="1">
      <c r="C269" s="8"/>
      <c r="BD269" s="11"/>
      <c r="BR269" s="11"/>
      <c r="BY269" s="11"/>
      <c r="CF269" s="11"/>
      <c r="CM269" s="11"/>
      <c r="CT269" s="11"/>
      <c r="DA269" s="11"/>
      <c r="DH269" s="11"/>
      <c r="DO269" s="11"/>
    </row>
    <row r="270" ht="15.75" customHeight="1">
      <c r="C270" s="8"/>
      <c r="BD270" s="11"/>
      <c r="BR270" s="11"/>
      <c r="BY270" s="11"/>
      <c r="CF270" s="11"/>
      <c r="CM270" s="11"/>
      <c r="CT270" s="11"/>
      <c r="DA270" s="11"/>
      <c r="DH270" s="11"/>
      <c r="DO270" s="11"/>
    </row>
    <row r="271" ht="15.75" customHeight="1">
      <c r="C271" s="8"/>
      <c r="BD271" s="11"/>
      <c r="BR271" s="11"/>
      <c r="BY271" s="11"/>
      <c r="CF271" s="11"/>
      <c r="CM271" s="11"/>
      <c r="CT271" s="11"/>
      <c r="DA271" s="11"/>
      <c r="DH271" s="11"/>
      <c r="DO271" s="11"/>
    </row>
    <row r="272" ht="15.75" customHeight="1">
      <c r="C272" s="8"/>
      <c r="BD272" s="11"/>
      <c r="BR272" s="11"/>
      <c r="BY272" s="11"/>
      <c r="CF272" s="11"/>
      <c r="CM272" s="11"/>
      <c r="CT272" s="11"/>
      <c r="DA272" s="11"/>
      <c r="DH272" s="11"/>
      <c r="DO272" s="11"/>
    </row>
    <row r="273" ht="15.75" customHeight="1">
      <c r="C273" s="8"/>
      <c r="BD273" s="11"/>
      <c r="BR273" s="11"/>
      <c r="BY273" s="11"/>
      <c r="CF273" s="11"/>
      <c r="CM273" s="11"/>
      <c r="CT273" s="11"/>
      <c r="DA273" s="11"/>
      <c r="DH273" s="11"/>
      <c r="DO273" s="11"/>
    </row>
    <row r="274" ht="15.75" customHeight="1">
      <c r="C274" s="8"/>
      <c r="BD274" s="11"/>
      <c r="BR274" s="11"/>
      <c r="BY274" s="11"/>
      <c r="CF274" s="11"/>
      <c r="CM274" s="11"/>
      <c r="CT274" s="11"/>
      <c r="DA274" s="11"/>
      <c r="DH274" s="11"/>
      <c r="DO274" s="11"/>
    </row>
    <row r="275" ht="15.75" customHeight="1">
      <c r="C275" s="8"/>
      <c r="BD275" s="11"/>
      <c r="BR275" s="11"/>
      <c r="BY275" s="11"/>
      <c r="CF275" s="11"/>
      <c r="CM275" s="11"/>
      <c r="CT275" s="11"/>
      <c r="DA275" s="11"/>
      <c r="DH275" s="11"/>
      <c r="DO275" s="11"/>
    </row>
    <row r="276" ht="15.75" customHeight="1">
      <c r="C276" s="8"/>
      <c r="BD276" s="11"/>
      <c r="BR276" s="11"/>
      <c r="BY276" s="11"/>
      <c r="CF276" s="11"/>
      <c r="CM276" s="11"/>
      <c r="CT276" s="11"/>
      <c r="DA276" s="11"/>
      <c r="DH276" s="11"/>
      <c r="DO276" s="11"/>
    </row>
    <row r="277" ht="15.75" customHeight="1">
      <c r="C277" s="8"/>
      <c r="BD277" s="11"/>
      <c r="BR277" s="11"/>
      <c r="BY277" s="11"/>
      <c r="CF277" s="11"/>
      <c r="CM277" s="11"/>
      <c r="CT277" s="11"/>
      <c r="DA277" s="11"/>
      <c r="DH277" s="11"/>
      <c r="DO277" s="11"/>
    </row>
    <row r="278" ht="15.75" customHeight="1">
      <c r="C278" s="8"/>
      <c r="BD278" s="11"/>
      <c r="BR278" s="11"/>
      <c r="BY278" s="11"/>
      <c r="CF278" s="11"/>
      <c r="CM278" s="11"/>
      <c r="CT278" s="11"/>
      <c r="DA278" s="11"/>
      <c r="DH278" s="11"/>
      <c r="DO278" s="11"/>
    </row>
    <row r="279" ht="15.75" customHeight="1">
      <c r="C279" s="8"/>
      <c r="BD279" s="11"/>
      <c r="BR279" s="11"/>
      <c r="BY279" s="11"/>
      <c r="CF279" s="11"/>
      <c r="CM279" s="11"/>
      <c r="CT279" s="11"/>
      <c r="DA279" s="11"/>
      <c r="DH279" s="11"/>
      <c r="DO279" s="11"/>
    </row>
    <row r="280" ht="15.75" customHeight="1">
      <c r="C280" s="8"/>
      <c r="BD280" s="11"/>
      <c r="BR280" s="11"/>
      <c r="BY280" s="11"/>
      <c r="CF280" s="11"/>
      <c r="CM280" s="11"/>
      <c r="CT280" s="11"/>
      <c r="DA280" s="11"/>
      <c r="DH280" s="11"/>
      <c r="DO280" s="11"/>
    </row>
    <row r="281" ht="15.75" customHeight="1">
      <c r="C281" s="8"/>
      <c r="BD281" s="11"/>
      <c r="BR281" s="11"/>
      <c r="BY281" s="11"/>
      <c r="CF281" s="11"/>
      <c r="CM281" s="11"/>
      <c r="CT281" s="11"/>
      <c r="DA281" s="11"/>
      <c r="DH281" s="11"/>
      <c r="DO281" s="11"/>
    </row>
    <row r="282" ht="15.75" customHeight="1">
      <c r="C282" s="8"/>
      <c r="BD282" s="11"/>
      <c r="BR282" s="11"/>
      <c r="BY282" s="11"/>
      <c r="CF282" s="11"/>
      <c r="CM282" s="11"/>
      <c r="CT282" s="11"/>
      <c r="DA282" s="11"/>
      <c r="DH282" s="11"/>
      <c r="DO282" s="11"/>
    </row>
    <row r="283" ht="15.75" customHeight="1">
      <c r="C283" s="8"/>
      <c r="BD283" s="11"/>
      <c r="BR283" s="11"/>
      <c r="BY283" s="11"/>
      <c r="CF283" s="11"/>
      <c r="CM283" s="11"/>
      <c r="CT283" s="11"/>
      <c r="DA283" s="11"/>
      <c r="DH283" s="11"/>
      <c r="DO283" s="11"/>
    </row>
    <row r="284" ht="15.75" customHeight="1">
      <c r="C284" s="8"/>
      <c r="BD284" s="11"/>
      <c r="BR284" s="11"/>
      <c r="BY284" s="11"/>
      <c r="CF284" s="11"/>
      <c r="CM284" s="11"/>
      <c r="CT284" s="11"/>
      <c r="DA284" s="11"/>
      <c r="DH284" s="11"/>
      <c r="DO284" s="11"/>
    </row>
    <row r="285" ht="15.75" customHeight="1">
      <c r="C285" s="8"/>
      <c r="BD285" s="11"/>
      <c r="BR285" s="11"/>
      <c r="BY285" s="11"/>
      <c r="CF285" s="11"/>
      <c r="CM285" s="11"/>
      <c r="CT285" s="11"/>
      <c r="DA285" s="11"/>
      <c r="DH285" s="11"/>
      <c r="DO285" s="11"/>
    </row>
    <row r="286" ht="15.75" customHeight="1">
      <c r="C286" s="8"/>
      <c r="BD286" s="11"/>
      <c r="BR286" s="11"/>
      <c r="BY286" s="11"/>
      <c r="CF286" s="11"/>
      <c r="CM286" s="11"/>
      <c r="CT286" s="11"/>
      <c r="DA286" s="11"/>
      <c r="DH286" s="11"/>
      <c r="DO286" s="11"/>
    </row>
    <row r="287" ht="15.75" customHeight="1">
      <c r="C287" s="8"/>
      <c r="BD287" s="11"/>
      <c r="BR287" s="11"/>
      <c r="BY287" s="11"/>
      <c r="CF287" s="11"/>
      <c r="CM287" s="11"/>
      <c r="CT287" s="11"/>
      <c r="DA287" s="11"/>
      <c r="DH287" s="11"/>
      <c r="DO287" s="11"/>
    </row>
    <row r="288" ht="15.75" customHeight="1">
      <c r="C288" s="8"/>
      <c r="BD288" s="11"/>
      <c r="BR288" s="11"/>
      <c r="BY288" s="11"/>
      <c r="CF288" s="11"/>
      <c r="CM288" s="11"/>
      <c r="CT288" s="11"/>
      <c r="DA288" s="11"/>
      <c r="DH288" s="11"/>
      <c r="DO288" s="11"/>
    </row>
    <row r="289" ht="15.75" customHeight="1">
      <c r="C289" s="8"/>
      <c r="BD289" s="11"/>
      <c r="BR289" s="11"/>
      <c r="BY289" s="11"/>
      <c r="CF289" s="11"/>
      <c r="CM289" s="11"/>
      <c r="CT289" s="11"/>
      <c r="DA289" s="11"/>
      <c r="DH289" s="11"/>
      <c r="DO289" s="11"/>
    </row>
    <row r="290" ht="15.75" customHeight="1">
      <c r="C290" s="8"/>
      <c r="BD290" s="11"/>
      <c r="BR290" s="11"/>
      <c r="BY290" s="11"/>
      <c r="CF290" s="11"/>
      <c r="CM290" s="11"/>
      <c r="CT290" s="11"/>
      <c r="DA290" s="11"/>
      <c r="DH290" s="11"/>
      <c r="DO290" s="11"/>
    </row>
    <row r="291" ht="15.75" customHeight="1">
      <c r="C291" s="8"/>
      <c r="BD291" s="11"/>
      <c r="BR291" s="11"/>
      <c r="BY291" s="11"/>
      <c r="CF291" s="11"/>
      <c r="CM291" s="11"/>
      <c r="CT291" s="11"/>
      <c r="DA291" s="11"/>
      <c r="DH291" s="11"/>
      <c r="DO291" s="11"/>
    </row>
    <row r="292" ht="15.75" customHeight="1">
      <c r="C292" s="8"/>
      <c r="BD292" s="11"/>
      <c r="BR292" s="11"/>
      <c r="BY292" s="11"/>
      <c r="CF292" s="11"/>
      <c r="CM292" s="11"/>
      <c r="CT292" s="11"/>
      <c r="DA292" s="11"/>
      <c r="DH292" s="11"/>
      <c r="DO292" s="11"/>
    </row>
    <row r="293" ht="15.75" customHeight="1">
      <c r="C293" s="8"/>
      <c r="BD293" s="11"/>
      <c r="BR293" s="11"/>
      <c r="BY293" s="11"/>
      <c r="CF293" s="11"/>
      <c r="CM293" s="11"/>
      <c r="CT293" s="11"/>
      <c r="DA293" s="11"/>
      <c r="DH293" s="11"/>
      <c r="DO293" s="11"/>
    </row>
    <row r="294" ht="15.75" customHeight="1">
      <c r="C294" s="8"/>
      <c r="BD294" s="11"/>
      <c r="BR294" s="11"/>
      <c r="BY294" s="11"/>
      <c r="CF294" s="11"/>
      <c r="CM294" s="11"/>
      <c r="CT294" s="11"/>
      <c r="DA294" s="11"/>
      <c r="DH294" s="11"/>
      <c r="DO294" s="11"/>
    </row>
    <row r="295" ht="15.75" customHeight="1">
      <c r="C295" s="8"/>
      <c r="BD295" s="11"/>
      <c r="BR295" s="11"/>
      <c r="BY295" s="11"/>
      <c r="CF295" s="11"/>
      <c r="CM295" s="11"/>
      <c r="CT295" s="11"/>
      <c r="DA295" s="11"/>
      <c r="DH295" s="11"/>
      <c r="DO295" s="11"/>
    </row>
    <row r="296" ht="15.75" customHeight="1">
      <c r="C296" s="8"/>
      <c r="BD296" s="11"/>
      <c r="BR296" s="11"/>
      <c r="BY296" s="11"/>
      <c r="CF296" s="11"/>
      <c r="CM296" s="11"/>
      <c r="CT296" s="11"/>
      <c r="DA296" s="11"/>
      <c r="DH296" s="11"/>
      <c r="DO296" s="11"/>
    </row>
    <row r="297" ht="15.75" customHeight="1">
      <c r="C297" s="8"/>
      <c r="BD297" s="11"/>
      <c r="BR297" s="11"/>
      <c r="BY297" s="11"/>
      <c r="CF297" s="11"/>
      <c r="CM297" s="11"/>
      <c r="CT297" s="11"/>
      <c r="DA297" s="11"/>
      <c r="DH297" s="11"/>
      <c r="DO297" s="11"/>
    </row>
    <row r="298" ht="15.75" customHeight="1">
      <c r="C298" s="8"/>
      <c r="BD298" s="11"/>
      <c r="BR298" s="11"/>
      <c r="BY298" s="11"/>
      <c r="CF298" s="11"/>
      <c r="CM298" s="11"/>
      <c r="CT298" s="11"/>
      <c r="DA298" s="11"/>
      <c r="DH298" s="11"/>
      <c r="DO298" s="11"/>
    </row>
    <row r="299" ht="15.75" customHeight="1">
      <c r="C299" s="8"/>
      <c r="BD299" s="11"/>
      <c r="BR299" s="11"/>
      <c r="BY299" s="11"/>
      <c r="CF299" s="11"/>
      <c r="CM299" s="11"/>
      <c r="CT299" s="11"/>
      <c r="DA299" s="11"/>
      <c r="DH299" s="11"/>
      <c r="DO299" s="11"/>
    </row>
    <row r="300" ht="15.75" customHeight="1">
      <c r="C300" s="8"/>
      <c r="BD300" s="11"/>
      <c r="BR300" s="11"/>
      <c r="BY300" s="11"/>
      <c r="CF300" s="11"/>
      <c r="CM300" s="11"/>
      <c r="CT300" s="11"/>
      <c r="DA300" s="11"/>
      <c r="DH300" s="11"/>
      <c r="DO300" s="11"/>
    </row>
    <row r="301" ht="15.75" customHeight="1">
      <c r="C301" s="8"/>
      <c r="BD301" s="11"/>
      <c r="BR301" s="11"/>
      <c r="BY301" s="11"/>
      <c r="CF301" s="11"/>
      <c r="CM301" s="11"/>
      <c r="CT301" s="11"/>
      <c r="DA301" s="11"/>
      <c r="DH301" s="11"/>
      <c r="DO301" s="11"/>
    </row>
    <row r="302" ht="15.75" customHeight="1">
      <c r="C302" s="8"/>
      <c r="BD302" s="11"/>
      <c r="BR302" s="11"/>
      <c r="BY302" s="11"/>
      <c r="CF302" s="11"/>
      <c r="CM302" s="11"/>
      <c r="CT302" s="11"/>
      <c r="DA302" s="11"/>
      <c r="DH302" s="11"/>
      <c r="DO302" s="11"/>
    </row>
    <row r="303" ht="15.75" customHeight="1">
      <c r="C303" s="8"/>
      <c r="BD303" s="11"/>
      <c r="BR303" s="11"/>
      <c r="BY303" s="11"/>
      <c r="CF303" s="11"/>
      <c r="CM303" s="11"/>
      <c r="CT303" s="11"/>
      <c r="DA303" s="11"/>
      <c r="DH303" s="11"/>
      <c r="DO303" s="11"/>
    </row>
    <row r="304" ht="15.75" customHeight="1">
      <c r="C304" s="8"/>
      <c r="BD304" s="11"/>
      <c r="BR304" s="11"/>
      <c r="BY304" s="11"/>
      <c r="CF304" s="11"/>
      <c r="CM304" s="11"/>
      <c r="CT304" s="11"/>
      <c r="DA304" s="11"/>
      <c r="DH304" s="11"/>
      <c r="DO304" s="11"/>
    </row>
    <row r="305" ht="15.75" customHeight="1">
      <c r="C305" s="8"/>
      <c r="BD305" s="11"/>
      <c r="BR305" s="11"/>
      <c r="BY305" s="11"/>
      <c r="CF305" s="11"/>
      <c r="CM305" s="11"/>
      <c r="CT305" s="11"/>
      <c r="DA305" s="11"/>
      <c r="DH305" s="11"/>
      <c r="DO305" s="11"/>
    </row>
    <row r="306" ht="15.75" customHeight="1">
      <c r="C306" s="8"/>
      <c r="BD306" s="11"/>
      <c r="BR306" s="11"/>
      <c r="BY306" s="11"/>
      <c r="CF306" s="11"/>
      <c r="CM306" s="11"/>
      <c r="CT306" s="11"/>
      <c r="DA306" s="11"/>
      <c r="DH306" s="11"/>
      <c r="DO306" s="11"/>
    </row>
    <row r="307" ht="15.75" customHeight="1">
      <c r="C307" s="8"/>
      <c r="BD307" s="11"/>
      <c r="BR307" s="11"/>
      <c r="BY307" s="11"/>
      <c r="CF307" s="11"/>
      <c r="CM307" s="11"/>
      <c r="CT307" s="11"/>
      <c r="DA307" s="11"/>
      <c r="DH307" s="11"/>
      <c r="DO307" s="11"/>
    </row>
    <row r="308" ht="15.75" customHeight="1">
      <c r="C308" s="8"/>
      <c r="BD308" s="11"/>
      <c r="BR308" s="11"/>
      <c r="BY308" s="11"/>
      <c r="CF308" s="11"/>
      <c r="CM308" s="11"/>
      <c r="CT308" s="11"/>
      <c r="DA308" s="11"/>
      <c r="DH308" s="11"/>
      <c r="DO308" s="11"/>
    </row>
    <row r="309" ht="15.75" customHeight="1">
      <c r="C309" s="8"/>
      <c r="BD309" s="11"/>
      <c r="BR309" s="11"/>
      <c r="BY309" s="11"/>
      <c r="CF309" s="11"/>
      <c r="CM309" s="11"/>
      <c r="CT309" s="11"/>
      <c r="DA309" s="11"/>
      <c r="DH309" s="11"/>
      <c r="DO309" s="11"/>
    </row>
    <row r="310" ht="15.75" customHeight="1">
      <c r="C310" s="8"/>
      <c r="BD310" s="11"/>
      <c r="BR310" s="11"/>
      <c r="BY310" s="11"/>
      <c r="CF310" s="11"/>
      <c r="CM310" s="11"/>
      <c r="CT310" s="11"/>
      <c r="DA310" s="11"/>
      <c r="DH310" s="11"/>
      <c r="DO310" s="11"/>
    </row>
    <row r="311" ht="15.75" customHeight="1">
      <c r="C311" s="8"/>
      <c r="BD311" s="11"/>
      <c r="BR311" s="11"/>
      <c r="BY311" s="11"/>
      <c r="CF311" s="11"/>
      <c r="CM311" s="11"/>
      <c r="CT311" s="11"/>
      <c r="DA311" s="11"/>
      <c r="DH311" s="11"/>
      <c r="DO311" s="11"/>
    </row>
    <row r="312" ht="15.75" customHeight="1">
      <c r="C312" s="8"/>
      <c r="BD312" s="11"/>
      <c r="BR312" s="11"/>
      <c r="BY312" s="11"/>
      <c r="CF312" s="11"/>
      <c r="CM312" s="11"/>
      <c r="CT312" s="11"/>
      <c r="DA312" s="11"/>
      <c r="DH312" s="11"/>
      <c r="DO312" s="11"/>
    </row>
    <row r="313" ht="15.75" customHeight="1">
      <c r="C313" s="8"/>
      <c r="BD313" s="11"/>
      <c r="BR313" s="11"/>
      <c r="BY313" s="11"/>
      <c r="CF313" s="11"/>
      <c r="CM313" s="11"/>
      <c r="CT313" s="11"/>
      <c r="DA313" s="11"/>
      <c r="DH313" s="11"/>
      <c r="DO313" s="11"/>
    </row>
    <row r="314" ht="15.75" customHeight="1">
      <c r="C314" s="8"/>
      <c r="BD314" s="11"/>
      <c r="BR314" s="11"/>
      <c r="BY314" s="11"/>
      <c r="CF314" s="11"/>
      <c r="CM314" s="11"/>
      <c r="CT314" s="11"/>
      <c r="DA314" s="11"/>
      <c r="DH314" s="11"/>
      <c r="DO314" s="11"/>
    </row>
    <row r="315" ht="15.75" customHeight="1">
      <c r="C315" s="8"/>
      <c r="BD315" s="11"/>
      <c r="BR315" s="11"/>
      <c r="BY315" s="11"/>
      <c r="CF315" s="11"/>
      <c r="CM315" s="11"/>
      <c r="CT315" s="11"/>
      <c r="DA315" s="11"/>
      <c r="DH315" s="11"/>
      <c r="DO315" s="11"/>
    </row>
    <row r="316" ht="15.75" customHeight="1">
      <c r="C316" s="8"/>
      <c r="BD316" s="11"/>
      <c r="BR316" s="11"/>
      <c r="BY316" s="11"/>
      <c r="CF316" s="11"/>
      <c r="CM316" s="11"/>
      <c r="CT316" s="11"/>
      <c r="DA316" s="11"/>
      <c r="DH316" s="11"/>
      <c r="DO316" s="11"/>
    </row>
    <row r="317" ht="15.75" customHeight="1">
      <c r="C317" s="8"/>
      <c r="BD317" s="11"/>
      <c r="BR317" s="11"/>
      <c r="BY317" s="11"/>
      <c r="CF317" s="11"/>
      <c r="CM317" s="11"/>
      <c r="CT317" s="11"/>
      <c r="DA317" s="11"/>
      <c r="DH317" s="11"/>
      <c r="DO317" s="11"/>
    </row>
    <row r="318" ht="15.75" customHeight="1">
      <c r="C318" s="8"/>
      <c r="BD318" s="11"/>
      <c r="BR318" s="11"/>
      <c r="BY318" s="11"/>
      <c r="CF318" s="11"/>
      <c r="CM318" s="11"/>
      <c r="CT318" s="11"/>
      <c r="DA318" s="11"/>
      <c r="DH318" s="11"/>
      <c r="DO318" s="11"/>
    </row>
    <row r="319" ht="15.75" customHeight="1">
      <c r="C319" s="8"/>
      <c r="BD319" s="11"/>
      <c r="BR319" s="11"/>
      <c r="BY319" s="11"/>
      <c r="CF319" s="11"/>
      <c r="CM319" s="11"/>
      <c r="CT319" s="11"/>
      <c r="DA319" s="11"/>
      <c r="DH319" s="11"/>
      <c r="DO319" s="11"/>
    </row>
    <row r="320" ht="15.75" customHeight="1">
      <c r="C320" s="8"/>
      <c r="BD320" s="11"/>
      <c r="BR320" s="11"/>
      <c r="BY320" s="11"/>
      <c r="CF320" s="11"/>
      <c r="CM320" s="11"/>
      <c r="CT320" s="11"/>
      <c r="DA320" s="11"/>
      <c r="DH320" s="11"/>
      <c r="DO320" s="11"/>
    </row>
    <row r="321" ht="15.75" customHeight="1">
      <c r="C321" s="8"/>
      <c r="BD321" s="11"/>
      <c r="BR321" s="11"/>
      <c r="BY321" s="11"/>
      <c r="CF321" s="11"/>
      <c r="CM321" s="11"/>
      <c r="CT321" s="11"/>
      <c r="DA321" s="11"/>
      <c r="DH321" s="11"/>
      <c r="DO321" s="11"/>
    </row>
    <row r="322" ht="15.75" customHeight="1">
      <c r="C322" s="8"/>
      <c r="BD322" s="11"/>
      <c r="BR322" s="11"/>
      <c r="BY322" s="11"/>
      <c r="CF322" s="11"/>
      <c r="CM322" s="11"/>
      <c r="CT322" s="11"/>
      <c r="DA322" s="11"/>
      <c r="DH322" s="11"/>
      <c r="DO322" s="11"/>
    </row>
    <row r="323" ht="15.75" customHeight="1">
      <c r="C323" s="8"/>
      <c r="BD323" s="11"/>
      <c r="BR323" s="11"/>
      <c r="BY323" s="11"/>
      <c r="CF323" s="11"/>
      <c r="CM323" s="11"/>
      <c r="CT323" s="11"/>
      <c r="DA323" s="11"/>
      <c r="DH323" s="11"/>
      <c r="DO323" s="11"/>
    </row>
    <row r="324" ht="15.75" customHeight="1">
      <c r="C324" s="8"/>
      <c r="BD324" s="11"/>
      <c r="BR324" s="11"/>
      <c r="BY324" s="11"/>
      <c r="CF324" s="11"/>
      <c r="CM324" s="11"/>
      <c r="CT324" s="11"/>
      <c r="DA324" s="11"/>
      <c r="DH324" s="11"/>
      <c r="DO324" s="11"/>
    </row>
    <row r="325" ht="15.75" customHeight="1">
      <c r="C325" s="8"/>
      <c r="BD325" s="11"/>
      <c r="BR325" s="11"/>
      <c r="BY325" s="11"/>
      <c r="CF325" s="11"/>
      <c r="CM325" s="11"/>
      <c r="CT325" s="11"/>
      <c r="DA325" s="11"/>
      <c r="DH325" s="11"/>
      <c r="DO325" s="11"/>
    </row>
    <row r="326" ht="15.75" customHeight="1">
      <c r="C326" s="8"/>
      <c r="BD326" s="11"/>
      <c r="BR326" s="11"/>
      <c r="BY326" s="11"/>
      <c r="CF326" s="11"/>
      <c r="CM326" s="11"/>
      <c r="CT326" s="11"/>
      <c r="DA326" s="11"/>
      <c r="DH326" s="11"/>
      <c r="DO326" s="11"/>
    </row>
    <row r="327" ht="15.75" customHeight="1">
      <c r="C327" s="8"/>
      <c r="BD327" s="11"/>
      <c r="BR327" s="11"/>
      <c r="BY327" s="11"/>
      <c r="CF327" s="11"/>
      <c r="CM327" s="11"/>
      <c r="CT327" s="11"/>
      <c r="DA327" s="11"/>
      <c r="DH327" s="11"/>
      <c r="DO327" s="11"/>
    </row>
    <row r="328" ht="15.75" customHeight="1">
      <c r="C328" s="8"/>
      <c r="BD328" s="11"/>
      <c r="BR328" s="11"/>
      <c r="BY328" s="11"/>
      <c r="CF328" s="11"/>
      <c r="CM328" s="11"/>
      <c r="CT328" s="11"/>
      <c r="DA328" s="11"/>
      <c r="DH328" s="11"/>
      <c r="DO328" s="11"/>
    </row>
    <row r="329" ht="15.75" customHeight="1">
      <c r="C329" s="8"/>
      <c r="BD329" s="11"/>
      <c r="BR329" s="11"/>
      <c r="BY329" s="11"/>
      <c r="CF329" s="11"/>
      <c r="CM329" s="11"/>
      <c r="CT329" s="11"/>
      <c r="DA329" s="11"/>
      <c r="DH329" s="11"/>
      <c r="DO329" s="11"/>
    </row>
    <row r="330" ht="15.75" customHeight="1">
      <c r="C330" s="8"/>
      <c r="BD330" s="11"/>
      <c r="BR330" s="11"/>
      <c r="BY330" s="11"/>
      <c r="CF330" s="11"/>
      <c r="CM330" s="11"/>
      <c r="CT330" s="11"/>
      <c r="DA330" s="11"/>
      <c r="DH330" s="11"/>
      <c r="DO330" s="11"/>
    </row>
    <row r="331" ht="15.75" customHeight="1">
      <c r="C331" s="8"/>
      <c r="BD331" s="11"/>
      <c r="BR331" s="11"/>
      <c r="BY331" s="11"/>
      <c r="CF331" s="11"/>
      <c r="CM331" s="11"/>
      <c r="CT331" s="11"/>
      <c r="DA331" s="11"/>
      <c r="DH331" s="11"/>
      <c r="DO331" s="11"/>
    </row>
    <row r="332" ht="15.75" customHeight="1">
      <c r="C332" s="8"/>
      <c r="BD332" s="11"/>
      <c r="BR332" s="11"/>
      <c r="BY332" s="11"/>
      <c r="CF332" s="11"/>
      <c r="CM332" s="11"/>
      <c r="CT332" s="11"/>
      <c r="DA332" s="11"/>
      <c r="DH332" s="11"/>
      <c r="DO332" s="11"/>
    </row>
    <row r="333" ht="15.75" customHeight="1">
      <c r="C333" s="8"/>
      <c r="BD333" s="11"/>
      <c r="BR333" s="11"/>
      <c r="BY333" s="11"/>
      <c r="CF333" s="11"/>
      <c r="CM333" s="11"/>
      <c r="CT333" s="11"/>
      <c r="DA333" s="11"/>
      <c r="DH333" s="11"/>
      <c r="DO333" s="11"/>
    </row>
    <row r="334" ht="15.75" customHeight="1">
      <c r="C334" s="8"/>
      <c r="BD334" s="11"/>
      <c r="BR334" s="11"/>
      <c r="BY334" s="11"/>
      <c r="CF334" s="11"/>
      <c r="CM334" s="11"/>
      <c r="CT334" s="11"/>
      <c r="DA334" s="11"/>
      <c r="DH334" s="11"/>
      <c r="DO334" s="11"/>
    </row>
    <row r="335" ht="15.75" customHeight="1">
      <c r="C335" s="8"/>
      <c r="BD335" s="11"/>
      <c r="BR335" s="11"/>
      <c r="BY335" s="11"/>
      <c r="CF335" s="11"/>
      <c r="CM335" s="11"/>
      <c r="CT335" s="11"/>
      <c r="DA335" s="11"/>
      <c r="DH335" s="11"/>
      <c r="DO335" s="11"/>
    </row>
    <row r="336" ht="15.75" customHeight="1">
      <c r="C336" s="8"/>
      <c r="BD336" s="11"/>
      <c r="BR336" s="11"/>
      <c r="BY336" s="11"/>
      <c r="CF336" s="11"/>
      <c r="CM336" s="11"/>
      <c r="CT336" s="11"/>
      <c r="DA336" s="11"/>
      <c r="DH336" s="11"/>
      <c r="DO336" s="11"/>
    </row>
    <row r="337" ht="15.75" customHeight="1">
      <c r="C337" s="8"/>
      <c r="BD337" s="11"/>
      <c r="BR337" s="11"/>
      <c r="BY337" s="11"/>
      <c r="CF337" s="11"/>
      <c r="CM337" s="11"/>
      <c r="CT337" s="11"/>
      <c r="DA337" s="11"/>
      <c r="DH337" s="11"/>
      <c r="DO337" s="11"/>
    </row>
    <row r="338" ht="15.75" customHeight="1">
      <c r="C338" s="8"/>
      <c r="BD338" s="11"/>
      <c r="BR338" s="11"/>
      <c r="BY338" s="11"/>
      <c r="CF338" s="11"/>
      <c r="CM338" s="11"/>
      <c r="CT338" s="11"/>
      <c r="DA338" s="11"/>
      <c r="DH338" s="11"/>
      <c r="DO338" s="11"/>
    </row>
    <row r="339" ht="15.75" customHeight="1">
      <c r="C339" s="8"/>
      <c r="BD339" s="11"/>
      <c r="BR339" s="11"/>
      <c r="BY339" s="11"/>
      <c r="CF339" s="11"/>
      <c r="CM339" s="11"/>
      <c r="CT339" s="11"/>
      <c r="DA339" s="11"/>
      <c r="DH339" s="11"/>
      <c r="DO339" s="11"/>
    </row>
    <row r="340" ht="15.75" customHeight="1">
      <c r="C340" s="8"/>
      <c r="BD340" s="11"/>
      <c r="BR340" s="11"/>
      <c r="BY340" s="11"/>
      <c r="CF340" s="11"/>
      <c r="CM340" s="11"/>
      <c r="CT340" s="11"/>
      <c r="DA340" s="11"/>
      <c r="DH340" s="11"/>
      <c r="DO340" s="11"/>
    </row>
    <row r="341" ht="15.75" customHeight="1">
      <c r="C341" s="8"/>
      <c r="BD341" s="11"/>
      <c r="BR341" s="11"/>
      <c r="BY341" s="11"/>
      <c r="CF341" s="11"/>
      <c r="CM341" s="11"/>
      <c r="CT341" s="11"/>
      <c r="DA341" s="11"/>
      <c r="DH341" s="11"/>
      <c r="DO341" s="11"/>
    </row>
    <row r="342" ht="15.75" customHeight="1">
      <c r="C342" s="8"/>
      <c r="BD342" s="11"/>
      <c r="BR342" s="11"/>
      <c r="BY342" s="11"/>
      <c r="CF342" s="11"/>
      <c r="CM342" s="11"/>
      <c r="CT342" s="11"/>
      <c r="DA342" s="11"/>
      <c r="DH342" s="11"/>
      <c r="DO342" s="11"/>
    </row>
    <row r="343" ht="15.75" customHeight="1">
      <c r="C343" s="8"/>
      <c r="BD343" s="11"/>
      <c r="BR343" s="11"/>
      <c r="BY343" s="11"/>
      <c r="CF343" s="11"/>
      <c r="CM343" s="11"/>
      <c r="CT343" s="11"/>
      <c r="DA343" s="11"/>
      <c r="DH343" s="11"/>
      <c r="DO343" s="11"/>
    </row>
    <row r="344" ht="15.75" customHeight="1">
      <c r="C344" s="8"/>
      <c r="BD344" s="11"/>
      <c r="BR344" s="11"/>
      <c r="BY344" s="11"/>
      <c r="CF344" s="11"/>
      <c r="CM344" s="11"/>
      <c r="CT344" s="11"/>
      <c r="DA344" s="11"/>
      <c r="DH344" s="11"/>
      <c r="DO344" s="11"/>
    </row>
    <row r="345" ht="15.75" customHeight="1">
      <c r="C345" s="8"/>
      <c r="BD345" s="11"/>
      <c r="BR345" s="11"/>
      <c r="BY345" s="11"/>
      <c r="CF345" s="11"/>
      <c r="CM345" s="11"/>
      <c r="CT345" s="11"/>
      <c r="DA345" s="11"/>
      <c r="DH345" s="11"/>
      <c r="DO345" s="11"/>
    </row>
    <row r="346" ht="15.75" customHeight="1">
      <c r="C346" s="8"/>
      <c r="BD346" s="11"/>
      <c r="BR346" s="11"/>
      <c r="BY346" s="11"/>
      <c r="CF346" s="11"/>
      <c r="CM346" s="11"/>
      <c r="CT346" s="11"/>
      <c r="DA346" s="11"/>
      <c r="DH346" s="11"/>
      <c r="DO346" s="11"/>
    </row>
    <row r="347" ht="15.75" customHeight="1">
      <c r="C347" s="8"/>
      <c r="BD347" s="11"/>
      <c r="BR347" s="11"/>
      <c r="BY347" s="11"/>
      <c r="CF347" s="11"/>
      <c r="CM347" s="11"/>
      <c r="CT347" s="11"/>
      <c r="DA347" s="11"/>
      <c r="DH347" s="11"/>
      <c r="DO347" s="11"/>
    </row>
    <row r="348" ht="15.75" customHeight="1">
      <c r="C348" s="8"/>
      <c r="BD348" s="11"/>
      <c r="BR348" s="11"/>
      <c r="BY348" s="11"/>
      <c r="CF348" s="11"/>
      <c r="CM348" s="11"/>
      <c r="CT348" s="11"/>
      <c r="DA348" s="11"/>
      <c r="DH348" s="11"/>
      <c r="DO348" s="11"/>
    </row>
    <row r="349" ht="15.75" customHeight="1">
      <c r="C349" s="8"/>
      <c r="BD349" s="11"/>
      <c r="BR349" s="11"/>
      <c r="BY349" s="11"/>
      <c r="CF349" s="11"/>
      <c r="CM349" s="11"/>
      <c r="CT349" s="11"/>
      <c r="DA349" s="11"/>
      <c r="DH349" s="11"/>
      <c r="DO349" s="11"/>
    </row>
    <row r="350" ht="15.75" customHeight="1">
      <c r="C350" s="8"/>
      <c r="BD350" s="11"/>
      <c r="BR350" s="11"/>
      <c r="BY350" s="11"/>
      <c r="CF350" s="11"/>
      <c r="CM350" s="11"/>
      <c r="CT350" s="11"/>
      <c r="DA350" s="11"/>
      <c r="DH350" s="11"/>
      <c r="DO350" s="11"/>
    </row>
    <row r="351" ht="15.75" customHeight="1">
      <c r="C351" s="8"/>
      <c r="BD351" s="11"/>
      <c r="BR351" s="11"/>
      <c r="BY351" s="11"/>
      <c r="CF351" s="11"/>
      <c r="CM351" s="11"/>
      <c r="CT351" s="11"/>
      <c r="DA351" s="11"/>
      <c r="DH351" s="11"/>
      <c r="DO351" s="11"/>
    </row>
    <row r="352" ht="15.75" customHeight="1">
      <c r="C352" s="8"/>
      <c r="BD352" s="11"/>
      <c r="BR352" s="11"/>
      <c r="BY352" s="11"/>
      <c r="CF352" s="11"/>
      <c r="CM352" s="11"/>
      <c r="CT352" s="11"/>
      <c r="DA352" s="11"/>
      <c r="DH352" s="11"/>
      <c r="DO352" s="11"/>
    </row>
    <row r="353" ht="15.75" customHeight="1">
      <c r="C353" s="8"/>
      <c r="BD353" s="11"/>
      <c r="BR353" s="11"/>
      <c r="BY353" s="11"/>
      <c r="CF353" s="11"/>
      <c r="CM353" s="11"/>
      <c r="CT353" s="11"/>
      <c r="DA353" s="11"/>
      <c r="DH353" s="11"/>
      <c r="DO353" s="11"/>
    </row>
    <row r="354" ht="15.75" customHeight="1">
      <c r="C354" s="8"/>
      <c r="BD354" s="11"/>
      <c r="BR354" s="11"/>
      <c r="BY354" s="11"/>
      <c r="CF354" s="11"/>
      <c r="CM354" s="11"/>
      <c r="CT354" s="11"/>
      <c r="DA354" s="11"/>
      <c r="DH354" s="11"/>
      <c r="DO354" s="11"/>
    </row>
    <row r="355" ht="15.75" customHeight="1">
      <c r="C355" s="8"/>
      <c r="BD355" s="11"/>
      <c r="BR355" s="11"/>
      <c r="BY355" s="11"/>
      <c r="CF355" s="11"/>
      <c r="CM355" s="11"/>
      <c r="CT355" s="11"/>
      <c r="DA355" s="11"/>
      <c r="DH355" s="11"/>
      <c r="DO355" s="11"/>
    </row>
    <row r="356" ht="15.75" customHeight="1">
      <c r="C356" s="8"/>
      <c r="BD356" s="11"/>
      <c r="BR356" s="11"/>
      <c r="BY356" s="11"/>
      <c r="CF356" s="11"/>
      <c r="CM356" s="11"/>
      <c r="CT356" s="11"/>
      <c r="DA356" s="11"/>
      <c r="DH356" s="11"/>
      <c r="DO356" s="11"/>
    </row>
    <row r="357" ht="15.75" customHeight="1">
      <c r="C357" s="8"/>
      <c r="BD357" s="11"/>
      <c r="BR357" s="11"/>
      <c r="BY357" s="11"/>
      <c r="CF357" s="11"/>
      <c r="CM357" s="11"/>
      <c r="CT357" s="11"/>
      <c r="DA357" s="11"/>
      <c r="DH357" s="11"/>
      <c r="DO357" s="11"/>
    </row>
    <row r="358" ht="15.75" customHeight="1">
      <c r="C358" s="8"/>
      <c r="BD358" s="11"/>
      <c r="BR358" s="11"/>
      <c r="BY358" s="11"/>
      <c r="CF358" s="11"/>
      <c r="CM358" s="11"/>
      <c r="CT358" s="11"/>
      <c r="DA358" s="11"/>
      <c r="DH358" s="11"/>
      <c r="DO358" s="11"/>
    </row>
    <row r="359" ht="15.75" customHeight="1">
      <c r="C359" s="8"/>
      <c r="BD359" s="11"/>
      <c r="BR359" s="11"/>
      <c r="BY359" s="11"/>
      <c r="CF359" s="11"/>
      <c r="CM359" s="11"/>
      <c r="CT359" s="11"/>
      <c r="DA359" s="11"/>
      <c r="DH359" s="11"/>
      <c r="DO359" s="11"/>
    </row>
    <row r="360" ht="15.75" customHeight="1">
      <c r="C360" s="8"/>
      <c r="BD360" s="11"/>
      <c r="BR360" s="11"/>
      <c r="BY360" s="11"/>
      <c r="CF360" s="11"/>
      <c r="CM360" s="11"/>
      <c r="CT360" s="11"/>
      <c r="DA360" s="11"/>
      <c r="DH360" s="11"/>
      <c r="DO360" s="11"/>
    </row>
    <row r="361" ht="15.75" customHeight="1">
      <c r="C361" s="8"/>
      <c r="BD361" s="11"/>
      <c r="BR361" s="11"/>
      <c r="BY361" s="11"/>
      <c r="CF361" s="11"/>
      <c r="CM361" s="11"/>
      <c r="CT361" s="11"/>
      <c r="DA361" s="11"/>
      <c r="DH361" s="11"/>
      <c r="DO361" s="11"/>
    </row>
    <row r="362" ht="15.75" customHeight="1">
      <c r="C362" s="8"/>
      <c r="BD362" s="11"/>
      <c r="BR362" s="11"/>
      <c r="BY362" s="11"/>
      <c r="CF362" s="11"/>
      <c r="CM362" s="11"/>
      <c r="CT362" s="11"/>
      <c r="DA362" s="11"/>
      <c r="DH362" s="11"/>
      <c r="DO362" s="11"/>
    </row>
    <row r="363" ht="15.75" customHeight="1">
      <c r="C363" s="8"/>
      <c r="BD363" s="11"/>
      <c r="BR363" s="11"/>
      <c r="BY363" s="11"/>
      <c r="CF363" s="11"/>
      <c r="CM363" s="11"/>
      <c r="CT363" s="11"/>
      <c r="DA363" s="11"/>
      <c r="DH363" s="11"/>
      <c r="DO363" s="11"/>
    </row>
    <row r="364" ht="15.75" customHeight="1">
      <c r="C364" s="8"/>
      <c r="BD364" s="11"/>
      <c r="BR364" s="11"/>
      <c r="BY364" s="11"/>
      <c r="CF364" s="11"/>
      <c r="CM364" s="11"/>
      <c r="CT364" s="11"/>
      <c r="DA364" s="11"/>
      <c r="DH364" s="11"/>
      <c r="DO364" s="11"/>
    </row>
    <row r="365" ht="15.75" customHeight="1">
      <c r="C365" s="8"/>
      <c r="BD365" s="11"/>
      <c r="BR365" s="11"/>
      <c r="BY365" s="11"/>
      <c r="CF365" s="11"/>
      <c r="CM365" s="11"/>
      <c r="CT365" s="11"/>
      <c r="DA365" s="11"/>
      <c r="DH365" s="11"/>
      <c r="DO365" s="11"/>
    </row>
    <row r="366" ht="15.75" customHeight="1">
      <c r="C366" s="8"/>
      <c r="BD366" s="11"/>
      <c r="BR366" s="11"/>
      <c r="BY366" s="11"/>
      <c r="CF366" s="11"/>
      <c r="CM366" s="11"/>
      <c r="CT366" s="11"/>
      <c r="DA366" s="11"/>
      <c r="DH366" s="11"/>
      <c r="DO366" s="11"/>
    </row>
    <row r="367" ht="15.75" customHeight="1">
      <c r="C367" s="8"/>
      <c r="BD367" s="11"/>
      <c r="BR367" s="11"/>
      <c r="BY367" s="11"/>
      <c r="CF367" s="11"/>
      <c r="CM367" s="11"/>
      <c r="CT367" s="11"/>
      <c r="DA367" s="11"/>
      <c r="DH367" s="11"/>
      <c r="DO367" s="11"/>
    </row>
    <row r="368" ht="15.75" customHeight="1">
      <c r="C368" s="8"/>
      <c r="BD368" s="11"/>
      <c r="BR368" s="11"/>
      <c r="BY368" s="11"/>
      <c r="CF368" s="11"/>
      <c r="CM368" s="11"/>
      <c r="CT368" s="11"/>
      <c r="DA368" s="11"/>
      <c r="DH368" s="11"/>
      <c r="DO368" s="11"/>
    </row>
    <row r="369" ht="15.75" customHeight="1">
      <c r="C369" s="8"/>
      <c r="BD369" s="11"/>
      <c r="BR369" s="11"/>
      <c r="BY369" s="11"/>
      <c r="CF369" s="11"/>
      <c r="CM369" s="11"/>
      <c r="CT369" s="11"/>
      <c r="DA369" s="11"/>
      <c r="DH369" s="11"/>
      <c r="DO369" s="11"/>
    </row>
    <row r="370" ht="15.75" customHeight="1">
      <c r="C370" s="8"/>
      <c r="BD370" s="11"/>
      <c r="BR370" s="11"/>
      <c r="BY370" s="11"/>
      <c r="CF370" s="11"/>
      <c r="CM370" s="11"/>
      <c r="CT370" s="11"/>
      <c r="DA370" s="11"/>
      <c r="DH370" s="11"/>
      <c r="DO370" s="11"/>
    </row>
    <row r="371" ht="15.75" customHeight="1">
      <c r="C371" s="8"/>
      <c r="BD371" s="11"/>
      <c r="BR371" s="11"/>
      <c r="BY371" s="11"/>
      <c r="CF371" s="11"/>
      <c r="CM371" s="11"/>
      <c r="CT371" s="11"/>
      <c r="DA371" s="11"/>
      <c r="DH371" s="11"/>
      <c r="DO371" s="11"/>
    </row>
    <row r="372" ht="15.75" customHeight="1">
      <c r="C372" s="8"/>
      <c r="BD372" s="11"/>
      <c r="BR372" s="11"/>
      <c r="BY372" s="11"/>
      <c r="CF372" s="11"/>
      <c r="CM372" s="11"/>
      <c r="CT372" s="11"/>
      <c r="DA372" s="11"/>
      <c r="DH372" s="11"/>
      <c r="DO372" s="11"/>
    </row>
    <row r="373" ht="15.75" customHeight="1">
      <c r="C373" s="8"/>
      <c r="BD373" s="11"/>
      <c r="BR373" s="11"/>
      <c r="BY373" s="11"/>
      <c r="CF373" s="11"/>
      <c r="CM373" s="11"/>
      <c r="CT373" s="11"/>
      <c r="DA373" s="11"/>
      <c r="DH373" s="11"/>
      <c r="DO373" s="11"/>
    </row>
    <row r="374" ht="15.75" customHeight="1">
      <c r="C374" s="8"/>
      <c r="BD374" s="11"/>
      <c r="BR374" s="11"/>
      <c r="BY374" s="11"/>
      <c r="CF374" s="11"/>
      <c r="CM374" s="11"/>
      <c r="CT374" s="11"/>
      <c r="DA374" s="11"/>
      <c r="DH374" s="11"/>
      <c r="DO374" s="11"/>
    </row>
    <row r="375" ht="15.75" customHeight="1">
      <c r="C375" s="8"/>
      <c r="BD375" s="11"/>
      <c r="BR375" s="11"/>
      <c r="BY375" s="11"/>
      <c r="CF375" s="11"/>
      <c r="CM375" s="11"/>
      <c r="CT375" s="11"/>
      <c r="DA375" s="11"/>
      <c r="DH375" s="11"/>
      <c r="DO375" s="11"/>
    </row>
    <row r="376" ht="15.75" customHeight="1">
      <c r="C376" s="8"/>
      <c r="BD376" s="11"/>
      <c r="BR376" s="11"/>
      <c r="BY376" s="11"/>
      <c r="CF376" s="11"/>
      <c r="CM376" s="11"/>
      <c r="CT376" s="11"/>
      <c r="DA376" s="11"/>
      <c r="DH376" s="11"/>
      <c r="DO376" s="11"/>
    </row>
    <row r="377" ht="15.75" customHeight="1">
      <c r="C377" s="8"/>
      <c r="BD377" s="11"/>
      <c r="BR377" s="11"/>
      <c r="BY377" s="11"/>
      <c r="CF377" s="11"/>
      <c r="CM377" s="11"/>
      <c r="CT377" s="11"/>
      <c r="DA377" s="11"/>
      <c r="DH377" s="11"/>
      <c r="DO377" s="11"/>
    </row>
    <row r="378" ht="15.75" customHeight="1">
      <c r="C378" s="8"/>
      <c r="BD378" s="11"/>
      <c r="BR378" s="11"/>
      <c r="BY378" s="11"/>
      <c r="CF378" s="11"/>
      <c r="CM378" s="11"/>
      <c r="CT378" s="11"/>
      <c r="DA378" s="11"/>
      <c r="DH378" s="11"/>
      <c r="DO378" s="11"/>
    </row>
    <row r="379" ht="15.75" customHeight="1">
      <c r="C379" s="8"/>
      <c r="BD379" s="11"/>
      <c r="BR379" s="11"/>
      <c r="BY379" s="11"/>
      <c r="CF379" s="11"/>
      <c r="CM379" s="11"/>
      <c r="CT379" s="11"/>
      <c r="DA379" s="11"/>
      <c r="DH379" s="11"/>
      <c r="DO379" s="11"/>
    </row>
    <row r="380" ht="15.75" customHeight="1">
      <c r="C380" s="8"/>
      <c r="BD380" s="11"/>
      <c r="BR380" s="11"/>
      <c r="BY380" s="11"/>
      <c r="CF380" s="11"/>
      <c r="CM380" s="11"/>
      <c r="CT380" s="11"/>
      <c r="DA380" s="11"/>
      <c r="DH380" s="11"/>
      <c r="DO380" s="11"/>
    </row>
    <row r="381" ht="15.75" customHeight="1">
      <c r="C381" s="8"/>
      <c r="BD381" s="11"/>
      <c r="BR381" s="11"/>
      <c r="BY381" s="11"/>
      <c r="CF381" s="11"/>
      <c r="CM381" s="11"/>
      <c r="CT381" s="11"/>
      <c r="DA381" s="11"/>
      <c r="DH381" s="11"/>
      <c r="DO381" s="11"/>
    </row>
    <row r="382" ht="15.75" customHeight="1">
      <c r="C382" s="8"/>
      <c r="BD382" s="11"/>
      <c r="BR382" s="11"/>
      <c r="BY382" s="11"/>
      <c r="CF382" s="11"/>
      <c r="CM382" s="11"/>
      <c r="CT382" s="11"/>
      <c r="DA382" s="11"/>
      <c r="DH382" s="11"/>
      <c r="DO382" s="11"/>
    </row>
    <row r="383" ht="15.75" customHeight="1">
      <c r="C383" s="8"/>
      <c r="BD383" s="11"/>
      <c r="BR383" s="11"/>
      <c r="BY383" s="11"/>
      <c r="CF383" s="11"/>
      <c r="CM383" s="11"/>
      <c r="CT383" s="11"/>
      <c r="DA383" s="11"/>
      <c r="DH383" s="11"/>
      <c r="DO383" s="11"/>
    </row>
    <row r="384" ht="15.75" customHeight="1">
      <c r="C384" s="8"/>
      <c r="BD384" s="11"/>
      <c r="BR384" s="11"/>
      <c r="BY384" s="11"/>
      <c r="CF384" s="11"/>
      <c r="CM384" s="11"/>
      <c r="CT384" s="11"/>
      <c r="DA384" s="11"/>
      <c r="DH384" s="11"/>
      <c r="DO384" s="11"/>
    </row>
    <row r="385" ht="15.75" customHeight="1">
      <c r="C385" s="8"/>
      <c r="BD385" s="11"/>
      <c r="BR385" s="11"/>
      <c r="BY385" s="11"/>
      <c r="CF385" s="11"/>
      <c r="CM385" s="11"/>
      <c r="CT385" s="11"/>
      <c r="DA385" s="11"/>
      <c r="DH385" s="11"/>
      <c r="DO385" s="11"/>
    </row>
    <row r="386" ht="15.75" customHeight="1">
      <c r="C386" s="8"/>
      <c r="BD386" s="11"/>
      <c r="BR386" s="11"/>
      <c r="BY386" s="11"/>
      <c r="CF386" s="11"/>
      <c r="CM386" s="11"/>
      <c r="CT386" s="11"/>
      <c r="DA386" s="11"/>
      <c r="DH386" s="11"/>
      <c r="DO386" s="11"/>
    </row>
    <row r="387" ht="15.75" customHeight="1">
      <c r="C387" s="8"/>
      <c r="BD387" s="11"/>
      <c r="BR387" s="11"/>
      <c r="BY387" s="11"/>
      <c r="CF387" s="11"/>
      <c r="CM387" s="11"/>
      <c r="CT387" s="11"/>
      <c r="DA387" s="11"/>
      <c r="DH387" s="11"/>
      <c r="DO387" s="11"/>
    </row>
    <row r="388" ht="15.75" customHeight="1">
      <c r="C388" s="8"/>
      <c r="BD388" s="11"/>
      <c r="BR388" s="11"/>
      <c r="BY388" s="11"/>
      <c r="CF388" s="11"/>
      <c r="CM388" s="11"/>
      <c r="CT388" s="11"/>
      <c r="DA388" s="11"/>
      <c r="DH388" s="11"/>
      <c r="DO388" s="11"/>
    </row>
    <row r="389" ht="15.75" customHeight="1">
      <c r="C389" s="8"/>
      <c r="BD389" s="11"/>
      <c r="BR389" s="11"/>
      <c r="BY389" s="11"/>
      <c r="CF389" s="11"/>
      <c r="CM389" s="11"/>
      <c r="CT389" s="11"/>
      <c r="DA389" s="11"/>
      <c r="DH389" s="11"/>
      <c r="DO389" s="11"/>
    </row>
    <row r="390" ht="15.75" customHeight="1">
      <c r="C390" s="8"/>
      <c r="BD390" s="11"/>
      <c r="BR390" s="11"/>
      <c r="BY390" s="11"/>
      <c r="CF390" s="11"/>
      <c r="CM390" s="11"/>
      <c r="CT390" s="11"/>
      <c r="DA390" s="11"/>
      <c r="DH390" s="11"/>
      <c r="DO390" s="11"/>
    </row>
    <row r="391" ht="15.75" customHeight="1">
      <c r="C391" s="8"/>
      <c r="BD391" s="11"/>
      <c r="BR391" s="11"/>
      <c r="BY391" s="11"/>
      <c r="CF391" s="11"/>
      <c r="CM391" s="11"/>
      <c r="CT391" s="11"/>
      <c r="DA391" s="11"/>
      <c r="DH391" s="11"/>
      <c r="DO391" s="11"/>
    </row>
    <row r="392" ht="15.75" customHeight="1">
      <c r="C392" s="8"/>
      <c r="BD392" s="11"/>
      <c r="BR392" s="11"/>
      <c r="BY392" s="11"/>
      <c r="CF392" s="11"/>
      <c r="CM392" s="11"/>
      <c r="CT392" s="11"/>
      <c r="DA392" s="11"/>
      <c r="DH392" s="11"/>
      <c r="DO392" s="11"/>
    </row>
    <row r="393" ht="15.75" customHeight="1">
      <c r="C393" s="8"/>
      <c r="BD393" s="11"/>
      <c r="BR393" s="11"/>
      <c r="BY393" s="11"/>
      <c r="CF393" s="11"/>
      <c r="CM393" s="11"/>
      <c r="CT393" s="11"/>
      <c r="DA393" s="11"/>
      <c r="DH393" s="11"/>
      <c r="DO393" s="11"/>
    </row>
    <row r="394" ht="15.75" customHeight="1">
      <c r="C394" s="8"/>
      <c r="BD394" s="11"/>
      <c r="BR394" s="11"/>
      <c r="BY394" s="11"/>
      <c r="CF394" s="11"/>
      <c r="CM394" s="11"/>
      <c r="CT394" s="11"/>
      <c r="DA394" s="11"/>
      <c r="DH394" s="11"/>
      <c r="DO394" s="11"/>
    </row>
    <row r="395" ht="15.75" customHeight="1">
      <c r="C395" s="8"/>
      <c r="BD395" s="11"/>
      <c r="BR395" s="11"/>
      <c r="BY395" s="11"/>
      <c r="CF395" s="11"/>
      <c r="CM395" s="11"/>
      <c r="CT395" s="11"/>
      <c r="DA395" s="11"/>
      <c r="DH395" s="11"/>
      <c r="DO395" s="11"/>
    </row>
    <row r="396" ht="15.75" customHeight="1">
      <c r="C396" s="8"/>
      <c r="BD396" s="11"/>
      <c r="BR396" s="11"/>
      <c r="BY396" s="11"/>
      <c r="CF396" s="11"/>
      <c r="CM396" s="11"/>
      <c r="CT396" s="11"/>
      <c r="DA396" s="11"/>
      <c r="DH396" s="11"/>
      <c r="DO396" s="11"/>
    </row>
    <row r="397" ht="15.75" customHeight="1">
      <c r="C397" s="8"/>
      <c r="BD397" s="11"/>
      <c r="BR397" s="11"/>
      <c r="BY397" s="11"/>
      <c r="CF397" s="11"/>
      <c r="CM397" s="11"/>
      <c r="CT397" s="11"/>
      <c r="DA397" s="11"/>
      <c r="DH397" s="11"/>
      <c r="DO397" s="11"/>
    </row>
    <row r="398" ht="15.75" customHeight="1">
      <c r="C398" s="8"/>
      <c r="BD398" s="11"/>
      <c r="BR398" s="11"/>
      <c r="BY398" s="11"/>
      <c r="CF398" s="11"/>
      <c r="CM398" s="11"/>
      <c r="CT398" s="11"/>
      <c r="DA398" s="11"/>
      <c r="DH398" s="11"/>
      <c r="DO398" s="11"/>
    </row>
    <row r="399" ht="15.75" customHeight="1">
      <c r="C399" s="8"/>
      <c r="BD399" s="11"/>
      <c r="BR399" s="11"/>
      <c r="BY399" s="11"/>
      <c r="CF399" s="11"/>
      <c r="CM399" s="11"/>
      <c r="CT399" s="11"/>
      <c r="DA399" s="11"/>
      <c r="DH399" s="11"/>
      <c r="DO399" s="11"/>
    </row>
    <row r="400" ht="15.75" customHeight="1">
      <c r="C400" s="8"/>
      <c r="BD400" s="11"/>
      <c r="BR400" s="11"/>
      <c r="BY400" s="11"/>
      <c r="CF400" s="11"/>
      <c r="CM400" s="11"/>
      <c r="CT400" s="11"/>
      <c r="DA400" s="11"/>
      <c r="DH400" s="11"/>
      <c r="DO400" s="11"/>
    </row>
    <row r="401" ht="15.75" customHeight="1">
      <c r="C401" s="8"/>
      <c r="BD401" s="11"/>
      <c r="BR401" s="11"/>
      <c r="BY401" s="11"/>
      <c r="CF401" s="11"/>
      <c r="CM401" s="11"/>
      <c r="CT401" s="11"/>
      <c r="DA401" s="11"/>
      <c r="DH401" s="11"/>
      <c r="DO401" s="11"/>
    </row>
    <row r="402" ht="15.75" customHeight="1">
      <c r="C402" s="8"/>
      <c r="BD402" s="11"/>
      <c r="BR402" s="11"/>
      <c r="BY402" s="11"/>
      <c r="CF402" s="11"/>
      <c r="CM402" s="11"/>
      <c r="CT402" s="11"/>
      <c r="DA402" s="11"/>
      <c r="DH402" s="11"/>
      <c r="DO402" s="11"/>
    </row>
    <row r="403" ht="15.75" customHeight="1">
      <c r="C403" s="8"/>
      <c r="BD403" s="11"/>
      <c r="BR403" s="11"/>
      <c r="BY403" s="11"/>
      <c r="CF403" s="11"/>
      <c r="CM403" s="11"/>
      <c r="CT403" s="11"/>
      <c r="DA403" s="11"/>
      <c r="DH403" s="11"/>
      <c r="DO403" s="11"/>
    </row>
    <row r="404" ht="15.75" customHeight="1">
      <c r="C404" s="8"/>
      <c r="BD404" s="11"/>
      <c r="BR404" s="11"/>
      <c r="BY404" s="11"/>
      <c r="CF404" s="11"/>
      <c r="CM404" s="11"/>
      <c r="CT404" s="11"/>
      <c r="DA404" s="11"/>
      <c r="DH404" s="11"/>
      <c r="DO404" s="11"/>
    </row>
    <row r="405" ht="15.75" customHeight="1">
      <c r="C405" s="8"/>
      <c r="BD405" s="11"/>
      <c r="BR405" s="11"/>
      <c r="BY405" s="11"/>
      <c r="CF405" s="11"/>
      <c r="CM405" s="11"/>
      <c r="CT405" s="11"/>
      <c r="DA405" s="11"/>
      <c r="DH405" s="11"/>
      <c r="DO405" s="11"/>
    </row>
    <row r="406" ht="15.75" customHeight="1">
      <c r="C406" s="8"/>
      <c r="BD406" s="11"/>
      <c r="BR406" s="11"/>
      <c r="BY406" s="11"/>
      <c r="CF406" s="11"/>
      <c r="CM406" s="11"/>
      <c r="CT406" s="11"/>
      <c r="DA406" s="11"/>
      <c r="DH406" s="11"/>
      <c r="DO406" s="11"/>
    </row>
    <row r="407" ht="15.75" customHeight="1">
      <c r="C407" s="8"/>
      <c r="BD407" s="11"/>
      <c r="BR407" s="11"/>
      <c r="BY407" s="11"/>
      <c r="CF407" s="11"/>
      <c r="CM407" s="11"/>
      <c r="CT407" s="11"/>
      <c r="DA407" s="11"/>
      <c r="DH407" s="11"/>
      <c r="DO407" s="11"/>
    </row>
    <row r="408" ht="15.75" customHeight="1">
      <c r="C408" s="8"/>
      <c r="BD408" s="11"/>
      <c r="BR408" s="11"/>
      <c r="BY408" s="11"/>
      <c r="CF408" s="11"/>
      <c r="CM408" s="11"/>
      <c r="CT408" s="11"/>
      <c r="DA408" s="11"/>
      <c r="DH408" s="11"/>
      <c r="DO408" s="11"/>
    </row>
    <row r="409" ht="15.75" customHeight="1">
      <c r="C409" s="8"/>
      <c r="BD409" s="11"/>
      <c r="BR409" s="11"/>
      <c r="BY409" s="11"/>
      <c r="CF409" s="11"/>
      <c r="CM409" s="11"/>
      <c r="CT409" s="11"/>
      <c r="DA409" s="11"/>
      <c r="DH409" s="11"/>
      <c r="DO409" s="11"/>
    </row>
    <row r="410" ht="15.75" customHeight="1">
      <c r="C410" s="8"/>
      <c r="BD410" s="11"/>
      <c r="BR410" s="11"/>
      <c r="BY410" s="11"/>
      <c r="CF410" s="11"/>
      <c r="CM410" s="11"/>
      <c r="CT410" s="11"/>
      <c r="DA410" s="11"/>
      <c r="DH410" s="11"/>
      <c r="DO410" s="11"/>
    </row>
    <row r="411" ht="15.75" customHeight="1">
      <c r="C411" s="8"/>
      <c r="BD411" s="11"/>
      <c r="BR411" s="11"/>
      <c r="BY411" s="11"/>
      <c r="CF411" s="11"/>
      <c r="CM411" s="11"/>
      <c r="CT411" s="11"/>
      <c r="DA411" s="11"/>
      <c r="DH411" s="11"/>
      <c r="DO411" s="11"/>
    </row>
    <row r="412" ht="15.75" customHeight="1">
      <c r="C412" s="8"/>
      <c r="BD412" s="11"/>
      <c r="BR412" s="11"/>
      <c r="BY412" s="11"/>
      <c r="CF412" s="11"/>
      <c r="CM412" s="11"/>
      <c r="CT412" s="11"/>
      <c r="DA412" s="11"/>
      <c r="DH412" s="11"/>
      <c r="DO412" s="11"/>
    </row>
    <row r="413" ht="15.75" customHeight="1">
      <c r="C413" s="8"/>
      <c r="BD413" s="11"/>
      <c r="BR413" s="11"/>
      <c r="BY413" s="11"/>
      <c r="CF413" s="11"/>
      <c r="CM413" s="11"/>
      <c r="CT413" s="11"/>
      <c r="DA413" s="11"/>
      <c r="DH413" s="11"/>
      <c r="DO413" s="11"/>
    </row>
    <row r="414" ht="15.75" customHeight="1">
      <c r="C414" s="8"/>
      <c r="BD414" s="11"/>
      <c r="BR414" s="11"/>
      <c r="BY414" s="11"/>
      <c r="CF414" s="11"/>
      <c r="CM414" s="11"/>
      <c r="CT414" s="11"/>
      <c r="DA414" s="11"/>
      <c r="DH414" s="11"/>
      <c r="DO414" s="11"/>
    </row>
    <row r="415" ht="15.75" customHeight="1">
      <c r="C415" s="8"/>
      <c r="BD415" s="11"/>
      <c r="BR415" s="11"/>
      <c r="BY415" s="11"/>
      <c r="CF415" s="11"/>
      <c r="CM415" s="11"/>
      <c r="CT415" s="11"/>
      <c r="DA415" s="11"/>
      <c r="DH415" s="11"/>
      <c r="DO415" s="11"/>
    </row>
    <row r="416" ht="15.75" customHeight="1">
      <c r="C416" s="8"/>
      <c r="BD416" s="11"/>
      <c r="BR416" s="11"/>
      <c r="BY416" s="11"/>
      <c r="CF416" s="11"/>
      <c r="CM416" s="11"/>
      <c r="CT416" s="11"/>
      <c r="DA416" s="11"/>
      <c r="DH416" s="11"/>
      <c r="DO416" s="11"/>
    </row>
    <row r="417" ht="15.75" customHeight="1">
      <c r="C417" s="8"/>
      <c r="BD417" s="11"/>
      <c r="BR417" s="11"/>
      <c r="BY417" s="11"/>
      <c r="CF417" s="11"/>
      <c r="CM417" s="11"/>
      <c r="CT417" s="11"/>
      <c r="DA417" s="11"/>
      <c r="DH417" s="11"/>
      <c r="DO417" s="11"/>
    </row>
    <row r="418" ht="15.75" customHeight="1">
      <c r="C418" s="8"/>
      <c r="BD418" s="11"/>
      <c r="BR418" s="11"/>
      <c r="BY418" s="11"/>
      <c r="CF418" s="11"/>
      <c r="CM418" s="11"/>
      <c r="CT418" s="11"/>
      <c r="DA418" s="11"/>
      <c r="DH418" s="11"/>
      <c r="DO418" s="11"/>
    </row>
    <row r="419" ht="15.75" customHeight="1">
      <c r="C419" s="8"/>
      <c r="BD419" s="11"/>
      <c r="BR419" s="11"/>
      <c r="BY419" s="11"/>
      <c r="CF419" s="11"/>
      <c r="CM419" s="11"/>
      <c r="CT419" s="11"/>
      <c r="DA419" s="11"/>
      <c r="DH419" s="11"/>
      <c r="DO419" s="11"/>
    </row>
    <row r="420" ht="15.75" customHeight="1">
      <c r="C420" s="8"/>
      <c r="BD420" s="11"/>
      <c r="BR420" s="11"/>
      <c r="BY420" s="11"/>
      <c r="CF420" s="11"/>
      <c r="CM420" s="11"/>
      <c r="CT420" s="11"/>
      <c r="DA420" s="11"/>
      <c r="DH420" s="11"/>
      <c r="DO420" s="11"/>
    </row>
    <row r="421" ht="15.75" customHeight="1">
      <c r="C421" s="8"/>
      <c r="BD421" s="11"/>
      <c r="BR421" s="11"/>
      <c r="BY421" s="11"/>
      <c r="CF421" s="11"/>
      <c r="CM421" s="11"/>
      <c r="CT421" s="11"/>
      <c r="DA421" s="11"/>
      <c r="DH421" s="11"/>
      <c r="DO421" s="11"/>
    </row>
    <row r="422" ht="15.75" customHeight="1">
      <c r="C422" s="8"/>
      <c r="BD422" s="11"/>
      <c r="BR422" s="11"/>
      <c r="BY422" s="11"/>
      <c r="CF422" s="11"/>
      <c r="CM422" s="11"/>
      <c r="CT422" s="11"/>
      <c r="DA422" s="11"/>
      <c r="DH422" s="11"/>
      <c r="DO422" s="11"/>
    </row>
    <row r="423" ht="15.75" customHeight="1">
      <c r="C423" s="8"/>
      <c r="BD423" s="11"/>
      <c r="BR423" s="11"/>
      <c r="BY423" s="11"/>
      <c r="CF423" s="11"/>
      <c r="CM423" s="11"/>
      <c r="CT423" s="11"/>
      <c r="DA423" s="11"/>
      <c r="DH423" s="11"/>
      <c r="DO423" s="11"/>
    </row>
    <row r="424" ht="15.75" customHeight="1">
      <c r="C424" s="8"/>
      <c r="BD424" s="11"/>
      <c r="BR424" s="11"/>
      <c r="BY424" s="11"/>
      <c r="CF424" s="11"/>
      <c r="CM424" s="11"/>
      <c r="CT424" s="11"/>
      <c r="DA424" s="11"/>
      <c r="DH424" s="11"/>
      <c r="DO424" s="11"/>
    </row>
    <row r="425" ht="15.75" customHeight="1">
      <c r="C425" s="8"/>
      <c r="BD425" s="11"/>
      <c r="BR425" s="11"/>
      <c r="BY425" s="11"/>
      <c r="CF425" s="11"/>
      <c r="CM425" s="11"/>
      <c r="CT425" s="11"/>
      <c r="DA425" s="11"/>
      <c r="DH425" s="11"/>
      <c r="DO425" s="11"/>
    </row>
    <row r="426" ht="15.75" customHeight="1">
      <c r="C426" s="8"/>
      <c r="BD426" s="11"/>
      <c r="BR426" s="11"/>
      <c r="BY426" s="11"/>
      <c r="CF426" s="11"/>
      <c r="CM426" s="11"/>
      <c r="CT426" s="11"/>
      <c r="DA426" s="11"/>
      <c r="DH426" s="11"/>
      <c r="DO426" s="11"/>
    </row>
    <row r="427" ht="15.75" customHeight="1">
      <c r="C427" s="8"/>
      <c r="BD427" s="11"/>
      <c r="BR427" s="11"/>
      <c r="BY427" s="11"/>
      <c r="CF427" s="11"/>
      <c r="CM427" s="11"/>
      <c r="CT427" s="11"/>
      <c r="DA427" s="11"/>
      <c r="DH427" s="11"/>
      <c r="DO427" s="11"/>
    </row>
    <row r="428" ht="15.75" customHeight="1">
      <c r="C428" s="8"/>
      <c r="BD428" s="11"/>
      <c r="BR428" s="11"/>
      <c r="BY428" s="11"/>
      <c r="CF428" s="11"/>
      <c r="CM428" s="11"/>
      <c r="CT428" s="11"/>
      <c r="DA428" s="11"/>
      <c r="DH428" s="11"/>
      <c r="DO428" s="11"/>
    </row>
    <row r="429" ht="15.75" customHeight="1">
      <c r="C429" s="8"/>
      <c r="BD429" s="11"/>
      <c r="BR429" s="11"/>
      <c r="BY429" s="11"/>
      <c r="CF429" s="11"/>
      <c r="CM429" s="11"/>
      <c r="CT429" s="11"/>
      <c r="DA429" s="11"/>
      <c r="DH429" s="11"/>
      <c r="DO429" s="11"/>
    </row>
    <row r="430" ht="15.75" customHeight="1">
      <c r="C430" s="8"/>
      <c r="BD430" s="11"/>
      <c r="BR430" s="11"/>
      <c r="BY430" s="11"/>
      <c r="CF430" s="11"/>
      <c r="CM430" s="11"/>
      <c r="CT430" s="11"/>
      <c r="DA430" s="11"/>
      <c r="DH430" s="11"/>
      <c r="DO430" s="11"/>
    </row>
    <row r="431" ht="15.75" customHeight="1">
      <c r="C431" s="8"/>
      <c r="BD431" s="11"/>
      <c r="BR431" s="11"/>
      <c r="BY431" s="11"/>
      <c r="CF431" s="11"/>
      <c r="CM431" s="11"/>
      <c r="CT431" s="11"/>
      <c r="DA431" s="11"/>
      <c r="DH431" s="11"/>
      <c r="DO431" s="11"/>
    </row>
    <row r="432" ht="15.75" customHeight="1">
      <c r="C432" s="8"/>
      <c r="BD432" s="11"/>
      <c r="BR432" s="11"/>
      <c r="BY432" s="11"/>
      <c r="CF432" s="11"/>
      <c r="CM432" s="11"/>
      <c r="CT432" s="11"/>
      <c r="DA432" s="11"/>
      <c r="DH432" s="11"/>
      <c r="DO432" s="11"/>
    </row>
    <row r="433" ht="15.75" customHeight="1">
      <c r="C433" s="8"/>
      <c r="BD433" s="11"/>
      <c r="BR433" s="11"/>
      <c r="BY433" s="11"/>
      <c r="CF433" s="11"/>
      <c r="CM433" s="11"/>
      <c r="CT433" s="11"/>
      <c r="DA433" s="11"/>
      <c r="DH433" s="11"/>
      <c r="DO433" s="11"/>
    </row>
    <row r="434" ht="15.75" customHeight="1">
      <c r="C434" s="8"/>
      <c r="BD434" s="11"/>
      <c r="BR434" s="11"/>
      <c r="BY434" s="11"/>
      <c r="CF434" s="11"/>
      <c r="CM434" s="11"/>
      <c r="CT434" s="11"/>
      <c r="DA434" s="11"/>
      <c r="DH434" s="11"/>
      <c r="DO434" s="11"/>
    </row>
    <row r="435" ht="15.75" customHeight="1">
      <c r="C435" s="8"/>
      <c r="BD435" s="11"/>
      <c r="BR435" s="11"/>
      <c r="BY435" s="11"/>
      <c r="CF435" s="11"/>
      <c r="CM435" s="11"/>
      <c r="CT435" s="11"/>
      <c r="DA435" s="11"/>
      <c r="DH435" s="11"/>
      <c r="DO435" s="11"/>
    </row>
    <row r="436" ht="15.75" customHeight="1">
      <c r="C436" s="8"/>
      <c r="BD436" s="11"/>
      <c r="BR436" s="11"/>
      <c r="BY436" s="11"/>
      <c r="CF436" s="11"/>
      <c r="CM436" s="11"/>
      <c r="CT436" s="11"/>
      <c r="DA436" s="11"/>
      <c r="DH436" s="11"/>
      <c r="DO436" s="11"/>
    </row>
    <row r="437" ht="15.75" customHeight="1">
      <c r="C437" s="8"/>
      <c r="BD437" s="11"/>
      <c r="BR437" s="11"/>
      <c r="BY437" s="11"/>
      <c r="CF437" s="11"/>
      <c r="CM437" s="11"/>
      <c r="CT437" s="11"/>
      <c r="DA437" s="11"/>
      <c r="DH437" s="11"/>
      <c r="DO437" s="11"/>
    </row>
    <row r="438" ht="15.75" customHeight="1">
      <c r="C438" s="8"/>
      <c r="BD438" s="11"/>
      <c r="BR438" s="11"/>
      <c r="BY438" s="11"/>
      <c r="CF438" s="11"/>
      <c r="CM438" s="11"/>
      <c r="CT438" s="11"/>
      <c r="DA438" s="11"/>
      <c r="DH438" s="11"/>
      <c r="DO438" s="11"/>
    </row>
    <row r="439" ht="15.75" customHeight="1">
      <c r="C439" s="8"/>
      <c r="BD439" s="11"/>
      <c r="BR439" s="11"/>
      <c r="BY439" s="11"/>
      <c r="CF439" s="11"/>
      <c r="CM439" s="11"/>
      <c r="CT439" s="11"/>
      <c r="DA439" s="11"/>
      <c r="DH439" s="11"/>
      <c r="DO439" s="11"/>
    </row>
    <row r="440" ht="15.75" customHeight="1">
      <c r="C440" s="8"/>
      <c r="BD440" s="11"/>
      <c r="BR440" s="11"/>
      <c r="BY440" s="11"/>
      <c r="CF440" s="11"/>
      <c r="CM440" s="11"/>
      <c r="CT440" s="11"/>
      <c r="DA440" s="11"/>
      <c r="DH440" s="11"/>
      <c r="DO440" s="11"/>
    </row>
    <row r="441" ht="15.75" customHeight="1">
      <c r="C441" s="8"/>
      <c r="BD441" s="11"/>
      <c r="BR441" s="11"/>
      <c r="BY441" s="11"/>
      <c r="CF441" s="11"/>
      <c r="CM441" s="11"/>
      <c r="CT441" s="11"/>
      <c r="DA441" s="11"/>
      <c r="DH441" s="11"/>
      <c r="DO441" s="11"/>
    </row>
    <row r="442" ht="15.75" customHeight="1">
      <c r="C442" s="8"/>
      <c r="BD442" s="11"/>
      <c r="BR442" s="11"/>
      <c r="BY442" s="11"/>
      <c r="CF442" s="11"/>
      <c r="CM442" s="11"/>
      <c r="CT442" s="11"/>
      <c r="DA442" s="11"/>
      <c r="DH442" s="11"/>
      <c r="DO442" s="11"/>
    </row>
    <row r="443" ht="15.75" customHeight="1">
      <c r="C443" s="8"/>
      <c r="BD443" s="11"/>
      <c r="BR443" s="11"/>
      <c r="BY443" s="11"/>
      <c r="CF443" s="11"/>
      <c r="CM443" s="11"/>
      <c r="CT443" s="11"/>
      <c r="DA443" s="11"/>
      <c r="DH443" s="11"/>
      <c r="DO443" s="11"/>
    </row>
    <row r="444" ht="15.75" customHeight="1">
      <c r="C444" s="8"/>
      <c r="BD444" s="11"/>
      <c r="BR444" s="11"/>
      <c r="BY444" s="11"/>
      <c r="CF444" s="11"/>
      <c r="CM444" s="11"/>
      <c r="CT444" s="11"/>
      <c r="DA444" s="11"/>
      <c r="DH444" s="11"/>
      <c r="DO444" s="11"/>
    </row>
    <row r="445" ht="15.75" customHeight="1">
      <c r="C445" s="8"/>
      <c r="BD445" s="11"/>
      <c r="BR445" s="11"/>
      <c r="BY445" s="11"/>
      <c r="CF445" s="11"/>
      <c r="CM445" s="11"/>
      <c r="CT445" s="11"/>
      <c r="DA445" s="11"/>
      <c r="DH445" s="11"/>
      <c r="DO445" s="11"/>
    </row>
    <row r="446" ht="15.75" customHeight="1">
      <c r="C446" s="8"/>
      <c r="BD446" s="11"/>
      <c r="BR446" s="11"/>
      <c r="BY446" s="11"/>
      <c r="CF446" s="11"/>
      <c r="CM446" s="11"/>
      <c r="CT446" s="11"/>
      <c r="DA446" s="11"/>
      <c r="DH446" s="11"/>
      <c r="DO446" s="11"/>
    </row>
    <row r="447" ht="15.75" customHeight="1">
      <c r="C447" s="8"/>
      <c r="BD447" s="11"/>
      <c r="BR447" s="11"/>
      <c r="BY447" s="11"/>
      <c r="CF447" s="11"/>
      <c r="CM447" s="11"/>
      <c r="CT447" s="11"/>
      <c r="DA447" s="11"/>
      <c r="DH447" s="11"/>
      <c r="DO447" s="11"/>
    </row>
    <row r="448" ht="15.75" customHeight="1">
      <c r="C448" s="8"/>
      <c r="BD448" s="11"/>
      <c r="BR448" s="11"/>
      <c r="BY448" s="11"/>
      <c r="CF448" s="11"/>
      <c r="CM448" s="11"/>
      <c r="CT448" s="11"/>
      <c r="DA448" s="11"/>
      <c r="DH448" s="11"/>
      <c r="DO448" s="11"/>
    </row>
    <row r="449" ht="15.75" customHeight="1">
      <c r="C449" s="8"/>
      <c r="BD449" s="11"/>
      <c r="BR449" s="11"/>
      <c r="BY449" s="11"/>
      <c r="CF449" s="11"/>
      <c r="CM449" s="11"/>
      <c r="CT449" s="11"/>
      <c r="DA449" s="11"/>
      <c r="DH449" s="11"/>
      <c r="DO449" s="11"/>
    </row>
    <row r="450" ht="15.75" customHeight="1">
      <c r="C450" s="8"/>
      <c r="BD450" s="11"/>
      <c r="BR450" s="11"/>
      <c r="BY450" s="11"/>
      <c r="CF450" s="11"/>
      <c r="CM450" s="11"/>
      <c r="CT450" s="11"/>
      <c r="DA450" s="11"/>
      <c r="DH450" s="11"/>
      <c r="DO450" s="11"/>
    </row>
    <row r="451" ht="15.75" customHeight="1">
      <c r="C451" s="8"/>
      <c r="BD451" s="11"/>
      <c r="BR451" s="11"/>
      <c r="BY451" s="11"/>
      <c r="CF451" s="11"/>
      <c r="CM451" s="11"/>
      <c r="CT451" s="11"/>
      <c r="DA451" s="11"/>
      <c r="DH451" s="11"/>
      <c r="DO451" s="11"/>
    </row>
    <row r="452" ht="15.75" customHeight="1">
      <c r="C452" s="8"/>
      <c r="BD452" s="11"/>
      <c r="BR452" s="11"/>
      <c r="BY452" s="11"/>
      <c r="CF452" s="11"/>
      <c r="CM452" s="11"/>
      <c r="CT452" s="11"/>
      <c r="DA452" s="11"/>
      <c r="DH452" s="11"/>
      <c r="DO452" s="11"/>
    </row>
    <row r="453" ht="15.75" customHeight="1">
      <c r="C453" s="8"/>
      <c r="BD453" s="11"/>
      <c r="BR453" s="11"/>
      <c r="BY453" s="11"/>
      <c r="CF453" s="11"/>
      <c r="CM453" s="11"/>
      <c r="CT453" s="11"/>
      <c r="DA453" s="11"/>
      <c r="DH453" s="11"/>
      <c r="DO453" s="11"/>
    </row>
    <row r="454" ht="15.75" customHeight="1">
      <c r="C454" s="8"/>
      <c r="BD454" s="11"/>
      <c r="BR454" s="11"/>
      <c r="BY454" s="11"/>
      <c r="CF454" s="11"/>
      <c r="CM454" s="11"/>
      <c r="CT454" s="11"/>
      <c r="DA454" s="11"/>
      <c r="DH454" s="11"/>
      <c r="DO454" s="11"/>
    </row>
    <row r="455" ht="15.75" customHeight="1">
      <c r="C455" s="8"/>
      <c r="BD455" s="11"/>
      <c r="BR455" s="11"/>
      <c r="BY455" s="11"/>
      <c r="CF455" s="11"/>
      <c r="CM455" s="11"/>
      <c r="CT455" s="11"/>
      <c r="DA455" s="11"/>
      <c r="DH455" s="11"/>
      <c r="DO455" s="11"/>
    </row>
    <row r="456" ht="15.75" customHeight="1">
      <c r="C456" s="8"/>
      <c r="BD456" s="11"/>
      <c r="BR456" s="11"/>
      <c r="BY456" s="11"/>
      <c r="CF456" s="11"/>
      <c r="CM456" s="11"/>
      <c r="CT456" s="11"/>
      <c r="DA456" s="11"/>
      <c r="DH456" s="11"/>
      <c r="DO456" s="11"/>
    </row>
    <row r="457" ht="15.75" customHeight="1">
      <c r="C457" s="8"/>
      <c r="BD457" s="11"/>
      <c r="BR457" s="11"/>
      <c r="BY457" s="11"/>
      <c r="CF457" s="11"/>
      <c r="CM457" s="11"/>
      <c r="CT457" s="11"/>
      <c r="DA457" s="11"/>
      <c r="DH457" s="11"/>
      <c r="DO457" s="11"/>
    </row>
    <row r="458" ht="15.75" customHeight="1">
      <c r="C458" s="8"/>
      <c r="BD458" s="11"/>
      <c r="BR458" s="11"/>
      <c r="BY458" s="11"/>
      <c r="CF458" s="11"/>
      <c r="CM458" s="11"/>
      <c r="CT458" s="11"/>
      <c r="DA458" s="11"/>
      <c r="DH458" s="11"/>
      <c r="DO458" s="11"/>
    </row>
    <row r="459" ht="15.75" customHeight="1">
      <c r="C459" s="8"/>
      <c r="BD459" s="11"/>
      <c r="BR459" s="11"/>
      <c r="BY459" s="11"/>
      <c r="CF459" s="11"/>
      <c r="CM459" s="11"/>
      <c r="CT459" s="11"/>
      <c r="DA459" s="11"/>
      <c r="DH459" s="11"/>
      <c r="DO459" s="11"/>
    </row>
    <row r="460" ht="15.75" customHeight="1">
      <c r="C460" s="8"/>
      <c r="BD460" s="11"/>
      <c r="BR460" s="11"/>
      <c r="BY460" s="11"/>
      <c r="CF460" s="11"/>
      <c r="CM460" s="11"/>
      <c r="CT460" s="11"/>
      <c r="DA460" s="11"/>
      <c r="DH460" s="11"/>
      <c r="DO460" s="11"/>
    </row>
    <row r="461" ht="15.75" customHeight="1">
      <c r="C461" s="8"/>
      <c r="BD461" s="11"/>
      <c r="BR461" s="11"/>
      <c r="BY461" s="11"/>
      <c r="CF461" s="11"/>
      <c r="CM461" s="11"/>
      <c r="CT461" s="11"/>
      <c r="DA461" s="11"/>
      <c r="DH461" s="11"/>
      <c r="DO461" s="11"/>
    </row>
    <row r="462" ht="15.75" customHeight="1">
      <c r="C462" s="8"/>
      <c r="BD462" s="11"/>
      <c r="BR462" s="11"/>
      <c r="BY462" s="11"/>
      <c r="CF462" s="11"/>
      <c r="CM462" s="11"/>
      <c r="CT462" s="11"/>
      <c r="DA462" s="11"/>
      <c r="DH462" s="11"/>
      <c r="DO462" s="11"/>
    </row>
    <row r="463" ht="15.75" customHeight="1">
      <c r="C463" s="8"/>
      <c r="BD463" s="11"/>
      <c r="BR463" s="11"/>
      <c r="BY463" s="11"/>
      <c r="CF463" s="11"/>
      <c r="CM463" s="11"/>
      <c r="CT463" s="11"/>
      <c r="DA463" s="11"/>
      <c r="DH463" s="11"/>
      <c r="DO463" s="11"/>
    </row>
    <row r="464" ht="15.75" customHeight="1">
      <c r="C464" s="8"/>
      <c r="BD464" s="11"/>
      <c r="BR464" s="11"/>
      <c r="BY464" s="11"/>
      <c r="CF464" s="11"/>
      <c r="CM464" s="11"/>
      <c r="CT464" s="11"/>
      <c r="DA464" s="11"/>
      <c r="DH464" s="11"/>
      <c r="DO464" s="11"/>
    </row>
    <row r="465" ht="15.75" customHeight="1">
      <c r="C465" s="8"/>
      <c r="BD465" s="11"/>
      <c r="BR465" s="11"/>
      <c r="BY465" s="11"/>
      <c r="CF465" s="11"/>
      <c r="CM465" s="11"/>
      <c r="CT465" s="11"/>
      <c r="DA465" s="11"/>
      <c r="DH465" s="11"/>
      <c r="DO465" s="11"/>
    </row>
    <row r="466" ht="15.75" customHeight="1">
      <c r="C466" s="8"/>
      <c r="BD466" s="11"/>
      <c r="BR466" s="11"/>
      <c r="BY466" s="11"/>
      <c r="CF466" s="11"/>
      <c r="CM466" s="11"/>
      <c r="CT466" s="11"/>
      <c r="DA466" s="11"/>
      <c r="DH466" s="11"/>
      <c r="DO466" s="11"/>
    </row>
    <row r="467" ht="15.75" customHeight="1">
      <c r="C467" s="8"/>
      <c r="BD467" s="11"/>
      <c r="BR467" s="11"/>
      <c r="BY467" s="11"/>
      <c r="CF467" s="11"/>
      <c r="CM467" s="11"/>
      <c r="CT467" s="11"/>
      <c r="DA467" s="11"/>
      <c r="DH467" s="11"/>
      <c r="DO467" s="11"/>
    </row>
    <row r="468" ht="15.75" customHeight="1">
      <c r="C468" s="8"/>
      <c r="BD468" s="11"/>
      <c r="BR468" s="11"/>
      <c r="BY468" s="11"/>
      <c r="CF468" s="11"/>
      <c r="CM468" s="11"/>
      <c r="CT468" s="11"/>
      <c r="DA468" s="11"/>
      <c r="DH468" s="11"/>
      <c r="DO468" s="11"/>
    </row>
    <row r="469" ht="15.75" customHeight="1">
      <c r="C469" s="8"/>
      <c r="BD469" s="11"/>
      <c r="BR469" s="11"/>
      <c r="BY469" s="11"/>
      <c r="CF469" s="11"/>
      <c r="CM469" s="11"/>
      <c r="CT469" s="11"/>
      <c r="DA469" s="11"/>
      <c r="DH469" s="11"/>
      <c r="DO469" s="11"/>
    </row>
    <row r="470" ht="15.75" customHeight="1">
      <c r="C470" s="8"/>
      <c r="BD470" s="11"/>
      <c r="BR470" s="11"/>
      <c r="BY470" s="11"/>
      <c r="CF470" s="11"/>
      <c r="CM470" s="11"/>
      <c r="CT470" s="11"/>
      <c r="DA470" s="11"/>
      <c r="DH470" s="11"/>
      <c r="DO470" s="11"/>
    </row>
    <row r="471" ht="15.75" customHeight="1">
      <c r="C471" s="8"/>
      <c r="BD471" s="11"/>
      <c r="BR471" s="11"/>
      <c r="BY471" s="11"/>
      <c r="CF471" s="11"/>
      <c r="CM471" s="11"/>
      <c r="CT471" s="11"/>
      <c r="DA471" s="11"/>
      <c r="DH471" s="11"/>
      <c r="DO471" s="11"/>
    </row>
    <row r="472" ht="15.75" customHeight="1">
      <c r="C472" s="8"/>
      <c r="BD472" s="11"/>
      <c r="BR472" s="11"/>
      <c r="BY472" s="11"/>
      <c r="CF472" s="11"/>
      <c r="CM472" s="11"/>
      <c r="CT472" s="11"/>
      <c r="DA472" s="11"/>
      <c r="DH472" s="11"/>
      <c r="DO472" s="11"/>
    </row>
    <row r="473" ht="15.75" customHeight="1">
      <c r="C473" s="8"/>
      <c r="BD473" s="11"/>
      <c r="BR473" s="11"/>
      <c r="BY473" s="11"/>
      <c r="CF473" s="11"/>
      <c r="CM473" s="11"/>
      <c r="CT473" s="11"/>
      <c r="DA473" s="11"/>
      <c r="DH473" s="11"/>
      <c r="DO473" s="11"/>
    </row>
    <row r="474" ht="15.75" customHeight="1">
      <c r="C474" s="8"/>
      <c r="BD474" s="11"/>
      <c r="BR474" s="11"/>
      <c r="BY474" s="11"/>
      <c r="CF474" s="11"/>
      <c r="CM474" s="11"/>
      <c r="CT474" s="11"/>
      <c r="DA474" s="11"/>
      <c r="DH474" s="11"/>
      <c r="DO474" s="11"/>
    </row>
    <row r="475" ht="15.75" customHeight="1">
      <c r="C475" s="8"/>
      <c r="BD475" s="11"/>
      <c r="BR475" s="11"/>
      <c r="BY475" s="11"/>
      <c r="CF475" s="11"/>
      <c r="CM475" s="11"/>
      <c r="CT475" s="11"/>
      <c r="DA475" s="11"/>
      <c r="DH475" s="11"/>
      <c r="DO475" s="11"/>
    </row>
    <row r="476" ht="15.75" customHeight="1">
      <c r="C476" s="8"/>
      <c r="BD476" s="11"/>
      <c r="BR476" s="11"/>
      <c r="BY476" s="11"/>
      <c r="CF476" s="11"/>
      <c r="CM476" s="11"/>
      <c r="CT476" s="11"/>
      <c r="DA476" s="11"/>
      <c r="DH476" s="11"/>
      <c r="DO476" s="11"/>
    </row>
    <row r="477" ht="15.75" customHeight="1">
      <c r="C477" s="8"/>
      <c r="BD477" s="11"/>
      <c r="BR477" s="11"/>
      <c r="BY477" s="11"/>
      <c r="CF477" s="11"/>
      <c r="CM477" s="11"/>
      <c r="CT477" s="11"/>
      <c r="DA477" s="11"/>
      <c r="DH477" s="11"/>
      <c r="DO477" s="11"/>
    </row>
    <row r="478" ht="15.75" customHeight="1">
      <c r="C478" s="8"/>
      <c r="BD478" s="11"/>
      <c r="BR478" s="11"/>
      <c r="BY478" s="11"/>
      <c r="CF478" s="11"/>
      <c r="CM478" s="11"/>
      <c r="CT478" s="11"/>
      <c r="DA478" s="11"/>
      <c r="DH478" s="11"/>
      <c r="DO478" s="11"/>
    </row>
    <row r="479" ht="15.75" customHeight="1">
      <c r="C479" s="8"/>
      <c r="BD479" s="11"/>
      <c r="BR479" s="11"/>
      <c r="BY479" s="11"/>
      <c r="CF479" s="11"/>
      <c r="CM479" s="11"/>
      <c r="CT479" s="11"/>
      <c r="DA479" s="11"/>
      <c r="DH479" s="11"/>
      <c r="DO479" s="11"/>
    </row>
    <row r="480" ht="15.75" customHeight="1">
      <c r="C480" s="8"/>
      <c r="BD480" s="11"/>
      <c r="BR480" s="11"/>
      <c r="BY480" s="11"/>
      <c r="CF480" s="11"/>
      <c r="CM480" s="11"/>
      <c r="CT480" s="11"/>
      <c r="DA480" s="11"/>
      <c r="DH480" s="11"/>
      <c r="DO480" s="11"/>
    </row>
    <row r="481" ht="15.75" customHeight="1">
      <c r="C481" s="8"/>
      <c r="BD481" s="11"/>
      <c r="BR481" s="11"/>
      <c r="BY481" s="11"/>
      <c r="CF481" s="11"/>
      <c r="CM481" s="11"/>
      <c r="CT481" s="11"/>
      <c r="DA481" s="11"/>
      <c r="DH481" s="11"/>
      <c r="DO481" s="11"/>
    </row>
    <row r="482" ht="15.75" customHeight="1">
      <c r="C482" s="8"/>
      <c r="BD482" s="11"/>
      <c r="BR482" s="11"/>
      <c r="BY482" s="11"/>
      <c r="CF482" s="11"/>
      <c r="CM482" s="11"/>
      <c r="CT482" s="11"/>
      <c r="DA482" s="11"/>
      <c r="DH482" s="11"/>
      <c r="DO482" s="11"/>
    </row>
    <row r="483" ht="15.75" customHeight="1">
      <c r="C483" s="8"/>
      <c r="BD483" s="11"/>
      <c r="BR483" s="11"/>
      <c r="BY483" s="11"/>
      <c r="CF483" s="11"/>
      <c r="CM483" s="11"/>
      <c r="CT483" s="11"/>
      <c r="DA483" s="11"/>
      <c r="DH483" s="11"/>
      <c r="DO483" s="11"/>
    </row>
    <row r="484" ht="15.75" customHeight="1">
      <c r="C484" s="8"/>
      <c r="BD484" s="11"/>
      <c r="BR484" s="11"/>
      <c r="BY484" s="11"/>
      <c r="CF484" s="11"/>
      <c r="CM484" s="11"/>
      <c r="CT484" s="11"/>
      <c r="DA484" s="11"/>
      <c r="DH484" s="11"/>
      <c r="DO484" s="11"/>
    </row>
    <row r="485" ht="15.75" customHeight="1">
      <c r="C485" s="8"/>
      <c r="BD485" s="11"/>
      <c r="BR485" s="11"/>
      <c r="BY485" s="11"/>
      <c r="CF485" s="11"/>
      <c r="CM485" s="11"/>
      <c r="CT485" s="11"/>
      <c r="DA485" s="11"/>
      <c r="DH485" s="11"/>
      <c r="DO485" s="11"/>
    </row>
    <row r="486" ht="15.75" customHeight="1">
      <c r="C486" s="8"/>
      <c r="BD486" s="11"/>
      <c r="BR486" s="11"/>
      <c r="BY486" s="11"/>
      <c r="CF486" s="11"/>
      <c r="CM486" s="11"/>
      <c r="CT486" s="11"/>
      <c r="DA486" s="11"/>
      <c r="DH486" s="11"/>
      <c r="DO486" s="11"/>
    </row>
    <row r="487" ht="15.75" customHeight="1">
      <c r="C487" s="8"/>
      <c r="BD487" s="11"/>
      <c r="BR487" s="11"/>
      <c r="BY487" s="11"/>
      <c r="CF487" s="11"/>
      <c r="CM487" s="11"/>
      <c r="CT487" s="11"/>
      <c r="DA487" s="11"/>
      <c r="DH487" s="11"/>
      <c r="DO487" s="11"/>
    </row>
    <row r="488" ht="15.75" customHeight="1">
      <c r="C488" s="8"/>
      <c r="BD488" s="11"/>
      <c r="BR488" s="11"/>
      <c r="BY488" s="11"/>
      <c r="CF488" s="11"/>
      <c r="CM488" s="11"/>
      <c r="CT488" s="11"/>
      <c r="DA488" s="11"/>
      <c r="DH488" s="11"/>
      <c r="DO488" s="11"/>
    </row>
    <row r="489" ht="15.75" customHeight="1">
      <c r="C489" s="8"/>
      <c r="BD489" s="11"/>
      <c r="BR489" s="11"/>
      <c r="BY489" s="11"/>
      <c r="CF489" s="11"/>
      <c r="CM489" s="11"/>
      <c r="CT489" s="11"/>
      <c r="DA489" s="11"/>
      <c r="DH489" s="11"/>
      <c r="DO489" s="11"/>
    </row>
    <row r="490" ht="15.75" customHeight="1">
      <c r="C490" s="8"/>
      <c r="BD490" s="11"/>
      <c r="BR490" s="11"/>
      <c r="BY490" s="11"/>
      <c r="CF490" s="11"/>
      <c r="CM490" s="11"/>
      <c r="CT490" s="11"/>
      <c r="DA490" s="11"/>
      <c r="DH490" s="11"/>
      <c r="DO490" s="11"/>
    </row>
    <row r="491" ht="15.75" customHeight="1">
      <c r="C491" s="8"/>
      <c r="BD491" s="11"/>
      <c r="BR491" s="11"/>
      <c r="BY491" s="11"/>
      <c r="CF491" s="11"/>
      <c r="CM491" s="11"/>
      <c r="CT491" s="11"/>
      <c r="DA491" s="11"/>
      <c r="DH491" s="11"/>
      <c r="DO491" s="11"/>
    </row>
    <row r="492" ht="15.75" customHeight="1">
      <c r="C492" s="8"/>
      <c r="BD492" s="11"/>
      <c r="BR492" s="11"/>
      <c r="BY492" s="11"/>
      <c r="CF492" s="11"/>
      <c r="CM492" s="11"/>
      <c r="CT492" s="11"/>
      <c r="DA492" s="11"/>
      <c r="DH492" s="11"/>
      <c r="DO492" s="11"/>
    </row>
    <row r="493" ht="15.75" customHeight="1">
      <c r="C493" s="8"/>
      <c r="BD493" s="11"/>
      <c r="BR493" s="11"/>
      <c r="BY493" s="11"/>
      <c r="CF493" s="11"/>
      <c r="CM493" s="11"/>
      <c r="CT493" s="11"/>
      <c r="DA493" s="11"/>
      <c r="DH493" s="11"/>
      <c r="DO493" s="11"/>
    </row>
    <row r="494" ht="15.75" customHeight="1">
      <c r="C494" s="8"/>
      <c r="BD494" s="11"/>
      <c r="BR494" s="11"/>
      <c r="BY494" s="11"/>
      <c r="CF494" s="11"/>
      <c r="CM494" s="11"/>
      <c r="CT494" s="11"/>
      <c r="DA494" s="11"/>
      <c r="DH494" s="11"/>
      <c r="DO494" s="11"/>
    </row>
    <row r="495" ht="15.75" customHeight="1">
      <c r="C495" s="8"/>
      <c r="BD495" s="11"/>
      <c r="BR495" s="11"/>
      <c r="BY495" s="11"/>
      <c r="CF495" s="11"/>
      <c r="CM495" s="11"/>
      <c r="CT495" s="11"/>
      <c r="DA495" s="11"/>
      <c r="DH495" s="11"/>
      <c r="DO495" s="11"/>
    </row>
    <row r="496" ht="15.75" customHeight="1">
      <c r="C496" s="8"/>
      <c r="BD496" s="11"/>
      <c r="BR496" s="11"/>
      <c r="BY496" s="11"/>
      <c r="CF496" s="11"/>
      <c r="CM496" s="11"/>
      <c r="CT496" s="11"/>
      <c r="DA496" s="11"/>
      <c r="DH496" s="11"/>
      <c r="DO496" s="11"/>
    </row>
    <row r="497" ht="15.75" customHeight="1">
      <c r="C497" s="8"/>
      <c r="BD497" s="11"/>
      <c r="BR497" s="11"/>
      <c r="BY497" s="11"/>
      <c r="CF497" s="11"/>
      <c r="CM497" s="11"/>
      <c r="CT497" s="11"/>
      <c r="DA497" s="11"/>
      <c r="DH497" s="11"/>
      <c r="DO497" s="11"/>
    </row>
    <row r="498" ht="15.75" customHeight="1">
      <c r="C498" s="8"/>
      <c r="BD498" s="11"/>
      <c r="BR498" s="11"/>
      <c r="BY498" s="11"/>
      <c r="CF498" s="11"/>
      <c r="CM498" s="11"/>
      <c r="CT498" s="11"/>
      <c r="DA498" s="11"/>
      <c r="DH498" s="11"/>
      <c r="DO498" s="11"/>
    </row>
    <row r="499" ht="15.75" customHeight="1">
      <c r="C499" s="8"/>
      <c r="BD499" s="11"/>
      <c r="BR499" s="11"/>
      <c r="BY499" s="11"/>
      <c r="CF499" s="11"/>
      <c r="CM499" s="11"/>
      <c r="CT499" s="11"/>
      <c r="DA499" s="11"/>
      <c r="DH499" s="11"/>
      <c r="DO499" s="11"/>
    </row>
    <row r="500" ht="15.75" customHeight="1">
      <c r="C500" s="8"/>
      <c r="BD500" s="11"/>
      <c r="BR500" s="11"/>
      <c r="BY500" s="11"/>
      <c r="CF500" s="11"/>
      <c r="CM500" s="11"/>
      <c r="CT500" s="11"/>
      <c r="DA500" s="11"/>
      <c r="DH500" s="11"/>
      <c r="DO500" s="11"/>
    </row>
    <row r="501" ht="15.75" customHeight="1">
      <c r="C501" s="8"/>
      <c r="BD501" s="11"/>
      <c r="BR501" s="11"/>
      <c r="BY501" s="11"/>
      <c r="CF501" s="11"/>
      <c r="CM501" s="11"/>
      <c r="CT501" s="11"/>
      <c r="DA501" s="11"/>
      <c r="DH501" s="11"/>
      <c r="DO501" s="11"/>
    </row>
    <row r="502" ht="15.75" customHeight="1">
      <c r="C502" s="8"/>
      <c r="BD502" s="11"/>
      <c r="BR502" s="11"/>
      <c r="BY502" s="11"/>
      <c r="CF502" s="11"/>
      <c r="CM502" s="11"/>
      <c r="CT502" s="11"/>
      <c r="DA502" s="11"/>
      <c r="DH502" s="11"/>
      <c r="DO502" s="11"/>
    </row>
    <row r="503" ht="15.75" customHeight="1">
      <c r="C503" s="8"/>
      <c r="BD503" s="11"/>
      <c r="BR503" s="11"/>
      <c r="BY503" s="11"/>
      <c r="CF503" s="11"/>
      <c r="CM503" s="11"/>
      <c r="CT503" s="11"/>
      <c r="DA503" s="11"/>
      <c r="DH503" s="11"/>
      <c r="DO503" s="11"/>
    </row>
    <row r="504" ht="15.75" customHeight="1">
      <c r="C504" s="8"/>
      <c r="BD504" s="11"/>
      <c r="BR504" s="11"/>
      <c r="BY504" s="11"/>
      <c r="CF504" s="11"/>
      <c r="CM504" s="11"/>
      <c r="CT504" s="11"/>
      <c r="DA504" s="11"/>
      <c r="DH504" s="11"/>
      <c r="DO504" s="11"/>
    </row>
    <row r="505" ht="15.75" customHeight="1">
      <c r="C505" s="8"/>
      <c r="BD505" s="11"/>
      <c r="BR505" s="11"/>
      <c r="BY505" s="11"/>
      <c r="CF505" s="11"/>
      <c r="CM505" s="11"/>
      <c r="CT505" s="11"/>
      <c r="DA505" s="11"/>
      <c r="DH505" s="11"/>
      <c r="DO505" s="11"/>
    </row>
    <row r="506" ht="15.75" customHeight="1">
      <c r="C506" s="8"/>
      <c r="BD506" s="11"/>
      <c r="BR506" s="11"/>
      <c r="BY506" s="11"/>
      <c r="CF506" s="11"/>
      <c r="CM506" s="11"/>
      <c r="CT506" s="11"/>
      <c r="DA506" s="11"/>
      <c r="DH506" s="11"/>
      <c r="DO506" s="11"/>
    </row>
    <row r="507" ht="15.75" customHeight="1">
      <c r="C507" s="8"/>
      <c r="BD507" s="11"/>
      <c r="BR507" s="11"/>
      <c r="BY507" s="11"/>
      <c r="CF507" s="11"/>
      <c r="CM507" s="11"/>
      <c r="CT507" s="11"/>
      <c r="DA507" s="11"/>
      <c r="DH507" s="11"/>
      <c r="DO507" s="11"/>
    </row>
    <row r="508" ht="15.75" customHeight="1">
      <c r="C508" s="8"/>
      <c r="BD508" s="11"/>
      <c r="BR508" s="11"/>
      <c r="BY508" s="11"/>
      <c r="CF508" s="11"/>
      <c r="CM508" s="11"/>
      <c r="CT508" s="11"/>
      <c r="DA508" s="11"/>
      <c r="DH508" s="11"/>
      <c r="DO508" s="11"/>
    </row>
    <row r="509" ht="15.75" customHeight="1">
      <c r="C509" s="8"/>
      <c r="BD509" s="11"/>
      <c r="BR509" s="11"/>
      <c r="BY509" s="11"/>
      <c r="CF509" s="11"/>
      <c r="CM509" s="11"/>
      <c r="CT509" s="11"/>
      <c r="DA509" s="11"/>
      <c r="DH509" s="11"/>
      <c r="DO509" s="11"/>
    </row>
    <row r="510" ht="15.75" customHeight="1">
      <c r="C510" s="8"/>
      <c r="BD510" s="11"/>
      <c r="BR510" s="11"/>
      <c r="BY510" s="11"/>
      <c r="CF510" s="11"/>
      <c r="CM510" s="11"/>
      <c r="CT510" s="11"/>
      <c r="DA510" s="11"/>
      <c r="DH510" s="11"/>
      <c r="DO510" s="11"/>
    </row>
    <row r="511" ht="15.75" customHeight="1">
      <c r="C511" s="8"/>
      <c r="BD511" s="11"/>
      <c r="BR511" s="11"/>
      <c r="BY511" s="11"/>
      <c r="CF511" s="11"/>
      <c r="CM511" s="11"/>
      <c r="CT511" s="11"/>
      <c r="DA511" s="11"/>
      <c r="DH511" s="11"/>
      <c r="DO511" s="11"/>
    </row>
    <row r="512" ht="15.75" customHeight="1">
      <c r="C512" s="8"/>
      <c r="BD512" s="11"/>
      <c r="BR512" s="11"/>
      <c r="BY512" s="11"/>
      <c r="CF512" s="11"/>
      <c r="CM512" s="11"/>
      <c r="CT512" s="11"/>
      <c r="DA512" s="11"/>
      <c r="DH512" s="11"/>
      <c r="DO512" s="11"/>
    </row>
    <row r="513" ht="15.75" customHeight="1">
      <c r="C513" s="8"/>
      <c r="BD513" s="11"/>
      <c r="BR513" s="11"/>
      <c r="BY513" s="11"/>
      <c r="CF513" s="11"/>
      <c r="CM513" s="11"/>
      <c r="CT513" s="11"/>
      <c r="DA513" s="11"/>
      <c r="DH513" s="11"/>
      <c r="DO513" s="11"/>
    </row>
    <row r="514" ht="15.75" customHeight="1">
      <c r="C514" s="8"/>
      <c r="BD514" s="11"/>
      <c r="BR514" s="11"/>
      <c r="BY514" s="11"/>
      <c r="CF514" s="11"/>
      <c r="CM514" s="11"/>
      <c r="CT514" s="11"/>
      <c r="DA514" s="11"/>
      <c r="DH514" s="11"/>
      <c r="DO514" s="11"/>
    </row>
    <row r="515" ht="15.75" customHeight="1">
      <c r="C515" s="8"/>
      <c r="BD515" s="11"/>
      <c r="BR515" s="11"/>
      <c r="BY515" s="11"/>
      <c r="CF515" s="11"/>
      <c r="CM515" s="11"/>
      <c r="CT515" s="11"/>
      <c r="DA515" s="11"/>
      <c r="DH515" s="11"/>
      <c r="DO515" s="11"/>
    </row>
    <row r="516" ht="15.75" customHeight="1">
      <c r="C516" s="8"/>
      <c r="BD516" s="11"/>
      <c r="BR516" s="11"/>
      <c r="BY516" s="11"/>
      <c r="CF516" s="11"/>
      <c r="CM516" s="11"/>
      <c r="CT516" s="11"/>
      <c r="DA516" s="11"/>
      <c r="DH516" s="11"/>
      <c r="DO516" s="11"/>
    </row>
    <row r="517" ht="15.75" customHeight="1">
      <c r="C517" s="8"/>
      <c r="BD517" s="11"/>
      <c r="BR517" s="11"/>
      <c r="BY517" s="11"/>
      <c r="CF517" s="11"/>
      <c r="CM517" s="11"/>
      <c r="CT517" s="11"/>
      <c r="DA517" s="11"/>
      <c r="DH517" s="11"/>
      <c r="DO517" s="11"/>
    </row>
    <row r="518" ht="15.75" customHeight="1">
      <c r="C518" s="8"/>
      <c r="BD518" s="11"/>
      <c r="BR518" s="11"/>
      <c r="BY518" s="11"/>
      <c r="CF518" s="11"/>
      <c r="CM518" s="11"/>
      <c r="CT518" s="11"/>
      <c r="DA518" s="11"/>
      <c r="DH518" s="11"/>
      <c r="DO518" s="11"/>
    </row>
    <row r="519" ht="15.75" customHeight="1">
      <c r="C519" s="8"/>
      <c r="BD519" s="11"/>
      <c r="BR519" s="11"/>
      <c r="BY519" s="11"/>
      <c r="CF519" s="11"/>
      <c r="CM519" s="11"/>
      <c r="CT519" s="11"/>
      <c r="DA519" s="11"/>
      <c r="DH519" s="11"/>
      <c r="DO519" s="11"/>
    </row>
    <row r="520" ht="15.75" customHeight="1">
      <c r="C520" s="8"/>
      <c r="BD520" s="11"/>
      <c r="BR520" s="11"/>
      <c r="BY520" s="11"/>
      <c r="CF520" s="11"/>
      <c r="CM520" s="11"/>
      <c r="CT520" s="11"/>
      <c r="DA520" s="11"/>
      <c r="DH520" s="11"/>
      <c r="DO520" s="11"/>
    </row>
    <row r="521" ht="15.75" customHeight="1">
      <c r="C521" s="8"/>
      <c r="BD521" s="11"/>
      <c r="BR521" s="11"/>
      <c r="BY521" s="11"/>
      <c r="CF521" s="11"/>
      <c r="CM521" s="11"/>
      <c r="CT521" s="11"/>
      <c r="DA521" s="11"/>
      <c r="DH521" s="11"/>
      <c r="DO521" s="11"/>
    </row>
    <row r="522" ht="15.75" customHeight="1">
      <c r="C522" s="8"/>
      <c r="BD522" s="11"/>
      <c r="BR522" s="11"/>
      <c r="BY522" s="11"/>
      <c r="CF522" s="11"/>
      <c r="CM522" s="11"/>
      <c r="CT522" s="11"/>
      <c r="DA522" s="11"/>
      <c r="DH522" s="11"/>
      <c r="DO522" s="11"/>
    </row>
    <row r="523" ht="15.75" customHeight="1">
      <c r="C523" s="8"/>
      <c r="BD523" s="11"/>
      <c r="BR523" s="11"/>
      <c r="BY523" s="11"/>
      <c r="CF523" s="11"/>
      <c r="CM523" s="11"/>
      <c r="CT523" s="11"/>
      <c r="DA523" s="11"/>
      <c r="DH523" s="11"/>
      <c r="DO523" s="11"/>
    </row>
    <row r="524" ht="15.75" customHeight="1">
      <c r="C524" s="8"/>
      <c r="BD524" s="11"/>
      <c r="BR524" s="11"/>
      <c r="BY524" s="11"/>
      <c r="CF524" s="11"/>
      <c r="CM524" s="11"/>
      <c r="CT524" s="11"/>
      <c r="DA524" s="11"/>
      <c r="DH524" s="11"/>
      <c r="DO524" s="11"/>
    </row>
    <row r="525" ht="15.75" customHeight="1">
      <c r="C525" s="8"/>
      <c r="BD525" s="11"/>
      <c r="BR525" s="11"/>
      <c r="BY525" s="11"/>
      <c r="CF525" s="11"/>
      <c r="CM525" s="11"/>
      <c r="CT525" s="11"/>
      <c r="DA525" s="11"/>
      <c r="DH525" s="11"/>
      <c r="DO525" s="11"/>
    </row>
    <row r="526" ht="15.75" customHeight="1">
      <c r="C526" s="8"/>
      <c r="BD526" s="11"/>
      <c r="BR526" s="11"/>
      <c r="BY526" s="11"/>
      <c r="CF526" s="11"/>
      <c r="CM526" s="11"/>
      <c r="CT526" s="11"/>
      <c r="DA526" s="11"/>
      <c r="DH526" s="11"/>
      <c r="DO526" s="11"/>
    </row>
    <row r="527" ht="15.75" customHeight="1">
      <c r="C527" s="8"/>
      <c r="BD527" s="11"/>
      <c r="BR527" s="11"/>
      <c r="BY527" s="11"/>
      <c r="CF527" s="11"/>
      <c r="CM527" s="11"/>
      <c r="CT527" s="11"/>
      <c r="DA527" s="11"/>
      <c r="DH527" s="11"/>
      <c r="DO527" s="11"/>
    </row>
    <row r="528" ht="15.75" customHeight="1">
      <c r="C528" s="8"/>
      <c r="BD528" s="11"/>
      <c r="BR528" s="11"/>
      <c r="BY528" s="11"/>
      <c r="CF528" s="11"/>
      <c r="CM528" s="11"/>
      <c r="CT528" s="11"/>
      <c r="DA528" s="11"/>
      <c r="DH528" s="11"/>
      <c r="DO528" s="11"/>
    </row>
    <row r="529" ht="15.75" customHeight="1">
      <c r="C529" s="8"/>
      <c r="BD529" s="11"/>
      <c r="BR529" s="11"/>
      <c r="BY529" s="11"/>
      <c r="CF529" s="11"/>
      <c r="CM529" s="11"/>
      <c r="CT529" s="11"/>
      <c r="DA529" s="11"/>
      <c r="DH529" s="11"/>
      <c r="DO529" s="11"/>
    </row>
    <row r="530" ht="15.75" customHeight="1">
      <c r="C530" s="8"/>
      <c r="BD530" s="11"/>
      <c r="BR530" s="11"/>
      <c r="BY530" s="11"/>
      <c r="CF530" s="11"/>
      <c r="CM530" s="11"/>
      <c r="CT530" s="11"/>
      <c r="DA530" s="11"/>
      <c r="DH530" s="11"/>
      <c r="DO530" s="11"/>
    </row>
    <row r="531" ht="15.75" customHeight="1">
      <c r="C531" s="8"/>
      <c r="BD531" s="11"/>
      <c r="BR531" s="11"/>
      <c r="BY531" s="11"/>
      <c r="CF531" s="11"/>
      <c r="CM531" s="11"/>
      <c r="CT531" s="11"/>
      <c r="DA531" s="11"/>
      <c r="DH531" s="11"/>
      <c r="DO531" s="11"/>
    </row>
    <row r="532" ht="15.75" customHeight="1">
      <c r="C532" s="8"/>
      <c r="BD532" s="11"/>
      <c r="BR532" s="11"/>
      <c r="BY532" s="11"/>
      <c r="CF532" s="11"/>
      <c r="CM532" s="11"/>
      <c r="CT532" s="11"/>
      <c r="DA532" s="11"/>
      <c r="DH532" s="11"/>
      <c r="DO532" s="11"/>
    </row>
    <row r="533" ht="15.75" customHeight="1">
      <c r="C533" s="8"/>
      <c r="BD533" s="11"/>
      <c r="BR533" s="11"/>
      <c r="BY533" s="11"/>
      <c r="CF533" s="11"/>
      <c r="CM533" s="11"/>
      <c r="CT533" s="11"/>
      <c r="DA533" s="11"/>
      <c r="DH533" s="11"/>
      <c r="DO533" s="11"/>
    </row>
    <row r="534" ht="15.75" customHeight="1">
      <c r="C534" s="8"/>
      <c r="BD534" s="11"/>
      <c r="BR534" s="11"/>
      <c r="BY534" s="11"/>
      <c r="CF534" s="11"/>
      <c r="CM534" s="11"/>
      <c r="CT534" s="11"/>
      <c r="DA534" s="11"/>
      <c r="DH534" s="11"/>
      <c r="DO534" s="11"/>
    </row>
    <row r="535" ht="15.75" customHeight="1">
      <c r="C535" s="8"/>
      <c r="BD535" s="11"/>
      <c r="BR535" s="11"/>
      <c r="BY535" s="11"/>
      <c r="CF535" s="11"/>
      <c r="CM535" s="11"/>
      <c r="CT535" s="11"/>
      <c r="DA535" s="11"/>
      <c r="DH535" s="11"/>
      <c r="DO535" s="11"/>
    </row>
    <row r="536" ht="15.75" customHeight="1">
      <c r="C536" s="8"/>
      <c r="BD536" s="11"/>
      <c r="BR536" s="11"/>
      <c r="BY536" s="11"/>
      <c r="CF536" s="11"/>
      <c r="CM536" s="11"/>
      <c r="CT536" s="11"/>
      <c r="DA536" s="11"/>
      <c r="DH536" s="11"/>
      <c r="DO536" s="11"/>
    </row>
    <row r="537" ht="15.75" customHeight="1">
      <c r="C537" s="8"/>
      <c r="BD537" s="11"/>
      <c r="BR537" s="11"/>
      <c r="BY537" s="11"/>
      <c r="CF537" s="11"/>
      <c r="CM537" s="11"/>
      <c r="CT537" s="11"/>
      <c r="DA537" s="11"/>
      <c r="DH537" s="11"/>
      <c r="DO537" s="11"/>
    </row>
    <row r="538" ht="15.75" customHeight="1">
      <c r="C538" s="8"/>
      <c r="BD538" s="11"/>
      <c r="BR538" s="11"/>
      <c r="BY538" s="11"/>
      <c r="CF538" s="11"/>
      <c r="CM538" s="11"/>
      <c r="CT538" s="11"/>
      <c r="DA538" s="11"/>
      <c r="DH538" s="11"/>
      <c r="DO538" s="11"/>
    </row>
    <row r="539" ht="15.75" customHeight="1">
      <c r="C539" s="8"/>
      <c r="BD539" s="11"/>
      <c r="BR539" s="11"/>
      <c r="BY539" s="11"/>
      <c r="CF539" s="11"/>
      <c r="CM539" s="11"/>
      <c r="CT539" s="11"/>
      <c r="DA539" s="11"/>
      <c r="DH539" s="11"/>
      <c r="DO539" s="11"/>
    </row>
    <row r="540" ht="15.75" customHeight="1">
      <c r="C540" s="8"/>
      <c r="BD540" s="11"/>
      <c r="BR540" s="11"/>
      <c r="BY540" s="11"/>
      <c r="CF540" s="11"/>
      <c r="CM540" s="11"/>
      <c r="CT540" s="11"/>
      <c r="DA540" s="11"/>
      <c r="DH540" s="11"/>
      <c r="DO540" s="11"/>
    </row>
    <row r="541" ht="15.75" customHeight="1">
      <c r="C541" s="8"/>
      <c r="BD541" s="11"/>
      <c r="BR541" s="11"/>
      <c r="BY541" s="11"/>
      <c r="CF541" s="11"/>
      <c r="CM541" s="11"/>
      <c r="CT541" s="11"/>
      <c r="DA541" s="11"/>
      <c r="DH541" s="11"/>
      <c r="DO541" s="11"/>
    </row>
    <row r="542" ht="15.75" customHeight="1">
      <c r="C542" s="8"/>
      <c r="BD542" s="11"/>
      <c r="BR542" s="11"/>
      <c r="BY542" s="11"/>
      <c r="CF542" s="11"/>
      <c r="CM542" s="11"/>
      <c r="CT542" s="11"/>
      <c r="DA542" s="11"/>
      <c r="DH542" s="11"/>
      <c r="DO542" s="11"/>
    </row>
    <row r="543" ht="15.75" customHeight="1">
      <c r="C543" s="8"/>
      <c r="BD543" s="11"/>
      <c r="BR543" s="11"/>
      <c r="BY543" s="11"/>
      <c r="CF543" s="11"/>
      <c r="CM543" s="11"/>
      <c r="CT543" s="11"/>
      <c r="DA543" s="11"/>
      <c r="DH543" s="11"/>
      <c r="DO543" s="11"/>
    </row>
    <row r="544" ht="15.75" customHeight="1">
      <c r="C544" s="8"/>
      <c r="BD544" s="11"/>
      <c r="BR544" s="11"/>
      <c r="BY544" s="11"/>
      <c r="CF544" s="11"/>
      <c r="CM544" s="11"/>
      <c r="CT544" s="11"/>
      <c r="DA544" s="11"/>
      <c r="DH544" s="11"/>
      <c r="DO544" s="11"/>
    </row>
    <row r="545" ht="15.75" customHeight="1">
      <c r="C545" s="8"/>
      <c r="BD545" s="11"/>
      <c r="BR545" s="11"/>
      <c r="BY545" s="11"/>
      <c r="CF545" s="11"/>
      <c r="CM545" s="11"/>
      <c r="CT545" s="11"/>
      <c r="DA545" s="11"/>
      <c r="DH545" s="11"/>
      <c r="DO545" s="11"/>
    </row>
    <row r="546" ht="15.75" customHeight="1">
      <c r="C546" s="8"/>
      <c r="BD546" s="11"/>
      <c r="BR546" s="11"/>
      <c r="BY546" s="11"/>
      <c r="CF546" s="11"/>
      <c r="CM546" s="11"/>
      <c r="CT546" s="11"/>
      <c r="DA546" s="11"/>
      <c r="DH546" s="11"/>
      <c r="DO546" s="11"/>
    </row>
    <row r="547" ht="15.75" customHeight="1">
      <c r="C547" s="8"/>
      <c r="BD547" s="11"/>
      <c r="BR547" s="11"/>
      <c r="BY547" s="11"/>
      <c r="CF547" s="11"/>
      <c r="CM547" s="11"/>
      <c r="CT547" s="11"/>
      <c r="DA547" s="11"/>
      <c r="DH547" s="11"/>
      <c r="DO547" s="11"/>
    </row>
    <row r="548" ht="15.75" customHeight="1">
      <c r="C548" s="8"/>
      <c r="BD548" s="11"/>
      <c r="BR548" s="11"/>
      <c r="BY548" s="11"/>
      <c r="CF548" s="11"/>
      <c r="CM548" s="11"/>
      <c r="CT548" s="11"/>
      <c r="DA548" s="11"/>
      <c r="DH548" s="11"/>
      <c r="DO548" s="11"/>
    </row>
    <row r="549" ht="15.75" customHeight="1">
      <c r="C549" s="8"/>
      <c r="BD549" s="11"/>
      <c r="BR549" s="11"/>
      <c r="BY549" s="11"/>
      <c r="CF549" s="11"/>
      <c r="CM549" s="11"/>
      <c r="CT549" s="11"/>
      <c r="DA549" s="11"/>
      <c r="DH549" s="11"/>
      <c r="DO549" s="11"/>
    </row>
    <row r="550" ht="15.75" customHeight="1">
      <c r="C550" s="8"/>
      <c r="BD550" s="11"/>
      <c r="BR550" s="11"/>
      <c r="BY550" s="11"/>
      <c r="CF550" s="11"/>
      <c r="CM550" s="11"/>
      <c r="CT550" s="11"/>
      <c r="DA550" s="11"/>
      <c r="DH550" s="11"/>
      <c r="DO550" s="11"/>
    </row>
    <row r="551" ht="15.75" customHeight="1">
      <c r="C551" s="8"/>
      <c r="BD551" s="11"/>
      <c r="BR551" s="11"/>
      <c r="BY551" s="11"/>
      <c r="CF551" s="11"/>
      <c r="CM551" s="11"/>
      <c r="CT551" s="11"/>
      <c r="DA551" s="11"/>
      <c r="DH551" s="11"/>
      <c r="DO551" s="11"/>
    </row>
    <row r="552" ht="15.75" customHeight="1">
      <c r="C552" s="8"/>
      <c r="BD552" s="11"/>
      <c r="BR552" s="11"/>
      <c r="BY552" s="11"/>
      <c r="CF552" s="11"/>
      <c r="CM552" s="11"/>
      <c r="CT552" s="11"/>
      <c r="DA552" s="11"/>
      <c r="DH552" s="11"/>
      <c r="DO552" s="11"/>
    </row>
    <row r="553" ht="15.75" customHeight="1">
      <c r="C553" s="8"/>
      <c r="BD553" s="11"/>
      <c r="BR553" s="11"/>
      <c r="BY553" s="11"/>
      <c r="CF553" s="11"/>
      <c r="CM553" s="11"/>
      <c r="CT553" s="11"/>
      <c r="DA553" s="11"/>
      <c r="DH553" s="11"/>
      <c r="DO553" s="11"/>
    </row>
    <row r="554" ht="15.75" customHeight="1">
      <c r="C554" s="8"/>
      <c r="BD554" s="11"/>
      <c r="BR554" s="11"/>
      <c r="BY554" s="11"/>
      <c r="CF554" s="11"/>
      <c r="CM554" s="11"/>
      <c r="CT554" s="11"/>
      <c r="DA554" s="11"/>
      <c r="DH554" s="11"/>
      <c r="DO554" s="11"/>
    </row>
    <row r="555" ht="15.75" customHeight="1">
      <c r="C555" s="8"/>
      <c r="BD555" s="11"/>
      <c r="BR555" s="11"/>
      <c r="BY555" s="11"/>
      <c r="CF555" s="11"/>
      <c r="CM555" s="11"/>
      <c r="CT555" s="11"/>
      <c r="DA555" s="11"/>
      <c r="DH555" s="11"/>
      <c r="DO555" s="11"/>
    </row>
    <row r="556" ht="15.75" customHeight="1">
      <c r="C556" s="8"/>
      <c r="BD556" s="11"/>
      <c r="BR556" s="11"/>
      <c r="BY556" s="11"/>
      <c r="CF556" s="11"/>
      <c r="CM556" s="11"/>
      <c r="CT556" s="11"/>
      <c r="DA556" s="11"/>
      <c r="DH556" s="11"/>
      <c r="DO556" s="11"/>
    </row>
    <row r="557" ht="15.75" customHeight="1">
      <c r="C557" s="8"/>
      <c r="BD557" s="11"/>
      <c r="BR557" s="11"/>
      <c r="BY557" s="11"/>
      <c r="CF557" s="11"/>
      <c r="CM557" s="11"/>
      <c r="CT557" s="11"/>
      <c r="DA557" s="11"/>
      <c r="DH557" s="11"/>
      <c r="DO557" s="11"/>
    </row>
    <row r="558" ht="15.75" customHeight="1">
      <c r="C558" s="8"/>
      <c r="BD558" s="11"/>
      <c r="BR558" s="11"/>
      <c r="BY558" s="11"/>
      <c r="CF558" s="11"/>
      <c r="CM558" s="11"/>
      <c r="CT558" s="11"/>
      <c r="DA558" s="11"/>
      <c r="DH558" s="11"/>
      <c r="DO558" s="11"/>
    </row>
    <row r="559" ht="15.75" customHeight="1">
      <c r="C559" s="8"/>
      <c r="BD559" s="11"/>
      <c r="BR559" s="11"/>
      <c r="BY559" s="11"/>
      <c r="CF559" s="11"/>
      <c r="CM559" s="11"/>
      <c r="CT559" s="11"/>
      <c r="DA559" s="11"/>
      <c r="DH559" s="11"/>
      <c r="DO559" s="11"/>
    </row>
    <row r="560" ht="15.75" customHeight="1">
      <c r="C560" s="8"/>
      <c r="BD560" s="11"/>
      <c r="BR560" s="11"/>
      <c r="BY560" s="11"/>
      <c r="CF560" s="11"/>
      <c r="CM560" s="11"/>
      <c r="CT560" s="11"/>
      <c r="DA560" s="11"/>
      <c r="DH560" s="11"/>
      <c r="DO560" s="11"/>
    </row>
    <row r="561" ht="15.75" customHeight="1">
      <c r="C561" s="8"/>
      <c r="BD561" s="11"/>
      <c r="BR561" s="11"/>
      <c r="BY561" s="11"/>
      <c r="CF561" s="11"/>
      <c r="CM561" s="11"/>
      <c r="CT561" s="11"/>
      <c r="DA561" s="11"/>
      <c r="DH561" s="11"/>
      <c r="DO561" s="11"/>
    </row>
    <row r="562" ht="15.75" customHeight="1">
      <c r="C562" s="8"/>
      <c r="BD562" s="11"/>
      <c r="BR562" s="11"/>
      <c r="BY562" s="11"/>
      <c r="CF562" s="11"/>
      <c r="CM562" s="11"/>
      <c r="CT562" s="11"/>
      <c r="DA562" s="11"/>
      <c r="DH562" s="11"/>
      <c r="DO562" s="11"/>
    </row>
    <row r="563" ht="15.75" customHeight="1">
      <c r="C563" s="8"/>
      <c r="BD563" s="11"/>
      <c r="BR563" s="11"/>
      <c r="BY563" s="11"/>
      <c r="CF563" s="11"/>
      <c r="CM563" s="11"/>
      <c r="CT563" s="11"/>
      <c r="DA563" s="11"/>
      <c r="DH563" s="11"/>
      <c r="DO563" s="11"/>
    </row>
    <row r="564" ht="15.75" customHeight="1">
      <c r="C564" s="8"/>
      <c r="BD564" s="11"/>
      <c r="BR564" s="11"/>
      <c r="BY564" s="11"/>
      <c r="CF564" s="11"/>
      <c r="CM564" s="11"/>
      <c r="CT564" s="11"/>
      <c r="DA564" s="11"/>
      <c r="DH564" s="11"/>
      <c r="DO564" s="11"/>
    </row>
    <row r="565" ht="15.75" customHeight="1">
      <c r="C565" s="8"/>
      <c r="BD565" s="11"/>
      <c r="BR565" s="11"/>
      <c r="BY565" s="11"/>
      <c r="CF565" s="11"/>
      <c r="CM565" s="11"/>
      <c r="CT565" s="11"/>
      <c r="DA565" s="11"/>
      <c r="DH565" s="11"/>
      <c r="DO565" s="11"/>
    </row>
    <row r="566" ht="15.75" customHeight="1">
      <c r="C566" s="8"/>
      <c r="BD566" s="11"/>
      <c r="BR566" s="11"/>
      <c r="BY566" s="11"/>
      <c r="CF566" s="11"/>
      <c r="CM566" s="11"/>
      <c r="CT566" s="11"/>
      <c r="DA566" s="11"/>
      <c r="DH566" s="11"/>
      <c r="DO566" s="11"/>
    </row>
    <row r="567" ht="15.75" customHeight="1">
      <c r="C567" s="8"/>
      <c r="BD567" s="11"/>
      <c r="BR567" s="11"/>
      <c r="BY567" s="11"/>
      <c r="CF567" s="11"/>
      <c r="CM567" s="11"/>
      <c r="CT567" s="11"/>
      <c r="DA567" s="11"/>
      <c r="DH567" s="11"/>
      <c r="DO567" s="11"/>
    </row>
    <row r="568" ht="15.75" customHeight="1">
      <c r="C568" s="8"/>
      <c r="BD568" s="11"/>
      <c r="BR568" s="11"/>
      <c r="BY568" s="11"/>
      <c r="CF568" s="11"/>
      <c r="CM568" s="11"/>
      <c r="CT568" s="11"/>
      <c r="DA568" s="11"/>
      <c r="DH568" s="11"/>
      <c r="DO568" s="11"/>
    </row>
    <row r="569" ht="15.75" customHeight="1">
      <c r="C569" s="8"/>
      <c r="BD569" s="11"/>
      <c r="BR569" s="11"/>
      <c r="BY569" s="11"/>
      <c r="CF569" s="11"/>
      <c r="CM569" s="11"/>
      <c r="CT569" s="11"/>
      <c r="DA569" s="11"/>
      <c r="DH569" s="11"/>
      <c r="DO569" s="11"/>
    </row>
    <row r="570" ht="15.75" customHeight="1">
      <c r="C570" s="8"/>
      <c r="BD570" s="11"/>
      <c r="BR570" s="11"/>
      <c r="BY570" s="11"/>
      <c r="CF570" s="11"/>
      <c r="CM570" s="11"/>
      <c r="CT570" s="11"/>
      <c r="DA570" s="11"/>
      <c r="DH570" s="11"/>
      <c r="DO570" s="11"/>
    </row>
    <row r="571" ht="15.75" customHeight="1">
      <c r="C571" s="8"/>
      <c r="BD571" s="11"/>
      <c r="BR571" s="11"/>
      <c r="BY571" s="11"/>
      <c r="CF571" s="11"/>
      <c r="CM571" s="11"/>
      <c r="CT571" s="11"/>
      <c r="DA571" s="11"/>
      <c r="DH571" s="11"/>
      <c r="DO571" s="11"/>
    </row>
    <row r="572" ht="15.75" customHeight="1">
      <c r="C572" s="8"/>
      <c r="BD572" s="11"/>
      <c r="BR572" s="11"/>
      <c r="BY572" s="11"/>
      <c r="CF572" s="11"/>
      <c r="CM572" s="11"/>
      <c r="CT572" s="11"/>
      <c r="DA572" s="11"/>
      <c r="DH572" s="11"/>
      <c r="DO572" s="11"/>
    </row>
    <row r="573" ht="15.75" customHeight="1">
      <c r="C573" s="8"/>
      <c r="BD573" s="11"/>
      <c r="BR573" s="11"/>
      <c r="BY573" s="11"/>
      <c r="CF573" s="11"/>
      <c r="CM573" s="11"/>
      <c r="CT573" s="11"/>
      <c r="DA573" s="11"/>
      <c r="DH573" s="11"/>
      <c r="DO573" s="11"/>
    </row>
    <row r="574" ht="15.75" customHeight="1">
      <c r="C574" s="8"/>
      <c r="BD574" s="11"/>
      <c r="BR574" s="11"/>
      <c r="BY574" s="11"/>
      <c r="CF574" s="11"/>
      <c r="CM574" s="11"/>
      <c r="CT574" s="11"/>
      <c r="DA574" s="11"/>
      <c r="DH574" s="11"/>
      <c r="DO574" s="11"/>
    </row>
    <row r="575" ht="15.75" customHeight="1">
      <c r="C575" s="8"/>
      <c r="BD575" s="11"/>
      <c r="BR575" s="11"/>
      <c r="BY575" s="11"/>
      <c r="CF575" s="11"/>
      <c r="CM575" s="11"/>
      <c r="CT575" s="11"/>
      <c r="DA575" s="11"/>
      <c r="DH575" s="11"/>
      <c r="DO575" s="11"/>
    </row>
    <row r="576" ht="15.75" customHeight="1">
      <c r="C576" s="8"/>
      <c r="BD576" s="11"/>
      <c r="BR576" s="11"/>
      <c r="BY576" s="11"/>
      <c r="CF576" s="11"/>
      <c r="CM576" s="11"/>
      <c r="CT576" s="11"/>
      <c r="DA576" s="11"/>
      <c r="DH576" s="11"/>
      <c r="DO576" s="11"/>
    </row>
    <row r="577" ht="15.75" customHeight="1">
      <c r="C577" s="8"/>
      <c r="BD577" s="11"/>
      <c r="BR577" s="11"/>
      <c r="BY577" s="11"/>
      <c r="CF577" s="11"/>
      <c r="CM577" s="11"/>
      <c r="CT577" s="11"/>
      <c r="DA577" s="11"/>
      <c r="DH577" s="11"/>
      <c r="DO577" s="11"/>
    </row>
    <row r="578" ht="15.75" customHeight="1">
      <c r="C578" s="8"/>
      <c r="BD578" s="11"/>
      <c r="BR578" s="11"/>
      <c r="BY578" s="11"/>
      <c r="CF578" s="11"/>
      <c r="CM578" s="11"/>
      <c r="CT578" s="11"/>
      <c r="DA578" s="11"/>
      <c r="DH578" s="11"/>
      <c r="DO578" s="11"/>
    </row>
    <row r="579" ht="15.75" customHeight="1">
      <c r="C579" s="8"/>
      <c r="BD579" s="11"/>
      <c r="BR579" s="11"/>
      <c r="BY579" s="11"/>
      <c r="CF579" s="11"/>
      <c r="CM579" s="11"/>
      <c r="CT579" s="11"/>
      <c r="DA579" s="11"/>
      <c r="DH579" s="11"/>
      <c r="DO579" s="11"/>
    </row>
    <row r="580" ht="15.75" customHeight="1">
      <c r="C580" s="8"/>
      <c r="BD580" s="11"/>
      <c r="BR580" s="11"/>
      <c r="BY580" s="11"/>
      <c r="CF580" s="11"/>
      <c r="CM580" s="11"/>
      <c r="CT580" s="11"/>
      <c r="DA580" s="11"/>
      <c r="DH580" s="11"/>
      <c r="DO580" s="11"/>
    </row>
    <row r="581" ht="15.75" customHeight="1">
      <c r="C581" s="8"/>
      <c r="BD581" s="11"/>
      <c r="BR581" s="11"/>
      <c r="BY581" s="11"/>
      <c r="CF581" s="11"/>
      <c r="CM581" s="11"/>
      <c r="CT581" s="11"/>
      <c r="DA581" s="11"/>
      <c r="DH581" s="11"/>
      <c r="DO581" s="11"/>
    </row>
    <row r="582" ht="15.75" customHeight="1">
      <c r="C582" s="8"/>
      <c r="BD582" s="11"/>
      <c r="BR582" s="11"/>
      <c r="BY582" s="11"/>
      <c r="CF582" s="11"/>
      <c r="CM582" s="11"/>
      <c r="CT582" s="11"/>
      <c r="DA582" s="11"/>
      <c r="DH582" s="11"/>
      <c r="DO582" s="11"/>
    </row>
    <row r="583" ht="15.75" customHeight="1">
      <c r="C583" s="8"/>
      <c r="BD583" s="11"/>
      <c r="BR583" s="11"/>
      <c r="BY583" s="11"/>
      <c r="CF583" s="11"/>
      <c r="CM583" s="11"/>
      <c r="CT583" s="11"/>
      <c r="DA583" s="11"/>
      <c r="DH583" s="11"/>
      <c r="DO583" s="11"/>
    </row>
    <row r="584" ht="15.75" customHeight="1">
      <c r="C584" s="8"/>
      <c r="BD584" s="11"/>
      <c r="BR584" s="11"/>
      <c r="BY584" s="11"/>
      <c r="CF584" s="11"/>
      <c r="CM584" s="11"/>
      <c r="CT584" s="11"/>
      <c r="DA584" s="11"/>
      <c r="DH584" s="11"/>
      <c r="DO584" s="11"/>
    </row>
    <row r="585" ht="15.75" customHeight="1">
      <c r="C585" s="8"/>
      <c r="BD585" s="11"/>
      <c r="BR585" s="11"/>
      <c r="BY585" s="11"/>
      <c r="CF585" s="11"/>
      <c r="CM585" s="11"/>
      <c r="CT585" s="11"/>
      <c r="DA585" s="11"/>
      <c r="DH585" s="11"/>
      <c r="DO585" s="11"/>
    </row>
    <row r="586" ht="15.75" customHeight="1">
      <c r="C586" s="8"/>
      <c r="BD586" s="11"/>
      <c r="BR586" s="11"/>
      <c r="BY586" s="11"/>
      <c r="CF586" s="11"/>
      <c r="CM586" s="11"/>
      <c r="CT586" s="11"/>
      <c r="DA586" s="11"/>
      <c r="DH586" s="11"/>
      <c r="DO586" s="11"/>
    </row>
    <row r="587" ht="15.75" customHeight="1">
      <c r="C587" s="8"/>
      <c r="BD587" s="11"/>
      <c r="BR587" s="11"/>
      <c r="BY587" s="11"/>
      <c r="CF587" s="11"/>
      <c r="CM587" s="11"/>
      <c r="CT587" s="11"/>
      <c r="DA587" s="11"/>
      <c r="DH587" s="11"/>
      <c r="DO587" s="11"/>
    </row>
    <row r="588" ht="15.75" customHeight="1">
      <c r="C588" s="8"/>
      <c r="BD588" s="11"/>
      <c r="BR588" s="11"/>
      <c r="BY588" s="11"/>
      <c r="CF588" s="11"/>
      <c r="CM588" s="11"/>
      <c r="CT588" s="11"/>
      <c r="DA588" s="11"/>
      <c r="DH588" s="11"/>
      <c r="DO588" s="11"/>
    </row>
    <row r="589" ht="15.75" customHeight="1">
      <c r="C589" s="8"/>
      <c r="BD589" s="11"/>
      <c r="BR589" s="11"/>
      <c r="BY589" s="11"/>
      <c r="CF589" s="11"/>
      <c r="CM589" s="11"/>
      <c r="CT589" s="11"/>
      <c r="DA589" s="11"/>
      <c r="DH589" s="11"/>
      <c r="DO589" s="11"/>
    </row>
    <row r="590" ht="15.75" customHeight="1">
      <c r="C590" s="8"/>
      <c r="BD590" s="11"/>
      <c r="BR590" s="11"/>
      <c r="BY590" s="11"/>
      <c r="CF590" s="11"/>
      <c r="CM590" s="11"/>
      <c r="CT590" s="11"/>
      <c r="DA590" s="11"/>
      <c r="DH590" s="11"/>
      <c r="DO590" s="11"/>
    </row>
    <row r="591" ht="15.75" customHeight="1">
      <c r="C591" s="8"/>
      <c r="BD591" s="11"/>
      <c r="BR591" s="11"/>
      <c r="BY591" s="11"/>
      <c r="CF591" s="11"/>
      <c r="CM591" s="11"/>
      <c r="CT591" s="11"/>
      <c r="DA591" s="11"/>
      <c r="DH591" s="11"/>
      <c r="DO591" s="11"/>
    </row>
    <row r="592" ht="15.75" customHeight="1">
      <c r="C592" s="8"/>
      <c r="BD592" s="11"/>
      <c r="BR592" s="11"/>
      <c r="BY592" s="11"/>
      <c r="CF592" s="11"/>
      <c r="CM592" s="11"/>
      <c r="CT592" s="11"/>
      <c r="DA592" s="11"/>
      <c r="DH592" s="11"/>
      <c r="DO592" s="11"/>
    </row>
    <row r="593" ht="15.75" customHeight="1">
      <c r="C593" s="8"/>
      <c r="BD593" s="11"/>
      <c r="BR593" s="11"/>
      <c r="BY593" s="11"/>
      <c r="CF593" s="11"/>
      <c r="CM593" s="11"/>
      <c r="CT593" s="11"/>
      <c r="DA593" s="11"/>
      <c r="DH593" s="11"/>
      <c r="DO593" s="11"/>
    </row>
    <row r="594" ht="15.75" customHeight="1">
      <c r="C594" s="8"/>
      <c r="BD594" s="11"/>
      <c r="BR594" s="11"/>
      <c r="BY594" s="11"/>
      <c r="CF594" s="11"/>
      <c r="CM594" s="11"/>
      <c r="CT594" s="11"/>
      <c r="DA594" s="11"/>
      <c r="DH594" s="11"/>
      <c r="DO594" s="11"/>
    </row>
    <row r="595" ht="15.75" customHeight="1">
      <c r="C595" s="8"/>
      <c r="BD595" s="11"/>
      <c r="BR595" s="11"/>
      <c r="BY595" s="11"/>
      <c r="CF595" s="11"/>
      <c r="CM595" s="11"/>
      <c r="CT595" s="11"/>
      <c r="DA595" s="11"/>
      <c r="DH595" s="11"/>
      <c r="DO595" s="11"/>
    </row>
    <row r="596" ht="15.75" customHeight="1">
      <c r="C596" s="8"/>
      <c r="BD596" s="11"/>
      <c r="BR596" s="11"/>
      <c r="BY596" s="11"/>
      <c r="CF596" s="11"/>
      <c r="CM596" s="11"/>
      <c r="CT596" s="11"/>
      <c r="DA596" s="11"/>
      <c r="DH596" s="11"/>
      <c r="DO596" s="11"/>
    </row>
    <row r="597" ht="15.75" customHeight="1">
      <c r="C597" s="8"/>
      <c r="BD597" s="11"/>
      <c r="BR597" s="11"/>
      <c r="BY597" s="11"/>
      <c r="CF597" s="11"/>
      <c r="CM597" s="11"/>
      <c r="CT597" s="11"/>
      <c r="DA597" s="11"/>
      <c r="DH597" s="11"/>
      <c r="DO597" s="11"/>
    </row>
    <row r="598" ht="15.75" customHeight="1">
      <c r="C598" s="8"/>
      <c r="BD598" s="11"/>
      <c r="BR598" s="11"/>
      <c r="BY598" s="11"/>
      <c r="CF598" s="11"/>
      <c r="CM598" s="11"/>
      <c r="CT598" s="11"/>
      <c r="DA598" s="11"/>
      <c r="DH598" s="11"/>
      <c r="DO598" s="11"/>
    </row>
    <row r="599" ht="15.75" customHeight="1">
      <c r="C599" s="8"/>
      <c r="BD599" s="11"/>
      <c r="BR599" s="11"/>
      <c r="BY599" s="11"/>
      <c r="CF599" s="11"/>
      <c r="CM599" s="11"/>
      <c r="CT599" s="11"/>
      <c r="DA599" s="11"/>
      <c r="DH599" s="11"/>
      <c r="DO599" s="11"/>
    </row>
    <row r="600" ht="15.75" customHeight="1">
      <c r="C600" s="8"/>
      <c r="BD600" s="11"/>
      <c r="BR600" s="11"/>
      <c r="BY600" s="11"/>
      <c r="CF600" s="11"/>
      <c r="CM600" s="11"/>
      <c r="CT600" s="11"/>
      <c r="DA600" s="11"/>
      <c r="DH600" s="11"/>
      <c r="DO600" s="11"/>
    </row>
    <row r="601" ht="15.75" customHeight="1">
      <c r="C601" s="8"/>
      <c r="BD601" s="11"/>
      <c r="BR601" s="11"/>
      <c r="BY601" s="11"/>
      <c r="CF601" s="11"/>
      <c r="CM601" s="11"/>
      <c r="CT601" s="11"/>
      <c r="DA601" s="11"/>
      <c r="DH601" s="11"/>
      <c r="DO601" s="11"/>
    </row>
    <row r="602" ht="15.75" customHeight="1">
      <c r="C602" s="8"/>
      <c r="BD602" s="11"/>
      <c r="BR602" s="11"/>
      <c r="BY602" s="11"/>
      <c r="CF602" s="11"/>
      <c r="CM602" s="11"/>
      <c r="CT602" s="11"/>
      <c r="DA602" s="11"/>
      <c r="DH602" s="11"/>
      <c r="DO602" s="11"/>
    </row>
    <row r="603" ht="15.75" customHeight="1">
      <c r="C603" s="8"/>
      <c r="BD603" s="11"/>
      <c r="BR603" s="11"/>
      <c r="BY603" s="11"/>
      <c r="CF603" s="11"/>
      <c r="CM603" s="11"/>
      <c r="CT603" s="11"/>
      <c r="DA603" s="11"/>
      <c r="DH603" s="11"/>
      <c r="DO603" s="11"/>
    </row>
    <row r="604" ht="15.75" customHeight="1">
      <c r="C604" s="8"/>
      <c r="BD604" s="11"/>
      <c r="BR604" s="11"/>
      <c r="BY604" s="11"/>
      <c r="CF604" s="11"/>
      <c r="CM604" s="11"/>
      <c r="CT604" s="11"/>
      <c r="DA604" s="11"/>
      <c r="DH604" s="11"/>
      <c r="DO604" s="11"/>
    </row>
    <row r="605" ht="15.75" customHeight="1">
      <c r="C605" s="8"/>
      <c r="BD605" s="11"/>
      <c r="BR605" s="11"/>
      <c r="BY605" s="11"/>
      <c r="CF605" s="11"/>
      <c r="CM605" s="11"/>
      <c r="CT605" s="11"/>
      <c r="DA605" s="11"/>
      <c r="DH605" s="11"/>
      <c r="DO605" s="11"/>
    </row>
    <row r="606" ht="15.75" customHeight="1">
      <c r="C606" s="8"/>
      <c r="BD606" s="11"/>
      <c r="BR606" s="11"/>
      <c r="BY606" s="11"/>
      <c r="CF606" s="11"/>
      <c r="CM606" s="11"/>
      <c r="CT606" s="11"/>
      <c r="DA606" s="11"/>
      <c r="DH606" s="11"/>
      <c r="DO606" s="11"/>
    </row>
    <row r="607" ht="15.75" customHeight="1">
      <c r="C607" s="8"/>
      <c r="BD607" s="11"/>
      <c r="BR607" s="11"/>
      <c r="BY607" s="11"/>
      <c r="CF607" s="11"/>
      <c r="CM607" s="11"/>
      <c r="CT607" s="11"/>
      <c r="DA607" s="11"/>
      <c r="DH607" s="11"/>
      <c r="DO607" s="11"/>
    </row>
    <row r="608" ht="15.75" customHeight="1">
      <c r="C608" s="8"/>
      <c r="BD608" s="11"/>
      <c r="BR608" s="11"/>
      <c r="BY608" s="11"/>
      <c r="CF608" s="11"/>
      <c r="CM608" s="11"/>
      <c r="CT608" s="11"/>
      <c r="DA608" s="11"/>
      <c r="DH608" s="11"/>
      <c r="DO608" s="11"/>
    </row>
    <row r="609" ht="15.75" customHeight="1">
      <c r="C609" s="8"/>
      <c r="BD609" s="11"/>
      <c r="BR609" s="11"/>
      <c r="BY609" s="11"/>
      <c r="CF609" s="11"/>
      <c r="CM609" s="11"/>
      <c r="CT609" s="11"/>
      <c r="DA609" s="11"/>
      <c r="DH609" s="11"/>
      <c r="DO609" s="11"/>
    </row>
    <row r="610" ht="15.75" customHeight="1">
      <c r="C610" s="8"/>
      <c r="BD610" s="11"/>
      <c r="BR610" s="11"/>
      <c r="BY610" s="11"/>
      <c r="CF610" s="11"/>
      <c r="CM610" s="11"/>
      <c r="CT610" s="11"/>
      <c r="DA610" s="11"/>
      <c r="DH610" s="11"/>
      <c r="DO610" s="11"/>
    </row>
    <row r="611" ht="15.75" customHeight="1">
      <c r="C611" s="8"/>
      <c r="BD611" s="11"/>
      <c r="BR611" s="11"/>
      <c r="BY611" s="11"/>
      <c r="CF611" s="11"/>
      <c r="CM611" s="11"/>
      <c r="CT611" s="11"/>
      <c r="DA611" s="11"/>
      <c r="DH611" s="11"/>
      <c r="DO611" s="11"/>
    </row>
    <row r="612" ht="15.75" customHeight="1">
      <c r="C612" s="8"/>
      <c r="BD612" s="11"/>
      <c r="BR612" s="11"/>
      <c r="BY612" s="11"/>
      <c r="CF612" s="11"/>
      <c r="CM612" s="11"/>
      <c r="CT612" s="11"/>
      <c r="DA612" s="11"/>
      <c r="DH612" s="11"/>
      <c r="DO612" s="11"/>
    </row>
    <row r="613" ht="15.75" customHeight="1">
      <c r="C613" s="8"/>
      <c r="BD613" s="11"/>
      <c r="BR613" s="11"/>
      <c r="BY613" s="11"/>
      <c r="CF613" s="11"/>
      <c r="CM613" s="11"/>
      <c r="CT613" s="11"/>
      <c r="DA613" s="11"/>
      <c r="DH613" s="11"/>
      <c r="DO613" s="11"/>
    </row>
    <row r="614" ht="15.75" customHeight="1">
      <c r="C614" s="8"/>
      <c r="BD614" s="11"/>
      <c r="BR614" s="11"/>
      <c r="BY614" s="11"/>
      <c r="CF614" s="11"/>
      <c r="CM614" s="11"/>
      <c r="CT614" s="11"/>
      <c r="DA614" s="11"/>
      <c r="DH614" s="11"/>
      <c r="DO614" s="11"/>
    </row>
    <row r="615" ht="15.75" customHeight="1">
      <c r="C615" s="8"/>
      <c r="BD615" s="11"/>
      <c r="BR615" s="11"/>
      <c r="BY615" s="11"/>
      <c r="CF615" s="11"/>
      <c r="CM615" s="11"/>
      <c r="CT615" s="11"/>
      <c r="DA615" s="11"/>
      <c r="DH615" s="11"/>
      <c r="DO615" s="11"/>
    </row>
    <row r="616" ht="15.75" customHeight="1">
      <c r="C616" s="8"/>
      <c r="BD616" s="11"/>
      <c r="BR616" s="11"/>
      <c r="BY616" s="11"/>
      <c r="CF616" s="11"/>
      <c r="CM616" s="11"/>
      <c r="CT616" s="11"/>
      <c r="DA616" s="11"/>
      <c r="DH616" s="11"/>
      <c r="DO616" s="11"/>
    </row>
    <row r="617" ht="15.75" customHeight="1">
      <c r="C617" s="8"/>
      <c r="BD617" s="11"/>
      <c r="BR617" s="11"/>
      <c r="BY617" s="11"/>
      <c r="CF617" s="11"/>
      <c r="CM617" s="11"/>
      <c r="CT617" s="11"/>
      <c r="DA617" s="11"/>
      <c r="DH617" s="11"/>
      <c r="DO617" s="11"/>
    </row>
    <row r="618" ht="15.75" customHeight="1">
      <c r="C618" s="8"/>
      <c r="BD618" s="11"/>
      <c r="BR618" s="11"/>
      <c r="BY618" s="11"/>
      <c r="CF618" s="11"/>
      <c r="CM618" s="11"/>
      <c r="CT618" s="11"/>
      <c r="DA618" s="11"/>
      <c r="DH618" s="11"/>
      <c r="DO618" s="11"/>
    </row>
    <row r="619" ht="15.75" customHeight="1">
      <c r="C619" s="8"/>
      <c r="BD619" s="11"/>
      <c r="BR619" s="11"/>
      <c r="BY619" s="11"/>
      <c r="CF619" s="11"/>
      <c r="CM619" s="11"/>
      <c r="CT619" s="11"/>
      <c r="DA619" s="11"/>
      <c r="DH619" s="11"/>
      <c r="DO619" s="11"/>
    </row>
    <row r="620" ht="15.75" customHeight="1">
      <c r="C620" s="8"/>
      <c r="BD620" s="11"/>
      <c r="BR620" s="11"/>
      <c r="BY620" s="11"/>
      <c r="CF620" s="11"/>
      <c r="CM620" s="11"/>
      <c r="CT620" s="11"/>
      <c r="DA620" s="11"/>
      <c r="DH620" s="11"/>
      <c r="DO620" s="11"/>
    </row>
    <row r="621" ht="15.75" customHeight="1">
      <c r="C621" s="8"/>
      <c r="BD621" s="11"/>
      <c r="BR621" s="11"/>
      <c r="BY621" s="11"/>
      <c r="CF621" s="11"/>
      <c r="CM621" s="11"/>
      <c r="CT621" s="11"/>
      <c r="DA621" s="11"/>
      <c r="DH621" s="11"/>
      <c r="DO621" s="11"/>
    </row>
    <row r="622" ht="15.75" customHeight="1">
      <c r="C622" s="8"/>
      <c r="BD622" s="11"/>
      <c r="BR622" s="11"/>
      <c r="BY622" s="11"/>
      <c r="CF622" s="11"/>
      <c r="CM622" s="11"/>
      <c r="CT622" s="11"/>
      <c r="DA622" s="11"/>
      <c r="DH622" s="11"/>
      <c r="DO622" s="11"/>
    </row>
    <row r="623" ht="15.75" customHeight="1">
      <c r="C623" s="8"/>
      <c r="BD623" s="11"/>
      <c r="BR623" s="11"/>
      <c r="BY623" s="11"/>
      <c r="CF623" s="11"/>
      <c r="CM623" s="11"/>
      <c r="CT623" s="11"/>
      <c r="DA623" s="11"/>
      <c r="DH623" s="11"/>
      <c r="DO623" s="11"/>
    </row>
    <row r="624" ht="15.75" customHeight="1">
      <c r="C624" s="8"/>
      <c r="BD624" s="11"/>
      <c r="BR624" s="11"/>
      <c r="BY624" s="11"/>
      <c r="CF624" s="11"/>
      <c r="CM624" s="11"/>
      <c r="CT624" s="11"/>
      <c r="DA624" s="11"/>
      <c r="DH624" s="11"/>
      <c r="DO624" s="11"/>
    </row>
    <row r="625" ht="15.75" customHeight="1">
      <c r="C625" s="8"/>
      <c r="BD625" s="11"/>
      <c r="BR625" s="11"/>
      <c r="BY625" s="11"/>
      <c r="CF625" s="11"/>
      <c r="CM625" s="11"/>
      <c r="CT625" s="11"/>
      <c r="DA625" s="11"/>
      <c r="DH625" s="11"/>
      <c r="DO625" s="11"/>
    </row>
    <row r="626" ht="15.75" customHeight="1">
      <c r="C626" s="8"/>
      <c r="BD626" s="11"/>
      <c r="BR626" s="11"/>
      <c r="BY626" s="11"/>
      <c r="CF626" s="11"/>
      <c r="CM626" s="11"/>
      <c r="CT626" s="11"/>
      <c r="DA626" s="11"/>
      <c r="DH626" s="11"/>
      <c r="DO626" s="11"/>
    </row>
    <row r="627" ht="15.75" customHeight="1">
      <c r="C627" s="8"/>
      <c r="BD627" s="11"/>
      <c r="BR627" s="11"/>
      <c r="BY627" s="11"/>
      <c r="CF627" s="11"/>
      <c r="CM627" s="11"/>
      <c r="CT627" s="11"/>
      <c r="DA627" s="11"/>
      <c r="DH627" s="11"/>
      <c r="DO627" s="11"/>
    </row>
    <row r="628" ht="15.75" customHeight="1">
      <c r="C628" s="8"/>
      <c r="BD628" s="11"/>
      <c r="BR628" s="11"/>
      <c r="BY628" s="11"/>
      <c r="CF628" s="11"/>
      <c r="CM628" s="11"/>
      <c r="CT628" s="11"/>
      <c r="DA628" s="11"/>
      <c r="DH628" s="11"/>
      <c r="DO628" s="11"/>
    </row>
    <row r="629" ht="15.75" customHeight="1">
      <c r="C629" s="8"/>
      <c r="BD629" s="11"/>
      <c r="BR629" s="11"/>
      <c r="BY629" s="11"/>
      <c r="CF629" s="11"/>
      <c r="CM629" s="11"/>
      <c r="CT629" s="11"/>
      <c r="DA629" s="11"/>
      <c r="DH629" s="11"/>
      <c r="DO629" s="11"/>
    </row>
    <row r="630" ht="15.75" customHeight="1">
      <c r="C630" s="8"/>
      <c r="BD630" s="11"/>
      <c r="BR630" s="11"/>
      <c r="BY630" s="11"/>
      <c r="CF630" s="11"/>
      <c r="CM630" s="11"/>
      <c r="CT630" s="11"/>
      <c r="DA630" s="11"/>
      <c r="DH630" s="11"/>
      <c r="DO630" s="11"/>
    </row>
    <row r="631" ht="15.75" customHeight="1">
      <c r="C631" s="8"/>
      <c r="BD631" s="11"/>
      <c r="BR631" s="11"/>
      <c r="BY631" s="11"/>
      <c r="CF631" s="11"/>
      <c r="CM631" s="11"/>
      <c r="CT631" s="11"/>
      <c r="DA631" s="11"/>
      <c r="DH631" s="11"/>
      <c r="DO631" s="11"/>
    </row>
    <row r="632" ht="15.75" customHeight="1">
      <c r="C632" s="8"/>
      <c r="BD632" s="11"/>
      <c r="BR632" s="11"/>
      <c r="BY632" s="11"/>
      <c r="CF632" s="11"/>
      <c r="CM632" s="11"/>
      <c r="CT632" s="11"/>
      <c r="DA632" s="11"/>
      <c r="DH632" s="11"/>
      <c r="DO632" s="11"/>
    </row>
    <row r="633" ht="15.75" customHeight="1">
      <c r="C633" s="8"/>
      <c r="BD633" s="11"/>
      <c r="BR633" s="11"/>
      <c r="BY633" s="11"/>
      <c r="CF633" s="11"/>
      <c r="CM633" s="11"/>
      <c r="CT633" s="11"/>
      <c r="DA633" s="11"/>
      <c r="DH633" s="11"/>
      <c r="DO633" s="11"/>
    </row>
    <row r="634" ht="15.75" customHeight="1">
      <c r="C634" s="8"/>
      <c r="BD634" s="11"/>
      <c r="BR634" s="11"/>
      <c r="BY634" s="11"/>
      <c r="CF634" s="11"/>
      <c r="CM634" s="11"/>
      <c r="CT634" s="11"/>
      <c r="DA634" s="11"/>
      <c r="DH634" s="11"/>
      <c r="DO634" s="11"/>
    </row>
    <row r="635" ht="15.75" customHeight="1">
      <c r="C635" s="8"/>
      <c r="BD635" s="11"/>
      <c r="BR635" s="11"/>
      <c r="BY635" s="11"/>
      <c r="CF635" s="11"/>
      <c r="CM635" s="11"/>
      <c r="CT635" s="11"/>
      <c r="DA635" s="11"/>
      <c r="DH635" s="11"/>
      <c r="DO635" s="11"/>
    </row>
    <row r="636" ht="15.75" customHeight="1">
      <c r="C636" s="8"/>
      <c r="BD636" s="11"/>
      <c r="BR636" s="11"/>
      <c r="BY636" s="11"/>
      <c r="CF636" s="11"/>
      <c r="CM636" s="11"/>
      <c r="CT636" s="11"/>
      <c r="DA636" s="11"/>
      <c r="DH636" s="11"/>
      <c r="DO636" s="11"/>
    </row>
    <row r="637" ht="15.75" customHeight="1">
      <c r="C637" s="8"/>
      <c r="BD637" s="11"/>
      <c r="BR637" s="11"/>
      <c r="BY637" s="11"/>
      <c r="CF637" s="11"/>
      <c r="CM637" s="11"/>
      <c r="CT637" s="11"/>
      <c r="DA637" s="11"/>
      <c r="DH637" s="11"/>
      <c r="DO637" s="11"/>
    </row>
    <row r="638" ht="15.75" customHeight="1">
      <c r="C638" s="8"/>
      <c r="BD638" s="11"/>
      <c r="BR638" s="11"/>
      <c r="BY638" s="11"/>
      <c r="CF638" s="11"/>
      <c r="CM638" s="11"/>
      <c r="CT638" s="11"/>
      <c r="DA638" s="11"/>
      <c r="DH638" s="11"/>
      <c r="DO638" s="11"/>
    </row>
    <row r="639" ht="15.75" customHeight="1">
      <c r="C639" s="8"/>
      <c r="BD639" s="11"/>
      <c r="BR639" s="11"/>
      <c r="BY639" s="11"/>
      <c r="CF639" s="11"/>
      <c r="CM639" s="11"/>
      <c r="CT639" s="11"/>
      <c r="DA639" s="11"/>
      <c r="DH639" s="11"/>
      <c r="DO639" s="11"/>
    </row>
    <row r="640" ht="15.75" customHeight="1">
      <c r="C640" s="8"/>
      <c r="BD640" s="11"/>
      <c r="BR640" s="11"/>
      <c r="BY640" s="11"/>
      <c r="CF640" s="11"/>
      <c r="CM640" s="11"/>
      <c r="CT640" s="11"/>
      <c r="DA640" s="11"/>
      <c r="DH640" s="11"/>
      <c r="DO640" s="11"/>
    </row>
    <row r="641" ht="15.75" customHeight="1">
      <c r="C641" s="8"/>
      <c r="BD641" s="11"/>
      <c r="BR641" s="11"/>
      <c r="BY641" s="11"/>
      <c r="CF641" s="11"/>
      <c r="CM641" s="11"/>
      <c r="CT641" s="11"/>
      <c r="DA641" s="11"/>
      <c r="DH641" s="11"/>
      <c r="DO641" s="11"/>
    </row>
    <row r="642" ht="15.75" customHeight="1">
      <c r="C642" s="8"/>
      <c r="BD642" s="11"/>
      <c r="BR642" s="11"/>
      <c r="BY642" s="11"/>
      <c r="CF642" s="11"/>
      <c r="CM642" s="11"/>
      <c r="CT642" s="11"/>
      <c r="DA642" s="11"/>
      <c r="DH642" s="11"/>
      <c r="DO642" s="11"/>
    </row>
    <row r="643" ht="15.75" customHeight="1">
      <c r="C643" s="8"/>
      <c r="BD643" s="11"/>
      <c r="BR643" s="11"/>
      <c r="BY643" s="11"/>
      <c r="CF643" s="11"/>
      <c r="CM643" s="11"/>
      <c r="CT643" s="11"/>
      <c r="DA643" s="11"/>
      <c r="DH643" s="11"/>
      <c r="DO643" s="11"/>
    </row>
    <row r="644" ht="15.75" customHeight="1">
      <c r="C644" s="8"/>
      <c r="BD644" s="11"/>
      <c r="BR644" s="11"/>
      <c r="BY644" s="11"/>
      <c r="CF644" s="11"/>
      <c r="CM644" s="11"/>
      <c r="CT644" s="11"/>
      <c r="DA644" s="11"/>
      <c r="DH644" s="11"/>
      <c r="DO644" s="11"/>
    </row>
    <row r="645" ht="15.75" customHeight="1">
      <c r="C645" s="8"/>
      <c r="BD645" s="11"/>
      <c r="BR645" s="11"/>
      <c r="BY645" s="11"/>
      <c r="CF645" s="11"/>
      <c r="CM645" s="11"/>
      <c r="CT645" s="11"/>
      <c r="DA645" s="11"/>
      <c r="DH645" s="11"/>
      <c r="DO645" s="11"/>
    </row>
    <row r="646" ht="15.75" customHeight="1">
      <c r="C646" s="8"/>
      <c r="BD646" s="11"/>
      <c r="BR646" s="11"/>
      <c r="BY646" s="11"/>
      <c r="CF646" s="11"/>
      <c r="CM646" s="11"/>
      <c r="CT646" s="11"/>
      <c r="DA646" s="11"/>
      <c r="DH646" s="11"/>
      <c r="DO646" s="11"/>
    </row>
    <row r="647" ht="15.75" customHeight="1">
      <c r="C647" s="8"/>
      <c r="BD647" s="11"/>
      <c r="BR647" s="11"/>
      <c r="BY647" s="11"/>
      <c r="CF647" s="11"/>
      <c r="CM647" s="11"/>
      <c r="CT647" s="11"/>
      <c r="DA647" s="11"/>
      <c r="DH647" s="11"/>
      <c r="DO647" s="11"/>
    </row>
    <row r="648" ht="15.75" customHeight="1">
      <c r="C648" s="8"/>
      <c r="BD648" s="11"/>
      <c r="BR648" s="11"/>
      <c r="BY648" s="11"/>
      <c r="CF648" s="11"/>
      <c r="CM648" s="11"/>
      <c r="CT648" s="11"/>
      <c r="DA648" s="11"/>
      <c r="DH648" s="11"/>
      <c r="DO648" s="11"/>
    </row>
    <row r="649" ht="15.75" customHeight="1">
      <c r="C649" s="8"/>
      <c r="BD649" s="11"/>
      <c r="BR649" s="11"/>
      <c r="BY649" s="11"/>
      <c r="CF649" s="11"/>
      <c r="CM649" s="11"/>
      <c r="CT649" s="11"/>
      <c r="DA649" s="11"/>
      <c r="DH649" s="11"/>
      <c r="DO649" s="11"/>
    </row>
    <row r="650" ht="15.75" customHeight="1">
      <c r="C650" s="8"/>
      <c r="BD650" s="11"/>
      <c r="BR650" s="11"/>
      <c r="BY650" s="11"/>
      <c r="CF650" s="11"/>
      <c r="CM650" s="11"/>
      <c r="CT650" s="11"/>
      <c r="DA650" s="11"/>
      <c r="DH650" s="11"/>
      <c r="DO650" s="11"/>
    </row>
    <row r="651" ht="15.75" customHeight="1">
      <c r="C651" s="8"/>
      <c r="BD651" s="11"/>
      <c r="BR651" s="11"/>
      <c r="BY651" s="11"/>
      <c r="CF651" s="11"/>
      <c r="CM651" s="11"/>
      <c r="CT651" s="11"/>
      <c r="DA651" s="11"/>
      <c r="DH651" s="11"/>
      <c r="DO651" s="11"/>
    </row>
    <row r="652" ht="15.75" customHeight="1">
      <c r="C652" s="8"/>
      <c r="BD652" s="11"/>
      <c r="BR652" s="11"/>
      <c r="BY652" s="11"/>
      <c r="CF652" s="11"/>
      <c r="CM652" s="11"/>
      <c r="CT652" s="11"/>
      <c r="DA652" s="11"/>
      <c r="DH652" s="11"/>
      <c r="DO652" s="11"/>
    </row>
    <row r="653" ht="15.75" customHeight="1">
      <c r="C653" s="8"/>
      <c r="BD653" s="11"/>
      <c r="BR653" s="11"/>
      <c r="BY653" s="11"/>
      <c r="CF653" s="11"/>
      <c r="CM653" s="11"/>
      <c r="CT653" s="11"/>
      <c r="DA653" s="11"/>
      <c r="DH653" s="11"/>
      <c r="DO653" s="11"/>
    </row>
    <row r="654" ht="15.75" customHeight="1">
      <c r="C654" s="8"/>
      <c r="BD654" s="11"/>
      <c r="BR654" s="11"/>
      <c r="BY654" s="11"/>
      <c r="CF654" s="11"/>
      <c r="CM654" s="11"/>
      <c r="CT654" s="11"/>
      <c r="DA654" s="11"/>
      <c r="DH654" s="11"/>
      <c r="DO654" s="11"/>
    </row>
    <row r="655" ht="15.75" customHeight="1">
      <c r="C655" s="8"/>
      <c r="BD655" s="11"/>
      <c r="BR655" s="11"/>
      <c r="BY655" s="11"/>
      <c r="CF655" s="11"/>
      <c r="CM655" s="11"/>
      <c r="CT655" s="11"/>
      <c r="DA655" s="11"/>
      <c r="DH655" s="11"/>
      <c r="DO655" s="11"/>
    </row>
    <row r="656" ht="15.75" customHeight="1">
      <c r="C656" s="8"/>
      <c r="BD656" s="11"/>
      <c r="BR656" s="11"/>
      <c r="BY656" s="11"/>
      <c r="CF656" s="11"/>
      <c r="CM656" s="11"/>
      <c r="CT656" s="11"/>
      <c r="DA656" s="11"/>
      <c r="DH656" s="11"/>
      <c r="DO656" s="11"/>
    </row>
    <row r="657" ht="15.75" customHeight="1">
      <c r="C657" s="8"/>
      <c r="BD657" s="11"/>
      <c r="BR657" s="11"/>
      <c r="BY657" s="11"/>
      <c r="CF657" s="11"/>
      <c r="CM657" s="11"/>
      <c r="CT657" s="11"/>
      <c r="DA657" s="11"/>
      <c r="DH657" s="11"/>
      <c r="DO657" s="11"/>
    </row>
    <row r="658" ht="15.75" customHeight="1">
      <c r="C658" s="8"/>
      <c r="BD658" s="11"/>
      <c r="BR658" s="11"/>
      <c r="BY658" s="11"/>
      <c r="CF658" s="11"/>
      <c r="CM658" s="11"/>
      <c r="CT658" s="11"/>
      <c r="DA658" s="11"/>
      <c r="DH658" s="11"/>
      <c r="DO658" s="11"/>
    </row>
    <row r="659" ht="15.75" customHeight="1">
      <c r="C659" s="8"/>
      <c r="BD659" s="11"/>
      <c r="BR659" s="11"/>
      <c r="BY659" s="11"/>
      <c r="CF659" s="11"/>
      <c r="CM659" s="11"/>
      <c r="CT659" s="11"/>
      <c r="DA659" s="11"/>
      <c r="DH659" s="11"/>
      <c r="DO659" s="11"/>
    </row>
    <row r="660" ht="15.75" customHeight="1">
      <c r="C660" s="8"/>
      <c r="BD660" s="11"/>
      <c r="BR660" s="11"/>
      <c r="BY660" s="11"/>
      <c r="CF660" s="11"/>
      <c r="CM660" s="11"/>
      <c r="CT660" s="11"/>
      <c r="DA660" s="11"/>
      <c r="DH660" s="11"/>
      <c r="DO660" s="11"/>
    </row>
    <row r="661" ht="15.75" customHeight="1">
      <c r="C661" s="8"/>
      <c r="BD661" s="11"/>
      <c r="BR661" s="11"/>
      <c r="BY661" s="11"/>
      <c r="CF661" s="11"/>
      <c r="CM661" s="11"/>
      <c r="CT661" s="11"/>
      <c r="DA661" s="11"/>
      <c r="DH661" s="11"/>
      <c r="DO661" s="11"/>
    </row>
    <row r="662" ht="15.75" customHeight="1">
      <c r="C662" s="8"/>
      <c r="BD662" s="11"/>
      <c r="BR662" s="11"/>
      <c r="BY662" s="11"/>
      <c r="CF662" s="11"/>
      <c r="CM662" s="11"/>
      <c r="CT662" s="11"/>
      <c r="DA662" s="11"/>
      <c r="DH662" s="11"/>
      <c r="DO662" s="11"/>
    </row>
    <row r="663" ht="15.75" customHeight="1">
      <c r="C663" s="8"/>
      <c r="BD663" s="11"/>
      <c r="BR663" s="11"/>
      <c r="BY663" s="11"/>
      <c r="CF663" s="11"/>
      <c r="CM663" s="11"/>
      <c r="CT663" s="11"/>
      <c r="DA663" s="11"/>
      <c r="DH663" s="11"/>
      <c r="DO663" s="11"/>
    </row>
    <row r="664" ht="15.75" customHeight="1">
      <c r="C664" s="8"/>
      <c r="BD664" s="11"/>
      <c r="BR664" s="11"/>
      <c r="BY664" s="11"/>
      <c r="CF664" s="11"/>
      <c r="CM664" s="11"/>
      <c r="CT664" s="11"/>
      <c r="DA664" s="11"/>
      <c r="DH664" s="11"/>
      <c r="DO664" s="11"/>
    </row>
    <row r="665" ht="15.75" customHeight="1">
      <c r="C665" s="8"/>
      <c r="BD665" s="11"/>
      <c r="BR665" s="11"/>
      <c r="BY665" s="11"/>
      <c r="CF665" s="11"/>
      <c r="CM665" s="11"/>
      <c r="CT665" s="11"/>
      <c r="DA665" s="11"/>
      <c r="DH665" s="11"/>
      <c r="DO665" s="11"/>
    </row>
    <row r="666" ht="15.75" customHeight="1">
      <c r="C666" s="8"/>
      <c r="BD666" s="11"/>
      <c r="BR666" s="11"/>
      <c r="BY666" s="11"/>
      <c r="CF666" s="11"/>
      <c r="CM666" s="11"/>
      <c r="CT666" s="11"/>
      <c r="DA666" s="11"/>
      <c r="DH666" s="11"/>
      <c r="DO666" s="11"/>
    </row>
    <row r="667" ht="15.75" customHeight="1">
      <c r="C667" s="8"/>
      <c r="BD667" s="11"/>
      <c r="BR667" s="11"/>
      <c r="BY667" s="11"/>
      <c r="CF667" s="11"/>
      <c r="CM667" s="11"/>
      <c r="CT667" s="11"/>
      <c r="DA667" s="11"/>
      <c r="DH667" s="11"/>
      <c r="DO667" s="11"/>
    </row>
    <row r="668" ht="15.75" customHeight="1">
      <c r="C668" s="8"/>
      <c r="BD668" s="11"/>
      <c r="BR668" s="11"/>
      <c r="BY668" s="11"/>
      <c r="CF668" s="11"/>
      <c r="CM668" s="11"/>
      <c r="CT668" s="11"/>
      <c r="DA668" s="11"/>
      <c r="DH668" s="11"/>
      <c r="DO668" s="11"/>
    </row>
    <row r="669" ht="15.75" customHeight="1">
      <c r="C669" s="8"/>
      <c r="BD669" s="11"/>
      <c r="BR669" s="11"/>
      <c r="BY669" s="11"/>
      <c r="CF669" s="11"/>
      <c r="CM669" s="11"/>
      <c r="CT669" s="11"/>
      <c r="DA669" s="11"/>
      <c r="DH669" s="11"/>
      <c r="DO669" s="11"/>
    </row>
    <row r="670" ht="15.75" customHeight="1">
      <c r="C670" s="8"/>
      <c r="BD670" s="11"/>
      <c r="BR670" s="11"/>
      <c r="BY670" s="11"/>
      <c r="CF670" s="11"/>
      <c r="CM670" s="11"/>
      <c r="CT670" s="11"/>
      <c r="DA670" s="11"/>
      <c r="DH670" s="11"/>
      <c r="DO670" s="11"/>
    </row>
    <row r="671" ht="15.75" customHeight="1">
      <c r="C671" s="8"/>
      <c r="BD671" s="11"/>
      <c r="BR671" s="11"/>
      <c r="BY671" s="11"/>
      <c r="CF671" s="11"/>
      <c r="CM671" s="11"/>
      <c r="CT671" s="11"/>
      <c r="DA671" s="11"/>
      <c r="DH671" s="11"/>
      <c r="DO671" s="11"/>
    </row>
    <row r="672" ht="15.75" customHeight="1">
      <c r="C672" s="8"/>
      <c r="BD672" s="11"/>
      <c r="BR672" s="11"/>
      <c r="BY672" s="11"/>
      <c r="CF672" s="11"/>
      <c r="CM672" s="11"/>
      <c r="CT672" s="11"/>
      <c r="DA672" s="11"/>
      <c r="DH672" s="11"/>
      <c r="DO672" s="11"/>
    </row>
    <row r="673" ht="15.75" customHeight="1">
      <c r="C673" s="8"/>
      <c r="BD673" s="11"/>
      <c r="BR673" s="11"/>
      <c r="BY673" s="11"/>
      <c r="CF673" s="11"/>
      <c r="CM673" s="11"/>
      <c r="CT673" s="11"/>
      <c r="DA673" s="11"/>
      <c r="DH673" s="11"/>
      <c r="DO673" s="11"/>
    </row>
    <row r="674" ht="15.75" customHeight="1">
      <c r="C674" s="8"/>
      <c r="BD674" s="11"/>
      <c r="BR674" s="11"/>
      <c r="BY674" s="11"/>
      <c r="CF674" s="11"/>
      <c r="CM674" s="11"/>
      <c r="CT674" s="11"/>
      <c r="DA674" s="11"/>
      <c r="DH674" s="11"/>
      <c r="DO674" s="11"/>
    </row>
    <row r="675" ht="15.75" customHeight="1">
      <c r="C675" s="8"/>
      <c r="BD675" s="11"/>
      <c r="BR675" s="11"/>
      <c r="BY675" s="11"/>
      <c r="CF675" s="11"/>
      <c r="CM675" s="11"/>
      <c r="CT675" s="11"/>
      <c r="DA675" s="11"/>
      <c r="DH675" s="11"/>
      <c r="DO675" s="11"/>
    </row>
    <row r="676" ht="15.75" customHeight="1">
      <c r="C676" s="8"/>
      <c r="BD676" s="11"/>
      <c r="BR676" s="11"/>
      <c r="BY676" s="11"/>
      <c r="CF676" s="11"/>
      <c r="CM676" s="11"/>
      <c r="CT676" s="11"/>
      <c r="DA676" s="11"/>
      <c r="DH676" s="11"/>
      <c r="DO676" s="11"/>
    </row>
    <row r="677" ht="15.75" customHeight="1">
      <c r="C677" s="8"/>
      <c r="BD677" s="11"/>
      <c r="BR677" s="11"/>
      <c r="BY677" s="11"/>
      <c r="CF677" s="11"/>
      <c r="CM677" s="11"/>
      <c r="CT677" s="11"/>
      <c r="DA677" s="11"/>
      <c r="DH677" s="11"/>
      <c r="DO677" s="11"/>
    </row>
    <row r="678" ht="15.75" customHeight="1">
      <c r="C678" s="8"/>
      <c r="BD678" s="11"/>
      <c r="BR678" s="11"/>
      <c r="BY678" s="11"/>
      <c r="CF678" s="11"/>
      <c r="CM678" s="11"/>
      <c r="CT678" s="11"/>
      <c r="DA678" s="11"/>
      <c r="DH678" s="11"/>
      <c r="DO678" s="11"/>
    </row>
    <row r="679" ht="15.75" customHeight="1">
      <c r="C679" s="8"/>
      <c r="BD679" s="11"/>
      <c r="BR679" s="11"/>
      <c r="BY679" s="11"/>
      <c r="CF679" s="11"/>
      <c r="CM679" s="11"/>
      <c r="CT679" s="11"/>
      <c r="DA679" s="11"/>
      <c r="DH679" s="11"/>
      <c r="DO679" s="11"/>
    </row>
    <row r="680" ht="15.75" customHeight="1">
      <c r="C680" s="8"/>
      <c r="BD680" s="11"/>
      <c r="BR680" s="11"/>
      <c r="BY680" s="11"/>
      <c r="CF680" s="11"/>
      <c r="CM680" s="11"/>
      <c r="CT680" s="11"/>
      <c r="DA680" s="11"/>
      <c r="DH680" s="11"/>
      <c r="DO680" s="11"/>
    </row>
    <row r="681" ht="15.75" customHeight="1">
      <c r="C681" s="8"/>
      <c r="BD681" s="11"/>
      <c r="BR681" s="11"/>
      <c r="BY681" s="11"/>
      <c r="CF681" s="11"/>
      <c r="CM681" s="11"/>
      <c r="CT681" s="11"/>
      <c r="DA681" s="11"/>
      <c r="DH681" s="11"/>
      <c r="DO681" s="11"/>
    </row>
    <row r="682" ht="15.75" customHeight="1">
      <c r="C682" s="8"/>
      <c r="BD682" s="11"/>
      <c r="BR682" s="11"/>
      <c r="BY682" s="11"/>
      <c r="CF682" s="11"/>
      <c r="CM682" s="11"/>
      <c r="CT682" s="11"/>
      <c r="DA682" s="11"/>
      <c r="DH682" s="11"/>
      <c r="DO682" s="11"/>
    </row>
    <row r="683" ht="15.75" customHeight="1">
      <c r="C683" s="8"/>
      <c r="BD683" s="11"/>
      <c r="BR683" s="11"/>
      <c r="BY683" s="11"/>
      <c r="CF683" s="11"/>
      <c r="CM683" s="11"/>
      <c r="CT683" s="11"/>
      <c r="DA683" s="11"/>
      <c r="DH683" s="11"/>
      <c r="DO683" s="11"/>
    </row>
    <row r="684" ht="15.75" customHeight="1">
      <c r="C684" s="8"/>
      <c r="BD684" s="11"/>
      <c r="BR684" s="11"/>
      <c r="BY684" s="11"/>
      <c r="CF684" s="11"/>
      <c r="CM684" s="11"/>
      <c r="CT684" s="11"/>
      <c r="DA684" s="11"/>
      <c r="DH684" s="11"/>
      <c r="DO684" s="11"/>
    </row>
    <row r="685" ht="15.75" customHeight="1">
      <c r="C685" s="8"/>
      <c r="BD685" s="11"/>
      <c r="BR685" s="11"/>
      <c r="BY685" s="11"/>
      <c r="CF685" s="11"/>
      <c r="CM685" s="11"/>
      <c r="CT685" s="11"/>
      <c r="DA685" s="11"/>
      <c r="DH685" s="11"/>
      <c r="DO685" s="11"/>
    </row>
    <row r="686" ht="15.75" customHeight="1">
      <c r="C686" s="8"/>
      <c r="BD686" s="11"/>
      <c r="BR686" s="11"/>
      <c r="BY686" s="11"/>
      <c r="CF686" s="11"/>
      <c r="CM686" s="11"/>
      <c r="CT686" s="11"/>
      <c r="DA686" s="11"/>
      <c r="DH686" s="11"/>
      <c r="DO686" s="11"/>
    </row>
    <row r="687" ht="15.75" customHeight="1">
      <c r="C687" s="8"/>
      <c r="BD687" s="11"/>
      <c r="BR687" s="11"/>
      <c r="BY687" s="11"/>
      <c r="CF687" s="11"/>
      <c r="CM687" s="11"/>
      <c r="CT687" s="11"/>
      <c r="DA687" s="11"/>
      <c r="DH687" s="11"/>
      <c r="DO687" s="11"/>
    </row>
    <row r="688" ht="15.75" customHeight="1">
      <c r="C688" s="8"/>
      <c r="BD688" s="11"/>
      <c r="BR688" s="11"/>
      <c r="BY688" s="11"/>
      <c r="CF688" s="11"/>
      <c r="CM688" s="11"/>
      <c r="CT688" s="11"/>
      <c r="DA688" s="11"/>
      <c r="DH688" s="11"/>
      <c r="DO688" s="11"/>
    </row>
    <row r="689" ht="15.75" customHeight="1">
      <c r="C689" s="8"/>
      <c r="BD689" s="11"/>
      <c r="BR689" s="11"/>
      <c r="BY689" s="11"/>
      <c r="CF689" s="11"/>
      <c r="CM689" s="11"/>
      <c r="CT689" s="11"/>
      <c r="DA689" s="11"/>
      <c r="DH689" s="11"/>
      <c r="DO689" s="11"/>
    </row>
    <row r="690" ht="15.75" customHeight="1">
      <c r="C690" s="8"/>
      <c r="BD690" s="11"/>
      <c r="BR690" s="11"/>
      <c r="BY690" s="11"/>
      <c r="CF690" s="11"/>
      <c r="CM690" s="11"/>
      <c r="CT690" s="11"/>
      <c r="DA690" s="11"/>
      <c r="DH690" s="11"/>
      <c r="DO690" s="11"/>
    </row>
    <row r="691" ht="15.75" customHeight="1">
      <c r="C691" s="8"/>
      <c r="BD691" s="11"/>
      <c r="BR691" s="11"/>
      <c r="BY691" s="11"/>
      <c r="CF691" s="11"/>
      <c r="CM691" s="11"/>
      <c r="CT691" s="11"/>
      <c r="DA691" s="11"/>
      <c r="DH691" s="11"/>
      <c r="DO691" s="11"/>
    </row>
    <row r="692" ht="15.75" customHeight="1">
      <c r="C692" s="8"/>
      <c r="BD692" s="11"/>
      <c r="BR692" s="11"/>
      <c r="BY692" s="11"/>
      <c r="CF692" s="11"/>
      <c r="CM692" s="11"/>
      <c r="CT692" s="11"/>
      <c r="DA692" s="11"/>
      <c r="DH692" s="11"/>
      <c r="DO692" s="11"/>
    </row>
    <row r="693" ht="15.75" customHeight="1">
      <c r="C693" s="8"/>
      <c r="BD693" s="11"/>
      <c r="BR693" s="11"/>
      <c r="BY693" s="11"/>
      <c r="CF693" s="11"/>
      <c r="CM693" s="11"/>
      <c r="CT693" s="11"/>
      <c r="DA693" s="11"/>
      <c r="DH693" s="11"/>
      <c r="DO693" s="11"/>
    </row>
    <row r="694" ht="15.75" customHeight="1">
      <c r="C694" s="8"/>
      <c r="BD694" s="11"/>
      <c r="BR694" s="11"/>
      <c r="BY694" s="11"/>
      <c r="CF694" s="11"/>
      <c r="CM694" s="11"/>
      <c r="CT694" s="11"/>
      <c r="DA694" s="11"/>
      <c r="DH694" s="11"/>
      <c r="DO694" s="11"/>
    </row>
    <row r="695" ht="15.75" customHeight="1">
      <c r="C695" s="8"/>
      <c r="BD695" s="11"/>
      <c r="BR695" s="11"/>
      <c r="BY695" s="11"/>
      <c r="CF695" s="11"/>
      <c r="CM695" s="11"/>
      <c r="CT695" s="11"/>
      <c r="DA695" s="11"/>
      <c r="DH695" s="11"/>
      <c r="DO695" s="11"/>
    </row>
    <row r="696" ht="15.75" customHeight="1">
      <c r="C696" s="8"/>
      <c r="BD696" s="11"/>
      <c r="BR696" s="11"/>
      <c r="BY696" s="11"/>
      <c r="CF696" s="11"/>
      <c r="CM696" s="11"/>
      <c r="CT696" s="11"/>
      <c r="DA696" s="11"/>
      <c r="DH696" s="11"/>
      <c r="DO696" s="11"/>
    </row>
    <row r="697" ht="15.75" customHeight="1">
      <c r="C697" s="8"/>
      <c r="BD697" s="11"/>
      <c r="BR697" s="11"/>
      <c r="BY697" s="11"/>
      <c r="CF697" s="11"/>
      <c r="CM697" s="11"/>
      <c r="CT697" s="11"/>
      <c r="DA697" s="11"/>
      <c r="DH697" s="11"/>
      <c r="DO697" s="11"/>
    </row>
    <row r="698" ht="15.75" customHeight="1">
      <c r="C698" s="8"/>
      <c r="BD698" s="11"/>
      <c r="BR698" s="11"/>
      <c r="BY698" s="11"/>
      <c r="CF698" s="11"/>
      <c r="CM698" s="11"/>
      <c r="CT698" s="11"/>
      <c r="DA698" s="11"/>
      <c r="DH698" s="11"/>
      <c r="DO698" s="11"/>
    </row>
    <row r="699" ht="15.75" customHeight="1">
      <c r="C699" s="8"/>
      <c r="BD699" s="11"/>
      <c r="BR699" s="11"/>
      <c r="BY699" s="11"/>
      <c r="CF699" s="11"/>
      <c r="CM699" s="11"/>
      <c r="CT699" s="11"/>
      <c r="DA699" s="11"/>
      <c r="DH699" s="11"/>
      <c r="DO699" s="11"/>
    </row>
    <row r="700" ht="15.75" customHeight="1">
      <c r="C700" s="8"/>
      <c r="BD700" s="11"/>
      <c r="BR700" s="11"/>
      <c r="BY700" s="11"/>
      <c r="CF700" s="11"/>
      <c r="CM700" s="11"/>
      <c r="CT700" s="11"/>
      <c r="DA700" s="11"/>
      <c r="DH700" s="11"/>
      <c r="DO700" s="11"/>
    </row>
    <row r="701" ht="15.75" customHeight="1">
      <c r="C701" s="8"/>
      <c r="BD701" s="11"/>
      <c r="BR701" s="11"/>
      <c r="BY701" s="11"/>
      <c r="CF701" s="11"/>
      <c r="CM701" s="11"/>
      <c r="CT701" s="11"/>
      <c r="DA701" s="11"/>
      <c r="DH701" s="11"/>
      <c r="DO701" s="11"/>
    </row>
    <row r="702" ht="15.75" customHeight="1">
      <c r="C702" s="8"/>
      <c r="BD702" s="11"/>
      <c r="BR702" s="11"/>
      <c r="BY702" s="11"/>
      <c r="CF702" s="11"/>
      <c r="CM702" s="11"/>
      <c r="CT702" s="11"/>
      <c r="DA702" s="11"/>
      <c r="DH702" s="11"/>
      <c r="DO702" s="11"/>
    </row>
    <row r="703" ht="15.75" customHeight="1">
      <c r="C703" s="8"/>
      <c r="BD703" s="11"/>
      <c r="BR703" s="11"/>
      <c r="BY703" s="11"/>
      <c r="CF703" s="11"/>
      <c r="CM703" s="11"/>
      <c r="CT703" s="11"/>
      <c r="DA703" s="11"/>
      <c r="DH703" s="11"/>
      <c r="DO703" s="11"/>
    </row>
    <row r="704" ht="15.75" customHeight="1">
      <c r="C704" s="8"/>
      <c r="BD704" s="11"/>
      <c r="BR704" s="11"/>
      <c r="BY704" s="11"/>
      <c r="CF704" s="11"/>
      <c r="CM704" s="11"/>
      <c r="CT704" s="11"/>
      <c r="DA704" s="11"/>
      <c r="DH704" s="11"/>
      <c r="DO704" s="11"/>
    </row>
    <row r="705" ht="15.75" customHeight="1">
      <c r="C705" s="8"/>
      <c r="BD705" s="11"/>
      <c r="BR705" s="11"/>
      <c r="BY705" s="11"/>
      <c r="CF705" s="11"/>
      <c r="CM705" s="11"/>
      <c r="CT705" s="11"/>
      <c r="DA705" s="11"/>
      <c r="DH705" s="11"/>
      <c r="DO705" s="11"/>
    </row>
    <row r="706" ht="15.75" customHeight="1">
      <c r="C706" s="8"/>
      <c r="BD706" s="11"/>
      <c r="BR706" s="11"/>
      <c r="BY706" s="11"/>
      <c r="CF706" s="11"/>
      <c r="CM706" s="11"/>
      <c r="CT706" s="11"/>
      <c r="DA706" s="11"/>
      <c r="DH706" s="11"/>
      <c r="DO706" s="11"/>
    </row>
    <row r="707" ht="15.75" customHeight="1">
      <c r="C707" s="8"/>
      <c r="BD707" s="11"/>
      <c r="BR707" s="11"/>
      <c r="BY707" s="11"/>
      <c r="CF707" s="11"/>
      <c r="CM707" s="11"/>
      <c r="CT707" s="11"/>
      <c r="DA707" s="11"/>
      <c r="DH707" s="11"/>
      <c r="DO707" s="11"/>
    </row>
    <row r="708" ht="15.75" customHeight="1">
      <c r="C708" s="8"/>
      <c r="BD708" s="11"/>
      <c r="BR708" s="11"/>
      <c r="BY708" s="11"/>
      <c r="CF708" s="11"/>
      <c r="CM708" s="11"/>
      <c r="CT708" s="11"/>
      <c r="DA708" s="11"/>
      <c r="DH708" s="11"/>
      <c r="DO708" s="11"/>
    </row>
    <row r="709" ht="15.75" customHeight="1">
      <c r="C709" s="8"/>
      <c r="BD709" s="11"/>
      <c r="BR709" s="11"/>
      <c r="BY709" s="11"/>
      <c r="CF709" s="11"/>
      <c r="CM709" s="11"/>
      <c r="CT709" s="11"/>
      <c r="DA709" s="11"/>
      <c r="DH709" s="11"/>
      <c r="DO709" s="11"/>
    </row>
    <row r="710" ht="15.75" customHeight="1">
      <c r="C710" s="8"/>
      <c r="BD710" s="11"/>
      <c r="BR710" s="11"/>
      <c r="BY710" s="11"/>
      <c r="CF710" s="11"/>
      <c r="CM710" s="11"/>
      <c r="CT710" s="11"/>
      <c r="DA710" s="11"/>
      <c r="DH710" s="11"/>
      <c r="DO710" s="11"/>
    </row>
    <row r="711" ht="15.75" customHeight="1">
      <c r="C711" s="8"/>
      <c r="BD711" s="11"/>
      <c r="BR711" s="11"/>
      <c r="BY711" s="11"/>
      <c r="CF711" s="11"/>
      <c r="CM711" s="11"/>
      <c r="CT711" s="11"/>
      <c r="DA711" s="11"/>
      <c r="DH711" s="11"/>
      <c r="DO711" s="11"/>
    </row>
    <row r="712" ht="15.75" customHeight="1">
      <c r="C712" s="8"/>
      <c r="BD712" s="11"/>
      <c r="BR712" s="11"/>
      <c r="BY712" s="11"/>
      <c r="CF712" s="11"/>
      <c r="CM712" s="11"/>
      <c r="CT712" s="11"/>
      <c r="DA712" s="11"/>
      <c r="DH712" s="11"/>
      <c r="DO712" s="11"/>
    </row>
    <row r="713" ht="15.75" customHeight="1">
      <c r="C713" s="8"/>
      <c r="BD713" s="11"/>
      <c r="BR713" s="11"/>
      <c r="BY713" s="11"/>
      <c r="CF713" s="11"/>
      <c r="CM713" s="11"/>
      <c r="CT713" s="11"/>
      <c r="DA713" s="11"/>
      <c r="DH713" s="11"/>
      <c r="DO713" s="11"/>
    </row>
    <row r="714" ht="15.75" customHeight="1">
      <c r="C714" s="8"/>
      <c r="BD714" s="11"/>
      <c r="BR714" s="11"/>
      <c r="BY714" s="11"/>
      <c r="CF714" s="11"/>
      <c r="CM714" s="11"/>
      <c r="CT714" s="11"/>
      <c r="DA714" s="11"/>
      <c r="DH714" s="11"/>
      <c r="DO714" s="11"/>
    </row>
    <row r="715" ht="15.75" customHeight="1">
      <c r="C715" s="8"/>
      <c r="BD715" s="11"/>
      <c r="BR715" s="11"/>
      <c r="BY715" s="11"/>
      <c r="CF715" s="11"/>
      <c r="CM715" s="11"/>
      <c r="CT715" s="11"/>
      <c r="DA715" s="11"/>
      <c r="DH715" s="11"/>
      <c r="DO715" s="11"/>
    </row>
    <row r="716" ht="15.75" customHeight="1">
      <c r="C716" s="8"/>
      <c r="BD716" s="11"/>
      <c r="BR716" s="11"/>
      <c r="BY716" s="11"/>
      <c r="CF716" s="11"/>
      <c r="CM716" s="11"/>
      <c r="CT716" s="11"/>
      <c r="DA716" s="11"/>
      <c r="DH716" s="11"/>
      <c r="DO716" s="11"/>
    </row>
    <row r="717" ht="15.75" customHeight="1">
      <c r="C717" s="8"/>
      <c r="BD717" s="11"/>
      <c r="BR717" s="11"/>
      <c r="BY717" s="11"/>
      <c r="CF717" s="11"/>
      <c r="CM717" s="11"/>
      <c r="CT717" s="11"/>
      <c r="DA717" s="11"/>
      <c r="DH717" s="11"/>
      <c r="DO717" s="11"/>
    </row>
    <row r="718" ht="15.75" customHeight="1">
      <c r="C718" s="8"/>
      <c r="BD718" s="11"/>
      <c r="BR718" s="11"/>
      <c r="BY718" s="11"/>
      <c r="CF718" s="11"/>
      <c r="CM718" s="11"/>
      <c r="CT718" s="11"/>
      <c r="DA718" s="11"/>
      <c r="DH718" s="11"/>
      <c r="DO718" s="11"/>
    </row>
    <row r="719" ht="15.75" customHeight="1">
      <c r="C719" s="8"/>
      <c r="BD719" s="11"/>
      <c r="BR719" s="11"/>
      <c r="BY719" s="11"/>
      <c r="CF719" s="11"/>
      <c r="CM719" s="11"/>
      <c r="CT719" s="11"/>
      <c r="DA719" s="11"/>
      <c r="DH719" s="11"/>
      <c r="DO719" s="11"/>
    </row>
    <row r="720" ht="15.75" customHeight="1">
      <c r="C720" s="8"/>
      <c r="BD720" s="11"/>
      <c r="BR720" s="11"/>
      <c r="BY720" s="11"/>
      <c r="CF720" s="11"/>
      <c r="CM720" s="11"/>
      <c r="CT720" s="11"/>
      <c r="DA720" s="11"/>
      <c r="DH720" s="11"/>
      <c r="DO720" s="11"/>
    </row>
    <row r="721" ht="15.75" customHeight="1">
      <c r="C721" s="8"/>
      <c r="BD721" s="11"/>
      <c r="BR721" s="11"/>
      <c r="BY721" s="11"/>
      <c r="CF721" s="11"/>
      <c r="CM721" s="11"/>
      <c r="CT721" s="11"/>
      <c r="DA721" s="11"/>
      <c r="DH721" s="11"/>
      <c r="DO721" s="11"/>
    </row>
    <row r="722" ht="15.75" customHeight="1">
      <c r="C722" s="8"/>
      <c r="BD722" s="11"/>
      <c r="BR722" s="11"/>
      <c r="BY722" s="11"/>
      <c r="CF722" s="11"/>
      <c r="CM722" s="11"/>
      <c r="CT722" s="11"/>
      <c r="DA722" s="11"/>
      <c r="DH722" s="11"/>
      <c r="DO722" s="11"/>
    </row>
    <row r="723" ht="15.75" customHeight="1">
      <c r="C723" s="8"/>
      <c r="BD723" s="11"/>
      <c r="BR723" s="11"/>
      <c r="BY723" s="11"/>
      <c r="CF723" s="11"/>
      <c r="CM723" s="11"/>
      <c r="CT723" s="11"/>
      <c r="DA723" s="11"/>
      <c r="DH723" s="11"/>
      <c r="DO723" s="11"/>
    </row>
    <row r="724" ht="15.75" customHeight="1">
      <c r="C724" s="8"/>
      <c r="BD724" s="11"/>
      <c r="BR724" s="11"/>
      <c r="BY724" s="11"/>
      <c r="CF724" s="11"/>
      <c r="CM724" s="11"/>
      <c r="CT724" s="11"/>
      <c r="DA724" s="11"/>
      <c r="DH724" s="11"/>
      <c r="DO724" s="11"/>
    </row>
    <row r="725" ht="15.75" customHeight="1">
      <c r="C725" s="8"/>
      <c r="BD725" s="11"/>
      <c r="BR725" s="11"/>
      <c r="BY725" s="11"/>
      <c r="CF725" s="11"/>
      <c r="CM725" s="11"/>
      <c r="CT725" s="11"/>
      <c r="DA725" s="11"/>
      <c r="DH725" s="11"/>
      <c r="DO725" s="11"/>
    </row>
    <row r="726" ht="15.75" customHeight="1">
      <c r="C726" s="8"/>
      <c r="BD726" s="11"/>
      <c r="BR726" s="11"/>
      <c r="BY726" s="11"/>
      <c r="CF726" s="11"/>
      <c r="CM726" s="11"/>
      <c r="CT726" s="11"/>
      <c r="DA726" s="11"/>
      <c r="DH726" s="11"/>
      <c r="DO726" s="11"/>
    </row>
    <row r="727" ht="15.75" customHeight="1">
      <c r="C727" s="8"/>
      <c r="BD727" s="11"/>
      <c r="BR727" s="11"/>
      <c r="BY727" s="11"/>
      <c r="CF727" s="11"/>
      <c r="CM727" s="11"/>
      <c r="CT727" s="11"/>
      <c r="DA727" s="11"/>
      <c r="DH727" s="11"/>
      <c r="DO727" s="11"/>
    </row>
    <row r="728" ht="15.75" customHeight="1">
      <c r="C728" s="8"/>
      <c r="BD728" s="11"/>
      <c r="BR728" s="11"/>
      <c r="BY728" s="11"/>
      <c r="CF728" s="11"/>
      <c r="CM728" s="11"/>
      <c r="CT728" s="11"/>
      <c r="DA728" s="11"/>
      <c r="DH728" s="11"/>
      <c r="DO728" s="11"/>
    </row>
    <row r="729" ht="15.75" customHeight="1">
      <c r="C729" s="8"/>
      <c r="BD729" s="11"/>
      <c r="BR729" s="11"/>
      <c r="BY729" s="11"/>
      <c r="CF729" s="11"/>
      <c r="CM729" s="11"/>
      <c r="CT729" s="11"/>
      <c r="DA729" s="11"/>
      <c r="DH729" s="11"/>
      <c r="DO729" s="11"/>
    </row>
    <row r="730" ht="15.75" customHeight="1">
      <c r="C730" s="8"/>
      <c r="BD730" s="11"/>
      <c r="BR730" s="11"/>
      <c r="BY730" s="11"/>
      <c r="CF730" s="11"/>
      <c r="CM730" s="11"/>
      <c r="CT730" s="11"/>
      <c r="DA730" s="11"/>
      <c r="DH730" s="11"/>
      <c r="DO730" s="11"/>
    </row>
    <row r="731" ht="15.75" customHeight="1">
      <c r="C731" s="8"/>
      <c r="BD731" s="11"/>
      <c r="BR731" s="11"/>
      <c r="BY731" s="11"/>
      <c r="CF731" s="11"/>
      <c r="CM731" s="11"/>
      <c r="CT731" s="11"/>
      <c r="DA731" s="11"/>
      <c r="DH731" s="11"/>
      <c r="DO731" s="11"/>
    </row>
    <row r="732" ht="15.75" customHeight="1">
      <c r="C732" s="8"/>
      <c r="BD732" s="11"/>
      <c r="BR732" s="11"/>
      <c r="BY732" s="11"/>
      <c r="CF732" s="11"/>
      <c r="CM732" s="11"/>
      <c r="CT732" s="11"/>
      <c r="DA732" s="11"/>
      <c r="DH732" s="11"/>
      <c r="DO732" s="11"/>
    </row>
    <row r="733" ht="15.75" customHeight="1">
      <c r="C733" s="8"/>
      <c r="BD733" s="11"/>
      <c r="BR733" s="11"/>
      <c r="BY733" s="11"/>
      <c r="CF733" s="11"/>
      <c r="CM733" s="11"/>
      <c r="CT733" s="11"/>
      <c r="DA733" s="11"/>
      <c r="DH733" s="11"/>
      <c r="DO733" s="11"/>
    </row>
    <row r="734" ht="15.75" customHeight="1">
      <c r="C734" s="8"/>
      <c r="BD734" s="11"/>
      <c r="BR734" s="11"/>
      <c r="BY734" s="11"/>
      <c r="CF734" s="11"/>
      <c r="CM734" s="11"/>
      <c r="CT734" s="11"/>
      <c r="DA734" s="11"/>
      <c r="DH734" s="11"/>
      <c r="DO734" s="11"/>
    </row>
    <row r="735" ht="15.75" customHeight="1">
      <c r="C735" s="8"/>
      <c r="BD735" s="11"/>
      <c r="BR735" s="11"/>
      <c r="BY735" s="11"/>
      <c r="CF735" s="11"/>
      <c r="CM735" s="11"/>
      <c r="CT735" s="11"/>
      <c r="DA735" s="11"/>
      <c r="DH735" s="11"/>
      <c r="DO735" s="11"/>
    </row>
    <row r="736" ht="15.75" customHeight="1">
      <c r="C736" s="8"/>
      <c r="BD736" s="11"/>
      <c r="BR736" s="11"/>
      <c r="BY736" s="11"/>
      <c r="CF736" s="11"/>
      <c r="CM736" s="11"/>
      <c r="CT736" s="11"/>
      <c r="DA736" s="11"/>
      <c r="DH736" s="11"/>
      <c r="DO736" s="11"/>
    </row>
    <row r="737" ht="15.75" customHeight="1">
      <c r="C737" s="8"/>
      <c r="BD737" s="11"/>
      <c r="BR737" s="11"/>
      <c r="BY737" s="11"/>
      <c r="CF737" s="11"/>
      <c r="CM737" s="11"/>
      <c r="CT737" s="11"/>
      <c r="DA737" s="11"/>
      <c r="DH737" s="11"/>
      <c r="DO737" s="11"/>
    </row>
    <row r="738" ht="15.75" customHeight="1">
      <c r="C738" s="8"/>
      <c r="BD738" s="11"/>
      <c r="BR738" s="11"/>
      <c r="BY738" s="11"/>
      <c r="CF738" s="11"/>
      <c r="CM738" s="11"/>
      <c r="CT738" s="11"/>
      <c r="DA738" s="11"/>
      <c r="DH738" s="11"/>
      <c r="DO738" s="11"/>
    </row>
    <row r="739" ht="15.75" customHeight="1">
      <c r="C739" s="8"/>
      <c r="BD739" s="11"/>
      <c r="BR739" s="11"/>
      <c r="BY739" s="11"/>
      <c r="CF739" s="11"/>
      <c r="CM739" s="11"/>
      <c r="CT739" s="11"/>
      <c r="DA739" s="11"/>
      <c r="DH739" s="11"/>
      <c r="DO739" s="11"/>
    </row>
    <row r="740" ht="15.75" customHeight="1">
      <c r="C740" s="8"/>
      <c r="BD740" s="11"/>
      <c r="BR740" s="11"/>
      <c r="BY740" s="11"/>
      <c r="CF740" s="11"/>
      <c r="CM740" s="11"/>
      <c r="CT740" s="11"/>
      <c r="DA740" s="11"/>
      <c r="DH740" s="11"/>
      <c r="DO740" s="11"/>
    </row>
    <row r="741" ht="15.75" customHeight="1">
      <c r="C741" s="8"/>
      <c r="BD741" s="11"/>
      <c r="BR741" s="11"/>
      <c r="BY741" s="11"/>
      <c r="CF741" s="11"/>
      <c r="CM741" s="11"/>
      <c r="CT741" s="11"/>
      <c r="DA741" s="11"/>
      <c r="DH741" s="11"/>
      <c r="DO741" s="11"/>
    </row>
    <row r="742" ht="15.75" customHeight="1">
      <c r="C742" s="8"/>
      <c r="BD742" s="11"/>
      <c r="BR742" s="11"/>
      <c r="BY742" s="11"/>
      <c r="CF742" s="11"/>
      <c r="CM742" s="11"/>
      <c r="CT742" s="11"/>
      <c r="DA742" s="11"/>
      <c r="DH742" s="11"/>
      <c r="DO742" s="11"/>
    </row>
    <row r="743" ht="15.75" customHeight="1">
      <c r="C743" s="8"/>
      <c r="BD743" s="11"/>
      <c r="BR743" s="11"/>
      <c r="BY743" s="11"/>
      <c r="CF743" s="11"/>
      <c r="CM743" s="11"/>
      <c r="CT743" s="11"/>
      <c r="DA743" s="11"/>
      <c r="DH743" s="11"/>
      <c r="DO743" s="11"/>
    </row>
    <row r="744" ht="15.75" customHeight="1">
      <c r="C744" s="8"/>
      <c r="BD744" s="11"/>
      <c r="BR744" s="11"/>
      <c r="BY744" s="11"/>
      <c r="CF744" s="11"/>
      <c r="CM744" s="11"/>
      <c r="CT744" s="11"/>
      <c r="DA744" s="11"/>
      <c r="DH744" s="11"/>
      <c r="DO744" s="11"/>
    </row>
    <row r="745" ht="15.75" customHeight="1">
      <c r="C745" s="8"/>
      <c r="BD745" s="11"/>
      <c r="BR745" s="11"/>
      <c r="BY745" s="11"/>
      <c r="CF745" s="11"/>
      <c r="CM745" s="11"/>
      <c r="CT745" s="11"/>
      <c r="DA745" s="11"/>
      <c r="DH745" s="11"/>
      <c r="DO745" s="11"/>
    </row>
    <row r="746" ht="15.75" customHeight="1">
      <c r="C746" s="8"/>
      <c r="BD746" s="11"/>
      <c r="BR746" s="11"/>
      <c r="BY746" s="11"/>
      <c r="CF746" s="11"/>
      <c r="CM746" s="11"/>
      <c r="CT746" s="11"/>
      <c r="DA746" s="11"/>
      <c r="DH746" s="11"/>
      <c r="DO746" s="11"/>
    </row>
    <row r="747" ht="15.75" customHeight="1">
      <c r="C747" s="8"/>
      <c r="BD747" s="11"/>
      <c r="BR747" s="11"/>
      <c r="BY747" s="11"/>
      <c r="CF747" s="11"/>
      <c r="CM747" s="11"/>
      <c r="CT747" s="11"/>
      <c r="DA747" s="11"/>
      <c r="DH747" s="11"/>
      <c r="DO747" s="11"/>
    </row>
    <row r="748" ht="15.75" customHeight="1">
      <c r="C748" s="8"/>
      <c r="BD748" s="11"/>
      <c r="BR748" s="11"/>
      <c r="BY748" s="11"/>
      <c r="CF748" s="11"/>
      <c r="CM748" s="11"/>
      <c r="CT748" s="11"/>
      <c r="DA748" s="11"/>
      <c r="DH748" s="11"/>
      <c r="DO748" s="11"/>
    </row>
    <row r="749" ht="15.75" customHeight="1">
      <c r="C749" s="8"/>
      <c r="BD749" s="11"/>
      <c r="BR749" s="11"/>
      <c r="BY749" s="11"/>
      <c r="CF749" s="11"/>
      <c r="CM749" s="11"/>
      <c r="CT749" s="11"/>
      <c r="DA749" s="11"/>
      <c r="DH749" s="11"/>
      <c r="DO749" s="11"/>
    </row>
    <row r="750" ht="15.75" customHeight="1">
      <c r="C750" s="8"/>
      <c r="BD750" s="11"/>
      <c r="BR750" s="11"/>
      <c r="BY750" s="11"/>
      <c r="CF750" s="11"/>
      <c r="CM750" s="11"/>
      <c r="CT750" s="11"/>
      <c r="DA750" s="11"/>
      <c r="DH750" s="11"/>
      <c r="DO750" s="11"/>
    </row>
    <row r="751" ht="15.75" customHeight="1">
      <c r="C751" s="8"/>
      <c r="BD751" s="11"/>
      <c r="BR751" s="11"/>
      <c r="BY751" s="11"/>
      <c r="CF751" s="11"/>
      <c r="CM751" s="11"/>
      <c r="CT751" s="11"/>
      <c r="DA751" s="11"/>
      <c r="DH751" s="11"/>
      <c r="DO751" s="11"/>
    </row>
    <row r="752" ht="15.75" customHeight="1">
      <c r="C752" s="8"/>
      <c r="BD752" s="11"/>
      <c r="BR752" s="11"/>
      <c r="BY752" s="11"/>
      <c r="CF752" s="11"/>
      <c r="CM752" s="11"/>
      <c r="CT752" s="11"/>
      <c r="DA752" s="11"/>
      <c r="DH752" s="11"/>
      <c r="DO752" s="11"/>
    </row>
    <row r="753" ht="15.75" customHeight="1">
      <c r="C753" s="8"/>
      <c r="BD753" s="11"/>
      <c r="BR753" s="11"/>
      <c r="BY753" s="11"/>
      <c r="CF753" s="11"/>
      <c r="CM753" s="11"/>
      <c r="CT753" s="11"/>
      <c r="DA753" s="11"/>
      <c r="DH753" s="11"/>
      <c r="DO753" s="11"/>
    </row>
    <row r="754" ht="15.75" customHeight="1">
      <c r="C754" s="8"/>
      <c r="BD754" s="11"/>
      <c r="BR754" s="11"/>
      <c r="BY754" s="11"/>
      <c r="CF754" s="11"/>
      <c r="CM754" s="11"/>
      <c r="CT754" s="11"/>
      <c r="DA754" s="11"/>
      <c r="DH754" s="11"/>
      <c r="DO754" s="11"/>
    </row>
    <row r="755" ht="15.75" customHeight="1">
      <c r="C755" s="8"/>
      <c r="BD755" s="11"/>
      <c r="BR755" s="11"/>
      <c r="BY755" s="11"/>
      <c r="CF755" s="11"/>
      <c r="CM755" s="11"/>
      <c r="CT755" s="11"/>
      <c r="DA755" s="11"/>
      <c r="DH755" s="11"/>
      <c r="DO755" s="11"/>
    </row>
    <row r="756" ht="15.75" customHeight="1">
      <c r="C756" s="8"/>
      <c r="BD756" s="11"/>
      <c r="BR756" s="11"/>
      <c r="BY756" s="11"/>
      <c r="CF756" s="11"/>
      <c r="CM756" s="11"/>
      <c r="CT756" s="11"/>
      <c r="DA756" s="11"/>
      <c r="DH756" s="11"/>
      <c r="DO756" s="11"/>
    </row>
    <row r="757" ht="15.75" customHeight="1">
      <c r="C757" s="8"/>
      <c r="BD757" s="11"/>
      <c r="BR757" s="11"/>
      <c r="BY757" s="11"/>
      <c r="CF757" s="11"/>
      <c r="CM757" s="11"/>
      <c r="CT757" s="11"/>
      <c r="DA757" s="11"/>
      <c r="DH757" s="11"/>
      <c r="DO757" s="11"/>
    </row>
    <row r="758" ht="15.75" customHeight="1">
      <c r="C758" s="8"/>
      <c r="BD758" s="11"/>
      <c r="BR758" s="11"/>
      <c r="BY758" s="11"/>
      <c r="CF758" s="11"/>
      <c r="CM758" s="11"/>
      <c r="CT758" s="11"/>
      <c r="DA758" s="11"/>
      <c r="DH758" s="11"/>
      <c r="DO758" s="11"/>
    </row>
    <row r="759" ht="15.75" customHeight="1">
      <c r="C759" s="8"/>
      <c r="BD759" s="11"/>
      <c r="BR759" s="11"/>
      <c r="BY759" s="11"/>
      <c r="CF759" s="11"/>
      <c r="CM759" s="11"/>
      <c r="CT759" s="11"/>
      <c r="DA759" s="11"/>
      <c r="DH759" s="11"/>
      <c r="DO759" s="11"/>
    </row>
    <row r="760" ht="15.75" customHeight="1">
      <c r="C760" s="8"/>
      <c r="BD760" s="11"/>
      <c r="BR760" s="11"/>
      <c r="BY760" s="11"/>
      <c r="CF760" s="11"/>
      <c r="CM760" s="11"/>
      <c r="CT760" s="11"/>
      <c r="DA760" s="11"/>
      <c r="DH760" s="11"/>
      <c r="DO760" s="11"/>
    </row>
    <row r="761" ht="15.75" customHeight="1">
      <c r="C761" s="8"/>
      <c r="BD761" s="11"/>
      <c r="BR761" s="11"/>
      <c r="BY761" s="11"/>
      <c r="CF761" s="11"/>
      <c r="CM761" s="11"/>
      <c r="CT761" s="11"/>
      <c r="DA761" s="11"/>
      <c r="DH761" s="11"/>
      <c r="DO761" s="11"/>
    </row>
    <row r="762" ht="15.75" customHeight="1">
      <c r="C762" s="8"/>
      <c r="BD762" s="11"/>
      <c r="BR762" s="11"/>
      <c r="BY762" s="11"/>
      <c r="CF762" s="11"/>
      <c r="CM762" s="11"/>
      <c r="CT762" s="11"/>
      <c r="DA762" s="11"/>
      <c r="DH762" s="11"/>
      <c r="DO762" s="11"/>
    </row>
    <row r="763" ht="15.75" customHeight="1">
      <c r="C763" s="8"/>
      <c r="BD763" s="11"/>
      <c r="BR763" s="11"/>
      <c r="BY763" s="11"/>
      <c r="CF763" s="11"/>
      <c r="CM763" s="11"/>
      <c r="CT763" s="11"/>
      <c r="DA763" s="11"/>
      <c r="DH763" s="11"/>
      <c r="DO763" s="11"/>
    </row>
    <row r="764" ht="15.75" customHeight="1">
      <c r="C764" s="8"/>
      <c r="BD764" s="11"/>
      <c r="BR764" s="11"/>
      <c r="BY764" s="11"/>
      <c r="CF764" s="11"/>
      <c r="CM764" s="11"/>
      <c r="CT764" s="11"/>
      <c r="DA764" s="11"/>
      <c r="DH764" s="11"/>
      <c r="DO764" s="11"/>
    </row>
    <row r="765" ht="15.75" customHeight="1">
      <c r="C765" s="8"/>
      <c r="BD765" s="11"/>
      <c r="BR765" s="11"/>
      <c r="BY765" s="11"/>
      <c r="CF765" s="11"/>
      <c r="CM765" s="11"/>
      <c r="CT765" s="11"/>
      <c r="DA765" s="11"/>
      <c r="DH765" s="11"/>
      <c r="DO765" s="11"/>
    </row>
    <row r="766" ht="15.75" customHeight="1">
      <c r="C766" s="8"/>
      <c r="BD766" s="11"/>
      <c r="BR766" s="11"/>
      <c r="BY766" s="11"/>
      <c r="CF766" s="11"/>
      <c r="CM766" s="11"/>
      <c r="CT766" s="11"/>
      <c r="DA766" s="11"/>
      <c r="DH766" s="11"/>
      <c r="DO766" s="11"/>
    </row>
    <row r="767" ht="15.75" customHeight="1">
      <c r="C767" s="8"/>
      <c r="BD767" s="11"/>
      <c r="BR767" s="11"/>
      <c r="BY767" s="11"/>
      <c r="CF767" s="11"/>
      <c r="CM767" s="11"/>
      <c r="CT767" s="11"/>
      <c r="DA767" s="11"/>
      <c r="DH767" s="11"/>
      <c r="DO767" s="11"/>
    </row>
    <row r="768" ht="15.75" customHeight="1">
      <c r="C768" s="8"/>
      <c r="BD768" s="11"/>
      <c r="BR768" s="11"/>
      <c r="BY768" s="11"/>
      <c r="CF768" s="11"/>
      <c r="CM768" s="11"/>
      <c r="CT768" s="11"/>
      <c r="DA768" s="11"/>
      <c r="DH768" s="11"/>
      <c r="DO768" s="11"/>
    </row>
    <row r="769" ht="15.75" customHeight="1">
      <c r="C769" s="8"/>
      <c r="BD769" s="11"/>
      <c r="BR769" s="11"/>
      <c r="BY769" s="11"/>
      <c r="CF769" s="11"/>
      <c r="CM769" s="11"/>
      <c r="CT769" s="11"/>
      <c r="DA769" s="11"/>
      <c r="DH769" s="11"/>
      <c r="DO769" s="11"/>
    </row>
    <row r="770" ht="15.75" customHeight="1">
      <c r="C770" s="8"/>
      <c r="BD770" s="11"/>
      <c r="BR770" s="11"/>
      <c r="BY770" s="11"/>
      <c r="CF770" s="11"/>
      <c r="CM770" s="11"/>
      <c r="CT770" s="11"/>
      <c r="DA770" s="11"/>
      <c r="DH770" s="11"/>
      <c r="DO770" s="11"/>
    </row>
    <row r="771" ht="15.75" customHeight="1">
      <c r="C771" s="8"/>
      <c r="BD771" s="11"/>
      <c r="BR771" s="11"/>
      <c r="BY771" s="11"/>
      <c r="CF771" s="11"/>
      <c r="CM771" s="11"/>
      <c r="CT771" s="11"/>
      <c r="DA771" s="11"/>
      <c r="DH771" s="11"/>
      <c r="DO771" s="11"/>
    </row>
    <row r="772" ht="15.75" customHeight="1">
      <c r="C772" s="8"/>
      <c r="BD772" s="11"/>
      <c r="BR772" s="11"/>
      <c r="BY772" s="11"/>
      <c r="CF772" s="11"/>
      <c r="CM772" s="11"/>
      <c r="CT772" s="11"/>
      <c r="DA772" s="11"/>
      <c r="DH772" s="11"/>
      <c r="DO772" s="11"/>
    </row>
    <row r="773" ht="15.75" customHeight="1">
      <c r="C773" s="8"/>
      <c r="BD773" s="11"/>
      <c r="BR773" s="11"/>
      <c r="BY773" s="11"/>
      <c r="CF773" s="11"/>
      <c r="CM773" s="11"/>
      <c r="CT773" s="11"/>
      <c r="DA773" s="11"/>
      <c r="DH773" s="11"/>
      <c r="DO773" s="11"/>
    </row>
    <row r="774" ht="15.75" customHeight="1">
      <c r="C774" s="8"/>
      <c r="BD774" s="11"/>
      <c r="BR774" s="11"/>
      <c r="BY774" s="11"/>
      <c r="CF774" s="11"/>
      <c r="CM774" s="11"/>
      <c r="CT774" s="11"/>
      <c r="DA774" s="11"/>
      <c r="DH774" s="11"/>
      <c r="DO774" s="11"/>
    </row>
    <row r="775" ht="15.75" customHeight="1">
      <c r="C775" s="8"/>
      <c r="BD775" s="11"/>
      <c r="BR775" s="11"/>
      <c r="BY775" s="11"/>
      <c r="CF775" s="11"/>
      <c r="CM775" s="11"/>
      <c r="CT775" s="11"/>
      <c r="DA775" s="11"/>
      <c r="DH775" s="11"/>
      <c r="DO775" s="11"/>
    </row>
    <row r="776" ht="15.75" customHeight="1">
      <c r="C776" s="8"/>
      <c r="BD776" s="11"/>
      <c r="BR776" s="11"/>
      <c r="BY776" s="11"/>
      <c r="CF776" s="11"/>
      <c r="CM776" s="11"/>
      <c r="CT776" s="11"/>
      <c r="DA776" s="11"/>
      <c r="DH776" s="11"/>
      <c r="DO776" s="11"/>
    </row>
    <row r="777" ht="15.75" customHeight="1">
      <c r="C777" s="8"/>
      <c r="BD777" s="11"/>
      <c r="BR777" s="11"/>
      <c r="BY777" s="11"/>
      <c r="CF777" s="11"/>
      <c r="CM777" s="11"/>
      <c r="CT777" s="11"/>
      <c r="DA777" s="11"/>
      <c r="DH777" s="11"/>
      <c r="DO777" s="11"/>
    </row>
    <row r="778" ht="15.75" customHeight="1">
      <c r="C778" s="8"/>
      <c r="BD778" s="11"/>
      <c r="BR778" s="11"/>
      <c r="BY778" s="11"/>
      <c r="CF778" s="11"/>
      <c r="CM778" s="11"/>
      <c r="CT778" s="11"/>
      <c r="DA778" s="11"/>
      <c r="DH778" s="11"/>
      <c r="DO778" s="11"/>
    </row>
    <row r="779" ht="15.75" customHeight="1">
      <c r="C779" s="8"/>
      <c r="BD779" s="11"/>
      <c r="BR779" s="11"/>
      <c r="BY779" s="11"/>
      <c r="CF779" s="11"/>
      <c r="CM779" s="11"/>
      <c r="CT779" s="11"/>
      <c r="DA779" s="11"/>
      <c r="DH779" s="11"/>
      <c r="DO779" s="11"/>
    </row>
    <row r="780" ht="15.75" customHeight="1">
      <c r="C780" s="8"/>
      <c r="BD780" s="11"/>
      <c r="BR780" s="11"/>
      <c r="BY780" s="11"/>
      <c r="CF780" s="11"/>
      <c r="CM780" s="11"/>
      <c r="CT780" s="11"/>
      <c r="DA780" s="11"/>
      <c r="DH780" s="11"/>
      <c r="DO780" s="11"/>
    </row>
    <row r="781" ht="15.75" customHeight="1">
      <c r="C781" s="8"/>
      <c r="BD781" s="11"/>
      <c r="BR781" s="11"/>
      <c r="BY781" s="11"/>
      <c r="CF781" s="11"/>
      <c r="CM781" s="11"/>
      <c r="CT781" s="11"/>
      <c r="DA781" s="11"/>
      <c r="DH781" s="11"/>
      <c r="DO781" s="11"/>
    </row>
    <row r="782" ht="15.75" customHeight="1">
      <c r="C782" s="8"/>
      <c r="BD782" s="11"/>
      <c r="BR782" s="11"/>
      <c r="BY782" s="11"/>
      <c r="CF782" s="11"/>
      <c r="CM782" s="11"/>
      <c r="CT782" s="11"/>
      <c r="DA782" s="11"/>
      <c r="DH782" s="11"/>
      <c r="DO782" s="11"/>
    </row>
    <row r="783" ht="15.75" customHeight="1">
      <c r="C783" s="8"/>
      <c r="BD783" s="11"/>
      <c r="BR783" s="11"/>
      <c r="BY783" s="11"/>
      <c r="CF783" s="11"/>
      <c r="CM783" s="11"/>
      <c r="CT783" s="11"/>
      <c r="DA783" s="11"/>
      <c r="DH783" s="11"/>
      <c r="DO783" s="11"/>
    </row>
    <row r="784" ht="15.75" customHeight="1">
      <c r="C784" s="8"/>
      <c r="BD784" s="11"/>
      <c r="BR784" s="11"/>
      <c r="BY784" s="11"/>
      <c r="CF784" s="11"/>
      <c r="CM784" s="11"/>
      <c r="CT784" s="11"/>
      <c r="DA784" s="11"/>
      <c r="DH784" s="11"/>
      <c r="DO784" s="11"/>
    </row>
    <row r="785" ht="15.75" customHeight="1">
      <c r="C785" s="8"/>
      <c r="BD785" s="11"/>
      <c r="BR785" s="11"/>
      <c r="BY785" s="11"/>
      <c r="CF785" s="11"/>
      <c r="CM785" s="11"/>
      <c r="CT785" s="11"/>
      <c r="DA785" s="11"/>
      <c r="DH785" s="11"/>
      <c r="DO785" s="11"/>
    </row>
    <row r="786" ht="15.75" customHeight="1">
      <c r="C786" s="8"/>
      <c r="BD786" s="11"/>
      <c r="BR786" s="11"/>
      <c r="BY786" s="11"/>
      <c r="CF786" s="11"/>
      <c r="CM786" s="11"/>
      <c r="CT786" s="11"/>
      <c r="DA786" s="11"/>
      <c r="DH786" s="11"/>
      <c r="DO786" s="11"/>
    </row>
    <row r="787" ht="15.75" customHeight="1">
      <c r="C787" s="8"/>
      <c r="BD787" s="11"/>
      <c r="BR787" s="11"/>
      <c r="BY787" s="11"/>
      <c r="CF787" s="11"/>
      <c r="CM787" s="11"/>
      <c r="CT787" s="11"/>
      <c r="DA787" s="11"/>
      <c r="DH787" s="11"/>
      <c r="DO787" s="11"/>
    </row>
    <row r="788" ht="15.75" customHeight="1">
      <c r="C788" s="8"/>
      <c r="BD788" s="11"/>
      <c r="BR788" s="11"/>
      <c r="BY788" s="11"/>
      <c r="CF788" s="11"/>
      <c r="CM788" s="11"/>
      <c r="CT788" s="11"/>
      <c r="DA788" s="11"/>
      <c r="DH788" s="11"/>
      <c r="DO788" s="11"/>
    </row>
    <row r="789" ht="15.75" customHeight="1">
      <c r="C789" s="8"/>
      <c r="BD789" s="11"/>
      <c r="BR789" s="11"/>
      <c r="BY789" s="11"/>
      <c r="CF789" s="11"/>
      <c r="CM789" s="11"/>
      <c r="CT789" s="11"/>
      <c r="DA789" s="11"/>
      <c r="DH789" s="11"/>
      <c r="DO789" s="11"/>
    </row>
    <row r="790" ht="15.75" customHeight="1">
      <c r="C790" s="8"/>
      <c r="BD790" s="11"/>
      <c r="BR790" s="11"/>
      <c r="BY790" s="11"/>
      <c r="CF790" s="11"/>
      <c r="CM790" s="11"/>
      <c r="CT790" s="11"/>
      <c r="DA790" s="11"/>
      <c r="DH790" s="11"/>
      <c r="DO790" s="11"/>
    </row>
    <row r="791" ht="15.75" customHeight="1">
      <c r="C791" s="8"/>
      <c r="BD791" s="11"/>
      <c r="BR791" s="11"/>
      <c r="BY791" s="11"/>
      <c r="CF791" s="11"/>
      <c r="CM791" s="11"/>
      <c r="CT791" s="11"/>
      <c r="DA791" s="11"/>
      <c r="DH791" s="11"/>
      <c r="DO791" s="11"/>
    </row>
    <row r="792" ht="15.75" customHeight="1">
      <c r="C792" s="8"/>
      <c r="BD792" s="11"/>
      <c r="BR792" s="11"/>
      <c r="BY792" s="11"/>
      <c r="CF792" s="11"/>
      <c r="CM792" s="11"/>
      <c r="CT792" s="11"/>
      <c r="DA792" s="11"/>
      <c r="DH792" s="11"/>
      <c r="DO792" s="11"/>
    </row>
    <row r="793" ht="15.75" customHeight="1">
      <c r="C793" s="8"/>
      <c r="BD793" s="11"/>
      <c r="BR793" s="11"/>
      <c r="BY793" s="11"/>
      <c r="CF793" s="11"/>
      <c r="CM793" s="11"/>
      <c r="CT793" s="11"/>
      <c r="DA793" s="11"/>
      <c r="DH793" s="11"/>
      <c r="DO793" s="11"/>
    </row>
    <row r="794" ht="15.75" customHeight="1">
      <c r="C794" s="8"/>
      <c r="BD794" s="11"/>
      <c r="BR794" s="11"/>
      <c r="BY794" s="11"/>
      <c r="CF794" s="11"/>
      <c r="CM794" s="11"/>
      <c r="CT794" s="11"/>
      <c r="DA794" s="11"/>
      <c r="DH794" s="11"/>
      <c r="DO794" s="11"/>
    </row>
    <row r="795" ht="15.75" customHeight="1">
      <c r="C795" s="8"/>
      <c r="BD795" s="11"/>
      <c r="BR795" s="11"/>
      <c r="BY795" s="11"/>
      <c r="CF795" s="11"/>
      <c r="CM795" s="11"/>
      <c r="CT795" s="11"/>
      <c r="DA795" s="11"/>
      <c r="DH795" s="11"/>
      <c r="DO795" s="11"/>
    </row>
    <row r="796" ht="15.75" customHeight="1">
      <c r="C796" s="8"/>
      <c r="BD796" s="11"/>
      <c r="BR796" s="11"/>
      <c r="BY796" s="11"/>
      <c r="CF796" s="11"/>
      <c r="CM796" s="11"/>
      <c r="CT796" s="11"/>
      <c r="DA796" s="11"/>
      <c r="DH796" s="11"/>
      <c r="DO796" s="11"/>
    </row>
    <row r="797" ht="15.75" customHeight="1">
      <c r="C797" s="8"/>
      <c r="BD797" s="11"/>
      <c r="BR797" s="11"/>
      <c r="BY797" s="11"/>
      <c r="CF797" s="11"/>
      <c r="CM797" s="11"/>
      <c r="CT797" s="11"/>
      <c r="DA797" s="11"/>
      <c r="DH797" s="11"/>
      <c r="DO797" s="11"/>
    </row>
    <row r="798" ht="15.75" customHeight="1">
      <c r="C798" s="8"/>
      <c r="BD798" s="11"/>
      <c r="BR798" s="11"/>
      <c r="BY798" s="11"/>
      <c r="CF798" s="11"/>
      <c r="CM798" s="11"/>
      <c r="CT798" s="11"/>
      <c r="DA798" s="11"/>
      <c r="DH798" s="11"/>
      <c r="DO798" s="11"/>
    </row>
    <row r="799" ht="15.75" customHeight="1">
      <c r="C799" s="8"/>
      <c r="BD799" s="11"/>
      <c r="BR799" s="11"/>
      <c r="BY799" s="11"/>
      <c r="CF799" s="11"/>
      <c r="CM799" s="11"/>
      <c r="CT799" s="11"/>
      <c r="DA799" s="11"/>
      <c r="DH799" s="11"/>
      <c r="DO799" s="11"/>
    </row>
    <row r="800" ht="15.75" customHeight="1">
      <c r="C800" s="8"/>
      <c r="BD800" s="11"/>
      <c r="BR800" s="11"/>
      <c r="BY800" s="11"/>
      <c r="CF800" s="11"/>
      <c r="CM800" s="11"/>
      <c r="CT800" s="11"/>
      <c r="DA800" s="11"/>
      <c r="DH800" s="11"/>
      <c r="DO800" s="11"/>
    </row>
    <row r="801" ht="15.75" customHeight="1">
      <c r="C801" s="8"/>
      <c r="BD801" s="11"/>
      <c r="BR801" s="11"/>
      <c r="BY801" s="11"/>
      <c r="CF801" s="11"/>
      <c r="CM801" s="11"/>
      <c r="CT801" s="11"/>
      <c r="DA801" s="11"/>
      <c r="DH801" s="11"/>
      <c r="DO801" s="11"/>
    </row>
    <row r="802" ht="15.75" customHeight="1">
      <c r="C802" s="8"/>
      <c r="BD802" s="11"/>
      <c r="BR802" s="11"/>
      <c r="BY802" s="11"/>
      <c r="CF802" s="11"/>
      <c r="CM802" s="11"/>
      <c r="CT802" s="11"/>
      <c r="DA802" s="11"/>
      <c r="DH802" s="11"/>
      <c r="DO802" s="11"/>
    </row>
    <row r="803" ht="15.75" customHeight="1">
      <c r="C803" s="8"/>
      <c r="BD803" s="11"/>
      <c r="BR803" s="11"/>
      <c r="BY803" s="11"/>
      <c r="CF803" s="11"/>
      <c r="CM803" s="11"/>
      <c r="CT803" s="11"/>
      <c r="DA803" s="11"/>
      <c r="DH803" s="11"/>
      <c r="DO803" s="11"/>
    </row>
    <row r="804" ht="15.75" customHeight="1">
      <c r="C804" s="8"/>
      <c r="BD804" s="11"/>
      <c r="BR804" s="11"/>
      <c r="BY804" s="11"/>
      <c r="CF804" s="11"/>
      <c r="CM804" s="11"/>
      <c r="CT804" s="11"/>
      <c r="DA804" s="11"/>
      <c r="DH804" s="11"/>
      <c r="DO804" s="11"/>
    </row>
    <row r="805" ht="15.75" customHeight="1">
      <c r="C805" s="8"/>
      <c r="BD805" s="11"/>
      <c r="BR805" s="11"/>
      <c r="BY805" s="11"/>
      <c r="CF805" s="11"/>
      <c r="CM805" s="11"/>
      <c r="CT805" s="11"/>
      <c r="DA805" s="11"/>
      <c r="DH805" s="11"/>
      <c r="DO805" s="11"/>
    </row>
    <row r="806" ht="15.75" customHeight="1">
      <c r="C806" s="8"/>
      <c r="BD806" s="11"/>
      <c r="BR806" s="11"/>
      <c r="BY806" s="11"/>
      <c r="CF806" s="11"/>
      <c r="CM806" s="11"/>
      <c r="CT806" s="11"/>
      <c r="DA806" s="11"/>
      <c r="DH806" s="11"/>
      <c r="DO806" s="11"/>
    </row>
    <row r="807" ht="15.75" customHeight="1">
      <c r="C807" s="8"/>
      <c r="BD807" s="11"/>
      <c r="BR807" s="11"/>
      <c r="BY807" s="11"/>
      <c r="CF807" s="11"/>
      <c r="CM807" s="11"/>
      <c r="CT807" s="11"/>
      <c r="DA807" s="11"/>
      <c r="DH807" s="11"/>
      <c r="DO807" s="11"/>
    </row>
    <row r="808" ht="15.75" customHeight="1">
      <c r="C808" s="8"/>
      <c r="BD808" s="11"/>
      <c r="BR808" s="11"/>
      <c r="BY808" s="11"/>
      <c r="CF808" s="11"/>
      <c r="CM808" s="11"/>
      <c r="CT808" s="11"/>
      <c r="DA808" s="11"/>
      <c r="DH808" s="11"/>
      <c r="DO808" s="11"/>
    </row>
    <row r="809" ht="15.75" customHeight="1">
      <c r="C809" s="8"/>
      <c r="BD809" s="11"/>
      <c r="BR809" s="11"/>
      <c r="BY809" s="11"/>
      <c r="CF809" s="11"/>
      <c r="CM809" s="11"/>
      <c r="CT809" s="11"/>
      <c r="DA809" s="11"/>
      <c r="DH809" s="11"/>
      <c r="DO809" s="11"/>
    </row>
    <row r="810" ht="15.75" customHeight="1">
      <c r="C810" s="8"/>
      <c r="BD810" s="11"/>
      <c r="BR810" s="11"/>
      <c r="BY810" s="11"/>
      <c r="CF810" s="11"/>
      <c r="CM810" s="11"/>
      <c r="CT810" s="11"/>
      <c r="DA810" s="11"/>
      <c r="DH810" s="11"/>
      <c r="DO810" s="11"/>
    </row>
    <row r="811" ht="15.75" customHeight="1">
      <c r="C811" s="8"/>
      <c r="BD811" s="11"/>
      <c r="BR811" s="11"/>
      <c r="BY811" s="11"/>
      <c r="CF811" s="11"/>
      <c r="CM811" s="11"/>
      <c r="CT811" s="11"/>
      <c r="DA811" s="11"/>
      <c r="DH811" s="11"/>
      <c r="DO811" s="11"/>
    </row>
    <row r="812" ht="15.75" customHeight="1">
      <c r="C812" s="8"/>
      <c r="BD812" s="11"/>
      <c r="BR812" s="11"/>
      <c r="BY812" s="11"/>
      <c r="CF812" s="11"/>
      <c r="CM812" s="11"/>
      <c r="CT812" s="11"/>
      <c r="DA812" s="11"/>
      <c r="DH812" s="11"/>
      <c r="DO812" s="11"/>
    </row>
    <row r="813" ht="15.75" customHeight="1">
      <c r="C813" s="8"/>
      <c r="BD813" s="11"/>
      <c r="BR813" s="11"/>
      <c r="BY813" s="11"/>
      <c r="CF813" s="11"/>
      <c r="CM813" s="11"/>
      <c r="CT813" s="11"/>
      <c r="DA813" s="11"/>
      <c r="DH813" s="11"/>
      <c r="DO813" s="11"/>
    </row>
    <row r="814" ht="15.75" customHeight="1">
      <c r="C814" s="8"/>
      <c r="BD814" s="11"/>
      <c r="BR814" s="11"/>
      <c r="BY814" s="11"/>
      <c r="CF814" s="11"/>
      <c r="CM814" s="11"/>
      <c r="CT814" s="11"/>
      <c r="DA814" s="11"/>
      <c r="DH814" s="11"/>
      <c r="DO814" s="11"/>
    </row>
    <row r="815" ht="15.75" customHeight="1">
      <c r="C815" s="8"/>
      <c r="BD815" s="11"/>
      <c r="BR815" s="11"/>
      <c r="BY815" s="11"/>
      <c r="CF815" s="11"/>
      <c r="CM815" s="11"/>
      <c r="CT815" s="11"/>
      <c r="DA815" s="11"/>
      <c r="DH815" s="11"/>
      <c r="DO815" s="11"/>
    </row>
    <row r="816" ht="15.75" customHeight="1">
      <c r="C816" s="8"/>
      <c r="BD816" s="11"/>
      <c r="BR816" s="11"/>
      <c r="BY816" s="11"/>
      <c r="CF816" s="11"/>
      <c r="CM816" s="11"/>
      <c r="CT816" s="11"/>
      <c r="DA816" s="11"/>
      <c r="DH816" s="11"/>
      <c r="DO816" s="11"/>
    </row>
    <row r="817" ht="15.75" customHeight="1">
      <c r="C817" s="8"/>
      <c r="BD817" s="11"/>
      <c r="BR817" s="11"/>
      <c r="BY817" s="11"/>
      <c r="CF817" s="11"/>
      <c r="CM817" s="11"/>
      <c r="CT817" s="11"/>
      <c r="DA817" s="11"/>
      <c r="DH817" s="11"/>
      <c r="DO817" s="11"/>
    </row>
    <row r="818" ht="15.75" customHeight="1">
      <c r="C818" s="8"/>
      <c r="BD818" s="11"/>
      <c r="BR818" s="11"/>
      <c r="BY818" s="11"/>
      <c r="CF818" s="11"/>
      <c r="CM818" s="11"/>
      <c r="CT818" s="11"/>
      <c r="DA818" s="11"/>
      <c r="DH818" s="11"/>
      <c r="DO818" s="11"/>
    </row>
    <row r="819" ht="15.75" customHeight="1">
      <c r="C819" s="8"/>
      <c r="BD819" s="11"/>
      <c r="BR819" s="11"/>
      <c r="BY819" s="11"/>
      <c r="CF819" s="11"/>
      <c r="CM819" s="11"/>
      <c r="CT819" s="11"/>
      <c r="DA819" s="11"/>
      <c r="DH819" s="11"/>
      <c r="DO819" s="11"/>
    </row>
    <row r="820" ht="15.75" customHeight="1">
      <c r="C820" s="8"/>
      <c r="BD820" s="11"/>
      <c r="BR820" s="11"/>
      <c r="BY820" s="11"/>
      <c r="CF820" s="11"/>
      <c r="CM820" s="11"/>
      <c r="CT820" s="11"/>
      <c r="DA820" s="11"/>
      <c r="DH820" s="11"/>
      <c r="DO820" s="11"/>
    </row>
    <row r="821" ht="15.75" customHeight="1">
      <c r="C821" s="8"/>
      <c r="BD821" s="11"/>
      <c r="BR821" s="11"/>
      <c r="BY821" s="11"/>
      <c r="CF821" s="11"/>
      <c r="CM821" s="11"/>
      <c r="CT821" s="11"/>
      <c r="DA821" s="11"/>
      <c r="DH821" s="11"/>
      <c r="DO821" s="11"/>
    </row>
    <row r="822" ht="15.75" customHeight="1">
      <c r="C822" s="8"/>
      <c r="BD822" s="11"/>
      <c r="BR822" s="11"/>
      <c r="BY822" s="11"/>
      <c r="CF822" s="11"/>
      <c r="CM822" s="11"/>
      <c r="CT822" s="11"/>
      <c r="DA822" s="11"/>
      <c r="DH822" s="11"/>
      <c r="DO822" s="11"/>
    </row>
    <row r="823" ht="15.75" customHeight="1">
      <c r="C823" s="8"/>
      <c r="BD823" s="11"/>
      <c r="BR823" s="11"/>
      <c r="BY823" s="11"/>
      <c r="CF823" s="11"/>
      <c r="CM823" s="11"/>
      <c r="CT823" s="11"/>
      <c r="DA823" s="11"/>
      <c r="DH823" s="11"/>
      <c r="DO823" s="11"/>
    </row>
    <row r="824" ht="15.75" customHeight="1">
      <c r="C824" s="8"/>
      <c r="BD824" s="11"/>
      <c r="BR824" s="11"/>
      <c r="BY824" s="11"/>
      <c r="CF824" s="11"/>
      <c r="CM824" s="11"/>
      <c r="CT824" s="11"/>
      <c r="DA824" s="11"/>
      <c r="DH824" s="11"/>
      <c r="DO824" s="11"/>
    </row>
    <row r="825" ht="15.75" customHeight="1">
      <c r="C825" s="8"/>
      <c r="BD825" s="11"/>
      <c r="BR825" s="11"/>
      <c r="BY825" s="11"/>
      <c r="CF825" s="11"/>
      <c r="CM825" s="11"/>
      <c r="CT825" s="11"/>
      <c r="DA825" s="11"/>
      <c r="DH825" s="11"/>
      <c r="DO825" s="11"/>
    </row>
    <row r="826" ht="15.75" customHeight="1">
      <c r="C826" s="8"/>
      <c r="BD826" s="11"/>
      <c r="BR826" s="11"/>
      <c r="BY826" s="11"/>
      <c r="CF826" s="11"/>
      <c r="CM826" s="11"/>
      <c r="CT826" s="11"/>
      <c r="DA826" s="11"/>
      <c r="DH826" s="11"/>
      <c r="DO826" s="11"/>
    </row>
    <row r="827" ht="15.75" customHeight="1">
      <c r="C827" s="8"/>
      <c r="BD827" s="11"/>
      <c r="BR827" s="11"/>
      <c r="BY827" s="11"/>
      <c r="CF827" s="11"/>
      <c r="CM827" s="11"/>
      <c r="CT827" s="11"/>
      <c r="DA827" s="11"/>
      <c r="DH827" s="11"/>
      <c r="DO827" s="11"/>
    </row>
    <row r="828" ht="15.75" customHeight="1">
      <c r="C828" s="8"/>
      <c r="BD828" s="11"/>
      <c r="BR828" s="11"/>
      <c r="BY828" s="11"/>
      <c r="CF828" s="11"/>
      <c r="CM828" s="11"/>
      <c r="CT828" s="11"/>
      <c r="DA828" s="11"/>
      <c r="DH828" s="11"/>
      <c r="DO828" s="11"/>
    </row>
    <row r="829" ht="15.75" customHeight="1">
      <c r="C829" s="8"/>
      <c r="BD829" s="11"/>
      <c r="BR829" s="11"/>
      <c r="BY829" s="11"/>
      <c r="CF829" s="11"/>
      <c r="CM829" s="11"/>
      <c r="CT829" s="11"/>
      <c r="DA829" s="11"/>
      <c r="DH829" s="11"/>
      <c r="DO829" s="11"/>
    </row>
    <row r="830" ht="15.75" customHeight="1">
      <c r="C830" s="8"/>
      <c r="BD830" s="11"/>
      <c r="BR830" s="11"/>
      <c r="BY830" s="11"/>
      <c r="CF830" s="11"/>
      <c r="CM830" s="11"/>
      <c r="CT830" s="11"/>
      <c r="DA830" s="11"/>
      <c r="DH830" s="11"/>
      <c r="DO830" s="11"/>
    </row>
    <row r="831" ht="15.75" customHeight="1">
      <c r="C831" s="8"/>
      <c r="BD831" s="11"/>
      <c r="BR831" s="11"/>
      <c r="BY831" s="11"/>
      <c r="CF831" s="11"/>
      <c r="CM831" s="11"/>
      <c r="CT831" s="11"/>
      <c r="DA831" s="11"/>
      <c r="DH831" s="11"/>
      <c r="DO831" s="11"/>
    </row>
    <row r="832" ht="15.75" customHeight="1">
      <c r="C832" s="8"/>
      <c r="BD832" s="11"/>
      <c r="BR832" s="11"/>
      <c r="BY832" s="11"/>
      <c r="CF832" s="11"/>
      <c r="CM832" s="11"/>
      <c r="CT832" s="11"/>
      <c r="DA832" s="11"/>
      <c r="DH832" s="11"/>
      <c r="DO832" s="11"/>
    </row>
    <row r="833" ht="15.75" customHeight="1">
      <c r="C833" s="8"/>
      <c r="BD833" s="11"/>
      <c r="BR833" s="11"/>
      <c r="BY833" s="11"/>
      <c r="CF833" s="11"/>
      <c r="CM833" s="11"/>
      <c r="CT833" s="11"/>
      <c r="DA833" s="11"/>
      <c r="DH833" s="11"/>
      <c r="DO833" s="11"/>
    </row>
    <row r="834" ht="15.75" customHeight="1">
      <c r="C834" s="8"/>
      <c r="BD834" s="11"/>
      <c r="BR834" s="11"/>
      <c r="BY834" s="11"/>
      <c r="CF834" s="11"/>
      <c r="CM834" s="11"/>
      <c r="CT834" s="11"/>
      <c r="DA834" s="11"/>
      <c r="DH834" s="11"/>
      <c r="DO834" s="11"/>
    </row>
    <row r="835" ht="15.75" customHeight="1">
      <c r="C835" s="8"/>
      <c r="BD835" s="11"/>
      <c r="BR835" s="11"/>
      <c r="BY835" s="11"/>
      <c r="CF835" s="11"/>
      <c r="CM835" s="11"/>
      <c r="CT835" s="11"/>
      <c r="DA835" s="11"/>
      <c r="DH835" s="11"/>
      <c r="DO835" s="11"/>
    </row>
    <row r="836" ht="15.75" customHeight="1">
      <c r="C836" s="8"/>
      <c r="BD836" s="11"/>
      <c r="BR836" s="11"/>
      <c r="BY836" s="11"/>
      <c r="CF836" s="11"/>
      <c r="CM836" s="11"/>
      <c r="CT836" s="11"/>
      <c r="DA836" s="11"/>
      <c r="DH836" s="11"/>
      <c r="DO836" s="11"/>
    </row>
    <row r="837" ht="15.75" customHeight="1">
      <c r="C837" s="8"/>
      <c r="BD837" s="11"/>
      <c r="BR837" s="11"/>
      <c r="BY837" s="11"/>
      <c r="CF837" s="11"/>
      <c r="CM837" s="11"/>
      <c r="CT837" s="11"/>
      <c r="DA837" s="11"/>
      <c r="DH837" s="11"/>
      <c r="DO837" s="11"/>
    </row>
    <row r="838" ht="15.75" customHeight="1">
      <c r="C838" s="8"/>
      <c r="BD838" s="11"/>
      <c r="BR838" s="11"/>
      <c r="BY838" s="11"/>
      <c r="CF838" s="11"/>
      <c r="CM838" s="11"/>
      <c r="CT838" s="11"/>
      <c r="DA838" s="11"/>
      <c r="DH838" s="11"/>
      <c r="DO838" s="11"/>
    </row>
    <row r="839" ht="15.75" customHeight="1">
      <c r="C839" s="8"/>
      <c r="BD839" s="11"/>
      <c r="BR839" s="11"/>
      <c r="BY839" s="11"/>
      <c r="CF839" s="11"/>
      <c r="CM839" s="11"/>
      <c r="CT839" s="11"/>
      <c r="DA839" s="11"/>
      <c r="DH839" s="11"/>
      <c r="DO839" s="11"/>
    </row>
    <row r="840" ht="15.75" customHeight="1">
      <c r="C840" s="8"/>
      <c r="BD840" s="11"/>
      <c r="BR840" s="11"/>
      <c r="BY840" s="11"/>
      <c r="CF840" s="11"/>
      <c r="CM840" s="11"/>
      <c r="CT840" s="11"/>
      <c r="DA840" s="11"/>
      <c r="DH840" s="11"/>
      <c r="DO840" s="11"/>
    </row>
    <row r="841" ht="15.75" customHeight="1">
      <c r="C841" s="8"/>
      <c r="BD841" s="11"/>
      <c r="BR841" s="11"/>
      <c r="BY841" s="11"/>
      <c r="CF841" s="11"/>
      <c r="CM841" s="11"/>
      <c r="CT841" s="11"/>
      <c r="DA841" s="11"/>
      <c r="DH841" s="11"/>
      <c r="DO841" s="11"/>
    </row>
    <row r="842" ht="15.75" customHeight="1">
      <c r="C842" s="8"/>
      <c r="BD842" s="11"/>
      <c r="BR842" s="11"/>
      <c r="BY842" s="11"/>
      <c r="CF842" s="11"/>
      <c r="CM842" s="11"/>
      <c r="CT842" s="11"/>
      <c r="DA842" s="11"/>
      <c r="DH842" s="11"/>
      <c r="DO842" s="11"/>
    </row>
    <row r="843" ht="15.75" customHeight="1">
      <c r="C843" s="8"/>
      <c r="BD843" s="11"/>
      <c r="BR843" s="11"/>
      <c r="BY843" s="11"/>
      <c r="CF843" s="11"/>
      <c r="CM843" s="11"/>
      <c r="CT843" s="11"/>
      <c r="DA843" s="11"/>
      <c r="DH843" s="11"/>
      <c r="DO843" s="11"/>
    </row>
    <row r="844" ht="15.75" customHeight="1">
      <c r="C844" s="8"/>
      <c r="BD844" s="11"/>
      <c r="BR844" s="11"/>
      <c r="BY844" s="11"/>
      <c r="CF844" s="11"/>
      <c r="CM844" s="11"/>
      <c r="CT844" s="11"/>
      <c r="DA844" s="11"/>
      <c r="DH844" s="11"/>
      <c r="DO844" s="11"/>
    </row>
    <row r="845" ht="15.75" customHeight="1">
      <c r="C845" s="8"/>
      <c r="BD845" s="11"/>
      <c r="BR845" s="11"/>
      <c r="BY845" s="11"/>
      <c r="CF845" s="11"/>
      <c r="CM845" s="11"/>
      <c r="CT845" s="11"/>
      <c r="DA845" s="11"/>
      <c r="DH845" s="11"/>
      <c r="DO845" s="11"/>
    </row>
    <row r="846" ht="15.75" customHeight="1">
      <c r="C846" s="8"/>
      <c r="BD846" s="11"/>
      <c r="BR846" s="11"/>
      <c r="BY846" s="11"/>
      <c r="CF846" s="11"/>
      <c r="CM846" s="11"/>
      <c r="CT846" s="11"/>
      <c r="DA846" s="11"/>
      <c r="DH846" s="11"/>
      <c r="DO846" s="11"/>
    </row>
    <row r="847" ht="15.75" customHeight="1">
      <c r="C847" s="8"/>
      <c r="BD847" s="11"/>
      <c r="BR847" s="11"/>
      <c r="BY847" s="11"/>
      <c r="CF847" s="11"/>
      <c r="CM847" s="11"/>
      <c r="CT847" s="11"/>
      <c r="DA847" s="11"/>
      <c r="DH847" s="11"/>
      <c r="DO847" s="11"/>
    </row>
    <row r="848" ht="15.75" customHeight="1">
      <c r="C848" s="8"/>
      <c r="BD848" s="11"/>
      <c r="BR848" s="11"/>
      <c r="BY848" s="11"/>
      <c r="CF848" s="11"/>
      <c r="CM848" s="11"/>
      <c r="CT848" s="11"/>
      <c r="DA848" s="11"/>
      <c r="DH848" s="11"/>
      <c r="DO848" s="11"/>
    </row>
    <row r="849" ht="15.75" customHeight="1">
      <c r="C849" s="8"/>
      <c r="BD849" s="11"/>
      <c r="BR849" s="11"/>
      <c r="BY849" s="11"/>
      <c r="CF849" s="11"/>
      <c r="CM849" s="11"/>
      <c r="CT849" s="11"/>
      <c r="DA849" s="11"/>
      <c r="DH849" s="11"/>
      <c r="DO849" s="11"/>
    </row>
    <row r="850" ht="15.75" customHeight="1">
      <c r="C850" s="8"/>
      <c r="BD850" s="11"/>
      <c r="BR850" s="11"/>
      <c r="BY850" s="11"/>
      <c r="CF850" s="11"/>
      <c r="CM850" s="11"/>
      <c r="CT850" s="11"/>
      <c r="DA850" s="11"/>
      <c r="DH850" s="11"/>
      <c r="DO850" s="11"/>
    </row>
    <row r="851" ht="15.75" customHeight="1">
      <c r="C851" s="8"/>
      <c r="BD851" s="11"/>
      <c r="BR851" s="11"/>
      <c r="BY851" s="11"/>
      <c r="CF851" s="11"/>
      <c r="CM851" s="11"/>
      <c r="CT851" s="11"/>
      <c r="DA851" s="11"/>
      <c r="DH851" s="11"/>
      <c r="DO851" s="11"/>
    </row>
    <row r="852" ht="15.75" customHeight="1">
      <c r="C852" s="8"/>
      <c r="BD852" s="11"/>
      <c r="BR852" s="11"/>
      <c r="BY852" s="11"/>
      <c r="CF852" s="11"/>
      <c r="CM852" s="11"/>
      <c r="CT852" s="11"/>
      <c r="DA852" s="11"/>
      <c r="DH852" s="11"/>
      <c r="DO852" s="11"/>
    </row>
    <row r="853" ht="15.75" customHeight="1">
      <c r="C853" s="8"/>
      <c r="BD853" s="11"/>
      <c r="BR853" s="11"/>
      <c r="BY853" s="11"/>
      <c r="CF853" s="11"/>
      <c r="CM853" s="11"/>
      <c r="CT853" s="11"/>
      <c r="DA853" s="11"/>
      <c r="DH853" s="11"/>
      <c r="DO853" s="11"/>
    </row>
    <row r="854" ht="15.75" customHeight="1">
      <c r="C854" s="8"/>
      <c r="BD854" s="11"/>
      <c r="BR854" s="11"/>
      <c r="BY854" s="11"/>
      <c r="CF854" s="11"/>
      <c r="CM854" s="11"/>
      <c r="CT854" s="11"/>
      <c r="DA854" s="11"/>
      <c r="DH854" s="11"/>
      <c r="DO854" s="11"/>
    </row>
    <row r="855" ht="15.75" customHeight="1">
      <c r="C855" s="8"/>
      <c r="BD855" s="11"/>
      <c r="BR855" s="11"/>
      <c r="BY855" s="11"/>
      <c r="CF855" s="11"/>
      <c r="CM855" s="11"/>
      <c r="CT855" s="11"/>
      <c r="DA855" s="11"/>
      <c r="DH855" s="11"/>
      <c r="DO855" s="11"/>
    </row>
    <row r="856" ht="15.75" customHeight="1">
      <c r="C856" s="8"/>
      <c r="BD856" s="11"/>
      <c r="BR856" s="11"/>
      <c r="BY856" s="11"/>
      <c r="CF856" s="11"/>
      <c r="CM856" s="11"/>
      <c r="CT856" s="11"/>
      <c r="DA856" s="11"/>
      <c r="DH856" s="11"/>
      <c r="DO856" s="11"/>
    </row>
    <row r="857" ht="15.75" customHeight="1">
      <c r="C857" s="8"/>
      <c r="BD857" s="11"/>
      <c r="BR857" s="11"/>
      <c r="BY857" s="11"/>
      <c r="CF857" s="11"/>
      <c r="CM857" s="11"/>
      <c r="CT857" s="11"/>
      <c r="DA857" s="11"/>
      <c r="DH857" s="11"/>
      <c r="DO857" s="11"/>
    </row>
    <row r="858" ht="15.75" customHeight="1">
      <c r="C858" s="8"/>
      <c r="BD858" s="11"/>
      <c r="BR858" s="11"/>
      <c r="BY858" s="11"/>
      <c r="CF858" s="11"/>
      <c r="CM858" s="11"/>
      <c r="CT858" s="11"/>
      <c r="DA858" s="11"/>
      <c r="DH858" s="11"/>
      <c r="DO858" s="11"/>
    </row>
    <row r="859" ht="15.75" customHeight="1">
      <c r="C859" s="8"/>
      <c r="BD859" s="11"/>
      <c r="BR859" s="11"/>
      <c r="BY859" s="11"/>
      <c r="CF859" s="11"/>
      <c r="CM859" s="11"/>
      <c r="CT859" s="11"/>
      <c r="DA859" s="11"/>
      <c r="DH859" s="11"/>
      <c r="DO859" s="11"/>
    </row>
    <row r="860" ht="15.75" customHeight="1">
      <c r="C860" s="8"/>
      <c r="BD860" s="11"/>
      <c r="BR860" s="11"/>
      <c r="BY860" s="11"/>
      <c r="CF860" s="11"/>
      <c r="CM860" s="11"/>
      <c r="CT860" s="11"/>
      <c r="DA860" s="11"/>
      <c r="DH860" s="11"/>
      <c r="DO860" s="11"/>
    </row>
    <row r="861" ht="15.75" customHeight="1">
      <c r="C861" s="8"/>
      <c r="BD861" s="11"/>
      <c r="BR861" s="11"/>
      <c r="BY861" s="11"/>
      <c r="CF861" s="11"/>
      <c r="CM861" s="11"/>
      <c r="CT861" s="11"/>
      <c r="DA861" s="11"/>
      <c r="DH861" s="11"/>
      <c r="DO861" s="11"/>
    </row>
    <row r="862" ht="15.75" customHeight="1">
      <c r="C862" s="8"/>
      <c r="BD862" s="11"/>
      <c r="BR862" s="11"/>
      <c r="BY862" s="11"/>
      <c r="CF862" s="11"/>
      <c r="CM862" s="11"/>
      <c r="CT862" s="11"/>
      <c r="DA862" s="11"/>
      <c r="DH862" s="11"/>
      <c r="DO862" s="11"/>
    </row>
    <row r="863" ht="15.75" customHeight="1">
      <c r="C863" s="8"/>
      <c r="BD863" s="11"/>
      <c r="BR863" s="11"/>
      <c r="BY863" s="11"/>
      <c r="CF863" s="11"/>
      <c r="CM863" s="11"/>
      <c r="CT863" s="11"/>
      <c r="DA863" s="11"/>
      <c r="DH863" s="11"/>
      <c r="DO863" s="11"/>
    </row>
    <row r="864" ht="15.75" customHeight="1">
      <c r="C864" s="8"/>
      <c r="BD864" s="11"/>
      <c r="BR864" s="11"/>
      <c r="BY864" s="11"/>
      <c r="CF864" s="11"/>
      <c r="CM864" s="11"/>
      <c r="CT864" s="11"/>
      <c r="DA864" s="11"/>
      <c r="DH864" s="11"/>
      <c r="DO864" s="11"/>
    </row>
    <row r="865" ht="15.75" customHeight="1">
      <c r="C865" s="8"/>
      <c r="BD865" s="11"/>
      <c r="BR865" s="11"/>
      <c r="BY865" s="11"/>
      <c r="CF865" s="11"/>
      <c r="CM865" s="11"/>
      <c r="CT865" s="11"/>
      <c r="DA865" s="11"/>
      <c r="DH865" s="11"/>
      <c r="DO865" s="11"/>
    </row>
    <row r="866" ht="15.75" customHeight="1">
      <c r="C866" s="8"/>
      <c r="BD866" s="11"/>
      <c r="BR866" s="11"/>
      <c r="BY866" s="11"/>
      <c r="CF866" s="11"/>
      <c r="CM866" s="11"/>
      <c r="CT866" s="11"/>
      <c r="DA866" s="11"/>
      <c r="DH866" s="11"/>
      <c r="DO866" s="11"/>
    </row>
    <row r="867" ht="15.75" customHeight="1">
      <c r="C867" s="8"/>
      <c r="BD867" s="11"/>
      <c r="BR867" s="11"/>
      <c r="BY867" s="11"/>
      <c r="CF867" s="11"/>
      <c r="CM867" s="11"/>
      <c r="CT867" s="11"/>
      <c r="DA867" s="11"/>
      <c r="DH867" s="11"/>
      <c r="DO867" s="11"/>
    </row>
    <row r="868" ht="15.75" customHeight="1">
      <c r="C868" s="8"/>
      <c r="BD868" s="11"/>
      <c r="BR868" s="11"/>
      <c r="BY868" s="11"/>
      <c r="CF868" s="11"/>
      <c r="CM868" s="11"/>
      <c r="CT868" s="11"/>
      <c r="DA868" s="11"/>
      <c r="DH868" s="11"/>
      <c r="DO868" s="11"/>
    </row>
    <row r="869" ht="15.75" customHeight="1">
      <c r="C869" s="8"/>
      <c r="BD869" s="11"/>
      <c r="BR869" s="11"/>
      <c r="BY869" s="11"/>
      <c r="CF869" s="11"/>
      <c r="CM869" s="11"/>
      <c r="CT869" s="11"/>
      <c r="DA869" s="11"/>
      <c r="DH869" s="11"/>
      <c r="DO869" s="11"/>
    </row>
    <row r="870" ht="15.75" customHeight="1">
      <c r="C870" s="8"/>
      <c r="BD870" s="11"/>
      <c r="BR870" s="11"/>
      <c r="BY870" s="11"/>
      <c r="CF870" s="11"/>
      <c r="CM870" s="11"/>
      <c r="CT870" s="11"/>
      <c r="DA870" s="11"/>
      <c r="DH870" s="11"/>
      <c r="DO870" s="11"/>
    </row>
    <row r="871" ht="15.75" customHeight="1">
      <c r="C871" s="8"/>
      <c r="BD871" s="11"/>
      <c r="BR871" s="11"/>
      <c r="BY871" s="11"/>
      <c r="CF871" s="11"/>
      <c r="CM871" s="11"/>
      <c r="CT871" s="11"/>
      <c r="DA871" s="11"/>
      <c r="DH871" s="11"/>
      <c r="DO871" s="11"/>
    </row>
    <row r="872" ht="15.75" customHeight="1">
      <c r="C872" s="8"/>
      <c r="BD872" s="11"/>
      <c r="BR872" s="11"/>
      <c r="BY872" s="11"/>
      <c r="CF872" s="11"/>
      <c r="CM872" s="11"/>
      <c r="CT872" s="11"/>
      <c r="DA872" s="11"/>
      <c r="DH872" s="11"/>
      <c r="DO872" s="11"/>
    </row>
    <row r="873" ht="15.75" customHeight="1">
      <c r="C873" s="8"/>
      <c r="BD873" s="11"/>
      <c r="BR873" s="11"/>
      <c r="BY873" s="11"/>
      <c r="CF873" s="11"/>
      <c r="CM873" s="11"/>
      <c r="CT873" s="11"/>
      <c r="DA873" s="11"/>
      <c r="DH873" s="11"/>
      <c r="DO873" s="11"/>
    </row>
    <row r="874" ht="15.75" customHeight="1">
      <c r="C874" s="8"/>
      <c r="BD874" s="11"/>
      <c r="BR874" s="11"/>
      <c r="BY874" s="11"/>
      <c r="CF874" s="11"/>
      <c r="CM874" s="11"/>
      <c r="CT874" s="11"/>
      <c r="DA874" s="11"/>
      <c r="DH874" s="11"/>
      <c r="DO874" s="11"/>
    </row>
    <row r="875" ht="15.75" customHeight="1">
      <c r="C875" s="8"/>
      <c r="BD875" s="11"/>
      <c r="BR875" s="11"/>
      <c r="BY875" s="11"/>
      <c r="CF875" s="11"/>
      <c r="CM875" s="11"/>
      <c r="CT875" s="11"/>
      <c r="DA875" s="11"/>
      <c r="DH875" s="11"/>
      <c r="DO875" s="11"/>
    </row>
    <row r="876" ht="15.75" customHeight="1">
      <c r="C876" s="8"/>
      <c r="BD876" s="11"/>
      <c r="BR876" s="11"/>
      <c r="BY876" s="11"/>
      <c r="CF876" s="11"/>
      <c r="CM876" s="11"/>
      <c r="CT876" s="11"/>
      <c r="DA876" s="11"/>
      <c r="DH876" s="11"/>
      <c r="DO876" s="11"/>
    </row>
    <row r="877" ht="15.75" customHeight="1">
      <c r="C877" s="8"/>
      <c r="BD877" s="11"/>
      <c r="BR877" s="11"/>
      <c r="BY877" s="11"/>
      <c r="CF877" s="11"/>
      <c r="CM877" s="11"/>
      <c r="CT877" s="11"/>
      <c r="DA877" s="11"/>
      <c r="DH877" s="11"/>
      <c r="DO877" s="11"/>
    </row>
    <row r="878" ht="15.75" customHeight="1">
      <c r="C878" s="8"/>
      <c r="BD878" s="11"/>
      <c r="BR878" s="11"/>
      <c r="BY878" s="11"/>
      <c r="CF878" s="11"/>
      <c r="CM878" s="11"/>
      <c r="CT878" s="11"/>
      <c r="DA878" s="11"/>
      <c r="DH878" s="11"/>
      <c r="DO878" s="11"/>
    </row>
    <row r="879" ht="15.75" customHeight="1">
      <c r="C879" s="8"/>
      <c r="BD879" s="11"/>
      <c r="BR879" s="11"/>
      <c r="BY879" s="11"/>
      <c r="CF879" s="11"/>
      <c r="CM879" s="11"/>
      <c r="CT879" s="11"/>
      <c r="DA879" s="11"/>
      <c r="DH879" s="11"/>
      <c r="DO879" s="11"/>
    </row>
    <row r="880" ht="15.75" customHeight="1">
      <c r="C880" s="8"/>
      <c r="BD880" s="11"/>
      <c r="BR880" s="11"/>
      <c r="BY880" s="11"/>
      <c r="CF880" s="11"/>
      <c r="CM880" s="11"/>
      <c r="CT880" s="11"/>
      <c r="DA880" s="11"/>
      <c r="DH880" s="11"/>
      <c r="DO880" s="11"/>
    </row>
    <row r="881" ht="15.75" customHeight="1">
      <c r="C881" s="8"/>
      <c r="BD881" s="11"/>
      <c r="BR881" s="11"/>
      <c r="BY881" s="11"/>
      <c r="CF881" s="11"/>
      <c r="CM881" s="11"/>
      <c r="CT881" s="11"/>
      <c r="DA881" s="11"/>
      <c r="DH881" s="11"/>
      <c r="DO881" s="11"/>
    </row>
    <row r="882" ht="15.75" customHeight="1">
      <c r="C882" s="8"/>
      <c r="BD882" s="11"/>
      <c r="BR882" s="11"/>
      <c r="BY882" s="11"/>
      <c r="CF882" s="11"/>
      <c r="CM882" s="11"/>
      <c r="CT882" s="11"/>
      <c r="DA882" s="11"/>
      <c r="DH882" s="11"/>
      <c r="DO882" s="11"/>
    </row>
    <row r="883" ht="15.75" customHeight="1">
      <c r="C883" s="8"/>
      <c r="BD883" s="11"/>
      <c r="BR883" s="11"/>
      <c r="BY883" s="11"/>
      <c r="CF883" s="11"/>
      <c r="CM883" s="11"/>
      <c r="CT883" s="11"/>
      <c r="DA883" s="11"/>
      <c r="DH883" s="11"/>
      <c r="DO883" s="11"/>
    </row>
    <row r="884" ht="15.75" customHeight="1">
      <c r="C884" s="8"/>
      <c r="BD884" s="11"/>
      <c r="BR884" s="11"/>
      <c r="BY884" s="11"/>
      <c r="CF884" s="11"/>
      <c r="CM884" s="11"/>
      <c r="CT884" s="11"/>
      <c r="DA884" s="11"/>
      <c r="DH884" s="11"/>
      <c r="DO884" s="11"/>
    </row>
    <row r="885" ht="15.75" customHeight="1">
      <c r="C885" s="8"/>
      <c r="BD885" s="11"/>
      <c r="BR885" s="11"/>
      <c r="BY885" s="11"/>
      <c r="CF885" s="11"/>
      <c r="CM885" s="11"/>
      <c r="CT885" s="11"/>
      <c r="DA885" s="11"/>
      <c r="DH885" s="11"/>
      <c r="DO885" s="11"/>
    </row>
    <row r="886" ht="15.75" customHeight="1">
      <c r="C886" s="8"/>
      <c r="BD886" s="11"/>
      <c r="BR886" s="11"/>
      <c r="BY886" s="11"/>
      <c r="CF886" s="11"/>
      <c r="CM886" s="11"/>
      <c r="CT886" s="11"/>
      <c r="DA886" s="11"/>
      <c r="DH886" s="11"/>
      <c r="DO886" s="11"/>
    </row>
    <row r="887" ht="15.75" customHeight="1">
      <c r="C887" s="8"/>
      <c r="BD887" s="11"/>
      <c r="BR887" s="11"/>
      <c r="BY887" s="11"/>
      <c r="CF887" s="11"/>
      <c r="CM887" s="11"/>
      <c r="CT887" s="11"/>
      <c r="DA887" s="11"/>
      <c r="DH887" s="11"/>
      <c r="DO887" s="11"/>
    </row>
    <row r="888" ht="15.75" customHeight="1">
      <c r="C888" s="8"/>
      <c r="BD888" s="11"/>
      <c r="BR888" s="11"/>
      <c r="BY888" s="11"/>
      <c r="CF888" s="11"/>
      <c r="CM888" s="11"/>
      <c r="CT888" s="11"/>
      <c r="DA888" s="11"/>
      <c r="DH888" s="11"/>
      <c r="DO888" s="11"/>
    </row>
    <row r="889" ht="15.75" customHeight="1">
      <c r="C889" s="8"/>
      <c r="BD889" s="11"/>
      <c r="BR889" s="11"/>
      <c r="BY889" s="11"/>
      <c r="CF889" s="11"/>
      <c r="CM889" s="11"/>
      <c r="CT889" s="11"/>
      <c r="DA889" s="11"/>
      <c r="DH889" s="11"/>
      <c r="DO889" s="11"/>
    </row>
    <row r="890" ht="15.75" customHeight="1">
      <c r="C890" s="8"/>
      <c r="BD890" s="11"/>
      <c r="BR890" s="11"/>
      <c r="BY890" s="11"/>
      <c r="CF890" s="11"/>
      <c r="CM890" s="11"/>
      <c r="CT890" s="11"/>
      <c r="DA890" s="11"/>
      <c r="DH890" s="11"/>
      <c r="DO890" s="11"/>
    </row>
    <row r="891" ht="15.75" customHeight="1">
      <c r="C891" s="8"/>
      <c r="BD891" s="11"/>
      <c r="BR891" s="11"/>
      <c r="BY891" s="11"/>
      <c r="CF891" s="11"/>
      <c r="CM891" s="11"/>
      <c r="CT891" s="11"/>
      <c r="DA891" s="11"/>
      <c r="DH891" s="11"/>
      <c r="DO891" s="11"/>
    </row>
    <row r="892" ht="15.75" customHeight="1">
      <c r="C892" s="8"/>
      <c r="BD892" s="11"/>
      <c r="BR892" s="11"/>
      <c r="BY892" s="11"/>
      <c r="CF892" s="11"/>
      <c r="CM892" s="11"/>
      <c r="CT892" s="11"/>
      <c r="DA892" s="11"/>
      <c r="DH892" s="11"/>
      <c r="DO892" s="11"/>
    </row>
    <row r="893" ht="15.75" customHeight="1">
      <c r="C893" s="8"/>
      <c r="BD893" s="11"/>
      <c r="BR893" s="11"/>
      <c r="BY893" s="11"/>
      <c r="CF893" s="11"/>
      <c r="CM893" s="11"/>
      <c r="CT893" s="11"/>
      <c r="DA893" s="11"/>
      <c r="DH893" s="11"/>
      <c r="DO893" s="11"/>
    </row>
    <row r="894" ht="15.75" customHeight="1">
      <c r="C894" s="8"/>
      <c r="BD894" s="11"/>
      <c r="BR894" s="11"/>
      <c r="BY894" s="11"/>
      <c r="CF894" s="11"/>
      <c r="CM894" s="11"/>
      <c r="CT894" s="11"/>
      <c r="DA894" s="11"/>
      <c r="DH894" s="11"/>
      <c r="DO894" s="11"/>
    </row>
    <row r="895" ht="15.75" customHeight="1">
      <c r="C895" s="8"/>
      <c r="BD895" s="11"/>
      <c r="BR895" s="11"/>
      <c r="BY895" s="11"/>
      <c r="CF895" s="11"/>
      <c r="CM895" s="11"/>
      <c r="CT895" s="11"/>
      <c r="DA895" s="11"/>
      <c r="DH895" s="11"/>
      <c r="DO895" s="11"/>
    </row>
    <row r="896" ht="15.75" customHeight="1">
      <c r="C896" s="8"/>
      <c r="BD896" s="11"/>
      <c r="BR896" s="11"/>
      <c r="BY896" s="11"/>
      <c r="CF896" s="11"/>
      <c r="CM896" s="11"/>
      <c r="CT896" s="11"/>
      <c r="DA896" s="11"/>
      <c r="DH896" s="11"/>
      <c r="DO896" s="11"/>
    </row>
    <row r="897" ht="15.75" customHeight="1">
      <c r="C897" s="8"/>
      <c r="BD897" s="11"/>
      <c r="BR897" s="11"/>
      <c r="BY897" s="11"/>
      <c r="CF897" s="11"/>
      <c r="CM897" s="11"/>
      <c r="CT897" s="11"/>
      <c r="DA897" s="11"/>
      <c r="DH897" s="11"/>
      <c r="DO897" s="11"/>
    </row>
    <row r="898" ht="15.75" customHeight="1">
      <c r="C898" s="8"/>
      <c r="BD898" s="11"/>
      <c r="BR898" s="11"/>
      <c r="BY898" s="11"/>
      <c r="CF898" s="11"/>
      <c r="CM898" s="11"/>
      <c r="CT898" s="11"/>
      <c r="DA898" s="11"/>
      <c r="DH898" s="11"/>
      <c r="DO898" s="11"/>
    </row>
    <row r="899" ht="15.75" customHeight="1">
      <c r="C899" s="8"/>
      <c r="BD899" s="11"/>
      <c r="BR899" s="11"/>
      <c r="BY899" s="11"/>
      <c r="CF899" s="11"/>
      <c r="CM899" s="11"/>
      <c r="CT899" s="11"/>
      <c r="DA899" s="11"/>
      <c r="DH899" s="11"/>
      <c r="DO899" s="11"/>
    </row>
    <row r="900" ht="15.75" customHeight="1">
      <c r="C900" s="8"/>
      <c r="BD900" s="11"/>
      <c r="BR900" s="11"/>
      <c r="BY900" s="11"/>
      <c r="CF900" s="11"/>
      <c r="CM900" s="11"/>
      <c r="CT900" s="11"/>
      <c r="DA900" s="11"/>
      <c r="DH900" s="11"/>
      <c r="DO900" s="11"/>
    </row>
    <row r="901" ht="15.75" customHeight="1">
      <c r="C901" s="8"/>
      <c r="BD901" s="11"/>
      <c r="BR901" s="11"/>
      <c r="BY901" s="11"/>
      <c r="CF901" s="11"/>
      <c r="CM901" s="11"/>
      <c r="CT901" s="11"/>
      <c r="DA901" s="11"/>
      <c r="DH901" s="11"/>
      <c r="DO901" s="11"/>
    </row>
    <row r="902" ht="15.75" customHeight="1">
      <c r="C902" s="8"/>
      <c r="BD902" s="11"/>
      <c r="BR902" s="11"/>
      <c r="BY902" s="11"/>
      <c r="CF902" s="11"/>
      <c r="CM902" s="11"/>
      <c r="CT902" s="11"/>
      <c r="DA902" s="11"/>
      <c r="DH902" s="11"/>
      <c r="DO902" s="11"/>
    </row>
    <row r="903" ht="15.75" customHeight="1">
      <c r="C903" s="8"/>
      <c r="BD903" s="11"/>
      <c r="BR903" s="11"/>
      <c r="BY903" s="11"/>
      <c r="CF903" s="11"/>
      <c r="CM903" s="11"/>
      <c r="CT903" s="11"/>
      <c r="DA903" s="11"/>
      <c r="DH903" s="11"/>
      <c r="DO903" s="11"/>
    </row>
    <row r="904" ht="15.75" customHeight="1">
      <c r="C904" s="8"/>
      <c r="BD904" s="11"/>
      <c r="BR904" s="11"/>
      <c r="BY904" s="11"/>
      <c r="CF904" s="11"/>
      <c r="CM904" s="11"/>
      <c r="CT904" s="11"/>
      <c r="DA904" s="11"/>
      <c r="DH904" s="11"/>
      <c r="DO904" s="11"/>
    </row>
    <row r="905" ht="15.75" customHeight="1">
      <c r="C905" s="8"/>
      <c r="BD905" s="11"/>
      <c r="BR905" s="11"/>
      <c r="BY905" s="11"/>
      <c r="CF905" s="11"/>
      <c r="CM905" s="11"/>
      <c r="CT905" s="11"/>
      <c r="DA905" s="11"/>
      <c r="DH905" s="11"/>
      <c r="DO905" s="11"/>
    </row>
    <row r="906" ht="15.75" customHeight="1">
      <c r="C906" s="8"/>
      <c r="BD906" s="11"/>
      <c r="BR906" s="11"/>
      <c r="BY906" s="11"/>
      <c r="CF906" s="11"/>
      <c r="CM906" s="11"/>
      <c r="CT906" s="11"/>
      <c r="DA906" s="11"/>
      <c r="DH906" s="11"/>
      <c r="DO906" s="11"/>
    </row>
    <row r="907" ht="15.75" customHeight="1">
      <c r="C907" s="8"/>
      <c r="BD907" s="11"/>
      <c r="BR907" s="11"/>
      <c r="BY907" s="11"/>
      <c r="CF907" s="11"/>
      <c r="CM907" s="11"/>
      <c r="CT907" s="11"/>
      <c r="DA907" s="11"/>
      <c r="DH907" s="11"/>
      <c r="DO907" s="11"/>
    </row>
    <row r="908" ht="15.75" customHeight="1">
      <c r="C908" s="8"/>
      <c r="BD908" s="11"/>
      <c r="BR908" s="11"/>
      <c r="BY908" s="11"/>
      <c r="CF908" s="11"/>
      <c r="CM908" s="11"/>
      <c r="CT908" s="11"/>
      <c r="DA908" s="11"/>
      <c r="DH908" s="11"/>
      <c r="DO908" s="11"/>
    </row>
    <row r="909" ht="15.75" customHeight="1">
      <c r="C909" s="8"/>
      <c r="BD909" s="11"/>
      <c r="BR909" s="11"/>
      <c r="BY909" s="11"/>
      <c r="CF909" s="11"/>
      <c r="CM909" s="11"/>
      <c r="CT909" s="11"/>
      <c r="DA909" s="11"/>
      <c r="DH909" s="11"/>
      <c r="DO909" s="11"/>
    </row>
    <row r="910" ht="15.75" customHeight="1">
      <c r="C910" s="8"/>
      <c r="BD910" s="11"/>
      <c r="BR910" s="11"/>
      <c r="BY910" s="11"/>
      <c r="CF910" s="11"/>
      <c r="CM910" s="11"/>
      <c r="CT910" s="11"/>
      <c r="DA910" s="11"/>
      <c r="DH910" s="11"/>
      <c r="DO910" s="11"/>
    </row>
    <row r="911" ht="15.75" customHeight="1">
      <c r="C911" s="8"/>
      <c r="BD911" s="11"/>
      <c r="BR911" s="11"/>
      <c r="BY911" s="11"/>
      <c r="CF911" s="11"/>
      <c r="CM911" s="11"/>
      <c r="CT911" s="11"/>
      <c r="DA911" s="11"/>
      <c r="DH911" s="11"/>
      <c r="DO911" s="11"/>
    </row>
    <row r="912" ht="15.75" customHeight="1">
      <c r="C912" s="8"/>
      <c r="BD912" s="11"/>
      <c r="BR912" s="11"/>
      <c r="BY912" s="11"/>
      <c r="CF912" s="11"/>
      <c r="CM912" s="11"/>
      <c r="CT912" s="11"/>
      <c r="DA912" s="11"/>
      <c r="DH912" s="11"/>
      <c r="DO912" s="11"/>
    </row>
    <row r="913" ht="15.75" customHeight="1">
      <c r="C913" s="8"/>
      <c r="BD913" s="11"/>
      <c r="BR913" s="11"/>
      <c r="BY913" s="11"/>
      <c r="CF913" s="11"/>
      <c r="CM913" s="11"/>
      <c r="CT913" s="11"/>
      <c r="DA913" s="11"/>
      <c r="DH913" s="11"/>
      <c r="DO913" s="11"/>
    </row>
    <row r="914" ht="15.75" customHeight="1">
      <c r="C914" s="8"/>
      <c r="BD914" s="11"/>
      <c r="BR914" s="11"/>
      <c r="BY914" s="11"/>
      <c r="CF914" s="11"/>
      <c r="CM914" s="11"/>
      <c r="CT914" s="11"/>
      <c r="DA914" s="11"/>
      <c r="DH914" s="11"/>
      <c r="DO914" s="11"/>
    </row>
    <row r="915" ht="15.75" customHeight="1">
      <c r="C915" s="8"/>
      <c r="BD915" s="11"/>
      <c r="BR915" s="11"/>
      <c r="BY915" s="11"/>
      <c r="CF915" s="11"/>
      <c r="CM915" s="11"/>
      <c r="CT915" s="11"/>
      <c r="DA915" s="11"/>
      <c r="DH915" s="11"/>
      <c r="DO915" s="11"/>
    </row>
    <row r="916" ht="15.75" customHeight="1">
      <c r="C916" s="8"/>
      <c r="BD916" s="11"/>
      <c r="BR916" s="11"/>
      <c r="BY916" s="11"/>
      <c r="CF916" s="11"/>
      <c r="CM916" s="11"/>
      <c r="CT916" s="11"/>
      <c r="DA916" s="11"/>
      <c r="DH916" s="11"/>
      <c r="DO916" s="11"/>
    </row>
    <row r="917" ht="15.75" customHeight="1">
      <c r="C917" s="8"/>
      <c r="BD917" s="11"/>
      <c r="BR917" s="11"/>
      <c r="BY917" s="11"/>
      <c r="CF917" s="11"/>
      <c r="CM917" s="11"/>
      <c r="CT917" s="11"/>
      <c r="DA917" s="11"/>
      <c r="DH917" s="11"/>
      <c r="DO917" s="11"/>
    </row>
    <row r="918" ht="15.75" customHeight="1">
      <c r="C918" s="8"/>
      <c r="BD918" s="11"/>
      <c r="BR918" s="11"/>
      <c r="BY918" s="11"/>
      <c r="CF918" s="11"/>
      <c r="CM918" s="11"/>
      <c r="CT918" s="11"/>
      <c r="DA918" s="11"/>
      <c r="DH918" s="11"/>
      <c r="DO918" s="11"/>
    </row>
    <row r="919" ht="15.75" customHeight="1">
      <c r="C919" s="8"/>
      <c r="BD919" s="11"/>
      <c r="BR919" s="11"/>
      <c r="BY919" s="11"/>
      <c r="CF919" s="11"/>
      <c r="CM919" s="11"/>
      <c r="CT919" s="11"/>
      <c r="DA919" s="11"/>
      <c r="DH919" s="11"/>
      <c r="DO919" s="11"/>
    </row>
    <row r="920" ht="15.75" customHeight="1">
      <c r="C920" s="8"/>
      <c r="BD920" s="11"/>
      <c r="BR920" s="11"/>
      <c r="BY920" s="11"/>
      <c r="CF920" s="11"/>
      <c r="CM920" s="11"/>
      <c r="CT920" s="11"/>
      <c r="DA920" s="11"/>
      <c r="DH920" s="11"/>
      <c r="DO920" s="11"/>
    </row>
    <row r="921" ht="15.75" customHeight="1">
      <c r="C921" s="8"/>
      <c r="BD921" s="11"/>
      <c r="BR921" s="11"/>
      <c r="BY921" s="11"/>
      <c r="CF921" s="11"/>
      <c r="CM921" s="11"/>
      <c r="CT921" s="11"/>
      <c r="DA921" s="11"/>
      <c r="DH921" s="11"/>
      <c r="DO921" s="11"/>
    </row>
    <row r="922" ht="15.75" customHeight="1">
      <c r="C922" s="8"/>
      <c r="BD922" s="11"/>
      <c r="BR922" s="11"/>
      <c r="BY922" s="11"/>
      <c r="CF922" s="11"/>
      <c r="CM922" s="11"/>
      <c r="CT922" s="11"/>
      <c r="DA922" s="11"/>
      <c r="DH922" s="11"/>
      <c r="DO922" s="11"/>
    </row>
    <row r="923" ht="15.75" customHeight="1">
      <c r="C923" s="8"/>
      <c r="BD923" s="11"/>
      <c r="BR923" s="11"/>
      <c r="BY923" s="11"/>
      <c r="CF923" s="11"/>
      <c r="CM923" s="11"/>
      <c r="CT923" s="11"/>
      <c r="DA923" s="11"/>
      <c r="DH923" s="11"/>
      <c r="DO923" s="11"/>
    </row>
    <row r="924" ht="15.75" customHeight="1">
      <c r="C924" s="8"/>
      <c r="BD924" s="11"/>
      <c r="BR924" s="11"/>
      <c r="BY924" s="11"/>
      <c r="CF924" s="11"/>
      <c r="CM924" s="11"/>
      <c r="CT924" s="11"/>
      <c r="DA924" s="11"/>
      <c r="DH924" s="11"/>
      <c r="DO924" s="11"/>
    </row>
    <row r="925" ht="15.75" customHeight="1">
      <c r="C925" s="8"/>
      <c r="BD925" s="11"/>
      <c r="BR925" s="11"/>
      <c r="BY925" s="11"/>
      <c r="CF925" s="11"/>
      <c r="CM925" s="11"/>
      <c r="CT925" s="11"/>
      <c r="DA925" s="11"/>
      <c r="DH925" s="11"/>
      <c r="DO925" s="11"/>
    </row>
    <row r="926" ht="15.75" customHeight="1">
      <c r="C926" s="8"/>
      <c r="BD926" s="11"/>
      <c r="BR926" s="11"/>
      <c r="BY926" s="11"/>
      <c r="CF926" s="11"/>
      <c r="CM926" s="11"/>
      <c r="CT926" s="11"/>
      <c r="DA926" s="11"/>
      <c r="DH926" s="11"/>
      <c r="DO926" s="11"/>
    </row>
    <row r="927" ht="15.75" customHeight="1">
      <c r="C927" s="8"/>
      <c r="BD927" s="11"/>
      <c r="BR927" s="11"/>
      <c r="BY927" s="11"/>
      <c r="CF927" s="11"/>
      <c r="CM927" s="11"/>
      <c r="CT927" s="11"/>
      <c r="DA927" s="11"/>
      <c r="DH927" s="11"/>
      <c r="DO927" s="11"/>
    </row>
    <row r="928" ht="15.75" customHeight="1">
      <c r="C928" s="8"/>
      <c r="BD928" s="11"/>
      <c r="BR928" s="11"/>
      <c r="BY928" s="11"/>
      <c r="CF928" s="11"/>
      <c r="CM928" s="11"/>
      <c r="CT928" s="11"/>
      <c r="DA928" s="11"/>
      <c r="DH928" s="11"/>
      <c r="DO928" s="11"/>
    </row>
    <row r="929" ht="15.75" customHeight="1">
      <c r="C929" s="8"/>
      <c r="BD929" s="11"/>
      <c r="BR929" s="11"/>
      <c r="BY929" s="11"/>
      <c r="CF929" s="11"/>
      <c r="CM929" s="11"/>
      <c r="CT929" s="11"/>
      <c r="DA929" s="11"/>
      <c r="DH929" s="11"/>
      <c r="DO929" s="11"/>
    </row>
    <row r="930" ht="15.75" customHeight="1">
      <c r="C930" s="8"/>
      <c r="BD930" s="11"/>
      <c r="BR930" s="11"/>
      <c r="BY930" s="11"/>
      <c r="CF930" s="11"/>
      <c r="CM930" s="11"/>
      <c r="CT930" s="11"/>
      <c r="DA930" s="11"/>
      <c r="DH930" s="11"/>
      <c r="DO930" s="11"/>
    </row>
    <row r="931" ht="15.75" customHeight="1">
      <c r="C931" s="8"/>
      <c r="BD931" s="11"/>
      <c r="BR931" s="11"/>
      <c r="BY931" s="11"/>
      <c r="CF931" s="11"/>
      <c r="CM931" s="11"/>
      <c r="CT931" s="11"/>
      <c r="DA931" s="11"/>
      <c r="DH931" s="11"/>
      <c r="DO931" s="11"/>
    </row>
    <row r="932" ht="15.75" customHeight="1">
      <c r="C932" s="8"/>
      <c r="BD932" s="11"/>
      <c r="BR932" s="11"/>
      <c r="BY932" s="11"/>
      <c r="CF932" s="11"/>
      <c r="CM932" s="11"/>
      <c r="CT932" s="11"/>
      <c r="DA932" s="11"/>
      <c r="DH932" s="11"/>
      <c r="DO932" s="11"/>
    </row>
    <row r="933" ht="15.75" customHeight="1">
      <c r="C933" s="8"/>
      <c r="BD933" s="11"/>
      <c r="BR933" s="11"/>
      <c r="BY933" s="11"/>
      <c r="CF933" s="11"/>
      <c r="CM933" s="11"/>
      <c r="CT933" s="11"/>
      <c r="DA933" s="11"/>
      <c r="DH933" s="11"/>
      <c r="DO933" s="11"/>
    </row>
    <row r="934" ht="15.75" customHeight="1">
      <c r="C934" s="8"/>
      <c r="BD934" s="11"/>
      <c r="BR934" s="11"/>
      <c r="BY934" s="11"/>
      <c r="CF934" s="11"/>
      <c r="CM934" s="11"/>
      <c r="CT934" s="11"/>
      <c r="DA934" s="11"/>
      <c r="DH934" s="11"/>
      <c r="DO934" s="11"/>
    </row>
    <row r="935" ht="15.75" customHeight="1">
      <c r="C935" s="8"/>
      <c r="BD935" s="11"/>
      <c r="BR935" s="11"/>
      <c r="BY935" s="11"/>
      <c r="CF935" s="11"/>
      <c r="CM935" s="11"/>
      <c r="CT935" s="11"/>
      <c r="DA935" s="11"/>
      <c r="DH935" s="11"/>
      <c r="DO935" s="11"/>
    </row>
    <row r="936" ht="15.75" customHeight="1">
      <c r="C936" s="8"/>
      <c r="BD936" s="11"/>
      <c r="BR936" s="11"/>
      <c r="BY936" s="11"/>
      <c r="CF936" s="11"/>
      <c r="CM936" s="11"/>
      <c r="CT936" s="11"/>
      <c r="DA936" s="11"/>
      <c r="DH936" s="11"/>
      <c r="DO936" s="11"/>
    </row>
    <row r="937" ht="15.75" customHeight="1">
      <c r="C937" s="8"/>
      <c r="BD937" s="11"/>
      <c r="BR937" s="11"/>
      <c r="BY937" s="11"/>
      <c r="CF937" s="11"/>
      <c r="CM937" s="11"/>
      <c r="CT937" s="11"/>
      <c r="DA937" s="11"/>
      <c r="DH937" s="11"/>
      <c r="DO937" s="11"/>
    </row>
    <row r="938" ht="15.75" customHeight="1">
      <c r="C938" s="8"/>
      <c r="BD938" s="11"/>
      <c r="BR938" s="11"/>
      <c r="BY938" s="11"/>
      <c r="CF938" s="11"/>
      <c r="CM938" s="11"/>
      <c r="CT938" s="11"/>
      <c r="DA938" s="11"/>
      <c r="DH938" s="11"/>
      <c r="DO938" s="11"/>
    </row>
    <row r="939" ht="15.75" customHeight="1">
      <c r="C939" s="8"/>
      <c r="BD939" s="11"/>
      <c r="BR939" s="11"/>
      <c r="BY939" s="11"/>
      <c r="CF939" s="11"/>
      <c r="CM939" s="11"/>
      <c r="CT939" s="11"/>
      <c r="DA939" s="11"/>
      <c r="DH939" s="11"/>
      <c r="DO939" s="11"/>
    </row>
    <row r="940" ht="15.75" customHeight="1">
      <c r="C940" s="8"/>
      <c r="BD940" s="11"/>
      <c r="BR940" s="11"/>
      <c r="BY940" s="11"/>
      <c r="CF940" s="11"/>
      <c r="CM940" s="11"/>
      <c r="CT940" s="11"/>
      <c r="DA940" s="11"/>
      <c r="DH940" s="11"/>
      <c r="DO940" s="11"/>
    </row>
    <row r="941" ht="15.75" customHeight="1">
      <c r="C941" s="8"/>
      <c r="BD941" s="11"/>
      <c r="BR941" s="11"/>
      <c r="BY941" s="11"/>
      <c r="CF941" s="11"/>
      <c r="CM941" s="11"/>
      <c r="CT941" s="11"/>
      <c r="DA941" s="11"/>
      <c r="DH941" s="11"/>
      <c r="DO941" s="11"/>
    </row>
    <row r="942" ht="15.75" customHeight="1">
      <c r="C942" s="8"/>
      <c r="BD942" s="11"/>
      <c r="BR942" s="11"/>
      <c r="BY942" s="11"/>
      <c r="CF942" s="11"/>
      <c r="CM942" s="11"/>
      <c r="CT942" s="11"/>
      <c r="DA942" s="11"/>
      <c r="DH942" s="11"/>
      <c r="DO942" s="11"/>
    </row>
    <row r="943" ht="15.75" customHeight="1">
      <c r="C943" s="8"/>
      <c r="BD943" s="11"/>
      <c r="BR943" s="11"/>
      <c r="BY943" s="11"/>
      <c r="CF943" s="11"/>
      <c r="CM943" s="11"/>
      <c r="CT943" s="11"/>
      <c r="DA943" s="11"/>
      <c r="DH943" s="11"/>
      <c r="DO943" s="11"/>
    </row>
    <row r="944" ht="15.75" customHeight="1">
      <c r="C944" s="8"/>
      <c r="BD944" s="11"/>
      <c r="BR944" s="11"/>
      <c r="BY944" s="11"/>
      <c r="CF944" s="11"/>
      <c r="CM944" s="11"/>
      <c r="CT944" s="11"/>
      <c r="DA944" s="11"/>
      <c r="DH944" s="11"/>
      <c r="DO944" s="11"/>
    </row>
    <row r="945" ht="15.75" customHeight="1">
      <c r="C945" s="8"/>
      <c r="BD945" s="11"/>
      <c r="BR945" s="11"/>
      <c r="BY945" s="11"/>
      <c r="CF945" s="11"/>
      <c r="CM945" s="11"/>
      <c r="CT945" s="11"/>
      <c r="DA945" s="11"/>
      <c r="DH945" s="11"/>
      <c r="DO945" s="11"/>
    </row>
    <row r="946" ht="15.75" customHeight="1">
      <c r="C946" s="8"/>
      <c r="BD946" s="11"/>
      <c r="BR946" s="11"/>
      <c r="BY946" s="11"/>
      <c r="CF946" s="11"/>
      <c r="CM946" s="11"/>
      <c r="CT946" s="11"/>
      <c r="DA946" s="11"/>
      <c r="DH946" s="11"/>
      <c r="DO946" s="11"/>
    </row>
    <row r="947" ht="15.75" customHeight="1">
      <c r="C947" s="8"/>
      <c r="BD947" s="11"/>
      <c r="BR947" s="11"/>
      <c r="BY947" s="11"/>
      <c r="CF947" s="11"/>
      <c r="CM947" s="11"/>
      <c r="CT947" s="11"/>
      <c r="DA947" s="11"/>
      <c r="DH947" s="11"/>
      <c r="DO947" s="11"/>
    </row>
    <row r="948" ht="15.75" customHeight="1">
      <c r="C948" s="8"/>
      <c r="BD948" s="11"/>
      <c r="BR948" s="11"/>
      <c r="BY948" s="11"/>
      <c r="CF948" s="11"/>
      <c r="CM948" s="11"/>
      <c r="CT948" s="11"/>
      <c r="DA948" s="11"/>
      <c r="DH948" s="11"/>
      <c r="DO948" s="11"/>
    </row>
    <row r="949" ht="15.75" customHeight="1">
      <c r="C949" s="8"/>
      <c r="BD949" s="11"/>
      <c r="BR949" s="11"/>
      <c r="BY949" s="11"/>
      <c r="CF949" s="11"/>
      <c r="CM949" s="11"/>
      <c r="CT949" s="11"/>
      <c r="DA949" s="11"/>
      <c r="DH949" s="11"/>
      <c r="DO949" s="11"/>
    </row>
    <row r="950" ht="15.75" customHeight="1">
      <c r="C950" s="8"/>
      <c r="BD950" s="11"/>
      <c r="BR950" s="11"/>
      <c r="BY950" s="11"/>
      <c r="CF950" s="11"/>
      <c r="CM950" s="11"/>
      <c r="CT950" s="11"/>
      <c r="DA950" s="11"/>
      <c r="DH950" s="11"/>
      <c r="DO950" s="11"/>
    </row>
    <row r="951" ht="15.75" customHeight="1">
      <c r="C951" s="8"/>
      <c r="BD951" s="11"/>
      <c r="BR951" s="11"/>
      <c r="BY951" s="11"/>
      <c r="CF951" s="11"/>
      <c r="CM951" s="11"/>
      <c r="CT951" s="11"/>
      <c r="DA951" s="11"/>
      <c r="DH951" s="11"/>
      <c r="DO951" s="11"/>
    </row>
    <row r="952" ht="15.75" customHeight="1">
      <c r="C952" s="8"/>
      <c r="BD952" s="11"/>
      <c r="BR952" s="11"/>
      <c r="BY952" s="11"/>
      <c r="CF952" s="11"/>
      <c r="CM952" s="11"/>
      <c r="CT952" s="11"/>
      <c r="DA952" s="11"/>
      <c r="DH952" s="11"/>
      <c r="DO952" s="11"/>
    </row>
    <row r="953" ht="15.75" customHeight="1">
      <c r="C953" s="8"/>
      <c r="BD953" s="11"/>
      <c r="BR953" s="11"/>
      <c r="BY953" s="11"/>
      <c r="CF953" s="11"/>
      <c r="CM953" s="11"/>
      <c r="CT953" s="11"/>
      <c r="DA953" s="11"/>
      <c r="DH953" s="11"/>
      <c r="DO953" s="11"/>
    </row>
    <row r="954" ht="15.75" customHeight="1">
      <c r="C954" s="8"/>
      <c r="BD954" s="11"/>
      <c r="BR954" s="11"/>
      <c r="BY954" s="11"/>
      <c r="CF954" s="11"/>
      <c r="CM954" s="11"/>
      <c r="CT954" s="11"/>
      <c r="DA954" s="11"/>
      <c r="DH954" s="11"/>
      <c r="DO954" s="11"/>
    </row>
    <row r="955" ht="15.75" customHeight="1">
      <c r="C955" s="8"/>
      <c r="BD955" s="11"/>
      <c r="BR955" s="11"/>
      <c r="BY955" s="11"/>
      <c r="CF955" s="11"/>
      <c r="CM955" s="11"/>
      <c r="CT955" s="11"/>
      <c r="DA955" s="11"/>
      <c r="DH955" s="11"/>
      <c r="DO955" s="11"/>
    </row>
    <row r="956" ht="15.75" customHeight="1">
      <c r="C956" s="8"/>
      <c r="BD956" s="11"/>
      <c r="BR956" s="11"/>
      <c r="BY956" s="11"/>
      <c r="CF956" s="11"/>
      <c r="CM956" s="11"/>
      <c r="CT956" s="11"/>
      <c r="DA956" s="11"/>
      <c r="DH956" s="11"/>
      <c r="DO956" s="11"/>
    </row>
    <row r="957" ht="15.75" customHeight="1">
      <c r="C957" s="8"/>
      <c r="BD957" s="11"/>
      <c r="BR957" s="11"/>
      <c r="BY957" s="11"/>
      <c r="CF957" s="11"/>
      <c r="CM957" s="11"/>
      <c r="CT957" s="11"/>
      <c r="DA957" s="11"/>
      <c r="DH957" s="11"/>
      <c r="DO957" s="11"/>
    </row>
    <row r="958" ht="15.75" customHeight="1">
      <c r="C958" s="8"/>
      <c r="BD958" s="11"/>
      <c r="BR958" s="11"/>
      <c r="BY958" s="11"/>
      <c r="CF958" s="11"/>
      <c r="CM958" s="11"/>
      <c r="CT958" s="11"/>
      <c r="DA958" s="11"/>
      <c r="DH958" s="11"/>
      <c r="DO958" s="11"/>
    </row>
    <row r="959" ht="15.75" customHeight="1">
      <c r="C959" s="8"/>
      <c r="BD959" s="11"/>
      <c r="BR959" s="11"/>
      <c r="BY959" s="11"/>
      <c r="CF959" s="11"/>
      <c r="CM959" s="11"/>
      <c r="CT959" s="11"/>
      <c r="DA959" s="11"/>
      <c r="DH959" s="11"/>
      <c r="DO959" s="11"/>
    </row>
    <row r="960" ht="15.75" customHeight="1">
      <c r="C960" s="8"/>
      <c r="BD960" s="11"/>
      <c r="BR960" s="11"/>
      <c r="BY960" s="11"/>
      <c r="CF960" s="11"/>
      <c r="CM960" s="11"/>
      <c r="CT960" s="11"/>
      <c r="DA960" s="11"/>
      <c r="DH960" s="11"/>
      <c r="DO960" s="11"/>
    </row>
    <row r="961" ht="15.75" customHeight="1">
      <c r="C961" s="8"/>
      <c r="BD961" s="11"/>
      <c r="BR961" s="11"/>
      <c r="BY961" s="11"/>
      <c r="CF961" s="11"/>
      <c r="CM961" s="11"/>
      <c r="CT961" s="11"/>
      <c r="DA961" s="11"/>
      <c r="DH961" s="11"/>
      <c r="DO961" s="11"/>
    </row>
    <row r="962" ht="15.75" customHeight="1">
      <c r="C962" s="8"/>
      <c r="BD962" s="11"/>
      <c r="BR962" s="11"/>
      <c r="BY962" s="11"/>
      <c r="CF962" s="11"/>
      <c r="CM962" s="11"/>
      <c r="CT962" s="11"/>
      <c r="DA962" s="11"/>
      <c r="DH962" s="11"/>
      <c r="DO962" s="11"/>
    </row>
    <row r="963" ht="15.75" customHeight="1">
      <c r="C963" s="8"/>
      <c r="BD963" s="11"/>
      <c r="BR963" s="11"/>
      <c r="BY963" s="11"/>
      <c r="CF963" s="11"/>
      <c r="CM963" s="11"/>
      <c r="CT963" s="11"/>
      <c r="DA963" s="11"/>
      <c r="DH963" s="11"/>
      <c r="DO963" s="11"/>
    </row>
    <row r="964" ht="15.75" customHeight="1">
      <c r="C964" s="8"/>
      <c r="BD964" s="11"/>
      <c r="BR964" s="11"/>
      <c r="BY964" s="11"/>
      <c r="CF964" s="11"/>
      <c r="CM964" s="11"/>
      <c r="CT964" s="11"/>
      <c r="DA964" s="11"/>
      <c r="DH964" s="11"/>
      <c r="DO964" s="11"/>
    </row>
    <row r="965" ht="15.75" customHeight="1">
      <c r="C965" s="8"/>
      <c r="BD965" s="11"/>
      <c r="BR965" s="11"/>
      <c r="BY965" s="11"/>
      <c r="CF965" s="11"/>
      <c r="CM965" s="11"/>
      <c r="CT965" s="11"/>
      <c r="DA965" s="11"/>
      <c r="DH965" s="11"/>
      <c r="DO965" s="11"/>
    </row>
    <row r="966" ht="15.75" customHeight="1">
      <c r="C966" s="8"/>
      <c r="BD966" s="11"/>
      <c r="BR966" s="11"/>
      <c r="BY966" s="11"/>
      <c r="CF966" s="11"/>
      <c r="CM966" s="11"/>
      <c r="CT966" s="11"/>
      <c r="DA966" s="11"/>
      <c r="DH966" s="11"/>
      <c r="DO966" s="11"/>
    </row>
    <row r="967" ht="15.75" customHeight="1">
      <c r="C967" s="8"/>
      <c r="BD967" s="11"/>
      <c r="BR967" s="11"/>
      <c r="BY967" s="11"/>
      <c r="CF967" s="11"/>
      <c r="CM967" s="11"/>
      <c r="CT967" s="11"/>
      <c r="DA967" s="11"/>
      <c r="DH967" s="11"/>
      <c r="DO967" s="11"/>
    </row>
    <row r="968" ht="15.75" customHeight="1">
      <c r="C968" s="8"/>
      <c r="BD968" s="11"/>
      <c r="BR968" s="11"/>
      <c r="BY968" s="11"/>
      <c r="CF968" s="11"/>
      <c r="CM968" s="11"/>
      <c r="CT968" s="11"/>
      <c r="DA968" s="11"/>
      <c r="DH968" s="11"/>
      <c r="DO968" s="11"/>
    </row>
    <row r="969" ht="15.75" customHeight="1">
      <c r="C969" s="8"/>
      <c r="BD969" s="11"/>
      <c r="BR969" s="11"/>
      <c r="BY969" s="11"/>
      <c r="CF969" s="11"/>
      <c r="CM969" s="11"/>
      <c r="CT969" s="11"/>
      <c r="DA969" s="11"/>
      <c r="DH969" s="11"/>
      <c r="DO969" s="11"/>
    </row>
    <row r="970" ht="15.75" customHeight="1">
      <c r="C970" s="8"/>
      <c r="BD970" s="11"/>
      <c r="BR970" s="11"/>
      <c r="BY970" s="11"/>
      <c r="CF970" s="11"/>
      <c r="CM970" s="11"/>
      <c r="CT970" s="11"/>
      <c r="DA970" s="11"/>
      <c r="DH970" s="11"/>
      <c r="DO970" s="11"/>
    </row>
    <row r="971" ht="15.75" customHeight="1">
      <c r="C971" s="8"/>
      <c r="BD971" s="11"/>
      <c r="BR971" s="11"/>
      <c r="BY971" s="11"/>
      <c r="CF971" s="11"/>
      <c r="CM971" s="11"/>
      <c r="CT971" s="11"/>
      <c r="DA971" s="11"/>
      <c r="DH971" s="11"/>
      <c r="DO971" s="11"/>
    </row>
    <row r="972" ht="15.75" customHeight="1">
      <c r="C972" s="8"/>
      <c r="BD972" s="11"/>
      <c r="BR972" s="11"/>
      <c r="BY972" s="11"/>
      <c r="CF972" s="11"/>
      <c r="CM972" s="11"/>
      <c r="CT972" s="11"/>
      <c r="DA972" s="11"/>
      <c r="DH972" s="11"/>
      <c r="DO972" s="11"/>
    </row>
    <row r="973" ht="15.75" customHeight="1">
      <c r="C973" s="8"/>
      <c r="BD973" s="11"/>
      <c r="BR973" s="11"/>
      <c r="BY973" s="11"/>
      <c r="CF973" s="11"/>
      <c r="CM973" s="11"/>
      <c r="CT973" s="11"/>
      <c r="DA973" s="11"/>
      <c r="DH973" s="11"/>
      <c r="DO973" s="11"/>
    </row>
    <row r="974" ht="15.75" customHeight="1">
      <c r="C974" s="8"/>
      <c r="BD974" s="11"/>
      <c r="BR974" s="11"/>
      <c r="BY974" s="11"/>
      <c r="CF974" s="11"/>
      <c r="CM974" s="11"/>
      <c r="CT974" s="11"/>
      <c r="DA974" s="11"/>
      <c r="DH974" s="11"/>
      <c r="DO974" s="11"/>
    </row>
    <row r="975" ht="15.75" customHeight="1">
      <c r="C975" s="8"/>
      <c r="BD975" s="11"/>
      <c r="BR975" s="11"/>
      <c r="BY975" s="11"/>
      <c r="CF975" s="11"/>
      <c r="CM975" s="11"/>
      <c r="CT975" s="11"/>
      <c r="DA975" s="11"/>
      <c r="DH975" s="11"/>
      <c r="DO975" s="11"/>
    </row>
    <row r="976" ht="15.75" customHeight="1">
      <c r="C976" s="8"/>
      <c r="BD976" s="11"/>
      <c r="BR976" s="11"/>
      <c r="BY976" s="11"/>
      <c r="CF976" s="11"/>
      <c r="CM976" s="11"/>
      <c r="CT976" s="11"/>
      <c r="DA976" s="11"/>
      <c r="DH976" s="11"/>
      <c r="DO976" s="11"/>
    </row>
    <row r="977" ht="15.75" customHeight="1">
      <c r="C977" s="8"/>
      <c r="BD977" s="11"/>
      <c r="BR977" s="11"/>
      <c r="BY977" s="11"/>
      <c r="CF977" s="11"/>
      <c r="CM977" s="11"/>
      <c r="CT977" s="11"/>
      <c r="DA977" s="11"/>
      <c r="DH977" s="11"/>
      <c r="DO977" s="11"/>
    </row>
    <row r="978" ht="15.75" customHeight="1">
      <c r="C978" s="8"/>
      <c r="BD978" s="11"/>
      <c r="BR978" s="11"/>
      <c r="BY978" s="11"/>
      <c r="CF978" s="11"/>
      <c r="CM978" s="11"/>
      <c r="CT978" s="11"/>
      <c r="DA978" s="11"/>
      <c r="DH978" s="11"/>
      <c r="DO978" s="11"/>
    </row>
    <row r="979" ht="15.75" customHeight="1">
      <c r="C979" s="8"/>
      <c r="BD979" s="11"/>
      <c r="BR979" s="11"/>
      <c r="BY979" s="11"/>
      <c r="CF979" s="11"/>
      <c r="CM979" s="11"/>
      <c r="CT979" s="11"/>
      <c r="DA979" s="11"/>
      <c r="DH979" s="11"/>
      <c r="DO979" s="11"/>
    </row>
    <row r="980" ht="15.75" customHeight="1">
      <c r="C980" s="8"/>
      <c r="BD980" s="11"/>
      <c r="BR980" s="11"/>
      <c r="BY980" s="11"/>
      <c r="CF980" s="11"/>
      <c r="CM980" s="11"/>
      <c r="CT980" s="11"/>
      <c r="DA980" s="11"/>
      <c r="DH980" s="11"/>
      <c r="DO980" s="11"/>
    </row>
    <row r="981" ht="15.75" customHeight="1">
      <c r="C981" s="8"/>
      <c r="BD981" s="11"/>
      <c r="BR981" s="11"/>
      <c r="BY981" s="11"/>
      <c r="CF981" s="11"/>
      <c r="CM981" s="11"/>
      <c r="CT981" s="11"/>
      <c r="DA981" s="11"/>
      <c r="DH981" s="11"/>
      <c r="DO981" s="11"/>
    </row>
    <row r="982" ht="15.75" customHeight="1">
      <c r="C982" s="8"/>
      <c r="BD982" s="11"/>
      <c r="BR982" s="11"/>
      <c r="BY982" s="11"/>
      <c r="CF982" s="11"/>
      <c r="CM982" s="11"/>
      <c r="CT982" s="11"/>
      <c r="DA982" s="11"/>
      <c r="DH982" s="11"/>
      <c r="DO982" s="11"/>
    </row>
    <row r="983" ht="15.75" customHeight="1">
      <c r="C983" s="8"/>
      <c r="BD983" s="11"/>
      <c r="BR983" s="11"/>
      <c r="BY983" s="11"/>
      <c r="CF983" s="11"/>
      <c r="CM983" s="11"/>
      <c r="CT983" s="11"/>
      <c r="DA983" s="11"/>
      <c r="DH983" s="11"/>
      <c r="DO983" s="11"/>
    </row>
  </sheetData>
  <mergeCells count="33">
    <mergeCell ref="I2:L2"/>
    <mergeCell ref="O2:T2"/>
    <mergeCell ref="V2:AA2"/>
    <mergeCell ref="AC2:AH2"/>
    <mergeCell ref="AJ2:AO2"/>
    <mergeCell ref="AQ2:AV2"/>
    <mergeCell ref="AX2:BC2"/>
    <mergeCell ref="BF17:BI17"/>
    <mergeCell ref="BM17:BP17"/>
    <mergeCell ref="BF25:BI25"/>
    <mergeCell ref="BM25:BP25"/>
    <mergeCell ref="BF72:BI72"/>
    <mergeCell ref="BM72:BP72"/>
    <mergeCell ref="BE2:BJ2"/>
    <mergeCell ref="BL2:BQ2"/>
    <mergeCell ref="BS2:BX2"/>
    <mergeCell ref="BZ2:CE2"/>
    <mergeCell ref="CG2:CL2"/>
    <mergeCell ref="CN2:CS2"/>
    <mergeCell ref="CU2:CZ2"/>
    <mergeCell ref="DJ25:DM25"/>
    <mergeCell ref="DQ25:DT25"/>
    <mergeCell ref="CO38:CR38"/>
    <mergeCell ref="DC58:DF58"/>
    <mergeCell ref="DJ58:DM58"/>
    <mergeCell ref="DQ58:DT58"/>
    <mergeCell ref="DB2:DG2"/>
    <mergeCell ref="DI2:DN2"/>
    <mergeCell ref="DP2:DU2"/>
    <mergeCell ref="DC8:DF8"/>
    <mergeCell ref="DJ8:DM8"/>
    <mergeCell ref="DQ8:DT8"/>
    <mergeCell ref="DC25:DF25"/>
  </mergeCells>
  <conditionalFormatting sqref="J6:K12 J54:K66">
    <cfRule type="colorScale" priority="1">
      <colorScale>
        <cfvo type="percent" val="0"/>
        <cfvo type="percent" val="100"/>
        <color rgb="FFFF231B"/>
        <color rgb="FF10FF07"/>
      </colorScale>
    </cfRule>
  </conditionalFormatting>
  <conditionalFormatting sqref="P5:P12 W5:W12 AD5:AD12 AK5:AK12 AR5:AR12 AY5:AY12 BF5:BF12 BM5:BM12 BT5:BT12 CA5:CA12 CH5:CH12 CO5:CO12 CV5:CV12 DC5:DC12 DJ5:DJ12 DQ5:DQ12 DR8 P15:P19 R15:R19 W15:W19 Y15:Y19 AD15:AD19 AF15:AF19 AK15:AK19 AM15:AM19 AR15:AR19 AT15:AT19 AY15:AY19 BA15:BA19 BF15:BF19 BH15:BH19 BM15:BM19 BO15:BO19 BT15:BT19 BV15:BV19 CA15:CA19 CC15:CC19 CH15:CH19 CJ15:CJ19 CO15:CO19 CQ15:CQ19 CV15:CV19 CX15:CX19 DC15:DC19 DE15:DE19 DJ15:DJ19 DL15:DL19 DQ15:DQ19 DS15:DS19 BN17 BF25:BG25 BM25:BN25 DC25 DJ25 DQ25:DR25 P53:P66 W53:W66 AD53:AD66 AF53:AF55 AK53:AK66 AM53:AM55 AR53:AR66 AY53:AY66 BF53:BF66 BM53:BM66 BT53:BT66 CA53:CA66 CH53:CH66 CO53:CO66 CV53:CV66 DC53:DC66 DJ53:DJ66 DQ53:DQ66 DR58 BF72:BG72 BM72:BN72">
    <cfRule type="expression" dxfId="0" priority="2">
      <formula>OR(IF(P5&lt;Q5,TRUE),IF(AND(Q5="",P5&lt;&gt;""),TRUE))</formula>
    </cfRule>
  </conditionalFormatting>
  <conditionalFormatting sqref="P5:P12 W5:W12 AD5:AD12 AK5:AK12 AR5:AR12 AY5:AY12 BF5:BF12 BM5:BM12 BT5:BT12 CA5:CA12 CH5:CH12 CO5:CO12 CV5:CV12 DC5:DC12 DJ5:DJ12 DQ5:DQ12 DR8 P15:P19 R15:R19 W15:W19 Y15:Y19 AD15:AD19 AF15:AF19 AK15:AK19 AM15:AM19 AR15:AR19 AT15:AT19 AY15:AY19 BA15:BA19 BF15:BF19 BH15:BH19 BM15:BM19 BO15:BO19 BT15:BT19 BV15:BV19 CA15:CA19 CC15:CC19 CH15:CH19 CJ15:CJ19 CO15:CO19 CQ15:CQ19 CV15:CV19 CX15:CX19 DC15:DC19 DE15:DE19 DJ15:DJ19 DL15:DL19 DQ15:DQ19 DS15:DS19 BN17 BF25:BG25 BM25:BN25 DC25 DJ25 DQ25:DR25 P53:P66 W53:W66 AD53:AD66 AF53:AF55 AK53:AK66 AM53:AM55 AR53:AR66 AY53:AY66 BF53:BF66 BM53:BM66 BT53:BT66 CA53:CA66 CH53:CH66 CO53:CO66 CV53:CV66 DC53:DC66 DJ53:DJ66 DQ53:DQ66 DR58 BF72:BG72 BM72:BN72">
    <cfRule type="expression" dxfId="1" priority="3">
      <formula>IF(P5&gt;=Q5,IF(P5="",FALSE,TRUE))</formula>
    </cfRule>
  </conditionalFormatting>
  <conditionalFormatting sqref="R5:R12 Y5:Y12 AF5:AF12 AM5:AM12 AT5:AT12 BA5:BA12 BH5:BH12 BO5:BO12 BV5:BV12 CC5:CC12 CJ5:CJ12 CQ5:CQ12 CX5:CX12 DE5:DE7 DL5:DL7 DS5:DS7 DE9:DE12 DL9:DL12 DS9:DS12 R53:R66 Y53:Y66 AF53:AF66 AM53:AM66 AT53:AT66 BA53:BA66 BH53:BH66 BO53:BO66 BV53:BV66 CC53:CC66 CJ53:CJ66 CQ53:CQ66 CX53:CX66 DE53:DE57 DL53:DL57 DS53:DS57 DE59:DE66 DL59:DL66 DS59:DS66">
    <cfRule type="expression" dxfId="0" priority="4">
      <formula>OR(IF(R5&lt;S5,TRUE),IF(AND(S5="",R5&lt;&gt;""),TRUE))</formula>
    </cfRule>
  </conditionalFormatting>
  <conditionalFormatting sqref="R5:R12 Y5:Y12 AF5:AF12 AM5:AM12 AT5:AT12 BA5:BA12 BH5:BH12 BO5:BO12 BV5:BV12 CC5:CC12 CJ5:CJ12 CQ5:CQ12 CX5:CX12 DE5:DE7 DL5:DL7 DS5:DS7 DE9:DE12 DL9:DL12 DS9:DS12 R53:R66 Y53:Y66 AF53:AF66 AM53:AM66 AT53:AT66 BA53:BA66 BH53:BH66 BO53:BO66 BV53:BV66 CC53:CC66 CJ53:CJ66 CQ53:CQ66 CX53:CX66 DE53:DE57 DL53:DL57 DS53:DS57 DE59:DE66 DL59:DL66 DS59:DS66">
    <cfRule type="expression" dxfId="1" priority="5">
      <formula>IF(R5&gt;=S5,IF(R5="",FALSE,TRUE))</formula>
    </cfRule>
  </conditionalFormatting>
  <conditionalFormatting sqref="P23:P24 W23:W24 AD23:AD24 AF23:AF24 AK23:AK24 AR23:AR24 AY23:AY24 BF23:BF24 BM23:BM24 BT23:BT24 CA23:CA24 CH23:CH24 CO23:CO24 CV23:CV24 DC23:DC24 DJ23:DJ24 DQ23:DQ24 P30:P31 W30:W31 AD30:AD31 AK30:AK31 AR30:AR31 AY30:AY31 BF30:BF31 BM30:BM31 BT30:BT31 CA30:CA31 CH30:CH31 CO30:CO31 CV30:CV31 DC30:DC31 DJ30:DJ31 DQ30:DQ31 P35:P36 W35:W36 AD35:AD36 AK35:AK36 AR35:AR36 AY35:AY36 BF35:BF36 BM35:BM36 BT35:BT36 CA35:CA36 CH35:CH36 CO35:CO36 CV35:CV36 DC35:DC36 DJ35:DJ36 DQ35:DQ36 P45:P46 W45:W46 AD45:AD46 AK45:AK46 AR45:AR46 AY45:AY46 BF45:BF46 BM45:BM46 BT45:BT46 CA45:CA46 CH45:CH46 CO45:CO46 CV45:CV46 DC45:DC46 DJ45:DJ46 DQ45:DQ46 R69:R71 Y69:Y70 AD69:AD70 AF69:AF70 AK69:AK70 AM69:AM70 AR69:AR70 AY69:AY70 BF69:BF70 BM69:BM70 BT69:BT70 CA69:CA70 CH69:CH70 CO69:CO70 CV69:CV70 DC69:DC70 DJ69:DJ70 DQ69:DQ70">
    <cfRule type="expression" dxfId="0" priority="6">
      <formula>OR(IF(P23&lt;Q23,TRUE),IF(AND(Q23="",P23&lt;&gt;""),TRUE))</formula>
    </cfRule>
  </conditionalFormatting>
  <conditionalFormatting sqref="P23:P24 W23:W24 AD23:AD24 AF23:AF24 AK23:AK24 AR23:AR24 AY23:AY24 BF23:BF24 BM23:BM24 BT23:BT24 CA23:CA24 CH23:CH24 CO23:CO24 CV23:CV24 DC23:DC24 DJ23:DJ24 DQ23:DQ24 P30:P31 W30:W31 AD30:AD31 AK30:AK31 AR30:AR31 AY30:AY31 BF30:BF31 BM30:BM31 BT30:BT31 CA30:CA31 CH30:CH31 CO30:CO31 CV30:CV31 DC30:DC31 DJ30:DJ31 DQ30:DQ31 P35:P36 W35:W36 AD35:AD36 AK35:AK36 AR35:AR36 AY35:AY36 BF35:BF36 BM35:BM36 BT35:BT36 CA35:CA36 CH35:CH36 CO35:CO36 CV35:CV36 DC35:DC36 DJ35:DJ36 DQ35:DQ36 P45:P46 W45:W46 AD45:AD46 AK45:AK46 AR45:AR46 AY45:AY46 BF45:BF46 BM45:BM46 BT45:BT46 CA45:CA46 CH45:CH46 CO45:CO46 CV45:CV46 DC45:DC46 DJ45:DJ46 DQ45:DQ46 R69:R71 Y69:Y70 AD69:AD70 AF69:AF70 AK69:AK70 AM69:AM70 AR69:AR70 AY69:AY70 BF69:BF70 BM69:BM70 BT69:BT70 CA69:CA70 CH69:CH70 CO69:CO70 CV69:CV70 DC69:DC70 DJ69:DJ70 DQ69:DQ70">
    <cfRule type="expression" dxfId="1" priority="7">
      <formula>IF(P23&gt;=Q23,IF(P23="",FALSE,TRUE))</formula>
    </cfRule>
  </conditionalFormatting>
  <conditionalFormatting sqref="R23:R24 Y23:Y24 AD23:AD24 AF23:AF24 AK23:AK24 AM23:AM24 AT23:AT24 BA23:BA24 BH23:BH24 BO23:BO24 BV23:BV24 CC23:CC24 CJ23:CJ24 CQ23:CQ24 CX23:CX24 DE23:DE24 DL23:DL24 DS23:DS24 R30:R31 Y30:Y31 AF30:AF31 AM30:AM31 AT30:AT31 BA30:BA31 BH30:BH31 BO30:BO31 BV30:BV31 CC30:CC31 CJ30:CJ31 CQ30:CQ31 CX30:CX31 DE30:DE31 DL30:DL31 DS30:DS31 R35:R36 W35:W36 Y35:Y36 AF35:AF36 AM35:AM38 AT35:AT36 BA35:BA36 BH35:BH36 BO35:BO36 BV35:BV36 CC35:CC36 CJ35:CJ36 CQ35:CQ36 CX35:CX36 DE35:DE36 DL35:DL36 DS35:DS36 R45:R46 Y45:Y46 AF45:AF46 AM45:AM46 AT45:AT46 BA45:BA46 BH45:BH46 BO45:BO46 BV45:BV46 CC45:CC46 CJ45:CJ46 CQ45:CQ46 CX45:CX46 DE45:DE46 DL45:DL46 DS45:DS46 W69:W71 Y69:Y71 AF69:AF71 AM69:AM71 AT69:AT70 BA69:BA70 BH69:BH70 BO69:BO70 BV69:BV70 CC69:CC70 CJ69:CJ70 CQ69:CQ70 CX69:CX70 DE69:DE70 DL69:DL70 DS69:DS70">
    <cfRule type="expression" dxfId="0" priority="8">
      <formula>OR(IF(R23&lt;S23,TRUE),IF(AND(S23="",R23&lt;&gt;""),TRUE))</formula>
    </cfRule>
  </conditionalFormatting>
  <conditionalFormatting sqref="R23:R24 Y23:Y24 AD23:AD24 AF23:AF24 AK23:AK24 AM23:AM24 AT23:AT24 BA23:BA24 BH23:BH24 BO23:BO24 BV23:BV24 CC23:CC24 CJ23:CJ24 CQ23:CQ24 CX23:CX24 DE23:DE24 DL23:DL24 DS23:DS24 R30:R31 Y30:Y31 AF30:AF31 AM30:AM31 AT30:AT31 BA30:BA31 BH30:BH31 BO30:BO31 BV30:BV31 CC30:CC31 CJ30:CJ31 CQ30:CQ31 CX30:CX31 DE30:DE31 DL30:DL31 DS30:DS31 R35:R36 W35:W36 Y35:Y36 AF35:AF36 AM35:AM38 AT35:AT36 BA35:BA36 BH35:BH36 BO35:BO36 BV35:BV36 CC35:CC36 CJ35:CJ36 CQ35:CQ36 CX35:CX36 DE35:DE36 DL35:DL36 DS35:DS36 R45:R46 Y45:Y46 AF45:AF46 AM45:AM46 AT45:AT46 BA45:BA46 BH45:BH46 BO45:BO46 BV45:BV46 CC45:CC46 CJ45:CJ46 CQ45:CQ46 CX45:CX46 DE45:DE46 DL45:DL46 DS45:DS46 W69:W71 Y69:Y71 AF69:AF71 AM69:AM71 AT69:AT70 BA69:BA70 BH69:BH70 BO69:BO70 BV69:BV70 CC69:CC70 CJ69:CJ70 CQ69:CQ70 CX69:CX70 DE69:DE70 DL69:DL70 DS69:DS70">
    <cfRule type="expression" dxfId="1" priority="9">
      <formula>IF(R23&gt;=S23,IF(R23="",FALSE,TRUE))</formula>
    </cfRule>
  </conditionalFormatting>
  <conditionalFormatting sqref="R25:R27 Y25:Y27 AD25:AD27 AF25:AF27 AK25:AK27 AM25:AM27 AT25:AT27 BA25:BA27 BV25:BV27 CC25:CC27 CJ25:CJ27 CQ25:CQ27 CX25:CX27 BH26:BH27 BO26:BO27 DE26:DE27 DL26:DL27 DS26:DS27 R32 Y32 AF32 AM32 AT32 BA32 BH32 BO32 BV32 CC32 CJ32 CQ32 CX32 DE32 DL32 DS32 R37:R42 W37:W42 Y37:Y42 AF37:AF42 AM37:AM42 AT37:AT42 BA37:BA42 BH37:BH42 BO37:BO42 BV37:BV42 CC37:CC42 CJ37:CJ42 CQ37 CX37:CX42 DE37:DE42 DL37:DL42 DS37:DS42 CQ39:CQ42 R47:R50 Y47:Y50 AF47:AF50 AM47:AM50 AT47:AT50 BA47:BA50 BH47:BH50 BO47:BO50 BV47:BV50 CC47:CC50 CJ47:CJ50 CQ47:CQ50 CX47:CX50 DE47:DE50 DL47:DL50 DS47:DS50 W71 Y71:Y76 AF71:AF76 AM71:AM76 AT71:AT76 BA71:BA76 BH71 BO71 BV71:BV76 CC71:CC76 CJ71:CJ76 CQ71:CQ76 CX71:CX76 DE71:DE76 DL71:DL76 DS71:DS76 BH73:BH76 BO73:BO76">
    <cfRule type="expression" dxfId="0" priority="10">
      <formula>OR(IF(R25&lt;S25,TRUE),IF(AND(S25="",R25&lt;&gt;""),TRUE))</formula>
    </cfRule>
  </conditionalFormatting>
  <conditionalFormatting sqref="R25:R27 Y25:Y27 AD25:AD27 AF25:AF27 AK25:AK27 AM25:AM27 AT25:AT27 BA25:BA27 BV25:BV27 CC25:CC27 CJ25:CJ27 CQ25:CQ27 CX25:CX27 BH26:BH27 BO26:BO27 DE26:DE27 DL26:DL27 DS26:DS27 R32 Y32 AF32 AM32 AT32 BA32 BH32 BO32 BV32 CC32 CJ32 CQ32 CX32 DE32 DL32 DS32 R37:R42 W37:W42 Y37:Y42 AF37:AF42 AM37:AM42 AT37:AT42 BA37:BA42 BH37:BH42 BO37:BO42 BV37:BV42 CC37:CC42 CJ37:CJ42 CQ37 CX37:CX42 DE37:DE42 DL37:DL42 DS37:DS42 CQ39:CQ42 R47:R50 Y47:Y50 AF47:AF50 AM47:AM50 AT47:AT50 BA47:BA50 BH47:BH50 BO47:BO50 BV47:BV50 CC47:CC50 CJ47:CJ50 CQ47:CQ50 CX47:CX50 DE47:DE50 DL47:DL50 DS47:DS50 W71 Y71:Y76 AF71:AF76 AM71:AM76 AT71:AT76 BA71:BA76 BH71 BO71 BV71:BV76 CC71:CC76 CJ71:CJ76 CQ71:CQ76 CX71:CX76 DE71:DE76 DL71:DL76 DS71:DS76 BH73:BH76 BO73:BO76">
    <cfRule type="expression" dxfId="1" priority="11">
      <formula>IF(R25&gt;=S25,IF(R25="",FALSE,TRUE))</formula>
    </cfRule>
  </conditionalFormatting>
  <conditionalFormatting sqref="P20 W20 AD20 AK20 AR20 AY20 BF20 BM20 BT20 CA20 CH20 CO20 CV20 DC20 DJ20 DQ20">
    <cfRule type="expression" dxfId="0" priority="12">
      <formula>OR(IF(P20&lt;Q20,TRUE),IF(AND(Q20="",P20&lt;&gt;""),TRUE))</formula>
    </cfRule>
  </conditionalFormatting>
  <conditionalFormatting sqref="P20 W20 AD20 AK20 AR20 AY20 BF20 BM20 BT20 CA20 CH20 CO20 CV20 DC20 DJ20 DQ20">
    <cfRule type="expression" dxfId="1" priority="13">
      <formula>IF(P20&gt;=Q20,IF(P20="",FALSE,TRUE))</formula>
    </cfRule>
  </conditionalFormatting>
  <conditionalFormatting sqref="R20 Y20 AF20 AM20 AT20 BA20 BH20 BO20 BV20 CC20 CJ20 CQ20 CX20 DE20 DL20 DS20">
    <cfRule type="expression" dxfId="0" priority="14">
      <formula>OR(IF(R20&lt;S20,TRUE),IF(AND(S20="",R20&lt;&gt;""),TRUE))</formula>
    </cfRule>
  </conditionalFormatting>
  <conditionalFormatting sqref="R20 Y20 AF20 AM20 AT20 BA20 BH20 BO20 BV20 CC20 CJ20 CQ20 CX20 DE20 DL20 DS20">
    <cfRule type="expression" dxfId="1" priority="15">
      <formula>IF(R20&gt;=S20,IF(R20="",FALSE,TRUE))</formula>
    </cfRule>
  </conditionalFormatting>
  <conditionalFormatting sqref="BM17 P25:P27 W25:W27 AD25:AD27 AF25:AF26 AK25:AK27 AR25:AR27 AY25:AY27 BF25:BF27 BM25:BM27 BT25:BT27 CA25:CA27 CH25:CH27 CO25:CO27 CV25:CV27 DC25:DC27 DJ25:DJ27 DQ25:DQ27 P32 W32 AD32 AK32 AR32 AY32 BF32 BM32 BT32 CA32 CH32 CO32 CV32 DC32 DJ32 DQ32 P37:P42 W37:W42 AD37:AD42 AK37:AK42 AR37:AR42 AY37:AY42 BF37:BF42 BM37:BM42 BT37:BT42 CA37:CA42 CH37:CH42 CO37:CO42 CV37:CV42 DC37:DC42 DJ37:DJ42 DQ37:DQ42 P47:P50 W47:W50 AD47:AD50 AK47:AK50 AR47:AR50 AY47:AY50 BF47:BF50 BM47:BM50 BT47:BT50 CA47:CA50 CH47:CH50 CO47:CO50 CV47:CV50 DC47:DC50 DJ47:DJ50 DQ47:DQ50 R71:R76 Y71:Y76 AD71:AD76 AF71:AF73 AK71:AK76 AM71:AM72 AR71:AR76 AY71:AY76 BF71:BF76 BM71:BM76 BT71:BT76 CA71:CA76 CH71:CH76 CO71:CO76 CV71:CV76 DC71:DC76 DJ71:DJ76 DQ71:DQ76">
    <cfRule type="expression" dxfId="0" priority="16">
      <formula>OR(IF(BM17&lt;BN17,TRUE),IF(AND(BN17="",BM17&lt;&gt;""),TRUE))</formula>
    </cfRule>
  </conditionalFormatting>
  <conditionalFormatting sqref="BM17 P25:P27 W25:W27 AD25:AD27 AF25:AF26 AK25:AK27 AR25:AR27 AY25:AY27 BF25:BF27 BM25:BM27 BT25:BT27 CA25:CA27 CH25:CH27 CO25:CO27 CV25:CV27 DC25:DC27 DJ25:DJ27 DQ25:DQ27 P32 W32 AD32 AK32 AR32 AY32 BF32 BM32 BT32 CA32 CH32 CO32 CV32 DC32 DJ32 DQ32 P37:P42 W37:W42 AD37:AD42 AK37:AK42 AR37:AR42 AY37:AY42 BF37:BF42 BM37:BM42 BT37:BT42 CA37:CA42 CH37:CH42 CO37:CO42 CV37:CV42 DC37:DC42 DJ37:DJ42 DQ37:DQ42 P47:P50 W47:W50 AD47:AD50 AK47:AK50 AR47:AR50 AY47:AY50 BF47:BF50 BM47:BM50 BT47:BT50 CA47:CA50 CH47:CH50 CO47:CO50 CV47:CV50 DC47:DC50 DJ47:DJ50 DQ47:DQ50 R71:R76 Y71:Y76 AD71:AD76 AF71:AF73 AK71:AK76 AM71:AM72 AR71:AR76 AY71:AY76 BF71:BF76 BM71:BM76 BT71:BT76 CA71:CA76 CH71:CH76 CO71:CO76 CV71:CV76 DC71:DC76 DJ71:DJ76 DQ71:DQ76">
    <cfRule type="expression" dxfId="1" priority="17">
      <formula>IF(BM17&gt;=BN17,IF(BM17="",FALSE,TRUE))</formula>
    </cfRule>
  </conditionalFormatting>
  <conditionalFormatting sqref="J5:J12 J53:J66">
    <cfRule type="colorScale" priority="18">
      <colorScale>
        <cfvo type="percent" val="0"/>
        <cfvo type="percent" val="100"/>
        <color rgb="FFFF231B"/>
        <color rgb="FF10FF07"/>
      </colorScale>
    </cfRule>
  </conditionalFormatting>
  <conditionalFormatting sqref="K5:K12 K53:K66">
    <cfRule type="colorScale" priority="19">
      <colorScale>
        <cfvo type="percent" val="0"/>
        <cfvo type="percent" val="100"/>
        <color rgb="FFFF231B"/>
        <color rgb="FF10FF07"/>
      </colorScale>
    </cfRule>
  </conditionalFormatting>
  <conditionalFormatting sqref="J24:K27 J31:K32 J36:K42 J46:K50 J70:K76">
    <cfRule type="colorScale" priority="20">
      <colorScale>
        <cfvo type="percent" val="0"/>
        <cfvo type="percent" val="100"/>
        <color rgb="FFFF231B"/>
        <color rgb="FF10FF07"/>
      </colorScale>
    </cfRule>
  </conditionalFormatting>
  <conditionalFormatting sqref="J23:J27 J30:J32 J35:J42 J45:J50 J69:J76">
    <cfRule type="colorScale" priority="21">
      <colorScale>
        <cfvo type="percent" val="0"/>
        <cfvo type="percent" val="100"/>
        <color rgb="FFFF231B"/>
        <color rgb="FF10FF07"/>
      </colorScale>
    </cfRule>
  </conditionalFormatting>
  <conditionalFormatting sqref="K23:K27 K30:K32 K35:K42 K45:K50 K69:K76">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dataValidation type="list" allowBlank="1" sqref="DC5:DF7 DJ5:DM7 DC8 DJ8 DQ8 P5:S12 W5:Z12 AD5:AG12 AK5:AN12 AR5:AU12 AY5:BB12 BF5:BI12 BM5:BP12 BT5:BW12 CA5:CD12 CH5:CK12 CO5:CR12 CV5:CY12 DC9:DF12 DJ9:DM12 BF15:BI16 BM15:BP16 BF17 BM17 P15:S20 W15:Z20 AD15:AG20 AK15:AN20 AR15:AU20 AY15:BB20 BF18:BI20 BM18:BP20 BF23:BI24 BM23:BP24 DC23:DF24 DJ23:DM24 BF25 BM25 DC25 DJ25 DQ25 P23:S27 W23:Z27 AD23:AG27 AK23:AN27 AR23:AU27 AY23:BB27 BF26:BI27 BM26:BP27 DC26:DF27 DJ26:DM27 AK30:AN32 AR30:AU32 AY30:BB32 BF30:BI32 CO35:CR37 CO38 P35:S42 W35:Z42 AD35:AG42 AK35:AN42 AR35:AU42 AY35:BB42 BF35:BI42 BM35:BP42 BT35:BW42 CA35:CD42 CH35:CK42 CO39:CR42 AK45:AN50 AR45:AU50 AY45:BB50 BF45:BI50 BM45:BP50 BT45:BW50 CA45:CD50 CH45:CK50 CO45:CR50 CV45:CY50 DC45:DF50 DJ45:DM50 DC53:DF57 DJ53:DM57 DC58 DJ58 DQ58 P53:S66 W53:Y66 AD53:AG66 AK53:AN66 AR53:AU66 AY53:BB66 BF53:BI66 BM53:BP66 BT53:BW66 CA53:CD66 CH53:CK66 CO53:CR66 CV53:CY66 DC59:DF66 DJ59:DM66 BF69:BI71 BM69:BP71 BF72 BM72 R69:S76 Y69:Z76 AD69:AG76 AK69:AN76 AR69:AU76 AY69:BB76 BF73:BI76 BM73:BP76">
      <formula1>"10%,20%,30%,40%,50%,60%,70%,80%,90%,100%"</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78"/>
    <col customWidth="1" min="2" max="2" width="19.11"/>
    <col customWidth="1" min="3" max="3" width="18.11"/>
    <col customWidth="1" min="4" max="4" width="19.44"/>
    <col customWidth="1" min="5" max="7" width="10.67"/>
    <col customWidth="1" min="8" max="8" width="15.11"/>
    <col customWidth="1" min="9" max="9" width="10.67"/>
    <col customWidth="1" min="10" max="10" width="42.0"/>
    <col customWidth="1" min="11" max="11" width="28.44"/>
    <col customWidth="1" min="12" max="26" width="10.67"/>
  </cols>
  <sheetData>
    <row r="1" ht="15.75" customHeight="1">
      <c r="A1" s="37" t="s">
        <v>140</v>
      </c>
      <c r="B1" s="38" t="s">
        <v>141</v>
      </c>
      <c r="C1" s="38" t="s">
        <v>142</v>
      </c>
      <c r="D1" s="38" t="s">
        <v>143</v>
      </c>
      <c r="E1" s="39" t="s">
        <v>144</v>
      </c>
      <c r="F1" s="39" t="s">
        <v>145</v>
      </c>
      <c r="G1" s="39" t="s">
        <v>146</v>
      </c>
      <c r="H1" s="39" t="s">
        <v>147</v>
      </c>
      <c r="I1" s="39" t="s">
        <v>148</v>
      </c>
      <c r="J1" s="39" t="s">
        <v>149</v>
      </c>
      <c r="K1" s="39" t="s">
        <v>150</v>
      </c>
    </row>
    <row r="2" ht="15.75" customHeight="1">
      <c r="A2" s="40">
        <v>44118.0</v>
      </c>
      <c r="B2" s="37"/>
      <c r="C2" s="37"/>
      <c r="D2" s="41">
        <v>1.0</v>
      </c>
      <c r="E2" s="42"/>
      <c r="F2" s="42"/>
      <c r="G2" s="42"/>
      <c r="H2" s="42"/>
      <c r="I2" s="42"/>
      <c r="J2" s="42"/>
      <c r="K2" s="42"/>
    </row>
    <row r="3" ht="15.75" customHeight="1">
      <c r="A3" s="40">
        <v>44119.0</v>
      </c>
      <c r="B3" s="37"/>
      <c r="C3" s="37"/>
      <c r="D3" s="37"/>
      <c r="E3" s="42"/>
      <c r="F3" s="42"/>
      <c r="G3" s="42"/>
      <c r="H3" s="42"/>
      <c r="I3" s="42"/>
      <c r="J3" s="42"/>
      <c r="K3" s="42"/>
    </row>
    <row r="4" ht="15.75" customHeight="1">
      <c r="A4" s="40">
        <v>44120.0</v>
      </c>
      <c r="B4" s="37"/>
      <c r="C4" s="37"/>
      <c r="D4" s="37"/>
      <c r="E4" s="42"/>
      <c r="F4" s="42"/>
      <c r="G4" s="42"/>
      <c r="H4" s="42"/>
      <c r="I4" s="42"/>
      <c r="J4" s="42"/>
      <c r="K4" s="42"/>
    </row>
    <row r="5" ht="15.75" customHeight="1">
      <c r="A5" s="40">
        <v>44121.0</v>
      </c>
      <c r="B5" s="37"/>
      <c r="C5" s="37"/>
      <c r="D5" s="37"/>
      <c r="E5" s="42"/>
      <c r="F5" s="42"/>
      <c r="G5" s="42"/>
      <c r="H5" s="42"/>
      <c r="I5" s="42"/>
      <c r="J5" s="42"/>
      <c r="K5" s="42"/>
    </row>
    <row r="6" ht="15.75" customHeight="1">
      <c r="A6" s="40">
        <v>44122.0</v>
      </c>
      <c r="B6" s="37"/>
      <c r="C6" s="37"/>
      <c r="D6" s="37"/>
      <c r="E6" s="42"/>
      <c r="F6" s="42"/>
      <c r="G6" s="42"/>
      <c r="H6" s="42"/>
      <c r="I6" s="42"/>
      <c r="J6" s="42"/>
      <c r="K6" s="42"/>
    </row>
    <row r="7" ht="15.75" customHeight="1">
      <c r="A7" s="40">
        <v>44123.0</v>
      </c>
      <c r="B7" s="37"/>
      <c r="C7" s="37"/>
      <c r="D7" s="37"/>
      <c r="E7" s="42"/>
      <c r="F7" s="42"/>
      <c r="G7" s="42"/>
      <c r="H7" s="42"/>
      <c r="I7" s="42"/>
      <c r="J7" s="42"/>
      <c r="K7" s="42"/>
    </row>
    <row r="8" ht="15.75" customHeight="1">
      <c r="A8" s="40">
        <v>44124.0</v>
      </c>
      <c r="B8" s="37"/>
      <c r="C8" s="37"/>
      <c r="D8" s="37"/>
      <c r="E8" s="42"/>
      <c r="F8" s="42"/>
      <c r="G8" s="42"/>
      <c r="H8" s="42"/>
      <c r="I8" s="42"/>
      <c r="J8" s="42"/>
      <c r="K8" s="42"/>
    </row>
    <row r="9" ht="15.75" customHeight="1">
      <c r="A9" s="40">
        <v>44125.0</v>
      </c>
      <c r="B9" s="37"/>
      <c r="C9" s="37"/>
      <c r="D9" s="37"/>
      <c r="E9" s="42"/>
      <c r="F9" s="42"/>
      <c r="G9" s="42"/>
      <c r="H9" s="42"/>
      <c r="I9" s="42"/>
      <c r="J9" s="42"/>
      <c r="K9" s="42"/>
    </row>
    <row r="10" ht="15.75" customHeight="1">
      <c r="A10" s="40">
        <v>44126.0</v>
      </c>
      <c r="B10" s="37"/>
      <c r="C10" s="37"/>
      <c r="D10" s="37"/>
      <c r="E10" s="42"/>
      <c r="F10" s="42"/>
      <c r="G10" s="42"/>
      <c r="H10" s="42"/>
      <c r="I10" s="42"/>
      <c r="J10" s="42"/>
      <c r="K10" s="42"/>
    </row>
    <row r="11" ht="15.75" customHeight="1">
      <c r="A11" s="40">
        <v>44127.0</v>
      </c>
      <c r="B11" s="37"/>
      <c r="C11" s="37"/>
      <c r="D11" s="37"/>
      <c r="E11" s="42"/>
      <c r="F11" s="42"/>
      <c r="G11" s="42"/>
      <c r="H11" s="42"/>
      <c r="I11" s="42"/>
      <c r="J11" s="42"/>
      <c r="K11" s="42"/>
    </row>
    <row r="12" ht="15.75" customHeight="1">
      <c r="A12" s="40">
        <v>44128.0</v>
      </c>
      <c r="B12" s="37"/>
      <c r="C12" s="37"/>
      <c r="D12" s="37"/>
      <c r="E12" s="42"/>
      <c r="F12" s="42"/>
      <c r="G12" s="42"/>
      <c r="H12" s="42"/>
      <c r="I12" s="42"/>
      <c r="J12" s="42"/>
      <c r="K12" s="42"/>
    </row>
    <row r="13" ht="15.75" customHeight="1">
      <c r="A13" s="40">
        <v>44129.0</v>
      </c>
      <c r="B13" s="37"/>
      <c r="C13" s="37"/>
      <c r="D13" s="37"/>
      <c r="E13" s="42"/>
      <c r="F13" s="42"/>
      <c r="G13" s="42"/>
      <c r="H13" s="42"/>
      <c r="I13" s="42"/>
      <c r="J13" s="42"/>
      <c r="K13" s="42"/>
    </row>
    <row r="14" ht="15.75" customHeight="1">
      <c r="A14" s="40">
        <v>44130.0</v>
      </c>
      <c r="B14" s="37"/>
      <c r="C14" s="37"/>
      <c r="D14" s="37"/>
      <c r="E14" s="42"/>
      <c r="F14" s="42"/>
      <c r="G14" s="42"/>
      <c r="H14" s="42"/>
      <c r="I14" s="42"/>
      <c r="J14" s="42"/>
      <c r="K14" s="42"/>
    </row>
    <row r="15" ht="15.75" customHeight="1">
      <c r="A15" s="40">
        <v>44131.0</v>
      </c>
      <c r="B15" s="37"/>
      <c r="C15" s="37"/>
      <c r="D15" s="37"/>
      <c r="E15" s="42"/>
      <c r="F15" s="42"/>
      <c r="G15" s="42"/>
      <c r="H15" s="42"/>
      <c r="I15" s="42"/>
      <c r="J15" s="42"/>
      <c r="K15" s="42"/>
    </row>
    <row r="16" ht="15.75" customHeight="1">
      <c r="A16" s="40">
        <v>44132.0</v>
      </c>
      <c r="B16" s="37"/>
      <c r="C16" s="37"/>
      <c r="D16" s="37"/>
      <c r="E16" s="42"/>
      <c r="F16" s="42"/>
      <c r="G16" s="42"/>
      <c r="H16" s="42"/>
      <c r="I16" s="42"/>
      <c r="J16" s="42"/>
      <c r="K16" s="42"/>
    </row>
    <row r="17" ht="15.75" customHeight="1">
      <c r="A17" s="40">
        <v>44133.0</v>
      </c>
      <c r="B17" s="37"/>
      <c r="C17" s="37"/>
      <c r="D17" s="37"/>
      <c r="E17" s="42"/>
      <c r="F17" s="42"/>
      <c r="G17" s="42"/>
      <c r="H17" s="42"/>
      <c r="I17" s="42"/>
      <c r="J17" s="42"/>
      <c r="K17" s="42"/>
    </row>
    <row r="18" ht="15.75" customHeight="1">
      <c r="A18" s="40">
        <v>44134.0</v>
      </c>
      <c r="B18" s="37"/>
      <c r="C18" s="37"/>
      <c r="D18" s="37"/>
      <c r="E18" s="42"/>
      <c r="F18" s="42"/>
      <c r="G18" s="42"/>
      <c r="H18" s="42"/>
      <c r="I18" s="42"/>
      <c r="J18" s="42"/>
      <c r="K18" s="42"/>
    </row>
    <row r="19" ht="15.75" customHeight="1">
      <c r="A19" s="40">
        <v>44135.0</v>
      </c>
      <c r="B19" s="37"/>
      <c r="C19" s="37"/>
      <c r="D19" s="37"/>
      <c r="E19" s="42"/>
      <c r="F19" s="42"/>
      <c r="G19" s="42"/>
      <c r="H19" s="42"/>
      <c r="I19" s="42"/>
      <c r="J19" s="42"/>
      <c r="K19" s="42"/>
    </row>
    <row r="20" ht="15.75" customHeight="1">
      <c r="A20" s="40">
        <v>44136.0</v>
      </c>
      <c r="B20" s="37"/>
      <c r="C20" s="37"/>
      <c r="D20" s="37"/>
      <c r="E20" s="42"/>
      <c r="F20" s="42"/>
      <c r="G20" s="42"/>
      <c r="H20" s="42"/>
      <c r="I20" s="42"/>
      <c r="J20" s="42"/>
      <c r="K20" s="42"/>
    </row>
    <row r="21" ht="15.75" customHeight="1">
      <c r="A21" s="40">
        <v>44137.0</v>
      </c>
      <c r="B21" s="37"/>
      <c r="C21" s="37"/>
      <c r="D21" s="37"/>
      <c r="E21" s="42"/>
      <c r="F21" s="42"/>
      <c r="G21" s="42"/>
      <c r="H21" s="42"/>
      <c r="I21" s="42"/>
      <c r="J21" s="42"/>
      <c r="K21" s="42"/>
    </row>
    <row r="22" ht="15.75" customHeight="1">
      <c r="A22" s="40">
        <v>44138.0</v>
      </c>
      <c r="B22" s="37"/>
      <c r="C22" s="37"/>
      <c r="D22" s="37"/>
      <c r="E22" s="42"/>
      <c r="F22" s="42"/>
      <c r="G22" s="42"/>
      <c r="H22" s="42"/>
      <c r="I22" s="42"/>
      <c r="J22" s="42"/>
      <c r="K22" s="42"/>
    </row>
    <row r="23" ht="15.75" customHeight="1">
      <c r="A23" s="40">
        <v>44139.0</v>
      </c>
      <c r="B23" s="37"/>
      <c r="C23" s="37"/>
      <c r="D23" s="37"/>
      <c r="E23" s="42"/>
      <c r="F23" s="42"/>
      <c r="G23" s="42"/>
      <c r="H23" s="42"/>
      <c r="I23" s="42"/>
      <c r="J23" s="42"/>
      <c r="K23" s="42"/>
    </row>
    <row r="24" ht="15.75" customHeight="1">
      <c r="A24" s="40">
        <v>44140.0</v>
      </c>
      <c r="B24" s="37"/>
      <c r="C24" s="37"/>
      <c r="D24" s="37"/>
      <c r="E24" s="42"/>
      <c r="F24" s="42"/>
      <c r="G24" s="42"/>
      <c r="H24" s="42"/>
      <c r="I24" s="42"/>
      <c r="J24" s="42"/>
      <c r="K24" s="42"/>
    </row>
    <row r="25" ht="15.75" customHeight="1">
      <c r="A25" s="40">
        <v>44141.0</v>
      </c>
      <c r="B25" s="37"/>
      <c r="C25" s="37"/>
      <c r="D25" s="37"/>
      <c r="E25" s="42"/>
      <c r="F25" s="42"/>
      <c r="G25" s="42"/>
      <c r="H25" s="42"/>
      <c r="I25" s="42"/>
      <c r="J25" s="42"/>
      <c r="K25" s="42"/>
    </row>
    <row r="26" ht="15.75" customHeight="1">
      <c r="A26" s="40">
        <v>44142.0</v>
      </c>
      <c r="B26" s="37"/>
      <c r="C26" s="37"/>
      <c r="D26" s="37"/>
      <c r="E26" s="42"/>
      <c r="F26" s="42"/>
      <c r="G26" s="42"/>
      <c r="H26" s="42"/>
      <c r="I26" s="42"/>
      <c r="J26" s="42"/>
      <c r="K26" s="42"/>
    </row>
    <row r="27" ht="15.75" customHeight="1">
      <c r="A27" s="40">
        <v>44143.0</v>
      </c>
      <c r="B27" s="37"/>
      <c r="C27" s="37"/>
      <c r="D27" s="37"/>
      <c r="E27" s="42"/>
      <c r="F27" s="42"/>
      <c r="G27" s="42"/>
      <c r="H27" s="42"/>
      <c r="I27" s="42"/>
      <c r="J27" s="42"/>
      <c r="K27" s="42"/>
    </row>
    <row r="28" ht="15.75" customHeight="1">
      <c r="A28" s="40">
        <v>44144.0</v>
      </c>
      <c r="B28" s="37"/>
      <c r="C28" s="37"/>
      <c r="D28" s="37"/>
      <c r="E28" s="42"/>
      <c r="F28" s="42"/>
      <c r="G28" s="42"/>
      <c r="H28" s="42"/>
      <c r="I28" s="42"/>
      <c r="J28" s="42"/>
      <c r="K28" s="42"/>
    </row>
    <row r="29" ht="15.75" customHeight="1">
      <c r="A29" s="40">
        <v>44145.0</v>
      </c>
      <c r="B29" s="37"/>
      <c r="C29" s="37"/>
      <c r="D29" s="37"/>
      <c r="E29" s="42"/>
      <c r="F29" s="42"/>
      <c r="G29" s="42"/>
      <c r="H29" s="42"/>
      <c r="I29" s="42"/>
      <c r="J29" s="42"/>
      <c r="K29" s="42"/>
    </row>
    <row r="30" ht="15.75" customHeight="1">
      <c r="A30" s="40">
        <v>44146.0</v>
      </c>
      <c r="B30" s="37"/>
      <c r="C30" s="37"/>
      <c r="D30" s="37"/>
      <c r="E30" s="42"/>
      <c r="F30" s="42"/>
      <c r="G30" s="42"/>
      <c r="H30" s="42"/>
      <c r="I30" s="42"/>
      <c r="J30" s="42"/>
      <c r="K30" s="42"/>
    </row>
    <row r="31" ht="15.75" customHeight="1">
      <c r="A31" s="40">
        <v>44147.0</v>
      </c>
      <c r="B31" s="37"/>
      <c r="C31" s="37"/>
      <c r="D31" s="37"/>
      <c r="E31" s="42"/>
      <c r="F31" s="42"/>
      <c r="G31" s="42"/>
      <c r="H31" s="42"/>
      <c r="I31" s="42"/>
      <c r="J31" s="42"/>
      <c r="K31" s="42"/>
    </row>
    <row r="32" ht="15.75" customHeight="1">
      <c r="A32" s="40">
        <v>44148.0</v>
      </c>
      <c r="B32" s="37"/>
      <c r="C32" s="37"/>
      <c r="D32" s="37"/>
      <c r="E32" s="42"/>
      <c r="F32" s="42"/>
      <c r="G32" s="42"/>
      <c r="H32" s="42"/>
      <c r="I32" s="42"/>
      <c r="J32" s="42"/>
      <c r="K32" s="42"/>
    </row>
    <row r="33" ht="15.75" customHeight="1">
      <c r="A33" s="40">
        <v>44149.0</v>
      </c>
      <c r="B33" s="37"/>
      <c r="C33" s="37"/>
      <c r="D33" s="37"/>
      <c r="E33" s="42"/>
      <c r="F33" s="42"/>
      <c r="G33" s="42"/>
      <c r="H33" s="42"/>
      <c r="I33" s="42"/>
      <c r="J33" s="42"/>
      <c r="K33" s="42"/>
    </row>
    <row r="34" ht="15.75" customHeight="1">
      <c r="A34" s="40">
        <v>44150.0</v>
      </c>
      <c r="B34" s="37"/>
      <c r="C34" s="37"/>
      <c r="D34" s="37"/>
      <c r="E34" s="42"/>
      <c r="F34" s="42"/>
      <c r="G34" s="42"/>
      <c r="H34" s="42"/>
      <c r="I34" s="42"/>
      <c r="J34" s="42"/>
      <c r="K34" s="42"/>
    </row>
    <row r="35" ht="15.75" customHeight="1">
      <c r="A35" s="40">
        <v>44151.0</v>
      </c>
      <c r="B35" s="37"/>
      <c r="C35" s="37"/>
      <c r="D35" s="37"/>
      <c r="E35" s="42"/>
      <c r="F35" s="42"/>
      <c r="G35" s="42"/>
      <c r="H35" s="42"/>
      <c r="I35" s="42"/>
      <c r="J35" s="42"/>
      <c r="K35" s="42"/>
    </row>
    <row r="36" ht="15.75" customHeight="1">
      <c r="A36" s="40">
        <v>44152.0</v>
      </c>
      <c r="B36" s="37"/>
      <c r="C36" s="37"/>
      <c r="D36" s="37"/>
      <c r="E36" s="42"/>
      <c r="F36" s="42"/>
      <c r="G36" s="42"/>
      <c r="H36" s="42"/>
      <c r="I36" s="42"/>
      <c r="J36" s="42"/>
      <c r="K36" s="42"/>
    </row>
    <row r="37" ht="15.75" customHeight="1">
      <c r="A37" s="40">
        <v>44153.0</v>
      </c>
      <c r="B37" s="37"/>
      <c r="C37" s="37"/>
      <c r="D37" s="37"/>
      <c r="E37" s="42"/>
      <c r="F37" s="42"/>
      <c r="G37" s="42"/>
      <c r="H37" s="42"/>
      <c r="I37" s="42"/>
      <c r="J37" s="42"/>
      <c r="K37" s="42"/>
    </row>
    <row r="38" ht="15.75" customHeight="1">
      <c r="A38" s="40">
        <v>44154.0</v>
      </c>
      <c r="B38" s="37"/>
      <c r="C38" s="37"/>
      <c r="D38" s="37"/>
      <c r="E38" s="42"/>
      <c r="F38" s="42"/>
      <c r="G38" s="42"/>
      <c r="H38" s="42"/>
      <c r="I38" s="42"/>
      <c r="J38" s="42"/>
      <c r="K38" s="42"/>
    </row>
    <row r="39" ht="15.75" customHeight="1">
      <c r="A39" s="40">
        <v>44155.0</v>
      </c>
      <c r="B39" s="37"/>
      <c r="C39" s="37"/>
      <c r="D39" s="37"/>
      <c r="E39" s="42"/>
      <c r="F39" s="42"/>
      <c r="G39" s="42"/>
      <c r="H39" s="42"/>
      <c r="I39" s="42"/>
      <c r="J39" s="42"/>
      <c r="K39" s="42"/>
    </row>
    <row r="40" ht="15.75" customHeight="1">
      <c r="A40" s="40">
        <v>44156.0</v>
      </c>
      <c r="B40" s="37"/>
      <c r="C40" s="37"/>
      <c r="D40" s="37"/>
      <c r="E40" s="42"/>
      <c r="F40" s="42"/>
      <c r="G40" s="42"/>
      <c r="H40" s="42"/>
      <c r="I40" s="42"/>
      <c r="J40" s="42"/>
      <c r="K40" s="42"/>
    </row>
    <row r="41" ht="15.75" customHeight="1">
      <c r="A41" s="40">
        <v>44157.0</v>
      </c>
      <c r="B41" s="37"/>
      <c r="C41" s="37"/>
      <c r="D41" s="37"/>
      <c r="E41" s="42"/>
      <c r="F41" s="42"/>
      <c r="G41" s="42"/>
      <c r="H41" s="42"/>
      <c r="I41" s="42"/>
      <c r="J41" s="42"/>
      <c r="K41" s="42"/>
    </row>
    <row r="42" ht="15.75" customHeight="1">
      <c r="A42" s="40">
        <v>44158.0</v>
      </c>
      <c r="B42" s="37"/>
      <c r="C42" s="37"/>
      <c r="D42" s="37"/>
      <c r="E42" s="42"/>
      <c r="F42" s="42"/>
      <c r="G42" s="42"/>
      <c r="H42" s="42"/>
      <c r="I42" s="42"/>
      <c r="J42" s="42"/>
      <c r="K42" s="42"/>
    </row>
    <row r="43" ht="15.75" customHeight="1">
      <c r="A43" s="40">
        <v>44159.0</v>
      </c>
      <c r="B43" s="37"/>
      <c r="C43" s="37"/>
      <c r="D43" s="37"/>
      <c r="E43" s="42"/>
      <c r="F43" s="42"/>
      <c r="G43" s="42"/>
      <c r="H43" s="42"/>
      <c r="I43" s="42"/>
      <c r="J43" s="42"/>
      <c r="K43" s="42"/>
    </row>
    <row r="44" ht="15.75" customHeight="1">
      <c r="A44" s="40">
        <v>44160.0</v>
      </c>
      <c r="B44" s="37"/>
      <c r="C44" s="37"/>
      <c r="D44" s="37"/>
      <c r="E44" s="42"/>
      <c r="F44" s="42"/>
      <c r="G44" s="42"/>
      <c r="H44" s="42"/>
      <c r="I44" s="42"/>
      <c r="J44" s="42"/>
      <c r="K44" s="42"/>
    </row>
    <row r="45" ht="15.75" customHeight="1">
      <c r="A45" s="40">
        <v>44161.0</v>
      </c>
      <c r="B45" s="37"/>
      <c r="C45" s="37"/>
      <c r="D45" s="37"/>
      <c r="E45" s="42"/>
      <c r="F45" s="42"/>
      <c r="G45" s="42"/>
      <c r="H45" s="42"/>
      <c r="I45" s="42"/>
      <c r="J45" s="42"/>
      <c r="K45" s="42"/>
    </row>
    <row r="46" ht="15.75" customHeight="1">
      <c r="A46" s="40">
        <v>44162.0</v>
      </c>
      <c r="B46" s="37"/>
      <c r="C46" s="37"/>
      <c r="D46" s="37"/>
      <c r="E46" s="42"/>
      <c r="F46" s="42"/>
      <c r="G46" s="42"/>
      <c r="H46" s="42"/>
      <c r="I46" s="42"/>
      <c r="J46" s="42"/>
      <c r="K46" s="42"/>
    </row>
    <row r="47" ht="15.75" customHeight="1">
      <c r="A47" s="26"/>
      <c r="B47" s="26"/>
      <c r="C47" s="26"/>
      <c r="D47" s="26"/>
    </row>
    <row r="48" ht="15.75" customHeight="1">
      <c r="A48" s="26"/>
      <c r="B48" s="26"/>
      <c r="C48" s="26"/>
      <c r="D48" s="26"/>
    </row>
    <row r="49" ht="15.75" customHeight="1">
      <c r="A49" s="26"/>
      <c r="B49" s="26"/>
      <c r="C49" s="26"/>
      <c r="D49" s="26"/>
    </row>
    <row r="50" ht="15.75" customHeight="1">
      <c r="A50" s="26"/>
      <c r="B50" s="26"/>
      <c r="C50" s="26"/>
      <c r="D50" s="26"/>
    </row>
    <row r="51" ht="15.75" customHeight="1">
      <c r="A51" s="26"/>
      <c r="B51" s="26"/>
      <c r="C51" s="26"/>
      <c r="D51" s="26"/>
    </row>
    <row r="52" ht="15.75" customHeight="1">
      <c r="A52" s="26"/>
      <c r="B52" s="26"/>
      <c r="C52" s="26"/>
      <c r="D52" s="26"/>
    </row>
    <row r="53" ht="15.75" customHeight="1">
      <c r="A53" s="26"/>
      <c r="B53" s="26"/>
      <c r="C53" s="26"/>
      <c r="D53" s="26"/>
    </row>
    <row r="54" ht="15.75" customHeight="1">
      <c r="A54" s="26"/>
      <c r="B54" s="26"/>
      <c r="C54" s="26"/>
      <c r="D54" s="26"/>
    </row>
    <row r="55" ht="15.75" customHeight="1">
      <c r="A55" s="26"/>
      <c r="B55" s="26"/>
      <c r="C55" s="26"/>
      <c r="D55" s="26"/>
    </row>
    <row r="56" ht="15.75" customHeight="1">
      <c r="A56" s="26"/>
      <c r="B56" s="26"/>
      <c r="C56" s="26"/>
      <c r="D56" s="26"/>
    </row>
    <row r="57" ht="15.75" customHeight="1">
      <c r="A57" s="26"/>
      <c r="B57" s="26"/>
      <c r="C57" s="26"/>
      <c r="D57" s="26"/>
    </row>
    <row r="58" ht="15.75" customHeight="1">
      <c r="A58" s="26"/>
      <c r="B58" s="26"/>
      <c r="C58" s="26"/>
      <c r="D58" s="26"/>
    </row>
    <row r="59" ht="15.75" customHeight="1">
      <c r="A59" s="26"/>
      <c r="B59" s="26"/>
      <c r="C59" s="26"/>
      <c r="D59" s="26"/>
    </row>
    <row r="60" ht="15.75" customHeight="1">
      <c r="A60" s="26"/>
      <c r="B60" s="26"/>
      <c r="C60" s="26"/>
      <c r="D60" s="26"/>
    </row>
    <row r="61" ht="15.75" customHeight="1">
      <c r="A61" s="26"/>
      <c r="B61" s="26"/>
      <c r="C61" s="26"/>
      <c r="D61" s="26"/>
    </row>
    <row r="62" ht="15.75" customHeight="1">
      <c r="A62" s="26"/>
      <c r="B62" s="26"/>
      <c r="C62" s="26"/>
      <c r="D62" s="26"/>
    </row>
    <row r="63" ht="15.75" customHeight="1">
      <c r="A63" s="26"/>
      <c r="B63" s="26"/>
      <c r="C63" s="26"/>
      <c r="D63" s="26"/>
    </row>
    <row r="64" ht="15.75" customHeight="1">
      <c r="A64" s="26"/>
      <c r="B64" s="26"/>
      <c r="C64" s="26"/>
      <c r="D64" s="26"/>
    </row>
    <row r="65" ht="15.75" customHeight="1">
      <c r="A65" s="26"/>
      <c r="B65" s="26"/>
      <c r="C65" s="26"/>
      <c r="D65" s="26"/>
    </row>
    <row r="66" ht="15.75" customHeight="1">
      <c r="A66" s="26"/>
      <c r="B66" s="26"/>
      <c r="C66" s="26"/>
      <c r="D66" s="26"/>
    </row>
    <row r="67" ht="15.75" customHeight="1">
      <c r="A67" s="26"/>
      <c r="B67" s="26"/>
      <c r="C67" s="26"/>
      <c r="D67" s="26"/>
    </row>
    <row r="68" ht="15.75" customHeight="1">
      <c r="A68" s="26"/>
      <c r="B68" s="26"/>
      <c r="C68" s="26"/>
      <c r="D68" s="26"/>
    </row>
    <row r="69" ht="15.75" customHeight="1">
      <c r="A69" s="26"/>
      <c r="B69" s="26"/>
      <c r="C69" s="26"/>
      <c r="D69" s="26"/>
    </row>
    <row r="70" ht="15.75" customHeight="1">
      <c r="A70" s="26"/>
      <c r="B70" s="26"/>
      <c r="C70" s="26"/>
      <c r="D70" s="26"/>
    </row>
    <row r="71" ht="15.75" customHeight="1">
      <c r="A71" s="26"/>
      <c r="B71" s="26"/>
      <c r="C71" s="26"/>
      <c r="D71" s="26"/>
    </row>
    <row r="72" ht="15.75" customHeight="1">
      <c r="A72" s="26"/>
      <c r="B72" s="26"/>
      <c r="C72" s="26"/>
      <c r="D72" s="26"/>
    </row>
    <row r="73" ht="15.75" customHeight="1">
      <c r="A73" s="26"/>
      <c r="B73" s="26"/>
      <c r="C73" s="26"/>
      <c r="D73" s="26"/>
    </row>
    <row r="74" ht="15.75" customHeight="1">
      <c r="A74" s="26"/>
      <c r="B74" s="26"/>
      <c r="C74" s="26"/>
      <c r="D74" s="26"/>
    </row>
    <row r="75" ht="15.75" customHeight="1">
      <c r="A75" s="26"/>
      <c r="B75" s="26"/>
      <c r="C75" s="26"/>
      <c r="D75" s="26"/>
    </row>
    <row r="76" ht="15.75" customHeight="1">
      <c r="A76" s="26"/>
      <c r="B76" s="26"/>
      <c r="C76" s="26"/>
      <c r="D76" s="26"/>
    </row>
    <row r="77" ht="15.75" customHeight="1">
      <c r="A77" s="26"/>
      <c r="B77" s="26"/>
      <c r="C77" s="26"/>
      <c r="D77" s="26"/>
    </row>
    <row r="78" ht="15.75" customHeight="1">
      <c r="A78" s="26"/>
      <c r="B78" s="26"/>
      <c r="C78" s="26"/>
      <c r="D78" s="26"/>
    </row>
    <row r="79" ht="15.75" customHeight="1">
      <c r="A79" s="26"/>
      <c r="B79" s="26"/>
      <c r="C79" s="26"/>
      <c r="D79" s="26"/>
    </row>
    <row r="80" ht="15.75" customHeight="1">
      <c r="A80" s="26"/>
      <c r="B80" s="26"/>
      <c r="C80" s="26"/>
      <c r="D80" s="26"/>
    </row>
    <row r="81" ht="15.75" customHeight="1">
      <c r="A81" s="26"/>
      <c r="B81" s="26"/>
      <c r="C81" s="26"/>
      <c r="D81" s="26"/>
    </row>
    <row r="82" ht="15.75" customHeight="1">
      <c r="A82" s="26"/>
      <c r="B82" s="26"/>
      <c r="C82" s="26"/>
      <c r="D82" s="26"/>
    </row>
    <row r="83" ht="15.75" customHeight="1">
      <c r="A83" s="26"/>
      <c r="B83" s="26"/>
      <c r="C83" s="26"/>
      <c r="D83" s="26"/>
    </row>
    <row r="84" ht="15.75" customHeight="1">
      <c r="A84" s="26"/>
      <c r="B84" s="26"/>
      <c r="C84" s="26"/>
      <c r="D84" s="26"/>
    </row>
    <row r="85" ht="15.75" customHeight="1">
      <c r="A85" s="26"/>
      <c r="B85" s="26"/>
      <c r="C85" s="26"/>
      <c r="D85" s="26"/>
    </row>
    <row r="86" ht="15.75" customHeight="1">
      <c r="A86" s="26"/>
      <c r="B86" s="26"/>
      <c r="C86" s="26"/>
      <c r="D86" s="26"/>
    </row>
    <row r="87" ht="15.75" customHeight="1">
      <c r="A87" s="26"/>
      <c r="B87" s="26"/>
      <c r="C87" s="26"/>
      <c r="D87" s="26"/>
    </row>
    <row r="88" ht="15.75" customHeight="1">
      <c r="A88" s="26"/>
      <c r="B88" s="26"/>
      <c r="C88" s="26"/>
      <c r="D88" s="26"/>
    </row>
    <row r="89" ht="15.75" customHeight="1">
      <c r="A89" s="26"/>
      <c r="B89" s="26"/>
      <c r="C89" s="26"/>
      <c r="D89" s="26"/>
    </row>
    <row r="90" ht="15.75" customHeight="1">
      <c r="A90" s="26"/>
      <c r="B90" s="26"/>
      <c r="C90" s="26"/>
      <c r="D90" s="26"/>
    </row>
    <row r="91" ht="15.75" customHeight="1">
      <c r="A91" s="26"/>
      <c r="B91" s="26"/>
      <c r="C91" s="26"/>
      <c r="D91" s="26"/>
    </row>
    <row r="92" ht="15.75" customHeight="1">
      <c r="A92" s="26"/>
      <c r="B92" s="26"/>
      <c r="C92" s="26"/>
      <c r="D92" s="26"/>
    </row>
    <row r="93" ht="15.75" customHeight="1">
      <c r="A93" s="26"/>
      <c r="B93" s="26"/>
      <c r="C93" s="26"/>
      <c r="D93" s="26"/>
    </row>
    <row r="94" ht="15.75" customHeight="1">
      <c r="A94" s="26"/>
      <c r="B94" s="26"/>
      <c r="C94" s="26"/>
      <c r="D94" s="26"/>
    </row>
    <row r="95" ht="15.75" customHeight="1">
      <c r="A95" s="26"/>
      <c r="B95" s="26"/>
      <c r="C95" s="26"/>
      <c r="D95" s="26"/>
    </row>
    <row r="96" ht="15.75" customHeight="1">
      <c r="A96" s="26"/>
      <c r="B96" s="26"/>
      <c r="C96" s="26"/>
      <c r="D96" s="26"/>
    </row>
    <row r="97" ht="15.75" customHeight="1">
      <c r="A97" s="26"/>
      <c r="B97" s="26"/>
      <c r="C97" s="26"/>
      <c r="D97" s="26"/>
    </row>
    <row r="98" ht="15.75" customHeight="1">
      <c r="A98" s="26"/>
      <c r="B98" s="26"/>
      <c r="C98" s="26"/>
      <c r="D98" s="26"/>
    </row>
    <row r="99" ht="15.75" customHeight="1">
      <c r="A99" s="26"/>
      <c r="B99" s="26"/>
      <c r="C99" s="26"/>
      <c r="D99" s="26"/>
    </row>
    <row r="100" ht="15.75" customHeight="1">
      <c r="A100" s="26"/>
      <c r="B100" s="26"/>
      <c r="C100" s="26"/>
      <c r="D100" s="26"/>
    </row>
    <row r="101" ht="15.75" customHeight="1">
      <c r="A101" s="26"/>
      <c r="B101" s="26"/>
      <c r="C101" s="26"/>
      <c r="D101" s="26"/>
    </row>
    <row r="102" ht="15.75" customHeight="1">
      <c r="A102" s="26"/>
      <c r="B102" s="26"/>
      <c r="C102" s="26"/>
      <c r="D102" s="26"/>
    </row>
    <row r="103" ht="15.75" customHeight="1">
      <c r="A103" s="26"/>
      <c r="B103" s="26"/>
      <c r="C103" s="26"/>
      <c r="D103" s="26"/>
    </row>
    <row r="104" ht="15.75" customHeight="1">
      <c r="A104" s="26"/>
      <c r="B104" s="26"/>
      <c r="C104" s="26"/>
      <c r="D104" s="26"/>
    </row>
    <row r="105" ht="15.75" customHeight="1">
      <c r="A105" s="26"/>
      <c r="B105" s="26"/>
      <c r="C105" s="26"/>
      <c r="D105" s="26"/>
    </row>
    <row r="106" ht="15.75" customHeight="1">
      <c r="A106" s="26"/>
      <c r="B106" s="26"/>
      <c r="C106" s="26"/>
      <c r="D106" s="26"/>
    </row>
    <row r="107" ht="15.75" customHeight="1">
      <c r="A107" s="26"/>
      <c r="B107" s="26"/>
      <c r="C107" s="26"/>
      <c r="D107" s="26"/>
    </row>
    <row r="108" ht="15.75" customHeight="1">
      <c r="A108" s="26"/>
      <c r="B108" s="26"/>
      <c r="C108" s="26"/>
      <c r="D108" s="26"/>
    </row>
    <row r="109" ht="15.75" customHeight="1">
      <c r="A109" s="26"/>
      <c r="B109" s="26"/>
      <c r="C109" s="26"/>
      <c r="D109" s="26"/>
    </row>
    <row r="110" ht="15.75" customHeight="1">
      <c r="A110" s="26"/>
      <c r="B110" s="26"/>
      <c r="C110" s="26"/>
      <c r="D110" s="26"/>
    </row>
    <row r="111" ht="15.75" customHeight="1">
      <c r="A111" s="26"/>
      <c r="B111" s="26"/>
      <c r="C111" s="26"/>
      <c r="D111" s="26"/>
    </row>
    <row r="112" ht="15.75" customHeight="1">
      <c r="A112" s="26"/>
      <c r="B112" s="26"/>
      <c r="C112" s="26"/>
      <c r="D112" s="26"/>
    </row>
    <row r="113" ht="15.75" customHeight="1">
      <c r="A113" s="26"/>
      <c r="B113" s="26"/>
      <c r="C113" s="26"/>
      <c r="D113" s="26"/>
    </row>
    <row r="114" ht="15.75" customHeight="1">
      <c r="A114" s="26"/>
      <c r="B114" s="26"/>
      <c r="C114" s="26"/>
      <c r="D114" s="26"/>
    </row>
    <row r="115" ht="15.75" customHeight="1">
      <c r="A115" s="26"/>
      <c r="B115" s="26"/>
      <c r="C115" s="26"/>
      <c r="D115" s="26"/>
    </row>
    <row r="116" ht="15.75" customHeight="1">
      <c r="A116" s="26"/>
      <c r="B116" s="26"/>
      <c r="C116" s="26"/>
      <c r="D116" s="26"/>
    </row>
    <row r="117" ht="15.75" customHeight="1">
      <c r="A117" s="26"/>
      <c r="B117" s="26"/>
      <c r="C117" s="26"/>
      <c r="D117" s="26"/>
    </row>
    <row r="118" ht="15.75" customHeight="1">
      <c r="A118" s="26"/>
      <c r="B118" s="26"/>
      <c r="C118" s="26"/>
      <c r="D118" s="26"/>
    </row>
    <row r="119" ht="15.75" customHeight="1">
      <c r="A119" s="26"/>
      <c r="B119" s="26"/>
      <c r="C119" s="26"/>
      <c r="D119" s="26"/>
    </row>
    <row r="120" ht="15.75" customHeight="1">
      <c r="A120" s="26"/>
      <c r="B120" s="26"/>
      <c r="C120" s="26"/>
      <c r="D120" s="26"/>
    </row>
    <row r="121" ht="15.75" customHeight="1">
      <c r="A121" s="26"/>
      <c r="B121" s="26"/>
      <c r="C121" s="26"/>
      <c r="D121" s="26"/>
    </row>
    <row r="122" ht="15.75" customHeight="1">
      <c r="A122" s="26"/>
      <c r="B122" s="26"/>
      <c r="C122" s="26"/>
      <c r="D122" s="26"/>
    </row>
    <row r="123" ht="15.75" customHeight="1">
      <c r="A123" s="26"/>
      <c r="B123" s="26"/>
      <c r="C123" s="26"/>
      <c r="D123" s="26"/>
    </row>
    <row r="124" ht="15.75" customHeight="1">
      <c r="A124" s="26"/>
      <c r="B124" s="26"/>
      <c r="C124" s="26"/>
      <c r="D124" s="26"/>
    </row>
    <row r="125" ht="15.75" customHeight="1">
      <c r="A125" s="26"/>
      <c r="B125" s="26"/>
      <c r="C125" s="26"/>
      <c r="D125" s="26"/>
    </row>
    <row r="126" ht="15.75" customHeight="1">
      <c r="A126" s="26"/>
      <c r="B126" s="26"/>
      <c r="C126" s="26"/>
      <c r="D126" s="26"/>
    </row>
    <row r="127" ht="15.75" customHeight="1">
      <c r="A127" s="26"/>
      <c r="B127" s="26"/>
      <c r="C127" s="26"/>
      <c r="D127" s="26"/>
    </row>
    <row r="128" ht="15.75" customHeight="1">
      <c r="A128" s="26"/>
      <c r="B128" s="26"/>
      <c r="C128" s="26"/>
      <c r="D128" s="26"/>
    </row>
    <row r="129" ht="15.75" customHeight="1">
      <c r="A129" s="26"/>
      <c r="B129" s="26"/>
      <c r="C129" s="26"/>
      <c r="D129" s="26"/>
    </row>
    <row r="130" ht="15.75" customHeight="1">
      <c r="A130" s="26"/>
      <c r="B130" s="26"/>
      <c r="C130" s="26"/>
      <c r="D130" s="26"/>
    </row>
    <row r="131" ht="15.75" customHeight="1">
      <c r="A131" s="26"/>
      <c r="B131" s="26"/>
      <c r="C131" s="26"/>
      <c r="D131" s="26"/>
    </row>
    <row r="132" ht="15.75" customHeight="1">
      <c r="A132" s="26"/>
      <c r="B132" s="26"/>
      <c r="C132" s="26"/>
      <c r="D132" s="26"/>
    </row>
    <row r="133" ht="15.75" customHeight="1">
      <c r="A133" s="26"/>
      <c r="B133" s="26"/>
      <c r="C133" s="26"/>
      <c r="D133" s="26"/>
    </row>
    <row r="134" ht="15.75" customHeight="1">
      <c r="A134" s="26"/>
      <c r="B134" s="26"/>
      <c r="C134" s="26"/>
      <c r="D134" s="26"/>
    </row>
    <row r="135" ht="15.75" customHeight="1">
      <c r="A135" s="26"/>
      <c r="B135" s="26"/>
      <c r="C135" s="26"/>
      <c r="D135" s="26"/>
    </row>
    <row r="136" ht="15.75" customHeight="1">
      <c r="A136" s="26"/>
      <c r="B136" s="26"/>
      <c r="C136" s="26"/>
      <c r="D136" s="26"/>
    </row>
    <row r="137" ht="15.75" customHeight="1">
      <c r="A137" s="26"/>
      <c r="B137" s="26"/>
      <c r="C137" s="26"/>
      <c r="D137" s="26"/>
    </row>
    <row r="138" ht="15.75" customHeight="1">
      <c r="A138" s="26"/>
      <c r="B138" s="26"/>
      <c r="C138" s="26"/>
      <c r="D138" s="26"/>
    </row>
    <row r="139" ht="15.75" customHeight="1">
      <c r="A139" s="26"/>
      <c r="B139" s="26"/>
      <c r="C139" s="26"/>
      <c r="D139" s="26"/>
    </row>
    <row r="140" ht="15.75" customHeight="1">
      <c r="A140" s="26"/>
      <c r="B140" s="26"/>
      <c r="C140" s="26"/>
      <c r="D140" s="26"/>
    </row>
    <row r="141" ht="15.75" customHeight="1">
      <c r="A141" s="26"/>
      <c r="B141" s="26"/>
      <c r="C141" s="26"/>
      <c r="D141" s="26"/>
    </row>
    <row r="142" ht="15.75" customHeight="1">
      <c r="A142" s="26"/>
      <c r="B142" s="26"/>
      <c r="C142" s="26"/>
      <c r="D142" s="26"/>
    </row>
    <row r="143" ht="15.75" customHeight="1">
      <c r="A143" s="26"/>
      <c r="B143" s="26"/>
      <c r="C143" s="26"/>
      <c r="D143" s="26"/>
    </row>
    <row r="144" ht="15.75" customHeight="1">
      <c r="A144" s="26"/>
      <c r="B144" s="26"/>
      <c r="C144" s="26"/>
      <c r="D144" s="26"/>
    </row>
    <row r="145" ht="15.75" customHeight="1">
      <c r="A145" s="26"/>
      <c r="B145" s="26"/>
      <c r="C145" s="26"/>
      <c r="D145" s="26"/>
    </row>
    <row r="146" ht="15.75" customHeight="1">
      <c r="A146" s="26"/>
      <c r="B146" s="26"/>
      <c r="C146" s="26"/>
      <c r="D146" s="26"/>
    </row>
    <row r="147" ht="15.75" customHeight="1">
      <c r="A147" s="26"/>
      <c r="B147" s="26"/>
      <c r="C147" s="26"/>
      <c r="D147" s="26"/>
    </row>
    <row r="148" ht="15.75" customHeight="1">
      <c r="A148" s="26"/>
      <c r="B148" s="26"/>
      <c r="C148" s="26"/>
      <c r="D148" s="26"/>
    </row>
    <row r="149" ht="15.75" customHeight="1">
      <c r="A149" s="26"/>
      <c r="B149" s="26"/>
      <c r="C149" s="26"/>
      <c r="D149" s="26"/>
    </row>
    <row r="150" ht="15.75" customHeight="1">
      <c r="A150" s="26"/>
      <c r="B150" s="26"/>
      <c r="C150" s="26"/>
      <c r="D150" s="26"/>
    </row>
    <row r="151" ht="15.75" customHeight="1">
      <c r="A151" s="26"/>
      <c r="B151" s="26"/>
      <c r="C151" s="26"/>
      <c r="D151" s="26"/>
    </row>
    <row r="152" ht="15.75" customHeight="1">
      <c r="A152" s="26"/>
      <c r="B152" s="26"/>
      <c r="C152" s="26"/>
      <c r="D152" s="26"/>
    </row>
    <row r="153" ht="15.75" customHeight="1">
      <c r="A153" s="26"/>
      <c r="B153" s="26"/>
      <c r="C153" s="26"/>
      <c r="D153" s="26"/>
    </row>
    <row r="154" ht="15.75" customHeight="1">
      <c r="A154" s="26"/>
      <c r="B154" s="26"/>
      <c r="C154" s="26"/>
      <c r="D154" s="26"/>
    </row>
    <row r="155" ht="15.75" customHeight="1">
      <c r="A155" s="26"/>
      <c r="B155" s="26"/>
      <c r="C155" s="26"/>
      <c r="D155" s="26"/>
    </row>
    <row r="156" ht="15.75" customHeight="1">
      <c r="A156" s="26"/>
      <c r="B156" s="26"/>
      <c r="C156" s="26"/>
      <c r="D156" s="26"/>
    </row>
    <row r="157" ht="15.75" customHeight="1">
      <c r="A157" s="26"/>
      <c r="B157" s="26"/>
      <c r="C157" s="26"/>
      <c r="D157" s="26"/>
    </row>
    <row r="158" ht="15.75" customHeight="1">
      <c r="A158" s="26"/>
      <c r="B158" s="26"/>
      <c r="C158" s="26"/>
      <c r="D158" s="26"/>
    </row>
    <row r="159" ht="15.75" customHeight="1">
      <c r="A159" s="26"/>
      <c r="B159" s="26"/>
      <c r="C159" s="26"/>
      <c r="D159" s="26"/>
    </row>
    <row r="160" ht="15.75" customHeight="1">
      <c r="A160" s="26"/>
      <c r="B160" s="26"/>
      <c r="C160" s="26"/>
      <c r="D160" s="26"/>
    </row>
    <row r="161" ht="15.75" customHeight="1">
      <c r="A161" s="26"/>
      <c r="B161" s="26"/>
      <c r="C161" s="26"/>
      <c r="D161" s="26"/>
    </row>
    <row r="162" ht="15.75" customHeight="1">
      <c r="A162" s="26"/>
      <c r="B162" s="26"/>
      <c r="C162" s="26"/>
      <c r="D162" s="26"/>
    </row>
    <row r="163" ht="15.75" customHeight="1">
      <c r="A163" s="26"/>
      <c r="B163" s="26"/>
      <c r="C163" s="26"/>
      <c r="D163" s="26"/>
    </row>
    <row r="164" ht="15.75" customHeight="1">
      <c r="A164" s="26"/>
      <c r="B164" s="26"/>
      <c r="C164" s="26"/>
      <c r="D164" s="26"/>
    </row>
    <row r="165" ht="15.75" customHeight="1">
      <c r="A165" s="26"/>
      <c r="B165" s="26"/>
      <c r="C165" s="26"/>
      <c r="D165" s="26"/>
    </row>
    <row r="166" ht="15.75" customHeight="1">
      <c r="A166" s="26"/>
      <c r="B166" s="26"/>
      <c r="C166" s="26"/>
      <c r="D166" s="26"/>
    </row>
    <row r="167" ht="15.75" customHeight="1">
      <c r="A167" s="26"/>
      <c r="B167" s="26"/>
      <c r="C167" s="26"/>
      <c r="D167" s="26"/>
    </row>
    <row r="168" ht="15.75" customHeight="1">
      <c r="A168" s="26"/>
      <c r="B168" s="26"/>
      <c r="C168" s="26"/>
      <c r="D168" s="26"/>
    </row>
    <row r="169" ht="15.75" customHeight="1">
      <c r="A169" s="26"/>
      <c r="B169" s="26"/>
      <c r="C169" s="26"/>
      <c r="D169" s="26"/>
    </row>
    <row r="170" ht="15.75" customHeight="1">
      <c r="A170" s="26"/>
      <c r="B170" s="26"/>
      <c r="C170" s="26"/>
      <c r="D170" s="26"/>
    </row>
    <row r="171" ht="15.75" customHeight="1">
      <c r="A171" s="26"/>
      <c r="B171" s="26"/>
      <c r="C171" s="26"/>
      <c r="D171" s="26"/>
    </row>
    <row r="172" ht="15.75" customHeight="1">
      <c r="A172" s="26"/>
      <c r="B172" s="26"/>
      <c r="C172" s="26"/>
      <c r="D172" s="26"/>
    </row>
    <row r="173" ht="15.75" customHeight="1">
      <c r="A173" s="26"/>
      <c r="B173" s="26"/>
      <c r="C173" s="26"/>
      <c r="D173" s="26"/>
    </row>
    <row r="174" ht="15.75" customHeight="1">
      <c r="A174" s="26"/>
      <c r="B174" s="26"/>
      <c r="C174" s="26"/>
      <c r="D174" s="26"/>
    </row>
    <row r="175" ht="15.75" customHeight="1">
      <c r="A175" s="26"/>
      <c r="B175" s="26"/>
      <c r="C175" s="26"/>
      <c r="D175" s="26"/>
    </row>
    <row r="176" ht="15.75" customHeight="1">
      <c r="A176" s="26"/>
      <c r="B176" s="26"/>
      <c r="C176" s="26"/>
      <c r="D176" s="26"/>
    </row>
    <row r="177" ht="15.75" customHeight="1">
      <c r="A177" s="26"/>
      <c r="B177" s="26"/>
      <c r="C177" s="26"/>
      <c r="D177" s="26"/>
    </row>
    <row r="178" ht="15.75" customHeight="1">
      <c r="A178" s="26"/>
      <c r="B178" s="26"/>
      <c r="C178" s="26"/>
      <c r="D178" s="26"/>
    </row>
    <row r="179" ht="15.75" customHeight="1">
      <c r="A179" s="26"/>
      <c r="B179" s="26"/>
      <c r="C179" s="26"/>
      <c r="D179" s="26"/>
    </row>
    <row r="180" ht="15.75" customHeight="1">
      <c r="A180" s="26"/>
      <c r="B180" s="26"/>
      <c r="C180" s="26"/>
      <c r="D180" s="26"/>
    </row>
    <row r="181" ht="15.75" customHeight="1">
      <c r="A181" s="26"/>
      <c r="B181" s="26"/>
      <c r="C181" s="26"/>
      <c r="D181" s="26"/>
    </row>
    <row r="182" ht="15.75" customHeight="1">
      <c r="A182" s="26"/>
      <c r="B182" s="26"/>
      <c r="C182" s="26"/>
      <c r="D182" s="26"/>
    </row>
    <row r="183" ht="15.75" customHeight="1">
      <c r="A183" s="26"/>
      <c r="B183" s="26"/>
      <c r="C183" s="26"/>
      <c r="D183" s="26"/>
    </row>
    <row r="184" ht="15.75" customHeight="1">
      <c r="A184" s="26"/>
      <c r="B184" s="26"/>
      <c r="C184" s="26"/>
      <c r="D184" s="26"/>
    </row>
    <row r="185" ht="15.75" customHeight="1">
      <c r="A185" s="26"/>
      <c r="B185" s="26"/>
      <c r="C185" s="26"/>
      <c r="D185" s="26"/>
    </row>
    <row r="186" ht="15.75" customHeight="1">
      <c r="A186" s="26"/>
      <c r="B186" s="26"/>
      <c r="C186" s="26"/>
      <c r="D186" s="26"/>
    </row>
    <row r="187" ht="15.75" customHeight="1">
      <c r="A187" s="26"/>
      <c r="B187" s="26"/>
      <c r="C187" s="26"/>
      <c r="D187" s="26"/>
    </row>
    <row r="188" ht="15.75" customHeight="1">
      <c r="A188" s="26"/>
      <c r="B188" s="26"/>
      <c r="C188" s="26"/>
      <c r="D188" s="26"/>
    </row>
    <row r="189" ht="15.75" customHeight="1">
      <c r="A189" s="26"/>
      <c r="B189" s="26"/>
      <c r="C189" s="26"/>
      <c r="D189" s="26"/>
    </row>
    <row r="190" ht="15.75" customHeight="1">
      <c r="A190" s="26"/>
      <c r="B190" s="26"/>
      <c r="C190" s="26"/>
      <c r="D190" s="26"/>
    </row>
    <row r="191" ht="15.75" customHeight="1">
      <c r="A191" s="26"/>
      <c r="B191" s="26"/>
      <c r="C191" s="26"/>
      <c r="D191" s="26"/>
    </row>
    <row r="192" ht="15.75" customHeight="1">
      <c r="A192" s="26"/>
      <c r="B192" s="26"/>
      <c r="C192" s="26"/>
      <c r="D192" s="26"/>
    </row>
    <row r="193" ht="15.75" customHeight="1">
      <c r="A193" s="26"/>
      <c r="B193" s="26"/>
      <c r="C193" s="26"/>
      <c r="D193" s="26"/>
    </row>
    <row r="194" ht="15.75" customHeight="1">
      <c r="A194" s="26"/>
      <c r="B194" s="26"/>
      <c r="C194" s="26"/>
      <c r="D194" s="26"/>
    </row>
    <row r="195" ht="15.75" customHeight="1">
      <c r="A195" s="26"/>
      <c r="B195" s="26"/>
      <c r="C195" s="26"/>
      <c r="D195" s="26"/>
    </row>
    <row r="196" ht="15.75" customHeight="1">
      <c r="A196" s="26"/>
      <c r="B196" s="26"/>
      <c r="C196" s="26"/>
      <c r="D196" s="26"/>
    </row>
    <row r="197" ht="15.75" customHeight="1">
      <c r="A197" s="26"/>
      <c r="B197" s="26"/>
      <c r="C197" s="26"/>
      <c r="D197" s="26"/>
    </row>
    <row r="198" ht="15.75" customHeight="1">
      <c r="A198" s="26"/>
      <c r="B198" s="26"/>
      <c r="C198" s="26"/>
      <c r="D198" s="26"/>
    </row>
    <row r="199" ht="15.75" customHeight="1">
      <c r="A199" s="26"/>
      <c r="B199" s="26"/>
      <c r="C199" s="26"/>
      <c r="D199" s="26"/>
    </row>
    <row r="200" ht="15.75" customHeight="1">
      <c r="A200" s="26"/>
      <c r="B200" s="26"/>
      <c r="C200" s="26"/>
      <c r="D200" s="26"/>
    </row>
    <row r="201" ht="15.75" customHeight="1">
      <c r="A201" s="26"/>
      <c r="B201" s="26"/>
      <c r="C201" s="26"/>
      <c r="D201" s="26"/>
    </row>
    <row r="202" ht="15.75" customHeight="1">
      <c r="A202" s="26"/>
      <c r="B202" s="26"/>
      <c r="C202" s="26"/>
      <c r="D202" s="26"/>
    </row>
    <row r="203" ht="15.75" customHeight="1">
      <c r="A203" s="26"/>
      <c r="B203" s="26"/>
      <c r="C203" s="26"/>
      <c r="D203" s="26"/>
    </row>
    <row r="204" ht="15.75" customHeight="1">
      <c r="A204" s="26"/>
      <c r="B204" s="26"/>
      <c r="C204" s="26"/>
      <c r="D204" s="26"/>
    </row>
    <row r="205" ht="15.75" customHeight="1">
      <c r="A205" s="26"/>
      <c r="B205" s="26"/>
      <c r="C205" s="26"/>
      <c r="D205" s="26"/>
    </row>
    <row r="206" ht="15.75" customHeight="1">
      <c r="A206" s="26"/>
      <c r="B206" s="26"/>
      <c r="C206" s="26"/>
      <c r="D206" s="26"/>
    </row>
    <row r="207" ht="15.75" customHeight="1">
      <c r="A207" s="26"/>
      <c r="B207" s="26"/>
      <c r="C207" s="26"/>
      <c r="D207" s="26"/>
    </row>
    <row r="208" ht="15.75" customHeight="1">
      <c r="A208" s="26"/>
      <c r="B208" s="26"/>
      <c r="C208" s="26"/>
      <c r="D208" s="26"/>
    </row>
    <row r="209" ht="15.75" customHeight="1">
      <c r="A209" s="26"/>
      <c r="B209" s="26"/>
      <c r="C209" s="26"/>
      <c r="D209" s="26"/>
    </row>
    <row r="210" ht="15.75" customHeight="1">
      <c r="A210" s="26"/>
      <c r="B210" s="26"/>
      <c r="C210" s="26"/>
      <c r="D210" s="26"/>
    </row>
    <row r="211" ht="15.75" customHeight="1">
      <c r="A211" s="26"/>
      <c r="B211" s="26"/>
      <c r="C211" s="26"/>
      <c r="D211" s="26"/>
    </row>
    <row r="212" ht="15.75" customHeight="1">
      <c r="A212" s="26"/>
      <c r="B212" s="26"/>
      <c r="C212" s="26"/>
      <c r="D212" s="26"/>
    </row>
    <row r="213" ht="15.75" customHeight="1">
      <c r="A213" s="26"/>
      <c r="B213" s="26"/>
      <c r="C213" s="26"/>
      <c r="D213" s="26"/>
    </row>
    <row r="214" ht="15.75" customHeight="1">
      <c r="A214" s="26"/>
      <c r="B214" s="26"/>
      <c r="C214" s="26"/>
      <c r="D214" s="26"/>
    </row>
    <row r="215" ht="15.75" customHeight="1">
      <c r="A215" s="26"/>
      <c r="B215" s="26"/>
      <c r="C215" s="26"/>
      <c r="D215" s="26"/>
    </row>
    <row r="216" ht="15.75" customHeight="1">
      <c r="A216" s="26"/>
      <c r="B216" s="26"/>
      <c r="C216" s="26"/>
      <c r="D216" s="26"/>
    </row>
    <row r="217" ht="15.75" customHeight="1">
      <c r="A217" s="26"/>
      <c r="B217" s="26"/>
      <c r="C217" s="26"/>
      <c r="D217" s="26"/>
    </row>
    <row r="218" ht="15.75" customHeight="1">
      <c r="A218" s="26"/>
      <c r="B218" s="26"/>
      <c r="C218" s="26"/>
      <c r="D218" s="26"/>
    </row>
    <row r="219" ht="15.75" customHeight="1">
      <c r="A219" s="26"/>
      <c r="B219" s="26"/>
      <c r="C219" s="26"/>
      <c r="D219" s="26"/>
    </row>
    <row r="220" ht="15.75" customHeight="1">
      <c r="A220" s="26"/>
      <c r="B220" s="26"/>
      <c r="C220" s="26"/>
      <c r="D220" s="26"/>
    </row>
    <row r="221" ht="15.75" customHeight="1">
      <c r="A221" s="26"/>
      <c r="B221" s="26"/>
      <c r="C221" s="26"/>
      <c r="D221" s="26"/>
    </row>
    <row r="222" ht="15.75" customHeight="1">
      <c r="A222" s="26"/>
      <c r="B222" s="26"/>
      <c r="C222" s="26"/>
      <c r="D222" s="26"/>
    </row>
    <row r="223" ht="15.75" customHeight="1">
      <c r="A223" s="26"/>
      <c r="B223" s="26"/>
      <c r="C223" s="26"/>
      <c r="D223" s="26"/>
    </row>
    <row r="224" ht="15.75" customHeight="1">
      <c r="A224" s="26"/>
      <c r="B224" s="26"/>
      <c r="C224" s="26"/>
      <c r="D224" s="26"/>
    </row>
    <row r="225" ht="15.75" customHeight="1">
      <c r="A225" s="26"/>
      <c r="B225" s="26"/>
      <c r="C225" s="26"/>
      <c r="D225" s="26"/>
    </row>
    <row r="226" ht="15.75" customHeight="1">
      <c r="A226" s="26"/>
      <c r="B226" s="26"/>
      <c r="C226" s="26"/>
      <c r="D226" s="26"/>
    </row>
    <row r="227" ht="15.75" customHeight="1">
      <c r="A227" s="26"/>
      <c r="B227" s="26"/>
      <c r="C227" s="26"/>
      <c r="D227" s="26"/>
    </row>
    <row r="228" ht="15.75" customHeight="1">
      <c r="A228" s="26"/>
      <c r="B228" s="26"/>
      <c r="C228" s="26"/>
      <c r="D228" s="26"/>
    </row>
    <row r="229" ht="15.75" customHeight="1">
      <c r="A229" s="26"/>
      <c r="B229" s="26"/>
      <c r="C229" s="26"/>
      <c r="D229" s="26"/>
    </row>
    <row r="230" ht="15.75" customHeight="1">
      <c r="A230" s="26"/>
      <c r="B230" s="26"/>
      <c r="C230" s="26"/>
      <c r="D230" s="26"/>
    </row>
    <row r="231" ht="15.75" customHeight="1">
      <c r="A231" s="26"/>
      <c r="B231" s="26"/>
      <c r="C231" s="26"/>
      <c r="D231" s="26"/>
    </row>
    <row r="232" ht="15.75" customHeight="1">
      <c r="A232" s="26"/>
      <c r="B232" s="26"/>
      <c r="C232" s="26"/>
      <c r="D232" s="26"/>
    </row>
    <row r="233" ht="15.75" customHeight="1">
      <c r="A233" s="26"/>
      <c r="B233" s="26"/>
      <c r="C233" s="26"/>
      <c r="D233" s="26"/>
    </row>
    <row r="234" ht="15.75" customHeight="1">
      <c r="A234" s="26"/>
      <c r="B234" s="26"/>
      <c r="C234" s="26"/>
      <c r="D234" s="26"/>
    </row>
    <row r="235" ht="15.75" customHeight="1">
      <c r="A235" s="26"/>
      <c r="B235" s="26"/>
      <c r="C235" s="26"/>
      <c r="D235" s="26"/>
    </row>
    <row r="236" ht="15.75" customHeight="1">
      <c r="A236" s="26"/>
      <c r="B236" s="26"/>
      <c r="C236" s="26"/>
      <c r="D236" s="26"/>
    </row>
    <row r="237" ht="15.75" customHeight="1">
      <c r="A237" s="26"/>
      <c r="B237" s="26"/>
      <c r="C237" s="26"/>
      <c r="D237" s="26"/>
    </row>
    <row r="238" ht="15.75" customHeight="1">
      <c r="A238" s="26"/>
      <c r="B238" s="26"/>
      <c r="C238" s="26"/>
      <c r="D238" s="26"/>
    </row>
    <row r="239" ht="15.75" customHeight="1">
      <c r="A239" s="26"/>
      <c r="B239" s="26"/>
      <c r="C239" s="26"/>
      <c r="D239" s="26"/>
    </row>
    <row r="240" ht="15.75" customHeight="1">
      <c r="A240" s="26"/>
      <c r="B240" s="26"/>
      <c r="C240" s="26"/>
      <c r="D240" s="26"/>
    </row>
    <row r="241" ht="15.75" customHeight="1">
      <c r="A241" s="26"/>
      <c r="B241" s="26"/>
      <c r="C241" s="26"/>
      <c r="D241" s="26"/>
    </row>
    <row r="242" ht="15.75" customHeight="1">
      <c r="A242" s="26"/>
      <c r="B242" s="26"/>
      <c r="C242" s="26"/>
      <c r="D242" s="26"/>
    </row>
    <row r="243" ht="15.75" customHeight="1">
      <c r="A243" s="26"/>
      <c r="B243" s="26"/>
      <c r="C243" s="26"/>
      <c r="D243" s="26"/>
    </row>
    <row r="244" ht="15.75" customHeight="1">
      <c r="A244" s="26"/>
      <c r="B244" s="26"/>
      <c r="C244" s="26"/>
      <c r="D244" s="26"/>
    </row>
    <row r="245" ht="15.75" customHeight="1">
      <c r="A245" s="26"/>
      <c r="B245" s="26"/>
      <c r="C245" s="26"/>
      <c r="D245" s="26"/>
    </row>
    <row r="246" ht="15.75" customHeight="1">
      <c r="A246" s="26"/>
      <c r="B246" s="26"/>
      <c r="C246" s="26"/>
      <c r="D246" s="26"/>
    </row>
    <row r="247" ht="15.75" customHeight="1">
      <c r="A247" s="26"/>
      <c r="B247" s="26"/>
      <c r="C247" s="26"/>
      <c r="D247" s="26"/>
    </row>
    <row r="248" ht="15.75" customHeight="1">
      <c r="A248" s="26"/>
      <c r="B248" s="26"/>
      <c r="C248" s="26"/>
      <c r="D248" s="26"/>
    </row>
    <row r="249" ht="15.75" customHeight="1">
      <c r="A249" s="26"/>
      <c r="B249" s="26"/>
      <c r="C249" s="26"/>
      <c r="D249" s="26"/>
    </row>
    <row r="250" ht="15.75" customHeight="1">
      <c r="A250" s="26"/>
      <c r="B250" s="26"/>
      <c r="C250" s="26"/>
      <c r="D250" s="26"/>
    </row>
    <row r="251" ht="15.75" customHeight="1">
      <c r="A251" s="26"/>
      <c r="B251" s="26"/>
      <c r="C251" s="26"/>
      <c r="D251" s="26"/>
    </row>
    <row r="252" ht="15.75" customHeight="1">
      <c r="A252" s="26"/>
      <c r="B252" s="26"/>
      <c r="C252" s="26"/>
      <c r="D252" s="26"/>
    </row>
    <row r="253" ht="15.75" customHeight="1">
      <c r="A253" s="26"/>
      <c r="B253" s="26"/>
      <c r="C253" s="26"/>
      <c r="D253" s="26"/>
    </row>
    <row r="254" ht="15.75" customHeight="1">
      <c r="A254" s="26"/>
      <c r="B254" s="26"/>
      <c r="C254" s="26"/>
      <c r="D254" s="26"/>
    </row>
    <row r="255" ht="15.75" customHeight="1">
      <c r="A255" s="26"/>
      <c r="B255" s="26"/>
      <c r="C255" s="26"/>
      <c r="D255" s="26"/>
    </row>
    <row r="256" ht="15.75" customHeight="1">
      <c r="A256" s="26"/>
      <c r="B256" s="26"/>
      <c r="C256" s="26"/>
      <c r="D256" s="26"/>
    </row>
    <row r="257" ht="15.75" customHeight="1">
      <c r="A257" s="26"/>
      <c r="B257" s="26"/>
      <c r="C257" s="26"/>
      <c r="D257" s="26"/>
    </row>
    <row r="258" ht="15.75" customHeight="1">
      <c r="A258" s="26"/>
      <c r="B258" s="26"/>
      <c r="C258" s="26"/>
      <c r="D258" s="26"/>
    </row>
    <row r="259" ht="15.75" customHeight="1">
      <c r="A259" s="26"/>
      <c r="B259" s="26"/>
      <c r="C259" s="26"/>
      <c r="D259" s="26"/>
    </row>
    <row r="260" ht="15.75" customHeight="1">
      <c r="A260" s="26"/>
      <c r="B260" s="26"/>
      <c r="C260" s="26"/>
      <c r="D260" s="26"/>
    </row>
    <row r="261" ht="15.75" customHeight="1">
      <c r="A261" s="26"/>
      <c r="B261" s="26"/>
      <c r="C261" s="26"/>
      <c r="D261" s="26"/>
    </row>
    <row r="262" ht="15.75" customHeight="1">
      <c r="A262" s="26"/>
      <c r="B262" s="26"/>
      <c r="C262" s="26"/>
      <c r="D262" s="26"/>
    </row>
    <row r="263" ht="15.75" customHeight="1">
      <c r="A263" s="26"/>
      <c r="B263" s="26"/>
      <c r="C263" s="26"/>
      <c r="D263" s="26"/>
    </row>
    <row r="264" ht="15.75" customHeight="1">
      <c r="A264" s="26"/>
      <c r="B264" s="26"/>
      <c r="C264" s="26"/>
      <c r="D264" s="26"/>
    </row>
    <row r="265" ht="15.75" customHeight="1">
      <c r="A265" s="26"/>
      <c r="B265" s="26"/>
      <c r="C265" s="26"/>
      <c r="D265" s="26"/>
    </row>
    <row r="266" ht="15.75" customHeight="1">
      <c r="A266" s="26"/>
      <c r="B266" s="26"/>
      <c r="C266" s="26"/>
      <c r="D266" s="26"/>
    </row>
    <row r="267" ht="15.75" customHeight="1">
      <c r="A267" s="26"/>
      <c r="B267" s="26"/>
      <c r="C267" s="26"/>
      <c r="D267" s="26"/>
    </row>
    <row r="268" ht="15.75" customHeight="1">
      <c r="A268" s="26"/>
      <c r="B268" s="26"/>
      <c r="C268" s="26"/>
      <c r="D268" s="26"/>
    </row>
    <row r="269" ht="15.75" customHeight="1">
      <c r="A269" s="26"/>
      <c r="B269" s="26"/>
      <c r="C269" s="26"/>
      <c r="D269" s="26"/>
    </row>
    <row r="270" ht="15.75" customHeight="1">
      <c r="A270" s="26"/>
      <c r="B270" s="26"/>
      <c r="C270" s="26"/>
      <c r="D270" s="26"/>
    </row>
    <row r="271" ht="15.75" customHeight="1">
      <c r="A271" s="26"/>
      <c r="B271" s="26"/>
      <c r="C271" s="26"/>
      <c r="D271" s="26"/>
    </row>
    <row r="272" ht="15.75" customHeight="1">
      <c r="A272" s="26"/>
      <c r="B272" s="26"/>
      <c r="C272" s="26"/>
      <c r="D272" s="26"/>
    </row>
    <row r="273" ht="15.75" customHeight="1">
      <c r="A273" s="26"/>
      <c r="B273" s="26"/>
      <c r="C273" s="26"/>
      <c r="D273" s="26"/>
    </row>
    <row r="274" ht="15.75" customHeight="1">
      <c r="A274" s="26"/>
      <c r="B274" s="26"/>
      <c r="C274" s="26"/>
      <c r="D274" s="26"/>
    </row>
    <row r="275" ht="15.75" customHeight="1">
      <c r="A275" s="26"/>
      <c r="B275" s="26"/>
      <c r="C275" s="26"/>
      <c r="D275" s="26"/>
    </row>
    <row r="276" ht="15.75" customHeight="1">
      <c r="A276" s="26"/>
      <c r="B276" s="26"/>
      <c r="C276" s="26"/>
      <c r="D276" s="26"/>
    </row>
    <row r="277" ht="15.75" customHeight="1">
      <c r="A277" s="26"/>
      <c r="B277" s="26"/>
      <c r="C277" s="26"/>
      <c r="D277" s="26"/>
    </row>
    <row r="278" ht="15.75" customHeight="1">
      <c r="A278" s="26"/>
      <c r="B278" s="26"/>
      <c r="C278" s="26"/>
      <c r="D278" s="26"/>
    </row>
    <row r="279" ht="15.75" customHeight="1">
      <c r="A279" s="26"/>
      <c r="B279" s="26"/>
      <c r="C279" s="26"/>
      <c r="D279" s="26"/>
    </row>
    <row r="280" ht="15.75" customHeight="1">
      <c r="A280" s="26"/>
      <c r="B280" s="26"/>
      <c r="C280" s="26"/>
      <c r="D280" s="26"/>
    </row>
    <row r="281" ht="15.75" customHeight="1">
      <c r="A281" s="26"/>
      <c r="B281" s="26"/>
      <c r="C281" s="26"/>
      <c r="D281" s="26"/>
    </row>
    <row r="282" ht="15.75" customHeight="1">
      <c r="A282" s="26"/>
      <c r="B282" s="26"/>
      <c r="C282" s="26"/>
      <c r="D282" s="26"/>
    </row>
    <row r="283" ht="15.75" customHeight="1">
      <c r="A283" s="26"/>
      <c r="B283" s="26"/>
      <c r="C283" s="26"/>
      <c r="D283" s="26"/>
    </row>
    <row r="284" ht="15.75" customHeight="1">
      <c r="A284" s="26"/>
      <c r="B284" s="26"/>
      <c r="C284" s="26"/>
      <c r="D284" s="26"/>
    </row>
    <row r="285" ht="15.75" customHeight="1">
      <c r="A285" s="26"/>
      <c r="B285" s="26"/>
      <c r="C285" s="26"/>
      <c r="D285" s="26"/>
    </row>
    <row r="286" ht="15.75" customHeight="1">
      <c r="A286" s="26"/>
      <c r="B286" s="26"/>
      <c r="C286" s="26"/>
      <c r="D286" s="26"/>
    </row>
    <row r="287" ht="15.75" customHeight="1">
      <c r="A287" s="26"/>
      <c r="B287" s="26"/>
      <c r="C287" s="26"/>
      <c r="D287" s="26"/>
    </row>
    <row r="288" ht="15.75" customHeight="1">
      <c r="A288" s="26"/>
      <c r="B288" s="26"/>
      <c r="C288" s="26"/>
      <c r="D288" s="26"/>
    </row>
    <row r="289" ht="15.75" customHeight="1">
      <c r="A289" s="26"/>
      <c r="B289" s="26"/>
      <c r="C289" s="26"/>
      <c r="D289" s="26"/>
    </row>
    <row r="290" ht="15.75" customHeight="1">
      <c r="A290" s="26"/>
      <c r="B290" s="26"/>
      <c r="C290" s="26"/>
      <c r="D290" s="26"/>
    </row>
    <row r="291" ht="15.75" customHeight="1">
      <c r="A291" s="26"/>
      <c r="B291" s="26"/>
      <c r="C291" s="26"/>
      <c r="D291" s="26"/>
    </row>
    <row r="292" ht="15.75" customHeight="1">
      <c r="A292" s="26"/>
      <c r="B292" s="26"/>
      <c r="C292" s="26"/>
      <c r="D292" s="26"/>
    </row>
    <row r="293" ht="15.75" customHeight="1">
      <c r="A293" s="26"/>
      <c r="B293" s="26"/>
      <c r="C293" s="26"/>
      <c r="D293" s="26"/>
    </row>
    <row r="294" ht="15.75" customHeight="1">
      <c r="A294" s="26"/>
      <c r="B294" s="26"/>
      <c r="C294" s="26"/>
      <c r="D294" s="26"/>
    </row>
    <row r="295" ht="15.75" customHeight="1">
      <c r="A295" s="26"/>
      <c r="B295" s="26"/>
      <c r="C295" s="26"/>
      <c r="D295" s="26"/>
    </row>
    <row r="296" ht="15.75" customHeight="1">
      <c r="A296" s="26"/>
      <c r="B296" s="26"/>
      <c r="C296" s="26"/>
      <c r="D296" s="26"/>
    </row>
    <row r="297" ht="15.75" customHeight="1">
      <c r="A297" s="26"/>
      <c r="B297" s="26"/>
      <c r="C297" s="26"/>
      <c r="D297" s="26"/>
    </row>
    <row r="298" ht="15.75" customHeight="1">
      <c r="A298" s="26"/>
      <c r="B298" s="26"/>
      <c r="C298" s="26"/>
      <c r="D298" s="26"/>
    </row>
    <row r="299" ht="15.75" customHeight="1">
      <c r="A299" s="26"/>
      <c r="B299" s="26"/>
      <c r="C299" s="26"/>
      <c r="D299" s="26"/>
    </row>
    <row r="300" ht="15.75" customHeight="1">
      <c r="A300" s="26"/>
      <c r="B300" s="26"/>
      <c r="C300" s="26"/>
      <c r="D300" s="26"/>
    </row>
    <row r="301" ht="15.75" customHeight="1">
      <c r="A301" s="26"/>
      <c r="B301" s="26"/>
      <c r="C301" s="26"/>
      <c r="D301" s="26"/>
    </row>
    <row r="302" ht="15.75" customHeight="1">
      <c r="A302" s="26"/>
      <c r="B302" s="26"/>
      <c r="C302" s="26"/>
      <c r="D302" s="26"/>
    </row>
    <row r="303" ht="15.75" customHeight="1">
      <c r="A303" s="26"/>
      <c r="B303" s="26"/>
      <c r="C303" s="26"/>
      <c r="D303" s="26"/>
    </row>
    <row r="304" ht="15.75" customHeight="1">
      <c r="A304" s="26"/>
      <c r="B304" s="26"/>
      <c r="C304" s="26"/>
      <c r="D304" s="26"/>
    </row>
    <row r="305" ht="15.75" customHeight="1">
      <c r="A305" s="26"/>
      <c r="B305" s="26"/>
      <c r="C305" s="26"/>
      <c r="D305" s="26"/>
    </row>
    <row r="306" ht="15.75" customHeight="1">
      <c r="A306" s="26"/>
      <c r="B306" s="26"/>
      <c r="C306" s="26"/>
      <c r="D306" s="26"/>
    </row>
    <row r="307" ht="15.75" customHeight="1">
      <c r="A307" s="26"/>
      <c r="B307" s="26"/>
      <c r="C307" s="26"/>
      <c r="D307" s="26"/>
    </row>
    <row r="308" ht="15.75" customHeight="1">
      <c r="A308" s="26"/>
      <c r="B308" s="26"/>
      <c r="C308" s="26"/>
      <c r="D308" s="26"/>
    </row>
    <row r="309" ht="15.75" customHeight="1">
      <c r="A309" s="26"/>
      <c r="B309" s="26"/>
      <c r="C309" s="26"/>
      <c r="D309" s="26"/>
    </row>
    <row r="310" ht="15.75" customHeight="1">
      <c r="A310" s="26"/>
      <c r="B310" s="26"/>
      <c r="C310" s="26"/>
      <c r="D310" s="26"/>
    </row>
    <row r="311" ht="15.75" customHeight="1">
      <c r="A311" s="26"/>
      <c r="B311" s="26"/>
      <c r="C311" s="26"/>
      <c r="D311" s="26"/>
    </row>
    <row r="312" ht="15.75" customHeight="1">
      <c r="A312" s="26"/>
      <c r="B312" s="26"/>
      <c r="C312" s="26"/>
      <c r="D312" s="26"/>
    </row>
    <row r="313" ht="15.75" customHeight="1">
      <c r="A313" s="26"/>
      <c r="B313" s="26"/>
      <c r="C313" s="26"/>
      <c r="D313" s="26"/>
    </row>
    <row r="314" ht="15.75" customHeight="1">
      <c r="A314" s="26"/>
      <c r="B314" s="26"/>
      <c r="C314" s="26"/>
      <c r="D314" s="26"/>
    </row>
    <row r="315" ht="15.75" customHeight="1">
      <c r="A315" s="26"/>
      <c r="B315" s="26"/>
      <c r="C315" s="26"/>
      <c r="D315" s="26"/>
    </row>
    <row r="316" ht="15.75" customHeight="1">
      <c r="A316" s="26"/>
      <c r="B316" s="26"/>
      <c r="C316" s="26"/>
      <c r="D316" s="26"/>
    </row>
    <row r="317" ht="15.75" customHeight="1">
      <c r="A317" s="26"/>
      <c r="B317" s="26"/>
      <c r="C317" s="26"/>
      <c r="D317" s="26"/>
    </row>
    <row r="318" ht="15.75" customHeight="1">
      <c r="A318" s="26"/>
      <c r="B318" s="26"/>
      <c r="C318" s="26"/>
      <c r="D318" s="26"/>
    </row>
    <row r="319" ht="15.75" customHeight="1">
      <c r="A319" s="26"/>
      <c r="B319" s="26"/>
      <c r="C319" s="26"/>
      <c r="D319" s="26"/>
    </row>
    <row r="320" ht="15.75" customHeight="1">
      <c r="A320" s="26"/>
      <c r="B320" s="26"/>
      <c r="C320" s="26"/>
      <c r="D320" s="26"/>
    </row>
    <row r="321" ht="15.75" customHeight="1">
      <c r="A321" s="26"/>
      <c r="B321" s="26"/>
      <c r="C321" s="26"/>
      <c r="D321" s="26"/>
    </row>
    <row r="322" ht="15.75" customHeight="1">
      <c r="A322" s="26"/>
      <c r="B322" s="26"/>
      <c r="C322" s="26"/>
      <c r="D322" s="26"/>
    </row>
    <row r="323" ht="15.75" customHeight="1">
      <c r="A323" s="26"/>
      <c r="B323" s="26"/>
      <c r="C323" s="26"/>
      <c r="D323" s="26"/>
    </row>
    <row r="324" ht="15.75" customHeight="1">
      <c r="A324" s="26"/>
      <c r="B324" s="26"/>
      <c r="C324" s="26"/>
      <c r="D324" s="26"/>
    </row>
    <row r="325" ht="15.75" customHeight="1">
      <c r="A325" s="26"/>
      <c r="B325" s="26"/>
      <c r="C325" s="26"/>
      <c r="D325" s="26"/>
    </row>
    <row r="326" ht="15.75" customHeight="1">
      <c r="A326" s="26"/>
      <c r="B326" s="26"/>
      <c r="C326" s="26"/>
      <c r="D326" s="26"/>
    </row>
    <row r="327" ht="15.75" customHeight="1">
      <c r="A327" s="26"/>
      <c r="B327" s="26"/>
      <c r="C327" s="26"/>
      <c r="D327" s="26"/>
    </row>
    <row r="328" ht="15.75" customHeight="1">
      <c r="A328" s="26"/>
      <c r="B328" s="26"/>
      <c r="C328" s="26"/>
      <c r="D328" s="26"/>
    </row>
    <row r="329" ht="15.75" customHeight="1">
      <c r="A329" s="26"/>
      <c r="B329" s="26"/>
      <c r="C329" s="26"/>
      <c r="D329" s="26"/>
    </row>
    <row r="330" ht="15.75" customHeight="1">
      <c r="A330" s="26"/>
      <c r="B330" s="26"/>
      <c r="C330" s="26"/>
      <c r="D330" s="26"/>
    </row>
    <row r="331" ht="15.75" customHeight="1">
      <c r="A331" s="26"/>
      <c r="B331" s="26"/>
      <c r="C331" s="26"/>
      <c r="D331" s="26"/>
    </row>
    <row r="332" ht="15.75" customHeight="1">
      <c r="A332" s="26"/>
      <c r="B332" s="26"/>
      <c r="C332" s="26"/>
      <c r="D332" s="26"/>
    </row>
    <row r="333" ht="15.75" customHeight="1">
      <c r="A333" s="26"/>
      <c r="B333" s="26"/>
      <c r="C333" s="26"/>
      <c r="D333" s="26"/>
    </row>
    <row r="334" ht="15.75" customHeight="1">
      <c r="A334" s="26"/>
      <c r="B334" s="26"/>
      <c r="C334" s="26"/>
      <c r="D334" s="26"/>
    </row>
    <row r="335" ht="15.75" customHeight="1">
      <c r="A335" s="26"/>
      <c r="B335" s="26"/>
      <c r="C335" s="26"/>
      <c r="D335" s="26"/>
    </row>
    <row r="336" ht="15.75" customHeight="1">
      <c r="A336" s="26"/>
      <c r="B336" s="26"/>
      <c r="C336" s="26"/>
      <c r="D336" s="26"/>
    </row>
    <row r="337" ht="15.75" customHeight="1">
      <c r="A337" s="26"/>
      <c r="B337" s="26"/>
      <c r="C337" s="26"/>
      <c r="D337" s="26"/>
    </row>
    <row r="338" ht="15.75" customHeight="1">
      <c r="A338" s="26"/>
      <c r="B338" s="26"/>
      <c r="C338" s="26"/>
      <c r="D338" s="26"/>
    </row>
    <row r="339" ht="15.75" customHeight="1">
      <c r="A339" s="26"/>
      <c r="B339" s="26"/>
      <c r="C339" s="26"/>
      <c r="D339" s="26"/>
    </row>
    <row r="340" ht="15.75" customHeight="1">
      <c r="A340" s="26"/>
      <c r="B340" s="26"/>
      <c r="C340" s="26"/>
      <c r="D340" s="26"/>
    </row>
    <row r="341" ht="15.75" customHeight="1">
      <c r="A341" s="26"/>
      <c r="B341" s="26"/>
      <c r="C341" s="26"/>
      <c r="D341" s="26"/>
    </row>
    <row r="342" ht="15.75" customHeight="1">
      <c r="A342" s="26"/>
      <c r="B342" s="26"/>
      <c r="C342" s="26"/>
      <c r="D342" s="26"/>
    </row>
    <row r="343" ht="15.75" customHeight="1">
      <c r="A343" s="26"/>
      <c r="B343" s="26"/>
      <c r="C343" s="26"/>
      <c r="D343" s="26"/>
    </row>
    <row r="344" ht="15.75" customHeight="1">
      <c r="A344" s="26"/>
      <c r="B344" s="26"/>
      <c r="C344" s="26"/>
      <c r="D344" s="26"/>
    </row>
    <row r="345" ht="15.75" customHeight="1">
      <c r="A345" s="26"/>
      <c r="B345" s="26"/>
      <c r="C345" s="26"/>
      <c r="D345" s="26"/>
    </row>
    <row r="346" ht="15.75" customHeight="1">
      <c r="A346" s="26"/>
      <c r="B346" s="26"/>
      <c r="C346" s="26"/>
      <c r="D346" s="26"/>
    </row>
    <row r="347" ht="15.75" customHeight="1">
      <c r="A347" s="26"/>
      <c r="B347" s="26"/>
      <c r="C347" s="26"/>
      <c r="D347" s="26"/>
    </row>
    <row r="348" ht="15.75" customHeight="1">
      <c r="A348" s="26"/>
      <c r="B348" s="26"/>
      <c r="C348" s="26"/>
      <c r="D348" s="26"/>
    </row>
    <row r="349" ht="15.75" customHeight="1">
      <c r="A349" s="26"/>
      <c r="B349" s="26"/>
      <c r="C349" s="26"/>
      <c r="D349" s="26"/>
    </row>
    <row r="350" ht="15.75" customHeight="1">
      <c r="A350" s="26"/>
      <c r="B350" s="26"/>
      <c r="C350" s="26"/>
      <c r="D350" s="26"/>
    </row>
    <row r="351" ht="15.75" customHeight="1">
      <c r="A351" s="26"/>
      <c r="B351" s="26"/>
      <c r="C351" s="26"/>
      <c r="D351" s="26"/>
    </row>
    <row r="352" ht="15.75" customHeight="1">
      <c r="A352" s="26"/>
      <c r="B352" s="26"/>
      <c r="C352" s="26"/>
      <c r="D352" s="26"/>
    </row>
    <row r="353" ht="15.75" customHeight="1">
      <c r="A353" s="26"/>
      <c r="B353" s="26"/>
      <c r="C353" s="26"/>
      <c r="D353" s="26"/>
    </row>
    <row r="354" ht="15.75" customHeight="1">
      <c r="A354" s="26"/>
      <c r="B354" s="26"/>
      <c r="C354" s="26"/>
      <c r="D354" s="26"/>
    </row>
    <row r="355" ht="15.75" customHeight="1">
      <c r="A355" s="26"/>
      <c r="B355" s="26"/>
      <c r="C355" s="26"/>
      <c r="D355" s="26"/>
    </row>
    <row r="356" ht="15.75" customHeight="1">
      <c r="A356" s="26"/>
      <c r="B356" s="26"/>
      <c r="C356" s="26"/>
      <c r="D356" s="26"/>
    </row>
    <row r="357" ht="15.75" customHeight="1">
      <c r="A357" s="26"/>
      <c r="B357" s="26"/>
      <c r="C357" s="26"/>
      <c r="D357" s="26"/>
    </row>
    <row r="358" ht="15.75" customHeight="1">
      <c r="A358" s="26"/>
      <c r="B358" s="26"/>
      <c r="C358" s="26"/>
      <c r="D358" s="26"/>
    </row>
    <row r="359" ht="15.75" customHeight="1">
      <c r="A359" s="26"/>
      <c r="B359" s="26"/>
      <c r="C359" s="26"/>
      <c r="D359" s="26"/>
    </row>
    <row r="360" ht="15.75" customHeight="1">
      <c r="A360" s="26"/>
      <c r="B360" s="26"/>
      <c r="C360" s="26"/>
      <c r="D360" s="26"/>
    </row>
    <row r="361" ht="15.75" customHeight="1">
      <c r="A361" s="26"/>
      <c r="B361" s="26"/>
      <c r="C361" s="26"/>
      <c r="D361" s="26"/>
    </row>
    <row r="362" ht="15.75" customHeight="1">
      <c r="A362" s="26"/>
      <c r="B362" s="26"/>
      <c r="C362" s="26"/>
      <c r="D362" s="26"/>
    </row>
    <row r="363" ht="15.75" customHeight="1">
      <c r="A363" s="26"/>
      <c r="B363" s="26"/>
      <c r="C363" s="26"/>
      <c r="D363" s="26"/>
    </row>
    <row r="364" ht="15.75" customHeight="1">
      <c r="A364" s="26"/>
      <c r="B364" s="26"/>
      <c r="C364" s="26"/>
      <c r="D364" s="26"/>
    </row>
    <row r="365" ht="15.75" customHeight="1">
      <c r="A365" s="26"/>
      <c r="B365" s="26"/>
      <c r="C365" s="26"/>
      <c r="D365" s="26"/>
    </row>
    <row r="366" ht="15.75" customHeight="1">
      <c r="A366" s="26"/>
      <c r="B366" s="26"/>
      <c r="C366" s="26"/>
      <c r="D366" s="26"/>
    </row>
    <row r="367" ht="15.75" customHeight="1">
      <c r="A367" s="26"/>
      <c r="B367" s="26"/>
      <c r="C367" s="26"/>
      <c r="D367" s="26"/>
    </row>
    <row r="368" ht="15.75" customHeight="1">
      <c r="A368" s="26"/>
      <c r="B368" s="26"/>
      <c r="C368" s="26"/>
      <c r="D368" s="26"/>
    </row>
    <row r="369" ht="15.75" customHeight="1">
      <c r="A369" s="26"/>
      <c r="B369" s="26"/>
      <c r="C369" s="26"/>
      <c r="D369" s="26"/>
    </row>
    <row r="370" ht="15.75" customHeight="1">
      <c r="A370" s="26"/>
      <c r="B370" s="26"/>
      <c r="C370" s="26"/>
      <c r="D370" s="26"/>
    </row>
    <row r="371" ht="15.75" customHeight="1">
      <c r="A371" s="26"/>
      <c r="B371" s="26"/>
      <c r="C371" s="26"/>
      <c r="D371" s="26"/>
    </row>
    <row r="372" ht="15.75" customHeight="1">
      <c r="A372" s="26"/>
      <c r="B372" s="26"/>
      <c r="C372" s="26"/>
      <c r="D372" s="26"/>
    </row>
    <row r="373" ht="15.75" customHeight="1">
      <c r="A373" s="26"/>
      <c r="B373" s="26"/>
      <c r="C373" s="26"/>
      <c r="D373" s="26"/>
    </row>
    <row r="374" ht="15.75" customHeight="1">
      <c r="A374" s="26"/>
      <c r="B374" s="26"/>
      <c r="C374" s="26"/>
      <c r="D374" s="26"/>
    </row>
    <row r="375" ht="15.75" customHeight="1">
      <c r="A375" s="26"/>
      <c r="B375" s="26"/>
      <c r="C375" s="26"/>
      <c r="D375" s="26"/>
    </row>
    <row r="376" ht="15.75" customHeight="1">
      <c r="A376" s="26"/>
      <c r="B376" s="26"/>
      <c r="C376" s="26"/>
      <c r="D376" s="26"/>
    </row>
    <row r="377" ht="15.75" customHeight="1">
      <c r="A377" s="26"/>
      <c r="B377" s="26"/>
      <c r="C377" s="26"/>
      <c r="D377" s="26"/>
    </row>
    <row r="378" ht="15.75" customHeight="1">
      <c r="A378" s="26"/>
      <c r="B378" s="26"/>
      <c r="C378" s="26"/>
      <c r="D378" s="26"/>
    </row>
    <row r="379" ht="15.75" customHeight="1">
      <c r="A379" s="26"/>
      <c r="B379" s="26"/>
      <c r="C379" s="26"/>
      <c r="D379" s="26"/>
    </row>
    <row r="380" ht="15.75" customHeight="1">
      <c r="A380" s="26"/>
      <c r="B380" s="26"/>
      <c r="C380" s="26"/>
      <c r="D380" s="26"/>
    </row>
    <row r="381" ht="15.75" customHeight="1">
      <c r="A381" s="26"/>
      <c r="B381" s="26"/>
      <c r="C381" s="26"/>
      <c r="D381" s="26"/>
    </row>
    <row r="382" ht="15.75" customHeight="1">
      <c r="A382" s="26"/>
      <c r="B382" s="26"/>
      <c r="C382" s="26"/>
      <c r="D382" s="26"/>
    </row>
    <row r="383" ht="15.75" customHeight="1">
      <c r="A383" s="26"/>
      <c r="B383" s="26"/>
      <c r="C383" s="26"/>
      <c r="D383" s="26"/>
    </row>
    <row r="384" ht="15.75" customHeight="1">
      <c r="A384" s="26"/>
      <c r="B384" s="26"/>
      <c r="C384" s="26"/>
      <c r="D384" s="26"/>
    </row>
    <row r="385" ht="15.75" customHeight="1">
      <c r="A385" s="26"/>
      <c r="B385" s="26"/>
      <c r="C385" s="26"/>
      <c r="D385" s="26"/>
    </row>
    <row r="386" ht="15.75" customHeight="1">
      <c r="A386" s="26"/>
      <c r="B386" s="26"/>
      <c r="C386" s="26"/>
      <c r="D386" s="26"/>
    </row>
    <row r="387" ht="15.75" customHeight="1">
      <c r="A387" s="26"/>
      <c r="B387" s="26"/>
      <c r="C387" s="26"/>
      <c r="D387" s="26"/>
    </row>
    <row r="388" ht="15.75" customHeight="1">
      <c r="A388" s="26"/>
      <c r="B388" s="26"/>
      <c r="C388" s="26"/>
      <c r="D388" s="26"/>
    </row>
    <row r="389" ht="15.75" customHeight="1">
      <c r="A389" s="26"/>
      <c r="B389" s="26"/>
      <c r="C389" s="26"/>
      <c r="D389" s="26"/>
    </row>
    <row r="390" ht="15.75" customHeight="1">
      <c r="A390" s="26"/>
      <c r="B390" s="26"/>
      <c r="C390" s="26"/>
      <c r="D390" s="26"/>
    </row>
    <row r="391" ht="15.75" customHeight="1">
      <c r="A391" s="26"/>
      <c r="B391" s="26"/>
      <c r="C391" s="26"/>
      <c r="D391" s="26"/>
    </row>
    <row r="392" ht="15.75" customHeight="1">
      <c r="A392" s="26"/>
      <c r="B392" s="26"/>
      <c r="C392" s="26"/>
      <c r="D392" s="26"/>
    </row>
    <row r="393" ht="15.75" customHeight="1">
      <c r="A393" s="26"/>
      <c r="B393" s="26"/>
      <c r="C393" s="26"/>
      <c r="D393" s="26"/>
    </row>
    <row r="394" ht="15.75" customHeight="1">
      <c r="A394" s="26"/>
      <c r="B394" s="26"/>
      <c r="C394" s="26"/>
      <c r="D394" s="26"/>
    </row>
    <row r="395" ht="15.75" customHeight="1">
      <c r="A395" s="26"/>
      <c r="B395" s="26"/>
      <c r="C395" s="26"/>
      <c r="D395" s="26"/>
    </row>
    <row r="396" ht="15.75" customHeight="1">
      <c r="A396" s="26"/>
      <c r="B396" s="26"/>
      <c r="C396" s="26"/>
      <c r="D396" s="26"/>
    </row>
    <row r="397" ht="15.75" customHeight="1">
      <c r="A397" s="26"/>
      <c r="B397" s="26"/>
      <c r="C397" s="26"/>
      <c r="D397" s="26"/>
    </row>
    <row r="398" ht="15.75" customHeight="1">
      <c r="A398" s="26"/>
      <c r="B398" s="26"/>
      <c r="C398" s="26"/>
      <c r="D398" s="26"/>
    </row>
    <row r="399" ht="15.75" customHeight="1">
      <c r="A399" s="26"/>
      <c r="B399" s="26"/>
      <c r="C399" s="26"/>
      <c r="D399" s="26"/>
    </row>
    <row r="400" ht="15.75" customHeight="1">
      <c r="A400" s="26"/>
      <c r="B400" s="26"/>
      <c r="C400" s="26"/>
      <c r="D400" s="26"/>
    </row>
    <row r="401" ht="15.75" customHeight="1">
      <c r="A401" s="26"/>
      <c r="B401" s="26"/>
      <c r="C401" s="26"/>
      <c r="D401" s="26"/>
    </row>
    <row r="402" ht="15.75" customHeight="1">
      <c r="A402" s="26"/>
      <c r="B402" s="26"/>
      <c r="C402" s="26"/>
      <c r="D402" s="26"/>
    </row>
    <row r="403" ht="15.75" customHeight="1">
      <c r="A403" s="26"/>
      <c r="B403" s="26"/>
      <c r="C403" s="26"/>
      <c r="D403" s="26"/>
    </row>
    <row r="404" ht="15.75" customHeight="1">
      <c r="A404" s="26"/>
      <c r="B404" s="26"/>
      <c r="C404" s="26"/>
      <c r="D404" s="26"/>
    </row>
    <row r="405" ht="15.75" customHeight="1">
      <c r="A405" s="26"/>
      <c r="B405" s="26"/>
      <c r="C405" s="26"/>
      <c r="D405" s="26"/>
    </row>
    <row r="406" ht="15.75" customHeight="1">
      <c r="A406" s="26"/>
      <c r="B406" s="26"/>
      <c r="C406" s="26"/>
      <c r="D406" s="26"/>
    </row>
    <row r="407" ht="15.75" customHeight="1">
      <c r="A407" s="26"/>
      <c r="B407" s="26"/>
      <c r="C407" s="26"/>
      <c r="D407" s="26"/>
    </row>
    <row r="408" ht="15.75" customHeight="1">
      <c r="A408" s="26"/>
      <c r="B408" s="26"/>
      <c r="C408" s="26"/>
      <c r="D408" s="26"/>
    </row>
    <row r="409" ht="15.75" customHeight="1">
      <c r="A409" s="26"/>
      <c r="B409" s="26"/>
      <c r="C409" s="26"/>
      <c r="D409" s="26"/>
    </row>
    <row r="410" ht="15.75" customHeight="1">
      <c r="A410" s="26"/>
      <c r="B410" s="26"/>
      <c r="C410" s="26"/>
      <c r="D410" s="26"/>
    </row>
    <row r="411" ht="15.75" customHeight="1">
      <c r="A411" s="26"/>
      <c r="B411" s="26"/>
      <c r="C411" s="26"/>
      <c r="D411" s="26"/>
    </row>
    <row r="412" ht="15.75" customHeight="1">
      <c r="A412" s="26"/>
      <c r="B412" s="26"/>
      <c r="C412" s="26"/>
      <c r="D412" s="26"/>
    </row>
    <row r="413" ht="15.75" customHeight="1">
      <c r="A413" s="26"/>
      <c r="B413" s="26"/>
      <c r="C413" s="26"/>
      <c r="D413" s="26"/>
    </row>
    <row r="414" ht="15.75" customHeight="1">
      <c r="A414" s="26"/>
      <c r="B414" s="26"/>
      <c r="C414" s="26"/>
      <c r="D414" s="26"/>
    </row>
    <row r="415" ht="15.75" customHeight="1">
      <c r="A415" s="26"/>
      <c r="B415" s="26"/>
      <c r="C415" s="26"/>
      <c r="D415" s="26"/>
    </row>
    <row r="416" ht="15.75" customHeight="1">
      <c r="A416" s="26"/>
      <c r="B416" s="26"/>
      <c r="C416" s="26"/>
      <c r="D416" s="26"/>
    </row>
    <row r="417" ht="15.75" customHeight="1">
      <c r="A417" s="26"/>
      <c r="B417" s="26"/>
      <c r="C417" s="26"/>
      <c r="D417" s="26"/>
    </row>
    <row r="418" ht="15.75" customHeight="1">
      <c r="A418" s="26"/>
      <c r="B418" s="26"/>
      <c r="C418" s="26"/>
      <c r="D418" s="26"/>
    </row>
    <row r="419" ht="15.75" customHeight="1">
      <c r="A419" s="26"/>
      <c r="B419" s="26"/>
      <c r="C419" s="26"/>
      <c r="D419" s="26"/>
    </row>
    <row r="420" ht="15.75" customHeight="1">
      <c r="A420" s="26"/>
      <c r="B420" s="26"/>
      <c r="C420" s="26"/>
      <c r="D420" s="26"/>
    </row>
    <row r="421" ht="15.75" customHeight="1">
      <c r="A421" s="26"/>
      <c r="B421" s="26"/>
      <c r="C421" s="26"/>
      <c r="D421" s="26"/>
    </row>
    <row r="422" ht="15.75" customHeight="1">
      <c r="A422" s="26"/>
      <c r="B422" s="26"/>
      <c r="C422" s="26"/>
      <c r="D422" s="26"/>
    </row>
    <row r="423" ht="15.75" customHeight="1">
      <c r="A423" s="26"/>
      <c r="B423" s="26"/>
      <c r="C423" s="26"/>
      <c r="D423" s="26"/>
    </row>
    <row r="424" ht="15.75" customHeight="1">
      <c r="A424" s="26"/>
      <c r="B424" s="26"/>
      <c r="C424" s="26"/>
      <c r="D424" s="26"/>
    </row>
    <row r="425" ht="15.75" customHeight="1">
      <c r="A425" s="26"/>
      <c r="B425" s="26"/>
      <c r="C425" s="26"/>
      <c r="D425" s="26"/>
    </row>
    <row r="426" ht="15.75" customHeight="1">
      <c r="A426" s="26"/>
      <c r="B426" s="26"/>
      <c r="C426" s="26"/>
      <c r="D426" s="26"/>
    </row>
    <row r="427" ht="15.75" customHeight="1">
      <c r="A427" s="26"/>
      <c r="B427" s="26"/>
      <c r="C427" s="26"/>
      <c r="D427" s="26"/>
    </row>
    <row r="428" ht="15.75" customHeight="1">
      <c r="A428" s="26"/>
      <c r="B428" s="26"/>
      <c r="C428" s="26"/>
      <c r="D428" s="26"/>
    </row>
    <row r="429" ht="15.75" customHeight="1">
      <c r="A429" s="26"/>
      <c r="B429" s="26"/>
      <c r="C429" s="26"/>
      <c r="D429" s="26"/>
    </row>
    <row r="430" ht="15.75" customHeight="1">
      <c r="A430" s="26"/>
      <c r="B430" s="26"/>
      <c r="C430" s="26"/>
      <c r="D430" s="26"/>
    </row>
    <row r="431" ht="15.75" customHeight="1">
      <c r="A431" s="26"/>
      <c r="B431" s="26"/>
      <c r="C431" s="26"/>
      <c r="D431" s="26"/>
    </row>
    <row r="432" ht="15.75" customHeight="1">
      <c r="A432" s="26"/>
      <c r="B432" s="26"/>
      <c r="C432" s="26"/>
      <c r="D432" s="26"/>
    </row>
    <row r="433" ht="15.75" customHeight="1">
      <c r="A433" s="26"/>
      <c r="B433" s="26"/>
      <c r="C433" s="26"/>
      <c r="D433" s="26"/>
    </row>
    <row r="434" ht="15.75" customHeight="1">
      <c r="A434" s="26"/>
      <c r="B434" s="26"/>
      <c r="C434" s="26"/>
      <c r="D434" s="26"/>
    </row>
    <row r="435" ht="15.75" customHeight="1">
      <c r="A435" s="26"/>
      <c r="B435" s="26"/>
      <c r="C435" s="26"/>
      <c r="D435" s="26"/>
    </row>
    <row r="436" ht="15.75" customHeight="1">
      <c r="A436" s="26"/>
      <c r="B436" s="26"/>
      <c r="C436" s="26"/>
      <c r="D436" s="26"/>
    </row>
    <row r="437" ht="15.75" customHeight="1">
      <c r="A437" s="26"/>
      <c r="B437" s="26"/>
      <c r="C437" s="26"/>
      <c r="D437" s="26"/>
    </row>
    <row r="438" ht="15.75" customHeight="1">
      <c r="A438" s="26"/>
      <c r="B438" s="26"/>
      <c r="C438" s="26"/>
      <c r="D438" s="26"/>
    </row>
    <row r="439" ht="15.75" customHeight="1">
      <c r="A439" s="26"/>
      <c r="B439" s="26"/>
      <c r="C439" s="26"/>
      <c r="D439" s="26"/>
    </row>
    <row r="440" ht="15.75" customHeight="1">
      <c r="A440" s="26"/>
      <c r="B440" s="26"/>
      <c r="C440" s="26"/>
      <c r="D440" s="26"/>
    </row>
    <row r="441" ht="15.75" customHeight="1">
      <c r="A441" s="26"/>
      <c r="B441" s="26"/>
      <c r="C441" s="26"/>
      <c r="D441" s="26"/>
    </row>
    <row r="442" ht="15.75" customHeight="1">
      <c r="A442" s="26"/>
      <c r="B442" s="26"/>
      <c r="C442" s="26"/>
      <c r="D442" s="26"/>
    </row>
    <row r="443" ht="15.75" customHeight="1">
      <c r="A443" s="26"/>
      <c r="B443" s="26"/>
      <c r="C443" s="26"/>
      <c r="D443" s="26"/>
    </row>
    <row r="444" ht="15.75" customHeight="1">
      <c r="A444" s="26"/>
      <c r="B444" s="26"/>
      <c r="C444" s="26"/>
      <c r="D444" s="26"/>
    </row>
    <row r="445" ht="15.75" customHeight="1">
      <c r="A445" s="26"/>
      <c r="B445" s="26"/>
      <c r="C445" s="26"/>
      <c r="D445" s="26"/>
    </row>
    <row r="446" ht="15.75" customHeight="1">
      <c r="A446" s="26"/>
      <c r="B446" s="26"/>
      <c r="C446" s="26"/>
      <c r="D446" s="26"/>
    </row>
    <row r="447" ht="15.75" customHeight="1">
      <c r="A447" s="26"/>
      <c r="B447" s="26"/>
      <c r="C447" s="26"/>
      <c r="D447" s="26"/>
    </row>
    <row r="448" ht="15.75" customHeight="1">
      <c r="A448" s="26"/>
      <c r="B448" s="26"/>
      <c r="C448" s="26"/>
      <c r="D448" s="26"/>
    </row>
    <row r="449" ht="15.75" customHeight="1">
      <c r="A449" s="26"/>
      <c r="B449" s="26"/>
      <c r="C449" s="26"/>
      <c r="D449" s="26"/>
    </row>
    <row r="450" ht="15.75" customHeight="1">
      <c r="A450" s="26"/>
      <c r="B450" s="26"/>
      <c r="C450" s="26"/>
      <c r="D450" s="26"/>
    </row>
    <row r="451" ht="15.75" customHeight="1">
      <c r="A451" s="26"/>
      <c r="B451" s="26"/>
      <c r="C451" s="26"/>
      <c r="D451" s="26"/>
    </row>
    <row r="452" ht="15.75" customHeight="1">
      <c r="A452" s="26"/>
      <c r="B452" s="26"/>
      <c r="C452" s="26"/>
      <c r="D452" s="26"/>
    </row>
    <row r="453" ht="15.75" customHeight="1">
      <c r="A453" s="26"/>
      <c r="B453" s="26"/>
      <c r="C453" s="26"/>
      <c r="D453" s="26"/>
    </row>
    <row r="454" ht="15.75" customHeight="1">
      <c r="A454" s="26"/>
      <c r="B454" s="26"/>
      <c r="C454" s="26"/>
      <c r="D454" s="26"/>
    </row>
    <row r="455" ht="15.75" customHeight="1">
      <c r="A455" s="26"/>
      <c r="B455" s="26"/>
      <c r="C455" s="26"/>
      <c r="D455" s="26"/>
    </row>
    <row r="456" ht="15.75" customHeight="1">
      <c r="A456" s="26"/>
      <c r="B456" s="26"/>
      <c r="C456" s="26"/>
      <c r="D456" s="26"/>
    </row>
    <row r="457" ht="15.75" customHeight="1">
      <c r="A457" s="26"/>
      <c r="B457" s="26"/>
      <c r="C457" s="26"/>
      <c r="D457" s="26"/>
    </row>
    <row r="458" ht="15.75" customHeight="1">
      <c r="A458" s="26"/>
      <c r="B458" s="26"/>
      <c r="C458" s="26"/>
      <c r="D458" s="26"/>
    </row>
    <row r="459" ht="15.75" customHeight="1">
      <c r="A459" s="26"/>
      <c r="B459" s="26"/>
      <c r="C459" s="26"/>
      <c r="D459" s="26"/>
    </row>
    <row r="460" ht="15.75" customHeight="1">
      <c r="A460" s="26"/>
      <c r="B460" s="26"/>
      <c r="C460" s="26"/>
      <c r="D460" s="26"/>
    </row>
    <row r="461" ht="15.75" customHeight="1">
      <c r="A461" s="26"/>
      <c r="B461" s="26"/>
      <c r="C461" s="26"/>
      <c r="D461" s="26"/>
    </row>
    <row r="462" ht="15.75" customHeight="1">
      <c r="A462" s="26"/>
      <c r="B462" s="26"/>
      <c r="C462" s="26"/>
      <c r="D462" s="26"/>
    </row>
    <row r="463" ht="15.75" customHeight="1">
      <c r="A463" s="26"/>
      <c r="B463" s="26"/>
      <c r="C463" s="26"/>
      <c r="D463" s="26"/>
    </row>
    <row r="464" ht="15.75" customHeight="1">
      <c r="A464" s="26"/>
      <c r="B464" s="26"/>
      <c r="C464" s="26"/>
      <c r="D464" s="26"/>
    </row>
    <row r="465" ht="15.75" customHeight="1">
      <c r="A465" s="26"/>
      <c r="B465" s="26"/>
      <c r="C465" s="26"/>
      <c r="D465" s="26"/>
    </row>
    <row r="466" ht="15.75" customHeight="1">
      <c r="A466" s="26"/>
      <c r="B466" s="26"/>
      <c r="C466" s="26"/>
      <c r="D466" s="26"/>
    </row>
    <row r="467" ht="15.75" customHeight="1">
      <c r="A467" s="26"/>
      <c r="B467" s="26"/>
      <c r="C467" s="26"/>
      <c r="D467" s="26"/>
    </row>
    <row r="468" ht="15.75" customHeight="1">
      <c r="A468" s="26"/>
      <c r="B468" s="26"/>
      <c r="C468" s="26"/>
      <c r="D468" s="26"/>
    </row>
    <row r="469" ht="15.75" customHeight="1">
      <c r="A469" s="26"/>
      <c r="B469" s="26"/>
      <c r="C469" s="26"/>
      <c r="D469" s="26"/>
    </row>
    <row r="470" ht="15.75" customHeight="1">
      <c r="A470" s="26"/>
      <c r="B470" s="26"/>
      <c r="C470" s="26"/>
      <c r="D470" s="26"/>
    </row>
    <row r="471" ht="15.75" customHeight="1">
      <c r="A471" s="26"/>
      <c r="B471" s="26"/>
      <c r="C471" s="26"/>
      <c r="D471" s="26"/>
    </row>
    <row r="472" ht="15.75" customHeight="1">
      <c r="A472" s="26"/>
      <c r="B472" s="26"/>
      <c r="C472" s="26"/>
      <c r="D472" s="26"/>
    </row>
    <row r="473" ht="15.75" customHeight="1">
      <c r="A473" s="26"/>
      <c r="B473" s="26"/>
      <c r="C473" s="26"/>
      <c r="D473" s="26"/>
    </row>
    <row r="474" ht="15.75" customHeight="1">
      <c r="A474" s="26"/>
      <c r="B474" s="26"/>
      <c r="C474" s="26"/>
      <c r="D474" s="26"/>
    </row>
    <row r="475" ht="15.75" customHeight="1">
      <c r="A475" s="26"/>
      <c r="B475" s="26"/>
      <c r="C475" s="26"/>
      <c r="D475" s="26"/>
    </row>
    <row r="476" ht="15.75" customHeight="1">
      <c r="A476" s="26"/>
      <c r="B476" s="26"/>
      <c r="C476" s="26"/>
      <c r="D476" s="26"/>
    </row>
    <row r="477" ht="15.75" customHeight="1">
      <c r="A477" s="26"/>
      <c r="B477" s="26"/>
      <c r="C477" s="26"/>
      <c r="D477" s="26"/>
    </row>
    <row r="478" ht="15.75" customHeight="1">
      <c r="A478" s="26"/>
      <c r="B478" s="26"/>
      <c r="C478" s="26"/>
      <c r="D478" s="26"/>
    </row>
    <row r="479" ht="15.75" customHeight="1">
      <c r="A479" s="26"/>
      <c r="B479" s="26"/>
      <c r="C479" s="26"/>
      <c r="D479" s="26"/>
    </row>
    <row r="480" ht="15.75" customHeight="1">
      <c r="A480" s="26"/>
      <c r="B480" s="26"/>
      <c r="C480" s="26"/>
      <c r="D480" s="26"/>
    </row>
    <row r="481" ht="15.75" customHeight="1">
      <c r="A481" s="26"/>
      <c r="B481" s="26"/>
      <c r="C481" s="26"/>
      <c r="D481" s="26"/>
    </row>
    <row r="482" ht="15.75" customHeight="1">
      <c r="A482" s="26"/>
      <c r="B482" s="26"/>
      <c r="C482" s="26"/>
      <c r="D482" s="26"/>
    </row>
    <row r="483" ht="15.75" customHeight="1">
      <c r="A483" s="26"/>
      <c r="B483" s="26"/>
      <c r="C483" s="26"/>
      <c r="D483" s="26"/>
    </row>
    <row r="484" ht="15.75" customHeight="1">
      <c r="A484" s="26"/>
      <c r="B484" s="26"/>
      <c r="C484" s="26"/>
      <c r="D484" s="26"/>
    </row>
    <row r="485" ht="15.75" customHeight="1">
      <c r="A485" s="26"/>
      <c r="B485" s="26"/>
      <c r="C485" s="26"/>
      <c r="D485" s="26"/>
    </row>
    <row r="486" ht="15.75" customHeight="1">
      <c r="A486" s="26"/>
      <c r="B486" s="26"/>
      <c r="C486" s="26"/>
      <c r="D486" s="26"/>
    </row>
    <row r="487" ht="15.75" customHeight="1">
      <c r="A487" s="26"/>
      <c r="B487" s="26"/>
      <c r="C487" s="26"/>
      <c r="D487" s="26"/>
    </row>
    <row r="488" ht="15.75" customHeight="1">
      <c r="A488" s="26"/>
      <c r="B488" s="26"/>
      <c r="C488" s="26"/>
      <c r="D488" s="26"/>
    </row>
    <row r="489" ht="15.75" customHeight="1">
      <c r="A489" s="26"/>
      <c r="B489" s="26"/>
      <c r="C489" s="26"/>
      <c r="D489" s="26"/>
    </row>
    <row r="490" ht="15.75" customHeight="1">
      <c r="A490" s="26"/>
      <c r="B490" s="26"/>
      <c r="C490" s="26"/>
      <c r="D490" s="26"/>
    </row>
    <row r="491" ht="15.75" customHeight="1">
      <c r="A491" s="26"/>
      <c r="B491" s="26"/>
      <c r="C491" s="26"/>
      <c r="D491" s="26"/>
    </row>
    <row r="492" ht="15.75" customHeight="1">
      <c r="A492" s="26"/>
      <c r="B492" s="26"/>
      <c r="C492" s="26"/>
      <c r="D492" s="26"/>
    </row>
    <row r="493" ht="15.75" customHeight="1">
      <c r="A493" s="26"/>
      <c r="B493" s="26"/>
      <c r="C493" s="26"/>
      <c r="D493" s="26"/>
    </row>
    <row r="494" ht="15.75" customHeight="1">
      <c r="A494" s="26"/>
      <c r="B494" s="26"/>
      <c r="C494" s="26"/>
      <c r="D494" s="26"/>
    </row>
    <row r="495" ht="15.75" customHeight="1">
      <c r="A495" s="26"/>
      <c r="B495" s="26"/>
      <c r="C495" s="26"/>
      <c r="D495" s="26"/>
    </row>
    <row r="496" ht="15.75" customHeight="1">
      <c r="A496" s="26"/>
      <c r="B496" s="26"/>
      <c r="C496" s="26"/>
      <c r="D496" s="26"/>
    </row>
    <row r="497" ht="15.75" customHeight="1">
      <c r="A497" s="26"/>
      <c r="B497" s="26"/>
      <c r="C497" s="26"/>
      <c r="D497" s="26"/>
    </row>
    <row r="498" ht="15.75" customHeight="1">
      <c r="A498" s="26"/>
      <c r="B498" s="26"/>
      <c r="C498" s="26"/>
      <c r="D498" s="26"/>
    </row>
    <row r="499" ht="15.75" customHeight="1">
      <c r="A499" s="26"/>
      <c r="B499" s="26"/>
      <c r="C499" s="26"/>
      <c r="D499" s="26"/>
    </row>
    <row r="500" ht="15.75" customHeight="1">
      <c r="A500" s="26"/>
      <c r="B500" s="26"/>
      <c r="C500" s="26"/>
      <c r="D500" s="26"/>
    </row>
    <row r="501" ht="15.75" customHeight="1">
      <c r="A501" s="26"/>
      <c r="B501" s="26"/>
      <c r="C501" s="26"/>
      <c r="D501" s="26"/>
    </row>
    <row r="502" ht="15.75" customHeight="1">
      <c r="A502" s="26"/>
      <c r="B502" s="26"/>
      <c r="C502" s="26"/>
      <c r="D502" s="26"/>
    </row>
    <row r="503" ht="15.75" customHeight="1">
      <c r="A503" s="26"/>
      <c r="B503" s="26"/>
      <c r="C503" s="26"/>
      <c r="D503" s="26"/>
    </row>
    <row r="504" ht="15.75" customHeight="1">
      <c r="A504" s="26"/>
      <c r="B504" s="26"/>
      <c r="C504" s="26"/>
      <c r="D504" s="26"/>
    </row>
    <row r="505" ht="15.75" customHeight="1">
      <c r="A505" s="26"/>
      <c r="B505" s="26"/>
      <c r="C505" s="26"/>
      <c r="D505" s="26"/>
    </row>
    <row r="506" ht="15.75" customHeight="1">
      <c r="A506" s="26"/>
      <c r="B506" s="26"/>
      <c r="C506" s="26"/>
      <c r="D506" s="26"/>
    </row>
    <row r="507" ht="15.75" customHeight="1">
      <c r="A507" s="26"/>
      <c r="B507" s="26"/>
      <c r="C507" s="26"/>
      <c r="D507" s="26"/>
    </row>
    <row r="508" ht="15.75" customHeight="1">
      <c r="A508" s="26"/>
      <c r="B508" s="26"/>
      <c r="C508" s="26"/>
      <c r="D508" s="26"/>
    </row>
    <row r="509" ht="15.75" customHeight="1">
      <c r="A509" s="26"/>
      <c r="B509" s="26"/>
      <c r="C509" s="26"/>
      <c r="D509" s="26"/>
    </row>
    <row r="510" ht="15.75" customHeight="1">
      <c r="A510" s="26"/>
      <c r="B510" s="26"/>
      <c r="C510" s="26"/>
      <c r="D510" s="26"/>
    </row>
    <row r="511" ht="15.75" customHeight="1">
      <c r="A511" s="26"/>
      <c r="B511" s="26"/>
      <c r="C511" s="26"/>
      <c r="D511" s="26"/>
    </row>
    <row r="512" ht="15.75" customHeight="1">
      <c r="A512" s="26"/>
      <c r="B512" s="26"/>
      <c r="C512" s="26"/>
      <c r="D512" s="26"/>
    </row>
    <row r="513" ht="15.75" customHeight="1">
      <c r="A513" s="26"/>
      <c r="B513" s="26"/>
      <c r="C513" s="26"/>
      <c r="D513" s="26"/>
    </row>
    <row r="514" ht="15.75" customHeight="1">
      <c r="A514" s="26"/>
      <c r="B514" s="26"/>
      <c r="C514" s="26"/>
      <c r="D514" s="26"/>
    </row>
    <row r="515" ht="15.75" customHeight="1">
      <c r="A515" s="26"/>
      <c r="B515" s="26"/>
      <c r="C515" s="26"/>
      <c r="D515" s="26"/>
    </row>
    <row r="516" ht="15.75" customHeight="1">
      <c r="A516" s="26"/>
      <c r="B516" s="26"/>
      <c r="C516" s="26"/>
      <c r="D516" s="26"/>
    </row>
    <row r="517" ht="15.75" customHeight="1">
      <c r="A517" s="26"/>
      <c r="B517" s="26"/>
      <c r="C517" s="26"/>
      <c r="D517" s="26"/>
    </row>
    <row r="518" ht="15.75" customHeight="1">
      <c r="A518" s="26"/>
      <c r="B518" s="26"/>
      <c r="C518" s="26"/>
      <c r="D518" s="26"/>
    </row>
    <row r="519" ht="15.75" customHeight="1">
      <c r="A519" s="26"/>
      <c r="B519" s="26"/>
      <c r="C519" s="26"/>
      <c r="D519" s="26"/>
    </row>
    <row r="520" ht="15.75" customHeight="1">
      <c r="A520" s="26"/>
      <c r="B520" s="26"/>
      <c r="C520" s="26"/>
      <c r="D520" s="26"/>
    </row>
    <row r="521" ht="15.75" customHeight="1">
      <c r="A521" s="26"/>
      <c r="B521" s="26"/>
      <c r="C521" s="26"/>
      <c r="D521" s="26"/>
    </row>
    <row r="522" ht="15.75" customHeight="1">
      <c r="A522" s="26"/>
      <c r="B522" s="26"/>
      <c r="C522" s="26"/>
      <c r="D522" s="26"/>
    </row>
    <row r="523" ht="15.75" customHeight="1">
      <c r="A523" s="26"/>
      <c r="B523" s="26"/>
      <c r="C523" s="26"/>
      <c r="D523" s="26"/>
    </row>
    <row r="524" ht="15.75" customHeight="1">
      <c r="A524" s="26"/>
      <c r="B524" s="26"/>
      <c r="C524" s="26"/>
      <c r="D524" s="26"/>
    </row>
    <row r="525" ht="15.75" customHeight="1">
      <c r="A525" s="26"/>
      <c r="B525" s="26"/>
      <c r="C525" s="26"/>
      <c r="D525" s="26"/>
    </row>
    <row r="526" ht="15.75" customHeight="1">
      <c r="A526" s="26"/>
      <c r="B526" s="26"/>
      <c r="C526" s="26"/>
      <c r="D526" s="26"/>
    </row>
    <row r="527" ht="15.75" customHeight="1">
      <c r="A527" s="26"/>
      <c r="B527" s="26"/>
      <c r="C527" s="26"/>
      <c r="D527" s="26"/>
    </row>
    <row r="528" ht="15.75" customHeight="1">
      <c r="A528" s="26"/>
      <c r="B528" s="26"/>
      <c r="C528" s="26"/>
      <c r="D528" s="26"/>
    </row>
    <row r="529" ht="15.75" customHeight="1">
      <c r="A529" s="26"/>
      <c r="B529" s="26"/>
      <c r="C529" s="26"/>
      <c r="D529" s="26"/>
    </row>
    <row r="530" ht="15.75" customHeight="1">
      <c r="A530" s="26"/>
      <c r="B530" s="26"/>
      <c r="C530" s="26"/>
      <c r="D530" s="26"/>
    </row>
    <row r="531" ht="15.75" customHeight="1">
      <c r="A531" s="26"/>
      <c r="B531" s="26"/>
      <c r="C531" s="26"/>
      <c r="D531" s="26"/>
    </row>
    <row r="532" ht="15.75" customHeight="1">
      <c r="A532" s="26"/>
      <c r="B532" s="26"/>
      <c r="C532" s="26"/>
      <c r="D532" s="26"/>
    </row>
    <row r="533" ht="15.75" customHeight="1">
      <c r="A533" s="26"/>
      <c r="B533" s="26"/>
      <c r="C533" s="26"/>
      <c r="D533" s="26"/>
    </row>
    <row r="534" ht="15.75" customHeight="1">
      <c r="A534" s="26"/>
      <c r="B534" s="26"/>
      <c r="C534" s="26"/>
      <c r="D534" s="26"/>
    </row>
    <row r="535" ht="15.75" customHeight="1">
      <c r="A535" s="26"/>
      <c r="B535" s="26"/>
      <c r="C535" s="26"/>
      <c r="D535" s="26"/>
    </row>
    <row r="536" ht="15.75" customHeight="1">
      <c r="A536" s="26"/>
      <c r="B536" s="26"/>
      <c r="C536" s="26"/>
      <c r="D536" s="26"/>
    </row>
    <row r="537" ht="15.75" customHeight="1">
      <c r="A537" s="26"/>
      <c r="B537" s="26"/>
      <c r="C537" s="26"/>
      <c r="D537" s="26"/>
    </row>
    <row r="538" ht="15.75" customHeight="1">
      <c r="A538" s="26"/>
      <c r="B538" s="26"/>
      <c r="C538" s="26"/>
      <c r="D538" s="26"/>
    </row>
    <row r="539" ht="15.75" customHeight="1">
      <c r="A539" s="26"/>
      <c r="B539" s="26"/>
      <c r="C539" s="26"/>
      <c r="D539" s="26"/>
    </row>
    <row r="540" ht="15.75" customHeight="1">
      <c r="A540" s="26"/>
      <c r="B540" s="26"/>
      <c r="C540" s="26"/>
      <c r="D540" s="26"/>
    </row>
    <row r="541" ht="15.75" customHeight="1">
      <c r="A541" s="26"/>
      <c r="B541" s="26"/>
      <c r="C541" s="26"/>
      <c r="D541" s="26"/>
    </row>
    <row r="542" ht="15.75" customHeight="1">
      <c r="A542" s="26"/>
      <c r="B542" s="26"/>
      <c r="C542" s="26"/>
      <c r="D542" s="26"/>
    </row>
    <row r="543" ht="15.75" customHeight="1">
      <c r="A543" s="26"/>
      <c r="B543" s="26"/>
      <c r="C543" s="26"/>
      <c r="D543" s="26"/>
    </row>
    <row r="544" ht="15.75" customHeight="1">
      <c r="A544" s="26"/>
      <c r="B544" s="26"/>
      <c r="C544" s="26"/>
      <c r="D544" s="26"/>
    </row>
    <row r="545" ht="15.75" customHeight="1">
      <c r="A545" s="26"/>
      <c r="B545" s="26"/>
      <c r="C545" s="26"/>
      <c r="D545" s="26"/>
    </row>
    <row r="546" ht="15.75" customHeight="1">
      <c r="A546" s="26"/>
      <c r="B546" s="26"/>
      <c r="C546" s="26"/>
      <c r="D546" s="26"/>
    </row>
    <row r="547" ht="15.75" customHeight="1">
      <c r="A547" s="26"/>
      <c r="B547" s="26"/>
      <c r="C547" s="26"/>
      <c r="D547" s="26"/>
    </row>
    <row r="548" ht="15.75" customHeight="1">
      <c r="A548" s="26"/>
      <c r="B548" s="26"/>
      <c r="C548" s="26"/>
      <c r="D548" s="26"/>
    </row>
    <row r="549" ht="15.75" customHeight="1">
      <c r="A549" s="26"/>
      <c r="B549" s="26"/>
      <c r="C549" s="26"/>
      <c r="D549" s="26"/>
    </row>
    <row r="550" ht="15.75" customHeight="1">
      <c r="A550" s="26"/>
      <c r="B550" s="26"/>
      <c r="C550" s="26"/>
      <c r="D550" s="26"/>
    </row>
    <row r="551" ht="15.75" customHeight="1">
      <c r="A551" s="26"/>
      <c r="B551" s="26"/>
      <c r="C551" s="26"/>
      <c r="D551" s="26"/>
    </row>
    <row r="552" ht="15.75" customHeight="1">
      <c r="A552" s="26"/>
      <c r="B552" s="26"/>
      <c r="C552" s="26"/>
      <c r="D552" s="26"/>
    </row>
    <row r="553" ht="15.75" customHeight="1">
      <c r="A553" s="26"/>
      <c r="B553" s="26"/>
      <c r="C553" s="26"/>
      <c r="D553" s="26"/>
    </row>
    <row r="554" ht="15.75" customHeight="1">
      <c r="A554" s="26"/>
      <c r="B554" s="26"/>
      <c r="C554" s="26"/>
      <c r="D554" s="26"/>
    </row>
    <row r="555" ht="15.75" customHeight="1">
      <c r="A555" s="26"/>
      <c r="B555" s="26"/>
      <c r="C555" s="26"/>
      <c r="D555" s="26"/>
    </row>
    <row r="556" ht="15.75" customHeight="1">
      <c r="A556" s="26"/>
      <c r="B556" s="26"/>
      <c r="C556" s="26"/>
      <c r="D556" s="26"/>
    </row>
    <row r="557" ht="15.75" customHeight="1">
      <c r="A557" s="26"/>
      <c r="B557" s="26"/>
      <c r="C557" s="26"/>
      <c r="D557" s="26"/>
    </row>
    <row r="558" ht="15.75" customHeight="1">
      <c r="A558" s="26"/>
      <c r="B558" s="26"/>
      <c r="C558" s="26"/>
      <c r="D558" s="26"/>
    </row>
    <row r="559" ht="15.75" customHeight="1">
      <c r="A559" s="26"/>
      <c r="B559" s="26"/>
      <c r="C559" s="26"/>
      <c r="D559" s="26"/>
    </row>
    <row r="560" ht="15.75" customHeight="1">
      <c r="A560" s="26"/>
      <c r="B560" s="26"/>
      <c r="C560" s="26"/>
      <c r="D560" s="26"/>
    </row>
    <row r="561" ht="15.75" customHeight="1">
      <c r="A561" s="26"/>
      <c r="B561" s="26"/>
      <c r="C561" s="26"/>
      <c r="D561" s="26"/>
    </row>
    <row r="562" ht="15.75" customHeight="1">
      <c r="A562" s="26"/>
      <c r="B562" s="26"/>
      <c r="C562" s="26"/>
      <c r="D562" s="26"/>
    </row>
    <row r="563" ht="15.75" customHeight="1">
      <c r="A563" s="26"/>
      <c r="B563" s="26"/>
      <c r="C563" s="26"/>
      <c r="D563" s="26"/>
    </row>
    <row r="564" ht="15.75" customHeight="1">
      <c r="A564" s="26"/>
      <c r="B564" s="26"/>
      <c r="C564" s="26"/>
      <c r="D564" s="26"/>
    </row>
    <row r="565" ht="15.75" customHeight="1">
      <c r="A565" s="26"/>
      <c r="B565" s="26"/>
      <c r="C565" s="26"/>
      <c r="D565" s="26"/>
    </row>
    <row r="566" ht="15.75" customHeight="1">
      <c r="A566" s="26"/>
      <c r="B566" s="26"/>
      <c r="C566" s="26"/>
      <c r="D566" s="26"/>
    </row>
    <row r="567" ht="15.75" customHeight="1">
      <c r="A567" s="26"/>
      <c r="B567" s="26"/>
      <c r="C567" s="26"/>
      <c r="D567" s="26"/>
    </row>
    <row r="568" ht="15.75" customHeight="1">
      <c r="A568" s="26"/>
      <c r="B568" s="26"/>
      <c r="C568" s="26"/>
      <c r="D568" s="26"/>
    </row>
    <row r="569" ht="15.75" customHeight="1">
      <c r="A569" s="26"/>
      <c r="B569" s="26"/>
      <c r="C569" s="26"/>
      <c r="D569" s="26"/>
    </row>
    <row r="570" ht="15.75" customHeight="1">
      <c r="A570" s="26"/>
      <c r="B570" s="26"/>
      <c r="C570" s="26"/>
      <c r="D570" s="26"/>
    </row>
    <row r="571" ht="15.75" customHeight="1">
      <c r="A571" s="26"/>
      <c r="B571" s="26"/>
      <c r="C571" s="26"/>
      <c r="D571" s="26"/>
    </row>
    <row r="572" ht="15.75" customHeight="1">
      <c r="A572" s="26"/>
      <c r="B572" s="26"/>
      <c r="C572" s="26"/>
      <c r="D572" s="26"/>
    </row>
    <row r="573" ht="15.75" customHeight="1">
      <c r="A573" s="26"/>
      <c r="B573" s="26"/>
      <c r="C573" s="26"/>
      <c r="D573" s="26"/>
    </row>
    <row r="574" ht="15.75" customHeight="1">
      <c r="A574" s="26"/>
      <c r="B574" s="26"/>
      <c r="C574" s="26"/>
      <c r="D574" s="26"/>
    </row>
    <row r="575" ht="15.75" customHeight="1">
      <c r="A575" s="26"/>
      <c r="B575" s="26"/>
      <c r="C575" s="26"/>
      <c r="D575" s="26"/>
    </row>
    <row r="576" ht="15.75" customHeight="1">
      <c r="A576" s="26"/>
      <c r="B576" s="26"/>
      <c r="C576" s="26"/>
      <c r="D576" s="26"/>
    </row>
    <row r="577" ht="15.75" customHeight="1">
      <c r="A577" s="26"/>
      <c r="B577" s="26"/>
      <c r="C577" s="26"/>
      <c r="D577" s="26"/>
    </row>
    <row r="578" ht="15.75" customHeight="1">
      <c r="A578" s="26"/>
      <c r="B578" s="26"/>
      <c r="C578" s="26"/>
      <c r="D578" s="26"/>
    </row>
    <row r="579" ht="15.75" customHeight="1">
      <c r="A579" s="26"/>
      <c r="B579" s="26"/>
      <c r="C579" s="26"/>
      <c r="D579" s="26"/>
    </row>
    <row r="580" ht="15.75" customHeight="1">
      <c r="A580" s="26"/>
      <c r="B580" s="26"/>
      <c r="C580" s="26"/>
      <c r="D580" s="26"/>
    </row>
    <row r="581" ht="15.75" customHeight="1">
      <c r="A581" s="26"/>
      <c r="B581" s="26"/>
      <c r="C581" s="26"/>
      <c r="D581" s="26"/>
    </row>
    <row r="582" ht="15.75" customHeight="1">
      <c r="A582" s="26"/>
      <c r="B582" s="26"/>
      <c r="C582" s="26"/>
      <c r="D582" s="26"/>
    </row>
    <row r="583" ht="15.75" customHeight="1">
      <c r="A583" s="26"/>
      <c r="B583" s="26"/>
      <c r="C583" s="26"/>
      <c r="D583" s="26"/>
    </row>
    <row r="584" ht="15.75" customHeight="1">
      <c r="A584" s="26"/>
      <c r="B584" s="26"/>
      <c r="C584" s="26"/>
      <c r="D584" s="26"/>
    </row>
    <row r="585" ht="15.75" customHeight="1">
      <c r="A585" s="26"/>
      <c r="B585" s="26"/>
      <c r="C585" s="26"/>
      <c r="D585" s="26"/>
    </row>
    <row r="586" ht="15.75" customHeight="1">
      <c r="A586" s="26"/>
      <c r="B586" s="26"/>
      <c r="C586" s="26"/>
      <c r="D586" s="26"/>
    </row>
    <row r="587" ht="15.75" customHeight="1">
      <c r="A587" s="26"/>
      <c r="B587" s="26"/>
      <c r="C587" s="26"/>
      <c r="D587" s="26"/>
    </row>
    <row r="588" ht="15.75" customHeight="1">
      <c r="A588" s="26"/>
      <c r="B588" s="26"/>
      <c r="C588" s="26"/>
      <c r="D588" s="26"/>
    </row>
    <row r="589" ht="15.75" customHeight="1">
      <c r="A589" s="26"/>
      <c r="B589" s="26"/>
      <c r="C589" s="26"/>
      <c r="D589" s="26"/>
    </row>
    <row r="590" ht="15.75" customHeight="1">
      <c r="A590" s="26"/>
      <c r="B590" s="26"/>
      <c r="C590" s="26"/>
      <c r="D590" s="26"/>
    </row>
    <row r="591" ht="15.75" customHeight="1">
      <c r="A591" s="26"/>
      <c r="B591" s="26"/>
      <c r="C591" s="26"/>
      <c r="D591" s="26"/>
    </row>
    <row r="592" ht="15.75" customHeight="1">
      <c r="A592" s="26"/>
      <c r="B592" s="26"/>
      <c r="C592" s="26"/>
      <c r="D592" s="26"/>
    </row>
    <row r="593" ht="15.75" customHeight="1">
      <c r="A593" s="26"/>
      <c r="B593" s="26"/>
      <c r="C593" s="26"/>
      <c r="D593" s="26"/>
    </row>
    <row r="594" ht="15.75" customHeight="1">
      <c r="A594" s="26"/>
      <c r="B594" s="26"/>
      <c r="C594" s="26"/>
      <c r="D594" s="26"/>
    </row>
    <row r="595" ht="15.75" customHeight="1">
      <c r="A595" s="26"/>
      <c r="B595" s="26"/>
      <c r="C595" s="26"/>
      <c r="D595" s="26"/>
    </row>
    <row r="596" ht="15.75" customHeight="1">
      <c r="A596" s="26"/>
      <c r="B596" s="26"/>
      <c r="C596" s="26"/>
      <c r="D596" s="26"/>
    </row>
    <row r="597" ht="15.75" customHeight="1">
      <c r="A597" s="26"/>
      <c r="B597" s="26"/>
      <c r="C597" s="26"/>
      <c r="D597" s="26"/>
    </row>
    <row r="598" ht="15.75" customHeight="1">
      <c r="A598" s="26"/>
      <c r="B598" s="26"/>
      <c r="C598" s="26"/>
      <c r="D598" s="26"/>
    </row>
    <row r="599" ht="15.75" customHeight="1">
      <c r="A599" s="26"/>
      <c r="B599" s="26"/>
      <c r="C599" s="26"/>
      <c r="D599" s="26"/>
    </row>
    <row r="600" ht="15.75" customHeight="1">
      <c r="A600" s="26"/>
      <c r="B600" s="26"/>
      <c r="C600" s="26"/>
      <c r="D600" s="26"/>
    </row>
    <row r="601" ht="15.75" customHeight="1">
      <c r="A601" s="26"/>
      <c r="B601" s="26"/>
      <c r="C601" s="26"/>
      <c r="D601" s="26"/>
    </row>
    <row r="602" ht="15.75" customHeight="1">
      <c r="A602" s="26"/>
      <c r="B602" s="26"/>
      <c r="C602" s="26"/>
      <c r="D602" s="26"/>
    </row>
    <row r="603" ht="15.75" customHeight="1">
      <c r="A603" s="26"/>
      <c r="B603" s="26"/>
      <c r="C603" s="26"/>
      <c r="D603" s="26"/>
    </row>
    <row r="604" ht="15.75" customHeight="1">
      <c r="A604" s="26"/>
      <c r="B604" s="26"/>
      <c r="C604" s="26"/>
      <c r="D604" s="26"/>
    </row>
    <row r="605" ht="15.75" customHeight="1">
      <c r="A605" s="26"/>
      <c r="B605" s="26"/>
      <c r="C605" s="26"/>
      <c r="D605" s="26"/>
    </row>
    <row r="606" ht="15.75" customHeight="1">
      <c r="A606" s="26"/>
      <c r="B606" s="26"/>
      <c r="C606" s="26"/>
      <c r="D606" s="26"/>
    </row>
    <row r="607" ht="15.75" customHeight="1">
      <c r="A607" s="26"/>
      <c r="B607" s="26"/>
      <c r="C607" s="26"/>
      <c r="D607" s="26"/>
    </row>
    <row r="608" ht="15.75" customHeight="1">
      <c r="A608" s="26"/>
      <c r="B608" s="26"/>
      <c r="C608" s="26"/>
      <c r="D608" s="26"/>
    </row>
    <row r="609" ht="15.75" customHeight="1">
      <c r="A609" s="26"/>
      <c r="B609" s="26"/>
      <c r="C609" s="26"/>
      <c r="D609" s="26"/>
    </row>
    <row r="610" ht="15.75" customHeight="1">
      <c r="A610" s="26"/>
      <c r="B610" s="26"/>
      <c r="C610" s="26"/>
      <c r="D610" s="26"/>
    </row>
    <row r="611" ht="15.75" customHeight="1">
      <c r="A611" s="26"/>
      <c r="B611" s="26"/>
      <c r="C611" s="26"/>
      <c r="D611" s="26"/>
    </row>
    <row r="612" ht="15.75" customHeight="1">
      <c r="A612" s="26"/>
      <c r="B612" s="26"/>
      <c r="C612" s="26"/>
      <c r="D612" s="26"/>
    </row>
    <row r="613" ht="15.75" customHeight="1">
      <c r="A613" s="26"/>
      <c r="B613" s="26"/>
      <c r="C613" s="26"/>
      <c r="D613" s="26"/>
    </row>
    <row r="614" ht="15.75" customHeight="1">
      <c r="A614" s="26"/>
      <c r="B614" s="26"/>
      <c r="C614" s="26"/>
      <c r="D614" s="26"/>
    </row>
    <row r="615" ht="15.75" customHeight="1">
      <c r="A615" s="26"/>
      <c r="B615" s="26"/>
      <c r="C615" s="26"/>
      <c r="D615" s="26"/>
    </row>
    <row r="616" ht="15.75" customHeight="1">
      <c r="A616" s="26"/>
      <c r="B616" s="26"/>
      <c r="C616" s="26"/>
      <c r="D616" s="26"/>
    </row>
    <row r="617" ht="15.75" customHeight="1">
      <c r="A617" s="26"/>
      <c r="B617" s="26"/>
      <c r="C617" s="26"/>
      <c r="D617" s="26"/>
    </row>
    <row r="618" ht="15.75" customHeight="1">
      <c r="A618" s="26"/>
      <c r="B618" s="26"/>
      <c r="C618" s="26"/>
      <c r="D618" s="26"/>
    </row>
    <row r="619" ht="15.75" customHeight="1">
      <c r="A619" s="26"/>
      <c r="B619" s="26"/>
      <c r="C619" s="26"/>
      <c r="D619" s="26"/>
    </row>
    <row r="620" ht="15.75" customHeight="1">
      <c r="A620" s="26"/>
      <c r="B620" s="26"/>
      <c r="C620" s="26"/>
      <c r="D620" s="26"/>
    </row>
    <row r="621" ht="15.75" customHeight="1">
      <c r="A621" s="26"/>
      <c r="B621" s="26"/>
      <c r="C621" s="26"/>
      <c r="D621" s="26"/>
    </row>
    <row r="622" ht="15.75" customHeight="1">
      <c r="A622" s="26"/>
      <c r="B622" s="26"/>
      <c r="C622" s="26"/>
      <c r="D622" s="26"/>
    </row>
    <row r="623" ht="15.75" customHeight="1">
      <c r="A623" s="26"/>
      <c r="B623" s="26"/>
      <c r="C623" s="26"/>
      <c r="D623" s="26"/>
    </row>
    <row r="624" ht="15.75" customHeight="1">
      <c r="A624" s="26"/>
      <c r="B624" s="26"/>
      <c r="C624" s="26"/>
      <c r="D624" s="26"/>
    </row>
    <row r="625" ht="15.75" customHeight="1">
      <c r="A625" s="26"/>
      <c r="B625" s="26"/>
      <c r="C625" s="26"/>
      <c r="D625" s="26"/>
    </row>
    <row r="626" ht="15.75" customHeight="1">
      <c r="A626" s="26"/>
      <c r="B626" s="26"/>
      <c r="C626" s="26"/>
      <c r="D626" s="26"/>
    </row>
    <row r="627" ht="15.75" customHeight="1">
      <c r="A627" s="26"/>
      <c r="B627" s="26"/>
      <c r="C627" s="26"/>
      <c r="D627" s="26"/>
    </row>
    <row r="628" ht="15.75" customHeight="1">
      <c r="A628" s="26"/>
      <c r="B628" s="26"/>
      <c r="C628" s="26"/>
      <c r="D628" s="26"/>
    </row>
    <row r="629" ht="15.75" customHeight="1">
      <c r="A629" s="26"/>
      <c r="B629" s="26"/>
      <c r="C629" s="26"/>
      <c r="D629" s="26"/>
    </row>
    <row r="630" ht="15.75" customHeight="1">
      <c r="A630" s="26"/>
      <c r="B630" s="26"/>
      <c r="C630" s="26"/>
      <c r="D630" s="26"/>
    </row>
    <row r="631" ht="15.75" customHeight="1">
      <c r="A631" s="26"/>
      <c r="B631" s="26"/>
      <c r="C631" s="26"/>
      <c r="D631" s="26"/>
    </row>
    <row r="632" ht="15.75" customHeight="1">
      <c r="A632" s="26"/>
      <c r="B632" s="26"/>
      <c r="C632" s="26"/>
      <c r="D632" s="26"/>
    </row>
    <row r="633" ht="15.75" customHeight="1">
      <c r="A633" s="26"/>
      <c r="B633" s="26"/>
      <c r="C633" s="26"/>
      <c r="D633" s="26"/>
    </row>
    <row r="634" ht="15.75" customHeight="1">
      <c r="A634" s="26"/>
      <c r="B634" s="26"/>
      <c r="C634" s="26"/>
      <c r="D634" s="26"/>
    </row>
    <row r="635" ht="15.75" customHeight="1">
      <c r="A635" s="26"/>
      <c r="B635" s="26"/>
      <c r="C635" s="26"/>
      <c r="D635" s="26"/>
    </row>
    <row r="636" ht="15.75" customHeight="1">
      <c r="A636" s="26"/>
      <c r="B636" s="26"/>
      <c r="C636" s="26"/>
      <c r="D636" s="26"/>
    </row>
    <row r="637" ht="15.75" customHeight="1">
      <c r="A637" s="26"/>
      <c r="B637" s="26"/>
      <c r="C637" s="26"/>
      <c r="D637" s="26"/>
    </row>
    <row r="638" ht="15.75" customHeight="1">
      <c r="A638" s="26"/>
      <c r="B638" s="26"/>
      <c r="C638" s="26"/>
      <c r="D638" s="26"/>
    </row>
    <row r="639" ht="15.75" customHeight="1">
      <c r="A639" s="26"/>
      <c r="B639" s="26"/>
      <c r="C639" s="26"/>
      <c r="D639" s="26"/>
    </row>
    <row r="640" ht="15.75" customHeight="1">
      <c r="A640" s="26"/>
      <c r="B640" s="26"/>
      <c r="C640" s="26"/>
      <c r="D640" s="26"/>
    </row>
    <row r="641" ht="15.75" customHeight="1">
      <c r="A641" s="26"/>
      <c r="B641" s="26"/>
      <c r="C641" s="26"/>
      <c r="D641" s="26"/>
    </row>
    <row r="642" ht="15.75" customHeight="1">
      <c r="A642" s="26"/>
      <c r="B642" s="26"/>
      <c r="C642" s="26"/>
      <c r="D642" s="26"/>
    </row>
    <row r="643" ht="15.75" customHeight="1">
      <c r="A643" s="26"/>
      <c r="B643" s="26"/>
      <c r="C643" s="26"/>
      <c r="D643" s="26"/>
    </row>
    <row r="644" ht="15.75" customHeight="1">
      <c r="A644" s="26"/>
      <c r="B644" s="26"/>
      <c r="C644" s="26"/>
      <c r="D644" s="26"/>
    </row>
    <row r="645" ht="15.75" customHeight="1">
      <c r="A645" s="26"/>
      <c r="B645" s="26"/>
      <c r="C645" s="26"/>
      <c r="D645" s="26"/>
    </row>
    <row r="646" ht="15.75" customHeight="1">
      <c r="A646" s="26"/>
      <c r="B646" s="26"/>
      <c r="C646" s="26"/>
      <c r="D646" s="26"/>
    </row>
    <row r="647" ht="15.75" customHeight="1">
      <c r="A647" s="26"/>
      <c r="B647" s="26"/>
      <c r="C647" s="26"/>
      <c r="D647" s="26"/>
    </row>
    <row r="648" ht="15.75" customHeight="1">
      <c r="A648" s="26"/>
      <c r="B648" s="26"/>
      <c r="C648" s="26"/>
      <c r="D648" s="26"/>
    </row>
    <row r="649" ht="15.75" customHeight="1">
      <c r="A649" s="26"/>
      <c r="B649" s="26"/>
      <c r="C649" s="26"/>
      <c r="D649" s="26"/>
    </row>
    <row r="650" ht="15.75" customHeight="1">
      <c r="A650" s="26"/>
      <c r="B650" s="26"/>
      <c r="C650" s="26"/>
      <c r="D650" s="26"/>
    </row>
    <row r="651" ht="15.75" customHeight="1">
      <c r="A651" s="26"/>
      <c r="B651" s="26"/>
      <c r="C651" s="26"/>
      <c r="D651" s="26"/>
    </row>
    <row r="652" ht="15.75" customHeight="1">
      <c r="A652" s="26"/>
      <c r="B652" s="26"/>
      <c r="C652" s="26"/>
      <c r="D652" s="26"/>
    </row>
    <row r="653" ht="15.75" customHeight="1">
      <c r="A653" s="26"/>
      <c r="B653" s="26"/>
      <c r="C653" s="26"/>
      <c r="D653" s="26"/>
    </row>
    <row r="654" ht="15.75" customHeight="1">
      <c r="A654" s="26"/>
      <c r="B654" s="26"/>
      <c r="C654" s="26"/>
      <c r="D654" s="26"/>
    </row>
    <row r="655" ht="15.75" customHeight="1">
      <c r="A655" s="26"/>
      <c r="B655" s="26"/>
      <c r="C655" s="26"/>
      <c r="D655" s="26"/>
    </row>
    <row r="656" ht="15.75" customHeight="1">
      <c r="A656" s="26"/>
      <c r="B656" s="26"/>
      <c r="C656" s="26"/>
      <c r="D656" s="26"/>
    </row>
    <row r="657" ht="15.75" customHeight="1">
      <c r="A657" s="26"/>
      <c r="B657" s="26"/>
      <c r="C657" s="26"/>
      <c r="D657" s="26"/>
    </row>
    <row r="658" ht="15.75" customHeight="1">
      <c r="A658" s="26"/>
      <c r="B658" s="26"/>
      <c r="C658" s="26"/>
      <c r="D658" s="26"/>
    </row>
    <row r="659" ht="15.75" customHeight="1">
      <c r="A659" s="26"/>
      <c r="B659" s="26"/>
      <c r="C659" s="26"/>
      <c r="D659" s="26"/>
    </row>
    <row r="660" ht="15.75" customHeight="1">
      <c r="A660" s="26"/>
      <c r="B660" s="26"/>
      <c r="C660" s="26"/>
      <c r="D660" s="26"/>
    </row>
    <row r="661" ht="15.75" customHeight="1">
      <c r="A661" s="26"/>
      <c r="B661" s="26"/>
      <c r="C661" s="26"/>
      <c r="D661" s="26"/>
    </row>
    <row r="662" ht="15.75" customHeight="1">
      <c r="A662" s="26"/>
      <c r="B662" s="26"/>
      <c r="C662" s="26"/>
      <c r="D662" s="26"/>
    </row>
    <row r="663" ht="15.75" customHeight="1">
      <c r="A663" s="26"/>
      <c r="B663" s="26"/>
      <c r="C663" s="26"/>
      <c r="D663" s="26"/>
    </row>
    <row r="664" ht="15.75" customHeight="1">
      <c r="A664" s="26"/>
      <c r="B664" s="26"/>
      <c r="C664" s="26"/>
      <c r="D664" s="26"/>
    </row>
    <row r="665" ht="15.75" customHeight="1">
      <c r="A665" s="26"/>
      <c r="B665" s="26"/>
      <c r="C665" s="26"/>
      <c r="D665" s="26"/>
    </row>
    <row r="666" ht="15.75" customHeight="1">
      <c r="A666" s="26"/>
      <c r="B666" s="26"/>
      <c r="C666" s="26"/>
      <c r="D666" s="26"/>
    </row>
    <row r="667" ht="15.75" customHeight="1">
      <c r="A667" s="26"/>
      <c r="B667" s="26"/>
      <c r="C667" s="26"/>
      <c r="D667" s="26"/>
    </row>
    <row r="668" ht="15.75" customHeight="1">
      <c r="A668" s="26"/>
      <c r="B668" s="26"/>
      <c r="C668" s="26"/>
      <c r="D668" s="26"/>
    </row>
    <row r="669" ht="15.75" customHeight="1">
      <c r="A669" s="26"/>
      <c r="B669" s="26"/>
      <c r="C669" s="26"/>
      <c r="D669" s="26"/>
    </row>
    <row r="670" ht="15.75" customHeight="1">
      <c r="A670" s="26"/>
      <c r="B670" s="26"/>
      <c r="C670" s="26"/>
      <c r="D670" s="26"/>
    </row>
    <row r="671" ht="15.75" customHeight="1">
      <c r="A671" s="26"/>
      <c r="B671" s="26"/>
      <c r="C671" s="26"/>
      <c r="D671" s="26"/>
    </row>
    <row r="672" ht="15.75" customHeight="1">
      <c r="A672" s="26"/>
      <c r="B672" s="26"/>
      <c r="C672" s="26"/>
      <c r="D672" s="26"/>
    </row>
    <row r="673" ht="15.75" customHeight="1">
      <c r="A673" s="26"/>
      <c r="B673" s="26"/>
      <c r="C673" s="26"/>
      <c r="D673" s="26"/>
    </row>
    <row r="674" ht="15.75" customHeight="1">
      <c r="A674" s="26"/>
      <c r="B674" s="26"/>
      <c r="C674" s="26"/>
      <c r="D674" s="26"/>
    </row>
    <row r="675" ht="15.75" customHeight="1">
      <c r="A675" s="26"/>
      <c r="B675" s="26"/>
      <c r="C675" s="26"/>
      <c r="D675" s="26"/>
    </row>
    <row r="676" ht="15.75" customHeight="1">
      <c r="A676" s="26"/>
      <c r="B676" s="26"/>
      <c r="C676" s="26"/>
      <c r="D676" s="26"/>
    </row>
    <row r="677" ht="15.75" customHeight="1">
      <c r="A677" s="26"/>
      <c r="B677" s="26"/>
      <c r="C677" s="26"/>
      <c r="D677" s="26"/>
    </row>
    <row r="678" ht="15.75" customHeight="1">
      <c r="A678" s="26"/>
      <c r="B678" s="26"/>
      <c r="C678" s="26"/>
      <c r="D678" s="26"/>
    </row>
    <row r="679" ht="15.75" customHeight="1">
      <c r="A679" s="26"/>
      <c r="B679" s="26"/>
      <c r="C679" s="26"/>
      <c r="D679" s="26"/>
    </row>
    <row r="680" ht="15.75" customHeight="1">
      <c r="A680" s="26"/>
      <c r="B680" s="26"/>
      <c r="C680" s="26"/>
      <c r="D680" s="26"/>
    </row>
    <row r="681" ht="15.75" customHeight="1">
      <c r="A681" s="26"/>
      <c r="B681" s="26"/>
      <c r="C681" s="26"/>
      <c r="D681" s="26"/>
    </row>
    <row r="682" ht="15.75" customHeight="1">
      <c r="A682" s="26"/>
      <c r="B682" s="26"/>
      <c r="C682" s="26"/>
      <c r="D682" s="26"/>
    </row>
    <row r="683" ht="15.75" customHeight="1">
      <c r="A683" s="26"/>
      <c r="B683" s="26"/>
      <c r="C683" s="26"/>
      <c r="D683" s="26"/>
    </row>
    <row r="684" ht="15.75" customHeight="1">
      <c r="A684" s="26"/>
      <c r="B684" s="26"/>
      <c r="C684" s="26"/>
      <c r="D684" s="26"/>
    </row>
    <row r="685" ht="15.75" customHeight="1">
      <c r="A685" s="26"/>
      <c r="B685" s="26"/>
      <c r="C685" s="26"/>
      <c r="D685" s="26"/>
    </row>
    <row r="686" ht="15.75" customHeight="1">
      <c r="A686" s="26"/>
      <c r="B686" s="26"/>
      <c r="C686" s="26"/>
      <c r="D686" s="26"/>
    </row>
    <row r="687" ht="15.75" customHeight="1">
      <c r="A687" s="26"/>
      <c r="B687" s="26"/>
      <c r="C687" s="26"/>
      <c r="D687" s="26"/>
    </row>
    <row r="688" ht="15.75" customHeight="1">
      <c r="A688" s="26"/>
      <c r="B688" s="26"/>
      <c r="C688" s="26"/>
      <c r="D688" s="26"/>
    </row>
    <row r="689" ht="15.75" customHeight="1">
      <c r="A689" s="26"/>
      <c r="B689" s="26"/>
      <c r="C689" s="26"/>
      <c r="D689" s="26"/>
    </row>
    <row r="690" ht="15.75" customHeight="1">
      <c r="A690" s="26"/>
      <c r="B690" s="26"/>
      <c r="C690" s="26"/>
      <c r="D690" s="26"/>
    </row>
    <row r="691" ht="15.75" customHeight="1">
      <c r="A691" s="26"/>
      <c r="B691" s="26"/>
      <c r="C691" s="26"/>
      <c r="D691" s="26"/>
    </row>
    <row r="692" ht="15.75" customHeight="1">
      <c r="A692" s="26"/>
      <c r="B692" s="26"/>
      <c r="C692" s="26"/>
      <c r="D692" s="26"/>
    </row>
    <row r="693" ht="15.75" customHeight="1">
      <c r="A693" s="26"/>
      <c r="B693" s="26"/>
      <c r="C693" s="26"/>
      <c r="D693" s="26"/>
    </row>
    <row r="694" ht="15.75" customHeight="1">
      <c r="A694" s="26"/>
      <c r="B694" s="26"/>
      <c r="C694" s="26"/>
      <c r="D694" s="26"/>
    </row>
    <row r="695" ht="15.75" customHeight="1">
      <c r="A695" s="26"/>
      <c r="B695" s="26"/>
      <c r="C695" s="26"/>
      <c r="D695" s="26"/>
    </row>
    <row r="696" ht="15.75" customHeight="1">
      <c r="A696" s="26"/>
      <c r="B696" s="26"/>
      <c r="C696" s="26"/>
      <c r="D696" s="26"/>
    </row>
    <row r="697" ht="15.75" customHeight="1">
      <c r="A697" s="26"/>
      <c r="B697" s="26"/>
      <c r="C697" s="26"/>
      <c r="D697" s="26"/>
    </row>
    <row r="698" ht="15.75" customHeight="1">
      <c r="A698" s="26"/>
      <c r="B698" s="26"/>
      <c r="C698" s="26"/>
      <c r="D698" s="26"/>
    </row>
    <row r="699" ht="15.75" customHeight="1">
      <c r="A699" s="26"/>
      <c r="B699" s="26"/>
      <c r="C699" s="26"/>
      <c r="D699" s="26"/>
    </row>
    <row r="700" ht="15.75" customHeight="1">
      <c r="A700" s="26"/>
      <c r="B700" s="26"/>
      <c r="C700" s="26"/>
      <c r="D700" s="26"/>
    </row>
    <row r="701" ht="15.75" customHeight="1">
      <c r="A701" s="26"/>
      <c r="B701" s="26"/>
      <c r="C701" s="26"/>
      <c r="D701" s="26"/>
    </row>
    <row r="702" ht="15.75" customHeight="1">
      <c r="A702" s="26"/>
      <c r="B702" s="26"/>
      <c r="C702" s="26"/>
      <c r="D702" s="26"/>
    </row>
    <row r="703" ht="15.75" customHeight="1">
      <c r="A703" s="26"/>
      <c r="B703" s="26"/>
      <c r="C703" s="26"/>
      <c r="D703" s="26"/>
    </row>
    <row r="704" ht="15.75" customHeight="1">
      <c r="A704" s="26"/>
      <c r="B704" s="26"/>
      <c r="C704" s="26"/>
      <c r="D704" s="26"/>
    </row>
    <row r="705" ht="15.75" customHeight="1">
      <c r="A705" s="26"/>
      <c r="B705" s="26"/>
      <c r="C705" s="26"/>
      <c r="D705" s="26"/>
    </row>
    <row r="706" ht="15.75" customHeight="1">
      <c r="A706" s="26"/>
      <c r="B706" s="26"/>
      <c r="C706" s="26"/>
      <c r="D706" s="26"/>
    </row>
    <row r="707" ht="15.75" customHeight="1">
      <c r="A707" s="26"/>
      <c r="B707" s="26"/>
      <c r="C707" s="26"/>
      <c r="D707" s="26"/>
    </row>
    <row r="708" ht="15.75" customHeight="1">
      <c r="A708" s="26"/>
      <c r="B708" s="26"/>
      <c r="C708" s="26"/>
      <c r="D708" s="26"/>
    </row>
    <row r="709" ht="15.75" customHeight="1">
      <c r="A709" s="26"/>
      <c r="B709" s="26"/>
      <c r="C709" s="26"/>
      <c r="D709" s="26"/>
    </row>
    <row r="710" ht="15.75" customHeight="1">
      <c r="A710" s="26"/>
      <c r="B710" s="26"/>
      <c r="C710" s="26"/>
      <c r="D710" s="26"/>
    </row>
    <row r="711" ht="15.75" customHeight="1">
      <c r="A711" s="26"/>
      <c r="B711" s="26"/>
      <c r="C711" s="26"/>
      <c r="D711" s="26"/>
    </row>
    <row r="712" ht="15.75" customHeight="1">
      <c r="A712" s="26"/>
      <c r="B712" s="26"/>
      <c r="C712" s="26"/>
      <c r="D712" s="26"/>
    </row>
    <row r="713" ht="15.75" customHeight="1">
      <c r="A713" s="26"/>
      <c r="B713" s="26"/>
      <c r="C713" s="26"/>
      <c r="D713" s="26"/>
    </row>
    <row r="714" ht="15.75" customHeight="1">
      <c r="A714" s="26"/>
      <c r="B714" s="26"/>
      <c r="C714" s="26"/>
      <c r="D714" s="26"/>
    </row>
    <row r="715" ht="15.75" customHeight="1">
      <c r="A715" s="26"/>
      <c r="B715" s="26"/>
      <c r="C715" s="26"/>
      <c r="D715" s="26"/>
    </row>
    <row r="716" ht="15.75" customHeight="1">
      <c r="A716" s="26"/>
      <c r="B716" s="26"/>
      <c r="C716" s="26"/>
      <c r="D716" s="26"/>
    </row>
    <row r="717" ht="15.75" customHeight="1">
      <c r="A717" s="26"/>
      <c r="B717" s="26"/>
      <c r="C717" s="26"/>
      <c r="D717" s="26"/>
    </row>
    <row r="718" ht="15.75" customHeight="1">
      <c r="A718" s="26"/>
      <c r="B718" s="26"/>
      <c r="C718" s="26"/>
      <c r="D718" s="26"/>
    </row>
    <row r="719" ht="15.75" customHeight="1">
      <c r="A719" s="26"/>
      <c r="B719" s="26"/>
      <c r="C719" s="26"/>
      <c r="D719" s="26"/>
    </row>
    <row r="720" ht="15.75" customHeight="1">
      <c r="A720" s="26"/>
      <c r="B720" s="26"/>
      <c r="C720" s="26"/>
      <c r="D720" s="26"/>
    </row>
    <row r="721" ht="15.75" customHeight="1">
      <c r="A721" s="26"/>
      <c r="B721" s="26"/>
      <c r="C721" s="26"/>
      <c r="D721" s="26"/>
    </row>
    <row r="722" ht="15.75" customHeight="1">
      <c r="A722" s="26"/>
      <c r="B722" s="26"/>
      <c r="C722" s="26"/>
      <c r="D722" s="26"/>
    </row>
    <row r="723" ht="15.75" customHeight="1">
      <c r="A723" s="26"/>
      <c r="B723" s="26"/>
      <c r="C723" s="26"/>
      <c r="D723" s="26"/>
    </row>
    <row r="724" ht="15.75" customHeight="1">
      <c r="A724" s="26"/>
      <c r="B724" s="26"/>
      <c r="C724" s="26"/>
      <c r="D724" s="26"/>
    </row>
    <row r="725" ht="15.75" customHeight="1">
      <c r="A725" s="26"/>
      <c r="B725" s="26"/>
      <c r="C725" s="26"/>
      <c r="D725" s="26"/>
    </row>
    <row r="726" ht="15.75" customHeight="1">
      <c r="A726" s="26"/>
      <c r="B726" s="26"/>
      <c r="C726" s="26"/>
      <c r="D726" s="26"/>
    </row>
    <row r="727" ht="15.75" customHeight="1">
      <c r="A727" s="26"/>
      <c r="B727" s="26"/>
      <c r="C727" s="26"/>
      <c r="D727" s="26"/>
    </row>
    <row r="728" ht="15.75" customHeight="1">
      <c r="A728" s="26"/>
      <c r="B728" s="26"/>
      <c r="C728" s="26"/>
      <c r="D728" s="26"/>
    </row>
    <row r="729" ht="15.75" customHeight="1">
      <c r="A729" s="26"/>
      <c r="B729" s="26"/>
      <c r="C729" s="26"/>
      <c r="D729" s="26"/>
    </row>
    <row r="730" ht="15.75" customHeight="1">
      <c r="A730" s="26"/>
      <c r="B730" s="26"/>
      <c r="C730" s="26"/>
      <c r="D730" s="26"/>
    </row>
    <row r="731" ht="15.75" customHeight="1">
      <c r="A731" s="26"/>
      <c r="B731" s="26"/>
      <c r="C731" s="26"/>
      <c r="D731" s="26"/>
    </row>
    <row r="732" ht="15.75" customHeight="1">
      <c r="A732" s="26"/>
      <c r="B732" s="26"/>
      <c r="C732" s="26"/>
      <c r="D732" s="26"/>
    </row>
    <row r="733" ht="15.75" customHeight="1">
      <c r="A733" s="26"/>
      <c r="B733" s="26"/>
      <c r="C733" s="26"/>
      <c r="D733" s="26"/>
    </row>
    <row r="734" ht="15.75" customHeight="1">
      <c r="A734" s="26"/>
      <c r="B734" s="26"/>
      <c r="C734" s="26"/>
      <c r="D734" s="26"/>
    </row>
    <row r="735" ht="15.75" customHeight="1">
      <c r="A735" s="26"/>
      <c r="B735" s="26"/>
      <c r="C735" s="26"/>
      <c r="D735" s="26"/>
    </row>
    <row r="736" ht="15.75" customHeight="1">
      <c r="A736" s="26"/>
      <c r="B736" s="26"/>
      <c r="C736" s="26"/>
      <c r="D736" s="26"/>
    </row>
    <row r="737" ht="15.75" customHeight="1">
      <c r="A737" s="26"/>
      <c r="B737" s="26"/>
      <c r="C737" s="26"/>
      <c r="D737" s="26"/>
    </row>
    <row r="738" ht="15.75" customHeight="1">
      <c r="A738" s="26"/>
      <c r="B738" s="26"/>
      <c r="C738" s="26"/>
      <c r="D738" s="26"/>
    </row>
    <row r="739" ht="15.75" customHeight="1">
      <c r="A739" s="26"/>
      <c r="B739" s="26"/>
      <c r="C739" s="26"/>
      <c r="D739" s="26"/>
    </row>
    <row r="740" ht="15.75" customHeight="1">
      <c r="A740" s="26"/>
      <c r="B740" s="26"/>
      <c r="C740" s="26"/>
      <c r="D740" s="26"/>
    </row>
    <row r="741" ht="15.75" customHeight="1">
      <c r="A741" s="26"/>
      <c r="B741" s="26"/>
      <c r="C741" s="26"/>
      <c r="D741" s="26"/>
    </row>
    <row r="742" ht="15.75" customHeight="1">
      <c r="A742" s="26"/>
      <c r="B742" s="26"/>
      <c r="C742" s="26"/>
      <c r="D742" s="26"/>
    </row>
    <row r="743" ht="15.75" customHeight="1">
      <c r="A743" s="26"/>
      <c r="B743" s="26"/>
      <c r="C743" s="26"/>
      <c r="D743" s="26"/>
    </row>
    <row r="744" ht="15.75" customHeight="1">
      <c r="A744" s="26"/>
      <c r="B744" s="26"/>
      <c r="C744" s="26"/>
      <c r="D744" s="26"/>
    </row>
    <row r="745" ht="15.75" customHeight="1">
      <c r="A745" s="26"/>
      <c r="B745" s="26"/>
      <c r="C745" s="26"/>
      <c r="D745" s="26"/>
    </row>
    <row r="746" ht="15.75" customHeight="1">
      <c r="A746" s="26"/>
      <c r="B746" s="26"/>
      <c r="C746" s="26"/>
      <c r="D746" s="26"/>
    </row>
    <row r="747" ht="15.75" customHeight="1">
      <c r="A747" s="26"/>
      <c r="B747" s="26"/>
      <c r="C747" s="26"/>
      <c r="D747" s="26"/>
    </row>
    <row r="748" ht="15.75" customHeight="1">
      <c r="A748" s="26"/>
      <c r="B748" s="26"/>
      <c r="C748" s="26"/>
      <c r="D748" s="26"/>
    </row>
    <row r="749" ht="15.75" customHeight="1">
      <c r="A749" s="26"/>
      <c r="B749" s="26"/>
      <c r="C749" s="26"/>
      <c r="D749" s="26"/>
    </row>
    <row r="750" ht="15.75" customHeight="1">
      <c r="A750" s="26"/>
      <c r="B750" s="26"/>
      <c r="C750" s="26"/>
      <c r="D750" s="26"/>
    </row>
    <row r="751" ht="15.75" customHeight="1">
      <c r="A751" s="26"/>
      <c r="B751" s="26"/>
      <c r="C751" s="26"/>
      <c r="D751" s="26"/>
    </row>
    <row r="752" ht="15.75" customHeight="1">
      <c r="A752" s="26"/>
      <c r="B752" s="26"/>
      <c r="C752" s="26"/>
      <c r="D752" s="26"/>
    </row>
    <row r="753" ht="15.75" customHeight="1">
      <c r="A753" s="26"/>
      <c r="B753" s="26"/>
      <c r="C753" s="26"/>
      <c r="D753" s="26"/>
    </row>
    <row r="754" ht="15.75" customHeight="1">
      <c r="A754" s="26"/>
      <c r="B754" s="26"/>
      <c r="C754" s="26"/>
      <c r="D754" s="26"/>
    </row>
    <row r="755" ht="15.75" customHeight="1">
      <c r="A755" s="26"/>
      <c r="B755" s="26"/>
      <c r="C755" s="26"/>
      <c r="D755" s="26"/>
    </row>
    <row r="756" ht="15.75" customHeight="1">
      <c r="A756" s="26"/>
      <c r="B756" s="26"/>
      <c r="C756" s="26"/>
      <c r="D756" s="26"/>
    </row>
    <row r="757" ht="15.75" customHeight="1">
      <c r="A757" s="26"/>
      <c r="B757" s="26"/>
      <c r="C757" s="26"/>
      <c r="D757" s="26"/>
    </row>
    <row r="758" ht="15.75" customHeight="1">
      <c r="A758" s="26"/>
      <c r="B758" s="26"/>
      <c r="C758" s="26"/>
      <c r="D758" s="26"/>
    </row>
    <row r="759" ht="15.75" customHeight="1">
      <c r="A759" s="26"/>
      <c r="B759" s="26"/>
      <c r="C759" s="26"/>
      <c r="D759" s="26"/>
    </row>
    <row r="760" ht="15.75" customHeight="1">
      <c r="A760" s="26"/>
      <c r="B760" s="26"/>
      <c r="C760" s="26"/>
      <c r="D760" s="26"/>
    </row>
    <row r="761" ht="15.75" customHeight="1">
      <c r="A761" s="26"/>
      <c r="B761" s="26"/>
      <c r="C761" s="26"/>
      <c r="D761" s="26"/>
    </row>
    <row r="762" ht="15.75" customHeight="1">
      <c r="A762" s="26"/>
      <c r="B762" s="26"/>
      <c r="C762" s="26"/>
      <c r="D762" s="26"/>
    </row>
    <row r="763" ht="15.75" customHeight="1">
      <c r="A763" s="26"/>
      <c r="B763" s="26"/>
      <c r="C763" s="26"/>
      <c r="D763" s="26"/>
    </row>
    <row r="764" ht="15.75" customHeight="1">
      <c r="A764" s="26"/>
      <c r="B764" s="26"/>
      <c r="C764" s="26"/>
      <c r="D764" s="26"/>
    </row>
    <row r="765" ht="15.75" customHeight="1">
      <c r="A765" s="26"/>
      <c r="B765" s="26"/>
      <c r="C765" s="26"/>
      <c r="D765" s="26"/>
    </row>
    <row r="766" ht="15.75" customHeight="1">
      <c r="A766" s="26"/>
      <c r="B766" s="26"/>
      <c r="C766" s="26"/>
      <c r="D766" s="26"/>
    </row>
    <row r="767" ht="15.75" customHeight="1">
      <c r="A767" s="26"/>
      <c r="B767" s="26"/>
      <c r="C767" s="26"/>
      <c r="D767" s="26"/>
    </row>
    <row r="768" ht="15.75" customHeight="1">
      <c r="A768" s="26"/>
      <c r="B768" s="26"/>
      <c r="C768" s="26"/>
      <c r="D768" s="26"/>
    </row>
    <row r="769" ht="15.75" customHeight="1">
      <c r="A769" s="26"/>
      <c r="B769" s="26"/>
      <c r="C769" s="26"/>
      <c r="D769" s="26"/>
    </row>
    <row r="770" ht="15.75" customHeight="1">
      <c r="A770" s="26"/>
      <c r="B770" s="26"/>
      <c r="C770" s="26"/>
      <c r="D770" s="26"/>
    </row>
    <row r="771" ht="15.75" customHeight="1">
      <c r="A771" s="26"/>
      <c r="B771" s="26"/>
      <c r="C771" s="26"/>
      <c r="D771" s="26"/>
    </row>
    <row r="772" ht="15.75" customHeight="1">
      <c r="A772" s="26"/>
      <c r="B772" s="26"/>
      <c r="C772" s="26"/>
      <c r="D772" s="26"/>
    </row>
    <row r="773" ht="15.75" customHeight="1">
      <c r="A773" s="26"/>
      <c r="B773" s="26"/>
      <c r="C773" s="26"/>
      <c r="D773" s="26"/>
    </row>
    <row r="774" ht="15.75" customHeight="1">
      <c r="A774" s="26"/>
      <c r="B774" s="26"/>
      <c r="C774" s="26"/>
      <c r="D774" s="26"/>
    </row>
    <row r="775" ht="15.75" customHeight="1">
      <c r="A775" s="26"/>
      <c r="B775" s="26"/>
      <c r="C775" s="26"/>
      <c r="D775" s="26"/>
    </row>
    <row r="776" ht="15.75" customHeight="1">
      <c r="A776" s="26"/>
      <c r="B776" s="26"/>
      <c r="C776" s="26"/>
      <c r="D776" s="26"/>
    </row>
    <row r="777" ht="15.75" customHeight="1">
      <c r="A777" s="26"/>
      <c r="B777" s="26"/>
      <c r="C777" s="26"/>
      <c r="D777" s="26"/>
    </row>
    <row r="778" ht="15.75" customHeight="1">
      <c r="A778" s="26"/>
      <c r="B778" s="26"/>
      <c r="C778" s="26"/>
      <c r="D778" s="26"/>
    </row>
    <row r="779" ht="15.75" customHeight="1">
      <c r="A779" s="26"/>
      <c r="B779" s="26"/>
      <c r="C779" s="26"/>
      <c r="D779" s="26"/>
    </row>
    <row r="780" ht="15.75" customHeight="1">
      <c r="A780" s="26"/>
      <c r="B780" s="26"/>
      <c r="C780" s="26"/>
      <c r="D780" s="26"/>
    </row>
    <row r="781" ht="15.75" customHeight="1">
      <c r="A781" s="26"/>
      <c r="B781" s="26"/>
      <c r="C781" s="26"/>
      <c r="D781" s="26"/>
    </row>
    <row r="782" ht="15.75" customHeight="1">
      <c r="A782" s="26"/>
      <c r="B782" s="26"/>
      <c r="C782" s="26"/>
      <c r="D782" s="26"/>
    </row>
    <row r="783" ht="15.75" customHeight="1">
      <c r="A783" s="26"/>
      <c r="B783" s="26"/>
      <c r="C783" s="26"/>
      <c r="D783" s="26"/>
    </row>
    <row r="784" ht="15.75" customHeight="1">
      <c r="A784" s="26"/>
      <c r="B784" s="26"/>
      <c r="C784" s="26"/>
      <c r="D784" s="26"/>
    </row>
    <row r="785" ht="15.75" customHeight="1">
      <c r="A785" s="26"/>
      <c r="B785" s="26"/>
      <c r="C785" s="26"/>
      <c r="D785" s="26"/>
    </row>
    <row r="786" ht="15.75" customHeight="1">
      <c r="A786" s="26"/>
      <c r="B786" s="26"/>
      <c r="C786" s="26"/>
      <c r="D786" s="26"/>
    </row>
    <row r="787" ht="15.75" customHeight="1">
      <c r="A787" s="26"/>
      <c r="B787" s="26"/>
      <c r="C787" s="26"/>
      <c r="D787" s="26"/>
    </row>
    <row r="788" ht="15.75" customHeight="1">
      <c r="A788" s="26"/>
      <c r="B788" s="26"/>
      <c r="C788" s="26"/>
      <c r="D788" s="26"/>
    </row>
    <row r="789" ht="15.75" customHeight="1">
      <c r="A789" s="26"/>
      <c r="B789" s="26"/>
      <c r="C789" s="26"/>
      <c r="D789" s="26"/>
    </row>
    <row r="790" ht="15.75" customHeight="1">
      <c r="A790" s="26"/>
      <c r="B790" s="26"/>
      <c r="C790" s="26"/>
      <c r="D790" s="26"/>
    </row>
    <row r="791" ht="15.75" customHeight="1">
      <c r="A791" s="26"/>
      <c r="B791" s="26"/>
      <c r="C791" s="26"/>
      <c r="D791" s="26"/>
    </row>
    <row r="792" ht="15.75" customHeight="1">
      <c r="A792" s="26"/>
      <c r="B792" s="26"/>
      <c r="C792" s="26"/>
      <c r="D792" s="26"/>
    </row>
    <row r="793" ht="15.75" customHeight="1">
      <c r="A793" s="26"/>
      <c r="B793" s="26"/>
      <c r="C793" s="26"/>
      <c r="D793" s="26"/>
    </row>
    <row r="794" ht="15.75" customHeight="1">
      <c r="A794" s="26"/>
      <c r="B794" s="26"/>
      <c r="C794" s="26"/>
      <c r="D794" s="26"/>
    </row>
    <row r="795" ht="15.75" customHeight="1">
      <c r="A795" s="26"/>
      <c r="B795" s="26"/>
      <c r="C795" s="26"/>
      <c r="D795" s="26"/>
    </row>
    <row r="796" ht="15.75" customHeight="1">
      <c r="A796" s="26"/>
      <c r="B796" s="26"/>
      <c r="C796" s="26"/>
      <c r="D796" s="26"/>
    </row>
    <row r="797" ht="15.75" customHeight="1">
      <c r="A797" s="26"/>
      <c r="B797" s="26"/>
      <c r="C797" s="26"/>
      <c r="D797" s="26"/>
    </row>
    <row r="798" ht="15.75" customHeight="1">
      <c r="A798" s="26"/>
      <c r="B798" s="26"/>
      <c r="C798" s="26"/>
      <c r="D798" s="26"/>
    </row>
    <row r="799" ht="15.75" customHeight="1">
      <c r="A799" s="26"/>
      <c r="B799" s="26"/>
      <c r="C799" s="26"/>
      <c r="D799" s="26"/>
    </row>
    <row r="800" ht="15.75" customHeight="1">
      <c r="A800" s="26"/>
      <c r="B800" s="26"/>
      <c r="C800" s="26"/>
      <c r="D800" s="26"/>
    </row>
    <row r="801" ht="15.75" customHeight="1">
      <c r="A801" s="26"/>
      <c r="B801" s="26"/>
      <c r="C801" s="26"/>
      <c r="D801" s="26"/>
    </row>
    <row r="802" ht="15.75" customHeight="1">
      <c r="A802" s="26"/>
      <c r="B802" s="26"/>
      <c r="C802" s="26"/>
      <c r="D802" s="26"/>
    </row>
    <row r="803" ht="15.75" customHeight="1">
      <c r="A803" s="26"/>
      <c r="B803" s="26"/>
      <c r="C803" s="26"/>
      <c r="D803" s="26"/>
    </row>
    <row r="804" ht="15.75" customHeight="1">
      <c r="A804" s="26"/>
      <c r="B804" s="26"/>
      <c r="C804" s="26"/>
      <c r="D804" s="26"/>
    </row>
    <row r="805" ht="15.75" customHeight="1">
      <c r="A805" s="26"/>
      <c r="B805" s="26"/>
      <c r="C805" s="26"/>
      <c r="D805" s="26"/>
    </row>
    <row r="806" ht="15.75" customHeight="1">
      <c r="A806" s="26"/>
      <c r="B806" s="26"/>
      <c r="C806" s="26"/>
      <c r="D806" s="26"/>
    </row>
    <row r="807" ht="15.75" customHeight="1">
      <c r="A807" s="26"/>
      <c r="B807" s="26"/>
      <c r="C807" s="26"/>
      <c r="D807" s="26"/>
    </row>
    <row r="808" ht="15.75" customHeight="1">
      <c r="A808" s="26"/>
      <c r="B808" s="26"/>
      <c r="C808" s="26"/>
      <c r="D808" s="26"/>
    </row>
    <row r="809" ht="15.75" customHeight="1">
      <c r="A809" s="26"/>
      <c r="B809" s="26"/>
      <c r="C809" s="26"/>
      <c r="D809" s="26"/>
    </row>
    <row r="810" ht="15.75" customHeight="1">
      <c r="A810" s="26"/>
      <c r="B810" s="26"/>
      <c r="C810" s="26"/>
      <c r="D810" s="26"/>
    </row>
    <row r="811" ht="15.75" customHeight="1">
      <c r="A811" s="26"/>
      <c r="B811" s="26"/>
      <c r="C811" s="26"/>
      <c r="D811" s="26"/>
    </row>
    <row r="812" ht="15.75" customHeight="1">
      <c r="A812" s="26"/>
      <c r="B812" s="26"/>
      <c r="C812" s="26"/>
      <c r="D812" s="26"/>
    </row>
    <row r="813" ht="15.75" customHeight="1">
      <c r="A813" s="26"/>
      <c r="B813" s="26"/>
      <c r="C813" s="26"/>
      <c r="D813" s="26"/>
    </row>
    <row r="814" ht="15.75" customHeight="1">
      <c r="A814" s="26"/>
      <c r="B814" s="26"/>
      <c r="C814" s="26"/>
      <c r="D814" s="26"/>
    </row>
    <row r="815" ht="15.75" customHeight="1">
      <c r="A815" s="26"/>
      <c r="B815" s="26"/>
      <c r="C815" s="26"/>
      <c r="D815" s="26"/>
    </row>
    <row r="816" ht="15.75" customHeight="1">
      <c r="A816" s="26"/>
      <c r="B816" s="26"/>
      <c r="C816" s="26"/>
      <c r="D816" s="26"/>
    </row>
    <row r="817" ht="15.75" customHeight="1">
      <c r="A817" s="26"/>
      <c r="B817" s="26"/>
      <c r="C817" s="26"/>
      <c r="D817" s="26"/>
    </row>
    <row r="818" ht="15.75" customHeight="1">
      <c r="A818" s="26"/>
      <c r="B818" s="26"/>
      <c r="C818" s="26"/>
      <c r="D818" s="26"/>
    </row>
    <row r="819" ht="15.75" customHeight="1">
      <c r="A819" s="26"/>
      <c r="B819" s="26"/>
      <c r="C819" s="26"/>
      <c r="D819" s="26"/>
    </row>
    <row r="820" ht="15.75" customHeight="1">
      <c r="A820" s="26"/>
      <c r="B820" s="26"/>
      <c r="C820" s="26"/>
      <c r="D820" s="26"/>
    </row>
    <row r="821" ht="15.75" customHeight="1">
      <c r="A821" s="26"/>
      <c r="B821" s="26"/>
      <c r="C821" s="26"/>
      <c r="D821" s="26"/>
    </row>
    <row r="822" ht="15.75" customHeight="1">
      <c r="A822" s="26"/>
      <c r="B822" s="26"/>
      <c r="C822" s="26"/>
      <c r="D822" s="26"/>
    </row>
    <row r="823" ht="15.75" customHeight="1">
      <c r="A823" s="26"/>
      <c r="B823" s="26"/>
      <c r="C823" s="26"/>
      <c r="D823" s="26"/>
    </row>
    <row r="824" ht="15.75" customHeight="1">
      <c r="A824" s="26"/>
      <c r="B824" s="26"/>
      <c r="C824" s="26"/>
      <c r="D824" s="26"/>
    </row>
    <row r="825" ht="15.75" customHeight="1">
      <c r="A825" s="26"/>
      <c r="B825" s="26"/>
      <c r="C825" s="26"/>
      <c r="D825" s="26"/>
    </row>
    <row r="826" ht="15.75" customHeight="1">
      <c r="A826" s="26"/>
      <c r="B826" s="26"/>
      <c r="C826" s="26"/>
      <c r="D826" s="26"/>
    </row>
    <row r="827" ht="15.75" customHeight="1">
      <c r="A827" s="26"/>
      <c r="B827" s="26"/>
      <c r="C827" s="26"/>
      <c r="D827" s="26"/>
    </row>
    <row r="828" ht="15.75" customHeight="1">
      <c r="A828" s="26"/>
      <c r="B828" s="26"/>
      <c r="C828" s="26"/>
      <c r="D828" s="26"/>
    </row>
    <row r="829" ht="15.75" customHeight="1">
      <c r="A829" s="26"/>
      <c r="B829" s="26"/>
      <c r="C829" s="26"/>
      <c r="D829" s="26"/>
    </row>
    <row r="830" ht="15.75" customHeight="1">
      <c r="A830" s="26"/>
      <c r="B830" s="26"/>
      <c r="C830" s="26"/>
      <c r="D830" s="26"/>
    </row>
    <row r="831" ht="15.75" customHeight="1">
      <c r="A831" s="26"/>
      <c r="B831" s="26"/>
      <c r="C831" s="26"/>
      <c r="D831" s="26"/>
    </row>
    <row r="832" ht="15.75" customHeight="1">
      <c r="A832" s="26"/>
      <c r="B832" s="26"/>
      <c r="C832" s="26"/>
      <c r="D832" s="26"/>
    </row>
    <row r="833" ht="15.75" customHeight="1">
      <c r="A833" s="26"/>
      <c r="B833" s="26"/>
      <c r="C833" s="26"/>
      <c r="D833" s="26"/>
    </row>
    <row r="834" ht="15.75" customHeight="1">
      <c r="A834" s="26"/>
      <c r="B834" s="26"/>
      <c r="C834" s="26"/>
      <c r="D834" s="26"/>
    </row>
    <row r="835" ht="15.75" customHeight="1">
      <c r="A835" s="26"/>
      <c r="B835" s="26"/>
      <c r="C835" s="26"/>
      <c r="D835" s="26"/>
    </row>
    <row r="836" ht="15.75" customHeight="1">
      <c r="A836" s="26"/>
      <c r="B836" s="26"/>
      <c r="C836" s="26"/>
      <c r="D836" s="26"/>
    </row>
    <row r="837" ht="15.75" customHeight="1">
      <c r="A837" s="26"/>
      <c r="B837" s="26"/>
      <c r="C837" s="26"/>
      <c r="D837" s="26"/>
    </row>
    <row r="838" ht="15.75" customHeight="1">
      <c r="A838" s="26"/>
      <c r="B838" s="26"/>
      <c r="C838" s="26"/>
      <c r="D838" s="26"/>
    </row>
    <row r="839" ht="15.75" customHeight="1">
      <c r="A839" s="26"/>
      <c r="B839" s="26"/>
      <c r="C839" s="26"/>
      <c r="D839" s="26"/>
    </row>
    <row r="840" ht="15.75" customHeight="1">
      <c r="A840" s="26"/>
      <c r="B840" s="26"/>
      <c r="C840" s="26"/>
      <c r="D840" s="26"/>
    </row>
    <row r="841" ht="15.75" customHeight="1">
      <c r="A841" s="26"/>
      <c r="B841" s="26"/>
      <c r="C841" s="26"/>
      <c r="D841" s="26"/>
    </row>
    <row r="842" ht="15.75" customHeight="1">
      <c r="A842" s="26"/>
      <c r="B842" s="26"/>
      <c r="C842" s="26"/>
      <c r="D842" s="26"/>
    </row>
    <row r="843" ht="15.75" customHeight="1">
      <c r="A843" s="26"/>
      <c r="B843" s="26"/>
      <c r="C843" s="26"/>
      <c r="D843" s="26"/>
    </row>
    <row r="844" ht="15.75" customHeight="1">
      <c r="A844" s="26"/>
      <c r="B844" s="26"/>
      <c r="C844" s="26"/>
      <c r="D844" s="26"/>
    </row>
    <row r="845" ht="15.75" customHeight="1">
      <c r="A845" s="26"/>
      <c r="B845" s="26"/>
      <c r="C845" s="26"/>
      <c r="D845" s="26"/>
    </row>
    <row r="846" ht="15.75" customHeight="1">
      <c r="A846" s="26"/>
      <c r="B846" s="26"/>
      <c r="C846" s="26"/>
      <c r="D846" s="26"/>
    </row>
    <row r="847" ht="15.75" customHeight="1">
      <c r="A847" s="26"/>
      <c r="B847" s="26"/>
      <c r="C847" s="26"/>
      <c r="D847" s="26"/>
    </row>
    <row r="848" ht="15.75" customHeight="1">
      <c r="A848" s="26"/>
      <c r="B848" s="26"/>
      <c r="C848" s="26"/>
      <c r="D848" s="26"/>
    </row>
    <row r="849" ht="15.75" customHeight="1">
      <c r="A849" s="26"/>
      <c r="B849" s="26"/>
      <c r="C849" s="26"/>
      <c r="D849" s="26"/>
    </row>
    <row r="850" ht="15.75" customHeight="1">
      <c r="A850" s="26"/>
      <c r="B850" s="26"/>
      <c r="C850" s="26"/>
      <c r="D850" s="26"/>
    </row>
    <row r="851" ht="15.75" customHeight="1">
      <c r="A851" s="26"/>
      <c r="B851" s="26"/>
      <c r="C851" s="26"/>
      <c r="D851" s="26"/>
    </row>
    <row r="852" ht="15.75" customHeight="1">
      <c r="A852" s="26"/>
      <c r="B852" s="26"/>
      <c r="C852" s="26"/>
      <c r="D852" s="26"/>
    </row>
    <row r="853" ht="15.75" customHeight="1">
      <c r="A853" s="26"/>
      <c r="B853" s="26"/>
      <c r="C853" s="26"/>
      <c r="D853" s="26"/>
    </row>
    <row r="854" ht="15.75" customHeight="1">
      <c r="A854" s="26"/>
      <c r="B854" s="26"/>
      <c r="C854" s="26"/>
      <c r="D854" s="26"/>
    </row>
    <row r="855" ht="15.75" customHeight="1">
      <c r="A855" s="26"/>
      <c r="B855" s="26"/>
      <c r="C855" s="26"/>
      <c r="D855" s="26"/>
    </row>
    <row r="856" ht="15.75" customHeight="1">
      <c r="A856" s="26"/>
      <c r="B856" s="26"/>
      <c r="C856" s="26"/>
      <c r="D856" s="26"/>
    </row>
    <row r="857" ht="15.75" customHeight="1">
      <c r="A857" s="26"/>
      <c r="B857" s="26"/>
      <c r="C857" s="26"/>
      <c r="D857" s="26"/>
    </row>
    <row r="858" ht="15.75" customHeight="1">
      <c r="A858" s="26"/>
      <c r="B858" s="26"/>
      <c r="C858" s="26"/>
      <c r="D858" s="26"/>
    </row>
    <row r="859" ht="15.75" customHeight="1">
      <c r="A859" s="26"/>
      <c r="B859" s="26"/>
      <c r="C859" s="26"/>
      <c r="D859" s="26"/>
    </row>
    <row r="860" ht="15.75" customHeight="1">
      <c r="A860" s="26"/>
      <c r="B860" s="26"/>
      <c r="C860" s="26"/>
      <c r="D860" s="26"/>
    </row>
    <row r="861" ht="15.75" customHeight="1">
      <c r="A861" s="26"/>
      <c r="B861" s="26"/>
      <c r="C861" s="26"/>
      <c r="D861" s="26"/>
    </row>
    <row r="862" ht="15.75" customHeight="1">
      <c r="A862" s="26"/>
      <c r="B862" s="26"/>
      <c r="C862" s="26"/>
      <c r="D862" s="26"/>
    </row>
    <row r="863" ht="15.75" customHeight="1">
      <c r="A863" s="26"/>
      <c r="B863" s="26"/>
      <c r="C863" s="26"/>
      <c r="D863" s="26"/>
    </row>
    <row r="864" ht="15.75" customHeight="1">
      <c r="A864" s="26"/>
      <c r="B864" s="26"/>
      <c r="C864" s="26"/>
      <c r="D864" s="26"/>
    </row>
    <row r="865" ht="15.75" customHeight="1">
      <c r="A865" s="26"/>
      <c r="B865" s="26"/>
      <c r="C865" s="26"/>
      <c r="D865" s="26"/>
    </row>
    <row r="866" ht="15.75" customHeight="1">
      <c r="A866" s="26"/>
      <c r="B866" s="26"/>
      <c r="C866" s="26"/>
      <c r="D866" s="26"/>
    </row>
    <row r="867" ht="15.75" customHeight="1">
      <c r="A867" s="26"/>
      <c r="B867" s="26"/>
      <c r="C867" s="26"/>
      <c r="D867" s="26"/>
    </row>
    <row r="868" ht="15.75" customHeight="1">
      <c r="A868" s="26"/>
      <c r="B868" s="26"/>
      <c r="C868" s="26"/>
      <c r="D868" s="26"/>
    </row>
    <row r="869" ht="15.75" customHeight="1">
      <c r="A869" s="26"/>
      <c r="B869" s="26"/>
      <c r="C869" s="26"/>
      <c r="D869" s="26"/>
    </row>
    <row r="870" ht="15.75" customHeight="1">
      <c r="A870" s="26"/>
      <c r="B870" s="26"/>
      <c r="C870" s="26"/>
      <c r="D870" s="26"/>
    </row>
    <row r="871" ht="15.75" customHeight="1">
      <c r="A871" s="26"/>
      <c r="B871" s="26"/>
      <c r="C871" s="26"/>
      <c r="D871" s="26"/>
    </row>
    <row r="872" ht="15.75" customHeight="1">
      <c r="A872" s="26"/>
      <c r="B872" s="26"/>
      <c r="C872" s="26"/>
      <c r="D872" s="26"/>
    </row>
    <row r="873" ht="15.75" customHeight="1">
      <c r="A873" s="26"/>
      <c r="B873" s="26"/>
      <c r="C873" s="26"/>
      <c r="D873" s="26"/>
    </row>
    <row r="874" ht="15.75" customHeight="1">
      <c r="A874" s="26"/>
      <c r="B874" s="26"/>
      <c r="C874" s="26"/>
      <c r="D874" s="26"/>
    </row>
    <row r="875" ht="15.75" customHeight="1">
      <c r="A875" s="26"/>
      <c r="B875" s="26"/>
      <c r="C875" s="26"/>
      <c r="D875" s="26"/>
    </row>
    <row r="876" ht="15.75" customHeight="1">
      <c r="A876" s="26"/>
      <c r="B876" s="26"/>
      <c r="C876" s="26"/>
      <c r="D876" s="26"/>
    </row>
    <row r="877" ht="15.75" customHeight="1">
      <c r="A877" s="26"/>
      <c r="B877" s="26"/>
      <c r="C877" s="26"/>
      <c r="D877" s="26"/>
    </row>
    <row r="878" ht="15.75" customHeight="1">
      <c r="A878" s="26"/>
      <c r="B878" s="26"/>
      <c r="C878" s="26"/>
      <c r="D878" s="26"/>
    </row>
    <row r="879" ht="15.75" customHeight="1">
      <c r="A879" s="26"/>
      <c r="B879" s="26"/>
      <c r="C879" s="26"/>
      <c r="D879" s="26"/>
    </row>
    <row r="880" ht="15.75" customHeight="1">
      <c r="A880" s="26"/>
      <c r="B880" s="26"/>
      <c r="C880" s="26"/>
      <c r="D880" s="26"/>
    </row>
    <row r="881" ht="15.75" customHeight="1">
      <c r="A881" s="26"/>
      <c r="B881" s="26"/>
      <c r="C881" s="26"/>
      <c r="D881" s="26"/>
    </row>
    <row r="882" ht="15.75" customHeight="1">
      <c r="A882" s="26"/>
      <c r="B882" s="26"/>
      <c r="C882" s="26"/>
      <c r="D882" s="26"/>
    </row>
    <row r="883" ht="15.75" customHeight="1">
      <c r="A883" s="26"/>
      <c r="B883" s="26"/>
      <c r="C883" s="26"/>
      <c r="D883" s="26"/>
    </row>
    <row r="884" ht="15.75" customHeight="1">
      <c r="A884" s="26"/>
      <c r="B884" s="26"/>
      <c r="C884" s="26"/>
      <c r="D884" s="26"/>
    </row>
    <row r="885" ht="15.75" customHeight="1">
      <c r="A885" s="26"/>
      <c r="B885" s="26"/>
      <c r="C885" s="26"/>
      <c r="D885" s="26"/>
    </row>
    <row r="886" ht="15.75" customHeight="1">
      <c r="A886" s="26"/>
      <c r="B886" s="26"/>
      <c r="C886" s="26"/>
      <c r="D886" s="26"/>
    </row>
    <row r="887" ht="15.75" customHeight="1">
      <c r="A887" s="26"/>
      <c r="B887" s="26"/>
      <c r="C887" s="26"/>
      <c r="D887" s="26"/>
    </row>
    <row r="888" ht="15.75" customHeight="1">
      <c r="A888" s="26"/>
      <c r="B888" s="26"/>
      <c r="C888" s="26"/>
      <c r="D888" s="26"/>
    </row>
    <row r="889" ht="15.75" customHeight="1">
      <c r="A889" s="26"/>
      <c r="B889" s="26"/>
      <c r="C889" s="26"/>
      <c r="D889" s="26"/>
    </row>
    <row r="890" ht="15.75" customHeight="1">
      <c r="A890" s="26"/>
      <c r="B890" s="26"/>
      <c r="C890" s="26"/>
      <c r="D890" s="26"/>
    </row>
    <row r="891" ht="15.75" customHeight="1">
      <c r="A891" s="26"/>
      <c r="B891" s="26"/>
      <c r="C891" s="26"/>
      <c r="D891" s="26"/>
    </row>
    <row r="892" ht="15.75" customHeight="1">
      <c r="A892" s="26"/>
      <c r="B892" s="26"/>
      <c r="C892" s="26"/>
      <c r="D892" s="26"/>
    </row>
    <row r="893" ht="15.75" customHeight="1">
      <c r="A893" s="26"/>
      <c r="B893" s="26"/>
      <c r="C893" s="26"/>
      <c r="D893" s="26"/>
    </row>
    <row r="894" ht="15.75" customHeight="1">
      <c r="A894" s="26"/>
      <c r="B894" s="26"/>
      <c r="C894" s="26"/>
      <c r="D894" s="26"/>
    </row>
    <row r="895" ht="15.75" customHeight="1">
      <c r="A895" s="26"/>
      <c r="B895" s="26"/>
      <c r="C895" s="26"/>
      <c r="D895" s="26"/>
    </row>
    <row r="896" ht="15.75" customHeight="1">
      <c r="A896" s="26"/>
      <c r="B896" s="26"/>
      <c r="C896" s="26"/>
      <c r="D896" s="26"/>
    </row>
    <row r="897" ht="15.75" customHeight="1">
      <c r="A897" s="26"/>
      <c r="B897" s="26"/>
      <c r="C897" s="26"/>
      <c r="D897" s="26"/>
    </row>
    <row r="898" ht="15.75" customHeight="1">
      <c r="A898" s="26"/>
      <c r="B898" s="26"/>
      <c r="C898" s="26"/>
      <c r="D898" s="26"/>
    </row>
    <row r="899" ht="15.75" customHeight="1">
      <c r="A899" s="26"/>
      <c r="B899" s="26"/>
      <c r="C899" s="26"/>
      <c r="D899" s="26"/>
    </row>
    <row r="900" ht="15.75" customHeight="1">
      <c r="A900" s="26"/>
      <c r="B900" s="26"/>
      <c r="C900" s="26"/>
      <c r="D900" s="26"/>
    </row>
    <row r="901" ht="15.75" customHeight="1">
      <c r="A901" s="26"/>
      <c r="B901" s="26"/>
      <c r="C901" s="26"/>
      <c r="D901" s="26"/>
    </row>
    <row r="902" ht="15.75" customHeight="1">
      <c r="A902" s="26"/>
      <c r="B902" s="26"/>
      <c r="C902" s="26"/>
      <c r="D902" s="26"/>
    </row>
    <row r="903" ht="15.75" customHeight="1">
      <c r="A903" s="26"/>
      <c r="B903" s="26"/>
      <c r="C903" s="26"/>
      <c r="D903" s="26"/>
    </row>
    <row r="904" ht="15.75" customHeight="1">
      <c r="A904" s="26"/>
      <c r="B904" s="26"/>
      <c r="C904" s="26"/>
      <c r="D904" s="26"/>
    </row>
    <row r="905" ht="15.75" customHeight="1">
      <c r="A905" s="26"/>
      <c r="B905" s="26"/>
      <c r="C905" s="26"/>
      <c r="D905" s="26"/>
    </row>
    <row r="906" ht="15.75" customHeight="1">
      <c r="A906" s="26"/>
      <c r="B906" s="26"/>
      <c r="C906" s="26"/>
      <c r="D906" s="26"/>
    </row>
    <row r="907" ht="15.75" customHeight="1">
      <c r="A907" s="26"/>
      <c r="B907" s="26"/>
      <c r="C907" s="26"/>
      <c r="D907" s="26"/>
    </row>
    <row r="908" ht="15.75" customHeight="1">
      <c r="A908" s="26"/>
      <c r="B908" s="26"/>
      <c r="C908" s="26"/>
      <c r="D908" s="26"/>
    </row>
    <row r="909" ht="15.75" customHeight="1">
      <c r="A909" s="26"/>
      <c r="B909" s="26"/>
      <c r="C909" s="26"/>
      <c r="D909" s="26"/>
    </row>
    <row r="910" ht="15.75" customHeight="1">
      <c r="A910" s="26"/>
      <c r="B910" s="26"/>
      <c r="C910" s="26"/>
      <c r="D910" s="26"/>
    </row>
    <row r="911" ht="15.75" customHeight="1">
      <c r="A911" s="26"/>
      <c r="B911" s="26"/>
      <c r="C911" s="26"/>
      <c r="D911" s="26"/>
    </row>
    <row r="912" ht="15.75" customHeight="1">
      <c r="A912" s="26"/>
      <c r="B912" s="26"/>
      <c r="C912" s="26"/>
      <c r="D912" s="26"/>
    </row>
    <row r="913" ht="15.75" customHeight="1">
      <c r="A913" s="26"/>
      <c r="B913" s="26"/>
      <c r="C913" s="26"/>
      <c r="D913" s="26"/>
    </row>
    <row r="914" ht="15.75" customHeight="1">
      <c r="A914" s="26"/>
      <c r="B914" s="26"/>
      <c r="C914" s="26"/>
      <c r="D914" s="26"/>
    </row>
    <row r="915" ht="15.75" customHeight="1">
      <c r="A915" s="26"/>
      <c r="B915" s="26"/>
      <c r="C915" s="26"/>
      <c r="D915" s="26"/>
    </row>
    <row r="916" ht="15.75" customHeight="1">
      <c r="A916" s="26"/>
      <c r="B916" s="26"/>
      <c r="C916" s="26"/>
      <c r="D916" s="26"/>
    </row>
    <row r="917" ht="15.75" customHeight="1">
      <c r="A917" s="26"/>
      <c r="B917" s="26"/>
      <c r="C917" s="26"/>
      <c r="D917" s="26"/>
    </row>
    <row r="918" ht="15.75" customHeight="1">
      <c r="A918" s="26"/>
      <c r="B918" s="26"/>
      <c r="C918" s="26"/>
      <c r="D918" s="26"/>
    </row>
    <row r="919" ht="15.75" customHeight="1">
      <c r="A919" s="26"/>
      <c r="B919" s="26"/>
      <c r="C919" s="26"/>
      <c r="D919" s="26"/>
    </row>
    <row r="920" ht="15.75" customHeight="1">
      <c r="A920" s="26"/>
      <c r="B920" s="26"/>
      <c r="C920" s="26"/>
      <c r="D920" s="26"/>
    </row>
    <row r="921" ht="15.75" customHeight="1">
      <c r="A921" s="26"/>
      <c r="B921" s="26"/>
      <c r="C921" s="26"/>
      <c r="D921" s="26"/>
    </row>
    <row r="922" ht="15.75" customHeight="1">
      <c r="A922" s="26"/>
      <c r="B922" s="26"/>
      <c r="C922" s="26"/>
      <c r="D922" s="26"/>
    </row>
    <row r="923" ht="15.75" customHeight="1">
      <c r="A923" s="26"/>
      <c r="B923" s="26"/>
      <c r="C923" s="26"/>
      <c r="D923" s="26"/>
    </row>
    <row r="924" ht="15.75" customHeight="1">
      <c r="A924" s="26"/>
      <c r="B924" s="26"/>
      <c r="C924" s="26"/>
      <c r="D924" s="26"/>
    </row>
    <row r="925" ht="15.75" customHeight="1">
      <c r="A925" s="26"/>
      <c r="B925" s="26"/>
      <c r="C925" s="26"/>
      <c r="D925" s="26"/>
    </row>
    <row r="926" ht="15.75" customHeight="1">
      <c r="A926" s="26"/>
      <c r="B926" s="26"/>
      <c r="C926" s="26"/>
      <c r="D926" s="26"/>
    </row>
    <row r="927" ht="15.75" customHeight="1">
      <c r="A927" s="26"/>
      <c r="B927" s="26"/>
      <c r="C927" s="26"/>
      <c r="D927" s="26"/>
    </row>
    <row r="928" ht="15.75" customHeight="1">
      <c r="A928" s="26"/>
      <c r="B928" s="26"/>
      <c r="C928" s="26"/>
      <c r="D928" s="26"/>
    </row>
    <row r="929" ht="15.75" customHeight="1">
      <c r="A929" s="26"/>
      <c r="B929" s="26"/>
      <c r="C929" s="26"/>
      <c r="D929" s="26"/>
    </row>
    <row r="930" ht="15.75" customHeight="1">
      <c r="A930" s="26"/>
      <c r="B930" s="26"/>
      <c r="C930" s="26"/>
      <c r="D930" s="26"/>
    </row>
    <row r="931" ht="15.75" customHeight="1">
      <c r="A931" s="26"/>
      <c r="B931" s="26"/>
      <c r="C931" s="26"/>
      <c r="D931" s="26"/>
    </row>
    <row r="932" ht="15.75" customHeight="1">
      <c r="A932" s="26"/>
      <c r="B932" s="26"/>
      <c r="C932" s="26"/>
      <c r="D932" s="26"/>
    </row>
    <row r="933" ht="15.75" customHeight="1">
      <c r="A933" s="26"/>
      <c r="B933" s="26"/>
      <c r="C933" s="26"/>
      <c r="D933" s="26"/>
    </row>
    <row r="934" ht="15.75" customHeight="1">
      <c r="A934" s="26"/>
      <c r="B934" s="26"/>
      <c r="C934" s="26"/>
      <c r="D934" s="26"/>
    </row>
    <row r="935" ht="15.75" customHeight="1">
      <c r="A935" s="26"/>
      <c r="B935" s="26"/>
      <c r="C935" s="26"/>
      <c r="D935" s="26"/>
    </row>
    <row r="936" ht="15.75" customHeight="1">
      <c r="A936" s="26"/>
      <c r="B936" s="26"/>
      <c r="C936" s="26"/>
      <c r="D936" s="26"/>
    </row>
    <row r="937" ht="15.75" customHeight="1">
      <c r="A937" s="26"/>
      <c r="B937" s="26"/>
      <c r="C937" s="26"/>
      <c r="D937" s="26"/>
    </row>
    <row r="938" ht="15.75" customHeight="1">
      <c r="A938" s="26"/>
      <c r="B938" s="26"/>
      <c r="C938" s="26"/>
      <c r="D938" s="26"/>
    </row>
    <row r="939" ht="15.75" customHeight="1">
      <c r="A939" s="26"/>
      <c r="B939" s="26"/>
      <c r="C939" s="26"/>
      <c r="D939" s="26"/>
    </row>
    <row r="940" ht="15.75" customHeight="1">
      <c r="A940" s="26"/>
      <c r="B940" s="26"/>
      <c r="C940" s="26"/>
      <c r="D940" s="26"/>
    </row>
    <row r="941" ht="15.75" customHeight="1">
      <c r="A941" s="26"/>
      <c r="B941" s="26"/>
      <c r="C941" s="26"/>
      <c r="D941" s="26"/>
    </row>
    <row r="942" ht="15.75" customHeight="1">
      <c r="A942" s="26"/>
      <c r="B942" s="26"/>
      <c r="C942" s="26"/>
      <c r="D942" s="26"/>
    </row>
    <row r="943" ht="15.75" customHeight="1">
      <c r="A943" s="26"/>
      <c r="B943" s="26"/>
      <c r="C943" s="26"/>
      <c r="D943" s="26"/>
    </row>
    <row r="944" ht="15.75" customHeight="1">
      <c r="A944" s="26"/>
      <c r="B944" s="26"/>
      <c r="C944" s="26"/>
      <c r="D944" s="26"/>
    </row>
    <row r="945" ht="15.75" customHeight="1">
      <c r="A945" s="26"/>
      <c r="B945" s="26"/>
      <c r="C945" s="26"/>
      <c r="D945" s="26"/>
    </row>
    <row r="946" ht="15.75" customHeight="1">
      <c r="A946" s="26"/>
      <c r="B946" s="26"/>
      <c r="C946" s="26"/>
      <c r="D946" s="26"/>
    </row>
    <row r="947" ht="15.75" customHeight="1">
      <c r="A947" s="26"/>
      <c r="B947" s="26"/>
      <c r="C947" s="26"/>
      <c r="D947" s="26"/>
    </row>
    <row r="948" ht="15.75" customHeight="1">
      <c r="A948" s="26"/>
      <c r="B948" s="26"/>
      <c r="C948" s="26"/>
      <c r="D948" s="26"/>
    </row>
    <row r="949" ht="15.75" customHeight="1">
      <c r="A949" s="26"/>
      <c r="B949" s="26"/>
      <c r="C949" s="26"/>
      <c r="D949" s="26"/>
    </row>
    <row r="950" ht="15.75" customHeight="1">
      <c r="A950" s="26"/>
      <c r="B950" s="26"/>
      <c r="C950" s="26"/>
      <c r="D950" s="26"/>
    </row>
    <row r="951" ht="15.75" customHeight="1">
      <c r="A951" s="26"/>
      <c r="B951" s="26"/>
      <c r="C951" s="26"/>
      <c r="D951" s="26"/>
    </row>
    <row r="952" ht="15.75" customHeight="1">
      <c r="A952" s="26"/>
      <c r="B952" s="26"/>
      <c r="C952" s="26"/>
      <c r="D952" s="26"/>
    </row>
    <row r="953" ht="15.75" customHeight="1">
      <c r="A953" s="26"/>
      <c r="B953" s="26"/>
      <c r="C953" s="26"/>
      <c r="D953" s="26"/>
    </row>
    <row r="954" ht="15.75" customHeight="1">
      <c r="A954" s="26"/>
      <c r="B954" s="26"/>
      <c r="C954" s="26"/>
      <c r="D954" s="26"/>
    </row>
    <row r="955" ht="15.75" customHeight="1">
      <c r="A955" s="26"/>
      <c r="B955" s="26"/>
      <c r="C955" s="26"/>
      <c r="D955" s="26"/>
    </row>
    <row r="956" ht="15.75" customHeight="1">
      <c r="A956" s="26"/>
      <c r="B956" s="26"/>
      <c r="C956" s="26"/>
      <c r="D956" s="26"/>
    </row>
    <row r="957" ht="15.75" customHeight="1">
      <c r="A957" s="26"/>
      <c r="B957" s="26"/>
      <c r="C957" s="26"/>
      <c r="D957" s="26"/>
    </row>
    <row r="958" ht="15.75" customHeight="1">
      <c r="A958" s="26"/>
      <c r="B958" s="26"/>
      <c r="C958" s="26"/>
      <c r="D958" s="26"/>
    </row>
    <row r="959" ht="15.75" customHeight="1">
      <c r="A959" s="26"/>
      <c r="B959" s="26"/>
      <c r="C959" s="26"/>
      <c r="D959" s="26"/>
    </row>
    <row r="960" ht="15.75" customHeight="1">
      <c r="A960" s="26"/>
      <c r="B960" s="26"/>
      <c r="C960" s="26"/>
      <c r="D960" s="26"/>
    </row>
    <row r="961" ht="15.75" customHeight="1">
      <c r="A961" s="26"/>
      <c r="B961" s="26"/>
      <c r="C961" s="26"/>
      <c r="D961" s="26"/>
    </row>
    <row r="962" ht="15.75" customHeight="1">
      <c r="A962" s="26"/>
      <c r="B962" s="26"/>
      <c r="C962" s="26"/>
      <c r="D962" s="26"/>
    </row>
    <row r="963" ht="15.75" customHeight="1">
      <c r="A963" s="26"/>
      <c r="B963" s="26"/>
      <c r="C963" s="26"/>
      <c r="D963" s="26"/>
    </row>
    <row r="964" ht="15.75" customHeight="1">
      <c r="A964" s="26"/>
      <c r="B964" s="26"/>
      <c r="C964" s="26"/>
      <c r="D964" s="26"/>
    </row>
    <row r="965" ht="15.75" customHeight="1">
      <c r="A965" s="26"/>
      <c r="B965" s="26"/>
      <c r="C965" s="26"/>
      <c r="D965" s="26"/>
    </row>
    <row r="966" ht="15.75" customHeight="1">
      <c r="A966" s="26"/>
      <c r="B966" s="26"/>
      <c r="C966" s="26"/>
      <c r="D966" s="26"/>
    </row>
    <row r="967" ht="15.75" customHeight="1">
      <c r="A967" s="26"/>
      <c r="B967" s="26"/>
      <c r="C967" s="26"/>
      <c r="D967" s="26"/>
    </row>
    <row r="968" ht="15.75" customHeight="1">
      <c r="A968" s="26"/>
      <c r="B968" s="26"/>
      <c r="C968" s="26"/>
      <c r="D968" s="26"/>
    </row>
    <row r="969" ht="15.75" customHeight="1">
      <c r="A969" s="26"/>
      <c r="B969" s="26"/>
      <c r="C969" s="26"/>
      <c r="D969" s="26"/>
    </row>
    <row r="970" ht="15.75" customHeight="1">
      <c r="A970" s="26"/>
      <c r="B970" s="26"/>
      <c r="C970" s="26"/>
      <c r="D970" s="26"/>
    </row>
    <row r="971" ht="15.75" customHeight="1">
      <c r="A971" s="26"/>
      <c r="B971" s="26"/>
      <c r="C971" s="26"/>
      <c r="D971" s="26"/>
    </row>
    <row r="972" ht="15.75" customHeight="1">
      <c r="A972" s="26"/>
      <c r="B972" s="26"/>
      <c r="C972" s="26"/>
      <c r="D972" s="26"/>
    </row>
    <row r="973" ht="15.75" customHeight="1">
      <c r="A973" s="26"/>
      <c r="B973" s="26"/>
      <c r="C973" s="26"/>
      <c r="D973" s="26"/>
    </row>
    <row r="974" ht="15.75" customHeight="1">
      <c r="A974" s="26"/>
      <c r="B974" s="26"/>
      <c r="C974" s="26"/>
      <c r="D974" s="26"/>
    </row>
    <row r="975" ht="15.75" customHeight="1">
      <c r="A975" s="26"/>
      <c r="B975" s="26"/>
      <c r="C975" s="26"/>
      <c r="D975" s="26"/>
    </row>
    <row r="976" ht="15.75" customHeight="1">
      <c r="A976" s="26"/>
      <c r="B976" s="26"/>
      <c r="C976" s="26"/>
      <c r="D976" s="26"/>
    </row>
    <row r="977" ht="15.75" customHeight="1">
      <c r="A977" s="26"/>
      <c r="B977" s="26"/>
      <c r="C977" s="26"/>
      <c r="D977" s="26"/>
    </row>
    <row r="978" ht="15.75" customHeight="1">
      <c r="A978" s="26"/>
      <c r="B978" s="26"/>
      <c r="C978" s="26"/>
      <c r="D978" s="26"/>
    </row>
    <row r="979" ht="15.75" customHeight="1">
      <c r="A979" s="26"/>
      <c r="B979" s="26"/>
      <c r="C979" s="26"/>
      <c r="D979" s="26"/>
    </row>
    <row r="980" ht="15.75" customHeight="1">
      <c r="A980" s="26"/>
      <c r="B980" s="26"/>
      <c r="C980" s="26"/>
      <c r="D980" s="26"/>
    </row>
    <row r="981" ht="15.75" customHeight="1">
      <c r="A981" s="26"/>
      <c r="B981" s="26"/>
      <c r="C981" s="26"/>
      <c r="D981" s="26"/>
    </row>
    <row r="982" ht="15.75" customHeight="1">
      <c r="A982" s="26"/>
      <c r="B982" s="26"/>
      <c r="C982" s="26"/>
      <c r="D982" s="26"/>
    </row>
    <row r="983" ht="15.75" customHeight="1">
      <c r="A983" s="26"/>
      <c r="B983" s="26"/>
      <c r="C983" s="26"/>
      <c r="D983" s="26"/>
    </row>
    <row r="984" ht="15.75" customHeight="1">
      <c r="A984" s="26"/>
      <c r="B984" s="26"/>
      <c r="C984" s="26"/>
      <c r="D984" s="26"/>
    </row>
    <row r="985" ht="15.75" customHeight="1">
      <c r="A985" s="26"/>
      <c r="B985" s="26"/>
      <c r="C985" s="26"/>
      <c r="D985" s="26"/>
    </row>
    <row r="986" ht="15.75" customHeight="1">
      <c r="A986" s="26"/>
      <c r="B986" s="26"/>
      <c r="C986" s="26"/>
      <c r="D986" s="26"/>
    </row>
    <row r="987" ht="15.75" customHeight="1">
      <c r="A987" s="26"/>
      <c r="B987" s="26"/>
      <c r="C987" s="26"/>
      <c r="D987" s="26"/>
    </row>
    <row r="988" ht="15.75" customHeight="1">
      <c r="A988" s="26"/>
      <c r="B988" s="26"/>
      <c r="C988" s="26"/>
      <c r="D988" s="26"/>
    </row>
    <row r="989" ht="15.75" customHeight="1">
      <c r="A989" s="26"/>
      <c r="B989" s="26"/>
      <c r="C989" s="26"/>
      <c r="D989" s="26"/>
    </row>
    <row r="990" ht="15.75" customHeight="1">
      <c r="A990" s="26"/>
      <c r="B990" s="26"/>
      <c r="C990" s="26"/>
      <c r="D990" s="26"/>
    </row>
    <row r="991" ht="15.75" customHeight="1">
      <c r="A991" s="26"/>
      <c r="B991" s="26"/>
      <c r="C991" s="26"/>
      <c r="D991" s="26"/>
    </row>
    <row r="992" ht="15.75" customHeight="1">
      <c r="A992" s="26"/>
      <c r="B992" s="26"/>
      <c r="C992" s="26"/>
      <c r="D992" s="26"/>
    </row>
    <row r="993" ht="15.75" customHeight="1">
      <c r="A993" s="26"/>
      <c r="B993" s="26"/>
      <c r="C993" s="26"/>
      <c r="D993" s="26"/>
    </row>
    <row r="994" ht="15.75" customHeight="1">
      <c r="A994" s="26"/>
      <c r="B994" s="26"/>
      <c r="C994" s="26"/>
      <c r="D994" s="26"/>
    </row>
    <row r="995" ht="15.75" customHeight="1">
      <c r="A995" s="26"/>
      <c r="B995" s="26"/>
      <c r="C995" s="26"/>
      <c r="D995" s="26"/>
    </row>
    <row r="996" ht="15.75" customHeight="1">
      <c r="A996" s="26"/>
      <c r="B996" s="26"/>
      <c r="C996" s="26"/>
      <c r="D996" s="26"/>
    </row>
    <row r="997" ht="15.75" customHeight="1">
      <c r="A997" s="26"/>
      <c r="B997" s="26"/>
      <c r="C997" s="26"/>
      <c r="D997" s="26"/>
    </row>
    <row r="998" ht="15.75" customHeight="1">
      <c r="A998" s="26"/>
      <c r="B998" s="26"/>
      <c r="C998" s="26"/>
      <c r="D998" s="26"/>
    </row>
    <row r="999" ht="15.75" customHeight="1">
      <c r="A999" s="26"/>
      <c r="B999" s="26"/>
      <c r="C999" s="26"/>
      <c r="D999" s="26"/>
    </row>
    <row r="1000" ht="15.75" customHeight="1">
      <c r="A1000" s="26"/>
      <c r="B1000" s="26"/>
      <c r="C1000" s="26"/>
      <c r="D1000" s="26"/>
    </row>
  </sheetData>
  <conditionalFormatting sqref="B2:B46">
    <cfRule type="cellIs" dxfId="2" priority="1" operator="equal">
      <formula>"Ja"</formula>
    </cfRule>
  </conditionalFormatting>
  <conditionalFormatting sqref="B2:B46">
    <cfRule type="cellIs" dxfId="3" priority="2" operator="equal">
      <formula>"Nein"</formula>
    </cfRule>
  </conditionalFormatting>
  <conditionalFormatting sqref="D2">
    <cfRule type="cellIs" dxfId="4" priority="3" operator="equal">
      <formula>1</formula>
    </cfRule>
  </conditionalFormatting>
  <conditionalFormatting sqref="D2">
    <cfRule type="cellIs" dxfId="5" priority="4" operator="equal">
      <formula>0.8</formula>
    </cfRule>
  </conditionalFormatting>
  <conditionalFormatting sqref="D2">
    <cfRule type="cellIs" dxfId="6" priority="5" operator="equal">
      <formula>0.6</formula>
    </cfRule>
  </conditionalFormatting>
  <conditionalFormatting sqref="D2">
    <cfRule type="cellIs" dxfId="7" priority="6" operator="equal">
      <formula>0.4</formula>
    </cfRule>
  </conditionalFormatting>
  <conditionalFormatting sqref="D2">
    <cfRule type="cellIs" dxfId="8" priority="7" operator="equal">
      <formula>0.2</formula>
    </cfRule>
  </conditionalFormatting>
  <conditionalFormatting sqref="D2">
    <cfRule type="cellIs" dxfId="0" priority="8" operator="equal">
      <formula>0</formula>
    </cfRule>
  </conditionalFormatting>
  <conditionalFormatting sqref="B2:B46">
    <cfRule type="cellIs" dxfId="4" priority="9" operator="equal">
      <formula>"Ja"</formula>
    </cfRule>
  </conditionalFormatting>
  <conditionalFormatting sqref="C2:C46">
    <cfRule type="cellIs" dxfId="2" priority="10" operator="equal">
      <formula>"Ja"</formula>
    </cfRule>
  </conditionalFormatting>
  <conditionalFormatting sqref="C2:C46">
    <cfRule type="cellIs" dxfId="3" priority="11" operator="equal">
      <formula>"Nein"</formula>
    </cfRule>
  </conditionalFormatting>
  <conditionalFormatting sqref="C2:C46">
    <cfRule type="cellIs" dxfId="4" priority="12" operator="equal">
      <formula>"Ja"</formula>
    </cfRule>
  </conditionalFormatting>
  <dataValidations>
    <dataValidation type="list" allowBlank="1" showErrorMessage="1" sqref="B2:C46">
      <formula1>"Ja,Nein"</formula1>
    </dataValidation>
    <dataValidation type="list" allowBlank="1" showErrorMessage="1" sqref="D2">
      <formula1>"1.0,0.8,0.6,0.4,0.2,0.0"</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43" t="s">
        <v>151</v>
      </c>
    </row>
    <row r="2" ht="15.75" customHeight="1"/>
    <row r="3" ht="15.75" customHeight="1"/>
    <row r="4" ht="15.75" customHeight="1">
      <c r="B4" s="3" t="s">
        <v>152</v>
      </c>
      <c r="C4" s="3" t="s">
        <v>153</v>
      </c>
      <c r="D4" s="3" t="s">
        <v>154</v>
      </c>
      <c r="E4" s="3" t="s">
        <v>155</v>
      </c>
      <c r="F4" s="3" t="s">
        <v>156</v>
      </c>
      <c r="G4" s="3" t="s">
        <v>157</v>
      </c>
      <c r="H4" s="3" t="s">
        <v>158</v>
      </c>
    </row>
    <row r="5" ht="15.75" customHeight="1">
      <c r="A5" s="44">
        <v>0.16666666666666666</v>
      </c>
    </row>
    <row r="6" ht="15.75" customHeight="1">
      <c r="A6" s="44">
        <v>0.1875</v>
      </c>
    </row>
    <row r="7" ht="15.75" customHeight="1">
      <c r="A7" s="44">
        <v>0.208333333333333</v>
      </c>
    </row>
    <row r="8" ht="15.75" customHeight="1">
      <c r="A8" s="44">
        <v>0.229166666666667</v>
      </c>
    </row>
    <row r="9" ht="15.75" customHeight="1">
      <c r="A9" s="44">
        <v>0.25</v>
      </c>
    </row>
    <row r="10" ht="15.75" customHeight="1">
      <c r="A10" s="44">
        <v>0.270833333333334</v>
      </c>
    </row>
    <row r="11" ht="15.75" customHeight="1">
      <c r="A11" s="44">
        <v>0.291666666666667</v>
      </c>
    </row>
    <row r="12" ht="15.75" customHeight="1">
      <c r="A12" s="44">
        <v>0.3125</v>
      </c>
    </row>
    <row r="13" ht="15.75" customHeight="1">
      <c r="A13" s="44">
        <v>0.333333333333334</v>
      </c>
    </row>
    <row r="14" ht="15.75" customHeight="1">
      <c r="A14" s="44">
        <v>0.354166666666667</v>
      </c>
    </row>
    <row r="15" ht="15.75" customHeight="1">
      <c r="A15" s="44">
        <v>0.375</v>
      </c>
    </row>
    <row r="16" ht="15.75" customHeight="1">
      <c r="A16" s="44">
        <v>0.395833333333334</v>
      </c>
    </row>
    <row r="17" ht="15.75" customHeight="1">
      <c r="A17" s="44">
        <v>0.416666666666667</v>
      </c>
    </row>
    <row r="18" ht="15.75" customHeight="1">
      <c r="A18" s="44">
        <v>0.4375</v>
      </c>
    </row>
    <row r="19" ht="15.75" customHeight="1">
      <c r="A19" s="44">
        <v>0.458333333333334</v>
      </c>
    </row>
    <row r="20" ht="15.75" customHeight="1">
      <c r="A20" s="44">
        <v>0.479166666666667</v>
      </c>
    </row>
    <row r="21" ht="15.75" customHeight="1">
      <c r="A21" s="44">
        <v>0.5</v>
      </c>
    </row>
    <row r="22" ht="15.75" customHeight="1">
      <c r="A22" s="44">
        <v>0.520833333333334</v>
      </c>
    </row>
    <row r="23" ht="15.75" customHeight="1">
      <c r="A23" s="44">
        <v>0.541666666666667</v>
      </c>
    </row>
    <row r="24" ht="15.75" customHeight="1">
      <c r="A24" s="44">
        <v>0.5625</v>
      </c>
    </row>
    <row r="25" ht="15.75" customHeight="1">
      <c r="A25" s="44">
        <v>0.583333333333334</v>
      </c>
    </row>
    <row r="26" ht="15.75" customHeight="1">
      <c r="A26" s="44">
        <v>0.604166666666667</v>
      </c>
    </row>
    <row r="27" ht="15.75" customHeight="1">
      <c r="A27" s="44">
        <v>0.625000000000001</v>
      </c>
    </row>
    <row r="28" ht="15.75" customHeight="1">
      <c r="A28" s="44">
        <v>0.645833333333334</v>
      </c>
    </row>
    <row r="29" ht="15.75" customHeight="1">
      <c r="A29" s="44">
        <v>0.666666666666667</v>
      </c>
    </row>
    <row r="30" ht="15.75" customHeight="1">
      <c r="A30" s="44">
        <v>0.687500000000001</v>
      </c>
    </row>
    <row r="31" ht="15.75" customHeight="1">
      <c r="A31" s="44">
        <v>0.708333333333334</v>
      </c>
    </row>
    <row r="32" ht="15.75" customHeight="1">
      <c r="A32" s="44">
        <v>0.729166666666667</v>
      </c>
    </row>
    <row r="33" ht="15.75" customHeight="1">
      <c r="A33" s="44">
        <v>0.750000000000001</v>
      </c>
    </row>
    <row r="34" ht="15.75" customHeight="1">
      <c r="A34" s="44">
        <v>0.770833333333334</v>
      </c>
    </row>
    <row r="35" ht="15.75" customHeight="1">
      <c r="A35" s="44">
        <v>0.791666666666667</v>
      </c>
    </row>
    <row r="36" ht="15.75" customHeight="1">
      <c r="A36" s="44">
        <v>0.812500000000001</v>
      </c>
    </row>
    <row r="37" ht="15.75" customHeight="1">
      <c r="A37" s="44">
        <v>0.833333333333334</v>
      </c>
    </row>
    <row r="38" ht="15.75" customHeight="1">
      <c r="A38" s="44">
        <v>0.854166666666667</v>
      </c>
    </row>
    <row r="39" ht="15.75" customHeight="1">
      <c r="A39" s="44">
        <v>0.875000000000001</v>
      </c>
    </row>
    <row r="40" ht="15.75" customHeight="1">
      <c r="A40" s="44">
        <v>0.895833333333334</v>
      </c>
    </row>
    <row r="41" ht="15.75" customHeight="1">
      <c r="A41" s="44">
        <v>0.916666666666667</v>
      </c>
    </row>
    <row r="42" ht="15.75" customHeight="1">
      <c r="A42" s="44">
        <v>0.937500000000001</v>
      </c>
    </row>
    <row r="43" ht="15.75" customHeight="1">
      <c r="A43" s="44">
        <v>0.958333333333334</v>
      </c>
    </row>
    <row r="44" ht="15.75" customHeight="1">
      <c r="A44" s="44">
        <v>0.979166666666667</v>
      </c>
    </row>
    <row r="45" ht="15.75" customHeight="1">
      <c r="A45" s="44">
        <v>1.0</v>
      </c>
    </row>
    <row r="46" ht="15.75" customHeight="1">
      <c r="A46" s="44">
        <v>1.02083333333333</v>
      </c>
    </row>
    <row r="47" ht="15.75" customHeight="1">
      <c r="A47" s="44">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43" t="s">
        <v>151</v>
      </c>
    </row>
    <row r="2" ht="15.75" customHeight="1"/>
    <row r="3" ht="15.75" customHeight="1"/>
    <row r="4" ht="15.75" customHeight="1">
      <c r="B4" s="3" t="s">
        <v>152</v>
      </c>
      <c r="C4" s="3" t="s">
        <v>153</v>
      </c>
      <c r="D4" s="3" t="s">
        <v>154</v>
      </c>
      <c r="E4" s="3" t="s">
        <v>155</v>
      </c>
      <c r="F4" s="3" t="s">
        <v>156</v>
      </c>
      <c r="G4" s="3" t="s">
        <v>157</v>
      </c>
      <c r="H4" s="3" t="s">
        <v>158</v>
      </c>
    </row>
    <row r="5" ht="15.75" customHeight="1">
      <c r="A5" s="44">
        <v>0.16666666666666666</v>
      </c>
    </row>
    <row r="6" ht="15.75" customHeight="1">
      <c r="A6" s="44">
        <v>0.1875</v>
      </c>
    </row>
    <row r="7" ht="15.75" customHeight="1">
      <c r="A7" s="44">
        <v>0.208333333333333</v>
      </c>
    </row>
    <row r="8" ht="15.75" customHeight="1">
      <c r="A8" s="44">
        <v>0.229166666666667</v>
      </c>
    </row>
    <row r="9" ht="15.75" customHeight="1">
      <c r="A9" s="44">
        <v>0.25</v>
      </c>
    </row>
    <row r="10" ht="15.75" customHeight="1">
      <c r="A10" s="44">
        <v>0.270833333333334</v>
      </c>
    </row>
    <row r="11" ht="15.75" customHeight="1">
      <c r="A11" s="44">
        <v>0.291666666666667</v>
      </c>
    </row>
    <row r="12" ht="15.75" customHeight="1">
      <c r="A12" s="44">
        <v>0.3125</v>
      </c>
    </row>
    <row r="13" ht="15.75" customHeight="1">
      <c r="A13" s="44">
        <v>0.333333333333334</v>
      </c>
    </row>
    <row r="14" ht="15.75" customHeight="1">
      <c r="A14" s="44">
        <v>0.354166666666667</v>
      </c>
    </row>
    <row r="15" ht="15.75" customHeight="1">
      <c r="A15" s="44">
        <v>0.375</v>
      </c>
    </row>
    <row r="16" ht="15.75" customHeight="1">
      <c r="A16" s="44">
        <v>0.395833333333334</v>
      </c>
    </row>
    <row r="17" ht="15.75" customHeight="1">
      <c r="A17" s="44">
        <v>0.416666666666667</v>
      </c>
    </row>
    <row r="18" ht="15.75" customHeight="1">
      <c r="A18" s="44">
        <v>0.4375</v>
      </c>
    </row>
    <row r="19" ht="15.75" customHeight="1">
      <c r="A19" s="44">
        <v>0.458333333333334</v>
      </c>
    </row>
    <row r="20" ht="15.75" customHeight="1">
      <c r="A20" s="44">
        <v>0.479166666666667</v>
      </c>
    </row>
    <row r="21" ht="15.75" customHeight="1">
      <c r="A21" s="44">
        <v>0.5</v>
      </c>
    </row>
    <row r="22" ht="15.75" customHeight="1">
      <c r="A22" s="44">
        <v>0.520833333333334</v>
      </c>
    </row>
    <row r="23" ht="15.75" customHeight="1">
      <c r="A23" s="44">
        <v>0.541666666666667</v>
      </c>
    </row>
    <row r="24" ht="15.75" customHeight="1">
      <c r="A24" s="44">
        <v>0.5625</v>
      </c>
    </row>
    <row r="25" ht="15.75" customHeight="1">
      <c r="A25" s="44">
        <v>0.583333333333334</v>
      </c>
    </row>
    <row r="26" ht="15.75" customHeight="1">
      <c r="A26" s="44">
        <v>0.604166666666667</v>
      </c>
    </row>
    <row r="27" ht="15.75" customHeight="1">
      <c r="A27" s="44">
        <v>0.625000000000001</v>
      </c>
    </row>
    <row r="28" ht="15.75" customHeight="1">
      <c r="A28" s="44">
        <v>0.645833333333334</v>
      </c>
    </row>
    <row r="29" ht="15.75" customHeight="1">
      <c r="A29" s="44">
        <v>0.666666666666667</v>
      </c>
    </row>
    <row r="30" ht="15.75" customHeight="1">
      <c r="A30" s="44">
        <v>0.687500000000001</v>
      </c>
    </row>
    <row r="31" ht="15.75" customHeight="1">
      <c r="A31" s="44">
        <v>0.708333333333334</v>
      </c>
    </row>
    <row r="32" ht="15.75" customHeight="1">
      <c r="A32" s="44">
        <v>0.729166666666667</v>
      </c>
    </row>
    <row r="33" ht="15.75" customHeight="1">
      <c r="A33" s="44">
        <v>0.750000000000001</v>
      </c>
    </row>
    <row r="34" ht="15.75" customHeight="1">
      <c r="A34" s="44">
        <v>0.770833333333334</v>
      </c>
    </row>
    <row r="35" ht="15.75" customHeight="1">
      <c r="A35" s="44">
        <v>0.791666666666667</v>
      </c>
    </row>
    <row r="36" ht="15.75" customHeight="1">
      <c r="A36" s="44">
        <v>0.812500000000001</v>
      </c>
    </row>
    <row r="37" ht="15.75" customHeight="1">
      <c r="A37" s="44">
        <v>0.833333333333334</v>
      </c>
    </row>
    <row r="38" ht="15.75" customHeight="1">
      <c r="A38" s="44">
        <v>0.854166666666667</v>
      </c>
    </row>
    <row r="39" ht="15.75" customHeight="1">
      <c r="A39" s="44">
        <v>0.875000000000001</v>
      </c>
    </row>
    <row r="40" ht="15.75" customHeight="1">
      <c r="A40" s="44">
        <v>0.895833333333334</v>
      </c>
    </row>
    <row r="41" ht="15.75" customHeight="1">
      <c r="A41" s="44">
        <v>0.916666666666667</v>
      </c>
    </row>
    <row r="42" ht="15.75" customHeight="1">
      <c r="A42" s="44">
        <v>0.937500000000001</v>
      </c>
    </row>
    <row r="43" ht="15.75" customHeight="1">
      <c r="A43" s="44">
        <v>0.958333333333334</v>
      </c>
    </row>
    <row r="44" ht="15.75" customHeight="1">
      <c r="A44" s="44">
        <v>0.979166666666667</v>
      </c>
    </row>
    <row r="45" ht="15.75" customHeight="1">
      <c r="A45" s="44">
        <v>1.0</v>
      </c>
    </row>
    <row r="46" ht="15.75" customHeight="1">
      <c r="A46" s="44">
        <v>1.02083333333333</v>
      </c>
    </row>
    <row r="47" ht="15.75" customHeight="1">
      <c r="A47" s="44">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2020-04-19T13:33:28Z</dcterms:created>
  <dc:creator>Microsoft Office-Benutzer</dc:creator>
</cp:coreProperties>
</file>