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Dam\Desktop\"/>
    </mc:Choice>
  </mc:AlternateContent>
  <xr:revisionPtr revIDLastSave="0" documentId="13_ncr:1_{22126FC7-D2E5-47E4-A069-002D0B4B45DE}" xr6:coauthVersionLast="47" xr6:coauthVersionMax="47" xr10:uidLastSave="{00000000-0000-0000-0000-000000000000}"/>
  <bookViews>
    <workbookView xWindow="-108" yWindow="-108" windowWidth="23256" windowHeight="12576" activeTab="1" xr2:uid="{50F29292-BE80-0C47-A0D2-DD086CB3D310}"/>
  </bookViews>
  <sheets>
    <sheet name="ANLEITUNG" sheetId="10" r:id="rId1"/>
    <sheet name="Semesterplan" sheetId="7" r:id="rId2"/>
    <sheet name="Best-Practices" sheetId="2" r:id="rId3"/>
    <sheet name="COMMITTMENT" sheetId="9" r:id="rId4"/>
    <sheet name="KW 46"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V4" i="7" l="1"/>
  <c r="DO4" i="7"/>
  <c r="C11" i="10"/>
  <c r="C7" i="10"/>
  <c r="K37" i="7" a="1"/>
  <c r="K37" i="7" s="1"/>
  <c r="J37" i="7" a="1"/>
  <c r="J37" i="7" s="1"/>
  <c r="I37" i="7"/>
  <c r="K36" i="7" a="1"/>
  <c r="K36" i="7" s="1"/>
  <c r="J36" i="7" a="1"/>
  <c r="J36" i="7" s="1"/>
  <c r="I36" i="7"/>
  <c r="K12" i="7" a="1"/>
  <c r="K12" i="7" s="1"/>
  <c r="J12" i="7" a="1"/>
  <c r="J12" i="7" s="1"/>
  <c r="I12" i="7"/>
  <c r="K11" i="7" a="1"/>
  <c r="K11" i="7" s="1"/>
  <c r="J11" i="7" a="1"/>
  <c r="J11" i="7" s="1"/>
  <c r="I11" i="7"/>
  <c r="K77" i="7" a="1"/>
  <c r="K77" i="7" s="1"/>
  <c r="J77" i="7" a="1"/>
  <c r="J77" i="7" s="1"/>
  <c r="I77" i="7"/>
  <c r="K76" i="7" a="1"/>
  <c r="K76" i="7" s="1"/>
  <c r="J76" i="7" a="1"/>
  <c r="J76" i="7" s="1"/>
  <c r="I76" i="7"/>
  <c r="K75" i="7" a="1"/>
  <c r="K75" i="7" s="1"/>
  <c r="J75" i="7" a="1"/>
  <c r="J75" i="7" s="1"/>
  <c r="I75" i="7"/>
  <c r="K74" i="7" a="1"/>
  <c r="K74" i="7" s="1"/>
  <c r="J74" i="7" a="1"/>
  <c r="J74" i="7" s="1"/>
  <c r="I74" i="7"/>
  <c r="K73" i="7" a="1"/>
  <c r="K73" i="7" s="1"/>
  <c r="J73" i="7" a="1"/>
  <c r="J73" i="7" s="1"/>
  <c r="I73" i="7"/>
  <c r="K72" i="7" a="1"/>
  <c r="K72" i="7" s="1"/>
  <c r="J72" i="7" a="1"/>
  <c r="J72" i="7" s="1"/>
  <c r="I72" i="7"/>
  <c r="K71" i="7" a="1"/>
  <c r="K71" i="7" s="1"/>
  <c r="J71" i="7" a="1"/>
  <c r="J71" i="7" s="1"/>
  <c r="I71" i="7"/>
  <c r="K70" i="7" a="1"/>
  <c r="K70" i="7" s="1"/>
  <c r="J70" i="7" a="1"/>
  <c r="J70" i="7" s="1"/>
  <c r="I70" i="7"/>
  <c r="K69" i="7" a="1"/>
  <c r="K69" i="7" s="1"/>
  <c r="J69" i="7" a="1"/>
  <c r="J69" i="7" s="1"/>
  <c r="I69" i="7"/>
  <c r="AP68" i="7"/>
  <c r="AI68" i="7"/>
  <c r="AB68" i="7"/>
  <c r="U68" i="7"/>
  <c r="N68" i="7"/>
  <c r="G68" i="7"/>
  <c r="K66" i="7" a="1"/>
  <c r="K66" i="7" s="1"/>
  <c r="J66" i="7" a="1"/>
  <c r="J66" i="7" s="1"/>
  <c r="I66" i="7"/>
  <c r="K65" i="7" a="1"/>
  <c r="K65" i="7" s="1"/>
  <c r="J65" i="7" a="1"/>
  <c r="J65" i="7" s="1"/>
  <c r="I65" i="7"/>
  <c r="K64" i="7" a="1"/>
  <c r="K64" i="7" s="1"/>
  <c r="J64" i="7" a="1"/>
  <c r="J64" i="7" s="1"/>
  <c r="I64" i="7"/>
  <c r="K63" i="7" a="1"/>
  <c r="K63" i="7" s="1"/>
  <c r="J63" i="7" a="1"/>
  <c r="J63" i="7" s="1"/>
  <c r="I63"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AP57" i="7"/>
  <c r="AI57" i="7"/>
  <c r="AB57" i="7"/>
  <c r="U57" i="7"/>
  <c r="N57" i="7"/>
  <c r="G57" i="7"/>
  <c r="K17" i="7" a="1"/>
  <c r="K17" i="7" s="1"/>
  <c r="J17" i="7" a="1"/>
  <c r="J17" i="7" s="1"/>
  <c r="I17" i="7"/>
  <c r="K16" i="7" a="1"/>
  <c r="K16" i="7" s="1"/>
  <c r="J16" i="7" a="1"/>
  <c r="J16" i="7" s="1"/>
  <c r="I16" i="7"/>
  <c r="K55" i="7" a="1"/>
  <c r="K55" i="7" s="1"/>
  <c r="J55" i="7" a="1"/>
  <c r="J55" i="7" s="1"/>
  <c r="I55"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AP48" i="7"/>
  <c r="AI48" i="7"/>
  <c r="AB48" i="7"/>
  <c r="U48" i="7"/>
  <c r="N48" i="7"/>
  <c r="G48" i="7"/>
  <c r="K45" i="7" a="1"/>
  <c r="K45" i="7" s="1"/>
  <c r="J45" i="7" a="1"/>
  <c r="J45" i="7" s="1"/>
  <c r="I45" i="7"/>
  <c r="K44" i="7" a="1"/>
  <c r="K44" i="7" s="1"/>
  <c r="J44" i="7" a="1"/>
  <c r="J44" i="7" s="1"/>
  <c r="I44" i="7"/>
  <c r="K43" i="7" a="1"/>
  <c r="K43" i="7" s="1"/>
  <c r="J43" i="7" a="1"/>
  <c r="J43" i="7" s="1"/>
  <c r="I43" i="7"/>
  <c r="K42" i="7" a="1"/>
  <c r="K42" i="7" s="1"/>
  <c r="J42" i="7" a="1"/>
  <c r="J42" i="7" s="1"/>
  <c r="I42" i="7"/>
  <c r="K41" i="7" a="1"/>
  <c r="K41" i="7" s="1"/>
  <c r="J41" i="7" a="1"/>
  <c r="J41" i="7" s="1"/>
  <c r="I41" i="7"/>
  <c r="K40" i="7" a="1"/>
  <c r="K40" i="7" s="1"/>
  <c r="J40" i="7" a="1"/>
  <c r="J40" i="7" s="1"/>
  <c r="I40" i="7"/>
  <c r="AP39" i="7"/>
  <c r="AI39" i="7"/>
  <c r="N39" i="7"/>
  <c r="G39" i="7"/>
  <c r="C12" i="10"/>
  <c r="K22" i="7" a="1"/>
  <c r="K22" i="7" s="1"/>
  <c r="J22" i="7" a="1"/>
  <c r="J22" i="7" s="1"/>
  <c r="K21" i="7" a="1"/>
  <c r="K21" i="7" s="1"/>
  <c r="J21" i="7" a="1"/>
  <c r="J21" i="7" s="1"/>
  <c r="K20" i="7" a="1"/>
  <c r="K20" i="7" s="1"/>
  <c r="J20" i="7" a="1"/>
  <c r="J20" i="7" s="1"/>
  <c r="K19" i="7" a="1"/>
  <c r="K19" i="7" s="1"/>
  <c r="J19" i="7" a="1"/>
  <c r="J19" i="7" s="1"/>
  <c r="K18" i="7" a="1"/>
  <c r="K18" i="7" s="1"/>
  <c r="J18" i="7" a="1"/>
  <c r="J18" i="7" s="1"/>
  <c r="K15" i="7" a="1"/>
  <c r="K15" i="7" s="1"/>
  <c r="J15" i="7" a="1"/>
  <c r="J15" i="7" s="1"/>
  <c r="K35" i="7" a="1"/>
  <c r="K35" i="7" s="1"/>
  <c r="J35" i="7" a="1"/>
  <c r="J35" i="7" s="1"/>
  <c r="K34" i="7" a="1"/>
  <c r="K34" i="7" s="1"/>
  <c r="J34" i="7" a="1"/>
  <c r="J34"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26" i="7" a="1"/>
  <c r="K26" i="7" s="1"/>
  <c r="J26" i="7" a="1"/>
  <c r="J26" i="7" s="1"/>
  <c r="K25" i="7" a="1"/>
  <c r="K25" i="7" s="1"/>
  <c r="J25" i="7" a="1"/>
  <c r="J25"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N4" i="7"/>
  <c r="N14" i="7"/>
  <c r="G4" i="7"/>
  <c r="I35" i="7"/>
  <c r="I34" i="7"/>
  <c r="I33" i="7"/>
  <c r="I32" i="7"/>
  <c r="I31" i="7"/>
  <c r="I30" i="7"/>
  <c r="I29" i="7"/>
  <c r="I28" i="7"/>
  <c r="I27" i="7"/>
  <c r="I26" i="7"/>
  <c r="I25" i="7"/>
  <c r="I22" i="7"/>
  <c r="I21" i="7"/>
  <c r="I20" i="7"/>
  <c r="I19" i="7"/>
  <c r="I18" i="7"/>
  <c r="I15" i="7"/>
  <c r="I6" i="7"/>
  <c r="I7" i="7"/>
  <c r="I8" i="7"/>
  <c r="I9" i="7"/>
  <c r="I10" i="7"/>
  <c r="I5" i="7"/>
  <c r="N24" i="7"/>
  <c r="G24" i="7"/>
  <c r="G14" i="7"/>
  <c r="I57" i="7" l="1"/>
  <c r="I68" i="7"/>
  <c r="J68" i="7"/>
  <c r="K68" i="7"/>
  <c r="K57" i="7"/>
  <c r="J57" i="7"/>
  <c r="I48" i="7"/>
  <c r="I39" i="7"/>
  <c r="J48" i="7"/>
  <c r="K48" i="7"/>
  <c r="K39" i="7"/>
  <c r="J39" i="7"/>
  <c r="I24" i="7"/>
  <c r="J24" i="7"/>
  <c r="K24" i="7"/>
  <c r="I14" i="7"/>
  <c r="J14" i="7"/>
  <c r="K14"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<sst xmlns="http://schemas.openxmlformats.org/spreadsheetml/2006/main" count="489" uniqueCount="252">
  <si>
    <t>Semesterplan</t>
  </si>
  <si>
    <t>Fach</t>
  </si>
  <si>
    <t>Skript Niveau</t>
  </si>
  <si>
    <t>Rechnen Niveau</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</si>
  <si>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</si>
  <si>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</si>
  <si>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</si>
  <si>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</si>
  <si>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</si>
  <si>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</si>
  <si>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</si>
  <si>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</si>
  <si>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</si>
  <si>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</si>
  <si>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</si>
  <si>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</si>
  <si>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</si>
  <si>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</si>
  <si>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</si>
  <si>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</si>
  <si>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</si>
  <si>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</si>
  <si>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</si>
  <si>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</si>
  <si>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</si>
  <si>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</si>
  <si>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</si>
  <si>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</si>
  <si>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</si>
  <si>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</si>
  <si>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</si>
  <si>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</si>
  <si>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</si>
  <si>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</si>
  <si>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</si>
  <si>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</si>
  <si>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</si>
  <si>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</si>
  <si>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</si>
  <si>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</si>
  <si>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</si>
  <si>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</si>
  <si>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</si>
  <si>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</si>
  <si>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</si>
  <si>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</si>
  <si>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</si>
  <si>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</si>
  <si>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</si>
  <si>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</si>
  <si>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</si>
  <si>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</si>
  <si>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</si>
  <si>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</si>
  <si>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</si>
  <si>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</si>
  <si>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</si>
  <si>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</si>
  <si>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</si>
  <si>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</si>
  <si>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</si>
  <si>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</si>
  <si>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</si>
  <si>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</si>
  <si>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</si>
  <si>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</si>
  <si>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</si>
  <si>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</si>
  <si>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</si>
  <si>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</si>
  <si>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</si>
  <si>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</si>
  <si>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</si>
  <si>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</si>
  <si>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</si>
  <si>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</si>
  <si>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</si>
  <si>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</si>
  <si>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</si>
  <si>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</si>
  <si>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 xml:space="preserve">Corporate Finance </t>
  </si>
  <si>
    <t>Praxis des IBs</t>
  </si>
  <si>
    <t xml:space="preserve">Datenbanken Grundlagen </t>
  </si>
  <si>
    <t>Finanzbewertung</t>
  </si>
  <si>
    <t xml:space="preserve">Strategisches Management </t>
  </si>
  <si>
    <t xml:space="preserve">Mathematische Grundlagen </t>
  </si>
  <si>
    <t xml:space="preserve">öffentliches Recht </t>
  </si>
  <si>
    <t xml:space="preserve">1) Introduction </t>
  </si>
  <si>
    <t xml:space="preserve">2) Long-term Financing </t>
  </si>
  <si>
    <t xml:space="preserve">3) Capital Structure </t>
  </si>
  <si>
    <t xml:space="preserve">4) Dividend Policy </t>
  </si>
  <si>
    <t xml:space="preserve">5) Investment Valuation </t>
  </si>
  <si>
    <t xml:space="preserve">6) Mergers and Acquisition </t>
  </si>
  <si>
    <t xml:space="preserve">7) Real Options </t>
  </si>
  <si>
    <t xml:space="preserve">8) Corporate Governance </t>
  </si>
  <si>
    <t xml:space="preserve">1) Einführung in das Investmentbanking </t>
  </si>
  <si>
    <t xml:space="preserve">2) Asset Management </t>
  </si>
  <si>
    <t xml:space="preserve">3) Digitale Vertriebsansätze in der Baufinanzierung </t>
  </si>
  <si>
    <t xml:space="preserve">4) Nachhaltigkeit im Bankensektor </t>
  </si>
  <si>
    <t xml:space="preserve">5) IPO/Börsengänge </t>
  </si>
  <si>
    <t xml:space="preserve">6) Mehrfaktorenmodelle im Asset Management </t>
  </si>
  <si>
    <t xml:space="preserve">7) Risikomanagement und finanzielle Steuerung von Luftfahrtunternehmen </t>
  </si>
  <si>
    <t xml:space="preserve">8) Working Capital Management und Lieferantenfinanzierung </t>
  </si>
  <si>
    <t xml:space="preserve">1) Motivation </t>
  </si>
  <si>
    <t xml:space="preserve">2) Konzeptuelle Datenmodelle </t>
  </si>
  <si>
    <t xml:space="preserve">3) Logische Datenmodellierung </t>
  </si>
  <si>
    <t xml:space="preserve">4) Relationale Algebra </t>
  </si>
  <si>
    <t>5) Relationales Kalkül Einführung in SQL (1)</t>
  </si>
  <si>
    <t xml:space="preserve">6) Einführung in SQL (2) </t>
  </si>
  <si>
    <t>9) Physische Datenorganisation 1</t>
  </si>
  <si>
    <t xml:space="preserve">7) Einführung in SQL 3 </t>
  </si>
  <si>
    <t xml:space="preserve">8) Normalisierung </t>
  </si>
  <si>
    <t xml:space="preserve">10) Physische Datenorganisation 2 </t>
  </si>
  <si>
    <t xml:space="preserve">11) Physische Datenorganisation 3 </t>
  </si>
  <si>
    <t xml:space="preserve">12) Anfragebearbeitung </t>
  </si>
  <si>
    <t xml:space="preserve">13) Transaktionen </t>
  </si>
  <si>
    <t xml:space="preserve">1) Arbitrage </t>
  </si>
  <si>
    <t xml:space="preserve">2) Spekualtion und Information </t>
  </si>
  <si>
    <t xml:space="preserve">3) Bewertung festverzinslicher Wertpapiere </t>
  </si>
  <si>
    <t xml:space="preserve">4) Bewertung residualbestimmter Kontrakte </t>
  </si>
  <si>
    <t>5) Bewertung von Optionen (1)</t>
  </si>
  <si>
    <t>6) Bewertung von Optionen (2)</t>
  </si>
  <si>
    <t xml:space="preserve">1) Einführung in das strategische Management </t>
  </si>
  <si>
    <t xml:space="preserve">2) Phasen und instrumente der strategischen Planung </t>
  </si>
  <si>
    <t xml:space="preserve">3) Strategien für das Gesamtunternehmen </t>
  </si>
  <si>
    <t xml:space="preserve">4) Strategien für Geschäftseinheiten </t>
  </si>
  <si>
    <t xml:space="preserve">5) Strategien für Funktionsbereiche </t>
  </si>
  <si>
    <t xml:space="preserve">6) Strategieimplementierung </t>
  </si>
  <si>
    <t xml:space="preserve">7) Strategische Kontrolle </t>
  </si>
  <si>
    <t xml:space="preserve">Altklausuren </t>
  </si>
  <si>
    <t xml:space="preserve">1) Einführung in gewöhnliche Differentialgleichung </t>
  </si>
  <si>
    <t xml:space="preserve">2) Elementare Wahrscheinlichkeitsrechnung  </t>
  </si>
  <si>
    <t xml:space="preserve">3) Allgemeine Wahrscheinlichkeitstheorie </t>
  </si>
  <si>
    <t xml:space="preserve">4) Gemeinsame Verteilungen, Couplas und bedingte Verteilungen </t>
  </si>
  <si>
    <t xml:space="preserve">5) Momente einer Zufallsvariablen und bedingte Erwartungswerte </t>
  </si>
  <si>
    <t xml:space="preserve">6) Arbitrage und finanzmathematische Grundbegriffe </t>
  </si>
  <si>
    <t xml:space="preserve">7) Bewertung von Optionen in n-Perioden-Marktmodell </t>
  </si>
  <si>
    <t xml:space="preserve">8) Ein Blick auf das Black-Scholes-Modell </t>
  </si>
  <si>
    <t xml:space="preserve">9) Portfolio-Optimierung </t>
  </si>
  <si>
    <t xml:space="preserve">1) Grundlagen </t>
  </si>
  <si>
    <t xml:space="preserve">2) Öffentliches Bankrecht </t>
  </si>
  <si>
    <t xml:space="preserve">3) Entwicklung und Struktur der Bankenaufsicht </t>
  </si>
  <si>
    <t xml:space="preserve">4) Aufgaben und Subjekte der Bankenaufsicht </t>
  </si>
  <si>
    <t xml:space="preserve">5) Mittel und Instrumente der Bankenaufsicht </t>
  </si>
  <si>
    <t xml:space="preserve">6) Rechtsschutz gegen Maßnahmen der Bankenaufsicht </t>
  </si>
  <si>
    <t xml:space="preserve">7) Privates Bankrecht </t>
  </si>
  <si>
    <t xml:space="preserve">8) Währungsrecht </t>
  </si>
  <si>
    <t xml:space="preserve">9) Aktuelles </t>
  </si>
  <si>
    <t>KW 45</t>
  </si>
  <si>
    <t>KW 46</t>
  </si>
  <si>
    <t>KW 47</t>
  </si>
  <si>
    <t>KW 48</t>
  </si>
  <si>
    <t>KW 50  - Praxis des IBs Klausur!</t>
  </si>
  <si>
    <t>KW 51</t>
  </si>
  <si>
    <t>KW 52</t>
  </si>
  <si>
    <t>KW 01</t>
  </si>
  <si>
    <t>KW 02</t>
  </si>
  <si>
    <t>KW 03</t>
  </si>
  <si>
    <t>KW 09</t>
  </si>
  <si>
    <t xml:space="preserve">Also circa 19 LUs pro Woche </t>
  </si>
  <si>
    <t>KW 49 - Wdh</t>
  </si>
  <si>
    <t xml:space="preserve"> </t>
  </si>
  <si>
    <t xml:space="preserve">KW 04 </t>
  </si>
  <si>
    <t xml:space="preserve">KW 05 </t>
  </si>
  <si>
    <t>KW 06 - Wdh</t>
  </si>
  <si>
    <t xml:space="preserve">KW 07 - Wdh </t>
  </si>
  <si>
    <t xml:space="preserve">KW 08 - Klausur </t>
  </si>
  <si>
    <t>KW 9</t>
  </si>
  <si>
    <t>KW 7</t>
  </si>
  <si>
    <t>KW 8</t>
  </si>
  <si>
    <t xml:space="preserve">KW 9  </t>
  </si>
  <si>
    <t>04:00- 04:30</t>
  </si>
  <si>
    <t>04:30- 05:00</t>
  </si>
  <si>
    <t>05:00- 05:30</t>
  </si>
  <si>
    <t>05:30- 06:00</t>
  </si>
  <si>
    <t xml:space="preserve">06:00- 06:30 </t>
  </si>
  <si>
    <t>06:30- 07:00</t>
  </si>
  <si>
    <t>07:00- 07:30</t>
  </si>
  <si>
    <t>07:30- 08:00</t>
  </si>
  <si>
    <t>08:00- 08:30</t>
  </si>
  <si>
    <t>08:30- 09:00</t>
  </si>
  <si>
    <t>09:00- 09:30</t>
  </si>
  <si>
    <t>09:30- 10:00</t>
  </si>
  <si>
    <t>10:00- 10:30</t>
  </si>
  <si>
    <t>10:30- 11:00</t>
  </si>
  <si>
    <t>11:00- 11:30</t>
  </si>
  <si>
    <t>11:30- 12:00</t>
  </si>
  <si>
    <t>12:00- 12:30</t>
  </si>
  <si>
    <t>12:30- 13:00</t>
  </si>
  <si>
    <t>13:00- 13:30</t>
  </si>
  <si>
    <t>13:30- 14:00</t>
  </si>
  <si>
    <t>14:00- 14:30</t>
  </si>
  <si>
    <t>14:30- 15:00</t>
  </si>
  <si>
    <t>15:00- 15:30</t>
  </si>
  <si>
    <t>15:30- 16:00</t>
  </si>
  <si>
    <t>16:00- 16:30</t>
  </si>
  <si>
    <t>16:30- 17:00</t>
  </si>
  <si>
    <t>17:00- 17:30</t>
  </si>
  <si>
    <t xml:space="preserve">17:30- 18:00 </t>
  </si>
  <si>
    <t>18:00- 18:30</t>
  </si>
  <si>
    <t>18:30- 19:00</t>
  </si>
  <si>
    <t>19:00- 19:30</t>
  </si>
  <si>
    <t>19:30- 20:00</t>
  </si>
  <si>
    <t>20:00- 20:30</t>
  </si>
  <si>
    <t>20:30- 21:00</t>
  </si>
  <si>
    <t>21:00- 21:30</t>
  </si>
  <si>
    <t>21:30- 22:00</t>
  </si>
  <si>
    <t>22:00- 22:30</t>
  </si>
  <si>
    <t>22:30- 23:00</t>
  </si>
  <si>
    <t xml:space="preserve">23:00- 23:30 </t>
  </si>
  <si>
    <t>23:30- 00:00</t>
  </si>
  <si>
    <t>00:00- 00:30</t>
  </si>
  <si>
    <t>00:30- 01:00</t>
  </si>
  <si>
    <t>01:00- 01:30</t>
  </si>
  <si>
    <t>Montag 14/11/22</t>
  </si>
  <si>
    <t>Dienstag 15/11/22</t>
  </si>
  <si>
    <t>Mittwoch 16/11/22</t>
  </si>
  <si>
    <t>Donnerstag 17/11/22</t>
  </si>
  <si>
    <t>Freitag 18/11/22</t>
  </si>
  <si>
    <t>Samstag 19/11/22</t>
  </si>
  <si>
    <t>Sonntag 20/11/22</t>
  </si>
  <si>
    <t>Fußball (Uni Sport)</t>
  </si>
  <si>
    <t>Bewerbungsgespräch Sonnen GmbH</t>
  </si>
  <si>
    <t>TA-X Weekly (IAV)</t>
  </si>
  <si>
    <t>Call (IAV)</t>
  </si>
  <si>
    <t xml:space="preserve">Marktbewertung (IAV) </t>
  </si>
  <si>
    <t xml:space="preserve">Meeting </t>
  </si>
  <si>
    <t xml:space="preserve">Feiern </t>
  </si>
  <si>
    <t xml:space="preserve">WM: Quatar v Ecuador </t>
  </si>
  <si>
    <t xml:space="preserve">Haare Schneiden </t>
  </si>
  <si>
    <t>Wocheneinkauf (2)</t>
  </si>
  <si>
    <t>Wocheneinkauf (1)</t>
  </si>
  <si>
    <t xml:space="preserve">Mathe Übung (aktiv) </t>
  </si>
  <si>
    <t xml:space="preserve">Arbeit </t>
  </si>
  <si>
    <t xml:space="preserve">Arbeit (IAV) </t>
  </si>
  <si>
    <t xml:space="preserve">Kochen (1) </t>
  </si>
  <si>
    <t>Kochen (2)</t>
  </si>
  <si>
    <t>Putzen, Haushalt etc.</t>
  </si>
  <si>
    <t>Fußball (Uni)</t>
  </si>
  <si>
    <t>Arbeit (IAV)</t>
  </si>
  <si>
    <t xml:space="preserve">Lernen (Finanzbewertung)  </t>
  </si>
  <si>
    <t xml:space="preserve">Lernen          (Mathe) </t>
  </si>
  <si>
    <t xml:space="preserve">Lernen               (Praxis des Investmentbanking) </t>
  </si>
  <si>
    <t>Lernen    (Strategisches Management 1,5 &amp; Öffentl. Recht 1,5)</t>
  </si>
  <si>
    <t>Lernen                (Praxis des IBs)</t>
  </si>
  <si>
    <t>Lernen                    (Praxis des IBs 2 &amp; Datenbanken 1)</t>
  </si>
  <si>
    <t>Lernen      (Datenbanken)</t>
  </si>
  <si>
    <t>Lernen              (Praxis des IBs 1,5 &amp; Mathe 1,5)</t>
  </si>
  <si>
    <t xml:space="preserve">Lernen      (Corporate Finance)  </t>
  </si>
  <si>
    <t xml:space="preserve">Lernen             (Praxis des IB 1,5 &amp; Datenbanken 1,5) </t>
  </si>
  <si>
    <t xml:space="preserve">Nächste Woche planen </t>
  </si>
  <si>
    <t xml:space="preserve">Frühstück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</si>
</sst>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FF0000"/>
      <name val="Calibri"/>
      <family val="2"/>
      <scheme val="minor"/>
    </font>
  </fonts>
  <fills count="16">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theme="2"/>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1" tint="0.499984740745262"/>
        <bgColor indexed="64"/>
      </patternFill>
    </fill>
    <fill>
      <patternFill patternType="solid">
        <fgColor rgb="FF0070C0"/>
        <bgColor indexed="64"/>
      </patternFill>
    </fill>
    <fill>
      <patternFill patternType="solid">
        <fgColor theme="7" tint="-0.249977111117893"/>
        <bgColor indexed="64"/>
      </patternFill>
    </fill>
    <fill>
      <patternFill patternType="solid">
        <fgColor rgb="FFFF755A"/>
        <bgColor indexed="64"/>
      </patternFill>
    </fill>
  </fills>
  <borders count="1">
    <border>
      <left/>
      <right/>
      <top/>
      <bottom/>
      <diagonal/>
    </border>
  </borders>
  <cellStyleXfs count="1">
    <xf numFmtId="0" fontId="0" fillId="0" borderId="0"/>
  </cellStyleXfs>
  <cellXfs count="38">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xf numFmtId="9" fontId="5" fillId="0" borderId="0" xfId="0" applyNumberFormat="1" applyFont="1"/>
    <xf numFmtId="0" fontId="0" fillId="0" borderId="0" xfId="0" applyAlignment="1">
      <alignment horizontal="center" wrapText="1"/>
    </xf>
    <xf numFmtId="0" fontId="0" fillId="7" borderId="0" xfId="0" applyFill="1" applyAlignment="1">
      <alignment horizontal="center" wrapText="1"/>
    </xf>
    <xf numFmtId="0" fontId="0" fillId="6" borderId="0" xfId="0" applyFill="1" applyAlignment="1">
      <alignment horizontal="center" wrapText="1"/>
    </xf>
    <xf numFmtId="0" fontId="0" fillId="6" borderId="0" xfId="0" applyFill="1" applyAlignment="1">
      <alignment horizontal="center" wrapText="1"/>
    </xf>
    <xf numFmtId="0" fontId="0" fillId="8" borderId="0" xfId="0" applyFill="1" applyAlignment="1">
      <alignment horizontal="center" wrapText="1"/>
    </xf>
    <xf numFmtId="0" fontId="0" fillId="4" borderId="0" xfId="0" applyFill="1" applyAlignment="1">
      <alignment horizontal="center" wrapText="1"/>
    </xf>
    <xf numFmtId="0" fontId="0" fillId="9" borderId="0" xfId="0" applyFill="1" applyAlignment="1">
      <alignment horizontal="center" wrapText="1"/>
    </xf>
    <xf numFmtId="0" fontId="0" fillId="10" borderId="0" xfId="0" applyFill="1" applyAlignment="1">
      <alignment horizontal="center" wrapText="1"/>
    </xf>
    <xf numFmtId="0" fontId="0" fillId="11" borderId="0" xfId="0" applyFill="1" applyAlignment="1">
      <alignment horizontal="center" wrapText="1"/>
    </xf>
    <xf numFmtId="0" fontId="0" fillId="12" borderId="0" xfId="0" applyFill="1" applyAlignment="1">
      <alignment horizontal="center" wrapText="1"/>
    </xf>
    <xf numFmtId="0" fontId="0" fillId="13" borderId="0" xfId="0" applyFill="1" applyAlignment="1">
      <alignment horizontal="center" wrapText="1"/>
    </xf>
    <xf numFmtId="0" fontId="0" fillId="14" borderId="0" xfId="0" applyFill="1" applyAlignment="1">
      <alignment horizontal="center" wrapText="1"/>
    </xf>
    <xf numFmtId="0" fontId="0" fillId="15" borderId="0" xfId="0" applyFill="1" applyAlignment="1">
      <alignment horizontal="center" wrapText="1"/>
    </xf>
  </cellXfs>
  <cellStyles count="1">
    <cellStyle name="Normal" xfId="0" builtinId="0"/>
  </cellStyles>
  <dxfs count="371">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FDFF05"/>
      <color rgb="FF10FF07"/>
      <color rgb="FFFF755A"/>
      <color rgb="FFFFDE7F"/>
      <color rgb="FF00FF29"/>
      <color rgb="FF56FF5E"/>
      <color rgb="FFC4FF8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370">
  <autoFilter ref="A1:K46" xr:uid="{6E266E34-2786-2747-BCE7-51B74867A564}"/>
  <tableColumns count="11">
    <tableColumn id="1" xr3:uid="{95FD92F7-3DC8-704D-A103-A7EDDAB255AB}" name="Datum" dataDxfId="369"/>
    <tableColumn id="2" xr3:uid="{F464D510-8166-E740-A343-FB84BDEF877F}" name="Lerneinheiten durchgezogen" dataDxfId="368"/>
    <tableColumn id="3" xr3:uid="{75F52B08-1A00-0848-BBE6-1EDF7B31B1AD}" name="Tagesplan erstellt" dataDxfId="367"/>
    <tableColumn id="4" xr3:uid="{E6B18D89-E799-AD48-9DAA-37AEE1D29011}" name="Konzentrationslevel" dataDxfId="36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A13" sqref="A13"/>
    </sheetView>
  </sheetViews>
  <sheetFormatPr defaultColWidth="11.19921875" defaultRowHeight="15.6"/>
  <cols>
    <col min="1" max="1" width="11.796875" customWidth="1"/>
    <col min="2" max="2" width="62.69921875" customWidth="1"/>
  </cols>
  <sheetData>
    <row r="2" spans="1:4">
      <c r="C2" s="21" t="s">
        <v>64</v>
      </c>
    </row>
    <row r="3" spans="1:4">
      <c r="C3" s="20" t="s">
        <v>49</v>
      </c>
    </row>
    <row r="4" spans="1:4">
      <c r="C4" s="19" t="s">
        <v>63</v>
      </c>
    </row>
    <row r="5" spans="1:4">
      <c r="A5" s="3" t="s">
        <v>46</v>
      </c>
      <c r="B5" s="3" t="s">
        <v>47</v>
      </c>
      <c r="C5" s="3" t="s">
        <v>48</v>
      </c>
      <c r="D5" s="3" t="s">
        <v>50</v>
      </c>
    </row>
    <row r="6" spans="1:4">
      <c r="A6" t="s">
        <v>42</v>
      </c>
      <c r="B6" s="21" t="s">
        <v>45</v>
      </c>
      <c r="C6">
        <v>7</v>
      </c>
      <c r="D6" t="s">
        <v>79</v>
      </c>
    </row>
    <row r="7" spans="1:4">
      <c r="A7" t="s">
        <v>53</v>
      </c>
      <c r="B7" t="s">
        <v>54</v>
      </c>
      <c r="C7" s="19">
        <f>60</f>
        <v>60</v>
      </c>
    </row>
    <row r="8" spans="1:4">
      <c r="A8" t="s">
        <v>44</v>
      </c>
      <c r="B8" s="21" t="s">
        <v>43</v>
      </c>
      <c r="C8" s="9"/>
      <c r="D8" t="s">
        <v>67</v>
      </c>
    </row>
    <row r="9" spans="1:4">
      <c r="A9" t="s">
        <v>52</v>
      </c>
      <c r="B9" s="21" t="s">
        <v>65</v>
      </c>
      <c r="D9" t="s">
        <v>68</v>
      </c>
    </row>
    <row r="10" spans="1:4">
      <c r="A10" t="s">
        <v>56</v>
      </c>
      <c r="B10" t="s">
        <v>55</v>
      </c>
      <c r="C10" s="19">
        <v>9.5</v>
      </c>
      <c r="D10" t="s">
        <v>51</v>
      </c>
    </row>
    <row r="11" spans="1:4">
      <c r="A11" t="s">
        <v>57</v>
      </c>
      <c r="B11" t="s">
        <v>59</v>
      </c>
      <c r="C11" s="19">
        <f>60*3</f>
        <v>180</v>
      </c>
      <c r="D11" t="s">
        <v>58</v>
      </c>
    </row>
    <row r="12" spans="1:4">
      <c r="A12" t="s">
        <v>61</v>
      </c>
      <c r="B12" t="s">
        <v>60</v>
      </c>
      <c r="C12" s="20">
        <f>C11/C10</f>
        <v>18.94736842105263</v>
      </c>
      <c r="D12" t="s">
        <v>159</v>
      </c>
    </row>
    <row r="13" spans="1:4">
      <c r="A13" t="s">
        <v>66</v>
      </c>
      <c r="B13" t="s">
        <v>62</v>
      </c>
      <c r="D13" t="s">
        <v>69</v>
      </c>
    </row>
    <row r="14" spans="1:4">
      <c r="A14" t="s">
        <v>70</v>
      </c>
      <c r="B14" t="s">
        <v>71</v>
      </c>
      <c r="D14" t="s">
        <v>72</v>
      </c>
    </row>
    <row r="15" spans="1:4">
      <c r="A15" t="s">
        <v>73</v>
      </c>
      <c r="B15" s="21" t="s">
        <v>74</v>
      </c>
    </row>
    <row r="16" spans="1:4">
      <c r="A16" t="s">
        <v>77</v>
      </c>
      <c r="B16" s="21" t="s">
        <v>75</v>
      </c>
    </row>
    <row r="17" spans="1:2">
      <c r="A17" t="s">
        <v>78</v>
      </c>
      <c r="B17" t="s">
        <v>76</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A89"/>
  <sheetViews>
    <sheetView showGridLines="0" tabSelected="1" zoomScale="75" zoomScaleNormal="75" workbookViewId="0">
      <pane xSplit="12" topLeftCell="BZ1" activePane="topRight" state="frozen"/>
      <selection pane="topRight" activeCell="W1" sqref="W1"/>
    </sheetView>
  </sheetViews>
  <sheetFormatPr defaultColWidth="8.796875" defaultRowHeight="15.6" outlineLevelRow="1"/>
  <cols>
    <col min="3" max="3" width="9.5" bestFit="1" customWidth="1"/>
    <col min="4" max="4" width="13" bestFit="1" customWidth="1"/>
    <col min="5" max="5" width="4.796875" bestFit="1" customWidth="1"/>
    <col min="6" max="6" width="41.19921875" bestFit="1" customWidth="1"/>
    <col min="7" max="7" width="15.5" bestFit="1"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 min="69" max="69" width="2.5" customWidth="1"/>
    <col min="71" max="71" width="12.5" bestFit="1" customWidth="1"/>
    <col min="72" max="72" width="6.296875" customWidth="1"/>
    <col min="73" max="73" width="14.796875" bestFit="1" customWidth="1"/>
    <col min="74" max="74" width="6" customWidth="1"/>
    <col min="75" max="75" width="12.69921875" bestFit="1" customWidth="1"/>
    <col min="76" max="76" width="2.5" customWidth="1"/>
    <col min="78" max="78" width="12.5" bestFit="1" customWidth="1"/>
    <col min="79" max="79" width="6.296875" customWidth="1"/>
    <col min="80" max="80" width="14.796875" bestFit="1" customWidth="1"/>
    <col min="81" max="81" width="6" customWidth="1"/>
    <col min="82" max="82" width="12.69921875" bestFit="1" customWidth="1"/>
    <col min="83" max="83" width="2.5" customWidth="1"/>
    <col min="85" max="85" width="12.5" bestFit="1" customWidth="1"/>
    <col min="86" max="86" width="6.296875" customWidth="1"/>
    <col min="87" max="87" width="14.796875" bestFit="1" customWidth="1"/>
    <col min="88" max="88" width="6" customWidth="1"/>
    <col min="89" max="89" width="12.69921875" bestFit="1" customWidth="1"/>
    <col min="90" max="90" width="2.5" customWidth="1"/>
    <col min="92" max="92" width="12.5" bestFit="1" customWidth="1"/>
    <col min="93" max="93" width="6.296875" customWidth="1"/>
    <col min="94" max="94" width="14.796875" bestFit="1" customWidth="1"/>
    <col min="95" max="95" width="6" customWidth="1"/>
    <col min="96" max="96" width="12.69921875" bestFit="1" customWidth="1"/>
    <col min="97" max="97" width="2.5" customWidth="1"/>
    <col min="99" max="99" width="12.5" bestFit="1" customWidth="1"/>
    <col min="100" max="100" width="6.296875" customWidth="1"/>
    <col min="101" max="101" width="14.796875" bestFit="1" customWidth="1"/>
    <col min="102" max="102" width="6" customWidth="1"/>
    <col min="103" max="103" width="12.69921875" bestFit="1" customWidth="1"/>
    <col min="104" max="104" width="2.5" customWidth="1"/>
    <col min="106" max="106" width="12.5" bestFit="1" customWidth="1"/>
    <col min="107" max="107" width="6.296875" customWidth="1"/>
    <col min="108" max="108" width="14.796875" bestFit="1" customWidth="1"/>
    <col min="109" max="109" width="6" customWidth="1"/>
    <col min="110" max="110" width="12.69921875" bestFit="1" customWidth="1"/>
    <col min="111" max="111" width="2.5" customWidth="1"/>
    <col min="113" max="113" width="12.5" bestFit="1" customWidth="1"/>
    <col min="114" max="114" width="6.296875" customWidth="1"/>
    <col min="115" max="115" width="14.796875" bestFit="1" customWidth="1"/>
    <col min="116" max="116" width="6" customWidth="1"/>
    <col min="117" max="117" width="12.69921875" bestFit="1" customWidth="1"/>
    <col min="118" max="118" width="2.5" customWidth="1"/>
    <col min="120" max="120" width="12.5" bestFit="1" customWidth="1"/>
    <col min="121" max="121" width="6.296875" customWidth="1"/>
    <col min="122" max="122" width="14.796875" bestFit="1" customWidth="1"/>
    <col min="123" max="123" width="6" customWidth="1"/>
    <col min="124" max="124" width="12.69921875" bestFit="1" customWidth="1"/>
    <col min="125" max="125" width="2.5" customWidth="1"/>
    <col min="127" max="127" width="12.5" bestFit="1" customWidth="1"/>
    <col min="128" max="128" width="6.296875" customWidth="1"/>
    <col min="129" max="129" width="14.796875" bestFit="1" customWidth="1"/>
    <col min="130" max="130" width="6" customWidth="1"/>
    <col min="131" max="131" width="12.69921875" bestFit="1" customWidth="1"/>
  </cols>
  <sheetData>
    <row r="1" spans="2:131" ht="33.6">
      <c r="B1" s="5" t="s">
        <v>0</v>
      </c>
      <c r="D1" s="5"/>
      <c r="G1" s="15" t="s">
        <v>26</v>
      </c>
      <c r="I1" s="15" t="s">
        <v>26</v>
      </c>
      <c r="J1" s="15" t="s">
        <v>26</v>
      </c>
      <c r="K1" s="15" t="s">
        <v>26</v>
      </c>
    </row>
    <row r="2" spans="2:131">
      <c r="I2" s="23" t="s">
        <v>20</v>
      </c>
      <c r="J2" s="23"/>
      <c r="K2" s="23"/>
      <c r="L2" s="23"/>
      <c r="N2" s="23" t="s">
        <v>148</v>
      </c>
      <c r="O2" s="23"/>
      <c r="P2" s="23"/>
      <c r="Q2" s="23"/>
      <c r="R2" s="23"/>
      <c r="S2" s="23"/>
      <c r="U2" s="23" t="s">
        <v>149</v>
      </c>
      <c r="V2" s="23"/>
      <c r="W2" s="23"/>
      <c r="X2" s="23"/>
      <c r="Y2" s="23"/>
      <c r="Z2" s="23"/>
      <c r="AB2" s="23" t="s">
        <v>150</v>
      </c>
      <c r="AC2" s="23"/>
      <c r="AD2" s="23"/>
      <c r="AE2" s="23"/>
      <c r="AF2" s="23"/>
      <c r="AG2" s="23"/>
      <c r="AI2" s="23" t="s">
        <v>151</v>
      </c>
      <c r="AJ2" s="23"/>
      <c r="AK2" s="23"/>
      <c r="AL2" s="23"/>
      <c r="AM2" s="23"/>
      <c r="AN2" s="23"/>
      <c r="AP2" s="23" t="s">
        <v>160</v>
      </c>
      <c r="AQ2" s="23"/>
      <c r="AR2" s="23"/>
      <c r="AS2" s="23"/>
      <c r="AT2" s="23"/>
      <c r="AU2" s="23"/>
      <c r="AW2" s="23" t="s">
        <v>152</v>
      </c>
      <c r="AX2" s="23"/>
      <c r="AY2" s="23"/>
      <c r="AZ2" s="23"/>
      <c r="BA2" s="23"/>
      <c r="BB2" s="23"/>
      <c r="BC2" t="s">
        <v>161</v>
      </c>
      <c r="BD2" s="23" t="s">
        <v>153</v>
      </c>
      <c r="BE2" s="23"/>
      <c r="BF2" s="23"/>
      <c r="BG2" s="23"/>
      <c r="BH2" s="23"/>
      <c r="BI2" s="23"/>
      <c r="BK2" s="23" t="s">
        <v>154</v>
      </c>
      <c r="BL2" s="23"/>
      <c r="BM2" s="23"/>
      <c r="BN2" s="23"/>
      <c r="BO2" s="23"/>
      <c r="BP2" s="23"/>
      <c r="BR2" s="23" t="s">
        <v>155</v>
      </c>
      <c r="BS2" s="23"/>
      <c r="BT2" s="23"/>
      <c r="BU2" s="23"/>
      <c r="BV2" s="23"/>
      <c r="BW2" s="23"/>
      <c r="BY2" s="23" t="s">
        <v>156</v>
      </c>
      <c r="BZ2" s="23"/>
      <c r="CA2" s="23"/>
      <c r="CB2" s="23"/>
      <c r="CC2" s="23"/>
      <c r="CD2" s="23"/>
      <c r="CF2" s="23" t="s">
        <v>157</v>
      </c>
      <c r="CG2" s="23"/>
      <c r="CH2" s="23"/>
      <c r="CI2" s="23"/>
      <c r="CJ2" s="23"/>
      <c r="CK2" s="23"/>
      <c r="CM2" s="23" t="s">
        <v>162</v>
      </c>
      <c r="CN2" s="23"/>
      <c r="CO2" s="23"/>
      <c r="CP2" s="23"/>
      <c r="CQ2" s="23"/>
      <c r="CR2" s="23"/>
      <c r="CT2" s="23" t="s">
        <v>163</v>
      </c>
      <c r="CU2" s="23"/>
      <c r="CV2" s="23"/>
      <c r="CW2" s="23"/>
      <c r="CX2" s="23"/>
      <c r="CY2" s="23"/>
      <c r="DA2" s="23" t="s">
        <v>164</v>
      </c>
      <c r="DB2" s="23"/>
      <c r="DC2" s="23"/>
      <c r="DD2" s="23"/>
      <c r="DE2" s="23"/>
      <c r="DF2" s="23"/>
      <c r="DH2" s="23" t="s">
        <v>165</v>
      </c>
      <c r="DI2" s="23"/>
      <c r="DJ2" s="23"/>
      <c r="DK2" s="23"/>
      <c r="DL2" s="23"/>
      <c r="DM2" s="23"/>
      <c r="DO2" s="23" t="s">
        <v>166</v>
      </c>
      <c r="DP2" s="23"/>
      <c r="DQ2" s="23"/>
      <c r="DR2" s="23"/>
      <c r="DS2" s="23"/>
      <c r="DT2" s="23"/>
      <c r="DV2" s="23" t="s">
        <v>158</v>
      </c>
      <c r="DW2" s="23"/>
      <c r="DX2" s="23"/>
      <c r="DY2" s="23"/>
      <c r="DZ2" s="23"/>
      <c r="EA2" s="23"/>
    </row>
    <row r="3" spans="2:131">
      <c r="B3" s="6" t="s">
        <v>19</v>
      </c>
      <c r="C3" s="6" t="s">
        <v>1</v>
      </c>
      <c r="D3" s="6" t="s">
        <v>17</v>
      </c>
      <c r="E3" s="7" t="s">
        <v>23</v>
      </c>
      <c r="F3" s="6" t="s">
        <v>22</v>
      </c>
      <c r="G3" s="6" t="s">
        <v>24</v>
      </c>
      <c r="I3" s="7" t="s">
        <v>4</v>
      </c>
      <c r="J3" s="7" t="s">
        <v>2</v>
      </c>
      <c r="K3" s="7" t="s">
        <v>3</v>
      </c>
      <c r="L3" s="7" t="s">
        <v>5</v>
      </c>
      <c r="N3" s="6" t="s">
        <v>4</v>
      </c>
      <c r="O3" s="6" t="s">
        <v>2</v>
      </c>
      <c r="P3" s="6" t="s">
        <v>25</v>
      </c>
      <c r="Q3" s="6" t="s">
        <v>3</v>
      </c>
      <c r="R3" s="6" t="s">
        <v>25</v>
      </c>
      <c r="S3" s="6" t="s">
        <v>5</v>
      </c>
      <c r="U3" s="6" t="s">
        <v>4</v>
      </c>
      <c r="V3" s="6" t="s">
        <v>2</v>
      </c>
      <c r="W3" s="6" t="s">
        <v>25</v>
      </c>
      <c r="X3" s="6" t="s">
        <v>3</v>
      </c>
      <c r="Y3" s="6" t="s">
        <v>25</v>
      </c>
      <c r="Z3" s="6" t="s">
        <v>5</v>
      </c>
      <c r="AB3" s="6" t="s">
        <v>4</v>
      </c>
      <c r="AC3" s="6" t="s">
        <v>2</v>
      </c>
      <c r="AD3" s="6" t="s">
        <v>25</v>
      </c>
      <c r="AE3" s="6" t="s">
        <v>3</v>
      </c>
      <c r="AF3" s="6" t="s">
        <v>25</v>
      </c>
      <c r="AG3" s="6" t="s">
        <v>5</v>
      </c>
      <c r="AI3" s="6" t="s">
        <v>4</v>
      </c>
      <c r="AJ3" s="6" t="s">
        <v>2</v>
      </c>
      <c r="AK3" s="6" t="s">
        <v>25</v>
      </c>
      <c r="AL3" s="6" t="s">
        <v>3</v>
      </c>
      <c r="AM3" s="6" t="s">
        <v>25</v>
      </c>
      <c r="AN3" s="6" t="s">
        <v>5</v>
      </c>
      <c r="AP3" s="6" t="s">
        <v>4</v>
      </c>
      <c r="AQ3" s="6" t="s">
        <v>2</v>
      </c>
      <c r="AR3" s="6" t="s">
        <v>25</v>
      </c>
      <c r="AS3" s="6" t="s">
        <v>3</v>
      </c>
      <c r="AT3" s="6" t="s">
        <v>25</v>
      </c>
      <c r="AU3" s="6" t="s">
        <v>5</v>
      </c>
      <c r="AW3" s="6" t="s">
        <v>4</v>
      </c>
      <c r="AX3" s="6" t="s">
        <v>2</v>
      </c>
      <c r="AY3" s="6" t="s">
        <v>25</v>
      </c>
      <c r="AZ3" s="6" t="s">
        <v>3</v>
      </c>
      <c r="BA3" s="6" t="s">
        <v>25</v>
      </c>
      <c r="BB3" s="6" t="s">
        <v>5</v>
      </c>
      <c r="BD3" s="6" t="s">
        <v>4</v>
      </c>
      <c r="BE3" s="6" t="s">
        <v>2</v>
      </c>
      <c r="BF3" s="6" t="s">
        <v>25</v>
      </c>
      <c r="BG3" s="6" t="s">
        <v>3</v>
      </c>
      <c r="BH3" s="6" t="s">
        <v>25</v>
      </c>
      <c r="BI3" s="6" t="s">
        <v>5</v>
      </c>
      <c r="BK3" s="6" t="s">
        <v>4</v>
      </c>
      <c r="BL3" s="6" t="s">
        <v>2</v>
      </c>
      <c r="BM3" s="6" t="s">
        <v>25</v>
      </c>
      <c r="BN3" s="6" t="s">
        <v>3</v>
      </c>
      <c r="BO3" s="6" t="s">
        <v>25</v>
      </c>
      <c r="BP3" s="6" t="s">
        <v>5</v>
      </c>
      <c r="BR3" s="6" t="s">
        <v>4</v>
      </c>
      <c r="BS3" s="6" t="s">
        <v>2</v>
      </c>
      <c r="BT3" s="6" t="s">
        <v>25</v>
      </c>
      <c r="BU3" s="6" t="s">
        <v>3</v>
      </c>
      <c r="BV3" s="6" t="s">
        <v>25</v>
      </c>
      <c r="BW3" s="6" t="s">
        <v>5</v>
      </c>
      <c r="BY3" s="6" t="s">
        <v>4</v>
      </c>
      <c r="BZ3" s="6" t="s">
        <v>2</v>
      </c>
      <c r="CA3" s="6" t="s">
        <v>25</v>
      </c>
      <c r="CB3" s="6" t="s">
        <v>3</v>
      </c>
      <c r="CC3" s="6" t="s">
        <v>25</v>
      </c>
      <c r="CD3" s="6" t="s">
        <v>5</v>
      </c>
      <c r="CF3" s="6" t="s">
        <v>4</v>
      </c>
      <c r="CG3" s="6" t="s">
        <v>2</v>
      </c>
      <c r="CH3" s="6" t="s">
        <v>25</v>
      </c>
      <c r="CI3" s="6" t="s">
        <v>3</v>
      </c>
      <c r="CJ3" s="6" t="s">
        <v>25</v>
      </c>
      <c r="CK3" s="6" t="s">
        <v>5</v>
      </c>
      <c r="CM3" s="6" t="s">
        <v>4</v>
      </c>
      <c r="CN3" s="6" t="s">
        <v>2</v>
      </c>
      <c r="CO3" s="6" t="s">
        <v>25</v>
      </c>
      <c r="CP3" s="6" t="s">
        <v>3</v>
      </c>
      <c r="CQ3" s="6" t="s">
        <v>25</v>
      </c>
      <c r="CR3" s="6" t="s">
        <v>5</v>
      </c>
      <c r="CT3" s="6" t="s">
        <v>4</v>
      </c>
      <c r="CU3" s="6" t="s">
        <v>2</v>
      </c>
      <c r="CV3" s="6" t="s">
        <v>25</v>
      </c>
      <c r="CW3" s="6" t="s">
        <v>3</v>
      </c>
      <c r="CX3" s="6" t="s">
        <v>25</v>
      </c>
      <c r="CY3" s="6" t="s">
        <v>5</v>
      </c>
      <c r="DA3" s="6" t="s">
        <v>4</v>
      </c>
      <c r="DB3" s="6" t="s">
        <v>2</v>
      </c>
      <c r="DC3" s="6" t="s">
        <v>25</v>
      </c>
      <c r="DD3" s="6" t="s">
        <v>3</v>
      </c>
      <c r="DE3" s="6" t="s">
        <v>25</v>
      </c>
      <c r="DF3" s="6" t="s">
        <v>5</v>
      </c>
      <c r="DH3" s="6" t="s">
        <v>4</v>
      </c>
      <c r="DI3" s="6" t="s">
        <v>2</v>
      </c>
      <c r="DJ3" s="6" t="s">
        <v>25</v>
      </c>
      <c r="DK3" s="6" t="s">
        <v>3</v>
      </c>
      <c r="DL3" s="6" t="s">
        <v>25</v>
      </c>
      <c r="DM3" s="6" t="s">
        <v>5</v>
      </c>
      <c r="DO3" s="6" t="s">
        <v>4</v>
      </c>
      <c r="DP3" s="6" t="s">
        <v>2</v>
      </c>
      <c r="DQ3" s="6" t="s">
        <v>25</v>
      </c>
      <c r="DR3" s="6" t="s">
        <v>3</v>
      </c>
      <c r="DS3" s="6" t="s">
        <v>25</v>
      </c>
      <c r="DT3" s="6" t="s">
        <v>5</v>
      </c>
      <c r="DV3" s="6" t="s">
        <v>4</v>
      </c>
      <c r="DW3" s="6" t="s">
        <v>2</v>
      </c>
      <c r="DX3" s="6" t="s">
        <v>25</v>
      </c>
      <c r="DY3" s="6" t="s">
        <v>3</v>
      </c>
      <c r="DZ3" s="6" t="s">
        <v>25</v>
      </c>
      <c r="EA3" s="6" t="s">
        <v>5</v>
      </c>
    </row>
    <row r="4" spans="2:131">
      <c r="B4" t="s">
        <v>20</v>
      </c>
      <c r="C4" t="s">
        <v>80</v>
      </c>
      <c r="D4" s="22" t="s">
        <v>169</v>
      </c>
      <c r="E4" s="11">
        <v>3</v>
      </c>
      <c r="G4" s="12">
        <f>+SUM(G5:G10)</f>
        <v>0.90999999999999992</v>
      </c>
      <c r="I4" s="14">
        <f>+SUM(I5:I10)</f>
        <v>27</v>
      </c>
      <c r="J4" s="13">
        <f>+SUMPRODUCT(G5:G10,J5:J10)</f>
        <v>4.4999999999999998E-2</v>
      </c>
      <c r="K4" s="13">
        <f>+SUMPRODUCT(G5:G10,K5:K10)</f>
        <v>4.4999999999999998E-2</v>
      </c>
      <c r="L4" s="11"/>
      <c r="N4" s="14">
        <f>+SUM(N5:N10)</f>
        <v>0</v>
      </c>
      <c r="U4" s="14">
        <v>1.5</v>
      </c>
      <c r="AB4" s="14">
        <v>1.5</v>
      </c>
      <c r="AI4" s="14">
        <v>2</v>
      </c>
      <c r="AP4" s="14">
        <v>1.5</v>
      </c>
      <c r="AW4" s="14">
        <v>4.5</v>
      </c>
      <c r="BD4" s="14">
        <v>3</v>
      </c>
      <c r="BK4" s="14">
        <v>4.5</v>
      </c>
      <c r="BR4" s="14">
        <v>3</v>
      </c>
      <c r="BY4" s="14">
        <v>4.5</v>
      </c>
      <c r="CF4" s="14">
        <v>3</v>
      </c>
      <c r="CM4" s="14">
        <v>4.5</v>
      </c>
      <c r="CT4" s="14">
        <v>3</v>
      </c>
      <c r="DA4" s="14">
        <v>3</v>
      </c>
      <c r="DH4" s="14">
        <v>3</v>
      </c>
      <c r="DO4" s="14">
        <f>+SUM(DO5:DO10)</f>
        <v>0</v>
      </c>
      <c r="DV4" s="14">
        <f>+SUM(DV5:DV10)</f>
        <v>0</v>
      </c>
    </row>
    <row r="5" spans="2:131" outlineLevel="1">
      <c r="B5" t="s">
        <v>21</v>
      </c>
      <c r="C5" t="s">
        <v>80</v>
      </c>
      <c r="E5" s="11"/>
      <c r="F5" t="s">
        <v>87</v>
      </c>
      <c r="G5" s="12">
        <v>0.15</v>
      </c>
      <c r="I5" s="11">
        <f>+SUMIF($N$3:$ZZ$3,I$3,$N5:$ZZ5)</f>
        <v>4.5</v>
      </c>
      <c r="J5" s="13" cm="1">
        <f t="array" ref="J5">MAX(IF($N$3:$EH$3=$J$3,N5:EH5))</f>
        <v>0.2</v>
      </c>
      <c r="K5" s="13" cm="1">
        <f t="array" ref="K5">MAX(IF($N$3:$EH$3=$J$3,N5:EH5))</f>
        <v>0.2</v>
      </c>
      <c r="L5" s="11"/>
      <c r="O5" s="12">
        <v>0.2</v>
      </c>
      <c r="P5" s="12"/>
      <c r="Q5" s="12">
        <v>0.2</v>
      </c>
      <c r="R5" s="12"/>
      <c r="U5">
        <v>1.5</v>
      </c>
      <c r="V5" s="12"/>
      <c r="W5" s="12">
        <v>0.5</v>
      </c>
      <c r="X5" s="12"/>
      <c r="Y5" s="12">
        <v>0.5</v>
      </c>
      <c r="AC5" s="12"/>
      <c r="AD5" s="12">
        <v>0.5</v>
      </c>
      <c r="AE5" s="12"/>
      <c r="AF5" s="12">
        <v>0.5</v>
      </c>
      <c r="AJ5" s="12"/>
      <c r="AK5" s="12">
        <v>0.5</v>
      </c>
      <c r="AL5" s="12"/>
      <c r="AM5" s="12">
        <v>0.5</v>
      </c>
      <c r="AQ5" s="12"/>
      <c r="AR5" s="12">
        <v>0.5</v>
      </c>
      <c r="AS5" s="12"/>
      <c r="AT5" s="12">
        <v>0.5</v>
      </c>
      <c r="AX5" s="12"/>
      <c r="AY5" s="12">
        <v>0.5</v>
      </c>
      <c r="AZ5" s="12"/>
      <c r="BA5" s="12">
        <v>0.5</v>
      </c>
      <c r="BD5">
        <v>1.5</v>
      </c>
      <c r="BE5" s="12"/>
      <c r="BF5" s="12">
        <v>0.8</v>
      </c>
      <c r="BG5" s="12"/>
      <c r="BH5" s="12">
        <v>0.8</v>
      </c>
      <c r="BL5" s="12"/>
      <c r="BM5" s="12">
        <v>0.8</v>
      </c>
      <c r="BN5" s="12"/>
      <c r="BO5" s="12">
        <v>0.8</v>
      </c>
      <c r="BS5" s="12"/>
      <c r="BT5" s="12">
        <v>0.8</v>
      </c>
      <c r="BU5" s="12"/>
      <c r="BV5" s="12">
        <v>0.8</v>
      </c>
      <c r="BY5">
        <v>1.5</v>
      </c>
      <c r="BZ5" s="12"/>
      <c r="CA5" s="12">
        <v>1</v>
      </c>
      <c r="CB5" s="12"/>
      <c r="CC5" s="12">
        <v>1</v>
      </c>
      <c r="CG5" s="12"/>
      <c r="CH5" s="12">
        <v>1</v>
      </c>
      <c r="CI5" s="12"/>
      <c r="CJ5" s="12">
        <v>1</v>
      </c>
      <c r="CN5" s="12"/>
      <c r="CO5" s="12">
        <v>1</v>
      </c>
      <c r="CP5" s="12"/>
      <c r="CQ5" s="12">
        <v>1</v>
      </c>
      <c r="CU5" s="12"/>
      <c r="CV5" s="12">
        <v>1</v>
      </c>
      <c r="CW5" s="12"/>
      <c r="CX5" s="12">
        <v>1</v>
      </c>
      <c r="DB5" s="12"/>
      <c r="DC5" s="12">
        <v>1</v>
      </c>
      <c r="DD5" s="12"/>
      <c r="DE5" s="12">
        <v>1</v>
      </c>
      <c r="DI5" s="12"/>
      <c r="DJ5" s="12">
        <v>1</v>
      </c>
      <c r="DK5" s="12"/>
      <c r="DL5" s="12">
        <v>1</v>
      </c>
      <c r="DP5" s="12"/>
      <c r="DQ5" s="12">
        <v>1</v>
      </c>
      <c r="DR5" s="12"/>
      <c r="DS5" s="12">
        <v>1</v>
      </c>
      <c r="DW5" s="12"/>
      <c r="DX5" s="12"/>
      <c r="DY5" s="12"/>
      <c r="DZ5" s="12"/>
    </row>
    <row r="6" spans="2:131" outlineLevel="1">
      <c r="B6" t="s">
        <v>21</v>
      </c>
      <c r="C6" t="s">
        <v>80</v>
      </c>
      <c r="E6" s="11"/>
      <c r="F6" t="s">
        <v>88</v>
      </c>
      <c r="G6" s="12">
        <v>0.15</v>
      </c>
      <c r="I6" s="11">
        <f t="shared" ref="I6:I12" si="0">+SUMIF($N$3:$ZZ$3,I$3,$N6:$ZZ6)</f>
        <v>4.5</v>
      </c>
      <c r="J6" s="13" cm="1">
        <f t="array" ref="J6">MAX(IF($N$3:$EH$3=$J$3,N6:EH6))</f>
        <v>0.1</v>
      </c>
      <c r="K6" s="13" cm="1">
        <f t="array" ref="K6">MAX(IF($N$3:$EH$3=$J$3,N6:EH6))</f>
        <v>0.1</v>
      </c>
      <c r="L6" s="11"/>
      <c r="O6" s="12">
        <v>0.1</v>
      </c>
      <c r="P6" s="12"/>
      <c r="Q6" s="12">
        <v>0.1</v>
      </c>
      <c r="R6" s="12"/>
      <c r="V6" s="12"/>
      <c r="W6" s="12"/>
      <c r="X6" s="12"/>
      <c r="Y6" s="12"/>
      <c r="AB6">
        <v>1.5</v>
      </c>
      <c r="AC6" s="12"/>
      <c r="AD6" s="12">
        <v>0.5</v>
      </c>
      <c r="AE6" s="12"/>
      <c r="AF6" s="12">
        <v>0.5</v>
      </c>
      <c r="AJ6" s="12"/>
      <c r="AK6" s="12">
        <v>0.5</v>
      </c>
      <c r="AL6" s="12"/>
      <c r="AM6" s="12">
        <v>0.5</v>
      </c>
      <c r="AQ6" s="12"/>
      <c r="AR6" s="12">
        <v>0.5</v>
      </c>
      <c r="AS6" s="12"/>
      <c r="AT6" s="12">
        <v>0.5</v>
      </c>
      <c r="AX6" s="12"/>
      <c r="AY6" s="12">
        <v>0.5</v>
      </c>
      <c r="AZ6" s="12"/>
      <c r="BA6" s="12">
        <v>0.5</v>
      </c>
      <c r="BE6" s="12"/>
      <c r="BF6" s="12">
        <v>0.5</v>
      </c>
      <c r="BG6" s="12"/>
      <c r="BH6" s="12">
        <v>0.5</v>
      </c>
      <c r="BK6">
        <v>1.5</v>
      </c>
      <c r="BL6" s="12"/>
      <c r="BM6" s="12">
        <v>0.8</v>
      </c>
      <c r="BN6" s="12"/>
      <c r="BO6" s="12">
        <v>0.5</v>
      </c>
      <c r="BS6" s="12"/>
      <c r="BT6" s="12">
        <v>0.8</v>
      </c>
      <c r="BU6" s="12"/>
      <c r="BV6" s="12">
        <v>0.8</v>
      </c>
      <c r="BZ6" s="12"/>
      <c r="CA6" s="12">
        <v>0.8</v>
      </c>
      <c r="CB6" s="12"/>
      <c r="CC6" s="12">
        <v>0.8</v>
      </c>
      <c r="CF6">
        <v>1.5</v>
      </c>
      <c r="CG6" s="12"/>
      <c r="CH6" s="12">
        <v>1</v>
      </c>
      <c r="CI6" s="12"/>
      <c r="CJ6" s="12">
        <v>1</v>
      </c>
      <c r="CN6" s="12"/>
      <c r="CO6" s="12">
        <v>1</v>
      </c>
      <c r="CP6" s="12"/>
      <c r="CQ6" s="12">
        <v>1</v>
      </c>
      <c r="CU6" s="12"/>
      <c r="CV6" s="12">
        <v>1</v>
      </c>
      <c r="CW6" s="12"/>
      <c r="CX6" s="12">
        <v>1</v>
      </c>
      <c r="DB6" s="12"/>
      <c r="DC6" s="12">
        <v>1</v>
      </c>
      <c r="DD6" s="12"/>
      <c r="DE6" s="12">
        <v>1</v>
      </c>
      <c r="DI6" s="12"/>
      <c r="DJ6" s="12">
        <v>1</v>
      </c>
      <c r="DK6" s="12"/>
      <c r="DL6" s="12">
        <v>1</v>
      </c>
      <c r="DP6" s="12"/>
      <c r="DQ6" s="12">
        <v>1</v>
      </c>
      <c r="DR6" s="12"/>
      <c r="DS6" s="12">
        <v>1</v>
      </c>
      <c r="DW6" s="12"/>
      <c r="DX6" s="12"/>
      <c r="DY6" s="12"/>
      <c r="DZ6" s="12"/>
    </row>
    <row r="7" spans="2:131" outlineLevel="1">
      <c r="B7" t="s">
        <v>21</v>
      </c>
      <c r="C7" t="s">
        <v>80</v>
      </c>
      <c r="E7" s="11"/>
      <c r="F7" t="s">
        <v>89</v>
      </c>
      <c r="G7" s="12">
        <v>0.13</v>
      </c>
      <c r="I7" s="11">
        <f t="shared" si="0"/>
        <v>4.5</v>
      </c>
      <c r="J7" s="13" cm="1">
        <f t="array" ref="J7">MAX(IF($N$3:$EH$3=$J$3,N7:EH7))</f>
        <v>0</v>
      </c>
      <c r="K7" s="13" cm="1">
        <f t="array" ref="K7">MAX(IF($N$3:$EH$3=$J$3,N7:EH7))</f>
        <v>0</v>
      </c>
      <c r="L7" s="11"/>
      <c r="O7" s="12"/>
      <c r="P7" s="12"/>
      <c r="Q7" s="12"/>
      <c r="R7" s="12"/>
      <c r="V7" s="12"/>
      <c r="W7" s="12"/>
      <c r="X7" s="12"/>
      <c r="Y7" s="12"/>
      <c r="AC7" s="12"/>
      <c r="AD7" s="12"/>
      <c r="AE7" s="12"/>
      <c r="AF7" s="12"/>
      <c r="AI7">
        <v>1.5</v>
      </c>
      <c r="AJ7" s="12"/>
      <c r="AK7" s="12">
        <v>0.5</v>
      </c>
      <c r="AL7" s="12"/>
      <c r="AM7" s="12">
        <v>0.5</v>
      </c>
      <c r="AQ7" s="12"/>
      <c r="AR7" s="12">
        <v>0.5</v>
      </c>
      <c r="AS7" s="12"/>
      <c r="AT7" s="12">
        <v>0.5</v>
      </c>
      <c r="AX7" s="12"/>
      <c r="AY7" s="12">
        <v>0.5</v>
      </c>
      <c r="AZ7" s="12"/>
      <c r="BA7" s="12">
        <v>0.5</v>
      </c>
      <c r="BE7" s="12"/>
      <c r="BF7" s="12">
        <v>0.5</v>
      </c>
      <c r="BG7" s="12"/>
      <c r="BH7" s="12">
        <v>0.5</v>
      </c>
      <c r="BK7">
        <v>1.5</v>
      </c>
      <c r="BL7" s="12"/>
      <c r="BM7" s="12">
        <v>0.8</v>
      </c>
      <c r="BN7" s="12"/>
      <c r="BO7" s="12">
        <v>0.5</v>
      </c>
      <c r="BS7" s="12"/>
      <c r="BT7" s="12">
        <v>0.8</v>
      </c>
      <c r="BU7" s="12"/>
      <c r="BV7" s="12">
        <v>0.8</v>
      </c>
      <c r="BZ7" s="12"/>
      <c r="CA7" s="12">
        <v>0.8</v>
      </c>
      <c r="CB7" s="12"/>
      <c r="CC7" s="12">
        <v>0.8</v>
      </c>
      <c r="CF7">
        <v>1.5</v>
      </c>
      <c r="CG7" s="12"/>
      <c r="CH7" s="12">
        <v>1</v>
      </c>
      <c r="CI7" s="12"/>
      <c r="CJ7" s="12">
        <v>1</v>
      </c>
      <c r="CN7" s="12"/>
      <c r="CO7" s="12">
        <v>1</v>
      </c>
      <c r="CP7" s="12"/>
      <c r="CQ7" s="12">
        <v>1</v>
      </c>
      <c r="CU7" s="12"/>
      <c r="CV7" s="12">
        <v>1</v>
      </c>
      <c r="CW7" s="12"/>
      <c r="CX7" s="12">
        <v>1</v>
      </c>
      <c r="DB7" s="12"/>
      <c r="DC7" s="12">
        <v>1</v>
      </c>
      <c r="DD7" s="12"/>
      <c r="DE7" s="12">
        <v>1</v>
      </c>
      <c r="DI7" s="12"/>
      <c r="DJ7" s="12">
        <v>1</v>
      </c>
      <c r="DK7" s="12"/>
      <c r="DL7" s="12">
        <v>1</v>
      </c>
      <c r="DP7" s="12"/>
      <c r="DQ7" s="12">
        <v>1</v>
      </c>
      <c r="DR7" s="12"/>
      <c r="DS7" s="12">
        <v>1</v>
      </c>
      <c r="DW7" s="12"/>
      <c r="DX7" s="12"/>
      <c r="DY7" s="12"/>
      <c r="DZ7" s="12"/>
    </row>
    <row r="8" spans="2:131" outlineLevel="1">
      <c r="B8" t="s">
        <v>21</v>
      </c>
      <c r="C8" t="s">
        <v>80</v>
      </c>
      <c r="E8" s="11"/>
      <c r="F8" t="s">
        <v>90</v>
      </c>
      <c r="G8" s="12">
        <v>0.15</v>
      </c>
      <c r="I8" s="11">
        <f t="shared" si="0"/>
        <v>4.5</v>
      </c>
      <c r="J8" s="13" cm="1">
        <f t="array" ref="J8">MAX(IF($N$3:$EH$3=$J$3,N8:EH8))</f>
        <v>0</v>
      </c>
      <c r="K8" s="13" cm="1">
        <f t="array" ref="K8">MAX(IF($N$3:$EH$3=$J$3,N8:EH8))</f>
        <v>0</v>
      </c>
      <c r="L8" s="11"/>
      <c r="O8" s="12"/>
      <c r="P8" s="12"/>
      <c r="Q8" s="12"/>
      <c r="R8" s="12"/>
      <c r="V8" s="12"/>
      <c r="W8" s="12"/>
      <c r="X8" s="12"/>
      <c r="Y8" s="12"/>
      <c r="AC8" s="12"/>
      <c r="AD8" s="12"/>
      <c r="AE8" s="12"/>
      <c r="AF8" s="12"/>
      <c r="AJ8" s="12"/>
      <c r="AK8" s="12"/>
      <c r="AL8" s="12"/>
      <c r="AM8" s="12"/>
      <c r="AP8">
        <v>1.5</v>
      </c>
      <c r="AQ8" s="12"/>
      <c r="AR8" s="12">
        <v>0.5</v>
      </c>
      <c r="AS8" s="12"/>
      <c r="AT8" s="12">
        <v>0.5</v>
      </c>
      <c r="AX8" s="12"/>
      <c r="AY8" s="12">
        <v>0.5</v>
      </c>
      <c r="AZ8" s="12"/>
      <c r="BA8" s="12">
        <v>0.5</v>
      </c>
      <c r="BE8" s="12"/>
      <c r="BF8" s="12">
        <v>0.5</v>
      </c>
      <c r="BG8" s="12"/>
      <c r="BH8" s="12">
        <v>0.5</v>
      </c>
      <c r="BK8">
        <v>1.5</v>
      </c>
      <c r="BL8" s="12"/>
      <c r="BM8" s="12">
        <v>0.8</v>
      </c>
      <c r="BN8" s="12"/>
      <c r="BO8" s="12">
        <v>0.5</v>
      </c>
      <c r="BS8" s="12"/>
      <c r="BT8" s="12">
        <v>0.8</v>
      </c>
      <c r="BU8" s="12"/>
      <c r="BV8" s="12">
        <v>0.8</v>
      </c>
      <c r="BZ8" s="12"/>
      <c r="CA8" s="12">
        <v>0.8</v>
      </c>
      <c r="CB8" s="12"/>
      <c r="CC8" s="12">
        <v>0.8</v>
      </c>
      <c r="CG8" s="12"/>
      <c r="CH8" s="12">
        <v>0.8</v>
      </c>
      <c r="CI8" s="12"/>
      <c r="CJ8" s="12">
        <v>0.8</v>
      </c>
      <c r="CM8">
        <v>1.5</v>
      </c>
      <c r="CN8" s="12"/>
      <c r="CO8" s="12">
        <v>1</v>
      </c>
      <c r="CP8" s="12"/>
      <c r="CQ8" s="12">
        <v>1</v>
      </c>
      <c r="CU8" s="12"/>
      <c r="CV8" s="12">
        <v>1</v>
      </c>
      <c r="CW8" s="12"/>
      <c r="CX8" s="12">
        <v>1</v>
      </c>
      <c r="DB8" s="12"/>
      <c r="DC8" s="12">
        <v>1</v>
      </c>
      <c r="DD8" s="12"/>
      <c r="DE8" s="12">
        <v>1</v>
      </c>
      <c r="DI8" s="12"/>
      <c r="DJ8" s="12">
        <v>1</v>
      </c>
      <c r="DK8" s="12"/>
      <c r="DL8" s="12">
        <v>1</v>
      </c>
      <c r="DP8" s="12"/>
      <c r="DQ8" s="12">
        <v>1</v>
      </c>
      <c r="DR8" s="12"/>
      <c r="DS8" s="12">
        <v>1</v>
      </c>
      <c r="DW8" s="12"/>
      <c r="DX8" s="12"/>
      <c r="DY8" s="12"/>
      <c r="DZ8" s="12"/>
    </row>
    <row r="9" spans="2:131" outlineLevel="1">
      <c r="B9" t="s">
        <v>21</v>
      </c>
      <c r="C9" t="s">
        <v>80</v>
      </c>
      <c r="E9" s="11"/>
      <c r="F9" t="s">
        <v>91</v>
      </c>
      <c r="G9" s="12">
        <v>0.13</v>
      </c>
      <c r="I9" s="11">
        <f t="shared" si="0"/>
        <v>4.5</v>
      </c>
      <c r="J9" s="13" cm="1">
        <f t="array" ref="J9">MAX(IF($N$3:$EH$3=$J$3,N9:EH9))</f>
        <v>0</v>
      </c>
      <c r="K9" s="13" cm="1">
        <f t="array" ref="K9">MAX(IF($N$3:$EH$3=$J$3,N9:EH9))</f>
        <v>0</v>
      </c>
      <c r="L9" s="11"/>
      <c r="O9" s="12"/>
      <c r="P9" s="12"/>
      <c r="Q9" s="12"/>
      <c r="R9" s="12"/>
      <c r="V9" s="12"/>
      <c r="W9" s="12"/>
      <c r="X9" s="12"/>
      <c r="Y9" s="12"/>
      <c r="AC9" s="12"/>
      <c r="AD9" s="12"/>
      <c r="AE9" s="12"/>
      <c r="AF9" s="12"/>
      <c r="AJ9" s="12"/>
      <c r="AK9" s="12"/>
      <c r="AL9" s="12"/>
      <c r="AM9" s="12"/>
      <c r="AQ9" s="12"/>
      <c r="AR9" s="12"/>
      <c r="AS9" s="12"/>
      <c r="AT9" s="12"/>
      <c r="AW9">
        <v>1.5</v>
      </c>
      <c r="AX9" s="12"/>
      <c r="AY9" s="12">
        <v>0.5</v>
      </c>
      <c r="AZ9" s="12"/>
      <c r="BA9" s="12">
        <v>0.5</v>
      </c>
      <c r="BE9" s="12"/>
      <c r="BF9" s="12">
        <v>0.5</v>
      </c>
      <c r="BG9" s="12"/>
      <c r="BH9" s="12">
        <v>0.5</v>
      </c>
      <c r="BL9" s="12"/>
      <c r="BM9" s="12">
        <v>0.5</v>
      </c>
      <c r="BN9" s="12"/>
      <c r="BO9" s="12">
        <v>0.5</v>
      </c>
      <c r="BR9">
        <v>1.5</v>
      </c>
      <c r="BS9" s="12"/>
      <c r="BT9" s="12">
        <v>0.8</v>
      </c>
      <c r="BU9" s="12"/>
      <c r="BV9" s="12">
        <v>0.8</v>
      </c>
      <c r="BZ9" s="12"/>
      <c r="CA9" s="12">
        <v>0.8</v>
      </c>
      <c r="CB9" s="12"/>
      <c r="CC9" s="12">
        <v>0.8</v>
      </c>
      <c r="CG9" s="12"/>
      <c r="CH9" s="12">
        <v>0.8</v>
      </c>
      <c r="CI9" s="12"/>
      <c r="CJ9" s="12">
        <v>0.8</v>
      </c>
      <c r="CM9">
        <v>1.5</v>
      </c>
      <c r="CN9" s="12"/>
      <c r="CO9" s="12">
        <v>1</v>
      </c>
      <c r="CP9" s="12"/>
      <c r="CQ9" s="12">
        <v>1</v>
      </c>
      <c r="CU9" s="12"/>
      <c r="CV9" s="12">
        <v>1</v>
      </c>
      <c r="CW9" s="12"/>
      <c r="CX9" s="12">
        <v>1</v>
      </c>
      <c r="DB9" s="12"/>
      <c r="DC9" s="12">
        <v>1</v>
      </c>
      <c r="DD9" s="12"/>
      <c r="DE9" s="12">
        <v>1</v>
      </c>
      <c r="DI9" s="12"/>
      <c r="DJ9" s="12">
        <v>1</v>
      </c>
      <c r="DK9" s="12"/>
      <c r="DL9" s="12">
        <v>1</v>
      </c>
      <c r="DP9" s="12"/>
      <c r="DQ9" s="12">
        <v>1</v>
      </c>
      <c r="DR9" s="12"/>
      <c r="DS9" s="12">
        <v>1</v>
      </c>
      <c r="DW9" s="12"/>
      <c r="DX9" s="12"/>
      <c r="DY9" s="12"/>
      <c r="DZ9" s="12"/>
    </row>
    <row r="10" spans="2:131" outlineLevel="1">
      <c r="B10" t="s">
        <v>21</v>
      </c>
      <c r="C10" t="s">
        <v>80</v>
      </c>
      <c r="E10" s="11"/>
      <c r="F10" t="s">
        <v>92</v>
      </c>
      <c r="G10" s="12">
        <v>0.2</v>
      </c>
      <c r="I10" s="11">
        <f t="shared" si="0"/>
        <v>4.5</v>
      </c>
      <c r="J10" s="13" cm="1">
        <f t="array" ref="J10">MAX(IF($N$3:$EH$3=$J$3,N10:EH10))</f>
        <v>0</v>
      </c>
      <c r="K10" s="13" cm="1">
        <f t="array" ref="K10">MAX(IF($N$3:$EH$3=$J$3,N10:EH10))</f>
        <v>0</v>
      </c>
      <c r="L10" s="11"/>
      <c r="O10" s="12"/>
      <c r="P10" s="12"/>
      <c r="Q10" s="12"/>
      <c r="R10" s="12"/>
      <c r="V10" s="12"/>
      <c r="W10" s="12"/>
      <c r="X10" s="12"/>
      <c r="Y10" s="12"/>
      <c r="AC10" s="12"/>
      <c r="AD10" s="12"/>
      <c r="AE10" s="12"/>
      <c r="AF10" s="12"/>
      <c r="AJ10" s="12"/>
      <c r="AK10" s="12"/>
      <c r="AL10" s="12"/>
      <c r="AM10" s="12"/>
      <c r="AQ10" s="12"/>
      <c r="AR10" s="12"/>
      <c r="AS10" s="12"/>
      <c r="AT10" s="12"/>
      <c r="AW10">
        <v>1.5</v>
      </c>
      <c r="AX10" s="12"/>
      <c r="AY10" s="12">
        <v>0.5</v>
      </c>
      <c r="AZ10" s="12"/>
      <c r="BA10" s="12">
        <v>0.5</v>
      </c>
      <c r="BE10" s="12"/>
      <c r="BF10" s="12">
        <v>0.5</v>
      </c>
      <c r="BG10" s="12"/>
      <c r="BH10" s="12">
        <v>0.5</v>
      </c>
      <c r="BL10" s="12"/>
      <c r="BM10" s="12">
        <v>0.5</v>
      </c>
      <c r="BN10" s="12"/>
      <c r="BO10" s="12">
        <v>0.5</v>
      </c>
      <c r="BR10">
        <v>1.5</v>
      </c>
      <c r="BS10" s="12"/>
      <c r="BT10" s="12">
        <v>0.8</v>
      </c>
      <c r="BU10" s="12"/>
      <c r="BV10" s="12">
        <v>0.8</v>
      </c>
      <c r="BZ10" s="12"/>
      <c r="CA10" s="12">
        <v>0.8</v>
      </c>
      <c r="CB10" s="12"/>
      <c r="CC10" s="12">
        <v>0.8</v>
      </c>
      <c r="CG10" s="12"/>
      <c r="CH10" s="12">
        <v>0.8</v>
      </c>
      <c r="CI10" s="12"/>
      <c r="CJ10" s="12">
        <v>0.8</v>
      </c>
      <c r="CM10">
        <v>1.5</v>
      </c>
      <c r="CN10" s="12"/>
      <c r="CO10" s="12">
        <v>1</v>
      </c>
      <c r="CP10" s="12"/>
      <c r="CQ10" s="12">
        <v>1</v>
      </c>
      <c r="CU10" s="12"/>
      <c r="CV10" s="12">
        <v>1</v>
      </c>
      <c r="CW10" s="12"/>
      <c r="CX10" s="12">
        <v>1</v>
      </c>
      <c r="DB10" s="12"/>
      <c r="DC10" s="12">
        <v>1</v>
      </c>
      <c r="DD10" s="12"/>
      <c r="DE10" s="12">
        <v>1</v>
      </c>
      <c r="DI10" s="12"/>
      <c r="DJ10" s="12">
        <v>1</v>
      </c>
      <c r="DK10" s="12"/>
      <c r="DL10" s="12">
        <v>1</v>
      </c>
      <c r="DP10" s="12"/>
      <c r="DQ10" s="12">
        <v>1</v>
      </c>
      <c r="DR10" s="12"/>
      <c r="DS10" s="12">
        <v>1</v>
      </c>
      <c r="DW10" s="12"/>
      <c r="DX10" s="12"/>
      <c r="DY10" s="12"/>
      <c r="DZ10" s="12"/>
    </row>
    <row r="11" spans="2:131" outlineLevel="1">
      <c r="B11" t="s">
        <v>21</v>
      </c>
      <c r="C11" t="s">
        <v>80</v>
      </c>
      <c r="E11" s="11"/>
      <c r="F11" t="s">
        <v>93</v>
      </c>
      <c r="G11" s="24">
        <v>0.15</v>
      </c>
      <c r="I11" s="11">
        <f t="shared" si="0"/>
        <v>4.5</v>
      </c>
      <c r="J11" s="13" cm="1">
        <f t="array" ref="J11">MAX(IF($N$3:$EH$3=$J$3,N11:EH11))</f>
        <v>0</v>
      </c>
      <c r="K11" s="13" cm="1">
        <f t="array" ref="K11">MAX(IF($N$3:$EH$3=$J$3,N11:EH11))</f>
        <v>0</v>
      </c>
      <c r="L11" s="11"/>
      <c r="O11" s="12"/>
      <c r="P11" s="12"/>
      <c r="Q11" s="12"/>
      <c r="R11" s="12"/>
      <c r="V11" s="12"/>
      <c r="W11" s="12"/>
      <c r="X11" s="12"/>
      <c r="Y11" s="12"/>
      <c r="AC11" s="12"/>
      <c r="AD11" s="12"/>
      <c r="AE11" s="12"/>
      <c r="AF11" s="12"/>
      <c r="AJ11" s="12"/>
      <c r="AK11" s="12"/>
      <c r="AL11" s="12"/>
      <c r="AM11" s="12"/>
      <c r="AQ11" s="12"/>
      <c r="AR11" s="12"/>
      <c r="AS11" s="12"/>
      <c r="AT11" s="12"/>
      <c r="AW11">
        <v>1.5</v>
      </c>
      <c r="AX11" s="12"/>
      <c r="AY11" s="12">
        <v>0.5</v>
      </c>
      <c r="AZ11" s="12"/>
      <c r="BA11" s="12">
        <v>0.5</v>
      </c>
      <c r="BE11" s="12"/>
      <c r="BF11" s="12">
        <v>0.5</v>
      </c>
      <c r="BG11" s="12"/>
      <c r="BH11" s="12">
        <v>0.5</v>
      </c>
      <c r="BL11" s="12"/>
      <c r="BM11" s="12">
        <v>0.5</v>
      </c>
      <c r="BN11" s="12"/>
      <c r="BO11" s="12">
        <v>0.5</v>
      </c>
      <c r="BS11" s="12"/>
      <c r="BT11" s="12">
        <v>0.5</v>
      </c>
      <c r="BU11" s="12"/>
      <c r="BV11" s="12">
        <v>0.5</v>
      </c>
      <c r="BY11">
        <v>1.5</v>
      </c>
      <c r="BZ11" s="12"/>
      <c r="CA11" s="12">
        <v>0.8</v>
      </c>
      <c r="CB11" s="12"/>
      <c r="CC11" s="12">
        <v>0.8</v>
      </c>
      <c r="CG11" s="12"/>
      <c r="CH11" s="12">
        <v>0.8</v>
      </c>
      <c r="CI11" s="12"/>
      <c r="CJ11" s="12">
        <v>0.8</v>
      </c>
      <c r="CN11" s="12"/>
      <c r="CO11" s="12">
        <v>0.8</v>
      </c>
      <c r="CP11" s="12"/>
      <c r="CQ11" s="12">
        <v>0.8</v>
      </c>
      <c r="CT11">
        <v>1.5</v>
      </c>
      <c r="CU11" s="12"/>
      <c r="CV11" s="12">
        <v>1</v>
      </c>
      <c r="CW11" s="12"/>
      <c r="CX11" s="12">
        <v>1</v>
      </c>
      <c r="DB11" s="12"/>
      <c r="DC11" s="12">
        <v>1</v>
      </c>
      <c r="DD11" s="12"/>
      <c r="DE11" s="12">
        <v>1</v>
      </c>
      <c r="DI11" s="12"/>
      <c r="DJ11" s="12">
        <v>1</v>
      </c>
      <c r="DK11" s="12"/>
      <c r="DL11" s="12">
        <v>1</v>
      </c>
      <c r="DP11" s="12"/>
      <c r="DQ11" s="12">
        <v>1</v>
      </c>
      <c r="DR11" s="12"/>
      <c r="DS11" s="12">
        <v>1</v>
      </c>
      <c r="DW11" s="12"/>
      <c r="DX11" s="12"/>
      <c r="DY11" s="12"/>
      <c r="DZ11" s="12"/>
    </row>
    <row r="12" spans="2:131" outlineLevel="1">
      <c r="B12" t="s">
        <v>21</v>
      </c>
      <c r="C12" t="s">
        <v>80</v>
      </c>
      <c r="E12" s="11"/>
      <c r="F12" t="s">
        <v>94</v>
      </c>
      <c r="G12" s="24">
        <v>0.15</v>
      </c>
      <c r="I12" s="11">
        <f t="shared" si="0"/>
        <v>4.5</v>
      </c>
      <c r="J12" s="13" cm="1">
        <f t="array" ref="J12">MAX(IF($N$3:$EH$3=$J$3,N12:EH12))</f>
        <v>0</v>
      </c>
      <c r="K12" s="13" cm="1">
        <f t="array" ref="K12">MAX(IF($N$3:$EH$3=$J$3,N12:EH12))</f>
        <v>0</v>
      </c>
      <c r="L12" s="11"/>
      <c r="O12" s="12"/>
      <c r="P12" s="12"/>
      <c r="Q12" s="12"/>
      <c r="R12" s="12"/>
      <c r="V12" s="12"/>
      <c r="W12" s="12"/>
      <c r="X12" s="12"/>
      <c r="Y12" s="12"/>
      <c r="AC12" s="12"/>
      <c r="AD12" s="12"/>
      <c r="AE12" s="12"/>
      <c r="AF12" s="12"/>
      <c r="AJ12" s="12"/>
      <c r="AK12" s="12"/>
      <c r="AL12" s="12"/>
      <c r="AM12" s="12"/>
      <c r="AQ12" s="12"/>
      <c r="AR12" s="12"/>
      <c r="AS12" s="12"/>
      <c r="AT12" s="12"/>
      <c r="AX12" s="12"/>
      <c r="AY12" s="12"/>
      <c r="AZ12" s="12"/>
      <c r="BA12" s="12"/>
      <c r="BD12">
        <v>1.5</v>
      </c>
      <c r="BE12" s="12"/>
      <c r="BF12" s="12">
        <v>0.5</v>
      </c>
      <c r="BG12" s="12"/>
      <c r="BH12" s="12">
        <v>0.5</v>
      </c>
      <c r="BL12" s="12"/>
      <c r="BM12" s="12">
        <v>0.5</v>
      </c>
      <c r="BN12" s="12"/>
      <c r="BO12" s="12">
        <v>0.5</v>
      </c>
      <c r="BS12" s="12"/>
      <c r="BT12" s="12">
        <v>0.5</v>
      </c>
      <c r="BU12" s="12"/>
      <c r="BV12" s="12">
        <v>0.5</v>
      </c>
      <c r="BY12">
        <v>1.5</v>
      </c>
      <c r="BZ12" s="12"/>
      <c r="CA12" s="12">
        <v>0.8</v>
      </c>
      <c r="CB12" s="12"/>
      <c r="CC12" s="12">
        <v>0.8</v>
      </c>
      <c r="CG12" s="12"/>
      <c r="CH12" s="12">
        <v>0.8</v>
      </c>
      <c r="CI12" s="12"/>
      <c r="CJ12" s="12">
        <v>0.8</v>
      </c>
      <c r="CN12" s="12"/>
      <c r="CO12" s="12">
        <v>0.8</v>
      </c>
      <c r="CP12" s="12"/>
      <c r="CQ12" s="12">
        <v>0.8</v>
      </c>
      <c r="CT12">
        <v>1.5</v>
      </c>
      <c r="CU12" s="12"/>
      <c r="CV12" s="12">
        <v>1</v>
      </c>
      <c r="CW12" s="12"/>
      <c r="CX12" s="12">
        <v>1</v>
      </c>
      <c r="DB12" s="12"/>
      <c r="DC12" s="12">
        <v>1</v>
      </c>
      <c r="DD12" s="12"/>
      <c r="DE12" s="12">
        <v>1</v>
      </c>
      <c r="DI12" s="12"/>
      <c r="DJ12" s="12">
        <v>1</v>
      </c>
      <c r="DK12" s="12"/>
      <c r="DL12" s="12">
        <v>1</v>
      </c>
      <c r="DP12" s="12"/>
      <c r="DQ12" s="12">
        <v>1</v>
      </c>
      <c r="DR12" s="12"/>
      <c r="DS12" s="12">
        <v>1</v>
      </c>
      <c r="DW12" s="12"/>
      <c r="DX12" s="12"/>
      <c r="DY12" s="12"/>
      <c r="DZ12" s="12"/>
    </row>
    <row r="13" spans="2:131">
      <c r="O13" s="9"/>
      <c r="V13" s="9"/>
      <c r="AC13" s="9"/>
      <c r="AJ13" s="9"/>
      <c r="AQ13" s="9"/>
      <c r="AX13" s="9"/>
      <c r="BE13" s="9"/>
      <c r="BL13" s="9"/>
      <c r="BM13" s="12"/>
      <c r="BO13" s="12"/>
      <c r="BS13" s="9"/>
      <c r="BZ13" s="9"/>
      <c r="CG13" s="9"/>
      <c r="CN13" s="9"/>
      <c r="CU13" s="9"/>
      <c r="DB13" s="9"/>
      <c r="DI13" s="9"/>
      <c r="DP13" s="9"/>
      <c r="DW13" s="9"/>
    </row>
    <row r="14" spans="2:131">
      <c r="B14" t="s">
        <v>20</v>
      </c>
      <c r="C14" t="s">
        <v>81</v>
      </c>
      <c r="D14" s="22">
        <v>44908</v>
      </c>
      <c r="E14" s="11">
        <v>3</v>
      </c>
      <c r="G14" s="12">
        <f>+SUM(G15:G22)</f>
        <v>1</v>
      </c>
      <c r="I14" s="14">
        <f>+SUM(I15:I22)</f>
        <v>36</v>
      </c>
      <c r="J14" s="13">
        <f>+SUMPRODUCT(G15:G22,J15:J22)</f>
        <v>0</v>
      </c>
      <c r="K14" s="13">
        <f>+SUMPRODUCT(G15:G22,K15:K22)</f>
        <v>0</v>
      </c>
      <c r="L14" s="11"/>
      <c r="N14" s="14">
        <f>+SUM(N15:N22)</f>
        <v>0</v>
      </c>
      <c r="U14" s="14">
        <v>9</v>
      </c>
      <c r="AB14" s="14">
        <v>9</v>
      </c>
      <c r="AI14" s="14">
        <v>9</v>
      </c>
      <c r="AP14" s="14">
        <v>9</v>
      </c>
      <c r="BM14" s="12"/>
      <c r="BO14" s="12"/>
    </row>
    <row r="15" spans="2:131" outlineLevel="1">
      <c r="B15" t="s">
        <v>21</v>
      </c>
      <c r="C15" t="s">
        <v>81</v>
      </c>
      <c r="E15" s="11"/>
      <c r="F15" t="s">
        <v>95</v>
      </c>
      <c r="G15" s="12">
        <v>0.1</v>
      </c>
      <c r="I15" s="11">
        <f t="shared" ref="I15:I22" si="1">+SUMIF($N$3:$ZZ$3,I$3,$N15:$ZZ15)</f>
        <v>4.5</v>
      </c>
      <c r="J15" s="13" cm="1">
        <f t="array" ref="J15">MAX(IF($N$3:$EH$3=$J$3,N15:EH15))</f>
        <v>0</v>
      </c>
      <c r="K15" s="13" cm="1">
        <f t="array" ref="K15">MAX(IF($N$3:$EH$3=$J$3,N15:EH15))</f>
        <v>0</v>
      </c>
      <c r="L15" s="11"/>
      <c r="O15" s="12"/>
      <c r="P15" s="12"/>
      <c r="Q15" s="12"/>
      <c r="R15" s="12"/>
      <c r="U15">
        <v>1.5</v>
      </c>
      <c r="V15" s="12"/>
      <c r="W15" s="12">
        <v>0.5</v>
      </c>
      <c r="X15" s="12"/>
      <c r="Y15" s="12">
        <v>0.5</v>
      </c>
      <c r="AB15">
        <v>1.5</v>
      </c>
      <c r="AC15" s="12"/>
      <c r="AD15" s="12">
        <v>0.8</v>
      </c>
      <c r="AE15" s="12"/>
      <c r="AF15" s="12">
        <v>0.8</v>
      </c>
      <c r="AI15">
        <v>1.5</v>
      </c>
      <c r="AJ15" s="12"/>
      <c r="AK15" s="12">
        <v>1</v>
      </c>
      <c r="AL15" s="12"/>
      <c r="AM15" s="12">
        <v>1</v>
      </c>
      <c r="AQ15" s="12"/>
      <c r="AR15" s="12">
        <v>1</v>
      </c>
      <c r="AS15" s="12"/>
      <c r="AT15" s="12">
        <v>1</v>
      </c>
      <c r="AX15" s="12"/>
      <c r="AY15" s="12">
        <v>1</v>
      </c>
      <c r="AZ15" s="12"/>
      <c r="BA15" s="12">
        <v>1</v>
      </c>
      <c r="BE15" s="12"/>
      <c r="BF15" s="12"/>
      <c r="BG15" s="12"/>
      <c r="BH15" s="12"/>
      <c r="BL15" s="12"/>
      <c r="BM15" s="12"/>
      <c r="BN15" s="12"/>
      <c r="BO15" s="12"/>
      <c r="BS15" s="12"/>
      <c r="BT15" s="12"/>
      <c r="BU15" s="12"/>
      <c r="BV15" s="12"/>
      <c r="BZ15" s="12"/>
      <c r="CA15" s="12"/>
      <c r="CB15" s="12"/>
      <c r="CC15" s="12"/>
      <c r="CG15" s="12"/>
      <c r="CH15" s="12"/>
      <c r="CI15" s="12"/>
      <c r="CJ15" s="12"/>
      <c r="CN15" s="12"/>
      <c r="CO15" s="12"/>
      <c r="CP15" s="12"/>
      <c r="CQ15" s="12"/>
      <c r="CU15" s="12"/>
      <c r="CV15" s="12"/>
      <c r="CW15" s="12"/>
      <c r="CX15" s="12"/>
      <c r="DB15" s="12"/>
      <c r="DC15" s="12"/>
      <c r="DD15" s="12"/>
      <c r="DE15" s="12"/>
      <c r="DI15" s="12"/>
      <c r="DJ15" s="12"/>
      <c r="DK15" s="12"/>
      <c r="DL15" s="12"/>
      <c r="DP15" s="12"/>
      <c r="DQ15" s="12"/>
      <c r="DR15" s="12"/>
      <c r="DS15" s="12"/>
      <c r="DW15" s="12"/>
      <c r="DX15" s="12"/>
      <c r="DY15" s="12"/>
      <c r="DZ15" s="12"/>
    </row>
    <row r="16" spans="2:131" outlineLevel="1">
      <c r="B16" t="s">
        <v>21</v>
      </c>
      <c r="C16" t="s">
        <v>81</v>
      </c>
      <c r="E16" s="11"/>
      <c r="F16" t="s">
        <v>96</v>
      </c>
      <c r="G16" s="12">
        <v>0.1</v>
      </c>
      <c r="I16" s="11">
        <f t="shared" si="1"/>
        <v>4.5</v>
      </c>
      <c r="J16" s="13" cm="1">
        <f t="array" ref="J16">MAX(IF($N$3:$EH$3=$J$3,N16:EH16))</f>
        <v>0</v>
      </c>
      <c r="K16" s="13" cm="1">
        <f t="array" ref="K16">MAX(IF($N$3:$EH$3=$J$3,N16:EH16))</f>
        <v>0</v>
      </c>
      <c r="L16" s="11"/>
      <c r="O16" s="12"/>
      <c r="P16" s="12"/>
      <c r="Q16" s="12"/>
      <c r="R16" s="12"/>
      <c r="U16">
        <v>1.5</v>
      </c>
      <c r="V16" s="12"/>
      <c r="W16" s="12">
        <v>0.5</v>
      </c>
      <c r="X16" s="12"/>
      <c r="Y16" s="12">
        <v>0.5</v>
      </c>
      <c r="AB16">
        <v>1.5</v>
      </c>
      <c r="AC16" s="12"/>
      <c r="AD16" s="12">
        <v>0.8</v>
      </c>
      <c r="AE16" s="12"/>
      <c r="AF16" s="12">
        <v>0.8</v>
      </c>
      <c r="AI16">
        <v>1.5</v>
      </c>
      <c r="AJ16" s="12"/>
      <c r="AK16" s="12">
        <v>1</v>
      </c>
      <c r="AL16" s="12"/>
      <c r="AM16" s="12">
        <v>1</v>
      </c>
      <c r="AQ16" s="12"/>
      <c r="AR16" s="12">
        <v>1</v>
      </c>
      <c r="AS16" s="12"/>
      <c r="AT16" s="12">
        <v>1</v>
      </c>
      <c r="AX16" s="12"/>
      <c r="AY16" s="12">
        <v>1</v>
      </c>
      <c r="AZ16" s="12"/>
      <c r="BA16" s="12">
        <v>1</v>
      </c>
      <c r="BE16" s="12"/>
      <c r="BF16" s="12"/>
      <c r="BG16" s="12"/>
      <c r="BH16" s="12"/>
      <c r="BL16" s="12"/>
      <c r="BM16" s="12"/>
      <c r="BN16" s="12"/>
      <c r="BO16" s="12"/>
      <c r="BS16" s="12"/>
      <c r="BT16" s="12"/>
      <c r="BU16" s="12"/>
      <c r="BV16" s="12"/>
      <c r="BZ16" s="12"/>
      <c r="CA16" s="12"/>
      <c r="CB16" s="12"/>
      <c r="CC16" s="12"/>
      <c r="CG16" s="12"/>
      <c r="CH16" s="12"/>
      <c r="CI16" s="12"/>
      <c r="CJ16" s="12"/>
      <c r="CN16" s="12"/>
      <c r="CO16" s="12"/>
      <c r="CP16" s="12"/>
      <c r="CQ16" s="12"/>
      <c r="CU16" s="12"/>
      <c r="CV16" s="12"/>
      <c r="CW16" s="12"/>
      <c r="CX16" s="12"/>
      <c r="DB16" s="12"/>
      <c r="DC16" s="12"/>
      <c r="DD16" s="12"/>
      <c r="DE16" s="12"/>
      <c r="DI16" s="12"/>
      <c r="DJ16" s="12"/>
      <c r="DK16" s="12"/>
      <c r="DL16" s="12"/>
      <c r="DP16" s="12"/>
      <c r="DQ16" s="12"/>
      <c r="DR16" s="12"/>
      <c r="DS16" s="12"/>
      <c r="DW16" s="12"/>
      <c r="DX16" s="12"/>
      <c r="DY16" s="12"/>
      <c r="DZ16" s="12"/>
    </row>
    <row r="17" spans="2:130" outlineLevel="1">
      <c r="B17" t="s">
        <v>21</v>
      </c>
      <c r="C17" t="s">
        <v>81</v>
      </c>
      <c r="E17" s="11"/>
      <c r="F17" t="s">
        <v>97</v>
      </c>
      <c r="G17" s="12">
        <v>0.1</v>
      </c>
      <c r="I17" s="11">
        <f t="shared" si="1"/>
        <v>4.5</v>
      </c>
      <c r="J17" s="13" cm="1">
        <f t="array" ref="J17">MAX(IF($N$3:$EH$3=$J$3,N17:EH17))</f>
        <v>0</v>
      </c>
      <c r="K17" s="13" cm="1">
        <f t="array" ref="K17">MAX(IF($N$3:$EH$3=$J$3,N17:EH17))</f>
        <v>0</v>
      </c>
      <c r="L17" s="11"/>
      <c r="O17" s="12"/>
      <c r="P17" s="12"/>
      <c r="Q17" s="12"/>
      <c r="R17" s="12"/>
      <c r="U17">
        <v>1.5</v>
      </c>
      <c r="V17" s="12"/>
      <c r="W17" s="12">
        <v>0.5</v>
      </c>
      <c r="X17" s="12"/>
      <c r="Y17" s="12">
        <v>0.5</v>
      </c>
      <c r="AB17">
        <v>1.5</v>
      </c>
      <c r="AC17" s="12"/>
      <c r="AD17" s="12">
        <v>0.8</v>
      </c>
      <c r="AE17" s="12"/>
      <c r="AF17" s="12">
        <v>0.8</v>
      </c>
      <c r="AI17">
        <v>1.5</v>
      </c>
      <c r="AJ17" s="12"/>
      <c r="AK17" s="12">
        <v>1</v>
      </c>
      <c r="AL17" s="12"/>
      <c r="AM17" s="12">
        <v>1</v>
      </c>
      <c r="AQ17" s="12"/>
      <c r="AR17" s="12">
        <v>1</v>
      </c>
      <c r="AS17" s="12"/>
      <c r="AT17" s="12">
        <v>1</v>
      </c>
      <c r="AX17" s="12"/>
      <c r="AY17" s="12">
        <v>1</v>
      </c>
      <c r="AZ17" s="12"/>
      <c r="BA17" s="12">
        <v>1</v>
      </c>
      <c r="BE17" s="12"/>
      <c r="BF17" s="12"/>
      <c r="BG17" s="12"/>
      <c r="BH17" s="12"/>
      <c r="BL17" s="12"/>
      <c r="BM17" s="12"/>
      <c r="BN17" s="12"/>
      <c r="BO17" s="12"/>
      <c r="BS17" s="12"/>
      <c r="BT17" s="12"/>
      <c r="BU17" s="12"/>
      <c r="BV17" s="12"/>
      <c r="BZ17" s="12"/>
      <c r="CA17" s="12"/>
      <c r="CB17" s="12"/>
      <c r="CC17" s="12"/>
      <c r="CG17" s="12"/>
      <c r="CH17" s="12"/>
      <c r="CI17" s="12"/>
      <c r="CJ17" s="12"/>
      <c r="CN17" s="12"/>
      <c r="CO17" s="12"/>
      <c r="CP17" s="12"/>
      <c r="CQ17" s="12"/>
      <c r="CU17" s="12"/>
      <c r="CV17" s="12"/>
      <c r="CW17" s="12"/>
      <c r="CX17" s="12"/>
      <c r="DB17" s="12"/>
      <c r="DC17" s="12"/>
      <c r="DD17" s="12"/>
      <c r="DE17" s="12"/>
      <c r="DI17" s="12"/>
      <c r="DJ17" s="12"/>
      <c r="DK17" s="12"/>
      <c r="DL17" s="12"/>
      <c r="DP17" s="12"/>
      <c r="DQ17" s="12"/>
      <c r="DR17" s="12"/>
      <c r="DS17" s="12"/>
      <c r="DW17" s="12"/>
      <c r="DX17" s="12"/>
      <c r="DY17" s="12"/>
      <c r="DZ17" s="12"/>
    </row>
    <row r="18" spans="2:130" outlineLevel="1">
      <c r="B18" t="s">
        <v>21</v>
      </c>
      <c r="C18" t="s">
        <v>81</v>
      </c>
      <c r="E18" s="11"/>
      <c r="F18" t="s">
        <v>98</v>
      </c>
      <c r="G18" s="12">
        <v>0.1</v>
      </c>
      <c r="I18" s="11">
        <f t="shared" si="1"/>
        <v>4.5</v>
      </c>
      <c r="J18" s="13" cm="1">
        <f t="array" ref="J18">MAX(IF($N$3:$EH$3=$J$3,N18:EH18))</f>
        <v>0</v>
      </c>
      <c r="K18" s="13" cm="1">
        <f t="array" ref="K18">MAX(IF($N$3:$EH$3=$J$3,N18:EH18))</f>
        <v>0</v>
      </c>
      <c r="L18" s="11"/>
      <c r="O18" s="12"/>
      <c r="P18" s="12"/>
      <c r="Q18" s="12"/>
      <c r="R18" s="12"/>
      <c r="U18">
        <v>1.5</v>
      </c>
      <c r="V18" s="12"/>
      <c r="W18" s="12">
        <v>0.5</v>
      </c>
      <c r="X18" s="12"/>
      <c r="Y18" s="12">
        <v>0.5</v>
      </c>
      <c r="AB18">
        <v>1.5</v>
      </c>
      <c r="AC18" s="12"/>
      <c r="AD18" s="12">
        <v>0.8</v>
      </c>
      <c r="AE18" s="12"/>
      <c r="AF18" s="12">
        <v>0.8</v>
      </c>
      <c r="AI18">
        <v>1.5</v>
      </c>
      <c r="AJ18" s="12"/>
      <c r="AK18" s="12">
        <v>1</v>
      </c>
      <c r="AL18" s="12"/>
      <c r="AM18" s="12">
        <v>1</v>
      </c>
      <c r="AQ18" s="12"/>
      <c r="AR18" s="12">
        <v>1</v>
      </c>
      <c r="AS18" s="12"/>
      <c r="AT18" s="12">
        <v>1</v>
      </c>
      <c r="AX18" s="12"/>
      <c r="AY18" s="12">
        <v>1</v>
      </c>
      <c r="AZ18" s="12"/>
      <c r="BA18" s="12">
        <v>1</v>
      </c>
      <c r="BE18" s="12"/>
      <c r="BF18" s="12"/>
      <c r="BG18" s="12"/>
      <c r="BH18" s="12"/>
      <c r="BL18" s="12"/>
      <c r="BM18" s="12"/>
      <c r="BN18" s="12"/>
      <c r="BO18" s="12"/>
      <c r="BS18" s="12"/>
      <c r="BT18" s="12"/>
      <c r="BU18" s="12"/>
      <c r="BV18" s="12"/>
      <c r="BZ18" s="12"/>
      <c r="CA18" s="12"/>
      <c r="CB18" s="12"/>
      <c r="CC18" s="12"/>
      <c r="CG18" s="12"/>
      <c r="CH18" s="12"/>
      <c r="CI18" s="12"/>
      <c r="CJ18" s="12"/>
      <c r="CN18" s="12"/>
      <c r="CO18" s="12"/>
      <c r="CP18" s="12"/>
      <c r="CQ18" s="12"/>
      <c r="CU18" s="12"/>
      <c r="CV18" s="12"/>
      <c r="CW18" s="12"/>
      <c r="CX18" s="12"/>
      <c r="DB18" s="12"/>
      <c r="DC18" s="12"/>
      <c r="DD18" s="12"/>
      <c r="DE18" s="12"/>
      <c r="DI18" s="12"/>
      <c r="DJ18" s="12"/>
      <c r="DK18" s="12"/>
      <c r="DL18" s="12"/>
      <c r="DP18" s="12"/>
      <c r="DQ18" s="12"/>
      <c r="DR18" s="12"/>
      <c r="DS18" s="12"/>
      <c r="DW18" s="12"/>
      <c r="DX18" s="12"/>
      <c r="DY18" s="12"/>
      <c r="DZ18" s="12"/>
    </row>
    <row r="19" spans="2:130" outlineLevel="1">
      <c r="B19" t="s">
        <v>21</v>
      </c>
      <c r="C19" t="s">
        <v>81</v>
      </c>
      <c r="E19" s="11"/>
      <c r="F19" t="s">
        <v>99</v>
      </c>
      <c r="G19" s="12">
        <v>0.15</v>
      </c>
      <c r="I19" s="11">
        <f t="shared" si="1"/>
        <v>4.5</v>
      </c>
      <c r="J19" s="13" cm="1">
        <f t="array" ref="J19">MAX(IF($N$3:$EH$3=$J$3,N19:EH19))</f>
        <v>0</v>
      </c>
      <c r="K19" s="13" cm="1">
        <f t="array" ref="K19">MAX(IF($N$3:$EH$3=$J$3,N19:EH19))</f>
        <v>0</v>
      </c>
      <c r="L19" s="11"/>
      <c r="O19" s="12"/>
      <c r="P19" s="12"/>
      <c r="Q19" s="12"/>
      <c r="R19" s="12"/>
      <c r="U19">
        <v>1.5</v>
      </c>
      <c r="V19" s="12"/>
      <c r="W19" s="12">
        <v>0.5</v>
      </c>
      <c r="X19" s="12"/>
      <c r="Y19" s="12">
        <v>0.5</v>
      </c>
      <c r="AB19">
        <v>1.5</v>
      </c>
      <c r="AC19" s="12"/>
      <c r="AD19" s="12">
        <v>0.8</v>
      </c>
      <c r="AE19" s="12"/>
      <c r="AF19" s="12">
        <v>0.8</v>
      </c>
      <c r="AI19">
        <v>1.5</v>
      </c>
      <c r="AJ19" s="12"/>
      <c r="AK19" s="12">
        <v>1</v>
      </c>
      <c r="AL19" s="12"/>
      <c r="AM19" s="12">
        <v>1</v>
      </c>
      <c r="AQ19" s="12"/>
      <c r="AR19" s="12">
        <v>1</v>
      </c>
      <c r="AS19" s="12"/>
      <c r="AT19" s="12">
        <v>1</v>
      </c>
      <c r="AX19" s="12"/>
      <c r="AY19" s="12">
        <v>1</v>
      </c>
      <c r="AZ19" s="12"/>
      <c r="BA19" s="12">
        <v>1</v>
      </c>
      <c r="BE19" s="12"/>
      <c r="BF19" s="12"/>
      <c r="BG19" s="12"/>
      <c r="BH19" s="12"/>
      <c r="BL19" s="12"/>
      <c r="BM19" s="12"/>
      <c r="BN19" s="12"/>
      <c r="BO19" s="12"/>
      <c r="BS19" s="12"/>
      <c r="BT19" s="12"/>
      <c r="BU19" s="12"/>
      <c r="BV19" s="12"/>
      <c r="BZ19" s="12"/>
      <c r="CA19" s="12"/>
      <c r="CB19" s="12"/>
      <c r="CC19" s="12"/>
      <c r="CG19" s="12"/>
      <c r="CH19" s="12"/>
      <c r="CI19" s="12"/>
      <c r="CJ19" s="12"/>
      <c r="CN19" s="12"/>
      <c r="CO19" s="12"/>
      <c r="CP19" s="12"/>
      <c r="CQ19" s="12"/>
      <c r="CU19" s="12"/>
      <c r="CV19" s="12"/>
      <c r="CW19" s="12"/>
      <c r="CX19" s="12"/>
      <c r="DB19" s="12"/>
      <c r="DC19" s="12"/>
      <c r="DD19" s="12"/>
      <c r="DE19" s="12"/>
      <c r="DI19" s="12"/>
      <c r="DJ19" s="12"/>
      <c r="DK19" s="12"/>
      <c r="DL19" s="12"/>
      <c r="DP19" s="12"/>
      <c r="DQ19" s="12"/>
      <c r="DR19" s="12"/>
      <c r="DS19" s="12"/>
      <c r="DW19" s="12"/>
      <c r="DX19" s="12"/>
      <c r="DY19" s="12"/>
      <c r="DZ19" s="12"/>
    </row>
    <row r="20" spans="2:130" outlineLevel="1">
      <c r="B20" t="s">
        <v>21</v>
      </c>
      <c r="C20" t="s">
        <v>81</v>
      </c>
      <c r="E20" s="11"/>
      <c r="F20" t="s">
        <v>100</v>
      </c>
      <c r="G20" s="12">
        <v>0.1</v>
      </c>
      <c r="I20" s="11">
        <f t="shared" si="1"/>
        <v>4.5</v>
      </c>
      <c r="J20" s="13" cm="1">
        <f t="array" ref="J20">MAX(IF($N$3:$EH$3=$J$3,N20:EH20))</f>
        <v>0</v>
      </c>
      <c r="K20" s="13" cm="1">
        <f t="array" ref="K20">MAX(IF($N$3:$EH$3=$J$3,N20:EH20))</f>
        <v>0</v>
      </c>
      <c r="L20" s="11"/>
      <c r="O20" s="12"/>
      <c r="P20" s="12"/>
      <c r="Q20" s="12"/>
      <c r="R20" s="12"/>
      <c r="U20">
        <v>1.5</v>
      </c>
      <c r="V20" s="12"/>
      <c r="W20" s="12">
        <v>0.5</v>
      </c>
      <c r="X20" s="12"/>
      <c r="Y20" s="12">
        <v>0.5</v>
      </c>
      <c r="AB20">
        <v>1.5</v>
      </c>
      <c r="AC20" s="12"/>
      <c r="AD20" s="12">
        <v>0.8</v>
      </c>
      <c r="AE20" s="12"/>
      <c r="AF20" s="12">
        <v>0.8</v>
      </c>
      <c r="AI20">
        <v>1.5</v>
      </c>
      <c r="AJ20" s="12"/>
      <c r="AK20" s="12">
        <v>1</v>
      </c>
      <c r="AL20" s="12"/>
      <c r="AM20" s="12">
        <v>1</v>
      </c>
      <c r="AQ20" s="12"/>
      <c r="AR20" s="12">
        <v>1</v>
      </c>
      <c r="AS20" s="12"/>
      <c r="AT20" s="12">
        <v>1</v>
      </c>
      <c r="AX20" s="12"/>
      <c r="AY20" s="12">
        <v>1</v>
      </c>
      <c r="AZ20" s="12"/>
      <c r="BA20" s="12">
        <v>1</v>
      </c>
      <c r="BE20" s="12"/>
      <c r="BF20" s="12"/>
      <c r="BG20" s="12"/>
      <c r="BH20" s="12"/>
      <c r="BL20" s="12"/>
      <c r="BM20" s="12"/>
      <c r="BN20" s="12"/>
      <c r="BO20" s="12"/>
      <c r="BS20" s="12"/>
      <c r="BT20" s="12"/>
      <c r="BU20" s="12"/>
      <c r="BV20" s="12"/>
      <c r="BZ20" s="12"/>
      <c r="CA20" s="12"/>
      <c r="CB20" s="12"/>
      <c r="CC20" s="12"/>
      <c r="CG20" s="12"/>
      <c r="CH20" s="12"/>
      <c r="CI20" s="12"/>
      <c r="CJ20" s="12"/>
      <c r="CN20" s="12"/>
      <c r="CO20" s="12"/>
      <c r="CP20" s="12"/>
      <c r="CQ20" s="12"/>
      <c r="CU20" s="12"/>
      <c r="CV20" s="12"/>
      <c r="CW20" s="12"/>
      <c r="CX20" s="12"/>
      <c r="DB20" s="12"/>
      <c r="DC20" s="12"/>
      <c r="DD20" s="12"/>
      <c r="DE20" s="12"/>
      <c r="DI20" s="12"/>
      <c r="DJ20" s="12"/>
      <c r="DK20" s="12"/>
      <c r="DL20" s="12"/>
      <c r="DP20" s="12"/>
      <c r="DQ20" s="12"/>
      <c r="DR20" s="12"/>
      <c r="DS20" s="12"/>
      <c r="DW20" s="12"/>
      <c r="DX20" s="12"/>
      <c r="DY20" s="12"/>
      <c r="DZ20" s="12"/>
    </row>
    <row r="21" spans="2:130" outlineLevel="1">
      <c r="B21" t="s">
        <v>21</v>
      </c>
      <c r="C21" t="s">
        <v>81</v>
      </c>
      <c r="E21" s="11"/>
      <c r="F21" t="s">
        <v>101</v>
      </c>
      <c r="G21" s="12">
        <v>0.1</v>
      </c>
      <c r="I21" s="11">
        <f t="shared" si="1"/>
        <v>4.5</v>
      </c>
      <c r="J21" s="13" cm="1">
        <f t="array" ref="J21">MAX(IF($N$3:$EH$3=$J$3,N21:EH21))</f>
        <v>0</v>
      </c>
      <c r="K21" s="13" cm="1">
        <f t="array" ref="K21">MAX(IF($N$3:$EH$3=$J$3,N21:EH21))</f>
        <v>0</v>
      </c>
      <c r="L21" s="11"/>
      <c r="O21" s="12"/>
      <c r="P21" s="12"/>
      <c r="Q21" s="12"/>
      <c r="R21" s="12"/>
      <c r="U21">
        <v>1.5</v>
      </c>
      <c r="V21" s="12"/>
      <c r="W21" s="12">
        <v>0.5</v>
      </c>
      <c r="X21" s="12"/>
      <c r="Y21" s="12">
        <v>0.5</v>
      </c>
      <c r="AB21">
        <v>1.5</v>
      </c>
      <c r="AC21" s="12"/>
      <c r="AD21" s="12">
        <v>0.8</v>
      </c>
      <c r="AE21" s="12"/>
      <c r="AF21" s="12">
        <v>0.8</v>
      </c>
      <c r="AI21">
        <v>1.5</v>
      </c>
      <c r="AJ21" s="12"/>
      <c r="AK21" s="12">
        <v>1</v>
      </c>
      <c r="AL21" s="12"/>
      <c r="AM21" s="12">
        <v>1</v>
      </c>
      <c r="AQ21" s="12"/>
      <c r="AR21" s="12">
        <v>1</v>
      </c>
      <c r="AS21" s="12"/>
      <c r="AT21" s="12">
        <v>1</v>
      </c>
      <c r="AX21" s="12"/>
      <c r="AY21" s="12">
        <v>1</v>
      </c>
      <c r="AZ21" s="12"/>
      <c r="BA21" s="12">
        <v>1</v>
      </c>
      <c r="BE21" s="12"/>
      <c r="BF21" s="12"/>
      <c r="BG21" s="12"/>
      <c r="BH21" s="12"/>
      <c r="BL21" s="12"/>
      <c r="BM21" s="12"/>
      <c r="BN21" s="12"/>
      <c r="BO21" s="12"/>
      <c r="BS21" s="12"/>
      <c r="BT21" s="12"/>
      <c r="BU21" s="12"/>
      <c r="BV21" s="12"/>
      <c r="BZ21" s="12"/>
      <c r="CA21" s="12"/>
      <c r="CB21" s="12"/>
      <c r="CC21" s="12"/>
      <c r="CG21" s="12"/>
      <c r="CH21" s="12"/>
      <c r="CI21" s="12"/>
      <c r="CJ21" s="12"/>
      <c r="CN21" s="12"/>
      <c r="CO21" s="12"/>
      <c r="CP21" s="12"/>
      <c r="CQ21" s="12"/>
      <c r="CU21" s="12"/>
      <c r="CV21" s="12"/>
      <c r="CW21" s="12"/>
      <c r="CX21" s="12"/>
      <c r="DB21" s="12"/>
      <c r="DC21" s="12"/>
      <c r="DD21" s="12"/>
      <c r="DE21" s="12"/>
      <c r="DI21" s="12"/>
      <c r="DJ21" s="12"/>
      <c r="DK21" s="12"/>
      <c r="DL21" s="12"/>
      <c r="DP21" s="12"/>
      <c r="DQ21" s="12"/>
      <c r="DR21" s="12"/>
      <c r="DS21" s="12"/>
      <c r="DW21" s="12"/>
      <c r="DX21" s="12"/>
      <c r="DY21" s="12"/>
      <c r="DZ21" s="12"/>
    </row>
    <row r="22" spans="2:130" outlineLevel="1">
      <c r="B22" t="s">
        <v>21</v>
      </c>
      <c r="C22" t="s">
        <v>81</v>
      </c>
      <c r="E22" s="11"/>
      <c r="F22" t="s">
        <v>102</v>
      </c>
      <c r="G22" s="12">
        <v>0.25</v>
      </c>
      <c r="I22" s="11">
        <f t="shared" si="1"/>
        <v>4.5</v>
      </c>
      <c r="J22" s="13" cm="1">
        <f t="array" ref="J22">MAX(IF($N$3:$EH$3=$J$3,N22:EH22))</f>
        <v>0</v>
      </c>
      <c r="K22" s="13" cm="1">
        <f t="array" ref="K22">MAX(IF($N$3:$EH$3=$J$3,N22:EH22))</f>
        <v>0</v>
      </c>
      <c r="L22" s="11"/>
      <c r="O22" s="12"/>
      <c r="P22" s="12"/>
      <c r="Q22" s="12"/>
      <c r="R22" s="12"/>
      <c r="U22">
        <v>1.5</v>
      </c>
      <c r="V22" s="12"/>
      <c r="W22" s="12">
        <v>0.5</v>
      </c>
      <c r="X22" s="12"/>
      <c r="Y22" s="12">
        <v>0.5</v>
      </c>
      <c r="AB22">
        <v>1.5</v>
      </c>
      <c r="AC22" s="12"/>
      <c r="AD22" s="12">
        <v>0.8</v>
      </c>
      <c r="AE22" s="12"/>
      <c r="AF22" s="12">
        <v>0.8</v>
      </c>
      <c r="AI22">
        <v>1.5</v>
      </c>
      <c r="AJ22" s="12"/>
      <c r="AK22" s="12">
        <v>1</v>
      </c>
      <c r="AL22" s="12"/>
      <c r="AM22" s="12">
        <v>1</v>
      </c>
      <c r="AQ22" s="12"/>
      <c r="AR22" s="12">
        <v>1</v>
      </c>
      <c r="AS22" s="12"/>
      <c r="AT22" s="12">
        <v>1</v>
      </c>
      <c r="AX22" s="12"/>
      <c r="AY22" s="12">
        <v>1</v>
      </c>
      <c r="AZ22" s="12"/>
      <c r="BA22" s="12">
        <v>1</v>
      </c>
      <c r="BE22" s="12"/>
      <c r="BF22" s="12"/>
      <c r="BG22" s="12"/>
      <c r="BH22" s="12"/>
      <c r="BL22" s="12"/>
      <c r="BM22" s="12"/>
      <c r="BN22" s="12"/>
      <c r="BO22" s="12"/>
      <c r="BS22" s="12"/>
      <c r="BT22" s="12"/>
      <c r="BU22" s="12"/>
      <c r="BV22" s="12"/>
      <c r="BZ22" s="12"/>
      <c r="CA22" s="12"/>
      <c r="CB22" s="12"/>
      <c r="CC22" s="12"/>
      <c r="CG22" s="12"/>
      <c r="CH22" s="12"/>
      <c r="CI22" s="12"/>
      <c r="CJ22" s="12"/>
      <c r="CN22" s="12"/>
      <c r="CO22" s="12"/>
      <c r="CP22" s="12"/>
      <c r="CQ22" s="12"/>
      <c r="CU22" s="12"/>
      <c r="CV22" s="12"/>
      <c r="CW22" s="12"/>
      <c r="CX22" s="12"/>
      <c r="DB22" s="12"/>
      <c r="DC22" s="12"/>
      <c r="DD22" s="12"/>
      <c r="DE22" s="12"/>
      <c r="DI22" s="12"/>
      <c r="DJ22" s="12"/>
      <c r="DK22" s="12"/>
      <c r="DL22" s="12"/>
      <c r="DP22" s="12"/>
      <c r="DQ22" s="12"/>
      <c r="DR22" s="12"/>
      <c r="DS22" s="12"/>
      <c r="DW22" s="12"/>
      <c r="DX22" s="12"/>
      <c r="DY22" s="12"/>
      <c r="DZ22" s="12"/>
    </row>
    <row r="24" spans="2:130">
      <c r="B24" t="s">
        <v>20</v>
      </c>
      <c r="C24" t="s">
        <v>82</v>
      </c>
      <c r="D24" s="22" t="s">
        <v>170</v>
      </c>
      <c r="E24" s="11">
        <v>5</v>
      </c>
      <c r="G24" s="12">
        <f>+SUM(G25:G35)</f>
        <v>0.89999999999999991</v>
      </c>
      <c r="I24" s="14">
        <f>+SUM(I25:I35)</f>
        <v>66</v>
      </c>
      <c r="J24" s="13">
        <f>+SUMPRODUCT(G25:G35,J25:J35)</f>
        <v>4.0000000000000008E-2</v>
      </c>
      <c r="K24" s="13">
        <f>+SUMPRODUCT(G25:G35,K25:K35)</f>
        <v>4.0000000000000008E-2</v>
      </c>
      <c r="L24" s="11"/>
      <c r="N24" s="14">
        <f>+SUM(N25:N35)</f>
        <v>0</v>
      </c>
      <c r="U24" s="14">
        <v>4</v>
      </c>
      <c r="AB24" s="14">
        <v>4</v>
      </c>
      <c r="AI24" s="14">
        <v>4</v>
      </c>
      <c r="AP24" s="14">
        <v>4</v>
      </c>
      <c r="AW24">
        <v>6</v>
      </c>
      <c r="BD24">
        <v>8</v>
      </c>
      <c r="BK24">
        <v>6</v>
      </c>
      <c r="BR24">
        <v>8</v>
      </c>
      <c r="BY24">
        <v>6</v>
      </c>
      <c r="CF24">
        <v>8</v>
      </c>
      <c r="CM24">
        <v>6</v>
      </c>
      <c r="CT24">
        <v>8</v>
      </c>
      <c r="DA24">
        <v>6</v>
      </c>
    </row>
    <row r="25" spans="2:130" outlineLevel="1">
      <c r="B25" t="s">
        <v>21</v>
      </c>
      <c r="C25" t="s">
        <v>82</v>
      </c>
      <c r="E25" s="11"/>
      <c r="F25" t="s">
        <v>103</v>
      </c>
      <c r="G25" s="12">
        <v>0.1</v>
      </c>
      <c r="I25" s="11">
        <f t="shared" ref="I25:I37" si="2">+SUMIF($N$3:$ZZ$3,I$3,$N25:$ZZ25)</f>
        <v>6</v>
      </c>
      <c r="J25" s="13" cm="1">
        <f t="array" ref="J25">MAX(IF($N$3:$EH$3=$J$3,N25:EH25))</f>
        <v>0.1</v>
      </c>
      <c r="K25" s="13" cm="1">
        <f t="array" ref="K25">MAX(IF($N$3:$EH$3=$J$3,N25:EH25))</f>
        <v>0.1</v>
      </c>
      <c r="L25" s="11"/>
      <c r="O25" s="12">
        <v>0.1</v>
      </c>
      <c r="P25" s="12"/>
      <c r="Q25" s="12">
        <v>0.1</v>
      </c>
      <c r="R25" s="12"/>
      <c r="U25">
        <v>2</v>
      </c>
      <c r="V25" s="12"/>
      <c r="W25" s="12">
        <v>0.5</v>
      </c>
      <c r="X25" s="12"/>
      <c r="Y25" s="12">
        <v>0.5</v>
      </c>
      <c r="AC25" s="12"/>
      <c r="AD25" s="12">
        <v>0.5</v>
      </c>
      <c r="AE25" s="12"/>
      <c r="AF25" s="12">
        <v>0.5</v>
      </c>
      <c r="AJ25" s="12"/>
      <c r="AK25" s="12">
        <v>0.5</v>
      </c>
      <c r="AL25" s="12"/>
      <c r="AM25" s="12">
        <v>0.5</v>
      </c>
      <c r="AQ25" s="12"/>
      <c r="AR25" s="12">
        <v>0.5</v>
      </c>
      <c r="AS25" s="12"/>
      <c r="AT25" s="12">
        <v>0.5</v>
      </c>
      <c r="AX25" s="12"/>
      <c r="AY25" s="12">
        <v>0.5</v>
      </c>
      <c r="AZ25" s="12"/>
      <c r="BA25" s="12">
        <v>0.5</v>
      </c>
      <c r="BD25">
        <v>2</v>
      </c>
      <c r="BE25" s="12"/>
      <c r="BF25" s="12">
        <v>0.8</v>
      </c>
      <c r="BG25" s="12"/>
      <c r="BH25" s="12">
        <v>0.8</v>
      </c>
      <c r="BL25" s="12"/>
      <c r="BM25" s="12">
        <v>0.8</v>
      </c>
      <c r="BN25" s="12"/>
      <c r="BO25" s="12">
        <v>0.8</v>
      </c>
      <c r="BS25" s="12"/>
      <c r="BT25" s="12">
        <v>0.8</v>
      </c>
      <c r="BU25" s="12"/>
      <c r="BV25" s="12">
        <v>0.8</v>
      </c>
      <c r="BZ25" s="12"/>
      <c r="CA25" s="12">
        <v>0.8</v>
      </c>
      <c r="CB25" s="12"/>
      <c r="CC25" s="12">
        <v>0.8</v>
      </c>
      <c r="CF25">
        <v>2</v>
      </c>
      <c r="CG25" s="12"/>
      <c r="CH25" s="12">
        <v>1</v>
      </c>
      <c r="CI25" s="12"/>
      <c r="CJ25" s="12">
        <v>1</v>
      </c>
      <c r="CN25" s="12"/>
      <c r="CO25" s="12">
        <v>1</v>
      </c>
      <c r="CP25" s="12"/>
      <c r="CQ25" s="12">
        <v>1</v>
      </c>
      <c r="CU25" s="12"/>
      <c r="CV25" s="12">
        <v>1</v>
      </c>
      <c r="CW25" s="12"/>
      <c r="CX25" s="12">
        <v>1</v>
      </c>
      <c r="DB25" s="12"/>
      <c r="DC25" s="12">
        <v>1</v>
      </c>
      <c r="DD25" s="12"/>
      <c r="DE25" s="12">
        <v>1</v>
      </c>
      <c r="DI25" s="12"/>
      <c r="DJ25" s="12">
        <v>1</v>
      </c>
      <c r="DK25" s="12"/>
      <c r="DL25" s="12">
        <v>1</v>
      </c>
      <c r="DP25" s="12"/>
      <c r="DQ25" s="12">
        <v>1</v>
      </c>
      <c r="DR25" s="12"/>
      <c r="DS25" s="12">
        <v>1</v>
      </c>
      <c r="DW25" s="12"/>
      <c r="DX25" s="12">
        <v>1</v>
      </c>
      <c r="DY25" s="12"/>
      <c r="DZ25" s="12">
        <v>1</v>
      </c>
    </row>
    <row r="26" spans="2:130" outlineLevel="1">
      <c r="B26" t="s">
        <v>21</v>
      </c>
      <c r="C26" t="s">
        <v>82</v>
      </c>
      <c r="E26" s="11"/>
      <c r="F26" t="s">
        <v>104</v>
      </c>
      <c r="G26" s="12">
        <v>0.05</v>
      </c>
      <c r="I26" s="11">
        <f t="shared" si="2"/>
        <v>6</v>
      </c>
      <c r="J26" s="13" cm="1">
        <f t="array" ref="J26">MAX(IF($N$3:$EH$3=$J$3,N26:EH26))</f>
        <v>0.1</v>
      </c>
      <c r="K26" s="13" cm="1">
        <f t="array" ref="K26">MAX(IF($N$3:$EH$3=$J$3,N26:EH26))</f>
        <v>0.1</v>
      </c>
      <c r="L26" s="11"/>
      <c r="O26" s="12">
        <v>0.1</v>
      </c>
      <c r="P26" s="12"/>
      <c r="Q26" s="12">
        <v>0.1</v>
      </c>
      <c r="R26" s="12"/>
      <c r="U26">
        <v>2</v>
      </c>
      <c r="V26" s="12"/>
      <c r="W26" s="12">
        <v>0.5</v>
      </c>
      <c r="X26" s="12"/>
      <c r="Y26" s="12">
        <v>0.5</v>
      </c>
      <c r="AC26" s="12"/>
      <c r="AD26" s="12">
        <v>0.5</v>
      </c>
      <c r="AE26" s="12"/>
      <c r="AF26" s="12">
        <v>0.5</v>
      </c>
      <c r="AJ26" s="12"/>
      <c r="AK26" s="12">
        <v>0.5</v>
      </c>
      <c r="AL26" s="12"/>
      <c r="AM26" s="12">
        <v>0.5</v>
      </c>
      <c r="AQ26" s="12"/>
      <c r="AR26" s="12">
        <v>0.5</v>
      </c>
      <c r="AS26" s="12"/>
      <c r="AT26" s="12">
        <v>0.5</v>
      </c>
      <c r="AX26" s="12"/>
      <c r="AY26" s="12">
        <v>0.5</v>
      </c>
      <c r="AZ26" s="12"/>
      <c r="BA26" s="12">
        <v>0.5</v>
      </c>
      <c r="BD26">
        <v>2</v>
      </c>
      <c r="BE26" s="12"/>
      <c r="BF26" s="12">
        <v>0.8</v>
      </c>
      <c r="BG26" s="12"/>
      <c r="BH26" s="12">
        <v>0.8</v>
      </c>
      <c r="BL26" s="12"/>
      <c r="BM26" s="12">
        <v>0.8</v>
      </c>
      <c r="BN26" s="12"/>
      <c r="BO26" s="12">
        <v>0.8</v>
      </c>
      <c r="BS26" s="12"/>
      <c r="BT26" s="12">
        <v>0.8</v>
      </c>
      <c r="BU26" s="12"/>
      <c r="BV26" s="12">
        <v>0.8</v>
      </c>
      <c r="BZ26" s="12"/>
      <c r="CA26" s="12">
        <v>0.8</v>
      </c>
      <c r="CB26" s="12"/>
      <c r="CC26" s="12">
        <v>0.8</v>
      </c>
      <c r="CF26">
        <v>2</v>
      </c>
      <c r="CG26" s="12"/>
      <c r="CH26" s="12">
        <v>1</v>
      </c>
      <c r="CI26" s="12"/>
      <c r="CJ26" s="12">
        <v>1</v>
      </c>
      <c r="CN26" s="12"/>
      <c r="CO26" s="12">
        <v>1</v>
      </c>
      <c r="CP26" s="12"/>
      <c r="CQ26" s="12">
        <v>1</v>
      </c>
      <c r="CU26" s="12"/>
      <c r="CV26" s="12">
        <v>1</v>
      </c>
      <c r="CW26" s="12"/>
      <c r="CX26" s="12">
        <v>1</v>
      </c>
      <c r="DB26" s="12"/>
      <c r="DC26" s="12">
        <v>1</v>
      </c>
      <c r="DD26" s="12"/>
      <c r="DE26" s="12">
        <v>1</v>
      </c>
      <c r="DI26" s="12"/>
      <c r="DJ26" s="12">
        <v>1</v>
      </c>
      <c r="DK26" s="12"/>
      <c r="DL26" s="12">
        <v>1</v>
      </c>
      <c r="DP26" s="12"/>
      <c r="DQ26" s="12">
        <v>1</v>
      </c>
      <c r="DR26" s="12"/>
      <c r="DS26" s="12">
        <v>1</v>
      </c>
      <c r="DW26" s="12"/>
      <c r="DX26" s="12">
        <v>1</v>
      </c>
      <c r="DY26" s="12"/>
      <c r="DZ26" s="12">
        <v>1</v>
      </c>
    </row>
    <row r="27" spans="2:130" outlineLevel="1">
      <c r="B27" t="s">
        <v>21</v>
      </c>
      <c r="C27" t="s">
        <v>82</v>
      </c>
      <c r="E27" s="11"/>
      <c r="F27" t="s">
        <v>105</v>
      </c>
      <c r="G27" s="12">
        <v>0.05</v>
      </c>
      <c r="I27" s="11">
        <f t="shared" si="2"/>
        <v>6</v>
      </c>
      <c r="J27" s="13" cm="1">
        <f t="array" ref="J27">MAX(IF($N$3:$EH$3=$J$3,N27:EH27))</f>
        <v>0.2</v>
      </c>
      <c r="K27" s="13" cm="1">
        <f t="array" ref="K27">MAX(IF($N$3:$EH$3=$J$3,N27:EH27))</f>
        <v>0.2</v>
      </c>
      <c r="L27" s="11"/>
      <c r="O27" s="12">
        <v>0.2</v>
      </c>
      <c r="P27" s="12"/>
      <c r="Q27" s="12">
        <v>0.2</v>
      </c>
      <c r="R27" s="12"/>
      <c r="V27" s="12"/>
      <c r="W27" s="12"/>
      <c r="X27" s="12"/>
      <c r="Y27" s="12"/>
      <c r="AB27">
        <v>2</v>
      </c>
      <c r="AC27" s="12"/>
      <c r="AD27" s="12">
        <v>0.5</v>
      </c>
      <c r="AE27" s="12"/>
      <c r="AF27" s="12">
        <v>0.5</v>
      </c>
      <c r="AJ27" s="12"/>
      <c r="AK27" s="12">
        <v>0.5</v>
      </c>
      <c r="AL27" s="12"/>
      <c r="AM27" s="12">
        <v>0.5</v>
      </c>
      <c r="AQ27" s="12"/>
      <c r="AR27" s="12">
        <v>0.5</v>
      </c>
      <c r="AS27" s="12"/>
      <c r="AT27" s="12">
        <v>0.5</v>
      </c>
      <c r="AX27" s="12"/>
      <c r="AY27" s="12">
        <v>0.5</v>
      </c>
      <c r="AZ27" s="12"/>
      <c r="BA27" s="12">
        <v>0.5</v>
      </c>
      <c r="BE27" s="12"/>
      <c r="BF27" s="12">
        <v>0.5</v>
      </c>
      <c r="BG27" s="12"/>
      <c r="BH27" s="12">
        <v>0.5</v>
      </c>
      <c r="BK27">
        <v>2</v>
      </c>
      <c r="BL27" s="12"/>
      <c r="BM27" s="12">
        <v>0.8</v>
      </c>
      <c r="BN27" s="12"/>
      <c r="BO27" s="12">
        <v>0.8</v>
      </c>
      <c r="BS27" s="12"/>
      <c r="BT27" s="12">
        <v>0.8</v>
      </c>
      <c r="BU27" s="12"/>
      <c r="BV27" s="12">
        <v>0.8</v>
      </c>
      <c r="BZ27" s="12"/>
      <c r="CA27" s="12">
        <v>0.8</v>
      </c>
      <c r="CB27" s="12"/>
      <c r="CC27" s="12">
        <v>0.8</v>
      </c>
      <c r="CF27">
        <v>2</v>
      </c>
      <c r="CG27" s="12"/>
      <c r="CH27" s="12">
        <v>1</v>
      </c>
      <c r="CI27" s="12"/>
      <c r="CJ27" s="12">
        <v>1</v>
      </c>
      <c r="CN27" s="12"/>
      <c r="CO27" s="12">
        <v>1</v>
      </c>
      <c r="CP27" s="12"/>
      <c r="CQ27" s="12">
        <v>1</v>
      </c>
      <c r="CU27" s="12"/>
      <c r="CV27" s="12">
        <v>1</v>
      </c>
      <c r="CW27" s="12"/>
      <c r="CX27" s="12">
        <v>1</v>
      </c>
      <c r="DB27" s="12"/>
      <c r="DC27" s="12">
        <v>1</v>
      </c>
      <c r="DD27" s="12"/>
      <c r="DE27" s="12">
        <v>1</v>
      </c>
      <c r="DI27" s="12"/>
      <c r="DJ27" s="12">
        <v>1</v>
      </c>
      <c r="DK27" s="12"/>
      <c r="DL27" s="12">
        <v>1</v>
      </c>
      <c r="DP27" s="12"/>
      <c r="DQ27" s="12">
        <v>1</v>
      </c>
      <c r="DR27" s="12"/>
      <c r="DS27" s="12">
        <v>1</v>
      </c>
      <c r="DW27" s="12"/>
      <c r="DX27" s="12">
        <v>1</v>
      </c>
      <c r="DY27" s="12"/>
      <c r="DZ27" s="12">
        <v>1</v>
      </c>
    </row>
    <row r="28" spans="2:130" outlineLevel="1">
      <c r="B28" t="s">
        <v>21</v>
      </c>
      <c r="C28" t="s">
        <v>82</v>
      </c>
      <c r="E28" s="11"/>
      <c r="F28" t="s">
        <v>106</v>
      </c>
      <c r="G28" s="12">
        <v>0.05</v>
      </c>
      <c r="I28" s="11">
        <f t="shared" si="2"/>
        <v>6</v>
      </c>
      <c r="J28" s="13" cm="1">
        <f t="array" ref="J28">MAX(IF($N$3:$EH$3=$J$3,N28:EH28))</f>
        <v>0.3</v>
      </c>
      <c r="K28" s="13" cm="1">
        <f t="array" ref="K28">MAX(IF($N$3:$EH$3=$J$3,N28:EH28))</f>
        <v>0.3</v>
      </c>
      <c r="L28" s="11"/>
      <c r="O28" s="12">
        <v>0.3</v>
      </c>
      <c r="P28" s="12"/>
      <c r="Q28" s="12">
        <v>0.3</v>
      </c>
      <c r="R28" s="12"/>
      <c r="V28" s="12"/>
      <c r="W28" s="12"/>
      <c r="X28" s="12"/>
      <c r="Y28" s="12"/>
      <c r="AB28">
        <v>2</v>
      </c>
      <c r="AC28" s="12"/>
      <c r="AD28" s="12">
        <v>0.5</v>
      </c>
      <c r="AE28" s="12"/>
      <c r="AF28" s="12">
        <v>0.5</v>
      </c>
      <c r="AJ28" s="12"/>
      <c r="AK28" s="12">
        <v>0.5</v>
      </c>
      <c r="AL28" s="12"/>
      <c r="AM28" s="12">
        <v>0.5</v>
      </c>
      <c r="AQ28" s="12"/>
      <c r="AR28" s="12">
        <v>0.5</v>
      </c>
      <c r="AS28" s="12"/>
      <c r="AT28" s="12">
        <v>0.5</v>
      </c>
      <c r="AX28" s="12"/>
      <c r="AY28" s="12">
        <v>0.5</v>
      </c>
      <c r="AZ28" s="12"/>
      <c r="BA28" s="12">
        <v>0.5</v>
      </c>
      <c r="BE28" s="12"/>
      <c r="BF28" s="12">
        <v>0.5</v>
      </c>
      <c r="BG28" s="12"/>
      <c r="BH28" s="12">
        <v>0.5</v>
      </c>
      <c r="BK28">
        <v>2</v>
      </c>
      <c r="BL28" s="12"/>
      <c r="BM28" s="12">
        <v>0.8</v>
      </c>
      <c r="BN28" s="12"/>
      <c r="BO28" s="12">
        <v>0.8</v>
      </c>
      <c r="BS28" s="12"/>
      <c r="BT28" s="12">
        <v>0.8</v>
      </c>
      <c r="BU28" s="12"/>
      <c r="BV28" s="12">
        <v>0.8</v>
      </c>
      <c r="BZ28" s="12"/>
      <c r="CA28" s="12">
        <v>0.8</v>
      </c>
      <c r="CB28" s="12"/>
      <c r="CC28" s="12">
        <v>0.8</v>
      </c>
      <c r="CG28" s="12"/>
      <c r="CH28" s="12">
        <v>0.8</v>
      </c>
      <c r="CI28" s="12"/>
      <c r="CJ28" s="12">
        <v>0.8</v>
      </c>
      <c r="CM28">
        <v>2</v>
      </c>
      <c r="CN28" s="12"/>
      <c r="CO28" s="12">
        <v>1</v>
      </c>
      <c r="CP28" s="12"/>
      <c r="CQ28" s="12">
        <v>1</v>
      </c>
      <c r="CU28" s="12"/>
      <c r="CV28" s="12">
        <v>1</v>
      </c>
      <c r="CW28" s="12"/>
      <c r="CX28" s="12">
        <v>1</v>
      </c>
      <c r="DB28" s="12"/>
      <c r="DC28" s="12">
        <v>1</v>
      </c>
      <c r="DD28" s="12"/>
      <c r="DE28" s="12">
        <v>1</v>
      </c>
      <c r="DI28" s="12"/>
      <c r="DJ28" s="12">
        <v>1</v>
      </c>
      <c r="DK28" s="12"/>
      <c r="DL28" s="12">
        <v>1</v>
      </c>
      <c r="DP28" s="12"/>
      <c r="DQ28" s="12">
        <v>1</v>
      </c>
      <c r="DR28" s="12"/>
      <c r="DS28" s="12">
        <v>1</v>
      </c>
      <c r="DW28" s="12"/>
      <c r="DX28" s="12">
        <v>1</v>
      </c>
      <c r="DY28" s="12"/>
      <c r="DZ28" s="12">
        <v>1</v>
      </c>
    </row>
    <row r="29" spans="2:130" outlineLevel="1">
      <c r="B29" t="s">
        <v>21</v>
      </c>
      <c r="C29" t="s">
        <v>82</v>
      </c>
      <c r="E29" s="11"/>
      <c r="F29" t="s">
        <v>107</v>
      </c>
      <c r="G29" s="12">
        <v>0.1</v>
      </c>
      <c r="I29" s="11">
        <f t="shared" si="2"/>
        <v>6</v>
      </c>
      <c r="J29" s="13" cm="1">
        <f t="array" ref="J29">MAX(IF($N$3:$EH$3=$J$3,N29:EH29))</f>
        <v>0</v>
      </c>
      <c r="K29" s="13" cm="1">
        <f t="array" ref="K29">MAX(IF($N$3:$EH$3=$J$3,N29:EH29))</f>
        <v>0</v>
      </c>
      <c r="L29" s="11"/>
      <c r="O29" s="12"/>
      <c r="P29" s="12"/>
      <c r="Q29" s="12"/>
      <c r="R29" s="12"/>
      <c r="V29" s="12"/>
      <c r="W29" s="12"/>
      <c r="X29" s="12"/>
      <c r="Y29" s="12"/>
      <c r="AC29" s="12"/>
      <c r="AD29" s="12"/>
      <c r="AE29" s="12"/>
      <c r="AF29" s="12"/>
      <c r="AI29">
        <v>2</v>
      </c>
      <c r="AJ29" s="12"/>
      <c r="AK29" s="12">
        <v>0.5</v>
      </c>
      <c r="AL29" s="12"/>
      <c r="AM29" s="12">
        <v>0.5</v>
      </c>
      <c r="AQ29" s="12"/>
      <c r="AR29" s="12">
        <v>0.5</v>
      </c>
      <c r="AS29" s="12"/>
      <c r="AT29" s="12">
        <v>0.5</v>
      </c>
      <c r="AX29" s="12"/>
      <c r="AY29" s="12">
        <v>0.5</v>
      </c>
      <c r="AZ29" s="12"/>
      <c r="BA29" s="12">
        <v>0.5</v>
      </c>
      <c r="BE29" s="12"/>
      <c r="BF29" s="12">
        <v>0.5</v>
      </c>
      <c r="BG29" s="12"/>
      <c r="BH29" s="12">
        <v>0.5</v>
      </c>
      <c r="BK29">
        <v>2</v>
      </c>
      <c r="BL29" s="12"/>
      <c r="BM29" s="12">
        <v>0.8</v>
      </c>
      <c r="BN29" s="12"/>
      <c r="BO29" s="12">
        <v>0.8</v>
      </c>
      <c r="BS29" s="12"/>
      <c r="BT29" s="12">
        <v>0.8</v>
      </c>
      <c r="BU29" s="12"/>
      <c r="BV29" s="12">
        <v>0.8</v>
      </c>
      <c r="BZ29" s="12"/>
      <c r="CA29" s="12">
        <v>0.8</v>
      </c>
      <c r="CB29" s="12"/>
      <c r="CC29" s="12">
        <v>0.8</v>
      </c>
      <c r="CG29" s="12"/>
      <c r="CH29" s="12">
        <v>0.8</v>
      </c>
      <c r="CI29" s="12"/>
      <c r="CJ29" s="12">
        <v>0.8</v>
      </c>
      <c r="CM29">
        <v>2</v>
      </c>
      <c r="CN29" s="12"/>
      <c r="CO29" s="12">
        <v>1</v>
      </c>
      <c r="CP29" s="12"/>
      <c r="CQ29" s="12">
        <v>1</v>
      </c>
      <c r="CU29" s="12"/>
      <c r="CV29" s="12">
        <v>1</v>
      </c>
      <c r="CW29" s="12"/>
      <c r="CX29" s="12">
        <v>1</v>
      </c>
      <c r="DB29" s="12"/>
      <c r="DC29" s="12">
        <v>1</v>
      </c>
      <c r="DD29" s="12"/>
      <c r="DE29" s="12">
        <v>1</v>
      </c>
      <c r="DI29" s="12"/>
      <c r="DJ29" s="12">
        <v>1</v>
      </c>
      <c r="DK29" s="12"/>
      <c r="DL29" s="12">
        <v>1</v>
      </c>
      <c r="DP29" s="12"/>
      <c r="DQ29" s="12">
        <v>1</v>
      </c>
      <c r="DR29" s="12"/>
      <c r="DS29" s="12">
        <v>1</v>
      </c>
      <c r="DW29" s="12"/>
      <c r="DX29" s="12">
        <v>1</v>
      </c>
      <c r="DY29" s="12"/>
      <c r="DZ29" s="12">
        <v>1</v>
      </c>
    </row>
    <row r="30" spans="2:130" outlineLevel="1">
      <c r="B30" t="s">
        <v>21</v>
      </c>
      <c r="C30" t="s">
        <v>82</v>
      </c>
      <c r="E30" s="11"/>
      <c r="F30" t="s">
        <v>108</v>
      </c>
      <c r="G30" s="12">
        <v>0.1</v>
      </c>
      <c r="I30" s="11">
        <f t="shared" si="2"/>
        <v>6</v>
      </c>
      <c r="J30" s="13" cm="1">
        <f t="array" ref="J30">MAX(IF($N$3:$EH$3=$J$3,N30:EH30))</f>
        <v>0</v>
      </c>
      <c r="K30" s="13" cm="1">
        <f t="array" ref="K30">MAX(IF($N$3:$EH$3=$J$3,N30:EH30))</f>
        <v>0</v>
      </c>
      <c r="L30" s="11"/>
      <c r="O30" s="12"/>
      <c r="P30" s="12"/>
      <c r="Q30" s="12"/>
      <c r="R30" s="12"/>
      <c r="V30" s="12"/>
      <c r="W30" s="12"/>
      <c r="X30" s="12"/>
      <c r="Y30" s="12"/>
      <c r="AC30" s="12"/>
      <c r="AD30" s="12"/>
      <c r="AE30" s="12"/>
      <c r="AF30" s="12"/>
      <c r="AI30">
        <v>2</v>
      </c>
      <c r="AJ30" s="12"/>
      <c r="AK30" s="12">
        <v>0.5</v>
      </c>
      <c r="AL30" s="12"/>
      <c r="AM30" s="12">
        <v>0.5</v>
      </c>
      <c r="AQ30" s="12"/>
      <c r="AR30" s="12">
        <v>0.5</v>
      </c>
      <c r="AS30" s="12"/>
      <c r="AT30" s="12">
        <v>0.5</v>
      </c>
      <c r="AX30" s="12"/>
      <c r="AY30" s="12">
        <v>0.5</v>
      </c>
      <c r="AZ30" s="12"/>
      <c r="BA30" s="12">
        <v>0.5</v>
      </c>
      <c r="BE30" s="12"/>
      <c r="BF30" s="12">
        <v>0.5</v>
      </c>
      <c r="BG30" s="12"/>
      <c r="BH30" s="12">
        <v>0.5</v>
      </c>
      <c r="BL30" s="12"/>
      <c r="BM30" s="12">
        <v>0.5</v>
      </c>
      <c r="BN30" s="12"/>
      <c r="BO30" s="12">
        <v>0.5</v>
      </c>
      <c r="BR30">
        <v>2</v>
      </c>
      <c r="BS30" s="12"/>
      <c r="BT30" s="12">
        <v>0.8</v>
      </c>
      <c r="BU30" s="12"/>
      <c r="BV30" s="12">
        <v>0.8</v>
      </c>
      <c r="BZ30" s="12"/>
      <c r="CA30" s="12">
        <v>0.8</v>
      </c>
      <c r="CB30" s="12"/>
      <c r="CC30" s="12">
        <v>0.8</v>
      </c>
      <c r="CG30" s="12"/>
      <c r="CH30" s="12">
        <v>0.8</v>
      </c>
      <c r="CI30" s="12"/>
      <c r="CJ30" s="12">
        <v>0.8</v>
      </c>
      <c r="CM30">
        <v>2</v>
      </c>
      <c r="CN30" s="12"/>
      <c r="CO30" s="12">
        <v>1</v>
      </c>
      <c r="CP30" s="12"/>
      <c r="CQ30" s="12">
        <v>1</v>
      </c>
      <c r="CU30" s="12"/>
      <c r="CV30" s="12">
        <v>1</v>
      </c>
      <c r="CW30" s="12"/>
      <c r="CX30" s="12">
        <v>1</v>
      </c>
      <c r="DB30" s="12"/>
      <c r="DC30" s="12">
        <v>1</v>
      </c>
      <c r="DD30" s="12"/>
      <c r="DE30" s="12">
        <v>1</v>
      </c>
      <c r="DI30" s="12"/>
      <c r="DJ30" s="12">
        <v>1</v>
      </c>
      <c r="DK30" s="12"/>
      <c r="DL30" s="12">
        <v>1</v>
      </c>
      <c r="DP30" s="12"/>
      <c r="DQ30" s="12">
        <v>1</v>
      </c>
      <c r="DR30" s="12"/>
      <c r="DS30" s="12">
        <v>1</v>
      </c>
      <c r="DW30" s="12"/>
      <c r="DX30" s="12">
        <v>1</v>
      </c>
      <c r="DY30" s="12"/>
      <c r="DZ30" s="12">
        <v>1</v>
      </c>
    </row>
    <row r="31" spans="2:130" outlineLevel="1">
      <c r="B31" t="s">
        <v>21</v>
      </c>
      <c r="C31" t="s">
        <v>82</v>
      </c>
      <c r="E31" s="11"/>
      <c r="F31" t="s">
        <v>110</v>
      </c>
      <c r="G31" s="12">
        <v>0.1</v>
      </c>
      <c r="I31" s="11">
        <f t="shared" si="2"/>
        <v>6</v>
      </c>
      <c r="J31" s="13" cm="1">
        <f t="array" ref="J31">MAX(IF($N$3:$EH$3=$J$3,N31:EH31))</f>
        <v>0</v>
      </c>
      <c r="K31" s="13" cm="1">
        <f t="array" ref="K31">MAX(IF($N$3:$EH$3=$J$3,N31:EH31))</f>
        <v>0</v>
      </c>
      <c r="L31" s="11"/>
      <c r="O31" s="12"/>
      <c r="P31" s="12"/>
      <c r="Q31" s="12"/>
      <c r="R31" s="12"/>
      <c r="V31" s="12"/>
      <c r="W31" s="12"/>
      <c r="X31" s="12"/>
      <c r="Y31" s="12"/>
      <c r="AC31" s="12"/>
      <c r="AD31" s="12"/>
      <c r="AE31" s="12"/>
      <c r="AF31" s="12"/>
      <c r="AJ31" s="12"/>
      <c r="AK31" s="12"/>
      <c r="AL31" s="12"/>
      <c r="AM31" s="12"/>
      <c r="AP31">
        <v>2</v>
      </c>
      <c r="AQ31" s="12"/>
      <c r="AR31" s="12">
        <v>0.5</v>
      </c>
      <c r="AS31" s="12"/>
      <c r="AT31" s="12">
        <v>0.5</v>
      </c>
      <c r="AX31" s="12"/>
      <c r="AY31" s="12">
        <v>0.5</v>
      </c>
      <c r="AZ31" s="12"/>
      <c r="BA31" s="12">
        <v>0.5</v>
      </c>
      <c r="BE31" s="12"/>
      <c r="BF31" s="12">
        <v>0.5</v>
      </c>
      <c r="BG31" s="12"/>
      <c r="BH31" s="12">
        <v>0.5</v>
      </c>
      <c r="BL31" s="12"/>
      <c r="BM31" s="12">
        <v>0.5</v>
      </c>
      <c r="BN31" s="12"/>
      <c r="BO31" s="12">
        <v>0.5</v>
      </c>
      <c r="BR31">
        <v>2</v>
      </c>
      <c r="BS31" s="12"/>
      <c r="BT31" s="12">
        <v>0.8</v>
      </c>
      <c r="BU31" s="12"/>
      <c r="BV31" s="12">
        <v>0.8</v>
      </c>
      <c r="BZ31" s="12"/>
      <c r="CA31" s="12">
        <v>0.8</v>
      </c>
      <c r="CB31" s="12"/>
      <c r="CC31" s="12">
        <v>0.8</v>
      </c>
      <c r="CG31" s="12"/>
      <c r="CH31" s="12">
        <v>0.8</v>
      </c>
      <c r="CI31" s="12"/>
      <c r="CJ31" s="12">
        <v>0.8</v>
      </c>
      <c r="CN31" s="12"/>
      <c r="CO31" s="12">
        <v>0.8</v>
      </c>
      <c r="CP31" s="12"/>
      <c r="CQ31" s="12">
        <v>0.8</v>
      </c>
      <c r="CT31">
        <v>2</v>
      </c>
      <c r="CU31" s="12"/>
      <c r="CV31" s="12">
        <v>1</v>
      </c>
      <c r="CW31" s="12"/>
      <c r="CX31" s="12">
        <v>1</v>
      </c>
      <c r="DB31" s="12"/>
      <c r="DC31" s="12">
        <v>1</v>
      </c>
      <c r="DD31" s="12"/>
      <c r="DE31" s="12">
        <v>1</v>
      </c>
      <c r="DI31" s="12"/>
      <c r="DJ31" s="12">
        <v>1</v>
      </c>
      <c r="DK31" s="12"/>
      <c r="DL31" s="12">
        <v>1</v>
      </c>
      <c r="DP31" s="12"/>
      <c r="DQ31" s="12">
        <v>1</v>
      </c>
      <c r="DR31" s="12"/>
      <c r="DS31" s="12">
        <v>1</v>
      </c>
      <c r="DW31" s="12"/>
      <c r="DX31" s="12">
        <v>1</v>
      </c>
      <c r="DY31" s="12"/>
      <c r="DZ31" s="12">
        <v>1</v>
      </c>
    </row>
    <row r="32" spans="2:130" outlineLevel="1">
      <c r="B32" t="s">
        <v>21</v>
      </c>
      <c r="C32" t="s">
        <v>82</v>
      </c>
      <c r="E32" s="11"/>
      <c r="F32" t="s">
        <v>111</v>
      </c>
      <c r="G32" s="12">
        <v>0.1</v>
      </c>
      <c r="I32" s="11">
        <f t="shared" si="2"/>
        <v>6</v>
      </c>
      <c r="J32" s="13" cm="1">
        <f t="array" ref="J32">MAX(IF($N$3:$EH$3=$J$3,N32:EH32))</f>
        <v>0</v>
      </c>
      <c r="K32" s="13" cm="1">
        <f t="array" ref="K32">MAX(IF($N$3:$EH$3=$J$3,N32:EH32))</f>
        <v>0</v>
      </c>
      <c r="L32" s="11"/>
      <c r="O32" s="12"/>
      <c r="P32" s="12"/>
      <c r="Q32" s="12"/>
      <c r="R32" s="12"/>
      <c r="V32" s="12"/>
      <c r="W32" s="12"/>
      <c r="X32" s="12"/>
      <c r="Y32" s="12"/>
      <c r="AC32" s="12"/>
      <c r="AD32" s="12"/>
      <c r="AE32" s="12"/>
      <c r="AF32" s="12"/>
      <c r="AJ32" s="12"/>
      <c r="AK32" s="12"/>
      <c r="AL32" s="12"/>
      <c r="AM32" s="12"/>
      <c r="AP32">
        <v>2</v>
      </c>
      <c r="AQ32" s="12"/>
      <c r="AR32" s="12">
        <v>0.5</v>
      </c>
      <c r="AS32" s="12"/>
      <c r="AT32" s="12">
        <v>0.5</v>
      </c>
      <c r="AX32" s="12"/>
      <c r="AY32" s="12">
        <v>0.5</v>
      </c>
      <c r="AZ32" s="12"/>
      <c r="BA32" s="12">
        <v>0.5</v>
      </c>
      <c r="BE32" s="12"/>
      <c r="BF32" s="12">
        <v>0.5</v>
      </c>
      <c r="BG32" s="12"/>
      <c r="BH32" s="12">
        <v>0.5</v>
      </c>
      <c r="BL32" s="12"/>
      <c r="BM32" s="12">
        <v>0.5</v>
      </c>
      <c r="BN32" s="12"/>
      <c r="BO32" s="12">
        <v>0.5</v>
      </c>
      <c r="BR32">
        <v>2</v>
      </c>
      <c r="BS32" s="12"/>
      <c r="BT32" s="12">
        <v>0.8</v>
      </c>
      <c r="BU32" s="12"/>
      <c r="BV32" s="12">
        <v>0.8</v>
      </c>
      <c r="BZ32" s="12"/>
      <c r="CA32" s="12">
        <v>0.8</v>
      </c>
      <c r="CB32" s="12"/>
      <c r="CC32" s="12">
        <v>0.8</v>
      </c>
      <c r="CG32" s="12"/>
      <c r="CH32" s="12">
        <v>0.8</v>
      </c>
      <c r="CI32" s="12"/>
      <c r="CJ32" s="12">
        <v>0.8</v>
      </c>
      <c r="CN32" s="12"/>
      <c r="CO32" s="12">
        <v>0.8</v>
      </c>
      <c r="CP32" s="12"/>
      <c r="CQ32" s="12">
        <v>0.8</v>
      </c>
      <c r="CT32">
        <v>2</v>
      </c>
      <c r="CU32" s="12"/>
      <c r="CV32" s="12">
        <v>1</v>
      </c>
      <c r="CW32" s="12"/>
      <c r="CX32" s="12">
        <v>1</v>
      </c>
      <c r="DB32" s="12"/>
      <c r="DC32" s="12">
        <v>1</v>
      </c>
      <c r="DD32" s="12"/>
      <c r="DE32" s="12">
        <v>1</v>
      </c>
      <c r="DI32" s="12"/>
      <c r="DJ32" s="12">
        <v>1</v>
      </c>
      <c r="DK32" s="12"/>
      <c r="DL32" s="12">
        <v>1</v>
      </c>
      <c r="DP32" s="12"/>
      <c r="DQ32" s="12">
        <v>1</v>
      </c>
      <c r="DR32" s="12"/>
      <c r="DS32" s="12">
        <v>1</v>
      </c>
      <c r="DW32" s="12"/>
      <c r="DX32" s="12">
        <v>1</v>
      </c>
      <c r="DY32" s="12"/>
      <c r="DZ32" s="12">
        <v>1</v>
      </c>
    </row>
    <row r="33" spans="2:130" outlineLevel="1">
      <c r="B33" t="s">
        <v>21</v>
      </c>
      <c r="C33" t="s">
        <v>82</v>
      </c>
      <c r="E33" s="11"/>
      <c r="F33" t="s">
        <v>109</v>
      </c>
      <c r="G33" s="12">
        <v>0.1</v>
      </c>
      <c r="I33" s="11">
        <f t="shared" si="2"/>
        <v>6</v>
      </c>
      <c r="J33" s="13" cm="1">
        <f t="array" ref="J33">MAX(IF($N$3:$EH$3=$J$3,N33:EH33))</f>
        <v>0</v>
      </c>
      <c r="K33" s="13" cm="1">
        <f t="array" ref="K33">MAX(IF($N$3:$EH$3=$J$3,N33:EH33))</f>
        <v>0</v>
      </c>
      <c r="L33" s="11"/>
      <c r="O33" s="12"/>
      <c r="P33" s="12"/>
      <c r="Q33" s="12"/>
      <c r="R33" s="12"/>
      <c r="V33" s="12"/>
      <c r="W33" s="12"/>
      <c r="X33" s="12"/>
      <c r="Y33" s="12"/>
      <c r="AC33" s="12"/>
      <c r="AD33" s="12"/>
      <c r="AE33" s="12"/>
      <c r="AF33" s="12"/>
      <c r="AJ33" s="12"/>
      <c r="AK33" s="12"/>
      <c r="AL33" s="12"/>
      <c r="AM33" s="12"/>
      <c r="AQ33" s="12"/>
      <c r="AR33" s="12"/>
      <c r="AS33" s="12"/>
      <c r="AT33" s="12"/>
      <c r="AW33">
        <v>2</v>
      </c>
      <c r="AX33" s="12"/>
      <c r="AY33" s="12">
        <v>0.5</v>
      </c>
      <c r="AZ33" s="12"/>
      <c r="BA33" s="12">
        <v>0.5</v>
      </c>
      <c r="BE33" s="12"/>
      <c r="BF33" s="12">
        <v>0.5</v>
      </c>
      <c r="BG33" s="12"/>
      <c r="BH33" s="12">
        <v>0.5</v>
      </c>
      <c r="BL33" s="12"/>
      <c r="BM33" s="12">
        <v>0.5</v>
      </c>
      <c r="BN33" s="12"/>
      <c r="BO33" s="12">
        <v>0.5</v>
      </c>
      <c r="BR33">
        <v>2</v>
      </c>
      <c r="BS33" s="12"/>
      <c r="BT33" s="12">
        <v>0.8</v>
      </c>
      <c r="BU33" s="12"/>
      <c r="BV33" s="12">
        <v>0.8</v>
      </c>
      <c r="BZ33" s="12"/>
      <c r="CA33" s="12">
        <v>0.8</v>
      </c>
      <c r="CB33" s="12"/>
      <c r="CC33" s="12">
        <v>0.8</v>
      </c>
      <c r="CG33" s="12"/>
      <c r="CH33" s="12">
        <v>0.8</v>
      </c>
      <c r="CI33" s="12"/>
      <c r="CJ33" s="12">
        <v>0.8</v>
      </c>
      <c r="CN33" s="12"/>
      <c r="CO33" s="12">
        <v>0.8</v>
      </c>
      <c r="CP33" s="12"/>
      <c r="CQ33" s="12">
        <v>0.8</v>
      </c>
      <c r="CT33">
        <v>2</v>
      </c>
      <c r="CU33" s="12"/>
      <c r="CV33" s="12">
        <v>1</v>
      </c>
      <c r="CW33" s="12"/>
      <c r="CX33" s="12">
        <v>1</v>
      </c>
      <c r="DB33" s="12"/>
      <c r="DC33" s="12">
        <v>1</v>
      </c>
      <c r="DD33" s="12"/>
      <c r="DE33" s="12">
        <v>1</v>
      </c>
      <c r="DI33" s="12"/>
      <c r="DJ33" s="12">
        <v>1</v>
      </c>
      <c r="DK33" s="12"/>
      <c r="DL33" s="12">
        <v>1</v>
      </c>
      <c r="DP33" s="12"/>
      <c r="DQ33" s="12">
        <v>1</v>
      </c>
      <c r="DR33" s="12"/>
      <c r="DS33" s="12">
        <v>1</v>
      </c>
      <c r="DW33" s="12"/>
      <c r="DX33" s="12">
        <v>1</v>
      </c>
      <c r="DY33" s="12"/>
      <c r="DZ33" s="12">
        <v>1</v>
      </c>
    </row>
    <row r="34" spans="2:130" outlineLevel="1">
      <c r="B34" t="s">
        <v>21</v>
      </c>
      <c r="C34" t="s">
        <v>82</v>
      </c>
      <c r="E34" s="11"/>
      <c r="F34" t="s">
        <v>112</v>
      </c>
      <c r="G34" s="12">
        <v>0.1</v>
      </c>
      <c r="I34" s="11">
        <f t="shared" si="2"/>
        <v>6</v>
      </c>
      <c r="J34" s="13" cm="1">
        <f t="array" ref="J34">MAX(IF($N$3:$EH$3=$J$3,N34:EH34))</f>
        <v>0</v>
      </c>
      <c r="K34" s="13" cm="1">
        <f t="array" ref="K34">MAX(IF($N$3:$EH$3=$J$3,N34:EH34))</f>
        <v>0</v>
      </c>
      <c r="L34" s="11"/>
      <c r="O34" s="12"/>
      <c r="P34" s="12"/>
      <c r="Q34" s="12"/>
      <c r="R34" s="12"/>
      <c r="V34" s="12"/>
      <c r="W34" s="12"/>
      <c r="X34" s="12"/>
      <c r="Y34" s="12"/>
      <c r="AC34" s="12"/>
      <c r="AD34" s="12"/>
      <c r="AE34" s="12"/>
      <c r="AF34" s="12"/>
      <c r="AJ34" s="12"/>
      <c r="AK34" s="12"/>
      <c r="AL34" s="12"/>
      <c r="AM34" s="12"/>
      <c r="AQ34" s="12"/>
      <c r="AR34" s="12"/>
      <c r="AS34" s="12"/>
      <c r="AT34" s="12"/>
      <c r="AW34">
        <v>2</v>
      </c>
      <c r="AX34" s="12"/>
      <c r="AY34" s="12">
        <v>0.5</v>
      </c>
      <c r="AZ34" s="12"/>
      <c r="BA34" s="12">
        <v>0.5</v>
      </c>
      <c r="BE34" s="12"/>
      <c r="BF34" s="12">
        <v>0.5</v>
      </c>
      <c r="BG34" s="12"/>
      <c r="BH34" s="12">
        <v>0.5</v>
      </c>
      <c r="BL34" s="12"/>
      <c r="BM34" s="12">
        <v>0.5</v>
      </c>
      <c r="BN34" s="12"/>
      <c r="BO34" s="12">
        <v>0.5</v>
      </c>
      <c r="BS34" s="12"/>
      <c r="BT34" s="12">
        <v>0.5</v>
      </c>
      <c r="BU34" s="12"/>
      <c r="BV34" s="12">
        <v>0.5</v>
      </c>
      <c r="BY34">
        <v>2</v>
      </c>
      <c r="BZ34" s="12"/>
      <c r="CA34" s="12">
        <v>0.8</v>
      </c>
      <c r="CB34" s="12"/>
      <c r="CC34" s="12">
        <v>0.8</v>
      </c>
      <c r="CG34" s="12"/>
      <c r="CH34" s="12">
        <v>0.8</v>
      </c>
      <c r="CI34" s="12"/>
      <c r="CJ34" s="12">
        <v>0.8</v>
      </c>
      <c r="CN34" s="12"/>
      <c r="CO34" s="12">
        <v>0.8</v>
      </c>
      <c r="CP34" s="12"/>
      <c r="CQ34" s="12">
        <v>0.8</v>
      </c>
      <c r="CT34">
        <v>2</v>
      </c>
      <c r="CU34" s="12"/>
      <c r="CV34" s="12">
        <v>1</v>
      </c>
      <c r="CW34" s="12"/>
      <c r="CX34" s="12">
        <v>1</v>
      </c>
      <c r="DB34" s="12"/>
      <c r="DC34" s="12">
        <v>1</v>
      </c>
      <c r="DD34" s="12"/>
      <c r="DE34" s="12">
        <v>1</v>
      </c>
      <c r="DI34" s="12"/>
      <c r="DJ34" s="12">
        <v>1</v>
      </c>
      <c r="DK34" s="12"/>
      <c r="DL34" s="12">
        <v>1</v>
      </c>
      <c r="DP34" s="12"/>
      <c r="DQ34" s="12">
        <v>1</v>
      </c>
      <c r="DR34" s="12"/>
      <c r="DS34" s="12">
        <v>1</v>
      </c>
      <c r="DW34" s="12"/>
      <c r="DX34" s="12">
        <v>1</v>
      </c>
      <c r="DY34" s="12"/>
      <c r="DZ34" s="12">
        <v>1</v>
      </c>
    </row>
    <row r="35" spans="2:130" outlineLevel="1">
      <c r="B35" t="s">
        <v>21</v>
      </c>
      <c r="C35" t="s">
        <v>82</v>
      </c>
      <c r="E35" s="11"/>
      <c r="F35" t="s">
        <v>113</v>
      </c>
      <c r="G35" s="12">
        <v>0.05</v>
      </c>
      <c r="I35" s="11">
        <f t="shared" si="2"/>
        <v>6</v>
      </c>
      <c r="J35" s="13" cm="1">
        <f t="array" ref="J35">MAX(IF($N$3:$EH$3=$J$3,N35:EH35))</f>
        <v>0</v>
      </c>
      <c r="K35" s="13" cm="1">
        <f t="array" ref="K35">MAX(IF($N$3:$EH$3=$J$3,N35:EH35))</f>
        <v>0</v>
      </c>
      <c r="L35" s="11"/>
      <c r="O35" s="12"/>
      <c r="P35" s="12"/>
      <c r="Q35" s="12"/>
      <c r="R35" s="12"/>
      <c r="V35" s="12"/>
      <c r="W35" s="12"/>
      <c r="X35" s="12"/>
      <c r="Y35" s="12"/>
      <c r="AC35" s="12"/>
      <c r="AD35" s="12"/>
      <c r="AE35" s="12"/>
      <c r="AF35" s="12"/>
      <c r="AJ35" s="12"/>
      <c r="AK35" s="12"/>
      <c r="AL35" s="12"/>
      <c r="AM35" s="12"/>
      <c r="AQ35" s="12"/>
      <c r="AR35" s="12"/>
      <c r="AS35" s="12"/>
      <c r="AT35" s="12"/>
      <c r="AW35">
        <v>2</v>
      </c>
      <c r="AX35" s="12"/>
      <c r="AY35" s="12">
        <v>0.5</v>
      </c>
      <c r="AZ35" s="12"/>
      <c r="BA35" s="12">
        <v>0.5</v>
      </c>
      <c r="BE35" s="12"/>
      <c r="BF35" s="12">
        <v>0.5</v>
      </c>
      <c r="BG35" s="12"/>
      <c r="BH35" s="12">
        <v>0.5</v>
      </c>
      <c r="BL35" s="12"/>
      <c r="BM35" s="12">
        <v>0.5</v>
      </c>
      <c r="BN35" s="12"/>
      <c r="BO35" s="12">
        <v>0.5</v>
      </c>
      <c r="BS35" s="12"/>
      <c r="BT35" s="12">
        <v>0.5</v>
      </c>
      <c r="BU35" s="12"/>
      <c r="BV35" s="12">
        <v>0.5</v>
      </c>
      <c r="BY35">
        <v>2</v>
      </c>
      <c r="BZ35" s="12"/>
      <c r="CA35" s="12">
        <v>0.8</v>
      </c>
      <c r="CB35" s="12"/>
      <c r="CC35" s="12">
        <v>0.8</v>
      </c>
      <c r="CG35" s="12"/>
      <c r="CH35" s="12">
        <v>0.8</v>
      </c>
      <c r="CI35" s="12"/>
      <c r="CJ35" s="12">
        <v>0.8</v>
      </c>
      <c r="CN35" s="12"/>
      <c r="CO35" s="12">
        <v>0.8</v>
      </c>
      <c r="CP35" s="12"/>
      <c r="CQ35" s="12">
        <v>0.8</v>
      </c>
      <c r="CU35" s="12"/>
      <c r="CV35" s="12">
        <v>0.8</v>
      </c>
      <c r="CW35" s="12"/>
      <c r="CX35" s="12">
        <v>0.8</v>
      </c>
      <c r="DA35">
        <v>2</v>
      </c>
      <c r="DB35" s="12"/>
      <c r="DC35" s="12">
        <v>1</v>
      </c>
      <c r="DD35" s="12"/>
      <c r="DE35" s="12">
        <v>1</v>
      </c>
      <c r="DI35" s="12"/>
      <c r="DJ35" s="12">
        <v>1</v>
      </c>
      <c r="DK35" s="12"/>
      <c r="DL35" s="12">
        <v>1</v>
      </c>
      <c r="DP35" s="12"/>
      <c r="DQ35" s="12">
        <v>1</v>
      </c>
      <c r="DR35" s="12"/>
      <c r="DS35" s="12">
        <v>1</v>
      </c>
      <c r="DW35" s="12"/>
      <c r="DX35" s="12">
        <v>1</v>
      </c>
      <c r="DY35" s="12"/>
      <c r="DZ35" s="12">
        <v>1</v>
      </c>
    </row>
    <row r="36" spans="2:130" outlineLevel="1">
      <c r="B36" t="s">
        <v>21</v>
      </c>
      <c r="C36" t="s">
        <v>82</v>
      </c>
      <c r="E36" s="11"/>
      <c r="F36" t="s">
        <v>114</v>
      </c>
      <c r="G36" s="24">
        <v>0.15</v>
      </c>
      <c r="I36" s="11">
        <f t="shared" si="2"/>
        <v>6</v>
      </c>
      <c r="J36" s="13" cm="1">
        <f t="array" ref="J36">MAX(IF($N$3:$EH$3=$J$3,N36:EH36))</f>
        <v>0</v>
      </c>
      <c r="K36" s="13" cm="1">
        <f t="array" ref="K36">MAX(IF($N$3:$EH$3=$J$3,N36:EH36))</f>
        <v>0</v>
      </c>
      <c r="L36" s="11"/>
      <c r="O36" s="12"/>
      <c r="P36" s="12"/>
      <c r="Q36" s="12"/>
      <c r="R36" s="12"/>
      <c r="V36" s="12"/>
      <c r="W36" s="12"/>
      <c r="X36" s="12"/>
      <c r="Y36" s="12"/>
      <c r="AC36" s="12"/>
      <c r="AD36" s="12"/>
      <c r="AE36" s="12"/>
      <c r="AF36" s="12"/>
      <c r="AJ36" s="12"/>
      <c r="AK36" s="12"/>
      <c r="AL36" s="12"/>
      <c r="AM36" s="12"/>
      <c r="AQ36" s="12"/>
      <c r="AR36" s="12"/>
      <c r="AS36" s="12"/>
      <c r="AT36" s="12"/>
      <c r="AX36" s="12"/>
      <c r="AY36" s="12"/>
      <c r="AZ36" s="12"/>
      <c r="BA36" s="12"/>
      <c r="BD36">
        <v>2</v>
      </c>
      <c r="BE36" s="12"/>
      <c r="BF36" s="12">
        <v>0.5</v>
      </c>
      <c r="BG36" s="12"/>
      <c r="BH36" s="12">
        <v>0.5</v>
      </c>
      <c r="BL36" s="12"/>
      <c r="BM36" s="12">
        <v>0.5</v>
      </c>
      <c r="BN36" s="12"/>
      <c r="BO36" s="12">
        <v>0.5</v>
      </c>
      <c r="BS36" s="12"/>
      <c r="BT36" s="12">
        <v>0.5</v>
      </c>
      <c r="BU36" s="12"/>
      <c r="BV36" s="12">
        <v>0.5</v>
      </c>
      <c r="BY36">
        <v>2</v>
      </c>
      <c r="BZ36" s="12"/>
      <c r="CA36" s="12">
        <v>0.8</v>
      </c>
      <c r="CB36" s="12"/>
      <c r="CC36" s="12">
        <v>0.8</v>
      </c>
      <c r="CG36" s="12"/>
      <c r="CH36" s="12">
        <v>0.8</v>
      </c>
      <c r="CI36" s="12"/>
      <c r="CJ36" s="12">
        <v>0.8</v>
      </c>
      <c r="CN36" s="12"/>
      <c r="CO36" s="12">
        <v>0.8</v>
      </c>
      <c r="CP36" s="12"/>
      <c r="CQ36" s="12">
        <v>0.8</v>
      </c>
      <c r="CU36" s="12"/>
      <c r="CV36" s="12">
        <v>0.8</v>
      </c>
      <c r="CW36" s="12"/>
      <c r="CX36" s="12">
        <v>0.8</v>
      </c>
      <c r="DA36">
        <v>2</v>
      </c>
      <c r="DB36" s="12"/>
      <c r="DC36" s="12">
        <v>1</v>
      </c>
      <c r="DD36" s="12"/>
      <c r="DE36" s="12">
        <v>1</v>
      </c>
      <c r="DI36" s="12"/>
      <c r="DJ36" s="12">
        <v>1</v>
      </c>
      <c r="DK36" s="12"/>
      <c r="DL36" s="12">
        <v>1</v>
      </c>
      <c r="DP36" s="12"/>
      <c r="DQ36" s="12">
        <v>1</v>
      </c>
      <c r="DR36" s="12"/>
      <c r="DS36" s="12">
        <v>1</v>
      </c>
      <c r="DW36" s="12"/>
      <c r="DX36" s="12">
        <v>1</v>
      </c>
      <c r="DY36" s="12"/>
      <c r="DZ36" s="12">
        <v>1</v>
      </c>
    </row>
    <row r="37" spans="2:130" outlineLevel="1">
      <c r="B37" t="s">
        <v>21</v>
      </c>
      <c r="C37" t="s">
        <v>82</v>
      </c>
      <c r="E37" s="11"/>
      <c r="F37" t="s">
        <v>115</v>
      </c>
      <c r="G37" s="24">
        <v>0.15</v>
      </c>
      <c r="I37" s="11">
        <f t="shared" si="2"/>
        <v>6</v>
      </c>
      <c r="J37" s="13" cm="1">
        <f t="array" ref="J37">MAX(IF($N$3:$EH$3=$J$3,N37:EH37))</f>
        <v>0</v>
      </c>
      <c r="K37" s="13" cm="1">
        <f t="array" ref="K37">MAX(IF($N$3:$EH$3=$J$3,N37:EH37))</f>
        <v>0</v>
      </c>
      <c r="L37" s="11"/>
      <c r="O37" s="12"/>
      <c r="P37" s="12"/>
      <c r="Q37" s="12"/>
      <c r="R37" s="12"/>
      <c r="V37" s="12"/>
      <c r="W37" s="12"/>
      <c r="X37" s="12"/>
      <c r="Y37" s="12"/>
      <c r="AC37" s="12"/>
      <c r="AD37" s="12"/>
      <c r="AE37" s="12"/>
      <c r="AF37" s="12"/>
      <c r="AJ37" s="12"/>
      <c r="AK37" s="12"/>
      <c r="AL37" s="12"/>
      <c r="AM37" s="12"/>
      <c r="AQ37" s="12"/>
      <c r="AR37" s="12"/>
      <c r="AS37" s="12"/>
      <c r="AT37" s="12"/>
      <c r="AX37" s="12"/>
      <c r="AY37" s="12"/>
      <c r="AZ37" s="12"/>
      <c r="BA37" s="12"/>
      <c r="BD37">
        <v>2</v>
      </c>
      <c r="BE37" s="12"/>
      <c r="BF37" s="12">
        <v>0.5</v>
      </c>
      <c r="BG37" s="12"/>
      <c r="BH37" s="12">
        <v>0.5</v>
      </c>
      <c r="BL37" s="12"/>
      <c r="BM37" s="12">
        <v>0.5</v>
      </c>
      <c r="BN37" s="12"/>
      <c r="BO37" s="12">
        <v>0.5</v>
      </c>
      <c r="BS37" s="12"/>
      <c r="BT37" s="12">
        <v>0.5</v>
      </c>
      <c r="BU37" s="12"/>
      <c r="BV37" s="12">
        <v>0.5</v>
      </c>
      <c r="BZ37" s="12"/>
      <c r="CA37" s="12">
        <v>0.5</v>
      </c>
      <c r="CB37" s="12"/>
      <c r="CC37" s="12">
        <v>0.5</v>
      </c>
      <c r="CF37">
        <v>2</v>
      </c>
      <c r="CG37" s="12"/>
      <c r="CH37" s="12">
        <v>0.8</v>
      </c>
      <c r="CI37" s="12"/>
      <c r="CJ37" s="12">
        <v>0.8</v>
      </c>
      <c r="CN37" s="12"/>
      <c r="CO37" s="12">
        <v>0.8</v>
      </c>
      <c r="CP37" s="12"/>
      <c r="CQ37" s="12">
        <v>0.8</v>
      </c>
      <c r="CU37" s="12"/>
      <c r="CV37" s="12">
        <v>0.8</v>
      </c>
      <c r="CW37" s="12"/>
      <c r="CX37" s="12">
        <v>0.8</v>
      </c>
      <c r="DA37">
        <v>2</v>
      </c>
      <c r="DB37" s="12"/>
      <c r="DC37" s="12">
        <v>1</v>
      </c>
      <c r="DD37" s="12"/>
      <c r="DE37" s="12">
        <v>1</v>
      </c>
      <c r="DI37" s="12"/>
      <c r="DJ37" s="12">
        <v>1</v>
      </c>
      <c r="DK37" s="12"/>
      <c r="DL37" s="12">
        <v>1</v>
      </c>
      <c r="DP37" s="12"/>
      <c r="DQ37" s="12">
        <v>1</v>
      </c>
      <c r="DR37" s="12"/>
      <c r="DS37" s="12">
        <v>1</v>
      </c>
      <c r="DW37" s="12"/>
      <c r="DX37" s="12">
        <v>1</v>
      </c>
      <c r="DY37" s="12"/>
      <c r="DZ37" s="12">
        <v>1</v>
      </c>
    </row>
    <row r="38" spans="2:130" outlineLevel="1">
      <c r="E38" s="11"/>
      <c r="G38" s="12"/>
      <c r="I38" s="11"/>
      <c r="J38" s="13"/>
      <c r="K38" s="13"/>
      <c r="L38" s="11"/>
      <c r="O38" s="12"/>
      <c r="P38" s="12"/>
      <c r="Q38" s="12"/>
      <c r="R38" s="12"/>
      <c r="V38" s="12"/>
      <c r="W38" s="12"/>
      <c r="X38" s="12"/>
      <c r="Y38" s="12"/>
      <c r="AC38" s="12"/>
      <c r="AD38" s="12"/>
      <c r="AE38" s="12"/>
      <c r="AF38" s="12"/>
      <c r="AJ38" s="12"/>
      <c r="AK38" s="12"/>
      <c r="AL38" s="12"/>
      <c r="AM38" s="12"/>
      <c r="AQ38" s="12"/>
      <c r="AR38" s="12"/>
      <c r="AS38" s="12"/>
      <c r="AT38" s="12"/>
      <c r="AX38" s="12"/>
      <c r="AY38" s="12"/>
      <c r="AZ38" s="12"/>
      <c r="BA38" s="12"/>
      <c r="BE38" s="12"/>
      <c r="BF38" s="12"/>
      <c r="BG38" s="12"/>
      <c r="BH38" s="12"/>
      <c r="BL38" s="12"/>
      <c r="BM38" s="12"/>
      <c r="BN38" s="12"/>
      <c r="BO38" s="12"/>
      <c r="BS38" s="12"/>
      <c r="BT38" s="12"/>
      <c r="BU38" s="12"/>
      <c r="BV38" s="12"/>
      <c r="BZ38" s="12"/>
      <c r="CA38" s="12"/>
      <c r="CB38" s="12"/>
      <c r="CC38" s="12"/>
      <c r="CG38" s="12"/>
      <c r="CH38" s="12"/>
      <c r="CI38" s="12"/>
      <c r="CJ38" s="12"/>
      <c r="CN38" s="12"/>
      <c r="CO38" s="12"/>
      <c r="CP38" s="12"/>
      <c r="CQ38" s="12"/>
      <c r="CU38" s="12"/>
      <c r="CV38" s="12"/>
      <c r="CW38" s="12"/>
      <c r="CX38" s="12"/>
      <c r="DB38" s="12"/>
      <c r="DC38" s="12"/>
      <c r="DD38" s="12"/>
      <c r="DE38" s="12"/>
      <c r="DI38" s="12"/>
      <c r="DJ38" s="12"/>
      <c r="DK38" s="12"/>
      <c r="DL38" s="12"/>
      <c r="DP38" s="12"/>
      <c r="DQ38" s="12"/>
      <c r="DR38" s="12"/>
      <c r="DS38" s="12"/>
      <c r="DW38" s="12"/>
      <c r="DX38" s="12"/>
      <c r="DY38" s="12"/>
      <c r="DZ38" s="12"/>
    </row>
    <row r="39" spans="2:130">
      <c r="B39" t="s">
        <v>20</v>
      </c>
      <c r="C39" t="s">
        <v>83</v>
      </c>
      <c r="D39" s="22" t="s">
        <v>169</v>
      </c>
      <c r="E39" s="11">
        <v>3</v>
      </c>
      <c r="G39" s="12">
        <f>+SUM(G40:G46)</f>
        <v>1</v>
      </c>
      <c r="I39" s="14">
        <f>+SUM(I40:I46)</f>
        <v>36</v>
      </c>
      <c r="J39" s="13">
        <f>+SUMPRODUCT(G40:G46,J40:J46)</f>
        <v>8.0000000000000016E-2</v>
      </c>
      <c r="K39" s="13">
        <f>+SUMPRODUCT(G40:G46,K40:K46)</f>
        <v>8.0000000000000016E-2</v>
      </c>
      <c r="L39" s="11"/>
      <c r="N39" s="14">
        <f>+SUM(N40:N46)</f>
        <v>0</v>
      </c>
      <c r="U39" s="14">
        <v>1</v>
      </c>
      <c r="AB39" s="14">
        <v>1</v>
      </c>
      <c r="AI39" s="14">
        <f>+SUM(AI40:AI46)</f>
        <v>1</v>
      </c>
      <c r="AP39" s="14">
        <f>+SUM(AP40:AP46)</f>
        <v>1</v>
      </c>
      <c r="AW39">
        <v>4</v>
      </c>
      <c r="BD39">
        <v>4</v>
      </c>
      <c r="BK39">
        <v>4</v>
      </c>
      <c r="BR39">
        <v>4</v>
      </c>
      <c r="BY39">
        <v>4</v>
      </c>
      <c r="CF39">
        <v>4</v>
      </c>
      <c r="CM39">
        <v>4</v>
      </c>
      <c r="CT39">
        <v>4</v>
      </c>
    </row>
    <row r="40" spans="2:130" outlineLevel="1">
      <c r="B40" t="s">
        <v>21</v>
      </c>
      <c r="C40" t="s">
        <v>83</v>
      </c>
      <c r="E40" s="11"/>
      <c r="F40" t="s">
        <v>116</v>
      </c>
      <c r="G40" s="12">
        <v>0.2</v>
      </c>
      <c r="I40" s="11">
        <f t="shared" ref="I40:I55" si="3">+SUMIF($N$3:$ZZ$3,I$3,$N40:$ZZ40)</f>
        <v>6</v>
      </c>
      <c r="J40" s="13" cm="1">
        <f t="array" ref="J40">MAX(IF($N$3:$EH$3=$J$3,N40:EH40))</f>
        <v>0.2</v>
      </c>
      <c r="K40" s="13" cm="1">
        <f t="array" ref="K40">MAX(IF($N$3:$EH$3=$J$3,N40:EH40))</f>
        <v>0.2</v>
      </c>
      <c r="L40" s="11"/>
      <c r="O40" s="12">
        <v>0.2</v>
      </c>
      <c r="P40" s="12"/>
      <c r="Q40" s="12">
        <v>0.5</v>
      </c>
      <c r="R40" s="12"/>
      <c r="U40">
        <v>1</v>
      </c>
      <c r="V40" s="12"/>
      <c r="W40" s="12">
        <v>0.3</v>
      </c>
      <c r="X40" s="12"/>
      <c r="Y40" s="12">
        <v>0.3</v>
      </c>
      <c r="AB40">
        <v>1</v>
      </c>
      <c r="AC40" s="12"/>
      <c r="AD40" s="12">
        <v>0.5</v>
      </c>
      <c r="AE40" s="12"/>
      <c r="AF40" s="12">
        <v>0.5</v>
      </c>
      <c r="AJ40" s="12"/>
      <c r="AK40" s="12">
        <v>0.5</v>
      </c>
      <c r="AL40" s="12"/>
      <c r="AM40" s="12">
        <v>0.5</v>
      </c>
      <c r="AQ40" s="12"/>
      <c r="AR40" s="12">
        <v>0.5</v>
      </c>
      <c r="AS40" s="12"/>
      <c r="AT40" s="12">
        <v>0.5</v>
      </c>
      <c r="AX40" s="12"/>
      <c r="AY40" s="12">
        <v>0.5</v>
      </c>
      <c r="AZ40" s="12"/>
      <c r="BA40" s="12">
        <v>0.5</v>
      </c>
      <c r="BE40" s="12"/>
      <c r="BF40" s="12">
        <v>0.5</v>
      </c>
      <c r="BG40" s="12"/>
      <c r="BH40" s="12">
        <v>0.5</v>
      </c>
      <c r="BK40">
        <v>2</v>
      </c>
      <c r="BL40" s="12"/>
      <c r="BM40" s="12">
        <v>0.8</v>
      </c>
      <c r="BN40" s="12"/>
      <c r="BO40" s="12">
        <v>0.8</v>
      </c>
      <c r="BS40" s="12"/>
      <c r="BT40" s="12">
        <v>0.8</v>
      </c>
      <c r="BU40" s="12"/>
      <c r="BV40" s="12">
        <v>0.8</v>
      </c>
      <c r="BZ40" s="12"/>
      <c r="CA40" s="12">
        <v>0.8</v>
      </c>
      <c r="CB40" s="12"/>
      <c r="CC40" s="12">
        <v>0.8</v>
      </c>
      <c r="CF40">
        <v>2</v>
      </c>
      <c r="CG40" s="12"/>
      <c r="CH40" s="12">
        <v>1</v>
      </c>
      <c r="CI40" s="12"/>
      <c r="CJ40" s="12">
        <v>1</v>
      </c>
      <c r="CN40" s="12"/>
      <c r="CO40" s="12">
        <v>1</v>
      </c>
      <c r="CP40" s="12"/>
      <c r="CQ40" s="12">
        <v>1</v>
      </c>
      <c r="CU40" s="12"/>
      <c r="CV40" s="12">
        <v>1</v>
      </c>
      <c r="CW40" s="12"/>
      <c r="CX40" s="12">
        <v>1</v>
      </c>
      <c r="DB40" s="12"/>
      <c r="DC40" s="12">
        <v>1</v>
      </c>
      <c r="DD40" s="12"/>
      <c r="DE40" s="12">
        <v>1</v>
      </c>
      <c r="DI40" s="12"/>
      <c r="DJ40" s="12">
        <v>1</v>
      </c>
      <c r="DK40" s="12"/>
      <c r="DL40" s="12">
        <v>1</v>
      </c>
      <c r="DP40" s="12"/>
      <c r="DQ40" s="12">
        <v>1</v>
      </c>
      <c r="DR40" s="12"/>
      <c r="DS40" s="12">
        <v>1</v>
      </c>
      <c r="DW40" s="12"/>
      <c r="DX40" s="12"/>
      <c r="DY40" s="12"/>
      <c r="DZ40" s="12"/>
    </row>
    <row r="41" spans="2:130" outlineLevel="1">
      <c r="B41" t="s">
        <v>21</v>
      </c>
      <c r="C41" t="s">
        <v>83</v>
      </c>
      <c r="E41" s="11"/>
      <c r="F41" t="s">
        <v>117</v>
      </c>
      <c r="G41" s="12">
        <v>0.2</v>
      </c>
      <c r="I41" s="11">
        <f t="shared" si="3"/>
        <v>6</v>
      </c>
      <c r="J41" s="13" cm="1">
        <f t="array" ref="J41">MAX(IF($N$3:$EH$3=$J$3,N41:EH41))</f>
        <v>0.2</v>
      </c>
      <c r="K41" s="13" cm="1">
        <f t="array" ref="K41">MAX(IF($N$3:$EH$3=$J$3,N41:EH41))</f>
        <v>0.2</v>
      </c>
      <c r="L41" s="11"/>
      <c r="O41" s="12">
        <v>0.2</v>
      </c>
      <c r="P41" s="12"/>
      <c r="Q41" s="12"/>
      <c r="R41" s="12"/>
      <c r="V41" s="12"/>
      <c r="W41" s="12"/>
      <c r="X41" s="12"/>
      <c r="Y41" s="12"/>
      <c r="AC41" s="12"/>
      <c r="AD41" s="12"/>
      <c r="AE41" s="12"/>
      <c r="AF41" s="12"/>
      <c r="AI41">
        <v>1</v>
      </c>
      <c r="AJ41" s="12"/>
      <c r="AK41" s="12">
        <v>0.3</v>
      </c>
      <c r="AL41" s="12"/>
      <c r="AM41" s="12">
        <v>0.3</v>
      </c>
      <c r="AP41">
        <v>1</v>
      </c>
      <c r="AQ41" s="12"/>
      <c r="AR41" s="12">
        <v>0.5</v>
      </c>
      <c r="AS41" s="12"/>
      <c r="AT41" s="12">
        <v>0.5</v>
      </c>
      <c r="AX41" s="12"/>
      <c r="AY41" s="12">
        <v>0.5</v>
      </c>
      <c r="AZ41" s="12"/>
      <c r="BA41" s="12">
        <v>0.5</v>
      </c>
      <c r="BE41" s="12"/>
      <c r="BF41" s="12">
        <v>0.5</v>
      </c>
      <c r="BG41" s="12"/>
      <c r="BH41" s="12">
        <v>0.5</v>
      </c>
      <c r="BK41">
        <v>2</v>
      </c>
      <c r="BL41" s="12"/>
      <c r="BM41" s="12">
        <v>0.8</v>
      </c>
      <c r="BN41" s="12"/>
      <c r="BO41" s="12">
        <v>0.8</v>
      </c>
      <c r="BS41" s="12"/>
      <c r="BT41" s="12">
        <v>0.8</v>
      </c>
      <c r="BU41" s="12"/>
      <c r="BV41" s="12">
        <v>0.8</v>
      </c>
      <c r="BZ41" s="12"/>
      <c r="CA41" s="12">
        <v>0.8</v>
      </c>
      <c r="CB41" s="12"/>
      <c r="CC41" s="12">
        <v>0.8</v>
      </c>
      <c r="CF41">
        <v>2</v>
      </c>
      <c r="CG41" s="12"/>
      <c r="CH41" s="12">
        <v>1</v>
      </c>
      <c r="CI41" s="12"/>
      <c r="CJ41" s="12">
        <v>1</v>
      </c>
      <c r="CN41" s="12"/>
      <c r="CO41" s="12">
        <v>1</v>
      </c>
      <c r="CP41" s="12"/>
      <c r="CQ41" s="12">
        <v>1</v>
      </c>
      <c r="CU41" s="12"/>
      <c r="CV41" s="12">
        <v>1</v>
      </c>
      <c r="CW41" s="12"/>
      <c r="CX41" s="12">
        <v>1</v>
      </c>
      <c r="DB41" s="12"/>
      <c r="DC41" s="12">
        <v>1</v>
      </c>
      <c r="DD41" s="12"/>
      <c r="DE41" s="12">
        <v>1</v>
      </c>
      <c r="DI41" s="12"/>
      <c r="DJ41" s="12">
        <v>1</v>
      </c>
      <c r="DK41" s="12"/>
      <c r="DL41" s="12">
        <v>1</v>
      </c>
      <c r="DP41" s="12"/>
      <c r="DQ41" s="12">
        <v>1</v>
      </c>
      <c r="DR41" s="12"/>
      <c r="DS41" s="12">
        <v>1</v>
      </c>
      <c r="DW41" s="12"/>
      <c r="DX41" s="12"/>
      <c r="DY41" s="12"/>
      <c r="DZ41" s="12"/>
    </row>
    <row r="42" spans="2:130" outlineLevel="1">
      <c r="B42" t="s">
        <v>21</v>
      </c>
      <c r="C42" t="s">
        <v>83</v>
      </c>
      <c r="E42" s="11"/>
      <c r="F42" t="s">
        <v>118</v>
      </c>
      <c r="G42" s="12">
        <v>0.2</v>
      </c>
      <c r="I42" s="11">
        <f t="shared" si="3"/>
        <v>6</v>
      </c>
      <c r="J42" s="13" cm="1">
        <f t="array" ref="J42">MAX(IF($N$3:$EH$3=$J$3,N42:EH42))</f>
        <v>0</v>
      </c>
      <c r="K42" s="13" cm="1">
        <f t="array" ref="K42">MAX(IF($N$3:$EH$3=$J$3,N42:EH42))</f>
        <v>0</v>
      </c>
      <c r="L42" s="11"/>
      <c r="O42" s="12"/>
      <c r="P42" s="12"/>
      <c r="Q42" s="12"/>
      <c r="R42" s="12"/>
      <c r="V42" s="12"/>
      <c r="W42" s="12"/>
      <c r="X42" s="12"/>
      <c r="Y42" s="12"/>
      <c r="AC42" s="12"/>
      <c r="AD42" s="12"/>
      <c r="AE42" s="12"/>
      <c r="AF42" s="12"/>
      <c r="AJ42" s="12"/>
      <c r="AK42" s="12"/>
      <c r="AL42" s="12"/>
      <c r="AM42" s="12"/>
      <c r="AQ42" s="12"/>
      <c r="AR42" s="12"/>
      <c r="AS42" s="12"/>
      <c r="AT42" s="12"/>
      <c r="AW42">
        <v>2</v>
      </c>
      <c r="AX42" s="12"/>
      <c r="AY42" s="12">
        <v>0.5</v>
      </c>
      <c r="AZ42" s="12"/>
      <c r="BA42" s="12">
        <v>0.5</v>
      </c>
      <c r="BE42" s="12"/>
      <c r="BF42" s="12">
        <v>0.5</v>
      </c>
      <c r="BG42" s="12"/>
      <c r="BH42" s="12">
        <v>0.5</v>
      </c>
      <c r="BL42" s="12"/>
      <c r="BM42" s="12">
        <v>0.5</v>
      </c>
      <c r="BN42" s="12"/>
      <c r="BO42" s="12">
        <v>0.5</v>
      </c>
      <c r="BR42">
        <v>2</v>
      </c>
      <c r="BS42" s="12"/>
      <c r="BT42" s="12">
        <v>0.8</v>
      </c>
      <c r="BU42" s="12"/>
      <c r="BV42" s="12">
        <v>0.8</v>
      </c>
      <c r="BZ42" s="12"/>
      <c r="CA42" s="12">
        <v>0.8</v>
      </c>
      <c r="CB42" s="12"/>
      <c r="CC42" s="12">
        <v>0.8</v>
      </c>
      <c r="CG42" s="12"/>
      <c r="CH42" s="12">
        <v>0.8</v>
      </c>
      <c r="CI42" s="12"/>
      <c r="CJ42" s="12">
        <v>0.8</v>
      </c>
      <c r="CM42">
        <v>2</v>
      </c>
      <c r="CN42" s="12"/>
      <c r="CO42" s="12">
        <v>1</v>
      </c>
      <c r="CP42" s="12"/>
      <c r="CQ42" s="12">
        <v>0.8</v>
      </c>
      <c r="CU42" s="12"/>
      <c r="CV42" s="12">
        <v>1</v>
      </c>
      <c r="CW42" s="12"/>
      <c r="CX42" s="12">
        <v>1</v>
      </c>
      <c r="DB42" s="12"/>
      <c r="DC42" s="12">
        <v>1</v>
      </c>
      <c r="DD42" s="12"/>
      <c r="DE42" s="12">
        <v>1</v>
      </c>
      <c r="DI42" s="12"/>
      <c r="DJ42" s="12">
        <v>1</v>
      </c>
      <c r="DK42" s="12"/>
      <c r="DL42" s="12">
        <v>1</v>
      </c>
      <c r="DP42" s="12"/>
      <c r="DQ42" s="12">
        <v>1</v>
      </c>
      <c r="DR42" s="12"/>
      <c r="DS42" s="12">
        <v>1</v>
      </c>
      <c r="DW42" s="12"/>
      <c r="DX42" s="12"/>
      <c r="DY42" s="12"/>
      <c r="DZ42" s="12"/>
    </row>
    <row r="43" spans="2:130" outlineLevel="1">
      <c r="B43" t="s">
        <v>21</v>
      </c>
      <c r="C43" t="s">
        <v>83</v>
      </c>
      <c r="E43" s="11"/>
      <c r="F43" t="s">
        <v>119</v>
      </c>
      <c r="G43" s="12">
        <v>0.2</v>
      </c>
      <c r="I43" s="11">
        <f t="shared" si="3"/>
        <v>6</v>
      </c>
      <c r="J43" s="13" cm="1">
        <f t="array" ref="J43">MAX(IF($N$3:$EH$3=$J$3,N43:EH43))</f>
        <v>0</v>
      </c>
      <c r="K43" s="13" cm="1">
        <f t="array" ref="K43">MAX(IF($N$3:$EH$3=$J$3,N43:EH43))</f>
        <v>0</v>
      </c>
      <c r="L43" s="11"/>
      <c r="O43" s="12"/>
      <c r="P43" s="12"/>
      <c r="Q43" s="12"/>
      <c r="R43" s="12"/>
      <c r="V43" s="12"/>
      <c r="W43" s="12"/>
      <c r="X43" s="12"/>
      <c r="Y43" s="12"/>
      <c r="AC43" s="12"/>
      <c r="AD43" s="12"/>
      <c r="AE43" s="12"/>
      <c r="AF43" s="12"/>
      <c r="AJ43" s="12"/>
      <c r="AK43" s="12"/>
      <c r="AL43" s="12"/>
      <c r="AM43" s="12"/>
      <c r="AQ43" s="12"/>
      <c r="AR43" s="12"/>
      <c r="AS43" s="12"/>
      <c r="AT43" s="12"/>
      <c r="AW43">
        <v>2</v>
      </c>
      <c r="AX43" s="12"/>
      <c r="AY43" s="12">
        <v>0.5</v>
      </c>
      <c r="AZ43" s="12"/>
      <c r="BA43" s="12">
        <v>0.5</v>
      </c>
      <c r="BE43" s="12"/>
      <c r="BF43" s="12">
        <v>0.5</v>
      </c>
      <c r="BG43" s="12"/>
      <c r="BH43" s="12">
        <v>0.5</v>
      </c>
      <c r="BL43" s="12"/>
      <c r="BM43" s="12">
        <v>0.5</v>
      </c>
      <c r="BN43" s="12"/>
      <c r="BO43" s="12">
        <v>0.5</v>
      </c>
      <c r="BR43">
        <v>2</v>
      </c>
      <c r="BS43" s="12"/>
      <c r="BT43" s="12">
        <v>0.8</v>
      </c>
      <c r="BU43" s="12"/>
      <c r="BV43" s="12">
        <v>0.8</v>
      </c>
      <c r="BZ43" s="12"/>
      <c r="CA43" s="12">
        <v>0.8</v>
      </c>
      <c r="CB43" s="12"/>
      <c r="CC43" s="12">
        <v>0.8</v>
      </c>
      <c r="CG43" s="12"/>
      <c r="CH43" s="12">
        <v>0.8</v>
      </c>
      <c r="CI43" s="12"/>
      <c r="CJ43" s="12">
        <v>0.8</v>
      </c>
      <c r="CM43">
        <v>2</v>
      </c>
      <c r="CN43" s="12"/>
      <c r="CO43" s="12">
        <v>1</v>
      </c>
      <c r="CP43" s="12"/>
      <c r="CQ43" s="12">
        <v>0.8</v>
      </c>
      <c r="CU43" s="12"/>
      <c r="CV43" s="12">
        <v>1</v>
      </c>
      <c r="CW43" s="12"/>
      <c r="CX43" s="12">
        <v>1</v>
      </c>
      <c r="DB43" s="12"/>
      <c r="DC43" s="12">
        <v>1</v>
      </c>
      <c r="DD43" s="12"/>
      <c r="DE43" s="12">
        <v>1</v>
      </c>
      <c r="DI43" s="12"/>
      <c r="DJ43" s="12">
        <v>1</v>
      </c>
      <c r="DK43" s="12"/>
      <c r="DL43" s="12">
        <v>1</v>
      </c>
      <c r="DP43" s="12"/>
      <c r="DQ43" s="12">
        <v>1</v>
      </c>
      <c r="DR43" s="12"/>
      <c r="DS43" s="12">
        <v>1</v>
      </c>
      <c r="DW43" s="12"/>
      <c r="DX43" s="12"/>
      <c r="DY43" s="12"/>
      <c r="DZ43" s="12"/>
    </row>
    <row r="44" spans="2:130" outlineLevel="1">
      <c r="B44" t="s">
        <v>21</v>
      </c>
      <c r="C44" t="s">
        <v>83</v>
      </c>
      <c r="E44" s="11"/>
      <c r="F44" t="s">
        <v>120</v>
      </c>
      <c r="G44" s="12">
        <v>0.1</v>
      </c>
      <c r="I44" s="11">
        <f t="shared" si="3"/>
        <v>6</v>
      </c>
      <c r="J44" s="13" cm="1">
        <f t="array" ref="J44">MAX(IF($N$3:$EH$3=$J$3,N44:EH44))</f>
        <v>0</v>
      </c>
      <c r="K44" s="13" cm="1">
        <f t="array" ref="K44">MAX(IF($N$3:$EH$3=$J$3,N44:EH44))</f>
        <v>0</v>
      </c>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D44">
        <v>2</v>
      </c>
      <c r="BE44" s="12"/>
      <c r="BF44" s="12">
        <v>0.5</v>
      </c>
      <c r="BG44" s="12"/>
      <c r="BH44" s="12">
        <v>0.5</v>
      </c>
      <c r="BL44" s="12"/>
      <c r="BM44" s="12">
        <v>0.5</v>
      </c>
      <c r="BN44" s="12"/>
      <c r="BO44" s="12">
        <v>0.5</v>
      </c>
      <c r="BS44" s="12"/>
      <c r="BT44" s="12">
        <v>0.5</v>
      </c>
      <c r="BU44" s="12"/>
      <c r="BV44" s="12">
        <v>0.5</v>
      </c>
      <c r="BY44">
        <v>2</v>
      </c>
      <c r="BZ44" s="12"/>
      <c r="CA44" s="12">
        <v>0.8</v>
      </c>
      <c r="CB44" s="12"/>
      <c r="CC44" s="12">
        <v>0.8</v>
      </c>
      <c r="CG44" s="12"/>
      <c r="CH44" s="12">
        <v>0.8</v>
      </c>
      <c r="CI44" s="12"/>
      <c r="CJ44" s="12">
        <v>0.8</v>
      </c>
      <c r="CN44" s="12"/>
      <c r="CO44" s="12">
        <v>0.8</v>
      </c>
      <c r="CP44" s="12"/>
      <c r="CQ44" s="12">
        <v>0.8</v>
      </c>
      <c r="CT44">
        <v>2</v>
      </c>
      <c r="CU44" s="12"/>
      <c r="CV44" s="12">
        <v>1</v>
      </c>
      <c r="CW44" s="12"/>
      <c r="CX44" s="12">
        <v>1</v>
      </c>
      <c r="DB44" s="12"/>
      <c r="DC44" s="12">
        <v>1</v>
      </c>
      <c r="DD44" s="12"/>
      <c r="DE44" s="12">
        <v>1</v>
      </c>
      <c r="DI44" s="12"/>
      <c r="DJ44" s="12">
        <v>1</v>
      </c>
      <c r="DK44" s="12"/>
      <c r="DL44" s="12">
        <v>1</v>
      </c>
      <c r="DP44" s="12"/>
      <c r="DQ44" s="12">
        <v>1</v>
      </c>
      <c r="DR44" s="12"/>
      <c r="DS44" s="12">
        <v>1</v>
      </c>
      <c r="DW44" s="12"/>
      <c r="DX44" s="12"/>
      <c r="DY44" s="12"/>
      <c r="DZ44" s="12"/>
    </row>
    <row r="45" spans="2:130" outlineLevel="1">
      <c r="B45" t="s">
        <v>21</v>
      </c>
      <c r="C45" t="s">
        <v>83</v>
      </c>
      <c r="E45" s="11"/>
      <c r="F45" t="s">
        <v>121</v>
      </c>
      <c r="G45" s="12">
        <v>0.1</v>
      </c>
      <c r="I45" s="11">
        <f t="shared" si="3"/>
        <v>6</v>
      </c>
      <c r="J45" s="13" cm="1">
        <f t="array" ref="J45">MAX(IF($N$3:$EH$3=$J$3,N45:EH45))</f>
        <v>0</v>
      </c>
      <c r="K45" s="13" cm="1">
        <f t="array" ref="K45">MAX(IF($N$3:$EH$3=$J$3,N45:EH45))</f>
        <v>0</v>
      </c>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D45">
        <v>2</v>
      </c>
      <c r="BE45" s="12"/>
      <c r="BF45" s="12">
        <v>0.5</v>
      </c>
      <c r="BG45" s="12"/>
      <c r="BH45" s="12">
        <v>0.5</v>
      </c>
      <c r="BL45" s="12"/>
      <c r="BM45" s="12">
        <v>0.5</v>
      </c>
      <c r="BN45" s="12"/>
      <c r="BO45" s="12">
        <v>0.5</v>
      </c>
      <c r="BS45" s="12"/>
      <c r="BT45" s="12">
        <v>0.5</v>
      </c>
      <c r="BU45" s="12"/>
      <c r="BV45" s="12">
        <v>0.5</v>
      </c>
      <c r="BY45">
        <v>2</v>
      </c>
      <c r="BZ45" s="12"/>
      <c r="CA45" s="12">
        <v>0.8</v>
      </c>
      <c r="CB45" s="12"/>
      <c r="CC45" s="12">
        <v>0.8</v>
      </c>
      <c r="CG45" s="12"/>
      <c r="CH45" s="12">
        <v>0.8</v>
      </c>
      <c r="CI45" s="12"/>
      <c r="CJ45" s="12">
        <v>0.8</v>
      </c>
      <c r="CN45" s="12"/>
      <c r="CO45" s="12">
        <v>0.8</v>
      </c>
      <c r="CP45" s="12"/>
      <c r="CQ45" s="12">
        <v>0.8</v>
      </c>
      <c r="CT45">
        <v>2</v>
      </c>
      <c r="CU45" s="12"/>
      <c r="CV45" s="12">
        <v>1</v>
      </c>
      <c r="CW45" s="12"/>
      <c r="CX45" s="12">
        <v>1</v>
      </c>
      <c r="DB45" s="12"/>
      <c r="DC45" s="12">
        <v>1</v>
      </c>
      <c r="DD45" s="12"/>
      <c r="DE45" s="12">
        <v>1</v>
      </c>
      <c r="DI45" s="12"/>
      <c r="DJ45" s="12">
        <v>1</v>
      </c>
      <c r="DK45" s="12"/>
      <c r="DL45" s="12">
        <v>1</v>
      </c>
      <c r="DP45" s="12"/>
      <c r="DQ45" s="12">
        <v>1</v>
      </c>
      <c r="DR45" s="12"/>
      <c r="DS45" s="12">
        <v>1</v>
      </c>
      <c r="DW45" s="12"/>
      <c r="DX45" s="12"/>
      <c r="DY45" s="12"/>
      <c r="DZ45" s="12"/>
    </row>
    <row r="46" spans="2:130" outlineLevel="1">
      <c r="E46" s="11"/>
      <c r="G46" s="12"/>
      <c r="I46" s="11"/>
      <c r="J46" s="13"/>
      <c r="K46" s="13"/>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c r="BN46" s="12"/>
      <c r="BO46" s="12"/>
      <c r="BS46" s="12"/>
      <c r="BT46" s="12"/>
      <c r="BU46" s="12"/>
      <c r="BV46" s="12"/>
      <c r="BZ46" s="12"/>
      <c r="CA46" s="12"/>
      <c r="CB46" s="12"/>
      <c r="CC46" s="12"/>
      <c r="CG46" s="12"/>
      <c r="CH46" s="12"/>
      <c r="CI46" s="12"/>
      <c r="CJ46" s="12"/>
      <c r="CN46" s="12"/>
      <c r="CO46" s="12"/>
      <c r="CP46" s="12"/>
      <c r="CQ46" s="12"/>
      <c r="CU46" s="12"/>
      <c r="CV46" s="12"/>
      <c r="CW46" s="12"/>
      <c r="CX46" s="12"/>
      <c r="DB46" s="12"/>
      <c r="DC46" s="12"/>
      <c r="DD46" s="12"/>
      <c r="DE46" s="12"/>
      <c r="DI46" s="12"/>
      <c r="DJ46" s="12"/>
      <c r="DK46" s="12"/>
      <c r="DL46" s="12"/>
      <c r="DP46" s="12"/>
      <c r="DQ46" s="12"/>
      <c r="DR46" s="12"/>
      <c r="DS46" s="12"/>
      <c r="DW46" s="12"/>
      <c r="DX46" s="12"/>
      <c r="DY46" s="12"/>
      <c r="DZ46" s="12"/>
    </row>
    <row r="48" spans="2:130">
      <c r="B48" t="s">
        <v>20</v>
      </c>
      <c r="C48" t="s">
        <v>84</v>
      </c>
      <c r="D48" s="22" t="s">
        <v>168</v>
      </c>
      <c r="E48" s="11">
        <v>3</v>
      </c>
      <c r="F48" s="3" t="s">
        <v>129</v>
      </c>
      <c r="G48" s="12">
        <f>+SUM(G49:G55)</f>
        <v>0.6</v>
      </c>
      <c r="I48" s="14">
        <f>+SUM(I49:I55)</f>
        <v>31.5</v>
      </c>
      <c r="J48" s="13">
        <f>+SUMPRODUCT(G49:G55,J49:J55)</f>
        <v>1.0000000000000002E-2</v>
      </c>
      <c r="K48" s="13">
        <f>+SUMPRODUCT(G49:G55,K49:K55)</f>
        <v>1.0000000000000002E-2</v>
      </c>
      <c r="L48" s="11"/>
      <c r="N48" s="14">
        <f>+SUM(N49:N55)</f>
        <v>0</v>
      </c>
      <c r="U48" s="14">
        <f>+SUM(U49:U55)</f>
        <v>1.5</v>
      </c>
      <c r="AB48" s="14">
        <f>+SUM(AB49:AB55)</f>
        <v>1.5</v>
      </c>
      <c r="AI48" s="14">
        <f>+SUM(AI49:AI55)</f>
        <v>1.5</v>
      </c>
      <c r="AP48" s="14">
        <f>+SUM(AP49:AP55)</f>
        <v>1.5</v>
      </c>
      <c r="AW48">
        <v>4.5</v>
      </c>
      <c r="BD48">
        <v>3</v>
      </c>
      <c r="BK48">
        <v>4.5</v>
      </c>
      <c r="BR48">
        <v>3</v>
      </c>
      <c r="BY48">
        <v>4.5</v>
      </c>
      <c r="CF48">
        <v>3</v>
      </c>
      <c r="CM48">
        <v>3</v>
      </c>
    </row>
    <row r="49" spans="2:130" outlineLevel="1">
      <c r="B49" t="s">
        <v>21</v>
      </c>
      <c r="C49" t="s">
        <v>84</v>
      </c>
      <c r="E49" s="11"/>
      <c r="F49" t="s">
        <v>122</v>
      </c>
      <c r="G49" s="12">
        <v>0.1</v>
      </c>
      <c r="I49" s="11">
        <f t="shared" si="3"/>
        <v>4.5</v>
      </c>
      <c r="J49" s="13" cm="1">
        <f t="array" ref="J49">MAX(IF($N$3:$EH$3=$J$3,N49:EH49))</f>
        <v>0.1</v>
      </c>
      <c r="K49" s="13" cm="1">
        <f t="array" ref="K49">MAX(IF($N$3:$EH$3=$J$3,N49:EH49))</f>
        <v>0.1</v>
      </c>
      <c r="L49" s="11"/>
      <c r="O49" s="12">
        <v>0.1</v>
      </c>
      <c r="P49" s="12">
        <v>0.5</v>
      </c>
      <c r="Q49" s="12">
        <v>0.1</v>
      </c>
      <c r="R49" s="12">
        <v>0.5</v>
      </c>
      <c r="U49">
        <v>1.5</v>
      </c>
      <c r="V49" s="12"/>
      <c r="W49" s="12">
        <v>0.5</v>
      </c>
      <c r="X49" s="12"/>
      <c r="Y49" s="12">
        <v>0.5</v>
      </c>
      <c r="AC49" s="12"/>
      <c r="AD49" s="12">
        <v>0.5</v>
      </c>
      <c r="AE49" s="12"/>
      <c r="AF49" s="12">
        <v>0.5</v>
      </c>
      <c r="AJ49" s="12"/>
      <c r="AK49" s="12">
        <v>0.5</v>
      </c>
      <c r="AL49" s="12"/>
      <c r="AM49" s="12">
        <v>0.5</v>
      </c>
      <c r="AQ49" s="12"/>
      <c r="AR49" s="12">
        <v>0.5</v>
      </c>
      <c r="AS49" s="12"/>
      <c r="AT49" s="12">
        <v>0.5</v>
      </c>
      <c r="AX49" s="12"/>
      <c r="AY49" s="12">
        <v>0.5</v>
      </c>
      <c r="AZ49" s="12"/>
      <c r="BA49" s="12">
        <v>0.5</v>
      </c>
      <c r="BD49">
        <v>1.5</v>
      </c>
      <c r="BE49" s="12"/>
      <c r="BF49" s="12">
        <v>0.8</v>
      </c>
      <c r="BG49" s="12"/>
      <c r="BH49" s="12">
        <v>0.8</v>
      </c>
      <c r="BL49" s="12"/>
      <c r="BM49" s="12">
        <v>0.8</v>
      </c>
      <c r="BN49" s="12"/>
      <c r="BO49" s="12">
        <v>0.8</v>
      </c>
      <c r="BS49" s="12"/>
      <c r="BT49" s="12">
        <v>0.8</v>
      </c>
      <c r="BU49" s="12"/>
      <c r="BV49" s="12">
        <v>0.8</v>
      </c>
      <c r="BY49">
        <v>1.5</v>
      </c>
      <c r="BZ49" s="12"/>
      <c r="CA49" s="12">
        <v>1</v>
      </c>
      <c r="CB49" s="12"/>
      <c r="CC49" s="12">
        <v>1</v>
      </c>
      <c r="CG49" s="12"/>
      <c r="CH49" s="12">
        <v>1</v>
      </c>
      <c r="CI49" s="12"/>
      <c r="CJ49" s="12">
        <v>1</v>
      </c>
      <c r="CN49" s="12"/>
      <c r="CO49" s="12">
        <v>1</v>
      </c>
      <c r="CP49" s="12"/>
      <c r="CQ49" s="12">
        <v>1</v>
      </c>
      <c r="CU49" s="12"/>
      <c r="CV49" s="12">
        <v>1</v>
      </c>
      <c r="CW49" s="12"/>
      <c r="CX49" s="12">
        <v>1</v>
      </c>
      <c r="DB49" s="12"/>
      <c r="DC49" s="12">
        <v>1</v>
      </c>
      <c r="DD49" s="12"/>
      <c r="DE49" s="12">
        <v>1</v>
      </c>
      <c r="DI49" s="12"/>
      <c r="DJ49" s="12">
        <v>1</v>
      </c>
      <c r="DK49" s="12"/>
      <c r="DL49" s="12">
        <v>1</v>
      </c>
      <c r="DP49" s="12"/>
      <c r="DQ49" s="12"/>
      <c r="DR49" s="12"/>
      <c r="DS49" s="12"/>
      <c r="DW49" s="12"/>
      <c r="DX49" s="12"/>
      <c r="DY49" s="12"/>
      <c r="DZ49" s="12"/>
    </row>
    <row r="50" spans="2:130" outlineLevel="1">
      <c r="B50" t="s">
        <v>21</v>
      </c>
      <c r="C50" t="s">
        <v>84</v>
      </c>
      <c r="E50" s="11"/>
      <c r="F50" t="s">
        <v>123</v>
      </c>
      <c r="G50" s="12">
        <v>0.05</v>
      </c>
      <c r="I50" s="11">
        <f t="shared" si="3"/>
        <v>4.5</v>
      </c>
      <c r="J50" s="13" cm="1">
        <f t="array" ref="J50">MAX(IF($N$3:$EH$3=$J$3,N50:EH50))</f>
        <v>0</v>
      </c>
      <c r="K50" s="13" cm="1">
        <f t="array" ref="K50">MAX(IF($N$3:$EH$3=$J$3,N50:EH50))</f>
        <v>0</v>
      </c>
      <c r="L50" s="11"/>
      <c r="O50" s="12"/>
      <c r="P50" s="12"/>
      <c r="Q50" s="12"/>
      <c r="R50" s="12"/>
      <c r="V50" s="12"/>
      <c r="W50" s="12"/>
      <c r="X50" s="12"/>
      <c r="Y50" s="12"/>
      <c r="AB50">
        <v>1.5</v>
      </c>
      <c r="AC50" s="12"/>
      <c r="AD50" s="12">
        <v>0.5</v>
      </c>
      <c r="AE50" s="12"/>
      <c r="AF50" s="12">
        <v>0.5</v>
      </c>
      <c r="AJ50" s="12"/>
      <c r="AK50" s="12">
        <v>0.5</v>
      </c>
      <c r="AL50" s="12"/>
      <c r="AM50" s="12">
        <v>0.5</v>
      </c>
      <c r="AQ50" s="12"/>
      <c r="AR50" s="12">
        <v>0.5</v>
      </c>
      <c r="AS50" s="12"/>
      <c r="AT50" s="12">
        <v>0.5</v>
      </c>
      <c r="AX50" s="12"/>
      <c r="AY50" s="12">
        <v>0.5</v>
      </c>
      <c r="AZ50" s="12"/>
      <c r="BA50" s="12">
        <v>0.5</v>
      </c>
      <c r="BD50">
        <v>1.5</v>
      </c>
      <c r="BE50" s="12"/>
      <c r="BF50" s="12">
        <v>0.8</v>
      </c>
      <c r="BG50" s="12"/>
      <c r="BH50" s="12">
        <v>0.8</v>
      </c>
      <c r="BL50" s="12"/>
      <c r="BM50" s="12">
        <v>0.8</v>
      </c>
      <c r="BN50" s="12"/>
      <c r="BO50" s="12">
        <v>0.8</v>
      </c>
      <c r="BS50" s="12"/>
      <c r="BT50" s="12">
        <v>0.8</v>
      </c>
      <c r="BU50" s="12"/>
      <c r="BV50" s="12">
        <v>0.8</v>
      </c>
      <c r="BY50">
        <v>1.5</v>
      </c>
      <c r="BZ50" s="12"/>
      <c r="CA50" s="12">
        <v>1</v>
      </c>
      <c r="CB50" s="12"/>
      <c r="CC50" s="12">
        <v>1</v>
      </c>
      <c r="CG50" s="12"/>
      <c r="CH50" s="12">
        <v>1</v>
      </c>
      <c r="CI50" s="12"/>
      <c r="CJ50" s="12">
        <v>1</v>
      </c>
      <c r="CN50" s="12"/>
      <c r="CO50" s="12">
        <v>1</v>
      </c>
      <c r="CP50" s="12"/>
      <c r="CQ50" s="12">
        <v>1</v>
      </c>
      <c r="CU50" s="12"/>
      <c r="CV50" s="12">
        <v>1</v>
      </c>
      <c r="CW50" s="12"/>
      <c r="CX50" s="12">
        <v>1</v>
      </c>
      <c r="DB50" s="12"/>
      <c r="DC50" s="12">
        <v>1</v>
      </c>
      <c r="DD50" s="12"/>
      <c r="DE50" s="12">
        <v>1</v>
      </c>
      <c r="DI50" s="12"/>
      <c r="DJ50" s="12">
        <v>1</v>
      </c>
      <c r="DK50" s="12"/>
      <c r="DL50" s="12">
        <v>1</v>
      </c>
      <c r="DP50" s="12"/>
      <c r="DQ50" s="12"/>
      <c r="DR50" s="12"/>
      <c r="DS50" s="12"/>
      <c r="DW50" s="12"/>
      <c r="DX50" s="12"/>
      <c r="DY50" s="12"/>
      <c r="DZ50" s="12"/>
    </row>
    <row r="51" spans="2:130" outlineLevel="1">
      <c r="B51" t="s">
        <v>21</v>
      </c>
      <c r="C51" t="s">
        <v>84</v>
      </c>
      <c r="E51" s="11"/>
      <c r="F51" t="s">
        <v>124</v>
      </c>
      <c r="G51" s="12">
        <v>0.05</v>
      </c>
      <c r="I51" s="11">
        <f t="shared" si="3"/>
        <v>4.5</v>
      </c>
      <c r="J51" s="13" cm="1">
        <f t="array" ref="J51">MAX(IF($N$3:$EH$3=$J$3,N51:EH51))</f>
        <v>0</v>
      </c>
      <c r="K51" s="13" cm="1">
        <f t="array" ref="K51">MAX(IF($N$3:$EH$3=$J$3,N51:EH51))</f>
        <v>0</v>
      </c>
      <c r="L51" s="11"/>
      <c r="O51" s="12"/>
      <c r="P51" s="12"/>
      <c r="Q51" s="12"/>
      <c r="R51" s="12"/>
      <c r="V51" s="12"/>
      <c r="W51" s="12"/>
      <c r="X51" s="12"/>
      <c r="Y51" s="12"/>
      <c r="AC51" s="12"/>
      <c r="AD51" s="12"/>
      <c r="AE51" s="12"/>
      <c r="AF51" s="12"/>
      <c r="AI51">
        <v>1.5</v>
      </c>
      <c r="AJ51" s="12"/>
      <c r="AK51" s="12">
        <v>0.5</v>
      </c>
      <c r="AL51" s="12"/>
      <c r="AM51" s="12">
        <v>0.5</v>
      </c>
      <c r="AQ51" s="12"/>
      <c r="AR51" s="12">
        <v>0.5</v>
      </c>
      <c r="AS51" s="12"/>
      <c r="AT51" s="12">
        <v>0.5</v>
      </c>
      <c r="AX51" s="12"/>
      <c r="AY51" s="12">
        <v>0.5</v>
      </c>
      <c r="AZ51" s="12"/>
      <c r="BA51" s="12">
        <v>0.5</v>
      </c>
      <c r="BE51" s="12"/>
      <c r="BF51" s="12">
        <v>0.5</v>
      </c>
      <c r="BG51" s="12"/>
      <c r="BH51" s="12">
        <v>0.5</v>
      </c>
      <c r="BK51">
        <v>1.5</v>
      </c>
      <c r="BL51" s="12"/>
      <c r="BM51" s="12">
        <v>0.8</v>
      </c>
      <c r="BN51" s="12"/>
      <c r="BO51" s="12">
        <v>0.8</v>
      </c>
      <c r="BS51" s="12"/>
      <c r="BT51" s="12">
        <v>0.8</v>
      </c>
      <c r="BU51" s="12"/>
      <c r="BV51" s="12">
        <v>0.8</v>
      </c>
      <c r="BY51">
        <v>1.5</v>
      </c>
      <c r="BZ51" s="12"/>
      <c r="CA51" s="12">
        <v>1</v>
      </c>
      <c r="CB51" s="12"/>
      <c r="CC51" s="12">
        <v>1</v>
      </c>
      <c r="CG51" s="12"/>
      <c r="CH51" s="12">
        <v>1</v>
      </c>
      <c r="CI51" s="12"/>
      <c r="CJ51" s="12">
        <v>1</v>
      </c>
      <c r="CN51" s="12"/>
      <c r="CO51" s="12">
        <v>1</v>
      </c>
      <c r="CP51" s="12"/>
      <c r="CQ51" s="12">
        <v>1</v>
      </c>
      <c r="CU51" s="12"/>
      <c r="CV51" s="12">
        <v>1</v>
      </c>
      <c r="CW51" s="12"/>
      <c r="CX51" s="12">
        <v>1</v>
      </c>
      <c r="DB51" s="12"/>
      <c r="DC51" s="12">
        <v>1</v>
      </c>
      <c r="DD51" s="12"/>
      <c r="DE51" s="12">
        <v>1</v>
      </c>
      <c r="DI51" s="12"/>
      <c r="DJ51" s="12">
        <v>1</v>
      </c>
      <c r="DK51" s="12"/>
      <c r="DL51" s="12">
        <v>1</v>
      </c>
      <c r="DP51" s="12"/>
      <c r="DQ51" s="12"/>
      <c r="DR51" s="12"/>
      <c r="DS51" s="12"/>
      <c r="DW51" s="12"/>
      <c r="DX51" s="12"/>
      <c r="DY51" s="12"/>
      <c r="DZ51" s="12"/>
    </row>
    <row r="52" spans="2:130" outlineLevel="1">
      <c r="B52" t="s">
        <v>21</v>
      </c>
      <c r="C52" t="s">
        <v>84</v>
      </c>
      <c r="E52" s="11"/>
      <c r="F52" t="s">
        <v>125</v>
      </c>
      <c r="G52" s="12">
        <v>0.1</v>
      </c>
      <c r="I52" s="11">
        <f t="shared" si="3"/>
        <v>4.5</v>
      </c>
      <c r="J52" s="13" cm="1">
        <f t="array" ref="J52">MAX(IF($N$3:$EH$3=$J$3,N52:EH52))</f>
        <v>0</v>
      </c>
      <c r="K52" s="13" cm="1">
        <f t="array" ref="K52">MAX(IF($N$3:$EH$3=$J$3,N52:EH52))</f>
        <v>0</v>
      </c>
      <c r="L52" s="11"/>
      <c r="O52" s="12"/>
      <c r="P52" s="12"/>
      <c r="Q52" s="12"/>
      <c r="R52" s="12"/>
      <c r="V52" s="12"/>
      <c r="W52" s="12"/>
      <c r="X52" s="12"/>
      <c r="Y52" s="12"/>
      <c r="AC52" s="12"/>
      <c r="AD52" s="12"/>
      <c r="AE52" s="12"/>
      <c r="AF52" s="12"/>
      <c r="AJ52" s="12"/>
      <c r="AK52" s="12"/>
      <c r="AL52" s="12"/>
      <c r="AM52" s="12"/>
      <c r="AP52">
        <v>1.5</v>
      </c>
      <c r="AQ52" s="12"/>
      <c r="AR52" s="12">
        <v>0.5</v>
      </c>
      <c r="AS52" s="12"/>
      <c r="AT52" s="12">
        <v>0.5</v>
      </c>
      <c r="AX52" s="12"/>
      <c r="AY52" s="12">
        <v>0.5</v>
      </c>
      <c r="AZ52" s="12"/>
      <c r="BA52" s="12">
        <v>0.5</v>
      </c>
      <c r="BE52" s="12"/>
      <c r="BF52" s="12">
        <v>0.5</v>
      </c>
      <c r="BG52" s="12"/>
      <c r="BH52" s="12">
        <v>0.5</v>
      </c>
      <c r="BK52">
        <v>1.5</v>
      </c>
      <c r="BL52" s="12"/>
      <c r="BM52" s="12">
        <v>0.8</v>
      </c>
      <c r="BN52" s="12"/>
      <c r="BO52" s="12">
        <v>0.8</v>
      </c>
      <c r="BS52" s="12"/>
      <c r="BT52" s="12">
        <v>0.8</v>
      </c>
      <c r="BU52" s="12"/>
      <c r="BV52" s="12">
        <v>0.8</v>
      </c>
      <c r="BZ52" s="12"/>
      <c r="CA52" s="12">
        <v>0.8</v>
      </c>
      <c r="CB52" s="12"/>
      <c r="CC52" s="12">
        <v>0.8</v>
      </c>
      <c r="CF52">
        <v>1.5</v>
      </c>
      <c r="CG52" s="12"/>
      <c r="CH52" s="12">
        <v>1</v>
      </c>
      <c r="CI52" s="12"/>
      <c r="CJ52" s="12">
        <v>1</v>
      </c>
      <c r="CN52" s="12"/>
      <c r="CO52" s="12">
        <v>1</v>
      </c>
      <c r="CP52" s="12"/>
      <c r="CQ52" s="12">
        <v>1</v>
      </c>
      <c r="CU52" s="12"/>
      <c r="CV52" s="12">
        <v>1</v>
      </c>
      <c r="CW52" s="12"/>
      <c r="CX52" s="12">
        <v>1</v>
      </c>
      <c r="DB52" s="12"/>
      <c r="DC52" s="12">
        <v>1</v>
      </c>
      <c r="DD52" s="12"/>
      <c r="DE52" s="12">
        <v>1</v>
      </c>
      <c r="DI52" s="12"/>
      <c r="DJ52" s="12">
        <v>1</v>
      </c>
      <c r="DK52" s="12"/>
      <c r="DL52" s="12">
        <v>1</v>
      </c>
      <c r="DP52" s="12"/>
      <c r="DQ52" s="12"/>
      <c r="DR52" s="12"/>
      <c r="DS52" s="12"/>
      <c r="DW52" s="12"/>
      <c r="DX52" s="12"/>
      <c r="DY52" s="12"/>
      <c r="DZ52" s="12"/>
    </row>
    <row r="53" spans="2:130" outlineLevel="1">
      <c r="B53" t="s">
        <v>21</v>
      </c>
      <c r="C53" t="s">
        <v>84</v>
      </c>
      <c r="E53" s="11"/>
      <c r="F53" t="s">
        <v>126</v>
      </c>
      <c r="G53" s="12">
        <v>0.1</v>
      </c>
      <c r="I53" s="11">
        <f t="shared" si="3"/>
        <v>4.5</v>
      </c>
      <c r="J53" s="13" cm="1">
        <f t="array" ref="J53">MAX(IF($N$3:$EH$3=$J$3,N53:EH53))</f>
        <v>0</v>
      </c>
      <c r="K53" s="13" cm="1">
        <f t="array" ref="K53">MAX(IF($N$3:$EH$3=$J$3,N53:EH53))</f>
        <v>0</v>
      </c>
      <c r="L53" s="11"/>
      <c r="O53" s="12"/>
      <c r="P53" s="12"/>
      <c r="Q53" s="12"/>
      <c r="R53" s="12"/>
      <c r="V53" s="12"/>
      <c r="W53" s="12"/>
      <c r="X53" s="12"/>
      <c r="Y53" s="12"/>
      <c r="AC53" s="12"/>
      <c r="AD53" s="12"/>
      <c r="AE53" s="12"/>
      <c r="AF53" s="12"/>
      <c r="AJ53" s="12"/>
      <c r="AK53" s="12"/>
      <c r="AL53" s="12"/>
      <c r="AM53" s="12"/>
      <c r="AQ53" s="12"/>
      <c r="AR53" s="12"/>
      <c r="AS53" s="12"/>
      <c r="AT53" s="12"/>
      <c r="AW53">
        <v>1.5</v>
      </c>
      <c r="AX53" s="12"/>
      <c r="AY53" s="12">
        <v>0.5</v>
      </c>
      <c r="AZ53" s="12"/>
      <c r="BA53" s="12">
        <v>0.5</v>
      </c>
      <c r="BE53" s="12"/>
      <c r="BF53" s="12">
        <v>0.5</v>
      </c>
      <c r="BG53" s="12"/>
      <c r="BH53" s="12">
        <v>0.5</v>
      </c>
      <c r="BK53">
        <v>1.5</v>
      </c>
      <c r="BL53" s="12"/>
      <c r="BM53" s="12">
        <v>0.8</v>
      </c>
      <c r="BN53" s="12"/>
      <c r="BO53" s="12">
        <v>0.8</v>
      </c>
      <c r="BS53" s="12"/>
      <c r="BT53" s="12">
        <v>0.8</v>
      </c>
      <c r="BU53" s="12"/>
      <c r="BV53" s="12">
        <v>0.8</v>
      </c>
      <c r="BZ53" s="12"/>
      <c r="CA53" s="12">
        <v>0.8</v>
      </c>
      <c r="CB53" s="12"/>
      <c r="CC53" s="12">
        <v>0.8</v>
      </c>
      <c r="CF53">
        <v>1.5</v>
      </c>
      <c r="CG53" s="12"/>
      <c r="CH53" s="12">
        <v>1</v>
      </c>
      <c r="CI53" s="12"/>
      <c r="CJ53" s="12">
        <v>1</v>
      </c>
      <c r="CN53" s="12"/>
      <c r="CO53" s="12">
        <v>1</v>
      </c>
      <c r="CP53" s="12"/>
      <c r="CQ53" s="12">
        <v>1</v>
      </c>
      <c r="CU53" s="12"/>
      <c r="CV53" s="12">
        <v>1</v>
      </c>
      <c r="CW53" s="12"/>
      <c r="CX53" s="12">
        <v>1</v>
      </c>
      <c r="DB53" s="12"/>
      <c r="DC53" s="12">
        <v>1</v>
      </c>
      <c r="DD53" s="12"/>
      <c r="DE53" s="12">
        <v>1</v>
      </c>
      <c r="DI53" s="12"/>
      <c r="DJ53" s="12">
        <v>1</v>
      </c>
      <c r="DK53" s="12"/>
      <c r="DL53" s="12">
        <v>1</v>
      </c>
      <c r="DP53" s="12"/>
      <c r="DQ53" s="12"/>
      <c r="DR53" s="12"/>
      <c r="DS53" s="12"/>
      <c r="DW53" s="12"/>
      <c r="DX53" s="12"/>
      <c r="DY53" s="12"/>
      <c r="DZ53" s="12"/>
    </row>
    <row r="54" spans="2:130" outlineLevel="1">
      <c r="B54" t="s">
        <v>21</v>
      </c>
      <c r="C54" t="s">
        <v>84</v>
      </c>
      <c r="E54" s="11"/>
      <c r="F54" t="s">
        <v>127</v>
      </c>
      <c r="G54" s="12">
        <v>0.1</v>
      </c>
      <c r="I54" s="11">
        <f t="shared" si="3"/>
        <v>4.5</v>
      </c>
      <c r="J54" s="13" cm="1">
        <f t="array" ref="J54">MAX(IF($N$3:$EH$3=$J$3,N54:EH54))</f>
        <v>0</v>
      </c>
      <c r="K54" s="13" cm="1">
        <f t="array" ref="K54">MAX(IF($N$3:$EH$3=$J$3,N54:EH54))</f>
        <v>0</v>
      </c>
      <c r="L54" s="11"/>
      <c r="O54" s="12"/>
      <c r="P54" s="12"/>
      <c r="Q54" s="12"/>
      <c r="R54" s="12"/>
      <c r="V54" s="12"/>
      <c r="W54" s="12"/>
      <c r="X54" s="12"/>
      <c r="Y54" s="12"/>
      <c r="AC54" s="12"/>
      <c r="AD54" s="12"/>
      <c r="AE54" s="12"/>
      <c r="AF54" s="12"/>
      <c r="AJ54" s="12"/>
      <c r="AK54" s="12"/>
      <c r="AL54" s="12"/>
      <c r="AM54" s="12"/>
      <c r="AQ54" s="12"/>
      <c r="AR54" s="12"/>
      <c r="AS54" s="12"/>
      <c r="AT54" s="12"/>
      <c r="AW54">
        <v>1.5</v>
      </c>
      <c r="AX54" s="12"/>
      <c r="AY54" s="12">
        <v>0.5</v>
      </c>
      <c r="AZ54" s="12"/>
      <c r="BA54" s="12">
        <v>0.5</v>
      </c>
      <c r="BE54" s="12"/>
      <c r="BF54" s="12">
        <v>0.5</v>
      </c>
      <c r="BG54" s="12"/>
      <c r="BH54" s="12">
        <v>0.5</v>
      </c>
      <c r="BL54" s="12"/>
      <c r="BM54" s="12">
        <v>0.5</v>
      </c>
      <c r="BN54" s="12"/>
      <c r="BO54" s="12">
        <v>0.5</v>
      </c>
      <c r="BR54">
        <v>1.5</v>
      </c>
      <c r="BS54" s="12"/>
      <c r="BT54" s="12">
        <v>0.8</v>
      </c>
      <c r="BU54" s="12"/>
      <c r="BV54" s="12">
        <v>0.8</v>
      </c>
      <c r="BZ54" s="12"/>
      <c r="CA54" s="12">
        <v>0.8</v>
      </c>
      <c r="CB54" s="12"/>
      <c r="CC54" s="12">
        <v>0.8</v>
      </c>
      <c r="CG54" s="12"/>
      <c r="CH54" s="12">
        <v>0.8</v>
      </c>
      <c r="CI54" s="12"/>
      <c r="CJ54" s="12">
        <v>0.8</v>
      </c>
      <c r="CM54">
        <v>1.5</v>
      </c>
      <c r="CN54" s="12"/>
      <c r="CO54" s="12">
        <v>1</v>
      </c>
      <c r="CP54" s="12"/>
      <c r="CQ54" s="12">
        <v>1</v>
      </c>
      <c r="CU54" s="12"/>
      <c r="CV54" s="12">
        <v>1</v>
      </c>
      <c r="CW54" s="12"/>
      <c r="CX54" s="12">
        <v>1</v>
      </c>
      <c r="DB54" s="12"/>
      <c r="DC54" s="12">
        <v>1</v>
      </c>
      <c r="DD54" s="12"/>
      <c r="DE54" s="12">
        <v>1</v>
      </c>
      <c r="DI54" s="12"/>
      <c r="DJ54" s="12">
        <v>1</v>
      </c>
      <c r="DK54" s="12"/>
      <c r="DL54" s="12">
        <v>1</v>
      </c>
      <c r="DP54" s="12"/>
      <c r="DQ54" s="12"/>
      <c r="DR54" s="12"/>
      <c r="DS54" s="12"/>
      <c r="DW54" s="12"/>
      <c r="DX54" s="12"/>
      <c r="DY54" s="12"/>
      <c r="DZ54" s="12"/>
    </row>
    <row r="55" spans="2:130" outlineLevel="1">
      <c r="B55" t="s">
        <v>21</v>
      </c>
      <c r="C55" t="s">
        <v>84</v>
      </c>
      <c r="E55" s="11"/>
      <c r="F55" t="s">
        <v>128</v>
      </c>
      <c r="G55" s="12">
        <v>0.1</v>
      </c>
      <c r="I55" s="11">
        <f t="shared" si="3"/>
        <v>4.5</v>
      </c>
      <c r="J55" s="13" cm="1">
        <f t="array" ref="J55">MAX(IF($N$3:$EH$3=$J$3,N55:EH55))</f>
        <v>0</v>
      </c>
      <c r="K55" s="13" cm="1">
        <f t="array" ref="K55">MAX(IF($N$3:$EH$3=$J$3,N55:EH55))</f>
        <v>0</v>
      </c>
      <c r="L55" s="11"/>
      <c r="O55" s="12"/>
      <c r="P55" s="12"/>
      <c r="Q55" s="12"/>
      <c r="R55" s="12"/>
      <c r="V55" s="12"/>
      <c r="W55" s="12"/>
      <c r="X55" s="12"/>
      <c r="Y55" s="12"/>
      <c r="AC55" s="12"/>
      <c r="AD55" s="12"/>
      <c r="AE55" s="12"/>
      <c r="AF55" s="12"/>
      <c r="AJ55" s="12"/>
      <c r="AK55" s="12"/>
      <c r="AL55" s="12"/>
      <c r="AM55" s="12"/>
      <c r="AQ55" s="12"/>
      <c r="AR55" s="12"/>
      <c r="AS55" s="12"/>
      <c r="AT55" s="12"/>
      <c r="AW55">
        <v>1.5</v>
      </c>
      <c r="AX55" s="12"/>
      <c r="AY55" s="12">
        <v>0.5</v>
      </c>
      <c r="AZ55" s="12"/>
      <c r="BA55" s="12">
        <v>0.5</v>
      </c>
      <c r="BE55" s="12"/>
      <c r="BF55" s="12">
        <v>0.5</v>
      </c>
      <c r="BG55" s="12"/>
      <c r="BH55" s="12">
        <v>0.5</v>
      </c>
      <c r="BL55" s="12"/>
      <c r="BM55" s="12">
        <v>0.5</v>
      </c>
      <c r="BN55" s="12"/>
      <c r="BO55" s="12">
        <v>0.5</v>
      </c>
      <c r="BR55">
        <v>1.5</v>
      </c>
      <c r="BS55" s="12"/>
      <c r="BT55" s="12">
        <v>0.8</v>
      </c>
      <c r="BU55" s="12"/>
      <c r="BV55" s="12">
        <v>0.8</v>
      </c>
      <c r="BZ55" s="12"/>
      <c r="CA55" s="12">
        <v>0.8</v>
      </c>
      <c r="CB55" s="12"/>
      <c r="CC55" s="12">
        <v>0.8</v>
      </c>
      <c r="CG55" s="12"/>
      <c r="CH55" s="12">
        <v>0.8</v>
      </c>
      <c r="CI55" s="12"/>
      <c r="CJ55" s="12">
        <v>0.8</v>
      </c>
      <c r="CM55">
        <v>1.5</v>
      </c>
      <c r="CN55" s="12"/>
      <c r="CO55" s="12">
        <v>1</v>
      </c>
      <c r="CP55" s="12"/>
      <c r="CQ55" s="12">
        <v>1</v>
      </c>
      <c r="CU55" s="12"/>
      <c r="CV55" s="12">
        <v>1</v>
      </c>
      <c r="CW55" s="12"/>
      <c r="CX55" s="12">
        <v>1</v>
      </c>
      <c r="DB55" s="12"/>
      <c r="DC55" s="12">
        <v>1</v>
      </c>
      <c r="DD55" s="12"/>
      <c r="DE55" s="12">
        <v>1</v>
      </c>
      <c r="DI55" s="12"/>
      <c r="DJ55" s="12">
        <v>1</v>
      </c>
      <c r="DK55" s="12"/>
      <c r="DL55" s="12">
        <v>1</v>
      </c>
      <c r="DP55" s="12"/>
      <c r="DQ55" s="12"/>
      <c r="DR55" s="12"/>
      <c r="DS55" s="12"/>
      <c r="DW55" s="12"/>
      <c r="DX55" s="12"/>
      <c r="DY55" s="12"/>
      <c r="DZ55" s="12"/>
    </row>
    <row r="57" spans="2:130">
      <c r="B57" t="s">
        <v>20</v>
      </c>
      <c r="C57" t="s">
        <v>85</v>
      </c>
      <c r="D57" s="22" t="s">
        <v>167</v>
      </c>
      <c r="E57" s="11">
        <v>9</v>
      </c>
      <c r="G57" s="12">
        <f>+SUM(G58:G66)</f>
        <v>0.99999999999999989</v>
      </c>
      <c r="I57" s="14">
        <f>+SUM(I58:I66)</f>
        <v>121.5</v>
      </c>
      <c r="J57" s="13">
        <f>+SUMPRODUCT(G58:G66,J58:J66)</f>
        <v>0.05</v>
      </c>
      <c r="K57" s="13">
        <f>+SUMPRODUCT(G58:G66,K58:K66)</f>
        <v>0.05</v>
      </c>
      <c r="L57" s="11"/>
      <c r="N57" s="14">
        <f>+SUM(N58:N66)</f>
        <v>0</v>
      </c>
      <c r="U57" s="14">
        <f>+SUM(U58:U66)</f>
        <v>4.5</v>
      </c>
      <c r="AB57" s="14">
        <f>+SUM(AB58:AB66)</f>
        <v>4.5</v>
      </c>
      <c r="AI57" s="14">
        <f>+SUM(AI58:AI66)</f>
        <v>4.5</v>
      </c>
      <c r="AP57" s="14">
        <f>+SUM(AP58:AP66)</f>
        <v>4.5</v>
      </c>
      <c r="AW57">
        <v>9</v>
      </c>
      <c r="BD57">
        <v>13.5</v>
      </c>
      <c r="BK57">
        <v>9</v>
      </c>
      <c r="BR57">
        <v>13.5</v>
      </c>
      <c r="BY57">
        <v>9</v>
      </c>
      <c r="CF57">
        <v>13.5</v>
      </c>
      <c r="CM57">
        <v>9</v>
      </c>
      <c r="CT57">
        <v>13.5</v>
      </c>
      <c r="DA57">
        <v>9</v>
      </c>
      <c r="DH57">
        <v>9</v>
      </c>
    </row>
    <row r="58" spans="2:130" outlineLevel="1">
      <c r="B58" t="s">
        <v>21</v>
      </c>
      <c r="C58" t="s">
        <v>85</v>
      </c>
      <c r="E58" s="11"/>
      <c r="F58" t="s">
        <v>130</v>
      </c>
      <c r="G58" s="12">
        <v>0.15</v>
      </c>
      <c r="I58" s="11">
        <f t="shared" ref="I58:I66" si="4">+SUMIF($N$3:$ZZ$3,I$3,$N58:$ZZ58)</f>
        <v>13.5</v>
      </c>
      <c r="J58" s="13" cm="1">
        <f t="array" ref="J58">MAX(IF($N$3:$EH$3=$J$3,N58:EH58))</f>
        <v>0.2</v>
      </c>
      <c r="K58" s="13" cm="1">
        <f t="array" ref="K58">MAX(IF($N$3:$EH$3=$J$3,N58:EH58))</f>
        <v>0.2</v>
      </c>
      <c r="L58" s="11"/>
      <c r="O58" s="12">
        <v>0.2</v>
      </c>
      <c r="P58" s="12"/>
      <c r="Q58" s="12"/>
      <c r="R58" s="12"/>
      <c r="U58">
        <v>4.5</v>
      </c>
      <c r="V58" s="12"/>
      <c r="W58" s="12">
        <v>0.5</v>
      </c>
      <c r="X58" s="12"/>
      <c r="Y58" s="12">
        <v>0.5</v>
      </c>
      <c r="AC58" s="12"/>
      <c r="AD58" s="12">
        <v>0.5</v>
      </c>
      <c r="AE58" s="12"/>
      <c r="AF58" s="12">
        <v>0.5</v>
      </c>
      <c r="AJ58" s="12"/>
      <c r="AK58" s="12">
        <v>0.5</v>
      </c>
      <c r="AL58" s="12"/>
      <c r="AM58" s="12">
        <v>0.5</v>
      </c>
      <c r="AQ58" s="12"/>
      <c r="AR58" s="12">
        <v>0.5</v>
      </c>
      <c r="AS58" s="12"/>
      <c r="AT58" s="12">
        <v>0.5</v>
      </c>
      <c r="AX58" s="12"/>
      <c r="AY58" s="12">
        <v>0.5</v>
      </c>
      <c r="AZ58" s="12"/>
      <c r="BA58" s="12">
        <v>0.5</v>
      </c>
      <c r="BE58" s="12"/>
      <c r="BF58" s="12">
        <v>0.5</v>
      </c>
      <c r="BG58" s="12"/>
      <c r="BH58" s="12">
        <v>0.5</v>
      </c>
      <c r="BK58">
        <v>4.5</v>
      </c>
      <c r="BL58" s="12"/>
      <c r="BM58" s="12">
        <v>0.8</v>
      </c>
      <c r="BN58" s="12"/>
      <c r="BO58" s="12">
        <v>0.8</v>
      </c>
      <c r="BS58" s="12"/>
      <c r="BT58" s="12">
        <v>0.8</v>
      </c>
      <c r="BU58" s="12"/>
      <c r="BV58" s="12">
        <v>0.8</v>
      </c>
      <c r="BZ58" s="12"/>
      <c r="CA58" s="12">
        <v>0.8</v>
      </c>
      <c r="CB58" s="12"/>
      <c r="CC58" s="12">
        <v>0.8</v>
      </c>
      <c r="CF58">
        <v>4.5</v>
      </c>
      <c r="CG58" s="12"/>
      <c r="CH58" s="12">
        <v>1</v>
      </c>
      <c r="CI58" s="12"/>
      <c r="CJ58" s="12">
        <v>1</v>
      </c>
      <c r="CN58" s="12"/>
      <c r="CO58" s="12">
        <v>1</v>
      </c>
      <c r="CP58" s="12"/>
      <c r="CQ58" s="12">
        <v>1</v>
      </c>
      <c r="CU58" s="12"/>
      <c r="CV58" s="12">
        <v>1</v>
      </c>
      <c r="CW58" s="12"/>
      <c r="CX58" s="12">
        <v>1</v>
      </c>
      <c r="DB58" s="12"/>
      <c r="DC58" s="12">
        <v>1</v>
      </c>
      <c r="DD58" s="12"/>
      <c r="DE58" s="12">
        <v>1</v>
      </c>
      <c r="DI58" s="12"/>
      <c r="DJ58" s="12">
        <v>1</v>
      </c>
      <c r="DK58" s="12"/>
      <c r="DL58" s="12">
        <v>1</v>
      </c>
      <c r="DP58" s="12"/>
      <c r="DQ58" s="12">
        <v>1</v>
      </c>
      <c r="DR58" s="12"/>
      <c r="DS58" s="12">
        <v>1</v>
      </c>
      <c r="DW58" s="12"/>
      <c r="DX58" s="12">
        <v>1</v>
      </c>
      <c r="DY58" s="12"/>
      <c r="DZ58" s="12">
        <v>1</v>
      </c>
    </row>
    <row r="59" spans="2:130" outlineLevel="1">
      <c r="B59" t="s">
        <v>21</v>
      </c>
      <c r="C59" t="s">
        <v>85</v>
      </c>
      <c r="E59" s="11"/>
      <c r="F59" t="s">
        <v>131</v>
      </c>
      <c r="G59" s="12">
        <v>0.1</v>
      </c>
      <c r="I59" s="11">
        <f t="shared" si="4"/>
        <v>13.5</v>
      </c>
      <c r="J59" s="13" cm="1">
        <f t="array" ref="J59">MAX(IF($N$3:$EH$3=$J$3,N59:EH59))</f>
        <v>0.2</v>
      </c>
      <c r="K59" s="13" cm="1">
        <f t="array" ref="K59">MAX(IF($N$3:$EH$3=$J$3,N59:EH59))</f>
        <v>0.2</v>
      </c>
      <c r="L59" s="11"/>
      <c r="O59" s="12">
        <v>0.2</v>
      </c>
      <c r="P59" s="12"/>
      <c r="Q59" s="12">
        <v>0.3</v>
      </c>
      <c r="R59" s="12"/>
      <c r="V59" s="12"/>
      <c r="W59" s="12"/>
      <c r="X59" s="12"/>
      <c r="Y59" s="12"/>
      <c r="AB59">
        <v>4.5</v>
      </c>
      <c r="AC59" s="12"/>
      <c r="AD59" s="12">
        <v>0.5</v>
      </c>
      <c r="AE59" s="12"/>
      <c r="AF59" s="12">
        <v>0.5</v>
      </c>
      <c r="AJ59" s="12"/>
      <c r="AK59" s="12">
        <v>0.5</v>
      </c>
      <c r="AL59" s="12"/>
      <c r="AM59" s="12">
        <v>0.5</v>
      </c>
      <c r="AQ59" s="12"/>
      <c r="AR59" s="12">
        <v>0.5</v>
      </c>
      <c r="AS59" s="12"/>
      <c r="AT59" s="12">
        <v>0.5</v>
      </c>
      <c r="AX59" s="12"/>
      <c r="AY59" s="12">
        <v>0.5</v>
      </c>
      <c r="AZ59" s="12"/>
      <c r="BA59" s="12">
        <v>0.5</v>
      </c>
      <c r="BE59" s="12"/>
      <c r="BF59" s="12">
        <v>0.5</v>
      </c>
      <c r="BG59" s="12"/>
      <c r="BH59" s="12">
        <v>0.5</v>
      </c>
      <c r="BK59">
        <v>4.5</v>
      </c>
      <c r="BL59" s="12"/>
      <c r="BM59" s="12">
        <v>0.8</v>
      </c>
      <c r="BN59" s="12"/>
      <c r="BO59" s="12">
        <v>0.8</v>
      </c>
      <c r="BS59" s="12"/>
      <c r="BT59" s="12">
        <v>0.8</v>
      </c>
      <c r="BU59" s="12"/>
      <c r="BV59" s="12">
        <v>0.8</v>
      </c>
      <c r="BZ59" s="12"/>
      <c r="CA59" s="12">
        <v>0.8</v>
      </c>
      <c r="CB59" s="12"/>
      <c r="CC59" s="12">
        <v>0.8</v>
      </c>
      <c r="CG59" s="12"/>
      <c r="CH59" s="12">
        <v>0.8</v>
      </c>
      <c r="CI59" s="12"/>
      <c r="CJ59" s="12">
        <v>0.8</v>
      </c>
      <c r="CM59">
        <v>4.5</v>
      </c>
      <c r="CN59" s="12"/>
      <c r="CO59" s="12">
        <v>1</v>
      </c>
      <c r="CP59" s="12"/>
      <c r="CQ59" s="12">
        <v>1</v>
      </c>
      <c r="CU59" s="12"/>
      <c r="CV59" s="12">
        <v>1</v>
      </c>
      <c r="CW59" s="12"/>
      <c r="CX59" s="12">
        <v>1</v>
      </c>
      <c r="DB59" s="12"/>
      <c r="DC59" s="12">
        <v>1</v>
      </c>
      <c r="DD59" s="12"/>
      <c r="DE59" s="12">
        <v>1</v>
      </c>
      <c r="DI59" s="12"/>
      <c r="DJ59" s="12">
        <v>1</v>
      </c>
      <c r="DK59" s="12"/>
      <c r="DL59" s="12">
        <v>1</v>
      </c>
      <c r="DP59" s="12"/>
      <c r="DQ59" s="12">
        <v>1</v>
      </c>
      <c r="DR59" s="12"/>
      <c r="DS59" s="12">
        <v>1</v>
      </c>
      <c r="DW59" s="12"/>
      <c r="DX59" s="12">
        <v>1</v>
      </c>
      <c r="DY59" s="12"/>
      <c r="DZ59" s="12">
        <v>1</v>
      </c>
    </row>
    <row r="60" spans="2:130" outlineLevel="1">
      <c r="B60" t="s">
        <v>21</v>
      </c>
      <c r="C60" t="s">
        <v>85</v>
      </c>
      <c r="E60" s="11"/>
      <c r="F60" t="s">
        <v>132</v>
      </c>
      <c r="G60" s="12">
        <v>0.1</v>
      </c>
      <c r="I60" s="11">
        <f t="shared" si="4"/>
        <v>13.5</v>
      </c>
      <c r="J60" s="13" cm="1">
        <f t="array" ref="J60">MAX(IF($N$3:$EH$3=$J$3,N60:EH60))</f>
        <v>0</v>
      </c>
      <c r="K60" s="13" cm="1">
        <f t="array" ref="K60">MAX(IF($N$3:$EH$3=$J$3,N60:EH60))</f>
        <v>0</v>
      </c>
      <c r="L60" s="11"/>
      <c r="O60" s="12"/>
      <c r="P60" s="12"/>
      <c r="Q60" s="12">
        <v>0.6</v>
      </c>
      <c r="R60" s="12"/>
      <c r="V60" s="12"/>
      <c r="W60" s="12"/>
      <c r="X60" s="12"/>
      <c r="Y60" s="12"/>
      <c r="AC60" s="12"/>
      <c r="AD60" s="12"/>
      <c r="AE60" s="12"/>
      <c r="AF60" s="12"/>
      <c r="AI60">
        <v>4.5</v>
      </c>
      <c r="AJ60" s="12"/>
      <c r="AK60" s="12">
        <v>0.5</v>
      </c>
      <c r="AL60" s="12"/>
      <c r="AM60" s="12">
        <v>0.5</v>
      </c>
      <c r="AQ60" s="12"/>
      <c r="AR60" s="12">
        <v>0.5</v>
      </c>
      <c r="AS60" s="12"/>
      <c r="AT60" s="12">
        <v>0.5</v>
      </c>
      <c r="AX60" s="12"/>
      <c r="AY60" s="12">
        <v>0.5</v>
      </c>
      <c r="AZ60" s="12"/>
      <c r="BA60" s="12">
        <v>0.5</v>
      </c>
      <c r="BE60" s="12"/>
      <c r="BF60" s="12">
        <v>0.5</v>
      </c>
      <c r="BG60" s="12"/>
      <c r="BH60" s="12">
        <v>0.5</v>
      </c>
      <c r="BL60" s="12"/>
      <c r="BM60" s="12">
        <v>0.5</v>
      </c>
      <c r="BN60" s="12"/>
      <c r="BO60" s="12">
        <v>0.5</v>
      </c>
      <c r="BR60">
        <v>4.5</v>
      </c>
      <c r="BS60" s="12"/>
      <c r="BT60" s="12">
        <v>0.8</v>
      </c>
      <c r="BU60" s="12"/>
      <c r="BV60" s="12">
        <v>0.8</v>
      </c>
      <c r="BZ60" s="12"/>
      <c r="CA60" s="12">
        <v>0.8</v>
      </c>
      <c r="CB60" s="12"/>
      <c r="CC60" s="12">
        <v>0.8</v>
      </c>
      <c r="CG60" s="12"/>
      <c r="CH60" s="12">
        <v>0.8</v>
      </c>
      <c r="CI60" s="12"/>
      <c r="CJ60" s="12">
        <v>0.8</v>
      </c>
      <c r="CM60">
        <v>4.5</v>
      </c>
      <c r="CN60" s="12"/>
      <c r="CO60" s="12">
        <v>1</v>
      </c>
      <c r="CP60" s="12"/>
      <c r="CQ60" s="12">
        <v>1</v>
      </c>
      <c r="CU60" s="12"/>
      <c r="CV60" s="12">
        <v>1</v>
      </c>
      <c r="CW60" s="12"/>
      <c r="CX60" s="12">
        <v>1</v>
      </c>
      <c r="DB60" s="12"/>
      <c r="DC60" s="12">
        <v>1</v>
      </c>
      <c r="DD60" s="12"/>
      <c r="DE60" s="12">
        <v>1</v>
      </c>
      <c r="DI60" s="12"/>
      <c r="DJ60" s="12">
        <v>1</v>
      </c>
      <c r="DK60" s="12"/>
      <c r="DL60" s="12">
        <v>1</v>
      </c>
      <c r="DP60" s="12"/>
      <c r="DQ60" s="12">
        <v>1</v>
      </c>
      <c r="DR60" s="12"/>
      <c r="DS60" s="12">
        <v>1</v>
      </c>
      <c r="DW60" s="12"/>
      <c r="DX60" s="12">
        <v>1</v>
      </c>
      <c r="DY60" s="12"/>
      <c r="DZ60" s="12">
        <v>1</v>
      </c>
    </row>
    <row r="61" spans="2:130" outlineLevel="1">
      <c r="B61" t="s">
        <v>21</v>
      </c>
      <c r="C61" t="s">
        <v>85</v>
      </c>
      <c r="E61" s="11"/>
      <c r="F61" t="s">
        <v>133</v>
      </c>
      <c r="G61" s="12">
        <v>0.1</v>
      </c>
      <c r="I61" s="11">
        <f t="shared" si="4"/>
        <v>13.5</v>
      </c>
      <c r="J61" s="13" cm="1">
        <f t="array" ref="J61">MAX(IF($N$3:$EH$3=$J$3,N61:EH61))</f>
        <v>0</v>
      </c>
      <c r="K61" s="13" cm="1">
        <f t="array" ref="K61">MAX(IF($N$3:$EH$3=$J$3,N61:EH61))</f>
        <v>0</v>
      </c>
      <c r="L61" s="11"/>
      <c r="O61" s="12"/>
      <c r="P61" s="12"/>
      <c r="Q61" s="12"/>
      <c r="R61" s="12"/>
      <c r="V61" s="12"/>
      <c r="W61" s="12"/>
      <c r="X61" s="12"/>
      <c r="Y61" s="12"/>
      <c r="AC61" s="12"/>
      <c r="AD61" s="12"/>
      <c r="AE61" s="12"/>
      <c r="AF61" s="12"/>
      <c r="AJ61" s="12"/>
      <c r="AK61" s="12"/>
      <c r="AL61" s="12"/>
      <c r="AM61" s="12"/>
      <c r="AP61">
        <v>4.5</v>
      </c>
      <c r="AQ61" s="12"/>
      <c r="AR61" s="12">
        <v>0.5</v>
      </c>
      <c r="AS61" s="12"/>
      <c r="AT61" s="12">
        <v>0.5</v>
      </c>
      <c r="AX61" s="12"/>
      <c r="AY61" s="12">
        <v>0.5</v>
      </c>
      <c r="AZ61" s="12"/>
      <c r="BA61" s="12">
        <v>0.5</v>
      </c>
      <c r="BE61" s="12"/>
      <c r="BF61" s="12">
        <v>0.5</v>
      </c>
      <c r="BG61" s="12"/>
      <c r="BH61" s="12">
        <v>0.5</v>
      </c>
      <c r="BL61" s="12"/>
      <c r="BM61" s="12">
        <v>0.5</v>
      </c>
      <c r="BN61" s="12"/>
      <c r="BO61" s="12">
        <v>0.5</v>
      </c>
      <c r="BR61">
        <v>4.5</v>
      </c>
      <c r="BS61" s="12"/>
      <c r="BT61" s="12">
        <v>0.8</v>
      </c>
      <c r="BU61" s="12"/>
      <c r="BV61" s="12">
        <v>0.8</v>
      </c>
      <c r="BZ61" s="12"/>
      <c r="CA61" s="12">
        <v>0.8</v>
      </c>
      <c r="CB61" s="12"/>
      <c r="CC61" s="12">
        <v>0.8</v>
      </c>
      <c r="CG61" s="12"/>
      <c r="CH61" s="12">
        <v>0.8</v>
      </c>
      <c r="CI61" s="12"/>
      <c r="CJ61" s="12">
        <v>0.8</v>
      </c>
      <c r="CN61" s="12"/>
      <c r="CO61" s="12">
        <v>0.8</v>
      </c>
      <c r="CP61" s="12"/>
      <c r="CQ61" s="12">
        <v>0.8</v>
      </c>
      <c r="CT61">
        <v>4.5</v>
      </c>
      <c r="CU61" s="12"/>
      <c r="CV61" s="12">
        <v>1</v>
      </c>
      <c r="CW61" s="12"/>
      <c r="CX61" s="12">
        <v>1</v>
      </c>
      <c r="DB61" s="12"/>
      <c r="DC61" s="12">
        <v>1</v>
      </c>
      <c r="DD61" s="12"/>
      <c r="DE61" s="12">
        <v>1</v>
      </c>
      <c r="DI61" s="12"/>
      <c r="DJ61" s="12">
        <v>1</v>
      </c>
      <c r="DK61" s="12"/>
      <c r="DL61" s="12">
        <v>1</v>
      </c>
      <c r="DP61" s="12"/>
      <c r="DQ61" s="12">
        <v>1</v>
      </c>
      <c r="DR61" s="12"/>
      <c r="DS61" s="12">
        <v>1</v>
      </c>
      <c r="DW61" s="12"/>
      <c r="DX61" s="12">
        <v>1</v>
      </c>
      <c r="DY61" s="12"/>
      <c r="DZ61" s="12">
        <v>1</v>
      </c>
    </row>
    <row r="62" spans="2:130" outlineLevel="1">
      <c r="B62" t="s">
        <v>21</v>
      </c>
      <c r="C62" t="s">
        <v>85</v>
      </c>
      <c r="E62" s="11"/>
      <c r="F62" t="s">
        <v>134</v>
      </c>
      <c r="G62" s="12">
        <v>0.1</v>
      </c>
      <c r="I62" s="11">
        <f t="shared" si="4"/>
        <v>13.5</v>
      </c>
      <c r="J62" s="13" cm="1">
        <f t="array" ref="J62">MAX(IF($N$3:$EH$3=$J$3,N62:EH62))</f>
        <v>0</v>
      </c>
      <c r="K62" s="13" cm="1">
        <f t="array" ref="K62">MAX(IF($N$3:$EH$3=$J$3,N62:EH62))</f>
        <v>0</v>
      </c>
      <c r="L62" s="11"/>
      <c r="O62" s="12"/>
      <c r="P62" s="12"/>
      <c r="Q62" s="12"/>
      <c r="R62" s="12"/>
      <c r="V62" s="12"/>
      <c r="W62" s="12"/>
      <c r="X62" s="12"/>
      <c r="Y62" s="12"/>
      <c r="AC62" s="12"/>
      <c r="AD62" s="12"/>
      <c r="AE62" s="12"/>
      <c r="AF62" s="12"/>
      <c r="AJ62" s="12"/>
      <c r="AK62" s="12"/>
      <c r="AL62" s="12"/>
      <c r="AM62" s="12"/>
      <c r="AQ62" s="12"/>
      <c r="AR62" s="12"/>
      <c r="AS62" s="12"/>
      <c r="AT62" s="12"/>
      <c r="AW62">
        <v>4.5</v>
      </c>
      <c r="AX62" s="12"/>
      <c r="AY62" s="12">
        <v>0.5</v>
      </c>
      <c r="AZ62" s="12"/>
      <c r="BA62" s="12">
        <v>0.5</v>
      </c>
      <c r="BE62" s="12"/>
      <c r="BF62" s="12">
        <v>0.5</v>
      </c>
      <c r="BG62" s="12"/>
      <c r="BH62" s="12">
        <v>0.5</v>
      </c>
      <c r="BL62" s="12"/>
      <c r="BM62" s="12">
        <v>0.5</v>
      </c>
      <c r="BN62" s="12"/>
      <c r="BO62" s="12">
        <v>0.5</v>
      </c>
      <c r="BR62">
        <v>4.5</v>
      </c>
      <c r="BS62" s="12"/>
      <c r="BT62" s="12">
        <v>0.8</v>
      </c>
      <c r="BU62" s="12"/>
      <c r="BV62" s="12">
        <v>0.8</v>
      </c>
      <c r="BZ62" s="12"/>
      <c r="CA62" s="12">
        <v>0.8</v>
      </c>
      <c r="CB62" s="12"/>
      <c r="CC62" s="12">
        <v>0.8</v>
      </c>
      <c r="CG62" s="12"/>
      <c r="CH62" s="12">
        <v>0.8</v>
      </c>
      <c r="CI62" s="12"/>
      <c r="CJ62" s="12">
        <v>0.8</v>
      </c>
      <c r="CN62" s="12"/>
      <c r="CO62" s="12">
        <v>0.8</v>
      </c>
      <c r="CP62" s="12"/>
      <c r="CQ62" s="12">
        <v>0.8</v>
      </c>
      <c r="CT62">
        <v>4.5</v>
      </c>
      <c r="CU62" s="12"/>
      <c r="CV62" s="12">
        <v>1</v>
      </c>
      <c r="CW62" s="12"/>
      <c r="CX62" s="12">
        <v>1</v>
      </c>
      <c r="DB62" s="12"/>
      <c r="DC62" s="12">
        <v>1</v>
      </c>
      <c r="DD62" s="12"/>
      <c r="DE62" s="12">
        <v>1</v>
      </c>
      <c r="DI62" s="12"/>
      <c r="DJ62" s="12">
        <v>1</v>
      </c>
      <c r="DK62" s="12"/>
      <c r="DL62" s="12">
        <v>1</v>
      </c>
      <c r="DP62" s="12"/>
      <c r="DQ62" s="12">
        <v>1</v>
      </c>
      <c r="DR62" s="12"/>
      <c r="DS62" s="12">
        <v>1</v>
      </c>
      <c r="DW62" s="12"/>
      <c r="DX62" s="12">
        <v>1</v>
      </c>
      <c r="DY62" s="12"/>
      <c r="DZ62" s="12">
        <v>1</v>
      </c>
    </row>
    <row r="63" spans="2:130" outlineLevel="1">
      <c r="B63" t="s">
        <v>21</v>
      </c>
      <c r="C63" t="s">
        <v>85</v>
      </c>
      <c r="E63" s="11"/>
      <c r="F63" t="s">
        <v>135</v>
      </c>
      <c r="G63" s="12">
        <v>0.1</v>
      </c>
      <c r="I63" s="11">
        <f t="shared" si="4"/>
        <v>13.5</v>
      </c>
      <c r="J63" s="13" cm="1">
        <f t="array" ref="J63">MAX(IF($N$3:$EH$3=$J$3,N63:EH63))</f>
        <v>0</v>
      </c>
      <c r="K63" s="13" cm="1">
        <f t="array" ref="K63">MAX(IF($N$3:$EH$3=$J$3,N63:EH63))</f>
        <v>0</v>
      </c>
      <c r="L63" s="11"/>
      <c r="O63" s="12"/>
      <c r="P63" s="12"/>
      <c r="Q63" s="12"/>
      <c r="R63" s="12"/>
      <c r="V63" s="12"/>
      <c r="W63" s="12"/>
      <c r="X63" s="12"/>
      <c r="Y63" s="12"/>
      <c r="AC63" s="12"/>
      <c r="AD63" s="12"/>
      <c r="AE63" s="12"/>
      <c r="AF63" s="12"/>
      <c r="AJ63" s="12"/>
      <c r="AK63" s="12"/>
      <c r="AL63" s="12"/>
      <c r="AM63" s="12"/>
      <c r="AQ63" s="12"/>
      <c r="AR63" s="12"/>
      <c r="AS63" s="12"/>
      <c r="AT63" s="12"/>
      <c r="AW63">
        <v>4.5</v>
      </c>
      <c r="AX63" s="12"/>
      <c r="AY63" s="12">
        <v>0.5</v>
      </c>
      <c r="AZ63" s="12"/>
      <c r="BA63" s="12">
        <v>0.5</v>
      </c>
      <c r="BE63" s="12"/>
      <c r="BF63" s="12">
        <v>0.5</v>
      </c>
      <c r="BG63" s="12"/>
      <c r="BH63" s="12">
        <v>0.5</v>
      </c>
      <c r="BL63" s="12"/>
      <c r="BM63" s="12">
        <v>0.5</v>
      </c>
      <c r="BN63" s="12"/>
      <c r="BO63" s="12">
        <v>0.5</v>
      </c>
      <c r="BS63" s="12"/>
      <c r="BT63" s="12">
        <v>0.5</v>
      </c>
      <c r="BU63" s="12"/>
      <c r="BV63" s="12">
        <v>0.5</v>
      </c>
      <c r="BY63">
        <v>4.5</v>
      </c>
      <c r="BZ63" s="12"/>
      <c r="CA63" s="12">
        <v>0.8</v>
      </c>
      <c r="CB63" s="12"/>
      <c r="CC63" s="12">
        <v>0.8</v>
      </c>
      <c r="CG63" s="12"/>
      <c r="CH63" s="12">
        <v>0.8</v>
      </c>
      <c r="CI63" s="12"/>
      <c r="CJ63" s="12">
        <v>0.8</v>
      </c>
      <c r="CN63" s="12"/>
      <c r="CO63" s="12">
        <v>0.8</v>
      </c>
      <c r="CP63" s="12"/>
      <c r="CQ63" s="12">
        <v>0.8</v>
      </c>
      <c r="CT63">
        <v>4.5</v>
      </c>
      <c r="CU63" s="12"/>
      <c r="CV63" s="12">
        <v>1</v>
      </c>
      <c r="CW63" s="12"/>
      <c r="CX63" s="12">
        <v>1</v>
      </c>
      <c r="DB63" s="12"/>
      <c r="DC63" s="12">
        <v>1</v>
      </c>
      <c r="DD63" s="12"/>
      <c r="DE63" s="12">
        <v>1</v>
      </c>
      <c r="DI63" s="12"/>
      <c r="DJ63" s="12">
        <v>1</v>
      </c>
      <c r="DK63" s="12"/>
      <c r="DL63" s="12">
        <v>1</v>
      </c>
      <c r="DP63" s="12"/>
      <c r="DQ63" s="12">
        <v>1</v>
      </c>
      <c r="DR63" s="12"/>
      <c r="DS63" s="12">
        <v>1</v>
      </c>
      <c r="DW63" s="12"/>
      <c r="DX63" s="12">
        <v>1</v>
      </c>
      <c r="DY63" s="12"/>
      <c r="DZ63" s="12">
        <v>1</v>
      </c>
    </row>
    <row r="64" spans="2:130" outlineLevel="1">
      <c r="B64" t="s">
        <v>21</v>
      </c>
      <c r="C64" t="s">
        <v>85</v>
      </c>
      <c r="E64" s="11"/>
      <c r="F64" t="s">
        <v>136</v>
      </c>
      <c r="G64" s="12">
        <v>0.1</v>
      </c>
      <c r="I64" s="11">
        <f t="shared" si="4"/>
        <v>13.5</v>
      </c>
      <c r="J64" s="13" cm="1">
        <f t="array" ref="J64">MAX(IF($N$3:$EH$3=$J$3,N64:EH64))</f>
        <v>0</v>
      </c>
      <c r="K64" s="13" cm="1">
        <f t="array" ref="K64">MAX(IF($N$3:$EH$3=$J$3,N64:EH64))</f>
        <v>0</v>
      </c>
      <c r="L64" s="11"/>
      <c r="O64" s="12"/>
      <c r="P64" s="12"/>
      <c r="Q64" s="12"/>
      <c r="R64" s="12"/>
      <c r="V64" s="12"/>
      <c r="W64" s="12"/>
      <c r="X64" s="12"/>
      <c r="Y64" s="12"/>
      <c r="AC64" s="12"/>
      <c r="AD64" s="12"/>
      <c r="AE64" s="12"/>
      <c r="AF64" s="12"/>
      <c r="AJ64" s="12"/>
      <c r="AK64" s="12"/>
      <c r="AL64" s="12"/>
      <c r="AM64" s="12"/>
      <c r="AQ64" s="12"/>
      <c r="AR64" s="12"/>
      <c r="AS64" s="12"/>
      <c r="AT64" s="12"/>
      <c r="AX64" s="12"/>
      <c r="AY64" s="12"/>
      <c r="AZ64" s="12"/>
      <c r="BA64" s="12"/>
      <c r="BD64">
        <v>4.5</v>
      </c>
      <c r="BE64" s="12"/>
      <c r="BF64" s="12">
        <v>0.5</v>
      </c>
      <c r="BG64" s="12"/>
      <c r="BH64" s="12">
        <v>0.5</v>
      </c>
      <c r="BL64" s="12"/>
      <c r="BM64" s="12">
        <v>0.5</v>
      </c>
      <c r="BN64" s="12"/>
      <c r="BO64" s="12">
        <v>0.5</v>
      </c>
      <c r="BS64" s="12"/>
      <c r="BT64" s="12">
        <v>0.5</v>
      </c>
      <c r="BU64" s="12"/>
      <c r="BV64" s="12">
        <v>0.5</v>
      </c>
      <c r="BY64">
        <v>4.5</v>
      </c>
      <c r="BZ64" s="12"/>
      <c r="CA64" s="12">
        <v>0.8</v>
      </c>
      <c r="CB64" s="12"/>
      <c r="CC64" s="12">
        <v>0.8</v>
      </c>
      <c r="CG64" s="12"/>
      <c r="CH64" s="12">
        <v>0.8</v>
      </c>
      <c r="CI64" s="12"/>
      <c r="CJ64" s="12">
        <v>0.8</v>
      </c>
      <c r="CN64" s="12"/>
      <c r="CO64" s="12">
        <v>0.8</v>
      </c>
      <c r="CP64" s="12"/>
      <c r="CQ64" s="12">
        <v>0.8</v>
      </c>
      <c r="CU64" s="12"/>
      <c r="CV64" s="12">
        <v>0.8</v>
      </c>
      <c r="CW64" s="12"/>
      <c r="CX64" s="12">
        <v>0.8</v>
      </c>
      <c r="DA64">
        <v>4.5</v>
      </c>
      <c r="DB64" s="12"/>
      <c r="DC64" s="12">
        <v>1</v>
      </c>
      <c r="DD64" s="12"/>
      <c r="DE64" s="12">
        <v>1</v>
      </c>
      <c r="DI64" s="12"/>
      <c r="DJ64" s="12">
        <v>1</v>
      </c>
      <c r="DK64" s="12"/>
      <c r="DL64" s="12">
        <v>1</v>
      </c>
      <c r="DP64" s="12"/>
      <c r="DQ64" s="12">
        <v>1</v>
      </c>
      <c r="DR64" s="12"/>
      <c r="DS64" s="12">
        <v>1</v>
      </c>
      <c r="DW64" s="12"/>
      <c r="DX64" s="12">
        <v>1</v>
      </c>
      <c r="DY64" s="12"/>
      <c r="DZ64" s="12">
        <v>1</v>
      </c>
    </row>
    <row r="65" spans="2:130" outlineLevel="1">
      <c r="B65" t="s">
        <v>21</v>
      </c>
      <c r="C65" t="s">
        <v>85</v>
      </c>
      <c r="E65" s="11"/>
      <c r="F65" t="s">
        <v>137</v>
      </c>
      <c r="G65" s="12">
        <v>0.1</v>
      </c>
      <c r="I65" s="11">
        <f t="shared" si="4"/>
        <v>13.5</v>
      </c>
      <c r="J65" s="13" cm="1">
        <f t="array" ref="J65">MAX(IF($N$3:$EH$3=$J$3,N65:EH65))</f>
        <v>0</v>
      </c>
      <c r="K65" s="13" cm="1">
        <f t="array" ref="K65">MAX(IF($N$3:$EH$3=$J$3,N65:EH65))</f>
        <v>0</v>
      </c>
      <c r="L65" s="11"/>
      <c r="O65" s="12"/>
      <c r="P65" s="12"/>
      <c r="Q65" s="12"/>
      <c r="R65" s="12"/>
      <c r="V65" s="12"/>
      <c r="W65" s="12"/>
      <c r="X65" s="12"/>
      <c r="Y65" s="12"/>
      <c r="AC65" s="12"/>
      <c r="AD65" s="12"/>
      <c r="AE65" s="12"/>
      <c r="AF65" s="12"/>
      <c r="AJ65" s="12"/>
      <c r="AK65" s="12"/>
      <c r="AL65" s="12"/>
      <c r="AM65" s="12"/>
      <c r="AQ65" s="12"/>
      <c r="AR65" s="12"/>
      <c r="AS65" s="12"/>
      <c r="AT65" s="12"/>
      <c r="AX65" s="12"/>
      <c r="AY65" s="12"/>
      <c r="AZ65" s="12"/>
      <c r="BA65" s="12"/>
      <c r="BD65">
        <v>4.5</v>
      </c>
      <c r="BE65" s="12"/>
      <c r="BF65" s="12">
        <v>0.5</v>
      </c>
      <c r="BG65" s="12"/>
      <c r="BH65" s="12">
        <v>0.5</v>
      </c>
      <c r="BL65" s="12"/>
      <c r="BM65" s="12">
        <v>0.5</v>
      </c>
      <c r="BN65" s="12"/>
      <c r="BO65" s="12">
        <v>0.5</v>
      </c>
      <c r="BS65" s="12"/>
      <c r="BT65" s="12">
        <v>0.5</v>
      </c>
      <c r="BU65" s="12"/>
      <c r="BV65" s="12">
        <v>0.5</v>
      </c>
      <c r="BZ65" s="12"/>
      <c r="CA65" s="12">
        <v>0.5</v>
      </c>
      <c r="CB65" s="12"/>
      <c r="CC65" s="12">
        <v>0.5</v>
      </c>
      <c r="CF65">
        <v>4.5</v>
      </c>
      <c r="CG65" s="12"/>
      <c r="CH65" s="12">
        <v>0.8</v>
      </c>
      <c r="CI65" s="12"/>
      <c r="CJ65" s="12">
        <v>0.8</v>
      </c>
      <c r="CN65" s="12"/>
      <c r="CO65" s="12">
        <v>0.8</v>
      </c>
      <c r="CP65" s="12"/>
      <c r="CQ65" s="12">
        <v>0.8</v>
      </c>
      <c r="CU65" s="12"/>
      <c r="CV65" s="12">
        <v>0.8</v>
      </c>
      <c r="CW65" s="12"/>
      <c r="CX65" s="12">
        <v>0.8</v>
      </c>
      <c r="DA65">
        <v>4.5</v>
      </c>
      <c r="DB65" s="12"/>
      <c r="DC65" s="12">
        <v>1</v>
      </c>
      <c r="DD65" s="12"/>
      <c r="DE65" s="12">
        <v>1</v>
      </c>
      <c r="DI65" s="12"/>
      <c r="DJ65" s="12">
        <v>1</v>
      </c>
      <c r="DK65" s="12"/>
      <c r="DL65" s="12">
        <v>1</v>
      </c>
      <c r="DP65" s="12"/>
      <c r="DQ65" s="12">
        <v>1</v>
      </c>
      <c r="DR65" s="12"/>
      <c r="DS65" s="12">
        <v>1</v>
      </c>
      <c r="DW65" s="12"/>
      <c r="DX65" s="12">
        <v>1</v>
      </c>
      <c r="DY65" s="12"/>
      <c r="DZ65" s="12">
        <v>1</v>
      </c>
    </row>
    <row r="66" spans="2:130" outlineLevel="1">
      <c r="B66" t="s">
        <v>21</v>
      </c>
      <c r="C66" t="s">
        <v>85</v>
      </c>
      <c r="E66" s="11"/>
      <c r="F66" t="s">
        <v>138</v>
      </c>
      <c r="G66" s="12">
        <v>0.15</v>
      </c>
      <c r="I66" s="11">
        <f t="shared" si="4"/>
        <v>13.5</v>
      </c>
      <c r="J66" s="13" cm="1">
        <f t="array" ref="J66">MAX(IF($N$3:$EH$3=$J$3,N66:EH66))</f>
        <v>0</v>
      </c>
      <c r="K66" s="13" cm="1">
        <f t="array" ref="K66">MAX(IF($N$3:$EH$3=$J$3,N66:EH66))</f>
        <v>0</v>
      </c>
      <c r="L66" s="11"/>
      <c r="O66" s="12"/>
      <c r="P66" s="12"/>
      <c r="Q66" s="12"/>
      <c r="R66" s="12"/>
      <c r="V66" s="12"/>
      <c r="W66" s="12"/>
      <c r="X66" s="12"/>
      <c r="Y66" s="12"/>
      <c r="AC66" s="12"/>
      <c r="AD66" s="12"/>
      <c r="AE66" s="12"/>
      <c r="AF66" s="12"/>
      <c r="AJ66" s="12"/>
      <c r="AK66" s="12"/>
      <c r="AL66" s="12"/>
      <c r="AM66" s="12"/>
      <c r="AQ66" s="12"/>
      <c r="AR66" s="12"/>
      <c r="AS66" s="12"/>
      <c r="AT66" s="12"/>
      <c r="AX66" s="12"/>
      <c r="AY66" s="12"/>
      <c r="AZ66" s="12"/>
      <c r="BA66" s="12"/>
      <c r="BD66">
        <v>4.5</v>
      </c>
      <c r="BE66" s="12"/>
      <c r="BF66" s="12">
        <v>0.5</v>
      </c>
      <c r="BG66" s="12"/>
      <c r="BH66" s="12">
        <v>0.5</v>
      </c>
      <c r="BL66" s="12"/>
      <c r="BM66" s="12">
        <v>0.5</v>
      </c>
      <c r="BN66" s="12"/>
      <c r="BO66" s="12">
        <v>0.5</v>
      </c>
      <c r="BS66" s="12"/>
      <c r="BT66" s="12">
        <v>0.5</v>
      </c>
      <c r="BU66" s="12"/>
      <c r="BV66" s="12">
        <v>0.5</v>
      </c>
      <c r="BZ66" s="12"/>
      <c r="CA66" s="12">
        <v>0.5</v>
      </c>
      <c r="CB66" s="12"/>
      <c r="CC66" s="12">
        <v>0.5</v>
      </c>
      <c r="CF66">
        <v>4.5</v>
      </c>
      <c r="CG66" s="12"/>
      <c r="CH66" s="12">
        <v>0.8</v>
      </c>
      <c r="CI66" s="12"/>
      <c r="CJ66" s="12">
        <v>0.8</v>
      </c>
      <c r="CN66" s="12"/>
      <c r="CO66" s="12">
        <v>0.8</v>
      </c>
      <c r="CP66" s="12"/>
      <c r="CQ66" s="12">
        <v>0.8</v>
      </c>
      <c r="CU66" s="12"/>
      <c r="CV66" s="12">
        <v>0.8</v>
      </c>
      <c r="CW66" s="12"/>
      <c r="CX66" s="12">
        <v>0.8</v>
      </c>
      <c r="DB66" s="12"/>
      <c r="DC66" s="12">
        <v>0.8</v>
      </c>
      <c r="DD66" s="12"/>
      <c r="DE66" s="12">
        <v>0.8</v>
      </c>
      <c r="DH66">
        <v>4.5</v>
      </c>
      <c r="DI66" s="12"/>
      <c r="DJ66" s="12">
        <v>1</v>
      </c>
      <c r="DK66" s="12"/>
      <c r="DL66" s="12">
        <v>1</v>
      </c>
      <c r="DP66" s="12"/>
      <c r="DQ66" s="12">
        <v>1</v>
      </c>
      <c r="DR66" s="12"/>
      <c r="DS66" s="12">
        <v>1</v>
      </c>
      <c r="DW66" s="12"/>
      <c r="DX66" s="12">
        <v>1</v>
      </c>
      <c r="DY66" s="12"/>
      <c r="DZ66" s="12">
        <v>1</v>
      </c>
    </row>
    <row r="67" spans="2:130">
      <c r="BH67" s="12"/>
    </row>
    <row r="68" spans="2:130">
      <c r="B68" t="s">
        <v>20</v>
      </c>
      <c r="C68" t="s">
        <v>86</v>
      </c>
      <c r="D68" s="22" t="s">
        <v>167</v>
      </c>
      <c r="E68" s="11">
        <v>3</v>
      </c>
      <c r="G68" s="12">
        <f>+SUM(G69:G77)</f>
        <v>0.99999999999999989</v>
      </c>
      <c r="I68" s="14">
        <f>+SUM(I69:I77)</f>
        <v>40.5</v>
      </c>
      <c r="J68" s="13">
        <f>+SUMPRODUCT(G69:G77,J69:J77)</f>
        <v>0</v>
      </c>
      <c r="K68" s="13">
        <f>+SUMPRODUCT(G69:G77,K69:K77)</f>
        <v>0</v>
      </c>
      <c r="L68" s="11"/>
      <c r="N68" s="14">
        <f>+SUM(N69:N77)</f>
        <v>0</v>
      </c>
      <c r="U68" s="14">
        <f>+SUM(U69:U77)</f>
        <v>1.5</v>
      </c>
      <c r="AB68" s="14">
        <f>+SUM(AB69:AB77)</f>
        <v>1.5</v>
      </c>
      <c r="AI68" s="14">
        <f>+SUM(AI69:AI77)</f>
        <v>1.5</v>
      </c>
      <c r="AP68" s="14">
        <f>+SUM(AP69:AP77)</f>
        <v>1.5</v>
      </c>
      <c r="AW68">
        <v>4.5</v>
      </c>
      <c r="BD68">
        <v>3</v>
      </c>
      <c r="BK68">
        <v>4.5</v>
      </c>
      <c r="BR68">
        <v>3</v>
      </c>
      <c r="BY68">
        <v>4.5</v>
      </c>
      <c r="CF68">
        <v>3</v>
      </c>
      <c r="CM68">
        <v>4.5</v>
      </c>
      <c r="CT68">
        <v>3</v>
      </c>
      <c r="DA68">
        <v>4.5</v>
      </c>
      <c r="DH68">
        <v>3</v>
      </c>
    </row>
    <row r="69" spans="2:130" outlineLevel="1">
      <c r="B69" t="s">
        <v>21</v>
      </c>
      <c r="C69" t="s">
        <v>86</v>
      </c>
      <c r="E69" s="11"/>
      <c r="F69" t="s">
        <v>139</v>
      </c>
      <c r="G69" s="12">
        <v>0.1</v>
      </c>
      <c r="I69" s="11">
        <f t="shared" ref="I69:I77" si="5">+SUMIF($N$3:$ZZ$3,I$3,$N69:$ZZ69)</f>
        <v>4.5</v>
      </c>
      <c r="J69" s="13" cm="1">
        <f t="array" ref="J69">MAX(IF($N$3:$EH$3=$J$3,N69:EH69))</f>
        <v>0</v>
      </c>
      <c r="K69" s="13" cm="1">
        <f t="array" ref="K69">MAX(IF($N$3:$EH$3=$J$3,N69:EH69))</f>
        <v>0</v>
      </c>
      <c r="L69" s="11"/>
      <c r="O69" s="12"/>
      <c r="P69" s="12"/>
      <c r="Q69" s="12"/>
      <c r="R69" s="12"/>
      <c r="U69">
        <v>1.5</v>
      </c>
      <c r="V69" s="12"/>
      <c r="W69" s="12">
        <v>0.5</v>
      </c>
      <c r="X69" s="12"/>
      <c r="Y69" s="12">
        <v>0.5</v>
      </c>
      <c r="AC69" s="12"/>
      <c r="AD69" s="12">
        <v>0.5</v>
      </c>
      <c r="AE69" s="12"/>
      <c r="AF69" s="12">
        <v>0.5</v>
      </c>
      <c r="AJ69" s="12"/>
      <c r="AK69" s="12">
        <v>0.5</v>
      </c>
      <c r="AL69" s="12"/>
      <c r="AM69" s="12">
        <v>0.5</v>
      </c>
      <c r="AQ69" s="12"/>
      <c r="AR69" s="12">
        <v>0.5</v>
      </c>
      <c r="AS69" s="12"/>
      <c r="AT69" s="12">
        <v>0.5</v>
      </c>
      <c r="AX69" s="12"/>
      <c r="AY69" s="12">
        <v>0.5</v>
      </c>
      <c r="AZ69" s="12"/>
      <c r="BA69" s="12">
        <v>0.5</v>
      </c>
      <c r="BE69" s="12"/>
      <c r="BF69" s="12">
        <v>0.5</v>
      </c>
      <c r="BG69" s="12"/>
      <c r="BH69" s="12">
        <v>0.5</v>
      </c>
      <c r="BK69">
        <v>1.5</v>
      </c>
      <c r="BL69" s="12"/>
      <c r="BM69" s="12">
        <v>0.8</v>
      </c>
      <c r="BN69" s="12"/>
      <c r="BO69" s="12">
        <v>0.8</v>
      </c>
      <c r="BS69" s="12"/>
      <c r="BT69" s="12">
        <v>0.8</v>
      </c>
      <c r="BU69" s="12"/>
      <c r="BV69" s="12">
        <v>0.8</v>
      </c>
      <c r="BZ69" s="12"/>
      <c r="CA69" s="12">
        <v>0.8</v>
      </c>
      <c r="CB69" s="12"/>
      <c r="CC69" s="12">
        <v>0.8</v>
      </c>
      <c r="CF69">
        <v>1.5</v>
      </c>
      <c r="CG69" s="12"/>
      <c r="CH69" s="12">
        <v>1</v>
      </c>
      <c r="CI69" s="12"/>
      <c r="CJ69" s="12">
        <v>1</v>
      </c>
      <c r="CN69" s="12"/>
      <c r="CO69" s="12">
        <v>1</v>
      </c>
      <c r="CP69" s="12"/>
      <c r="CQ69" s="12">
        <v>1</v>
      </c>
      <c r="CU69" s="12"/>
      <c r="CV69" s="12">
        <v>1</v>
      </c>
      <c r="CW69" s="12"/>
      <c r="CX69" s="12">
        <v>1</v>
      </c>
      <c r="DB69" s="12"/>
      <c r="DC69" s="12">
        <v>1</v>
      </c>
      <c r="DD69" s="12"/>
      <c r="DE69" s="12">
        <v>1</v>
      </c>
      <c r="DI69" s="12"/>
      <c r="DJ69" s="12">
        <v>1</v>
      </c>
      <c r="DK69" s="12"/>
      <c r="DL69" s="12">
        <v>1</v>
      </c>
      <c r="DP69" s="12"/>
      <c r="DQ69" s="12">
        <v>1</v>
      </c>
      <c r="DR69" s="12"/>
      <c r="DS69" s="12">
        <v>1</v>
      </c>
      <c r="DW69" s="12"/>
      <c r="DX69" s="12">
        <v>1</v>
      </c>
      <c r="DY69" s="12"/>
      <c r="DZ69" s="12">
        <v>1</v>
      </c>
    </row>
    <row r="70" spans="2:130" outlineLevel="1">
      <c r="B70" t="s">
        <v>21</v>
      </c>
      <c r="C70" t="s">
        <v>86</v>
      </c>
      <c r="E70" s="11"/>
      <c r="F70" t="s">
        <v>140</v>
      </c>
      <c r="G70" s="12">
        <v>0.15</v>
      </c>
      <c r="I70" s="11">
        <f t="shared" si="5"/>
        <v>4.5</v>
      </c>
      <c r="J70" s="13" cm="1">
        <f t="array" ref="J70">MAX(IF($N$3:$EH$3=$J$3,N70:EH70))</f>
        <v>0</v>
      </c>
      <c r="K70" s="13" cm="1">
        <f t="array" ref="K70">MAX(IF($N$3:$EH$3=$J$3,N70:EH70))</f>
        <v>0</v>
      </c>
      <c r="L70" s="11"/>
      <c r="O70" s="12"/>
      <c r="P70" s="12"/>
      <c r="Q70" s="12"/>
      <c r="R70" s="12"/>
      <c r="V70" s="12"/>
      <c r="W70" s="12"/>
      <c r="X70" s="12"/>
      <c r="Y70" s="12"/>
      <c r="AB70">
        <v>1.5</v>
      </c>
      <c r="AC70" s="12"/>
      <c r="AD70" s="12">
        <v>0.5</v>
      </c>
      <c r="AE70" s="12"/>
      <c r="AF70" s="12">
        <v>0.5</v>
      </c>
      <c r="AJ70" s="12"/>
      <c r="AK70" s="12">
        <v>0.5</v>
      </c>
      <c r="AL70" s="12"/>
      <c r="AM70" s="12">
        <v>0.5</v>
      </c>
      <c r="AQ70" s="12"/>
      <c r="AR70" s="12">
        <v>0.5</v>
      </c>
      <c r="AS70" s="12"/>
      <c r="AT70" s="12">
        <v>0.5</v>
      </c>
      <c r="AX70" s="12"/>
      <c r="AY70" s="12">
        <v>0.5</v>
      </c>
      <c r="AZ70" s="12"/>
      <c r="BA70" s="12">
        <v>0.5</v>
      </c>
      <c r="BE70" s="12"/>
      <c r="BF70" s="12">
        <v>0.5</v>
      </c>
      <c r="BG70" s="12"/>
      <c r="BH70" s="12">
        <v>0.5</v>
      </c>
      <c r="BK70">
        <v>1.5</v>
      </c>
      <c r="BL70" s="12"/>
      <c r="BM70" s="12">
        <v>0.8</v>
      </c>
      <c r="BN70" s="12"/>
      <c r="BO70" s="12">
        <v>0.8</v>
      </c>
      <c r="BS70" s="12"/>
      <c r="BT70" s="12">
        <v>0.8</v>
      </c>
      <c r="BU70" s="12"/>
      <c r="BV70" s="12">
        <v>0.8</v>
      </c>
      <c r="BZ70" s="12"/>
      <c r="CA70" s="12">
        <v>0.8</v>
      </c>
      <c r="CB70" s="12"/>
      <c r="CC70" s="12">
        <v>0.8</v>
      </c>
      <c r="CG70" s="12"/>
      <c r="CH70" s="12">
        <v>0.8</v>
      </c>
      <c r="CI70" s="12"/>
      <c r="CJ70" s="12">
        <v>0.8</v>
      </c>
      <c r="CM70">
        <v>1.5</v>
      </c>
      <c r="CN70" s="12"/>
      <c r="CO70" s="12">
        <v>1</v>
      </c>
      <c r="CP70" s="12"/>
      <c r="CQ70" s="12">
        <v>1</v>
      </c>
      <c r="CU70" s="12"/>
      <c r="CV70" s="12">
        <v>1</v>
      </c>
      <c r="CW70" s="12"/>
      <c r="CX70" s="12">
        <v>1</v>
      </c>
      <c r="DB70" s="12"/>
      <c r="DC70" s="12">
        <v>1</v>
      </c>
      <c r="DD70" s="12"/>
      <c r="DE70" s="12">
        <v>1</v>
      </c>
      <c r="DI70" s="12"/>
      <c r="DJ70" s="12">
        <v>1</v>
      </c>
      <c r="DK70" s="12"/>
      <c r="DL70" s="12">
        <v>1</v>
      </c>
      <c r="DP70" s="12"/>
      <c r="DQ70" s="12">
        <v>1</v>
      </c>
      <c r="DR70" s="12"/>
      <c r="DS70" s="12">
        <v>1</v>
      </c>
      <c r="DW70" s="12"/>
      <c r="DX70" s="12">
        <v>1</v>
      </c>
      <c r="DY70" s="12"/>
      <c r="DZ70" s="12">
        <v>1</v>
      </c>
    </row>
    <row r="71" spans="2:130" outlineLevel="1">
      <c r="B71" t="s">
        <v>21</v>
      </c>
      <c r="C71" t="s">
        <v>86</v>
      </c>
      <c r="E71" s="11"/>
      <c r="F71" t="s">
        <v>141</v>
      </c>
      <c r="G71" s="12">
        <v>0.1</v>
      </c>
      <c r="I71" s="11">
        <f t="shared" si="5"/>
        <v>4.5</v>
      </c>
      <c r="J71" s="13" cm="1">
        <f t="array" ref="J71">MAX(IF($N$3:$EH$3=$J$3,N71:EH71))</f>
        <v>0</v>
      </c>
      <c r="K71" s="13" cm="1">
        <f t="array" ref="K71">MAX(IF($N$3:$EH$3=$J$3,N71:EH71))</f>
        <v>0</v>
      </c>
      <c r="L71" s="11"/>
      <c r="O71" s="12"/>
      <c r="P71" s="12"/>
      <c r="Q71" s="12"/>
      <c r="R71" s="12"/>
      <c r="V71" s="12"/>
      <c r="W71" s="12"/>
      <c r="X71" s="12"/>
      <c r="Y71" s="12"/>
      <c r="AC71" s="12"/>
      <c r="AD71" s="12"/>
      <c r="AE71" s="12"/>
      <c r="AF71" s="12"/>
      <c r="AI71">
        <v>1.5</v>
      </c>
      <c r="AJ71" s="12"/>
      <c r="AK71" s="12">
        <v>0.5</v>
      </c>
      <c r="AL71" s="12"/>
      <c r="AM71" s="12">
        <v>0.5</v>
      </c>
      <c r="AQ71" s="12"/>
      <c r="AR71" s="12">
        <v>0.5</v>
      </c>
      <c r="AS71" s="12"/>
      <c r="AT71" s="12">
        <v>0.5</v>
      </c>
      <c r="AX71" s="12"/>
      <c r="AY71" s="12">
        <v>0.5</v>
      </c>
      <c r="AZ71" s="12"/>
      <c r="BA71" s="12">
        <v>0.5</v>
      </c>
      <c r="BE71" s="12"/>
      <c r="BF71" s="12">
        <v>0.5</v>
      </c>
      <c r="BG71" s="12"/>
      <c r="BH71" s="12">
        <v>0.5</v>
      </c>
      <c r="BK71">
        <v>1.5</v>
      </c>
      <c r="BL71" s="12"/>
      <c r="BM71" s="12">
        <v>0.8</v>
      </c>
      <c r="BN71" s="12"/>
      <c r="BO71" s="12">
        <v>0.8</v>
      </c>
      <c r="BS71" s="12"/>
      <c r="BT71" s="12">
        <v>0.8</v>
      </c>
      <c r="BU71" s="12"/>
      <c r="BV71" s="12">
        <v>0.8</v>
      </c>
      <c r="BZ71" s="12"/>
      <c r="CA71" s="12">
        <v>0.8</v>
      </c>
      <c r="CB71" s="12"/>
      <c r="CC71" s="12">
        <v>0.8</v>
      </c>
      <c r="CG71" s="12"/>
      <c r="CH71" s="12">
        <v>0.8</v>
      </c>
      <c r="CI71" s="12"/>
      <c r="CJ71" s="12">
        <v>0.8</v>
      </c>
      <c r="CM71">
        <v>1.5</v>
      </c>
      <c r="CN71" s="12"/>
      <c r="CO71" s="12">
        <v>1</v>
      </c>
      <c r="CP71" s="12"/>
      <c r="CQ71" s="12">
        <v>1</v>
      </c>
      <c r="CU71" s="12"/>
      <c r="CV71" s="12">
        <v>1</v>
      </c>
      <c r="CW71" s="12"/>
      <c r="CX71" s="12">
        <v>1</v>
      </c>
      <c r="DB71" s="12"/>
      <c r="DC71" s="12">
        <v>1</v>
      </c>
      <c r="DD71" s="12"/>
      <c r="DE71" s="12">
        <v>1</v>
      </c>
      <c r="DI71" s="12"/>
      <c r="DJ71" s="12">
        <v>1</v>
      </c>
      <c r="DK71" s="12"/>
      <c r="DL71" s="12">
        <v>1</v>
      </c>
      <c r="DP71" s="12"/>
      <c r="DQ71" s="12">
        <v>1</v>
      </c>
      <c r="DR71" s="12"/>
      <c r="DS71" s="12">
        <v>1</v>
      </c>
      <c r="DW71" s="12"/>
      <c r="DX71" s="12">
        <v>1</v>
      </c>
      <c r="DY71" s="12"/>
      <c r="DZ71" s="12">
        <v>1</v>
      </c>
    </row>
    <row r="72" spans="2:130" outlineLevel="1">
      <c r="B72" t="s">
        <v>21</v>
      </c>
      <c r="C72" t="s">
        <v>86</v>
      </c>
      <c r="E72" s="11"/>
      <c r="F72" t="s">
        <v>142</v>
      </c>
      <c r="G72" s="12">
        <v>0.1</v>
      </c>
      <c r="I72" s="11">
        <f t="shared" si="5"/>
        <v>4.5</v>
      </c>
      <c r="J72" s="13" cm="1">
        <f t="array" ref="J72">MAX(IF($N$3:$EH$3=$J$3,N72:EH72))</f>
        <v>0</v>
      </c>
      <c r="K72" s="13" cm="1">
        <f t="array" ref="K72">MAX(IF($N$3:$EH$3=$J$3,N72:EH72))</f>
        <v>0</v>
      </c>
      <c r="L72" s="11"/>
      <c r="O72" s="12"/>
      <c r="P72" s="12"/>
      <c r="Q72" s="12"/>
      <c r="R72" s="12"/>
      <c r="V72" s="12"/>
      <c r="W72" s="12"/>
      <c r="X72" s="12"/>
      <c r="Y72" s="12"/>
      <c r="AC72" s="12"/>
      <c r="AD72" s="12"/>
      <c r="AE72" s="12"/>
      <c r="AF72" s="12"/>
      <c r="AJ72" s="12"/>
      <c r="AK72" s="12"/>
      <c r="AL72" s="12"/>
      <c r="AM72" s="12"/>
      <c r="AP72">
        <v>1.5</v>
      </c>
      <c r="AQ72" s="12"/>
      <c r="AR72" s="12">
        <v>0.5</v>
      </c>
      <c r="AS72" s="12"/>
      <c r="AT72" s="12">
        <v>0.5</v>
      </c>
      <c r="AX72" s="12"/>
      <c r="AY72" s="12">
        <v>0.5</v>
      </c>
      <c r="AZ72" s="12"/>
      <c r="BA72" s="12">
        <v>0.5</v>
      </c>
      <c r="BE72" s="12"/>
      <c r="BF72" s="12">
        <v>0.5</v>
      </c>
      <c r="BG72" s="12"/>
      <c r="BH72" s="12">
        <v>0.5</v>
      </c>
      <c r="BL72" s="12"/>
      <c r="BM72" s="12">
        <v>0.5</v>
      </c>
      <c r="BN72" s="12"/>
      <c r="BO72" s="12">
        <v>0.5</v>
      </c>
      <c r="BR72">
        <v>1.5</v>
      </c>
      <c r="BS72" s="12"/>
      <c r="BT72" s="12">
        <v>0.8</v>
      </c>
      <c r="BU72" s="12"/>
      <c r="BV72" s="12">
        <v>0.8</v>
      </c>
      <c r="BZ72" s="12"/>
      <c r="CA72" s="12">
        <v>0.8</v>
      </c>
      <c r="CB72" s="12"/>
      <c r="CC72" s="12">
        <v>0.8</v>
      </c>
      <c r="CG72" s="12"/>
      <c r="CH72" s="12">
        <v>0.8</v>
      </c>
      <c r="CI72" s="12"/>
      <c r="CJ72" s="12">
        <v>0.8</v>
      </c>
      <c r="CM72">
        <v>1.5</v>
      </c>
      <c r="CN72" s="12"/>
      <c r="CO72" s="12">
        <v>1</v>
      </c>
      <c r="CP72" s="12"/>
      <c r="CQ72" s="12">
        <v>1</v>
      </c>
      <c r="CU72" s="12"/>
      <c r="CV72" s="12">
        <v>1</v>
      </c>
      <c r="CW72" s="12"/>
      <c r="CX72" s="12">
        <v>1</v>
      </c>
      <c r="DB72" s="12"/>
      <c r="DC72" s="12">
        <v>1</v>
      </c>
      <c r="DD72" s="12"/>
      <c r="DE72" s="12">
        <v>1</v>
      </c>
      <c r="DI72" s="12"/>
      <c r="DJ72" s="12">
        <v>1</v>
      </c>
      <c r="DK72" s="12"/>
      <c r="DL72" s="12">
        <v>1</v>
      </c>
      <c r="DP72" s="12"/>
      <c r="DQ72" s="12">
        <v>1</v>
      </c>
      <c r="DR72" s="12"/>
      <c r="DS72" s="12">
        <v>1</v>
      </c>
      <c r="DW72" s="12"/>
      <c r="DX72" s="12">
        <v>1</v>
      </c>
      <c r="DY72" s="12"/>
      <c r="DZ72" s="12">
        <v>1</v>
      </c>
    </row>
    <row r="73" spans="2:130" outlineLevel="1">
      <c r="B73" t="s">
        <v>21</v>
      </c>
      <c r="C73" t="s">
        <v>86</v>
      </c>
      <c r="E73" s="11"/>
      <c r="F73" t="s">
        <v>143</v>
      </c>
      <c r="G73" s="12">
        <v>0.1</v>
      </c>
      <c r="I73" s="11">
        <f t="shared" si="5"/>
        <v>4.5</v>
      </c>
      <c r="J73" s="13" cm="1">
        <f t="array" ref="J73">MAX(IF($N$3:$EH$3=$J$3,N73:EH73))</f>
        <v>0</v>
      </c>
      <c r="K73" s="13" cm="1">
        <f t="array" ref="K73">MAX(IF($N$3:$EH$3=$J$3,N73:EH73))</f>
        <v>0</v>
      </c>
      <c r="L73" s="11"/>
      <c r="O73" s="12"/>
      <c r="P73" s="12"/>
      <c r="Q73" s="12"/>
      <c r="R73" s="12"/>
      <c r="V73" s="12"/>
      <c r="W73" s="12"/>
      <c r="X73" s="12"/>
      <c r="Y73" s="12"/>
      <c r="AC73" s="12"/>
      <c r="AD73" s="12"/>
      <c r="AE73" s="12"/>
      <c r="AF73" s="12"/>
      <c r="AJ73" s="12"/>
      <c r="AK73" s="12"/>
      <c r="AL73" s="12"/>
      <c r="AM73" s="12"/>
      <c r="AQ73" s="12"/>
      <c r="AR73" s="12"/>
      <c r="AS73" s="12"/>
      <c r="AT73" s="12"/>
      <c r="AW73">
        <v>1.5</v>
      </c>
      <c r="AX73" s="12"/>
      <c r="AY73" s="12">
        <v>0.5</v>
      </c>
      <c r="AZ73" s="12"/>
      <c r="BA73" s="12">
        <v>0.5</v>
      </c>
      <c r="BE73" s="12"/>
      <c r="BF73" s="12">
        <v>0.5</v>
      </c>
      <c r="BG73" s="12"/>
      <c r="BH73" s="12">
        <v>0.5</v>
      </c>
      <c r="BL73" s="12"/>
      <c r="BM73" s="12">
        <v>0.5</v>
      </c>
      <c r="BN73" s="12"/>
      <c r="BO73" s="12">
        <v>0.5</v>
      </c>
      <c r="BR73">
        <v>1.5</v>
      </c>
      <c r="BS73" s="12"/>
      <c r="BT73" s="12">
        <v>0.8</v>
      </c>
      <c r="BU73" s="12"/>
      <c r="BV73" s="12">
        <v>0.8</v>
      </c>
      <c r="BZ73" s="12"/>
      <c r="CA73" s="12">
        <v>0.8</v>
      </c>
      <c r="CB73" s="12"/>
      <c r="CC73" s="12">
        <v>0.8</v>
      </c>
      <c r="CG73" s="12"/>
      <c r="CH73" s="12">
        <v>0.8</v>
      </c>
      <c r="CI73" s="12"/>
      <c r="CJ73" s="12">
        <v>0.8</v>
      </c>
      <c r="CN73" s="12"/>
      <c r="CO73" s="12">
        <v>0.8</v>
      </c>
      <c r="CP73" s="12"/>
      <c r="CQ73" s="12">
        <v>0.8</v>
      </c>
      <c r="CT73">
        <v>1.5</v>
      </c>
      <c r="CU73" s="12"/>
      <c r="CV73" s="12">
        <v>1</v>
      </c>
      <c r="CW73" s="12"/>
      <c r="CX73" s="12">
        <v>1</v>
      </c>
      <c r="DB73" s="12"/>
      <c r="DC73" s="12">
        <v>1</v>
      </c>
      <c r="DD73" s="12"/>
      <c r="DE73" s="12">
        <v>1</v>
      </c>
      <c r="DI73" s="12"/>
      <c r="DJ73" s="12">
        <v>1</v>
      </c>
      <c r="DK73" s="12"/>
      <c r="DL73" s="12">
        <v>1</v>
      </c>
      <c r="DP73" s="12"/>
      <c r="DQ73" s="12">
        <v>1</v>
      </c>
      <c r="DR73" s="12"/>
      <c r="DS73" s="12">
        <v>1</v>
      </c>
      <c r="DW73" s="12"/>
      <c r="DX73" s="12">
        <v>1</v>
      </c>
      <c r="DY73" s="12"/>
      <c r="DZ73" s="12">
        <v>1</v>
      </c>
    </row>
    <row r="74" spans="2:130" outlineLevel="1">
      <c r="B74" t="s">
        <v>21</v>
      </c>
      <c r="C74" t="s">
        <v>86</v>
      </c>
      <c r="E74" s="11"/>
      <c r="F74" t="s">
        <v>144</v>
      </c>
      <c r="G74" s="12">
        <v>0.1</v>
      </c>
      <c r="I74" s="11">
        <f t="shared" si="5"/>
        <v>4.5</v>
      </c>
      <c r="J74" s="13" cm="1">
        <f t="array" ref="J74">MAX(IF($N$3:$EH$3=$J$3,N74:EH74))</f>
        <v>0</v>
      </c>
      <c r="K74" s="13" cm="1">
        <f t="array" ref="K74">MAX(IF($N$3:$EH$3=$J$3,N74:EH74))</f>
        <v>0</v>
      </c>
      <c r="L74" s="11"/>
      <c r="O74" s="12"/>
      <c r="P74" s="12"/>
      <c r="Q74" s="12"/>
      <c r="R74" s="12"/>
      <c r="V74" s="12"/>
      <c r="W74" s="12"/>
      <c r="X74" s="12"/>
      <c r="Y74" s="12"/>
      <c r="AC74" s="12"/>
      <c r="AD74" s="12"/>
      <c r="AE74" s="12"/>
      <c r="AF74" s="12"/>
      <c r="AJ74" s="12"/>
      <c r="AK74" s="12"/>
      <c r="AL74" s="12"/>
      <c r="AM74" s="12"/>
      <c r="AQ74" s="12"/>
      <c r="AR74" s="12"/>
      <c r="AS74" s="12"/>
      <c r="AT74" s="12"/>
      <c r="AW74">
        <v>1.5</v>
      </c>
      <c r="AX74" s="12"/>
      <c r="AY74" s="12">
        <v>0.5</v>
      </c>
      <c r="AZ74" s="12"/>
      <c r="BA74" s="12">
        <v>0.5</v>
      </c>
      <c r="BE74" s="12"/>
      <c r="BF74" s="12">
        <v>0.5</v>
      </c>
      <c r="BG74" s="12"/>
      <c r="BH74" s="12">
        <v>0.5</v>
      </c>
      <c r="BL74" s="12"/>
      <c r="BM74" s="12">
        <v>0.5</v>
      </c>
      <c r="BN74" s="12"/>
      <c r="BO74" s="12">
        <v>0.5</v>
      </c>
      <c r="BS74" s="12"/>
      <c r="BT74" s="12">
        <v>0.5</v>
      </c>
      <c r="BU74" s="12"/>
      <c r="BV74" s="12">
        <v>0.5</v>
      </c>
      <c r="BY74">
        <v>1.5</v>
      </c>
      <c r="BZ74" s="12"/>
      <c r="CA74" s="12">
        <v>0.8</v>
      </c>
      <c r="CB74" s="12"/>
      <c r="CC74" s="12">
        <v>0.8</v>
      </c>
      <c r="CG74" s="12"/>
      <c r="CH74" s="12">
        <v>0.8</v>
      </c>
      <c r="CI74" s="12"/>
      <c r="CJ74" s="12">
        <v>0.8</v>
      </c>
      <c r="CN74" s="12"/>
      <c r="CO74" s="12">
        <v>0.8</v>
      </c>
      <c r="CP74" s="12"/>
      <c r="CQ74" s="12">
        <v>0.8</v>
      </c>
      <c r="CT74">
        <v>1.5</v>
      </c>
      <c r="CU74" s="12"/>
      <c r="CV74" s="12">
        <v>1</v>
      </c>
      <c r="CW74" s="12"/>
      <c r="CX74" s="12">
        <v>1</v>
      </c>
      <c r="DB74" s="12"/>
      <c r="DC74" s="12">
        <v>1</v>
      </c>
      <c r="DD74" s="12"/>
      <c r="DE74" s="12">
        <v>1</v>
      </c>
      <c r="DI74" s="12"/>
      <c r="DJ74" s="12">
        <v>1</v>
      </c>
      <c r="DK74" s="12"/>
      <c r="DL74" s="12">
        <v>1</v>
      </c>
      <c r="DP74" s="12"/>
      <c r="DQ74" s="12">
        <v>1</v>
      </c>
      <c r="DR74" s="12"/>
      <c r="DS74" s="12">
        <v>1</v>
      </c>
      <c r="DW74" s="12"/>
      <c r="DX74" s="12">
        <v>1</v>
      </c>
      <c r="DY74" s="12"/>
      <c r="DZ74" s="12">
        <v>1</v>
      </c>
    </row>
    <row r="75" spans="2:130" outlineLevel="1">
      <c r="B75" t="s">
        <v>21</v>
      </c>
      <c r="C75" t="s">
        <v>86</v>
      </c>
      <c r="E75" s="11"/>
      <c r="F75" t="s">
        <v>145</v>
      </c>
      <c r="G75" s="12">
        <v>0.15</v>
      </c>
      <c r="I75" s="11">
        <f t="shared" si="5"/>
        <v>4.5</v>
      </c>
      <c r="J75" s="13" cm="1">
        <f t="array" ref="J75">MAX(IF($N$3:$EH$3=$J$3,N75:EH75))</f>
        <v>0</v>
      </c>
      <c r="K75" s="13" cm="1">
        <f t="array" ref="K75">MAX(IF($N$3:$EH$3=$J$3,N75:EH75))</f>
        <v>0</v>
      </c>
      <c r="L75" s="11"/>
      <c r="O75" s="12"/>
      <c r="P75" s="12"/>
      <c r="Q75" s="12"/>
      <c r="R75" s="12"/>
      <c r="V75" s="12"/>
      <c r="W75" s="12"/>
      <c r="X75" s="12"/>
      <c r="Y75" s="12"/>
      <c r="AC75" s="12"/>
      <c r="AD75" s="12"/>
      <c r="AE75" s="12"/>
      <c r="AF75" s="12"/>
      <c r="AJ75" s="12"/>
      <c r="AK75" s="12"/>
      <c r="AL75" s="12"/>
      <c r="AM75" s="12"/>
      <c r="AQ75" s="12"/>
      <c r="AR75" s="12"/>
      <c r="AS75" s="12"/>
      <c r="AT75" s="12"/>
      <c r="AW75">
        <v>1.5</v>
      </c>
      <c r="AX75" s="12"/>
      <c r="AY75" s="12">
        <v>0.5</v>
      </c>
      <c r="AZ75" s="12"/>
      <c r="BA75" s="12">
        <v>0.5</v>
      </c>
      <c r="BE75" s="12"/>
      <c r="BF75" s="12">
        <v>0.5</v>
      </c>
      <c r="BG75" s="12"/>
      <c r="BH75" s="12">
        <v>0.5</v>
      </c>
      <c r="BL75" s="12"/>
      <c r="BM75" s="12">
        <v>0.5</v>
      </c>
      <c r="BN75" s="12"/>
      <c r="BO75" s="12">
        <v>0.5</v>
      </c>
      <c r="BS75" s="12"/>
      <c r="BT75" s="12">
        <v>0.5</v>
      </c>
      <c r="BU75" s="12"/>
      <c r="BV75" s="12">
        <v>0.5</v>
      </c>
      <c r="BY75">
        <v>1.5</v>
      </c>
      <c r="BZ75" s="12"/>
      <c r="CA75" s="12">
        <v>0.8</v>
      </c>
      <c r="CB75" s="12"/>
      <c r="CC75" s="12">
        <v>0.8</v>
      </c>
      <c r="CG75" s="12"/>
      <c r="CH75" s="12">
        <v>0.8</v>
      </c>
      <c r="CI75" s="12"/>
      <c r="CJ75" s="12">
        <v>0.8</v>
      </c>
      <c r="CN75" s="12"/>
      <c r="CO75" s="12">
        <v>0.8</v>
      </c>
      <c r="CP75" s="12"/>
      <c r="CQ75" s="12">
        <v>0.8</v>
      </c>
      <c r="CU75" s="12"/>
      <c r="CV75" s="12">
        <v>0.8</v>
      </c>
      <c r="CW75" s="12"/>
      <c r="CX75" s="12">
        <v>0.8</v>
      </c>
      <c r="DA75">
        <v>1.5</v>
      </c>
      <c r="DB75" s="12"/>
      <c r="DC75" s="12">
        <v>1</v>
      </c>
      <c r="DD75" s="12"/>
      <c r="DE75" s="12">
        <v>1</v>
      </c>
      <c r="DI75" s="12"/>
      <c r="DJ75" s="12">
        <v>1</v>
      </c>
      <c r="DK75" s="12"/>
      <c r="DL75" s="12">
        <v>1</v>
      </c>
      <c r="DP75" s="12"/>
      <c r="DQ75" s="12">
        <v>1</v>
      </c>
      <c r="DR75" s="12"/>
      <c r="DS75" s="12">
        <v>1</v>
      </c>
      <c r="DW75" s="12"/>
      <c r="DX75" s="12">
        <v>1</v>
      </c>
      <c r="DY75" s="12"/>
      <c r="DZ75" s="12">
        <v>1</v>
      </c>
    </row>
    <row r="76" spans="2:130" outlineLevel="1">
      <c r="B76" t="s">
        <v>21</v>
      </c>
      <c r="C76" t="s">
        <v>86</v>
      </c>
      <c r="E76" s="11"/>
      <c r="F76" t="s">
        <v>146</v>
      </c>
      <c r="G76" s="12">
        <v>0.1</v>
      </c>
      <c r="I76" s="11">
        <f t="shared" si="5"/>
        <v>4.5</v>
      </c>
      <c r="J76" s="13" cm="1">
        <f t="array" ref="J76">MAX(IF($N$3:$EH$3=$J$3,N76:EH76))</f>
        <v>0</v>
      </c>
      <c r="K76" s="13" cm="1">
        <f t="array" ref="K76">MAX(IF($N$3:$EH$3=$J$3,N76:EH76))</f>
        <v>0</v>
      </c>
      <c r="L76" s="11"/>
      <c r="O76" s="12"/>
      <c r="P76" s="12"/>
      <c r="Q76" s="12"/>
      <c r="R76" s="12"/>
      <c r="V76" s="12"/>
      <c r="W76" s="12"/>
      <c r="X76" s="12"/>
      <c r="Y76" s="12"/>
      <c r="AC76" s="12"/>
      <c r="AD76" s="12"/>
      <c r="AE76" s="12"/>
      <c r="AF76" s="12"/>
      <c r="AJ76" s="12"/>
      <c r="AK76" s="12"/>
      <c r="AL76" s="12"/>
      <c r="AM76" s="12"/>
      <c r="AQ76" s="12"/>
      <c r="AR76" s="12"/>
      <c r="AS76" s="12"/>
      <c r="AT76" s="12"/>
      <c r="AX76" s="12"/>
      <c r="AY76" s="12"/>
      <c r="AZ76" s="12"/>
      <c r="BA76" s="12"/>
      <c r="BD76">
        <v>1.5</v>
      </c>
      <c r="BE76" s="12"/>
      <c r="BF76" s="12">
        <v>0.5</v>
      </c>
      <c r="BG76" s="12"/>
      <c r="BH76" s="12">
        <v>0.5</v>
      </c>
      <c r="BL76" s="12"/>
      <c r="BM76" s="12">
        <v>0.5</v>
      </c>
      <c r="BN76" s="12"/>
      <c r="BO76" s="12">
        <v>0.5</v>
      </c>
      <c r="BS76" s="12"/>
      <c r="BT76" s="12">
        <v>0.5</v>
      </c>
      <c r="BU76" s="12"/>
      <c r="BV76" s="12">
        <v>0.5</v>
      </c>
      <c r="BY76">
        <v>1.5</v>
      </c>
      <c r="BZ76" s="12"/>
      <c r="CA76" s="12">
        <v>0.8</v>
      </c>
      <c r="CB76" s="12"/>
      <c r="CC76" s="12">
        <v>0.8</v>
      </c>
      <c r="CG76" s="12"/>
      <c r="CH76" s="12">
        <v>0.8</v>
      </c>
      <c r="CI76" s="12"/>
      <c r="CJ76" s="12">
        <v>0.8</v>
      </c>
      <c r="CN76" s="12"/>
      <c r="CO76" s="12">
        <v>0.8</v>
      </c>
      <c r="CP76" s="12"/>
      <c r="CQ76" s="12">
        <v>0.8</v>
      </c>
      <c r="CU76" s="12"/>
      <c r="CV76" s="12">
        <v>0.8</v>
      </c>
      <c r="CW76" s="12"/>
      <c r="CX76" s="12">
        <v>0.8</v>
      </c>
      <c r="DA76">
        <v>1.5</v>
      </c>
      <c r="DB76" s="12"/>
      <c r="DC76" s="12">
        <v>1</v>
      </c>
      <c r="DD76" s="12"/>
      <c r="DE76" s="12">
        <v>1</v>
      </c>
      <c r="DI76" s="12"/>
      <c r="DJ76" s="12">
        <v>1</v>
      </c>
      <c r="DK76" s="12"/>
      <c r="DL76" s="12">
        <v>1</v>
      </c>
      <c r="DP76" s="12"/>
      <c r="DQ76" s="12">
        <v>1</v>
      </c>
      <c r="DR76" s="12"/>
      <c r="DS76" s="12">
        <v>1</v>
      </c>
      <c r="DW76" s="12"/>
      <c r="DX76" s="12">
        <v>1</v>
      </c>
      <c r="DY76" s="12"/>
      <c r="DZ76" s="12">
        <v>1</v>
      </c>
    </row>
    <row r="77" spans="2:130" outlineLevel="1">
      <c r="B77" t="s">
        <v>21</v>
      </c>
      <c r="C77" t="s">
        <v>86</v>
      </c>
      <c r="E77" s="11"/>
      <c r="F77" t="s">
        <v>147</v>
      </c>
      <c r="G77" s="12">
        <v>0.1</v>
      </c>
      <c r="I77" s="11">
        <f t="shared" si="5"/>
        <v>4.5</v>
      </c>
      <c r="J77" s="13" cm="1">
        <f t="array" ref="J77">MAX(IF($N$3:$EH$3=$J$3,N77:EH77))</f>
        <v>0</v>
      </c>
      <c r="K77" s="13" cm="1">
        <f t="array" ref="K77">MAX(IF($N$3:$EH$3=$J$3,N77:EH77))</f>
        <v>0</v>
      </c>
      <c r="L77" s="11"/>
      <c r="O77" s="12"/>
      <c r="P77" s="12"/>
      <c r="Q77" s="12"/>
      <c r="R77" s="12"/>
      <c r="V77" s="12"/>
      <c r="W77" s="12"/>
      <c r="X77" s="12"/>
      <c r="Y77" s="12"/>
      <c r="AC77" s="12"/>
      <c r="AD77" s="12"/>
      <c r="AE77" s="12"/>
      <c r="AF77" s="12"/>
      <c r="AJ77" s="12"/>
      <c r="AK77" s="12"/>
      <c r="AL77" s="12"/>
      <c r="AM77" s="12"/>
      <c r="AQ77" s="12"/>
      <c r="AR77" s="12"/>
      <c r="AS77" s="12"/>
      <c r="AT77" s="12"/>
      <c r="AX77" s="12"/>
      <c r="AY77" s="12"/>
      <c r="AZ77" s="12"/>
      <c r="BA77" s="12"/>
      <c r="BD77">
        <v>1.5</v>
      </c>
      <c r="BE77" s="12"/>
      <c r="BF77" s="12">
        <v>0.5</v>
      </c>
      <c r="BG77" s="12"/>
      <c r="BH77" s="12">
        <v>0.5</v>
      </c>
      <c r="BL77" s="12"/>
      <c r="BM77" s="12">
        <v>0.5</v>
      </c>
      <c r="BN77" s="12"/>
      <c r="BO77" s="12">
        <v>0.5</v>
      </c>
      <c r="BS77" s="12"/>
      <c r="BT77" s="12">
        <v>0.5</v>
      </c>
      <c r="BU77" s="12"/>
      <c r="BV77" s="12">
        <v>0.5</v>
      </c>
      <c r="BZ77" s="12"/>
      <c r="CA77" s="12">
        <v>0.5</v>
      </c>
      <c r="CB77" s="12"/>
      <c r="CC77" s="12">
        <v>0.5</v>
      </c>
      <c r="CF77">
        <v>1.5</v>
      </c>
      <c r="CG77" s="12"/>
      <c r="CH77" s="12">
        <v>0.8</v>
      </c>
      <c r="CI77" s="12"/>
      <c r="CJ77" s="12">
        <v>0.8</v>
      </c>
      <c r="CN77" s="12"/>
      <c r="CO77" s="12">
        <v>0.8</v>
      </c>
      <c r="CP77" s="12"/>
      <c r="CQ77" s="12">
        <v>0.8</v>
      </c>
      <c r="CU77" s="12"/>
      <c r="CV77" s="12">
        <v>0.8</v>
      </c>
      <c r="CW77" s="12"/>
      <c r="CX77" s="12">
        <v>0.8</v>
      </c>
      <c r="DA77">
        <v>1.5</v>
      </c>
      <c r="DB77" s="12"/>
      <c r="DC77" s="12">
        <v>1</v>
      </c>
      <c r="DD77" s="12"/>
      <c r="DE77" s="12">
        <v>1</v>
      </c>
      <c r="DI77" s="12"/>
      <c r="DJ77" s="12">
        <v>1</v>
      </c>
      <c r="DK77" s="12"/>
      <c r="DL77" s="12">
        <v>1</v>
      </c>
      <c r="DP77" s="12"/>
      <c r="DQ77" s="12">
        <v>1</v>
      </c>
      <c r="DR77" s="12"/>
      <c r="DS77" s="12">
        <v>1</v>
      </c>
      <c r="DW77" s="12"/>
      <c r="DX77" s="12">
        <v>1</v>
      </c>
      <c r="DY77" s="12"/>
      <c r="DZ77" s="12">
        <v>1</v>
      </c>
    </row>
    <row r="79" spans="2:130">
      <c r="D79" s="22"/>
      <c r="E79" s="11"/>
      <c r="G79" s="12"/>
      <c r="I79" s="14"/>
      <c r="J79" s="13"/>
      <c r="K79" s="13"/>
      <c r="L79" s="11"/>
      <c r="N79" s="14"/>
      <c r="U79" s="14"/>
      <c r="AB79" s="14"/>
      <c r="AI79" s="14"/>
      <c r="AP79" s="14"/>
    </row>
    <row r="80" spans="2:130" outlineLevel="1">
      <c r="E80" s="11"/>
      <c r="G80" s="12"/>
      <c r="I80" s="11"/>
      <c r="J80" s="13"/>
      <c r="K80" s="13"/>
      <c r="L80" s="11"/>
      <c r="O80" s="12"/>
      <c r="P80" s="12"/>
      <c r="Q80" s="12"/>
      <c r="R80" s="12"/>
      <c r="V80" s="12"/>
      <c r="W80" s="12"/>
      <c r="X80" s="12"/>
      <c r="Y80" s="12"/>
      <c r="AC80" s="12"/>
      <c r="AD80" s="12"/>
      <c r="AE80" s="12"/>
      <c r="AF80" s="12"/>
      <c r="AJ80" s="12"/>
      <c r="AK80" s="12"/>
      <c r="AL80" s="12"/>
      <c r="AM80" s="12"/>
      <c r="AQ80" s="12"/>
      <c r="AR80" s="12"/>
      <c r="AS80" s="12"/>
      <c r="AT80" s="12"/>
      <c r="AX80" s="12"/>
      <c r="AY80" s="12"/>
      <c r="AZ80" s="12"/>
      <c r="BA80" s="12"/>
      <c r="BE80" s="12"/>
      <c r="BF80" s="12"/>
      <c r="BG80" s="12"/>
      <c r="BH80" s="12"/>
      <c r="BL80" s="12"/>
      <c r="BM80" s="12"/>
      <c r="BN80" s="12"/>
      <c r="BO80" s="12"/>
      <c r="BS80" s="12"/>
      <c r="BT80" s="12"/>
      <c r="BU80" s="12"/>
      <c r="BV80" s="12"/>
      <c r="BZ80" s="12"/>
      <c r="CA80" s="12"/>
      <c r="CB80" s="12"/>
      <c r="CC80" s="12"/>
      <c r="CG80" s="12"/>
      <c r="CH80" s="12"/>
      <c r="CI80" s="12"/>
      <c r="CJ80" s="12"/>
      <c r="CN80" s="12"/>
      <c r="CO80" s="12"/>
      <c r="CP80" s="12"/>
      <c r="CQ80" s="12"/>
      <c r="CU80" s="12"/>
      <c r="CV80" s="12"/>
      <c r="CW80" s="12"/>
      <c r="CX80" s="12"/>
      <c r="DB80" s="12"/>
      <c r="DC80" s="12"/>
      <c r="DD80" s="12"/>
      <c r="DE80" s="12"/>
      <c r="DI80" s="12"/>
      <c r="DJ80" s="12"/>
      <c r="DK80" s="12"/>
      <c r="DL80" s="12"/>
      <c r="DP80" s="12"/>
      <c r="DQ80" s="12"/>
      <c r="DR80" s="12"/>
      <c r="DS80" s="12"/>
      <c r="DW80" s="12"/>
      <c r="DX80" s="12"/>
      <c r="DY80" s="12"/>
      <c r="DZ80" s="12"/>
    </row>
    <row r="81" spans="5:130" outlineLevel="1">
      <c r="E81" s="11"/>
      <c r="G81" s="12"/>
      <c r="I81" s="11"/>
      <c r="J81" s="13"/>
      <c r="K81" s="13"/>
      <c r="L81" s="11"/>
      <c r="O81" s="12"/>
      <c r="P81" s="12"/>
      <c r="Q81" s="12"/>
      <c r="R81" s="12"/>
      <c r="V81" s="12"/>
      <c r="W81" s="12"/>
      <c r="X81" s="12"/>
      <c r="Y81" s="12"/>
      <c r="AC81" s="12"/>
      <c r="AD81" s="12"/>
      <c r="AE81" s="12"/>
      <c r="AF81" s="12"/>
      <c r="AJ81" s="12"/>
      <c r="AK81" s="12"/>
      <c r="AL81" s="12"/>
      <c r="AM81" s="12"/>
      <c r="AQ81" s="12"/>
      <c r="AR81" s="12"/>
      <c r="AS81" s="12"/>
      <c r="AT81" s="12"/>
      <c r="AX81" s="12"/>
      <c r="AY81" s="12"/>
      <c r="AZ81" s="12"/>
      <c r="BA81" s="12"/>
      <c r="BE81" s="12"/>
      <c r="BF81" s="12"/>
      <c r="BG81" s="12"/>
      <c r="BH81" s="12"/>
      <c r="BL81" s="12"/>
      <c r="BM81" s="12"/>
      <c r="BN81" s="12"/>
      <c r="BO81" s="12"/>
      <c r="BS81" s="12"/>
      <c r="BT81" s="12"/>
      <c r="BU81" s="12"/>
      <c r="BV81" s="12"/>
      <c r="BZ81" s="12"/>
      <c r="CA81" s="12"/>
      <c r="CB81" s="12"/>
      <c r="CC81" s="12"/>
      <c r="CG81" s="12"/>
      <c r="CH81" s="12"/>
      <c r="CI81" s="12"/>
      <c r="CJ81" s="12"/>
      <c r="CN81" s="12"/>
      <c r="CO81" s="12"/>
      <c r="CP81" s="12"/>
      <c r="CQ81" s="12"/>
      <c r="CU81" s="12"/>
      <c r="CV81" s="12"/>
      <c r="CW81" s="12"/>
      <c r="CX81" s="12"/>
      <c r="DB81" s="12"/>
      <c r="DC81" s="12"/>
      <c r="DD81" s="12"/>
      <c r="DE81" s="12"/>
      <c r="DI81" s="12"/>
      <c r="DJ81" s="12"/>
      <c r="DK81" s="12"/>
      <c r="DL81" s="12"/>
      <c r="DP81" s="12"/>
      <c r="DQ81" s="12"/>
      <c r="DR81" s="12"/>
      <c r="DS81" s="12"/>
      <c r="DW81" s="12"/>
      <c r="DX81" s="12"/>
      <c r="DY81" s="12"/>
      <c r="DZ81" s="12"/>
    </row>
    <row r="82" spans="5:130" outlineLevel="1">
      <c r="E82" s="11"/>
      <c r="G82" s="12"/>
      <c r="I82" s="11"/>
      <c r="J82" s="13"/>
      <c r="K82" s="13"/>
      <c r="L82" s="11"/>
      <c r="O82" s="12"/>
      <c r="P82" s="12"/>
      <c r="Q82" s="12"/>
      <c r="R82" s="12"/>
      <c r="V82" s="12"/>
      <c r="W82" s="12"/>
      <c r="X82" s="12"/>
      <c r="Y82" s="12"/>
      <c r="AC82" s="12"/>
      <c r="AD82" s="12"/>
      <c r="AE82" s="12"/>
      <c r="AF82" s="12"/>
      <c r="AJ82" s="12"/>
      <c r="AK82" s="12"/>
      <c r="AL82" s="12"/>
      <c r="AM82" s="12"/>
      <c r="AQ82" s="12"/>
      <c r="AR82" s="12"/>
      <c r="AS82" s="12"/>
      <c r="AT82" s="12"/>
      <c r="AX82" s="12"/>
      <c r="AY82" s="12"/>
      <c r="AZ82" s="12"/>
      <c r="BA82" s="12"/>
      <c r="BE82" s="12"/>
      <c r="BF82" s="12"/>
      <c r="BG82" s="12"/>
      <c r="BH82" s="12"/>
      <c r="BL82" s="12"/>
      <c r="BM82" s="12"/>
      <c r="BN82" s="12"/>
      <c r="BO82" s="12"/>
      <c r="BS82" s="12"/>
      <c r="BT82" s="12"/>
      <c r="BU82" s="12"/>
      <c r="BV82" s="12"/>
      <c r="BZ82" s="12"/>
      <c r="CA82" s="12"/>
      <c r="CB82" s="12"/>
      <c r="CC82" s="12"/>
      <c r="CG82" s="12"/>
      <c r="CH82" s="12"/>
      <c r="CI82" s="12"/>
      <c r="CJ82" s="12"/>
      <c r="CN82" s="12"/>
      <c r="CO82" s="12"/>
      <c r="CP82" s="12"/>
      <c r="CQ82" s="12"/>
      <c r="CU82" s="12"/>
      <c r="CV82" s="12"/>
      <c r="CW82" s="12"/>
      <c r="CX82" s="12"/>
      <c r="DB82" s="12"/>
      <c r="DC82" s="12"/>
      <c r="DD82" s="12"/>
      <c r="DE82" s="12"/>
      <c r="DI82" s="12"/>
      <c r="DJ82" s="12"/>
      <c r="DK82" s="12"/>
      <c r="DL82" s="12"/>
      <c r="DP82" s="12"/>
      <c r="DQ82" s="12"/>
      <c r="DR82" s="12"/>
      <c r="DS82" s="12"/>
      <c r="DW82" s="12"/>
      <c r="DX82" s="12"/>
      <c r="DY82" s="12"/>
      <c r="DZ82" s="12"/>
    </row>
    <row r="83" spans="5:130" outlineLevel="1">
      <c r="E83" s="11"/>
      <c r="G83" s="12"/>
      <c r="I83" s="11"/>
      <c r="J83" s="13"/>
      <c r="K83" s="13"/>
      <c r="L83" s="11"/>
      <c r="O83" s="12"/>
      <c r="P83" s="12"/>
      <c r="Q83" s="12"/>
      <c r="R83" s="12"/>
      <c r="V83" s="12"/>
      <c r="W83" s="12"/>
      <c r="X83" s="12"/>
      <c r="Y83" s="12"/>
      <c r="AC83" s="12"/>
      <c r="AD83" s="12"/>
      <c r="AE83" s="12"/>
      <c r="AF83" s="12"/>
      <c r="AJ83" s="12"/>
      <c r="AK83" s="12"/>
      <c r="AL83" s="12"/>
      <c r="AM83" s="12"/>
      <c r="AQ83" s="12"/>
      <c r="AR83" s="12"/>
      <c r="AS83" s="12"/>
      <c r="AT83" s="12"/>
      <c r="AX83" s="12"/>
      <c r="AY83" s="12"/>
      <c r="AZ83" s="12"/>
      <c r="BA83" s="12"/>
      <c r="BE83" s="12"/>
      <c r="BF83" s="12"/>
      <c r="BG83" s="12"/>
      <c r="BH83" s="12"/>
      <c r="BL83" s="12"/>
      <c r="BM83" s="12"/>
      <c r="BN83" s="12"/>
      <c r="BO83" s="12"/>
      <c r="BS83" s="12"/>
      <c r="BT83" s="12"/>
      <c r="BU83" s="12"/>
      <c r="BV83" s="12"/>
      <c r="BZ83" s="12"/>
      <c r="CA83" s="12"/>
      <c r="CB83" s="12"/>
      <c r="CC83" s="12"/>
      <c r="CG83" s="12"/>
      <c r="CH83" s="12"/>
      <c r="CI83" s="12"/>
      <c r="CJ83" s="12"/>
      <c r="CN83" s="12"/>
      <c r="CO83" s="12"/>
      <c r="CP83" s="12"/>
      <c r="CQ83" s="12"/>
      <c r="CU83" s="12"/>
      <c r="CV83" s="12"/>
      <c r="CW83" s="12"/>
      <c r="CX83" s="12"/>
      <c r="DB83" s="12"/>
      <c r="DC83" s="12"/>
      <c r="DD83" s="12"/>
      <c r="DE83" s="12"/>
      <c r="DI83" s="12"/>
      <c r="DJ83" s="12"/>
      <c r="DK83" s="12"/>
      <c r="DL83" s="12"/>
      <c r="DP83" s="12"/>
      <c r="DQ83" s="12"/>
      <c r="DR83" s="12"/>
      <c r="DS83" s="12"/>
      <c r="DW83" s="12"/>
      <c r="DX83" s="12"/>
      <c r="DY83" s="12"/>
      <c r="DZ83" s="12"/>
    </row>
    <row r="84" spans="5:130" outlineLevel="1">
      <c r="E84" s="11"/>
      <c r="G84" s="12"/>
      <c r="I84" s="11"/>
      <c r="J84" s="13"/>
      <c r="K84" s="13"/>
      <c r="L84" s="11"/>
      <c r="O84" s="12"/>
      <c r="P84" s="12"/>
      <c r="Q84" s="12"/>
      <c r="R84" s="12"/>
      <c r="V84" s="12"/>
      <c r="W84" s="12"/>
      <c r="X84" s="12"/>
      <c r="Y84" s="12"/>
      <c r="AC84" s="12"/>
      <c r="AD84" s="12"/>
      <c r="AE84" s="12"/>
      <c r="AF84" s="12"/>
      <c r="AJ84" s="12"/>
      <c r="AK84" s="12"/>
      <c r="AL84" s="12"/>
      <c r="AM84" s="12"/>
      <c r="AQ84" s="12"/>
      <c r="AR84" s="12"/>
      <c r="AS84" s="12"/>
      <c r="AT84" s="12"/>
      <c r="AX84" s="12"/>
      <c r="AY84" s="12"/>
      <c r="AZ84" s="12"/>
      <c r="BA84" s="12"/>
      <c r="BE84" s="12"/>
      <c r="BF84" s="12"/>
      <c r="BG84" s="12"/>
      <c r="BH84" s="12"/>
      <c r="BL84" s="12"/>
      <c r="BM84" s="12"/>
      <c r="BN84" s="12"/>
      <c r="BO84" s="12"/>
      <c r="BS84" s="12"/>
      <c r="BT84" s="12"/>
      <c r="BU84" s="12"/>
      <c r="BV84" s="12"/>
      <c r="BZ84" s="12"/>
      <c r="CA84" s="12"/>
      <c r="CB84" s="12"/>
      <c r="CC84" s="12"/>
      <c r="CG84" s="12"/>
      <c r="CH84" s="12"/>
      <c r="CI84" s="12"/>
      <c r="CJ84" s="12"/>
      <c r="CN84" s="12"/>
      <c r="CO84" s="12"/>
      <c r="CP84" s="12"/>
      <c r="CQ84" s="12"/>
      <c r="CU84" s="12"/>
      <c r="CV84" s="12"/>
      <c r="CW84" s="12"/>
      <c r="CX84" s="12"/>
      <c r="DB84" s="12"/>
      <c r="DC84" s="12"/>
      <c r="DD84" s="12"/>
      <c r="DE84" s="12"/>
      <c r="DI84" s="12"/>
      <c r="DJ84" s="12"/>
      <c r="DK84" s="12"/>
      <c r="DL84" s="12"/>
      <c r="DP84" s="12"/>
      <c r="DQ84" s="12"/>
      <c r="DR84" s="12"/>
      <c r="DS84" s="12"/>
      <c r="DW84" s="12"/>
      <c r="DX84" s="12"/>
      <c r="DY84" s="12"/>
      <c r="DZ84" s="12"/>
    </row>
    <row r="85" spans="5:130" outlineLevel="1">
      <c r="E85" s="11"/>
      <c r="G85" s="12"/>
      <c r="I85" s="11"/>
      <c r="J85" s="13"/>
      <c r="K85" s="13"/>
      <c r="L85" s="11"/>
      <c r="O85" s="12"/>
      <c r="P85" s="12"/>
      <c r="Q85" s="12"/>
      <c r="R85" s="12"/>
      <c r="V85" s="12"/>
      <c r="W85" s="12"/>
      <c r="X85" s="12"/>
      <c r="Y85" s="12"/>
      <c r="AC85" s="12"/>
      <c r="AD85" s="12"/>
      <c r="AE85" s="12"/>
      <c r="AF85" s="12"/>
      <c r="AJ85" s="12"/>
      <c r="AK85" s="12"/>
      <c r="AL85" s="12"/>
      <c r="AM85" s="12"/>
      <c r="AQ85" s="12"/>
      <c r="AR85" s="12"/>
      <c r="AS85" s="12"/>
      <c r="AT85" s="12"/>
      <c r="AX85" s="12"/>
      <c r="AY85" s="12"/>
      <c r="AZ85" s="12"/>
      <c r="BA85" s="12"/>
      <c r="BE85" s="12"/>
      <c r="BF85" s="12"/>
      <c r="BG85" s="12"/>
      <c r="BH85" s="12"/>
      <c r="BL85" s="12"/>
      <c r="BM85" s="12"/>
      <c r="BN85" s="12"/>
      <c r="BO85" s="12"/>
      <c r="BS85" s="12"/>
      <c r="BT85" s="12"/>
      <c r="BU85" s="12"/>
      <c r="BV85" s="12"/>
      <c r="BZ85" s="12"/>
      <c r="CA85" s="12"/>
      <c r="CB85" s="12"/>
      <c r="CC85" s="12"/>
      <c r="CG85" s="12"/>
      <c r="CH85" s="12"/>
      <c r="CI85" s="12"/>
      <c r="CJ85" s="12"/>
      <c r="CN85" s="12"/>
      <c r="CO85" s="12"/>
      <c r="CP85" s="12"/>
      <c r="CQ85" s="12"/>
      <c r="CU85" s="12"/>
      <c r="CV85" s="12"/>
      <c r="CW85" s="12"/>
      <c r="CX85" s="12"/>
      <c r="DB85" s="12"/>
      <c r="DC85" s="12"/>
      <c r="DD85" s="12"/>
      <c r="DE85" s="12"/>
      <c r="DI85" s="12"/>
      <c r="DJ85" s="12"/>
      <c r="DK85" s="12"/>
      <c r="DL85" s="12"/>
      <c r="DP85" s="12"/>
      <c r="DQ85" s="12"/>
      <c r="DR85" s="12"/>
      <c r="DS85" s="12"/>
      <c r="DW85" s="12"/>
      <c r="DX85" s="12"/>
      <c r="DY85" s="12"/>
      <c r="DZ85" s="12"/>
    </row>
    <row r="86" spans="5:130" outlineLevel="1">
      <c r="E86" s="11"/>
      <c r="G86" s="12"/>
      <c r="I86" s="11"/>
      <c r="J86" s="13"/>
      <c r="K86" s="13"/>
      <c r="L86" s="11"/>
      <c r="O86" s="12"/>
      <c r="P86" s="12"/>
      <c r="Q86" s="12"/>
      <c r="R86" s="12"/>
      <c r="V86" s="12"/>
      <c r="W86" s="12"/>
      <c r="X86" s="12"/>
      <c r="Y86" s="12"/>
      <c r="AC86" s="12"/>
      <c r="AD86" s="12"/>
      <c r="AE86" s="12"/>
      <c r="AF86" s="12"/>
      <c r="AJ86" s="12"/>
      <c r="AK86" s="12"/>
      <c r="AL86" s="12"/>
      <c r="AM86" s="12"/>
      <c r="AQ86" s="12"/>
      <c r="AR86" s="12"/>
      <c r="AS86" s="12"/>
      <c r="AT86" s="12"/>
      <c r="AX86" s="12"/>
      <c r="AY86" s="12"/>
      <c r="AZ86" s="12"/>
      <c r="BA86" s="12"/>
      <c r="BE86" s="12"/>
      <c r="BF86" s="12"/>
      <c r="BG86" s="12"/>
      <c r="BH86" s="12"/>
      <c r="BL86" s="12"/>
      <c r="BM86" s="12"/>
      <c r="BN86" s="12"/>
      <c r="BO86" s="12"/>
      <c r="BS86" s="12"/>
      <c r="BT86" s="12"/>
      <c r="BU86" s="12"/>
      <c r="BV86" s="12"/>
      <c r="BZ86" s="12"/>
      <c r="CA86" s="12"/>
      <c r="CB86" s="12"/>
      <c r="CC86" s="12"/>
      <c r="CG86" s="12"/>
      <c r="CH86" s="12"/>
      <c r="CI86" s="12"/>
      <c r="CJ86" s="12"/>
      <c r="CN86" s="12"/>
      <c r="CO86" s="12"/>
      <c r="CP86" s="12"/>
      <c r="CQ86" s="12"/>
      <c r="CU86" s="12"/>
      <c r="CV86" s="12"/>
      <c r="CW86" s="12"/>
      <c r="CX86" s="12"/>
      <c r="DB86" s="12"/>
      <c r="DC86" s="12"/>
      <c r="DD86" s="12"/>
      <c r="DE86" s="12"/>
      <c r="DI86" s="12"/>
      <c r="DJ86" s="12"/>
      <c r="DK86" s="12"/>
      <c r="DL86" s="12"/>
      <c r="DP86" s="12"/>
      <c r="DQ86" s="12"/>
      <c r="DR86" s="12"/>
      <c r="DS86" s="12"/>
      <c r="DW86" s="12"/>
      <c r="DX86" s="12"/>
      <c r="DY86" s="12"/>
      <c r="DZ86" s="12"/>
    </row>
    <row r="87" spans="5:130" outlineLevel="1">
      <c r="E87" s="11"/>
      <c r="G87" s="12"/>
      <c r="I87" s="11"/>
      <c r="J87" s="13"/>
      <c r="K87" s="13"/>
      <c r="L87" s="11"/>
      <c r="O87" s="12"/>
      <c r="P87" s="12"/>
      <c r="Q87" s="12"/>
      <c r="R87" s="12"/>
      <c r="V87" s="12"/>
      <c r="W87" s="12"/>
      <c r="X87" s="12"/>
      <c r="Y87" s="12"/>
      <c r="AC87" s="12"/>
      <c r="AD87" s="12"/>
      <c r="AE87" s="12"/>
      <c r="AF87" s="12"/>
      <c r="AJ87" s="12"/>
      <c r="AK87" s="12"/>
      <c r="AL87" s="12"/>
      <c r="AM87" s="12"/>
      <c r="AQ87" s="12"/>
      <c r="AR87" s="12"/>
      <c r="AS87" s="12"/>
      <c r="AT87" s="12"/>
      <c r="AX87" s="12"/>
      <c r="AY87" s="12"/>
      <c r="AZ87" s="12"/>
      <c r="BA87" s="12"/>
      <c r="BE87" s="12"/>
      <c r="BF87" s="12"/>
      <c r="BG87" s="12"/>
      <c r="BH87" s="12"/>
      <c r="BL87" s="12"/>
      <c r="BM87" s="12"/>
      <c r="BN87" s="12"/>
      <c r="BO87" s="12"/>
      <c r="BS87" s="12"/>
      <c r="BT87" s="12"/>
      <c r="BU87" s="12"/>
      <c r="BV87" s="12"/>
      <c r="BZ87" s="12"/>
      <c r="CA87" s="12"/>
      <c r="CB87" s="12"/>
      <c r="CC87" s="12"/>
      <c r="CG87" s="12"/>
      <c r="CH87" s="12"/>
      <c r="CI87" s="12"/>
      <c r="CJ87" s="12"/>
      <c r="CN87" s="12"/>
      <c r="CO87" s="12"/>
      <c r="CP87" s="12"/>
      <c r="CQ87" s="12"/>
      <c r="CU87" s="12"/>
      <c r="CV87" s="12"/>
      <c r="CW87" s="12"/>
      <c r="CX87" s="12"/>
      <c r="DB87" s="12"/>
      <c r="DC87" s="12"/>
      <c r="DD87" s="12"/>
      <c r="DE87" s="12"/>
      <c r="DI87" s="12"/>
      <c r="DJ87" s="12"/>
      <c r="DK87" s="12"/>
      <c r="DL87" s="12"/>
      <c r="DP87" s="12"/>
      <c r="DQ87" s="12"/>
      <c r="DR87" s="12"/>
      <c r="DS87" s="12"/>
      <c r="DW87" s="12"/>
      <c r="DX87" s="12"/>
      <c r="DY87" s="12"/>
      <c r="DZ87" s="12"/>
    </row>
    <row r="88" spans="5:130" outlineLevel="1">
      <c r="E88" s="11"/>
      <c r="G88" s="12"/>
      <c r="I88" s="11"/>
      <c r="J88" s="13"/>
      <c r="K88" s="13"/>
      <c r="L88" s="11"/>
      <c r="O88" s="12"/>
      <c r="P88" s="12"/>
      <c r="Q88" s="12"/>
      <c r="R88" s="12"/>
      <c r="V88" s="12"/>
      <c r="W88" s="12"/>
      <c r="X88" s="12"/>
      <c r="Y88" s="12"/>
      <c r="AC88" s="12"/>
      <c r="AD88" s="12"/>
      <c r="AE88" s="12"/>
      <c r="AF88" s="12"/>
      <c r="AJ88" s="12"/>
      <c r="AK88" s="12"/>
      <c r="AL88" s="12"/>
      <c r="AM88" s="12"/>
      <c r="AQ88" s="12"/>
      <c r="AR88" s="12"/>
      <c r="AS88" s="12"/>
      <c r="AT88" s="12"/>
      <c r="AX88" s="12"/>
      <c r="AY88" s="12"/>
      <c r="AZ88" s="12"/>
      <c r="BA88" s="12"/>
      <c r="BE88" s="12"/>
      <c r="BF88" s="12"/>
      <c r="BG88" s="12"/>
      <c r="BH88" s="12"/>
      <c r="BL88" s="12"/>
      <c r="BM88" s="12"/>
      <c r="BN88" s="12"/>
      <c r="BO88" s="12"/>
      <c r="BS88" s="12"/>
      <c r="BT88" s="12"/>
      <c r="BU88" s="12"/>
      <c r="BV88" s="12"/>
      <c r="BZ88" s="12"/>
      <c r="CA88" s="12"/>
      <c r="CB88" s="12"/>
      <c r="CC88" s="12"/>
      <c r="CG88" s="12"/>
      <c r="CH88" s="12"/>
      <c r="CI88" s="12"/>
      <c r="CJ88" s="12"/>
      <c r="CN88" s="12"/>
      <c r="CO88" s="12"/>
      <c r="CP88" s="12"/>
      <c r="CQ88" s="12"/>
      <c r="CU88" s="12"/>
      <c r="CV88" s="12"/>
      <c r="CW88" s="12"/>
      <c r="CX88" s="12"/>
      <c r="DB88" s="12"/>
      <c r="DC88" s="12"/>
      <c r="DD88" s="12"/>
      <c r="DE88" s="12"/>
      <c r="DI88" s="12"/>
      <c r="DJ88" s="12"/>
      <c r="DK88" s="12"/>
      <c r="DL88" s="12"/>
      <c r="DP88" s="12"/>
      <c r="DQ88" s="12"/>
      <c r="DR88" s="12"/>
      <c r="DS88" s="12"/>
      <c r="DW88" s="12"/>
      <c r="DX88" s="12"/>
      <c r="DY88" s="12"/>
      <c r="DZ88" s="12"/>
    </row>
    <row r="89" spans="5:130" outlineLevel="1">
      <c r="E89" s="11"/>
      <c r="G89" s="12"/>
      <c r="I89" s="11"/>
      <c r="J89" s="13"/>
      <c r="K89" s="13"/>
      <c r="L89" s="11"/>
      <c r="O89" s="12"/>
      <c r="P89" s="12"/>
      <c r="Q89" s="12"/>
      <c r="R89" s="12"/>
      <c r="V89" s="12"/>
      <c r="W89" s="12"/>
      <c r="X89" s="12"/>
      <c r="Y89" s="12"/>
      <c r="AC89" s="12"/>
      <c r="AD89" s="12"/>
      <c r="AE89" s="12"/>
      <c r="AF89" s="12"/>
      <c r="AJ89" s="12"/>
      <c r="AK89" s="12"/>
      <c r="AL89" s="12"/>
      <c r="AM89" s="12"/>
      <c r="AQ89" s="12"/>
      <c r="AR89" s="12"/>
      <c r="AS89" s="12"/>
      <c r="AT89" s="12"/>
      <c r="AX89" s="12"/>
      <c r="AY89" s="12"/>
      <c r="AZ89" s="12"/>
      <c r="BA89" s="12"/>
      <c r="BE89" s="12"/>
      <c r="BF89" s="12"/>
      <c r="BG89" s="12"/>
      <c r="BH89" s="12"/>
      <c r="BL89" s="12"/>
      <c r="BM89" s="12"/>
      <c r="BN89" s="12"/>
      <c r="BO89" s="12"/>
      <c r="BS89" s="12"/>
      <c r="BT89" s="12"/>
      <c r="BU89" s="12"/>
      <c r="BV89" s="12"/>
      <c r="BZ89" s="12"/>
      <c r="CA89" s="12"/>
      <c r="CB89" s="12"/>
      <c r="CC89" s="12"/>
      <c r="CG89" s="12"/>
      <c r="CH89" s="12"/>
      <c r="CI89" s="12"/>
      <c r="CJ89" s="12"/>
      <c r="CN89" s="12"/>
      <c r="CO89" s="12"/>
      <c r="CP89" s="12"/>
      <c r="CQ89" s="12"/>
      <c r="CU89" s="12"/>
      <c r="CV89" s="12"/>
      <c r="CW89" s="12"/>
      <c r="CX89" s="12"/>
      <c r="DB89" s="12"/>
      <c r="DC89" s="12"/>
      <c r="DD89" s="12"/>
      <c r="DE89" s="12"/>
      <c r="DI89" s="12"/>
      <c r="DJ89" s="12"/>
      <c r="DK89" s="12"/>
      <c r="DL89" s="12"/>
      <c r="DP89" s="12"/>
      <c r="DQ89" s="12"/>
      <c r="DR89" s="12"/>
      <c r="DS89" s="12"/>
      <c r="DW89" s="12"/>
      <c r="DX89" s="12"/>
      <c r="DY89" s="12"/>
      <c r="DZ89" s="12"/>
    </row>
  </sheetData>
  <mergeCells count="18">
    <mergeCell ref="DH2:DM2"/>
    <mergeCell ref="DO2:DT2"/>
    <mergeCell ref="DV2:EA2"/>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 ref="CM2:CR2"/>
  </mergeCells>
  <conditionalFormatting sqref="O15 Q15 Q18:Q21 O18:O21 AJ42:AJ46 AL42:AL46 AX42:AX46 AZ42:AZ46 Q42:Q46 O42:O46 BG42:BG46 X42:X46 V42:V46 AE42:AE46 AC42:AC46 AS42:AS46 AQ42:AQ46 BE42:BE46 BN42:BN46 BL42:BL46 CB5:CB8 O5:O12 Q5:Q12 AQ5:AQ12 AS5:AS12 BE5:BE12 BG5:BG12 V5:V12 X5:X12 AC5:AC12 AE5:AE12 AJ5:AJ12 AL5:AL12 AX5:AX12 AZ5:AZ12 BL5:BL12 BN5:BN12 AJ27:AJ38 AL27:AL38 AX27:AX38 AZ27:AZ38 Q27:Q38 O27:O38 BG27:BG38 X27:X38 V27:V38 AE27:AE38 AC27:AC38 AS27:AS38 AQ27:AQ38 BE27:BE38 BN27:BN38 BL27:BL38 Q49:Q55 O49:O55 X49:X55 V49:V55 AE49:AE55 AC49:AC55 AJ49:AJ55 AL49:AL55 AS49:AS55 AQ49:AQ55 AX49:AX55 AZ49:AZ55 BG49:BG55 BE49:BE55 BN49:BN55 BL49:BL55 BU49:BU55 BS49:BS55 CB49:CB55 BZ49:BZ55 CI49:CI55 CG49:CG55 CP49:CP55 CN49:CN55 CW49:CW55 CU49:CU55 DD49:DD55 DB49:DB55 Q58:Q66 O58:O66 X58:X66 V58:V66 AE58:AE66 AC58:AC66 AJ58:AJ66 AL58:AL66 AS58:AS66 AQ58:AQ66 AX58:AX66 AZ58:AZ66 BG58:BG66 BE58:BE66 BN58:BN66 BL58:BL66 BU58:BU66 BS58:BS66 CB58:CB66 BZ58:BZ66 CI58:CI66 CG58:CG66 CP58:CP66 CN58:CN66 CW58:CW66 CU58:CU66 DD58:DD66 DB58:DB66 Q69:Q77 O69:O77 X69:X77 V69:V77 AE69:AE77 AC69:AC77 AJ69:AJ77 AL69:AL77 AS69:AS77 AQ69:AQ77 AX69:AX77 AZ69:AZ77 BG69:BG77 BE69:BE77 BN69:BN77 BL69:BL77 BU69:BU77 BS69:BS77 CB69:CB77 BZ69:BZ77 CI69:CI77 CG69:CG77 CP69:CP77 CN69:CN77 CW69:CW77 CU69:CU77 DD69:DD77 DB69:DB77">
    <cfRule type="expression" dxfId="365" priority="689">
      <formula>OR(IF(O5&lt;P5,TRUE),IF(AND(P5="",O5&lt;&gt;""),TRUE))</formula>
    </cfRule>
    <cfRule type="expression" dxfId="364" priority="690">
      <formula>IF(O5&gt;=P5,IF(O5="",FALSE,TRUE))</formula>
    </cfRule>
  </conditionalFormatting>
  <conditionalFormatting sqref="AQ15 AS15 AS18:AS21 AQ18:AQ21">
    <cfRule type="expression" dxfId="363" priority="556">
      <formula>OR(IF(AQ15&lt;AR15,TRUE),IF(AND(AR15="",AQ15&lt;&gt;""),TRUE))</formula>
    </cfRule>
    <cfRule type="expression" dxfId="362" priority="557">
      <formula>IF(AQ15&gt;=AR15,IF(AQ15="",FALSE,TRUE))</formula>
    </cfRule>
  </conditionalFormatting>
  <conditionalFormatting sqref="O25:O26">
    <cfRule type="expression" dxfId="361" priority="630">
      <formula>OR(IF(O25&lt;P25,TRUE),IF(AND(P25="",O25&lt;&gt;""),TRUE))</formula>
    </cfRule>
    <cfRule type="expression" dxfId="360" priority="631">
      <formula>IF(O25&gt;=P25,IF(O25="",FALSE,TRUE))</formula>
    </cfRule>
  </conditionalFormatting>
  <conditionalFormatting sqref="Q25:Q26">
    <cfRule type="expression" dxfId="359" priority="628">
      <formula>OR(IF(Q25&lt;R25,TRUE),IF(AND(R25="",Q25&lt;&gt;""),TRUE))</formula>
    </cfRule>
    <cfRule type="expression" dxfId="358" priority="629">
      <formula>IF(Q25&gt;=R25,IF(Q25="",FALSE,TRUE))</formula>
    </cfRule>
  </conditionalFormatting>
  <conditionalFormatting sqref="AZ22">
    <cfRule type="expression" dxfId="357" priority="530">
      <formula>OR(IF(AZ22&lt;BA22,TRUE),IF(AND(BA22="",AZ22&lt;&gt;""),TRUE))</formula>
    </cfRule>
    <cfRule type="expression" dxfId="356" priority="531">
      <formula>IF(AZ22&gt;=BA22,IF(AZ22="",FALSE,TRUE))</formula>
    </cfRule>
  </conditionalFormatting>
  <conditionalFormatting sqref="BE15 BG15 BG18:BG21 BE18:BE21">
    <cfRule type="expression" dxfId="355" priority="524">
      <formula>OR(IF(BE15&lt;BF15,TRUE),IF(AND(BF15="",BE15&lt;&gt;""),TRUE))</formula>
    </cfRule>
    <cfRule type="expression" dxfId="354" priority="525">
      <formula>IF(BE15&gt;=BF15,IF(BE15="",FALSE,TRUE))</formula>
    </cfRule>
  </conditionalFormatting>
  <conditionalFormatting sqref="BE25:BE26">
    <cfRule type="expression" dxfId="353" priority="520">
      <formula>OR(IF(BE25&lt;BF25,TRUE),IF(AND(BF25="",BE25&lt;&gt;""),TRUE))</formula>
    </cfRule>
    <cfRule type="expression" dxfId="352" priority="521">
      <formula>IF(BE25&gt;=BF25,IF(BE25="",FALSE,TRUE))</formula>
    </cfRule>
  </conditionalFormatting>
  <conditionalFormatting sqref="O22">
    <cfRule type="expression" dxfId="351" priority="612">
      <formula>OR(IF(O22&lt;P22,TRUE),IF(AND(P22="",O22&lt;&gt;""),TRUE))</formula>
    </cfRule>
    <cfRule type="expression" dxfId="350" priority="613">
      <formula>IF(O22&gt;=P22,IF(O22="",FALSE,TRUE))</formula>
    </cfRule>
  </conditionalFormatting>
  <conditionalFormatting sqref="Q22">
    <cfRule type="expression" dxfId="349" priority="610">
      <formula>OR(IF(Q22&lt;R22,TRUE),IF(AND(R22="",Q22&lt;&gt;""),TRUE))</formula>
    </cfRule>
    <cfRule type="expression" dxfId="348" priority="611">
      <formula>IF(Q22&gt;=R22,IF(Q22="",FALSE,TRUE))</formula>
    </cfRule>
  </conditionalFormatting>
  <conditionalFormatting sqref="V15 X15 X18:X21 V18:V21">
    <cfRule type="expression" dxfId="347" priority="604">
      <formula>OR(IF(V15&lt;W15,TRUE),IF(AND(W15="",V15&lt;&gt;""),TRUE))</formula>
    </cfRule>
    <cfRule type="expression" dxfId="346" priority="605">
      <formula>IF(V15&gt;=W15,IF(V15="",FALSE,TRUE))</formula>
    </cfRule>
  </conditionalFormatting>
  <conditionalFormatting sqref="V25:V26">
    <cfRule type="expression" dxfId="345" priority="600">
      <formula>OR(IF(V25&lt;W25,TRUE),IF(AND(W25="",V25&lt;&gt;""),TRUE))</formula>
    </cfRule>
    <cfRule type="expression" dxfId="344" priority="601">
      <formula>IF(V25&gt;=W25,IF(V25="",FALSE,TRUE))</formula>
    </cfRule>
  </conditionalFormatting>
  <conditionalFormatting sqref="X25:X26">
    <cfRule type="expression" dxfId="343" priority="598">
      <formula>OR(IF(X25&lt;Y25,TRUE),IF(AND(Y25="",X25&lt;&gt;""),TRUE))</formula>
    </cfRule>
    <cfRule type="expression" dxfId="342" priority="599">
      <formula>IF(X25&gt;=Y25,IF(X25="",FALSE,TRUE))</formula>
    </cfRule>
  </conditionalFormatting>
  <conditionalFormatting sqref="V22">
    <cfRule type="expression" dxfId="341" priority="596">
      <formula>OR(IF(V22&lt;W22,TRUE),IF(AND(W22="",V22&lt;&gt;""),TRUE))</formula>
    </cfRule>
    <cfRule type="expression" dxfId="340" priority="597">
      <formula>IF(V22&gt;=W22,IF(V22="",FALSE,TRUE))</formula>
    </cfRule>
  </conditionalFormatting>
  <conditionalFormatting sqref="X22">
    <cfRule type="expression" dxfId="339" priority="594">
      <formula>OR(IF(X22&lt;Y22,TRUE),IF(AND(Y22="",X22&lt;&gt;""),TRUE))</formula>
    </cfRule>
    <cfRule type="expression" dxfId="338" priority="595">
      <formula>IF(X22&gt;=Y22,IF(X22="",FALSE,TRUE))</formula>
    </cfRule>
  </conditionalFormatting>
  <conditionalFormatting sqref="AC15 AE15 AE18:AE21 AC18:AC21">
    <cfRule type="expression" dxfId="337" priority="588">
      <formula>OR(IF(AC15&lt;AD15,TRUE),IF(AND(AD15="",AC15&lt;&gt;""),TRUE))</formula>
    </cfRule>
    <cfRule type="expression" dxfId="336" priority="589">
      <formula>IF(AC15&gt;=AD15,IF(AC15="",FALSE,TRUE))</formula>
    </cfRule>
  </conditionalFormatting>
  <conditionalFormatting sqref="AC25:AC26">
    <cfRule type="expression" dxfId="335" priority="584">
      <formula>OR(IF(AC25&lt;AD25,TRUE),IF(AND(AD25="",AC25&lt;&gt;""),TRUE))</formula>
    </cfRule>
    <cfRule type="expression" dxfId="334" priority="585">
      <formula>IF(AC25&gt;=AD25,IF(AC25="",FALSE,TRUE))</formula>
    </cfRule>
  </conditionalFormatting>
  <conditionalFormatting sqref="AE25:AE26">
    <cfRule type="expression" dxfId="333" priority="582">
      <formula>OR(IF(AE25&lt;AF25,TRUE),IF(AND(AF25="",AE25&lt;&gt;""),TRUE))</formula>
    </cfRule>
    <cfRule type="expression" dxfId="332" priority="583">
      <formula>IF(AE25&gt;=AF25,IF(AE25="",FALSE,TRUE))</formula>
    </cfRule>
  </conditionalFormatting>
  <conditionalFormatting sqref="AC22">
    <cfRule type="expression" dxfId="331" priority="580">
      <formula>OR(IF(AC22&lt;AD22,TRUE),IF(AND(AD22="",AC22&lt;&gt;""),TRUE))</formula>
    </cfRule>
    <cfRule type="expression" dxfId="330" priority="581">
      <formula>IF(AC22&gt;=AD22,IF(AC22="",FALSE,TRUE))</formula>
    </cfRule>
  </conditionalFormatting>
  <conditionalFormatting sqref="AE22">
    <cfRule type="expression" dxfId="329" priority="578">
      <formula>OR(IF(AE22&lt;AF22,TRUE),IF(AND(AF22="",AE22&lt;&gt;""),TRUE))</formula>
    </cfRule>
    <cfRule type="expression" dxfId="328" priority="579">
      <formula>IF(AE22&gt;=AF22,IF(AE22="",FALSE,TRUE))</formula>
    </cfRule>
  </conditionalFormatting>
  <conditionalFormatting sqref="AJ15 AL15 AL18:AL21 AJ18:AJ21">
    <cfRule type="expression" dxfId="327" priority="572">
      <formula>OR(IF(AJ15&lt;AK15,TRUE),IF(AND(AK15="",AJ15&lt;&gt;""),TRUE))</formula>
    </cfRule>
    <cfRule type="expression" dxfId="326" priority="573">
      <formula>IF(AJ15&gt;=AK15,IF(AJ15="",FALSE,TRUE))</formula>
    </cfRule>
  </conditionalFormatting>
  <conditionalFormatting sqref="AJ25:AJ26">
    <cfRule type="expression" dxfId="325" priority="568">
      <formula>OR(IF(AJ25&lt;AK25,TRUE),IF(AND(AK25="",AJ25&lt;&gt;""),TRUE))</formula>
    </cfRule>
    <cfRule type="expression" dxfId="324" priority="569">
      <formula>IF(AJ25&gt;=AK25,IF(AJ25="",FALSE,TRUE))</formula>
    </cfRule>
  </conditionalFormatting>
  <conditionalFormatting sqref="AL25:AL26">
    <cfRule type="expression" dxfId="323" priority="566">
      <formula>OR(IF(AL25&lt;AM25,TRUE),IF(AND(AM25="",AL25&lt;&gt;""),TRUE))</formula>
    </cfRule>
    <cfRule type="expression" dxfId="322" priority="567">
      <formula>IF(AL25&gt;=AM25,IF(AL25="",FALSE,TRUE))</formula>
    </cfRule>
  </conditionalFormatting>
  <conditionalFormatting sqref="AJ22">
    <cfRule type="expression" dxfId="321" priority="564">
      <formula>OR(IF(AJ22&lt;AK22,TRUE),IF(AND(AK22="",AJ22&lt;&gt;""),TRUE))</formula>
    </cfRule>
    <cfRule type="expression" dxfId="320" priority="565">
      <formula>IF(AJ22&gt;=AK22,IF(AJ22="",FALSE,TRUE))</formula>
    </cfRule>
  </conditionalFormatting>
  <conditionalFormatting sqref="AL22">
    <cfRule type="expression" dxfId="319" priority="562">
      <formula>OR(IF(AL22&lt;AM22,TRUE),IF(AND(AM22="",AL22&lt;&gt;""),TRUE))</formula>
    </cfRule>
    <cfRule type="expression" dxfId="318" priority="563">
      <formula>IF(AL22&gt;=AM22,IF(AL22="",FALSE,TRUE))</formula>
    </cfRule>
  </conditionalFormatting>
  <conditionalFormatting sqref="AQ25:AQ26">
    <cfRule type="expression" dxfId="317" priority="552">
      <formula>OR(IF(AQ25&lt;AR25,TRUE),IF(AND(AR25="",AQ25&lt;&gt;""),TRUE))</formula>
    </cfRule>
    <cfRule type="expression" dxfId="316" priority="553">
      <formula>IF(AQ25&gt;=AR25,IF(AQ25="",FALSE,TRUE))</formula>
    </cfRule>
  </conditionalFormatting>
  <conditionalFormatting sqref="AS25:AS26">
    <cfRule type="expression" dxfId="315" priority="550">
      <formula>OR(IF(AS25&lt;AT25,TRUE),IF(AND(AT25="",AS25&lt;&gt;""),TRUE))</formula>
    </cfRule>
    <cfRule type="expression" dxfId="314" priority="551">
      <formula>IF(AS25&gt;=AT25,IF(AS25="",FALSE,TRUE))</formula>
    </cfRule>
  </conditionalFormatting>
  <conditionalFormatting sqref="AQ22">
    <cfRule type="expression" dxfId="313" priority="548">
      <formula>OR(IF(AQ22&lt;AR22,TRUE),IF(AND(AR22="",AQ22&lt;&gt;""),TRUE))</formula>
    </cfRule>
    <cfRule type="expression" dxfId="312" priority="549">
      <formula>IF(AQ22&gt;=AR22,IF(AQ22="",FALSE,TRUE))</formula>
    </cfRule>
  </conditionalFormatting>
  <conditionalFormatting sqref="AS22">
    <cfRule type="expression" dxfId="311" priority="546">
      <formula>OR(IF(AS22&lt;AT22,TRUE),IF(AND(AT22="",AS22&lt;&gt;""),TRUE))</formula>
    </cfRule>
    <cfRule type="expression" dxfId="310" priority="547">
      <formula>IF(AS22&gt;=AT22,IF(AS22="",FALSE,TRUE))</formula>
    </cfRule>
  </conditionalFormatting>
  <conditionalFormatting sqref="AX15 AZ15 AZ18:AZ21 AX18:AX21">
    <cfRule type="expression" dxfId="309" priority="540">
      <formula>OR(IF(AX15&lt;AY15,TRUE),IF(AND(AY15="",AX15&lt;&gt;""),TRUE))</formula>
    </cfRule>
    <cfRule type="expression" dxfId="308" priority="541">
      <formula>IF(AX15&gt;=AY15,IF(AX15="",FALSE,TRUE))</formula>
    </cfRule>
  </conditionalFormatting>
  <conditionalFormatting sqref="AX25:AX26">
    <cfRule type="expression" dxfId="307" priority="536">
      <formula>OR(IF(AX25&lt;AY25,TRUE),IF(AND(AY25="",AX25&lt;&gt;""),TRUE))</formula>
    </cfRule>
    <cfRule type="expression" dxfId="306" priority="537">
      <formula>IF(AX25&gt;=AY25,IF(AX25="",FALSE,TRUE))</formula>
    </cfRule>
  </conditionalFormatting>
  <conditionalFormatting sqref="AZ25:AZ26">
    <cfRule type="expression" dxfId="305" priority="534">
      <formula>OR(IF(AZ25&lt;BA25,TRUE),IF(AND(BA25="",AZ25&lt;&gt;""),TRUE))</formula>
    </cfRule>
    <cfRule type="expression" dxfId="304" priority="535">
      <formula>IF(AZ25&gt;=BA25,IF(AZ25="",FALSE,TRUE))</formula>
    </cfRule>
  </conditionalFormatting>
  <conditionalFormatting sqref="AX22">
    <cfRule type="expression" dxfId="303" priority="532">
      <formula>OR(IF(AX22&lt;AY22,TRUE),IF(AND(AY22="",AX22&lt;&gt;""),TRUE))</formula>
    </cfRule>
    <cfRule type="expression" dxfId="302" priority="533">
      <formula>IF(AX22&gt;=AY22,IF(AX22="",FALSE,TRUE))</formula>
    </cfRule>
  </conditionalFormatting>
  <conditionalFormatting sqref="BG25:BG26">
    <cfRule type="expression" dxfId="301" priority="518">
      <formula>OR(IF(BG25&lt;BH25,TRUE),IF(AND(BH25="",BG25&lt;&gt;""),TRUE))</formula>
    </cfRule>
    <cfRule type="expression" dxfId="300" priority="519">
      <formula>IF(BG25&gt;=BH25,IF(BG25="",FALSE,TRUE))</formula>
    </cfRule>
  </conditionalFormatting>
  <conditionalFormatting sqref="BE22">
    <cfRule type="expression" dxfId="299" priority="516">
      <formula>OR(IF(BE22&lt;BF22,TRUE),IF(AND(BF22="",BE22&lt;&gt;""),TRUE))</formula>
    </cfRule>
    <cfRule type="expression" dxfId="298" priority="517">
      <formula>IF(BE22&gt;=BF22,IF(BE22="",FALSE,TRUE))</formula>
    </cfRule>
  </conditionalFormatting>
  <conditionalFormatting sqref="BG22">
    <cfRule type="expression" dxfId="297" priority="514">
      <formula>OR(IF(BG22&lt;BH22,TRUE),IF(AND(BH22="",BG22&lt;&gt;""),TRUE))</formula>
    </cfRule>
    <cfRule type="expression" dxfId="296" priority="515">
      <formula>IF(BG22&gt;=BH22,IF(BG22="",FALSE,TRUE))</formula>
    </cfRule>
  </conditionalFormatting>
  <conditionalFormatting sqref="J18:K22">
    <cfRule type="colorScale" priority="504">
      <colorScale>
        <cfvo type="percent" val="0"/>
        <cfvo type="percent" val="100"/>
        <color rgb="FFFF231B"/>
        <color rgb="FF10FF07"/>
      </colorScale>
    </cfRule>
  </conditionalFormatting>
  <conditionalFormatting sqref="J18:J22 J15">
    <cfRule type="colorScale" priority="503">
      <colorScale>
        <cfvo type="percent" val="0"/>
        <cfvo type="percent" val="100"/>
        <color rgb="FFFF231B"/>
        <color rgb="FF10FF07"/>
      </colorScale>
    </cfRule>
  </conditionalFormatting>
  <conditionalFormatting sqref="K18:K22 K15">
    <cfRule type="colorScale" priority="502">
      <colorScale>
        <cfvo type="percent" val="0"/>
        <cfvo type="percent" val="100"/>
        <color rgb="FFFF231B"/>
        <color rgb="FF10FF07"/>
      </colorScale>
    </cfRule>
  </conditionalFormatting>
  <conditionalFormatting sqref="BL15 BN15 BN18:BN21 BL18:BL21">
    <cfRule type="expression" dxfId="295" priority="500">
      <formula>OR(IF(BL15&lt;BM15,TRUE),IF(AND(BM15="",BL15&lt;&gt;""),TRUE))</formula>
    </cfRule>
    <cfRule type="expression" dxfId="294" priority="501">
      <formula>IF(BL15&gt;=BM15,IF(BL15="",FALSE,TRUE))</formula>
    </cfRule>
  </conditionalFormatting>
  <conditionalFormatting sqref="BL25:BL26">
    <cfRule type="expression" dxfId="293" priority="496">
      <formula>OR(IF(BL25&lt;BM25,TRUE),IF(AND(BM25="",BL25&lt;&gt;""),TRUE))</formula>
    </cfRule>
    <cfRule type="expression" dxfId="292" priority="497">
      <formula>IF(BL25&gt;=BM25,IF(BL25="",FALSE,TRUE))</formula>
    </cfRule>
  </conditionalFormatting>
  <conditionalFormatting sqref="BN25:BN26">
    <cfRule type="expression" dxfId="291" priority="494">
      <formula>OR(IF(BN25&lt;BO25,TRUE),IF(AND(BO25="",BN25&lt;&gt;""),TRUE))</formula>
    </cfRule>
    <cfRule type="expression" dxfId="290" priority="495">
      <formula>IF(BN25&gt;=BO25,IF(BN25="",FALSE,TRUE))</formula>
    </cfRule>
  </conditionalFormatting>
  <conditionalFormatting sqref="BL22">
    <cfRule type="expression" dxfId="289" priority="492">
      <formula>OR(IF(BL22&lt;BM22,TRUE),IF(AND(BM22="",BL22&lt;&gt;""),TRUE))</formula>
    </cfRule>
    <cfRule type="expression" dxfId="288" priority="493">
      <formula>IF(BL22&gt;=BM22,IF(BL22="",FALSE,TRUE))</formula>
    </cfRule>
  </conditionalFormatting>
  <conditionalFormatting sqref="BN22">
    <cfRule type="expression" dxfId="287" priority="490">
      <formula>OR(IF(BN22&lt;BO22,TRUE),IF(AND(BO22="",BN22&lt;&gt;""),TRUE))</formula>
    </cfRule>
    <cfRule type="expression" dxfId="286" priority="491">
      <formula>IF(BN22&gt;=BO22,IF(BN22="",FALSE,TRUE))</formula>
    </cfRule>
  </conditionalFormatting>
  <conditionalFormatting sqref="O40:O41">
    <cfRule type="expression" dxfId="285" priority="417">
      <formula>OR(IF(O40&lt;P40,TRUE),IF(AND(P40="",O40&lt;&gt;""),TRUE))</formula>
    </cfRule>
    <cfRule type="expression" dxfId="284" priority="418">
      <formula>IF(O40&gt;=P40,IF(O40="",FALSE,TRUE))</formula>
    </cfRule>
  </conditionalFormatting>
  <conditionalFormatting sqref="Q40:Q41">
    <cfRule type="expression" dxfId="283" priority="415">
      <formula>OR(IF(Q40&lt;R40,TRUE),IF(AND(R40="",Q40&lt;&gt;""),TRUE))</formula>
    </cfRule>
    <cfRule type="expression" dxfId="282" priority="416">
      <formula>IF(Q40&gt;=R40,IF(Q40="",FALSE,TRUE))</formula>
    </cfRule>
  </conditionalFormatting>
  <conditionalFormatting sqref="BE40:BE41">
    <cfRule type="expression" dxfId="281" priority="369">
      <formula>OR(IF(BE40&lt;BF40,TRUE),IF(AND(BF40="",BE40&lt;&gt;""),TRUE))</formula>
    </cfRule>
    <cfRule type="expression" dxfId="280" priority="370">
      <formula>IF(BE40&gt;=BF40,IF(BE40="",FALSE,TRUE))</formula>
    </cfRule>
  </conditionalFormatting>
  <conditionalFormatting sqref="V40:V41">
    <cfRule type="expression" dxfId="279" priority="409">
      <formula>OR(IF(V40&lt;W40,TRUE),IF(AND(W40="",V40&lt;&gt;""),TRUE))</formula>
    </cfRule>
    <cfRule type="expression" dxfId="278" priority="410">
      <formula>IF(V40&gt;=W40,IF(V40="",FALSE,TRUE))</formula>
    </cfRule>
  </conditionalFormatting>
  <conditionalFormatting sqref="X40:X41">
    <cfRule type="expression" dxfId="277" priority="407">
      <formula>OR(IF(X40&lt;Y40,TRUE),IF(AND(Y40="",X40&lt;&gt;""),TRUE))</formula>
    </cfRule>
    <cfRule type="expression" dxfId="276" priority="408">
      <formula>IF(X40&gt;=Y40,IF(X40="",FALSE,TRUE))</formula>
    </cfRule>
  </conditionalFormatting>
  <conditionalFormatting sqref="AC40:AC41">
    <cfRule type="expression" dxfId="275" priority="401">
      <formula>OR(IF(AC40&lt;AD40,TRUE),IF(AND(AD40="",AC40&lt;&gt;""),TRUE))</formula>
    </cfRule>
    <cfRule type="expression" dxfId="274" priority="402">
      <formula>IF(AC40&gt;=AD40,IF(AC40="",FALSE,TRUE))</formula>
    </cfRule>
  </conditionalFormatting>
  <conditionalFormatting sqref="AE40:AE41">
    <cfRule type="expression" dxfId="273" priority="399">
      <formula>OR(IF(AE40&lt;AF40,TRUE),IF(AND(AF40="",AE40&lt;&gt;""),TRUE))</formula>
    </cfRule>
    <cfRule type="expression" dxfId="272" priority="400">
      <formula>IF(AE40&gt;=AF40,IF(AE40="",FALSE,TRUE))</formula>
    </cfRule>
  </conditionalFormatting>
  <conditionalFormatting sqref="AJ40:AJ41">
    <cfRule type="expression" dxfId="271" priority="393">
      <formula>OR(IF(AJ40&lt;AK40,TRUE),IF(AND(AK40="",AJ40&lt;&gt;""),TRUE))</formula>
    </cfRule>
    <cfRule type="expression" dxfId="270" priority="394">
      <formula>IF(AJ40&gt;=AK40,IF(AJ40="",FALSE,TRUE))</formula>
    </cfRule>
  </conditionalFormatting>
  <conditionalFormatting sqref="AL40:AL41">
    <cfRule type="expression" dxfId="269" priority="391">
      <formula>OR(IF(AL40&lt;AM40,TRUE),IF(AND(AM40="",AL40&lt;&gt;""),TRUE))</formula>
    </cfRule>
    <cfRule type="expression" dxfId="268" priority="392">
      <formula>IF(AL40&gt;=AM40,IF(AL40="",FALSE,TRUE))</formula>
    </cfRule>
  </conditionalFormatting>
  <conditionalFormatting sqref="AQ40:AQ41">
    <cfRule type="expression" dxfId="267" priority="385">
      <formula>OR(IF(AQ40&lt;AR40,TRUE),IF(AND(AR40="",AQ40&lt;&gt;""),TRUE))</formula>
    </cfRule>
    <cfRule type="expression" dxfId="266" priority="386">
      <formula>IF(AQ40&gt;=AR40,IF(AQ40="",FALSE,TRUE))</formula>
    </cfRule>
  </conditionalFormatting>
  <conditionalFormatting sqref="AS40:AS41">
    <cfRule type="expression" dxfId="265" priority="383">
      <formula>OR(IF(AS40&lt;AT40,TRUE),IF(AND(AT40="",AS40&lt;&gt;""),TRUE))</formula>
    </cfRule>
    <cfRule type="expression" dxfId="264" priority="384">
      <formula>IF(AS40&gt;=AT40,IF(AS40="",FALSE,TRUE))</formula>
    </cfRule>
  </conditionalFormatting>
  <conditionalFormatting sqref="AX40:AX41">
    <cfRule type="expression" dxfId="263" priority="377">
      <formula>OR(IF(AX40&lt;AY40,TRUE),IF(AND(AY40="",AX40&lt;&gt;""),TRUE))</formula>
    </cfRule>
    <cfRule type="expression" dxfId="262" priority="378">
      <formula>IF(AX40&gt;=AY40,IF(AX40="",FALSE,TRUE))</formula>
    </cfRule>
  </conditionalFormatting>
  <conditionalFormatting sqref="AZ40:AZ41">
    <cfRule type="expression" dxfId="261" priority="375">
      <formula>OR(IF(AZ40&lt;BA40,TRUE),IF(AND(BA40="",AZ40&lt;&gt;""),TRUE))</formula>
    </cfRule>
    <cfRule type="expression" dxfId="260" priority="376">
      <formula>IF(AZ40&gt;=BA40,IF(AZ40="",FALSE,TRUE))</formula>
    </cfRule>
  </conditionalFormatting>
  <conditionalFormatting sqref="BG40:BG41">
    <cfRule type="expression" dxfId="259" priority="367">
      <formula>OR(IF(BG40&lt;BH40,TRUE),IF(AND(BH40="",BG40&lt;&gt;""),TRUE))</formula>
    </cfRule>
    <cfRule type="expression" dxfId="258" priority="368">
      <formula>IF(BG40&gt;=BH40,IF(BG40="",FALSE,TRUE))</formula>
    </cfRule>
  </conditionalFormatting>
  <conditionalFormatting sqref="BL40:BL41">
    <cfRule type="expression" dxfId="257" priority="358">
      <formula>OR(IF(BL40&lt;BM40,TRUE),IF(AND(BM40="",BL40&lt;&gt;""),TRUE))</formula>
    </cfRule>
    <cfRule type="expression" dxfId="256" priority="359">
      <formula>IF(BL40&gt;=BM40,IF(BL40="",FALSE,TRUE))</formula>
    </cfRule>
  </conditionalFormatting>
  <conditionalFormatting sqref="BN40:BN41">
    <cfRule type="expression" dxfId="255" priority="356">
      <formula>OR(IF(BN40&lt;BO40,TRUE),IF(AND(BO40="",BN40&lt;&gt;""),TRUE))</formula>
    </cfRule>
    <cfRule type="expression" dxfId="254" priority="357">
      <formula>IF(BN40&gt;=BO40,IF(BN40="",FALSE,TRUE))</formula>
    </cfRule>
  </conditionalFormatting>
  <conditionalFormatting sqref="J6:K12">
    <cfRule type="colorScale" priority="692">
      <colorScale>
        <cfvo type="percent" val="0"/>
        <cfvo type="percent" val="100"/>
        <color rgb="FFFF231B"/>
        <color rgb="FF10FF07"/>
      </colorScale>
    </cfRule>
  </conditionalFormatting>
  <conditionalFormatting sqref="J5:J12">
    <cfRule type="colorScale" priority="721">
      <colorScale>
        <cfvo type="percent" val="0"/>
        <cfvo type="percent" val="100"/>
        <color rgb="FFFF231B"/>
        <color rgb="FF10FF07"/>
      </colorScale>
    </cfRule>
  </conditionalFormatting>
  <conditionalFormatting sqref="K5:K12">
    <cfRule type="colorScale" priority="722">
      <colorScale>
        <cfvo type="percent" val="0"/>
        <cfvo type="percent" val="100"/>
        <color rgb="FFFF231B"/>
        <color rgb="FF10FF07"/>
      </colorScale>
    </cfRule>
  </conditionalFormatting>
  <conditionalFormatting sqref="O16 Q16">
    <cfRule type="expression" dxfId="253" priority="283">
      <formula>OR(IF(O16&lt;P16,TRUE),IF(AND(P16="",O16&lt;&gt;""),TRUE))</formula>
    </cfRule>
    <cfRule type="expression" dxfId="252" priority="284">
      <formula>IF(O16&gt;=P16,IF(O16="",FALSE,TRUE))</formula>
    </cfRule>
  </conditionalFormatting>
  <conditionalFormatting sqref="AQ16 AS16">
    <cfRule type="expression" dxfId="251" priority="275">
      <formula>OR(IF(AQ16&lt;AR16,TRUE),IF(AND(AR16="",AQ16&lt;&gt;""),TRUE))</formula>
    </cfRule>
    <cfRule type="expression" dxfId="250" priority="276">
      <formula>IF(AQ16&gt;=AR16,IF(AQ16="",FALSE,TRUE))</formula>
    </cfRule>
  </conditionalFormatting>
  <conditionalFormatting sqref="BE16 BG16">
    <cfRule type="expression" dxfId="249" priority="271">
      <formula>OR(IF(BE16&lt;BF16,TRUE),IF(AND(BF16="",BE16&lt;&gt;""),TRUE))</formula>
    </cfRule>
    <cfRule type="expression" dxfId="248" priority="272">
      <formula>IF(BE16&gt;=BF16,IF(BE16="",FALSE,TRUE))</formula>
    </cfRule>
  </conditionalFormatting>
  <conditionalFormatting sqref="V16 X16">
    <cfRule type="expression" dxfId="247" priority="281">
      <formula>OR(IF(V16&lt;W16,TRUE),IF(AND(W16="",V16&lt;&gt;""),TRUE))</formula>
    </cfRule>
    <cfRule type="expression" dxfId="246" priority="282">
      <formula>IF(V16&gt;=W16,IF(V16="",FALSE,TRUE))</formula>
    </cfRule>
  </conditionalFormatting>
  <conditionalFormatting sqref="AC16 AE16">
    <cfRule type="expression" dxfId="245" priority="279">
      <formula>OR(IF(AC16&lt;AD16,TRUE),IF(AND(AD16="",AC16&lt;&gt;""),TRUE))</formula>
    </cfRule>
    <cfRule type="expression" dxfId="244" priority="280">
      <formula>IF(AC16&gt;=AD16,IF(AC16="",FALSE,TRUE))</formula>
    </cfRule>
  </conditionalFormatting>
  <conditionalFormatting sqref="AJ16 AL16">
    <cfRule type="expression" dxfId="243" priority="277">
      <formula>OR(IF(AJ16&lt;AK16,TRUE),IF(AND(AK16="",AJ16&lt;&gt;""),TRUE))</formula>
    </cfRule>
    <cfRule type="expression" dxfId="242" priority="278">
      <formula>IF(AJ16&gt;=AK16,IF(AJ16="",FALSE,TRUE))</formula>
    </cfRule>
  </conditionalFormatting>
  <conditionalFormatting sqref="AX16 AZ16">
    <cfRule type="expression" dxfId="241" priority="273">
      <formula>OR(IF(AX16&lt;AY16,TRUE),IF(AND(AY16="",AX16&lt;&gt;""),TRUE))</formula>
    </cfRule>
    <cfRule type="expression" dxfId="240" priority="274">
      <formula>IF(AX16&gt;=AY16,IF(AX16="",FALSE,TRUE))</formula>
    </cfRule>
  </conditionalFormatting>
  <conditionalFormatting sqref="J16:K16">
    <cfRule type="colorScale" priority="270">
      <colorScale>
        <cfvo type="percent" val="0"/>
        <cfvo type="percent" val="100"/>
        <color rgb="FFFF231B"/>
        <color rgb="FF10FF07"/>
      </colorScale>
    </cfRule>
  </conditionalFormatting>
  <conditionalFormatting sqref="J16">
    <cfRule type="colorScale" priority="269">
      <colorScale>
        <cfvo type="percent" val="0"/>
        <cfvo type="percent" val="100"/>
        <color rgb="FFFF231B"/>
        <color rgb="FF10FF07"/>
      </colorScale>
    </cfRule>
  </conditionalFormatting>
  <conditionalFormatting sqref="K16">
    <cfRule type="colorScale" priority="268">
      <colorScale>
        <cfvo type="percent" val="0"/>
        <cfvo type="percent" val="100"/>
        <color rgb="FFFF231B"/>
        <color rgb="FF10FF07"/>
      </colorScale>
    </cfRule>
  </conditionalFormatting>
  <conditionalFormatting sqref="BL16 BN16">
    <cfRule type="expression" dxfId="239" priority="266">
      <formula>OR(IF(BL16&lt;BM16,TRUE),IF(AND(BM16="",BL16&lt;&gt;""),TRUE))</formula>
    </cfRule>
    <cfRule type="expression" dxfId="238" priority="267">
      <formula>IF(BL16&gt;=BM16,IF(BL16="",FALSE,TRUE))</formula>
    </cfRule>
  </conditionalFormatting>
  <conditionalFormatting sqref="Q17 O17">
    <cfRule type="expression" dxfId="237" priority="264">
      <formula>OR(IF(O17&lt;P17,TRUE),IF(AND(P17="",O17&lt;&gt;""),TRUE))</formula>
    </cfRule>
    <cfRule type="expression" dxfId="236" priority="265">
      <formula>IF(O17&gt;=P17,IF(O17="",FALSE,TRUE))</formula>
    </cfRule>
  </conditionalFormatting>
  <conditionalFormatting sqref="AS17 AQ17">
    <cfRule type="expression" dxfId="235" priority="256">
      <formula>OR(IF(AQ17&lt;AR17,TRUE),IF(AND(AR17="",AQ17&lt;&gt;""),TRUE))</formula>
    </cfRule>
    <cfRule type="expression" dxfId="234" priority="257">
      <formula>IF(AQ17&gt;=AR17,IF(AQ17="",FALSE,TRUE))</formula>
    </cfRule>
  </conditionalFormatting>
  <conditionalFormatting sqref="BG17 BE17">
    <cfRule type="expression" dxfId="233" priority="252">
      <formula>OR(IF(BE17&lt;BF17,TRUE),IF(AND(BF17="",BE17&lt;&gt;""),TRUE))</formula>
    </cfRule>
    <cfRule type="expression" dxfId="232" priority="253">
      <formula>IF(BE17&gt;=BF17,IF(BE17="",FALSE,TRUE))</formula>
    </cfRule>
  </conditionalFormatting>
  <conditionalFormatting sqref="X17 V17">
    <cfRule type="expression" dxfId="231" priority="262">
      <formula>OR(IF(V17&lt;W17,TRUE),IF(AND(W17="",V17&lt;&gt;""),TRUE))</formula>
    </cfRule>
    <cfRule type="expression" dxfId="230" priority="263">
      <formula>IF(V17&gt;=W17,IF(V17="",FALSE,TRUE))</formula>
    </cfRule>
  </conditionalFormatting>
  <conditionalFormatting sqref="AE17 AC17">
    <cfRule type="expression" dxfId="229" priority="260">
      <formula>OR(IF(AC17&lt;AD17,TRUE),IF(AND(AD17="",AC17&lt;&gt;""),TRUE))</formula>
    </cfRule>
    <cfRule type="expression" dxfId="228" priority="261">
      <formula>IF(AC17&gt;=AD17,IF(AC17="",FALSE,TRUE))</formula>
    </cfRule>
  </conditionalFormatting>
  <conditionalFormatting sqref="AL17 AJ17">
    <cfRule type="expression" dxfId="227" priority="258">
      <formula>OR(IF(AJ17&lt;AK17,TRUE),IF(AND(AK17="",AJ17&lt;&gt;""),TRUE))</formula>
    </cfRule>
    <cfRule type="expression" dxfId="226" priority="259">
      <formula>IF(AJ17&gt;=AK17,IF(AJ17="",FALSE,TRUE))</formula>
    </cfRule>
  </conditionalFormatting>
  <conditionalFormatting sqref="AZ17 AX17">
    <cfRule type="expression" dxfId="225" priority="254">
      <formula>OR(IF(AX17&lt;AY17,TRUE),IF(AND(AY17="",AX17&lt;&gt;""),TRUE))</formula>
    </cfRule>
    <cfRule type="expression" dxfId="224" priority="255">
      <formula>IF(AX17&gt;=AY17,IF(AX17="",FALSE,TRUE))</formula>
    </cfRule>
  </conditionalFormatting>
  <conditionalFormatting sqref="J17:K17">
    <cfRule type="colorScale" priority="251">
      <colorScale>
        <cfvo type="percent" val="0"/>
        <cfvo type="percent" val="100"/>
        <color rgb="FFFF231B"/>
        <color rgb="FF10FF07"/>
      </colorScale>
    </cfRule>
  </conditionalFormatting>
  <conditionalFormatting sqref="J17">
    <cfRule type="colorScale" priority="250">
      <colorScale>
        <cfvo type="percent" val="0"/>
        <cfvo type="percent" val="100"/>
        <color rgb="FFFF231B"/>
        <color rgb="FF10FF07"/>
      </colorScale>
    </cfRule>
  </conditionalFormatting>
  <conditionalFormatting sqref="K17">
    <cfRule type="colorScale" priority="249">
      <colorScale>
        <cfvo type="percent" val="0"/>
        <cfvo type="percent" val="100"/>
        <color rgb="FFFF231B"/>
        <color rgb="FF10FF07"/>
      </colorScale>
    </cfRule>
  </conditionalFormatting>
  <conditionalFormatting sqref="BN17 BL17">
    <cfRule type="expression" dxfId="223" priority="247">
      <formula>OR(IF(BL17&lt;BM17,TRUE),IF(AND(BM17="",BL17&lt;&gt;""),TRUE))</formula>
    </cfRule>
    <cfRule type="expression" dxfId="222" priority="248">
      <formula>IF(BL17&gt;=BM17,IF(BL17="",FALSE,TRUE))</formula>
    </cfRule>
  </conditionalFormatting>
  <conditionalFormatting sqref="J26:K35">
    <cfRule type="colorScale" priority="779">
      <colorScale>
        <cfvo type="percent" val="0"/>
        <cfvo type="percent" val="100"/>
        <color rgb="FFFF231B"/>
        <color rgb="FF10FF07"/>
      </colorScale>
    </cfRule>
  </conditionalFormatting>
  <conditionalFormatting sqref="J25:J38">
    <cfRule type="colorScale" priority="781">
      <colorScale>
        <cfvo type="percent" val="0"/>
        <cfvo type="percent" val="100"/>
        <color rgb="FFFF231B"/>
        <color rgb="FF10FF07"/>
      </colorScale>
    </cfRule>
  </conditionalFormatting>
  <conditionalFormatting sqref="K25:K38">
    <cfRule type="colorScale" priority="783">
      <colorScale>
        <cfvo type="percent" val="0"/>
        <cfvo type="percent" val="100"/>
        <color rgb="FFFF231B"/>
        <color rgb="FF10FF07"/>
      </colorScale>
    </cfRule>
  </conditionalFormatting>
  <conditionalFormatting sqref="J41:K46">
    <cfRule type="colorScale" priority="812">
      <colorScale>
        <cfvo type="percent" val="0"/>
        <cfvo type="percent" val="100"/>
        <color rgb="FFFF231B"/>
        <color rgb="FF10FF07"/>
      </colorScale>
    </cfRule>
  </conditionalFormatting>
  <conditionalFormatting sqref="J40:J46">
    <cfRule type="colorScale" priority="814">
      <colorScale>
        <cfvo type="percent" val="0"/>
        <cfvo type="percent" val="100"/>
        <color rgb="FFFF231B"/>
        <color rgb="FF10FF07"/>
      </colorScale>
    </cfRule>
  </conditionalFormatting>
  <conditionalFormatting sqref="K40:K46">
    <cfRule type="colorScale" priority="816">
      <colorScale>
        <cfvo type="percent" val="0"/>
        <cfvo type="percent" val="100"/>
        <color rgb="FFFF231B"/>
        <color rgb="FF10FF07"/>
      </colorScale>
    </cfRule>
  </conditionalFormatting>
  <conditionalFormatting sqref="BU42:BU46 BS42:BS46 BS5:BS12 BU5:BU12 BU27:BU38 BS27:BS38">
    <cfRule type="expression" dxfId="221" priority="245">
      <formula>OR(IF(BS5&lt;BT5,TRUE),IF(AND(BT5="",BS5&lt;&gt;""),TRUE))</formula>
    </cfRule>
    <cfRule type="expression" dxfId="220" priority="246">
      <formula>IF(BS5&gt;=BT5,IF(BS5="",FALSE,TRUE))</formula>
    </cfRule>
  </conditionalFormatting>
  <conditionalFormatting sqref="BS15 BU15 BU18:BU21 BS18:BS21">
    <cfRule type="expression" dxfId="219" priority="243">
      <formula>OR(IF(BS15&lt;BT15,TRUE),IF(AND(BT15="",BS15&lt;&gt;""),TRUE))</formula>
    </cfRule>
    <cfRule type="expression" dxfId="218" priority="244">
      <formula>IF(BS15&gt;=BT15,IF(BS15="",FALSE,TRUE))</formula>
    </cfRule>
  </conditionalFormatting>
  <conditionalFormatting sqref="BS25:BS26">
    <cfRule type="expression" dxfId="217" priority="241">
      <formula>OR(IF(BS25&lt;BT25,TRUE),IF(AND(BT25="",BS25&lt;&gt;""),TRUE))</formula>
    </cfRule>
    <cfRule type="expression" dxfId="216" priority="242">
      <formula>IF(BS25&gt;=BT25,IF(BS25="",FALSE,TRUE))</formula>
    </cfRule>
  </conditionalFormatting>
  <conditionalFormatting sqref="BU25:BU26">
    <cfRule type="expression" dxfId="215" priority="239">
      <formula>OR(IF(BU25&lt;BV25,TRUE),IF(AND(BV25="",BU25&lt;&gt;""),TRUE))</formula>
    </cfRule>
    <cfRule type="expression" dxfId="214" priority="240">
      <formula>IF(BU25&gt;=BV25,IF(BU25="",FALSE,TRUE))</formula>
    </cfRule>
  </conditionalFormatting>
  <conditionalFormatting sqref="BS22">
    <cfRule type="expression" dxfId="213" priority="237">
      <formula>OR(IF(BS22&lt;BT22,TRUE),IF(AND(BT22="",BS22&lt;&gt;""),TRUE))</formula>
    </cfRule>
    <cfRule type="expression" dxfId="212" priority="238">
      <formula>IF(BS22&gt;=BT22,IF(BS22="",FALSE,TRUE))</formula>
    </cfRule>
  </conditionalFormatting>
  <conditionalFormatting sqref="BU22">
    <cfRule type="expression" dxfId="211" priority="235">
      <formula>OR(IF(BU22&lt;BV22,TRUE),IF(AND(BV22="",BU22&lt;&gt;""),TRUE))</formula>
    </cfRule>
    <cfRule type="expression" dxfId="210" priority="236">
      <formula>IF(BU22&gt;=BV22,IF(BU22="",FALSE,TRUE))</formula>
    </cfRule>
  </conditionalFormatting>
  <conditionalFormatting sqref="BS40:BS41">
    <cfRule type="expression" dxfId="209" priority="233">
      <formula>OR(IF(BS40&lt;BT40,TRUE),IF(AND(BT40="",BS40&lt;&gt;""),TRUE))</formula>
    </cfRule>
    <cfRule type="expression" dxfId="208" priority="234">
      <formula>IF(BS40&gt;=BT40,IF(BS40="",FALSE,TRUE))</formula>
    </cfRule>
  </conditionalFormatting>
  <conditionalFormatting sqref="BU40:BU41">
    <cfRule type="expression" dxfId="207" priority="231">
      <formula>OR(IF(BU40&lt;BV40,TRUE),IF(AND(BV40="",BU40&lt;&gt;""),TRUE))</formula>
    </cfRule>
    <cfRule type="expression" dxfId="206" priority="232">
      <formula>IF(BU40&gt;=BV40,IF(BU40="",FALSE,TRUE))</formula>
    </cfRule>
  </conditionalFormatting>
  <conditionalFormatting sqref="BS16 BU16">
    <cfRule type="expression" dxfId="205" priority="229">
      <formula>OR(IF(BS16&lt;BT16,TRUE),IF(AND(BT16="",BS16&lt;&gt;""),TRUE))</formula>
    </cfRule>
    <cfRule type="expression" dxfId="204" priority="230">
      <formula>IF(BS16&gt;=BT16,IF(BS16="",FALSE,TRUE))</formula>
    </cfRule>
  </conditionalFormatting>
  <conditionalFormatting sqref="BU17 BS17">
    <cfRule type="expression" dxfId="203" priority="227">
      <formula>OR(IF(BS17&lt;BT17,TRUE),IF(AND(BT17="",BS17&lt;&gt;""),TRUE))</formula>
    </cfRule>
    <cfRule type="expression" dxfId="202" priority="228">
      <formula>IF(BS17&gt;=BT17,IF(BS17="",FALSE,TRUE))</formula>
    </cfRule>
  </conditionalFormatting>
  <conditionalFormatting sqref="CB42:CB46 BZ42:BZ46 BZ5:BZ12 CB27:CB38 BZ27:BZ38">
    <cfRule type="expression" dxfId="201" priority="225">
      <formula>OR(IF(BZ5&lt;CA5,TRUE),IF(AND(CA5="",BZ5&lt;&gt;""),TRUE))</formula>
    </cfRule>
    <cfRule type="expression" dxfId="200" priority="226">
      <formula>IF(BZ5&gt;=CA5,IF(BZ5="",FALSE,TRUE))</formula>
    </cfRule>
  </conditionalFormatting>
  <conditionalFormatting sqref="BZ15 CB15 CB18:CB21 BZ18:BZ21">
    <cfRule type="expression" dxfId="199" priority="223">
      <formula>OR(IF(BZ15&lt;CA15,TRUE),IF(AND(CA15="",BZ15&lt;&gt;""),TRUE))</formula>
    </cfRule>
    <cfRule type="expression" dxfId="198" priority="224">
      <formula>IF(BZ15&gt;=CA15,IF(BZ15="",FALSE,TRUE))</formula>
    </cfRule>
  </conditionalFormatting>
  <conditionalFormatting sqref="BZ25:BZ26">
    <cfRule type="expression" dxfId="197" priority="221">
      <formula>OR(IF(BZ25&lt;CA25,TRUE),IF(AND(CA25="",BZ25&lt;&gt;""),TRUE))</formula>
    </cfRule>
    <cfRule type="expression" dxfId="196" priority="222">
      <formula>IF(BZ25&gt;=CA25,IF(BZ25="",FALSE,TRUE))</formula>
    </cfRule>
  </conditionalFormatting>
  <conditionalFormatting sqref="CB25:CB26">
    <cfRule type="expression" dxfId="195" priority="219">
      <formula>OR(IF(CB25&lt;CC25,TRUE),IF(AND(CC25="",CB25&lt;&gt;""),TRUE))</formula>
    </cfRule>
    <cfRule type="expression" dxfId="194" priority="220">
      <formula>IF(CB25&gt;=CC25,IF(CB25="",FALSE,TRUE))</formula>
    </cfRule>
  </conditionalFormatting>
  <conditionalFormatting sqref="BZ22">
    <cfRule type="expression" dxfId="193" priority="217">
      <formula>OR(IF(BZ22&lt;CA22,TRUE),IF(AND(CA22="",BZ22&lt;&gt;""),TRUE))</formula>
    </cfRule>
    <cfRule type="expression" dxfId="192" priority="218">
      <formula>IF(BZ22&gt;=CA22,IF(BZ22="",FALSE,TRUE))</formula>
    </cfRule>
  </conditionalFormatting>
  <conditionalFormatting sqref="CB22">
    <cfRule type="expression" dxfId="191" priority="215">
      <formula>OR(IF(CB22&lt;CC22,TRUE),IF(AND(CC22="",CB22&lt;&gt;""),TRUE))</formula>
    </cfRule>
    <cfRule type="expression" dxfId="190" priority="216">
      <formula>IF(CB22&gt;=CC22,IF(CB22="",FALSE,TRUE))</formula>
    </cfRule>
  </conditionalFormatting>
  <conditionalFormatting sqref="BZ40:BZ41">
    <cfRule type="expression" dxfId="189" priority="213">
      <formula>OR(IF(BZ40&lt;CA40,TRUE),IF(AND(CA40="",BZ40&lt;&gt;""),TRUE))</formula>
    </cfRule>
    <cfRule type="expression" dxfId="188" priority="214">
      <formula>IF(BZ40&gt;=CA40,IF(BZ40="",FALSE,TRUE))</formula>
    </cfRule>
  </conditionalFormatting>
  <conditionalFormatting sqref="CB40:CB41">
    <cfRule type="expression" dxfId="187" priority="211">
      <formula>OR(IF(CB40&lt;CC40,TRUE),IF(AND(CC40="",CB40&lt;&gt;""),TRUE))</formula>
    </cfRule>
    <cfRule type="expression" dxfId="186" priority="212">
      <formula>IF(CB40&gt;=CC40,IF(CB40="",FALSE,TRUE))</formula>
    </cfRule>
  </conditionalFormatting>
  <conditionalFormatting sqref="BZ16 CB16">
    <cfRule type="expression" dxfId="185" priority="209">
      <formula>OR(IF(BZ16&lt;CA16,TRUE),IF(AND(CA16="",BZ16&lt;&gt;""),TRUE))</formula>
    </cfRule>
    <cfRule type="expression" dxfId="184" priority="210">
      <formula>IF(BZ16&gt;=CA16,IF(BZ16="",FALSE,TRUE))</formula>
    </cfRule>
  </conditionalFormatting>
  <conditionalFormatting sqref="CB17 BZ17">
    <cfRule type="expression" dxfId="183" priority="207">
      <formula>OR(IF(BZ17&lt;CA17,TRUE),IF(AND(CA17="",BZ17&lt;&gt;""),TRUE))</formula>
    </cfRule>
    <cfRule type="expression" dxfId="182" priority="208">
      <formula>IF(BZ17&gt;=CA17,IF(BZ17="",FALSE,TRUE))</formula>
    </cfRule>
  </conditionalFormatting>
  <conditionalFormatting sqref="CI42:CI46 CG42:CG46 CG5:CG12 CI5:CI12 CI27:CI38 CG27:CG38">
    <cfRule type="expression" dxfId="181" priority="205">
      <formula>OR(IF(CG5&lt;CH5,TRUE),IF(AND(CH5="",CG5&lt;&gt;""),TRUE))</formula>
    </cfRule>
    <cfRule type="expression" dxfId="180" priority="206">
      <formula>IF(CG5&gt;=CH5,IF(CG5="",FALSE,TRUE))</formula>
    </cfRule>
  </conditionalFormatting>
  <conditionalFormatting sqref="CG15 CI15 CI18:CI21 CG18:CG21">
    <cfRule type="expression" dxfId="179" priority="203">
      <formula>OR(IF(CG15&lt;CH15,TRUE),IF(AND(CH15="",CG15&lt;&gt;""),TRUE))</formula>
    </cfRule>
    <cfRule type="expression" dxfId="178" priority="204">
      <formula>IF(CG15&gt;=CH15,IF(CG15="",FALSE,TRUE))</formula>
    </cfRule>
  </conditionalFormatting>
  <conditionalFormatting sqref="CG25:CG26">
    <cfRule type="expression" dxfId="177" priority="201">
      <formula>OR(IF(CG25&lt;CH25,TRUE),IF(AND(CH25="",CG25&lt;&gt;""),TRUE))</formula>
    </cfRule>
    <cfRule type="expression" dxfId="176" priority="202">
      <formula>IF(CG25&gt;=CH25,IF(CG25="",FALSE,TRUE))</formula>
    </cfRule>
  </conditionalFormatting>
  <conditionalFormatting sqref="CI25:CI26">
    <cfRule type="expression" dxfId="175" priority="199">
      <formula>OR(IF(CI25&lt;CJ25,TRUE),IF(AND(CJ25="",CI25&lt;&gt;""),TRUE))</formula>
    </cfRule>
    <cfRule type="expression" dxfId="174" priority="200">
      <formula>IF(CI25&gt;=CJ25,IF(CI25="",FALSE,TRUE))</formula>
    </cfRule>
  </conditionalFormatting>
  <conditionalFormatting sqref="CG22">
    <cfRule type="expression" dxfId="173" priority="197">
      <formula>OR(IF(CG22&lt;CH22,TRUE),IF(AND(CH22="",CG22&lt;&gt;""),TRUE))</formula>
    </cfRule>
    <cfRule type="expression" dxfId="172" priority="198">
      <formula>IF(CG22&gt;=CH22,IF(CG22="",FALSE,TRUE))</formula>
    </cfRule>
  </conditionalFormatting>
  <conditionalFormatting sqref="CI22">
    <cfRule type="expression" dxfId="171" priority="195">
      <formula>OR(IF(CI22&lt;CJ22,TRUE),IF(AND(CJ22="",CI22&lt;&gt;""),TRUE))</formula>
    </cfRule>
    <cfRule type="expression" dxfId="170" priority="196">
      <formula>IF(CI22&gt;=CJ22,IF(CI22="",FALSE,TRUE))</formula>
    </cfRule>
  </conditionalFormatting>
  <conditionalFormatting sqref="CG40:CG41">
    <cfRule type="expression" dxfId="169" priority="193">
      <formula>OR(IF(CG40&lt;CH40,TRUE),IF(AND(CH40="",CG40&lt;&gt;""),TRUE))</formula>
    </cfRule>
    <cfRule type="expression" dxfId="168" priority="194">
      <formula>IF(CG40&gt;=CH40,IF(CG40="",FALSE,TRUE))</formula>
    </cfRule>
  </conditionalFormatting>
  <conditionalFormatting sqref="CI40:CI41">
    <cfRule type="expression" dxfId="167" priority="191">
      <formula>OR(IF(CI40&lt;CJ40,TRUE),IF(AND(CJ40="",CI40&lt;&gt;""),TRUE))</formula>
    </cfRule>
    <cfRule type="expression" dxfId="166" priority="192">
      <formula>IF(CI40&gt;=CJ40,IF(CI40="",FALSE,TRUE))</formula>
    </cfRule>
  </conditionalFormatting>
  <conditionalFormatting sqref="CG16 CI16">
    <cfRule type="expression" dxfId="165" priority="189">
      <formula>OR(IF(CG16&lt;CH16,TRUE),IF(AND(CH16="",CG16&lt;&gt;""),TRUE))</formula>
    </cfRule>
    <cfRule type="expression" dxfId="164" priority="190">
      <formula>IF(CG16&gt;=CH16,IF(CG16="",FALSE,TRUE))</formula>
    </cfRule>
  </conditionalFormatting>
  <conditionalFormatting sqref="CI17 CG17">
    <cfRule type="expression" dxfId="163" priority="187">
      <formula>OR(IF(CG17&lt;CH17,TRUE),IF(AND(CH17="",CG17&lt;&gt;""),TRUE))</formula>
    </cfRule>
    <cfRule type="expression" dxfId="162" priority="188">
      <formula>IF(CG17&gt;=CH17,IF(CG17="",FALSE,TRUE))</formula>
    </cfRule>
  </conditionalFormatting>
  <conditionalFormatting sqref="CP42:CP46 CN42:CN46 CN5:CN12 CP5:CP12 CP27:CP38 CN27:CN38">
    <cfRule type="expression" dxfId="161" priority="185">
      <formula>OR(IF(CN5&lt;CO5,TRUE),IF(AND(CO5="",CN5&lt;&gt;""),TRUE))</formula>
    </cfRule>
    <cfRule type="expression" dxfId="160" priority="186">
      <formula>IF(CN5&gt;=CO5,IF(CN5="",FALSE,TRUE))</formula>
    </cfRule>
  </conditionalFormatting>
  <conditionalFormatting sqref="CN15 CP15 CP18:CP21 CN18:CN21">
    <cfRule type="expression" dxfId="159" priority="183">
      <formula>OR(IF(CN15&lt;CO15,TRUE),IF(AND(CO15="",CN15&lt;&gt;""),TRUE))</formula>
    </cfRule>
    <cfRule type="expression" dxfId="158" priority="184">
      <formula>IF(CN15&gt;=CO15,IF(CN15="",FALSE,TRUE))</formula>
    </cfRule>
  </conditionalFormatting>
  <conditionalFormatting sqref="CN25:CN26">
    <cfRule type="expression" dxfId="157" priority="181">
      <formula>OR(IF(CN25&lt;CO25,TRUE),IF(AND(CO25="",CN25&lt;&gt;""),TRUE))</formula>
    </cfRule>
    <cfRule type="expression" dxfId="156" priority="182">
      <formula>IF(CN25&gt;=CO25,IF(CN25="",FALSE,TRUE))</formula>
    </cfRule>
  </conditionalFormatting>
  <conditionalFormatting sqref="CP25:CP26">
    <cfRule type="expression" dxfId="155" priority="179">
      <formula>OR(IF(CP25&lt;CQ25,TRUE),IF(AND(CQ25="",CP25&lt;&gt;""),TRUE))</formula>
    </cfRule>
    <cfRule type="expression" dxfId="154" priority="180">
      <formula>IF(CP25&gt;=CQ25,IF(CP25="",FALSE,TRUE))</formula>
    </cfRule>
  </conditionalFormatting>
  <conditionalFormatting sqref="CN22">
    <cfRule type="expression" dxfId="153" priority="177">
      <formula>OR(IF(CN22&lt;CO22,TRUE),IF(AND(CO22="",CN22&lt;&gt;""),TRUE))</formula>
    </cfRule>
    <cfRule type="expression" dxfId="152" priority="178">
      <formula>IF(CN22&gt;=CO22,IF(CN22="",FALSE,TRUE))</formula>
    </cfRule>
  </conditionalFormatting>
  <conditionalFormatting sqref="CP22">
    <cfRule type="expression" dxfId="151" priority="175">
      <formula>OR(IF(CP22&lt;CQ22,TRUE),IF(AND(CQ22="",CP22&lt;&gt;""),TRUE))</formula>
    </cfRule>
    <cfRule type="expression" dxfId="150" priority="176">
      <formula>IF(CP22&gt;=CQ22,IF(CP22="",FALSE,TRUE))</formula>
    </cfRule>
  </conditionalFormatting>
  <conditionalFormatting sqref="CN40:CN41">
    <cfRule type="expression" dxfId="149" priority="173">
      <formula>OR(IF(CN40&lt;CO40,TRUE),IF(AND(CO40="",CN40&lt;&gt;""),TRUE))</formula>
    </cfRule>
    <cfRule type="expression" dxfId="148" priority="174">
      <formula>IF(CN40&gt;=CO40,IF(CN40="",FALSE,TRUE))</formula>
    </cfRule>
  </conditionalFormatting>
  <conditionalFormatting sqref="CP40:CP41">
    <cfRule type="expression" dxfId="147" priority="171">
      <formula>OR(IF(CP40&lt;CQ40,TRUE),IF(AND(CQ40="",CP40&lt;&gt;""),TRUE))</formula>
    </cfRule>
    <cfRule type="expression" dxfId="146" priority="172">
      <formula>IF(CP40&gt;=CQ40,IF(CP40="",FALSE,TRUE))</formula>
    </cfRule>
  </conditionalFormatting>
  <conditionalFormatting sqref="CN16 CP16">
    <cfRule type="expression" dxfId="145" priority="169">
      <formula>OR(IF(CN16&lt;CO16,TRUE),IF(AND(CO16="",CN16&lt;&gt;""),TRUE))</formula>
    </cfRule>
    <cfRule type="expression" dxfId="144" priority="170">
      <formula>IF(CN16&gt;=CO16,IF(CN16="",FALSE,TRUE))</formula>
    </cfRule>
  </conditionalFormatting>
  <conditionalFormatting sqref="CP17 CN17">
    <cfRule type="expression" dxfId="143" priority="167">
      <formula>OR(IF(CN17&lt;CO17,TRUE),IF(AND(CO17="",CN17&lt;&gt;""),TRUE))</formula>
    </cfRule>
    <cfRule type="expression" dxfId="142" priority="168">
      <formula>IF(CN17&gt;=CO17,IF(CN17="",FALSE,TRUE))</formula>
    </cfRule>
  </conditionalFormatting>
  <conditionalFormatting sqref="CW42:CW46 CU42:CU46 CU5:CU12 CW5:CW12 CW27:CW38 CU27:CU38">
    <cfRule type="expression" dxfId="141" priority="165">
      <formula>OR(IF(CU5&lt;CV5,TRUE),IF(AND(CV5="",CU5&lt;&gt;""),TRUE))</formula>
    </cfRule>
    <cfRule type="expression" dxfId="140" priority="166">
      <formula>IF(CU5&gt;=CV5,IF(CU5="",FALSE,TRUE))</formula>
    </cfRule>
  </conditionalFormatting>
  <conditionalFormatting sqref="CU15 CW15 CW18:CW21 CU18:CU21">
    <cfRule type="expression" dxfId="139" priority="163">
      <formula>OR(IF(CU15&lt;CV15,TRUE),IF(AND(CV15="",CU15&lt;&gt;""),TRUE))</formula>
    </cfRule>
    <cfRule type="expression" dxfId="138" priority="164">
      <formula>IF(CU15&gt;=CV15,IF(CU15="",FALSE,TRUE))</formula>
    </cfRule>
  </conditionalFormatting>
  <conditionalFormatting sqref="CU25:CU26">
    <cfRule type="expression" dxfId="137" priority="161">
      <formula>OR(IF(CU25&lt;CV25,TRUE),IF(AND(CV25="",CU25&lt;&gt;""),TRUE))</formula>
    </cfRule>
    <cfRule type="expression" dxfId="136" priority="162">
      <formula>IF(CU25&gt;=CV25,IF(CU25="",FALSE,TRUE))</formula>
    </cfRule>
  </conditionalFormatting>
  <conditionalFormatting sqref="CW25:CW26">
    <cfRule type="expression" dxfId="135" priority="159">
      <formula>OR(IF(CW25&lt;CX25,TRUE),IF(AND(CX25="",CW25&lt;&gt;""),TRUE))</formula>
    </cfRule>
    <cfRule type="expression" dxfId="134" priority="160">
      <formula>IF(CW25&gt;=CX25,IF(CW25="",FALSE,TRUE))</formula>
    </cfRule>
  </conditionalFormatting>
  <conditionalFormatting sqref="CU22">
    <cfRule type="expression" dxfId="133" priority="157">
      <formula>OR(IF(CU22&lt;CV22,TRUE),IF(AND(CV22="",CU22&lt;&gt;""),TRUE))</formula>
    </cfRule>
    <cfRule type="expression" dxfId="132" priority="158">
      <formula>IF(CU22&gt;=CV22,IF(CU22="",FALSE,TRUE))</formula>
    </cfRule>
  </conditionalFormatting>
  <conditionalFormatting sqref="CW22">
    <cfRule type="expression" dxfId="131" priority="155">
      <formula>OR(IF(CW22&lt;CX22,TRUE),IF(AND(CX22="",CW22&lt;&gt;""),TRUE))</formula>
    </cfRule>
    <cfRule type="expression" dxfId="130" priority="156">
      <formula>IF(CW22&gt;=CX22,IF(CW22="",FALSE,TRUE))</formula>
    </cfRule>
  </conditionalFormatting>
  <conditionalFormatting sqref="CU40:CU41">
    <cfRule type="expression" dxfId="129" priority="153">
      <formula>OR(IF(CU40&lt;CV40,TRUE),IF(AND(CV40="",CU40&lt;&gt;""),TRUE))</formula>
    </cfRule>
    <cfRule type="expression" dxfId="128" priority="154">
      <formula>IF(CU40&gt;=CV40,IF(CU40="",FALSE,TRUE))</formula>
    </cfRule>
  </conditionalFormatting>
  <conditionalFormatting sqref="CW40:CW41">
    <cfRule type="expression" dxfId="127" priority="151">
      <formula>OR(IF(CW40&lt;CX40,TRUE),IF(AND(CX40="",CW40&lt;&gt;""),TRUE))</formula>
    </cfRule>
    <cfRule type="expression" dxfId="126" priority="152">
      <formula>IF(CW40&gt;=CX40,IF(CW40="",FALSE,TRUE))</formula>
    </cfRule>
  </conditionalFormatting>
  <conditionalFormatting sqref="CU16 CW16">
    <cfRule type="expression" dxfId="125" priority="149">
      <formula>OR(IF(CU16&lt;CV16,TRUE),IF(AND(CV16="",CU16&lt;&gt;""),TRUE))</formula>
    </cfRule>
    <cfRule type="expression" dxfId="124" priority="150">
      <formula>IF(CU16&gt;=CV16,IF(CU16="",FALSE,TRUE))</formula>
    </cfRule>
  </conditionalFormatting>
  <conditionalFormatting sqref="CW17 CU17">
    <cfRule type="expression" dxfId="123" priority="147">
      <formula>OR(IF(CU17&lt;CV17,TRUE),IF(AND(CV17="",CU17&lt;&gt;""),TRUE))</formula>
    </cfRule>
    <cfRule type="expression" dxfId="122" priority="148">
      <formula>IF(CU17&gt;=CV17,IF(CU17="",FALSE,TRUE))</formula>
    </cfRule>
  </conditionalFormatting>
  <conditionalFormatting sqref="DD42:DD46 DB42:DB46 DB5:DB12 DD5:DD12 DD27:DD38 DB27:DB38">
    <cfRule type="expression" dxfId="121" priority="145">
      <formula>OR(IF(DB5&lt;DC5,TRUE),IF(AND(DC5="",DB5&lt;&gt;""),TRUE))</formula>
    </cfRule>
    <cfRule type="expression" dxfId="120" priority="146">
      <formula>IF(DB5&gt;=DC5,IF(DB5="",FALSE,TRUE))</formula>
    </cfRule>
  </conditionalFormatting>
  <conditionalFormatting sqref="DB15 DD15 DD18:DD21 DB18:DB21">
    <cfRule type="expression" dxfId="119" priority="143">
      <formula>OR(IF(DB15&lt;DC15,TRUE),IF(AND(DC15="",DB15&lt;&gt;""),TRUE))</formula>
    </cfRule>
    <cfRule type="expression" dxfId="118" priority="144">
      <formula>IF(DB15&gt;=DC15,IF(DB15="",FALSE,TRUE))</formula>
    </cfRule>
  </conditionalFormatting>
  <conditionalFormatting sqref="DB25:DB26">
    <cfRule type="expression" dxfId="117" priority="141">
      <formula>OR(IF(DB25&lt;DC25,TRUE),IF(AND(DC25="",DB25&lt;&gt;""),TRUE))</formula>
    </cfRule>
    <cfRule type="expression" dxfId="116" priority="142">
      <formula>IF(DB25&gt;=DC25,IF(DB25="",FALSE,TRUE))</formula>
    </cfRule>
  </conditionalFormatting>
  <conditionalFormatting sqref="DD25:DD26">
    <cfRule type="expression" dxfId="115" priority="139">
      <formula>OR(IF(DD25&lt;DE25,TRUE),IF(AND(DE25="",DD25&lt;&gt;""),TRUE))</formula>
    </cfRule>
    <cfRule type="expression" dxfId="114" priority="140">
      <formula>IF(DD25&gt;=DE25,IF(DD25="",FALSE,TRUE))</formula>
    </cfRule>
  </conditionalFormatting>
  <conditionalFormatting sqref="DB22">
    <cfRule type="expression" dxfId="113" priority="137">
      <formula>OR(IF(DB22&lt;DC22,TRUE),IF(AND(DC22="",DB22&lt;&gt;""),TRUE))</formula>
    </cfRule>
    <cfRule type="expression" dxfId="112" priority="138">
      <formula>IF(DB22&gt;=DC22,IF(DB22="",FALSE,TRUE))</formula>
    </cfRule>
  </conditionalFormatting>
  <conditionalFormatting sqref="DD22">
    <cfRule type="expression" dxfId="111" priority="135">
      <formula>OR(IF(DD22&lt;DE22,TRUE),IF(AND(DE22="",DD22&lt;&gt;""),TRUE))</formula>
    </cfRule>
    <cfRule type="expression" dxfId="110" priority="136">
      <formula>IF(DD22&gt;=DE22,IF(DD22="",FALSE,TRUE))</formula>
    </cfRule>
  </conditionalFormatting>
  <conditionalFormatting sqref="DB40:DB41">
    <cfRule type="expression" dxfId="109" priority="133">
      <formula>OR(IF(DB40&lt;DC40,TRUE),IF(AND(DC40="",DB40&lt;&gt;""),TRUE))</formula>
    </cfRule>
    <cfRule type="expression" dxfId="108" priority="134">
      <formula>IF(DB40&gt;=DC40,IF(DB40="",FALSE,TRUE))</formula>
    </cfRule>
  </conditionalFormatting>
  <conditionalFormatting sqref="DD40:DD41">
    <cfRule type="expression" dxfId="107" priority="131">
      <formula>OR(IF(DD40&lt;DE40,TRUE),IF(AND(DE40="",DD40&lt;&gt;""),TRUE))</formula>
    </cfRule>
    <cfRule type="expression" dxfId="106" priority="132">
      <formula>IF(DD40&gt;=DE40,IF(DD40="",FALSE,TRUE))</formula>
    </cfRule>
  </conditionalFormatting>
  <conditionalFormatting sqref="DB16 DD16">
    <cfRule type="expression" dxfId="105" priority="129">
      <formula>OR(IF(DB16&lt;DC16,TRUE),IF(AND(DC16="",DB16&lt;&gt;""),TRUE))</formula>
    </cfRule>
    <cfRule type="expression" dxfId="104" priority="130">
      <formula>IF(DB16&gt;=DC16,IF(DB16="",FALSE,TRUE))</formula>
    </cfRule>
  </conditionalFormatting>
  <conditionalFormatting sqref="DD17 DB17">
    <cfRule type="expression" dxfId="103" priority="127">
      <formula>OR(IF(DB17&lt;DC17,TRUE),IF(AND(DC17="",DB17&lt;&gt;""),TRUE))</formula>
    </cfRule>
    <cfRule type="expression" dxfId="102" priority="128">
      <formula>IF(DB17&gt;=DC17,IF(DB17="",FALSE,TRUE))</formula>
    </cfRule>
  </conditionalFormatting>
  <conditionalFormatting sqref="CB10:CB12">
    <cfRule type="expression" dxfId="101" priority="879">
      <formula>OR(IF(CB10&lt;CC10,TRUE),IF(AND(CC10="",CB10&lt;&gt;""),TRUE))</formula>
    </cfRule>
    <cfRule type="expression" dxfId="100" priority="880">
      <formula>IF(CB10&gt;=CC10,IF(CB10="",FALSE,TRUE))</formula>
    </cfRule>
  </conditionalFormatting>
  <conditionalFormatting sqref="CB9">
    <cfRule type="expression" dxfId="99" priority="125">
      <formula>OR(IF(CB9&lt;CC9,TRUE),IF(AND(CC9="",CB9&lt;&gt;""),TRUE))</formula>
    </cfRule>
    <cfRule type="expression" dxfId="98" priority="126">
      <formula>IF(CB9&gt;=CC9,IF(CB9="",FALSE,TRUE))</formula>
    </cfRule>
  </conditionalFormatting>
  <conditionalFormatting sqref="Q80:Q89 O80:O89 X80:X89 V80:V89 AE80:AE89 AC80:AC89 AJ80:AJ89 AL80:AL89 AS80:AS89 AQ80:AQ89 AX80:AX89 AZ80:AZ89 BG80:BG89 BE80:BE89 BN80:BN89 BL80:BL89">
    <cfRule type="expression" dxfId="97" priority="86">
      <formula>OR(IF(O80&lt;P80,TRUE),IF(AND(P80="",O80&lt;&gt;""),TRUE))</formula>
    </cfRule>
    <cfRule type="expression" dxfId="96" priority="87">
      <formula>IF(O80&gt;=P80,IF(O80="",FALSE,TRUE))</formula>
    </cfRule>
  </conditionalFormatting>
  <conditionalFormatting sqref="J81:K89">
    <cfRule type="colorScale" priority="88">
      <colorScale>
        <cfvo type="percent" val="0"/>
        <cfvo type="percent" val="100"/>
        <color rgb="FFFF231B"/>
        <color rgb="FF10FF07"/>
      </colorScale>
    </cfRule>
  </conditionalFormatting>
  <conditionalFormatting sqref="J80:J89">
    <cfRule type="colorScale" priority="89">
      <colorScale>
        <cfvo type="percent" val="0"/>
        <cfvo type="percent" val="100"/>
        <color rgb="FFFF231B"/>
        <color rgb="FF10FF07"/>
      </colorScale>
    </cfRule>
  </conditionalFormatting>
  <conditionalFormatting sqref="K80:K89">
    <cfRule type="colorScale" priority="90">
      <colorScale>
        <cfvo type="percent" val="0"/>
        <cfvo type="percent" val="100"/>
        <color rgb="FFFF231B"/>
        <color rgb="FF10FF07"/>
      </colorScale>
    </cfRule>
  </conditionalFormatting>
  <conditionalFormatting sqref="BU80:BU89 BS80:BS89">
    <cfRule type="expression" dxfId="95" priority="84">
      <formula>OR(IF(BS80&lt;BT80,TRUE),IF(AND(BT80="",BS80&lt;&gt;""),TRUE))</formula>
    </cfRule>
    <cfRule type="expression" dxfId="94" priority="85">
      <formula>IF(BS80&gt;=BT80,IF(BS80="",FALSE,TRUE))</formula>
    </cfRule>
  </conditionalFormatting>
  <conditionalFormatting sqref="CB80:CB89 BZ80:BZ89">
    <cfRule type="expression" dxfId="93" priority="82">
      <formula>OR(IF(BZ80&lt;CA80,TRUE),IF(AND(CA80="",BZ80&lt;&gt;""),TRUE))</formula>
    </cfRule>
    <cfRule type="expression" dxfId="92" priority="83">
      <formula>IF(BZ80&gt;=CA80,IF(BZ80="",FALSE,TRUE))</formula>
    </cfRule>
  </conditionalFormatting>
  <conditionalFormatting sqref="CI80:CI89 CG80:CG89">
    <cfRule type="expression" dxfId="91" priority="80">
      <formula>OR(IF(CG80&lt;CH80,TRUE),IF(AND(CH80="",CG80&lt;&gt;""),TRUE))</formula>
    </cfRule>
    <cfRule type="expression" dxfId="90" priority="81">
      <formula>IF(CG80&gt;=CH80,IF(CG80="",FALSE,TRUE))</formula>
    </cfRule>
  </conditionalFormatting>
  <conditionalFormatting sqref="CP80:CP89 CN80:CN89">
    <cfRule type="expression" dxfId="89" priority="78">
      <formula>OR(IF(CN80&lt;CO80,TRUE),IF(AND(CO80="",CN80&lt;&gt;""),TRUE))</formula>
    </cfRule>
    <cfRule type="expression" dxfId="88" priority="79">
      <formula>IF(CN80&gt;=CO80,IF(CN80="",FALSE,TRUE))</formula>
    </cfRule>
  </conditionalFormatting>
  <conditionalFormatting sqref="CW80:CW89 CU80:CU89">
    <cfRule type="expression" dxfId="87" priority="76">
      <formula>OR(IF(CU80&lt;CV80,TRUE),IF(AND(CV80="",CU80&lt;&gt;""),TRUE))</formula>
    </cfRule>
    <cfRule type="expression" dxfId="86" priority="77">
      <formula>IF(CU80&gt;=CV80,IF(CU80="",FALSE,TRUE))</formula>
    </cfRule>
  </conditionalFormatting>
  <conditionalFormatting sqref="DD80:DD89 DB80:DB89">
    <cfRule type="expression" dxfId="85" priority="74">
      <formula>OR(IF(DB80&lt;DC80,TRUE),IF(AND(DC80="",DB80&lt;&gt;""),TRUE))</formula>
    </cfRule>
    <cfRule type="expression" dxfId="84" priority="75">
      <formula>IF(DB80&gt;=DC80,IF(DB80="",FALSE,TRUE))</formula>
    </cfRule>
  </conditionalFormatting>
  <conditionalFormatting sqref="J36:K38">
    <cfRule type="colorScale" priority="73">
      <colorScale>
        <cfvo type="percent" val="0"/>
        <cfvo type="percent" val="100"/>
        <color rgb="FFFF231B"/>
        <color rgb="FF10FF07"/>
      </colorScale>
    </cfRule>
  </conditionalFormatting>
  <conditionalFormatting sqref="J50:K55">
    <cfRule type="colorScale" priority="913">
      <colorScale>
        <cfvo type="percent" val="0"/>
        <cfvo type="percent" val="100"/>
        <color rgb="FFFF231B"/>
        <color rgb="FF10FF07"/>
      </colorScale>
    </cfRule>
  </conditionalFormatting>
  <conditionalFormatting sqref="J49:J55">
    <cfRule type="colorScale" priority="914">
      <colorScale>
        <cfvo type="percent" val="0"/>
        <cfvo type="percent" val="100"/>
        <color rgb="FFFF231B"/>
        <color rgb="FF10FF07"/>
      </colorScale>
    </cfRule>
  </conditionalFormatting>
  <conditionalFormatting sqref="K49:K55">
    <cfRule type="colorScale" priority="915">
      <colorScale>
        <cfvo type="percent" val="0"/>
        <cfvo type="percent" val="100"/>
        <color rgb="FFFF231B"/>
        <color rgb="FF10FF07"/>
      </colorScale>
    </cfRule>
  </conditionalFormatting>
  <conditionalFormatting sqref="J59:K66">
    <cfRule type="colorScale" priority="948">
      <colorScale>
        <cfvo type="percent" val="0"/>
        <cfvo type="percent" val="100"/>
        <color rgb="FFFF231B"/>
        <color rgb="FF10FF07"/>
      </colorScale>
    </cfRule>
  </conditionalFormatting>
  <conditionalFormatting sqref="J58:J66">
    <cfRule type="colorScale" priority="949">
      <colorScale>
        <cfvo type="percent" val="0"/>
        <cfvo type="percent" val="100"/>
        <color rgb="FFFF231B"/>
        <color rgb="FF10FF07"/>
      </colorScale>
    </cfRule>
  </conditionalFormatting>
  <conditionalFormatting sqref="K58:K66">
    <cfRule type="colorScale" priority="950">
      <colorScale>
        <cfvo type="percent" val="0"/>
        <cfvo type="percent" val="100"/>
        <color rgb="FFFF231B"/>
        <color rgb="FF10FF07"/>
      </colorScale>
    </cfRule>
  </conditionalFormatting>
  <conditionalFormatting sqref="J70:K77">
    <cfRule type="colorScale" priority="983">
      <colorScale>
        <cfvo type="percent" val="0"/>
        <cfvo type="percent" val="100"/>
        <color rgb="FFFF231B"/>
        <color rgb="FF10FF07"/>
      </colorScale>
    </cfRule>
  </conditionalFormatting>
  <conditionalFormatting sqref="J69:J77">
    <cfRule type="colorScale" priority="984">
      <colorScale>
        <cfvo type="percent" val="0"/>
        <cfvo type="percent" val="100"/>
        <color rgb="FFFF231B"/>
        <color rgb="FF10FF07"/>
      </colorScale>
    </cfRule>
  </conditionalFormatting>
  <conditionalFormatting sqref="K69:K77">
    <cfRule type="colorScale" priority="985">
      <colorScale>
        <cfvo type="percent" val="0"/>
        <cfvo type="percent" val="100"/>
        <color rgb="FFFF231B"/>
        <color rgb="FF10FF07"/>
      </colorScale>
    </cfRule>
  </conditionalFormatting>
  <conditionalFormatting sqref="DK49:DK55 DI49:DI55 DK58:DK66 DI58:DI66 DK69:DK77 DI69:DI77">
    <cfRule type="expression" dxfId="83" priority="71">
      <formula>OR(IF(DI49&lt;DJ49,TRUE),IF(AND(DJ49="",DI49&lt;&gt;""),TRUE))</formula>
    </cfRule>
    <cfRule type="expression" dxfId="82" priority="72">
      <formula>IF(DI49&gt;=DJ49,IF(DI49="",FALSE,TRUE))</formula>
    </cfRule>
  </conditionalFormatting>
  <conditionalFormatting sqref="DK42:DK46 DI42:DI46 DI5:DI12 DK5:DK12 DK27:DK38 DI27:DI38">
    <cfRule type="expression" dxfId="81" priority="69">
      <formula>OR(IF(DI5&lt;DJ5,TRUE),IF(AND(DJ5="",DI5&lt;&gt;""),TRUE))</formula>
    </cfRule>
    <cfRule type="expression" dxfId="80" priority="70">
      <formula>IF(DI5&gt;=DJ5,IF(DI5="",FALSE,TRUE))</formula>
    </cfRule>
  </conditionalFormatting>
  <conditionalFormatting sqref="DI15 DK15 DK18:DK21 DI18:DI21">
    <cfRule type="expression" dxfId="79" priority="67">
      <formula>OR(IF(DI15&lt;DJ15,TRUE),IF(AND(DJ15="",DI15&lt;&gt;""),TRUE))</formula>
    </cfRule>
    <cfRule type="expression" dxfId="78" priority="68">
      <formula>IF(DI15&gt;=DJ15,IF(DI15="",FALSE,TRUE))</formula>
    </cfRule>
  </conditionalFormatting>
  <conditionalFormatting sqref="DI25:DI26">
    <cfRule type="expression" dxfId="77" priority="65">
      <formula>OR(IF(DI25&lt;DJ25,TRUE),IF(AND(DJ25="",DI25&lt;&gt;""),TRUE))</formula>
    </cfRule>
    <cfRule type="expression" dxfId="76" priority="66">
      <formula>IF(DI25&gt;=DJ25,IF(DI25="",FALSE,TRUE))</formula>
    </cfRule>
  </conditionalFormatting>
  <conditionalFormatting sqref="DK25:DK26">
    <cfRule type="expression" dxfId="75" priority="63">
      <formula>OR(IF(DK25&lt;DL25,TRUE),IF(AND(DL25="",DK25&lt;&gt;""),TRUE))</formula>
    </cfRule>
    <cfRule type="expression" dxfId="74" priority="64">
      <formula>IF(DK25&gt;=DL25,IF(DK25="",FALSE,TRUE))</formula>
    </cfRule>
  </conditionalFormatting>
  <conditionalFormatting sqref="DI22">
    <cfRule type="expression" dxfId="73" priority="61">
      <formula>OR(IF(DI22&lt;DJ22,TRUE),IF(AND(DJ22="",DI22&lt;&gt;""),TRUE))</formula>
    </cfRule>
    <cfRule type="expression" dxfId="72" priority="62">
      <formula>IF(DI22&gt;=DJ22,IF(DI22="",FALSE,TRUE))</formula>
    </cfRule>
  </conditionalFormatting>
  <conditionalFormatting sqref="DK22">
    <cfRule type="expression" dxfId="71" priority="59">
      <formula>OR(IF(DK22&lt;DL22,TRUE),IF(AND(DL22="",DK22&lt;&gt;""),TRUE))</formula>
    </cfRule>
    <cfRule type="expression" dxfId="70" priority="60">
      <formula>IF(DK22&gt;=DL22,IF(DK22="",FALSE,TRUE))</formula>
    </cfRule>
  </conditionalFormatting>
  <conditionalFormatting sqref="DI40:DI41">
    <cfRule type="expression" dxfId="69" priority="57">
      <formula>OR(IF(DI40&lt;DJ40,TRUE),IF(AND(DJ40="",DI40&lt;&gt;""),TRUE))</formula>
    </cfRule>
    <cfRule type="expression" dxfId="68" priority="58">
      <formula>IF(DI40&gt;=DJ40,IF(DI40="",FALSE,TRUE))</formula>
    </cfRule>
  </conditionalFormatting>
  <conditionalFormatting sqref="DK40:DK41">
    <cfRule type="expression" dxfId="67" priority="55">
      <formula>OR(IF(DK40&lt;DL40,TRUE),IF(AND(DL40="",DK40&lt;&gt;""),TRUE))</formula>
    </cfRule>
    <cfRule type="expression" dxfId="66" priority="56">
      <formula>IF(DK40&gt;=DL40,IF(DK40="",FALSE,TRUE))</formula>
    </cfRule>
  </conditionalFormatting>
  <conditionalFormatting sqref="DI16 DK16">
    <cfRule type="expression" dxfId="65" priority="53">
      <formula>OR(IF(DI16&lt;DJ16,TRUE),IF(AND(DJ16="",DI16&lt;&gt;""),TRUE))</formula>
    </cfRule>
    <cfRule type="expression" dxfId="64" priority="54">
      <formula>IF(DI16&gt;=DJ16,IF(DI16="",FALSE,TRUE))</formula>
    </cfRule>
  </conditionalFormatting>
  <conditionalFormatting sqref="DK17 DI17">
    <cfRule type="expression" dxfId="63" priority="51">
      <formula>OR(IF(DI17&lt;DJ17,TRUE),IF(AND(DJ17="",DI17&lt;&gt;""),TRUE))</formula>
    </cfRule>
    <cfRule type="expression" dxfId="62" priority="52">
      <formula>IF(DI17&gt;=DJ17,IF(DI17="",FALSE,TRUE))</formula>
    </cfRule>
  </conditionalFormatting>
  <conditionalFormatting sqref="DK80:DK89 DI80:DI89">
    <cfRule type="expression" dxfId="61" priority="49">
      <formula>OR(IF(DI80&lt;DJ80,TRUE),IF(AND(DJ80="",DI80&lt;&gt;""),TRUE))</formula>
    </cfRule>
    <cfRule type="expression" dxfId="60" priority="50">
      <formula>IF(DI80&gt;=DJ80,IF(DI80="",FALSE,TRUE))</formula>
    </cfRule>
  </conditionalFormatting>
  <conditionalFormatting sqref="DR49:DR55 DP49:DP55 DR58:DR66 DP58:DP66 DR69:DR77 DP69:DP77">
    <cfRule type="expression" dxfId="59" priority="47">
      <formula>OR(IF(DP49&lt;DQ49,TRUE),IF(AND(DQ49="",DP49&lt;&gt;""),TRUE))</formula>
    </cfRule>
    <cfRule type="expression" dxfId="58" priority="48">
      <formula>IF(DP49&gt;=DQ49,IF(DP49="",FALSE,TRUE))</formula>
    </cfRule>
  </conditionalFormatting>
  <conditionalFormatting sqref="DR42:DR46 DP42:DP46 DP5:DP12 DR5:DR12 DR27:DR38 DP27:DP38">
    <cfRule type="expression" dxfId="57" priority="45">
      <formula>OR(IF(DP5&lt;DQ5,TRUE),IF(AND(DQ5="",DP5&lt;&gt;""),TRUE))</formula>
    </cfRule>
    <cfRule type="expression" dxfId="56" priority="46">
      <formula>IF(DP5&gt;=DQ5,IF(DP5="",FALSE,TRUE))</formula>
    </cfRule>
  </conditionalFormatting>
  <conditionalFormatting sqref="DP15 DR15 DR18:DR21 DP18:DP21">
    <cfRule type="expression" dxfId="55" priority="43">
      <formula>OR(IF(DP15&lt;DQ15,TRUE),IF(AND(DQ15="",DP15&lt;&gt;""),TRUE))</formula>
    </cfRule>
    <cfRule type="expression" dxfId="54" priority="44">
      <formula>IF(DP15&gt;=DQ15,IF(DP15="",FALSE,TRUE))</formula>
    </cfRule>
  </conditionalFormatting>
  <conditionalFormatting sqref="DP25:DP26">
    <cfRule type="expression" dxfId="53" priority="41">
      <formula>OR(IF(DP25&lt;DQ25,TRUE),IF(AND(DQ25="",DP25&lt;&gt;""),TRUE))</formula>
    </cfRule>
    <cfRule type="expression" dxfId="52" priority="42">
      <formula>IF(DP25&gt;=DQ25,IF(DP25="",FALSE,TRUE))</formula>
    </cfRule>
  </conditionalFormatting>
  <conditionalFormatting sqref="DR25:DR26">
    <cfRule type="expression" dxfId="51" priority="39">
      <formula>OR(IF(DR25&lt;DS25,TRUE),IF(AND(DS25="",DR25&lt;&gt;""),TRUE))</formula>
    </cfRule>
    <cfRule type="expression" dxfId="50" priority="40">
      <formula>IF(DR25&gt;=DS25,IF(DR25="",FALSE,TRUE))</formula>
    </cfRule>
  </conditionalFormatting>
  <conditionalFormatting sqref="DP22">
    <cfRule type="expression" dxfId="49" priority="37">
      <formula>OR(IF(DP22&lt;DQ22,TRUE),IF(AND(DQ22="",DP22&lt;&gt;""),TRUE))</formula>
    </cfRule>
    <cfRule type="expression" dxfId="48" priority="38">
      <formula>IF(DP22&gt;=DQ22,IF(DP22="",FALSE,TRUE))</formula>
    </cfRule>
  </conditionalFormatting>
  <conditionalFormatting sqref="DR22">
    <cfRule type="expression" dxfId="47" priority="35">
      <formula>OR(IF(DR22&lt;DS22,TRUE),IF(AND(DS22="",DR22&lt;&gt;""),TRUE))</formula>
    </cfRule>
    <cfRule type="expression" dxfId="46" priority="36">
      <formula>IF(DR22&gt;=DS22,IF(DR22="",FALSE,TRUE))</formula>
    </cfRule>
  </conditionalFormatting>
  <conditionalFormatting sqref="DP40:DP41">
    <cfRule type="expression" dxfId="45" priority="33">
      <formula>OR(IF(DP40&lt;DQ40,TRUE),IF(AND(DQ40="",DP40&lt;&gt;""),TRUE))</formula>
    </cfRule>
    <cfRule type="expression" dxfId="44" priority="34">
      <formula>IF(DP40&gt;=DQ40,IF(DP40="",FALSE,TRUE))</formula>
    </cfRule>
  </conditionalFormatting>
  <conditionalFormatting sqref="DR40:DR41">
    <cfRule type="expression" dxfId="43" priority="31">
      <formula>OR(IF(DR40&lt;DS40,TRUE),IF(AND(DS40="",DR40&lt;&gt;""),TRUE))</formula>
    </cfRule>
    <cfRule type="expression" dxfId="42" priority="32">
      <formula>IF(DR40&gt;=DS40,IF(DR40="",FALSE,TRUE))</formula>
    </cfRule>
  </conditionalFormatting>
  <conditionalFormatting sqref="DP16 DR16">
    <cfRule type="expression" dxfId="41" priority="29">
      <formula>OR(IF(DP16&lt;DQ16,TRUE),IF(AND(DQ16="",DP16&lt;&gt;""),TRUE))</formula>
    </cfRule>
    <cfRule type="expression" dxfId="40" priority="30">
      <formula>IF(DP16&gt;=DQ16,IF(DP16="",FALSE,TRUE))</formula>
    </cfRule>
  </conditionalFormatting>
  <conditionalFormatting sqref="DR17 DP17">
    <cfRule type="expression" dxfId="39" priority="27">
      <formula>OR(IF(DP17&lt;DQ17,TRUE),IF(AND(DQ17="",DP17&lt;&gt;""),TRUE))</formula>
    </cfRule>
    <cfRule type="expression" dxfId="38" priority="28">
      <formula>IF(DP17&gt;=DQ17,IF(DP17="",FALSE,TRUE))</formula>
    </cfRule>
  </conditionalFormatting>
  <conditionalFormatting sqref="DR80:DR89 DP80:DP89">
    <cfRule type="expression" dxfId="37" priority="25">
      <formula>OR(IF(DP80&lt;DQ80,TRUE),IF(AND(DQ80="",DP80&lt;&gt;""),TRUE))</formula>
    </cfRule>
    <cfRule type="expression" dxfId="36" priority="26">
      <formula>IF(DP80&gt;=DQ80,IF(DP80="",FALSE,TRUE))</formula>
    </cfRule>
  </conditionalFormatting>
  <conditionalFormatting sqref="DY49:DY55 DW49:DW55 DY58:DY66 DW58:DW66 DY69:DY77 DW69:DW77">
    <cfRule type="expression" dxfId="35" priority="23">
      <formula>OR(IF(DW49&lt;DX49,TRUE),IF(AND(DX49="",DW49&lt;&gt;""),TRUE))</formula>
    </cfRule>
    <cfRule type="expression" dxfId="34" priority="24">
      <formula>IF(DW49&gt;=DX49,IF(DW49="",FALSE,TRUE))</formula>
    </cfRule>
  </conditionalFormatting>
  <conditionalFormatting sqref="DY42:DY46 DW42:DW46 DW5:DW12 DY5:DY12 DY27:DY38 DW27:DW38">
    <cfRule type="expression" dxfId="33" priority="21">
      <formula>OR(IF(DW5&lt;DX5,TRUE),IF(AND(DX5="",DW5&lt;&gt;""),TRUE))</formula>
    </cfRule>
    <cfRule type="expression" dxfId="32" priority="22">
      <formula>IF(DW5&gt;=DX5,IF(DW5="",FALSE,TRUE))</formula>
    </cfRule>
  </conditionalFormatting>
  <conditionalFormatting sqref="DW15 DY15 DY18:DY21 DW18:DW21">
    <cfRule type="expression" dxfId="31" priority="19">
      <formula>OR(IF(DW15&lt;DX15,TRUE),IF(AND(DX15="",DW15&lt;&gt;""),TRUE))</formula>
    </cfRule>
    <cfRule type="expression" dxfId="30" priority="20">
      <formula>IF(DW15&gt;=DX15,IF(DW15="",FALSE,TRUE))</formula>
    </cfRule>
  </conditionalFormatting>
  <conditionalFormatting sqref="DW25:DW26">
    <cfRule type="expression" dxfId="29" priority="17">
      <formula>OR(IF(DW25&lt;DX25,TRUE),IF(AND(DX25="",DW25&lt;&gt;""),TRUE))</formula>
    </cfRule>
    <cfRule type="expression" dxfId="28" priority="18">
      <formula>IF(DW25&gt;=DX25,IF(DW25="",FALSE,TRUE))</formula>
    </cfRule>
  </conditionalFormatting>
  <conditionalFormatting sqref="DY25:DY26">
    <cfRule type="expression" dxfId="27" priority="15">
      <formula>OR(IF(DY25&lt;DZ25,TRUE),IF(AND(DZ25="",DY25&lt;&gt;""),TRUE))</formula>
    </cfRule>
    <cfRule type="expression" dxfId="26" priority="16">
      <formula>IF(DY25&gt;=DZ25,IF(DY25="",FALSE,TRUE))</formula>
    </cfRule>
  </conditionalFormatting>
  <conditionalFormatting sqref="DW22">
    <cfRule type="expression" dxfId="25" priority="13">
      <formula>OR(IF(DW22&lt;DX22,TRUE),IF(AND(DX22="",DW22&lt;&gt;""),TRUE))</formula>
    </cfRule>
    <cfRule type="expression" dxfId="24" priority="14">
      <formula>IF(DW22&gt;=DX22,IF(DW22="",FALSE,TRUE))</formula>
    </cfRule>
  </conditionalFormatting>
  <conditionalFormatting sqref="DY22">
    <cfRule type="expression" dxfId="23" priority="11">
      <formula>OR(IF(DY22&lt;DZ22,TRUE),IF(AND(DZ22="",DY22&lt;&gt;""),TRUE))</formula>
    </cfRule>
    <cfRule type="expression" dxfId="22" priority="12">
      <formula>IF(DY22&gt;=DZ22,IF(DY22="",FALSE,TRUE))</formula>
    </cfRule>
  </conditionalFormatting>
  <conditionalFormatting sqref="DW40:DW41">
    <cfRule type="expression" dxfId="21" priority="9">
      <formula>OR(IF(DW40&lt;DX40,TRUE),IF(AND(DX40="",DW40&lt;&gt;""),TRUE))</formula>
    </cfRule>
    <cfRule type="expression" dxfId="20" priority="10">
      <formula>IF(DW40&gt;=DX40,IF(DW40="",FALSE,TRUE))</formula>
    </cfRule>
  </conditionalFormatting>
  <conditionalFormatting sqref="DY40:DY41">
    <cfRule type="expression" dxfId="19" priority="7">
      <formula>OR(IF(DY40&lt;DZ40,TRUE),IF(AND(DZ40="",DY40&lt;&gt;""),TRUE))</formula>
    </cfRule>
    <cfRule type="expression" dxfId="18" priority="8">
      <formula>IF(DY40&gt;=DZ40,IF(DY40="",FALSE,TRUE))</formula>
    </cfRule>
  </conditionalFormatting>
  <conditionalFormatting sqref="DW16 DY16">
    <cfRule type="expression" dxfId="17" priority="5">
      <formula>OR(IF(DW16&lt;DX16,TRUE),IF(AND(DX16="",DW16&lt;&gt;""),TRUE))</formula>
    </cfRule>
    <cfRule type="expression" dxfId="16" priority="6">
      <formula>IF(DW16&gt;=DX16,IF(DW16="",FALSE,TRUE))</formula>
    </cfRule>
  </conditionalFormatting>
  <conditionalFormatting sqref="DY17 DW17">
    <cfRule type="expression" dxfId="15" priority="3">
      <formula>OR(IF(DW17&lt;DX17,TRUE),IF(AND(DX17="",DW17&lt;&gt;""),TRUE))</formula>
    </cfRule>
    <cfRule type="expression" dxfId="14" priority="4">
      <formula>IF(DW17&gt;=DX17,IF(DW17="",FALSE,TRUE))</formula>
    </cfRule>
  </conditionalFormatting>
  <conditionalFormatting sqref="DY80:DY89 DW80:DW89">
    <cfRule type="expression" dxfId="13" priority="1">
      <formula>OR(IF(DW80&lt;DX80,TRUE),IF(AND(DX80="",DW80&lt;&gt;""),TRUE))</formula>
    </cfRule>
    <cfRule type="expression" dxfId="12" priority="2">
      <formula>IF(DW80&gt;=DX80,IF(DW80="",FALSE,TRUE))</formula>
    </cfRule>
  </conditionalFormatting>
  <dataValidations count="1">
    <dataValidation type="list" allowBlank="1" showInputMessage="1" showErrorMessage="1" sqref="AC49:AF55 CG25:CJ38 AQ5:AT12 V5:Y12 CG5:CJ12 O5:R12 BL5:BO12 BZ5:CC12 AC5:AF12 DI40:DL46 AX15:BA22 AQ15:AT22 DW69:DZ77 BE15:BH22 BE5:BH12 BS49:BV55 DP25:DS38 O40:R46 CU25:CX38 V40:Y46 AJ40:AM46 CN25:CQ38 AC40:AF46 BZ40:CC46 AQ40:AT46 DP40:DS46 AX49:BA55 AQ49:AT55 AJ49:AM55 CN40:CQ46 O49:R55 AX40:BA46 V15:Y22 DB40:DE46 BE49:BH55 BS15:BV22 BE40:BH46 BL49:BO55 CN49:CQ55 O69:R77 CG15:CJ22 BL40:BO46 BS40:BV46 CN15:CQ22 CG40:CJ46 BZ49:CC55 AJ15:AM22 CU15:CX22 CU5:CX12 CG49:CJ55 CU80:CX89 DB15:DE22 AJ5:AM12 BE25:BH38 BZ15:CC22 O15:R22 AJ58:AM66 BL58:BO66 V49:Y55 AX58:BA66 DB49:DE55 AQ58:AT66 DP49:DS55 V58:Y66 O58:R66 BH67 BE58:BH66 CN58:CQ66 BS58:BV66 CG58:CJ66 AC69:AF77 BL69:BO77 BE69:BH77 AX69:BA77 DW58:DZ66 AQ69:AT77 AJ69:AM77 DP58:DS66 V69:Y77 CG69:CJ77 AC58:AF66 CN69:CQ77 BS69:BV77 BZ69:CC77 AJ80:AM89 CG80:CJ89 BL80:BO89 AX80:BA89 BE80:BH89 AQ80:AT89 AC80:AF89 V80:Y89 O80:R89 BS80:BV89 BZ80:CC89 DB80:DE89 CN80:CQ89 BZ25:CC38 BL25:BO38 AX25:BA38 BS5:BV12 AJ25:AM38 AC15:AF22 AQ25:AT38 V25:Y38 CN5:CQ12 AX5:BA12 AC25:AF38 DP5:DS12 O25:R38 BS25:BV38 CU49:CX55 DB5:DE12 DI15:DL22 DB25:DE38 CU58:CX66 DB69:DE77 DI80:DL89 DP69:DS77 DI49:DL55 DI5:DL12 DP15:DS22 CU40:CX46 DI58:DL66 DI69:DL77 DP80:DS89 DI25:DL38 DW49:DZ55 DW5:DZ12 DW15:DZ22 DW40:DZ46 DB58:DE66 CU69:CX77 DW80:DZ89 BZ58:CC66 BM13:BM14 BL15:BN22 BO13:BO22 DW25:DZ38" xr:uid="{DF46768B-76BD-4AD1-BDD9-05E5E50A35C8}">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defaultColWidth="10.69921875" defaultRowHeight="15.6"/>
  <cols>
    <col min="2" max="2" width="161" customWidth="1"/>
    <col min="3" max="3" width="10.796875" style="2"/>
  </cols>
  <sheetData>
    <row r="4" spans="2:2" ht="21">
      <c r="B4" s="4" t="s">
        <v>9</v>
      </c>
    </row>
    <row r="6" spans="2:2">
      <c r="B6" s="3" t="s">
        <v>6</v>
      </c>
    </row>
    <row r="7" spans="2:2" ht="46.8">
      <c r="B7" s="1" t="s">
        <v>7</v>
      </c>
    </row>
    <row r="9" spans="2:2">
      <c r="B9" s="3" t="s">
        <v>8</v>
      </c>
    </row>
    <row r="10" spans="2:2" ht="62.4">
      <c r="B10" s="1" t="s">
        <v>28</v>
      </c>
    </row>
    <row r="12" spans="2:2">
      <c r="B12" s="3" t="s">
        <v>10</v>
      </c>
    </row>
    <row r="13" spans="2:2" ht="156">
      <c r="B13" s="1" t="s">
        <v>11</v>
      </c>
    </row>
    <row r="15" spans="2:2">
      <c r="B15" s="3" t="s">
        <v>12</v>
      </c>
    </row>
    <row r="16" spans="2:2" ht="109.2">
      <c r="B16" s="1" t="s">
        <v>13</v>
      </c>
    </row>
    <row r="17" spans="2:2">
      <c r="B17" s="1"/>
    </row>
    <row r="18" spans="2:2">
      <c r="B18" s="3" t="s">
        <v>27</v>
      </c>
    </row>
    <row r="19" spans="2:2" ht="140.4">
      <c r="B19" s="1" t="s">
        <v>29</v>
      </c>
    </row>
    <row r="21" spans="2:2">
      <c r="B21" s="3" t="s">
        <v>14</v>
      </c>
    </row>
    <row r="22" spans="2:2" ht="124.8">
      <c r="B22" s="1" t="s">
        <v>30</v>
      </c>
    </row>
    <row r="24" spans="2:2">
      <c r="B24" s="3" t="s">
        <v>15</v>
      </c>
    </row>
    <row r="25" spans="2:2" ht="124.8">
      <c r="B25" s="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defaultColWidth="10.69921875" defaultRowHeight="15.6"/>
  <cols>
    <col min="1" max="1" width="16.796875" style="11" customWidth="1"/>
    <col min="2" max="2" width="19.19921875" style="11" customWidth="1"/>
    <col min="3" max="3" width="18.19921875" style="11" customWidth="1"/>
    <col min="4" max="4" width="19.5" style="11" customWidth="1"/>
    <col min="8" max="8" width="15.19921875" customWidth="1"/>
    <col min="10" max="10" width="42" customWidth="1"/>
    <col min="11" max="11" width="28.5" customWidth="1"/>
  </cols>
  <sheetData>
    <row r="1" spans="1:11" ht="31.2">
      <c r="A1" s="11" t="s">
        <v>34</v>
      </c>
      <c r="B1" s="17" t="s">
        <v>31</v>
      </c>
      <c r="C1" s="17" t="s">
        <v>32</v>
      </c>
      <c r="D1" s="17" t="s">
        <v>33</v>
      </c>
      <c r="E1" s="1" t="s">
        <v>35</v>
      </c>
      <c r="F1" s="1" t="s">
        <v>36</v>
      </c>
      <c r="G1" s="1" t="s">
        <v>37</v>
      </c>
      <c r="H1" s="1" t="s">
        <v>38</v>
      </c>
      <c r="I1" s="1" t="s">
        <v>39</v>
      </c>
      <c r="J1" s="1" t="s">
        <v>40</v>
      </c>
      <c r="K1" s="1" t="s">
        <v>41</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I21" sqref="I21"/>
    </sheetView>
  </sheetViews>
  <sheetFormatPr defaultColWidth="10.69921875" defaultRowHeight="15.6"/>
  <cols>
    <col min="2" max="2" width="16.09765625" customWidth="1"/>
    <col min="3" max="3" width="16.59765625" customWidth="1"/>
    <col min="4" max="4" width="17.5" bestFit="1" customWidth="1"/>
    <col min="5" max="5" width="19.09765625" bestFit="1" customWidth="1"/>
    <col min="6" max="6" width="16.296875" customWidth="1"/>
    <col min="7" max="7" width="16" customWidth="1"/>
    <col min="8" max="8" width="16.19921875" customWidth="1"/>
  </cols>
  <sheetData>
    <row r="1" spans="1:8" ht="24.6">
      <c r="B1" s="8" t="s">
        <v>18</v>
      </c>
    </row>
    <row r="4" spans="1:8">
      <c r="B4" s="3" t="s">
        <v>214</v>
      </c>
      <c r="C4" s="3" t="s">
        <v>215</v>
      </c>
      <c r="D4" s="3" t="s">
        <v>216</v>
      </c>
      <c r="E4" s="3" t="s">
        <v>217</v>
      </c>
      <c r="F4" s="3" t="s">
        <v>218</v>
      </c>
      <c r="G4" s="3" t="s">
        <v>219</v>
      </c>
      <c r="H4" s="3" t="s">
        <v>220</v>
      </c>
    </row>
    <row r="5" spans="1:8">
      <c r="A5" s="10" t="s">
        <v>171</v>
      </c>
    </row>
    <row r="6" spans="1:8">
      <c r="A6" s="10" t="s">
        <v>172</v>
      </c>
    </row>
    <row r="7" spans="1:8">
      <c r="A7" s="10" t="s">
        <v>173</v>
      </c>
    </row>
    <row r="8" spans="1:8">
      <c r="A8" s="10" t="s">
        <v>174</v>
      </c>
    </row>
    <row r="9" spans="1:8">
      <c r="A9" s="10" t="s">
        <v>175</v>
      </c>
    </row>
    <row r="10" spans="1:8">
      <c r="A10" s="10" t="s">
        <v>176</v>
      </c>
    </row>
    <row r="11" spans="1:8">
      <c r="A11" s="10" t="s">
        <v>177</v>
      </c>
    </row>
    <row r="12" spans="1:8">
      <c r="A12" s="10" t="s">
        <v>178</v>
      </c>
    </row>
    <row r="13" spans="1:8">
      <c r="A13" s="10" t="s">
        <v>179</v>
      </c>
      <c r="B13" s="26" t="s">
        <v>240</v>
      </c>
    </row>
    <row r="14" spans="1:8">
      <c r="A14" s="10" t="s">
        <v>180</v>
      </c>
      <c r="B14" s="26"/>
    </row>
    <row r="15" spans="1:8">
      <c r="A15" s="10" t="s">
        <v>181</v>
      </c>
      <c r="D15" s="26" t="s">
        <v>243</v>
      </c>
      <c r="E15" s="26" t="s">
        <v>245</v>
      </c>
      <c r="F15" s="26" t="s">
        <v>247</v>
      </c>
    </row>
    <row r="16" spans="1:8">
      <c r="A16" s="10" t="s">
        <v>182</v>
      </c>
      <c r="D16" s="26"/>
      <c r="E16" s="26"/>
      <c r="F16" s="26"/>
    </row>
    <row r="17" spans="1:8">
      <c r="A17" s="10" t="s">
        <v>183</v>
      </c>
      <c r="B17" s="34" t="s">
        <v>222</v>
      </c>
      <c r="C17" s="27" t="s">
        <v>234</v>
      </c>
      <c r="D17" s="26"/>
      <c r="E17" s="26"/>
      <c r="F17" s="26"/>
    </row>
    <row r="18" spans="1:8">
      <c r="A18" s="10" t="s">
        <v>184</v>
      </c>
      <c r="B18" s="34"/>
      <c r="C18" s="27"/>
      <c r="D18" s="26"/>
      <c r="E18" s="26"/>
      <c r="F18" s="26"/>
      <c r="G18" s="31" t="s">
        <v>237</v>
      </c>
    </row>
    <row r="19" spans="1:8" ht="15.6" customHeight="1">
      <c r="A19" s="10" t="s">
        <v>185</v>
      </c>
      <c r="C19" s="27"/>
      <c r="D19" s="26"/>
      <c r="E19" s="26"/>
      <c r="F19" s="26"/>
      <c r="G19" s="31"/>
      <c r="H19" s="32" t="s">
        <v>251</v>
      </c>
    </row>
    <row r="20" spans="1:8">
      <c r="A20" s="10" t="s">
        <v>186</v>
      </c>
      <c r="C20" s="27"/>
      <c r="D20" s="26"/>
      <c r="E20" s="26"/>
      <c r="F20" s="26"/>
      <c r="G20" s="31"/>
      <c r="H20" s="32"/>
    </row>
    <row r="21" spans="1:8">
      <c r="A21" s="10" t="s">
        <v>187</v>
      </c>
      <c r="B21" s="27" t="s">
        <v>233</v>
      </c>
      <c r="C21" s="27"/>
      <c r="D21" s="30" t="s">
        <v>231</v>
      </c>
      <c r="G21" s="30" t="s">
        <v>230</v>
      </c>
      <c r="H21" s="32"/>
    </row>
    <row r="22" spans="1:8">
      <c r="A22" s="10" t="s">
        <v>188</v>
      </c>
      <c r="B22" s="27"/>
      <c r="C22" s="27"/>
      <c r="D22" s="30"/>
      <c r="G22" s="30"/>
      <c r="H22" s="32"/>
    </row>
    <row r="23" spans="1:8">
      <c r="A23" s="10" t="s">
        <v>189</v>
      </c>
      <c r="B23" s="27" t="s">
        <v>223</v>
      </c>
      <c r="C23" s="27" t="s">
        <v>225</v>
      </c>
      <c r="D23" s="33" t="s">
        <v>235</v>
      </c>
      <c r="E23" s="27" t="s">
        <v>239</v>
      </c>
      <c r="F23" s="26" t="s">
        <v>248</v>
      </c>
    </row>
    <row r="24" spans="1:8">
      <c r="A24" s="10" t="s">
        <v>190</v>
      </c>
      <c r="B24" s="27"/>
      <c r="C24" s="27"/>
      <c r="D24" s="33"/>
      <c r="E24" s="27"/>
      <c r="F24" s="26"/>
    </row>
    <row r="25" spans="1:8">
      <c r="A25" s="10" t="s">
        <v>191</v>
      </c>
      <c r="B25" s="28" t="s">
        <v>233</v>
      </c>
      <c r="D25" s="33"/>
      <c r="E25" s="27"/>
      <c r="F25" s="26"/>
      <c r="G25" s="36" t="s">
        <v>238</v>
      </c>
      <c r="H25" s="26" t="s">
        <v>249</v>
      </c>
    </row>
    <row r="26" spans="1:8">
      <c r="A26" s="10" t="s">
        <v>192</v>
      </c>
      <c r="B26" s="28" t="s">
        <v>224</v>
      </c>
      <c r="D26" s="33"/>
      <c r="E26" s="27"/>
      <c r="G26" s="36"/>
      <c r="H26" s="26"/>
    </row>
    <row r="27" spans="1:8">
      <c r="A27" s="10" t="s">
        <v>193</v>
      </c>
      <c r="B27" s="27" t="s">
        <v>233</v>
      </c>
      <c r="C27" s="29" t="s">
        <v>226</v>
      </c>
      <c r="E27" s="27"/>
      <c r="F27" s="31" t="s">
        <v>229</v>
      </c>
      <c r="G27" s="36"/>
      <c r="H27" s="26"/>
    </row>
    <row r="28" spans="1:8">
      <c r="A28" s="10" t="s">
        <v>194</v>
      </c>
      <c r="B28" s="27"/>
      <c r="C28" s="29"/>
      <c r="D28" s="27" t="s">
        <v>234</v>
      </c>
      <c r="E28" s="27"/>
      <c r="F28" s="31"/>
      <c r="G28" s="36"/>
      <c r="H28" s="26"/>
    </row>
    <row r="29" spans="1:8">
      <c r="A29" s="10" t="s">
        <v>195</v>
      </c>
      <c r="D29" s="27"/>
      <c r="E29" s="27"/>
      <c r="F29" s="31"/>
      <c r="G29" s="36"/>
      <c r="H29" s="26"/>
    </row>
    <row r="30" spans="1:8">
      <c r="A30" s="10" t="s">
        <v>196</v>
      </c>
      <c r="D30" s="27"/>
      <c r="E30" s="27"/>
      <c r="F30" s="31"/>
      <c r="G30" s="36"/>
      <c r="H30" s="26"/>
    </row>
    <row r="31" spans="1:8">
      <c r="A31" s="10" t="s">
        <v>197</v>
      </c>
      <c r="B31" s="26" t="s">
        <v>232</v>
      </c>
      <c r="D31" s="27"/>
      <c r="G31" s="36"/>
      <c r="H31" s="25" t="s">
        <v>228</v>
      </c>
    </row>
    <row r="32" spans="1:8">
      <c r="A32" s="10" t="s">
        <v>198</v>
      </c>
      <c r="B32" s="26"/>
      <c r="D32" s="27"/>
      <c r="G32" s="36"/>
      <c r="H32" s="25"/>
    </row>
    <row r="33" spans="1:8">
      <c r="A33" s="10" t="s">
        <v>199</v>
      </c>
      <c r="B33" s="26"/>
      <c r="C33" s="26" t="s">
        <v>242</v>
      </c>
      <c r="D33" s="27"/>
      <c r="E33" s="32" t="s">
        <v>226</v>
      </c>
      <c r="F33" s="27" t="s">
        <v>234</v>
      </c>
      <c r="H33" s="25"/>
    </row>
    <row r="34" spans="1:8">
      <c r="A34" s="10" t="s">
        <v>200</v>
      </c>
      <c r="B34" s="26"/>
      <c r="C34" s="26"/>
      <c r="D34" s="27"/>
      <c r="E34" s="32"/>
      <c r="F34" s="27"/>
      <c r="H34" s="25"/>
    </row>
    <row r="35" spans="1:8">
      <c r="A35" s="10" t="s">
        <v>201</v>
      </c>
      <c r="C35" s="26"/>
      <c r="D35" s="27"/>
      <c r="F35" s="27"/>
    </row>
    <row r="36" spans="1:8">
      <c r="A36" s="10" t="s">
        <v>202</v>
      </c>
      <c r="C36" s="26"/>
      <c r="F36" s="27"/>
    </row>
    <row r="37" spans="1:8">
      <c r="A37" s="10" t="s">
        <v>203</v>
      </c>
      <c r="B37" s="26" t="s">
        <v>241</v>
      </c>
      <c r="C37" s="26"/>
      <c r="E37" s="26" t="s">
        <v>246</v>
      </c>
      <c r="F37" s="27"/>
      <c r="G37" s="33" t="s">
        <v>236</v>
      </c>
    </row>
    <row r="38" spans="1:8">
      <c r="A38" s="10" t="s">
        <v>204</v>
      </c>
      <c r="B38" s="26"/>
      <c r="C38" s="26"/>
      <c r="D38" s="26" t="s">
        <v>244</v>
      </c>
      <c r="E38" s="26"/>
      <c r="F38" s="27"/>
      <c r="G38" s="33"/>
    </row>
    <row r="39" spans="1:8">
      <c r="A39" s="10" t="s">
        <v>205</v>
      </c>
      <c r="D39" s="26"/>
      <c r="E39" s="26"/>
      <c r="F39" s="27"/>
      <c r="G39" s="33"/>
      <c r="H39" s="37" t="s">
        <v>250</v>
      </c>
    </row>
    <row r="40" spans="1:8">
      <c r="A40" s="10" t="s">
        <v>206</v>
      </c>
      <c r="B40" s="36" t="s">
        <v>221</v>
      </c>
      <c r="E40" s="26"/>
      <c r="F40" s="27"/>
      <c r="G40" s="33"/>
      <c r="H40" s="37"/>
    </row>
    <row r="41" spans="1:8">
      <c r="A41" s="10" t="s">
        <v>207</v>
      </c>
      <c r="B41" s="36"/>
      <c r="G41" s="35" t="s">
        <v>227</v>
      </c>
      <c r="H41" s="37"/>
    </row>
    <row r="42" spans="1:8">
      <c r="A42" s="10" t="s">
        <v>208</v>
      </c>
      <c r="B42" s="36"/>
      <c r="G42" s="35"/>
    </row>
    <row r="43" spans="1:8">
      <c r="A43" s="10" t="s">
        <v>209</v>
      </c>
      <c r="G43" s="35"/>
    </row>
    <row r="44" spans="1:8">
      <c r="A44" s="10" t="s">
        <v>210</v>
      </c>
      <c r="G44" s="35"/>
    </row>
    <row r="45" spans="1:8">
      <c r="A45" s="10" t="s">
        <v>211</v>
      </c>
      <c r="G45" s="35"/>
    </row>
    <row r="46" spans="1:8">
      <c r="A46" s="10" t="s">
        <v>212</v>
      </c>
      <c r="G46" s="35"/>
    </row>
    <row r="47" spans="1:8">
      <c r="A47" s="10" t="s">
        <v>213</v>
      </c>
      <c r="G47" s="35"/>
    </row>
  </sheetData>
  <mergeCells count="34">
    <mergeCell ref="H25:H30"/>
    <mergeCell ref="H39:H41"/>
    <mergeCell ref="E15:E20"/>
    <mergeCell ref="E23:E30"/>
    <mergeCell ref="E37:E40"/>
    <mergeCell ref="F15:F20"/>
    <mergeCell ref="F23:F25"/>
    <mergeCell ref="F33:F40"/>
    <mergeCell ref="B13:B14"/>
    <mergeCell ref="C17:C22"/>
    <mergeCell ref="C33:C38"/>
    <mergeCell ref="D15:D20"/>
    <mergeCell ref="D23:D26"/>
    <mergeCell ref="G37:G40"/>
    <mergeCell ref="G18:G20"/>
    <mergeCell ref="D28:D35"/>
    <mergeCell ref="G25:G32"/>
    <mergeCell ref="G21:G22"/>
    <mergeCell ref="D21:D22"/>
    <mergeCell ref="B31:B34"/>
    <mergeCell ref="B21:B22"/>
    <mergeCell ref="B27:B28"/>
    <mergeCell ref="B37:B38"/>
    <mergeCell ref="D38:D39"/>
    <mergeCell ref="B40:B42"/>
    <mergeCell ref="B17:B18"/>
    <mergeCell ref="B23:B24"/>
    <mergeCell ref="C23:C24"/>
    <mergeCell ref="C27:C28"/>
    <mergeCell ref="H19:H22"/>
    <mergeCell ref="E33:E34"/>
    <mergeCell ref="G41:G47"/>
    <mergeCell ref="H31:H34"/>
    <mergeCell ref="F27:F30"/>
  </mergeCells>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ANLEITUNG</vt:lpstr>
      <vt:lpstr>Semesterplan</vt:lpstr>
      <vt:lpstr>Best-Practices</vt:lpstr>
      <vt:lpstr>COMMITTMENT</vt:lpstr>
      <vt:lpstr>KW 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Dam</cp:lastModifiedBy>
  <dcterms:created xsi:type="dcterms:W3CDTF">2020-04-19T13:33:28Z</dcterms:created>
  <dcterms:modified xsi:type="dcterms:W3CDTF">2022-11-10T11:21:34Z</dcterms:modified>
</cp:coreProperties>
</file>