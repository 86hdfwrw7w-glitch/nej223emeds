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dennishoffmann/Downloads/"/>
    </mc:Choice>
  </mc:AlternateContent>
  <xr:revisionPtr revIDLastSave="0" documentId="13_ncr:1_{923D2F9E-DC1C-124F-B4D6-ADD53DD621BC}" xr6:coauthVersionLast="47" xr6:coauthVersionMax="47" xr10:uidLastSave="{00000000-0000-0000-0000-000000000000}"/>
  <bookViews>
    <workbookView xWindow="4440" yWindow="740" windowWidth="20520" windowHeight="16760" tabRatio="500" activeTab="1" xr2:uid="{00000000-000D-0000-FFFF-FFFF00000000}"/>
  </bookViews>
  <sheets>
    <sheet name="ANLEITUNG" sheetId="1" r:id="rId1"/>
    <sheet name="Semesterplan" sheetId="2" r:id="rId2"/>
    <sheet name="Best-Practices" sheetId="3" r:id="rId3"/>
    <sheet name="COMMITTMENT" sheetId="4" r:id="rId4"/>
    <sheet name="Wochenplan KW 312026" sheetId="5" r:id="rId5"/>
    <sheet name="Wochenplan KW 322026"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 i="4" l="1"/>
  <c r="A51" i="4" s="1"/>
  <c r="K44" i="2" a="1"/>
  <c r="K44" i="2" s="1"/>
  <c r="J44" i="2" a="1"/>
  <c r="J44" i="2" s="1"/>
  <c r="I44" i="2"/>
  <c r="K43" i="2" a="1"/>
  <c r="K43" i="2" s="1"/>
  <c r="J43" i="2" a="1"/>
  <c r="J43" i="2" s="1"/>
  <c r="I43" i="2"/>
  <c r="K42" i="2" a="1"/>
  <c r="K42" i="2" s="1"/>
  <c r="J42" i="2" a="1"/>
  <c r="J42" i="2"/>
  <c r="I42" i="2"/>
  <c r="G42" i="2"/>
  <c r="K41" i="2" a="1"/>
  <c r="K41" i="2" s="1"/>
  <c r="J41" i="2" a="1"/>
  <c r="J41" i="2"/>
  <c r="I41" i="2"/>
  <c r="G41" i="2"/>
  <c r="C41" i="2"/>
  <c r="C43" i="2" s="1"/>
  <c r="C44" i="2" s="1"/>
  <c r="K40" i="2" a="1"/>
  <c r="K40" i="2" s="1"/>
  <c r="J40" i="2" a="1"/>
  <c r="J40" i="2" s="1"/>
  <c r="I40" i="2"/>
  <c r="G40" i="2"/>
  <c r="G44" i="2" s="1"/>
  <c r="C40" i="2"/>
  <c r="EC39" i="2"/>
  <c r="DV39" i="2"/>
  <c r="DO39" i="2"/>
  <c r="DH39" i="2"/>
  <c r="DA39" i="2"/>
  <c r="CT39" i="2"/>
  <c r="CM39" i="2"/>
  <c r="CF39" i="2"/>
  <c r="BY39" i="2"/>
  <c r="BR39" i="2"/>
  <c r="BK39" i="2"/>
  <c r="BD39" i="2"/>
  <c r="AW39" i="2"/>
  <c r="AP39" i="2"/>
  <c r="AI39" i="2"/>
  <c r="AB39" i="2"/>
  <c r="U39" i="2"/>
  <c r="N39" i="2"/>
  <c r="K37" i="2" a="1"/>
  <c r="K37" i="2" s="1"/>
  <c r="J37" i="2" a="1"/>
  <c r="J37" i="2" s="1"/>
  <c r="I37" i="2"/>
  <c r="K36" i="2" a="1"/>
  <c r="K36" i="2" s="1"/>
  <c r="J36" i="2" a="1"/>
  <c r="J36" i="2" s="1"/>
  <c r="I36" i="2"/>
  <c r="K35" i="2" a="1"/>
  <c r="K35" i="2" s="1"/>
  <c r="J35" i="2" a="1"/>
  <c r="J35" i="2" s="1"/>
  <c r="I35" i="2"/>
  <c r="K34" i="2" a="1"/>
  <c r="K34" i="2" s="1"/>
  <c r="J34" i="2" a="1"/>
  <c r="J34" i="2" s="1"/>
  <c r="I34" i="2"/>
  <c r="G34" i="2"/>
  <c r="C34" i="2"/>
  <c r="C35" i="2" s="1"/>
  <c r="K33" i="2" a="1"/>
  <c r="K33" i="2" s="1"/>
  <c r="J33" i="2" a="1"/>
  <c r="J33" i="2" s="1"/>
  <c r="I33" i="2"/>
  <c r="G33" i="2"/>
  <c r="G36" i="2" s="1"/>
  <c r="C33" i="2"/>
  <c r="EC32" i="2"/>
  <c r="DV32" i="2"/>
  <c r="DO32" i="2"/>
  <c r="DH32" i="2"/>
  <c r="DA32" i="2"/>
  <c r="CT32" i="2"/>
  <c r="CM32" i="2"/>
  <c r="CF32" i="2"/>
  <c r="BY32" i="2"/>
  <c r="BR32" i="2"/>
  <c r="BK32" i="2"/>
  <c r="BD32" i="2"/>
  <c r="AW32" i="2"/>
  <c r="AP32" i="2"/>
  <c r="AI32" i="2"/>
  <c r="AB32" i="2"/>
  <c r="U32" i="2"/>
  <c r="N32" i="2"/>
  <c r="K30" i="2" a="1"/>
  <c r="K30" i="2" s="1"/>
  <c r="J30" i="2" a="1"/>
  <c r="J30" i="2" s="1"/>
  <c r="I30" i="2"/>
  <c r="K29" i="2" a="1"/>
  <c r="K29" i="2" s="1"/>
  <c r="J29" i="2" a="1"/>
  <c r="J29" i="2" s="1"/>
  <c r="I29" i="2"/>
  <c r="K28" i="2" a="1"/>
  <c r="K28" i="2" s="1"/>
  <c r="J28" i="2" a="1"/>
  <c r="J28" i="2" s="1"/>
  <c r="I28" i="2"/>
  <c r="C28" i="2"/>
  <c r="C29" i="2" s="1"/>
  <c r="K27" i="2" a="1"/>
  <c r="K27" i="2" s="1"/>
  <c r="J27" i="2" a="1"/>
  <c r="J27" i="2" s="1"/>
  <c r="I27" i="2"/>
  <c r="G27" i="2"/>
  <c r="G28" i="2" s="1"/>
  <c r="C27" i="2"/>
  <c r="EC26" i="2"/>
  <c r="DV26" i="2"/>
  <c r="DO26" i="2"/>
  <c r="DH26" i="2"/>
  <c r="DA26" i="2"/>
  <c r="CT26" i="2"/>
  <c r="CM26" i="2"/>
  <c r="CF26" i="2"/>
  <c r="BY26" i="2"/>
  <c r="BR26" i="2"/>
  <c r="BK26" i="2"/>
  <c r="BD26" i="2"/>
  <c r="AW26" i="2"/>
  <c r="AP26" i="2"/>
  <c r="AI26" i="2"/>
  <c r="AB26" i="2"/>
  <c r="U26" i="2"/>
  <c r="N26" i="2"/>
  <c r="K24" i="2" a="1"/>
  <c r="K24" i="2" s="1"/>
  <c r="J24" i="2" a="1"/>
  <c r="J24" i="2" s="1"/>
  <c r="I24" i="2"/>
  <c r="G24" i="2"/>
  <c r="K23" i="2" a="1"/>
  <c r="K23" i="2" s="1"/>
  <c r="J23" i="2" a="1"/>
  <c r="J23" i="2" s="1"/>
  <c r="I23" i="2"/>
  <c r="G23" i="2"/>
  <c r="K22" i="2" a="1"/>
  <c r="K22" i="2" s="1"/>
  <c r="J22" i="2" a="1"/>
  <c r="J22" i="2" s="1"/>
  <c r="I22" i="2"/>
  <c r="K21" i="2" a="1"/>
  <c r="K21" i="2"/>
  <c r="J21" i="2" a="1"/>
  <c r="J21" i="2" s="1"/>
  <c r="I21" i="2"/>
  <c r="K20" i="2" a="1"/>
  <c r="K20" i="2" s="1"/>
  <c r="J20" i="2" a="1"/>
  <c r="J20" i="2" s="1"/>
  <c r="I20" i="2"/>
  <c r="K19" i="2" a="1"/>
  <c r="K19" i="2"/>
  <c r="J19" i="2" a="1"/>
  <c r="J19" i="2"/>
  <c r="I19" i="2"/>
  <c r="G19" i="2"/>
  <c r="K18" i="2" a="1"/>
  <c r="K18" i="2" s="1"/>
  <c r="J18" i="2" a="1"/>
  <c r="J18" i="2"/>
  <c r="I18" i="2"/>
  <c r="G18" i="2"/>
  <c r="K17" i="2" a="1"/>
  <c r="K17" i="2" s="1"/>
  <c r="J17" i="2" a="1"/>
  <c r="J17" i="2" s="1"/>
  <c r="I17" i="2"/>
  <c r="G17" i="2"/>
  <c r="K16" i="2" a="1"/>
  <c r="K16" i="2" s="1"/>
  <c r="J16" i="2" a="1"/>
  <c r="J16" i="2"/>
  <c r="I16" i="2"/>
  <c r="G16" i="2"/>
  <c r="K15" i="2" a="1"/>
  <c r="K15" i="2" s="1"/>
  <c r="J15" i="2" a="1"/>
  <c r="J15" i="2" s="1"/>
  <c r="I15" i="2"/>
  <c r="G15" i="2"/>
  <c r="K14" i="2" a="1"/>
  <c r="K14" i="2"/>
  <c r="J14" i="2" a="1"/>
  <c r="J14" i="2" s="1"/>
  <c r="I14" i="2"/>
  <c r="K13" i="2" a="1"/>
  <c r="K13" i="2" s="1"/>
  <c r="J13" i="2" a="1"/>
  <c r="J13" i="2" s="1"/>
  <c r="I13" i="2"/>
  <c r="K12" i="2" a="1"/>
  <c r="K12" i="2"/>
  <c r="J12" i="2" a="1"/>
  <c r="J12" i="2" s="1"/>
  <c r="I12" i="2"/>
  <c r="K11" i="2" a="1"/>
  <c r="K11" i="2" s="1"/>
  <c r="J11" i="2" a="1"/>
  <c r="J11" i="2" s="1"/>
  <c r="I11" i="2"/>
  <c r="G11" i="2"/>
  <c r="K10" i="2" a="1"/>
  <c r="K10" i="2" s="1"/>
  <c r="J10" i="2" a="1"/>
  <c r="J10" i="2"/>
  <c r="I10" i="2"/>
  <c r="G10" i="2"/>
  <c r="K9" i="2" a="1"/>
  <c r="K9" i="2" s="1"/>
  <c r="J9" i="2" a="1"/>
  <c r="J9" i="2" s="1"/>
  <c r="I9" i="2"/>
  <c r="G9" i="2"/>
  <c r="K8" i="2" a="1"/>
  <c r="K8" i="2" s="1"/>
  <c r="J8" i="2" a="1"/>
  <c r="J8" i="2"/>
  <c r="I8" i="2"/>
  <c r="G8" i="2"/>
  <c r="K7" i="2" a="1"/>
  <c r="K7" i="2" s="1"/>
  <c r="J7" i="2" a="1"/>
  <c r="J7" i="2" s="1"/>
  <c r="I7" i="2"/>
  <c r="G7" i="2"/>
  <c r="C7" i="2"/>
  <c r="K6" i="2" a="1"/>
  <c r="K6" i="2" s="1"/>
  <c r="J6" i="2" a="1"/>
  <c r="J6" i="2" s="1"/>
  <c r="I6" i="2"/>
  <c r="G6" i="2"/>
  <c r="C6" i="2"/>
  <c r="C8" i="2" s="1"/>
  <c r="K5" i="2" a="1"/>
  <c r="K5" i="2"/>
  <c r="J5" i="2" a="1"/>
  <c r="J5" i="2" s="1"/>
  <c r="I5" i="2"/>
  <c r="G5" i="2"/>
  <c r="G20" i="2" s="1"/>
  <c r="C5" i="2"/>
  <c r="EC4" i="2"/>
  <c r="DV4" i="2"/>
  <c r="DO4" i="2"/>
  <c r="DH4" i="2"/>
  <c r="DA4" i="2"/>
  <c r="CT4" i="2"/>
  <c r="CM4" i="2"/>
  <c r="CF4" i="2"/>
  <c r="BY4" i="2"/>
  <c r="BR4" i="2"/>
  <c r="BK4" i="2"/>
  <c r="BD4" i="2"/>
  <c r="AW4" i="2"/>
  <c r="AP4" i="2"/>
  <c r="AI4" i="2"/>
  <c r="AB4" i="2"/>
  <c r="U4" i="2"/>
  <c r="N4" i="2"/>
  <c r="DV2" i="2"/>
  <c r="DO2" i="2"/>
  <c r="DH2" i="2"/>
  <c r="DA2" i="2"/>
  <c r="CT2" i="2"/>
  <c r="CM2" i="2"/>
  <c r="BY2" i="2"/>
  <c r="BR2" i="2"/>
  <c r="BK2" i="2"/>
  <c r="BD2" i="2"/>
  <c r="AW2" i="2"/>
  <c r="AP2" i="2"/>
  <c r="AI2" i="2"/>
  <c r="AB2" i="2"/>
  <c r="U2" i="2"/>
  <c r="N2" i="2"/>
  <c r="C12" i="1"/>
  <c r="A5" i="4" l="1"/>
  <c r="C30" i="2"/>
  <c r="A13" i="4"/>
  <c r="I26" i="2"/>
  <c r="A16" i="4"/>
  <c r="A24" i="4"/>
  <c r="A30" i="4"/>
  <c r="C10" i="2"/>
  <c r="C11" i="2" s="1"/>
  <c r="C9" i="2"/>
  <c r="A12" i="4"/>
  <c r="A23" i="4"/>
  <c r="A37" i="4"/>
  <c r="I4" i="2"/>
  <c r="A38" i="4"/>
  <c r="I39" i="2"/>
  <c r="A14" i="4"/>
  <c r="A28" i="4"/>
  <c r="A39" i="4"/>
  <c r="A4" i="4"/>
  <c r="A15" i="4"/>
  <c r="A29" i="4"/>
  <c r="A40" i="4"/>
  <c r="A45" i="4"/>
  <c r="A6" i="4"/>
  <c r="A20" i="4"/>
  <c r="A31" i="4"/>
  <c r="A46" i="4"/>
  <c r="I32" i="2"/>
  <c r="A7" i="4"/>
  <c r="A21" i="4"/>
  <c r="A32" i="4"/>
  <c r="A47" i="4"/>
  <c r="A8" i="4"/>
  <c r="A22" i="4"/>
  <c r="A36" i="4"/>
  <c r="A48" i="4"/>
  <c r="G35" i="2"/>
  <c r="K32" i="2" s="1"/>
  <c r="C42" i="2"/>
  <c r="G43" i="2"/>
  <c r="A44" i="4"/>
  <c r="G14" i="2"/>
  <c r="G22" i="2"/>
  <c r="G30" i="2"/>
  <c r="A9" i="4"/>
  <c r="A17" i="4"/>
  <c r="A25" i="4"/>
  <c r="A33" i="4"/>
  <c r="A41" i="4"/>
  <c r="A49" i="4"/>
  <c r="G39" i="2"/>
  <c r="G13" i="2"/>
  <c r="G21" i="2"/>
  <c r="G29" i="2"/>
  <c r="G26" i="2" s="1"/>
  <c r="C36" i="2"/>
  <c r="C37" i="2" s="1"/>
  <c r="G37" i="2"/>
  <c r="J39" i="2"/>
  <c r="A2" i="4"/>
  <c r="A10" i="4"/>
  <c r="A18" i="4"/>
  <c r="A26" i="4"/>
  <c r="A34" i="4"/>
  <c r="A42" i="4"/>
  <c r="A50" i="4"/>
  <c r="G12" i="2"/>
  <c r="K39" i="2"/>
  <c r="A3" i="4"/>
  <c r="A11" i="4"/>
  <c r="A19" i="4"/>
  <c r="A27" i="4"/>
  <c r="A35" i="4"/>
  <c r="A43" i="4"/>
  <c r="C12" i="2" l="1"/>
  <c r="J32" i="2"/>
  <c r="J26" i="2"/>
  <c r="J4" i="2"/>
  <c r="K26" i="2"/>
  <c r="G32" i="2"/>
  <c r="C14" i="2"/>
  <c r="C13" i="2"/>
  <c r="G4" i="2"/>
  <c r="K4" i="2"/>
  <c r="C16" i="2" l="1"/>
  <c r="C15" i="2"/>
  <c r="C17" i="2" l="1"/>
  <c r="C18" i="2"/>
  <c r="C19" i="2" l="1"/>
  <c r="C20" i="2"/>
  <c r="C22" i="2" l="1"/>
  <c r="C21" i="2"/>
  <c r="C23" i="2" l="1"/>
  <c r="C24" i="2"/>
</calcChain>
</file>

<file path=xl/sharedStrings.xml><?xml version="1.0" encoding="utf-8"?>
<sst xmlns="http://schemas.openxmlformats.org/spreadsheetml/2006/main" count="283" uniqueCount="115">
  <si>
    <t>Im Trackingsheet hinterlegen</t>
  </si>
  <si>
    <t>Formel</t>
  </si>
  <si>
    <t>Zahl hier hinterlegen</t>
  </si>
  <si>
    <t>Reihenfolge</t>
  </si>
  <si>
    <t>Task</t>
  </si>
  <si>
    <t>Zahl</t>
  </si>
  <si>
    <t>Kommentare</t>
  </si>
  <si>
    <t>Schritt 1:</t>
  </si>
  <si>
    <t>Alle Fächer des Semesters hinterlegen inkl. Kapitel (zur Not Platzhalter)</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</si>
  <si>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</si>
  <si>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Schritt 2:</t>
  </si>
  <si>
    <t>Gesamte Kapitelanzahl hinterlegen</t>
  </si>
  <si>
    <t xml:space="preserve">Schritt 3: </t>
  </si>
  <si>
    <t>Klausurdatum hinterlegen</t>
  </si>
  <si>
    <t>Falls du es schätzen musst, trage einfach eine Schätzung ein. Normalerweise sind die Klausuren 1-3 Wochen nach Vorlesungsschluss.</t>
  </si>
  <si>
    <t xml:space="preserve">Schritt 4: </t>
  </si>
  <si>
    <t>Gesamte benötigte Wochen hinterlegen</t>
  </si>
  <si>
    <t>Um eine neue Woche zu hinterlegen, markierst du einfach die Leerspalte neben der letzten Woche bis zur letzten Spalte der Woche, kopierst sie (strg. +C) und fügst sie in die leerzeile hinter der letzten Woche ein.</t>
  </si>
  <si>
    <t xml:space="preserve">Schritt 5: </t>
  </si>
  <si>
    <t>Anzahl verfügbarer "Lernwochen" ausrechnen und hinterlegen</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</si>
  <si>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</si>
  <si>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6: </t>
  </si>
  <si>
    <t>Anzahl an Gesamt-Levelups ausrechnen und hinterlegen</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</si>
  <si>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</si>
  <si>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 xml:space="preserve">Schritt 7: </t>
  </si>
  <si>
    <t>Anzahl an Levelups pro Woche ausrechnen</t>
  </si>
  <si>
    <t xml:space="preserve">Schritt 8: </t>
  </si>
  <si>
    <t>Levelups von hinten nach vorne verteilen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</si>
  <si>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</si>
  <si>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</si>
  <si>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</si>
  <si>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</si>
  <si>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</si>
  <si>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</si>
  <si>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 xml:space="preserve">Schritt 11: </t>
  </si>
  <si>
    <t>Ende der Woche: Kenntnisstand pro Kapitel eintragen</t>
  </si>
  <si>
    <t xml:space="preserve">Schritt 12: </t>
  </si>
  <si>
    <t>Falls zu viel Zeit oder nicht genug Progress: In den Call kommen</t>
  </si>
  <si>
    <t>Semesterplan</t>
  </si>
  <si>
    <t>(Zelle muss angepasst werden)</t>
  </si>
  <si>
    <t>Übersicht</t>
  </si>
  <si>
    <t>1. KLAUSURENPHASE!!!</t>
  </si>
  <si>
    <t>2. KLAUSURENPHASE!!!</t>
  </si>
  <si>
    <t>Typ</t>
  </si>
  <si>
    <t>Fach</t>
  </si>
  <si>
    <t>Klausurdatum</t>
  </si>
  <si>
    <t>ECTS</t>
  </si>
  <si>
    <t>Fachgebiet</t>
  </si>
  <si>
    <t>Anteil an Klausur</t>
  </si>
  <si>
    <t>Stunden</t>
  </si>
  <si>
    <t>Skript Niveau</t>
  </si>
  <si>
    <t>Rechnen Niveau</t>
  </si>
  <si>
    <t>Bemerkungen</t>
  </si>
  <si>
    <t>Ziel</t>
  </si>
  <si>
    <t>Beschaffung, Logistik &amp; Produktion</t>
  </si>
  <si>
    <t>1. Klausurenphase (KW 41/2026)</t>
  </si>
  <si>
    <t>Thema</t>
  </si>
  <si>
    <t>1)</t>
  </si>
  <si>
    <t>2)</t>
  </si>
  <si>
    <t>3)</t>
  </si>
  <si>
    <t>4)</t>
  </si>
  <si>
    <t>5)</t>
  </si>
  <si>
    <t>6)</t>
  </si>
  <si>
    <t>7)</t>
  </si>
  <si>
    <t>8)</t>
  </si>
  <si>
    <t>9)</t>
  </si>
  <si>
    <t>10)</t>
  </si>
  <si>
    <t>11)</t>
  </si>
  <si>
    <t>12)</t>
  </si>
  <si>
    <t>13)</t>
  </si>
  <si>
    <t>14)</t>
  </si>
  <si>
    <t>15)</t>
  </si>
  <si>
    <t>16)</t>
  </si>
  <si>
    <t>17)</t>
  </si>
  <si>
    <t>18)</t>
  </si>
  <si>
    <t>19)</t>
  </si>
  <si>
    <t>20)</t>
  </si>
  <si>
    <t>Personal, Führung &amp; Organisation</t>
  </si>
  <si>
    <t>2. Klausurenphase (KW 48/2026)</t>
  </si>
  <si>
    <t>SBWL Finance Kurs 1</t>
  </si>
  <si>
    <t>SBWL Finance Kurs 3</t>
  </si>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</sst>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m/d/yyyy"/>
  </numFmts>
  <fonts count="6" x14ac:knownFonts="1">
    <font>
      <sz val="12"/>
      <color theme="1"/>
      <name val="Calibri"/>
      <charset val="1"/>
    </font>
    <font>
      <b/>
      <sz val="12"/>
      <color theme="1"/>
      <name val="Calibri"/>
      <family val="2"/>
    </font>
    <font>
      <sz val="12"/>
      <color rgb="FFFFFFFF"/>
      <name val="Calibri"/>
      <family val="2"/>
    </font>
    <font>
      <b/>
      <sz val="26"/>
      <color theme="1"/>
      <name val="Calibri"/>
      <family val="2"/>
    </font>
    <font>
      <b/>
      <i/>
      <u/>
      <sz val="16"/>
      <color theme="1"/>
      <name val="Calibri"/>
      <family val="2"/>
    </font>
    <font>
      <b/>
      <sz val="20"/>
      <color theme="1"/>
      <name val="Calibri"/>
      <family val="2"/>
    </font>
  </fonts>
  <fills count="7">
    <fill>
      <patternFill patternType="none"/>
    </fill>
    <fill>
      <patternFill patternType="gray125"/>
    </fill>
    <fill>
      <patternFill patternType="solid">
        <fgColor rgb="FFD9E2F3"/>
        <bgColor rgb="FFE0E0E0"/>
      </patternFill>
    </fill>
    <fill>
      <patternFill patternType="solid">
        <fgColor rgb="FF00FF29"/>
        <bgColor rgb="FF10FF07"/>
      </patternFill>
    </fill>
    <fill>
      <patternFill patternType="solid">
        <fgColor rgb="FFFFFF00"/>
        <bgColor rgb="FFFDFF05"/>
      </patternFill>
    </fill>
    <fill>
      <patternFill patternType="solid">
        <fgColor rgb="FFFDFF05"/>
        <bgColor rgb="FFFFFF00"/>
      </patternFill>
    </fill>
    <fill>
      <patternFill patternType="solid">
        <fgColor rgb="FFE0E0E0"/>
        <bgColor rgb="FFD9E2F3"/>
      </patternFill>
    </fill>
  </fills>
  <borders count="1">
    <border>
      <left/>
      <right/>
      <top/>
      <bottom/>
      <diagonal/>
    </border>
  </borders>
  <cellStyleXfs count="1">
    <xf numFmtId="0" fontId="0" fillId="0" borderId="0"/>
  </cellStyleXfs>
  <cellXfs count="23">
    <xf numFmtId="0" fontId="0" fillId="0" borderId="0" xfId="0"/>
    <xf numFmtId="0" fontId="0" fillId="2" borderId="0" xfId="0" applyFill="1"/>
    <xf numFmtId="0" fontId="0" fillId="3" borderId="0" xfId="0" applyFill="1"/>
    <xf numFmtId="0" fontId="0" fillId="4" borderId="0" xfId="0" applyFill="1"/>
    <xf numFmtId="0" fontId="1" fillId="0" borderId="0" xfId="0" applyFont="1"/>
    <xf numFmtId="164" fontId="2" fillId="0" borderId="0" xfId="0" applyNumberFormat="1" applyFont="1"/>
    <xf numFmtId="0" fontId="3" fillId="0" borderId="0" xfId="0" applyFont="1"/>
    <xf numFmtId="0" fontId="0" fillId="5" borderId="0" xfId="0" applyFill="1"/>
    <xf numFmtId="164" fontId="0" fillId="0" borderId="0" xfId="0" applyNumberFormat="1"/>
    <xf numFmtId="0" fontId="1" fillId="6" borderId="0" xfId="0" applyFont="1" applyFill="1" applyAlignment="1">
      <alignment horizontal="center"/>
    </xf>
    <xf numFmtId="0" fontId="1" fillId="6" borderId="0" xfId="0" applyFont="1" applyFill="1"/>
    <xf numFmtId="0" fontId="0" fillId="0" borderId="0" xfId="0" applyAlignment="1">
      <alignment horizontal="center"/>
    </xf>
    <xf numFmtId="9" fontId="0" fillId="0" borderId="0" xfId="0" applyNumberFormat="1"/>
    <xf numFmtId="1" fontId="0" fillId="0" borderId="0" xfId="0" applyNumberFormat="1" applyAlignment="1">
      <alignment horizontal="center"/>
    </xf>
    <xf numFmtId="9" fontId="0" fillId="0" borderId="0" xfId="0" applyNumberFormat="1" applyAlignment="1">
      <alignment horizontal="center"/>
    </xf>
    <xf numFmtId="0" fontId="4" fillId="0" borderId="0" xfId="0" applyFont="1"/>
    <xf numFmtId="0" fontId="0" fillId="0" borderId="0" xfId="0" applyAlignment="1">
      <alignment wrapText="1"/>
    </xf>
    <xf numFmtId="0" fontId="0" fillId="0" borderId="0" xfId="0" applyAlignment="1">
      <alignment horizontal="center" wrapText="1"/>
    </xf>
    <xf numFmtId="165" fontId="0" fillId="0" borderId="0" xfId="0" applyNumberFormat="1" applyAlignment="1">
      <alignment horizontal="center"/>
    </xf>
    <xf numFmtId="0" fontId="5" fillId="0" borderId="0" xfId="0" applyFont="1"/>
    <xf numFmtId="20" fontId="0" fillId="0" borderId="0" xfId="0" applyNumberFormat="1"/>
    <xf numFmtId="0" fontId="1" fillId="6" borderId="0" xfId="0" applyFont="1" applyFill="1" applyAlignment="1">
      <alignment horizontal="center"/>
    </xf>
    <xf numFmtId="0" fontId="0" fillId="0" borderId="0" xfId="0"/>
  </cellXfs>
  <cellStyles count="1">
    <cellStyle name="Normal" xfId="0" builtinId="0"/>
  </cellStyles>
  <dxfs count="165">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u/>
      </font>
      <fill>
        <patternFill>
          <bgColor rgb="FF00FF29"/>
        </patternFill>
      </fill>
    </dxf>
    <dxf>
      <font>
        <b/>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s>
  <tableStyles count="0" defaultTableStyle="TableStyleMedium2" defaultPivotStyle="PivotStyleLight16"/>
  <colors>
    <indexedColors>
      <rgbColor rgb="FF000000"/>
      <rgbColor rgb="FFFFFFFF"/>
      <rgbColor rgb="FFFF0000"/>
      <rgbColor rgb="FF10FF07"/>
      <rgbColor rgb="FF0000FF"/>
      <rgbColor rgb="FFFFFF00"/>
      <rgbColor rgb="FFFF00FF"/>
      <rgbColor rgb="FF00FF29"/>
      <rgbColor rgb="FF9C0006"/>
      <rgbColor rgb="FF006100"/>
      <rgbColor rgb="FF000080"/>
      <rgbColor rgb="FF808000"/>
      <rgbColor rgb="FF800080"/>
      <rgbColor rgb="FF008080"/>
      <rgbColor rgb="FFFFC7CE"/>
      <rgbColor rgb="FF808080"/>
      <rgbColor rgb="FF9999FF"/>
      <rgbColor rgb="FF993366"/>
      <rgbColor rgb="FFFFFFCC"/>
      <rgbColor rgb="FFE0E0E0"/>
      <rgbColor rgb="FF660066"/>
      <rgbColor rgb="FFFF755A"/>
      <rgbColor rgb="FF0066CC"/>
      <rgbColor rgb="FFD9E2F3"/>
      <rgbColor rgb="FF000080"/>
      <rgbColor rgb="FFFF00FF"/>
      <rgbColor rgb="FFFDFF05"/>
      <rgbColor rgb="FF00FFFF"/>
      <rgbColor rgb="FF800080"/>
      <rgbColor rgb="FF800000"/>
      <rgbColor rgb="FF008080"/>
      <rgbColor rgb="FF0000FF"/>
      <rgbColor rgb="FF00CCFF"/>
      <rgbColor rgb="FFCCFFFF"/>
      <rgbColor rgb="FFC6EFCE"/>
      <rgbColor rgb="FFC4FF87"/>
      <rgbColor rgb="FF99CCFF"/>
      <rgbColor rgb="FFFF99CC"/>
      <rgbColor rgb="FFCC99FF"/>
      <rgbColor rgb="FFFFDE7F"/>
      <rgbColor rgb="FF3366FF"/>
      <rgbColor rgb="FF56FF5E"/>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46" totalsRowShown="0">
  <tableColumns count="11">
    <tableColumn id="1" xr3:uid="{00000000-0010-0000-0000-000001000000}" name="Datum"/>
    <tableColumn id="2" xr3:uid="{00000000-0010-0000-0000-000002000000}" name="Lerneinheiten durchgezogen"/>
    <tableColumn id="3" xr3:uid="{00000000-0010-0000-0000-000003000000}" name="Tagesplan erstellt"/>
    <tableColumn id="4" xr3:uid="{00000000-0010-0000-0000-000004000000}" name="Konzentrationslevel"/>
    <tableColumn id="5" xr3:uid="{00000000-0010-0000-0000-000005000000}" name="Kcal"/>
    <tableColumn id="6" xr3:uid="{00000000-0010-0000-0000-000006000000}" name="Fette"/>
    <tableColumn id="7" xr3:uid="{00000000-0010-0000-0000-000007000000}" name="Eiweiss"/>
    <tableColumn id="8" xr3:uid="{00000000-0010-0000-0000-000008000000}" name="Kohlenhydrate"/>
    <tableColumn id="9" xr3:uid="{00000000-0010-0000-0000-000009000000}" name="Gewicht"/>
    <tableColumn id="10" xr3:uid="{00000000-0010-0000-0000-00000A000000}" name="Sonstiges Gefühl"/>
    <tableColumn id="11" xr3:uid="{00000000-0010-0000-0000-00000B000000}" name="Optimierunge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47:K48" headerRowCount="0" totalsRowShown="0">
  <tableColumns count="11">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49:K49" headerRowCount="0" totalsRowShown="0">
  <tableColumns count="11">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50:K50" headerRowCount="0" totalsRowShown="0">
  <tableColumns count="11">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51:K51" headerRowCount="0" totalsRowShown="0">
  <tableColumns count="11">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zoomScaleNormal="100" workbookViewId="0">
      <selection activeCell="C7" sqref="C7"/>
    </sheetView>
  </sheetViews>
  <sheetFormatPr baseColWidth="10" defaultColWidth="11.1640625" defaultRowHeight="16" x14ac:dyDescent="0.2"/>
  <cols>
    <col min="1" max="1" width="9.1640625" customWidth="1"/>
    <col min="2" max="2" width="48.83203125" customWidth="1"/>
    <col min="3" max="26" width="8.33203125" customWidth="1"/>
  </cols>
  <sheetData>
    <row r="1" spans="1:4" ht="15.75" customHeight="1" x14ac:dyDescent="0.2"/>
    <row r="2" spans="1:4" ht="15.75" customHeight="1" x14ac:dyDescent="0.2">
      <c r="C2" s="1" t="s">
        <v>0</v>
      </c>
    </row>
    <row r="3" spans="1:4" ht="15.75" customHeight="1" x14ac:dyDescent="0.2">
      <c r="C3" s="2" t="s">
        <v>1</v>
      </c>
    </row>
    <row r="4" spans="1:4" ht="15.75" customHeight="1" x14ac:dyDescent="0.2">
      <c r="C4" s="3" t="s">
        <v>2</v>
      </c>
    </row>
    <row r="5" spans="1:4" ht="15.75" customHeight="1" x14ac:dyDescent="0.2">
      <c r="A5" s="4" t="s">
        <v>3</v>
      </c>
      <c r="B5" s="4" t="s">
        <v>4</v>
      </c>
      <c r="C5" s="4" t="s">
        <v>5</v>
      </c>
      <c r="D5" s="4" t="s">
        <v>6</v>
      </c>
    </row>
    <row r="6" spans="1:4" ht="15.75" customHeight="1" x14ac:dyDescent="0.2">
      <c r="A6" t="s">
        <v>7</v>
      </c>
      <c r="B6" s="1" t="s">
        <v>8</v>
      </c>
      <c r="D6" t="s">
        <v>9</v>
      </c>
    </row>
    <row r="7" spans="1:4" ht="15.75" customHeight="1" x14ac:dyDescent="0.2">
      <c r="A7" t="s">
        <v>10</v>
      </c>
      <c r="B7" t="s">
        <v>11</v>
      </c>
      <c r="C7" s="3">
        <v>34</v>
      </c>
    </row>
    <row r="8" spans="1:4" ht="15.75" customHeight="1" x14ac:dyDescent="0.2">
      <c r="A8" t="s">
        <v>12</v>
      </c>
      <c r="B8" s="1" t="s">
        <v>13</v>
      </c>
      <c r="D8" t="s">
        <v>14</v>
      </c>
    </row>
    <row r="9" spans="1:4" ht="15.75" customHeight="1" x14ac:dyDescent="0.2">
      <c r="A9" t="s">
        <v>15</v>
      </c>
      <c r="B9" s="1" t="s">
        <v>16</v>
      </c>
      <c r="D9" t="s">
        <v>17</v>
      </c>
    </row>
    <row r="10" spans="1:4" ht="15.75" customHeight="1" x14ac:dyDescent="0.2">
      <c r="A10" t="s">
        <v>18</v>
      </c>
      <c r="B10" t="s">
        <v>19</v>
      </c>
      <c r="C10" s="3">
        <v>15</v>
      </c>
      <c r="D10" t="s">
        <v>20</v>
      </c>
    </row>
    <row r="11" spans="1:4" ht="15.75" customHeight="1" x14ac:dyDescent="0.2">
      <c r="A11" t="s">
        <v>21</v>
      </c>
      <c r="B11" t="s">
        <v>22</v>
      </c>
      <c r="C11" s="3">
        <v>102</v>
      </c>
      <c r="D11" t="s">
        <v>23</v>
      </c>
    </row>
    <row r="12" spans="1:4" ht="15.75" customHeight="1" x14ac:dyDescent="0.2">
      <c r="A12" t="s">
        <v>24</v>
      </c>
      <c r="B12" t="s">
        <v>25</v>
      </c>
      <c r="C12" s="2">
        <f>C11/C10</f>
        <v>6.8</v>
      </c>
    </row>
    <row r="13" spans="1:4" ht="15.75" customHeight="1" x14ac:dyDescent="0.2">
      <c r="A13" t="s">
        <v>26</v>
      </c>
      <c r="B13" t="s">
        <v>27</v>
      </c>
      <c r="D13" t="s">
        <v>28</v>
      </c>
    </row>
    <row r="14" spans="1:4" ht="15.75" customHeight="1" x14ac:dyDescent="0.2">
      <c r="A14" t="s">
        <v>29</v>
      </c>
      <c r="B14" t="s">
        <v>30</v>
      </c>
      <c r="D14" t="s">
        <v>31</v>
      </c>
    </row>
    <row r="15" spans="1:4" ht="15.75" customHeight="1" x14ac:dyDescent="0.2">
      <c r="A15" t="s">
        <v>32</v>
      </c>
      <c r="B15" s="1" t="s">
        <v>33</v>
      </c>
    </row>
    <row r="16" spans="1:4" ht="15.75" customHeight="1" x14ac:dyDescent="0.2">
      <c r="A16" t="s">
        <v>34</v>
      </c>
      <c r="B16" s="1" t="s">
        <v>35</v>
      </c>
    </row>
    <row r="17" spans="1:2" ht="15.75" customHeight="1" x14ac:dyDescent="0.2">
      <c r="A17" t="s">
        <v>36</v>
      </c>
      <c r="B17" t="s">
        <v>37</v>
      </c>
    </row>
    <row r="18" spans="1:2" ht="15.75" customHeight="1" x14ac:dyDescent="0.2"/>
    <row r="19" spans="1:2" ht="15.75" customHeight="1" x14ac:dyDescent="0.2"/>
    <row r="20" spans="1:2" ht="15.75" customHeight="1" x14ac:dyDescent="0.2"/>
    <row r="21" spans="1:2" ht="15.75" customHeight="1" x14ac:dyDescent="0.2"/>
    <row r="22" spans="1:2" ht="15.75" customHeight="1" x14ac:dyDescent="0.2"/>
    <row r="23" spans="1:2" ht="15.75" customHeight="1" x14ac:dyDescent="0.2"/>
    <row r="24" spans="1:2" ht="15.75" customHeight="1" x14ac:dyDescent="0.2"/>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8749999999999998" bottom="0.78749999999999998"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H46"/>
  <sheetViews>
    <sheetView showGridLines="0" tabSelected="1" topLeftCell="N1" zoomScaleNormal="100" workbookViewId="0">
      <pane ySplit="3" topLeftCell="A4" activePane="bottomLeft" state="frozen"/>
      <selection pane="bottomLeft" activeCell="M16" sqref="M16"/>
    </sheetView>
  </sheetViews>
  <sheetFormatPr baseColWidth="10" defaultColWidth="11.1640625" defaultRowHeight="16" outlineLevelRow="1" x14ac:dyDescent="0.2"/>
  <cols>
    <col min="1" max="1" width="6.83203125" customWidth="1"/>
    <col min="2" max="2" width="8.1640625" customWidth="1"/>
    <col min="3" max="3" width="7.33203125" customWidth="1"/>
    <col min="5" max="5" width="3.83203125" customWidth="1"/>
    <col min="6" max="6" width="32" customWidth="1"/>
    <col min="7" max="7" width="12" customWidth="1"/>
    <col min="8" max="8" width="1.83203125" customWidth="1"/>
    <col min="9" max="9" width="6.83203125" customWidth="1"/>
    <col min="10" max="10" width="11.83203125" customWidth="1"/>
    <col min="11" max="11" width="13.5" customWidth="1"/>
    <col min="12" max="12" width="11.83203125" customWidth="1"/>
    <col min="13" max="13" width="2.6640625" customWidth="1"/>
    <col min="14" max="14" width="6.83203125" customWidth="1"/>
    <col min="15" max="15" width="10.83203125" customWidth="1"/>
    <col min="16" max="16" width="4.83203125" customWidth="1"/>
    <col min="17" max="17" width="12.83203125" customWidth="1"/>
    <col min="18" max="18" width="4.6640625" customWidth="1"/>
    <col min="20" max="20" width="1.83203125" customWidth="1"/>
    <col min="21" max="21" width="6.83203125" customWidth="1"/>
    <col min="22" max="22" width="10.83203125" customWidth="1"/>
    <col min="23" max="23" width="4.83203125" customWidth="1"/>
    <col min="24" max="24" width="12.83203125" customWidth="1"/>
    <col min="25" max="25" width="4.6640625" customWidth="1"/>
    <col min="27" max="27" width="1.83203125" customWidth="1"/>
    <col min="28" max="28" width="6.83203125" customWidth="1"/>
    <col min="29" max="29" width="10.83203125" customWidth="1"/>
    <col min="30" max="30" width="5.6640625" customWidth="1"/>
    <col min="31" max="31" width="12.83203125" customWidth="1"/>
    <col min="32" max="32" width="5.6640625" customWidth="1"/>
    <col min="34" max="34" width="1.83203125" customWidth="1"/>
    <col min="35" max="35" width="6.83203125" customWidth="1"/>
    <col min="36" max="36" width="10.83203125" customWidth="1"/>
    <col min="37" max="37" width="5.6640625" customWidth="1"/>
    <col min="38" max="38" width="12.83203125" customWidth="1"/>
    <col min="39" max="39" width="5.6640625" customWidth="1"/>
    <col min="41" max="41" width="1.83203125" customWidth="1"/>
    <col min="42" max="42" width="6.83203125" customWidth="1"/>
    <col min="43" max="43" width="10.83203125" customWidth="1"/>
    <col min="44" max="44" width="5.6640625" customWidth="1"/>
    <col min="45" max="45" width="12.83203125" customWidth="1"/>
    <col min="46" max="46" width="5.6640625" customWidth="1"/>
    <col min="48" max="48" width="1.83203125" customWidth="1"/>
    <col min="49" max="49" width="6.83203125" customWidth="1"/>
    <col min="50" max="50" width="10.83203125" customWidth="1"/>
    <col min="51" max="51" width="5.6640625" customWidth="1"/>
    <col min="52" max="52" width="12.83203125" customWidth="1"/>
    <col min="53" max="53" width="5.6640625" customWidth="1"/>
    <col min="55" max="55" width="1.83203125" customWidth="1"/>
    <col min="56" max="56" width="6.83203125" customWidth="1"/>
    <col min="57" max="57" width="10.83203125" customWidth="1"/>
    <col min="58" max="58" width="5.6640625" customWidth="1"/>
    <col min="59" max="59" width="12.83203125" customWidth="1"/>
    <col min="60" max="60" width="5.6640625" customWidth="1"/>
    <col min="62" max="62" width="1.83203125" customWidth="1"/>
    <col min="63" max="63" width="6.83203125" customWidth="1"/>
    <col min="64" max="64" width="10.83203125" customWidth="1"/>
    <col min="65" max="65" width="5.6640625" customWidth="1"/>
    <col min="66" max="66" width="12.83203125" customWidth="1"/>
    <col min="67" max="67" width="5.6640625" customWidth="1"/>
    <col min="69" max="69" width="1.83203125" customWidth="1"/>
    <col min="70" max="70" width="6.83203125" customWidth="1"/>
    <col min="71" max="71" width="10.83203125" customWidth="1"/>
    <col min="72" max="72" width="5.6640625" customWidth="1"/>
    <col min="73" max="73" width="12.83203125" customWidth="1"/>
    <col min="74" max="74" width="5.6640625" customWidth="1"/>
    <col min="76" max="76" width="1.83203125" customWidth="1"/>
    <col min="77" max="77" width="6.83203125" customWidth="1"/>
    <col min="78" max="78" width="10.83203125" customWidth="1"/>
    <col min="79" max="79" width="5.6640625" customWidth="1"/>
    <col min="80" max="80" width="12.83203125" customWidth="1"/>
    <col min="81" max="81" width="5.6640625" customWidth="1"/>
    <col min="83" max="83" width="1.83203125" customWidth="1"/>
    <col min="84" max="84" width="6.83203125" customWidth="1"/>
    <col min="85" max="85" width="10.83203125" customWidth="1"/>
    <col min="86" max="86" width="5.6640625" customWidth="1"/>
    <col min="87" max="87" width="12.83203125" customWidth="1"/>
    <col min="88" max="88" width="5.6640625" customWidth="1"/>
    <col min="90" max="90" width="1.83203125" customWidth="1"/>
    <col min="91" max="91" width="6.83203125" customWidth="1"/>
    <col min="92" max="92" width="10.83203125" customWidth="1"/>
    <col min="93" max="93" width="5.6640625" customWidth="1"/>
    <col min="94" max="94" width="12.83203125" customWidth="1"/>
    <col min="95" max="95" width="5.6640625" customWidth="1"/>
    <col min="97" max="97" width="1.83203125" customWidth="1"/>
    <col min="98" max="98" width="6.83203125" customWidth="1"/>
    <col min="99" max="99" width="10.83203125" customWidth="1"/>
    <col min="100" max="100" width="5.6640625" customWidth="1"/>
    <col min="101" max="101" width="12.83203125" customWidth="1"/>
    <col min="102" max="102" width="5.6640625" customWidth="1"/>
    <col min="104" max="104" width="1.83203125" customWidth="1"/>
    <col min="105" max="105" width="6.83203125" customWidth="1"/>
    <col min="106" max="106" width="10.83203125" customWidth="1"/>
    <col min="107" max="107" width="5.6640625" customWidth="1"/>
    <col min="108" max="108" width="12.83203125" customWidth="1"/>
    <col min="109" max="109" width="5.6640625" customWidth="1"/>
    <col min="111" max="111" width="1.83203125" customWidth="1"/>
    <col min="112" max="112" width="6.83203125" customWidth="1"/>
    <col min="113" max="113" width="10.83203125" customWidth="1"/>
    <col min="114" max="114" width="5.6640625" customWidth="1"/>
    <col min="115" max="115" width="12.83203125" customWidth="1"/>
    <col min="116" max="116" width="5.6640625" customWidth="1"/>
    <col min="118" max="118" width="1.83203125" customWidth="1"/>
    <col min="119" max="119" width="6.83203125" customWidth="1"/>
    <col min="120" max="120" width="10.83203125" customWidth="1"/>
    <col min="121" max="121" width="5.6640625" customWidth="1"/>
    <col min="122" max="122" width="12.83203125" customWidth="1"/>
    <col min="123" max="123" width="5.6640625" customWidth="1"/>
    <col min="125" max="125" width="1.83203125" customWidth="1"/>
    <col min="126" max="126" width="6.83203125" customWidth="1"/>
    <col min="127" max="127" width="10.83203125" customWidth="1"/>
    <col min="128" max="128" width="5.6640625" customWidth="1"/>
    <col min="129" max="129" width="12.83203125" customWidth="1"/>
    <col min="130" max="130" width="5.6640625" customWidth="1"/>
    <col min="132" max="132" width="1.83203125" customWidth="1"/>
    <col min="133" max="133" width="6.83203125" customWidth="1"/>
    <col min="134" max="134" width="10.83203125" customWidth="1"/>
    <col min="135" max="135" width="5.6640625" bestFit="1" customWidth="1"/>
    <col min="136" max="136" width="12.83203125" customWidth="1"/>
    <col min="137" max="137" width="5.6640625" bestFit="1" customWidth="1"/>
  </cols>
  <sheetData>
    <row r="1" spans="1:138" ht="15.75" customHeight="1" x14ac:dyDescent="0.4">
      <c r="A1" s="5">
        <v>46225</v>
      </c>
      <c r="B1" s="6" t="s">
        <v>38</v>
      </c>
      <c r="D1" s="6"/>
      <c r="G1" s="7" t="s">
        <v>39</v>
      </c>
      <c r="M1" s="8"/>
    </row>
    <row r="2" spans="1:138" ht="15.75" customHeight="1" x14ac:dyDescent="0.2">
      <c r="I2" s="21" t="s">
        <v>40</v>
      </c>
      <c r="J2" s="22"/>
      <c r="K2" s="22"/>
      <c r="L2" s="22"/>
      <c r="M2" s="8"/>
      <c r="N2" s="21" t="str">
        <f>"KW " &amp; TEXT(_xlfn.ISOWEEKNUM(A1+7),"00") &amp; "/" &amp;
YEAR((A1+7) + 4 - WEEKDAY((A1+7) + 6))</f>
        <v>KW 31/2026</v>
      </c>
      <c r="O2" s="22"/>
      <c r="P2" s="22"/>
      <c r="Q2" s="22"/>
      <c r="R2" s="22"/>
      <c r="S2" s="22"/>
      <c r="U2" s="21" t="str">
        <f>"KW " &amp; TEXT(_xlfn.ISOWEEKNUM(A1+14),"00") &amp; "/" &amp;
YEAR((A1+14) + 4 - WEEKDAY((A1+14) + 6))</f>
        <v>KW 32/2026</v>
      </c>
      <c r="V2" s="22"/>
      <c r="W2" s="22"/>
      <c r="X2" s="22"/>
      <c r="Y2" s="22"/>
      <c r="Z2" s="22"/>
      <c r="AB2" s="21" t="str">
        <f>"KW " &amp; TEXT(_xlfn.ISOWEEKNUM(A1+21),"00") &amp; "/" &amp;
YEAR((A1+21) + 4 - WEEKDAY((A1+21) + 6))</f>
        <v>KW 33/2026</v>
      </c>
      <c r="AC2" s="22"/>
      <c r="AD2" s="22"/>
      <c r="AE2" s="22"/>
      <c r="AF2" s="22"/>
      <c r="AG2" s="22"/>
      <c r="AI2" s="21" t="str">
        <f>"KW " &amp; TEXT(_xlfn.ISOWEEKNUM(A1+28),"00") &amp; "/" &amp;
YEAR((A1+28) + 4 - WEEKDAY((A1+28) + 6))</f>
        <v>KW 34/2026</v>
      </c>
      <c r="AJ2" s="22"/>
      <c r="AK2" s="22"/>
      <c r="AL2" s="22"/>
      <c r="AM2" s="22"/>
      <c r="AN2" s="22"/>
      <c r="AP2" s="21" t="str">
        <f>"KW " &amp; TEXT(_xlfn.ISOWEEKNUM(A1+35),"00") &amp; "/" &amp;
YEAR((A1+35) + 4 - WEEKDAY((A1+35) + 6))</f>
        <v>KW 35/2026</v>
      </c>
      <c r="AQ2" s="22"/>
      <c r="AR2" s="22"/>
      <c r="AS2" s="22"/>
      <c r="AT2" s="22"/>
      <c r="AU2" s="22"/>
      <c r="AW2" s="21" t="str">
        <f>"KW " &amp; TEXT(_xlfn.ISOWEEKNUM(A1+42),"00") &amp; "/" &amp;
YEAR((A1+42) + 4 - WEEKDAY((A1+42) + 6))</f>
        <v>KW 36/2026</v>
      </c>
      <c r="AX2" s="22"/>
      <c r="AY2" s="22"/>
      <c r="AZ2" s="22"/>
      <c r="BA2" s="22"/>
      <c r="BB2" s="22"/>
      <c r="BD2" s="21" t="str">
        <f>"KW " &amp; TEXT(_xlfn.ISOWEEKNUM(A1+49),"00") &amp; "/" &amp;
YEAR((A1+49) + 4 - WEEKDAY((A1+49) + 6))</f>
        <v>KW 37/2026</v>
      </c>
      <c r="BE2" s="22"/>
      <c r="BF2" s="22"/>
      <c r="BG2" s="22"/>
      <c r="BH2" s="22"/>
      <c r="BI2" s="22"/>
      <c r="BK2" s="21" t="str">
        <f>"KW " &amp; TEXT(_xlfn.ISOWEEKNUM(A1+56),"00") &amp; "/" &amp;
YEAR((A1+56) + 4 - WEEKDAY((A1+56) + 6))</f>
        <v>KW 38/2026</v>
      </c>
      <c r="BL2" s="22"/>
      <c r="BM2" s="22"/>
      <c r="BN2" s="22"/>
      <c r="BO2" s="22"/>
      <c r="BP2" s="22"/>
      <c r="BR2" s="21" t="str">
        <f>"KW " &amp; TEXT(_xlfn.ISOWEEKNUM(A1+63),"00") &amp; "/" &amp;
YEAR((A1+63) + 4 - WEEKDAY((A1+63) + 6))</f>
        <v>KW 39/2026</v>
      </c>
      <c r="BS2" s="22"/>
      <c r="BT2" s="22"/>
      <c r="BU2" s="22"/>
      <c r="BV2" s="22"/>
      <c r="BW2" s="22"/>
      <c r="BY2" s="21" t="str">
        <f>"KW " &amp; TEXT(_xlfn.ISOWEEKNUM(A1+70),"00") &amp; "/" &amp;
YEAR((A1+70) + 4 - WEEKDAY((A1+70) + 6))</f>
        <v>KW 40/2026</v>
      </c>
      <c r="BZ2" s="22"/>
      <c r="CA2" s="22"/>
      <c r="CB2" s="22"/>
      <c r="CC2" s="22"/>
      <c r="CD2" s="22"/>
      <c r="CF2" s="21" t="s">
        <v>41</v>
      </c>
      <c r="CG2" s="22"/>
      <c r="CH2" s="22"/>
      <c r="CI2" s="22"/>
      <c r="CJ2" s="22"/>
      <c r="CK2" s="22"/>
      <c r="CM2" s="21" t="str">
        <f>"KW " &amp; TEXT(_xlfn.ISOWEEKNUM(A1+84),"00") &amp; "/" &amp;
YEAR((A1+84) + 4 - WEEKDAY((A1+84) + 6))</f>
        <v>KW 42/2026</v>
      </c>
      <c r="CN2" s="22"/>
      <c r="CO2" s="22"/>
      <c r="CP2" s="22"/>
      <c r="CQ2" s="22"/>
      <c r="CR2" s="22"/>
      <c r="CT2" s="21" t="str">
        <f>"KW " &amp; TEXT(_xlfn.ISOWEEKNUM(A1+91),"00") &amp; "/" &amp;
YEAR((A1+91) + 4 - WEEKDAY((A1+91) + 6))</f>
        <v>KW 43/2026</v>
      </c>
      <c r="CU2" s="22"/>
      <c r="CV2" s="22"/>
      <c r="CW2" s="22"/>
      <c r="CX2" s="22"/>
      <c r="CY2" s="22"/>
      <c r="DA2" s="21" t="str">
        <f>"KW " &amp; TEXT(_xlfn.ISOWEEKNUM(A1+98),"00") &amp; "/" &amp;
YEAR((A1+98) + 4 - WEEKDAY((A1+98) + 6))</f>
        <v>KW 44/2026</v>
      </c>
      <c r="DB2" s="22"/>
      <c r="DC2" s="22"/>
      <c r="DD2" s="22"/>
      <c r="DE2" s="22"/>
      <c r="DF2" s="22"/>
      <c r="DH2" s="21" t="str">
        <f>"KW " &amp; TEXT(_xlfn.ISOWEEKNUM(A1+105),"00") &amp; "/" &amp;
YEAR((A1+105) + 4 - WEEKDAY((A1+105) + 6))</f>
        <v>KW 45/2026</v>
      </c>
      <c r="DI2" s="22"/>
      <c r="DJ2" s="22"/>
      <c r="DK2" s="22"/>
      <c r="DL2" s="22"/>
      <c r="DM2" s="22"/>
      <c r="DO2" s="21" t="str">
        <f>"KW " &amp; TEXT(_xlfn.ISOWEEKNUM(A1+112),"00") &amp; "/" &amp;
YEAR((A1+112) + 4 - WEEKDAY((A1+112) + 6))</f>
        <v>KW 46/2026</v>
      </c>
      <c r="DP2" s="22"/>
      <c r="DQ2" s="22"/>
      <c r="DR2" s="22"/>
      <c r="DS2" s="22"/>
      <c r="DT2" s="22"/>
      <c r="DV2" s="21" t="str">
        <f>"KW " &amp; TEXT(_xlfn.ISOWEEKNUM(A1+119),"00") &amp; "/" &amp;
YEAR((A1+119) + 4 - WEEKDAY((A1+119) + 6))</f>
        <v>KW 47/2026</v>
      </c>
      <c r="DW2" s="22"/>
      <c r="DX2" s="22"/>
      <c r="DY2" s="22"/>
      <c r="DZ2" s="22"/>
      <c r="EA2" s="22"/>
      <c r="EC2" s="21" t="s">
        <v>42</v>
      </c>
      <c r="ED2" s="22"/>
      <c r="EE2" s="22"/>
      <c r="EF2" s="22"/>
      <c r="EG2" s="22"/>
      <c r="EH2" s="22"/>
    </row>
    <row r="3" spans="1:138" ht="15.75" customHeight="1" x14ac:dyDescent="0.2">
      <c r="B3" s="10" t="s">
        <v>43</v>
      </c>
      <c r="C3" s="10" t="s">
        <v>44</v>
      </c>
      <c r="D3" s="10" t="s">
        <v>45</v>
      </c>
      <c r="E3" s="9" t="s">
        <v>46</v>
      </c>
      <c r="F3" s="10" t="s">
        <v>47</v>
      </c>
      <c r="G3" s="10" t="s">
        <v>48</v>
      </c>
      <c r="I3" s="9" t="s">
        <v>49</v>
      </c>
      <c r="J3" s="9" t="s">
        <v>50</v>
      </c>
      <c r="K3" s="9" t="s">
        <v>51</v>
      </c>
      <c r="L3" s="9" t="s">
        <v>52</v>
      </c>
      <c r="M3" s="8"/>
      <c r="N3" s="10" t="s">
        <v>49</v>
      </c>
      <c r="O3" s="10" t="s">
        <v>50</v>
      </c>
      <c r="P3" s="10" t="s">
        <v>53</v>
      </c>
      <c r="Q3" s="10" t="s">
        <v>51</v>
      </c>
      <c r="R3" s="10" t="s">
        <v>53</v>
      </c>
      <c r="S3" s="10" t="s">
        <v>52</v>
      </c>
      <c r="U3" s="10" t="s">
        <v>49</v>
      </c>
      <c r="V3" s="10" t="s">
        <v>50</v>
      </c>
      <c r="W3" s="10" t="s">
        <v>53</v>
      </c>
      <c r="X3" s="10" t="s">
        <v>51</v>
      </c>
      <c r="Y3" s="10" t="s">
        <v>53</v>
      </c>
      <c r="Z3" s="10" t="s">
        <v>52</v>
      </c>
      <c r="AB3" s="10" t="s">
        <v>49</v>
      </c>
      <c r="AC3" s="10" t="s">
        <v>50</v>
      </c>
      <c r="AD3" s="10" t="s">
        <v>53</v>
      </c>
      <c r="AE3" s="10" t="s">
        <v>51</v>
      </c>
      <c r="AF3" s="10" t="s">
        <v>53</v>
      </c>
      <c r="AG3" s="10" t="s">
        <v>52</v>
      </c>
      <c r="AI3" s="10" t="s">
        <v>49</v>
      </c>
      <c r="AJ3" s="10" t="s">
        <v>50</v>
      </c>
      <c r="AK3" s="10" t="s">
        <v>53</v>
      </c>
      <c r="AL3" s="10" t="s">
        <v>51</v>
      </c>
      <c r="AM3" s="10" t="s">
        <v>53</v>
      </c>
      <c r="AN3" s="10" t="s">
        <v>52</v>
      </c>
      <c r="AP3" s="10" t="s">
        <v>49</v>
      </c>
      <c r="AQ3" s="10" t="s">
        <v>50</v>
      </c>
      <c r="AR3" s="10" t="s">
        <v>53</v>
      </c>
      <c r="AS3" s="10" t="s">
        <v>51</v>
      </c>
      <c r="AT3" s="10" t="s">
        <v>53</v>
      </c>
      <c r="AU3" s="10" t="s">
        <v>52</v>
      </c>
      <c r="AW3" s="10" t="s">
        <v>49</v>
      </c>
      <c r="AX3" s="10" t="s">
        <v>50</v>
      </c>
      <c r="AY3" s="10" t="s">
        <v>53</v>
      </c>
      <c r="AZ3" s="10" t="s">
        <v>51</v>
      </c>
      <c r="BA3" s="10" t="s">
        <v>53</v>
      </c>
      <c r="BB3" s="10" t="s">
        <v>52</v>
      </c>
      <c r="BD3" s="10" t="s">
        <v>49</v>
      </c>
      <c r="BE3" s="10" t="s">
        <v>50</v>
      </c>
      <c r="BF3" s="10" t="s">
        <v>53</v>
      </c>
      <c r="BG3" s="10" t="s">
        <v>51</v>
      </c>
      <c r="BH3" s="10" t="s">
        <v>53</v>
      </c>
      <c r="BI3" s="10" t="s">
        <v>52</v>
      </c>
      <c r="BK3" s="10" t="s">
        <v>49</v>
      </c>
      <c r="BL3" s="10" t="s">
        <v>50</v>
      </c>
      <c r="BM3" s="10" t="s">
        <v>53</v>
      </c>
      <c r="BN3" s="10" t="s">
        <v>51</v>
      </c>
      <c r="BO3" s="10" t="s">
        <v>53</v>
      </c>
      <c r="BP3" s="10" t="s">
        <v>52</v>
      </c>
      <c r="BR3" s="10" t="s">
        <v>49</v>
      </c>
      <c r="BS3" s="10" t="s">
        <v>50</v>
      </c>
      <c r="BT3" s="10" t="s">
        <v>53</v>
      </c>
      <c r="BU3" s="10" t="s">
        <v>51</v>
      </c>
      <c r="BV3" s="10" t="s">
        <v>53</v>
      </c>
      <c r="BW3" s="10" t="s">
        <v>52</v>
      </c>
      <c r="BY3" s="10" t="s">
        <v>49</v>
      </c>
      <c r="BZ3" s="10" t="s">
        <v>50</v>
      </c>
      <c r="CA3" s="10" t="s">
        <v>53</v>
      </c>
      <c r="CB3" s="10" t="s">
        <v>51</v>
      </c>
      <c r="CC3" s="10" t="s">
        <v>53</v>
      </c>
      <c r="CD3" s="10" t="s">
        <v>52</v>
      </c>
      <c r="CF3" s="10" t="s">
        <v>49</v>
      </c>
      <c r="CG3" s="10" t="s">
        <v>50</v>
      </c>
      <c r="CH3" s="10" t="s">
        <v>53</v>
      </c>
      <c r="CI3" s="10" t="s">
        <v>51</v>
      </c>
      <c r="CJ3" s="10" t="s">
        <v>53</v>
      </c>
      <c r="CK3" s="10" t="s">
        <v>52</v>
      </c>
      <c r="CM3" s="10" t="s">
        <v>49</v>
      </c>
      <c r="CN3" s="10" t="s">
        <v>50</v>
      </c>
      <c r="CO3" s="10" t="s">
        <v>53</v>
      </c>
      <c r="CP3" s="10" t="s">
        <v>51</v>
      </c>
      <c r="CQ3" s="10" t="s">
        <v>53</v>
      </c>
      <c r="CR3" s="10" t="s">
        <v>52</v>
      </c>
      <c r="CT3" s="10" t="s">
        <v>49</v>
      </c>
      <c r="CU3" s="10" t="s">
        <v>50</v>
      </c>
      <c r="CV3" s="10" t="s">
        <v>53</v>
      </c>
      <c r="CW3" s="10" t="s">
        <v>51</v>
      </c>
      <c r="CX3" s="10" t="s">
        <v>53</v>
      </c>
      <c r="CY3" s="10" t="s">
        <v>52</v>
      </c>
      <c r="DA3" s="10" t="s">
        <v>49</v>
      </c>
      <c r="DB3" s="10" t="s">
        <v>50</v>
      </c>
      <c r="DC3" s="10" t="s">
        <v>53</v>
      </c>
      <c r="DD3" s="10" t="s">
        <v>51</v>
      </c>
      <c r="DE3" s="10" t="s">
        <v>53</v>
      </c>
      <c r="DF3" s="10" t="s">
        <v>52</v>
      </c>
      <c r="DH3" s="10" t="s">
        <v>49</v>
      </c>
      <c r="DI3" s="10" t="s">
        <v>50</v>
      </c>
      <c r="DJ3" s="10" t="s">
        <v>53</v>
      </c>
      <c r="DK3" s="10" t="s">
        <v>51</v>
      </c>
      <c r="DL3" s="10" t="s">
        <v>53</v>
      </c>
      <c r="DM3" s="10" t="s">
        <v>52</v>
      </c>
      <c r="DO3" s="10" t="s">
        <v>49</v>
      </c>
      <c r="DP3" s="10" t="s">
        <v>50</v>
      </c>
      <c r="DQ3" s="10" t="s">
        <v>53</v>
      </c>
      <c r="DR3" s="10" t="s">
        <v>51</v>
      </c>
      <c r="DS3" s="10" t="s">
        <v>53</v>
      </c>
      <c r="DT3" s="10" t="s">
        <v>52</v>
      </c>
      <c r="DV3" s="10" t="s">
        <v>49</v>
      </c>
      <c r="DW3" s="10" t="s">
        <v>50</v>
      </c>
      <c r="DX3" s="10" t="s">
        <v>53</v>
      </c>
      <c r="DY3" s="10" t="s">
        <v>51</v>
      </c>
      <c r="DZ3" s="10" t="s">
        <v>53</v>
      </c>
      <c r="EA3" s="10" t="s">
        <v>52</v>
      </c>
      <c r="EC3" s="10" t="s">
        <v>49</v>
      </c>
      <c r="ED3" s="10" t="s">
        <v>50</v>
      </c>
      <c r="EE3" s="10" t="s">
        <v>53</v>
      </c>
      <c r="EF3" s="10" t="s">
        <v>51</v>
      </c>
      <c r="EG3" s="10" t="s">
        <v>53</v>
      </c>
      <c r="EH3" s="10" t="s">
        <v>52</v>
      </c>
    </row>
    <row r="4" spans="1:138" ht="15.75" customHeight="1" x14ac:dyDescent="0.2">
      <c r="B4" t="s">
        <v>40</v>
      </c>
      <c r="C4" t="s">
        <v>54</v>
      </c>
      <c r="D4" s="3" t="s">
        <v>55</v>
      </c>
      <c r="E4" s="11">
        <v>4</v>
      </c>
      <c r="G4" s="12">
        <f>+SUM(G5:G24)</f>
        <v>1.0000000000000002</v>
      </c>
      <c r="I4" s="13">
        <f>+SUM(I5:I24)</f>
        <v>0</v>
      </c>
      <c r="J4" s="14">
        <f>+SUMPRODUCT(G5:G24,J5:J24)</f>
        <v>0</v>
      </c>
      <c r="K4" s="14">
        <f>+SUMPRODUCT(G5:G24,K5:K24)</f>
        <v>0</v>
      </c>
      <c r="L4" s="11"/>
      <c r="M4" s="8"/>
      <c r="N4" s="13">
        <f>+SUM(N5:N24)</f>
        <v>0</v>
      </c>
      <c r="U4" s="13">
        <f>+SUM(U5:U24)</f>
        <v>0</v>
      </c>
      <c r="AB4" s="13">
        <f>+SUM(AB5:AB24)</f>
        <v>0</v>
      </c>
      <c r="AI4" s="13">
        <f>+SUM(AI5:AI24)</f>
        <v>0</v>
      </c>
      <c r="AP4" s="13">
        <f>+SUM(AP5:AP24)</f>
        <v>0</v>
      </c>
      <c r="AW4" s="13">
        <f>+SUM(AW5:AW24)</f>
        <v>0</v>
      </c>
      <c r="AX4" s="13"/>
      <c r="BD4" s="13">
        <f>+SUM(BD5:BD24)</f>
        <v>0</v>
      </c>
      <c r="BK4" s="13">
        <f>+SUM(BK5:BK24)</f>
        <v>0</v>
      </c>
      <c r="BR4" s="13">
        <f>+SUM(BR5:BR24)</f>
        <v>0</v>
      </c>
      <c r="BY4" s="13">
        <f>+SUM(BY5:BY24)</f>
        <v>0</v>
      </c>
      <c r="CF4" s="13">
        <f>+SUM(CF5:CF24)</f>
        <v>0</v>
      </c>
      <c r="CM4" s="13">
        <f>+SUM(CM5:CM24)</f>
        <v>0</v>
      </c>
      <c r="CT4" s="13">
        <f>+SUM(CT5:CT24)</f>
        <v>0</v>
      </c>
      <c r="DA4" s="13">
        <f>+SUM(DA5:DA24)</f>
        <v>0</v>
      </c>
      <c r="DH4" s="13">
        <f>+SUM(DH5:DH24)</f>
        <v>0</v>
      </c>
      <c r="DO4" s="13">
        <f>+SUM(DO5:DO24)</f>
        <v>0</v>
      </c>
      <c r="DV4" s="13">
        <f>+SUM(DV5:DV24)</f>
        <v>0</v>
      </c>
      <c r="EC4" s="13">
        <f>+SUM(EC5:EC24)</f>
        <v>0</v>
      </c>
    </row>
    <row r="5" spans="1:138" ht="15.75" customHeight="1" outlineLevel="1" x14ac:dyDescent="0.2">
      <c r="B5" t="s">
        <v>56</v>
      </c>
      <c r="C5" t="str">
        <f>C4</f>
        <v>Beschaffung, Logistik &amp; Produktion</v>
      </c>
      <c r="E5" s="11"/>
      <c r="F5" s="3" t="s">
        <v>57</v>
      </c>
      <c r="G5" s="12">
        <f>1/20</f>
        <v>0.05</v>
      </c>
      <c r="I5" s="11">
        <f t="shared" ref="I5:I24" si="0">+SUMIF($N$3:$ABB$3,I$3,$N5:$ABB5)</f>
        <v>0</v>
      </c>
      <c r="J5" s="14">
        <f t="array" ref="J5">MAX(IF($N$3:$FJ$3=$J$3,N5:FJ5))</f>
        <v>0</v>
      </c>
      <c r="K5" s="14">
        <f t="array" ref="K5">MAX(IF($N$3:$FJ$3=$K$3,N5:FJ5))</f>
        <v>0</v>
      </c>
      <c r="L5" s="11"/>
      <c r="M5" s="8"/>
      <c r="O5" s="12"/>
      <c r="P5" s="12">
        <v>0.5</v>
      </c>
      <c r="Q5" s="12"/>
      <c r="R5" s="12">
        <v>0.5</v>
      </c>
      <c r="S5" s="12"/>
      <c r="V5" s="12"/>
      <c r="W5" s="12">
        <v>0.5</v>
      </c>
      <c r="X5" s="12"/>
      <c r="Y5" s="12">
        <v>0.5</v>
      </c>
      <c r="AC5" s="12"/>
      <c r="AD5" s="12">
        <v>0.8</v>
      </c>
      <c r="AE5" s="12"/>
      <c r="AF5" s="12">
        <v>0.8</v>
      </c>
      <c r="AJ5" s="12"/>
      <c r="AK5" s="12">
        <v>0.8</v>
      </c>
      <c r="AL5" s="12"/>
      <c r="AM5" s="12">
        <v>0.8</v>
      </c>
      <c r="AQ5" s="12"/>
      <c r="AR5" s="12">
        <v>1</v>
      </c>
      <c r="AS5" s="12"/>
      <c r="AT5" s="12">
        <v>1</v>
      </c>
      <c r="AX5" s="12"/>
      <c r="AY5" s="12">
        <v>1</v>
      </c>
      <c r="AZ5" s="12"/>
      <c r="BA5" s="12">
        <v>1</v>
      </c>
      <c r="BE5" s="12"/>
      <c r="BF5" s="12">
        <v>1</v>
      </c>
      <c r="BG5" s="12"/>
      <c r="BH5" s="12">
        <v>1</v>
      </c>
      <c r="BL5" s="12"/>
      <c r="BM5" s="12">
        <v>1</v>
      </c>
      <c r="BN5" s="12"/>
      <c r="BO5" s="12">
        <v>1</v>
      </c>
      <c r="BS5" s="12"/>
      <c r="BT5" s="12">
        <v>1</v>
      </c>
      <c r="BU5" s="12"/>
      <c r="BV5" s="12">
        <v>1</v>
      </c>
      <c r="BZ5" s="12"/>
      <c r="CA5" s="12">
        <v>1</v>
      </c>
      <c r="CB5" s="12"/>
      <c r="CC5" s="12">
        <v>1</v>
      </c>
      <c r="CG5" s="12"/>
      <c r="CH5" s="12">
        <v>1</v>
      </c>
      <c r="CI5" s="12"/>
      <c r="CJ5" s="12">
        <v>1</v>
      </c>
      <c r="CN5" s="12"/>
      <c r="CO5" s="12"/>
      <c r="CP5" s="12"/>
      <c r="CQ5" s="12"/>
      <c r="CU5" s="12"/>
      <c r="CV5" s="12"/>
      <c r="CW5" s="12"/>
      <c r="CX5" s="12"/>
      <c r="DB5" s="12"/>
      <c r="DC5" s="12"/>
      <c r="DD5" s="12"/>
      <c r="DE5" s="12"/>
      <c r="DI5" s="12"/>
      <c r="DJ5" s="12"/>
      <c r="DK5" s="12"/>
      <c r="DL5" s="12"/>
      <c r="DP5" s="12"/>
      <c r="DQ5" s="12"/>
      <c r="DR5" s="12"/>
      <c r="DS5" s="12"/>
      <c r="DW5" s="12"/>
      <c r="DX5" s="12"/>
      <c r="DY5" s="12"/>
      <c r="DZ5" s="12"/>
      <c r="ED5" s="12"/>
      <c r="EE5" s="12"/>
      <c r="EF5" s="12"/>
      <c r="EG5" s="12"/>
    </row>
    <row r="6" spans="1:138" ht="15.75" customHeight="1" outlineLevel="1" x14ac:dyDescent="0.2">
      <c r="B6" t="s">
        <v>56</v>
      </c>
      <c r="C6" t="str">
        <f>C4</f>
        <v>Beschaffung, Logistik &amp; Produktion</v>
      </c>
      <c r="E6" s="11"/>
      <c r="F6" s="3" t="s">
        <v>58</v>
      </c>
      <c r="G6" s="12">
        <f>G5</f>
        <v>0.05</v>
      </c>
      <c r="I6" s="11">
        <f t="shared" si="0"/>
        <v>0</v>
      </c>
      <c r="J6" s="14">
        <f t="array" ref="J6">MAX(IF($N$3:$FJ$3=$J$3,N6:FJ6))</f>
        <v>0</v>
      </c>
      <c r="K6" s="14">
        <f t="array" ref="K6">MAX(IF($N$3:$FJ$3=$K$3,N6:FJ6))</f>
        <v>0</v>
      </c>
      <c r="L6" s="11"/>
      <c r="M6" s="8"/>
      <c r="O6" s="12"/>
      <c r="P6" s="12">
        <v>0.5</v>
      </c>
      <c r="Q6" s="12"/>
      <c r="R6" s="12">
        <v>0.5</v>
      </c>
      <c r="V6" s="12"/>
      <c r="W6" s="12">
        <v>0.5</v>
      </c>
      <c r="X6" s="12"/>
      <c r="Y6" s="12">
        <v>0.5</v>
      </c>
      <c r="AC6" s="12"/>
      <c r="AD6" s="12">
        <v>0.8</v>
      </c>
      <c r="AE6" s="12"/>
      <c r="AF6" s="12">
        <v>0.8</v>
      </c>
      <c r="AJ6" s="12"/>
      <c r="AK6" s="12">
        <v>0.8</v>
      </c>
      <c r="AL6" s="12"/>
      <c r="AM6" s="12">
        <v>0.8</v>
      </c>
      <c r="AQ6" s="12"/>
      <c r="AR6" s="12">
        <v>1</v>
      </c>
      <c r="AS6" s="12"/>
      <c r="AT6" s="12">
        <v>1</v>
      </c>
      <c r="AX6" s="12"/>
      <c r="AY6" s="12">
        <v>1</v>
      </c>
      <c r="AZ6" s="12"/>
      <c r="BA6" s="12">
        <v>1</v>
      </c>
      <c r="BE6" s="12"/>
      <c r="BF6" s="12">
        <v>1</v>
      </c>
      <c r="BG6" s="12"/>
      <c r="BH6" s="12">
        <v>1</v>
      </c>
      <c r="BL6" s="12"/>
      <c r="BM6" s="12">
        <v>1</v>
      </c>
      <c r="BN6" s="12"/>
      <c r="BO6" s="12">
        <v>1</v>
      </c>
      <c r="BS6" s="12"/>
      <c r="BT6" s="12">
        <v>1</v>
      </c>
      <c r="BU6" s="12"/>
      <c r="BV6" s="12">
        <v>1</v>
      </c>
      <c r="BZ6" s="12"/>
      <c r="CA6" s="12">
        <v>1</v>
      </c>
      <c r="CB6" s="12"/>
      <c r="CC6" s="12">
        <v>1</v>
      </c>
      <c r="CG6" s="12"/>
      <c r="CH6" s="12">
        <v>1</v>
      </c>
      <c r="CI6" s="12"/>
      <c r="CJ6" s="12">
        <v>1</v>
      </c>
      <c r="CN6" s="12"/>
      <c r="CO6" s="12"/>
      <c r="CP6" s="12"/>
      <c r="CQ6" s="12"/>
      <c r="CU6" s="12"/>
      <c r="CV6" s="12"/>
      <c r="CW6" s="12"/>
      <c r="CX6" s="12"/>
      <c r="DB6" s="12"/>
      <c r="DC6" s="12"/>
      <c r="DD6" s="12"/>
      <c r="DE6" s="12"/>
      <c r="DI6" s="12"/>
      <c r="DJ6" s="12"/>
      <c r="DK6" s="12"/>
      <c r="DL6" s="12"/>
      <c r="DP6" s="12"/>
      <c r="DQ6" s="12"/>
      <c r="DR6" s="12"/>
      <c r="DS6" s="12"/>
      <c r="DW6" s="12"/>
      <c r="DX6" s="12"/>
      <c r="DY6" s="12"/>
      <c r="DZ6" s="12"/>
      <c r="ED6" s="12"/>
      <c r="EE6" s="12"/>
      <c r="EF6" s="12"/>
      <c r="EG6" s="12"/>
    </row>
    <row r="7" spans="1:138" ht="15.75" customHeight="1" outlineLevel="1" x14ac:dyDescent="0.2">
      <c r="B7" t="s">
        <v>56</v>
      </c>
      <c r="C7" t="str">
        <f>C6</f>
        <v>Beschaffung, Logistik &amp; Produktion</v>
      </c>
      <c r="E7" s="11"/>
      <c r="F7" s="3" t="s">
        <v>59</v>
      </c>
      <c r="G7" s="12">
        <f>G5</f>
        <v>0.05</v>
      </c>
      <c r="I7" s="11">
        <f t="shared" si="0"/>
        <v>0</v>
      </c>
      <c r="J7" s="14">
        <f t="array" ref="J7">MAX(IF($N$3:$FJ$3=$J$3,N7:FJ7))</f>
        <v>0</v>
      </c>
      <c r="K7" s="14">
        <f t="array" ref="K7">MAX(IF($N$3:$FJ$3=$K$3,N7:FJ7))</f>
        <v>0</v>
      </c>
      <c r="L7" s="11"/>
      <c r="M7" s="8"/>
      <c r="O7" s="12"/>
      <c r="P7" s="12">
        <v>0.5</v>
      </c>
      <c r="Q7" s="12"/>
      <c r="R7" s="12">
        <v>0.5</v>
      </c>
      <c r="V7" s="12"/>
      <c r="W7" s="12">
        <v>0.5</v>
      </c>
      <c r="X7" s="12"/>
      <c r="Y7" s="12">
        <v>0.5</v>
      </c>
      <c r="AC7" s="12"/>
      <c r="AD7" s="12">
        <v>0.8</v>
      </c>
      <c r="AE7" s="12"/>
      <c r="AF7" s="12">
        <v>0.8</v>
      </c>
      <c r="AJ7" s="12"/>
      <c r="AK7" s="12">
        <v>0.8</v>
      </c>
      <c r="AL7" s="12"/>
      <c r="AM7" s="12">
        <v>0.8</v>
      </c>
      <c r="AQ7" s="12"/>
      <c r="AR7" s="12">
        <v>1</v>
      </c>
      <c r="AS7" s="12"/>
      <c r="AT7" s="12">
        <v>1</v>
      </c>
      <c r="AX7" s="12"/>
      <c r="AY7" s="12">
        <v>1</v>
      </c>
      <c r="AZ7" s="12"/>
      <c r="BA7" s="12">
        <v>1</v>
      </c>
      <c r="BE7" s="12"/>
      <c r="BF7" s="12">
        <v>1</v>
      </c>
      <c r="BG7" s="12"/>
      <c r="BH7" s="12">
        <v>1</v>
      </c>
      <c r="BL7" s="12"/>
      <c r="BM7" s="12">
        <v>1</v>
      </c>
      <c r="BN7" s="12"/>
      <c r="BO7" s="12">
        <v>1</v>
      </c>
      <c r="BS7" s="12"/>
      <c r="BT7" s="12">
        <v>1</v>
      </c>
      <c r="BU7" s="12"/>
      <c r="BV7" s="12">
        <v>1</v>
      </c>
      <c r="BZ7" s="12"/>
      <c r="CA7" s="12">
        <v>1</v>
      </c>
      <c r="CB7" s="12"/>
      <c r="CC7" s="12">
        <v>1</v>
      </c>
      <c r="CG7" s="12"/>
      <c r="CH7" s="12">
        <v>1</v>
      </c>
      <c r="CI7" s="12"/>
      <c r="CJ7" s="12">
        <v>1</v>
      </c>
      <c r="CN7" s="12"/>
      <c r="CO7" s="12"/>
      <c r="CP7" s="12"/>
      <c r="CQ7" s="12"/>
      <c r="CU7" s="12"/>
      <c r="CV7" s="12"/>
      <c r="CW7" s="12"/>
      <c r="CX7" s="12"/>
      <c r="DB7" s="12"/>
      <c r="DC7" s="12"/>
      <c r="DD7" s="12"/>
      <c r="DE7" s="12"/>
      <c r="DI7" s="12"/>
      <c r="DJ7" s="12"/>
      <c r="DK7" s="12"/>
      <c r="DL7" s="12"/>
      <c r="DP7" s="12"/>
      <c r="DQ7" s="12"/>
      <c r="DR7" s="12"/>
      <c r="DS7" s="12"/>
      <c r="DW7" s="12"/>
      <c r="DX7" s="12"/>
      <c r="DY7" s="12"/>
      <c r="DZ7" s="12"/>
      <c r="ED7" s="12"/>
      <c r="EE7" s="12"/>
      <c r="EF7" s="12"/>
      <c r="EG7" s="12"/>
    </row>
    <row r="8" spans="1:138" ht="15.75" customHeight="1" outlineLevel="1" x14ac:dyDescent="0.2">
      <c r="B8" t="s">
        <v>56</v>
      </c>
      <c r="C8" t="str">
        <f>C6</f>
        <v>Beschaffung, Logistik &amp; Produktion</v>
      </c>
      <c r="E8" s="11"/>
      <c r="F8" s="3" t="s">
        <v>60</v>
      </c>
      <c r="G8" s="12">
        <f>G5</f>
        <v>0.05</v>
      </c>
      <c r="I8" s="11">
        <f t="shared" si="0"/>
        <v>0</v>
      </c>
      <c r="J8" s="14">
        <f t="array" ref="J8">MAX(IF($N$3:$FJ$3=$J$3,N8:FJ8))</f>
        <v>0</v>
      </c>
      <c r="K8" s="14">
        <f t="array" ref="K8">MAX(IF($N$3:$FJ$3=$K$3,N8:FJ8))</f>
        <v>0</v>
      </c>
      <c r="L8" s="11"/>
      <c r="M8" s="8"/>
      <c r="O8" s="12"/>
      <c r="P8" s="12">
        <v>0.5</v>
      </c>
      <c r="Q8" s="12"/>
      <c r="R8" s="12">
        <v>0.5</v>
      </c>
      <c r="V8" s="12"/>
      <c r="W8" s="12">
        <v>0.5</v>
      </c>
      <c r="X8" s="12"/>
      <c r="Y8" s="12">
        <v>0.5</v>
      </c>
      <c r="AC8" s="12"/>
      <c r="AD8" s="12">
        <v>0.8</v>
      </c>
      <c r="AE8" s="12"/>
      <c r="AF8" s="12">
        <v>0.8</v>
      </c>
      <c r="AJ8" s="12"/>
      <c r="AK8" s="12">
        <v>0.8</v>
      </c>
      <c r="AL8" s="12"/>
      <c r="AM8" s="12">
        <v>0.8</v>
      </c>
      <c r="AQ8" s="12"/>
      <c r="AR8" s="12">
        <v>1</v>
      </c>
      <c r="AS8" s="12"/>
      <c r="AT8" s="12">
        <v>1</v>
      </c>
      <c r="AX8" s="12"/>
      <c r="AY8" s="12">
        <v>1</v>
      </c>
      <c r="AZ8" s="12"/>
      <c r="BA8" s="12">
        <v>1</v>
      </c>
      <c r="BE8" s="12"/>
      <c r="BF8" s="12">
        <v>1</v>
      </c>
      <c r="BG8" s="12"/>
      <c r="BH8" s="12">
        <v>1</v>
      </c>
      <c r="BL8" s="12"/>
      <c r="BM8" s="12">
        <v>1</v>
      </c>
      <c r="BN8" s="12"/>
      <c r="BO8" s="12">
        <v>1</v>
      </c>
      <c r="BS8" s="12"/>
      <c r="BT8" s="12">
        <v>1</v>
      </c>
      <c r="BU8" s="12"/>
      <c r="BV8" s="12">
        <v>1</v>
      </c>
      <c r="BZ8" s="12"/>
      <c r="CA8" s="12">
        <v>1</v>
      </c>
      <c r="CB8" s="12"/>
      <c r="CC8" s="12">
        <v>1</v>
      </c>
      <c r="CG8" s="12"/>
      <c r="CH8" s="12">
        <v>1</v>
      </c>
      <c r="CI8" s="12"/>
      <c r="CJ8" s="12">
        <v>1</v>
      </c>
      <c r="CN8" s="12"/>
      <c r="CO8" s="12"/>
      <c r="CP8" s="12"/>
      <c r="CQ8" s="12"/>
      <c r="CU8" s="12"/>
      <c r="CV8" s="12"/>
      <c r="CW8" s="12"/>
      <c r="CX8" s="12"/>
      <c r="DB8" s="12"/>
      <c r="DC8" s="12"/>
      <c r="DD8" s="12"/>
      <c r="DE8" s="12"/>
      <c r="DI8" s="12"/>
      <c r="DJ8" s="12"/>
      <c r="DK8" s="12"/>
      <c r="DL8" s="12"/>
      <c r="DP8" s="12"/>
      <c r="DQ8" s="12"/>
      <c r="DR8" s="12"/>
      <c r="DS8" s="12"/>
      <c r="DW8" s="12"/>
      <c r="DX8" s="12"/>
      <c r="DY8" s="12"/>
      <c r="DZ8" s="12"/>
      <c r="ED8" s="12"/>
      <c r="EE8" s="12"/>
      <c r="EF8" s="12"/>
      <c r="EG8" s="12"/>
    </row>
    <row r="9" spans="1:138" ht="15.75" customHeight="1" outlineLevel="1" x14ac:dyDescent="0.2">
      <c r="B9" t="s">
        <v>56</v>
      </c>
      <c r="C9" t="str">
        <f>C8</f>
        <v>Beschaffung, Logistik &amp; Produktion</v>
      </c>
      <c r="E9" s="11"/>
      <c r="F9" s="3" t="s">
        <v>61</v>
      </c>
      <c r="G9" s="12">
        <f>G5</f>
        <v>0.05</v>
      </c>
      <c r="I9" s="11">
        <f t="shared" si="0"/>
        <v>0</v>
      </c>
      <c r="J9" s="14">
        <f t="array" ref="J9">MAX(IF($N$3:$FJ$3=$J$3,N9:FJ9))</f>
        <v>0</v>
      </c>
      <c r="K9" s="14">
        <f t="array" ref="K9">MAX(IF($N$3:$FJ$3=$K$3,N9:FJ9))</f>
        <v>0</v>
      </c>
      <c r="L9" s="11"/>
      <c r="M9" s="8"/>
      <c r="O9" s="12"/>
      <c r="P9" s="12">
        <v>0.5</v>
      </c>
      <c r="Q9" s="12"/>
      <c r="R9" s="12">
        <v>0.5</v>
      </c>
      <c r="V9" s="12"/>
      <c r="W9" s="12">
        <v>0.5</v>
      </c>
      <c r="X9" s="12"/>
      <c r="Y9" s="12">
        <v>0.5</v>
      </c>
      <c r="AC9" s="12"/>
      <c r="AD9" s="12">
        <v>0.8</v>
      </c>
      <c r="AE9" s="12"/>
      <c r="AF9" s="12">
        <v>0.8</v>
      </c>
      <c r="AJ9" s="12"/>
      <c r="AK9" s="12">
        <v>0.8</v>
      </c>
      <c r="AL9" s="12"/>
      <c r="AM9" s="12">
        <v>0.8</v>
      </c>
      <c r="AQ9" s="12"/>
      <c r="AR9" s="12">
        <v>1</v>
      </c>
      <c r="AS9" s="12"/>
      <c r="AT9" s="12">
        <v>1</v>
      </c>
      <c r="AX9" s="12"/>
      <c r="AY9" s="12">
        <v>1</v>
      </c>
      <c r="AZ9" s="12"/>
      <c r="BA9" s="12">
        <v>1</v>
      </c>
      <c r="BE9" s="12"/>
      <c r="BF9" s="12">
        <v>1</v>
      </c>
      <c r="BG9" s="12"/>
      <c r="BH9" s="12">
        <v>1</v>
      </c>
      <c r="BL9" s="12"/>
      <c r="BM9" s="12">
        <v>1</v>
      </c>
      <c r="BN9" s="12"/>
      <c r="BO9" s="12">
        <v>1</v>
      </c>
      <c r="BS9" s="12"/>
      <c r="BT9" s="12">
        <v>1</v>
      </c>
      <c r="BU9" s="12"/>
      <c r="BV9" s="12">
        <v>1</v>
      </c>
      <c r="BZ9" s="12"/>
      <c r="CA9" s="12">
        <v>1</v>
      </c>
      <c r="CB9" s="12"/>
      <c r="CC9" s="12">
        <v>1</v>
      </c>
      <c r="CG9" s="12"/>
      <c r="CH9" s="12">
        <v>1</v>
      </c>
      <c r="CI9" s="12"/>
      <c r="CJ9" s="12">
        <v>1</v>
      </c>
      <c r="CN9" s="12"/>
      <c r="CO9" s="12"/>
      <c r="CP9" s="12"/>
      <c r="CQ9" s="12"/>
      <c r="CU9" s="12"/>
      <c r="CV9" s="12"/>
      <c r="CW9" s="12"/>
      <c r="CX9" s="12"/>
      <c r="DB9" s="12"/>
      <c r="DC9" s="12"/>
      <c r="DD9" s="12"/>
      <c r="DE9" s="12"/>
      <c r="DI9" s="12"/>
      <c r="DJ9" s="12"/>
      <c r="DK9" s="12"/>
      <c r="DL9" s="12"/>
      <c r="DP9" s="12"/>
      <c r="DQ9" s="12"/>
      <c r="DR9" s="12"/>
      <c r="DS9" s="12"/>
      <c r="DW9" s="12"/>
      <c r="DX9" s="12"/>
      <c r="DY9" s="12"/>
      <c r="DZ9" s="12"/>
      <c r="ED9" s="12"/>
      <c r="EE9" s="12"/>
      <c r="EF9" s="12"/>
      <c r="EG9" s="12"/>
    </row>
    <row r="10" spans="1:138" ht="15.75" customHeight="1" outlineLevel="1" x14ac:dyDescent="0.2">
      <c r="B10" t="s">
        <v>56</v>
      </c>
      <c r="C10" t="str">
        <f>C8</f>
        <v>Beschaffung, Logistik &amp; Produktion</v>
      </c>
      <c r="E10" s="11"/>
      <c r="F10" s="3" t="s">
        <v>62</v>
      </c>
      <c r="G10" s="12">
        <f>G5</f>
        <v>0.05</v>
      </c>
      <c r="I10" s="11">
        <f t="shared" si="0"/>
        <v>0</v>
      </c>
      <c r="J10" s="14">
        <f t="array" ref="J10">MAX(IF($N$3:$FJ$3=$J$3,N10:FJ10))</f>
        <v>0</v>
      </c>
      <c r="K10" s="14">
        <f t="array" ref="K10">MAX(IF($N$3:$FJ$3=$K$3,N10:FJ10))</f>
        <v>0</v>
      </c>
      <c r="L10" s="11"/>
      <c r="M10" s="8"/>
      <c r="O10" s="12"/>
      <c r="P10" s="12">
        <v>0.5</v>
      </c>
      <c r="Q10" s="12"/>
      <c r="R10" s="12">
        <v>0.5</v>
      </c>
      <c r="V10" s="12"/>
      <c r="W10" s="12">
        <v>0.5</v>
      </c>
      <c r="X10" s="12"/>
      <c r="Y10" s="12">
        <v>0.5</v>
      </c>
      <c r="AC10" s="12"/>
      <c r="AD10" s="12">
        <v>0.8</v>
      </c>
      <c r="AE10" s="12"/>
      <c r="AF10" s="12">
        <v>0.8</v>
      </c>
      <c r="AJ10" s="12"/>
      <c r="AK10" s="12">
        <v>0.8</v>
      </c>
      <c r="AL10" s="12"/>
      <c r="AM10" s="12">
        <v>0.8</v>
      </c>
      <c r="AQ10" s="12"/>
      <c r="AR10" s="12">
        <v>1</v>
      </c>
      <c r="AS10" s="12"/>
      <c r="AT10" s="12">
        <v>1</v>
      </c>
      <c r="AX10" s="12"/>
      <c r="AY10" s="12">
        <v>1</v>
      </c>
      <c r="AZ10" s="12"/>
      <c r="BA10" s="12">
        <v>1</v>
      </c>
      <c r="BE10" s="12"/>
      <c r="BF10" s="12">
        <v>1</v>
      </c>
      <c r="BG10" s="12"/>
      <c r="BH10" s="12">
        <v>1</v>
      </c>
      <c r="BL10" s="12"/>
      <c r="BM10" s="12">
        <v>1</v>
      </c>
      <c r="BN10" s="12"/>
      <c r="BO10" s="12">
        <v>1</v>
      </c>
      <c r="BS10" s="12"/>
      <c r="BT10" s="12">
        <v>1</v>
      </c>
      <c r="BU10" s="12"/>
      <c r="BV10" s="12">
        <v>1</v>
      </c>
      <c r="BZ10" s="12"/>
      <c r="CA10" s="12">
        <v>1</v>
      </c>
      <c r="CB10" s="12"/>
      <c r="CC10" s="12">
        <v>1</v>
      </c>
      <c r="CG10" s="12"/>
      <c r="CH10" s="12">
        <v>1</v>
      </c>
      <c r="CI10" s="12"/>
      <c r="CJ10" s="12">
        <v>1</v>
      </c>
      <c r="CN10" s="12"/>
      <c r="CO10" s="12"/>
      <c r="CP10" s="12"/>
      <c r="CQ10" s="12"/>
      <c r="CU10" s="12"/>
      <c r="CV10" s="12"/>
      <c r="CW10" s="12"/>
      <c r="CX10" s="12"/>
      <c r="DB10" s="12"/>
      <c r="DC10" s="12"/>
      <c r="DD10" s="12"/>
      <c r="DE10" s="12"/>
      <c r="DI10" s="12"/>
      <c r="DJ10" s="12"/>
      <c r="DK10" s="12"/>
      <c r="DL10" s="12"/>
      <c r="DP10" s="12"/>
      <c r="DQ10" s="12"/>
      <c r="DR10" s="12"/>
      <c r="DS10" s="12"/>
      <c r="DW10" s="12"/>
      <c r="DX10" s="12"/>
      <c r="DY10" s="12"/>
      <c r="DZ10" s="12"/>
      <c r="ED10" s="12"/>
      <c r="EE10" s="12"/>
      <c r="EF10" s="12"/>
      <c r="EG10" s="12"/>
    </row>
    <row r="11" spans="1:138" ht="15.75" customHeight="1" outlineLevel="1" x14ac:dyDescent="0.2">
      <c r="B11" t="s">
        <v>56</v>
      </c>
      <c r="C11" t="str">
        <f>C10</f>
        <v>Beschaffung, Logistik &amp; Produktion</v>
      </c>
      <c r="E11" s="11"/>
      <c r="F11" s="3" t="s">
        <v>63</v>
      </c>
      <c r="G11" s="12">
        <f>G5</f>
        <v>0.05</v>
      </c>
      <c r="I11" s="11">
        <f t="shared" si="0"/>
        <v>0</v>
      </c>
      <c r="J11" s="14">
        <f t="array" ref="J11">MAX(IF($N$3:$FJ$3=$J$3,N11:FJ11))</f>
        <v>0</v>
      </c>
      <c r="K11" s="14">
        <f t="array" ref="K11">MAX(IF($N$3:$FJ$3=$K$3,N11:FJ11))</f>
        <v>0</v>
      </c>
      <c r="L11" s="11"/>
      <c r="M11" s="8"/>
      <c r="O11" s="12"/>
      <c r="P11" s="12">
        <v>0.5</v>
      </c>
      <c r="Q11" s="12"/>
      <c r="R11" s="12">
        <v>0.5</v>
      </c>
      <c r="V11" s="12"/>
      <c r="W11" s="12">
        <v>0.5</v>
      </c>
      <c r="X11" s="12"/>
      <c r="Y11" s="12">
        <v>0.5</v>
      </c>
      <c r="AC11" s="12"/>
      <c r="AD11" s="12">
        <v>0.8</v>
      </c>
      <c r="AE11" s="12"/>
      <c r="AF11" s="12">
        <v>0.8</v>
      </c>
      <c r="AJ11" s="12"/>
      <c r="AK11" s="12">
        <v>0.8</v>
      </c>
      <c r="AL11" s="12"/>
      <c r="AM11" s="12">
        <v>0.8</v>
      </c>
      <c r="AQ11" s="12"/>
      <c r="AR11" s="12">
        <v>1</v>
      </c>
      <c r="AS11" s="12"/>
      <c r="AT11" s="12">
        <v>1</v>
      </c>
      <c r="AX11" s="12"/>
      <c r="AY11" s="12">
        <v>1</v>
      </c>
      <c r="AZ11" s="12"/>
      <c r="BA11" s="12">
        <v>1</v>
      </c>
      <c r="BE11" s="12"/>
      <c r="BF11" s="12">
        <v>1</v>
      </c>
      <c r="BG11" s="12"/>
      <c r="BH11" s="12">
        <v>1</v>
      </c>
      <c r="BL11" s="12"/>
      <c r="BM11" s="12">
        <v>1</v>
      </c>
      <c r="BN11" s="12"/>
      <c r="BO11" s="12">
        <v>1</v>
      </c>
      <c r="BS11" s="12"/>
      <c r="BT11" s="12">
        <v>1</v>
      </c>
      <c r="BU11" s="12"/>
      <c r="BV11" s="12">
        <v>1</v>
      </c>
      <c r="BZ11" s="12"/>
      <c r="CA11" s="12">
        <v>1</v>
      </c>
      <c r="CB11" s="12"/>
      <c r="CC11" s="12">
        <v>1</v>
      </c>
      <c r="CG11" s="12"/>
      <c r="CH11" s="12">
        <v>1</v>
      </c>
      <c r="CI11" s="12"/>
      <c r="CJ11" s="12">
        <v>1</v>
      </c>
      <c r="CN11" s="12"/>
      <c r="CO11" s="12"/>
      <c r="CP11" s="12"/>
      <c r="CQ11" s="12"/>
      <c r="CU11" s="12"/>
      <c r="CV11" s="12"/>
      <c r="CW11" s="12"/>
      <c r="CX11" s="12"/>
      <c r="DB11" s="12"/>
      <c r="DC11" s="12"/>
      <c r="DD11" s="12"/>
      <c r="DE11" s="12"/>
      <c r="DI11" s="12"/>
      <c r="DJ11" s="12"/>
      <c r="DK11" s="12"/>
      <c r="DL11" s="12"/>
      <c r="DP11" s="12"/>
      <c r="DQ11" s="12"/>
      <c r="DR11" s="12"/>
      <c r="DS11" s="12"/>
      <c r="DW11" s="12"/>
      <c r="DX11" s="12"/>
      <c r="DY11" s="12"/>
      <c r="DZ11" s="12"/>
      <c r="ED11" s="12"/>
      <c r="EE11" s="12"/>
      <c r="EF11" s="12"/>
      <c r="EG11" s="12"/>
    </row>
    <row r="12" spans="1:138" ht="15.75" customHeight="1" outlineLevel="1" x14ac:dyDescent="0.2">
      <c r="B12" t="s">
        <v>56</v>
      </c>
      <c r="C12" t="str">
        <f>C10</f>
        <v>Beschaffung, Logistik &amp; Produktion</v>
      </c>
      <c r="E12" s="11"/>
      <c r="F12" s="3" t="s">
        <v>64</v>
      </c>
      <c r="G12" s="12">
        <f>G5</f>
        <v>0.05</v>
      </c>
      <c r="I12" s="11">
        <f t="shared" si="0"/>
        <v>0</v>
      </c>
      <c r="J12" s="14">
        <f t="array" ref="J12">MAX(IF($N$3:$FJ$3=$J$3,N12:FJ12))</f>
        <v>0</v>
      </c>
      <c r="K12" s="14">
        <f t="array" ref="K12">MAX(IF($N$3:$FJ$3=$K$3,N12:FJ12))</f>
        <v>0</v>
      </c>
      <c r="L12" s="11"/>
      <c r="M12" s="8"/>
      <c r="O12" s="12"/>
      <c r="P12" s="12">
        <v>0.5</v>
      </c>
      <c r="Q12" s="12"/>
      <c r="R12" s="12">
        <v>0.5</v>
      </c>
      <c r="V12" s="12"/>
      <c r="W12" s="12">
        <v>0.5</v>
      </c>
      <c r="X12" s="12"/>
      <c r="Y12" s="12">
        <v>0.5</v>
      </c>
      <c r="AC12" s="12"/>
      <c r="AD12" s="12">
        <v>0.8</v>
      </c>
      <c r="AE12" s="12"/>
      <c r="AF12" s="12">
        <v>0.8</v>
      </c>
      <c r="AJ12" s="12"/>
      <c r="AK12" s="12">
        <v>0.8</v>
      </c>
      <c r="AL12" s="12"/>
      <c r="AM12" s="12">
        <v>0.8</v>
      </c>
      <c r="AQ12" s="12"/>
      <c r="AR12" s="12">
        <v>1</v>
      </c>
      <c r="AS12" s="12"/>
      <c r="AT12" s="12">
        <v>1</v>
      </c>
      <c r="AX12" s="12"/>
      <c r="AY12" s="12">
        <v>1</v>
      </c>
      <c r="AZ12" s="12"/>
      <c r="BA12" s="12">
        <v>1</v>
      </c>
      <c r="BE12" s="12"/>
      <c r="BF12" s="12">
        <v>1</v>
      </c>
      <c r="BG12" s="12"/>
      <c r="BH12" s="12">
        <v>1</v>
      </c>
      <c r="BL12" s="12"/>
      <c r="BM12" s="12">
        <v>1</v>
      </c>
      <c r="BN12" s="12"/>
      <c r="BO12" s="12">
        <v>1</v>
      </c>
      <c r="BS12" s="12"/>
      <c r="BT12" s="12">
        <v>1</v>
      </c>
      <c r="BU12" s="12"/>
      <c r="BV12" s="12">
        <v>1</v>
      </c>
      <c r="BZ12" s="12"/>
      <c r="CA12" s="12">
        <v>1</v>
      </c>
      <c r="CB12" s="12"/>
      <c r="CC12" s="12">
        <v>1</v>
      </c>
      <c r="CG12" s="12"/>
      <c r="CH12" s="12">
        <v>1</v>
      </c>
      <c r="CI12" s="12"/>
      <c r="CJ12" s="12">
        <v>1</v>
      </c>
      <c r="CN12" s="12"/>
      <c r="CO12" s="12"/>
      <c r="CP12" s="12"/>
      <c r="CQ12" s="12"/>
      <c r="CU12" s="12"/>
      <c r="CV12" s="12"/>
      <c r="CW12" s="12"/>
      <c r="CX12" s="12"/>
      <c r="DB12" s="12"/>
      <c r="DC12" s="12"/>
      <c r="DD12" s="12"/>
      <c r="DE12" s="12"/>
      <c r="DI12" s="12"/>
      <c r="DJ12" s="12"/>
      <c r="DK12" s="12"/>
      <c r="DL12" s="12"/>
      <c r="DP12" s="12"/>
      <c r="DQ12" s="12"/>
      <c r="DR12" s="12"/>
      <c r="DS12" s="12"/>
      <c r="DW12" s="12"/>
      <c r="DX12" s="12"/>
      <c r="DY12" s="12"/>
      <c r="DZ12" s="12"/>
      <c r="ED12" s="12"/>
      <c r="EE12" s="12"/>
      <c r="EF12" s="12"/>
      <c r="EG12" s="12"/>
    </row>
    <row r="13" spans="1:138" ht="15.75" customHeight="1" outlineLevel="1" x14ac:dyDescent="0.2">
      <c r="B13" t="s">
        <v>56</v>
      </c>
      <c r="C13" t="str">
        <f>C12</f>
        <v>Beschaffung, Logistik &amp; Produktion</v>
      </c>
      <c r="E13" s="11"/>
      <c r="F13" s="3" t="s">
        <v>65</v>
      </c>
      <c r="G13" s="12">
        <f>G5</f>
        <v>0.05</v>
      </c>
      <c r="I13" s="11">
        <f t="shared" si="0"/>
        <v>0</v>
      </c>
      <c r="J13" s="14">
        <f t="array" ref="J13">MAX(IF($N$3:$FJ$3=$J$3,N13:FJ13))</f>
        <v>0</v>
      </c>
      <c r="K13" s="14">
        <f t="array" ref="K13">MAX(IF($N$3:$FJ$3=$K$3,N13:FJ13))</f>
        <v>0</v>
      </c>
      <c r="L13" s="11"/>
      <c r="M13" s="8"/>
      <c r="O13" s="12"/>
      <c r="P13" s="12">
        <v>0.5</v>
      </c>
      <c r="Q13" s="12"/>
      <c r="R13" s="12">
        <v>0.5</v>
      </c>
      <c r="V13" s="12"/>
      <c r="W13" s="12">
        <v>0.5</v>
      </c>
      <c r="X13" s="12"/>
      <c r="Y13" s="12">
        <v>0.5</v>
      </c>
      <c r="AC13" s="12"/>
      <c r="AD13" s="12">
        <v>0.8</v>
      </c>
      <c r="AE13" s="12"/>
      <c r="AF13" s="12">
        <v>0.8</v>
      </c>
      <c r="AJ13" s="12"/>
      <c r="AK13" s="12">
        <v>0.8</v>
      </c>
      <c r="AL13" s="12"/>
      <c r="AM13" s="12">
        <v>0.8</v>
      </c>
      <c r="AQ13" s="12"/>
      <c r="AR13" s="12">
        <v>1</v>
      </c>
      <c r="AS13" s="12"/>
      <c r="AT13" s="12">
        <v>1</v>
      </c>
      <c r="AX13" s="12"/>
      <c r="AY13" s="12">
        <v>1</v>
      </c>
      <c r="AZ13" s="12"/>
      <c r="BA13" s="12">
        <v>1</v>
      </c>
      <c r="BE13" s="12"/>
      <c r="BF13" s="12">
        <v>1</v>
      </c>
      <c r="BG13" s="12"/>
      <c r="BH13" s="12">
        <v>1</v>
      </c>
      <c r="BL13" s="12"/>
      <c r="BM13" s="12">
        <v>1</v>
      </c>
      <c r="BN13" s="12"/>
      <c r="BO13" s="12">
        <v>1</v>
      </c>
      <c r="BS13" s="12"/>
      <c r="BT13" s="12">
        <v>1</v>
      </c>
      <c r="BU13" s="12"/>
      <c r="BV13" s="12">
        <v>1</v>
      </c>
      <c r="BZ13" s="12"/>
      <c r="CA13" s="12">
        <v>1</v>
      </c>
      <c r="CB13" s="12"/>
      <c r="CC13" s="12">
        <v>1</v>
      </c>
      <c r="CG13" s="12"/>
      <c r="CH13" s="12">
        <v>1</v>
      </c>
      <c r="CI13" s="12"/>
      <c r="CJ13" s="12">
        <v>1</v>
      </c>
      <c r="CN13" s="12"/>
      <c r="CO13" s="12"/>
      <c r="CP13" s="12"/>
      <c r="CQ13" s="12"/>
      <c r="CU13" s="12"/>
      <c r="CV13" s="12"/>
      <c r="CW13" s="12"/>
      <c r="CX13" s="12"/>
      <c r="DB13" s="12"/>
      <c r="DC13" s="12"/>
      <c r="DD13" s="12"/>
      <c r="DE13" s="12"/>
      <c r="DI13" s="12"/>
      <c r="DJ13" s="12"/>
      <c r="DK13" s="12"/>
      <c r="DL13" s="12"/>
      <c r="DP13" s="12"/>
      <c r="DQ13" s="12"/>
      <c r="DR13" s="12"/>
      <c r="DS13" s="12"/>
      <c r="DW13" s="12"/>
      <c r="DX13" s="12"/>
      <c r="DY13" s="12"/>
      <c r="DZ13" s="12"/>
      <c r="ED13" s="12"/>
      <c r="EE13" s="12"/>
      <c r="EF13" s="12"/>
      <c r="EG13" s="12"/>
    </row>
    <row r="14" spans="1:138" ht="15.75" customHeight="1" outlineLevel="1" x14ac:dyDescent="0.2">
      <c r="B14" t="s">
        <v>56</v>
      </c>
      <c r="C14" t="str">
        <f>C12</f>
        <v>Beschaffung, Logistik &amp; Produktion</v>
      </c>
      <c r="E14" s="11"/>
      <c r="F14" s="3" t="s">
        <v>66</v>
      </c>
      <c r="G14" s="12">
        <f>G5</f>
        <v>0.05</v>
      </c>
      <c r="I14" s="11">
        <f t="shared" si="0"/>
        <v>0</v>
      </c>
      <c r="J14" s="14">
        <f t="array" ref="J14">MAX(IF($N$3:$FJ$3=$J$3,N14:FJ14))</f>
        <v>0</v>
      </c>
      <c r="K14" s="14">
        <f t="array" ref="K14">MAX(IF($N$3:$FJ$3=$K$3,N14:FJ14))</f>
        <v>0</v>
      </c>
      <c r="L14" s="11"/>
      <c r="M14" s="8"/>
      <c r="O14" s="12"/>
      <c r="P14" s="12">
        <v>0.5</v>
      </c>
      <c r="Q14" s="12"/>
      <c r="R14" s="12">
        <v>0.5</v>
      </c>
      <c r="V14" s="12"/>
      <c r="W14" s="12">
        <v>0.5</v>
      </c>
      <c r="X14" s="12"/>
      <c r="Y14" s="12">
        <v>0.5</v>
      </c>
      <c r="AC14" s="12"/>
      <c r="AD14" s="12">
        <v>0.8</v>
      </c>
      <c r="AE14" s="12"/>
      <c r="AF14" s="12">
        <v>0.8</v>
      </c>
      <c r="AJ14" s="12"/>
      <c r="AK14" s="12">
        <v>0.8</v>
      </c>
      <c r="AL14" s="12"/>
      <c r="AM14" s="12">
        <v>0.8</v>
      </c>
      <c r="AQ14" s="12"/>
      <c r="AR14" s="12">
        <v>1</v>
      </c>
      <c r="AS14" s="12"/>
      <c r="AT14" s="12">
        <v>1</v>
      </c>
      <c r="AX14" s="12"/>
      <c r="AY14" s="12">
        <v>1</v>
      </c>
      <c r="AZ14" s="12"/>
      <c r="BA14" s="12">
        <v>1</v>
      </c>
      <c r="BE14" s="12"/>
      <c r="BF14" s="12">
        <v>1</v>
      </c>
      <c r="BG14" s="12"/>
      <c r="BH14" s="12">
        <v>1</v>
      </c>
      <c r="BL14" s="12"/>
      <c r="BM14" s="12">
        <v>1</v>
      </c>
      <c r="BN14" s="12"/>
      <c r="BO14" s="12">
        <v>1</v>
      </c>
      <c r="BS14" s="12"/>
      <c r="BT14" s="12">
        <v>1</v>
      </c>
      <c r="BU14" s="12"/>
      <c r="BV14" s="12">
        <v>1</v>
      </c>
      <c r="BZ14" s="12"/>
      <c r="CA14" s="12">
        <v>1</v>
      </c>
      <c r="CB14" s="12"/>
      <c r="CC14" s="12">
        <v>1</v>
      </c>
      <c r="CG14" s="12"/>
      <c r="CH14" s="12">
        <v>1</v>
      </c>
      <c r="CI14" s="12"/>
      <c r="CJ14" s="12">
        <v>1</v>
      </c>
      <c r="CN14" s="12"/>
      <c r="CO14" s="12"/>
      <c r="CP14" s="12"/>
      <c r="CQ14" s="12"/>
      <c r="CU14" s="12"/>
      <c r="CV14" s="12"/>
      <c r="CW14" s="12"/>
      <c r="CX14" s="12"/>
      <c r="DB14" s="12"/>
      <c r="DC14" s="12"/>
      <c r="DD14" s="12"/>
      <c r="DE14" s="12"/>
      <c r="DI14" s="12"/>
      <c r="DJ14" s="12"/>
      <c r="DK14" s="12"/>
      <c r="DL14" s="12"/>
      <c r="DP14" s="12"/>
      <c r="DQ14" s="12"/>
      <c r="DR14" s="12"/>
      <c r="DS14" s="12"/>
      <c r="DW14" s="12"/>
      <c r="DX14" s="12"/>
      <c r="DY14" s="12"/>
      <c r="DZ14" s="12"/>
      <c r="ED14" s="12"/>
      <c r="EE14" s="12"/>
      <c r="EF14" s="12"/>
      <c r="EG14" s="12"/>
    </row>
    <row r="15" spans="1:138" ht="15.75" customHeight="1" outlineLevel="1" x14ac:dyDescent="0.2">
      <c r="B15" t="s">
        <v>56</v>
      </c>
      <c r="C15" t="str">
        <f>C14</f>
        <v>Beschaffung, Logistik &amp; Produktion</v>
      </c>
      <c r="E15" s="11"/>
      <c r="F15" s="3" t="s">
        <v>67</v>
      </c>
      <c r="G15" s="12">
        <f>G5</f>
        <v>0.05</v>
      </c>
      <c r="I15" s="11">
        <f t="shared" si="0"/>
        <v>0</v>
      </c>
      <c r="J15" s="14">
        <f t="array" ref="J15">MAX(IF($N$3:$FJ$3=$J$3,N15:FJ15))</f>
        <v>0</v>
      </c>
      <c r="K15" s="14">
        <f t="array" ref="K15">MAX(IF($N$3:$FJ$3=$K$3,N15:FJ15))</f>
        <v>0</v>
      </c>
      <c r="L15" s="11"/>
      <c r="M15" s="8"/>
      <c r="O15" s="12"/>
      <c r="P15" s="12"/>
      <c r="Q15" s="12"/>
      <c r="R15" s="12"/>
      <c r="V15" s="12"/>
      <c r="W15" s="12"/>
      <c r="X15" s="12"/>
      <c r="Y15" s="12"/>
      <c r="AC15" s="12"/>
      <c r="AD15" s="12">
        <v>0.5</v>
      </c>
      <c r="AE15" s="12"/>
      <c r="AF15" s="12">
        <v>0.5</v>
      </c>
      <c r="AJ15" s="12"/>
      <c r="AK15" s="12">
        <v>0.5</v>
      </c>
      <c r="AL15" s="12"/>
      <c r="AM15" s="12">
        <v>0.5</v>
      </c>
      <c r="AQ15" s="12"/>
      <c r="AR15" s="12">
        <v>0.8</v>
      </c>
      <c r="AS15" s="12"/>
      <c r="AT15" s="12">
        <v>0.8</v>
      </c>
      <c r="AX15" s="12"/>
      <c r="AY15" s="12">
        <v>0.8</v>
      </c>
      <c r="AZ15" s="12"/>
      <c r="BA15" s="12">
        <v>0.8</v>
      </c>
      <c r="BE15" s="12"/>
      <c r="BF15" s="12">
        <v>0.8</v>
      </c>
      <c r="BG15" s="12"/>
      <c r="BH15" s="12">
        <v>0.8</v>
      </c>
      <c r="BL15" s="12"/>
      <c r="BM15" s="12">
        <v>1</v>
      </c>
      <c r="BN15" s="12"/>
      <c r="BO15" s="12">
        <v>1</v>
      </c>
      <c r="BS15" s="12"/>
      <c r="BT15" s="12">
        <v>1</v>
      </c>
      <c r="BU15" s="12"/>
      <c r="BV15" s="12">
        <v>1</v>
      </c>
      <c r="BZ15" s="12"/>
      <c r="CA15" s="12">
        <v>1</v>
      </c>
      <c r="CB15" s="12"/>
      <c r="CC15" s="12">
        <v>1</v>
      </c>
      <c r="CG15" s="12"/>
      <c r="CH15" s="12">
        <v>1</v>
      </c>
      <c r="CI15" s="12"/>
      <c r="CJ15" s="12">
        <v>1</v>
      </c>
      <c r="CN15" s="12"/>
      <c r="CO15" s="12"/>
      <c r="CP15" s="12"/>
      <c r="CQ15" s="12"/>
      <c r="CU15" s="12"/>
      <c r="CV15" s="12"/>
      <c r="CW15" s="12"/>
      <c r="CX15" s="12"/>
      <c r="DB15" s="12"/>
      <c r="DC15" s="12"/>
      <c r="DD15" s="12"/>
      <c r="DE15" s="12"/>
      <c r="DI15" s="12"/>
      <c r="DJ15" s="12"/>
      <c r="DK15" s="12"/>
      <c r="DL15" s="12"/>
      <c r="DP15" s="12"/>
      <c r="DQ15" s="12"/>
      <c r="DR15" s="12"/>
      <c r="DS15" s="12"/>
      <c r="DW15" s="12"/>
      <c r="DX15" s="12"/>
      <c r="DY15" s="12"/>
      <c r="DZ15" s="12"/>
      <c r="ED15" s="12"/>
      <c r="EE15" s="12"/>
      <c r="EF15" s="12"/>
      <c r="EG15" s="12"/>
    </row>
    <row r="16" spans="1:138" ht="15.75" customHeight="1" outlineLevel="1" x14ac:dyDescent="0.2">
      <c r="B16" t="s">
        <v>56</v>
      </c>
      <c r="C16" t="str">
        <f>C14</f>
        <v>Beschaffung, Logistik &amp; Produktion</v>
      </c>
      <c r="E16" s="11"/>
      <c r="F16" s="3" t="s">
        <v>68</v>
      </c>
      <c r="G16" s="12">
        <f>G5</f>
        <v>0.05</v>
      </c>
      <c r="I16" s="11">
        <f t="shared" si="0"/>
        <v>0</v>
      </c>
      <c r="J16" s="14">
        <f t="array" ref="J16">MAX(IF($N$3:$FJ$3=$J$3,N16:FJ16))</f>
        <v>0</v>
      </c>
      <c r="K16" s="14">
        <f t="array" ref="K16">MAX(IF($N$3:$FJ$3=$K$3,N16:FJ16))</f>
        <v>0</v>
      </c>
      <c r="L16" s="11"/>
      <c r="M16" s="8"/>
      <c r="O16" s="12"/>
      <c r="P16" s="12"/>
      <c r="Q16" s="12"/>
      <c r="R16" s="12"/>
      <c r="V16" s="12"/>
      <c r="W16" s="12"/>
      <c r="X16" s="12"/>
      <c r="Y16" s="12"/>
      <c r="AC16" s="12"/>
      <c r="AD16" s="12">
        <v>0.5</v>
      </c>
      <c r="AE16" s="12"/>
      <c r="AF16" s="12">
        <v>0.5</v>
      </c>
      <c r="AJ16" s="12"/>
      <c r="AK16" s="12">
        <v>0.5</v>
      </c>
      <c r="AL16" s="12"/>
      <c r="AM16" s="12">
        <v>0.5</v>
      </c>
      <c r="AQ16" s="12"/>
      <c r="AR16" s="12">
        <v>0.8</v>
      </c>
      <c r="AS16" s="12"/>
      <c r="AT16" s="12">
        <v>0.8</v>
      </c>
      <c r="AX16" s="12"/>
      <c r="AY16" s="12">
        <v>0.8</v>
      </c>
      <c r="AZ16" s="12"/>
      <c r="BA16" s="12">
        <v>0.8</v>
      </c>
      <c r="BE16" s="12"/>
      <c r="BF16" s="12">
        <v>0.8</v>
      </c>
      <c r="BG16" s="12"/>
      <c r="BH16" s="12">
        <v>0.8</v>
      </c>
      <c r="BL16" s="12"/>
      <c r="BM16" s="12">
        <v>1</v>
      </c>
      <c r="BN16" s="12"/>
      <c r="BO16" s="12">
        <v>1</v>
      </c>
      <c r="BS16" s="12"/>
      <c r="BT16" s="12">
        <v>1</v>
      </c>
      <c r="BU16" s="12"/>
      <c r="BV16" s="12">
        <v>1</v>
      </c>
      <c r="BZ16" s="12"/>
      <c r="CA16" s="12">
        <v>1</v>
      </c>
      <c r="CB16" s="12"/>
      <c r="CC16" s="12">
        <v>1</v>
      </c>
      <c r="CG16" s="12"/>
      <c r="CH16" s="12">
        <v>1</v>
      </c>
      <c r="CI16" s="12"/>
      <c r="CJ16" s="12">
        <v>1</v>
      </c>
      <c r="CN16" s="12"/>
      <c r="CO16" s="12"/>
      <c r="CP16" s="12"/>
      <c r="CQ16" s="12"/>
      <c r="CU16" s="12"/>
      <c r="CV16" s="12"/>
      <c r="CW16" s="12"/>
      <c r="CX16" s="12"/>
      <c r="DB16" s="12"/>
      <c r="DC16" s="12"/>
      <c r="DD16" s="12"/>
      <c r="DE16" s="12"/>
      <c r="DI16" s="12"/>
      <c r="DJ16" s="12"/>
      <c r="DK16" s="12"/>
      <c r="DL16" s="12"/>
      <c r="DP16" s="12"/>
      <c r="DQ16" s="12"/>
      <c r="DR16" s="12"/>
      <c r="DS16" s="12"/>
      <c r="DW16" s="12"/>
      <c r="DX16" s="12"/>
      <c r="DY16" s="12"/>
      <c r="DZ16" s="12"/>
      <c r="ED16" s="12"/>
      <c r="EE16" s="12"/>
      <c r="EF16" s="12"/>
      <c r="EG16" s="12"/>
    </row>
    <row r="17" spans="2:137" ht="15.75" customHeight="1" outlineLevel="1" x14ac:dyDescent="0.2">
      <c r="B17" t="s">
        <v>56</v>
      </c>
      <c r="C17" t="str">
        <f>C16</f>
        <v>Beschaffung, Logistik &amp; Produktion</v>
      </c>
      <c r="E17" s="11"/>
      <c r="F17" s="3" t="s">
        <v>69</v>
      </c>
      <c r="G17" s="12">
        <f>G5</f>
        <v>0.05</v>
      </c>
      <c r="I17" s="11">
        <f t="shared" si="0"/>
        <v>0</v>
      </c>
      <c r="J17" s="14">
        <f t="array" ref="J17">MAX(IF($N$3:$FJ$3=$J$3,N17:FJ17))</f>
        <v>0</v>
      </c>
      <c r="K17" s="14">
        <f t="array" ref="K17">MAX(IF($N$3:$FJ$3=$K$3,N17:FJ17))</f>
        <v>0</v>
      </c>
      <c r="L17" s="11"/>
      <c r="M17" s="8"/>
      <c r="O17" s="12"/>
      <c r="P17" s="12"/>
      <c r="Q17" s="12"/>
      <c r="R17" s="12"/>
      <c r="V17" s="12"/>
      <c r="W17" s="12"/>
      <c r="X17" s="12"/>
      <c r="Y17" s="12"/>
      <c r="AC17" s="12"/>
      <c r="AD17" s="12">
        <v>0.5</v>
      </c>
      <c r="AE17" s="12"/>
      <c r="AF17" s="12">
        <v>0.5</v>
      </c>
      <c r="AJ17" s="12"/>
      <c r="AK17" s="12">
        <v>0.5</v>
      </c>
      <c r="AL17" s="12"/>
      <c r="AM17" s="12">
        <v>0.5</v>
      </c>
      <c r="AQ17" s="12"/>
      <c r="AR17" s="12">
        <v>0.8</v>
      </c>
      <c r="AS17" s="12"/>
      <c r="AT17" s="12">
        <v>0.8</v>
      </c>
      <c r="AX17" s="12"/>
      <c r="AY17" s="12">
        <v>0.8</v>
      </c>
      <c r="AZ17" s="12"/>
      <c r="BA17" s="12">
        <v>0.8</v>
      </c>
      <c r="BE17" s="12"/>
      <c r="BF17" s="12">
        <v>0.8</v>
      </c>
      <c r="BG17" s="12"/>
      <c r="BH17" s="12">
        <v>0.8</v>
      </c>
      <c r="BL17" s="12"/>
      <c r="BM17" s="12">
        <v>1</v>
      </c>
      <c r="BN17" s="12"/>
      <c r="BO17" s="12">
        <v>1</v>
      </c>
      <c r="BS17" s="12"/>
      <c r="BT17" s="12">
        <v>1</v>
      </c>
      <c r="BU17" s="12"/>
      <c r="BV17" s="12">
        <v>1</v>
      </c>
      <c r="BZ17" s="12"/>
      <c r="CA17" s="12">
        <v>1</v>
      </c>
      <c r="CB17" s="12"/>
      <c r="CC17" s="12">
        <v>1</v>
      </c>
      <c r="CG17" s="12"/>
      <c r="CH17" s="12">
        <v>1</v>
      </c>
      <c r="CI17" s="12"/>
      <c r="CJ17" s="12">
        <v>1</v>
      </c>
      <c r="CN17" s="12"/>
      <c r="CO17" s="12"/>
      <c r="CP17" s="12"/>
      <c r="CQ17" s="12"/>
      <c r="CU17" s="12"/>
      <c r="CV17" s="12"/>
      <c r="CW17" s="12"/>
      <c r="CX17" s="12"/>
      <c r="DB17" s="12"/>
      <c r="DC17" s="12"/>
      <c r="DD17" s="12"/>
      <c r="DE17" s="12"/>
      <c r="DI17" s="12"/>
      <c r="DJ17" s="12"/>
      <c r="DK17" s="12"/>
      <c r="DL17" s="12"/>
      <c r="DP17" s="12"/>
      <c r="DQ17" s="12"/>
      <c r="DR17" s="12"/>
      <c r="DS17" s="12"/>
      <c r="DW17" s="12"/>
      <c r="DX17" s="12"/>
      <c r="DY17" s="12"/>
      <c r="DZ17" s="12"/>
      <c r="ED17" s="12"/>
      <c r="EE17" s="12"/>
      <c r="EF17" s="12"/>
      <c r="EG17" s="12"/>
    </row>
    <row r="18" spans="2:137" ht="15.75" customHeight="1" outlineLevel="1" x14ac:dyDescent="0.2">
      <c r="B18" t="s">
        <v>56</v>
      </c>
      <c r="C18" t="str">
        <f>C16</f>
        <v>Beschaffung, Logistik &amp; Produktion</v>
      </c>
      <c r="E18" s="11"/>
      <c r="F18" s="3" t="s">
        <v>70</v>
      </c>
      <c r="G18" s="12">
        <f>G5</f>
        <v>0.05</v>
      </c>
      <c r="I18" s="11">
        <f t="shared" si="0"/>
        <v>0</v>
      </c>
      <c r="J18" s="14">
        <f t="array" ref="J18">MAX(IF($N$3:$FJ$3=$J$3,N18:FJ18))</f>
        <v>0</v>
      </c>
      <c r="K18" s="14">
        <f t="array" ref="K18">MAX(IF($N$3:$FJ$3=$K$3,N18:FJ18))</f>
        <v>0</v>
      </c>
      <c r="L18" s="11"/>
      <c r="M18" s="8"/>
      <c r="O18" s="12"/>
      <c r="P18" s="12"/>
      <c r="Q18" s="12"/>
      <c r="R18" s="12"/>
      <c r="V18" s="12"/>
      <c r="W18" s="12"/>
      <c r="X18" s="12"/>
      <c r="Y18" s="12"/>
      <c r="AC18" s="12"/>
      <c r="AD18" s="12">
        <v>0.5</v>
      </c>
      <c r="AE18" s="12"/>
      <c r="AF18" s="12">
        <v>0.5</v>
      </c>
      <c r="AJ18" s="12"/>
      <c r="AK18" s="12">
        <v>0.5</v>
      </c>
      <c r="AL18" s="12"/>
      <c r="AM18" s="12">
        <v>0.5</v>
      </c>
      <c r="AQ18" s="12"/>
      <c r="AR18" s="12">
        <v>0.8</v>
      </c>
      <c r="AS18" s="12"/>
      <c r="AT18" s="12">
        <v>0.8</v>
      </c>
      <c r="AX18" s="12"/>
      <c r="AY18" s="12">
        <v>0.8</v>
      </c>
      <c r="AZ18" s="12"/>
      <c r="BA18" s="12">
        <v>0.8</v>
      </c>
      <c r="BE18" s="12"/>
      <c r="BF18" s="12">
        <v>0.8</v>
      </c>
      <c r="BG18" s="12"/>
      <c r="BH18" s="12">
        <v>0.8</v>
      </c>
      <c r="BL18" s="12"/>
      <c r="BM18" s="12">
        <v>1</v>
      </c>
      <c r="BN18" s="12"/>
      <c r="BO18" s="12">
        <v>1</v>
      </c>
      <c r="BS18" s="12"/>
      <c r="BT18" s="12">
        <v>1</v>
      </c>
      <c r="BU18" s="12"/>
      <c r="BV18" s="12">
        <v>1</v>
      </c>
      <c r="BZ18" s="12"/>
      <c r="CA18" s="12">
        <v>1</v>
      </c>
      <c r="CB18" s="12"/>
      <c r="CC18" s="12">
        <v>1</v>
      </c>
      <c r="CG18" s="12"/>
      <c r="CH18" s="12">
        <v>1</v>
      </c>
      <c r="CI18" s="12"/>
      <c r="CJ18" s="12">
        <v>1</v>
      </c>
      <c r="CN18" s="12"/>
      <c r="CO18" s="12"/>
      <c r="CP18" s="12"/>
      <c r="CQ18" s="12"/>
      <c r="CU18" s="12"/>
      <c r="CV18" s="12"/>
      <c r="CW18" s="12"/>
      <c r="CX18" s="12"/>
      <c r="DB18" s="12"/>
      <c r="DC18" s="12"/>
      <c r="DD18" s="12"/>
      <c r="DE18" s="12"/>
      <c r="DI18" s="12"/>
      <c r="DJ18" s="12"/>
      <c r="DK18" s="12"/>
      <c r="DL18" s="12"/>
      <c r="DP18" s="12"/>
      <c r="DQ18" s="12"/>
      <c r="DR18" s="12"/>
      <c r="DS18" s="12"/>
      <c r="DW18" s="12"/>
      <c r="DX18" s="12"/>
      <c r="DY18" s="12"/>
      <c r="DZ18" s="12"/>
      <c r="ED18" s="12"/>
      <c r="EE18" s="12"/>
      <c r="EF18" s="12"/>
      <c r="EG18" s="12"/>
    </row>
    <row r="19" spans="2:137" ht="15.75" customHeight="1" outlineLevel="1" x14ac:dyDescent="0.2">
      <c r="B19" t="s">
        <v>56</v>
      </c>
      <c r="C19" t="str">
        <f>C18</f>
        <v>Beschaffung, Logistik &amp; Produktion</v>
      </c>
      <c r="E19" s="11"/>
      <c r="F19" s="3" t="s">
        <v>71</v>
      </c>
      <c r="G19" s="12">
        <f>G5</f>
        <v>0.05</v>
      </c>
      <c r="I19" s="11">
        <f t="shared" si="0"/>
        <v>0</v>
      </c>
      <c r="J19" s="14">
        <f t="array" ref="J19">MAX(IF($N$3:$FJ$3=$J$3,N19:FJ19))</f>
        <v>0</v>
      </c>
      <c r="K19" s="14">
        <f t="array" ref="K19">MAX(IF($N$3:$FJ$3=$K$3,N19:FJ19))</f>
        <v>0</v>
      </c>
      <c r="L19" s="11"/>
      <c r="M19" s="8"/>
      <c r="O19" s="12"/>
      <c r="P19" s="12"/>
      <c r="Q19" s="12"/>
      <c r="R19" s="12"/>
      <c r="V19" s="12"/>
      <c r="W19" s="12"/>
      <c r="X19" s="12"/>
      <c r="Y19" s="12"/>
      <c r="AC19" s="12"/>
      <c r="AD19" s="12">
        <v>0.5</v>
      </c>
      <c r="AE19" s="12"/>
      <c r="AF19" s="12">
        <v>0.5</v>
      </c>
      <c r="AJ19" s="12"/>
      <c r="AK19" s="12">
        <v>0.5</v>
      </c>
      <c r="AL19" s="12"/>
      <c r="AM19" s="12">
        <v>0.5</v>
      </c>
      <c r="AQ19" s="12"/>
      <c r="AR19" s="12">
        <v>0.8</v>
      </c>
      <c r="AS19" s="12"/>
      <c r="AT19" s="12">
        <v>0.8</v>
      </c>
      <c r="AX19" s="12"/>
      <c r="AY19" s="12">
        <v>0.8</v>
      </c>
      <c r="AZ19" s="12"/>
      <c r="BA19" s="12">
        <v>0.8</v>
      </c>
      <c r="BE19" s="12"/>
      <c r="BF19" s="12">
        <v>0.8</v>
      </c>
      <c r="BG19" s="12"/>
      <c r="BH19" s="12">
        <v>0.8</v>
      </c>
      <c r="BL19" s="12"/>
      <c r="BM19" s="12">
        <v>1</v>
      </c>
      <c r="BN19" s="12"/>
      <c r="BO19" s="12">
        <v>1</v>
      </c>
      <c r="BS19" s="12"/>
      <c r="BT19" s="12">
        <v>1</v>
      </c>
      <c r="BU19" s="12"/>
      <c r="BV19" s="12">
        <v>1</v>
      </c>
      <c r="BZ19" s="12"/>
      <c r="CA19" s="12">
        <v>1</v>
      </c>
      <c r="CB19" s="12"/>
      <c r="CC19" s="12">
        <v>1</v>
      </c>
      <c r="CG19" s="12"/>
      <c r="CH19" s="12">
        <v>1</v>
      </c>
      <c r="CI19" s="12"/>
      <c r="CJ19" s="12">
        <v>1</v>
      </c>
      <c r="CN19" s="12"/>
      <c r="CO19" s="12"/>
      <c r="CP19" s="12"/>
      <c r="CQ19" s="12"/>
      <c r="CU19" s="12"/>
      <c r="CV19" s="12"/>
      <c r="CW19" s="12"/>
      <c r="CX19" s="12"/>
      <c r="DB19" s="12"/>
      <c r="DC19" s="12"/>
      <c r="DD19" s="12"/>
      <c r="DE19" s="12"/>
      <c r="DI19" s="12"/>
      <c r="DJ19" s="12"/>
      <c r="DK19" s="12"/>
      <c r="DL19" s="12"/>
      <c r="DP19" s="12"/>
      <c r="DQ19" s="12"/>
      <c r="DR19" s="12"/>
      <c r="DS19" s="12"/>
      <c r="DW19" s="12"/>
      <c r="DX19" s="12"/>
      <c r="DY19" s="12"/>
      <c r="DZ19" s="12"/>
      <c r="ED19" s="12"/>
      <c r="EE19" s="12"/>
      <c r="EF19" s="12"/>
      <c r="EG19" s="12"/>
    </row>
    <row r="20" spans="2:137" ht="15.75" customHeight="1" outlineLevel="1" x14ac:dyDescent="0.2">
      <c r="B20" t="s">
        <v>56</v>
      </c>
      <c r="C20" t="str">
        <f>C18</f>
        <v>Beschaffung, Logistik &amp; Produktion</v>
      </c>
      <c r="E20" s="11"/>
      <c r="F20" s="3" t="s">
        <v>72</v>
      </c>
      <c r="G20" s="12">
        <f>G5</f>
        <v>0.05</v>
      </c>
      <c r="I20" s="11">
        <f t="shared" si="0"/>
        <v>0</v>
      </c>
      <c r="J20" s="14">
        <f t="array" ref="J20">MAX(IF($N$3:$FJ$3=$J$3,N20:FJ20))</f>
        <v>0</v>
      </c>
      <c r="K20" s="14">
        <f t="array" ref="K20">MAX(IF($N$3:$FJ$3=$K$3,N20:FJ20))</f>
        <v>0</v>
      </c>
      <c r="L20" s="11"/>
      <c r="M20" s="8"/>
      <c r="O20" s="12"/>
      <c r="P20" s="12"/>
      <c r="Q20" s="12"/>
      <c r="R20" s="12"/>
      <c r="V20" s="12"/>
      <c r="W20" s="12"/>
      <c r="X20" s="12"/>
      <c r="Y20" s="12"/>
      <c r="AC20" s="12"/>
      <c r="AD20" s="12">
        <v>0.5</v>
      </c>
      <c r="AE20" s="12"/>
      <c r="AF20" s="12">
        <v>0.5</v>
      </c>
      <c r="AJ20" s="12"/>
      <c r="AK20" s="12">
        <v>0.5</v>
      </c>
      <c r="AL20" s="12"/>
      <c r="AM20" s="12">
        <v>0.5</v>
      </c>
      <c r="AQ20" s="12"/>
      <c r="AR20" s="12">
        <v>0.8</v>
      </c>
      <c r="AS20" s="12"/>
      <c r="AT20" s="12">
        <v>0.8</v>
      </c>
      <c r="AX20" s="12"/>
      <c r="AY20" s="12">
        <v>0.8</v>
      </c>
      <c r="AZ20" s="12"/>
      <c r="BA20" s="12">
        <v>0.8</v>
      </c>
      <c r="BE20" s="12"/>
      <c r="BF20" s="12">
        <v>0.8</v>
      </c>
      <c r="BG20" s="12"/>
      <c r="BH20" s="12">
        <v>0.8</v>
      </c>
      <c r="BL20" s="12"/>
      <c r="BM20" s="12">
        <v>1</v>
      </c>
      <c r="BN20" s="12"/>
      <c r="BO20" s="12">
        <v>1</v>
      </c>
      <c r="BS20" s="12"/>
      <c r="BT20" s="12">
        <v>1</v>
      </c>
      <c r="BU20" s="12"/>
      <c r="BV20" s="12">
        <v>1</v>
      </c>
      <c r="BZ20" s="12"/>
      <c r="CA20" s="12">
        <v>1</v>
      </c>
      <c r="CB20" s="12"/>
      <c r="CC20" s="12">
        <v>1</v>
      </c>
      <c r="CG20" s="12"/>
      <c r="CH20" s="12">
        <v>1</v>
      </c>
      <c r="CI20" s="12"/>
      <c r="CJ20" s="12">
        <v>1</v>
      </c>
      <c r="CN20" s="12"/>
      <c r="CO20" s="12"/>
      <c r="CP20" s="12"/>
      <c r="CQ20" s="12"/>
      <c r="CU20" s="12"/>
      <c r="CV20" s="12"/>
      <c r="CW20" s="12"/>
      <c r="CX20" s="12"/>
      <c r="DB20" s="12"/>
      <c r="DC20" s="12"/>
      <c r="DD20" s="12"/>
      <c r="DE20" s="12"/>
      <c r="DI20" s="12"/>
      <c r="DJ20" s="12"/>
      <c r="DK20" s="12"/>
      <c r="DL20" s="12"/>
      <c r="DP20" s="12"/>
      <c r="DQ20" s="12"/>
      <c r="DR20" s="12"/>
      <c r="DS20" s="12"/>
      <c r="DW20" s="12"/>
      <c r="DX20" s="12"/>
      <c r="DY20" s="12"/>
      <c r="DZ20" s="12"/>
      <c r="ED20" s="12"/>
      <c r="EE20" s="12"/>
      <c r="EF20" s="12"/>
      <c r="EG20" s="12"/>
    </row>
    <row r="21" spans="2:137" ht="15.75" customHeight="1" outlineLevel="1" x14ac:dyDescent="0.2">
      <c r="B21" t="s">
        <v>56</v>
      </c>
      <c r="C21" t="str">
        <f>C20</f>
        <v>Beschaffung, Logistik &amp; Produktion</v>
      </c>
      <c r="E21" s="11"/>
      <c r="F21" s="3" t="s">
        <v>73</v>
      </c>
      <c r="G21" s="12">
        <f>G5</f>
        <v>0.05</v>
      </c>
      <c r="I21" s="11">
        <f t="shared" si="0"/>
        <v>0</v>
      </c>
      <c r="J21" s="14">
        <f t="array" ref="J21">MAX(IF($N$3:$FJ$3=$J$3,N21:FJ21))</f>
        <v>0</v>
      </c>
      <c r="K21" s="14">
        <f t="array" ref="K21">MAX(IF($N$3:$FJ$3=$K$3,N21:FJ21))</f>
        <v>0</v>
      </c>
      <c r="L21" s="11"/>
      <c r="M21" s="8"/>
      <c r="O21" s="12"/>
      <c r="P21" s="12"/>
      <c r="Q21" s="12"/>
      <c r="R21" s="12"/>
      <c r="V21" s="12"/>
      <c r="W21" s="12"/>
      <c r="X21" s="12"/>
      <c r="Y21" s="12"/>
      <c r="AC21" s="12"/>
      <c r="AD21" s="12">
        <v>0.5</v>
      </c>
      <c r="AE21" s="12"/>
      <c r="AF21" s="12">
        <v>0.5</v>
      </c>
      <c r="AJ21" s="12"/>
      <c r="AK21" s="12">
        <v>0.5</v>
      </c>
      <c r="AL21" s="12"/>
      <c r="AM21" s="12">
        <v>0.5</v>
      </c>
      <c r="AQ21" s="12"/>
      <c r="AR21" s="12">
        <v>0.8</v>
      </c>
      <c r="AS21" s="12"/>
      <c r="AT21" s="12">
        <v>0.8</v>
      </c>
      <c r="AX21" s="12"/>
      <c r="AY21" s="12">
        <v>0.8</v>
      </c>
      <c r="AZ21" s="12"/>
      <c r="BA21" s="12">
        <v>0.8</v>
      </c>
      <c r="BE21" s="12"/>
      <c r="BF21" s="12">
        <v>0.8</v>
      </c>
      <c r="BG21" s="12"/>
      <c r="BH21" s="12">
        <v>0.8</v>
      </c>
      <c r="BL21" s="12"/>
      <c r="BM21" s="12">
        <v>1</v>
      </c>
      <c r="BN21" s="12"/>
      <c r="BO21" s="12">
        <v>1</v>
      </c>
      <c r="BS21" s="12"/>
      <c r="BT21" s="12">
        <v>1</v>
      </c>
      <c r="BU21" s="12"/>
      <c r="BV21" s="12">
        <v>1</v>
      </c>
      <c r="BZ21" s="12"/>
      <c r="CA21" s="12">
        <v>1</v>
      </c>
      <c r="CB21" s="12"/>
      <c r="CC21" s="12">
        <v>1</v>
      </c>
      <c r="CG21" s="12"/>
      <c r="CH21" s="12">
        <v>1</v>
      </c>
      <c r="CI21" s="12"/>
      <c r="CJ21" s="12">
        <v>1</v>
      </c>
      <c r="CN21" s="12"/>
      <c r="CO21" s="12"/>
      <c r="CP21" s="12"/>
      <c r="CQ21" s="12"/>
      <c r="CU21" s="12"/>
      <c r="CV21" s="12"/>
      <c r="CW21" s="12"/>
      <c r="CX21" s="12"/>
      <c r="DB21" s="12"/>
      <c r="DC21" s="12"/>
      <c r="DD21" s="12"/>
      <c r="DE21" s="12"/>
      <c r="DI21" s="12"/>
      <c r="DJ21" s="12"/>
      <c r="DK21" s="12"/>
      <c r="DL21" s="12"/>
      <c r="DP21" s="12"/>
      <c r="DQ21" s="12"/>
      <c r="DR21" s="12"/>
      <c r="DS21" s="12"/>
      <c r="DW21" s="12"/>
      <c r="DX21" s="12"/>
      <c r="DY21" s="12"/>
      <c r="DZ21" s="12"/>
      <c r="ED21" s="12"/>
      <c r="EE21" s="12"/>
      <c r="EF21" s="12"/>
      <c r="EG21" s="12"/>
    </row>
    <row r="22" spans="2:137" ht="15.75" customHeight="1" outlineLevel="1" x14ac:dyDescent="0.2">
      <c r="B22" t="s">
        <v>56</v>
      </c>
      <c r="C22" t="str">
        <f>C20</f>
        <v>Beschaffung, Logistik &amp; Produktion</v>
      </c>
      <c r="E22" s="11"/>
      <c r="F22" s="3" t="s">
        <v>74</v>
      </c>
      <c r="G22" s="12">
        <f>G5</f>
        <v>0.05</v>
      </c>
      <c r="I22" s="11">
        <f t="shared" si="0"/>
        <v>0</v>
      </c>
      <c r="J22" s="14">
        <f t="array" ref="J22">MAX(IF($N$3:$FJ$3=$J$3,N22:FJ22))</f>
        <v>0</v>
      </c>
      <c r="K22" s="14">
        <f t="array" ref="K22">MAX(IF($N$3:$FJ$3=$K$3,N22:FJ22))</f>
        <v>0</v>
      </c>
      <c r="L22" s="11"/>
      <c r="M22" s="8"/>
      <c r="O22" s="12"/>
      <c r="P22" s="12"/>
      <c r="Q22" s="12"/>
      <c r="R22" s="12"/>
      <c r="V22" s="12"/>
      <c r="W22" s="12"/>
      <c r="X22" s="12"/>
      <c r="Y22" s="12"/>
      <c r="AC22" s="12"/>
      <c r="AD22" s="12">
        <v>0.5</v>
      </c>
      <c r="AE22" s="12"/>
      <c r="AF22" s="12">
        <v>0.5</v>
      </c>
      <c r="AJ22" s="12"/>
      <c r="AK22" s="12">
        <v>0.5</v>
      </c>
      <c r="AL22" s="12"/>
      <c r="AM22" s="12">
        <v>0.5</v>
      </c>
      <c r="AQ22" s="12"/>
      <c r="AR22" s="12">
        <v>0.8</v>
      </c>
      <c r="AS22" s="12"/>
      <c r="AT22" s="12">
        <v>0.8</v>
      </c>
      <c r="AX22" s="12"/>
      <c r="AY22" s="12">
        <v>0.8</v>
      </c>
      <c r="AZ22" s="12"/>
      <c r="BA22" s="12">
        <v>0.8</v>
      </c>
      <c r="BE22" s="12"/>
      <c r="BF22" s="12">
        <v>0.8</v>
      </c>
      <c r="BG22" s="12"/>
      <c r="BH22" s="12">
        <v>0.8</v>
      </c>
      <c r="BL22" s="12"/>
      <c r="BM22" s="12">
        <v>1</v>
      </c>
      <c r="BN22" s="12"/>
      <c r="BO22" s="12">
        <v>1</v>
      </c>
      <c r="BS22" s="12"/>
      <c r="BT22" s="12">
        <v>1</v>
      </c>
      <c r="BU22" s="12"/>
      <c r="BV22" s="12">
        <v>1</v>
      </c>
      <c r="BZ22" s="12"/>
      <c r="CA22" s="12">
        <v>1</v>
      </c>
      <c r="CB22" s="12"/>
      <c r="CC22" s="12">
        <v>1</v>
      </c>
      <c r="CG22" s="12"/>
      <c r="CH22" s="12">
        <v>1</v>
      </c>
      <c r="CI22" s="12"/>
      <c r="CJ22" s="12">
        <v>1</v>
      </c>
      <c r="CN22" s="12"/>
      <c r="CO22" s="12"/>
      <c r="CP22" s="12"/>
      <c r="CQ22" s="12"/>
      <c r="CU22" s="12"/>
      <c r="CV22" s="12"/>
      <c r="CW22" s="12"/>
      <c r="CX22" s="12"/>
      <c r="DB22" s="12"/>
      <c r="DC22" s="12"/>
      <c r="DD22" s="12"/>
      <c r="DE22" s="12"/>
      <c r="DI22" s="12"/>
      <c r="DJ22" s="12"/>
      <c r="DK22" s="12"/>
      <c r="DL22" s="12"/>
      <c r="DP22" s="12"/>
      <c r="DQ22" s="12"/>
      <c r="DR22" s="12"/>
      <c r="DS22" s="12"/>
      <c r="DW22" s="12"/>
      <c r="DX22" s="12"/>
      <c r="DY22" s="12"/>
      <c r="DZ22" s="12"/>
      <c r="ED22" s="12"/>
      <c r="EE22" s="12"/>
      <c r="EF22" s="12"/>
      <c r="EG22" s="12"/>
    </row>
    <row r="23" spans="2:137" ht="15.75" customHeight="1" outlineLevel="1" x14ac:dyDescent="0.2">
      <c r="B23" t="s">
        <v>56</v>
      </c>
      <c r="C23" t="str">
        <f>C22</f>
        <v>Beschaffung, Logistik &amp; Produktion</v>
      </c>
      <c r="E23" s="11"/>
      <c r="F23" s="3" t="s">
        <v>75</v>
      </c>
      <c r="G23" s="12">
        <f>G5</f>
        <v>0.05</v>
      </c>
      <c r="I23" s="11">
        <f t="shared" si="0"/>
        <v>0</v>
      </c>
      <c r="J23" s="14">
        <f t="array" ref="J23">MAX(IF($N$3:$FJ$3=$J$3,N23:FJ23))</f>
        <v>0</v>
      </c>
      <c r="K23" s="14">
        <f t="array" ref="K23">MAX(IF($N$3:$FJ$3=$K$3,N23:FJ23))</f>
        <v>0</v>
      </c>
      <c r="L23" s="11"/>
      <c r="M23" s="8"/>
      <c r="O23" s="12"/>
      <c r="P23" s="12"/>
      <c r="Q23" s="12"/>
      <c r="R23" s="12"/>
      <c r="V23" s="12"/>
      <c r="W23" s="12"/>
      <c r="X23" s="12"/>
      <c r="Y23" s="12"/>
      <c r="AC23" s="12"/>
      <c r="AD23" s="12">
        <v>0.5</v>
      </c>
      <c r="AE23" s="12"/>
      <c r="AF23" s="12">
        <v>0.5</v>
      </c>
      <c r="AJ23" s="12"/>
      <c r="AK23" s="12">
        <v>0.5</v>
      </c>
      <c r="AL23" s="12"/>
      <c r="AM23" s="12">
        <v>0.5</v>
      </c>
      <c r="AQ23" s="12"/>
      <c r="AR23" s="12">
        <v>0.8</v>
      </c>
      <c r="AS23" s="12"/>
      <c r="AT23" s="12">
        <v>0.8</v>
      </c>
      <c r="AX23" s="12"/>
      <c r="AY23" s="12">
        <v>0.8</v>
      </c>
      <c r="AZ23" s="12"/>
      <c r="BA23" s="12">
        <v>0.8</v>
      </c>
      <c r="BE23" s="12"/>
      <c r="BF23" s="12">
        <v>0.8</v>
      </c>
      <c r="BG23" s="12"/>
      <c r="BH23" s="12">
        <v>0.8</v>
      </c>
      <c r="BL23" s="12"/>
      <c r="BM23" s="12">
        <v>1</v>
      </c>
      <c r="BN23" s="12"/>
      <c r="BO23" s="12">
        <v>1</v>
      </c>
      <c r="BS23" s="12"/>
      <c r="BT23" s="12">
        <v>1</v>
      </c>
      <c r="BU23" s="12"/>
      <c r="BV23" s="12">
        <v>1</v>
      </c>
      <c r="BZ23" s="12"/>
      <c r="CA23" s="12">
        <v>1</v>
      </c>
      <c r="CB23" s="12"/>
      <c r="CC23" s="12">
        <v>1</v>
      </c>
      <c r="CG23" s="12"/>
      <c r="CH23" s="12">
        <v>1</v>
      </c>
      <c r="CI23" s="12"/>
      <c r="CJ23" s="12">
        <v>1</v>
      </c>
      <c r="CN23" s="12"/>
      <c r="CO23" s="12"/>
      <c r="CP23" s="12"/>
      <c r="CQ23" s="12"/>
      <c r="CU23" s="12"/>
      <c r="CV23" s="12"/>
      <c r="CW23" s="12"/>
      <c r="CX23" s="12"/>
      <c r="DB23" s="12"/>
      <c r="DC23" s="12"/>
      <c r="DD23" s="12"/>
      <c r="DE23" s="12"/>
      <c r="DI23" s="12"/>
      <c r="DJ23" s="12"/>
      <c r="DK23" s="12"/>
      <c r="DL23" s="12"/>
      <c r="DP23" s="12"/>
      <c r="DQ23" s="12"/>
      <c r="DR23" s="12"/>
      <c r="DS23" s="12"/>
      <c r="DW23" s="12"/>
      <c r="DX23" s="12"/>
      <c r="DY23" s="12"/>
      <c r="DZ23" s="12"/>
      <c r="ED23" s="12"/>
      <c r="EE23" s="12"/>
      <c r="EF23" s="12"/>
      <c r="EG23" s="12"/>
    </row>
    <row r="24" spans="2:137" ht="15.75" customHeight="1" outlineLevel="1" x14ac:dyDescent="0.2">
      <c r="B24" t="s">
        <v>56</v>
      </c>
      <c r="C24" t="str">
        <f>C22</f>
        <v>Beschaffung, Logistik &amp; Produktion</v>
      </c>
      <c r="E24" s="11"/>
      <c r="F24" s="3" t="s">
        <v>76</v>
      </c>
      <c r="G24" s="12">
        <f>G5</f>
        <v>0.05</v>
      </c>
      <c r="I24" s="11">
        <f t="shared" si="0"/>
        <v>0</v>
      </c>
      <c r="J24" s="14">
        <f t="array" ref="J24">MAX(IF($N$3:$FJ$3=$J$3,N24:FJ24))</f>
        <v>0</v>
      </c>
      <c r="K24" s="14">
        <f t="array" ref="K24">MAX(IF($N$3:$FJ$3=$K$3,N24:FJ24))</f>
        <v>0</v>
      </c>
      <c r="L24" s="11"/>
      <c r="M24" s="8"/>
      <c r="O24" s="12"/>
      <c r="P24" s="12"/>
      <c r="Q24" s="12"/>
      <c r="R24" s="12"/>
      <c r="V24" s="12"/>
      <c r="W24" s="12"/>
      <c r="X24" s="12"/>
      <c r="Y24" s="12"/>
      <c r="AC24" s="12"/>
      <c r="AD24" s="12">
        <v>0.5</v>
      </c>
      <c r="AE24" s="12"/>
      <c r="AF24" s="12">
        <v>0.5</v>
      </c>
      <c r="AJ24" s="12"/>
      <c r="AK24" s="12">
        <v>0.5</v>
      </c>
      <c r="AL24" s="12"/>
      <c r="AM24" s="12">
        <v>0.5</v>
      </c>
      <c r="AQ24" s="12"/>
      <c r="AR24" s="12">
        <v>0.8</v>
      </c>
      <c r="AS24" s="12"/>
      <c r="AT24" s="12">
        <v>0.8</v>
      </c>
      <c r="AX24" s="12"/>
      <c r="AY24" s="12">
        <v>0.8</v>
      </c>
      <c r="AZ24" s="12"/>
      <c r="BA24" s="12">
        <v>0.8</v>
      </c>
      <c r="BE24" s="12"/>
      <c r="BF24" s="12">
        <v>0.8</v>
      </c>
      <c r="BG24" s="12"/>
      <c r="BH24" s="12">
        <v>0.8</v>
      </c>
      <c r="BL24" s="12"/>
      <c r="BM24" s="12">
        <v>1</v>
      </c>
      <c r="BN24" s="12"/>
      <c r="BO24" s="12">
        <v>1</v>
      </c>
      <c r="BS24" s="12"/>
      <c r="BT24" s="12">
        <v>1</v>
      </c>
      <c r="BU24" s="12"/>
      <c r="BV24" s="12">
        <v>1</v>
      </c>
      <c r="BZ24" s="12"/>
      <c r="CA24" s="12">
        <v>1</v>
      </c>
      <c r="CB24" s="12"/>
      <c r="CC24" s="12">
        <v>1</v>
      </c>
      <c r="CG24" s="12"/>
      <c r="CH24" s="12">
        <v>1</v>
      </c>
      <c r="CI24" s="12"/>
      <c r="CJ24" s="12">
        <v>1</v>
      </c>
      <c r="CN24" s="12"/>
      <c r="CO24" s="12"/>
      <c r="CP24" s="12"/>
      <c r="CQ24" s="12"/>
      <c r="CU24" s="12"/>
      <c r="CV24" s="12"/>
      <c r="CW24" s="12"/>
      <c r="CX24" s="12"/>
      <c r="DB24" s="12"/>
      <c r="DC24" s="12"/>
      <c r="DD24" s="12"/>
      <c r="DE24" s="12"/>
      <c r="DI24" s="12"/>
      <c r="DJ24" s="12"/>
      <c r="DK24" s="12"/>
      <c r="DL24" s="12"/>
      <c r="DP24" s="12"/>
      <c r="DQ24" s="12"/>
      <c r="DR24" s="12"/>
      <c r="DS24" s="12"/>
      <c r="DW24" s="12"/>
      <c r="DX24" s="12"/>
      <c r="DY24" s="12"/>
      <c r="DZ24" s="12"/>
      <c r="ED24" s="12"/>
      <c r="EE24" s="12"/>
      <c r="EF24" s="12"/>
      <c r="EG24" s="12"/>
    </row>
    <row r="25" spans="2:137" ht="15.75" customHeight="1" x14ac:dyDescent="0.2">
      <c r="M25" s="8"/>
    </row>
    <row r="26" spans="2:137" ht="15.75" customHeight="1" x14ac:dyDescent="0.2">
      <c r="B26" t="s">
        <v>40</v>
      </c>
      <c r="C26" t="s">
        <v>77</v>
      </c>
      <c r="D26" s="3" t="s">
        <v>78</v>
      </c>
      <c r="E26" s="11">
        <v>4</v>
      </c>
      <c r="G26" s="12">
        <f>+SUM(G27:G30)</f>
        <v>1</v>
      </c>
      <c r="I26" s="13">
        <f>+SUM(I27:I30)</f>
        <v>0</v>
      </c>
      <c r="J26" s="14">
        <f>+SUMPRODUCT(G27:G30,J27:J30)</f>
        <v>0</v>
      </c>
      <c r="K26" s="14">
        <f>+SUMPRODUCT(G27:G30,K27:K30)</f>
        <v>0</v>
      </c>
      <c r="L26" s="11"/>
      <c r="M26" s="8"/>
      <c r="N26" s="13">
        <f>+SUM(N27:N30)</f>
        <v>0</v>
      </c>
      <c r="U26" s="13">
        <f>+SUM(U27:U30)</f>
        <v>0</v>
      </c>
      <c r="AB26" s="13">
        <f>+SUM(AB27:AB30)</f>
        <v>0</v>
      </c>
      <c r="AI26" s="13">
        <f>+SUM(AI27:AI30)</f>
        <v>0</v>
      </c>
      <c r="AP26" s="13">
        <f>+SUM(AP27:AP30)</f>
        <v>0</v>
      </c>
      <c r="AW26" s="13">
        <f>+SUM(AW27:AW30)</f>
        <v>0</v>
      </c>
      <c r="AX26" s="13"/>
      <c r="BD26" s="13">
        <f>+SUM(BD27:BD30)</f>
        <v>0</v>
      </c>
      <c r="BK26" s="13">
        <f>+SUM(BK27:BK30)</f>
        <v>0</v>
      </c>
      <c r="BR26" s="13">
        <f>+SUM(BR27:BR30)</f>
        <v>0</v>
      </c>
      <c r="BY26" s="13">
        <f>+SUM(BY27:BY30)</f>
        <v>0</v>
      </c>
      <c r="CF26" s="13">
        <f>+SUM(CF27:CF30)</f>
        <v>0</v>
      </c>
      <c r="CM26" s="13">
        <f>+SUM(CM27:CM30)</f>
        <v>0</v>
      </c>
      <c r="CT26" s="13">
        <f>+SUM(CT27:CT30)</f>
        <v>0</v>
      </c>
      <c r="DA26" s="13">
        <f>+SUM(DA27:DA30)</f>
        <v>0</v>
      </c>
      <c r="DH26" s="13">
        <f>+SUM(DH27:DH30)</f>
        <v>0</v>
      </c>
      <c r="DO26" s="13">
        <f>+SUM(DO27:DO30)</f>
        <v>0</v>
      </c>
      <c r="DV26" s="13">
        <f>+SUM(DV27:DV30)</f>
        <v>0</v>
      </c>
      <c r="EC26" s="13">
        <f>+SUM(EC27:EC30)</f>
        <v>0</v>
      </c>
    </row>
    <row r="27" spans="2:137" ht="15.75" customHeight="1" outlineLevel="1" x14ac:dyDescent="0.2">
      <c r="B27" t="s">
        <v>56</v>
      </c>
      <c r="C27" t="str">
        <f>C26</f>
        <v>Personal, Führung &amp; Organisation</v>
      </c>
      <c r="E27" s="11"/>
      <c r="F27" s="3" t="s">
        <v>57</v>
      </c>
      <c r="G27" s="12">
        <f>1/4</f>
        <v>0.25</v>
      </c>
      <c r="I27" s="11">
        <f>+SUMIF($N$3:$ABB$3,I$3,$N27:$ABB27)</f>
        <v>0</v>
      </c>
      <c r="J27" s="14">
        <f t="array" ref="J27">MAX(IF($N$3:$FJ$3=$J$3,N27:FJ27))</f>
        <v>0</v>
      </c>
      <c r="K27" s="14">
        <f t="array" ref="K27">MAX(IF($N$3:$FJ$3=$K$3,N27:FJ27))</f>
        <v>0</v>
      </c>
      <c r="L27" s="11"/>
      <c r="M27" s="8"/>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E27" s="12"/>
      <c r="BF27" s="12"/>
      <c r="BG27" s="12"/>
      <c r="BH27" s="12"/>
      <c r="BL27" s="12"/>
      <c r="BM27" s="12"/>
      <c r="BN27" s="12"/>
      <c r="BO27" s="12"/>
      <c r="BS27" s="12"/>
      <c r="BT27" s="12"/>
      <c r="BU27" s="12"/>
      <c r="BV27" s="12"/>
      <c r="BZ27" s="12"/>
      <c r="CA27" s="12"/>
      <c r="CB27" s="12"/>
      <c r="CC27" s="12"/>
      <c r="CG27" s="12"/>
      <c r="CH27" s="12"/>
      <c r="CI27" s="12"/>
      <c r="CJ27" s="12"/>
      <c r="CN27" s="12"/>
      <c r="CO27" s="12">
        <v>0.5</v>
      </c>
      <c r="CP27" s="12"/>
      <c r="CQ27" s="12">
        <v>0.5</v>
      </c>
      <c r="CU27" s="12"/>
      <c r="CV27" s="12">
        <v>0.8</v>
      </c>
      <c r="CW27" s="12"/>
      <c r="CX27" s="12">
        <v>0.8</v>
      </c>
      <c r="DB27" s="12"/>
      <c r="DC27" s="12">
        <v>1</v>
      </c>
      <c r="DD27" s="12"/>
      <c r="DE27" s="12">
        <v>1</v>
      </c>
      <c r="DI27" s="12"/>
      <c r="DJ27" s="12">
        <v>1</v>
      </c>
      <c r="DK27" s="12"/>
      <c r="DL27" s="12">
        <v>1</v>
      </c>
      <c r="DP27" s="12"/>
      <c r="DQ27" s="12">
        <v>1</v>
      </c>
      <c r="DR27" s="12"/>
      <c r="DS27" s="12">
        <v>1</v>
      </c>
      <c r="DW27" s="12"/>
      <c r="DX27" s="12">
        <v>1</v>
      </c>
      <c r="DY27" s="12"/>
      <c r="DZ27" s="12">
        <v>1</v>
      </c>
      <c r="ED27" s="12"/>
      <c r="EE27" s="12">
        <v>1</v>
      </c>
      <c r="EF27" s="12"/>
      <c r="EG27" s="12">
        <v>1</v>
      </c>
    </row>
    <row r="28" spans="2:137" ht="15.75" customHeight="1" outlineLevel="1" x14ac:dyDescent="0.2">
      <c r="B28" t="s">
        <v>56</v>
      </c>
      <c r="C28" t="str">
        <f>C26</f>
        <v>Personal, Führung &amp; Organisation</v>
      </c>
      <c r="E28" s="11"/>
      <c r="F28" s="3" t="s">
        <v>58</v>
      </c>
      <c r="G28" s="12">
        <f>G27</f>
        <v>0.25</v>
      </c>
      <c r="I28" s="11">
        <f>+SUMIF($N$3:$ABB$3,I$3,$N28:$ABB28)</f>
        <v>0</v>
      </c>
      <c r="J28" s="14">
        <f t="array" ref="J28">MAX(IF($N$3:$FJ$3=$J$3,N28:FJ28))</f>
        <v>0</v>
      </c>
      <c r="K28" s="14">
        <f t="array" ref="K28">MAX(IF($N$3:$FJ$3=$K$3,N28:FJ28))</f>
        <v>0</v>
      </c>
      <c r="L28" s="11"/>
      <c r="M28" s="8"/>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E28" s="12"/>
      <c r="BF28" s="12"/>
      <c r="BG28" s="12"/>
      <c r="BH28" s="12"/>
      <c r="BL28" s="12"/>
      <c r="BM28" s="12"/>
      <c r="BN28" s="12"/>
      <c r="BO28" s="12"/>
      <c r="BS28" s="12"/>
      <c r="BT28" s="12"/>
      <c r="BU28" s="12"/>
      <c r="BV28" s="12"/>
      <c r="BZ28" s="12"/>
      <c r="CA28" s="12"/>
      <c r="CB28" s="12"/>
      <c r="CC28" s="12"/>
      <c r="CG28" s="12"/>
      <c r="CH28" s="12"/>
      <c r="CI28" s="12"/>
      <c r="CJ28" s="12"/>
      <c r="CN28" s="12"/>
      <c r="CO28" s="12">
        <v>0.5</v>
      </c>
      <c r="CP28" s="12"/>
      <c r="CQ28" s="12">
        <v>0.5</v>
      </c>
      <c r="CU28" s="12"/>
      <c r="CV28" s="12">
        <v>0.8</v>
      </c>
      <c r="CW28" s="12"/>
      <c r="CX28" s="12">
        <v>0.8</v>
      </c>
      <c r="DB28" s="12"/>
      <c r="DC28" s="12">
        <v>1</v>
      </c>
      <c r="DD28" s="12"/>
      <c r="DE28" s="12">
        <v>1</v>
      </c>
      <c r="DI28" s="12"/>
      <c r="DJ28" s="12">
        <v>1</v>
      </c>
      <c r="DK28" s="12"/>
      <c r="DL28" s="12">
        <v>1</v>
      </c>
      <c r="DP28" s="12"/>
      <c r="DQ28" s="12">
        <v>1</v>
      </c>
      <c r="DR28" s="12"/>
      <c r="DS28" s="12">
        <v>1</v>
      </c>
      <c r="DW28" s="12"/>
      <c r="DX28" s="12">
        <v>1</v>
      </c>
      <c r="DY28" s="12"/>
      <c r="DZ28" s="12">
        <v>1</v>
      </c>
      <c r="ED28" s="12"/>
      <c r="EE28" s="12">
        <v>1</v>
      </c>
      <c r="EF28" s="12"/>
      <c r="EG28" s="12">
        <v>1</v>
      </c>
    </row>
    <row r="29" spans="2:137" ht="15.75" customHeight="1" outlineLevel="1" x14ac:dyDescent="0.2">
      <c r="B29" t="s">
        <v>56</v>
      </c>
      <c r="C29" t="str">
        <f>C28</f>
        <v>Personal, Führung &amp; Organisation</v>
      </c>
      <c r="E29" s="11"/>
      <c r="F29" s="3" t="s">
        <v>59</v>
      </c>
      <c r="G29" s="12">
        <f>G27</f>
        <v>0.25</v>
      </c>
      <c r="I29" s="11">
        <f>+SUMIF($N$3:$ABB$3,I$3,$N29:$ABB29)</f>
        <v>0</v>
      </c>
      <c r="J29" s="14">
        <f t="array" ref="J29">MAX(IF($N$3:$FJ$3=$J$3,N29:FJ29))</f>
        <v>0</v>
      </c>
      <c r="K29" s="14">
        <f t="array" ref="K29">MAX(IF($N$3:$FJ$3=$K$3,N29:FJ29))</f>
        <v>0</v>
      </c>
      <c r="L29" s="11"/>
      <c r="M29" s="8"/>
      <c r="O29" s="12"/>
      <c r="P29" s="12"/>
      <c r="Q29" s="12"/>
      <c r="R29" s="12"/>
      <c r="V29" s="12"/>
      <c r="W29" s="12"/>
      <c r="X29" s="12"/>
      <c r="Y29" s="12"/>
      <c r="AC29" s="12"/>
      <c r="AD29" s="12"/>
      <c r="AE29" s="12"/>
      <c r="AF29" s="12"/>
      <c r="AJ29" s="12"/>
      <c r="AK29" s="12"/>
      <c r="AL29" s="12"/>
      <c r="AM29" s="12"/>
      <c r="AQ29" s="12"/>
      <c r="AR29" s="12"/>
      <c r="AS29" s="12"/>
      <c r="AT29" s="12"/>
      <c r="AX29" s="12"/>
      <c r="AY29" s="12"/>
      <c r="AZ29" s="12"/>
      <c r="BA29" s="12"/>
      <c r="BE29" s="12"/>
      <c r="BF29" s="12"/>
      <c r="BG29" s="12"/>
      <c r="BH29" s="12"/>
      <c r="BL29" s="12"/>
      <c r="BM29" s="12"/>
      <c r="BN29" s="12"/>
      <c r="BO29" s="12"/>
      <c r="BS29" s="12"/>
      <c r="BT29" s="12"/>
      <c r="BU29" s="12"/>
      <c r="BV29" s="12"/>
      <c r="BZ29" s="12"/>
      <c r="CA29" s="12"/>
      <c r="CB29" s="12"/>
      <c r="CC29" s="12"/>
      <c r="CG29" s="12"/>
      <c r="CH29" s="12"/>
      <c r="CI29" s="12"/>
      <c r="CJ29" s="12"/>
      <c r="CN29" s="12"/>
      <c r="CO29" s="12"/>
      <c r="CP29" s="12"/>
      <c r="CQ29" s="12"/>
      <c r="CU29" s="12"/>
      <c r="CV29" s="12">
        <v>0.5</v>
      </c>
      <c r="CW29" s="12"/>
      <c r="CX29" s="12">
        <v>0.5</v>
      </c>
      <c r="DB29" s="12"/>
      <c r="DC29" s="12">
        <v>0.8</v>
      </c>
      <c r="DD29" s="12"/>
      <c r="DE29" s="12">
        <v>0.8</v>
      </c>
      <c r="DI29" s="12"/>
      <c r="DJ29" s="12">
        <v>0.8</v>
      </c>
      <c r="DK29" s="12"/>
      <c r="DL29" s="12">
        <v>0.8</v>
      </c>
      <c r="DP29" s="12"/>
      <c r="DQ29" s="12">
        <v>1</v>
      </c>
      <c r="DR29" s="12"/>
      <c r="DS29" s="12">
        <v>1</v>
      </c>
      <c r="DW29" s="12"/>
      <c r="DX29" s="12">
        <v>1</v>
      </c>
      <c r="DY29" s="12"/>
      <c r="DZ29" s="12">
        <v>1</v>
      </c>
      <c r="ED29" s="12"/>
      <c r="EE29" s="12">
        <v>1</v>
      </c>
      <c r="EF29" s="12"/>
      <c r="EG29" s="12">
        <v>1</v>
      </c>
    </row>
    <row r="30" spans="2:137" ht="15.75" customHeight="1" outlineLevel="1" x14ac:dyDescent="0.2">
      <c r="B30" t="s">
        <v>56</v>
      </c>
      <c r="C30" t="str">
        <f>C28</f>
        <v>Personal, Führung &amp; Organisation</v>
      </c>
      <c r="E30" s="11"/>
      <c r="F30" s="3" t="s">
        <v>60</v>
      </c>
      <c r="G30" s="12">
        <f>G27</f>
        <v>0.25</v>
      </c>
      <c r="I30" s="11">
        <f>+SUMIF($N$3:$ABB$3,I$3,$N30:$ABB30)</f>
        <v>0</v>
      </c>
      <c r="J30" s="14">
        <f t="array" ref="J30">MAX(IF($N$3:$FJ$3=$J$3,N30:FJ30))</f>
        <v>0</v>
      </c>
      <c r="K30" s="14">
        <f t="array" ref="K30">MAX(IF($N$3:$FJ$3=$K$3,N30:FJ30))</f>
        <v>0</v>
      </c>
      <c r="L30" s="11"/>
      <c r="M30" s="8"/>
      <c r="O30" s="12"/>
      <c r="P30" s="12"/>
      <c r="Q30" s="12"/>
      <c r="R30" s="12"/>
      <c r="V30" s="12"/>
      <c r="W30" s="12"/>
      <c r="X30" s="12"/>
      <c r="Y30" s="12"/>
      <c r="AC30" s="12"/>
      <c r="AD30" s="12"/>
      <c r="AE30" s="12"/>
      <c r="AF30" s="12"/>
      <c r="AJ30" s="12"/>
      <c r="AK30" s="12"/>
      <c r="AL30" s="12"/>
      <c r="AM30" s="12"/>
      <c r="AQ30" s="12"/>
      <c r="AR30" s="12"/>
      <c r="AS30" s="12"/>
      <c r="AT30" s="12"/>
      <c r="AX30" s="12"/>
      <c r="AY30" s="12"/>
      <c r="AZ30" s="12"/>
      <c r="BA30" s="12"/>
      <c r="BE30" s="12"/>
      <c r="BF30" s="12"/>
      <c r="BG30" s="12"/>
      <c r="BH30" s="12"/>
      <c r="BL30" s="12"/>
      <c r="BM30" s="12"/>
      <c r="BN30" s="12"/>
      <c r="BO30" s="12"/>
      <c r="BS30" s="12"/>
      <c r="BT30" s="12"/>
      <c r="BU30" s="12"/>
      <c r="BV30" s="12"/>
      <c r="BZ30" s="12"/>
      <c r="CA30" s="12"/>
      <c r="CB30" s="12"/>
      <c r="CC30" s="12"/>
      <c r="CG30" s="12"/>
      <c r="CH30" s="12"/>
      <c r="CI30" s="12"/>
      <c r="CJ30" s="12"/>
      <c r="CN30" s="12"/>
      <c r="CO30" s="12"/>
      <c r="CP30" s="12"/>
      <c r="CQ30" s="12"/>
      <c r="CU30" s="12"/>
      <c r="CV30" s="12">
        <v>0.5</v>
      </c>
      <c r="CW30" s="12"/>
      <c r="CX30" s="12">
        <v>0.5</v>
      </c>
      <c r="DB30" s="12"/>
      <c r="DC30" s="12">
        <v>0.8</v>
      </c>
      <c r="DD30" s="12"/>
      <c r="DE30" s="12">
        <v>0.8</v>
      </c>
      <c r="DI30" s="12"/>
      <c r="DJ30" s="12">
        <v>0.8</v>
      </c>
      <c r="DK30" s="12"/>
      <c r="DL30" s="12">
        <v>0.8</v>
      </c>
      <c r="DP30" s="12"/>
      <c r="DQ30" s="12">
        <v>1</v>
      </c>
      <c r="DR30" s="12"/>
      <c r="DS30" s="12">
        <v>1</v>
      </c>
      <c r="DW30" s="12"/>
      <c r="DX30" s="12">
        <v>1</v>
      </c>
      <c r="DY30" s="12"/>
      <c r="DZ30" s="12">
        <v>1</v>
      </c>
      <c r="ED30" s="12"/>
      <c r="EE30" s="12">
        <v>1</v>
      </c>
      <c r="EF30" s="12"/>
      <c r="EG30" s="12">
        <v>1</v>
      </c>
    </row>
    <row r="31" spans="2:137" ht="15.75" customHeight="1" x14ac:dyDescent="0.2">
      <c r="M31" s="8"/>
    </row>
    <row r="32" spans="2:137" ht="15.75" customHeight="1" x14ac:dyDescent="0.2">
      <c r="B32" t="s">
        <v>40</v>
      </c>
      <c r="C32" t="s">
        <v>79</v>
      </c>
      <c r="D32" s="3" t="s">
        <v>78</v>
      </c>
      <c r="E32" s="11">
        <v>4</v>
      </c>
      <c r="G32" s="12">
        <f>+SUM(G33:G37)</f>
        <v>1</v>
      </c>
      <c r="I32" s="13">
        <f>+SUM(I33:I37)</f>
        <v>0</v>
      </c>
      <c r="J32" s="14">
        <f>+SUMPRODUCT(G33:G37,J33:J37)</f>
        <v>0</v>
      </c>
      <c r="K32" s="14">
        <f>+SUMPRODUCT(G33:G37,K33:K37)</f>
        <v>0</v>
      </c>
      <c r="L32" s="11"/>
      <c r="M32" s="8"/>
      <c r="N32" s="13">
        <f>+SUM(N33:N37)</f>
        <v>0</v>
      </c>
      <c r="U32" s="13">
        <f>+SUM(U33:U37)</f>
        <v>0</v>
      </c>
      <c r="AB32" s="13">
        <f>+SUM(AB33:AB37)</f>
        <v>0</v>
      </c>
      <c r="AI32" s="13">
        <f>+SUM(AI33:AI37)</f>
        <v>0</v>
      </c>
      <c r="AP32" s="13">
        <f>+SUM(AP33:AP37)</f>
        <v>0</v>
      </c>
      <c r="AW32" s="13">
        <f>+SUM(AW33:AW37)</f>
        <v>0</v>
      </c>
      <c r="AX32" s="13"/>
      <c r="BD32" s="13">
        <f>+SUM(BD33:BD37)</f>
        <v>0</v>
      </c>
      <c r="BK32" s="13">
        <f>+SUM(BK33:BK37)</f>
        <v>0</v>
      </c>
      <c r="BR32" s="13">
        <f>+SUM(BR33:BR37)</f>
        <v>0</v>
      </c>
      <c r="BY32" s="13">
        <f>+SUM(BY33:BY37)</f>
        <v>0</v>
      </c>
      <c r="CF32" s="13">
        <f>+SUM(CF33:CF37)</f>
        <v>0</v>
      </c>
      <c r="CM32" s="13">
        <f>+SUM(CM33:CM37)</f>
        <v>0</v>
      </c>
      <c r="CT32" s="13">
        <f>+SUM(CT33:CT37)</f>
        <v>0</v>
      </c>
      <c r="DA32" s="13">
        <f>+SUM(DA33:DA37)</f>
        <v>0</v>
      </c>
      <c r="DH32" s="13">
        <f>+SUM(DH33:DH37)</f>
        <v>0</v>
      </c>
      <c r="DO32" s="13">
        <f>+SUM(DO33:DO37)</f>
        <v>0</v>
      </c>
      <c r="DV32" s="13">
        <f>+SUM(DV33:DV37)</f>
        <v>0</v>
      </c>
      <c r="EC32" s="13">
        <f>+SUM(EC33:EC37)</f>
        <v>0</v>
      </c>
    </row>
    <row r="33" spans="2:137" ht="15.75" customHeight="1" outlineLevel="1" x14ac:dyDescent="0.2">
      <c r="B33" t="s">
        <v>56</v>
      </c>
      <c r="C33" t="str">
        <f>C32</f>
        <v>SBWL Finance Kurs 1</v>
      </c>
      <c r="E33" s="11"/>
      <c r="F33" s="3" t="s">
        <v>57</v>
      </c>
      <c r="G33" s="12">
        <f>1/5</f>
        <v>0.2</v>
      </c>
      <c r="I33" s="11">
        <f>+SUMIF($N$3:$ABB$3,I$3,$N33:$ABB33)</f>
        <v>0</v>
      </c>
      <c r="J33" s="14">
        <f t="array" ref="J33">MAX(IF($N$3:$FJ$3=$J$3,N33:FJ33))</f>
        <v>0</v>
      </c>
      <c r="K33" s="14">
        <f t="array" ref="K33">MAX(IF($N$3:$FJ$3=$K$3,N33:FJ33))</f>
        <v>0</v>
      </c>
      <c r="L33" s="11"/>
      <c r="M33" s="8"/>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E33" s="12"/>
      <c r="BF33" s="12"/>
      <c r="BG33" s="12"/>
      <c r="BH33" s="12"/>
      <c r="BL33" s="12"/>
      <c r="BM33" s="12"/>
      <c r="BN33" s="12"/>
      <c r="BO33" s="12"/>
      <c r="BS33" s="12"/>
      <c r="BT33" s="12"/>
      <c r="BU33" s="12"/>
      <c r="BV33" s="12"/>
      <c r="BZ33" s="12"/>
      <c r="CA33" s="12"/>
      <c r="CB33" s="12"/>
      <c r="CC33" s="12"/>
      <c r="CG33" s="12"/>
      <c r="CH33" s="12"/>
      <c r="CI33" s="12"/>
      <c r="CJ33" s="12"/>
      <c r="CN33" s="12"/>
      <c r="CO33" s="12">
        <v>0.5</v>
      </c>
      <c r="CP33" s="12"/>
      <c r="CQ33" s="12">
        <v>0.5</v>
      </c>
      <c r="CU33" s="12"/>
      <c r="CV33" s="12">
        <v>0.8</v>
      </c>
      <c r="CW33" s="12"/>
      <c r="CX33" s="12">
        <v>0.8</v>
      </c>
      <c r="DB33" s="12"/>
      <c r="DC33" s="12">
        <v>1</v>
      </c>
      <c r="DD33" s="12"/>
      <c r="DE33" s="12">
        <v>1</v>
      </c>
      <c r="DI33" s="12"/>
      <c r="DJ33" s="12">
        <v>1</v>
      </c>
      <c r="DK33" s="12"/>
      <c r="DL33" s="12">
        <v>1</v>
      </c>
      <c r="DP33" s="12"/>
      <c r="DQ33" s="12">
        <v>1</v>
      </c>
      <c r="DR33" s="12"/>
      <c r="DS33" s="12">
        <v>1</v>
      </c>
      <c r="DW33" s="12"/>
      <c r="DX33" s="12">
        <v>1</v>
      </c>
      <c r="DY33" s="12"/>
      <c r="DZ33" s="12">
        <v>1</v>
      </c>
      <c r="ED33" s="12"/>
      <c r="EE33" s="12">
        <v>1</v>
      </c>
      <c r="EF33" s="12"/>
      <c r="EG33" s="12">
        <v>1</v>
      </c>
    </row>
    <row r="34" spans="2:137" ht="15.75" customHeight="1" outlineLevel="1" x14ac:dyDescent="0.2">
      <c r="B34" t="s">
        <v>56</v>
      </c>
      <c r="C34" t="str">
        <f>C32</f>
        <v>SBWL Finance Kurs 1</v>
      </c>
      <c r="E34" s="11"/>
      <c r="F34" s="3" t="s">
        <v>58</v>
      </c>
      <c r="G34" s="12">
        <f>G33</f>
        <v>0.2</v>
      </c>
      <c r="I34" s="11">
        <f>+SUMIF($N$3:$ABB$3,I$3,$N34:$ABB34)</f>
        <v>0</v>
      </c>
      <c r="J34" s="14">
        <f t="array" ref="J34">MAX(IF($N$3:$FJ$3=$J$3,N34:FJ34))</f>
        <v>0</v>
      </c>
      <c r="K34" s="14">
        <f t="array" ref="K34">MAX(IF($N$3:$FJ$3=$K$3,N34:FJ34))</f>
        <v>0</v>
      </c>
      <c r="L34" s="11"/>
      <c r="M34" s="8"/>
      <c r="O34" s="12"/>
      <c r="P34" s="12"/>
      <c r="Q34" s="12"/>
      <c r="R34" s="12"/>
      <c r="V34" s="12"/>
      <c r="W34" s="12"/>
      <c r="X34" s="12"/>
      <c r="Y34" s="12"/>
      <c r="AC34" s="12"/>
      <c r="AD34" s="12"/>
      <c r="AE34" s="12"/>
      <c r="AF34" s="12"/>
      <c r="AJ34" s="12"/>
      <c r="AK34" s="12"/>
      <c r="AL34" s="12"/>
      <c r="AM34" s="12"/>
      <c r="AQ34" s="12"/>
      <c r="AR34" s="12"/>
      <c r="AS34" s="12"/>
      <c r="AT34" s="12"/>
      <c r="AX34" s="12"/>
      <c r="AY34" s="12"/>
      <c r="AZ34" s="12"/>
      <c r="BA34" s="12"/>
      <c r="BE34" s="12"/>
      <c r="BF34" s="12"/>
      <c r="BG34" s="12"/>
      <c r="BH34" s="12"/>
      <c r="BL34" s="12"/>
      <c r="BM34" s="12"/>
      <c r="BN34" s="12"/>
      <c r="BO34" s="12"/>
      <c r="BS34" s="12"/>
      <c r="BT34" s="12"/>
      <c r="BU34" s="12"/>
      <c r="BV34" s="12"/>
      <c r="BZ34" s="12"/>
      <c r="CA34" s="12"/>
      <c r="CB34" s="12"/>
      <c r="CC34" s="12"/>
      <c r="CG34" s="12"/>
      <c r="CH34" s="12"/>
      <c r="CI34" s="12"/>
      <c r="CJ34" s="12"/>
      <c r="CN34" s="12"/>
      <c r="CO34" s="12">
        <v>0.5</v>
      </c>
      <c r="CP34" s="12"/>
      <c r="CQ34" s="12">
        <v>0.5</v>
      </c>
      <c r="CU34" s="12"/>
      <c r="CV34" s="12">
        <v>0.8</v>
      </c>
      <c r="CW34" s="12"/>
      <c r="CX34" s="12">
        <v>0.8</v>
      </c>
      <c r="DB34" s="12"/>
      <c r="DC34" s="12">
        <v>1</v>
      </c>
      <c r="DD34" s="12"/>
      <c r="DE34" s="12">
        <v>1</v>
      </c>
      <c r="DI34" s="12"/>
      <c r="DJ34" s="12">
        <v>1</v>
      </c>
      <c r="DK34" s="12"/>
      <c r="DL34" s="12">
        <v>1</v>
      </c>
      <c r="DP34" s="12"/>
      <c r="DQ34" s="12">
        <v>1</v>
      </c>
      <c r="DR34" s="12"/>
      <c r="DS34" s="12">
        <v>1</v>
      </c>
      <c r="DW34" s="12"/>
      <c r="DX34" s="12">
        <v>1</v>
      </c>
      <c r="DY34" s="12"/>
      <c r="DZ34" s="12">
        <v>1</v>
      </c>
      <c r="ED34" s="12"/>
      <c r="EE34" s="12">
        <v>1</v>
      </c>
      <c r="EF34" s="12"/>
      <c r="EG34" s="12">
        <v>1</v>
      </c>
    </row>
    <row r="35" spans="2:137" ht="15.75" customHeight="1" outlineLevel="1" x14ac:dyDescent="0.2">
      <c r="B35" t="s">
        <v>56</v>
      </c>
      <c r="C35" t="str">
        <f>C34</f>
        <v>SBWL Finance Kurs 1</v>
      </c>
      <c r="E35" s="11"/>
      <c r="F35" s="3" t="s">
        <v>59</v>
      </c>
      <c r="G35" s="12">
        <f>G33</f>
        <v>0.2</v>
      </c>
      <c r="I35" s="11">
        <f>+SUMIF($N$3:$ABB$3,I$3,$N35:$ABB35)</f>
        <v>0</v>
      </c>
      <c r="J35" s="14">
        <f t="array" ref="J35">MAX(IF($N$3:$FJ$3=$J$3,N35:FJ35))</f>
        <v>0</v>
      </c>
      <c r="K35" s="14">
        <f t="array" ref="K35">MAX(IF($N$3:$FJ$3=$K$3,N35:FJ35))</f>
        <v>0</v>
      </c>
      <c r="L35" s="11"/>
      <c r="M35" s="8"/>
      <c r="O35" s="12"/>
      <c r="P35" s="12"/>
      <c r="Q35" s="12"/>
      <c r="R35" s="12"/>
      <c r="V35" s="12"/>
      <c r="W35" s="12"/>
      <c r="X35" s="12"/>
      <c r="Y35" s="12"/>
      <c r="AC35" s="12"/>
      <c r="AD35" s="12"/>
      <c r="AE35" s="12"/>
      <c r="AF35" s="12"/>
      <c r="AJ35" s="12"/>
      <c r="AK35" s="12"/>
      <c r="AL35" s="12"/>
      <c r="AM35" s="12"/>
      <c r="AQ35" s="12"/>
      <c r="AR35" s="12"/>
      <c r="AS35" s="12"/>
      <c r="AT35" s="12"/>
      <c r="AX35" s="12"/>
      <c r="AY35" s="12"/>
      <c r="AZ35" s="12"/>
      <c r="BA35" s="12"/>
      <c r="BE35" s="12"/>
      <c r="BF35" s="12"/>
      <c r="BG35" s="12"/>
      <c r="BH35" s="12"/>
      <c r="BL35" s="12"/>
      <c r="BM35" s="12"/>
      <c r="BN35" s="12"/>
      <c r="BO35" s="12"/>
      <c r="BS35" s="12"/>
      <c r="BT35" s="12"/>
      <c r="BU35" s="12"/>
      <c r="BV35" s="12"/>
      <c r="BZ35" s="12"/>
      <c r="CA35" s="12"/>
      <c r="CB35" s="12"/>
      <c r="CC35" s="12"/>
      <c r="CG35" s="12"/>
      <c r="CH35" s="12"/>
      <c r="CI35" s="12"/>
      <c r="CJ35" s="12"/>
      <c r="CN35" s="12"/>
      <c r="CO35" s="12">
        <v>0.5</v>
      </c>
      <c r="CP35" s="12"/>
      <c r="CQ35" s="12">
        <v>0.5</v>
      </c>
      <c r="CU35" s="12"/>
      <c r="CV35" s="12">
        <v>0.8</v>
      </c>
      <c r="CW35" s="12"/>
      <c r="CX35" s="12">
        <v>0.8</v>
      </c>
      <c r="DB35" s="12"/>
      <c r="DC35" s="12">
        <v>1</v>
      </c>
      <c r="DD35" s="12"/>
      <c r="DE35" s="12">
        <v>1</v>
      </c>
      <c r="DI35" s="12"/>
      <c r="DJ35" s="12">
        <v>1</v>
      </c>
      <c r="DK35" s="12"/>
      <c r="DL35" s="12">
        <v>1</v>
      </c>
      <c r="DP35" s="12"/>
      <c r="DQ35" s="12">
        <v>1</v>
      </c>
      <c r="DR35" s="12"/>
      <c r="DS35" s="12">
        <v>1</v>
      </c>
      <c r="DW35" s="12"/>
      <c r="DX35" s="12">
        <v>1</v>
      </c>
      <c r="DY35" s="12"/>
      <c r="DZ35" s="12">
        <v>1</v>
      </c>
      <c r="ED35" s="12"/>
      <c r="EE35" s="12">
        <v>1</v>
      </c>
      <c r="EF35" s="12"/>
      <c r="EG35" s="12">
        <v>1</v>
      </c>
    </row>
    <row r="36" spans="2:137" ht="15.75" customHeight="1" outlineLevel="1" x14ac:dyDescent="0.2">
      <c r="B36" t="s">
        <v>56</v>
      </c>
      <c r="C36" t="str">
        <f>C34</f>
        <v>SBWL Finance Kurs 1</v>
      </c>
      <c r="E36" s="11"/>
      <c r="F36" s="3" t="s">
        <v>60</v>
      </c>
      <c r="G36" s="12">
        <f>G33</f>
        <v>0.2</v>
      </c>
      <c r="I36" s="11">
        <f>+SUMIF($N$3:$ABB$3,I$3,$N36:$ABB36)</f>
        <v>0</v>
      </c>
      <c r="J36" s="14">
        <f t="array" ref="J36">MAX(IF($N$3:$FJ$3=$J$3,N36:FJ36))</f>
        <v>0</v>
      </c>
      <c r="K36" s="14">
        <f t="array" ref="K36">MAX(IF($N$3:$FJ$3=$K$3,N36:FJ36))</f>
        <v>0</v>
      </c>
      <c r="L36" s="11"/>
      <c r="M36" s="8"/>
      <c r="O36" s="12"/>
      <c r="P36" s="12"/>
      <c r="Q36" s="12"/>
      <c r="R36" s="12"/>
      <c r="V36" s="12"/>
      <c r="W36" s="12"/>
      <c r="X36" s="12"/>
      <c r="Y36" s="12"/>
      <c r="AC36" s="12"/>
      <c r="AD36" s="12"/>
      <c r="AE36" s="12"/>
      <c r="AF36" s="12"/>
      <c r="AJ36" s="12"/>
      <c r="AK36" s="12"/>
      <c r="AL36" s="12"/>
      <c r="AM36" s="12"/>
      <c r="AQ36" s="12"/>
      <c r="AR36" s="12"/>
      <c r="AS36" s="12"/>
      <c r="AT36" s="12"/>
      <c r="AX36" s="12"/>
      <c r="AY36" s="12"/>
      <c r="AZ36" s="12"/>
      <c r="BA36" s="12"/>
      <c r="BE36" s="12"/>
      <c r="BF36" s="12"/>
      <c r="BG36" s="12"/>
      <c r="BH36" s="12"/>
      <c r="BL36" s="12"/>
      <c r="BM36" s="12"/>
      <c r="BN36" s="12"/>
      <c r="BO36" s="12"/>
      <c r="BS36" s="12"/>
      <c r="BT36" s="12"/>
      <c r="BU36" s="12"/>
      <c r="BV36" s="12"/>
      <c r="BZ36" s="12"/>
      <c r="CA36" s="12"/>
      <c r="CB36" s="12"/>
      <c r="CC36" s="12"/>
      <c r="CG36" s="12"/>
      <c r="CH36" s="12"/>
      <c r="CI36" s="12"/>
      <c r="CJ36" s="12"/>
      <c r="CN36" s="12"/>
      <c r="CO36" s="12"/>
      <c r="CP36" s="12"/>
      <c r="CQ36" s="12"/>
      <c r="CU36" s="12"/>
      <c r="CV36" s="12">
        <v>0.5</v>
      </c>
      <c r="CW36" s="12"/>
      <c r="CX36" s="12">
        <v>0.5</v>
      </c>
      <c r="DB36" s="12"/>
      <c r="DC36" s="12">
        <v>0.8</v>
      </c>
      <c r="DD36" s="12"/>
      <c r="DE36" s="12">
        <v>0.8</v>
      </c>
      <c r="DI36" s="12"/>
      <c r="DJ36" s="12">
        <v>0.8</v>
      </c>
      <c r="DK36" s="12"/>
      <c r="DL36" s="12">
        <v>0.8</v>
      </c>
      <c r="DP36" s="12"/>
      <c r="DQ36" s="12">
        <v>1</v>
      </c>
      <c r="DR36" s="12"/>
      <c r="DS36" s="12">
        <v>1</v>
      </c>
      <c r="DW36" s="12"/>
      <c r="DX36" s="12">
        <v>1</v>
      </c>
      <c r="DY36" s="12"/>
      <c r="DZ36" s="12">
        <v>1</v>
      </c>
      <c r="ED36" s="12"/>
      <c r="EE36" s="12">
        <v>1</v>
      </c>
      <c r="EF36" s="12"/>
      <c r="EG36" s="12">
        <v>1</v>
      </c>
    </row>
    <row r="37" spans="2:137" ht="15.75" customHeight="1" outlineLevel="1" x14ac:dyDescent="0.2">
      <c r="B37" t="s">
        <v>56</v>
      </c>
      <c r="C37" t="str">
        <f>C36</f>
        <v>SBWL Finance Kurs 1</v>
      </c>
      <c r="E37" s="11"/>
      <c r="F37" s="3" t="s">
        <v>61</v>
      </c>
      <c r="G37" s="12">
        <f>G33</f>
        <v>0.2</v>
      </c>
      <c r="I37" s="11">
        <f>+SUMIF($N$3:$ABB$3,I$3,$N37:$ABB37)</f>
        <v>0</v>
      </c>
      <c r="J37" s="14">
        <f t="array" ref="J37">MAX(IF($N$3:$FJ$3=$J$3,N37:FJ37))</f>
        <v>0</v>
      </c>
      <c r="K37" s="14">
        <f t="array" ref="K37">MAX(IF($N$3:$FJ$3=$K$3,N37:FJ37))</f>
        <v>0</v>
      </c>
      <c r="L37" s="11"/>
      <c r="M37" s="8"/>
      <c r="O37" s="12"/>
      <c r="P37" s="12"/>
      <c r="Q37" s="12"/>
      <c r="R37" s="12"/>
      <c r="V37" s="12"/>
      <c r="W37" s="12"/>
      <c r="X37" s="12"/>
      <c r="Y37" s="12"/>
      <c r="AC37" s="12"/>
      <c r="AD37" s="12"/>
      <c r="AE37" s="12"/>
      <c r="AF37" s="12"/>
      <c r="AJ37" s="12"/>
      <c r="AK37" s="12"/>
      <c r="AL37" s="12"/>
      <c r="AM37" s="12"/>
      <c r="AQ37" s="12"/>
      <c r="AR37" s="12"/>
      <c r="AS37" s="12"/>
      <c r="AT37" s="12"/>
      <c r="AX37" s="12"/>
      <c r="AY37" s="12"/>
      <c r="AZ37" s="12"/>
      <c r="BA37" s="12"/>
      <c r="BE37" s="12"/>
      <c r="BF37" s="12"/>
      <c r="BG37" s="12"/>
      <c r="BH37" s="12"/>
      <c r="BL37" s="12"/>
      <c r="BM37" s="12"/>
      <c r="BN37" s="12"/>
      <c r="BO37" s="12"/>
      <c r="BS37" s="12"/>
      <c r="BT37" s="12"/>
      <c r="BU37" s="12"/>
      <c r="BV37" s="12"/>
      <c r="BZ37" s="12"/>
      <c r="CA37" s="12"/>
      <c r="CB37" s="12"/>
      <c r="CC37" s="12"/>
      <c r="CG37" s="12"/>
      <c r="CH37" s="12"/>
      <c r="CI37" s="12"/>
      <c r="CJ37" s="12"/>
      <c r="CN37" s="12"/>
      <c r="CO37" s="12"/>
      <c r="CP37" s="12"/>
      <c r="CQ37" s="12"/>
      <c r="CU37" s="12"/>
      <c r="CV37" s="12">
        <v>0.5</v>
      </c>
      <c r="CW37" s="12"/>
      <c r="CX37" s="12">
        <v>0.5</v>
      </c>
      <c r="DB37" s="12"/>
      <c r="DC37" s="12">
        <v>0.8</v>
      </c>
      <c r="DD37" s="12"/>
      <c r="DE37" s="12">
        <v>0.8</v>
      </c>
      <c r="DI37" s="12"/>
      <c r="DJ37" s="12">
        <v>0.8</v>
      </c>
      <c r="DK37" s="12"/>
      <c r="DL37" s="12">
        <v>0.8</v>
      </c>
      <c r="DP37" s="12"/>
      <c r="DQ37" s="12">
        <v>1</v>
      </c>
      <c r="DR37" s="12"/>
      <c r="DS37" s="12">
        <v>1</v>
      </c>
      <c r="DW37" s="12"/>
      <c r="DX37" s="12">
        <v>1</v>
      </c>
      <c r="DY37" s="12"/>
      <c r="DZ37" s="12">
        <v>1</v>
      </c>
      <c r="ED37" s="12"/>
      <c r="EE37" s="12">
        <v>1</v>
      </c>
      <c r="EF37" s="12"/>
      <c r="EG37" s="12">
        <v>1</v>
      </c>
    </row>
    <row r="38" spans="2:137" ht="15.75" customHeight="1" x14ac:dyDescent="0.2">
      <c r="M38" s="8"/>
    </row>
    <row r="39" spans="2:137" ht="15.75" customHeight="1" x14ac:dyDescent="0.2">
      <c r="B39" t="s">
        <v>40</v>
      </c>
      <c r="C39" t="s">
        <v>80</v>
      </c>
      <c r="D39" s="3" t="s">
        <v>78</v>
      </c>
      <c r="E39" s="11">
        <v>4</v>
      </c>
      <c r="G39" s="12">
        <f>+SUM(G40:G44)</f>
        <v>1</v>
      </c>
      <c r="I39" s="13">
        <f>+SUM(I40:I44)</f>
        <v>0</v>
      </c>
      <c r="J39" s="14">
        <f>+SUMPRODUCT(G40:G44,J40:J44)</f>
        <v>0</v>
      </c>
      <c r="K39" s="14">
        <f>+SUMPRODUCT(G40:G44,K40:K44)</f>
        <v>0</v>
      </c>
      <c r="L39" s="11"/>
      <c r="M39" s="8"/>
      <c r="N39" s="13">
        <f>+SUM(N40:N44)</f>
        <v>0</v>
      </c>
      <c r="U39" s="13">
        <f>+SUM(U40:U44)</f>
        <v>0</v>
      </c>
      <c r="AB39" s="13">
        <f>+SUM(AB40:AB44)</f>
        <v>0</v>
      </c>
      <c r="AI39" s="13">
        <f>+SUM(AI40:AI44)</f>
        <v>0</v>
      </c>
      <c r="AP39" s="13">
        <f>+SUM(AP40:AP44)</f>
        <v>0</v>
      </c>
      <c r="AW39" s="13">
        <f>+SUM(AW40:AW44)</f>
        <v>0</v>
      </c>
      <c r="AX39" s="13"/>
      <c r="BD39" s="13">
        <f>+SUM(BD40:BD44)</f>
        <v>0</v>
      </c>
      <c r="BK39" s="13">
        <f>+SUM(BK40:BK44)</f>
        <v>0</v>
      </c>
      <c r="BR39" s="13">
        <f>+SUM(BR40:BR44)</f>
        <v>0</v>
      </c>
      <c r="BY39" s="13">
        <f>+SUM(BY40:BY44)</f>
        <v>0</v>
      </c>
      <c r="CF39" s="13">
        <f>+SUM(CF40:CF44)</f>
        <v>0</v>
      </c>
      <c r="CM39" s="13">
        <f>+SUM(CM40:CM44)</f>
        <v>0</v>
      </c>
      <c r="CT39" s="13">
        <f>+SUM(CT40:CT44)</f>
        <v>0</v>
      </c>
      <c r="DA39" s="13">
        <f>+SUM(DA40:DA44)</f>
        <v>0</v>
      </c>
      <c r="DH39" s="13">
        <f>+SUM(DH40:DH44)</f>
        <v>0</v>
      </c>
      <c r="DO39" s="13">
        <f>+SUM(DO40:DO44)</f>
        <v>0</v>
      </c>
      <c r="DV39" s="13">
        <f>+SUM(DV40:DV44)</f>
        <v>0</v>
      </c>
      <c r="EC39" s="13">
        <f>+SUM(EC40:EC44)</f>
        <v>0</v>
      </c>
    </row>
    <row r="40" spans="2:137" ht="15.75" customHeight="1" outlineLevel="1" x14ac:dyDescent="0.2">
      <c r="B40" t="s">
        <v>56</v>
      </c>
      <c r="C40" t="str">
        <f>C39</f>
        <v>SBWL Finance Kurs 3</v>
      </c>
      <c r="E40" s="11"/>
      <c r="F40" s="3" t="s">
        <v>57</v>
      </c>
      <c r="G40" s="12">
        <f>1/5</f>
        <v>0.2</v>
      </c>
      <c r="I40" s="11">
        <f>+SUMIF($N$3:$ABB$3,I$3,$N40:$ABB40)</f>
        <v>0</v>
      </c>
      <c r="J40" s="14">
        <f t="array" ref="J40">MAX(IF($N$3:$FJ$3=$J$3,N40:FJ40))</f>
        <v>0</v>
      </c>
      <c r="K40" s="14">
        <f t="array" ref="K40">MAX(IF($N$3:$FJ$3=$K$3,N40:FJ40))</f>
        <v>0</v>
      </c>
      <c r="L40" s="11"/>
      <c r="M40" s="8"/>
      <c r="O40" s="12"/>
      <c r="P40" s="12"/>
      <c r="Q40" s="12"/>
      <c r="R40" s="12"/>
      <c r="V40" s="12"/>
      <c r="W40" s="12"/>
      <c r="X40" s="12"/>
      <c r="Y40" s="12"/>
      <c r="AC40" s="12"/>
      <c r="AD40" s="12"/>
      <c r="AE40" s="12"/>
      <c r="AF40" s="12"/>
      <c r="AJ40" s="12"/>
      <c r="AK40" s="12"/>
      <c r="AL40" s="12"/>
      <c r="AM40" s="12"/>
      <c r="AQ40" s="12"/>
      <c r="AR40" s="12"/>
      <c r="AS40" s="12"/>
      <c r="AT40" s="12"/>
      <c r="AX40" s="12"/>
      <c r="AY40" s="12"/>
      <c r="AZ40" s="12"/>
      <c r="BA40" s="12"/>
      <c r="BE40" s="12"/>
      <c r="BF40" s="12"/>
      <c r="BG40" s="12"/>
      <c r="BH40" s="12"/>
      <c r="BL40" s="12"/>
      <c r="BM40" s="12"/>
      <c r="BN40" s="12"/>
      <c r="BO40" s="12"/>
      <c r="BS40" s="12"/>
      <c r="BT40" s="12"/>
      <c r="BU40" s="12"/>
      <c r="BV40" s="12"/>
      <c r="BZ40" s="12"/>
      <c r="CA40" s="12"/>
      <c r="CB40" s="12"/>
      <c r="CC40" s="12"/>
      <c r="CG40" s="12"/>
      <c r="CH40" s="12"/>
      <c r="CI40" s="12"/>
      <c r="CJ40" s="12"/>
      <c r="CN40" s="12"/>
      <c r="CO40" s="12">
        <v>0.5</v>
      </c>
      <c r="CP40" s="12"/>
      <c r="CQ40" s="12">
        <v>0.5</v>
      </c>
      <c r="CU40" s="12"/>
      <c r="CV40" s="12">
        <v>0.8</v>
      </c>
      <c r="CW40" s="12"/>
      <c r="CX40" s="12">
        <v>0.8</v>
      </c>
      <c r="DB40" s="12"/>
      <c r="DC40" s="12">
        <v>1</v>
      </c>
      <c r="DD40" s="12"/>
      <c r="DE40" s="12">
        <v>1</v>
      </c>
      <c r="DI40" s="12"/>
      <c r="DJ40" s="12">
        <v>1</v>
      </c>
      <c r="DK40" s="12"/>
      <c r="DL40" s="12">
        <v>1</v>
      </c>
      <c r="DP40" s="12"/>
      <c r="DQ40" s="12">
        <v>1</v>
      </c>
      <c r="DR40" s="12"/>
      <c r="DS40" s="12">
        <v>1</v>
      </c>
      <c r="DW40" s="12"/>
      <c r="DX40" s="12">
        <v>1</v>
      </c>
      <c r="DY40" s="12"/>
      <c r="DZ40" s="12">
        <v>1</v>
      </c>
      <c r="ED40" s="12"/>
      <c r="EE40" s="12">
        <v>1</v>
      </c>
      <c r="EF40" s="12"/>
      <c r="EG40" s="12">
        <v>1</v>
      </c>
    </row>
    <row r="41" spans="2:137" ht="15.75" customHeight="1" outlineLevel="1" x14ac:dyDescent="0.2">
      <c r="B41" t="s">
        <v>56</v>
      </c>
      <c r="C41" t="str">
        <f>C39</f>
        <v>SBWL Finance Kurs 3</v>
      </c>
      <c r="E41" s="11"/>
      <c r="F41" s="3" t="s">
        <v>58</v>
      </c>
      <c r="G41" s="12">
        <f>G40</f>
        <v>0.2</v>
      </c>
      <c r="I41" s="11">
        <f>+SUMIF($N$3:$ABB$3,I$3,$N41:$ABB41)</f>
        <v>0</v>
      </c>
      <c r="J41" s="14">
        <f t="array" ref="J41">MAX(IF($N$3:$FJ$3=$J$3,N41:FJ41))</f>
        <v>0</v>
      </c>
      <c r="K41" s="14">
        <f t="array" ref="K41">MAX(IF($N$3:$FJ$3=$K$3,N41:FJ41))</f>
        <v>0</v>
      </c>
      <c r="L41" s="11"/>
      <c r="M41" s="8"/>
      <c r="O41" s="12"/>
      <c r="P41" s="12"/>
      <c r="Q41" s="12"/>
      <c r="R41" s="12"/>
      <c r="V41" s="12"/>
      <c r="W41" s="12"/>
      <c r="X41" s="12"/>
      <c r="Y41" s="12"/>
      <c r="AC41" s="12"/>
      <c r="AD41" s="12"/>
      <c r="AE41" s="12"/>
      <c r="AF41" s="12"/>
      <c r="AJ41" s="12"/>
      <c r="AK41" s="12"/>
      <c r="AL41" s="12"/>
      <c r="AM41" s="12"/>
      <c r="AQ41" s="12"/>
      <c r="AR41" s="12"/>
      <c r="AS41" s="12"/>
      <c r="AT41" s="12"/>
      <c r="AX41" s="12"/>
      <c r="AY41" s="12"/>
      <c r="AZ41" s="12"/>
      <c r="BA41" s="12"/>
      <c r="BE41" s="12"/>
      <c r="BF41" s="12"/>
      <c r="BG41" s="12"/>
      <c r="BH41" s="12"/>
      <c r="BL41" s="12"/>
      <c r="BM41" s="12"/>
      <c r="BN41" s="12"/>
      <c r="BO41" s="12"/>
      <c r="BS41" s="12"/>
      <c r="BT41" s="12"/>
      <c r="BU41" s="12"/>
      <c r="BV41" s="12"/>
      <c r="BZ41" s="12"/>
      <c r="CA41" s="12"/>
      <c r="CB41" s="12"/>
      <c r="CC41" s="12"/>
      <c r="CG41" s="12"/>
      <c r="CH41" s="12"/>
      <c r="CI41" s="12"/>
      <c r="CJ41" s="12"/>
      <c r="CN41" s="12"/>
      <c r="CO41" s="12">
        <v>0.5</v>
      </c>
      <c r="CP41" s="12"/>
      <c r="CQ41" s="12">
        <v>0.5</v>
      </c>
      <c r="CU41" s="12"/>
      <c r="CV41" s="12">
        <v>0.8</v>
      </c>
      <c r="CW41" s="12"/>
      <c r="CX41" s="12">
        <v>0.8</v>
      </c>
      <c r="DB41" s="12"/>
      <c r="DC41" s="12">
        <v>1</v>
      </c>
      <c r="DD41" s="12"/>
      <c r="DE41" s="12">
        <v>1</v>
      </c>
      <c r="DI41" s="12"/>
      <c r="DJ41" s="12">
        <v>1</v>
      </c>
      <c r="DK41" s="12"/>
      <c r="DL41" s="12">
        <v>1</v>
      </c>
      <c r="DP41" s="12"/>
      <c r="DQ41" s="12">
        <v>1</v>
      </c>
      <c r="DR41" s="12"/>
      <c r="DS41" s="12">
        <v>1</v>
      </c>
      <c r="DW41" s="12"/>
      <c r="DX41" s="12">
        <v>1</v>
      </c>
      <c r="DY41" s="12"/>
      <c r="DZ41" s="12">
        <v>1</v>
      </c>
      <c r="ED41" s="12"/>
      <c r="EE41" s="12">
        <v>1</v>
      </c>
      <c r="EF41" s="12"/>
      <c r="EG41" s="12">
        <v>1</v>
      </c>
    </row>
    <row r="42" spans="2:137" ht="15.75" customHeight="1" outlineLevel="1" x14ac:dyDescent="0.2">
      <c r="B42" t="s">
        <v>56</v>
      </c>
      <c r="C42" t="str">
        <f>C41</f>
        <v>SBWL Finance Kurs 3</v>
      </c>
      <c r="E42" s="11"/>
      <c r="F42" s="3" t="s">
        <v>59</v>
      </c>
      <c r="G42" s="12">
        <f>G40</f>
        <v>0.2</v>
      </c>
      <c r="I42" s="11">
        <f>+SUMIF($N$3:$ABB$3,I$3,$N42:$ABB42)</f>
        <v>0</v>
      </c>
      <c r="J42" s="14">
        <f t="array" ref="J42">MAX(IF($N$3:$FJ$3=$J$3,N42:FJ42))</f>
        <v>0</v>
      </c>
      <c r="K42" s="14">
        <f t="array" ref="K42">MAX(IF($N$3:$FJ$3=$K$3,N42:FJ42))</f>
        <v>0</v>
      </c>
      <c r="L42" s="11"/>
      <c r="M42" s="8"/>
      <c r="O42" s="12"/>
      <c r="P42" s="12"/>
      <c r="Q42" s="12"/>
      <c r="R42" s="12"/>
      <c r="V42" s="12"/>
      <c r="W42" s="12"/>
      <c r="X42" s="12"/>
      <c r="Y42" s="12"/>
      <c r="AC42" s="12"/>
      <c r="AD42" s="12"/>
      <c r="AE42" s="12"/>
      <c r="AF42" s="12"/>
      <c r="AJ42" s="12"/>
      <c r="AK42" s="12"/>
      <c r="AL42" s="12"/>
      <c r="AM42" s="12"/>
      <c r="AQ42" s="12"/>
      <c r="AR42" s="12"/>
      <c r="AS42" s="12"/>
      <c r="AT42" s="12"/>
      <c r="AX42" s="12"/>
      <c r="AY42" s="12"/>
      <c r="AZ42" s="12"/>
      <c r="BA42" s="12"/>
      <c r="BE42" s="12"/>
      <c r="BF42" s="12"/>
      <c r="BG42" s="12"/>
      <c r="BH42" s="12"/>
      <c r="BL42" s="12"/>
      <c r="BM42" s="12"/>
      <c r="BN42" s="12"/>
      <c r="BO42" s="12"/>
      <c r="BS42" s="12"/>
      <c r="BT42" s="12"/>
      <c r="BU42" s="12"/>
      <c r="BV42" s="12"/>
      <c r="BZ42" s="12"/>
      <c r="CA42" s="12"/>
      <c r="CB42" s="12"/>
      <c r="CC42" s="12"/>
      <c r="CG42" s="12"/>
      <c r="CH42" s="12"/>
      <c r="CI42" s="12"/>
      <c r="CJ42" s="12"/>
      <c r="CN42" s="12"/>
      <c r="CO42" s="12">
        <v>0.5</v>
      </c>
      <c r="CP42" s="12"/>
      <c r="CQ42" s="12">
        <v>0.5</v>
      </c>
      <c r="CU42" s="12"/>
      <c r="CV42" s="12">
        <v>0.8</v>
      </c>
      <c r="CW42" s="12"/>
      <c r="CX42" s="12">
        <v>0.8</v>
      </c>
      <c r="DB42" s="12"/>
      <c r="DC42" s="12">
        <v>1</v>
      </c>
      <c r="DD42" s="12"/>
      <c r="DE42" s="12">
        <v>1</v>
      </c>
      <c r="DI42" s="12"/>
      <c r="DJ42" s="12">
        <v>1</v>
      </c>
      <c r="DK42" s="12"/>
      <c r="DL42" s="12">
        <v>1</v>
      </c>
      <c r="DP42" s="12"/>
      <c r="DQ42" s="12">
        <v>1</v>
      </c>
      <c r="DR42" s="12"/>
      <c r="DS42" s="12">
        <v>1</v>
      </c>
      <c r="DW42" s="12"/>
      <c r="DX42" s="12">
        <v>1</v>
      </c>
      <c r="DY42" s="12"/>
      <c r="DZ42" s="12">
        <v>1</v>
      </c>
      <c r="ED42" s="12"/>
      <c r="EE42" s="12">
        <v>1</v>
      </c>
      <c r="EF42" s="12"/>
      <c r="EG42" s="12">
        <v>1</v>
      </c>
    </row>
    <row r="43" spans="2:137" ht="15.75" customHeight="1" outlineLevel="1" x14ac:dyDescent="0.2">
      <c r="B43" t="s">
        <v>56</v>
      </c>
      <c r="C43" t="str">
        <f>C41</f>
        <v>SBWL Finance Kurs 3</v>
      </c>
      <c r="E43" s="11"/>
      <c r="F43" s="3" t="s">
        <v>60</v>
      </c>
      <c r="G43" s="12">
        <f>G40</f>
        <v>0.2</v>
      </c>
      <c r="I43" s="11">
        <f>+SUMIF($N$3:$ABB$3,I$3,$N43:$ABB43)</f>
        <v>0</v>
      </c>
      <c r="J43" s="14">
        <f t="array" ref="J43">MAX(IF($N$3:$FJ$3=$J$3,N43:FJ43))</f>
        <v>0</v>
      </c>
      <c r="K43" s="14">
        <f t="array" ref="K43">MAX(IF($N$3:$FJ$3=$K$3,N43:FJ43))</f>
        <v>0</v>
      </c>
      <c r="L43" s="11"/>
      <c r="M43" s="8"/>
      <c r="O43" s="12"/>
      <c r="P43" s="12"/>
      <c r="Q43" s="12"/>
      <c r="R43" s="12"/>
      <c r="V43" s="12"/>
      <c r="W43" s="12"/>
      <c r="X43" s="12"/>
      <c r="Y43" s="12"/>
      <c r="AC43" s="12"/>
      <c r="AD43" s="12"/>
      <c r="AE43" s="12"/>
      <c r="AF43" s="12"/>
      <c r="AJ43" s="12"/>
      <c r="AK43" s="12"/>
      <c r="AL43" s="12"/>
      <c r="AM43" s="12"/>
      <c r="AQ43" s="12"/>
      <c r="AR43" s="12"/>
      <c r="AS43" s="12"/>
      <c r="AT43" s="12"/>
      <c r="AX43" s="12"/>
      <c r="AY43" s="12"/>
      <c r="AZ43" s="12"/>
      <c r="BA43" s="12"/>
      <c r="BE43" s="12"/>
      <c r="BF43" s="12"/>
      <c r="BG43" s="12"/>
      <c r="BH43" s="12"/>
      <c r="BL43" s="12"/>
      <c r="BM43" s="12"/>
      <c r="BN43" s="12"/>
      <c r="BO43" s="12"/>
      <c r="BS43" s="12"/>
      <c r="BT43" s="12"/>
      <c r="BU43" s="12"/>
      <c r="BV43" s="12"/>
      <c r="BZ43" s="12"/>
      <c r="CA43" s="12"/>
      <c r="CB43" s="12"/>
      <c r="CC43" s="12"/>
      <c r="CG43" s="12"/>
      <c r="CH43" s="12"/>
      <c r="CI43" s="12"/>
      <c r="CJ43" s="12"/>
      <c r="CN43" s="12"/>
      <c r="CO43" s="12"/>
      <c r="CP43" s="12"/>
      <c r="CQ43" s="12"/>
      <c r="CU43" s="12"/>
      <c r="CV43" s="12">
        <v>0.5</v>
      </c>
      <c r="CW43" s="12"/>
      <c r="CX43" s="12">
        <v>0.5</v>
      </c>
      <c r="DB43" s="12"/>
      <c r="DC43" s="12">
        <v>0.8</v>
      </c>
      <c r="DD43" s="12"/>
      <c r="DE43" s="12">
        <v>0.8</v>
      </c>
      <c r="DI43" s="12"/>
      <c r="DJ43" s="12">
        <v>0.8</v>
      </c>
      <c r="DK43" s="12"/>
      <c r="DL43" s="12">
        <v>0.8</v>
      </c>
      <c r="DP43" s="12"/>
      <c r="DQ43" s="12">
        <v>1</v>
      </c>
      <c r="DR43" s="12"/>
      <c r="DS43" s="12">
        <v>1</v>
      </c>
      <c r="DW43" s="12"/>
      <c r="DX43" s="12">
        <v>1</v>
      </c>
      <c r="DY43" s="12"/>
      <c r="DZ43" s="12">
        <v>1</v>
      </c>
      <c r="ED43" s="12"/>
      <c r="EE43" s="12">
        <v>1</v>
      </c>
      <c r="EF43" s="12"/>
      <c r="EG43" s="12">
        <v>1</v>
      </c>
    </row>
    <row r="44" spans="2:137" ht="15.75" customHeight="1" outlineLevel="1" x14ac:dyDescent="0.2">
      <c r="B44" t="s">
        <v>56</v>
      </c>
      <c r="C44" t="str">
        <f>C43</f>
        <v>SBWL Finance Kurs 3</v>
      </c>
      <c r="E44" s="11"/>
      <c r="F44" s="3" t="s">
        <v>61</v>
      </c>
      <c r="G44" s="12">
        <f>G40</f>
        <v>0.2</v>
      </c>
      <c r="I44" s="11">
        <f>+SUMIF($N$3:$ABB$3,I$3,$N44:$ABB44)</f>
        <v>0</v>
      </c>
      <c r="J44" s="14">
        <f t="array" ref="J44">MAX(IF($N$3:$FJ$3=$J$3,N44:FJ44))</f>
        <v>0</v>
      </c>
      <c r="K44" s="14">
        <f t="array" ref="K44">MAX(IF($N$3:$FJ$3=$K$3,N44:FJ44))</f>
        <v>0</v>
      </c>
      <c r="L44" s="11"/>
      <c r="M44" s="8"/>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c r="BG44" s="12"/>
      <c r="BH44" s="12"/>
      <c r="BL44" s="12"/>
      <c r="BM44" s="12"/>
      <c r="BN44" s="12"/>
      <c r="BO44" s="12"/>
      <c r="BS44" s="12"/>
      <c r="BT44" s="12"/>
      <c r="BU44" s="12"/>
      <c r="BV44" s="12"/>
      <c r="BZ44" s="12"/>
      <c r="CA44" s="12"/>
      <c r="CB44" s="12"/>
      <c r="CC44" s="12"/>
      <c r="CG44" s="12"/>
      <c r="CH44" s="12"/>
      <c r="CI44" s="12"/>
      <c r="CJ44" s="12"/>
      <c r="CN44" s="12"/>
      <c r="CO44" s="12"/>
      <c r="CP44" s="12"/>
      <c r="CQ44" s="12"/>
      <c r="CU44" s="12"/>
      <c r="CV44" s="12">
        <v>0.5</v>
      </c>
      <c r="CW44" s="12"/>
      <c r="CX44" s="12">
        <v>0.5</v>
      </c>
      <c r="DB44" s="12"/>
      <c r="DC44" s="12">
        <v>0.8</v>
      </c>
      <c r="DD44" s="12"/>
      <c r="DE44" s="12">
        <v>0.8</v>
      </c>
      <c r="DI44" s="12"/>
      <c r="DJ44" s="12">
        <v>0.8</v>
      </c>
      <c r="DK44" s="12"/>
      <c r="DL44" s="12">
        <v>0.8</v>
      </c>
      <c r="DP44" s="12"/>
      <c r="DQ44" s="12">
        <v>1</v>
      </c>
      <c r="DR44" s="12"/>
      <c r="DS44" s="12">
        <v>1</v>
      </c>
      <c r="DW44" s="12"/>
      <c r="DX44" s="12">
        <v>1</v>
      </c>
      <c r="DY44" s="12"/>
      <c r="DZ44" s="12">
        <v>1</v>
      </c>
      <c r="ED44" s="12"/>
      <c r="EE44" s="12">
        <v>1</v>
      </c>
      <c r="EF44" s="12"/>
      <c r="EG44" s="12">
        <v>1</v>
      </c>
    </row>
    <row r="45" spans="2:137" ht="15.75" customHeight="1" x14ac:dyDescent="0.2">
      <c r="M45" s="8"/>
    </row>
    <row r="46" spans="2:137" ht="15.75" customHeight="1" x14ac:dyDescent="0.2">
      <c r="M46" s="8"/>
    </row>
  </sheetData>
  <mergeCells count="19">
    <mergeCell ref="I2:L2"/>
    <mergeCell ref="BK2:BP2"/>
    <mergeCell ref="AI2:AN2"/>
    <mergeCell ref="CT2:CY2"/>
    <mergeCell ref="DH2:DM2"/>
    <mergeCell ref="AW2:BB2"/>
    <mergeCell ref="BR2:BW2"/>
    <mergeCell ref="CF2:CK2"/>
    <mergeCell ref="N2:S2"/>
    <mergeCell ref="U2:Z2"/>
    <mergeCell ref="BD2:BI2"/>
    <mergeCell ref="BY2:CD2"/>
    <mergeCell ref="CM2:CR2"/>
    <mergeCell ref="EC2:EH2"/>
    <mergeCell ref="AB2:AG2"/>
    <mergeCell ref="AP2:AU2"/>
    <mergeCell ref="DA2:DF2"/>
    <mergeCell ref="DV2:EA2"/>
    <mergeCell ref="DO2:DT2"/>
  </mergeCells>
  <conditionalFormatting sqref="J5:J24 J27:J30 J33:J37 J40:J44">
    <cfRule type="colorScale" priority="103">
      <colorScale>
        <cfvo type="percent" val="0"/>
        <cfvo type="percent" val="100"/>
        <color rgb="FFFF231B"/>
        <color rgb="FF10FF07"/>
      </colorScale>
    </cfRule>
  </conditionalFormatting>
  <conditionalFormatting sqref="J5:J24">
    <cfRule type="colorScale" priority="86">
      <colorScale>
        <cfvo type="percent" val="0"/>
        <cfvo type="percent" val="100"/>
        <color rgb="FFFF231B"/>
        <color rgb="FF10FF07"/>
      </colorScale>
    </cfRule>
  </conditionalFormatting>
  <conditionalFormatting sqref="J28">
    <cfRule type="colorScale" priority="91">
      <colorScale>
        <cfvo type="percent" val="0"/>
        <cfvo type="percent" val="100"/>
        <color rgb="FFFF231B"/>
        <color rgb="FF10FF07"/>
      </colorScale>
    </cfRule>
  </conditionalFormatting>
  <conditionalFormatting sqref="J29">
    <cfRule type="colorScale" priority="94">
      <colorScale>
        <cfvo type="percent" val="0"/>
        <cfvo type="percent" val="100"/>
        <color rgb="FFFF231B"/>
        <color rgb="FF10FF07"/>
      </colorScale>
    </cfRule>
  </conditionalFormatting>
  <conditionalFormatting sqref="J30 J27">
    <cfRule type="colorScale" priority="45">
      <colorScale>
        <cfvo type="percent" val="0"/>
        <cfvo type="percent" val="100"/>
        <color rgb="FFFF231B"/>
        <color rgb="FF10FF07"/>
      </colorScale>
    </cfRule>
  </conditionalFormatting>
  <conditionalFormatting sqref="J33:J37">
    <cfRule type="colorScale" priority="97">
      <colorScale>
        <cfvo type="percent" val="0"/>
        <cfvo type="percent" val="100"/>
        <color rgb="FFFF231B"/>
        <color rgb="FF10FF07"/>
      </colorScale>
    </cfRule>
  </conditionalFormatting>
  <conditionalFormatting sqref="J40:J44">
    <cfRule type="colorScale" priority="100">
      <colorScale>
        <cfvo type="percent" val="0"/>
        <cfvo type="percent" val="100"/>
        <color rgb="FFFF231B"/>
        <color rgb="FF10FF07"/>
      </colorScale>
    </cfRule>
  </conditionalFormatting>
  <conditionalFormatting sqref="J6:K24 J28:K30 J34:K37 J41:K44">
    <cfRule type="colorScale" priority="102">
      <colorScale>
        <cfvo type="percent" val="0"/>
        <cfvo type="percent" val="100"/>
        <color rgb="FFFF231B"/>
        <color rgb="FF10FF07"/>
      </colorScale>
    </cfRule>
  </conditionalFormatting>
  <conditionalFormatting sqref="J6:K24">
    <cfRule type="colorScale" priority="85">
      <colorScale>
        <cfvo type="percent" val="0"/>
        <cfvo type="percent" val="100"/>
        <color rgb="FFFF231B"/>
        <color rgb="FF10FF07"/>
      </colorScale>
    </cfRule>
  </conditionalFormatting>
  <conditionalFormatting sqref="J28:K28">
    <cfRule type="colorScale" priority="90">
      <colorScale>
        <cfvo type="percent" val="0"/>
        <cfvo type="percent" val="100"/>
        <color rgb="FFFF231B"/>
        <color rgb="FF10FF07"/>
      </colorScale>
    </cfRule>
  </conditionalFormatting>
  <conditionalFormatting sqref="J29:K29">
    <cfRule type="colorScale" priority="93">
      <colorScale>
        <cfvo type="percent" val="0"/>
        <cfvo type="percent" val="100"/>
        <color rgb="FFFF231B"/>
        <color rgb="FF10FF07"/>
      </colorScale>
    </cfRule>
  </conditionalFormatting>
  <conditionalFormatting sqref="J30:K30">
    <cfRule type="colorScale" priority="44">
      <colorScale>
        <cfvo type="percent" val="0"/>
        <cfvo type="percent" val="100"/>
        <color rgb="FFFF231B"/>
        <color rgb="FF10FF07"/>
      </colorScale>
    </cfRule>
  </conditionalFormatting>
  <conditionalFormatting sqref="J34:K37">
    <cfRule type="colorScale" priority="96">
      <colorScale>
        <cfvo type="percent" val="0"/>
        <cfvo type="percent" val="100"/>
        <color rgb="FFFF231B"/>
        <color rgb="FF10FF07"/>
      </colorScale>
    </cfRule>
  </conditionalFormatting>
  <conditionalFormatting sqref="J41:K44">
    <cfRule type="colorScale" priority="99">
      <colorScale>
        <cfvo type="percent" val="0"/>
        <cfvo type="percent" val="100"/>
        <color rgb="FFFF231B"/>
        <color rgb="FF10FF07"/>
      </colorScale>
    </cfRule>
  </conditionalFormatting>
  <conditionalFormatting sqref="K5:K24 K27:K30 K33:K37 K40:K44">
    <cfRule type="colorScale" priority="104">
      <colorScale>
        <cfvo type="percent" val="0"/>
        <cfvo type="percent" val="100"/>
        <color rgb="FFFF231B"/>
        <color rgb="FF10FF07"/>
      </colorScale>
    </cfRule>
  </conditionalFormatting>
  <conditionalFormatting sqref="K5:K24">
    <cfRule type="colorScale" priority="87">
      <colorScale>
        <cfvo type="percent" val="0"/>
        <cfvo type="percent" val="100"/>
        <color rgb="FFFF231B"/>
        <color rgb="FF10FF07"/>
      </colorScale>
    </cfRule>
  </conditionalFormatting>
  <conditionalFormatting sqref="K27:K30">
    <cfRule type="colorScale" priority="46">
      <colorScale>
        <cfvo type="percent" val="0"/>
        <cfvo type="percent" val="100"/>
        <color rgb="FFFF231B"/>
        <color rgb="FF10FF07"/>
      </colorScale>
    </cfRule>
  </conditionalFormatting>
  <conditionalFormatting sqref="K28">
    <cfRule type="colorScale" priority="92">
      <colorScale>
        <cfvo type="percent" val="0"/>
        <cfvo type="percent" val="100"/>
        <color rgb="FFFF231B"/>
        <color rgb="FF10FF07"/>
      </colorScale>
    </cfRule>
  </conditionalFormatting>
  <conditionalFormatting sqref="K29">
    <cfRule type="colorScale" priority="95">
      <colorScale>
        <cfvo type="percent" val="0"/>
        <cfvo type="percent" val="100"/>
        <color rgb="FFFF231B"/>
        <color rgb="FF10FF07"/>
      </colorScale>
    </cfRule>
  </conditionalFormatting>
  <conditionalFormatting sqref="K33:K37">
    <cfRule type="colorScale" priority="98">
      <colorScale>
        <cfvo type="percent" val="0"/>
        <cfvo type="percent" val="100"/>
        <color rgb="FFFF231B"/>
        <color rgb="FF10FF07"/>
      </colorScale>
    </cfRule>
  </conditionalFormatting>
  <conditionalFormatting sqref="K40:K44">
    <cfRule type="colorScale" priority="101">
      <colorScale>
        <cfvo type="percent" val="0"/>
        <cfvo type="percent" val="100"/>
        <color rgb="FFFF231B"/>
        <color rgb="FF10FF07"/>
      </colorScale>
    </cfRule>
  </conditionalFormatting>
  <conditionalFormatting sqref="O28:O29 Q28:Q29">
    <cfRule type="expression" dxfId="164" priority="89">
      <formula>IF(O28&gt;=P28,IF(O28="",0,1))</formula>
    </cfRule>
    <cfRule type="expression" dxfId="163" priority="88">
      <formula>OR(IF(O28&lt;P28,1),IF(AND(P28="",O28&lt;&gt;""),1))</formula>
    </cfRule>
  </conditionalFormatting>
  <conditionalFormatting sqref="O33:O34">
    <cfRule type="expression" dxfId="162" priority="6">
      <formula>OR(IF(O33&lt;P33,1),IF(AND(P33="",O33&lt;&gt;""),1))</formula>
    </cfRule>
    <cfRule type="expression" dxfId="161" priority="7">
      <formula>IF(O33&gt;=P33,IF(O33="",0,1))</formula>
    </cfRule>
  </conditionalFormatting>
  <conditionalFormatting sqref="O40:O41">
    <cfRule type="expression" dxfId="160" priority="53">
      <formula>OR(IF(O40&lt;P40,1),IF(AND(P40="",O40&lt;&gt;""),1))</formula>
    </cfRule>
    <cfRule type="expression" dxfId="159" priority="54">
      <formula>IF(O40&gt;=P40,IF(O40="",0,1))</formula>
    </cfRule>
  </conditionalFormatting>
  <conditionalFormatting sqref="Q33:Q34">
    <cfRule type="expression" dxfId="158" priority="8">
      <formula>OR(IF(Q33&lt;R33,1),IF(AND(R33="",Q33&lt;&gt;""),1))</formula>
    </cfRule>
    <cfRule type="expression" dxfId="157" priority="9">
      <formula>IF(Q33&gt;=R33,IF(Q33="",0,1))</formula>
    </cfRule>
  </conditionalFormatting>
  <conditionalFormatting sqref="Q40:Q41">
    <cfRule type="expression" dxfId="156" priority="56">
      <formula>IF(Q40&gt;=R40,IF(Q40="",0,1))</formula>
    </cfRule>
    <cfRule type="expression" dxfId="155" priority="55">
      <formula>OR(IF(Q40&lt;R40,1),IF(AND(R40="",Q40&lt;&gt;""),1))</formula>
    </cfRule>
  </conditionalFormatting>
  <conditionalFormatting sqref="V27:V30 X27:X30">
    <cfRule type="expression" dxfId="154" priority="15">
      <formula>IF(V27&gt;=W27,IF(V27="",0,1))</formula>
    </cfRule>
    <cfRule type="expression" dxfId="153" priority="14">
      <formula>OR(IF(V27&lt;W27,1),IF(AND(W27="",V27&lt;&gt;""),1))</formula>
    </cfRule>
  </conditionalFormatting>
  <conditionalFormatting sqref="V33:V34">
    <cfRule type="expression" dxfId="152" priority="17">
      <formula>IF(V33&gt;=W33,IF(V33="",0,1))</formula>
    </cfRule>
    <cfRule type="expression" dxfId="151" priority="16">
      <formula>OR(IF(V33&lt;W33,1),IF(AND(W33="",V33&lt;&gt;""),1))</formula>
    </cfRule>
  </conditionalFormatting>
  <conditionalFormatting sqref="V40:V41">
    <cfRule type="expression" dxfId="150" priority="60">
      <formula>IF(V40&gt;=W40,IF(V40="",0,1))</formula>
    </cfRule>
    <cfRule type="expression" dxfId="149" priority="59">
      <formula>OR(IF(V40&lt;W40,1),IF(AND(W40="",V40&lt;&gt;""),1))</formula>
    </cfRule>
  </conditionalFormatting>
  <conditionalFormatting sqref="X33:X34">
    <cfRule type="expression" dxfId="148" priority="18">
      <formula>OR(IF(X33&lt;Y33,1),IF(AND(Y33="",X33&lt;&gt;""),1))</formula>
    </cfRule>
    <cfRule type="expression" dxfId="147" priority="19">
      <formula>IF(X33&gt;=Y33,IF(X33="",0,1))</formula>
    </cfRule>
  </conditionalFormatting>
  <conditionalFormatting sqref="X40:X41">
    <cfRule type="expression" dxfId="146" priority="61">
      <formula>OR(IF(X40&lt;Y40,1),IF(AND(Y40="",X40&lt;&gt;""),1))</formula>
    </cfRule>
    <cfRule type="expression" dxfId="145" priority="62">
      <formula>IF(X40&gt;=Y40,IF(X40="",0,1))</formula>
    </cfRule>
  </conditionalFormatting>
  <conditionalFormatting sqref="AC27:AC30 AE27:AE30">
    <cfRule type="expression" dxfId="144" priority="20">
      <formula>OR(IF(AC27&lt;AD27,1),IF(AND(AD27="",AC27&lt;&gt;""),1))</formula>
    </cfRule>
    <cfRule type="expression" dxfId="143" priority="21">
      <formula>IF(AC27&gt;=AD27,IF(AC27="",0,1))</formula>
    </cfRule>
  </conditionalFormatting>
  <conditionalFormatting sqref="AC33:AC34">
    <cfRule type="expression" dxfId="142" priority="22">
      <formula>OR(IF(AC33&lt;AD33,1),IF(AND(AD33="",AC33&lt;&gt;""),1))</formula>
    </cfRule>
    <cfRule type="expression" dxfId="141" priority="23">
      <formula>IF(AC33&gt;=AD33,IF(AC33="",0,1))</formula>
    </cfRule>
  </conditionalFormatting>
  <conditionalFormatting sqref="AC40:AC41">
    <cfRule type="expression" dxfId="140" priority="63">
      <formula>OR(IF(AC40&lt;AD40,1),IF(AND(AD40="",AC40&lt;&gt;""),1))</formula>
    </cfRule>
    <cfRule type="expression" dxfId="139" priority="64">
      <formula>IF(AC40&gt;=AD40,IF(AC40="",0,1))</formula>
    </cfRule>
  </conditionalFormatting>
  <conditionalFormatting sqref="AE33:AE34">
    <cfRule type="expression" dxfId="138" priority="24">
      <formula>OR(IF(AE33&lt;AF33,1),IF(AND(AF33="",AE33&lt;&gt;""),1))</formula>
    </cfRule>
    <cfRule type="expression" dxfId="137" priority="25">
      <formula>IF(AE33&gt;=AF33,IF(AE33="",0,1))</formula>
    </cfRule>
  </conditionalFormatting>
  <conditionalFormatting sqref="AE40:AE41">
    <cfRule type="expression" dxfId="136" priority="66">
      <formula>IF(AE40&gt;=AF40,IF(AE40="",0,1))</formula>
    </cfRule>
    <cfRule type="expression" dxfId="135" priority="65">
      <formula>OR(IF(AE40&lt;AF40,1),IF(AND(AF40="",AE40&lt;&gt;""),1))</formula>
    </cfRule>
  </conditionalFormatting>
  <conditionalFormatting sqref="AJ27:AJ30 AL27:AL30">
    <cfRule type="expression" dxfId="134" priority="26">
      <formula>OR(IF(AJ27&lt;AK27,1),IF(AND(AK27="",AJ27&lt;&gt;""),1))</formula>
    </cfRule>
    <cfRule type="expression" dxfId="133" priority="27">
      <formula>IF(AJ27&gt;=AK27,IF(AJ27="",0,1))</formula>
    </cfRule>
  </conditionalFormatting>
  <conditionalFormatting sqref="AJ33:AJ34">
    <cfRule type="expression" dxfId="132" priority="28">
      <formula>OR(IF(AJ33&lt;AK33,1),IF(AND(AK33="",AJ33&lt;&gt;""),1))</formula>
    </cfRule>
    <cfRule type="expression" dxfId="131" priority="29">
      <formula>IF(AJ33&gt;=AK33,IF(AJ33="",0,1))</formula>
    </cfRule>
  </conditionalFormatting>
  <conditionalFormatting sqref="AJ40:AJ41">
    <cfRule type="expression" dxfId="130" priority="67">
      <formula>OR(IF(AJ40&lt;AK40,1),IF(AND(AK40="",AJ40&lt;&gt;""),1))</formula>
    </cfRule>
    <cfRule type="expression" dxfId="129" priority="68">
      <formula>IF(AJ40&gt;=AK40,IF(AJ40="",0,1))</formula>
    </cfRule>
  </conditionalFormatting>
  <conditionalFormatting sqref="AL33:AL34">
    <cfRule type="expression" dxfId="128" priority="30">
      <formula>OR(IF(AL33&lt;AM33,1),IF(AND(AM33="",AL33&lt;&gt;""),1))</formula>
    </cfRule>
    <cfRule type="expression" dxfId="127" priority="31">
      <formula>IF(AL33&gt;=AM33,IF(AL33="",0,1))</formula>
    </cfRule>
  </conditionalFormatting>
  <conditionalFormatting sqref="AL40:AL41">
    <cfRule type="expression" dxfId="126" priority="70">
      <formula>IF(AL40&gt;=AM40,IF(AL40="",0,1))</formula>
    </cfRule>
    <cfRule type="expression" dxfId="125" priority="69">
      <formula>OR(IF(AL40&lt;AM40,1),IF(AND(AM40="",AL40&lt;&gt;""),1))</formula>
    </cfRule>
  </conditionalFormatting>
  <conditionalFormatting sqref="AQ27:AQ30 AS27:AS30">
    <cfRule type="expression" dxfId="124" priority="5">
      <formula>IF(AQ27&gt;=AR27,IF(AQ27="",0,1))</formula>
    </cfRule>
    <cfRule type="expression" dxfId="123" priority="4">
      <formula>OR(IF(AQ27&lt;AR27,1),IF(AND(AR27="",AQ27&lt;&gt;""),1))</formula>
    </cfRule>
  </conditionalFormatting>
  <conditionalFormatting sqref="AQ33:AQ34">
    <cfRule type="expression" dxfId="122" priority="32">
      <formula>OR(IF(AQ33&lt;AR33,1),IF(AND(AR33="",AQ33&lt;&gt;""),1))</formula>
    </cfRule>
    <cfRule type="expression" dxfId="121" priority="33">
      <formula>IF(AQ33&gt;=AR33,IF(AQ33="",0,1))</formula>
    </cfRule>
  </conditionalFormatting>
  <conditionalFormatting sqref="AQ40:AQ41">
    <cfRule type="expression" dxfId="120" priority="71">
      <formula>OR(IF(AQ40&lt;AR40,1),IF(AND(AR40="",AQ40&lt;&gt;""),1))</formula>
    </cfRule>
    <cfRule type="expression" dxfId="119" priority="72">
      <formula>IF(AQ40&gt;=AR40,IF(AQ40="",0,1))</formula>
    </cfRule>
  </conditionalFormatting>
  <conditionalFormatting sqref="AS33:AS34">
    <cfRule type="expression" dxfId="118" priority="34">
      <formula>OR(IF(AS33&lt;AT33,1),IF(AND(AT33="",AS33&lt;&gt;""),1))</formula>
    </cfRule>
    <cfRule type="expression" dxfId="117" priority="35">
      <formula>IF(AS33&gt;=AT33,IF(AS33="",0,1))</formula>
    </cfRule>
  </conditionalFormatting>
  <conditionalFormatting sqref="AS40:AS41">
    <cfRule type="expression" dxfId="116" priority="74">
      <formula>IF(AS40&gt;=AT40,IF(AS40="",0,1))</formula>
    </cfRule>
    <cfRule type="expression" dxfId="115" priority="73">
      <formula>OR(IF(AS40&lt;AT40,1),IF(AND(AT40="",AS40&lt;&gt;""),1))</formula>
    </cfRule>
  </conditionalFormatting>
  <conditionalFormatting sqref="AX27:AX30 AZ27:AZ30">
    <cfRule type="expression" dxfId="114" priority="37">
      <formula>IF(AX27&gt;=AY27,IF(AX27="",0,1))</formula>
    </cfRule>
    <cfRule type="expression" dxfId="113" priority="36">
      <formula>OR(IF(AX27&lt;AY27,1),IF(AND(AY27="",AX27&lt;&gt;""),1))</formula>
    </cfRule>
  </conditionalFormatting>
  <conditionalFormatting sqref="AX33:AX34">
    <cfRule type="expression" dxfId="112" priority="39">
      <formula>IF(AX33&gt;=AY33,IF(AX33="",0,1))</formula>
    </cfRule>
    <cfRule type="expression" dxfId="111" priority="38">
      <formula>OR(IF(AX33&lt;AY33,1),IF(AND(AY33="",AX33&lt;&gt;""),1))</formula>
    </cfRule>
  </conditionalFormatting>
  <conditionalFormatting sqref="AX40:AX41">
    <cfRule type="expression" dxfId="110" priority="75">
      <formula>OR(IF(AX40&lt;AY40,1),IF(AND(AY40="",AX40&lt;&gt;""),1))</formula>
    </cfRule>
    <cfRule type="expression" dxfId="109" priority="76">
      <formula>IF(AX40&gt;=AY40,IF(AX40="",0,1))</formula>
    </cfRule>
  </conditionalFormatting>
  <conditionalFormatting sqref="AZ33:AZ34">
    <cfRule type="expression" dxfId="108" priority="40">
      <formula>OR(IF(AZ33&lt;BA33,1),IF(AND(BA33="",AZ33&lt;&gt;""),1))</formula>
    </cfRule>
    <cfRule type="expression" dxfId="107" priority="41">
      <formula>IF(AZ33&gt;=BA33,IF(AZ33="",0,1))</formula>
    </cfRule>
  </conditionalFormatting>
  <conditionalFormatting sqref="AZ40:AZ41">
    <cfRule type="expression" dxfId="106" priority="77">
      <formula>OR(IF(AZ40&lt;BA40,1),IF(AND(BA40="",AZ40&lt;&gt;""),1))</formula>
    </cfRule>
    <cfRule type="expression" dxfId="105" priority="78">
      <formula>IF(AZ40&gt;=BA40,IF(AZ40="",0,1))</formula>
    </cfRule>
  </conditionalFormatting>
  <conditionalFormatting sqref="BE27:BE30 BG27:BG30">
    <cfRule type="expression" dxfId="104" priority="10">
      <formula>OR(IF(BE27&lt;BF27,1),IF(AND(BF27="",BE27&lt;&gt;""),1))</formula>
    </cfRule>
    <cfRule type="expression" dxfId="103" priority="11">
      <formula>IF(BE27&gt;=BF27,IF(BE27="",0,1))</formula>
    </cfRule>
  </conditionalFormatting>
  <conditionalFormatting sqref="BE33:BE34">
    <cfRule type="expression" dxfId="102" priority="13">
      <formula>IF(BE33&gt;=BF33,IF(BE33="",0,1))</formula>
    </cfRule>
    <cfRule type="expression" dxfId="101" priority="12">
      <formula>OR(IF(BE33&lt;BF33,1),IF(AND(BF33="",BE33&lt;&gt;""),1))</formula>
    </cfRule>
  </conditionalFormatting>
  <conditionalFormatting sqref="BE40:BE41">
    <cfRule type="expression" dxfId="100" priority="58">
      <formula>IF(BE40&gt;=BF40,IF(BE40="",0,1))</formula>
    </cfRule>
    <cfRule type="expression" dxfId="99" priority="57">
      <formula>OR(IF(BE40&lt;BF40,1),IF(AND(BF40="",BE40&lt;&gt;""),1))</formula>
    </cfRule>
  </conditionalFormatting>
  <conditionalFormatting sqref="BG33:BG34">
    <cfRule type="expression" dxfId="98" priority="43">
      <formula>IF(BG33&gt;=BH33,IF(BG33="",0,1))</formula>
    </cfRule>
    <cfRule type="expression" dxfId="97" priority="42">
      <formula>OR(IF(BG33&lt;BH33,1),IF(AND(BH33="",BG33&lt;&gt;""),1))</formula>
    </cfRule>
  </conditionalFormatting>
  <conditionalFormatting sqref="BG40:BG41">
    <cfRule type="expression" dxfId="96" priority="80">
      <formula>IF(BG40&gt;=BH40,IF(BG40="",0,1))</formula>
    </cfRule>
    <cfRule type="expression" dxfId="95" priority="79">
      <formula>OR(IF(BG40&lt;BH40,1),IF(AND(BH40="",BG40&lt;&gt;""),1))</formula>
    </cfRule>
  </conditionalFormatting>
  <conditionalFormatting sqref="BL27:BL30 BN27:BN30 BS27:BS30 BU27:BU30">
    <cfRule type="expression" dxfId="94" priority="47">
      <formula>OR(IF(BL27&lt;BM27,1),IF(AND(BM27="",BL27&lt;&gt;""),1))</formula>
    </cfRule>
    <cfRule type="expression" dxfId="93" priority="48">
      <formula>IF(BL27&gt;=BM27,IF(BL27="",0,1))</formula>
    </cfRule>
  </conditionalFormatting>
  <conditionalFormatting sqref="BL33:BL34 BS33:BS34">
    <cfRule type="expression" dxfId="92" priority="49">
      <formula>OR(IF(BL33&lt;BM33,1),IF(AND(BM33="",BL33&lt;&gt;""),1))</formula>
    </cfRule>
    <cfRule type="expression" dxfId="91" priority="50">
      <formula>IF(BL33&gt;=BM33,IF(BL33="",0,1))</formula>
    </cfRule>
  </conditionalFormatting>
  <conditionalFormatting sqref="BL40:BL41 BS40:BS41">
    <cfRule type="expression" dxfId="90" priority="82">
      <formula>IF(BL40&gt;=BM40,IF(BL40="",0,1))</formula>
    </cfRule>
    <cfRule type="expression" dxfId="89" priority="81">
      <formula>OR(IF(BL40&lt;BM40,1),IF(AND(BM40="",BL40&lt;&gt;""),1))</formula>
    </cfRule>
  </conditionalFormatting>
  <conditionalFormatting sqref="BN33:BN34 BU33:BU34">
    <cfRule type="expression" dxfId="88" priority="51">
      <formula>OR(IF(BN33&lt;BO33,1),IF(AND(BO33="",BN33&lt;&gt;""),1))</formula>
    </cfRule>
    <cfRule type="expression" dxfId="87" priority="52">
      <formula>IF(BN33&gt;=BO33,IF(BN33="",0,1))</formula>
    </cfRule>
  </conditionalFormatting>
  <conditionalFormatting sqref="BN40:BN41 BU40:BU41">
    <cfRule type="expression" dxfId="86" priority="84">
      <formula>IF(BN40&gt;=BO40,IF(BN40="",0,1))</formula>
    </cfRule>
    <cfRule type="expression" dxfId="85" priority="83">
      <formula>OR(IF(BN40&lt;BO40,1),IF(AND(BO40="",BN40&lt;&gt;""),1))</formula>
    </cfRule>
  </conditionalFormatting>
  <conditionalFormatting sqref="BS5:BS24 BU5:BU24 BS27:BS30 BU27:BU30 BS33:BS37 BU33:BU37 BS40:BS44 BU40:BU44">
    <cfRule type="expression" dxfId="84" priority="106">
      <formula>IF(BS5&gt;=BT5,IF(BS5="",0,1))</formula>
    </cfRule>
  </conditionalFormatting>
  <conditionalFormatting sqref="BS27:BS30 BU27:BU30">
    <cfRule type="expression" dxfId="83" priority="108">
      <formula>IF(BS27&gt;=BT27,IF(BS27="",0,1))</formula>
    </cfRule>
    <cfRule type="expression" dxfId="82" priority="107">
      <formula>OR(IF(BS27&lt;BT27,1),IF(AND(BT27="",BS27&lt;&gt;""),1))</formula>
    </cfRule>
  </conditionalFormatting>
  <conditionalFormatting sqref="BS33:BS34">
    <cfRule type="expression" dxfId="81" priority="109">
      <formula>OR(IF(BS33&lt;BT33,1),IF(AND(BT33="",BS33&lt;&gt;""),1))</formula>
    </cfRule>
    <cfRule type="expression" dxfId="80" priority="110">
      <formula>IF(BS33&gt;=BT33,IF(BS33="",0,1))</formula>
    </cfRule>
  </conditionalFormatting>
  <conditionalFormatting sqref="BS40:BS41">
    <cfRule type="expression" dxfId="79" priority="114">
      <formula>IF(BS40&gt;=BT40,IF(BS40="",0,1))</formula>
    </cfRule>
    <cfRule type="expression" dxfId="78" priority="113">
      <formula>OR(IF(BS40&lt;BT40,1),IF(AND(BT40="",BS40&lt;&gt;""),1))</formula>
    </cfRule>
  </conditionalFormatting>
  <conditionalFormatting sqref="BU33:BU34">
    <cfRule type="expression" dxfId="77" priority="111">
      <formula>OR(IF(BU33&lt;BV33,1),IF(AND(BV33="",BU33&lt;&gt;""),1))</formula>
    </cfRule>
    <cfRule type="expression" dxfId="76" priority="112">
      <formula>IF(BU33&gt;=BV33,IF(BU33="",0,1))</formula>
    </cfRule>
  </conditionalFormatting>
  <conditionalFormatting sqref="BU40:BU41">
    <cfRule type="expression" dxfId="75" priority="116">
      <formula>IF(BU40&gt;=BV40,IF(BU40="",0,1))</formula>
    </cfRule>
    <cfRule type="expression" dxfId="74" priority="115">
      <formula>OR(IF(BU40&lt;BV40,1),IF(AND(BV40="",BU40&lt;&gt;""),1))</formula>
    </cfRule>
  </conditionalFormatting>
  <conditionalFormatting sqref="BU40:BU44 BS40:BS44 BU33:BU37 BS33:BS37 BS27:BS30 BU27:BU30 BS5:BS24 BU5:BU24">
    <cfRule type="expression" dxfId="73" priority="105">
      <formula>OR(IF(BS5&lt;BT5,1),IF(AND(BT5="",BS5&lt;&gt;""),1))</formula>
    </cfRule>
  </conditionalFormatting>
  <conditionalFormatting sqref="BZ5:BZ24 CB5:CB24 BZ27:BZ30 CB27:CB30 BZ33:BZ37 CB33:CB37 BZ40:BZ44 CB40:CB44">
    <cfRule type="expression" dxfId="72" priority="118">
      <formula>IF(BZ5&gt;=CA5,IF(BZ5="",0,1))</formula>
    </cfRule>
  </conditionalFormatting>
  <conditionalFormatting sqref="BZ27:BZ30 CB27:CB30">
    <cfRule type="expression" dxfId="71" priority="120">
      <formula>IF(BZ27&gt;=CA27,IF(BZ27="",0,1))</formula>
    </cfRule>
    <cfRule type="expression" dxfId="70" priority="119">
      <formula>OR(IF(BZ27&lt;CA27,1),IF(AND(CA27="",BZ27&lt;&gt;""),1))</formula>
    </cfRule>
  </conditionalFormatting>
  <conditionalFormatting sqref="BZ33:BZ34">
    <cfRule type="expression" dxfId="69" priority="122">
      <formula>IF(BZ33&gt;=CA33,IF(BZ33="",0,1))</formula>
    </cfRule>
    <cfRule type="expression" dxfId="68" priority="121">
      <formula>OR(IF(BZ33&lt;CA33,1),IF(AND(CA33="",BZ33&lt;&gt;""),1))</formula>
    </cfRule>
  </conditionalFormatting>
  <conditionalFormatting sqref="BZ40:BZ41">
    <cfRule type="expression" dxfId="67" priority="125">
      <formula>OR(IF(BZ40&lt;CA40,1),IF(AND(CA40="",BZ40&lt;&gt;""),1))</formula>
    </cfRule>
    <cfRule type="expression" dxfId="66" priority="126">
      <formula>IF(BZ40&gt;=CA40,IF(BZ40="",0,1))</formula>
    </cfRule>
  </conditionalFormatting>
  <conditionalFormatting sqref="CB5:CB8 O5:O24 Q5:Q24 V5:V24 X5:X24 AC5:AC24 AE5:AE24 AJ5:AJ24 AL5:AL24 AQ5:AQ24 AS5:AS24 AX5:AX24 AZ5:AZ24 BE5:BE24 BG5:BG24 BL5:BL24 BN5:BN24 BS5:BS24 BU5:BU24 O27:O30 Q27:Q30 V27:V30 X27:X30 AC27:AC30 AE27:AE30 AJ27:AJ30 AL27:AL30 AQ27:AQ30 AS27:AS30 AX27:AX30 AZ27:AZ30 BE27:BE30 BG27:BG30 BL27:BL30 BN27:BN30 BS27:BS30 BU27:BU30 O33:O37 Q33:Q37 V33:V37 X33:X37 AC33:AC37 AE33:AE37 AJ33:AJ37 AL33:AL37 AQ33:AQ37 AS33:AS37 AX33:AX37 AZ33:AZ37 BE33:BE37 BG33:BG37 BL33:BL37 BN33:BN37 BS33:BS37 BU33:BU37 O40:O44 Q40:Q44 V40:V44 X40:X44 AC40:AC44 AE40:AE44 AJ40:AJ44 AL40:AL44 AQ40:AQ44 AS40:AS44 AX40:AX44 AZ40:AZ44 BE40:BE44 BG40:BG44 BL40:BL44 BN40:BN44 BS40:BS44 BU40:BU44">
    <cfRule type="expression" dxfId="65" priority="3">
      <formula>IF(O5&gt;=P5,IF(O5="",0,1))</formula>
    </cfRule>
    <cfRule type="expression" dxfId="64" priority="2">
      <formula>OR(IF(O5&lt;P5,1),IF(AND(P5="",O5&lt;&gt;""),1))</formula>
    </cfRule>
  </conditionalFormatting>
  <conditionalFormatting sqref="CB5:CB24 BZ5:BZ24 BZ27:BZ30 CB27:CB30 BZ33:BZ37 CB33:CB37 BZ40:BZ44 CB40:CB44">
    <cfRule type="expression" dxfId="63" priority="117">
      <formula>OR(IF(BZ5&lt;CA5,1),IF(AND(CA5="",BZ5&lt;&gt;""),1))</formula>
    </cfRule>
  </conditionalFormatting>
  <conditionalFormatting sqref="CB9:CB24">
    <cfRule type="expression" dxfId="62" priority="178">
      <formula>IF(CB9&gt;=CC9,IF(CB9="",0,1))</formula>
    </cfRule>
    <cfRule type="expression" dxfId="61" priority="177">
      <formula>OR(IF(CB9&lt;CC9,1),IF(AND(CC9="",CB9&lt;&gt;""),1))</formula>
    </cfRule>
  </conditionalFormatting>
  <conditionalFormatting sqref="CB33:CB34">
    <cfRule type="expression" dxfId="60" priority="123">
      <formula>OR(IF(CB33&lt;CC33,1),IF(AND(CC33="",CB33&lt;&gt;""),1))</formula>
    </cfRule>
    <cfRule type="expression" dxfId="59" priority="124">
      <formula>IF(CB33&gt;=CC33,IF(CB33="",0,1))</formula>
    </cfRule>
  </conditionalFormatting>
  <conditionalFormatting sqref="CB40:CB41">
    <cfRule type="expression" dxfId="58" priority="128">
      <formula>IF(CB40&gt;=CC40,IF(CB40="",0,1))</formula>
    </cfRule>
    <cfRule type="expression" dxfId="57" priority="127">
      <formula>OR(IF(CB40&lt;CC40,1),IF(AND(CC40="",CB40&lt;&gt;""),1))</formula>
    </cfRule>
  </conditionalFormatting>
  <conditionalFormatting sqref="CG5:CG24 CI5:CI24 CG27:CG30 CI27:CI30 CG33:CG37 CI33:CI37 CG40:CG44 CI40:CI44">
    <cfRule type="expression" dxfId="56" priority="130">
      <formula>IF(CG5&gt;=CH5,IF(CG5="",0,1))</formula>
    </cfRule>
    <cfRule type="expression" dxfId="55" priority="129">
      <formula>OR(IF(CG5&lt;CH5,1),IF(AND(CH5="",CG5&lt;&gt;""),1))</formula>
    </cfRule>
  </conditionalFormatting>
  <conditionalFormatting sqref="CG27:CG30 CI27:CI30">
    <cfRule type="expression" dxfId="54" priority="131">
      <formula>OR(IF(CG27&lt;CH27,1),IF(AND(CH27="",CG27&lt;&gt;""),1))</formula>
    </cfRule>
    <cfRule type="expression" dxfId="53" priority="132">
      <formula>IF(CG27&gt;=CH27,IF(CG27="",0,1))</formula>
    </cfRule>
  </conditionalFormatting>
  <conditionalFormatting sqref="CG33:CG34">
    <cfRule type="expression" dxfId="52" priority="133">
      <formula>OR(IF(CG33&lt;CH33,1),IF(AND(CH33="",CG33&lt;&gt;""),1))</formula>
    </cfRule>
    <cfRule type="expression" dxfId="51" priority="134">
      <formula>IF(CG33&gt;=CH33,IF(CG33="",0,1))</formula>
    </cfRule>
  </conditionalFormatting>
  <conditionalFormatting sqref="CG40:CG41">
    <cfRule type="expression" dxfId="50" priority="137">
      <formula>OR(IF(CG40&lt;CH40,1),IF(AND(CH40="",CG40&lt;&gt;""),1))</formula>
    </cfRule>
    <cfRule type="expression" dxfId="49" priority="138">
      <formula>IF(CG40&gt;=CH40,IF(CG40="",0,1))</formula>
    </cfRule>
  </conditionalFormatting>
  <conditionalFormatting sqref="CI33:CI34">
    <cfRule type="expression" dxfId="48" priority="135">
      <formula>OR(IF(CI33&lt;CJ33,1),IF(AND(CJ33="",CI33&lt;&gt;""),1))</formula>
    </cfRule>
    <cfRule type="expression" dxfId="47" priority="136">
      <formula>IF(CI33&gt;=CJ33,IF(CI33="",0,1))</formula>
    </cfRule>
  </conditionalFormatting>
  <conditionalFormatting sqref="CI40:CI41">
    <cfRule type="expression" dxfId="46" priority="139">
      <formula>OR(IF(CI40&lt;CJ40,1),IF(AND(CJ40="",CI40&lt;&gt;""),1))</formula>
    </cfRule>
    <cfRule type="expression" dxfId="45" priority="140">
      <formula>IF(CI40&gt;=CJ40,IF(CI40="",0,1))</formula>
    </cfRule>
  </conditionalFormatting>
  <conditionalFormatting sqref="CN5:CN24 CP5:CP24 DI5:DI24 DK5:DK24 DW5:DW24 DY5:DY24 CN27:CN30 CP27:CP30 DI27:DI30 DK27:DK30 DW27:DW30 DY27:DY30 CN33:CN37 CP33:CP37 DI33:DI37 DK33:DK37 DW33:DW37 DY33:DY37 CN40:CN44 CP40:CP44 DI40:DI44 DK40:DK44 DW40:DW44 DY40:DY44">
    <cfRule type="expression" dxfId="44" priority="141">
      <formula>OR(IF(CN5&lt;CO5,1),IF(AND(CO5="",CN5&lt;&gt;""),1))</formula>
    </cfRule>
    <cfRule type="expression" dxfId="43" priority="142">
      <formula>IF(CN5&gt;=CO5,IF(CN5="",0,1))</formula>
    </cfRule>
  </conditionalFormatting>
  <conditionalFormatting sqref="CN27:CN30 CP27:CP30 DI27:DI30 DK27:DK30 DW27:DW30 DY27:DY30">
    <cfRule type="expression" dxfId="42" priority="143">
      <formula>OR(IF(CN27&lt;CO27,1),IF(AND(CO27="",CN27&lt;&gt;""),1))</formula>
    </cfRule>
    <cfRule type="expression" dxfId="41" priority="144">
      <formula>IF(CN27&gt;=CO27,IF(CN27="",0,1))</formula>
    </cfRule>
  </conditionalFormatting>
  <conditionalFormatting sqref="CN33:CN34 DI33:DI34 DW33:DW34">
    <cfRule type="expression" dxfId="40" priority="145">
      <formula>OR(IF(CN33&lt;CO33,1),IF(AND(CO33="",CN33&lt;&gt;""),1))</formula>
    </cfRule>
    <cfRule type="expression" dxfId="39" priority="146">
      <formula>IF(CN33&gt;=CO33,IF(CN33="",0,1))</formula>
    </cfRule>
  </conditionalFormatting>
  <conditionalFormatting sqref="CN40:CN41 DI40:DI41 DW40:DW41">
    <cfRule type="expression" dxfId="38" priority="149">
      <formula>OR(IF(CN40&lt;CO40,1),IF(AND(CO40="",CN40&lt;&gt;""),1))</formula>
    </cfRule>
    <cfRule type="expression" dxfId="37" priority="150">
      <formula>IF(CN40&gt;=CO40,IF(CN40="",0,1))</formula>
    </cfRule>
  </conditionalFormatting>
  <conditionalFormatting sqref="CP33:CP34 DK33:DK34 DY33:DY34">
    <cfRule type="expression" dxfId="36" priority="147">
      <formula>OR(IF(CP33&lt;CQ33,1),IF(AND(CQ33="",CP33&lt;&gt;""),1))</formula>
    </cfRule>
    <cfRule type="expression" dxfId="35" priority="148">
      <formula>IF(CP33&gt;=CQ33,IF(CP33="",0,1))</formula>
    </cfRule>
  </conditionalFormatting>
  <conditionalFormatting sqref="CP40:CP41 DK40:DK41 DY40:DY41">
    <cfRule type="expression" dxfId="34" priority="151">
      <formula>OR(IF(CP40&lt;CQ40,1),IF(AND(CQ40="",CP40&lt;&gt;""),1))</formula>
    </cfRule>
    <cfRule type="expression" dxfId="33" priority="152">
      <formula>IF(CP40&gt;=CQ40,IF(CP40="",0,1))</formula>
    </cfRule>
  </conditionalFormatting>
  <conditionalFormatting sqref="CU5:CU24 CW5:CW24 DP5:DP24 DR5:DR24 ED5:ED24 EF5:EF24 CU27:CU30 CW27:CW30 DP27:DP30 DR27:DR30 ED27:ED30 EF27:EF30 CU33:CU37 CW33:CW37 DP33:DP37 DR33:DR37 ED33:ED37 EF33:EF37 CU40:CU44 CW40:CW44 DP40:DP44 DR40:DR44 ED40:ED44 EF40:EF44">
    <cfRule type="expression" dxfId="32" priority="153">
      <formula>OR(IF(CU5&lt;CV5,1),IF(AND(CV5="",CU5&lt;&gt;""),1))</formula>
    </cfRule>
    <cfRule type="expression" dxfId="31" priority="154">
      <formula>IF(CU5&gt;=CV5,IF(CU5="",0,1))</formula>
    </cfRule>
  </conditionalFormatting>
  <conditionalFormatting sqref="CU27:CU30 CW27:CW30 DP27:DP30 DR27:DR30 ED27:ED30 EF27:EF30">
    <cfRule type="expression" dxfId="30" priority="156">
      <formula>IF(CU27&gt;=CV27,IF(CU27="",0,1))</formula>
    </cfRule>
    <cfRule type="expression" dxfId="29" priority="155">
      <formula>OR(IF(CU27&lt;CV27,1),IF(AND(CV27="",CU27&lt;&gt;""),1))</formula>
    </cfRule>
  </conditionalFormatting>
  <conditionalFormatting sqref="CU33:CU34 DP33:DP34 ED33:ED34">
    <cfRule type="expression" dxfId="28" priority="157">
      <formula>OR(IF(CU33&lt;CV33,1),IF(AND(CV33="",CU33&lt;&gt;""),1))</formula>
    </cfRule>
    <cfRule type="expression" dxfId="27" priority="158">
      <formula>IF(CU33&gt;=CV33,IF(CU33="",0,1))</formula>
    </cfRule>
  </conditionalFormatting>
  <conditionalFormatting sqref="CU40:CU41 DP40:DP41 ED40:ED41">
    <cfRule type="expression" dxfId="26" priority="161">
      <formula>OR(IF(CU40&lt;CV40,1),IF(AND(CV40="",CU40&lt;&gt;""),1))</formula>
    </cfRule>
    <cfRule type="expression" dxfId="25" priority="162">
      <formula>IF(CU40&gt;=CV40,IF(CU40="",0,1))</formula>
    </cfRule>
  </conditionalFormatting>
  <conditionalFormatting sqref="CW33:CW34 DR33:DR34 EF33:EF34">
    <cfRule type="expression" dxfId="24" priority="159">
      <formula>OR(IF(CW33&lt;CX33,1),IF(AND(CX33="",CW33&lt;&gt;""),1))</formula>
    </cfRule>
    <cfRule type="expression" dxfId="23" priority="160">
      <formula>IF(CW33&gt;=CX33,IF(CW33="",0,1))</formula>
    </cfRule>
  </conditionalFormatting>
  <conditionalFormatting sqref="CW40:CW41 DR40:DR41 EF40:EF41">
    <cfRule type="expression" dxfId="22" priority="163">
      <formula>OR(IF(CW40&lt;CX40,1),IF(AND(CX40="",CW40&lt;&gt;""),1))</formula>
    </cfRule>
    <cfRule type="expression" dxfId="21" priority="164">
      <formula>IF(CW40&gt;=CX40,IF(CW40="",0,1))</formula>
    </cfRule>
  </conditionalFormatting>
  <conditionalFormatting sqref="DB5:DB24 DD5:DD24 DB27:DB30 DD27:DD30 DB33:DB37 DD33:DD37 DB40:DB44 DD40:DD44">
    <cfRule type="expression" dxfId="20" priority="165">
      <formula>OR(IF(DB5&lt;DC5,1),IF(AND(DC5="",DB5&lt;&gt;""),1))</formula>
    </cfRule>
    <cfRule type="expression" dxfId="19" priority="166">
      <formula>IF(DB5&gt;=DC5,IF(DB5="",0,1))</formula>
    </cfRule>
  </conditionalFormatting>
  <conditionalFormatting sqref="DB27:DB30 DD27:DD30">
    <cfRule type="expression" dxfId="18" priority="167">
      <formula>OR(IF(DB27&lt;DC27,1),IF(AND(DC27="",DB27&lt;&gt;""),1))</formula>
    </cfRule>
    <cfRule type="expression" dxfId="17" priority="168">
      <formula>IF(DB27&gt;=DC27,IF(DB27="",0,1))</formula>
    </cfRule>
  </conditionalFormatting>
  <conditionalFormatting sqref="DB33:DB34">
    <cfRule type="expression" dxfId="16" priority="169">
      <formula>OR(IF(DB33&lt;DC33,1),IF(AND(DC33="",DB33&lt;&gt;""),1))</formula>
    </cfRule>
    <cfRule type="expression" dxfId="15" priority="170">
      <formula>IF(DB33&gt;=DC33,IF(DB33="",0,1))</formula>
    </cfRule>
  </conditionalFormatting>
  <conditionalFormatting sqref="DB40:DB41">
    <cfRule type="expression" dxfId="14" priority="173">
      <formula>OR(IF(DB40&lt;DC40,1),IF(AND(DC40="",DB40&lt;&gt;""),1))</formula>
    </cfRule>
    <cfRule type="expression" dxfId="13" priority="174">
      <formula>IF(DB40&gt;=DC40,IF(DB40="",0,1))</formula>
    </cfRule>
  </conditionalFormatting>
  <conditionalFormatting sqref="DD33:DD34">
    <cfRule type="expression" dxfId="12" priority="171">
      <formula>OR(IF(DD33&lt;DE33,1),IF(AND(DE33="",DD33&lt;&gt;""),1))</formula>
    </cfRule>
    <cfRule type="expression" dxfId="11" priority="172">
      <formula>IF(DD33&gt;=DE33,IF(DD33="",0,1))</formula>
    </cfRule>
  </conditionalFormatting>
  <conditionalFormatting sqref="DD40:DD41">
    <cfRule type="expression" dxfId="10" priority="175">
      <formula>OR(IF(DD40&lt;DE40,1),IF(AND(DE40="",DD40&lt;&gt;""),1))</formula>
    </cfRule>
    <cfRule type="expression" dxfId="9" priority="176">
      <formula>IF(DD40&gt;=DE40,IF(DD40="",0,1))</formula>
    </cfRule>
  </conditionalFormatting>
  <dataValidations count="1">
    <dataValidation type="list" allowBlank="1" showErrorMessage="1" sqref="O5:R24 O27:R30 O33:R37 O40:R44 V5:Y24 V27:Y30 V33:Y37 V40:Y44 AC5:AF24 AC27:AF30 AC33:AF37 AC40:AF44 AJ5:AM24 AJ27:AM30 AJ33:AM37 AJ40:AM44 AQ5:AT24 AQ27:AT30 AQ33:AT37 AQ40:AT44 AX5:BA24 AX27:BA30 AX33:BA37 AX40:BA44 BE5:BH24 BE27:BH30 BE33:BH37 BE40:BH44 BL5:BO24 BL27:BO30 BL33:BO37 BL40:BO44 BS5:BV24 BS27:BV30 BS33:BV37 BS40:BV44 BZ5:CC24 BZ27:CC30 BZ33:CC37 BZ40:CC44 CG5:CJ24 CG27:CJ30 CG33:CJ37 CG40:CJ44 CN5:CQ24 CN27:CQ30 CN33:CQ37 CN40:CQ44 CU5:CX24 CU27:CX30 CU33:CX37 CU40:CX44 DB5:DE24 DB27:DE30 DB33:DE37 DB40:DE44 DI5:DL24 DI27:DL30 DI33:DL37 DI40:DL44 DP5:DS24 DP27:DS30 DP33:DS37 DP40:DS44 DW5:DZ24 DW27:DZ30 DW33:DZ37 DW40:DZ44 ED5:EG24 ED27:EG30 ED33:EG37 ED40:EG44" xr:uid="{00000000-0002-0000-0100-000000000000}">
      <formula1>"10%,20%,30%,40%,50%,60%,70%,80%,90%,100%"</formula1>
      <formula2>0</formula2>
    </dataValidation>
  </dataValidations>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1000"/>
  <sheetViews>
    <sheetView zoomScaleNormal="100" workbookViewId="0"/>
  </sheetViews>
  <sheetFormatPr baseColWidth="10" defaultColWidth="11.1640625" defaultRowHeight="16" x14ac:dyDescent="0.2"/>
  <cols>
    <col min="1" max="1" width="8.33203125" customWidth="1"/>
    <col min="2" max="2" width="125.1640625" customWidth="1"/>
    <col min="3" max="3" width="8.5" customWidth="1"/>
    <col min="4" max="26" width="8.33203125" customWidth="1"/>
  </cols>
  <sheetData>
    <row r="1" spans="2:2" ht="15.75" customHeight="1" x14ac:dyDescent="0.2"/>
    <row r="2" spans="2:2" ht="15.75" customHeight="1" x14ac:dyDescent="0.2"/>
    <row r="3" spans="2:2" ht="15.75" customHeight="1" x14ac:dyDescent="0.2"/>
    <row r="4" spans="2:2" ht="15.75" customHeight="1" x14ac:dyDescent="0.25">
      <c r="B4" s="15" t="s">
        <v>81</v>
      </c>
    </row>
    <row r="5" spans="2:2" ht="15.75" customHeight="1" x14ac:dyDescent="0.2"/>
    <row r="6" spans="2:2" ht="15.75" customHeight="1" x14ac:dyDescent="0.2">
      <c r="B6" s="4" t="s">
        <v>82</v>
      </c>
    </row>
    <row r="7" spans="2:2" ht="15.75" customHeight="1" x14ac:dyDescent="0.2">
      <c r="B7" s="16" t="s">
        <v>83</v>
      </c>
    </row>
    <row r="8" spans="2:2" ht="15.75" customHeight="1" x14ac:dyDescent="0.2"/>
    <row r="9" spans="2:2" ht="15.75" customHeight="1" x14ac:dyDescent="0.2">
      <c r="B9" s="4" t="s">
        <v>84</v>
      </c>
    </row>
    <row r="10" spans="2:2" ht="15.75" customHeight="1" x14ac:dyDescent="0.2">
      <c r="B10" s="16" t="s">
        <v>85</v>
      </c>
    </row>
    <row r="11" spans="2:2" ht="15.75" customHeight="1" x14ac:dyDescent="0.2"/>
    <row r="12" spans="2:2" ht="15.75" customHeight="1" x14ac:dyDescent="0.2">
      <c r="B12" s="4" t="s">
        <v>86</v>
      </c>
    </row>
    <row r="13" spans="2:2" ht="15.75" customHeight="1" x14ac:dyDescent="0.2">
      <c r="B13" s="16" t="s">
        <v>87</v>
      </c>
    </row>
    <row r="14" spans="2:2" ht="15.75" customHeight="1" x14ac:dyDescent="0.2"/>
    <row r="15" spans="2:2" ht="15.75" customHeight="1" x14ac:dyDescent="0.2">
      <c r="B15" s="4" t="s">
        <v>88</v>
      </c>
    </row>
    <row r="16" spans="2:2" ht="15.75" customHeight="1" x14ac:dyDescent="0.2">
      <c r="B16" s="16" t="s">
        <v>89</v>
      </c>
    </row>
    <row r="17" spans="2:2" ht="15.75" customHeight="1" x14ac:dyDescent="0.2">
      <c r="B17" s="16"/>
    </row>
    <row r="18" spans="2:2" ht="15.75" customHeight="1" x14ac:dyDescent="0.2">
      <c r="B18" s="4" t="s">
        <v>90</v>
      </c>
    </row>
    <row r="19" spans="2:2" ht="15.75" customHeight="1" x14ac:dyDescent="0.2">
      <c r="B19" s="16" t="s">
        <v>91</v>
      </c>
    </row>
    <row r="20" spans="2:2" ht="15.75" customHeight="1" x14ac:dyDescent="0.2"/>
    <row r="21" spans="2:2" ht="15.75" customHeight="1" x14ac:dyDescent="0.2">
      <c r="B21" s="4" t="s">
        <v>92</v>
      </c>
    </row>
    <row r="22" spans="2:2" ht="15.75" customHeight="1" x14ac:dyDescent="0.2">
      <c r="B22" s="16" t="s">
        <v>93</v>
      </c>
    </row>
    <row r="23" spans="2:2" ht="15.75" customHeight="1" x14ac:dyDescent="0.2"/>
    <row r="24" spans="2:2" ht="15.75" customHeight="1" x14ac:dyDescent="0.2">
      <c r="B24" s="4" t="s">
        <v>94</v>
      </c>
    </row>
    <row r="25" spans="2:2" ht="15.75" customHeight="1" x14ac:dyDescent="0.2">
      <c r="B25" s="16" t="s">
        <v>95</v>
      </c>
    </row>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69"/>
  <sheetViews>
    <sheetView zoomScaleNormal="100" workbookViewId="0"/>
  </sheetViews>
  <sheetFormatPr baseColWidth="10" defaultColWidth="11.1640625" defaultRowHeight="16" x14ac:dyDescent="0.2"/>
  <cols>
    <col min="1" max="1" width="13.1640625" customWidth="1"/>
    <col min="2" max="2" width="14.83203125" customWidth="1"/>
    <col min="3" max="3" width="14.1640625" customWidth="1"/>
    <col min="4" max="4" width="15.1640625" customWidth="1"/>
    <col min="5" max="7" width="8.33203125" customWidth="1"/>
    <col min="8" max="8" width="11.83203125" customWidth="1"/>
    <col min="9" max="9" width="8.33203125" customWidth="1"/>
    <col min="10" max="10" width="32.6640625" customWidth="1"/>
    <col min="11" max="11" width="22.1640625" customWidth="1"/>
    <col min="12" max="26" width="8.33203125" customWidth="1"/>
  </cols>
  <sheetData>
    <row r="1" spans="1:13" ht="15.75" customHeight="1" x14ac:dyDescent="0.2">
      <c r="A1" s="11" t="s">
        <v>96</v>
      </c>
      <c r="B1" s="17" t="s">
        <v>97</v>
      </c>
      <c r="C1" s="17" t="s">
        <v>98</v>
      </c>
      <c r="D1" s="17" t="s">
        <v>99</v>
      </c>
      <c r="E1" s="16" t="s">
        <v>100</v>
      </c>
      <c r="F1" s="16" t="s">
        <v>101</v>
      </c>
      <c r="G1" s="16" t="s">
        <v>102</v>
      </c>
      <c r="H1" s="16" t="s">
        <v>103</v>
      </c>
      <c r="I1" s="16" t="s">
        <v>104</v>
      </c>
      <c r="J1" s="16" t="s">
        <v>105</v>
      </c>
      <c r="K1" s="16" t="s">
        <v>106</v>
      </c>
      <c r="M1" s="5">
        <f>Semesterplan!A1 + (8 - WEEKDAY(Semesterplan!A1, 2))</f>
        <v>46230</v>
      </c>
    </row>
    <row r="2" spans="1:13" ht="15.75" customHeight="1" x14ac:dyDescent="0.2">
      <c r="A2" s="18" t="str">
        <f>TEXT(M1,"mm/dd/yyyy")</f>
        <v>00/dd/yyyy</v>
      </c>
      <c r="B2" s="11"/>
      <c r="C2" s="11"/>
      <c r="D2" s="14"/>
      <c r="M2" s="8"/>
    </row>
    <row r="3" spans="1:13" ht="15.75" customHeight="1" x14ac:dyDescent="0.2">
      <c r="A3" s="18" t="str">
        <f>TEXT($M$1+1,"mm/dd/yyyy")</f>
        <v>00/dd/yyyy</v>
      </c>
      <c r="B3" s="11"/>
      <c r="C3" s="11"/>
      <c r="D3" s="11"/>
      <c r="M3" s="8"/>
    </row>
    <row r="4" spans="1:13" ht="15.75" customHeight="1" x14ac:dyDescent="0.2">
      <c r="A4" s="18" t="str">
        <f t="shared" ref="A4:A51" si="0">TEXT($M$1 + ROW(A1) + 1, "mm/dd/yyyy")</f>
        <v>00/dd/yyyy</v>
      </c>
      <c r="B4" s="11"/>
      <c r="C4" s="11"/>
      <c r="D4" s="11"/>
      <c r="M4" s="8"/>
    </row>
    <row r="5" spans="1:13" ht="15.75" customHeight="1" x14ac:dyDescent="0.2">
      <c r="A5" s="18" t="str">
        <f t="shared" si="0"/>
        <v>00/dd/yyyy</v>
      </c>
      <c r="B5" s="11"/>
      <c r="C5" s="11"/>
      <c r="D5" s="11"/>
      <c r="M5" s="8"/>
    </row>
    <row r="6" spans="1:13" ht="15.75" customHeight="1" x14ac:dyDescent="0.2">
      <c r="A6" s="18" t="str">
        <f t="shared" si="0"/>
        <v>00/dd/yyyy</v>
      </c>
      <c r="B6" s="11"/>
      <c r="C6" s="11"/>
      <c r="D6" s="11"/>
      <c r="M6" s="8"/>
    </row>
    <row r="7" spans="1:13" ht="15.75" customHeight="1" x14ac:dyDescent="0.2">
      <c r="A7" s="18" t="str">
        <f t="shared" si="0"/>
        <v>00/dd/yyyy</v>
      </c>
      <c r="B7" s="11"/>
      <c r="C7" s="11"/>
      <c r="D7" s="11"/>
      <c r="M7" s="8"/>
    </row>
    <row r="8" spans="1:13" ht="15.75" customHeight="1" x14ac:dyDescent="0.2">
      <c r="A8" s="18" t="str">
        <f t="shared" si="0"/>
        <v>00/dd/yyyy</v>
      </c>
      <c r="B8" s="11"/>
      <c r="C8" s="11"/>
      <c r="D8" s="11"/>
      <c r="M8" s="8"/>
    </row>
    <row r="9" spans="1:13" ht="15.75" customHeight="1" x14ac:dyDescent="0.2">
      <c r="A9" s="18" t="str">
        <f t="shared" si="0"/>
        <v>00/dd/yyyy</v>
      </c>
      <c r="B9" s="11"/>
      <c r="C9" s="11"/>
      <c r="D9" s="11"/>
      <c r="M9" s="8"/>
    </row>
    <row r="10" spans="1:13" ht="15.75" customHeight="1" x14ac:dyDescent="0.2">
      <c r="A10" s="18" t="str">
        <f t="shared" si="0"/>
        <v>00/dd/yyyy</v>
      </c>
      <c r="B10" s="11"/>
      <c r="C10" s="11"/>
      <c r="D10" s="11"/>
      <c r="M10" s="8"/>
    </row>
    <row r="11" spans="1:13" ht="15.75" customHeight="1" x14ac:dyDescent="0.2">
      <c r="A11" s="18" t="str">
        <f t="shared" si="0"/>
        <v>00/dd/yyyy</v>
      </c>
      <c r="B11" s="11"/>
      <c r="C11" s="11"/>
      <c r="D11" s="11"/>
      <c r="M11" s="8"/>
    </row>
    <row r="12" spans="1:13" ht="15.75" customHeight="1" x14ac:dyDescent="0.2">
      <c r="A12" s="18" t="str">
        <f t="shared" si="0"/>
        <v>00/dd/yyyy</v>
      </c>
      <c r="B12" s="11"/>
      <c r="C12" s="11"/>
      <c r="D12" s="11"/>
      <c r="M12" s="8"/>
    </row>
    <row r="13" spans="1:13" ht="15.75" customHeight="1" x14ac:dyDescent="0.2">
      <c r="A13" s="18" t="str">
        <f t="shared" si="0"/>
        <v>00/dd/yyyy</v>
      </c>
      <c r="B13" s="11"/>
      <c r="C13" s="11"/>
      <c r="D13" s="11"/>
      <c r="M13" s="8"/>
    </row>
    <row r="14" spans="1:13" ht="15.75" customHeight="1" x14ac:dyDescent="0.2">
      <c r="A14" s="18" t="str">
        <f t="shared" si="0"/>
        <v>00/dd/yyyy</v>
      </c>
      <c r="B14" s="11"/>
      <c r="C14" s="11"/>
      <c r="D14" s="11"/>
      <c r="M14" s="8"/>
    </row>
    <row r="15" spans="1:13" ht="15.75" customHeight="1" x14ac:dyDescent="0.2">
      <c r="A15" s="18" t="str">
        <f t="shared" si="0"/>
        <v>00/dd/yyyy</v>
      </c>
      <c r="B15" s="11"/>
      <c r="C15" s="11"/>
      <c r="D15" s="11"/>
      <c r="M15" s="8"/>
    </row>
    <row r="16" spans="1:13" ht="15.75" customHeight="1" x14ac:dyDescent="0.2">
      <c r="A16" s="18" t="str">
        <f t="shared" si="0"/>
        <v>00/dd/yyyy</v>
      </c>
      <c r="B16" s="11"/>
      <c r="C16" s="11"/>
      <c r="D16" s="11"/>
      <c r="M16" s="8"/>
    </row>
    <row r="17" spans="1:13" ht="15.75" customHeight="1" x14ac:dyDescent="0.2">
      <c r="A17" s="18" t="str">
        <f t="shared" si="0"/>
        <v>00/dd/yyyy</v>
      </c>
      <c r="B17" s="11"/>
      <c r="C17" s="11"/>
      <c r="D17" s="11"/>
      <c r="M17" s="8"/>
    </row>
    <row r="18" spans="1:13" ht="15.75" customHeight="1" x14ac:dyDescent="0.2">
      <c r="A18" s="18" t="str">
        <f t="shared" si="0"/>
        <v>00/dd/yyyy</v>
      </c>
      <c r="B18" s="11"/>
      <c r="C18" s="11"/>
      <c r="D18" s="11"/>
      <c r="M18" s="8"/>
    </row>
    <row r="19" spans="1:13" ht="15.75" customHeight="1" x14ac:dyDescent="0.2">
      <c r="A19" s="18" t="str">
        <f t="shared" si="0"/>
        <v>00/dd/yyyy</v>
      </c>
      <c r="B19" s="11"/>
      <c r="C19" s="11"/>
      <c r="D19" s="11"/>
      <c r="M19" s="8"/>
    </row>
    <row r="20" spans="1:13" ht="15.75" customHeight="1" x14ac:dyDescent="0.2">
      <c r="A20" s="18" t="str">
        <f t="shared" si="0"/>
        <v>00/dd/yyyy</v>
      </c>
      <c r="B20" s="11"/>
      <c r="C20" s="11"/>
      <c r="D20" s="11"/>
      <c r="M20" s="8"/>
    </row>
    <row r="21" spans="1:13" ht="15.75" customHeight="1" x14ac:dyDescent="0.2">
      <c r="A21" s="18" t="str">
        <f t="shared" si="0"/>
        <v>00/dd/yyyy</v>
      </c>
      <c r="B21" s="11"/>
      <c r="C21" s="11"/>
      <c r="D21" s="11"/>
      <c r="M21" s="8"/>
    </row>
    <row r="22" spans="1:13" ht="15.75" customHeight="1" x14ac:dyDescent="0.2">
      <c r="A22" s="18" t="str">
        <f t="shared" si="0"/>
        <v>00/dd/yyyy</v>
      </c>
      <c r="B22" s="11"/>
      <c r="C22" s="11"/>
      <c r="D22" s="11"/>
      <c r="M22" s="8"/>
    </row>
    <row r="23" spans="1:13" ht="15.75" customHeight="1" x14ac:dyDescent="0.2">
      <c r="A23" s="18" t="str">
        <f t="shared" si="0"/>
        <v>00/dd/yyyy</v>
      </c>
      <c r="B23" s="11"/>
      <c r="C23" s="11"/>
      <c r="D23" s="11"/>
      <c r="M23" s="8"/>
    </row>
    <row r="24" spans="1:13" ht="15.75" customHeight="1" x14ac:dyDescent="0.2">
      <c r="A24" s="18" t="str">
        <f t="shared" si="0"/>
        <v>00/dd/yyyy</v>
      </c>
      <c r="B24" s="11"/>
      <c r="C24" s="11"/>
      <c r="D24" s="11"/>
      <c r="M24" s="8"/>
    </row>
    <row r="25" spans="1:13" ht="15.75" customHeight="1" x14ac:dyDescent="0.2">
      <c r="A25" s="18" t="str">
        <f t="shared" si="0"/>
        <v>00/dd/yyyy</v>
      </c>
      <c r="B25" s="11"/>
      <c r="C25" s="11"/>
      <c r="D25" s="11"/>
      <c r="M25" s="8"/>
    </row>
    <row r="26" spans="1:13" ht="15.75" customHeight="1" x14ac:dyDescent="0.2">
      <c r="A26" s="18" t="str">
        <f t="shared" si="0"/>
        <v>00/dd/yyyy</v>
      </c>
      <c r="B26" s="11"/>
      <c r="C26" s="11"/>
      <c r="D26" s="11"/>
      <c r="M26" s="8"/>
    </row>
    <row r="27" spans="1:13" ht="15.75" customHeight="1" x14ac:dyDescent="0.2">
      <c r="A27" s="18" t="str">
        <f t="shared" si="0"/>
        <v>00/dd/yyyy</v>
      </c>
      <c r="B27" s="11"/>
      <c r="C27" s="11"/>
      <c r="D27" s="11"/>
      <c r="M27" s="8"/>
    </row>
    <row r="28" spans="1:13" ht="15.75" customHeight="1" x14ac:dyDescent="0.2">
      <c r="A28" s="18" t="str">
        <f t="shared" si="0"/>
        <v>00/dd/yyyy</v>
      </c>
      <c r="B28" s="11"/>
      <c r="C28" s="11"/>
      <c r="D28" s="11"/>
      <c r="M28" s="8"/>
    </row>
    <row r="29" spans="1:13" ht="15.75" customHeight="1" x14ac:dyDescent="0.2">
      <c r="A29" s="18" t="str">
        <f t="shared" si="0"/>
        <v>00/dd/yyyy</v>
      </c>
      <c r="B29" s="11"/>
      <c r="C29" s="11"/>
      <c r="D29" s="11"/>
      <c r="M29" s="8"/>
    </row>
    <row r="30" spans="1:13" ht="15.75" customHeight="1" x14ac:dyDescent="0.2">
      <c r="A30" s="18" t="str">
        <f t="shared" si="0"/>
        <v>00/dd/yyyy</v>
      </c>
      <c r="B30" s="11"/>
      <c r="C30" s="11"/>
      <c r="D30" s="11"/>
      <c r="M30" s="8"/>
    </row>
    <row r="31" spans="1:13" ht="15.75" customHeight="1" x14ac:dyDescent="0.2">
      <c r="A31" s="18" t="str">
        <f t="shared" si="0"/>
        <v>00/dd/yyyy</v>
      </c>
      <c r="B31" s="11"/>
      <c r="C31" s="11"/>
      <c r="D31" s="11"/>
      <c r="M31" s="8"/>
    </row>
    <row r="32" spans="1:13" ht="15.75" customHeight="1" x14ac:dyDescent="0.2">
      <c r="A32" s="18" t="str">
        <f t="shared" si="0"/>
        <v>00/dd/yyyy</v>
      </c>
      <c r="B32" s="11"/>
      <c r="C32" s="11"/>
      <c r="D32" s="11"/>
      <c r="M32" s="8"/>
    </row>
    <row r="33" spans="1:13" ht="15.75" customHeight="1" x14ac:dyDescent="0.2">
      <c r="A33" s="18" t="str">
        <f t="shared" si="0"/>
        <v>00/dd/yyyy</v>
      </c>
      <c r="B33" s="11"/>
      <c r="C33" s="11"/>
      <c r="D33" s="11"/>
      <c r="M33" s="8"/>
    </row>
    <row r="34" spans="1:13" ht="15.75" customHeight="1" x14ac:dyDescent="0.2">
      <c r="A34" s="18" t="str">
        <f t="shared" si="0"/>
        <v>00/dd/yyyy</v>
      </c>
      <c r="B34" s="11"/>
      <c r="C34" s="11"/>
      <c r="D34" s="11"/>
      <c r="M34" s="8"/>
    </row>
    <row r="35" spans="1:13" ht="15.75" customHeight="1" x14ac:dyDescent="0.2">
      <c r="A35" s="18" t="str">
        <f t="shared" si="0"/>
        <v>00/dd/yyyy</v>
      </c>
      <c r="B35" s="11"/>
      <c r="C35" s="11"/>
      <c r="D35" s="11"/>
      <c r="M35" s="8"/>
    </row>
    <row r="36" spans="1:13" ht="15.75" customHeight="1" x14ac:dyDescent="0.2">
      <c r="A36" s="18" t="str">
        <f t="shared" si="0"/>
        <v>00/dd/yyyy</v>
      </c>
      <c r="B36" s="11"/>
      <c r="C36" s="11"/>
      <c r="D36" s="11"/>
      <c r="M36" s="8"/>
    </row>
    <row r="37" spans="1:13" ht="15.75" customHeight="1" x14ac:dyDescent="0.2">
      <c r="A37" s="18" t="str">
        <f t="shared" si="0"/>
        <v>00/dd/yyyy</v>
      </c>
      <c r="B37" s="11"/>
      <c r="C37" s="11"/>
      <c r="D37" s="11"/>
      <c r="M37" s="8"/>
    </row>
    <row r="38" spans="1:13" ht="15.75" customHeight="1" x14ac:dyDescent="0.2">
      <c r="A38" s="18" t="str">
        <f t="shared" si="0"/>
        <v>00/dd/yyyy</v>
      </c>
      <c r="B38" s="11"/>
      <c r="C38" s="11"/>
      <c r="D38" s="11"/>
      <c r="M38" s="8"/>
    </row>
    <row r="39" spans="1:13" ht="15.75" customHeight="1" x14ac:dyDescent="0.2">
      <c r="A39" s="18" t="str">
        <f t="shared" si="0"/>
        <v>00/dd/yyyy</v>
      </c>
      <c r="B39" s="11"/>
      <c r="C39" s="11"/>
      <c r="D39" s="11"/>
      <c r="M39" s="8"/>
    </row>
    <row r="40" spans="1:13" ht="15.75" customHeight="1" x14ac:dyDescent="0.2">
      <c r="A40" s="18" t="str">
        <f t="shared" si="0"/>
        <v>00/dd/yyyy</v>
      </c>
      <c r="B40" s="11"/>
      <c r="C40" s="11"/>
      <c r="D40" s="11"/>
      <c r="M40" s="8"/>
    </row>
    <row r="41" spans="1:13" ht="15.75" customHeight="1" x14ac:dyDescent="0.2">
      <c r="A41" s="18" t="str">
        <f t="shared" si="0"/>
        <v>00/dd/yyyy</v>
      </c>
      <c r="B41" s="11"/>
      <c r="C41" s="11"/>
      <c r="D41" s="11"/>
      <c r="M41" s="8"/>
    </row>
    <row r="42" spans="1:13" ht="15.75" customHeight="1" x14ac:dyDescent="0.2">
      <c r="A42" s="18" t="str">
        <f t="shared" si="0"/>
        <v>00/dd/yyyy</v>
      </c>
      <c r="B42" s="11"/>
      <c r="C42" s="11"/>
      <c r="D42" s="11"/>
      <c r="M42" s="8"/>
    </row>
    <row r="43" spans="1:13" ht="15.75" customHeight="1" x14ac:dyDescent="0.2">
      <c r="A43" s="18" t="str">
        <f t="shared" si="0"/>
        <v>00/dd/yyyy</v>
      </c>
      <c r="B43" s="11"/>
      <c r="C43" s="11"/>
      <c r="D43" s="11"/>
      <c r="M43" s="8"/>
    </row>
    <row r="44" spans="1:13" ht="15.75" customHeight="1" x14ac:dyDescent="0.2">
      <c r="A44" s="18" t="str">
        <f t="shared" si="0"/>
        <v>00/dd/yyyy</v>
      </c>
      <c r="B44" s="11"/>
      <c r="C44" s="11"/>
      <c r="D44" s="11"/>
      <c r="M44" s="8"/>
    </row>
    <row r="45" spans="1:13" ht="15.75" customHeight="1" x14ac:dyDescent="0.2">
      <c r="A45" s="18" t="str">
        <f t="shared" si="0"/>
        <v>00/dd/yyyy</v>
      </c>
      <c r="B45" s="11"/>
      <c r="C45" s="11"/>
      <c r="D45" s="11"/>
      <c r="M45" s="8"/>
    </row>
    <row r="46" spans="1:13" ht="15.75" customHeight="1" x14ac:dyDescent="0.2">
      <c r="A46" s="18" t="str">
        <f t="shared" si="0"/>
        <v>00/dd/yyyy</v>
      </c>
      <c r="B46" s="11"/>
      <c r="C46" s="11"/>
      <c r="D46" s="11"/>
      <c r="M46" s="8"/>
    </row>
    <row r="47" spans="1:13" ht="15.75" customHeight="1" x14ac:dyDescent="0.2">
      <c r="A47" s="18" t="str">
        <f t="shared" si="0"/>
        <v>00/dd/yyyy</v>
      </c>
      <c r="B47" s="11"/>
      <c r="C47" s="11"/>
      <c r="D47" s="11"/>
      <c r="M47" s="8"/>
    </row>
    <row r="48" spans="1:13" ht="15.75" customHeight="1" x14ac:dyDescent="0.2">
      <c r="A48" s="18" t="str">
        <f t="shared" si="0"/>
        <v>00/dd/yyyy</v>
      </c>
      <c r="B48" s="11"/>
      <c r="C48" s="11"/>
      <c r="D48" s="11"/>
      <c r="M48" s="8"/>
    </row>
    <row r="49" spans="1:13" ht="15.75" customHeight="1" x14ac:dyDescent="0.2">
      <c r="A49" s="18" t="str">
        <f t="shared" si="0"/>
        <v>00/dd/yyyy</v>
      </c>
      <c r="B49" s="11"/>
      <c r="C49" s="11"/>
      <c r="D49" s="11"/>
      <c r="M49" s="8"/>
    </row>
    <row r="50" spans="1:13" ht="15.75" customHeight="1" x14ac:dyDescent="0.2">
      <c r="A50" s="18" t="str">
        <f t="shared" si="0"/>
        <v>00/dd/yyyy</v>
      </c>
      <c r="B50" s="11"/>
      <c r="C50" s="11"/>
      <c r="D50" s="11"/>
      <c r="M50" s="8"/>
    </row>
    <row r="51" spans="1:13" ht="15.75" customHeight="1" x14ac:dyDescent="0.2">
      <c r="A51" s="18" t="str">
        <f t="shared" si="0"/>
        <v>00/dd/yyyy</v>
      </c>
      <c r="B51" s="11"/>
      <c r="C51" s="11"/>
      <c r="D51" s="14"/>
      <c r="M51" s="8"/>
    </row>
    <row r="52" spans="1:13" ht="15.75" customHeight="1" x14ac:dyDescent="0.2">
      <c r="A52" s="11"/>
      <c r="B52" s="11"/>
      <c r="C52" s="11"/>
      <c r="D52" s="11"/>
      <c r="M52" s="8"/>
    </row>
    <row r="53" spans="1:13" ht="15.75" customHeight="1" x14ac:dyDescent="0.2">
      <c r="A53" s="11"/>
      <c r="B53" s="11"/>
      <c r="C53" s="11"/>
      <c r="D53" s="11"/>
      <c r="M53" s="8"/>
    </row>
    <row r="54" spans="1:13" ht="15.75" customHeight="1" x14ac:dyDescent="0.2">
      <c r="A54" s="11"/>
      <c r="B54" s="11"/>
      <c r="C54" s="11"/>
      <c r="D54" s="11"/>
      <c r="M54" s="8"/>
    </row>
    <row r="55" spans="1:13" ht="15.75" customHeight="1" x14ac:dyDescent="0.2">
      <c r="A55" s="11"/>
      <c r="B55" s="11"/>
      <c r="C55" s="11"/>
      <c r="D55" s="11"/>
      <c r="M55" s="8"/>
    </row>
    <row r="56" spans="1:13" ht="15.75" customHeight="1" x14ac:dyDescent="0.2">
      <c r="A56" s="11"/>
      <c r="B56" s="11"/>
      <c r="C56" s="11"/>
      <c r="D56" s="11"/>
      <c r="M56" s="8"/>
    </row>
    <row r="57" spans="1:13" ht="15.75" customHeight="1" x14ac:dyDescent="0.2">
      <c r="A57" s="11"/>
      <c r="B57" s="11"/>
      <c r="C57" s="11"/>
      <c r="D57" s="11"/>
      <c r="M57" s="8"/>
    </row>
    <row r="58" spans="1:13" ht="15.75" customHeight="1" x14ac:dyDescent="0.2">
      <c r="A58" s="11"/>
      <c r="B58" s="11"/>
      <c r="C58" s="11"/>
      <c r="D58" s="11"/>
      <c r="M58" s="8"/>
    </row>
    <row r="59" spans="1:13" ht="15.75" customHeight="1" x14ac:dyDescent="0.2">
      <c r="A59" s="11"/>
      <c r="B59" s="11"/>
      <c r="C59" s="11"/>
      <c r="D59" s="11"/>
      <c r="M59" s="8"/>
    </row>
    <row r="60" spans="1:13" ht="15.75" customHeight="1" x14ac:dyDescent="0.2">
      <c r="A60" s="11"/>
      <c r="B60" s="11"/>
      <c r="C60" s="11"/>
      <c r="D60" s="11"/>
      <c r="M60" s="8"/>
    </row>
    <row r="61" spans="1:13" ht="15.75" customHeight="1" x14ac:dyDescent="0.2">
      <c r="A61" s="11"/>
      <c r="B61" s="11"/>
      <c r="C61" s="11"/>
      <c r="D61" s="11"/>
      <c r="M61" s="8"/>
    </row>
    <row r="62" spans="1:13" ht="15.75" customHeight="1" x14ac:dyDescent="0.2">
      <c r="A62" s="11"/>
      <c r="B62" s="11"/>
      <c r="C62" s="11"/>
      <c r="D62" s="11"/>
      <c r="M62" s="8"/>
    </row>
    <row r="63" spans="1:13" ht="15.75" customHeight="1" x14ac:dyDescent="0.2">
      <c r="A63" s="11"/>
      <c r="B63" s="11"/>
      <c r="C63" s="11"/>
      <c r="D63" s="11"/>
      <c r="M63" s="8"/>
    </row>
    <row r="64" spans="1:13" ht="15.75" customHeight="1" x14ac:dyDescent="0.2">
      <c r="A64" s="11"/>
      <c r="B64" s="11"/>
      <c r="C64" s="11"/>
      <c r="D64" s="11"/>
      <c r="M64" s="8"/>
    </row>
    <row r="65" spans="1:13" ht="15.75" customHeight="1" x14ac:dyDescent="0.2">
      <c r="A65" s="11"/>
      <c r="B65" s="11"/>
      <c r="C65" s="11"/>
      <c r="D65" s="11"/>
      <c r="M65" s="8"/>
    </row>
    <row r="66" spans="1:13" ht="15.75" customHeight="1" x14ac:dyDescent="0.2">
      <c r="A66" s="11"/>
      <c r="B66" s="11"/>
      <c r="C66" s="11"/>
      <c r="D66" s="11"/>
      <c r="M66" s="8"/>
    </row>
    <row r="67" spans="1:13" ht="15.75" customHeight="1" x14ac:dyDescent="0.2">
      <c r="A67" s="11"/>
      <c r="B67" s="11"/>
      <c r="C67" s="11"/>
      <c r="D67" s="11"/>
      <c r="M67" s="8"/>
    </row>
    <row r="68" spans="1:13" ht="15.75" customHeight="1" x14ac:dyDescent="0.2">
      <c r="A68" s="11"/>
      <c r="B68" s="11"/>
      <c r="C68" s="11"/>
      <c r="D68" s="11"/>
      <c r="M68" s="8"/>
    </row>
    <row r="69" spans="1:13" ht="15.75" customHeight="1" x14ac:dyDescent="0.2">
      <c r="A69" s="11"/>
      <c r="B69" s="11"/>
      <c r="C69" s="11"/>
      <c r="D69" s="11"/>
      <c r="M69" s="8"/>
    </row>
    <row r="70" spans="1:13" ht="15.75" customHeight="1" x14ac:dyDescent="0.2">
      <c r="A70" s="11"/>
      <c r="B70" s="11"/>
      <c r="C70" s="11"/>
      <c r="D70" s="11"/>
      <c r="M70" s="8"/>
    </row>
    <row r="71" spans="1:13" ht="15.75" customHeight="1" x14ac:dyDescent="0.2">
      <c r="A71" s="11"/>
      <c r="B71" s="11"/>
      <c r="C71" s="11"/>
      <c r="D71" s="11"/>
      <c r="M71" s="8"/>
    </row>
    <row r="72" spans="1:13" ht="15.75" customHeight="1" x14ac:dyDescent="0.2">
      <c r="A72" s="11"/>
      <c r="B72" s="11"/>
      <c r="C72" s="11"/>
      <c r="D72" s="11"/>
      <c r="M72" s="8"/>
    </row>
    <row r="73" spans="1:13" ht="15.75" customHeight="1" x14ac:dyDescent="0.2">
      <c r="A73" s="11"/>
      <c r="B73" s="11"/>
      <c r="C73" s="11"/>
      <c r="D73" s="11"/>
      <c r="M73" s="8"/>
    </row>
    <row r="74" spans="1:13" ht="15.75" customHeight="1" x14ac:dyDescent="0.2">
      <c r="A74" s="11"/>
      <c r="B74" s="11"/>
      <c r="C74" s="11"/>
      <c r="D74" s="11"/>
      <c r="M74" s="8"/>
    </row>
    <row r="75" spans="1:13" ht="15.75" customHeight="1" x14ac:dyDescent="0.2">
      <c r="A75" s="11"/>
      <c r="B75" s="11"/>
      <c r="C75" s="11"/>
      <c r="D75" s="11"/>
      <c r="M75" s="8"/>
    </row>
    <row r="76" spans="1:13" ht="15.75" customHeight="1" x14ac:dyDescent="0.2">
      <c r="A76" s="11"/>
      <c r="B76" s="11"/>
      <c r="C76" s="11"/>
      <c r="D76" s="11"/>
      <c r="M76" s="8"/>
    </row>
    <row r="77" spans="1:13" ht="15.75" customHeight="1" x14ac:dyDescent="0.2">
      <c r="A77" s="11"/>
      <c r="B77" s="11"/>
      <c r="C77" s="11"/>
      <c r="D77" s="11"/>
      <c r="M77" s="8"/>
    </row>
    <row r="78" spans="1:13" ht="15.75" customHeight="1" x14ac:dyDescent="0.2">
      <c r="A78" s="11"/>
      <c r="B78" s="11"/>
      <c r="C78" s="11"/>
      <c r="D78" s="11"/>
      <c r="M78" s="8"/>
    </row>
    <row r="79" spans="1:13" ht="15.75" customHeight="1" x14ac:dyDescent="0.2">
      <c r="A79" s="11"/>
      <c r="B79" s="11"/>
      <c r="C79" s="11"/>
      <c r="D79" s="11"/>
      <c r="M79" s="8"/>
    </row>
    <row r="80" spans="1:13" ht="15.75" customHeight="1" x14ac:dyDescent="0.2">
      <c r="A80" s="11"/>
      <c r="B80" s="11"/>
      <c r="C80" s="11"/>
      <c r="D80" s="11"/>
      <c r="M80" s="8"/>
    </row>
    <row r="81" spans="1:13" ht="15.75" customHeight="1" x14ac:dyDescent="0.2">
      <c r="A81" s="11"/>
      <c r="B81" s="11"/>
      <c r="C81" s="11"/>
      <c r="D81" s="11"/>
      <c r="M81" s="8"/>
    </row>
    <row r="82" spans="1:13" ht="15.75" customHeight="1" x14ac:dyDescent="0.2">
      <c r="A82" s="11"/>
      <c r="B82" s="11"/>
      <c r="C82" s="11"/>
      <c r="D82" s="11"/>
      <c r="M82" s="8"/>
    </row>
    <row r="83" spans="1:13" ht="15.75" customHeight="1" x14ac:dyDescent="0.2">
      <c r="A83" s="11"/>
      <c r="B83" s="11"/>
      <c r="C83" s="11"/>
      <c r="D83" s="11"/>
      <c r="M83" s="8"/>
    </row>
    <row r="84" spans="1:13" ht="15.75" customHeight="1" x14ac:dyDescent="0.2">
      <c r="A84" s="11"/>
      <c r="B84" s="11"/>
      <c r="C84" s="11"/>
      <c r="D84" s="11"/>
      <c r="M84" s="8"/>
    </row>
    <row r="85" spans="1:13" ht="15.75" customHeight="1" x14ac:dyDescent="0.2">
      <c r="A85" s="11"/>
      <c r="B85" s="11"/>
      <c r="C85" s="11"/>
      <c r="D85" s="11"/>
      <c r="M85" s="8"/>
    </row>
    <row r="86" spans="1:13" ht="15.75" customHeight="1" x14ac:dyDescent="0.2">
      <c r="A86" s="11"/>
      <c r="B86" s="11"/>
      <c r="C86" s="11"/>
      <c r="D86" s="11"/>
      <c r="M86" s="8"/>
    </row>
    <row r="87" spans="1:13" ht="15.75" customHeight="1" x14ac:dyDescent="0.2">
      <c r="A87" s="11"/>
      <c r="B87" s="11"/>
      <c r="C87" s="11"/>
      <c r="D87" s="11"/>
      <c r="M87" s="8"/>
    </row>
    <row r="88" spans="1:13" ht="15.75" customHeight="1" x14ac:dyDescent="0.2">
      <c r="A88" s="11"/>
      <c r="B88" s="11"/>
      <c r="C88" s="11"/>
      <c r="D88" s="11"/>
      <c r="M88" s="8"/>
    </row>
    <row r="89" spans="1:13" ht="15.75" customHeight="1" x14ac:dyDescent="0.2">
      <c r="A89" s="11"/>
      <c r="B89" s="11"/>
      <c r="C89" s="11"/>
      <c r="D89" s="11"/>
      <c r="M89" s="8"/>
    </row>
    <row r="90" spans="1:13" ht="15.75" customHeight="1" x14ac:dyDescent="0.2">
      <c r="A90" s="11"/>
      <c r="B90" s="11"/>
      <c r="C90" s="11"/>
      <c r="D90" s="11"/>
      <c r="M90" s="8"/>
    </row>
    <row r="91" spans="1:13" ht="15.75" customHeight="1" x14ac:dyDescent="0.2">
      <c r="A91" s="11"/>
      <c r="B91" s="11"/>
      <c r="C91" s="11"/>
      <c r="D91" s="11"/>
      <c r="M91" s="8"/>
    </row>
    <row r="92" spans="1:13" ht="15.75" customHeight="1" x14ac:dyDescent="0.2">
      <c r="A92" s="11"/>
      <c r="B92" s="11"/>
      <c r="C92" s="11"/>
      <c r="D92" s="11"/>
      <c r="M92" s="8"/>
    </row>
    <row r="93" spans="1:13" ht="15.75" customHeight="1" x14ac:dyDescent="0.2">
      <c r="A93" s="11"/>
      <c r="B93" s="11"/>
      <c r="C93" s="11"/>
      <c r="D93" s="11"/>
      <c r="M93" s="8"/>
    </row>
    <row r="94" spans="1:13" ht="15.75" customHeight="1" x14ac:dyDescent="0.2">
      <c r="A94" s="11"/>
      <c r="B94" s="11"/>
      <c r="C94" s="11"/>
      <c r="D94" s="11"/>
      <c r="M94" s="8"/>
    </row>
    <row r="95" spans="1:13" ht="15.75" customHeight="1" x14ac:dyDescent="0.2">
      <c r="A95" s="11"/>
      <c r="B95" s="11"/>
      <c r="C95" s="11"/>
      <c r="D95" s="11"/>
      <c r="M95" s="8"/>
    </row>
    <row r="96" spans="1:13" ht="15.75" customHeight="1" x14ac:dyDescent="0.2">
      <c r="A96" s="11"/>
      <c r="B96" s="11"/>
      <c r="C96" s="11"/>
      <c r="D96" s="11"/>
      <c r="M96" s="8"/>
    </row>
    <row r="97" spans="1:13" ht="15.75" customHeight="1" x14ac:dyDescent="0.2">
      <c r="A97" s="11"/>
      <c r="B97" s="11"/>
      <c r="C97" s="11"/>
      <c r="D97" s="11"/>
      <c r="M97" s="8"/>
    </row>
    <row r="98" spans="1:13" ht="15.75" customHeight="1" x14ac:dyDescent="0.2">
      <c r="A98" s="11"/>
      <c r="B98" s="11"/>
      <c r="C98" s="11"/>
      <c r="D98" s="11"/>
      <c r="M98" s="8"/>
    </row>
    <row r="99" spans="1:13" ht="15.75" customHeight="1" x14ac:dyDescent="0.2">
      <c r="A99" s="11"/>
      <c r="B99" s="11"/>
      <c r="C99" s="11"/>
      <c r="D99" s="11"/>
      <c r="M99" s="8"/>
    </row>
    <row r="100" spans="1:13" ht="15.75" customHeight="1" x14ac:dyDescent="0.2">
      <c r="A100" s="11"/>
      <c r="B100" s="11"/>
      <c r="C100" s="11"/>
      <c r="D100" s="11"/>
      <c r="M100" s="8"/>
    </row>
    <row r="101" spans="1:13" ht="15.75" customHeight="1" x14ac:dyDescent="0.2">
      <c r="A101" s="11"/>
      <c r="B101" s="11"/>
      <c r="C101" s="11"/>
      <c r="D101" s="11"/>
      <c r="M101" s="8"/>
    </row>
    <row r="102" spans="1:13" ht="15.75" customHeight="1" x14ac:dyDescent="0.2">
      <c r="A102" s="11"/>
      <c r="B102" s="11"/>
      <c r="C102" s="11"/>
      <c r="D102" s="11"/>
      <c r="M102" s="8"/>
    </row>
    <row r="103" spans="1:13" ht="15.75" customHeight="1" x14ac:dyDescent="0.2">
      <c r="A103" s="11"/>
      <c r="B103" s="11"/>
      <c r="C103" s="11"/>
      <c r="D103" s="11"/>
      <c r="M103" s="8"/>
    </row>
    <row r="104" spans="1:13" ht="15.75" customHeight="1" x14ac:dyDescent="0.2">
      <c r="A104" s="11"/>
      <c r="B104" s="11"/>
      <c r="C104" s="11"/>
      <c r="D104" s="11"/>
      <c r="M104" s="8"/>
    </row>
    <row r="105" spans="1:13" ht="15.75" customHeight="1" x14ac:dyDescent="0.2">
      <c r="A105" s="11"/>
      <c r="B105" s="11"/>
      <c r="C105" s="11"/>
      <c r="D105" s="11"/>
      <c r="M105" s="8"/>
    </row>
    <row r="106" spans="1:13" ht="15.75" customHeight="1" x14ac:dyDescent="0.2">
      <c r="A106" s="11"/>
      <c r="B106" s="11"/>
      <c r="C106" s="11"/>
      <c r="D106" s="11"/>
      <c r="M106" s="8"/>
    </row>
    <row r="107" spans="1:13" ht="15.75" customHeight="1" x14ac:dyDescent="0.2">
      <c r="A107" s="11"/>
      <c r="B107" s="11"/>
      <c r="C107" s="11"/>
      <c r="D107" s="11"/>
      <c r="M107" s="8"/>
    </row>
    <row r="108" spans="1:13" ht="15.75" customHeight="1" x14ac:dyDescent="0.2">
      <c r="A108" s="11"/>
      <c r="B108" s="11"/>
      <c r="C108" s="11"/>
      <c r="D108" s="11"/>
      <c r="M108" s="8"/>
    </row>
    <row r="109" spans="1:13" ht="15.75" customHeight="1" x14ac:dyDescent="0.2">
      <c r="A109" s="11"/>
      <c r="B109" s="11"/>
      <c r="C109" s="11"/>
      <c r="D109" s="11"/>
      <c r="M109" s="8"/>
    </row>
    <row r="110" spans="1:13" ht="15.75" customHeight="1" x14ac:dyDescent="0.2">
      <c r="A110" s="11"/>
      <c r="B110" s="11"/>
      <c r="C110" s="11"/>
      <c r="D110" s="11"/>
      <c r="M110" s="8"/>
    </row>
    <row r="111" spans="1:13" ht="15.75" customHeight="1" x14ac:dyDescent="0.2">
      <c r="A111" s="11"/>
      <c r="B111" s="11"/>
      <c r="C111" s="11"/>
      <c r="D111" s="11"/>
      <c r="M111" s="8"/>
    </row>
    <row r="112" spans="1:13" ht="15.75" customHeight="1" x14ac:dyDescent="0.2">
      <c r="A112" s="11"/>
      <c r="B112" s="11"/>
      <c r="C112" s="11"/>
      <c r="D112" s="11"/>
      <c r="M112" s="8"/>
    </row>
    <row r="113" spans="1:13" ht="15.75" customHeight="1" x14ac:dyDescent="0.2">
      <c r="A113" s="11"/>
      <c r="B113" s="11"/>
      <c r="C113" s="11"/>
      <c r="D113" s="11"/>
      <c r="M113" s="8"/>
    </row>
    <row r="114" spans="1:13" ht="15.75" customHeight="1" x14ac:dyDescent="0.2">
      <c r="A114" s="11"/>
      <c r="B114" s="11"/>
      <c r="C114" s="11"/>
      <c r="D114" s="11"/>
      <c r="M114" s="8"/>
    </row>
    <row r="115" spans="1:13" ht="15.75" customHeight="1" x14ac:dyDescent="0.2">
      <c r="A115" s="11"/>
      <c r="B115" s="11"/>
      <c r="C115" s="11"/>
      <c r="D115" s="11"/>
      <c r="M115" s="8"/>
    </row>
    <row r="116" spans="1:13" ht="15.75" customHeight="1" x14ac:dyDescent="0.2">
      <c r="A116" s="11"/>
      <c r="B116" s="11"/>
      <c r="C116" s="11"/>
      <c r="D116" s="11"/>
      <c r="M116" s="8"/>
    </row>
    <row r="117" spans="1:13" ht="15.75" customHeight="1" x14ac:dyDescent="0.2">
      <c r="A117" s="11"/>
      <c r="B117" s="11"/>
      <c r="C117" s="11"/>
      <c r="D117" s="11"/>
      <c r="M117" s="8"/>
    </row>
    <row r="118" spans="1:13" ht="15.75" customHeight="1" x14ac:dyDescent="0.2">
      <c r="A118" s="11"/>
      <c r="B118" s="11"/>
      <c r="C118" s="11"/>
      <c r="D118" s="11"/>
      <c r="M118" s="8"/>
    </row>
    <row r="119" spans="1:13" ht="15.75" customHeight="1" x14ac:dyDescent="0.2">
      <c r="A119" s="11"/>
      <c r="B119" s="11"/>
      <c r="C119" s="11"/>
      <c r="D119" s="11"/>
      <c r="M119" s="8"/>
    </row>
    <row r="120" spans="1:13" ht="15.75" customHeight="1" x14ac:dyDescent="0.2">
      <c r="A120" s="11"/>
      <c r="B120" s="11"/>
      <c r="C120" s="11"/>
      <c r="D120" s="11"/>
      <c r="M120" s="8"/>
    </row>
    <row r="121" spans="1:13" ht="15.75" customHeight="1" x14ac:dyDescent="0.2">
      <c r="A121" s="11"/>
      <c r="B121" s="11"/>
      <c r="C121" s="11"/>
      <c r="D121" s="11"/>
      <c r="M121" s="8"/>
    </row>
    <row r="122" spans="1:13" ht="15.75" customHeight="1" x14ac:dyDescent="0.2">
      <c r="A122" s="11"/>
      <c r="B122" s="11"/>
      <c r="C122" s="11"/>
      <c r="D122" s="11"/>
      <c r="M122" s="8"/>
    </row>
    <row r="123" spans="1:13" ht="15.75" customHeight="1" x14ac:dyDescent="0.2">
      <c r="A123" s="11"/>
      <c r="B123" s="11"/>
      <c r="C123" s="11"/>
      <c r="D123" s="11"/>
      <c r="M123" s="8"/>
    </row>
    <row r="124" spans="1:13" ht="15.75" customHeight="1" x14ac:dyDescent="0.2">
      <c r="A124" s="11"/>
      <c r="B124" s="11"/>
      <c r="C124" s="11"/>
      <c r="D124" s="11"/>
      <c r="M124" s="8"/>
    </row>
    <row r="125" spans="1:13" ht="15.75" customHeight="1" x14ac:dyDescent="0.2">
      <c r="A125" s="11"/>
      <c r="B125" s="11"/>
      <c r="C125" s="11"/>
      <c r="D125" s="11"/>
      <c r="M125" s="8"/>
    </row>
    <row r="126" spans="1:13" ht="15.75" customHeight="1" x14ac:dyDescent="0.2">
      <c r="A126" s="11"/>
      <c r="B126" s="11"/>
      <c r="C126" s="11"/>
      <c r="D126" s="11"/>
      <c r="M126" s="8"/>
    </row>
    <row r="127" spans="1:13" ht="15.75" customHeight="1" x14ac:dyDescent="0.2">
      <c r="A127" s="11"/>
      <c r="B127" s="11"/>
      <c r="C127" s="11"/>
      <c r="D127" s="11"/>
      <c r="M127" s="8"/>
    </row>
    <row r="128" spans="1:13" ht="15.75" customHeight="1" x14ac:dyDescent="0.2">
      <c r="A128" s="11"/>
      <c r="B128" s="11"/>
      <c r="C128" s="11"/>
      <c r="D128" s="11"/>
      <c r="M128" s="8"/>
    </row>
    <row r="129" spans="1:13" ht="15.75" customHeight="1" x14ac:dyDescent="0.2">
      <c r="A129" s="11"/>
      <c r="B129" s="11"/>
      <c r="C129" s="11"/>
      <c r="D129" s="11"/>
      <c r="M129" s="8"/>
    </row>
    <row r="130" spans="1:13" ht="15.75" customHeight="1" x14ac:dyDescent="0.2">
      <c r="A130" s="11"/>
      <c r="B130" s="11"/>
      <c r="C130" s="11"/>
      <c r="D130" s="11"/>
      <c r="M130" s="8"/>
    </row>
    <row r="131" spans="1:13" ht="15.75" customHeight="1" x14ac:dyDescent="0.2">
      <c r="A131" s="11"/>
      <c r="B131" s="11"/>
      <c r="C131" s="11"/>
      <c r="D131" s="11"/>
      <c r="M131" s="8"/>
    </row>
    <row r="132" spans="1:13" ht="15.75" customHeight="1" x14ac:dyDescent="0.2">
      <c r="A132" s="11"/>
      <c r="B132" s="11"/>
      <c r="C132" s="11"/>
      <c r="D132" s="11"/>
      <c r="M132" s="8"/>
    </row>
    <row r="133" spans="1:13" ht="15.75" customHeight="1" x14ac:dyDescent="0.2">
      <c r="A133" s="11"/>
      <c r="B133" s="11"/>
      <c r="C133" s="11"/>
      <c r="D133" s="11"/>
      <c r="M133" s="8"/>
    </row>
    <row r="134" spans="1:13" ht="15.75" customHeight="1" x14ac:dyDescent="0.2">
      <c r="A134" s="11"/>
      <c r="B134" s="11"/>
      <c r="C134" s="11"/>
      <c r="D134" s="11"/>
      <c r="M134" s="8"/>
    </row>
    <row r="135" spans="1:13" ht="15.75" customHeight="1" x14ac:dyDescent="0.2">
      <c r="A135" s="11"/>
      <c r="B135" s="11"/>
      <c r="C135" s="11"/>
      <c r="D135" s="11"/>
      <c r="M135" s="8"/>
    </row>
    <row r="136" spans="1:13" ht="15.75" customHeight="1" x14ac:dyDescent="0.2">
      <c r="A136" s="11"/>
      <c r="B136" s="11"/>
      <c r="C136" s="11"/>
      <c r="D136" s="11"/>
      <c r="M136" s="8"/>
    </row>
    <row r="137" spans="1:13" ht="15.75" customHeight="1" x14ac:dyDescent="0.2">
      <c r="A137" s="11"/>
      <c r="B137" s="11"/>
      <c r="C137" s="11"/>
      <c r="D137" s="11"/>
      <c r="M137" s="8"/>
    </row>
    <row r="138" spans="1:13" ht="15.75" customHeight="1" x14ac:dyDescent="0.2">
      <c r="A138" s="11"/>
      <c r="B138" s="11"/>
      <c r="C138" s="11"/>
      <c r="D138" s="11"/>
      <c r="M138" s="8"/>
    </row>
    <row r="139" spans="1:13" ht="15.75" customHeight="1" x14ac:dyDescent="0.2">
      <c r="A139" s="11"/>
      <c r="B139" s="11"/>
      <c r="C139" s="11"/>
      <c r="D139" s="11"/>
      <c r="M139" s="8"/>
    </row>
    <row r="140" spans="1:13" ht="15.75" customHeight="1" x14ac:dyDescent="0.2">
      <c r="A140" s="11"/>
      <c r="B140" s="11"/>
      <c r="C140" s="11"/>
      <c r="D140" s="11"/>
      <c r="M140" s="8"/>
    </row>
    <row r="141" spans="1:13" ht="15.75" customHeight="1" x14ac:dyDescent="0.2">
      <c r="A141" s="11"/>
      <c r="B141" s="11"/>
      <c r="C141" s="11"/>
      <c r="D141" s="11"/>
      <c r="M141" s="8"/>
    </row>
    <row r="142" spans="1:13" ht="15.75" customHeight="1" x14ac:dyDescent="0.2">
      <c r="A142" s="11"/>
      <c r="B142" s="11"/>
      <c r="C142" s="11"/>
      <c r="D142" s="11"/>
      <c r="M142" s="8"/>
    </row>
    <row r="143" spans="1:13" ht="15.75" customHeight="1" x14ac:dyDescent="0.2">
      <c r="A143" s="11"/>
      <c r="B143" s="11"/>
      <c r="C143" s="11"/>
      <c r="D143" s="11"/>
      <c r="M143" s="8"/>
    </row>
    <row r="144" spans="1:13" ht="15.75" customHeight="1" x14ac:dyDescent="0.2">
      <c r="A144" s="11"/>
      <c r="B144" s="11"/>
      <c r="C144" s="11"/>
      <c r="D144" s="11"/>
      <c r="M144" s="8"/>
    </row>
    <row r="145" spans="1:13" ht="15.75" customHeight="1" x14ac:dyDescent="0.2">
      <c r="A145" s="11"/>
      <c r="B145" s="11"/>
      <c r="C145" s="11"/>
      <c r="D145" s="11"/>
      <c r="M145" s="8"/>
    </row>
    <row r="146" spans="1:13" ht="15.75" customHeight="1" x14ac:dyDescent="0.2">
      <c r="A146" s="11"/>
      <c r="B146" s="11"/>
      <c r="C146" s="11"/>
      <c r="D146" s="11"/>
      <c r="M146" s="8"/>
    </row>
    <row r="147" spans="1:13" ht="15.75" customHeight="1" x14ac:dyDescent="0.2">
      <c r="A147" s="11"/>
      <c r="B147" s="11"/>
      <c r="C147" s="11"/>
      <c r="D147" s="11"/>
      <c r="M147" s="8"/>
    </row>
    <row r="148" spans="1:13" ht="15.75" customHeight="1" x14ac:dyDescent="0.2">
      <c r="A148" s="11"/>
      <c r="B148" s="11"/>
      <c r="C148" s="11"/>
      <c r="D148" s="11"/>
      <c r="M148" s="8"/>
    </row>
    <row r="149" spans="1:13" ht="15.75" customHeight="1" x14ac:dyDescent="0.2">
      <c r="A149" s="11"/>
      <c r="B149" s="11"/>
      <c r="C149" s="11"/>
      <c r="D149" s="11"/>
      <c r="M149" s="8"/>
    </row>
    <row r="150" spans="1:13" ht="15.75" customHeight="1" x14ac:dyDescent="0.2">
      <c r="A150" s="11"/>
      <c r="B150" s="11"/>
      <c r="C150" s="11"/>
      <c r="D150" s="11"/>
      <c r="M150" s="8"/>
    </row>
    <row r="151" spans="1:13" ht="15.75" customHeight="1" x14ac:dyDescent="0.2">
      <c r="A151" s="11"/>
      <c r="B151" s="11"/>
      <c r="C151" s="11"/>
      <c r="D151" s="11"/>
      <c r="M151" s="8"/>
    </row>
    <row r="152" spans="1:13" ht="15.75" customHeight="1" x14ac:dyDescent="0.2">
      <c r="A152" s="11"/>
      <c r="B152" s="11"/>
      <c r="C152" s="11"/>
      <c r="D152" s="11"/>
      <c r="M152" s="8"/>
    </row>
    <row r="153" spans="1:13" ht="15.75" customHeight="1" x14ac:dyDescent="0.2">
      <c r="A153" s="11"/>
      <c r="B153" s="11"/>
      <c r="C153" s="11"/>
      <c r="D153" s="11"/>
      <c r="M153" s="8"/>
    </row>
    <row r="154" spans="1:13" ht="15.75" customHeight="1" x14ac:dyDescent="0.2">
      <c r="A154" s="11"/>
      <c r="B154" s="11"/>
      <c r="C154" s="11"/>
      <c r="D154" s="11"/>
      <c r="M154" s="8"/>
    </row>
    <row r="155" spans="1:13" ht="15.75" customHeight="1" x14ac:dyDescent="0.2">
      <c r="A155" s="11"/>
      <c r="B155" s="11"/>
      <c r="C155" s="11"/>
      <c r="D155" s="11"/>
      <c r="M155" s="8"/>
    </row>
    <row r="156" spans="1:13" ht="15.75" customHeight="1" x14ac:dyDescent="0.2">
      <c r="A156" s="11"/>
      <c r="B156" s="11"/>
      <c r="C156" s="11"/>
      <c r="D156" s="11"/>
      <c r="M156" s="8"/>
    </row>
    <row r="157" spans="1:13" ht="15.75" customHeight="1" x14ac:dyDescent="0.2">
      <c r="A157" s="11"/>
      <c r="B157" s="11"/>
      <c r="C157" s="11"/>
      <c r="D157" s="11"/>
      <c r="M157" s="8"/>
    </row>
    <row r="158" spans="1:13" ht="15.75" customHeight="1" x14ac:dyDescent="0.2">
      <c r="A158" s="11"/>
      <c r="B158" s="11"/>
      <c r="C158" s="11"/>
      <c r="D158" s="11"/>
      <c r="M158" s="8"/>
    </row>
    <row r="159" spans="1:13" ht="15.75" customHeight="1" x14ac:dyDescent="0.2">
      <c r="A159" s="11"/>
      <c r="B159" s="11"/>
      <c r="C159" s="11"/>
      <c r="D159" s="11"/>
      <c r="M159" s="8"/>
    </row>
    <row r="160" spans="1:13" ht="15.75" customHeight="1" x14ac:dyDescent="0.2">
      <c r="A160" s="11"/>
      <c r="B160" s="11"/>
      <c r="C160" s="11"/>
      <c r="D160" s="11"/>
      <c r="M160" s="8"/>
    </row>
    <row r="161" spans="1:13" ht="15.75" customHeight="1" x14ac:dyDescent="0.2">
      <c r="A161" s="11"/>
      <c r="B161" s="11"/>
      <c r="C161" s="11"/>
      <c r="D161" s="11"/>
      <c r="M161" s="8"/>
    </row>
    <row r="162" spans="1:13" ht="15.75" customHeight="1" x14ac:dyDescent="0.2">
      <c r="A162" s="11"/>
      <c r="B162" s="11"/>
      <c r="C162" s="11"/>
      <c r="D162" s="11"/>
      <c r="M162" s="8"/>
    </row>
    <row r="163" spans="1:13" ht="15.75" customHeight="1" x14ac:dyDescent="0.2">
      <c r="A163" s="11"/>
      <c r="B163" s="11"/>
      <c r="C163" s="11"/>
      <c r="D163" s="11"/>
      <c r="M163" s="8"/>
    </row>
    <row r="164" spans="1:13" ht="15.75" customHeight="1" x14ac:dyDescent="0.2">
      <c r="A164" s="11"/>
      <c r="B164" s="11"/>
      <c r="C164" s="11"/>
      <c r="D164" s="11"/>
      <c r="M164" s="8"/>
    </row>
    <row r="165" spans="1:13" ht="15.75" customHeight="1" x14ac:dyDescent="0.2">
      <c r="A165" s="11"/>
      <c r="B165" s="11"/>
      <c r="C165" s="11"/>
      <c r="D165" s="11"/>
      <c r="M165" s="8"/>
    </row>
    <row r="166" spans="1:13" ht="15.75" customHeight="1" x14ac:dyDescent="0.2">
      <c r="A166" s="11"/>
      <c r="B166" s="11"/>
      <c r="C166" s="11"/>
      <c r="D166" s="11"/>
      <c r="M166" s="8"/>
    </row>
    <row r="167" spans="1:13" ht="15.75" customHeight="1" x14ac:dyDescent="0.2">
      <c r="A167" s="11"/>
      <c r="B167" s="11"/>
      <c r="C167" s="11"/>
      <c r="D167" s="11"/>
      <c r="M167" s="8"/>
    </row>
    <row r="168" spans="1:13" ht="15.75" customHeight="1" x14ac:dyDescent="0.2">
      <c r="A168" s="11"/>
      <c r="B168" s="11"/>
      <c r="C168" s="11"/>
      <c r="D168" s="11"/>
      <c r="M168" s="8"/>
    </row>
    <row r="169" spans="1:13" ht="15.75" customHeight="1" x14ac:dyDescent="0.2">
      <c r="A169" s="11"/>
      <c r="B169" s="11"/>
      <c r="C169" s="11"/>
      <c r="D169" s="11"/>
      <c r="M169" s="8"/>
    </row>
    <row r="170" spans="1:13" ht="15.75" customHeight="1" x14ac:dyDescent="0.2">
      <c r="A170" s="11"/>
      <c r="B170" s="11"/>
      <c r="C170" s="11"/>
      <c r="D170" s="11"/>
      <c r="M170" s="8"/>
    </row>
    <row r="171" spans="1:13" ht="15.75" customHeight="1" x14ac:dyDescent="0.2">
      <c r="A171" s="11"/>
      <c r="B171" s="11"/>
      <c r="C171" s="11"/>
      <c r="D171" s="11"/>
      <c r="M171" s="8"/>
    </row>
    <row r="172" spans="1:13" ht="15.75" customHeight="1" x14ac:dyDescent="0.2">
      <c r="A172" s="11"/>
      <c r="B172" s="11"/>
      <c r="C172" s="11"/>
      <c r="D172" s="11"/>
      <c r="M172" s="8"/>
    </row>
    <row r="173" spans="1:13" ht="15.75" customHeight="1" x14ac:dyDescent="0.2">
      <c r="A173" s="11"/>
      <c r="B173" s="11"/>
      <c r="C173" s="11"/>
      <c r="D173" s="11"/>
      <c r="M173" s="8"/>
    </row>
    <row r="174" spans="1:13" ht="15.75" customHeight="1" x14ac:dyDescent="0.2">
      <c r="A174" s="11"/>
      <c r="B174" s="11"/>
      <c r="C174" s="11"/>
      <c r="D174" s="11"/>
      <c r="M174" s="8"/>
    </row>
    <row r="175" spans="1:13" ht="15.75" customHeight="1" x14ac:dyDescent="0.2">
      <c r="A175" s="11"/>
      <c r="B175" s="11"/>
      <c r="C175" s="11"/>
      <c r="D175" s="11"/>
      <c r="M175" s="8"/>
    </row>
    <row r="176" spans="1:13" ht="15.75" customHeight="1" x14ac:dyDescent="0.2">
      <c r="A176" s="11"/>
      <c r="B176" s="11"/>
      <c r="C176" s="11"/>
      <c r="D176" s="11"/>
      <c r="M176" s="8"/>
    </row>
    <row r="177" spans="1:13" ht="15.75" customHeight="1" x14ac:dyDescent="0.2">
      <c r="A177" s="11"/>
      <c r="B177" s="11"/>
      <c r="C177" s="11"/>
      <c r="D177" s="11"/>
      <c r="M177" s="8"/>
    </row>
    <row r="178" spans="1:13" ht="15.75" customHeight="1" x14ac:dyDescent="0.2">
      <c r="A178" s="11"/>
      <c r="B178" s="11"/>
      <c r="C178" s="11"/>
      <c r="D178" s="11"/>
      <c r="M178" s="8"/>
    </row>
    <row r="179" spans="1:13" ht="15.75" customHeight="1" x14ac:dyDescent="0.2">
      <c r="A179" s="11"/>
      <c r="B179" s="11"/>
      <c r="C179" s="11"/>
      <c r="D179" s="11"/>
      <c r="M179" s="8"/>
    </row>
    <row r="180" spans="1:13" ht="15.75" customHeight="1" x14ac:dyDescent="0.2">
      <c r="A180" s="11"/>
      <c r="B180" s="11"/>
      <c r="C180" s="11"/>
      <c r="D180" s="11"/>
      <c r="M180" s="8"/>
    </row>
    <row r="181" spans="1:13" ht="15.75" customHeight="1" x14ac:dyDescent="0.2">
      <c r="A181" s="11"/>
      <c r="B181" s="11"/>
      <c r="C181" s="11"/>
      <c r="D181" s="11"/>
      <c r="M181" s="8"/>
    </row>
    <row r="182" spans="1:13" ht="15.75" customHeight="1" x14ac:dyDescent="0.2">
      <c r="A182" s="11"/>
      <c r="B182" s="11"/>
      <c r="C182" s="11"/>
      <c r="D182" s="11"/>
      <c r="M182" s="8"/>
    </row>
    <row r="183" spans="1:13" ht="15.75" customHeight="1" x14ac:dyDescent="0.2">
      <c r="A183" s="11"/>
      <c r="B183" s="11"/>
      <c r="C183" s="11"/>
      <c r="D183" s="11"/>
      <c r="M183" s="8"/>
    </row>
    <row r="184" spans="1:13" ht="15.75" customHeight="1" x14ac:dyDescent="0.2">
      <c r="A184" s="11"/>
      <c r="B184" s="11"/>
      <c r="C184" s="11"/>
      <c r="D184" s="11"/>
      <c r="M184" s="8"/>
    </row>
    <row r="185" spans="1:13" ht="15.75" customHeight="1" x14ac:dyDescent="0.2">
      <c r="A185" s="11"/>
      <c r="B185" s="11"/>
      <c r="C185" s="11"/>
      <c r="D185" s="11"/>
      <c r="M185" s="8"/>
    </row>
    <row r="186" spans="1:13" ht="15.75" customHeight="1" x14ac:dyDescent="0.2">
      <c r="A186" s="11"/>
      <c r="B186" s="11"/>
      <c r="C186" s="11"/>
      <c r="D186" s="11"/>
      <c r="M186" s="8"/>
    </row>
    <row r="187" spans="1:13" ht="15.75" customHeight="1" x14ac:dyDescent="0.2">
      <c r="A187" s="11"/>
      <c r="B187" s="11"/>
      <c r="C187" s="11"/>
      <c r="D187" s="11"/>
      <c r="M187" s="8"/>
    </row>
    <row r="188" spans="1:13" ht="15.75" customHeight="1" x14ac:dyDescent="0.2">
      <c r="A188" s="11"/>
      <c r="B188" s="11"/>
      <c r="C188" s="11"/>
      <c r="D188" s="11"/>
      <c r="M188" s="8"/>
    </row>
    <row r="189" spans="1:13" ht="15.75" customHeight="1" x14ac:dyDescent="0.2">
      <c r="A189" s="11"/>
      <c r="B189" s="11"/>
      <c r="C189" s="11"/>
      <c r="D189" s="11"/>
      <c r="M189" s="8"/>
    </row>
    <row r="190" spans="1:13" ht="15.75" customHeight="1" x14ac:dyDescent="0.2">
      <c r="A190" s="11"/>
      <c r="B190" s="11"/>
      <c r="C190" s="11"/>
      <c r="D190" s="11"/>
      <c r="M190" s="8"/>
    </row>
    <row r="191" spans="1:13" ht="15.75" customHeight="1" x14ac:dyDescent="0.2">
      <c r="A191" s="11"/>
      <c r="B191" s="11"/>
      <c r="C191" s="11"/>
      <c r="D191" s="11"/>
      <c r="M191" s="8"/>
    </row>
    <row r="192" spans="1:13" ht="15.75" customHeight="1" x14ac:dyDescent="0.2">
      <c r="A192" s="11"/>
      <c r="B192" s="11"/>
      <c r="C192" s="11"/>
      <c r="D192" s="11"/>
      <c r="M192" s="8"/>
    </row>
    <row r="193" spans="1:13" ht="15.75" customHeight="1" x14ac:dyDescent="0.2">
      <c r="A193" s="11"/>
      <c r="B193" s="11"/>
      <c r="C193" s="11"/>
      <c r="D193" s="11"/>
      <c r="M193" s="8"/>
    </row>
    <row r="194" spans="1:13" ht="15.75" customHeight="1" x14ac:dyDescent="0.2">
      <c r="A194" s="11"/>
      <c r="B194" s="11"/>
      <c r="C194" s="11"/>
      <c r="D194" s="11"/>
      <c r="M194" s="8"/>
    </row>
    <row r="195" spans="1:13" ht="15.75" customHeight="1" x14ac:dyDescent="0.2">
      <c r="A195" s="11"/>
      <c r="B195" s="11"/>
      <c r="C195" s="11"/>
      <c r="D195" s="11"/>
      <c r="M195" s="8"/>
    </row>
    <row r="196" spans="1:13" ht="15.75" customHeight="1" x14ac:dyDescent="0.2">
      <c r="A196" s="11"/>
      <c r="B196" s="11"/>
      <c r="C196" s="11"/>
      <c r="D196" s="11"/>
      <c r="M196" s="8"/>
    </row>
    <row r="197" spans="1:13" ht="15.75" customHeight="1" x14ac:dyDescent="0.2">
      <c r="A197" s="11"/>
      <c r="B197" s="11"/>
      <c r="C197" s="11"/>
      <c r="D197" s="11"/>
      <c r="M197" s="8"/>
    </row>
    <row r="198" spans="1:13" ht="15.75" customHeight="1" x14ac:dyDescent="0.2">
      <c r="A198" s="11"/>
      <c r="B198" s="11"/>
      <c r="C198" s="11"/>
      <c r="D198" s="11"/>
      <c r="M198" s="8"/>
    </row>
    <row r="199" spans="1:13" ht="15.75" customHeight="1" x14ac:dyDescent="0.2">
      <c r="A199" s="11"/>
      <c r="B199" s="11"/>
      <c r="C199" s="11"/>
      <c r="D199" s="11"/>
      <c r="M199" s="8"/>
    </row>
    <row r="200" spans="1:13" ht="15.75" customHeight="1" x14ac:dyDescent="0.2">
      <c r="A200" s="11"/>
      <c r="B200" s="11"/>
      <c r="C200" s="11"/>
      <c r="D200" s="11"/>
      <c r="M200" s="8"/>
    </row>
    <row r="201" spans="1:13" ht="15.75" customHeight="1" x14ac:dyDescent="0.2">
      <c r="A201" s="11"/>
      <c r="B201" s="11"/>
      <c r="C201" s="11"/>
      <c r="D201" s="11"/>
      <c r="M201" s="8"/>
    </row>
    <row r="202" spans="1:13" ht="15.75" customHeight="1" x14ac:dyDescent="0.2">
      <c r="A202" s="11"/>
      <c r="B202" s="11"/>
      <c r="C202" s="11"/>
      <c r="D202" s="11"/>
      <c r="M202" s="8"/>
    </row>
    <row r="203" spans="1:13" ht="15.75" customHeight="1" x14ac:dyDescent="0.2">
      <c r="A203" s="11"/>
      <c r="B203" s="11"/>
      <c r="C203" s="11"/>
      <c r="D203" s="11"/>
      <c r="M203" s="8"/>
    </row>
    <row r="204" spans="1:13" ht="15.75" customHeight="1" x14ac:dyDescent="0.2">
      <c r="A204" s="11"/>
      <c r="B204" s="11"/>
      <c r="C204" s="11"/>
      <c r="D204" s="11"/>
      <c r="M204" s="8"/>
    </row>
    <row r="205" spans="1:13" ht="15.75" customHeight="1" x14ac:dyDescent="0.2">
      <c r="A205" s="11"/>
      <c r="B205" s="11"/>
      <c r="C205" s="11"/>
      <c r="D205" s="11"/>
      <c r="M205" s="8"/>
    </row>
    <row r="206" spans="1:13" ht="15.75" customHeight="1" x14ac:dyDescent="0.2">
      <c r="A206" s="11"/>
      <c r="B206" s="11"/>
      <c r="C206" s="11"/>
      <c r="D206" s="11"/>
      <c r="M206" s="8"/>
    </row>
    <row r="207" spans="1:13" ht="15.75" customHeight="1" x14ac:dyDescent="0.2">
      <c r="A207" s="11"/>
      <c r="B207" s="11"/>
      <c r="C207" s="11"/>
      <c r="D207" s="11"/>
      <c r="M207" s="8"/>
    </row>
    <row r="208" spans="1:13" ht="15.75" customHeight="1" x14ac:dyDescent="0.2">
      <c r="A208" s="11"/>
      <c r="B208" s="11"/>
      <c r="C208" s="11"/>
      <c r="D208" s="11"/>
      <c r="M208" s="8"/>
    </row>
    <row r="209" spans="1:13" ht="15.75" customHeight="1" x14ac:dyDescent="0.2">
      <c r="A209" s="11"/>
      <c r="B209" s="11"/>
      <c r="C209" s="11"/>
      <c r="D209" s="11"/>
      <c r="M209" s="8"/>
    </row>
    <row r="210" spans="1:13" ht="15.75" customHeight="1" x14ac:dyDescent="0.2">
      <c r="A210" s="11"/>
      <c r="B210" s="11"/>
      <c r="C210" s="11"/>
      <c r="D210" s="11"/>
      <c r="M210" s="8"/>
    </row>
    <row r="211" spans="1:13" ht="15.75" customHeight="1" x14ac:dyDescent="0.2">
      <c r="A211" s="11"/>
      <c r="B211" s="11"/>
      <c r="C211" s="11"/>
      <c r="D211" s="11"/>
      <c r="M211" s="8"/>
    </row>
    <row r="212" spans="1:13" ht="15.75" customHeight="1" x14ac:dyDescent="0.2">
      <c r="A212" s="11"/>
      <c r="B212" s="11"/>
      <c r="C212" s="11"/>
      <c r="D212" s="11"/>
      <c r="M212" s="8"/>
    </row>
    <row r="213" spans="1:13" ht="15.75" customHeight="1" x14ac:dyDescent="0.2">
      <c r="A213" s="11"/>
      <c r="B213" s="11"/>
      <c r="C213" s="11"/>
      <c r="D213" s="11"/>
      <c r="M213" s="8"/>
    </row>
    <row r="214" spans="1:13" ht="15.75" customHeight="1" x14ac:dyDescent="0.2">
      <c r="A214" s="11"/>
      <c r="B214" s="11"/>
      <c r="C214" s="11"/>
      <c r="D214" s="11"/>
      <c r="M214" s="8"/>
    </row>
    <row r="215" spans="1:13" ht="15.75" customHeight="1" x14ac:dyDescent="0.2">
      <c r="A215" s="11"/>
      <c r="B215" s="11"/>
      <c r="C215" s="11"/>
      <c r="D215" s="11"/>
      <c r="M215" s="8"/>
    </row>
    <row r="216" spans="1:13" ht="15.75" customHeight="1" x14ac:dyDescent="0.2">
      <c r="A216" s="11"/>
      <c r="B216" s="11"/>
      <c r="C216" s="11"/>
      <c r="D216" s="11"/>
      <c r="M216" s="8"/>
    </row>
    <row r="217" spans="1:13" ht="15.75" customHeight="1" x14ac:dyDescent="0.2">
      <c r="A217" s="11"/>
      <c r="B217" s="11"/>
      <c r="C217" s="11"/>
      <c r="D217" s="11"/>
      <c r="M217" s="8"/>
    </row>
    <row r="218" spans="1:13" ht="15.75" customHeight="1" x14ac:dyDescent="0.2">
      <c r="A218" s="11"/>
      <c r="B218" s="11"/>
      <c r="C218" s="11"/>
      <c r="D218" s="11"/>
      <c r="M218" s="8"/>
    </row>
    <row r="219" spans="1:13" ht="15.75" customHeight="1" x14ac:dyDescent="0.2">
      <c r="A219" s="11"/>
      <c r="B219" s="11"/>
      <c r="C219" s="11"/>
      <c r="D219" s="11"/>
      <c r="M219" s="8"/>
    </row>
    <row r="220" spans="1:13" ht="15.75" customHeight="1" x14ac:dyDescent="0.2">
      <c r="A220" s="11"/>
      <c r="B220" s="11"/>
      <c r="C220" s="11"/>
      <c r="D220" s="11"/>
      <c r="M220" s="8"/>
    </row>
    <row r="221" spans="1:13" ht="15.75" customHeight="1" x14ac:dyDescent="0.2">
      <c r="A221" s="11"/>
      <c r="B221" s="11"/>
      <c r="C221" s="11"/>
      <c r="D221" s="11"/>
      <c r="M221" s="8"/>
    </row>
    <row r="222" spans="1:13" ht="15.75" customHeight="1" x14ac:dyDescent="0.2">
      <c r="A222" s="11"/>
      <c r="B222" s="11"/>
      <c r="C222" s="11"/>
      <c r="D222" s="11"/>
      <c r="M222" s="8"/>
    </row>
    <row r="223" spans="1:13" ht="15.75" customHeight="1" x14ac:dyDescent="0.2">
      <c r="A223" s="11"/>
      <c r="B223" s="11"/>
      <c r="C223" s="11"/>
      <c r="D223" s="11"/>
      <c r="M223" s="8"/>
    </row>
    <row r="224" spans="1:13" ht="15.75" customHeight="1" x14ac:dyDescent="0.2">
      <c r="A224" s="11"/>
      <c r="B224" s="11"/>
      <c r="C224" s="11"/>
      <c r="D224" s="11"/>
      <c r="M224" s="8"/>
    </row>
    <row r="225" spans="1:13" ht="15.75" customHeight="1" x14ac:dyDescent="0.2">
      <c r="A225" s="11"/>
      <c r="B225" s="11"/>
      <c r="C225" s="11"/>
      <c r="D225" s="11"/>
      <c r="M225" s="8"/>
    </row>
    <row r="226" spans="1:13" ht="15.75" customHeight="1" x14ac:dyDescent="0.2">
      <c r="A226" s="11"/>
      <c r="B226" s="11"/>
      <c r="C226" s="11"/>
      <c r="D226" s="11"/>
      <c r="M226" s="8"/>
    </row>
    <row r="227" spans="1:13" ht="15.75" customHeight="1" x14ac:dyDescent="0.2">
      <c r="A227" s="11"/>
      <c r="B227" s="11"/>
      <c r="C227" s="11"/>
      <c r="D227" s="11"/>
      <c r="M227" s="8"/>
    </row>
    <row r="228" spans="1:13" ht="15.75" customHeight="1" x14ac:dyDescent="0.2">
      <c r="A228" s="11"/>
      <c r="B228" s="11"/>
      <c r="C228" s="11"/>
      <c r="D228" s="11"/>
      <c r="M228" s="8"/>
    </row>
    <row r="229" spans="1:13" ht="15.75" customHeight="1" x14ac:dyDescent="0.2">
      <c r="A229" s="11"/>
      <c r="B229" s="11"/>
      <c r="C229" s="11"/>
      <c r="D229" s="11"/>
      <c r="M229" s="8"/>
    </row>
    <row r="230" spans="1:13" ht="15.75" customHeight="1" x14ac:dyDescent="0.2">
      <c r="A230" s="11"/>
      <c r="B230" s="11"/>
      <c r="C230" s="11"/>
      <c r="D230" s="11"/>
      <c r="M230" s="8"/>
    </row>
    <row r="231" spans="1:13" ht="15.75" customHeight="1" x14ac:dyDescent="0.2">
      <c r="A231" s="11"/>
      <c r="B231" s="11"/>
      <c r="C231" s="11"/>
      <c r="D231" s="11"/>
      <c r="M231" s="8"/>
    </row>
    <row r="232" spans="1:13" ht="15.75" customHeight="1" x14ac:dyDescent="0.2">
      <c r="A232" s="11"/>
      <c r="B232" s="11"/>
      <c r="C232" s="11"/>
      <c r="D232" s="11"/>
      <c r="M232" s="8"/>
    </row>
    <row r="233" spans="1:13" ht="15.75" customHeight="1" x14ac:dyDescent="0.2">
      <c r="A233" s="11"/>
      <c r="B233" s="11"/>
      <c r="C233" s="11"/>
      <c r="D233" s="11"/>
      <c r="M233" s="8"/>
    </row>
    <row r="234" spans="1:13" ht="15.75" customHeight="1" x14ac:dyDescent="0.2">
      <c r="A234" s="11"/>
      <c r="B234" s="11"/>
      <c r="C234" s="11"/>
      <c r="D234" s="11"/>
      <c r="M234" s="8"/>
    </row>
    <row r="235" spans="1:13" ht="15.75" customHeight="1" x14ac:dyDescent="0.2">
      <c r="A235" s="11"/>
      <c r="B235" s="11"/>
      <c r="C235" s="11"/>
      <c r="D235" s="11"/>
      <c r="M235" s="8"/>
    </row>
    <row r="236" spans="1:13" ht="15.75" customHeight="1" x14ac:dyDescent="0.2">
      <c r="A236" s="11"/>
      <c r="B236" s="11"/>
      <c r="C236" s="11"/>
      <c r="D236" s="11"/>
      <c r="M236" s="8"/>
    </row>
    <row r="237" spans="1:13" ht="15.75" customHeight="1" x14ac:dyDescent="0.2">
      <c r="A237" s="11"/>
      <c r="B237" s="11"/>
      <c r="C237" s="11"/>
      <c r="D237" s="11"/>
      <c r="M237" s="8"/>
    </row>
    <row r="238" spans="1:13" ht="15.75" customHeight="1" x14ac:dyDescent="0.2">
      <c r="A238" s="11"/>
      <c r="B238" s="11"/>
      <c r="C238" s="11"/>
      <c r="D238" s="11"/>
      <c r="M238" s="8"/>
    </row>
    <row r="239" spans="1:13" ht="15.75" customHeight="1" x14ac:dyDescent="0.2">
      <c r="A239" s="11"/>
      <c r="B239" s="11"/>
      <c r="C239" s="11"/>
      <c r="D239" s="11"/>
      <c r="M239" s="8"/>
    </row>
    <row r="240" spans="1:13" ht="15.75" customHeight="1" x14ac:dyDescent="0.2">
      <c r="A240" s="11"/>
      <c r="B240" s="11"/>
      <c r="C240" s="11"/>
      <c r="D240" s="11"/>
      <c r="M240" s="8"/>
    </row>
    <row r="241" spans="1:13" ht="15.75" customHeight="1" x14ac:dyDescent="0.2">
      <c r="A241" s="11"/>
      <c r="B241" s="11"/>
      <c r="C241" s="11"/>
      <c r="D241" s="11"/>
      <c r="M241" s="8"/>
    </row>
    <row r="242" spans="1:13" ht="15.75" customHeight="1" x14ac:dyDescent="0.2">
      <c r="A242" s="11"/>
      <c r="B242" s="11"/>
      <c r="C242" s="11"/>
      <c r="D242" s="11"/>
      <c r="M242" s="8"/>
    </row>
    <row r="243" spans="1:13" ht="15.75" customHeight="1" x14ac:dyDescent="0.2">
      <c r="A243" s="11"/>
      <c r="B243" s="11"/>
      <c r="C243" s="11"/>
      <c r="D243" s="11"/>
      <c r="M243" s="8"/>
    </row>
    <row r="244" spans="1:13" ht="15.75" customHeight="1" x14ac:dyDescent="0.2">
      <c r="A244" s="11"/>
      <c r="B244" s="11"/>
      <c r="C244" s="11"/>
      <c r="D244" s="11"/>
      <c r="M244" s="8"/>
    </row>
    <row r="245" spans="1:13" ht="15.75" customHeight="1" x14ac:dyDescent="0.2">
      <c r="A245" s="11"/>
      <c r="B245" s="11"/>
      <c r="C245" s="11"/>
      <c r="D245" s="11"/>
      <c r="M245" s="8"/>
    </row>
    <row r="246" spans="1:13" ht="15.75" customHeight="1" x14ac:dyDescent="0.2">
      <c r="A246" s="11"/>
      <c r="B246" s="11"/>
      <c r="C246" s="11"/>
      <c r="D246" s="11"/>
      <c r="M246" s="8"/>
    </row>
    <row r="247" spans="1:13" ht="15.75" customHeight="1" x14ac:dyDescent="0.2">
      <c r="A247" s="11"/>
      <c r="B247" s="11"/>
      <c r="C247" s="11"/>
      <c r="D247" s="11"/>
      <c r="M247" s="8"/>
    </row>
    <row r="248" spans="1:13" ht="15.75" customHeight="1" x14ac:dyDescent="0.2">
      <c r="A248" s="11"/>
      <c r="B248" s="11"/>
      <c r="C248" s="11"/>
      <c r="D248" s="11"/>
      <c r="M248" s="8"/>
    </row>
    <row r="249" spans="1:13" ht="15.75" customHeight="1" x14ac:dyDescent="0.2">
      <c r="A249" s="11"/>
      <c r="B249" s="11"/>
      <c r="C249" s="11"/>
      <c r="D249" s="11"/>
      <c r="M249" s="8"/>
    </row>
    <row r="250" spans="1:13" ht="15.75" customHeight="1" x14ac:dyDescent="0.2">
      <c r="A250" s="11"/>
      <c r="B250" s="11"/>
      <c r="C250" s="11"/>
      <c r="D250" s="11"/>
      <c r="M250" s="8"/>
    </row>
    <row r="251" spans="1:13" ht="15.75" customHeight="1" x14ac:dyDescent="0.2">
      <c r="A251" s="11"/>
      <c r="B251" s="11"/>
      <c r="C251" s="11"/>
      <c r="D251" s="11"/>
      <c r="M251" s="8"/>
    </row>
    <row r="252" spans="1:13" ht="15.75" customHeight="1" x14ac:dyDescent="0.2">
      <c r="A252" s="11"/>
      <c r="B252" s="11"/>
      <c r="C252" s="11"/>
      <c r="D252" s="11"/>
      <c r="M252" s="8"/>
    </row>
    <row r="253" spans="1:13" ht="15.75" customHeight="1" x14ac:dyDescent="0.2">
      <c r="A253" s="11"/>
      <c r="B253" s="11"/>
      <c r="C253" s="11"/>
      <c r="D253" s="11"/>
      <c r="M253" s="8"/>
    </row>
    <row r="254" spans="1:13" ht="15.75" customHeight="1" x14ac:dyDescent="0.2">
      <c r="A254" s="11"/>
      <c r="B254" s="11"/>
      <c r="C254" s="11"/>
      <c r="D254" s="11"/>
      <c r="M254" s="8"/>
    </row>
    <row r="255" spans="1:13" ht="15.75" customHeight="1" x14ac:dyDescent="0.2">
      <c r="A255" s="11"/>
      <c r="B255" s="11"/>
      <c r="C255" s="11"/>
      <c r="D255" s="11"/>
      <c r="M255" s="8"/>
    </row>
    <row r="256" spans="1:13" ht="15.75" customHeight="1" x14ac:dyDescent="0.2">
      <c r="A256" s="11"/>
      <c r="B256" s="11"/>
      <c r="C256" s="11"/>
      <c r="D256" s="11"/>
      <c r="M256" s="8"/>
    </row>
    <row r="257" spans="1:13" ht="15.75" customHeight="1" x14ac:dyDescent="0.2">
      <c r="A257" s="11"/>
      <c r="B257" s="11"/>
      <c r="C257" s="11"/>
      <c r="D257" s="11"/>
      <c r="M257" s="8"/>
    </row>
    <row r="258" spans="1:13" ht="15.75" customHeight="1" x14ac:dyDescent="0.2">
      <c r="A258" s="11"/>
      <c r="B258" s="11"/>
      <c r="C258" s="11"/>
      <c r="D258" s="11"/>
      <c r="M258" s="8"/>
    </row>
    <row r="259" spans="1:13" ht="15.75" customHeight="1" x14ac:dyDescent="0.2">
      <c r="A259" s="11"/>
      <c r="B259" s="11"/>
      <c r="C259" s="11"/>
      <c r="D259" s="11"/>
      <c r="M259" s="8"/>
    </row>
    <row r="260" spans="1:13" ht="15.75" customHeight="1" x14ac:dyDescent="0.2">
      <c r="A260" s="11"/>
      <c r="B260" s="11"/>
      <c r="C260" s="11"/>
      <c r="D260" s="11"/>
      <c r="M260" s="8"/>
    </row>
    <row r="261" spans="1:13" ht="15.75" customHeight="1" x14ac:dyDescent="0.2">
      <c r="A261" s="11"/>
      <c r="B261" s="11"/>
      <c r="C261" s="11"/>
      <c r="D261" s="11"/>
      <c r="M261" s="8"/>
    </row>
    <row r="262" spans="1:13" ht="15.75" customHeight="1" x14ac:dyDescent="0.2">
      <c r="A262" s="11"/>
      <c r="B262" s="11"/>
      <c r="C262" s="11"/>
      <c r="D262" s="11"/>
      <c r="M262" s="8"/>
    </row>
    <row r="263" spans="1:13" ht="15.75" customHeight="1" x14ac:dyDescent="0.2">
      <c r="A263" s="11"/>
      <c r="B263" s="11"/>
      <c r="C263" s="11"/>
      <c r="D263" s="11"/>
      <c r="M263" s="8"/>
    </row>
    <row r="264" spans="1:13" ht="15.75" customHeight="1" x14ac:dyDescent="0.2">
      <c r="A264" s="11"/>
      <c r="B264" s="11"/>
      <c r="C264" s="11"/>
      <c r="D264" s="11"/>
      <c r="M264" s="8"/>
    </row>
    <row r="265" spans="1:13" ht="15.75" customHeight="1" x14ac:dyDescent="0.2">
      <c r="A265" s="11"/>
      <c r="B265" s="11"/>
      <c r="C265" s="11"/>
      <c r="D265" s="11"/>
      <c r="M265" s="8"/>
    </row>
    <row r="266" spans="1:13" ht="15.75" customHeight="1" x14ac:dyDescent="0.2">
      <c r="A266" s="11"/>
      <c r="B266" s="11"/>
      <c r="C266" s="11"/>
      <c r="D266" s="11"/>
      <c r="M266" s="8"/>
    </row>
    <row r="267" spans="1:13" ht="15.75" customHeight="1" x14ac:dyDescent="0.2">
      <c r="A267" s="11"/>
      <c r="B267" s="11"/>
      <c r="C267" s="11"/>
      <c r="D267" s="11"/>
      <c r="M267" s="8"/>
    </row>
    <row r="268" spans="1:13" ht="15.75" customHeight="1" x14ac:dyDescent="0.2">
      <c r="A268" s="11"/>
      <c r="B268" s="11"/>
      <c r="C268" s="11"/>
      <c r="D268" s="11"/>
      <c r="M268" s="8"/>
    </row>
    <row r="269" spans="1:13" ht="15.75" customHeight="1" x14ac:dyDescent="0.2">
      <c r="A269" s="11"/>
      <c r="B269" s="11"/>
      <c r="C269" s="11"/>
      <c r="D269" s="11"/>
      <c r="M269" s="8"/>
    </row>
    <row r="270" spans="1:13" ht="15.75" customHeight="1" x14ac:dyDescent="0.2">
      <c r="A270" s="11"/>
      <c r="B270" s="11"/>
      <c r="C270" s="11"/>
      <c r="D270" s="11"/>
      <c r="M270" s="8"/>
    </row>
    <row r="271" spans="1:13" ht="15.75" customHeight="1" x14ac:dyDescent="0.2">
      <c r="A271" s="11"/>
      <c r="B271" s="11"/>
      <c r="C271" s="11"/>
      <c r="D271" s="11"/>
      <c r="M271" s="8"/>
    </row>
    <row r="272" spans="1:13" ht="15.75" customHeight="1" x14ac:dyDescent="0.2">
      <c r="A272" s="11"/>
      <c r="B272" s="11"/>
      <c r="C272" s="11"/>
      <c r="D272" s="11"/>
      <c r="M272" s="8"/>
    </row>
    <row r="273" spans="1:13" ht="15.75" customHeight="1" x14ac:dyDescent="0.2">
      <c r="A273" s="11"/>
      <c r="B273" s="11"/>
      <c r="C273" s="11"/>
      <c r="D273" s="11"/>
      <c r="M273" s="8"/>
    </row>
    <row r="274" spans="1:13" ht="15.75" customHeight="1" x14ac:dyDescent="0.2">
      <c r="A274" s="11"/>
      <c r="B274" s="11"/>
      <c r="C274" s="11"/>
      <c r="D274" s="11"/>
      <c r="M274" s="8"/>
    </row>
    <row r="275" spans="1:13" ht="15.75" customHeight="1" x14ac:dyDescent="0.2">
      <c r="A275" s="11"/>
      <c r="B275" s="11"/>
      <c r="C275" s="11"/>
      <c r="D275" s="11"/>
      <c r="M275" s="8"/>
    </row>
    <row r="276" spans="1:13" ht="15.75" customHeight="1" x14ac:dyDescent="0.2">
      <c r="A276" s="11"/>
      <c r="B276" s="11"/>
      <c r="C276" s="11"/>
      <c r="D276" s="11"/>
      <c r="M276" s="8"/>
    </row>
    <row r="277" spans="1:13" ht="15.75" customHeight="1" x14ac:dyDescent="0.2">
      <c r="A277" s="11"/>
      <c r="B277" s="11"/>
      <c r="C277" s="11"/>
      <c r="D277" s="11"/>
      <c r="M277" s="8"/>
    </row>
    <row r="278" spans="1:13" ht="15.75" customHeight="1" x14ac:dyDescent="0.2">
      <c r="A278" s="11"/>
      <c r="B278" s="11"/>
      <c r="C278" s="11"/>
      <c r="D278" s="11"/>
      <c r="M278" s="8"/>
    </row>
    <row r="279" spans="1:13" ht="15.75" customHeight="1" x14ac:dyDescent="0.2">
      <c r="A279" s="11"/>
      <c r="B279" s="11"/>
      <c r="C279" s="11"/>
      <c r="D279" s="11"/>
      <c r="M279" s="8"/>
    </row>
    <row r="280" spans="1:13" ht="15.75" customHeight="1" x14ac:dyDescent="0.2">
      <c r="A280" s="11"/>
      <c r="B280" s="11"/>
      <c r="C280" s="11"/>
      <c r="D280" s="11"/>
      <c r="M280" s="8"/>
    </row>
    <row r="281" spans="1:13" ht="15.75" customHeight="1" x14ac:dyDescent="0.2">
      <c r="A281" s="11"/>
      <c r="B281" s="11"/>
      <c r="C281" s="11"/>
      <c r="D281" s="11"/>
      <c r="M281" s="8"/>
    </row>
    <row r="282" spans="1:13" ht="15.75" customHeight="1" x14ac:dyDescent="0.2">
      <c r="A282" s="11"/>
      <c r="B282" s="11"/>
      <c r="C282" s="11"/>
      <c r="D282" s="11"/>
      <c r="M282" s="8"/>
    </row>
    <row r="283" spans="1:13" ht="15.75" customHeight="1" x14ac:dyDescent="0.2">
      <c r="A283" s="11"/>
      <c r="B283" s="11"/>
      <c r="C283" s="11"/>
      <c r="D283" s="11"/>
      <c r="M283" s="8"/>
    </row>
    <row r="284" spans="1:13" ht="15.75" customHeight="1" x14ac:dyDescent="0.2">
      <c r="A284" s="11"/>
      <c r="B284" s="11"/>
      <c r="C284" s="11"/>
      <c r="D284" s="11"/>
      <c r="M284" s="8"/>
    </row>
    <row r="285" spans="1:13" ht="15.75" customHeight="1" x14ac:dyDescent="0.2">
      <c r="A285" s="11"/>
      <c r="B285" s="11"/>
      <c r="C285" s="11"/>
      <c r="D285" s="11"/>
      <c r="M285" s="8"/>
    </row>
    <row r="286" spans="1:13" ht="15.75" customHeight="1" x14ac:dyDescent="0.2">
      <c r="A286" s="11"/>
      <c r="B286" s="11"/>
      <c r="C286" s="11"/>
      <c r="D286" s="11"/>
      <c r="M286" s="8"/>
    </row>
    <row r="287" spans="1:13" ht="15.75" customHeight="1" x14ac:dyDescent="0.2">
      <c r="A287" s="11"/>
      <c r="B287" s="11"/>
      <c r="C287" s="11"/>
      <c r="D287" s="11"/>
      <c r="M287" s="8"/>
    </row>
    <row r="288" spans="1:13" ht="15.75" customHeight="1" x14ac:dyDescent="0.2">
      <c r="A288" s="11"/>
      <c r="B288" s="11"/>
      <c r="C288" s="11"/>
      <c r="D288" s="11"/>
      <c r="M288" s="8"/>
    </row>
    <row r="289" spans="1:13" ht="15.75" customHeight="1" x14ac:dyDescent="0.2">
      <c r="A289" s="11"/>
      <c r="B289" s="11"/>
      <c r="C289" s="11"/>
      <c r="D289" s="11"/>
      <c r="M289" s="8"/>
    </row>
    <row r="290" spans="1:13" ht="15.75" customHeight="1" x14ac:dyDescent="0.2">
      <c r="A290" s="11"/>
      <c r="B290" s="11"/>
      <c r="C290" s="11"/>
      <c r="D290" s="11"/>
      <c r="M290" s="8"/>
    </row>
    <row r="291" spans="1:13" ht="15.75" customHeight="1" x14ac:dyDescent="0.2">
      <c r="A291" s="11"/>
      <c r="B291" s="11"/>
      <c r="C291" s="11"/>
      <c r="D291" s="11"/>
      <c r="M291" s="8"/>
    </row>
    <row r="292" spans="1:13" ht="15.75" customHeight="1" x14ac:dyDescent="0.2">
      <c r="A292" s="11"/>
      <c r="B292" s="11"/>
      <c r="C292" s="11"/>
      <c r="D292" s="11"/>
      <c r="M292" s="8"/>
    </row>
    <row r="293" spans="1:13" ht="15.75" customHeight="1" x14ac:dyDescent="0.2">
      <c r="A293" s="11"/>
      <c r="B293" s="11"/>
      <c r="C293" s="11"/>
      <c r="D293" s="11"/>
      <c r="M293" s="8"/>
    </row>
    <row r="294" spans="1:13" ht="15.75" customHeight="1" x14ac:dyDescent="0.2">
      <c r="A294" s="11"/>
      <c r="B294" s="11"/>
      <c r="C294" s="11"/>
      <c r="D294" s="11"/>
      <c r="M294" s="8"/>
    </row>
    <row r="295" spans="1:13" ht="15.75" customHeight="1" x14ac:dyDescent="0.2">
      <c r="A295" s="11"/>
      <c r="B295" s="11"/>
      <c r="C295" s="11"/>
      <c r="D295" s="11"/>
      <c r="M295" s="8"/>
    </row>
    <row r="296" spans="1:13" ht="15.75" customHeight="1" x14ac:dyDescent="0.2">
      <c r="A296" s="11"/>
      <c r="B296" s="11"/>
      <c r="C296" s="11"/>
      <c r="D296" s="11"/>
      <c r="M296" s="8"/>
    </row>
    <row r="297" spans="1:13" ht="15.75" customHeight="1" x14ac:dyDescent="0.2">
      <c r="A297" s="11"/>
      <c r="B297" s="11"/>
      <c r="C297" s="11"/>
      <c r="D297" s="11"/>
      <c r="M297" s="8"/>
    </row>
    <row r="298" spans="1:13" ht="15.75" customHeight="1" x14ac:dyDescent="0.2">
      <c r="A298" s="11"/>
      <c r="B298" s="11"/>
      <c r="C298" s="11"/>
      <c r="D298" s="11"/>
      <c r="M298" s="8"/>
    </row>
    <row r="299" spans="1:13" ht="15.75" customHeight="1" x14ac:dyDescent="0.2">
      <c r="A299" s="11"/>
      <c r="B299" s="11"/>
      <c r="C299" s="11"/>
      <c r="D299" s="11"/>
      <c r="M299" s="8"/>
    </row>
    <row r="300" spans="1:13" ht="15.75" customHeight="1" x14ac:dyDescent="0.2">
      <c r="A300" s="11"/>
      <c r="B300" s="11"/>
      <c r="C300" s="11"/>
      <c r="D300" s="11"/>
      <c r="M300" s="8"/>
    </row>
    <row r="301" spans="1:13" ht="15.75" customHeight="1" x14ac:dyDescent="0.2">
      <c r="A301" s="11"/>
      <c r="B301" s="11"/>
      <c r="C301" s="11"/>
      <c r="D301" s="11"/>
      <c r="M301" s="8"/>
    </row>
    <row r="302" spans="1:13" ht="15.75" customHeight="1" x14ac:dyDescent="0.2">
      <c r="A302" s="11"/>
      <c r="B302" s="11"/>
      <c r="C302" s="11"/>
      <c r="D302" s="11"/>
      <c r="M302" s="8"/>
    </row>
    <row r="303" spans="1:13" ht="15.75" customHeight="1" x14ac:dyDescent="0.2">
      <c r="A303" s="11"/>
      <c r="B303" s="11"/>
      <c r="C303" s="11"/>
      <c r="D303" s="11"/>
      <c r="M303" s="8"/>
    </row>
    <row r="304" spans="1:13" ht="15.75" customHeight="1" x14ac:dyDescent="0.2">
      <c r="A304" s="11"/>
      <c r="B304" s="11"/>
      <c r="C304" s="11"/>
      <c r="D304" s="11"/>
      <c r="M304" s="8"/>
    </row>
    <row r="305" spans="1:13" ht="15.75" customHeight="1" x14ac:dyDescent="0.2">
      <c r="A305" s="11"/>
      <c r="B305" s="11"/>
      <c r="C305" s="11"/>
      <c r="D305" s="11"/>
      <c r="M305" s="8"/>
    </row>
    <row r="306" spans="1:13" ht="15.75" customHeight="1" x14ac:dyDescent="0.2">
      <c r="A306" s="11"/>
      <c r="B306" s="11"/>
      <c r="C306" s="11"/>
      <c r="D306" s="11"/>
      <c r="M306" s="8"/>
    </row>
    <row r="307" spans="1:13" ht="15.75" customHeight="1" x14ac:dyDescent="0.2">
      <c r="A307" s="11"/>
      <c r="B307" s="11"/>
      <c r="C307" s="11"/>
      <c r="D307" s="11"/>
      <c r="M307" s="8"/>
    </row>
    <row r="308" spans="1:13" ht="15.75" customHeight="1" x14ac:dyDescent="0.2">
      <c r="A308" s="11"/>
      <c r="B308" s="11"/>
      <c r="C308" s="11"/>
      <c r="D308" s="11"/>
      <c r="M308" s="8"/>
    </row>
    <row r="309" spans="1:13" ht="15.75" customHeight="1" x14ac:dyDescent="0.2">
      <c r="A309" s="11"/>
      <c r="B309" s="11"/>
      <c r="C309" s="11"/>
      <c r="D309" s="11"/>
      <c r="M309" s="8"/>
    </row>
    <row r="310" spans="1:13" ht="15.75" customHeight="1" x14ac:dyDescent="0.2">
      <c r="A310" s="11"/>
      <c r="B310" s="11"/>
      <c r="C310" s="11"/>
      <c r="D310" s="11"/>
      <c r="M310" s="8"/>
    </row>
    <row r="311" spans="1:13" ht="15.75" customHeight="1" x14ac:dyDescent="0.2">
      <c r="A311" s="11"/>
      <c r="B311" s="11"/>
      <c r="C311" s="11"/>
      <c r="D311" s="11"/>
      <c r="M311" s="8"/>
    </row>
    <row r="312" spans="1:13" ht="15.75" customHeight="1" x14ac:dyDescent="0.2">
      <c r="A312" s="11"/>
      <c r="B312" s="11"/>
      <c r="C312" s="11"/>
      <c r="D312" s="11"/>
      <c r="M312" s="8"/>
    </row>
    <row r="313" spans="1:13" ht="15.75" customHeight="1" x14ac:dyDescent="0.2">
      <c r="A313" s="11"/>
      <c r="B313" s="11"/>
      <c r="C313" s="11"/>
      <c r="D313" s="11"/>
      <c r="M313" s="8"/>
    </row>
    <row r="314" spans="1:13" ht="15.75" customHeight="1" x14ac:dyDescent="0.2">
      <c r="A314" s="11"/>
      <c r="B314" s="11"/>
      <c r="C314" s="11"/>
      <c r="D314" s="11"/>
      <c r="M314" s="8"/>
    </row>
    <row r="315" spans="1:13" ht="15.75" customHeight="1" x14ac:dyDescent="0.2">
      <c r="A315" s="11"/>
      <c r="B315" s="11"/>
      <c r="C315" s="11"/>
      <c r="D315" s="11"/>
      <c r="M315" s="8"/>
    </row>
    <row r="316" spans="1:13" ht="15.75" customHeight="1" x14ac:dyDescent="0.2">
      <c r="A316" s="11"/>
      <c r="B316" s="11"/>
      <c r="C316" s="11"/>
      <c r="D316" s="11"/>
      <c r="M316" s="8"/>
    </row>
    <row r="317" spans="1:13" ht="15.75" customHeight="1" x14ac:dyDescent="0.2">
      <c r="A317" s="11"/>
      <c r="B317" s="11"/>
      <c r="C317" s="11"/>
      <c r="D317" s="11"/>
      <c r="M317" s="8"/>
    </row>
    <row r="318" spans="1:13" ht="15.75" customHeight="1" x14ac:dyDescent="0.2">
      <c r="A318" s="11"/>
      <c r="B318" s="11"/>
      <c r="C318" s="11"/>
      <c r="D318" s="11"/>
      <c r="M318" s="8"/>
    </row>
    <row r="319" spans="1:13" ht="15.75" customHeight="1" x14ac:dyDescent="0.2">
      <c r="A319" s="11"/>
      <c r="B319" s="11"/>
      <c r="C319" s="11"/>
      <c r="D319" s="11"/>
      <c r="M319" s="8"/>
    </row>
    <row r="320" spans="1:13" ht="15.75" customHeight="1" x14ac:dyDescent="0.2">
      <c r="A320" s="11"/>
      <c r="B320" s="11"/>
      <c r="C320" s="11"/>
      <c r="D320" s="11"/>
      <c r="M320" s="8"/>
    </row>
    <row r="321" spans="1:13" ht="15.75" customHeight="1" x14ac:dyDescent="0.2">
      <c r="A321" s="11"/>
      <c r="B321" s="11"/>
      <c r="C321" s="11"/>
      <c r="D321" s="11"/>
      <c r="M321" s="8"/>
    </row>
    <row r="322" spans="1:13" ht="15.75" customHeight="1" x14ac:dyDescent="0.2">
      <c r="A322" s="11"/>
      <c r="B322" s="11"/>
      <c r="C322" s="11"/>
      <c r="D322" s="11"/>
      <c r="M322" s="8"/>
    </row>
    <row r="323" spans="1:13" ht="15.75" customHeight="1" x14ac:dyDescent="0.2">
      <c r="A323" s="11"/>
      <c r="B323" s="11"/>
      <c r="C323" s="11"/>
      <c r="D323" s="11"/>
      <c r="M323" s="8"/>
    </row>
    <row r="324" spans="1:13" ht="15.75" customHeight="1" x14ac:dyDescent="0.2">
      <c r="A324" s="11"/>
      <c r="B324" s="11"/>
      <c r="C324" s="11"/>
      <c r="D324" s="11"/>
      <c r="M324" s="8"/>
    </row>
    <row r="325" spans="1:13" ht="15.75" customHeight="1" x14ac:dyDescent="0.2">
      <c r="A325" s="11"/>
      <c r="B325" s="11"/>
      <c r="C325" s="11"/>
      <c r="D325" s="11"/>
      <c r="M325" s="8"/>
    </row>
    <row r="326" spans="1:13" ht="15.75" customHeight="1" x14ac:dyDescent="0.2">
      <c r="A326" s="11"/>
      <c r="B326" s="11"/>
      <c r="C326" s="11"/>
      <c r="D326" s="11"/>
      <c r="M326" s="8"/>
    </row>
    <row r="327" spans="1:13" ht="15.75" customHeight="1" x14ac:dyDescent="0.2">
      <c r="A327" s="11"/>
      <c r="B327" s="11"/>
      <c r="C327" s="11"/>
      <c r="D327" s="11"/>
      <c r="M327" s="8"/>
    </row>
    <row r="328" spans="1:13" ht="15.75" customHeight="1" x14ac:dyDescent="0.2">
      <c r="A328" s="11"/>
      <c r="B328" s="11"/>
      <c r="C328" s="11"/>
      <c r="D328" s="11"/>
      <c r="M328" s="8"/>
    </row>
    <row r="329" spans="1:13" ht="15.75" customHeight="1" x14ac:dyDescent="0.2">
      <c r="A329" s="11"/>
      <c r="B329" s="11"/>
      <c r="C329" s="11"/>
      <c r="D329" s="11"/>
      <c r="M329" s="8"/>
    </row>
    <row r="330" spans="1:13" ht="15.75" customHeight="1" x14ac:dyDescent="0.2">
      <c r="A330" s="11"/>
      <c r="B330" s="11"/>
      <c r="C330" s="11"/>
      <c r="D330" s="11"/>
      <c r="M330" s="8"/>
    </row>
    <row r="331" spans="1:13" ht="15.75" customHeight="1" x14ac:dyDescent="0.2">
      <c r="A331" s="11"/>
      <c r="B331" s="11"/>
      <c r="C331" s="11"/>
      <c r="D331" s="11"/>
      <c r="M331" s="8"/>
    </row>
    <row r="332" spans="1:13" ht="15.75" customHeight="1" x14ac:dyDescent="0.2">
      <c r="A332" s="11"/>
      <c r="B332" s="11"/>
      <c r="C332" s="11"/>
      <c r="D332" s="11"/>
      <c r="M332" s="8"/>
    </row>
    <row r="333" spans="1:13" ht="15.75" customHeight="1" x14ac:dyDescent="0.2">
      <c r="A333" s="11"/>
      <c r="B333" s="11"/>
      <c r="C333" s="11"/>
      <c r="D333" s="11"/>
      <c r="M333" s="8"/>
    </row>
    <row r="334" spans="1:13" ht="15.75" customHeight="1" x14ac:dyDescent="0.2">
      <c r="A334" s="11"/>
      <c r="B334" s="11"/>
      <c r="C334" s="11"/>
      <c r="D334" s="11"/>
      <c r="M334" s="8"/>
    </row>
    <row r="335" spans="1:13" ht="15.75" customHeight="1" x14ac:dyDescent="0.2">
      <c r="A335" s="11"/>
      <c r="B335" s="11"/>
      <c r="C335" s="11"/>
      <c r="D335" s="11"/>
      <c r="M335" s="8"/>
    </row>
    <row r="336" spans="1:13" ht="15.75" customHeight="1" x14ac:dyDescent="0.2">
      <c r="A336" s="11"/>
      <c r="B336" s="11"/>
      <c r="C336" s="11"/>
      <c r="D336" s="11"/>
      <c r="M336" s="8"/>
    </row>
    <row r="337" spans="1:13" ht="15.75" customHeight="1" x14ac:dyDescent="0.2">
      <c r="A337" s="11"/>
      <c r="B337" s="11"/>
      <c r="C337" s="11"/>
      <c r="D337" s="11"/>
      <c r="M337" s="8"/>
    </row>
    <row r="338" spans="1:13" ht="15.75" customHeight="1" x14ac:dyDescent="0.2">
      <c r="A338" s="11"/>
      <c r="B338" s="11"/>
      <c r="C338" s="11"/>
      <c r="D338" s="11"/>
      <c r="M338" s="8"/>
    </row>
    <row r="339" spans="1:13" ht="15.75" customHeight="1" x14ac:dyDescent="0.2">
      <c r="A339" s="11"/>
      <c r="B339" s="11"/>
      <c r="C339" s="11"/>
      <c r="D339" s="11"/>
      <c r="M339" s="8"/>
    </row>
    <row r="340" spans="1:13" ht="15.75" customHeight="1" x14ac:dyDescent="0.2">
      <c r="A340" s="11"/>
      <c r="B340" s="11"/>
      <c r="C340" s="11"/>
      <c r="D340" s="11"/>
      <c r="M340" s="8"/>
    </row>
    <row r="341" spans="1:13" ht="15.75" customHeight="1" x14ac:dyDescent="0.2">
      <c r="A341" s="11"/>
      <c r="B341" s="11"/>
      <c r="C341" s="11"/>
      <c r="D341" s="11"/>
      <c r="M341" s="8"/>
    </row>
    <row r="342" spans="1:13" ht="15.75" customHeight="1" x14ac:dyDescent="0.2">
      <c r="A342" s="11"/>
      <c r="B342" s="11"/>
      <c r="C342" s="11"/>
      <c r="D342" s="11"/>
      <c r="M342" s="8"/>
    </row>
    <row r="343" spans="1:13" ht="15.75" customHeight="1" x14ac:dyDescent="0.2">
      <c r="A343" s="11"/>
      <c r="B343" s="11"/>
      <c r="C343" s="11"/>
      <c r="D343" s="11"/>
      <c r="M343" s="8"/>
    </row>
    <row r="344" spans="1:13" ht="15.75" customHeight="1" x14ac:dyDescent="0.2">
      <c r="A344" s="11"/>
      <c r="B344" s="11"/>
      <c r="C344" s="11"/>
      <c r="D344" s="11"/>
      <c r="M344" s="8"/>
    </row>
    <row r="345" spans="1:13" ht="15.75" customHeight="1" x14ac:dyDescent="0.2">
      <c r="A345" s="11"/>
      <c r="B345" s="11"/>
      <c r="C345" s="11"/>
      <c r="D345" s="11"/>
      <c r="M345" s="8"/>
    </row>
    <row r="346" spans="1:13" ht="15.75" customHeight="1" x14ac:dyDescent="0.2">
      <c r="A346" s="11"/>
      <c r="B346" s="11"/>
      <c r="C346" s="11"/>
      <c r="D346" s="11"/>
      <c r="M346" s="8"/>
    </row>
    <row r="347" spans="1:13" ht="15.75" customHeight="1" x14ac:dyDescent="0.2">
      <c r="A347" s="11"/>
      <c r="B347" s="11"/>
      <c r="C347" s="11"/>
      <c r="D347" s="11"/>
      <c r="M347" s="8"/>
    </row>
    <row r="348" spans="1:13" ht="15.75" customHeight="1" x14ac:dyDescent="0.2">
      <c r="A348" s="11"/>
      <c r="B348" s="11"/>
      <c r="C348" s="11"/>
      <c r="D348" s="11"/>
      <c r="M348" s="8"/>
    </row>
    <row r="349" spans="1:13" ht="15.75" customHeight="1" x14ac:dyDescent="0.2">
      <c r="A349" s="11"/>
      <c r="B349" s="11"/>
      <c r="C349" s="11"/>
      <c r="D349" s="11"/>
      <c r="M349" s="8"/>
    </row>
    <row r="350" spans="1:13" ht="15.75" customHeight="1" x14ac:dyDescent="0.2">
      <c r="A350" s="11"/>
      <c r="B350" s="11"/>
      <c r="C350" s="11"/>
      <c r="D350" s="11"/>
      <c r="M350" s="8"/>
    </row>
    <row r="351" spans="1:13" ht="15.75" customHeight="1" x14ac:dyDescent="0.2">
      <c r="A351" s="11"/>
      <c r="B351" s="11"/>
      <c r="C351" s="11"/>
      <c r="D351" s="11"/>
      <c r="M351" s="8"/>
    </row>
    <row r="352" spans="1:13" ht="15.75" customHeight="1" x14ac:dyDescent="0.2">
      <c r="A352" s="11"/>
      <c r="B352" s="11"/>
      <c r="C352" s="11"/>
      <c r="D352" s="11"/>
      <c r="M352" s="8"/>
    </row>
    <row r="353" spans="1:13" ht="15.75" customHeight="1" x14ac:dyDescent="0.2">
      <c r="A353" s="11"/>
      <c r="B353" s="11"/>
      <c r="C353" s="11"/>
      <c r="D353" s="11"/>
      <c r="M353" s="8"/>
    </row>
    <row r="354" spans="1:13" ht="15.75" customHeight="1" x14ac:dyDescent="0.2">
      <c r="A354" s="11"/>
      <c r="B354" s="11"/>
      <c r="C354" s="11"/>
      <c r="D354" s="11"/>
      <c r="M354" s="8"/>
    </row>
    <row r="355" spans="1:13" ht="15.75" customHeight="1" x14ac:dyDescent="0.2">
      <c r="A355" s="11"/>
      <c r="B355" s="11"/>
      <c r="C355" s="11"/>
      <c r="D355" s="11"/>
      <c r="M355" s="8"/>
    </row>
    <row r="356" spans="1:13" ht="15.75" customHeight="1" x14ac:dyDescent="0.2">
      <c r="A356" s="11"/>
      <c r="B356" s="11"/>
      <c r="C356" s="11"/>
      <c r="D356" s="11"/>
      <c r="M356" s="8"/>
    </row>
    <row r="357" spans="1:13" ht="15.75" customHeight="1" x14ac:dyDescent="0.2">
      <c r="A357" s="11"/>
      <c r="B357" s="11"/>
      <c r="C357" s="11"/>
      <c r="D357" s="11"/>
      <c r="M357" s="8"/>
    </row>
    <row r="358" spans="1:13" ht="15.75" customHeight="1" x14ac:dyDescent="0.2">
      <c r="A358" s="11"/>
      <c r="B358" s="11"/>
      <c r="C358" s="11"/>
      <c r="D358" s="11"/>
      <c r="M358" s="8"/>
    </row>
    <row r="359" spans="1:13" ht="15.75" customHeight="1" x14ac:dyDescent="0.2">
      <c r="A359" s="11"/>
      <c r="B359" s="11"/>
      <c r="C359" s="11"/>
      <c r="D359" s="11"/>
      <c r="M359" s="8"/>
    </row>
    <row r="360" spans="1:13" ht="15.75" customHeight="1" x14ac:dyDescent="0.2">
      <c r="A360" s="11"/>
      <c r="B360" s="11"/>
      <c r="C360" s="11"/>
      <c r="D360" s="11"/>
      <c r="M360" s="8"/>
    </row>
    <row r="361" spans="1:13" ht="15.75" customHeight="1" x14ac:dyDescent="0.2">
      <c r="A361" s="11"/>
      <c r="B361" s="11"/>
      <c r="C361" s="11"/>
      <c r="D361" s="11"/>
      <c r="M361" s="8"/>
    </row>
    <row r="362" spans="1:13" ht="15.75" customHeight="1" x14ac:dyDescent="0.2">
      <c r="A362" s="11"/>
      <c r="B362" s="11"/>
      <c r="C362" s="11"/>
      <c r="D362" s="11"/>
      <c r="M362" s="8"/>
    </row>
    <row r="363" spans="1:13" ht="15.75" customHeight="1" x14ac:dyDescent="0.2">
      <c r="A363" s="11"/>
      <c r="B363" s="11"/>
      <c r="C363" s="11"/>
      <c r="D363" s="11"/>
      <c r="M363" s="8"/>
    </row>
    <row r="364" spans="1:13" ht="15.75" customHeight="1" x14ac:dyDescent="0.2">
      <c r="A364" s="11"/>
      <c r="B364" s="11"/>
      <c r="C364" s="11"/>
      <c r="D364" s="11"/>
      <c r="M364" s="8"/>
    </row>
    <row r="365" spans="1:13" ht="15.75" customHeight="1" x14ac:dyDescent="0.2">
      <c r="A365" s="11"/>
      <c r="B365" s="11"/>
      <c r="C365" s="11"/>
      <c r="D365" s="11"/>
      <c r="M365" s="8"/>
    </row>
    <row r="366" spans="1:13" ht="15.75" customHeight="1" x14ac:dyDescent="0.2">
      <c r="A366" s="11"/>
      <c r="B366" s="11"/>
      <c r="C366" s="11"/>
      <c r="D366" s="11"/>
      <c r="M366" s="8"/>
    </row>
    <row r="367" spans="1:13" ht="15.75" customHeight="1" x14ac:dyDescent="0.2">
      <c r="A367" s="11"/>
      <c r="B367" s="11"/>
      <c r="C367" s="11"/>
      <c r="D367" s="11"/>
      <c r="M367" s="8"/>
    </row>
    <row r="368" spans="1:13" ht="15.75" customHeight="1" x14ac:dyDescent="0.2">
      <c r="A368" s="11"/>
      <c r="B368" s="11"/>
      <c r="C368" s="11"/>
      <c r="D368" s="11"/>
      <c r="M368" s="8"/>
    </row>
    <row r="369" spans="1:13" ht="15.75" customHeight="1" x14ac:dyDescent="0.2">
      <c r="A369" s="11"/>
      <c r="B369" s="11"/>
      <c r="C369" s="11"/>
      <c r="D369" s="11"/>
      <c r="M369" s="8"/>
    </row>
    <row r="370" spans="1:13" ht="15.75" customHeight="1" x14ac:dyDescent="0.2">
      <c r="A370" s="11"/>
      <c r="B370" s="11"/>
      <c r="C370" s="11"/>
      <c r="D370" s="11"/>
      <c r="M370" s="8"/>
    </row>
    <row r="371" spans="1:13" ht="15.75" customHeight="1" x14ac:dyDescent="0.2">
      <c r="A371" s="11"/>
      <c r="B371" s="11"/>
      <c r="C371" s="11"/>
      <c r="D371" s="11"/>
      <c r="M371" s="8"/>
    </row>
    <row r="372" spans="1:13" ht="15.75" customHeight="1" x14ac:dyDescent="0.2">
      <c r="A372" s="11"/>
      <c r="B372" s="11"/>
      <c r="C372" s="11"/>
      <c r="D372" s="11"/>
      <c r="M372" s="8"/>
    </row>
    <row r="373" spans="1:13" ht="15.75" customHeight="1" x14ac:dyDescent="0.2">
      <c r="A373" s="11"/>
      <c r="B373" s="11"/>
      <c r="C373" s="11"/>
      <c r="D373" s="11"/>
      <c r="M373" s="8"/>
    </row>
    <row r="374" spans="1:13" ht="15.75" customHeight="1" x14ac:dyDescent="0.2">
      <c r="A374" s="11"/>
      <c r="B374" s="11"/>
      <c r="C374" s="11"/>
      <c r="D374" s="11"/>
      <c r="M374" s="8"/>
    </row>
    <row r="375" spans="1:13" ht="15.75" customHeight="1" x14ac:dyDescent="0.2">
      <c r="A375" s="11"/>
      <c r="B375" s="11"/>
      <c r="C375" s="11"/>
      <c r="D375" s="11"/>
      <c r="M375" s="8"/>
    </row>
    <row r="376" spans="1:13" ht="15.75" customHeight="1" x14ac:dyDescent="0.2">
      <c r="A376" s="11"/>
      <c r="B376" s="11"/>
      <c r="C376" s="11"/>
      <c r="D376" s="11"/>
      <c r="M376" s="8"/>
    </row>
    <row r="377" spans="1:13" ht="15.75" customHeight="1" x14ac:dyDescent="0.2">
      <c r="A377" s="11"/>
      <c r="B377" s="11"/>
      <c r="C377" s="11"/>
      <c r="D377" s="11"/>
      <c r="M377" s="8"/>
    </row>
    <row r="378" spans="1:13" ht="15.75" customHeight="1" x14ac:dyDescent="0.2">
      <c r="A378" s="11"/>
      <c r="B378" s="11"/>
      <c r="C378" s="11"/>
      <c r="D378" s="11"/>
      <c r="M378" s="8"/>
    </row>
    <row r="379" spans="1:13" ht="15.75" customHeight="1" x14ac:dyDescent="0.2">
      <c r="A379" s="11"/>
      <c r="B379" s="11"/>
      <c r="C379" s="11"/>
      <c r="D379" s="11"/>
      <c r="M379" s="8"/>
    </row>
    <row r="380" spans="1:13" ht="15.75" customHeight="1" x14ac:dyDescent="0.2">
      <c r="A380" s="11"/>
      <c r="B380" s="11"/>
      <c r="C380" s="11"/>
      <c r="D380" s="11"/>
      <c r="M380" s="8"/>
    </row>
    <row r="381" spans="1:13" ht="15.75" customHeight="1" x14ac:dyDescent="0.2">
      <c r="A381" s="11"/>
      <c r="B381" s="11"/>
      <c r="C381" s="11"/>
      <c r="D381" s="11"/>
      <c r="M381" s="8"/>
    </row>
    <row r="382" spans="1:13" ht="15.75" customHeight="1" x14ac:dyDescent="0.2">
      <c r="A382" s="11"/>
      <c r="B382" s="11"/>
      <c r="C382" s="11"/>
      <c r="D382" s="11"/>
      <c r="M382" s="8"/>
    </row>
    <row r="383" spans="1:13" ht="15.75" customHeight="1" x14ac:dyDescent="0.2">
      <c r="A383" s="11"/>
      <c r="B383" s="11"/>
      <c r="C383" s="11"/>
      <c r="D383" s="11"/>
      <c r="M383" s="8"/>
    </row>
    <row r="384" spans="1:13" ht="15.75" customHeight="1" x14ac:dyDescent="0.2">
      <c r="A384" s="11"/>
      <c r="B384" s="11"/>
      <c r="C384" s="11"/>
      <c r="D384" s="11"/>
      <c r="M384" s="8"/>
    </row>
    <row r="385" spans="1:13" ht="15.75" customHeight="1" x14ac:dyDescent="0.2">
      <c r="A385" s="11"/>
      <c r="B385" s="11"/>
      <c r="C385" s="11"/>
      <c r="D385" s="11"/>
      <c r="M385" s="8"/>
    </row>
    <row r="386" spans="1:13" ht="15.75" customHeight="1" x14ac:dyDescent="0.2">
      <c r="A386" s="11"/>
      <c r="B386" s="11"/>
      <c r="C386" s="11"/>
      <c r="D386" s="11"/>
      <c r="M386" s="8"/>
    </row>
    <row r="387" spans="1:13" ht="15.75" customHeight="1" x14ac:dyDescent="0.2">
      <c r="A387" s="11"/>
      <c r="B387" s="11"/>
      <c r="C387" s="11"/>
      <c r="D387" s="11"/>
      <c r="M387" s="8"/>
    </row>
    <row r="388" spans="1:13" ht="15.75" customHeight="1" x14ac:dyDescent="0.2">
      <c r="A388" s="11"/>
      <c r="B388" s="11"/>
      <c r="C388" s="11"/>
      <c r="D388" s="11"/>
      <c r="M388" s="8"/>
    </row>
    <row r="389" spans="1:13" ht="15.75" customHeight="1" x14ac:dyDescent="0.2">
      <c r="A389" s="11"/>
      <c r="B389" s="11"/>
      <c r="C389" s="11"/>
      <c r="D389" s="11"/>
      <c r="M389" s="8"/>
    </row>
    <row r="390" spans="1:13" ht="15.75" customHeight="1" x14ac:dyDescent="0.2">
      <c r="A390" s="11"/>
      <c r="B390" s="11"/>
      <c r="C390" s="11"/>
      <c r="D390" s="11"/>
      <c r="M390" s="8"/>
    </row>
    <row r="391" spans="1:13" ht="15.75" customHeight="1" x14ac:dyDescent="0.2">
      <c r="A391" s="11"/>
      <c r="B391" s="11"/>
      <c r="C391" s="11"/>
      <c r="D391" s="11"/>
      <c r="M391" s="8"/>
    </row>
    <row r="392" spans="1:13" ht="15.75" customHeight="1" x14ac:dyDescent="0.2">
      <c r="A392" s="11"/>
      <c r="B392" s="11"/>
      <c r="C392" s="11"/>
      <c r="D392" s="11"/>
      <c r="M392" s="8"/>
    </row>
    <row r="393" spans="1:13" ht="15.75" customHeight="1" x14ac:dyDescent="0.2">
      <c r="A393" s="11"/>
      <c r="B393" s="11"/>
      <c r="C393" s="11"/>
      <c r="D393" s="11"/>
      <c r="M393" s="8"/>
    </row>
    <row r="394" spans="1:13" ht="15.75" customHeight="1" x14ac:dyDescent="0.2">
      <c r="A394" s="11"/>
      <c r="B394" s="11"/>
      <c r="C394" s="11"/>
      <c r="D394" s="11"/>
      <c r="M394" s="8"/>
    </row>
    <row r="395" spans="1:13" ht="15.75" customHeight="1" x14ac:dyDescent="0.2">
      <c r="A395" s="11"/>
      <c r="B395" s="11"/>
      <c r="C395" s="11"/>
      <c r="D395" s="11"/>
      <c r="M395" s="8"/>
    </row>
    <row r="396" spans="1:13" ht="15.75" customHeight="1" x14ac:dyDescent="0.2">
      <c r="A396" s="11"/>
      <c r="B396" s="11"/>
      <c r="C396" s="11"/>
      <c r="D396" s="11"/>
      <c r="M396" s="8"/>
    </row>
    <row r="397" spans="1:13" ht="15.75" customHeight="1" x14ac:dyDescent="0.2">
      <c r="A397" s="11"/>
      <c r="B397" s="11"/>
      <c r="C397" s="11"/>
      <c r="D397" s="11"/>
      <c r="M397" s="8"/>
    </row>
    <row r="398" spans="1:13" ht="15.75" customHeight="1" x14ac:dyDescent="0.2">
      <c r="A398" s="11"/>
      <c r="B398" s="11"/>
      <c r="C398" s="11"/>
      <c r="D398" s="11"/>
      <c r="M398" s="8"/>
    </row>
    <row r="399" spans="1:13" ht="15.75" customHeight="1" x14ac:dyDescent="0.2">
      <c r="A399" s="11"/>
      <c r="B399" s="11"/>
      <c r="C399" s="11"/>
      <c r="D399" s="11"/>
      <c r="M399" s="8"/>
    </row>
    <row r="400" spans="1:13" ht="15.75" customHeight="1" x14ac:dyDescent="0.2">
      <c r="A400" s="11"/>
      <c r="B400" s="11"/>
      <c r="C400" s="11"/>
      <c r="D400" s="11"/>
      <c r="M400" s="8"/>
    </row>
    <row r="401" spans="1:13" ht="15.75" customHeight="1" x14ac:dyDescent="0.2">
      <c r="A401" s="11"/>
      <c r="B401" s="11"/>
      <c r="C401" s="11"/>
      <c r="D401" s="11"/>
      <c r="M401" s="8"/>
    </row>
    <row r="402" spans="1:13" ht="15.75" customHeight="1" x14ac:dyDescent="0.2">
      <c r="A402" s="11"/>
      <c r="B402" s="11"/>
      <c r="C402" s="11"/>
      <c r="D402" s="11"/>
      <c r="M402" s="8"/>
    </row>
    <row r="403" spans="1:13" ht="15.75" customHeight="1" x14ac:dyDescent="0.2">
      <c r="A403" s="11"/>
      <c r="B403" s="11"/>
      <c r="C403" s="11"/>
      <c r="D403" s="11"/>
      <c r="M403" s="8"/>
    </row>
    <row r="404" spans="1:13" ht="15.75" customHeight="1" x14ac:dyDescent="0.2">
      <c r="A404" s="11"/>
      <c r="B404" s="11"/>
      <c r="C404" s="11"/>
      <c r="D404" s="11"/>
      <c r="M404" s="8"/>
    </row>
    <row r="405" spans="1:13" ht="15.75" customHeight="1" x14ac:dyDescent="0.2">
      <c r="A405" s="11"/>
      <c r="B405" s="11"/>
      <c r="C405" s="11"/>
      <c r="D405" s="11"/>
      <c r="M405" s="8"/>
    </row>
    <row r="406" spans="1:13" ht="15.75" customHeight="1" x14ac:dyDescent="0.2">
      <c r="A406" s="11"/>
      <c r="B406" s="11"/>
      <c r="C406" s="11"/>
      <c r="D406" s="11"/>
      <c r="M406" s="8"/>
    </row>
    <row r="407" spans="1:13" ht="15.75" customHeight="1" x14ac:dyDescent="0.2">
      <c r="A407" s="11"/>
      <c r="B407" s="11"/>
      <c r="C407" s="11"/>
      <c r="D407" s="11"/>
      <c r="M407" s="8"/>
    </row>
    <row r="408" spans="1:13" ht="15.75" customHeight="1" x14ac:dyDescent="0.2">
      <c r="A408" s="11"/>
      <c r="B408" s="11"/>
      <c r="C408" s="11"/>
      <c r="D408" s="11"/>
      <c r="M408" s="8"/>
    </row>
    <row r="409" spans="1:13" ht="15.75" customHeight="1" x14ac:dyDescent="0.2">
      <c r="A409" s="11"/>
      <c r="B409" s="11"/>
      <c r="C409" s="11"/>
      <c r="D409" s="11"/>
      <c r="M409" s="8"/>
    </row>
    <row r="410" spans="1:13" ht="15.75" customHeight="1" x14ac:dyDescent="0.2">
      <c r="A410" s="11"/>
      <c r="B410" s="11"/>
      <c r="C410" s="11"/>
      <c r="D410" s="11"/>
      <c r="M410" s="8"/>
    </row>
    <row r="411" spans="1:13" ht="15.75" customHeight="1" x14ac:dyDescent="0.2">
      <c r="A411" s="11"/>
      <c r="B411" s="11"/>
      <c r="C411" s="11"/>
      <c r="D411" s="11"/>
      <c r="M411" s="8"/>
    </row>
    <row r="412" spans="1:13" ht="15.75" customHeight="1" x14ac:dyDescent="0.2">
      <c r="A412" s="11"/>
      <c r="B412" s="11"/>
      <c r="C412" s="11"/>
      <c r="D412" s="11"/>
      <c r="M412" s="8"/>
    </row>
    <row r="413" spans="1:13" ht="15.75" customHeight="1" x14ac:dyDescent="0.2">
      <c r="A413" s="11"/>
      <c r="B413" s="11"/>
      <c r="C413" s="11"/>
      <c r="D413" s="11"/>
      <c r="M413" s="8"/>
    </row>
    <row r="414" spans="1:13" ht="15.75" customHeight="1" x14ac:dyDescent="0.2">
      <c r="A414" s="11"/>
      <c r="B414" s="11"/>
      <c r="C414" s="11"/>
      <c r="D414" s="11"/>
      <c r="M414" s="8"/>
    </row>
    <row r="415" spans="1:13" ht="15.75" customHeight="1" x14ac:dyDescent="0.2">
      <c r="A415" s="11"/>
      <c r="B415" s="11"/>
      <c r="C415" s="11"/>
      <c r="D415" s="11"/>
      <c r="M415" s="8"/>
    </row>
    <row r="416" spans="1:13" ht="15.75" customHeight="1" x14ac:dyDescent="0.2">
      <c r="A416" s="11"/>
      <c r="B416" s="11"/>
      <c r="C416" s="11"/>
      <c r="D416" s="11"/>
      <c r="M416" s="8"/>
    </row>
    <row r="417" spans="1:13" ht="15.75" customHeight="1" x14ac:dyDescent="0.2">
      <c r="A417" s="11"/>
      <c r="B417" s="11"/>
      <c r="C417" s="11"/>
      <c r="D417" s="11"/>
      <c r="M417" s="8"/>
    </row>
    <row r="418" spans="1:13" ht="15.75" customHeight="1" x14ac:dyDescent="0.2">
      <c r="A418" s="11"/>
      <c r="B418" s="11"/>
      <c r="C418" s="11"/>
      <c r="D418" s="11"/>
      <c r="M418" s="8"/>
    </row>
    <row r="419" spans="1:13" ht="15.75" customHeight="1" x14ac:dyDescent="0.2">
      <c r="A419" s="11"/>
      <c r="B419" s="11"/>
      <c r="C419" s="11"/>
      <c r="D419" s="11"/>
      <c r="M419" s="8"/>
    </row>
    <row r="420" spans="1:13" ht="15.75" customHeight="1" x14ac:dyDescent="0.2">
      <c r="A420" s="11"/>
      <c r="B420" s="11"/>
      <c r="C420" s="11"/>
      <c r="D420" s="11"/>
      <c r="M420" s="8"/>
    </row>
    <row r="421" spans="1:13" ht="15.75" customHeight="1" x14ac:dyDescent="0.2">
      <c r="A421" s="11"/>
      <c r="B421" s="11"/>
      <c r="C421" s="11"/>
      <c r="D421" s="11"/>
      <c r="M421" s="8"/>
    </row>
    <row r="422" spans="1:13" ht="15.75" customHeight="1" x14ac:dyDescent="0.2">
      <c r="A422" s="11"/>
      <c r="B422" s="11"/>
      <c r="C422" s="11"/>
      <c r="D422" s="11"/>
      <c r="M422" s="8"/>
    </row>
    <row r="423" spans="1:13" ht="15.75" customHeight="1" x14ac:dyDescent="0.2">
      <c r="A423" s="11"/>
      <c r="B423" s="11"/>
      <c r="C423" s="11"/>
      <c r="D423" s="11"/>
      <c r="M423" s="8"/>
    </row>
    <row r="424" spans="1:13" ht="15.75" customHeight="1" x14ac:dyDescent="0.2">
      <c r="A424" s="11"/>
      <c r="B424" s="11"/>
      <c r="C424" s="11"/>
      <c r="D424" s="11"/>
      <c r="M424" s="8"/>
    </row>
    <row r="425" spans="1:13" ht="15.75" customHeight="1" x14ac:dyDescent="0.2">
      <c r="A425" s="11"/>
      <c r="B425" s="11"/>
      <c r="C425" s="11"/>
      <c r="D425" s="11"/>
      <c r="M425" s="8"/>
    </row>
    <row r="426" spans="1:13" ht="15.75" customHeight="1" x14ac:dyDescent="0.2">
      <c r="A426" s="11"/>
      <c r="B426" s="11"/>
      <c r="C426" s="11"/>
      <c r="D426" s="11"/>
      <c r="M426" s="8"/>
    </row>
    <row r="427" spans="1:13" ht="15.75" customHeight="1" x14ac:dyDescent="0.2">
      <c r="A427" s="11"/>
      <c r="B427" s="11"/>
      <c r="C427" s="11"/>
      <c r="D427" s="11"/>
      <c r="M427" s="8"/>
    </row>
    <row r="428" spans="1:13" ht="15.75" customHeight="1" x14ac:dyDescent="0.2">
      <c r="A428" s="11"/>
      <c r="B428" s="11"/>
      <c r="C428" s="11"/>
      <c r="D428" s="11"/>
      <c r="M428" s="8"/>
    </row>
    <row r="429" spans="1:13" ht="15.75" customHeight="1" x14ac:dyDescent="0.2">
      <c r="A429" s="11"/>
      <c r="B429" s="11"/>
      <c r="C429" s="11"/>
      <c r="D429" s="11"/>
      <c r="M429" s="8"/>
    </row>
    <row r="430" spans="1:13" ht="15.75" customHeight="1" x14ac:dyDescent="0.2">
      <c r="A430" s="11"/>
      <c r="B430" s="11"/>
      <c r="C430" s="11"/>
      <c r="D430" s="11"/>
      <c r="M430" s="8"/>
    </row>
    <row r="431" spans="1:13" ht="15.75" customHeight="1" x14ac:dyDescent="0.2">
      <c r="A431" s="11"/>
      <c r="B431" s="11"/>
      <c r="C431" s="11"/>
      <c r="D431" s="11"/>
      <c r="M431" s="8"/>
    </row>
    <row r="432" spans="1:13" ht="15.75" customHeight="1" x14ac:dyDescent="0.2">
      <c r="A432" s="11"/>
      <c r="B432" s="11"/>
      <c r="C432" s="11"/>
      <c r="D432" s="11"/>
      <c r="M432" s="8"/>
    </row>
    <row r="433" spans="1:13" ht="15.75" customHeight="1" x14ac:dyDescent="0.2">
      <c r="A433" s="11"/>
      <c r="B433" s="11"/>
      <c r="C433" s="11"/>
      <c r="D433" s="11"/>
      <c r="M433" s="8"/>
    </row>
    <row r="434" spans="1:13" ht="15.75" customHeight="1" x14ac:dyDescent="0.2">
      <c r="A434" s="11"/>
      <c r="B434" s="11"/>
      <c r="C434" s="11"/>
      <c r="D434" s="11"/>
      <c r="M434" s="8"/>
    </row>
    <row r="435" spans="1:13" ht="15.75" customHeight="1" x14ac:dyDescent="0.2">
      <c r="A435" s="11"/>
      <c r="B435" s="11"/>
      <c r="C435" s="11"/>
      <c r="D435" s="11"/>
      <c r="M435" s="8"/>
    </row>
    <row r="436" spans="1:13" ht="15.75" customHeight="1" x14ac:dyDescent="0.2">
      <c r="A436" s="11"/>
      <c r="B436" s="11"/>
      <c r="C436" s="11"/>
      <c r="D436" s="11"/>
      <c r="M436" s="8"/>
    </row>
    <row r="437" spans="1:13" ht="15.75" customHeight="1" x14ac:dyDescent="0.2">
      <c r="A437" s="11"/>
      <c r="B437" s="11"/>
      <c r="C437" s="11"/>
      <c r="D437" s="11"/>
      <c r="M437" s="8"/>
    </row>
    <row r="438" spans="1:13" ht="15.75" customHeight="1" x14ac:dyDescent="0.2">
      <c r="A438" s="11"/>
      <c r="B438" s="11"/>
      <c r="C438" s="11"/>
      <c r="D438" s="11"/>
      <c r="M438" s="8"/>
    </row>
    <row r="439" spans="1:13" ht="15.75" customHeight="1" x14ac:dyDescent="0.2">
      <c r="A439" s="11"/>
      <c r="B439" s="11"/>
      <c r="C439" s="11"/>
      <c r="D439" s="11"/>
      <c r="M439" s="8"/>
    </row>
    <row r="440" spans="1:13" ht="15.75" customHeight="1" x14ac:dyDescent="0.2">
      <c r="A440" s="11"/>
      <c r="B440" s="11"/>
      <c r="C440" s="11"/>
      <c r="D440" s="11"/>
      <c r="M440" s="8"/>
    </row>
    <row r="441" spans="1:13" ht="15.75" customHeight="1" x14ac:dyDescent="0.2">
      <c r="A441" s="11"/>
      <c r="B441" s="11"/>
      <c r="C441" s="11"/>
      <c r="D441" s="11"/>
      <c r="M441" s="8"/>
    </row>
    <row r="442" spans="1:13" ht="15.75" customHeight="1" x14ac:dyDescent="0.2">
      <c r="A442" s="11"/>
      <c r="B442" s="11"/>
      <c r="C442" s="11"/>
      <c r="D442" s="11"/>
      <c r="M442" s="8"/>
    </row>
    <row r="443" spans="1:13" ht="15.75" customHeight="1" x14ac:dyDescent="0.2">
      <c r="A443" s="11"/>
      <c r="B443" s="11"/>
      <c r="C443" s="11"/>
      <c r="D443" s="11"/>
      <c r="M443" s="8"/>
    </row>
    <row r="444" spans="1:13" ht="15.75" customHeight="1" x14ac:dyDescent="0.2">
      <c r="A444" s="11"/>
      <c r="B444" s="11"/>
      <c r="C444" s="11"/>
      <c r="D444" s="11"/>
      <c r="M444" s="8"/>
    </row>
    <row r="445" spans="1:13" ht="15.75" customHeight="1" x14ac:dyDescent="0.2">
      <c r="A445" s="11"/>
      <c r="B445" s="11"/>
      <c r="C445" s="11"/>
      <c r="D445" s="11"/>
      <c r="M445" s="8"/>
    </row>
    <row r="446" spans="1:13" ht="15.75" customHeight="1" x14ac:dyDescent="0.2">
      <c r="A446" s="11"/>
      <c r="B446" s="11"/>
      <c r="C446" s="11"/>
      <c r="D446" s="11"/>
      <c r="M446" s="8"/>
    </row>
    <row r="447" spans="1:13" ht="15.75" customHeight="1" x14ac:dyDescent="0.2">
      <c r="A447" s="11"/>
      <c r="B447" s="11"/>
      <c r="C447" s="11"/>
      <c r="D447" s="11"/>
      <c r="M447" s="8"/>
    </row>
    <row r="448" spans="1:13" ht="15.75" customHeight="1" x14ac:dyDescent="0.2">
      <c r="A448" s="11"/>
      <c r="B448" s="11"/>
      <c r="C448" s="11"/>
      <c r="D448" s="11"/>
      <c r="M448" s="8"/>
    </row>
    <row r="449" spans="1:13" ht="15.75" customHeight="1" x14ac:dyDescent="0.2">
      <c r="A449" s="11"/>
      <c r="B449" s="11"/>
      <c r="C449" s="11"/>
      <c r="D449" s="11"/>
      <c r="M449" s="8"/>
    </row>
    <row r="450" spans="1:13" ht="15.75" customHeight="1" x14ac:dyDescent="0.2">
      <c r="A450" s="11"/>
      <c r="B450" s="11"/>
      <c r="C450" s="11"/>
      <c r="D450" s="11"/>
      <c r="M450" s="8"/>
    </row>
    <row r="451" spans="1:13" ht="15.75" customHeight="1" x14ac:dyDescent="0.2">
      <c r="A451" s="11"/>
      <c r="B451" s="11"/>
      <c r="C451" s="11"/>
      <c r="D451" s="11"/>
      <c r="M451" s="8"/>
    </row>
    <row r="452" spans="1:13" ht="15.75" customHeight="1" x14ac:dyDescent="0.2">
      <c r="A452" s="11"/>
      <c r="B452" s="11"/>
      <c r="C452" s="11"/>
      <c r="D452" s="11"/>
      <c r="M452" s="8"/>
    </row>
    <row r="453" spans="1:13" ht="15.75" customHeight="1" x14ac:dyDescent="0.2">
      <c r="A453" s="11"/>
      <c r="B453" s="11"/>
      <c r="C453" s="11"/>
      <c r="D453" s="11"/>
      <c r="M453" s="8"/>
    </row>
    <row r="454" spans="1:13" ht="15.75" customHeight="1" x14ac:dyDescent="0.2">
      <c r="A454" s="11"/>
      <c r="B454" s="11"/>
      <c r="C454" s="11"/>
      <c r="D454" s="11"/>
      <c r="M454" s="8"/>
    </row>
    <row r="455" spans="1:13" ht="15.75" customHeight="1" x14ac:dyDescent="0.2">
      <c r="A455" s="11"/>
      <c r="B455" s="11"/>
      <c r="C455" s="11"/>
      <c r="D455" s="11"/>
      <c r="M455" s="8"/>
    </row>
    <row r="456" spans="1:13" ht="15.75" customHeight="1" x14ac:dyDescent="0.2">
      <c r="A456" s="11"/>
      <c r="B456" s="11"/>
      <c r="C456" s="11"/>
      <c r="D456" s="11"/>
      <c r="M456" s="8"/>
    </row>
    <row r="457" spans="1:13" ht="15.75" customHeight="1" x14ac:dyDescent="0.2">
      <c r="A457" s="11"/>
      <c r="B457" s="11"/>
      <c r="C457" s="11"/>
      <c r="D457" s="11"/>
      <c r="M457" s="8"/>
    </row>
    <row r="458" spans="1:13" ht="15.75" customHeight="1" x14ac:dyDescent="0.2">
      <c r="A458" s="11"/>
      <c r="B458" s="11"/>
      <c r="C458" s="11"/>
      <c r="D458" s="11"/>
      <c r="M458" s="8"/>
    </row>
    <row r="459" spans="1:13" ht="15.75" customHeight="1" x14ac:dyDescent="0.2">
      <c r="A459" s="11"/>
      <c r="B459" s="11"/>
      <c r="C459" s="11"/>
      <c r="D459" s="11"/>
      <c r="M459" s="8"/>
    </row>
    <row r="460" spans="1:13" ht="15.75" customHeight="1" x14ac:dyDescent="0.2">
      <c r="A460" s="11"/>
      <c r="B460" s="11"/>
      <c r="C460" s="11"/>
      <c r="D460" s="11"/>
      <c r="M460" s="8"/>
    </row>
    <row r="461" spans="1:13" ht="15.75" customHeight="1" x14ac:dyDescent="0.2">
      <c r="A461" s="11"/>
      <c r="B461" s="11"/>
      <c r="C461" s="11"/>
      <c r="D461" s="11"/>
      <c r="M461" s="8"/>
    </row>
    <row r="462" spans="1:13" ht="15.75" customHeight="1" x14ac:dyDescent="0.2">
      <c r="A462" s="11"/>
      <c r="B462" s="11"/>
      <c r="C462" s="11"/>
      <c r="D462" s="11"/>
      <c r="M462" s="8"/>
    </row>
    <row r="463" spans="1:13" ht="15.75" customHeight="1" x14ac:dyDescent="0.2">
      <c r="A463" s="11"/>
      <c r="B463" s="11"/>
      <c r="C463" s="11"/>
      <c r="D463" s="11"/>
      <c r="M463" s="8"/>
    </row>
    <row r="464" spans="1:13" ht="15.75" customHeight="1" x14ac:dyDescent="0.2">
      <c r="A464" s="11"/>
      <c r="B464" s="11"/>
      <c r="C464" s="11"/>
      <c r="D464" s="11"/>
      <c r="M464" s="8"/>
    </row>
    <row r="465" spans="1:13" ht="15.75" customHeight="1" x14ac:dyDescent="0.2">
      <c r="A465" s="11"/>
      <c r="B465" s="11"/>
      <c r="C465" s="11"/>
      <c r="D465" s="11"/>
      <c r="M465" s="8"/>
    </row>
    <row r="466" spans="1:13" ht="15.75" customHeight="1" x14ac:dyDescent="0.2">
      <c r="A466" s="11"/>
      <c r="B466" s="11"/>
      <c r="C466" s="11"/>
      <c r="D466" s="11"/>
      <c r="M466" s="8"/>
    </row>
    <row r="467" spans="1:13" ht="15.75" customHeight="1" x14ac:dyDescent="0.2">
      <c r="A467" s="11"/>
      <c r="B467" s="11"/>
      <c r="C467" s="11"/>
      <c r="D467" s="11"/>
      <c r="M467" s="8"/>
    </row>
    <row r="468" spans="1:13" ht="15.75" customHeight="1" x14ac:dyDescent="0.2">
      <c r="A468" s="11"/>
      <c r="B468" s="11"/>
      <c r="C468" s="11"/>
      <c r="D468" s="11"/>
      <c r="M468" s="8"/>
    </row>
    <row r="469" spans="1:13" ht="15.75" customHeight="1" x14ac:dyDescent="0.2">
      <c r="A469" s="11"/>
      <c r="B469" s="11"/>
      <c r="C469" s="11"/>
      <c r="D469" s="11"/>
      <c r="M469" s="8"/>
    </row>
    <row r="470" spans="1:13" ht="15.75" customHeight="1" x14ac:dyDescent="0.2">
      <c r="A470" s="11"/>
      <c r="B470" s="11"/>
      <c r="C470" s="11"/>
      <c r="D470" s="11"/>
      <c r="M470" s="8"/>
    </row>
    <row r="471" spans="1:13" ht="15.75" customHeight="1" x14ac:dyDescent="0.2">
      <c r="A471" s="11"/>
      <c r="B471" s="11"/>
      <c r="C471" s="11"/>
      <c r="D471" s="11"/>
      <c r="M471" s="8"/>
    </row>
    <row r="472" spans="1:13" ht="15.75" customHeight="1" x14ac:dyDescent="0.2">
      <c r="A472" s="11"/>
      <c r="B472" s="11"/>
      <c r="C472" s="11"/>
      <c r="D472" s="11"/>
      <c r="M472" s="8"/>
    </row>
    <row r="473" spans="1:13" ht="15.75" customHeight="1" x14ac:dyDescent="0.2">
      <c r="A473" s="11"/>
      <c r="B473" s="11"/>
      <c r="C473" s="11"/>
      <c r="D473" s="11"/>
      <c r="M473" s="8"/>
    </row>
    <row r="474" spans="1:13" ht="15.75" customHeight="1" x14ac:dyDescent="0.2">
      <c r="A474" s="11"/>
      <c r="B474" s="11"/>
      <c r="C474" s="11"/>
      <c r="D474" s="11"/>
      <c r="M474" s="8"/>
    </row>
    <row r="475" spans="1:13" ht="15.75" customHeight="1" x14ac:dyDescent="0.2">
      <c r="A475" s="11"/>
      <c r="B475" s="11"/>
      <c r="C475" s="11"/>
      <c r="D475" s="11"/>
      <c r="M475" s="8"/>
    </row>
    <row r="476" spans="1:13" ht="15.75" customHeight="1" x14ac:dyDescent="0.2">
      <c r="A476" s="11"/>
      <c r="B476" s="11"/>
      <c r="C476" s="11"/>
      <c r="D476" s="11"/>
      <c r="M476" s="8"/>
    </row>
    <row r="477" spans="1:13" ht="15.75" customHeight="1" x14ac:dyDescent="0.2">
      <c r="A477" s="11"/>
      <c r="B477" s="11"/>
      <c r="C477" s="11"/>
      <c r="D477" s="11"/>
      <c r="M477" s="8"/>
    </row>
    <row r="478" spans="1:13" ht="15.75" customHeight="1" x14ac:dyDescent="0.2">
      <c r="A478" s="11"/>
      <c r="B478" s="11"/>
      <c r="C478" s="11"/>
      <c r="D478" s="11"/>
      <c r="M478" s="8"/>
    </row>
    <row r="479" spans="1:13" ht="15.75" customHeight="1" x14ac:dyDescent="0.2">
      <c r="A479" s="11"/>
      <c r="B479" s="11"/>
      <c r="C479" s="11"/>
      <c r="D479" s="11"/>
      <c r="M479" s="8"/>
    </row>
    <row r="480" spans="1:13" ht="15.75" customHeight="1" x14ac:dyDescent="0.2">
      <c r="A480" s="11"/>
      <c r="B480" s="11"/>
      <c r="C480" s="11"/>
      <c r="D480" s="11"/>
      <c r="M480" s="8"/>
    </row>
    <row r="481" spans="1:13" ht="15.75" customHeight="1" x14ac:dyDescent="0.2">
      <c r="A481" s="11"/>
      <c r="B481" s="11"/>
      <c r="C481" s="11"/>
      <c r="D481" s="11"/>
      <c r="M481" s="8"/>
    </row>
    <row r="482" spans="1:13" ht="15.75" customHeight="1" x14ac:dyDescent="0.2">
      <c r="A482" s="11"/>
      <c r="B482" s="11"/>
      <c r="C482" s="11"/>
      <c r="D482" s="11"/>
      <c r="M482" s="8"/>
    </row>
    <row r="483" spans="1:13" ht="15.75" customHeight="1" x14ac:dyDescent="0.2">
      <c r="A483" s="11"/>
      <c r="B483" s="11"/>
      <c r="C483" s="11"/>
      <c r="D483" s="11"/>
      <c r="M483" s="8"/>
    </row>
    <row r="484" spans="1:13" ht="15.75" customHeight="1" x14ac:dyDescent="0.2">
      <c r="A484" s="11"/>
      <c r="B484" s="11"/>
      <c r="C484" s="11"/>
      <c r="D484" s="11"/>
      <c r="M484" s="8"/>
    </row>
    <row r="485" spans="1:13" ht="15.75" customHeight="1" x14ac:dyDescent="0.2">
      <c r="A485" s="11"/>
      <c r="B485" s="11"/>
      <c r="C485" s="11"/>
      <c r="D485" s="11"/>
      <c r="M485" s="8"/>
    </row>
    <row r="486" spans="1:13" ht="15.75" customHeight="1" x14ac:dyDescent="0.2">
      <c r="A486" s="11"/>
      <c r="B486" s="11"/>
      <c r="C486" s="11"/>
      <c r="D486" s="11"/>
      <c r="M486" s="8"/>
    </row>
    <row r="487" spans="1:13" ht="15.75" customHeight="1" x14ac:dyDescent="0.2">
      <c r="A487" s="11"/>
      <c r="B487" s="11"/>
      <c r="C487" s="11"/>
      <c r="D487" s="11"/>
      <c r="M487" s="8"/>
    </row>
    <row r="488" spans="1:13" ht="15.75" customHeight="1" x14ac:dyDescent="0.2">
      <c r="A488" s="11"/>
      <c r="B488" s="11"/>
      <c r="C488" s="11"/>
      <c r="D488" s="11"/>
      <c r="M488" s="8"/>
    </row>
    <row r="489" spans="1:13" ht="15.75" customHeight="1" x14ac:dyDescent="0.2">
      <c r="A489" s="11"/>
      <c r="B489" s="11"/>
      <c r="C489" s="11"/>
      <c r="D489" s="11"/>
      <c r="M489" s="8"/>
    </row>
    <row r="490" spans="1:13" ht="15.75" customHeight="1" x14ac:dyDescent="0.2">
      <c r="A490" s="11"/>
      <c r="B490" s="11"/>
      <c r="C490" s="11"/>
      <c r="D490" s="11"/>
      <c r="M490" s="8"/>
    </row>
    <row r="491" spans="1:13" ht="15.75" customHeight="1" x14ac:dyDescent="0.2">
      <c r="A491" s="11"/>
      <c r="B491" s="11"/>
      <c r="C491" s="11"/>
      <c r="D491" s="11"/>
      <c r="M491" s="8"/>
    </row>
    <row r="492" spans="1:13" ht="15.75" customHeight="1" x14ac:dyDescent="0.2">
      <c r="A492" s="11"/>
      <c r="B492" s="11"/>
      <c r="C492" s="11"/>
      <c r="D492" s="11"/>
      <c r="M492" s="8"/>
    </row>
    <row r="493" spans="1:13" ht="15.75" customHeight="1" x14ac:dyDescent="0.2">
      <c r="A493" s="11"/>
      <c r="B493" s="11"/>
      <c r="C493" s="11"/>
      <c r="D493" s="11"/>
      <c r="M493" s="8"/>
    </row>
    <row r="494" spans="1:13" ht="15.75" customHeight="1" x14ac:dyDescent="0.2">
      <c r="A494" s="11"/>
      <c r="B494" s="11"/>
      <c r="C494" s="11"/>
      <c r="D494" s="11"/>
      <c r="M494" s="8"/>
    </row>
    <row r="495" spans="1:13" ht="15.75" customHeight="1" x14ac:dyDescent="0.2">
      <c r="A495" s="11"/>
      <c r="B495" s="11"/>
      <c r="C495" s="11"/>
      <c r="D495" s="11"/>
      <c r="M495" s="8"/>
    </row>
    <row r="496" spans="1:13" ht="15.75" customHeight="1" x14ac:dyDescent="0.2">
      <c r="A496" s="11"/>
      <c r="B496" s="11"/>
      <c r="C496" s="11"/>
      <c r="D496" s="11"/>
      <c r="M496" s="8"/>
    </row>
    <row r="497" spans="1:13" ht="15.75" customHeight="1" x14ac:dyDescent="0.2">
      <c r="A497" s="11"/>
      <c r="B497" s="11"/>
      <c r="C497" s="11"/>
      <c r="D497" s="11"/>
      <c r="M497" s="8"/>
    </row>
    <row r="498" spans="1:13" ht="15.75" customHeight="1" x14ac:dyDescent="0.2">
      <c r="A498" s="11"/>
      <c r="B498" s="11"/>
      <c r="C498" s="11"/>
      <c r="D498" s="11"/>
      <c r="M498" s="8"/>
    </row>
    <row r="499" spans="1:13" ht="15.75" customHeight="1" x14ac:dyDescent="0.2">
      <c r="A499" s="11"/>
      <c r="B499" s="11"/>
      <c r="C499" s="11"/>
      <c r="D499" s="11"/>
      <c r="M499" s="8"/>
    </row>
    <row r="500" spans="1:13" ht="15.75" customHeight="1" x14ac:dyDescent="0.2">
      <c r="A500" s="11"/>
      <c r="B500" s="11"/>
      <c r="C500" s="11"/>
      <c r="D500" s="11"/>
      <c r="M500" s="8"/>
    </row>
    <row r="501" spans="1:13" ht="15.75" customHeight="1" x14ac:dyDescent="0.2">
      <c r="A501" s="11"/>
      <c r="B501" s="11"/>
      <c r="C501" s="11"/>
      <c r="D501" s="11"/>
      <c r="M501" s="8"/>
    </row>
    <row r="502" spans="1:13" ht="15.75" customHeight="1" x14ac:dyDescent="0.2">
      <c r="A502" s="11"/>
      <c r="B502" s="11"/>
      <c r="C502" s="11"/>
      <c r="D502" s="11"/>
      <c r="M502" s="8"/>
    </row>
    <row r="503" spans="1:13" ht="15.75" customHeight="1" x14ac:dyDescent="0.2">
      <c r="A503" s="11"/>
      <c r="B503" s="11"/>
      <c r="C503" s="11"/>
      <c r="D503" s="11"/>
      <c r="M503" s="8"/>
    </row>
    <row r="504" spans="1:13" ht="15.75" customHeight="1" x14ac:dyDescent="0.2">
      <c r="A504" s="11"/>
      <c r="B504" s="11"/>
      <c r="C504" s="11"/>
      <c r="D504" s="11"/>
      <c r="M504" s="8"/>
    </row>
    <row r="505" spans="1:13" ht="15.75" customHeight="1" x14ac:dyDescent="0.2">
      <c r="A505" s="11"/>
      <c r="B505" s="11"/>
      <c r="C505" s="11"/>
      <c r="D505" s="11"/>
      <c r="M505" s="8"/>
    </row>
    <row r="506" spans="1:13" ht="15.75" customHeight="1" x14ac:dyDescent="0.2">
      <c r="A506" s="11"/>
      <c r="B506" s="11"/>
      <c r="C506" s="11"/>
      <c r="D506" s="11"/>
      <c r="M506" s="8"/>
    </row>
    <row r="507" spans="1:13" ht="15.75" customHeight="1" x14ac:dyDescent="0.2">
      <c r="A507" s="11"/>
      <c r="B507" s="11"/>
      <c r="C507" s="11"/>
      <c r="D507" s="11"/>
      <c r="M507" s="8"/>
    </row>
    <row r="508" spans="1:13" ht="15.75" customHeight="1" x14ac:dyDescent="0.2">
      <c r="A508" s="11"/>
      <c r="B508" s="11"/>
      <c r="C508" s="11"/>
      <c r="D508" s="11"/>
      <c r="M508" s="8"/>
    </row>
    <row r="509" spans="1:13" ht="15.75" customHeight="1" x14ac:dyDescent="0.2">
      <c r="A509" s="11"/>
      <c r="B509" s="11"/>
      <c r="C509" s="11"/>
      <c r="D509" s="11"/>
      <c r="M509" s="8"/>
    </row>
    <row r="510" spans="1:13" ht="15.75" customHeight="1" x14ac:dyDescent="0.2">
      <c r="A510" s="11"/>
      <c r="B510" s="11"/>
      <c r="C510" s="11"/>
      <c r="D510" s="11"/>
      <c r="M510" s="8"/>
    </row>
    <row r="511" spans="1:13" ht="15.75" customHeight="1" x14ac:dyDescent="0.2">
      <c r="A511" s="11"/>
      <c r="B511" s="11"/>
      <c r="C511" s="11"/>
      <c r="D511" s="11"/>
      <c r="M511" s="8"/>
    </row>
    <row r="512" spans="1:13" ht="15.75" customHeight="1" x14ac:dyDescent="0.2">
      <c r="A512" s="11"/>
      <c r="B512" s="11"/>
      <c r="C512" s="11"/>
      <c r="D512" s="11"/>
      <c r="M512" s="8"/>
    </row>
    <row r="513" spans="1:13" ht="15.75" customHeight="1" x14ac:dyDescent="0.2">
      <c r="A513" s="11"/>
      <c r="B513" s="11"/>
      <c r="C513" s="11"/>
      <c r="D513" s="11"/>
      <c r="M513" s="8"/>
    </row>
    <row r="514" spans="1:13" ht="15.75" customHeight="1" x14ac:dyDescent="0.2">
      <c r="A514" s="11"/>
      <c r="B514" s="11"/>
      <c r="C514" s="11"/>
      <c r="D514" s="11"/>
      <c r="M514" s="8"/>
    </row>
    <row r="515" spans="1:13" ht="15.75" customHeight="1" x14ac:dyDescent="0.2">
      <c r="A515" s="11"/>
      <c r="B515" s="11"/>
      <c r="C515" s="11"/>
      <c r="D515" s="11"/>
      <c r="M515" s="8"/>
    </row>
    <row r="516" spans="1:13" ht="15.75" customHeight="1" x14ac:dyDescent="0.2">
      <c r="A516" s="11"/>
      <c r="B516" s="11"/>
      <c r="C516" s="11"/>
      <c r="D516" s="11"/>
      <c r="M516" s="8"/>
    </row>
    <row r="517" spans="1:13" ht="15.75" customHeight="1" x14ac:dyDescent="0.2">
      <c r="A517" s="11"/>
      <c r="B517" s="11"/>
      <c r="C517" s="11"/>
      <c r="D517" s="11"/>
      <c r="M517" s="8"/>
    </row>
    <row r="518" spans="1:13" ht="15.75" customHeight="1" x14ac:dyDescent="0.2">
      <c r="A518" s="11"/>
      <c r="B518" s="11"/>
      <c r="C518" s="11"/>
      <c r="D518" s="11"/>
      <c r="M518" s="8"/>
    </row>
    <row r="519" spans="1:13" ht="15.75" customHeight="1" x14ac:dyDescent="0.2">
      <c r="A519" s="11"/>
      <c r="B519" s="11"/>
      <c r="C519" s="11"/>
      <c r="D519" s="11"/>
      <c r="M519" s="8"/>
    </row>
    <row r="520" spans="1:13" ht="15.75" customHeight="1" x14ac:dyDescent="0.2">
      <c r="A520" s="11"/>
      <c r="B520" s="11"/>
      <c r="C520" s="11"/>
      <c r="D520" s="11"/>
      <c r="M520" s="8"/>
    </row>
    <row r="521" spans="1:13" ht="15.75" customHeight="1" x14ac:dyDescent="0.2">
      <c r="A521" s="11"/>
      <c r="B521" s="11"/>
      <c r="C521" s="11"/>
      <c r="D521" s="11"/>
      <c r="M521" s="8"/>
    </row>
    <row r="522" spans="1:13" ht="15.75" customHeight="1" x14ac:dyDescent="0.2">
      <c r="A522" s="11"/>
      <c r="B522" s="11"/>
      <c r="C522" s="11"/>
      <c r="D522" s="11"/>
      <c r="M522" s="8"/>
    </row>
    <row r="523" spans="1:13" ht="15.75" customHeight="1" x14ac:dyDescent="0.2">
      <c r="A523" s="11"/>
      <c r="B523" s="11"/>
      <c r="C523" s="11"/>
      <c r="D523" s="11"/>
      <c r="M523" s="8"/>
    </row>
    <row r="524" spans="1:13" ht="15.75" customHeight="1" x14ac:dyDescent="0.2">
      <c r="A524" s="11"/>
      <c r="B524" s="11"/>
      <c r="C524" s="11"/>
      <c r="D524" s="11"/>
      <c r="M524" s="8"/>
    </row>
    <row r="525" spans="1:13" ht="15.75" customHeight="1" x14ac:dyDescent="0.2">
      <c r="A525" s="11"/>
      <c r="B525" s="11"/>
      <c r="C525" s="11"/>
      <c r="D525" s="11"/>
      <c r="M525" s="8"/>
    </row>
    <row r="526" spans="1:13" ht="15.75" customHeight="1" x14ac:dyDescent="0.2">
      <c r="A526" s="11"/>
      <c r="B526" s="11"/>
      <c r="C526" s="11"/>
      <c r="D526" s="11"/>
      <c r="M526" s="8"/>
    </row>
    <row r="527" spans="1:13" ht="15.75" customHeight="1" x14ac:dyDescent="0.2">
      <c r="A527" s="11"/>
      <c r="B527" s="11"/>
      <c r="C527" s="11"/>
      <c r="D527" s="11"/>
      <c r="M527" s="8"/>
    </row>
    <row r="528" spans="1:13" ht="15.75" customHeight="1" x14ac:dyDescent="0.2">
      <c r="A528" s="11"/>
      <c r="B528" s="11"/>
      <c r="C528" s="11"/>
      <c r="D528" s="11"/>
      <c r="M528" s="8"/>
    </row>
    <row r="529" spans="1:13" ht="15.75" customHeight="1" x14ac:dyDescent="0.2">
      <c r="A529" s="11"/>
      <c r="B529" s="11"/>
      <c r="C529" s="11"/>
      <c r="D529" s="11"/>
      <c r="M529" s="8"/>
    </row>
    <row r="530" spans="1:13" ht="15.75" customHeight="1" x14ac:dyDescent="0.2">
      <c r="A530" s="11"/>
      <c r="B530" s="11"/>
      <c r="C530" s="11"/>
      <c r="D530" s="11"/>
      <c r="M530" s="8"/>
    </row>
    <row r="531" spans="1:13" ht="15.75" customHeight="1" x14ac:dyDescent="0.2">
      <c r="A531" s="11"/>
      <c r="B531" s="11"/>
      <c r="C531" s="11"/>
      <c r="D531" s="11"/>
      <c r="M531" s="8"/>
    </row>
    <row r="532" spans="1:13" ht="15.75" customHeight="1" x14ac:dyDescent="0.2">
      <c r="A532" s="11"/>
      <c r="B532" s="11"/>
      <c r="C532" s="11"/>
      <c r="D532" s="11"/>
      <c r="M532" s="8"/>
    </row>
    <row r="533" spans="1:13" ht="15.75" customHeight="1" x14ac:dyDescent="0.2">
      <c r="A533" s="11"/>
      <c r="B533" s="11"/>
      <c r="C533" s="11"/>
      <c r="D533" s="11"/>
      <c r="M533" s="8"/>
    </row>
    <row r="534" spans="1:13" ht="15.75" customHeight="1" x14ac:dyDescent="0.2">
      <c r="A534" s="11"/>
      <c r="B534" s="11"/>
      <c r="C534" s="11"/>
      <c r="D534" s="11"/>
      <c r="M534" s="8"/>
    </row>
    <row r="535" spans="1:13" ht="15.75" customHeight="1" x14ac:dyDescent="0.2">
      <c r="A535" s="11"/>
      <c r="B535" s="11"/>
      <c r="C535" s="11"/>
      <c r="D535" s="11"/>
      <c r="M535" s="8"/>
    </row>
    <row r="536" spans="1:13" ht="15.75" customHeight="1" x14ac:dyDescent="0.2">
      <c r="A536" s="11"/>
      <c r="B536" s="11"/>
      <c r="C536" s="11"/>
      <c r="D536" s="11"/>
      <c r="M536" s="8"/>
    </row>
    <row r="537" spans="1:13" ht="15.75" customHeight="1" x14ac:dyDescent="0.2">
      <c r="A537" s="11"/>
      <c r="B537" s="11"/>
      <c r="C537" s="11"/>
      <c r="D537" s="11"/>
      <c r="M537" s="8"/>
    </row>
    <row r="538" spans="1:13" ht="15.75" customHeight="1" x14ac:dyDescent="0.2">
      <c r="A538" s="11"/>
      <c r="B538" s="11"/>
      <c r="C538" s="11"/>
      <c r="D538" s="11"/>
      <c r="M538" s="8"/>
    </row>
    <row r="539" spans="1:13" ht="15.75" customHeight="1" x14ac:dyDescent="0.2">
      <c r="A539" s="11"/>
      <c r="B539" s="11"/>
      <c r="C539" s="11"/>
      <c r="D539" s="11"/>
      <c r="M539" s="8"/>
    </row>
    <row r="540" spans="1:13" ht="15.75" customHeight="1" x14ac:dyDescent="0.2">
      <c r="A540" s="11"/>
      <c r="B540" s="11"/>
      <c r="C540" s="11"/>
      <c r="D540" s="11"/>
      <c r="M540" s="8"/>
    </row>
    <row r="541" spans="1:13" ht="15.75" customHeight="1" x14ac:dyDescent="0.2">
      <c r="A541" s="11"/>
      <c r="B541" s="11"/>
      <c r="C541" s="11"/>
      <c r="D541" s="11"/>
      <c r="M541" s="8"/>
    </row>
    <row r="542" spans="1:13" ht="15.75" customHeight="1" x14ac:dyDescent="0.2">
      <c r="A542" s="11"/>
      <c r="B542" s="11"/>
      <c r="C542" s="11"/>
      <c r="D542" s="11"/>
      <c r="M542" s="8"/>
    </row>
    <row r="543" spans="1:13" ht="15.75" customHeight="1" x14ac:dyDescent="0.2">
      <c r="A543" s="11"/>
      <c r="B543" s="11"/>
      <c r="C543" s="11"/>
      <c r="D543" s="11"/>
      <c r="M543" s="8"/>
    </row>
    <row r="544" spans="1:13" ht="15.75" customHeight="1" x14ac:dyDescent="0.2">
      <c r="A544" s="11"/>
      <c r="B544" s="11"/>
      <c r="C544" s="11"/>
      <c r="D544" s="11"/>
      <c r="M544" s="8"/>
    </row>
    <row r="545" spans="1:13" ht="15.75" customHeight="1" x14ac:dyDescent="0.2">
      <c r="A545" s="11"/>
      <c r="B545" s="11"/>
      <c r="C545" s="11"/>
      <c r="D545" s="11"/>
      <c r="M545" s="8"/>
    </row>
    <row r="546" spans="1:13" ht="15.75" customHeight="1" x14ac:dyDescent="0.2">
      <c r="A546" s="11"/>
      <c r="B546" s="11"/>
      <c r="C546" s="11"/>
      <c r="D546" s="11"/>
      <c r="M546" s="8"/>
    </row>
    <row r="547" spans="1:13" ht="15.75" customHeight="1" x14ac:dyDescent="0.2">
      <c r="A547" s="11"/>
      <c r="B547" s="11"/>
      <c r="C547" s="11"/>
      <c r="D547" s="11"/>
      <c r="M547" s="8"/>
    </row>
    <row r="548" spans="1:13" ht="15.75" customHeight="1" x14ac:dyDescent="0.2">
      <c r="A548" s="11"/>
      <c r="B548" s="11"/>
      <c r="C548" s="11"/>
      <c r="D548" s="11"/>
      <c r="M548" s="8"/>
    </row>
    <row r="549" spans="1:13" ht="15.75" customHeight="1" x14ac:dyDescent="0.2">
      <c r="A549" s="11"/>
      <c r="B549" s="11"/>
      <c r="C549" s="11"/>
      <c r="D549" s="11"/>
      <c r="M549" s="8"/>
    </row>
    <row r="550" spans="1:13" ht="15.75" customHeight="1" x14ac:dyDescent="0.2">
      <c r="A550" s="11"/>
      <c r="B550" s="11"/>
      <c r="C550" s="11"/>
      <c r="D550" s="11"/>
      <c r="M550" s="8"/>
    </row>
    <row r="551" spans="1:13" ht="15.75" customHeight="1" x14ac:dyDescent="0.2">
      <c r="A551" s="11"/>
      <c r="B551" s="11"/>
      <c r="C551" s="11"/>
      <c r="D551" s="11"/>
      <c r="M551" s="8"/>
    </row>
    <row r="552" spans="1:13" ht="15.75" customHeight="1" x14ac:dyDescent="0.2">
      <c r="A552" s="11"/>
      <c r="B552" s="11"/>
      <c r="C552" s="11"/>
      <c r="D552" s="11"/>
      <c r="M552" s="8"/>
    </row>
    <row r="553" spans="1:13" ht="15.75" customHeight="1" x14ac:dyDescent="0.2">
      <c r="A553" s="11"/>
      <c r="B553" s="11"/>
      <c r="C553" s="11"/>
      <c r="D553" s="11"/>
      <c r="M553" s="8"/>
    </row>
    <row r="554" spans="1:13" ht="15.75" customHeight="1" x14ac:dyDescent="0.2">
      <c r="A554" s="11"/>
      <c r="B554" s="11"/>
      <c r="C554" s="11"/>
      <c r="D554" s="11"/>
      <c r="M554" s="8"/>
    </row>
    <row r="555" spans="1:13" ht="15.75" customHeight="1" x14ac:dyDescent="0.2">
      <c r="A555" s="11"/>
      <c r="B555" s="11"/>
      <c r="C555" s="11"/>
      <c r="D555" s="11"/>
      <c r="M555" s="8"/>
    </row>
    <row r="556" spans="1:13" ht="15.75" customHeight="1" x14ac:dyDescent="0.2">
      <c r="A556" s="11"/>
      <c r="B556" s="11"/>
      <c r="C556" s="11"/>
      <c r="D556" s="11"/>
      <c r="M556" s="8"/>
    </row>
    <row r="557" spans="1:13" ht="15.75" customHeight="1" x14ac:dyDescent="0.2">
      <c r="A557" s="11"/>
      <c r="B557" s="11"/>
      <c r="C557" s="11"/>
      <c r="D557" s="11"/>
      <c r="M557" s="8"/>
    </row>
    <row r="558" spans="1:13" ht="15.75" customHeight="1" x14ac:dyDescent="0.2">
      <c r="A558" s="11"/>
      <c r="B558" s="11"/>
      <c r="C558" s="11"/>
      <c r="D558" s="11"/>
      <c r="M558" s="8"/>
    </row>
    <row r="559" spans="1:13" ht="15.75" customHeight="1" x14ac:dyDescent="0.2">
      <c r="A559" s="11"/>
      <c r="B559" s="11"/>
      <c r="C559" s="11"/>
      <c r="D559" s="11"/>
      <c r="M559" s="8"/>
    </row>
    <row r="560" spans="1:13" ht="15.75" customHeight="1" x14ac:dyDescent="0.2">
      <c r="A560" s="11"/>
      <c r="B560" s="11"/>
      <c r="C560" s="11"/>
      <c r="D560" s="11"/>
      <c r="M560" s="8"/>
    </row>
    <row r="561" spans="1:13" ht="15.75" customHeight="1" x14ac:dyDescent="0.2">
      <c r="A561" s="11"/>
      <c r="B561" s="11"/>
      <c r="C561" s="11"/>
      <c r="D561" s="11"/>
      <c r="M561" s="8"/>
    </row>
    <row r="562" spans="1:13" ht="15.75" customHeight="1" x14ac:dyDescent="0.2">
      <c r="A562" s="11"/>
      <c r="B562" s="11"/>
      <c r="C562" s="11"/>
      <c r="D562" s="11"/>
      <c r="M562" s="8"/>
    </row>
    <row r="563" spans="1:13" ht="15.75" customHeight="1" x14ac:dyDescent="0.2">
      <c r="A563" s="11"/>
      <c r="B563" s="11"/>
      <c r="C563" s="11"/>
      <c r="D563" s="11"/>
      <c r="M563" s="8"/>
    </row>
    <row r="564" spans="1:13" ht="15.75" customHeight="1" x14ac:dyDescent="0.2">
      <c r="A564" s="11"/>
      <c r="B564" s="11"/>
      <c r="C564" s="11"/>
      <c r="D564" s="11"/>
      <c r="M564" s="8"/>
    </row>
    <row r="565" spans="1:13" ht="15.75" customHeight="1" x14ac:dyDescent="0.2">
      <c r="A565" s="11"/>
      <c r="B565" s="11"/>
      <c r="C565" s="11"/>
      <c r="D565" s="11"/>
      <c r="M565" s="8"/>
    </row>
    <row r="566" spans="1:13" ht="15.75" customHeight="1" x14ac:dyDescent="0.2">
      <c r="A566" s="11"/>
      <c r="B566" s="11"/>
      <c r="C566" s="11"/>
      <c r="D566" s="11"/>
      <c r="M566" s="8"/>
    </row>
    <row r="567" spans="1:13" ht="15.75" customHeight="1" x14ac:dyDescent="0.2">
      <c r="A567" s="11"/>
      <c r="B567" s="11"/>
      <c r="C567" s="11"/>
      <c r="D567" s="11"/>
      <c r="M567" s="8"/>
    </row>
    <row r="568" spans="1:13" ht="15.75" customHeight="1" x14ac:dyDescent="0.2">
      <c r="A568" s="11"/>
      <c r="B568" s="11"/>
      <c r="C568" s="11"/>
      <c r="D568" s="11"/>
      <c r="M568" s="8"/>
    </row>
    <row r="569" spans="1:13" ht="15.75" customHeight="1" x14ac:dyDescent="0.2">
      <c r="A569" s="11"/>
      <c r="B569" s="11"/>
      <c r="C569" s="11"/>
      <c r="D569" s="11"/>
      <c r="M569" s="8"/>
    </row>
    <row r="570" spans="1:13" ht="15.75" customHeight="1" x14ac:dyDescent="0.2">
      <c r="A570" s="11"/>
      <c r="B570" s="11"/>
      <c r="C570" s="11"/>
      <c r="D570" s="11"/>
      <c r="M570" s="8"/>
    </row>
    <row r="571" spans="1:13" ht="15.75" customHeight="1" x14ac:dyDescent="0.2">
      <c r="A571" s="11"/>
      <c r="B571" s="11"/>
      <c r="C571" s="11"/>
      <c r="D571" s="11"/>
      <c r="M571" s="8"/>
    </row>
    <row r="572" spans="1:13" ht="15.75" customHeight="1" x14ac:dyDescent="0.2">
      <c r="A572" s="11"/>
      <c r="B572" s="11"/>
      <c r="C572" s="11"/>
      <c r="D572" s="11"/>
      <c r="M572" s="8"/>
    </row>
    <row r="573" spans="1:13" ht="15.75" customHeight="1" x14ac:dyDescent="0.2">
      <c r="A573" s="11"/>
      <c r="B573" s="11"/>
      <c r="C573" s="11"/>
      <c r="D573" s="11"/>
      <c r="M573" s="8"/>
    </row>
    <row r="574" spans="1:13" ht="15.75" customHeight="1" x14ac:dyDescent="0.2">
      <c r="A574" s="11"/>
      <c r="B574" s="11"/>
      <c r="C574" s="11"/>
      <c r="D574" s="11"/>
      <c r="M574" s="8"/>
    </row>
    <row r="575" spans="1:13" ht="15.75" customHeight="1" x14ac:dyDescent="0.2">
      <c r="A575" s="11"/>
      <c r="B575" s="11"/>
      <c r="C575" s="11"/>
      <c r="D575" s="11"/>
      <c r="M575" s="8"/>
    </row>
    <row r="576" spans="1:13" ht="15.75" customHeight="1" x14ac:dyDescent="0.2">
      <c r="A576" s="11"/>
      <c r="B576" s="11"/>
      <c r="C576" s="11"/>
      <c r="D576" s="11"/>
      <c r="M576" s="8"/>
    </row>
    <row r="577" spans="1:13" ht="15.75" customHeight="1" x14ac:dyDescent="0.2">
      <c r="A577" s="11"/>
      <c r="B577" s="11"/>
      <c r="C577" s="11"/>
      <c r="D577" s="11"/>
      <c r="M577" s="8"/>
    </row>
    <row r="578" spans="1:13" ht="15.75" customHeight="1" x14ac:dyDescent="0.2">
      <c r="A578" s="11"/>
      <c r="B578" s="11"/>
      <c r="C578" s="11"/>
      <c r="D578" s="11"/>
      <c r="M578" s="8"/>
    </row>
    <row r="579" spans="1:13" ht="15.75" customHeight="1" x14ac:dyDescent="0.2">
      <c r="A579" s="11"/>
      <c r="B579" s="11"/>
      <c r="C579" s="11"/>
      <c r="D579" s="11"/>
      <c r="M579" s="8"/>
    </row>
    <row r="580" spans="1:13" ht="15.75" customHeight="1" x14ac:dyDescent="0.2">
      <c r="A580" s="11"/>
      <c r="B580" s="11"/>
      <c r="C580" s="11"/>
      <c r="D580" s="11"/>
      <c r="M580" s="8"/>
    </row>
    <row r="581" spans="1:13" ht="15.75" customHeight="1" x14ac:dyDescent="0.2">
      <c r="A581" s="11"/>
      <c r="B581" s="11"/>
      <c r="C581" s="11"/>
      <c r="D581" s="11"/>
      <c r="M581" s="8"/>
    </row>
    <row r="582" spans="1:13" ht="15.75" customHeight="1" x14ac:dyDescent="0.2">
      <c r="A582" s="11"/>
      <c r="B582" s="11"/>
      <c r="C582" s="11"/>
      <c r="D582" s="11"/>
      <c r="M582" s="8"/>
    </row>
    <row r="583" spans="1:13" ht="15.75" customHeight="1" x14ac:dyDescent="0.2">
      <c r="A583" s="11"/>
      <c r="B583" s="11"/>
      <c r="C583" s="11"/>
      <c r="D583" s="11"/>
      <c r="M583" s="8"/>
    </row>
    <row r="584" spans="1:13" ht="15.75" customHeight="1" x14ac:dyDescent="0.2">
      <c r="A584" s="11"/>
      <c r="B584" s="11"/>
      <c r="C584" s="11"/>
      <c r="D584" s="11"/>
      <c r="M584" s="8"/>
    </row>
    <row r="585" spans="1:13" ht="15.75" customHeight="1" x14ac:dyDescent="0.2">
      <c r="A585" s="11"/>
      <c r="B585" s="11"/>
      <c r="C585" s="11"/>
      <c r="D585" s="11"/>
      <c r="M585" s="8"/>
    </row>
    <row r="586" spans="1:13" ht="15.75" customHeight="1" x14ac:dyDescent="0.2">
      <c r="A586" s="11"/>
      <c r="B586" s="11"/>
      <c r="C586" s="11"/>
      <c r="D586" s="11"/>
      <c r="M586" s="8"/>
    </row>
    <row r="587" spans="1:13" ht="15.75" customHeight="1" x14ac:dyDescent="0.2">
      <c r="A587" s="11"/>
      <c r="B587" s="11"/>
      <c r="C587" s="11"/>
      <c r="D587" s="11"/>
      <c r="M587" s="8"/>
    </row>
    <row r="588" spans="1:13" ht="15.75" customHeight="1" x14ac:dyDescent="0.2">
      <c r="A588" s="11"/>
      <c r="B588" s="11"/>
      <c r="C588" s="11"/>
      <c r="D588" s="11"/>
      <c r="M588" s="8"/>
    </row>
    <row r="589" spans="1:13" ht="15.75" customHeight="1" x14ac:dyDescent="0.2">
      <c r="A589" s="11"/>
      <c r="B589" s="11"/>
      <c r="C589" s="11"/>
      <c r="D589" s="11"/>
      <c r="M589" s="8"/>
    </row>
    <row r="590" spans="1:13" ht="15.75" customHeight="1" x14ac:dyDescent="0.2">
      <c r="A590" s="11"/>
      <c r="B590" s="11"/>
      <c r="C590" s="11"/>
      <c r="D590" s="11"/>
      <c r="M590" s="8"/>
    </row>
    <row r="591" spans="1:13" ht="15.75" customHeight="1" x14ac:dyDescent="0.2">
      <c r="A591" s="11"/>
      <c r="B591" s="11"/>
      <c r="C591" s="11"/>
      <c r="D591" s="11"/>
      <c r="M591" s="8"/>
    </row>
    <row r="592" spans="1:13" ht="15.75" customHeight="1" x14ac:dyDescent="0.2">
      <c r="A592" s="11"/>
      <c r="B592" s="11"/>
      <c r="C592" s="11"/>
      <c r="D592" s="11"/>
      <c r="M592" s="8"/>
    </row>
    <row r="593" spans="1:13" ht="15.75" customHeight="1" x14ac:dyDescent="0.2">
      <c r="A593" s="11"/>
      <c r="B593" s="11"/>
      <c r="C593" s="11"/>
      <c r="D593" s="11"/>
      <c r="M593" s="8"/>
    </row>
    <row r="594" spans="1:13" ht="15.75" customHeight="1" x14ac:dyDescent="0.2">
      <c r="A594" s="11"/>
      <c r="B594" s="11"/>
      <c r="C594" s="11"/>
      <c r="D594" s="11"/>
      <c r="M594" s="8"/>
    </row>
    <row r="595" spans="1:13" ht="15.75" customHeight="1" x14ac:dyDescent="0.2">
      <c r="A595" s="11"/>
      <c r="B595" s="11"/>
      <c r="C595" s="11"/>
      <c r="D595" s="11"/>
      <c r="M595" s="8"/>
    </row>
    <row r="596" spans="1:13" ht="15.75" customHeight="1" x14ac:dyDescent="0.2">
      <c r="A596" s="11"/>
      <c r="B596" s="11"/>
      <c r="C596" s="11"/>
      <c r="D596" s="11"/>
      <c r="M596" s="8"/>
    </row>
    <row r="597" spans="1:13" ht="15.75" customHeight="1" x14ac:dyDescent="0.2">
      <c r="A597" s="11"/>
      <c r="B597" s="11"/>
      <c r="C597" s="11"/>
      <c r="D597" s="11"/>
      <c r="M597" s="8"/>
    </row>
    <row r="598" spans="1:13" ht="15.75" customHeight="1" x14ac:dyDescent="0.2">
      <c r="A598" s="11"/>
      <c r="B598" s="11"/>
      <c r="C598" s="11"/>
      <c r="D598" s="11"/>
      <c r="M598" s="8"/>
    </row>
    <row r="599" spans="1:13" ht="15.75" customHeight="1" x14ac:dyDescent="0.2">
      <c r="A599" s="11"/>
      <c r="B599" s="11"/>
      <c r="C599" s="11"/>
      <c r="D599" s="11"/>
      <c r="M599" s="8"/>
    </row>
    <row r="600" spans="1:13" ht="15.75" customHeight="1" x14ac:dyDescent="0.2">
      <c r="A600" s="11"/>
      <c r="B600" s="11"/>
      <c r="C600" s="11"/>
      <c r="D600" s="11"/>
      <c r="M600" s="8"/>
    </row>
    <row r="601" spans="1:13" ht="15.75" customHeight="1" x14ac:dyDescent="0.2">
      <c r="A601" s="11"/>
      <c r="B601" s="11"/>
      <c r="C601" s="11"/>
      <c r="D601" s="11"/>
      <c r="M601" s="8"/>
    </row>
    <row r="602" spans="1:13" ht="15.75" customHeight="1" x14ac:dyDescent="0.2">
      <c r="A602" s="11"/>
      <c r="B602" s="11"/>
      <c r="C602" s="11"/>
      <c r="D602" s="11"/>
      <c r="M602" s="8"/>
    </row>
    <row r="603" spans="1:13" ht="15.75" customHeight="1" x14ac:dyDescent="0.2">
      <c r="A603" s="11"/>
      <c r="B603" s="11"/>
      <c r="C603" s="11"/>
      <c r="D603" s="11"/>
      <c r="M603" s="8"/>
    </row>
    <row r="604" spans="1:13" ht="15.75" customHeight="1" x14ac:dyDescent="0.2">
      <c r="A604" s="11"/>
      <c r="B604" s="11"/>
      <c r="C604" s="11"/>
      <c r="D604" s="11"/>
      <c r="M604" s="8"/>
    </row>
    <row r="605" spans="1:13" ht="15.75" customHeight="1" x14ac:dyDescent="0.2">
      <c r="A605" s="11"/>
      <c r="B605" s="11"/>
      <c r="C605" s="11"/>
      <c r="D605" s="11"/>
      <c r="M605" s="8"/>
    </row>
    <row r="606" spans="1:13" ht="15.75" customHeight="1" x14ac:dyDescent="0.2">
      <c r="A606" s="11"/>
      <c r="B606" s="11"/>
      <c r="C606" s="11"/>
      <c r="D606" s="11"/>
      <c r="M606" s="8"/>
    </row>
    <row r="607" spans="1:13" ht="15.75" customHeight="1" x14ac:dyDescent="0.2">
      <c r="A607" s="11"/>
      <c r="B607" s="11"/>
      <c r="C607" s="11"/>
      <c r="D607" s="11"/>
      <c r="M607" s="8"/>
    </row>
    <row r="608" spans="1:13" ht="15.75" customHeight="1" x14ac:dyDescent="0.2">
      <c r="A608" s="11"/>
      <c r="B608" s="11"/>
      <c r="C608" s="11"/>
      <c r="D608" s="11"/>
      <c r="M608" s="8"/>
    </row>
    <row r="609" spans="1:13" ht="15.75" customHeight="1" x14ac:dyDescent="0.2">
      <c r="A609" s="11"/>
      <c r="B609" s="11"/>
      <c r="C609" s="11"/>
      <c r="D609" s="11"/>
      <c r="M609" s="8"/>
    </row>
    <row r="610" spans="1:13" ht="15.75" customHeight="1" x14ac:dyDescent="0.2">
      <c r="A610" s="11"/>
      <c r="B610" s="11"/>
      <c r="C610" s="11"/>
      <c r="D610" s="11"/>
      <c r="M610" s="8"/>
    </row>
    <row r="611" spans="1:13" ht="15.75" customHeight="1" x14ac:dyDescent="0.2">
      <c r="A611" s="11"/>
      <c r="B611" s="11"/>
      <c r="C611" s="11"/>
      <c r="D611" s="11"/>
      <c r="M611" s="8"/>
    </row>
    <row r="612" spans="1:13" ht="15.75" customHeight="1" x14ac:dyDescent="0.2">
      <c r="A612" s="11"/>
      <c r="B612" s="11"/>
      <c r="C612" s="11"/>
      <c r="D612" s="11"/>
      <c r="M612" s="8"/>
    </row>
    <row r="613" spans="1:13" ht="15.75" customHeight="1" x14ac:dyDescent="0.2">
      <c r="A613" s="11"/>
      <c r="B613" s="11"/>
      <c r="C613" s="11"/>
      <c r="D613" s="11"/>
      <c r="M613" s="8"/>
    </row>
    <row r="614" spans="1:13" ht="15.75" customHeight="1" x14ac:dyDescent="0.2">
      <c r="A614" s="11"/>
      <c r="B614" s="11"/>
      <c r="C614" s="11"/>
      <c r="D614" s="11"/>
      <c r="M614" s="8"/>
    </row>
    <row r="615" spans="1:13" ht="15.75" customHeight="1" x14ac:dyDescent="0.2">
      <c r="A615" s="11"/>
      <c r="B615" s="11"/>
      <c r="C615" s="11"/>
      <c r="D615" s="11"/>
      <c r="M615" s="8"/>
    </row>
    <row r="616" spans="1:13" ht="15.75" customHeight="1" x14ac:dyDescent="0.2">
      <c r="A616" s="11"/>
      <c r="B616" s="11"/>
      <c r="C616" s="11"/>
      <c r="D616" s="11"/>
      <c r="M616" s="8"/>
    </row>
    <row r="617" spans="1:13" ht="15.75" customHeight="1" x14ac:dyDescent="0.2">
      <c r="A617" s="11"/>
      <c r="B617" s="11"/>
      <c r="C617" s="11"/>
      <c r="D617" s="11"/>
      <c r="M617" s="8"/>
    </row>
    <row r="618" spans="1:13" ht="15.75" customHeight="1" x14ac:dyDescent="0.2">
      <c r="A618" s="11"/>
      <c r="B618" s="11"/>
      <c r="C618" s="11"/>
      <c r="D618" s="11"/>
      <c r="M618" s="8"/>
    </row>
    <row r="619" spans="1:13" ht="15.75" customHeight="1" x14ac:dyDescent="0.2">
      <c r="A619" s="11"/>
      <c r="B619" s="11"/>
      <c r="C619" s="11"/>
      <c r="D619" s="11"/>
      <c r="M619" s="8"/>
    </row>
    <row r="620" spans="1:13" ht="15.75" customHeight="1" x14ac:dyDescent="0.2">
      <c r="A620" s="11"/>
      <c r="B620" s="11"/>
      <c r="C620" s="11"/>
      <c r="D620" s="11"/>
      <c r="M620" s="8"/>
    </row>
    <row r="621" spans="1:13" ht="15.75" customHeight="1" x14ac:dyDescent="0.2">
      <c r="A621" s="11"/>
      <c r="B621" s="11"/>
      <c r="C621" s="11"/>
      <c r="D621" s="11"/>
      <c r="M621" s="8"/>
    </row>
    <row r="622" spans="1:13" ht="15.75" customHeight="1" x14ac:dyDescent="0.2">
      <c r="A622" s="11"/>
      <c r="B622" s="11"/>
      <c r="C622" s="11"/>
      <c r="D622" s="11"/>
      <c r="M622" s="8"/>
    </row>
    <row r="623" spans="1:13" ht="15.75" customHeight="1" x14ac:dyDescent="0.2">
      <c r="A623" s="11"/>
      <c r="B623" s="11"/>
      <c r="C623" s="11"/>
      <c r="D623" s="11"/>
      <c r="M623" s="8"/>
    </row>
    <row r="624" spans="1:13" ht="15.75" customHeight="1" x14ac:dyDescent="0.2">
      <c r="A624" s="11"/>
      <c r="B624" s="11"/>
      <c r="C624" s="11"/>
      <c r="D624" s="11"/>
      <c r="M624" s="8"/>
    </row>
    <row r="625" spans="1:13" ht="15.75" customHeight="1" x14ac:dyDescent="0.2">
      <c r="A625" s="11"/>
      <c r="B625" s="11"/>
      <c r="C625" s="11"/>
      <c r="D625" s="11"/>
      <c r="M625" s="8"/>
    </row>
    <row r="626" spans="1:13" ht="15.75" customHeight="1" x14ac:dyDescent="0.2">
      <c r="A626" s="11"/>
      <c r="B626" s="11"/>
      <c r="C626" s="11"/>
      <c r="D626" s="11"/>
      <c r="M626" s="8"/>
    </row>
    <row r="627" spans="1:13" ht="15.75" customHeight="1" x14ac:dyDescent="0.2">
      <c r="A627" s="11"/>
      <c r="B627" s="11"/>
      <c r="C627" s="11"/>
      <c r="D627" s="11"/>
      <c r="M627" s="8"/>
    </row>
    <row r="628" spans="1:13" ht="15.75" customHeight="1" x14ac:dyDescent="0.2">
      <c r="A628" s="11"/>
      <c r="B628" s="11"/>
      <c r="C628" s="11"/>
      <c r="D628" s="11"/>
      <c r="M628" s="8"/>
    </row>
    <row r="629" spans="1:13" ht="15.75" customHeight="1" x14ac:dyDescent="0.2">
      <c r="A629" s="11"/>
      <c r="B629" s="11"/>
      <c r="C629" s="11"/>
      <c r="D629" s="11"/>
      <c r="M629" s="8"/>
    </row>
    <row r="630" spans="1:13" ht="15.75" customHeight="1" x14ac:dyDescent="0.2">
      <c r="A630" s="11"/>
      <c r="B630" s="11"/>
      <c r="C630" s="11"/>
      <c r="D630" s="11"/>
      <c r="M630" s="8"/>
    </row>
    <row r="631" spans="1:13" ht="15.75" customHeight="1" x14ac:dyDescent="0.2">
      <c r="A631" s="11"/>
      <c r="B631" s="11"/>
      <c r="C631" s="11"/>
      <c r="D631" s="11"/>
      <c r="M631" s="8"/>
    </row>
    <row r="632" spans="1:13" ht="15.75" customHeight="1" x14ac:dyDescent="0.2">
      <c r="A632" s="11"/>
      <c r="B632" s="11"/>
      <c r="C632" s="11"/>
      <c r="D632" s="11"/>
      <c r="M632" s="8"/>
    </row>
    <row r="633" spans="1:13" ht="15.75" customHeight="1" x14ac:dyDescent="0.2">
      <c r="A633" s="11"/>
      <c r="B633" s="11"/>
      <c r="C633" s="11"/>
      <c r="D633" s="11"/>
      <c r="M633" s="8"/>
    </row>
    <row r="634" spans="1:13" ht="15.75" customHeight="1" x14ac:dyDescent="0.2">
      <c r="A634" s="11"/>
      <c r="B634" s="11"/>
      <c r="C634" s="11"/>
      <c r="D634" s="11"/>
      <c r="M634" s="8"/>
    </row>
    <row r="635" spans="1:13" ht="15.75" customHeight="1" x14ac:dyDescent="0.2">
      <c r="A635" s="11"/>
      <c r="B635" s="11"/>
      <c r="C635" s="11"/>
      <c r="D635" s="11"/>
      <c r="M635" s="8"/>
    </row>
    <row r="636" spans="1:13" ht="15.75" customHeight="1" x14ac:dyDescent="0.2">
      <c r="A636" s="11"/>
      <c r="B636" s="11"/>
      <c r="C636" s="11"/>
      <c r="D636" s="11"/>
      <c r="M636" s="8"/>
    </row>
    <row r="637" spans="1:13" ht="15.75" customHeight="1" x14ac:dyDescent="0.2">
      <c r="A637" s="11"/>
      <c r="B637" s="11"/>
      <c r="C637" s="11"/>
      <c r="D637" s="11"/>
      <c r="M637" s="8"/>
    </row>
    <row r="638" spans="1:13" ht="15.75" customHeight="1" x14ac:dyDescent="0.2">
      <c r="A638" s="11"/>
      <c r="B638" s="11"/>
      <c r="C638" s="11"/>
      <c r="D638" s="11"/>
      <c r="M638" s="8"/>
    </row>
    <row r="639" spans="1:13" ht="15.75" customHeight="1" x14ac:dyDescent="0.2">
      <c r="A639" s="11"/>
      <c r="B639" s="11"/>
      <c r="C639" s="11"/>
      <c r="D639" s="11"/>
      <c r="M639" s="8"/>
    </row>
    <row r="640" spans="1:13" ht="15.75" customHeight="1" x14ac:dyDescent="0.2">
      <c r="A640" s="11"/>
      <c r="B640" s="11"/>
      <c r="C640" s="11"/>
      <c r="D640" s="11"/>
      <c r="M640" s="8"/>
    </row>
    <row r="641" spans="1:13" ht="15.75" customHeight="1" x14ac:dyDescent="0.2">
      <c r="A641" s="11"/>
      <c r="B641" s="11"/>
      <c r="C641" s="11"/>
      <c r="D641" s="11"/>
      <c r="M641" s="8"/>
    </row>
    <row r="642" spans="1:13" ht="15.75" customHeight="1" x14ac:dyDescent="0.2">
      <c r="A642" s="11"/>
      <c r="B642" s="11"/>
      <c r="C642" s="11"/>
      <c r="D642" s="11"/>
      <c r="M642" s="8"/>
    </row>
    <row r="643" spans="1:13" ht="15.75" customHeight="1" x14ac:dyDescent="0.2">
      <c r="A643" s="11"/>
      <c r="B643" s="11"/>
      <c r="C643" s="11"/>
      <c r="D643" s="11"/>
      <c r="M643" s="8"/>
    </row>
    <row r="644" spans="1:13" ht="15.75" customHeight="1" x14ac:dyDescent="0.2">
      <c r="A644" s="11"/>
      <c r="B644" s="11"/>
      <c r="C644" s="11"/>
      <c r="D644" s="11"/>
      <c r="M644" s="8"/>
    </row>
    <row r="645" spans="1:13" ht="15.75" customHeight="1" x14ac:dyDescent="0.2">
      <c r="A645" s="11"/>
      <c r="B645" s="11"/>
      <c r="C645" s="11"/>
      <c r="D645" s="11"/>
      <c r="M645" s="8"/>
    </row>
    <row r="646" spans="1:13" ht="15.75" customHeight="1" x14ac:dyDescent="0.2">
      <c r="A646" s="11"/>
      <c r="B646" s="11"/>
      <c r="C646" s="11"/>
      <c r="D646" s="11"/>
      <c r="M646" s="8"/>
    </row>
    <row r="647" spans="1:13" ht="15.75" customHeight="1" x14ac:dyDescent="0.2">
      <c r="A647" s="11"/>
      <c r="B647" s="11"/>
      <c r="C647" s="11"/>
      <c r="D647" s="11"/>
      <c r="M647" s="8"/>
    </row>
    <row r="648" spans="1:13" ht="15.75" customHeight="1" x14ac:dyDescent="0.2">
      <c r="A648" s="11"/>
      <c r="B648" s="11"/>
      <c r="C648" s="11"/>
      <c r="D648" s="11"/>
      <c r="M648" s="8"/>
    </row>
    <row r="649" spans="1:13" ht="15.75" customHeight="1" x14ac:dyDescent="0.2">
      <c r="A649" s="11"/>
      <c r="B649" s="11"/>
      <c r="C649" s="11"/>
      <c r="D649" s="11"/>
      <c r="M649" s="8"/>
    </row>
    <row r="650" spans="1:13" ht="15.75" customHeight="1" x14ac:dyDescent="0.2">
      <c r="A650" s="11"/>
      <c r="B650" s="11"/>
      <c r="C650" s="11"/>
      <c r="D650" s="11"/>
      <c r="M650" s="8"/>
    </row>
    <row r="651" spans="1:13" ht="15.75" customHeight="1" x14ac:dyDescent="0.2">
      <c r="A651" s="11"/>
      <c r="B651" s="11"/>
      <c r="C651" s="11"/>
      <c r="D651" s="11"/>
      <c r="M651" s="8"/>
    </row>
    <row r="652" spans="1:13" ht="15.75" customHeight="1" x14ac:dyDescent="0.2">
      <c r="A652" s="11"/>
      <c r="B652" s="11"/>
      <c r="C652" s="11"/>
      <c r="D652" s="11"/>
      <c r="M652" s="8"/>
    </row>
    <row r="653" spans="1:13" ht="15.75" customHeight="1" x14ac:dyDescent="0.2">
      <c r="A653" s="11"/>
      <c r="B653" s="11"/>
      <c r="C653" s="11"/>
      <c r="D653" s="11"/>
      <c r="M653" s="8"/>
    </row>
    <row r="654" spans="1:13" ht="15.75" customHeight="1" x14ac:dyDescent="0.2">
      <c r="A654" s="11"/>
      <c r="B654" s="11"/>
      <c r="C654" s="11"/>
      <c r="D654" s="11"/>
      <c r="M654" s="8"/>
    </row>
    <row r="655" spans="1:13" ht="15.75" customHeight="1" x14ac:dyDescent="0.2">
      <c r="A655" s="11"/>
      <c r="B655" s="11"/>
      <c r="C655" s="11"/>
      <c r="D655" s="11"/>
      <c r="M655" s="8"/>
    </row>
    <row r="656" spans="1:13" ht="15.75" customHeight="1" x14ac:dyDescent="0.2">
      <c r="A656" s="11"/>
      <c r="B656" s="11"/>
      <c r="C656" s="11"/>
      <c r="D656" s="11"/>
      <c r="M656" s="8"/>
    </row>
    <row r="657" spans="1:13" ht="15.75" customHeight="1" x14ac:dyDescent="0.2">
      <c r="A657" s="11"/>
      <c r="B657" s="11"/>
      <c r="C657" s="11"/>
      <c r="D657" s="11"/>
      <c r="M657" s="8"/>
    </row>
    <row r="658" spans="1:13" ht="15.75" customHeight="1" x14ac:dyDescent="0.2">
      <c r="A658" s="11"/>
      <c r="B658" s="11"/>
      <c r="C658" s="11"/>
      <c r="D658" s="11"/>
      <c r="M658" s="8"/>
    </row>
    <row r="659" spans="1:13" ht="15.75" customHeight="1" x14ac:dyDescent="0.2">
      <c r="A659" s="11"/>
      <c r="B659" s="11"/>
      <c r="C659" s="11"/>
      <c r="D659" s="11"/>
      <c r="M659" s="8"/>
    </row>
    <row r="660" spans="1:13" ht="15.75" customHeight="1" x14ac:dyDescent="0.2">
      <c r="A660" s="11"/>
      <c r="B660" s="11"/>
      <c r="C660" s="11"/>
      <c r="D660" s="11"/>
      <c r="M660" s="8"/>
    </row>
    <row r="661" spans="1:13" ht="15.75" customHeight="1" x14ac:dyDescent="0.2">
      <c r="A661" s="11"/>
      <c r="B661" s="11"/>
      <c r="C661" s="11"/>
      <c r="D661" s="11"/>
      <c r="M661" s="8"/>
    </row>
    <row r="662" spans="1:13" ht="15.75" customHeight="1" x14ac:dyDescent="0.2">
      <c r="A662" s="11"/>
      <c r="B662" s="11"/>
      <c r="C662" s="11"/>
      <c r="D662" s="11"/>
      <c r="M662" s="8"/>
    </row>
    <row r="663" spans="1:13" ht="15.75" customHeight="1" x14ac:dyDescent="0.2">
      <c r="A663" s="11"/>
      <c r="B663" s="11"/>
      <c r="C663" s="11"/>
      <c r="D663" s="11"/>
      <c r="M663" s="8"/>
    </row>
    <row r="664" spans="1:13" ht="15.75" customHeight="1" x14ac:dyDescent="0.2">
      <c r="A664" s="11"/>
      <c r="B664" s="11"/>
      <c r="C664" s="11"/>
      <c r="D664" s="11"/>
      <c r="M664" s="8"/>
    </row>
    <row r="665" spans="1:13" ht="15.75" customHeight="1" x14ac:dyDescent="0.2">
      <c r="A665" s="11"/>
      <c r="B665" s="11"/>
      <c r="C665" s="11"/>
      <c r="D665" s="11"/>
      <c r="M665" s="8"/>
    </row>
    <row r="666" spans="1:13" ht="15.75" customHeight="1" x14ac:dyDescent="0.2">
      <c r="A666" s="11"/>
      <c r="B666" s="11"/>
      <c r="C666" s="11"/>
      <c r="D666" s="11"/>
      <c r="M666" s="8"/>
    </row>
    <row r="667" spans="1:13" ht="15.75" customHeight="1" x14ac:dyDescent="0.2">
      <c r="A667" s="11"/>
      <c r="B667" s="11"/>
      <c r="C667" s="11"/>
      <c r="D667" s="11"/>
      <c r="M667" s="8"/>
    </row>
    <row r="668" spans="1:13" ht="15.75" customHeight="1" x14ac:dyDescent="0.2">
      <c r="A668" s="11"/>
      <c r="B668" s="11"/>
      <c r="C668" s="11"/>
      <c r="D668" s="11"/>
      <c r="M668" s="8"/>
    </row>
    <row r="669" spans="1:13" ht="15.75" customHeight="1" x14ac:dyDescent="0.2">
      <c r="A669" s="11"/>
      <c r="B669" s="11"/>
      <c r="C669" s="11"/>
      <c r="D669" s="11"/>
      <c r="M669" s="8"/>
    </row>
    <row r="670" spans="1:13" ht="15.75" customHeight="1" x14ac:dyDescent="0.2">
      <c r="A670" s="11"/>
      <c r="B670" s="11"/>
      <c r="C670" s="11"/>
      <c r="D670" s="11"/>
      <c r="M670" s="8"/>
    </row>
    <row r="671" spans="1:13" ht="15.75" customHeight="1" x14ac:dyDescent="0.2">
      <c r="A671" s="11"/>
      <c r="B671" s="11"/>
      <c r="C671" s="11"/>
      <c r="D671" s="11"/>
      <c r="M671" s="8"/>
    </row>
    <row r="672" spans="1:13" ht="15.75" customHeight="1" x14ac:dyDescent="0.2">
      <c r="A672" s="11"/>
      <c r="B672" s="11"/>
      <c r="C672" s="11"/>
      <c r="D672" s="11"/>
      <c r="M672" s="8"/>
    </row>
    <row r="673" spans="1:13" ht="15.75" customHeight="1" x14ac:dyDescent="0.2">
      <c r="A673" s="11"/>
      <c r="B673" s="11"/>
      <c r="C673" s="11"/>
      <c r="D673" s="11"/>
      <c r="M673" s="8"/>
    </row>
    <row r="674" spans="1:13" ht="15.75" customHeight="1" x14ac:dyDescent="0.2">
      <c r="A674" s="11"/>
      <c r="B674" s="11"/>
      <c r="C674" s="11"/>
      <c r="D674" s="11"/>
      <c r="M674" s="8"/>
    </row>
    <row r="675" spans="1:13" ht="15.75" customHeight="1" x14ac:dyDescent="0.2">
      <c r="A675" s="11"/>
      <c r="B675" s="11"/>
      <c r="C675" s="11"/>
      <c r="D675" s="11"/>
      <c r="M675" s="8"/>
    </row>
    <row r="676" spans="1:13" ht="15.75" customHeight="1" x14ac:dyDescent="0.2">
      <c r="A676" s="11"/>
      <c r="B676" s="11"/>
      <c r="C676" s="11"/>
      <c r="D676" s="11"/>
      <c r="M676" s="8"/>
    </row>
    <row r="677" spans="1:13" ht="15.75" customHeight="1" x14ac:dyDescent="0.2">
      <c r="A677" s="11"/>
      <c r="B677" s="11"/>
      <c r="C677" s="11"/>
      <c r="D677" s="11"/>
      <c r="M677" s="8"/>
    </row>
    <row r="678" spans="1:13" ht="15.75" customHeight="1" x14ac:dyDescent="0.2">
      <c r="A678" s="11"/>
      <c r="B678" s="11"/>
      <c r="C678" s="11"/>
      <c r="D678" s="11"/>
      <c r="M678" s="8"/>
    </row>
    <row r="679" spans="1:13" ht="15.75" customHeight="1" x14ac:dyDescent="0.2">
      <c r="A679" s="11"/>
      <c r="B679" s="11"/>
      <c r="C679" s="11"/>
      <c r="D679" s="11"/>
      <c r="M679" s="8"/>
    </row>
    <row r="680" spans="1:13" ht="15.75" customHeight="1" x14ac:dyDescent="0.2">
      <c r="A680" s="11"/>
      <c r="B680" s="11"/>
      <c r="C680" s="11"/>
      <c r="D680" s="11"/>
      <c r="M680" s="8"/>
    </row>
    <row r="681" spans="1:13" ht="15.75" customHeight="1" x14ac:dyDescent="0.2">
      <c r="A681" s="11"/>
      <c r="B681" s="11"/>
      <c r="C681" s="11"/>
      <c r="D681" s="11"/>
      <c r="M681" s="8"/>
    </row>
    <row r="682" spans="1:13" ht="15.75" customHeight="1" x14ac:dyDescent="0.2">
      <c r="A682" s="11"/>
      <c r="B682" s="11"/>
      <c r="C682" s="11"/>
      <c r="D682" s="11"/>
      <c r="M682" s="8"/>
    </row>
    <row r="683" spans="1:13" ht="15.75" customHeight="1" x14ac:dyDescent="0.2">
      <c r="A683" s="11"/>
      <c r="B683" s="11"/>
      <c r="C683" s="11"/>
      <c r="D683" s="11"/>
      <c r="M683" s="8"/>
    </row>
    <row r="684" spans="1:13" ht="15.75" customHeight="1" x14ac:dyDescent="0.2">
      <c r="A684" s="11"/>
      <c r="B684" s="11"/>
      <c r="C684" s="11"/>
      <c r="D684" s="11"/>
      <c r="M684" s="8"/>
    </row>
    <row r="685" spans="1:13" ht="15.75" customHeight="1" x14ac:dyDescent="0.2">
      <c r="A685" s="11"/>
      <c r="B685" s="11"/>
      <c r="C685" s="11"/>
      <c r="D685" s="11"/>
      <c r="M685" s="8"/>
    </row>
    <row r="686" spans="1:13" ht="15.75" customHeight="1" x14ac:dyDescent="0.2">
      <c r="A686" s="11"/>
      <c r="B686" s="11"/>
      <c r="C686" s="11"/>
      <c r="D686" s="11"/>
      <c r="M686" s="8"/>
    </row>
    <row r="687" spans="1:13" ht="15.75" customHeight="1" x14ac:dyDescent="0.2">
      <c r="A687" s="11"/>
      <c r="B687" s="11"/>
      <c r="C687" s="11"/>
      <c r="D687" s="11"/>
      <c r="M687" s="8"/>
    </row>
    <row r="688" spans="1:13" ht="15.75" customHeight="1" x14ac:dyDescent="0.2">
      <c r="A688" s="11"/>
      <c r="B688" s="11"/>
      <c r="C688" s="11"/>
      <c r="D688" s="11"/>
      <c r="M688" s="8"/>
    </row>
    <row r="689" spans="1:13" ht="15.75" customHeight="1" x14ac:dyDescent="0.2">
      <c r="A689" s="11"/>
      <c r="B689" s="11"/>
      <c r="C689" s="11"/>
      <c r="D689" s="11"/>
      <c r="M689" s="8"/>
    </row>
    <row r="690" spans="1:13" ht="15.75" customHeight="1" x14ac:dyDescent="0.2">
      <c r="A690" s="11"/>
      <c r="B690" s="11"/>
      <c r="C690" s="11"/>
      <c r="D690" s="11"/>
      <c r="M690" s="8"/>
    </row>
    <row r="691" spans="1:13" ht="15.75" customHeight="1" x14ac:dyDescent="0.2">
      <c r="A691" s="11"/>
      <c r="B691" s="11"/>
      <c r="C691" s="11"/>
      <c r="D691" s="11"/>
      <c r="M691" s="8"/>
    </row>
    <row r="692" spans="1:13" ht="15.75" customHeight="1" x14ac:dyDescent="0.2">
      <c r="A692" s="11"/>
      <c r="B692" s="11"/>
      <c r="C692" s="11"/>
      <c r="D692" s="11"/>
      <c r="M692" s="8"/>
    </row>
    <row r="693" spans="1:13" ht="15.75" customHeight="1" x14ac:dyDescent="0.2">
      <c r="A693" s="11"/>
      <c r="B693" s="11"/>
      <c r="C693" s="11"/>
      <c r="D693" s="11"/>
      <c r="M693" s="8"/>
    </row>
    <row r="694" spans="1:13" ht="15.75" customHeight="1" x14ac:dyDescent="0.2">
      <c r="A694" s="11"/>
      <c r="B694" s="11"/>
      <c r="C694" s="11"/>
      <c r="D694" s="11"/>
      <c r="M694" s="8"/>
    </row>
    <row r="695" spans="1:13" ht="15.75" customHeight="1" x14ac:dyDescent="0.2">
      <c r="A695" s="11"/>
      <c r="B695" s="11"/>
      <c r="C695" s="11"/>
      <c r="D695" s="11"/>
      <c r="M695" s="8"/>
    </row>
    <row r="696" spans="1:13" ht="15.75" customHeight="1" x14ac:dyDescent="0.2">
      <c r="A696" s="11"/>
      <c r="B696" s="11"/>
      <c r="C696" s="11"/>
      <c r="D696" s="11"/>
      <c r="M696" s="8"/>
    </row>
    <row r="697" spans="1:13" ht="15.75" customHeight="1" x14ac:dyDescent="0.2">
      <c r="A697" s="11"/>
      <c r="B697" s="11"/>
      <c r="C697" s="11"/>
      <c r="D697" s="11"/>
      <c r="M697" s="8"/>
    </row>
    <row r="698" spans="1:13" ht="15.75" customHeight="1" x14ac:dyDescent="0.2">
      <c r="A698" s="11"/>
      <c r="B698" s="11"/>
      <c r="C698" s="11"/>
      <c r="D698" s="11"/>
      <c r="M698" s="8"/>
    </row>
    <row r="699" spans="1:13" ht="15.75" customHeight="1" x14ac:dyDescent="0.2">
      <c r="A699" s="11"/>
      <c r="B699" s="11"/>
      <c r="C699" s="11"/>
      <c r="D699" s="11"/>
      <c r="M699" s="8"/>
    </row>
    <row r="700" spans="1:13" ht="15.75" customHeight="1" x14ac:dyDescent="0.2">
      <c r="A700" s="11"/>
      <c r="B700" s="11"/>
      <c r="C700" s="11"/>
      <c r="D700" s="11"/>
      <c r="M700" s="8"/>
    </row>
    <row r="701" spans="1:13" ht="15.75" customHeight="1" x14ac:dyDescent="0.2">
      <c r="A701" s="11"/>
      <c r="B701" s="11"/>
      <c r="C701" s="11"/>
      <c r="D701" s="11"/>
      <c r="M701" s="8"/>
    </row>
    <row r="702" spans="1:13" ht="15.75" customHeight="1" x14ac:dyDescent="0.2">
      <c r="A702" s="11"/>
      <c r="B702" s="11"/>
      <c r="C702" s="11"/>
      <c r="D702" s="11"/>
      <c r="M702" s="8"/>
    </row>
    <row r="703" spans="1:13" ht="15.75" customHeight="1" x14ac:dyDescent="0.2">
      <c r="A703" s="11"/>
      <c r="B703" s="11"/>
      <c r="C703" s="11"/>
      <c r="D703" s="11"/>
      <c r="M703" s="8"/>
    </row>
    <row r="704" spans="1:13" ht="15.75" customHeight="1" x14ac:dyDescent="0.2">
      <c r="A704" s="11"/>
      <c r="B704" s="11"/>
      <c r="C704" s="11"/>
      <c r="D704" s="11"/>
      <c r="M704" s="8"/>
    </row>
    <row r="705" spans="1:13" ht="15.75" customHeight="1" x14ac:dyDescent="0.2">
      <c r="A705" s="11"/>
      <c r="B705" s="11"/>
      <c r="C705" s="11"/>
      <c r="D705" s="11"/>
      <c r="M705" s="8"/>
    </row>
    <row r="706" spans="1:13" ht="15.75" customHeight="1" x14ac:dyDescent="0.2">
      <c r="A706" s="11"/>
      <c r="B706" s="11"/>
      <c r="C706" s="11"/>
      <c r="D706" s="11"/>
      <c r="M706" s="8"/>
    </row>
    <row r="707" spans="1:13" ht="15.75" customHeight="1" x14ac:dyDescent="0.2">
      <c r="A707" s="11"/>
      <c r="B707" s="11"/>
      <c r="C707" s="11"/>
      <c r="D707" s="11"/>
      <c r="M707" s="8"/>
    </row>
    <row r="708" spans="1:13" ht="15.75" customHeight="1" x14ac:dyDescent="0.2">
      <c r="A708" s="11"/>
      <c r="B708" s="11"/>
      <c r="C708" s="11"/>
      <c r="D708" s="11"/>
      <c r="M708" s="8"/>
    </row>
    <row r="709" spans="1:13" ht="15.75" customHeight="1" x14ac:dyDescent="0.2">
      <c r="A709" s="11"/>
      <c r="B709" s="11"/>
      <c r="C709" s="11"/>
      <c r="D709" s="11"/>
      <c r="M709" s="8"/>
    </row>
    <row r="710" spans="1:13" ht="15.75" customHeight="1" x14ac:dyDescent="0.2">
      <c r="A710" s="11"/>
      <c r="B710" s="11"/>
      <c r="C710" s="11"/>
      <c r="D710" s="11"/>
      <c r="M710" s="8"/>
    </row>
    <row r="711" spans="1:13" ht="15.75" customHeight="1" x14ac:dyDescent="0.2">
      <c r="A711" s="11"/>
      <c r="B711" s="11"/>
      <c r="C711" s="11"/>
      <c r="D711" s="11"/>
      <c r="M711" s="8"/>
    </row>
    <row r="712" spans="1:13" ht="15.75" customHeight="1" x14ac:dyDescent="0.2">
      <c r="A712" s="11"/>
      <c r="B712" s="11"/>
      <c r="C712" s="11"/>
      <c r="D712" s="11"/>
      <c r="M712" s="8"/>
    </row>
    <row r="713" spans="1:13" ht="15.75" customHeight="1" x14ac:dyDescent="0.2">
      <c r="A713" s="11"/>
      <c r="B713" s="11"/>
      <c r="C713" s="11"/>
      <c r="D713" s="11"/>
      <c r="M713" s="8"/>
    </row>
    <row r="714" spans="1:13" ht="15.75" customHeight="1" x14ac:dyDescent="0.2">
      <c r="A714" s="11"/>
      <c r="B714" s="11"/>
      <c r="C714" s="11"/>
      <c r="D714" s="11"/>
      <c r="M714" s="8"/>
    </row>
    <row r="715" spans="1:13" ht="15.75" customHeight="1" x14ac:dyDescent="0.2">
      <c r="A715" s="11"/>
      <c r="B715" s="11"/>
      <c r="C715" s="11"/>
      <c r="D715" s="11"/>
      <c r="M715" s="8"/>
    </row>
    <row r="716" spans="1:13" ht="15.75" customHeight="1" x14ac:dyDescent="0.2">
      <c r="A716" s="11"/>
      <c r="B716" s="11"/>
      <c r="C716" s="11"/>
      <c r="D716" s="11"/>
      <c r="M716" s="8"/>
    </row>
    <row r="717" spans="1:13" ht="15.75" customHeight="1" x14ac:dyDescent="0.2">
      <c r="A717" s="11"/>
      <c r="B717" s="11"/>
      <c r="C717" s="11"/>
      <c r="D717" s="11"/>
      <c r="M717" s="8"/>
    </row>
    <row r="718" spans="1:13" ht="15.75" customHeight="1" x14ac:dyDescent="0.2">
      <c r="A718" s="11"/>
      <c r="B718" s="11"/>
      <c r="C718" s="11"/>
      <c r="D718" s="11"/>
      <c r="M718" s="8"/>
    </row>
    <row r="719" spans="1:13" ht="15.75" customHeight="1" x14ac:dyDescent="0.2">
      <c r="A719" s="11"/>
      <c r="B719" s="11"/>
      <c r="C719" s="11"/>
      <c r="D719" s="11"/>
      <c r="M719" s="8"/>
    </row>
    <row r="720" spans="1:13" ht="15.75" customHeight="1" x14ac:dyDescent="0.2">
      <c r="A720" s="11"/>
      <c r="B720" s="11"/>
      <c r="C720" s="11"/>
      <c r="D720" s="11"/>
      <c r="M720" s="8"/>
    </row>
    <row r="721" spans="1:13" ht="15.75" customHeight="1" x14ac:dyDescent="0.2">
      <c r="A721" s="11"/>
      <c r="B721" s="11"/>
      <c r="C721" s="11"/>
      <c r="D721" s="11"/>
      <c r="M721" s="8"/>
    </row>
    <row r="722" spans="1:13" ht="15.75" customHeight="1" x14ac:dyDescent="0.2">
      <c r="A722" s="11"/>
      <c r="B722" s="11"/>
      <c r="C722" s="11"/>
      <c r="D722" s="11"/>
      <c r="M722" s="8"/>
    </row>
    <row r="723" spans="1:13" ht="15.75" customHeight="1" x14ac:dyDescent="0.2">
      <c r="A723" s="11"/>
      <c r="B723" s="11"/>
      <c r="C723" s="11"/>
      <c r="D723" s="11"/>
      <c r="M723" s="8"/>
    </row>
    <row r="724" spans="1:13" ht="15.75" customHeight="1" x14ac:dyDescent="0.2">
      <c r="A724" s="11"/>
      <c r="B724" s="11"/>
      <c r="C724" s="11"/>
      <c r="D724" s="11"/>
      <c r="M724" s="8"/>
    </row>
    <row r="725" spans="1:13" ht="15.75" customHeight="1" x14ac:dyDescent="0.2">
      <c r="A725" s="11"/>
      <c r="B725" s="11"/>
      <c r="C725" s="11"/>
      <c r="D725" s="11"/>
      <c r="M725" s="8"/>
    </row>
    <row r="726" spans="1:13" ht="15.75" customHeight="1" x14ac:dyDescent="0.2">
      <c r="A726" s="11"/>
      <c r="B726" s="11"/>
      <c r="C726" s="11"/>
      <c r="D726" s="11"/>
      <c r="M726" s="8"/>
    </row>
    <row r="727" spans="1:13" ht="15.75" customHeight="1" x14ac:dyDescent="0.2">
      <c r="A727" s="11"/>
      <c r="B727" s="11"/>
      <c r="C727" s="11"/>
      <c r="D727" s="11"/>
      <c r="M727" s="8"/>
    </row>
    <row r="728" spans="1:13" ht="15.75" customHeight="1" x14ac:dyDescent="0.2">
      <c r="A728" s="11"/>
      <c r="B728" s="11"/>
      <c r="C728" s="11"/>
      <c r="D728" s="11"/>
      <c r="M728" s="8"/>
    </row>
    <row r="729" spans="1:13" ht="15.75" customHeight="1" x14ac:dyDescent="0.2">
      <c r="A729" s="11"/>
      <c r="B729" s="11"/>
      <c r="C729" s="11"/>
      <c r="D729" s="11"/>
      <c r="M729" s="8"/>
    </row>
    <row r="730" spans="1:13" ht="15.75" customHeight="1" x14ac:dyDescent="0.2">
      <c r="A730" s="11"/>
      <c r="B730" s="11"/>
      <c r="C730" s="11"/>
      <c r="D730" s="11"/>
      <c r="M730" s="8"/>
    </row>
    <row r="731" spans="1:13" ht="15.75" customHeight="1" x14ac:dyDescent="0.2">
      <c r="A731" s="11"/>
      <c r="B731" s="11"/>
      <c r="C731" s="11"/>
      <c r="D731" s="11"/>
      <c r="M731" s="8"/>
    </row>
    <row r="732" spans="1:13" ht="15.75" customHeight="1" x14ac:dyDescent="0.2">
      <c r="A732" s="11"/>
      <c r="B732" s="11"/>
      <c r="C732" s="11"/>
      <c r="D732" s="11"/>
      <c r="M732" s="8"/>
    </row>
    <row r="733" spans="1:13" ht="15.75" customHeight="1" x14ac:dyDescent="0.2">
      <c r="A733" s="11"/>
      <c r="B733" s="11"/>
      <c r="C733" s="11"/>
      <c r="D733" s="11"/>
      <c r="M733" s="8"/>
    </row>
    <row r="734" spans="1:13" ht="15.75" customHeight="1" x14ac:dyDescent="0.2">
      <c r="A734" s="11"/>
      <c r="B734" s="11"/>
      <c r="C734" s="11"/>
      <c r="D734" s="11"/>
      <c r="M734" s="8"/>
    </row>
    <row r="735" spans="1:13" ht="15.75" customHeight="1" x14ac:dyDescent="0.2">
      <c r="A735" s="11"/>
      <c r="B735" s="11"/>
      <c r="C735" s="11"/>
      <c r="D735" s="11"/>
      <c r="M735" s="8"/>
    </row>
    <row r="736" spans="1:13" ht="15.75" customHeight="1" x14ac:dyDescent="0.2">
      <c r="A736" s="11"/>
      <c r="B736" s="11"/>
      <c r="C736" s="11"/>
      <c r="D736" s="11"/>
      <c r="M736" s="8"/>
    </row>
    <row r="737" spans="1:13" ht="15.75" customHeight="1" x14ac:dyDescent="0.2">
      <c r="A737" s="11"/>
      <c r="B737" s="11"/>
      <c r="C737" s="11"/>
      <c r="D737" s="11"/>
      <c r="M737" s="8"/>
    </row>
    <row r="738" spans="1:13" ht="15.75" customHeight="1" x14ac:dyDescent="0.2">
      <c r="A738" s="11"/>
      <c r="B738" s="11"/>
      <c r="C738" s="11"/>
      <c r="D738" s="11"/>
      <c r="M738" s="8"/>
    </row>
    <row r="739" spans="1:13" ht="15.75" customHeight="1" x14ac:dyDescent="0.2">
      <c r="A739" s="11"/>
      <c r="B739" s="11"/>
      <c r="C739" s="11"/>
      <c r="D739" s="11"/>
      <c r="M739" s="8"/>
    </row>
    <row r="740" spans="1:13" ht="15.75" customHeight="1" x14ac:dyDescent="0.2">
      <c r="A740" s="11"/>
      <c r="B740" s="11"/>
      <c r="C740" s="11"/>
      <c r="D740" s="11"/>
      <c r="M740" s="8"/>
    </row>
    <row r="741" spans="1:13" ht="15.75" customHeight="1" x14ac:dyDescent="0.2">
      <c r="A741" s="11"/>
      <c r="B741" s="11"/>
      <c r="C741" s="11"/>
      <c r="D741" s="11"/>
      <c r="M741" s="8"/>
    </row>
    <row r="742" spans="1:13" ht="15.75" customHeight="1" x14ac:dyDescent="0.2">
      <c r="A742" s="11"/>
      <c r="B742" s="11"/>
      <c r="C742" s="11"/>
      <c r="D742" s="11"/>
      <c r="M742" s="8"/>
    </row>
    <row r="743" spans="1:13" ht="15.75" customHeight="1" x14ac:dyDescent="0.2">
      <c r="A743" s="11"/>
      <c r="B743" s="11"/>
      <c r="C743" s="11"/>
      <c r="D743" s="11"/>
      <c r="M743" s="8"/>
    </row>
    <row r="744" spans="1:13" ht="15.75" customHeight="1" x14ac:dyDescent="0.2">
      <c r="A744" s="11"/>
      <c r="B744" s="11"/>
      <c r="C744" s="11"/>
      <c r="D744" s="11"/>
      <c r="M744" s="8"/>
    </row>
    <row r="745" spans="1:13" ht="15.75" customHeight="1" x14ac:dyDescent="0.2">
      <c r="A745" s="11"/>
      <c r="B745" s="11"/>
      <c r="C745" s="11"/>
      <c r="D745" s="11"/>
      <c r="M745" s="8"/>
    </row>
    <row r="746" spans="1:13" ht="15.75" customHeight="1" x14ac:dyDescent="0.2">
      <c r="A746" s="11"/>
      <c r="B746" s="11"/>
      <c r="C746" s="11"/>
      <c r="D746" s="11"/>
      <c r="M746" s="8"/>
    </row>
    <row r="747" spans="1:13" ht="15.75" customHeight="1" x14ac:dyDescent="0.2">
      <c r="A747" s="11"/>
      <c r="B747" s="11"/>
      <c r="C747" s="11"/>
      <c r="D747" s="11"/>
      <c r="M747" s="8"/>
    </row>
    <row r="748" spans="1:13" ht="15.75" customHeight="1" x14ac:dyDescent="0.2">
      <c r="A748" s="11"/>
      <c r="B748" s="11"/>
      <c r="C748" s="11"/>
      <c r="D748" s="11"/>
      <c r="M748" s="8"/>
    </row>
    <row r="749" spans="1:13" ht="15.75" customHeight="1" x14ac:dyDescent="0.2">
      <c r="A749" s="11"/>
      <c r="B749" s="11"/>
      <c r="C749" s="11"/>
      <c r="D749" s="11"/>
      <c r="M749" s="8"/>
    </row>
    <row r="750" spans="1:13" ht="15.75" customHeight="1" x14ac:dyDescent="0.2">
      <c r="A750" s="11"/>
      <c r="B750" s="11"/>
      <c r="C750" s="11"/>
      <c r="D750" s="11"/>
      <c r="M750" s="8"/>
    </row>
    <row r="751" spans="1:13" ht="15.75" customHeight="1" x14ac:dyDescent="0.2">
      <c r="A751" s="11"/>
      <c r="B751" s="11"/>
      <c r="C751" s="11"/>
      <c r="D751" s="11"/>
      <c r="M751" s="8"/>
    </row>
    <row r="752" spans="1:13" ht="15.75" customHeight="1" x14ac:dyDescent="0.2">
      <c r="A752" s="11"/>
      <c r="B752" s="11"/>
      <c r="C752" s="11"/>
      <c r="D752" s="11"/>
      <c r="M752" s="8"/>
    </row>
    <row r="753" spans="1:13" ht="15.75" customHeight="1" x14ac:dyDescent="0.2">
      <c r="A753" s="11"/>
      <c r="B753" s="11"/>
      <c r="C753" s="11"/>
      <c r="D753" s="11"/>
      <c r="M753" s="8"/>
    </row>
    <row r="754" spans="1:13" ht="15.75" customHeight="1" x14ac:dyDescent="0.2">
      <c r="A754" s="11"/>
      <c r="B754" s="11"/>
      <c r="C754" s="11"/>
      <c r="D754" s="11"/>
      <c r="M754" s="8"/>
    </row>
    <row r="755" spans="1:13" ht="15.75" customHeight="1" x14ac:dyDescent="0.2">
      <c r="A755" s="11"/>
      <c r="B755" s="11"/>
      <c r="C755" s="11"/>
      <c r="D755" s="11"/>
      <c r="M755" s="8"/>
    </row>
    <row r="756" spans="1:13" ht="15.75" customHeight="1" x14ac:dyDescent="0.2">
      <c r="A756" s="11"/>
      <c r="B756" s="11"/>
      <c r="C756" s="11"/>
      <c r="D756" s="11"/>
      <c r="M756" s="8"/>
    </row>
    <row r="757" spans="1:13" ht="15.75" customHeight="1" x14ac:dyDescent="0.2">
      <c r="A757" s="11"/>
      <c r="B757" s="11"/>
      <c r="C757" s="11"/>
      <c r="D757" s="11"/>
      <c r="M757" s="8"/>
    </row>
    <row r="758" spans="1:13" ht="15.75" customHeight="1" x14ac:dyDescent="0.2">
      <c r="A758" s="11"/>
      <c r="B758" s="11"/>
      <c r="C758" s="11"/>
      <c r="D758" s="11"/>
      <c r="M758" s="8"/>
    </row>
    <row r="759" spans="1:13" ht="15.75" customHeight="1" x14ac:dyDescent="0.2">
      <c r="A759" s="11"/>
      <c r="B759" s="11"/>
      <c r="C759" s="11"/>
      <c r="D759" s="11"/>
      <c r="M759" s="8"/>
    </row>
    <row r="760" spans="1:13" ht="15.75" customHeight="1" x14ac:dyDescent="0.2">
      <c r="A760" s="11"/>
      <c r="B760" s="11"/>
      <c r="C760" s="11"/>
      <c r="D760" s="11"/>
      <c r="M760" s="8"/>
    </row>
    <row r="761" spans="1:13" ht="15.75" customHeight="1" x14ac:dyDescent="0.2">
      <c r="A761" s="11"/>
      <c r="B761" s="11"/>
      <c r="C761" s="11"/>
      <c r="D761" s="11"/>
      <c r="M761" s="8"/>
    </row>
    <row r="762" spans="1:13" ht="15.75" customHeight="1" x14ac:dyDescent="0.2">
      <c r="A762" s="11"/>
      <c r="B762" s="11"/>
      <c r="C762" s="11"/>
      <c r="D762" s="11"/>
      <c r="M762" s="8"/>
    </row>
    <row r="763" spans="1:13" ht="15.75" customHeight="1" x14ac:dyDescent="0.2">
      <c r="A763" s="11"/>
      <c r="B763" s="11"/>
      <c r="C763" s="11"/>
      <c r="D763" s="11"/>
      <c r="M763" s="8"/>
    </row>
    <row r="764" spans="1:13" ht="15.75" customHeight="1" x14ac:dyDescent="0.2">
      <c r="A764" s="11"/>
      <c r="B764" s="11"/>
      <c r="C764" s="11"/>
      <c r="D764" s="11"/>
      <c r="M764" s="8"/>
    </row>
    <row r="765" spans="1:13" ht="15.75" customHeight="1" x14ac:dyDescent="0.2">
      <c r="A765" s="11"/>
      <c r="B765" s="11"/>
      <c r="C765" s="11"/>
      <c r="D765" s="11"/>
      <c r="M765" s="8"/>
    </row>
    <row r="766" spans="1:13" ht="15.75" customHeight="1" x14ac:dyDescent="0.2">
      <c r="A766" s="11"/>
      <c r="B766" s="11"/>
      <c r="C766" s="11"/>
      <c r="D766" s="11"/>
      <c r="M766" s="8"/>
    </row>
    <row r="767" spans="1:13" ht="15.75" customHeight="1" x14ac:dyDescent="0.2">
      <c r="A767" s="11"/>
      <c r="B767" s="11"/>
      <c r="C767" s="11"/>
      <c r="D767" s="11"/>
      <c r="M767" s="8"/>
    </row>
    <row r="768" spans="1:13" ht="15.75" customHeight="1" x14ac:dyDescent="0.2">
      <c r="A768" s="11"/>
      <c r="B768" s="11"/>
      <c r="C768" s="11"/>
      <c r="D768" s="11"/>
      <c r="M768" s="8"/>
    </row>
    <row r="769" spans="1:13" ht="15.75" customHeight="1" x14ac:dyDescent="0.2">
      <c r="A769" s="11"/>
      <c r="B769" s="11"/>
      <c r="C769" s="11"/>
      <c r="D769" s="11"/>
      <c r="M769" s="8"/>
    </row>
    <row r="770" spans="1:13" ht="15.75" customHeight="1" x14ac:dyDescent="0.2">
      <c r="A770" s="11"/>
      <c r="B770" s="11"/>
      <c r="C770" s="11"/>
      <c r="D770" s="11"/>
      <c r="M770" s="8"/>
    </row>
    <row r="771" spans="1:13" ht="15.75" customHeight="1" x14ac:dyDescent="0.2">
      <c r="A771" s="11"/>
      <c r="B771" s="11"/>
      <c r="C771" s="11"/>
      <c r="D771" s="11"/>
      <c r="M771" s="8"/>
    </row>
    <row r="772" spans="1:13" ht="15.75" customHeight="1" x14ac:dyDescent="0.2">
      <c r="A772" s="11"/>
      <c r="B772" s="11"/>
      <c r="C772" s="11"/>
      <c r="D772" s="11"/>
      <c r="M772" s="8"/>
    </row>
    <row r="773" spans="1:13" ht="15.75" customHeight="1" x14ac:dyDescent="0.2">
      <c r="A773" s="11"/>
      <c r="B773" s="11"/>
      <c r="C773" s="11"/>
      <c r="D773" s="11"/>
      <c r="M773" s="8"/>
    </row>
    <row r="774" spans="1:13" ht="15.75" customHeight="1" x14ac:dyDescent="0.2">
      <c r="A774" s="11"/>
      <c r="B774" s="11"/>
      <c r="C774" s="11"/>
      <c r="D774" s="11"/>
      <c r="M774" s="8"/>
    </row>
    <row r="775" spans="1:13" ht="15.75" customHeight="1" x14ac:dyDescent="0.2">
      <c r="A775" s="11"/>
      <c r="B775" s="11"/>
      <c r="C775" s="11"/>
      <c r="D775" s="11"/>
      <c r="M775" s="8"/>
    </row>
    <row r="776" spans="1:13" ht="15.75" customHeight="1" x14ac:dyDescent="0.2">
      <c r="A776" s="11"/>
      <c r="B776" s="11"/>
      <c r="C776" s="11"/>
      <c r="D776" s="11"/>
      <c r="M776" s="8"/>
    </row>
    <row r="777" spans="1:13" ht="15.75" customHeight="1" x14ac:dyDescent="0.2">
      <c r="A777" s="11"/>
      <c r="B777" s="11"/>
      <c r="C777" s="11"/>
      <c r="D777" s="11"/>
      <c r="M777" s="8"/>
    </row>
    <row r="778" spans="1:13" ht="15.75" customHeight="1" x14ac:dyDescent="0.2">
      <c r="A778" s="11"/>
      <c r="B778" s="11"/>
      <c r="C778" s="11"/>
      <c r="D778" s="11"/>
      <c r="M778" s="8"/>
    </row>
    <row r="779" spans="1:13" ht="15.75" customHeight="1" x14ac:dyDescent="0.2">
      <c r="A779" s="11"/>
      <c r="B779" s="11"/>
      <c r="C779" s="11"/>
      <c r="D779" s="11"/>
      <c r="M779" s="8"/>
    </row>
    <row r="780" spans="1:13" ht="15.75" customHeight="1" x14ac:dyDescent="0.2">
      <c r="A780" s="11"/>
      <c r="B780" s="11"/>
      <c r="C780" s="11"/>
      <c r="D780" s="11"/>
      <c r="M780" s="8"/>
    </row>
    <row r="781" spans="1:13" ht="15.75" customHeight="1" x14ac:dyDescent="0.2">
      <c r="A781" s="11"/>
      <c r="B781" s="11"/>
      <c r="C781" s="11"/>
      <c r="D781" s="11"/>
      <c r="M781" s="8"/>
    </row>
    <row r="782" spans="1:13" ht="15.75" customHeight="1" x14ac:dyDescent="0.2">
      <c r="A782" s="11"/>
      <c r="B782" s="11"/>
      <c r="C782" s="11"/>
      <c r="D782" s="11"/>
      <c r="M782" s="8"/>
    </row>
    <row r="783" spans="1:13" ht="15.75" customHeight="1" x14ac:dyDescent="0.2">
      <c r="A783" s="11"/>
      <c r="B783" s="11"/>
      <c r="C783" s="11"/>
      <c r="D783" s="11"/>
      <c r="M783" s="8"/>
    </row>
    <row r="784" spans="1:13" ht="15.75" customHeight="1" x14ac:dyDescent="0.2">
      <c r="A784" s="11"/>
      <c r="B784" s="11"/>
      <c r="C784" s="11"/>
      <c r="D784" s="11"/>
      <c r="M784" s="8"/>
    </row>
    <row r="785" spans="1:13" ht="15.75" customHeight="1" x14ac:dyDescent="0.2">
      <c r="A785" s="11"/>
      <c r="B785" s="11"/>
      <c r="C785" s="11"/>
      <c r="D785" s="11"/>
      <c r="M785" s="8"/>
    </row>
    <row r="786" spans="1:13" ht="15.75" customHeight="1" x14ac:dyDescent="0.2">
      <c r="A786" s="11"/>
      <c r="B786" s="11"/>
      <c r="C786" s="11"/>
      <c r="D786" s="11"/>
      <c r="M786" s="8"/>
    </row>
    <row r="787" spans="1:13" ht="15.75" customHeight="1" x14ac:dyDescent="0.2">
      <c r="A787" s="11"/>
      <c r="B787" s="11"/>
      <c r="C787" s="11"/>
      <c r="D787" s="11"/>
      <c r="M787" s="8"/>
    </row>
    <row r="788" spans="1:13" ht="15.75" customHeight="1" x14ac:dyDescent="0.2">
      <c r="A788" s="11"/>
      <c r="B788" s="11"/>
      <c r="C788" s="11"/>
      <c r="D788" s="11"/>
      <c r="M788" s="8"/>
    </row>
    <row r="789" spans="1:13" ht="15.75" customHeight="1" x14ac:dyDescent="0.2">
      <c r="A789" s="11"/>
      <c r="B789" s="11"/>
      <c r="C789" s="11"/>
      <c r="D789" s="11"/>
      <c r="M789" s="8"/>
    </row>
    <row r="790" spans="1:13" ht="15.75" customHeight="1" x14ac:dyDescent="0.2">
      <c r="A790" s="11"/>
      <c r="B790" s="11"/>
      <c r="C790" s="11"/>
      <c r="D790" s="11"/>
      <c r="M790" s="8"/>
    </row>
    <row r="791" spans="1:13" ht="15.75" customHeight="1" x14ac:dyDescent="0.2">
      <c r="A791" s="11"/>
      <c r="B791" s="11"/>
      <c r="C791" s="11"/>
      <c r="D791" s="11"/>
      <c r="M791" s="8"/>
    </row>
    <row r="792" spans="1:13" ht="15.75" customHeight="1" x14ac:dyDescent="0.2">
      <c r="A792" s="11"/>
      <c r="B792" s="11"/>
      <c r="C792" s="11"/>
      <c r="D792" s="11"/>
      <c r="M792" s="8"/>
    </row>
    <row r="793" spans="1:13" ht="15.75" customHeight="1" x14ac:dyDescent="0.2">
      <c r="A793" s="11"/>
      <c r="B793" s="11"/>
      <c r="C793" s="11"/>
      <c r="D793" s="11"/>
      <c r="M793" s="8"/>
    </row>
    <row r="794" spans="1:13" ht="15.75" customHeight="1" x14ac:dyDescent="0.2">
      <c r="A794" s="11"/>
      <c r="B794" s="11"/>
      <c r="C794" s="11"/>
      <c r="D794" s="11"/>
      <c r="M794" s="8"/>
    </row>
    <row r="795" spans="1:13" ht="15.75" customHeight="1" x14ac:dyDescent="0.2">
      <c r="A795" s="11"/>
      <c r="B795" s="11"/>
      <c r="C795" s="11"/>
      <c r="D795" s="11"/>
      <c r="M795" s="8"/>
    </row>
    <row r="796" spans="1:13" ht="15.75" customHeight="1" x14ac:dyDescent="0.2">
      <c r="A796" s="11"/>
      <c r="B796" s="11"/>
      <c r="C796" s="11"/>
      <c r="D796" s="11"/>
      <c r="M796" s="8"/>
    </row>
    <row r="797" spans="1:13" ht="15.75" customHeight="1" x14ac:dyDescent="0.2">
      <c r="A797" s="11"/>
      <c r="B797" s="11"/>
      <c r="C797" s="11"/>
      <c r="D797" s="11"/>
      <c r="M797" s="8"/>
    </row>
    <row r="798" spans="1:13" ht="15.75" customHeight="1" x14ac:dyDescent="0.2">
      <c r="A798" s="11"/>
      <c r="B798" s="11"/>
      <c r="C798" s="11"/>
      <c r="D798" s="11"/>
      <c r="M798" s="8"/>
    </row>
    <row r="799" spans="1:13" ht="15.75" customHeight="1" x14ac:dyDescent="0.2">
      <c r="A799" s="11"/>
      <c r="B799" s="11"/>
      <c r="C799" s="11"/>
      <c r="D799" s="11"/>
      <c r="M799" s="8"/>
    </row>
    <row r="800" spans="1:13" ht="15.75" customHeight="1" x14ac:dyDescent="0.2">
      <c r="A800" s="11"/>
      <c r="B800" s="11"/>
      <c r="C800" s="11"/>
      <c r="D800" s="11"/>
      <c r="M800" s="8"/>
    </row>
    <row r="801" spans="1:13" ht="15.75" customHeight="1" x14ac:dyDescent="0.2">
      <c r="A801" s="11"/>
      <c r="B801" s="11"/>
      <c r="C801" s="11"/>
      <c r="D801" s="11"/>
      <c r="M801" s="8"/>
    </row>
    <row r="802" spans="1:13" ht="15.75" customHeight="1" x14ac:dyDescent="0.2">
      <c r="A802" s="11"/>
      <c r="B802" s="11"/>
      <c r="C802" s="11"/>
      <c r="D802" s="11"/>
      <c r="M802" s="8"/>
    </row>
    <row r="803" spans="1:13" ht="15.75" customHeight="1" x14ac:dyDescent="0.2">
      <c r="A803" s="11"/>
      <c r="B803" s="11"/>
      <c r="C803" s="11"/>
      <c r="D803" s="11"/>
      <c r="M803" s="8"/>
    </row>
    <row r="804" spans="1:13" ht="15.75" customHeight="1" x14ac:dyDescent="0.2">
      <c r="A804" s="11"/>
      <c r="B804" s="11"/>
      <c r="C804" s="11"/>
      <c r="D804" s="11"/>
      <c r="M804" s="8"/>
    </row>
    <row r="805" spans="1:13" ht="15.75" customHeight="1" x14ac:dyDescent="0.2">
      <c r="A805" s="11"/>
      <c r="B805" s="11"/>
      <c r="C805" s="11"/>
      <c r="D805" s="11"/>
      <c r="M805" s="8"/>
    </row>
    <row r="806" spans="1:13" ht="15.75" customHeight="1" x14ac:dyDescent="0.2">
      <c r="A806" s="11"/>
      <c r="B806" s="11"/>
      <c r="C806" s="11"/>
      <c r="D806" s="11"/>
      <c r="M806" s="8"/>
    </row>
    <row r="807" spans="1:13" ht="15.75" customHeight="1" x14ac:dyDescent="0.2">
      <c r="A807" s="11"/>
      <c r="B807" s="11"/>
      <c r="C807" s="11"/>
      <c r="D807" s="11"/>
      <c r="M807" s="8"/>
    </row>
    <row r="808" spans="1:13" ht="15.75" customHeight="1" x14ac:dyDescent="0.2">
      <c r="A808" s="11"/>
      <c r="B808" s="11"/>
      <c r="C808" s="11"/>
      <c r="D808" s="11"/>
      <c r="M808" s="8"/>
    </row>
    <row r="809" spans="1:13" ht="15.75" customHeight="1" x14ac:dyDescent="0.2">
      <c r="A809" s="11"/>
      <c r="B809" s="11"/>
      <c r="C809" s="11"/>
      <c r="D809" s="11"/>
      <c r="M809" s="8"/>
    </row>
    <row r="810" spans="1:13" ht="15.75" customHeight="1" x14ac:dyDescent="0.2">
      <c r="A810" s="11"/>
      <c r="B810" s="11"/>
      <c r="C810" s="11"/>
      <c r="D810" s="11"/>
      <c r="M810" s="8"/>
    </row>
    <row r="811" spans="1:13" ht="15.75" customHeight="1" x14ac:dyDescent="0.2">
      <c r="A811" s="11"/>
      <c r="B811" s="11"/>
      <c r="C811" s="11"/>
      <c r="D811" s="11"/>
      <c r="M811" s="8"/>
    </row>
    <row r="812" spans="1:13" ht="15.75" customHeight="1" x14ac:dyDescent="0.2">
      <c r="A812" s="11"/>
      <c r="B812" s="11"/>
      <c r="C812" s="11"/>
      <c r="D812" s="11"/>
      <c r="M812" s="8"/>
    </row>
    <row r="813" spans="1:13" ht="15.75" customHeight="1" x14ac:dyDescent="0.2">
      <c r="A813" s="11"/>
      <c r="B813" s="11"/>
      <c r="C813" s="11"/>
      <c r="D813" s="11"/>
      <c r="M813" s="8"/>
    </row>
    <row r="814" spans="1:13" ht="15.75" customHeight="1" x14ac:dyDescent="0.2">
      <c r="A814" s="11"/>
      <c r="B814" s="11"/>
      <c r="C814" s="11"/>
      <c r="D814" s="11"/>
      <c r="M814" s="8"/>
    </row>
    <row r="815" spans="1:13" ht="15.75" customHeight="1" x14ac:dyDescent="0.2">
      <c r="A815" s="11"/>
      <c r="B815" s="11"/>
      <c r="C815" s="11"/>
      <c r="D815" s="11"/>
      <c r="M815" s="8"/>
    </row>
    <row r="816" spans="1:13" ht="15.75" customHeight="1" x14ac:dyDescent="0.2">
      <c r="A816" s="11"/>
      <c r="B816" s="11"/>
      <c r="C816" s="11"/>
      <c r="D816" s="11"/>
      <c r="M816" s="8"/>
    </row>
    <row r="817" spans="1:13" ht="15.75" customHeight="1" x14ac:dyDescent="0.2">
      <c r="A817" s="11"/>
      <c r="B817" s="11"/>
      <c r="C817" s="11"/>
      <c r="D817" s="11"/>
      <c r="M817" s="8"/>
    </row>
    <row r="818" spans="1:13" ht="15.75" customHeight="1" x14ac:dyDescent="0.2">
      <c r="A818" s="11"/>
      <c r="B818" s="11"/>
      <c r="C818" s="11"/>
      <c r="D818" s="11"/>
      <c r="M818" s="8"/>
    </row>
    <row r="819" spans="1:13" ht="15.75" customHeight="1" x14ac:dyDescent="0.2">
      <c r="A819" s="11"/>
      <c r="B819" s="11"/>
      <c r="C819" s="11"/>
      <c r="D819" s="11"/>
      <c r="M819" s="8"/>
    </row>
    <row r="820" spans="1:13" ht="15.75" customHeight="1" x14ac:dyDescent="0.2">
      <c r="A820" s="11"/>
      <c r="B820" s="11"/>
      <c r="C820" s="11"/>
      <c r="D820" s="11"/>
      <c r="M820" s="8"/>
    </row>
    <row r="821" spans="1:13" ht="15.75" customHeight="1" x14ac:dyDescent="0.2">
      <c r="A821" s="11"/>
      <c r="B821" s="11"/>
      <c r="C821" s="11"/>
      <c r="D821" s="11"/>
      <c r="M821" s="8"/>
    </row>
    <row r="822" spans="1:13" ht="15.75" customHeight="1" x14ac:dyDescent="0.2">
      <c r="A822" s="11"/>
      <c r="B822" s="11"/>
      <c r="C822" s="11"/>
      <c r="D822" s="11"/>
      <c r="M822" s="8"/>
    </row>
    <row r="823" spans="1:13" ht="15.75" customHeight="1" x14ac:dyDescent="0.2">
      <c r="A823" s="11"/>
      <c r="B823" s="11"/>
      <c r="C823" s="11"/>
      <c r="D823" s="11"/>
      <c r="M823" s="8"/>
    </row>
    <row r="824" spans="1:13" ht="15.75" customHeight="1" x14ac:dyDescent="0.2">
      <c r="A824" s="11"/>
      <c r="B824" s="11"/>
      <c r="C824" s="11"/>
      <c r="D824" s="11"/>
      <c r="M824" s="8"/>
    </row>
    <row r="825" spans="1:13" ht="15.75" customHeight="1" x14ac:dyDescent="0.2">
      <c r="A825" s="11"/>
      <c r="B825" s="11"/>
      <c r="C825" s="11"/>
      <c r="D825" s="11"/>
      <c r="M825" s="8"/>
    </row>
    <row r="826" spans="1:13" ht="15.75" customHeight="1" x14ac:dyDescent="0.2">
      <c r="A826" s="11"/>
      <c r="B826" s="11"/>
      <c r="C826" s="11"/>
      <c r="D826" s="11"/>
      <c r="M826" s="8"/>
    </row>
    <row r="827" spans="1:13" ht="15.75" customHeight="1" x14ac:dyDescent="0.2">
      <c r="A827" s="11"/>
      <c r="B827" s="11"/>
      <c r="C827" s="11"/>
      <c r="D827" s="11"/>
      <c r="M827" s="8"/>
    </row>
    <row r="828" spans="1:13" ht="15.75" customHeight="1" x14ac:dyDescent="0.2">
      <c r="A828" s="11"/>
      <c r="B828" s="11"/>
      <c r="C828" s="11"/>
      <c r="D828" s="11"/>
      <c r="M828" s="8"/>
    </row>
    <row r="829" spans="1:13" ht="15.75" customHeight="1" x14ac:dyDescent="0.2">
      <c r="A829" s="11"/>
      <c r="B829" s="11"/>
      <c r="C829" s="11"/>
      <c r="D829" s="11"/>
      <c r="M829" s="8"/>
    </row>
    <row r="830" spans="1:13" ht="15.75" customHeight="1" x14ac:dyDescent="0.2">
      <c r="A830" s="11"/>
      <c r="B830" s="11"/>
      <c r="C830" s="11"/>
      <c r="D830" s="11"/>
      <c r="M830" s="8"/>
    </row>
    <row r="831" spans="1:13" ht="15.75" customHeight="1" x14ac:dyDescent="0.2">
      <c r="A831" s="11"/>
      <c r="B831" s="11"/>
      <c r="C831" s="11"/>
      <c r="D831" s="11"/>
      <c r="M831" s="8"/>
    </row>
    <row r="832" spans="1:13" ht="15.75" customHeight="1" x14ac:dyDescent="0.2">
      <c r="A832" s="11"/>
      <c r="B832" s="11"/>
      <c r="C832" s="11"/>
      <c r="D832" s="11"/>
      <c r="M832" s="8"/>
    </row>
    <row r="833" spans="1:13" ht="15.75" customHeight="1" x14ac:dyDescent="0.2">
      <c r="A833" s="11"/>
      <c r="B833" s="11"/>
      <c r="C833" s="11"/>
      <c r="D833" s="11"/>
      <c r="M833" s="8"/>
    </row>
    <row r="834" spans="1:13" ht="15.75" customHeight="1" x14ac:dyDescent="0.2">
      <c r="A834" s="11"/>
      <c r="B834" s="11"/>
      <c r="C834" s="11"/>
      <c r="D834" s="11"/>
      <c r="M834" s="8"/>
    </row>
    <row r="835" spans="1:13" ht="15.75" customHeight="1" x14ac:dyDescent="0.2">
      <c r="A835" s="11"/>
      <c r="B835" s="11"/>
      <c r="C835" s="11"/>
      <c r="D835" s="11"/>
      <c r="M835" s="8"/>
    </row>
    <row r="836" spans="1:13" ht="15.75" customHeight="1" x14ac:dyDescent="0.2">
      <c r="A836" s="11"/>
      <c r="B836" s="11"/>
      <c r="C836" s="11"/>
      <c r="D836" s="11"/>
      <c r="M836" s="8"/>
    </row>
    <row r="837" spans="1:13" ht="15.75" customHeight="1" x14ac:dyDescent="0.2">
      <c r="A837" s="11"/>
      <c r="B837" s="11"/>
      <c r="C837" s="11"/>
      <c r="D837" s="11"/>
      <c r="M837" s="8"/>
    </row>
    <row r="838" spans="1:13" ht="15.75" customHeight="1" x14ac:dyDescent="0.2">
      <c r="A838" s="11"/>
      <c r="B838" s="11"/>
      <c r="C838" s="11"/>
      <c r="D838" s="11"/>
      <c r="M838" s="8"/>
    </row>
    <row r="839" spans="1:13" ht="15.75" customHeight="1" x14ac:dyDescent="0.2">
      <c r="A839" s="11"/>
      <c r="B839" s="11"/>
      <c r="C839" s="11"/>
      <c r="D839" s="11"/>
      <c r="M839" s="8"/>
    </row>
    <row r="840" spans="1:13" ht="15.75" customHeight="1" x14ac:dyDescent="0.2">
      <c r="A840" s="11"/>
      <c r="B840" s="11"/>
      <c r="C840" s="11"/>
      <c r="D840" s="11"/>
      <c r="M840" s="8"/>
    </row>
    <row r="841" spans="1:13" ht="15.75" customHeight="1" x14ac:dyDescent="0.2">
      <c r="A841" s="11"/>
      <c r="B841" s="11"/>
      <c r="C841" s="11"/>
      <c r="D841" s="11"/>
      <c r="M841" s="8"/>
    </row>
    <row r="842" spans="1:13" ht="15.75" customHeight="1" x14ac:dyDescent="0.2">
      <c r="A842" s="11"/>
      <c r="B842" s="11"/>
      <c r="C842" s="11"/>
      <c r="D842" s="11"/>
      <c r="M842" s="8"/>
    </row>
    <row r="843" spans="1:13" ht="15.75" customHeight="1" x14ac:dyDescent="0.2">
      <c r="A843" s="11"/>
      <c r="B843" s="11"/>
      <c r="C843" s="11"/>
      <c r="D843" s="11"/>
      <c r="M843" s="8"/>
    </row>
    <row r="844" spans="1:13" ht="15.75" customHeight="1" x14ac:dyDescent="0.2">
      <c r="A844" s="11"/>
      <c r="B844" s="11"/>
      <c r="C844" s="11"/>
      <c r="D844" s="11"/>
      <c r="M844" s="8"/>
    </row>
    <row r="845" spans="1:13" ht="15.75" customHeight="1" x14ac:dyDescent="0.2">
      <c r="A845" s="11"/>
      <c r="B845" s="11"/>
      <c r="C845" s="11"/>
      <c r="D845" s="11"/>
      <c r="M845" s="8"/>
    </row>
    <row r="846" spans="1:13" ht="15.75" customHeight="1" x14ac:dyDescent="0.2">
      <c r="A846" s="11"/>
      <c r="B846" s="11"/>
      <c r="C846" s="11"/>
      <c r="D846" s="11"/>
      <c r="M846" s="8"/>
    </row>
    <row r="847" spans="1:13" ht="15.75" customHeight="1" x14ac:dyDescent="0.2">
      <c r="A847" s="11"/>
      <c r="B847" s="11"/>
      <c r="C847" s="11"/>
      <c r="D847" s="11"/>
      <c r="M847" s="8"/>
    </row>
    <row r="848" spans="1:13" ht="15.75" customHeight="1" x14ac:dyDescent="0.2">
      <c r="A848" s="11"/>
      <c r="B848" s="11"/>
      <c r="C848" s="11"/>
      <c r="D848" s="11"/>
      <c r="M848" s="8"/>
    </row>
    <row r="849" spans="1:13" ht="15.75" customHeight="1" x14ac:dyDescent="0.2">
      <c r="A849" s="11"/>
      <c r="B849" s="11"/>
      <c r="C849" s="11"/>
      <c r="D849" s="11"/>
      <c r="M849" s="8"/>
    </row>
    <row r="850" spans="1:13" ht="15.75" customHeight="1" x14ac:dyDescent="0.2">
      <c r="A850" s="11"/>
      <c r="B850" s="11"/>
      <c r="C850" s="11"/>
      <c r="D850" s="11"/>
      <c r="M850" s="8"/>
    </row>
    <row r="851" spans="1:13" ht="15.75" customHeight="1" x14ac:dyDescent="0.2">
      <c r="A851" s="11"/>
      <c r="B851" s="11"/>
      <c r="C851" s="11"/>
      <c r="D851" s="11"/>
      <c r="M851" s="8"/>
    </row>
    <row r="852" spans="1:13" ht="15.75" customHeight="1" x14ac:dyDescent="0.2">
      <c r="A852" s="11"/>
      <c r="B852" s="11"/>
      <c r="C852" s="11"/>
      <c r="D852" s="11"/>
      <c r="M852" s="8"/>
    </row>
    <row r="853" spans="1:13" ht="15.75" customHeight="1" x14ac:dyDescent="0.2">
      <c r="A853" s="11"/>
      <c r="B853" s="11"/>
      <c r="C853" s="11"/>
      <c r="D853" s="11"/>
      <c r="M853" s="8"/>
    </row>
    <row r="854" spans="1:13" ht="15.75" customHeight="1" x14ac:dyDescent="0.2">
      <c r="A854" s="11"/>
      <c r="B854" s="11"/>
      <c r="C854" s="11"/>
      <c r="D854" s="11"/>
      <c r="M854" s="8"/>
    </row>
    <row r="855" spans="1:13" ht="15.75" customHeight="1" x14ac:dyDescent="0.2">
      <c r="A855" s="11"/>
      <c r="B855" s="11"/>
      <c r="C855" s="11"/>
      <c r="D855" s="11"/>
      <c r="M855" s="8"/>
    </row>
    <row r="856" spans="1:13" ht="15.75" customHeight="1" x14ac:dyDescent="0.2">
      <c r="A856" s="11"/>
      <c r="B856" s="11"/>
      <c r="C856" s="11"/>
      <c r="D856" s="11"/>
      <c r="M856" s="8"/>
    </row>
    <row r="857" spans="1:13" ht="15.75" customHeight="1" x14ac:dyDescent="0.2">
      <c r="A857" s="11"/>
      <c r="B857" s="11"/>
      <c r="C857" s="11"/>
      <c r="D857" s="11"/>
      <c r="M857" s="8"/>
    </row>
    <row r="858" spans="1:13" ht="15.75" customHeight="1" x14ac:dyDescent="0.2">
      <c r="A858" s="11"/>
      <c r="B858" s="11"/>
      <c r="C858" s="11"/>
      <c r="D858" s="11"/>
      <c r="M858" s="8"/>
    </row>
    <row r="859" spans="1:13" ht="15.75" customHeight="1" x14ac:dyDescent="0.2">
      <c r="A859" s="11"/>
      <c r="B859" s="11"/>
      <c r="C859" s="11"/>
      <c r="D859" s="11"/>
      <c r="M859" s="8"/>
    </row>
    <row r="860" spans="1:13" ht="15.75" customHeight="1" x14ac:dyDescent="0.2">
      <c r="A860" s="11"/>
      <c r="B860" s="11"/>
      <c r="C860" s="11"/>
      <c r="D860" s="11"/>
      <c r="M860" s="8"/>
    </row>
    <row r="861" spans="1:13" ht="15.75" customHeight="1" x14ac:dyDescent="0.2">
      <c r="A861" s="11"/>
      <c r="B861" s="11"/>
      <c r="C861" s="11"/>
      <c r="D861" s="11"/>
      <c r="M861" s="8"/>
    </row>
    <row r="862" spans="1:13" ht="15.75" customHeight="1" x14ac:dyDescent="0.2">
      <c r="A862" s="11"/>
      <c r="B862" s="11"/>
      <c r="C862" s="11"/>
      <c r="D862" s="11"/>
      <c r="M862" s="8"/>
    </row>
    <row r="863" spans="1:13" ht="15.75" customHeight="1" x14ac:dyDescent="0.2">
      <c r="A863" s="11"/>
      <c r="B863" s="11"/>
      <c r="C863" s="11"/>
      <c r="D863" s="11"/>
      <c r="M863" s="8"/>
    </row>
    <row r="864" spans="1:13" ht="15.75" customHeight="1" x14ac:dyDescent="0.2">
      <c r="A864" s="11"/>
      <c r="B864" s="11"/>
      <c r="C864" s="11"/>
      <c r="D864" s="11"/>
      <c r="M864" s="8"/>
    </row>
    <row r="865" spans="1:13" ht="15.75" customHeight="1" x14ac:dyDescent="0.2">
      <c r="A865" s="11"/>
      <c r="B865" s="11"/>
      <c r="C865" s="11"/>
      <c r="D865" s="11"/>
      <c r="M865" s="8"/>
    </row>
    <row r="866" spans="1:13" ht="15.75" customHeight="1" x14ac:dyDescent="0.2">
      <c r="A866" s="11"/>
      <c r="B866" s="11"/>
      <c r="C866" s="11"/>
      <c r="D866" s="11"/>
      <c r="M866" s="8"/>
    </row>
    <row r="867" spans="1:13" ht="15.75" customHeight="1" x14ac:dyDescent="0.2">
      <c r="A867" s="11"/>
      <c r="B867" s="11"/>
      <c r="C867" s="11"/>
      <c r="D867" s="11"/>
      <c r="M867" s="8"/>
    </row>
    <row r="868" spans="1:13" ht="15.75" customHeight="1" x14ac:dyDescent="0.2">
      <c r="A868" s="11"/>
      <c r="B868" s="11"/>
      <c r="C868" s="11"/>
      <c r="D868" s="11"/>
      <c r="M868" s="8"/>
    </row>
    <row r="869" spans="1:13" ht="15.75" customHeight="1" x14ac:dyDescent="0.2">
      <c r="A869" s="11"/>
      <c r="B869" s="11"/>
      <c r="C869" s="11"/>
      <c r="D869" s="11"/>
      <c r="M869" s="8"/>
    </row>
  </sheetData>
  <conditionalFormatting sqref="B2:C51">
    <cfRule type="cellIs" dxfId="8" priority="2" operator="equal">
      <formula>"Ja"</formula>
    </cfRule>
    <cfRule type="cellIs" dxfId="7" priority="3" operator="equal">
      <formula>"Nein"</formula>
    </cfRule>
    <cfRule type="cellIs" dxfId="6" priority="4" operator="equal">
      <formula>"Ja"</formula>
    </cfRule>
  </conditionalFormatting>
  <conditionalFormatting sqref="D2 D51">
    <cfRule type="cellIs" dxfId="5" priority="5" operator="equal">
      <formula>1</formula>
    </cfRule>
    <cfRule type="cellIs" dxfId="4" priority="6" operator="equal">
      <formula>0.8</formula>
    </cfRule>
    <cfRule type="cellIs" dxfId="3" priority="7" operator="equal">
      <formula>0.6</formula>
    </cfRule>
    <cfRule type="cellIs" dxfId="2" priority="8" operator="equal">
      <formula>0.4</formula>
    </cfRule>
    <cfRule type="cellIs" dxfId="1" priority="9" operator="equal">
      <formula>0.2</formula>
    </cfRule>
    <cfRule type="cellIs" dxfId="0" priority="10" operator="equal">
      <formula>0</formula>
    </cfRule>
  </conditionalFormatting>
  <dataValidations count="2">
    <dataValidation type="list" allowBlank="1" showErrorMessage="1" sqref="B2:C51" xr:uid="{00000000-0002-0000-0300-000000000000}">
      <formula1>"Ja,Nein"</formula1>
      <formula2>0</formula2>
    </dataValidation>
    <dataValidation type="list" allowBlank="1" showErrorMessage="1" sqref="D2" xr:uid="{00000000-0002-0000-0300-000001000000}">
      <formula1>"100%,80%,60%,40%,20%,0%"</formula1>
      <formula2>0</formula2>
    </dataValidation>
  </dataValidations>
  <pageMargins left="0.7" right="0.7" top="0.75" bottom="0.75" header="0.511811023622047" footer="0.511811023622047"/>
  <pageSetup orientation="landscape" horizontalDpi="300" verticalDpi="300"/>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zoomScaleNormal="100" workbookViewId="0"/>
  </sheetViews>
  <sheetFormatPr baseColWidth="10" defaultColWidth="11.1640625" defaultRowHeight="16" x14ac:dyDescent="0.2"/>
  <cols>
    <col min="1" max="26" width="8.33203125" customWidth="1"/>
  </cols>
  <sheetData>
    <row r="1" spans="1:8" ht="15.75" customHeight="1" x14ac:dyDescent="0.3">
      <c r="B1" s="19" t="s">
        <v>107</v>
      </c>
    </row>
    <row r="2" spans="1:8" ht="15.75" customHeight="1" x14ac:dyDescent="0.2"/>
    <row r="3" spans="1:8" ht="15.75" customHeight="1" x14ac:dyDescent="0.2"/>
    <row r="4" spans="1:8" ht="15.75" customHeight="1" x14ac:dyDescent="0.2">
      <c r="B4" s="4" t="s">
        <v>108</v>
      </c>
      <c r="C4" s="4" t="s">
        <v>109</v>
      </c>
      <c r="D4" s="4" t="s">
        <v>110</v>
      </c>
      <c r="E4" s="4" t="s">
        <v>111</v>
      </c>
      <c r="F4" s="4" t="s">
        <v>112</v>
      </c>
      <c r="G4" s="4" t="s">
        <v>113</v>
      </c>
      <c r="H4" s="4" t="s">
        <v>114</v>
      </c>
    </row>
    <row r="5" spans="1:8" ht="15.75" customHeight="1" x14ac:dyDescent="0.2">
      <c r="A5" s="20">
        <v>0.16666666666666671</v>
      </c>
    </row>
    <row r="6" spans="1:8" ht="15.75" customHeight="1" x14ac:dyDescent="0.2">
      <c r="A6" s="20">
        <v>0.1875</v>
      </c>
    </row>
    <row r="7" spans="1:8" ht="15.75" customHeight="1" x14ac:dyDescent="0.2">
      <c r="A7" s="20">
        <v>0.20833333333333329</v>
      </c>
    </row>
    <row r="8" spans="1:8" ht="15.75" customHeight="1" x14ac:dyDescent="0.2">
      <c r="A8" s="20">
        <v>0.22916666666666671</v>
      </c>
    </row>
    <row r="9" spans="1:8" ht="15.75" customHeight="1" x14ac:dyDescent="0.2">
      <c r="A9" s="20">
        <v>0.25</v>
      </c>
    </row>
    <row r="10" spans="1:8" ht="15.75" customHeight="1" x14ac:dyDescent="0.2">
      <c r="A10" s="20">
        <v>0.27083333333333331</v>
      </c>
    </row>
    <row r="11" spans="1:8" ht="15.75" customHeight="1" x14ac:dyDescent="0.2">
      <c r="A11" s="20">
        <v>0.29166666666666669</v>
      </c>
    </row>
    <row r="12" spans="1:8" ht="15.75" customHeight="1" x14ac:dyDescent="0.2">
      <c r="A12" s="20">
        <v>0.3125</v>
      </c>
    </row>
    <row r="13" spans="1:8" ht="15.75" customHeight="1" x14ac:dyDescent="0.2">
      <c r="A13" s="20">
        <v>0.33333333333333331</v>
      </c>
    </row>
    <row r="14" spans="1:8" ht="15.75" customHeight="1" x14ac:dyDescent="0.2">
      <c r="A14" s="20">
        <v>0.35416666666666669</v>
      </c>
    </row>
    <row r="15" spans="1:8" ht="15.75" customHeight="1" x14ac:dyDescent="0.2">
      <c r="A15" s="20">
        <v>0.375</v>
      </c>
    </row>
    <row r="16" spans="1:8" ht="15.75" customHeight="1" x14ac:dyDescent="0.2">
      <c r="A16" s="20">
        <v>0.39583333333333331</v>
      </c>
    </row>
    <row r="17" spans="1:1" ht="15.75" customHeight="1" x14ac:dyDescent="0.2">
      <c r="A17" s="20">
        <v>0.41666666666666669</v>
      </c>
    </row>
    <row r="18" spans="1:1" ht="15.75" customHeight="1" x14ac:dyDescent="0.2">
      <c r="A18" s="20">
        <v>0.4375</v>
      </c>
    </row>
    <row r="19" spans="1:1" ht="15.75" customHeight="1" x14ac:dyDescent="0.2">
      <c r="A19" s="20">
        <v>0.45833333333333331</v>
      </c>
    </row>
    <row r="20" spans="1:1" ht="15.75" customHeight="1" x14ac:dyDescent="0.2">
      <c r="A20" s="20">
        <v>0.47916666666666669</v>
      </c>
    </row>
    <row r="21" spans="1:1" ht="15.75" customHeight="1" x14ac:dyDescent="0.2">
      <c r="A21" s="20">
        <v>0.5</v>
      </c>
    </row>
    <row r="22" spans="1:1" ht="15.75" customHeight="1" x14ac:dyDescent="0.2">
      <c r="A22" s="20">
        <v>0.52083333333333337</v>
      </c>
    </row>
    <row r="23" spans="1:1" ht="15.75" customHeight="1" x14ac:dyDescent="0.2">
      <c r="A23" s="20">
        <v>0.54166666666666663</v>
      </c>
    </row>
    <row r="24" spans="1:1" ht="15.75" customHeight="1" x14ac:dyDescent="0.2">
      <c r="A24" s="20">
        <v>0.5625</v>
      </c>
    </row>
    <row r="25" spans="1:1" ht="15.75" customHeight="1" x14ac:dyDescent="0.2">
      <c r="A25" s="20">
        <v>0.58333333333333337</v>
      </c>
    </row>
    <row r="26" spans="1:1" ht="15.75" customHeight="1" x14ac:dyDescent="0.2">
      <c r="A26" s="20">
        <v>0.60416666666666663</v>
      </c>
    </row>
    <row r="27" spans="1:1" ht="15.75" customHeight="1" x14ac:dyDescent="0.2">
      <c r="A27" s="20">
        <v>0.625</v>
      </c>
    </row>
    <row r="28" spans="1:1" ht="15.75" customHeight="1" x14ac:dyDescent="0.2">
      <c r="A28" s="20">
        <v>0.64583333333333337</v>
      </c>
    </row>
    <row r="29" spans="1:1" ht="15.75" customHeight="1" x14ac:dyDescent="0.2">
      <c r="A29" s="20">
        <v>0.66666666666666663</v>
      </c>
    </row>
    <row r="30" spans="1:1" ht="15.75" customHeight="1" x14ac:dyDescent="0.2">
      <c r="A30" s="20">
        <v>0.6875</v>
      </c>
    </row>
    <row r="31" spans="1:1" ht="15.75" customHeight="1" x14ac:dyDescent="0.2">
      <c r="A31" s="20">
        <v>0.70833333333333337</v>
      </c>
    </row>
    <row r="32" spans="1:1" ht="15.75" customHeight="1" x14ac:dyDescent="0.2">
      <c r="A32" s="20">
        <v>0.72916666666666663</v>
      </c>
    </row>
    <row r="33" spans="1:1" ht="15.75" customHeight="1" x14ac:dyDescent="0.2">
      <c r="A33" s="20">
        <v>0.75</v>
      </c>
    </row>
    <row r="34" spans="1:1" ht="15.75" customHeight="1" x14ac:dyDescent="0.2">
      <c r="A34" s="20">
        <v>0.77083333333333337</v>
      </c>
    </row>
    <row r="35" spans="1:1" ht="15.75" customHeight="1" x14ac:dyDescent="0.2">
      <c r="A35" s="20">
        <v>0.79166666666666663</v>
      </c>
    </row>
    <row r="36" spans="1:1" ht="15.75" customHeight="1" x14ac:dyDescent="0.2">
      <c r="A36" s="20">
        <v>0.8125</v>
      </c>
    </row>
    <row r="37" spans="1:1" ht="15.75" customHeight="1" x14ac:dyDescent="0.2">
      <c r="A37" s="20">
        <v>0.83333333333333337</v>
      </c>
    </row>
    <row r="38" spans="1:1" ht="15.75" customHeight="1" x14ac:dyDescent="0.2">
      <c r="A38" s="20">
        <v>0.85416666666666663</v>
      </c>
    </row>
    <row r="39" spans="1:1" ht="15.75" customHeight="1" x14ac:dyDescent="0.2">
      <c r="A39" s="20">
        <v>0.875</v>
      </c>
    </row>
    <row r="40" spans="1:1" ht="15.75" customHeight="1" x14ac:dyDescent="0.2">
      <c r="A40" s="20">
        <v>0.89583333333333337</v>
      </c>
    </row>
    <row r="41" spans="1:1" ht="15.75" customHeight="1" x14ac:dyDescent="0.2">
      <c r="A41" s="20">
        <v>0.91666666666666663</v>
      </c>
    </row>
    <row r="42" spans="1:1" ht="15.75" customHeight="1" x14ac:dyDescent="0.2">
      <c r="A42" s="20">
        <v>0.9375</v>
      </c>
    </row>
    <row r="43" spans="1:1" ht="15.75" customHeight="1" x14ac:dyDescent="0.2">
      <c r="A43" s="20">
        <v>0.95833333333333337</v>
      </c>
    </row>
    <row r="44" spans="1:1" ht="15.75" customHeight="1" x14ac:dyDescent="0.2">
      <c r="A44" s="20">
        <v>0.97916666666666663</v>
      </c>
    </row>
    <row r="45" spans="1:1" ht="15.75" customHeight="1" x14ac:dyDescent="0.2">
      <c r="A45" s="20">
        <v>1</v>
      </c>
    </row>
    <row r="46" spans="1:1" ht="15.75" customHeight="1" x14ac:dyDescent="0.2">
      <c r="A46" s="20">
        <v>1.020833333333333</v>
      </c>
    </row>
    <row r="47" spans="1:1" ht="15.75" customHeight="1" x14ac:dyDescent="0.2">
      <c r="A47" s="20">
        <v>1.041666666666667</v>
      </c>
    </row>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zoomScaleNormal="100" workbookViewId="0"/>
  </sheetViews>
  <sheetFormatPr baseColWidth="10" defaultColWidth="11.1640625" defaultRowHeight="16" x14ac:dyDescent="0.2"/>
  <cols>
    <col min="1" max="26" width="8.33203125" customWidth="1"/>
  </cols>
  <sheetData>
    <row r="1" spans="1:8" ht="15.75" customHeight="1" x14ac:dyDescent="0.3">
      <c r="B1" s="19" t="s">
        <v>107</v>
      </c>
    </row>
    <row r="2" spans="1:8" ht="15.75" customHeight="1" x14ac:dyDescent="0.2"/>
    <row r="3" spans="1:8" ht="15.75" customHeight="1" x14ac:dyDescent="0.2"/>
    <row r="4" spans="1:8" ht="15.75" customHeight="1" x14ac:dyDescent="0.2">
      <c r="B4" s="4" t="s">
        <v>108</v>
      </c>
      <c r="C4" s="4" t="s">
        <v>109</v>
      </c>
      <c r="D4" s="4" t="s">
        <v>110</v>
      </c>
      <c r="E4" s="4" t="s">
        <v>111</v>
      </c>
      <c r="F4" s="4" t="s">
        <v>112</v>
      </c>
      <c r="G4" s="4" t="s">
        <v>113</v>
      </c>
      <c r="H4" s="4" t="s">
        <v>114</v>
      </c>
    </row>
    <row r="5" spans="1:8" ht="15.75" customHeight="1" x14ac:dyDescent="0.2">
      <c r="A5" s="20">
        <v>0.16666666666666671</v>
      </c>
    </row>
    <row r="6" spans="1:8" ht="15.75" customHeight="1" x14ac:dyDescent="0.2">
      <c r="A6" s="20">
        <v>0.1875</v>
      </c>
    </row>
    <row r="7" spans="1:8" ht="15.75" customHeight="1" x14ac:dyDescent="0.2">
      <c r="A7" s="20">
        <v>0.20833333333333329</v>
      </c>
    </row>
    <row r="8" spans="1:8" ht="15.75" customHeight="1" x14ac:dyDescent="0.2">
      <c r="A8" s="20">
        <v>0.22916666666666671</v>
      </c>
    </row>
    <row r="9" spans="1:8" ht="15.75" customHeight="1" x14ac:dyDescent="0.2">
      <c r="A9" s="20">
        <v>0.25</v>
      </c>
    </row>
    <row r="10" spans="1:8" ht="15.75" customHeight="1" x14ac:dyDescent="0.2">
      <c r="A10" s="20">
        <v>0.27083333333333331</v>
      </c>
    </row>
    <row r="11" spans="1:8" ht="15.75" customHeight="1" x14ac:dyDescent="0.2">
      <c r="A11" s="20">
        <v>0.29166666666666669</v>
      </c>
    </row>
    <row r="12" spans="1:8" ht="15.75" customHeight="1" x14ac:dyDescent="0.2">
      <c r="A12" s="20">
        <v>0.3125</v>
      </c>
    </row>
    <row r="13" spans="1:8" ht="15.75" customHeight="1" x14ac:dyDescent="0.2">
      <c r="A13" s="20">
        <v>0.33333333333333331</v>
      </c>
    </row>
    <row r="14" spans="1:8" ht="15.75" customHeight="1" x14ac:dyDescent="0.2">
      <c r="A14" s="20">
        <v>0.35416666666666669</v>
      </c>
    </row>
    <row r="15" spans="1:8" ht="15.75" customHeight="1" x14ac:dyDescent="0.2">
      <c r="A15" s="20">
        <v>0.375</v>
      </c>
    </row>
    <row r="16" spans="1:8" ht="15.75" customHeight="1" x14ac:dyDescent="0.2">
      <c r="A16" s="20">
        <v>0.39583333333333331</v>
      </c>
    </row>
    <row r="17" spans="1:1" ht="15.75" customHeight="1" x14ac:dyDescent="0.2">
      <c r="A17" s="20">
        <v>0.41666666666666669</v>
      </c>
    </row>
    <row r="18" spans="1:1" ht="15.75" customHeight="1" x14ac:dyDescent="0.2">
      <c r="A18" s="20">
        <v>0.4375</v>
      </c>
    </row>
    <row r="19" spans="1:1" ht="15.75" customHeight="1" x14ac:dyDescent="0.2">
      <c r="A19" s="20">
        <v>0.45833333333333331</v>
      </c>
    </row>
    <row r="20" spans="1:1" ht="15.75" customHeight="1" x14ac:dyDescent="0.2">
      <c r="A20" s="20">
        <v>0.47916666666666669</v>
      </c>
    </row>
    <row r="21" spans="1:1" ht="15.75" customHeight="1" x14ac:dyDescent="0.2">
      <c r="A21" s="20">
        <v>0.5</v>
      </c>
    </row>
    <row r="22" spans="1:1" ht="15.75" customHeight="1" x14ac:dyDescent="0.2">
      <c r="A22" s="20">
        <v>0.52083333333333337</v>
      </c>
    </row>
    <row r="23" spans="1:1" ht="15.75" customHeight="1" x14ac:dyDescent="0.2">
      <c r="A23" s="20">
        <v>0.54166666666666663</v>
      </c>
    </row>
    <row r="24" spans="1:1" ht="15.75" customHeight="1" x14ac:dyDescent="0.2">
      <c r="A24" s="20">
        <v>0.5625</v>
      </c>
    </row>
    <row r="25" spans="1:1" ht="15.75" customHeight="1" x14ac:dyDescent="0.2">
      <c r="A25" s="20">
        <v>0.58333333333333337</v>
      </c>
    </row>
    <row r="26" spans="1:1" ht="15.75" customHeight="1" x14ac:dyDescent="0.2">
      <c r="A26" s="20">
        <v>0.60416666666666663</v>
      </c>
    </row>
    <row r="27" spans="1:1" ht="15.75" customHeight="1" x14ac:dyDescent="0.2">
      <c r="A27" s="20">
        <v>0.625</v>
      </c>
    </row>
    <row r="28" spans="1:1" ht="15.75" customHeight="1" x14ac:dyDescent="0.2">
      <c r="A28" s="20">
        <v>0.64583333333333337</v>
      </c>
    </row>
    <row r="29" spans="1:1" ht="15.75" customHeight="1" x14ac:dyDescent="0.2">
      <c r="A29" s="20">
        <v>0.66666666666666663</v>
      </c>
    </row>
    <row r="30" spans="1:1" ht="15.75" customHeight="1" x14ac:dyDescent="0.2">
      <c r="A30" s="20">
        <v>0.6875</v>
      </c>
    </row>
    <row r="31" spans="1:1" ht="15.75" customHeight="1" x14ac:dyDescent="0.2">
      <c r="A31" s="20">
        <v>0.70833333333333337</v>
      </c>
    </row>
    <row r="32" spans="1:1" ht="15.75" customHeight="1" x14ac:dyDescent="0.2">
      <c r="A32" s="20">
        <v>0.72916666666666663</v>
      </c>
    </row>
    <row r="33" spans="1:1" ht="15.75" customHeight="1" x14ac:dyDescent="0.2">
      <c r="A33" s="20">
        <v>0.75</v>
      </c>
    </row>
    <row r="34" spans="1:1" ht="15.75" customHeight="1" x14ac:dyDescent="0.2">
      <c r="A34" s="20">
        <v>0.77083333333333337</v>
      </c>
    </row>
    <row r="35" spans="1:1" ht="15.75" customHeight="1" x14ac:dyDescent="0.2">
      <c r="A35" s="20">
        <v>0.79166666666666663</v>
      </c>
    </row>
    <row r="36" spans="1:1" ht="15.75" customHeight="1" x14ac:dyDescent="0.2">
      <c r="A36" s="20">
        <v>0.8125</v>
      </c>
    </row>
    <row r="37" spans="1:1" ht="15.75" customHeight="1" x14ac:dyDescent="0.2">
      <c r="A37" s="20">
        <v>0.83333333333333337</v>
      </c>
    </row>
    <row r="38" spans="1:1" ht="15.75" customHeight="1" x14ac:dyDescent="0.2">
      <c r="A38" s="20">
        <v>0.85416666666666663</v>
      </c>
    </row>
    <row r="39" spans="1:1" ht="15.75" customHeight="1" x14ac:dyDescent="0.2">
      <c r="A39" s="20">
        <v>0.875</v>
      </c>
    </row>
    <row r="40" spans="1:1" ht="15.75" customHeight="1" x14ac:dyDescent="0.2">
      <c r="A40" s="20">
        <v>0.89583333333333337</v>
      </c>
    </row>
    <row r="41" spans="1:1" ht="15.75" customHeight="1" x14ac:dyDescent="0.2">
      <c r="A41" s="20">
        <v>0.91666666666666663</v>
      </c>
    </row>
    <row r="42" spans="1:1" ht="15.75" customHeight="1" x14ac:dyDescent="0.2">
      <c r="A42" s="20">
        <v>0.9375</v>
      </c>
    </row>
    <row r="43" spans="1:1" ht="15.75" customHeight="1" x14ac:dyDescent="0.2">
      <c r="A43" s="20">
        <v>0.95833333333333337</v>
      </c>
    </row>
    <row r="44" spans="1:1" ht="15.75" customHeight="1" x14ac:dyDescent="0.2">
      <c r="A44" s="20">
        <v>0.97916666666666663</v>
      </c>
    </row>
    <row r="45" spans="1:1" ht="15.75" customHeight="1" x14ac:dyDescent="0.2">
      <c r="A45" s="20">
        <v>1</v>
      </c>
    </row>
    <row r="46" spans="1:1" ht="15.75" customHeight="1" x14ac:dyDescent="0.2">
      <c r="A46" s="20">
        <v>1.020833333333333</v>
      </c>
    </row>
    <row r="47" spans="1:1" ht="15.75" customHeight="1" x14ac:dyDescent="0.2">
      <c r="A47" s="20">
        <v>1.041666666666667</v>
      </c>
    </row>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ANLEITUNG</vt:lpstr>
      <vt:lpstr>Semesterplan</vt:lpstr>
      <vt:lpstr>Best-Practices</vt:lpstr>
      <vt:lpstr>COMMITTMENT</vt:lpstr>
      <vt:lpstr>Wochenplan KW 312026</vt:lpstr>
      <vt:lpstr>Wochenplan KW 322026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Dennis Hoffmann</cp:lastModifiedBy>
  <cp:revision>0</cp:revision>
  <dcterms:created xsi:type="dcterms:W3CDTF">2026-07-22T19:45:58Z</dcterms:created>
  <dcterms:modified xsi:type="dcterms:W3CDTF">2026-07-28T14:27:44Z</dcterms:modified>
  <dc:language>en-US</dc:language>
</cp:coreProperties>
</file>