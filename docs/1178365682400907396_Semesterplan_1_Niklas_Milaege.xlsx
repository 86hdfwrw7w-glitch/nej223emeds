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nmilaege/Desktop/Uni/Planung 1. Semester/"/>
    </mc:Choice>
  </mc:AlternateContent>
  <xr:revisionPtr revIDLastSave="0" documentId="13_ncr:1_{84E528FD-B05E-CB44-AC28-A2CC099F5F1F}" xr6:coauthVersionLast="47" xr6:coauthVersionMax="47" xr10:uidLastSave="{00000000-0000-0000-0000-000000000000}"/>
  <bookViews>
    <workbookView xWindow="0" yWindow="500" windowWidth="28800" windowHeight="16020" activeTab="1" xr2:uid="{50F29292-BE80-0C47-A0D2-DD086CB3D310}"/>
  </bookViews>
  <sheets>
    <sheet name="ANLEITUNG" sheetId="10" r:id="rId1"/>
    <sheet name="Semesterplan" sheetId="7" r:id="rId2"/>
    <sheet name="Best-Practices" sheetId="2" r:id="rId3"/>
    <sheet name="COMMITTMENT" sheetId="9" r:id="rId4"/>
    <sheet name="Wochenplan KW 48" sheetId="3" r:id="rId5"/>
    <sheet name="Wochenplan KW 49"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3" i="7" l="1"/>
  <c r="K16" i="7" a="1"/>
  <c r="K16" i="7" s="1"/>
  <c r="J16" i="7" a="1"/>
  <c r="J16" i="7" s="1"/>
  <c r="I16" i="7"/>
  <c r="K15" i="7" a="1"/>
  <c r="K15" i="7" s="1"/>
  <c r="J15" i="7" a="1"/>
  <c r="J15" i="7" s="1"/>
  <c r="I15" i="7"/>
  <c r="K14" i="7" a="1"/>
  <c r="K14" i="7" s="1"/>
  <c r="J14" i="7" a="1"/>
  <c r="J14" i="7" s="1"/>
  <c r="I14" i="7"/>
  <c r="K17" i="7" a="1"/>
  <c r="K17" i="7" s="1"/>
  <c r="J17" i="7" a="1"/>
  <c r="J17" i="7" s="1"/>
  <c r="I17" i="7"/>
  <c r="G72" i="7"/>
  <c r="K83" i="7" a="1"/>
  <c r="K83" i="7" s="1"/>
  <c r="J83" i="7" a="1"/>
  <c r="J83" i="7" s="1"/>
  <c r="I83" i="7"/>
  <c r="K82" i="7" a="1"/>
  <c r="K82" i="7" s="1"/>
  <c r="J82" i="7" a="1"/>
  <c r="J82" i="7" s="1"/>
  <c r="I82" i="7"/>
  <c r="K81" i="7" a="1"/>
  <c r="K81" i="7" s="1"/>
  <c r="J81" i="7" a="1"/>
  <c r="J81" i="7" s="1"/>
  <c r="I81" i="7"/>
  <c r="K84" i="7" a="1"/>
  <c r="K84" i="7" s="1"/>
  <c r="J84" i="7" a="1"/>
  <c r="J84" i="7" s="1"/>
  <c r="I84" i="7"/>
  <c r="CT72" i="7"/>
  <c r="CT56" i="7"/>
  <c r="CT41" i="7"/>
  <c r="CT27" i="7"/>
  <c r="CT13" i="7"/>
  <c r="CT4" i="7"/>
  <c r="CM72" i="7"/>
  <c r="CM56" i="7"/>
  <c r="CM41" i="7"/>
  <c r="CM27" i="7"/>
  <c r="CM13" i="7"/>
  <c r="CM4" i="7"/>
  <c r="CF13" i="7"/>
  <c r="CF27" i="7"/>
  <c r="CF41" i="7"/>
  <c r="CF56" i="7"/>
  <c r="K7" i="7" a="1"/>
  <c r="K7" i="7" s="1"/>
  <c r="J7" i="7" a="1"/>
  <c r="J7" i="7" s="1"/>
  <c r="I7" i="7"/>
  <c r="CF72" i="7"/>
  <c r="CF4" i="7"/>
  <c r="BY72" i="7"/>
  <c r="BY56" i="7"/>
  <c r="BY41" i="7"/>
  <c r="BY27" i="7"/>
  <c r="BY13" i="7"/>
  <c r="BY4" i="7"/>
  <c r="BR72" i="7"/>
  <c r="BR56" i="7"/>
  <c r="BR41" i="7"/>
  <c r="BR27" i="7"/>
  <c r="BR13" i="7"/>
  <c r="BR4" i="7"/>
  <c r="BK72" i="7"/>
  <c r="BK56" i="7"/>
  <c r="BK41" i="7"/>
  <c r="BK27" i="7"/>
  <c r="BK13" i="7"/>
  <c r="BK4" i="7"/>
  <c r="BD72" i="7"/>
  <c r="BD56" i="7"/>
  <c r="BD41" i="7"/>
  <c r="BD27" i="7"/>
  <c r="BD13" i="7"/>
  <c r="BD4" i="7"/>
  <c r="AW72" i="7"/>
  <c r="AW56" i="7"/>
  <c r="AW41" i="7"/>
  <c r="AW27" i="7"/>
  <c r="AW13" i="7"/>
  <c r="AW4" i="7"/>
  <c r="AP72" i="7"/>
  <c r="AP56" i="7"/>
  <c r="AP41" i="7"/>
  <c r="AP27" i="7"/>
  <c r="AP13" i="7"/>
  <c r="AP4" i="7"/>
  <c r="AI72" i="7"/>
  <c r="AI56" i="7"/>
  <c r="AI41" i="7"/>
  <c r="AI27" i="7"/>
  <c r="AI13" i="7"/>
  <c r="AI4" i="7"/>
  <c r="AB72" i="7"/>
  <c r="AB56" i="7"/>
  <c r="AB41" i="7"/>
  <c r="AB27" i="7"/>
  <c r="AB13" i="7"/>
  <c r="AB4" i="7"/>
  <c r="U72" i="7"/>
  <c r="U56" i="7"/>
  <c r="U41" i="7"/>
  <c r="U27" i="7"/>
  <c r="U13" i="7"/>
  <c r="U4" i="7"/>
  <c r="N13" i="7"/>
  <c r="K11" i="7" a="1"/>
  <c r="K11" i="7" s="1"/>
  <c r="J11" i="7" a="1"/>
  <c r="J11" i="7" s="1"/>
  <c r="I11" i="7"/>
  <c r="N56" i="7"/>
  <c r="N41" i="7"/>
  <c r="N27" i="7"/>
  <c r="N4" i="7"/>
  <c r="G27" i="7"/>
  <c r="K39" i="7" a="1"/>
  <c r="K39" i="7" s="1"/>
  <c r="J39" i="7" a="1"/>
  <c r="J39" i="7" s="1"/>
  <c r="I39" i="7"/>
  <c r="G56" i="7"/>
  <c r="G41"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G4" i="7"/>
  <c r="K80" i="7" a="1"/>
  <c r="K80" i="7" s="1"/>
  <c r="J80" i="7" a="1"/>
  <c r="J80" i="7" s="1"/>
  <c r="I80" i="7"/>
  <c r="K79" i="7" a="1"/>
  <c r="K79" i="7" s="1"/>
  <c r="J79" i="7" a="1"/>
  <c r="J79" i="7" s="1"/>
  <c r="I79" i="7"/>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N72" i="7"/>
  <c r="K20" i="7" a="1"/>
  <c r="K20" i="7" s="1"/>
  <c r="J20" i="7" a="1"/>
  <c r="J20" i="7" s="1"/>
  <c r="I20" i="7"/>
  <c r="K19" i="7" a="1"/>
  <c r="K19" i="7" s="1"/>
  <c r="J19" i="7" a="1"/>
  <c r="J19" i="7" s="1"/>
  <c r="I19"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C12" i="10"/>
  <c r="K25" i="7" a="1"/>
  <c r="K25" i="7" s="1"/>
  <c r="J25" i="7" a="1"/>
  <c r="J25" i="7" s="1"/>
  <c r="K24" i="7" a="1"/>
  <c r="K24" i="7" s="1"/>
  <c r="J24" i="7" a="1"/>
  <c r="J24" i="7" s="1"/>
  <c r="K23" i="7" a="1"/>
  <c r="K23" i="7" s="1"/>
  <c r="J23" i="7" a="1"/>
  <c r="J23" i="7" s="1"/>
  <c r="K22" i="7" a="1"/>
  <c r="K22" i="7" s="1"/>
  <c r="J22" i="7" a="1"/>
  <c r="J22" i="7" s="1"/>
  <c r="K21" i="7" a="1"/>
  <c r="K21" i="7" s="1"/>
  <c r="J21" i="7" a="1"/>
  <c r="J21" i="7" s="1"/>
  <c r="K18" i="7" a="1"/>
  <c r="K18" i="7" s="1"/>
  <c r="J18" i="7" a="1"/>
  <c r="J18"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10" i="7" a="1"/>
  <c r="K10" i="7" s="1"/>
  <c r="J10" i="7" a="1"/>
  <c r="J10" i="7" s="1"/>
  <c r="K9" i="7" a="1"/>
  <c r="K9" i="7" s="1"/>
  <c r="J9" i="7" a="1"/>
  <c r="J9" i="7" s="1"/>
  <c r="K8" i="7" a="1"/>
  <c r="K8" i="7" s="1"/>
  <c r="J8" i="7" a="1"/>
  <c r="J8" i="7" s="1"/>
  <c r="K6" i="7" a="1"/>
  <c r="K6" i="7" s="1"/>
  <c r="J6" i="7" a="1"/>
  <c r="J6" i="7" s="1"/>
  <c r="K5" i="7" a="1"/>
  <c r="K5" i="7" s="1"/>
  <c r="J5" i="7" a="1"/>
  <c r="J5" i="7" s="1"/>
  <c r="I38" i="7"/>
  <c r="I37" i="7"/>
  <c r="I36" i="7"/>
  <c r="I35" i="7"/>
  <c r="I34" i="7"/>
  <c r="I33" i="7"/>
  <c r="I32" i="7"/>
  <c r="I31" i="7"/>
  <c r="I30" i="7"/>
  <c r="I29" i="7"/>
  <c r="I28" i="7"/>
  <c r="I25" i="7"/>
  <c r="I24" i="7"/>
  <c r="I23" i="7"/>
  <c r="I22" i="7"/>
  <c r="I21" i="7"/>
  <c r="I18" i="7"/>
  <c r="I6" i="7"/>
  <c r="I8" i="7"/>
  <c r="I9" i="7"/>
  <c r="I10" i="7"/>
  <c r="I5" i="7"/>
  <c r="K13" i="7" l="1"/>
  <c r="J13" i="7"/>
  <c r="J72" i="7"/>
  <c r="K72" i="7"/>
  <c r="J27" i="7"/>
  <c r="K27" i="7"/>
  <c r="K56" i="7"/>
  <c r="J4" i="7"/>
  <c r="K4" i="7"/>
  <c r="K41" i="7"/>
  <c r="J56" i="7"/>
  <c r="J41" i="7"/>
  <c r="I72" i="7"/>
  <c r="I56" i="7"/>
  <c r="I41" i="7"/>
  <c r="I27" i="7"/>
  <c r="I13"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<sst xmlns="http://schemas.openxmlformats.org/spreadsheetml/2006/main" count="409" uniqueCount="178">
  <si>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</si>
  <si>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</si>
  <si>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</si>
  <si>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</si>
  <si>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</si>
  <si>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</si>
  <si>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</si>
  <si>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</si>
  <si>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</si>
  <si>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</si>
  <si>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</si>
  <si>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</si>
  <si>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</si>
  <si>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</si>
  <si>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</si>
  <si>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</si>
  <si>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</si>
  <si>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</si>
  <si>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</si>
  <si>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</si>
  <si>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</si>
  <si>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</si>
  <si>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</si>
  <si>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</si>
  <si>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</si>
  <si>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</si>
  <si>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</si>
  <si>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</si>
  <si>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</si>
  <si>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</si>
  <si>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</si>
  <si>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</si>
  <si>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</si>
  <si>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</si>
  <si>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</si>
  <si>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</si>
  <si>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</si>
  <si>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</si>
  <si>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</si>
  <si>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</si>
  <si>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</si>
  <si>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</si>
  <si>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</si>
  <si>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</si>
  <si>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</si>
  <si>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</si>
  <si>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</si>
  <si>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</si>
  <si>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</si>
  <si>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</si>
  <si>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</si>
  <si>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</si>
  <si>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</si>
  <si>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</si>
  <si>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</si>
  <si>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</si>
  <si>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</si>
  <si>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</si>
  <si>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</si>
  <si>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</si>
  <si>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</si>
  <si>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</si>
  <si>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</si>
  <si>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</si>
  <si>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</si>
  <si>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</si>
  <si>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</si>
  <si>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</si>
  <si>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</si>
  <si>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</si>
  <si>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</si>
  <si>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</si>
  <si>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</si>
  <si>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</si>
  <si>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</si>
  <si>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</si>
  <si>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</si>
  <si>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</si>
  <si>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</si>
  <si>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</si>
  <si>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</si>
  <si>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</si>
  <si>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</si>
  <si>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</si>
  <si>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</si>
  <si>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</si>
  <si>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</si>
  <si>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</si>
  <si>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Einführung Wiwi</t>
  </si>
  <si>
    <t>Mathe 1</t>
  </si>
  <si>
    <t>Statistik 1</t>
  </si>
  <si>
    <t>Wirtschaftsinformatik</t>
  </si>
  <si>
    <t>Wirtschaftsprivatrecht</t>
  </si>
  <si>
    <t>Management</t>
  </si>
  <si>
    <t>1) Spezialisierung</t>
  </si>
  <si>
    <t>2) Spezialisierung mit Handel</t>
  </si>
  <si>
    <t>3) Entscheidungen mit Unsicherheiten</t>
  </si>
  <si>
    <t>4) Markt mit asymmetrischen Informationen</t>
  </si>
  <si>
    <t>5) Externalitäten und Anreize</t>
  </si>
  <si>
    <t>6) Markt mit Externalitäten</t>
  </si>
  <si>
    <t>7) Hold-Up</t>
  </si>
  <si>
    <t xml:space="preserve">5) </t>
  </si>
  <si>
    <t xml:space="preserve">6) </t>
  </si>
  <si>
    <t>1) Wirtschaftsprivatrecht im Rechts- und Gesellschaftssystem</t>
  </si>
  <si>
    <t>2) Grundlagen und Grundsätze des Wirtschaftsprivatrechts</t>
  </si>
  <si>
    <t>3) Das Wirtschaftsprivatrecht und seine Akteure</t>
  </si>
  <si>
    <t>4) Die Außendarstellung des kfm. Unternehmens sowie Überlegungen zum Vertragsrecht</t>
  </si>
  <si>
    <t>5) Der Vertragsschluss - Allgemeines</t>
  </si>
  <si>
    <t>6) Der Vertragsschluss - Besonderheiten</t>
  </si>
  <si>
    <t>7) Die ordnungsgemäße Durchführung eines schuldrechtlichen (Austausch-)Vertrages</t>
  </si>
  <si>
    <t>8) Pflichtverletzung im schuldrechtlichen Austausch</t>
  </si>
  <si>
    <t>9) Der Kaufvertrag</t>
  </si>
  <si>
    <t>10) Werks- und Dienstvertrag</t>
  </si>
  <si>
    <t>11) Gesetzliche Schuldverhältnisse</t>
  </si>
  <si>
    <t>12) Gesetzliche Schuldverhältnisse im Blick</t>
  </si>
  <si>
    <t>1) Wertschöpfung in der digitalen Gesellschaft</t>
  </si>
  <si>
    <t>2) Informationssysteme für die digitale Organisation</t>
  </si>
  <si>
    <t xml:space="preserve">3) Betriebsorganisation und Unternehmensmodellierung </t>
  </si>
  <si>
    <t>4) Geschäftsprozessmanagement</t>
  </si>
  <si>
    <t xml:space="preserve">5) Grundlagen von ERP-Systemen </t>
  </si>
  <si>
    <t>6) ERP-Systeme im Handel</t>
  </si>
  <si>
    <t>7) Die Wirtschaftsinformatik - Wir gestalten das digitale Zeitalter 1</t>
  </si>
  <si>
    <t>8) Entscheidungsunterstützungssysteme</t>
  </si>
  <si>
    <t>9) Mobile Informationssysteme</t>
  </si>
  <si>
    <t>10) Digitale Plattformen im B2B Sektor</t>
  </si>
  <si>
    <t>11) Digitale Zusammenarbeit und Enterprise Social Media</t>
  </si>
  <si>
    <t>12) ERP-Einführung im Unternhemen - Ein Erfahrungsbericht</t>
  </si>
  <si>
    <t xml:space="preserve">13) Digital Responsibility </t>
  </si>
  <si>
    <t>14) Die Wirtschaftsinformatik - Wir gestalten das digitale Zeitalter 2</t>
  </si>
  <si>
    <t xml:space="preserve">7) </t>
  </si>
  <si>
    <t xml:space="preserve">8) </t>
  </si>
  <si>
    <t>KW 48</t>
  </si>
  <si>
    <t>KW 50</t>
  </si>
  <si>
    <t>KW 51</t>
  </si>
  <si>
    <t>KW 52</t>
  </si>
  <si>
    <t>KW 1</t>
  </si>
  <si>
    <t>KW 2</t>
  </si>
  <si>
    <t>KW 3</t>
  </si>
  <si>
    <t>KW 4</t>
  </si>
  <si>
    <t>KW 5</t>
  </si>
  <si>
    <t>KW 49 / EIWIWI KLAUSUR</t>
  </si>
  <si>
    <t>1) Grundlagen</t>
  </si>
  <si>
    <t>2) Funktionen einer Variablen</t>
  </si>
  <si>
    <t>3) Eigenschaften von Funktionen</t>
  </si>
  <si>
    <t>4) Differentialgleichung</t>
  </si>
  <si>
    <t>KLAUSUR WPR</t>
  </si>
  <si>
    <t>KW 47</t>
  </si>
  <si>
    <t>1) Einführung in das Marketing</t>
  </si>
  <si>
    <t>2) Kundenwert und Kundenbeziehungen</t>
  </si>
  <si>
    <t>3) Produktpolitik</t>
  </si>
  <si>
    <t>4) Preispolitik</t>
  </si>
  <si>
    <t>5) Distributionspolitik</t>
  </si>
  <si>
    <t>6) Kommunikationspolitik</t>
  </si>
  <si>
    <t>1) Einführung</t>
  </si>
  <si>
    <t>2) Institutionsökonomik</t>
  </si>
  <si>
    <t>3) Corporate Governance</t>
  </si>
  <si>
    <t>4) Organisation</t>
  </si>
  <si>
    <t>5) Perosnalwirtschaft</t>
  </si>
  <si>
    <t>6) Nachhaltiges Management</t>
  </si>
  <si>
    <t>1) Statistische Merkmale un Daten</t>
  </si>
  <si>
    <t>2a) Auswertung von eindimensionalen Daten - Häufigkeitsverteilungen</t>
  </si>
  <si>
    <t>2b) Auswertungen von eindimensionalen Daten -  Lagemaße</t>
  </si>
  <si>
    <t>2c) Auswertungen von eindimensionalen Daten - Streuungsmaße</t>
  </si>
  <si>
    <t>3) Konzentrationsmaße</t>
  </si>
  <si>
    <t>4a) Zweidimensionale Verteilungen</t>
  </si>
  <si>
    <t>4b) Zweidimensionale Verteilungen</t>
  </si>
  <si>
    <t>5) Lineare Einfachregression</t>
  </si>
  <si>
    <t>6) Elementare Zeitreihenanalyse</t>
  </si>
  <si>
    <t>7) Indexzahlen</t>
  </si>
  <si>
    <t>8a) Wahrscheinlichkeitsrechnung</t>
  </si>
  <si>
    <t>8b) Wharscheinlichkeitsrechnung</t>
  </si>
  <si>
    <t>13) Sachenrecht im Überblick</t>
  </si>
  <si>
    <t xml:space="preserve">Vorkurs Teil 2 </t>
  </si>
  <si>
    <t>Vorkurs Teil 1</t>
  </si>
  <si>
    <t>Vorkurs Teil 3</t>
  </si>
  <si>
    <t>Vorkurs Teil 4</t>
  </si>
  <si>
    <t>Marketing</t>
  </si>
  <si>
    <t>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</si>
</sst>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10FF07"/>
        <bgColor rgb="FF000000"/>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6" fillId="0" borderId="0" xfId="0" applyFont="1"/>
    <xf numFmtId="0" fontId="6" fillId="0" borderId="0" xfId="0" applyFont="1" applyAlignment="1">
      <alignment horizontal="center"/>
    </xf>
    <xf numFmtId="9" fontId="6" fillId="0" borderId="0" xfId="0" applyNumberFormat="1" applyFont="1"/>
    <xf numFmtId="9" fontId="6" fillId="7" borderId="0" xfId="0" applyNumberFormat="1" applyFont="1" applyFill="1" applyAlignment="1">
      <alignment horizontal="center"/>
    </xf>
    <xf numFmtId="0" fontId="1" fillId="2" borderId="0" xfId="0" applyFont="1" applyFill="1" applyAlignment="1">
      <alignment horizontal="center"/>
    </xf>
  </cellXfs>
  <cellStyles count="1">
    <cellStyle name="Standard" xfId="0" builtinId="0"/>
  </cellStyles>
  <dxfs count="101">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69" totalsRowShown="0" headerRowDxfId="100">
  <autoFilter ref="A1:K69" xr:uid="{6E266E34-2786-2747-BCE7-51B74867A564}"/>
  <tableColumns count="11">
    <tableColumn id="1" xr3:uid="{95FD92F7-3DC8-704D-A103-A7EDDAB255AB}" name="Datum" dataDxfId="99"/>
    <tableColumn id="2" xr3:uid="{F464D510-8166-E740-A343-FB84BDEF877F}" name="Lerneinheiten durchgezogen" dataDxfId="98"/>
    <tableColumn id="3" xr3:uid="{75F52B08-1A00-0848-BBE6-1EDF7B31B1AD}" name="Tagesplan erstellt" dataDxfId="97"/>
    <tableColumn id="4" xr3:uid="{E6B18D89-E799-AD48-9DAA-37AEE1D29011}" name="Konzentrationslevel" dataDxfId="9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A2" workbookViewId="0">
      <selection activeCell="D23" sqref="D23"/>
    </sheetView>
  </sheetViews>
  <sheetFormatPr baseColWidth="10" defaultRowHeight="16" x14ac:dyDescent="0.2"/>
  <cols>
    <col min="1" max="1" width="11.83203125" customWidth="1"/>
    <col min="2" max="2" width="62.6640625" customWidth="1"/>
  </cols>
  <sheetData>
    <row r="2" spans="1:4" x14ac:dyDescent="0.2">
      <c r="C2" s="18" t="s">
        <v>71</v>
      </c>
    </row>
    <row r="3" spans="1:4" x14ac:dyDescent="0.2">
      <c r="C3" s="17" t="s">
        <v>56</v>
      </c>
    </row>
    <row r="4" spans="1:4" x14ac:dyDescent="0.2">
      <c r="C4" s="16" t="s">
        <v>70</v>
      </c>
    </row>
    <row r="5" spans="1:4" x14ac:dyDescent="0.2">
      <c r="A5" s="2" t="s">
        <v>53</v>
      </c>
      <c r="B5" s="2" t="s">
        <v>54</v>
      </c>
      <c r="C5" s="2" t="s">
        <v>55</v>
      </c>
      <c r="D5" s="2" t="s">
        <v>57</v>
      </c>
    </row>
    <row r="6" spans="1:4" x14ac:dyDescent="0.2">
      <c r="A6" t="s">
        <v>49</v>
      </c>
      <c r="B6" s="18" t="s">
        <v>52</v>
      </c>
      <c r="D6" t="s">
        <v>86</v>
      </c>
    </row>
    <row r="7" spans="1:4" x14ac:dyDescent="0.2">
      <c r="A7" t="s">
        <v>60</v>
      </c>
      <c r="B7" t="s">
        <v>61</v>
      </c>
      <c r="C7" s="16">
        <v>70</v>
      </c>
    </row>
    <row r="8" spans="1:4" x14ac:dyDescent="0.2">
      <c r="A8" t="s">
        <v>51</v>
      </c>
      <c r="B8" s="18" t="s">
        <v>50</v>
      </c>
      <c r="D8" t="s">
        <v>74</v>
      </c>
    </row>
    <row r="9" spans="1:4" x14ac:dyDescent="0.2">
      <c r="A9" t="s">
        <v>59</v>
      </c>
      <c r="B9" s="18" t="s">
        <v>72</v>
      </c>
      <c r="D9" t="s">
        <v>75</v>
      </c>
    </row>
    <row r="10" spans="1:4" x14ac:dyDescent="0.2">
      <c r="A10" t="s">
        <v>63</v>
      </c>
      <c r="B10" t="s">
        <v>62</v>
      </c>
      <c r="C10" s="16">
        <v>8.5</v>
      </c>
      <c r="D10" t="s">
        <v>58</v>
      </c>
    </row>
    <row r="11" spans="1:4" x14ac:dyDescent="0.2">
      <c r="A11" t="s">
        <v>64</v>
      </c>
      <c r="B11" t="s">
        <v>66</v>
      </c>
      <c r="C11" s="16">
        <v>187</v>
      </c>
      <c r="D11" t="s">
        <v>65</v>
      </c>
    </row>
    <row r="12" spans="1:4" x14ac:dyDescent="0.2">
      <c r="A12" t="s">
        <v>68</v>
      </c>
      <c r="B12" t="s">
        <v>67</v>
      </c>
      <c r="C12" s="17">
        <f>C11/C10</f>
        <v>22</v>
      </c>
    </row>
    <row r="13" spans="1:4" x14ac:dyDescent="0.2">
      <c r="A13" t="s">
        <v>73</v>
      </c>
      <c r="B13" t="s">
        <v>69</v>
      </c>
      <c r="D13" t="s">
        <v>76</v>
      </c>
    </row>
    <row r="14" spans="1:4" x14ac:dyDescent="0.2">
      <c r="A14" t="s">
        <v>77</v>
      </c>
      <c r="B14" t="s">
        <v>78</v>
      </c>
      <c r="D14" t="s">
        <v>79</v>
      </c>
    </row>
    <row r="15" spans="1:4" x14ac:dyDescent="0.2">
      <c r="A15" t="s">
        <v>80</v>
      </c>
      <c r="B15" s="18" t="s">
        <v>81</v>
      </c>
    </row>
    <row r="16" spans="1:4" x14ac:dyDescent="0.2">
      <c r="A16" t="s">
        <v>84</v>
      </c>
      <c r="B16" s="18"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DF85"/>
  <sheetViews>
    <sheetView showGridLines="0" tabSelected="1" zoomScale="75" zoomScaleNormal="70" workbookViewId="0">
      <selection activeCell="AD46" sqref="AD46"/>
    </sheetView>
  </sheetViews>
  <sheetFormatPr baseColWidth="10" defaultColWidth="8.83203125" defaultRowHeight="16" outlineLevelRow="1" x14ac:dyDescent="0.2"/>
  <cols>
    <col min="3" max="3" width="19" customWidth="1"/>
    <col min="4" max="4" width="13" bestFit="1" customWidth="1"/>
    <col min="5" max="5" width="4.83203125" bestFit="1" customWidth="1"/>
    <col min="6" max="6" width="73.1640625" customWidth="1"/>
    <col min="7" max="7" width="15.5" bestFit="1" customWidth="1"/>
    <col min="8" max="8" width="2.5" customWidth="1"/>
    <col min="10" max="10" width="12.5" bestFit="1" customWidth="1"/>
    <col min="11" max="11" width="15.83203125"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4" t="s">
        <v>0</v>
      </c>
      <c r="D1" s="4"/>
      <c r="G1" s="13" t="s">
        <v>33</v>
      </c>
      <c r="I1" s="13" t="s">
        <v>33</v>
      </c>
      <c r="J1" s="13" t="s">
        <v>33</v>
      </c>
      <c r="K1" s="13" t="s">
        <v>33</v>
      </c>
    </row>
    <row r="2" spans="2:110" x14ac:dyDescent="0.2">
      <c r="I2" s="24" t="s">
        <v>27</v>
      </c>
      <c r="J2" s="24"/>
      <c r="K2" s="24"/>
      <c r="L2" s="24"/>
      <c r="N2" s="24" t="s">
        <v>146</v>
      </c>
      <c r="O2" s="24"/>
      <c r="P2" s="24"/>
      <c r="Q2" s="24"/>
      <c r="R2" s="24"/>
      <c r="S2" s="24"/>
      <c r="U2" s="24" t="s">
        <v>131</v>
      </c>
      <c r="V2" s="24"/>
      <c r="W2" s="24"/>
      <c r="X2" s="24"/>
      <c r="Y2" s="24"/>
      <c r="Z2" s="24"/>
      <c r="AB2" s="24" t="s">
        <v>140</v>
      </c>
      <c r="AC2" s="24"/>
      <c r="AD2" s="24"/>
      <c r="AE2" s="24"/>
      <c r="AF2" s="24"/>
      <c r="AG2" s="24"/>
      <c r="AI2" s="24" t="s">
        <v>132</v>
      </c>
      <c r="AJ2" s="24"/>
      <c r="AK2" s="24"/>
      <c r="AL2" s="24"/>
      <c r="AM2" s="24"/>
      <c r="AN2" s="24"/>
      <c r="AP2" s="24" t="s">
        <v>133</v>
      </c>
      <c r="AQ2" s="24"/>
      <c r="AR2" s="24"/>
      <c r="AS2" s="24"/>
      <c r="AT2" s="24"/>
      <c r="AU2" s="24"/>
      <c r="AW2" s="24" t="s">
        <v>134</v>
      </c>
      <c r="AX2" s="24"/>
      <c r="AY2" s="24"/>
      <c r="AZ2" s="24"/>
      <c r="BA2" s="24"/>
      <c r="BB2" s="24"/>
      <c r="BD2" s="24" t="s">
        <v>135</v>
      </c>
      <c r="BE2" s="24"/>
      <c r="BF2" s="24"/>
      <c r="BG2" s="24"/>
      <c r="BH2" s="24"/>
      <c r="BI2" s="24"/>
      <c r="BK2" s="24" t="s">
        <v>136</v>
      </c>
      <c r="BL2" s="24"/>
      <c r="BM2" s="24"/>
      <c r="BN2" s="24"/>
      <c r="BO2" s="24"/>
      <c r="BP2" s="24"/>
      <c r="BR2" s="24" t="s">
        <v>137</v>
      </c>
      <c r="BS2" s="24"/>
      <c r="BT2" s="24"/>
      <c r="BU2" s="24"/>
      <c r="BV2" s="24"/>
      <c r="BW2" s="24"/>
      <c r="BY2" s="24" t="s">
        <v>138</v>
      </c>
      <c r="BZ2" s="24"/>
      <c r="CA2" s="24"/>
      <c r="CB2" s="24"/>
      <c r="CC2" s="24"/>
      <c r="CD2" s="24"/>
      <c r="CF2" s="24" t="s">
        <v>139</v>
      </c>
      <c r="CG2" s="24"/>
      <c r="CH2" s="24"/>
      <c r="CI2" s="24"/>
      <c r="CJ2" s="24"/>
      <c r="CK2" s="24"/>
      <c r="CM2" s="24" t="s">
        <v>87</v>
      </c>
      <c r="CN2" s="24"/>
      <c r="CO2" s="24"/>
      <c r="CP2" s="24"/>
      <c r="CQ2" s="24"/>
      <c r="CR2" s="24"/>
      <c r="CT2" s="24" t="s">
        <v>145</v>
      </c>
      <c r="CU2" s="24"/>
      <c r="CV2" s="24"/>
      <c r="CW2" s="24"/>
      <c r="CX2" s="24"/>
      <c r="CY2" s="24"/>
      <c r="DA2" s="24"/>
      <c r="DB2" s="24"/>
      <c r="DC2" s="24"/>
      <c r="DD2" s="24"/>
      <c r="DE2" s="24"/>
      <c r="DF2" s="24"/>
    </row>
    <row r="3" spans="2:110"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c r="DB3" s="5"/>
      <c r="DC3" s="5"/>
      <c r="DD3" s="5"/>
      <c r="DE3" s="5"/>
      <c r="DF3" s="5"/>
    </row>
    <row r="4" spans="2:110" x14ac:dyDescent="0.2">
      <c r="B4" t="s">
        <v>27</v>
      </c>
      <c r="C4" t="s">
        <v>88</v>
      </c>
      <c r="D4" s="19">
        <v>45269</v>
      </c>
      <c r="E4" s="9">
        <v>5</v>
      </c>
      <c r="G4" s="10">
        <f>+SUM(G5:G11)</f>
        <v>0.99960000000000016</v>
      </c>
      <c r="I4" s="12">
        <f>+SUM(I5:I10)</f>
        <v>0</v>
      </c>
      <c r="J4" s="11">
        <f>+SUMPRODUCT(G5:G11,J5:J11)</f>
        <v>0.49980000000000008</v>
      </c>
      <c r="K4" s="11">
        <f>+SUMPRODUCT(G5:G11,K5:K11)</f>
        <v>0.49980000000000008</v>
      </c>
      <c r="L4" s="9"/>
      <c r="N4" s="12">
        <f>+SUM(N5:N11)</f>
        <v>0</v>
      </c>
      <c r="U4" s="12">
        <f>+SUM(U5:U11)</f>
        <v>0</v>
      </c>
      <c r="AB4" s="12">
        <f>+SUM(AB5:AB11)</f>
        <v>0</v>
      </c>
      <c r="AI4" s="12">
        <f>+SUM(AI5:AI11)</f>
        <v>0</v>
      </c>
      <c r="AP4" s="12">
        <f>+SUM(AP5:AP11)</f>
        <v>0</v>
      </c>
      <c r="AW4" s="12">
        <f>+SUM(AW5:AW11)</f>
        <v>0</v>
      </c>
      <c r="BD4" s="12">
        <f>+SUM(BD5:BD11)</f>
        <v>0</v>
      </c>
      <c r="BK4" s="12">
        <f>+SUM(BK5:BK11)</f>
        <v>0</v>
      </c>
      <c r="BR4" s="12">
        <f>+SUM(BR5:BR11)</f>
        <v>0</v>
      </c>
      <c r="BY4" s="12">
        <f>+SUM(BY5:BY11)</f>
        <v>0</v>
      </c>
      <c r="CF4" s="12">
        <f>+SUM(CF5:CF11)</f>
        <v>0</v>
      </c>
      <c r="CM4" s="12">
        <f>+SUM(CM5:CM11)</f>
        <v>0</v>
      </c>
      <c r="CT4" s="12">
        <f>+SUM(CT5:CT11)</f>
        <v>0</v>
      </c>
      <c r="DA4" s="12"/>
    </row>
    <row r="5" spans="2:110" outlineLevel="1" x14ac:dyDescent="0.2">
      <c r="B5" t="s">
        <v>28</v>
      </c>
      <c r="C5" t="s">
        <v>88</v>
      </c>
      <c r="E5" s="9"/>
      <c r="F5" t="s">
        <v>94</v>
      </c>
      <c r="G5" s="10">
        <v>0.14280000000000001</v>
      </c>
      <c r="I5" s="9">
        <f>+SUMIF($N$3:$ZZ$3,I$3,$N5:$ZZ5)</f>
        <v>0</v>
      </c>
      <c r="J5" s="11" cm="1">
        <f t="array" ref="J5">MAX(IF($N$3:$EH$3=$J$3,N5:EH5))</f>
        <v>0.5</v>
      </c>
      <c r="K5" s="11" cm="1">
        <f t="array" ref="K5">MAX(IF($N$3:$EH$3=$J$3,N5:EH5))</f>
        <v>0.5</v>
      </c>
      <c r="L5" s="9"/>
      <c r="O5" s="10">
        <v>0.5</v>
      </c>
      <c r="P5" s="10"/>
      <c r="Q5" s="10">
        <v>0.5</v>
      </c>
      <c r="R5" s="10"/>
      <c r="V5" s="10"/>
      <c r="W5" s="10">
        <v>0.8</v>
      </c>
      <c r="X5" s="10"/>
      <c r="Y5" s="10">
        <v>0.8</v>
      </c>
      <c r="AC5" s="10"/>
      <c r="AD5" s="10">
        <v>1</v>
      </c>
      <c r="AE5" s="10"/>
      <c r="AF5" s="10">
        <v>1</v>
      </c>
      <c r="AJ5" s="10"/>
      <c r="AK5" s="10"/>
      <c r="AL5" s="10"/>
      <c r="AM5" s="10"/>
      <c r="AQ5" s="10"/>
      <c r="AR5" s="10"/>
      <c r="AS5" s="10"/>
      <c r="AT5" s="10"/>
      <c r="AX5" s="10"/>
      <c r="AY5" s="10"/>
      <c r="AZ5" s="10"/>
      <c r="BA5" s="10"/>
      <c r="BE5" s="10"/>
      <c r="BF5" s="10"/>
      <c r="BG5" s="10"/>
      <c r="BH5" s="10"/>
      <c r="BL5" s="10"/>
      <c r="BM5" s="10"/>
      <c r="BN5" s="10"/>
      <c r="BO5" s="10"/>
      <c r="BS5" s="10"/>
      <c r="BT5" s="10"/>
      <c r="BU5" s="10"/>
      <c r="BV5" s="10"/>
      <c r="BZ5" s="10"/>
      <c r="CA5" s="10"/>
      <c r="CB5" s="10"/>
      <c r="CC5" s="10"/>
      <c r="CG5" s="10"/>
      <c r="CH5" s="10"/>
      <c r="CI5" s="10"/>
      <c r="CJ5" s="10"/>
      <c r="CN5" s="10"/>
      <c r="CO5" s="10"/>
      <c r="CP5" s="10"/>
      <c r="CQ5" s="10"/>
      <c r="CU5" s="10"/>
      <c r="CV5" s="10"/>
      <c r="CW5" s="10"/>
      <c r="CX5" s="10"/>
      <c r="DB5" s="10"/>
      <c r="DC5" s="10"/>
      <c r="DD5" s="10"/>
      <c r="DE5" s="10"/>
    </row>
    <row r="6" spans="2:110" outlineLevel="1" x14ac:dyDescent="0.2">
      <c r="B6" t="s">
        <v>28</v>
      </c>
      <c r="C6" t="s">
        <v>88</v>
      </c>
      <c r="E6" s="9"/>
      <c r="F6" t="s">
        <v>95</v>
      </c>
      <c r="G6" s="10">
        <v>0.14280000000000001</v>
      </c>
      <c r="I6" s="9">
        <f t="shared" ref="I6:I11" si="0">+SUMIF($N$3:$ZZ$3,I$3,$N6:$ZZ6)</f>
        <v>0</v>
      </c>
      <c r="J6" s="11" cm="1">
        <f t="array" ref="J6">MAX(IF($N$3:$EH$3=$J$3,N6:EH6))</f>
        <v>0.5</v>
      </c>
      <c r="K6" s="11" cm="1">
        <f t="array" ref="K6">MAX(IF($N$3:$EH$3=$J$3,N6:EH6))</f>
        <v>0.5</v>
      </c>
      <c r="L6" s="9"/>
      <c r="O6" s="10">
        <v>0.5</v>
      </c>
      <c r="P6" s="10"/>
      <c r="Q6" s="10">
        <v>0.5</v>
      </c>
      <c r="R6" s="10"/>
      <c r="V6" s="10"/>
      <c r="W6" s="10">
        <v>0.8</v>
      </c>
      <c r="X6" s="10"/>
      <c r="Y6" s="10">
        <v>0.8</v>
      </c>
      <c r="AC6" s="10"/>
      <c r="AD6" s="10">
        <v>1</v>
      </c>
      <c r="AE6" s="10"/>
      <c r="AF6" s="10">
        <v>1</v>
      </c>
      <c r="AJ6" s="10"/>
      <c r="AK6" s="10"/>
      <c r="AL6" s="10"/>
      <c r="AM6" s="10"/>
      <c r="AQ6" s="10"/>
      <c r="AR6" s="10"/>
      <c r="AS6" s="10"/>
      <c r="AT6" s="10"/>
      <c r="AX6" s="10"/>
      <c r="AY6" s="10"/>
      <c r="AZ6" s="10"/>
      <c r="BA6" s="10"/>
      <c r="BE6" s="10"/>
      <c r="BF6" s="10"/>
      <c r="BG6" s="10"/>
      <c r="BH6" s="10"/>
      <c r="BL6" s="10"/>
      <c r="BM6" s="10"/>
      <c r="BN6" s="10"/>
      <c r="BO6" s="10"/>
      <c r="BS6" s="10"/>
      <c r="BT6" s="10"/>
      <c r="BU6" s="10"/>
      <c r="BV6" s="10"/>
      <c r="BZ6" s="10"/>
      <c r="CA6" s="10"/>
      <c r="CB6" s="10"/>
      <c r="CC6" s="10"/>
      <c r="CG6" s="10"/>
      <c r="CH6" s="10"/>
      <c r="CI6" s="10"/>
      <c r="CJ6" s="10"/>
      <c r="CN6" s="10"/>
      <c r="CO6" s="10"/>
      <c r="CP6" s="10"/>
      <c r="CQ6" s="10"/>
      <c r="CU6" s="10"/>
      <c r="CV6" s="10"/>
      <c r="CW6" s="10"/>
      <c r="CX6" s="10"/>
      <c r="DB6" s="10"/>
      <c r="DC6" s="10"/>
      <c r="DD6" s="10"/>
      <c r="DE6" s="10"/>
    </row>
    <row r="7" spans="2:110" outlineLevel="1" x14ac:dyDescent="0.2">
      <c r="B7" t="s">
        <v>28</v>
      </c>
      <c r="C7" t="s">
        <v>88</v>
      </c>
      <c r="E7" s="9"/>
      <c r="F7" t="s">
        <v>96</v>
      </c>
      <c r="G7" s="10">
        <v>0.14280000000000001</v>
      </c>
      <c r="I7" s="9">
        <f>+SUMIF($N$3:$ZZ$3,I$3,$N7:$ZZ7)</f>
        <v>0</v>
      </c>
      <c r="J7" s="11" cm="1">
        <f t="array" ref="J7">MAX(IF($N$3:$EH$3=$J$3,N7:EH7))</f>
        <v>0.5</v>
      </c>
      <c r="K7" s="11" cm="1">
        <f t="array" ref="K7">MAX(IF($N$3:$EH$3=$J$3,N7:EH7))</f>
        <v>0.5</v>
      </c>
      <c r="L7" s="9"/>
      <c r="O7" s="10">
        <v>0.5</v>
      </c>
      <c r="P7" s="10"/>
      <c r="Q7" s="10">
        <v>0.5</v>
      </c>
      <c r="R7" s="10"/>
      <c r="V7" s="10"/>
      <c r="W7" s="10">
        <v>0.8</v>
      </c>
      <c r="X7" s="10"/>
      <c r="Y7" s="10">
        <v>0.8</v>
      </c>
      <c r="AC7" s="10"/>
      <c r="AD7" s="10">
        <v>1</v>
      </c>
      <c r="AE7" s="10"/>
      <c r="AF7" s="10">
        <v>1</v>
      </c>
      <c r="AJ7" s="10"/>
      <c r="AK7" s="10"/>
      <c r="AL7" s="10"/>
      <c r="AM7" s="10"/>
      <c r="AQ7" s="10"/>
      <c r="AR7" s="10"/>
      <c r="AS7" s="10"/>
      <c r="AT7" s="10"/>
      <c r="AX7" s="10"/>
      <c r="AY7" s="10"/>
      <c r="AZ7" s="10"/>
      <c r="BA7" s="10"/>
      <c r="BE7" s="10"/>
      <c r="BF7" s="10"/>
      <c r="BG7" s="10"/>
      <c r="BH7" s="10"/>
      <c r="BL7" s="10"/>
      <c r="BM7" s="10"/>
      <c r="BN7" s="10"/>
      <c r="BO7" s="10"/>
      <c r="BS7" s="10"/>
      <c r="BT7" s="10"/>
      <c r="BU7" s="10"/>
      <c r="BV7" s="10"/>
      <c r="BZ7" s="10"/>
      <c r="CA7" s="10"/>
      <c r="CB7" s="10"/>
      <c r="CC7" s="10"/>
      <c r="CG7" s="10"/>
      <c r="CH7" s="10"/>
      <c r="CI7" s="10"/>
      <c r="CJ7" s="10"/>
      <c r="CN7" s="10"/>
      <c r="CO7" s="10"/>
      <c r="CP7" s="10"/>
      <c r="CQ7" s="10"/>
      <c r="CU7" s="10"/>
      <c r="CV7" s="10"/>
      <c r="CW7" s="10"/>
      <c r="CX7" s="10"/>
      <c r="DB7" s="10"/>
      <c r="DC7" s="10"/>
      <c r="DD7" s="10"/>
      <c r="DE7" s="10"/>
    </row>
    <row r="8" spans="2:110" outlineLevel="1" x14ac:dyDescent="0.2">
      <c r="B8" t="s">
        <v>28</v>
      </c>
      <c r="C8" t="s">
        <v>88</v>
      </c>
      <c r="E8" s="9"/>
      <c r="F8" t="s">
        <v>97</v>
      </c>
      <c r="G8" s="10">
        <v>0.14280000000000001</v>
      </c>
      <c r="I8" s="9">
        <f t="shared" si="0"/>
        <v>0</v>
      </c>
      <c r="J8" s="11" cm="1">
        <f t="array" ref="J8">MAX(IF($N$3:$EH$3=$J$3,N8:EH8))</f>
        <v>0.5</v>
      </c>
      <c r="K8" s="11" cm="1">
        <f t="array" ref="K8">MAX(IF($N$3:$EH$3=$J$3,N8:EH8))</f>
        <v>0.5</v>
      </c>
      <c r="L8" s="9"/>
      <c r="O8" s="10">
        <v>0.5</v>
      </c>
      <c r="P8" s="10"/>
      <c r="Q8" s="10">
        <v>0.5</v>
      </c>
      <c r="R8" s="10"/>
      <c r="V8" s="10"/>
      <c r="W8" s="10">
        <v>0.8</v>
      </c>
      <c r="X8" s="10"/>
      <c r="Y8" s="10">
        <v>0.8</v>
      </c>
      <c r="AC8" s="10"/>
      <c r="AD8" s="10">
        <v>1</v>
      </c>
      <c r="AE8" s="10"/>
      <c r="AF8" s="10">
        <v>1</v>
      </c>
      <c r="AJ8" s="10"/>
      <c r="AK8" s="10"/>
      <c r="AL8" s="10"/>
      <c r="AM8" s="10"/>
      <c r="AQ8" s="10"/>
      <c r="AR8" s="10"/>
      <c r="AS8" s="10"/>
      <c r="AT8" s="10"/>
      <c r="AX8" s="10"/>
      <c r="AY8" s="10"/>
      <c r="AZ8" s="10"/>
      <c r="BA8" s="10"/>
      <c r="BE8" s="10"/>
      <c r="BF8" s="10"/>
      <c r="BG8" s="10"/>
      <c r="BH8" s="10"/>
      <c r="BL8" s="10"/>
      <c r="BM8" s="10"/>
      <c r="BN8" s="10"/>
      <c r="BO8" s="10"/>
      <c r="BS8" s="10"/>
      <c r="BT8" s="10"/>
      <c r="BU8" s="10"/>
      <c r="BV8" s="10"/>
      <c r="BZ8" s="10"/>
      <c r="CA8" s="10"/>
      <c r="CB8" s="10"/>
      <c r="CC8" s="10"/>
      <c r="CG8" s="10"/>
      <c r="CH8" s="10"/>
      <c r="CI8" s="10"/>
      <c r="CJ8" s="10"/>
      <c r="CN8" s="10"/>
      <c r="CO8" s="10"/>
      <c r="CP8" s="10"/>
      <c r="CQ8" s="10"/>
      <c r="CU8" s="10"/>
      <c r="CV8" s="10"/>
      <c r="CW8" s="10"/>
      <c r="CX8" s="10"/>
      <c r="DB8" s="10"/>
      <c r="DC8" s="10"/>
      <c r="DD8" s="10"/>
      <c r="DE8" s="10"/>
    </row>
    <row r="9" spans="2:110" outlineLevel="1" x14ac:dyDescent="0.2">
      <c r="B9" t="s">
        <v>28</v>
      </c>
      <c r="C9" t="s">
        <v>88</v>
      </c>
      <c r="E9" s="9"/>
      <c r="F9" t="s">
        <v>98</v>
      </c>
      <c r="G9" s="10">
        <v>0.14280000000000001</v>
      </c>
      <c r="I9" s="9">
        <f t="shared" si="0"/>
        <v>0</v>
      </c>
      <c r="J9" s="11" cm="1">
        <f t="array" ref="J9">MAX(IF($N$3:$EH$3=$J$3,N9:EH9))</f>
        <v>0.5</v>
      </c>
      <c r="K9" s="11" cm="1">
        <f t="array" ref="K9">MAX(IF($N$3:$EH$3=$J$3,N9:EH9))</f>
        <v>0.5</v>
      </c>
      <c r="L9" s="9"/>
      <c r="O9" s="10">
        <v>0.5</v>
      </c>
      <c r="P9" s="10"/>
      <c r="Q9" s="10">
        <v>0.5</v>
      </c>
      <c r="R9" s="10"/>
      <c r="V9" s="10"/>
      <c r="W9" s="10">
        <v>0.8</v>
      </c>
      <c r="X9" s="10"/>
      <c r="Y9" s="10">
        <v>0.8</v>
      </c>
      <c r="AC9" s="10"/>
      <c r="AD9" s="10">
        <v>1</v>
      </c>
      <c r="AE9" s="10"/>
      <c r="AF9" s="10">
        <v>1</v>
      </c>
      <c r="AJ9" s="10"/>
      <c r="AK9" s="10"/>
      <c r="AL9" s="10"/>
      <c r="AM9" s="10"/>
      <c r="AQ9" s="10"/>
      <c r="AR9" s="10"/>
      <c r="AS9" s="10"/>
      <c r="AT9" s="10"/>
      <c r="AX9" s="10"/>
      <c r="AY9" s="10"/>
      <c r="AZ9" s="10"/>
      <c r="BA9" s="10"/>
      <c r="BE9" s="10"/>
      <c r="BF9" s="10"/>
      <c r="BG9" s="10"/>
      <c r="BH9" s="10"/>
      <c r="BL9" s="10"/>
      <c r="BM9" s="10"/>
      <c r="BN9" s="10"/>
      <c r="BO9" s="10"/>
      <c r="BS9" s="10"/>
      <c r="BT9" s="10"/>
      <c r="BU9" s="10"/>
      <c r="BV9" s="10"/>
      <c r="BZ9" s="10"/>
      <c r="CA9" s="10"/>
      <c r="CB9" s="10"/>
      <c r="CC9" s="10"/>
      <c r="CG9" s="10"/>
      <c r="CH9" s="10"/>
      <c r="CI9" s="10"/>
      <c r="CJ9" s="10"/>
      <c r="CN9" s="10"/>
      <c r="CO9" s="10"/>
      <c r="CP9" s="10"/>
      <c r="CQ9" s="10"/>
      <c r="CU9" s="10"/>
      <c r="CV9" s="10"/>
      <c r="CW9" s="10"/>
      <c r="CX9" s="10"/>
      <c r="DB9" s="10"/>
      <c r="DC9" s="10"/>
      <c r="DD9" s="10"/>
      <c r="DE9" s="10"/>
    </row>
    <row r="10" spans="2:110" outlineLevel="1" x14ac:dyDescent="0.2">
      <c r="B10" t="s">
        <v>28</v>
      </c>
      <c r="C10" t="s">
        <v>88</v>
      </c>
      <c r="E10" s="9"/>
      <c r="F10" t="s">
        <v>99</v>
      </c>
      <c r="G10" s="10">
        <v>0.14280000000000001</v>
      </c>
      <c r="I10" s="9">
        <f t="shared" si="0"/>
        <v>0</v>
      </c>
      <c r="J10" s="11" cm="1">
        <f t="array" ref="J10">MAX(IF($N$3:$EH$3=$J$3,N10:EH10))</f>
        <v>0.5</v>
      </c>
      <c r="K10" s="11" cm="1">
        <f t="array" ref="K10">MAX(IF($N$3:$EH$3=$J$3,N10:EH10))</f>
        <v>0.5</v>
      </c>
      <c r="L10" s="9"/>
      <c r="O10" s="10">
        <v>0.5</v>
      </c>
      <c r="P10" s="10"/>
      <c r="Q10" s="10">
        <v>0.5</v>
      </c>
      <c r="R10" s="10"/>
      <c r="V10" s="10"/>
      <c r="W10" s="10">
        <v>0.8</v>
      </c>
      <c r="X10" s="10"/>
      <c r="Y10" s="10">
        <v>0.8</v>
      </c>
      <c r="AC10" s="10"/>
      <c r="AD10" s="10">
        <v>1</v>
      </c>
      <c r="AE10" s="10"/>
      <c r="AF10" s="10">
        <v>1</v>
      </c>
      <c r="AJ10" s="10"/>
      <c r="AK10" s="10"/>
      <c r="AL10" s="10"/>
      <c r="AM10" s="10"/>
      <c r="AQ10" s="10"/>
      <c r="AR10" s="10"/>
      <c r="AS10" s="10"/>
      <c r="AT10" s="10"/>
      <c r="AX10" s="10"/>
      <c r="AY10" s="10"/>
      <c r="AZ10" s="10"/>
      <c r="BA10" s="10"/>
      <c r="BE10" s="10"/>
      <c r="BF10" s="10"/>
      <c r="BG10" s="10"/>
      <c r="BH10" s="10"/>
      <c r="BL10" s="10"/>
      <c r="BM10" s="10"/>
      <c r="BN10" s="10"/>
      <c r="BO10" s="10"/>
      <c r="BS10" s="10"/>
      <c r="BT10" s="10"/>
      <c r="BU10" s="10"/>
      <c r="BV10" s="10"/>
      <c r="BZ10" s="10"/>
      <c r="CA10" s="10"/>
      <c r="CB10" s="10"/>
      <c r="CC10" s="10"/>
      <c r="CG10" s="10"/>
      <c r="CH10" s="10"/>
      <c r="CI10" s="10"/>
      <c r="CJ10" s="10"/>
      <c r="CN10" s="10"/>
      <c r="CO10" s="10"/>
      <c r="CP10" s="10"/>
      <c r="CQ10" s="10"/>
      <c r="CU10" s="10"/>
      <c r="CV10" s="10"/>
      <c r="CW10" s="10"/>
      <c r="CX10" s="10"/>
      <c r="DB10" s="10"/>
      <c r="DC10" s="10"/>
      <c r="DD10" s="10"/>
      <c r="DE10" s="10"/>
    </row>
    <row r="11" spans="2:110" outlineLevel="1" x14ac:dyDescent="0.2">
      <c r="B11" t="s">
        <v>28</v>
      </c>
      <c r="C11" t="s">
        <v>88</v>
      </c>
      <c r="E11" s="9"/>
      <c r="F11" t="s">
        <v>100</v>
      </c>
      <c r="G11" s="10">
        <v>0.14280000000000001</v>
      </c>
      <c r="I11" s="9">
        <f t="shared" si="0"/>
        <v>0</v>
      </c>
      <c r="J11" s="11" cm="1">
        <f t="array" ref="J11">MAX(IF($N$3:$EH$3=$J$3,N11:EH11))</f>
        <v>0.5</v>
      </c>
      <c r="K11" s="11" cm="1">
        <f t="array" ref="K11">MAX(IF($N$3:$EH$3=$J$3,N11:EH11))</f>
        <v>0.5</v>
      </c>
      <c r="L11" s="9"/>
      <c r="O11" s="10">
        <v>0.5</v>
      </c>
      <c r="P11" s="10"/>
      <c r="Q11" s="10">
        <v>0.5</v>
      </c>
      <c r="R11" s="10"/>
      <c r="V11" s="10"/>
      <c r="W11" s="10">
        <v>0.8</v>
      </c>
      <c r="X11" s="10"/>
      <c r="Y11" s="10">
        <v>0.8</v>
      </c>
      <c r="AC11" s="10"/>
      <c r="AD11" s="10">
        <v>1</v>
      </c>
      <c r="AE11" s="10"/>
      <c r="AF11" s="10">
        <v>1</v>
      </c>
      <c r="AJ11" s="10"/>
      <c r="AK11" s="10"/>
      <c r="AL11" s="10"/>
      <c r="AM11" s="10"/>
      <c r="AQ11" s="10"/>
      <c r="AR11" s="10"/>
      <c r="AS11" s="10"/>
      <c r="AT11" s="10"/>
      <c r="AX11" s="10"/>
      <c r="AY11" s="10"/>
      <c r="AZ11" s="10"/>
      <c r="BA11" s="10"/>
      <c r="BE11" s="10"/>
      <c r="BF11" s="10"/>
      <c r="BG11" s="10"/>
      <c r="BH11" s="10"/>
      <c r="BL11" s="10"/>
      <c r="BM11" s="10"/>
      <c r="BN11" s="10"/>
      <c r="BO11" s="10"/>
      <c r="BS11" s="10"/>
      <c r="BT11" s="10"/>
      <c r="BU11" s="10"/>
      <c r="BV11" s="10"/>
      <c r="BZ11" s="10"/>
      <c r="CA11" s="10"/>
      <c r="CB11" s="10"/>
      <c r="CC11" s="10"/>
      <c r="CG11" s="10"/>
      <c r="CH11" s="10"/>
      <c r="CI11" s="10"/>
      <c r="CJ11" s="10"/>
      <c r="CN11" s="10"/>
      <c r="CO11" s="10"/>
      <c r="CP11" s="10"/>
      <c r="CQ11" s="10"/>
      <c r="CU11" s="10"/>
      <c r="CV11" s="10"/>
      <c r="CW11" s="10"/>
      <c r="CX11" s="10"/>
      <c r="DB11" s="10"/>
      <c r="DC11" s="10"/>
      <c r="DD11" s="10"/>
      <c r="DE11" s="10"/>
    </row>
    <row r="12" spans="2:110" x14ac:dyDescent="0.2">
      <c r="AC12" s="10"/>
      <c r="AD12" s="10"/>
      <c r="AE12" s="10"/>
      <c r="AF12" s="10"/>
    </row>
    <row r="13" spans="2:110" x14ac:dyDescent="0.2">
      <c r="B13" t="s">
        <v>27</v>
      </c>
      <c r="C13" t="s">
        <v>89</v>
      </c>
      <c r="D13" s="19">
        <v>45327</v>
      </c>
      <c r="E13" s="9">
        <v>5</v>
      </c>
      <c r="G13" s="10">
        <f>+SUM(G14:G25)</f>
        <v>0.99960000000000016</v>
      </c>
      <c r="I13" s="12">
        <f>+SUM(I18:I25)</f>
        <v>0</v>
      </c>
      <c r="J13" s="11">
        <f>+SUMPRODUCT(G14:G25,J14:J25)</f>
        <v>0.40817000000000009</v>
      </c>
      <c r="K13" s="11">
        <f>+SUMPRODUCT(G14:G25,K14:K25)</f>
        <v>0.40817000000000009</v>
      </c>
      <c r="L13" s="9"/>
      <c r="N13" s="12">
        <f>+SUM(N18:N25)</f>
        <v>0</v>
      </c>
      <c r="U13" s="12">
        <f>+SUM(U18:U25)</f>
        <v>0</v>
      </c>
      <c r="AB13" s="12">
        <f>+SUM(AB18:AB25)</f>
        <v>0</v>
      </c>
      <c r="AI13" s="12">
        <f>+SUM(AI18:AI25)</f>
        <v>0</v>
      </c>
      <c r="AP13" s="12">
        <f>+SUM(AP18:AP25)</f>
        <v>0</v>
      </c>
      <c r="AW13" s="12">
        <f>+SUM(AW18:AW25)</f>
        <v>0</v>
      </c>
      <c r="BD13" s="12">
        <f>+SUM(BD18:BD25)</f>
        <v>0</v>
      </c>
      <c r="BK13" s="12">
        <f>+SUM(BK18:BK25)</f>
        <v>0</v>
      </c>
      <c r="BR13" s="12">
        <f>+SUM(BR18:BR25)</f>
        <v>0</v>
      </c>
      <c r="BY13" s="12">
        <f>+SUM(BY18:BY25)</f>
        <v>0</v>
      </c>
      <c r="CF13" s="12">
        <f>+SUM(CF18:CF25)</f>
        <v>0</v>
      </c>
      <c r="CM13" s="12">
        <f>+SUM(CM18:CM25)</f>
        <v>0</v>
      </c>
      <c r="CT13" s="12">
        <f>+SUM(CT18:CT25)</f>
        <v>0</v>
      </c>
    </row>
    <row r="14" spans="2:110" outlineLevel="1" x14ac:dyDescent="0.2">
      <c r="B14" t="s">
        <v>28</v>
      </c>
      <c r="C14" t="s">
        <v>89</v>
      </c>
      <c r="E14" s="9"/>
      <c r="F14" t="s">
        <v>173</v>
      </c>
      <c r="G14" s="10">
        <v>8.3299999999999999E-2</v>
      </c>
      <c r="I14" s="9">
        <f t="shared" ref="I14" si="1">+SUMIF($N$3:$ZZ$3,I$3,$N14:$ZZ14)</f>
        <v>0</v>
      </c>
      <c r="J14" s="11" cm="1">
        <f t="array" ref="J14">MAX(IF($N$3:$EH$3=$J$3,N14:EH14))</f>
        <v>0.8</v>
      </c>
      <c r="K14" s="11" cm="1">
        <f t="array" ref="K14">MAX(IF($N$3:$EH$3=$J$3,N14:EH14))</f>
        <v>0.8</v>
      </c>
      <c r="L14" s="9"/>
      <c r="O14" s="10">
        <v>0.8</v>
      </c>
      <c r="P14" s="10"/>
      <c r="Q14" s="10">
        <v>0.8</v>
      </c>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S14" s="10"/>
      <c r="BT14" s="10"/>
      <c r="BU14" s="10"/>
      <c r="BV14" s="10"/>
      <c r="BZ14" s="10"/>
      <c r="CA14" s="10">
        <v>1</v>
      </c>
      <c r="CB14" s="10"/>
      <c r="CC14" s="10">
        <v>1</v>
      </c>
      <c r="CG14" s="10"/>
      <c r="CH14" s="10"/>
      <c r="CI14" s="10"/>
      <c r="CJ14" s="10"/>
      <c r="CN14" s="10"/>
      <c r="CO14" s="10"/>
      <c r="CP14" s="10"/>
      <c r="CQ14" s="10"/>
      <c r="CU14" s="10"/>
      <c r="CV14" s="10"/>
      <c r="CW14" s="10"/>
      <c r="CX14" s="10"/>
      <c r="DB14" s="10"/>
      <c r="DC14" s="10"/>
      <c r="DD14" s="10"/>
      <c r="DE14" s="10"/>
    </row>
    <row r="15" spans="2:110" outlineLevel="1" x14ac:dyDescent="0.2">
      <c r="B15" t="s">
        <v>28</v>
      </c>
      <c r="C15" t="s">
        <v>89</v>
      </c>
      <c r="E15" s="9"/>
      <c r="F15" t="s">
        <v>172</v>
      </c>
      <c r="G15" s="10">
        <v>8.3299999999999999E-2</v>
      </c>
      <c r="I15" s="9">
        <f t="shared" ref="I15:I25" si="2">+SUMIF($N$3:$ZZ$3,I$3,$N15:$ZZ15)</f>
        <v>0</v>
      </c>
      <c r="J15" s="11" cm="1">
        <f t="array" ref="J15">MAX(IF($N$3:$EH$3=$J$3,N15:EH15))</f>
        <v>0.8</v>
      </c>
      <c r="K15" s="11" cm="1">
        <f t="array" ref="K15">MAX(IF($N$3:$EH$3=$J$3,N15:EH15))</f>
        <v>0.8</v>
      </c>
      <c r="L15" s="9"/>
      <c r="O15" s="10">
        <v>0.8</v>
      </c>
      <c r="P15" s="10"/>
      <c r="Q15" s="10">
        <v>0.8</v>
      </c>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c r="BU15" s="10"/>
      <c r="BV15" s="10"/>
      <c r="BZ15" s="10"/>
      <c r="CA15" s="10">
        <v>1</v>
      </c>
      <c r="CB15" s="10"/>
      <c r="CC15" s="10">
        <v>1</v>
      </c>
      <c r="CG15" s="10"/>
      <c r="CH15" s="10"/>
      <c r="CI15" s="10"/>
      <c r="CJ15" s="10"/>
      <c r="CN15" s="10"/>
      <c r="CO15" s="10"/>
      <c r="CP15" s="10"/>
      <c r="CQ15" s="10"/>
      <c r="CU15" s="10"/>
      <c r="CV15" s="10"/>
      <c r="CW15" s="10"/>
      <c r="CX15" s="10"/>
      <c r="DB15" s="10"/>
      <c r="DC15" s="10"/>
      <c r="DD15" s="10"/>
      <c r="DE15" s="10"/>
    </row>
    <row r="16" spans="2:110" outlineLevel="1" x14ac:dyDescent="0.2">
      <c r="B16" t="s">
        <v>28</v>
      </c>
      <c r="C16" t="s">
        <v>89</v>
      </c>
      <c r="E16" s="9"/>
      <c r="F16" t="s">
        <v>174</v>
      </c>
      <c r="G16" s="10">
        <v>8.3299999999999999E-2</v>
      </c>
      <c r="I16" s="9">
        <f t="shared" si="2"/>
        <v>0</v>
      </c>
      <c r="J16" s="11" cm="1">
        <f t="array" ref="J16">MAX(IF($N$3:$EH$3=$J$3,N16:EH16))</f>
        <v>0.8</v>
      </c>
      <c r="K16" s="11" cm="1">
        <f t="array" ref="K16">MAX(IF($N$3:$EH$3=$J$3,N16:EH16))</f>
        <v>0.8</v>
      </c>
      <c r="L16" s="9"/>
      <c r="O16" s="10">
        <v>0.8</v>
      </c>
      <c r="P16" s="10"/>
      <c r="Q16" s="10">
        <v>0.8</v>
      </c>
      <c r="R16" s="10"/>
      <c r="V16" s="10"/>
      <c r="W16" s="10"/>
      <c r="X16" s="10"/>
      <c r="Y16" s="10"/>
      <c r="AC16" s="10"/>
      <c r="AD16" s="10"/>
      <c r="AE16" s="10"/>
      <c r="AF16" s="10"/>
      <c r="AJ16" s="10"/>
      <c r="AK16" s="10"/>
      <c r="AL16" s="10"/>
      <c r="AM16" s="10"/>
      <c r="AQ16" s="10"/>
      <c r="AR16" s="10"/>
      <c r="AS16" s="10"/>
      <c r="AT16" s="10"/>
      <c r="AX16" s="10"/>
      <c r="AY16" s="10"/>
      <c r="AZ16" s="10"/>
      <c r="BA16" s="10"/>
      <c r="BE16" s="10"/>
      <c r="BF16" s="10"/>
      <c r="BG16" s="10"/>
      <c r="BH16" s="10"/>
      <c r="BL16" s="10"/>
      <c r="BM16" s="10"/>
      <c r="BN16" s="10"/>
      <c r="BO16" s="10"/>
      <c r="BS16" s="10"/>
      <c r="BT16" s="10"/>
      <c r="BU16" s="10"/>
      <c r="BV16" s="10"/>
      <c r="BZ16" s="10"/>
      <c r="CA16" s="10">
        <v>1</v>
      </c>
      <c r="CB16" s="10"/>
      <c r="CC16" s="10">
        <v>1</v>
      </c>
      <c r="CG16" s="10"/>
      <c r="CH16" s="10"/>
      <c r="CI16" s="10"/>
      <c r="CJ16" s="10"/>
      <c r="CN16" s="10"/>
      <c r="CO16" s="10"/>
      <c r="CP16" s="10"/>
      <c r="CQ16" s="10"/>
      <c r="CU16" s="10"/>
      <c r="CV16" s="10"/>
      <c r="CW16" s="10"/>
      <c r="CX16" s="10"/>
      <c r="DB16" s="10"/>
      <c r="DC16" s="10"/>
      <c r="DD16" s="10"/>
      <c r="DE16" s="10"/>
    </row>
    <row r="17" spans="2:109" outlineLevel="1" x14ac:dyDescent="0.2">
      <c r="B17" t="s">
        <v>28</v>
      </c>
      <c r="C17" t="s">
        <v>89</v>
      </c>
      <c r="E17" s="9"/>
      <c r="F17" t="s">
        <v>175</v>
      </c>
      <c r="G17" s="10">
        <v>8.3299999999999999E-2</v>
      </c>
      <c r="I17" s="9">
        <f t="shared" si="2"/>
        <v>0</v>
      </c>
      <c r="J17" s="11" cm="1">
        <f t="array" ref="J17">MAX(IF($N$3:$EH$3=$J$3,N17:EH17))</f>
        <v>0.5</v>
      </c>
      <c r="K17" s="11" cm="1">
        <f t="array" ref="K17">MAX(IF($N$3:$EH$3=$J$3,N17:EH17))</f>
        <v>0.5</v>
      </c>
      <c r="L17" s="9"/>
      <c r="O17" s="10">
        <v>0.5</v>
      </c>
      <c r="P17" s="10"/>
      <c r="Q17" s="10">
        <v>0.5</v>
      </c>
      <c r="R17" s="10"/>
      <c r="V17" s="10"/>
      <c r="W17" s="10"/>
      <c r="X17" s="10"/>
      <c r="Y17" s="10"/>
      <c r="AC17" s="10"/>
      <c r="AD17" s="10"/>
      <c r="AE17" s="10"/>
      <c r="AF17" s="10"/>
      <c r="AJ17" s="10"/>
      <c r="AK17" s="10"/>
      <c r="AL17" s="10"/>
      <c r="AM17" s="10"/>
      <c r="AQ17" s="10"/>
      <c r="AR17" s="10"/>
      <c r="AS17" s="10"/>
      <c r="AT17" s="10"/>
      <c r="AX17" s="10"/>
      <c r="AY17" s="10"/>
      <c r="AZ17" s="10"/>
      <c r="BA17" s="10"/>
      <c r="BE17" s="10"/>
      <c r="BF17" s="10"/>
      <c r="BG17" s="10"/>
      <c r="BH17" s="10"/>
      <c r="BL17" s="10"/>
      <c r="BM17" s="10"/>
      <c r="BN17" s="10"/>
      <c r="BO17" s="10"/>
      <c r="BS17" s="10"/>
      <c r="BT17" s="10"/>
      <c r="BU17" s="10"/>
      <c r="BV17" s="10"/>
      <c r="BZ17" s="10"/>
      <c r="CA17" s="10">
        <v>1</v>
      </c>
      <c r="CB17" s="10"/>
      <c r="CC17" s="10">
        <v>1</v>
      </c>
      <c r="CG17" s="10"/>
      <c r="CH17" s="10"/>
      <c r="CI17" s="10"/>
      <c r="CJ17" s="10"/>
      <c r="CN17" s="10"/>
      <c r="CO17" s="10"/>
      <c r="CP17" s="10"/>
      <c r="CQ17" s="10"/>
      <c r="CU17" s="10"/>
      <c r="CV17" s="10"/>
      <c r="CW17" s="10"/>
      <c r="CX17" s="10"/>
      <c r="DB17" s="10"/>
      <c r="DC17" s="10"/>
      <c r="DD17" s="10"/>
      <c r="DE17" s="10"/>
    </row>
    <row r="18" spans="2:109" outlineLevel="1" x14ac:dyDescent="0.2">
      <c r="B18" t="s">
        <v>28</v>
      </c>
      <c r="C18" t="s">
        <v>89</v>
      </c>
      <c r="E18" s="9"/>
      <c r="F18" t="s">
        <v>141</v>
      </c>
      <c r="G18" s="10">
        <v>8.3299999999999999E-2</v>
      </c>
      <c r="I18" s="9">
        <f t="shared" si="2"/>
        <v>0</v>
      </c>
      <c r="J18" s="11" cm="1">
        <f t="array" ref="J18">MAX(IF($N$3:$EH$3=$J$3,N18:EH18))</f>
        <v>0.5</v>
      </c>
      <c r="K18" s="11" cm="1">
        <f t="array" ref="K18">MAX(IF($N$3:$EH$3=$J$3,N18:EH18))</f>
        <v>0.5</v>
      </c>
      <c r="L18" s="9"/>
      <c r="O18" s="10">
        <v>0.5</v>
      </c>
      <c r="P18" s="10"/>
      <c r="Q18" s="10">
        <v>0.5</v>
      </c>
      <c r="R18" s="10"/>
      <c r="V18" s="10"/>
      <c r="W18" s="10"/>
      <c r="X18" s="10"/>
      <c r="Y18" s="10"/>
      <c r="AC18" s="10"/>
      <c r="AD18" s="10"/>
      <c r="AE18" s="10"/>
      <c r="AF18" s="10"/>
      <c r="AJ18" s="10"/>
      <c r="AK18" s="10"/>
      <c r="AL18" s="10"/>
      <c r="AM18" s="10"/>
      <c r="AQ18" s="10"/>
      <c r="AR18" s="10"/>
      <c r="AS18" s="10"/>
      <c r="AT18" s="10"/>
      <c r="AX18" s="10"/>
      <c r="AY18" s="10"/>
      <c r="AZ18" s="10"/>
      <c r="BA18" s="10"/>
      <c r="BE18" s="10"/>
      <c r="BF18" s="10"/>
      <c r="BG18" s="10"/>
      <c r="BH18" s="10"/>
      <c r="BL18" s="10"/>
      <c r="BM18" s="10"/>
      <c r="BN18" s="10"/>
      <c r="BO18" s="10"/>
      <c r="BS18" s="10"/>
      <c r="BT18" s="10"/>
      <c r="BU18" s="10"/>
      <c r="BV18" s="10"/>
      <c r="BZ18" s="10"/>
      <c r="CA18" s="10">
        <v>1</v>
      </c>
      <c r="CB18" s="10"/>
      <c r="CC18" s="10">
        <v>1</v>
      </c>
      <c r="CG18" s="10"/>
      <c r="CH18" s="10"/>
      <c r="CI18" s="10"/>
      <c r="CJ18" s="10"/>
      <c r="CN18" s="10"/>
      <c r="CO18" s="10"/>
      <c r="CP18" s="10"/>
      <c r="CQ18" s="10"/>
      <c r="CU18" s="10"/>
      <c r="CV18" s="10"/>
      <c r="CW18" s="10"/>
      <c r="CX18" s="10"/>
      <c r="DB18" s="10"/>
      <c r="DC18" s="10"/>
      <c r="DD18" s="10"/>
      <c r="DE18" s="10"/>
    </row>
    <row r="19" spans="2:109" outlineLevel="1" x14ac:dyDescent="0.2">
      <c r="B19" t="s">
        <v>28</v>
      </c>
      <c r="C19" t="s">
        <v>89</v>
      </c>
      <c r="E19" s="9"/>
      <c r="F19" t="s">
        <v>142</v>
      </c>
      <c r="G19" s="10">
        <v>8.3299999999999999E-2</v>
      </c>
      <c r="I19" s="9">
        <f t="shared" si="2"/>
        <v>0</v>
      </c>
      <c r="J19" s="11" cm="1">
        <f t="array" ref="J19">MAX(IF($N$3:$EH$3=$J$3,N19:EH19))</f>
        <v>0.5</v>
      </c>
      <c r="K19" s="11" cm="1">
        <f t="array" ref="K19">MAX(IF($N$3:$EH$3=$J$3,N19:EH19))</f>
        <v>0.5</v>
      </c>
      <c r="L19" s="9"/>
      <c r="O19" s="10">
        <v>0.5</v>
      </c>
      <c r="P19" s="10"/>
      <c r="Q19" s="10">
        <v>0.5</v>
      </c>
      <c r="R19" s="10"/>
      <c r="V19" s="10"/>
      <c r="W19" s="10"/>
      <c r="X19" s="10"/>
      <c r="Y19" s="10"/>
      <c r="AC19" s="10"/>
      <c r="AD19" s="10"/>
      <c r="AE19" s="10"/>
      <c r="AF19" s="10"/>
      <c r="AJ19" s="10"/>
      <c r="AK19" s="10"/>
      <c r="AL19" s="10"/>
      <c r="AM19" s="10"/>
      <c r="AQ19" s="10"/>
      <c r="AR19" s="10"/>
      <c r="AS19" s="10"/>
      <c r="AT19" s="10"/>
      <c r="AX19" s="10"/>
      <c r="AY19" s="10"/>
      <c r="AZ19" s="10"/>
      <c r="BA19" s="10"/>
      <c r="BE19" s="10"/>
      <c r="BF19" s="10"/>
      <c r="BG19" s="10"/>
      <c r="BH19" s="10"/>
      <c r="BL19" s="10"/>
      <c r="BM19" s="10"/>
      <c r="BN19" s="10"/>
      <c r="BO19" s="10"/>
      <c r="BS19" s="10"/>
      <c r="BT19" s="10"/>
      <c r="BU19" s="10"/>
      <c r="BV19" s="10"/>
      <c r="BZ19" s="10"/>
      <c r="CA19" s="10">
        <v>1</v>
      </c>
      <c r="CB19" s="10"/>
      <c r="CC19" s="10">
        <v>1</v>
      </c>
      <c r="CG19" s="10"/>
      <c r="CH19" s="10"/>
      <c r="CI19" s="10"/>
      <c r="CJ19" s="10"/>
      <c r="CN19" s="10"/>
      <c r="CO19" s="10"/>
      <c r="CP19" s="10"/>
      <c r="CQ19" s="10"/>
      <c r="CU19" s="10"/>
      <c r="CV19" s="10"/>
      <c r="CW19" s="10"/>
      <c r="CX19" s="10"/>
      <c r="DB19" s="10"/>
      <c r="DC19" s="10"/>
      <c r="DD19" s="10"/>
      <c r="DE19" s="10"/>
    </row>
    <row r="20" spans="2:109" outlineLevel="1" x14ac:dyDescent="0.2">
      <c r="B20" t="s">
        <v>28</v>
      </c>
      <c r="C20" t="s">
        <v>89</v>
      </c>
      <c r="E20" s="9"/>
      <c r="F20" t="s">
        <v>143</v>
      </c>
      <c r="G20" s="10">
        <v>8.3299999999999999E-2</v>
      </c>
      <c r="I20" s="9">
        <f t="shared" si="2"/>
        <v>0</v>
      </c>
      <c r="J20" s="11" cm="1">
        <f t="array" ref="J20">MAX(IF($N$3:$EH$3=$J$3,N20:EH20))</f>
        <v>0.5</v>
      </c>
      <c r="K20" s="11" cm="1">
        <f t="array" ref="K20">MAX(IF($N$3:$EH$3=$J$3,N20:EH20))</f>
        <v>0.5</v>
      </c>
      <c r="L20" s="9"/>
      <c r="O20" s="10">
        <v>0.5</v>
      </c>
      <c r="P20" s="10"/>
      <c r="Q20" s="10">
        <v>0.5</v>
      </c>
      <c r="R20" s="10"/>
      <c r="V20" s="10"/>
      <c r="W20" s="10"/>
      <c r="X20" s="10"/>
      <c r="Y20" s="10"/>
      <c r="AC20" s="10"/>
      <c r="AD20" s="10"/>
      <c r="AE20" s="10"/>
      <c r="AF20" s="10"/>
      <c r="AJ20" s="10"/>
      <c r="AK20" s="10"/>
      <c r="AL20" s="10"/>
      <c r="AM20" s="10"/>
      <c r="AQ20" s="10"/>
      <c r="AR20" s="10"/>
      <c r="AS20" s="10"/>
      <c r="AT20" s="10"/>
      <c r="AX20" s="10"/>
      <c r="AY20" s="10"/>
      <c r="AZ20" s="10"/>
      <c r="BA20" s="10"/>
      <c r="BE20" s="10"/>
      <c r="BF20" s="10"/>
      <c r="BG20" s="10"/>
      <c r="BH20" s="10"/>
      <c r="BL20" s="10"/>
      <c r="BM20" s="10"/>
      <c r="BN20" s="10"/>
      <c r="BO20" s="10"/>
      <c r="BS20" s="10"/>
      <c r="BT20" s="10"/>
      <c r="BU20" s="10"/>
      <c r="BV20" s="10"/>
      <c r="BZ20" s="10"/>
      <c r="CA20" s="10">
        <v>1</v>
      </c>
      <c r="CB20" s="10"/>
      <c r="CC20" s="10">
        <v>1</v>
      </c>
      <c r="CG20" s="10"/>
      <c r="CH20" s="10"/>
      <c r="CI20" s="10"/>
      <c r="CJ20" s="10"/>
      <c r="CN20" s="10"/>
      <c r="CO20" s="10"/>
      <c r="CP20" s="10"/>
      <c r="CQ20" s="10"/>
      <c r="CU20" s="10"/>
      <c r="CV20" s="10"/>
      <c r="CW20" s="10"/>
      <c r="CX20" s="10"/>
      <c r="DB20" s="10"/>
      <c r="DC20" s="10"/>
      <c r="DD20" s="10"/>
      <c r="DE20" s="10"/>
    </row>
    <row r="21" spans="2:109" outlineLevel="1" x14ac:dyDescent="0.2">
      <c r="B21" t="s">
        <v>28</v>
      </c>
      <c r="C21" t="s">
        <v>89</v>
      </c>
      <c r="E21" s="9"/>
      <c r="F21" t="s">
        <v>144</v>
      </c>
      <c r="G21" s="10">
        <v>8.3299999999999999E-2</v>
      </c>
      <c r="I21" s="9">
        <f t="shared" si="2"/>
        <v>0</v>
      </c>
      <c r="J21" s="11" cm="1">
        <f t="array" ref="J21">MAX(IF($N$3:$EH$3=$J$3,N21:EH21))</f>
        <v>0.5</v>
      </c>
      <c r="K21" s="11" cm="1">
        <f t="array" ref="K21">MAX(IF($N$3:$EH$3=$J$3,N21:EH21))</f>
        <v>0.5</v>
      </c>
      <c r="L21" s="9"/>
      <c r="O21" s="10">
        <v>0.5</v>
      </c>
      <c r="P21" s="10"/>
      <c r="Q21" s="10">
        <v>0.5</v>
      </c>
      <c r="R21" s="10"/>
      <c r="V21" s="10"/>
      <c r="W21" s="10"/>
      <c r="X21" s="10"/>
      <c r="Y21" s="10"/>
      <c r="AC21" s="10"/>
      <c r="AD21" s="10"/>
      <c r="AE21" s="10"/>
      <c r="AF21" s="10"/>
      <c r="AJ21" s="10"/>
      <c r="AK21" s="10"/>
      <c r="AL21" s="10"/>
      <c r="AM21" s="10"/>
      <c r="AQ21" s="10"/>
      <c r="AR21" s="10"/>
      <c r="AS21" s="10"/>
      <c r="AT21" s="10"/>
      <c r="AX21" s="10"/>
      <c r="AY21" s="10"/>
      <c r="AZ21" s="10"/>
      <c r="BA21" s="10"/>
      <c r="BE21" s="10"/>
      <c r="BF21" s="10"/>
      <c r="BG21" s="10"/>
      <c r="BH21" s="10"/>
      <c r="BL21" s="10"/>
      <c r="BM21" s="10"/>
      <c r="BN21" s="10"/>
      <c r="BO21" s="10"/>
      <c r="BS21" s="10"/>
      <c r="BT21" s="10"/>
      <c r="BU21" s="10"/>
      <c r="BV21" s="10"/>
      <c r="BZ21" s="10"/>
      <c r="CA21" s="10">
        <v>1</v>
      </c>
      <c r="CB21" s="10"/>
      <c r="CC21" s="10">
        <v>1</v>
      </c>
      <c r="CG21" s="10"/>
      <c r="CH21" s="10"/>
      <c r="CI21" s="10"/>
      <c r="CJ21" s="10"/>
      <c r="CN21" s="10"/>
      <c r="CO21" s="10"/>
      <c r="CP21" s="10"/>
      <c r="CQ21" s="10"/>
      <c r="CU21" s="10"/>
      <c r="CV21" s="10"/>
      <c r="CW21" s="10"/>
      <c r="CX21" s="10"/>
      <c r="DB21" s="10"/>
      <c r="DC21" s="10"/>
      <c r="DD21" s="10"/>
      <c r="DE21" s="10"/>
    </row>
    <row r="22" spans="2:109" outlineLevel="1" x14ac:dyDescent="0.2">
      <c r="B22" t="s">
        <v>28</v>
      </c>
      <c r="C22" t="s">
        <v>89</v>
      </c>
      <c r="E22" s="9"/>
      <c r="F22" t="s">
        <v>101</v>
      </c>
      <c r="G22" s="10">
        <v>8.3299999999999999E-2</v>
      </c>
      <c r="I22" s="9">
        <f t="shared" si="2"/>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c r="BN22" s="10"/>
      <c r="BO22" s="10"/>
      <c r="BS22" s="10"/>
      <c r="BT22" s="10"/>
      <c r="BU22" s="10"/>
      <c r="BV22" s="10"/>
      <c r="BZ22" s="10"/>
      <c r="CA22" s="10">
        <v>1</v>
      </c>
      <c r="CB22" s="10"/>
      <c r="CC22" s="10">
        <v>1</v>
      </c>
      <c r="CG22" s="10"/>
      <c r="CH22" s="10"/>
      <c r="CI22" s="10"/>
      <c r="CJ22" s="10"/>
      <c r="CN22" s="10"/>
      <c r="CO22" s="10"/>
      <c r="CP22" s="10"/>
      <c r="CQ22" s="10"/>
      <c r="CU22" s="10"/>
      <c r="CV22" s="10"/>
      <c r="CW22" s="10"/>
      <c r="CX22" s="10"/>
      <c r="DB22" s="10"/>
      <c r="DC22" s="10"/>
      <c r="DD22" s="10"/>
      <c r="DE22" s="10"/>
    </row>
    <row r="23" spans="2:109" outlineLevel="1" x14ac:dyDescent="0.2">
      <c r="B23" t="s">
        <v>28</v>
      </c>
      <c r="C23" t="s">
        <v>89</v>
      </c>
      <c r="E23" s="9"/>
      <c r="F23" t="s">
        <v>102</v>
      </c>
      <c r="G23" s="10">
        <v>8.3299999999999999E-2</v>
      </c>
      <c r="I23" s="9">
        <f t="shared" si="2"/>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c r="BU23" s="10"/>
      <c r="BV23" s="10"/>
      <c r="BZ23" s="10"/>
      <c r="CA23" s="10">
        <v>1</v>
      </c>
      <c r="CB23" s="10"/>
      <c r="CC23" s="10">
        <v>1</v>
      </c>
      <c r="CG23" s="10"/>
      <c r="CH23" s="10"/>
      <c r="CI23" s="10"/>
      <c r="CJ23" s="10"/>
      <c r="CN23" s="10"/>
      <c r="CO23" s="10"/>
      <c r="CP23" s="10"/>
      <c r="CQ23" s="10"/>
      <c r="CU23" s="10"/>
      <c r="CV23" s="10"/>
      <c r="CW23" s="10"/>
      <c r="CX23" s="10"/>
      <c r="DB23" s="10"/>
      <c r="DC23" s="10"/>
      <c r="DD23" s="10"/>
      <c r="DE23" s="10"/>
    </row>
    <row r="24" spans="2:109" outlineLevel="1" x14ac:dyDescent="0.2">
      <c r="B24" t="s">
        <v>28</v>
      </c>
      <c r="C24" t="s">
        <v>89</v>
      </c>
      <c r="E24" s="9"/>
      <c r="F24" t="s">
        <v>129</v>
      </c>
      <c r="G24" s="10">
        <v>8.3299999999999999E-2</v>
      </c>
      <c r="I24" s="9">
        <f t="shared" si="2"/>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L24" s="10"/>
      <c r="BM24" s="10"/>
      <c r="BN24" s="10"/>
      <c r="BO24" s="10"/>
      <c r="BS24" s="10"/>
      <c r="BT24" s="10"/>
      <c r="BU24" s="10"/>
      <c r="BV24" s="10"/>
      <c r="BZ24" s="10"/>
      <c r="CA24" s="10">
        <v>1</v>
      </c>
      <c r="CB24" s="10"/>
      <c r="CC24" s="10">
        <v>1</v>
      </c>
      <c r="CG24" s="10"/>
      <c r="CH24" s="10"/>
      <c r="CI24" s="10"/>
      <c r="CJ24" s="10"/>
      <c r="CN24" s="10"/>
      <c r="CO24" s="10"/>
      <c r="CP24" s="10"/>
      <c r="CQ24" s="10"/>
      <c r="CU24" s="10"/>
      <c r="CV24" s="10"/>
      <c r="CW24" s="10"/>
      <c r="CX24" s="10"/>
      <c r="DB24" s="10"/>
      <c r="DC24" s="10"/>
      <c r="DD24" s="10"/>
      <c r="DE24" s="10"/>
    </row>
    <row r="25" spans="2:109" outlineLevel="1" x14ac:dyDescent="0.2">
      <c r="B25" t="s">
        <v>28</v>
      </c>
      <c r="C25" t="s">
        <v>89</v>
      </c>
      <c r="E25" s="9"/>
      <c r="F25" t="s">
        <v>130</v>
      </c>
      <c r="G25" s="10">
        <v>8.3299999999999999E-2</v>
      </c>
      <c r="I25" s="9">
        <f t="shared" si="2"/>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M25" s="10"/>
      <c r="BN25" s="10"/>
      <c r="BO25" s="10"/>
      <c r="BS25" s="10"/>
      <c r="BT25" s="10"/>
      <c r="BU25" s="10"/>
      <c r="BV25" s="10"/>
      <c r="BZ25" s="10"/>
      <c r="CA25" s="10">
        <v>1</v>
      </c>
      <c r="CB25" s="10"/>
      <c r="CC25" s="10">
        <v>1</v>
      </c>
      <c r="CG25" s="10"/>
      <c r="CH25" s="10"/>
      <c r="CI25" s="10"/>
      <c r="CJ25" s="10"/>
      <c r="CN25" s="10"/>
      <c r="CO25" s="10"/>
      <c r="CP25" s="10"/>
      <c r="CQ25" s="10"/>
      <c r="CU25" s="10"/>
      <c r="CV25" s="10"/>
      <c r="CW25" s="10"/>
      <c r="CX25" s="10"/>
      <c r="DB25" s="10"/>
      <c r="DC25" s="10"/>
      <c r="DD25" s="10"/>
      <c r="DE25" s="10"/>
    </row>
    <row r="26" spans="2:109" x14ac:dyDescent="0.2">
      <c r="BT26" s="10"/>
      <c r="BV26" s="10"/>
    </row>
    <row r="27" spans="2:109" x14ac:dyDescent="0.2">
      <c r="B27" t="s">
        <v>27</v>
      </c>
      <c r="C27" t="s">
        <v>90</v>
      </c>
      <c r="D27" s="19">
        <v>45327</v>
      </c>
      <c r="E27" s="9">
        <v>5</v>
      </c>
      <c r="G27" s="10">
        <f>+SUM(G28:G39)</f>
        <v>0.99960000000000016</v>
      </c>
      <c r="I27" s="12">
        <f>+SUM(I28:I38)</f>
        <v>0</v>
      </c>
      <c r="J27" s="11">
        <f>+SUMPRODUCT(G28:G39,J28:J39)</f>
        <v>0.25823000000000002</v>
      </c>
      <c r="K27" s="11">
        <f>+SUMPRODUCT(G28:G39,K28:K39)</f>
        <v>0.25823000000000002</v>
      </c>
      <c r="L27" s="9"/>
      <c r="N27" s="12">
        <f>+SUM(N28:N39)</f>
        <v>0</v>
      </c>
      <c r="U27" s="12">
        <f>+SUM(U28:U39)</f>
        <v>0</v>
      </c>
      <c r="AB27" s="12">
        <f>+SUM(AB28:AB39)</f>
        <v>0</v>
      </c>
      <c r="AI27" s="12">
        <f>+SUM(AI28:AI39)</f>
        <v>0</v>
      </c>
      <c r="AP27" s="12">
        <f>+SUM(AP28:AP39)</f>
        <v>0</v>
      </c>
      <c r="AW27" s="12">
        <f>+SUM(AW28:AW39)</f>
        <v>0</v>
      </c>
      <c r="BD27" s="12">
        <f>+SUM(BD28:BD39)</f>
        <v>0</v>
      </c>
      <c r="BK27" s="12">
        <f>+SUM(BK28:BK39)</f>
        <v>0</v>
      </c>
      <c r="BR27" s="12">
        <f>+SUM(BR28:BR39)</f>
        <v>0</v>
      </c>
      <c r="BT27" s="10"/>
      <c r="BV27" s="10"/>
      <c r="BY27" s="12">
        <f>+SUM(BY28:BY39)</f>
        <v>0</v>
      </c>
      <c r="CF27" s="12">
        <f>+SUM(CF28:CF39)</f>
        <v>0</v>
      </c>
      <c r="CM27" s="12">
        <f>+SUM(CM28:CM39)</f>
        <v>0</v>
      </c>
      <c r="CT27" s="12">
        <f>+SUM(CT28:CT39)</f>
        <v>0</v>
      </c>
    </row>
    <row r="28" spans="2:109" outlineLevel="1" x14ac:dyDescent="0.2">
      <c r="B28" t="s">
        <v>28</v>
      </c>
      <c r="C28" t="s">
        <v>90</v>
      </c>
      <c r="E28" s="9"/>
      <c r="F28" t="s">
        <v>159</v>
      </c>
      <c r="G28" s="10">
        <v>8.3299999999999999E-2</v>
      </c>
      <c r="I28" s="9">
        <f t="shared" ref="I28:I39" si="3">+SUMIF($N$3:$ZZ$3,I$3,$N28:$ZZ28)</f>
        <v>0</v>
      </c>
      <c r="J28" s="11" cm="1">
        <f t="array" ref="J28">MAX(IF($N$3:$EH$3=$J$3,N28:EH28))</f>
        <v>0.5</v>
      </c>
      <c r="K28" s="11" cm="1">
        <f t="array" ref="K28">MAX(IF($N$3:$EH$3=$J$3,N28:EH28))</f>
        <v>0.5</v>
      </c>
      <c r="L28" s="9"/>
      <c r="O28" s="10">
        <v>0.5</v>
      </c>
      <c r="P28" s="10"/>
      <c r="Q28" s="10">
        <v>0.5</v>
      </c>
      <c r="R28" s="10"/>
      <c r="V28" s="10"/>
      <c r="W28" s="10"/>
      <c r="X28" s="10"/>
      <c r="Y28" s="10"/>
      <c r="AC28" s="10"/>
      <c r="AD28" s="10"/>
      <c r="AE28" s="10"/>
      <c r="AF28" s="10"/>
      <c r="AJ28" s="10"/>
      <c r="AK28" s="10"/>
      <c r="AL28" s="10"/>
      <c r="AM28" s="10"/>
      <c r="AQ28" s="10"/>
      <c r="AR28" s="10"/>
      <c r="AS28" s="10"/>
      <c r="AT28" s="10"/>
      <c r="AX28" s="10"/>
      <c r="AY28" s="10"/>
      <c r="AZ28" s="10"/>
      <c r="BA28" s="10"/>
      <c r="BE28" s="10"/>
      <c r="BF28" s="10"/>
      <c r="BG28" s="10"/>
      <c r="BH28" s="10"/>
      <c r="BL28" s="10"/>
      <c r="BM28" s="10"/>
      <c r="BN28" s="10"/>
      <c r="BO28" s="10"/>
      <c r="BS28" s="10"/>
      <c r="BT28" s="10">
        <v>1</v>
      </c>
      <c r="BU28" s="10"/>
      <c r="BV28" s="10">
        <v>1</v>
      </c>
      <c r="BZ28" s="10"/>
      <c r="CA28" s="10">
        <v>1</v>
      </c>
      <c r="CB28" s="10"/>
      <c r="CC28" s="10">
        <v>1</v>
      </c>
      <c r="CG28" s="10"/>
      <c r="CH28" s="10"/>
      <c r="CI28" s="10"/>
      <c r="CJ28" s="10"/>
      <c r="CN28" s="10"/>
      <c r="CO28" s="10"/>
      <c r="CP28" s="10"/>
      <c r="CQ28" s="10"/>
      <c r="CU28" s="10"/>
      <c r="CV28" s="10"/>
      <c r="CW28" s="10"/>
      <c r="CX28" s="10"/>
      <c r="DB28" s="10"/>
      <c r="DC28" s="10"/>
      <c r="DD28" s="10"/>
      <c r="DE28" s="10"/>
    </row>
    <row r="29" spans="2:109" outlineLevel="1" x14ac:dyDescent="0.2">
      <c r="B29" t="s">
        <v>28</v>
      </c>
      <c r="C29" t="s">
        <v>90</v>
      </c>
      <c r="E29" s="9"/>
      <c r="F29" t="s">
        <v>160</v>
      </c>
      <c r="G29" s="10">
        <v>8.3299999999999999E-2</v>
      </c>
      <c r="I29" s="9">
        <f t="shared" si="3"/>
        <v>0</v>
      </c>
      <c r="J29" s="11" cm="1">
        <f t="array" ref="J29">MAX(IF($N$3:$EH$3=$J$3,N29:EH29))</f>
        <v>0.5</v>
      </c>
      <c r="K29" s="11" cm="1">
        <f t="array" ref="K29">MAX(IF($N$3:$EH$3=$J$3,N29:EH29))</f>
        <v>0.5</v>
      </c>
      <c r="L29" s="9"/>
      <c r="O29" s="10">
        <v>0.5</v>
      </c>
      <c r="P29" s="10"/>
      <c r="Q29" s="10">
        <v>0.5</v>
      </c>
      <c r="R29" s="10"/>
      <c r="V29" s="10"/>
      <c r="W29" s="10"/>
      <c r="X29" s="10"/>
      <c r="Y29" s="10"/>
      <c r="AC29" s="10"/>
      <c r="AD29" s="10"/>
      <c r="AE29" s="10"/>
      <c r="AF29" s="10"/>
      <c r="AJ29" s="10"/>
      <c r="AK29" s="10"/>
      <c r="AL29" s="10"/>
      <c r="AM29" s="10"/>
      <c r="AQ29" s="10"/>
      <c r="AR29" s="10"/>
      <c r="AS29" s="10"/>
      <c r="AT29" s="10"/>
      <c r="AX29" s="10"/>
      <c r="AY29" s="10"/>
      <c r="AZ29" s="10"/>
      <c r="BA29" s="10"/>
      <c r="BE29" s="10"/>
      <c r="BF29" s="10"/>
      <c r="BG29" s="10"/>
      <c r="BH29" s="10"/>
      <c r="BL29" s="10"/>
      <c r="BM29" s="10"/>
      <c r="BN29" s="10"/>
      <c r="BO29" s="10"/>
      <c r="BS29" s="10"/>
      <c r="BT29" s="10">
        <v>1</v>
      </c>
      <c r="BU29" s="10"/>
      <c r="BV29" s="10">
        <v>1</v>
      </c>
      <c r="BZ29" s="10"/>
      <c r="CA29" s="10">
        <v>1</v>
      </c>
      <c r="CB29" s="10"/>
      <c r="CC29" s="10">
        <v>1</v>
      </c>
      <c r="CG29" s="10"/>
      <c r="CH29" s="10"/>
      <c r="CI29" s="10"/>
      <c r="CJ29" s="10"/>
      <c r="CN29" s="10"/>
      <c r="CO29" s="10"/>
      <c r="CP29" s="10"/>
      <c r="CQ29" s="10"/>
      <c r="CU29" s="10"/>
      <c r="CV29" s="10"/>
      <c r="CW29" s="10"/>
      <c r="CX29" s="10"/>
      <c r="DB29" s="10"/>
      <c r="DC29" s="10"/>
      <c r="DD29" s="10"/>
      <c r="DE29" s="10"/>
    </row>
    <row r="30" spans="2:109" outlineLevel="1" x14ac:dyDescent="0.2">
      <c r="B30" t="s">
        <v>28</v>
      </c>
      <c r="C30" t="s">
        <v>90</v>
      </c>
      <c r="E30" s="9"/>
      <c r="F30" t="s">
        <v>161</v>
      </c>
      <c r="G30" s="10">
        <v>8.3299999999999999E-2</v>
      </c>
      <c r="I30" s="9">
        <f t="shared" si="3"/>
        <v>0</v>
      </c>
      <c r="J30" s="11" cm="1">
        <f t="array" ref="J30">MAX(IF($N$3:$EH$3=$J$3,N30:EH30))</f>
        <v>0.5</v>
      </c>
      <c r="K30" s="11" cm="1">
        <f t="array" ref="K30">MAX(IF($N$3:$EH$3=$J$3,N30:EH30))</f>
        <v>0.5</v>
      </c>
      <c r="L30" s="9"/>
      <c r="O30" s="10">
        <v>0.5</v>
      </c>
      <c r="P30" s="10"/>
      <c r="Q30" s="10">
        <v>0.5</v>
      </c>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10"/>
      <c r="BN30" s="10"/>
      <c r="BO30" s="10"/>
      <c r="BS30" s="10"/>
      <c r="BT30" s="10">
        <v>1</v>
      </c>
      <c r="BU30" s="10"/>
      <c r="BV30" s="10">
        <v>1</v>
      </c>
      <c r="BZ30" s="10"/>
      <c r="CA30" s="10">
        <v>1</v>
      </c>
      <c r="CB30" s="10"/>
      <c r="CC30" s="10">
        <v>1</v>
      </c>
      <c r="CG30" s="10"/>
      <c r="CH30" s="10"/>
      <c r="CI30" s="10"/>
      <c r="CJ30" s="10"/>
      <c r="CN30" s="10"/>
      <c r="CO30" s="10"/>
      <c r="CP30" s="10"/>
      <c r="CQ30" s="10"/>
      <c r="CU30" s="10"/>
      <c r="CV30" s="10"/>
      <c r="CW30" s="10"/>
      <c r="CX30" s="10"/>
      <c r="DB30" s="10"/>
      <c r="DC30" s="10"/>
      <c r="DD30" s="10"/>
      <c r="DE30" s="10"/>
    </row>
    <row r="31" spans="2:109" outlineLevel="1" x14ac:dyDescent="0.2">
      <c r="B31" t="s">
        <v>28</v>
      </c>
      <c r="C31" t="s">
        <v>90</v>
      </c>
      <c r="E31" s="9"/>
      <c r="F31" t="s">
        <v>162</v>
      </c>
      <c r="G31" s="10">
        <v>8.3299999999999999E-2</v>
      </c>
      <c r="I31" s="9">
        <f t="shared" si="3"/>
        <v>0</v>
      </c>
      <c r="J31" s="11" cm="1">
        <f t="array" ref="J31">MAX(IF($N$3:$EH$3=$J$3,N31:EH31))</f>
        <v>0.5</v>
      </c>
      <c r="K31" s="11" cm="1">
        <f t="array" ref="K31">MAX(IF($N$3:$EH$3=$J$3,N31:EH31))</f>
        <v>0.5</v>
      </c>
      <c r="L31" s="9"/>
      <c r="O31" s="10">
        <v>0.5</v>
      </c>
      <c r="P31" s="10"/>
      <c r="Q31" s="10">
        <v>0.5</v>
      </c>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v>1</v>
      </c>
      <c r="BU31" s="10"/>
      <c r="BV31" s="10">
        <v>1</v>
      </c>
      <c r="BZ31" s="10"/>
      <c r="CA31" s="10">
        <v>1</v>
      </c>
      <c r="CB31" s="10"/>
      <c r="CC31" s="10">
        <v>1</v>
      </c>
      <c r="CG31" s="10"/>
      <c r="CH31" s="10"/>
      <c r="CI31" s="10"/>
      <c r="CJ31" s="10"/>
      <c r="CN31" s="10"/>
      <c r="CO31" s="10"/>
      <c r="CP31" s="10"/>
      <c r="CQ31" s="10"/>
      <c r="CU31" s="10"/>
      <c r="CV31" s="10"/>
      <c r="CW31" s="10"/>
      <c r="CX31" s="10"/>
      <c r="DB31" s="10"/>
      <c r="DC31" s="10"/>
      <c r="DD31" s="10"/>
      <c r="DE31" s="10"/>
    </row>
    <row r="32" spans="2:109" outlineLevel="1" x14ac:dyDescent="0.2">
      <c r="B32" t="s">
        <v>28</v>
      </c>
      <c r="C32" t="s">
        <v>90</v>
      </c>
      <c r="E32" s="9"/>
      <c r="F32" t="s">
        <v>163</v>
      </c>
      <c r="G32" s="10">
        <v>8.3299999999999999E-2</v>
      </c>
      <c r="I32" s="9">
        <f t="shared" si="3"/>
        <v>0</v>
      </c>
      <c r="J32" s="11" cm="1">
        <f t="array" ref="J32">MAX(IF($N$3:$EH$3=$J$3,N32:EH32))</f>
        <v>0.5</v>
      </c>
      <c r="K32" s="11" cm="1">
        <f t="array" ref="K32">MAX(IF($N$3:$EH$3=$J$3,N32:EH32))</f>
        <v>0.5</v>
      </c>
      <c r="L32" s="9"/>
      <c r="O32" s="10">
        <v>0.5</v>
      </c>
      <c r="P32" s="10"/>
      <c r="Q32" s="10">
        <v>0.5</v>
      </c>
      <c r="R32" s="10"/>
      <c r="V32" s="10"/>
      <c r="W32" s="10"/>
      <c r="X32" s="10"/>
      <c r="Y32" s="10"/>
      <c r="AC32" s="10"/>
      <c r="AD32" s="10"/>
      <c r="AE32" s="10"/>
      <c r="AF32" s="10"/>
      <c r="AJ32" s="10"/>
      <c r="AK32" s="10"/>
      <c r="AL32" s="10"/>
      <c r="AM32" s="10"/>
      <c r="AQ32" s="10"/>
      <c r="AR32" s="10"/>
      <c r="AS32" s="10"/>
      <c r="AT32" s="10"/>
      <c r="AX32" s="10"/>
      <c r="AY32" s="10"/>
      <c r="AZ32" s="10"/>
      <c r="BA32" s="10"/>
      <c r="BE32" s="10"/>
      <c r="BF32" s="10"/>
      <c r="BG32" s="10"/>
      <c r="BH32" s="10"/>
      <c r="BL32" s="10"/>
      <c r="BM32" s="10"/>
      <c r="BN32" s="10"/>
      <c r="BO32" s="10"/>
      <c r="BS32" s="10"/>
      <c r="BT32" s="10">
        <v>1</v>
      </c>
      <c r="BU32" s="10"/>
      <c r="BV32" s="10">
        <v>1</v>
      </c>
      <c r="BZ32" s="10"/>
      <c r="CA32" s="10">
        <v>1</v>
      </c>
      <c r="CB32" s="10"/>
      <c r="CC32" s="10">
        <v>1</v>
      </c>
      <c r="CG32" s="10"/>
      <c r="CH32" s="10"/>
      <c r="CI32" s="10"/>
      <c r="CJ32" s="10"/>
      <c r="CN32" s="10"/>
      <c r="CO32" s="10"/>
      <c r="CP32" s="10"/>
      <c r="CQ32" s="10"/>
      <c r="CU32" s="10"/>
      <c r="CV32" s="10"/>
      <c r="CW32" s="10"/>
      <c r="CX32" s="10"/>
      <c r="DB32" s="10"/>
      <c r="DC32" s="10"/>
      <c r="DD32" s="10"/>
      <c r="DE32" s="10"/>
    </row>
    <row r="33" spans="2:109" outlineLevel="1" x14ac:dyDescent="0.2">
      <c r="B33" t="s">
        <v>28</v>
      </c>
      <c r="C33" t="s">
        <v>90</v>
      </c>
      <c r="E33" s="9"/>
      <c r="F33" t="s">
        <v>164</v>
      </c>
      <c r="G33" s="10">
        <v>8.3299999999999999E-2</v>
      </c>
      <c r="I33" s="9">
        <f t="shared" si="3"/>
        <v>0</v>
      </c>
      <c r="J33" s="11" cm="1">
        <f t="array" ref="J33">MAX(IF($N$3:$EH$3=$J$3,N33:EH33))</f>
        <v>0.3</v>
      </c>
      <c r="K33" s="11" cm="1">
        <f t="array" ref="K33">MAX(IF($N$3:$EH$3=$J$3,N33:EH33))</f>
        <v>0.3</v>
      </c>
      <c r="L33" s="9"/>
      <c r="O33" s="10">
        <v>0.3</v>
      </c>
      <c r="P33" s="10"/>
      <c r="Q33" s="10">
        <v>0.3</v>
      </c>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c r="BN33" s="10"/>
      <c r="BO33" s="10"/>
      <c r="BS33" s="10"/>
      <c r="BT33" s="10">
        <v>1</v>
      </c>
      <c r="BU33" s="10"/>
      <c r="BV33" s="10">
        <v>1</v>
      </c>
      <c r="BZ33" s="10"/>
      <c r="CA33" s="10">
        <v>1</v>
      </c>
      <c r="CB33" s="10"/>
      <c r="CC33" s="10">
        <v>1</v>
      </c>
      <c r="CG33" s="10"/>
      <c r="CH33" s="10"/>
      <c r="CI33" s="10"/>
      <c r="CJ33" s="10"/>
      <c r="CN33" s="10"/>
      <c r="CO33" s="10"/>
      <c r="CP33" s="10"/>
      <c r="CQ33" s="10"/>
      <c r="CU33" s="10"/>
      <c r="CV33" s="10"/>
      <c r="CW33" s="10"/>
      <c r="CX33" s="10"/>
      <c r="DB33" s="10"/>
      <c r="DC33" s="10"/>
      <c r="DD33" s="10"/>
      <c r="DE33" s="10"/>
    </row>
    <row r="34" spans="2:109" outlineLevel="1" x14ac:dyDescent="0.2">
      <c r="B34" t="s">
        <v>28</v>
      </c>
      <c r="C34" t="s">
        <v>90</v>
      </c>
      <c r="E34" s="9"/>
      <c r="F34" t="s">
        <v>165</v>
      </c>
      <c r="G34" s="10">
        <v>8.3299999999999999E-2</v>
      </c>
      <c r="I34" s="9">
        <f t="shared" si="3"/>
        <v>0</v>
      </c>
      <c r="J34" s="11" cm="1">
        <f t="array" ref="J34">MAX(IF($N$3:$EH$3=$J$3,N34:EH34))</f>
        <v>0.3</v>
      </c>
      <c r="K34" s="11" cm="1">
        <f t="array" ref="K34">MAX(IF($N$3:$EH$3=$J$3,N34:EH34))</f>
        <v>0.3</v>
      </c>
      <c r="L34" s="9"/>
      <c r="O34" s="10">
        <v>0.3</v>
      </c>
      <c r="P34" s="10"/>
      <c r="Q34" s="10">
        <v>0.3</v>
      </c>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v>1</v>
      </c>
      <c r="BU34" s="10"/>
      <c r="BV34" s="10">
        <v>1</v>
      </c>
      <c r="BZ34" s="10"/>
      <c r="CA34" s="10">
        <v>1</v>
      </c>
      <c r="CB34" s="10"/>
      <c r="CC34" s="10">
        <v>1</v>
      </c>
      <c r="CG34" s="10"/>
      <c r="CH34" s="10"/>
      <c r="CI34" s="10"/>
      <c r="CJ34" s="10"/>
      <c r="CN34" s="10"/>
      <c r="CO34" s="10"/>
      <c r="CP34" s="10"/>
      <c r="CQ34" s="10"/>
      <c r="CU34" s="10"/>
      <c r="CV34" s="10"/>
      <c r="CW34" s="10"/>
      <c r="CX34" s="10"/>
      <c r="DB34" s="10"/>
      <c r="DC34" s="10"/>
      <c r="DD34" s="10"/>
      <c r="DE34" s="10"/>
    </row>
    <row r="35" spans="2:109" outlineLevel="1" x14ac:dyDescent="0.2">
      <c r="B35" t="s">
        <v>28</v>
      </c>
      <c r="C35" t="s">
        <v>90</v>
      </c>
      <c r="E35" s="9"/>
      <c r="F35" t="s">
        <v>166</v>
      </c>
      <c r="G35" s="10">
        <v>8.3299999999999999E-2</v>
      </c>
      <c r="I35" s="9">
        <f t="shared" si="3"/>
        <v>0</v>
      </c>
      <c r="J35" s="11" cm="1">
        <f t="array" ref="J35">MAX(IF($N$3:$EH$3=$J$3,N35:EH35))</f>
        <v>0</v>
      </c>
      <c r="K35" s="11" cm="1">
        <f t="array" ref="K35">MAX(IF($N$3:$EH$3=$J$3,N35:EH35))</f>
        <v>0</v>
      </c>
      <c r="L35" s="9"/>
      <c r="O35" s="10"/>
      <c r="P35" s="10"/>
      <c r="Q35" s="10"/>
      <c r="R35" s="10"/>
      <c r="V35" s="10"/>
      <c r="W35" s="10"/>
      <c r="X35" s="10"/>
      <c r="Y35" s="10"/>
      <c r="AC35" s="10"/>
      <c r="AD35" s="10"/>
      <c r="AE35" s="10"/>
      <c r="AF35" s="10"/>
      <c r="AJ35" s="10"/>
      <c r="AK35" s="10"/>
      <c r="AL35" s="10"/>
      <c r="AM35" s="10"/>
      <c r="AQ35" s="10"/>
      <c r="AR35" s="10"/>
      <c r="AS35" s="10"/>
      <c r="AT35" s="10"/>
      <c r="AX35" s="10"/>
      <c r="AY35" s="10"/>
      <c r="AZ35" s="10"/>
      <c r="BA35" s="10"/>
      <c r="BE35" s="10"/>
      <c r="BF35" s="10"/>
      <c r="BG35" s="10"/>
      <c r="BH35" s="10"/>
      <c r="BL35" s="10"/>
      <c r="BM35" s="10"/>
      <c r="BN35" s="10"/>
      <c r="BO35" s="10"/>
      <c r="BS35" s="10"/>
      <c r="BT35" s="10">
        <v>1</v>
      </c>
      <c r="BU35" s="10"/>
      <c r="BV35" s="10">
        <v>1</v>
      </c>
      <c r="BZ35" s="10"/>
      <c r="CA35" s="10">
        <v>1</v>
      </c>
      <c r="CB35" s="10"/>
      <c r="CC35" s="10">
        <v>1</v>
      </c>
      <c r="CG35" s="10"/>
      <c r="CH35" s="10"/>
      <c r="CI35" s="10"/>
      <c r="CJ35" s="10"/>
      <c r="CN35" s="10"/>
      <c r="CO35" s="10"/>
      <c r="CP35" s="10"/>
      <c r="CQ35" s="10"/>
      <c r="CU35" s="10"/>
      <c r="CV35" s="10"/>
      <c r="CW35" s="10"/>
      <c r="CX35" s="10"/>
      <c r="DB35" s="10"/>
      <c r="DC35" s="10"/>
      <c r="DD35" s="10"/>
      <c r="DE35" s="10"/>
    </row>
    <row r="36" spans="2:109" outlineLevel="1" x14ac:dyDescent="0.2">
      <c r="B36" t="s">
        <v>28</v>
      </c>
      <c r="C36" t="s">
        <v>90</v>
      </c>
      <c r="E36" s="9"/>
      <c r="F36" t="s">
        <v>167</v>
      </c>
      <c r="G36" s="10">
        <v>8.3299999999999999E-2</v>
      </c>
      <c r="I36" s="9">
        <f t="shared" si="3"/>
        <v>0</v>
      </c>
      <c r="J36" s="11" cm="1">
        <f t="array" ref="J36">MAX(IF($N$3:$EH$3=$J$3,N36:EH36))</f>
        <v>0</v>
      </c>
      <c r="K36" s="11" cm="1">
        <f t="array" ref="K36">MAX(IF($N$3:$EH$3=$J$3,N36:EH36))</f>
        <v>0</v>
      </c>
      <c r="L36" s="9"/>
      <c r="O36" s="10"/>
      <c r="P36" s="10"/>
      <c r="Q36" s="10"/>
      <c r="R36" s="10"/>
      <c r="V36" s="10"/>
      <c r="W36" s="10"/>
      <c r="X36" s="10"/>
      <c r="Y36" s="10"/>
      <c r="AC36" s="10"/>
      <c r="AD36" s="10"/>
      <c r="AE36" s="10"/>
      <c r="AF36" s="10"/>
      <c r="AJ36" s="10"/>
      <c r="AK36" s="10"/>
      <c r="AL36" s="10"/>
      <c r="AM36" s="10"/>
      <c r="AQ36" s="10"/>
      <c r="AR36" s="10"/>
      <c r="AS36" s="10"/>
      <c r="AT36" s="10"/>
      <c r="AX36" s="10"/>
      <c r="AY36" s="10"/>
      <c r="AZ36" s="10"/>
      <c r="BA36" s="10"/>
      <c r="BE36" s="10"/>
      <c r="BF36" s="10"/>
      <c r="BG36" s="10"/>
      <c r="BH36" s="10"/>
      <c r="BL36" s="10"/>
      <c r="BM36" s="10"/>
      <c r="BN36" s="10"/>
      <c r="BO36" s="10"/>
      <c r="BS36" s="10"/>
      <c r="BT36" s="10">
        <v>0.8</v>
      </c>
      <c r="BU36" s="10"/>
      <c r="BV36" s="10">
        <v>0.8</v>
      </c>
      <c r="BZ36" s="10"/>
      <c r="CA36" s="10">
        <v>1</v>
      </c>
      <c r="CB36" s="10"/>
      <c r="CC36" s="10">
        <v>1</v>
      </c>
      <c r="CG36" s="10"/>
      <c r="CH36" s="10"/>
      <c r="CI36" s="10"/>
      <c r="CJ36" s="10"/>
      <c r="CN36" s="10"/>
      <c r="CO36" s="10"/>
      <c r="CP36" s="10"/>
      <c r="CQ36" s="10"/>
      <c r="CU36" s="10"/>
      <c r="CV36" s="10"/>
      <c r="CW36" s="10"/>
      <c r="CX36" s="10"/>
      <c r="DB36" s="10"/>
      <c r="DC36" s="10"/>
      <c r="DD36" s="10"/>
      <c r="DE36" s="10"/>
    </row>
    <row r="37" spans="2:109" outlineLevel="1" x14ac:dyDescent="0.2">
      <c r="B37" t="s">
        <v>28</v>
      </c>
      <c r="C37" t="s">
        <v>90</v>
      </c>
      <c r="E37" s="9"/>
      <c r="F37" t="s">
        <v>168</v>
      </c>
      <c r="G37" s="10">
        <v>8.3299999999999999E-2</v>
      </c>
      <c r="I37" s="9">
        <f t="shared" si="3"/>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10"/>
      <c r="BN37" s="10"/>
      <c r="BO37" s="10"/>
      <c r="BS37" s="10"/>
      <c r="BT37" s="10">
        <v>0.8</v>
      </c>
      <c r="BU37" s="10"/>
      <c r="BV37" s="10">
        <v>0.8</v>
      </c>
      <c r="BZ37" s="10"/>
      <c r="CA37" s="10">
        <v>1</v>
      </c>
      <c r="CB37" s="10"/>
      <c r="CC37" s="10">
        <v>1</v>
      </c>
      <c r="CG37" s="10"/>
      <c r="CH37" s="10"/>
      <c r="CI37" s="10"/>
      <c r="CJ37" s="10"/>
      <c r="CN37" s="10"/>
      <c r="CO37" s="10"/>
      <c r="CP37" s="10"/>
      <c r="CQ37" s="10"/>
      <c r="CU37" s="10"/>
      <c r="CV37" s="10"/>
      <c r="CW37" s="10"/>
      <c r="CX37" s="10"/>
      <c r="DB37" s="10"/>
      <c r="DC37" s="10"/>
      <c r="DD37" s="10"/>
      <c r="DE37" s="10"/>
    </row>
    <row r="38" spans="2:109" outlineLevel="1" x14ac:dyDescent="0.2">
      <c r="B38" t="s">
        <v>28</v>
      </c>
      <c r="C38" t="s">
        <v>90</v>
      </c>
      <c r="E38" s="9"/>
      <c r="F38" t="s">
        <v>169</v>
      </c>
      <c r="G38" s="10">
        <v>8.3299999999999999E-2</v>
      </c>
      <c r="I38" s="9">
        <f t="shared" si="3"/>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v>0.8</v>
      </c>
      <c r="BU38" s="10"/>
      <c r="BV38" s="10">
        <v>0.8</v>
      </c>
      <c r="BZ38" s="10"/>
      <c r="CA38" s="10">
        <v>1</v>
      </c>
      <c r="CB38" s="10"/>
      <c r="CC38" s="10">
        <v>1</v>
      </c>
      <c r="CG38" s="10"/>
      <c r="CH38" s="10"/>
      <c r="CI38" s="10"/>
      <c r="CJ38" s="10"/>
      <c r="CN38" s="10"/>
      <c r="CO38" s="10"/>
      <c r="CP38" s="10"/>
      <c r="CQ38" s="10"/>
      <c r="CU38" s="10"/>
      <c r="CV38" s="10"/>
      <c r="CW38" s="10"/>
      <c r="CX38" s="10"/>
      <c r="DB38" s="10"/>
      <c r="DC38" s="10"/>
      <c r="DD38" s="10"/>
      <c r="DE38" s="10"/>
    </row>
    <row r="39" spans="2:109" outlineLevel="1" x14ac:dyDescent="0.2">
      <c r="B39" t="s">
        <v>28</v>
      </c>
      <c r="C39" t="s">
        <v>90</v>
      </c>
      <c r="E39" s="9"/>
      <c r="F39" t="s">
        <v>170</v>
      </c>
      <c r="G39" s="10">
        <v>8.3299999999999999E-2</v>
      </c>
      <c r="I39" s="9">
        <f t="shared" si="3"/>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c r="BS39" s="10"/>
      <c r="BT39" s="10">
        <v>0.8</v>
      </c>
      <c r="BU39" s="10"/>
      <c r="BV39" s="10">
        <v>0.8</v>
      </c>
      <c r="BZ39" s="10"/>
      <c r="CA39" s="10">
        <v>1</v>
      </c>
      <c r="CB39" s="10"/>
      <c r="CC39" s="10">
        <v>1</v>
      </c>
      <c r="CG39" s="10"/>
      <c r="CH39" s="10"/>
      <c r="CI39" s="10"/>
      <c r="CJ39" s="10"/>
      <c r="CN39" s="10"/>
      <c r="CO39" s="10"/>
      <c r="CP39" s="10"/>
      <c r="CQ39" s="10"/>
      <c r="CU39" s="10"/>
      <c r="CV39" s="10"/>
      <c r="CW39" s="10"/>
      <c r="CX39" s="10"/>
      <c r="DB39" s="10"/>
      <c r="DC39" s="10"/>
      <c r="DD39" s="10"/>
      <c r="DE39" s="10"/>
    </row>
    <row r="40" spans="2:109" x14ac:dyDescent="0.2">
      <c r="BT40" s="10"/>
      <c r="BV40" s="10"/>
    </row>
    <row r="41" spans="2:109" x14ac:dyDescent="0.2">
      <c r="B41" t="s">
        <v>27</v>
      </c>
      <c r="C41" t="s">
        <v>92</v>
      </c>
      <c r="D41" s="19">
        <v>45334</v>
      </c>
      <c r="E41" s="9">
        <v>5</v>
      </c>
      <c r="G41" s="10">
        <f>+SUM(G42:G54)</f>
        <v>0.9996999999999997</v>
      </c>
      <c r="I41" s="12">
        <f>+SUM(I42:I48)</f>
        <v>0</v>
      </c>
      <c r="J41" s="11">
        <f>+SUMPRODUCT(G42:G54,J42:J54)</f>
        <v>0.11534999999999998</v>
      </c>
      <c r="K41" s="11">
        <f>+SUMPRODUCT(G42:G54,K42:K54)</f>
        <v>0.11534999999999998</v>
      </c>
      <c r="L41" s="9"/>
      <c r="N41" s="12">
        <f>+SUM(N42:N54)</f>
        <v>0</v>
      </c>
      <c r="U41" s="12">
        <f>+SUM(U42:U54)</f>
        <v>0</v>
      </c>
      <c r="AB41" s="12">
        <f>+SUM(AB42:AB54)</f>
        <v>0</v>
      </c>
      <c r="AI41" s="12">
        <f>+SUM(AI42:AI54)</f>
        <v>0</v>
      </c>
      <c r="AP41" s="12">
        <f>+SUM(AP42:AP54)</f>
        <v>0</v>
      </c>
      <c r="AW41" s="12">
        <f>+SUM(AW42:AW54)</f>
        <v>0</v>
      </c>
      <c r="BD41" s="12">
        <f>+SUM(BD42:BD54)</f>
        <v>0</v>
      </c>
      <c r="BK41" s="12">
        <f>+SUM(BK42:BK54)</f>
        <v>0</v>
      </c>
      <c r="BR41" s="12">
        <f>+SUM(BR42:BR54)</f>
        <v>0</v>
      </c>
      <c r="BT41" s="10"/>
      <c r="BV41" s="10"/>
      <c r="BY41" s="12">
        <f>+SUM(BY42:BY54)</f>
        <v>0</v>
      </c>
      <c r="CF41" s="12">
        <f>+SUM(CF42:CF54)</f>
        <v>0</v>
      </c>
      <c r="CM41" s="12">
        <f>+SUM(CM42:CM54)</f>
        <v>0</v>
      </c>
      <c r="CT41" s="12">
        <f>+SUM(CT42:CT54)</f>
        <v>0</v>
      </c>
    </row>
    <row r="42" spans="2:109" outlineLevel="1" x14ac:dyDescent="0.2">
      <c r="B42" t="s">
        <v>28</v>
      </c>
      <c r="C42" t="s">
        <v>92</v>
      </c>
      <c r="E42" s="9"/>
      <c r="F42" t="s">
        <v>103</v>
      </c>
      <c r="G42" s="10">
        <v>7.6899999999999996E-2</v>
      </c>
      <c r="I42" s="9">
        <f t="shared" ref="I42:I66" si="4">+SUMIF($N$3:$ZZ$3,I$3,$N42:$ZZ42)</f>
        <v>0</v>
      </c>
      <c r="J42" s="11" cm="1">
        <f t="array" ref="J42">MAX(IF($N$3:$EH$3=$J$3,N42:EH42))</f>
        <v>0.3</v>
      </c>
      <c r="K42" s="11" cm="1">
        <f t="array" ref="K42">MAX(IF($N$3:$EH$3=$J$3,N42:EH42))</f>
        <v>0.3</v>
      </c>
      <c r="L42" s="9"/>
      <c r="O42" s="10">
        <v>0.3</v>
      </c>
      <c r="P42" s="10"/>
      <c r="Q42" s="10">
        <v>0.3</v>
      </c>
      <c r="R42" s="10"/>
      <c r="V42" s="10"/>
      <c r="W42" s="10">
        <v>0.5</v>
      </c>
      <c r="X42" s="10"/>
      <c r="Y42" s="10">
        <v>0.5</v>
      </c>
      <c r="AC42" s="10"/>
      <c r="AD42" s="10">
        <v>0.8</v>
      </c>
      <c r="AE42" s="10"/>
      <c r="AF42" s="10">
        <v>0.8</v>
      </c>
      <c r="AJ42" s="10"/>
      <c r="AK42" s="10">
        <v>0.8</v>
      </c>
      <c r="AL42" s="10"/>
      <c r="AM42" s="10">
        <v>0.8</v>
      </c>
      <c r="AQ42" s="10"/>
      <c r="AR42" s="10">
        <v>0.8</v>
      </c>
      <c r="AS42" s="10"/>
      <c r="AT42" s="10">
        <v>0.8</v>
      </c>
      <c r="AX42" s="10"/>
      <c r="AY42" s="10">
        <v>1</v>
      </c>
      <c r="AZ42" s="10"/>
      <c r="BA42" s="10">
        <v>1</v>
      </c>
      <c r="BE42" s="10"/>
      <c r="BF42" s="10">
        <v>1</v>
      </c>
      <c r="BG42" s="10"/>
      <c r="BH42" s="10">
        <v>1</v>
      </c>
      <c r="BL42" s="10"/>
      <c r="BM42" s="10">
        <v>1</v>
      </c>
      <c r="BN42" s="10"/>
      <c r="BO42" s="10">
        <v>1</v>
      </c>
      <c r="BS42" s="10"/>
      <c r="BT42" s="10">
        <v>1</v>
      </c>
      <c r="BU42" s="10"/>
      <c r="BV42" s="10">
        <v>1</v>
      </c>
      <c r="BZ42" s="10"/>
      <c r="CA42" s="10">
        <v>1</v>
      </c>
      <c r="CB42" s="10"/>
      <c r="CC42" s="10">
        <v>1</v>
      </c>
      <c r="CG42" s="10"/>
      <c r="CH42" s="10"/>
      <c r="CI42" s="10"/>
      <c r="CJ42" s="10"/>
      <c r="CN42" s="10"/>
      <c r="CO42" s="10"/>
      <c r="CP42" s="10"/>
      <c r="CQ42" s="10"/>
      <c r="CU42" s="10"/>
      <c r="CV42" s="10"/>
      <c r="CW42" s="10"/>
      <c r="CX42" s="10"/>
      <c r="DB42" s="10"/>
      <c r="DC42" s="10"/>
      <c r="DD42" s="10"/>
      <c r="DE42" s="10"/>
    </row>
    <row r="43" spans="2:109" outlineLevel="1" x14ac:dyDescent="0.2">
      <c r="B43" t="s">
        <v>28</v>
      </c>
      <c r="C43" t="s">
        <v>92</v>
      </c>
      <c r="E43" s="9"/>
      <c r="F43" t="s">
        <v>104</v>
      </c>
      <c r="G43" s="10">
        <v>7.6899999999999996E-2</v>
      </c>
      <c r="I43" s="9">
        <f t="shared" si="4"/>
        <v>0</v>
      </c>
      <c r="J43" s="11" cm="1">
        <f t="array" ref="J43">MAX(IF($N$3:$EH$3=$J$3,N43:EH43))</f>
        <v>0.3</v>
      </c>
      <c r="K43" s="11" cm="1">
        <f t="array" ref="K43">MAX(IF($N$3:$EH$3=$J$3,N43:EH43))</f>
        <v>0.3</v>
      </c>
      <c r="L43" s="9"/>
      <c r="O43" s="10">
        <v>0.3</v>
      </c>
      <c r="P43" s="10"/>
      <c r="Q43" s="10">
        <v>0.3</v>
      </c>
      <c r="R43" s="10"/>
      <c r="V43" s="10"/>
      <c r="W43" s="10">
        <v>0.5</v>
      </c>
      <c r="X43" s="10"/>
      <c r="Y43" s="10">
        <v>0.5</v>
      </c>
      <c r="AC43" s="10"/>
      <c r="AD43" s="10">
        <v>0.5</v>
      </c>
      <c r="AE43" s="10"/>
      <c r="AF43" s="10">
        <v>0.5</v>
      </c>
      <c r="AJ43" s="10"/>
      <c r="AK43" s="10">
        <v>0.8</v>
      </c>
      <c r="AL43" s="10"/>
      <c r="AM43" s="10">
        <v>0.8</v>
      </c>
      <c r="AQ43" s="10"/>
      <c r="AR43" s="10">
        <v>0.8</v>
      </c>
      <c r="AS43" s="10"/>
      <c r="AT43" s="10">
        <v>0.8</v>
      </c>
      <c r="AX43" s="10"/>
      <c r="AY43" s="10">
        <v>0.8</v>
      </c>
      <c r="AZ43" s="10"/>
      <c r="BA43" s="10">
        <v>0.8</v>
      </c>
      <c r="BE43" s="10"/>
      <c r="BF43" s="10">
        <v>1</v>
      </c>
      <c r="BG43" s="10"/>
      <c r="BH43" s="10">
        <v>1</v>
      </c>
      <c r="BL43" s="10"/>
      <c r="BM43" s="10">
        <v>1</v>
      </c>
      <c r="BN43" s="10"/>
      <c r="BO43" s="10">
        <v>1</v>
      </c>
      <c r="BS43" s="10"/>
      <c r="BT43" s="10">
        <v>1</v>
      </c>
      <c r="BU43" s="10"/>
      <c r="BV43" s="10">
        <v>1</v>
      </c>
      <c r="BZ43" s="10"/>
      <c r="CA43" s="10">
        <v>1</v>
      </c>
      <c r="CB43" s="10"/>
      <c r="CC43" s="10">
        <v>1</v>
      </c>
      <c r="CG43" s="10"/>
      <c r="CH43" s="10"/>
      <c r="CI43" s="10"/>
      <c r="CJ43" s="10"/>
      <c r="CN43" s="10"/>
      <c r="CO43" s="10"/>
      <c r="CP43" s="10"/>
      <c r="CQ43" s="10"/>
      <c r="CU43" s="10"/>
      <c r="CV43" s="10"/>
      <c r="CW43" s="10"/>
      <c r="CX43" s="10"/>
      <c r="DB43" s="10"/>
      <c r="DC43" s="10"/>
      <c r="DD43" s="10"/>
      <c r="DE43" s="10"/>
    </row>
    <row r="44" spans="2:109" outlineLevel="1" x14ac:dyDescent="0.2">
      <c r="B44" t="s">
        <v>28</v>
      </c>
      <c r="C44" t="s">
        <v>92</v>
      </c>
      <c r="E44" s="9"/>
      <c r="F44" t="s">
        <v>105</v>
      </c>
      <c r="G44" s="10">
        <v>7.6899999999999996E-2</v>
      </c>
      <c r="I44" s="9">
        <f t="shared" si="4"/>
        <v>0</v>
      </c>
      <c r="J44" s="11" cm="1">
        <f t="array" ref="J44">MAX(IF($N$3:$EH$3=$J$3,N44:EH44))</f>
        <v>0.3</v>
      </c>
      <c r="K44" s="11" cm="1">
        <f t="array" ref="K44">MAX(IF($N$3:$EH$3=$J$3,N44:EH44))</f>
        <v>0.3</v>
      </c>
      <c r="L44" s="9"/>
      <c r="O44" s="10">
        <v>0.3</v>
      </c>
      <c r="P44" s="10"/>
      <c r="Q44" s="10">
        <v>0.3</v>
      </c>
      <c r="R44" s="10"/>
      <c r="V44" s="10"/>
      <c r="W44" s="10">
        <v>0.5</v>
      </c>
      <c r="X44" s="10"/>
      <c r="Y44" s="10">
        <v>0.5</v>
      </c>
      <c r="AC44" s="10"/>
      <c r="AD44" s="10">
        <v>0.5</v>
      </c>
      <c r="AE44" s="10"/>
      <c r="AF44" s="10">
        <v>0.5</v>
      </c>
      <c r="AJ44" s="10"/>
      <c r="AK44" s="10">
        <v>0.8</v>
      </c>
      <c r="AL44" s="10"/>
      <c r="AM44" s="10">
        <v>0.8</v>
      </c>
      <c r="AQ44" s="10"/>
      <c r="AR44" s="10">
        <v>0.8</v>
      </c>
      <c r="AS44" s="10"/>
      <c r="AT44" s="10">
        <v>0.8</v>
      </c>
      <c r="AX44" s="10"/>
      <c r="AY44" s="10">
        <v>0.8</v>
      </c>
      <c r="AZ44" s="10"/>
      <c r="BA44" s="10">
        <v>0.8</v>
      </c>
      <c r="BE44" s="10"/>
      <c r="BF44" s="10">
        <v>1</v>
      </c>
      <c r="BG44" s="10"/>
      <c r="BH44" s="10">
        <v>1</v>
      </c>
      <c r="BL44" s="10"/>
      <c r="BM44" s="10">
        <v>1</v>
      </c>
      <c r="BN44" s="10"/>
      <c r="BO44" s="10">
        <v>1</v>
      </c>
      <c r="BS44" s="10"/>
      <c r="BT44" s="10">
        <v>1</v>
      </c>
      <c r="BU44" s="10"/>
      <c r="BV44" s="10">
        <v>1</v>
      </c>
      <c r="BZ44" s="10"/>
      <c r="CA44" s="10">
        <v>1</v>
      </c>
      <c r="CB44" s="10"/>
      <c r="CC44" s="10">
        <v>1</v>
      </c>
      <c r="CG44" s="10"/>
      <c r="CH44" s="10"/>
      <c r="CI44" s="10"/>
      <c r="CJ44" s="10"/>
      <c r="CN44" s="10"/>
      <c r="CO44" s="10"/>
      <c r="CP44" s="10"/>
      <c r="CQ44" s="10"/>
      <c r="CU44" s="10"/>
      <c r="CV44" s="10"/>
      <c r="CW44" s="10"/>
      <c r="CX44" s="10"/>
      <c r="DB44" s="10"/>
      <c r="DC44" s="10"/>
      <c r="DD44" s="10"/>
      <c r="DE44" s="10"/>
    </row>
    <row r="45" spans="2:109" outlineLevel="1" x14ac:dyDescent="0.2">
      <c r="B45" t="s">
        <v>28</v>
      </c>
      <c r="C45" t="s">
        <v>92</v>
      </c>
      <c r="E45" s="9"/>
      <c r="F45" t="s">
        <v>106</v>
      </c>
      <c r="G45" s="10">
        <v>7.6899999999999996E-2</v>
      </c>
      <c r="I45" s="9">
        <f t="shared" si="4"/>
        <v>0</v>
      </c>
      <c r="J45" s="11" cm="1">
        <f t="array" ref="J45">MAX(IF($N$3:$EH$3=$J$3,N45:EH45))</f>
        <v>0.3</v>
      </c>
      <c r="K45" s="11" cm="1">
        <f t="array" ref="K45">MAX(IF($N$3:$EH$3=$J$3,N45:EH45))</f>
        <v>0.3</v>
      </c>
      <c r="L45" s="9"/>
      <c r="O45" s="10">
        <v>0.3</v>
      </c>
      <c r="P45" s="10"/>
      <c r="Q45" s="10">
        <v>0.3</v>
      </c>
      <c r="R45" s="10"/>
      <c r="V45" s="10"/>
      <c r="W45" s="10"/>
      <c r="X45" s="10"/>
      <c r="Y45" s="10"/>
      <c r="AC45" s="10"/>
      <c r="AD45" s="10">
        <v>0.5</v>
      </c>
      <c r="AE45" s="10"/>
      <c r="AF45" s="10">
        <v>0.5</v>
      </c>
      <c r="AJ45" s="10"/>
      <c r="AK45" s="10">
        <v>0.5</v>
      </c>
      <c r="AL45" s="10"/>
      <c r="AM45" s="10">
        <v>0.5</v>
      </c>
      <c r="AQ45" s="10"/>
      <c r="AR45" s="10">
        <v>0.8</v>
      </c>
      <c r="AS45" s="10"/>
      <c r="AT45" s="10">
        <v>0.8</v>
      </c>
      <c r="AX45" s="10"/>
      <c r="AY45" s="10">
        <v>0.8</v>
      </c>
      <c r="AZ45" s="10"/>
      <c r="BA45" s="10">
        <v>0.8</v>
      </c>
      <c r="BE45" s="10"/>
      <c r="BF45" s="10">
        <v>0.8</v>
      </c>
      <c r="BG45" s="10"/>
      <c r="BH45" s="10">
        <v>0.8</v>
      </c>
      <c r="BL45" s="10"/>
      <c r="BM45" s="10">
        <v>1</v>
      </c>
      <c r="BN45" s="10"/>
      <c r="BO45" s="10">
        <v>1</v>
      </c>
      <c r="BS45" s="10"/>
      <c r="BT45" s="10">
        <v>1</v>
      </c>
      <c r="BU45" s="10"/>
      <c r="BV45" s="10">
        <v>1</v>
      </c>
      <c r="BZ45" s="10"/>
      <c r="CA45" s="10">
        <v>1</v>
      </c>
      <c r="CB45" s="10"/>
      <c r="CC45" s="10">
        <v>1</v>
      </c>
      <c r="CG45" s="10"/>
      <c r="CH45" s="10"/>
      <c r="CI45" s="10"/>
      <c r="CJ45" s="10"/>
      <c r="CN45" s="10"/>
      <c r="CO45" s="10"/>
      <c r="CP45" s="10"/>
      <c r="CQ45" s="10"/>
      <c r="CU45" s="10"/>
      <c r="CV45" s="10"/>
      <c r="CW45" s="10"/>
      <c r="CX45" s="10"/>
      <c r="DB45" s="10"/>
      <c r="DC45" s="10"/>
      <c r="DD45" s="10"/>
      <c r="DE45" s="10"/>
    </row>
    <row r="46" spans="2:109" outlineLevel="1" x14ac:dyDescent="0.2">
      <c r="B46" t="s">
        <v>28</v>
      </c>
      <c r="C46" t="s">
        <v>92</v>
      </c>
      <c r="E46" s="9"/>
      <c r="F46" t="s">
        <v>107</v>
      </c>
      <c r="G46" s="10">
        <v>7.6899999999999996E-2</v>
      </c>
      <c r="I46" s="9">
        <f t="shared" si="4"/>
        <v>0</v>
      </c>
      <c r="J46" s="11" cm="1">
        <f t="array" ref="J46">MAX(IF($N$3:$EH$3=$J$3,N46:EH46))</f>
        <v>0.3</v>
      </c>
      <c r="K46" s="11" cm="1">
        <f t="array" ref="K46">MAX(IF($N$3:$EH$3=$J$3,N46:EH46))</f>
        <v>0.3</v>
      </c>
      <c r="L46" s="9"/>
      <c r="O46" s="10">
        <v>0.3</v>
      </c>
      <c r="P46" s="10"/>
      <c r="Q46" s="10">
        <v>0.3</v>
      </c>
      <c r="R46" s="10"/>
      <c r="V46" s="10"/>
      <c r="W46" s="10"/>
      <c r="X46" s="10"/>
      <c r="Y46" s="10"/>
      <c r="AC46" s="10"/>
      <c r="AD46" s="10">
        <v>0.5</v>
      </c>
      <c r="AE46" s="10"/>
      <c r="AF46" s="10">
        <v>0.5</v>
      </c>
      <c r="AJ46" s="10"/>
      <c r="AK46" s="10">
        <v>0.5</v>
      </c>
      <c r="AL46" s="10"/>
      <c r="AM46" s="10">
        <v>0.5</v>
      </c>
      <c r="AQ46" s="10"/>
      <c r="AR46" s="10">
        <v>0.8</v>
      </c>
      <c r="AS46" s="10"/>
      <c r="AT46" s="10">
        <v>0.8</v>
      </c>
      <c r="AX46" s="10"/>
      <c r="AY46" s="10">
        <v>0.8</v>
      </c>
      <c r="AZ46" s="10"/>
      <c r="BA46" s="10">
        <v>0.8</v>
      </c>
      <c r="BE46" s="10"/>
      <c r="BF46" s="10">
        <v>0.8</v>
      </c>
      <c r="BG46" s="10"/>
      <c r="BH46" s="10">
        <v>0.8</v>
      </c>
      <c r="BL46" s="10"/>
      <c r="BM46" s="10">
        <v>1</v>
      </c>
      <c r="BN46" s="10"/>
      <c r="BO46" s="10">
        <v>1</v>
      </c>
      <c r="BS46" s="10"/>
      <c r="BT46" s="10">
        <v>1</v>
      </c>
      <c r="BU46" s="10"/>
      <c r="BV46" s="10">
        <v>1</v>
      </c>
      <c r="BZ46" s="10"/>
      <c r="CA46" s="10">
        <v>1</v>
      </c>
      <c r="CB46" s="10"/>
      <c r="CC46" s="10">
        <v>1</v>
      </c>
      <c r="CG46" s="10"/>
      <c r="CH46" s="10"/>
      <c r="CI46" s="10"/>
      <c r="CJ46" s="10"/>
      <c r="CN46" s="10"/>
      <c r="CO46" s="10"/>
      <c r="CP46" s="10"/>
      <c r="CQ46" s="10"/>
      <c r="CU46" s="10"/>
      <c r="CV46" s="10"/>
      <c r="CW46" s="10"/>
      <c r="CX46" s="10"/>
      <c r="DB46" s="10"/>
      <c r="DC46" s="10"/>
      <c r="DD46" s="10"/>
      <c r="DE46" s="10"/>
    </row>
    <row r="47" spans="2:109" outlineLevel="1" x14ac:dyDescent="0.2">
      <c r="B47" t="s">
        <v>28</v>
      </c>
      <c r="C47" t="s">
        <v>92</v>
      </c>
      <c r="E47" s="9"/>
      <c r="F47" t="s">
        <v>108</v>
      </c>
      <c r="G47" s="10">
        <v>7.6899999999999996E-2</v>
      </c>
      <c r="I47" s="9">
        <f t="shared" si="4"/>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v>0.5</v>
      </c>
      <c r="AL47" s="10"/>
      <c r="AM47" s="10">
        <v>0.5</v>
      </c>
      <c r="AQ47" s="10"/>
      <c r="AR47" s="10">
        <v>0.5</v>
      </c>
      <c r="AS47" s="10"/>
      <c r="AT47" s="10">
        <v>0.5</v>
      </c>
      <c r="AX47" s="10"/>
      <c r="AY47" s="10">
        <v>0.8</v>
      </c>
      <c r="AZ47" s="10"/>
      <c r="BA47" s="10">
        <v>0.8</v>
      </c>
      <c r="BE47" s="10"/>
      <c r="BF47" s="10">
        <v>0.8</v>
      </c>
      <c r="BG47" s="10"/>
      <c r="BH47" s="10">
        <v>0.8</v>
      </c>
      <c r="BL47" s="10"/>
      <c r="BM47" s="10">
        <v>1</v>
      </c>
      <c r="BN47" s="10"/>
      <c r="BO47" s="10">
        <v>1</v>
      </c>
      <c r="BS47" s="10"/>
      <c r="BT47" s="10">
        <v>1</v>
      </c>
      <c r="BU47" s="10"/>
      <c r="BV47" s="10">
        <v>1</v>
      </c>
      <c r="BZ47" s="10"/>
      <c r="CA47" s="10">
        <v>1</v>
      </c>
      <c r="CB47" s="10"/>
      <c r="CC47" s="10">
        <v>1</v>
      </c>
      <c r="CG47" s="10"/>
      <c r="CH47" s="10"/>
      <c r="CI47" s="10"/>
      <c r="CJ47" s="10"/>
      <c r="CN47" s="10"/>
      <c r="CO47" s="10"/>
      <c r="CP47" s="10"/>
      <c r="CQ47" s="10"/>
      <c r="CU47" s="10"/>
      <c r="CV47" s="10"/>
      <c r="CW47" s="10"/>
      <c r="CX47" s="10"/>
      <c r="DB47" s="10"/>
      <c r="DC47" s="10"/>
      <c r="DD47" s="10"/>
      <c r="DE47" s="10"/>
    </row>
    <row r="48" spans="2:109" outlineLevel="1" x14ac:dyDescent="0.2">
      <c r="B48" t="s">
        <v>28</v>
      </c>
      <c r="C48" t="s">
        <v>92</v>
      </c>
      <c r="E48" s="9"/>
      <c r="F48" t="s">
        <v>109</v>
      </c>
      <c r="G48" s="10">
        <v>7.6899999999999996E-2</v>
      </c>
      <c r="I48" s="9">
        <f t="shared" si="4"/>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v>0.5</v>
      </c>
      <c r="AL48" s="10"/>
      <c r="AM48" s="10">
        <v>0.5</v>
      </c>
      <c r="AQ48" s="10"/>
      <c r="AR48" s="10">
        <v>0.5</v>
      </c>
      <c r="AS48" s="10"/>
      <c r="AT48" s="10">
        <v>0.5</v>
      </c>
      <c r="AX48" s="10"/>
      <c r="AY48" s="10">
        <v>0.8</v>
      </c>
      <c r="AZ48" s="10"/>
      <c r="BA48" s="10">
        <v>0.8</v>
      </c>
      <c r="BE48" s="10"/>
      <c r="BF48" s="10">
        <v>0.8</v>
      </c>
      <c r="BG48" s="10"/>
      <c r="BH48" s="10">
        <v>0.8</v>
      </c>
      <c r="BL48" s="10"/>
      <c r="BM48" s="10">
        <v>0.8</v>
      </c>
      <c r="BN48" s="10"/>
      <c r="BO48" s="10">
        <v>0.8</v>
      </c>
      <c r="BS48" s="10"/>
      <c r="BT48" s="10">
        <v>1</v>
      </c>
      <c r="BU48" s="10"/>
      <c r="BV48" s="10">
        <v>1</v>
      </c>
      <c r="BZ48" s="10"/>
      <c r="CA48" s="10">
        <v>1</v>
      </c>
      <c r="CB48" s="10"/>
      <c r="CC48" s="10">
        <v>1</v>
      </c>
      <c r="CG48" s="10"/>
      <c r="CH48" s="10"/>
      <c r="CI48" s="10"/>
      <c r="CJ48" s="10"/>
      <c r="CN48" s="10"/>
      <c r="CO48" s="10"/>
      <c r="CP48" s="10"/>
      <c r="CQ48" s="10"/>
      <c r="CU48" s="10"/>
      <c r="CV48" s="10"/>
      <c r="CW48" s="10"/>
      <c r="CX48" s="10"/>
      <c r="DB48" s="10"/>
      <c r="DC48" s="10"/>
      <c r="DD48" s="10"/>
      <c r="DE48" s="10"/>
    </row>
    <row r="49" spans="2:109" outlineLevel="1" x14ac:dyDescent="0.2">
      <c r="B49" t="s">
        <v>28</v>
      </c>
      <c r="C49" t="s">
        <v>92</v>
      </c>
      <c r="E49" s="9"/>
      <c r="F49" t="s">
        <v>110</v>
      </c>
      <c r="G49" s="10">
        <v>7.6899999999999996E-2</v>
      </c>
      <c r="I49" s="9">
        <f t="shared" si="4"/>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v>0.5</v>
      </c>
      <c r="AS49" s="10"/>
      <c r="AT49" s="10">
        <v>0.5</v>
      </c>
      <c r="AX49" s="10"/>
      <c r="AY49" s="10">
        <v>0.5</v>
      </c>
      <c r="AZ49" s="10"/>
      <c r="BA49" s="10">
        <v>0.5</v>
      </c>
      <c r="BE49" s="10"/>
      <c r="BF49" s="10">
        <v>0.8</v>
      </c>
      <c r="BG49" s="10"/>
      <c r="BH49" s="10">
        <v>0.8</v>
      </c>
      <c r="BL49" s="10"/>
      <c r="BM49" s="10">
        <v>0.8</v>
      </c>
      <c r="BN49" s="10"/>
      <c r="BO49" s="10">
        <v>0.8</v>
      </c>
      <c r="BS49" s="10"/>
      <c r="BT49" s="10">
        <v>1</v>
      </c>
      <c r="BU49" s="10"/>
      <c r="BV49" s="10">
        <v>1</v>
      </c>
      <c r="BZ49" s="10"/>
      <c r="CA49" s="10">
        <v>1</v>
      </c>
      <c r="CB49" s="10"/>
      <c r="CC49" s="10">
        <v>1</v>
      </c>
      <c r="CG49" s="10"/>
      <c r="CH49" s="10"/>
      <c r="CI49" s="10"/>
      <c r="CJ49" s="10"/>
      <c r="CN49" s="10"/>
      <c r="CO49" s="10"/>
      <c r="CP49" s="10"/>
      <c r="CQ49" s="10"/>
      <c r="CU49" s="10"/>
      <c r="CV49" s="10"/>
      <c r="CW49" s="10"/>
      <c r="CX49" s="10"/>
      <c r="DB49" s="10"/>
      <c r="DC49" s="10"/>
      <c r="DD49" s="10"/>
      <c r="DE49" s="10"/>
    </row>
    <row r="50" spans="2:109" outlineLevel="1" x14ac:dyDescent="0.2">
      <c r="B50" t="s">
        <v>28</v>
      </c>
      <c r="C50" t="s">
        <v>92</v>
      </c>
      <c r="E50" s="9"/>
      <c r="F50" t="s">
        <v>111</v>
      </c>
      <c r="G50" s="10">
        <v>7.6899999999999996E-2</v>
      </c>
      <c r="I50" s="9">
        <f t="shared" si="4"/>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v>0.5</v>
      </c>
      <c r="AS50" s="10"/>
      <c r="AT50" s="10">
        <v>0.5</v>
      </c>
      <c r="AX50" s="10"/>
      <c r="AY50" s="10">
        <v>0.5</v>
      </c>
      <c r="AZ50" s="10"/>
      <c r="BA50" s="10">
        <v>0.5</v>
      </c>
      <c r="BE50" s="10"/>
      <c r="BF50" s="10">
        <v>0.5</v>
      </c>
      <c r="BG50" s="10"/>
      <c r="BH50" s="10">
        <v>0.5</v>
      </c>
      <c r="BL50" s="10"/>
      <c r="BM50" s="10">
        <v>0.8</v>
      </c>
      <c r="BN50" s="10"/>
      <c r="BO50" s="10">
        <v>0.8</v>
      </c>
      <c r="BS50" s="10"/>
      <c r="BT50" s="10">
        <v>0.8</v>
      </c>
      <c r="BU50" s="10"/>
      <c r="BV50" s="10">
        <v>0.8</v>
      </c>
      <c r="BZ50" s="10"/>
      <c r="CA50" s="10">
        <v>1</v>
      </c>
      <c r="CB50" s="10"/>
      <c r="CC50" s="10">
        <v>1</v>
      </c>
      <c r="CG50" s="10"/>
      <c r="CH50" s="10"/>
      <c r="CI50" s="10"/>
      <c r="CJ50" s="10"/>
      <c r="CN50" s="10"/>
      <c r="CO50" s="10"/>
      <c r="CP50" s="10"/>
      <c r="CQ50" s="10"/>
      <c r="CU50" s="10"/>
      <c r="CV50" s="10"/>
      <c r="CW50" s="10"/>
      <c r="CX50" s="10"/>
      <c r="DB50" s="10"/>
      <c r="DC50" s="10"/>
      <c r="DD50" s="10"/>
      <c r="DE50" s="10"/>
    </row>
    <row r="51" spans="2:109" outlineLevel="1" x14ac:dyDescent="0.2">
      <c r="B51" t="s">
        <v>28</v>
      </c>
      <c r="C51" t="s">
        <v>92</v>
      </c>
      <c r="E51" s="9"/>
      <c r="F51" t="s">
        <v>112</v>
      </c>
      <c r="G51" s="10">
        <v>7.6899999999999996E-2</v>
      </c>
      <c r="I51" s="9">
        <f t="shared" si="4"/>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v>0.5</v>
      </c>
      <c r="AS51" s="10"/>
      <c r="AT51" s="10">
        <v>0.5</v>
      </c>
      <c r="AX51" s="10"/>
      <c r="AY51" s="10">
        <v>0.5</v>
      </c>
      <c r="AZ51" s="10"/>
      <c r="BA51" s="10">
        <v>0.5</v>
      </c>
      <c r="BE51" s="10"/>
      <c r="BF51" s="10">
        <v>0.5</v>
      </c>
      <c r="BG51" s="10"/>
      <c r="BH51" s="10">
        <v>0.5</v>
      </c>
      <c r="BL51" s="10"/>
      <c r="BM51" s="10">
        <v>0.8</v>
      </c>
      <c r="BN51" s="10"/>
      <c r="BO51" s="10">
        <v>0.8</v>
      </c>
      <c r="BS51" s="10"/>
      <c r="BT51" s="10">
        <v>0.8</v>
      </c>
      <c r="BU51" s="10"/>
      <c r="BV51" s="10">
        <v>0.8</v>
      </c>
      <c r="BZ51" s="10"/>
      <c r="CA51" s="10">
        <v>1</v>
      </c>
      <c r="CB51" s="10"/>
      <c r="CC51" s="10">
        <v>1</v>
      </c>
      <c r="CG51" s="10"/>
      <c r="CH51" s="10"/>
      <c r="CI51" s="10"/>
      <c r="CJ51" s="10"/>
      <c r="CN51" s="10"/>
      <c r="CO51" s="10"/>
      <c r="CP51" s="10"/>
      <c r="CQ51" s="10"/>
      <c r="CU51" s="10"/>
      <c r="CV51" s="10"/>
      <c r="CW51" s="10"/>
      <c r="CX51" s="10"/>
      <c r="DB51" s="10"/>
      <c r="DC51" s="10"/>
      <c r="DD51" s="10"/>
      <c r="DE51" s="10"/>
    </row>
    <row r="52" spans="2:109" outlineLevel="1" x14ac:dyDescent="0.2">
      <c r="B52" t="s">
        <v>28</v>
      </c>
      <c r="C52" t="s">
        <v>92</v>
      </c>
      <c r="E52" s="9"/>
      <c r="F52" t="s">
        <v>113</v>
      </c>
      <c r="G52" s="10">
        <v>7.6899999999999996E-2</v>
      </c>
      <c r="I52" s="9">
        <f t="shared" si="4"/>
        <v>0</v>
      </c>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v>0.5</v>
      </c>
      <c r="AZ52" s="10"/>
      <c r="BA52" s="10">
        <v>0.5</v>
      </c>
      <c r="BE52" s="10"/>
      <c r="BF52" s="10">
        <v>0.5</v>
      </c>
      <c r="BG52" s="10"/>
      <c r="BH52" s="10">
        <v>0.5</v>
      </c>
      <c r="BL52" s="10"/>
      <c r="BM52" s="10">
        <v>0.5</v>
      </c>
      <c r="BN52" s="10"/>
      <c r="BO52" s="10">
        <v>0.5</v>
      </c>
      <c r="BS52" s="10"/>
      <c r="BT52" s="10">
        <v>0.8</v>
      </c>
      <c r="BU52" s="10"/>
      <c r="BV52" s="10">
        <v>0.8</v>
      </c>
      <c r="BZ52" s="10"/>
      <c r="CA52" s="10">
        <v>1</v>
      </c>
      <c r="CB52" s="10"/>
      <c r="CC52" s="10">
        <v>1</v>
      </c>
      <c r="CG52" s="10"/>
      <c r="CH52" s="10"/>
      <c r="CI52" s="10"/>
      <c r="CJ52" s="10"/>
      <c r="CN52" s="10"/>
      <c r="CO52" s="10"/>
      <c r="CP52" s="10"/>
      <c r="CQ52" s="10"/>
      <c r="CU52" s="10"/>
      <c r="CV52" s="10"/>
      <c r="CW52" s="10"/>
      <c r="CX52" s="10"/>
      <c r="DB52" s="10"/>
      <c r="DC52" s="10"/>
      <c r="DD52" s="10"/>
      <c r="DE52" s="10"/>
    </row>
    <row r="53" spans="2:109" outlineLevel="1" x14ac:dyDescent="0.2">
      <c r="B53" t="s">
        <v>28</v>
      </c>
      <c r="C53" t="s">
        <v>92</v>
      </c>
      <c r="E53" s="9"/>
      <c r="F53" t="s">
        <v>114</v>
      </c>
      <c r="G53" s="10">
        <v>7.6899999999999996E-2</v>
      </c>
      <c r="I53" s="9">
        <f t="shared" si="4"/>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v>0.5</v>
      </c>
      <c r="BG53" s="10"/>
      <c r="BH53" s="10">
        <v>0.5</v>
      </c>
      <c r="BL53" s="10"/>
      <c r="BM53" s="10">
        <v>0.5</v>
      </c>
      <c r="BN53" s="10"/>
      <c r="BO53" s="10">
        <v>0.5</v>
      </c>
      <c r="BS53" s="10"/>
      <c r="BT53" s="10">
        <v>0.8</v>
      </c>
      <c r="BU53" s="10"/>
      <c r="BV53" s="10">
        <v>0.8</v>
      </c>
      <c r="BZ53" s="10"/>
      <c r="CA53" s="10">
        <v>1</v>
      </c>
      <c r="CB53" s="10"/>
      <c r="CC53" s="10">
        <v>1</v>
      </c>
      <c r="CG53" s="10"/>
      <c r="CH53" s="10"/>
      <c r="CI53" s="10"/>
      <c r="CJ53" s="10"/>
      <c r="CN53" s="10"/>
      <c r="CO53" s="10"/>
      <c r="CP53" s="10"/>
      <c r="CQ53" s="10"/>
      <c r="CU53" s="10"/>
      <c r="CV53" s="10"/>
      <c r="CW53" s="10"/>
      <c r="CX53" s="10"/>
      <c r="DB53" s="10"/>
      <c r="DC53" s="10"/>
      <c r="DD53" s="10"/>
      <c r="DE53" s="10"/>
    </row>
    <row r="54" spans="2:109" outlineLevel="1" x14ac:dyDescent="0.2">
      <c r="B54" t="s">
        <v>28</v>
      </c>
      <c r="C54" t="s">
        <v>92</v>
      </c>
      <c r="E54" s="9"/>
      <c r="F54" t="s">
        <v>171</v>
      </c>
      <c r="G54" s="10">
        <v>7.6899999999999996E-2</v>
      </c>
      <c r="I54" s="9">
        <f t="shared" si="4"/>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v>0.5</v>
      </c>
      <c r="BG54" s="10"/>
      <c r="BH54" s="10">
        <v>0.5</v>
      </c>
      <c r="BL54" s="10"/>
      <c r="BM54" s="10">
        <v>0.5</v>
      </c>
      <c r="BN54" s="10"/>
      <c r="BO54" s="10">
        <v>0.5</v>
      </c>
      <c r="BS54" s="10"/>
      <c r="BT54" s="10">
        <v>0.8</v>
      </c>
      <c r="BU54" s="10"/>
      <c r="BV54" s="10">
        <v>0.8</v>
      </c>
      <c r="BZ54" s="10"/>
      <c r="CA54" s="10">
        <v>1</v>
      </c>
      <c r="CB54" s="10"/>
      <c r="CC54" s="10">
        <v>1</v>
      </c>
      <c r="CG54" s="10"/>
      <c r="CH54" s="10"/>
      <c r="CI54" s="10"/>
      <c r="CJ54" s="10"/>
      <c r="CN54" s="10"/>
      <c r="CO54" s="10"/>
      <c r="CP54" s="10"/>
      <c r="CQ54" s="10"/>
      <c r="CU54" s="10"/>
      <c r="CV54" s="10"/>
      <c r="CW54" s="10"/>
      <c r="CX54" s="10"/>
      <c r="DB54" s="10"/>
      <c r="DC54" s="10"/>
      <c r="DD54" s="10"/>
      <c r="DE54" s="10"/>
    </row>
    <row r="55" spans="2:109" x14ac:dyDescent="0.2">
      <c r="BT55" s="10"/>
      <c r="BV55" s="10"/>
    </row>
    <row r="56" spans="2:109" x14ac:dyDescent="0.2">
      <c r="B56" t="s">
        <v>27</v>
      </c>
      <c r="C56" t="s">
        <v>91</v>
      </c>
      <c r="D56" s="19">
        <v>45327</v>
      </c>
      <c r="E56" s="9">
        <v>5</v>
      </c>
      <c r="G56" s="10">
        <f>+SUM(G57:G70)</f>
        <v>0.99960000000000016</v>
      </c>
      <c r="I56" s="12">
        <f>+SUM(I57:I66)</f>
        <v>0</v>
      </c>
      <c r="J56" s="11">
        <f>+SUMPRODUCT(G57:G70,J57:J70)</f>
        <v>0.1071</v>
      </c>
      <c r="K56" s="11">
        <f>+SUMPRODUCT(G57:G70,K57:K70)</f>
        <v>0.1071</v>
      </c>
      <c r="L56" s="9"/>
      <c r="N56" s="12">
        <f>+SUM(N57:N70)</f>
        <v>0</v>
      </c>
      <c r="U56" s="12">
        <f>+SUM(U57:U70)</f>
        <v>0</v>
      </c>
      <c r="AB56" s="12">
        <f>+SUM(AB57:AB70)</f>
        <v>0</v>
      </c>
      <c r="AI56" s="12">
        <f>+SUM(AI57:AI70)</f>
        <v>0</v>
      </c>
      <c r="AP56" s="12">
        <f>+SUM(AP57:AP70)</f>
        <v>0</v>
      </c>
      <c r="AW56" s="12">
        <f>+SUM(AW57:AW70)</f>
        <v>0</v>
      </c>
      <c r="BD56" s="12">
        <f>+SUM(BD57:BD70)</f>
        <v>0</v>
      </c>
      <c r="BK56" s="12">
        <f>+SUM(BK57:BK70)</f>
        <v>0</v>
      </c>
      <c r="BR56" s="12">
        <f>+SUM(BR57:BR70)</f>
        <v>0</v>
      </c>
      <c r="BT56" s="10"/>
      <c r="BV56" s="10"/>
      <c r="BY56" s="12">
        <f>+SUM(BY57:BY70)</f>
        <v>0</v>
      </c>
      <c r="CF56" s="12">
        <f>+SUM(CF57:CF70)</f>
        <v>0</v>
      </c>
      <c r="CM56" s="12">
        <f>+SUM(CM57:CM70)</f>
        <v>0</v>
      </c>
      <c r="CT56" s="12">
        <f>+SUM(CT57:CT70)</f>
        <v>0</v>
      </c>
    </row>
    <row r="57" spans="2:109" outlineLevel="1" x14ac:dyDescent="0.2">
      <c r="B57" t="s">
        <v>28</v>
      </c>
      <c r="C57" t="s">
        <v>91</v>
      </c>
      <c r="E57" s="9"/>
      <c r="F57" t="s">
        <v>115</v>
      </c>
      <c r="G57" s="10">
        <v>7.1400000000000005E-2</v>
      </c>
      <c r="I57" s="9">
        <f t="shared" si="4"/>
        <v>0</v>
      </c>
      <c r="J57" s="11" cm="1">
        <f t="array" ref="J57">MAX(IF($N$3:$EH$3=$J$3,N57:EH57))</f>
        <v>0.3</v>
      </c>
      <c r="K57" s="11" cm="1">
        <f t="array" ref="K57">MAX(IF($N$3:$EH$3=$J$3,N57:EH57))</f>
        <v>0.3</v>
      </c>
      <c r="L57" s="9"/>
      <c r="O57" s="10">
        <v>0.3</v>
      </c>
      <c r="P57" s="10"/>
      <c r="Q57" s="10">
        <v>0.3</v>
      </c>
      <c r="R57" s="10"/>
      <c r="V57" s="10"/>
      <c r="W57" s="10">
        <v>0.5</v>
      </c>
      <c r="X57" s="10"/>
      <c r="Y57" s="10">
        <v>0.5</v>
      </c>
      <c r="AC57" s="10"/>
      <c r="AD57" s="10">
        <v>0.8</v>
      </c>
      <c r="AE57" s="10"/>
      <c r="AF57" s="10">
        <v>0.8</v>
      </c>
      <c r="AJ57" s="10"/>
      <c r="AK57" s="10">
        <v>0.8</v>
      </c>
      <c r="AL57" s="10"/>
      <c r="AM57" s="10">
        <v>0.8</v>
      </c>
      <c r="AQ57" s="10"/>
      <c r="AR57" s="10">
        <v>0.8</v>
      </c>
      <c r="AS57" s="10"/>
      <c r="AT57" s="10">
        <v>0.8</v>
      </c>
      <c r="AX57" s="10"/>
      <c r="AY57" s="10">
        <v>1</v>
      </c>
      <c r="AZ57" s="10"/>
      <c r="BA57" s="10">
        <v>1</v>
      </c>
      <c r="BE57" s="10"/>
      <c r="BF57" s="10">
        <v>1</v>
      </c>
      <c r="BG57" s="10"/>
      <c r="BH57" s="10">
        <v>1</v>
      </c>
      <c r="BL57" s="10"/>
      <c r="BM57" s="10">
        <v>1</v>
      </c>
      <c r="BN57" s="10"/>
      <c r="BO57" s="10">
        <v>1</v>
      </c>
      <c r="BS57" s="10"/>
      <c r="BT57" s="10">
        <v>1</v>
      </c>
      <c r="BU57" s="10"/>
      <c r="BV57" s="10">
        <v>1</v>
      </c>
      <c r="BZ57" s="10"/>
      <c r="CA57" s="10">
        <v>1</v>
      </c>
      <c r="CB57" s="10"/>
      <c r="CC57" s="10">
        <v>1</v>
      </c>
      <c r="CG57" s="10"/>
      <c r="CH57" s="10"/>
      <c r="CI57" s="10"/>
      <c r="CJ57" s="10"/>
      <c r="CN57" s="10"/>
      <c r="CO57" s="10"/>
      <c r="CP57" s="10"/>
      <c r="CQ57" s="10"/>
      <c r="CU57" s="10"/>
      <c r="CV57" s="10"/>
      <c r="CW57" s="10"/>
      <c r="CX57" s="10"/>
      <c r="DB57" s="10"/>
      <c r="DC57" s="10"/>
      <c r="DD57" s="10"/>
      <c r="DE57" s="10"/>
    </row>
    <row r="58" spans="2:109" outlineLevel="1" x14ac:dyDescent="0.2">
      <c r="B58" t="s">
        <v>28</v>
      </c>
      <c r="C58" t="s">
        <v>91</v>
      </c>
      <c r="E58" s="9"/>
      <c r="F58" t="s">
        <v>116</v>
      </c>
      <c r="G58" s="10">
        <v>7.1400000000000005E-2</v>
      </c>
      <c r="I58" s="9">
        <f t="shared" si="4"/>
        <v>0</v>
      </c>
      <c r="J58" s="11" cm="1">
        <f t="array" ref="J58">MAX(IF($N$3:$EH$3=$J$3,N58:EH58))</f>
        <v>0.3</v>
      </c>
      <c r="K58" s="11" cm="1">
        <f t="array" ref="K58">MAX(IF($N$3:$EH$3=$J$3,N58:EH58))</f>
        <v>0.3</v>
      </c>
      <c r="L58" s="9"/>
      <c r="O58" s="10">
        <v>0.3</v>
      </c>
      <c r="P58" s="10"/>
      <c r="Q58" s="10">
        <v>0.3</v>
      </c>
      <c r="R58" s="10"/>
      <c r="V58" s="10"/>
      <c r="W58" s="10">
        <v>0.5</v>
      </c>
      <c r="X58" s="10"/>
      <c r="Y58" s="10">
        <v>0.5</v>
      </c>
      <c r="AC58" s="10"/>
      <c r="AD58" s="10">
        <v>0.8</v>
      </c>
      <c r="AE58" s="10"/>
      <c r="AF58" s="10">
        <v>0.8</v>
      </c>
      <c r="AJ58" s="10"/>
      <c r="AK58" s="10">
        <v>0.8</v>
      </c>
      <c r="AL58" s="10"/>
      <c r="AM58" s="10">
        <v>0.8</v>
      </c>
      <c r="AQ58" s="10"/>
      <c r="AR58" s="10">
        <v>0.8</v>
      </c>
      <c r="AS58" s="10"/>
      <c r="AT58" s="10">
        <v>0.8</v>
      </c>
      <c r="AX58" s="10"/>
      <c r="AY58" s="10">
        <v>1</v>
      </c>
      <c r="AZ58" s="10"/>
      <c r="BA58" s="10">
        <v>1</v>
      </c>
      <c r="BE58" s="10"/>
      <c r="BF58" s="10">
        <v>1</v>
      </c>
      <c r="BG58" s="10"/>
      <c r="BH58" s="10">
        <v>1</v>
      </c>
      <c r="BL58" s="10"/>
      <c r="BM58" s="10">
        <v>1</v>
      </c>
      <c r="BN58" s="10"/>
      <c r="BO58" s="10">
        <v>1</v>
      </c>
      <c r="BS58" s="10"/>
      <c r="BT58" s="10">
        <v>1</v>
      </c>
      <c r="BU58" s="10"/>
      <c r="BV58" s="10">
        <v>1</v>
      </c>
      <c r="BZ58" s="10"/>
      <c r="CA58" s="10">
        <v>1</v>
      </c>
      <c r="CB58" s="10"/>
      <c r="CC58" s="10">
        <v>1</v>
      </c>
      <c r="CG58" s="10"/>
      <c r="CH58" s="10"/>
      <c r="CI58" s="10"/>
      <c r="CJ58" s="10"/>
      <c r="CN58" s="10"/>
      <c r="CO58" s="10"/>
      <c r="CP58" s="10"/>
      <c r="CQ58" s="10"/>
      <c r="CU58" s="10"/>
      <c r="CV58" s="10"/>
      <c r="CW58" s="10"/>
      <c r="CX58" s="10"/>
      <c r="DB58" s="10"/>
      <c r="DC58" s="10"/>
      <c r="DD58" s="10"/>
      <c r="DE58" s="10"/>
    </row>
    <row r="59" spans="2:109" outlineLevel="1" x14ac:dyDescent="0.2">
      <c r="B59" t="s">
        <v>28</v>
      </c>
      <c r="C59" t="s">
        <v>91</v>
      </c>
      <c r="E59" s="9"/>
      <c r="F59" t="s">
        <v>117</v>
      </c>
      <c r="G59" s="10">
        <v>7.1400000000000005E-2</v>
      </c>
      <c r="I59" s="9">
        <f t="shared" si="4"/>
        <v>0</v>
      </c>
      <c r="J59" s="11" cm="1">
        <f t="array" ref="J59">MAX(IF($N$3:$EH$3=$J$3,N59:EH59))</f>
        <v>0.3</v>
      </c>
      <c r="K59" s="11" cm="1">
        <f t="array" ref="K59">MAX(IF($N$3:$EH$3=$J$3,N59:EH59))</f>
        <v>0.3</v>
      </c>
      <c r="L59" s="9"/>
      <c r="O59" s="10">
        <v>0.3</v>
      </c>
      <c r="P59" s="10"/>
      <c r="Q59" s="10">
        <v>0.3</v>
      </c>
      <c r="R59" s="10"/>
      <c r="V59" s="10"/>
      <c r="W59" s="10">
        <v>0.5</v>
      </c>
      <c r="X59" s="10"/>
      <c r="Y59" s="10">
        <v>0.5</v>
      </c>
      <c r="AC59" s="10"/>
      <c r="AD59" s="10">
        <v>0.8</v>
      </c>
      <c r="AE59" s="10"/>
      <c r="AF59" s="10">
        <v>0.8</v>
      </c>
      <c r="AJ59" s="10"/>
      <c r="AK59" s="10">
        <v>0.8</v>
      </c>
      <c r="AL59" s="10"/>
      <c r="AM59" s="10">
        <v>0.8</v>
      </c>
      <c r="AQ59" s="10"/>
      <c r="AR59" s="10">
        <v>0.8</v>
      </c>
      <c r="AS59" s="10"/>
      <c r="AT59" s="10">
        <v>0.8</v>
      </c>
      <c r="AX59" s="10"/>
      <c r="AY59" s="10">
        <v>0.8</v>
      </c>
      <c r="AZ59" s="10"/>
      <c r="BA59" s="10">
        <v>0.8</v>
      </c>
      <c r="BE59" s="10"/>
      <c r="BF59" s="10">
        <v>1</v>
      </c>
      <c r="BG59" s="10"/>
      <c r="BH59" s="10">
        <v>1</v>
      </c>
      <c r="BL59" s="10"/>
      <c r="BM59" s="10">
        <v>1</v>
      </c>
      <c r="BN59" s="10"/>
      <c r="BO59" s="10">
        <v>1</v>
      </c>
      <c r="BS59" s="10"/>
      <c r="BT59" s="10">
        <v>1</v>
      </c>
      <c r="BU59" s="10"/>
      <c r="BV59" s="10">
        <v>1</v>
      </c>
      <c r="BZ59" s="10"/>
      <c r="CA59" s="10">
        <v>1</v>
      </c>
      <c r="CB59" s="10"/>
      <c r="CC59" s="10">
        <v>1</v>
      </c>
      <c r="CG59" s="10"/>
      <c r="CH59" s="10"/>
      <c r="CI59" s="10"/>
      <c r="CJ59" s="10"/>
      <c r="CN59" s="10"/>
      <c r="CO59" s="10"/>
      <c r="CP59" s="10"/>
      <c r="CQ59" s="10"/>
      <c r="CU59" s="10"/>
      <c r="CV59" s="10"/>
      <c r="CW59" s="10"/>
      <c r="CX59" s="10"/>
      <c r="DB59" s="10"/>
      <c r="DC59" s="10"/>
      <c r="DD59" s="10"/>
      <c r="DE59" s="10"/>
    </row>
    <row r="60" spans="2:109" outlineLevel="1" x14ac:dyDescent="0.2">
      <c r="B60" t="s">
        <v>28</v>
      </c>
      <c r="C60" t="s">
        <v>91</v>
      </c>
      <c r="E60" s="9"/>
      <c r="F60" t="s">
        <v>118</v>
      </c>
      <c r="G60" s="10">
        <v>7.1400000000000005E-2</v>
      </c>
      <c r="I60" s="9">
        <f t="shared" si="4"/>
        <v>0</v>
      </c>
      <c r="J60" s="11" cm="1">
        <f t="array" ref="J60">MAX(IF($N$3:$EH$3=$J$3,N60:EH60))</f>
        <v>0.3</v>
      </c>
      <c r="K60" s="11" cm="1">
        <f t="array" ref="K60">MAX(IF($N$3:$EH$3=$J$3,N60:EH60))</f>
        <v>0.3</v>
      </c>
      <c r="L60" s="9"/>
      <c r="O60" s="10">
        <v>0.3</v>
      </c>
      <c r="P60" s="10"/>
      <c r="Q60" s="10">
        <v>0.3</v>
      </c>
      <c r="R60" s="10"/>
      <c r="V60" s="10"/>
      <c r="W60" s="10">
        <v>0.5</v>
      </c>
      <c r="X60" s="10"/>
      <c r="Y60" s="10">
        <v>0.5</v>
      </c>
      <c r="AC60" s="10"/>
      <c r="AD60" s="10">
        <v>0.5</v>
      </c>
      <c r="AE60" s="10"/>
      <c r="AF60" s="10">
        <v>0.5</v>
      </c>
      <c r="AJ60" s="10"/>
      <c r="AK60" s="10">
        <v>0.8</v>
      </c>
      <c r="AL60" s="10"/>
      <c r="AM60" s="10">
        <v>0.8</v>
      </c>
      <c r="AQ60" s="10"/>
      <c r="AR60" s="10">
        <v>0.8</v>
      </c>
      <c r="AS60" s="10"/>
      <c r="AT60" s="10">
        <v>0.8</v>
      </c>
      <c r="AX60" s="10"/>
      <c r="AY60" s="10">
        <v>0.8</v>
      </c>
      <c r="AZ60" s="10"/>
      <c r="BA60" s="10">
        <v>0.8</v>
      </c>
      <c r="BE60" s="10"/>
      <c r="BF60" s="10">
        <v>1</v>
      </c>
      <c r="BG60" s="10"/>
      <c r="BH60" s="10">
        <v>1</v>
      </c>
      <c r="BL60" s="10"/>
      <c r="BM60" s="10">
        <v>1</v>
      </c>
      <c r="BN60" s="10"/>
      <c r="BO60" s="10">
        <v>1</v>
      </c>
      <c r="BS60" s="10"/>
      <c r="BT60" s="10">
        <v>1</v>
      </c>
      <c r="BU60" s="10"/>
      <c r="BV60" s="10">
        <v>1</v>
      </c>
      <c r="BZ60" s="10"/>
      <c r="CA60" s="10">
        <v>1</v>
      </c>
      <c r="CB60" s="10"/>
      <c r="CC60" s="10">
        <v>1</v>
      </c>
      <c r="CG60" s="10"/>
      <c r="CH60" s="10"/>
      <c r="CI60" s="10"/>
      <c r="CJ60" s="10"/>
      <c r="CN60" s="10"/>
      <c r="CO60" s="10"/>
      <c r="CP60" s="10"/>
      <c r="CQ60" s="10"/>
      <c r="CU60" s="10"/>
      <c r="CV60" s="10"/>
      <c r="CW60" s="10"/>
      <c r="CX60" s="10"/>
      <c r="DB60" s="10"/>
      <c r="DC60" s="10"/>
      <c r="DD60" s="10"/>
      <c r="DE60" s="10"/>
    </row>
    <row r="61" spans="2:109" outlineLevel="1" x14ac:dyDescent="0.2">
      <c r="B61" t="s">
        <v>28</v>
      </c>
      <c r="C61" t="s">
        <v>91</v>
      </c>
      <c r="E61" s="9"/>
      <c r="F61" t="s">
        <v>119</v>
      </c>
      <c r="G61" s="10">
        <v>7.1400000000000005E-2</v>
      </c>
      <c r="I61" s="9">
        <f t="shared" si="4"/>
        <v>0</v>
      </c>
      <c r="J61" s="11" cm="1">
        <f t="array" ref="J61">MAX(IF($N$3:$EH$3=$J$3,N61:EH61))</f>
        <v>0.3</v>
      </c>
      <c r="K61" s="11" cm="1">
        <f t="array" ref="K61">MAX(IF($N$3:$EH$3=$J$3,N61:EH61))</f>
        <v>0.3</v>
      </c>
      <c r="L61" s="9"/>
      <c r="O61" s="10">
        <v>0.3</v>
      </c>
      <c r="P61" s="10"/>
      <c r="Q61" s="10">
        <v>0.3</v>
      </c>
      <c r="R61" s="10"/>
      <c r="V61" s="10"/>
      <c r="W61" s="10">
        <v>0.5</v>
      </c>
      <c r="X61" s="10"/>
      <c r="Y61" s="10">
        <v>0.5</v>
      </c>
      <c r="AC61" s="10"/>
      <c r="AD61" s="10">
        <v>0.5</v>
      </c>
      <c r="AE61" s="10"/>
      <c r="AF61" s="10">
        <v>0.5</v>
      </c>
      <c r="AJ61" s="10"/>
      <c r="AK61" s="10">
        <v>0.5</v>
      </c>
      <c r="AL61" s="10"/>
      <c r="AM61" s="10">
        <v>0.5</v>
      </c>
      <c r="AQ61" s="10"/>
      <c r="AR61" s="10">
        <v>0.8</v>
      </c>
      <c r="AS61" s="10"/>
      <c r="AT61" s="10">
        <v>0.8</v>
      </c>
      <c r="AX61" s="10"/>
      <c r="AY61" s="10">
        <v>0.8</v>
      </c>
      <c r="AZ61" s="10"/>
      <c r="BA61" s="10">
        <v>0.8</v>
      </c>
      <c r="BE61" s="10"/>
      <c r="BF61" s="10">
        <v>0.8</v>
      </c>
      <c r="BG61" s="10"/>
      <c r="BH61" s="10">
        <v>0.8</v>
      </c>
      <c r="BL61" s="10"/>
      <c r="BM61" s="10">
        <v>1</v>
      </c>
      <c r="BN61" s="10"/>
      <c r="BO61" s="10">
        <v>1</v>
      </c>
      <c r="BS61" s="10"/>
      <c r="BT61" s="10">
        <v>1</v>
      </c>
      <c r="BU61" s="10"/>
      <c r="BV61" s="10">
        <v>1</v>
      </c>
      <c r="BZ61" s="10"/>
      <c r="CA61" s="10">
        <v>1</v>
      </c>
      <c r="CB61" s="10"/>
      <c r="CC61" s="10">
        <v>1</v>
      </c>
      <c r="CG61" s="10"/>
      <c r="CH61" s="10"/>
      <c r="CI61" s="10"/>
      <c r="CJ61" s="10"/>
      <c r="CN61" s="10"/>
      <c r="CO61" s="10"/>
      <c r="CP61" s="10"/>
      <c r="CQ61" s="10"/>
      <c r="CU61" s="10"/>
      <c r="CV61" s="10"/>
      <c r="CW61" s="10"/>
      <c r="CX61" s="10"/>
      <c r="DB61" s="10"/>
      <c r="DC61" s="10"/>
      <c r="DD61" s="10"/>
      <c r="DE61" s="10"/>
    </row>
    <row r="62" spans="2:109" outlineLevel="1" x14ac:dyDescent="0.2">
      <c r="B62" t="s">
        <v>28</v>
      </c>
      <c r="C62" t="s">
        <v>91</v>
      </c>
      <c r="E62" s="9"/>
      <c r="F62" t="s">
        <v>120</v>
      </c>
      <c r="G62" s="10">
        <v>7.1400000000000005E-2</v>
      </c>
      <c r="I62" s="9">
        <f t="shared" si="4"/>
        <v>0</v>
      </c>
      <c r="J62" s="11" cm="1">
        <f t="array" ref="J62">MAX(IF($N$3:$EH$3=$J$3,N62:EH62))</f>
        <v>0</v>
      </c>
      <c r="K62" s="11" cm="1">
        <f t="array" ref="K62">MAX(IF($N$3:$EH$3=$J$3,N62:EH62))</f>
        <v>0</v>
      </c>
      <c r="L62" s="9"/>
      <c r="O62" s="10"/>
      <c r="P62" s="10"/>
      <c r="Q62" s="10"/>
      <c r="R62" s="10"/>
      <c r="V62" s="10"/>
      <c r="W62" s="10"/>
      <c r="X62" s="10"/>
      <c r="Y62" s="10"/>
      <c r="AC62" s="10"/>
      <c r="AD62" s="10">
        <v>0.5</v>
      </c>
      <c r="AE62" s="10"/>
      <c r="AF62" s="10">
        <v>0.5</v>
      </c>
      <c r="AJ62" s="10"/>
      <c r="AK62" s="10">
        <v>0.5</v>
      </c>
      <c r="AL62" s="10"/>
      <c r="AM62" s="10">
        <v>0.5</v>
      </c>
      <c r="AQ62" s="10"/>
      <c r="AR62" s="10">
        <v>0.8</v>
      </c>
      <c r="AS62" s="10"/>
      <c r="AT62" s="10">
        <v>0.8</v>
      </c>
      <c r="AX62" s="10"/>
      <c r="AY62" s="10">
        <v>0.8</v>
      </c>
      <c r="AZ62" s="10"/>
      <c r="BA62" s="10">
        <v>0.8</v>
      </c>
      <c r="BE62" s="10"/>
      <c r="BF62" s="10">
        <v>0.8</v>
      </c>
      <c r="BG62" s="10"/>
      <c r="BH62" s="10">
        <v>0.8</v>
      </c>
      <c r="BL62" s="10"/>
      <c r="BM62" s="10">
        <v>1</v>
      </c>
      <c r="BN62" s="10"/>
      <c r="BO62" s="10">
        <v>1</v>
      </c>
      <c r="BS62" s="10"/>
      <c r="BT62" s="10">
        <v>1</v>
      </c>
      <c r="BU62" s="10"/>
      <c r="BV62" s="10">
        <v>1</v>
      </c>
      <c r="BZ62" s="10"/>
      <c r="CA62" s="10">
        <v>1</v>
      </c>
      <c r="CB62" s="10"/>
      <c r="CC62" s="10">
        <v>1</v>
      </c>
      <c r="CG62" s="10"/>
      <c r="CH62" s="10"/>
      <c r="CI62" s="10"/>
      <c r="CJ62" s="10"/>
      <c r="CN62" s="10"/>
      <c r="CO62" s="10"/>
      <c r="CP62" s="10"/>
      <c r="CQ62" s="10"/>
      <c r="CU62" s="10"/>
      <c r="CV62" s="10"/>
      <c r="CW62" s="10"/>
      <c r="CX62" s="10"/>
      <c r="DB62" s="10"/>
      <c r="DC62" s="10"/>
      <c r="DD62" s="10"/>
      <c r="DE62" s="10"/>
    </row>
    <row r="63" spans="2:109" outlineLevel="1" x14ac:dyDescent="0.2">
      <c r="B63" t="s">
        <v>28</v>
      </c>
      <c r="C63" t="s">
        <v>91</v>
      </c>
      <c r="E63" s="9"/>
      <c r="F63" t="s">
        <v>121</v>
      </c>
      <c r="G63" s="10">
        <v>7.1400000000000005E-2</v>
      </c>
      <c r="I63" s="9">
        <f t="shared" si="4"/>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v>0.5</v>
      </c>
      <c r="AL63" s="10"/>
      <c r="AM63" s="10">
        <v>0.5</v>
      </c>
      <c r="AQ63" s="10"/>
      <c r="AR63" s="10">
        <v>0.5</v>
      </c>
      <c r="AS63" s="10"/>
      <c r="AT63" s="10">
        <v>0.5</v>
      </c>
      <c r="AX63" s="10"/>
      <c r="AY63" s="10">
        <v>0.8</v>
      </c>
      <c r="AZ63" s="10"/>
      <c r="BA63" s="10">
        <v>0.8</v>
      </c>
      <c r="BE63" s="10"/>
      <c r="BF63" s="10">
        <v>0.8</v>
      </c>
      <c r="BG63" s="10"/>
      <c r="BH63" s="10">
        <v>0.8</v>
      </c>
      <c r="BL63" s="10"/>
      <c r="BM63" s="10">
        <v>1</v>
      </c>
      <c r="BN63" s="10"/>
      <c r="BO63" s="10">
        <v>1</v>
      </c>
      <c r="BS63" s="10"/>
      <c r="BT63" s="10">
        <v>1</v>
      </c>
      <c r="BU63" s="10"/>
      <c r="BV63" s="10">
        <v>1</v>
      </c>
      <c r="BZ63" s="10"/>
      <c r="CA63" s="10">
        <v>1</v>
      </c>
      <c r="CB63" s="10"/>
      <c r="CC63" s="10">
        <v>1</v>
      </c>
      <c r="CG63" s="10"/>
      <c r="CH63" s="10"/>
      <c r="CI63" s="10"/>
      <c r="CJ63" s="10"/>
      <c r="CN63" s="10"/>
      <c r="CO63" s="10"/>
      <c r="CP63" s="10"/>
      <c r="CQ63" s="10"/>
      <c r="CU63" s="10"/>
      <c r="CV63" s="10"/>
      <c r="CW63" s="10"/>
      <c r="CX63" s="10"/>
      <c r="DB63" s="10"/>
      <c r="DC63" s="10"/>
      <c r="DD63" s="10"/>
      <c r="DE63" s="10"/>
    </row>
    <row r="64" spans="2:109" outlineLevel="1" x14ac:dyDescent="0.2">
      <c r="B64" t="s">
        <v>28</v>
      </c>
      <c r="C64" t="s">
        <v>91</v>
      </c>
      <c r="E64" s="9"/>
      <c r="F64" t="s">
        <v>122</v>
      </c>
      <c r="G64" s="10">
        <v>7.1400000000000005E-2</v>
      </c>
      <c r="I64" s="9">
        <f t="shared" si="4"/>
        <v>0</v>
      </c>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v>0.5</v>
      </c>
      <c r="AL64" s="10"/>
      <c r="AM64" s="10">
        <v>0.5</v>
      </c>
      <c r="AQ64" s="10"/>
      <c r="AR64" s="10">
        <v>0.5</v>
      </c>
      <c r="AS64" s="10"/>
      <c r="AT64" s="10">
        <v>0.5</v>
      </c>
      <c r="AX64" s="10"/>
      <c r="AY64" s="10">
        <v>0.5</v>
      </c>
      <c r="AZ64" s="10"/>
      <c r="BA64" s="10">
        <v>0.5</v>
      </c>
      <c r="BE64" s="10"/>
      <c r="BF64" s="10">
        <v>0.8</v>
      </c>
      <c r="BG64" s="10"/>
      <c r="BH64" s="10">
        <v>0.8</v>
      </c>
      <c r="BL64" s="10"/>
      <c r="BM64" s="10">
        <v>0.8</v>
      </c>
      <c r="BN64" s="10"/>
      <c r="BO64" s="10">
        <v>0.8</v>
      </c>
      <c r="BS64" s="10"/>
      <c r="BT64" s="10">
        <v>1</v>
      </c>
      <c r="BU64" s="10"/>
      <c r="BV64" s="10">
        <v>1</v>
      </c>
      <c r="BZ64" s="10"/>
      <c r="CA64" s="10">
        <v>1</v>
      </c>
      <c r="CB64" s="10"/>
      <c r="CC64" s="10">
        <v>1</v>
      </c>
      <c r="CG64" s="10"/>
      <c r="CH64" s="10"/>
      <c r="CI64" s="10"/>
      <c r="CJ64" s="10"/>
      <c r="CN64" s="10"/>
      <c r="CO64" s="10"/>
      <c r="CP64" s="10"/>
      <c r="CQ64" s="10"/>
      <c r="CU64" s="10"/>
      <c r="CV64" s="10"/>
      <c r="CW64" s="10"/>
      <c r="CX64" s="10"/>
      <c r="DB64" s="10"/>
      <c r="DC64" s="10"/>
      <c r="DD64" s="10"/>
      <c r="DE64" s="10"/>
    </row>
    <row r="65" spans="1:110" outlineLevel="1" x14ac:dyDescent="0.2">
      <c r="B65" t="s">
        <v>28</v>
      </c>
      <c r="C65" t="s">
        <v>91</v>
      </c>
      <c r="E65" s="9"/>
      <c r="F65" t="s">
        <v>123</v>
      </c>
      <c r="G65" s="10">
        <v>7.1400000000000005E-2</v>
      </c>
      <c r="I65" s="9">
        <f t="shared" si="4"/>
        <v>0</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v>0.5</v>
      </c>
      <c r="AS65" s="10"/>
      <c r="AT65" s="10">
        <v>0.5</v>
      </c>
      <c r="AX65" s="10"/>
      <c r="AY65" s="10">
        <v>0.5</v>
      </c>
      <c r="AZ65" s="10"/>
      <c r="BA65" s="10">
        <v>0.5</v>
      </c>
      <c r="BE65" s="10"/>
      <c r="BF65" s="10">
        <v>0.8</v>
      </c>
      <c r="BG65" s="10"/>
      <c r="BH65" s="10">
        <v>0.8</v>
      </c>
      <c r="BL65" s="10"/>
      <c r="BM65" s="10">
        <v>0.8</v>
      </c>
      <c r="BN65" s="10"/>
      <c r="BO65" s="10">
        <v>0.8</v>
      </c>
      <c r="BS65" s="10"/>
      <c r="BT65" s="10">
        <v>1</v>
      </c>
      <c r="BU65" s="10"/>
      <c r="BV65" s="10">
        <v>1</v>
      </c>
      <c r="BZ65" s="10"/>
      <c r="CA65" s="10">
        <v>1</v>
      </c>
      <c r="CB65" s="10"/>
      <c r="CC65" s="10">
        <v>1</v>
      </c>
      <c r="CG65" s="10"/>
      <c r="CH65" s="10"/>
      <c r="CI65" s="10"/>
      <c r="CJ65" s="10"/>
      <c r="CN65" s="10"/>
      <c r="CO65" s="10"/>
      <c r="CP65" s="10"/>
      <c r="CQ65" s="10"/>
      <c r="CU65" s="10"/>
      <c r="CV65" s="10"/>
      <c r="CW65" s="10"/>
      <c r="CX65" s="10"/>
      <c r="DB65" s="10"/>
      <c r="DC65" s="10"/>
      <c r="DD65" s="10"/>
      <c r="DE65" s="10"/>
    </row>
    <row r="66" spans="1:110" outlineLevel="1" x14ac:dyDescent="0.2">
      <c r="B66" t="s">
        <v>28</v>
      </c>
      <c r="C66" t="s">
        <v>91</v>
      </c>
      <c r="E66" s="9"/>
      <c r="F66" t="s">
        <v>124</v>
      </c>
      <c r="G66" s="10">
        <v>7.1400000000000005E-2</v>
      </c>
      <c r="I66" s="9">
        <f t="shared" si="4"/>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v>0.5</v>
      </c>
      <c r="AS66" s="10"/>
      <c r="AT66" s="10">
        <v>0.5</v>
      </c>
      <c r="AX66" s="10"/>
      <c r="AY66" s="10">
        <v>0.5</v>
      </c>
      <c r="AZ66" s="10"/>
      <c r="BA66" s="10">
        <v>0.5</v>
      </c>
      <c r="BE66" s="10"/>
      <c r="BF66" s="10">
        <v>0.5</v>
      </c>
      <c r="BG66" s="10"/>
      <c r="BH66" s="10">
        <v>0.5</v>
      </c>
      <c r="BL66" s="10"/>
      <c r="BM66" s="10">
        <v>0.8</v>
      </c>
      <c r="BN66" s="10"/>
      <c r="BO66" s="10">
        <v>0.8</v>
      </c>
      <c r="BS66" s="10"/>
      <c r="BT66" s="10">
        <v>0.8</v>
      </c>
      <c r="BU66" s="10"/>
      <c r="BV66" s="10">
        <v>0.8</v>
      </c>
      <c r="BZ66" s="10"/>
      <c r="CA66" s="10">
        <v>1</v>
      </c>
      <c r="CB66" s="10"/>
      <c r="CC66" s="10">
        <v>1</v>
      </c>
      <c r="CG66" s="10"/>
      <c r="CH66" s="10"/>
      <c r="CI66" s="10"/>
      <c r="CJ66" s="10"/>
      <c r="CN66" s="10"/>
      <c r="CO66" s="10"/>
      <c r="CP66" s="10"/>
      <c r="CQ66" s="10"/>
      <c r="CU66" s="10"/>
      <c r="CV66" s="10"/>
      <c r="CW66" s="10"/>
      <c r="CX66" s="10"/>
      <c r="DB66" s="10"/>
      <c r="DC66" s="10"/>
      <c r="DD66" s="10"/>
      <c r="DE66" s="10"/>
    </row>
    <row r="67" spans="1:110" outlineLevel="1" x14ac:dyDescent="0.2">
      <c r="A67" s="20"/>
      <c r="B67" s="20" t="s">
        <v>28</v>
      </c>
      <c r="C67" s="20" t="s">
        <v>91</v>
      </c>
      <c r="D67" s="20"/>
      <c r="E67" s="21"/>
      <c r="F67" s="20" t="s">
        <v>125</v>
      </c>
      <c r="G67" s="10">
        <v>7.1400000000000005E-2</v>
      </c>
      <c r="H67" s="20"/>
      <c r="I67" s="21">
        <v>0</v>
      </c>
      <c r="J67" s="23">
        <v>0</v>
      </c>
      <c r="K67" s="23">
        <v>0</v>
      </c>
      <c r="L67" s="21"/>
      <c r="M67" s="20"/>
      <c r="N67" s="20"/>
      <c r="O67" s="22"/>
      <c r="P67" s="22"/>
      <c r="Q67" s="22"/>
      <c r="R67" s="22"/>
      <c r="S67" s="20"/>
      <c r="T67" s="20"/>
      <c r="U67" s="20"/>
      <c r="V67" s="22"/>
      <c r="W67" s="22"/>
      <c r="X67" s="22"/>
      <c r="Y67" s="22"/>
      <c r="Z67" s="20"/>
      <c r="AA67" s="20"/>
      <c r="AB67" s="20"/>
      <c r="AC67" s="22"/>
      <c r="AD67" s="22"/>
      <c r="AE67" s="22"/>
      <c r="AF67" s="22"/>
      <c r="AG67" s="20"/>
      <c r="AH67" s="20"/>
      <c r="AI67" s="20"/>
      <c r="AJ67" s="22"/>
      <c r="AK67" s="22"/>
      <c r="AL67" s="22"/>
      <c r="AM67" s="22"/>
      <c r="AN67" s="20"/>
      <c r="AO67" s="20"/>
      <c r="AP67" s="20"/>
      <c r="AQ67" s="10"/>
      <c r="AR67" s="10">
        <v>0.5</v>
      </c>
      <c r="AS67" s="10"/>
      <c r="AT67" s="10">
        <v>0.5</v>
      </c>
      <c r="AU67" s="20"/>
      <c r="AV67" s="20"/>
      <c r="AW67" s="20"/>
      <c r="AX67" s="10"/>
      <c r="AY67" s="10">
        <v>0.5</v>
      </c>
      <c r="AZ67" s="10"/>
      <c r="BA67" s="10">
        <v>0.5</v>
      </c>
      <c r="BB67" s="20"/>
      <c r="BC67" s="20"/>
      <c r="BD67" s="20"/>
      <c r="BE67" s="10"/>
      <c r="BF67" s="10">
        <v>0.5</v>
      </c>
      <c r="BG67" s="10"/>
      <c r="BH67" s="10">
        <v>0.5</v>
      </c>
      <c r="BI67" s="20"/>
      <c r="BJ67" s="20"/>
      <c r="BK67" s="20"/>
      <c r="BL67" s="10"/>
      <c r="BM67" s="10">
        <v>0.8</v>
      </c>
      <c r="BN67" s="10"/>
      <c r="BO67" s="10">
        <v>0.8</v>
      </c>
      <c r="BP67" s="20"/>
      <c r="BQ67" s="20"/>
      <c r="BR67" s="20"/>
      <c r="BS67" s="10"/>
      <c r="BT67" s="10">
        <v>0.8</v>
      </c>
      <c r="BU67" s="10"/>
      <c r="BV67" s="10">
        <v>0.8</v>
      </c>
      <c r="BW67" s="20"/>
      <c r="BX67" s="20"/>
      <c r="BY67" s="20"/>
      <c r="BZ67" s="10"/>
      <c r="CA67" s="10">
        <v>1</v>
      </c>
      <c r="CB67" s="10"/>
      <c r="CC67" s="10">
        <v>1</v>
      </c>
      <c r="CD67" s="20"/>
      <c r="CE67" s="20"/>
      <c r="CF67" s="20"/>
      <c r="CG67" s="22"/>
      <c r="CH67" s="22"/>
      <c r="CI67" s="22"/>
      <c r="CJ67" s="22"/>
      <c r="CK67" s="20"/>
      <c r="CL67" s="20"/>
      <c r="CM67" s="20"/>
      <c r="CN67" s="22"/>
      <c r="CO67" s="22"/>
      <c r="CP67" s="22"/>
      <c r="CQ67" s="22"/>
      <c r="CR67" s="20"/>
      <c r="CS67" s="20"/>
      <c r="CT67" s="20"/>
      <c r="CU67" s="22"/>
      <c r="CV67" s="22"/>
      <c r="CW67" s="22"/>
      <c r="CX67" s="22"/>
      <c r="CY67" s="20"/>
      <c r="CZ67" s="20"/>
      <c r="DA67" s="20"/>
      <c r="DB67" s="22"/>
      <c r="DC67" s="22"/>
      <c r="DD67" s="22"/>
      <c r="DE67" s="22"/>
      <c r="DF67" s="20"/>
    </row>
    <row r="68" spans="1:110" outlineLevel="1" x14ac:dyDescent="0.2">
      <c r="A68" s="20"/>
      <c r="B68" s="20" t="s">
        <v>28</v>
      </c>
      <c r="C68" s="20" t="s">
        <v>91</v>
      </c>
      <c r="D68" s="20"/>
      <c r="E68" s="21"/>
      <c r="F68" s="20" t="s">
        <v>126</v>
      </c>
      <c r="G68" s="10">
        <v>7.1400000000000005E-2</v>
      </c>
      <c r="H68" s="20"/>
      <c r="I68" s="21">
        <v>0</v>
      </c>
      <c r="J68" s="23">
        <v>0</v>
      </c>
      <c r="K68" s="23">
        <v>0</v>
      </c>
      <c r="L68" s="21"/>
      <c r="M68" s="20"/>
      <c r="N68" s="20"/>
      <c r="O68" s="22"/>
      <c r="P68" s="22"/>
      <c r="Q68" s="22"/>
      <c r="R68" s="22"/>
      <c r="S68" s="20"/>
      <c r="T68" s="20"/>
      <c r="U68" s="20"/>
      <c r="V68" s="22"/>
      <c r="W68" s="22"/>
      <c r="X68" s="22"/>
      <c r="Y68" s="22"/>
      <c r="Z68" s="20"/>
      <c r="AA68" s="20"/>
      <c r="AB68" s="20"/>
      <c r="AC68" s="22"/>
      <c r="AD68" s="22"/>
      <c r="AE68" s="22"/>
      <c r="AF68" s="22"/>
      <c r="AG68" s="20"/>
      <c r="AH68" s="20"/>
      <c r="AI68" s="20"/>
      <c r="AJ68" s="22"/>
      <c r="AK68" s="22"/>
      <c r="AL68" s="22"/>
      <c r="AM68" s="22"/>
      <c r="AN68" s="20"/>
      <c r="AO68" s="20"/>
      <c r="AP68" s="20"/>
      <c r="AQ68" s="10"/>
      <c r="AR68" s="10"/>
      <c r="AS68" s="10"/>
      <c r="AT68" s="10"/>
      <c r="AU68" s="20"/>
      <c r="AV68" s="20"/>
      <c r="AW68" s="20"/>
      <c r="AX68" s="10"/>
      <c r="AY68" s="10">
        <v>0.5</v>
      </c>
      <c r="AZ68" s="10"/>
      <c r="BA68" s="10">
        <v>0.5</v>
      </c>
      <c r="BB68" s="20"/>
      <c r="BC68" s="20"/>
      <c r="BD68" s="20"/>
      <c r="BE68" s="10"/>
      <c r="BF68" s="10">
        <v>0.5</v>
      </c>
      <c r="BG68" s="10"/>
      <c r="BH68" s="10">
        <v>0.5</v>
      </c>
      <c r="BI68" s="20"/>
      <c r="BJ68" s="20"/>
      <c r="BK68" s="20"/>
      <c r="BL68" s="10"/>
      <c r="BM68" s="10">
        <v>0.5</v>
      </c>
      <c r="BN68" s="10"/>
      <c r="BO68" s="10">
        <v>0.5</v>
      </c>
      <c r="BP68" s="20"/>
      <c r="BQ68" s="20"/>
      <c r="BR68" s="20"/>
      <c r="BS68" s="10"/>
      <c r="BT68" s="10">
        <v>0.8</v>
      </c>
      <c r="BU68" s="10"/>
      <c r="BV68" s="10">
        <v>0.8</v>
      </c>
      <c r="BW68" s="20"/>
      <c r="BX68" s="20"/>
      <c r="BY68" s="20"/>
      <c r="BZ68" s="10"/>
      <c r="CA68" s="10">
        <v>1</v>
      </c>
      <c r="CB68" s="10"/>
      <c r="CC68" s="10">
        <v>1</v>
      </c>
      <c r="CD68" s="20"/>
      <c r="CE68" s="20"/>
      <c r="CF68" s="20"/>
      <c r="CG68" s="22"/>
      <c r="CH68" s="22"/>
      <c r="CI68" s="22"/>
      <c r="CJ68" s="22"/>
      <c r="CK68" s="20"/>
      <c r="CL68" s="20"/>
      <c r="CM68" s="20"/>
      <c r="CN68" s="22"/>
      <c r="CO68" s="22"/>
      <c r="CP68" s="22"/>
      <c r="CQ68" s="22"/>
      <c r="CR68" s="20"/>
      <c r="CS68" s="20"/>
      <c r="CT68" s="20"/>
      <c r="CU68" s="22"/>
      <c r="CV68" s="22"/>
      <c r="CW68" s="22"/>
      <c r="CX68" s="22"/>
      <c r="CY68" s="20"/>
      <c r="CZ68" s="20"/>
      <c r="DA68" s="20"/>
      <c r="DB68" s="22"/>
      <c r="DC68" s="22"/>
      <c r="DD68" s="22"/>
      <c r="DE68" s="22"/>
      <c r="DF68" s="20"/>
    </row>
    <row r="69" spans="1:110" outlineLevel="1" x14ac:dyDescent="0.2">
      <c r="A69" s="20"/>
      <c r="B69" s="20" t="s">
        <v>28</v>
      </c>
      <c r="C69" s="20" t="s">
        <v>91</v>
      </c>
      <c r="D69" s="20"/>
      <c r="E69" s="21"/>
      <c r="F69" s="20" t="s">
        <v>127</v>
      </c>
      <c r="G69" s="10">
        <v>7.1400000000000005E-2</v>
      </c>
      <c r="H69" s="20"/>
      <c r="I69" s="21">
        <v>0</v>
      </c>
      <c r="J69" s="23">
        <v>0</v>
      </c>
      <c r="K69" s="23">
        <v>0</v>
      </c>
      <c r="L69" s="21"/>
      <c r="M69" s="20"/>
      <c r="N69" s="20"/>
      <c r="O69" s="22"/>
      <c r="P69" s="22"/>
      <c r="Q69" s="22"/>
      <c r="R69" s="22"/>
      <c r="S69" s="20"/>
      <c r="T69" s="20"/>
      <c r="U69" s="20"/>
      <c r="V69" s="22"/>
      <c r="W69" s="22"/>
      <c r="X69" s="22"/>
      <c r="Y69" s="22"/>
      <c r="Z69" s="20"/>
      <c r="AA69" s="20"/>
      <c r="AB69" s="20"/>
      <c r="AC69" s="22"/>
      <c r="AD69" s="22"/>
      <c r="AE69" s="22"/>
      <c r="AF69" s="22"/>
      <c r="AG69" s="20"/>
      <c r="AH69" s="20"/>
      <c r="AI69" s="20"/>
      <c r="AJ69" s="22"/>
      <c r="AK69" s="22"/>
      <c r="AL69" s="22"/>
      <c r="AM69" s="22"/>
      <c r="AN69" s="20"/>
      <c r="AO69" s="20"/>
      <c r="AP69" s="20"/>
      <c r="AQ69" s="22"/>
      <c r="AR69" s="22"/>
      <c r="AS69" s="22"/>
      <c r="AT69" s="22"/>
      <c r="AU69" s="20"/>
      <c r="AV69" s="20"/>
      <c r="AW69" s="20"/>
      <c r="AX69" s="10"/>
      <c r="AY69" s="10">
        <v>0.5</v>
      </c>
      <c r="AZ69" s="10"/>
      <c r="BA69" s="10">
        <v>0.5</v>
      </c>
      <c r="BB69" s="20"/>
      <c r="BC69" s="20"/>
      <c r="BD69" s="20"/>
      <c r="BE69" s="10"/>
      <c r="BF69" s="10">
        <v>0.5</v>
      </c>
      <c r="BG69" s="10"/>
      <c r="BH69" s="10">
        <v>0.5</v>
      </c>
      <c r="BI69" s="20"/>
      <c r="BJ69" s="20"/>
      <c r="BK69" s="20"/>
      <c r="BL69" s="10"/>
      <c r="BM69" s="10">
        <v>0.5</v>
      </c>
      <c r="BN69" s="10"/>
      <c r="BO69" s="10">
        <v>0.5</v>
      </c>
      <c r="BP69" s="20"/>
      <c r="BQ69" s="20"/>
      <c r="BR69" s="20"/>
      <c r="BS69" s="10"/>
      <c r="BT69" s="10">
        <v>0.8</v>
      </c>
      <c r="BU69" s="10"/>
      <c r="BV69" s="10">
        <v>0.8</v>
      </c>
      <c r="BW69" s="20"/>
      <c r="BX69" s="20"/>
      <c r="BY69" s="20"/>
      <c r="BZ69" s="10"/>
      <c r="CA69" s="10">
        <v>1</v>
      </c>
      <c r="CB69" s="10"/>
      <c r="CC69" s="10">
        <v>1</v>
      </c>
      <c r="CD69" s="20"/>
      <c r="CE69" s="20"/>
      <c r="CF69" s="20"/>
      <c r="CG69" s="22"/>
      <c r="CH69" s="22"/>
      <c r="CI69" s="22"/>
      <c r="CJ69" s="22"/>
      <c r="CK69" s="20"/>
      <c r="CL69" s="20"/>
      <c r="CM69" s="20"/>
      <c r="CN69" s="22"/>
      <c r="CO69" s="22"/>
      <c r="CP69" s="22"/>
      <c r="CQ69" s="22"/>
      <c r="CR69" s="20"/>
      <c r="CS69" s="20"/>
      <c r="CT69" s="20"/>
      <c r="CU69" s="22"/>
      <c r="CV69" s="22"/>
      <c r="CW69" s="22"/>
      <c r="CX69" s="22"/>
      <c r="CY69" s="20"/>
      <c r="CZ69" s="20"/>
      <c r="DA69" s="20"/>
      <c r="DB69" s="22"/>
      <c r="DC69" s="22"/>
      <c r="DD69" s="22"/>
      <c r="DE69" s="22"/>
      <c r="DF69" s="20"/>
    </row>
    <row r="70" spans="1:110" outlineLevel="1" x14ac:dyDescent="0.2">
      <c r="A70" s="20"/>
      <c r="B70" s="20" t="s">
        <v>28</v>
      </c>
      <c r="C70" s="20" t="s">
        <v>91</v>
      </c>
      <c r="D70" s="20"/>
      <c r="E70" s="21"/>
      <c r="F70" s="20" t="s">
        <v>128</v>
      </c>
      <c r="G70" s="10">
        <v>7.1400000000000005E-2</v>
      </c>
      <c r="H70" s="20"/>
      <c r="I70" s="21">
        <v>0</v>
      </c>
      <c r="J70" s="23">
        <v>0</v>
      </c>
      <c r="K70" s="23">
        <v>0</v>
      </c>
      <c r="L70" s="21"/>
      <c r="M70" s="20"/>
      <c r="N70" s="20"/>
      <c r="O70" s="22"/>
      <c r="P70" s="22"/>
      <c r="Q70" s="22"/>
      <c r="R70" s="22"/>
      <c r="S70" s="20"/>
      <c r="T70" s="20"/>
      <c r="U70" s="20"/>
      <c r="V70" s="22"/>
      <c r="W70" s="22"/>
      <c r="X70" s="22"/>
      <c r="Y70" s="22"/>
      <c r="Z70" s="20"/>
      <c r="AA70" s="20"/>
      <c r="AB70" s="20"/>
      <c r="AC70" s="22"/>
      <c r="AD70" s="22"/>
      <c r="AE70" s="22"/>
      <c r="AF70" s="22"/>
      <c r="AG70" s="20"/>
      <c r="AH70" s="20"/>
      <c r="AI70" s="20"/>
      <c r="AJ70" s="22"/>
      <c r="AK70" s="22"/>
      <c r="AL70" s="22"/>
      <c r="AM70" s="22"/>
      <c r="AN70" s="20"/>
      <c r="AO70" s="20"/>
      <c r="AP70" s="20"/>
      <c r="AQ70" s="22"/>
      <c r="AR70" s="22"/>
      <c r="AS70" s="22"/>
      <c r="AT70" s="22"/>
      <c r="AU70" s="20"/>
      <c r="AV70" s="20"/>
      <c r="AW70" s="20"/>
      <c r="AX70" s="10"/>
      <c r="AY70" s="10"/>
      <c r="AZ70" s="10"/>
      <c r="BA70" s="10"/>
      <c r="BB70" s="20"/>
      <c r="BC70" s="20"/>
      <c r="BD70" s="20"/>
      <c r="BE70" s="10"/>
      <c r="BF70" s="10">
        <v>0.5</v>
      </c>
      <c r="BG70" s="10"/>
      <c r="BH70" s="10">
        <v>0.5</v>
      </c>
      <c r="BI70" s="20"/>
      <c r="BJ70" s="20"/>
      <c r="BK70" s="20"/>
      <c r="BL70" s="10"/>
      <c r="BM70" s="10">
        <v>0.5</v>
      </c>
      <c r="BN70" s="10"/>
      <c r="BO70" s="10">
        <v>0.5</v>
      </c>
      <c r="BP70" s="20"/>
      <c r="BQ70" s="20"/>
      <c r="BR70" s="20"/>
      <c r="BS70" s="10"/>
      <c r="BT70" s="10">
        <v>0.8</v>
      </c>
      <c r="BU70" s="10"/>
      <c r="BV70" s="10">
        <v>0.8</v>
      </c>
      <c r="BW70" s="20"/>
      <c r="BX70" s="20"/>
      <c r="BY70" s="20"/>
      <c r="BZ70" s="10"/>
      <c r="CA70" s="10">
        <v>1</v>
      </c>
      <c r="CB70" s="10"/>
      <c r="CC70" s="10">
        <v>1</v>
      </c>
      <c r="CD70" s="20"/>
      <c r="CE70" s="20"/>
      <c r="CF70" s="20"/>
      <c r="CG70" s="22"/>
      <c r="CH70" s="22"/>
      <c r="CI70" s="22"/>
      <c r="CJ70" s="22"/>
      <c r="CK70" s="20"/>
      <c r="CL70" s="20"/>
      <c r="CM70" s="20"/>
      <c r="CN70" s="22"/>
      <c r="CO70" s="22"/>
      <c r="CP70" s="22"/>
      <c r="CQ70" s="22"/>
      <c r="CR70" s="20"/>
      <c r="CS70" s="20"/>
      <c r="CT70" s="20"/>
      <c r="CU70" s="22"/>
      <c r="CV70" s="22"/>
      <c r="CW70" s="22"/>
      <c r="CX70" s="22"/>
      <c r="CY70" s="20"/>
      <c r="CZ70" s="20"/>
      <c r="DA70" s="20"/>
      <c r="DB70" s="22"/>
      <c r="DC70" s="22"/>
      <c r="DD70" s="22"/>
      <c r="DE70" s="22"/>
      <c r="DF70" s="20"/>
    </row>
    <row r="71" spans="1:110" x14ac:dyDescent="0.2">
      <c r="BT71" s="10"/>
      <c r="BV71" s="10"/>
    </row>
    <row r="72" spans="1:110" x14ac:dyDescent="0.2">
      <c r="B72" t="s">
        <v>27</v>
      </c>
      <c r="C72" t="s">
        <v>93</v>
      </c>
      <c r="D72" s="19">
        <v>45327</v>
      </c>
      <c r="E72" s="9">
        <v>5</v>
      </c>
      <c r="G72" s="10">
        <f>+SUM(G73:G84)</f>
        <v>0.99960000000000016</v>
      </c>
      <c r="I72" s="12">
        <f>+SUM(I73:I80)</f>
        <v>0</v>
      </c>
      <c r="J72" s="11">
        <f>+SUMPRODUCT(G73:G84,J73:J84)</f>
        <v>0</v>
      </c>
      <c r="K72" s="11">
        <f>+SUMPRODUCT(G73:G84,K73:K84)</f>
        <v>0</v>
      </c>
      <c r="L72" s="9"/>
      <c r="N72" s="12">
        <f>+SUM(N73:N80)</f>
        <v>0</v>
      </c>
      <c r="U72" s="12">
        <f>+SUM(U73:U80)</f>
        <v>0</v>
      </c>
      <c r="AB72" s="12">
        <f>+SUM(AB73:AB80)</f>
        <v>0</v>
      </c>
      <c r="AI72" s="12">
        <f>+SUM(AI73:AI80)</f>
        <v>0</v>
      </c>
      <c r="AP72" s="12">
        <f>+SUM(AP73:AP80)</f>
        <v>0</v>
      </c>
      <c r="AW72" s="12">
        <f>+SUM(AW73:AW80)</f>
        <v>0</v>
      </c>
      <c r="BD72" s="12">
        <f>+SUM(BD73:BD80)</f>
        <v>0</v>
      </c>
      <c r="BK72" s="12">
        <f>+SUM(BK73:BK80)</f>
        <v>0</v>
      </c>
      <c r="BR72" s="12">
        <f>+SUM(BR73:BR80)</f>
        <v>0</v>
      </c>
      <c r="BT72" s="10"/>
      <c r="BV72" s="10"/>
      <c r="BY72" s="12">
        <f>+SUM(BY73:BY80)</f>
        <v>0</v>
      </c>
      <c r="CF72" s="12">
        <f>+SUM(CF73:CF80)</f>
        <v>0</v>
      </c>
      <c r="CM72" s="12">
        <f>+SUM(CM73:CM80)</f>
        <v>0</v>
      </c>
      <c r="CT72" s="12">
        <f>+SUM(CT73:CT80)</f>
        <v>0</v>
      </c>
    </row>
    <row r="73" spans="1:110" outlineLevel="1" x14ac:dyDescent="0.2">
      <c r="B73" t="s">
        <v>28</v>
      </c>
      <c r="C73" s="20" t="s">
        <v>176</v>
      </c>
      <c r="E73" s="9"/>
      <c r="F73" t="s">
        <v>147</v>
      </c>
      <c r="G73" s="10">
        <v>8.3299999999999999E-2</v>
      </c>
      <c r="I73" s="9">
        <f t="shared" ref="I73:I84" si="5">+SUMIF($N$3:$ZZ$3,I$3,$N73:$ZZ73)</f>
        <v>0</v>
      </c>
      <c r="J73" s="11" cm="1">
        <f t="array" ref="J73">MAX(IF($N$3:$EH$3=$J$3,N73:EH73))</f>
        <v>0</v>
      </c>
      <c r="K73" s="11" cm="1">
        <f t="array" ref="K73">MAX(IF($N$3:$EH$3=$J$3,N73:EH73))</f>
        <v>0</v>
      </c>
      <c r="L73" s="9"/>
      <c r="O73" s="10"/>
      <c r="P73" s="10"/>
      <c r="Q73" s="10"/>
      <c r="R73" s="10"/>
      <c r="V73" s="10"/>
      <c r="W73" s="10"/>
      <c r="X73" s="10"/>
      <c r="Y73" s="10"/>
      <c r="AC73" s="10"/>
      <c r="AD73" s="10"/>
      <c r="AE73" s="10"/>
      <c r="AF73" s="10"/>
      <c r="AJ73" s="10"/>
      <c r="AK73" s="10">
        <v>0.5</v>
      </c>
      <c r="AL73" s="10"/>
      <c r="AM73" s="10">
        <v>0.5</v>
      </c>
      <c r="AQ73" s="10"/>
      <c r="AR73" s="10">
        <v>0.8</v>
      </c>
      <c r="AS73" s="10"/>
      <c r="AT73" s="10">
        <v>0.8</v>
      </c>
      <c r="AX73" s="10"/>
      <c r="AY73" s="10">
        <v>0.8</v>
      </c>
      <c r="AZ73" s="10"/>
      <c r="BA73" s="10">
        <v>0.8</v>
      </c>
      <c r="BE73" s="10"/>
      <c r="BF73" s="10">
        <v>1</v>
      </c>
      <c r="BG73" s="10"/>
      <c r="BH73" s="10">
        <v>1</v>
      </c>
      <c r="BL73" s="10"/>
      <c r="BM73" s="10">
        <v>1</v>
      </c>
      <c r="BN73" s="10"/>
      <c r="BO73" s="10">
        <v>1</v>
      </c>
      <c r="BS73" s="10"/>
      <c r="BT73" s="10">
        <v>1</v>
      </c>
      <c r="BU73" s="10"/>
      <c r="BV73" s="10">
        <v>1</v>
      </c>
      <c r="BZ73" s="10"/>
      <c r="CA73" s="10">
        <v>1</v>
      </c>
      <c r="CB73" s="10"/>
      <c r="CC73" s="10">
        <v>1</v>
      </c>
      <c r="CG73" s="10"/>
      <c r="CH73" s="10"/>
      <c r="CI73" s="10"/>
      <c r="CJ73" s="10"/>
      <c r="CN73" s="10"/>
      <c r="CO73" s="10"/>
      <c r="CP73" s="10"/>
      <c r="CQ73" s="10"/>
      <c r="CU73" s="10"/>
      <c r="CV73" s="10"/>
      <c r="CW73" s="10"/>
      <c r="CX73" s="10"/>
      <c r="DB73" s="10"/>
      <c r="DC73" s="10"/>
      <c r="DD73" s="10"/>
      <c r="DE73" s="10"/>
    </row>
    <row r="74" spans="1:110" outlineLevel="1" x14ac:dyDescent="0.2">
      <c r="B74" t="s">
        <v>28</v>
      </c>
      <c r="C74" t="s">
        <v>177</v>
      </c>
      <c r="E74" s="9"/>
      <c r="F74" t="s">
        <v>153</v>
      </c>
      <c r="G74" s="10">
        <v>8.3299999999999999E-2</v>
      </c>
      <c r="I74" s="9">
        <f t="shared" si="5"/>
        <v>0</v>
      </c>
      <c r="J74" s="11" cm="1">
        <f t="array" ref="J74">MAX(IF($N$3:$EH$3=$J$3,N74:EH74))</f>
        <v>0</v>
      </c>
      <c r="K74" s="11" cm="1">
        <f t="array" ref="K74">MAX(IF($N$3:$EH$3=$J$3,N74:EH74))</f>
        <v>0</v>
      </c>
      <c r="L74" s="9"/>
      <c r="O74" s="10"/>
      <c r="P74" s="10"/>
      <c r="Q74" s="10"/>
      <c r="R74" s="10"/>
      <c r="V74" s="10"/>
      <c r="W74" s="10"/>
      <c r="X74" s="10"/>
      <c r="Y74" s="10"/>
      <c r="AC74" s="10"/>
      <c r="AD74" s="10"/>
      <c r="AE74" s="10"/>
      <c r="AF74" s="10"/>
      <c r="AJ74" s="10"/>
      <c r="AK74" s="10">
        <v>0.5</v>
      </c>
      <c r="AL74" s="10"/>
      <c r="AM74" s="10">
        <v>0.5</v>
      </c>
      <c r="AQ74" s="10"/>
      <c r="AR74" s="10">
        <v>0.8</v>
      </c>
      <c r="AS74" s="10"/>
      <c r="AT74" s="10">
        <v>0.8</v>
      </c>
      <c r="AX74" s="10"/>
      <c r="AY74" s="10">
        <v>0.8</v>
      </c>
      <c r="AZ74" s="10"/>
      <c r="BA74" s="10">
        <v>0.8</v>
      </c>
      <c r="BE74" s="10"/>
      <c r="BF74" s="10">
        <v>1</v>
      </c>
      <c r="BG74" s="10"/>
      <c r="BH74" s="10">
        <v>1</v>
      </c>
      <c r="BL74" s="10"/>
      <c r="BM74" s="10">
        <v>1</v>
      </c>
      <c r="BN74" s="10"/>
      <c r="BO74" s="10">
        <v>1</v>
      </c>
      <c r="BS74" s="10"/>
      <c r="BT74" s="10">
        <v>1</v>
      </c>
      <c r="BU74" s="10"/>
      <c r="BV74" s="10">
        <v>1</v>
      </c>
      <c r="BZ74" s="10"/>
      <c r="CA74" s="10">
        <v>1</v>
      </c>
      <c r="CB74" s="10"/>
      <c r="CC74" s="10">
        <v>1</v>
      </c>
      <c r="CG74" s="10"/>
      <c r="CH74" s="10"/>
      <c r="CI74" s="10"/>
      <c r="CJ74" s="10"/>
      <c r="CN74" s="10"/>
      <c r="CO74" s="10"/>
      <c r="CP74" s="10"/>
      <c r="CQ74" s="10"/>
      <c r="CU74" s="10"/>
      <c r="CV74" s="10"/>
      <c r="CW74" s="10"/>
      <c r="CX74" s="10"/>
      <c r="DB74" s="10"/>
      <c r="DC74" s="10"/>
      <c r="DD74" s="10"/>
      <c r="DE74" s="10"/>
    </row>
    <row r="75" spans="1:110" outlineLevel="1" x14ac:dyDescent="0.2">
      <c r="B75" t="s">
        <v>28</v>
      </c>
      <c r="C75" s="20" t="s">
        <v>176</v>
      </c>
      <c r="E75" s="9"/>
      <c r="F75" t="s">
        <v>148</v>
      </c>
      <c r="G75" s="10">
        <v>8.3299999999999999E-2</v>
      </c>
      <c r="I75" s="9">
        <f t="shared" si="5"/>
        <v>0</v>
      </c>
      <c r="J75" s="11" cm="1">
        <f t="array" ref="J75">MAX(IF($N$3:$EH$3=$J$3,N75:EH75))</f>
        <v>0</v>
      </c>
      <c r="K75" s="11" cm="1">
        <f t="array" ref="K75">MAX(IF($N$3:$EH$3=$J$3,N75:EH75))</f>
        <v>0</v>
      </c>
      <c r="L75" s="9"/>
      <c r="O75" s="10"/>
      <c r="P75" s="10"/>
      <c r="Q75" s="10"/>
      <c r="R75" s="10"/>
      <c r="V75" s="10"/>
      <c r="W75" s="10"/>
      <c r="X75" s="10"/>
      <c r="Y75" s="10"/>
      <c r="AC75" s="10"/>
      <c r="AD75" s="10"/>
      <c r="AE75" s="10"/>
      <c r="AF75" s="10"/>
      <c r="AJ75" s="10"/>
      <c r="AK75" s="10">
        <v>0.5</v>
      </c>
      <c r="AL75" s="10"/>
      <c r="AM75" s="10">
        <v>0.5</v>
      </c>
      <c r="AQ75" s="10"/>
      <c r="AR75" s="10">
        <v>0.8</v>
      </c>
      <c r="AS75" s="10"/>
      <c r="AT75" s="10">
        <v>0.8</v>
      </c>
      <c r="AX75" s="10"/>
      <c r="AY75" s="10">
        <v>0.8</v>
      </c>
      <c r="AZ75" s="10"/>
      <c r="BA75" s="10">
        <v>0.8</v>
      </c>
      <c r="BE75" s="10"/>
      <c r="BF75" s="10">
        <v>1</v>
      </c>
      <c r="BG75" s="10"/>
      <c r="BH75" s="10">
        <v>1</v>
      </c>
      <c r="BL75" s="10"/>
      <c r="BM75" s="10">
        <v>1</v>
      </c>
      <c r="BN75" s="10"/>
      <c r="BO75" s="10">
        <v>1</v>
      </c>
      <c r="BS75" s="10"/>
      <c r="BT75" s="10">
        <v>1</v>
      </c>
      <c r="BU75" s="10"/>
      <c r="BV75" s="10">
        <v>1</v>
      </c>
      <c r="BZ75" s="10"/>
      <c r="CA75" s="10">
        <v>1</v>
      </c>
      <c r="CB75" s="10"/>
      <c r="CC75" s="10">
        <v>1</v>
      </c>
      <c r="CG75" s="10"/>
      <c r="CH75" s="10"/>
      <c r="CI75" s="10"/>
      <c r="CJ75" s="10"/>
      <c r="CN75" s="10"/>
      <c r="CO75" s="10"/>
      <c r="CP75" s="10"/>
      <c r="CQ75" s="10"/>
      <c r="CU75" s="10"/>
      <c r="CV75" s="10"/>
      <c r="CW75" s="10"/>
      <c r="CX75" s="10"/>
      <c r="DB75" s="10"/>
      <c r="DC75" s="10"/>
      <c r="DD75" s="10"/>
      <c r="DE75" s="10"/>
    </row>
    <row r="76" spans="1:110" outlineLevel="1" x14ac:dyDescent="0.2">
      <c r="B76" t="s">
        <v>28</v>
      </c>
      <c r="C76" t="s">
        <v>177</v>
      </c>
      <c r="E76" s="9"/>
      <c r="F76" t="s">
        <v>154</v>
      </c>
      <c r="G76" s="10">
        <v>8.3299999999999999E-2</v>
      </c>
      <c r="I76" s="9">
        <f t="shared" si="5"/>
        <v>0</v>
      </c>
      <c r="J76" s="11" cm="1">
        <f t="array" ref="J76">MAX(IF($N$3:$EH$3=$J$3,N76:EH76))</f>
        <v>0</v>
      </c>
      <c r="K76" s="11" cm="1">
        <f t="array" ref="K76">MAX(IF($N$3:$EH$3=$J$3,N76:EH76))</f>
        <v>0</v>
      </c>
      <c r="L76" s="9"/>
      <c r="O76" s="10"/>
      <c r="P76" s="10"/>
      <c r="Q76" s="10"/>
      <c r="R76" s="10"/>
      <c r="V76" s="10"/>
      <c r="W76" s="10"/>
      <c r="X76" s="10"/>
      <c r="Y76" s="10"/>
      <c r="AC76" s="10"/>
      <c r="AD76" s="10"/>
      <c r="AE76" s="10"/>
      <c r="AF76" s="10"/>
      <c r="AJ76" s="10"/>
      <c r="AK76" s="10">
        <v>0.5</v>
      </c>
      <c r="AL76" s="10"/>
      <c r="AM76" s="10">
        <v>0.5</v>
      </c>
      <c r="AQ76" s="10"/>
      <c r="AR76" s="10">
        <v>0.5</v>
      </c>
      <c r="AS76" s="10"/>
      <c r="AT76" s="10">
        <v>0.5</v>
      </c>
      <c r="AX76" s="10"/>
      <c r="AY76" s="10">
        <v>0.8</v>
      </c>
      <c r="AZ76" s="10"/>
      <c r="BA76" s="10">
        <v>0.8</v>
      </c>
      <c r="BE76" s="10"/>
      <c r="BF76" s="10">
        <v>0.8</v>
      </c>
      <c r="BG76" s="10"/>
      <c r="BH76" s="10">
        <v>0.8</v>
      </c>
      <c r="BL76" s="10"/>
      <c r="BM76" s="10">
        <v>1</v>
      </c>
      <c r="BN76" s="10"/>
      <c r="BO76" s="10">
        <v>1</v>
      </c>
      <c r="BS76" s="10"/>
      <c r="BT76" s="10">
        <v>1</v>
      </c>
      <c r="BU76" s="10"/>
      <c r="BV76" s="10">
        <v>1</v>
      </c>
      <c r="BZ76" s="10"/>
      <c r="CA76" s="10">
        <v>1</v>
      </c>
      <c r="CB76" s="10"/>
      <c r="CC76" s="10">
        <v>1</v>
      </c>
      <c r="CG76" s="10"/>
      <c r="CH76" s="10"/>
      <c r="CI76" s="10"/>
      <c r="CJ76" s="10"/>
      <c r="CN76" s="10"/>
      <c r="CO76" s="10"/>
      <c r="CP76" s="10"/>
      <c r="CQ76" s="10"/>
      <c r="CU76" s="10"/>
      <c r="CV76" s="10"/>
      <c r="CW76" s="10"/>
      <c r="CX76" s="10"/>
      <c r="DB76" s="10"/>
      <c r="DC76" s="10"/>
      <c r="DD76" s="10"/>
      <c r="DE76" s="10"/>
    </row>
    <row r="77" spans="1:110" outlineLevel="1" x14ac:dyDescent="0.2">
      <c r="B77" t="s">
        <v>28</v>
      </c>
      <c r="C77" s="20" t="s">
        <v>176</v>
      </c>
      <c r="E77" s="9"/>
      <c r="F77" t="s">
        <v>149</v>
      </c>
      <c r="G77" s="10">
        <v>8.3299999999999999E-2</v>
      </c>
      <c r="I77" s="9">
        <f t="shared" si="5"/>
        <v>0</v>
      </c>
      <c r="J77" s="11" cm="1">
        <f t="array" ref="J77">MAX(IF($N$3:$EH$3=$J$3,N77:EH77))</f>
        <v>0</v>
      </c>
      <c r="K77" s="11" cm="1">
        <f t="array" ref="K77">MAX(IF($N$3:$EH$3=$J$3,N77:EH77))</f>
        <v>0</v>
      </c>
      <c r="L77" s="9"/>
      <c r="O77" s="10"/>
      <c r="P77" s="10"/>
      <c r="Q77" s="10"/>
      <c r="R77" s="10"/>
      <c r="V77" s="10"/>
      <c r="W77" s="10"/>
      <c r="X77" s="10"/>
      <c r="Y77" s="10"/>
      <c r="AC77" s="10"/>
      <c r="AD77" s="10"/>
      <c r="AE77" s="10"/>
      <c r="AF77" s="10"/>
      <c r="AJ77" s="10"/>
      <c r="AK77" s="10">
        <v>0.5</v>
      </c>
      <c r="AL77" s="10"/>
      <c r="AM77" s="10">
        <v>0.5</v>
      </c>
      <c r="AQ77" s="10"/>
      <c r="AR77" s="10">
        <v>0.5</v>
      </c>
      <c r="AS77" s="10"/>
      <c r="AT77" s="10">
        <v>0.5</v>
      </c>
      <c r="AX77" s="10"/>
      <c r="AY77" s="10">
        <v>0.8</v>
      </c>
      <c r="AZ77" s="10"/>
      <c r="BA77" s="10">
        <v>0.8</v>
      </c>
      <c r="BE77" s="10"/>
      <c r="BF77" s="10">
        <v>0.8</v>
      </c>
      <c r="BG77" s="10"/>
      <c r="BH77" s="10">
        <v>0.8</v>
      </c>
      <c r="BL77" s="10"/>
      <c r="BM77" s="10">
        <v>1</v>
      </c>
      <c r="BN77" s="10"/>
      <c r="BO77" s="10">
        <v>1</v>
      </c>
      <c r="BS77" s="10"/>
      <c r="BT77" s="10">
        <v>1</v>
      </c>
      <c r="BU77" s="10"/>
      <c r="BV77" s="10">
        <v>1</v>
      </c>
      <c r="BZ77" s="10"/>
      <c r="CA77" s="10">
        <v>1</v>
      </c>
      <c r="CB77" s="10"/>
      <c r="CC77" s="10">
        <v>1</v>
      </c>
      <c r="CG77" s="10"/>
      <c r="CH77" s="10"/>
      <c r="CI77" s="10"/>
      <c r="CJ77" s="10"/>
      <c r="CN77" s="10"/>
      <c r="CO77" s="10"/>
      <c r="CP77" s="10"/>
      <c r="CQ77" s="10"/>
      <c r="CU77" s="10"/>
      <c r="CV77" s="10"/>
      <c r="CW77" s="10"/>
      <c r="CX77" s="10"/>
      <c r="DB77" s="10"/>
      <c r="DC77" s="10"/>
      <c r="DD77" s="10"/>
      <c r="DE77" s="10"/>
    </row>
    <row r="78" spans="1:110" outlineLevel="1" x14ac:dyDescent="0.2">
      <c r="B78" t="s">
        <v>28</v>
      </c>
      <c r="C78" t="s">
        <v>177</v>
      </c>
      <c r="E78" s="9"/>
      <c r="F78" t="s">
        <v>155</v>
      </c>
      <c r="G78" s="10">
        <v>8.3299999999999999E-2</v>
      </c>
      <c r="I78" s="9">
        <f t="shared" si="5"/>
        <v>0</v>
      </c>
      <c r="J78" s="11" cm="1">
        <f t="array" ref="J78">MAX(IF($N$3:$EH$3=$J$3,N78:EH78))</f>
        <v>0</v>
      </c>
      <c r="K78" s="11" cm="1">
        <f t="array" ref="K78">MAX(IF($N$3:$EH$3=$J$3,N78:EH78))</f>
        <v>0</v>
      </c>
      <c r="L78" s="9"/>
      <c r="O78" s="10"/>
      <c r="P78" s="10"/>
      <c r="Q78" s="10"/>
      <c r="R78" s="10"/>
      <c r="V78" s="10"/>
      <c r="W78" s="10"/>
      <c r="X78" s="10"/>
      <c r="Y78" s="10"/>
      <c r="AC78" s="10"/>
      <c r="AD78" s="10"/>
      <c r="AE78" s="10"/>
      <c r="AF78" s="10"/>
      <c r="AJ78" s="10"/>
      <c r="AK78" s="10"/>
      <c r="AL78" s="10"/>
      <c r="AM78" s="10"/>
      <c r="AQ78" s="10"/>
      <c r="AR78" s="10">
        <v>0.5</v>
      </c>
      <c r="AS78" s="10"/>
      <c r="AT78" s="10">
        <v>0.5</v>
      </c>
      <c r="AX78" s="10"/>
      <c r="AY78" s="10">
        <v>0.5</v>
      </c>
      <c r="AZ78" s="10"/>
      <c r="BA78" s="10">
        <v>0.5</v>
      </c>
      <c r="BE78" s="10"/>
      <c r="BF78" s="10">
        <v>0.8</v>
      </c>
      <c r="BG78" s="10"/>
      <c r="BH78" s="10">
        <v>0.8</v>
      </c>
      <c r="BL78" s="10"/>
      <c r="BM78" s="10">
        <v>0.8</v>
      </c>
      <c r="BN78" s="10"/>
      <c r="BO78" s="10">
        <v>0.8</v>
      </c>
      <c r="BS78" s="10"/>
      <c r="BT78" s="10">
        <v>1</v>
      </c>
      <c r="BU78" s="10"/>
      <c r="BV78" s="10">
        <v>1</v>
      </c>
      <c r="BZ78" s="10"/>
      <c r="CA78" s="10">
        <v>1</v>
      </c>
      <c r="CB78" s="10"/>
      <c r="CC78" s="10">
        <v>1</v>
      </c>
      <c r="CG78" s="10"/>
      <c r="CH78" s="10"/>
      <c r="CI78" s="10"/>
      <c r="CJ78" s="10"/>
      <c r="CN78" s="10"/>
      <c r="CO78" s="10"/>
      <c r="CP78" s="10"/>
      <c r="CQ78" s="10"/>
      <c r="CU78" s="10"/>
      <c r="CV78" s="10"/>
      <c r="CW78" s="10"/>
      <c r="CX78" s="10"/>
      <c r="DB78" s="10"/>
      <c r="DC78" s="10"/>
      <c r="DD78" s="10"/>
      <c r="DE78" s="10"/>
    </row>
    <row r="79" spans="1:110" outlineLevel="1" x14ac:dyDescent="0.2">
      <c r="B79" t="s">
        <v>28</v>
      </c>
      <c r="C79" s="20" t="s">
        <v>176</v>
      </c>
      <c r="E79" s="9"/>
      <c r="F79" t="s">
        <v>150</v>
      </c>
      <c r="G79" s="10">
        <v>8.3299999999999999E-2</v>
      </c>
      <c r="I79" s="9">
        <f t="shared" si="5"/>
        <v>0</v>
      </c>
      <c r="J79" s="11" cm="1">
        <f t="array" ref="J79">MAX(IF($N$3:$EH$3=$J$3,N79:EH79))</f>
        <v>0</v>
      </c>
      <c r="K79" s="11" cm="1">
        <f t="array" ref="K79">MAX(IF($N$3:$EH$3=$J$3,N79:EH79))</f>
        <v>0</v>
      </c>
      <c r="L79" s="9"/>
      <c r="O79" s="10"/>
      <c r="P79" s="10"/>
      <c r="Q79" s="10"/>
      <c r="R79" s="10"/>
      <c r="V79" s="10"/>
      <c r="W79" s="10"/>
      <c r="X79" s="10"/>
      <c r="Y79" s="10"/>
      <c r="AC79" s="10"/>
      <c r="AD79" s="10"/>
      <c r="AE79" s="10"/>
      <c r="AF79" s="10"/>
      <c r="AJ79" s="10"/>
      <c r="AK79" s="10"/>
      <c r="AL79" s="10"/>
      <c r="AM79" s="10"/>
      <c r="AQ79" s="10"/>
      <c r="AR79" s="10">
        <v>0.5</v>
      </c>
      <c r="AS79" s="10"/>
      <c r="AT79" s="10">
        <v>0.5</v>
      </c>
      <c r="AX79" s="10"/>
      <c r="AY79" s="10">
        <v>0.5</v>
      </c>
      <c r="AZ79" s="10"/>
      <c r="BA79" s="10">
        <v>0.5</v>
      </c>
      <c r="BE79" s="10"/>
      <c r="BF79" s="10">
        <v>0.5</v>
      </c>
      <c r="BG79" s="10"/>
      <c r="BH79" s="10">
        <v>0.5</v>
      </c>
      <c r="BL79" s="10"/>
      <c r="BM79" s="10">
        <v>0.8</v>
      </c>
      <c r="BN79" s="10"/>
      <c r="BO79" s="10">
        <v>0.8</v>
      </c>
      <c r="BS79" s="10"/>
      <c r="BT79" s="10">
        <v>1</v>
      </c>
      <c r="BU79" s="10"/>
      <c r="BV79" s="10">
        <v>1</v>
      </c>
      <c r="BZ79" s="10"/>
      <c r="CA79" s="10">
        <v>1</v>
      </c>
      <c r="CB79" s="10"/>
      <c r="CC79" s="10">
        <v>1</v>
      </c>
      <c r="CG79" s="10"/>
      <c r="CH79" s="10"/>
      <c r="CI79" s="10"/>
      <c r="CJ79" s="10"/>
      <c r="CN79" s="10"/>
      <c r="CO79" s="10"/>
      <c r="CP79" s="10"/>
      <c r="CQ79" s="10"/>
      <c r="CU79" s="10"/>
      <c r="CV79" s="10"/>
      <c r="CW79" s="10"/>
      <c r="CX79" s="10"/>
      <c r="DB79" s="10"/>
      <c r="DC79" s="10"/>
      <c r="DD79" s="10"/>
      <c r="DE79" s="10"/>
    </row>
    <row r="80" spans="1:110" outlineLevel="1" x14ac:dyDescent="0.2">
      <c r="B80" t="s">
        <v>28</v>
      </c>
      <c r="C80" t="s">
        <v>177</v>
      </c>
      <c r="E80" s="9"/>
      <c r="F80" t="s">
        <v>156</v>
      </c>
      <c r="G80" s="10">
        <v>8.3299999999999999E-2</v>
      </c>
      <c r="I80" s="9">
        <f t="shared" si="5"/>
        <v>0</v>
      </c>
      <c r="J80" s="11" cm="1">
        <f t="array" ref="J80">MAX(IF($N$3:$EH$3=$J$3,N80:EH80))</f>
        <v>0</v>
      </c>
      <c r="K80" s="11" cm="1">
        <f t="array" ref="K80">MAX(IF($N$3:$EH$3=$J$3,N80:EH80))</f>
        <v>0</v>
      </c>
      <c r="L80" s="9"/>
      <c r="O80" s="10"/>
      <c r="P80" s="10"/>
      <c r="Q80" s="10"/>
      <c r="R80" s="10"/>
      <c r="V80" s="10"/>
      <c r="W80" s="10"/>
      <c r="X80" s="10"/>
      <c r="Y80" s="10"/>
      <c r="AC80" s="10"/>
      <c r="AD80" s="10"/>
      <c r="AE80" s="10"/>
      <c r="AF80" s="10"/>
      <c r="AJ80" s="10"/>
      <c r="AK80" s="10"/>
      <c r="AL80" s="10"/>
      <c r="AM80" s="10"/>
      <c r="AQ80" s="10"/>
      <c r="AR80" s="10"/>
      <c r="AS80" s="10"/>
      <c r="AT80" s="10"/>
      <c r="AX80" s="10"/>
      <c r="AY80" s="10">
        <v>0.5</v>
      </c>
      <c r="AZ80" s="10"/>
      <c r="BA80" s="10">
        <v>0.5</v>
      </c>
      <c r="BE80" s="10"/>
      <c r="BF80" s="10">
        <v>0.5</v>
      </c>
      <c r="BG80" s="10"/>
      <c r="BH80" s="10">
        <v>0.5</v>
      </c>
      <c r="BL80" s="10"/>
      <c r="BM80" s="10">
        <v>0.8</v>
      </c>
      <c r="BN80" s="10"/>
      <c r="BO80" s="10">
        <v>0.8</v>
      </c>
      <c r="BS80" s="10"/>
      <c r="BT80" s="10">
        <v>0.8</v>
      </c>
      <c r="BU80" s="10"/>
      <c r="BV80" s="10">
        <v>0.8</v>
      </c>
      <c r="BZ80" s="10"/>
      <c r="CA80" s="10">
        <v>1</v>
      </c>
      <c r="CB80" s="10"/>
      <c r="CC80" s="10">
        <v>1</v>
      </c>
      <c r="CG80" s="10"/>
      <c r="CH80" s="10"/>
      <c r="CI80" s="10"/>
      <c r="CJ80" s="10"/>
      <c r="CN80" s="10"/>
      <c r="CO80" s="10"/>
      <c r="CP80" s="10"/>
      <c r="CQ80" s="10"/>
      <c r="CU80" s="10"/>
      <c r="CV80" s="10"/>
      <c r="CW80" s="10"/>
      <c r="CX80" s="10"/>
      <c r="DB80" s="10"/>
      <c r="DC80" s="10"/>
      <c r="DD80" s="10"/>
      <c r="DE80" s="10"/>
    </row>
    <row r="81" spans="2:109" outlineLevel="1" x14ac:dyDescent="0.2">
      <c r="B81" t="s">
        <v>28</v>
      </c>
      <c r="C81" s="20" t="s">
        <v>176</v>
      </c>
      <c r="E81" s="9"/>
      <c r="F81" t="s">
        <v>151</v>
      </c>
      <c r="G81" s="10">
        <v>8.3299999999999999E-2</v>
      </c>
      <c r="I81" s="9">
        <f t="shared" si="5"/>
        <v>0</v>
      </c>
      <c r="J81" s="11" cm="1">
        <f t="array" ref="J81">MAX(IF($N$3:$EH$3=$J$3,N81:EH81))</f>
        <v>0</v>
      </c>
      <c r="K81" s="11" cm="1">
        <f t="array" ref="K81">MAX(IF($N$3:$EH$3=$J$3,N81:EH81))</f>
        <v>0</v>
      </c>
      <c r="L81" s="9"/>
      <c r="O81" s="10"/>
      <c r="P81" s="10"/>
      <c r="Q81" s="10"/>
      <c r="R81" s="10"/>
      <c r="V81" s="10"/>
      <c r="W81" s="10"/>
      <c r="X81" s="10"/>
      <c r="Y81" s="10"/>
      <c r="AC81" s="10"/>
      <c r="AD81" s="10"/>
      <c r="AE81" s="10"/>
      <c r="AF81" s="10"/>
      <c r="AJ81" s="10"/>
      <c r="AK81" s="10"/>
      <c r="AL81" s="10"/>
      <c r="AM81" s="10"/>
      <c r="AQ81" s="10"/>
      <c r="AR81" s="10"/>
      <c r="AS81" s="10"/>
      <c r="AT81" s="10"/>
      <c r="AX81" s="10"/>
      <c r="AY81" s="10">
        <v>0.5</v>
      </c>
      <c r="AZ81" s="10"/>
      <c r="BA81" s="10">
        <v>0.5</v>
      </c>
      <c r="BE81" s="10"/>
      <c r="BF81" s="10">
        <v>0.5</v>
      </c>
      <c r="BG81" s="10"/>
      <c r="BH81" s="10">
        <v>0.5</v>
      </c>
      <c r="BL81" s="10"/>
      <c r="BM81" s="10">
        <v>0.8</v>
      </c>
      <c r="BN81" s="10"/>
      <c r="BO81" s="10">
        <v>0.8</v>
      </c>
      <c r="BS81" s="10"/>
      <c r="BT81" s="10">
        <v>0.8</v>
      </c>
      <c r="BU81" s="10"/>
      <c r="BV81" s="10">
        <v>0.8</v>
      </c>
      <c r="BZ81" s="10"/>
      <c r="CA81" s="10">
        <v>1</v>
      </c>
      <c r="CB81" s="10"/>
      <c r="CC81" s="10">
        <v>1</v>
      </c>
      <c r="CG81" s="10"/>
      <c r="CH81" s="10"/>
      <c r="CI81" s="10"/>
      <c r="CJ81" s="10"/>
      <c r="CN81" s="10"/>
      <c r="CO81" s="10"/>
      <c r="CP81" s="10"/>
      <c r="CQ81" s="10"/>
      <c r="CU81" s="10"/>
      <c r="CV81" s="10"/>
      <c r="CW81" s="10"/>
      <c r="CX81" s="10"/>
      <c r="DB81" s="10"/>
      <c r="DC81" s="10"/>
      <c r="DD81" s="10"/>
      <c r="DE81" s="10"/>
    </row>
    <row r="82" spans="2:109" outlineLevel="1" x14ac:dyDescent="0.2">
      <c r="B82" t="s">
        <v>28</v>
      </c>
      <c r="C82" t="s">
        <v>177</v>
      </c>
      <c r="E82" s="9"/>
      <c r="F82" t="s">
        <v>157</v>
      </c>
      <c r="G82" s="10">
        <v>8.3299999999999999E-2</v>
      </c>
      <c r="I82" s="9">
        <f t="shared" si="5"/>
        <v>0</v>
      </c>
      <c r="J82" s="11" cm="1">
        <f t="array" ref="J82">MAX(IF($N$3:$EH$3=$J$3,N82:EH82))</f>
        <v>0</v>
      </c>
      <c r="K82" s="11" cm="1">
        <f t="array" ref="K82">MAX(IF($N$3:$EH$3=$J$3,N82:EH82))</f>
        <v>0</v>
      </c>
      <c r="L82" s="9"/>
      <c r="O82" s="10"/>
      <c r="P82" s="10"/>
      <c r="Q82" s="10"/>
      <c r="R82" s="10"/>
      <c r="V82" s="10"/>
      <c r="W82" s="10"/>
      <c r="X82" s="10"/>
      <c r="Y82" s="10"/>
      <c r="AC82" s="10"/>
      <c r="AD82" s="10"/>
      <c r="AE82" s="10"/>
      <c r="AF82" s="10"/>
      <c r="AJ82" s="10"/>
      <c r="AK82" s="10"/>
      <c r="AL82" s="10"/>
      <c r="AM82" s="10"/>
      <c r="AQ82" s="10"/>
      <c r="AR82" s="10"/>
      <c r="AS82" s="10"/>
      <c r="AT82" s="10"/>
      <c r="AX82" s="10"/>
      <c r="AY82" s="10">
        <v>0.5</v>
      </c>
      <c r="AZ82" s="10"/>
      <c r="BA82" s="10">
        <v>0.5</v>
      </c>
      <c r="BE82" s="10"/>
      <c r="BF82" s="10">
        <v>0.5</v>
      </c>
      <c r="BG82" s="10"/>
      <c r="BH82" s="10">
        <v>0.5</v>
      </c>
      <c r="BL82" s="10"/>
      <c r="BM82" s="10">
        <v>0.5</v>
      </c>
      <c r="BN82" s="10"/>
      <c r="BO82" s="10">
        <v>0.5</v>
      </c>
      <c r="BS82" s="10"/>
      <c r="BT82" s="10">
        <v>0.8</v>
      </c>
      <c r="BU82" s="10"/>
      <c r="BV82" s="10">
        <v>0.8</v>
      </c>
      <c r="BZ82" s="10"/>
      <c r="CA82" s="10">
        <v>1</v>
      </c>
      <c r="CB82" s="10"/>
      <c r="CC82" s="10">
        <v>1</v>
      </c>
      <c r="CG82" s="10"/>
      <c r="CH82" s="10"/>
      <c r="CI82" s="10"/>
      <c r="CJ82" s="10"/>
      <c r="CN82" s="10"/>
      <c r="CO82" s="10"/>
      <c r="CP82" s="10"/>
      <c r="CQ82" s="10"/>
      <c r="CU82" s="10"/>
      <c r="CV82" s="10"/>
      <c r="CW82" s="10"/>
      <c r="CX82" s="10"/>
      <c r="DB82" s="10"/>
      <c r="DC82" s="10"/>
      <c r="DD82" s="10"/>
      <c r="DE82" s="10"/>
    </row>
    <row r="83" spans="2:109" outlineLevel="1" x14ac:dyDescent="0.2">
      <c r="B83" t="s">
        <v>28</v>
      </c>
      <c r="C83" s="20" t="s">
        <v>176</v>
      </c>
      <c r="E83" s="9"/>
      <c r="F83" t="s">
        <v>152</v>
      </c>
      <c r="G83" s="10">
        <v>8.3299999999999999E-2</v>
      </c>
      <c r="I83" s="9">
        <f t="shared" si="5"/>
        <v>0</v>
      </c>
      <c r="J83" s="11" cm="1">
        <f t="array" ref="J83">MAX(IF($N$3:$EH$3=$J$3,N83:EH83))</f>
        <v>0</v>
      </c>
      <c r="K83" s="11" cm="1">
        <f t="array" ref="K83">MAX(IF($N$3:$EH$3=$J$3,N83:EH83))</f>
        <v>0</v>
      </c>
      <c r="L83" s="9"/>
      <c r="O83" s="10"/>
      <c r="P83" s="10"/>
      <c r="Q83" s="10"/>
      <c r="R83" s="10"/>
      <c r="V83" s="10"/>
      <c r="W83" s="10"/>
      <c r="X83" s="10"/>
      <c r="Y83" s="10"/>
      <c r="AC83" s="10"/>
      <c r="AD83" s="10"/>
      <c r="AE83" s="10"/>
      <c r="AF83" s="10"/>
      <c r="AJ83" s="10"/>
      <c r="AK83" s="10"/>
      <c r="AL83" s="10"/>
      <c r="AM83" s="10"/>
      <c r="AQ83" s="10"/>
      <c r="AR83" s="10"/>
      <c r="AS83" s="10"/>
      <c r="AT83" s="10"/>
      <c r="AX83" s="10"/>
      <c r="AY83" s="10"/>
      <c r="AZ83" s="10"/>
      <c r="BA83" s="10"/>
      <c r="BE83" s="10"/>
      <c r="BF83" s="10">
        <v>0.5</v>
      </c>
      <c r="BG83" s="10"/>
      <c r="BH83" s="10">
        <v>0.5</v>
      </c>
      <c r="BL83" s="10"/>
      <c r="BM83" s="10">
        <v>0.5</v>
      </c>
      <c r="BN83" s="10"/>
      <c r="BO83" s="10">
        <v>0.5</v>
      </c>
      <c r="BS83" s="10"/>
      <c r="BT83" s="10">
        <v>0.8</v>
      </c>
      <c r="BU83" s="10"/>
      <c r="BV83" s="10">
        <v>0.8</v>
      </c>
      <c r="BZ83" s="10"/>
      <c r="CA83" s="10">
        <v>1</v>
      </c>
      <c r="CB83" s="10"/>
      <c r="CC83" s="10">
        <v>1</v>
      </c>
      <c r="CG83" s="10"/>
      <c r="CH83" s="10"/>
      <c r="CI83" s="10"/>
      <c r="CJ83" s="10"/>
      <c r="CN83" s="10"/>
      <c r="CO83" s="10"/>
      <c r="CP83" s="10"/>
      <c r="CQ83" s="10"/>
      <c r="CU83" s="10"/>
      <c r="CV83" s="10"/>
      <c r="CW83" s="10"/>
      <c r="CX83" s="10"/>
      <c r="DB83" s="10"/>
      <c r="DC83" s="10"/>
      <c r="DD83" s="10"/>
      <c r="DE83" s="10"/>
    </row>
    <row r="84" spans="2:109" outlineLevel="1" x14ac:dyDescent="0.2">
      <c r="B84" t="s">
        <v>28</v>
      </c>
      <c r="C84" t="s">
        <v>177</v>
      </c>
      <c r="E84" s="9"/>
      <c r="F84" t="s">
        <v>158</v>
      </c>
      <c r="G84" s="10">
        <v>8.3299999999999999E-2</v>
      </c>
      <c r="I84" s="9">
        <f t="shared" si="5"/>
        <v>0</v>
      </c>
      <c r="J84" s="11" cm="1">
        <f t="array" ref="J84">MAX(IF($N$3:$EH$3=$J$3,N84:EH84))</f>
        <v>0</v>
      </c>
      <c r="K84" s="11" cm="1">
        <f t="array" ref="K84">MAX(IF($N$3:$EH$3=$J$3,N84:EH84))</f>
        <v>0</v>
      </c>
      <c r="L84" s="9"/>
      <c r="O84" s="10"/>
      <c r="P84" s="10"/>
      <c r="Q84" s="10"/>
      <c r="R84" s="10"/>
      <c r="V84" s="10"/>
      <c r="W84" s="10"/>
      <c r="X84" s="10"/>
      <c r="Y84" s="10"/>
      <c r="AC84" s="10"/>
      <c r="AD84" s="10"/>
      <c r="AE84" s="10"/>
      <c r="AF84" s="10"/>
      <c r="AJ84" s="10"/>
      <c r="AK84" s="10"/>
      <c r="AL84" s="10"/>
      <c r="AM84" s="10"/>
      <c r="AQ84" s="10"/>
      <c r="AR84" s="10"/>
      <c r="AS84" s="10"/>
      <c r="AT84" s="10"/>
      <c r="AX84" s="10"/>
      <c r="AY84" s="10"/>
      <c r="AZ84" s="10"/>
      <c r="BA84" s="10"/>
      <c r="BE84" s="10"/>
      <c r="BF84" s="10">
        <v>0.5</v>
      </c>
      <c r="BG84" s="10"/>
      <c r="BH84" s="10">
        <v>0.5</v>
      </c>
      <c r="BL84" s="10"/>
      <c r="BM84" s="10">
        <v>0.5</v>
      </c>
      <c r="BN84" s="10"/>
      <c r="BO84" s="10">
        <v>0.5</v>
      </c>
      <c r="BS84" s="10"/>
      <c r="BT84" s="10">
        <v>0.8</v>
      </c>
      <c r="BU84" s="10"/>
      <c r="BV84" s="10">
        <v>0.8</v>
      </c>
      <c r="BZ84" s="10"/>
      <c r="CA84" s="10">
        <v>1</v>
      </c>
      <c r="CB84" s="10"/>
      <c r="CC84" s="10">
        <v>1</v>
      </c>
      <c r="CG84" s="10"/>
      <c r="CH84" s="10"/>
      <c r="CI84" s="10"/>
      <c r="CJ84" s="10"/>
      <c r="CN84" s="10"/>
      <c r="CO84" s="10"/>
      <c r="CP84" s="10"/>
      <c r="CQ84" s="10"/>
      <c r="CU84" s="10"/>
      <c r="CV84" s="10"/>
      <c r="CW84" s="10"/>
      <c r="CX84" s="10"/>
      <c r="DB84" s="10"/>
      <c r="DC84" s="10"/>
      <c r="DD84" s="10"/>
      <c r="DE84" s="10"/>
    </row>
    <row r="85" spans="2:109" x14ac:dyDescent="0.2">
      <c r="BM85" s="10"/>
    </row>
  </sheetData>
  <mergeCells count="15">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phoneticPr fontId="5" type="noConversion"/>
  <conditionalFormatting sqref="J5:J11">
    <cfRule type="colorScale" priority="716">
      <colorScale>
        <cfvo type="percent" val="0"/>
        <cfvo type="percent" val="100"/>
        <color rgb="FFFF231B"/>
        <color rgb="FF10FF07"/>
      </colorScale>
    </cfRule>
  </conditionalFormatting>
  <conditionalFormatting sqref="J19">
    <cfRule type="colorScale" priority="264">
      <colorScale>
        <cfvo type="percent" val="0"/>
        <cfvo type="percent" val="100"/>
        <color rgb="FFFF231B"/>
        <color rgb="FF10FF07"/>
      </colorScale>
    </cfRule>
  </conditionalFormatting>
  <conditionalFormatting sqref="J20">
    <cfRule type="colorScale" priority="245">
      <colorScale>
        <cfvo type="percent" val="0"/>
        <cfvo type="percent" val="100"/>
        <color rgb="FFFF231B"/>
        <color rgb="FF10FF07"/>
      </colorScale>
    </cfRule>
  </conditionalFormatting>
  <conditionalFormatting sqref="J21:J25 J18">
    <cfRule type="colorScale" priority="872">
      <colorScale>
        <cfvo type="percent" val="0"/>
        <cfvo type="percent" val="100"/>
        <color rgb="FFFF231B"/>
        <color rgb="FF10FF07"/>
      </colorScale>
    </cfRule>
  </conditionalFormatting>
  <conditionalFormatting sqref="J28:J39">
    <cfRule type="colorScale" priority="937">
      <colorScale>
        <cfvo type="percent" val="0"/>
        <cfvo type="percent" val="100"/>
        <color rgb="FFFF231B"/>
        <color rgb="FF10FF07"/>
      </colorScale>
    </cfRule>
  </conditionalFormatting>
  <conditionalFormatting sqref="J42:J54">
    <cfRule type="colorScale" priority="809">
      <colorScale>
        <cfvo type="percent" val="0"/>
        <cfvo type="percent" val="100"/>
        <color rgb="FFFF231B"/>
        <color rgb="FF10FF07"/>
      </colorScale>
    </cfRule>
  </conditionalFormatting>
  <conditionalFormatting sqref="J57:J66">
    <cfRule type="colorScale" priority="869">
      <colorScale>
        <cfvo type="percent" val="0"/>
        <cfvo type="percent" val="100"/>
        <color rgb="FFFF231B"/>
        <color rgb="FF10FF07"/>
      </colorScale>
    </cfRule>
  </conditionalFormatting>
  <conditionalFormatting sqref="J73:J84">
    <cfRule type="colorScale" priority="1001">
      <colorScale>
        <cfvo type="percent" val="0"/>
        <cfvo type="percent" val="100"/>
        <color rgb="FFFF231B"/>
        <color rgb="FF10FF07"/>
      </colorScale>
    </cfRule>
  </conditionalFormatting>
  <conditionalFormatting sqref="J6:K6 J8:K10">
    <cfRule type="colorScale" priority="687">
      <colorScale>
        <cfvo type="percent" val="0"/>
        <cfvo type="percent" val="100"/>
        <color rgb="FFFF231B"/>
        <color rgb="FF10FF07"/>
      </colorScale>
    </cfRule>
  </conditionalFormatting>
  <conditionalFormatting sqref="J11:K11">
    <cfRule type="colorScale" priority="99">
      <colorScale>
        <cfvo type="percent" val="0"/>
        <cfvo type="percent" val="100"/>
        <color rgb="FFFF231B"/>
        <color rgb="FF10FF07"/>
      </colorScale>
    </cfRule>
  </conditionalFormatting>
  <conditionalFormatting sqref="J19:K19">
    <cfRule type="colorScale" priority="265">
      <colorScale>
        <cfvo type="percent" val="0"/>
        <cfvo type="percent" val="100"/>
        <color rgb="FFFF231B"/>
        <color rgb="FF10FF07"/>
      </colorScale>
    </cfRule>
  </conditionalFormatting>
  <conditionalFormatting sqref="J20:K20">
    <cfRule type="colorScale" priority="246">
      <colorScale>
        <cfvo type="percent" val="0"/>
        <cfvo type="percent" val="100"/>
        <color rgb="FFFF231B"/>
        <color rgb="FF10FF07"/>
      </colorScale>
    </cfRule>
  </conditionalFormatting>
  <conditionalFormatting sqref="J21:K25">
    <cfRule type="colorScale" priority="874">
      <colorScale>
        <cfvo type="percent" val="0"/>
        <cfvo type="percent" val="100"/>
        <color rgb="FFFF231B"/>
        <color rgb="FF10FF07"/>
      </colorScale>
    </cfRule>
  </conditionalFormatting>
  <conditionalFormatting sqref="J29:K39">
    <cfRule type="colorScale" priority="938">
      <colorScale>
        <cfvo type="percent" val="0"/>
        <cfvo type="percent" val="100"/>
        <color rgb="FFFF231B"/>
        <color rgb="FF10FF07"/>
      </colorScale>
    </cfRule>
  </conditionalFormatting>
  <conditionalFormatting sqref="J43:K48">
    <cfRule type="colorScale" priority="807">
      <colorScale>
        <cfvo type="percent" val="0"/>
        <cfvo type="percent" val="100"/>
        <color rgb="FFFF231B"/>
        <color rgb="FF10FF07"/>
      </colorScale>
    </cfRule>
  </conditionalFormatting>
  <conditionalFormatting sqref="J58:K66">
    <cfRule type="colorScale" priority="868">
      <colorScale>
        <cfvo type="percent" val="0"/>
        <cfvo type="percent" val="100"/>
        <color rgb="FFFF231B"/>
        <color rgb="FF10FF07"/>
      </colorScale>
    </cfRule>
  </conditionalFormatting>
  <conditionalFormatting sqref="J74:K84">
    <cfRule type="colorScale" priority="1002">
      <colorScale>
        <cfvo type="percent" val="0"/>
        <cfvo type="percent" val="100"/>
        <color rgb="FFFF231B"/>
        <color rgb="FF10FF07"/>
      </colorScale>
    </cfRule>
  </conditionalFormatting>
  <conditionalFormatting sqref="K5:K11">
    <cfRule type="colorScale" priority="717">
      <colorScale>
        <cfvo type="percent" val="0"/>
        <cfvo type="percent" val="100"/>
        <color rgb="FFFF231B"/>
        <color rgb="FF10FF07"/>
      </colorScale>
    </cfRule>
  </conditionalFormatting>
  <conditionalFormatting sqref="K19">
    <cfRule type="colorScale" priority="263">
      <colorScale>
        <cfvo type="percent" val="0"/>
        <cfvo type="percent" val="100"/>
        <color rgb="FFFF231B"/>
        <color rgb="FF10FF07"/>
      </colorScale>
    </cfRule>
  </conditionalFormatting>
  <conditionalFormatting sqref="K20">
    <cfRule type="colorScale" priority="244">
      <colorScale>
        <cfvo type="percent" val="0"/>
        <cfvo type="percent" val="100"/>
        <color rgb="FFFF231B"/>
        <color rgb="FF10FF07"/>
      </colorScale>
    </cfRule>
  </conditionalFormatting>
  <conditionalFormatting sqref="K21:K25 K18">
    <cfRule type="colorScale" priority="875">
      <colorScale>
        <cfvo type="percent" val="0"/>
        <cfvo type="percent" val="100"/>
        <color rgb="FFFF231B"/>
        <color rgb="FF10FF07"/>
      </colorScale>
    </cfRule>
  </conditionalFormatting>
  <conditionalFormatting sqref="K28:K39">
    <cfRule type="colorScale" priority="939">
      <colorScale>
        <cfvo type="percent" val="0"/>
        <cfvo type="percent" val="100"/>
        <color rgb="FFFF231B"/>
        <color rgb="FF10FF07"/>
      </colorScale>
    </cfRule>
  </conditionalFormatting>
  <conditionalFormatting sqref="K42:K54">
    <cfRule type="colorScale" priority="811">
      <colorScale>
        <cfvo type="percent" val="0"/>
        <cfvo type="percent" val="100"/>
        <color rgb="FFFF231B"/>
        <color rgb="FF10FF07"/>
      </colorScale>
    </cfRule>
  </conditionalFormatting>
  <conditionalFormatting sqref="K57:K66">
    <cfRule type="colorScale" priority="871">
      <colorScale>
        <cfvo type="percent" val="0"/>
        <cfvo type="percent" val="100"/>
        <color rgb="FFFF231B"/>
        <color rgb="FF10FF07"/>
      </colorScale>
    </cfRule>
  </conditionalFormatting>
  <conditionalFormatting sqref="K73:K84">
    <cfRule type="colorScale" priority="1003">
      <colorScale>
        <cfvo type="percent" val="0"/>
        <cfvo type="percent" val="100"/>
        <color rgb="FFFF231B"/>
        <color rgb="FF10FF07"/>
      </colorScale>
    </cfRule>
  </conditionalFormatting>
  <conditionalFormatting sqref="O5:O11 Q5:Q11 AJ5:AJ11 AL5:AL11 AQ5:AQ11 AS5:AS11 AX5:AX11 AZ5:AZ11 BE5:BE11 BG5:BG11 BL5:BL11 BN5:BN11 BS5:BS11 BU5:BU11 BZ5:BZ11 CB5:CB11 CG5:CG11 CI5:CI11 CN5:CN11 CP5:CP11 CU5:CU11 CW5:CW11 O28:O39 Q28:Q39 V28:V39 X28:X39 AC28:AC39 AE28:AE39 AJ28:AJ39 AL28:AL39 AQ28:AQ39 AS28:AS39 AX28:AX39 AZ28:AZ39 BE28:BE39 BG28:BG39 BL28:BL39 BN28:BN39 BS28:BS39 BU28:BU39 BZ28:BZ39 CB28:CB39 CG28:CG39 CI28:CI39 CN28:CN39 CP28:CP39 CU28:CU39 CW28:CW39 DB28:DB39 DD28:DD39 O57:O66 Q57:Q66 V57:V66 X57:X66 AC57:AC66 AE57:AE66 AJ57:AJ66 AL57:AL66 CG57:CG66 CI57:CI66 CN57:CN66 CP57:CP66 CU57:CU66 CW57:CW66 BL57:BL70 BN57:BN70 BS57:BS70 BU57:BU70 BZ57:BZ70 CB57:CB70 O73:O84 Q73:Q84 V73:V84 X73:X84 AC73:AC84 AE73:AE84 AJ73:AJ84 AL73:AL84 AQ73:AQ84 AS73:AS84 AX73:AX84 AZ73:AZ84 BG73:BG84 BN73:BN84 BU73:BU84 CB73:CB84 CG73:CG84 CI73:CI84 CN73:CN84 CP73:CP84 CU73:CU84 CW73:CW84 DB73:DB84 DD73:DD84 O16:O25 Q16:Q25 V16:V25 X16:X25 AC16:AC25 AE16:AE25 AJ16:AJ25 AL16:AL25 AQ16:AQ25 AS16:AS25 AX16:AX25 AZ16:AZ25 BE16:BE25 BG16:BG25 BL16:BL25 BN16:BN25 BS16:BS25 BU16:BU25 BZ16:BZ25 CB16:CB25 CG16:CG25 CI16:CI25 CN16:CN25 CP16:CP25 CU16:CU25 CW16:CW25 DB16:DB25 DD16:DD25 BE73:BE84 BZ73:BZ84 BS73:BS84 BL73:BL84 BG57:BG67 BE57:BE67 AZ57:AZ70 AX57:AX70 AQ57:AQ68 AS57:AS68">
    <cfRule type="expression" dxfId="95" priority="684">
      <formula>OR(IF(O5&lt;P5,TRUE),IF(AND(P5="",O5&lt;&gt;""),TRUE))</formula>
    </cfRule>
    <cfRule type="expression" dxfId="94" priority="685">
      <formula>IF(O5&gt;=P5,IF(O5="",FALSE,TRUE))</formula>
    </cfRule>
  </conditionalFormatting>
  <conditionalFormatting sqref="O42:O54">
    <cfRule type="expression" dxfId="93" priority="412">
      <formula>OR(IF(O42&lt;P42,TRUE),IF(AND(P42="",O42&lt;&gt;""),TRUE))</formula>
    </cfRule>
    <cfRule type="expression" dxfId="92" priority="413">
      <formula>IF(O42&gt;=P42,IF(O42="",FALSE,TRUE))</formula>
    </cfRule>
  </conditionalFormatting>
  <conditionalFormatting sqref="Q42:Q54">
    <cfRule type="expression" dxfId="91" priority="410">
      <formula>OR(IF(Q42&lt;R42,TRUE),IF(AND(R42="",Q42&lt;&gt;""),TRUE))</formula>
    </cfRule>
    <cfRule type="expression" dxfId="90" priority="411">
      <formula>IF(Q42&gt;=R42,IF(Q42="",FALSE,TRUE))</formula>
    </cfRule>
  </conditionalFormatting>
  <conditionalFormatting sqref="V5:V11">
    <cfRule type="expression" dxfId="89" priority="37">
      <formula>OR(IF(V5&lt;W5,TRUE),IF(AND(W5="",V5&lt;&gt;""),TRUE))</formula>
    </cfRule>
    <cfRule type="expression" dxfId="88" priority="38">
      <formula>IF(V5&gt;=W5,IF(V5="",FALSE,TRUE))</formula>
    </cfRule>
  </conditionalFormatting>
  <conditionalFormatting sqref="V42:V54">
    <cfRule type="expression" dxfId="87" priority="97">
      <formula>OR(IF(V42&lt;W42,TRUE),IF(AND(W42="",V42&lt;&gt;""),TRUE))</formula>
    </cfRule>
    <cfRule type="expression" dxfId="86" priority="98">
      <formula>IF(V42&gt;=W42,IF(V42="",FALSE,TRUE))</formula>
    </cfRule>
  </conditionalFormatting>
  <conditionalFormatting sqref="X5:X11">
    <cfRule type="expression" dxfId="85" priority="35">
      <formula>OR(IF(X5&lt;Y5,TRUE),IF(AND(Y5="",X5&lt;&gt;""),TRUE))</formula>
    </cfRule>
    <cfRule type="expression" dxfId="84" priority="36">
      <formula>IF(X5&gt;=Y5,IF(X5="",FALSE,TRUE))</formula>
    </cfRule>
  </conditionalFormatting>
  <conditionalFormatting sqref="X42:X54">
    <cfRule type="expression" dxfId="83" priority="95">
      <formula>OR(IF(X42&lt;Y42,TRUE),IF(AND(Y42="",X42&lt;&gt;""),TRUE))</formula>
    </cfRule>
    <cfRule type="expression" dxfId="82" priority="96">
      <formula>IF(X42&gt;=Y42,IF(X42="",FALSE,TRUE))</formula>
    </cfRule>
  </conditionalFormatting>
  <conditionalFormatting sqref="AC5:AC12 AE5:AE12">
    <cfRule type="expression" dxfId="81" priority="33">
      <formula>OR(IF(AC5&lt;AD5,TRUE),IF(AND(AD5="",AC5&lt;&gt;""),TRUE))</formula>
    </cfRule>
    <cfRule type="expression" dxfId="80" priority="34">
      <formula>IF(AC5&gt;=AD5,IF(AC5="",FALSE,TRUE))</formula>
    </cfRule>
  </conditionalFormatting>
  <conditionalFormatting sqref="AC42:AC54">
    <cfRule type="expression" dxfId="79" priority="93">
      <formula>OR(IF(AC42&lt;AD42,TRUE),IF(AND(AD42="",AC42&lt;&gt;""),TRUE))</formula>
    </cfRule>
    <cfRule type="expression" dxfId="78" priority="94">
      <formula>IF(AC42&gt;=AD42,IF(AC42="",FALSE,TRUE))</formula>
    </cfRule>
  </conditionalFormatting>
  <conditionalFormatting sqref="AE42:AE54">
    <cfRule type="expression" dxfId="77" priority="91">
      <formula>OR(IF(AE42&lt;AF42,TRUE),IF(AND(AF42="",AE42&lt;&gt;""),TRUE))</formula>
    </cfRule>
    <cfRule type="expression" dxfId="76" priority="92">
      <formula>IF(AE42&gt;=AF42,IF(AE42="",FALSE,TRUE))</formula>
    </cfRule>
  </conditionalFormatting>
  <conditionalFormatting sqref="AJ42:AJ54">
    <cfRule type="expression" dxfId="75" priority="89">
      <formula>OR(IF(AJ42&lt;AK42,TRUE),IF(AND(AK42="",AJ42&lt;&gt;""),TRUE))</formula>
    </cfRule>
    <cfRule type="expression" dxfId="74" priority="90">
      <formula>IF(AJ42&gt;=AK42,IF(AJ42="",FALSE,TRUE))</formula>
    </cfRule>
  </conditionalFormatting>
  <conditionalFormatting sqref="AL42:AL54">
    <cfRule type="expression" dxfId="73" priority="87">
      <formula>OR(IF(AL42&lt;AM42,TRUE),IF(AND(AM42="",AL42&lt;&gt;""),TRUE))</formula>
    </cfRule>
    <cfRule type="expression" dxfId="72" priority="88">
      <formula>IF(AL42&gt;=AM42,IF(AL42="",FALSE,TRUE))</formula>
    </cfRule>
  </conditionalFormatting>
  <conditionalFormatting sqref="AQ42:AQ54">
    <cfRule type="expression" dxfId="71" priority="85">
      <formula>OR(IF(AQ42&lt;AR42,TRUE),IF(AND(AR42="",AQ42&lt;&gt;""),TRUE))</formula>
    </cfRule>
    <cfRule type="expression" dxfId="70" priority="86">
      <formula>IF(AQ42&gt;=AR42,IF(AQ42="",FALSE,TRUE))</formula>
    </cfRule>
  </conditionalFormatting>
  <conditionalFormatting sqref="AS42:AS54">
    <cfRule type="expression" dxfId="69" priority="83">
      <formula>OR(IF(AS42&lt;AT42,TRUE),IF(AND(AT42="",AS42&lt;&gt;""),TRUE))</formula>
    </cfRule>
    <cfRule type="expression" dxfId="68" priority="84">
      <formula>IF(AS42&gt;=AT42,IF(AS42="",FALSE,TRUE))</formula>
    </cfRule>
  </conditionalFormatting>
  <conditionalFormatting sqref="AX42:AX54">
    <cfRule type="expression" dxfId="67" priority="81">
      <formula>OR(IF(AX42&lt;AY42,TRUE),IF(AND(AY42="",AX42&lt;&gt;""),TRUE))</formula>
    </cfRule>
    <cfRule type="expression" dxfId="66" priority="82">
      <formula>IF(AX42&gt;=AY42,IF(AX42="",FALSE,TRUE))</formula>
    </cfRule>
  </conditionalFormatting>
  <conditionalFormatting sqref="AZ42:AZ54">
    <cfRule type="expression" dxfId="65" priority="79">
      <formula>OR(IF(AZ42&lt;BA42,TRUE),IF(AND(BA42="",AZ42&lt;&gt;""),TRUE))</formula>
    </cfRule>
    <cfRule type="expression" dxfId="64" priority="80">
      <formula>IF(AZ42&gt;=BA42,IF(AZ42="",FALSE,TRUE))</formula>
    </cfRule>
  </conditionalFormatting>
  <conditionalFormatting sqref="BE42:BE54">
    <cfRule type="expression" dxfId="63" priority="77">
      <formula>OR(IF(BE42&lt;BF42,TRUE),IF(AND(BF42="",BE42&lt;&gt;""),TRUE))</formula>
    </cfRule>
    <cfRule type="expression" dxfId="62" priority="78">
      <formula>IF(BE42&gt;=BF42,IF(BE42="",FALSE,TRUE))</formula>
    </cfRule>
  </conditionalFormatting>
  <conditionalFormatting sqref="BG42:BG54">
    <cfRule type="expression" dxfId="61" priority="75">
      <formula>OR(IF(BG42&lt;BH42,TRUE),IF(AND(BH42="",BG42&lt;&gt;""),TRUE))</formula>
    </cfRule>
    <cfRule type="expression" dxfId="60" priority="76">
      <formula>IF(BG42&gt;=BH42,IF(BG42="",FALSE,TRUE))</formula>
    </cfRule>
  </conditionalFormatting>
  <conditionalFormatting sqref="BL42:BL54">
    <cfRule type="expression" dxfId="59" priority="73">
      <formula>OR(IF(BL42&lt;BM42,TRUE),IF(AND(BM42="",BL42&lt;&gt;""),TRUE))</formula>
    </cfRule>
    <cfRule type="expression" dxfId="58" priority="74">
      <formula>IF(BL42&gt;=BM42,IF(BL42="",FALSE,TRUE))</formula>
    </cfRule>
  </conditionalFormatting>
  <conditionalFormatting sqref="BN42:BN54">
    <cfRule type="expression" dxfId="57" priority="71">
      <formula>OR(IF(BN42&lt;BO42,TRUE),IF(AND(BO42="",BN42&lt;&gt;""),TRUE))</formula>
    </cfRule>
    <cfRule type="expression" dxfId="56" priority="72">
      <formula>IF(BN42&gt;=BO42,IF(BN42="",FALSE,TRUE))</formula>
    </cfRule>
  </conditionalFormatting>
  <conditionalFormatting sqref="BS42:BS54">
    <cfRule type="expression" dxfId="55" priority="41">
      <formula>OR(IF(BS42&lt;BT42,TRUE),IF(AND(BT42="",BS42&lt;&gt;""),TRUE))</formula>
    </cfRule>
    <cfRule type="expression" dxfId="54" priority="42">
      <formula>IF(BS42&gt;=BT42,IF(BS42="",FALSE,TRUE))</formula>
    </cfRule>
  </conditionalFormatting>
  <conditionalFormatting sqref="BU42:BU54">
    <cfRule type="expression" dxfId="53" priority="39">
      <formula>OR(IF(BU42&lt;BV42,TRUE),IF(AND(BV42="",BU42&lt;&gt;""),TRUE))</formula>
    </cfRule>
    <cfRule type="expression" dxfId="52" priority="40">
      <formula>IF(BU42&gt;=BV42,IF(BU42="",FALSE,TRUE))</formula>
    </cfRule>
  </conditionalFormatting>
  <conditionalFormatting sqref="BZ42:BZ54">
    <cfRule type="expression" dxfId="51" priority="31">
      <formula>OR(IF(BZ42&lt;CA42,TRUE),IF(AND(CA42="",BZ42&lt;&gt;""),TRUE))</formula>
    </cfRule>
    <cfRule type="expression" dxfId="50" priority="32">
      <formula>IF(BZ42&gt;=CA42,IF(BZ42="",FALSE,TRUE))</formula>
    </cfRule>
  </conditionalFormatting>
  <conditionalFormatting sqref="CB42:CB54">
    <cfRule type="expression" dxfId="49" priority="29">
      <formula>OR(IF(CB42&lt;CC42,TRUE),IF(AND(CC42="",CB42&lt;&gt;""),TRUE))</formula>
    </cfRule>
    <cfRule type="expression" dxfId="48" priority="30">
      <formula>IF(CB42&gt;=CC42,IF(CB42="",FALSE,TRUE))</formula>
    </cfRule>
  </conditionalFormatting>
  <conditionalFormatting sqref="CG42:CG54">
    <cfRule type="expression" dxfId="47" priority="61">
      <formula>OR(IF(CG42&lt;CH42,TRUE),IF(AND(CH42="",CG42&lt;&gt;""),TRUE))</formula>
    </cfRule>
    <cfRule type="expression" dxfId="46" priority="62">
      <formula>IF(CG42&gt;=CH42,IF(CG42="",FALSE,TRUE))</formula>
    </cfRule>
  </conditionalFormatting>
  <conditionalFormatting sqref="CI42:CI54">
    <cfRule type="expression" dxfId="45" priority="59">
      <formula>OR(IF(CI42&lt;CJ42,TRUE),IF(AND(CJ42="",CI42&lt;&gt;""),TRUE))</formula>
    </cfRule>
    <cfRule type="expression" dxfId="44" priority="60">
      <formula>IF(CI42&gt;=CJ42,IF(CI42="",FALSE,TRUE))</formula>
    </cfRule>
  </conditionalFormatting>
  <conditionalFormatting sqref="CN42:CN54">
    <cfRule type="expression" dxfId="43" priority="53">
      <formula>OR(IF(CN42&lt;CO42,TRUE),IF(AND(CO42="",CN42&lt;&gt;""),TRUE))</formula>
    </cfRule>
    <cfRule type="expression" dxfId="42" priority="54">
      <formula>IF(CN42&gt;=CO42,IF(CN42="",FALSE,TRUE))</formula>
    </cfRule>
  </conditionalFormatting>
  <conditionalFormatting sqref="CP42:CP54">
    <cfRule type="expression" dxfId="41" priority="51">
      <formula>OR(IF(CP42&lt;CQ42,TRUE),IF(AND(CQ42="",CP42&lt;&gt;""),TRUE))</formula>
    </cfRule>
    <cfRule type="expression" dxfId="40" priority="52">
      <formula>IF(CP42&gt;=CQ42,IF(CP42="",FALSE,TRUE))</formula>
    </cfRule>
  </conditionalFormatting>
  <conditionalFormatting sqref="CU42:CU54">
    <cfRule type="expression" dxfId="39" priority="49">
      <formula>OR(IF(CU42&lt;CV42,TRUE),IF(AND(CV42="",CU42&lt;&gt;""),TRUE))</formula>
    </cfRule>
    <cfRule type="expression" dxfId="38" priority="50">
      <formula>IF(CU42&gt;=CV42,IF(CU42="",FALSE,TRUE))</formula>
    </cfRule>
  </conditionalFormatting>
  <conditionalFormatting sqref="CW42:CW54">
    <cfRule type="expression" dxfId="37" priority="47">
      <formula>OR(IF(CW42&lt;CX42,TRUE),IF(AND(CX42="",CW42&lt;&gt;""),TRUE))</formula>
    </cfRule>
    <cfRule type="expression" dxfId="36" priority="48">
      <formula>IF(CW42&gt;=CX42,IF(CW42="",FALSE,TRUE))</formula>
    </cfRule>
  </conditionalFormatting>
  <conditionalFormatting sqref="DB5:DB11 DD5:DD11 DB57:DB66 DD57:DD66">
    <cfRule type="expression" dxfId="35" priority="140">
      <formula>OR(IF(DB5&lt;DC5,TRUE),IF(AND(DC5="",DB5&lt;&gt;""),TRUE))</formula>
    </cfRule>
    <cfRule type="expression" dxfId="34" priority="141">
      <formula>IF(DB5&gt;=DC5,IF(DB5="",FALSE,TRUE))</formula>
    </cfRule>
  </conditionalFormatting>
  <conditionalFormatting sqref="DB42:DB54">
    <cfRule type="expression" dxfId="33" priority="128">
      <formula>OR(IF(DB42&lt;DC42,TRUE),IF(AND(DC42="",DB42&lt;&gt;""),TRUE))</formula>
    </cfRule>
    <cfRule type="expression" dxfId="32" priority="129">
      <formula>IF(DB42&gt;=DC42,IF(DB42="",FALSE,TRUE))</formula>
    </cfRule>
  </conditionalFormatting>
  <conditionalFormatting sqref="DD42:DD54">
    <cfRule type="expression" dxfId="31" priority="126">
      <formula>OR(IF(DD42&lt;DE42,TRUE),IF(AND(DE42="",DD42&lt;&gt;""),TRUE))</formula>
    </cfRule>
    <cfRule type="expression" dxfId="30" priority="127">
      <formula>IF(DD42&gt;=DE42,IF(DD42="",FALSE,TRUE))</formula>
    </cfRule>
  </conditionalFormatting>
  <conditionalFormatting sqref="J17">
    <cfRule type="colorScale" priority="24">
      <colorScale>
        <cfvo type="percent" val="0"/>
        <cfvo type="percent" val="100"/>
        <color rgb="FFFF231B"/>
        <color rgb="FF10FF07"/>
      </colorScale>
    </cfRule>
  </conditionalFormatting>
  <conditionalFormatting sqref="J17:K17">
    <cfRule type="colorScale" priority="25">
      <colorScale>
        <cfvo type="percent" val="0"/>
        <cfvo type="percent" val="100"/>
        <color rgb="FFFF231B"/>
        <color rgb="FF10FF07"/>
      </colorScale>
    </cfRule>
  </conditionalFormatting>
  <conditionalFormatting sqref="K17">
    <cfRule type="colorScale" priority="23">
      <colorScale>
        <cfvo type="percent" val="0"/>
        <cfvo type="percent" val="100"/>
        <color rgb="FFFF231B"/>
        <color rgb="FF10FF07"/>
      </colorScale>
    </cfRule>
  </conditionalFormatting>
  <conditionalFormatting sqref="J14">
    <cfRule type="colorScale" priority="21">
      <colorScale>
        <cfvo type="percent" val="0"/>
        <cfvo type="percent" val="100"/>
        <color rgb="FFFF231B"/>
        <color rgb="FF10FF07"/>
      </colorScale>
    </cfRule>
  </conditionalFormatting>
  <conditionalFormatting sqref="K14">
    <cfRule type="colorScale" priority="22">
      <colorScale>
        <cfvo type="percent" val="0"/>
        <cfvo type="percent" val="100"/>
        <color rgb="FFFF231B"/>
        <color rgb="FF10FF07"/>
      </colorScale>
    </cfRule>
  </conditionalFormatting>
  <conditionalFormatting sqref="O14 Q14 V14 X14 AC14 AE14 AJ14 AL14 AQ14 AS14 AX14 AZ14 BE14 BG14 BL14 BN14 BS14 BU14 BZ14 CB14 CG14 CI14 CN14 CP14 CU14 CW14 DB14 DD14">
    <cfRule type="expression" dxfId="29" priority="19">
      <formula>OR(IF(O14&lt;P14,TRUE),IF(AND(P14="",O14&lt;&gt;""),TRUE))</formula>
    </cfRule>
    <cfRule type="expression" dxfId="28" priority="20">
      <formula>IF(O14&gt;=P14,IF(O14="",FALSE,TRUE))</formula>
    </cfRule>
  </conditionalFormatting>
  <conditionalFormatting sqref="J15">
    <cfRule type="colorScale" priority="17">
      <colorScale>
        <cfvo type="percent" val="0"/>
        <cfvo type="percent" val="100"/>
        <color rgb="FFFF231B"/>
        <color rgb="FF10FF07"/>
      </colorScale>
    </cfRule>
  </conditionalFormatting>
  <conditionalFormatting sqref="K15">
    <cfRule type="colorScale" priority="18">
      <colorScale>
        <cfvo type="percent" val="0"/>
        <cfvo type="percent" val="100"/>
        <color rgb="FFFF231B"/>
        <color rgb="FF10FF07"/>
      </colorScale>
    </cfRule>
  </conditionalFormatting>
  <conditionalFormatting sqref="O15 Q15 V15 X15 AC15 AE15 AJ15 AL15 AQ15 AS15 AX15 AZ15 BE15 BG15 BL15 BN15 BS15 BU15 BZ15 CB15 CG15 CI15 CN15 CP15 CU15 CW15 DB15 DD15">
    <cfRule type="expression" dxfId="27" priority="15">
      <formula>OR(IF(O15&lt;P15,TRUE),IF(AND(P15="",O15&lt;&gt;""),TRUE))</formula>
    </cfRule>
    <cfRule type="expression" dxfId="26" priority="16">
      <formula>IF(O15&gt;=P15,IF(O15="",FALSE,TRUE))</formula>
    </cfRule>
  </conditionalFormatting>
  <conditionalFormatting sqref="J16">
    <cfRule type="colorScale" priority="13">
      <colorScale>
        <cfvo type="percent" val="0"/>
        <cfvo type="percent" val="100"/>
        <color rgb="FFFF231B"/>
        <color rgb="FF10FF07"/>
      </colorScale>
    </cfRule>
  </conditionalFormatting>
  <conditionalFormatting sqref="K16">
    <cfRule type="colorScale" priority="14">
      <colorScale>
        <cfvo type="percent" val="0"/>
        <cfvo type="percent" val="100"/>
        <color rgb="FFFF231B"/>
        <color rgb="FF10FF07"/>
      </colorScale>
    </cfRule>
  </conditionalFormatting>
  <conditionalFormatting sqref="BG70">
    <cfRule type="expression" dxfId="23" priority="11">
      <formula>OR(IF(BG70&lt;BH70,TRUE),IF(AND(BH70="",BG70&lt;&gt;""),TRUE))</formula>
    </cfRule>
    <cfRule type="expression" dxfId="22" priority="12">
      <formula>IF(BG70&gt;=BH70,IF(BG70="",FALSE,TRUE))</formula>
    </cfRule>
  </conditionalFormatting>
  <conditionalFormatting sqref="BG69">
    <cfRule type="expression" dxfId="21" priority="9">
      <formula>OR(IF(BG69&lt;BH69,TRUE),IF(AND(BH69="",BG69&lt;&gt;""),TRUE))</formula>
    </cfRule>
    <cfRule type="expression" dxfId="20" priority="10">
      <formula>IF(BG69&gt;=BH69,IF(BG69="",FALSE,TRUE))</formula>
    </cfRule>
  </conditionalFormatting>
  <conditionalFormatting sqref="BG68">
    <cfRule type="expression" dxfId="19" priority="7">
      <formula>OR(IF(BG68&lt;BH68,TRUE),IF(AND(BH68="",BG68&lt;&gt;""),TRUE))</formula>
    </cfRule>
    <cfRule type="expression" dxfId="18" priority="8">
      <formula>IF(BG68&gt;=BH68,IF(BG68="",FALSE,TRUE))</formula>
    </cfRule>
  </conditionalFormatting>
  <conditionalFormatting sqref="BE70">
    <cfRule type="expression" dxfId="17" priority="5">
      <formula>OR(IF(BE70&lt;BF70,TRUE),IF(AND(BF70="",BE70&lt;&gt;""),TRUE))</formula>
    </cfRule>
    <cfRule type="expression" dxfId="16" priority="6">
      <formula>IF(BE70&gt;=BF70,IF(BE70="",FALSE,TRUE))</formula>
    </cfRule>
  </conditionalFormatting>
  <conditionalFormatting sqref="BE69">
    <cfRule type="expression" dxfId="15" priority="3">
      <formula>OR(IF(BE69&lt;BF69,TRUE),IF(AND(BF69="",BE69&lt;&gt;""),TRUE))</formula>
    </cfRule>
    <cfRule type="expression" dxfId="14" priority="4">
      <formula>IF(BE69&gt;=BF69,IF(BE69="",FALSE,TRUE))</formula>
    </cfRule>
  </conditionalFormatting>
  <conditionalFormatting sqref="BE68">
    <cfRule type="expression" dxfId="13" priority="1">
      <formula>OR(IF(BE68&lt;BF68,TRUE),IF(AND(BF68="",BE68&lt;&gt;""),TRUE))</formula>
    </cfRule>
    <cfRule type="expression" dxfId="12" priority="2">
      <formula>IF(BE68&gt;=BF68,IF(BE68="",FALSE,TRUE))</formula>
    </cfRule>
  </conditionalFormatting>
  <dataValidations count="1">
    <dataValidation type="list" allowBlank="1" showInputMessage="1" showErrorMessage="1" sqref="BE73:BH84 AX57:BA70 AJ57:AM66 BE57:BH70 BE42:BH54 CU42:CX54 BU28:BU39 AQ57:AT68 AQ42:AT54 V42:Y54 AX42:BA54 BL28:BO39 DB5:DE11 CN57:CQ66 DB57:DE66 BE5:BH11 DB42:DE54 BL42:BO54 CN42:CQ54 BU42:BU54 AC42:AF54 AQ73:AT84 AQ28:AT39 AX28:BA39 BE28:BH39 AQ5:AT11 AC73:AF84 AC57:AF66 O28:R39 O5:R11 AJ28:AM39 AC28:AF39 V28:Y39 BU73:BU84 CU28:CX39 BM85 CN28:CQ39 DB28:DE39 BL73:BO84 CG57:CJ66 CG42:CJ54 CG28:CJ39 AX5:BA11 AJ73:AM84 CG5:CJ11 BV25:BV84 AJ5:AM11 BS5:BV11 BL5:BO11 BZ5:CC11 CU5:CX11 CN5:CQ11 CU57:CX66 O57:R66 O42:R54 V5:Y11 AC5:AF12 AX73:BA84 CG73:CJ84 V73:Y84 CN73:CQ84 O73:R84 CU73:CX84 DB73:DE84 BZ57:CC70 BZ42:CC54 BZ28:CC39 BZ73:CC84 BU57:BU70 BS42:BS54 BS57:BS70 BS28:BS39 BU16:BV24 BS14:BV15 BE14:BH25 AX14:BA25 V14:Y25 AC14:AF25 AQ14:AT25 CN14:CQ25 DB14:DE25 CU14:CX25 CG14:CJ25 BU25 AJ14:AM25 BZ14:CC25 O14:R25 BL14:BO25 BS16:BS25 BT16:BT84 BS73:BS84 BL57:BO70 V57:Y66 AJ42:AM54"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J25" sqref="J25"/>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69"/>
  <sheetViews>
    <sheetView workbookViewId="0">
      <selection activeCell="J25" sqref="J25"/>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41</v>
      </c>
      <c r="B1" s="15" t="s">
        <v>38</v>
      </c>
      <c r="C1" s="15" t="s">
        <v>39</v>
      </c>
      <c r="D1" s="15" t="s">
        <v>40</v>
      </c>
      <c r="E1" s="1" t="s">
        <v>42</v>
      </c>
      <c r="F1" s="1" t="s">
        <v>43</v>
      </c>
      <c r="G1" s="1" t="s">
        <v>44</v>
      </c>
      <c r="H1" s="1" t="s">
        <v>45</v>
      </c>
      <c r="I1" s="1" t="s">
        <v>46</v>
      </c>
      <c r="J1" s="1" t="s">
        <v>47</v>
      </c>
      <c r="K1" s="1" t="s">
        <v>48</v>
      </c>
    </row>
    <row r="2" spans="1:11" x14ac:dyDescent="0.2">
      <c r="A2" s="14">
        <v>45257</v>
      </c>
      <c r="D2" s="11">
        <v>1</v>
      </c>
    </row>
    <row r="3" spans="1:11" x14ac:dyDescent="0.2">
      <c r="A3" s="14">
        <v>45258</v>
      </c>
    </row>
    <row r="4" spans="1:11" x14ac:dyDescent="0.2">
      <c r="A4" s="14">
        <v>45259</v>
      </c>
    </row>
    <row r="5" spans="1:11" x14ac:dyDescent="0.2">
      <c r="A5" s="14">
        <v>45260</v>
      </c>
    </row>
    <row r="6" spans="1:11" x14ac:dyDescent="0.2">
      <c r="A6" s="14">
        <v>45261</v>
      </c>
    </row>
    <row r="7" spans="1:11" x14ac:dyDescent="0.2">
      <c r="A7" s="14">
        <v>45262</v>
      </c>
    </row>
    <row r="8" spans="1:11" x14ac:dyDescent="0.2">
      <c r="A8" s="14">
        <v>45263</v>
      </c>
    </row>
    <row r="9" spans="1:11" x14ac:dyDescent="0.2">
      <c r="A9" s="14">
        <v>45264</v>
      </c>
    </row>
    <row r="10" spans="1:11" x14ac:dyDescent="0.2">
      <c r="A10" s="14">
        <v>45265</v>
      </c>
    </row>
    <row r="11" spans="1:11" x14ac:dyDescent="0.2">
      <c r="A11" s="14">
        <v>45266</v>
      </c>
    </row>
    <row r="12" spans="1:11" x14ac:dyDescent="0.2">
      <c r="A12" s="14">
        <v>45267</v>
      </c>
    </row>
    <row r="13" spans="1:11" x14ac:dyDescent="0.2">
      <c r="A13" s="14">
        <v>45268</v>
      </c>
    </row>
    <row r="14" spans="1:11" x14ac:dyDescent="0.2">
      <c r="A14" s="14">
        <v>45269</v>
      </c>
    </row>
    <row r="15" spans="1:11" x14ac:dyDescent="0.2">
      <c r="A15" s="14">
        <v>45270</v>
      </c>
    </row>
    <row r="16" spans="1:11" x14ac:dyDescent="0.2">
      <c r="A16" s="14">
        <v>45271</v>
      </c>
    </row>
    <row r="17" spans="1:1" x14ac:dyDescent="0.2">
      <c r="A17" s="14">
        <v>45272</v>
      </c>
    </row>
    <row r="18" spans="1:1" x14ac:dyDescent="0.2">
      <c r="A18" s="14">
        <v>45273</v>
      </c>
    </row>
    <row r="19" spans="1:1" x14ac:dyDescent="0.2">
      <c r="A19" s="14">
        <v>45274</v>
      </c>
    </row>
    <row r="20" spans="1:1" x14ac:dyDescent="0.2">
      <c r="A20" s="14">
        <v>45275</v>
      </c>
    </row>
    <row r="21" spans="1:1" x14ac:dyDescent="0.2">
      <c r="A21" s="14">
        <v>45276</v>
      </c>
    </row>
    <row r="22" spans="1:1" x14ac:dyDescent="0.2">
      <c r="A22" s="14">
        <v>45277</v>
      </c>
    </row>
    <row r="23" spans="1:1" x14ac:dyDescent="0.2">
      <c r="A23" s="14">
        <v>45278</v>
      </c>
    </row>
    <row r="24" spans="1:1" x14ac:dyDescent="0.2">
      <c r="A24" s="14">
        <v>45279</v>
      </c>
    </row>
    <row r="25" spans="1:1" x14ac:dyDescent="0.2">
      <c r="A25" s="14">
        <v>45280</v>
      </c>
    </row>
    <row r="26" spans="1:1" x14ac:dyDescent="0.2">
      <c r="A26" s="14">
        <v>45281</v>
      </c>
    </row>
    <row r="27" spans="1:1" x14ac:dyDescent="0.2">
      <c r="A27" s="14">
        <v>45282</v>
      </c>
    </row>
    <row r="28" spans="1:1" x14ac:dyDescent="0.2">
      <c r="A28" s="14">
        <v>45283</v>
      </c>
    </row>
    <row r="29" spans="1:1" x14ac:dyDescent="0.2">
      <c r="A29" s="14">
        <v>45284</v>
      </c>
    </row>
    <row r="30" spans="1:1" x14ac:dyDescent="0.2">
      <c r="A30" s="14">
        <v>45285</v>
      </c>
    </row>
    <row r="31" spans="1:1" x14ac:dyDescent="0.2">
      <c r="A31" s="14">
        <v>45286</v>
      </c>
    </row>
    <row r="32" spans="1:1" x14ac:dyDescent="0.2">
      <c r="A32" s="14">
        <v>45287</v>
      </c>
    </row>
    <row r="33" spans="1:1" x14ac:dyDescent="0.2">
      <c r="A33" s="14">
        <v>45288</v>
      </c>
    </row>
    <row r="34" spans="1:1" x14ac:dyDescent="0.2">
      <c r="A34" s="14">
        <v>45289</v>
      </c>
    </row>
    <row r="35" spans="1:1" x14ac:dyDescent="0.2">
      <c r="A35" s="14">
        <v>45290</v>
      </c>
    </row>
    <row r="36" spans="1:1" x14ac:dyDescent="0.2">
      <c r="A36" s="14">
        <v>45291</v>
      </c>
    </row>
    <row r="37" spans="1:1" x14ac:dyDescent="0.2">
      <c r="A37" s="14">
        <v>45292</v>
      </c>
    </row>
    <row r="38" spans="1:1" x14ac:dyDescent="0.2">
      <c r="A38" s="14">
        <v>45293</v>
      </c>
    </row>
    <row r="39" spans="1:1" x14ac:dyDescent="0.2">
      <c r="A39" s="14">
        <v>45294</v>
      </c>
    </row>
    <row r="40" spans="1:1" x14ac:dyDescent="0.2">
      <c r="A40" s="14">
        <v>45295</v>
      </c>
    </row>
    <row r="41" spans="1:1" x14ac:dyDescent="0.2">
      <c r="A41" s="14">
        <v>45296</v>
      </c>
    </row>
    <row r="42" spans="1:1" x14ac:dyDescent="0.2">
      <c r="A42" s="14">
        <v>45297</v>
      </c>
    </row>
    <row r="43" spans="1:1" x14ac:dyDescent="0.2">
      <c r="A43" s="14">
        <v>45298</v>
      </c>
    </row>
    <row r="44" spans="1:1" x14ac:dyDescent="0.2">
      <c r="A44" s="14">
        <v>45299</v>
      </c>
    </row>
    <row r="45" spans="1:1" x14ac:dyDescent="0.2">
      <c r="A45" s="14">
        <v>45300</v>
      </c>
    </row>
    <row r="46" spans="1:1" x14ac:dyDescent="0.2">
      <c r="A46" s="14">
        <v>45301</v>
      </c>
    </row>
    <row r="47" spans="1:1" x14ac:dyDescent="0.2">
      <c r="A47" s="14">
        <v>45302</v>
      </c>
    </row>
    <row r="48" spans="1:1" x14ac:dyDescent="0.2">
      <c r="A48" s="14">
        <v>45303</v>
      </c>
    </row>
    <row r="49" spans="1:1" x14ac:dyDescent="0.2">
      <c r="A49" s="14">
        <v>45304</v>
      </c>
    </row>
    <row r="50" spans="1:1" x14ac:dyDescent="0.2">
      <c r="A50" s="14">
        <v>45305</v>
      </c>
    </row>
    <row r="51" spans="1:1" x14ac:dyDescent="0.2">
      <c r="A51" s="14">
        <v>45306</v>
      </c>
    </row>
    <row r="52" spans="1:1" x14ac:dyDescent="0.2">
      <c r="A52" s="14">
        <v>45307</v>
      </c>
    </row>
    <row r="53" spans="1:1" x14ac:dyDescent="0.2">
      <c r="A53" s="14">
        <v>45308</v>
      </c>
    </row>
    <row r="54" spans="1:1" x14ac:dyDescent="0.2">
      <c r="A54" s="14">
        <v>45309</v>
      </c>
    </row>
    <row r="55" spans="1:1" x14ac:dyDescent="0.2">
      <c r="A55" s="14">
        <v>45310</v>
      </c>
    </row>
    <row r="56" spans="1:1" x14ac:dyDescent="0.2">
      <c r="A56" s="14">
        <v>45311</v>
      </c>
    </row>
    <row r="57" spans="1:1" x14ac:dyDescent="0.2">
      <c r="A57" s="14">
        <v>45312</v>
      </c>
    </row>
    <row r="58" spans="1:1" x14ac:dyDescent="0.2">
      <c r="A58" s="14">
        <v>45313</v>
      </c>
    </row>
    <row r="59" spans="1:1" x14ac:dyDescent="0.2">
      <c r="A59" s="14">
        <v>45314</v>
      </c>
    </row>
    <row r="60" spans="1:1" x14ac:dyDescent="0.2">
      <c r="A60" s="14">
        <v>45315</v>
      </c>
    </row>
    <row r="61" spans="1:1" x14ac:dyDescent="0.2">
      <c r="A61" s="14">
        <v>45316</v>
      </c>
    </row>
    <row r="62" spans="1:1" x14ac:dyDescent="0.2">
      <c r="A62" s="14">
        <v>45317</v>
      </c>
    </row>
    <row r="63" spans="1:1" x14ac:dyDescent="0.2">
      <c r="A63" s="14">
        <v>45318</v>
      </c>
    </row>
    <row r="64" spans="1:1" x14ac:dyDescent="0.2">
      <c r="A64" s="14">
        <v>45319</v>
      </c>
    </row>
    <row r="65" spans="1:1" x14ac:dyDescent="0.2">
      <c r="A65" s="14">
        <v>45320</v>
      </c>
    </row>
    <row r="66" spans="1:1" x14ac:dyDescent="0.2">
      <c r="A66" s="14">
        <v>45321</v>
      </c>
    </row>
    <row r="67" spans="1:1" x14ac:dyDescent="0.2">
      <c r="A67" s="14">
        <v>45322</v>
      </c>
    </row>
    <row r="68" spans="1:1" x14ac:dyDescent="0.2">
      <c r="A68" s="14">
        <v>45323</v>
      </c>
    </row>
    <row r="69" spans="1:1" x14ac:dyDescent="0.2">
      <c r="A69" s="14">
        <v>45324</v>
      </c>
    </row>
  </sheetData>
  <conditionalFormatting sqref="B2:B69">
    <cfRule type="cellIs" dxfId="11" priority="4" operator="equal">
      <formula>"Ja"</formula>
    </cfRule>
    <cfRule type="cellIs" dxfId="10" priority="14" operator="equal">
      <formula>"Ja"</formula>
    </cfRule>
    <cfRule type="cellIs" dxfId="9" priority="15" operator="equal">
      <formula>"Nein"</formula>
    </cfRule>
  </conditionalFormatting>
  <conditionalFormatting sqref="C2:C69">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69"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J25" sqref="J25"/>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J25" sqref="J25"/>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48</vt:lpstr>
      <vt:lpstr>Wochenplan KW 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Niklas Milaege</cp:lastModifiedBy>
  <dcterms:created xsi:type="dcterms:W3CDTF">2020-04-19T13:33:28Z</dcterms:created>
  <dcterms:modified xsi:type="dcterms:W3CDTF">2023-11-26T16:01:09Z</dcterms:modified>
</cp:coreProperties>
</file>