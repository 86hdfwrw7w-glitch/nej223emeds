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166925"/>
  <mc:AlternateContent xmlns:mc="http://schemas.openxmlformats.org/markup-compatibility/2006">
    <mc:Choice Requires="x15">
      <x15ac:absPath xmlns:x15ac="http://schemas.microsoft.com/office/spreadsheetml/2010/11/ac" url="/Users/juliusthieme/Documents/Uni/1. Semester/"/>
    </mc:Choice>
  </mc:AlternateContent>
  <xr:revisionPtr revIDLastSave="0" documentId="13_ncr:1_{5269E7AA-7B75-4A4F-A99B-2995BD0633CC}" xr6:coauthVersionLast="47" xr6:coauthVersionMax="47" xr10:uidLastSave="{00000000-0000-0000-0000-000000000000}"/>
  <bookViews>
    <workbookView xWindow="30240" yWindow="-220" windowWidth="38400" windowHeight="216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9" i="7" l="1"/>
  <c r="I10" i="7"/>
  <c r="I11" i="7"/>
  <c r="I12" i="7"/>
  <c r="I13" i="7"/>
  <c r="I14" i="7"/>
  <c r="I15" i="7"/>
  <c r="I53" i="7"/>
  <c r="I54" i="7"/>
  <c r="I55" i="7"/>
  <c r="I56" i="7"/>
  <c r="I57" i="7"/>
  <c r="I58" i="7"/>
  <c r="I59" i="7"/>
  <c r="I60" i="7"/>
  <c r="I61" i="7"/>
  <c r="I62" i="7"/>
  <c r="I63" i="7"/>
  <c r="I46" i="7"/>
  <c r="I47" i="7"/>
  <c r="I24" i="7"/>
  <c r="I25" i="7"/>
  <c r="I26" i="7"/>
  <c r="I27" i="7"/>
  <c r="I28" i="7"/>
  <c r="I29" i="7"/>
  <c r="I30" i="7"/>
  <c r="I31" i="7"/>
  <c r="I32" i="7"/>
  <c r="B72" i="7"/>
  <c r="E73" i="7"/>
  <c r="E74" i="7"/>
  <c r="E75" i="7"/>
  <c r="E72" i="7"/>
  <c r="J9" i="7" a="1"/>
  <c r="J9" i="7" s="1"/>
  <c r="K9" i="7" a="1"/>
  <c r="K9" i="7" s="1"/>
  <c r="J10" i="7" a="1"/>
  <c r="J10" i="7" s="1"/>
  <c r="K10" i="7" a="1"/>
  <c r="K10" i="7" s="1"/>
  <c r="J11" i="7" a="1"/>
  <c r="J11" i="7" s="1"/>
  <c r="K11" i="7" a="1"/>
  <c r="K11" i="7" s="1"/>
  <c r="J12" i="7" a="1"/>
  <c r="J12" i="7" s="1"/>
  <c r="K12" i="7" a="1"/>
  <c r="K12" i="7" s="1"/>
  <c r="J13" i="7" a="1"/>
  <c r="J13" i="7" s="1"/>
  <c r="K13" i="7" a="1"/>
  <c r="K13" i="7" s="1"/>
  <c r="J14" i="7" a="1"/>
  <c r="J14" i="7" s="1"/>
  <c r="K14" i="7" a="1"/>
  <c r="K14" i="7" s="1"/>
  <c r="J15" i="7" a="1"/>
  <c r="J15" i="7" s="1"/>
  <c r="K15" i="7" a="1"/>
  <c r="K15" i="7" s="1"/>
  <c r="J24" i="7" a="1"/>
  <c r="J24" i="7" s="1"/>
  <c r="K24" i="7" a="1"/>
  <c r="K24" i="7" s="1"/>
  <c r="J25" i="7" a="1"/>
  <c r="J25" i="7" s="1"/>
  <c r="K25" i="7" a="1"/>
  <c r="K25" i="7" s="1"/>
  <c r="J26" i="7" a="1"/>
  <c r="J26" i="7" s="1"/>
  <c r="K26" i="7" a="1"/>
  <c r="K26" i="7" s="1"/>
  <c r="J27" i="7" a="1"/>
  <c r="J27" i="7" s="1"/>
  <c r="K27" i="7" a="1"/>
  <c r="K27" i="7" s="1"/>
  <c r="J28" i="7" a="1"/>
  <c r="J28" i="7" s="1"/>
  <c r="K28" i="7" a="1"/>
  <c r="K28" i="7" s="1"/>
  <c r="J29" i="7" a="1"/>
  <c r="J29" i="7" s="1"/>
  <c r="K29" i="7" a="1"/>
  <c r="K29" i="7" s="1"/>
  <c r="J30" i="7" a="1"/>
  <c r="J30" i="7" s="1"/>
  <c r="K30" i="7" a="1"/>
  <c r="K30" i="7" s="1"/>
  <c r="J31" i="7" a="1"/>
  <c r="J31" i="7" s="1"/>
  <c r="K31" i="7" a="1"/>
  <c r="K31" i="7" s="1"/>
  <c r="J32" i="7" a="1"/>
  <c r="J32" i="7" s="1"/>
  <c r="K32" i="7" a="1"/>
  <c r="K32" i="7" s="1"/>
  <c r="J46" i="7" a="1"/>
  <c r="J46" i="7" s="1"/>
  <c r="K46" i="7" a="1"/>
  <c r="K46" i="7" s="1"/>
  <c r="J47" i="7" a="1"/>
  <c r="J47" i="7" s="1"/>
  <c r="K47" i="7" a="1"/>
  <c r="K47" i="7" s="1"/>
  <c r="J53" i="7" a="1"/>
  <c r="J53" i="7" s="1"/>
  <c r="K53" i="7" a="1"/>
  <c r="K53" i="7" s="1"/>
  <c r="J54" i="7" a="1"/>
  <c r="J54" i="7" s="1"/>
  <c r="K54" i="7" a="1"/>
  <c r="K54" i="7" s="1"/>
  <c r="J55" i="7" a="1"/>
  <c r="J55" i="7" s="1"/>
  <c r="K55" i="7" a="1"/>
  <c r="K55" i="7" s="1"/>
  <c r="J56" i="7" a="1"/>
  <c r="J56" i="7" s="1"/>
  <c r="K56" i="7" a="1"/>
  <c r="K56" i="7" s="1"/>
  <c r="J57" i="7" a="1"/>
  <c r="J57" i="7" s="1"/>
  <c r="K57" i="7" a="1"/>
  <c r="K57" i="7" s="1"/>
  <c r="J58" i="7" a="1"/>
  <c r="J58" i="7" s="1"/>
  <c r="K58" i="7" a="1"/>
  <c r="K58" i="7" s="1"/>
  <c r="J59" i="7" a="1"/>
  <c r="J59" i="7" s="1"/>
  <c r="K59" i="7" a="1"/>
  <c r="K59" i="7" s="1"/>
  <c r="J60" i="7" a="1"/>
  <c r="J60" i="7" s="1"/>
  <c r="K60" i="7" a="1"/>
  <c r="K60" i="7" s="1"/>
  <c r="J61" i="7" a="1"/>
  <c r="J61" i="7" s="1"/>
  <c r="K61" i="7" a="1"/>
  <c r="K61" i="7" s="1"/>
  <c r="J62" i="7" a="1"/>
  <c r="J62" i="7" s="1"/>
  <c r="K62" i="7" a="1"/>
  <c r="K62" i="7" s="1"/>
  <c r="J63" i="7" a="1"/>
  <c r="J63" i="7" s="1"/>
  <c r="K63" i="7" a="1"/>
  <c r="K63" i="7" s="1"/>
  <c r="G36" i="7"/>
  <c r="G18" i="7"/>
  <c r="C11" i="10"/>
  <c r="C12" i="10" s="1"/>
  <c r="I22" i="7"/>
  <c r="J22" i="7" a="1"/>
  <c r="J22" i="7" s="1"/>
  <c r="K22" i="7" a="1"/>
  <c r="K22" i="7" s="1"/>
  <c r="I23" i="7"/>
  <c r="J23" i="7" a="1"/>
  <c r="J23" i="7" s="1"/>
  <c r="K23" i="7" a="1"/>
  <c r="K23" i="7" s="1"/>
  <c r="I33" i="7"/>
  <c r="J33" i="7" a="1"/>
  <c r="J33" i="7" s="1"/>
  <c r="K33" i="7" a="1"/>
  <c r="K33" i="7" s="1"/>
  <c r="K21" i="7" a="1"/>
  <c r="K21" i="7" s="1"/>
  <c r="J21" i="7" a="1"/>
  <c r="J21" i="7" s="1"/>
  <c r="I21" i="7"/>
  <c r="K20" i="7" a="1"/>
  <c r="K20" i="7" s="1"/>
  <c r="J20" i="7" a="1"/>
  <c r="J20" i="7" s="1"/>
  <c r="I20" i="7"/>
  <c r="K52" i="7" a="1"/>
  <c r="K52" i="7" s="1"/>
  <c r="J52" i="7" a="1"/>
  <c r="J52" i="7" s="1"/>
  <c r="I52" i="7"/>
  <c r="K51" i="7" a="1"/>
  <c r="K51" i="7" s="1"/>
  <c r="J51" i="7" a="1"/>
  <c r="J51" i="7" s="1"/>
  <c r="I51" i="7"/>
  <c r="G50" i="7"/>
  <c r="K34" i="7" a="1"/>
  <c r="K34" i="7" s="1"/>
  <c r="J34" i="7" a="1"/>
  <c r="J34" i="7" s="1"/>
  <c r="K19" i="7" a="1"/>
  <c r="K19" i="7" s="1"/>
  <c r="J19" i="7" a="1"/>
  <c r="J19" i="7" s="1"/>
  <c r="K48" i="7" a="1"/>
  <c r="K48" i="7" s="1"/>
  <c r="J48" i="7" a="1"/>
  <c r="J48"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16" i="7" a="1"/>
  <c r="K16" i="7" s="1"/>
  <c r="J16" i="7" a="1"/>
  <c r="J16" i="7" s="1"/>
  <c r="K8" i="7" a="1"/>
  <c r="K8" i="7" s="1"/>
  <c r="J8" i="7" a="1"/>
  <c r="J8" i="7" s="1"/>
  <c r="K7" i="7" a="1"/>
  <c r="K7" i="7" s="1"/>
  <c r="J7" i="7" a="1"/>
  <c r="J7" i="7" s="1"/>
  <c r="K6" i="7" a="1"/>
  <c r="K6" i="7" s="1"/>
  <c r="J6" i="7" a="1"/>
  <c r="J6" i="7" s="1"/>
  <c r="K5" i="7" a="1"/>
  <c r="K5" i="7" s="1"/>
  <c r="J5" i="7" a="1"/>
  <c r="J5" i="7" s="1"/>
  <c r="G4" i="7"/>
  <c r="I48" i="7"/>
  <c r="I45" i="7"/>
  <c r="I44" i="7"/>
  <c r="I43" i="7"/>
  <c r="I42" i="7"/>
  <c r="I41" i="7"/>
  <c r="I40" i="7"/>
  <c r="I39" i="7"/>
  <c r="I38" i="7"/>
  <c r="I37" i="7"/>
  <c r="I34" i="7"/>
  <c r="I19" i="7"/>
  <c r="I6" i="7"/>
  <c r="I7" i="7"/>
  <c r="I8" i="7"/>
  <c r="I16" i="7"/>
  <c r="I5" i="7"/>
  <c r="I50" i="7" l="1"/>
  <c r="K50" i="7"/>
  <c r="J50" i="7"/>
  <c r="I36" i="7"/>
  <c r="J36" i="7"/>
  <c r="K36" i="7"/>
  <c r="I18" i="7"/>
  <c r="J18" i="7"/>
  <c r="K18"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<sst xmlns="http://schemas.openxmlformats.org/spreadsheetml/2006/main" count="402" uniqueCount="168">
  <si>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</si>
  <si>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</si>
  <si>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</si>
  <si>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</si>
  <si>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</si>
  <si>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</si>
  <si>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</si>
  <si>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</si>
  <si>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</si>
  <si>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</si>
  <si>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</si>
  <si>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</si>
  <si>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</si>
  <si>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</si>
  <si>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</si>
  <si>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</si>
  <si>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</si>
  <si>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</si>
  <si>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</si>
  <si>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</si>
  <si>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</si>
  <si>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</si>
  <si>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</si>
  <si>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</si>
  <si>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</si>
  <si>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</si>
  <si>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</si>
  <si>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</si>
  <si>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</si>
  <si>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</si>
  <si>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</si>
  <si>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</si>
  <si>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</si>
  <si>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</si>
  <si>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</si>
  <si>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</si>
  <si>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</si>
  <si>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</si>
  <si>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</si>
  <si>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</si>
  <si>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</si>
  <si>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</si>
  <si>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</si>
  <si>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</si>
  <si>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</si>
  <si>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</si>
  <si>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</si>
  <si>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</si>
  <si>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</si>
  <si>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</si>
  <si>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</si>
  <si>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</si>
  <si>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</si>
  <si>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</si>
  <si>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</si>
  <si>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</si>
  <si>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</si>
  <si>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</si>
  <si>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</si>
  <si>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</si>
  <si>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</si>
  <si>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</si>
  <si>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</si>
  <si>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</si>
  <si>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</si>
  <si>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</si>
  <si>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</si>
  <si>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</si>
  <si>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</si>
  <si>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</si>
  <si>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</si>
  <si>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</si>
  <si>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</si>
  <si>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</si>
  <si>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</si>
  <si>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</si>
  <si>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</si>
  <si>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</si>
  <si>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</si>
  <si>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</si>
  <si>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</si>
  <si>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</si>
  <si>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</si>
  <si>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</si>
  <si>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</si>
  <si>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</si>
  <si>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</si>
  <si>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</si>
  <si>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OMAT</t>
  </si>
  <si>
    <t>OACC</t>
  </si>
  <si>
    <t>OVWL</t>
  </si>
  <si>
    <t>2) Von der Inventur zur Bilanz</t>
  </si>
  <si>
    <t>3) Buchungsregeln</t>
  </si>
  <si>
    <t>4) Buchführung damals und heute</t>
  </si>
  <si>
    <t>5) Die Aufspaltung des Eigenkapitals</t>
  </si>
  <si>
    <t>6) Betrieblicher Erfolg</t>
  </si>
  <si>
    <t>7) Umsatzsteuer Vorsteuer</t>
  </si>
  <si>
    <t>8) Besonderheiten des Wareneinkaufs</t>
  </si>
  <si>
    <t>9) Warenverkauf, Eigenverbrauch und sonstige Erträge</t>
  </si>
  <si>
    <t>10) Anschaffungskosten</t>
  </si>
  <si>
    <t>11) Herstellungskosten</t>
  </si>
  <si>
    <t>12) Interne produktive Leistungen</t>
  </si>
  <si>
    <t>13) Folgebewertung von Sachanlagen in der Handel und Steuerbilanz
Planmäßige Abschreibung</t>
  </si>
  <si>
    <t>14) Folgebewertung von Sachanlagen und Finanzanlagen in der Handel und Steuerbilanz
Außerplanmäßige Abschreibung</t>
  </si>
  <si>
    <t>15) Immaterielle Vermögenswerte und Rechnungsabgrenzungsposten</t>
  </si>
  <si>
    <t>16) Rückstellungen und Verbindlichkeiten</t>
  </si>
  <si>
    <t>OSTAT</t>
  </si>
  <si>
    <t>1) Matrizen</t>
  </si>
  <si>
    <t>2) Lineare Gleichungssysteme</t>
  </si>
  <si>
    <t>3) Vektoren</t>
  </si>
  <si>
    <t>4) Determinanten</t>
  </si>
  <si>
    <t>5) Inversen</t>
  </si>
  <si>
    <t>6) Vollständige Induktion</t>
  </si>
  <si>
    <t>7) Folgen</t>
  </si>
  <si>
    <t>8) Reihen</t>
  </si>
  <si>
    <t>9) ReelleFunktionen</t>
  </si>
  <si>
    <t>10) Approximation</t>
  </si>
  <si>
    <t>11) Univariate und multivariate Funktionen</t>
  </si>
  <si>
    <t>12) Optimierung</t>
  </si>
  <si>
    <t>1) Beschreibung univariater Datensätze</t>
  </si>
  <si>
    <t>2) Beschreibung bivariater Datensätze: Zusammenhangsanalysen</t>
  </si>
  <si>
    <t>3) Zufallsvariablen und Verteilungen</t>
  </si>
  <si>
    <t>4) Verteilungsmodelle</t>
  </si>
  <si>
    <t>5) Bivariate Zufallsvariablen</t>
  </si>
  <si>
    <t>6) Mittelung bei Zufallsstichproben</t>
  </si>
  <si>
    <t>7) Parameterschätzung</t>
  </si>
  <si>
    <t>8) Konfidenzintervalle (KI)</t>
  </si>
  <si>
    <t>9) Statistische Tests</t>
  </si>
  <si>
    <t>10) Tests bei (un)verbundenen Stichproben</t>
  </si>
  <si>
    <t>11) Das lineare Regressionsmodell</t>
  </si>
  <si>
    <t>12) Tabellen zu Verteilungsfunktionen und Quantilen</t>
  </si>
  <si>
    <t>KW 42</t>
  </si>
  <si>
    <t>KW 43</t>
  </si>
  <si>
    <t>KW 44</t>
  </si>
  <si>
    <t>KW 45</t>
  </si>
  <si>
    <t>KW 46</t>
  </si>
  <si>
    <t>KW 47</t>
  </si>
  <si>
    <t>KW 48</t>
  </si>
  <si>
    <t>KW 49</t>
  </si>
  <si>
    <t>KW 50</t>
  </si>
  <si>
    <t>KW 51</t>
  </si>
  <si>
    <t>KW 52</t>
  </si>
  <si>
    <t>KW 01</t>
  </si>
  <si>
    <t>KW 02</t>
  </si>
  <si>
    <t>Kw 03</t>
  </si>
  <si>
    <t>Kw 04</t>
  </si>
  <si>
    <t>Kw 05</t>
  </si>
  <si>
    <t>Kw 06</t>
  </si>
  <si>
    <t>Kw 07</t>
  </si>
  <si>
    <t>Kw 08 Klausur</t>
  </si>
  <si>
    <t>1) Historische Wirtschaftsformen – Steinzeit bis Römisches Reich</t>
  </si>
  <si>
    <t>2) Historische Wirtschaftsformen – Mittelalter und die Scholastiker</t>
  </si>
  <si>
    <t>3) Frühe Neuzeit, Industrielle Revolution und die Klassik</t>
  </si>
  <si>
    <t>4) Ökonomische Theorie – Klassik und Marx</t>
  </si>
  <si>
    <t>5) Ökonomische Theorie – Die Neoklassik I</t>
  </si>
  <si>
    <t>6) Ökonomische Theorie – Die Neoklassik II</t>
  </si>
  <si>
    <t>7)  Nach dem 1. Weltkrieg – Fakten und die Makroökonomik</t>
  </si>
  <si>
    <t>8) Der Geld- und Güterkreislauf und das BIP</t>
  </si>
  <si>
    <t>9) Die BRD seit 1950</t>
  </si>
  <si>
    <t>10) Keynes und die keynesianische Makrotheorie I</t>
  </si>
  <si>
    <t>11) Woher kommt dauerhaftes Wirtschaftswachstum?</t>
  </si>
  <si>
    <t>12) Inflation</t>
  </si>
  <si>
    <t>13) Finanzkapitalismus und Finanzkrise</t>
  </si>
  <si>
    <t>Verteilung nach Kapitel</t>
  </si>
  <si>
    <t>Verteilung nach CP</t>
  </si>
  <si>
    <t>3 Lvl Ups</t>
  </si>
  <si>
    <t>4 Lvl Ups</t>
  </si>
  <si>
    <t>3 lvl 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</si>
</sst>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1" fontId="0" fillId="0" borderId="0" xfId="0" applyNumberFormat="1"/>
    <xf numFmtId="0" fontId="1" fillId="2" borderId="0" xfId="0" applyFont="1" applyFill="1" applyAlignment="1">
      <alignment horizontal="center"/>
    </xf>
    <xf numFmtId="168" fontId="0" fillId="5" borderId="0" xfId="0" applyNumberFormat="1" applyFill="1"/>
  </cellXfs>
  <cellStyles count="1">
    <cellStyle name="Standard" xfId="0" builtinId="0"/>
  </cellStyles>
  <dxfs count="91">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0">
  <autoFilter ref="A1:K46" xr:uid="{6E266E34-2786-2747-BCE7-51B74867A564}"/>
  <tableColumns count="11">
    <tableColumn id="1" xr3:uid="{95FD92F7-3DC8-704D-A103-A7EDDAB255AB}" name="Datum" dataDxfId="89"/>
    <tableColumn id="2" xr3:uid="{F464D510-8166-E740-A343-FB84BDEF877F}" name="Lerneinheiten durchgezogen" dataDxfId="88"/>
    <tableColumn id="3" xr3:uid="{75F52B08-1A00-0848-BBE6-1EDF7B31B1AD}" name="Tagesplan erstellt" dataDxfId="87"/>
    <tableColumn id="4" xr3:uid="{E6B18D89-E799-AD48-9DAA-37AEE1D29011}" name="Konzentrationslevel" dataDxfId="8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E24" sqref="E24"/>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13</v>
      </c>
    </row>
    <row r="8" spans="1:4" x14ac:dyDescent="0.2">
      <c r="A8" t="s">
        <v>52</v>
      </c>
      <c r="B8" s="18" t="s">
        <v>51</v>
      </c>
      <c r="D8" t="s">
        <v>75</v>
      </c>
    </row>
    <row r="9" spans="1:4" x14ac:dyDescent="0.2">
      <c r="A9" t="s">
        <v>60</v>
      </c>
      <c r="B9" s="18" t="s">
        <v>73</v>
      </c>
      <c r="D9" t="s">
        <v>76</v>
      </c>
    </row>
    <row r="10" spans="1:4" x14ac:dyDescent="0.2">
      <c r="A10" t="s">
        <v>64</v>
      </c>
      <c r="B10" t="s">
        <v>63</v>
      </c>
      <c r="C10" s="16">
        <v>13</v>
      </c>
      <c r="D10" t="s">
        <v>59</v>
      </c>
    </row>
    <row r="11" spans="1:4" x14ac:dyDescent="0.2">
      <c r="A11" t="s">
        <v>65</v>
      </c>
      <c r="B11" t="s">
        <v>67</v>
      </c>
      <c r="C11" s="16">
        <f>C7*3</f>
        <v>39</v>
      </c>
      <c r="D11" t="s">
        <v>66</v>
      </c>
    </row>
    <row r="12" spans="1:4" x14ac:dyDescent="0.2">
      <c r="A12" t="s">
        <v>69</v>
      </c>
      <c r="B12" t="s">
        <v>68</v>
      </c>
      <c r="C12" s="22">
        <f>C11/C10</f>
        <v>3</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75"/>
  <sheetViews>
    <sheetView showGridLines="0" tabSelected="1" zoomScale="70" zoomScaleNormal="70" workbookViewId="0">
      <pane xSplit="12" topLeftCell="CB1" activePane="topRight" state="frozen"/>
      <selection pane="topRight" activeCell="CF67" sqref="CF67"/>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103"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5" max="105" width="8.6640625" bestFit="1" customWidth="1"/>
    <col min="106" max="106" width="12.33203125" bestFit="1" customWidth="1"/>
    <col min="107" max="107" width="4.33203125" bestFit="1" customWidth="1"/>
    <col min="108" max="108" width="15.33203125" bestFit="1" customWidth="1"/>
    <col min="109" max="109" width="4.33203125" bestFit="1" customWidth="1"/>
    <col min="110" max="110" width="13.33203125" bestFit="1" customWidth="1"/>
    <col min="111" max="111" width="1.83203125" customWidth="1"/>
    <col min="112" max="112" width="8.6640625" bestFit="1" customWidth="1"/>
    <col min="113" max="113" width="12.33203125" bestFit="1" customWidth="1"/>
    <col min="114" max="114" width="4.33203125" bestFit="1" customWidth="1"/>
    <col min="115" max="115" width="15.33203125" bestFit="1" customWidth="1"/>
    <col min="116" max="116" width="4.33203125" bestFit="1" customWidth="1"/>
    <col min="117" max="117" width="13.33203125" bestFit="1" customWidth="1"/>
    <col min="119" max="119" width="8.6640625" bestFit="1" customWidth="1"/>
    <col min="120" max="120" width="12.33203125" bestFit="1" customWidth="1"/>
    <col min="121" max="121" width="4.33203125" bestFit="1" customWidth="1"/>
    <col min="122" max="122" width="15.33203125" bestFit="1" customWidth="1"/>
    <col min="123" max="123" width="4.33203125" bestFit="1" customWidth="1"/>
    <col min="124" max="124" width="13.33203125" bestFit="1" customWidth="1"/>
    <col min="126" max="126" width="8.6640625" bestFit="1" customWidth="1"/>
    <col min="127" max="127" width="12.33203125" bestFit="1" customWidth="1"/>
    <col min="128" max="128" width="4.33203125" bestFit="1" customWidth="1"/>
    <col min="129" max="129" width="15.33203125" bestFit="1" customWidth="1"/>
    <col min="130" max="130" width="4.33203125" bestFit="1" customWidth="1"/>
    <col min="131" max="131" width="13.33203125" bestFit="1" customWidth="1"/>
    <col min="133" max="133" width="8.6640625" bestFit="1" customWidth="1"/>
    <col min="134" max="134" width="12.33203125" bestFit="1" customWidth="1"/>
    <col min="135" max="135" width="4.33203125" bestFit="1" customWidth="1"/>
    <col min="136" max="136" width="15.33203125" bestFit="1" customWidth="1"/>
    <col min="137" max="137" width="4.33203125" bestFit="1" customWidth="1"/>
    <col min="138" max="138" width="13.33203125" bestFit="1" customWidth="1"/>
    <col min="140" max="140" width="8.6640625" bestFit="1" customWidth="1"/>
    <col min="141" max="141" width="12.33203125" bestFit="1" customWidth="1"/>
    <col min="142" max="142" width="4.33203125" bestFit="1" customWidth="1"/>
    <col min="143" max="143" width="15.33203125" bestFit="1" customWidth="1"/>
    <col min="144" max="144" width="4.33203125" bestFit="1" customWidth="1"/>
    <col min="145" max="145" width="13.33203125" bestFit="1" customWidth="1"/>
  </cols>
  <sheetData>
    <row r="1" spans="2:145" ht="34" x14ac:dyDescent="0.4">
      <c r="B1" s="4" t="s">
        <v>0</v>
      </c>
      <c r="D1" s="4"/>
      <c r="G1" s="13" t="s">
        <v>34</v>
      </c>
      <c r="I1" s="13" t="s">
        <v>34</v>
      </c>
      <c r="J1" s="13" t="s">
        <v>34</v>
      </c>
      <c r="K1" s="13" t="s">
        <v>34</v>
      </c>
    </row>
    <row r="2" spans="2:145" x14ac:dyDescent="0.2">
      <c r="I2" s="21" t="s">
        <v>27</v>
      </c>
      <c r="J2" s="21"/>
      <c r="K2" s="21"/>
      <c r="L2" s="21"/>
      <c r="N2" s="21" t="s">
        <v>131</v>
      </c>
      <c r="O2" s="21"/>
      <c r="P2" s="21"/>
      <c r="Q2" s="21"/>
      <c r="R2" s="21"/>
      <c r="S2" s="21"/>
      <c r="U2" s="21" t="s">
        <v>132</v>
      </c>
      <c r="V2" s="21"/>
      <c r="W2" s="21"/>
      <c r="X2" s="21"/>
      <c r="Y2" s="21"/>
      <c r="Z2" s="21"/>
      <c r="AB2" s="21" t="s">
        <v>133</v>
      </c>
      <c r="AC2" s="21"/>
      <c r="AD2" s="21"/>
      <c r="AE2" s="21"/>
      <c r="AF2" s="21"/>
      <c r="AG2" s="21"/>
      <c r="AI2" s="21" t="s">
        <v>134</v>
      </c>
      <c r="AJ2" s="21"/>
      <c r="AK2" s="21"/>
      <c r="AL2" s="21"/>
      <c r="AM2" s="21"/>
      <c r="AN2" s="21"/>
      <c r="AP2" s="21" t="s">
        <v>135</v>
      </c>
      <c r="AQ2" s="21"/>
      <c r="AR2" s="21"/>
      <c r="AS2" s="21"/>
      <c r="AT2" s="21"/>
      <c r="AU2" s="21"/>
      <c r="AW2" s="21" t="s">
        <v>136</v>
      </c>
      <c r="AX2" s="21"/>
      <c r="AY2" s="21"/>
      <c r="AZ2" s="21"/>
      <c r="BA2" s="21"/>
      <c r="BB2" s="21"/>
      <c r="BD2" s="21" t="s">
        <v>137</v>
      </c>
      <c r="BE2" s="21"/>
      <c r="BF2" s="21"/>
      <c r="BG2" s="21"/>
      <c r="BH2" s="21"/>
      <c r="BI2" s="21"/>
      <c r="BK2" s="21" t="s">
        <v>138</v>
      </c>
      <c r="BL2" s="21"/>
      <c r="BM2" s="21"/>
      <c r="BN2" s="21"/>
      <c r="BO2" s="21"/>
      <c r="BP2" s="21"/>
      <c r="BR2" s="21" t="s">
        <v>139</v>
      </c>
      <c r="BS2" s="21"/>
      <c r="BT2" s="21"/>
      <c r="BU2" s="21"/>
      <c r="BV2" s="21"/>
      <c r="BW2" s="21"/>
      <c r="BY2" s="21" t="s">
        <v>140</v>
      </c>
      <c r="BZ2" s="21"/>
      <c r="CA2" s="21"/>
      <c r="CB2" s="21"/>
      <c r="CC2" s="21"/>
      <c r="CD2" s="21"/>
      <c r="CF2" s="21" t="s">
        <v>141</v>
      </c>
      <c r="CG2" s="21"/>
      <c r="CH2" s="21"/>
      <c r="CI2" s="21"/>
      <c r="CJ2" s="21"/>
      <c r="CK2" s="21"/>
      <c r="CM2" s="21" t="s">
        <v>142</v>
      </c>
      <c r="CN2" s="21"/>
      <c r="CO2" s="21"/>
      <c r="CP2" s="21"/>
      <c r="CQ2" s="21"/>
      <c r="CR2" s="21"/>
      <c r="CT2" s="21" t="s">
        <v>143</v>
      </c>
      <c r="CU2" s="21"/>
      <c r="CV2" s="21"/>
      <c r="CW2" s="21"/>
      <c r="CX2" s="21"/>
      <c r="CY2" s="21"/>
      <c r="DA2" s="21" t="s">
        <v>144</v>
      </c>
      <c r="DB2" s="21"/>
      <c r="DC2" s="21"/>
      <c r="DD2" s="21"/>
      <c r="DE2" s="21"/>
      <c r="DF2" s="21"/>
      <c r="DH2" s="21" t="s">
        <v>145</v>
      </c>
      <c r="DI2" s="21"/>
      <c r="DJ2" s="21"/>
      <c r="DK2" s="21"/>
      <c r="DL2" s="21"/>
      <c r="DM2" s="21"/>
      <c r="DO2" s="21" t="s">
        <v>146</v>
      </c>
      <c r="DP2" s="21"/>
      <c r="DQ2" s="21"/>
      <c r="DR2" s="21"/>
      <c r="DS2" s="21"/>
      <c r="DT2" s="21"/>
      <c r="DV2" s="21" t="s">
        <v>147</v>
      </c>
      <c r="DW2" s="21"/>
      <c r="DX2" s="21"/>
      <c r="DY2" s="21"/>
      <c r="DZ2" s="21"/>
      <c r="EA2" s="21"/>
      <c r="EC2" s="21" t="s">
        <v>148</v>
      </c>
      <c r="ED2" s="21"/>
      <c r="EE2" s="21"/>
      <c r="EF2" s="21"/>
      <c r="EG2" s="21"/>
      <c r="EH2" s="21"/>
      <c r="EJ2" s="21" t="s">
        <v>149</v>
      </c>
      <c r="EK2" s="21"/>
      <c r="EL2" s="21"/>
      <c r="EM2" s="21"/>
      <c r="EN2" s="21"/>
      <c r="EO2" s="21"/>
    </row>
    <row r="3" spans="2:145"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row>
    <row r="4" spans="2:145" x14ac:dyDescent="0.2">
      <c r="B4" t="s">
        <v>27</v>
      </c>
      <c r="C4" t="s">
        <v>88</v>
      </c>
      <c r="D4" s="19">
        <v>45709</v>
      </c>
      <c r="E4" s="9">
        <v>10</v>
      </c>
      <c r="F4" t="s">
        <v>165</v>
      </c>
      <c r="G4" s="10">
        <f>+SUM(G5:G16)</f>
        <v>1</v>
      </c>
      <c r="I4" s="12">
        <f>+SUM(I5:I16)</f>
        <v>0</v>
      </c>
      <c r="J4" s="11">
        <f>+SUMPRODUCT(G5:G16,J5:J16)</f>
        <v>0</v>
      </c>
      <c r="K4" s="11">
        <f>+SUMPRODUCT(G5:G16,K5:K16)</f>
        <v>0</v>
      </c>
      <c r="L4" s="9"/>
      <c r="N4" s="12"/>
      <c r="U4" s="12"/>
      <c r="AB4" s="12"/>
      <c r="AI4" s="12"/>
      <c r="AP4" s="12"/>
      <c r="AW4" s="12"/>
      <c r="BD4" s="12"/>
      <c r="BK4" s="12"/>
      <c r="BR4" s="12"/>
      <c r="BY4" s="12"/>
      <c r="CF4" s="12"/>
      <c r="CM4" s="12"/>
      <c r="CT4" s="12"/>
      <c r="DA4" s="12"/>
      <c r="DH4" s="12"/>
      <c r="DO4" s="12"/>
      <c r="DV4" s="12"/>
      <c r="EC4" s="12"/>
      <c r="EJ4" s="12"/>
    </row>
    <row r="5" spans="2:145" outlineLevel="1" x14ac:dyDescent="0.2">
      <c r="B5" t="s">
        <v>28</v>
      </c>
      <c r="C5" t="s">
        <v>88</v>
      </c>
      <c r="E5" s="9"/>
      <c r="F5" t="s">
        <v>107</v>
      </c>
      <c r="G5" s="10">
        <v>0.1</v>
      </c>
      <c r="I5" s="9">
        <f>+SUMIF($N$3:$ZS$3,I$3,$N5:$ZS5)</f>
        <v>0</v>
      </c>
      <c r="J5" s="11" cm="1">
        <f t="array" ref="J5">MAX(IF($N$3:$EH$3=$J$3,N5:EH5))</f>
        <v>0</v>
      </c>
      <c r="K5" s="11" cm="1">
        <f t="array" ref="K5">MAX(IF($N$3:$EH$3=$J$3,N5:EH5))</f>
        <v>0</v>
      </c>
      <c r="L5" s="9"/>
      <c r="O5" s="10"/>
      <c r="P5" s="10">
        <v>0.5</v>
      </c>
      <c r="Q5" s="10"/>
      <c r="R5" s="10">
        <v>0.5</v>
      </c>
      <c r="V5" s="10"/>
      <c r="W5" s="10">
        <v>0.8</v>
      </c>
      <c r="X5" s="10"/>
      <c r="Y5" s="10">
        <v>0.8</v>
      </c>
      <c r="AC5" s="10"/>
      <c r="AD5" s="10">
        <v>0.8</v>
      </c>
      <c r="AE5" s="10"/>
      <c r="AF5" s="10">
        <v>0.8</v>
      </c>
      <c r="AJ5" s="10"/>
      <c r="AK5" s="10">
        <v>0.8</v>
      </c>
      <c r="AL5" s="10"/>
      <c r="AM5" s="10">
        <v>0.8</v>
      </c>
      <c r="AQ5" s="10"/>
      <c r="AR5" s="10">
        <v>1</v>
      </c>
      <c r="AS5" s="10"/>
      <c r="AT5" s="10">
        <v>1</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c r="DW5" s="10"/>
      <c r="DX5" s="10"/>
      <c r="DY5" s="10"/>
      <c r="DZ5" s="10"/>
      <c r="ED5" s="10"/>
      <c r="EE5" s="10"/>
      <c r="EF5" s="10"/>
      <c r="EG5" s="10"/>
      <c r="EK5" s="10"/>
      <c r="EL5" s="10"/>
      <c r="EM5" s="10"/>
      <c r="EN5" s="10"/>
    </row>
    <row r="6" spans="2:145" outlineLevel="1" x14ac:dyDescent="0.2">
      <c r="B6" t="s">
        <v>28</v>
      </c>
      <c r="C6" t="s">
        <v>88</v>
      </c>
      <c r="E6" s="9"/>
      <c r="F6" t="s">
        <v>108</v>
      </c>
      <c r="G6" s="10">
        <v>0.1</v>
      </c>
      <c r="I6" s="9">
        <f>+SUMIF($N$3:$ZS$3,I$3,$N6:$ZS6)</f>
        <v>0</v>
      </c>
      <c r="J6" s="11" cm="1">
        <f t="array" ref="J6">MAX(IF($N$3:$EH$3=$J$3,N6:EH6))</f>
        <v>0</v>
      </c>
      <c r="K6" s="11" cm="1">
        <f t="array" ref="K6">MAX(IF($N$3:$EH$3=$J$3,N6:EH6))</f>
        <v>0</v>
      </c>
      <c r="L6" s="9"/>
      <c r="O6" s="10"/>
      <c r="P6" s="10">
        <v>0.5</v>
      </c>
      <c r="Q6" s="10"/>
      <c r="R6" s="10">
        <v>0.5</v>
      </c>
      <c r="V6" s="10"/>
      <c r="W6" s="10">
        <v>0.5</v>
      </c>
      <c r="X6" s="10"/>
      <c r="Y6" s="10">
        <v>0.5</v>
      </c>
      <c r="AC6" s="10"/>
      <c r="AD6" s="10">
        <v>0.8</v>
      </c>
      <c r="AE6" s="10"/>
      <c r="AF6" s="10">
        <v>0.8</v>
      </c>
      <c r="AJ6" s="10"/>
      <c r="AK6" s="10">
        <v>0.8</v>
      </c>
      <c r="AL6" s="10"/>
      <c r="AM6" s="10">
        <v>0.8</v>
      </c>
      <c r="AQ6" s="10"/>
      <c r="AR6" s="10">
        <v>1</v>
      </c>
      <c r="AS6" s="10"/>
      <c r="AT6" s="10">
        <v>1</v>
      </c>
      <c r="AX6" s="10"/>
      <c r="AY6" s="10">
        <v>1</v>
      </c>
      <c r="AZ6" s="10"/>
      <c r="BA6" s="10">
        <v>1</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c r="DW6" s="10"/>
      <c r="DX6" s="10"/>
      <c r="DY6" s="10"/>
      <c r="DZ6" s="10"/>
      <c r="ED6" s="10"/>
      <c r="EE6" s="10"/>
      <c r="EF6" s="10"/>
      <c r="EG6" s="10"/>
      <c r="EK6" s="10"/>
      <c r="EL6" s="10"/>
      <c r="EM6" s="10"/>
      <c r="EN6" s="10"/>
    </row>
    <row r="7" spans="2:145" outlineLevel="1" x14ac:dyDescent="0.2">
      <c r="B7" t="s">
        <v>28</v>
      </c>
      <c r="C7" t="s">
        <v>88</v>
      </c>
      <c r="E7" s="9"/>
      <c r="F7" t="s">
        <v>109</v>
      </c>
      <c r="G7" s="10">
        <v>0.1</v>
      </c>
      <c r="I7" s="9">
        <f>+SUMIF($N$3:$ZS$3,I$3,$N7:$ZS7)</f>
        <v>0</v>
      </c>
      <c r="J7" s="11" cm="1">
        <f t="array" ref="J7">MAX(IF($N$3:$EH$3=$J$3,N7:EH7))</f>
        <v>0</v>
      </c>
      <c r="K7" s="11" cm="1">
        <f t="array" ref="K7">MAX(IF($N$3:$EH$3=$J$3,N7:EH7))</f>
        <v>0</v>
      </c>
      <c r="L7" s="9"/>
      <c r="O7" s="10"/>
      <c r="P7" s="10">
        <v>0.5</v>
      </c>
      <c r="Q7" s="10"/>
      <c r="R7" s="10">
        <v>0.5</v>
      </c>
      <c r="V7" s="10"/>
      <c r="W7" s="10">
        <v>0.5</v>
      </c>
      <c r="X7" s="10"/>
      <c r="Y7" s="10">
        <v>0.5</v>
      </c>
      <c r="AC7" s="10"/>
      <c r="AD7" s="10">
        <v>0.5</v>
      </c>
      <c r="AE7" s="10"/>
      <c r="AF7" s="10">
        <v>0.5</v>
      </c>
      <c r="AJ7" s="10"/>
      <c r="AK7" s="10">
        <v>0.8</v>
      </c>
      <c r="AL7" s="10"/>
      <c r="AM7" s="10">
        <v>0.8</v>
      </c>
      <c r="AQ7" s="10"/>
      <c r="AR7" s="10">
        <v>0.8</v>
      </c>
      <c r="AS7" s="10"/>
      <c r="AT7" s="10">
        <v>0.8</v>
      </c>
      <c r="AX7" s="10"/>
      <c r="AY7" s="10">
        <v>0.8</v>
      </c>
      <c r="AZ7" s="10"/>
      <c r="BA7" s="10">
        <v>0.8</v>
      </c>
      <c r="BE7" s="10"/>
      <c r="BF7" s="10">
        <v>0.8</v>
      </c>
      <c r="BG7" s="10"/>
      <c r="BH7" s="10">
        <v>0.8</v>
      </c>
      <c r="BL7" s="10"/>
      <c r="BM7" s="10">
        <v>1</v>
      </c>
      <c r="BN7" s="10"/>
      <c r="BO7" s="10">
        <v>1</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c r="DD7" s="10"/>
      <c r="DE7" s="10"/>
      <c r="DI7" s="10"/>
      <c r="DJ7" s="10"/>
      <c r="DK7" s="10"/>
      <c r="DL7" s="10"/>
      <c r="DP7" s="10"/>
      <c r="DQ7" s="10"/>
      <c r="DR7" s="10"/>
      <c r="DS7" s="10"/>
      <c r="DW7" s="10"/>
      <c r="DX7" s="10"/>
      <c r="DY7" s="10"/>
      <c r="DZ7" s="10"/>
      <c r="ED7" s="10"/>
      <c r="EE7" s="10"/>
      <c r="EF7" s="10"/>
      <c r="EG7" s="10"/>
      <c r="EK7" s="10"/>
      <c r="EL7" s="10"/>
      <c r="EM7" s="10"/>
      <c r="EN7" s="10"/>
    </row>
    <row r="8" spans="2:145" outlineLevel="1" x14ac:dyDescent="0.2">
      <c r="B8" t="s">
        <v>28</v>
      </c>
      <c r="C8" t="s">
        <v>88</v>
      </c>
      <c r="E8" s="9"/>
      <c r="F8" t="s">
        <v>110</v>
      </c>
      <c r="G8" s="10">
        <v>0.1</v>
      </c>
      <c r="I8" s="9">
        <f>+SUMIF($N$3:$ZS$3,I$3,$N8:$ZS8)</f>
        <v>0</v>
      </c>
      <c r="J8" s="11" cm="1">
        <f t="array" ref="J8">MAX(IF($N$3:$EH$3=$J$3,N8:EH8))</f>
        <v>0</v>
      </c>
      <c r="K8" s="11" cm="1">
        <f t="array" ref="K8">MAX(IF($N$3:$EH$3=$J$3,N8:EH8))</f>
        <v>0</v>
      </c>
      <c r="L8" s="9"/>
      <c r="O8" s="10"/>
      <c r="P8" s="10"/>
      <c r="Q8" s="10"/>
      <c r="R8" s="10"/>
      <c r="V8" s="10"/>
      <c r="W8" s="10">
        <v>0.5</v>
      </c>
      <c r="X8" s="10"/>
      <c r="Y8" s="10">
        <v>0.5</v>
      </c>
      <c r="AC8" s="10"/>
      <c r="AD8" s="10">
        <v>0.5</v>
      </c>
      <c r="AE8" s="10"/>
      <c r="AF8" s="10">
        <v>0.5</v>
      </c>
      <c r="AJ8" s="10"/>
      <c r="AK8" s="10">
        <v>0.5</v>
      </c>
      <c r="AL8" s="10"/>
      <c r="AM8" s="10">
        <v>0.5</v>
      </c>
      <c r="AQ8" s="10"/>
      <c r="AR8" s="10">
        <v>0.5</v>
      </c>
      <c r="AS8" s="10"/>
      <c r="AT8" s="10">
        <v>0.5</v>
      </c>
      <c r="AX8" s="10"/>
      <c r="AY8" s="10">
        <v>0.8</v>
      </c>
      <c r="AZ8" s="10"/>
      <c r="BA8" s="10">
        <v>0.8</v>
      </c>
      <c r="BE8" s="10"/>
      <c r="BF8" s="10">
        <v>0.8</v>
      </c>
      <c r="BG8" s="10"/>
      <c r="BH8" s="10">
        <v>0.8</v>
      </c>
      <c r="BL8" s="10"/>
      <c r="BM8" s="10">
        <v>0.8</v>
      </c>
      <c r="BN8" s="10"/>
      <c r="BO8" s="10">
        <v>0.8</v>
      </c>
      <c r="BS8" s="10"/>
      <c r="BT8" s="10">
        <v>1</v>
      </c>
      <c r="BU8" s="10"/>
      <c r="BV8" s="10">
        <v>1</v>
      </c>
      <c r="BZ8" s="10"/>
      <c r="CA8" s="10">
        <v>1</v>
      </c>
      <c r="CB8" s="10"/>
      <c r="CC8" s="10">
        <v>1</v>
      </c>
      <c r="CG8" s="10"/>
      <c r="CH8" s="10">
        <v>1</v>
      </c>
      <c r="CI8" s="10"/>
      <c r="CJ8" s="10">
        <v>1</v>
      </c>
      <c r="CN8" s="10"/>
      <c r="CO8" s="10">
        <v>1</v>
      </c>
      <c r="CP8" s="10"/>
      <c r="CQ8" s="10">
        <v>1</v>
      </c>
      <c r="CU8" s="10"/>
      <c r="CV8" s="10">
        <v>1</v>
      </c>
      <c r="CW8" s="10"/>
      <c r="CX8" s="10">
        <v>1</v>
      </c>
      <c r="DB8" s="10"/>
      <c r="DC8" s="10"/>
      <c r="DD8" s="10"/>
      <c r="DE8" s="10"/>
      <c r="DI8" s="10"/>
      <c r="DJ8" s="10"/>
      <c r="DK8" s="10"/>
      <c r="DL8" s="10"/>
      <c r="DP8" s="10"/>
      <c r="DQ8" s="10"/>
      <c r="DR8" s="10"/>
      <c r="DS8" s="10"/>
      <c r="DW8" s="10"/>
      <c r="DX8" s="10"/>
      <c r="DY8" s="10"/>
      <c r="DZ8" s="10"/>
      <c r="ED8" s="10"/>
      <c r="EE8" s="10"/>
      <c r="EF8" s="10"/>
      <c r="EG8" s="10"/>
      <c r="EK8" s="10"/>
      <c r="EL8" s="10"/>
      <c r="EM8" s="10"/>
      <c r="EN8" s="10"/>
    </row>
    <row r="9" spans="2:145" outlineLevel="1" x14ac:dyDescent="0.2">
      <c r="B9" t="s">
        <v>28</v>
      </c>
      <c r="C9" t="s">
        <v>88</v>
      </c>
      <c r="E9" s="9"/>
      <c r="F9" t="s">
        <v>111</v>
      </c>
      <c r="G9" s="10">
        <v>0.1</v>
      </c>
      <c r="I9" s="9">
        <f t="shared" ref="I9:I15" si="0">+SUMIF($N$3:$ZS$3,I$3,$N9:$ZS9)</f>
        <v>0</v>
      </c>
      <c r="J9" s="11" cm="1">
        <f t="array" ref="J9">MAX(IF($N$3:$EH$3=$J$3,N9:EH9))</f>
        <v>0</v>
      </c>
      <c r="K9" s="11" cm="1">
        <f t="array" ref="K9">MAX(IF($N$3:$EH$3=$J$3,N9:EH9))</f>
        <v>0</v>
      </c>
      <c r="L9" s="9"/>
      <c r="O9" s="10"/>
      <c r="P9" s="10"/>
      <c r="Q9" s="10"/>
      <c r="R9" s="10"/>
      <c r="V9" s="10"/>
      <c r="W9" s="10"/>
      <c r="X9" s="10"/>
      <c r="Y9" s="10"/>
      <c r="AC9" s="10"/>
      <c r="AD9" s="10">
        <v>0.5</v>
      </c>
      <c r="AE9" s="10"/>
      <c r="AF9" s="10">
        <v>0.5</v>
      </c>
      <c r="AJ9" s="10"/>
      <c r="AK9" s="10">
        <v>0.5</v>
      </c>
      <c r="AL9" s="10"/>
      <c r="AM9" s="10">
        <v>0.5</v>
      </c>
      <c r="AQ9" s="10"/>
      <c r="AR9" s="10">
        <v>0.5</v>
      </c>
      <c r="AS9" s="10"/>
      <c r="AT9" s="10">
        <v>0.5</v>
      </c>
      <c r="AX9" s="10"/>
      <c r="AY9" s="10">
        <v>0.8</v>
      </c>
      <c r="AZ9" s="10"/>
      <c r="BA9" s="10">
        <v>0.8</v>
      </c>
      <c r="BE9" s="10"/>
      <c r="BF9" s="10">
        <v>0.8</v>
      </c>
      <c r="BG9" s="10"/>
      <c r="BH9" s="10">
        <v>0.8</v>
      </c>
      <c r="BL9" s="10"/>
      <c r="BM9" s="10">
        <v>0.8</v>
      </c>
      <c r="BN9" s="10"/>
      <c r="BO9" s="10">
        <v>0.8</v>
      </c>
      <c r="BS9" s="10"/>
      <c r="BT9" s="10">
        <v>0.8</v>
      </c>
      <c r="BU9" s="10"/>
      <c r="BV9" s="10">
        <v>0.8</v>
      </c>
      <c r="BZ9" s="10"/>
      <c r="CA9" s="10">
        <v>1</v>
      </c>
      <c r="CB9" s="10"/>
      <c r="CC9" s="10">
        <v>1</v>
      </c>
      <c r="CG9" s="10"/>
      <c r="CH9" s="10">
        <v>1</v>
      </c>
      <c r="CI9" s="10"/>
      <c r="CJ9" s="10">
        <v>1</v>
      </c>
      <c r="CN9" s="10"/>
      <c r="CO9" s="10">
        <v>1</v>
      </c>
      <c r="CP9" s="10"/>
      <c r="CQ9" s="10">
        <v>1</v>
      </c>
      <c r="CU9" s="10"/>
      <c r="CV9" s="10">
        <v>1</v>
      </c>
      <c r="CW9" s="10"/>
      <c r="CX9" s="10">
        <v>1</v>
      </c>
      <c r="DB9" s="10"/>
      <c r="DC9" s="10"/>
      <c r="DD9" s="10"/>
      <c r="DE9" s="10"/>
      <c r="DI9" s="10"/>
      <c r="DJ9" s="10"/>
      <c r="DK9" s="10"/>
      <c r="DL9" s="10"/>
      <c r="DP9" s="10"/>
      <c r="DQ9" s="10"/>
      <c r="DR9" s="10"/>
      <c r="DS9" s="10"/>
      <c r="DW9" s="10"/>
      <c r="DX9" s="10"/>
      <c r="DY9" s="10"/>
      <c r="DZ9" s="10"/>
      <c r="ED9" s="10"/>
      <c r="EE9" s="10"/>
      <c r="EF9" s="10"/>
      <c r="EG9" s="10"/>
      <c r="EK9" s="10"/>
      <c r="EL9" s="10"/>
      <c r="EM9" s="10"/>
      <c r="EN9" s="10"/>
    </row>
    <row r="10" spans="2:145" outlineLevel="1" x14ac:dyDescent="0.2">
      <c r="B10" t="s">
        <v>28</v>
      </c>
      <c r="C10" t="s">
        <v>88</v>
      </c>
      <c r="E10" s="9"/>
      <c r="F10" t="s">
        <v>112</v>
      </c>
      <c r="G10" s="10">
        <v>0.1</v>
      </c>
      <c r="I10" s="9">
        <f t="shared" si="0"/>
        <v>0</v>
      </c>
      <c r="J10" s="11" cm="1">
        <f t="array" ref="J10">MAX(IF($N$3:$EH$3=$J$3,N10:EH10))</f>
        <v>0</v>
      </c>
      <c r="K10" s="11" cm="1">
        <f t="array" ref="K10">MAX(IF($N$3:$EH$3=$J$3,N10:EH10))</f>
        <v>0</v>
      </c>
      <c r="L10" s="9"/>
      <c r="O10" s="10"/>
      <c r="P10" s="10"/>
      <c r="Q10" s="10"/>
      <c r="R10" s="10"/>
      <c r="V10" s="10"/>
      <c r="W10" s="10"/>
      <c r="X10" s="10"/>
      <c r="Y10" s="10"/>
      <c r="AC10" s="10"/>
      <c r="AD10" s="10">
        <v>0.5</v>
      </c>
      <c r="AE10" s="10"/>
      <c r="AF10" s="10">
        <v>0.5</v>
      </c>
      <c r="AJ10" s="10"/>
      <c r="AK10" s="10">
        <v>0.5</v>
      </c>
      <c r="AL10" s="10"/>
      <c r="AM10" s="10">
        <v>0.5</v>
      </c>
      <c r="AQ10" s="10"/>
      <c r="AR10" s="10">
        <v>0.5</v>
      </c>
      <c r="AS10" s="10"/>
      <c r="AT10" s="10">
        <v>0.5</v>
      </c>
      <c r="AX10" s="10"/>
      <c r="AY10" s="10">
        <v>0.5</v>
      </c>
      <c r="AZ10" s="10"/>
      <c r="BA10" s="10">
        <v>0.5</v>
      </c>
      <c r="BE10" s="10"/>
      <c r="BF10" s="10">
        <v>0.8</v>
      </c>
      <c r="BG10" s="10"/>
      <c r="BH10" s="10">
        <v>0.8</v>
      </c>
      <c r="BL10" s="10"/>
      <c r="BM10" s="10">
        <v>0.8</v>
      </c>
      <c r="BN10" s="10"/>
      <c r="BO10" s="10">
        <v>0.8</v>
      </c>
      <c r="BS10" s="10"/>
      <c r="BT10" s="10">
        <v>0.8</v>
      </c>
      <c r="BU10" s="10"/>
      <c r="BV10" s="10">
        <v>0.8</v>
      </c>
      <c r="BZ10" s="10"/>
      <c r="CA10" s="10">
        <v>1</v>
      </c>
      <c r="CB10" s="10"/>
      <c r="CC10" s="10">
        <v>1</v>
      </c>
      <c r="CG10" s="10"/>
      <c r="CH10" s="10">
        <v>1</v>
      </c>
      <c r="CI10" s="10"/>
      <c r="CJ10" s="10">
        <v>1</v>
      </c>
      <c r="CN10" s="10"/>
      <c r="CO10" s="10">
        <v>1</v>
      </c>
      <c r="CP10" s="10"/>
      <c r="CQ10" s="10">
        <v>1</v>
      </c>
      <c r="CU10" s="10"/>
      <c r="CV10" s="10">
        <v>1</v>
      </c>
      <c r="CW10" s="10"/>
      <c r="CX10" s="10">
        <v>1</v>
      </c>
      <c r="DB10" s="10"/>
      <c r="DC10" s="10"/>
      <c r="DD10" s="10"/>
      <c r="DE10" s="10"/>
      <c r="DI10" s="10"/>
      <c r="DJ10" s="10"/>
      <c r="DK10" s="10"/>
      <c r="DL10" s="10"/>
      <c r="DP10" s="10"/>
      <c r="DQ10" s="10"/>
      <c r="DR10" s="10"/>
      <c r="DS10" s="10"/>
      <c r="DW10" s="10"/>
      <c r="DX10" s="10"/>
      <c r="DY10" s="10"/>
      <c r="DZ10" s="10"/>
      <c r="ED10" s="10"/>
      <c r="EE10" s="10"/>
      <c r="EF10" s="10"/>
      <c r="EG10" s="10"/>
      <c r="EK10" s="10"/>
      <c r="EL10" s="10"/>
      <c r="EM10" s="10"/>
      <c r="EN10" s="10"/>
    </row>
    <row r="11" spans="2:145" outlineLevel="1" x14ac:dyDescent="0.2">
      <c r="B11" t="s">
        <v>28</v>
      </c>
      <c r="C11" t="s">
        <v>88</v>
      </c>
      <c r="E11" s="9"/>
      <c r="F11" t="s">
        <v>113</v>
      </c>
      <c r="G11" s="10">
        <v>0.1</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v>0.5</v>
      </c>
      <c r="AL11" s="10"/>
      <c r="AM11" s="10">
        <v>0.5</v>
      </c>
      <c r="AQ11" s="10"/>
      <c r="AR11" s="10">
        <v>0.5</v>
      </c>
      <c r="AS11" s="10"/>
      <c r="AT11" s="10">
        <v>0.5</v>
      </c>
      <c r="AX11" s="10"/>
      <c r="AY11" s="10">
        <v>0.5</v>
      </c>
      <c r="AZ11" s="10"/>
      <c r="BA11" s="10">
        <v>0.5</v>
      </c>
      <c r="BE11" s="10"/>
      <c r="BF11" s="10">
        <v>0.5</v>
      </c>
      <c r="BG11" s="10"/>
      <c r="BH11" s="10">
        <v>0.5</v>
      </c>
      <c r="BL11" s="10"/>
      <c r="BM11" s="10">
        <v>0.8</v>
      </c>
      <c r="BN11" s="10"/>
      <c r="BO11" s="10">
        <v>0.8</v>
      </c>
      <c r="BS11" s="10"/>
      <c r="BT11" s="10">
        <v>0.8</v>
      </c>
      <c r="BU11" s="10"/>
      <c r="BV11" s="10">
        <v>0.8</v>
      </c>
      <c r="BZ11" s="10"/>
      <c r="CA11" s="10">
        <v>0.8</v>
      </c>
      <c r="CB11" s="10"/>
      <c r="CC11" s="10">
        <v>0.8</v>
      </c>
      <c r="CG11" s="10"/>
      <c r="CH11" s="10">
        <v>1</v>
      </c>
      <c r="CI11" s="10"/>
      <c r="CJ11" s="10">
        <v>1</v>
      </c>
      <c r="CN11" s="10"/>
      <c r="CO11" s="10">
        <v>1</v>
      </c>
      <c r="CP11" s="10"/>
      <c r="CQ11" s="10">
        <v>1</v>
      </c>
      <c r="CU11" s="10"/>
      <c r="CV11" s="10">
        <v>1</v>
      </c>
      <c r="CW11" s="10"/>
      <c r="CX11" s="10">
        <v>1</v>
      </c>
      <c r="DB11" s="10"/>
      <c r="DC11" s="10"/>
      <c r="DD11" s="10"/>
      <c r="DE11" s="10"/>
      <c r="DI11" s="10"/>
      <c r="DJ11" s="10"/>
      <c r="DK11" s="10"/>
      <c r="DL11" s="10"/>
      <c r="DP11" s="10"/>
      <c r="DQ11" s="10"/>
      <c r="DR11" s="10"/>
      <c r="DS11" s="10"/>
      <c r="DW11" s="10"/>
      <c r="DX11" s="10"/>
      <c r="DY11" s="10"/>
      <c r="DZ11" s="10"/>
      <c r="ED11" s="10"/>
      <c r="EE11" s="10"/>
      <c r="EF11" s="10"/>
      <c r="EG11" s="10"/>
      <c r="EK11" s="10"/>
      <c r="EL11" s="10"/>
      <c r="EM11" s="10"/>
      <c r="EN11" s="10"/>
    </row>
    <row r="12" spans="2:145" outlineLevel="1" x14ac:dyDescent="0.2">
      <c r="B12" t="s">
        <v>28</v>
      </c>
      <c r="C12" t="s">
        <v>88</v>
      </c>
      <c r="E12" s="9"/>
      <c r="F12" t="s">
        <v>114</v>
      </c>
      <c r="G12" s="10">
        <v>0.1</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v>0.5</v>
      </c>
      <c r="AL12" s="10"/>
      <c r="AM12" s="10">
        <v>0.5</v>
      </c>
      <c r="AQ12" s="10"/>
      <c r="AR12" s="10">
        <v>0.5</v>
      </c>
      <c r="AS12" s="10"/>
      <c r="AT12" s="10">
        <v>0.5</v>
      </c>
      <c r="AX12" s="10"/>
      <c r="AY12" s="10">
        <v>0.5</v>
      </c>
      <c r="AZ12" s="10"/>
      <c r="BA12" s="10">
        <v>0.5</v>
      </c>
      <c r="BE12" s="10"/>
      <c r="BF12" s="10">
        <v>0.5</v>
      </c>
      <c r="BG12" s="10"/>
      <c r="BH12" s="10">
        <v>0.5</v>
      </c>
      <c r="BL12" s="10"/>
      <c r="BM12" s="10">
        <v>0.8</v>
      </c>
      <c r="BN12" s="10"/>
      <c r="BO12" s="10">
        <v>0.8</v>
      </c>
      <c r="BS12" s="10"/>
      <c r="BT12" s="10">
        <v>0.8</v>
      </c>
      <c r="BU12" s="10"/>
      <c r="BV12" s="10">
        <v>0.8</v>
      </c>
      <c r="BZ12" s="10"/>
      <c r="CA12" s="10">
        <v>0.8</v>
      </c>
      <c r="CB12" s="10"/>
      <c r="CC12" s="10">
        <v>0.8</v>
      </c>
      <c r="CG12" s="10"/>
      <c r="CH12" s="10">
        <v>1</v>
      </c>
      <c r="CI12" s="10"/>
      <c r="CJ12" s="10">
        <v>1</v>
      </c>
      <c r="CN12" s="10"/>
      <c r="CO12" s="10">
        <v>1</v>
      </c>
      <c r="CP12" s="10"/>
      <c r="CQ12" s="10">
        <v>1</v>
      </c>
      <c r="CU12" s="10"/>
      <c r="CV12" s="10">
        <v>1</v>
      </c>
      <c r="CW12" s="10"/>
      <c r="CX12" s="10">
        <v>1</v>
      </c>
      <c r="DB12" s="10"/>
      <c r="DC12" s="10"/>
      <c r="DD12" s="10"/>
      <c r="DE12" s="10"/>
      <c r="DI12" s="10"/>
      <c r="DJ12" s="10"/>
      <c r="DK12" s="10"/>
      <c r="DL12" s="10"/>
      <c r="DP12" s="10"/>
      <c r="DQ12" s="10"/>
      <c r="DR12" s="10"/>
      <c r="DS12" s="10"/>
      <c r="DW12" s="10"/>
      <c r="DX12" s="10"/>
      <c r="DY12" s="10"/>
      <c r="DZ12" s="10"/>
      <c r="ED12" s="10"/>
      <c r="EE12" s="10"/>
      <c r="EF12" s="10"/>
      <c r="EG12" s="10"/>
      <c r="EK12" s="10"/>
      <c r="EL12" s="10"/>
      <c r="EM12" s="10"/>
      <c r="EN12" s="10"/>
    </row>
    <row r="13" spans="2:145" outlineLevel="1" x14ac:dyDescent="0.2">
      <c r="B13" t="s">
        <v>28</v>
      </c>
      <c r="C13" t="s">
        <v>88</v>
      </c>
      <c r="E13" s="9"/>
      <c r="F13" t="s">
        <v>115</v>
      </c>
      <c r="G13" s="10">
        <v>0.05</v>
      </c>
      <c r="I13" s="9">
        <f t="shared" si="0"/>
        <v>0</v>
      </c>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c r="AL13" s="10"/>
      <c r="AM13" s="10"/>
      <c r="AQ13" s="10"/>
      <c r="AR13" s="10">
        <v>0.5</v>
      </c>
      <c r="AS13" s="10"/>
      <c r="AT13" s="10">
        <v>0.5</v>
      </c>
      <c r="AX13" s="10"/>
      <c r="AY13" s="10">
        <v>0.5</v>
      </c>
      <c r="AZ13" s="10"/>
      <c r="BA13" s="10">
        <v>0.5</v>
      </c>
      <c r="BE13" s="10"/>
      <c r="BF13" s="10">
        <v>0.5</v>
      </c>
      <c r="BG13" s="10"/>
      <c r="BH13" s="10">
        <v>0.5</v>
      </c>
      <c r="BL13" s="10"/>
      <c r="BM13" s="10">
        <v>0.5</v>
      </c>
      <c r="BN13" s="10"/>
      <c r="BO13" s="10">
        <v>0.5</v>
      </c>
      <c r="BS13" s="10"/>
      <c r="BT13" s="10">
        <v>0.8</v>
      </c>
      <c r="BU13" s="10"/>
      <c r="BV13" s="10">
        <v>0.8</v>
      </c>
      <c r="BZ13" s="10"/>
      <c r="CA13" s="10">
        <v>0.8</v>
      </c>
      <c r="CB13" s="10"/>
      <c r="CC13" s="10">
        <v>0.8</v>
      </c>
      <c r="CG13" s="10"/>
      <c r="CH13" s="10">
        <v>0.8</v>
      </c>
      <c r="CI13" s="10"/>
      <c r="CJ13" s="10">
        <v>0.8</v>
      </c>
      <c r="CN13" s="10"/>
      <c r="CO13" s="10">
        <v>1</v>
      </c>
      <c r="CP13" s="10"/>
      <c r="CQ13" s="10">
        <v>1</v>
      </c>
      <c r="CU13" s="10"/>
      <c r="CV13" s="10">
        <v>1</v>
      </c>
      <c r="CW13" s="10"/>
      <c r="CX13" s="10">
        <v>1</v>
      </c>
      <c r="DB13" s="10"/>
      <c r="DC13" s="10"/>
      <c r="DD13" s="10"/>
      <c r="DE13" s="10"/>
      <c r="DI13" s="10"/>
      <c r="DJ13" s="10"/>
      <c r="DK13" s="10"/>
      <c r="DL13" s="10"/>
      <c r="DP13" s="10"/>
      <c r="DQ13" s="10"/>
      <c r="DR13" s="10"/>
      <c r="DS13" s="10"/>
      <c r="DW13" s="10"/>
      <c r="DX13" s="10"/>
      <c r="DY13" s="10"/>
      <c r="DZ13" s="10"/>
      <c r="ED13" s="10"/>
      <c r="EE13" s="10"/>
      <c r="EF13" s="10"/>
      <c r="EG13" s="10"/>
      <c r="EK13" s="10"/>
      <c r="EL13" s="10"/>
      <c r="EM13" s="10"/>
      <c r="EN13" s="10"/>
    </row>
    <row r="14" spans="2:145" outlineLevel="1" x14ac:dyDescent="0.2">
      <c r="B14" t="s">
        <v>28</v>
      </c>
      <c r="C14" t="s">
        <v>88</v>
      </c>
      <c r="E14" s="9"/>
      <c r="F14" t="s">
        <v>116</v>
      </c>
      <c r="G14" s="10">
        <v>0.05</v>
      </c>
      <c r="I14" s="9">
        <f t="shared" si="0"/>
        <v>0</v>
      </c>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X14" s="10"/>
      <c r="AY14" s="10">
        <v>0.5</v>
      </c>
      <c r="AZ14" s="10"/>
      <c r="BA14" s="10">
        <v>0.5</v>
      </c>
      <c r="BE14" s="10"/>
      <c r="BF14" s="10">
        <v>0.5</v>
      </c>
      <c r="BG14" s="10"/>
      <c r="BH14" s="10">
        <v>0.5</v>
      </c>
      <c r="BL14" s="10"/>
      <c r="BM14" s="10">
        <v>0.5</v>
      </c>
      <c r="BN14" s="10"/>
      <c r="BO14" s="10">
        <v>0.5</v>
      </c>
      <c r="BS14" s="10"/>
      <c r="BT14" s="10">
        <v>0.8</v>
      </c>
      <c r="BU14" s="10"/>
      <c r="BV14" s="10">
        <v>0.8</v>
      </c>
      <c r="BZ14" s="10"/>
      <c r="CA14" s="10">
        <v>0.8</v>
      </c>
      <c r="CB14" s="10"/>
      <c r="CC14" s="10">
        <v>0.8</v>
      </c>
      <c r="CG14" s="10"/>
      <c r="CH14" s="10">
        <v>0.8</v>
      </c>
      <c r="CI14" s="10"/>
      <c r="CJ14" s="10">
        <v>0.8</v>
      </c>
      <c r="CN14" s="10"/>
      <c r="CO14" s="10">
        <v>1</v>
      </c>
      <c r="CP14" s="10"/>
      <c r="CQ14" s="10">
        <v>1</v>
      </c>
      <c r="CU14" s="10"/>
      <c r="CV14" s="10">
        <v>1</v>
      </c>
      <c r="CW14" s="10"/>
      <c r="CX14" s="10">
        <v>1</v>
      </c>
      <c r="DB14" s="10"/>
      <c r="DC14" s="10"/>
      <c r="DD14" s="10"/>
      <c r="DE14" s="10"/>
      <c r="DI14" s="10"/>
      <c r="DJ14" s="10"/>
      <c r="DK14" s="10"/>
      <c r="DL14" s="10"/>
      <c r="DP14" s="10"/>
      <c r="DQ14" s="10"/>
      <c r="DR14" s="10"/>
      <c r="DS14" s="10"/>
      <c r="DW14" s="10"/>
      <c r="DX14" s="10"/>
      <c r="DY14" s="10"/>
      <c r="DZ14" s="10"/>
      <c r="ED14" s="10"/>
      <c r="EE14" s="10"/>
      <c r="EF14" s="10"/>
      <c r="EG14" s="10"/>
      <c r="EK14" s="10"/>
      <c r="EL14" s="10"/>
      <c r="EM14" s="10"/>
      <c r="EN14" s="10"/>
    </row>
    <row r="15" spans="2:145" outlineLevel="1" x14ac:dyDescent="0.2">
      <c r="B15" t="s">
        <v>28</v>
      </c>
      <c r="C15" t="s">
        <v>88</v>
      </c>
      <c r="E15" s="9"/>
      <c r="F15" t="s">
        <v>117</v>
      </c>
      <c r="G15" s="10">
        <v>0.05</v>
      </c>
      <c r="I15" s="9">
        <f t="shared" si="0"/>
        <v>0</v>
      </c>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v>0.5</v>
      </c>
      <c r="BG15" s="10"/>
      <c r="BH15" s="10">
        <v>0.5</v>
      </c>
      <c r="BL15" s="10"/>
      <c r="BM15" s="10">
        <v>0.5</v>
      </c>
      <c r="BN15" s="10"/>
      <c r="BO15" s="10">
        <v>0.5</v>
      </c>
      <c r="BS15" s="10"/>
      <c r="BT15" s="10">
        <v>0.5</v>
      </c>
      <c r="BU15" s="10"/>
      <c r="BV15" s="10">
        <v>0.5</v>
      </c>
      <c r="BZ15" s="10"/>
      <c r="CA15" s="10">
        <v>0.8</v>
      </c>
      <c r="CB15" s="10"/>
      <c r="CC15" s="10">
        <v>0.8</v>
      </c>
      <c r="CG15" s="10"/>
      <c r="CH15" s="10">
        <v>0.8</v>
      </c>
      <c r="CI15" s="10"/>
      <c r="CJ15" s="10">
        <v>0.8</v>
      </c>
      <c r="CN15" s="10"/>
      <c r="CO15" s="10">
        <v>0.8</v>
      </c>
      <c r="CP15" s="10"/>
      <c r="CQ15" s="10">
        <v>0.8</v>
      </c>
      <c r="CU15" s="10"/>
      <c r="CV15" s="10">
        <v>1</v>
      </c>
      <c r="CW15" s="10"/>
      <c r="CX15" s="10">
        <v>1</v>
      </c>
      <c r="DB15" s="10"/>
      <c r="DC15" s="10"/>
      <c r="DD15" s="10"/>
      <c r="DE15" s="10"/>
      <c r="DI15" s="10"/>
      <c r="DJ15" s="10"/>
      <c r="DK15" s="10"/>
      <c r="DL15" s="10"/>
      <c r="DP15" s="10"/>
      <c r="DQ15" s="10"/>
      <c r="DR15" s="10"/>
      <c r="DS15" s="10"/>
      <c r="DW15" s="10"/>
      <c r="DX15" s="10"/>
      <c r="DY15" s="10"/>
      <c r="DZ15" s="10"/>
      <c r="ED15" s="10"/>
      <c r="EE15" s="10"/>
      <c r="EF15" s="10"/>
      <c r="EG15" s="10"/>
      <c r="EK15" s="10"/>
      <c r="EL15" s="10"/>
      <c r="EM15" s="10"/>
      <c r="EN15" s="10"/>
    </row>
    <row r="16" spans="2:145" outlineLevel="1" x14ac:dyDescent="0.2">
      <c r="B16" t="s">
        <v>28</v>
      </c>
      <c r="C16" t="s">
        <v>88</v>
      </c>
      <c r="F16" t="s">
        <v>118</v>
      </c>
      <c r="G16" s="10">
        <v>0.05</v>
      </c>
      <c r="I16" s="9">
        <f>+SUMIF($N$3:$ZS$3,I$3,$N16:$ZS16)</f>
        <v>0</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v>0.5</v>
      </c>
      <c r="BG16" s="10"/>
      <c r="BH16" s="10">
        <v>0.5</v>
      </c>
      <c r="BL16" s="10"/>
      <c r="BM16" s="10">
        <v>0.5</v>
      </c>
      <c r="BN16" s="10"/>
      <c r="BO16" s="10">
        <v>0.5</v>
      </c>
      <c r="BS16" s="10"/>
      <c r="BT16" s="10">
        <v>0.5</v>
      </c>
      <c r="BU16" s="10"/>
      <c r="BV16" s="10">
        <v>0.5</v>
      </c>
      <c r="BZ16" s="10"/>
      <c r="CA16" s="10">
        <v>0.5</v>
      </c>
      <c r="CB16" s="10"/>
      <c r="CC16" s="10">
        <v>0.5</v>
      </c>
      <c r="CG16" s="10"/>
      <c r="CH16" s="10">
        <v>0.8</v>
      </c>
      <c r="CI16" s="10"/>
      <c r="CJ16" s="10">
        <v>0.8</v>
      </c>
      <c r="CN16" s="10"/>
      <c r="CO16" s="10">
        <v>0.8</v>
      </c>
      <c r="CP16" s="10"/>
      <c r="CQ16" s="10">
        <v>0.8</v>
      </c>
      <c r="CU16" s="10"/>
      <c r="CV16" s="10">
        <v>1</v>
      </c>
      <c r="CW16" s="10"/>
      <c r="CX16" s="10">
        <v>1</v>
      </c>
      <c r="DB16" s="10"/>
      <c r="DC16" s="10"/>
      <c r="DD16" s="10"/>
      <c r="DE16" s="10"/>
      <c r="DI16" s="10"/>
      <c r="DJ16" s="10"/>
      <c r="DK16" s="10"/>
      <c r="DL16" s="10"/>
      <c r="DP16" s="10"/>
      <c r="DQ16" s="10"/>
      <c r="DR16" s="10"/>
      <c r="DS16" s="10"/>
      <c r="DW16" s="10"/>
      <c r="DX16" s="10"/>
      <c r="DY16" s="10"/>
      <c r="DZ16" s="10"/>
      <c r="ED16" s="10"/>
      <c r="EE16" s="10"/>
      <c r="EF16" s="10"/>
      <c r="EG16" s="10"/>
      <c r="EK16" s="10"/>
      <c r="EL16" s="10"/>
      <c r="EM16" s="10"/>
      <c r="EN16" s="10"/>
    </row>
    <row r="18" spans="2:144" x14ac:dyDescent="0.2">
      <c r="B18" t="s">
        <v>27</v>
      </c>
      <c r="C18" t="s">
        <v>89</v>
      </c>
      <c r="D18" s="19">
        <v>45706</v>
      </c>
      <c r="E18" s="9">
        <v>5</v>
      </c>
      <c r="F18" t="s">
        <v>166</v>
      </c>
      <c r="G18" s="10">
        <f>+SUM(G19:G34)</f>
        <v>1.0000000000000002</v>
      </c>
      <c r="I18" s="12">
        <f>+SUM(I19:I34)</f>
        <v>0</v>
      </c>
      <c r="J18" s="11">
        <f>+SUMPRODUCT(G19:G34,J19:J34)</f>
        <v>0</v>
      </c>
      <c r="K18" s="11">
        <f>+SUMPRODUCT(G19:G34,K19:K34)</f>
        <v>0</v>
      </c>
      <c r="L18" s="9"/>
      <c r="N18" s="12"/>
      <c r="U18" s="12"/>
      <c r="AB18" s="12"/>
      <c r="AI18" s="12"/>
      <c r="AP18" s="12"/>
    </row>
    <row r="19" spans="2:144" outlineLevel="1" x14ac:dyDescent="0.2">
      <c r="B19" t="s">
        <v>28</v>
      </c>
      <c r="C19" t="s">
        <v>89</v>
      </c>
      <c r="E19" s="9"/>
      <c r="F19" t="s">
        <v>30</v>
      </c>
      <c r="G19" s="10">
        <v>0.05</v>
      </c>
      <c r="I19" s="9">
        <f>+SUMIF($N$3:$ZS$3,I$3,$N19:$ZS19)</f>
        <v>0</v>
      </c>
      <c r="J19" s="11" cm="1">
        <f t="array" ref="J19">MAX(IF($N$3:$EH$3=$J$3,N19:EH19))</f>
        <v>0</v>
      </c>
      <c r="K19" s="11" cm="1">
        <f t="array" ref="K19">MAX(IF($N$3:$EH$3=$J$3,N19:EH19))</f>
        <v>0</v>
      </c>
      <c r="L19" s="9"/>
      <c r="O19" s="10"/>
      <c r="P19" s="10">
        <v>0.5</v>
      </c>
      <c r="Q19" s="10"/>
      <c r="R19" s="10">
        <v>0.5</v>
      </c>
      <c r="V19" s="10"/>
      <c r="W19" s="10">
        <v>0.8</v>
      </c>
      <c r="X19" s="10"/>
      <c r="Y19" s="10">
        <v>0.8</v>
      </c>
      <c r="AC19" s="10"/>
      <c r="AD19" s="10">
        <v>0.8</v>
      </c>
      <c r="AE19" s="10"/>
      <c r="AF19" s="10">
        <v>0.8</v>
      </c>
      <c r="AJ19" s="10"/>
      <c r="AK19" s="10">
        <v>0.8</v>
      </c>
      <c r="AL19" s="10"/>
      <c r="AM19" s="10">
        <v>0.8</v>
      </c>
      <c r="AQ19" s="10"/>
      <c r="AR19" s="10">
        <v>1</v>
      </c>
      <c r="AS19" s="10"/>
      <c r="AT19" s="10">
        <v>1</v>
      </c>
      <c r="AX19" s="10"/>
      <c r="AY19" s="10">
        <v>1</v>
      </c>
      <c r="AZ19" s="10"/>
      <c r="BA19" s="10">
        <v>1</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v>1</v>
      </c>
      <c r="CP19" s="10"/>
      <c r="CQ19" s="10">
        <v>1</v>
      </c>
      <c r="CU19" s="10"/>
      <c r="CV19" s="10">
        <v>1</v>
      </c>
      <c r="CW19" s="10"/>
      <c r="CX19" s="10">
        <v>1</v>
      </c>
      <c r="DB19" s="10"/>
      <c r="DC19" s="10"/>
      <c r="DD19" s="10"/>
      <c r="DE19" s="10"/>
      <c r="DI19" s="10"/>
      <c r="DJ19" s="10"/>
      <c r="DK19" s="10"/>
      <c r="DL19" s="10"/>
      <c r="DP19" s="10"/>
      <c r="DQ19" s="10"/>
      <c r="DR19" s="10"/>
      <c r="DS19" s="10"/>
      <c r="DW19" s="10"/>
      <c r="DX19" s="10"/>
      <c r="DY19" s="10"/>
      <c r="DZ19" s="10"/>
      <c r="ED19" s="10"/>
      <c r="EE19" s="10"/>
      <c r="EF19" s="10"/>
      <c r="EG19" s="10"/>
      <c r="EK19" s="10"/>
      <c r="EL19" s="10"/>
      <c r="EM19" s="10"/>
      <c r="EN19" s="10"/>
    </row>
    <row r="20" spans="2:144" outlineLevel="1" x14ac:dyDescent="0.2">
      <c r="B20" t="s">
        <v>28</v>
      </c>
      <c r="C20" t="s">
        <v>89</v>
      </c>
      <c r="E20" s="9"/>
      <c r="F20" t="s">
        <v>91</v>
      </c>
      <c r="G20" s="10">
        <v>0.05</v>
      </c>
      <c r="I20" s="9">
        <f>+SUMIF($N$3:$ZS$3,I$3,$N20:$ZS20)</f>
        <v>0</v>
      </c>
      <c r="J20" s="11" cm="1">
        <f t="array" ref="J20">MAX(IF($N$3:$EH$3=$J$3,N20:EH20))</f>
        <v>0</v>
      </c>
      <c r="K20" s="11" cm="1">
        <f t="array" ref="K20">MAX(IF($N$3:$EH$3=$J$3,N20:EH20))</f>
        <v>0</v>
      </c>
      <c r="L20" s="9"/>
      <c r="O20" s="10"/>
      <c r="P20" s="10">
        <v>0.5</v>
      </c>
      <c r="Q20" s="10"/>
      <c r="R20" s="10">
        <v>0.5</v>
      </c>
      <c r="V20" s="10"/>
      <c r="W20" s="10">
        <v>0.5</v>
      </c>
      <c r="X20" s="10"/>
      <c r="Y20" s="10">
        <v>0.5</v>
      </c>
      <c r="AC20" s="10"/>
      <c r="AD20" s="10">
        <v>0.8</v>
      </c>
      <c r="AE20" s="10"/>
      <c r="AF20" s="10">
        <v>0.8</v>
      </c>
      <c r="AJ20" s="10"/>
      <c r="AK20" s="10">
        <v>0.8</v>
      </c>
      <c r="AL20" s="10"/>
      <c r="AM20" s="10">
        <v>0.8</v>
      </c>
      <c r="AQ20" s="10"/>
      <c r="AR20" s="10">
        <v>0.8</v>
      </c>
      <c r="AS20" s="10"/>
      <c r="AT20" s="10">
        <v>0.8</v>
      </c>
      <c r="AX20" s="10"/>
      <c r="AY20" s="10">
        <v>1</v>
      </c>
      <c r="AZ20" s="10"/>
      <c r="BA20" s="10">
        <v>1</v>
      </c>
      <c r="BE20" s="10"/>
      <c r="BF20" s="10">
        <v>1</v>
      </c>
      <c r="BG20" s="10"/>
      <c r="BH20" s="10">
        <v>1</v>
      </c>
      <c r="BL20" s="10"/>
      <c r="BM20" s="10">
        <v>1</v>
      </c>
      <c r="BN20" s="10"/>
      <c r="BO20" s="10">
        <v>1</v>
      </c>
      <c r="BS20" s="10"/>
      <c r="BT20" s="10">
        <v>1</v>
      </c>
      <c r="BU20" s="10"/>
      <c r="BV20" s="10">
        <v>1</v>
      </c>
      <c r="BZ20" s="10"/>
      <c r="CA20" s="10">
        <v>1</v>
      </c>
      <c r="CB20" s="10"/>
      <c r="CC20" s="10">
        <v>1</v>
      </c>
      <c r="CG20" s="10"/>
      <c r="CH20" s="10">
        <v>1</v>
      </c>
      <c r="CI20" s="10"/>
      <c r="CJ20" s="10">
        <v>1</v>
      </c>
      <c r="CN20" s="10"/>
      <c r="CO20" s="10">
        <v>1</v>
      </c>
      <c r="CP20" s="10"/>
      <c r="CQ20" s="10">
        <v>1</v>
      </c>
      <c r="CU20" s="10"/>
      <c r="CV20" s="10">
        <v>1</v>
      </c>
      <c r="CW20" s="10"/>
      <c r="CX20" s="10">
        <v>1</v>
      </c>
      <c r="DB20" s="10"/>
      <c r="DC20" s="10"/>
      <c r="DD20" s="10"/>
      <c r="DE20" s="10"/>
      <c r="DI20" s="10"/>
      <c r="DJ20" s="10"/>
      <c r="DK20" s="10"/>
      <c r="DL20" s="10"/>
      <c r="DP20" s="10"/>
      <c r="DQ20" s="10"/>
      <c r="DR20" s="10"/>
      <c r="DS20" s="10"/>
      <c r="DW20" s="10"/>
      <c r="DX20" s="10"/>
      <c r="DY20" s="10"/>
      <c r="DZ20" s="10"/>
      <c r="ED20" s="10"/>
      <c r="EE20" s="10"/>
      <c r="EF20" s="10"/>
      <c r="EG20" s="10"/>
      <c r="EK20" s="10"/>
      <c r="EL20" s="10"/>
      <c r="EM20" s="10"/>
      <c r="EN20" s="10"/>
    </row>
    <row r="21" spans="2:144" outlineLevel="1" x14ac:dyDescent="0.2">
      <c r="B21" t="s">
        <v>28</v>
      </c>
      <c r="C21" t="s">
        <v>89</v>
      </c>
      <c r="E21" s="9"/>
      <c r="F21" t="s">
        <v>92</v>
      </c>
      <c r="G21" s="10">
        <v>0.05</v>
      </c>
      <c r="I21" s="9">
        <f>+SUMIF($N$3:$ZS$3,I$3,$N21:$ZS21)</f>
        <v>0</v>
      </c>
      <c r="J21" s="11" cm="1">
        <f t="array" ref="J21">MAX(IF($N$3:$EH$3=$J$3,N21:EH21))</f>
        <v>0</v>
      </c>
      <c r="K21" s="11" cm="1">
        <f t="array" ref="K21">MAX(IF($N$3:$EH$3=$J$3,N21:EH21))</f>
        <v>0</v>
      </c>
      <c r="L21" s="9"/>
      <c r="O21" s="10"/>
      <c r="P21" s="10">
        <v>0.5</v>
      </c>
      <c r="Q21" s="10"/>
      <c r="R21" s="10">
        <v>0.5</v>
      </c>
      <c r="V21" s="10"/>
      <c r="W21" s="10">
        <v>0.5</v>
      </c>
      <c r="X21" s="10"/>
      <c r="Y21" s="10">
        <v>0.5</v>
      </c>
      <c r="AC21" s="10"/>
      <c r="AD21" s="10">
        <v>0.5</v>
      </c>
      <c r="AE21" s="10"/>
      <c r="AF21" s="10">
        <v>0.5</v>
      </c>
      <c r="AJ21" s="10"/>
      <c r="AK21" s="10">
        <v>0.8</v>
      </c>
      <c r="AL21" s="10"/>
      <c r="AM21" s="10">
        <v>0.8</v>
      </c>
      <c r="AQ21" s="10"/>
      <c r="AR21" s="10">
        <v>0.8</v>
      </c>
      <c r="AS21" s="10"/>
      <c r="AT21" s="10">
        <v>0.8</v>
      </c>
      <c r="AX21" s="10"/>
      <c r="AY21" s="10">
        <v>1</v>
      </c>
      <c r="AZ21" s="10"/>
      <c r="BA21" s="10">
        <v>1</v>
      </c>
      <c r="BE21" s="10"/>
      <c r="BF21" s="10">
        <v>1</v>
      </c>
      <c r="BG21" s="10"/>
      <c r="BH21" s="10">
        <v>1</v>
      </c>
      <c r="BL21" s="10"/>
      <c r="BM21" s="10">
        <v>1</v>
      </c>
      <c r="BN21" s="10"/>
      <c r="BO21" s="10">
        <v>1</v>
      </c>
      <c r="BS21" s="10"/>
      <c r="BT21" s="10">
        <v>1</v>
      </c>
      <c r="BU21" s="10"/>
      <c r="BV21" s="10">
        <v>1</v>
      </c>
      <c r="BZ21" s="10"/>
      <c r="CA21" s="10">
        <v>1</v>
      </c>
      <c r="CB21" s="10"/>
      <c r="CC21" s="10">
        <v>1</v>
      </c>
      <c r="CG21" s="10"/>
      <c r="CH21" s="10">
        <v>1</v>
      </c>
      <c r="CI21" s="10"/>
      <c r="CJ21" s="10">
        <v>1</v>
      </c>
      <c r="CN21" s="10"/>
      <c r="CO21" s="10">
        <v>1</v>
      </c>
      <c r="CP21" s="10"/>
      <c r="CQ21" s="10">
        <v>1</v>
      </c>
      <c r="CU21" s="10"/>
      <c r="CV21" s="10">
        <v>1</v>
      </c>
      <c r="CW21" s="10"/>
      <c r="CX21" s="10">
        <v>1</v>
      </c>
      <c r="DB21" s="10"/>
      <c r="DC21" s="10"/>
      <c r="DD21" s="10"/>
      <c r="DE21" s="10"/>
      <c r="DI21" s="10"/>
      <c r="DJ21" s="10"/>
      <c r="DK21" s="10"/>
      <c r="DL21" s="10"/>
      <c r="DP21" s="10"/>
      <c r="DQ21" s="10"/>
      <c r="DR21" s="10"/>
      <c r="DS21" s="10"/>
      <c r="DW21" s="10"/>
      <c r="DX21" s="10"/>
      <c r="DY21" s="10"/>
      <c r="DZ21" s="10"/>
      <c r="ED21" s="10"/>
      <c r="EE21" s="10"/>
      <c r="EF21" s="10"/>
      <c r="EG21" s="10"/>
      <c r="EK21" s="10"/>
      <c r="EL21" s="10"/>
      <c r="EM21" s="10"/>
      <c r="EN21" s="10"/>
    </row>
    <row r="22" spans="2:144" outlineLevel="1" x14ac:dyDescent="0.2">
      <c r="B22" t="s">
        <v>28</v>
      </c>
      <c r="C22" t="s">
        <v>89</v>
      </c>
      <c r="E22" s="9"/>
      <c r="F22" t="s">
        <v>93</v>
      </c>
      <c r="G22" s="10">
        <v>0.05</v>
      </c>
      <c r="I22" s="9">
        <f>+SUMIF($N$3:$ZS$3,I$3,$N22:$ZS22)</f>
        <v>0</v>
      </c>
      <c r="J22" s="11" cm="1">
        <f t="array" ref="J22">MAX(IF($N$3:$EH$3=$J$3,N22:EH22))</f>
        <v>0</v>
      </c>
      <c r="K22" s="11" cm="1">
        <f t="array" ref="K22">MAX(IF($N$3:$EH$3=$J$3,N22:EH22))</f>
        <v>0</v>
      </c>
      <c r="L22" s="9"/>
      <c r="O22" s="10"/>
      <c r="P22" s="10">
        <v>0.5</v>
      </c>
      <c r="Q22" s="10"/>
      <c r="R22" s="10">
        <v>0.5</v>
      </c>
      <c r="V22" s="10"/>
      <c r="W22" s="10">
        <v>0.5</v>
      </c>
      <c r="X22" s="10"/>
      <c r="Y22" s="10">
        <v>0.5</v>
      </c>
      <c r="AC22" s="10"/>
      <c r="AD22" s="10">
        <v>0.5</v>
      </c>
      <c r="AE22" s="10"/>
      <c r="AF22" s="10">
        <v>0.5</v>
      </c>
      <c r="AJ22" s="10"/>
      <c r="AK22" s="10">
        <v>0.8</v>
      </c>
      <c r="AL22" s="10"/>
      <c r="AM22" s="10">
        <v>0.8</v>
      </c>
      <c r="AQ22" s="10"/>
      <c r="AR22" s="10">
        <v>0.8</v>
      </c>
      <c r="AS22" s="10"/>
      <c r="AT22" s="10">
        <v>0.8</v>
      </c>
      <c r="AX22" s="10"/>
      <c r="AY22" s="10">
        <v>0.8</v>
      </c>
      <c r="AZ22" s="10"/>
      <c r="BA22" s="10">
        <v>0.8</v>
      </c>
      <c r="BE22" s="10"/>
      <c r="BF22" s="10">
        <v>0.8</v>
      </c>
      <c r="BG22" s="10"/>
      <c r="BH22" s="10">
        <v>0.8</v>
      </c>
      <c r="BL22" s="10"/>
      <c r="BM22" s="10">
        <v>1</v>
      </c>
      <c r="BN22" s="10"/>
      <c r="BO22" s="10">
        <v>1</v>
      </c>
      <c r="BS22" s="10"/>
      <c r="BT22" s="10">
        <v>1</v>
      </c>
      <c r="BU22" s="10"/>
      <c r="BV22" s="10">
        <v>1</v>
      </c>
      <c r="BZ22" s="10"/>
      <c r="CA22" s="10">
        <v>1</v>
      </c>
      <c r="CB22" s="10"/>
      <c r="CC22" s="10">
        <v>1</v>
      </c>
      <c r="CG22" s="10"/>
      <c r="CH22" s="10">
        <v>1</v>
      </c>
      <c r="CI22" s="10"/>
      <c r="CJ22" s="10">
        <v>1</v>
      </c>
      <c r="CN22" s="10"/>
      <c r="CO22" s="10">
        <v>1</v>
      </c>
      <c r="CP22" s="10"/>
      <c r="CQ22" s="10">
        <v>1</v>
      </c>
      <c r="CU22" s="10"/>
      <c r="CV22" s="10">
        <v>1</v>
      </c>
      <c r="CW22" s="10"/>
      <c r="CX22" s="10">
        <v>1</v>
      </c>
      <c r="DB22" s="10"/>
      <c r="DC22" s="10"/>
      <c r="DD22" s="10"/>
      <c r="DE22" s="10"/>
      <c r="DI22" s="10"/>
      <c r="DJ22" s="10"/>
      <c r="DK22" s="10"/>
      <c r="DL22" s="10"/>
      <c r="DP22" s="10"/>
      <c r="DQ22" s="10"/>
      <c r="DR22" s="10"/>
      <c r="DS22" s="10"/>
      <c r="DW22" s="10"/>
      <c r="DX22" s="10"/>
      <c r="DY22" s="10"/>
      <c r="DZ22" s="10"/>
      <c r="ED22" s="10"/>
      <c r="EE22" s="10"/>
      <c r="EF22" s="10"/>
      <c r="EG22" s="10"/>
      <c r="EK22" s="10"/>
      <c r="EL22" s="10"/>
      <c r="EM22" s="10"/>
      <c r="EN22" s="10"/>
    </row>
    <row r="23" spans="2:144" outlineLevel="1" x14ac:dyDescent="0.2">
      <c r="B23" t="s">
        <v>28</v>
      </c>
      <c r="C23" t="s">
        <v>89</v>
      </c>
      <c r="E23" s="9"/>
      <c r="F23" t="s">
        <v>94</v>
      </c>
      <c r="G23" s="10">
        <v>0.1</v>
      </c>
      <c r="I23" s="9">
        <f>+SUMIF($N$3:$ZS$3,I$3,$N23:$ZS23)</f>
        <v>0</v>
      </c>
      <c r="J23" s="11" cm="1">
        <f t="array" ref="J23">MAX(IF($N$3:$EH$3=$J$3,N23:EH23))</f>
        <v>0</v>
      </c>
      <c r="K23" s="11" cm="1">
        <f t="array" ref="K23">MAX(IF($N$3:$EH$3=$J$3,N23:EH23))</f>
        <v>0</v>
      </c>
      <c r="L23" s="9"/>
      <c r="O23" s="10"/>
      <c r="P23" s="10"/>
      <c r="Q23" s="10"/>
      <c r="R23" s="10"/>
      <c r="V23" s="10"/>
      <c r="W23" s="10">
        <v>0.5</v>
      </c>
      <c r="X23" s="10"/>
      <c r="Y23" s="10">
        <v>0.5</v>
      </c>
      <c r="AC23" s="10"/>
      <c r="AD23" s="10">
        <v>0.5</v>
      </c>
      <c r="AE23" s="10"/>
      <c r="AF23" s="10">
        <v>0.5</v>
      </c>
      <c r="AJ23" s="10"/>
      <c r="AK23" s="10">
        <v>0.5</v>
      </c>
      <c r="AL23" s="10"/>
      <c r="AM23" s="10">
        <v>0.5</v>
      </c>
      <c r="AQ23" s="10"/>
      <c r="AR23" s="10">
        <v>0.8</v>
      </c>
      <c r="AS23" s="10"/>
      <c r="AT23" s="10">
        <v>0.8</v>
      </c>
      <c r="AX23" s="10"/>
      <c r="AY23" s="10">
        <v>0.8</v>
      </c>
      <c r="AZ23" s="10"/>
      <c r="BA23" s="10">
        <v>0.8</v>
      </c>
      <c r="BE23" s="10"/>
      <c r="BF23" s="10">
        <v>0.8</v>
      </c>
      <c r="BG23" s="10"/>
      <c r="BH23" s="10">
        <v>0.8</v>
      </c>
      <c r="BL23" s="10"/>
      <c r="BM23" s="10">
        <v>1</v>
      </c>
      <c r="BN23" s="10"/>
      <c r="BO23" s="10">
        <v>1</v>
      </c>
      <c r="BS23" s="10"/>
      <c r="BT23" s="10">
        <v>1</v>
      </c>
      <c r="BU23" s="10"/>
      <c r="BV23" s="10">
        <v>1</v>
      </c>
      <c r="BZ23" s="10"/>
      <c r="CA23" s="10">
        <v>1</v>
      </c>
      <c r="CB23" s="10"/>
      <c r="CC23" s="10">
        <v>1</v>
      </c>
      <c r="CG23" s="10"/>
      <c r="CH23" s="10">
        <v>1</v>
      </c>
      <c r="CI23" s="10"/>
      <c r="CJ23" s="10">
        <v>1</v>
      </c>
      <c r="CN23" s="10"/>
      <c r="CO23" s="10">
        <v>1</v>
      </c>
      <c r="CP23" s="10"/>
      <c r="CQ23" s="10">
        <v>1</v>
      </c>
      <c r="CU23" s="10"/>
      <c r="CV23" s="10">
        <v>1</v>
      </c>
      <c r="CW23" s="10"/>
      <c r="CX23" s="10">
        <v>1</v>
      </c>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row>
    <row r="24" spans="2:144" outlineLevel="1" x14ac:dyDescent="0.2">
      <c r="B24" t="s">
        <v>28</v>
      </c>
      <c r="C24" t="s">
        <v>89</v>
      </c>
      <c r="E24" s="9"/>
      <c r="F24" t="s">
        <v>95</v>
      </c>
      <c r="G24" s="10">
        <v>0.05</v>
      </c>
      <c r="I24" s="9">
        <f t="shared" ref="I24:I32" si="1">+SUMIF($N$3:$ZS$3,I$3,$N24:$ZS24)</f>
        <v>0</v>
      </c>
      <c r="J24" s="11" cm="1">
        <f t="array" ref="J24">MAX(IF($N$3:$EH$3=$J$3,N24:EH24))</f>
        <v>0</v>
      </c>
      <c r="K24" s="11" cm="1">
        <f t="array" ref="K24">MAX(IF($N$3:$EH$3=$J$3,N24:EH24))</f>
        <v>0</v>
      </c>
      <c r="L24" s="9"/>
      <c r="O24" s="10"/>
      <c r="P24" s="10"/>
      <c r="Q24" s="10"/>
      <c r="R24" s="10"/>
      <c r="V24" s="10"/>
      <c r="W24" s="10">
        <v>0.5</v>
      </c>
      <c r="X24" s="10"/>
      <c r="Y24" s="10">
        <v>0.5</v>
      </c>
      <c r="AC24" s="10"/>
      <c r="AD24" s="10">
        <v>0.5</v>
      </c>
      <c r="AE24" s="10"/>
      <c r="AF24" s="10">
        <v>0.5</v>
      </c>
      <c r="AJ24" s="10"/>
      <c r="AK24" s="10">
        <v>0.5</v>
      </c>
      <c r="AL24" s="10"/>
      <c r="AM24" s="10">
        <v>0.5</v>
      </c>
      <c r="AQ24" s="10"/>
      <c r="AR24" s="10">
        <v>0.8</v>
      </c>
      <c r="AS24" s="10"/>
      <c r="AT24" s="10">
        <v>0.8</v>
      </c>
      <c r="AX24" s="10"/>
      <c r="AY24" s="10">
        <v>0.8</v>
      </c>
      <c r="AZ24" s="10"/>
      <c r="BA24" s="10">
        <v>0.8</v>
      </c>
      <c r="BE24" s="10"/>
      <c r="BF24" s="10">
        <v>0.8</v>
      </c>
      <c r="BG24" s="10"/>
      <c r="BH24" s="10">
        <v>0.8</v>
      </c>
      <c r="BL24" s="10"/>
      <c r="BM24" s="10">
        <v>0.8</v>
      </c>
      <c r="BN24" s="10"/>
      <c r="BO24" s="10">
        <v>0.8</v>
      </c>
      <c r="BS24" s="10"/>
      <c r="BT24" s="10">
        <v>1</v>
      </c>
      <c r="BU24" s="10"/>
      <c r="BV24" s="10">
        <v>1</v>
      </c>
      <c r="BZ24" s="10"/>
      <c r="CA24" s="10">
        <v>1</v>
      </c>
      <c r="CB24" s="10"/>
      <c r="CC24" s="10">
        <v>1</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row>
    <row r="25" spans="2:144" outlineLevel="1" x14ac:dyDescent="0.2">
      <c r="B25" t="s">
        <v>28</v>
      </c>
      <c r="C25" t="s">
        <v>89</v>
      </c>
      <c r="E25" s="9"/>
      <c r="F25" t="s">
        <v>96</v>
      </c>
      <c r="G25" s="10">
        <v>0.05</v>
      </c>
      <c r="I25" s="9">
        <f t="shared" si="1"/>
        <v>0</v>
      </c>
      <c r="J25" s="11" cm="1">
        <f t="array" ref="J25">MAX(IF($N$3:$EH$3=$J$3,N25:EH25))</f>
        <v>0</v>
      </c>
      <c r="K25" s="11" cm="1">
        <f t="array" ref="K25">MAX(IF($N$3:$EH$3=$J$3,N25:EH25))</f>
        <v>0</v>
      </c>
      <c r="L25" s="9"/>
      <c r="O25" s="10"/>
      <c r="P25" s="10"/>
      <c r="Q25" s="10"/>
      <c r="R25" s="10"/>
      <c r="V25" s="10"/>
      <c r="W25" s="10">
        <v>0.5</v>
      </c>
      <c r="X25" s="10"/>
      <c r="Y25" s="10">
        <v>0.5</v>
      </c>
      <c r="AC25" s="10"/>
      <c r="AD25" s="10">
        <v>0.5</v>
      </c>
      <c r="AE25" s="10"/>
      <c r="AF25" s="10">
        <v>0.5</v>
      </c>
      <c r="AJ25" s="10"/>
      <c r="AK25" s="10">
        <v>0.5</v>
      </c>
      <c r="AL25" s="10"/>
      <c r="AM25" s="10">
        <v>0.5</v>
      </c>
      <c r="AQ25" s="10"/>
      <c r="AR25" s="10">
        <v>0.8</v>
      </c>
      <c r="AS25" s="10"/>
      <c r="AT25" s="10">
        <v>0.8</v>
      </c>
      <c r="AX25" s="10"/>
      <c r="AY25" s="10">
        <v>0.8</v>
      </c>
      <c r="AZ25" s="10"/>
      <c r="BA25" s="10">
        <v>0.8</v>
      </c>
      <c r="BE25" s="10"/>
      <c r="BF25" s="10">
        <v>0.8</v>
      </c>
      <c r="BG25" s="10"/>
      <c r="BH25" s="10">
        <v>0.8</v>
      </c>
      <c r="BL25" s="10"/>
      <c r="BM25" s="10">
        <v>0.8</v>
      </c>
      <c r="BN25" s="10"/>
      <c r="BO25" s="10">
        <v>0.8</v>
      </c>
      <c r="BS25" s="10"/>
      <c r="BT25" s="10">
        <v>1</v>
      </c>
      <c r="BU25" s="10"/>
      <c r="BV25" s="10">
        <v>1</v>
      </c>
      <c r="BZ25" s="10"/>
      <c r="CA25" s="10">
        <v>1</v>
      </c>
      <c r="CB25" s="10"/>
      <c r="CC25" s="10">
        <v>1</v>
      </c>
      <c r="CG25" s="10"/>
      <c r="CH25" s="10">
        <v>1</v>
      </c>
      <c r="CI25" s="10"/>
      <c r="CJ25" s="10">
        <v>1</v>
      </c>
      <c r="CN25" s="10"/>
      <c r="CO25" s="10">
        <v>1</v>
      </c>
      <c r="CP25" s="10"/>
      <c r="CQ25" s="10">
        <v>1</v>
      </c>
      <c r="CU25" s="10"/>
      <c r="CV25" s="10">
        <v>1</v>
      </c>
      <c r="CW25" s="10"/>
      <c r="CX25" s="10">
        <v>1</v>
      </c>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row>
    <row r="26" spans="2:144" outlineLevel="1" x14ac:dyDescent="0.2">
      <c r="B26" t="s">
        <v>28</v>
      </c>
      <c r="C26" t="s">
        <v>89</v>
      </c>
      <c r="E26" s="9"/>
      <c r="F26" t="s">
        <v>97</v>
      </c>
      <c r="G26" s="10">
        <v>0.1</v>
      </c>
      <c r="I26" s="9">
        <f t="shared" si="1"/>
        <v>0</v>
      </c>
      <c r="J26" s="11" cm="1">
        <f t="array" ref="J26">MAX(IF($N$3:$EH$3=$J$3,N26:EH26))</f>
        <v>0</v>
      </c>
      <c r="K26" s="11" cm="1">
        <f t="array" ref="K26">MAX(IF($N$3:$EH$3=$J$3,N26:EH26))</f>
        <v>0</v>
      </c>
      <c r="L26" s="9"/>
      <c r="O26" s="10"/>
      <c r="P26" s="10"/>
      <c r="Q26" s="10"/>
      <c r="R26" s="10"/>
      <c r="V26" s="10"/>
      <c r="W26" s="10"/>
      <c r="X26" s="10"/>
      <c r="Y26" s="10"/>
      <c r="AC26" s="10"/>
      <c r="AD26" s="10">
        <v>0.5</v>
      </c>
      <c r="AE26" s="10"/>
      <c r="AF26" s="10">
        <v>0.5</v>
      </c>
      <c r="AJ26" s="10"/>
      <c r="AK26" s="10">
        <v>0.5</v>
      </c>
      <c r="AL26" s="10"/>
      <c r="AM26" s="10">
        <v>0.5</v>
      </c>
      <c r="AQ26" s="10"/>
      <c r="AR26" s="10">
        <v>0.5</v>
      </c>
      <c r="AS26" s="10"/>
      <c r="AT26" s="10">
        <v>0.5</v>
      </c>
      <c r="AX26" s="10"/>
      <c r="AY26" s="10">
        <v>0.8</v>
      </c>
      <c r="AZ26" s="10"/>
      <c r="BA26" s="10">
        <v>0.8</v>
      </c>
      <c r="BE26" s="10"/>
      <c r="BF26" s="10">
        <v>0.8</v>
      </c>
      <c r="BG26" s="10"/>
      <c r="BH26" s="10">
        <v>0.8</v>
      </c>
      <c r="BL26" s="10"/>
      <c r="BM26" s="10">
        <v>0.8</v>
      </c>
      <c r="BN26" s="10"/>
      <c r="BO26" s="10">
        <v>0.8</v>
      </c>
      <c r="BS26" s="10"/>
      <c r="BT26" s="10">
        <v>0.8</v>
      </c>
      <c r="BU26" s="10"/>
      <c r="BV26" s="10">
        <v>0.8</v>
      </c>
      <c r="BZ26" s="10"/>
      <c r="CA26" s="10">
        <v>1</v>
      </c>
      <c r="CB26" s="10"/>
      <c r="CC26" s="10">
        <v>1</v>
      </c>
      <c r="CG26" s="10"/>
      <c r="CH26" s="10">
        <v>1</v>
      </c>
      <c r="CI26" s="10"/>
      <c r="CJ26" s="10">
        <v>1</v>
      </c>
      <c r="CN26" s="10"/>
      <c r="CO26" s="10">
        <v>1</v>
      </c>
      <c r="CP26" s="10"/>
      <c r="CQ26" s="10">
        <v>1</v>
      </c>
      <c r="CU26" s="10"/>
      <c r="CV26" s="10">
        <v>1</v>
      </c>
      <c r="CW26" s="10"/>
      <c r="CX26" s="10">
        <v>1</v>
      </c>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row>
    <row r="27" spans="2:144" outlineLevel="1" x14ac:dyDescent="0.2">
      <c r="B27" t="s">
        <v>28</v>
      </c>
      <c r="C27" t="s">
        <v>89</v>
      </c>
      <c r="E27" s="9"/>
      <c r="F27" t="s">
        <v>98</v>
      </c>
      <c r="G27" s="10">
        <v>0.05</v>
      </c>
      <c r="I27" s="9">
        <f t="shared" si="1"/>
        <v>0</v>
      </c>
      <c r="J27" s="11" cm="1">
        <f t="array" ref="J27">MAX(IF($N$3:$EH$3=$J$3,N27:EH27))</f>
        <v>0</v>
      </c>
      <c r="K27" s="11" cm="1">
        <f t="array" ref="K27">MAX(IF($N$3:$EH$3=$J$3,N27:EH27))</f>
        <v>0</v>
      </c>
      <c r="L27" s="9"/>
      <c r="O27" s="10"/>
      <c r="P27" s="10"/>
      <c r="Q27" s="10"/>
      <c r="R27" s="10"/>
      <c r="V27" s="10"/>
      <c r="W27" s="10"/>
      <c r="X27" s="10"/>
      <c r="Y27" s="10"/>
      <c r="AC27" s="10"/>
      <c r="AD27" s="10">
        <v>0.5</v>
      </c>
      <c r="AE27" s="10"/>
      <c r="AF27" s="10">
        <v>0.5</v>
      </c>
      <c r="AJ27" s="10"/>
      <c r="AK27" s="10">
        <v>0.5</v>
      </c>
      <c r="AL27" s="10"/>
      <c r="AM27" s="10">
        <v>0.5</v>
      </c>
      <c r="AQ27" s="10"/>
      <c r="AR27" s="10">
        <v>0.5</v>
      </c>
      <c r="AS27" s="10"/>
      <c r="AT27" s="10">
        <v>0.5</v>
      </c>
      <c r="AX27" s="10"/>
      <c r="AY27" s="10">
        <v>0.8</v>
      </c>
      <c r="AZ27" s="10"/>
      <c r="BA27" s="10">
        <v>0.8</v>
      </c>
      <c r="BE27" s="10"/>
      <c r="BF27" s="10">
        <v>0.8</v>
      </c>
      <c r="BG27" s="10"/>
      <c r="BH27" s="10">
        <v>0.8</v>
      </c>
      <c r="BL27" s="10"/>
      <c r="BM27" s="10">
        <v>0.8</v>
      </c>
      <c r="BN27" s="10"/>
      <c r="BO27" s="10">
        <v>0.8</v>
      </c>
      <c r="BS27" s="10"/>
      <c r="BT27" s="10">
        <v>0.8</v>
      </c>
      <c r="BU27" s="10"/>
      <c r="BV27" s="10">
        <v>0.8</v>
      </c>
      <c r="BZ27" s="10"/>
      <c r="CA27" s="10">
        <v>1</v>
      </c>
      <c r="CB27" s="10"/>
      <c r="CC27" s="10">
        <v>1</v>
      </c>
      <c r="CG27" s="10"/>
      <c r="CH27" s="10">
        <v>1</v>
      </c>
      <c r="CI27" s="10"/>
      <c r="CJ27" s="10">
        <v>1</v>
      </c>
      <c r="CN27" s="10"/>
      <c r="CO27" s="10">
        <v>1</v>
      </c>
      <c r="CP27" s="10"/>
      <c r="CQ27" s="10">
        <v>1</v>
      </c>
      <c r="CU27" s="10"/>
      <c r="CV27" s="10">
        <v>1</v>
      </c>
      <c r="CW27" s="10"/>
      <c r="CX27" s="10">
        <v>1</v>
      </c>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row>
    <row r="28" spans="2:144" outlineLevel="1" x14ac:dyDescent="0.2">
      <c r="B28" t="s">
        <v>28</v>
      </c>
      <c r="C28" t="s">
        <v>89</v>
      </c>
      <c r="E28" s="9"/>
      <c r="F28" t="s">
        <v>99</v>
      </c>
      <c r="G28" s="10">
        <v>0.05</v>
      </c>
      <c r="I28" s="9">
        <f t="shared" si="1"/>
        <v>0</v>
      </c>
      <c r="J28" s="11" cm="1">
        <f t="array" ref="J28">MAX(IF($N$3:$EH$3=$J$3,N28:EH28))</f>
        <v>0</v>
      </c>
      <c r="K28" s="11" cm="1">
        <f t="array" ref="K28">MAX(IF($N$3:$EH$3=$J$3,N28:EH28))</f>
        <v>0</v>
      </c>
      <c r="L28" s="9"/>
      <c r="O28" s="10"/>
      <c r="P28" s="10"/>
      <c r="Q28" s="10"/>
      <c r="R28" s="10"/>
      <c r="V28" s="10"/>
      <c r="W28" s="10"/>
      <c r="X28" s="10"/>
      <c r="Y28" s="10"/>
      <c r="AC28" s="10"/>
      <c r="AD28" s="10">
        <v>0.5</v>
      </c>
      <c r="AE28" s="10"/>
      <c r="AF28" s="10">
        <v>0.5</v>
      </c>
      <c r="AJ28" s="10"/>
      <c r="AK28" s="10">
        <v>0.5</v>
      </c>
      <c r="AL28" s="10"/>
      <c r="AM28" s="10">
        <v>0.5</v>
      </c>
      <c r="AQ28" s="10"/>
      <c r="AR28" s="10">
        <v>0.5</v>
      </c>
      <c r="AS28" s="10"/>
      <c r="AT28" s="10">
        <v>0.5</v>
      </c>
      <c r="AX28" s="10"/>
      <c r="AY28" s="10">
        <v>0.5</v>
      </c>
      <c r="AZ28" s="10"/>
      <c r="BA28" s="10">
        <v>0.5</v>
      </c>
      <c r="BE28" s="10"/>
      <c r="BF28" s="10">
        <v>0.8</v>
      </c>
      <c r="BG28" s="10"/>
      <c r="BH28" s="10">
        <v>0.8</v>
      </c>
      <c r="BL28" s="10"/>
      <c r="BM28" s="10">
        <v>0.8</v>
      </c>
      <c r="BN28" s="10"/>
      <c r="BO28" s="10">
        <v>0.8</v>
      </c>
      <c r="BS28" s="10"/>
      <c r="BT28" s="10">
        <v>0.8</v>
      </c>
      <c r="BU28" s="10"/>
      <c r="BV28" s="10">
        <v>0.8</v>
      </c>
      <c r="BZ28" s="10"/>
      <c r="CA28" s="10">
        <v>0.8</v>
      </c>
      <c r="CB28" s="10"/>
      <c r="CC28" s="10">
        <v>0.8</v>
      </c>
      <c r="CG28" s="10"/>
      <c r="CH28" s="10">
        <v>1</v>
      </c>
      <c r="CI28" s="10"/>
      <c r="CJ28" s="10">
        <v>1</v>
      </c>
      <c r="CN28" s="10"/>
      <c r="CO28" s="10">
        <v>1</v>
      </c>
      <c r="CP28" s="10"/>
      <c r="CQ28" s="10">
        <v>1</v>
      </c>
      <c r="CU28" s="10"/>
      <c r="CV28" s="10">
        <v>1</v>
      </c>
      <c r="CW28" s="10"/>
      <c r="CX28" s="10">
        <v>1</v>
      </c>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row>
    <row r="29" spans="2:144" outlineLevel="1" x14ac:dyDescent="0.2">
      <c r="B29" t="s">
        <v>28</v>
      </c>
      <c r="C29" t="s">
        <v>89</v>
      </c>
      <c r="E29" s="9"/>
      <c r="F29" t="s">
        <v>100</v>
      </c>
      <c r="G29" s="10">
        <v>0.1</v>
      </c>
      <c r="I29" s="9">
        <f t="shared" si="1"/>
        <v>0</v>
      </c>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v>0.5</v>
      </c>
      <c r="AL29" s="10"/>
      <c r="AM29" s="10">
        <v>0.5</v>
      </c>
      <c r="AQ29" s="10"/>
      <c r="AR29" s="10">
        <v>0.5</v>
      </c>
      <c r="AS29" s="10"/>
      <c r="AT29" s="10">
        <v>0.5</v>
      </c>
      <c r="AX29" s="10"/>
      <c r="AY29" s="10">
        <v>0.5</v>
      </c>
      <c r="AZ29" s="10"/>
      <c r="BA29" s="10">
        <v>0.5</v>
      </c>
      <c r="BE29" s="10"/>
      <c r="BF29" s="10">
        <v>0.5</v>
      </c>
      <c r="BG29" s="10"/>
      <c r="BH29" s="10">
        <v>0.5</v>
      </c>
      <c r="BL29" s="10"/>
      <c r="BM29" s="10">
        <v>0.8</v>
      </c>
      <c r="BN29" s="10"/>
      <c r="BO29" s="10">
        <v>0.8</v>
      </c>
      <c r="BS29" s="10"/>
      <c r="BT29" s="10">
        <v>0.8</v>
      </c>
      <c r="BU29" s="10"/>
      <c r="BV29" s="10">
        <v>0.8</v>
      </c>
      <c r="BZ29" s="10"/>
      <c r="CA29" s="10">
        <v>0.8</v>
      </c>
      <c r="CB29" s="10"/>
      <c r="CC29" s="10">
        <v>0.8</v>
      </c>
      <c r="CG29" s="10"/>
      <c r="CH29" s="10">
        <v>1</v>
      </c>
      <c r="CI29" s="10"/>
      <c r="CJ29" s="10">
        <v>1</v>
      </c>
      <c r="CN29" s="10"/>
      <c r="CO29" s="10">
        <v>1</v>
      </c>
      <c r="CP29" s="10"/>
      <c r="CQ29" s="10">
        <v>1</v>
      </c>
      <c r="CU29" s="10"/>
      <c r="CV29" s="10">
        <v>1</v>
      </c>
      <c r="CW29" s="10"/>
      <c r="CX29" s="10">
        <v>1</v>
      </c>
      <c r="DB29" s="10"/>
      <c r="DC29" s="10"/>
      <c r="DD29" s="10"/>
      <c r="DE29" s="10"/>
      <c r="DI29" s="10"/>
      <c r="DJ29" s="10"/>
      <c r="DK29" s="10"/>
      <c r="DL29" s="10"/>
      <c r="DP29" s="10"/>
      <c r="DQ29" s="10"/>
      <c r="DR29" s="10"/>
      <c r="DS29" s="10"/>
      <c r="DW29" s="10"/>
      <c r="DX29" s="10"/>
      <c r="DY29" s="10"/>
      <c r="DZ29" s="10"/>
      <c r="ED29" s="10"/>
      <c r="EE29" s="10"/>
      <c r="EF29" s="10"/>
      <c r="EG29" s="10"/>
      <c r="EK29" s="10"/>
      <c r="EL29" s="10"/>
      <c r="EM29" s="10"/>
      <c r="EN29" s="10"/>
    </row>
    <row r="30" spans="2:144" outlineLevel="1" x14ac:dyDescent="0.2">
      <c r="B30" t="s">
        <v>28</v>
      </c>
      <c r="C30" t="s">
        <v>89</v>
      </c>
      <c r="E30" s="9"/>
      <c r="F30" t="s">
        <v>101</v>
      </c>
      <c r="G30" s="10">
        <v>0.05</v>
      </c>
      <c r="I30" s="9">
        <f t="shared" si="1"/>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v>0.5</v>
      </c>
      <c r="AL30" s="10"/>
      <c r="AM30" s="10">
        <v>0.5</v>
      </c>
      <c r="AQ30" s="10"/>
      <c r="AR30" s="10">
        <v>0.5</v>
      </c>
      <c r="AS30" s="10"/>
      <c r="AT30" s="10">
        <v>0.5</v>
      </c>
      <c r="AX30" s="10"/>
      <c r="AY30" s="10">
        <v>0.5</v>
      </c>
      <c r="AZ30" s="10"/>
      <c r="BA30" s="10">
        <v>0.5</v>
      </c>
      <c r="BE30" s="10"/>
      <c r="BF30" s="10">
        <v>0.5</v>
      </c>
      <c r="BG30" s="10"/>
      <c r="BH30" s="10">
        <v>0.5</v>
      </c>
      <c r="BL30" s="10"/>
      <c r="BM30" s="10">
        <v>0.5</v>
      </c>
      <c r="BN30" s="10"/>
      <c r="BO30" s="10">
        <v>0.5</v>
      </c>
      <c r="BS30" s="10"/>
      <c r="BT30" s="10">
        <v>0.8</v>
      </c>
      <c r="BU30" s="10"/>
      <c r="BV30" s="10">
        <v>0.8</v>
      </c>
      <c r="BZ30" s="10"/>
      <c r="CA30" s="10">
        <v>0.8</v>
      </c>
      <c r="CB30" s="10"/>
      <c r="CC30" s="10">
        <v>0.8</v>
      </c>
      <c r="CG30" s="10"/>
      <c r="CH30" s="10">
        <v>1</v>
      </c>
      <c r="CI30" s="10"/>
      <c r="CJ30" s="10">
        <v>1</v>
      </c>
      <c r="CN30" s="10"/>
      <c r="CO30" s="10">
        <v>1</v>
      </c>
      <c r="CP30" s="10"/>
      <c r="CQ30" s="10">
        <v>1</v>
      </c>
      <c r="CU30" s="10"/>
      <c r="CV30" s="10">
        <v>1</v>
      </c>
      <c r="CW30" s="10"/>
      <c r="CX30" s="10">
        <v>1</v>
      </c>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row>
    <row r="31" spans="2:144" outlineLevel="1" x14ac:dyDescent="0.2">
      <c r="B31" t="s">
        <v>28</v>
      </c>
      <c r="C31" t="s">
        <v>89</v>
      </c>
      <c r="E31" s="9"/>
      <c r="F31" t="s">
        <v>102</v>
      </c>
      <c r="G31" s="10">
        <v>0.1</v>
      </c>
      <c r="I31" s="9">
        <f t="shared" si="1"/>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v>0.5</v>
      </c>
      <c r="BG31" s="10"/>
      <c r="BH31" s="10">
        <v>0.5</v>
      </c>
      <c r="BL31" s="10"/>
      <c r="BM31" s="10">
        <v>0.5</v>
      </c>
      <c r="BN31" s="10"/>
      <c r="BO31" s="10">
        <v>0.5</v>
      </c>
      <c r="BS31" s="10"/>
      <c r="BT31" s="10">
        <v>0.8</v>
      </c>
      <c r="BU31" s="10"/>
      <c r="BV31" s="10">
        <v>0.8</v>
      </c>
      <c r="BZ31" s="10"/>
      <c r="CA31" s="10">
        <v>0.8</v>
      </c>
      <c r="CB31" s="10"/>
      <c r="CC31" s="10">
        <v>0.8</v>
      </c>
      <c r="CG31" s="10"/>
      <c r="CH31" s="10">
        <v>0.8</v>
      </c>
      <c r="CI31" s="10"/>
      <c r="CJ31" s="10">
        <v>0.8</v>
      </c>
      <c r="CN31" s="10"/>
      <c r="CO31" s="10">
        <v>1</v>
      </c>
      <c r="CP31" s="10"/>
      <c r="CQ31" s="10">
        <v>1</v>
      </c>
      <c r="CU31" s="10"/>
      <c r="CV31" s="10">
        <v>1</v>
      </c>
      <c r="CW31" s="10"/>
      <c r="CX31" s="10">
        <v>1</v>
      </c>
      <c r="DB31" s="10"/>
      <c r="DC31" s="10"/>
      <c r="DD31" s="10"/>
      <c r="DE31" s="10"/>
      <c r="DI31" s="10"/>
      <c r="DJ31" s="10"/>
      <c r="DK31" s="10"/>
      <c r="DL31" s="10"/>
      <c r="DP31" s="10"/>
      <c r="DQ31" s="10"/>
      <c r="DR31" s="10"/>
      <c r="DS31" s="10"/>
      <c r="DW31" s="10"/>
      <c r="DX31" s="10"/>
      <c r="DY31" s="10"/>
      <c r="DZ31" s="10"/>
      <c r="ED31" s="10"/>
      <c r="EE31" s="10"/>
      <c r="EF31" s="10"/>
      <c r="EG31" s="10"/>
      <c r="EK31" s="10"/>
      <c r="EL31" s="10"/>
      <c r="EM31" s="10"/>
      <c r="EN31" s="10"/>
    </row>
    <row r="32" spans="2:144" outlineLevel="1" x14ac:dyDescent="0.2">
      <c r="B32" t="s">
        <v>28</v>
      </c>
      <c r="C32" t="s">
        <v>89</v>
      </c>
      <c r="E32" s="9"/>
      <c r="F32" t="s">
        <v>103</v>
      </c>
      <c r="G32" s="10">
        <v>0.05</v>
      </c>
      <c r="I32" s="9">
        <f t="shared" si="1"/>
        <v>0</v>
      </c>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v>0.5</v>
      </c>
      <c r="BG32" s="10"/>
      <c r="BH32" s="10">
        <v>0.5</v>
      </c>
      <c r="BL32" s="10"/>
      <c r="BM32" s="10">
        <v>0.5</v>
      </c>
      <c r="BN32" s="10"/>
      <c r="BO32" s="10">
        <v>0.5</v>
      </c>
      <c r="BS32" s="10"/>
      <c r="BT32" s="10">
        <v>0.5</v>
      </c>
      <c r="BU32" s="10"/>
      <c r="BV32" s="10">
        <v>0.5</v>
      </c>
      <c r="BZ32" s="10"/>
      <c r="CA32" s="10">
        <v>0.8</v>
      </c>
      <c r="CB32" s="10"/>
      <c r="CC32" s="10">
        <v>0.8</v>
      </c>
      <c r="CG32" s="10"/>
      <c r="CH32" s="10">
        <v>0.8</v>
      </c>
      <c r="CI32" s="10"/>
      <c r="CJ32" s="10">
        <v>0.8</v>
      </c>
      <c r="CN32" s="10"/>
      <c r="CO32" s="10">
        <v>1</v>
      </c>
      <c r="CP32" s="10"/>
      <c r="CQ32" s="10">
        <v>1</v>
      </c>
      <c r="CU32" s="10"/>
      <c r="CV32" s="10">
        <v>1</v>
      </c>
      <c r="CW32" s="10"/>
      <c r="CX32" s="10">
        <v>1</v>
      </c>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row>
    <row r="33" spans="2:144" outlineLevel="1" x14ac:dyDescent="0.2">
      <c r="B33" t="s">
        <v>28</v>
      </c>
      <c r="C33" t="s">
        <v>89</v>
      </c>
      <c r="E33" s="9"/>
      <c r="F33" t="s">
        <v>104</v>
      </c>
      <c r="G33" s="10">
        <v>0.05</v>
      </c>
      <c r="I33" s="9">
        <f>+SUMIF($N$3:$ZS$3,I$3,$N33:$ZS33)</f>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v>0.5</v>
      </c>
      <c r="BG33" s="10"/>
      <c r="BH33" s="10">
        <v>0.5</v>
      </c>
      <c r="BL33" s="10"/>
      <c r="BM33" s="10">
        <v>0.5</v>
      </c>
      <c r="BN33" s="10"/>
      <c r="BO33" s="10">
        <v>0.5</v>
      </c>
      <c r="BS33" s="10"/>
      <c r="BT33" s="10">
        <v>0.5</v>
      </c>
      <c r="BU33" s="10"/>
      <c r="BV33" s="10">
        <v>0.5</v>
      </c>
      <c r="BZ33" s="10"/>
      <c r="CA33" s="10">
        <v>0.8</v>
      </c>
      <c r="CB33" s="10"/>
      <c r="CC33" s="10">
        <v>0.8</v>
      </c>
      <c r="CG33" s="10"/>
      <c r="CH33" s="10">
        <v>0.8</v>
      </c>
      <c r="CI33" s="10"/>
      <c r="CJ33" s="10">
        <v>0.8</v>
      </c>
      <c r="CN33" s="10"/>
      <c r="CO33" s="10">
        <v>0.8</v>
      </c>
      <c r="CP33" s="10"/>
      <c r="CQ33" s="10">
        <v>0.8</v>
      </c>
      <c r="CU33" s="10"/>
      <c r="CV33" s="10">
        <v>1</v>
      </c>
      <c r="CW33" s="10"/>
      <c r="CX33" s="10">
        <v>1</v>
      </c>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row>
    <row r="34" spans="2:144" outlineLevel="1" x14ac:dyDescent="0.2">
      <c r="B34" t="s">
        <v>28</v>
      </c>
      <c r="C34" t="s">
        <v>89</v>
      </c>
      <c r="E34" s="9"/>
      <c r="F34" t="s">
        <v>105</v>
      </c>
      <c r="G34" s="10">
        <v>0.05</v>
      </c>
      <c r="I34" s="9">
        <f>+SUMIF($N$3:$ZS$3,I$3,$N34:$ZS34)</f>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v>0.5</v>
      </c>
      <c r="BN34" s="10"/>
      <c r="BO34" s="10">
        <v>0.5</v>
      </c>
      <c r="BS34" s="10"/>
      <c r="BT34" s="10">
        <v>0.5</v>
      </c>
      <c r="BU34" s="10"/>
      <c r="BV34" s="10">
        <v>0.5</v>
      </c>
      <c r="BZ34" s="10"/>
      <c r="CA34" s="10">
        <v>0.5</v>
      </c>
      <c r="CB34" s="10"/>
      <c r="CC34" s="10">
        <v>0.5</v>
      </c>
      <c r="CG34" s="10"/>
      <c r="CH34" s="10">
        <v>0.8</v>
      </c>
      <c r="CI34" s="10"/>
      <c r="CJ34" s="10">
        <v>0.8</v>
      </c>
      <c r="CN34" s="10"/>
      <c r="CO34" s="10">
        <v>0.8</v>
      </c>
      <c r="CP34" s="10"/>
      <c r="CQ34" s="10">
        <v>0.8</v>
      </c>
      <c r="CU34" s="10"/>
      <c r="CV34" s="10">
        <v>1</v>
      </c>
      <c r="CW34" s="10"/>
      <c r="CX34" s="10">
        <v>1</v>
      </c>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row>
    <row r="36" spans="2:144" x14ac:dyDescent="0.2">
      <c r="B36" t="s">
        <v>27</v>
      </c>
      <c r="C36" t="s">
        <v>106</v>
      </c>
      <c r="D36" s="19">
        <v>45713</v>
      </c>
      <c r="E36" s="9">
        <v>10</v>
      </c>
      <c r="F36" t="s">
        <v>165</v>
      </c>
      <c r="G36" s="10">
        <f>+SUM(G37:G48)</f>
        <v>1.0000000000000002</v>
      </c>
      <c r="I36" s="12">
        <f>+SUM(I37:I48)</f>
        <v>0</v>
      </c>
      <c r="J36" s="11">
        <f>+SUMPRODUCT(G37:G48,J37:J48)</f>
        <v>0</v>
      </c>
      <c r="K36" s="11">
        <f>+SUMPRODUCT(G37:G48,K37:K48)</f>
        <v>0</v>
      </c>
      <c r="L36" s="9"/>
      <c r="N36" s="12"/>
      <c r="U36" s="12"/>
      <c r="AB36" s="12"/>
      <c r="AI36" s="12"/>
      <c r="AP36" s="12"/>
    </row>
    <row r="37" spans="2:144" outlineLevel="1" x14ac:dyDescent="0.2">
      <c r="B37" t="s">
        <v>28</v>
      </c>
      <c r="C37" t="s">
        <v>106</v>
      </c>
      <c r="E37" s="9"/>
      <c r="F37" t="s">
        <v>119</v>
      </c>
      <c r="G37" s="10">
        <v>0.1</v>
      </c>
      <c r="I37" s="9">
        <f t="shared" ref="I37:I47" si="2">+SUMIF($N$3:$ZS$3,I$3,$N37:$ZS37)</f>
        <v>0</v>
      </c>
      <c r="J37" s="11" cm="1">
        <f t="array" ref="J37">MAX(IF($N$3:$EH$3=$J$3,N37:EH37))</f>
        <v>0</v>
      </c>
      <c r="K37" s="11" cm="1">
        <f t="array" ref="K37">MAX(IF($N$3:$EH$3=$J$3,N37:EH37))</f>
        <v>0</v>
      </c>
      <c r="L37" s="9"/>
      <c r="O37" s="10"/>
      <c r="P37" s="10">
        <v>0.5</v>
      </c>
      <c r="Q37" s="10"/>
      <c r="R37" s="10">
        <v>0.5</v>
      </c>
      <c r="V37" s="10"/>
      <c r="W37" s="10">
        <v>0.8</v>
      </c>
      <c r="X37" s="10"/>
      <c r="Y37" s="10">
        <v>0.8</v>
      </c>
      <c r="AC37" s="10"/>
      <c r="AD37" s="10">
        <v>0.8</v>
      </c>
      <c r="AE37" s="10"/>
      <c r="AF37" s="10">
        <v>0.8</v>
      </c>
      <c r="AJ37" s="10"/>
      <c r="AK37" s="10">
        <v>0.8</v>
      </c>
      <c r="AL37" s="10"/>
      <c r="AM37" s="10">
        <v>0.8</v>
      </c>
      <c r="AQ37" s="10"/>
      <c r="AR37" s="10">
        <v>1</v>
      </c>
      <c r="AS37" s="10"/>
      <c r="AT37" s="10">
        <v>1</v>
      </c>
      <c r="AX37" s="10"/>
      <c r="AY37" s="10">
        <v>1</v>
      </c>
      <c r="AZ37" s="10"/>
      <c r="BA37" s="10">
        <v>1</v>
      </c>
      <c r="BE37" s="10"/>
      <c r="BF37" s="10">
        <v>1</v>
      </c>
      <c r="BG37" s="10"/>
      <c r="BH37" s="10">
        <v>1</v>
      </c>
      <c r="BL37" s="10"/>
      <c r="BM37" s="10">
        <v>1</v>
      </c>
      <c r="BN37" s="10"/>
      <c r="BO37" s="10">
        <v>1</v>
      </c>
      <c r="BS37" s="10"/>
      <c r="BT37" s="10">
        <v>1</v>
      </c>
      <c r="BU37" s="10"/>
      <c r="BV37" s="10">
        <v>1</v>
      </c>
      <c r="BZ37" s="10"/>
      <c r="CA37" s="10">
        <v>1</v>
      </c>
      <c r="CB37" s="10"/>
      <c r="CC37" s="10">
        <v>1</v>
      </c>
      <c r="CG37" s="10"/>
      <c r="CH37" s="10">
        <v>1</v>
      </c>
      <c r="CI37" s="10"/>
      <c r="CJ37" s="10">
        <v>1</v>
      </c>
      <c r="CN37" s="10"/>
      <c r="CO37" s="10">
        <v>1</v>
      </c>
      <c r="CP37" s="10"/>
      <c r="CQ37" s="10">
        <v>1</v>
      </c>
      <c r="CU37" s="10"/>
      <c r="CV37" s="10">
        <v>1</v>
      </c>
      <c r="CW37" s="10"/>
      <c r="CX37" s="10">
        <v>1</v>
      </c>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row>
    <row r="38" spans="2:144" outlineLevel="1" x14ac:dyDescent="0.2">
      <c r="B38" t="s">
        <v>28</v>
      </c>
      <c r="C38" t="s">
        <v>106</v>
      </c>
      <c r="E38" s="9"/>
      <c r="F38" t="s">
        <v>120</v>
      </c>
      <c r="G38" s="10">
        <v>0.1</v>
      </c>
      <c r="I38" s="9">
        <f t="shared" si="2"/>
        <v>0</v>
      </c>
      <c r="J38" s="11" cm="1">
        <f t="array" ref="J38">MAX(IF($N$3:$EH$3=$J$3,N38:EH38))</f>
        <v>0</v>
      </c>
      <c r="K38" s="11" cm="1">
        <f t="array" ref="K38">MAX(IF($N$3:$EH$3=$J$3,N38:EH38))</f>
        <v>0</v>
      </c>
      <c r="L38" s="9"/>
      <c r="O38" s="10"/>
      <c r="P38" s="10">
        <v>0.5</v>
      </c>
      <c r="Q38" s="10"/>
      <c r="R38" s="10">
        <v>0.5</v>
      </c>
      <c r="V38" s="10"/>
      <c r="W38" s="10">
        <v>0.5</v>
      </c>
      <c r="X38" s="10"/>
      <c r="Y38" s="10">
        <v>0.5</v>
      </c>
      <c r="AC38" s="10"/>
      <c r="AD38" s="10">
        <v>0.8</v>
      </c>
      <c r="AE38" s="10"/>
      <c r="AF38" s="10">
        <v>0.8</v>
      </c>
      <c r="AJ38" s="10"/>
      <c r="AK38" s="10">
        <v>0.8</v>
      </c>
      <c r="AL38" s="10"/>
      <c r="AM38" s="10">
        <v>0.8</v>
      </c>
      <c r="AQ38" s="10"/>
      <c r="AR38" s="10">
        <v>0.8</v>
      </c>
      <c r="AS38" s="10"/>
      <c r="AT38" s="10">
        <v>0.8</v>
      </c>
      <c r="AX38" s="10"/>
      <c r="AY38" s="10">
        <v>1</v>
      </c>
      <c r="AZ38" s="10"/>
      <c r="BA38" s="10">
        <v>1</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row>
    <row r="39" spans="2:144" outlineLevel="1" x14ac:dyDescent="0.2">
      <c r="B39" t="s">
        <v>28</v>
      </c>
      <c r="C39" t="s">
        <v>106</v>
      </c>
      <c r="E39" s="9"/>
      <c r="F39" t="s">
        <v>121</v>
      </c>
      <c r="G39" s="10">
        <v>0.1</v>
      </c>
      <c r="I39" s="9">
        <f t="shared" si="2"/>
        <v>0</v>
      </c>
      <c r="J39" s="11" cm="1">
        <f t="array" ref="J39">MAX(IF($N$3:$EH$3=$J$3,N39:EH39))</f>
        <v>0</v>
      </c>
      <c r="K39" s="11" cm="1">
        <f t="array" ref="K39">MAX(IF($N$3:$EH$3=$J$3,N39:EH39))</f>
        <v>0</v>
      </c>
      <c r="L39" s="9"/>
      <c r="O39" s="10"/>
      <c r="P39" s="10">
        <v>0.5</v>
      </c>
      <c r="Q39" s="10"/>
      <c r="R39" s="10">
        <v>0.5</v>
      </c>
      <c r="V39" s="10"/>
      <c r="W39" s="10">
        <v>0.5</v>
      </c>
      <c r="X39" s="10"/>
      <c r="Y39" s="10">
        <v>0.5</v>
      </c>
      <c r="AC39" s="10"/>
      <c r="AD39" s="10">
        <v>0.5</v>
      </c>
      <c r="AE39" s="10"/>
      <c r="AF39" s="10">
        <v>0.5</v>
      </c>
      <c r="AJ39" s="10"/>
      <c r="AK39" s="10">
        <v>0.8</v>
      </c>
      <c r="AL39" s="10"/>
      <c r="AM39" s="10">
        <v>0.8</v>
      </c>
      <c r="AQ39" s="10"/>
      <c r="AR39" s="10">
        <v>0.8</v>
      </c>
      <c r="AS39" s="10"/>
      <c r="AT39" s="10">
        <v>0.8</v>
      </c>
      <c r="AX39" s="10"/>
      <c r="AY39" s="10">
        <v>0.8</v>
      </c>
      <c r="AZ39" s="10"/>
      <c r="BA39" s="10">
        <v>0.8</v>
      </c>
      <c r="BE39" s="10"/>
      <c r="BF39" s="10">
        <v>0.8</v>
      </c>
      <c r="BG39" s="10"/>
      <c r="BH39" s="10">
        <v>0.8</v>
      </c>
      <c r="BL39" s="10"/>
      <c r="BM39" s="10">
        <v>1</v>
      </c>
      <c r="BN39" s="10"/>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v>1</v>
      </c>
      <c r="CW39" s="10"/>
      <c r="CX39" s="10">
        <v>1</v>
      </c>
      <c r="DB39" s="10"/>
      <c r="DC39" s="10"/>
      <c r="DD39" s="10"/>
      <c r="DE39" s="10"/>
      <c r="DI39" s="10"/>
      <c r="DJ39" s="10"/>
      <c r="DK39" s="10"/>
      <c r="DL39" s="10"/>
      <c r="DP39" s="10"/>
      <c r="DQ39" s="10"/>
      <c r="DR39" s="10"/>
      <c r="DS39" s="10"/>
      <c r="DW39" s="10"/>
      <c r="DX39" s="10"/>
      <c r="DY39" s="10"/>
      <c r="DZ39" s="10"/>
      <c r="ED39" s="10"/>
      <c r="EE39" s="10"/>
      <c r="EF39" s="10"/>
      <c r="EG39" s="10"/>
      <c r="EK39" s="10"/>
      <c r="EL39" s="10"/>
      <c r="EM39" s="10"/>
      <c r="EN39" s="10"/>
    </row>
    <row r="40" spans="2:144" outlineLevel="1" x14ac:dyDescent="0.2">
      <c r="B40" t="s">
        <v>28</v>
      </c>
      <c r="C40" t="s">
        <v>106</v>
      </c>
      <c r="E40" s="9"/>
      <c r="F40" t="s">
        <v>122</v>
      </c>
      <c r="G40" s="10">
        <v>0.05</v>
      </c>
      <c r="I40" s="9">
        <f t="shared" si="2"/>
        <v>0</v>
      </c>
      <c r="J40" s="11" cm="1">
        <f t="array" ref="J40">MAX(IF($N$3:$EH$3=$J$3,N40:EH40))</f>
        <v>0</v>
      </c>
      <c r="K40" s="11" cm="1">
        <f t="array" ref="K40">MAX(IF($N$3:$EH$3=$J$3,N40:EH40))</f>
        <v>0</v>
      </c>
      <c r="L40" s="9"/>
      <c r="O40" s="10"/>
      <c r="P40" s="10"/>
      <c r="Q40" s="10"/>
      <c r="R40" s="10"/>
      <c r="V40" s="10"/>
      <c r="W40" s="10">
        <v>0.5</v>
      </c>
      <c r="X40" s="10"/>
      <c r="Y40" s="10">
        <v>0.5</v>
      </c>
      <c r="AC40" s="10"/>
      <c r="AD40" s="10">
        <v>0.5</v>
      </c>
      <c r="AE40" s="10"/>
      <c r="AF40" s="10">
        <v>0.5</v>
      </c>
      <c r="AJ40" s="10"/>
      <c r="AK40" s="10">
        <v>0.5</v>
      </c>
      <c r="AL40" s="10"/>
      <c r="AM40" s="10">
        <v>0.5</v>
      </c>
      <c r="AQ40" s="10"/>
      <c r="AR40" s="10">
        <v>0.8</v>
      </c>
      <c r="AS40" s="10"/>
      <c r="AT40" s="10">
        <v>0.8</v>
      </c>
      <c r="AX40" s="10"/>
      <c r="AY40" s="10">
        <v>0.8</v>
      </c>
      <c r="AZ40" s="10"/>
      <c r="BA40" s="10">
        <v>0.8</v>
      </c>
      <c r="BE40" s="10"/>
      <c r="BF40" s="10">
        <v>0.8</v>
      </c>
      <c r="BG40" s="10"/>
      <c r="BH40" s="10">
        <v>0.8</v>
      </c>
      <c r="BL40" s="10"/>
      <c r="BM40" s="10">
        <v>1</v>
      </c>
      <c r="BN40" s="10"/>
      <c r="BO40" s="10">
        <v>1</v>
      </c>
      <c r="BS40" s="10"/>
      <c r="BT40" s="10">
        <v>1</v>
      </c>
      <c r="BU40" s="10"/>
      <c r="BV40" s="10">
        <v>1</v>
      </c>
      <c r="BZ40" s="10"/>
      <c r="CA40" s="10">
        <v>1</v>
      </c>
      <c r="CB40" s="10"/>
      <c r="CC40" s="10">
        <v>1</v>
      </c>
      <c r="CG40" s="10"/>
      <c r="CH40" s="10">
        <v>1</v>
      </c>
      <c r="CI40" s="10"/>
      <c r="CJ40" s="10">
        <v>1</v>
      </c>
      <c r="CN40" s="10"/>
      <c r="CO40" s="10">
        <v>1</v>
      </c>
      <c r="CP40" s="10"/>
      <c r="CQ40" s="10">
        <v>1</v>
      </c>
      <c r="CU40" s="10"/>
      <c r="CV40" s="10">
        <v>1</v>
      </c>
      <c r="CW40" s="10"/>
      <c r="CX40" s="10">
        <v>1</v>
      </c>
      <c r="DB40" s="10"/>
      <c r="DC40" s="10"/>
      <c r="DD40" s="10"/>
      <c r="DE40" s="10"/>
      <c r="DI40" s="10"/>
      <c r="DJ40" s="10"/>
      <c r="DK40" s="10"/>
      <c r="DL40" s="10"/>
      <c r="DP40" s="10"/>
      <c r="DQ40" s="10"/>
      <c r="DR40" s="10"/>
      <c r="DS40" s="10"/>
      <c r="DW40" s="10"/>
      <c r="DX40" s="10"/>
      <c r="DY40" s="10"/>
      <c r="DZ40" s="10"/>
      <c r="ED40" s="10"/>
      <c r="EE40" s="10"/>
      <c r="EF40" s="10"/>
      <c r="EG40" s="10"/>
      <c r="EK40" s="10"/>
      <c r="EL40" s="10"/>
      <c r="EM40" s="10"/>
      <c r="EN40" s="10"/>
    </row>
    <row r="41" spans="2:144" outlineLevel="1" x14ac:dyDescent="0.2">
      <c r="B41" t="s">
        <v>28</v>
      </c>
      <c r="C41" t="s">
        <v>106</v>
      </c>
      <c r="E41" s="9"/>
      <c r="F41" t="s">
        <v>123</v>
      </c>
      <c r="G41" s="10">
        <v>0.1</v>
      </c>
      <c r="I41" s="9">
        <f t="shared" si="2"/>
        <v>0</v>
      </c>
      <c r="J41" s="11" cm="1">
        <f t="array" ref="J41">MAX(IF($N$3:$EH$3=$J$3,N41:EH41))</f>
        <v>0</v>
      </c>
      <c r="K41" s="11" cm="1">
        <f t="array" ref="K41">MAX(IF($N$3:$EH$3=$J$3,N41:EH41))</f>
        <v>0</v>
      </c>
      <c r="L41" s="9"/>
      <c r="O41" s="10"/>
      <c r="P41" s="10"/>
      <c r="Q41" s="10"/>
      <c r="R41" s="10"/>
      <c r="V41" s="10"/>
      <c r="W41" s="10">
        <v>0.5</v>
      </c>
      <c r="X41" s="10"/>
      <c r="Y41" s="10">
        <v>0.5</v>
      </c>
      <c r="AC41" s="10"/>
      <c r="AD41" s="10">
        <v>0.5</v>
      </c>
      <c r="AE41" s="10"/>
      <c r="AF41" s="10">
        <v>0.5</v>
      </c>
      <c r="AJ41" s="10"/>
      <c r="AK41" s="10">
        <v>0.5</v>
      </c>
      <c r="AL41" s="10"/>
      <c r="AM41" s="10">
        <v>0.5</v>
      </c>
      <c r="AQ41" s="10"/>
      <c r="AR41" s="10">
        <v>0.5</v>
      </c>
      <c r="AS41" s="10"/>
      <c r="AT41" s="10">
        <v>0.5</v>
      </c>
      <c r="AX41" s="10"/>
      <c r="AY41" s="10">
        <v>0.8</v>
      </c>
      <c r="AZ41" s="10"/>
      <c r="BA41" s="10">
        <v>0.8</v>
      </c>
      <c r="BE41" s="10"/>
      <c r="BF41" s="10">
        <v>0.8</v>
      </c>
      <c r="BG41" s="10"/>
      <c r="BH41" s="10">
        <v>0.8</v>
      </c>
      <c r="BL41" s="10"/>
      <c r="BM41" s="10">
        <v>0.8</v>
      </c>
      <c r="BN41" s="10"/>
      <c r="BO41" s="10">
        <v>0.8</v>
      </c>
      <c r="BS41" s="10"/>
      <c r="BT41" s="10">
        <v>1</v>
      </c>
      <c r="BU41" s="10"/>
      <c r="BV41" s="10">
        <v>1</v>
      </c>
      <c r="BZ41" s="10"/>
      <c r="CA41" s="10">
        <v>1</v>
      </c>
      <c r="CB41" s="10"/>
      <c r="CC41" s="10">
        <v>1</v>
      </c>
      <c r="CG41" s="10"/>
      <c r="CH41" s="10">
        <v>1</v>
      </c>
      <c r="CI41" s="10"/>
      <c r="CJ41" s="10">
        <v>1</v>
      </c>
      <c r="CN41" s="10"/>
      <c r="CO41" s="10">
        <v>1</v>
      </c>
      <c r="CP41" s="10"/>
      <c r="CQ41" s="10">
        <v>1</v>
      </c>
      <c r="CU41" s="10"/>
      <c r="CV41" s="10">
        <v>1</v>
      </c>
      <c r="CW41" s="10"/>
      <c r="CX41" s="10">
        <v>1</v>
      </c>
      <c r="DB41" s="10"/>
      <c r="DC41" s="10"/>
      <c r="DD41" s="10"/>
      <c r="DE41" s="10"/>
      <c r="DI41" s="10"/>
      <c r="DJ41" s="10"/>
      <c r="DK41" s="10"/>
      <c r="DL41" s="10"/>
      <c r="DP41" s="10"/>
      <c r="DQ41" s="10"/>
      <c r="DR41" s="10"/>
      <c r="DS41" s="10"/>
      <c r="DW41" s="10"/>
      <c r="DX41" s="10"/>
      <c r="DY41" s="10"/>
      <c r="DZ41" s="10"/>
      <c r="ED41" s="10"/>
      <c r="EE41" s="10"/>
      <c r="EF41" s="10"/>
      <c r="EG41" s="10"/>
      <c r="EK41" s="10"/>
      <c r="EL41" s="10"/>
      <c r="EM41" s="10"/>
      <c r="EN41" s="10"/>
    </row>
    <row r="42" spans="2:144" outlineLevel="1" x14ac:dyDescent="0.2">
      <c r="B42" t="s">
        <v>28</v>
      </c>
      <c r="C42" t="s">
        <v>106</v>
      </c>
      <c r="E42" s="9"/>
      <c r="F42" t="s">
        <v>124</v>
      </c>
      <c r="G42" s="10">
        <v>0.05</v>
      </c>
      <c r="I42" s="9">
        <f t="shared" si="2"/>
        <v>0</v>
      </c>
      <c r="J42" s="11" cm="1">
        <f t="array" ref="J42">MAX(IF($N$3:$EH$3=$J$3,N42:EH42))</f>
        <v>0</v>
      </c>
      <c r="K42" s="11" cm="1">
        <f t="array" ref="K42">MAX(IF($N$3:$EH$3=$J$3,N42:EH42))</f>
        <v>0</v>
      </c>
      <c r="L42" s="9"/>
      <c r="O42" s="10"/>
      <c r="P42" s="10"/>
      <c r="Q42" s="10"/>
      <c r="R42" s="10"/>
      <c r="V42" s="10"/>
      <c r="W42" s="10"/>
      <c r="X42" s="10"/>
      <c r="Y42" s="10"/>
      <c r="AC42" s="10"/>
      <c r="AD42" s="10">
        <v>0.5</v>
      </c>
      <c r="AE42" s="10"/>
      <c r="AF42" s="10">
        <v>0.5</v>
      </c>
      <c r="AJ42" s="10"/>
      <c r="AK42" s="10">
        <v>0.5</v>
      </c>
      <c r="AL42" s="10"/>
      <c r="AM42" s="10">
        <v>0.5</v>
      </c>
      <c r="AQ42" s="10"/>
      <c r="AR42" s="10">
        <v>0.5</v>
      </c>
      <c r="AS42" s="10"/>
      <c r="AT42" s="10">
        <v>0.5</v>
      </c>
      <c r="AX42" s="10"/>
      <c r="AY42" s="10">
        <v>0.8</v>
      </c>
      <c r="AZ42" s="10"/>
      <c r="BA42" s="10">
        <v>0.8</v>
      </c>
      <c r="BE42" s="10"/>
      <c r="BF42" s="10">
        <v>0.8</v>
      </c>
      <c r="BG42" s="10"/>
      <c r="BH42" s="10">
        <v>0.8</v>
      </c>
      <c r="BL42" s="10"/>
      <c r="BM42" s="10">
        <v>0.8</v>
      </c>
      <c r="BN42" s="10"/>
      <c r="BO42" s="10">
        <v>0.8</v>
      </c>
      <c r="BS42" s="10"/>
      <c r="BT42" s="10">
        <v>0.8</v>
      </c>
      <c r="BU42" s="10"/>
      <c r="BV42" s="10">
        <v>0.8</v>
      </c>
      <c r="BZ42" s="10"/>
      <c r="CA42" s="10">
        <v>1</v>
      </c>
      <c r="CB42" s="10"/>
      <c r="CC42" s="10">
        <v>1</v>
      </c>
      <c r="CG42" s="10"/>
      <c r="CH42" s="10">
        <v>1</v>
      </c>
      <c r="CI42" s="10"/>
      <c r="CJ42" s="10">
        <v>1</v>
      </c>
      <c r="CN42" s="10"/>
      <c r="CO42" s="10">
        <v>1</v>
      </c>
      <c r="CP42" s="10"/>
      <c r="CQ42" s="10">
        <v>1</v>
      </c>
      <c r="CU42" s="10"/>
      <c r="CV42" s="10">
        <v>1</v>
      </c>
      <c r="CW42" s="10"/>
      <c r="CX42" s="10">
        <v>1</v>
      </c>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row>
    <row r="43" spans="2:144" outlineLevel="1" x14ac:dyDescent="0.2">
      <c r="B43" t="s">
        <v>28</v>
      </c>
      <c r="C43" t="s">
        <v>106</v>
      </c>
      <c r="E43" s="9"/>
      <c r="F43" t="s">
        <v>125</v>
      </c>
      <c r="G43" s="10">
        <v>0.1</v>
      </c>
      <c r="I43" s="9">
        <f t="shared" si="2"/>
        <v>0</v>
      </c>
      <c r="J43" s="11" cm="1">
        <f t="array" ref="J43">MAX(IF($N$3:$EH$3=$J$3,N43:EH43))</f>
        <v>0</v>
      </c>
      <c r="K43" s="11" cm="1">
        <f t="array" ref="K43">MAX(IF($N$3:$EH$3=$J$3,N43:EH43))</f>
        <v>0</v>
      </c>
      <c r="L43" s="9"/>
      <c r="O43" s="10"/>
      <c r="P43" s="10"/>
      <c r="Q43" s="10"/>
      <c r="R43" s="10"/>
      <c r="V43" s="10"/>
      <c r="W43" s="10"/>
      <c r="X43" s="10"/>
      <c r="Y43" s="10"/>
      <c r="AC43" s="10"/>
      <c r="AD43" s="10">
        <v>0.5</v>
      </c>
      <c r="AE43" s="10"/>
      <c r="AF43" s="10">
        <v>0.5</v>
      </c>
      <c r="AJ43" s="10"/>
      <c r="AK43" s="10">
        <v>0.5</v>
      </c>
      <c r="AL43" s="10"/>
      <c r="AM43" s="10">
        <v>0.5</v>
      </c>
      <c r="AQ43" s="10"/>
      <c r="AR43" s="10">
        <v>0.5</v>
      </c>
      <c r="AS43" s="10"/>
      <c r="AT43" s="10">
        <v>0.5</v>
      </c>
      <c r="AX43" s="10"/>
      <c r="AY43" s="10">
        <v>0.5</v>
      </c>
      <c r="AZ43" s="10"/>
      <c r="BA43" s="10">
        <v>0.5</v>
      </c>
      <c r="BE43" s="10"/>
      <c r="BF43" s="10">
        <v>0.8</v>
      </c>
      <c r="BG43" s="10"/>
      <c r="BH43" s="10">
        <v>0.8</v>
      </c>
      <c r="BL43" s="10"/>
      <c r="BM43" s="10">
        <v>0.8</v>
      </c>
      <c r="BN43" s="10"/>
      <c r="BO43" s="10">
        <v>0.8</v>
      </c>
      <c r="BS43" s="10"/>
      <c r="BT43" s="10">
        <v>0.8</v>
      </c>
      <c r="BU43" s="10"/>
      <c r="BV43" s="10">
        <v>0.8</v>
      </c>
      <c r="BZ43" s="10"/>
      <c r="CA43" s="10">
        <v>0.8</v>
      </c>
      <c r="CB43" s="10"/>
      <c r="CC43" s="10">
        <v>0.8</v>
      </c>
      <c r="CG43" s="10"/>
      <c r="CH43" s="10">
        <v>1</v>
      </c>
      <c r="CI43" s="10"/>
      <c r="CJ43" s="10">
        <v>1</v>
      </c>
      <c r="CN43" s="10"/>
      <c r="CO43" s="10">
        <v>1</v>
      </c>
      <c r="CP43" s="10"/>
      <c r="CQ43" s="10">
        <v>1</v>
      </c>
      <c r="CU43" s="10"/>
      <c r="CV43" s="10">
        <v>1</v>
      </c>
      <c r="CW43" s="10"/>
      <c r="CX43" s="10">
        <v>1</v>
      </c>
      <c r="DB43" s="10"/>
      <c r="DC43" s="10"/>
      <c r="DD43" s="10"/>
      <c r="DE43" s="10"/>
      <c r="DI43" s="10"/>
      <c r="DJ43" s="10"/>
      <c r="DK43" s="10"/>
      <c r="DL43" s="10"/>
      <c r="DP43" s="10"/>
      <c r="DQ43" s="10"/>
      <c r="DR43" s="10"/>
      <c r="DS43" s="10"/>
      <c r="DW43" s="10"/>
      <c r="DX43" s="10"/>
      <c r="DY43" s="10"/>
      <c r="DZ43" s="10"/>
      <c r="ED43" s="10"/>
      <c r="EE43" s="10"/>
      <c r="EF43" s="10"/>
      <c r="EG43" s="10"/>
      <c r="EK43" s="10"/>
      <c r="EL43" s="10"/>
      <c r="EM43" s="10"/>
      <c r="EN43" s="10"/>
    </row>
    <row r="44" spans="2:144" outlineLevel="1" x14ac:dyDescent="0.2">
      <c r="B44" t="s">
        <v>28</v>
      </c>
      <c r="C44" t="s">
        <v>106</v>
      </c>
      <c r="E44" s="9"/>
      <c r="F44" t="s">
        <v>126</v>
      </c>
      <c r="G44" s="10">
        <v>0.1</v>
      </c>
      <c r="I44" s="9">
        <f t="shared" si="2"/>
        <v>0</v>
      </c>
      <c r="J44" s="11" cm="1">
        <f t="array" ref="J44">MAX(IF($N$3:$EH$3=$J$3,N44:EH44))</f>
        <v>0</v>
      </c>
      <c r="K44" s="11" cm="1">
        <f t="array" ref="K44">MAX(IF($N$3:$EH$3=$J$3,N44:EH44))</f>
        <v>0</v>
      </c>
      <c r="L44" s="9"/>
      <c r="O44" s="10"/>
      <c r="P44" s="10"/>
      <c r="Q44" s="10"/>
      <c r="R44" s="10"/>
      <c r="V44" s="10"/>
      <c r="W44" s="10"/>
      <c r="X44" s="10"/>
      <c r="Y44" s="10"/>
      <c r="AC44" s="10"/>
      <c r="AD44" s="10"/>
      <c r="AE44" s="10"/>
      <c r="AF44" s="10"/>
      <c r="AJ44" s="10"/>
      <c r="AK44" s="10">
        <v>0.5</v>
      </c>
      <c r="AL44" s="10"/>
      <c r="AM44" s="10">
        <v>0.5</v>
      </c>
      <c r="AQ44" s="10"/>
      <c r="AR44" s="10">
        <v>0.5</v>
      </c>
      <c r="AS44" s="10"/>
      <c r="AT44" s="10">
        <v>0.5</v>
      </c>
      <c r="AX44" s="10"/>
      <c r="AY44" s="10">
        <v>0.5</v>
      </c>
      <c r="AZ44" s="10"/>
      <c r="BA44" s="10">
        <v>0.5</v>
      </c>
      <c r="BE44" s="10"/>
      <c r="BF44" s="10">
        <v>0.5</v>
      </c>
      <c r="BG44" s="10"/>
      <c r="BH44" s="10">
        <v>0.5</v>
      </c>
      <c r="BL44" s="10"/>
      <c r="BM44" s="10">
        <v>0.8</v>
      </c>
      <c r="BN44" s="10"/>
      <c r="BO44" s="10">
        <v>0.8</v>
      </c>
      <c r="BS44" s="10"/>
      <c r="BT44" s="10">
        <v>0.8</v>
      </c>
      <c r="BU44" s="10"/>
      <c r="BV44" s="10">
        <v>0.8</v>
      </c>
      <c r="BZ44" s="10"/>
      <c r="CA44" s="10">
        <v>0.8</v>
      </c>
      <c r="CB44" s="10"/>
      <c r="CC44" s="10">
        <v>0.8</v>
      </c>
      <c r="CG44" s="10"/>
      <c r="CH44" s="10">
        <v>1</v>
      </c>
      <c r="CI44" s="10"/>
      <c r="CJ44" s="10">
        <v>1</v>
      </c>
      <c r="CN44" s="10"/>
      <c r="CO44" s="10">
        <v>1</v>
      </c>
      <c r="CP44" s="10"/>
      <c r="CQ44" s="10">
        <v>1</v>
      </c>
      <c r="CU44" s="10"/>
      <c r="CV44" s="10">
        <v>1</v>
      </c>
      <c r="CW44" s="10"/>
      <c r="CX44" s="10">
        <v>1</v>
      </c>
      <c r="DB44" s="10"/>
      <c r="DC44" s="10"/>
      <c r="DD44" s="10"/>
      <c r="DE44" s="10"/>
      <c r="DI44" s="10"/>
      <c r="DJ44" s="10"/>
      <c r="DK44" s="10"/>
      <c r="DL44" s="10"/>
      <c r="DP44" s="10"/>
      <c r="DQ44" s="10"/>
      <c r="DR44" s="10"/>
      <c r="DS44" s="10"/>
      <c r="DW44" s="10"/>
      <c r="DX44" s="10"/>
      <c r="DY44" s="10"/>
      <c r="DZ44" s="10"/>
      <c r="ED44" s="10"/>
      <c r="EE44" s="10"/>
      <c r="EF44" s="10"/>
      <c r="EG44" s="10"/>
      <c r="EK44" s="10"/>
      <c r="EL44" s="10"/>
      <c r="EM44" s="10"/>
      <c r="EN44" s="10"/>
    </row>
    <row r="45" spans="2:144" outlineLevel="1" x14ac:dyDescent="0.2">
      <c r="B45" t="s">
        <v>28</v>
      </c>
      <c r="C45" t="s">
        <v>106</v>
      </c>
      <c r="E45" s="9"/>
      <c r="F45" t="s">
        <v>127</v>
      </c>
      <c r="G45" s="10">
        <v>0.05</v>
      </c>
      <c r="I45" s="9">
        <f t="shared" si="2"/>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v>0.5</v>
      </c>
      <c r="AL45" s="10"/>
      <c r="AM45" s="10">
        <v>0.5</v>
      </c>
      <c r="AQ45" s="10"/>
      <c r="AR45" s="10">
        <v>0.5</v>
      </c>
      <c r="AS45" s="10"/>
      <c r="AT45" s="10">
        <v>0.5</v>
      </c>
      <c r="AX45" s="10"/>
      <c r="AY45" s="10">
        <v>0.5</v>
      </c>
      <c r="AZ45" s="10"/>
      <c r="BA45" s="10">
        <v>0.5</v>
      </c>
      <c r="BE45" s="10"/>
      <c r="BF45" s="10">
        <v>0.5</v>
      </c>
      <c r="BG45" s="10"/>
      <c r="BH45" s="10">
        <v>0.5</v>
      </c>
      <c r="BL45" s="10"/>
      <c r="BM45" s="10">
        <v>0.5</v>
      </c>
      <c r="BN45" s="10"/>
      <c r="BO45" s="10">
        <v>0.5</v>
      </c>
      <c r="BS45" s="10"/>
      <c r="BT45" s="10">
        <v>0.8</v>
      </c>
      <c r="BU45" s="10"/>
      <c r="BV45" s="10">
        <v>0.8</v>
      </c>
      <c r="BZ45" s="10"/>
      <c r="CA45" s="10">
        <v>0.8</v>
      </c>
      <c r="CB45" s="10"/>
      <c r="CC45" s="10">
        <v>0.8</v>
      </c>
      <c r="CG45" s="10"/>
      <c r="CH45" s="10">
        <v>1</v>
      </c>
      <c r="CI45" s="10"/>
      <c r="CJ45" s="10">
        <v>1</v>
      </c>
      <c r="CN45" s="10"/>
      <c r="CO45" s="10">
        <v>1</v>
      </c>
      <c r="CP45" s="10"/>
      <c r="CQ45" s="10">
        <v>1</v>
      </c>
      <c r="CU45" s="10"/>
      <c r="CV45" s="10">
        <v>1</v>
      </c>
      <c r="CW45" s="10"/>
      <c r="CX45" s="10">
        <v>1</v>
      </c>
      <c r="DB45" s="10"/>
      <c r="DC45" s="10"/>
      <c r="DD45" s="10"/>
      <c r="DE45" s="10"/>
      <c r="DI45" s="10"/>
      <c r="DJ45" s="10"/>
      <c r="DK45" s="10"/>
      <c r="DL45" s="10"/>
      <c r="DP45" s="10"/>
      <c r="DQ45" s="10"/>
      <c r="DR45" s="10"/>
      <c r="DS45" s="10"/>
      <c r="DW45" s="10"/>
      <c r="DX45" s="10"/>
      <c r="DY45" s="10"/>
      <c r="DZ45" s="10"/>
      <c r="ED45" s="10"/>
      <c r="EE45" s="10"/>
      <c r="EF45" s="10"/>
      <c r="EG45" s="10"/>
      <c r="EK45" s="10"/>
      <c r="EL45" s="10"/>
      <c r="EM45" s="10"/>
      <c r="EN45" s="10"/>
    </row>
    <row r="46" spans="2:144" outlineLevel="1" x14ac:dyDescent="0.2">
      <c r="B46" t="s">
        <v>28</v>
      </c>
      <c r="C46" t="s">
        <v>106</v>
      </c>
      <c r="E46" s="9"/>
      <c r="F46" t="s">
        <v>128</v>
      </c>
      <c r="G46" s="10">
        <v>0.1</v>
      </c>
      <c r="I46" s="9">
        <f t="shared" si="2"/>
        <v>0</v>
      </c>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Q46" s="10"/>
      <c r="AR46" s="10">
        <v>0.5</v>
      </c>
      <c r="AS46" s="10"/>
      <c r="AT46" s="10">
        <v>0.5</v>
      </c>
      <c r="AX46" s="10"/>
      <c r="AY46" s="10">
        <v>0.5</v>
      </c>
      <c r="AZ46" s="10"/>
      <c r="BA46" s="10">
        <v>0.5</v>
      </c>
      <c r="BE46" s="10"/>
      <c r="BF46" s="10">
        <v>0.5</v>
      </c>
      <c r="BG46" s="10"/>
      <c r="BH46" s="10">
        <v>0.5</v>
      </c>
      <c r="BL46" s="10"/>
      <c r="BM46" s="10">
        <v>0.5</v>
      </c>
      <c r="BN46" s="10"/>
      <c r="BO46" s="10">
        <v>0.5</v>
      </c>
      <c r="BS46" s="10"/>
      <c r="BT46" s="10">
        <v>0.8</v>
      </c>
      <c r="BU46" s="10"/>
      <c r="BV46" s="10">
        <v>0.8</v>
      </c>
      <c r="BZ46" s="10"/>
      <c r="CA46" s="10">
        <v>0.8</v>
      </c>
      <c r="CB46" s="10"/>
      <c r="CC46" s="10">
        <v>0.8</v>
      </c>
      <c r="CG46" s="10"/>
      <c r="CH46" s="10">
        <v>0.8</v>
      </c>
      <c r="CI46" s="10"/>
      <c r="CJ46" s="10">
        <v>0.8</v>
      </c>
      <c r="CN46" s="10"/>
      <c r="CO46" s="10">
        <v>1</v>
      </c>
      <c r="CP46" s="10"/>
      <c r="CQ46" s="10">
        <v>1</v>
      </c>
      <c r="CU46" s="10"/>
      <c r="CV46" s="10">
        <v>1</v>
      </c>
      <c r="CW46" s="10"/>
      <c r="CX46" s="10">
        <v>1</v>
      </c>
      <c r="DB46" s="10"/>
      <c r="DC46" s="10"/>
      <c r="DD46" s="10"/>
      <c r="DE46" s="10"/>
      <c r="DI46" s="10"/>
      <c r="DJ46" s="10"/>
      <c r="DK46" s="10"/>
      <c r="DL46" s="10"/>
      <c r="DP46" s="10"/>
      <c r="DQ46" s="10"/>
      <c r="DR46" s="10"/>
      <c r="DS46" s="10"/>
      <c r="DW46" s="10"/>
      <c r="DX46" s="10"/>
      <c r="DY46" s="10"/>
      <c r="DZ46" s="10"/>
      <c r="ED46" s="10"/>
      <c r="EE46" s="10"/>
      <c r="EF46" s="10"/>
      <c r="EG46" s="10"/>
      <c r="EK46" s="10"/>
      <c r="EL46" s="10"/>
      <c r="EM46" s="10"/>
      <c r="EN46" s="10"/>
    </row>
    <row r="47" spans="2:144" outlineLevel="1" x14ac:dyDescent="0.2">
      <c r="B47" t="s">
        <v>28</v>
      </c>
      <c r="C47" t="s">
        <v>106</v>
      </c>
      <c r="E47" s="9"/>
      <c r="F47" t="s">
        <v>129</v>
      </c>
      <c r="G47" s="10">
        <v>0.05</v>
      </c>
      <c r="I47" s="9">
        <f t="shared" si="2"/>
        <v>0</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v>0.5</v>
      </c>
      <c r="BG47" s="10"/>
      <c r="BH47" s="10">
        <v>0.5</v>
      </c>
      <c r="BL47" s="10"/>
      <c r="BM47" s="10">
        <v>0.5</v>
      </c>
      <c r="BN47" s="10"/>
      <c r="BO47" s="10">
        <v>0.5</v>
      </c>
      <c r="BS47" s="10"/>
      <c r="BT47" s="10">
        <v>0.5</v>
      </c>
      <c r="BU47" s="10"/>
      <c r="BV47" s="10">
        <v>0.5</v>
      </c>
      <c r="BZ47" s="10"/>
      <c r="CA47" s="10">
        <v>0.8</v>
      </c>
      <c r="CB47" s="10"/>
      <c r="CC47" s="10">
        <v>0.8</v>
      </c>
      <c r="CG47" s="10"/>
      <c r="CH47" s="10">
        <v>0.8</v>
      </c>
      <c r="CI47" s="10"/>
      <c r="CJ47" s="10">
        <v>0.8</v>
      </c>
      <c r="CN47" s="10"/>
      <c r="CO47" s="10">
        <v>1</v>
      </c>
      <c r="CP47" s="10"/>
      <c r="CQ47" s="10">
        <v>1</v>
      </c>
      <c r="CU47" s="10"/>
      <c r="CV47" s="10">
        <v>1</v>
      </c>
      <c r="CW47" s="10"/>
      <c r="CX47" s="10">
        <v>1</v>
      </c>
      <c r="DB47" s="10"/>
      <c r="DC47" s="10"/>
      <c r="DD47" s="10"/>
      <c r="DE47" s="10"/>
      <c r="DI47" s="10"/>
      <c r="DJ47" s="10"/>
      <c r="DK47" s="10"/>
      <c r="DL47" s="10"/>
      <c r="DP47" s="10"/>
      <c r="DQ47" s="10"/>
      <c r="DR47" s="10"/>
      <c r="DS47" s="10"/>
      <c r="DW47" s="10"/>
      <c r="DX47" s="10"/>
      <c r="DY47" s="10"/>
      <c r="DZ47" s="10"/>
      <c r="ED47" s="10"/>
      <c r="EE47" s="10"/>
      <c r="EF47" s="10"/>
      <c r="EG47" s="10"/>
      <c r="EK47" s="10"/>
      <c r="EL47" s="10"/>
      <c r="EM47" s="10"/>
      <c r="EN47" s="10"/>
    </row>
    <row r="48" spans="2:144" outlineLevel="1" x14ac:dyDescent="0.2">
      <c r="B48" t="s">
        <v>28</v>
      </c>
      <c r="C48" t="s">
        <v>106</v>
      </c>
      <c r="E48" s="9"/>
      <c r="F48" t="s">
        <v>130</v>
      </c>
      <c r="G48" s="10">
        <v>0.1</v>
      </c>
      <c r="I48" s="9">
        <f>+SUMIF($N$3:$ZS$3,I$3,$N48:$ZS48)</f>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v>0.5</v>
      </c>
      <c r="BG48" s="10"/>
      <c r="BH48" s="10">
        <v>0.5</v>
      </c>
      <c r="BL48" s="10"/>
      <c r="BM48" s="10">
        <v>0.5</v>
      </c>
      <c r="BN48" s="10"/>
      <c r="BO48" s="10">
        <v>0.5</v>
      </c>
      <c r="BS48" s="10"/>
      <c r="BT48" s="10">
        <v>0.5</v>
      </c>
      <c r="BU48" s="10"/>
      <c r="BV48" s="10">
        <v>0.5</v>
      </c>
      <c r="BZ48" s="10"/>
      <c r="CA48" s="10">
        <v>0.8</v>
      </c>
      <c r="CB48" s="10"/>
      <c r="CC48" s="10">
        <v>0.8</v>
      </c>
      <c r="CG48" s="10"/>
      <c r="CH48" s="10">
        <v>0.8</v>
      </c>
      <c r="CI48" s="10"/>
      <c r="CJ48" s="10">
        <v>0.8</v>
      </c>
      <c r="CN48" s="10"/>
      <c r="CO48" s="10">
        <v>0.8</v>
      </c>
      <c r="CP48" s="10"/>
      <c r="CQ48" s="10">
        <v>0.8</v>
      </c>
      <c r="CU48" s="10"/>
      <c r="CV48" s="10">
        <v>1</v>
      </c>
      <c r="CW48" s="10"/>
      <c r="CX48" s="10">
        <v>1</v>
      </c>
      <c r="DB48" s="10"/>
      <c r="DC48" s="10"/>
      <c r="DD48" s="10"/>
      <c r="DE48" s="10"/>
      <c r="DI48" s="10"/>
      <c r="DJ48" s="10"/>
      <c r="DK48" s="10"/>
      <c r="DL48" s="10"/>
      <c r="DP48" s="10"/>
      <c r="DQ48" s="10"/>
      <c r="DR48" s="10"/>
      <c r="DS48" s="10"/>
      <c r="DW48" s="10"/>
      <c r="DX48" s="10"/>
      <c r="DY48" s="10"/>
      <c r="DZ48" s="10"/>
      <c r="ED48" s="10"/>
      <c r="EE48" s="10"/>
      <c r="EF48" s="10"/>
      <c r="EG48" s="10"/>
      <c r="EK48" s="10"/>
      <c r="EL48" s="10"/>
      <c r="EM48" s="10"/>
      <c r="EN48" s="10"/>
    </row>
    <row r="50" spans="2:144" x14ac:dyDescent="0.2">
      <c r="B50" t="s">
        <v>27</v>
      </c>
      <c r="C50" t="s">
        <v>90</v>
      </c>
      <c r="D50" s="19">
        <v>45715</v>
      </c>
      <c r="E50" s="9">
        <v>5</v>
      </c>
      <c r="F50" t="s">
        <v>167</v>
      </c>
      <c r="G50" s="10">
        <f>+SUM(G51:G63)</f>
        <v>1</v>
      </c>
      <c r="I50" s="12">
        <f>+SUM(I51:I63)</f>
        <v>0</v>
      </c>
      <c r="J50" s="11">
        <f>+SUMPRODUCT(G51:G63,J51:J63)</f>
        <v>0</v>
      </c>
      <c r="K50" s="11">
        <f>+SUMPRODUCT(G51:G63,K51:K63)</f>
        <v>0</v>
      </c>
      <c r="L50" s="9"/>
      <c r="N50" s="12"/>
      <c r="U50" s="12"/>
      <c r="AB50" s="12"/>
      <c r="AI50" s="12"/>
      <c r="AP50" s="12"/>
    </row>
    <row r="51" spans="2:144" outlineLevel="1" x14ac:dyDescent="0.2">
      <c r="B51" t="s">
        <v>28</v>
      </c>
      <c r="C51" t="s">
        <v>90</v>
      </c>
      <c r="E51" s="9"/>
      <c r="F51" t="s">
        <v>150</v>
      </c>
      <c r="G51" s="10">
        <v>0.05</v>
      </c>
      <c r="I51" s="9">
        <f>+SUMIF($N$3:$ZS$3,I$3,$N51:$ZS51)</f>
        <v>0</v>
      </c>
      <c r="J51" s="11" cm="1">
        <f t="array" ref="J51">MAX(IF($N$3:$EH$3=$J$3,N51:EH51))</f>
        <v>0</v>
      </c>
      <c r="K51" s="11" cm="1">
        <f t="array" ref="K51">MAX(IF($N$3:$EH$3=$J$3,N51:EH51))</f>
        <v>0</v>
      </c>
      <c r="L51" s="9"/>
      <c r="O51" s="10"/>
      <c r="P51" s="10">
        <v>0.5</v>
      </c>
      <c r="Q51" s="10"/>
      <c r="R51" s="10">
        <v>0.5</v>
      </c>
      <c r="V51" s="10"/>
      <c r="W51" s="10">
        <v>0.8</v>
      </c>
      <c r="X51" s="10"/>
      <c r="Y51" s="10">
        <v>0.8</v>
      </c>
      <c r="AC51" s="10"/>
      <c r="AD51" s="10">
        <v>0.8</v>
      </c>
      <c r="AE51" s="10"/>
      <c r="AF51" s="10">
        <v>0.8</v>
      </c>
      <c r="AJ51" s="10"/>
      <c r="AK51" s="10">
        <v>0.8</v>
      </c>
      <c r="AL51" s="10"/>
      <c r="AM51" s="10">
        <v>0.8</v>
      </c>
      <c r="AQ51" s="10"/>
      <c r="AR51" s="10">
        <v>1</v>
      </c>
      <c r="AS51" s="10"/>
      <c r="AT51" s="10">
        <v>1</v>
      </c>
      <c r="AX51" s="10"/>
      <c r="AY51" s="10">
        <v>1</v>
      </c>
      <c r="AZ51" s="10"/>
      <c r="BA51" s="10">
        <v>1</v>
      </c>
      <c r="BE51" s="10"/>
      <c r="BF51" s="10">
        <v>1</v>
      </c>
      <c r="BG51" s="10"/>
      <c r="BH51" s="10">
        <v>1</v>
      </c>
      <c r="BL51" s="10"/>
      <c r="BM51" s="10">
        <v>1</v>
      </c>
      <c r="BN51" s="10"/>
      <c r="BO51" s="10">
        <v>1</v>
      </c>
      <c r="BS51" s="10"/>
      <c r="BT51" s="10">
        <v>1</v>
      </c>
      <c r="BU51" s="10"/>
      <c r="BV51" s="10">
        <v>1</v>
      </c>
      <c r="BZ51" s="10"/>
      <c r="CA51" s="10">
        <v>1</v>
      </c>
      <c r="CB51" s="10"/>
      <c r="CC51" s="10">
        <v>1</v>
      </c>
      <c r="CG51" s="10"/>
      <c r="CH51" s="10">
        <v>1</v>
      </c>
      <c r="CI51" s="10"/>
      <c r="CJ51" s="10">
        <v>1</v>
      </c>
      <c r="CN51" s="10"/>
      <c r="CO51" s="10">
        <v>1</v>
      </c>
      <c r="CP51" s="10"/>
      <c r="CQ51" s="10">
        <v>1</v>
      </c>
      <c r="CU51" s="10"/>
      <c r="CV51" s="10">
        <v>1</v>
      </c>
      <c r="CW51" s="10"/>
      <c r="CX51" s="10">
        <v>1</v>
      </c>
      <c r="DB51" s="10"/>
      <c r="DC51" s="10"/>
      <c r="DD51" s="10"/>
      <c r="DE51" s="10"/>
      <c r="DI51" s="10"/>
      <c r="DJ51" s="10"/>
      <c r="DK51" s="10"/>
      <c r="DL51" s="10"/>
      <c r="DP51" s="10"/>
      <c r="DQ51" s="10"/>
      <c r="DR51" s="10"/>
      <c r="DS51" s="10"/>
      <c r="DW51" s="10"/>
      <c r="DX51" s="10"/>
      <c r="DY51" s="10"/>
      <c r="DZ51" s="10"/>
      <c r="ED51" s="10"/>
      <c r="EE51" s="10"/>
      <c r="EF51" s="10"/>
      <c r="EG51" s="10"/>
      <c r="EK51" s="10"/>
      <c r="EL51" s="10"/>
      <c r="EM51" s="10"/>
      <c r="EN51" s="10"/>
    </row>
    <row r="52" spans="2:144" outlineLevel="1" x14ac:dyDescent="0.2">
      <c r="B52" t="s">
        <v>28</v>
      </c>
      <c r="C52" t="s">
        <v>90</v>
      </c>
      <c r="E52" s="9"/>
      <c r="F52" t="s">
        <v>151</v>
      </c>
      <c r="G52" s="10">
        <v>0.05</v>
      </c>
      <c r="I52" s="9">
        <f>+SUMIF($N$3:$ZS$3,I$3,$N52:$ZS52)</f>
        <v>0</v>
      </c>
      <c r="J52" s="11" cm="1">
        <f t="array" ref="J52">MAX(IF($N$3:$EH$3=$J$3,N52:EH52))</f>
        <v>0</v>
      </c>
      <c r="K52" s="11" cm="1">
        <f t="array" ref="K52">MAX(IF($N$3:$EH$3=$J$3,N52:EH52))</f>
        <v>0</v>
      </c>
      <c r="L52" s="9"/>
      <c r="O52" s="10"/>
      <c r="P52" s="10">
        <v>0.5</v>
      </c>
      <c r="Q52" s="10"/>
      <c r="R52" s="10">
        <v>0.5</v>
      </c>
      <c r="V52" s="10"/>
      <c r="W52" s="10">
        <v>0.5</v>
      </c>
      <c r="X52" s="10"/>
      <c r="Y52" s="10">
        <v>0.5</v>
      </c>
      <c r="AC52" s="10"/>
      <c r="AD52" s="10">
        <v>0.8</v>
      </c>
      <c r="AE52" s="10"/>
      <c r="AF52" s="10">
        <v>0.8</v>
      </c>
      <c r="AJ52" s="10"/>
      <c r="AK52" s="10">
        <v>0.8</v>
      </c>
      <c r="AL52" s="10"/>
      <c r="AM52" s="10">
        <v>0.8</v>
      </c>
      <c r="AQ52" s="10"/>
      <c r="AR52" s="10">
        <v>0.8</v>
      </c>
      <c r="AS52" s="10"/>
      <c r="AT52" s="10">
        <v>0.8</v>
      </c>
      <c r="AX52" s="10"/>
      <c r="AY52" s="10">
        <v>1</v>
      </c>
      <c r="AZ52" s="10"/>
      <c r="BA52" s="10">
        <v>1</v>
      </c>
      <c r="BE52" s="10"/>
      <c r="BF52" s="10">
        <v>1</v>
      </c>
      <c r="BG52" s="10"/>
      <c r="BH52" s="10">
        <v>1</v>
      </c>
      <c r="BL52" s="10"/>
      <c r="BM52" s="10">
        <v>1</v>
      </c>
      <c r="BN52" s="10"/>
      <c r="BO52" s="10">
        <v>1</v>
      </c>
      <c r="BS52" s="10"/>
      <c r="BT52" s="10">
        <v>1</v>
      </c>
      <c r="BU52" s="10"/>
      <c r="BV52" s="10">
        <v>1</v>
      </c>
      <c r="BZ52" s="10"/>
      <c r="CA52" s="10">
        <v>1</v>
      </c>
      <c r="CB52" s="10"/>
      <c r="CC52" s="10">
        <v>1</v>
      </c>
      <c r="CG52" s="10"/>
      <c r="CH52" s="10">
        <v>1</v>
      </c>
      <c r="CI52" s="10"/>
      <c r="CJ52" s="10">
        <v>1</v>
      </c>
      <c r="CN52" s="10"/>
      <c r="CO52" s="10">
        <v>1</v>
      </c>
      <c r="CP52" s="10"/>
      <c r="CQ52" s="10">
        <v>1</v>
      </c>
      <c r="CU52" s="10"/>
      <c r="CV52" s="10">
        <v>1</v>
      </c>
      <c r="CW52" s="10"/>
      <c r="CX52" s="10">
        <v>1</v>
      </c>
      <c r="DB52" s="10"/>
      <c r="DC52" s="10"/>
      <c r="DD52" s="10"/>
      <c r="DE52" s="10"/>
      <c r="DI52" s="10"/>
      <c r="DJ52" s="10"/>
      <c r="DK52" s="10"/>
      <c r="DL52" s="10"/>
      <c r="DP52" s="10"/>
      <c r="DQ52" s="10"/>
      <c r="DR52" s="10"/>
      <c r="DS52" s="10"/>
      <c r="DW52" s="10"/>
      <c r="DX52" s="10"/>
      <c r="DY52" s="10"/>
      <c r="DZ52" s="10"/>
      <c r="ED52" s="10"/>
      <c r="EE52" s="10"/>
      <c r="EF52" s="10"/>
      <c r="EG52" s="10"/>
      <c r="EK52" s="10"/>
      <c r="EL52" s="10"/>
      <c r="EM52" s="10"/>
      <c r="EN52" s="10"/>
    </row>
    <row r="53" spans="2:144" outlineLevel="1" x14ac:dyDescent="0.2">
      <c r="B53" t="s">
        <v>28</v>
      </c>
      <c r="C53" t="s">
        <v>90</v>
      </c>
      <c r="E53" s="9"/>
      <c r="F53" t="s">
        <v>152</v>
      </c>
      <c r="G53" s="10">
        <v>0.05</v>
      </c>
      <c r="I53" s="9">
        <f t="shared" ref="I53:I63" si="3">+SUMIF($N$3:$ZS$3,I$3,$N53:$ZS53)</f>
        <v>0</v>
      </c>
      <c r="J53" s="11" cm="1">
        <f t="array" ref="J53">MAX(IF($N$3:$EH$3=$J$3,N53:EH53))</f>
        <v>0</v>
      </c>
      <c r="K53" s="11" cm="1">
        <f t="array" ref="K53">MAX(IF($N$3:$EH$3=$J$3,N53:EH53))</f>
        <v>0</v>
      </c>
      <c r="L53" s="9"/>
      <c r="O53" s="10"/>
      <c r="P53" s="10">
        <v>0.5</v>
      </c>
      <c r="Q53" s="10"/>
      <c r="R53" s="10">
        <v>0.5</v>
      </c>
      <c r="V53" s="10"/>
      <c r="W53" s="10">
        <v>0.5</v>
      </c>
      <c r="X53" s="10"/>
      <c r="Y53" s="10">
        <v>0.5</v>
      </c>
      <c r="AC53" s="10"/>
      <c r="AD53" s="10">
        <v>0.5</v>
      </c>
      <c r="AE53" s="10"/>
      <c r="AF53" s="10">
        <v>0.5</v>
      </c>
      <c r="AJ53" s="10"/>
      <c r="AK53" s="10">
        <v>0.8</v>
      </c>
      <c r="AL53" s="10"/>
      <c r="AM53" s="10">
        <v>0.8</v>
      </c>
      <c r="AQ53" s="10"/>
      <c r="AR53" s="10">
        <v>0.8</v>
      </c>
      <c r="AS53" s="10"/>
      <c r="AT53" s="10">
        <v>0.8</v>
      </c>
      <c r="AX53" s="10"/>
      <c r="AY53" s="10">
        <v>0.8</v>
      </c>
      <c r="AZ53" s="10"/>
      <c r="BA53" s="10">
        <v>0.8</v>
      </c>
      <c r="BE53" s="10"/>
      <c r="BF53" s="10">
        <v>0.8</v>
      </c>
      <c r="BG53" s="10"/>
      <c r="BH53" s="10">
        <v>0.8</v>
      </c>
      <c r="BL53" s="10"/>
      <c r="BM53" s="10">
        <v>1</v>
      </c>
      <c r="BN53" s="10"/>
      <c r="BO53" s="10">
        <v>1</v>
      </c>
      <c r="BS53" s="10"/>
      <c r="BT53" s="10">
        <v>1</v>
      </c>
      <c r="BU53" s="10"/>
      <c r="BV53" s="10">
        <v>1</v>
      </c>
      <c r="BZ53" s="10"/>
      <c r="CA53" s="10">
        <v>1</v>
      </c>
      <c r="CB53" s="10"/>
      <c r="CC53" s="10">
        <v>1</v>
      </c>
      <c r="CG53" s="10"/>
      <c r="CH53" s="10">
        <v>1</v>
      </c>
      <c r="CI53" s="10"/>
      <c r="CJ53" s="10">
        <v>1</v>
      </c>
      <c r="CN53" s="10"/>
      <c r="CO53" s="10">
        <v>1</v>
      </c>
      <c r="CP53" s="10"/>
      <c r="CQ53" s="10">
        <v>1</v>
      </c>
      <c r="CU53" s="10"/>
      <c r="CV53" s="10">
        <v>1</v>
      </c>
      <c r="CW53" s="10"/>
      <c r="CX53" s="10">
        <v>1</v>
      </c>
      <c r="DB53" s="10"/>
      <c r="DC53" s="10"/>
      <c r="DD53" s="10"/>
      <c r="DE53" s="10"/>
      <c r="DI53" s="10"/>
      <c r="DJ53" s="10"/>
      <c r="DK53" s="10"/>
      <c r="DL53" s="10"/>
      <c r="DP53" s="10"/>
      <c r="DQ53" s="10"/>
      <c r="DR53" s="10"/>
      <c r="DS53" s="10"/>
      <c r="DW53" s="10"/>
      <c r="DX53" s="10"/>
      <c r="DY53" s="10"/>
      <c r="DZ53" s="10"/>
      <c r="ED53" s="10"/>
      <c r="EE53" s="10"/>
      <c r="EF53" s="10"/>
      <c r="EG53" s="10"/>
      <c r="EK53" s="10"/>
      <c r="EL53" s="10"/>
      <c r="EM53" s="10"/>
      <c r="EN53" s="10"/>
    </row>
    <row r="54" spans="2:144" outlineLevel="1" x14ac:dyDescent="0.2">
      <c r="B54" t="s">
        <v>28</v>
      </c>
      <c r="C54" t="s">
        <v>90</v>
      </c>
      <c r="E54" s="9"/>
      <c r="F54" t="s">
        <v>153</v>
      </c>
      <c r="G54" s="10">
        <v>0.1</v>
      </c>
      <c r="I54" s="9">
        <f t="shared" si="3"/>
        <v>0</v>
      </c>
      <c r="J54" s="11" cm="1">
        <f t="array" ref="J54">MAX(IF($N$3:$EH$3=$J$3,N54:EH54))</f>
        <v>0</v>
      </c>
      <c r="K54" s="11" cm="1">
        <f t="array" ref="K54">MAX(IF($N$3:$EH$3=$J$3,N54:EH54))</f>
        <v>0</v>
      </c>
      <c r="L54" s="9"/>
      <c r="O54" s="10"/>
      <c r="P54" s="10"/>
      <c r="Q54" s="10"/>
      <c r="R54" s="10"/>
      <c r="V54" s="10"/>
      <c r="W54" s="10">
        <v>0.5</v>
      </c>
      <c r="X54" s="10"/>
      <c r="Y54" s="10">
        <v>0.5</v>
      </c>
      <c r="AC54" s="10"/>
      <c r="AD54" s="10">
        <v>0.5</v>
      </c>
      <c r="AE54" s="10"/>
      <c r="AF54" s="10">
        <v>0.5</v>
      </c>
      <c r="AJ54" s="10"/>
      <c r="AK54" s="10">
        <v>0.5</v>
      </c>
      <c r="AL54" s="10"/>
      <c r="AM54" s="10">
        <v>0.5</v>
      </c>
      <c r="AQ54" s="10"/>
      <c r="AR54" s="10">
        <v>0.8</v>
      </c>
      <c r="AS54" s="10"/>
      <c r="AT54" s="10">
        <v>0.8</v>
      </c>
      <c r="AX54" s="10"/>
      <c r="AY54" s="10">
        <v>0.8</v>
      </c>
      <c r="AZ54" s="10"/>
      <c r="BA54" s="10">
        <v>0.8</v>
      </c>
      <c r="BE54" s="10"/>
      <c r="BF54" s="10">
        <v>0.8</v>
      </c>
      <c r="BG54" s="10"/>
      <c r="BH54" s="10">
        <v>0.8</v>
      </c>
      <c r="BL54" s="10"/>
      <c r="BM54" s="10">
        <v>0.8</v>
      </c>
      <c r="BN54" s="10"/>
      <c r="BO54" s="10">
        <v>0.8</v>
      </c>
      <c r="BS54" s="10"/>
      <c r="BT54" s="10">
        <v>1</v>
      </c>
      <c r="BU54" s="10"/>
      <c r="BV54" s="10">
        <v>1</v>
      </c>
      <c r="BZ54" s="10"/>
      <c r="CA54" s="10">
        <v>1</v>
      </c>
      <c r="CB54" s="10"/>
      <c r="CC54" s="10">
        <v>1</v>
      </c>
      <c r="CG54" s="10"/>
      <c r="CH54" s="10">
        <v>1</v>
      </c>
      <c r="CI54" s="10"/>
      <c r="CJ54" s="10">
        <v>1</v>
      </c>
      <c r="CN54" s="10"/>
      <c r="CO54" s="10">
        <v>1</v>
      </c>
      <c r="CP54" s="10"/>
      <c r="CQ54" s="10">
        <v>1</v>
      </c>
      <c r="CU54" s="10"/>
      <c r="CV54" s="10">
        <v>1</v>
      </c>
      <c r="CW54" s="10"/>
      <c r="CX54" s="10">
        <v>1</v>
      </c>
      <c r="DB54" s="10"/>
      <c r="DC54" s="10"/>
      <c r="DD54" s="10"/>
      <c r="DE54" s="10"/>
      <c r="DI54" s="10"/>
      <c r="DJ54" s="10"/>
      <c r="DK54" s="10"/>
      <c r="DL54" s="10"/>
      <c r="DP54" s="10"/>
      <c r="DQ54" s="10"/>
      <c r="DR54" s="10"/>
      <c r="DS54" s="10"/>
      <c r="DW54" s="10"/>
      <c r="DX54" s="10"/>
      <c r="DY54" s="10"/>
      <c r="DZ54" s="10"/>
      <c r="ED54" s="10"/>
      <c r="EE54" s="10"/>
      <c r="EF54" s="10"/>
      <c r="EG54" s="10"/>
      <c r="EK54" s="10"/>
      <c r="EL54" s="10"/>
      <c r="EM54" s="10"/>
      <c r="EN54" s="10"/>
    </row>
    <row r="55" spans="2:144" outlineLevel="1" x14ac:dyDescent="0.2">
      <c r="B55" t="s">
        <v>28</v>
      </c>
      <c r="C55" t="s">
        <v>90</v>
      </c>
      <c r="E55" s="9"/>
      <c r="F55" t="s">
        <v>154</v>
      </c>
      <c r="G55" s="10">
        <v>0.1</v>
      </c>
      <c r="I55" s="9">
        <f t="shared" si="3"/>
        <v>0</v>
      </c>
      <c r="J55" s="11" cm="1">
        <f t="array" ref="J55">MAX(IF($N$3:$EH$3=$J$3,N55:EH55))</f>
        <v>0</v>
      </c>
      <c r="K55" s="11" cm="1">
        <f t="array" ref="K55">MAX(IF($N$3:$EH$3=$J$3,N55:EH55))</f>
        <v>0</v>
      </c>
      <c r="L55" s="9"/>
      <c r="O55" s="10"/>
      <c r="P55" s="10"/>
      <c r="Q55" s="10"/>
      <c r="R55" s="10"/>
      <c r="V55" s="10"/>
      <c r="W55" s="10">
        <v>0.5</v>
      </c>
      <c r="X55" s="10"/>
      <c r="Y55" s="10">
        <v>0.5</v>
      </c>
      <c r="AC55" s="10"/>
      <c r="AD55" s="10">
        <v>0.5</v>
      </c>
      <c r="AE55" s="10"/>
      <c r="AF55" s="10">
        <v>0.5</v>
      </c>
      <c r="AJ55" s="10"/>
      <c r="AK55" s="10">
        <v>0.5</v>
      </c>
      <c r="AL55" s="10"/>
      <c r="AM55" s="10">
        <v>0.5</v>
      </c>
      <c r="AQ55" s="10"/>
      <c r="AR55" s="10">
        <v>0.5</v>
      </c>
      <c r="AS55" s="10"/>
      <c r="AT55" s="10">
        <v>0.5</v>
      </c>
      <c r="AX55" s="10"/>
      <c r="AY55" s="10">
        <v>0.8</v>
      </c>
      <c r="AZ55" s="10"/>
      <c r="BA55" s="10">
        <v>0.8</v>
      </c>
      <c r="BE55" s="10"/>
      <c r="BF55" s="10">
        <v>0.8</v>
      </c>
      <c r="BG55" s="10"/>
      <c r="BH55" s="10">
        <v>0.8</v>
      </c>
      <c r="BL55" s="10"/>
      <c r="BM55" s="10">
        <v>0.8</v>
      </c>
      <c r="BN55" s="10"/>
      <c r="BO55" s="10">
        <v>0.8</v>
      </c>
      <c r="BS55" s="10"/>
      <c r="BT55" s="10">
        <v>0.8</v>
      </c>
      <c r="BU55" s="10"/>
      <c r="BV55" s="10">
        <v>0.8</v>
      </c>
      <c r="BZ55" s="10"/>
      <c r="CA55" s="10">
        <v>1</v>
      </c>
      <c r="CB55" s="10"/>
      <c r="CC55" s="10">
        <v>1</v>
      </c>
      <c r="CG55" s="10"/>
      <c r="CH55" s="10">
        <v>1</v>
      </c>
      <c r="CI55" s="10"/>
      <c r="CJ55" s="10">
        <v>1</v>
      </c>
      <c r="CN55" s="10"/>
      <c r="CO55" s="10">
        <v>1</v>
      </c>
      <c r="CP55" s="10"/>
      <c r="CQ55" s="10">
        <v>1</v>
      </c>
      <c r="CU55" s="10"/>
      <c r="CV55" s="10">
        <v>1</v>
      </c>
      <c r="CW55" s="10"/>
      <c r="CX55" s="10">
        <v>1</v>
      </c>
      <c r="DB55" s="10"/>
      <c r="DC55" s="10"/>
      <c r="DD55" s="10"/>
      <c r="DE55" s="10"/>
      <c r="DI55" s="10"/>
      <c r="DJ55" s="10"/>
      <c r="DK55" s="10"/>
      <c r="DL55" s="10"/>
      <c r="DP55" s="10"/>
      <c r="DQ55" s="10"/>
      <c r="DR55" s="10"/>
      <c r="DS55" s="10"/>
      <c r="DW55" s="10"/>
      <c r="DX55" s="10"/>
      <c r="DY55" s="10"/>
      <c r="DZ55" s="10"/>
      <c r="ED55" s="10"/>
      <c r="EE55" s="10"/>
      <c r="EF55" s="10"/>
      <c r="EG55" s="10"/>
      <c r="EK55" s="10"/>
      <c r="EL55" s="10"/>
      <c r="EM55" s="10"/>
      <c r="EN55" s="10"/>
    </row>
    <row r="56" spans="2:144" outlineLevel="1" x14ac:dyDescent="0.2">
      <c r="B56" t="s">
        <v>28</v>
      </c>
      <c r="C56" t="s">
        <v>90</v>
      </c>
      <c r="E56" s="9"/>
      <c r="F56" t="s">
        <v>155</v>
      </c>
      <c r="G56" s="10">
        <v>0.1</v>
      </c>
      <c r="I56" s="9">
        <f t="shared" si="3"/>
        <v>0</v>
      </c>
      <c r="J56" s="11" cm="1">
        <f t="array" ref="J56">MAX(IF($N$3:$EH$3=$J$3,N56:EH56))</f>
        <v>0</v>
      </c>
      <c r="K56" s="11" cm="1">
        <f t="array" ref="K56">MAX(IF($N$3:$EH$3=$J$3,N56:EH56))</f>
        <v>0</v>
      </c>
      <c r="L56" s="9"/>
      <c r="O56" s="10"/>
      <c r="P56" s="10"/>
      <c r="Q56" s="10"/>
      <c r="R56" s="10"/>
      <c r="V56" s="10"/>
      <c r="W56" s="10"/>
      <c r="X56" s="10"/>
      <c r="Y56" s="10"/>
      <c r="AC56" s="10"/>
      <c r="AD56" s="10">
        <v>0.5</v>
      </c>
      <c r="AE56" s="10"/>
      <c r="AF56" s="10">
        <v>0.5</v>
      </c>
      <c r="AJ56" s="10"/>
      <c r="AK56" s="10">
        <v>0.5</v>
      </c>
      <c r="AL56" s="10"/>
      <c r="AM56" s="10">
        <v>0.5</v>
      </c>
      <c r="AQ56" s="10"/>
      <c r="AR56" s="10">
        <v>0.5</v>
      </c>
      <c r="AS56" s="10"/>
      <c r="AT56" s="10">
        <v>0.5</v>
      </c>
      <c r="AX56" s="10"/>
      <c r="AY56" s="10">
        <v>0.8</v>
      </c>
      <c r="AZ56" s="10"/>
      <c r="BA56" s="10">
        <v>0.8</v>
      </c>
      <c r="BE56" s="10"/>
      <c r="BF56" s="10">
        <v>0.8</v>
      </c>
      <c r="BG56" s="10"/>
      <c r="BH56" s="10">
        <v>0.8</v>
      </c>
      <c r="BL56" s="10"/>
      <c r="BM56" s="10">
        <v>0.8</v>
      </c>
      <c r="BN56" s="10"/>
      <c r="BO56" s="10">
        <v>0.8</v>
      </c>
      <c r="BS56" s="10"/>
      <c r="BT56" s="10">
        <v>0.8</v>
      </c>
      <c r="BU56" s="10"/>
      <c r="BV56" s="10">
        <v>0.8</v>
      </c>
      <c r="BZ56" s="10"/>
      <c r="CA56" s="10">
        <v>0.8</v>
      </c>
      <c r="CB56" s="10"/>
      <c r="CC56" s="10">
        <v>0.8</v>
      </c>
      <c r="CG56" s="10"/>
      <c r="CH56" s="10">
        <v>1</v>
      </c>
      <c r="CI56" s="10"/>
      <c r="CJ56" s="10">
        <v>1</v>
      </c>
      <c r="CN56" s="10"/>
      <c r="CO56" s="10">
        <v>1</v>
      </c>
      <c r="CP56" s="10"/>
      <c r="CQ56" s="10">
        <v>1</v>
      </c>
      <c r="CU56" s="10"/>
      <c r="CV56" s="10">
        <v>1</v>
      </c>
      <c r="CW56" s="10"/>
      <c r="CX56" s="10">
        <v>1</v>
      </c>
      <c r="DB56" s="10"/>
      <c r="DC56" s="10"/>
      <c r="DD56" s="10"/>
      <c r="DE56" s="10"/>
      <c r="DI56" s="10"/>
      <c r="DJ56" s="10"/>
      <c r="DK56" s="10"/>
      <c r="DL56" s="10"/>
      <c r="DP56" s="10"/>
      <c r="DQ56" s="10"/>
      <c r="DR56" s="10"/>
      <c r="DS56" s="10"/>
      <c r="DW56" s="10"/>
      <c r="DX56" s="10"/>
      <c r="DY56" s="10"/>
      <c r="DZ56" s="10"/>
      <c r="ED56" s="10"/>
      <c r="EE56" s="10"/>
      <c r="EF56" s="10"/>
      <c r="EG56" s="10"/>
      <c r="EK56" s="10"/>
      <c r="EL56" s="10"/>
      <c r="EM56" s="10"/>
      <c r="EN56" s="10"/>
    </row>
    <row r="57" spans="2:144" outlineLevel="1" x14ac:dyDescent="0.2">
      <c r="B57" t="s">
        <v>28</v>
      </c>
      <c r="C57" t="s">
        <v>90</v>
      </c>
      <c r="E57" s="9"/>
      <c r="F57" t="s">
        <v>156</v>
      </c>
      <c r="G57" s="10">
        <v>0.1</v>
      </c>
      <c r="I57" s="9">
        <f t="shared" si="3"/>
        <v>0</v>
      </c>
      <c r="J57" s="11" cm="1">
        <f t="array" ref="J57">MAX(IF($N$3:$EH$3=$J$3,N57:EH57))</f>
        <v>0</v>
      </c>
      <c r="K57" s="11" cm="1">
        <f t="array" ref="K57">MAX(IF($N$3:$EH$3=$J$3,N57:EH57))</f>
        <v>0</v>
      </c>
      <c r="L57" s="9"/>
      <c r="O57" s="10"/>
      <c r="P57" s="10"/>
      <c r="Q57" s="10"/>
      <c r="R57" s="10"/>
      <c r="V57" s="10"/>
      <c r="W57" s="10"/>
      <c r="X57" s="10"/>
      <c r="Y57" s="10"/>
      <c r="AC57" s="10"/>
      <c r="AD57" s="10">
        <v>0.5</v>
      </c>
      <c r="AE57" s="10"/>
      <c r="AF57" s="10">
        <v>0.5</v>
      </c>
      <c r="AJ57" s="10"/>
      <c r="AK57" s="10">
        <v>0.5</v>
      </c>
      <c r="AL57" s="10"/>
      <c r="AM57" s="10">
        <v>0.5</v>
      </c>
      <c r="AQ57" s="10"/>
      <c r="AR57" s="10">
        <v>0.5</v>
      </c>
      <c r="AS57" s="10"/>
      <c r="AT57" s="10">
        <v>0.5</v>
      </c>
      <c r="AX57" s="10"/>
      <c r="AY57" s="10">
        <v>0.5</v>
      </c>
      <c r="AZ57" s="10"/>
      <c r="BA57" s="10">
        <v>0.5</v>
      </c>
      <c r="BE57" s="10"/>
      <c r="BF57" s="10">
        <v>0.8</v>
      </c>
      <c r="BG57" s="10"/>
      <c r="BH57" s="10">
        <v>0.8</v>
      </c>
      <c r="BL57" s="10"/>
      <c r="BM57" s="10">
        <v>0.8</v>
      </c>
      <c r="BN57" s="10"/>
      <c r="BO57" s="10">
        <v>0.8</v>
      </c>
      <c r="BS57" s="10"/>
      <c r="BT57" s="10">
        <v>0.8</v>
      </c>
      <c r="BU57" s="10"/>
      <c r="BV57" s="10">
        <v>0.8</v>
      </c>
      <c r="BZ57" s="10"/>
      <c r="CA57" s="10">
        <v>0.8</v>
      </c>
      <c r="CB57" s="10"/>
      <c r="CC57" s="10">
        <v>0.8</v>
      </c>
      <c r="CG57" s="10"/>
      <c r="CH57" s="10">
        <v>1</v>
      </c>
      <c r="CI57" s="10"/>
      <c r="CJ57" s="10">
        <v>1</v>
      </c>
      <c r="CN57" s="10"/>
      <c r="CO57" s="10">
        <v>1</v>
      </c>
      <c r="CP57" s="10"/>
      <c r="CQ57" s="10">
        <v>1</v>
      </c>
      <c r="CU57" s="10"/>
      <c r="CV57" s="10">
        <v>1</v>
      </c>
      <c r="CW57" s="10"/>
      <c r="CX57" s="10">
        <v>1</v>
      </c>
      <c r="DB57" s="10"/>
      <c r="DC57" s="10"/>
      <c r="DD57" s="10"/>
      <c r="DE57" s="10"/>
      <c r="DI57" s="10"/>
      <c r="DJ57" s="10"/>
      <c r="DK57" s="10"/>
      <c r="DL57" s="10"/>
      <c r="DP57" s="10"/>
      <c r="DQ57" s="10"/>
      <c r="DR57" s="10"/>
      <c r="DS57" s="10"/>
      <c r="DW57" s="10"/>
      <c r="DX57" s="10"/>
      <c r="DY57" s="10"/>
      <c r="DZ57" s="10"/>
      <c r="ED57" s="10"/>
      <c r="EE57" s="10"/>
      <c r="EF57" s="10"/>
      <c r="EG57" s="10"/>
      <c r="EK57" s="10"/>
      <c r="EL57" s="10"/>
      <c r="EM57" s="10"/>
      <c r="EN57" s="10"/>
    </row>
    <row r="58" spans="2:144" outlineLevel="1" x14ac:dyDescent="0.2">
      <c r="B58" t="s">
        <v>28</v>
      </c>
      <c r="C58" t="s">
        <v>90</v>
      </c>
      <c r="E58" s="9"/>
      <c r="F58" t="s">
        <v>157</v>
      </c>
      <c r="G58" s="10">
        <v>0.1</v>
      </c>
      <c r="I58" s="9">
        <f t="shared" si="3"/>
        <v>0</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v>0.5</v>
      </c>
      <c r="AL58" s="10"/>
      <c r="AM58" s="10">
        <v>0.5</v>
      </c>
      <c r="AQ58" s="10"/>
      <c r="AR58" s="10">
        <v>0.5</v>
      </c>
      <c r="AS58" s="10"/>
      <c r="AT58" s="10">
        <v>0.5</v>
      </c>
      <c r="AX58" s="10"/>
      <c r="AY58" s="10">
        <v>0.5</v>
      </c>
      <c r="AZ58" s="10"/>
      <c r="BA58" s="10">
        <v>0.5</v>
      </c>
      <c r="BE58" s="10"/>
      <c r="BF58" s="10">
        <v>0.5</v>
      </c>
      <c r="BG58" s="10"/>
      <c r="BH58" s="10">
        <v>0.5</v>
      </c>
      <c r="BL58" s="10"/>
      <c r="BM58" s="10">
        <v>0.8</v>
      </c>
      <c r="BN58" s="10"/>
      <c r="BO58" s="10">
        <v>0.8</v>
      </c>
      <c r="BS58" s="10"/>
      <c r="BT58" s="10">
        <v>0.8</v>
      </c>
      <c r="BU58" s="10"/>
      <c r="BV58" s="10">
        <v>0.8</v>
      </c>
      <c r="BZ58" s="10"/>
      <c r="CA58" s="10">
        <v>0.8</v>
      </c>
      <c r="CB58" s="10"/>
      <c r="CC58" s="10">
        <v>0.8</v>
      </c>
      <c r="CG58" s="10"/>
      <c r="CH58" s="10">
        <v>1</v>
      </c>
      <c r="CI58" s="10"/>
      <c r="CJ58" s="10">
        <v>1</v>
      </c>
      <c r="CN58" s="10"/>
      <c r="CO58" s="10">
        <v>1</v>
      </c>
      <c r="CP58" s="10"/>
      <c r="CQ58" s="10">
        <v>1</v>
      </c>
      <c r="CU58" s="10"/>
      <c r="CV58" s="10">
        <v>1</v>
      </c>
      <c r="CW58" s="10"/>
      <c r="CX58" s="10">
        <v>1</v>
      </c>
      <c r="DB58" s="10"/>
      <c r="DC58" s="10"/>
      <c r="DD58" s="10"/>
      <c r="DE58" s="10"/>
      <c r="DI58" s="10"/>
      <c r="DJ58" s="10"/>
      <c r="DK58" s="10"/>
      <c r="DL58" s="10"/>
      <c r="DP58" s="10"/>
      <c r="DQ58" s="10"/>
      <c r="DR58" s="10"/>
      <c r="DS58" s="10"/>
      <c r="DW58" s="10"/>
      <c r="DX58" s="10"/>
      <c r="DY58" s="10"/>
      <c r="DZ58" s="10"/>
      <c r="ED58" s="10"/>
      <c r="EE58" s="10"/>
      <c r="EF58" s="10"/>
      <c r="EG58" s="10"/>
      <c r="EK58" s="10"/>
      <c r="EL58" s="10"/>
      <c r="EM58" s="10"/>
      <c r="EN58" s="10"/>
    </row>
    <row r="59" spans="2:144" outlineLevel="1" x14ac:dyDescent="0.2">
      <c r="B59" t="s">
        <v>28</v>
      </c>
      <c r="C59" t="s">
        <v>90</v>
      </c>
      <c r="E59" s="9"/>
      <c r="F59" t="s">
        <v>158</v>
      </c>
      <c r="G59" s="10">
        <v>0.05</v>
      </c>
      <c r="I59" s="9">
        <f t="shared" si="3"/>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v>0.5</v>
      </c>
      <c r="AL59" s="10"/>
      <c r="AM59" s="10">
        <v>0.5</v>
      </c>
      <c r="AQ59" s="10"/>
      <c r="AR59" s="10">
        <v>0.5</v>
      </c>
      <c r="AS59" s="10"/>
      <c r="AT59" s="10">
        <v>0.5</v>
      </c>
      <c r="AX59" s="10"/>
      <c r="AY59" s="10">
        <v>0.5</v>
      </c>
      <c r="AZ59" s="10"/>
      <c r="BA59" s="10">
        <v>0.5</v>
      </c>
      <c r="BE59" s="10"/>
      <c r="BF59" s="10">
        <v>0.5</v>
      </c>
      <c r="BG59" s="10"/>
      <c r="BH59" s="10">
        <v>0.5</v>
      </c>
      <c r="BL59" s="10"/>
      <c r="BM59" s="10">
        <v>0.5</v>
      </c>
      <c r="BN59" s="10"/>
      <c r="BO59" s="10">
        <v>0.5</v>
      </c>
      <c r="BS59" s="10"/>
      <c r="BT59" s="10">
        <v>0.8</v>
      </c>
      <c r="BU59" s="10"/>
      <c r="BV59" s="10">
        <v>0.8</v>
      </c>
      <c r="BZ59" s="10"/>
      <c r="CA59" s="10">
        <v>0.8</v>
      </c>
      <c r="CB59" s="10"/>
      <c r="CC59" s="10">
        <v>0.8</v>
      </c>
      <c r="CG59" s="10"/>
      <c r="CH59" s="10">
        <v>0.8</v>
      </c>
      <c r="CI59" s="10"/>
      <c r="CJ59" s="10">
        <v>0.8</v>
      </c>
      <c r="CN59" s="10"/>
      <c r="CO59" s="10">
        <v>1</v>
      </c>
      <c r="CP59" s="10"/>
      <c r="CQ59" s="10">
        <v>1</v>
      </c>
      <c r="CU59" s="10"/>
      <c r="CV59" s="10">
        <v>1</v>
      </c>
      <c r="CW59" s="10"/>
      <c r="CX59" s="10">
        <v>1</v>
      </c>
      <c r="DB59" s="10"/>
      <c r="DC59" s="10"/>
      <c r="DD59" s="10"/>
      <c r="DE59" s="10"/>
      <c r="DI59" s="10"/>
      <c r="DJ59" s="10"/>
      <c r="DK59" s="10"/>
      <c r="DL59" s="10"/>
      <c r="DP59" s="10"/>
      <c r="DQ59" s="10"/>
      <c r="DR59" s="10"/>
      <c r="DS59" s="10"/>
      <c r="DW59" s="10"/>
      <c r="DX59" s="10"/>
      <c r="DY59" s="10"/>
      <c r="DZ59" s="10"/>
      <c r="ED59" s="10"/>
      <c r="EE59" s="10"/>
      <c r="EF59" s="10"/>
      <c r="EG59" s="10"/>
      <c r="EK59" s="10"/>
      <c r="EL59" s="10"/>
      <c r="EM59" s="10"/>
      <c r="EN59" s="10"/>
    </row>
    <row r="60" spans="2:144" outlineLevel="1" x14ac:dyDescent="0.2">
      <c r="B60" t="s">
        <v>28</v>
      </c>
      <c r="C60" t="s">
        <v>90</v>
      </c>
      <c r="E60" s="9"/>
      <c r="F60" t="s">
        <v>159</v>
      </c>
      <c r="G60" s="10">
        <v>0.1</v>
      </c>
      <c r="I60" s="9">
        <f t="shared" si="3"/>
        <v>0</v>
      </c>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v>0.5</v>
      </c>
      <c r="AS60" s="10"/>
      <c r="AT60" s="10">
        <v>0.5</v>
      </c>
      <c r="AX60" s="10"/>
      <c r="AY60" s="10">
        <v>0.5</v>
      </c>
      <c r="AZ60" s="10"/>
      <c r="BA60" s="10">
        <v>0.5</v>
      </c>
      <c r="BE60" s="10"/>
      <c r="BF60" s="10">
        <v>0.5</v>
      </c>
      <c r="BG60" s="10"/>
      <c r="BH60" s="10">
        <v>0.5</v>
      </c>
      <c r="BL60" s="10"/>
      <c r="BM60" s="10">
        <v>0.5</v>
      </c>
      <c r="BN60" s="10"/>
      <c r="BO60" s="10">
        <v>0.5</v>
      </c>
      <c r="BS60" s="10"/>
      <c r="BT60" s="10">
        <v>0.8</v>
      </c>
      <c r="BU60" s="10"/>
      <c r="BV60" s="10">
        <v>0.8</v>
      </c>
      <c r="BZ60" s="10"/>
      <c r="CA60" s="10">
        <v>0.8</v>
      </c>
      <c r="CB60" s="10"/>
      <c r="CC60" s="10">
        <v>0.8</v>
      </c>
      <c r="CG60" s="10"/>
      <c r="CH60" s="10">
        <v>0.8</v>
      </c>
      <c r="CI60" s="10"/>
      <c r="CJ60" s="10">
        <v>0.8</v>
      </c>
      <c r="CN60" s="10"/>
      <c r="CO60" s="10">
        <v>1</v>
      </c>
      <c r="CP60" s="10"/>
      <c r="CQ60" s="10">
        <v>1</v>
      </c>
      <c r="CU60" s="10"/>
      <c r="CV60" s="10">
        <v>1</v>
      </c>
      <c r="CW60" s="10"/>
      <c r="CX60" s="10">
        <v>1</v>
      </c>
      <c r="DB60" s="10"/>
      <c r="DC60" s="10"/>
      <c r="DD60" s="10"/>
      <c r="DE60" s="10"/>
      <c r="DI60" s="10"/>
      <c r="DJ60" s="10"/>
      <c r="DK60" s="10"/>
      <c r="DL60" s="10"/>
      <c r="DP60" s="10"/>
      <c r="DQ60" s="10"/>
      <c r="DR60" s="10"/>
      <c r="DS60" s="10"/>
      <c r="DW60" s="10"/>
      <c r="DX60" s="10"/>
      <c r="DY60" s="10"/>
      <c r="DZ60" s="10"/>
      <c r="ED60" s="10"/>
      <c r="EE60" s="10"/>
      <c r="EF60" s="10"/>
      <c r="EG60" s="10"/>
      <c r="EK60" s="10"/>
      <c r="EL60" s="10"/>
      <c r="EM60" s="10"/>
      <c r="EN60" s="10"/>
    </row>
    <row r="61" spans="2:144" outlineLevel="1" x14ac:dyDescent="0.2">
      <c r="B61" t="s">
        <v>28</v>
      </c>
      <c r="C61" t="s">
        <v>90</v>
      </c>
      <c r="E61" s="9"/>
      <c r="F61" t="s">
        <v>160</v>
      </c>
      <c r="G61" s="10">
        <v>0.05</v>
      </c>
      <c r="I61" s="9">
        <f t="shared" si="3"/>
        <v>0</v>
      </c>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v>0.5</v>
      </c>
      <c r="BG61" s="10"/>
      <c r="BH61" s="10">
        <v>0.5</v>
      </c>
      <c r="BL61" s="10"/>
      <c r="BM61" s="10">
        <v>0.5</v>
      </c>
      <c r="BN61" s="10"/>
      <c r="BO61" s="10">
        <v>0.5</v>
      </c>
      <c r="BS61" s="10"/>
      <c r="BT61" s="10">
        <v>0.5</v>
      </c>
      <c r="BU61" s="10"/>
      <c r="BV61" s="10">
        <v>0.5</v>
      </c>
      <c r="BZ61" s="10"/>
      <c r="CA61" s="10">
        <v>0.8</v>
      </c>
      <c r="CB61" s="10"/>
      <c r="CC61" s="10">
        <v>0.8</v>
      </c>
      <c r="CG61" s="10"/>
      <c r="CH61" s="10">
        <v>0.8</v>
      </c>
      <c r="CI61" s="10"/>
      <c r="CJ61" s="10">
        <v>0.8</v>
      </c>
      <c r="CN61" s="10"/>
      <c r="CO61" s="10">
        <v>1</v>
      </c>
      <c r="CP61" s="10"/>
      <c r="CQ61" s="10">
        <v>1</v>
      </c>
      <c r="CU61" s="10"/>
      <c r="CV61" s="10">
        <v>1</v>
      </c>
      <c r="CW61" s="10"/>
      <c r="CX61" s="10">
        <v>1</v>
      </c>
      <c r="DB61" s="10"/>
      <c r="DC61" s="10"/>
      <c r="DD61" s="10"/>
      <c r="DE61" s="10"/>
      <c r="DI61" s="10"/>
      <c r="DJ61" s="10"/>
      <c r="DK61" s="10"/>
      <c r="DL61" s="10"/>
      <c r="DP61" s="10"/>
      <c r="DQ61" s="10"/>
      <c r="DR61" s="10"/>
      <c r="DS61" s="10"/>
      <c r="DW61" s="10"/>
      <c r="DX61" s="10"/>
      <c r="DY61" s="10"/>
      <c r="DZ61" s="10"/>
      <c r="ED61" s="10"/>
      <c r="EE61" s="10"/>
      <c r="EF61" s="10"/>
      <c r="EG61" s="10"/>
      <c r="EK61" s="10"/>
      <c r="EL61" s="10"/>
      <c r="EM61" s="10"/>
      <c r="EN61" s="10"/>
    </row>
    <row r="62" spans="2:144" outlineLevel="1" x14ac:dyDescent="0.2">
      <c r="B62" t="s">
        <v>28</v>
      </c>
      <c r="C62" t="s">
        <v>90</v>
      </c>
      <c r="E62" s="9"/>
      <c r="F62" t="s">
        <v>161</v>
      </c>
      <c r="G62" s="10">
        <v>0.1</v>
      </c>
      <c r="I62" s="9">
        <f t="shared" si="3"/>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v>0.5</v>
      </c>
      <c r="BG62" s="10"/>
      <c r="BH62" s="10">
        <v>0.5</v>
      </c>
      <c r="BL62" s="10"/>
      <c r="BM62" s="10">
        <v>0.5</v>
      </c>
      <c r="BN62" s="10"/>
      <c r="BO62" s="10">
        <v>0.5</v>
      </c>
      <c r="BS62" s="10"/>
      <c r="BT62" s="10">
        <v>0.5</v>
      </c>
      <c r="BU62" s="10"/>
      <c r="BV62" s="10">
        <v>0.5</v>
      </c>
      <c r="BZ62" s="10"/>
      <c r="CA62" s="10">
        <v>0.8</v>
      </c>
      <c r="CB62" s="10"/>
      <c r="CC62" s="10">
        <v>0.8</v>
      </c>
      <c r="CG62" s="10"/>
      <c r="CH62" s="10">
        <v>0.8</v>
      </c>
      <c r="CI62" s="10"/>
      <c r="CJ62" s="10">
        <v>0.8</v>
      </c>
      <c r="CN62" s="10"/>
      <c r="CO62" s="10">
        <v>0.8</v>
      </c>
      <c r="CP62" s="10"/>
      <c r="CQ62" s="10">
        <v>0.8</v>
      </c>
      <c r="CU62" s="10"/>
      <c r="CV62" s="10">
        <v>1</v>
      </c>
      <c r="CW62" s="10"/>
      <c r="CX62" s="10">
        <v>1</v>
      </c>
      <c r="DB62" s="10"/>
      <c r="DC62" s="10"/>
      <c r="DD62" s="10"/>
      <c r="DE62" s="10"/>
      <c r="DI62" s="10"/>
      <c r="DJ62" s="10"/>
      <c r="DK62" s="10"/>
      <c r="DL62" s="10"/>
      <c r="DP62" s="10"/>
      <c r="DQ62" s="10"/>
      <c r="DR62" s="10"/>
      <c r="DS62" s="10"/>
      <c r="DW62" s="10"/>
      <c r="DX62" s="10"/>
      <c r="DY62" s="10"/>
      <c r="DZ62" s="10"/>
      <c r="ED62" s="10"/>
      <c r="EE62" s="10"/>
      <c r="EF62" s="10"/>
      <c r="EG62" s="10"/>
      <c r="EK62" s="10"/>
      <c r="EL62" s="10"/>
      <c r="EM62" s="10"/>
      <c r="EN62" s="10"/>
    </row>
    <row r="63" spans="2:144" outlineLevel="1" x14ac:dyDescent="0.2">
      <c r="B63" t="s">
        <v>28</v>
      </c>
      <c r="C63" t="s">
        <v>90</v>
      </c>
      <c r="E63" s="9"/>
      <c r="F63" t="s">
        <v>162</v>
      </c>
      <c r="G63" s="10">
        <v>0.05</v>
      </c>
      <c r="I63" s="9">
        <f t="shared" si="3"/>
        <v>0</v>
      </c>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c r="BG63" s="10"/>
      <c r="BH63" s="10"/>
      <c r="BL63" s="10"/>
      <c r="BM63" s="10">
        <v>0.5</v>
      </c>
      <c r="BN63" s="10"/>
      <c r="BO63" s="10">
        <v>0.5</v>
      </c>
      <c r="BS63" s="10"/>
      <c r="BT63" s="10">
        <v>0.5</v>
      </c>
      <c r="BU63" s="10"/>
      <c r="BV63" s="10">
        <v>0.5</v>
      </c>
      <c r="BZ63" s="10"/>
      <c r="CA63" s="10">
        <v>0.5</v>
      </c>
      <c r="CB63" s="10"/>
      <c r="CC63" s="10">
        <v>0.5</v>
      </c>
      <c r="CG63" s="10"/>
      <c r="CH63" s="10">
        <v>0.8</v>
      </c>
      <c r="CI63" s="10"/>
      <c r="CJ63" s="10">
        <v>0.8</v>
      </c>
      <c r="CN63" s="10"/>
      <c r="CO63" s="10">
        <v>0.8</v>
      </c>
      <c r="CP63" s="10"/>
      <c r="CQ63" s="10">
        <v>0.8</v>
      </c>
      <c r="CU63" s="10"/>
      <c r="CV63" s="10">
        <v>1</v>
      </c>
      <c r="CW63" s="10"/>
      <c r="CX63" s="10">
        <v>1</v>
      </c>
      <c r="DB63" s="10"/>
      <c r="DC63" s="10"/>
      <c r="DD63" s="10"/>
      <c r="DE63" s="10"/>
      <c r="DI63" s="10"/>
      <c r="DJ63" s="10"/>
      <c r="DK63" s="10"/>
      <c r="DL63" s="10"/>
      <c r="DP63" s="10"/>
      <c r="DQ63" s="10"/>
      <c r="DR63" s="10"/>
      <c r="DS63" s="10"/>
      <c r="DW63" s="10"/>
      <c r="DX63" s="10"/>
      <c r="DY63" s="10"/>
      <c r="DZ63" s="10"/>
      <c r="ED63" s="10"/>
      <c r="EE63" s="10"/>
      <c r="EF63" s="10"/>
      <c r="EG63" s="10"/>
      <c r="EK63" s="10"/>
      <c r="EL63" s="10"/>
      <c r="EM63" s="10"/>
      <c r="EN63" s="10"/>
    </row>
    <row r="70" spans="2:5" x14ac:dyDescent="0.2">
      <c r="B70" t="s">
        <v>164</v>
      </c>
      <c r="D70" t="s">
        <v>163</v>
      </c>
    </row>
    <row r="71" spans="2:5" x14ac:dyDescent="0.2">
      <c r="B71">
        <v>12</v>
      </c>
      <c r="C71">
        <v>30</v>
      </c>
      <c r="D71" s="16">
        <v>53</v>
      </c>
      <c r="E71">
        <v>100</v>
      </c>
    </row>
    <row r="72" spans="2:5" x14ac:dyDescent="0.2">
      <c r="B72">
        <f>+B71/3</f>
        <v>4</v>
      </c>
      <c r="C72" s="20">
        <v>10</v>
      </c>
      <c r="D72">
        <v>12</v>
      </c>
      <c r="E72">
        <f>$E$71/$D$71*D72</f>
        <v>22.641509433962263</v>
      </c>
    </row>
    <row r="73" spans="2:5" x14ac:dyDescent="0.2">
      <c r="B73">
        <v>3</v>
      </c>
      <c r="C73" s="20">
        <v>5</v>
      </c>
      <c r="D73">
        <v>16</v>
      </c>
      <c r="E73">
        <f>$E$71/$D$71*D73</f>
        <v>30.188679245283019</v>
      </c>
    </row>
    <row r="74" spans="2:5" x14ac:dyDescent="0.2">
      <c r="B74">
        <v>4</v>
      </c>
      <c r="C74" s="20">
        <v>10</v>
      </c>
      <c r="D74">
        <v>12</v>
      </c>
      <c r="E74">
        <f>$E$71/$D$71*D74</f>
        <v>22.641509433962263</v>
      </c>
    </row>
    <row r="75" spans="2:5" x14ac:dyDescent="0.2">
      <c r="B75">
        <v>2</v>
      </c>
      <c r="C75" s="20">
        <v>5</v>
      </c>
      <c r="D75">
        <v>13</v>
      </c>
      <c r="E75">
        <f>$E$71/$D$71*D75</f>
        <v>24.528301886792452</v>
      </c>
    </row>
  </sheetData>
  <mergeCells count="20">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 ref="EC2:EH2"/>
    <mergeCell ref="EJ2:EO2"/>
    <mergeCell ref="DH2:DM2"/>
    <mergeCell ref="DO2:DT2"/>
    <mergeCell ref="DV2:EA2"/>
  </mergeCells>
  <conditionalFormatting sqref="J5:J16">
    <cfRule type="colorScale" priority="802">
      <colorScale>
        <cfvo type="percent" val="0"/>
        <cfvo type="percent" val="100"/>
        <color rgb="FFFF231B"/>
        <color rgb="FF10FF07"/>
      </colorScale>
    </cfRule>
  </conditionalFormatting>
  <conditionalFormatting sqref="J20">
    <cfRule type="colorScale" priority="251">
      <colorScale>
        <cfvo type="percent" val="0"/>
        <cfvo type="percent" val="100"/>
        <color rgb="FFFF231B"/>
        <color rgb="FF10FF07"/>
      </colorScale>
    </cfRule>
  </conditionalFormatting>
  <conditionalFormatting sqref="J21">
    <cfRule type="colorScale" priority="232">
      <colorScale>
        <cfvo type="percent" val="0"/>
        <cfvo type="percent" val="100"/>
        <color rgb="FFFF231B"/>
        <color rgb="FF10FF07"/>
      </colorScale>
    </cfRule>
  </conditionalFormatting>
  <conditionalFormatting sqref="J22:J34 J19">
    <cfRule type="colorScale" priority="485">
      <colorScale>
        <cfvo type="percent" val="0"/>
        <cfvo type="percent" val="100"/>
        <color rgb="FFFF231B"/>
        <color rgb="FF10FF07"/>
      </colorScale>
    </cfRule>
  </conditionalFormatting>
  <conditionalFormatting sqref="J37:J48">
    <cfRule type="colorScale" priority="806">
      <colorScale>
        <cfvo type="percent" val="0"/>
        <cfvo type="percent" val="100"/>
        <color rgb="FFFF231B"/>
        <color rgb="FF10FF07"/>
      </colorScale>
    </cfRule>
  </conditionalFormatting>
  <conditionalFormatting sqref="J51:J63">
    <cfRule type="colorScale" priority="890">
      <colorScale>
        <cfvo type="percent" val="0"/>
        <cfvo type="percent" val="100"/>
        <color rgb="FFFF231B"/>
        <color rgb="FF10FF07"/>
      </colorScale>
    </cfRule>
  </conditionalFormatting>
  <conditionalFormatting sqref="J6:K16">
    <cfRule type="colorScale" priority="804">
      <colorScale>
        <cfvo type="percent" val="0"/>
        <cfvo type="percent" val="100"/>
        <color rgb="FFFF231B"/>
        <color rgb="FF10FF07"/>
      </colorScale>
    </cfRule>
  </conditionalFormatting>
  <conditionalFormatting sqref="J20:K20">
    <cfRule type="colorScale" priority="252">
      <colorScale>
        <cfvo type="percent" val="0"/>
        <cfvo type="percent" val="100"/>
        <color rgb="FFFF231B"/>
        <color rgb="FF10FF07"/>
      </colorScale>
    </cfRule>
  </conditionalFormatting>
  <conditionalFormatting sqref="J21:K21">
    <cfRule type="colorScale" priority="233">
      <colorScale>
        <cfvo type="percent" val="0"/>
        <cfvo type="percent" val="100"/>
        <color rgb="FFFF231B"/>
        <color rgb="FF10FF07"/>
      </colorScale>
    </cfRule>
  </conditionalFormatting>
  <conditionalFormatting sqref="J22:K34">
    <cfRule type="colorScale" priority="486">
      <colorScale>
        <cfvo type="percent" val="0"/>
        <cfvo type="percent" val="100"/>
        <color rgb="FFFF231B"/>
        <color rgb="FF10FF07"/>
      </colorScale>
    </cfRule>
  </conditionalFormatting>
  <conditionalFormatting sqref="J38:K48">
    <cfRule type="colorScale" priority="807">
      <colorScale>
        <cfvo type="percent" val="0"/>
        <cfvo type="percent" val="100"/>
        <color rgb="FFFF231B"/>
        <color rgb="FF10FF07"/>
      </colorScale>
    </cfRule>
  </conditionalFormatting>
  <conditionalFormatting sqref="J52:K63">
    <cfRule type="colorScale" priority="891">
      <colorScale>
        <cfvo type="percent" val="0"/>
        <cfvo type="percent" val="100"/>
        <color rgb="FFFF231B"/>
        <color rgb="FF10FF07"/>
      </colorScale>
    </cfRule>
  </conditionalFormatting>
  <conditionalFormatting sqref="K5:K16">
    <cfRule type="colorScale" priority="805">
      <colorScale>
        <cfvo type="percent" val="0"/>
        <cfvo type="percent" val="100"/>
        <color rgb="FFFF231B"/>
        <color rgb="FF10FF07"/>
      </colorScale>
    </cfRule>
  </conditionalFormatting>
  <conditionalFormatting sqref="K20">
    <cfRule type="colorScale" priority="250">
      <colorScale>
        <cfvo type="percent" val="0"/>
        <cfvo type="percent" val="100"/>
        <color rgb="FFFF231B"/>
        <color rgb="FF10FF07"/>
      </colorScale>
    </cfRule>
  </conditionalFormatting>
  <conditionalFormatting sqref="K21">
    <cfRule type="colorScale" priority="231">
      <colorScale>
        <cfvo type="percent" val="0"/>
        <cfvo type="percent" val="100"/>
        <color rgb="FFFF231B"/>
        <color rgb="FF10FF07"/>
      </colorScale>
    </cfRule>
  </conditionalFormatting>
  <conditionalFormatting sqref="K22:K34 K19">
    <cfRule type="colorScale" priority="484">
      <colorScale>
        <cfvo type="percent" val="0"/>
        <cfvo type="percent" val="100"/>
        <color rgb="FFFF231B"/>
        <color rgb="FF10FF07"/>
      </colorScale>
    </cfRule>
  </conditionalFormatting>
  <conditionalFormatting sqref="K37:K48">
    <cfRule type="colorScale" priority="808">
      <colorScale>
        <cfvo type="percent" val="0"/>
        <cfvo type="percent" val="100"/>
        <color rgb="FFFF231B"/>
        <color rgb="FF10FF07"/>
      </colorScale>
    </cfRule>
  </conditionalFormatting>
  <conditionalFormatting sqref="K51:K63">
    <cfRule type="colorScale" priority="892">
      <colorScale>
        <cfvo type="percent" val="0"/>
        <cfvo type="percent" val="100"/>
        <color rgb="FFFF231B"/>
        <color rgb="FF10FF07"/>
      </colorScale>
    </cfRule>
  </conditionalFormatting>
  <conditionalFormatting sqref="O5:O16 Q5:Q16 CU5:CU16 CW5:CW16 DB5:DB16 DD5:DD16 O37:O48 Q37:Q48 CU37:CU48 CW37:CW48 DB37:DB48 DD37:DD48 O51:O63 Q51:Q63 CU51:CU63 CW51:CW63 DB51:DB63 DD51:DD63 DI51:DI63 DK51:DK63 DP51:DP63 DR51:DR63 DW51:DW63 DY51:DY63 ED51:ED63 EF51:EF63 EK51:EK63 EM51:EM63 V5:V16 X5:X16 V37:V48 X37:X48 V51:V63 X51:X63 AC5:AC16 AE5:AE16 AC37:AC48 AE37:AE48 AC51:AC63 AE51:AE63 AJ5:AJ16 AL5:AL16 AJ37:AJ48 AL37:AL48 AJ51:AJ63 AL51:AL63 AQ5:AQ16 AS5:AS16 AQ37:AQ48 AS37:AS48 AQ51:AQ63 AS51:AS63 AX5:AX16 AZ5:AZ16 AX37:AX48 AZ37:AZ48 AX51:AX63 AZ51:AZ63 BE5:BE16 BG5:BG16 BE37:BE48 BG37:BG48 BE51:BE63 BG51:BG63 BL5:BL16 BN5:BN16 BL37:BL48 BN37:BN48 BL51:BL63 BN51:BN63 BS5:BS16 BU5:BU16 BS37:BS48 BU37:BU48 BS51:BS63 BU51:BU63 BZ5:BZ16 CB5:CB16 BZ37:BZ48 CB37:CB48 BZ51:BZ63 CB51:CB63 CG5:CG16 CI5:CI16 CG37:CG48 CI37:CI48 CG51:CG63 CI51:CI63 CN5:CN16 CP5:CP16 CN37:CN48 CP37:CP48 CN51:CN63 CP51:CP63">
    <cfRule type="expression" dxfId="85" priority="672">
      <formula>IF(O5&gt;=P5,IF(O5="",FALSE,TRUE))</formula>
    </cfRule>
    <cfRule type="expression" dxfId="84" priority="671">
      <formula>OR(IF(O5&lt;P5,TRUE),IF(AND(P5="",O5&lt;&gt;""),TRUE))</formula>
    </cfRule>
  </conditionalFormatting>
  <conditionalFormatting sqref="O19:O34 Q19:Q34">
    <cfRule type="expression" dxfId="83" priority="25">
      <formula>OR(IF(O19&lt;P19,TRUE),IF(AND(P19="",O19&lt;&gt;""),TRUE))</formula>
    </cfRule>
    <cfRule type="expression" dxfId="82" priority="26">
      <formula>IF(O19&gt;=P19,IF(O19="",FALSE,TRUE))</formula>
    </cfRule>
  </conditionalFormatting>
  <conditionalFormatting sqref="CU19:CU34 CW19:CW34">
    <cfRule type="expression" dxfId="59" priority="129">
      <formula>OR(IF(CU19&lt;CV19,TRUE),IF(AND(CV19="",CU19&lt;&gt;""),TRUE))</formula>
    </cfRule>
    <cfRule type="expression" dxfId="58" priority="130">
      <formula>IF(CU19&gt;=CV19,IF(CU19="",FALSE,TRUE))</formula>
    </cfRule>
  </conditionalFormatting>
  <conditionalFormatting sqref="DB19:DB34 DD19:DD34">
    <cfRule type="expression" dxfId="57" priority="109">
      <formula>OR(IF(DB19&lt;DC19,TRUE),IF(AND(DC19="",DB19&lt;&gt;""),TRUE))</formula>
    </cfRule>
    <cfRule type="expression" dxfId="56" priority="110">
      <formula>IF(DB19&gt;=DC19,IF(DB19="",FALSE,TRUE))</formula>
    </cfRule>
  </conditionalFormatting>
  <conditionalFormatting sqref="DI5:DI16 DK5:DK16 DI37:DI48 DK37:DK48">
    <cfRule type="expression" dxfId="55" priority="106">
      <formula>IF(DI5&gt;=DJ5,IF(DI5="",FALSE,TRUE))</formula>
    </cfRule>
    <cfRule type="expression" dxfId="54" priority="105">
      <formula>OR(IF(DI5&lt;DJ5,TRUE),IF(AND(DJ5="",DI5&lt;&gt;""),TRUE))</formula>
    </cfRule>
  </conditionalFormatting>
  <conditionalFormatting sqref="DI19:DI34 DK19:DK34">
    <cfRule type="expression" dxfId="53" priority="104">
      <formula>IF(DI19&gt;=DJ19,IF(DI19="",FALSE,TRUE))</formula>
    </cfRule>
    <cfRule type="expression" dxfId="52" priority="103">
      <formula>OR(IF(DI19&lt;DJ19,TRUE),IF(AND(DJ19="",DI19&lt;&gt;""),TRUE))</formula>
    </cfRule>
  </conditionalFormatting>
  <conditionalFormatting sqref="DP5:DP16 DR5:DR16 DP37:DP48 DR37:DR48">
    <cfRule type="expression" dxfId="51" priority="102">
      <formula>IF(DP5&gt;=DQ5,IF(DP5="",FALSE,TRUE))</formula>
    </cfRule>
    <cfRule type="expression" dxfId="50" priority="101">
      <formula>OR(IF(DP5&lt;DQ5,TRUE),IF(AND(DQ5="",DP5&lt;&gt;""),TRUE))</formula>
    </cfRule>
  </conditionalFormatting>
  <conditionalFormatting sqref="DP19:DP34 DR19:DR34">
    <cfRule type="expression" dxfId="49" priority="100">
      <formula>IF(DP19&gt;=DQ19,IF(DP19="",FALSE,TRUE))</formula>
    </cfRule>
    <cfRule type="expression" dxfId="48" priority="99">
      <formula>OR(IF(DP19&lt;DQ19,TRUE),IF(AND(DQ19="",DP19&lt;&gt;""),TRUE))</formula>
    </cfRule>
  </conditionalFormatting>
  <conditionalFormatting sqref="DW5:DW16 DY5:DY16 DW37:DW48 DY37:DY48">
    <cfRule type="expression" dxfId="47" priority="98">
      <formula>IF(DW5&gt;=DX5,IF(DW5="",FALSE,TRUE))</formula>
    </cfRule>
    <cfRule type="expression" dxfId="46" priority="97">
      <formula>OR(IF(DW5&lt;DX5,TRUE),IF(AND(DX5="",DW5&lt;&gt;""),TRUE))</formula>
    </cfRule>
  </conditionalFormatting>
  <conditionalFormatting sqref="DW19:DW34 DY19:DY34">
    <cfRule type="expression" dxfId="45" priority="96">
      <formula>IF(DW19&gt;=DX19,IF(DW19="",FALSE,TRUE))</formula>
    </cfRule>
    <cfRule type="expression" dxfId="44" priority="95">
      <formula>OR(IF(DW19&lt;DX19,TRUE),IF(AND(DX19="",DW19&lt;&gt;""),TRUE))</formula>
    </cfRule>
  </conditionalFormatting>
  <conditionalFormatting sqref="ED5:ED16 EF5:EF16 ED37:ED48 EF37:EF48">
    <cfRule type="expression" dxfId="43" priority="94">
      <formula>IF(ED5&gt;=EE5,IF(ED5="",FALSE,TRUE))</formula>
    </cfRule>
    <cfRule type="expression" dxfId="42" priority="93">
      <formula>OR(IF(ED5&lt;EE5,TRUE),IF(AND(EE5="",ED5&lt;&gt;""),TRUE))</formula>
    </cfRule>
  </conditionalFormatting>
  <conditionalFormatting sqref="ED19:ED34 EF19:EF34">
    <cfRule type="expression" dxfId="41" priority="92">
      <formula>IF(ED19&gt;=EE19,IF(ED19="",FALSE,TRUE))</formula>
    </cfRule>
    <cfRule type="expression" dxfId="40" priority="91">
      <formula>OR(IF(ED19&lt;EE19,TRUE),IF(AND(EE19="",ED19&lt;&gt;""),TRUE))</formula>
    </cfRule>
  </conditionalFormatting>
  <conditionalFormatting sqref="EK5:EK16 EM5:EM16 EK37:EK48 EM37:EM48">
    <cfRule type="expression" dxfId="39" priority="90">
      <formula>IF(EK5&gt;=EL5,IF(EK5="",FALSE,TRUE))</formula>
    </cfRule>
    <cfRule type="expression" dxfId="38" priority="89">
      <formula>OR(IF(EK5&lt;EL5,TRUE),IF(AND(EL5="",EK5&lt;&gt;""),TRUE))</formula>
    </cfRule>
  </conditionalFormatting>
  <conditionalFormatting sqref="EK19:EK34 EM19:EM34">
    <cfRule type="expression" dxfId="37" priority="88">
      <formula>IF(EK19&gt;=EL19,IF(EK19="",FALSE,TRUE))</formula>
    </cfRule>
    <cfRule type="expression" dxfId="36" priority="87">
      <formula>OR(IF(EK19&lt;EL19,TRUE),IF(AND(EL19="",EK19&lt;&gt;""),TRUE))</formula>
    </cfRule>
  </conditionalFormatting>
  <conditionalFormatting sqref="V19:V34 X19:X34">
    <cfRule type="expression" dxfId="21" priority="21">
      <formula>OR(IF(V19&lt;W19,TRUE),IF(AND(W19="",V19&lt;&gt;""),TRUE))</formula>
    </cfRule>
    <cfRule type="expression" dxfId="20" priority="22">
      <formula>IF(V19&gt;=W19,IF(V19="",FALSE,TRUE))</formula>
    </cfRule>
  </conditionalFormatting>
  <conditionalFormatting sqref="AC19:AC34 AE19:AE34">
    <cfRule type="expression" dxfId="19" priority="19">
      <formula>OR(IF(AC19&lt;AD19,TRUE),IF(AND(AD19="",AC19&lt;&gt;""),TRUE))</formula>
    </cfRule>
    <cfRule type="expression" dxfId="18" priority="20">
      <formula>IF(AC19&gt;=AD19,IF(AC19="",FALSE,TRUE))</formula>
    </cfRule>
  </conditionalFormatting>
  <conditionalFormatting sqref="AJ19:AJ34 AL19:AL34">
    <cfRule type="expression" dxfId="17" priority="17">
      <formula>OR(IF(AJ19&lt;AK19,TRUE),IF(AND(AK19="",AJ19&lt;&gt;""),TRUE))</formula>
    </cfRule>
    <cfRule type="expression" dxfId="16" priority="18">
      <formula>IF(AJ19&gt;=AK19,IF(AJ19="",FALSE,TRUE))</formula>
    </cfRule>
  </conditionalFormatting>
  <conditionalFormatting sqref="AQ19:AQ34 AS19:AS34">
    <cfRule type="expression" dxfId="15" priority="15">
      <formula>OR(IF(AQ19&lt;AR19,TRUE),IF(AND(AR19="",AQ19&lt;&gt;""),TRUE))</formula>
    </cfRule>
    <cfRule type="expression" dxfId="14" priority="16">
      <formula>IF(AQ19&gt;=AR19,IF(AQ19="",FALSE,TRUE))</formula>
    </cfRule>
  </conditionalFormatting>
  <conditionalFormatting sqref="AX19:AX34 AZ19:AZ34">
    <cfRule type="expression" dxfId="13" priority="13">
      <formula>OR(IF(AX19&lt;AY19,TRUE),IF(AND(AY19="",AX19&lt;&gt;""),TRUE))</formula>
    </cfRule>
    <cfRule type="expression" dxfId="12" priority="14">
      <formula>IF(AX19&gt;=AY19,IF(AX19="",FALSE,TRUE))</formula>
    </cfRule>
  </conditionalFormatting>
  <conditionalFormatting sqref="BE19:BE34 BG19:BG34">
    <cfRule type="expression" dxfId="11" priority="11">
      <formula>OR(IF(BE19&lt;BF19,TRUE),IF(AND(BF19="",BE19&lt;&gt;""),TRUE))</formula>
    </cfRule>
    <cfRule type="expression" dxfId="10" priority="12">
      <formula>IF(BE19&gt;=BF19,IF(BE19="",FALSE,TRUE))</formula>
    </cfRule>
  </conditionalFormatting>
  <conditionalFormatting sqref="BL19:BL34 BN19:BN34">
    <cfRule type="expression" dxfId="9" priority="9">
      <formula>OR(IF(BL19&lt;BM19,TRUE),IF(AND(BM19="",BL19&lt;&gt;""),TRUE))</formula>
    </cfRule>
    <cfRule type="expression" dxfId="8" priority="10">
      <formula>IF(BL19&gt;=BM19,IF(BL19="",FALSE,TRUE))</formula>
    </cfRule>
  </conditionalFormatting>
  <conditionalFormatting sqref="BS19:BS34 BU19:BU34">
    <cfRule type="expression" dxfId="7" priority="7">
      <formula>OR(IF(BS19&lt;BT19,TRUE),IF(AND(BT19="",BS19&lt;&gt;""),TRUE))</formula>
    </cfRule>
    <cfRule type="expression" dxfId="6" priority="8">
      <formula>IF(BS19&gt;=BT19,IF(BS19="",FALSE,TRUE))</formula>
    </cfRule>
  </conditionalFormatting>
  <conditionalFormatting sqref="BZ19:BZ34 CB19:CB34">
    <cfRule type="expression" dxfId="5" priority="5">
      <formula>OR(IF(BZ19&lt;CA19,TRUE),IF(AND(CA19="",BZ19&lt;&gt;""),TRUE))</formula>
    </cfRule>
    <cfRule type="expression" dxfId="4" priority="6">
      <formula>IF(BZ19&gt;=CA19,IF(BZ19="",FALSE,TRUE))</formula>
    </cfRule>
  </conditionalFormatting>
  <conditionalFormatting sqref="CG19:CG34 CI19:CI34">
    <cfRule type="expression" dxfId="3" priority="3">
      <formula>OR(IF(CG19&lt;CH19,TRUE),IF(AND(CH19="",CG19&lt;&gt;""),TRUE))</formula>
    </cfRule>
    <cfRule type="expression" dxfId="2" priority="4">
      <formula>IF(CG19&gt;=CH19,IF(CG19="",FALSE,TRUE))</formula>
    </cfRule>
  </conditionalFormatting>
  <conditionalFormatting sqref="CN19:CN34 CP19:CP34">
    <cfRule type="expression" dxfId="1" priority="1">
      <formula>OR(IF(CN19&lt;CO19,TRUE),IF(AND(CO19="",CN19&lt;&gt;""),TRUE))</formula>
    </cfRule>
    <cfRule type="expression" dxfId="0" priority="2">
      <formula>IF(CN19&gt;=CO19,IF(CN19="",FALSE,TRUE))</formula>
    </cfRule>
  </conditionalFormatting>
  <dataValidations count="1">
    <dataValidation type="list" allowBlank="1" showInputMessage="1" showErrorMessage="1" sqref="CG37:CJ48 AJ37:AM48 BS19:BV34 BZ5:CC16 CG19:CJ34 V5:Y16 AJ19:AM34 AQ37:AT48 BE5:BH16 BL37:BO48 BS5:BV16 BZ37:CC48 AC37:AF48 BE19:BH34 AQ5:AT16 AJ5:AM16 AC19:AF34 BZ19:CC34 BL19:BO34 BS37:BV48 BL51:BO63 AX19:BA34 AQ51:AT63 AC5:AF16 BZ51:CC63 CG5:CJ16 O19:R34 AX37:BA48 AQ19:AT34 EK5:EN16 EK19:EN34 EK37:EN48 V19:Y34 V37:Y48 O37:R48 O5:R16 CU5:CX16 CU19:CX34 DB5:DE16 DB19:DE34 DB37:DE48 CG51:CJ63 DI5:DL16 DI19:DL34 DI37:DL48 DP5:DS16 DP19:DS34 DP37:DS48 DW5:DZ16 DW19:DZ34 DW37:DZ48 ED5:EG16 ED19:EG34 ED37:EG48 AX5:BA16 BE37:BH48 AX51:BA63 BE51:BH63 ED51:EG63 DW51:DZ63 DP51:DS63 DI51:DL63 CU37:CX48 DB51:DE63 EK51:EN63 AJ51:AM63 AC51:AF63 BS51:BV63 CU51:CX63 V51:Y63 O51:R63 BL5:BO16 CN19:CQ34 CN5:CQ16 CN37:CQ48 CN51:CQ6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2"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35" priority="4" operator="equal">
      <formula>"Ja"</formula>
    </cfRule>
    <cfRule type="cellIs" dxfId="34" priority="14" operator="equal">
      <formula>"Ja"</formula>
    </cfRule>
    <cfRule type="cellIs" dxfId="33" priority="15" operator="equal">
      <formula>"Nein"</formula>
    </cfRule>
  </conditionalFormatting>
  <conditionalFormatting sqref="C2:C46">
    <cfRule type="cellIs" dxfId="32" priority="1" operator="equal">
      <formula>"Ja"</formula>
    </cfRule>
    <cfRule type="cellIs" dxfId="31" priority="2" operator="equal">
      <formula>"Ja"</formula>
    </cfRule>
    <cfRule type="cellIs" dxfId="30" priority="3" operator="equal">
      <formula>"Nein"</formula>
    </cfRule>
  </conditionalFormatting>
  <conditionalFormatting sqref="D2">
    <cfRule type="cellIs" dxfId="29" priority="6" operator="equal">
      <formula>1</formula>
    </cfRule>
    <cfRule type="cellIs" dxfId="28" priority="7" operator="equal">
      <formula>0.8</formula>
    </cfRule>
    <cfRule type="cellIs" dxfId="27" priority="8" operator="equal">
      <formula>0.6</formula>
    </cfRule>
    <cfRule type="cellIs" dxfId="26" priority="9" operator="equal">
      <formula>0.4</formula>
    </cfRule>
    <cfRule type="cellIs" dxfId="25" priority="10" operator="equal">
      <formula>0.2</formula>
    </cfRule>
    <cfRule type="cellIs" dxfId="24"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Julius Thieme</cp:lastModifiedBy>
  <dcterms:created xsi:type="dcterms:W3CDTF">2020-04-19T13:33:28Z</dcterms:created>
  <dcterms:modified xsi:type="dcterms:W3CDTF">2024-10-16T15:57:21Z</dcterms:modified>
</cp:coreProperties>
</file>