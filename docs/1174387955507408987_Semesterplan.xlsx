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tilschulz/Desktop/"/>
    </mc:Choice>
  </mc:AlternateContent>
  <xr:revisionPtr revIDLastSave="0" documentId="13_ncr:1_{C5234CC5-1CB3-7446-B040-2A2C45D7954E}" xr6:coauthVersionLast="47" xr6:coauthVersionMax="47" xr10:uidLastSave="{00000000-0000-0000-0000-000000000000}"/>
  <bookViews>
    <workbookView xWindow="0" yWindow="740" windowWidth="29400" windowHeight="170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 i="10" l="1"/>
  <c r="O1" i="7"/>
  <c r="Q1" i="7" s="1"/>
  <c r="K15" i="7" a="1"/>
  <c r="K15" i="7" s="1"/>
  <c r="J15" i="7" a="1"/>
  <c r="J15" i="7" s="1"/>
  <c r="I15" i="7"/>
  <c r="K16" i="7" a="1"/>
  <c r="K16" i="7" s="1"/>
  <c r="J16" i="7" a="1"/>
  <c r="J16" i="7" s="1"/>
  <c r="I16" i="7"/>
  <c r="K17" i="7" a="1"/>
  <c r="K17" i="7" s="1"/>
  <c r="J17" i="7" a="1"/>
  <c r="J17" i="7" s="1"/>
  <c r="I17" i="7"/>
  <c r="K18" i="7" a="1"/>
  <c r="K18" i="7" s="1"/>
  <c r="J18" i="7" a="1"/>
  <c r="J18" i="7" s="1"/>
  <c r="I18" i="7"/>
  <c r="K26" i="7" a="1"/>
  <c r="K26" i="7" s="1"/>
  <c r="J26" i="7" a="1"/>
  <c r="J26" i="7" s="1"/>
  <c r="I26" i="7"/>
  <c r="I13" i="7"/>
  <c r="J13" i="7" a="1"/>
  <c r="J13" i="7" s="1"/>
  <c r="K13" i="7" a="1"/>
  <c r="K13" i="7" s="1"/>
  <c r="I12" i="7"/>
  <c r="J12" i="7" a="1"/>
  <c r="J12" i="7" s="1"/>
  <c r="K12" i="7" a="1"/>
  <c r="K12" i="7" s="1"/>
  <c r="I11" i="7"/>
  <c r="J11" i="7" a="1"/>
  <c r="J11" i="7" s="1"/>
  <c r="K11" i="7" a="1"/>
  <c r="K11" i="7" s="1"/>
  <c r="I10" i="7"/>
  <c r="J10" i="7" a="1"/>
  <c r="J10" i="7" s="1"/>
  <c r="K10" i="7" a="1"/>
  <c r="K10" i="7" s="1"/>
  <c r="I9" i="7"/>
  <c r="J9" i="7" a="1"/>
  <c r="J9" i="7" s="1"/>
  <c r="K9" i="7" a="1"/>
  <c r="K9" i="7" s="1"/>
  <c r="DO4" i="7"/>
  <c r="N4" i="7"/>
  <c r="U4" i="7"/>
  <c r="AB4" i="7"/>
  <c r="N34" i="7"/>
  <c r="U34" i="7"/>
  <c r="AB34" i="7"/>
  <c r="N43" i="7"/>
  <c r="U43" i="7"/>
  <c r="AB43" i="7"/>
  <c r="N55" i="7"/>
  <c r="U55" i="7"/>
  <c r="AB55" i="7"/>
  <c r="I24" i="7"/>
  <c r="J24" i="7" a="1"/>
  <c r="J24" i="7" s="1"/>
  <c r="K24" i="7" a="1"/>
  <c r="K24" i="7" s="1"/>
  <c r="I23" i="7"/>
  <c r="J23" i="7" a="1"/>
  <c r="J23" i="7" s="1"/>
  <c r="K23" i="7" a="1"/>
  <c r="K23" i="7" s="1"/>
  <c r="DH4" i="7"/>
  <c r="DA4" i="7"/>
  <c r="K59" i="7" a="1"/>
  <c r="K59" i="7" s="1"/>
  <c r="J59" i="7" a="1"/>
  <c r="J59" i="7" s="1"/>
  <c r="I59" i="7"/>
  <c r="K58" i="7" a="1"/>
  <c r="K58" i="7" s="1"/>
  <c r="J58" i="7" a="1"/>
  <c r="J58" i="7" s="1"/>
  <c r="I58" i="7"/>
  <c r="K57" i="7" a="1"/>
  <c r="K57" i="7" s="1"/>
  <c r="J57" i="7" a="1"/>
  <c r="J57" i="7" s="1"/>
  <c r="I57" i="7"/>
  <c r="K56" i="7" a="1"/>
  <c r="K56" i="7" s="1"/>
  <c r="J56" i="7" a="1"/>
  <c r="J56" i="7" s="1"/>
  <c r="I56" i="7"/>
  <c r="AI55" i="7"/>
  <c r="G55" i="7"/>
  <c r="CT4" i="7"/>
  <c r="CM4" i="7"/>
  <c r="CF4" i="7"/>
  <c r="BY4" i="7"/>
  <c r="BR4" i="7"/>
  <c r="BK4"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AI43" i="7"/>
  <c r="G43" i="7"/>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K36" i="7" a="1"/>
  <c r="K36" i="7" s="1"/>
  <c r="J36" i="7" a="1"/>
  <c r="J36" i="7" s="1"/>
  <c r="I36" i="7"/>
  <c r="K35" i="7" a="1"/>
  <c r="K35" i="7" s="1"/>
  <c r="J35" i="7" a="1"/>
  <c r="J35" i="7" s="1"/>
  <c r="I35" i="7"/>
  <c r="AI34" i="7"/>
  <c r="G34" i="7"/>
  <c r="BD4" i="7"/>
  <c r="C12" i="10"/>
  <c r="K22" i="7" a="1"/>
  <c r="K22" i="7" s="1"/>
  <c r="J22" i="7" a="1"/>
  <c r="J22" i="7" s="1"/>
  <c r="K21" i="7" a="1"/>
  <c r="K21" i="7" s="1"/>
  <c r="J21" i="7" a="1"/>
  <c r="J21" i="7" s="1"/>
  <c r="K20" i="7" a="1"/>
  <c r="K20" i="7" s="1"/>
  <c r="J20" i="7" a="1"/>
  <c r="J20" i="7" s="1"/>
  <c r="K19" i="7" a="1"/>
  <c r="K19" i="7" s="1"/>
  <c r="J19" i="7" a="1"/>
  <c r="J19"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8" i="7" a="1"/>
  <c r="K8" i="7" s="1"/>
  <c r="J8" i="7" a="1"/>
  <c r="J8" i="7" s="1"/>
  <c r="K7" i="7" a="1"/>
  <c r="K7" i="7" s="1"/>
  <c r="J7" i="7" a="1"/>
  <c r="J7" i="7" s="1"/>
  <c r="K6" i="7" a="1"/>
  <c r="K6" i="7" s="1"/>
  <c r="J6" i="7" a="1"/>
  <c r="J6" i="7" s="1"/>
  <c r="K5" i="7" a="1"/>
  <c r="K5" i="7" s="1"/>
  <c r="J5" i="7" a="1"/>
  <c r="J5" i="7" s="1"/>
  <c r="AW4" i="7"/>
  <c r="AP4" i="7"/>
  <c r="AI4" i="7"/>
  <c r="G4" i="7"/>
  <c r="I32" i="7"/>
  <c r="I31" i="7"/>
  <c r="I30" i="7"/>
  <c r="I29" i="7"/>
  <c r="I28" i="7"/>
  <c r="I27" i="7"/>
  <c r="I22" i="7"/>
  <c r="I21" i="7"/>
  <c r="I20" i="7"/>
  <c r="I19" i="7"/>
  <c r="I6" i="7"/>
  <c r="I7" i="7"/>
  <c r="I8" i="7"/>
  <c r="I5" i="7"/>
  <c r="I55" i="7" l="1"/>
  <c r="K55" i="7"/>
  <c r="J55" i="7"/>
  <c r="I43" i="7"/>
  <c r="I34" i="7"/>
  <c r="J43" i="7"/>
  <c r="K43" i="7"/>
  <c r="K34" i="7"/>
  <c r="J34"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<sst xmlns="http://schemas.openxmlformats.org/spreadsheetml/2006/main" count="354" uniqueCount="154">
  <si>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</si>
  <si>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</si>
  <si>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</si>
  <si>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</si>
  <si>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</si>
  <si>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</si>
  <si>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</si>
  <si>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</si>
  <si>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</si>
  <si>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</si>
  <si>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</si>
  <si>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</si>
  <si>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</si>
  <si>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</si>
  <si>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</si>
  <si>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</si>
  <si>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</si>
  <si>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</si>
  <si>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</si>
  <si>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</si>
  <si>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</si>
  <si>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</si>
  <si>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</si>
  <si>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</si>
  <si>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</si>
  <si>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</si>
  <si>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</si>
  <si>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</si>
  <si>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</si>
  <si>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</si>
  <si>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</si>
  <si>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</si>
  <si>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</si>
  <si>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</si>
  <si>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</si>
  <si>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</si>
  <si>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</si>
  <si>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</si>
  <si>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</si>
  <si>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</si>
  <si>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</si>
  <si>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</si>
  <si>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</si>
  <si>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</si>
  <si>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</si>
  <si>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</si>
  <si>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</si>
  <si>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</si>
  <si>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</si>
  <si>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</si>
  <si>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</si>
  <si>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</si>
  <si>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</si>
  <si>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</si>
  <si>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</si>
  <si>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</si>
  <si>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</si>
  <si>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</si>
  <si>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</si>
  <si>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</si>
  <si>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</si>
  <si>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</si>
  <si>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</si>
  <si>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</si>
  <si>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</si>
  <si>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</si>
  <si>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</si>
  <si>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</si>
  <si>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</si>
  <si>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</si>
  <si>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</si>
  <si>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</si>
  <si>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</si>
  <si>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</si>
  <si>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</si>
  <si>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</si>
  <si>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</si>
  <si>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</si>
  <si>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</si>
  <si>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</si>
  <si>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</si>
  <si>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</si>
  <si>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</si>
  <si>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</si>
  <si>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</si>
  <si>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</si>
  <si>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</si>
  <si>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</si>
  <si>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Economic 1</t>
  </si>
  <si>
    <t>Mathematics 1</t>
  </si>
  <si>
    <t>Found. Of Business Entrp</t>
  </si>
  <si>
    <t>Financial Accounting</t>
  </si>
  <si>
    <t>Found. Of Business Entrp.</t>
  </si>
  <si>
    <t>Business Ethics</t>
  </si>
  <si>
    <t>Operation Research</t>
  </si>
  <si>
    <t>KW 46</t>
  </si>
  <si>
    <t>KW 47</t>
  </si>
  <si>
    <t>KW 48</t>
  </si>
  <si>
    <t>KW 49</t>
  </si>
  <si>
    <t>KW 51</t>
  </si>
  <si>
    <t>KW 52</t>
  </si>
  <si>
    <t>4) Matrix Games</t>
  </si>
  <si>
    <t>5) Linear Mappings</t>
  </si>
  <si>
    <t xml:space="preserve">6) Scalar Products </t>
  </si>
  <si>
    <t>7) Sequences</t>
  </si>
  <si>
    <t>8) Functions</t>
  </si>
  <si>
    <t xml:space="preserve">9) Differentiability </t>
  </si>
  <si>
    <t>10) Integration</t>
  </si>
  <si>
    <t>1) Decision Analysis</t>
  </si>
  <si>
    <t>2) Linear Algebra</t>
  </si>
  <si>
    <t xml:space="preserve">3) Linear Programming </t>
  </si>
  <si>
    <t>4) Integer and Mixed-Integer Programming</t>
  </si>
  <si>
    <t>5) Graph Theory and Network Flow Problems</t>
  </si>
  <si>
    <t>6) Dynamic Programming</t>
  </si>
  <si>
    <t xml:space="preserve">7) Operations Research Software </t>
  </si>
  <si>
    <t>1) The entrepreneurial personality</t>
  </si>
  <si>
    <t xml:space="preserve">2) Entrepreneurial Decision Making/Opportunities </t>
  </si>
  <si>
    <t xml:space="preserve">3) Entrepreneurial Prototyping </t>
  </si>
  <si>
    <t xml:space="preserve">4) Business Modelling </t>
  </si>
  <si>
    <t xml:space="preserve">5) Entrepreneurial finance </t>
  </si>
  <si>
    <t xml:space="preserve">6) Entrepreeurial strategy </t>
  </si>
  <si>
    <t>7)Social/sustainable Entrepreurialship</t>
  </si>
  <si>
    <t>1) Basic concepts</t>
  </si>
  <si>
    <t>2) Historical-economic background: Premodern and Modern</t>
  </si>
  <si>
    <t>3) Foundations and Tools of Business ethics</t>
  </si>
  <si>
    <t>4) Corporate Ethics</t>
  </si>
  <si>
    <t>Klausur früh !!!</t>
  </si>
  <si>
    <t>KW 01</t>
  </si>
  <si>
    <t>KW 02</t>
  </si>
  <si>
    <t>KW 03</t>
  </si>
  <si>
    <t>KW 04</t>
  </si>
  <si>
    <t>KW 05</t>
  </si>
  <si>
    <t>Klausuren !!!</t>
  </si>
  <si>
    <t>KW 06</t>
  </si>
  <si>
    <t>1) Introduction</t>
  </si>
  <si>
    <t>2) Financial Statement Analysisi</t>
  </si>
  <si>
    <t>3) Bookkeeping</t>
  </si>
  <si>
    <t xml:space="preserve">4) Accounting Policy </t>
  </si>
  <si>
    <t>5) basics of IFRS</t>
  </si>
  <si>
    <t>6) PPE</t>
  </si>
  <si>
    <t xml:space="preserve">7) Intangibles </t>
  </si>
  <si>
    <t xml:space="preserve">8) inventories and Provisions </t>
  </si>
  <si>
    <t>9) NFR</t>
  </si>
  <si>
    <t xml:space="preserve">2) Budget Constraint/Utility Function </t>
  </si>
  <si>
    <t xml:space="preserve">3) Elastizitäten </t>
  </si>
  <si>
    <t>4) Demand Functions</t>
  </si>
  <si>
    <t>5) Supply Functions/Costs</t>
  </si>
  <si>
    <t xml:space="preserve">6) Individual vs. Market Supply </t>
  </si>
  <si>
    <t>7) Polypol</t>
  </si>
  <si>
    <t xml:space="preserve">8) Staatliche Eingriffe </t>
  </si>
  <si>
    <t>9) Monpolist/Market Failure</t>
  </si>
  <si>
    <t xml:space="preserve">1) Systems of Linear Equations </t>
  </si>
  <si>
    <t>2) Vector Spaces</t>
  </si>
  <si>
    <t>3) Matrices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</si>
</sst>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9" fontId="5" fillId="0" borderId="0" xfId="0" applyNumberFormat="1" applyFont="1"/>
    <xf numFmtId="0" fontId="1" fillId="2" borderId="0" xfId="0" applyFont="1" applyFill="1" applyAlignment="1">
      <alignment horizontal="center"/>
    </xf>
  </cellXfs>
  <cellStyles count="1">
    <cellStyle name="Standard" xfId="0" builtinId="0"/>
  </cellStyles>
  <dxfs count="173">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C4FF87"/>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56FF5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72">
  <autoFilter ref="A1:K46" xr:uid="{6E266E34-2786-2747-BCE7-51B74867A564}"/>
  <tableColumns count="11">
    <tableColumn id="1" xr3:uid="{95FD92F7-3DC8-704D-A103-A7EDDAB255AB}" name="Datum" dataDxfId="171"/>
    <tableColumn id="2" xr3:uid="{F464D510-8166-E740-A343-FB84BDEF877F}" name="Lerneinheiten durchgezogen" dataDxfId="170"/>
    <tableColumn id="3" xr3:uid="{75F52B08-1A00-0848-BBE6-1EDF7B31B1AD}" name="Tagesplan erstellt" dataDxfId="169"/>
    <tableColumn id="4" xr3:uid="{E6B18D89-E799-AD48-9DAA-37AEE1D29011}" name="Konzentrationslevel" dataDxfId="16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B1" workbookViewId="0">
      <selection activeCell="C12" sqref="C12"/>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v>46</v>
      </c>
    </row>
    <row r="8" spans="1:4" x14ac:dyDescent="0.2">
      <c r="A8" t="s">
        <v>52</v>
      </c>
      <c r="B8" s="18" t="s">
        <v>51</v>
      </c>
      <c r="D8" t="s">
        <v>75</v>
      </c>
    </row>
    <row r="9" spans="1:4" x14ac:dyDescent="0.2">
      <c r="A9" t="s">
        <v>60</v>
      </c>
      <c r="B9" s="18" t="s">
        <v>73</v>
      </c>
      <c r="D9" t="s">
        <v>76</v>
      </c>
    </row>
    <row r="10" spans="1:4" x14ac:dyDescent="0.2">
      <c r="A10" t="s">
        <v>64</v>
      </c>
      <c r="B10" t="s">
        <v>63</v>
      </c>
      <c r="C10" s="16">
        <v>10.5</v>
      </c>
      <c r="D10" t="s">
        <v>59</v>
      </c>
    </row>
    <row r="11" spans="1:4" x14ac:dyDescent="0.2">
      <c r="A11" t="s">
        <v>65</v>
      </c>
      <c r="B11" t="s">
        <v>67</v>
      </c>
      <c r="C11" s="16">
        <f>46*3</f>
        <v>138</v>
      </c>
      <c r="D11" t="s">
        <v>66</v>
      </c>
    </row>
    <row r="12" spans="1:4" x14ac:dyDescent="0.2">
      <c r="A12" t="s">
        <v>69</v>
      </c>
      <c r="B12" t="s">
        <v>68</v>
      </c>
      <c r="C12" s="17">
        <f>C11/C10</f>
        <v>13.142857142857142</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T65"/>
  <sheetViews>
    <sheetView showGridLines="0" tabSelected="1" zoomScale="75" zoomScaleNormal="83" workbookViewId="0">
      <pane xSplit="12" topLeftCell="CJ1" activePane="topRight" state="frozen"/>
      <selection pane="topRight" activeCell="CU56" sqref="CU56:CX59"/>
    </sheetView>
  </sheetViews>
  <sheetFormatPr baseColWidth="10" defaultColWidth="8.83203125" defaultRowHeight="16" outlineLevelRow="1" x14ac:dyDescent="0.2"/>
  <cols>
    <col min="3" max="3" width="22.5" bestFit="1" customWidth="1"/>
    <col min="4" max="4" width="13" bestFit="1" customWidth="1"/>
    <col min="5" max="5" width="4.83203125" bestFit="1" customWidth="1"/>
    <col min="6" max="6" width="50.832031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s>
  <sheetData>
    <row r="1" spans="2:124" ht="34" x14ac:dyDescent="0.4">
      <c r="B1" s="4" t="s">
        <v>0</v>
      </c>
      <c r="D1" s="4"/>
      <c r="G1" s="13" t="s">
        <v>34</v>
      </c>
      <c r="I1" s="13" t="s">
        <v>34</v>
      </c>
      <c r="J1" s="13" t="s">
        <v>34</v>
      </c>
      <c r="K1" s="13" t="s">
        <v>34</v>
      </c>
      <c r="O1">
        <f>4+7*3+3*2+7*3+4+5*3+7+9+4+7*3+12</f>
        <v>124</v>
      </c>
      <c r="Q1">
        <f>O1/10.5</f>
        <v>11.80952380952381</v>
      </c>
    </row>
    <row r="2" spans="2:124" x14ac:dyDescent="0.2">
      <c r="I2" s="21" t="s">
        <v>27</v>
      </c>
      <c r="J2" s="21"/>
      <c r="K2" s="21"/>
      <c r="L2" s="21"/>
      <c r="N2" s="21" t="s">
        <v>95</v>
      </c>
      <c r="O2" s="21"/>
      <c r="P2" s="21"/>
      <c r="Q2" s="21"/>
      <c r="R2" s="21"/>
      <c r="S2" s="21"/>
      <c r="U2" s="21" t="s">
        <v>96</v>
      </c>
      <c r="V2" s="21"/>
      <c r="W2" s="21"/>
      <c r="X2" s="21"/>
      <c r="Y2" s="21"/>
      <c r="Z2" s="21"/>
      <c r="AB2" s="21" t="s">
        <v>97</v>
      </c>
      <c r="AC2" s="21"/>
      <c r="AD2" s="21"/>
      <c r="AE2" s="21"/>
      <c r="AF2" s="21"/>
      <c r="AG2" s="21"/>
      <c r="AI2" s="21" t="s">
        <v>98</v>
      </c>
      <c r="AJ2" s="21"/>
      <c r="AK2" s="21"/>
      <c r="AL2" s="21"/>
      <c r="AM2" s="21"/>
      <c r="AN2" s="21"/>
      <c r="AP2" s="21" t="s">
        <v>126</v>
      </c>
      <c r="AQ2" s="21"/>
      <c r="AR2" s="21"/>
      <c r="AS2" s="21"/>
      <c r="AT2" s="21"/>
      <c r="AU2" s="21"/>
      <c r="AW2" s="21" t="s">
        <v>99</v>
      </c>
      <c r="AX2" s="21"/>
      <c r="AY2" s="21"/>
      <c r="AZ2" s="21"/>
      <c r="BA2" s="21"/>
      <c r="BB2" s="21"/>
      <c r="BD2" s="21" t="s">
        <v>100</v>
      </c>
      <c r="BE2" s="21"/>
      <c r="BF2" s="21"/>
      <c r="BG2" s="21"/>
      <c r="BH2" s="21"/>
      <c r="BI2" s="21"/>
      <c r="BK2" s="21" t="s">
        <v>127</v>
      </c>
      <c r="BL2" s="21"/>
      <c r="BM2" s="21"/>
      <c r="BN2" s="21"/>
      <c r="BO2" s="21"/>
      <c r="BP2" s="21"/>
      <c r="BR2" s="21" t="s">
        <v>128</v>
      </c>
      <c r="BS2" s="21"/>
      <c r="BT2" s="21"/>
      <c r="BU2" s="21"/>
      <c r="BV2" s="21"/>
      <c r="BW2" s="21"/>
      <c r="BY2" s="21" t="s">
        <v>129</v>
      </c>
      <c r="BZ2" s="21"/>
      <c r="CA2" s="21"/>
      <c r="CB2" s="21"/>
      <c r="CC2" s="21"/>
      <c r="CD2" s="21"/>
      <c r="CF2" s="21" t="s">
        <v>130</v>
      </c>
      <c r="CG2" s="21"/>
      <c r="CH2" s="21"/>
      <c r="CI2" s="21"/>
      <c r="CJ2" s="21"/>
      <c r="CK2" s="21"/>
      <c r="CM2" s="21" t="s">
        <v>131</v>
      </c>
      <c r="CN2" s="21"/>
      <c r="CO2" s="21"/>
      <c r="CP2" s="21"/>
      <c r="CQ2" s="21"/>
      <c r="CR2" s="21"/>
      <c r="CT2" s="21" t="s">
        <v>133</v>
      </c>
      <c r="CU2" s="21"/>
      <c r="CV2" s="21"/>
      <c r="CW2" s="21"/>
      <c r="CX2" s="21"/>
      <c r="CY2" s="21"/>
      <c r="DA2" s="21" t="s">
        <v>132</v>
      </c>
      <c r="DB2" s="21"/>
      <c r="DC2" s="21"/>
      <c r="DD2" s="21"/>
      <c r="DE2" s="21"/>
      <c r="DF2" s="21"/>
      <c r="DH2" s="21" t="s">
        <v>132</v>
      </c>
      <c r="DI2" s="21"/>
      <c r="DJ2" s="21"/>
      <c r="DK2" s="21"/>
      <c r="DL2" s="21"/>
      <c r="DM2" s="21"/>
      <c r="DO2" s="21" t="s">
        <v>132</v>
      </c>
      <c r="DP2" s="21"/>
      <c r="DQ2" s="21"/>
      <c r="DR2" s="21"/>
      <c r="DS2" s="21"/>
      <c r="DT2" s="21"/>
    </row>
    <row r="3" spans="2:124"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row>
    <row r="4" spans="2:124" x14ac:dyDescent="0.2">
      <c r="B4" t="s">
        <v>27</v>
      </c>
      <c r="C4" t="s">
        <v>88</v>
      </c>
      <c r="D4" s="19">
        <v>45342</v>
      </c>
      <c r="E4" s="9">
        <v>6</v>
      </c>
      <c r="G4" s="10">
        <f>+SUM(G5:G8)</f>
        <v>0.25</v>
      </c>
      <c r="I4" s="12">
        <f>+SUM(I5:I8)</f>
        <v>0</v>
      </c>
      <c r="J4" s="11">
        <f>+SUMPRODUCT(G5:G8,J5:J8)</f>
        <v>8.4999999999999992E-2</v>
      </c>
      <c r="K4" s="11">
        <f>+SUMPRODUCT(G5:G8,K5:K8)</f>
        <v>8.4999999999999992E-2</v>
      </c>
      <c r="L4" s="9"/>
      <c r="N4" s="12">
        <f>+SUM(N5:N8)</f>
        <v>0</v>
      </c>
      <c r="U4" s="12">
        <f>+SUM(U5:U8)</f>
        <v>0</v>
      </c>
      <c r="AB4" s="12">
        <f>+SUM(AB5:AB8)</f>
        <v>0</v>
      </c>
      <c r="AI4" s="12">
        <f>+SUM(AI5:AI8)</f>
        <v>0</v>
      </c>
      <c r="AP4" s="12">
        <f>+SUM(AP5:AP8)</f>
        <v>0</v>
      </c>
      <c r="AW4" s="12">
        <f>+SUM(AW5:AW8)</f>
        <v>0</v>
      </c>
      <c r="BD4" s="12">
        <f>+SUM(BD5:BD8)</f>
        <v>0</v>
      </c>
      <c r="BK4" s="12">
        <f>+SUM(BK5:BK8)</f>
        <v>0</v>
      </c>
      <c r="BR4" s="12">
        <f>+SUM(BR5:BR8)</f>
        <v>0</v>
      </c>
      <c r="BY4" s="12">
        <f>+SUM(BY5:BY8)</f>
        <v>0</v>
      </c>
      <c r="CF4" s="12">
        <f>+SUM(CF5:CF8)</f>
        <v>0</v>
      </c>
      <c r="CM4" s="12">
        <f>+SUM(CM5:CM8)</f>
        <v>0</v>
      </c>
      <c r="CT4" s="12">
        <f>+SUM(CT5:CT8)</f>
        <v>0</v>
      </c>
      <c r="DA4" s="12">
        <f>+SUM(DA5:DA8)</f>
        <v>0</v>
      </c>
      <c r="DH4" s="12">
        <f>+SUM(DH5:DH8)</f>
        <v>0</v>
      </c>
      <c r="DO4" s="12">
        <f>+SUM(DO5:DO8)</f>
        <v>0</v>
      </c>
    </row>
    <row r="5" spans="2:124" outlineLevel="1" x14ac:dyDescent="0.2">
      <c r="B5" t="s">
        <v>28</v>
      </c>
      <c r="C5" t="s">
        <v>88</v>
      </c>
      <c r="E5" s="9"/>
      <c r="F5" t="s">
        <v>30</v>
      </c>
      <c r="G5" s="10">
        <v>0.1</v>
      </c>
      <c r="I5" s="9">
        <f t="shared" ref="I5:I13" si="0">+SUMIF($N$3:$YR$3,I$3,$N5:$YR5)</f>
        <v>0</v>
      </c>
      <c r="J5" s="11" cm="1">
        <f t="array" ref="J5">MAX(IF($N$3:$DN$3=$J$3,N5:DN5))</f>
        <v>0.6</v>
      </c>
      <c r="K5" s="11" cm="1">
        <f t="array" ref="K5">MAX(IF($N$3:$DN$3=$J$3,N5:DN5))</f>
        <v>0.6</v>
      </c>
      <c r="L5" s="9"/>
      <c r="O5" s="10">
        <v>0.6</v>
      </c>
      <c r="P5" s="10">
        <v>0.8</v>
      </c>
      <c r="Q5" s="10">
        <v>0.5</v>
      </c>
      <c r="R5" s="10">
        <v>0.8</v>
      </c>
      <c r="V5" s="10"/>
      <c r="W5" s="10">
        <v>0.8</v>
      </c>
      <c r="X5" s="10"/>
      <c r="Y5" s="10">
        <v>0.8</v>
      </c>
      <c r="AC5" s="10"/>
      <c r="AD5" s="10">
        <v>0.8</v>
      </c>
      <c r="AE5" s="10"/>
      <c r="AF5" s="10">
        <v>0.8</v>
      </c>
      <c r="AJ5" s="10"/>
      <c r="AK5" s="10">
        <v>1</v>
      </c>
      <c r="AL5" s="10"/>
      <c r="AM5" s="10">
        <v>1</v>
      </c>
      <c r="AQ5" s="10"/>
      <c r="AR5" s="10">
        <v>1</v>
      </c>
      <c r="AS5" s="10"/>
      <c r="AT5" s="10">
        <v>1</v>
      </c>
      <c r="AX5" s="10"/>
      <c r="AY5" s="10">
        <v>1</v>
      </c>
      <c r="AZ5" s="10"/>
      <c r="BA5" s="10">
        <v>1</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c r="DD5" s="10"/>
      <c r="DE5" s="10"/>
      <c r="DI5" s="10"/>
      <c r="DJ5" s="10"/>
      <c r="DK5" s="10"/>
      <c r="DL5" s="10"/>
      <c r="DP5" s="10"/>
      <c r="DQ5" s="10"/>
      <c r="DR5" s="10"/>
      <c r="DS5" s="10"/>
    </row>
    <row r="6" spans="2:124" outlineLevel="1" x14ac:dyDescent="0.2">
      <c r="B6" t="s">
        <v>28</v>
      </c>
      <c r="C6" t="s">
        <v>88</v>
      </c>
      <c r="E6" s="9"/>
      <c r="F6" t="s">
        <v>143</v>
      </c>
      <c r="G6" s="10">
        <v>0.05</v>
      </c>
      <c r="I6" s="9">
        <f t="shared" si="0"/>
        <v>0</v>
      </c>
      <c r="J6" s="11" cm="1">
        <f t="array" ref="J6">MAX(IF($N$3:$DN$3=$J$3,N6:DN6))</f>
        <v>0.5</v>
      </c>
      <c r="K6" s="11" cm="1">
        <f t="array" ref="K6">MAX(IF($N$3:$DN$3=$J$3,N6:DN6))</f>
        <v>0.5</v>
      </c>
      <c r="L6" s="9"/>
      <c r="O6" s="10">
        <v>0.5</v>
      </c>
      <c r="P6" s="10">
        <v>0.8</v>
      </c>
      <c r="Q6" s="10">
        <v>0.5</v>
      </c>
      <c r="R6" s="10">
        <v>0.8</v>
      </c>
      <c r="V6" s="10"/>
      <c r="W6" s="10">
        <v>0.8</v>
      </c>
      <c r="X6" s="10"/>
      <c r="Y6" s="10">
        <v>0.8</v>
      </c>
      <c r="AC6" s="10"/>
      <c r="AD6" s="10">
        <v>0.8</v>
      </c>
      <c r="AE6" s="10"/>
      <c r="AF6" s="10">
        <v>0.8</v>
      </c>
      <c r="AJ6" s="10"/>
      <c r="AK6" s="10">
        <v>0.8</v>
      </c>
      <c r="AL6" s="10"/>
      <c r="AM6" s="10">
        <v>0.8</v>
      </c>
      <c r="AQ6" s="10"/>
      <c r="AR6" s="10">
        <v>1</v>
      </c>
      <c r="AS6" s="10"/>
      <c r="AT6" s="10">
        <v>1</v>
      </c>
      <c r="AX6" s="10"/>
      <c r="AY6" s="10">
        <v>1</v>
      </c>
      <c r="AZ6" s="10"/>
      <c r="BA6" s="10">
        <v>1</v>
      </c>
      <c r="BE6" s="10"/>
      <c r="BF6" s="10">
        <v>1</v>
      </c>
      <c r="BG6" s="10"/>
      <c r="BH6" s="10">
        <v>1</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c r="DD6" s="10"/>
      <c r="DE6" s="10"/>
      <c r="DI6" s="10"/>
      <c r="DJ6" s="10"/>
      <c r="DK6" s="10"/>
      <c r="DL6" s="10"/>
      <c r="DP6" s="10"/>
      <c r="DQ6" s="10"/>
      <c r="DR6" s="10"/>
      <c r="DS6" s="10"/>
    </row>
    <row r="7" spans="2:124" outlineLevel="1" x14ac:dyDescent="0.2">
      <c r="B7" t="s">
        <v>28</v>
      </c>
      <c r="C7" t="s">
        <v>88</v>
      </c>
      <c r="E7" s="9"/>
      <c r="F7" t="s">
        <v>144</v>
      </c>
      <c r="G7" s="10">
        <v>0.05</v>
      </c>
      <c r="I7" s="9">
        <f t="shared" si="0"/>
        <v>0</v>
      </c>
      <c r="J7" s="11" cm="1">
        <f t="array" ref="J7">MAX(IF($N$3:$DN$3=$J$3,N7:DN7))</f>
        <v>0</v>
      </c>
      <c r="K7" s="11" cm="1">
        <f t="array" ref="K7">MAX(IF($N$3:$DN$3=$J$3,N7:DN7))</f>
        <v>0</v>
      </c>
      <c r="L7" s="9"/>
      <c r="P7" s="10">
        <v>0.5</v>
      </c>
      <c r="Q7" s="10"/>
      <c r="R7" s="10">
        <v>0.5</v>
      </c>
      <c r="V7" s="10"/>
      <c r="W7" s="10">
        <v>0.8</v>
      </c>
      <c r="X7" s="10"/>
      <c r="Y7" s="10">
        <v>0.8</v>
      </c>
      <c r="AC7" s="10"/>
      <c r="AD7" s="10">
        <v>0.8</v>
      </c>
      <c r="AE7" s="10"/>
      <c r="AF7" s="10">
        <v>0.8</v>
      </c>
      <c r="AJ7" s="10"/>
      <c r="AK7" s="10">
        <v>0.8</v>
      </c>
      <c r="AL7" s="10"/>
      <c r="AM7" s="10">
        <v>0.8</v>
      </c>
      <c r="AQ7" s="10"/>
      <c r="AR7" s="10">
        <v>0.8</v>
      </c>
      <c r="AS7" s="10"/>
      <c r="AT7" s="10">
        <v>0.8</v>
      </c>
      <c r="AX7" s="10"/>
      <c r="AY7" s="10">
        <v>0.8</v>
      </c>
      <c r="AZ7" s="10"/>
      <c r="BA7" s="10">
        <v>0.8</v>
      </c>
      <c r="BE7" s="10"/>
      <c r="BF7" s="10">
        <v>1</v>
      </c>
      <c r="BG7" s="10"/>
      <c r="BH7" s="10">
        <v>1</v>
      </c>
      <c r="BL7" s="10"/>
      <c r="BM7" s="10">
        <v>1</v>
      </c>
      <c r="BN7" s="10"/>
      <c r="BO7" s="10">
        <v>1</v>
      </c>
      <c r="BS7" s="10"/>
      <c r="BT7" s="10">
        <v>1</v>
      </c>
      <c r="BU7" s="10"/>
      <c r="BV7" s="10">
        <v>1</v>
      </c>
      <c r="BZ7" s="10"/>
      <c r="CA7" s="10">
        <v>1</v>
      </c>
      <c r="CB7" s="10"/>
      <c r="CC7" s="10">
        <v>1</v>
      </c>
      <c r="CG7" s="10"/>
      <c r="CH7" s="10">
        <v>1</v>
      </c>
      <c r="CI7" s="10"/>
      <c r="CJ7" s="10">
        <v>1</v>
      </c>
      <c r="CN7" s="10"/>
      <c r="CO7" s="10">
        <v>1</v>
      </c>
      <c r="CP7" s="10"/>
      <c r="CQ7" s="10">
        <v>1</v>
      </c>
      <c r="CU7" s="10"/>
      <c r="CV7" s="10">
        <v>1</v>
      </c>
      <c r="CW7" s="10"/>
      <c r="CX7" s="10">
        <v>1</v>
      </c>
      <c r="DB7" s="10"/>
      <c r="DC7" s="10"/>
      <c r="DD7" s="10"/>
      <c r="DE7" s="10"/>
      <c r="DI7" s="10"/>
      <c r="DJ7" s="10"/>
      <c r="DK7" s="10"/>
      <c r="DL7" s="10"/>
      <c r="DP7" s="10"/>
      <c r="DQ7" s="10"/>
      <c r="DR7" s="10"/>
      <c r="DS7" s="10"/>
    </row>
    <row r="8" spans="2:124" outlineLevel="1" x14ac:dyDescent="0.2">
      <c r="B8" t="s">
        <v>28</v>
      </c>
      <c r="C8" t="s">
        <v>88</v>
      </c>
      <c r="E8" s="9"/>
      <c r="F8" t="s">
        <v>145</v>
      </c>
      <c r="G8" s="10">
        <v>0.05</v>
      </c>
      <c r="I8" s="9">
        <f t="shared" si="0"/>
        <v>0</v>
      </c>
      <c r="J8" s="11" cm="1">
        <f t="array" ref="J8">MAX(IF($N$3:$DN$3=$J$3,N8:DN8))</f>
        <v>0</v>
      </c>
      <c r="K8" s="11" cm="1">
        <f t="array" ref="K8">MAX(IF($N$3:$DN$3=$J$3,N8:DN8))</f>
        <v>0</v>
      </c>
      <c r="L8" s="9"/>
      <c r="O8" s="10"/>
      <c r="P8" s="10"/>
      <c r="Q8" s="10"/>
      <c r="R8" s="10"/>
      <c r="V8" s="10"/>
      <c r="W8" s="10">
        <v>0.5</v>
      </c>
      <c r="X8" s="10"/>
      <c r="Y8" s="10">
        <v>0.5</v>
      </c>
      <c r="AC8" s="10"/>
      <c r="AD8" s="10">
        <v>0.8</v>
      </c>
      <c r="AE8" s="10"/>
      <c r="AF8" s="10">
        <v>0.8</v>
      </c>
      <c r="AJ8" s="10"/>
      <c r="AK8" s="10">
        <v>0.8</v>
      </c>
      <c r="AL8" s="10"/>
      <c r="AM8" s="10">
        <v>0.8</v>
      </c>
      <c r="AQ8" s="10"/>
      <c r="AR8" s="10">
        <v>0.8</v>
      </c>
      <c r="AS8" s="10"/>
      <c r="AT8" s="10">
        <v>0.8</v>
      </c>
      <c r="AX8" s="10"/>
      <c r="AY8" s="10">
        <v>0.8</v>
      </c>
      <c r="AZ8" s="10"/>
      <c r="BA8" s="10">
        <v>0.8</v>
      </c>
      <c r="BE8" s="10"/>
      <c r="BF8" s="10">
        <v>0.8</v>
      </c>
      <c r="BG8" s="10"/>
      <c r="BH8" s="10">
        <v>0.8</v>
      </c>
      <c r="BL8" s="10"/>
      <c r="BM8" s="10">
        <v>1</v>
      </c>
      <c r="BN8" s="10"/>
      <c r="BO8" s="10">
        <v>1</v>
      </c>
      <c r="BS8" s="10"/>
      <c r="BT8" s="10">
        <v>1</v>
      </c>
      <c r="BU8" s="10"/>
      <c r="BV8" s="10">
        <v>1</v>
      </c>
      <c r="BZ8" s="10"/>
      <c r="CA8" s="10">
        <v>1</v>
      </c>
      <c r="CB8" s="10"/>
      <c r="CC8" s="10">
        <v>1</v>
      </c>
      <c r="CG8" s="10"/>
      <c r="CH8" s="10">
        <v>1</v>
      </c>
      <c r="CI8" s="10"/>
      <c r="CJ8" s="10">
        <v>1</v>
      </c>
      <c r="CN8" s="10"/>
      <c r="CO8" s="10">
        <v>1</v>
      </c>
      <c r="CP8" s="10"/>
      <c r="CQ8" s="10">
        <v>1</v>
      </c>
      <c r="CU8" s="10"/>
      <c r="CV8" s="10">
        <v>1</v>
      </c>
      <c r="CW8" s="10"/>
      <c r="CX8" s="10">
        <v>1</v>
      </c>
      <c r="DB8" s="10"/>
      <c r="DC8" s="10"/>
      <c r="DD8" s="10"/>
      <c r="DE8" s="10"/>
      <c r="DI8" s="10"/>
      <c r="DJ8" s="10"/>
      <c r="DK8" s="10"/>
      <c r="DL8" s="10"/>
      <c r="DP8" s="10"/>
      <c r="DQ8" s="10"/>
      <c r="DR8" s="10"/>
      <c r="DS8" s="10"/>
    </row>
    <row r="9" spans="2:124" outlineLevel="1" x14ac:dyDescent="0.2">
      <c r="B9" t="s">
        <v>28</v>
      </c>
      <c r="C9" t="s">
        <v>88</v>
      </c>
      <c r="E9" s="9"/>
      <c r="F9" t="s">
        <v>146</v>
      </c>
      <c r="G9" s="10">
        <v>0.05</v>
      </c>
      <c r="I9" s="9">
        <f t="shared" si="0"/>
        <v>0</v>
      </c>
      <c r="J9" s="11" cm="1">
        <f t="array" ref="J9">MAX(IF($N$3:$DN$3=$J$3,N9:DN9))</f>
        <v>0</v>
      </c>
      <c r="K9" s="11" cm="1">
        <f t="array" ref="K9">MAX(IF($N$3:$DN$3=$J$3,N9:DN9))</f>
        <v>0</v>
      </c>
      <c r="L9" s="9"/>
      <c r="O9" s="10"/>
      <c r="P9" s="10"/>
      <c r="Q9" s="10"/>
      <c r="R9" s="10"/>
      <c r="V9" s="10"/>
      <c r="W9" s="10"/>
      <c r="X9" s="10"/>
      <c r="Y9" s="10"/>
      <c r="AC9" s="10"/>
      <c r="AD9" s="10">
        <v>0.5</v>
      </c>
      <c r="AE9" s="10"/>
      <c r="AF9" s="10">
        <v>0.5</v>
      </c>
      <c r="AJ9" s="10"/>
      <c r="AK9" s="10">
        <v>0.8</v>
      </c>
      <c r="AL9" s="10"/>
      <c r="AM9" s="10">
        <v>0.8</v>
      </c>
      <c r="AQ9" s="10"/>
      <c r="AR9" s="10">
        <v>0.8</v>
      </c>
      <c r="AS9" s="10"/>
      <c r="AT9" s="10">
        <v>0.8</v>
      </c>
      <c r="AX9" s="10"/>
      <c r="AY9" s="10">
        <v>0.8</v>
      </c>
      <c r="AZ9" s="10"/>
      <c r="BA9" s="10">
        <v>0.8</v>
      </c>
      <c r="BE9" s="10"/>
      <c r="BF9" s="10">
        <v>0.8</v>
      </c>
      <c r="BG9" s="10"/>
      <c r="BH9" s="10">
        <v>0.8</v>
      </c>
      <c r="BL9" s="10"/>
      <c r="BM9" s="10">
        <v>0.8</v>
      </c>
      <c r="BN9" s="10"/>
      <c r="BO9" s="10">
        <v>0.8</v>
      </c>
      <c r="BS9" s="10"/>
      <c r="BT9" s="10">
        <v>1</v>
      </c>
      <c r="BU9" s="10"/>
      <c r="BV9" s="10">
        <v>1</v>
      </c>
      <c r="BZ9" s="10"/>
      <c r="CA9" s="10">
        <v>1</v>
      </c>
      <c r="CB9" s="10"/>
      <c r="CC9" s="10">
        <v>1</v>
      </c>
      <c r="CG9" s="10"/>
      <c r="CH9" s="10">
        <v>1</v>
      </c>
      <c r="CI9" s="10"/>
      <c r="CJ9" s="10">
        <v>1</v>
      </c>
      <c r="CN9" s="10"/>
      <c r="CO9" s="10">
        <v>1</v>
      </c>
      <c r="CP9" s="10"/>
      <c r="CQ9" s="10">
        <v>1</v>
      </c>
      <c r="CU9" s="10"/>
      <c r="CV9" s="10">
        <v>1</v>
      </c>
      <c r="CW9" s="10"/>
      <c r="CX9" s="10">
        <v>1</v>
      </c>
      <c r="DB9" s="10"/>
      <c r="DC9" s="10"/>
      <c r="DD9" s="10"/>
      <c r="DE9" s="10"/>
      <c r="DI9" s="10"/>
      <c r="DJ9" s="10"/>
      <c r="DK9" s="10"/>
      <c r="DL9" s="10"/>
      <c r="DP9" s="10"/>
      <c r="DQ9" s="10"/>
      <c r="DR9" s="10"/>
      <c r="DS9" s="10"/>
    </row>
    <row r="10" spans="2:124" outlineLevel="1" x14ac:dyDescent="0.2">
      <c r="B10" t="s">
        <v>28</v>
      </c>
      <c r="C10" t="s">
        <v>88</v>
      </c>
      <c r="E10" s="9"/>
      <c r="F10" t="s">
        <v>147</v>
      </c>
      <c r="G10" s="10">
        <v>0.05</v>
      </c>
      <c r="I10" s="9">
        <f t="shared" si="0"/>
        <v>0</v>
      </c>
      <c r="J10" s="11" cm="1">
        <f t="array" ref="J10">MAX(IF($N$3:$DN$3=$J$3,N10:DN10))</f>
        <v>0</v>
      </c>
      <c r="K10" s="11" cm="1">
        <f t="array" ref="K10">MAX(IF($N$3:$DN$3=$J$3,N10:DN10))</f>
        <v>0</v>
      </c>
      <c r="L10" s="9"/>
      <c r="O10" s="10"/>
      <c r="P10" s="10"/>
      <c r="Q10" s="10"/>
      <c r="R10" s="10"/>
      <c r="V10" s="10"/>
      <c r="W10" s="10"/>
      <c r="X10" s="10"/>
      <c r="Y10" s="10"/>
      <c r="AC10" s="10"/>
      <c r="AD10" s="10"/>
      <c r="AE10" s="10"/>
      <c r="AF10" s="10"/>
      <c r="AJ10" s="10"/>
      <c r="AK10" s="10">
        <v>0.5</v>
      </c>
      <c r="AL10" s="10"/>
      <c r="AM10" s="10">
        <v>0.5</v>
      </c>
      <c r="AQ10" s="10"/>
      <c r="AR10" s="10">
        <v>0.5</v>
      </c>
      <c r="AS10" s="10"/>
      <c r="AT10" s="10">
        <v>0.5</v>
      </c>
      <c r="AX10" s="10"/>
      <c r="AY10" s="10">
        <v>0.5</v>
      </c>
      <c r="AZ10" s="10"/>
      <c r="BA10" s="10">
        <v>0.5</v>
      </c>
      <c r="BE10" s="10"/>
      <c r="BF10" s="10">
        <v>0.8</v>
      </c>
      <c r="BG10" s="10"/>
      <c r="BH10" s="10">
        <v>0.8</v>
      </c>
      <c r="BL10" s="10"/>
      <c r="BM10" s="10">
        <v>0.8</v>
      </c>
      <c r="BN10" s="10"/>
      <c r="BO10" s="10">
        <v>0.8</v>
      </c>
      <c r="BS10" s="10"/>
      <c r="BT10" s="10">
        <v>0.8</v>
      </c>
      <c r="BU10" s="10"/>
      <c r="BV10" s="10">
        <v>0.8</v>
      </c>
      <c r="BZ10" s="10"/>
      <c r="CA10" s="10">
        <v>1</v>
      </c>
      <c r="CB10" s="10"/>
      <c r="CC10" s="10">
        <v>1</v>
      </c>
      <c r="CG10" s="10"/>
      <c r="CH10" s="10">
        <v>1</v>
      </c>
      <c r="CI10" s="10"/>
      <c r="CJ10" s="10">
        <v>1</v>
      </c>
      <c r="CN10" s="10"/>
      <c r="CO10" s="10">
        <v>1</v>
      </c>
      <c r="CP10" s="10"/>
      <c r="CQ10" s="10">
        <v>1</v>
      </c>
      <c r="CU10" s="10"/>
      <c r="CV10" s="10">
        <v>1</v>
      </c>
      <c r="CW10" s="10"/>
      <c r="CX10" s="10">
        <v>1</v>
      </c>
      <c r="DB10" s="10"/>
      <c r="DC10" s="10"/>
      <c r="DD10" s="10"/>
      <c r="DE10" s="10"/>
      <c r="DI10" s="10"/>
      <c r="DJ10" s="10"/>
      <c r="DK10" s="10"/>
      <c r="DL10" s="10"/>
      <c r="DP10" s="10"/>
      <c r="DQ10" s="10"/>
      <c r="DR10" s="10"/>
      <c r="DS10" s="10"/>
    </row>
    <row r="11" spans="2:124" outlineLevel="1" x14ac:dyDescent="0.2">
      <c r="B11" t="s">
        <v>28</v>
      </c>
      <c r="C11" t="s">
        <v>88</v>
      </c>
      <c r="E11" s="9"/>
      <c r="F11" t="s">
        <v>148</v>
      </c>
      <c r="G11" s="10">
        <v>0.05</v>
      </c>
      <c r="I11" s="9">
        <f t="shared" si="0"/>
        <v>0</v>
      </c>
      <c r="J11" s="11" cm="1">
        <f t="array" ref="J11">MAX(IF($N$3:$DN$3=$J$3,N11:DN11))</f>
        <v>0</v>
      </c>
      <c r="K11" s="11" cm="1">
        <f t="array" ref="K11">MAX(IF($N$3:$DN$3=$J$3,N11:DN11))</f>
        <v>0</v>
      </c>
      <c r="L11" s="9"/>
      <c r="O11" s="10"/>
      <c r="P11" s="10"/>
      <c r="Q11" s="10"/>
      <c r="R11" s="10"/>
      <c r="V11" s="10"/>
      <c r="W11" s="10"/>
      <c r="X11" s="10"/>
      <c r="Y11" s="10"/>
      <c r="AC11" s="10"/>
      <c r="AD11" s="10"/>
      <c r="AE11" s="10"/>
      <c r="AF11" s="10"/>
      <c r="AJ11" s="10"/>
      <c r="AK11" s="10"/>
      <c r="AL11" s="10"/>
      <c r="AM11" s="10"/>
      <c r="AQ11" s="10"/>
      <c r="AR11" s="10">
        <v>0.5</v>
      </c>
      <c r="AS11" s="10"/>
      <c r="AT11" s="10">
        <v>0.5</v>
      </c>
      <c r="AX11" s="10"/>
      <c r="AY11" s="10">
        <v>0.5</v>
      </c>
      <c r="AZ11" s="10"/>
      <c r="BA11" s="10">
        <v>0.5</v>
      </c>
      <c r="BE11" s="10"/>
      <c r="BF11" s="10">
        <v>0.5</v>
      </c>
      <c r="BG11" s="10"/>
      <c r="BH11" s="10">
        <v>0.5</v>
      </c>
      <c r="BL11" s="10"/>
      <c r="BM11" s="10">
        <v>0.8</v>
      </c>
      <c r="BN11" s="10"/>
      <c r="BO11" s="10">
        <v>0.8</v>
      </c>
      <c r="BS11" s="10"/>
      <c r="BT11" s="10">
        <v>0.8</v>
      </c>
      <c r="BU11" s="10"/>
      <c r="BV11" s="10">
        <v>0.8</v>
      </c>
      <c r="BZ11" s="10"/>
      <c r="CA11" s="10">
        <v>1</v>
      </c>
      <c r="CB11" s="10"/>
      <c r="CC11" s="10">
        <v>1</v>
      </c>
      <c r="CG11" s="10"/>
      <c r="CH11" s="10">
        <v>1</v>
      </c>
      <c r="CI11" s="10"/>
      <c r="CJ11" s="10">
        <v>1</v>
      </c>
      <c r="CN11" s="10"/>
      <c r="CO11" s="10">
        <v>1</v>
      </c>
      <c r="CP11" s="10"/>
      <c r="CQ11" s="10">
        <v>1</v>
      </c>
      <c r="CU11" s="10"/>
      <c r="CV11" s="10">
        <v>1</v>
      </c>
      <c r="CW11" s="10"/>
      <c r="CX11" s="10">
        <v>1</v>
      </c>
      <c r="DB11" s="10"/>
      <c r="DC11" s="10"/>
      <c r="DD11" s="10"/>
      <c r="DE11" s="10"/>
      <c r="DI11" s="10"/>
      <c r="DJ11" s="10"/>
      <c r="DK11" s="10"/>
      <c r="DL11" s="10"/>
      <c r="DP11" s="10"/>
      <c r="DQ11" s="10"/>
      <c r="DR11" s="10"/>
      <c r="DS11" s="10"/>
    </row>
    <row r="12" spans="2:124" outlineLevel="1" x14ac:dyDescent="0.2">
      <c r="B12" t="s">
        <v>28</v>
      </c>
      <c r="C12" t="s">
        <v>88</v>
      </c>
      <c r="E12" s="9"/>
      <c r="F12" t="s">
        <v>149</v>
      </c>
      <c r="G12" s="10">
        <v>0.05</v>
      </c>
      <c r="I12" s="9">
        <f t="shared" si="0"/>
        <v>0</v>
      </c>
      <c r="J12" s="11" cm="1">
        <f t="array" ref="J12">MAX(IF($N$3:$DN$3=$J$3,N12:DN12))</f>
        <v>0</v>
      </c>
      <c r="K12" s="11" cm="1">
        <f t="array" ref="K12">MAX(IF($N$3:$DN$3=$J$3,N12:DN12))</f>
        <v>0</v>
      </c>
      <c r="L12" s="9"/>
      <c r="O12" s="10"/>
      <c r="P12" s="10"/>
      <c r="Q12" s="10"/>
      <c r="R12" s="10"/>
      <c r="V12" s="10"/>
      <c r="W12" s="10"/>
      <c r="X12" s="10"/>
      <c r="Y12" s="10"/>
      <c r="AC12" s="10"/>
      <c r="AD12" s="10"/>
      <c r="AE12" s="10"/>
      <c r="AF12" s="10"/>
      <c r="AJ12" s="10"/>
      <c r="AK12" s="10"/>
      <c r="AL12" s="10"/>
      <c r="AM12" s="10"/>
      <c r="AQ12" s="10"/>
      <c r="AR12" s="10"/>
      <c r="AS12" s="10"/>
      <c r="AT12" s="10"/>
      <c r="AX12" s="10"/>
      <c r="AY12" s="10">
        <v>0.5</v>
      </c>
      <c r="AZ12" s="10"/>
      <c r="BA12" s="10">
        <v>0.5</v>
      </c>
      <c r="BE12" s="10"/>
      <c r="BF12" s="10">
        <v>0.5</v>
      </c>
      <c r="BG12" s="10"/>
      <c r="BH12" s="10">
        <v>0.5</v>
      </c>
      <c r="BL12" s="10"/>
      <c r="BM12" s="10">
        <v>0.5</v>
      </c>
      <c r="BN12" s="10"/>
      <c r="BO12" s="10">
        <v>0.5</v>
      </c>
      <c r="BS12" s="10"/>
      <c r="BT12" s="10">
        <v>0.8</v>
      </c>
      <c r="BU12" s="10"/>
      <c r="BV12" s="10">
        <v>0.8</v>
      </c>
      <c r="BZ12" s="10"/>
      <c r="CA12" s="10">
        <v>0.8</v>
      </c>
      <c r="CB12" s="10"/>
      <c r="CC12" s="10">
        <v>0.8</v>
      </c>
      <c r="CG12" s="10"/>
      <c r="CH12" s="10">
        <v>1</v>
      </c>
      <c r="CI12" s="10"/>
      <c r="CJ12" s="10">
        <v>1</v>
      </c>
      <c r="CN12" s="10"/>
      <c r="CO12" s="10">
        <v>1</v>
      </c>
      <c r="CP12" s="10"/>
      <c r="CQ12" s="10">
        <v>1</v>
      </c>
      <c r="CU12" s="10"/>
      <c r="CV12" s="10">
        <v>1</v>
      </c>
      <c r="CW12" s="10"/>
      <c r="CX12" s="10">
        <v>1</v>
      </c>
      <c r="DB12" s="10"/>
      <c r="DC12" s="10"/>
      <c r="DD12" s="10"/>
      <c r="DE12" s="10"/>
      <c r="DI12" s="10"/>
      <c r="DJ12" s="10"/>
      <c r="DK12" s="10"/>
      <c r="DL12" s="10"/>
      <c r="DP12" s="10"/>
      <c r="DQ12" s="10"/>
      <c r="DR12" s="10"/>
      <c r="DS12" s="10"/>
    </row>
    <row r="13" spans="2:124" outlineLevel="1" x14ac:dyDescent="0.2">
      <c r="B13" t="s">
        <v>28</v>
      </c>
      <c r="C13" t="s">
        <v>88</v>
      </c>
      <c r="E13" s="9"/>
      <c r="F13" t="s">
        <v>150</v>
      </c>
      <c r="G13" s="10">
        <v>0.05</v>
      </c>
      <c r="I13" s="9">
        <f t="shared" si="0"/>
        <v>0</v>
      </c>
      <c r="J13" s="11" cm="1">
        <f t="array" ref="J13">MAX(IF($N$3:$DN$3=$J$3,N13:DN13))</f>
        <v>0</v>
      </c>
      <c r="K13" s="11" cm="1">
        <f t="array" ref="K13">MAX(IF($N$3:$DN$3=$J$3,N13:DN13))</f>
        <v>0</v>
      </c>
      <c r="L13" s="9"/>
      <c r="O13" s="10"/>
      <c r="P13" s="10"/>
      <c r="Q13" s="10"/>
      <c r="R13" s="10"/>
      <c r="V13" s="10"/>
      <c r="W13" s="10"/>
      <c r="X13" s="10"/>
      <c r="Y13" s="10"/>
      <c r="AC13" s="10"/>
      <c r="AD13" s="10"/>
      <c r="AE13" s="10"/>
      <c r="AF13" s="10"/>
      <c r="AJ13" s="10"/>
      <c r="AK13" s="10"/>
      <c r="AL13" s="10"/>
      <c r="AM13" s="10"/>
      <c r="AQ13" s="10"/>
      <c r="AR13" s="10"/>
      <c r="AS13" s="10"/>
      <c r="AT13" s="10"/>
      <c r="AX13" s="10"/>
      <c r="AY13" s="10"/>
      <c r="AZ13" s="10"/>
      <c r="BA13" s="10"/>
      <c r="BE13" s="10"/>
      <c r="BF13" s="10">
        <v>0.5</v>
      </c>
      <c r="BG13" s="10"/>
      <c r="BH13" s="10">
        <v>0.5</v>
      </c>
      <c r="BL13" s="10"/>
      <c r="BM13" s="10">
        <v>0.5</v>
      </c>
      <c r="BN13" s="10"/>
      <c r="BO13" s="10">
        <v>0.5</v>
      </c>
      <c r="BS13" s="10"/>
      <c r="BT13" s="10">
        <v>0.8</v>
      </c>
      <c r="BU13" s="10"/>
      <c r="BV13" s="10">
        <v>0.8</v>
      </c>
      <c r="BZ13" s="10"/>
      <c r="CA13" s="10">
        <v>0.8</v>
      </c>
      <c r="CB13" s="10"/>
      <c r="CC13" s="10">
        <v>0.8</v>
      </c>
      <c r="CG13" s="10"/>
      <c r="CH13" s="10">
        <v>1</v>
      </c>
      <c r="CI13" s="10"/>
      <c r="CJ13" s="10">
        <v>1</v>
      </c>
      <c r="CN13" s="10"/>
      <c r="CO13" s="10">
        <v>1</v>
      </c>
      <c r="CP13" s="10"/>
      <c r="CQ13" s="10">
        <v>1</v>
      </c>
      <c r="CU13" s="10"/>
      <c r="CV13" s="10">
        <v>1</v>
      </c>
      <c r="CW13" s="10"/>
      <c r="CX13" s="10">
        <v>1</v>
      </c>
      <c r="DB13" s="10"/>
      <c r="DC13" s="10"/>
      <c r="DD13" s="10"/>
      <c r="DE13" s="10"/>
      <c r="DI13" s="10"/>
      <c r="DJ13" s="10"/>
      <c r="DK13" s="10"/>
      <c r="DL13" s="10"/>
      <c r="DP13" s="10"/>
      <c r="DQ13" s="10"/>
      <c r="DR13" s="10"/>
      <c r="DS13" s="10"/>
    </row>
    <row r="15" spans="2:124" outlineLevel="1" x14ac:dyDescent="0.2">
      <c r="B15" t="s">
        <v>28</v>
      </c>
      <c r="C15" t="s">
        <v>89</v>
      </c>
      <c r="E15" s="9"/>
      <c r="F15" t="s">
        <v>151</v>
      </c>
      <c r="G15" s="10">
        <v>0.15</v>
      </c>
      <c r="I15" s="9">
        <f t="shared" ref="I15:I24" si="1">+SUMIF($N$3:$YR$3,I$3,$N15:$YR15)</f>
        <v>0</v>
      </c>
      <c r="J15" s="11" cm="1">
        <f t="array" ref="J15">MAX(IF($N$3:$DN$3=$J$3,N15:DN15))</f>
        <v>0.5</v>
      </c>
      <c r="K15" s="11" cm="1">
        <f t="array" ref="K15">MAX(IF($N$3:$DN$3=$J$3,N15:DN15))</f>
        <v>0.5</v>
      </c>
      <c r="L15" s="9"/>
      <c r="O15" s="10">
        <v>0.5</v>
      </c>
      <c r="P15" s="10"/>
      <c r="Q15" s="10">
        <v>0.5</v>
      </c>
      <c r="R15" s="10"/>
      <c r="V15" s="10"/>
      <c r="W15" s="10">
        <v>0.8</v>
      </c>
      <c r="X15" s="10"/>
      <c r="Y15" s="10">
        <v>0.8</v>
      </c>
      <c r="AC15" s="10"/>
      <c r="AD15" s="10">
        <v>0.8</v>
      </c>
      <c r="AE15" s="10"/>
      <c r="AF15" s="10">
        <v>0.8</v>
      </c>
      <c r="AJ15" s="10"/>
      <c r="AK15" s="10">
        <v>0.8</v>
      </c>
      <c r="AL15" s="10"/>
      <c r="AM15" s="10">
        <v>0.8</v>
      </c>
      <c r="AQ15" s="10"/>
      <c r="AR15" s="10">
        <v>0.8</v>
      </c>
      <c r="AS15" s="10"/>
      <c r="AT15" s="10">
        <v>0.8</v>
      </c>
      <c r="AX15" s="10"/>
      <c r="AY15" s="10">
        <v>1</v>
      </c>
      <c r="AZ15" s="10"/>
      <c r="BA15" s="10">
        <v>1</v>
      </c>
      <c r="BE15" s="10"/>
      <c r="BF15" s="10">
        <v>1</v>
      </c>
      <c r="BG15" s="10"/>
      <c r="BH15" s="10">
        <v>1</v>
      </c>
      <c r="BL15" s="10"/>
      <c r="BM15" s="10">
        <v>1</v>
      </c>
      <c r="BN15" s="10"/>
      <c r="BO15" s="10">
        <v>1</v>
      </c>
      <c r="BS15" s="10"/>
      <c r="BT15" s="10">
        <v>1</v>
      </c>
      <c r="BU15" s="10"/>
      <c r="BV15" s="10">
        <v>1</v>
      </c>
      <c r="BZ15" s="10"/>
      <c r="CA15" s="10">
        <v>1</v>
      </c>
      <c r="CB15" s="10"/>
      <c r="CC15" s="10">
        <v>1</v>
      </c>
      <c r="CG15" s="10"/>
      <c r="CH15" s="10">
        <v>1</v>
      </c>
      <c r="CI15" s="10"/>
      <c r="CJ15" s="10">
        <v>1</v>
      </c>
      <c r="CN15" s="10"/>
      <c r="CO15" s="10">
        <v>1</v>
      </c>
      <c r="CP15" s="10"/>
      <c r="CQ15" s="10">
        <v>1</v>
      </c>
      <c r="CU15" s="10"/>
      <c r="CV15" s="10">
        <v>1</v>
      </c>
      <c r="CW15" s="10"/>
      <c r="CX15" s="10">
        <v>1</v>
      </c>
      <c r="DB15" s="10"/>
      <c r="DC15" s="10"/>
      <c r="DD15" s="10"/>
      <c r="DE15" s="10"/>
      <c r="DI15" s="10"/>
      <c r="DJ15" s="10"/>
      <c r="DK15" s="10"/>
      <c r="DL15" s="10"/>
      <c r="DP15" s="10"/>
      <c r="DQ15" s="10"/>
      <c r="DR15" s="10"/>
      <c r="DS15" s="10"/>
    </row>
    <row r="16" spans="2:124" outlineLevel="1" x14ac:dyDescent="0.2">
      <c r="B16" t="s">
        <v>28</v>
      </c>
      <c r="C16" t="s">
        <v>89</v>
      </c>
      <c r="E16" s="9"/>
      <c r="F16" t="s">
        <v>152</v>
      </c>
      <c r="G16" s="10">
        <v>0.15</v>
      </c>
      <c r="I16" s="9">
        <f t="shared" si="1"/>
        <v>0</v>
      </c>
      <c r="J16" s="11" cm="1">
        <f t="array" ref="J16">MAX(IF($N$3:$DN$3=$J$3,N16:DN16))</f>
        <v>0.5</v>
      </c>
      <c r="K16" s="11" cm="1">
        <f t="array" ref="K16">MAX(IF($N$3:$DN$3=$J$3,N16:DN16))</f>
        <v>0.5</v>
      </c>
      <c r="L16" s="9"/>
      <c r="O16" s="10">
        <v>0.5</v>
      </c>
      <c r="P16" s="10"/>
      <c r="Q16" s="10">
        <v>0.5</v>
      </c>
      <c r="R16" s="10"/>
      <c r="V16" s="10"/>
      <c r="W16" s="10">
        <v>0.8</v>
      </c>
      <c r="X16" s="10"/>
      <c r="Y16" s="10">
        <v>0.8</v>
      </c>
      <c r="AC16" s="10"/>
      <c r="AD16" s="10">
        <v>0.8</v>
      </c>
      <c r="AE16" s="10"/>
      <c r="AF16" s="10">
        <v>0.8</v>
      </c>
      <c r="AJ16" s="10"/>
      <c r="AK16" s="10">
        <v>0.8</v>
      </c>
      <c r="AL16" s="10"/>
      <c r="AM16" s="10">
        <v>0.8</v>
      </c>
      <c r="AQ16" s="10"/>
      <c r="AR16" s="10">
        <v>0.8</v>
      </c>
      <c r="AS16" s="10"/>
      <c r="AT16" s="10">
        <v>0.8</v>
      </c>
      <c r="AX16" s="10"/>
      <c r="AY16" s="10">
        <v>0.8</v>
      </c>
      <c r="AZ16" s="10"/>
      <c r="BA16" s="10">
        <v>0.8</v>
      </c>
      <c r="BE16" s="10"/>
      <c r="BF16" s="10">
        <v>0.8</v>
      </c>
      <c r="BG16" s="10"/>
      <c r="BH16" s="10">
        <v>0.8</v>
      </c>
      <c r="BL16" s="10"/>
      <c r="BM16" s="10">
        <v>1</v>
      </c>
      <c r="BN16" s="10"/>
      <c r="BO16" s="10">
        <v>1</v>
      </c>
      <c r="BS16" s="10"/>
      <c r="BT16" s="10">
        <v>1</v>
      </c>
      <c r="BU16" s="10"/>
      <c r="BV16" s="10">
        <v>1</v>
      </c>
      <c r="BZ16" s="10"/>
      <c r="CA16" s="10">
        <v>1</v>
      </c>
      <c r="CB16" s="10"/>
      <c r="CC16" s="10">
        <v>1</v>
      </c>
      <c r="CG16" s="10"/>
      <c r="CH16" s="10">
        <v>1</v>
      </c>
      <c r="CI16" s="10"/>
      <c r="CJ16" s="10">
        <v>1</v>
      </c>
      <c r="CN16" s="10"/>
      <c r="CO16" s="10">
        <v>1</v>
      </c>
      <c r="CP16" s="10"/>
      <c r="CQ16" s="10">
        <v>1</v>
      </c>
      <c r="CU16" s="10"/>
      <c r="CV16" s="10">
        <v>1</v>
      </c>
      <c r="CW16" s="10"/>
      <c r="CX16" s="10">
        <v>1</v>
      </c>
      <c r="DB16" s="10"/>
      <c r="DC16" s="10"/>
      <c r="DD16" s="10"/>
      <c r="DE16" s="10"/>
      <c r="DI16" s="10"/>
      <c r="DJ16" s="10"/>
      <c r="DK16" s="10"/>
      <c r="DL16" s="10"/>
      <c r="DP16" s="10"/>
      <c r="DQ16" s="10"/>
      <c r="DR16" s="10"/>
      <c r="DS16" s="10"/>
    </row>
    <row r="17" spans="2:123" outlineLevel="1" x14ac:dyDescent="0.2">
      <c r="B17" t="s">
        <v>28</v>
      </c>
      <c r="C17" t="s">
        <v>89</v>
      </c>
      <c r="E17" s="9"/>
      <c r="F17" t="s">
        <v>153</v>
      </c>
      <c r="G17" s="10">
        <v>0.15</v>
      </c>
      <c r="I17" s="9">
        <f t="shared" si="1"/>
        <v>0</v>
      </c>
      <c r="J17" s="11" cm="1">
        <f t="array" ref="J17">MAX(IF($N$3:$DN$3=$J$3,N17:DN17))</f>
        <v>0.5</v>
      </c>
      <c r="K17" s="11" cm="1">
        <f t="array" ref="K17">MAX(IF($N$3:$DN$3=$J$3,N17:DN17))</f>
        <v>0.5</v>
      </c>
      <c r="L17" s="9"/>
      <c r="O17" s="10">
        <v>0.5</v>
      </c>
      <c r="P17" s="10"/>
      <c r="Q17" s="10">
        <v>0.5</v>
      </c>
      <c r="R17" s="10"/>
      <c r="V17" s="10"/>
      <c r="W17" s="10">
        <v>0.5</v>
      </c>
      <c r="X17" s="10"/>
      <c r="Y17" s="10">
        <v>0.5</v>
      </c>
      <c r="AC17" s="10"/>
      <c r="AD17" s="10">
        <v>0.5</v>
      </c>
      <c r="AE17" s="10"/>
      <c r="AF17" s="10">
        <v>0.5</v>
      </c>
      <c r="AJ17" s="10"/>
      <c r="AK17" s="10">
        <v>0.8</v>
      </c>
      <c r="AL17" s="10"/>
      <c r="AM17" s="10">
        <v>0.8</v>
      </c>
      <c r="AQ17" s="10"/>
      <c r="AR17" s="10">
        <v>0.8</v>
      </c>
      <c r="AS17" s="10"/>
      <c r="AT17" s="10">
        <v>0.8</v>
      </c>
      <c r="AX17" s="10"/>
      <c r="AY17" s="10">
        <v>0.8</v>
      </c>
      <c r="AZ17" s="10"/>
      <c r="BA17" s="10">
        <v>0.8</v>
      </c>
      <c r="BE17" s="10"/>
      <c r="BF17" s="10">
        <v>0.8</v>
      </c>
      <c r="BG17" s="10"/>
      <c r="BH17" s="10">
        <v>0.8</v>
      </c>
      <c r="BL17" s="10"/>
      <c r="BM17" s="10">
        <v>0.8</v>
      </c>
      <c r="BN17" s="10"/>
      <c r="BO17" s="10">
        <v>0.8</v>
      </c>
      <c r="BS17" s="10"/>
      <c r="BT17" s="10">
        <v>1</v>
      </c>
      <c r="BU17" s="10"/>
      <c r="BV17" s="10">
        <v>1</v>
      </c>
      <c r="BZ17" s="10"/>
      <c r="CA17" s="10">
        <v>1</v>
      </c>
      <c r="CB17" s="10"/>
      <c r="CC17" s="10">
        <v>1</v>
      </c>
      <c r="CG17" s="10"/>
      <c r="CH17" s="10">
        <v>1</v>
      </c>
      <c r="CI17" s="10"/>
      <c r="CJ17" s="10">
        <v>1</v>
      </c>
      <c r="CN17" s="10"/>
      <c r="CO17" s="10">
        <v>1</v>
      </c>
      <c r="CP17" s="10"/>
      <c r="CQ17" s="10">
        <v>1</v>
      </c>
      <c r="CU17" s="10"/>
      <c r="CV17" s="10">
        <v>1</v>
      </c>
      <c r="CW17" s="10"/>
      <c r="CX17" s="10">
        <v>1</v>
      </c>
      <c r="DB17" s="10"/>
      <c r="DC17" s="10"/>
      <c r="DD17" s="10"/>
      <c r="DE17" s="10"/>
      <c r="DI17" s="10"/>
      <c r="DJ17" s="10"/>
      <c r="DK17" s="10"/>
      <c r="DL17" s="10"/>
      <c r="DP17" s="10"/>
      <c r="DQ17" s="10"/>
      <c r="DR17" s="10"/>
      <c r="DS17" s="10"/>
    </row>
    <row r="18" spans="2:123" outlineLevel="1" x14ac:dyDescent="0.2">
      <c r="B18" t="s">
        <v>28</v>
      </c>
      <c r="C18" t="s">
        <v>89</v>
      </c>
      <c r="E18" s="9"/>
      <c r="F18" t="s">
        <v>101</v>
      </c>
      <c r="G18" s="10">
        <v>0.15</v>
      </c>
      <c r="I18" s="9">
        <f t="shared" si="1"/>
        <v>0</v>
      </c>
      <c r="J18" s="11" cm="1">
        <f t="array" ref="J18">MAX(IF($N$3:$DN$3=$J$3,N18:DN18))</f>
        <v>0</v>
      </c>
      <c r="K18" s="11" cm="1">
        <f t="array" ref="K18">MAX(IF($N$3:$DN$3=$J$3,N18:DN18))</f>
        <v>0</v>
      </c>
      <c r="L18" s="9"/>
      <c r="O18" s="10"/>
      <c r="P18" s="10"/>
      <c r="Q18" s="10"/>
      <c r="R18" s="10"/>
      <c r="V18" s="10"/>
      <c r="W18" s="10"/>
      <c r="X18" s="10"/>
      <c r="Y18" s="10"/>
      <c r="AC18" s="10"/>
      <c r="AD18" s="10">
        <v>0.5</v>
      </c>
      <c r="AE18" s="10"/>
      <c r="AF18" s="10">
        <v>0.5</v>
      </c>
      <c r="AJ18" s="10"/>
      <c r="AK18" s="10">
        <v>0.8</v>
      </c>
      <c r="AL18" s="10"/>
      <c r="AM18" s="10">
        <v>0.8</v>
      </c>
      <c r="AQ18" s="10"/>
      <c r="AR18" s="10">
        <v>0.8</v>
      </c>
      <c r="AS18" s="10"/>
      <c r="AT18" s="10">
        <v>0.8</v>
      </c>
      <c r="AX18" s="10"/>
      <c r="AY18" s="10">
        <v>0.8</v>
      </c>
      <c r="AZ18" s="10"/>
      <c r="BA18" s="10">
        <v>0.8</v>
      </c>
      <c r="BE18" s="10"/>
      <c r="BF18" s="10">
        <v>0.8</v>
      </c>
      <c r="BG18" s="10"/>
      <c r="BH18" s="10">
        <v>0.8</v>
      </c>
      <c r="BL18" s="10"/>
      <c r="BM18" s="10">
        <v>0.8</v>
      </c>
      <c r="BN18" s="10"/>
      <c r="BO18" s="10">
        <v>0.8</v>
      </c>
      <c r="BS18" s="10"/>
      <c r="BT18" s="10">
        <v>1</v>
      </c>
      <c r="BU18" s="10"/>
      <c r="BV18" s="10">
        <v>1</v>
      </c>
      <c r="BZ18" s="10"/>
      <c r="CA18" s="10">
        <v>1</v>
      </c>
      <c r="CB18" s="10"/>
      <c r="CC18" s="10">
        <v>1</v>
      </c>
      <c r="CG18" s="10"/>
      <c r="CH18" s="10">
        <v>1</v>
      </c>
      <c r="CI18" s="10"/>
      <c r="CJ18" s="10">
        <v>1</v>
      </c>
      <c r="CN18" s="10"/>
      <c r="CO18" s="10">
        <v>1</v>
      </c>
      <c r="CP18" s="10"/>
      <c r="CQ18" s="10">
        <v>1</v>
      </c>
      <c r="CU18" s="10"/>
      <c r="CV18" s="10">
        <v>1</v>
      </c>
      <c r="CW18" s="10"/>
      <c r="CX18" s="10">
        <v>1</v>
      </c>
      <c r="DB18" s="10"/>
      <c r="DC18" s="10"/>
      <c r="DD18" s="10"/>
      <c r="DE18" s="10"/>
      <c r="DI18" s="10"/>
      <c r="DJ18" s="10"/>
      <c r="DK18" s="10"/>
      <c r="DL18" s="10"/>
      <c r="DP18" s="10"/>
      <c r="DQ18" s="10"/>
      <c r="DR18" s="10"/>
      <c r="DS18" s="10"/>
    </row>
    <row r="19" spans="2:123" outlineLevel="1" x14ac:dyDescent="0.2">
      <c r="B19" t="s">
        <v>28</v>
      </c>
      <c r="C19" t="s">
        <v>89</v>
      </c>
      <c r="E19" s="9"/>
      <c r="F19" t="s">
        <v>102</v>
      </c>
      <c r="G19" s="10">
        <v>0.15</v>
      </c>
      <c r="I19" s="9">
        <f t="shared" si="1"/>
        <v>0</v>
      </c>
      <c r="J19" s="11" cm="1">
        <f t="array" ref="J19">MAX(IF($N$3:$DN$3=$J$3,N19:DN19))</f>
        <v>0</v>
      </c>
      <c r="K19" s="11" cm="1">
        <f t="array" ref="K19">MAX(IF($N$3:$DN$3=$J$3,N19:DN19))</f>
        <v>0</v>
      </c>
      <c r="L19" s="9"/>
      <c r="O19" s="10"/>
      <c r="P19" s="10"/>
      <c r="Q19" s="10"/>
      <c r="R19" s="10"/>
      <c r="V19" s="10"/>
      <c r="W19" s="10"/>
      <c r="X19" s="10"/>
      <c r="Y19" s="10"/>
      <c r="AC19" s="10"/>
      <c r="AD19" s="10">
        <v>0.5</v>
      </c>
      <c r="AE19" s="10"/>
      <c r="AF19" s="10">
        <v>0.5</v>
      </c>
      <c r="AJ19" s="10"/>
      <c r="AK19" s="10">
        <v>0.5</v>
      </c>
      <c r="AL19" s="10"/>
      <c r="AM19" s="10">
        <v>0.5</v>
      </c>
      <c r="AQ19" s="10"/>
      <c r="AR19" s="10">
        <v>0.8</v>
      </c>
      <c r="AS19" s="10"/>
      <c r="AT19" s="10">
        <v>0.8</v>
      </c>
      <c r="AX19" s="10"/>
      <c r="AY19" s="10">
        <v>0.8</v>
      </c>
      <c r="AZ19" s="10"/>
      <c r="BA19" s="10">
        <v>0.8</v>
      </c>
      <c r="BE19" s="10"/>
      <c r="BF19" s="10">
        <v>0.8</v>
      </c>
      <c r="BG19" s="10"/>
      <c r="BH19" s="10">
        <v>0.8</v>
      </c>
      <c r="BL19" s="10"/>
      <c r="BM19" s="10">
        <v>0.8</v>
      </c>
      <c r="BN19" s="10"/>
      <c r="BO19" s="10">
        <v>0.8</v>
      </c>
      <c r="BS19" s="10"/>
      <c r="BT19" s="10">
        <v>0.8</v>
      </c>
      <c r="BU19" s="10"/>
      <c r="BV19" s="10">
        <v>0.8</v>
      </c>
      <c r="BZ19" s="10"/>
      <c r="CA19" s="10">
        <v>1</v>
      </c>
      <c r="CB19" s="10"/>
      <c r="CC19" s="10">
        <v>1</v>
      </c>
      <c r="CG19" s="10"/>
      <c r="CH19" s="10">
        <v>1</v>
      </c>
      <c r="CI19" s="10"/>
      <c r="CJ19" s="10">
        <v>1</v>
      </c>
      <c r="CN19" s="10"/>
      <c r="CO19" s="10">
        <v>1</v>
      </c>
      <c r="CP19" s="10"/>
      <c r="CQ19" s="10">
        <v>1</v>
      </c>
      <c r="CU19" s="10"/>
      <c r="CV19" s="10">
        <v>1</v>
      </c>
      <c r="CW19" s="10"/>
      <c r="CX19" s="10">
        <v>1</v>
      </c>
      <c r="DB19" s="10"/>
      <c r="DC19" s="10"/>
      <c r="DD19" s="10"/>
      <c r="DE19" s="10"/>
      <c r="DI19" s="10"/>
      <c r="DJ19" s="10"/>
      <c r="DK19" s="10"/>
      <c r="DL19" s="10"/>
      <c r="DP19" s="10"/>
      <c r="DQ19" s="10"/>
      <c r="DR19" s="10"/>
      <c r="DS19" s="10"/>
    </row>
    <row r="20" spans="2:123" outlineLevel="1" x14ac:dyDescent="0.2">
      <c r="B20" t="s">
        <v>28</v>
      </c>
      <c r="C20" t="s">
        <v>89</v>
      </c>
      <c r="E20" s="9"/>
      <c r="F20" t="s">
        <v>103</v>
      </c>
      <c r="G20" s="10">
        <v>0.15</v>
      </c>
      <c r="I20" s="9">
        <f t="shared" si="1"/>
        <v>0</v>
      </c>
      <c r="J20" s="11" cm="1">
        <f t="array" ref="J20">MAX(IF($N$3:$DN$3=$J$3,N20:DN20))</f>
        <v>0</v>
      </c>
      <c r="K20" s="11" cm="1">
        <f t="array" ref="K20">MAX(IF($N$3:$DN$3=$J$3,N20:DN20))</f>
        <v>0</v>
      </c>
      <c r="L20" s="9"/>
      <c r="O20" s="10"/>
      <c r="P20" s="10"/>
      <c r="Q20" s="10"/>
      <c r="R20" s="10"/>
      <c r="V20" s="10"/>
      <c r="W20" s="10"/>
      <c r="X20" s="10"/>
      <c r="Y20" s="10"/>
      <c r="AC20" s="10"/>
      <c r="AD20" s="10"/>
      <c r="AE20" s="10"/>
      <c r="AF20" s="10"/>
      <c r="AJ20" s="10"/>
      <c r="AK20" s="10">
        <v>0.5</v>
      </c>
      <c r="AL20" s="10"/>
      <c r="AM20" s="10">
        <v>0.5</v>
      </c>
      <c r="AQ20" s="10"/>
      <c r="AR20" s="10">
        <v>0.5</v>
      </c>
      <c r="AS20" s="10"/>
      <c r="AT20" s="10">
        <v>0.5</v>
      </c>
      <c r="AX20" s="10"/>
      <c r="AY20" s="10">
        <v>0.5</v>
      </c>
      <c r="AZ20" s="10"/>
      <c r="BA20" s="10">
        <v>0.5</v>
      </c>
      <c r="BE20" s="10"/>
      <c r="BF20" s="10">
        <v>0.8</v>
      </c>
      <c r="BG20" s="10"/>
      <c r="BH20" s="10">
        <v>0.8</v>
      </c>
      <c r="BL20" s="10"/>
      <c r="BM20" s="10">
        <v>0.8</v>
      </c>
      <c r="BN20" s="10"/>
      <c r="BO20" s="10">
        <v>0.8</v>
      </c>
      <c r="BS20" s="10"/>
      <c r="BT20" s="10">
        <v>0.8</v>
      </c>
      <c r="BU20" s="10"/>
      <c r="BV20" s="10">
        <v>0.8</v>
      </c>
      <c r="BZ20" s="10"/>
      <c r="CA20" s="10">
        <v>1</v>
      </c>
      <c r="CB20" s="10"/>
      <c r="CC20" s="10">
        <v>1</v>
      </c>
      <c r="CG20" s="10"/>
      <c r="CH20" s="10">
        <v>1</v>
      </c>
      <c r="CI20" s="10"/>
      <c r="CJ20" s="10">
        <v>1</v>
      </c>
      <c r="CN20" s="10"/>
      <c r="CO20" s="10">
        <v>1</v>
      </c>
      <c r="CP20" s="10"/>
      <c r="CQ20" s="10">
        <v>1</v>
      </c>
      <c r="CU20" s="10"/>
      <c r="CV20" s="10">
        <v>1</v>
      </c>
      <c r="CW20" s="10"/>
      <c r="CX20" s="10">
        <v>1</v>
      </c>
      <c r="DB20" s="10"/>
      <c r="DC20" s="10"/>
      <c r="DD20" s="10"/>
      <c r="DE20" s="10"/>
      <c r="DI20" s="10"/>
      <c r="DJ20" s="10"/>
      <c r="DK20" s="10"/>
      <c r="DL20" s="10"/>
      <c r="DP20" s="10"/>
      <c r="DQ20" s="10"/>
      <c r="DR20" s="10"/>
      <c r="DS20" s="10"/>
    </row>
    <row r="21" spans="2:123" outlineLevel="1" x14ac:dyDescent="0.2">
      <c r="B21" t="s">
        <v>28</v>
      </c>
      <c r="C21" t="s">
        <v>89</v>
      </c>
      <c r="E21" s="9"/>
      <c r="F21" t="s">
        <v>104</v>
      </c>
      <c r="G21" s="10">
        <v>0.2</v>
      </c>
      <c r="I21" s="9">
        <f t="shared" si="1"/>
        <v>0</v>
      </c>
      <c r="J21" s="11" cm="1">
        <f t="array" ref="J21">MAX(IF($N$3:$DN$3=$J$3,N21:DN21))</f>
        <v>0</v>
      </c>
      <c r="K21" s="11" cm="1">
        <f t="array" ref="K21">MAX(IF($N$3:$DN$3=$J$3,N21:DN21))</f>
        <v>0</v>
      </c>
      <c r="L21" s="9"/>
      <c r="O21" s="10"/>
      <c r="P21" s="10"/>
      <c r="Q21" s="10"/>
      <c r="R21" s="10"/>
      <c r="V21" s="10"/>
      <c r="W21" s="10"/>
      <c r="X21" s="10"/>
      <c r="Y21" s="10"/>
      <c r="AC21" s="10"/>
      <c r="AD21" s="10"/>
      <c r="AE21" s="10"/>
      <c r="AF21" s="10"/>
      <c r="AJ21" s="10"/>
      <c r="AK21" s="10"/>
      <c r="AL21" s="10"/>
      <c r="AM21" s="10"/>
      <c r="AQ21" s="10"/>
      <c r="AR21" s="10">
        <v>0.5</v>
      </c>
      <c r="AS21" s="10"/>
      <c r="AT21" s="10">
        <v>0.5</v>
      </c>
      <c r="AX21" s="10"/>
      <c r="AY21" s="10">
        <v>0.5</v>
      </c>
      <c r="AZ21" s="10"/>
      <c r="BA21" s="10">
        <v>0.5</v>
      </c>
      <c r="BE21" s="10"/>
      <c r="BF21" s="10">
        <v>0.8</v>
      </c>
      <c r="BG21" s="10"/>
      <c r="BH21" s="10">
        <v>0.8</v>
      </c>
      <c r="BL21" s="10"/>
      <c r="BM21" s="10">
        <v>0.8</v>
      </c>
      <c r="BN21" s="10"/>
      <c r="BO21" s="10">
        <v>0.8</v>
      </c>
      <c r="BS21" s="10"/>
      <c r="BT21" s="10">
        <v>0.8</v>
      </c>
      <c r="BU21" s="10"/>
      <c r="BV21" s="10">
        <v>0.8</v>
      </c>
      <c r="BZ21" s="10"/>
      <c r="CA21" s="10">
        <v>1</v>
      </c>
      <c r="CB21" s="10"/>
      <c r="CC21" s="10">
        <v>1</v>
      </c>
      <c r="CG21" s="10"/>
      <c r="CH21" s="10">
        <v>1</v>
      </c>
      <c r="CI21" s="10"/>
      <c r="CJ21" s="10">
        <v>1</v>
      </c>
      <c r="CN21" s="10"/>
      <c r="CO21" s="10">
        <v>1</v>
      </c>
      <c r="CP21" s="10"/>
      <c r="CQ21" s="10">
        <v>1</v>
      </c>
      <c r="CU21" s="10"/>
      <c r="CV21" s="10">
        <v>1</v>
      </c>
      <c r="CW21" s="10"/>
      <c r="CX21" s="10">
        <v>1</v>
      </c>
      <c r="DB21" s="10"/>
      <c r="DC21" s="10"/>
      <c r="DD21" s="10"/>
      <c r="DE21" s="10"/>
      <c r="DI21" s="10"/>
      <c r="DJ21" s="10"/>
      <c r="DK21" s="10"/>
      <c r="DL21" s="10"/>
      <c r="DP21" s="10"/>
      <c r="DQ21" s="10"/>
      <c r="DR21" s="10"/>
      <c r="DS21" s="10"/>
    </row>
    <row r="22" spans="2:123" outlineLevel="1" x14ac:dyDescent="0.2">
      <c r="B22" t="s">
        <v>28</v>
      </c>
      <c r="C22" t="s">
        <v>89</v>
      </c>
      <c r="E22" s="9"/>
      <c r="F22" t="s">
        <v>105</v>
      </c>
      <c r="G22" s="10">
        <v>0.2</v>
      </c>
      <c r="I22" s="9">
        <f t="shared" si="1"/>
        <v>0</v>
      </c>
      <c r="J22" s="11" cm="1">
        <f t="array" ref="J22">MAX(IF($N$3:$DN$3=$J$3,N22:DN22))</f>
        <v>0</v>
      </c>
      <c r="K22" s="11" cm="1">
        <f t="array" ref="K22">MAX(IF($N$3:$DN$3=$J$3,N22:DN22))</f>
        <v>0</v>
      </c>
      <c r="L22" s="9"/>
      <c r="O22" s="10"/>
      <c r="P22" s="10"/>
      <c r="Q22" s="10"/>
      <c r="R22" s="10"/>
      <c r="V22" s="10"/>
      <c r="W22" s="10"/>
      <c r="X22" s="10"/>
      <c r="Y22" s="10"/>
      <c r="AC22" s="10"/>
      <c r="AD22" s="10"/>
      <c r="AE22" s="10"/>
      <c r="AF22" s="10"/>
      <c r="AJ22" s="10"/>
      <c r="AK22" s="10"/>
      <c r="AL22" s="10"/>
      <c r="AM22" s="10"/>
      <c r="AQ22" s="10"/>
      <c r="AR22" s="10">
        <v>0.5</v>
      </c>
      <c r="AS22" s="10"/>
      <c r="AT22" s="10">
        <v>0.5</v>
      </c>
      <c r="AX22" s="10"/>
      <c r="AY22" s="10">
        <v>0.5</v>
      </c>
      <c r="AZ22" s="10"/>
      <c r="BA22" s="10">
        <v>0.5</v>
      </c>
      <c r="BE22" s="10"/>
      <c r="BF22" s="10">
        <v>0.5</v>
      </c>
      <c r="BG22" s="10"/>
      <c r="BH22" s="10">
        <v>0.5</v>
      </c>
      <c r="BL22" s="10"/>
      <c r="BM22" s="10">
        <v>0.8</v>
      </c>
      <c r="BN22" s="10"/>
      <c r="BO22" s="10">
        <v>0.8</v>
      </c>
      <c r="BS22" s="10"/>
      <c r="BT22" s="10">
        <v>0.8</v>
      </c>
      <c r="BU22" s="10"/>
      <c r="BV22" s="10">
        <v>0.8</v>
      </c>
      <c r="BZ22" s="10"/>
      <c r="CA22" s="10">
        <v>0.8</v>
      </c>
      <c r="CB22" s="10"/>
      <c r="CC22" s="10">
        <v>0.8</v>
      </c>
      <c r="CG22" s="10"/>
      <c r="CH22" s="10">
        <v>1</v>
      </c>
      <c r="CI22" s="10"/>
      <c r="CJ22" s="10">
        <v>1</v>
      </c>
      <c r="CN22" s="10"/>
      <c r="CO22" s="10">
        <v>1</v>
      </c>
      <c r="CP22" s="10"/>
      <c r="CQ22" s="10">
        <v>1</v>
      </c>
      <c r="CU22" s="10"/>
      <c r="CV22" s="10">
        <v>1</v>
      </c>
      <c r="CW22" s="10"/>
      <c r="CX22" s="10">
        <v>1</v>
      </c>
      <c r="DB22" s="10"/>
      <c r="DC22" s="10"/>
      <c r="DD22" s="10"/>
      <c r="DE22" s="10"/>
      <c r="DI22" s="10"/>
      <c r="DJ22" s="10"/>
      <c r="DK22" s="10"/>
      <c r="DL22" s="10"/>
      <c r="DP22" s="10"/>
      <c r="DQ22" s="10"/>
      <c r="DR22" s="10"/>
      <c r="DS22" s="10"/>
    </row>
    <row r="23" spans="2:123" outlineLevel="1" x14ac:dyDescent="0.2">
      <c r="B23" t="s">
        <v>28</v>
      </c>
      <c r="C23" t="s">
        <v>89</v>
      </c>
      <c r="E23" s="9"/>
      <c r="F23" t="s">
        <v>106</v>
      </c>
      <c r="G23" s="10">
        <v>0.2</v>
      </c>
      <c r="I23" s="9">
        <f t="shared" si="1"/>
        <v>0</v>
      </c>
      <c r="J23" s="11" cm="1">
        <f t="array" ref="J23">MAX(IF($N$3:$DN$3=$J$3,N23:DN23))</f>
        <v>0</v>
      </c>
      <c r="K23" s="11" cm="1">
        <f t="array" ref="K23">MAX(IF($N$3:$DN$3=$J$3,N23:DN23))</f>
        <v>0</v>
      </c>
      <c r="L23" s="9"/>
      <c r="O23" s="10"/>
      <c r="P23" s="10"/>
      <c r="Q23" s="10"/>
      <c r="R23" s="10"/>
      <c r="V23" s="10"/>
      <c r="W23" s="10"/>
      <c r="X23" s="10"/>
      <c r="Y23" s="10"/>
      <c r="AC23" s="10"/>
      <c r="AD23" s="10"/>
      <c r="AE23" s="10"/>
      <c r="AF23" s="10"/>
      <c r="AJ23" s="10"/>
      <c r="AK23" s="10"/>
      <c r="AL23" s="10"/>
      <c r="AM23" s="10"/>
      <c r="AQ23" s="10"/>
      <c r="AR23" s="10"/>
      <c r="AS23" s="10"/>
      <c r="AT23" s="10"/>
      <c r="AX23" s="10"/>
      <c r="AY23" s="10">
        <v>0.5</v>
      </c>
      <c r="AZ23" s="10"/>
      <c r="BA23" s="10">
        <v>0.5</v>
      </c>
      <c r="BE23" s="10"/>
      <c r="BF23" s="10">
        <v>0.5</v>
      </c>
      <c r="BG23" s="10"/>
      <c r="BH23" s="10">
        <v>0.5</v>
      </c>
      <c r="BL23" s="10"/>
      <c r="BM23" s="10">
        <v>0.8</v>
      </c>
      <c r="BN23" s="10"/>
      <c r="BO23" s="10">
        <v>0.8</v>
      </c>
      <c r="BS23" s="10"/>
      <c r="BT23" s="10">
        <v>0.8</v>
      </c>
      <c r="BU23" s="10"/>
      <c r="BV23" s="10">
        <v>0.8</v>
      </c>
      <c r="BZ23" s="10"/>
      <c r="CA23" s="10">
        <v>0.8</v>
      </c>
      <c r="CB23" s="10"/>
      <c r="CC23" s="10">
        <v>0.8</v>
      </c>
      <c r="CG23" s="10"/>
      <c r="CH23" s="10">
        <v>1</v>
      </c>
      <c r="CI23" s="10"/>
      <c r="CJ23" s="10">
        <v>1</v>
      </c>
      <c r="CN23" s="10"/>
      <c r="CO23" s="10">
        <v>1</v>
      </c>
      <c r="CP23" s="10"/>
      <c r="CQ23" s="10">
        <v>1</v>
      </c>
      <c r="CU23" s="10"/>
      <c r="CV23" s="10">
        <v>1</v>
      </c>
      <c r="CW23" s="10"/>
      <c r="CX23" s="10">
        <v>1</v>
      </c>
      <c r="DB23" s="10"/>
      <c r="DC23" s="10"/>
      <c r="DD23" s="10"/>
      <c r="DE23" s="10"/>
      <c r="DI23" s="10"/>
      <c r="DJ23" s="10"/>
      <c r="DK23" s="10"/>
      <c r="DL23" s="10"/>
      <c r="DP23" s="10"/>
      <c r="DQ23" s="10"/>
      <c r="DR23" s="10"/>
      <c r="DS23" s="10"/>
    </row>
    <row r="24" spans="2:123" outlineLevel="1" x14ac:dyDescent="0.2">
      <c r="B24" t="s">
        <v>28</v>
      </c>
      <c r="C24" t="s">
        <v>89</v>
      </c>
      <c r="E24" s="9"/>
      <c r="F24" t="s">
        <v>107</v>
      </c>
      <c r="G24" s="10">
        <v>0.2</v>
      </c>
      <c r="I24" s="9">
        <f t="shared" si="1"/>
        <v>0</v>
      </c>
      <c r="J24" s="11" cm="1">
        <f t="array" ref="J24">MAX(IF($N$3:$DN$3=$J$3,N24:DN24))</f>
        <v>0</v>
      </c>
      <c r="K24" s="11" cm="1">
        <f t="array" ref="K24">MAX(IF($N$3:$DN$3=$J$3,N24:DN24))</f>
        <v>0</v>
      </c>
      <c r="L24" s="9"/>
      <c r="O24" s="10"/>
      <c r="P24" s="10"/>
      <c r="Q24" s="10"/>
      <c r="R24" s="10"/>
      <c r="V24" s="10"/>
      <c r="W24" s="10"/>
      <c r="X24" s="10"/>
      <c r="Y24" s="10"/>
      <c r="AC24" s="10"/>
      <c r="AD24" s="10"/>
      <c r="AE24" s="10"/>
      <c r="AF24" s="10"/>
      <c r="AJ24" s="10"/>
      <c r="AK24" s="10"/>
      <c r="AL24" s="10"/>
      <c r="AM24" s="10"/>
      <c r="AQ24" s="10"/>
      <c r="AR24" s="10"/>
      <c r="AS24" s="10"/>
      <c r="AT24" s="10"/>
      <c r="AX24" s="10"/>
      <c r="AY24" s="10"/>
      <c r="AZ24" s="10"/>
      <c r="BA24" s="10"/>
      <c r="BE24" s="10"/>
      <c r="BF24" s="10">
        <v>0.5</v>
      </c>
      <c r="BG24" s="10"/>
      <c r="BH24" s="10">
        <v>0.5</v>
      </c>
      <c r="BL24" s="10"/>
      <c r="BM24" s="10">
        <v>0.5</v>
      </c>
      <c r="BN24" s="10"/>
      <c r="BO24" s="10">
        <v>0.5</v>
      </c>
      <c r="BS24" s="10"/>
      <c r="BT24" s="10">
        <v>0.8</v>
      </c>
      <c r="BU24" s="10"/>
      <c r="BV24" s="10">
        <v>0.8</v>
      </c>
      <c r="BZ24" s="10"/>
      <c r="CA24" s="10">
        <v>0.8</v>
      </c>
      <c r="CB24" s="10"/>
      <c r="CC24" s="10">
        <v>0.8</v>
      </c>
      <c r="CG24" s="10"/>
      <c r="CH24" s="10">
        <v>1</v>
      </c>
      <c r="CI24" s="10"/>
      <c r="CJ24" s="10">
        <v>1</v>
      </c>
      <c r="CN24" s="10"/>
      <c r="CO24" s="10">
        <v>1</v>
      </c>
      <c r="CP24" s="10"/>
      <c r="CQ24" s="10">
        <v>1</v>
      </c>
      <c r="CU24" s="10"/>
      <c r="CV24" s="10">
        <v>1</v>
      </c>
      <c r="CW24" s="10"/>
      <c r="CX24" s="10">
        <v>1</v>
      </c>
      <c r="DB24" s="10"/>
      <c r="DC24" s="10"/>
      <c r="DD24" s="10"/>
      <c r="DE24" s="10"/>
      <c r="DI24" s="10"/>
      <c r="DJ24" s="10"/>
      <c r="DK24" s="10"/>
      <c r="DL24" s="10"/>
      <c r="DP24" s="10"/>
      <c r="DQ24" s="10"/>
      <c r="DR24" s="10"/>
      <c r="DS24" s="10"/>
    </row>
    <row r="26" spans="2:123" outlineLevel="1" x14ac:dyDescent="0.2">
      <c r="B26" t="s">
        <v>28</v>
      </c>
      <c r="C26" t="s">
        <v>94</v>
      </c>
      <c r="D26" s="19">
        <v>44984</v>
      </c>
      <c r="E26" s="9"/>
      <c r="F26" t="s">
        <v>108</v>
      </c>
      <c r="G26" s="10">
        <v>0.05</v>
      </c>
      <c r="I26" s="9">
        <f t="shared" ref="I26:I32" si="2">+SUMIF($N$3:$YR$3,I$3,$N26:$YR26)</f>
        <v>0</v>
      </c>
      <c r="J26" s="11" cm="1">
        <f t="array" ref="J26">MAX(IF($N$3:$DN$3=$J$3,N26:DN26))</f>
        <v>0.5</v>
      </c>
      <c r="K26" s="11" cm="1">
        <f t="array" ref="K26">MAX(IF($N$3:$DN$3=$J$3,N26:DN26))</f>
        <v>0.5</v>
      </c>
      <c r="L26" s="9"/>
      <c r="O26" s="10">
        <v>0.5</v>
      </c>
      <c r="P26" s="10">
        <v>0.8</v>
      </c>
      <c r="Q26" s="10">
        <v>0.5</v>
      </c>
      <c r="R26" s="10">
        <v>0.8</v>
      </c>
      <c r="V26" s="10"/>
      <c r="W26" s="10">
        <v>1</v>
      </c>
      <c r="X26" s="10"/>
      <c r="Y26" s="10">
        <v>1</v>
      </c>
      <c r="AC26" s="10"/>
      <c r="AD26" s="10">
        <v>1</v>
      </c>
      <c r="AE26" s="10"/>
      <c r="AF26" s="10">
        <v>1</v>
      </c>
      <c r="AJ26" s="10"/>
      <c r="AK26" s="10">
        <v>1</v>
      </c>
      <c r="AL26" s="10"/>
      <c r="AM26" s="10">
        <v>1</v>
      </c>
      <c r="AQ26" s="10"/>
      <c r="AR26" s="10">
        <v>1</v>
      </c>
      <c r="AS26" s="10"/>
      <c r="AT26" s="10">
        <v>1</v>
      </c>
      <c r="AX26" s="10"/>
      <c r="AY26" s="10">
        <v>1</v>
      </c>
      <c r="AZ26" s="10"/>
      <c r="BA26" s="10">
        <v>1</v>
      </c>
      <c r="BE26" s="10"/>
      <c r="BF26" s="10">
        <v>1</v>
      </c>
      <c r="BG26" s="10"/>
      <c r="BH26" s="10">
        <v>1</v>
      </c>
      <c r="BL26" s="10"/>
      <c r="BM26" s="10">
        <v>1</v>
      </c>
      <c r="BN26" s="10"/>
      <c r="BO26" s="10">
        <v>1</v>
      </c>
      <c r="BS26" s="10"/>
      <c r="BT26" s="10">
        <v>1</v>
      </c>
      <c r="BU26" s="10"/>
      <c r="BV26" s="10">
        <v>1</v>
      </c>
      <c r="BZ26" s="10"/>
      <c r="CA26" s="10">
        <v>1</v>
      </c>
      <c r="CB26" s="10"/>
      <c r="CC26" s="10">
        <v>1</v>
      </c>
      <c r="CG26" s="10"/>
      <c r="CH26" s="10">
        <v>1</v>
      </c>
      <c r="CI26" s="10"/>
      <c r="CJ26" s="10">
        <v>1</v>
      </c>
      <c r="CN26" s="10"/>
      <c r="CO26" s="10">
        <v>1</v>
      </c>
      <c r="CP26" s="10"/>
      <c r="CQ26" s="10">
        <v>1</v>
      </c>
      <c r="CU26" s="10"/>
      <c r="CV26" s="10">
        <v>1</v>
      </c>
      <c r="CW26" s="10"/>
      <c r="CX26" s="10">
        <v>1</v>
      </c>
      <c r="DB26" s="10"/>
      <c r="DC26" s="10"/>
      <c r="DD26" s="10"/>
      <c r="DE26" s="10"/>
      <c r="DI26" s="10"/>
      <c r="DJ26" s="10"/>
      <c r="DK26" s="10"/>
      <c r="DL26" s="10"/>
      <c r="DP26" s="10"/>
      <c r="DQ26" s="10"/>
      <c r="DR26" s="10"/>
      <c r="DS26" s="10"/>
    </row>
    <row r="27" spans="2:123" outlineLevel="1" x14ac:dyDescent="0.2">
      <c r="B27" t="s">
        <v>28</v>
      </c>
      <c r="C27" t="s">
        <v>94</v>
      </c>
      <c r="E27" s="9"/>
      <c r="F27" t="s">
        <v>109</v>
      </c>
      <c r="G27" s="10">
        <v>0.05</v>
      </c>
      <c r="I27" s="9">
        <f t="shared" si="2"/>
        <v>0</v>
      </c>
      <c r="J27" s="11" cm="1">
        <f t="array" ref="J27">MAX(IF($N$3:$DN$3=$J$3,N27:DN27))</f>
        <v>0</v>
      </c>
      <c r="K27" s="11" cm="1">
        <f t="array" ref="K27">MAX(IF($N$3:$DN$3=$J$3,N27:DN27))</f>
        <v>0</v>
      </c>
      <c r="L27" s="9"/>
      <c r="O27" s="10"/>
      <c r="P27" s="10"/>
      <c r="Q27" s="10"/>
      <c r="R27" s="10"/>
      <c r="V27" s="10"/>
      <c r="W27" s="10">
        <v>0.5</v>
      </c>
      <c r="X27" s="10"/>
      <c r="Y27" s="10">
        <v>0.5</v>
      </c>
      <c r="AC27" s="10"/>
      <c r="AD27" s="10">
        <v>0.8</v>
      </c>
      <c r="AE27" s="10"/>
      <c r="AF27" s="10">
        <v>0.8</v>
      </c>
      <c r="AJ27" s="10"/>
      <c r="AK27" s="10">
        <v>0.8</v>
      </c>
      <c r="AL27" s="10"/>
      <c r="AM27" s="10">
        <v>0.8</v>
      </c>
      <c r="AQ27" s="10"/>
      <c r="AR27" s="10">
        <v>0.8</v>
      </c>
      <c r="AS27" s="10"/>
      <c r="AT27" s="10">
        <v>0.8</v>
      </c>
      <c r="AX27" s="10"/>
      <c r="AY27" s="10">
        <v>0.8</v>
      </c>
      <c r="AZ27" s="10"/>
      <c r="BA27" s="10">
        <v>0.8</v>
      </c>
      <c r="BE27" s="10"/>
      <c r="BF27" s="10">
        <v>0.8</v>
      </c>
      <c r="BG27" s="10"/>
      <c r="BH27" s="10">
        <v>0.8</v>
      </c>
      <c r="BL27" s="10"/>
      <c r="BM27" s="10">
        <v>1</v>
      </c>
      <c r="BN27" s="10"/>
      <c r="BO27" s="10">
        <v>1</v>
      </c>
      <c r="BS27" s="10"/>
      <c r="BT27" s="10">
        <v>1</v>
      </c>
      <c r="BU27" s="10"/>
      <c r="BV27" s="10">
        <v>1</v>
      </c>
      <c r="BZ27" s="10"/>
      <c r="CA27" s="10">
        <v>1</v>
      </c>
      <c r="CB27" s="10"/>
      <c r="CC27" s="10">
        <v>1</v>
      </c>
      <c r="CG27" s="10"/>
      <c r="CH27" s="10">
        <v>1</v>
      </c>
      <c r="CI27" s="10"/>
      <c r="CJ27" s="10">
        <v>1</v>
      </c>
      <c r="CN27" s="10"/>
      <c r="CO27" s="10">
        <v>1</v>
      </c>
      <c r="CP27" s="10"/>
      <c r="CQ27" s="10">
        <v>1</v>
      </c>
      <c r="CU27" s="10"/>
      <c r="CV27" s="10">
        <v>1</v>
      </c>
      <c r="CW27" s="10"/>
      <c r="CX27" s="10">
        <v>1</v>
      </c>
      <c r="DB27" s="10"/>
      <c r="DC27" s="10"/>
      <c r="DD27" s="10"/>
      <c r="DE27" s="10"/>
      <c r="DI27" s="10"/>
      <c r="DJ27" s="10"/>
      <c r="DK27" s="10"/>
      <c r="DL27" s="10"/>
      <c r="DP27" s="10"/>
      <c r="DQ27" s="10"/>
      <c r="DR27" s="10"/>
      <c r="DS27" s="10"/>
    </row>
    <row r="28" spans="2:123" outlineLevel="1" x14ac:dyDescent="0.2">
      <c r="B28" t="s">
        <v>28</v>
      </c>
      <c r="C28" t="s">
        <v>94</v>
      </c>
      <c r="E28" s="9"/>
      <c r="F28" t="s">
        <v>110</v>
      </c>
      <c r="G28" s="10">
        <v>0.05</v>
      </c>
      <c r="I28" s="9">
        <f t="shared" si="2"/>
        <v>0</v>
      </c>
      <c r="J28" s="11" cm="1">
        <f t="array" ref="J28">MAX(IF($N$3:$DN$3=$J$3,N28:DN28))</f>
        <v>0</v>
      </c>
      <c r="K28" s="11" cm="1">
        <f t="array" ref="K28">MAX(IF($N$3:$DN$3=$J$3,N28:DN28))</f>
        <v>0</v>
      </c>
      <c r="L28" s="9"/>
      <c r="O28" s="10"/>
      <c r="P28" s="10"/>
      <c r="Q28" s="10"/>
      <c r="R28" s="10"/>
      <c r="V28" s="10"/>
      <c r="W28" s="10"/>
      <c r="X28" s="10"/>
      <c r="Y28" s="10"/>
      <c r="AC28" s="10"/>
      <c r="AD28" s="10">
        <v>0.5</v>
      </c>
      <c r="AE28" s="10"/>
      <c r="AF28" s="10">
        <v>0.5</v>
      </c>
      <c r="AJ28" s="10"/>
      <c r="AK28" s="10">
        <v>0.8</v>
      </c>
      <c r="AL28" s="10"/>
      <c r="AM28" s="10">
        <v>0.8</v>
      </c>
      <c r="AQ28" s="10"/>
      <c r="AR28" s="10">
        <v>0.8</v>
      </c>
      <c r="AS28" s="10"/>
      <c r="AT28" s="10">
        <v>0.8</v>
      </c>
      <c r="AX28" s="10"/>
      <c r="AY28" s="10">
        <v>0.8</v>
      </c>
      <c r="AZ28" s="10"/>
      <c r="BA28" s="10">
        <v>0.8</v>
      </c>
      <c r="BE28" s="10"/>
      <c r="BF28" s="10">
        <v>0.8</v>
      </c>
      <c r="BG28" s="10"/>
      <c r="BH28" s="10">
        <v>0.8</v>
      </c>
      <c r="BL28" s="10"/>
      <c r="BM28" s="10">
        <v>0.8</v>
      </c>
      <c r="BN28" s="10"/>
      <c r="BO28" s="10">
        <v>0.8</v>
      </c>
      <c r="BS28" s="10"/>
      <c r="BT28" s="10">
        <v>1</v>
      </c>
      <c r="BU28" s="10"/>
      <c r="BV28" s="10">
        <v>1</v>
      </c>
      <c r="BZ28" s="10"/>
      <c r="CA28" s="10">
        <v>1</v>
      </c>
      <c r="CB28" s="10"/>
      <c r="CC28" s="10">
        <v>1</v>
      </c>
      <c r="CG28" s="10"/>
      <c r="CH28" s="10">
        <v>1</v>
      </c>
      <c r="CI28" s="10"/>
      <c r="CJ28" s="10">
        <v>1</v>
      </c>
      <c r="CN28" s="10"/>
      <c r="CO28" s="10">
        <v>1</v>
      </c>
      <c r="CP28" s="10"/>
      <c r="CQ28" s="10">
        <v>1</v>
      </c>
      <c r="CU28" s="10"/>
      <c r="CV28" s="10">
        <v>1</v>
      </c>
      <c r="CW28" s="10"/>
      <c r="CX28" s="10">
        <v>1</v>
      </c>
      <c r="DB28" s="10"/>
      <c r="DC28" s="10"/>
      <c r="DD28" s="10"/>
      <c r="DE28" s="10"/>
      <c r="DI28" s="10"/>
      <c r="DJ28" s="10"/>
      <c r="DK28" s="10"/>
      <c r="DL28" s="10"/>
      <c r="DP28" s="10"/>
      <c r="DQ28" s="10"/>
      <c r="DR28" s="10"/>
      <c r="DS28" s="10"/>
    </row>
    <row r="29" spans="2:123" outlineLevel="1" x14ac:dyDescent="0.2">
      <c r="B29" t="s">
        <v>28</v>
      </c>
      <c r="C29" t="s">
        <v>94</v>
      </c>
      <c r="E29" s="9"/>
      <c r="F29" t="s">
        <v>111</v>
      </c>
      <c r="G29" s="10">
        <v>0.1</v>
      </c>
      <c r="I29" s="9">
        <f t="shared" si="2"/>
        <v>0</v>
      </c>
      <c r="J29" s="11" cm="1">
        <f t="array" ref="J29">MAX(IF($N$3:$DN$3=$J$3,N29:DN29))</f>
        <v>0</v>
      </c>
      <c r="K29" s="11" cm="1">
        <f t="array" ref="K29">MAX(IF($N$3:$DN$3=$J$3,N29:DN29))</f>
        <v>0</v>
      </c>
      <c r="L29" s="9"/>
      <c r="O29" s="10"/>
      <c r="P29" s="10"/>
      <c r="Q29" s="10"/>
      <c r="R29" s="10"/>
      <c r="V29" s="10"/>
      <c r="W29" s="10"/>
      <c r="X29" s="10"/>
      <c r="Y29" s="10"/>
      <c r="AC29" s="10"/>
      <c r="AD29" s="10"/>
      <c r="AE29" s="10"/>
      <c r="AF29" s="10"/>
      <c r="AJ29" s="10"/>
      <c r="AK29" s="10">
        <v>0.5</v>
      </c>
      <c r="AL29" s="10"/>
      <c r="AM29" s="10">
        <v>0.5</v>
      </c>
      <c r="AQ29" s="10"/>
      <c r="AR29" s="10">
        <v>0.8</v>
      </c>
      <c r="AS29" s="10"/>
      <c r="AT29" s="10">
        <v>0.8</v>
      </c>
      <c r="AX29" s="10"/>
      <c r="AY29" s="10">
        <v>0.8</v>
      </c>
      <c r="AZ29" s="10"/>
      <c r="BA29" s="10">
        <v>0.8</v>
      </c>
      <c r="BE29" s="10"/>
      <c r="BF29" s="10">
        <v>0.8</v>
      </c>
      <c r="BG29" s="10"/>
      <c r="BH29" s="10">
        <v>0.8</v>
      </c>
      <c r="BL29" s="10"/>
      <c r="BM29" s="10">
        <v>0.8</v>
      </c>
      <c r="BN29" s="10"/>
      <c r="BO29" s="10">
        <v>0.8</v>
      </c>
      <c r="BS29" s="10"/>
      <c r="BT29" s="10">
        <v>0.8</v>
      </c>
      <c r="BU29" s="10"/>
      <c r="BV29" s="10">
        <v>0.8</v>
      </c>
      <c r="BZ29" s="10"/>
      <c r="CA29" s="10">
        <v>1</v>
      </c>
      <c r="CB29" s="10"/>
      <c r="CC29" s="10">
        <v>1</v>
      </c>
      <c r="CG29" s="10"/>
      <c r="CH29" s="10">
        <v>1</v>
      </c>
      <c r="CI29" s="10"/>
      <c r="CJ29" s="10">
        <v>1</v>
      </c>
      <c r="CN29" s="10"/>
      <c r="CO29" s="10">
        <v>1</v>
      </c>
      <c r="CP29" s="10"/>
      <c r="CQ29" s="10">
        <v>1</v>
      </c>
      <c r="CU29" s="10"/>
      <c r="CV29" s="10">
        <v>1</v>
      </c>
      <c r="CW29" s="10"/>
      <c r="CX29" s="10">
        <v>1</v>
      </c>
      <c r="DB29" s="10"/>
      <c r="DC29" s="10"/>
      <c r="DD29" s="10"/>
      <c r="DE29" s="10"/>
      <c r="DI29" s="10"/>
      <c r="DJ29" s="10"/>
      <c r="DK29" s="10"/>
      <c r="DL29" s="10"/>
      <c r="DP29" s="10"/>
      <c r="DQ29" s="10"/>
      <c r="DR29" s="10"/>
      <c r="DS29" s="10"/>
    </row>
    <row r="30" spans="2:123" outlineLevel="1" x14ac:dyDescent="0.2">
      <c r="B30" t="s">
        <v>28</v>
      </c>
      <c r="C30" t="s">
        <v>94</v>
      </c>
      <c r="E30" s="9"/>
      <c r="F30" t="s">
        <v>112</v>
      </c>
      <c r="G30" s="10">
        <v>0.1</v>
      </c>
      <c r="I30" s="9">
        <f t="shared" si="2"/>
        <v>0</v>
      </c>
      <c r="J30" s="11" cm="1">
        <f t="array" ref="J30">MAX(IF($N$3:$DN$3=$J$3,N30:DN30))</f>
        <v>0</v>
      </c>
      <c r="K30" s="11" cm="1">
        <f t="array" ref="K30">MAX(IF($N$3:$DN$3=$J$3,N30:DN30))</f>
        <v>0</v>
      </c>
      <c r="L30" s="9"/>
      <c r="O30" s="10"/>
      <c r="P30" s="10"/>
      <c r="Q30" s="10"/>
      <c r="R30" s="10"/>
      <c r="V30" s="10"/>
      <c r="W30" s="10"/>
      <c r="X30" s="10"/>
      <c r="Y30" s="10"/>
      <c r="AC30" s="10"/>
      <c r="AD30" s="10"/>
      <c r="AE30" s="10"/>
      <c r="AF30" s="10"/>
      <c r="AJ30" s="10"/>
      <c r="AK30" s="10"/>
      <c r="AL30" s="10"/>
      <c r="AM30" s="10"/>
      <c r="AQ30" s="10"/>
      <c r="AR30" s="10">
        <v>0.5</v>
      </c>
      <c r="AS30" s="10"/>
      <c r="AT30" s="10">
        <v>0.5</v>
      </c>
      <c r="AX30" s="10"/>
      <c r="AY30" s="10">
        <v>0.5</v>
      </c>
      <c r="AZ30" s="10"/>
      <c r="BA30" s="10">
        <v>0.5</v>
      </c>
      <c r="BE30" s="10"/>
      <c r="BF30" s="10">
        <v>0.8</v>
      </c>
      <c r="BG30" s="10"/>
      <c r="BH30" s="10">
        <v>0.8</v>
      </c>
      <c r="BL30" s="10"/>
      <c r="BM30" s="10">
        <v>0.8</v>
      </c>
      <c r="BN30" s="10"/>
      <c r="BO30" s="10">
        <v>0.8</v>
      </c>
      <c r="BS30" s="10"/>
      <c r="BT30" s="10">
        <v>0.8</v>
      </c>
      <c r="BU30" s="10"/>
      <c r="BV30" s="10">
        <v>0.8</v>
      </c>
      <c r="BZ30" s="10"/>
      <c r="CA30" s="10">
        <v>1</v>
      </c>
      <c r="CB30" s="10"/>
      <c r="CC30" s="10">
        <v>1</v>
      </c>
      <c r="CG30" s="10"/>
      <c r="CH30" s="10">
        <v>1</v>
      </c>
      <c r="CI30" s="10"/>
      <c r="CJ30" s="10">
        <v>1</v>
      </c>
      <c r="CN30" s="10"/>
      <c r="CO30" s="10">
        <v>1</v>
      </c>
      <c r="CP30" s="10"/>
      <c r="CQ30" s="10">
        <v>1</v>
      </c>
      <c r="CU30" s="10"/>
      <c r="CV30" s="10">
        <v>1</v>
      </c>
      <c r="CW30" s="10"/>
      <c r="CX30" s="10">
        <v>1</v>
      </c>
      <c r="DB30" s="10"/>
      <c r="DC30" s="10"/>
      <c r="DD30" s="10"/>
      <c r="DE30" s="10"/>
      <c r="DI30" s="10"/>
      <c r="DJ30" s="10"/>
      <c r="DK30" s="10"/>
      <c r="DL30" s="10"/>
      <c r="DP30" s="10"/>
      <c r="DQ30" s="10"/>
      <c r="DR30" s="10"/>
      <c r="DS30" s="10"/>
    </row>
    <row r="31" spans="2:123" outlineLevel="1" x14ac:dyDescent="0.2">
      <c r="B31" t="s">
        <v>28</v>
      </c>
      <c r="C31" t="s">
        <v>94</v>
      </c>
      <c r="E31" s="9"/>
      <c r="F31" t="s">
        <v>113</v>
      </c>
      <c r="G31" s="10">
        <v>0.1</v>
      </c>
      <c r="I31" s="9">
        <f t="shared" si="2"/>
        <v>0</v>
      </c>
      <c r="J31" s="11" cm="1">
        <f t="array" ref="J31">MAX(IF($N$3:$DN$3=$J$3,N31:DN31))</f>
        <v>0</v>
      </c>
      <c r="K31" s="11" cm="1">
        <f t="array" ref="K31">MAX(IF($N$3:$DN$3=$J$3,N31:DN31))</f>
        <v>0</v>
      </c>
      <c r="L31" s="9"/>
      <c r="O31" s="10"/>
      <c r="P31" s="10"/>
      <c r="Q31" s="10"/>
      <c r="R31" s="10"/>
      <c r="V31" s="10"/>
      <c r="W31" s="10"/>
      <c r="X31" s="10"/>
      <c r="Y31" s="10"/>
      <c r="AC31" s="10"/>
      <c r="AD31" s="10"/>
      <c r="AE31" s="10"/>
      <c r="AF31" s="10"/>
      <c r="AJ31" s="10"/>
      <c r="AK31" s="10"/>
      <c r="AL31" s="10"/>
      <c r="AM31" s="10"/>
      <c r="AQ31" s="10"/>
      <c r="AR31" s="10"/>
      <c r="AS31" s="10"/>
      <c r="AT31" s="10"/>
      <c r="AX31" s="10"/>
      <c r="AY31" s="10">
        <v>0.5</v>
      </c>
      <c r="AZ31" s="10"/>
      <c r="BA31" s="10">
        <v>0.5</v>
      </c>
      <c r="BE31" s="10"/>
      <c r="BF31" s="10">
        <v>0.5</v>
      </c>
      <c r="BG31" s="10"/>
      <c r="BH31" s="10">
        <v>0.5</v>
      </c>
      <c r="BL31" s="10"/>
      <c r="BM31" s="10">
        <v>0.8</v>
      </c>
      <c r="BN31" s="10"/>
      <c r="BO31" s="10">
        <v>0.8</v>
      </c>
      <c r="BS31" s="10"/>
      <c r="BT31" s="10">
        <v>0.8</v>
      </c>
      <c r="BU31" s="10"/>
      <c r="BV31" s="10">
        <v>0.8</v>
      </c>
      <c r="BZ31" s="10"/>
      <c r="CA31" s="10">
        <v>0.8</v>
      </c>
      <c r="CB31" s="10"/>
      <c r="CC31" s="10">
        <v>0.8</v>
      </c>
      <c r="CG31" s="10"/>
      <c r="CH31" s="10">
        <v>1</v>
      </c>
      <c r="CI31" s="10"/>
      <c r="CJ31" s="10">
        <v>1</v>
      </c>
      <c r="CN31" s="10"/>
      <c r="CO31" s="10">
        <v>1</v>
      </c>
      <c r="CP31" s="10"/>
      <c r="CQ31" s="10">
        <v>1</v>
      </c>
      <c r="CU31" s="10"/>
      <c r="CV31" s="10">
        <v>1</v>
      </c>
      <c r="CW31" s="10"/>
      <c r="CX31" s="10">
        <v>1</v>
      </c>
      <c r="DB31" s="10"/>
      <c r="DC31" s="10"/>
      <c r="DD31" s="10"/>
      <c r="DE31" s="10"/>
      <c r="DI31" s="10"/>
      <c r="DJ31" s="10"/>
      <c r="DK31" s="10"/>
      <c r="DL31" s="10"/>
      <c r="DP31" s="10"/>
      <c r="DQ31" s="10"/>
      <c r="DR31" s="10"/>
      <c r="DS31" s="10"/>
    </row>
    <row r="32" spans="2:123" outlineLevel="1" x14ac:dyDescent="0.2">
      <c r="B32" t="s">
        <v>28</v>
      </c>
      <c r="C32" t="s">
        <v>94</v>
      </c>
      <c r="E32" s="9"/>
      <c r="F32" t="s">
        <v>114</v>
      </c>
      <c r="G32" s="10">
        <v>0.1</v>
      </c>
      <c r="I32" s="9">
        <f t="shared" si="2"/>
        <v>0</v>
      </c>
      <c r="J32" s="11" cm="1">
        <f t="array" ref="J32">MAX(IF($N$3:$DN$3=$J$3,N32:DN32))</f>
        <v>0</v>
      </c>
      <c r="K32" s="11" cm="1">
        <f t="array" ref="K32">MAX(IF($N$3:$DN$3=$J$3,N32:DN32))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v>0.5</v>
      </c>
      <c r="BG32" s="10"/>
      <c r="BH32" s="10">
        <v>0.5</v>
      </c>
      <c r="BL32" s="10"/>
      <c r="BM32" s="10">
        <v>0.5</v>
      </c>
      <c r="BN32" s="10"/>
      <c r="BO32" s="10">
        <v>0.5</v>
      </c>
      <c r="BS32" s="10"/>
      <c r="BT32" s="10">
        <v>0.8</v>
      </c>
      <c r="BU32" s="10"/>
      <c r="BV32" s="10">
        <v>0.8</v>
      </c>
      <c r="BZ32" s="10"/>
      <c r="CA32" s="10">
        <v>0.8</v>
      </c>
      <c r="CB32" s="10"/>
      <c r="CC32" s="10">
        <v>0.8</v>
      </c>
      <c r="CG32" s="10"/>
      <c r="CH32" s="10">
        <v>1</v>
      </c>
      <c r="CI32" s="10"/>
      <c r="CJ32" s="10">
        <v>1</v>
      </c>
      <c r="CN32" s="10"/>
      <c r="CO32" s="10">
        <v>1</v>
      </c>
      <c r="CP32" s="10"/>
      <c r="CQ32" s="10">
        <v>1</v>
      </c>
      <c r="CU32" s="10"/>
      <c r="CV32" s="10">
        <v>1</v>
      </c>
      <c r="CW32" s="10"/>
      <c r="CX32" s="10">
        <v>1</v>
      </c>
      <c r="DB32" s="10"/>
      <c r="DC32" s="10"/>
      <c r="DD32" s="10"/>
      <c r="DE32" s="10"/>
      <c r="DI32" s="10"/>
      <c r="DJ32" s="10"/>
      <c r="DK32" s="10"/>
      <c r="DL32" s="10"/>
      <c r="DP32" s="10"/>
      <c r="DQ32" s="10"/>
      <c r="DR32" s="10"/>
      <c r="DS32" s="10"/>
    </row>
    <row r="34" spans="2:123" x14ac:dyDescent="0.2">
      <c r="B34" t="s">
        <v>27</v>
      </c>
      <c r="C34" t="s">
        <v>90</v>
      </c>
      <c r="D34" s="19">
        <v>45275</v>
      </c>
      <c r="E34" s="9">
        <v>3</v>
      </c>
      <c r="G34" s="10">
        <f>+SUM(G35:G41)</f>
        <v>0.64999999999999991</v>
      </c>
      <c r="I34" s="12">
        <f>+SUM(I35:I41)</f>
        <v>0</v>
      </c>
      <c r="J34" s="11">
        <f>+SUMPRODUCT(G35:G41,J35:J41)</f>
        <v>0.21000000000000002</v>
      </c>
      <c r="K34" s="11">
        <f>+SUMPRODUCT(G35:G41,K35:K41)</f>
        <v>0.21000000000000002</v>
      </c>
      <c r="L34" s="9"/>
      <c r="N34" s="12">
        <f>+SUM(N35:N41)</f>
        <v>0</v>
      </c>
      <c r="U34" s="12">
        <f>+SUM(U35:U41)</f>
        <v>0</v>
      </c>
      <c r="AB34" s="12">
        <f>+SUM(AB35:AB41)</f>
        <v>0</v>
      </c>
      <c r="AI34" s="12">
        <f>+SUM(AI35:AI41)</f>
        <v>0</v>
      </c>
    </row>
    <row r="35" spans="2:123" outlineLevel="1" x14ac:dyDescent="0.2">
      <c r="B35" t="s">
        <v>28</v>
      </c>
      <c r="C35" t="s">
        <v>92</v>
      </c>
      <c r="E35" s="9"/>
      <c r="F35" t="s">
        <v>115</v>
      </c>
      <c r="G35" s="10">
        <v>0.1</v>
      </c>
      <c r="I35" s="9">
        <f t="shared" ref="I35:I41" si="3">+SUMIF($N$3:$YR$3,I$3,$N35:$YR35)</f>
        <v>0</v>
      </c>
      <c r="J35" s="11" cm="1">
        <f t="array" ref="J35">MAX(IF($N$3:$DN$3=$J$3,N35:DN35))</f>
        <v>0.8</v>
      </c>
      <c r="K35" s="11" cm="1">
        <f t="array" ref="K35">MAX(IF($N$3:$DN$3=$J$3,N35:DN35))</f>
        <v>0.8</v>
      </c>
      <c r="L35" s="9"/>
      <c r="O35" s="10">
        <v>0.8</v>
      </c>
      <c r="P35" s="10">
        <v>1</v>
      </c>
      <c r="Q35" s="10">
        <v>0.8</v>
      </c>
      <c r="R35" s="10">
        <v>1</v>
      </c>
      <c r="V35" s="10">
        <v>0.8</v>
      </c>
      <c r="W35" s="10">
        <v>1</v>
      </c>
      <c r="X35" s="10"/>
      <c r="Y35" s="10">
        <v>1</v>
      </c>
      <c r="AC35" s="10"/>
      <c r="AD35" s="10">
        <v>1</v>
      </c>
      <c r="AE35" s="10"/>
      <c r="AF35" s="10">
        <v>1</v>
      </c>
      <c r="AJ35" s="10"/>
      <c r="AK35" s="10">
        <v>1</v>
      </c>
      <c r="AL35" s="10"/>
      <c r="AM35" s="10">
        <v>1</v>
      </c>
      <c r="AQ35" s="10"/>
      <c r="AR35" s="10"/>
      <c r="AS35" s="10"/>
      <c r="AT35" s="10"/>
      <c r="AX35" s="10"/>
      <c r="AY35" s="10"/>
      <c r="AZ35" s="10"/>
      <c r="BA35" s="10"/>
      <c r="BE35" s="10"/>
      <c r="BF35" s="10"/>
      <c r="BG35" s="10"/>
      <c r="BH35" s="10"/>
      <c r="BL35" s="10"/>
      <c r="BM35" s="10"/>
      <c r="BN35" s="10"/>
      <c r="BO35" s="10"/>
      <c r="BS35" s="10"/>
      <c r="BT35" s="10"/>
      <c r="BU35" s="10"/>
      <c r="BV35" s="10"/>
      <c r="BZ35" s="10"/>
      <c r="CA35" s="10"/>
      <c r="CB35" s="10"/>
      <c r="CC35" s="10"/>
      <c r="CG35" s="10"/>
      <c r="CH35" s="10"/>
      <c r="CI35" s="10"/>
      <c r="CJ35" s="10"/>
      <c r="CN35" s="10"/>
      <c r="CO35" s="10"/>
      <c r="CP35" s="10"/>
      <c r="CQ35" s="10"/>
      <c r="CU35" s="10"/>
      <c r="CV35" s="10"/>
      <c r="CW35" s="10"/>
      <c r="CX35" s="10"/>
      <c r="DB35" s="10"/>
      <c r="DC35" s="10"/>
      <c r="DD35" s="10"/>
      <c r="DE35" s="10"/>
      <c r="DI35" s="10"/>
      <c r="DJ35" s="10"/>
      <c r="DK35" s="10"/>
      <c r="DL35" s="10"/>
      <c r="DP35" s="10"/>
      <c r="DQ35" s="10"/>
      <c r="DR35" s="10"/>
      <c r="DS35" s="10"/>
    </row>
    <row r="36" spans="2:123" outlineLevel="1" x14ac:dyDescent="0.2">
      <c r="B36" t="s">
        <v>28</v>
      </c>
      <c r="C36" t="s">
        <v>92</v>
      </c>
      <c r="E36" s="9"/>
      <c r="F36" t="s">
        <v>116</v>
      </c>
      <c r="G36" s="10">
        <v>0.05</v>
      </c>
      <c r="I36" s="9">
        <f t="shared" si="3"/>
        <v>0</v>
      </c>
      <c r="J36" s="11" cm="1">
        <f t="array" ref="J36">MAX(IF($N$3:$DN$3=$J$3,N36:DN36))</f>
        <v>0.6</v>
      </c>
      <c r="K36" s="11" cm="1">
        <f t="array" ref="K36">MAX(IF($N$3:$DN$3=$J$3,N36:DN36))</f>
        <v>0.6</v>
      </c>
      <c r="L36" s="9"/>
      <c r="O36" s="10">
        <v>0.6</v>
      </c>
      <c r="P36" s="10">
        <v>1</v>
      </c>
      <c r="Q36" s="10">
        <v>0.6</v>
      </c>
      <c r="R36" s="10">
        <v>1</v>
      </c>
      <c r="V36" s="10">
        <v>0.6</v>
      </c>
      <c r="W36" s="10">
        <v>1</v>
      </c>
      <c r="X36" s="10">
        <v>0.6</v>
      </c>
      <c r="Y36" s="10">
        <v>1</v>
      </c>
      <c r="AC36" s="10"/>
      <c r="AD36" s="10">
        <v>1</v>
      </c>
      <c r="AE36" s="10"/>
      <c r="AF36" s="10">
        <v>1</v>
      </c>
      <c r="AJ36" s="10"/>
      <c r="AK36" s="10">
        <v>1</v>
      </c>
      <c r="AL36" s="10"/>
      <c r="AM36" s="10">
        <v>1</v>
      </c>
      <c r="AQ36" s="10"/>
      <c r="AR36" s="10"/>
      <c r="AS36" s="10"/>
      <c r="AT36" s="10"/>
      <c r="AX36" s="10"/>
      <c r="AY36" s="10"/>
      <c r="AZ36" s="10"/>
      <c r="BA36" s="10"/>
      <c r="BE36" s="10"/>
      <c r="BF36" s="10"/>
      <c r="BG36" s="10"/>
      <c r="BH36" s="10"/>
      <c r="BL36" s="10"/>
      <c r="BM36" s="10"/>
      <c r="BN36" s="10"/>
      <c r="BO36" s="10"/>
      <c r="BS36" s="10"/>
      <c r="BT36" s="10"/>
      <c r="BU36" s="10"/>
      <c r="BV36" s="10"/>
      <c r="BZ36" s="10"/>
      <c r="CA36" s="10"/>
      <c r="CB36" s="10"/>
      <c r="CC36" s="10"/>
      <c r="CG36" s="10"/>
      <c r="CH36" s="10"/>
      <c r="CI36" s="10"/>
      <c r="CJ36" s="10"/>
      <c r="CN36" s="10"/>
      <c r="CO36" s="10"/>
      <c r="CP36" s="10"/>
      <c r="CQ36" s="10"/>
      <c r="CU36" s="10"/>
      <c r="CV36" s="10"/>
      <c r="CW36" s="10"/>
      <c r="CX36" s="10"/>
      <c r="DB36" s="10"/>
      <c r="DC36" s="10"/>
      <c r="DD36" s="10"/>
      <c r="DE36" s="10"/>
      <c r="DI36" s="10"/>
      <c r="DJ36" s="10"/>
      <c r="DK36" s="10"/>
      <c r="DL36" s="10"/>
      <c r="DP36" s="10"/>
      <c r="DQ36" s="10"/>
      <c r="DR36" s="10"/>
      <c r="DS36" s="10"/>
    </row>
    <row r="37" spans="2:123" outlineLevel="1" x14ac:dyDescent="0.2">
      <c r="B37" t="s">
        <v>28</v>
      </c>
      <c r="C37" t="s">
        <v>92</v>
      </c>
      <c r="E37" s="9"/>
      <c r="F37" t="s">
        <v>117</v>
      </c>
      <c r="G37" s="10">
        <v>0.1</v>
      </c>
      <c r="I37" s="9">
        <f t="shared" si="3"/>
        <v>0</v>
      </c>
      <c r="J37" s="11" cm="1">
        <f t="array" ref="J37">MAX(IF($N$3:$DN$3=$J$3,N37:DN37))</f>
        <v>0.5</v>
      </c>
      <c r="K37" s="11" cm="1">
        <f t="array" ref="K37">MAX(IF($N$3:$DN$3=$J$3,N37:DN37))</f>
        <v>0.5</v>
      </c>
      <c r="L37" s="9"/>
      <c r="O37" s="10">
        <v>0.5</v>
      </c>
      <c r="P37" s="10">
        <v>1</v>
      </c>
      <c r="Q37" s="10">
        <v>0.5</v>
      </c>
      <c r="R37" s="10">
        <v>1</v>
      </c>
      <c r="V37" s="10">
        <v>0.5</v>
      </c>
      <c r="W37" s="10">
        <v>1</v>
      </c>
      <c r="X37" s="10">
        <v>0.5</v>
      </c>
      <c r="Y37" s="10">
        <v>1</v>
      </c>
      <c r="AC37" s="10"/>
      <c r="AD37" s="10">
        <v>1</v>
      </c>
      <c r="AE37" s="10"/>
      <c r="AF37" s="10">
        <v>1</v>
      </c>
      <c r="AJ37" s="10"/>
      <c r="AK37" s="10">
        <v>1</v>
      </c>
      <c r="AL37" s="10"/>
      <c r="AM37" s="10">
        <v>1</v>
      </c>
      <c r="AQ37" s="10"/>
      <c r="AR37" s="10"/>
      <c r="AS37" s="10"/>
      <c r="AT37" s="10"/>
      <c r="AX37" s="10"/>
      <c r="AY37" s="10"/>
      <c r="AZ37" s="10"/>
      <c r="BA37" s="10"/>
      <c r="BE37" s="10"/>
      <c r="BF37" s="10"/>
      <c r="BG37" s="10"/>
      <c r="BH37" s="10"/>
      <c r="BL37" s="10"/>
      <c r="BM37" s="10"/>
      <c r="BN37" s="10"/>
      <c r="BO37" s="10"/>
      <c r="BS37" s="10"/>
      <c r="BT37" s="10"/>
      <c r="BU37" s="10"/>
      <c r="BV37" s="10"/>
      <c r="BZ37" s="10"/>
      <c r="CA37" s="10"/>
      <c r="CB37" s="10"/>
      <c r="CC37" s="10"/>
      <c r="CG37" s="10"/>
      <c r="CH37" s="10"/>
      <c r="CI37" s="10"/>
      <c r="CJ37" s="10"/>
      <c r="CN37" s="10"/>
      <c r="CO37" s="10"/>
      <c r="CP37" s="10"/>
      <c r="CQ37" s="10"/>
      <c r="CU37" s="10"/>
      <c r="CV37" s="10"/>
      <c r="CW37" s="10"/>
      <c r="CX37" s="10"/>
      <c r="DB37" s="10"/>
      <c r="DC37" s="10"/>
      <c r="DD37" s="10"/>
      <c r="DE37" s="10"/>
      <c r="DI37" s="10"/>
      <c r="DJ37" s="10"/>
      <c r="DK37" s="10"/>
      <c r="DL37" s="10"/>
      <c r="DP37" s="10"/>
      <c r="DQ37" s="10"/>
      <c r="DR37" s="10"/>
      <c r="DS37" s="10"/>
    </row>
    <row r="38" spans="2:123" outlineLevel="1" x14ac:dyDescent="0.2">
      <c r="B38" t="s">
        <v>28</v>
      </c>
      <c r="C38" t="s">
        <v>92</v>
      </c>
      <c r="E38" s="9"/>
      <c r="F38" t="s">
        <v>118</v>
      </c>
      <c r="G38" s="10">
        <v>0.1</v>
      </c>
      <c r="I38" s="9">
        <f t="shared" si="3"/>
        <v>0</v>
      </c>
      <c r="J38" s="11" cm="1">
        <f t="array" ref="J38">MAX(IF($N$3:$DN$3=$J$3,N38:DN38))</f>
        <v>0.5</v>
      </c>
      <c r="K38" s="11" cm="1">
        <f t="array" ref="K38">MAX(IF($N$3:$DN$3=$J$3,N38:DN38))</f>
        <v>0.5</v>
      </c>
      <c r="L38" s="9"/>
      <c r="O38" s="10">
        <v>0.5</v>
      </c>
      <c r="P38" s="10">
        <v>0.5</v>
      </c>
      <c r="Q38" s="10">
        <v>0.5</v>
      </c>
      <c r="R38" s="10">
        <v>0.5</v>
      </c>
      <c r="V38" s="10"/>
      <c r="W38" s="10">
        <v>1</v>
      </c>
      <c r="X38" s="10"/>
      <c r="Y38" s="10">
        <v>1</v>
      </c>
      <c r="AC38" s="10"/>
      <c r="AD38" s="10">
        <v>1</v>
      </c>
      <c r="AE38" s="10"/>
      <c r="AF38" s="10">
        <v>1</v>
      </c>
      <c r="AJ38" s="10"/>
      <c r="AK38" s="10">
        <v>1</v>
      </c>
      <c r="AL38" s="10"/>
      <c r="AM38" s="10">
        <v>1</v>
      </c>
      <c r="AQ38" s="10"/>
      <c r="AR38" s="10"/>
      <c r="AS38" s="10"/>
      <c r="AT38" s="10"/>
      <c r="AX38" s="10"/>
      <c r="AY38" s="10"/>
      <c r="AZ38" s="10"/>
      <c r="BA38" s="10"/>
      <c r="BE38" s="10"/>
      <c r="BF38" s="10"/>
      <c r="BG38" s="10"/>
      <c r="BH38" s="10"/>
      <c r="BL38" s="10"/>
      <c r="BM38" s="10"/>
      <c r="BN38" s="10"/>
      <c r="BO38" s="10"/>
      <c r="BS38" s="10"/>
      <c r="BT38" s="10"/>
      <c r="BU38" s="10"/>
      <c r="BV38" s="10"/>
      <c r="BZ38" s="10"/>
      <c r="CA38" s="10"/>
      <c r="CB38" s="10"/>
      <c r="CC38" s="10"/>
      <c r="CG38" s="10"/>
      <c r="CH38" s="10"/>
      <c r="CI38" s="10"/>
      <c r="CJ38" s="10"/>
      <c r="CN38" s="10"/>
      <c r="CO38" s="10"/>
      <c r="CP38" s="10"/>
      <c r="CQ38" s="10"/>
      <c r="CU38" s="10"/>
      <c r="CV38" s="10"/>
      <c r="CW38" s="10"/>
      <c r="CX38" s="10"/>
      <c r="DB38" s="10"/>
      <c r="DC38" s="10"/>
      <c r="DD38" s="10"/>
      <c r="DE38" s="10"/>
      <c r="DI38" s="10"/>
      <c r="DJ38" s="10"/>
      <c r="DK38" s="10"/>
      <c r="DL38" s="10"/>
      <c r="DP38" s="10"/>
      <c r="DQ38" s="10"/>
      <c r="DR38" s="10"/>
      <c r="DS38" s="10"/>
    </row>
    <row r="39" spans="2:123" outlineLevel="1" x14ac:dyDescent="0.2">
      <c r="B39" t="s">
        <v>28</v>
      </c>
      <c r="C39" t="s">
        <v>92</v>
      </c>
      <c r="E39" s="9"/>
      <c r="F39" t="s">
        <v>119</v>
      </c>
      <c r="G39" s="10">
        <v>0.1</v>
      </c>
      <c r="I39" s="9">
        <f t="shared" si="3"/>
        <v>0</v>
      </c>
      <c r="J39" s="11" cm="1">
        <f t="array" ref="J39">MAX(IF($N$3:$DN$3=$J$3,N39:DN39))</f>
        <v>0</v>
      </c>
      <c r="K39" s="11" cm="1">
        <f t="array" ref="K39">MAX(IF($N$3:$DN$3=$J$3,N39:DN39))</f>
        <v>0</v>
      </c>
      <c r="L39" s="9"/>
      <c r="O39" s="10"/>
      <c r="P39" s="10">
        <v>0.5</v>
      </c>
      <c r="Q39" s="10"/>
      <c r="R39" s="10">
        <v>0.5</v>
      </c>
      <c r="V39" s="10"/>
      <c r="W39" s="10">
        <v>1</v>
      </c>
      <c r="X39" s="10"/>
      <c r="Y39" s="10">
        <v>1</v>
      </c>
      <c r="AC39" s="10"/>
      <c r="AD39" s="10">
        <v>1</v>
      </c>
      <c r="AE39" s="10"/>
      <c r="AF39" s="10">
        <v>1</v>
      </c>
      <c r="AJ39" s="10"/>
      <c r="AK39" s="10">
        <v>1</v>
      </c>
      <c r="AL39" s="10"/>
      <c r="AM39" s="10">
        <v>1</v>
      </c>
      <c r="AQ39" s="10"/>
      <c r="AR39" s="10"/>
      <c r="AS39" s="10"/>
      <c r="AT39" s="10"/>
      <c r="AX39" s="10"/>
      <c r="AY39" s="10"/>
      <c r="AZ39" s="10"/>
      <c r="BA39" s="10"/>
      <c r="BE39" s="10"/>
      <c r="BF39" s="10"/>
      <c r="BG39" s="10"/>
      <c r="BH39" s="10"/>
      <c r="BL39" s="10"/>
      <c r="BM39" s="10"/>
      <c r="BN39" s="10"/>
      <c r="BO39" s="10"/>
      <c r="BS39" s="10"/>
      <c r="BT39" s="10"/>
      <c r="BU39" s="10"/>
      <c r="BV39" s="10"/>
      <c r="BZ39" s="10"/>
      <c r="CA39" s="10"/>
      <c r="CB39" s="10"/>
      <c r="CC39" s="10"/>
      <c r="CG39" s="10"/>
      <c r="CH39" s="10"/>
      <c r="CI39" s="10"/>
      <c r="CJ39" s="10"/>
      <c r="CN39" s="10"/>
      <c r="CO39" s="10"/>
      <c r="CP39" s="10"/>
      <c r="CQ39" s="10"/>
      <c r="CU39" s="10"/>
      <c r="CV39" s="10"/>
      <c r="CW39" s="10"/>
      <c r="CX39" s="10"/>
      <c r="DB39" s="10"/>
      <c r="DC39" s="10"/>
      <c r="DD39" s="10"/>
      <c r="DE39" s="10"/>
      <c r="DI39" s="10"/>
      <c r="DJ39" s="10"/>
      <c r="DK39" s="10"/>
      <c r="DL39" s="10"/>
      <c r="DP39" s="10"/>
      <c r="DQ39" s="10"/>
      <c r="DR39" s="10"/>
      <c r="DS39" s="10"/>
    </row>
    <row r="40" spans="2:123" outlineLevel="1" x14ac:dyDescent="0.2">
      <c r="B40" t="s">
        <v>28</v>
      </c>
      <c r="C40" t="s">
        <v>92</v>
      </c>
      <c r="E40" s="9"/>
      <c r="F40" t="s">
        <v>120</v>
      </c>
      <c r="G40" s="10">
        <v>0.1</v>
      </c>
      <c r="I40" s="9">
        <f t="shared" si="3"/>
        <v>0</v>
      </c>
      <c r="J40" s="11" cm="1">
        <f t="array" ref="J40">MAX(IF($N$3:$DN$3=$J$3,N40:DN40))</f>
        <v>0</v>
      </c>
      <c r="K40" s="11" cm="1">
        <f t="array" ref="K40">MAX(IF($N$3:$DN$3=$J$3,N40:DN40))</f>
        <v>0</v>
      </c>
      <c r="L40" s="9"/>
      <c r="O40" s="10"/>
      <c r="P40" s="10"/>
      <c r="Q40" s="10"/>
      <c r="R40" s="10"/>
      <c r="V40" s="10"/>
      <c r="W40" s="10">
        <v>0.5</v>
      </c>
      <c r="X40" s="10"/>
      <c r="Y40" s="10">
        <v>0.5</v>
      </c>
      <c r="AC40" s="10"/>
      <c r="AD40" s="10">
        <v>0.8</v>
      </c>
      <c r="AE40" s="10"/>
      <c r="AF40" s="10">
        <v>0.8</v>
      </c>
      <c r="AJ40" s="10"/>
      <c r="AK40" s="10">
        <v>1</v>
      </c>
      <c r="AL40" s="10"/>
      <c r="AM40" s="10">
        <v>1</v>
      </c>
      <c r="AQ40" s="10"/>
      <c r="AR40" s="10"/>
      <c r="AS40" s="10"/>
      <c r="AT40" s="10"/>
      <c r="AX40" s="10"/>
      <c r="AY40" s="10"/>
      <c r="AZ40" s="10"/>
      <c r="BA40" s="10"/>
      <c r="BE40" s="10"/>
      <c r="BF40" s="10"/>
      <c r="BG40" s="10"/>
      <c r="BH40" s="10"/>
      <c r="BL40" s="10"/>
      <c r="BM40" s="10"/>
      <c r="BN40" s="10"/>
      <c r="BO40" s="10"/>
      <c r="BS40" s="10"/>
      <c r="BT40" s="10"/>
      <c r="BU40" s="10"/>
      <c r="BV40" s="10"/>
      <c r="BZ40" s="10"/>
      <c r="CA40" s="10"/>
      <c r="CB40" s="10"/>
      <c r="CC40" s="10"/>
      <c r="CG40" s="10"/>
      <c r="CH40" s="10"/>
      <c r="CI40" s="10"/>
      <c r="CJ40" s="10"/>
      <c r="CN40" s="10"/>
      <c r="CO40" s="10"/>
      <c r="CP40" s="10"/>
      <c r="CQ40" s="10"/>
      <c r="CU40" s="10"/>
      <c r="CV40" s="10"/>
      <c r="CW40" s="10"/>
      <c r="CX40" s="10"/>
      <c r="DB40" s="10"/>
      <c r="DC40" s="10"/>
      <c r="DD40" s="10"/>
      <c r="DE40" s="10"/>
      <c r="DI40" s="10"/>
      <c r="DJ40" s="10"/>
      <c r="DK40" s="10"/>
      <c r="DL40" s="10"/>
      <c r="DP40" s="10"/>
      <c r="DQ40" s="10"/>
      <c r="DR40" s="10"/>
      <c r="DS40" s="10"/>
    </row>
    <row r="41" spans="2:123" outlineLevel="1" x14ac:dyDescent="0.2">
      <c r="B41" t="s">
        <v>28</v>
      </c>
      <c r="C41" t="s">
        <v>92</v>
      </c>
      <c r="E41" s="9"/>
      <c r="F41" t="s">
        <v>121</v>
      </c>
      <c r="G41" s="10">
        <v>0.1</v>
      </c>
      <c r="I41" s="9">
        <f t="shared" si="3"/>
        <v>0</v>
      </c>
      <c r="J41" s="11" cm="1">
        <f t="array" ref="J41">MAX(IF($N$3:$DN$3=$J$3,N41:DN41))</f>
        <v>0</v>
      </c>
      <c r="K41" s="11" cm="1">
        <f t="array" ref="K41">MAX(IF($N$3:$DN$3=$J$3,N41:DN41))</f>
        <v>0</v>
      </c>
      <c r="L41" s="9"/>
      <c r="O41" s="10"/>
      <c r="P41" s="10"/>
      <c r="Q41" s="10"/>
      <c r="R41" s="10"/>
      <c r="V41" s="10"/>
      <c r="W41" s="10">
        <v>0.5</v>
      </c>
      <c r="X41" s="10"/>
      <c r="Y41" s="10">
        <v>0.5</v>
      </c>
      <c r="AC41" s="10"/>
      <c r="AD41" s="10">
        <v>0.8</v>
      </c>
      <c r="AE41" s="10"/>
      <c r="AF41" s="10">
        <v>0.8</v>
      </c>
      <c r="AJ41" s="10"/>
      <c r="AK41" s="10">
        <v>1</v>
      </c>
      <c r="AL41" s="10"/>
      <c r="AM41" s="10">
        <v>1</v>
      </c>
      <c r="AQ41" s="10"/>
      <c r="AR41" s="10"/>
      <c r="AS41" s="10"/>
      <c r="AT41" s="10"/>
      <c r="AX41" s="10"/>
      <c r="AY41" s="10"/>
      <c r="AZ41" s="10"/>
      <c r="BA41" s="10"/>
      <c r="BE41" s="10"/>
      <c r="BF41" s="10"/>
      <c r="BG41" s="10"/>
      <c r="BH41" s="10"/>
      <c r="BL41" s="10"/>
      <c r="BM41" s="10"/>
      <c r="BN41" s="10"/>
      <c r="BO41" s="10"/>
      <c r="BS41" s="10"/>
      <c r="BT41" s="10"/>
      <c r="BU41" s="10"/>
      <c r="BV41" s="10"/>
      <c r="BZ41" s="10"/>
      <c r="CA41" s="10"/>
      <c r="CB41" s="10"/>
      <c r="CC41" s="10"/>
      <c r="CG41" s="10"/>
      <c r="CH41" s="10"/>
      <c r="CI41" s="10"/>
      <c r="CJ41" s="10"/>
      <c r="CN41" s="10"/>
      <c r="CO41" s="10"/>
      <c r="CP41" s="10"/>
      <c r="CQ41" s="10"/>
      <c r="CU41" s="10"/>
      <c r="CV41" s="10"/>
      <c r="CW41" s="10"/>
      <c r="CX41" s="10"/>
      <c r="DB41" s="10"/>
      <c r="DC41" s="10"/>
      <c r="DD41" s="10"/>
      <c r="DE41" s="10"/>
      <c r="DI41" s="10"/>
      <c r="DJ41" s="10"/>
      <c r="DK41" s="10"/>
      <c r="DL41" s="10"/>
      <c r="DP41" s="10"/>
      <c r="DQ41" s="10"/>
      <c r="DR41" s="10"/>
      <c r="DS41" s="10"/>
    </row>
    <row r="43" spans="2:123" x14ac:dyDescent="0.2">
      <c r="B43" t="s">
        <v>27</v>
      </c>
      <c r="C43" t="s">
        <v>91</v>
      </c>
      <c r="D43" s="19">
        <v>45351</v>
      </c>
      <c r="E43" s="9">
        <v>6</v>
      </c>
      <c r="G43" s="10">
        <f>+SUM(G44:G53)</f>
        <v>0.79999999999999993</v>
      </c>
      <c r="I43" s="12">
        <f>+SUM(I44:I53)</f>
        <v>0</v>
      </c>
      <c r="J43" s="11">
        <f>+SUMPRODUCT(G44:G53,J44:J53)</f>
        <v>4.0000000000000008E-2</v>
      </c>
      <c r="K43" s="11">
        <f>+SUMPRODUCT(G44:G53,K44:K53)</f>
        <v>4.0000000000000008E-2</v>
      </c>
      <c r="L43" s="9"/>
      <c r="N43" s="12">
        <f>+SUM(N44:N53)</f>
        <v>0</v>
      </c>
      <c r="U43" s="12">
        <f>+SUM(U44:U53)</f>
        <v>0</v>
      </c>
      <c r="AB43" s="12">
        <f>+SUM(AB44:AB53)</f>
        <v>0</v>
      </c>
      <c r="AI43" s="12">
        <f>+SUM(AI44:AI53)</f>
        <v>0</v>
      </c>
    </row>
    <row r="44" spans="2:123" outlineLevel="1" x14ac:dyDescent="0.2">
      <c r="B44" t="s">
        <v>28</v>
      </c>
      <c r="C44" t="s">
        <v>91</v>
      </c>
      <c r="E44" s="9"/>
      <c r="F44" t="s">
        <v>134</v>
      </c>
      <c r="G44" s="10">
        <v>0.1</v>
      </c>
      <c r="I44" s="9">
        <f t="shared" ref="I44:I52" si="4">+SUMIF($N$3:$YR$3,I$3,$N44:$YR44)</f>
        <v>0</v>
      </c>
      <c r="J44" s="11" cm="1">
        <f t="array" ref="J44">MAX(IF($N$3:$DN$3=$J$3,N44:DN44))</f>
        <v>0.4</v>
      </c>
      <c r="K44" s="11" cm="1">
        <f t="array" ref="K44">MAX(IF($N$3:$DN$3=$J$3,N44:DN44))</f>
        <v>0.4</v>
      </c>
      <c r="L44" s="9"/>
      <c r="O44" s="10">
        <v>0.4</v>
      </c>
      <c r="P44" s="10">
        <v>0.8</v>
      </c>
      <c r="Q44" s="10">
        <v>0.5</v>
      </c>
      <c r="R44" s="10">
        <v>0.8</v>
      </c>
      <c r="V44" s="10"/>
      <c r="W44" s="10">
        <v>0.8</v>
      </c>
      <c r="X44" s="10"/>
      <c r="Y44" s="10">
        <v>0.8</v>
      </c>
      <c r="AC44" s="10"/>
      <c r="AD44" s="10">
        <v>0.8</v>
      </c>
      <c r="AE44" s="10"/>
      <c r="AF44" s="10">
        <v>0.8</v>
      </c>
      <c r="AJ44" s="10"/>
      <c r="AK44" s="10">
        <v>0.8</v>
      </c>
      <c r="AL44" s="10"/>
      <c r="AM44" s="10">
        <v>0.8</v>
      </c>
      <c r="AQ44" s="10"/>
      <c r="AR44" s="10">
        <v>1</v>
      </c>
      <c r="AS44" s="10"/>
      <c r="AT44" s="10">
        <v>1</v>
      </c>
      <c r="AX44" s="10"/>
      <c r="AY44" s="10">
        <v>1</v>
      </c>
      <c r="AZ44" s="10"/>
      <c r="BA44" s="10">
        <v>1</v>
      </c>
      <c r="BE44" s="10"/>
      <c r="BF44" s="10">
        <v>1</v>
      </c>
      <c r="BG44" s="10"/>
      <c r="BH44" s="10">
        <v>1</v>
      </c>
      <c r="BL44" s="10"/>
      <c r="BM44" s="10">
        <v>1</v>
      </c>
      <c r="BN44" s="10"/>
      <c r="BO44" s="10">
        <v>1</v>
      </c>
      <c r="BS44" s="10"/>
      <c r="BT44" s="10">
        <v>1</v>
      </c>
      <c r="BU44" s="10"/>
      <c r="BV44" s="10">
        <v>1</v>
      </c>
      <c r="BZ44" s="10"/>
      <c r="CA44" s="10">
        <v>1</v>
      </c>
      <c r="CB44" s="10"/>
      <c r="CC44" s="10">
        <v>1</v>
      </c>
      <c r="CG44" s="10"/>
      <c r="CH44" s="10">
        <v>1</v>
      </c>
      <c r="CI44" s="10"/>
      <c r="CJ44" s="10">
        <v>1</v>
      </c>
      <c r="CN44" s="10"/>
      <c r="CO44" s="10">
        <v>1</v>
      </c>
      <c r="CP44" s="10"/>
      <c r="CQ44" s="10">
        <v>1</v>
      </c>
      <c r="CU44" s="10"/>
      <c r="CV44" s="10">
        <v>1</v>
      </c>
      <c r="CW44" s="10"/>
      <c r="CX44" s="10">
        <v>1</v>
      </c>
      <c r="DB44" s="10"/>
      <c r="DC44" s="10"/>
      <c r="DD44" s="10"/>
      <c r="DE44" s="10"/>
      <c r="DI44" s="10"/>
      <c r="DJ44" s="10"/>
      <c r="DK44" s="10"/>
      <c r="DL44" s="10"/>
      <c r="DP44" s="10"/>
      <c r="DQ44" s="10"/>
      <c r="DR44" s="10"/>
      <c r="DS44" s="10"/>
    </row>
    <row r="45" spans="2:123" outlineLevel="1" x14ac:dyDescent="0.2">
      <c r="B45" t="s">
        <v>28</v>
      </c>
      <c r="C45" t="s">
        <v>91</v>
      </c>
      <c r="E45" s="9"/>
      <c r="F45" t="s">
        <v>135</v>
      </c>
      <c r="G45" s="10">
        <v>0.05</v>
      </c>
      <c r="I45" s="9">
        <f t="shared" si="4"/>
        <v>0</v>
      </c>
      <c r="J45" s="11" cm="1">
        <f t="array" ref="J45">MAX(IF($N$3:$DN$3=$J$3,N45:DN45))</f>
        <v>0</v>
      </c>
      <c r="K45" s="11" cm="1">
        <f t="array" ref="K45">MAX(IF($N$3:$DN$3=$J$3,N45:DN45))</f>
        <v>0</v>
      </c>
      <c r="L45" s="9"/>
      <c r="O45" s="10"/>
      <c r="P45" s="10"/>
      <c r="Q45" s="10"/>
      <c r="R45" s="10"/>
      <c r="V45" s="10"/>
      <c r="W45" s="10">
        <v>0.5</v>
      </c>
      <c r="X45" s="10"/>
      <c r="Y45" s="10">
        <v>0.5</v>
      </c>
      <c r="AC45" s="10"/>
      <c r="AD45" s="10">
        <v>0.8</v>
      </c>
      <c r="AE45" s="10"/>
      <c r="AF45" s="10">
        <v>0.8</v>
      </c>
      <c r="AJ45" s="10"/>
      <c r="AK45" s="10">
        <v>0.8</v>
      </c>
      <c r="AL45" s="10"/>
      <c r="AM45" s="10">
        <v>0.8</v>
      </c>
      <c r="AQ45" s="10"/>
      <c r="AR45" s="20">
        <v>0.8</v>
      </c>
      <c r="AS45" s="10"/>
      <c r="AT45" s="20">
        <v>0.8</v>
      </c>
      <c r="AX45" s="10"/>
      <c r="AY45" s="20">
        <v>0.8</v>
      </c>
      <c r="AZ45" s="10"/>
      <c r="BA45" s="20">
        <v>0.8</v>
      </c>
      <c r="BE45" s="10"/>
      <c r="BF45" s="10">
        <v>0.8</v>
      </c>
      <c r="BG45" s="10"/>
      <c r="BH45" s="10">
        <v>0.8</v>
      </c>
      <c r="BL45" s="10"/>
      <c r="BM45" s="10">
        <v>1</v>
      </c>
      <c r="BN45" s="10"/>
      <c r="BO45" s="10">
        <v>1</v>
      </c>
      <c r="BS45" s="10"/>
      <c r="BT45" s="10">
        <v>1</v>
      </c>
      <c r="BU45" s="10"/>
      <c r="BV45" s="10">
        <v>1</v>
      </c>
      <c r="BZ45" s="10"/>
      <c r="CA45" s="10">
        <v>1</v>
      </c>
      <c r="CB45" s="10"/>
      <c r="CC45" s="10">
        <v>1</v>
      </c>
      <c r="CG45" s="10"/>
      <c r="CH45" s="10">
        <v>1</v>
      </c>
      <c r="CI45" s="10"/>
      <c r="CJ45" s="10">
        <v>1</v>
      </c>
      <c r="CN45" s="10"/>
      <c r="CO45" s="10">
        <v>1</v>
      </c>
      <c r="CP45" s="10"/>
      <c r="CQ45" s="10">
        <v>1</v>
      </c>
      <c r="CU45" s="10"/>
      <c r="CV45" s="10">
        <v>1</v>
      </c>
      <c r="CW45" s="10"/>
      <c r="CX45" s="10">
        <v>1</v>
      </c>
      <c r="DB45" s="10"/>
      <c r="DC45" s="10"/>
      <c r="DD45" s="10"/>
      <c r="DE45" s="10"/>
      <c r="DI45" s="10"/>
      <c r="DJ45" s="10"/>
      <c r="DK45" s="10"/>
      <c r="DL45" s="10"/>
      <c r="DP45" s="10"/>
      <c r="DQ45" s="10"/>
      <c r="DR45" s="10"/>
      <c r="DS45" s="10"/>
    </row>
    <row r="46" spans="2:123" outlineLevel="1" x14ac:dyDescent="0.2">
      <c r="B46" t="s">
        <v>28</v>
      </c>
      <c r="C46" t="s">
        <v>91</v>
      </c>
      <c r="E46" s="9"/>
      <c r="F46" t="s">
        <v>136</v>
      </c>
      <c r="G46" s="10">
        <v>0.05</v>
      </c>
      <c r="I46" s="9">
        <f t="shared" si="4"/>
        <v>0</v>
      </c>
      <c r="J46" s="11" cm="1">
        <f t="array" ref="J46">MAX(IF($N$3:$DN$3=$J$3,N46:DN46))</f>
        <v>0</v>
      </c>
      <c r="K46" s="11" cm="1">
        <f t="array" ref="K46">MAX(IF($N$3:$DN$3=$J$3,N46:DN46))</f>
        <v>0</v>
      </c>
      <c r="L46" s="9"/>
      <c r="O46" s="10"/>
      <c r="P46" s="10"/>
      <c r="Q46" s="10"/>
      <c r="R46" s="10"/>
      <c r="V46" s="10"/>
      <c r="W46" s="10"/>
      <c r="X46" s="10"/>
      <c r="Y46" s="10"/>
      <c r="AC46" s="10"/>
      <c r="AD46" s="10">
        <v>0.5</v>
      </c>
      <c r="AE46" s="10"/>
      <c r="AF46" s="10">
        <v>0.5</v>
      </c>
      <c r="AJ46" s="10"/>
      <c r="AK46" s="10">
        <v>0.8</v>
      </c>
      <c r="AL46" s="10"/>
      <c r="AM46" s="10">
        <v>0.8</v>
      </c>
      <c r="AQ46" s="10"/>
      <c r="AR46" s="20">
        <v>0.8</v>
      </c>
      <c r="AS46" s="10"/>
      <c r="AT46" s="20">
        <v>0.8</v>
      </c>
      <c r="AX46" s="10"/>
      <c r="AY46" s="20">
        <v>0.8</v>
      </c>
      <c r="AZ46" s="10"/>
      <c r="BA46" s="20">
        <v>0.8</v>
      </c>
      <c r="BE46" s="10"/>
      <c r="BF46" s="10">
        <v>0.8</v>
      </c>
      <c r="BG46" s="10"/>
      <c r="BH46" s="10">
        <v>0.8</v>
      </c>
      <c r="BL46" s="10"/>
      <c r="BM46" s="10">
        <v>0.8</v>
      </c>
      <c r="BN46" s="10"/>
      <c r="BO46" s="10">
        <v>0.8</v>
      </c>
      <c r="BS46" s="10"/>
      <c r="BT46" s="10">
        <v>1</v>
      </c>
      <c r="BU46" s="10"/>
      <c r="BV46" s="10">
        <v>1</v>
      </c>
      <c r="BZ46" s="10"/>
      <c r="CA46" s="10">
        <v>1</v>
      </c>
      <c r="CB46" s="10"/>
      <c r="CC46" s="10">
        <v>1</v>
      </c>
      <c r="CG46" s="10"/>
      <c r="CH46" s="10">
        <v>1</v>
      </c>
      <c r="CI46" s="10"/>
      <c r="CJ46" s="10">
        <v>1</v>
      </c>
      <c r="CN46" s="10"/>
      <c r="CO46" s="10">
        <v>1</v>
      </c>
      <c r="CP46" s="10"/>
      <c r="CQ46" s="10">
        <v>1</v>
      </c>
      <c r="CU46" s="10"/>
      <c r="CV46" s="10">
        <v>1</v>
      </c>
      <c r="CW46" s="10"/>
      <c r="CX46" s="10">
        <v>1</v>
      </c>
      <c r="DB46" s="10"/>
      <c r="DC46" s="10"/>
      <c r="DD46" s="10"/>
      <c r="DE46" s="10"/>
      <c r="DI46" s="10"/>
      <c r="DJ46" s="10"/>
      <c r="DK46" s="10"/>
      <c r="DL46" s="10"/>
      <c r="DP46" s="10"/>
      <c r="DQ46" s="10"/>
      <c r="DR46" s="10"/>
      <c r="DS46" s="10"/>
    </row>
    <row r="47" spans="2:123" outlineLevel="1" x14ac:dyDescent="0.2">
      <c r="B47" t="s">
        <v>28</v>
      </c>
      <c r="C47" t="s">
        <v>91</v>
      </c>
      <c r="E47" s="9"/>
      <c r="F47" t="s">
        <v>137</v>
      </c>
      <c r="G47" s="10">
        <v>0.1</v>
      </c>
      <c r="I47" s="9">
        <f t="shared" si="4"/>
        <v>0</v>
      </c>
      <c r="J47" s="11" cm="1">
        <f t="array" ref="J47">MAX(IF($N$3:$DN$3=$J$3,N47:DN47))</f>
        <v>0</v>
      </c>
      <c r="K47" s="11" cm="1">
        <f t="array" ref="K47">MAX(IF($N$3:$DN$3=$J$3,N47:DN47))</f>
        <v>0</v>
      </c>
      <c r="L47" s="9"/>
      <c r="O47" s="10"/>
      <c r="P47" s="10"/>
      <c r="Q47" s="10"/>
      <c r="R47" s="10"/>
      <c r="V47" s="10"/>
      <c r="W47" s="10"/>
      <c r="X47" s="10"/>
      <c r="Y47" s="10"/>
      <c r="AC47" s="10"/>
      <c r="AD47" s="10">
        <v>0.5</v>
      </c>
      <c r="AE47" s="10"/>
      <c r="AF47" s="10">
        <v>0.5</v>
      </c>
      <c r="AJ47" s="10"/>
      <c r="AK47" s="10">
        <v>0.8</v>
      </c>
      <c r="AL47" s="10"/>
      <c r="AM47" s="10">
        <v>0.8</v>
      </c>
      <c r="AQ47" s="10"/>
      <c r="AR47" s="20">
        <v>0.8</v>
      </c>
      <c r="AS47" s="10"/>
      <c r="AT47" s="20">
        <v>0.8</v>
      </c>
      <c r="AX47" s="10"/>
      <c r="AY47" s="20">
        <v>0.8</v>
      </c>
      <c r="AZ47" s="10"/>
      <c r="BA47" s="20">
        <v>0.8</v>
      </c>
      <c r="BE47" s="10"/>
      <c r="BF47" s="10">
        <v>0.8</v>
      </c>
      <c r="BG47" s="10"/>
      <c r="BH47" s="10">
        <v>0.8</v>
      </c>
      <c r="BL47" s="10"/>
      <c r="BM47" s="10">
        <v>0.8</v>
      </c>
      <c r="BN47" s="10"/>
      <c r="BO47" s="10">
        <v>0.8</v>
      </c>
      <c r="BS47" s="10"/>
      <c r="BT47" s="10">
        <v>0.8</v>
      </c>
      <c r="BU47" s="10"/>
      <c r="BV47" s="10">
        <v>0.8</v>
      </c>
      <c r="BZ47" s="10"/>
      <c r="CA47" s="10">
        <v>1</v>
      </c>
      <c r="CB47" s="10"/>
      <c r="CC47" s="10">
        <v>1</v>
      </c>
      <c r="CG47" s="10"/>
      <c r="CH47" s="10">
        <v>1</v>
      </c>
      <c r="CI47" s="10"/>
      <c r="CJ47" s="10">
        <v>1</v>
      </c>
      <c r="CN47" s="10"/>
      <c r="CO47" s="10">
        <v>1</v>
      </c>
      <c r="CP47" s="10"/>
      <c r="CQ47" s="10">
        <v>1</v>
      </c>
      <c r="CU47" s="10"/>
      <c r="CV47" s="10">
        <v>1</v>
      </c>
      <c r="CW47" s="10"/>
      <c r="CX47" s="10">
        <v>1</v>
      </c>
      <c r="DB47" s="10"/>
      <c r="DC47" s="10"/>
      <c r="DD47" s="10"/>
      <c r="DE47" s="10"/>
      <c r="DI47" s="10"/>
      <c r="DJ47" s="10"/>
      <c r="DK47" s="10"/>
      <c r="DL47" s="10"/>
      <c r="DP47" s="10"/>
      <c r="DQ47" s="10"/>
      <c r="DR47" s="10"/>
      <c r="DS47" s="10"/>
    </row>
    <row r="48" spans="2:123" outlineLevel="1" x14ac:dyDescent="0.2">
      <c r="B48" t="s">
        <v>28</v>
      </c>
      <c r="C48" t="s">
        <v>91</v>
      </c>
      <c r="E48" s="9"/>
      <c r="F48" t="s">
        <v>138</v>
      </c>
      <c r="G48" s="10">
        <v>0.1</v>
      </c>
      <c r="I48" s="9">
        <f t="shared" si="4"/>
        <v>0</v>
      </c>
      <c r="J48" s="11" cm="1">
        <f t="array" ref="J48">MAX(IF($N$3:$DN$3=$J$3,N48:DN48))</f>
        <v>0</v>
      </c>
      <c r="K48" s="11" cm="1">
        <f t="array" ref="K48">MAX(IF($N$3:$DN$3=$J$3,N48:DN48))</f>
        <v>0</v>
      </c>
      <c r="L48" s="9"/>
      <c r="O48" s="10"/>
      <c r="P48" s="10"/>
      <c r="Q48" s="10"/>
      <c r="R48" s="10"/>
      <c r="V48" s="10"/>
      <c r="W48" s="10"/>
      <c r="X48" s="10"/>
      <c r="Y48" s="10"/>
      <c r="AC48" s="10"/>
      <c r="AD48" s="10"/>
      <c r="AE48" s="10"/>
      <c r="AF48" s="10"/>
      <c r="AJ48" s="10"/>
      <c r="AK48" s="10">
        <v>0.5</v>
      </c>
      <c r="AL48" s="10"/>
      <c r="AM48" s="10">
        <v>0.5</v>
      </c>
      <c r="AQ48" s="10"/>
      <c r="AR48" s="10">
        <v>0.8</v>
      </c>
      <c r="AS48" s="10"/>
      <c r="AT48" s="10">
        <v>0.8</v>
      </c>
      <c r="AX48" s="10"/>
      <c r="AY48" s="10">
        <v>0.8</v>
      </c>
      <c r="AZ48" s="10"/>
      <c r="BA48" s="10">
        <v>0.8</v>
      </c>
      <c r="BE48" s="10"/>
      <c r="BF48" s="10">
        <v>0.8</v>
      </c>
      <c r="BG48" s="10"/>
      <c r="BH48" s="10">
        <v>0.8</v>
      </c>
      <c r="BL48" s="10"/>
      <c r="BM48" s="10">
        <v>0.8</v>
      </c>
      <c r="BN48" s="10"/>
      <c r="BO48" s="10">
        <v>0.8</v>
      </c>
      <c r="BS48" s="10"/>
      <c r="BT48" s="10">
        <v>0.8</v>
      </c>
      <c r="BU48" s="10"/>
      <c r="BV48" s="10">
        <v>0.8</v>
      </c>
      <c r="BZ48" s="10"/>
      <c r="CA48" s="10">
        <v>1</v>
      </c>
      <c r="CB48" s="10"/>
      <c r="CC48" s="10">
        <v>1</v>
      </c>
      <c r="CG48" s="10"/>
      <c r="CH48" s="10">
        <v>1</v>
      </c>
      <c r="CI48" s="10"/>
      <c r="CJ48" s="10">
        <v>1</v>
      </c>
      <c r="CN48" s="10"/>
      <c r="CO48" s="10">
        <v>1</v>
      </c>
      <c r="CP48" s="10"/>
      <c r="CQ48" s="10">
        <v>1</v>
      </c>
      <c r="CU48" s="10"/>
      <c r="CV48" s="10">
        <v>1</v>
      </c>
      <c r="CW48" s="10"/>
      <c r="CX48" s="10">
        <v>1</v>
      </c>
      <c r="DB48" s="10"/>
      <c r="DC48" s="10"/>
      <c r="DD48" s="10"/>
      <c r="DE48" s="10"/>
      <c r="DI48" s="10"/>
      <c r="DJ48" s="10"/>
      <c r="DK48" s="10"/>
      <c r="DL48" s="10"/>
      <c r="DP48" s="10"/>
      <c r="DQ48" s="10"/>
      <c r="DR48" s="10"/>
      <c r="DS48" s="10"/>
    </row>
    <row r="49" spans="2:123" outlineLevel="1" x14ac:dyDescent="0.2">
      <c r="B49" t="s">
        <v>28</v>
      </c>
      <c r="C49" t="s">
        <v>91</v>
      </c>
      <c r="E49" s="9"/>
      <c r="F49" t="s">
        <v>139</v>
      </c>
      <c r="G49" s="10">
        <v>0.1</v>
      </c>
      <c r="I49" s="9">
        <f t="shared" si="4"/>
        <v>0</v>
      </c>
      <c r="J49" s="11" cm="1">
        <f t="array" ref="J49">MAX(IF($N$3:$DN$3=$J$3,N49:DN49))</f>
        <v>0</v>
      </c>
      <c r="K49" s="11" cm="1">
        <f t="array" ref="K49">MAX(IF($N$3:$DN$3=$J$3,N49:DN49))</f>
        <v>0</v>
      </c>
      <c r="L49" s="9"/>
      <c r="O49" s="10"/>
      <c r="P49" s="10"/>
      <c r="Q49" s="10"/>
      <c r="R49" s="10"/>
      <c r="V49" s="10"/>
      <c r="W49" s="10"/>
      <c r="X49" s="10"/>
      <c r="Y49" s="10"/>
      <c r="AC49" s="10"/>
      <c r="AD49" s="10"/>
      <c r="AE49" s="10"/>
      <c r="AF49" s="10"/>
      <c r="AJ49" s="10"/>
      <c r="AK49" s="10"/>
      <c r="AL49" s="10"/>
      <c r="AM49" s="10"/>
      <c r="AQ49" s="10"/>
      <c r="AR49" s="10">
        <v>0.5</v>
      </c>
      <c r="AS49" s="10"/>
      <c r="AT49" s="10">
        <v>0.5</v>
      </c>
      <c r="AX49" s="10"/>
      <c r="AY49" s="10">
        <v>0.5</v>
      </c>
      <c r="AZ49" s="10"/>
      <c r="BA49" s="10">
        <v>0.5</v>
      </c>
      <c r="BE49" s="10"/>
      <c r="BF49" s="10">
        <v>0.8</v>
      </c>
      <c r="BG49" s="10"/>
      <c r="BH49" s="10">
        <v>0.8</v>
      </c>
      <c r="BL49" s="10"/>
      <c r="BM49" s="10">
        <v>0.8</v>
      </c>
      <c r="BN49" s="10"/>
      <c r="BO49" s="10">
        <v>0.8</v>
      </c>
      <c r="BS49" s="10"/>
      <c r="BT49" s="10">
        <v>0.8</v>
      </c>
      <c r="BU49" s="10"/>
      <c r="BV49" s="10">
        <v>0.8</v>
      </c>
      <c r="BZ49" s="10"/>
      <c r="CA49" s="10">
        <v>1</v>
      </c>
      <c r="CB49" s="10"/>
      <c r="CC49" s="10">
        <v>1</v>
      </c>
      <c r="CG49" s="10"/>
      <c r="CH49" s="10">
        <v>1</v>
      </c>
      <c r="CI49" s="10"/>
      <c r="CJ49" s="10">
        <v>1</v>
      </c>
      <c r="CN49" s="10"/>
      <c r="CO49" s="10">
        <v>1</v>
      </c>
      <c r="CP49" s="10"/>
      <c r="CQ49" s="10">
        <v>1</v>
      </c>
      <c r="CU49" s="10"/>
      <c r="CV49" s="10">
        <v>1</v>
      </c>
      <c r="CW49" s="10"/>
      <c r="CX49" s="10">
        <v>1</v>
      </c>
      <c r="DB49" s="10"/>
      <c r="DC49" s="10"/>
      <c r="DD49" s="10"/>
      <c r="DE49" s="10"/>
      <c r="DI49" s="10"/>
      <c r="DJ49" s="10"/>
      <c r="DK49" s="10"/>
      <c r="DL49" s="10"/>
      <c r="DP49" s="10"/>
      <c r="DQ49" s="10"/>
      <c r="DR49" s="10"/>
      <c r="DS49" s="10"/>
    </row>
    <row r="50" spans="2:123" outlineLevel="1" x14ac:dyDescent="0.2">
      <c r="B50" t="s">
        <v>28</v>
      </c>
      <c r="C50" t="s">
        <v>91</v>
      </c>
      <c r="E50" s="9"/>
      <c r="F50" t="s">
        <v>140</v>
      </c>
      <c r="G50" s="10">
        <v>0.1</v>
      </c>
      <c r="I50" s="9">
        <f t="shared" si="4"/>
        <v>0</v>
      </c>
      <c r="J50" s="11" cm="1">
        <f t="array" ref="J50">MAX(IF($N$3:$DN$3=$J$3,N50:DN50))</f>
        <v>0</v>
      </c>
      <c r="K50" s="11" cm="1">
        <f t="array" ref="K50">MAX(IF($N$3:$DN$3=$J$3,N50:DN50))</f>
        <v>0</v>
      </c>
      <c r="L50" s="9"/>
      <c r="O50" s="10"/>
      <c r="P50" s="10"/>
      <c r="Q50" s="10"/>
      <c r="R50" s="10"/>
      <c r="V50" s="10"/>
      <c r="W50" s="10"/>
      <c r="X50" s="10"/>
      <c r="Y50" s="10"/>
      <c r="AC50" s="10"/>
      <c r="AD50" s="10"/>
      <c r="AE50" s="10"/>
      <c r="AF50" s="10"/>
      <c r="AJ50" s="10"/>
      <c r="AK50" s="10"/>
      <c r="AL50" s="10"/>
      <c r="AM50" s="10"/>
      <c r="AQ50" s="10"/>
      <c r="AR50" s="10"/>
      <c r="AS50" s="10"/>
      <c r="AT50" s="10"/>
      <c r="AX50" s="10"/>
      <c r="AY50" s="10">
        <v>0.5</v>
      </c>
      <c r="AZ50" s="10"/>
      <c r="BA50" s="10">
        <v>0.5</v>
      </c>
      <c r="BE50" s="10"/>
      <c r="BF50" s="10">
        <v>0.8</v>
      </c>
      <c r="BG50" s="10"/>
      <c r="BH50" s="10">
        <v>0.8</v>
      </c>
      <c r="BL50" s="10"/>
      <c r="BM50" s="10">
        <v>0.8</v>
      </c>
      <c r="BN50" s="10"/>
      <c r="BO50" s="10">
        <v>0.8</v>
      </c>
      <c r="BS50" s="10"/>
      <c r="BT50" s="10">
        <v>0.8</v>
      </c>
      <c r="BU50" s="10"/>
      <c r="BV50" s="10">
        <v>0.8</v>
      </c>
      <c r="BZ50" s="10"/>
      <c r="CA50" s="10">
        <v>0.8</v>
      </c>
      <c r="CB50" s="10"/>
      <c r="CC50" s="10">
        <v>0.8</v>
      </c>
      <c r="CG50" s="10"/>
      <c r="CH50" s="10">
        <v>1</v>
      </c>
      <c r="CI50" s="10"/>
      <c r="CJ50" s="10">
        <v>1</v>
      </c>
      <c r="CN50" s="10"/>
      <c r="CO50" s="10">
        <v>1</v>
      </c>
      <c r="CP50" s="10"/>
      <c r="CQ50" s="10">
        <v>1</v>
      </c>
      <c r="CU50" s="10"/>
      <c r="CV50" s="10">
        <v>1</v>
      </c>
      <c r="CW50" s="10"/>
      <c r="CX50" s="10">
        <v>1</v>
      </c>
      <c r="DB50" s="10"/>
      <c r="DC50" s="10"/>
      <c r="DD50" s="10"/>
      <c r="DE50" s="10"/>
      <c r="DI50" s="10"/>
      <c r="DJ50" s="10"/>
      <c r="DK50" s="10"/>
      <c r="DL50" s="10"/>
      <c r="DP50" s="10"/>
      <c r="DQ50" s="10"/>
      <c r="DR50" s="10"/>
      <c r="DS50" s="10"/>
    </row>
    <row r="51" spans="2:123" outlineLevel="1" x14ac:dyDescent="0.2">
      <c r="B51" t="s">
        <v>28</v>
      </c>
      <c r="C51" t="s">
        <v>91</v>
      </c>
      <c r="E51" s="9"/>
      <c r="F51" t="s">
        <v>141</v>
      </c>
      <c r="G51" s="10">
        <v>0.1</v>
      </c>
      <c r="I51" s="9">
        <f t="shared" si="4"/>
        <v>0</v>
      </c>
      <c r="J51" s="11" cm="1">
        <f t="array" ref="J51">MAX(IF($N$3:$DN$3=$J$3,N51:DN51))</f>
        <v>0</v>
      </c>
      <c r="K51" s="11" cm="1">
        <f t="array" ref="K51">MAX(IF($N$3:$DN$3=$J$3,N51:DN51))</f>
        <v>0</v>
      </c>
      <c r="L51" s="9"/>
      <c r="O51" s="10"/>
      <c r="P51" s="10"/>
      <c r="Q51" s="10"/>
      <c r="R51" s="10"/>
      <c r="V51" s="10"/>
      <c r="W51" s="10"/>
      <c r="X51" s="10"/>
      <c r="Y51" s="10"/>
      <c r="AC51" s="10"/>
      <c r="AD51" s="10"/>
      <c r="AE51" s="10"/>
      <c r="AF51" s="10"/>
      <c r="AJ51" s="10"/>
      <c r="AK51" s="10"/>
      <c r="AL51" s="10"/>
      <c r="AM51" s="10"/>
      <c r="AQ51" s="10"/>
      <c r="AR51" s="10"/>
      <c r="AS51" s="10"/>
      <c r="AT51" s="10"/>
      <c r="AX51" s="10"/>
      <c r="AY51" s="10"/>
      <c r="AZ51" s="10"/>
      <c r="BA51" s="10"/>
      <c r="BE51" s="10"/>
      <c r="BF51" s="10">
        <v>0.5</v>
      </c>
      <c r="BG51" s="10"/>
      <c r="BH51" s="10">
        <v>0.5</v>
      </c>
      <c r="BL51" s="10"/>
      <c r="BM51" s="10">
        <v>0.5</v>
      </c>
      <c r="BN51" s="10"/>
      <c r="BO51" s="10">
        <v>0.5</v>
      </c>
      <c r="BS51" s="10"/>
      <c r="BT51" s="10">
        <v>0.8</v>
      </c>
      <c r="BU51" s="10"/>
      <c r="BV51" s="10">
        <v>0.8</v>
      </c>
      <c r="BZ51" s="10"/>
      <c r="CA51" s="10">
        <v>0.8</v>
      </c>
      <c r="CB51" s="10"/>
      <c r="CC51" s="10">
        <v>0.8</v>
      </c>
      <c r="CG51" s="10"/>
      <c r="CH51" s="10">
        <v>1</v>
      </c>
      <c r="CI51" s="10"/>
      <c r="CJ51" s="10">
        <v>1</v>
      </c>
      <c r="CN51" s="10"/>
      <c r="CO51" s="10">
        <v>1</v>
      </c>
      <c r="CP51" s="10"/>
      <c r="CQ51" s="10">
        <v>1</v>
      </c>
      <c r="CU51" s="10"/>
      <c r="CV51" s="10">
        <v>1</v>
      </c>
      <c r="CW51" s="10"/>
      <c r="CX51" s="10">
        <v>1</v>
      </c>
      <c r="DB51" s="10"/>
      <c r="DC51" s="10"/>
      <c r="DD51" s="10"/>
      <c r="DE51" s="10"/>
      <c r="DI51" s="10"/>
      <c r="DJ51" s="10"/>
      <c r="DK51" s="10"/>
      <c r="DL51" s="10"/>
      <c r="DP51" s="10"/>
      <c r="DQ51" s="10"/>
      <c r="DR51" s="10"/>
      <c r="DS51" s="10"/>
    </row>
    <row r="52" spans="2:123" outlineLevel="1" x14ac:dyDescent="0.2">
      <c r="B52" t="s">
        <v>28</v>
      </c>
      <c r="C52" t="s">
        <v>91</v>
      </c>
      <c r="E52" s="9"/>
      <c r="F52" t="s">
        <v>142</v>
      </c>
      <c r="G52" s="10">
        <v>0.1</v>
      </c>
      <c r="I52" s="9">
        <f t="shared" si="4"/>
        <v>0</v>
      </c>
      <c r="J52" s="11" cm="1">
        <f t="array" ref="J52">MAX(IF($N$3:$DN$3=$J$3,N52:DN52))</f>
        <v>0</v>
      </c>
      <c r="K52" s="11" cm="1">
        <f t="array" ref="K52">MAX(IF($N$3:$DN$3=$J$3,N52:DN52))</f>
        <v>0</v>
      </c>
      <c r="L52" s="9"/>
      <c r="O52" s="10"/>
      <c r="P52" s="10"/>
      <c r="Q52" s="10"/>
      <c r="R52" s="10"/>
      <c r="V52" s="10"/>
      <c r="W52" s="10"/>
      <c r="X52" s="10"/>
      <c r="Y52" s="10"/>
      <c r="AC52" s="10"/>
      <c r="AD52" s="10"/>
      <c r="AE52" s="10"/>
      <c r="AF52" s="10"/>
      <c r="AJ52" s="10"/>
      <c r="AK52" s="10"/>
      <c r="AL52" s="10"/>
      <c r="AM52" s="10"/>
      <c r="AQ52" s="10"/>
      <c r="AR52" s="10"/>
      <c r="AS52" s="10"/>
      <c r="AT52" s="10"/>
      <c r="AX52" s="10"/>
      <c r="AY52" s="10"/>
      <c r="AZ52" s="10"/>
      <c r="BA52" s="10"/>
      <c r="BE52" s="10"/>
      <c r="BF52" s="10"/>
      <c r="BG52" s="10"/>
      <c r="BH52" s="10"/>
      <c r="BL52" s="10"/>
      <c r="BM52" s="10">
        <v>0.5</v>
      </c>
      <c r="BN52" s="10"/>
      <c r="BO52" s="10">
        <v>0.5</v>
      </c>
      <c r="BS52" s="10"/>
      <c r="BT52" s="10">
        <v>0.8</v>
      </c>
      <c r="BU52" s="10"/>
      <c r="BV52" s="10">
        <v>0.8</v>
      </c>
      <c r="BZ52" s="10"/>
      <c r="CA52" s="10">
        <v>0.8</v>
      </c>
      <c r="CB52" s="10"/>
      <c r="CC52" s="10">
        <v>0.8</v>
      </c>
      <c r="CG52" s="10"/>
      <c r="CH52" s="10">
        <v>1</v>
      </c>
      <c r="CI52" s="10"/>
      <c r="CJ52" s="10">
        <v>1</v>
      </c>
      <c r="CN52" s="10"/>
      <c r="CO52" s="10">
        <v>1</v>
      </c>
      <c r="CP52" s="10"/>
      <c r="CQ52" s="10">
        <v>1</v>
      </c>
      <c r="CU52" s="10"/>
      <c r="CV52" s="10">
        <v>1</v>
      </c>
      <c r="CW52" s="10"/>
      <c r="CX52" s="10">
        <v>1</v>
      </c>
      <c r="DB52" s="10"/>
      <c r="DC52" s="10"/>
      <c r="DD52" s="10"/>
      <c r="DE52" s="10"/>
      <c r="DI52" s="10"/>
      <c r="DJ52" s="10"/>
      <c r="DK52" s="10"/>
      <c r="DL52" s="10"/>
      <c r="DP52" s="10"/>
      <c r="DQ52" s="10"/>
      <c r="DR52" s="10"/>
      <c r="DS52" s="10"/>
    </row>
    <row r="53" spans="2:123" outlineLevel="1" x14ac:dyDescent="0.2">
      <c r="E53" s="9"/>
      <c r="G53" s="10"/>
      <c r="I53" s="9"/>
      <c r="J53" s="11"/>
      <c r="K53" s="11"/>
      <c r="L53" s="9"/>
      <c r="O53" s="10"/>
      <c r="P53" s="10"/>
      <c r="Q53" s="10"/>
      <c r="R53" s="10"/>
      <c r="V53" s="10"/>
      <c r="W53" s="10"/>
      <c r="X53" s="10"/>
      <c r="Y53" s="10"/>
      <c r="AC53" s="10"/>
      <c r="AD53" s="10"/>
      <c r="AE53" s="10"/>
      <c r="AF53" s="10"/>
      <c r="AJ53" s="10"/>
      <c r="AK53" s="10"/>
      <c r="AL53" s="10"/>
      <c r="AM53" s="10"/>
      <c r="AQ53" s="10"/>
      <c r="AR53" s="10"/>
      <c r="AS53" s="10"/>
      <c r="AT53" s="10"/>
      <c r="AX53" s="10"/>
      <c r="AY53" s="10"/>
      <c r="AZ53" s="10"/>
      <c r="BA53" s="10"/>
      <c r="BE53" s="10"/>
      <c r="BF53" s="10"/>
      <c r="BG53" s="10"/>
      <c r="BH53" s="10"/>
      <c r="BL53" s="10"/>
      <c r="BM53" s="10"/>
      <c r="BN53" s="10"/>
      <c r="BO53" s="10"/>
      <c r="BS53" s="10"/>
      <c r="BT53" s="10"/>
      <c r="BU53" s="10"/>
      <c r="BV53" s="10"/>
      <c r="BZ53" s="10"/>
      <c r="CA53" s="10"/>
      <c r="CB53" s="10"/>
      <c r="CC53" s="10"/>
      <c r="CG53" s="10"/>
      <c r="CH53" s="10"/>
      <c r="CI53" s="10"/>
      <c r="CJ53" s="10"/>
      <c r="CN53" s="10"/>
      <c r="CO53" s="10"/>
      <c r="CP53" s="10"/>
      <c r="CQ53" s="10"/>
      <c r="CU53" s="10"/>
      <c r="CV53" s="10"/>
      <c r="CW53" s="10"/>
      <c r="CX53" s="10"/>
      <c r="DB53" s="10"/>
      <c r="DC53" s="10"/>
      <c r="DD53" s="10"/>
      <c r="DE53" s="10"/>
      <c r="DI53" s="10"/>
      <c r="DJ53" s="10"/>
      <c r="DK53" s="10"/>
      <c r="DL53" s="10"/>
      <c r="DP53" s="10"/>
      <c r="DQ53" s="10"/>
      <c r="DR53" s="10"/>
      <c r="DS53" s="10"/>
    </row>
    <row r="55" spans="2:123" x14ac:dyDescent="0.2">
      <c r="B55" t="s">
        <v>27</v>
      </c>
      <c r="C55" t="s">
        <v>93</v>
      </c>
      <c r="D55" s="19">
        <v>45338</v>
      </c>
      <c r="E55" s="9">
        <v>3</v>
      </c>
      <c r="G55" s="10">
        <f>+SUM(G56:G65)</f>
        <v>0.30000000000000004</v>
      </c>
      <c r="I55" s="12">
        <f>+SUM(I56:I65)</f>
        <v>0</v>
      </c>
      <c r="J55" s="11">
        <f>+SUMPRODUCT(G56:G65,J56:J65)</f>
        <v>0</v>
      </c>
      <c r="K55" s="11">
        <f>+SUMPRODUCT(G56:G65,K56:K65)</f>
        <v>0</v>
      </c>
      <c r="L55" s="9"/>
      <c r="N55" s="12">
        <f>+SUM(N56:N65)</f>
        <v>0</v>
      </c>
      <c r="U55" s="12">
        <f>+SUM(U56:U65)</f>
        <v>0</v>
      </c>
      <c r="AB55" s="12">
        <f>+SUM(AB56:AB65)</f>
        <v>0</v>
      </c>
      <c r="AI55" s="12">
        <f>+SUM(AI56:AI65)</f>
        <v>0</v>
      </c>
    </row>
    <row r="56" spans="2:123" outlineLevel="1" x14ac:dyDescent="0.2">
      <c r="B56" t="s">
        <v>28</v>
      </c>
      <c r="C56" t="s">
        <v>93</v>
      </c>
      <c r="E56" s="9"/>
      <c r="F56" t="s">
        <v>122</v>
      </c>
      <c r="G56" s="10">
        <v>0.1</v>
      </c>
      <c r="I56" s="9">
        <f>+SUMIF($N$3:$YR$3,I$3,$N56:$YR56)</f>
        <v>0</v>
      </c>
      <c r="J56" s="11" cm="1">
        <f t="array" ref="J56">MAX(IF($N$3:$DN$3=$J$3,N56:DN56))</f>
        <v>0</v>
      </c>
      <c r="K56" s="11" cm="1">
        <f t="array" ref="K56">MAX(IF($N$3:$DN$3=$J$3,N56:DN56))</f>
        <v>0</v>
      </c>
      <c r="L56" s="9"/>
      <c r="O56" s="10"/>
      <c r="P56" s="10"/>
      <c r="Q56" s="10"/>
      <c r="R56" s="10"/>
      <c r="V56" s="10"/>
      <c r="W56" s="10"/>
      <c r="X56" s="10"/>
      <c r="Y56" s="10"/>
      <c r="AC56" s="10"/>
      <c r="AD56" s="10"/>
      <c r="AE56" s="10"/>
      <c r="AF56" s="10"/>
      <c r="AJ56" s="10"/>
      <c r="AK56" s="10"/>
      <c r="AL56" s="10"/>
      <c r="AM56" s="10"/>
      <c r="AQ56" s="10"/>
      <c r="AR56" s="10"/>
      <c r="AS56" s="10"/>
      <c r="AT56" s="10"/>
      <c r="AX56" s="10"/>
      <c r="AY56" s="10"/>
      <c r="AZ56" s="10"/>
      <c r="BA56" s="10"/>
      <c r="BE56" s="10"/>
      <c r="BF56" s="10">
        <v>0.8</v>
      </c>
      <c r="BG56" s="10"/>
      <c r="BH56" s="10">
        <v>0.8</v>
      </c>
      <c r="BL56" s="10"/>
      <c r="BM56" s="10">
        <v>0.8</v>
      </c>
      <c r="BN56" s="10"/>
      <c r="BO56" s="10">
        <v>0.8</v>
      </c>
      <c r="BS56" s="10"/>
      <c r="BT56" s="10">
        <v>1</v>
      </c>
      <c r="BU56" s="10"/>
      <c r="BV56" s="10">
        <v>1</v>
      </c>
      <c r="BZ56" s="10"/>
      <c r="CA56" s="10">
        <v>1</v>
      </c>
      <c r="CB56" s="10"/>
      <c r="CC56" s="10">
        <v>1</v>
      </c>
      <c r="CG56" s="10"/>
      <c r="CH56" s="10">
        <v>1</v>
      </c>
      <c r="CI56" s="10"/>
      <c r="CJ56" s="10">
        <v>1</v>
      </c>
      <c r="CN56" s="10"/>
      <c r="CO56" s="10">
        <v>1</v>
      </c>
      <c r="CP56" s="10"/>
      <c r="CQ56" s="10">
        <v>1</v>
      </c>
      <c r="CU56" s="10"/>
      <c r="CV56" s="10">
        <v>1</v>
      </c>
      <c r="CW56" s="10"/>
      <c r="CX56" s="10">
        <v>1</v>
      </c>
      <c r="DB56" s="10"/>
      <c r="DC56" s="10"/>
      <c r="DD56" s="10"/>
      <c r="DE56" s="10"/>
      <c r="DI56" s="10"/>
      <c r="DJ56" s="10"/>
      <c r="DK56" s="10"/>
      <c r="DL56" s="10"/>
      <c r="DP56" s="10"/>
      <c r="DQ56" s="10"/>
      <c r="DR56" s="10"/>
      <c r="DS56" s="10"/>
    </row>
    <row r="57" spans="2:123" outlineLevel="1" x14ac:dyDescent="0.2">
      <c r="B57" t="s">
        <v>28</v>
      </c>
      <c r="C57" t="s">
        <v>93</v>
      </c>
      <c r="E57" s="9"/>
      <c r="F57" t="s">
        <v>123</v>
      </c>
      <c r="G57" s="10">
        <v>0.05</v>
      </c>
      <c r="I57" s="9">
        <f>+SUMIF($N$3:$YR$3,I$3,$N57:$YR57)</f>
        <v>0</v>
      </c>
      <c r="J57" s="11" cm="1">
        <f t="array" ref="J57">MAX(IF($N$3:$DN$3=$J$3,N57:DN57))</f>
        <v>0</v>
      </c>
      <c r="K57" s="11" cm="1">
        <f t="array" ref="K57">MAX(IF($N$3:$DN$3=$J$3,N57:DN57))</f>
        <v>0</v>
      </c>
      <c r="L57" s="9"/>
      <c r="O57" s="10"/>
      <c r="P57" s="10"/>
      <c r="Q57" s="10"/>
      <c r="R57" s="10"/>
      <c r="V57" s="10"/>
      <c r="W57" s="10"/>
      <c r="X57" s="10"/>
      <c r="Y57" s="10"/>
      <c r="AC57" s="10"/>
      <c r="AD57" s="10"/>
      <c r="AE57" s="10"/>
      <c r="AF57" s="10"/>
      <c r="AJ57" s="10"/>
      <c r="AK57" s="10"/>
      <c r="AL57" s="10"/>
      <c r="AM57" s="10"/>
      <c r="AQ57" s="10"/>
      <c r="AR57" s="10"/>
      <c r="AS57" s="10"/>
      <c r="AT57" s="10"/>
      <c r="AX57" s="10"/>
      <c r="AY57" s="10"/>
      <c r="AZ57" s="10"/>
      <c r="BA57" s="10"/>
      <c r="BE57" s="10"/>
      <c r="BF57" s="10">
        <v>0.5</v>
      </c>
      <c r="BG57" s="10"/>
      <c r="BH57" s="10">
        <v>0.5</v>
      </c>
      <c r="BL57" s="10"/>
      <c r="BM57" s="10">
        <v>0.8</v>
      </c>
      <c r="BN57" s="10"/>
      <c r="BO57" s="10">
        <v>0.8</v>
      </c>
      <c r="BS57" s="10"/>
      <c r="BT57" s="10">
        <v>0.8</v>
      </c>
      <c r="BU57" s="10"/>
      <c r="BV57" s="10">
        <v>0.8</v>
      </c>
      <c r="BZ57" s="10"/>
      <c r="CA57" s="10">
        <v>1</v>
      </c>
      <c r="CB57" s="10"/>
      <c r="CC57" s="10">
        <v>1</v>
      </c>
      <c r="CG57" s="10"/>
      <c r="CH57" s="10">
        <v>1</v>
      </c>
      <c r="CI57" s="10"/>
      <c r="CJ57" s="10">
        <v>1</v>
      </c>
      <c r="CN57" s="10"/>
      <c r="CO57" s="10">
        <v>1</v>
      </c>
      <c r="CP57" s="10"/>
      <c r="CQ57" s="10">
        <v>1</v>
      </c>
      <c r="CU57" s="10"/>
      <c r="CV57" s="10">
        <v>1</v>
      </c>
      <c r="CW57" s="10"/>
      <c r="CX57" s="10">
        <v>1</v>
      </c>
      <c r="DB57" s="10"/>
      <c r="DC57" s="10"/>
      <c r="DD57" s="10"/>
      <c r="DE57" s="10"/>
      <c r="DI57" s="10"/>
      <c r="DJ57" s="10"/>
      <c r="DK57" s="10"/>
      <c r="DL57" s="10"/>
      <c r="DP57" s="10"/>
      <c r="DQ57" s="10"/>
      <c r="DR57" s="10"/>
      <c r="DS57" s="10"/>
    </row>
    <row r="58" spans="2:123" outlineLevel="1" x14ac:dyDescent="0.2">
      <c r="B58" t="s">
        <v>28</v>
      </c>
      <c r="C58" t="s">
        <v>93</v>
      </c>
      <c r="E58" s="9"/>
      <c r="F58" t="s">
        <v>124</v>
      </c>
      <c r="G58" s="10">
        <v>0.05</v>
      </c>
      <c r="I58" s="9">
        <f>+SUMIF($N$3:$YR$3,I$3,$N58:$YR58)</f>
        <v>0</v>
      </c>
      <c r="J58" s="11" cm="1">
        <f t="array" ref="J58">MAX(IF($N$3:$DN$3=$J$3,N58:DN58))</f>
        <v>0</v>
      </c>
      <c r="K58" s="11" cm="1">
        <f t="array" ref="K58">MAX(IF($N$3:$DN$3=$J$3,N58:DN58))</f>
        <v>0</v>
      </c>
      <c r="L58" s="9"/>
      <c r="O58" s="10"/>
      <c r="P58" s="10"/>
      <c r="Q58" s="10"/>
      <c r="R58" s="10"/>
      <c r="V58" s="10"/>
      <c r="W58" s="10"/>
      <c r="X58" s="10"/>
      <c r="Y58" s="10"/>
      <c r="AC58" s="10"/>
      <c r="AD58" s="10"/>
      <c r="AE58" s="10"/>
      <c r="AF58" s="10"/>
      <c r="AJ58" s="10"/>
      <c r="AK58" s="10"/>
      <c r="AL58" s="10"/>
      <c r="AM58" s="10"/>
      <c r="AQ58" s="10"/>
      <c r="AR58" s="10"/>
      <c r="AS58" s="10"/>
      <c r="AT58" s="10"/>
      <c r="AX58" s="10"/>
      <c r="AY58" s="10"/>
      <c r="AZ58" s="10"/>
      <c r="BA58" s="10"/>
      <c r="BE58" s="10"/>
      <c r="BF58" s="10"/>
      <c r="BG58" s="10"/>
      <c r="BH58" s="10"/>
      <c r="BL58" s="10"/>
      <c r="BM58" s="10">
        <v>0.5</v>
      </c>
      <c r="BN58" s="10"/>
      <c r="BO58" s="10">
        <v>0.5</v>
      </c>
      <c r="BS58" s="10"/>
      <c r="BT58" s="10">
        <v>0.8</v>
      </c>
      <c r="BU58" s="10"/>
      <c r="BV58" s="10">
        <v>0.8</v>
      </c>
      <c r="BZ58" s="10"/>
      <c r="CA58" s="10">
        <v>0.8</v>
      </c>
      <c r="CB58" s="10"/>
      <c r="CC58" s="10">
        <v>0.8</v>
      </c>
      <c r="CG58" s="10"/>
      <c r="CH58" s="10">
        <v>1</v>
      </c>
      <c r="CI58" s="10"/>
      <c r="CJ58" s="10">
        <v>1</v>
      </c>
      <c r="CN58" s="10"/>
      <c r="CO58" s="10">
        <v>1</v>
      </c>
      <c r="CP58" s="10"/>
      <c r="CQ58" s="10">
        <v>1</v>
      </c>
      <c r="CU58" s="10"/>
      <c r="CV58" s="10">
        <v>1</v>
      </c>
      <c r="CW58" s="10"/>
      <c r="CX58" s="10">
        <v>1</v>
      </c>
      <c r="DB58" s="10"/>
      <c r="DC58" s="10"/>
      <c r="DD58" s="10"/>
      <c r="DE58" s="10"/>
      <c r="DI58" s="10"/>
      <c r="DJ58" s="10"/>
      <c r="DK58" s="10"/>
      <c r="DL58" s="10"/>
      <c r="DP58" s="10"/>
      <c r="DQ58" s="10"/>
      <c r="DR58" s="10"/>
      <c r="DS58" s="10"/>
    </row>
    <row r="59" spans="2:123" outlineLevel="1" x14ac:dyDescent="0.2">
      <c r="B59" t="s">
        <v>28</v>
      </c>
      <c r="C59" t="s">
        <v>93</v>
      </c>
      <c r="E59" s="9"/>
      <c r="F59" t="s">
        <v>125</v>
      </c>
      <c r="G59" s="10">
        <v>0.1</v>
      </c>
      <c r="I59" s="9">
        <f>+SUMIF($N$3:$YR$3,I$3,$N59:$YR59)</f>
        <v>0</v>
      </c>
      <c r="J59" s="11" cm="1">
        <f t="array" ref="J59">MAX(IF($N$3:$DN$3=$J$3,N59:DN59))</f>
        <v>0</v>
      </c>
      <c r="K59" s="11" cm="1">
        <f t="array" ref="K59">MAX(IF($N$3:$DN$3=$J$3,N59:DN59))</f>
        <v>0</v>
      </c>
      <c r="L59" s="9"/>
      <c r="O59" s="10"/>
      <c r="P59" s="10"/>
      <c r="Q59" s="10"/>
      <c r="R59" s="10"/>
      <c r="V59" s="10"/>
      <c r="W59" s="10"/>
      <c r="X59" s="10"/>
      <c r="Y59" s="10"/>
      <c r="AC59" s="10"/>
      <c r="AD59" s="10"/>
      <c r="AE59" s="10"/>
      <c r="AF59" s="10"/>
      <c r="AJ59" s="10"/>
      <c r="AK59" s="10"/>
      <c r="AL59" s="10"/>
      <c r="AM59" s="10"/>
      <c r="AQ59" s="10"/>
      <c r="AR59" s="10"/>
      <c r="AS59" s="10"/>
      <c r="AT59" s="10"/>
      <c r="AX59" s="10"/>
      <c r="AY59" s="10"/>
      <c r="AZ59" s="10"/>
      <c r="BA59" s="10"/>
      <c r="BE59" s="10"/>
      <c r="BF59" s="10"/>
      <c r="BG59" s="10"/>
      <c r="BH59" s="10"/>
      <c r="BL59" s="10"/>
      <c r="BM59" s="10"/>
      <c r="BN59" s="10"/>
      <c r="BO59" s="10"/>
      <c r="BS59" s="10"/>
      <c r="BT59" s="10">
        <v>0.5</v>
      </c>
      <c r="BU59" s="10"/>
      <c r="BV59" s="10">
        <v>0.5</v>
      </c>
      <c r="BZ59" s="10"/>
      <c r="CA59" s="10">
        <v>0.8</v>
      </c>
      <c r="CB59" s="10"/>
      <c r="CC59" s="10">
        <v>0.8</v>
      </c>
      <c r="CG59" s="10"/>
      <c r="CH59" s="10">
        <v>1</v>
      </c>
      <c r="CI59" s="10"/>
      <c r="CJ59" s="10">
        <v>1</v>
      </c>
      <c r="CN59" s="10"/>
      <c r="CO59" s="10">
        <v>1</v>
      </c>
      <c r="CP59" s="10"/>
      <c r="CQ59" s="10">
        <v>1</v>
      </c>
      <c r="CU59" s="10"/>
      <c r="CV59" s="10">
        <v>1</v>
      </c>
      <c r="CW59" s="10"/>
      <c r="CX59" s="10">
        <v>1</v>
      </c>
      <c r="DB59" s="10"/>
      <c r="DC59" s="10"/>
      <c r="DD59" s="10"/>
      <c r="DE59" s="10"/>
      <c r="DI59" s="10"/>
      <c r="DJ59" s="10"/>
      <c r="DK59" s="10"/>
      <c r="DL59" s="10"/>
      <c r="DP59" s="10"/>
      <c r="DQ59" s="10"/>
      <c r="DR59" s="10"/>
      <c r="DS59" s="10"/>
    </row>
    <row r="60" spans="2:123" outlineLevel="1" x14ac:dyDescent="0.2">
      <c r="E60" s="9"/>
      <c r="G60" s="10"/>
      <c r="I60" s="9"/>
      <c r="J60" s="11"/>
      <c r="K60" s="11"/>
      <c r="L60" s="9"/>
      <c r="O60" s="10"/>
      <c r="P60" s="10"/>
      <c r="Q60" s="10"/>
      <c r="R60" s="10"/>
      <c r="V60" s="10"/>
      <c r="W60" s="10"/>
      <c r="X60" s="10"/>
      <c r="Y60" s="10"/>
      <c r="AC60" s="10"/>
      <c r="AD60" s="10"/>
      <c r="AE60" s="10"/>
      <c r="AF60" s="10"/>
      <c r="AJ60" s="10"/>
      <c r="AK60" s="10"/>
      <c r="AL60" s="10"/>
      <c r="AM60" s="10"/>
      <c r="AQ60" s="10"/>
      <c r="AR60" s="10"/>
      <c r="AS60" s="10"/>
      <c r="AT60" s="10"/>
      <c r="AX60" s="10"/>
      <c r="AY60" s="10"/>
      <c r="AZ60" s="10"/>
      <c r="BA60" s="10"/>
      <c r="BE60" s="10"/>
      <c r="BF60" s="10"/>
      <c r="BG60" s="10"/>
      <c r="BH60" s="10"/>
      <c r="BL60" s="10"/>
      <c r="BM60" s="10"/>
      <c r="BN60" s="10"/>
      <c r="BO60" s="10"/>
      <c r="BS60" s="10"/>
      <c r="BT60" s="10"/>
      <c r="BU60" s="10"/>
      <c r="BV60" s="10"/>
      <c r="BZ60" s="10"/>
      <c r="CA60" s="10"/>
      <c r="CB60" s="10"/>
      <c r="CC60" s="10"/>
      <c r="CG60" s="10"/>
      <c r="CH60" s="10"/>
      <c r="CI60" s="10"/>
      <c r="CJ60" s="10"/>
      <c r="CN60" s="10"/>
      <c r="CO60" s="10"/>
      <c r="CP60" s="10"/>
      <c r="CQ60" s="10"/>
      <c r="CU60" s="10"/>
      <c r="CV60" s="10"/>
      <c r="CW60" s="10"/>
      <c r="CX60" s="10"/>
      <c r="DB60" s="10"/>
      <c r="DC60" s="10"/>
      <c r="DD60" s="10"/>
      <c r="DE60" s="10"/>
      <c r="DI60" s="10"/>
      <c r="DJ60" s="10"/>
      <c r="DK60" s="10"/>
      <c r="DL60" s="10"/>
      <c r="DP60" s="10"/>
      <c r="DQ60" s="10"/>
      <c r="DR60" s="10"/>
      <c r="DS60" s="10"/>
    </row>
    <row r="61" spans="2:123" outlineLevel="1" x14ac:dyDescent="0.2">
      <c r="E61" s="9"/>
      <c r="G61" s="10"/>
      <c r="I61" s="9"/>
      <c r="J61" s="11"/>
      <c r="K61" s="11"/>
      <c r="L61" s="9"/>
      <c r="O61" s="10"/>
      <c r="P61" s="10"/>
      <c r="Q61" s="10"/>
      <c r="R61" s="10"/>
      <c r="V61" s="10"/>
      <c r="W61" s="10"/>
      <c r="X61" s="10"/>
      <c r="Y61" s="10"/>
      <c r="AC61" s="10"/>
      <c r="AD61" s="10"/>
      <c r="AE61" s="10"/>
      <c r="AF61" s="10"/>
      <c r="AJ61" s="10"/>
      <c r="AK61" s="10"/>
      <c r="AL61" s="10"/>
      <c r="AM61" s="10"/>
      <c r="AQ61" s="10"/>
      <c r="AR61" s="10"/>
      <c r="AS61" s="10"/>
      <c r="AT61" s="10"/>
      <c r="AX61" s="10"/>
      <c r="AY61" s="10"/>
      <c r="AZ61" s="10"/>
      <c r="BA61" s="10"/>
      <c r="BE61" s="10"/>
      <c r="BF61" s="10"/>
      <c r="BG61" s="10"/>
      <c r="BH61" s="10"/>
      <c r="BL61" s="10"/>
      <c r="BM61" s="10"/>
      <c r="BN61" s="10"/>
      <c r="BO61" s="10"/>
      <c r="BS61" s="10"/>
      <c r="BT61" s="10"/>
      <c r="BU61" s="10"/>
      <c r="BV61" s="10"/>
      <c r="BZ61" s="10"/>
      <c r="CA61" s="10"/>
      <c r="CB61" s="10"/>
      <c r="CC61" s="10"/>
      <c r="CG61" s="10"/>
      <c r="CH61" s="10"/>
      <c r="CI61" s="10"/>
      <c r="CJ61" s="10"/>
      <c r="CN61" s="10"/>
      <c r="CO61" s="10"/>
      <c r="CP61" s="10"/>
      <c r="CQ61" s="10"/>
      <c r="CU61" s="10"/>
      <c r="CV61" s="10"/>
      <c r="CW61" s="10"/>
      <c r="CX61" s="10"/>
      <c r="DB61" s="10"/>
      <c r="DC61" s="10"/>
      <c r="DD61" s="10"/>
      <c r="DE61" s="10"/>
      <c r="DI61" s="10"/>
      <c r="DJ61" s="10"/>
      <c r="DK61" s="10"/>
      <c r="DL61" s="10"/>
      <c r="DP61" s="10"/>
      <c r="DQ61" s="10"/>
      <c r="DR61" s="10"/>
      <c r="DS61" s="10"/>
    </row>
    <row r="62" spans="2:123" outlineLevel="1" x14ac:dyDescent="0.2">
      <c r="E62" s="9"/>
      <c r="G62" s="10"/>
      <c r="I62" s="9"/>
      <c r="J62" s="11"/>
      <c r="K62" s="11"/>
      <c r="L62" s="9"/>
      <c r="O62" s="10"/>
      <c r="P62" s="10"/>
      <c r="Q62" s="10"/>
      <c r="R62" s="10"/>
      <c r="V62" s="10"/>
      <c r="W62" s="10"/>
      <c r="X62" s="10"/>
      <c r="Y62" s="10"/>
      <c r="AC62" s="10"/>
      <c r="AD62" s="10"/>
      <c r="AE62" s="10"/>
      <c r="AF62" s="10"/>
      <c r="AJ62" s="10"/>
      <c r="AK62" s="10"/>
      <c r="AL62" s="10"/>
      <c r="AM62" s="10"/>
      <c r="AQ62" s="10"/>
      <c r="AR62" s="10"/>
      <c r="AS62" s="10"/>
      <c r="AT62" s="10"/>
      <c r="AX62" s="10"/>
      <c r="AY62" s="10"/>
      <c r="AZ62" s="10"/>
      <c r="BA62" s="10"/>
      <c r="BE62" s="10"/>
      <c r="BF62" s="10"/>
      <c r="BG62" s="10"/>
      <c r="BH62" s="10"/>
      <c r="BL62" s="10"/>
      <c r="BM62" s="10"/>
      <c r="BN62" s="10"/>
      <c r="BO62" s="10"/>
      <c r="BS62" s="10"/>
      <c r="BT62" s="10"/>
      <c r="BU62" s="10"/>
      <c r="BV62" s="10"/>
      <c r="BZ62" s="10"/>
      <c r="CA62" s="10"/>
      <c r="CB62" s="10"/>
      <c r="CC62" s="10"/>
      <c r="CG62" s="10"/>
      <c r="CH62" s="10"/>
      <c r="CI62" s="10"/>
      <c r="CJ62" s="10"/>
      <c r="CN62" s="10"/>
      <c r="CO62" s="10"/>
      <c r="CP62" s="10"/>
      <c r="CQ62" s="10"/>
      <c r="CU62" s="10"/>
      <c r="CV62" s="10"/>
      <c r="CW62" s="10"/>
      <c r="CX62" s="10"/>
      <c r="DB62" s="10"/>
      <c r="DC62" s="10"/>
      <c r="DD62" s="10"/>
      <c r="DE62" s="10"/>
      <c r="DI62" s="10"/>
      <c r="DJ62" s="10"/>
      <c r="DK62" s="10"/>
      <c r="DL62" s="10"/>
      <c r="DP62" s="10"/>
      <c r="DQ62" s="10"/>
      <c r="DR62" s="10"/>
      <c r="DS62" s="10"/>
    </row>
    <row r="63" spans="2:123" outlineLevel="1" x14ac:dyDescent="0.2">
      <c r="E63" s="9"/>
      <c r="G63" s="10"/>
      <c r="I63" s="9"/>
      <c r="J63" s="11"/>
      <c r="K63" s="11"/>
      <c r="L63" s="9"/>
      <c r="O63" s="10"/>
      <c r="P63" s="10"/>
      <c r="Q63" s="10"/>
      <c r="R63" s="10"/>
      <c r="V63" s="10"/>
      <c r="W63" s="10"/>
      <c r="X63" s="10"/>
      <c r="Y63" s="10"/>
      <c r="AC63" s="10"/>
      <c r="AD63" s="10"/>
      <c r="AE63" s="10"/>
      <c r="AF63" s="10"/>
      <c r="AJ63" s="10"/>
      <c r="AK63" s="10"/>
      <c r="AL63" s="10"/>
      <c r="AM63" s="10"/>
      <c r="AQ63" s="10"/>
      <c r="AR63" s="10"/>
      <c r="AS63" s="10"/>
      <c r="AT63" s="10"/>
      <c r="AX63" s="10"/>
      <c r="AY63" s="10"/>
      <c r="AZ63" s="10"/>
      <c r="BA63" s="10"/>
      <c r="BE63" s="10"/>
      <c r="BF63" s="10"/>
      <c r="BG63" s="10"/>
      <c r="BH63" s="10"/>
      <c r="BL63" s="10"/>
      <c r="BM63" s="10"/>
      <c r="BN63" s="10"/>
      <c r="BO63" s="10"/>
      <c r="BS63" s="10"/>
      <c r="BT63" s="10"/>
      <c r="BU63" s="10"/>
      <c r="BV63" s="10"/>
      <c r="BZ63" s="10"/>
      <c r="CA63" s="10"/>
      <c r="CB63" s="10"/>
      <c r="CC63" s="10"/>
      <c r="CG63" s="10"/>
      <c r="CH63" s="10"/>
      <c r="CI63" s="10"/>
      <c r="CJ63" s="10"/>
      <c r="CN63" s="10"/>
      <c r="CO63" s="10"/>
      <c r="CP63" s="10"/>
      <c r="CQ63" s="10"/>
      <c r="CU63" s="10"/>
      <c r="CV63" s="10"/>
      <c r="CW63" s="10"/>
      <c r="CX63" s="10"/>
      <c r="DB63" s="10"/>
      <c r="DC63" s="10"/>
      <c r="DD63" s="10"/>
      <c r="DE63" s="10"/>
      <c r="DI63" s="10"/>
      <c r="DJ63" s="10"/>
      <c r="DK63" s="10"/>
      <c r="DL63" s="10"/>
      <c r="DP63" s="10"/>
      <c r="DQ63" s="10"/>
      <c r="DR63" s="10"/>
      <c r="DS63" s="10"/>
    </row>
    <row r="64" spans="2:123" outlineLevel="1" x14ac:dyDescent="0.2">
      <c r="E64" s="9"/>
      <c r="G64" s="10"/>
      <c r="I64" s="9"/>
      <c r="J64" s="11"/>
      <c r="K64" s="11"/>
      <c r="L64" s="9"/>
      <c r="O64" s="10"/>
      <c r="P64" s="10"/>
      <c r="Q64" s="10"/>
      <c r="R64" s="10"/>
      <c r="V64" s="10"/>
      <c r="W64" s="10"/>
      <c r="X64" s="10"/>
      <c r="Y64" s="10"/>
      <c r="AC64" s="10"/>
      <c r="AD64" s="10"/>
      <c r="AE64" s="10"/>
      <c r="AF64" s="10"/>
      <c r="AJ64" s="10"/>
      <c r="AK64" s="10"/>
      <c r="AL64" s="10"/>
      <c r="AM64" s="10"/>
      <c r="AQ64" s="10"/>
      <c r="AR64" s="10"/>
      <c r="AS64" s="10"/>
      <c r="AT64" s="10"/>
      <c r="AX64" s="10"/>
      <c r="AY64" s="10"/>
      <c r="AZ64" s="10"/>
      <c r="BA64" s="10"/>
      <c r="BE64" s="10"/>
      <c r="BF64" s="10"/>
      <c r="BG64" s="10"/>
      <c r="BH64" s="10"/>
      <c r="BL64" s="10"/>
      <c r="BM64" s="10"/>
      <c r="BN64" s="10"/>
      <c r="BO64" s="10"/>
      <c r="BS64" s="10"/>
      <c r="BT64" s="10"/>
      <c r="BU64" s="10"/>
      <c r="BV64" s="10"/>
      <c r="BZ64" s="10"/>
      <c r="CA64" s="10"/>
      <c r="CB64" s="10"/>
      <c r="CC64" s="10"/>
      <c r="CG64" s="10"/>
      <c r="CH64" s="10"/>
      <c r="CI64" s="10"/>
      <c r="CJ64" s="10"/>
      <c r="CN64" s="10"/>
      <c r="CO64" s="10"/>
      <c r="CP64" s="10"/>
      <c r="CQ64" s="10"/>
      <c r="CU64" s="10"/>
      <c r="CV64" s="10"/>
      <c r="CW64" s="10"/>
      <c r="CX64" s="10"/>
      <c r="DB64" s="10"/>
      <c r="DC64" s="10"/>
      <c r="DD64" s="10"/>
      <c r="DE64" s="10"/>
      <c r="DI64" s="10"/>
      <c r="DJ64" s="10"/>
      <c r="DK64" s="10"/>
      <c r="DL64" s="10"/>
      <c r="DP64" s="10"/>
      <c r="DQ64" s="10"/>
      <c r="DR64" s="10"/>
      <c r="DS64" s="10"/>
    </row>
    <row r="65" spans="5:123" outlineLevel="1" x14ac:dyDescent="0.2">
      <c r="E65" s="9"/>
      <c r="G65" s="10"/>
      <c r="I65" s="9"/>
      <c r="J65" s="11"/>
      <c r="K65" s="11"/>
      <c r="L65" s="9"/>
      <c r="O65" s="10"/>
      <c r="P65" s="10"/>
      <c r="Q65" s="10"/>
      <c r="R65" s="10"/>
      <c r="V65" s="10"/>
      <c r="W65" s="10"/>
      <c r="X65" s="10"/>
      <c r="Y65" s="10"/>
      <c r="AC65" s="10"/>
      <c r="AD65" s="10"/>
      <c r="AE65" s="10"/>
      <c r="AF65" s="10"/>
      <c r="AJ65" s="10"/>
      <c r="AK65" s="10"/>
      <c r="AL65" s="10"/>
      <c r="AM65" s="10"/>
      <c r="AQ65" s="10"/>
      <c r="AR65" s="10"/>
      <c r="AS65" s="10"/>
      <c r="AT65" s="10"/>
      <c r="AX65" s="10"/>
      <c r="AY65" s="10"/>
      <c r="AZ65" s="10"/>
      <c r="BA65" s="10"/>
      <c r="BE65" s="10"/>
      <c r="BF65" s="10"/>
      <c r="BG65" s="10"/>
      <c r="BH65" s="10"/>
      <c r="BL65" s="10"/>
      <c r="BM65" s="10"/>
      <c r="BN65" s="10"/>
      <c r="BO65" s="10"/>
      <c r="BS65" s="10"/>
      <c r="BT65" s="10"/>
      <c r="BU65" s="10"/>
      <c r="BV65" s="10"/>
      <c r="BZ65" s="10"/>
      <c r="CA65" s="10"/>
      <c r="CB65" s="10"/>
      <c r="CC65" s="10"/>
      <c r="CG65" s="10"/>
      <c r="CH65" s="10"/>
      <c r="CI65" s="10"/>
      <c r="CJ65" s="10"/>
      <c r="CN65" s="10"/>
      <c r="CO65" s="10"/>
      <c r="CP65" s="10"/>
      <c r="CQ65" s="10"/>
      <c r="CU65" s="10"/>
      <c r="CV65" s="10"/>
      <c r="CW65" s="10"/>
      <c r="CX65" s="10"/>
      <c r="DB65" s="10"/>
      <c r="DC65" s="10"/>
      <c r="DD65" s="10"/>
      <c r="DE65" s="10"/>
      <c r="DI65" s="10"/>
      <c r="DJ65" s="10"/>
      <c r="DK65" s="10"/>
      <c r="DL65" s="10"/>
      <c r="DP65" s="10"/>
      <c r="DQ65" s="10"/>
      <c r="DR65" s="10"/>
      <c r="DS65" s="10"/>
    </row>
  </sheetData>
  <mergeCells count="17">
    <mergeCell ref="DO2:DT2"/>
    <mergeCell ref="CM2:CR2"/>
    <mergeCell ref="CT2:CY2"/>
    <mergeCell ref="BD2:BI2"/>
    <mergeCell ref="BK2:BP2"/>
    <mergeCell ref="BR2:BW2"/>
    <mergeCell ref="BY2:CD2"/>
    <mergeCell ref="CF2:CK2"/>
    <mergeCell ref="DA2:DF2"/>
    <mergeCell ref="DH2:DM2"/>
    <mergeCell ref="I2:L2"/>
    <mergeCell ref="AW2:BB2"/>
    <mergeCell ref="N2:S2"/>
    <mergeCell ref="U2:Z2"/>
    <mergeCell ref="AB2:AG2"/>
    <mergeCell ref="AI2:AN2"/>
    <mergeCell ref="AP2:AU2"/>
  </mergeCells>
  <conditionalFormatting sqref="J5:J13">
    <cfRule type="colorScale" priority="974">
      <colorScale>
        <cfvo type="percent" val="0"/>
        <cfvo type="percent" val="100"/>
        <color rgb="FFFF231B"/>
        <color rgb="FF10FF07"/>
      </colorScale>
    </cfRule>
  </conditionalFormatting>
  <conditionalFormatting sqref="J11:J24">
    <cfRule type="colorScale" priority="597">
      <colorScale>
        <cfvo type="percent" val="0"/>
        <cfvo type="percent" val="100"/>
        <color rgb="FFFF231B"/>
        <color rgb="FF10FF07"/>
      </colorScale>
    </cfRule>
  </conditionalFormatting>
  <conditionalFormatting sqref="J12:J14">
    <cfRule type="colorScale" priority="363">
      <colorScale>
        <cfvo type="percent" val="0"/>
        <cfvo type="percent" val="100"/>
        <color rgb="FFFF231B"/>
        <color rgb="FF10FF07"/>
      </colorScale>
    </cfRule>
  </conditionalFormatting>
  <conditionalFormatting sqref="J13:J14">
    <cfRule type="colorScale" priority="344">
      <colorScale>
        <cfvo type="percent" val="0"/>
        <cfvo type="percent" val="100"/>
        <color rgb="FFFF231B"/>
        <color rgb="FF10FF07"/>
      </colorScale>
    </cfRule>
  </conditionalFormatting>
  <conditionalFormatting sqref="J25:J32">
    <cfRule type="colorScale" priority="971">
      <colorScale>
        <cfvo type="percent" val="0"/>
        <cfvo type="percent" val="100"/>
        <color rgb="FFFF231B"/>
        <color rgb="FF10FF07"/>
      </colorScale>
    </cfRule>
  </conditionalFormatting>
  <conditionalFormatting sqref="J35:J41">
    <cfRule type="colorScale" priority="908">
      <colorScale>
        <cfvo type="percent" val="0"/>
        <cfvo type="percent" val="100"/>
        <color rgb="FFFF231B"/>
        <color rgb="FF10FF07"/>
      </colorScale>
    </cfRule>
  </conditionalFormatting>
  <conditionalFormatting sqref="J44:J53">
    <cfRule type="colorScale" priority="968">
      <colorScale>
        <cfvo type="percent" val="0"/>
        <cfvo type="percent" val="100"/>
        <color rgb="FFFF231B"/>
        <color rgb="FF10FF07"/>
      </colorScale>
    </cfRule>
  </conditionalFormatting>
  <conditionalFormatting sqref="J56:J65">
    <cfRule type="colorScale" priority="217">
      <colorScale>
        <cfvo type="percent" val="0"/>
        <cfvo type="percent" val="100"/>
        <color rgb="FFFF231B"/>
        <color rgb="FF10FF07"/>
      </colorScale>
    </cfRule>
  </conditionalFormatting>
  <conditionalFormatting sqref="J6:K8">
    <cfRule type="colorScale" priority="976">
      <colorScale>
        <cfvo type="percent" val="0"/>
        <cfvo type="percent" val="100"/>
        <color rgb="FFFF231B"/>
        <color rgb="FF10FF07"/>
      </colorScale>
    </cfRule>
  </conditionalFormatting>
  <conditionalFormatting sqref="J9:K9">
    <cfRule type="colorScale" priority="103">
      <colorScale>
        <cfvo type="percent" val="0"/>
        <cfvo type="percent" val="100"/>
        <color rgb="FFFF231B"/>
        <color rgb="FF10FF07"/>
      </colorScale>
    </cfRule>
  </conditionalFormatting>
  <conditionalFormatting sqref="J10:K10">
    <cfRule type="colorScale" priority="102">
      <colorScale>
        <cfvo type="percent" val="0"/>
        <cfvo type="percent" val="100"/>
        <color rgb="FFFF231B"/>
        <color rgb="FF10FF07"/>
      </colorScale>
    </cfRule>
  </conditionalFormatting>
  <conditionalFormatting sqref="J11:K11">
    <cfRule type="colorScale" priority="101">
      <colorScale>
        <cfvo type="percent" val="0"/>
        <cfvo type="percent" val="100"/>
        <color rgb="FFFF231B"/>
        <color rgb="FF10FF07"/>
      </colorScale>
    </cfRule>
  </conditionalFormatting>
  <conditionalFormatting sqref="J12:K12">
    <cfRule type="colorScale" priority="99">
      <colorScale>
        <cfvo type="percent" val="0"/>
        <cfvo type="percent" val="100"/>
        <color rgb="FFFF231B"/>
        <color rgb="FF10FF07"/>
      </colorScale>
    </cfRule>
    <cfRule type="colorScale" priority="364">
      <colorScale>
        <cfvo type="percent" val="0"/>
        <cfvo type="percent" val="100"/>
        <color rgb="FFFF231B"/>
        <color rgb="FF10FF07"/>
      </colorScale>
    </cfRule>
  </conditionalFormatting>
  <conditionalFormatting sqref="J13:K13">
    <cfRule type="colorScale" priority="95">
      <colorScale>
        <cfvo type="percent" val="0"/>
        <cfvo type="percent" val="100"/>
        <color rgb="FFFF231B"/>
        <color rgb="FF10FF07"/>
      </colorScale>
    </cfRule>
    <cfRule type="colorScale" priority="98">
      <colorScale>
        <cfvo type="percent" val="0"/>
        <cfvo type="percent" val="100"/>
        <color rgb="FFFF231B"/>
        <color rgb="FF10FF07"/>
      </colorScale>
    </cfRule>
    <cfRule type="colorScale" priority="100">
      <colorScale>
        <cfvo type="percent" val="0"/>
        <cfvo type="percent" val="100"/>
        <color rgb="FFFF231B"/>
        <color rgb="FF10FF07"/>
      </colorScale>
    </cfRule>
    <cfRule type="colorScale" priority="345">
      <colorScale>
        <cfvo type="percent" val="0"/>
        <cfvo type="percent" val="100"/>
        <color rgb="FFFF231B"/>
        <color rgb="FF10FF07"/>
      </colorScale>
    </cfRule>
  </conditionalFormatting>
  <conditionalFormatting sqref="J14:K14">
    <cfRule type="colorScale" priority="97">
      <colorScale>
        <cfvo type="percent" val="0"/>
        <cfvo type="percent" val="100"/>
        <color rgb="FFFF231B"/>
        <color rgb="FF10FF07"/>
      </colorScale>
    </cfRule>
    <cfRule type="colorScale" priority="96">
      <colorScale>
        <cfvo type="percent" val="0"/>
        <cfvo type="percent" val="100"/>
        <color rgb="FFFF231B"/>
        <color rgb="FF10FF07"/>
      </colorScale>
    </cfRule>
  </conditionalFormatting>
  <conditionalFormatting sqref="J14:K22">
    <cfRule type="colorScale" priority="598">
      <colorScale>
        <cfvo type="percent" val="0"/>
        <cfvo type="percent" val="100"/>
        <color rgb="FFFF231B"/>
        <color rgb="FF10FF07"/>
      </colorScale>
    </cfRule>
  </conditionalFormatting>
  <conditionalFormatting sqref="J23:K23">
    <cfRule type="colorScale" priority="117">
      <colorScale>
        <cfvo type="percent" val="0"/>
        <cfvo type="percent" val="100"/>
        <color rgb="FFFF231B"/>
        <color rgb="FF10FF07"/>
      </colorScale>
    </cfRule>
  </conditionalFormatting>
  <conditionalFormatting sqref="J24:K24">
    <cfRule type="colorScale" priority="116">
      <colorScale>
        <cfvo type="percent" val="0"/>
        <cfvo type="percent" val="100"/>
        <color rgb="FFFF231B"/>
        <color rgb="FF10FF07"/>
      </colorScale>
    </cfRule>
  </conditionalFormatting>
  <conditionalFormatting sqref="J26:K32">
    <cfRule type="colorScale" priority="972">
      <colorScale>
        <cfvo type="percent" val="0"/>
        <cfvo type="percent" val="100"/>
        <color rgb="FFFF231B"/>
        <color rgb="FF10FF07"/>
      </colorScale>
    </cfRule>
  </conditionalFormatting>
  <conditionalFormatting sqref="J36:K41">
    <cfRule type="colorScale" priority="906">
      <colorScale>
        <cfvo type="percent" val="0"/>
        <cfvo type="percent" val="100"/>
        <color rgb="FFFF231B"/>
        <color rgb="FF10FF07"/>
      </colorScale>
    </cfRule>
  </conditionalFormatting>
  <conditionalFormatting sqref="J45:K53">
    <cfRule type="colorScale" priority="967">
      <colorScale>
        <cfvo type="percent" val="0"/>
        <cfvo type="percent" val="100"/>
        <color rgb="FFFF231B"/>
        <color rgb="FF10FF07"/>
      </colorScale>
    </cfRule>
  </conditionalFormatting>
  <conditionalFormatting sqref="J57:K65">
    <cfRule type="colorScale" priority="216">
      <colorScale>
        <cfvo type="percent" val="0"/>
        <cfvo type="percent" val="100"/>
        <color rgb="FFFF231B"/>
        <color rgb="FF10FF07"/>
      </colorScale>
    </cfRule>
  </conditionalFormatting>
  <conditionalFormatting sqref="K5:K13">
    <cfRule type="colorScale" priority="977">
      <colorScale>
        <cfvo type="percent" val="0"/>
        <cfvo type="percent" val="100"/>
        <color rgb="FFFF231B"/>
        <color rgb="FF10FF07"/>
      </colorScale>
    </cfRule>
  </conditionalFormatting>
  <conditionalFormatting sqref="K11:K24">
    <cfRule type="colorScale" priority="596">
      <colorScale>
        <cfvo type="percent" val="0"/>
        <cfvo type="percent" val="100"/>
        <color rgb="FFFF231B"/>
        <color rgb="FF10FF07"/>
      </colorScale>
    </cfRule>
  </conditionalFormatting>
  <conditionalFormatting sqref="K12:K14">
    <cfRule type="colorScale" priority="362">
      <colorScale>
        <cfvo type="percent" val="0"/>
        <cfvo type="percent" val="100"/>
        <color rgb="FFFF231B"/>
        <color rgb="FF10FF07"/>
      </colorScale>
    </cfRule>
  </conditionalFormatting>
  <conditionalFormatting sqref="K13:K14">
    <cfRule type="colorScale" priority="343">
      <colorScale>
        <cfvo type="percent" val="0"/>
        <cfvo type="percent" val="100"/>
        <color rgb="FFFF231B"/>
        <color rgb="FF10FF07"/>
      </colorScale>
    </cfRule>
  </conditionalFormatting>
  <conditionalFormatting sqref="K25:K32">
    <cfRule type="colorScale" priority="973">
      <colorScale>
        <cfvo type="percent" val="0"/>
        <cfvo type="percent" val="100"/>
        <color rgb="FFFF231B"/>
        <color rgb="FF10FF07"/>
      </colorScale>
    </cfRule>
  </conditionalFormatting>
  <conditionalFormatting sqref="K35:K41">
    <cfRule type="colorScale" priority="910">
      <colorScale>
        <cfvo type="percent" val="0"/>
        <cfvo type="percent" val="100"/>
        <color rgb="FFFF231B"/>
        <color rgb="FF10FF07"/>
      </colorScale>
    </cfRule>
  </conditionalFormatting>
  <conditionalFormatting sqref="K44:K53">
    <cfRule type="colorScale" priority="970">
      <colorScale>
        <cfvo type="percent" val="0"/>
        <cfvo type="percent" val="100"/>
        <color rgb="FFFF231B"/>
        <color rgb="FF10FF07"/>
      </colorScale>
    </cfRule>
  </conditionalFormatting>
  <conditionalFormatting sqref="K56:K65">
    <cfRule type="colorScale" priority="218">
      <colorScale>
        <cfvo type="percent" val="0"/>
        <cfvo type="percent" val="100"/>
        <color rgb="FFFF231B"/>
        <color rgb="FF10FF07"/>
      </colorScale>
    </cfRule>
  </conditionalFormatting>
  <conditionalFormatting sqref="O5:O6">
    <cfRule type="expression" dxfId="167" priority="981">
      <formula>IF(O5&gt;=P6,IF(O5="",FALSE,TRUE))</formula>
    </cfRule>
    <cfRule type="expression" dxfId="166" priority="980">
      <formula>OR(IF(O5&lt;P6,TRUE),IF(AND(P6="",O5&lt;&gt;""),TRUE))</formula>
    </cfRule>
  </conditionalFormatting>
  <conditionalFormatting sqref="O11:O32 Q11:Q32">
    <cfRule type="expression" dxfId="165" priority="356">
      <formula>OR(IF(O11&lt;P11,TRUE),IF(AND(P11="",O11&lt;&gt;""),TRUE))</formula>
    </cfRule>
    <cfRule type="expression" dxfId="164" priority="357">
      <formula>IF(O11&gt;=P11,IF(O11="",FALSE,TRUE))</formula>
    </cfRule>
  </conditionalFormatting>
  <conditionalFormatting sqref="O35:O41">
    <cfRule type="expression" dxfId="163" priority="503">
      <formula>OR(IF(O35&lt;P35,TRUE),IF(AND(P35="",O35&lt;&gt;""),TRUE))</formula>
    </cfRule>
    <cfRule type="expression" dxfId="162" priority="504">
      <formula>IF(O35&gt;=P35,IF(O35="",FALSE,TRUE))</formula>
    </cfRule>
  </conditionalFormatting>
  <conditionalFormatting sqref="O56:O65 Q56:Q65 V56:V65 X56:X65 AC56:AC65 AE56:AE65 AJ56:AJ65 AL56:AL65 AQ56:AQ65 AS56:AS65 AX56:AX65 AZ56:AZ65 BE56:BE65 BG56:BG65">
    <cfRule type="expression" dxfId="161" priority="214">
      <formula>OR(IF(O56&lt;P56,TRUE),IF(AND(P56="",O56&lt;&gt;""),TRUE))</formula>
    </cfRule>
    <cfRule type="expression" dxfId="160" priority="215">
      <formula>IF(O56&gt;=P56,IF(O56="",FALSE,TRUE))</formula>
    </cfRule>
  </conditionalFormatting>
  <conditionalFormatting sqref="Q5:Q13 O8:O13 V5:V13 X5:X13 AC5:AC13 AE5:AE13 AJ5:AJ13 AL5:AL13 AX5:AX13 AZ5:AZ13 BE5:BE13 BG5:BG13 CG5:CG13 CI5:CI13 CU5:CU13 CW5:CW13 DB5:DB13 DD5:DD13 DI5:DI13 DK5:DK13 CN12:CN13 BZ12:BZ13 CB12:CB13 BS10:BS13 BU10:BU13 BL5:BL13 BN5:BN13 AQ5:AQ13 AS5:AS13 O44:O53 Q44:Q53 V44:V53 X44:X53 AC44:AC53 AE44:AE53 AJ44:AJ53 AL44:AL53 AQ44:AQ53 AS44:AS53 AX44:AX53 AZ44:AZ53 BE44:BE53 BG44:BG53">
    <cfRule type="expression" dxfId="159" priority="783">
      <formula>OR(IF(O5&lt;P5,TRUE),IF(AND(P5="",O5&lt;&gt;""),TRUE))</formula>
    </cfRule>
  </conditionalFormatting>
  <conditionalFormatting sqref="Q5:Q13 V5:V13 X5:X13 AC5:AC13 AE5:AE13 AJ5:AJ13 AL5:AL13 AQ5:AQ13 AS5:AS13 AX5:AX13 AZ5:AZ13 BE5:BE13 BG5:BG13 BL5:BL13 BN5:BN13 CG5:CG13 CI5:CI13 CU5:CU13 CW5:CW13 DB5:DB13 DD5:DD13 DI5:DI13 DK5:DK13 O8:O13 BS10:BS13 BU10:BU13 BZ12:BZ13 CB12:CB13 CN12:CN13 O44:O53 Q44:Q53 V44:V53 X44:X53 AC44:AC53 AE44:AE53 AJ44:AJ53 AL44:AL53 AQ44:AQ53 AS44:AS53 AX44:AX53 AZ44:AZ53 BE44:BE53 BG44:BG53">
    <cfRule type="expression" dxfId="158" priority="784">
      <formula>IF(O5&gt;=P5,IF(O5="",FALSE,TRUE))</formula>
    </cfRule>
  </conditionalFormatting>
  <conditionalFormatting sqref="Q35:Q41">
    <cfRule type="expression" dxfId="157" priority="502">
      <formula>IF(Q35&gt;=R35,IF(Q35="",FALSE,TRUE))</formula>
    </cfRule>
    <cfRule type="expression" dxfId="156" priority="501">
      <formula>OR(IF(Q35&lt;R35,TRUE),IF(AND(R35="",Q35&lt;&gt;""),TRUE))</formula>
    </cfRule>
  </conditionalFormatting>
  <conditionalFormatting sqref="V11:V32 X11:X32">
    <cfRule type="expression" dxfId="155" priority="355">
      <formula>IF(V11&gt;=W11,IF(V11="",FALSE,TRUE))</formula>
    </cfRule>
    <cfRule type="expression" dxfId="154" priority="354">
      <formula>OR(IF(V11&lt;W11,TRUE),IF(AND(W11="",V11&lt;&gt;""),TRUE))</formula>
    </cfRule>
  </conditionalFormatting>
  <conditionalFormatting sqref="V35:V41">
    <cfRule type="expression" dxfId="153" priority="11">
      <formula>OR(IF(V35&lt;W35,TRUE),IF(AND(W35="",V35&lt;&gt;""),TRUE))</formula>
    </cfRule>
    <cfRule type="expression" dxfId="152" priority="12">
      <formula>IF(V35&gt;=W35,IF(V35="",FALSE,TRUE))</formula>
    </cfRule>
  </conditionalFormatting>
  <conditionalFormatting sqref="X35:X41">
    <cfRule type="expression" dxfId="151" priority="9">
      <formula>OR(IF(X35&lt;Y35,TRUE),IF(AND(Y35="",X35&lt;&gt;""),TRUE))</formula>
    </cfRule>
    <cfRule type="expression" dxfId="150" priority="10">
      <formula>IF(X35&gt;=Y35,IF(X35="",FALSE,TRUE))</formula>
    </cfRule>
  </conditionalFormatting>
  <conditionalFormatting sqref="AC11:AC32 AE11:AE32">
    <cfRule type="expression" dxfId="149" priority="352">
      <formula>OR(IF(AC11&lt;AD11,TRUE),IF(AND(AD11="",AC11&lt;&gt;""),TRUE))</formula>
    </cfRule>
    <cfRule type="expression" dxfId="148" priority="353">
      <formula>IF(AC11&gt;=AD11,IF(AC11="",FALSE,TRUE))</formula>
    </cfRule>
  </conditionalFormatting>
  <conditionalFormatting sqref="AC35:AC41">
    <cfRule type="expression" dxfId="147" priority="15">
      <formula>OR(IF(AC35&lt;AD35,TRUE),IF(AND(AD35="",AC35&lt;&gt;""),TRUE))</formula>
    </cfRule>
    <cfRule type="expression" dxfId="146" priority="16">
      <formula>IF(AC35&gt;=AD35,IF(AC35="",FALSE,TRUE))</formula>
    </cfRule>
  </conditionalFormatting>
  <conditionalFormatting sqref="AE35:AE41">
    <cfRule type="expression" dxfId="145" priority="13">
      <formula>OR(IF(AE35&lt;AF35,TRUE),IF(AND(AF35="",AE35&lt;&gt;""),TRUE))</formula>
    </cfRule>
    <cfRule type="expression" dxfId="144" priority="14">
      <formula>IF(AE35&gt;=AF35,IF(AE35="",FALSE,TRUE))</formula>
    </cfRule>
  </conditionalFormatting>
  <conditionalFormatting sqref="AJ11:AJ32 AL11:AL32">
    <cfRule type="expression" dxfId="143" priority="351">
      <formula>IF(AJ11&gt;=AK11,IF(AJ11="",FALSE,TRUE))</formula>
    </cfRule>
    <cfRule type="expression" dxfId="142" priority="350">
      <formula>OR(IF(AJ11&lt;AK11,TRUE),IF(AND(AK11="",AJ11&lt;&gt;""),TRUE))</formula>
    </cfRule>
  </conditionalFormatting>
  <conditionalFormatting sqref="AJ35:AJ41">
    <cfRule type="expression" dxfId="141" priority="480">
      <formula>IF(AJ35&gt;=AK35,IF(AJ35="",FALSE,TRUE))</formula>
    </cfRule>
    <cfRule type="expression" dxfId="140" priority="479">
      <formula>OR(IF(AJ35&lt;AK35,TRUE),IF(AND(AK35="",AJ35&lt;&gt;""),TRUE))</formula>
    </cfRule>
  </conditionalFormatting>
  <conditionalFormatting sqref="AL35:AL41">
    <cfRule type="expression" dxfId="139" priority="478">
      <formula>IF(AL35&gt;=AM35,IF(AL35="",FALSE,TRUE))</formula>
    </cfRule>
    <cfRule type="expression" dxfId="138" priority="477">
      <formula>OR(IF(AL35&lt;AM35,TRUE),IF(AND(AM35="",AL35&lt;&gt;""),TRUE))</formula>
    </cfRule>
  </conditionalFormatting>
  <conditionalFormatting sqref="AQ11:AQ32 AS11:AS32">
    <cfRule type="expression" dxfId="137" priority="17">
      <formula>OR(IF(AQ11&lt;AR11,TRUE),IF(AND(AR11="",AQ11&lt;&gt;""),TRUE))</formula>
    </cfRule>
    <cfRule type="expression" dxfId="136" priority="18">
      <formula>IF(AQ11&gt;=AR11,IF(AQ11="",FALSE,TRUE))</formula>
    </cfRule>
  </conditionalFormatting>
  <conditionalFormatting sqref="AQ35:AQ41">
    <cfRule type="expression" dxfId="135" priority="472">
      <formula>IF(AQ35&gt;=AR35,IF(AQ35="",FALSE,TRUE))</formula>
    </cfRule>
    <cfRule type="expression" dxfId="134" priority="471">
      <formula>OR(IF(AQ35&lt;AR35,TRUE),IF(AND(AR35="",AQ35&lt;&gt;""),TRUE))</formula>
    </cfRule>
  </conditionalFormatting>
  <conditionalFormatting sqref="AS35:AS41">
    <cfRule type="expression" dxfId="133" priority="470">
      <formula>IF(AS35&gt;=AT35,IF(AS35="",FALSE,TRUE))</formula>
    </cfRule>
    <cfRule type="expression" dxfId="132" priority="469">
      <formula>OR(IF(AS35&lt;AT35,TRUE),IF(AND(AT35="",AS35&lt;&gt;""),TRUE))</formula>
    </cfRule>
  </conditionalFormatting>
  <conditionalFormatting sqref="AX11:AX32 AZ11:AZ32">
    <cfRule type="expression" dxfId="131" priority="346">
      <formula>OR(IF(AX11&lt;AY11,TRUE),IF(AND(AY11="",AX11&lt;&gt;""),TRUE))</formula>
    </cfRule>
    <cfRule type="expression" dxfId="130" priority="347">
      <formula>IF(AX11&gt;=AY11,IF(AX11="",FALSE,TRUE))</formula>
    </cfRule>
  </conditionalFormatting>
  <conditionalFormatting sqref="AX35:AX41">
    <cfRule type="expression" dxfId="129" priority="463">
      <formula>OR(IF(AX35&lt;AY35,TRUE),IF(AND(AY35="",AX35&lt;&gt;""),TRUE))</formula>
    </cfRule>
    <cfRule type="expression" dxfId="128" priority="464">
      <formula>IF(AX35&gt;=AY35,IF(AX35="",FALSE,TRUE))</formula>
    </cfRule>
  </conditionalFormatting>
  <conditionalFormatting sqref="AZ35:AZ41">
    <cfRule type="expression" dxfId="127" priority="462">
      <formula>IF(AZ35&gt;=BA35,IF(AZ35="",FALSE,TRUE))</formula>
    </cfRule>
    <cfRule type="expression" dxfId="126" priority="461">
      <formula>OR(IF(AZ35&lt;BA35,TRUE),IF(AND(BA35="",AZ35&lt;&gt;""),TRUE))</formula>
    </cfRule>
  </conditionalFormatting>
  <conditionalFormatting sqref="BE11:BE32 BG11:BG32">
    <cfRule type="expression" dxfId="125" priority="342">
      <formula>IF(BE11&gt;=BF11,IF(BE11="",FALSE,TRUE))</formula>
    </cfRule>
    <cfRule type="expression" dxfId="124" priority="341">
      <formula>OR(IF(BE11&lt;BF11,TRUE),IF(AND(BF11="",BE11&lt;&gt;""),TRUE))</formula>
    </cfRule>
  </conditionalFormatting>
  <conditionalFormatting sqref="BE35:BE41">
    <cfRule type="expression" dxfId="123" priority="453">
      <formula>IF(BE35&gt;=BF35,IF(BE35="",FALSE,TRUE))</formula>
    </cfRule>
    <cfRule type="expression" dxfId="122" priority="452">
      <formula>OR(IF(BE35&lt;BF35,TRUE),IF(AND(BF35="",BE35&lt;&gt;""),TRUE))</formula>
    </cfRule>
  </conditionalFormatting>
  <conditionalFormatting sqref="BG35:BG41">
    <cfRule type="expression" dxfId="121" priority="450">
      <formula>OR(IF(BG35&lt;BH35,TRUE),IF(AND(BH35="",BG35&lt;&gt;""),TRUE))</formula>
    </cfRule>
    <cfRule type="expression" dxfId="120" priority="451">
      <formula>IF(BG35&gt;=BH35,IF(BG35="",FALSE,TRUE))</formula>
    </cfRule>
  </conditionalFormatting>
  <conditionalFormatting sqref="BL11:BL32 BN11:BN32">
    <cfRule type="expression" dxfId="119" priority="24">
      <formula>IF(BL11&gt;=BM11,IF(BL11="",FALSE,TRUE))</formula>
    </cfRule>
    <cfRule type="expression" dxfId="118" priority="23">
      <formula>OR(IF(BL11&lt;BM11,TRUE),IF(AND(BM11="",BL11&lt;&gt;""),TRUE))</formula>
    </cfRule>
  </conditionalFormatting>
  <conditionalFormatting sqref="BL35:BL41">
    <cfRule type="expression" dxfId="117" priority="327">
      <formula>OR(IF(BL35&lt;BM35,TRUE),IF(AND(BM35="",BL35&lt;&gt;""),TRUE))</formula>
    </cfRule>
    <cfRule type="expression" dxfId="116" priority="328">
      <formula>IF(BL35&gt;=BM35,IF(BL35="",FALSE,TRUE))</formula>
    </cfRule>
  </conditionalFormatting>
  <conditionalFormatting sqref="BL44:BL53 BN44:BN53">
    <cfRule type="expression" dxfId="115" priority="340">
      <formula>IF(BL44&gt;=BM44,IF(BL44="",FALSE,TRUE))</formula>
    </cfRule>
    <cfRule type="expression" dxfId="114" priority="339">
      <formula>OR(IF(BL44&lt;BM44,TRUE),IF(AND(BM44="",BL44&lt;&gt;""),TRUE))</formula>
    </cfRule>
  </conditionalFormatting>
  <conditionalFormatting sqref="BL56:BL65 BN56:BN65">
    <cfRule type="expression" dxfId="113" priority="213">
      <formula>IF(BL56&gt;=BM56,IF(BL56="",FALSE,TRUE))</formula>
    </cfRule>
    <cfRule type="expression" dxfId="112" priority="212">
      <formula>OR(IF(BL56&lt;BM56,TRUE),IF(AND(BM56="",BL56&lt;&gt;""),TRUE))</formula>
    </cfRule>
  </conditionalFormatting>
  <conditionalFormatting sqref="BN35:BN41">
    <cfRule type="expression" dxfId="111" priority="326">
      <formula>IF(BN35&gt;=BO35,IF(BN35="",FALSE,TRUE))</formula>
    </cfRule>
    <cfRule type="expression" dxfId="110" priority="325">
      <formula>OR(IF(BN35&lt;BO35,TRUE),IF(AND(BO35="",BN35&lt;&gt;""),TRUE))</formula>
    </cfRule>
  </conditionalFormatting>
  <conditionalFormatting sqref="BS5:BS23 BU5:BU23">
    <cfRule type="expression" dxfId="109" priority="48">
      <formula>IF(BS5&gt;=BT5,IF(BS5="",FALSE,TRUE))</formula>
    </cfRule>
    <cfRule type="expression" dxfId="108" priority="47">
      <formula>OR(IF(BS5&lt;BT5,TRUE),IF(AND(BT5="",BS5&lt;&gt;""),TRUE))</formula>
    </cfRule>
  </conditionalFormatting>
  <conditionalFormatting sqref="BS19:BS25 BU19:BU25">
    <cfRule type="expression" dxfId="107" priority="302">
      <formula>IF(BS19&gt;=BT19,IF(BS19="",FALSE,TRUE))</formula>
    </cfRule>
    <cfRule type="expression" dxfId="106" priority="301">
      <formula>OR(IF(BS19&lt;BT19,TRUE),IF(AND(BT19="",BS19&lt;&gt;""),TRUE))</formula>
    </cfRule>
  </conditionalFormatting>
  <conditionalFormatting sqref="BS26:BS32 BU26:BU32">
    <cfRule type="expression" dxfId="105" priority="45">
      <formula>OR(IF(BS26&lt;BT26,TRUE),IF(AND(BT26="",BS26&lt;&gt;""),TRUE))</formula>
    </cfRule>
    <cfRule type="expression" dxfId="104" priority="46">
      <formula>IF(BS26&gt;=BT26,IF(BS26="",FALSE,TRUE))</formula>
    </cfRule>
  </conditionalFormatting>
  <conditionalFormatting sqref="BS35:BS41">
    <cfRule type="expression" dxfId="103" priority="307">
      <formula>OR(IF(BS35&lt;BT35,TRUE),IF(AND(BT35="",BS35&lt;&gt;""),TRUE))</formula>
    </cfRule>
    <cfRule type="expression" dxfId="102" priority="308">
      <formula>IF(BS35&gt;=BT35,IF(BS35="",FALSE,TRUE))</formula>
    </cfRule>
  </conditionalFormatting>
  <conditionalFormatting sqref="BS44:BS53">
    <cfRule type="expression" dxfId="101" priority="32">
      <formula>IF(BS44&gt;=BT44,IF(BS44="",FALSE,TRUE))</formula>
    </cfRule>
    <cfRule type="expression" dxfId="100" priority="31">
      <formula>OR(IF(BS44&lt;BT44,TRUE),IF(AND(BT44="",BS44&lt;&gt;""),TRUE))</formula>
    </cfRule>
  </conditionalFormatting>
  <conditionalFormatting sqref="BS56:BS65 BU56:BU65">
    <cfRule type="expression" dxfId="99" priority="25">
      <formula>OR(IF(BS56&lt;BT56,TRUE),IF(AND(BT56="",BS56&lt;&gt;""),TRUE))</formula>
    </cfRule>
    <cfRule type="expression" dxfId="98" priority="26">
      <formula>IF(BS56&gt;=BT56,IF(BS56="",FALSE,TRUE))</formula>
    </cfRule>
  </conditionalFormatting>
  <conditionalFormatting sqref="BU35:BU41">
    <cfRule type="expression" dxfId="97" priority="306">
      <formula>IF(BU35&gt;=BV35,IF(BU35="",FALSE,TRUE))</formula>
    </cfRule>
    <cfRule type="expression" dxfId="96" priority="305">
      <formula>OR(IF(BU35&lt;BV35,TRUE),IF(AND(BV35="",BU35&lt;&gt;""),TRUE))</formula>
    </cfRule>
  </conditionalFormatting>
  <conditionalFormatting sqref="BU44:BU53">
    <cfRule type="expression" dxfId="95" priority="30">
      <formula>IF(BU44&gt;=BV44,IF(BU44="",FALSE,TRUE))</formula>
    </cfRule>
    <cfRule type="expression" dxfId="94" priority="29">
      <formula>OR(IF(BU44&lt;BV44,TRUE),IF(AND(BV44="",BU44&lt;&gt;""),TRUE))</formula>
    </cfRule>
  </conditionalFormatting>
  <conditionalFormatting sqref="BZ5:BZ32 CB5:CB32">
    <cfRule type="expression" dxfId="93" priority="81">
      <formula>OR(IF(BZ5&lt;CA5,TRUE),IF(AND(CA5="",BZ5&lt;&gt;""),TRUE))</formula>
    </cfRule>
    <cfRule type="expression" dxfId="92" priority="82">
      <formula>IF(BZ5&gt;=CA5,IF(BZ5="",FALSE,TRUE))</formula>
    </cfRule>
  </conditionalFormatting>
  <conditionalFormatting sqref="BZ35:BZ41">
    <cfRule type="expression" dxfId="91" priority="287">
      <formula>OR(IF(BZ35&lt;CA35,TRUE),IF(AND(CA35="",BZ35&lt;&gt;""),TRUE))</formula>
    </cfRule>
    <cfRule type="expression" dxfId="90" priority="288">
      <formula>IF(BZ35&gt;=CA35,IF(BZ35="",FALSE,TRUE))</formula>
    </cfRule>
  </conditionalFormatting>
  <conditionalFormatting sqref="BZ44:BZ53">
    <cfRule type="expression" dxfId="89" priority="80">
      <formula>IF(BZ44&gt;=CA44,IF(BZ44="",FALSE,TRUE))</formula>
    </cfRule>
    <cfRule type="expression" dxfId="88" priority="79">
      <formula>OR(IF(BZ44&lt;CA44,TRUE),IF(AND(CA44="",BZ44&lt;&gt;""),TRUE))</formula>
    </cfRule>
  </conditionalFormatting>
  <conditionalFormatting sqref="BZ56:BZ65 CB56:CB65">
    <cfRule type="expression" dxfId="87" priority="75">
      <formula>OR(IF(BZ56&lt;CA56,TRUE),IF(AND(CA56="",BZ56&lt;&gt;""),TRUE))</formula>
    </cfRule>
    <cfRule type="expression" dxfId="86" priority="76">
      <formula>IF(BZ56&gt;=CA56,IF(BZ56="",FALSE,TRUE))</formula>
    </cfRule>
  </conditionalFormatting>
  <conditionalFormatting sqref="CB35:CB41">
    <cfRule type="expression" dxfId="85" priority="286">
      <formula>IF(CB35&gt;=CC35,IF(CB35="",FALSE,TRUE))</formula>
    </cfRule>
    <cfRule type="expression" dxfId="84" priority="285">
      <formula>OR(IF(CB35&lt;CC35,TRUE),IF(AND(CC35="",CB35&lt;&gt;""),TRUE))</formula>
    </cfRule>
  </conditionalFormatting>
  <conditionalFormatting sqref="CB44:CB53">
    <cfRule type="expression" dxfId="83" priority="77">
      <formula>OR(IF(CB44&lt;CC44,TRUE),IF(AND(CC44="",CB44&lt;&gt;""),TRUE))</formula>
    </cfRule>
    <cfRule type="expression" dxfId="82" priority="78">
      <formula>IF(CB44&gt;=CC44,IF(CB44="",FALSE,TRUE))</formula>
    </cfRule>
  </conditionalFormatting>
  <conditionalFormatting sqref="CG11:CG32 CI11:CI32">
    <cfRule type="expression" dxfId="81" priority="261">
      <formula>OR(IF(CG11&lt;CH11,TRUE),IF(AND(CH11="",CG11&lt;&gt;""),TRUE))</formula>
    </cfRule>
    <cfRule type="expression" dxfId="80" priority="262">
      <formula>IF(CG11&gt;=CH11,IF(CG11="",FALSE,TRUE))</formula>
    </cfRule>
  </conditionalFormatting>
  <conditionalFormatting sqref="CG35:CG41">
    <cfRule type="expression" dxfId="79" priority="267">
      <formula>OR(IF(CG35&lt;CH35,TRUE),IF(AND(CH35="",CG35&lt;&gt;""),TRUE))</formula>
    </cfRule>
    <cfRule type="expression" dxfId="78" priority="268">
      <formula>IF(CG35&gt;=CH35,IF(CG35="",FALSE,TRUE))</formula>
    </cfRule>
  </conditionalFormatting>
  <conditionalFormatting sqref="CG44:CG53 CI44:CI53">
    <cfRule type="expression" dxfId="77" priority="279">
      <formula>OR(IF(CG44&lt;CH44,TRUE),IF(AND(CH44="",CG44&lt;&gt;""),TRUE))</formula>
    </cfRule>
    <cfRule type="expression" dxfId="76" priority="280">
      <formula>IF(CG44&gt;=CH44,IF(CG44="",FALSE,TRUE))</formula>
    </cfRule>
  </conditionalFormatting>
  <conditionalFormatting sqref="CG56:CG65 CI56:CI65">
    <cfRule type="expression" dxfId="75" priority="206">
      <formula>OR(IF(CG56&lt;CH56,TRUE),IF(AND(CH56="",CG56&lt;&gt;""),TRUE))</formula>
    </cfRule>
    <cfRule type="expression" dxfId="74" priority="207">
      <formula>IF(CG56&gt;=CH56,IF(CG56="",FALSE,TRUE))</formula>
    </cfRule>
  </conditionalFormatting>
  <conditionalFormatting sqref="CI35:CI41">
    <cfRule type="expression" dxfId="73" priority="265">
      <formula>OR(IF(CI35&lt;CJ35,TRUE),IF(AND(CJ35="",CI35&lt;&gt;""),TRUE))</formula>
    </cfRule>
    <cfRule type="expression" dxfId="72" priority="266">
      <formula>IF(CI35&gt;=CJ35,IF(CI35="",FALSE,TRUE))</formula>
    </cfRule>
  </conditionalFormatting>
  <conditionalFormatting sqref="CN5:CN32 CP5:CP32">
    <cfRule type="expression" dxfId="71" priority="89">
      <formula>OR(IF(CN5&lt;CO5,TRUE),IF(AND(CO5="",CN5&lt;&gt;""),TRUE))</formula>
    </cfRule>
    <cfRule type="expression" dxfId="70" priority="90">
      <formula>IF(CN5&gt;=CO5,IF(CN5="",FALSE,TRUE))</formula>
    </cfRule>
  </conditionalFormatting>
  <conditionalFormatting sqref="CN35:CN41">
    <cfRule type="expression" dxfId="69" priority="248">
      <formula>IF(CN35&gt;=CO35,IF(CN35="",FALSE,TRUE))</formula>
    </cfRule>
    <cfRule type="expression" dxfId="68" priority="247">
      <formula>OR(IF(CN35&lt;CO35,TRUE),IF(AND(CO35="",CN35&lt;&gt;""),TRUE))</formula>
    </cfRule>
  </conditionalFormatting>
  <conditionalFormatting sqref="CN53 CP53">
    <cfRule type="expression" dxfId="67" priority="260">
      <formula>IF(CN53&gt;=CO53,IF(CN53="",FALSE,TRUE))</formula>
    </cfRule>
    <cfRule type="expression" dxfId="66" priority="259">
      <formula>OR(IF(CN53&lt;CO53,TRUE),IF(AND(CO53="",CN53&lt;&gt;""),TRUE))</formula>
    </cfRule>
  </conditionalFormatting>
  <conditionalFormatting sqref="CN60:CN65 CP60:CP65">
    <cfRule type="expression" dxfId="65" priority="205">
      <formula>IF(CN60&gt;=CO60,IF(CN60="",FALSE,TRUE))</formula>
    </cfRule>
    <cfRule type="expression" dxfId="64" priority="204">
      <formula>OR(IF(CN60&lt;CO60,TRUE),IF(AND(CO60="",CN60&lt;&gt;""),TRUE))</formula>
    </cfRule>
  </conditionalFormatting>
  <conditionalFormatting sqref="CP35:CP41">
    <cfRule type="expression" dxfId="63" priority="245">
      <formula>OR(IF(CP35&lt;CQ35,TRUE),IF(AND(CQ35="",CP35&lt;&gt;""),TRUE))</formula>
    </cfRule>
    <cfRule type="expression" dxfId="62" priority="246">
      <formula>IF(CP35&gt;=CQ35,IF(CP35="",FALSE,TRUE))</formula>
    </cfRule>
  </conditionalFormatting>
  <conditionalFormatting sqref="CU11:CU32 CW11:CW32">
    <cfRule type="expression" dxfId="61" priority="222">
      <formula>IF(CU11&gt;=CV11,IF(CU11="",FALSE,TRUE))</formula>
    </cfRule>
    <cfRule type="expression" dxfId="60" priority="221">
      <formula>OR(IF(CU11&lt;CV11,TRUE),IF(AND(CV11="",CU11&lt;&gt;""),TRUE))</formula>
    </cfRule>
  </conditionalFormatting>
  <conditionalFormatting sqref="CU35:CU41">
    <cfRule type="expression" dxfId="59" priority="227">
      <formula>OR(IF(CU35&lt;CV35,TRUE),IF(AND(CV35="",CU35&lt;&gt;""),TRUE))</formula>
    </cfRule>
    <cfRule type="expression" dxfId="58" priority="228">
      <formula>IF(CU35&gt;=CV35,IF(CU35="",FALSE,TRUE))</formula>
    </cfRule>
  </conditionalFormatting>
  <conditionalFormatting sqref="CU53 CW53">
    <cfRule type="expression" dxfId="57" priority="240">
      <formula>IF(CU53&gt;=CV53,IF(CU53="",FALSE,TRUE))</formula>
    </cfRule>
    <cfRule type="expression" dxfId="56" priority="239">
      <formula>OR(IF(CU53&lt;CV53,TRUE),IF(AND(CV53="",CU53&lt;&gt;""),TRUE))</formula>
    </cfRule>
  </conditionalFormatting>
  <conditionalFormatting sqref="CU60:CU65 CW60:CW65">
    <cfRule type="expression" dxfId="55" priority="203">
      <formula>IF(CU60&gt;=CV60,IF(CU60="",FALSE,TRUE))</formula>
    </cfRule>
    <cfRule type="expression" dxfId="54" priority="202">
      <formula>OR(IF(CU60&lt;CV60,TRUE),IF(AND(CV60="",CU60&lt;&gt;""),TRUE))</formula>
    </cfRule>
  </conditionalFormatting>
  <conditionalFormatting sqref="CW35:CW41">
    <cfRule type="expression" dxfId="53" priority="225">
      <formula>OR(IF(CW35&lt;CX35,TRUE),IF(AND(CX35="",CW35&lt;&gt;""),TRUE))</formula>
    </cfRule>
    <cfRule type="expression" dxfId="52" priority="226">
      <formula>IF(CW35&gt;=CX35,IF(CW35="",FALSE,TRUE))</formula>
    </cfRule>
  </conditionalFormatting>
  <conditionalFormatting sqref="DB11:DB32 DD11:DD32">
    <cfRule type="expression" dxfId="51" priority="190">
      <formula>OR(IF(DB11&lt;DC11,TRUE),IF(AND(DC11="",DB11&lt;&gt;""),TRUE))</formula>
    </cfRule>
    <cfRule type="expression" dxfId="50" priority="191">
      <formula>IF(DB11&gt;=DC11,IF(DB11="",FALSE,TRUE))</formula>
    </cfRule>
  </conditionalFormatting>
  <conditionalFormatting sqref="DB35:DB41">
    <cfRule type="expression" dxfId="49" priority="194">
      <formula>OR(IF(DB35&lt;DC35,TRUE),IF(AND(DC35="",DB35&lt;&gt;""),TRUE))</formula>
    </cfRule>
    <cfRule type="expression" dxfId="48" priority="195">
      <formula>IF(DB35&gt;=DC35,IF(DB35="",FALSE,TRUE))</formula>
    </cfRule>
  </conditionalFormatting>
  <conditionalFormatting sqref="DB44:DB53 DD44:DD53">
    <cfRule type="expression" dxfId="47" priority="200">
      <formula>OR(IF(DB44&lt;DC44,TRUE),IF(AND(DC44="",DB44&lt;&gt;""),TRUE))</formula>
    </cfRule>
    <cfRule type="expression" dxfId="46" priority="201">
      <formula>IF(DB44&gt;=DC44,IF(DB44="",FALSE,TRUE))</formula>
    </cfRule>
  </conditionalFormatting>
  <conditionalFormatting sqref="DB56:DB65 DD56:DD65">
    <cfRule type="expression" dxfId="45" priority="188">
      <formula>OR(IF(DB56&lt;DC56,TRUE),IF(AND(DC56="",DB56&lt;&gt;""),TRUE))</formula>
    </cfRule>
    <cfRule type="expression" dxfId="44" priority="189">
      <formula>IF(DB56&gt;=DC56,IF(DB56="",FALSE,TRUE))</formula>
    </cfRule>
  </conditionalFormatting>
  <conditionalFormatting sqref="DD35:DD41">
    <cfRule type="expression" dxfId="43" priority="193">
      <formula>IF(DD35&gt;=DE35,IF(DD35="",FALSE,TRUE))</formula>
    </cfRule>
    <cfRule type="expression" dxfId="42" priority="192">
      <formula>OR(IF(DD35&lt;DE35,TRUE),IF(AND(DE35="",DD35&lt;&gt;""),TRUE))</formula>
    </cfRule>
  </conditionalFormatting>
  <conditionalFormatting sqref="DI11:DI32 DK11:DK32">
    <cfRule type="expression" dxfId="41" priority="176">
      <formula>OR(IF(DI11&lt;DJ11,TRUE),IF(AND(DJ11="",DI11&lt;&gt;""),TRUE))</formula>
    </cfRule>
    <cfRule type="expression" dxfId="40" priority="177">
      <formula>IF(DI11&gt;=DJ11,IF(DI11="",FALSE,TRUE))</formula>
    </cfRule>
  </conditionalFormatting>
  <conditionalFormatting sqref="DI35:DI41">
    <cfRule type="expression" dxfId="39" priority="180">
      <formula>OR(IF(DI35&lt;DJ35,TRUE),IF(AND(DJ35="",DI35&lt;&gt;""),TRUE))</formula>
    </cfRule>
    <cfRule type="expression" dxfId="38" priority="181">
      <formula>IF(DI35&gt;=DJ35,IF(DI35="",FALSE,TRUE))</formula>
    </cfRule>
  </conditionalFormatting>
  <conditionalFormatting sqref="DI44:DI53 DK44:DK53">
    <cfRule type="expression" dxfId="37" priority="186">
      <formula>OR(IF(DI44&lt;DJ44,TRUE),IF(AND(DJ44="",DI44&lt;&gt;""),TRUE))</formula>
    </cfRule>
    <cfRule type="expression" dxfId="36" priority="187">
      <formula>IF(DI44&gt;=DJ44,IF(DI44="",FALSE,TRUE))</formula>
    </cfRule>
  </conditionalFormatting>
  <conditionalFormatting sqref="DI56:DI65 DK56:DK65">
    <cfRule type="expression" dxfId="35" priority="175">
      <formula>IF(DI56&gt;=DJ56,IF(DI56="",FALSE,TRUE))</formula>
    </cfRule>
    <cfRule type="expression" dxfId="34" priority="174">
      <formula>OR(IF(DI56&lt;DJ56,TRUE),IF(AND(DJ56="",DI56&lt;&gt;""),TRUE))</formula>
    </cfRule>
  </conditionalFormatting>
  <conditionalFormatting sqref="DK35:DK41">
    <cfRule type="expression" dxfId="33" priority="178">
      <formula>OR(IF(DK35&lt;DL35,TRUE),IF(AND(DL35="",DK35&lt;&gt;""),TRUE))</formula>
    </cfRule>
    <cfRule type="expression" dxfId="32" priority="179">
      <formula>IF(DK35&gt;=DL35,IF(DK35="",FALSE,TRUE))</formula>
    </cfRule>
  </conditionalFormatting>
  <conditionalFormatting sqref="DP5:DP13 DR5:DR13">
    <cfRule type="expression" dxfId="31" priority="115">
      <formula>IF(DP5&gt;=DQ5,IF(DP5="",FALSE,TRUE))</formula>
    </cfRule>
    <cfRule type="expression" dxfId="30" priority="114">
      <formula>OR(IF(DP5&lt;DQ5,TRUE),IF(AND(DQ5="",DP5&lt;&gt;""),TRUE))</formula>
    </cfRule>
  </conditionalFormatting>
  <conditionalFormatting sqref="DP11:DP32 DR11:DR32">
    <cfRule type="expression" dxfId="29" priority="106">
      <formula>OR(IF(DP11&lt;DQ11,TRUE),IF(AND(DQ11="",DP11&lt;&gt;""),TRUE))</formula>
    </cfRule>
    <cfRule type="expression" dxfId="28" priority="107">
      <formula>IF(DP11&gt;=DQ11,IF(DP11="",FALSE,TRUE))</formula>
    </cfRule>
  </conditionalFormatting>
  <conditionalFormatting sqref="DP35:DP41">
    <cfRule type="expression" dxfId="27" priority="110">
      <formula>OR(IF(DP35&lt;DQ35,TRUE),IF(AND(DQ35="",DP35&lt;&gt;""),TRUE))</formula>
    </cfRule>
    <cfRule type="expression" dxfId="26" priority="111">
      <formula>IF(DP35&gt;=DQ35,IF(DP35="",FALSE,TRUE))</formula>
    </cfRule>
  </conditionalFormatting>
  <conditionalFormatting sqref="DP44:DP53 DR44:DR53">
    <cfRule type="expression" dxfId="25" priority="112">
      <formula>OR(IF(DP44&lt;DQ44,TRUE),IF(AND(DQ44="",DP44&lt;&gt;""),TRUE))</formula>
    </cfRule>
    <cfRule type="expression" dxfId="24" priority="113">
      <formula>IF(DP44&gt;=DQ44,IF(DP44="",FALSE,TRUE))</formula>
    </cfRule>
  </conditionalFormatting>
  <conditionalFormatting sqref="DP56:DP65 DR56:DR65">
    <cfRule type="expression" dxfId="23" priority="105">
      <formula>IF(DP56&gt;=DQ56,IF(DP56="",FALSE,TRUE))</formula>
    </cfRule>
    <cfRule type="expression" dxfId="22" priority="104">
      <formula>OR(IF(DP56&lt;DQ56,TRUE),IF(AND(DQ56="",DP56&lt;&gt;""),TRUE))</formula>
    </cfRule>
  </conditionalFormatting>
  <conditionalFormatting sqref="DR35:DR41">
    <cfRule type="expression" dxfId="21" priority="108">
      <formula>OR(IF(DR35&lt;DS35,TRUE),IF(AND(DS35="",DR35&lt;&gt;""),TRUE))</formula>
    </cfRule>
    <cfRule type="expression" dxfId="20" priority="109">
      <formula>IF(DR35&gt;=DS35,IF(DR35="",FALSE,TRUE))</formula>
    </cfRule>
  </conditionalFormatting>
  <conditionalFormatting sqref="CN44:CN52 CP44:CP52">
    <cfRule type="expression" dxfId="7" priority="7">
      <formula>OR(IF(CN44&lt;CO44,TRUE),IF(AND(CO44="",CN44&lt;&gt;""),TRUE))</formula>
    </cfRule>
    <cfRule type="expression" dxfId="6" priority="8">
      <formula>IF(CN44&gt;=CO44,IF(CN44="",FALSE,TRUE))</formula>
    </cfRule>
  </conditionalFormatting>
  <conditionalFormatting sqref="CU44:CU52 CW44:CW52">
    <cfRule type="expression" dxfId="5" priority="5">
      <formula>OR(IF(CU44&lt;CV44,TRUE),IF(AND(CV44="",CU44&lt;&gt;""),TRUE))</formula>
    </cfRule>
    <cfRule type="expression" dxfId="4" priority="6">
      <formula>IF(CU44&gt;=CV44,IF(CU44="",FALSE,TRUE))</formula>
    </cfRule>
  </conditionalFormatting>
  <conditionalFormatting sqref="CN56:CN59 CP56:CP59">
    <cfRule type="expression" dxfId="3" priority="3">
      <formula>OR(IF(CN56&lt;CO56,TRUE),IF(AND(CO56="",CN56&lt;&gt;""),TRUE))</formula>
    </cfRule>
    <cfRule type="expression" dxfId="2" priority="4">
      <formula>IF(CN56&gt;=CO56,IF(CN56="",FALSE,TRUE))</formula>
    </cfRule>
  </conditionalFormatting>
  <conditionalFormatting sqref="CU56:CU59 CW56:CW59">
    <cfRule type="expression" dxfId="1" priority="1">
      <formula>OR(IF(CU56&lt;CV56,TRUE),IF(AND(CV56="",CU56&lt;&gt;""),TRUE))</formula>
    </cfRule>
    <cfRule type="expression" dxfId="0" priority="2">
      <formula>IF(CU56&gt;=CV56,IF(CU56="",FALSE,TRUE))</formula>
    </cfRule>
  </conditionalFormatting>
  <dataValidations count="1">
    <dataValidation type="list" allowBlank="1" showInputMessage="1" showErrorMessage="1" sqref="AC35:AF41 AC44:AF53 AJ44:AM53 AT44 AY44 BE56:BH65 BL56:BO65 AQ5:AT13 AX5:BA13 BE5:BH13 BL5:BO13 CG15:CJ24 O5:O6 CN5:CQ13 AQ15:AT24 AJ15:AM24 BZ26:CC32 AC15:AF24 V26:Y32 O26:R32 BL15:BO24 BE35:BH41 AQ35:AT41 CU26:CX32 AJ26:AM32 AC26:AF32 V15:Y24 O35:R41 BE26:BH32 AQ26:AT32 BE44:BH53 AJ35:AM41 V44:Y53 O44:R53 BL35:BO41 BZ56:CC65 BS56:BV65 O8:R13 BL26:BO32 CU15:CX24 BS35:BV41 AX15:BA24 BS26:BV32 CG56:CJ65 CN44:CQ53 V35:Y41 BS15:BV24 DB15:DE24 BZ35:CC41 DP56:DS65 CG5:CJ13 CN15:CQ24 CG35:CJ41 CG26:CJ32 O15:R24 DI15:DL24 DP15:DS24 CN35:CQ41 CN26:CQ32 BE15:BH24 CU5:CX13 DB26:DE32 CU35:CX41 P5:R7 AC56:AF65 BZ44:CC53 AX26:BA32 AQ56:AT65 AX56:BA65 AJ56:AM65 V56:Y65 O56:R65 BL44:BO53 BS44:BV53 CN56:CQ65 CG44:CJ53 CU44:CX53 DB44:DE53 DB5:DE13 V5:Y13 DI26:DL32 DB35:DE41 DB56:DE65 DI44:DL53 DI5:DL13 AC5:AF13 DI35:DL41 DI56:DL65 AX35:BA41 DP26:DS32 DP44:DS53 DP5:DS13 DP35:DS41 BS5:BV13 AJ5:AM13 BZ15:CC24 BZ5:CC13 AX44:AX53 AY48:AY53 AZ44:AZ53 BA48:BA53 BA44 AQ50:AT53 AR44 AQ44:AQ49 AR48:AR49 AS44:AS49 AT48:AT49 CU56:CX65"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9" priority="15" operator="equal">
      <formula>"Nein"</formula>
    </cfRule>
    <cfRule type="cellIs" dxfId="18" priority="14" operator="equal">
      <formula>"Ja"</formula>
    </cfRule>
    <cfRule type="cellIs" dxfId="17" priority="4" operator="equal">
      <formula>"Ja"</formula>
    </cfRule>
  </conditionalFormatting>
  <conditionalFormatting sqref="C2:C46">
    <cfRule type="cellIs" dxfId="16" priority="3" operator="equal">
      <formula>"Nein"</formula>
    </cfRule>
    <cfRule type="cellIs" dxfId="15" priority="2" operator="equal">
      <formula>"Ja"</formula>
    </cfRule>
    <cfRule type="cellIs" dxfId="14" priority="1" operator="equal">
      <formula>"Ja"</formula>
    </cfRule>
  </conditionalFormatting>
  <conditionalFormatting sqref="D2">
    <cfRule type="cellIs" dxfId="13" priority="7" operator="equal">
      <formula>0.8</formula>
    </cfRule>
    <cfRule type="cellIs" dxfId="12" priority="9" operator="equal">
      <formula>0.4</formula>
    </cfRule>
    <cfRule type="cellIs" dxfId="11" priority="10" operator="equal">
      <formula>0.2</formula>
    </cfRule>
    <cfRule type="cellIs" dxfId="10" priority="11" operator="equal">
      <formula>0</formula>
    </cfRule>
    <cfRule type="cellIs" dxfId="9" priority="6" operator="equal">
      <formula>1</formula>
    </cfRule>
    <cfRule type="cellIs" dxfId="8" priority="8" operator="equal">
      <formula>0.6</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B9" sqref="B9"/>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Til S</cp:lastModifiedBy>
  <dcterms:created xsi:type="dcterms:W3CDTF">2020-04-19T13:33:28Z</dcterms:created>
  <dcterms:modified xsi:type="dcterms:W3CDTF">2023-11-15T15:52:23Z</dcterms:modified>
</cp:coreProperties>
</file>