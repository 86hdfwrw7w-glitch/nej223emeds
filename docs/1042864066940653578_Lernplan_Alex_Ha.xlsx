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nleitung" sheetId="1" r:id="rId4"/>
    <sheet state="visible" name="Semesterplan" sheetId="2" r:id="rId5"/>
    <sheet state="visible" name="COMMITTMENT" sheetId="3" r:id="rId6"/>
    <sheet state="visible" name="Wochenplan KW 19" sheetId="4" r:id="rId7"/>
    <sheet state="visible" name="Wochenplan KW 20" sheetId="5" r:id="rId8"/>
  </sheets>
  <definedNames/>
  <calcPr/>
  <extLst>
    <ext uri="GoogleSheetsCustomDataVersion1">
      <go:sheetsCustomData xmlns:go="http://customooxmlschemas.google.com/" r:id="rId9" roundtripDataSignature="AMtx7mhET9rVIz3HX6vKtcqvJPBHx3Kp9A=="/>
    </ext>
  </extLst>
</workbook>
</file>

<file path=xl/sharedStrings.xml><?xml version="1.0" encoding="utf-8"?>
<sst xmlns="http://schemas.openxmlformats.org/spreadsheetml/2006/main" count="388" uniqueCount="143">
  <si>
    <t>Best Practices für die optimale Semesterplanung</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</si>
  <si>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</si>
  <si>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</si>
  <si>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</si>
  <si>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</si>
  <si>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</si>
  <si>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</si>
  <si>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</si>
  <si>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</si>
  <si>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Ziele setzen und Zeiten abschätzen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</si>
  <si>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</si>
  <si>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Wiederholungen einbauen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</si>
  <si>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</si>
  <si>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</si>
  <si>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</si>
  <si>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Semesterplan</t>
  </si>
  <si>
    <t>(Übersicht-Zelle muss angepasst werden)</t>
  </si>
  <si>
    <t>Übersicht</t>
  </si>
  <si>
    <t>KW 42</t>
  </si>
  <si>
    <t>KW 43</t>
  </si>
  <si>
    <t>KW 44</t>
  </si>
  <si>
    <t>KW 45</t>
  </si>
  <si>
    <t>KW 46</t>
  </si>
  <si>
    <t>KW 47</t>
  </si>
  <si>
    <t>KW 48</t>
  </si>
  <si>
    <t>KW 49</t>
  </si>
  <si>
    <t>KW 50</t>
  </si>
  <si>
    <t>KW 51</t>
  </si>
  <si>
    <t>KW 52</t>
  </si>
  <si>
    <t>KW 1</t>
  </si>
  <si>
    <t>KW 2</t>
  </si>
  <si>
    <t>KW 3</t>
  </si>
  <si>
    <t>KW 4</t>
  </si>
  <si>
    <t>KW 5</t>
  </si>
  <si>
    <t>KW 6</t>
  </si>
  <si>
    <t>Typ</t>
  </si>
  <si>
    <t>Fach</t>
  </si>
  <si>
    <t>Klausurdatum</t>
  </si>
  <si>
    <t>ECTS</t>
  </si>
  <si>
    <t>Fachgebiet</t>
  </si>
  <si>
    <t>Anteil an Klausur</t>
  </si>
  <si>
    <t>Stunden</t>
  </si>
  <si>
    <t>Skript Niveau</t>
  </si>
  <si>
    <t>Rechnen Niveau</t>
  </si>
  <si>
    <t>Bemerkungen</t>
  </si>
  <si>
    <t>Ziel</t>
  </si>
  <si>
    <t>Bilanzierung 1</t>
  </si>
  <si>
    <t xml:space="preserve">Klausuren </t>
  </si>
  <si>
    <t>Thema</t>
  </si>
  <si>
    <t>1) Rechnungswesen als Informationsbasis der Unternehmensführung</t>
  </si>
  <si>
    <t xml:space="preserve">2) Rechtliche Grundlagen </t>
  </si>
  <si>
    <t>3) Vom Inventar zur Bilanz</t>
  </si>
  <si>
    <t xml:space="preserve">4) Erfassung der Güter- und Finanzbewegung </t>
  </si>
  <si>
    <t xml:space="preserve">5) Von der Eröffnungsbilanz zur Schlussbilanz </t>
  </si>
  <si>
    <t>6) Organisation von Büchern</t>
  </si>
  <si>
    <t>7) Sachverhalte im warenwirtschaftlichen Bereich</t>
  </si>
  <si>
    <t>8) Sachverhalte im personalwirtschaftlichen Bereich</t>
  </si>
  <si>
    <t>9) Sachverhalte im produktionswirtschaftlichen Bereich</t>
  </si>
  <si>
    <t>10) Sachverhalte im anlagenwirtschaftlichen Bereich</t>
  </si>
  <si>
    <t>11) Sachverhalte im finanzwirtschaftlichen Bereich</t>
  </si>
  <si>
    <t>12) Vorbereitung des Jahresabschlusses</t>
  </si>
  <si>
    <t>Kostenrechnung</t>
  </si>
  <si>
    <t>1) Einordnung in den Controlling-Kontext</t>
  </si>
  <si>
    <t>2) Struktuierung von Kosten</t>
  </si>
  <si>
    <t>3) Konstenartenrechnung</t>
  </si>
  <si>
    <t>4) Konstenstellenrechnung</t>
  </si>
  <si>
    <t xml:space="preserve">5) Kostenträgerrechnung </t>
  </si>
  <si>
    <t>6) Erlösrechnung</t>
  </si>
  <si>
    <t>7) Erfolgsrechnung</t>
  </si>
  <si>
    <t>Mathe 1</t>
  </si>
  <si>
    <t xml:space="preserve">1) Aussagen und ihre Verknüpfungen </t>
  </si>
  <si>
    <t>2) Mathematische Beweisführung</t>
  </si>
  <si>
    <t xml:space="preserve">3) Mengen und ihre Operationen </t>
  </si>
  <si>
    <t xml:space="preserve">4) Binäre Relationen </t>
  </si>
  <si>
    <t>5) Folgen und Reihen</t>
  </si>
  <si>
    <t>6) Reele Funktionen einer Variablen</t>
  </si>
  <si>
    <t xml:space="preserve">7) Grenzwerte und Steigkeit </t>
  </si>
  <si>
    <t>8) Differentiation von Funktionen einer Variablen</t>
  </si>
  <si>
    <t>9) Kurvendiskussion</t>
  </si>
  <si>
    <t>10) Integration</t>
  </si>
  <si>
    <t>Mikroökonomik 1</t>
  </si>
  <si>
    <t>Mikroökonomik 1 (Haushaltstheorie)</t>
  </si>
  <si>
    <t xml:space="preserve">1) Budgetbeschränkung </t>
  </si>
  <si>
    <t>2) Präferenzen und Nutzenfunktion</t>
  </si>
  <si>
    <t>3) Nutzenmaximierung und individuelle Nachfrage</t>
  </si>
  <si>
    <t xml:space="preserve">4) Einkommens- und Substitutionseffekt </t>
  </si>
  <si>
    <t>5) Aggregierte Marktnachfrage</t>
  </si>
  <si>
    <t xml:space="preserve">6) Arbeitsangebot des Haushalts </t>
  </si>
  <si>
    <t>Mikroökonomik 1 (Unternehmenstheorie)</t>
  </si>
  <si>
    <t>1) Technologie und Produktionsfunktion</t>
  </si>
  <si>
    <t>2) Gewinnmaximierung</t>
  </si>
  <si>
    <t>3) Kostenminimierung</t>
  </si>
  <si>
    <t>4) Durchschnitts- und Grenzkosten</t>
  </si>
  <si>
    <t>5) Individuelle Angebot und Marktangebot</t>
  </si>
  <si>
    <t>Organisation &amp; Personal</t>
  </si>
  <si>
    <t>Organisation</t>
  </si>
  <si>
    <t xml:space="preserve">1) Existenz von Organisationen </t>
  </si>
  <si>
    <t>2) Probleme von Arbeitsteilung und Koordination</t>
  </si>
  <si>
    <t xml:space="preserve">3) Der Tausch (Transaktion) </t>
  </si>
  <si>
    <t>4) Koordination und Motivation in Organisationen</t>
  </si>
  <si>
    <t xml:space="preserve">5) Gestaltung der Organisation </t>
  </si>
  <si>
    <t>6) Erfolreich Organisieren</t>
  </si>
  <si>
    <t>Personal</t>
  </si>
  <si>
    <t>1) Personal als Ressource</t>
  </si>
  <si>
    <t>2) Personalnachfrage</t>
  </si>
  <si>
    <t>3) Personalauswahl</t>
  </si>
  <si>
    <t>4) Vergütung</t>
  </si>
  <si>
    <t>5) Kapitel: Aus- und Weiterbildung</t>
  </si>
  <si>
    <t>Einführung in die WiWi</t>
  </si>
  <si>
    <t>1) Grundlagen</t>
  </si>
  <si>
    <t>2) Wirtschaftsordnung</t>
  </si>
  <si>
    <t>3) Unternehmensziele</t>
  </si>
  <si>
    <t>4) Einschätzung der Erfolgschance</t>
  </si>
  <si>
    <t>5) Kostenarten</t>
  </si>
  <si>
    <t>6) Kosten und der optimale Verkaufspreis</t>
  </si>
  <si>
    <t>7) Investitionsrechnung</t>
  </si>
  <si>
    <t xml:space="preserve">8) Beschaffung und Bestandsarten </t>
  </si>
  <si>
    <t xml:space="preserve">9) Die optimale Bestellmenge </t>
  </si>
  <si>
    <t>10) Finanzierung</t>
  </si>
  <si>
    <t>11) Organisation und Personal</t>
  </si>
  <si>
    <t>12) Marketing</t>
  </si>
  <si>
    <t>13) Rechnungswesen und Controlling</t>
  </si>
  <si>
    <t>14) Von der einzel- zur gesamtwirtschaftlichen Bewertung</t>
  </si>
  <si>
    <t>15) Makroökonomische Rahmenbedingung</t>
  </si>
  <si>
    <t>Datum</t>
  </si>
  <si>
    <t>Lerneinheiten durchgezogen</t>
  </si>
  <si>
    <t>Tagesplan erstellt</t>
  </si>
  <si>
    <t>Konzentrationslevel</t>
  </si>
  <si>
    <t>Kcal</t>
  </si>
  <si>
    <t>Fette</t>
  </si>
  <si>
    <t>Eiweiss</t>
  </si>
  <si>
    <t>Kohlenhydrate</t>
  </si>
  <si>
    <t>Gewicht</t>
  </si>
  <si>
    <t>Sonstiges Gefühl</t>
  </si>
  <si>
    <t>Optimierungen</t>
  </si>
  <si>
    <t>Wochenplan</t>
  </si>
  <si>
    <t>Montag</t>
  </si>
  <si>
    <t>Dienstag</t>
  </si>
  <si>
    <t>Mittwoch</t>
  </si>
  <si>
    <t>Donnerstag</t>
  </si>
  <si>
    <t>Freitag</t>
  </si>
  <si>
    <t>Samstag</t>
  </si>
  <si>
    <t>Sonntag</t>
  </si>
</sst>
</file>

<file path=xl/styles.xml><?xml version="1.0" encoding="utf-8"?>
<styleSheet xmlns="http://schemas.openxmlformats.org/spreadsheetml/2006/main" xmlns:x14ac="http://schemas.microsoft.com/office/spreadsheetml/2009/9/ac" xmlns:mc="http://schemas.openxmlformats.org/markup-compatibility/2006">
  <fonts count="8">
    <font>
      <sz val="12.0"/>
      <color theme="1"/>
      <name val="Calibri"/>
      <scheme val="minor"/>
    </font>
    <font>
      <sz val="12.0"/>
      <color theme="1"/>
      <name val="Calibri"/>
    </font>
    <font>
      <b/>
      <i/>
      <u/>
      <sz val="16.0"/>
      <color theme="1"/>
      <name val="Calibri"/>
    </font>
    <font>
      <b/>
      <sz val="12.0"/>
      <color theme="1"/>
      <name val="Calibri"/>
    </font>
    <font>
      <b/>
      <sz val="26.0"/>
      <color theme="1"/>
      <name val="Calibri"/>
    </font>
    <font/>
    <font>
      <color theme="1"/>
      <name val="Calibri"/>
      <scheme val="minor"/>
    </font>
    <font>
      <b/>
      <sz val="20.0"/>
      <color theme="1"/>
      <name val="Calibri"/>
    </font>
  </fonts>
  <fills count="7">
    <fill>
      <patternFill patternType="none"/>
    </fill>
    <fill>
      <patternFill patternType="lightGray"/>
    </fill>
    <fill>
      <patternFill patternType="solid">
        <fgColor rgb="FFFDFF05"/>
        <bgColor rgb="FFFDFF05"/>
      </patternFill>
    </fill>
    <fill>
      <patternFill patternType="solid">
        <fgColor rgb="FFE0E0E0"/>
        <bgColor rgb="FFE0E0E0"/>
      </patternFill>
    </fill>
    <fill>
      <patternFill patternType="solid">
        <fgColor rgb="FFFFFF00"/>
        <bgColor rgb="FFFFFF00"/>
      </patternFill>
    </fill>
    <fill>
      <patternFill patternType="solid">
        <fgColor rgb="FFFF0000"/>
        <bgColor rgb="FFFF0000"/>
      </patternFill>
    </fill>
    <fill>
      <patternFill patternType="solid">
        <fgColor rgb="FF10FF07"/>
        <bgColor rgb="FF10FF07"/>
      </patternFill>
    </fill>
  </fills>
  <borders count="13">
    <border/>
    <border>
      <left/>
      <right/>
      <top/>
      <bottom/>
    </border>
    <border>
      <left/>
      <top/>
      <bottom/>
    </border>
    <border>
      <top/>
      <bottom/>
    </border>
    <border>
      <right/>
      <top/>
      <bottom/>
    </border>
    <border>
      <left/>
      <top/>
    </border>
    <border>
      <top/>
    </border>
    <border>
      <right/>
      <top/>
    </border>
    <border>
      <left/>
    </border>
    <border>
      <right/>
    </border>
    <border>
      <left/>
      <bottom/>
    </border>
    <border>
      <bottom/>
    </border>
    <border>
      <right/>
      <bottom/>
    </border>
  </borders>
  <cellStyleXfs count="1">
    <xf borderId="0" fillId="0" fontId="0" numFmtId="0" applyAlignment="1" applyFont="1"/>
  </cellStyleXfs>
  <cellXfs count="38">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0" fillId="0" fontId="1" numFmtId="0" xfId="0" applyAlignment="1" applyFont="1">
      <alignment shrinkToFit="0" wrapText="1"/>
    </xf>
    <xf borderId="0" fillId="0" fontId="4" numFmtId="0" xfId="0" applyFont="1"/>
    <xf borderId="1" fillId="2" fontId="1" numFmtId="0" xfId="0" applyBorder="1" applyFill="1" applyFont="1"/>
    <xf borderId="2" fillId="3" fontId="3" numFmtId="0" xfId="0" applyAlignment="1" applyBorder="1" applyFill="1" applyFont="1">
      <alignment horizontal="center"/>
    </xf>
    <xf borderId="3" fillId="0" fontId="5" numFmtId="0" xfId="0" applyBorder="1" applyFont="1"/>
    <xf borderId="4" fillId="0" fontId="5" numFmtId="0" xfId="0" applyBorder="1" applyFont="1"/>
    <xf borderId="1" fillId="3" fontId="3" numFmtId="0" xfId="0" applyBorder="1" applyFont="1"/>
    <xf borderId="1" fillId="3" fontId="3" numFmtId="0" xfId="0" applyAlignment="1" applyBorder="1" applyFont="1">
      <alignment horizontal="center"/>
    </xf>
    <xf borderId="0" fillId="0" fontId="6" numFmtId="0" xfId="0" applyFont="1"/>
    <xf borderId="0" fillId="0" fontId="1" numFmtId="0" xfId="0" applyAlignment="1" applyFont="1">
      <alignment horizontal="center"/>
    </xf>
    <xf borderId="0" fillId="0" fontId="1" numFmtId="9" xfId="0" applyFont="1" applyNumberFormat="1"/>
    <xf borderId="0" fillId="0" fontId="1" numFmtId="1" xfId="0" applyAlignment="1" applyFont="1" applyNumberFormat="1">
      <alignment horizontal="center"/>
    </xf>
    <xf borderId="0" fillId="0" fontId="1" numFmtId="9" xfId="0" applyAlignment="1" applyFont="1" applyNumberFormat="1">
      <alignment horizontal="center"/>
    </xf>
    <xf borderId="5" fillId="4" fontId="1" numFmtId="1" xfId="0" applyAlignment="1" applyBorder="1" applyFill="1" applyFont="1" applyNumberFormat="1">
      <alignment horizontal="center"/>
    </xf>
    <xf borderId="6" fillId="0" fontId="5" numFmtId="0" xfId="0" applyBorder="1" applyFont="1"/>
    <xf borderId="7" fillId="0" fontId="5" numFmtId="0" xfId="0" applyBorder="1" applyFont="1"/>
    <xf borderId="0" fillId="0" fontId="1" numFmtId="9" xfId="0" applyAlignment="1" applyFont="1" applyNumberFormat="1">
      <alignment readingOrder="0"/>
    </xf>
    <xf borderId="8" fillId="0" fontId="5" numFmtId="0" xfId="0" applyBorder="1" applyFont="1"/>
    <xf borderId="9" fillId="0" fontId="5" numFmtId="0" xfId="0" applyBorder="1" applyFont="1"/>
    <xf borderId="0" fillId="0" fontId="1" numFmtId="9" xfId="0" applyAlignment="1" applyFont="1" applyNumberFormat="1">
      <alignment horizontal="center" readingOrder="0"/>
    </xf>
    <xf borderId="0" fillId="0" fontId="6" numFmtId="0" xfId="0" applyAlignment="1" applyFont="1">
      <alignment readingOrder="0"/>
    </xf>
    <xf borderId="0" fillId="5" fontId="1" numFmtId="9" xfId="0" applyAlignment="1" applyFill="1" applyFont="1" applyNumberFormat="1">
      <alignment horizontal="right" vertical="bottom"/>
    </xf>
    <xf borderId="0" fillId="6" fontId="1" numFmtId="9" xfId="0" applyAlignment="1" applyFill="1" applyFont="1" applyNumberFormat="1">
      <alignment horizontal="right" vertical="bottom"/>
    </xf>
    <xf borderId="10" fillId="0" fontId="5" numFmtId="0" xfId="0" applyBorder="1" applyFont="1"/>
    <xf borderId="11" fillId="0" fontId="5" numFmtId="0" xfId="0" applyBorder="1" applyFont="1"/>
    <xf borderId="12" fillId="0" fontId="5" numFmtId="0" xfId="0" applyBorder="1" applyFont="1"/>
    <xf borderId="0" fillId="0" fontId="1" numFmtId="0" xfId="0" applyAlignment="1" applyFont="1">
      <alignment horizontal="center"/>
    </xf>
    <xf borderId="0" fillId="0" fontId="1" numFmtId="0" xfId="0" applyAlignment="1" applyFont="1">
      <alignment horizontal="center" shrinkToFit="0" wrapText="1"/>
    </xf>
    <xf borderId="0" fillId="0" fontId="1" numFmtId="0" xfId="0" applyAlignment="1" applyFont="1">
      <alignment shrinkToFit="0" wrapText="1"/>
    </xf>
    <xf borderId="0" fillId="0" fontId="1" numFmtId="14" xfId="0" applyAlignment="1" applyFont="1" applyNumberFormat="1">
      <alignment horizontal="center"/>
    </xf>
    <xf borderId="0" fillId="0" fontId="1" numFmtId="9" xfId="0" applyAlignment="1" applyFont="1" applyNumberFormat="1">
      <alignment horizontal="center"/>
    </xf>
    <xf borderId="0" fillId="0" fontId="6" numFmtId="0" xfId="0" applyFont="1"/>
    <xf borderId="0" fillId="0" fontId="7" numFmtId="0" xfId="0" applyFont="1"/>
    <xf borderId="0" fillId="0" fontId="1" numFmtId="20" xfId="0" applyFont="1" applyNumberFormat="1"/>
  </cellXfs>
  <cellStyles count="1">
    <cellStyle xfId="0" name="Normal" builtinId="0"/>
  </cellStyles>
  <dxfs count="13">
    <dxf>
      <font/>
      <fill>
        <patternFill patternType="solid">
          <fgColor rgb="FFFF0000"/>
          <bgColor rgb="FFFF0000"/>
        </patternFill>
      </fill>
      <border/>
    </dxf>
    <dxf>
      <font/>
      <fill>
        <patternFill patternType="solid">
          <fgColor rgb="FF10FF07"/>
          <bgColor rgb="FF10FF07"/>
        </patternFill>
      </fill>
      <border/>
    </dxf>
    <dxf>
      <font>
        <color rgb="FF006100"/>
      </font>
      <fill>
        <patternFill patternType="solid">
          <fgColor rgb="FFC6EFCE"/>
          <bgColor rgb="FFC6EFCE"/>
        </patternFill>
      </fill>
      <border/>
    </dxf>
    <dxf>
      <font>
        <color rgb="FF9C0006"/>
      </font>
      <fill>
        <patternFill patternType="solid">
          <fgColor rgb="FFFFC7CE"/>
          <bgColor rgb="FFFFC7CE"/>
        </patternFill>
      </fill>
      <border/>
    </dxf>
    <dxf>
      <font>
        <b/>
        <u/>
      </font>
      <fill>
        <patternFill patternType="solid">
          <fgColor rgb="FF00FF29"/>
          <bgColor rgb="FF00FF29"/>
        </patternFill>
      </fill>
      <border/>
    </dxf>
    <dxf>
      <font/>
      <fill>
        <patternFill patternType="solid">
          <fgColor rgb="FF56FF5E"/>
          <bgColor rgb="FF56FF5E"/>
        </patternFill>
      </fill>
      <border/>
    </dxf>
    <dxf>
      <font/>
      <fill>
        <patternFill patternType="solid">
          <fgColor rgb="FFC4FF87"/>
          <bgColor rgb="FFC4FF87"/>
        </patternFill>
      </fill>
      <border/>
    </dxf>
    <dxf>
      <font/>
      <fill>
        <patternFill patternType="solid">
          <fgColor rgb="FFFFDE7F"/>
          <bgColor rgb="FFFFDE7F"/>
        </patternFill>
      </fill>
      <border/>
    </dxf>
    <dxf>
      <font/>
      <fill>
        <patternFill patternType="solid">
          <fgColor rgb="FFFF755A"/>
          <bgColor rgb="FFFF755A"/>
        </patternFill>
      </fill>
      <border/>
    </dxf>
    <dxf>
      <font/>
      <fill>
        <patternFill patternType="none"/>
      </fill>
      <border/>
    </dxf>
    <dxf>
      <font/>
      <fill>
        <patternFill patternType="solid">
          <fgColor theme="5"/>
          <bgColor theme="5"/>
        </patternFill>
      </fill>
      <border/>
    </dxf>
    <dxf>
      <font/>
      <fill>
        <patternFill patternType="solid">
          <fgColor rgb="FFB4C6E7"/>
          <bgColor rgb="FFB4C6E7"/>
        </patternFill>
      </fill>
      <border/>
    </dxf>
    <dxf>
      <font/>
      <fill>
        <patternFill patternType="solid">
          <fgColor rgb="FFD9E2F3"/>
          <bgColor rgb="FFD9E2F3"/>
        </patternFill>
      </fill>
      <border/>
    </dxf>
  </dxfs>
  <tableStyles count="1">
    <tableStyle count="3" pivot="0" name="COMMITTMENT-style">
      <tableStyleElement dxfId="10" type="headerRow"/>
      <tableStyleElement dxfId="11" type="firstRowStripe"/>
      <tableStyleElement dxfId="1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K46" displayName="Table_1" id="1">
  <tableColumns count="11">
    <tableColumn name="Datum" id="1"/>
    <tableColumn name="Lerneinheiten durchgezogen" id="2"/>
    <tableColumn name="Tagesplan erstellt" id="3"/>
    <tableColumn name="Konzentrationslevel" id="4"/>
    <tableColumn name="Kcal" id="5"/>
    <tableColumn name="Fette" id="6"/>
    <tableColumn name="Eiweiss" id="7"/>
    <tableColumn name="Kohlenhydrate" id="8"/>
    <tableColumn name="Gewicht" id="9"/>
    <tableColumn name="Sonstiges Gefühl" id="10"/>
    <tableColumn name="Optimierungen" id="11"/>
  </tableColumns>
  <tableStyleInfo name="COMMITTMEN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8.22"/>
    <col customWidth="1" min="2" max="2" width="125.22"/>
    <col customWidth="1" min="3" max="3" width="8.44"/>
    <col customWidth="1" min="4" max="26" width="8.22"/>
  </cols>
  <sheetData>
    <row r="1" ht="15.75" customHeight="1">
      <c r="C1" s="1"/>
    </row>
    <row r="2" ht="15.75" customHeight="1">
      <c r="C2" s="1"/>
    </row>
    <row r="3" ht="15.75" customHeight="1">
      <c r="C3" s="1"/>
    </row>
    <row r="4" ht="15.75" customHeight="1">
      <c r="B4" s="2" t="s">
        <v>0</v>
      </c>
      <c r="C4" s="1"/>
    </row>
    <row r="5" ht="15.75" customHeight="1">
      <c r="C5" s="1"/>
    </row>
    <row r="6" ht="15.75" customHeight="1">
      <c r="B6" s="3" t="s">
        <v>1</v>
      </c>
      <c r="C6" s="1"/>
    </row>
    <row r="7" ht="15.75" customHeight="1">
      <c r="B7" s="4" t="s">
        <v>2</v>
      </c>
      <c r="C7" s="1"/>
    </row>
    <row r="8" ht="15.75" customHeight="1">
      <c r="C8" s="1"/>
    </row>
    <row r="9" ht="15.75" customHeight="1">
      <c r="B9" s="3" t="s">
        <v>3</v>
      </c>
      <c r="C9" s="1"/>
    </row>
    <row r="10" ht="15.75" customHeight="1">
      <c r="B10" s="4" t="s">
        <v>4</v>
      </c>
      <c r="C10" s="1"/>
    </row>
    <row r="11" ht="15.75" customHeight="1">
      <c r="C11" s="1"/>
    </row>
    <row r="12" ht="15.75" customHeight="1">
      <c r="B12" s="3" t="s">
        <v>5</v>
      </c>
      <c r="C12" s="1"/>
    </row>
    <row r="13" ht="15.75" customHeight="1">
      <c r="B13" s="4" t="s">
        <v>6</v>
      </c>
      <c r="C13" s="1"/>
    </row>
    <row r="14" ht="15.75" customHeight="1">
      <c r="C14" s="1"/>
    </row>
    <row r="15" ht="15.75" customHeight="1">
      <c r="B15" s="3" t="s">
        <v>7</v>
      </c>
      <c r="C15" s="1"/>
    </row>
    <row r="16" ht="15.75" customHeight="1">
      <c r="B16" s="4" t="s">
        <v>8</v>
      </c>
      <c r="C16" s="1"/>
    </row>
    <row r="17" ht="15.75" customHeight="1">
      <c r="B17" s="4"/>
      <c r="C17" s="1"/>
    </row>
    <row r="18" ht="15.75" customHeight="1">
      <c r="B18" s="3" t="s">
        <v>9</v>
      </c>
      <c r="C18" s="1"/>
    </row>
    <row r="19" ht="15.75" customHeight="1">
      <c r="B19" s="4" t="s">
        <v>10</v>
      </c>
      <c r="C19" s="1"/>
    </row>
    <row r="20" ht="15.75" customHeight="1">
      <c r="C20" s="1"/>
    </row>
    <row r="21" ht="15.75" customHeight="1">
      <c r="B21" s="3" t="s">
        <v>11</v>
      </c>
      <c r="C21" s="1"/>
    </row>
    <row r="22" ht="15.75" customHeight="1">
      <c r="B22" s="4" t="s">
        <v>12</v>
      </c>
      <c r="C22" s="1"/>
    </row>
    <row r="23" ht="15.75" customHeight="1">
      <c r="C23" s="1"/>
    </row>
    <row r="24" ht="15.75" customHeight="1">
      <c r="B24" s="3" t="s">
        <v>13</v>
      </c>
      <c r="C24" s="1"/>
    </row>
    <row r="25" ht="15.75" customHeight="1">
      <c r="B25" s="4" t="s">
        <v>14</v>
      </c>
      <c r="C25" s="1"/>
    </row>
    <row r="26" ht="15.75" customHeight="1">
      <c r="C26" s="1"/>
    </row>
    <row r="27" ht="15.75" customHeight="1">
      <c r="C27" s="1"/>
    </row>
    <row r="28" ht="15.75" customHeight="1">
      <c r="C28" s="1"/>
    </row>
    <row r="29" ht="15.75" customHeight="1">
      <c r="C29" s="1"/>
    </row>
    <row r="30" ht="15.75" customHeight="1">
      <c r="C30" s="1"/>
    </row>
    <row r="31" ht="15.75" customHeight="1">
      <c r="C31" s="1"/>
    </row>
    <row r="32" ht="15.75" customHeight="1">
      <c r="C32" s="1"/>
    </row>
    <row r="33" ht="15.75" customHeight="1">
      <c r="C33" s="1"/>
    </row>
    <row r="34" ht="15.75" customHeight="1">
      <c r="C34" s="1"/>
    </row>
    <row r="35" ht="15.75" customHeight="1">
      <c r="C35" s="1"/>
    </row>
    <row r="36" ht="15.75" customHeight="1">
      <c r="C36" s="1"/>
    </row>
    <row r="37" ht="15.75" customHeight="1">
      <c r="C37" s="1"/>
    </row>
    <row r="38" ht="15.75" customHeight="1">
      <c r="C38" s="1"/>
    </row>
    <row r="39" ht="15.75" customHeight="1">
      <c r="C39" s="1"/>
    </row>
    <row r="40" ht="15.75" customHeight="1">
      <c r="C40" s="1"/>
    </row>
    <row r="41" ht="15.75" customHeight="1">
      <c r="C41" s="1"/>
    </row>
    <row r="42" ht="15.75" customHeight="1">
      <c r="C42" s="1"/>
    </row>
    <row r="43" ht="15.75" customHeight="1">
      <c r="C43" s="1"/>
    </row>
    <row r="44" ht="15.75" customHeight="1">
      <c r="C44" s="1"/>
    </row>
    <row r="45" ht="15.75" customHeight="1">
      <c r="C45" s="1"/>
    </row>
    <row r="46" ht="15.75" customHeight="1">
      <c r="C46" s="1"/>
    </row>
    <row r="47" ht="15.75" customHeight="1">
      <c r="C47" s="1"/>
    </row>
    <row r="48" ht="15.75" customHeight="1">
      <c r="C48" s="1"/>
    </row>
    <row r="49" ht="15.75" customHeight="1">
      <c r="C49" s="1"/>
    </row>
    <row r="50" ht="15.75" customHeight="1">
      <c r="C50" s="1"/>
    </row>
    <row r="51" ht="15.75" customHeight="1">
      <c r="C51" s="1"/>
    </row>
    <row r="52" ht="15.75" customHeight="1">
      <c r="C52" s="1"/>
    </row>
    <row r="53" ht="15.75" customHeight="1">
      <c r="C53" s="1"/>
    </row>
    <row r="54" ht="15.75" customHeight="1">
      <c r="C54" s="1"/>
    </row>
    <row r="55" ht="15.75" customHeight="1">
      <c r="C55" s="1"/>
    </row>
    <row r="56" ht="15.75" customHeight="1">
      <c r="C56" s="1"/>
    </row>
    <row r="57" ht="15.75" customHeight="1">
      <c r="C57" s="1"/>
    </row>
    <row r="58" ht="15.75" customHeight="1">
      <c r="C58" s="1"/>
    </row>
    <row r="59" ht="15.75" customHeight="1">
      <c r="C59" s="1"/>
    </row>
    <row r="60" ht="15.75" customHeight="1">
      <c r="C60" s="1"/>
    </row>
    <row r="61" ht="15.75" customHeight="1">
      <c r="C61" s="1"/>
    </row>
    <row r="62" ht="15.75" customHeight="1">
      <c r="C62" s="1"/>
    </row>
    <row r="63" ht="15.75" customHeight="1">
      <c r="C63" s="1"/>
    </row>
    <row r="64" ht="15.75" customHeight="1">
      <c r="C64" s="1"/>
    </row>
    <row r="65" ht="15.75" customHeight="1">
      <c r="C65" s="1"/>
    </row>
    <row r="66" ht="15.75" customHeight="1">
      <c r="C66" s="1"/>
    </row>
    <row r="67" ht="15.75" customHeight="1">
      <c r="C67" s="1"/>
    </row>
    <row r="68" ht="15.75" customHeight="1">
      <c r="C68" s="1"/>
    </row>
    <row r="69" ht="15.75" customHeight="1">
      <c r="C69" s="1"/>
    </row>
    <row r="70" ht="15.75" customHeight="1">
      <c r="C70" s="1"/>
    </row>
    <row r="71" ht="15.75" customHeight="1">
      <c r="C71" s="1"/>
    </row>
    <row r="72" ht="15.75" customHeight="1">
      <c r="C72" s="1"/>
    </row>
    <row r="73" ht="15.75" customHeight="1">
      <c r="C73" s="1"/>
    </row>
    <row r="74" ht="15.75" customHeight="1">
      <c r="C74" s="1"/>
    </row>
    <row r="75" ht="15.75" customHeight="1">
      <c r="C75" s="1"/>
    </row>
    <row r="76" ht="15.75" customHeight="1">
      <c r="C76" s="1"/>
    </row>
    <row r="77" ht="15.75" customHeight="1">
      <c r="C77" s="1"/>
    </row>
    <row r="78" ht="15.75" customHeight="1">
      <c r="C78" s="1"/>
    </row>
    <row r="79" ht="15.75" customHeight="1">
      <c r="C79" s="1"/>
    </row>
    <row r="80" ht="15.75" customHeight="1">
      <c r="C80" s="1"/>
    </row>
    <row r="81" ht="15.75" customHeight="1">
      <c r="C81" s="1"/>
    </row>
    <row r="82" ht="15.75" customHeight="1">
      <c r="C82" s="1"/>
    </row>
    <row r="83" ht="15.75" customHeight="1">
      <c r="C83" s="1"/>
    </row>
    <row r="84" ht="15.75" customHeight="1">
      <c r="C84" s="1"/>
    </row>
    <row r="85" ht="15.75" customHeight="1">
      <c r="C85" s="1"/>
    </row>
    <row r="86" ht="15.75" customHeight="1">
      <c r="C86" s="1"/>
    </row>
    <row r="87" ht="15.75" customHeight="1">
      <c r="C87" s="1"/>
    </row>
    <row r="88" ht="15.75" customHeight="1">
      <c r="C88" s="1"/>
    </row>
    <row r="89" ht="15.75" customHeight="1">
      <c r="C89" s="1"/>
    </row>
    <row r="90" ht="15.75" customHeight="1">
      <c r="C90" s="1"/>
    </row>
    <row r="91" ht="15.75" customHeight="1">
      <c r="C91" s="1"/>
    </row>
    <row r="92" ht="15.75" customHeight="1">
      <c r="C92" s="1"/>
    </row>
    <row r="93" ht="15.75" customHeight="1">
      <c r="C93" s="1"/>
    </row>
    <row r="94" ht="15.75" customHeight="1">
      <c r="C94" s="1"/>
    </row>
    <row r="95" ht="15.75" customHeight="1">
      <c r="C95" s="1"/>
    </row>
    <row r="96" ht="15.75" customHeight="1">
      <c r="C96" s="1"/>
    </row>
    <row r="97" ht="15.75" customHeight="1">
      <c r="C97" s="1"/>
    </row>
    <row r="98" ht="15.75" customHeight="1">
      <c r="C98" s="1"/>
    </row>
    <row r="99" ht="15.75" customHeight="1">
      <c r="C99" s="1"/>
    </row>
    <row r="100" ht="15.75" customHeight="1">
      <c r="C100" s="1"/>
    </row>
    <row r="101" ht="15.75" customHeight="1">
      <c r="C101" s="1"/>
    </row>
    <row r="102" ht="15.75" customHeight="1">
      <c r="C102" s="1"/>
    </row>
    <row r="103" ht="15.75" customHeight="1">
      <c r="C103" s="1"/>
    </row>
    <row r="104" ht="15.75" customHeight="1">
      <c r="C104" s="1"/>
    </row>
    <row r="105" ht="15.75" customHeight="1">
      <c r="C105" s="1"/>
    </row>
    <row r="106" ht="15.75" customHeight="1">
      <c r="C106" s="1"/>
    </row>
    <row r="107" ht="15.75" customHeight="1">
      <c r="C107" s="1"/>
    </row>
    <row r="108" ht="15.75" customHeight="1">
      <c r="C108" s="1"/>
    </row>
    <row r="109" ht="15.75" customHeight="1">
      <c r="C109" s="1"/>
    </row>
    <row r="110" ht="15.75" customHeight="1">
      <c r="C110" s="1"/>
    </row>
    <row r="111" ht="15.75" customHeight="1">
      <c r="C111" s="1"/>
    </row>
    <row r="112" ht="15.75" customHeight="1">
      <c r="C112" s="1"/>
    </row>
    <row r="113" ht="15.75" customHeight="1">
      <c r="C113" s="1"/>
    </row>
    <row r="114" ht="15.75" customHeight="1">
      <c r="C114" s="1"/>
    </row>
    <row r="115" ht="15.75" customHeight="1">
      <c r="C115" s="1"/>
    </row>
    <row r="116" ht="15.75" customHeight="1">
      <c r="C116" s="1"/>
    </row>
    <row r="117" ht="15.75" customHeight="1">
      <c r="C117" s="1"/>
    </row>
    <row r="118" ht="15.75" customHeight="1">
      <c r="C118" s="1"/>
    </row>
    <row r="119" ht="15.75" customHeight="1">
      <c r="C119" s="1"/>
    </row>
    <row r="120" ht="15.75" customHeight="1">
      <c r="C120" s="1"/>
    </row>
    <row r="121" ht="15.75" customHeight="1">
      <c r="C121" s="1"/>
    </row>
    <row r="122" ht="15.75" customHeight="1">
      <c r="C122" s="1"/>
    </row>
    <row r="123" ht="15.75" customHeight="1">
      <c r="C123" s="1"/>
    </row>
    <row r="124" ht="15.75" customHeight="1">
      <c r="C124" s="1"/>
    </row>
    <row r="125" ht="15.75" customHeight="1">
      <c r="C125" s="1"/>
    </row>
    <row r="126" ht="15.75" customHeight="1">
      <c r="C126" s="1"/>
    </row>
    <row r="127" ht="15.75" customHeight="1">
      <c r="C127" s="1"/>
    </row>
    <row r="128" ht="15.75" customHeight="1">
      <c r="C128" s="1"/>
    </row>
    <row r="129" ht="15.75" customHeight="1">
      <c r="C129" s="1"/>
    </row>
    <row r="130" ht="15.75" customHeight="1">
      <c r="C130" s="1"/>
    </row>
    <row r="131" ht="15.75" customHeight="1">
      <c r="C131" s="1"/>
    </row>
    <row r="132" ht="15.75" customHeight="1">
      <c r="C132" s="1"/>
    </row>
    <row r="133" ht="15.75" customHeight="1">
      <c r="C133" s="1"/>
    </row>
    <row r="134" ht="15.75" customHeight="1">
      <c r="C134" s="1"/>
    </row>
    <row r="135" ht="15.75" customHeight="1">
      <c r="C135" s="1"/>
    </row>
    <row r="136" ht="15.75" customHeight="1">
      <c r="C136" s="1"/>
    </row>
    <row r="137" ht="15.75" customHeight="1">
      <c r="C137" s="1"/>
    </row>
    <row r="138" ht="15.75" customHeight="1">
      <c r="C138" s="1"/>
    </row>
    <row r="139" ht="15.75" customHeight="1">
      <c r="C139" s="1"/>
    </row>
    <row r="140" ht="15.75" customHeight="1">
      <c r="C140" s="1"/>
    </row>
    <row r="141" ht="15.75" customHeight="1">
      <c r="C141" s="1"/>
    </row>
    <row r="142" ht="15.75" customHeight="1">
      <c r="C142" s="1"/>
    </row>
    <row r="143" ht="15.75" customHeight="1">
      <c r="C143" s="1"/>
    </row>
    <row r="144" ht="15.75" customHeight="1">
      <c r="C144" s="1"/>
    </row>
    <row r="145" ht="15.75" customHeight="1">
      <c r="C145" s="1"/>
    </row>
    <row r="146" ht="15.75" customHeight="1">
      <c r="C146" s="1"/>
    </row>
    <row r="147" ht="15.75" customHeight="1">
      <c r="C147" s="1"/>
    </row>
    <row r="148" ht="15.75" customHeight="1">
      <c r="C148" s="1"/>
    </row>
    <row r="149" ht="15.75" customHeight="1">
      <c r="C149" s="1"/>
    </row>
    <row r="150" ht="15.75" customHeight="1">
      <c r="C150" s="1"/>
    </row>
    <row r="151" ht="15.75" customHeight="1">
      <c r="C151" s="1"/>
    </row>
    <row r="152" ht="15.75" customHeight="1">
      <c r="C152" s="1"/>
    </row>
    <row r="153" ht="15.75" customHeight="1">
      <c r="C153" s="1"/>
    </row>
    <row r="154" ht="15.75" customHeight="1">
      <c r="C154" s="1"/>
    </row>
    <row r="155" ht="15.75" customHeight="1">
      <c r="C155" s="1"/>
    </row>
    <row r="156" ht="15.75" customHeight="1">
      <c r="C156" s="1"/>
    </row>
    <row r="157" ht="15.75" customHeight="1">
      <c r="C157" s="1"/>
    </row>
    <row r="158" ht="15.75" customHeight="1">
      <c r="C158" s="1"/>
    </row>
    <row r="159" ht="15.75" customHeight="1">
      <c r="C159" s="1"/>
    </row>
    <row r="160" ht="15.75" customHeight="1">
      <c r="C160" s="1"/>
    </row>
    <row r="161" ht="15.75" customHeight="1">
      <c r="C161" s="1"/>
    </row>
    <row r="162" ht="15.75" customHeight="1">
      <c r="C162" s="1"/>
    </row>
    <row r="163" ht="15.75" customHeight="1">
      <c r="C163" s="1"/>
    </row>
    <row r="164" ht="15.75" customHeight="1">
      <c r="C164" s="1"/>
    </row>
    <row r="165" ht="15.75" customHeight="1">
      <c r="C165" s="1"/>
    </row>
    <row r="166" ht="15.75" customHeight="1">
      <c r="C166" s="1"/>
    </row>
    <row r="167" ht="15.75" customHeight="1">
      <c r="C167" s="1"/>
    </row>
    <row r="168" ht="15.75" customHeight="1">
      <c r="C168" s="1"/>
    </row>
    <row r="169" ht="15.75" customHeight="1">
      <c r="C169" s="1"/>
    </row>
    <row r="170" ht="15.75" customHeight="1">
      <c r="C170" s="1"/>
    </row>
    <row r="171" ht="15.75" customHeight="1">
      <c r="C171" s="1"/>
    </row>
    <row r="172" ht="15.75" customHeight="1">
      <c r="C172" s="1"/>
    </row>
    <row r="173" ht="15.75" customHeight="1">
      <c r="C173" s="1"/>
    </row>
    <row r="174" ht="15.75" customHeight="1">
      <c r="C174" s="1"/>
    </row>
    <row r="175" ht="15.75" customHeight="1">
      <c r="C175" s="1"/>
    </row>
    <row r="176" ht="15.75" customHeight="1">
      <c r="C176" s="1"/>
    </row>
    <row r="177" ht="15.75" customHeight="1">
      <c r="C177" s="1"/>
    </row>
    <row r="178" ht="15.75" customHeight="1">
      <c r="C178" s="1"/>
    </row>
    <row r="179" ht="15.75" customHeight="1">
      <c r="C179" s="1"/>
    </row>
    <row r="180" ht="15.75" customHeight="1">
      <c r="C180" s="1"/>
    </row>
    <row r="181" ht="15.75" customHeight="1">
      <c r="C181" s="1"/>
    </row>
    <row r="182" ht="15.75" customHeight="1">
      <c r="C182" s="1"/>
    </row>
    <row r="183" ht="15.75" customHeight="1">
      <c r="C183" s="1"/>
    </row>
    <row r="184" ht="15.75" customHeight="1">
      <c r="C184" s="1"/>
    </row>
    <row r="185" ht="15.75" customHeight="1">
      <c r="C185" s="1"/>
    </row>
    <row r="186" ht="15.75" customHeight="1">
      <c r="C186" s="1"/>
    </row>
    <row r="187" ht="15.75" customHeight="1">
      <c r="C187" s="1"/>
    </row>
    <row r="188" ht="15.75" customHeight="1">
      <c r="C188" s="1"/>
    </row>
    <row r="189" ht="15.75" customHeight="1">
      <c r="C189" s="1"/>
    </row>
    <row r="190" ht="15.75" customHeight="1">
      <c r="C190" s="1"/>
    </row>
    <row r="191" ht="15.75" customHeight="1">
      <c r="C191" s="1"/>
    </row>
    <row r="192" ht="15.75" customHeight="1">
      <c r="C192" s="1"/>
    </row>
    <row r="193" ht="15.75" customHeight="1">
      <c r="C193" s="1"/>
    </row>
    <row r="194" ht="15.75" customHeight="1">
      <c r="C194" s="1"/>
    </row>
    <row r="195" ht="15.75" customHeight="1">
      <c r="C195" s="1"/>
    </row>
    <row r="196" ht="15.75" customHeight="1">
      <c r="C196" s="1"/>
    </row>
    <row r="197" ht="15.75" customHeight="1">
      <c r="C197" s="1"/>
    </row>
    <row r="198" ht="15.75" customHeight="1">
      <c r="C198" s="1"/>
    </row>
    <row r="199" ht="15.75" customHeight="1">
      <c r="C199" s="1"/>
    </row>
    <row r="200" ht="15.75" customHeight="1">
      <c r="C200" s="1"/>
    </row>
    <row r="201" ht="15.75" customHeight="1">
      <c r="C201" s="1"/>
    </row>
    <row r="202" ht="15.75" customHeight="1">
      <c r="C202" s="1"/>
    </row>
    <row r="203" ht="15.75" customHeight="1">
      <c r="C203" s="1"/>
    </row>
    <row r="204" ht="15.75" customHeight="1">
      <c r="C204" s="1"/>
    </row>
    <row r="205" ht="15.75" customHeight="1">
      <c r="C205" s="1"/>
    </row>
    <row r="206" ht="15.75" customHeight="1">
      <c r="C206" s="1"/>
    </row>
    <row r="207" ht="15.75" customHeight="1">
      <c r="C207" s="1"/>
    </row>
    <row r="208" ht="15.75" customHeight="1">
      <c r="C208" s="1"/>
    </row>
    <row r="209" ht="15.75" customHeight="1">
      <c r="C209" s="1"/>
    </row>
    <row r="210" ht="15.75" customHeight="1">
      <c r="C210" s="1"/>
    </row>
    <row r="211" ht="15.75" customHeight="1">
      <c r="C211" s="1"/>
    </row>
    <row r="212" ht="15.75" customHeight="1">
      <c r="C212" s="1"/>
    </row>
    <row r="213" ht="15.75" customHeight="1">
      <c r="C213" s="1"/>
    </row>
    <row r="214" ht="15.75" customHeight="1">
      <c r="C214" s="1"/>
    </row>
    <row r="215" ht="15.75" customHeight="1">
      <c r="C215" s="1"/>
    </row>
    <row r="216" ht="15.75" customHeight="1">
      <c r="C216" s="1"/>
    </row>
    <row r="217" ht="15.75" customHeight="1">
      <c r="C217" s="1"/>
    </row>
    <row r="218" ht="15.75" customHeight="1">
      <c r="C218" s="1"/>
    </row>
    <row r="219" ht="15.75" customHeight="1">
      <c r="C219" s="1"/>
    </row>
    <row r="220" ht="15.75" customHeight="1">
      <c r="C220" s="1"/>
    </row>
    <row r="221" ht="15.75" customHeight="1">
      <c r="C221" s="1"/>
    </row>
    <row r="222" ht="15.75" customHeight="1">
      <c r="C222" s="1"/>
    </row>
    <row r="223" ht="15.75" customHeight="1">
      <c r="C223" s="1"/>
    </row>
    <row r="224" ht="15.75" customHeight="1">
      <c r="C224" s="1"/>
    </row>
    <row r="225" ht="15.75" customHeight="1">
      <c r="C225" s="1"/>
    </row>
    <row r="226" ht="15.75" customHeight="1">
      <c r="C226" s="1"/>
    </row>
    <row r="227" ht="15.75" customHeight="1">
      <c r="C227" s="1"/>
    </row>
    <row r="228" ht="15.75" customHeight="1">
      <c r="C228" s="1"/>
    </row>
    <row r="229" ht="15.75" customHeight="1">
      <c r="C229" s="1"/>
    </row>
    <row r="230" ht="15.75" customHeight="1">
      <c r="C230" s="1"/>
    </row>
    <row r="231" ht="15.75" customHeight="1">
      <c r="C231" s="1"/>
    </row>
    <row r="232" ht="15.75" customHeight="1">
      <c r="C232" s="1"/>
    </row>
    <row r="233" ht="15.75" customHeight="1">
      <c r="C233" s="1"/>
    </row>
    <row r="234" ht="15.75" customHeight="1">
      <c r="C234" s="1"/>
    </row>
    <row r="235" ht="15.75" customHeight="1">
      <c r="C235" s="1"/>
    </row>
    <row r="236" ht="15.75" customHeight="1">
      <c r="C236" s="1"/>
    </row>
    <row r="237" ht="15.75" customHeight="1">
      <c r="C237" s="1"/>
    </row>
    <row r="238" ht="15.75" customHeight="1">
      <c r="C238" s="1"/>
    </row>
    <row r="239" ht="15.75" customHeight="1">
      <c r="C239" s="1"/>
    </row>
    <row r="240" ht="15.75" customHeight="1">
      <c r="C240" s="1"/>
    </row>
    <row r="241" ht="15.75" customHeight="1">
      <c r="C241" s="1"/>
    </row>
    <row r="242" ht="15.75" customHeight="1">
      <c r="C242" s="1"/>
    </row>
    <row r="243" ht="15.75" customHeight="1">
      <c r="C243" s="1"/>
    </row>
    <row r="244" ht="15.75" customHeight="1">
      <c r="C244" s="1"/>
    </row>
    <row r="245" ht="15.75" customHeight="1">
      <c r="C245" s="1"/>
    </row>
    <row r="246" ht="15.75" customHeight="1">
      <c r="C246" s="1"/>
    </row>
    <row r="247" ht="15.75" customHeight="1">
      <c r="C247" s="1"/>
    </row>
    <row r="248" ht="15.75" customHeight="1">
      <c r="C248" s="1"/>
    </row>
    <row r="249" ht="15.75" customHeight="1">
      <c r="C249" s="1"/>
    </row>
    <row r="250" ht="15.75" customHeight="1">
      <c r="C250" s="1"/>
    </row>
    <row r="251" ht="15.75" customHeight="1">
      <c r="C251" s="1"/>
    </row>
    <row r="252" ht="15.75" customHeight="1">
      <c r="C252" s="1"/>
    </row>
    <row r="253" ht="15.75" customHeight="1">
      <c r="C253" s="1"/>
    </row>
    <row r="254" ht="15.75" customHeight="1">
      <c r="C254" s="1"/>
    </row>
    <row r="255" ht="15.75" customHeight="1">
      <c r="C255" s="1"/>
    </row>
    <row r="256" ht="15.75" customHeight="1">
      <c r="C256" s="1"/>
    </row>
    <row r="257" ht="15.75" customHeight="1">
      <c r="C257" s="1"/>
    </row>
    <row r="258" ht="15.75" customHeight="1">
      <c r="C258" s="1"/>
    </row>
    <row r="259" ht="15.75" customHeight="1">
      <c r="C259" s="1"/>
    </row>
    <row r="260" ht="15.75" customHeight="1">
      <c r="C260" s="1"/>
    </row>
    <row r="261" ht="15.75" customHeight="1">
      <c r="C261" s="1"/>
    </row>
    <row r="262" ht="15.75" customHeight="1">
      <c r="C262" s="1"/>
    </row>
    <row r="263" ht="15.75" customHeight="1">
      <c r="C263" s="1"/>
    </row>
    <row r="264" ht="15.75" customHeight="1">
      <c r="C264" s="1"/>
    </row>
    <row r="265" ht="15.75" customHeight="1">
      <c r="C265" s="1"/>
    </row>
    <row r="266" ht="15.75" customHeight="1">
      <c r="C266" s="1"/>
    </row>
    <row r="267" ht="15.75" customHeight="1">
      <c r="C267" s="1"/>
    </row>
    <row r="268" ht="15.75" customHeight="1">
      <c r="C268" s="1"/>
    </row>
    <row r="269" ht="15.75" customHeight="1">
      <c r="C269" s="1"/>
    </row>
    <row r="270" ht="15.75" customHeight="1">
      <c r="C270" s="1"/>
    </row>
    <row r="271" ht="15.75" customHeight="1">
      <c r="C271" s="1"/>
    </row>
    <row r="272" ht="15.75" customHeight="1">
      <c r="C272" s="1"/>
    </row>
    <row r="273" ht="15.75" customHeight="1">
      <c r="C273" s="1"/>
    </row>
    <row r="274" ht="15.75" customHeight="1">
      <c r="C274" s="1"/>
    </row>
    <row r="275" ht="15.75" customHeight="1">
      <c r="C275" s="1"/>
    </row>
    <row r="276" ht="15.75" customHeight="1">
      <c r="C276" s="1"/>
    </row>
    <row r="277" ht="15.75" customHeight="1">
      <c r="C277" s="1"/>
    </row>
    <row r="278" ht="15.75" customHeight="1">
      <c r="C278" s="1"/>
    </row>
    <row r="279" ht="15.75" customHeight="1">
      <c r="C279" s="1"/>
    </row>
    <row r="280" ht="15.75" customHeight="1">
      <c r="C280" s="1"/>
    </row>
    <row r="281" ht="15.75" customHeight="1">
      <c r="C281" s="1"/>
    </row>
    <row r="282" ht="15.75" customHeight="1">
      <c r="C282" s="1"/>
    </row>
    <row r="283" ht="15.75" customHeight="1">
      <c r="C283" s="1"/>
    </row>
    <row r="284" ht="15.75" customHeight="1">
      <c r="C284" s="1"/>
    </row>
    <row r="285" ht="15.75" customHeight="1">
      <c r="C285" s="1"/>
    </row>
    <row r="286" ht="15.75" customHeight="1">
      <c r="C286" s="1"/>
    </row>
    <row r="287" ht="15.75" customHeight="1">
      <c r="C287" s="1"/>
    </row>
    <row r="288" ht="15.75" customHeight="1">
      <c r="C288" s="1"/>
    </row>
    <row r="289" ht="15.75" customHeight="1">
      <c r="C289" s="1"/>
    </row>
    <row r="290" ht="15.75" customHeight="1">
      <c r="C290" s="1"/>
    </row>
    <row r="291" ht="15.75" customHeight="1">
      <c r="C291" s="1"/>
    </row>
    <row r="292" ht="15.75" customHeight="1">
      <c r="C292" s="1"/>
    </row>
    <row r="293" ht="15.75" customHeight="1">
      <c r="C293" s="1"/>
    </row>
    <row r="294" ht="15.75" customHeight="1">
      <c r="C294" s="1"/>
    </row>
    <row r="295" ht="15.75" customHeight="1">
      <c r="C295" s="1"/>
    </row>
    <row r="296" ht="15.75" customHeight="1">
      <c r="C296" s="1"/>
    </row>
    <row r="297" ht="15.75" customHeight="1">
      <c r="C297" s="1"/>
    </row>
    <row r="298" ht="15.75" customHeight="1">
      <c r="C298" s="1"/>
    </row>
    <row r="299" ht="15.75" customHeight="1">
      <c r="C299" s="1"/>
    </row>
    <row r="300" ht="15.75" customHeight="1">
      <c r="C300" s="1"/>
    </row>
    <row r="301" ht="15.75" customHeight="1">
      <c r="C301" s="1"/>
    </row>
    <row r="302" ht="15.75" customHeight="1">
      <c r="C302" s="1"/>
    </row>
    <row r="303" ht="15.75" customHeight="1">
      <c r="C303" s="1"/>
    </row>
    <row r="304" ht="15.75" customHeight="1">
      <c r="C304" s="1"/>
    </row>
    <row r="305" ht="15.75" customHeight="1">
      <c r="C305" s="1"/>
    </row>
    <row r="306" ht="15.75" customHeight="1">
      <c r="C306" s="1"/>
    </row>
    <row r="307" ht="15.75" customHeight="1">
      <c r="C307" s="1"/>
    </row>
    <row r="308" ht="15.75" customHeight="1">
      <c r="C308" s="1"/>
    </row>
    <row r="309" ht="15.75" customHeight="1">
      <c r="C309" s="1"/>
    </row>
    <row r="310" ht="15.75" customHeight="1">
      <c r="C310" s="1"/>
    </row>
    <row r="311" ht="15.75" customHeight="1">
      <c r="C311" s="1"/>
    </row>
    <row r="312" ht="15.75" customHeight="1">
      <c r="C312" s="1"/>
    </row>
    <row r="313" ht="15.75" customHeight="1">
      <c r="C313" s="1"/>
    </row>
    <row r="314" ht="15.75" customHeight="1">
      <c r="C314" s="1"/>
    </row>
    <row r="315" ht="15.75" customHeight="1">
      <c r="C315" s="1"/>
    </row>
    <row r="316" ht="15.75" customHeight="1">
      <c r="C316" s="1"/>
    </row>
    <row r="317" ht="15.75" customHeight="1">
      <c r="C317" s="1"/>
    </row>
    <row r="318" ht="15.75" customHeight="1">
      <c r="C318" s="1"/>
    </row>
    <row r="319" ht="15.75" customHeight="1">
      <c r="C319" s="1"/>
    </row>
    <row r="320" ht="15.75" customHeight="1">
      <c r="C320" s="1"/>
    </row>
    <row r="321" ht="15.75" customHeight="1">
      <c r="C321" s="1"/>
    </row>
    <row r="322" ht="15.75" customHeight="1">
      <c r="C322" s="1"/>
    </row>
    <row r="323" ht="15.75" customHeight="1">
      <c r="C323" s="1"/>
    </row>
    <row r="324" ht="15.75" customHeight="1">
      <c r="C324" s="1"/>
    </row>
    <row r="325" ht="15.75" customHeight="1">
      <c r="C325" s="1"/>
    </row>
    <row r="326" ht="15.75" customHeight="1">
      <c r="C326" s="1"/>
    </row>
    <row r="327" ht="15.75" customHeight="1">
      <c r="C327" s="1"/>
    </row>
    <row r="328" ht="15.75" customHeight="1">
      <c r="C328" s="1"/>
    </row>
    <row r="329" ht="15.75" customHeight="1">
      <c r="C329" s="1"/>
    </row>
    <row r="330" ht="15.75" customHeight="1">
      <c r="C330" s="1"/>
    </row>
    <row r="331" ht="15.75" customHeight="1">
      <c r="C331" s="1"/>
    </row>
    <row r="332" ht="15.75" customHeight="1">
      <c r="C332" s="1"/>
    </row>
    <row r="333" ht="15.75" customHeight="1">
      <c r="C333" s="1"/>
    </row>
    <row r="334" ht="15.75" customHeight="1">
      <c r="C334" s="1"/>
    </row>
    <row r="335" ht="15.75" customHeight="1">
      <c r="C335" s="1"/>
    </row>
    <row r="336" ht="15.75" customHeight="1">
      <c r="C336" s="1"/>
    </row>
    <row r="337" ht="15.75" customHeight="1">
      <c r="C337" s="1"/>
    </row>
    <row r="338" ht="15.75" customHeight="1">
      <c r="C338" s="1"/>
    </row>
    <row r="339" ht="15.75" customHeight="1">
      <c r="C339" s="1"/>
    </row>
    <row r="340" ht="15.75" customHeight="1">
      <c r="C340" s="1"/>
    </row>
    <row r="341" ht="15.75" customHeight="1">
      <c r="C341" s="1"/>
    </row>
    <row r="342" ht="15.75" customHeight="1">
      <c r="C342" s="1"/>
    </row>
    <row r="343" ht="15.75" customHeight="1">
      <c r="C343" s="1"/>
    </row>
    <row r="344" ht="15.75" customHeight="1">
      <c r="C344" s="1"/>
    </row>
    <row r="345" ht="15.75" customHeight="1">
      <c r="C345" s="1"/>
    </row>
    <row r="346" ht="15.75" customHeight="1">
      <c r="C346" s="1"/>
    </row>
    <row r="347" ht="15.75" customHeight="1">
      <c r="C347" s="1"/>
    </row>
    <row r="348" ht="15.75" customHeight="1">
      <c r="C348" s="1"/>
    </row>
    <row r="349" ht="15.75" customHeight="1">
      <c r="C349" s="1"/>
    </row>
    <row r="350" ht="15.75" customHeight="1">
      <c r="C350" s="1"/>
    </row>
    <row r="351" ht="15.75" customHeight="1">
      <c r="C351" s="1"/>
    </row>
    <row r="352" ht="15.75" customHeight="1">
      <c r="C352" s="1"/>
    </row>
    <row r="353" ht="15.75" customHeight="1">
      <c r="C353" s="1"/>
    </row>
    <row r="354" ht="15.75" customHeight="1">
      <c r="C354" s="1"/>
    </row>
    <row r="355" ht="15.75" customHeight="1">
      <c r="C355" s="1"/>
    </row>
    <row r="356" ht="15.75" customHeight="1">
      <c r="C356" s="1"/>
    </row>
    <row r="357" ht="15.75" customHeight="1">
      <c r="C357" s="1"/>
    </row>
    <row r="358" ht="15.75" customHeight="1">
      <c r="C358" s="1"/>
    </row>
    <row r="359" ht="15.75" customHeight="1">
      <c r="C359" s="1"/>
    </row>
    <row r="360" ht="15.75" customHeight="1">
      <c r="C360" s="1"/>
    </row>
    <row r="361" ht="15.75" customHeight="1">
      <c r="C361" s="1"/>
    </row>
    <row r="362" ht="15.75" customHeight="1">
      <c r="C362" s="1"/>
    </row>
    <row r="363" ht="15.75" customHeight="1">
      <c r="C363" s="1"/>
    </row>
    <row r="364" ht="15.75" customHeight="1">
      <c r="C364" s="1"/>
    </row>
    <row r="365" ht="15.75" customHeight="1">
      <c r="C365" s="1"/>
    </row>
    <row r="366" ht="15.75" customHeight="1">
      <c r="C366" s="1"/>
    </row>
    <row r="367" ht="15.75" customHeight="1">
      <c r="C367" s="1"/>
    </row>
    <row r="368" ht="15.75" customHeight="1">
      <c r="C368" s="1"/>
    </row>
    <row r="369" ht="15.75" customHeight="1">
      <c r="C369" s="1"/>
    </row>
    <row r="370" ht="15.75" customHeight="1">
      <c r="C370" s="1"/>
    </row>
    <row r="371" ht="15.75" customHeight="1">
      <c r="C371" s="1"/>
    </row>
    <row r="372" ht="15.75" customHeight="1">
      <c r="C372" s="1"/>
    </row>
    <row r="373" ht="15.75" customHeight="1">
      <c r="C373" s="1"/>
    </row>
    <row r="374" ht="15.75" customHeight="1">
      <c r="C374" s="1"/>
    </row>
    <row r="375" ht="15.75" customHeight="1">
      <c r="C375" s="1"/>
    </row>
    <row r="376" ht="15.75" customHeight="1">
      <c r="C376" s="1"/>
    </row>
    <row r="377" ht="15.75" customHeight="1">
      <c r="C377" s="1"/>
    </row>
    <row r="378" ht="15.75" customHeight="1">
      <c r="C378" s="1"/>
    </row>
    <row r="379" ht="15.75" customHeight="1">
      <c r="C379" s="1"/>
    </row>
    <row r="380" ht="15.75" customHeight="1">
      <c r="C380" s="1"/>
    </row>
    <row r="381" ht="15.75" customHeight="1">
      <c r="C381" s="1"/>
    </row>
    <row r="382" ht="15.75" customHeight="1">
      <c r="C382" s="1"/>
    </row>
    <row r="383" ht="15.75" customHeight="1">
      <c r="C383" s="1"/>
    </row>
    <row r="384" ht="15.75" customHeight="1">
      <c r="C384" s="1"/>
    </row>
    <row r="385" ht="15.75" customHeight="1">
      <c r="C385" s="1"/>
    </row>
    <row r="386" ht="15.75" customHeight="1">
      <c r="C386" s="1"/>
    </row>
    <row r="387" ht="15.75" customHeight="1">
      <c r="C387" s="1"/>
    </row>
    <row r="388" ht="15.75" customHeight="1">
      <c r="C388" s="1"/>
    </row>
    <row r="389" ht="15.75" customHeight="1">
      <c r="C389" s="1"/>
    </row>
    <row r="390" ht="15.75" customHeight="1">
      <c r="C390" s="1"/>
    </row>
    <row r="391" ht="15.75" customHeight="1">
      <c r="C391" s="1"/>
    </row>
    <row r="392" ht="15.75" customHeight="1">
      <c r="C392" s="1"/>
    </row>
    <row r="393" ht="15.75" customHeight="1">
      <c r="C393" s="1"/>
    </row>
    <row r="394" ht="15.75" customHeight="1">
      <c r="C394" s="1"/>
    </row>
    <row r="395" ht="15.75" customHeight="1">
      <c r="C395" s="1"/>
    </row>
    <row r="396" ht="15.75" customHeight="1">
      <c r="C396" s="1"/>
    </row>
    <row r="397" ht="15.75" customHeight="1">
      <c r="C397" s="1"/>
    </row>
    <row r="398" ht="15.75" customHeight="1">
      <c r="C398" s="1"/>
    </row>
    <row r="399" ht="15.75" customHeight="1">
      <c r="C399" s="1"/>
    </row>
    <row r="400" ht="15.75" customHeight="1">
      <c r="C400" s="1"/>
    </row>
    <row r="401" ht="15.75" customHeight="1">
      <c r="C401" s="1"/>
    </row>
    <row r="402" ht="15.75" customHeight="1">
      <c r="C402" s="1"/>
    </row>
    <row r="403" ht="15.75" customHeight="1">
      <c r="C403" s="1"/>
    </row>
    <row r="404" ht="15.75" customHeight="1">
      <c r="C404" s="1"/>
    </row>
    <row r="405" ht="15.75" customHeight="1">
      <c r="C405" s="1"/>
    </row>
    <row r="406" ht="15.75" customHeight="1">
      <c r="C406" s="1"/>
    </row>
    <row r="407" ht="15.75" customHeight="1">
      <c r="C407" s="1"/>
    </row>
    <row r="408" ht="15.75" customHeight="1">
      <c r="C408" s="1"/>
    </row>
    <row r="409" ht="15.75" customHeight="1">
      <c r="C409" s="1"/>
    </row>
    <row r="410" ht="15.75" customHeight="1">
      <c r="C410" s="1"/>
    </row>
    <row r="411" ht="15.75" customHeight="1">
      <c r="C411" s="1"/>
    </row>
    <row r="412" ht="15.75" customHeight="1">
      <c r="C412" s="1"/>
    </row>
    <row r="413" ht="15.75" customHeight="1">
      <c r="C413" s="1"/>
    </row>
    <row r="414" ht="15.75" customHeight="1">
      <c r="C414" s="1"/>
    </row>
    <row r="415" ht="15.75" customHeight="1">
      <c r="C415" s="1"/>
    </row>
    <row r="416" ht="15.75" customHeight="1">
      <c r="C416" s="1"/>
    </row>
    <row r="417" ht="15.75" customHeight="1">
      <c r="C417" s="1"/>
    </row>
    <row r="418" ht="15.75" customHeight="1">
      <c r="C418" s="1"/>
    </row>
    <row r="419" ht="15.75" customHeight="1">
      <c r="C419" s="1"/>
    </row>
    <row r="420" ht="15.75" customHeight="1">
      <c r="C420" s="1"/>
    </row>
    <row r="421" ht="15.75" customHeight="1">
      <c r="C421" s="1"/>
    </row>
    <row r="422" ht="15.75" customHeight="1">
      <c r="C422" s="1"/>
    </row>
    <row r="423" ht="15.75" customHeight="1">
      <c r="C423" s="1"/>
    </row>
    <row r="424" ht="15.75" customHeight="1">
      <c r="C424" s="1"/>
    </row>
    <row r="425" ht="15.75" customHeight="1">
      <c r="C425" s="1"/>
    </row>
    <row r="426" ht="15.75" customHeight="1">
      <c r="C426" s="1"/>
    </row>
    <row r="427" ht="15.75" customHeight="1">
      <c r="C427" s="1"/>
    </row>
    <row r="428" ht="15.75" customHeight="1">
      <c r="C428" s="1"/>
    </row>
    <row r="429" ht="15.75" customHeight="1">
      <c r="C429" s="1"/>
    </row>
    <row r="430" ht="15.75" customHeight="1">
      <c r="C430" s="1"/>
    </row>
    <row r="431" ht="15.75" customHeight="1">
      <c r="C431" s="1"/>
    </row>
    <row r="432" ht="15.75" customHeight="1">
      <c r="C432" s="1"/>
    </row>
    <row r="433" ht="15.75" customHeight="1">
      <c r="C433" s="1"/>
    </row>
    <row r="434" ht="15.75" customHeight="1">
      <c r="C434" s="1"/>
    </row>
    <row r="435" ht="15.75" customHeight="1">
      <c r="C435" s="1"/>
    </row>
    <row r="436" ht="15.75" customHeight="1">
      <c r="C436" s="1"/>
    </row>
    <row r="437" ht="15.75" customHeight="1">
      <c r="C437" s="1"/>
    </row>
    <row r="438" ht="15.75" customHeight="1">
      <c r="C438" s="1"/>
    </row>
    <row r="439" ht="15.75" customHeight="1">
      <c r="C439" s="1"/>
    </row>
    <row r="440" ht="15.75" customHeight="1">
      <c r="C440" s="1"/>
    </row>
    <row r="441" ht="15.75" customHeight="1">
      <c r="C441" s="1"/>
    </row>
    <row r="442" ht="15.75" customHeight="1">
      <c r="C442" s="1"/>
    </row>
    <row r="443" ht="15.75" customHeight="1">
      <c r="C443" s="1"/>
    </row>
    <row r="444" ht="15.75" customHeight="1">
      <c r="C444" s="1"/>
    </row>
    <row r="445" ht="15.75" customHeight="1">
      <c r="C445" s="1"/>
    </row>
    <row r="446" ht="15.75" customHeight="1">
      <c r="C446" s="1"/>
    </row>
    <row r="447" ht="15.75" customHeight="1">
      <c r="C447" s="1"/>
    </row>
    <row r="448" ht="15.75" customHeight="1">
      <c r="C448" s="1"/>
    </row>
    <row r="449" ht="15.75" customHeight="1">
      <c r="C449" s="1"/>
    </row>
    <row r="450" ht="15.75" customHeight="1">
      <c r="C450" s="1"/>
    </row>
    <row r="451" ht="15.75" customHeight="1">
      <c r="C451" s="1"/>
    </row>
    <row r="452" ht="15.75" customHeight="1">
      <c r="C452" s="1"/>
    </row>
    <row r="453" ht="15.75" customHeight="1">
      <c r="C453" s="1"/>
    </row>
    <row r="454" ht="15.75" customHeight="1">
      <c r="C454" s="1"/>
    </row>
    <row r="455" ht="15.75" customHeight="1">
      <c r="C455" s="1"/>
    </row>
    <row r="456" ht="15.75" customHeight="1">
      <c r="C456" s="1"/>
    </row>
    <row r="457" ht="15.75" customHeight="1">
      <c r="C457" s="1"/>
    </row>
    <row r="458" ht="15.75" customHeight="1">
      <c r="C458" s="1"/>
    </row>
    <row r="459" ht="15.75" customHeight="1">
      <c r="C459" s="1"/>
    </row>
    <row r="460" ht="15.75" customHeight="1">
      <c r="C460" s="1"/>
    </row>
    <row r="461" ht="15.75" customHeight="1">
      <c r="C461" s="1"/>
    </row>
    <row r="462" ht="15.75" customHeight="1">
      <c r="C462" s="1"/>
    </row>
    <row r="463" ht="15.75" customHeight="1">
      <c r="C463" s="1"/>
    </row>
    <row r="464" ht="15.75" customHeight="1">
      <c r="C464" s="1"/>
    </row>
    <row r="465" ht="15.75" customHeight="1">
      <c r="C465" s="1"/>
    </row>
    <row r="466" ht="15.75" customHeight="1">
      <c r="C466" s="1"/>
    </row>
    <row r="467" ht="15.75" customHeight="1">
      <c r="C467" s="1"/>
    </row>
    <row r="468" ht="15.75" customHeight="1">
      <c r="C468" s="1"/>
    </row>
    <row r="469" ht="15.75" customHeight="1">
      <c r="C469" s="1"/>
    </row>
    <row r="470" ht="15.75" customHeight="1">
      <c r="C470" s="1"/>
    </row>
    <row r="471" ht="15.75" customHeight="1">
      <c r="C471" s="1"/>
    </row>
    <row r="472" ht="15.75" customHeight="1">
      <c r="C472" s="1"/>
    </row>
    <row r="473" ht="15.75" customHeight="1">
      <c r="C473" s="1"/>
    </row>
    <row r="474" ht="15.75" customHeight="1">
      <c r="C474" s="1"/>
    </row>
    <row r="475" ht="15.75" customHeight="1">
      <c r="C475" s="1"/>
    </row>
    <row r="476" ht="15.75" customHeight="1">
      <c r="C476" s="1"/>
    </row>
    <row r="477" ht="15.75" customHeight="1">
      <c r="C477" s="1"/>
    </row>
    <row r="478" ht="15.75" customHeight="1">
      <c r="C478" s="1"/>
    </row>
    <row r="479" ht="15.75" customHeight="1">
      <c r="C479" s="1"/>
    </row>
    <row r="480" ht="15.75" customHeight="1">
      <c r="C480" s="1"/>
    </row>
    <row r="481" ht="15.75" customHeight="1">
      <c r="C481" s="1"/>
    </row>
    <row r="482" ht="15.75" customHeight="1">
      <c r="C482" s="1"/>
    </row>
    <row r="483" ht="15.75" customHeight="1">
      <c r="C483" s="1"/>
    </row>
    <row r="484" ht="15.75" customHeight="1">
      <c r="C484" s="1"/>
    </row>
    <row r="485" ht="15.75" customHeight="1">
      <c r="C485" s="1"/>
    </row>
    <row r="486" ht="15.75" customHeight="1">
      <c r="C486" s="1"/>
    </row>
    <row r="487" ht="15.75" customHeight="1">
      <c r="C487" s="1"/>
    </row>
    <row r="488" ht="15.75" customHeight="1">
      <c r="C488" s="1"/>
    </row>
    <row r="489" ht="15.75" customHeight="1">
      <c r="C489" s="1"/>
    </row>
    <row r="490" ht="15.75" customHeight="1">
      <c r="C490" s="1"/>
    </row>
    <row r="491" ht="15.75" customHeight="1">
      <c r="C491" s="1"/>
    </row>
    <row r="492" ht="15.75" customHeight="1">
      <c r="C492" s="1"/>
    </row>
    <row r="493" ht="15.75" customHeight="1">
      <c r="C493" s="1"/>
    </row>
    <row r="494" ht="15.75" customHeight="1">
      <c r="C494" s="1"/>
    </row>
    <row r="495" ht="15.75" customHeight="1">
      <c r="C495" s="1"/>
    </row>
    <row r="496" ht="15.75" customHeight="1">
      <c r="C496" s="1"/>
    </row>
    <row r="497" ht="15.75" customHeight="1">
      <c r="C497" s="1"/>
    </row>
    <row r="498" ht="15.75" customHeight="1">
      <c r="C498" s="1"/>
    </row>
    <row r="499" ht="15.75" customHeight="1">
      <c r="C499" s="1"/>
    </row>
    <row r="500" ht="15.75" customHeight="1">
      <c r="C500" s="1"/>
    </row>
    <row r="501" ht="15.75" customHeight="1">
      <c r="C501" s="1"/>
    </row>
    <row r="502" ht="15.75" customHeight="1">
      <c r="C502" s="1"/>
    </row>
    <row r="503" ht="15.75" customHeight="1">
      <c r="C503" s="1"/>
    </row>
    <row r="504" ht="15.75" customHeight="1">
      <c r="C504" s="1"/>
    </row>
    <row r="505" ht="15.75" customHeight="1">
      <c r="C505" s="1"/>
    </row>
    <row r="506" ht="15.75" customHeight="1">
      <c r="C506" s="1"/>
    </row>
    <row r="507" ht="15.75" customHeight="1">
      <c r="C507" s="1"/>
    </row>
    <row r="508" ht="15.75" customHeight="1">
      <c r="C508" s="1"/>
    </row>
    <row r="509" ht="15.75" customHeight="1">
      <c r="C509" s="1"/>
    </row>
    <row r="510" ht="15.75" customHeight="1">
      <c r="C510" s="1"/>
    </row>
    <row r="511" ht="15.75" customHeight="1">
      <c r="C511" s="1"/>
    </row>
    <row r="512" ht="15.75" customHeight="1">
      <c r="C512" s="1"/>
    </row>
    <row r="513" ht="15.75" customHeight="1">
      <c r="C513" s="1"/>
    </row>
    <row r="514" ht="15.75" customHeight="1">
      <c r="C514" s="1"/>
    </row>
    <row r="515" ht="15.75" customHeight="1">
      <c r="C515" s="1"/>
    </row>
    <row r="516" ht="15.75" customHeight="1">
      <c r="C516" s="1"/>
    </row>
    <row r="517" ht="15.75" customHeight="1">
      <c r="C517" s="1"/>
    </row>
    <row r="518" ht="15.75" customHeight="1">
      <c r="C518" s="1"/>
    </row>
    <row r="519" ht="15.75" customHeight="1">
      <c r="C519" s="1"/>
    </row>
    <row r="520" ht="15.75" customHeight="1">
      <c r="C520" s="1"/>
    </row>
    <row r="521" ht="15.75" customHeight="1">
      <c r="C521" s="1"/>
    </row>
    <row r="522" ht="15.75" customHeight="1">
      <c r="C522" s="1"/>
    </row>
    <row r="523" ht="15.75" customHeight="1">
      <c r="C523" s="1"/>
    </row>
    <row r="524" ht="15.75" customHeight="1">
      <c r="C524" s="1"/>
    </row>
    <row r="525" ht="15.75" customHeight="1">
      <c r="C525" s="1"/>
    </row>
    <row r="526" ht="15.75" customHeight="1">
      <c r="C526" s="1"/>
    </row>
    <row r="527" ht="15.75" customHeight="1">
      <c r="C527" s="1"/>
    </row>
    <row r="528" ht="15.75" customHeight="1">
      <c r="C528" s="1"/>
    </row>
    <row r="529" ht="15.75" customHeight="1">
      <c r="C529" s="1"/>
    </row>
    <row r="530" ht="15.75" customHeight="1">
      <c r="C530" s="1"/>
    </row>
    <row r="531" ht="15.75" customHeight="1">
      <c r="C531" s="1"/>
    </row>
    <row r="532" ht="15.75" customHeight="1">
      <c r="C532" s="1"/>
    </row>
    <row r="533" ht="15.75" customHeight="1">
      <c r="C533" s="1"/>
    </row>
    <row r="534" ht="15.75" customHeight="1">
      <c r="C534" s="1"/>
    </row>
    <row r="535" ht="15.75" customHeight="1">
      <c r="C535" s="1"/>
    </row>
    <row r="536" ht="15.75" customHeight="1">
      <c r="C536" s="1"/>
    </row>
    <row r="537" ht="15.75" customHeight="1">
      <c r="C537" s="1"/>
    </row>
    <row r="538" ht="15.75" customHeight="1">
      <c r="C538" s="1"/>
    </row>
    <row r="539" ht="15.75" customHeight="1">
      <c r="C539" s="1"/>
    </row>
    <row r="540" ht="15.75" customHeight="1">
      <c r="C540" s="1"/>
    </row>
    <row r="541" ht="15.75" customHeight="1">
      <c r="C541" s="1"/>
    </row>
    <row r="542" ht="15.75" customHeight="1">
      <c r="C542" s="1"/>
    </row>
    <row r="543" ht="15.75" customHeight="1">
      <c r="C543" s="1"/>
    </row>
    <row r="544" ht="15.75" customHeight="1">
      <c r="C544" s="1"/>
    </row>
    <row r="545" ht="15.75" customHeight="1">
      <c r="C545" s="1"/>
    </row>
    <row r="546" ht="15.75" customHeight="1">
      <c r="C546" s="1"/>
    </row>
    <row r="547" ht="15.75" customHeight="1">
      <c r="C547" s="1"/>
    </row>
    <row r="548" ht="15.75" customHeight="1">
      <c r="C548" s="1"/>
    </row>
    <row r="549" ht="15.75" customHeight="1">
      <c r="C549" s="1"/>
    </row>
    <row r="550" ht="15.75" customHeight="1">
      <c r="C550" s="1"/>
    </row>
    <row r="551" ht="15.75" customHeight="1">
      <c r="C551" s="1"/>
    </row>
    <row r="552" ht="15.75" customHeight="1">
      <c r="C552" s="1"/>
    </row>
    <row r="553" ht="15.75" customHeight="1">
      <c r="C553" s="1"/>
    </row>
    <row r="554" ht="15.75" customHeight="1">
      <c r="C554" s="1"/>
    </row>
    <row r="555" ht="15.75" customHeight="1">
      <c r="C555" s="1"/>
    </row>
    <row r="556" ht="15.75" customHeight="1">
      <c r="C556" s="1"/>
    </row>
    <row r="557" ht="15.75" customHeight="1">
      <c r="C557" s="1"/>
    </row>
    <row r="558" ht="15.75" customHeight="1">
      <c r="C558" s="1"/>
    </row>
    <row r="559" ht="15.75" customHeight="1">
      <c r="C559" s="1"/>
    </row>
    <row r="560" ht="15.75" customHeight="1">
      <c r="C560" s="1"/>
    </row>
    <row r="561" ht="15.75" customHeight="1">
      <c r="C561" s="1"/>
    </row>
    <row r="562" ht="15.75" customHeight="1">
      <c r="C562" s="1"/>
    </row>
    <row r="563" ht="15.75" customHeight="1">
      <c r="C563" s="1"/>
    </row>
    <row r="564" ht="15.75" customHeight="1">
      <c r="C564" s="1"/>
    </row>
    <row r="565" ht="15.75" customHeight="1">
      <c r="C565" s="1"/>
    </row>
    <row r="566" ht="15.75" customHeight="1">
      <c r="C566" s="1"/>
    </row>
    <row r="567" ht="15.75" customHeight="1">
      <c r="C567" s="1"/>
    </row>
    <row r="568" ht="15.75" customHeight="1">
      <c r="C568" s="1"/>
    </row>
    <row r="569" ht="15.75" customHeight="1">
      <c r="C569" s="1"/>
    </row>
    <row r="570" ht="15.75" customHeight="1">
      <c r="C570" s="1"/>
    </row>
    <row r="571" ht="15.75" customHeight="1">
      <c r="C571" s="1"/>
    </row>
    <row r="572" ht="15.75" customHeight="1">
      <c r="C572" s="1"/>
    </row>
    <row r="573" ht="15.75" customHeight="1">
      <c r="C573" s="1"/>
    </row>
    <row r="574" ht="15.75" customHeight="1">
      <c r="C574" s="1"/>
    </row>
    <row r="575" ht="15.75" customHeight="1">
      <c r="C575" s="1"/>
    </row>
    <row r="576" ht="15.75" customHeight="1">
      <c r="C576" s="1"/>
    </row>
    <row r="577" ht="15.75" customHeight="1">
      <c r="C577" s="1"/>
    </row>
    <row r="578" ht="15.75" customHeight="1">
      <c r="C578" s="1"/>
    </row>
    <row r="579" ht="15.75" customHeight="1">
      <c r="C579" s="1"/>
    </row>
    <row r="580" ht="15.75" customHeight="1">
      <c r="C580" s="1"/>
    </row>
    <row r="581" ht="15.75" customHeight="1">
      <c r="C581" s="1"/>
    </row>
    <row r="582" ht="15.75" customHeight="1">
      <c r="C582" s="1"/>
    </row>
    <row r="583" ht="15.75" customHeight="1">
      <c r="C583" s="1"/>
    </row>
    <row r="584" ht="15.75" customHeight="1">
      <c r="C584" s="1"/>
    </row>
    <row r="585" ht="15.75" customHeight="1">
      <c r="C585" s="1"/>
    </row>
    <row r="586" ht="15.75" customHeight="1">
      <c r="C586" s="1"/>
    </row>
    <row r="587" ht="15.75" customHeight="1">
      <c r="C587" s="1"/>
    </row>
    <row r="588" ht="15.75" customHeight="1">
      <c r="C588" s="1"/>
    </row>
    <row r="589" ht="15.75" customHeight="1">
      <c r="C589" s="1"/>
    </row>
    <row r="590" ht="15.75" customHeight="1">
      <c r="C590" s="1"/>
    </row>
    <row r="591" ht="15.75" customHeight="1">
      <c r="C591" s="1"/>
    </row>
    <row r="592" ht="15.75" customHeight="1">
      <c r="C592" s="1"/>
    </row>
    <row r="593" ht="15.75" customHeight="1">
      <c r="C593" s="1"/>
    </row>
    <row r="594" ht="15.75" customHeight="1">
      <c r="C594" s="1"/>
    </row>
    <row r="595" ht="15.75" customHeight="1">
      <c r="C595" s="1"/>
    </row>
    <row r="596" ht="15.75" customHeight="1">
      <c r="C596" s="1"/>
    </row>
    <row r="597" ht="15.75" customHeight="1">
      <c r="C597" s="1"/>
    </row>
    <row r="598" ht="15.75" customHeight="1">
      <c r="C598" s="1"/>
    </row>
    <row r="599" ht="15.75" customHeight="1">
      <c r="C599" s="1"/>
    </row>
    <row r="600" ht="15.75" customHeight="1">
      <c r="C600" s="1"/>
    </row>
    <row r="601" ht="15.75" customHeight="1">
      <c r="C601" s="1"/>
    </row>
    <row r="602" ht="15.75" customHeight="1">
      <c r="C602" s="1"/>
    </row>
    <row r="603" ht="15.75" customHeight="1">
      <c r="C603" s="1"/>
    </row>
    <row r="604" ht="15.75" customHeight="1">
      <c r="C604" s="1"/>
    </row>
    <row r="605" ht="15.75" customHeight="1">
      <c r="C605" s="1"/>
    </row>
    <row r="606" ht="15.75" customHeight="1">
      <c r="C606" s="1"/>
    </row>
    <row r="607" ht="15.75" customHeight="1">
      <c r="C607" s="1"/>
    </row>
    <row r="608" ht="15.75" customHeight="1">
      <c r="C608" s="1"/>
    </row>
    <row r="609" ht="15.75" customHeight="1">
      <c r="C609" s="1"/>
    </row>
    <row r="610" ht="15.75" customHeight="1">
      <c r="C610" s="1"/>
    </row>
    <row r="611" ht="15.75" customHeight="1">
      <c r="C611" s="1"/>
    </row>
    <row r="612" ht="15.75" customHeight="1">
      <c r="C612" s="1"/>
    </row>
    <row r="613" ht="15.75" customHeight="1">
      <c r="C613" s="1"/>
    </row>
    <row r="614" ht="15.75" customHeight="1">
      <c r="C614" s="1"/>
    </row>
    <row r="615" ht="15.75" customHeight="1">
      <c r="C615" s="1"/>
    </row>
    <row r="616" ht="15.75" customHeight="1">
      <c r="C616" s="1"/>
    </row>
    <row r="617" ht="15.75" customHeight="1">
      <c r="C617" s="1"/>
    </row>
    <row r="618" ht="15.75" customHeight="1">
      <c r="C618" s="1"/>
    </row>
    <row r="619" ht="15.75" customHeight="1">
      <c r="C619" s="1"/>
    </row>
    <row r="620" ht="15.75" customHeight="1">
      <c r="C620" s="1"/>
    </row>
    <row r="621" ht="15.75" customHeight="1">
      <c r="C621" s="1"/>
    </row>
    <row r="622" ht="15.75" customHeight="1">
      <c r="C622" s="1"/>
    </row>
    <row r="623" ht="15.75" customHeight="1">
      <c r="C623" s="1"/>
    </row>
    <row r="624" ht="15.75" customHeight="1">
      <c r="C624" s="1"/>
    </row>
    <row r="625" ht="15.75" customHeight="1">
      <c r="C625" s="1"/>
    </row>
    <row r="626" ht="15.75" customHeight="1">
      <c r="C626" s="1"/>
    </row>
    <row r="627" ht="15.75" customHeight="1">
      <c r="C627" s="1"/>
    </row>
    <row r="628" ht="15.75" customHeight="1">
      <c r="C628" s="1"/>
    </row>
    <row r="629" ht="15.75" customHeight="1">
      <c r="C629" s="1"/>
    </row>
    <row r="630" ht="15.75" customHeight="1">
      <c r="C630" s="1"/>
    </row>
    <row r="631" ht="15.75" customHeight="1">
      <c r="C631" s="1"/>
    </row>
    <row r="632" ht="15.75" customHeight="1">
      <c r="C632" s="1"/>
    </row>
    <row r="633" ht="15.75" customHeight="1">
      <c r="C633" s="1"/>
    </row>
    <row r="634" ht="15.75" customHeight="1">
      <c r="C634" s="1"/>
    </row>
    <row r="635" ht="15.75" customHeight="1">
      <c r="C635" s="1"/>
    </row>
    <row r="636" ht="15.75" customHeight="1">
      <c r="C636" s="1"/>
    </row>
    <row r="637" ht="15.75" customHeight="1">
      <c r="C637" s="1"/>
    </row>
    <row r="638" ht="15.75" customHeight="1">
      <c r="C638" s="1"/>
    </row>
    <row r="639" ht="15.75" customHeight="1">
      <c r="C639" s="1"/>
    </row>
    <row r="640" ht="15.75" customHeight="1">
      <c r="C640" s="1"/>
    </row>
    <row r="641" ht="15.75" customHeight="1">
      <c r="C641" s="1"/>
    </row>
    <row r="642" ht="15.75" customHeight="1">
      <c r="C642" s="1"/>
    </row>
    <row r="643" ht="15.75" customHeight="1">
      <c r="C643" s="1"/>
    </row>
    <row r="644" ht="15.75" customHeight="1">
      <c r="C644" s="1"/>
    </row>
    <row r="645" ht="15.75" customHeight="1">
      <c r="C645" s="1"/>
    </row>
    <row r="646" ht="15.75" customHeight="1">
      <c r="C646" s="1"/>
    </row>
    <row r="647" ht="15.75" customHeight="1">
      <c r="C647" s="1"/>
    </row>
    <row r="648" ht="15.75" customHeight="1">
      <c r="C648" s="1"/>
    </row>
    <row r="649" ht="15.75" customHeight="1">
      <c r="C649" s="1"/>
    </row>
    <row r="650" ht="15.75" customHeight="1">
      <c r="C650" s="1"/>
    </row>
    <row r="651" ht="15.75" customHeight="1">
      <c r="C651" s="1"/>
    </row>
    <row r="652" ht="15.75" customHeight="1">
      <c r="C652" s="1"/>
    </row>
    <row r="653" ht="15.75" customHeight="1">
      <c r="C653" s="1"/>
    </row>
    <row r="654" ht="15.75" customHeight="1">
      <c r="C654" s="1"/>
    </row>
    <row r="655" ht="15.75" customHeight="1">
      <c r="C655" s="1"/>
    </row>
    <row r="656" ht="15.75" customHeight="1">
      <c r="C656" s="1"/>
    </row>
    <row r="657" ht="15.75" customHeight="1">
      <c r="C657" s="1"/>
    </row>
    <row r="658" ht="15.75" customHeight="1">
      <c r="C658" s="1"/>
    </row>
    <row r="659" ht="15.75" customHeight="1">
      <c r="C659" s="1"/>
    </row>
    <row r="660" ht="15.75" customHeight="1">
      <c r="C660" s="1"/>
    </row>
    <row r="661" ht="15.75" customHeight="1">
      <c r="C661" s="1"/>
    </row>
    <row r="662" ht="15.75" customHeight="1">
      <c r="C662" s="1"/>
    </row>
    <row r="663" ht="15.75" customHeight="1">
      <c r="C663" s="1"/>
    </row>
    <row r="664" ht="15.75" customHeight="1">
      <c r="C664" s="1"/>
    </row>
    <row r="665" ht="15.75" customHeight="1">
      <c r="C665" s="1"/>
    </row>
    <row r="666" ht="15.75" customHeight="1">
      <c r="C666" s="1"/>
    </row>
    <row r="667" ht="15.75" customHeight="1">
      <c r="C667" s="1"/>
    </row>
    <row r="668" ht="15.75" customHeight="1">
      <c r="C668" s="1"/>
    </row>
    <row r="669" ht="15.75" customHeight="1">
      <c r="C669" s="1"/>
    </row>
    <row r="670" ht="15.75" customHeight="1">
      <c r="C670" s="1"/>
    </row>
    <row r="671" ht="15.75" customHeight="1">
      <c r="C671" s="1"/>
    </row>
    <row r="672" ht="15.75" customHeight="1">
      <c r="C672" s="1"/>
    </row>
    <row r="673" ht="15.75" customHeight="1">
      <c r="C673" s="1"/>
    </row>
    <row r="674" ht="15.75" customHeight="1">
      <c r="C674" s="1"/>
    </row>
    <row r="675" ht="15.75" customHeight="1">
      <c r="C675" s="1"/>
    </row>
    <row r="676" ht="15.75" customHeight="1">
      <c r="C676" s="1"/>
    </row>
    <row r="677" ht="15.75" customHeight="1">
      <c r="C677" s="1"/>
    </row>
    <row r="678" ht="15.75" customHeight="1">
      <c r="C678" s="1"/>
    </row>
    <row r="679" ht="15.75" customHeight="1">
      <c r="C679" s="1"/>
    </row>
    <row r="680" ht="15.75" customHeight="1">
      <c r="C680" s="1"/>
    </row>
    <row r="681" ht="15.75" customHeight="1">
      <c r="C681" s="1"/>
    </row>
    <row r="682" ht="15.75" customHeight="1">
      <c r="C682" s="1"/>
    </row>
    <row r="683" ht="15.75" customHeight="1">
      <c r="C683" s="1"/>
    </row>
    <row r="684" ht="15.75" customHeight="1">
      <c r="C684" s="1"/>
    </row>
    <row r="685" ht="15.75" customHeight="1">
      <c r="C685" s="1"/>
    </row>
    <row r="686" ht="15.75" customHeight="1">
      <c r="C686" s="1"/>
    </row>
    <row r="687" ht="15.75" customHeight="1">
      <c r="C687" s="1"/>
    </row>
    <row r="688" ht="15.75" customHeight="1">
      <c r="C688" s="1"/>
    </row>
    <row r="689" ht="15.75" customHeight="1">
      <c r="C689" s="1"/>
    </row>
    <row r="690" ht="15.75" customHeight="1">
      <c r="C690" s="1"/>
    </row>
    <row r="691" ht="15.75" customHeight="1">
      <c r="C691" s="1"/>
    </row>
    <row r="692" ht="15.75" customHeight="1">
      <c r="C692" s="1"/>
    </row>
    <row r="693" ht="15.75" customHeight="1">
      <c r="C693" s="1"/>
    </row>
    <row r="694" ht="15.75" customHeight="1">
      <c r="C694" s="1"/>
    </row>
    <row r="695" ht="15.75" customHeight="1">
      <c r="C695" s="1"/>
    </row>
    <row r="696" ht="15.75" customHeight="1">
      <c r="C696" s="1"/>
    </row>
    <row r="697" ht="15.75" customHeight="1">
      <c r="C697" s="1"/>
    </row>
    <row r="698" ht="15.75" customHeight="1">
      <c r="C698" s="1"/>
    </row>
    <row r="699" ht="15.75" customHeight="1">
      <c r="C699" s="1"/>
    </row>
    <row r="700" ht="15.75" customHeight="1">
      <c r="C700" s="1"/>
    </row>
    <row r="701" ht="15.75" customHeight="1">
      <c r="C701" s="1"/>
    </row>
    <row r="702" ht="15.75" customHeight="1">
      <c r="C702" s="1"/>
    </row>
    <row r="703" ht="15.75" customHeight="1">
      <c r="C703" s="1"/>
    </row>
    <row r="704" ht="15.75" customHeight="1">
      <c r="C704" s="1"/>
    </row>
    <row r="705" ht="15.75" customHeight="1">
      <c r="C705" s="1"/>
    </row>
    <row r="706" ht="15.75" customHeight="1">
      <c r="C706" s="1"/>
    </row>
    <row r="707" ht="15.75" customHeight="1">
      <c r="C707" s="1"/>
    </row>
    <row r="708" ht="15.75" customHeight="1">
      <c r="C708" s="1"/>
    </row>
    <row r="709" ht="15.75" customHeight="1">
      <c r="C709" s="1"/>
    </row>
    <row r="710" ht="15.75" customHeight="1">
      <c r="C710" s="1"/>
    </row>
    <row r="711" ht="15.75" customHeight="1">
      <c r="C711" s="1"/>
    </row>
    <row r="712" ht="15.75" customHeight="1">
      <c r="C712" s="1"/>
    </row>
    <row r="713" ht="15.75" customHeight="1">
      <c r="C713" s="1"/>
    </row>
    <row r="714" ht="15.75" customHeight="1">
      <c r="C714" s="1"/>
    </row>
    <row r="715" ht="15.75" customHeight="1">
      <c r="C715" s="1"/>
    </row>
    <row r="716" ht="15.75" customHeight="1">
      <c r="C716" s="1"/>
    </row>
    <row r="717" ht="15.75" customHeight="1">
      <c r="C717" s="1"/>
    </row>
    <row r="718" ht="15.75" customHeight="1">
      <c r="C718" s="1"/>
    </row>
    <row r="719" ht="15.75" customHeight="1">
      <c r="C719" s="1"/>
    </row>
    <row r="720" ht="15.75" customHeight="1">
      <c r="C720" s="1"/>
    </row>
    <row r="721" ht="15.75" customHeight="1">
      <c r="C721" s="1"/>
    </row>
    <row r="722" ht="15.75" customHeight="1">
      <c r="C722" s="1"/>
    </row>
    <row r="723" ht="15.75" customHeight="1">
      <c r="C723" s="1"/>
    </row>
    <row r="724" ht="15.75" customHeight="1">
      <c r="C724" s="1"/>
    </row>
    <row r="725" ht="15.75" customHeight="1">
      <c r="C725" s="1"/>
    </row>
    <row r="726" ht="15.75" customHeight="1">
      <c r="C726" s="1"/>
    </row>
    <row r="727" ht="15.75" customHeight="1">
      <c r="C727" s="1"/>
    </row>
    <row r="728" ht="15.75" customHeight="1">
      <c r="C728" s="1"/>
    </row>
    <row r="729" ht="15.75" customHeight="1">
      <c r="C729" s="1"/>
    </row>
    <row r="730" ht="15.75" customHeight="1">
      <c r="C730" s="1"/>
    </row>
    <row r="731" ht="15.75" customHeight="1">
      <c r="C731" s="1"/>
    </row>
    <row r="732" ht="15.75" customHeight="1">
      <c r="C732" s="1"/>
    </row>
    <row r="733" ht="15.75" customHeight="1">
      <c r="C733" s="1"/>
    </row>
    <row r="734" ht="15.75" customHeight="1">
      <c r="C734" s="1"/>
    </row>
    <row r="735" ht="15.75" customHeight="1">
      <c r="C735" s="1"/>
    </row>
    <row r="736" ht="15.75" customHeight="1">
      <c r="C736" s="1"/>
    </row>
    <row r="737" ht="15.75" customHeight="1">
      <c r="C737" s="1"/>
    </row>
    <row r="738" ht="15.75" customHeight="1">
      <c r="C738" s="1"/>
    </row>
    <row r="739" ht="15.75" customHeight="1">
      <c r="C739" s="1"/>
    </row>
    <row r="740" ht="15.75" customHeight="1">
      <c r="C740" s="1"/>
    </row>
    <row r="741" ht="15.75" customHeight="1">
      <c r="C741" s="1"/>
    </row>
    <row r="742" ht="15.75" customHeight="1">
      <c r="C742" s="1"/>
    </row>
    <row r="743" ht="15.75" customHeight="1">
      <c r="C743" s="1"/>
    </row>
    <row r="744" ht="15.75" customHeight="1">
      <c r="C744" s="1"/>
    </row>
    <row r="745" ht="15.75" customHeight="1">
      <c r="C745" s="1"/>
    </row>
    <row r="746" ht="15.75" customHeight="1">
      <c r="C746" s="1"/>
    </row>
    <row r="747" ht="15.75" customHeight="1">
      <c r="C747" s="1"/>
    </row>
    <row r="748" ht="15.75" customHeight="1">
      <c r="C748" s="1"/>
    </row>
    <row r="749" ht="15.75" customHeight="1">
      <c r="C749" s="1"/>
    </row>
    <row r="750" ht="15.75" customHeight="1">
      <c r="C750" s="1"/>
    </row>
    <row r="751" ht="15.75" customHeight="1">
      <c r="C751" s="1"/>
    </row>
    <row r="752" ht="15.75" customHeight="1">
      <c r="C752" s="1"/>
    </row>
    <row r="753" ht="15.75" customHeight="1">
      <c r="C753" s="1"/>
    </row>
    <row r="754" ht="15.75" customHeight="1">
      <c r="C754" s="1"/>
    </row>
    <row r="755" ht="15.75" customHeight="1">
      <c r="C755" s="1"/>
    </row>
    <row r="756" ht="15.75" customHeight="1">
      <c r="C756" s="1"/>
    </row>
    <row r="757" ht="15.75" customHeight="1">
      <c r="C757" s="1"/>
    </row>
    <row r="758" ht="15.75" customHeight="1">
      <c r="C758" s="1"/>
    </row>
    <row r="759" ht="15.75" customHeight="1">
      <c r="C759" s="1"/>
    </row>
    <row r="760" ht="15.75" customHeight="1">
      <c r="C760" s="1"/>
    </row>
    <row r="761" ht="15.75" customHeight="1">
      <c r="C761" s="1"/>
    </row>
    <row r="762" ht="15.75" customHeight="1">
      <c r="C762" s="1"/>
    </row>
    <row r="763" ht="15.75" customHeight="1">
      <c r="C763" s="1"/>
    </row>
    <row r="764" ht="15.75" customHeight="1">
      <c r="C764" s="1"/>
    </row>
    <row r="765" ht="15.75" customHeight="1">
      <c r="C765" s="1"/>
    </row>
    <row r="766" ht="15.75" customHeight="1">
      <c r="C766" s="1"/>
    </row>
    <row r="767" ht="15.75" customHeight="1">
      <c r="C767" s="1"/>
    </row>
    <row r="768" ht="15.75" customHeight="1">
      <c r="C768" s="1"/>
    </row>
    <row r="769" ht="15.75" customHeight="1">
      <c r="C769" s="1"/>
    </row>
    <row r="770" ht="15.75" customHeight="1">
      <c r="C770" s="1"/>
    </row>
    <row r="771" ht="15.75" customHeight="1">
      <c r="C771" s="1"/>
    </row>
    <row r="772" ht="15.75" customHeight="1">
      <c r="C772" s="1"/>
    </row>
    <row r="773" ht="15.75" customHeight="1">
      <c r="C773" s="1"/>
    </row>
    <row r="774" ht="15.75" customHeight="1">
      <c r="C774" s="1"/>
    </row>
    <row r="775" ht="15.75" customHeight="1">
      <c r="C775" s="1"/>
    </row>
    <row r="776" ht="15.75" customHeight="1">
      <c r="C776" s="1"/>
    </row>
    <row r="777" ht="15.75" customHeight="1">
      <c r="C777" s="1"/>
    </row>
    <row r="778" ht="15.75" customHeight="1">
      <c r="C778" s="1"/>
    </row>
    <row r="779" ht="15.75" customHeight="1">
      <c r="C779" s="1"/>
    </row>
    <row r="780" ht="15.75" customHeight="1">
      <c r="C780" s="1"/>
    </row>
    <row r="781" ht="15.75" customHeight="1">
      <c r="C781" s="1"/>
    </row>
    <row r="782" ht="15.75" customHeight="1">
      <c r="C782" s="1"/>
    </row>
    <row r="783" ht="15.75" customHeight="1">
      <c r="C783" s="1"/>
    </row>
    <row r="784" ht="15.75" customHeight="1">
      <c r="C784" s="1"/>
    </row>
    <row r="785" ht="15.75" customHeight="1">
      <c r="C785" s="1"/>
    </row>
    <row r="786" ht="15.75" customHeight="1">
      <c r="C786" s="1"/>
    </row>
    <row r="787" ht="15.75" customHeight="1">
      <c r="C787" s="1"/>
    </row>
    <row r="788" ht="15.75" customHeight="1">
      <c r="C788" s="1"/>
    </row>
    <row r="789" ht="15.75" customHeight="1">
      <c r="C789" s="1"/>
    </row>
    <row r="790" ht="15.75" customHeight="1">
      <c r="C790" s="1"/>
    </row>
    <row r="791" ht="15.75" customHeight="1">
      <c r="C791" s="1"/>
    </row>
    <row r="792" ht="15.75" customHeight="1">
      <c r="C792" s="1"/>
    </row>
    <row r="793" ht="15.75" customHeight="1">
      <c r="C793" s="1"/>
    </row>
    <row r="794" ht="15.75" customHeight="1">
      <c r="C794" s="1"/>
    </row>
    <row r="795" ht="15.75" customHeight="1">
      <c r="C795" s="1"/>
    </row>
    <row r="796" ht="15.75" customHeight="1">
      <c r="C796" s="1"/>
    </row>
    <row r="797" ht="15.75" customHeight="1">
      <c r="C797" s="1"/>
    </row>
    <row r="798" ht="15.75" customHeight="1">
      <c r="C798" s="1"/>
    </row>
    <row r="799" ht="15.75" customHeight="1">
      <c r="C799" s="1"/>
    </row>
    <row r="800" ht="15.75" customHeight="1">
      <c r="C800" s="1"/>
    </row>
    <row r="801" ht="15.75" customHeight="1">
      <c r="C801" s="1"/>
    </row>
    <row r="802" ht="15.75" customHeight="1">
      <c r="C802" s="1"/>
    </row>
    <row r="803" ht="15.75" customHeight="1">
      <c r="C803" s="1"/>
    </row>
    <row r="804" ht="15.75" customHeight="1">
      <c r="C804" s="1"/>
    </row>
    <row r="805" ht="15.75" customHeight="1">
      <c r="C805" s="1"/>
    </row>
    <row r="806" ht="15.75" customHeight="1">
      <c r="C806" s="1"/>
    </row>
    <row r="807" ht="15.75" customHeight="1">
      <c r="C807" s="1"/>
    </row>
    <row r="808" ht="15.75" customHeight="1">
      <c r="C808" s="1"/>
    </row>
    <row r="809" ht="15.75" customHeight="1">
      <c r="C809" s="1"/>
    </row>
    <row r="810" ht="15.75" customHeight="1">
      <c r="C810" s="1"/>
    </row>
    <row r="811" ht="15.75" customHeight="1">
      <c r="C811" s="1"/>
    </row>
    <row r="812" ht="15.75" customHeight="1">
      <c r="C812" s="1"/>
    </row>
    <row r="813" ht="15.75" customHeight="1">
      <c r="C813" s="1"/>
    </row>
    <row r="814" ht="15.75" customHeight="1">
      <c r="C814" s="1"/>
    </row>
    <row r="815" ht="15.75" customHeight="1">
      <c r="C815" s="1"/>
    </row>
    <row r="816" ht="15.75" customHeight="1">
      <c r="C816" s="1"/>
    </row>
    <row r="817" ht="15.75" customHeight="1">
      <c r="C817" s="1"/>
    </row>
    <row r="818" ht="15.75" customHeight="1">
      <c r="C818" s="1"/>
    </row>
    <row r="819" ht="15.75" customHeight="1">
      <c r="C819" s="1"/>
    </row>
    <row r="820" ht="15.75" customHeight="1">
      <c r="C820" s="1"/>
    </row>
    <row r="821" ht="15.75" customHeight="1">
      <c r="C821" s="1"/>
    </row>
    <row r="822" ht="15.75" customHeight="1">
      <c r="C822" s="1"/>
    </row>
    <row r="823" ht="15.75" customHeight="1">
      <c r="C823" s="1"/>
    </row>
    <row r="824" ht="15.75" customHeight="1">
      <c r="C824" s="1"/>
    </row>
    <row r="825" ht="15.75" customHeight="1">
      <c r="C825" s="1"/>
    </row>
    <row r="826" ht="15.75" customHeight="1">
      <c r="C826" s="1"/>
    </row>
    <row r="827" ht="15.75" customHeight="1">
      <c r="C827" s="1"/>
    </row>
    <row r="828" ht="15.75" customHeight="1">
      <c r="C828" s="1"/>
    </row>
    <row r="829" ht="15.75" customHeight="1">
      <c r="C829" s="1"/>
    </row>
    <row r="830" ht="15.75" customHeight="1">
      <c r="C830" s="1"/>
    </row>
    <row r="831" ht="15.75" customHeight="1">
      <c r="C831" s="1"/>
    </row>
    <row r="832" ht="15.75" customHeight="1">
      <c r="C832" s="1"/>
    </row>
    <row r="833" ht="15.75" customHeight="1">
      <c r="C833" s="1"/>
    </row>
    <row r="834" ht="15.75" customHeight="1">
      <c r="C834" s="1"/>
    </row>
    <row r="835" ht="15.75" customHeight="1">
      <c r="C835" s="1"/>
    </row>
    <row r="836" ht="15.75" customHeight="1">
      <c r="C836" s="1"/>
    </row>
    <row r="837" ht="15.75" customHeight="1">
      <c r="C837" s="1"/>
    </row>
    <row r="838" ht="15.75" customHeight="1">
      <c r="C838" s="1"/>
    </row>
    <row r="839" ht="15.75" customHeight="1">
      <c r="C839" s="1"/>
    </row>
    <row r="840" ht="15.75" customHeight="1">
      <c r="C840" s="1"/>
    </row>
    <row r="841" ht="15.75" customHeight="1">
      <c r="C841" s="1"/>
    </row>
    <row r="842" ht="15.75" customHeight="1">
      <c r="C842" s="1"/>
    </row>
    <row r="843" ht="15.75" customHeight="1">
      <c r="C843" s="1"/>
    </row>
    <row r="844" ht="15.75" customHeight="1">
      <c r="C844" s="1"/>
    </row>
    <row r="845" ht="15.75" customHeight="1">
      <c r="C845" s="1"/>
    </row>
    <row r="846" ht="15.75" customHeight="1">
      <c r="C846" s="1"/>
    </row>
    <row r="847" ht="15.75" customHeight="1">
      <c r="C847" s="1"/>
    </row>
    <row r="848" ht="15.75" customHeight="1">
      <c r="C848" s="1"/>
    </row>
    <row r="849" ht="15.75" customHeight="1">
      <c r="C849" s="1"/>
    </row>
    <row r="850" ht="15.75" customHeight="1">
      <c r="C850" s="1"/>
    </row>
    <row r="851" ht="15.75" customHeight="1">
      <c r="C851" s="1"/>
    </row>
    <row r="852" ht="15.75" customHeight="1">
      <c r="C852" s="1"/>
    </row>
    <row r="853" ht="15.75" customHeight="1">
      <c r="C853" s="1"/>
    </row>
    <row r="854" ht="15.75" customHeight="1">
      <c r="C854" s="1"/>
    </row>
    <row r="855" ht="15.75" customHeight="1">
      <c r="C855" s="1"/>
    </row>
    <row r="856" ht="15.75" customHeight="1">
      <c r="C856" s="1"/>
    </row>
    <row r="857" ht="15.75" customHeight="1">
      <c r="C857" s="1"/>
    </row>
    <row r="858" ht="15.75" customHeight="1">
      <c r="C858" s="1"/>
    </row>
    <row r="859" ht="15.75" customHeight="1">
      <c r="C859" s="1"/>
    </row>
    <row r="860" ht="15.75" customHeight="1">
      <c r="C860" s="1"/>
    </row>
    <row r="861" ht="15.75" customHeight="1">
      <c r="C861" s="1"/>
    </row>
    <row r="862" ht="15.75" customHeight="1">
      <c r="C862" s="1"/>
    </row>
    <row r="863" ht="15.75" customHeight="1">
      <c r="C863" s="1"/>
    </row>
    <row r="864" ht="15.75" customHeight="1">
      <c r="C864" s="1"/>
    </row>
    <row r="865" ht="15.75" customHeight="1">
      <c r="C865" s="1"/>
    </row>
    <row r="866" ht="15.75" customHeight="1">
      <c r="C866" s="1"/>
    </row>
    <row r="867" ht="15.75" customHeight="1">
      <c r="C867" s="1"/>
    </row>
    <row r="868" ht="15.75" customHeight="1">
      <c r="C868" s="1"/>
    </row>
    <row r="869" ht="15.75" customHeight="1">
      <c r="C869" s="1"/>
    </row>
    <row r="870" ht="15.75" customHeight="1">
      <c r="C870" s="1"/>
    </row>
    <row r="871" ht="15.75" customHeight="1">
      <c r="C871" s="1"/>
    </row>
    <row r="872" ht="15.75" customHeight="1">
      <c r="C872" s="1"/>
    </row>
    <row r="873" ht="15.75" customHeight="1">
      <c r="C873" s="1"/>
    </row>
    <row r="874" ht="15.75" customHeight="1">
      <c r="C874" s="1"/>
    </row>
    <row r="875" ht="15.75" customHeight="1">
      <c r="C875" s="1"/>
    </row>
    <row r="876" ht="15.75" customHeight="1">
      <c r="C876" s="1"/>
    </row>
    <row r="877" ht="15.75" customHeight="1">
      <c r="C877" s="1"/>
    </row>
    <row r="878" ht="15.75" customHeight="1">
      <c r="C878" s="1"/>
    </row>
    <row r="879" ht="15.75" customHeight="1">
      <c r="C879" s="1"/>
    </row>
    <row r="880" ht="15.75" customHeight="1">
      <c r="C880" s="1"/>
    </row>
    <row r="881" ht="15.75" customHeight="1">
      <c r="C881" s="1"/>
    </row>
    <row r="882" ht="15.75" customHeight="1">
      <c r="C882" s="1"/>
    </row>
    <row r="883" ht="15.75" customHeight="1">
      <c r="C883" s="1"/>
    </row>
    <row r="884" ht="15.75" customHeight="1">
      <c r="C884" s="1"/>
    </row>
    <row r="885" ht="15.75" customHeight="1">
      <c r="C885" s="1"/>
    </row>
    <row r="886" ht="15.75" customHeight="1">
      <c r="C886" s="1"/>
    </row>
    <row r="887" ht="15.75" customHeight="1">
      <c r="C887" s="1"/>
    </row>
    <row r="888" ht="15.75" customHeight="1">
      <c r="C888" s="1"/>
    </row>
    <row r="889" ht="15.75" customHeight="1">
      <c r="C889" s="1"/>
    </row>
    <row r="890" ht="15.75" customHeight="1">
      <c r="C890" s="1"/>
    </row>
    <row r="891" ht="15.75" customHeight="1">
      <c r="C891" s="1"/>
    </row>
    <row r="892" ht="15.75" customHeight="1">
      <c r="C892" s="1"/>
    </row>
    <row r="893" ht="15.75" customHeight="1">
      <c r="C893" s="1"/>
    </row>
    <row r="894" ht="15.75" customHeight="1">
      <c r="C894" s="1"/>
    </row>
    <row r="895" ht="15.75" customHeight="1">
      <c r="C895" s="1"/>
    </row>
    <row r="896" ht="15.75" customHeight="1">
      <c r="C896" s="1"/>
    </row>
    <row r="897" ht="15.75" customHeight="1">
      <c r="C897" s="1"/>
    </row>
    <row r="898" ht="15.75" customHeight="1">
      <c r="C898" s="1"/>
    </row>
    <row r="899" ht="15.75" customHeight="1">
      <c r="C899" s="1"/>
    </row>
    <row r="900" ht="15.75" customHeight="1">
      <c r="C900" s="1"/>
    </row>
    <row r="901" ht="15.75" customHeight="1">
      <c r="C901" s="1"/>
    </row>
    <row r="902" ht="15.75" customHeight="1">
      <c r="C902" s="1"/>
    </row>
    <row r="903" ht="15.75" customHeight="1">
      <c r="C903" s="1"/>
    </row>
    <row r="904" ht="15.75" customHeight="1">
      <c r="C904" s="1"/>
    </row>
    <row r="905" ht="15.75" customHeight="1">
      <c r="C905" s="1"/>
    </row>
    <row r="906" ht="15.75" customHeight="1">
      <c r="C906" s="1"/>
    </row>
    <row r="907" ht="15.75" customHeight="1">
      <c r="C907" s="1"/>
    </row>
    <row r="908" ht="15.75" customHeight="1">
      <c r="C908" s="1"/>
    </row>
    <row r="909" ht="15.75" customHeight="1">
      <c r="C909" s="1"/>
    </row>
    <row r="910" ht="15.75" customHeight="1">
      <c r="C910" s="1"/>
    </row>
    <row r="911" ht="15.75" customHeight="1">
      <c r="C911" s="1"/>
    </row>
    <row r="912" ht="15.75" customHeight="1">
      <c r="C912" s="1"/>
    </row>
    <row r="913" ht="15.75" customHeight="1">
      <c r="C913" s="1"/>
    </row>
    <row r="914" ht="15.75" customHeight="1">
      <c r="C914" s="1"/>
    </row>
    <row r="915" ht="15.75" customHeight="1">
      <c r="C915" s="1"/>
    </row>
    <row r="916" ht="15.75" customHeight="1">
      <c r="C916" s="1"/>
    </row>
    <row r="917" ht="15.75" customHeight="1">
      <c r="C917" s="1"/>
    </row>
    <row r="918" ht="15.75" customHeight="1">
      <c r="C918" s="1"/>
    </row>
    <row r="919" ht="15.75" customHeight="1">
      <c r="C919" s="1"/>
    </row>
    <row r="920" ht="15.75" customHeight="1">
      <c r="C920" s="1"/>
    </row>
    <row r="921" ht="15.75" customHeight="1">
      <c r="C921" s="1"/>
    </row>
    <row r="922" ht="15.75" customHeight="1">
      <c r="C922" s="1"/>
    </row>
    <row r="923" ht="15.75" customHeight="1">
      <c r="C923" s="1"/>
    </row>
    <row r="924" ht="15.75" customHeight="1">
      <c r="C924" s="1"/>
    </row>
    <row r="925" ht="15.75" customHeight="1">
      <c r="C925" s="1"/>
    </row>
    <row r="926" ht="15.75" customHeight="1">
      <c r="C926" s="1"/>
    </row>
    <row r="927" ht="15.75" customHeight="1">
      <c r="C927" s="1"/>
    </row>
    <row r="928" ht="15.75" customHeight="1">
      <c r="C928" s="1"/>
    </row>
    <row r="929" ht="15.75" customHeight="1">
      <c r="C929" s="1"/>
    </row>
    <row r="930" ht="15.75" customHeight="1">
      <c r="C930" s="1"/>
    </row>
    <row r="931" ht="15.75" customHeight="1">
      <c r="C931" s="1"/>
    </row>
    <row r="932" ht="15.75" customHeight="1">
      <c r="C932" s="1"/>
    </row>
    <row r="933" ht="15.75" customHeight="1">
      <c r="C933" s="1"/>
    </row>
    <row r="934" ht="15.75" customHeight="1">
      <c r="C934" s="1"/>
    </row>
    <row r="935" ht="15.75" customHeight="1">
      <c r="C935" s="1"/>
    </row>
    <row r="936" ht="15.75" customHeight="1">
      <c r="C936" s="1"/>
    </row>
    <row r="937" ht="15.75" customHeight="1">
      <c r="C937" s="1"/>
    </row>
    <row r="938" ht="15.75" customHeight="1">
      <c r="C938" s="1"/>
    </row>
    <row r="939" ht="15.75" customHeight="1">
      <c r="C939" s="1"/>
    </row>
    <row r="940" ht="15.75" customHeight="1">
      <c r="C940" s="1"/>
    </row>
    <row r="941" ht="15.75" customHeight="1">
      <c r="C941" s="1"/>
    </row>
    <row r="942" ht="15.75" customHeight="1">
      <c r="C942" s="1"/>
    </row>
    <row r="943" ht="15.75" customHeight="1">
      <c r="C943" s="1"/>
    </row>
    <row r="944" ht="15.75" customHeight="1">
      <c r="C944" s="1"/>
    </row>
    <row r="945" ht="15.75" customHeight="1">
      <c r="C945" s="1"/>
    </row>
    <row r="946" ht="15.75" customHeight="1">
      <c r="C946" s="1"/>
    </row>
    <row r="947" ht="15.75" customHeight="1">
      <c r="C947" s="1"/>
    </row>
    <row r="948" ht="15.75" customHeight="1">
      <c r="C948" s="1"/>
    </row>
    <row r="949" ht="15.75" customHeight="1">
      <c r="C949" s="1"/>
    </row>
    <row r="950" ht="15.75" customHeight="1">
      <c r="C950" s="1"/>
    </row>
    <row r="951" ht="15.75" customHeight="1">
      <c r="C951" s="1"/>
    </row>
    <row r="952" ht="15.75" customHeight="1">
      <c r="C952" s="1"/>
    </row>
    <row r="953" ht="15.75" customHeight="1">
      <c r="C953" s="1"/>
    </row>
    <row r="954" ht="15.75" customHeight="1">
      <c r="C954" s="1"/>
    </row>
    <row r="955" ht="15.75" customHeight="1">
      <c r="C955" s="1"/>
    </row>
    <row r="956" ht="15.75" customHeight="1">
      <c r="C956" s="1"/>
    </row>
    <row r="957" ht="15.75" customHeight="1">
      <c r="C957" s="1"/>
    </row>
    <row r="958" ht="15.75" customHeight="1">
      <c r="C958" s="1"/>
    </row>
    <row r="959" ht="15.75" customHeight="1">
      <c r="C959" s="1"/>
    </row>
    <row r="960" ht="15.75" customHeight="1">
      <c r="C960" s="1"/>
    </row>
    <row r="961" ht="15.75" customHeight="1">
      <c r="C961" s="1"/>
    </row>
    <row r="962" ht="15.75" customHeight="1">
      <c r="C962" s="1"/>
    </row>
    <row r="963" ht="15.75" customHeight="1">
      <c r="C963" s="1"/>
    </row>
    <row r="964" ht="15.75" customHeight="1">
      <c r="C964" s="1"/>
    </row>
    <row r="965" ht="15.75" customHeight="1">
      <c r="C965" s="1"/>
    </row>
    <row r="966" ht="15.75" customHeight="1">
      <c r="C966" s="1"/>
    </row>
    <row r="967" ht="15.75" customHeight="1">
      <c r="C967" s="1"/>
    </row>
    <row r="968" ht="15.75" customHeight="1">
      <c r="C968" s="1"/>
    </row>
    <row r="969" ht="15.75" customHeight="1">
      <c r="C969" s="1"/>
    </row>
    <row r="970" ht="15.75" customHeight="1">
      <c r="C970" s="1"/>
    </row>
    <row r="971" ht="15.75" customHeight="1">
      <c r="C971" s="1"/>
    </row>
    <row r="972" ht="15.75" customHeight="1">
      <c r="C972" s="1"/>
    </row>
    <row r="973" ht="15.75" customHeight="1">
      <c r="C973" s="1"/>
    </row>
    <row r="974" ht="15.75" customHeight="1">
      <c r="C974" s="1"/>
    </row>
    <row r="975" ht="15.75" customHeight="1">
      <c r="C975" s="1"/>
    </row>
    <row r="976" ht="15.75" customHeight="1">
      <c r="C976" s="1"/>
    </row>
    <row r="977" ht="15.75" customHeight="1">
      <c r="C977" s="1"/>
    </row>
    <row r="978" ht="15.75" customHeight="1">
      <c r="C978" s="1"/>
    </row>
    <row r="979" ht="15.75" customHeight="1">
      <c r="C979" s="1"/>
    </row>
    <row r="980" ht="15.75" customHeight="1">
      <c r="C980" s="1"/>
    </row>
    <row r="981" ht="15.75" customHeight="1">
      <c r="C981" s="1"/>
    </row>
    <row r="982" ht="15.75" customHeight="1">
      <c r="C982" s="1"/>
    </row>
    <row r="983" ht="15.75" customHeight="1">
      <c r="C983" s="1"/>
    </row>
    <row r="984" ht="15.75" customHeight="1">
      <c r="C984" s="1"/>
    </row>
    <row r="985" ht="15.75" customHeight="1">
      <c r="C985" s="1"/>
    </row>
    <row r="986" ht="15.75" customHeight="1">
      <c r="C986" s="1"/>
    </row>
    <row r="987" ht="15.75" customHeight="1">
      <c r="C987" s="1"/>
    </row>
    <row r="988" ht="15.75" customHeight="1">
      <c r="C988" s="1"/>
    </row>
    <row r="989" ht="15.75" customHeight="1">
      <c r="C989" s="1"/>
    </row>
    <row r="990" ht="15.75" customHeight="1">
      <c r="C990" s="1"/>
    </row>
    <row r="991" ht="15.75" customHeight="1">
      <c r="C991" s="1"/>
    </row>
    <row r="992" ht="15.75" customHeight="1">
      <c r="C992" s="1"/>
    </row>
    <row r="993" ht="15.75" customHeight="1">
      <c r="C993" s="1"/>
    </row>
    <row r="994" ht="15.75" customHeight="1">
      <c r="C994" s="1"/>
    </row>
    <row r="995" ht="15.75" customHeight="1">
      <c r="C995" s="1"/>
    </row>
    <row r="996" ht="15.75" customHeight="1">
      <c r="C996" s="1"/>
    </row>
    <row r="997" ht="15.75" customHeight="1">
      <c r="C997" s="1"/>
    </row>
    <row r="998" ht="15.75" customHeight="1">
      <c r="C998" s="1"/>
    </row>
    <row r="999" ht="15.75" customHeight="1">
      <c r="C999" s="1"/>
    </row>
    <row r="1000" ht="15.75" customHeight="1">
      <c r="C1000" s="1"/>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7.0" topLeftCell="H1" activePane="topRight" state="frozen"/>
      <selection activeCell="I2" sqref="I2" pane="topRight"/>
    </sheetView>
  </sheetViews>
  <sheetFormatPr customHeight="1" defaultColWidth="11.22" defaultRowHeight="15.0" outlineLevelRow="1"/>
  <cols>
    <col customWidth="1" min="1" max="2" width="6.89"/>
    <col customWidth="1" min="3" max="3" width="7.33"/>
    <col customWidth="1" min="4" max="4" width="10.11"/>
    <col customWidth="1" min="5" max="5" width="3.78"/>
    <col customWidth="1" min="6" max="6" width="11.33"/>
    <col customWidth="1" min="7" max="7" width="12.0"/>
    <col customWidth="1" min="8" max="8" width="1.89"/>
    <col customWidth="1" min="9" max="9" width="6.89"/>
    <col customWidth="1" min="10" max="10" width="9.67"/>
    <col customWidth="1" min="11" max="11" width="11.56"/>
    <col customWidth="1" min="12" max="12" width="9.78"/>
    <col customWidth="1" min="13" max="13" width="1.89"/>
    <col customWidth="1" min="14" max="14" width="6.89"/>
    <col customWidth="1" min="15" max="15" width="9.67"/>
    <col customWidth="1" min="16" max="16" width="5.0"/>
    <col customWidth="1" min="17" max="17" width="11.56"/>
    <col customWidth="1" min="18" max="18" width="4.67"/>
    <col customWidth="1" min="19" max="19" width="9.78"/>
    <col customWidth="1" min="20" max="20" width="1.89"/>
    <col customWidth="1" min="21" max="21" width="6.89"/>
    <col customWidth="1" min="22" max="22" width="9.67"/>
    <col customWidth="1" min="23" max="23" width="5.0"/>
    <col customWidth="1" min="24" max="24" width="11.56"/>
    <col customWidth="1" min="25" max="25" width="4.67"/>
    <col customWidth="1" min="26" max="26" width="9.78"/>
    <col customWidth="1" min="27" max="27" width="1.89"/>
    <col customWidth="1" min="28" max="28" width="6.89"/>
    <col customWidth="1" min="29" max="29" width="9.67"/>
    <col customWidth="1" min="30" max="30" width="5.0"/>
    <col customWidth="1" min="31" max="31" width="11.56"/>
    <col customWidth="1" min="32" max="32" width="4.67"/>
    <col customWidth="1" min="33" max="33" width="9.78"/>
    <col customWidth="1" min="34" max="34" width="1.89"/>
    <col customWidth="1" min="35" max="35" width="6.89"/>
    <col customWidth="1" min="36" max="36" width="9.67"/>
    <col customWidth="1" min="37" max="37" width="5.0"/>
    <col customWidth="1" min="38" max="38" width="11.56"/>
    <col customWidth="1" min="39" max="39" width="4.67"/>
    <col customWidth="1" min="40" max="40" width="9.78"/>
    <col customWidth="1" min="41" max="41" width="1.89"/>
    <col customWidth="1" min="42" max="42" width="6.89"/>
    <col customWidth="1" min="43" max="43" width="9.67"/>
    <col customWidth="1" min="44" max="44" width="5.0"/>
    <col customWidth="1" min="45" max="45" width="11.56"/>
    <col customWidth="1" min="46" max="46" width="4.67"/>
    <col customWidth="1" min="47" max="47" width="9.78"/>
    <col customWidth="1" min="48" max="48" width="1.89"/>
    <col customWidth="1" min="49" max="49" width="6.89"/>
    <col customWidth="1" min="50" max="50" width="9.67"/>
    <col customWidth="1" min="51" max="51" width="5.0"/>
    <col customWidth="1" min="52" max="52" width="11.56"/>
    <col customWidth="1" min="53" max="53" width="4.67"/>
    <col customWidth="1" min="54" max="54" width="9.78"/>
    <col customWidth="1" min="55" max="55" width="1.89"/>
    <col customWidth="1" min="56" max="56" width="6.89"/>
    <col customWidth="1" min="57" max="57" width="9.67"/>
    <col customWidth="1" min="58" max="58" width="5.0"/>
    <col customWidth="1" min="59" max="59" width="11.56"/>
    <col customWidth="1" min="60" max="60" width="4.67"/>
    <col customWidth="1" min="61" max="61" width="9.78"/>
    <col customWidth="1" min="62" max="62" width="6.44"/>
    <col customWidth="1" min="63" max="63" width="6.89"/>
    <col customWidth="1" min="64" max="64" width="9.67"/>
    <col customWidth="1" min="65" max="65" width="5.0"/>
    <col customWidth="1" min="66" max="66" width="11.56"/>
    <col customWidth="1" min="67" max="67" width="4.67"/>
    <col customWidth="1" min="68" max="68" width="9.78"/>
    <col customWidth="1" min="69" max="70" width="6.89"/>
    <col customWidth="1" min="71" max="71" width="9.67"/>
    <col customWidth="1" min="72" max="72" width="5.0"/>
    <col customWidth="1" min="73" max="73" width="11.56"/>
    <col customWidth="1" min="74" max="74" width="4.67"/>
    <col customWidth="1" min="75" max="75" width="9.78"/>
    <col customWidth="1" min="76" max="77" width="6.89"/>
    <col customWidth="1" min="78" max="78" width="9.67"/>
    <col customWidth="1" min="79" max="79" width="5.0"/>
    <col customWidth="1" min="80" max="80" width="11.56"/>
    <col customWidth="1" min="81" max="81" width="4.67"/>
    <col customWidth="1" min="82" max="82" width="9.78"/>
    <col customWidth="1" min="83" max="84" width="6.89"/>
    <col customWidth="1" min="85" max="85" width="9.67"/>
    <col customWidth="1" min="86" max="86" width="5.0"/>
    <col customWidth="1" min="87" max="87" width="11.56"/>
    <col customWidth="1" min="88" max="88" width="4.67"/>
    <col customWidth="1" min="89" max="89" width="9.78"/>
    <col customWidth="1" min="90" max="91" width="6.89"/>
    <col customWidth="1" min="92" max="92" width="9.67"/>
    <col customWidth="1" min="93" max="93" width="5.0"/>
    <col customWidth="1" min="94" max="94" width="11.56"/>
    <col customWidth="1" min="95" max="95" width="4.67"/>
    <col customWidth="1" min="96" max="96" width="9.78"/>
    <col customWidth="1" min="97" max="98" width="6.89"/>
    <col customWidth="1" min="99" max="99" width="9.67"/>
    <col customWidth="1" min="100" max="100" width="5.0"/>
    <col customWidth="1" min="101" max="101" width="11.56"/>
    <col customWidth="1" min="102" max="102" width="4.67"/>
    <col customWidth="1" min="103" max="103" width="9.78"/>
    <col customWidth="1" min="104" max="105" width="6.89"/>
    <col customWidth="1" min="106" max="106" width="9.67"/>
    <col customWidth="1" min="107" max="107" width="5.0"/>
    <col customWidth="1" min="108" max="108" width="11.56"/>
    <col customWidth="1" min="109" max="109" width="4.67"/>
    <col customWidth="1" min="110" max="110" width="9.78"/>
    <col customWidth="1" min="111" max="112" width="6.89"/>
    <col customWidth="1" min="113" max="113" width="9.67"/>
    <col customWidth="1" min="114" max="114" width="5.0"/>
    <col customWidth="1" min="115" max="115" width="11.56"/>
    <col customWidth="1" min="116" max="116" width="4.67"/>
    <col customWidth="1" min="117" max="117" width="9.78"/>
    <col customWidth="1" min="118" max="119" width="6.89"/>
    <col customWidth="1" min="120" max="120" width="9.67"/>
    <col customWidth="1" min="121" max="121" width="5.0"/>
    <col customWidth="1" min="122" max="122" width="11.56"/>
    <col customWidth="1" min="123" max="123" width="4.67"/>
    <col customWidth="1" min="124" max="124" width="9.78"/>
    <col customWidth="1" min="125" max="126" width="6.89"/>
    <col customWidth="1" min="127" max="127" width="9.67"/>
    <col customWidth="1" min="128" max="128" width="5.0"/>
    <col customWidth="1" min="129" max="129" width="11.56"/>
    <col customWidth="1" min="130" max="130" width="4.67"/>
    <col customWidth="1" min="131" max="131" width="9.78"/>
  </cols>
  <sheetData>
    <row r="1" ht="15.75" customHeight="1">
      <c r="B1" s="5" t="s">
        <v>15</v>
      </c>
      <c r="D1" s="5"/>
      <c r="G1" s="6" t="s">
        <v>16</v>
      </c>
      <c r="I1" s="6" t="s">
        <v>16</v>
      </c>
      <c r="J1" s="6" t="s">
        <v>16</v>
      </c>
      <c r="K1" s="6" t="s">
        <v>16</v>
      </c>
    </row>
    <row r="2" ht="15.75" customHeight="1">
      <c r="I2" s="7" t="s">
        <v>17</v>
      </c>
      <c r="J2" s="8"/>
      <c r="K2" s="8"/>
      <c r="L2" s="9"/>
      <c r="N2" s="7" t="s">
        <v>18</v>
      </c>
      <c r="O2" s="8"/>
      <c r="P2" s="8"/>
      <c r="Q2" s="8"/>
      <c r="R2" s="8"/>
      <c r="S2" s="9"/>
      <c r="U2" s="7" t="s">
        <v>19</v>
      </c>
      <c r="V2" s="8"/>
      <c r="W2" s="8"/>
      <c r="X2" s="8"/>
      <c r="Y2" s="8"/>
      <c r="Z2" s="9"/>
      <c r="AB2" s="7" t="s">
        <v>20</v>
      </c>
      <c r="AC2" s="8"/>
      <c r="AD2" s="8"/>
      <c r="AE2" s="8"/>
      <c r="AF2" s="8"/>
      <c r="AG2" s="9"/>
      <c r="AI2" s="7" t="s">
        <v>21</v>
      </c>
      <c r="AJ2" s="8"/>
      <c r="AK2" s="8"/>
      <c r="AL2" s="8"/>
      <c r="AM2" s="8"/>
      <c r="AN2" s="9"/>
      <c r="AP2" s="7" t="s">
        <v>22</v>
      </c>
      <c r="AQ2" s="8"/>
      <c r="AR2" s="8"/>
      <c r="AS2" s="8"/>
      <c r="AT2" s="8"/>
      <c r="AU2" s="9"/>
      <c r="AW2" s="7" t="s">
        <v>23</v>
      </c>
      <c r="AX2" s="8"/>
      <c r="AY2" s="8"/>
      <c r="AZ2" s="8"/>
      <c r="BA2" s="8"/>
      <c r="BB2" s="9"/>
      <c r="BD2" s="7" t="s">
        <v>24</v>
      </c>
      <c r="BE2" s="8"/>
      <c r="BF2" s="8"/>
      <c r="BG2" s="8"/>
      <c r="BH2" s="8"/>
      <c r="BI2" s="9"/>
      <c r="BK2" s="7" t="s">
        <v>25</v>
      </c>
      <c r="BL2" s="8"/>
      <c r="BM2" s="8"/>
      <c r="BN2" s="8"/>
      <c r="BO2" s="8"/>
      <c r="BP2" s="9"/>
      <c r="BR2" s="7" t="s">
        <v>26</v>
      </c>
      <c r="BS2" s="8"/>
      <c r="BT2" s="8"/>
      <c r="BU2" s="8"/>
      <c r="BV2" s="8"/>
      <c r="BW2" s="9"/>
      <c r="BY2" s="7" t="s">
        <v>27</v>
      </c>
      <c r="BZ2" s="8"/>
      <c r="CA2" s="8"/>
      <c r="CB2" s="8"/>
      <c r="CC2" s="8"/>
      <c r="CD2" s="9"/>
      <c r="CF2" s="7" t="s">
        <v>28</v>
      </c>
      <c r="CG2" s="8"/>
      <c r="CH2" s="8"/>
      <c r="CI2" s="8"/>
      <c r="CJ2" s="8"/>
      <c r="CK2" s="9"/>
      <c r="CM2" s="7" t="s">
        <v>29</v>
      </c>
      <c r="CN2" s="8"/>
      <c r="CO2" s="8"/>
      <c r="CP2" s="8"/>
      <c r="CQ2" s="8"/>
      <c r="CR2" s="9"/>
      <c r="CT2" s="7" t="s">
        <v>30</v>
      </c>
      <c r="CU2" s="8"/>
      <c r="CV2" s="8"/>
      <c r="CW2" s="8"/>
      <c r="CX2" s="8"/>
      <c r="CY2" s="9"/>
      <c r="DA2" s="7" t="s">
        <v>31</v>
      </c>
      <c r="DB2" s="8"/>
      <c r="DC2" s="8"/>
      <c r="DD2" s="8"/>
      <c r="DE2" s="8"/>
      <c r="DF2" s="9"/>
      <c r="DH2" s="7" t="s">
        <v>32</v>
      </c>
      <c r="DI2" s="8"/>
      <c r="DJ2" s="8"/>
      <c r="DK2" s="8"/>
      <c r="DL2" s="8"/>
      <c r="DM2" s="9"/>
      <c r="DO2" s="7" t="s">
        <v>33</v>
      </c>
      <c r="DP2" s="8"/>
      <c r="DQ2" s="8"/>
      <c r="DR2" s="8"/>
      <c r="DS2" s="8"/>
      <c r="DT2" s="9"/>
      <c r="DV2" s="7" t="s">
        <v>34</v>
      </c>
      <c r="DW2" s="8"/>
      <c r="DX2" s="8"/>
      <c r="DY2" s="8"/>
      <c r="DZ2" s="8"/>
      <c r="EA2" s="9"/>
    </row>
    <row r="3" ht="15.75" customHeight="1">
      <c r="B3" s="10" t="s">
        <v>35</v>
      </c>
      <c r="C3" s="10" t="s">
        <v>36</v>
      </c>
      <c r="D3" s="10" t="s">
        <v>37</v>
      </c>
      <c r="E3" s="11" t="s">
        <v>38</v>
      </c>
      <c r="F3" s="10" t="s">
        <v>39</v>
      </c>
      <c r="G3" s="10" t="s">
        <v>40</v>
      </c>
      <c r="I3" s="11" t="s">
        <v>41</v>
      </c>
      <c r="J3" s="11" t="s">
        <v>42</v>
      </c>
      <c r="K3" s="11" t="s">
        <v>43</v>
      </c>
      <c r="L3" s="11" t="s">
        <v>44</v>
      </c>
      <c r="N3" s="10" t="s">
        <v>41</v>
      </c>
      <c r="O3" s="10" t="s">
        <v>42</v>
      </c>
      <c r="P3" s="10" t="s">
        <v>45</v>
      </c>
      <c r="Q3" s="10" t="s">
        <v>43</v>
      </c>
      <c r="R3" s="10" t="s">
        <v>45</v>
      </c>
      <c r="S3" s="10" t="s">
        <v>44</v>
      </c>
      <c r="U3" s="10" t="s">
        <v>41</v>
      </c>
      <c r="V3" s="10" t="s">
        <v>42</v>
      </c>
      <c r="W3" s="10" t="s">
        <v>45</v>
      </c>
      <c r="X3" s="10" t="s">
        <v>43</v>
      </c>
      <c r="Y3" s="10" t="s">
        <v>45</v>
      </c>
      <c r="Z3" s="10" t="s">
        <v>44</v>
      </c>
      <c r="AB3" s="10" t="s">
        <v>41</v>
      </c>
      <c r="AC3" s="10" t="s">
        <v>42</v>
      </c>
      <c r="AD3" s="10" t="s">
        <v>45</v>
      </c>
      <c r="AE3" s="10" t="s">
        <v>43</v>
      </c>
      <c r="AF3" s="10" t="s">
        <v>45</v>
      </c>
      <c r="AG3" s="10" t="s">
        <v>44</v>
      </c>
      <c r="AI3" s="10" t="s">
        <v>41</v>
      </c>
      <c r="AJ3" s="10" t="s">
        <v>42</v>
      </c>
      <c r="AK3" s="10" t="s">
        <v>45</v>
      </c>
      <c r="AL3" s="10" t="s">
        <v>43</v>
      </c>
      <c r="AM3" s="10" t="s">
        <v>45</v>
      </c>
      <c r="AN3" s="10" t="s">
        <v>44</v>
      </c>
      <c r="AP3" s="10" t="s">
        <v>41</v>
      </c>
      <c r="AQ3" s="10" t="s">
        <v>42</v>
      </c>
      <c r="AR3" s="10" t="s">
        <v>45</v>
      </c>
      <c r="AS3" s="10" t="s">
        <v>43</v>
      </c>
      <c r="AT3" s="10" t="s">
        <v>45</v>
      </c>
      <c r="AU3" s="10" t="s">
        <v>44</v>
      </c>
      <c r="AW3" s="10" t="s">
        <v>41</v>
      </c>
      <c r="AX3" s="10" t="s">
        <v>42</v>
      </c>
      <c r="AY3" s="10" t="s">
        <v>45</v>
      </c>
      <c r="AZ3" s="10" t="s">
        <v>43</v>
      </c>
      <c r="BA3" s="10" t="s">
        <v>45</v>
      </c>
      <c r="BB3" s="10" t="s">
        <v>44</v>
      </c>
      <c r="BD3" s="10" t="s">
        <v>41</v>
      </c>
      <c r="BE3" s="10" t="s">
        <v>42</v>
      </c>
      <c r="BF3" s="10" t="s">
        <v>45</v>
      </c>
      <c r="BG3" s="10" t="s">
        <v>43</v>
      </c>
      <c r="BH3" s="10" t="s">
        <v>45</v>
      </c>
      <c r="BI3" s="10" t="s">
        <v>44</v>
      </c>
      <c r="BK3" s="10" t="s">
        <v>41</v>
      </c>
      <c r="BL3" s="10" t="s">
        <v>42</v>
      </c>
      <c r="BM3" s="10" t="s">
        <v>45</v>
      </c>
      <c r="BN3" s="10" t="s">
        <v>43</v>
      </c>
      <c r="BO3" s="10" t="s">
        <v>45</v>
      </c>
      <c r="BP3" s="10" t="s">
        <v>44</v>
      </c>
      <c r="BR3" s="10" t="s">
        <v>41</v>
      </c>
      <c r="BS3" s="10" t="s">
        <v>42</v>
      </c>
      <c r="BT3" s="10" t="s">
        <v>45</v>
      </c>
      <c r="BU3" s="10" t="s">
        <v>43</v>
      </c>
      <c r="BV3" s="10" t="s">
        <v>45</v>
      </c>
      <c r="BW3" s="10" t="s">
        <v>44</v>
      </c>
      <c r="BY3" s="10" t="s">
        <v>41</v>
      </c>
      <c r="BZ3" s="10" t="s">
        <v>42</v>
      </c>
      <c r="CA3" s="10" t="s">
        <v>45</v>
      </c>
      <c r="CB3" s="10" t="s">
        <v>43</v>
      </c>
      <c r="CC3" s="10" t="s">
        <v>45</v>
      </c>
      <c r="CD3" s="10" t="s">
        <v>44</v>
      </c>
      <c r="CF3" s="10" t="s">
        <v>41</v>
      </c>
      <c r="CG3" s="10" t="s">
        <v>42</v>
      </c>
      <c r="CH3" s="10" t="s">
        <v>45</v>
      </c>
      <c r="CI3" s="10" t="s">
        <v>43</v>
      </c>
      <c r="CJ3" s="10" t="s">
        <v>45</v>
      </c>
      <c r="CK3" s="10" t="s">
        <v>44</v>
      </c>
      <c r="CM3" s="10" t="s">
        <v>41</v>
      </c>
      <c r="CN3" s="10" t="s">
        <v>42</v>
      </c>
      <c r="CO3" s="10" t="s">
        <v>45</v>
      </c>
      <c r="CP3" s="10" t="s">
        <v>43</v>
      </c>
      <c r="CQ3" s="10" t="s">
        <v>45</v>
      </c>
      <c r="CR3" s="10" t="s">
        <v>44</v>
      </c>
      <c r="CT3" s="10" t="s">
        <v>41</v>
      </c>
      <c r="CU3" s="10" t="s">
        <v>42</v>
      </c>
      <c r="CV3" s="10" t="s">
        <v>45</v>
      </c>
      <c r="CW3" s="10" t="s">
        <v>43</v>
      </c>
      <c r="CX3" s="10" t="s">
        <v>45</v>
      </c>
      <c r="CY3" s="10" t="s">
        <v>44</v>
      </c>
      <c r="DA3" s="10" t="s">
        <v>41</v>
      </c>
      <c r="DB3" s="10" t="s">
        <v>42</v>
      </c>
      <c r="DC3" s="10" t="s">
        <v>45</v>
      </c>
      <c r="DD3" s="10" t="s">
        <v>43</v>
      </c>
      <c r="DE3" s="10" t="s">
        <v>45</v>
      </c>
      <c r="DF3" s="10" t="s">
        <v>44</v>
      </c>
      <c r="DH3" s="10" t="s">
        <v>41</v>
      </c>
      <c r="DI3" s="10" t="s">
        <v>42</v>
      </c>
      <c r="DJ3" s="10" t="s">
        <v>45</v>
      </c>
      <c r="DK3" s="10" t="s">
        <v>43</v>
      </c>
      <c r="DL3" s="10" t="s">
        <v>45</v>
      </c>
      <c r="DM3" s="10" t="s">
        <v>44</v>
      </c>
      <c r="DO3" s="10" t="s">
        <v>41</v>
      </c>
      <c r="DP3" s="10" t="s">
        <v>42</v>
      </c>
      <c r="DQ3" s="10" t="s">
        <v>45</v>
      </c>
      <c r="DR3" s="10" t="s">
        <v>43</v>
      </c>
      <c r="DS3" s="10" t="s">
        <v>45</v>
      </c>
      <c r="DT3" s="10" t="s">
        <v>44</v>
      </c>
      <c r="DV3" s="10" t="s">
        <v>41</v>
      </c>
      <c r="DW3" s="10" t="s">
        <v>42</v>
      </c>
      <c r="DX3" s="10" t="s">
        <v>45</v>
      </c>
      <c r="DY3" s="10" t="s">
        <v>43</v>
      </c>
      <c r="DZ3" s="10" t="s">
        <v>45</v>
      </c>
      <c r="EA3" s="10" t="s">
        <v>44</v>
      </c>
    </row>
    <row r="4" ht="15.75" customHeight="1">
      <c r="B4" s="12" t="s">
        <v>17</v>
      </c>
      <c r="C4" s="12" t="s">
        <v>46</v>
      </c>
      <c r="E4" s="13">
        <v>5.0</v>
      </c>
      <c r="G4" s="14">
        <f>+SUM(G5:G16)</f>
        <v>1</v>
      </c>
      <c r="I4" s="15">
        <f>+SUM(I5:I16)</f>
        <v>72</v>
      </c>
      <c r="J4" s="16">
        <f>+SUMPRODUCT(G5:G16,J5:J16)</f>
        <v>0.175</v>
      </c>
      <c r="K4" s="16">
        <f>+SUMPRODUCT(G5:G16,K5:K16)</f>
        <v>0.175</v>
      </c>
      <c r="L4" s="13"/>
      <c r="N4" s="15">
        <v>8.0</v>
      </c>
      <c r="U4" s="15">
        <v>8.0</v>
      </c>
      <c r="AB4" s="15">
        <v>8.0</v>
      </c>
      <c r="AI4" s="15">
        <v>8.0</v>
      </c>
      <c r="AP4" s="15">
        <v>8.0</v>
      </c>
      <c r="AW4" s="15">
        <v>8.0</v>
      </c>
      <c r="BD4" s="15">
        <v>8.0</v>
      </c>
      <c r="BK4" s="15">
        <v>8.0</v>
      </c>
      <c r="BR4" s="15">
        <v>8.0</v>
      </c>
      <c r="BY4" s="15">
        <v>8.0</v>
      </c>
      <c r="CF4" s="15">
        <v>8.0</v>
      </c>
      <c r="CM4" s="15">
        <f>+SUM(CM5:CM16)</f>
        <v>6</v>
      </c>
      <c r="CT4" s="15"/>
      <c r="DA4" s="15"/>
      <c r="DH4" s="15"/>
      <c r="DO4" s="15"/>
      <c r="DV4" s="17" t="s">
        <v>47</v>
      </c>
      <c r="DW4" s="18"/>
      <c r="DX4" s="18"/>
      <c r="DY4" s="18"/>
      <c r="DZ4" s="18"/>
      <c r="EA4" s="19"/>
    </row>
    <row r="5" ht="15.75" customHeight="1" outlineLevel="1">
      <c r="B5" s="12" t="s">
        <v>48</v>
      </c>
      <c r="C5" s="12" t="s">
        <v>46</v>
      </c>
      <c r="E5" s="13"/>
      <c r="F5" s="12" t="s">
        <v>49</v>
      </c>
      <c r="G5" s="14">
        <v>0.05</v>
      </c>
      <c r="I5" s="13">
        <f t="shared" ref="I5:I16" si="1">+SUMIF($N$3:$ZZ$3,I$3,$N5:$ZZ5)</f>
        <v>6</v>
      </c>
      <c r="J5" s="16">
        <f t="array" ref="J5">MAX(IF($N$3:$EH$3=$J$3,N5:EH5))</f>
        <v>0.5</v>
      </c>
      <c r="K5" s="16">
        <f t="array" ref="K5">MAX(IF($N$3:$EH$3=$J$3,N5:EH5))</f>
        <v>0.5</v>
      </c>
      <c r="L5" s="13"/>
      <c r="N5" s="12">
        <v>2.0</v>
      </c>
      <c r="O5" s="14">
        <v>0.5</v>
      </c>
      <c r="P5" s="14">
        <v>0.5</v>
      </c>
      <c r="Q5" s="14">
        <v>0.5</v>
      </c>
      <c r="R5" s="14">
        <v>0.5</v>
      </c>
      <c r="V5" s="20">
        <v>0.5</v>
      </c>
      <c r="W5" s="14">
        <v>0.5</v>
      </c>
      <c r="X5" s="20">
        <v>0.5</v>
      </c>
      <c r="Y5" s="14">
        <v>0.5</v>
      </c>
      <c r="AB5" s="12">
        <v>2.0</v>
      </c>
      <c r="AC5" s="20">
        <v>0.5</v>
      </c>
      <c r="AD5" s="14">
        <v>0.8</v>
      </c>
      <c r="AE5" s="20">
        <v>0.5</v>
      </c>
      <c r="AF5" s="14">
        <v>0.8</v>
      </c>
      <c r="AJ5" s="20">
        <v>0.5</v>
      </c>
      <c r="AK5" s="14">
        <v>0.8</v>
      </c>
      <c r="AL5" s="14"/>
      <c r="AM5" s="14">
        <v>0.8</v>
      </c>
      <c r="AQ5" s="20">
        <v>0.5</v>
      </c>
      <c r="AR5" s="14">
        <v>0.8</v>
      </c>
      <c r="AS5" s="20">
        <v>0.5</v>
      </c>
      <c r="AT5" s="14">
        <v>0.8</v>
      </c>
      <c r="AX5" s="14"/>
      <c r="AY5" s="14">
        <v>0.8</v>
      </c>
      <c r="AZ5" s="14"/>
      <c r="BA5" s="14">
        <v>0.8</v>
      </c>
      <c r="BD5" s="12">
        <v>2.0</v>
      </c>
      <c r="BE5" s="14"/>
      <c r="BF5" s="14">
        <v>1.0</v>
      </c>
      <c r="BG5" s="14"/>
      <c r="BH5" s="14">
        <v>1.0</v>
      </c>
      <c r="BL5" s="14"/>
      <c r="BM5" s="14">
        <v>1.0</v>
      </c>
      <c r="BN5" s="14"/>
      <c r="BO5" s="14">
        <v>1.0</v>
      </c>
      <c r="BS5" s="14"/>
      <c r="BT5" s="14">
        <v>1.0</v>
      </c>
      <c r="BU5" s="14"/>
      <c r="BV5" s="14">
        <v>1.0</v>
      </c>
      <c r="BZ5" s="14"/>
      <c r="CA5" s="14">
        <v>1.0</v>
      </c>
      <c r="CB5" s="14"/>
      <c r="CC5" s="14">
        <v>1.0</v>
      </c>
      <c r="CG5" s="14"/>
      <c r="CH5" s="14">
        <v>1.0</v>
      </c>
      <c r="CI5" s="14"/>
      <c r="CJ5" s="14">
        <v>1.0</v>
      </c>
      <c r="CN5" s="14"/>
      <c r="CO5" s="14">
        <v>1.0</v>
      </c>
      <c r="CP5" s="14"/>
      <c r="CQ5" s="14">
        <v>1.0</v>
      </c>
      <c r="CU5" s="14"/>
      <c r="CV5" s="14"/>
      <c r="CW5" s="14"/>
      <c r="CX5" s="14"/>
      <c r="DB5" s="14"/>
      <c r="DC5" s="14"/>
      <c r="DD5" s="14"/>
      <c r="DE5" s="14"/>
      <c r="DI5" s="14"/>
      <c r="DJ5" s="14"/>
      <c r="DK5" s="14"/>
      <c r="DL5" s="14"/>
      <c r="DP5" s="14"/>
      <c r="DQ5" s="14"/>
      <c r="DR5" s="14"/>
      <c r="DS5" s="14"/>
      <c r="DV5" s="21"/>
      <c r="EA5" s="22"/>
    </row>
    <row r="6" ht="15.75" customHeight="1" outlineLevel="1">
      <c r="B6" s="12" t="s">
        <v>48</v>
      </c>
      <c r="C6" s="12" t="s">
        <v>46</v>
      </c>
      <c r="E6" s="13"/>
      <c r="F6" s="12" t="s">
        <v>50</v>
      </c>
      <c r="G6" s="14">
        <v>0.05</v>
      </c>
      <c r="I6" s="13">
        <f t="shared" si="1"/>
        <v>6</v>
      </c>
      <c r="J6" s="16">
        <f t="array" ref="J6">MAX(IF($N$3:$EH$3=$J$3,N6:EH6))</f>
        <v>0.5</v>
      </c>
      <c r="K6" s="16">
        <f t="array" ref="K6">MAX(IF($N$3:$EH$3=$J$3,N6:EH6))</f>
        <v>0.5</v>
      </c>
      <c r="L6" s="13"/>
      <c r="N6" s="12">
        <v>2.0</v>
      </c>
      <c r="O6" s="14">
        <v>0.5</v>
      </c>
      <c r="P6" s="14">
        <v>0.5</v>
      </c>
      <c r="Q6" s="14">
        <v>0.5</v>
      </c>
      <c r="R6" s="14">
        <v>0.5</v>
      </c>
      <c r="V6" s="20">
        <v>0.5</v>
      </c>
      <c r="W6" s="14">
        <v>0.5</v>
      </c>
      <c r="X6" s="20">
        <v>0.5</v>
      </c>
      <c r="Y6" s="14">
        <v>0.5</v>
      </c>
      <c r="AC6" s="20">
        <v>0.5</v>
      </c>
      <c r="AD6" s="14">
        <v>0.5</v>
      </c>
      <c r="AE6" s="20">
        <v>0.5</v>
      </c>
      <c r="AF6" s="14">
        <v>0.5</v>
      </c>
      <c r="AI6" s="12">
        <v>2.0</v>
      </c>
      <c r="AJ6" s="20">
        <v>0.5</v>
      </c>
      <c r="AK6" s="14">
        <v>0.8</v>
      </c>
      <c r="AL6" s="14"/>
      <c r="AM6" s="14">
        <v>0.8</v>
      </c>
      <c r="AQ6" s="20">
        <v>0.5</v>
      </c>
      <c r="AR6" s="14">
        <v>0.8</v>
      </c>
      <c r="AS6" s="20">
        <v>0.5</v>
      </c>
      <c r="AT6" s="14">
        <v>0.8</v>
      </c>
      <c r="AX6" s="14"/>
      <c r="AY6" s="14">
        <v>0.8</v>
      </c>
      <c r="AZ6" s="14"/>
      <c r="BA6" s="14">
        <v>0.8</v>
      </c>
      <c r="BE6" s="14"/>
      <c r="BF6" s="14">
        <v>0.8</v>
      </c>
      <c r="BG6" s="14"/>
      <c r="BH6" s="14">
        <v>0.8</v>
      </c>
      <c r="BK6" s="12">
        <v>2.0</v>
      </c>
      <c r="BL6" s="14"/>
      <c r="BM6" s="14">
        <v>1.0</v>
      </c>
      <c r="BN6" s="14"/>
      <c r="BO6" s="14">
        <v>1.0</v>
      </c>
      <c r="BS6" s="14"/>
      <c r="BT6" s="14">
        <v>1.0</v>
      </c>
      <c r="BU6" s="14"/>
      <c r="BV6" s="14">
        <v>1.0</v>
      </c>
      <c r="BZ6" s="14"/>
      <c r="CA6" s="14">
        <v>1.0</v>
      </c>
      <c r="CB6" s="14"/>
      <c r="CC6" s="14">
        <v>1.0</v>
      </c>
      <c r="CG6" s="14"/>
      <c r="CH6" s="14">
        <v>1.0</v>
      </c>
      <c r="CI6" s="14"/>
      <c r="CJ6" s="14">
        <v>1.0</v>
      </c>
      <c r="CN6" s="14"/>
      <c r="CO6" s="14">
        <v>1.0</v>
      </c>
      <c r="CP6" s="14"/>
      <c r="CQ6" s="14">
        <v>1.0</v>
      </c>
      <c r="CU6" s="14"/>
      <c r="CV6" s="14"/>
      <c r="CW6" s="14"/>
      <c r="CX6" s="14"/>
      <c r="DB6" s="14"/>
      <c r="DC6" s="14"/>
      <c r="DD6" s="14"/>
      <c r="DE6" s="14"/>
      <c r="DI6" s="14"/>
      <c r="DJ6" s="14"/>
      <c r="DK6" s="14"/>
      <c r="DL6" s="14"/>
      <c r="DP6" s="14"/>
      <c r="DQ6" s="14"/>
      <c r="DR6" s="14"/>
      <c r="DS6" s="14"/>
      <c r="DV6" s="21"/>
      <c r="EA6" s="22"/>
    </row>
    <row r="7" ht="15.75" customHeight="1" outlineLevel="1">
      <c r="B7" s="12" t="s">
        <v>48</v>
      </c>
      <c r="C7" s="12" t="s">
        <v>46</v>
      </c>
      <c r="E7" s="13"/>
      <c r="F7" s="12" t="s">
        <v>51</v>
      </c>
      <c r="G7" s="14">
        <v>0.05</v>
      </c>
      <c r="I7" s="13">
        <f t="shared" si="1"/>
        <v>6</v>
      </c>
      <c r="J7" s="16">
        <f t="array" ref="J7">MAX(IF($N$3:$EH$3=$J$3,N7:EH7))</f>
        <v>0.5</v>
      </c>
      <c r="K7" s="16">
        <f t="array" ref="K7">MAX(IF($N$3:$EH$3=$J$3,N7:EH7))</f>
        <v>0.5</v>
      </c>
      <c r="L7" s="13"/>
      <c r="N7" s="12">
        <v>2.0</v>
      </c>
      <c r="O7" s="14"/>
      <c r="P7" s="14">
        <v>0.5</v>
      </c>
      <c r="Q7" s="14"/>
      <c r="R7" s="14">
        <v>0.5</v>
      </c>
      <c r="V7" s="20">
        <v>0.5</v>
      </c>
      <c r="W7" s="14">
        <v>0.5</v>
      </c>
      <c r="X7" s="20">
        <v>0.5</v>
      </c>
      <c r="Y7" s="14">
        <v>0.5</v>
      </c>
      <c r="AC7" s="20">
        <v>0.5</v>
      </c>
      <c r="AD7" s="14">
        <v>0.5</v>
      </c>
      <c r="AE7" s="20">
        <v>0.5</v>
      </c>
      <c r="AF7" s="14">
        <v>0.5</v>
      </c>
      <c r="AI7" s="12">
        <v>2.0</v>
      </c>
      <c r="AJ7" s="20">
        <v>0.5</v>
      </c>
      <c r="AK7" s="14">
        <v>0.8</v>
      </c>
      <c r="AL7" s="14"/>
      <c r="AM7" s="14">
        <v>0.8</v>
      </c>
      <c r="AQ7" s="20">
        <v>0.5</v>
      </c>
      <c r="AR7" s="14">
        <v>0.8</v>
      </c>
      <c r="AS7" s="20">
        <v>0.5</v>
      </c>
      <c r="AT7" s="14">
        <v>0.8</v>
      </c>
      <c r="AX7" s="14"/>
      <c r="AY7" s="14">
        <v>0.8</v>
      </c>
      <c r="AZ7" s="14"/>
      <c r="BA7" s="14">
        <v>0.8</v>
      </c>
      <c r="BE7" s="14"/>
      <c r="BF7" s="14">
        <v>0.8</v>
      </c>
      <c r="BG7" s="14"/>
      <c r="BH7" s="14">
        <v>0.8</v>
      </c>
      <c r="BK7" s="12">
        <v>2.0</v>
      </c>
      <c r="BL7" s="14"/>
      <c r="BM7" s="14">
        <v>1.0</v>
      </c>
      <c r="BN7" s="14"/>
      <c r="BO7" s="14">
        <v>1.0</v>
      </c>
      <c r="BS7" s="14"/>
      <c r="BT7" s="14">
        <v>1.0</v>
      </c>
      <c r="BU7" s="14"/>
      <c r="BV7" s="14">
        <v>1.0</v>
      </c>
      <c r="BZ7" s="14"/>
      <c r="CA7" s="14">
        <v>1.0</v>
      </c>
      <c r="CB7" s="14"/>
      <c r="CC7" s="14">
        <v>1.0</v>
      </c>
      <c r="CG7" s="14"/>
      <c r="CH7" s="14">
        <v>1.0</v>
      </c>
      <c r="CI7" s="14"/>
      <c r="CJ7" s="14">
        <v>1.0</v>
      </c>
      <c r="CN7" s="14"/>
      <c r="CO7" s="14">
        <v>1.0</v>
      </c>
      <c r="CP7" s="14"/>
      <c r="CQ7" s="14">
        <v>1.0</v>
      </c>
      <c r="CU7" s="14"/>
      <c r="CV7" s="14"/>
      <c r="CW7" s="14"/>
      <c r="CX7" s="14"/>
      <c r="DB7" s="14"/>
      <c r="DC7" s="14"/>
      <c r="DD7" s="14"/>
      <c r="DE7" s="14"/>
      <c r="DI7" s="14"/>
      <c r="DJ7" s="14"/>
      <c r="DK7" s="14"/>
      <c r="DL7" s="14"/>
      <c r="DP7" s="14"/>
      <c r="DQ7" s="14"/>
      <c r="DR7" s="14"/>
      <c r="DS7" s="14"/>
      <c r="DV7" s="21"/>
      <c r="EA7" s="22"/>
    </row>
    <row r="8" ht="15.75" customHeight="1" outlineLevel="1">
      <c r="B8" s="12" t="s">
        <v>48</v>
      </c>
      <c r="C8" s="12" t="s">
        <v>46</v>
      </c>
      <c r="E8" s="13"/>
      <c r="F8" s="12" t="s">
        <v>52</v>
      </c>
      <c r="G8" s="14">
        <v>0.1</v>
      </c>
      <c r="I8" s="13">
        <f t="shared" si="1"/>
        <v>6</v>
      </c>
      <c r="J8" s="16">
        <f t="array" ref="J8">MAX(IF($N$3:$EH$3=$J$3,N8:EH8))</f>
        <v>0.5</v>
      </c>
      <c r="K8" s="16">
        <f t="array" ref="K8">MAX(IF($N$3:$EH$3=$J$3,N8:EH8))</f>
        <v>0.5</v>
      </c>
      <c r="L8" s="13"/>
      <c r="O8" s="14"/>
      <c r="P8" s="14"/>
      <c r="Q8" s="14"/>
      <c r="R8" s="14"/>
      <c r="U8" s="12">
        <v>2.0</v>
      </c>
      <c r="V8" s="20">
        <v>0.5</v>
      </c>
      <c r="W8" s="14">
        <v>0.5</v>
      </c>
      <c r="X8" s="20">
        <v>0.5</v>
      </c>
      <c r="Y8" s="14">
        <v>0.5</v>
      </c>
      <c r="AC8" s="20">
        <v>0.5</v>
      </c>
      <c r="AD8" s="14">
        <v>0.5</v>
      </c>
      <c r="AE8" s="20">
        <v>0.5</v>
      </c>
      <c r="AF8" s="14">
        <v>0.5</v>
      </c>
      <c r="AJ8" s="20">
        <v>0.5</v>
      </c>
      <c r="AK8" s="14">
        <v>0.5</v>
      </c>
      <c r="AL8" s="14"/>
      <c r="AM8" s="14">
        <v>0.5</v>
      </c>
      <c r="AP8" s="12">
        <v>2.0</v>
      </c>
      <c r="AQ8" s="20">
        <v>0.5</v>
      </c>
      <c r="AR8" s="14">
        <v>0.8</v>
      </c>
      <c r="AS8" s="20">
        <v>0.5</v>
      </c>
      <c r="AT8" s="14">
        <v>0.8</v>
      </c>
      <c r="AX8" s="14"/>
      <c r="AY8" s="14">
        <v>0.8</v>
      </c>
      <c r="AZ8" s="14"/>
      <c r="BA8" s="14">
        <v>0.8</v>
      </c>
      <c r="BE8" s="14"/>
      <c r="BF8" s="14">
        <v>0.8</v>
      </c>
      <c r="BG8" s="14"/>
      <c r="BH8" s="14">
        <v>0.8</v>
      </c>
      <c r="BL8" s="14"/>
      <c r="BM8" s="14">
        <v>0.8</v>
      </c>
      <c r="BN8" s="14"/>
      <c r="BO8" s="14">
        <v>0.8</v>
      </c>
      <c r="BR8" s="12">
        <v>2.0</v>
      </c>
      <c r="BS8" s="14"/>
      <c r="BT8" s="14">
        <v>1.0</v>
      </c>
      <c r="BU8" s="14"/>
      <c r="BV8" s="14">
        <v>1.0</v>
      </c>
      <c r="BZ8" s="14"/>
      <c r="CA8" s="14">
        <v>1.0</v>
      </c>
      <c r="CB8" s="14"/>
      <c r="CC8" s="14">
        <v>1.0</v>
      </c>
      <c r="CG8" s="14"/>
      <c r="CH8" s="14">
        <v>1.0</v>
      </c>
      <c r="CI8" s="14"/>
      <c r="CJ8" s="14">
        <v>1.0</v>
      </c>
      <c r="CN8" s="14"/>
      <c r="CO8" s="14">
        <v>1.0</v>
      </c>
      <c r="CP8" s="14"/>
      <c r="CQ8" s="14">
        <v>1.0</v>
      </c>
      <c r="CU8" s="14"/>
      <c r="CV8" s="14"/>
      <c r="CW8" s="14"/>
      <c r="CX8" s="14"/>
      <c r="DB8" s="14"/>
      <c r="DC8" s="14"/>
      <c r="DD8" s="14"/>
      <c r="DE8" s="14"/>
      <c r="DI8" s="14"/>
      <c r="DJ8" s="14"/>
      <c r="DK8" s="14"/>
      <c r="DL8" s="14"/>
      <c r="DP8" s="14"/>
      <c r="DQ8" s="14"/>
      <c r="DR8" s="14"/>
      <c r="DS8" s="14"/>
      <c r="DV8" s="21"/>
      <c r="EA8" s="22"/>
    </row>
    <row r="9" ht="15.75" customHeight="1" outlineLevel="1">
      <c r="B9" s="12" t="s">
        <v>48</v>
      </c>
      <c r="C9" s="12" t="s">
        <v>46</v>
      </c>
      <c r="E9" s="13"/>
      <c r="F9" s="12" t="s">
        <v>53</v>
      </c>
      <c r="G9" s="14">
        <v>0.1</v>
      </c>
      <c r="I9" s="13">
        <f t="shared" si="1"/>
        <v>6</v>
      </c>
      <c r="J9" s="16">
        <f t="array" ref="J9">MAX(IF($N$3:$EH$3=$J$3,N9:EH9))</f>
        <v>0.5</v>
      </c>
      <c r="K9" s="16">
        <f t="array" ref="K9">MAX(IF($N$3:$EH$3=$J$3,N9:EH9))</f>
        <v>0.5</v>
      </c>
      <c r="L9" s="13"/>
      <c r="O9" s="14"/>
      <c r="P9" s="14"/>
      <c r="Q9" s="14"/>
      <c r="R9" s="14"/>
      <c r="U9" s="12">
        <v>2.0</v>
      </c>
      <c r="V9" s="14"/>
      <c r="W9" s="14">
        <v>0.5</v>
      </c>
      <c r="X9" s="14"/>
      <c r="Y9" s="14">
        <v>0.5</v>
      </c>
      <c r="AC9" s="20">
        <v>0.5</v>
      </c>
      <c r="AD9" s="14">
        <v>0.5</v>
      </c>
      <c r="AE9" s="20">
        <v>0.5</v>
      </c>
      <c r="AF9" s="14">
        <v>0.5</v>
      </c>
      <c r="AJ9" s="20">
        <v>0.5</v>
      </c>
      <c r="AK9" s="14">
        <v>0.5</v>
      </c>
      <c r="AL9" s="14"/>
      <c r="AM9" s="14">
        <v>0.5</v>
      </c>
      <c r="AQ9" s="20">
        <v>0.5</v>
      </c>
      <c r="AR9" s="14">
        <v>0.5</v>
      </c>
      <c r="AS9" s="20">
        <v>0.5</v>
      </c>
      <c r="AT9" s="14">
        <v>0.8</v>
      </c>
      <c r="AW9" s="12">
        <v>2.0</v>
      </c>
      <c r="AX9" s="14"/>
      <c r="AY9" s="14">
        <v>0.8</v>
      </c>
      <c r="AZ9" s="14"/>
      <c r="BA9" s="14">
        <v>0.8</v>
      </c>
      <c r="BE9" s="14"/>
      <c r="BF9" s="14">
        <v>0.8</v>
      </c>
      <c r="BG9" s="14"/>
      <c r="BH9" s="14">
        <v>0.8</v>
      </c>
      <c r="BL9" s="14"/>
      <c r="BM9" s="14">
        <v>0.8</v>
      </c>
      <c r="BN9" s="14"/>
      <c r="BO9" s="14">
        <v>0.8</v>
      </c>
      <c r="BS9" s="14"/>
      <c r="BT9" s="14">
        <v>0.8</v>
      </c>
      <c r="BU9" s="14"/>
      <c r="BV9" s="14">
        <v>0.8</v>
      </c>
      <c r="BY9" s="12">
        <v>2.0</v>
      </c>
      <c r="BZ9" s="14"/>
      <c r="CA9" s="14">
        <v>1.0</v>
      </c>
      <c r="CB9" s="14"/>
      <c r="CC9" s="14">
        <v>1.0</v>
      </c>
      <c r="CG9" s="14"/>
      <c r="CH9" s="14">
        <v>1.0</v>
      </c>
      <c r="CI9" s="14"/>
      <c r="CJ9" s="14">
        <v>1.0</v>
      </c>
      <c r="CN9" s="14"/>
      <c r="CO9" s="14">
        <v>1.0</v>
      </c>
      <c r="CP9" s="14"/>
      <c r="CQ9" s="14">
        <v>1.0</v>
      </c>
      <c r="CU9" s="14"/>
      <c r="CV9" s="14"/>
      <c r="CW9" s="14"/>
      <c r="CX9" s="14"/>
      <c r="DB9" s="14"/>
      <c r="DC9" s="14"/>
      <c r="DD9" s="14"/>
      <c r="DE9" s="14"/>
      <c r="DI9" s="14"/>
      <c r="DJ9" s="14"/>
      <c r="DK9" s="14"/>
      <c r="DL9" s="14"/>
      <c r="DP9" s="14"/>
      <c r="DQ9" s="14"/>
      <c r="DR9" s="14"/>
      <c r="DS9" s="14"/>
      <c r="DV9" s="21"/>
      <c r="EA9" s="22"/>
    </row>
    <row r="10" ht="15.75" customHeight="1" outlineLevel="1">
      <c r="B10" s="12" t="s">
        <v>48</v>
      </c>
      <c r="C10" s="12" t="s">
        <v>46</v>
      </c>
      <c r="E10" s="13"/>
      <c r="F10" s="12" t="s">
        <v>54</v>
      </c>
      <c r="G10" s="14">
        <v>0.05</v>
      </c>
      <c r="I10" s="13">
        <f t="shared" si="1"/>
        <v>6</v>
      </c>
      <c r="J10" s="16">
        <f t="array" ref="J10">MAX(IF($N$3:$EH$3=$J$3,N10:EH10))</f>
        <v>0</v>
      </c>
      <c r="K10" s="16">
        <f t="array" ref="K10">MAX(IF($N$3:$EH$3=$J$3,N10:EH10))</f>
        <v>0</v>
      </c>
      <c r="L10" s="13"/>
      <c r="O10" s="14"/>
      <c r="P10" s="14"/>
      <c r="Q10" s="14"/>
      <c r="R10" s="14"/>
      <c r="U10" s="12">
        <v>2.0</v>
      </c>
      <c r="V10" s="14"/>
      <c r="W10" s="14">
        <v>0.5</v>
      </c>
      <c r="X10" s="14"/>
      <c r="Y10" s="14">
        <v>0.5</v>
      </c>
      <c r="AC10" s="14"/>
      <c r="AD10" s="14">
        <v>0.5</v>
      </c>
      <c r="AE10" s="14"/>
      <c r="AF10" s="14">
        <v>0.5</v>
      </c>
      <c r="AJ10" s="14"/>
      <c r="AK10" s="14">
        <v>0.5</v>
      </c>
      <c r="AL10" s="14"/>
      <c r="AM10" s="14">
        <v>0.5</v>
      </c>
      <c r="AQ10" s="14"/>
      <c r="AR10" s="14">
        <v>0.5</v>
      </c>
      <c r="AS10" s="14"/>
      <c r="AT10" s="14">
        <v>0.8</v>
      </c>
      <c r="AW10" s="12">
        <v>2.0</v>
      </c>
      <c r="AX10" s="14"/>
      <c r="AY10" s="14">
        <v>0.8</v>
      </c>
      <c r="AZ10" s="14"/>
      <c r="BA10" s="14">
        <v>0.8</v>
      </c>
      <c r="BE10" s="14"/>
      <c r="BF10" s="14">
        <v>0.8</v>
      </c>
      <c r="BG10" s="14"/>
      <c r="BH10" s="14">
        <v>0.8</v>
      </c>
      <c r="BL10" s="14"/>
      <c r="BM10" s="14">
        <v>0.8</v>
      </c>
      <c r="BN10" s="14"/>
      <c r="BO10" s="14">
        <v>0.8</v>
      </c>
      <c r="BS10" s="14"/>
      <c r="BT10" s="14">
        <v>0.8</v>
      </c>
      <c r="BU10" s="14"/>
      <c r="BV10" s="14">
        <v>0.8</v>
      </c>
      <c r="BY10" s="12">
        <v>2.0</v>
      </c>
      <c r="BZ10" s="14"/>
      <c r="CA10" s="14">
        <v>1.0</v>
      </c>
      <c r="CB10" s="14"/>
      <c r="CC10" s="14">
        <v>1.0</v>
      </c>
      <c r="CG10" s="14"/>
      <c r="CH10" s="14">
        <v>1.0</v>
      </c>
      <c r="CI10" s="14"/>
      <c r="CJ10" s="14">
        <v>1.0</v>
      </c>
      <c r="CN10" s="14"/>
      <c r="CO10" s="14">
        <v>1.0</v>
      </c>
      <c r="CP10" s="14"/>
      <c r="CQ10" s="14">
        <v>1.0</v>
      </c>
      <c r="CU10" s="14"/>
      <c r="CV10" s="14"/>
      <c r="CW10" s="14"/>
      <c r="CX10" s="14"/>
      <c r="DB10" s="14"/>
      <c r="DC10" s="14"/>
      <c r="DD10" s="14"/>
      <c r="DE10" s="14"/>
      <c r="DI10" s="14"/>
      <c r="DJ10" s="14"/>
      <c r="DK10" s="14"/>
      <c r="DL10" s="14"/>
      <c r="DP10" s="14"/>
      <c r="DQ10" s="14"/>
      <c r="DR10" s="14"/>
      <c r="DS10" s="14"/>
      <c r="DV10" s="21"/>
      <c r="EA10" s="22"/>
    </row>
    <row r="11" ht="15.75" customHeight="1" outlineLevel="1">
      <c r="B11" s="12" t="s">
        <v>48</v>
      </c>
      <c r="C11" s="12" t="s">
        <v>46</v>
      </c>
      <c r="E11" s="13"/>
      <c r="F11" s="12" t="s">
        <v>55</v>
      </c>
      <c r="G11" s="14">
        <v>0.1</v>
      </c>
      <c r="I11" s="13">
        <f t="shared" si="1"/>
        <v>6</v>
      </c>
      <c r="J11" s="16">
        <f t="array" ref="J11">MAX(IF($N$3:$EH$3=$J$3,N11:EH11))</f>
        <v>0</v>
      </c>
      <c r="K11" s="16">
        <f t="array" ref="K11">MAX(IF($N$3:$EH$3=$J$3,N11:EH11))</f>
        <v>0</v>
      </c>
      <c r="L11" s="13"/>
      <c r="O11" s="14"/>
      <c r="P11" s="14"/>
      <c r="Q11" s="14"/>
      <c r="R11" s="14"/>
      <c r="V11" s="14"/>
      <c r="W11" s="14"/>
      <c r="X11" s="14"/>
      <c r="Y11" s="14"/>
      <c r="AB11" s="12">
        <v>2.0</v>
      </c>
      <c r="AC11" s="14"/>
      <c r="AD11" s="14">
        <v>0.5</v>
      </c>
      <c r="AE11" s="14"/>
      <c r="AF11" s="14">
        <v>0.5</v>
      </c>
      <c r="AJ11" s="14"/>
      <c r="AK11" s="14">
        <v>0.5</v>
      </c>
      <c r="AL11" s="14"/>
      <c r="AM11" s="14">
        <v>0.5</v>
      </c>
      <c r="AQ11" s="14"/>
      <c r="AR11" s="14">
        <v>0.5</v>
      </c>
      <c r="AS11" s="14"/>
      <c r="AT11" s="14">
        <v>0.8</v>
      </c>
      <c r="AX11" s="14"/>
      <c r="AY11" s="14">
        <v>0.5</v>
      </c>
      <c r="AZ11" s="14"/>
      <c r="BA11" s="14">
        <v>0.5</v>
      </c>
      <c r="BD11" s="12">
        <v>2.0</v>
      </c>
      <c r="BE11" s="14"/>
      <c r="BF11" s="14">
        <v>0.8</v>
      </c>
      <c r="BG11" s="14"/>
      <c r="BH11" s="14">
        <v>0.8</v>
      </c>
      <c r="BL11" s="14"/>
      <c r="BM11" s="14">
        <v>0.8</v>
      </c>
      <c r="BN11" s="14"/>
      <c r="BO11" s="14">
        <v>0.8</v>
      </c>
      <c r="BS11" s="14"/>
      <c r="BT11" s="14">
        <v>0.8</v>
      </c>
      <c r="BU11" s="14"/>
      <c r="BV11" s="14">
        <v>0.8</v>
      </c>
      <c r="BZ11" s="14"/>
      <c r="CA11" s="14">
        <v>0.8</v>
      </c>
      <c r="CB11" s="14"/>
      <c r="CC11" s="14">
        <v>0.8</v>
      </c>
      <c r="CF11" s="12">
        <v>2.0</v>
      </c>
      <c r="CG11" s="14"/>
      <c r="CH11" s="14">
        <v>1.0</v>
      </c>
      <c r="CI11" s="14"/>
      <c r="CJ11" s="14">
        <v>1.0</v>
      </c>
      <c r="CN11" s="14"/>
      <c r="CO11" s="14">
        <v>1.0</v>
      </c>
      <c r="CP11" s="14"/>
      <c r="CQ11" s="14">
        <v>1.0</v>
      </c>
      <c r="CU11" s="14"/>
      <c r="CV11" s="14"/>
      <c r="CW11" s="14"/>
      <c r="CX11" s="14"/>
      <c r="DB11" s="14"/>
      <c r="DC11" s="14"/>
      <c r="DD11" s="14"/>
      <c r="DE11" s="14"/>
      <c r="DI11" s="14"/>
      <c r="DJ11" s="14"/>
      <c r="DK11" s="14"/>
      <c r="DL11" s="14"/>
      <c r="DP11" s="14"/>
      <c r="DQ11" s="14"/>
      <c r="DR11" s="14"/>
      <c r="DS11" s="14"/>
      <c r="DV11" s="21"/>
      <c r="EA11" s="22"/>
    </row>
    <row r="12" ht="15.75" customHeight="1" outlineLevel="1">
      <c r="B12" s="12" t="s">
        <v>48</v>
      </c>
      <c r="C12" s="12" t="s">
        <v>46</v>
      </c>
      <c r="E12" s="13"/>
      <c r="F12" s="12" t="s">
        <v>56</v>
      </c>
      <c r="G12" s="14">
        <v>0.1</v>
      </c>
      <c r="I12" s="13">
        <f t="shared" si="1"/>
        <v>6</v>
      </c>
      <c r="J12" s="16">
        <f t="array" ref="J12">MAX(IF($N$3:$EH$3=$J$3,N12:EH12))</f>
        <v>0</v>
      </c>
      <c r="K12" s="16">
        <f t="array" ref="K12">MAX(IF($N$3:$EH$3=$J$3,N12:EH12))</f>
        <v>0</v>
      </c>
      <c r="L12" s="13"/>
      <c r="O12" s="14"/>
      <c r="P12" s="14"/>
      <c r="Q12" s="14"/>
      <c r="R12" s="14"/>
      <c r="V12" s="14"/>
      <c r="W12" s="14"/>
      <c r="X12" s="14"/>
      <c r="Y12" s="14"/>
      <c r="AB12" s="12">
        <v>2.0</v>
      </c>
      <c r="AC12" s="14"/>
      <c r="AD12" s="14">
        <v>0.5</v>
      </c>
      <c r="AE12" s="14"/>
      <c r="AF12" s="14">
        <v>0.5</v>
      </c>
      <c r="AJ12" s="14"/>
      <c r="AK12" s="14">
        <v>0.5</v>
      </c>
      <c r="AL12" s="14"/>
      <c r="AM12" s="14">
        <v>0.5</v>
      </c>
      <c r="AQ12" s="14"/>
      <c r="AR12" s="14">
        <v>0.5</v>
      </c>
      <c r="AS12" s="14"/>
      <c r="AT12" s="14">
        <v>0.8</v>
      </c>
      <c r="AX12" s="14"/>
      <c r="AY12" s="14">
        <v>0.5</v>
      </c>
      <c r="AZ12" s="14"/>
      <c r="BA12" s="14">
        <v>0.5</v>
      </c>
      <c r="BD12" s="12">
        <v>2.0</v>
      </c>
      <c r="BE12" s="14"/>
      <c r="BF12" s="14">
        <v>0.8</v>
      </c>
      <c r="BG12" s="14"/>
      <c r="BH12" s="14">
        <v>0.8</v>
      </c>
      <c r="BL12" s="14"/>
      <c r="BM12" s="14">
        <v>0.8</v>
      </c>
      <c r="BN12" s="14"/>
      <c r="BO12" s="14">
        <v>0.8</v>
      </c>
      <c r="BS12" s="14"/>
      <c r="BT12" s="14">
        <v>0.8</v>
      </c>
      <c r="BU12" s="14"/>
      <c r="BV12" s="14">
        <v>0.8</v>
      </c>
      <c r="BZ12" s="14"/>
      <c r="CA12" s="14">
        <v>0.8</v>
      </c>
      <c r="CB12" s="14"/>
      <c r="CC12" s="14">
        <v>0.8</v>
      </c>
      <c r="CF12" s="12">
        <v>2.0</v>
      </c>
      <c r="CG12" s="14"/>
      <c r="CH12" s="14">
        <v>1.0</v>
      </c>
      <c r="CI12" s="14"/>
      <c r="CJ12" s="14">
        <v>1.0</v>
      </c>
      <c r="CN12" s="14"/>
      <c r="CO12" s="14">
        <v>1.0</v>
      </c>
      <c r="CP12" s="14"/>
      <c r="CQ12" s="14">
        <v>1.0</v>
      </c>
      <c r="CU12" s="14"/>
      <c r="CV12" s="14"/>
      <c r="CW12" s="14"/>
      <c r="CX12" s="14"/>
      <c r="DB12" s="14"/>
      <c r="DC12" s="14"/>
      <c r="DD12" s="14"/>
      <c r="DE12" s="14"/>
      <c r="DI12" s="14"/>
      <c r="DJ12" s="14"/>
      <c r="DK12" s="14"/>
      <c r="DL12" s="14"/>
      <c r="DP12" s="14"/>
      <c r="DQ12" s="14"/>
      <c r="DR12" s="14"/>
      <c r="DS12" s="14"/>
      <c r="DV12" s="21"/>
      <c r="EA12" s="22"/>
    </row>
    <row r="13" ht="15.75" customHeight="1" outlineLevel="1">
      <c r="B13" s="12" t="s">
        <v>48</v>
      </c>
      <c r="C13" s="12" t="s">
        <v>46</v>
      </c>
      <c r="E13" s="13"/>
      <c r="F13" s="12" t="s">
        <v>57</v>
      </c>
      <c r="G13" s="14">
        <v>0.1</v>
      </c>
      <c r="I13" s="13">
        <f t="shared" si="1"/>
        <v>6</v>
      </c>
      <c r="J13" s="16">
        <f t="array" ref="J13">MAX(IF($N$3:$EH$3=$J$3,N13:EH13))</f>
        <v>0</v>
      </c>
      <c r="K13" s="16">
        <f t="array" ref="K13">MAX(IF($N$3:$EH$3=$J$3,N13:EH13))</f>
        <v>0</v>
      </c>
      <c r="L13" s="13"/>
      <c r="O13" s="14"/>
      <c r="P13" s="14"/>
      <c r="Q13" s="14"/>
      <c r="R13" s="14"/>
      <c r="V13" s="14"/>
      <c r="W13" s="14"/>
      <c r="X13" s="14"/>
      <c r="Y13" s="14"/>
      <c r="AC13" s="14"/>
      <c r="AD13" s="14"/>
      <c r="AE13" s="14"/>
      <c r="AF13" s="14"/>
      <c r="AI13" s="12">
        <v>2.0</v>
      </c>
      <c r="AJ13" s="14"/>
      <c r="AK13" s="14">
        <v>0.5</v>
      </c>
      <c r="AL13" s="14"/>
      <c r="AM13" s="14">
        <v>0.5</v>
      </c>
      <c r="AQ13" s="14"/>
      <c r="AR13" s="14">
        <v>0.5</v>
      </c>
      <c r="AS13" s="14"/>
      <c r="AT13" s="14">
        <v>0.5</v>
      </c>
      <c r="AX13" s="14"/>
      <c r="AY13" s="14">
        <v>0.5</v>
      </c>
      <c r="AZ13" s="14"/>
      <c r="BA13" s="14">
        <v>0.5</v>
      </c>
      <c r="BE13" s="14"/>
      <c r="BF13" s="14">
        <v>0.5</v>
      </c>
      <c r="BG13" s="14"/>
      <c r="BH13" s="14">
        <v>0.8</v>
      </c>
      <c r="BK13" s="12">
        <v>2.0</v>
      </c>
      <c r="BL13" s="14"/>
      <c r="BM13" s="14">
        <v>0.8</v>
      </c>
      <c r="BN13" s="14"/>
      <c r="BO13" s="14">
        <v>0.8</v>
      </c>
      <c r="BS13" s="14"/>
      <c r="BT13" s="14">
        <v>0.8</v>
      </c>
      <c r="BU13" s="14"/>
      <c r="BV13" s="14">
        <v>0.8</v>
      </c>
      <c r="BZ13" s="14"/>
      <c r="CA13" s="14">
        <v>0.8</v>
      </c>
      <c r="CB13" s="14"/>
      <c r="CC13" s="14">
        <v>0.8</v>
      </c>
      <c r="CF13" s="12">
        <v>2.0</v>
      </c>
      <c r="CG13" s="14"/>
      <c r="CH13" s="14">
        <v>1.0</v>
      </c>
      <c r="CI13" s="14"/>
      <c r="CJ13" s="14">
        <v>1.0</v>
      </c>
      <c r="CN13" s="14"/>
      <c r="CO13" s="14">
        <v>1.0</v>
      </c>
      <c r="CP13" s="14"/>
      <c r="CQ13" s="14">
        <v>1.0</v>
      </c>
      <c r="CU13" s="14"/>
      <c r="CV13" s="14"/>
      <c r="CW13" s="14"/>
      <c r="CX13" s="14"/>
      <c r="DB13" s="14"/>
      <c r="DC13" s="14"/>
      <c r="DD13" s="14"/>
      <c r="DE13" s="14"/>
      <c r="DI13" s="14"/>
      <c r="DJ13" s="14"/>
      <c r="DK13" s="14"/>
      <c r="DL13" s="14"/>
      <c r="DP13" s="14"/>
      <c r="DQ13" s="14"/>
      <c r="DR13" s="14"/>
      <c r="DS13" s="14"/>
      <c r="DV13" s="21"/>
      <c r="EA13" s="22"/>
    </row>
    <row r="14" ht="15.75" customHeight="1" outlineLevel="1">
      <c r="B14" s="12" t="s">
        <v>48</v>
      </c>
      <c r="C14" s="12" t="s">
        <v>46</v>
      </c>
      <c r="E14" s="13"/>
      <c r="F14" s="12" t="s">
        <v>58</v>
      </c>
      <c r="G14" s="14">
        <v>0.1</v>
      </c>
      <c r="I14" s="13">
        <f t="shared" si="1"/>
        <v>6</v>
      </c>
      <c r="J14" s="16">
        <f t="array" ref="J14">MAX(IF($N$3:$EH$3=$J$3,N14:EH14))</f>
        <v>0</v>
      </c>
      <c r="K14" s="16">
        <f t="array" ref="K14">MAX(IF($N$3:$EH$3=$J$3,N14:EH14))</f>
        <v>0</v>
      </c>
      <c r="L14" s="13"/>
      <c r="O14" s="14"/>
      <c r="P14" s="14"/>
      <c r="Q14" s="14"/>
      <c r="R14" s="14"/>
      <c r="V14" s="14"/>
      <c r="W14" s="14"/>
      <c r="X14" s="14"/>
      <c r="Y14" s="14"/>
      <c r="AC14" s="14"/>
      <c r="AD14" s="14"/>
      <c r="AE14" s="14"/>
      <c r="AF14" s="14"/>
      <c r="AJ14" s="14"/>
      <c r="AK14" s="14"/>
      <c r="AL14" s="14"/>
      <c r="AM14" s="14"/>
      <c r="AP14" s="12">
        <v>2.0</v>
      </c>
      <c r="AQ14" s="14"/>
      <c r="AR14" s="14">
        <v>0.5</v>
      </c>
      <c r="AS14" s="14"/>
      <c r="AT14" s="14">
        <v>0.5</v>
      </c>
      <c r="AX14" s="14"/>
      <c r="AY14" s="14">
        <v>0.5</v>
      </c>
      <c r="AZ14" s="14"/>
      <c r="BA14" s="14">
        <v>0.5</v>
      </c>
      <c r="BE14" s="14"/>
      <c r="BF14" s="14">
        <v>0.5</v>
      </c>
      <c r="BG14" s="14"/>
      <c r="BH14" s="14">
        <v>0.8</v>
      </c>
      <c r="BL14" s="14"/>
      <c r="BM14" s="14">
        <v>0.5</v>
      </c>
      <c r="BN14" s="14"/>
      <c r="BO14" s="14">
        <v>0.5</v>
      </c>
      <c r="BR14" s="12">
        <v>2.0</v>
      </c>
      <c r="BS14" s="14"/>
      <c r="BT14" s="14">
        <v>0.8</v>
      </c>
      <c r="BU14" s="14"/>
      <c r="BV14" s="14">
        <v>0.8</v>
      </c>
      <c r="BZ14" s="14"/>
      <c r="CA14" s="14">
        <v>0.8</v>
      </c>
      <c r="CB14" s="14"/>
      <c r="CC14" s="14">
        <v>0.8</v>
      </c>
      <c r="CG14" s="14"/>
      <c r="CH14" s="14">
        <v>0.8</v>
      </c>
      <c r="CI14" s="14"/>
      <c r="CJ14" s="14">
        <v>0.8</v>
      </c>
      <c r="CM14" s="12">
        <v>2.0</v>
      </c>
      <c r="CN14" s="14"/>
      <c r="CO14" s="14">
        <v>1.0</v>
      </c>
      <c r="CP14" s="14"/>
      <c r="CQ14" s="14">
        <v>1.0</v>
      </c>
      <c r="CU14" s="14"/>
      <c r="CV14" s="14"/>
      <c r="CW14" s="14"/>
      <c r="CX14" s="14"/>
      <c r="DB14" s="14"/>
      <c r="DC14" s="14"/>
      <c r="DD14" s="14"/>
      <c r="DE14" s="14"/>
      <c r="DI14" s="14"/>
      <c r="DJ14" s="14"/>
      <c r="DK14" s="14"/>
      <c r="DL14" s="14"/>
      <c r="DP14" s="14"/>
      <c r="DQ14" s="14"/>
      <c r="DR14" s="14"/>
      <c r="DS14" s="14"/>
      <c r="DV14" s="21"/>
      <c r="EA14" s="22"/>
    </row>
    <row r="15" ht="15.75" customHeight="1" outlineLevel="1">
      <c r="B15" s="12" t="s">
        <v>48</v>
      </c>
      <c r="C15" s="12" t="s">
        <v>46</v>
      </c>
      <c r="E15" s="13"/>
      <c r="F15" s="12" t="s">
        <v>59</v>
      </c>
      <c r="G15" s="14">
        <v>0.1</v>
      </c>
      <c r="I15" s="13">
        <f t="shared" si="1"/>
        <v>6</v>
      </c>
      <c r="J15" s="16">
        <f t="array" ref="J15">MAX(IF($N$3:$EH$3=$J$3,N15:EH15))</f>
        <v>0</v>
      </c>
      <c r="K15" s="16">
        <f t="array" ref="K15">MAX(IF($N$3:$EH$3=$J$3,N15:EH15))</f>
        <v>0</v>
      </c>
      <c r="L15" s="13"/>
      <c r="O15" s="14"/>
      <c r="P15" s="14"/>
      <c r="Q15" s="14"/>
      <c r="R15" s="14"/>
      <c r="V15" s="14"/>
      <c r="W15" s="14"/>
      <c r="X15" s="14"/>
      <c r="Y15" s="14"/>
      <c r="AC15" s="14"/>
      <c r="AD15" s="14"/>
      <c r="AE15" s="14"/>
      <c r="AF15" s="14"/>
      <c r="AJ15" s="14"/>
      <c r="AK15" s="14"/>
      <c r="AL15" s="14"/>
      <c r="AM15" s="14"/>
      <c r="AP15" s="12">
        <v>2.0</v>
      </c>
      <c r="AQ15" s="14"/>
      <c r="AR15" s="14">
        <v>0.5</v>
      </c>
      <c r="AS15" s="14"/>
      <c r="AT15" s="14">
        <v>0.5</v>
      </c>
      <c r="AX15" s="14"/>
      <c r="AY15" s="14">
        <v>0.5</v>
      </c>
      <c r="AZ15" s="14"/>
      <c r="BA15" s="14">
        <v>0.5</v>
      </c>
      <c r="BE15" s="14"/>
      <c r="BF15" s="14">
        <v>0.5</v>
      </c>
      <c r="BG15" s="14"/>
      <c r="BH15" s="14">
        <v>0.8</v>
      </c>
      <c r="BL15" s="14"/>
      <c r="BM15" s="14">
        <v>0.5</v>
      </c>
      <c r="BN15" s="14"/>
      <c r="BO15" s="14">
        <v>0.5</v>
      </c>
      <c r="BR15" s="12">
        <v>2.0</v>
      </c>
      <c r="BS15" s="14"/>
      <c r="BT15" s="14">
        <v>0.8</v>
      </c>
      <c r="BU15" s="14"/>
      <c r="BV15" s="14">
        <v>0.8</v>
      </c>
      <c r="BZ15" s="14"/>
      <c r="CA15" s="14">
        <v>0.8</v>
      </c>
      <c r="CB15" s="14"/>
      <c r="CC15" s="14">
        <v>0.8</v>
      </c>
      <c r="CG15" s="14"/>
      <c r="CH15" s="14">
        <v>0.8</v>
      </c>
      <c r="CI15" s="14"/>
      <c r="CJ15" s="14">
        <v>0.8</v>
      </c>
      <c r="CM15" s="12">
        <v>2.0</v>
      </c>
      <c r="CN15" s="14"/>
      <c r="CO15" s="14">
        <v>1.0</v>
      </c>
      <c r="CP15" s="14"/>
      <c r="CQ15" s="14">
        <v>1.0</v>
      </c>
      <c r="CU15" s="14"/>
      <c r="CV15" s="14"/>
      <c r="CW15" s="14"/>
      <c r="CX15" s="14"/>
      <c r="DB15" s="14"/>
      <c r="DC15" s="14"/>
      <c r="DD15" s="14"/>
      <c r="DE15" s="14"/>
      <c r="DI15" s="14"/>
      <c r="DJ15" s="14"/>
      <c r="DK15" s="14"/>
      <c r="DL15" s="14"/>
      <c r="DP15" s="14"/>
      <c r="DQ15" s="14"/>
      <c r="DR15" s="14"/>
      <c r="DS15" s="14"/>
      <c r="DV15" s="21"/>
      <c r="EA15" s="22"/>
    </row>
    <row r="16" ht="15.75" customHeight="1" outlineLevel="1">
      <c r="B16" s="12" t="s">
        <v>48</v>
      </c>
      <c r="C16" s="12" t="s">
        <v>46</v>
      </c>
      <c r="E16" s="13"/>
      <c r="F16" s="12" t="s">
        <v>60</v>
      </c>
      <c r="G16" s="14">
        <v>0.1</v>
      </c>
      <c r="I16" s="13">
        <f t="shared" si="1"/>
        <v>6</v>
      </c>
      <c r="J16" s="16">
        <f t="array" ref="J16">MAX(IF($N$3:$EH$3=$J$3,N16:EH16))</f>
        <v>0</v>
      </c>
      <c r="K16" s="16">
        <f t="array" ref="K16">MAX(IF($N$3:$EH$3=$J$3,N16:EH16))</f>
        <v>0</v>
      </c>
      <c r="L16" s="13"/>
      <c r="O16" s="14"/>
      <c r="P16" s="14"/>
      <c r="Q16" s="14"/>
      <c r="R16" s="14"/>
      <c r="V16" s="14"/>
      <c r="W16" s="14"/>
      <c r="X16" s="14"/>
      <c r="Y16" s="14"/>
      <c r="AC16" s="14"/>
      <c r="AD16" s="14"/>
      <c r="AE16" s="14"/>
      <c r="AF16" s="14"/>
      <c r="AJ16" s="14"/>
      <c r="AK16" s="14"/>
      <c r="AL16" s="14"/>
      <c r="AM16" s="14"/>
      <c r="AQ16" s="14"/>
      <c r="AR16" s="14"/>
      <c r="AS16" s="14"/>
      <c r="AT16" s="14"/>
      <c r="AW16" s="12">
        <v>2.0</v>
      </c>
      <c r="AX16" s="14"/>
      <c r="AY16" s="14">
        <v>0.5</v>
      </c>
      <c r="AZ16" s="14"/>
      <c r="BA16" s="14">
        <v>0.5</v>
      </c>
      <c r="BE16" s="14"/>
      <c r="BF16" s="14">
        <v>0.5</v>
      </c>
      <c r="BG16" s="14"/>
      <c r="BH16" s="14">
        <v>0.5</v>
      </c>
      <c r="BL16" s="14"/>
      <c r="BM16" s="14">
        <v>0.5</v>
      </c>
      <c r="BN16" s="14"/>
      <c r="BO16" s="14">
        <v>0.5</v>
      </c>
      <c r="BS16" s="14"/>
      <c r="BT16" s="14">
        <v>0.5</v>
      </c>
      <c r="BU16" s="14"/>
      <c r="BV16" s="14">
        <v>0.5</v>
      </c>
      <c r="BY16" s="12">
        <v>2.0</v>
      </c>
      <c r="BZ16" s="14"/>
      <c r="CA16" s="14">
        <v>0.8</v>
      </c>
      <c r="CB16" s="14"/>
      <c r="CC16" s="14">
        <v>0.8</v>
      </c>
      <c r="CG16" s="14"/>
      <c r="CH16" s="14">
        <v>0.8</v>
      </c>
      <c r="CI16" s="14"/>
      <c r="CJ16" s="14">
        <v>0.8</v>
      </c>
      <c r="CM16" s="12">
        <v>2.0</v>
      </c>
      <c r="CN16" s="14"/>
      <c r="CO16" s="14">
        <v>1.0</v>
      </c>
      <c r="CP16" s="14"/>
      <c r="CQ16" s="14">
        <v>1.0</v>
      </c>
      <c r="CU16" s="14"/>
      <c r="CV16" s="14"/>
      <c r="CW16" s="14"/>
      <c r="CX16" s="14"/>
      <c r="DB16" s="14"/>
      <c r="DC16" s="14"/>
      <c r="DD16" s="14"/>
      <c r="DE16" s="14"/>
      <c r="DI16" s="14"/>
      <c r="DJ16" s="14"/>
      <c r="DK16" s="14"/>
      <c r="DL16" s="14"/>
      <c r="DP16" s="14"/>
      <c r="DQ16" s="14"/>
      <c r="DR16" s="14"/>
      <c r="DS16" s="14"/>
      <c r="DV16" s="21"/>
      <c r="EA16" s="22"/>
    </row>
    <row r="17" ht="15.75" customHeight="1">
      <c r="O17" s="1"/>
      <c r="V17" s="1"/>
      <c r="AC17" s="1"/>
      <c r="AJ17" s="1"/>
      <c r="AQ17" s="1"/>
      <c r="AX17" s="1"/>
      <c r="BE17" s="1"/>
      <c r="BL17" s="1"/>
      <c r="BS17" s="1"/>
      <c r="BZ17" s="1"/>
      <c r="CG17" s="1"/>
      <c r="CN17" s="1"/>
      <c r="CU17" s="1"/>
      <c r="DB17" s="1"/>
      <c r="DI17" s="1"/>
      <c r="DP17" s="1"/>
      <c r="DV17" s="21"/>
      <c r="EA17" s="22"/>
    </row>
    <row r="18" ht="15.75" customHeight="1">
      <c r="B18" s="12" t="s">
        <v>17</v>
      </c>
      <c r="C18" s="12" t="s">
        <v>61</v>
      </c>
      <c r="E18" s="13">
        <v>5.0</v>
      </c>
      <c r="G18" s="14">
        <f>+SUM(G19:G24)</f>
        <v>1</v>
      </c>
      <c r="I18" s="15">
        <f>+SUM(I19:I24)</f>
        <v>54</v>
      </c>
      <c r="J18" s="16">
        <f>+SUMPRODUCT(G19:G24,J19:J24)</f>
        <v>0.3</v>
      </c>
      <c r="K18" s="16">
        <f>+SUMPRODUCT(G19:G24,K19:K24)</f>
        <v>0.3</v>
      </c>
      <c r="L18" s="13"/>
      <c r="N18" s="15">
        <v>6.0</v>
      </c>
      <c r="U18" s="15">
        <v>6.0</v>
      </c>
      <c r="AB18" s="15">
        <v>6.0</v>
      </c>
      <c r="AI18" s="15">
        <v>6.0</v>
      </c>
      <c r="AP18" s="15">
        <v>6.0</v>
      </c>
      <c r="AW18" s="15">
        <v>6.0</v>
      </c>
      <c r="BD18" s="15">
        <v>6.0</v>
      </c>
      <c r="BK18" s="15">
        <v>6.0</v>
      </c>
      <c r="BR18" s="15">
        <v>6.0</v>
      </c>
      <c r="BY18" s="15">
        <v>6.0</v>
      </c>
      <c r="CF18" s="15">
        <v>6.0</v>
      </c>
      <c r="CM18" s="15"/>
      <c r="CT18" s="15"/>
      <c r="DA18" s="15"/>
      <c r="DH18" s="15"/>
      <c r="DO18" s="15"/>
      <c r="DV18" s="21"/>
      <c r="EA18" s="22"/>
    </row>
    <row r="19" ht="15.75" customHeight="1" outlineLevel="1">
      <c r="B19" s="12" t="s">
        <v>48</v>
      </c>
      <c r="C19" s="12" t="s">
        <v>61</v>
      </c>
      <c r="E19" s="13"/>
      <c r="F19" s="12" t="s">
        <v>62</v>
      </c>
      <c r="G19" s="14">
        <v>0.05</v>
      </c>
      <c r="I19" s="13">
        <f t="shared" ref="I19:I25" si="2">+SUMIF($N$3:$ZZ$3,I$3,$N19:$ZZ19)</f>
        <v>9</v>
      </c>
      <c r="J19" s="16">
        <f t="array" ref="J19">MAX(IF($N$3:$EH$3=$J$3,N19:EH19))</f>
        <v>0.5</v>
      </c>
      <c r="K19" s="16">
        <f t="array" ref="K19">MAX(IF($N$3:$EH$3=$J$3,N19:EH19))</f>
        <v>0.5</v>
      </c>
      <c r="L19" s="13"/>
      <c r="N19" s="12">
        <v>3.0</v>
      </c>
      <c r="O19" s="14">
        <v>0.5</v>
      </c>
      <c r="P19" s="14">
        <v>0.5</v>
      </c>
      <c r="Q19" s="14">
        <v>0.5</v>
      </c>
      <c r="R19" s="14">
        <v>0.5</v>
      </c>
      <c r="V19" s="14">
        <v>0.5</v>
      </c>
      <c r="W19" s="14">
        <v>0.5</v>
      </c>
      <c r="X19" s="14">
        <v>0.5</v>
      </c>
      <c r="Y19" s="14">
        <v>0.5</v>
      </c>
      <c r="AB19" s="12">
        <v>3.0</v>
      </c>
      <c r="AC19" s="14">
        <v>0.5</v>
      </c>
      <c r="AD19" s="20">
        <v>0.8</v>
      </c>
      <c r="AE19" s="14">
        <v>0.5</v>
      </c>
      <c r="AF19" s="20">
        <v>0.8</v>
      </c>
      <c r="AJ19" s="14">
        <v>0.5</v>
      </c>
      <c r="AK19" s="14">
        <v>0.8</v>
      </c>
      <c r="AL19" s="14"/>
      <c r="AM19" s="14">
        <v>0.8</v>
      </c>
      <c r="AQ19" s="14">
        <v>0.5</v>
      </c>
      <c r="AR19" s="14">
        <v>0.8</v>
      </c>
      <c r="AS19" s="14">
        <v>0.5</v>
      </c>
      <c r="AT19" s="14">
        <v>0.8</v>
      </c>
      <c r="AW19" s="12">
        <v>3.0</v>
      </c>
      <c r="AX19" s="14"/>
      <c r="AY19" s="14">
        <v>1.0</v>
      </c>
      <c r="AZ19" s="14"/>
      <c r="BA19" s="14">
        <v>1.0</v>
      </c>
      <c r="BE19" s="14"/>
      <c r="BF19" s="14">
        <v>1.0</v>
      </c>
      <c r="BG19" s="14"/>
      <c r="BH19" s="14">
        <v>1.0</v>
      </c>
      <c r="BL19" s="14"/>
      <c r="BM19" s="14">
        <v>1.0</v>
      </c>
      <c r="BN19" s="14"/>
      <c r="BO19" s="14">
        <v>1.0</v>
      </c>
      <c r="BS19" s="14"/>
      <c r="BT19" s="14">
        <v>1.0</v>
      </c>
      <c r="BU19" s="14"/>
      <c r="BV19" s="14">
        <v>1.0</v>
      </c>
      <c r="BZ19" s="14"/>
      <c r="CA19" s="14">
        <v>1.0</v>
      </c>
      <c r="CB19" s="14"/>
      <c r="CC19" s="14">
        <v>1.0</v>
      </c>
      <c r="CG19" s="14"/>
      <c r="CH19" s="14">
        <v>1.0</v>
      </c>
      <c r="CI19" s="14"/>
      <c r="CJ19" s="14">
        <v>1.0</v>
      </c>
      <c r="CN19" s="14"/>
      <c r="CO19" s="14"/>
      <c r="CP19" s="14"/>
      <c r="CQ19" s="14"/>
      <c r="CU19" s="14"/>
      <c r="CV19" s="14"/>
      <c r="CW19" s="14"/>
      <c r="CX19" s="14"/>
      <c r="DB19" s="14"/>
      <c r="DC19" s="14"/>
      <c r="DD19" s="14"/>
      <c r="DE19" s="14"/>
      <c r="DI19" s="14"/>
      <c r="DJ19" s="14"/>
      <c r="DK19" s="14"/>
      <c r="DL19" s="14"/>
      <c r="DP19" s="14"/>
      <c r="DQ19" s="14"/>
      <c r="DR19" s="14"/>
      <c r="DS19" s="14"/>
      <c r="DV19" s="21"/>
      <c r="EA19" s="22"/>
    </row>
    <row r="20" ht="15.75" customHeight="1" outlineLevel="1">
      <c r="B20" s="12" t="s">
        <v>48</v>
      </c>
      <c r="C20" s="12" t="s">
        <v>61</v>
      </c>
      <c r="E20" s="13"/>
      <c r="F20" s="12" t="s">
        <v>63</v>
      </c>
      <c r="G20" s="14">
        <v>0.15</v>
      </c>
      <c r="I20" s="13">
        <f t="shared" si="2"/>
        <v>9</v>
      </c>
      <c r="J20" s="16">
        <f t="array" ref="J20">MAX(IF($N$3:$EH$3=$J$3,N20:EH20))</f>
        <v>0.5</v>
      </c>
      <c r="K20" s="16">
        <f t="array" ref="K20">MAX(IF($N$3:$EH$3=$J$3,N20:EH20))</f>
        <v>0.5</v>
      </c>
      <c r="L20" s="13"/>
      <c r="N20" s="12">
        <v>3.0</v>
      </c>
      <c r="O20" s="14">
        <v>0.5</v>
      </c>
      <c r="P20" s="14">
        <v>0.5</v>
      </c>
      <c r="Q20" s="14">
        <v>0.5</v>
      </c>
      <c r="R20" s="14">
        <v>0.5</v>
      </c>
      <c r="V20" s="14">
        <v>0.5</v>
      </c>
      <c r="W20" s="14">
        <v>0.5</v>
      </c>
      <c r="X20" s="14">
        <v>0.5</v>
      </c>
      <c r="Y20" s="14">
        <v>0.5</v>
      </c>
      <c r="AC20" s="14">
        <v>0.5</v>
      </c>
      <c r="AD20" s="14">
        <v>0.5</v>
      </c>
      <c r="AE20" s="14">
        <v>0.5</v>
      </c>
      <c r="AF20" s="14">
        <v>0.5</v>
      </c>
      <c r="AI20" s="12">
        <v>3.0</v>
      </c>
      <c r="AJ20" s="14">
        <v>0.5</v>
      </c>
      <c r="AK20" s="14">
        <v>0.8</v>
      </c>
      <c r="AL20" s="14"/>
      <c r="AM20" s="14">
        <v>0.8</v>
      </c>
      <c r="AQ20" s="14">
        <v>0.5</v>
      </c>
      <c r="AR20" s="14">
        <v>0.8</v>
      </c>
      <c r="AS20" s="14">
        <v>0.5</v>
      </c>
      <c r="AT20" s="14">
        <v>0.8</v>
      </c>
      <c r="AX20" s="14"/>
      <c r="AY20" s="14">
        <v>0.8</v>
      </c>
      <c r="AZ20" s="14"/>
      <c r="BA20" s="14">
        <v>0.8</v>
      </c>
      <c r="BD20" s="12">
        <v>3.0</v>
      </c>
      <c r="BE20" s="14"/>
      <c r="BF20" s="14">
        <v>1.0</v>
      </c>
      <c r="BG20" s="14"/>
      <c r="BH20" s="14">
        <v>1.0</v>
      </c>
      <c r="BL20" s="14"/>
      <c r="BM20" s="14">
        <v>1.0</v>
      </c>
      <c r="BN20" s="14"/>
      <c r="BO20" s="14">
        <v>1.0</v>
      </c>
      <c r="BS20" s="14"/>
      <c r="BT20" s="14">
        <v>1.0</v>
      </c>
      <c r="BU20" s="14"/>
      <c r="BV20" s="14">
        <v>1.0</v>
      </c>
      <c r="BZ20" s="14"/>
      <c r="CA20" s="14">
        <v>1.0</v>
      </c>
      <c r="CB20" s="14"/>
      <c r="CC20" s="14">
        <v>1.0</v>
      </c>
      <c r="CG20" s="14"/>
      <c r="CH20" s="14">
        <v>1.0</v>
      </c>
      <c r="CI20" s="14"/>
      <c r="CJ20" s="14">
        <v>1.0</v>
      </c>
      <c r="CN20" s="14"/>
      <c r="CO20" s="14"/>
      <c r="CP20" s="14"/>
      <c r="CQ20" s="14"/>
      <c r="CU20" s="14"/>
      <c r="CV20" s="14"/>
      <c r="CW20" s="14"/>
      <c r="CX20" s="14"/>
      <c r="DB20" s="14"/>
      <c r="DC20" s="14"/>
      <c r="DD20" s="14"/>
      <c r="DE20" s="14"/>
      <c r="DI20" s="14"/>
      <c r="DJ20" s="14"/>
      <c r="DK20" s="14"/>
      <c r="DL20" s="14"/>
      <c r="DP20" s="14"/>
      <c r="DQ20" s="14"/>
      <c r="DR20" s="14"/>
      <c r="DS20" s="14"/>
      <c r="DV20" s="21"/>
      <c r="EA20" s="22"/>
    </row>
    <row r="21" ht="15.75" customHeight="1" outlineLevel="1">
      <c r="B21" s="12" t="s">
        <v>48</v>
      </c>
      <c r="C21" s="12" t="s">
        <v>61</v>
      </c>
      <c r="E21" s="13"/>
      <c r="F21" s="12" t="s">
        <v>64</v>
      </c>
      <c r="G21" s="14">
        <v>0.2</v>
      </c>
      <c r="I21" s="13">
        <f t="shared" si="2"/>
        <v>9</v>
      </c>
      <c r="J21" s="16">
        <f t="array" ref="J21">MAX(IF($N$3:$EH$3=$J$3,N21:EH21))</f>
        <v>0.5</v>
      </c>
      <c r="K21" s="16">
        <f t="array" ref="K21">MAX(IF($N$3:$EH$3=$J$3,N21:EH21))</f>
        <v>0.5</v>
      </c>
      <c r="L21" s="13"/>
      <c r="O21" s="14"/>
      <c r="P21" s="14"/>
      <c r="Q21" s="14"/>
      <c r="R21" s="14"/>
      <c r="U21" s="12">
        <v>3.0</v>
      </c>
      <c r="V21" s="20">
        <v>0.5</v>
      </c>
      <c r="W21" s="14">
        <v>0.5</v>
      </c>
      <c r="X21" s="20">
        <v>0.5</v>
      </c>
      <c r="Y21" s="14">
        <v>0.5</v>
      </c>
      <c r="AC21" s="20">
        <v>0.5</v>
      </c>
      <c r="AD21" s="14">
        <v>0.5</v>
      </c>
      <c r="AE21" s="20">
        <v>0.5</v>
      </c>
      <c r="AF21" s="14">
        <v>0.5</v>
      </c>
      <c r="AJ21" s="20">
        <v>0.5</v>
      </c>
      <c r="AK21" s="14">
        <v>0.5</v>
      </c>
      <c r="AL21" s="14"/>
      <c r="AM21" s="14">
        <v>0.5</v>
      </c>
      <c r="AP21" s="12">
        <v>3.0</v>
      </c>
      <c r="AQ21" s="20">
        <v>0.5</v>
      </c>
      <c r="AR21" s="14">
        <v>0.8</v>
      </c>
      <c r="AS21" s="20">
        <v>0.5</v>
      </c>
      <c r="AT21" s="14">
        <v>0.8</v>
      </c>
      <c r="AX21" s="14"/>
      <c r="AY21" s="14">
        <v>0.8</v>
      </c>
      <c r="AZ21" s="14"/>
      <c r="BA21" s="14">
        <v>0.8</v>
      </c>
      <c r="BE21" s="14"/>
      <c r="BF21" s="14">
        <v>0.8</v>
      </c>
      <c r="BG21" s="14"/>
      <c r="BH21" s="14">
        <v>0.8</v>
      </c>
      <c r="BK21" s="12">
        <v>3.0</v>
      </c>
      <c r="BL21" s="14"/>
      <c r="BM21" s="14">
        <v>1.0</v>
      </c>
      <c r="BN21" s="14"/>
      <c r="BO21" s="14">
        <v>1.0</v>
      </c>
      <c r="BS21" s="14"/>
      <c r="BT21" s="14">
        <v>1.0</v>
      </c>
      <c r="BU21" s="14"/>
      <c r="BV21" s="14">
        <v>1.0</v>
      </c>
      <c r="BZ21" s="14"/>
      <c r="CA21" s="14">
        <v>1.0</v>
      </c>
      <c r="CB21" s="14"/>
      <c r="CC21" s="14">
        <v>1.0</v>
      </c>
      <c r="CG21" s="14"/>
      <c r="CH21" s="14">
        <v>1.0</v>
      </c>
      <c r="CI21" s="14"/>
      <c r="CJ21" s="14">
        <v>1.0</v>
      </c>
      <c r="CN21" s="14"/>
      <c r="CO21" s="14"/>
      <c r="CP21" s="14"/>
      <c r="CQ21" s="14"/>
      <c r="CU21" s="14"/>
      <c r="CV21" s="14"/>
      <c r="CW21" s="14"/>
      <c r="CX21" s="14"/>
      <c r="DB21" s="14"/>
      <c r="DC21" s="14"/>
      <c r="DD21" s="14"/>
      <c r="DE21" s="14"/>
      <c r="DI21" s="14"/>
      <c r="DJ21" s="14"/>
      <c r="DK21" s="14"/>
      <c r="DL21" s="14"/>
      <c r="DP21" s="14"/>
      <c r="DQ21" s="14"/>
      <c r="DR21" s="14"/>
      <c r="DS21" s="14"/>
      <c r="DV21" s="21"/>
      <c r="EA21" s="22"/>
    </row>
    <row r="22" ht="15.75" customHeight="1" outlineLevel="1">
      <c r="B22" s="12" t="s">
        <v>48</v>
      </c>
      <c r="C22" s="12" t="s">
        <v>61</v>
      </c>
      <c r="E22" s="13"/>
      <c r="F22" s="12" t="s">
        <v>65</v>
      </c>
      <c r="G22" s="14">
        <v>0.2</v>
      </c>
      <c r="I22" s="13">
        <f t="shared" si="2"/>
        <v>9</v>
      </c>
      <c r="J22" s="16">
        <f t="array" ref="J22">MAX(IF($N$3:$EH$3=$J$3,N22:EH22))</f>
        <v>0.5</v>
      </c>
      <c r="K22" s="16">
        <f t="array" ref="K22">MAX(IF($N$3:$EH$3=$J$3,N22:EH22))</f>
        <v>0.5</v>
      </c>
      <c r="L22" s="13"/>
      <c r="O22" s="14"/>
      <c r="P22" s="14"/>
      <c r="Q22" s="14"/>
      <c r="R22" s="14"/>
      <c r="U22" s="12">
        <v>3.0</v>
      </c>
      <c r="V22" s="14"/>
      <c r="W22" s="14">
        <v>0.5</v>
      </c>
      <c r="X22" s="14"/>
      <c r="Y22" s="14">
        <v>0.5</v>
      </c>
      <c r="AC22" s="20">
        <v>0.3</v>
      </c>
      <c r="AD22" s="14">
        <v>0.5</v>
      </c>
      <c r="AE22" s="20">
        <v>0.3</v>
      </c>
      <c r="AF22" s="14">
        <v>0.5</v>
      </c>
      <c r="AJ22" s="20">
        <v>0.5</v>
      </c>
      <c r="AK22" s="14">
        <v>0.5</v>
      </c>
      <c r="AL22" s="14"/>
      <c r="AM22" s="14">
        <v>0.5</v>
      </c>
      <c r="AQ22" s="20">
        <v>0.5</v>
      </c>
      <c r="AR22" s="14">
        <v>0.5</v>
      </c>
      <c r="AS22" s="20">
        <v>0.5</v>
      </c>
      <c r="AT22" s="14">
        <v>0.5</v>
      </c>
      <c r="AW22" s="12">
        <v>3.0</v>
      </c>
      <c r="AX22" s="14"/>
      <c r="AY22" s="14">
        <v>0.8</v>
      </c>
      <c r="AZ22" s="14"/>
      <c r="BA22" s="14">
        <v>0.8</v>
      </c>
      <c r="BE22" s="14"/>
      <c r="BF22" s="14">
        <v>0.8</v>
      </c>
      <c r="BG22" s="14"/>
      <c r="BH22" s="14">
        <v>0.8</v>
      </c>
      <c r="BL22" s="14"/>
      <c r="BM22" s="14">
        <v>0.8</v>
      </c>
      <c r="BN22" s="14"/>
      <c r="BO22" s="14">
        <v>0.8</v>
      </c>
      <c r="BR22" s="12">
        <v>3.0</v>
      </c>
      <c r="BS22" s="14"/>
      <c r="BT22" s="14">
        <v>1.0</v>
      </c>
      <c r="BU22" s="14"/>
      <c r="BV22" s="14">
        <v>1.0</v>
      </c>
      <c r="BZ22" s="14"/>
      <c r="CA22" s="14">
        <v>1.0</v>
      </c>
      <c r="CB22" s="14"/>
      <c r="CC22" s="14">
        <v>1.0</v>
      </c>
      <c r="CG22" s="14"/>
      <c r="CH22" s="14">
        <v>1.0</v>
      </c>
      <c r="CI22" s="14"/>
      <c r="CJ22" s="14">
        <v>1.0</v>
      </c>
      <c r="CN22" s="14"/>
      <c r="CO22" s="14"/>
      <c r="CP22" s="14"/>
      <c r="CQ22" s="14"/>
      <c r="CU22" s="14"/>
      <c r="CV22" s="14"/>
      <c r="CW22" s="14"/>
      <c r="CX22" s="14"/>
      <c r="DB22" s="14"/>
      <c r="DC22" s="14"/>
      <c r="DD22" s="14"/>
      <c r="DE22" s="14"/>
      <c r="DI22" s="14"/>
      <c r="DJ22" s="14"/>
      <c r="DK22" s="14"/>
      <c r="DL22" s="14"/>
      <c r="DP22" s="14"/>
      <c r="DQ22" s="14"/>
      <c r="DR22" s="14"/>
      <c r="DS22" s="14"/>
      <c r="DV22" s="21"/>
      <c r="EA22" s="22"/>
    </row>
    <row r="23" ht="15.75" customHeight="1" outlineLevel="1">
      <c r="B23" s="12" t="s">
        <v>48</v>
      </c>
      <c r="C23" s="12" t="s">
        <v>61</v>
      </c>
      <c r="E23" s="13"/>
      <c r="F23" s="12" t="s">
        <v>66</v>
      </c>
      <c r="G23" s="14">
        <v>0.2</v>
      </c>
      <c r="I23" s="13">
        <f t="shared" si="2"/>
        <v>9</v>
      </c>
      <c r="J23" s="16">
        <f t="array" ref="J23">MAX(IF($N$3:$EH$3=$J$3,N23:EH23))</f>
        <v>0</v>
      </c>
      <c r="K23" s="16">
        <f t="array" ref="K23">MAX(IF($N$3:$EH$3=$J$3,N23:EH23))</f>
        <v>0</v>
      </c>
      <c r="L23" s="13"/>
      <c r="O23" s="14"/>
      <c r="P23" s="14"/>
      <c r="Q23" s="14"/>
      <c r="R23" s="14"/>
      <c r="V23" s="14"/>
      <c r="W23" s="14"/>
      <c r="X23" s="14"/>
      <c r="Y23" s="14"/>
      <c r="AB23" s="12">
        <v>3.0</v>
      </c>
      <c r="AC23" s="14"/>
      <c r="AD23" s="14">
        <v>0.5</v>
      </c>
      <c r="AE23" s="14"/>
      <c r="AF23" s="14">
        <v>0.5</v>
      </c>
      <c r="AJ23" s="14"/>
      <c r="AK23" s="14">
        <v>0.5</v>
      </c>
      <c r="AL23" s="14"/>
      <c r="AM23" s="14">
        <v>0.5</v>
      </c>
      <c r="AQ23" s="14"/>
      <c r="AR23" s="14">
        <v>0.5</v>
      </c>
      <c r="AS23" s="14"/>
      <c r="AT23" s="14">
        <v>0.5</v>
      </c>
      <c r="AX23" s="14"/>
      <c r="AY23" s="14">
        <v>0.5</v>
      </c>
      <c r="AZ23" s="14"/>
      <c r="BA23" s="14">
        <v>0.5</v>
      </c>
      <c r="BD23" s="12">
        <v>3.0</v>
      </c>
      <c r="BE23" s="14"/>
      <c r="BF23" s="14">
        <v>0.8</v>
      </c>
      <c r="BG23" s="14"/>
      <c r="BH23" s="14">
        <v>0.8</v>
      </c>
      <c r="BL23" s="14"/>
      <c r="BM23" s="14">
        <v>0.8</v>
      </c>
      <c r="BN23" s="14"/>
      <c r="BO23" s="14">
        <v>0.8</v>
      </c>
      <c r="BS23" s="14"/>
      <c r="BT23" s="14">
        <v>0.8</v>
      </c>
      <c r="BU23" s="14"/>
      <c r="BV23" s="14">
        <v>0.8</v>
      </c>
      <c r="BY23" s="12">
        <v>3.0</v>
      </c>
      <c r="BZ23" s="14"/>
      <c r="CA23" s="14">
        <v>1.0</v>
      </c>
      <c r="CB23" s="14"/>
      <c r="CC23" s="14">
        <v>1.0</v>
      </c>
      <c r="CG23" s="14"/>
      <c r="CH23" s="14">
        <v>1.0</v>
      </c>
      <c r="CI23" s="14"/>
      <c r="CJ23" s="14">
        <v>1.0</v>
      </c>
      <c r="CN23" s="14"/>
      <c r="CO23" s="14"/>
      <c r="CP23" s="14"/>
      <c r="CQ23" s="14"/>
      <c r="CU23" s="14"/>
      <c r="CV23" s="14"/>
      <c r="CW23" s="14"/>
      <c r="CX23" s="14"/>
      <c r="DB23" s="14"/>
      <c r="DC23" s="14"/>
      <c r="DD23" s="14"/>
      <c r="DE23" s="14"/>
      <c r="DI23" s="14"/>
      <c r="DJ23" s="14"/>
      <c r="DK23" s="14"/>
      <c r="DL23" s="14"/>
      <c r="DP23" s="14"/>
      <c r="DQ23" s="14"/>
      <c r="DR23" s="14"/>
      <c r="DS23" s="14"/>
      <c r="DV23" s="21"/>
      <c r="EA23" s="22"/>
    </row>
    <row r="24" ht="15.75" customHeight="1" outlineLevel="1">
      <c r="B24" s="12" t="s">
        <v>48</v>
      </c>
      <c r="C24" s="12" t="s">
        <v>61</v>
      </c>
      <c r="E24" s="13"/>
      <c r="F24" s="12" t="s">
        <v>67</v>
      </c>
      <c r="G24" s="14">
        <v>0.2</v>
      </c>
      <c r="I24" s="13">
        <f t="shared" si="2"/>
        <v>9</v>
      </c>
      <c r="J24" s="16">
        <f t="array" ref="J24">MAX(IF($N$3:$EH$3=$J$3,N24:EH24))</f>
        <v>0</v>
      </c>
      <c r="K24" s="16">
        <f t="array" ref="K24">MAX(IF($N$3:$EH$3=$J$3,N24:EH24))</f>
        <v>0</v>
      </c>
      <c r="L24" s="13"/>
      <c r="O24" s="14"/>
      <c r="P24" s="14"/>
      <c r="Q24" s="14"/>
      <c r="R24" s="14"/>
      <c r="V24" s="14"/>
      <c r="W24" s="14"/>
      <c r="X24" s="14"/>
      <c r="Y24" s="14"/>
      <c r="AC24" s="14"/>
      <c r="AD24" s="14"/>
      <c r="AE24" s="14"/>
      <c r="AF24" s="14"/>
      <c r="AI24" s="12">
        <v>3.0</v>
      </c>
      <c r="AJ24" s="14"/>
      <c r="AK24" s="14">
        <v>0.5</v>
      </c>
      <c r="AL24" s="14"/>
      <c r="AM24" s="14">
        <v>0.5</v>
      </c>
      <c r="AQ24" s="14"/>
      <c r="AR24" s="14">
        <v>0.5</v>
      </c>
      <c r="AS24" s="14"/>
      <c r="AT24" s="14">
        <v>0.5</v>
      </c>
      <c r="AX24" s="14"/>
      <c r="AY24" s="14">
        <v>0.5</v>
      </c>
      <c r="AZ24" s="14"/>
      <c r="BA24" s="14">
        <v>0.5</v>
      </c>
      <c r="BE24" s="14"/>
      <c r="BF24" s="14">
        <v>0.5</v>
      </c>
      <c r="BG24" s="14"/>
      <c r="BH24" s="14">
        <v>0.5</v>
      </c>
      <c r="BK24" s="12">
        <v>3.0</v>
      </c>
      <c r="BL24" s="14"/>
      <c r="BM24" s="14">
        <v>0.8</v>
      </c>
      <c r="BN24" s="14"/>
      <c r="BO24" s="14">
        <v>0.8</v>
      </c>
      <c r="BS24" s="14"/>
      <c r="BT24" s="14">
        <v>0.8</v>
      </c>
      <c r="BU24" s="14"/>
      <c r="BV24" s="14">
        <v>0.8</v>
      </c>
      <c r="BY24" s="12">
        <v>3.0</v>
      </c>
      <c r="BZ24" s="14"/>
      <c r="CA24" s="14">
        <v>1.0</v>
      </c>
      <c r="CB24" s="14"/>
      <c r="CC24" s="14">
        <v>1.0</v>
      </c>
      <c r="CG24" s="14"/>
      <c r="CH24" s="14">
        <v>1.0</v>
      </c>
      <c r="CI24" s="14"/>
      <c r="CJ24" s="14">
        <v>1.0</v>
      </c>
      <c r="CN24" s="14"/>
      <c r="CO24" s="14"/>
      <c r="CP24" s="14"/>
      <c r="CQ24" s="14"/>
      <c r="CU24" s="14"/>
      <c r="CV24" s="14"/>
      <c r="CW24" s="14"/>
      <c r="CX24" s="14"/>
      <c r="DB24" s="14"/>
      <c r="DC24" s="14"/>
      <c r="DD24" s="14"/>
      <c r="DE24" s="14"/>
      <c r="DI24" s="14"/>
      <c r="DJ24" s="14"/>
      <c r="DK24" s="14"/>
      <c r="DL24" s="14"/>
      <c r="DP24" s="14"/>
      <c r="DQ24" s="14"/>
      <c r="DR24" s="14"/>
      <c r="DS24" s="14"/>
      <c r="DV24" s="21"/>
      <c r="EA24" s="22"/>
    </row>
    <row r="25" ht="15.75" customHeight="1" outlineLevel="1">
      <c r="B25" s="12" t="s">
        <v>48</v>
      </c>
      <c r="C25" s="12" t="s">
        <v>61</v>
      </c>
      <c r="E25" s="13"/>
      <c r="F25" s="12" t="s">
        <v>68</v>
      </c>
      <c r="G25" s="14">
        <v>0.2</v>
      </c>
      <c r="I25" s="13">
        <f t="shared" si="2"/>
        <v>9</v>
      </c>
      <c r="J25" s="16">
        <f t="array" ref="J25">MAX(IF($N$3:$EH$3=$J$3,N25:EH25))</f>
        <v>0</v>
      </c>
      <c r="K25" s="16">
        <f t="array" ref="K25">MAX(IF($N$3:$EH$3=$J$3,N25:EH25))</f>
        <v>0</v>
      </c>
      <c r="L25" s="13"/>
      <c r="O25" s="14"/>
      <c r="P25" s="14"/>
      <c r="Q25" s="14"/>
      <c r="R25" s="14"/>
      <c r="V25" s="14"/>
      <c r="W25" s="14"/>
      <c r="X25" s="14"/>
      <c r="Y25" s="14"/>
      <c r="AC25" s="14"/>
      <c r="AD25" s="14"/>
      <c r="AE25" s="14"/>
      <c r="AF25" s="14"/>
      <c r="AJ25" s="14"/>
      <c r="AK25" s="14"/>
      <c r="AL25" s="14"/>
      <c r="AM25" s="14"/>
      <c r="AP25" s="12">
        <v>3.0</v>
      </c>
      <c r="AQ25" s="14"/>
      <c r="AR25" s="14">
        <v>0.5</v>
      </c>
      <c r="AS25" s="14"/>
      <c r="AT25" s="14">
        <v>0.5</v>
      </c>
      <c r="AX25" s="14"/>
      <c r="AY25" s="14">
        <v>0.5</v>
      </c>
      <c r="AZ25" s="14"/>
      <c r="BA25" s="14">
        <v>0.5</v>
      </c>
      <c r="BE25" s="14"/>
      <c r="BF25" s="14">
        <v>0.5</v>
      </c>
      <c r="BG25" s="14"/>
      <c r="BH25" s="14">
        <v>0.5</v>
      </c>
      <c r="BL25" s="14"/>
      <c r="BM25" s="14">
        <v>0.5</v>
      </c>
      <c r="BN25" s="14"/>
      <c r="BO25" s="14">
        <v>0.5</v>
      </c>
      <c r="BR25" s="12">
        <v>3.0</v>
      </c>
      <c r="BS25" s="14"/>
      <c r="BT25" s="14">
        <v>0.8</v>
      </c>
      <c r="BU25" s="14"/>
      <c r="BV25" s="14">
        <v>0.8</v>
      </c>
      <c r="BZ25" s="14"/>
      <c r="CA25" s="14">
        <v>0.8</v>
      </c>
      <c r="CB25" s="14"/>
      <c r="CC25" s="14">
        <v>0.8</v>
      </c>
      <c r="CF25" s="12">
        <v>3.0</v>
      </c>
      <c r="CG25" s="14"/>
      <c r="CH25" s="14">
        <v>1.0</v>
      </c>
      <c r="CI25" s="14"/>
      <c r="CJ25" s="14">
        <v>1.0</v>
      </c>
      <c r="CN25" s="14"/>
      <c r="CO25" s="14"/>
      <c r="CP25" s="14"/>
      <c r="CQ25" s="14"/>
      <c r="CU25" s="14"/>
      <c r="CV25" s="14"/>
      <c r="CW25" s="14"/>
      <c r="CX25" s="14"/>
      <c r="DB25" s="14"/>
      <c r="DC25" s="14"/>
      <c r="DD25" s="14"/>
      <c r="DE25" s="14"/>
      <c r="DI25" s="14"/>
      <c r="DJ25" s="14"/>
      <c r="DK25" s="14"/>
      <c r="DL25" s="14"/>
      <c r="DP25" s="14"/>
      <c r="DQ25" s="14"/>
      <c r="DR25" s="14"/>
      <c r="DS25" s="14"/>
      <c r="DV25" s="21"/>
      <c r="EA25" s="22"/>
    </row>
    <row r="26" ht="15.75" customHeight="1">
      <c r="DV26" s="21"/>
      <c r="EA26" s="22"/>
    </row>
    <row r="27" ht="15.75" customHeight="1">
      <c r="B27" s="12" t="s">
        <v>17</v>
      </c>
      <c r="C27" s="12" t="s">
        <v>69</v>
      </c>
      <c r="E27" s="13">
        <v>5.0</v>
      </c>
      <c r="G27" s="14">
        <f>+SUM(G28:G37)</f>
        <v>0.8</v>
      </c>
      <c r="I27" s="15">
        <f>+SUM(I28:I37)</f>
        <v>108</v>
      </c>
      <c r="J27" s="16">
        <v>0.0</v>
      </c>
      <c r="K27" s="16">
        <v>0.0</v>
      </c>
      <c r="L27" s="13"/>
      <c r="N27" s="15">
        <v>6.0</v>
      </c>
      <c r="U27" s="15">
        <v>8.0</v>
      </c>
      <c r="AB27" s="15">
        <v>8.0</v>
      </c>
      <c r="AI27" s="15">
        <v>8.0</v>
      </c>
      <c r="AP27" s="15">
        <v>8.0</v>
      </c>
      <c r="AW27" s="15">
        <v>6.0</v>
      </c>
      <c r="BD27" s="15">
        <v>6.0</v>
      </c>
      <c r="BK27" s="15">
        <v>6.0</v>
      </c>
      <c r="BR27" s="15">
        <v>6.0</v>
      </c>
      <c r="BY27" s="15">
        <v>6.0</v>
      </c>
      <c r="CF27" s="15">
        <v>6.0</v>
      </c>
      <c r="CM27" s="15"/>
      <c r="CT27" s="15"/>
      <c r="DA27" s="15"/>
      <c r="DH27" s="15"/>
      <c r="DO27" s="15"/>
      <c r="DV27" s="21"/>
      <c r="EA27" s="22"/>
    </row>
    <row r="28" ht="15.75" customHeight="1" outlineLevel="1">
      <c r="B28" s="12" t="s">
        <v>48</v>
      </c>
      <c r="C28" s="12" t="s">
        <v>69</v>
      </c>
      <c r="E28" s="13"/>
      <c r="F28" s="12" t="s">
        <v>70</v>
      </c>
      <c r="G28" s="14">
        <v>0.1</v>
      </c>
      <c r="I28" s="13">
        <f t="shared" ref="I28:I37" si="3">+SUMIF($N$3:$ZZ$3,I$3,$N28:$ZZ28)</f>
        <v>10</v>
      </c>
      <c r="J28" s="23">
        <v>0.5</v>
      </c>
      <c r="K28" s="23">
        <v>0.5</v>
      </c>
      <c r="L28" s="13"/>
      <c r="N28" s="12">
        <v>2.0</v>
      </c>
      <c r="O28" s="14">
        <v>0.5</v>
      </c>
      <c r="P28" s="14">
        <v>0.5</v>
      </c>
      <c r="Q28" s="14">
        <v>0.5</v>
      </c>
      <c r="R28" s="14">
        <v>0.5</v>
      </c>
      <c r="V28" s="20">
        <v>0.5</v>
      </c>
      <c r="W28" s="14">
        <v>0.5</v>
      </c>
      <c r="X28" s="20">
        <v>0.5</v>
      </c>
      <c r="Y28" s="14">
        <v>0.5</v>
      </c>
      <c r="AB28" s="12">
        <v>4.0</v>
      </c>
      <c r="AC28" s="20">
        <v>0.5</v>
      </c>
      <c r="AD28" s="20">
        <v>0.8</v>
      </c>
      <c r="AE28" s="20">
        <v>0.5</v>
      </c>
      <c r="AF28" s="14">
        <v>0.8</v>
      </c>
      <c r="AJ28" s="20">
        <v>0.5</v>
      </c>
      <c r="AK28" s="14">
        <v>0.8</v>
      </c>
      <c r="AL28" s="14"/>
      <c r="AM28" s="14">
        <v>0.8</v>
      </c>
      <c r="AQ28" s="20">
        <v>0.5</v>
      </c>
      <c r="AR28" s="14">
        <v>0.8</v>
      </c>
      <c r="AS28" s="20">
        <v>0.5</v>
      </c>
      <c r="AT28" s="14">
        <v>0.8</v>
      </c>
      <c r="AX28" s="14"/>
      <c r="AY28" s="14">
        <v>0.8</v>
      </c>
      <c r="AZ28" s="14"/>
      <c r="BA28" s="14">
        <v>0.8</v>
      </c>
      <c r="BE28" s="14"/>
      <c r="BF28" s="14">
        <v>0.8</v>
      </c>
      <c r="BG28" s="14"/>
      <c r="BH28" s="14">
        <v>0.8</v>
      </c>
      <c r="BL28" s="14"/>
      <c r="BM28" s="14">
        <v>0.8</v>
      </c>
      <c r="BN28" s="14"/>
      <c r="BO28" s="14">
        <v>1.0</v>
      </c>
      <c r="BR28" s="12">
        <v>4.0</v>
      </c>
      <c r="BS28" s="14"/>
      <c r="BT28" s="14">
        <v>1.0</v>
      </c>
      <c r="BU28" s="14"/>
      <c r="BV28" s="14">
        <v>1.0</v>
      </c>
      <c r="BZ28" s="14"/>
      <c r="CA28" s="14">
        <v>1.0</v>
      </c>
      <c r="CB28" s="14"/>
      <c r="CC28" s="14">
        <v>1.0</v>
      </c>
      <c r="CG28" s="14"/>
      <c r="CH28" s="14">
        <v>1.0</v>
      </c>
      <c r="CI28" s="14"/>
      <c r="CJ28" s="14">
        <v>1.0</v>
      </c>
      <c r="CN28" s="14"/>
      <c r="CO28" s="14">
        <v>1.0</v>
      </c>
      <c r="CP28" s="14"/>
      <c r="CQ28" s="14">
        <v>1.0</v>
      </c>
      <c r="CU28" s="14"/>
      <c r="CV28" s="14"/>
      <c r="CW28" s="14"/>
      <c r="CX28" s="14"/>
      <c r="DB28" s="14"/>
      <c r="DC28" s="14"/>
      <c r="DD28" s="14"/>
      <c r="DE28" s="14"/>
      <c r="DI28" s="14"/>
      <c r="DJ28" s="14"/>
      <c r="DK28" s="14"/>
      <c r="DL28" s="14"/>
      <c r="DP28" s="14"/>
      <c r="DQ28" s="14"/>
      <c r="DR28" s="14"/>
      <c r="DS28" s="14"/>
      <c r="DV28" s="21"/>
      <c r="EA28" s="22"/>
    </row>
    <row r="29" ht="15.75" customHeight="1" outlineLevel="1">
      <c r="B29" s="12" t="s">
        <v>48</v>
      </c>
      <c r="C29" s="12" t="s">
        <v>69</v>
      </c>
      <c r="E29" s="13"/>
      <c r="F29" s="12" t="s">
        <v>71</v>
      </c>
      <c r="G29" s="14">
        <v>0.05</v>
      </c>
      <c r="I29" s="13">
        <f t="shared" si="3"/>
        <v>10</v>
      </c>
      <c r="J29" s="23">
        <v>0.5</v>
      </c>
      <c r="K29" s="23">
        <v>0.5</v>
      </c>
      <c r="L29" s="13"/>
      <c r="N29" s="12">
        <v>2.0</v>
      </c>
      <c r="O29" s="14">
        <v>0.3</v>
      </c>
      <c r="P29" s="14">
        <v>0.5</v>
      </c>
      <c r="Q29" s="14">
        <v>0.3</v>
      </c>
      <c r="R29" s="14">
        <v>0.5</v>
      </c>
      <c r="V29" s="20">
        <v>0.5</v>
      </c>
      <c r="W29" s="14">
        <v>0.5</v>
      </c>
      <c r="X29" s="20">
        <v>0.5</v>
      </c>
      <c r="Y29" s="14">
        <v>0.5</v>
      </c>
      <c r="AC29" s="20">
        <v>0.5</v>
      </c>
      <c r="AD29" s="14">
        <v>0.5</v>
      </c>
      <c r="AE29" s="20">
        <v>0.5</v>
      </c>
      <c r="AF29" s="14">
        <v>0.5</v>
      </c>
      <c r="AI29" s="12">
        <v>4.0</v>
      </c>
      <c r="AJ29" s="20">
        <v>0.5</v>
      </c>
      <c r="AK29" s="14">
        <v>0.8</v>
      </c>
      <c r="AL29" s="14"/>
      <c r="AM29" s="14">
        <v>0.8</v>
      </c>
      <c r="AQ29" s="20">
        <v>0.5</v>
      </c>
      <c r="AR29" s="14">
        <v>0.8</v>
      </c>
      <c r="AS29" s="20">
        <v>0.5</v>
      </c>
      <c r="AT29" s="14">
        <v>0.8</v>
      </c>
      <c r="AX29" s="14"/>
      <c r="AY29" s="14">
        <v>0.8</v>
      </c>
      <c r="AZ29" s="14"/>
      <c r="BA29" s="14">
        <v>0.8</v>
      </c>
      <c r="BE29" s="14"/>
      <c r="BF29" s="14">
        <v>0.8</v>
      </c>
      <c r="BG29" s="14"/>
      <c r="BH29" s="14">
        <v>0.8</v>
      </c>
      <c r="BL29" s="14"/>
      <c r="BM29" s="14">
        <v>0.8</v>
      </c>
      <c r="BN29" s="14"/>
      <c r="BO29" s="14">
        <v>1.0</v>
      </c>
      <c r="BR29" s="12">
        <v>4.0</v>
      </c>
      <c r="BS29" s="14"/>
      <c r="BT29" s="14">
        <v>1.0</v>
      </c>
      <c r="BU29" s="14"/>
      <c r="BV29" s="14">
        <v>1.0</v>
      </c>
      <c r="BZ29" s="14"/>
      <c r="CA29" s="14">
        <v>1.0</v>
      </c>
      <c r="CB29" s="14"/>
      <c r="CC29" s="14">
        <v>1.0</v>
      </c>
      <c r="CG29" s="14"/>
      <c r="CH29" s="14">
        <v>1.0</v>
      </c>
      <c r="CI29" s="14"/>
      <c r="CJ29" s="14">
        <v>1.0</v>
      </c>
      <c r="CN29" s="14"/>
      <c r="CO29" s="14">
        <v>1.0</v>
      </c>
      <c r="CP29" s="14"/>
      <c r="CQ29" s="14">
        <v>1.0</v>
      </c>
      <c r="CU29" s="14"/>
      <c r="CV29" s="14"/>
      <c r="CW29" s="14"/>
      <c r="CX29" s="14"/>
      <c r="DB29" s="14"/>
      <c r="DC29" s="14"/>
      <c r="DD29" s="14"/>
      <c r="DE29" s="14"/>
      <c r="DI29" s="14"/>
      <c r="DJ29" s="14"/>
      <c r="DK29" s="14"/>
      <c r="DL29" s="14"/>
      <c r="DP29" s="14"/>
      <c r="DQ29" s="14"/>
      <c r="DR29" s="14"/>
      <c r="DS29" s="14"/>
      <c r="DV29" s="21"/>
      <c r="EA29" s="22"/>
    </row>
    <row r="30" ht="15.75" customHeight="1" outlineLevel="1">
      <c r="B30" s="12" t="s">
        <v>48</v>
      </c>
      <c r="C30" s="12" t="s">
        <v>69</v>
      </c>
      <c r="E30" s="13"/>
      <c r="F30" s="12" t="s">
        <v>72</v>
      </c>
      <c r="G30" s="14">
        <v>0.05</v>
      </c>
      <c r="I30" s="13">
        <f t="shared" si="3"/>
        <v>12</v>
      </c>
      <c r="J30" s="23">
        <v>0.5</v>
      </c>
      <c r="K30" s="23">
        <v>0.5</v>
      </c>
      <c r="L30" s="13"/>
      <c r="O30" s="14"/>
      <c r="P30" s="14"/>
      <c r="Q30" s="14"/>
      <c r="R30" s="14"/>
      <c r="U30" s="12">
        <v>4.0</v>
      </c>
      <c r="V30" s="20">
        <v>0.5</v>
      </c>
      <c r="W30" s="14">
        <v>0.5</v>
      </c>
      <c r="X30" s="20">
        <v>0.5</v>
      </c>
      <c r="Y30" s="14">
        <v>0.5</v>
      </c>
      <c r="AC30" s="20">
        <v>0.5</v>
      </c>
      <c r="AD30" s="14">
        <v>0.5</v>
      </c>
      <c r="AE30" s="20">
        <v>0.5</v>
      </c>
      <c r="AF30" s="14">
        <v>0.5</v>
      </c>
      <c r="AJ30" s="20">
        <v>0.5</v>
      </c>
      <c r="AK30" s="14">
        <v>0.5</v>
      </c>
      <c r="AL30" s="14"/>
      <c r="AM30" s="14">
        <v>0.5</v>
      </c>
      <c r="AP30" s="12">
        <v>4.0</v>
      </c>
      <c r="AQ30" s="20">
        <v>0.5</v>
      </c>
      <c r="AR30" s="14">
        <v>0.8</v>
      </c>
      <c r="AS30" s="20">
        <v>0.5</v>
      </c>
      <c r="AT30" s="14">
        <v>0.8</v>
      </c>
      <c r="AX30" s="14"/>
      <c r="AY30" s="14">
        <v>0.8</v>
      </c>
      <c r="AZ30" s="14"/>
      <c r="BA30" s="14">
        <v>0.8</v>
      </c>
      <c r="BE30" s="14"/>
      <c r="BF30" s="14">
        <v>0.8</v>
      </c>
      <c r="BG30" s="14"/>
      <c r="BH30" s="14">
        <v>0.8</v>
      </c>
      <c r="BL30" s="14"/>
      <c r="BM30" s="14">
        <v>0.8</v>
      </c>
      <c r="BN30" s="14"/>
      <c r="BO30" s="14">
        <v>0.8</v>
      </c>
      <c r="BS30" s="14"/>
      <c r="BT30" s="14">
        <v>0.8</v>
      </c>
      <c r="BU30" s="14"/>
      <c r="BV30" s="14">
        <v>0.8</v>
      </c>
      <c r="BY30" s="12">
        <v>4.0</v>
      </c>
      <c r="BZ30" s="14"/>
      <c r="CA30" s="14">
        <v>1.0</v>
      </c>
      <c r="CB30" s="14"/>
      <c r="CC30" s="14">
        <v>1.0</v>
      </c>
      <c r="CG30" s="14"/>
      <c r="CH30" s="14">
        <v>1.0</v>
      </c>
      <c r="CI30" s="14"/>
      <c r="CJ30" s="14">
        <v>1.0</v>
      </c>
      <c r="CN30" s="14"/>
      <c r="CO30" s="14">
        <v>1.0</v>
      </c>
      <c r="CP30" s="14"/>
      <c r="CQ30" s="14">
        <v>1.0</v>
      </c>
      <c r="CU30" s="14"/>
      <c r="CV30" s="14"/>
      <c r="CW30" s="14"/>
      <c r="CX30" s="14"/>
      <c r="DB30" s="14"/>
      <c r="DC30" s="14"/>
      <c r="DD30" s="14"/>
      <c r="DE30" s="14"/>
      <c r="DI30" s="14"/>
      <c r="DJ30" s="14"/>
      <c r="DK30" s="14"/>
      <c r="DL30" s="14"/>
      <c r="DP30" s="14"/>
      <c r="DQ30" s="14"/>
      <c r="DR30" s="14"/>
      <c r="DS30" s="14"/>
      <c r="DV30" s="21"/>
      <c r="EA30" s="22"/>
    </row>
    <row r="31" ht="15.75" customHeight="1" outlineLevel="1">
      <c r="B31" s="12" t="s">
        <v>48</v>
      </c>
      <c r="C31" s="12" t="s">
        <v>69</v>
      </c>
      <c r="E31" s="13"/>
      <c r="F31" s="12" t="s">
        <v>73</v>
      </c>
      <c r="G31" s="14">
        <v>0.05</v>
      </c>
      <c r="I31" s="13">
        <f t="shared" si="3"/>
        <v>12</v>
      </c>
      <c r="J31" s="23">
        <v>0.5</v>
      </c>
      <c r="K31" s="23">
        <v>0.5</v>
      </c>
      <c r="L31" s="13"/>
      <c r="O31" s="14"/>
      <c r="P31" s="14"/>
      <c r="Q31" s="14"/>
      <c r="R31" s="14"/>
      <c r="U31" s="12">
        <v>4.0</v>
      </c>
      <c r="V31" s="14"/>
      <c r="W31" s="14">
        <v>0.5</v>
      </c>
      <c r="X31" s="14"/>
      <c r="Y31" s="14">
        <v>0.5</v>
      </c>
      <c r="AC31" s="20">
        <v>0.5</v>
      </c>
      <c r="AD31" s="14">
        <v>0.5</v>
      </c>
      <c r="AE31" s="20">
        <v>0.5</v>
      </c>
      <c r="AF31" s="14">
        <v>0.5</v>
      </c>
      <c r="AJ31" s="20">
        <v>0.5</v>
      </c>
      <c r="AK31" s="14">
        <v>0.5</v>
      </c>
      <c r="AL31" s="14"/>
      <c r="AM31" s="14">
        <v>0.5</v>
      </c>
      <c r="AQ31" s="20">
        <v>0.5</v>
      </c>
      <c r="AR31" s="14">
        <v>0.5</v>
      </c>
      <c r="AS31" s="20">
        <v>0.5</v>
      </c>
      <c r="AT31" s="14">
        <v>0.5</v>
      </c>
      <c r="AW31" s="12">
        <v>4.0</v>
      </c>
      <c r="AX31" s="14"/>
      <c r="AY31" s="14">
        <v>0.8</v>
      </c>
      <c r="AZ31" s="14"/>
      <c r="BA31" s="14">
        <v>0.8</v>
      </c>
      <c r="BE31" s="14"/>
      <c r="BF31" s="14">
        <v>0.8</v>
      </c>
      <c r="BG31" s="14"/>
      <c r="BH31" s="14">
        <v>0.8</v>
      </c>
      <c r="BL31" s="14"/>
      <c r="BM31" s="14">
        <v>0.8</v>
      </c>
      <c r="BN31" s="14"/>
      <c r="BO31" s="14">
        <v>0.8</v>
      </c>
      <c r="BS31" s="14"/>
      <c r="BT31" s="14">
        <v>0.8</v>
      </c>
      <c r="BU31" s="14"/>
      <c r="BV31" s="14">
        <v>0.8</v>
      </c>
      <c r="BZ31" s="14"/>
      <c r="CA31" s="14">
        <v>0.8</v>
      </c>
      <c r="CB31" s="14"/>
      <c r="CC31" s="14">
        <v>0.8</v>
      </c>
      <c r="CF31" s="12">
        <v>4.0</v>
      </c>
      <c r="CG31" s="14"/>
      <c r="CH31" s="14">
        <v>1.0</v>
      </c>
      <c r="CI31" s="14"/>
      <c r="CJ31" s="14">
        <v>1.0</v>
      </c>
      <c r="CN31" s="14"/>
      <c r="CO31" s="14">
        <v>1.0</v>
      </c>
      <c r="CP31" s="14"/>
      <c r="CQ31" s="14">
        <v>1.0</v>
      </c>
      <c r="CU31" s="14"/>
      <c r="CV31" s="14"/>
      <c r="CW31" s="14"/>
      <c r="CX31" s="14"/>
      <c r="DB31" s="14"/>
      <c r="DC31" s="14"/>
      <c r="DD31" s="14"/>
      <c r="DE31" s="14"/>
      <c r="DI31" s="14"/>
      <c r="DJ31" s="14"/>
      <c r="DK31" s="14"/>
      <c r="DL31" s="14"/>
      <c r="DP31" s="14"/>
      <c r="DQ31" s="14"/>
      <c r="DR31" s="14"/>
      <c r="DS31" s="14"/>
      <c r="DV31" s="21"/>
      <c r="EA31" s="22"/>
    </row>
    <row r="32" ht="15.75" customHeight="1" outlineLevel="1">
      <c r="B32" s="12" t="s">
        <v>48</v>
      </c>
      <c r="C32" s="12" t="s">
        <v>69</v>
      </c>
      <c r="E32" s="13"/>
      <c r="F32" s="12" t="s">
        <v>74</v>
      </c>
      <c r="G32" s="14">
        <v>0.05</v>
      </c>
      <c r="I32" s="13">
        <f t="shared" si="3"/>
        <v>12</v>
      </c>
      <c r="J32" s="16">
        <v>0.0</v>
      </c>
      <c r="K32" s="16">
        <v>0.0</v>
      </c>
      <c r="L32" s="13"/>
      <c r="O32" s="14"/>
      <c r="P32" s="14"/>
      <c r="Q32" s="14"/>
      <c r="R32" s="14"/>
      <c r="V32" s="14"/>
      <c r="W32" s="14"/>
      <c r="X32" s="14"/>
      <c r="Y32" s="14"/>
      <c r="AB32" s="12">
        <v>4.0</v>
      </c>
      <c r="AC32" s="14"/>
      <c r="AD32" s="14">
        <v>0.5</v>
      </c>
      <c r="AE32" s="14"/>
      <c r="AF32" s="14">
        <v>0.5</v>
      </c>
      <c r="AJ32" s="14"/>
      <c r="AK32" s="14">
        <v>0.5</v>
      </c>
      <c r="AL32" s="14"/>
      <c r="AM32" s="14">
        <v>0.5</v>
      </c>
      <c r="AQ32" s="14"/>
      <c r="AR32" s="14">
        <v>0.5</v>
      </c>
      <c r="AS32" s="14"/>
      <c r="AT32" s="14">
        <v>0.5</v>
      </c>
      <c r="AX32" s="14"/>
      <c r="AY32" s="14">
        <v>0.5</v>
      </c>
      <c r="AZ32" s="14"/>
      <c r="BA32" s="14">
        <v>0.5</v>
      </c>
      <c r="BE32" s="14"/>
      <c r="BF32" s="14">
        <v>0.5</v>
      </c>
      <c r="BG32" s="14"/>
      <c r="BH32" s="14">
        <v>0.5</v>
      </c>
      <c r="BK32" s="12">
        <v>4.0</v>
      </c>
      <c r="BL32" s="14"/>
      <c r="BM32" s="14">
        <v>0.8</v>
      </c>
      <c r="BN32" s="14"/>
      <c r="BO32" s="14">
        <v>0.8</v>
      </c>
      <c r="BS32" s="14"/>
      <c r="BT32" s="14">
        <v>0.8</v>
      </c>
      <c r="BU32" s="14"/>
      <c r="BV32" s="14">
        <v>0.8</v>
      </c>
      <c r="BZ32" s="14"/>
      <c r="CA32" s="14">
        <v>0.8</v>
      </c>
      <c r="CB32" s="14"/>
      <c r="CC32" s="14">
        <v>0.8</v>
      </c>
      <c r="CF32" s="12">
        <v>4.0</v>
      </c>
      <c r="CG32" s="14"/>
      <c r="CH32" s="14">
        <v>1.0</v>
      </c>
      <c r="CI32" s="14"/>
      <c r="CJ32" s="14">
        <v>1.0</v>
      </c>
      <c r="CN32" s="14"/>
      <c r="CO32" s="14">
        <v>1.0</v>
      </c>
      <c r="CP32" s="14"/>
      <c r="CQ32" s="14">
        <v>1.0</v>
      </c>
      <c r="CU32" s="14"/>
      <c r="CV32" s="14"/>
      <c r="CW32" s="14"/>
      <c r="CX32" s="14"/>
      <c r="DB32" s="14"/>
      <c r="DC32" s="14"/>
      <c r="DD32" s="14"/>
      <c r="DE32" s="14"/>
      <c r="DI32" s="14"/>
      <c r="DJ32" s="14"/>
      <c r="DK32" s="14"/>
      <c r="DL32" s="14"/>
      <c r="DP32" s="14"/>
      <c r="DQ32" s="14"/>
      <c r="DR32" s="14"/>
      <c r="DS32" s="14"/>
      <c r="DV32" s="21"/>
      <c r="EA32" s="22"/>
    </row>
    <row r="33" ht="15.75" customHeight="1" outlineLevel="1">
      <c r="B33" s="12" t="s">
        <v>48</v>
      </c>
      <c r="C33" s="12" t="s">
        <v>69</v>
      </c>
      <c r="E33" s="13"/>
      <c r="F33" s="12" t="s">
        <v>75</v>
      </c>
      <c r="G33" s="14">
        <v>0.1</v>
      </c>
      <c r="I33" s="13">
        <f t="shared" si="3"/>
        <v>12</v>
      </c>
      <c r="J33" s="16">
        <f t="array" ref="J33">MAX(IF($N$3:$EH$3=$J$3,N33:EH33))</f>
        <v>0</v>
      </c>
      <c r="K33" s="16">
        <f t="array" ref="K33">MAX(IF($N$3:$EH$3=$J$3,N33:EH33))</f>
        <v>0</v>
      </c>
      <c r="L33" s="13"/>
      <c r="O33" s="14"/>
      <c r="P33" s="14"/>
      <c r="Q33" s="14"/>
      <c r="R33" s="14"/>
      <c r="V33" s="14"/>
      <c r="W33" s="14"/>
      <c r="X33" s="14"/>
      <c r="Y33" s="14"/>
      <c r="AC33" s="14"/>
      <c r="AD33" s="14"/>
      <c r="AE33" s="14"/>
      <c r="AF33" s="14"/>
      <c r="AI33" s="12">
        <v>4.0</v>
      </c>
      <c r="AJ33" s="14"/>
      <c r="AK33" s="14">
        <v>0.5</v>
      </c>
      <c r="AL33" s="14"/>
      <c r="AM33" s="14">
        <v>0.5</v>
      </c>
      <c r="AQ33" s="14"/>
      <c r="AR33" s="14">
        <v>0.5</v>
      </c>
      <c r="AS33" s="14"/>
      <c r="AT33" s="14">
        <v>0.5</v>
      </c>
      <c r="AX33" s="14"/>
      <c r="AY33" s="14">
        <v>0.5</v>
      </c>
      <c r="AZ33" s="14"/>
      <c r="BA33" s="14">
        <v>0.5</v>
      </c>
      <c r="BE33" s="14"/>
      <c r="BF33" s="14">
        <v>0.5</v>
      </c>
      <c r="BG33" s="14"/>
      <c r="BH33" s="14">
        <v>0.5</v>
      </c>
      <c r="BL33" s="14"/>
      <c r="BM33" s="14">
        <v>0.5</v>
      </c>
      <c r="BN33" s="14"/>
      <c r="BO33" s="14">
        <v>0.5</v>
      </c>
      <c r="BR33" s="12">
        <v>4.0</v>
      </c>
      <c r="BS33" s="14"/>
      <c r="BT33" s="14">
        <v>0.8</v>
      </c>
      <c r="BU33" s="14"/>
      <c r="BV33" s="14">
        <v>0.8</v>
      </c>
      <c r="BZ33" s="14"/>
      <c r="CA33" s="14">
        <v>0.8</v>
      </c>
      <c r="CB33" s="14"/>
      <c r="CC33" s="14">
        <v>0.8</v>
      </c>
      <c r="CG33" s="14"/>
      <c r="CH33" s="14">
        <v>0.8</v>
      </c>
      <c r="CI33" s="14"/>
      <c r="CJ33" s="14">
        <v>0.8</v>
      </c>
      <c r="CM33" s="12">
        <v>4.0</v>
      </c>
      <c r="CN33" s="14"/>
      <c r="CO33" s="14">
        <v>1.0</v>
      </c>
      <c r="CP33" s="14"/>
      <c r="CQ33" s="14">
        <v>1.0</v>
      </c>
      <c r="CU33" s="14"/>
      <c r="CV33" s="14"/>
      <c r="CW33" s="14"/>
      <c r="CX33" s="14"/>
      <c r="DB33" s="14"/>
      <c r="DC33" s="14"/>
      <c r="DD33" s="14"/>
      <c r="DE33" s="14"/>
      <c r="DI33" s="14"/>
      <c r="DJ33" s="14"/>
      <c r="DK33" s="14"/>
      <c r="DL33" s="14"/>
      <c r="DP33" s="14"/>
      <c r="DQ33" s="14"/>
      <c r="DR33" s="14"/>
      <c r="DS33" s="14"/>
      <c r="DV33" s="21"/>
      <c r="EA33" s="22"/>
    </row>
    <row r="34" ht="15.75" customHeight="1" outlineLevel="1">
      <c r="B34" s="12" t="s">
        <v>48</v>
      </c>
      <c r="C34" s="12" t="s">
        <v>69</v>
      </c>
      <c r="E34" s="13"/>
      <c r="F34" s="12" t="s">
        <v>76</v>
      </c>
      <c r="G34" s="14">
        <v>0.1</v>
      </c>
      <c r="I34" s="13">
        <f t="shared" si="3"/>
        <v>8</v>
      </c>
      <c r="J34" s="16">
        <f t="array" ref="J34">MAX(IF($N$3:$EH$3=$J$3,N34:EH34))</f>
        <v>0</v>
      </c>
      <c r="K34" s="16">
        <f t="array" ref="K34">MAX(IF($N$3:$EH$3=$J$3,N34:EH34))</f>
        <v>0</v>
      </c>
      <c r="L34" s="13"/>
      <c r="O34" s="14"/>
      <c r="P34" s="14"/>
      <c r="Q34" s="14"/>
      <c r="R34" s="14"/>
      <c r="V34" s="14"/>
      <c r="W34" s="14"/>
      <c r="X34" s="14"/>
      <c r="Y34" s="14"/>
      <c r="AC34" s="14"/>
      <c r="AD34" s="14"/>
      <c r="AE34" s="14"/>
      <c r="AF34" s="14"/>
      <c r="AJ34" s="14"/>
      <c r="AK34" s="14"/>
      <c r="AL34" s="14"/>
      <c r="AM34" s="14"/>
      <c r="AP34" s="12">
        <v>4.0</v>
      </c>
      <c r="AQ34" s="14"/>
      <c r="AR34" s="14">
        <v>0.5</v>
      </c>
      <c r="AS34" s="14"/>
      <c r="AT34" s="14">
        <v>0.5</v>
      </c>
      <c r="AX34" s="14"/>
      <c r="AY34" s="14">
        <v>0.5</v>
      </c>
      <c r="AZ34" s="14"/>
      <c r="BA34" s="14">
        <v>0.5</v>
      </c>
      <c r="BE34" s="14"/>
      <c r="BF34" s="14">
        <v>0.5</v>
      </c>
      <c r="BG34" s="14"/>
      <c r="BH34" s="14">
        <v>0.5</v>
      </c>
      <c r="BL34" s="14"/>
      <c r="BM34" s="14">
        <v>0.5</v>
      </c>
      <c r="BN34" s="14"/>
      <c r="BO34" s="14">
        <v>0.5</v>
      </c>
      <c r="BS34" s="14"/>
      <c r="BT34" s="14">
        <v>0.5</v>
      </c>
      <c r="BU34" s="14"/>
      <c r="BV34" s="14">
        <v>0.5</v>
      </c>
      <c r="BZ34" s="14"/>
      <c r="CA34" s="14">
        <v>0.8</v>
      </c>
      <c r="CB34" s="14"/>
      <c r="CC34" s="14">
        <v>0.8</v>
      </c>
      <c r="CG34" s="14"/>
      <c r="CH34" s="14">
        <v>0.8</v>
      </c>
      <c r="CI34" s="14"/>
      <c r="CJ34" s="14">
        <v>0.8</v>
      </c>
      <c r="CM34" s="12">
        <v>4.0</v>
      </c>
      <c r="CN34" s="14"/>
      <c r="CO34" s="14">
        <v>1.0</v>
      </c>
      <c r="CP34" s="14"/>
      <c r="CQ34" s="14">
        <v>1.0</v>
      </c>
      <c r="CU34" s="14"/>
      <c r="CV34" s="14"/>
      <c r="CW34" s="14"/>
      <c r="CX34" s="14"/>
      <c r="DB34" s="14"/>
      <c r="DC34" s="14"/>
      <c r="DD34" s="14"/>
      <c r="DE34" s="14"/>
      <c r="DI34" s="14"/>
      <c r="DJ34" s="14"/>
      <c r="DK34" s="14"/>
      <c r="DL34" s="14"/>
      <c r="DP34" s="14"/>
      <c r="DQ34" s="14"/>
      <c r="DR34" s="14"/>
      <c r="DS34" s="14"/>
      <c r="DV34" s="21"/>
      <c r="EA34" s="22"/>
    </row>
    <row r="35" ht="15.75" customHeight="1" outlineLevel="1">
      <c r="B35" s="12" t="s">
        <v>48</v>
      </c>
      <c r="C35" s="12" t="s">
        <v>69</v>
      </c>
      <c r="E35" s="13"/>
      <c r="F35" s="12" t="s">
        <v>77</v>
      </c>
      <c r="G35" s="14">
        <v>0.1</v>
      </c>
      <c r="I35" s="13">
        <f t="shared" si="3"/>
        <v>12</v>
      </c>
      <c r="J35" s="16">
        <f t="array" ref="J35">MAX(IF($N$3:$EH$3=$J$3,N35:EH35))</f>
        <v>0</v>
      </c>
      <c r="K35" s="16">
        <f t="array" ref="K35">MAX(IF($N$3:$EH$3=$J$3,N35:EH35))</f>
        <v>0</v>
      </c>
      <c r="L35" s="13"/>
      <c r="O35" s="14"/>
      <c r="P35" s="14"/>
      <c r="Q35" s="14"/>
      <c r="R35" s="14"/>
      <c r="V35" s="14"/>
      <c r="W35" s="14"/>
      <c r="X35" s="14"/>
      <c r="Y35" s="14"/>
      <c r="AC35" s="14"/>
      <c r="AD35" s="14"/>
      <c r="AE35" s="14"/>
      <c r="AF35" s="14"/>
      <c r="AJ35" s="14"/>
      <c r="AK35" s="14"/>
      <c r="AL35" s="14"/>
      <c r="AM35" s="14"/>
      <c r="AQ35" s="14"/>
      <c r="AR35" s="14"/>
      <c r="AS35" s="14"/>
      <c r="AT35" s="14"/>
      <c r="AW35" s="12">
        <v>4.0</v>
      </c>
      <c r="AX35" s="14"/>
      <c r="AY35" s="14">
        <v>0.5</v>
      </c>
      <c r="AZ35" s="14"/>
      <c r="BA35" s="14">
        <v>0.5</v>
      </c>
      <c r="BE35" s="14"/>
      <c r="BF35" s="14">
        <v>0.5</v>
      </c>
      <c r="BG35" s="14"/>
      <c r="BH35" s="14">
        <v>0.5</v>
      </c>
      <c r="BL35" s="14"/>
      <c r="BM35" s="14">
        <v>0.5</v>
      </c>
      <c r="BN35" s="14"/>
      <c r="BO35" s="14">
        <v>0.5</v>
      </c>
      <c r="BS35" s="14"/>
      <c r="BT35" s="14">
        <v>0.5</v>
      </c>
      <c r="BU35" s="14"/>
      <c r="BV35" s="14">
        <v>0.5</v>
      </c>
      <c r="BY35" s="12">
        <v>4.0</v>
      </c>
      <c r="BZ35" s="14"/>
      <c r="CA35" s="14">
        <v>0.8</v>
      </c>
      <c r="CB35" s="14"/>
      <c r="CC35" s="14">
        <v>0.8</v>
      </c>
      <c r="CG35" s="14"/>
      <c r="CH35" s="14">
        <v>0.8</v>
      </c>
      <c r="CI35" s="14"/>
      <c r="CJ35" s="14">
        <v>0.8</v>
      </c>
      <c r="CM35" s="12">
        <v>4.0</v>
      </c>
      <c r="CN35" s="14"/>
      <c r="CO35" s="14">
        <v>1.0</v>
      </c>
      <c r="CP35" s="14"/>
      <c r="CQ35" s="14">
        <v>1.0</v>
      </c>
      <c r="CU35" s="14"/>
      <c r="CV35" s="14"/>
      <c r="CW35" s="14"/>
      <c r="CX35" s="14"/>
      <c r="DB35" s="14"/>
      <c r="DC35" s="14"/>
      <c r="DD35" s="14"/>
      <c r="DE35" s="14"/>
      <c r="DI35" s="14"/>
      <c r="DJ35" s="14"/>
      <c r="DK35" s="14"/>
      <c r="DL35" s="14"/>
      <c r="DP35" s="14"/>
      <c r="DQ35" s="14"/>
      <c r="DR35" s="14"/>
      <c r="DS35" s="14"/>
      <c r="DV35" s="21"/>
      <c r="EA35" s="22"/>
    </row>
    <row r="36" ht="15.75" customHeight="1" outlineLevel="1">
      <c r="B36" s="12" t="s">
        <v>48</v>
      </c>
      <c r="C36" s="12" t="s">
        <v>69</v>
      </c>
      <c r="E36" s="13"/>
      <c r="F36" s="12" t="s">
        <v>78</v>
      </c>
      <c r="G36" s="14">
        <v>0.1</v>
      </c>
      <c r="I36" s="13">
        <f t="shared" si="3"/>
        <v>8</v>
      </c>
      <c r="J36" s="16">
        <f t="array" ref="J36">MAX(IF($N$3:$EH$3=$J$3,N36:EH36))</f>
        <v>0</v>
      </c>
      <c r="K36" s="16">
        <f t="array" ref="K36">MAX(IF($N$3:$EH$3=$J$3,N36:EH36))</f>
        <v>0</v>
      </c>
      <c r="L36" s="13"/>
      <c r="O36" s="14"/>
      <c r="P36" s="14"/>
      <c r="Q36" s="14"/>
      <c r="R36" s="14"/>
      <c r="V36" s="14"/>
      <c r="W36" s="14"/>
      <c r="X36" s="14"/>
      <c r="Y36" s="14"/>
      <c r="AC36" s="14"/>
      <c r="AD36" s="14"/>
      <c r="AE36" s="14"/>
      <c r="AF36" s="14"/>
      <c r="AJ36" s="14"/>
      <c r="AK36" s="14"/>
      <c r="AL36" s="14"/>
      <c r="AM36" s="14"/>
      <c r="AQ36" s="14"/>
      <c r="AR36" s="14"/>
      <c r="AS36" s="14"/>
      <c r="AT36" s="14"/>
      <c r="AX36" s="14"/>
      <c r="AY36" s="14"/>
      <c r="AZ36" s="14"/>
      <c r="BA36" s="14"/>
      <c r="BD36" s="12">
        <v>4.0</v>
      </c>
      <c r="BE36" s="14"/>
      <c r="BF36" s="14">
        <v>0.5</v>
      </c>
      <c r="BG36" s="14"/>
      <c r="BH36" s="14">
        <v>0.5</v>
      </c>
      <c r="BL36" s="14"/>
      <c r="BM36" s="14">
        <v>0.5</v>
      </c>
      <c r="BN36" s="14"/>
      <c r="BO36" s="14">
        <v>0.5</v>
      </c>
      <c r="BS36" s="14"/>
      <c r="BT36" s="14">
        <v>0.5</v>
      </c>
      <c r="BU36" s="14"/>
      <c r="BV36" s="14">
        <v>0.5</v>
      </c>
      <c r="BY36" s="12">
        <v>4.0</v>
      </c>
      <c r="BZ36" s="14"/>
      <c r="CA36" s="14">
        <v>0.8</v>
      </c>
      <c r="CB36" s="14"/>
      <c r="CC36" s="14">
        <v>0.8</v>
      </c>
      <c r="CG36" s="14"/>
      <c r="CH36" s="14">
        <v>0.8</v>
      </c>
      <c r="CI36" s="14"/>
      <c r="CJ36" s="14">
        <v>0.8</v>
      </c>
      <c r="CN36" s="14"/>
      <c r="CO36" s="14">
        <v>0.8</v>
      </c>
      <c r="CP36" s="14"/>
      <c r="CQ36" s="14">
        <v>0.8</v>
      </c>
      <c r="CU36" s="14"/>
      <c r="CV36" s="14"/>
      <c r="CW36" s="14"/>
      <c r="CX36" s="14"/>
      <c r="DB36" s="14"/>
      <c r="DC36" s="14"/>
      <c r="DD36" s="14"/>
      <c r="DE36" s="14"/>
      <c r="DI36" s="14"/>
      <c r="DJ36" s="14"/>
      <c r="DK36" s="14"/>
      <c r="DL36" s="14"/>
      <c r="DP36" s="14"/>
      <c r="DQ36" s="14"/>
      <c r="DR36" s="14"/>
      <c r="DS36" s="14"/>
      <c r="DV36" s="21"/>
      <c r="EA36" s="22"/>
    </row>
    <row r="37" ht="15.75" customHeight="1" outlineLevel="1">
      <c r="B37" s="12" t="s">
        <v>48</v>
      </c>
      <c r="C37" s="12" t="s">
        <v>69</v>
      </c>
      <c r="E37" s="13"/>
      <c r="F37" s="12" t="s">
        <v>79</v>
      </c>
      <c r="G37" s="14">
        <v>0.1</v>
      </c>
      <c r="I37" s="13">
        <f t="shared" si="3"/>
        <v>12</v>
      </c>
      <c r="J37" s="16">
        <f t="array" ref="J37">MAX(IF($N$3:$EH$3=$J$3,N37:EH37))</f>
        <v>0</v>
      </c>
      <c r="K37" s="16">
        <f t="array" ref="K37">MAX(IF($N$3:$EH$3=$J$3,N37:EH37))</f>
        <v>0</v>
      </c>
      <c r="L37" s="13"/>
      <c r="O37" s="14"/>
      <c r="P37" s="14"/>
      <c r="Q37" s="14"/>
      <c r="R37" s="14"/>
      <c r="V37" s="14"/>
      <c r="W37" s="14"/>
      <c r="X37" s="14"/>
      <c r="Y37" s="14"/>
      <c r="AC37" s="14"/>
      <c r="AD37" s="14"/>
      <c r="AE37" s="14"/>
      <c r="AF37" s="14"/>
      <c r="AJ37" s="14"/>
      <c r="AK37" s="14"/>
      <c r="AL37" s="14"/>
      <c r="AM37" s="14"/>
      <c r="AQ37" s="14"/>
      <c r="AR37" s="14"/>
      <c r="AS37" s="14"/>
      <c r="AT37" s="14"/>
      <c r="AX37" s="14"/>
      <c r="AY37" s="14"/>
      <c r="AZ37" s="14"/>
      <c r="BA37" s="14"/>
      <c r="BD37" s="12">
        <v>4.0</v>
      </c>
      <c r="BE37" s="14"/>
      <c r="BF37" s="14">
        <v>0.5</v>
      </c>
      <c r="BG37" s="14"/>
      <c r="BH37" s="14">
        <v>0.5</v>
      </c>
      <c r="BK37" s="12">
        <v>4.0</v>
      </c>
      <c r="BL37" s="14"/>
      <c r="BM37" s="14">
        <v>0.5</v>
      </c>
      <c r="BN37" s="14"/>
      <c r="BO37" s="14">
        <v>0.5</v>
      </c>
      <c r="BS37" s="14"/>
      <c r="BT37" s="14">
        <v>0.5</v>
      </c>
      <c r="BU37" s="14"/>
      <c r="BV37" s="14">
        <v>0.5</v>
      </c>
      <c r="BZ37" s="14"/>
      <c r="CA37" s="14">
        <v>0.5</v>
      </c>
      <c r="CB37" s="14"/>
      <c r="CC37" s="14">
        <v>0.5</v>
      </c>
      <c r="CF37" s="12">
        <v>4.0</v>
      </c>
      <c r="CG37" s="14"/>
      <c r="CH37" s="14">
        <v>0.8</v>
      </c>
      <c r="CI37" s="14"/>
      <c r="CJ37" s="14">
        <v>0.8</v>
      </c>
      <c r="CN37" s="14"/>
      <c r="CO37" s="14">
        <v>0.8</v>
      </c>
      <c r="CP37" s="14"/>
      <c r="CQ37" s="14">
        <v>0.8</v>
      </c>
      <c r="CU37" s="14"/>
      <c r="CV37" s="14"/>
      <c r="CW37" s="14"/>
      <c r="CX37" s="14"/>
      <c r="DB37" s="14"/>
      <c r="DC37" s="14"/>
      <c r="DD37" s="14"/>
      <c r="DE37" s="14"/>
      <c r="DI37" s="14"/>
      <c r="DJ37" s="14"/>
      <c r="DK37" s="14"/>
      <c r="DL37" s="14"/>
      <c r="DP37" s="14"/>
      <c r="DQ37" s="14"/>
      <c r="DR37" s="14"/>
      <c r="DS37" s="14"/>
      <c r="DV37" s="21"/>
      <c r="EA37" s="22"/>
    </row>
    <row r="38" ht="15.75" customHeight="1">
      <c r="DV38" s="21"/>
      <c r="EA38" s="22"/>
    </row>
    <row r="39" ht="15.75" customHeight="1">
      <c r="B39" s="12" t="s">
        <v>17</v>
      </c>
      <c r="C39" s="12" t="s">
        <v>80</v>
      </c>
      <c r="E39" s="13">
        <v>5.0</v>
      </c>
      <c r="G39" s="14">
        <f>+SUM(G40:G50)</f>
        <v>1</v>
      </c>
      <c r="I39" s="15">
        <f>+SUM(I40:I50)</f>
        <v>70</v>
      </c>
      <c r="J39" s="16">
        <f>+SUMPRODUCT(G40:G50,J40:J50)</f>
        <v>0.175</v>
      </c>
      <c r="K39" s="16">
        <f>+SUMPRODUCT(G40:G50,K40:K50)</f>
        <v>0.175</v>
      </c>
      <c r="L39" s="13"/>
      <c r="N39" s="15">
        <v>6.0</v>
      </c>
      <c r="U39" s="15">
        <v>6.0</v>
      </c>
      <c r="AB39" s="15">
        <v>6.0</v>
      </c>
      <c r="AI39" s="15">
        <v>6.0</v>
      </c>
      <c r="AP39" s="15">
        <v>6.0</v>
      </c>
      <c r="AW39" s="15">
        <v>6.0</v>
      </c>
      <c r="BD39" s="15">
        <v>6.0</v>
      </c>
      <c r="BK39" s="15">
        <v>6.0</v>
      </c>
      <c r="BR39" s="15">
        <v>6.0</v>
      </c>
      <c r="BY39" s="15">
        <v>6.0</v>
      </c>
      <c r="CF39" s="15">
        <v>6.0</v>
      </c>
      <c r="CM39" s="15">
        <v>6.0</v>
      </c>
      <c r="CT39" s="15"/>
      <c r="DA39" s="15"/>
      <c r="DH39" s="15"/>
      <c r="DO39" s="15"/>
      <c r="DV39" s="21"/>
      <c r="EA39" s="22"/>
    </row>
    <row r="40" ht="15.75" customHeight="1" outlineLevel="1">
      <c r="B40" s="12" t="s">
        <v>48</v>
      </c>
      <c r="C40" s="12" t="s">
        <v>81</v>
      </c>
      <c r="E40" s="13"/>
      <c r="F40" s="12" t="s">
        <v>82</v>
      </c>
      <c r="G40" s="14">
        <v>0.05</v>
      </c>
      <c r="I40" s="13">
        <f t="shared" ref="I40:I50" si="4">+SUMIF($N$3:$ZZ$3,I$3,$N40:$ZZ40)</f>
        <v>6</v>
      </c>
      <c r="J40" s="16">
        <f t="array" ref="J40">MAX(IF($N$3:$EH$3=$J$3,N40:EH40))</f>
        <v>0.5</v>
      </c>
      <c r="K40" s="16">
        <f t="array" ref="K40">MAX(IF($N$3:$EH$3=$J$3,N40:EH40))</f>
        <v>0.5</v>
      </c>
      <c r="L40" s="13"/>
      <c r="N40" s="12">
        <v>2.0</v>
      </c>
      <c r="O40" s="14">
        <v>0.5</v>
      </c>
      <c r="P40" s="14">
        <v>0.5</v>
      </c>
      <c r="Q40" s="14">
        <v>0.5</v>
      </c>
      <c r="R40" s="14">
        <v>0.5</v>
      </c>
      <c r="V40" s="14">
        <v>0.5</v>
      </c>
      <c r="W40" s="14">
        <v>0.5</v>
      </c>
      <c r="X40" s="14">
        <v>0.5</v>
      </c>
      <c r="Y40" s="14">
        <v>0.5</v>
      </c>
      <c r="AB40" s="12">
        <v>2.0</v>
      </c>
      <c r="AC40" s="14">
        <v>0.5</v>
      </c>
      <c r="AD40" s="20">
        <v>0.8</v>
      </c>
      <c r="AE40" s="14">
        <v>0.5</v>
      </c>
      <c r="AF40" s="14">
        <v>0.8</v>
      </c>
      <c r="AJ40" s="14">
        <v>0.5</v>
      </c>
      <c r="AK40" s="14">
        <v>0.8</v>
      </c>
      <c r="AL40" s="14"/>
      <c r="AM40" s="14">
        <v>0.8</v>
      </c>
      <c r="AQ40" s="14">
        <v>0.5</v>
      </c>
      <c r="AR40" s="14">
        <v>0.8</v>
      </c>
      <c r="AS40" s="14">
        <v>0.5</v>
      </c>
      <c r="AT40" s="14">
        <v>0.8</v>
      </c>
      <c r="AX40" s="14"/>
      <c r="AY40" s="14">
        <v>0.8</v>
      </c>
      <c r="AZ40" s="14"/>
      <c r="BA40" s="14">
        <v>0.8</v>
      </c>
      <c r="BD40" s="12">
        <v>2.0</v>
      </c>
      <c r="BE40" s="14"/>
      <c r="BF40" s="14">
        <v>1.0</v>
      </c>
      <c r="BG40" s="14"/>
      <c r="BH40" s="14">
        <v>1.0</v>
      </c>
      <c r="BL40" s="14"/>
      <c r="BM40" s="14">
        <v>1.0</v>
      </c>
      <c r="BN40" s="14"/>
      <c r="BO40" s="14">
        <v>1.0</v>
      </c>
      <c r="BS40" s="14"/>
      <c r="BT40" s="14">
        <v>1.0</v>
      </c>
      <c r="BU40" s="14"/>
      <c r="BV40" s="14">
        <v>1.0</v>
      </c>
      <c r="BZ40" s="14"/>
      <c r="CA40" s="14">
        <v>1.0</v>
      </c>
      <c r="CB40" s="14"/>
      <c r="CC40" s="14">
        <v>1.0</v>
      </c>
      <c r="CG40" s="14"/>
      <c r="CH40" s="14">
        <v>1.0</v>
      </c>
      <c r="CI40" s="14"/>
      <c r="CJ40" s="14">
        <v>1.0</v>
      </c>
      <c r="CN40" s="14"/>
      <c r="CO40" s="14">
        <v>1.0</v>
      </c>
      <c r="CP40" s="14"/>
      <c r="CQ40" s="14">
        <v>1.0</v>
      </c>
      <c r="CU40" s="14"/>
      <c r="CV40" s="14"/>
      <c r="CW40" s="14"/>
      <c r="CX40" s="14"/>
      <c r="DB40" s="14"/>
      <c r="DC40" s="14"/>
      <c r="DD40" s="14"/>
      <c r="DE40" s="14"/>
      <c r="DI40" s="14"/>
      <c r="DJ40" s="14"/>
      <c r="DK40" s="14"/>
      <c r="DL40" s="14"/>
      <c r="DP40" s="14"/>
      <c r="DQ40" s="14"/>
      <c r="DR40" s="14"/>
      <c r="DS40" s="14"/>
      <c r="DV40" s="21"/>
      <c r="EA40" s="22"/>
    </row>
    <row r="41" ht="15.75" customHeight="1" outlineLevel="1">
      <c r="B41" s="12" t="s">
        <v>48</v>
      </c>
      <c r="C41" s="12" t="s">
        <v>81</v>
      </c>
      <c r="E41" s="13"/>
      <c r="F41" s="12" t="s">
        <v>83</v>
      </c>
      <c r="G41" s="14">
        <v>0.1</v>
      </c>
      <c r="I41" s="13">
        <f t="shared" si="4"/>
        <v>6</v>
      </c>
      <c r="J41" s="16">
        <f t="array" ref="J41">MAX(IF($N$3:$EH$3=$J$3,N41:EH41))</f>
        <v>0.5</v>
      </c>
      <c r="K41" s="16">
        <f t="array" ref="K41">MAX(IF($N$3:$EH$3=$J$3,N41:EH41))</f>
        <v>0.5</v>
      </c>
      <c r="L41" s="13"/>
      <c r="N41" s="12">
        <v>2.0</v>
      </c>
      <c r="O41" s="14">
        <v>0.5</v>
      </c>
      <c r="P41" s="14">
        <v>0.5</v>
      </c>
      <c r="Q41" s="14">
        <v>0.5</v>
      </c>
      <c r="R41" s="14">
        <v>0.5</v>
      </c>
      <c r="V41" s="14">
        <v>0.5</v>
      </c>
      <c r="W41" s="14">
        <v>0.5</v>
      </c>
      <c r="X41" s="14">
        <v>0.5</v>
      </c>
      <c r="Y41" s="14">
        <v>0.5</v>
      </c>
      <c r="AB41" s="12">
        <v>2.0</v>
      </c>
      <c r="AC41" s="14">
        <v>0.5</v>
      </c>
      <c r="AD41" s="20">
        <v>0.8</v>
      </c>
      <c r="AE41" s="14">
        <v>0.5</v>
      </c>
      <c r="AF41" s="14">
        <v>0.8</v>
      </c>
      <c r="AJ41" s="14">
        <v>0.5</v>
      </c>
      <c r="AK41" s="14">
        <v>0.8</v>
      </c>
      <c r="AL41" s="14"/>
      <c r="AM41" s="14">
        <v>0.8</v>
      </c>
      <c r="AQ41" s="14">
        <v>0.5</v>
      </c>
      <c r="AR41" s="14">
        <v>0.8</v>
      </c>
      <c r="AS41" s="14">
        <v>0.5</v>
      </c>
      <c r="AT41" s="14">
        <v>0.8</v>
      </c>
      <c r="AX41" s="14"/>
      <c r="AY41" s="14">
        <v>0.8</v>
      </c>
      <c r="AZ41" s="14"/>
      <c r="BA41" s="14">
        <v>0.8</v>
      </c>
      <c r="BD41" s="12">
        <v>2.0</v>
      </c>
      <c r="BE41" s="14"/>
      <c r="BF41" s="14">
        <v>1.0</v>
      </c>
      <c r="BG41" s="14"/>
      <c r="BH41" s="14">
        <v>1.0</v>
      </c>
      <c r="BL41" s="14"/>
      <c r="BM41" s="14">
        <v>1.0</v>
      </c>
      <c r="BN41" s="14"/>
      <c r="BO41" s="14">
        <v>1.0</v>
      </c>
      <c r="BS41" s="14"/>
      <c r="BT41" s="14">
        <v>1.0</v>
      </c>
      <c r="BU41" s="14"/>
      <c r="BV41" s="14">
        <v>1.0</v>
      </c>
      <c r="BZ41" s="14"/>
      <c r="CA41" s="14">
        <v>1.0</v>
      </c>
      <c r="CB41" s="14"/>
      <c r="CC41" s="14">
        <v>1.0</v>
      </c>
      <c r="CG41" s="14"/>
      <c r="CH41" s="14">
        <v>1.0</v>
      </c>
      <c r="CI41" s="14"/>
      <c r="CJ41" s="14">
        <v>1.0</v>
      </c>
      <c r="CN41" s="14"/>
      <c r="CO41" s="14">
        <v>1.0</v>
      </c>
      <c r="CP41" s="14"/>
      <c r="CQ41" s="14">
        <v>1.0</v>
      </c>
      <c r="CU41" s="14"/>
      <c r="CV41" s="14"/>
      <c r="CW41" s="14"/>
      <c r="CX41" s="14"/>
      <c r="DB41" s="14"/>
      <c r="DC41" s="14"/>
      <c r="DD41" s="14"/>
      <c r="DE41" s="14"/>
      <c r="DI41" s="14"/>
      <c r="DJ41" s="14"/>
      <c r="DK41" s="14"/>
      <c r="DL41" s="14"/>
      <c r="DP41" s="14"/>
      <c r="DQ41" s="14"/>
      <c r="DR41" s="14"/>
      <c r="DS41" s="14"/>
      <c r="DV41" s="21"/>
      <c r="EA41" s="22"/>
    </row>
    <row r="42" ht="15.75" customHeight="1" outlineLevel="1">
      <c r="B42" s="12" t="s">
        <v>48</v>
      </c>
      <c r="C42" s="12" t="s">
        <v>81</v>
      </c>
      <c r="E42" s="13"/>
      <c r="F42" s="24" t="s">
        <v>84</v>
      </c>
      <c r="G42" s="14">
        <v>0.1</v>
      </c>
      <c r="I42" s="13">
        <f t="shared" si="4"/>
        <v>6</v>
      </c>
      <c r="J42" s="16">
        <f t="array" ref="J42">MAX(IF($N$3:$EH$3=$J$3,N42:EH42))</f>
        <v>0.5</v>
      </c>
      <c r="K42" s="16">
        <f t="array" ref="K42">MAX(IF($N$3:$EH$3=$J$3,N42:EH42))</f>
        <v>0.5</v>
      </c>
      <c r="L42" s="13"/>
      <c r="O42" s="14"/>
      <c r="P42" s="14"/>
      <c r="Q42" s="14"/>
      <c r="R42" s="14"/>
      <c r="U42" s="12">
        <v>2.0</v>
      </c>
      <c r="V42" s="20">
        <v>0.5</v>
      </c>
      <c r="W42" s="14">
        <v>0.5</v>
      </c>
      <c r="X42" s="20">
        <v>0.5</v>
      </c>
      <c r="Y42" s="14">
        <v>0.5</v>
      </c>
      <c r="AC42" s="20">
        <v>0.5</v>
      </c>
      <c r="AD42" s="14">
        <v>0.5</v>
      </c>
      <c r="AE42" s="20">
        <v>0.5</v>
      </c>
      <c r="AF42" s="14">
        <v>0.5</v>
      </c>
      <c r="AI42" s="12">
        <v>2.0</v>
      </c>
      <c r="AJ42" s="20">
        <v>0.5</v>
      </c>
      <c r="AK42" s="14">
        <v>0.8</v>
      </c>
      <c r="AL42" s="14"/>
      <c r="AM42" s="14">
        <v>0.8</v>
      </c>
      <c r="AQ42" s="20">
        <v>0.5</v>
      </c>
      <c r="AR42" s="14">
        <v>0.8</v>
      </c>
      <c r="AS42" s="20">
        <v>0.5</v>
      </c>
      <c r="AT42" s="14">
        <v>0.8</v>
      </c>
      <c r="AX42" s="14"/>
      <c r="AY42" s="14">
        <v>0.8</v>
      </c>
      <c r="AZ42" s="14"/>
      <c r="BA42" s="14">
        <v>0.8</v>
      </c>
      <c r="BE42" s="14"/>
      <c r="BF42" s="14">
        <v>0.8</v>
      </c>
      <c r="BG42" s="14"/>
      <c r="BH42" s="14">
        <v>0.8</v>
      </c>
      <c r="BK42" s="12">
        <v>2.0</v>
      </c>
      <c r="BL42" s="14"/>
      <c r="BM42" s="14">
        <v>1.0</v>
      </c>
      <c r="BN42" s="14"/>
      <c r="BO42" s="14">
        <v>1.0</v>
      </c>
      <c r="BS42" s="14"/>
      <c r="BT42" s="14">
        <v>1.0</v>
      </c>
      <c r="BU42" s="14"/>
      <c r="BV42" s="14">
        <v>1.0</v>
      </c>
      <c r="BZ42" s="14"/>
      <c r="CA42" s="14">
        <v>1.0</v>
      </c>
      <c r="CB42" s="14"/>
      <c r="CC42" s="14">
        <v>1.0</v>
      </c>
      <c r="CG42" s="14"/>
      <c r="CH42" s="14">
        <v>1.0</v>
      </c>
      <c r="CI42" s="14"/>
      <c r="CJ42" s="14">
        <v>1.0</v>
      </c>
      <c r="CN42" s="14"/>
      <c r="CO42" s="14">
        <v>1.0</v>
      </c>
      <c r="CP42" s="14"/>
      <c r="CQ42" s="14">
        <v>1.0</v>
      </c>
      <c r="CU42" s="14"/>
      <c r="CV42" s="14"/>
      <c r="CW42" s="14"/>
      <c r="CX42" s="14"/>
      <c r="DB42" s="14"/>
      <c r="DC42" s="14"/>
      <c r="DD42" s="14"/>
      <c r="DE42" s="14"/>
      <c r="DI42" s="14"/>
      <c r="DJ42" s="14"/>
      <c r="DK42" s="14"/>
      <c r="DL42" s="14"/>
      <c r="DP42" s="14"/>
      <c r="DQ42" s="14"/>
      <c r="DR42" s="14"/>
      <c r="DS42" s="14"/>
      <c r="DV42" s="21"/>
      <c r="EA42" s="22"/>
    </row>
    <row r="43" ht="15.75" customHeight="1" outlineLevel="1">
      <c r="B43" s="12" t="s">
        <v>48</v>
      </c>
      <c r="C43" s="12" t="s">
        <v>81</v>
      </c>
      <c r="E43" s="13"/>
      <c r="F43" s="12" t="s">
        <v>85</v>
      </c>
      <c r="G43" s="14">
        <v>0.1</v>
      </c>
      <c r="I43" s="13">
        <f t="shared" si="4"/>
        <v>6</v>
      </c>
      <c r="J43" s="16">
        <f t="array" ref="J43">MAX(IF($N$3:$EH$3=$J$3,N43:EH43))</f>
        <v>0.5</v>
      </c>
      <c r="K43" s="16">
        <f t="array" ref="K43">MAX(IF($N$3:$EH$3=$J$3,N43:EH43))</f>
        <v>0.5</v>
      </c>
      <c r="L43" s="13"/>
      <c r="O43" s="14"/>
      <c r="P43" s="14"/>
      <c r="Q43" s="14"/>
      <c r="R43" s="14"/>
      <c r="U43" s="12">
        <v>2.0</v>
      </c>
      <c r="V43" s="14"/>
      <c r="W43" s="14">
        <v>0.5</v>
      </c>
      <c r="X43" s="14"/>
      <c r="Y43" s="14">
        <v>0.5</v>
      </c>
      <c r="AC43" s="14"/>
      <c r="AD43" s="14">
        <v>0.5</v>
      </c>
      <c r="AE43" s="14"/>
      <c r="AF43" s="14">
        <v>0.5</v>
      </c>
      <c r="AJ43" s="20">
        <v>0.5</v>
      </c>
      <c r="AK43" s="14">
        <v>0.5</v>
      </c>
      <c r="AL43" s="14"/>
      <c r="AM43" s="14">
        <v>0.5</v>
      </c>
      <c r="AP43" s="12">
        <v>2.0</v>
      </c>
      <c r="AQ43" s="20">
        <v>0.5</v>
      </c>
      <c r="AR43" s="14">
        <v>0.8</v>
      </c>
      <c r="AS43" s="20">
        <v>0.5</v>
      </c>
      <c r="AT43" s="14">
        <v>0.8</v>
      </c>
      <c r="AX43" s="14"/>
      <c r="AY43" s="14">
        <v>0.8</v>
      </c>
      <c r="AZ43" s="14"/>
      <c r="BA43" s="14">
        <v>0.8</v>
      </c>
      <c r="BE43" s="14"/>
      <c r="BF43" s="14">
        <v>0.8</v>
      </c>
      <c r="BG43" s="14"/>
      <c r="BH43" s="14">
        <v>0.8</v>
      </c>
      <c r="BL43" s="14"/>
      <c r="BM43" s="14">
        <v>0.8</v>
      </c>
      <c r="BN43" s="14"/>
      <c r="BO43" s="14">
        <v>0.8</v>
      </c>
      <c r="BR43" s="12">
        <v>2.0</v>
      </c>
      <c r="BS43" s="14"/>
      <c r="BT43" s="14">
        <v>1.0</v>
      </c>
      <c r="BU43" s="14"/>
      <c r="BV43" s="14">
        <v>1.0</v>
      </c>
      <c r="BZ43" s="14"/>
      <c r="CA43" s="14">
        <v>1.0</v>
      </c>
      <c r="CB43" s="14"/>
      <c r="CC43" s="14">
        <v>1.0</v>
      </c>
      <c r="CG43" s="14"/>
      <c r="CH43" s="14">
        <v>1.0</v>
      </c>
      <c r="CI43" s="14"/>
      <c r="CJ43" s="14">
        <v>1.0</v>
      </c>
      <c r="CN43" s="14"/>
      <c r="CO43" s="14">
        <v>1.0</v>
      </c>
      <c r="CP43" s="14"/>
      <c r="CQ43" s="14">
        <v>1.0</v>
      </c>
      <c r="CU43" s="14"/>
      <c r="CV43" s="14"/>
      <c r="CW43" s="14"/>
      <c r="CX43" s="14"/>
      <c r="DB43" s="14"/>
      <c r="DC43" s="14"/>
      <c r="DD43" s="14"/>
      <c r="DE43" s="14"/>
      <c r="DI43" s="14"/>
      <c r="DJ43" s="14"/>
      <c r="DK43" s="14"/>
      <c r="DL43" s="14"/>
      <c r="DP43" s="14"/>
      <c r="DQ43" s="14"/>
      <c r="DR43" s="14"/>
      <c r="DS43" s="14"/>
      <c r="DV43" s="21"/>
      <c r="EA43" s="22"/>
    </row>
    <row r="44" ht="15.75" customHeight="1" outlineLevel="1">
      <c r="B44" s="12" t="s">
        <v>48</v>
      </c>
      <c r="C44" s="12" t="s">
        <v>81</v>
      </c>
      <c r="E44" s="13"/>
      <c r="F44" s="12" t="s">
        <v>86</v>
      </c>
      <c r="G44" s="14">
        <v>0.1</v>
      </c>
      <c r="I44" s="13">
        <f t="shared" si="4"/>
        <v>6</v>
      </c>
      <c r="J44" s="16">
        <f t="array" ref="J44">MAX(IF($N$3:$EH$3=$J$3,N44:EH44))</f>
        <v>0</v>
      </c>
      <c r="K44" s="16">
        <f t="array" ref="K44">MAX(IF($N$3:$EH$3=$J$3,N44:EH44))</f>
        <v>0</v>
      </c>
      <c r="L44" s="13"/>
      <c r="O44" s="14"/>
      <c r="P44" s="14"/>
      <c r="Q44" s="14"/>
      <c r="R44" s="14"/>
      <c r="U44" s="12">
        <v>2.0</v>
      </c>
      <c r="V44" s="14"/>
      <c r="W44" s="14">
        <v>0.5</v>
      </c>
      <c r="X44" s="14"/>
      <c r="Y44" s="14">
        <v>0.5</v>
      </c>
      <c r="AC44" s="14"/>
      <c r="AD44" s="14">
        <v>0.5</v>
      </c>
      <c r="AE44" s="14"/>
      <c r="AF44" s="14">
        <v>0.5</v>
      </c>
      <c r="AJ44" s="14"/>
      <c r="AK44" s="14">
        <v>0.5</v>
      </c>
      <c r="AL44" s="14"/>
      <c r="AM44" s="14">
        <v>0.5</v>
      </c>
      <c r="AP44" s="12">
        <v>2.0</v>
      </c>
      <c r="AQ44" s="14"/>
      <c r="AR44" s="14">
        <v>0.8</v>
      </c>
      <c r="AS44" s="14"/>
      <c r="AT44" s="14">
        <v>0.8</v>
      </c>
      <c r="AX44" s="14"/>
      <c r="AY44" s="14">
        <v>0.8</v>
      </c>
      <c r="AZ44" s="14"/>
      <c r="BA44" s="14">
        <v>0.8</v>
      </c>
      <c r="BE44" s="14"/>
      <c r="BF44" s="14">
        <v>0.8</v>
      </c>
      <c r="BG44" s="14"/>
      <c r="BH44" s="14">
        <v>0.8</v>
      </c>
      <c r="BL44" s="14"/>
      <c r="BM44" s="14">
        <v>0.8</v>
      </c>
      <c r="BN44" s="14"/>
      <c r="BO44" s="14">
        <v>0.8</v>
      </c>
      <c r="BR44" s="12">
        <v>2.0</v>
      </c>
      <c r="BS44" s="14"/>
      <c r="BT44" s="14">
        <v>1.0</v>
      </c>
      <c r="BU44" s="14"/>
      <c r="BV44" s="14">
        <v>1.0</v>
      </c>
      <c r="BZ44" s="14"/>
      <c r="CA44" s="14">
        <v>1.0</v>
      </c>
      <c r="CB44" s="14"/>
      <c r="CC44" s="14">
        <v>1.0</v>
      </c>
      <c r="CG44" s="14"/>
      <c r="CH44" s="14">
        <v>1.0</v>
      </c>
      <c r="CI44" s="14"/>
      <c r="CJ44" s="14">
        <v>1.0</v>
      </c>
      <c r="CN44" s="14"/>
      <c r="CO44" s="14">
        <v>1.0</v>
      </c>
      <c r="CP44" s="14"/>
      <c r="CQ44" s="14">
        <v>1.0</v>
      </c>
      <c r="CU44" s="14"/>
      <c r="CV44" s="14"/>
      <c r="CW44" s="14"/>
      <c r="CX44" s="14"/>
      <c r="DB44" s="14"/>
      <c r="DC44" s="14"/>
      <c r="DD44" s="14"/>
      <c r="DE44" s="14"/>
      <c r="DI44" s="14"/>
      <c r="DJ44" s="14"/>
      <c r="DK44" s="14"/>
      <c r="DL44" s="14"/>
      <c r="DP44" s="14"/>
      <c r="DQ44" s="14"/>
      <c r="DR44" s="14"/>
      <c r="DS44" s="14"/>
      <c r="DV44" s="21"/>
      <c r="EA44" s="22"/>
    </row>
    <row r="45" ht="15.75" customHeight="1" outlineLevel="1">
      <c r="B45" s="12" t="s">
        <v>48</v>
      </c>
      <c r="C45" s="12" t="s">
        <v>81</v>
      </c>
      <c r="E45" s="13"/>
      <c r="F45" s="12" t="s">
        <v>87</v>
      </c>
      <c r="G45" s="14">
        <v>0.1</v>
      </c>
      <c r="I45" s="13">
        <f t="shared" si="4"/>
        <v>6</v>
      </c>
      <c r="J45" s="16">
        <f t="array" ref="J45">MAX(IF($N$3:$EH$3=$J$3,N45:EH45))</f>
        <v>0</v>
      </c>
      <c r="K45" s="16">
        <f t="array" ref="K45">MAX(IF($N$3:$EH$3=$J$3,N45:EH45))</f>
        <v>0</v>
      </c>
      <c r="L45" s="13"/>
      <c r="O45" s="14"/>
      <c r="P45" s="14"/>
      <c r="Q45" s="14"/>
      <c r="R45" s="14"/>
      <c r="V45" s="14"/>
      <c r="W45" s="14"/>
      <c r="X45" s="14"/>
      <c r="Y45" s="14"/>
      <c r="AB45" s="12">
        <v>2.0</v>
      </c>
      <c r="AC45" s="14"/>
      <c r="AD45" s="14">
        <v>0.5</v>
      </c>
      <c r="AE45" s="14"/>
      <c r="AF45" s="14">
        <v>0.5</v>
      </c>
      <c r="AJ45" s="14"/>
      <c r="AK45" s="14">
        <v>0.5</v>
      </c>
      <c r="AL45" s="14"/>
      <c r="AM45" s="14">
        <v>0.5</v>
      </c>
      <c r="AQ45" s="14"/>
      <c r="AR45" s="14">
        <v>0.5</v>
      </c>
      <c r="AS45" s="14"/>
      <c r="AT45" s="14">
        <v>0.5</v>
      </c>
      <c r="AW45" s="12">
        <v>2.0</v>
      </c>
      <c r="AX45" s="14"/>
      <c r="AY45" s="14">
        <v>0.8</v>
      </c>
      <c r="AZ45" s="14"/>
      <c r="BA45" s="14">
        <v>0.8</v>
      </c>
      <c r="BE45" s="14"/>
      <c r="BF45" s="14">
        <v>0.8</v>
      </c>
      <c r="BG45" s="14"/>
      <c r="BH45" s="14">
        <v>0.8</v>
      </c>
      <c r="BL45" s="14"/>
      <c r="BM45" s="14">
        <v>0.8</v>
      </c>
      <c r="BN45" s="14"/>
      <c r="BO45" s="14">
        <v>0.8</v>
      </c>
      <c r="BS45" s="14"/>
      <c r="BT45" s="14">
        <v>0.8</v>
      </c>
      <c r="BU45" s="14"/>
      <c r="BV45" s="14">
        <v>0.8</v>
      </c>
      <c r="BY45" s="12">
        <v>2.0</v>
      </c>
      <c r="BZ45" s="14"/>
      <c r="CA45" s="14">
        <v>1.0</v>
      </c>
      <c r="CB45" s="14"/>
      <c r="CC45" s="14">
        <v>1.0</v>
      </c>
      <c r="CG45" s="14"/>
      <c r="CH45" s="14">
        <v>1.0</v>
      </c>
      <c r="CI45" s="14"/>
      <c r="CJ45" s="14">
        <v>1.0</v>
      </c>
      <c r="CN45" s="14"/>
      <c r="CO45" s="14">
        <v>1.0</v>
      </c>
      <c r="CP45" s="14"/>
      <c r="CQ45" s="14">
        <v>1.0</v>
      </c>
      <c r="CU45" s="14"/>
      <c r="CV45" s="14"/>
      <c r="CW45" s="14"/>
      <c r="CX45" s="14"/>
      <c r="DB45" s="14"/>
      <c r="DC45" s="14"/>
      <c r="DD45" s="14"/>
      <c r="DE45" s="14"/>
      <c r="DI45" s="14"/>
      <c r="DJ45" s="14"/>
      <c r="DK45" s="14"/>
      <c r="DL45" s="14"/>
      <c r="DP45" s="14"/>
      <c r="DQ45" s="14"/>
      <c r="DR45" s="14"/>
      <c r="DS45" s="14"/>
      <c r="DV45" s="21"/>
      <c r="EA45" s="22"/>
    </row>
    <row r="46" ht="15.75" customHeight="1" outlineLevel="1">
      <c r="B46" s="12" t="s">
        <v>48</v>
      </c>
      <c r="C46" s="12" t="s">
        <v>88</v>
      </c>
      <c r="E46" s="13"/>
      <c r="F46" s="12" t="s">
        <v>89</v>
      </c>
      <c r="G46" s="14">
        <v>0.05</v>
      </c>
      <c r="I46" s="13">
        <f t="shared" si="4"/>
        <v>6</v>
      </c>
      <c r="J46" s="16">
        <f t="array" ref="J46">MAX(IF($N$3:$EH$3=$J$3,N46:EH46))</f>
        <v>0</v>
      </c>
      <c r="K46" s="16">
        <f t="array" ref="K46">MAX(IF($N$3:$EH$3=$J$3,N46:EH46))</f>
        <v>0</v>
      </c>
      <c r="L46" s="13"/>
      <c r="O46" s="14"/>
      <c r="P46" s="14"/>
      <c r="Q46" s="14"/>
      <c r="R46" s="14"/>
      <c r="V46" s="14"/>
      <c r="W46" s="14"/>
      <c r="X46" s="14"/>
      <c r="Y46" s="14"/>
      <c r="AC46" s="14"/>
      <c r="AD46" s="14"/>
      <c r="AE46" s="14"/>
      <c r="AF46" s="14"/>
      <c r="AI46" s="12">
        <v>2.0</v>
      </c>
      <c r="AJ46" s="14"/>
      <c r="AK46" s="14">
        <v>0.5</v>
      </c>
      <c r="AL46" s="14"/>
      <c r="AM46" s="14">
        <v>0.5</v>
      </c>
      <c r="AQ46" s="14"/>
      <c r="AR46" s="14">
        <v>0.5</v>
      </c>
      <c r="AS46" s="14"/>
      <c r="AT46" s="14">
        <v>0.5</v>
      </c>
      <c r="AX46" s="14"/>
      <c r="AY46" s="14">
        <v>0.5</v>
      </c>
      <c r="AZ46" s="14"/>
      <c r="BA46" s="14">
        <v>0.5</v>
      </c>
      <c r="BD46" s="12">
        <v>2.0</v>
      </c>
      <c r="BE46" s="14"/>
      <c r="BF46" s="14">
        <v>0.8</v>
      </c>
      <c r="BG46" s="14"/>
      <c r="BH46" s="14">
        <v>0.8</v>
      </c>
      <c r="BL46" s="14"/>
      <c r="BM46" s="14">
        <v>0.8</v>
      </c>
      <c r="BN46" s="14"/>
      <c r="BO46" s="14">
        <v>0.8</v>
      </c>
      <c r="BS46" s="14"/>
      <c r="BT46" s="14">
        <v>0.8</v>
      </c>
      <c r="BU46" s="14"/>
      <c r="BV46" s="14">
        <v>0.8</v>
      </c>
      <c r="BY46" s="12">
        <v>2.0</v>
      </c>
      <c r="BZ46" s="14"/>
      <c r="CA46" s="14">
        <v>1.0</v>
      </c>
      <c r="CB46" s="14"/>
      <c r="CC46" s="14">
        <v>1.0</v>
      </c>
      <c r="CG46" s="14"/>
      <c r="CH46" s="14">
        <v>1.0</v>
      </c>
      <c r="CI46" s="14"/>
      <c r="CJ46" s="14">
        <v>1.0</v>
      </c>
      <c r="CN46" s="14"/>
      <c r="CO46" s="14">
        <v>1.0</v>
      </c>
      <c r="CP46" s="14"/>
      <c r="CQ46" s="14">
        <v>1.0</v>
      </c>
      <c r="CU46" s="14"/>
      <c r="CV46" s="14"/>
      <c r="CW46" s="14"/>
      <c r="CX46" s="14"/>
      <c r="DB46" s="14"/>
      <c r="DC46" s="14"/>
      <c r="DD46" s="14"/>
      <c r="DE46" s="14"/>
      <c r="DI46" s="14"/>
      <c r="DJ46" s="14"/>
      <c r="DK46" s="14"/>
      <c r="DL46" s="14"/>
      <c r="DP46" s="14"/>
      <c r="DQ46" s="14"/>
      <c r="DR46" s="14"/>
      <c r="DS46" s="14"/>
      <c r="DV46" s="21"/>
      <c r="EA46" s="22"/>
    </row>
    <row r="47" ht="15.75" customHeight="1" outlineLevel="1">
      <c r="B47" s="12" t="s">
        <v>48</v>
      </c>
      <c r="C47" s="12" t="s">
        <v>88</v>
      </c>
      <c r="E47" s="13"/>
      <c r="F47" s="12" t="s">
        <v>90</v>
      </c>
      <c r="G47" s="14">
        <v>0.1</v>
      </c>
      <c r="I47" s="13">
        <f t="shared" si="4"/>
        <v>6</v>
      </c>
      <c r="J47" s="16">
        <f t="array" ref="J47">MAX(IF($N$3:$EH$3=$J$3,N47:EH47))</f>
        <v>0</v>
      </c>
      <c r="K47" s="16">
        <f t="array" ref="K47">MAX(IF($N$3:$EH$3=$J$3,N47:EH47))</f>
        <v>0</v>
      </c>
      <c r="L47" s="13"/>
      <c r="O47" s="14"/>
      <c r="P47" s="14"/>
      <c r="Q47" s="14"/>
      <c r="R47" s="14"/>
      <c r="V47" s="14"/>
      <c r="W47" s="14"/>
      <c r="X47" s="14"/>
      <c r="Y47" s="14"/>
      <c r="AC47" s="14"/>
      <c r="AD47" s="14"/>
      <c r="AE47" s="14"/>
      <c r="AF47" s="14"/>
      <c r="AI47" s="12">
        <v>2.0</v>
      </c>
      <c r="AJ47" s="14"/>
      <c r="AK47" s="14">
        <v>0.5</v>
      </c>
      <c r="AL47" s="14"/>
      <c r="AM47" s="14">
        <v>0.5</v>
      </c>
      <c r="AQ47" s="14"/>
      <c r="AR47" s="14">
        <v>0.5</v>
      </c>
      <c r="AS47" s="14"/>
      <c r="AT47" s="14">
        <v>0.5</v>
      </c>
      <c r="AX47" s="14"/>
      <c r="AY47" s="14">
        <v>0.5</v>
      </c>
      <c r="AZ47" s="14"/>
      <c r="BA47" s="14">
        <v>0.5</v>
      </c>
      <c r="BE47" s="14"/>
      <c r="BF47" s="14">
        <v>0.5</v>
      </c>
      <c r="BG47" s="14"/>
      <c r="BH47" s="14">
        <v>0.5</v>
      </c>
      <c r="BK47" s="12">
        <v>2.0</v>
      </c>
      <c r="BL47" s="14"/>
      <c r="BM47" s="14">
        <v>0.8</v>
      </c>
      <c r="BN47" s="14"/>
      <c r="BO47" s="14">
        <v>0.8</v>
      </c>
      <c r="BS47" s="14"/>
      <c r="BT47" s="14">
        <v>0.8</v>
      </c>
      <c r="BU47" s="14"/>
      <c r="BV47" s="14">
        <v>0.8</v>
      </c>
      <c r="BZ47" s="14"/>
      <c r="CA47" s="14">
        <v>0.8</v>
      </c>
      <c r="CB47" s="14"/>
      <c r="CC47" s="14">
        <v>0.8</v>
      </c>
      <c r="CF47" s="12">
        <v>2.0</v>
      </c>
      <c r="CG47" s="14"/>
      <c r="CH47" s="14">
        <v>1.0</v>
      </c>
      <c r="CI47" s="14"/>
      <c r="CJ47" s="14">
        <v>1.0</v>
      </c>
      <c r="CN47" s="14"/>
      <c r="CO47" s="14">
        <v>1.0</v>
      </c>
      <c r="CP47" s="14"/>
      <c r="CQ47" s="14">
        <v>1.0</v>
      </c>
      <c r="CU47" s="14"/>
      <c r="CV47" s="14"/>
      <c r="CW47" s="14"/>
      <c r="CX47" s="14"/>
      <c r="DB47" s="14"/>
      <c r="DC47" s="14"/>
      <c r="DD47" s="14"/>
      <c r="DE47" s="14"/>
      <c r="DI47" s="14"/>
      <c r="DJ47" s="14"/>
      <c r="DK47" s="14"/>
      <c r="DL47" s="14"/>
      <c r="DP47" s="14"/>
      <c r="DQ47" s="14"/>
      <c r="DR47" s="14"/>
      <c r="DS47" s="14"/>
      <c r="DV47" s="21"/>
      <c r="EA47" s="22"/>
    </row>
    <row r="48" ht="15.75" customHeight="1" outlineLevel="1">
      <c r="B48" s="12" t="s">
        <v>48</v>
      </c>
      <c r="C48" s="12" t="s">
        <v>88</v>
      </c>
      <c r="E48" s="13"/>
      <c r="F48" s="12" t="s">
        <v>91</v>
      </c>
      <c r="G48" s="14">
        <v>0.1</v>
      </c>
      <c r="I48" s="13">
        <f t="shared" si="4"/>
        <v>6</v>
      </c>
      <c r="J48" s="16">
        <f t="array" ref="J48">MAX(IF($N$3:$EH$3=$J$3,N48:EH48))</f>
        <v>0</v>
      </c>
      <c r="K48" s="16">
        <f t="array" ref="K48">MAX(IF($N$3:$EH$3=$J$3,N48:EH48))</f>
        <v>0</v>
      </c>
      <c r="L48" s="13"/>
      <c r="O48" s="14"/>
      <c r="P48" s="14"/>
      <c r="Q48" s="14"/>
      <c r="R48" s="14"/>
      <c r="V48" s="14"/>
      <c r="W48" s="14"/>
      <c r="X48" s="14"/>
      <c r="Y48" s="14"/>
      <c r="AC48" s="14"/>
      <c r="AD48" s="14"/>
      <c r="AE48" s="14"/>
      <c r="AF48" s="14"/>
      <c r="AJ48" s="14"/>
      <c r="AK48" s="14"/>
      <c r="AL48" s="14"/>
      <c r="AM48" s="14"/>
      <c r="AP48" s="12">
        <v>2.0</v>
      </c>
      <c r="AQ48" s="14"/>
      <c r="AR48" s="14">
        <v>0.5</v>
      </c>
      <c r="AS48" s="14"/>
      <c r="AT48" s="14">
        <v>0.5</v>
      </c>
      <c r="AX48" s="14"/>
      <c r="AY48" s="14">
        <v>0.5</v>
      </c>
      <c r="AZ48" s="14"/>
      <c r="BA48" s="14">
        <v>0.5</v>
      </c>
      <c r="BE48" s="14"/>
      <c r="BF48" s="14">
        <v>0.5</v>
      </c>
      <c r="BG48" s="14"/>
      <c r="BH48" s="14">
        <v>0.5</v>
      </c>
      <c r="BK48" s="12">
        <v>2.0</v>
      </c>
      <c r="BL48" s="14"/>
      <c r="BM48" s="14">
        <v>0.8</v>
      </c>
      <c r="BN48" s="14"/>
      <c r="BO48" s="14">
        <v>0.8</v>
      </c>
      <c r="BS48" s="14"/>
      <c r="BT48" s="14">
        <v>0.8</v>
      </c>
      <c r="BU48" s="14"/>
      <c r="BV48" s="14">
        <v>0.8</v>
      </c>
      <c r="BZ48" s="14"/>
      <c r="CA48" s="14">
        <v>0.8</v>
      </c>
      <c r="CB48" s="14"/>
      <c r="CC48" s="14">
        <v>0.8</v>
      </c>
      <c r="CF48" s="12">
        <v>2.0</v>
      </c>
      <c r="CG48" s="14"/>
      <c r="CH48" s="14">
        <v>1.0</v>
      </c>
      <c r="CI48" s="14"/>
      <c r="CJ48" s="14">
        <v>1.0</v>
      </c>
      <c r="CN48" s="14"/>
      <c r="CO48" s="14">
        <v>1.0</v>
      </c>
      <c r="CP48" s="14"/>
      <c r="CQ48" s="14">
        <v>1.0</v>
      </c>
      <c r="CU48" s="14"/>
      <c r="CV48" s="14"/>
      <c r="CW48" s="14"/>
      <c r="CX48" s="14"/>
      <c r="DB48" s="14"/>
      <c r="DC48" s="14"/>
      <c r="DD48" s="14"/>
      <c r="DE48" s="14"/>
      <c r="DI48" s="14"/>
      <c r="DJ48" s="14"/>
      <c r="DK48" s="14"/>
      <c r="DL48" s="14"/>
      <c r="DP48" s="14"/>
      <c r="DQ48" s="14"/>
      <c r="DR48" s="14"/>
      <c r="DS48" s="14"/>
      <c r="DV48" s="21"/>
      <c r="EA48" s="22"/>
    </row>
    <row r="49" ht="15.75" customHeight="1" outlineLevel="1">
      <c r="B49" s="12" t="s">
        <v>48</v>
      </c>
      <c r="C49" s="12" t="s">
        <v>88</v>
      </c>
      <c r="E49" s="13"/>
      <c r="F49" s="12" t="s">
        <v>92</v>
      </c>
      <c r="G49" s="14">
        <v>0.1</v>
      </c>
      <c r="I49" s="13">
        <f t="shared" si="4"/>
        <v>6</v>
      </c>
      <c r="J49" s="16">
        <f t="array" ref="J49">MAX(IF($N$3:$EH$3=$J$3,N49:EH49))</f>
        <v>0</v>
      </c>
      <c r="K49" s="16">
        <f t="array" ref="K49">MAX(IF($N$3:$EH$3=$J$3,N49:EH49))</f>
        <v>0</v>
      </c>
      <c r="L49" s="13"/>
      <c r="O49" s="14"/>
      <c r="P49" s="14"/>
      <c r="Q49" s="14"/>
      <c r="R49" s="14"/>
      <c r="V49" s="14"/>
      <c r="W49" s="14"/>
      <c r="X49" s="14"/>
      <c r="Y49" s="14"/>
      <c r="AC49" s="14"/>
      <c r="AD49" s="14"/>
      <c r="AE49" s="14"/>
      <c r="AF49" s="14"/>
      <c r="AJ49" s="14"/>
      <c r="AK49" s="14"/>
      <c r="AL49" s="14"/>
      <c r="AM49" s="14"/>
      <c r="AQ49" s="14"/>
      <c r="AR49" s="14"/>
      <c r="AS49" s="14"/>
      <c r="AT49" s="14"/>
      <c r="AW49" s="12">
        <v>2.0</v>
      </c>
      <c r="AX49" s="14"/>
      <c r="AY49" s="14">
        <v>0.5</v>
      </c>
      <c r="AZ49" s="14"/>
      <c r="BA49" s="14">
        <v>0.5</v>
      </c>
      <c r="BE49" s="14"/>
      <c r="BF49" s="14">
        <v>0.5</v>
      </c>
      <c r="BG49" s="14"/>
      <c r="BH49" s="14">
        <v>0.5</v>
      </c>
      <c r="BL49" s="14"/>
      <c r="BM49" s="14">
        <v>0.5</v>
      </c>
      <c r="BN49" s="14"/>
      <c r="BO49" s="14">
        <v>0.5</v>
      </c>
      <c r="BR49" s="12">
        <v>2.0</v>
      </c>
      <c r="BS49" s="14"/>
      <c r="BT49" s="14">
        <v>0.8</v>
      </c>
      <c r="BU49" s="14"/>
      <c r="BV49" s="14">
        <v>0.8</v>
      </c>
      <c r="BZ49" s="14"/>
      <c r="CA49" s="14">
        <v>0.8</v>
      </c>
      <c r="CB49" s="14"/>
      <c r="CC49" s="14">
        <v>0.8</v>
      </c>
      <c r="CF49" s="12">
        <v>2.0</v>
      </c>
      <c r="CG49" s="14"/>
      <c r="CH49" s="14">
        <v>1.0</v>
      </c>
      <c r="CI49" s="14"/>
      <c r="CJ49" s="14">
        <v>1.0</v>
      </c>
      <c r="CN49" s="14"/>
      <c r="CO49" s="14">
        <v>1.0</v>
      </c>
      <c r="CP49" s="14"/>
      <c r="CQ49" s="14">
        <v>1.0</v>
      </c>
      <c r="CU49" s="14"/>
      <c r="CV49" s="14"/>
      <c r="CW49" s="14"/>
      <c r="CX49" s="14"/>
      <c r="DB49" s="14"/>
      <c r="DC49" s="14"/>
      <c r="DD49" s="14"/>
      <c r="DE49" s="14"/>
      <c r="DI49" s="14"/>
      <c r="DJ49" s="14"/>
      <c r="DK49" s="14"/>
      <c r="DL49" s="14"/>
      <c r="DP49" s="14"/>
      <c r="DQ49" s="14"/>
      <c r="DR49" s="14"/>
      <c r="DS49" s="14"/>
      <c r="DV49" s="21"/>
      <c r="EA49" s="22"/>
    </row>
    <row r="50" ht="15.75" customHeight="1" outlineLevel="1">
      <c r="B50" s="12" t="s">
        <v>48</v>
      </c>
      <c r="C50" s="12" t="s">
        <v>88</v>
      </c>
      <c r="E50" s="13"/>
      <c r="F50" s="12" t="s">
        <v>93</v>
      </c>
      <c r="G50" s="14">
        <v>0.1</v>
      </c>
      <c r="I50" s="13">
        <f t="shared" si="4"/>
        <v>10</v>
      </c>
      <c r="J50" s="16">
        <f t="array" ref="J50">MAX(IF($N$3:$EH$3=$J$3,N50:EH50))</f>
        <v>0</v>
      </c>
      <c r="K50" s="16">
        <f t="array" ref="K50">MAX(IF($N$3:$EH$3=$J$3,N50:EH50))</f>
        <v>0</v>
      </c>
      <c r="L50" s="13"/>
      <c r="O50" s="14"/>
      <c r="P50" s="14"/>
      <c r="Q50" s="14"/>
      <c r="R50" s="14"/>
      <c r="V50" s="14"/>
      <c r="W50" s="14"/>
      <c r="X50" s="14"/>
      <c r="Y50" s="14"/>
      <c r="AC50" s="14"/>
      <c r="AD50" s="14"/>
      <c r="AE50" s="14"/>
      <c r="AF50" s="14"/>
      <c r="AJ50" s="14"/>
      <c r="AK50" s="14"/>
      <c r="AL50" s="14"/>
      <c r="AM50" s="14"/>
      <c r="AQ50" s="14"/>
      <c r="AR50" s="14"/>
      <c r="AS50" s="14"/>
      <c r="AT50" s="14"/>
      <c r="AW50" s="12">
        <v>2.0</v>
      </c>
      <c r="AX50" s="14"/>
      <c r="AY50" s="14">
        <v>0.5</v>
      </c>
      <c r="AZ50" s="14"/>
      <c r="BA50" s="14">
        <v>0.5</v>
      </c>
      <c r="BE50" s="14"/>
      <c r="BF50" s="14">
        <v>0.5</v>
      </c>
      <c r="BG50" s="14"/>
      <c r="BH50" s="14">
        <v>0.5</v>
      </c>
      <c r="BL50" s="14"/>
      <c r="BM50" s="14">
        <v>0.5</v>
      </c>
      <c r="BN50" s="14"/>
      <c r="BO50" s="14">
        <v>0.5</v>
      </c>
      <c r="BS50" s="14"/>
      <c r="BT50" s="14">
        <v>0.5</v>
      </c>
      <c r="BU50" s="14"/>
      <c r="BV50" s="14">
        <v>0.5</v>
      </c>
      <c r="BY50" s="12">
        <v>2.0</v>
      </c>
      <c r="BZ50" s="14"/>
      <c r="CA50" s="14">
        <v>0.8</v>
      </c>
      <c r="CB50" s="14"/>
      <c r="CC50" s="14">
        <v>0.8</v>
      </c>
      <c r="CG50" s="14"/>
      <c r="CH50" s="14">
        <v>0.8</v>
      </c>
      <c r="CI50" s="14"/>
      <c r="CJ50" s="14">
        <v>0.8</v>
      </c>
      <c r="CM50" s="12">
        <v>6.0</v>
      </c>
      <c r="CN50" s="14"/>
      <c r="CO50" s="14">
        <v>1.0</v>
      </c>
      <c r="CP50" s="14"/>
      <c r="CQ50" s="14">
        <v>1.0</v>
      </c>
      <c r="CU50" s="14"/>
      <c r="CV50" s="14"/>
      <c r="CW50" s="14"/>
      <c r="CX50" s="14"/>
      <c r="DB50" s="14"/>
      <c r="DC50" s="14"/>
      <c r="DD50" s="14"/>
      <c r="DE50" s="14"/>
      <c r="DI50" s="14"/>
      <c r="DJ50" s="14"/>
      <c r="DK50" s="14"/>
      <c r="DL50" s="14"/>
      <c r="DP50" s="14"/>
      <c r="DQ50" s="14"/>
      <c r="DR50" s="14"/>
      <c r="DS50" s="14"/>
      <c r="DV50" s="21"/>
      <c r="EA50" s="22"/>
    </row>
    <row r="51" ht="15.75" customHeight="1">
      <c r="DV51" s="21"/>
      <c r="EA51" s="22"/>
    </row>
    <row r="52" ht="15.75" customHeight="1">
      <c r="B52" s="12" t="s">
        <v>17</v>
      </c>
      <c r="C52" s="12" t="s">
        <v>94</v>
      </c>
      <c r="E52" s="13">
        <v>5.0</v>
      </c>
      <c r="G52" s="14">
        <f>+SUM(G53:G63)</f>
        <v>1</v>
      </c>
      <c r="I52" s="15">
        <f>+SUM(I53:I63)</f>
        <v>72</v>
      </c>
      <c r="J52" s="16">
        <f>+SUMPRODUCT(G53:G63,J53:J63)</f>
        <v>0.205</v>
      </c>
      <c r="K52" s="16">
        <f>+SUMPRODUCT(G53:G63,K53:K63)</f>
        <v>0.205</v>
      </c>
      <c r="L52" s="13"/>
      <c r="N52" s="15">
        <v>6.0</v>
      </c>
      <c r="U52" s="15">
        <v>6.0</v>
      </c>
      <c r="AB52" s="15">
        <v>6.0</v>
      </c>
      <c r="AI52" s="15">
        <v>6.0</v>
      </c>
      <c r="AP52" s="15">
        <v>6.0</v>
      </c>
      <c r="AW52" s="15">
        <v>6.0</v>
      </c>
      <c r="BD52" s="15">
        <v>6.0</v>
      </c>
      <c r="BK52" s="15">
        <v>6.0</v>
      </c>
      <c r="BR52" s="15">
        <v>6.0</v>
      </c>
      <c r="BY52" s="15">
        <v>6.0</v>
      </c>
      <c r="CF52" s="15">
        <v>6.0</v>
      </c>
      <c r="CM52" s="15">
        <v>6.0</v>
      </c>
      <c r="CT52" s="15"/>
      <c r="DA52" s="15"/>
      <c r="DH52" s="15"/>
      <c r="DO52" s="15"/>
      <c r="DV52" s="21"/>
      <c r="EA52" s="22"/>
    </row>
    <row r="53" ht="15.75" customHeight="1" outlineLevel="1">
      <c r="B53" s="12" t="s">
        <v>48</v>
      </c>
      <c r="C53" s="12" t="s">
        <v>95</v>
      </c>
      <c r="E53" s="13"/>
      <c r="F53" s="12" t="s">
        <v>96</v>
      </c>
      <c r="G53" s="14">
        <v>0.05</v>
      </c>
      <c r="I53" s="13">
        <f t="shared" ref="I53:I63" si="5">+SUMIF($N$3:$ZZ$3,I$3,$N53:$ZZ53)</f>
        <v>6</v>
      </c>
      <c r="J53" s="16">
        <f t="array" ref="J53">MAX(IF($N$3:$EH$3=$J$3,N53:EH53))</f>
        <v>0.5</v>
      </c>
      <c r="K53" s="16">
        <f t="array" ref="K53">MAX(IF($N$3:$EH$3=$J$3,N53:EH53))</f>
        <v>0.5</v>
      </c>
      <c r="L53" s="13"/>
      <c r="N53" s="12">
        <v>2.0</v>
      </c>
      <c r="O53" s="14">
        <v>0.5</v>
      </c>
      <c r="P53" s="14">
        <v>0.5</v>
      </c>
      <c r="Q53" s="14">
        <v>0.5</v>
      </c>
      <c r="R53" s="14">
        <v>0.5</v>
      </c>
      <c r="U53" s="12">
        <v>2.0</v>
      </c>
      <c r="V53" s="20">
        <v>0.5</v>
      </c>
      <c r="W53" s="14">
        <v>0.8</v>
      </c>
      <c r="X53" s="20">
        <v>0.5</v>
      </c>
      <c r="Y53" s="14">
        <v>0.8</v>
      </c>
      <c r="AC53" s="20">
        <v>0.5</v>
      </c>
      <c r="AD53" s="14">
        <v>0.8</v>
      </c>
      <c r="AE53" s="20">
        <v>0.5</v>
      </c>
      <c r="AF53" s="14">
        <v>0.8</v>
      </c>
      <c r="AJ53" s="20">
        <v>0.5</v>
      </c>
      <c r="AK53" s="14">
        <v>0.8</v>
      </c>
      <c r="AL53" s="14"/>
      <c r="AM53" s="14">
        <v>0.8</v>
      </c>
      <c r="AQ53" s="20">
        <v>0.5</v>
      </c>
      <c r="AR53" s="14">
        <v>0.8</v>
      </c>
      <c r="AS53" s="20">
        <v>0.5</v>
      </c>
      <c r="AT53" s="14">
        <v>0.8</v>
      </c>
      <c r="AX53" s="20">
        <v>0.5</v>
      </c>
      <c r="AY53" s="14">
        <v>0.8</v>
      </c>
      <c r="AZ53" s="20">
        <v>0.5</v>
      </c>
      <c r="BA53" s="14">
        <v>0.8</v>
      </c>
      <c r="BD53" s="12">
        <v>2.0</v>
      </c>
      <c r="BE53" s="14"/>
      <c r="BF53" s="14">
        <v>1.0</v>
      </c>
      <c r="BG53" s="14"/>
      <c r="BH53" s="14">
        <v>1.0</v>
      </c>
      <c r="BL53" s="14"/>
      <c r="BM53" s="14">
        <v>1.0</v>
      </c>
      <c r="BN53" s="14"/>
      <c r="BO53" s="14">
        <v>1.0</v>
      </c>
      <c r="BS53" s="14"/>
      <c r="BT53" s="14">
        <v>1.0</v>
      </c>
      <c r="BU53" s="14"/>
      <c r="BV53" s="14">
        <v>1.0</v>
      </c>
      <c r="BZ53" s="14"/>
      <c r="CA53" s="14">
        <v>1.0</v>
      </c>
      <c r="CB53" s="14"/>
      <c r="CC53" s="14">
        <v>1.0</v>
      </c>
      <c r="CG53" s="14"/>
      <c r="CH53" s="14">
        <v>1.0</v>
      </c>
      <c r="CI53" s="14"/>
      <c r="CJ53" s="14">
        <v>1.0</v>
      </c>
      <c r="CN53" s="14"/>
      <c r="CO53" s="14">
        <v>1.0</v>
      </c>
      <c r="CP53" s="14"/>
      <c r="CQ53" s="14">
        <v>1.0</v>
      </c>
      <c r="CU53" s="14"/>
      <c r="CV53" s="14"/>
      <c r="CW53" s="14"/>
      <c r="CX53" s="14"/>
      <c r="DB53" s="14"/>
      <c r="DC53" s="14"/>
      <c r="DD53" s="14"/>
      <c r="DE53" s="14"/>
      <c r="DI53" s="14"/>
      <c r="DJ53" s="14"/>
      <c r="DK53" s="14"/>
      <c r="DL53" s="14"/>
      <c r="DP53" s="14"/>
      <c r="DQ53" s="14"/>
      <c r="DR53" s="14"/>
      <c r="DS53" s="14"/>
      <c r="DV53" s="21"/>
      <c r="EA53" s="22"/>
    </row>
    <row r="54" ht="15.75" customHeight="1" outlineLevel="1">
      <c r="B54" s="12" t="s">
        <v>48</v>
      </c>
      <c r="C54" s="12" t="s">
        <v>95</v>
      </c>
      <c r="E54" s="13"/>
      <c r="F54" s="12" t="s">
        <v>97</v>
      </c>
      <c r="G54" s="14">
        <v>0.1</v>
      </c>
      <c r="I54" s="13">
        <f t="shared" si="5"/>
        <v>7</v>
      </c>
      <c r="J54" s="16">
        <f t="array" ref="J54">MAX(IF($N$3:$EH$3=$J$3,N54:EH54))</f>
        <v>0.5</v>
      </c>
      <c r="K54" s="16">
        <f t="array" ref="K54">MAX(IF($N$3:$EH$3=$J$3,N54:EH54))</f>
        <v>0.5</v>
      </c>
      <c r="L54" s="13"/>
      <c r="N54" s="12">
        <v>2.0</v>
      </c>
      <c r="O54" s="20">
        <v>0.3</v>
      </c>
      <c r="P54" s="14">
        <v>0.5</v>
      </c>
      <c r="Q54" s="20">
        <v>0.3</v>
      </c>
      <c r="R54" s="14">
        <v>0.5</v>
      </c>
      <c r="V54" s="20">
        <v>0.5</v>
      </c>
      <c r="W54" s="14">
        <v>0.5</v>
      </c>
      <c r="X54" s="20">
        <v>0.5</v>
      </c>
      <c r="Y54" s="14">
        <v>0.5</v>
      </c>
      <c r="AB54" s="12">
        <v>3.0</v>
      </c>
      <c r="AC54" s="20">
        <v>0.5</v>
      </c>
      <c r="AD54" s="14">
        <v>0.8</v>
      </c>
      <c r="AE54" s="20">
        <v>0.5</v>
      </c>
      <c r="AF54" s="14">
        <v>0.8</v>
      </c>
      <c r="AJ54" s="20">
        <v>0.5</v>
      </c>
      <c r="AK54" s="14">
        <v>0.8</v>
      </c>
      <c r="AL54" s="14"/>
      <c r="AM54" s="14">
        <v>0.8</v>
      </c>
      <c r="AQ54" s="20">
        <v>0.5</v>
      </c>
      <c r="AR54" s="14">
        <v>0.8</v>
      </c>
      <c r="AS54" s="20">
        <v>0.5</v>
      </c>
      <c r="AT54" s="14">
        <v>0.8</v>
      </c>
      <c r="AX54" s="20">
        <v>0.5</v>
      </c>
      <c r="AY54" s="14">
        <v>0.8</v>
      </c>
      <c r="AZ54" s="20">
        <v>0.5</v>
      </c>
      <c r="BA54" s="14">
        <v>0.8</v>
      </c>
      <c r="BE54" s="14"/>
      <c r="BF54" s="14">
        <v>0.8</v>
      </c>
      <c r="BG54" s="14"/>
      <c r="BH54" s="14">
        <v>0.8</v>
      </c>
      <c r="BK54" s="12">
        <v>2.0</v>
      </c>
      <c r="BL54" s="14"/>
      <c r="BM54" s="14">
        <v>1.0</v>
      </c>
      <c r="BN54" s="14"/>
      <c r="BO54" s="14">
        <v>1.0</v>
      </c>
      <c r="BS54" s="14"/>
      <c r="BT54" s="14">
        <v>1.0</v>
      </c>
      <c r="BU54" s="14"/>
      <c r="BV54" s="14">
        <v>1.0</v>
      </c>
      <c r="BZ54" s="14"/>
      <c r="CA54" s="14">
        <v>1.0</v>
      </c>
      <c r="CB54" s="14"/>
      <c r="CC54" s="14">
        <v>1.0</v>
      </c>
      <c r="CG54" s="14"/>
      <c r="CH54" s="14">
        <v>1.0</v>
      </c>
      <c r="CI54" s="14"/>
      <c r="CJ54" s="14">
        <v>1.0</v>
      </c>
      <c r="CN54" s="14"/>
      <c r="CO54" s="14">
        <v>1.0</v>
      </c>
      <c r="CP54" s="14"/>
      <c r="CQ54" s="14">
        <v>1.0</v>
      </c>
      <c r="CU54" s="14"/>
      <c r="CV54" s="14"/>
      <c r="CW54" s="14"/>
      <c r="CX54" s="14"/>
      <c r="DB54" s="14"/>
      <c r="DC54" s="14"/>
      <c r="DD54" s="14"/>
      <c r="DE54" s="14"/>
      <c r="DI54" s="14"/>
      <c r="DJ54" s="14"/>
      <c r="DK54" s="14"/>
      <c r="DL54" s="14"/>
      <c r="DP54" s="14"/>
      <c r="DQ54" s="14"/>
      <c r="DR54" s="14"/>
      <c r="DS54" s="14"/>
      <c r="DV54" s="21"/>
      <c r="EA54" s="22"/>
    </row>
    <row r="55" ht="15.75" customHeight="1" outlineLevel="1">
      <c r="B55" s="12" t="s">
        <v>48</v>
      </c>
      <c r="C55" s="12" t="s">
        <v>95</v>
      </c>
      <c r="E55" s="13"/>
      <c r="F55" s="12" t="s">
        <v>98</v>
      </c>
      <c r="G55" s="14">
        <v>0.1</v>
      </c>
      <c r="I55" s="13">
        <f t="shared" si="5"/>
        <v>6</v>
      </c>
      <c r="J55" s="16">
        <f t="array" ref="J55">MAX(IF($N$3:$EH$3=$J$3,N55:EH55))</f>
        <v>0.5</v>
      </c>
      <c r="K55" s="16">
        <f t="array" ref="K55">MAX(IF($N$3:$EH$3=$J$3,N55:EH55))</f>
        <v>0.5</v>
      </c>
      <c r="L55" s="13"/>
      <c r="N55" s="12">
        <v>2.0</v>
      </c>
      <c r="O55" s="14"/>
      <c r="P55" s="14">
        <v>0.5</v>
      </c>
      <c r="Q55" s="14"/>
      <c r="R55" s="14">
        <v>0.5</v>
      </c>
      <c r="V55" s="20">
        <v>0.5</v>
      </c>
      <c r="W55" s="14">
        <v>0.5</v>
      </c>
      <c r="X55" s="20">
        <v>0.5</v>
      </c>
      <c r="Y55" s="14">
        <v>0.5</v>
      </c>
      <c r="AC55" s="20">
        <v>0.5</v>
      </c>
      <c r="AD55" s="14">
        <v>0.5</v>
      </c>
      <c r="AE55" s="20">
        <v>0.5</v>
      </c>
      <c r="AF55" s="14">
        <v>0.5</v>
      </c>
      <c r="AI55" s="12">
        <v>2.0</v>
      </c>
      <c r="AJ55" s="20">
        <v>0.5</v>
      </c>
      <c r="AK55" s="14">
        <v>0.8</v>
      </c>
      <c r="AL55" s="14"/>
      <c r="AM55" s="14">
        <v>0.8</v>
      </c>
      <c r="AQ55" s="20">
        <v>0.5</v>
      </c>
      <c r="AR55" s="14">
        <v>0.8</v>
      </c>
      <c r="AS55" s="20">
        <v>0.5</v>
      </c>
      <c r="AT55" s="14">
        <v>0.8</v>
      </c>
      <c r="AX55" s="20">
        <v>0.5</v>
      </c>
      <c r="AY55" s="14">
        <v>0.8</v>
      </c>
      <c r="AZ55" s="20">
        <v>0.5</v>
      </c>
      <c r="BA55" s="14">
        <v>0.8</v>
      </c>
      <c r="BE55" s="14"/>
      <c r="BF55" s="14">
        <v>0.8</v>
      </c>
      <c r="BG55" s="14"/>
      <c r="BH55" s="14">
        <v>0.8</v>
      </c>
      <c r="BK55" s="12">
        <v>2.0</v>
      </c>
      <c r="BL55" s="14"/>
      <c r="BM55" s="14">
        <v>1.0</v>
      </c>
      <c r="BN55" s="14"/>
      <c r="BO55" s="14">
        <v>1.0</v>
      </c>
      <c r="BS55" s="14"/>
      <c r="BT55" s="14">
        <v>1.0</v>
      </c>
      <c r="BU55" s="14"/>
      <c r="BV55" s="14">
        <v>1.0</v>
      </c>
      <c r="BZ55" s="14"/>
      <c r="CA55" s="14">
        <v>1.0</v>
      </c>
      <c r="CB55" s="14"/>
      <c r="CC55" s="14">
        <v>1.0</v>
      </c>
      <c r="CG55" s="14"/>
      <c r="CH55" s="14">
        <v>1.0</v>
      </c>
      <c r="CI55" s="14"/>
      <c r="CJ55" s="14">
        <v>1.0</v>
      </c>
      <c r="CN55" s="14"/>
      <c r="CO55" s="14">
        <v>1.0</v>
      </c>
      <c r="CP55" s="14"/>
      <c r="CQ55" s="14">
        <v>1.0</v>
      </c>
      <c r="CU55" s="14"/>
      <c r="CV55" s="14"/>
      <c r="CW55" s="14"/>
      <c r="CX55" s="14"/>
      <c r="DB55" s="14"/>
      <c r="DC55" s="14"/>
      <c r="DD55" s="14"/>
      <c r="DE55" s="14"/>
      <c r="DI55" s="14"/>
      <c r="DJ55" s="14"/>
      <c r="DK55" s="14"/>
      <c r="DL55" s="14"/>
      <c r="DP55" s="14"/>
      <c r="DQ55" s="14"/>
      <c r="DR55" s="14"/>
      <c r="DS55" s="14"/>
      <c r="DV55" s="21"/>
      <c r="EA55" s="22"/>
    </row>
    <row r="56" ht="15.75" customHeight="1" outlineLevel="1">
      <c r="B56" s="12" t="s">
        <v>48</v>
      </c>
      <c r="C56" s="12" t="s">
        <v>95</v>
      </c>
      <c r="E56" s="13"/>
      <c r="F56" s="12" t="s">
        <v>99</v>
      </c>
      <c r="G56" s="14">
        <v>0.1</v>
      </c>
      <c r="I56" s="13">
        <f t="shared" si="5"/>
        <v>6</v>
      </c>
      <c r="J56" s="16">
        <f t="array" ref="J56">MAX(IF($N$3:$EH$3=$J$3,N56:EH56))</f>
        <v>0.5</v>
      </c>
      <c r="K56" s="16">
        <f t="array" ref="K56">MAX(IF($N$3:$EH$3=$J$3,N56:EH56))</f>
        <v>0.5</v>
      </c>
      <c r="L56" s="13"/>
      <c r="O56" s="14"/>
      <c r="P56" s="14"/>
      <c r="Q56" s="14"/>
      <c r="R56" s="14"/>
      <c r="U56" s="12">
        <v>2.0</v>
      </c>
      <c r="V56" s="14"/>
      <c r="W56" s="14">
        <v>0.5</v>
      </c>
      <c r="X56" s="14"/>
      <c r="Y56" s="14">
        <v>0.5</v>
      </c>
      <c r="AC56" s="14"/>
      <c r="AD56" s="14">
        <v>0.5</v>
      </c>
      <c r="AE56" s="14"/>
      <c r="AF56" s="14">
        <v>0.5</v>
      </c>
      <c r="AJ56" s="14"/>
      <c r="AK56" s="14">
        <v>0.5</v>
      </c>
      <c r="AL56" s="14"/>
      <c r="AM56" s="14">
        <v>0.5</v>
      </c>
      <c r="AP56" s="12">
        <v>2.0</v>
      </c>
      <c r="AQ56" s="20">
        <v>0.5</v>
      </c>
      <c r="AR56" s="14">
        <v>0.8</v>
      </c>
      <c r="AS56" s="20">
        <v>0.5</v>
      </c>
      <c r="AT56" s="14">
        <v>0.8</v>
      </c>
      <c r="AX56" s="20">
        <v>0.5</v>
      </c>
      <c r="AY56" s="14">
        <v>0.8</v>
      </c>
      <c r="AZ56" s="20">
        <v>0.5</v>
      </c>
      <c r="BA56" s="14">
        <v>0.8</v>
      </c>
      <c r="BE56" s="14"/>
      <c r="BF56" s="14">
        <v>0.8</v>
      </c>
      <c r="BG56" s="14"/>
      <c r="BH56" s="14">
        <v>0.8</v>
      </c>
      <c r="BL56" s="14"/>
      <c r="BM56" s="14">
        <v>0.8</v>
      </c>
      <c r="BN56" s="14"/>
      <c r="BO56" s="14">
        <v>0.8</v>
      </c>
      <c r="BR56" s="12">
        <v>2.0</v>
      </c>
      <c r="BS56" s="14"/>
      <c r="BT56" s="14">
        <v>1.0</v>
      </c>
      <c r="BU56" s="14"/>
      <c r="BV56" s="14">
        <v>1.0</v>
      </c>
      <c r="BZ56" s="14"/>
      <c r="CA56" s="14">
        <v>1.0</v>
      </c>
      <c r="CB56" s="14"/>
      <c r="CC56" s="14">
        <v>1.0</v>
      </c>
      <c r="CG56" s="14"/>
      <c r="CH56" s="14">
        <v>1.0</v>
      </c>
      <c r="CI56" s="14"/>
      <c r="CJ56" s="14">
        <v>1.0</v>
      </c>
      <c r="CN56" s="14"/>
      <c r="CO56" s="14">
        <v>1.0</v>
      </c>
      <c r="CP56" s="14"/>
      <c r="CQ56" s="14">
        <v>1.0</v>
      </c>
      <c r="CU56" s="14"/>
      <c r="CV56" s="14"/>
      <c r="CW56" s="14"/>
      <c r="CX56" s="14"/>
      <c r="DB56" s="14"/>
      <c r="DC56" s="14"/>
      <c r="DD56" s="14"/>
      <c r="DE56" s="14"/>
      <c r="DI56" s="14"/>
      <c r="DJ56" s="14"/>
      <c r="DK56" s="14"/>
      <c r="DL56" s="14"/>
      <c r="DP56" s="14"/>
      <c r="DQ56" s="14"/>
      <c r="DR56" s="14"/>
      <c r="DS56" s="14"/>
      <c r="DV56" s="21"/>
      <c r="EA56" s="22"/>
    </row>
    <row r="57" ht="15.75" customHeight="1" outlineLevel="1">
      <c r="B57" s="12" t="s">
        <v>48</v>
      </c>
      <c r="C57" s="12" t="s">
        <v>95</v>
      </c>
      <c r="E57" s="13"/>
      <c r="F57" s="12" t="s">
        <v>100</v>
      </c>
      <c r="G57" s="14">
        <v>0.1</v>
      </c>
      <c r="I57" s="13">
        <f t="shared" si="5"/>
        <v>6</v>
      </c>
      <c r="J57" s="16">
        <f t="array" ref="J57">MAX(IF($N$3:$EH$3=$J$3,N57:EH57))</f>
        <v>0.3</v>
      </c>
      <c r="K57" s="16">
        <f t="array" ref="K57">MAX(IF($N$3:$EH$3=$J$3,N57:EH57))</f>
        <v>0.3</v>
      </c>
      <c r="L57" s="13"/>
      <c r="O57" s="14"/>
      <c r="P57" s="14"/>
      <c r="Q57" s="14"/>
      <c r="R57" s="14"/>
      <c r="U57" s="12">
        <v>2.0</v>
      </c>
      <c r="V57" s="14"/>
      <c r="W57" s="14">
        <v>0.5</v>
      </c>
      <c r="X57" s="14"/>
      <c r="Y57" s="14">
        <v>0.5</v>
      </c>
      <c r="AC57" s="14"/>
      <c r="AD57" s="14">
        <v>0.5</v>
      </c>
      <c r="AE57" s="14"/>
      <c r="AF57" s="14">
        <v>0.5</v>
      </c>
      <c r="AJ57" s="14"/>
      <c r="AK57" s="14">
        <v>0.5</v>
      </c>
      <c r="AL57" s="14"/>
      <c r="AM57" s="14">
        <v>0.5</v>
      </c>
      <c r="AP57" s="12">
        <v>2.0</v>
      </c>
      <c r="AQ57" s="20">
        <v>0.3</v>
      </c>
      <c r="AR57" s="14">
        <v>0.8</v>
      </c>
      <c r="AS57" s="20">
        <v>0.3</v>
      </c>
      <c r="AT57" s="14">
        <v>0.8</v>
      </c>
      <c r="AX57" s="20">
        <v>0.3</v>
      </c>
      <c r="AY57" s="14">
        <v>0.8</v>
      </c>
      <c r="AZ57" s="20">
        <v>0.3</v>
      </c>
      <c r="BA57" s="14">
        <v>0.8</v>
      </c>
      <c r="BE57" s="14"/>
      <c r="BF57" s="14">
        <v>0.8</v>
      </c>
      <c r="BG57" s="14"/>
      <c r="BH57" s="14">
        <v>0.8</v>
      </c>
      <c r="BL57" s="14"/>
      <c r="BM57" s="14">
        <v>0.8</v>
      </c>
      <c r="BN57" s="14"/>
      <c r="BO57" s="14">
        <v>0.8</v>
      </c>
      <c r="BS57" s="14"/>
      <c r="BT57" s="14">
        <v>0.8</v>
      </c>
      <c r="BU57" s="14"/>
      <c r="BV57" s="14">
        <v>0.8</v>
      </c>
      <c r="BY57" s="12">
        <v>2.0</v>
      </c>
      <c r="BZ57" s="14"/>
      <c r="CA57" s="14">
        <v>1.0</v>
      </c>
      <c r="CB57" s="14"/>
      <c r="CC57" s="14">
        <v>1.0</v>
      </c>
      <c r="CG57" s="14"/>
      <c r="CH57" s="14">
        <v>1.0</v>
      </c>
      <c r="CI57" s="14"/>
      <c r="CJ57" s="14">
        <v>1.0</v>
      </c>
      <c r="CN57" s="14"/>
      <c r="CO57" s="14">
        <v>1.0</v>
      </c>
      <c r="CP57" s="14"/>
      <c r="CQ57" s="14">
        <v>1.0</v>
      </c>
      <c r="CU57" s="14"/>
      <c r="CV57" s="14"/>
      <c r="CW57" s="14"/>
      <c r="CX57" s="14"/>
      <c r="DB57" s="14"/>
      <c r="DC57" s="14"/>
      <c r="DD57" s="14"/>
      <c r="DE57" s="14"/>
      <c r="DI57" s="14"/>
      <c r="DJ57" s="14"/>
      <c r="DK57" s="14"/>
      <c r="DL57" s="14"/>
      <c r="DP57" s="14"/>
      <c r="DQ57" s="14"/>
      <c r="DR57" s="14"/>
      <c r="DS57" s="14"/>
      <c r="DV57" s="21"/>
      <c r="EA57" s="22"/>
    </row>
    <row r="58" ht="15.75" customHeight="1" outlineLevel="1">
      <c r="B58" s="12" t="s">
        <v>48</v>
      </c>
      <c r="C58" s="12" t="s">
        <v>95</v>
      </c>
      <c r="E58" s="13"/>
      <c r="F58" s="12" t="s">
        <v>101</v>
      </c>
      <c r="G58" s="14">
        <v>0.1</v>
      </c>
      <c r="I58" s="13">
        <f t="shared" si="5"/>
        <v>7</v>
      </c>
      <c r="J58" s="16">
        <f t="array" ref="J58">MAX(IF($N$3:$EH$3=$J$3,N58:EH58))</f>
        <v>0</v>
      </c>
      <c r="K58" s="16">
        <f t="array" ref="K58">MAX(IF($N$3:$EH$3=$J$3,N58:EH58))</f>
        <v>0</v>
      </c>
      <c r="L58" s="13"/>
      <c r="O58" s="14"/>
      <c r="P58" s="14"/>
      <c r="Q58" s="14"/>
      <c r="R58" s="14"/>
      <c r="V58" s="14"/>
      <c r="W58" s="14"/>
      <c r="X58" s="14"/>
      <c r="Y58" s="14"/>
      <c r="AB58" s="12">
        <v>3.0</v>
      </c>
      <c r="AC58" s="14"/>
      <c r="AD58" s="14">
        <v>0.5</v>
      </c>
      <c r="AE58" s="14"/>
      <c r="AF58" s="14">
        <v>0.5</v>
      </c>
      <c r="AJ58" s="14"/>
      <c r="AK58" s="14">
        <v>0.5</v>
      </c>
      <c r="AL58" s="14"/>
      <c r="AM58" s="14">
        <v>0.5</v>
      </c>
      <c r="AQ58" s="14"/>
      <c r="AR58" s="14">
        <v>0.5</v>
      </c>
      <c r="AS58" s="14"/>
      <c r="AT58" s="14">
        <v>0.5</v>
      </c>
      <c r="AW58" s="12">
        <v>2.0</v>
      </c>
      <c r="AX58" s="14"/>
      <c r="AY58" s="14">
        <v>0.8</v>
      </c>
      <c r="AZ58" s="14"/>
      <c r="BA58" s="14">
        <v>0.8</v>
      </c>
      <c r="BE58" s="14"/>
      <c r="BF58" s="14">
        <v>0.8</v>
      </c>
      <c r="BG58" s="14"/>
      <c r="BH58" s="14">
        <v>0.8</v>
      </c>
      <c r="BL58" s="14"/>
      <c r="BM58" s="14">
        <v>0.8</v>
      </c>
      <c r="BN58" s="14"/>
      <c r="BO58" s="14">
        <v>0.8</v>
      </c>
      <c r="BS58" s="14"/>
      <c r="BT58" s="14">
        <v>0.8</v>
      </c>
      <c r="BU58" s="14"/>
      <c r="BV58" s="14">
        <v>0.8</v>
      </c>
      <c r="BY58" s="12">
        <v>2.0</v>
      </c>
      <c r="BZ58" s="14"/>
      <c r="CA58" s="14">
        <v>1.0</v>
      </c>
      <c r="CB58" s="14"/>
      <c r="CC58" s="14">
        <v>1.0</v>
      </c>
      <c r="CG58" s="14"/>
      <c r="CH58" s="14">
        <v>1.0</v>
      </c>
      <c r="CI58" s="14"/>
      <c r="CJ58" s="14">
        <v>1.0</v>
      </c>
      <c r="CN58" s="14"/>
      <c r="CO58" s="14">
        <v>1.0</v>
      </c>
      <c r="CP58" s="14"/>
      <c r="CQ58" s="14">
        <v>1.0</v>
      </c>
      <c r="CU58" s="14"/>
      <c r="CV58" s="14"/>
      <c r="CW58" s="14"/>
      <c r="CX58" s="14"/>
      <c r="DB58" s="14"/>
      <c r="DC58" s="14"/>
      <c r="DD58" s="14"/>
      <c r="DE58" s="14"/>
      <c r="DI58" s="14"/>
      <c r="DJ58" s="14"/>
      <c r="DK58" s="14"/>
      <c r="DL58" s="14"/>
      <c r="DP58" s="14"/>
      <c r="DQ58" s="14"/>
      <c r="DR58" s="14"/>
      <c r="DS58" s="14"/>
      <c r="DV58" s="21"/>
      <c r="EA58" s="22"/>
    </row>
    <row r="59" ht="15.75" customHeight="1" outlineLevel="1">
      <c r="B59" s="12" t="s">
        <v>48</v>
      </c>
      <c r="C59" s="12" t="s">
        <v>102</v>
      </c>
      <c r="E59" s="13"/>
      <c r="F59" s="12" t="s">
        <v>103</v>
      </c>
      <c r="G59" s="14">
        <v>0.05</v>
      </c>
      <c r="I59" s="13">
        <f t="shared" si="5"/>
        <v>6</v>
      </c>
      <c r="J59" s="16">
        <f t="array" ref="J59">MAX(IF($N$3:$EH$3=$J$3,N59:EH59))</f>
        <v>0</v>
      </c>
      <c r="K59" s="16">
        <f t="array" ref="K59">MAX(IF($N$3:$EH$3=$J$3,N59:EH59))</f>
        <v>0</v>
      </c>
      <c r="L59" s="13"/>
      <c r="O59" s="14"/>
      <c r="P59" s="14"/>
      <c r="Q59" s="14"/>
      <c r="R59" s="14"/>
      <c r="V59" s="14"/>
      <c r="W59" s="14"/>
      <c r="X59" s="14"/>
      <c r="Y59" s="14"/>
      <c r="AC59" s="14"/>
      <c r="AD59" s="14"/>
      <c r="AE59" s="14"/>
      <c r="AF59" s="14"/>
      <c r="AI59" s="12">
        <v>2.0</v>
      </c>
      <c r="AJ59" s="14"/>
      <c r="AK59" s="14">
        <v>0.5</v>
      </c>
      <c r="AL59" s="14"/>
      <c r="AM59" s="14">
        <v>0.5</v>
      </c>
      <c r="AQ59" s="14"/>
      <c r="AR59" s="14">
        <v>0.5</v>
      </c>
      <c r="AS59" s="14"/>
      <c r="AT59" s="14">
        <v>0.5</v>
      </c>
      <c r="AX59" s="14"/>
      <c r="AY59" s="14">
        <v>0.5</v>
      </c>
      <c r="AZ59" s="14"/>
      <c r="BA59" s="14">
        <v>0.5</v>
      </c>
      <c r="BD59" s="12">
        <v>2.0</v>
      </c>
      <c r="BE59" s="14"/>
      <c r="BF59" s="14">
        <v>0.8</v>
      </c>
      <c r="BG59" s="14"/>
      <c r="BH59" s="14">
        <v>0.8</v>
      </c>
      <c r="BL59" s="14"/>
      <c r="BM59" s="14">
        <v>0.8</v>
      </c>
      <c r="BN59" s="14"/>
      <c r="BO59" s="14">
        <v>0.8</v>
      </c>
      <c r="BS59" s="14"/>
      <c r="BT59" s="14">
        <v>0.8</v>
      </c>
      <c r="BU59" s="14"/>
      <c r="BV59" s="14">
        <v>0.8</v>
      </c>
      <c r="BY59" s="12">
        <v>2.0</v>
      </c>
      <c r="BZ59" s="14"/>
      <c r="CA59" s="14">
        <v>1.0</v>
      </c>
      <c r="CB59" s="14"/>
      <c r="CC59" s="14">
        <v>1.0</v>
      </c>
      <c r="CG59" s="14"/>
      <c r="CH59" s="14">
        <v>1.0</v>
      </c>
      <c r="CI59" s="14"/>
      <c r="CJ59" s="14">
        <v>1.0</v>
      </c>
      <c r="CN59" s="14"/>
      <c r="CO59" s="14">
        <v>1.0</v>
      </c>
      <c r="CP59" s="14"/>
      <c r="CQ59" s="14">
        <v>1.0</v>
      </c>
      <c r="CU59" s="14"/>
      <c r="CV59" s="14"/>
      <c r="CW59" s="14"/>
      <c r="CX59" s="14"/>
      <c r="DB59" s="14"/>
      <c r="DC59" s="14"/>
      <c r="DD59" s="14"/>
      <c r="DE59" s="14"/>
      <c r="DI59" s="14"/>
      <c r="DJ59" s="14"/>
      <c r="DK59" s="14"/>
      <c r="DL59" s="14"/>
      <c r="DP59" s="14"/>
      <c r="DQ59" s="14"/>
      <c r="DR59" s="14"/>
      <c r="DS59" s="14"/>
      <c r="DV59" s="21"/>
      <c r="EA59" s="22"/>
    </row>
    <row r="60" ht="15.75" customHeight="1" outlineLevel="1">
      <c r="B60" s="12" t="s">
        <v>48</v>
      </c>
      <c r="C60" s="12" t="s">
        <v>102</v>
      </c>
      <c r="E60" s="13"/>
      <c r="F60" s="12" t="s">
        <v>104</v>
      </c>
      <c r="G60" s="14">
        <v>0.1</v>
      </c>
      <c r="I60" s="13">
        <f t="shared" si="5"/>
        <v>7</v>
      </c>
      <c r="J60" s="16">
        <f t="array" ref="J60">MAX(IF($N$3:$EH$3=$J$3,N60:EH60))</f>
        <v>0</v>
      </c>
      <c r="K60" s="16">
        <f t="array" ref="K60">MAX(IF($N$3:$EH$3=$J$3,N60:EH60))</f>
        <v>0</v>
      </c>
      <c r="L60" s="13"/>
      <c r="O60" s="14"/>
      <c r="P60" s="14"/>
      <c r="Q60" s="14"/>
      <c r="R60" s="14"/>
      <c r="V60" s="14"/>
      <c r="W60" s="14"/>
      <c r="X60" s="14"/>
      <c r="Y60" s="14"/>
      <c r="AC60" s="14"/>
      <c r="AD60" s="14"/>
      <c r="AE60" s="14"/>
      <c r="AF60" s="14"/>
      <c r="AI60" s="12">
        <v>2.0</v>
      </c>
      <c r="AJ60" s="14"/>
      <c r="AK60" s="14">
        <v>0.5</v>
      </c>
      <c r="AL60" s="14"/>
      <c r="AM60" s="14">
        <v>0.5</v>
      </c>
      <c r="AQ60" s="14"/>
      <c r="AR60" s="14">
        <v>0.5</v>
      </c>
      <c r="AS60" s="14"/>
      <c r="AT60" s="14">
        <v>0.5</v>
      </c>
      <c r="AX60" s="14"/>
      <c r="AY60" s="14">
        <v>0.5</v>
      </c>
      <c r="AZ60" s="14"/>
      <c r="BA60" s="14">
        <v>0.5</v>
      </c>
      <c r="BD60" s="12">
        <v>2.0</v>
      </c>
      <c r="BE60" s="14"/>
      <c r="BF60" s="14">
        <v>0.8</v>
      </c>
      <c r="BG60" s="14"/>
      <c r="BH60" s="14">
        <v>0.8</v>
      </c>
      <c r="BL60" s="14"/>
      <c r="BM60" s="14">
        <v>0.8</v>
      </c>
      <c r="BN60" s="14"/>
      <c r="BO60" s="14">
        <v>0.8</v>
      </c>
      <c r="BS60" s="14"/>
      <c r="BT60" s="14">
        <v>0.8</v>
      </c>
      <c r="BU60" s="14"/>
      <c r="BV60" s="14">
        <v>0.8</v>
      </c>
      <c r="BZ60" s="14"/>
      <c r="CA60" s="14">
        <v>0.8</v>
      </c>
      <c r="CB60" s="14"/>
      <c r="CC60" s="14">
        <v>0.8</v>
      </c>
      <c r="CF60" s="12">
        <v>3.0</v>
      </c>
      <c r="CG60" s="14"/>
      <c r="CH60" s="14">
        <v>1.0</v>
      </c>
      <c r="CI60" s="14"/>
      <c r="CJ60" s="14">
        <v>1.0</v>
      </c>
      <c r="CN60" s="14"/>
      <c r="CO60" s="14">
        <v>1.0</v>
      </c>
      <c r="CP60" s="14"/>
      <c r="CQ60" s="14">
        <v>1.0</v>
      </c>
      <c r="CU60" s="14"/>
      <c r="CV60" s="14"/>
      <c r="CW60" s="14"/>
      <c r="CX60" s="14"/>
      <c r="DB60" s="14"/>
      <c r="DC60" s="14"/>
      <c r="DD60" s="14"/>
      <c r="DE60" s="14"/>
      <c r="DI60" s="14"/>
      <c r="DJ60" s="14"/>
      <c r="DK60" s="14"/>
      <c r="DL60" s="14"/>
      <c r="DP60" s="14"/>
      <c r="DQ60" s="14"/>
      <c r="DR60" s="14"/>
      <c r="DS60" s="14"/>
      <c r="DV60" s="21"/>
      <c r="EA60" s="22"/>
    </row>
    <row r="61" ht="15.75" customHeight="1" outlineLevel="1">
      <c r="B61" s="12" t="s">
        <v>48</v>
      </c>
      <c r="C61" s="12" t="s">
        <v>102</v>
      </c>
      <c r="E61" s="13"/>
      <c r="F61" s="12" t="s">
        <v>105</v>
      </c>
      <c r="G61" s="14">
        <v>0.1</v>
      </c>
      <c r="I61" s="13">
        <f t="shared" si="5"/>
        <v>7</v>
      </c>
      <c r="J61" s="16">
        <f t="array" ref="J61">MAX(IF($N$3:$EH$3=$J$3,N61:EH61))</f>
        <v>0</v>
      </c>
      <c r="K61" s="16">
        <f t="array" ref="K61">MAX(IF($N$3:$EH$3=$J$3,N61:EH61))</f>
        <v>0</v>
      </c>
      <c r="L61" s="13"/>
      <c r="O61" s="14"/>
      <c r="P61" s="14"/>
      <c r="Q61" s="14"/>
      <c r="R61" s="14"/>
      <c r="V61" s="14"/>
      <c r="W61" s="14"/>
      <c r="X61" s="14"/>
      <c r="Y61" s="14"/>
      <c r="AC61" s="14"/>
      <c r="AD61" s="14"/>
      <c r="AE61" s="14"/>
      <c r="AF61" s="14"/>
      <c r="AJ61" s="14"/>
      <c r="AK61" s="14"/>
      <c r="AL61" s="14"/>
      <c r="AM61" s="14"/>
      <c r="AP61" s="12">
        <v>2.0</v>
      </c>
      <c r="AQ61" s="14"/>
      <c r="AR61" s="14">
        <v>0.5</v>
      </c>
      <c r="AS61" s="14"/>
      <c r="AT61" s="14">
        <v>0.5</v>
      </c>
      <c r="AX61" s="14"/>
      <c r="AY61" s="14">
        <v>0.5</v>
      </c>
      <c r="AZ61" s="14"/>
      <c r="BA61" s="14">
        <v>0.5</v>
      </c>
      <c r="BE61" s="14"/>
      <c r="BF61" s="14">
        <v>0.5</v>
      </c>
      <c r="BG61" s="14"/>
      <c r="BH61" s="14">
        <v>0.5</v>
      </c>
      <c r="BK61" s="12">
        <v>2.0</v>
      </c>
      <c r="BL61" s="14"/>
      <c r="BM61" s="14">
        <v>0.8</v>
      </c>
      <c r="BN61" s="14"/>
      <c r="BO61" s="14">
        <v>0.8</v>
      </c>
      <c r="BS61" s="14"/>
      <c r="BT61" s="14">
        <v>0.8</v>
      </c>
      <c r="BU61" s="14"/>
      <c r="BV61" s="14">
        <v>0.8</v>
      </c>
      <c r="BZ61" s="14"/>
      <c r="CA61" s="14">
        <v>0.8</v>
      </c>
      <c r="CB61" s="14"/>
      <c r="CC61" s="14">
        <v>0.8</v>
      </c>
      <c r="CF61" s="12">
        <v>3.0</v>
      </c>
      <c r="CG61" s="14"/>
      <c r="CH61" s="14">
        <v>1.0</v>
      </c>
      <c r="CI61" s="14"/>
      <c r="CJ61" s="14">
        <v>1.0</v>
      </c>
      <c r="CN61" s="14"/>
      <c r="CO61" s="14">
        <v>1.0</v>
      </c>
      <c r="CP61" s="14"/>
      <c r="CQ61" s="14">
        <v>1.0</v>
      </c>
      <c r="CU61" s="14"/>
      <c r="CV61" s="14"/>
      <c r="CW61" s="14"/>
      <c r="CX61" s="14"/>
      <c r="DB61" s="14"/>
      <c r="DC61" s="14"/>
      <c r="DD61" s="14"/>
      <c r="DE61" s="14"/>
      <c r="DI61" s="14"/>
      <c r="DJ61" s="14"/>
      <c r="DK61" s="14"/>
      <c r="DL61" s="14"/>
      <c r="DP61" s="14"/>
      <c r="DQ61" s="14"/>
      <c r="DR61" s="14"/>
      <c r="DS61" s="14"/>
      <c r="DV61" s="21"/>
      <c r="EA61" s="22"/>
    </row>
    <row r="62" ht="15.75" customHeight="1" outlineLevel="1">
      <c r="B62" s="12" t="s">
        <v>48</v>
      </c>
      <c r="C62" s="12" t="s">
        <v>102</v>
      </c>
      <c r="E62" s="13"/>
      <c r="F62" s="12" t="s">
        <v>106</v>
      </c>
      <c r="G62" s="14">
        <v>0.1</v>
      </c>
      <c r="I62" s="13">
        <f t="shared" si="5"/>
        <v>7</v>
      </c>
      <c r="J62" s="16">
        <f t="array" ref="J62">MAX(IF($N$3:$EH$3=$J$3,N62:EH62))</f>
        <v>0</v>
      </c>
      <c r="K62" s="16">
        <f t="array" ref="K62">MAX(IF($N$3:$EH$3=$J$3,N62:EH62))</f>
        <v>0</v>
      </c>
      <c r="L62" s="13"/>
      <c r="O62" s="14"/>
      <c r="P62" s="14"/>
      <c r="Q62" s="14"/>
      <c r="R62" s="14"/>
      <c r="V62" s="14"/>
      <c r="W62" s="14"/>
      <c r="X62" s="14"/>
      <c r="Y62" s="14"/>
      <c r="AC62" s="14"/>
      <c r="AD62" s="14"/>
      <c r="AE62" s="14"/>
      <c r="AF62" s="14"/>
      <c r="AJ62" s="14"/>
      <c r="AK62" s="14"/>
      <c r="AL62" s="14"/>
      <c r="AM62" s="14"/>
      <c r="AQ62" s="14"/>
      <c r="AR62" s="14"/>
      <c r="AS62" s="14"/>
      <c r="AT62" s="14"/>
      <c r="AW62" s="12">
        <v>2.0</v>
      </c>
      <c r="AX62" s="14"/>
      <c r="AY62" s="14">
        <v>0.5</v>
      </c>
      <c r="AZ62" s="14"/>
      <c r="BA62" s="14">
        <v>0.5</v>
      </c>
      <c r="BE62" s="14"/>
      <c r="BF62" s="14">
        <v>0.5</v>
      </c>
      <c r="BG62" s="14"/>
      <c r="BH62" s="14">
        <v>0.5</v>
      </c>
      <c r="BL62" s="14"/>
      <c r="BM62" s="14">
        <v>0.5</v>
      </c>
      <c r="BN62" s="14"/>
      <c r="BO62" s="14">
        <v>0.5</v>
      </c>
      <c r="BR62" s="12">
        <v>2.0</v>
      </c>
      <c r="BS62" s="14"/>
      <c r="BT62" s="14">
        <v>0.8</v>
      </c>
      <c r="BU62" s="14"/>
      <c r="BV62" s="14">
        <v>0.8</v>
      </c>
      <c r="BZ62" s="14"/>
      <c r="CA62" s="14">
        <v>0.8</v>
      </c>
      <c r="CB62" s="14"/>
      <c r="CC62" s="14">
        <v>0.8</v>
      </c>
      <c r="CG62" s="14"/>
      <c r="CH62" s="14">
        <v>0.8</v>
      </c>
      <c r="CI62" s="14"/>
      <c r="CJ62" s="14">
        <v>0.8</v>
      </c>
      <c r="CM62" s="12">
        <v>3.0</v>
      </c>
      <c r="CN62" s="14"/>
      <c r="CO62" s="14">
        <v>1.0</v>
      </c>
      <c r="CP62" s="14"/>
      <c r="CQ62" s="14">
        <v>1.0</v>
      </c>
      <c r="CU62" s="14"/>
      <c r="CV62" s="14"/>
      <c r="CW62" s="14"/>
      <c r="CX62" s="14"/>
      <c r="DB62" s="14"/>
      <c r="DC62" s="14"/>
      <c r="DD62" s="14"/>
      <c r="DE62" s="14"/>
      <c r="DI62" s="14"/>
      <c r="DJ62" s="14"/>
      <c r="DK62" s="14"/>
      <c r="DL62" s="14"/>
      <c r="DP62" s="14"/>
      <c r="DQ62" s="14"/>
      <c r="DR62" s="14"/>
      <c r="DS62" s="14"/>
      <c r="DV62" s="21"/>
      <c r="EA62" s="22"/>
    </row>
    <row r="63" ht="15.75" customHeight="1" outlineLevel="1">
      <c r="B63" s="12" t="s">
        <v>48</v>
      </c>
      <c r="C63" s="12" t="s">
        <v>102</v>
      </c>
      <c r="E63" s="13"/>
      <c r="F63" s="12" t="s">
        <v>107</v>
      </c>
      <c r="G63" s="14">
        <v>0.1</v>
      </c>
      <c r="I63" s="13">
        <f t="shared" si="5"/>
        <v>7</v>
      </c>
      <c r="J63" s="16">
        <f t="array" ref="J63">MAX(IF($N$3:$EH$3=$J$3,N63:EH63))</f>
        <v>0</v>
      </c>
      <c r="K63" s="16">
        <f t="array" ref="K63">MAX(IF($N$3:$EH$3=$J$3,N63:EH63))</f>
        <v>0</v>
      </c>
      <c r="L63" s="13"/>
      <c r="O63" s="14"/>
      <c r="P63" s="14"/>
      <c r="Q63" s="14"/>
      <c r="R63" s="14"/>
      <c r="V63" s="14"/>
      <c r="W63" s="14"/>
      <c r="X63" s="14"/>
      <c r="Y63" s="14"/>
      <c r="AC63" s="14"/>
      <c r="AD63" s="14"/>
      <c r="AE63" s="14"/>
      <c r="AF63" s="14"/>
      <c r="AJ63" s="14"/>
      <c r="AK63" s="14"/>
      <c r="AL63" s="14"/>
      <c r="AM63" s="14"/>
      <c r="AQ63" s="14"/>
      <c r="AR63" s="14"/>
      <c r="AS63" s="14"/>
      <c r="AT63" s="14"/>
      <c r="AW63" s="12">
        <v>2.0</v>
      </c>
      <c r="AX63" s="14"/>
      <c r="AY63" s="14">
        <v>0.5</v>
      </c>
      <c r="AZ63" s="14"/>
      <c r="BA63" s="14">
        <v>0.5</v>
      </c>
      <c r="BE63" s="14"/>
      <c r="BF63" s="14">
        <v>0.5</v>
      </c>
      <c r="BG63" s="14"/>
      <c r="BH63" s="14">
        <v>0.5</v>
      </c>
      <c r="BL63" s="14"/>
      <c r="BM63" s="14">
        <v>0.5</v>
      </c>
      <c r="BN63" s="14"/>
      <c r="BO63" s="14">
        <v>0.5</v>
      </c>
      <c r="BR63" s="12">
        <v>2.0</v>
      </c>
      <c r="BS63" s="14"/>
      <c r="BT63" s="14">
        <v>0.8</v>
      </c>
      <c r="BU63" s="14"/>
      <c r="BV63" s="14">
        <v>0.8</v>
      </c>
      <c r="BZ63" s="14"/>
      <c r="CA63" s="14">
        <v>0.8</v>
      </c>
      <c r="CB63" s="14"/>
      <c r="CC63" s="14">
        <v>0.8</v>
      </c>
      <c r="CG63" s="14"/>
      <c r="CH63" s="14">
        <v>0.8</v>
      </c>
      <c r="CI63" s="14"/>
      <c r="CJ63" s="14">
        <v>0.8</v>
      </c>
      <c r="CM63" s="12">
        <v>3.0</v>
      </c>
      <c r="CN63" s="14"/>
      <c r="CO63" s="14">
        <v>1.0</v>
      </c>
      <c r="CP63" s="14"/>
      <c r="CQ63" s="14">
        <v>1.0</v>
      </c>
      <c r="CU63" s="14"/>
      <c r="CV63" s="14"/>
      <c r="CW63" s="14"/>
      <c r="CX63" s="14"/>
      <c r="DB63" s="14"/>
      <c r="DC63" s="14"/>
      <c r="DD63" s="14"/>
      <c r="DE63" s="14"/>
      <c r="DI63" s="14"/>
      <c r="DJ63" s="14"/>
      <c r="DK63" s="14"/>
      <c r="DL63" s="14"/>
      <c r="DP63" s="14"/>
      <c r="DQ63" s="14"/>
      <c r="DR63" s="14"/>
      <c r="DS63" s="14"/>
      <c r="DV63" s="21"/>
      <c r="EA63" s="22"/>
    </row>
    <row r="64" ht="15.75" customHeight="1">
      <c r="DV64" s="21"/>
      <c r="EA64" s="22"/>
    </row>
    <row r="65" ht="15.75" customHeight="1">
      <c r="B65" s="12" t="s">
        <v>17</v>
      </c>
      <c r="C65" s="12" t="s">
        <v>108</v>
      </c>
      <c r="E65" s="13">
        <v>5.0</v>
      </c>
      <c r="G65" s="14">
        <f>+SUM(G66:G80)</f>
        <v>1</v>
      </c>
      <c r="I65" s="15">
        <f>+SUM(I66:I77)</f>
        <v>72</v>
      </c>
      <c r="J65" s="16">
        <f>+SUMPRODUCT(G66:G77,J66:J77)</f>
        <v>0.1</v>
      </c>
      <c r="K65" s="16">
        <f>+SUMPRODUCT(G66:G77,K66:K77)</f>
        <v>0.1</v>
      </c>
      <c r="L65" s="13"/>
      <c r="N65" s="15">
        <v>8.0</v>
      </c>
      <c r="U65" s="15">
        <v>8.0</v>
      </c>
      <c r="AB65" s="15">
        <v>8.0</v>
      </c>
      <c r="AI65" s="15">
        <v>8.0</v>
      </c>
      <c r="AP65" s="15">
        <v>8.0</v>
      </c>
      <c r="AW65" s="15">
        <v>8.0</v>
      </c>
      <c r="BD65" s="15">
        <v>8.0</v>
      </c>
      <c r="BK65" s="15">
        <v>8.0</v>
      </c>
      <c r="BR65" s="15">
        <v>8.0</v>
      </c>
      <c r="BY65" s="15">
        <v>8.0</v>
      </c>
      <c r="CF65" s="15">
        <v>8.0</v>
      </c>
      <c r="CM65" s="15">
        <v>6.0</v>
      </c>
      <c r="CT65" s="15"/>
      <c r="DA65" s="15"/>
      <c r="DH65" s="15"/>
      <c r="DO65" s="15"/>
      <c r="DV65" s="21"/>
      <c r="EA65" s="22"/>
    </row>
    <row r="66" ht="15.75" customHeight="1" outlineLevel="1">
      <c r="B66" s="12" t="s">
        <v>48</v>
      </c>
      <c r="C66" s="12" t="s">
        <v>108</v>
      </c>
      <c r="E66" s="13"/>
      <c r="F66" s="12" t="s">
        <v>109</v>
      </c>
      <c r="G66" s="14">
        <v>0.05</v>
      </c>
      <c r="I66" s="13">
        <f t="shared" ref="I66:I80" si="6">+SUMIF($N$3:$ZZ$3,I$3,$N66:$ZZ66)</f>
        <v>6</v>
      </c>
      <c r="J66" s="16">
        <f t="array" ref="J66">MAX(IF($N$3:$EH$3=$J$3,N66:EH66))</f>
        <v>0.5</v>
      </c>
      <c r="K66" s="16">
        <f t="array" ref="K66">MAX(IF($N$3:$EH$3=$J$3,N66:EH66))</f>
        <v>0.5</v>
      </c>
      <c r="L66" s="13"/>
      <c r="N66" s="12">
        <v>2.0</v>
      </c>
      <c r="O66" s="20">
        <v>0.5</v>
      </c>
      <c r="P66" s="14">
        <v>0.5</v>
      </c>
      <c r="Q66" s="20">
        <v>0.5</v>
      </c>
      <c r="R66" s="14">
        <v>0.5</v>
      </c>
      <c r="V66" s="20">
        <v>0.5</v>
      </c>
      <c r="W66" s="14">
        <v>0.5</v>
      </c>
      <c r="X66" s="20">
        <v>0.5</v>
      </c>
      <c r="Y66" s="14">
        <v>0.5</v>
      </c>
      <c r="AB66" s="12">
        <v>2.0</v>
      </c>
      <c r="AC66" s="20">
        <v>0.5</v>
      </c>
      <c r="AD66" s="14">
        <v>0.8</v>
      </c>
      <c r="AE66" s="20">
        <v>0.5</v>
      </c>
      <c r="AF66" s="14">
        <v>0.8</v>
      </c>
      <c r="AJ66" s="20">
        <v>0.5</v>
      </c>
      <c r="AK66" s="14">
        <v>0.8</v>
      </c>
      <c r="AL66" s="25">
        <v>0.5</v>
      </c>
      <c r="AM66" s="14">
        <v>0.8</v>
      </c>
      <c r="AQ66" s="20">
        <v>0.5</v>
      </c>
      <c r="AR66" s="14">
        <v>0.8</v>
      </c>
      <c r="AS66" s="20">
        <v>0.5</v>
      </c>
      <c r="AT66" s="14">
        <v>0.8</v>
      </c>
      <c r="AX66" s="14"/>
      <c r="AY66" s="14">
        <v>0.8</v>
      </c>
      <c r="AZ66" s="14"/>
      <c r="BA66" s="14">
        <v>0.8</v>
      </c>
      <c r="BD66" s="12">
        <v>2.0</v>
      </c>
      <c r="BE66" s="14"/>
      <c r="BF66" s="14">
        <v>1.0</v>
      </c>
      <c r="BG66" s="14"/>
      <c r="BH66" s="14">
        <v>1.0</v>
      </c>
      <c r="BL66" s="14"/>
      <c r="BM66" s="14">
        <v>1.0</v>
      </c>
      <c r="BN66" s="14"/>
      <c r="BO66" s="14">
        <v>1.0</v>
      </c>
      <c r="BS66" s="14"/>
      <c r="BT66" s="14">
        <v>1.0</v>
      </c>
      <c r="BU66" s="14"/>
      <c r="BV66" s="14">
        <v>1.0</v>
      </c>
      <c r="BZ66" s="14"/>
      <c r="CA66" s="14">
        <v>1.0</v>
      </c>
      <c r="CB66" s="14"/>
      <c r="CC66" s="14">
        <v>1.0</v>
      </c>
      <c r="CG66" s="14"/>
      <c r="CH66" s="14">
        <v>1.0</v>
      </c>
      <c r="CI66" s="14"/>
      <c r="CJ66" s="14">
        <v>1.0</v>
      </c>
      <c r="CN66" s="14"/>
      <c r="CO66" s="14">
        <v>1.0</v>
      </c>
      <c r="CP66" s="14"/>
      <c r="CQ66" s="14">
        <v>1.0</v>
      </c>
      <c r="CU66" s="14"/>
      <c r="CV66" s="14"/>
      <c r="CW66" s="14"/>
      <c r="CX66" s="14"/>
      <c r="DB66" s="14"/>
      <c r="DC66" s="14"/>
      <c r="DD66" s="14"/>
      <c r="DE66" s="14"/>
      <c r="DI66" s="14"/>
      <c r="DJ66" s="14"/>
      <c r="DK66" s="14"/>
      <c r="DL66" s="14"/>
      <c r="DP66" s="14"/>
      <c r="DQ66" s="14"/>
      <c r="DR66" s="14"/>
      <c r="DS66" s="14"/>
      <c r="DV66" s="21"/>
      <c r="EA66" s="22"/>
    </row>
    <row r="67" ht="15.75" customHeight="1" outlineLevel="1">
      <c r="B67" s="12" t="s">
        <v>48</v>
      </c>
      <c r="C67" s="12" t="s">
        <v>108</v>
      </c>
      <c r="E67" s="13"/>
      <c r="F67" s="12" t="s">
        <v>110</v>
      </c>
      <c r="G67" s="14">
        <v>0.05</v>
      </c>
      <c r="I67" s="13">
        <f t="shared" si="6"/>
        <v>6</v>
      </c>
      <c r="J67" s="16">
        <f t="array" ref="J67">MAX(IF($N$3:$EH$3=$J$3,N67:EH67))</f>
        <v>0.5</v>
      </c>
      <c r="K67" s="16">
        <f t="array" ref="K67">MAX(IF($N$3:$EH$3=$J$3,N67:EH67))</f>
        <v>0.5</v>
      </c>
      <c r="L67" s="13"/>
      <c r="N67" s="12">
        <v>2.0</v>
      </c>
      <c r="O67" s="14"/>
      <c r="P67" s="14">
        <v>0.5</v>
      </c>
      <c r="Q67" s="14"/>
      <c r="R67" s="14">
        <v>0.5</v>
      </c>
      <c r="V67" s="20">
        <v>0.5</v>
      </c>
      <c r="W67" s="14">
        <v>0.5</v>
      </c>
      <c r="X67" s="20">
        <v>0.5</v>
      </c>
      <c r="Y67" s="14">
        <v>0.5</v>
      </c>
      <c r="AB67" s="12">
        <v>2.0</v>
      </c>
      <c r="AC67" s="20">
        <v>0.5</v>
      </c>
      <c r="AD67" s="14">
        <v>0.8</v>
      </c>
      <c r="AE67" s="20">
        <v>0.5</v>
      </c>
      <c r="AF67" s="14">
        <v>0.8</v>
      </c>
      <c r="AJ67" s="20">
        <v>0.5</v>
      </c>
      <c r="AK67" s="14">
        <v>0.8</v>
      </c>
      <c r="AL67" s="25">
        <v>0.5</v>
      </c>
      <c r="AM67" s="14">
        <v>0.8</v>
      </c>
      <c r="AQ67" s="20">
        <v>0.5</v>
      </c>
      <c r="AR67" s="14">
        <v>0.8</v>
      </c>
      <c r="AS67" s="20">
        <v>0.5</v>
      </c>
      <c r="AT67" s="14">
        <v>0.8</v>
      </c>
      <c r="AX67" s="14"/>
      <c r="AY67" s="14">
        <v>0.8</v>
      </c>
      <c r="AZ67" s="14"/>
      <c r="BA67" s="14">
        <v>0.8</v>
      </c>
      <c r="BD67" s="12">
        <v>2.0</v>
      </c>
      <c r="BE67" s="14"/>
      <c r="BF67" s="14">
        <v>1.0</v>
      </c>
      <c r="BG67" s="14"/>
      <c r="BH67" s="14">
        <v>1.0</v>
      </c>
      <c r="BL67" s="14"/>
      <c r="BM67" s="14">
        <v>1.0</v>
      </c>
      <c r="BN67" s="14"/>
      <c r="BO67" s="14">
        <v>1.0</v>
      </c>
      <c r="BS67" s="14"/>
      <c r="BT67" s="14">
        <v>1.0</v>
      </c>
      <c r="BU67" s="14"/>
      <c r="BV67" s="14">
        <v>1.0</v>
      </c>
      <c r="BZ67" s="14"/>
      <c r="CA67" s="14">
        <v>1.0</v>
      </c>
      <c r="CB67" s="14"/>
      <c r="CC67" s="14">
        <v>1.0</v>
      </c>
      <c r="CG67" s="14"/>
      <c r="CH67" s="14">
        <v>1.0</v>
      </c>
      <c r="CI67" s="14"/>
      <c r="CJ67" s="14">
        <v>1.0</v>
      </c>
      <c r="CN67" s="14"/>
      <c r="CO67" s="14">
        <v>1.0</v>
      </c>
      <c r="CP67" s="14"/>
      <c r="CQ67" s="14">
        <v>1.0</v>
      </c>
      <c r="CU67" s="14"/>
      <c r="CV67" s="14"/>
      <c r="CW67" s="14"/>
      <c r="CX67" s="14"/>
      <c r="DB67" s="14"/>
      <c r="DC67" s="14"/>
      <c r="DD67" s="14"/>
      <c r="DE67" s="14"/>
      <c r="DI67" s="14"/>
      <c r="DJ67" s="14"/>
      <c r="DK67" s="14"/>
      <c r="DL67" s="14"/>
      <c r="DP67" s="14"/>
      <c r="DQ67" s="14"/>
      <c r="DR67" s="14"/>
      <c r="DS67" s="14"/>
      <c r="DV67" s="21"/>
      <c r="EA67" s="22"/>
    </row>
    <row r="68" ht="15.75" customHeight="1" outlineLevel="1">
      <c r="B68" s="12" t="s">
        <v>48</v>
      </c>
      <c r="C68" s="12" t="s">
        <v>108</v>
      </c>
      <c r="E68" s="13"/>
      <c r="F68" s="12" t="s">
        <v>111</v>
      </c>
      <c r="G68" s="14">
        <v>0.05</v>
      </c>
      <c r="I68" s="13">
        <f t="shared" si="6"/>
        <v>6</v>
      </c>
      <c r="J68" s="16">
        <f t="array" ref="J68">MAX(IF($N$3:$EH$3=$J$3,N68:EH68))</f>
        <v>0.5</v>
      </c>
      <c r="K68" s="16">
        <f t="array" ref="K68">MAX(IF($N$3:$EH$3=$J$3,N68:EH68))</f>
        <v>0.5</v>
      </c>
      <c r="L68" s="13"/>
      <c r="N68" s="12">
        <v>2.0</v>
      </c>
      <c r="O68" s="14"/>
      <c r="P68" s="14">
        <v>0.5</v>
      </c>
      <c r="Q68" s="14"/>
      <c r="R68" s="14">
        <v>0.5</v>
      </c>
      <c r="V68" s="14"/>
      <c r="W68" s="14">
        <v>0.5</v>
      </c>
      <c r="X68" s="14"/>
      <c r="Y68" s="14">
        <v>0.5</v>
      </c>
      <c r="AC68" s="20">
        <v>0.5</v>
      </c>
      <c r="AD68" s="14">
        <v>0.5</v>
      </c>
      <c r="AE68" s="20">
        <v>0.5</v>
      </c>
      <c r="AF68" s="14">
        <v>0.5</v>
      </c>
      <c r="AI68" s="12">
        <v>2.0</v>
      </c>
      <c r="AJ68" s="20">
        <v>0.5</v>
      </c>
      <c r="AK68" s="14">
        <v>0.8</v>
      </c>
      <c r="AL68" s="26">
        <v>0.5</v>
      </c>
      <c r="AM68" s="14">
        <v>0.8</v>
      </c>
      <c r="AQ68" s="20">
        <v>0.5</v>
      </c>
      <c r="AR68" s="14">
        <v>0.8</v>
      </c>
      <c r="AS68" s="20">
        <v>0.5</v>
      </c>
      <c r="AT68" s="14">
        <v>0.8</v>
      </c>
      <c r="AX68" s="14"/>
      <c r="AY68" s="14">
        <v>0.8</v>
      </c>
      <c r="AZ68" s="14"/>
      <c r="BA68" s="14">
        <v>0.8</v>
      </c>
      <c r="BE68" s="14"/>
      <c r="BF68" s="14">
        <v>0.8</v>
      </c>
      <c r="BG68" s="14"/>
      <c r="BH68" s="14">
        <v>0.8</v>
      </c>
      <c r="BK68" s="12">
        <v>2.0</v>
      </c>
      <c r="BL68" s="14"/>
      <c r="BM68" s="14">
        <v>1.0</v>
      </c>
      <c r="BN68" s="14"/>
      <c r="BO68" s="14">
        <v>1.0</v>
      </c>
      <c r="BS68" s="14"/>
      <c r="BT68" s="14">
        <v>1.0</v>
      </c>
      <c r="BU68" s="14"/>
      <c r="BV68" s="14">
        <v>1.0</v>
      </c>
      <c r="BZ68" s="14"/>
      <c r="CA68" s="14">
        <v>1.0</v>
      </c>
      <c r="CB68" s="14"/>
      <c r="CC68" s="14">
        <v>1.0</v>
      </c>
      <c r="CG68" s="14"/>
      <c r="CH68" s="14">
        <v>1.0</v>
      </c>
      <c r="CI68" s="14"/>
      <c r="CJ68" s="14">
        <v>1.0</v>
      </c>
      <c r="CN68" s="14"/>
      <c r="CO68" s="14">
        <v>1.0</v>
      </c>
      <c r="CP68" s="14"/>
      <c r="CQ68" s="14">
        <v>1.0</v>
      </c>
      <c r="CU68" s="14"/>
      <c r="CV68" s="14"/>
      <c r="CW68" s="14"/>
      <c r="CX68" s="14"/>
      <c r="DB68" s="14"/>
      <c r="DC68" s="14"/>
      <c r="DD68" s="14"/>
      <c r="DE68" s="14"/>
      <c r="DI68" s="14"/>
      <c r="DJ68" s="14"/>
      <c r="DK68" s="14"/>
      <c r="DL68" s="14"/>
      <c r="DP68" s="14"/>
      <c r="DQ68" s="14"/>
      <c r="DR68" s="14"/>
      <c r="DS68" s="14"/>
      <c r="DV68" s="21"/>
      <c r="EA68" s="22"/>
    </row>
    <row r="69" ht="15.75" customHeight="1" outlineLevel="1">
      <c r="B69" s="12" t="s">
        <v>48</v>
      </c>
      <c r="C69" s="12" t="s">
        <v>108</v>
      </c>
      <c r="E69" s="13"/>
      <c r="F69" s="12" t="s">
        <v>112</v>
      </c>
      <c r="G69" s="14">
        <v>0.05</v>
      </c>
      <c r="I69" s="13">
        <f t="shared" si="6"/>
        <v>6</v>
      </c>
      <c r="J69" s="16">
        <f t="array" ref="J69">MAX(IF($N$3:$EH$3=$J$3,N69:EH69))</f>
        <v>0.5</v>
      </c>
      <c r="K69" s="16">
        <f t="array" ref="K69">MAX(IF($N$3:$EH$3=$J$3,N69:EH69))</f>
        <v>0.5</v>
      </c>
      <c r="L69" s="13"/>
      <c r="N69" s="12">
        <v>2.0</v>
      </c>
      <c r="O69" s="14"/>
      <c r="P69" s="14">
        <v>0.5</v>
      </c>
      <c r="Q69" s="14"/>
      <c r="R69" s="14">
        <v>0.5</v>
      </c>
      <c r="V69" s="14"/>
      <c r="W69" s="14">
        <v>0.5</v>
      </c>
      <c r="X69" s="14"/>
      <c r="Y69" s="14">
        <v>0.5</v>
      </c>
      <c r="AC69" s="20">
        <v>0.5</v>
      </c>
      <c r="AD69" s="14">
        <v>0.5</v>
      </c>
      <c r="AE69" s="20">
        <v>0.5</v>
      </c>
      <c r="AF69" s="14">
        <v>0.5</v>
      </c>
      <c r="AI69" s="12">
        <v>2.0</v>
      </c>
      <c r="AJ69" s="20">
        <v>0.5</v>
      </c>
      <c r="AK69" s="14">
        <v>0.8</v>
      </c>
      <c r="AL69" s="26">
        <v>0.5</v>
      </c>
      <c r="AM69" s="14">
        <v>0.8</v>
      </c>
      <c r="AQ69" s="20">
        <v>0.5</v>
      </c>
      <c r="AR69" s="14">
        <v>0.8</v>
      </c>
      <c r="AS69" s="20">
        <v>0.5</v>
      </c>
      <c r="AT69" s="14">
        <v>0.8</v>
      </c>
      <c r="AX69" s="14"/>
      <c r="AY69" s="14">
        <v>0.8</v>
      </c>
      <c r="AZ69" s="14"/>
      <c r="BA69" s="14">
        <v>0.8</v>
      </c>
      <c r="BE69" s="14"/>
      <c r="BF69" s="14">
        <v>0.8</v>
      </c>
      <c r="BG69" s="14"/>
      <c r="BH69" s="14">
        <v>0.8</v>
      </c>
      <c r="BK69" s="12">
        <v>2.0</v>
      </c>
      <c r="BL69" s="14"/>
      <c r="BM69" s="14">
        <v>1.0</v>
      </c>
      <c r="BN69" s="14"/>
      <c r="BO69" s="14">
        <v>1.0</v>
      </c>
      <c r="BS69" s="14"/>
      <c r="BT69" s="14">
        <v>1.0</v>
      </c>
      <c r="BU69" s="14"/>
      <c r="BV69" s="14">
        <v>1.0</v>
      </c>
      <c r="BZ69" s="14"/>
      <c r="CA69" s="14">
        <v>1.0</v>
      </c>
      <c r="CB69" s="14"/>
      <c r="CC69" s="14">
        <v>1.0</v>
      </c>
      <c r="CG69" s="14"/>
      <c r="CH69" s="14">
        <v>1.0</v>
      </c>
      <c r="CI69" s="14"/>
      <c r="CJ69" s="14">
        <v>1.0</v>
      </c>
      <c r="CN69" s="14"/>
      <c r="CO69" s="14">
        <v>1.0</v>
      </c>
      <c r="CP69" s="14"/>
      <c r="CQ69" s="14">
        <v>1.0</v>
      </c>
      <c r="CU69" s="14"/>
      <c r="CV69" s="14"/>
      <c r="CW69" s="14"/>
      <c r="CX69" s="14"/>
      <c r="DB69" s="14"/>
      <c r="DC69" s="14"/>
      <c r="DD69" s="14"/>
      <c r="DE69" s="14"/>
      <c r="DI69" s="14"/>
      <c r="DJ69" s="14"/>
      <c r="DK69" s="14"/>
      <c r="DL69" s="14"/>
      <c r="DP69" s="14"/>
      <c r="DQ69" s="14"/>
      <c r="DR69" s="14"/>
      <c r="DS69" s="14"/>
      <c r="DV69" s="21"/>
      <c r="EA69" s="22"/>
    </row>
    <row r="70" ht="15.75" customHeight="1" outlineLevel="1">
      <c r="B70" s="12" t="s">
        <v>48</v>
      </c>
      <c r="C70" s="12" t="s">
        <v>108</v>
      </c>
      <c r="E70" s="13"/>
      <c r="F70" s="12" t="s">
        <v>113</v>
      </c>
      <c r="G70" s="14">
        <v>0.05</v>
      </c>
      <c r="I70" s="13">
        <f t="shared" si="6"/>
        <v>6</v>
      </c>
      <c r="J70" s="16">
        <f t="array" ref="J70">MAX(IF($N$3:$EH$3=$J$3,N70:EH70))</f>
        <v>0</v>
      </c>
      <c r="K70" s="16">
        <f t="array" ref="K70">MAX(IF($N$3:$EH$3=$J$3,N70:EH70))</f>
        <v>0</v>
      </c>
      <c r="L70" s="13"/>
      <c r="O70" s="14"/>
      <c r="P70" s="14"/>
      <c r="Q70" s="14"/>
      <c r="R70" s="14"/>
      <c r="U70" s="12">
        <v>2.0</v>
      </c>
      <c r="V70" s="14"/>
      <c r="W70" s="14">
        <v>0.5</v>
      </c>
      <c r="X70" s="14"/>
      <c r="Y70" s="14">
        <v>0.5</v>
      </c>
      <c r="AC70" s="14"/>
      <c r="AD70" s="14">
        <v>0.5</v>
      </c>
      <c r="AE70" s="14"/>
      <c r="AF70" s="14">
        <v>0.5</v>
      </c>
      <c r="AJ70" s="14"/>
      <c r="AK70" s="14">
        <v>0.5</v>
      </c>
      <c r="AL70" s="14"/>
      <c r="AM70" s="14">
        <v>0.5</v>
      </c>
      <c r="AP70" s="12">
        <v>2.0</v>
      </c>
      <c r="AQ70" s="14"/>
      <c r="AR70" s="14">
        <v>0.8</v>
      </c>
      <c r="AS70" s="14"/>
      <c r="AT70" s="14">
        <v>0.8</v>
      </c>
      <c r="AX70" s="14"/>
      <c r="AY70" s="14">
        <v>0.8</v>
      </c>
      <c r="AZ70" s="14"/>
      <c r="BA70" s="14">
        <v>0.8</v>
      </c>
      <c r="BE70" s="14"/>
      <c r="BF70" s="14">
        <v>0.8</v>
      </c>
      <c r="BG70" s="14"/>
      <c r="BH70" s="14">
        <v>0.8</v>
      </c>
      <c r="BL70" s="14"/>
      <c r="BM70" s="14">
        <v>0.8</v>
      </c>
      <c r="BN70" s="14"/>
      <c r="BO70" s="14">
        <v>0.8</v>
      </c>
      <c r="BR70" s="12">
        <v>2.0</v>
      </c>
      <c r="BS70" s="14"/>
      <c r="BT70" s="14">
        <v>1.0</v>
      </c>
      <c r="BU70" s="14"/>
      <c r="BV70" s="14">
        <v>1.0</v>
      </c>
      <c r="BZ70" s="14"/>
      <c r="CA70" s="14">
        <v>1.0</v>
      </c>
      <c r="CB70" s="14"/>
      <c r="CC70" s="14">
        <v>1.0</v>
      </c>
      <c r="CG70" s="14"/>
      <c r="CH70" s="14">
        <v>1.0</v>
      </c>
      <c r="CI70" s="14"/>
      <c r="CJ70" s="14">
        <v>1.0</v>
      </c>
      <c r="CN70" s="14"/>
      <c r="CO70" s="14">
        <v>1.0</v>
      </c>
      <c r="CP70" s="14"/>
      <c r="CQ70" s="14">
        <v>1.0</v>
      </c>
      <c r="CU70" s="14"/>
      <c r="CV70" s="14"/>
      <c r="CW70" s="14"/>
      <c r="CX70" s="14"/>
      <c r="DB70" s="14"/>
      <c r="DC70" s="14"/>
      <c r="DD70" s="14"/>
      <c r="DE70" s="14"/>
      <c r="DI70" s="14"/>
      <c r="DJ70" s="14"/>
      <c r="DK70" s="14"/>
      <c r="DL70" s="14"/>
      <c r="DP70" s="14"/>
      <c r="DQ70" s="14"/>
      <c r="DR70" s="14"/>
      <c r="DS70" s="14"/>
      <c r="DV70" s="21"/>
      <c r="EA70" s="22"/>
    </row>
    <row r="71" ht="15.75" customHeight="1" outlineLevel="1">
      <c r="B71" s="12" t="s">
        <v>48</v>
      </c>
      <c r="C71" s="12" t="s">
        <v>108</v>
      </c>
      <c r="E71" s="13"/>
      <c r="F71" s="12" t="s">
        <v>114</v>
      </c>
      <c r="G71" s="14">
        <v>0.05</v>
      </c>
      <c r="I71" s="13">
        <f t="shared" si="6"/>
        <v>6</v>
      </c>
      <c r="J71" s="16">
        <f t="array" ref="J71">MAX(IF($N$3:$EH$3=$J$3,N71:EH71))</f>
        <v>0</v>
      </c>
      <c r="K71" s="16">
        <f t="array" ref="K71">MAX(IF($N$3:$EH$3=$J$3,N71:EH71))</f>
        <v>0</v>
      </c>
      <c r="L71" s="13"/>
      <c r="O71" s="14"/>
      <c r="P71" s="14"/>
      <c r="Q71" s="14"/>
      <c r="R71" s="14"/>
      <c r="U71" s="12">
        <v>2.0</v>
      </c>
      <c r="V71" s="14"/>
      <c r="W71" s="14">
        <v>0.5</v>
      </c>
      <c r="X71" s="14"/>
      <c r="Y71" s="14">
        <v>0.5</v>
      </c>
      <c r="AC71" s="14"/>
      <c r="AD71" s="14">
        <v>0.5</v>
      </c>
      <c r="AE71" s="14"/>
      <c r="AF71" s="14">
        <v>0.5</v>
      </c>
      <c r="AJ71" s="14"/>
      <c r="AK71" s="14">
        <v>0.5</v>
      </c>
      <c r="AL71" s="14"/>
      <c r="AM71" s="14">
        <v>0.5</v>
      </c>
      <c r="AP71" s="12">
        <v>2.0</v>
      </c>
      <c r="AQ71" s="14"/>
      <c r="AR71" s="14">
        <v>0.8</v>
      </c>
      <c r="AS71" s="14"/>
      <c r="AT71" s="14">
        <v>0.8</v>
      </c>
      <c r="AX71" s="14"/>
      <c r="AY71" s="14">
        <v>0.8</v>
      </c>
      <c r="AZ71" s="14"/>
      <c r="BA71" s="14">
        <v>0.8</v>
      </c>
      <c r="BE71" s="14"/>
      <c r="BF71" s="14">
        <v>0.8</v>
      </c>
      <c r="BG71" s="14"/>
      <c r="BH71" s="14">
        <v>0.8</v>
      </c>
      <c r="BL71" s="14"/>
      <c r="BM71" s="14">
        <v>0.8</v>
      </c>
      <c r="BN71" s="14"/>
      <c r="BO71" s="14">
        <v>0.8</v>
      </c>
      <c r="BR71" s="12">
        <v>2.0</v>
      </c>
      <c r="BS71" s="14"/>
      <c r="BT71" s="14">
        <v>1.0</v>
      </c>
      <c r="BU71" s="14"/>
      <c r="BV71" s="14">
        <v>1.0</v>
      </c>
      <c r="BZ71" s="14"/>
      <c r="CA71" s="14">
        <v>1.0</v>
      </c>
      <c r="CB71" s="14"/>
      <c r="CC71" s="14">
        <v>1.0</v>
      </c>
      <c r="CG71" s="14"/>
      <c r="CH71" s="14">
        <v>1.0</v>
      </c>
      <c r="CI71" s="14"/>
      <c r="CJ71" s="14">
        <v>1.0</v>
      </c>
      <c r="CN71" s="14"/>
      <c r="CO71" s="14">
        <v>1.0</v>
      </c>
      <c r="CP71" s="14"/>
      <c r="CQ71" s="14">
        <v>1.0</v>
      </c>
      <c r="CU71" s="14"/>
      <c r="CV71" s="14"/>
      <c r="CW71" s="14"/>
      <c r="CX71" s="14"/>
      <c r="DB71" s="14"/>
      <c r="DC71" s="14"/>
      <c r="DD71" s="14"/>
      <c r="DE71" s="14"/>
      <c r="DI71" s="14"/>
      <c r="DJ71" s="14"/>
      <c r="DK71" s="14"/>
      <c r="DL71" s="14"/>
      <c r="DP71" s="14"/>
      <c r="DQ71" s="14"/>
      <c r="DR71" s="14"/>
      <c r="DS71" s="14"/>
      <c r="DV71" s="21"/>
      <c r="EA71" s="22"/>
    </row>
    <row r="72" ht="15.75" customHeight="1" outlineLevel="1">
      <c r="B72" s="12" t="s">
        <v>48</v>
      </c>
      <c r="C72" s="12" t="s">
        <v>108</v>
      </c>
      <c r="E72" s="13"/>
      <c r="F72" s="12" t="s">
        <v>115</v>
      </c>
      <c r="G72" s="14">
        <v>0.1</v>
      </c>
      <c r="I72" s="13">
        <f t="shared" si="6"/>
        <v>6</v>
      </c>
      <c r="J72" s="16">
        <f t="array" ref="J72">MAX(IF($N$3:$EH$3=$J$3,N72:EH72))</f>
        <v>0</v>
      </c>
      <c r="K72" s="16">
        <f t="array" ref="K72">MAX(IF($N$3:$EH$3=$J$3,N72:EH72))</f>
        <v>0</v>
      </c>
      <c r="L72" s="13"/>
      <c r="O72" s="14"/>
      <c r="P72" s="14"/>
      <c r="Q72" s="14"/>
      <c r="R72" s="14"/>
      <c r="U72" s="12">
        <v>2.0</v>
      </c>
      <c r="V72" s="14"/>
      <c r="W72" s="14">
        <v>0.5</v>
      </c>
      <c r="X72" s="14"/>
      <c r="Y72" s="14">
        <v>0.5</v>
      </c>
      <c r="AC72" s="14"/>
      <c r="AD72" s="14">
        <v>0.5</v>
      </c>
      <c r="AE72" s="14"/>
      <c r="AF72" s="14">
        <v>0.5</v>
      </c>
      <c r="AJ72" s="14"/>
      <c r="AK72" s="14">
        <v>0.5</v>
      </c>
      <c r="AL72" s="14"/>
      <c r="AM72" s="14">
        <v>0.5</v>
      </c>
      <c r="AQ72" s="14"/>
      <c r="AR72" s="14">
        <v>0.5</v>
      </c>
      <c r="AS72" s="14"/>
      <c r="AT72" s="14">
        <v>0.5</v>
      </c>
      <c r="AW72" s="12">
        <v>2.0</v>
      </c>
      <c r="AX72" s="14"/>
      <c r="AY72" s="14">
        <v>0.8</v>
      </c>
      <c r="AZ72" s="14"/>
      <c r="BA72" s="14">
        <v>0.8</v>
      </c>
      <c r="BE72" s="14"/>
      <c r="BF72" s="14">
        <v>0.8</v>
      </c>
      <c r="BG72" s="14"/>
      <c r="BH72" s="14">
        <v>0.8</v>
      </c>
      <c r="BL72" s="14"/>
      <c r="BM72" s="14">
        <v>0.8</v>
      </c>
      <c r="BN72" s="14"/>
      <c r="BO72" s="14">
        <v>0.8</v>
      </c>
      <c r="BS72" s="14"/>
      <c r="BT72" s="14">
        <v>0.8</v>
      </c>
      <c r="BU72" s="14"/>
      <c r="BV72" s="14">
        <v>0.8</v>
      </c>
      <c r="BY72" s="12">
        <v>2.0</v>
      </c>
      <c r="BZ72" s="14"/>
      <c r="CA72" s="14">
        <v>1.0</v>
      </c>
      <c r="CB72" s="14"/>
      <c r="CC72" s="14">
        <v>1.0</v>
      </c>
      <c r="CG72" s="14"/>
      <c r="CH72" s="14">
        <v>1.0</v>
      </c>
      <c r="CI72" s="14"/>
      <c r="CJ72" s="14">
        <v>1.0</v>
      </c>
      <c r="CN72" s="14"/>
      <c r="CO72" s="14">
        <v>1.0</v>
      </c>
      <c r="CP72" s="14"/>
      <c r="CQ72" s="14">
        <v>1.0</v>
      </c>
      <c r="CU72" s="14"/>
      <c r="CV72" s="14"/>
      <c r="CW72" s="14"/>
      <c r="CX72" s="14"/>
      <c r="DB72" s="14"/>
      <c r="DC72" s="14"/>
      <c r="DD72" s="14"/>
      <c r="DE72" s="14"/>
      <c r="DI72" s="14"/>
      <c r="DJ72" s="14"/>
      <c r="DK72" s="14"/>
      <c r="DL72" s="14"/>
      <c r="DP72" s="14"/>
      <c r="DQ72" s="14"/>
      <c r="DR72" s="14"/>
      <c r="DS72" s="14"/>
      <c r="DV72" s="21"/>
      <c r="EA72" s="22"/>
    </row>
    <row r="73" ht="15.75" customHeight="1" outlineLevel="1">
      <c r="B73" s="12" t="s">
        <v>48</v>
      </c>
      <c r="C73" s="12" t="s">
        <v>108</v>
      </c>
      <c r="E73" s="13"/>
      <c r="F73" s="12" t="s">
        <v>116</v>
      </c>
      <c r="G73" s="14">
        <v>0.05</v>
      </c>
      <c r="I73" s="13">
        <f t="shared" si="6"/>
        <v>6</v>
      </c>
      <c r="J73" s="16">
        <f t="array" ref="J73">MAX(IF($N$3:$EH$3=$J$3,N73:EH73))</f>
        <v>0</v>
      </c>
      <c r="K73" s="16">
        <f t="array" ref="K73">MAX(IF($N$3:$EH$3=$J$3,N73:EH73))</f>
        <v>0</v>
      </c>
      <c r="L73" s="13"/>
      <c r="O73" s="14"/>
      <c r="P73" s="14"/>
      <c r="Q73" s="14"/>
      <c r="R73" s="14"/>
      <c r="U73" s="12">
        <v>2.0</v>
      </c>
      <c r="V73" s="14"/>
      <c r="W73" s="14">
        <v>0.5</v>
      </c>
      <c r="X73" s="14"/>
      <c r="Y73" s="14">
        <v>0.5</v>
      </c>
      <c r="AC73" s="14"/>
      <c r="AD73" s="14">
        <v>0.5</v>
      </c>
      <c r="AE73" s="14"/>
      <c r="AF73" s="14">
        <v>0.5</v>
      </c>
      <c r="AJ73" s="14"/>
      <c r="AK73" s="14">
        <v>0.5</v>
      </c>
      <c r="AL73" s="14"/>
      <c r="AM73" s="14">
        <v>0.5</v>
      </c>
      <c r="AQ73" s="14"/>
      <c r="AR73" s="14">
        <v>0.5</v>
      </c>
      <c r="AS73" s="14"/>
      <c r="AT73" s="14">
        <v>0.5</v>
      </c>
      <c r="AW73" s="12">
        <v>2.0</v>
      </c>
      <c r="AX73" s="14"/>
      <c r="AY73" s="14">
        <v>0.8</v>
      </c>
      <c r="AZ73" s="14"/>
      <c r="BA73" s="14">
        <v>0.8</v>
      </c>
      <c r="BE73" s="14"/>
      <c r="BF73" s="14">
        <v>0.8</v>
      </c>
      <c r="BG73" s="14"/>
      <c r="BH73" s="14">
        <v>0.8</v>
      </c>
      <c r="BL73" s="14"/>
      <c r="BM73" s="14">
        <v>0.8</v>
      </c>
      <c r="BN73" s="14"/>
      <c r="BO73" s="14">
        <v>0.8</v>
      </c>
      <c r="BS73" s="14"/>
      <c r="BT73" s="14">
        <v>0.8</v>
      </c>
      <c r="BU73" s="14"/>
      <c r="BV73" s="14">
        <v>0.8</v>
      </c>
      <c r="BY73" s="12">
        <v>2.0</v>
      </c>
      <c r="BZ73" s="14"/>
      <c r="CA73" s="14">
        <v>1.0</v>
      </c>
      <c r="CB73" s="14"/>
      <c r="CC73" s="14">
        <v>1.0</v>
      </c>
      <c r="CG73" s="14"/>
      <c r="CH73" s="14">
        <v>1.0</v>
      </c>
      <c r="CI73" s="14"/>
      <c r="CJ73" s="14">
        <v>1.0</v>
      </c>
      <c r="CN73" s="14"/>
      <c r="CO73" s="14">
        <v>1.0</v>
      </c>
      <c r="CP73" s="14"/>
      <c r="CQ73" s="14">
        <v>1.0</v>
      </c>
      <c r="CU73" s="14"/>
      <c r="CV73" s="14"/>
      <c r="CW73" s="14"/>
      <c r="CX73" s="14"/>
      <c r="DB73" s="14"/>
      <c r="DC73" s="14"/>
      <c r="DD73" s="14"/>
      <c r="DE73" s="14"/>
      <c r="DI73" s="14"/>
      <c r="DJ73" s="14"/>
      <c r="DK73" s="14"/>
      <c r="DL73" s="14"/>
      <c r="DP73" s="14"/>
      <c r="DQ73" s="14"/>
      <c r="DR73" s="14"/>
      <c r="DS73" s="14"/>
      <c r="DV73" s="21"/>
      <c r="EA73" s="22"/>
    </row>
    <row r="74" ht="15.75" customHeight="1" outlineLevel="1">
      <c r="B74" s="12" t="s">
        <v>48</v>
      </c>
      <c r="C74" s="12" t="s">
        <v>108</v>
      </c>
      <c r="E74" s="13"/>
      <c r="F74" s="12" t="s">
        <v>117</v>
      </c>
      <c r="G74" s="14">
        <v>0.05</v>
      </c>
      <c r="I74" s="13">
        <f t="shared" si="6"/>
        <v>6</v>
      </c>
      <c r="J74" s="16">
        <f t="array" ref="J74">MAX(IF($N$3:$EH$3=$J$3,N74:EH74))</f>
        <v>0</v>
      </c>
      <c r="K74" s="16">
        <f t="array" ref="K74">MAX(IF($N$3:$EH$3=$J$3,N74:EH74))</f>
        <v>0</v>
      </c>
      <c r="L74" s="13"/>
      <c r="O74" s="14"/>
      <c r="P74" s="14"/>
      <c r="Q74" s="14"/>
      <c r="R74" s="14"/>
      <c r="V74" s="14"/>
      <c r="W74" s="14"/>
      <c r="X74" s="14"/>
      <c r="Y74" s="14"/>
      <c r="AB74" s="12">
        <v>2.0</v>
      </c>
      <c r="AC74" s="14"/>
      <c r="AD74" s="14">
        <v>0.5</v>
      </c>
      <c r="AE74" s="14"/>
      <c r="AF74" s="14">
        <v>0.5</v>
      </c>
      <c r="AJ74" s="14"/>
      <c r="AK74" s="14">
        <v>0.5</v>
      </c>
      <c r="AL74" s="14"/>
      <c r="AM74" s="14">
        <v>0.5</v>
      </c>
      <c r="AQ74" s="14"/>
      <c r="AR74" s="14">
        <v>0.5</v>
      </c>
      <c r="AS74" s="14"/>
      <c r="AT74" s="14">
        <v>0.5</v>
      </c>
      <c r="AW74" s="12">
        <v>2.0</v>
      </c>
      <c r="AX74" s="14"/>
      <c r="AY74" s="14">
        <v>0.8</v>
      </c>
      <c r="AZ74" s="14"/>
      <c r="BA74" s="14">
        <v>0.8</v>
      </c>
      <c r="BE74" s="14"/>
      <c r="BF74" s="14">
        <v>0.8</v>
      </c>
      <c r="BG74" s="14"/>
      <c r="BH74" s="14">
        <v>0.8</v>
      </c>
      <c r="BL74" s="14"/>
      <c r="BM74" s="14">
        <v>0.8</v>
      </c>
      <c r="BN74" s="14"/>
      <c r="BO74" s="14">
        <v>0.8</v>
      </c>
      <c r="BS74" s="14"/>
      <c r="BT74" s="14">
        <v>0.8</v>
      </c>
      <c r="BU74" s="14"/>
      <c r="BV74" s="14">
        <v>0.8</v>
      </c>
      <c r="BY74" s="12">
        <v>2.0</v>
      </c>
      <c r="BZ74" s="14"/>
      <c r="CA74" s="14">
        <v>1.0</v>
      </c>
      <c r="CB74" s="14"/>
      <c r="CC74" s="14">
        <v>1.0</v>
      </c>
      <c r="CG74" s="14"/>
      <c r="CH74" s="14">
        <v>1.0</v>
      </c>
      <c r="CI74" s="14"/>
      <c r="CJ74" s="14">
        <v>1.0</v>
      </c>
      <c r="CN74" s="14"/>
      <c r="CO74" s="14">
        <v>1.0</v>
      </c>
      <c r="CP74" s="14"/>
      <c r="CQ74" s="14">
        <v>1.0</v>
      </c>
      <c r="CU74" s="14"/>
      <c r="CV74" s="14"/>
      <c r="CW74" s="14"/>
      <c r="CX74" s="14"/>
      <c r="DB74" s="14"/>
      <c r="DC74" s="14"/>
      <c r="DD74" s="14"/>
      <c r="DE74" s="14"/>
      <c r="DI74" s="14"/>
      <c r="DJ74" s="14"/>
      <c r="DK74" s="14"/>
      <c r="DL74" s="14"/>
      <c r="DP74" s="14"/>
      <c r="DQ74" s="14"/>
      <c r="DR74" s="14"/>
      <c r="DS74" s="14"/>
      <c r="DV74" s="21"/>
      <c r="EA74" s="22"/>
    </row>
    <row r="75" ht="15.75" customHeight="1" outlineLevel="1">
      <c r="B75" s="12" t="s">
        <v>48</v>
      </c>
      <c r="C75" s="12" t="s">
        <v>108</v>
      </c>
      <c r="E75" s="13"/>
      <c r="F75" s="12" t="s">
        <v>118</v>
      </c>
      <c r="G75" s="14">
        <v>0.1</v>
      </c>
      <c r="I75" s="13">
        <f t="shared" si="6"/>
        <v>6</v>
      </c>
      <c r="J75" s="16">
        <f t="array" ref="J75">MAX(IF($N$3:$EH$3=$J$3,N75:EH75))</f>
        <v>0</v>
      </c>
      <c r="K75" s="16">
        <f t="array" ref="K75">MAX(IF($N$3:$EH$3=$J$3,N75:EH75))</f>
        <v>0</v>
      </c>
      <c r="L75" s="13"/>
      <c r="O75" s="14"/>
      <c r="P75" s="14"/>
      <c r="Q75" s="14"/>
      <c r="R75" s="14"/>
      <c r="V75" s="14"/>
      <c r="W75" s="14"/>
      <c r="X75" s="14"/>
      <c r="Y75" s="14"/>
      <c r="AB75" s="12">
        <v>2.0</v>
      </c>
      <c r="AC75" s="14"/>
      <c r="AD75" s="14">
        <v>0.5</v>
      </c>
      <c r="AE75" s="14"/>
      <c r="AF75" s="14">
        <v>0.5</v>
      </c>
      <c r="AJ75" s="14"/>
      <c r="AK75" s="14">
        <v>0.5</v>
      </c>
      <c r="AL75" s="14"/>
      <c r="AM75" s="14">
        <v>0.5</v>
      </c>
      <c r="AQ75" s="14"/>
      <c r="AR75" s="14">
        <v>0.5</v>
      </c>
      <c r="AS75" s="14"/>
      <c r="AT75" s="14">
        <v>0.5</v>
      </c>
      <c r="AX75" s="14"/>
      <c r="AY75" s="14">
        <v>0.5</v>
      </c>
      <c r="AZ75" s="14"/>
      <c r="BA75" s="14">
        <v>0.5</v>
      </c>
      <c r="BD75" s="12">
        <v>2.0</v>
      </c>
      <c r="BE75" s="14"/>
      <c r="BF75" s="14">
        <v>0.8</v>
      </c>
      <c r="BG75" s="14"/>
      <c r="BH75" s="14">
        <v>0.8</v>
      </c>
      <c r="BL75" s="14"/>
      <c r="BM75" s="14">
        <v>0.8</v>
      </c>
      <c r="BN75" s="14"/>
      <c r="BO75" s="14">
        <v>0.8</v>
      </c>
      <c r="BS75" s="14"/>
      <c r="BT75" s="14">
        <v>0.8</v>
      </c>
      <c r="BU75" s="14"/>
      <c r="BV75" s="14">
        <v>0.8</v>
      </c>
      <c r="BY75" s="12">
        <v>2.0</v>
      </c>
      <c r="BZ75" s="14"/>
      <c r="CA75" s="14">
        <v>1.0</v>
      </c>
      <c r="CB75" s="14"/>
      <c r="CC75" s="14">
        <v>1.0</v>
      </c>
      <c r="CG75" s="14"/>
      <c r="CH75" s="14">
        <v>1.0</v>
      </c>
      <c r="CI75" s="14"/>
      <c r="CJ75" s="14">
        <v>1.0</v>
      </c>
      <c r="CN75" s="14"/>
      <c r="CO75" s="14">
        <v>1.0</v>
      </c>
      <c r="CP75" s="14"/>
      <c r="CQ75" s="14">
        <v>1.0</v>
      </c>
      <c r="CU75" s="14"/>
      <c r="CV75" s="14"/>
      <c r="CW75" s="14"/>
      <c r="CX75" s="14"/>
      <c r="DB75" s="14"/>
      <c r="DC75" s="14"/>
      <c r="DD75" s="14"/>
      <c r="DE75" s="14"/>
      <c r="DI75" s="14"/>
      <c r="DJ75" s="14"/>
      <c r="DK75" s="14"/>
      <c r="DL75" s="14"/>
      <c r="DP75" s="14"/>
      <c r="DQ75" s="14"/>
      <c r="DR75" s="14"/>
      <c r="DS75" s="14"/>
      <c r="DV75" s="21"/>
      <c r="EA75" s="22"/>
    </row>
    <row r="76" ht="15.75" customHeight="1" outlineLevel="1">
      <c r="B76" s="12" t="s">
        <v>48</v>
      </c>
      <c r="C76" s="12" t="s">
        <v>108</v>
      </c>
      <c r="E76" s="13"/>
      <c r="F76" s="12" t="s">
        <v>119</v>
      </c>
      <c r="G76" s="14">
        <v>0.1</v>
      </c>
      <c r="I76" s="13">
        <f t="shared" si="6"/>
        <v>6</v>
      </c>
      <c r="J76" s="16">
        <f t="array" ref="J76">MAX(IF($N$3:$EH$3=$J$3,N76:EH76))</f>
        <v>0</v>
      </c>
      <c r="K76" s="16">
        <f t="array" ref="K76">MAX(IF($N$3:$EH$3=$J$3,N76:EH76))</f>
        <v>0</v>
      </c>
      <c r="L76" s="13"/>
      <c r="O76" s="14"/>
      <c r="P76" s="14"/>
      <c r="Q76" s="14"/>
      <c r="R76" s="14"/>
      <c r="V76" s="14"/>
      <c r="W76" s="14"/>
      <c r="X76" s="14"/>
      <c r="Y76" s="14"/>
      <c r="AC76" s="14"/>
      <c r="AD76" s="14"/>
      <c r="AE76" s="14"/>
      <c r="AF76" s="14"/>
      <c r="AI76" s="12">
        <v>2.0</v>
      </c>
      <c r="AJ76" s="14"/>
      <c r="AK76" s="14">
        <v>0.5</v>
      </c>
      <c r="AL76" s="14"/>
      <c r="AM76" s="14">
        <v>0.5</v>
      </c>
      <c r="AQ76" s="14"/>
      <c r="AR76" s="14">
        <v>0.5</v>
      </c>
      <c r="AS76" s="14"/>
      <c r="AT76" s="14">
        <v>0.5</v>
      </c>
      <c r="AX76" s="14"/>
      <c r="AY76" s="14">
        <v>0.5</v>
      </c>
      <c r="AZ76" s="14"/>
      <c r="BA76" s="14">
        <v>0.5</v>
      </c>
      <c r="BD76" s="12">
        <v>2.0</v>
      </c>
      <c r="BE76" s="14"/>
      <c r="BF76" s="14">
        <v>0.8</v>
      </c>
      <c r="BG76" s="14"/>
      <c r="BH76" s="14">
        <v>0.8</v>
      </c>
      <c r="BL76" s="14"/>
      <c r="BM76" s="14">
        <v>0.8</v>
      </c>
      <c r="BN76" s="14"/>
      <c r="BO76" s="14">
        <v>0.8</v>
      </c>
      <c r="BS76" s="14"/>
      <c r="BT76" s="14">
        <v>0.8</v>
      </c>
      <c r="BU76" s="14"/>
      <c r="BV76" s="14">
        <v>0.8</v>
      </c>
      <c r="BZ76" s="14"/>
      <c r="CA76" s="14">
        <v>0.8</v>
      </c>
      <c r="CB76" s="14"/>
      <c r="CC76" s="14">
        <v>0.8</v>
      </c>
      <c r="CF76" s="12">
        <v>2.0</v>
      </c>
      <c r="CG76" s="14"/>
      <c r="CH76" s="14">
        <v>1.0</v>
      </c>
      <c r="CI76" s="14"/>
      <c r="CJ76" s="14">
        <v>1.0</v>
      </c>
      <c r="CN76" s="14"/>
      <c r="CO76" s="14">
        <v>1.0</v>
      </c>
      <c r="CP76" s="14"/>
      <c r="CQ76" s="14">
        <v>1.0</v>
      </c>
      <c r="CU76" s="14"/>
      <c r="CV76" s="14"/>
      <c r="CW76" s="14"/>
      <c r="CX76" s="14"/>
      <c r="DB76" s="14"/>
      <c r="DC76" s="14"/>
      <c r="DD76" s="14"/>
      <c r="DE76" s="14"/>
      <c r="DI76" s="14"/>
      <c r="DJ76" s="14"/>
      <c r="DK76" s="14"/>
      <c r="DL76" s="14"/>
      <c r="DP76" s="14"/>
      <c r="DQ76" s="14"/>
      <c r="DR76" s="14"/>
      <c r="DS76" s="14"/>
      <c r="DV76" s="21"/>
      <c r="EA76" s="22"/>
    </row>
    <row r="77" ht="15.75" customHeight="1" outlineLevel="1">
      <c r="B77" s="12" t="s">
        <v>48</v>
      </c>
      <c r="C77" s="12" t="s">
        <v>108</v>
      </c>
      <c r="E77" s="13"/>
      <c r="F77" s="12" t="s">
        <v>120</v>
      </c>
      <c r="G77" s="14">
        <v>0.05</v>
      </c>
      <c r="I77" s="13">
        <f t="shared" si="6"/>
        <v>6</v>
      </c>
      <c r="J77" s="16">
        <f t="array" ref="J77">MAX(IF($N$3:$EH$3=$J$3,N77:EH77))</f>
        <v>0</v>
      </c>
      <c r="K77" s="16">
        <f t="array" ref="K77">MAX(IF($N$3:$EH$3=$J$3,N77:EH77))</f>
        <v>0</v>
      </c>
      <c r="L77" s="13"/>
      <c r="O77" s="14"/>
      <c r="P77" s="14"/>
      <c r="Q77" s="14"/>
      <c r="R77" s="14"/>
      <c r="V77" s="14"/>
      <c r="W77" s="14"/>
      <c r="X77" s="14"/>
      <c r="Y77" s="14"/>
      <c r="AC77" s="14"/>
      <c r="AD77" s="14"/>
      <c r="AE77" s="14"/>
      <c r="AF77" s="14"/>
      <c r="AI77" s="12">
        <v>2.0</v>
      </c>
      <c r="AJ77" s="14"/>
      <c r="AK77" s="14">
        <v>0.5</v>
      </c>
      <c r="AL77" s="14"/>
      <c r="AM77" s="14">
        <v>0.5</v>
      </c>
      <c r="AQ77" s="14"/>
      <c r="AR77" s="14">
        <v>0.5</v>
      </c>
      <c r="AS77" s="14"/>
      <c r="AT77" s="14">
        <v>0.5</v>
      </c>
      <c r="AX77" s="14"/>
      <c r="AY77" s="14">
        <v>0.5</v>
      </c>
      <c r="AZ77" s="14"/>
      <c r="BA77" s="14">
        <v>0.5</v>
      </c>
      <c r="BE77" s="14"/>
      <c r="BF77" s="14">
        <v>0.5</v>
      </c>
      <c r="BG77" s="14"/>
      <c r="BH77" s="14">
        <v>0.5</v>
      </c>
      <c r="BK77" s="12">
        <v>2.0</v>
      </c>
      <c r="BL77" s="14"/>
      <c r="BM77" s="14">
        <v>0.8</v>
      </c>
      <c r="BN77" s="14"/>
      <c r="BO77" s="14">
        <v>0.8</v>
      </c>
      <c r="BS77" s="14"/>
      <c r="BT77" s="14">
        <v>0.8</v>
      </c>
      <c r="BU77" s="14"/>
      <c r="BV77" s="14">
        <v>0.8</v>
      </c>
      <c r="BZ77" s="14"/>
      <c r="CA77" s="14">
        <v>0.8</v>
      </c>
      <c r="CB77" s="14"/>
      <c r="CC77" s="14">
        <v>0.8</v>
      </c>
      <c r="CF77" s="12">
        <v>2.0</v>
      </c>
      <c r="CG77" s="14"/>
      <c r="CH77" s="14">
        <v>1.0</v>
      </c>
      <c r="CI77" s="14"/>
      <c r="CJ77" s="14">
        <v>1.0</v>
      </c>
      <c r="CN77" s="14"/>
      <c r="CO77" s="14">
        <v>1.0</v>
      </c>
      <c r="CP77" s="14"/>
      <c r="CQ77" s="14">
        <v>1.0</v>
      </c>
      <c r="CU77" s="14"/>
      <c r="CV77" s="14"/>
      <c r="CW77" s="14"/>
      <c r="CX77" s="14"/>
      <c r="DB77" s="14"/>
      <c r="DC77" s="14"/>
      <c r="DD77" s="14"/>
      <c r="DE77" s="14"/>
      <c r="DI77" s="14"/>
      <c r="DJ77" s="14"/>
      <c r="DK77" s="14"/>
      <c r="DL77" s="14"/>
      <c r="DP77" s="14"/>
      <c r="DQ77" s="14"/>
      <c r="DR77" s="14"/>
      <c r="DS77" s="14"/>
      <c r="DV77" s="21"/>
      <c r="EA77" s="22"/>
    </row>
    <row r="78" ht="15.75" customHeight="1" outlineLevel="1">
      <c r="B78" s="12" t="s">
        <v>48</v>
      </c>
      <c r="C78" s="12" t="s">
        <v>108</v>
      </c>
      <c r="E78" s="13"/>
      <c r="F78" s="12" t="s">
        <v>121</v>
      </c>
      <c r="G78" s="14">
        <v>0.1</v>
      </c>
      <c r="I78" s="13">
        <f t="shared" si="6"/>
        <v>7</v>
      </c>
      <c r="J78" s="16">
        <f t="array" ref="J78">MAX(IF($N$3:$EH$3=$J$3,N78:EH78))</f>
        <v>0</v>
      </c>
      <c r="K78" s="16">
        <f t="array" ref="K78">MAX(IF($N$3:$EH$3=$J$3,N78:EH78))</f>
        <v>0</v>
      </c>
      <c r="L78" s="13"/>
      <c r="O78" s="14"/>
      <c r="P78" s="14"/>
      <c r="Q78" s="14"/>
      <c r="R78" s="14"/>
      <c r="V78" s="14"/>
      <c r="W78" s="14"/>
      <c r="X78" s="14"/>
      <c r="Y78" s="14"/>
      <c r="AC78" s="14"/>
      <c r="AD78" s="14"/>
      <c r="AE78" s="14"/>
      <c r="AF78" s="14"/>
      <c r="AJ78" s="14"/>
      <c r="AK78" s="14"/>
      <c r="AL78" s="14"/>
      <c r="AM78" s="14"/>
      <c r="AP78" s="12">
        <v>2.0</v>
      </c>
      <c r="AQ78" s="14"/>
      <c r="AR78" s="14">
        <v>0.5</v>
      </c>
      <c r="AS78" s="14"/>
      <c r="AT78" s="14">
        <v>0.5</v>
      </c>
      <c r="AX78" s="14"/>
      <c r="AY78" s="14">
        <v>0.5</v>
      </c>
      <c r="AZ78" s="14"/>
      <c r="BA78" s="14">
        <v>0.5</v>
      </c>
      <c r="BE78" s="14"/>
      <c r="BF78" s="14">
        <v>0.5</v>
      </c>
      <c r="BG78" s="14"/>
      <c r="BH78" s="14">
        <v>0.5</v>
      </c>
      <c r="BK78" s="12">
        <v>2.0</v>
      </c>
      <c r="BL78" s="14"/>
      <c r="BM78" s="14">
        <v>0.8</v>
      </c>
      <c r="BN78" s="14"/>
      <c r="BO78" s="14">
        <v>0.8</v>
      </c>
      <c r="BS78" s="14"/>
      <c r="BT78" s="14">
        <v>0.8</v>
      </c>
      <c r="BU78" s="14"/>
      <c r="BV78" s="14">
        <v>0.8</v>
      </c>
      <c r="BZ78" s="14"/>
      <c r="CA78" s="14">
        <v>0.8</v>
      </c>
      <c r="CB78" s="14"/>
      <c r="CC78" s="14">
        <v>0.8</v>
      </c>
      <c r="CF78" s="12">
        <v>3.0</v>
      </c>
      <c r="CG78" s="14"/>
      <c r="CH78" s="14">
        <v>1.0</v>
      </c>
      <c r="CI78" s="14"/>
      <c r="CJ78" s="14">
        <v>1.0</v>
      </c>
      <c r="CN78" s="14"/>
      <c r="CO78" s="14">
        <v>1.0</v>
      </c>
      <c r="CP78" s="14"/>
      <c r="CQ78" s="14">
        <v>1.0</v>
      </c>
      <c r="CU78" s="14"/>
      <c r="CV78" s="14"/>
      <c r="CW78" s="14"/>
      <c r="CX78" s="14"/>
      <c r="DB78" s="14"/>
      <c r="DC78" s="14"/>
      <c r="DD78" s="14"/>
      <c r="DE78" s="14"/>
      <c r="DI78" s="14"/>
      <c r="DJ78" s="14"/>
      <c r="DK78" s="14"/>
      <c r="DL78" s="14"/>
      <c r="DP78" s="14"/>
      <c r="DQ78" s="14"/>
      <c r="DR78" s="14"/>
      <c r="DS78" s="14"/>
      <c r="DV78" s="21"/>
      <c r="EA78" s="22"/>
    </row>
    <row r="79" ht="15.75" customHeight="1" outlineLevel="1">
      <c r="B79" s="12" t="s">
        <v>48</v>
      </c>
      <c r="C79" s="12" t="s">
        <v>108</v>
      </c>
      <c r="E79" s="13"/>
      <c r="F79" s="12" t="s">
        <v>122</v>
      </c>
      <c r="G79" s="14">
        <v>0.1</v>
      </c>
      <c r="I79" s="13">
        <f t="shared" si="6"/>
        <v>7</v>
      </c>
      <c r="J79" s="16">
        <f t="array" ref="J79">MAX(IF($N$3:$EH$3=$J$3,N79:EH79))</f>
        <v>0</v>
      </c>
      <c r="K79" s="16">
        <f t="array" ref="K79">MAX(IF($N$3:$EH$3=$J$3,N79:EH79))</f>
        <v>0</v>
      </c>
      <c r="L79" s="13"/>
      <c r="O79" s="14"/>
      <c r="P79" s="14"/>
      <c r="Q79" s="14"/>
      <c r="R79" s="14"/>
      <c r="V79" s="14"/>
      <c r="W79" s="14"/>
      <c r="X79" s="14"/>
      <c r="Y79" s="14"/>
      <c r="AC79" s="14"/>
      <c r="AD79" s="14"/>
      <c r="AE79" s="14"/>
      <c r="AF79" s="14"/>
      <c r="AJ79" s="14"/>
      <c r="AK79" s="14"/>
      <c r="AL79" s="14"/>
      <c r="AM79" s="14"/>
      <c r="AP79" s="12">
        <v>2.0</v>
      </c>
      <c r="AQ79" s="14"/>
      <c r="AR79" s="14">
        <v>0.5</v>
      </c>
      <c r="AS79" s="14"/>
      <c r="AT79" s="14">
        <v>0.5</v>
      </c>
      <c r="AX79" s="14"/>
      <c r="AY79" s="14">
        <v>0.5</v>
      </c>
      <c r="AZ79" s="14"/>
      <c r="BA79" s="14">
        <v>0.5</v>
      </c>
      <c r="BE79" s="14"/>
      <c r="BF79" s="14">
        <v>0.5</v>
      </c>
      <c r="BG79" s="14"/>
      <c r="BH79" s="14">
        <v>0.5</v>
      </c>
      <c r="BL79" s="14"/>
      <c r="BM79" s="14">
        <v>0.5</v>
      </c>
      <c r="BN79" s="14"/>
      <c r="BO79" s="14">
        <v>0.5</v>
      </c>
      <c r="BR79" s="12">
        <v>2.0</v>
      </c>
      <c r="BS79" s="14"/>
      <c r="BT79" s="14">
        <v>0.8</v>
      </c>
      <c r="BU79" s="14"/>
      <c r="BV79" s="14">
        <v>0.8</v>
      </c>
      <c r="BZ79" s="14"/>
      <c r="CA79" s="14">
        <v>0.8</v>
      </c>
      <c r="CB79" s="14"/>
      <c r="CC79" s="14">
        <v>0.8</v>
      </c>
      <c r="CG79" s="14"/>
      <c r="CH79" s="14">
        <v>0.8</v>
      </c>
      <c r="CI79" s="14"/>
      <c r="CJ79" s="14">
        <v>0.8</v>
      </c>
      <c r="CM79" s="12">
        <v>3.0</v>
      </c>
      <c r="CN79" s="14"/>
      <c r="CO79" s="14">
        <v>1.0</v>
      </c>
      <c r="CP79" s="14"/>
      <c r="CQ79" s="14">
        <v>1.0</v>
      </c>
      <c r="CU79" s="14"/>
      <c r="CV79" s="14"/>
      <c r="CW79" s="14"/>
      <c r="CX79" s="14"/>
      <c r="DB79" s="14"/>
      <c r="DC79" s="14"/>
      <c r="DD79" s="14"/>
      <c r="DE79" s="14"/>
      <c r="DI79" s="14"/>
      <c r="DJ79" s="14"/>
      <c r="DK79" s="14"/>
      <c r="DL79" s="14"/>
      <c r="DP79" s="14"/>
      <c r="DQ79" s="14"/>
      <c r="DR79" s="14"/>
      <c r="DS79" s="14"/>
      <c r="DV79" s="21"/>
      <c r="EA79" s="22"/>
    </row>
    <row r="80" ht="15.75" customHeight="1" outlineLevel="1">
      <c r="B80" s="12" t="s">
        <v>48</v>
      </c>
      <c r="C80" s="12" t="s">
        <v>108</v>
      </c>
      <c r="E80" s="13"/>
      <c r="F80" s="12" t="s">
        <v>123</v>
      </c>
      <c r="G80" s="14">
        <v>0.05</v>
      </c>
      <c r="I80" s="13">
        <f t="shared" si="6"/>
        <v>7</v>
      </c>
      <c r="J80" s="16">
        <f t="array" ref="J80">MAX(IF($N$3:$EH$3=$J$3,N80:EH80))</f>
        <v>0</v>
      </c>
      <c r="K80" s="16">
        <f t="array" ref="K80">MAX(IF($N$3:$EH$3=$J$3,N80:EH80))</f>
        <v>0</v>
      </c>
      <c r="L80" s="13"/>
      <c r="O80" s="14"/>
      <c r="P80" s="14"/>
      <c r="Q80" s="14"/>
      <c r="R80" s="14"/>
      <c r="V80" s="14"/>
      <c r="W80" s="14"/>
      <c r="X80" s="14"/>
      <c r="Y80" s="14"/>
      <c r="AC80" s="14"/>
      <c r="AD80" s="14"/>
      <c r="AE80" s="14"/>
      <c r="AF80" s="14"/>
      <c r="AJ80" s="14"/>
      <c r="AK80" s="14"/>
      <c r="AL80" s="14"/>
      <c r="AM80" s="14"/>
      <c r="AQ80" s="14"/>
      <c r="AR80" s="14"/>
      <c r="AS80" s="14"/>
      <c r="AT80" s="14"/>
      <c r="AW80" s="12">
        <v>2.0</v>
      </c>
      <c r="AX80" s="14"/>
      <c r="AY80" s="14">
        <v>0.5</v>
      </c>
      <c r="AZ80" s="14"/>
      <c r="BA80" s="14">
        <v>0.5</v>
      </c>
      <c r="BE80" s="14"/>
      <c r="BF80" s="14">
        <v>0.5</v>
      </c>
      <c r="BG80" s="14"/>
      <c r="BH80" s="14">
        <v>0.5</v>
      </c>
      <c r="BL80" s="14"/>
      <c r="BM80" s="14">
        <v>0.5</v>
      </c>
      <c r="BN80" s="14"/>
      <c r="BO80" s="14">
        <v>0.5</v>
      </c>
      <c r="BR80" s="12">
        <v>2.0</v>
      </c>
      <c r="BS80" s="14"/>
      <c r="BT80" s="14">
        <v>0.8</v>
      </c>
      <c r="BU80" s="14"/>
      <c r="BV80" s="14">
        <v>0.8</v>
      </c>
      <c r="BZ80" s="14"/>
      <c r="CA80" s="14">
        <v>0.8</v>
      </c>
      <c r="CB80" s="14"/>
      <c r="CC80" s="14">
        <v>0.8</v>
      </c>
      <c r="CG80" s="14"/>
      <c r="CH80" s="14">
        <v>0.8</v>
      </c>
      <c r="CI80" s="14"/>
      <c r="CJ80" s="14">
        <v>0.8</v>
      </c>
      <c r="CM80" s="12">
        <v>3.0</v>
      </c>
      <c r="CN80" s="14"/>
      <c r="CO80" s="14">
        <v>1.0</v>
      </c>
      <c r="CP80" s="14"/>
      <c r="CQ80" s="14">
        <v>1.0</v>
      </c>
      <c r="CU80" s="14"/>
      <c r="CV80" s="14"/>
      <c r="CW80" s="14"/>
      <c r="CX80" s="14"/>
      <c r="DB80" s="14"/>
      <c r="DC80" s="14"/>
      <c r="DD80" s="14"/>
      <c r="DE80" s="14"/>
      <c r="DI80" s="14"/>
      <c r="DJ80" s="14"/>
      <c r="DK80" s="14"/>
      <c r="DL80" s="14"/>
      <c r="DP80" s="14"/>
      <c r="DQ80" s="14"/>
      <c r="DR80" s="14"/>
      <c r="DS80" s="14"/>
      <c r="DV80" s="21"/>
      <c r="EA80" s="22"/>
    </row>
    <row r="81" ht="15.75" customHeight="1">
      <c r="DV81" s="21"/>
      <c r="EA81" s="22"/>
    </row>
    <row r="82" ht="15.75" customHeight="1">
      <c r="DV82" s="21"/>
      <c r="EA82" s="22"/>
    </row>
    <row r="83" ht="15.75" customHeight="1">
      <c r="DV83" s="21"/>
      <c r="EA83" s="22"/>
    </row>
    <row r="84" ht="15.75" customHeight="1">
      <c r="DV84" s="21"/>
      <c r="EA84" s="22"/>
    </row>
    <row r="85" ht="15.75" customHeight="1">
      <c r="DV85" s="21"/>
      <c r="EA85" s="22"/>
    </row>
    <row r="86" ht="15.75" customHeight="1">
      <c r="DV86" s="21"/>
      <c r="EA86" s="22"/>
    </row>
    <row r="87" ht="15.75" customHeight="1">
      <c r="DV87" s="21"/>
      <c r="EA87" s="22"/>
    </row>
    <row r="88" ht="15.75" customHeight="1">
      <c r="DV88" s="21"/>
      <c r="EA88" s="22"/>
    </row>
    <row r="89" ht="15.75" customHeight="1">
      <c r="DV89" s="21"/>
      <c r="EA89" s="22"/>
    </row>
    <row r="90" ht="15.75" customHeight="1">
      <c r="DV90" s="21"/>
      <c r="EA90" s="22"/>
    </row>
    <row r="91" ht="15.75" customHeight="1">
      <c r="DV91" s="21"/>
      <c r="EA91" s="22"/>
    </row>
    <row r="92" ht="15.75" customHeight="1">
      <c r="DV92" s="21"/>
      <c r="EA92" s="22"/>
    </row>
    <row r="93" ht="15.75" customHeight="1">
      <c r="DV93" s="21"/>
      <c r="EA93" s="22"/>
    </row>
    <row r="94" ht="15.75" customHeight="1">
      <c r="DV94" s="21"/>
      <c r="EA94" s="22"/>
    </row>
    <row r="95" ht="15.75" customHeight="1">
      <c r="DV95" s="21"/>
      <c r="EA95" s="22"/>
    </row>
    <row r="96" ht="15.75" customHeight="1">
      <c r="DV96" s="21"/>
      <c r="EA96" s="22"/>
    </row>
    <row r="97" ht="15.75" customHeight="1">
      <c r="DV97" s="21"/>
      <c r="EA97" s="22"/>
    </row>
    <row r="98" ht="15.75" customHeight="1">
      <c r="DV98" s="21"/>
      <c r="EA98" s="22"/>
    </row>
    <row r="99" ht="15.75" customHeight="1">
      <c r="DV99" s="21"/>
      <c r="EA99" s="22"/>
    </row>
    <row r="100" ht="15.75" customHeight="1">
      <c r="DV100" s="21"/>
      <c r="EA100" s="22"/>
    </row>
    <row r="101" ht="15.75" customHeight="1">
      <c r="DV101" s="21"/>
      <c r="EA101" s="22"/>
    </row>
    <row r="102" ht="15.75" customHeight="1">
      <c r="DV102" s="21"/>
      <c r="EA102" s="22"/>
    </row>
    <row r="103" ht="15.75" customHeight="1">
      <c r="DV103" s="21"/>
      <c r="EA103" s="22"/>
    </row>
    <row r="104" ht="15.75" customHeight="1">
      <c r="DV104" s="21"/>
      <c r="EA104" s="22"/>
    </row>
    <row r="105" ht="15.75" customHeight="1">
      <c r="DV105" s="21"/>
      <c r="EA105" s="22"/>
    </row>
    <row r="106" ht="15.75" customHeight="1">
      <c r="DV106" s="21"/>
      <c r="EA106" s="22"/>
    </row>
    <row r="107" ht="15.75" customHeight="1">
      <c r="DV107" s="21"/>
      <c r="EA107" s="22"/>
    </row>
    <row r="108" ht="15.75" customHeight="1">
      <c r="DV108" s="21"/>
      <c r="EA108" s="22"/>
    </row>
    <row r="109" ht="15.75" customHeight="1">
      <c r="DV109" s="21"/>
      <c r="EA109" s="22"/>
    </row>
    <row r="110" ht="15.75" customHeight="1">
      <c r="DV110" s="21"/>
      <c r="EA110" s="22"/>
    </row>
    <row r="111" ht="15.75" customHeight="1">
      <c r="DV111" s="21"/>
      <c r="EA111" s="22"/>
    </row>
    <row r="112" ht="15.75" customHeight="1">
      <c r="DV112" s="21"/>
      <c r="EA112" s="22"/>
    </row>
    <row r="113" ht="15.75" customHeight="1">
      <c r="DV113" s="21"/>
      <c r="EA113" s="22"/>
    </row>
    <row r="114" ht="15.75" customHeight="1">
      <c r="DV114" s="21"/>
      <c r="EA114" s="22"/>
    </row>
    <row r="115" ht="15.75" customHeight="1">
      <c r="DV115" s="27"/>
      <c r="DW115" s="28"/>
      <c r="DX115" s="28"/>
      <c r="DY115" s="28"/>
      <c r="DZ115" s="28"/>
      <c r="EA115" s="29"/>
    </row>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9">
    <mergeCell ref="I2:L2"/>
    <mergeCell ref="N2:S2"/>
    <mergeCell ref="U2:Z2"/>
    <mergeCell ref="AB2:AG2"/>
    <mergeCell ref="AI2:AN2"/>
    <mergeCell ref="AP2:AU2"/>
    <mergeCell ref="AW2:BB2"/>
    <mergeCell ref="DA2:DF2"/>
    <mergeCell ref="DH2:DM2"/>
    <mergeCell ref="DO2:DT2"/>
    <mergeCell ref="DV2:EA2"/>
    <mergeCell ref="DV4:EA115"/>
    <mergeCell ref="BD2:BI2"/>
    <mergeCell ref="BK2:BP2"/>
    <mergeCell ref="BR2:BW2"/>
    <mergeCell ref="BY2:CD2"/>
    <mergeCell ref="CF2:CK2"/>
    <mergeCell ref="CM2:CR2"/>
    <mergeCell ref="CT2:CY2"/>
  </mergeCells>
  <conditionalFormatting sqref="J6:K16">
    <cfRule type="colorScale" priority="1">
      <colorScale>
        <cfvo type="percent" val="0"/>
        <cfvo type="percent" val="100"/>
        <color rgb="FFFF231B"/>
        <color rgb="FF10FF07"/>
      </colorScale>
    </cfRule>
  </conditionalFormatting>
  <conditionalFormatting sqref="O30:O37 Q30:Q37 V30:V37 X30:X37 AC30:AC37 AE30:AE37 AJ30:AJ37 AL30:AL37 AQ30:AQ37 AS30:AS37 AX30:AX37 AZ30:AZ37 BE30:BE37 BG30:BG37 BL30:BL37 BN30:BN37 BS30:BS37 BU30:BU37 BZ30:BZ37 CB30:CB37 CG30:CG37 CI30:CI37 CN30:CN37 CP30:CP37 CU30:CU37 CW30:CW37 DB30:DB37 DD30:DD37 DI30:DI37 DK30:DK37 DP30:DP37 DR30:DR37 O40:O50 Q40:Q50 V40:V50 X40:X50 AC40:AC50 AE40:AE50 AJ40:AJ50 AL40:AL50 AQ40:AQ50 AS40:AS50 AX40:AX50 AZ40:AZ50 BE40:BE50 BG40:BG50 BL40:BL50 BN40:BN50 BS40:BS50 BU40:BU50 BZ40:BZ50 CB40:CB50 CG40:CG50 CI40:CI50 CN40:CN50 CP40:CP50 CU40:CU50 CW40:CW50 DB40:DB50 DD40:DD50 DI40:DI50 DK40:DK50 DP40:DP50 DR40:DR50 O53:O63 Q53:Q63 V53:V63 X53:X63 AC53:AC63 AE53:AE63 AJ53:AJ63 AL53:AL63 AQ53:AQ63 AS53:AS63 AX53:AX63 AZ53:AZ63 BE53:BE63 BG53:BG63 BL53:BL63 BN53:BN63 BS53:BS63 BU53:BU63 BZ53:BZ63 CB53:CB63 CG53:CG63 CI53:CI63 CN53:CN63 CP53:CP63 CU53:CU63 CW53:CW63 DB53:DB63 DD53:DD63 DI53:DI63 DK53:DK63 DP53:DP63 DR53:DR63">
    <cfRule type="expression" dxfId="0" priority="2">
      <formula>OR(IF(O30&lt;P30,TRUE),IF(AND(P30="",O30&lt;&gt;""),TRUE))</formula>
    </cfRule>
  </conditionalFormatting>
  <conditionalFormatting sqref="O30:O37 Q30:Q37 V30:V37 X30:X37 AC30:AC37 AE30:AE37 AJ30:AJ37 AL30:AL37 AQ30:AQ37 AS30:AS37 AX30:AX37 AZ30:AZ37 BE30:BE37 BG30:BG37 BL30:BL37 BN30:BN37 BS30:BS37 BU30:BU37 BZ30:BZ37 CB30:CB37 CG30:CG37 CI30:CI37 CN30:CN37 CP30:CP37 CU30:CU37 CW30:CW37 DB30:DB37 DD30:DD37 DI30:DI37 DK30:DK37 DP30:DP37 DR30:DR37 O40:O50 Q40:Q50 V40:V50 X40:X50 AC40:AC50 AE40:AE50 AJ40:AJ50 AL40:AL50 AQ40:AQ50 AS40:AS50 AX40:AX50 AZ40:AZ50 BE40:BE50 BG40:BG50 BL40:BL50 BN40:BN50 BS40:BS50 BU40:BU50 BZ40:BZ50 CB40:CB50 CG40:CG50 CI40:CI50 CN40:CN50 CP40:CP50 CU40:CU50 CW40:CW50 DB40:DB50 DD40:DD50 DI40:DI50 DK40:DK50 DP40:DP50 DR40:DR50 O53:O63 Q53:Q63 V53:V63 X53:X63 AC53:AC63 AE53:AE63 AJ53:AJ63 AL53:AL63 AQ53:AQ63 AS53:AS63 AX53:AX63 AZ53:AZ63 BE53:BE63 BG53:BG63 BL53:BL63 BN53:BN63 BS53:BS63 BU53:BU63 BZ53:BZ63 CB53:CB63 CG53:CG63 CI53:CI63 CN53:CN63 CP53:CP63 CU53:CU63 CW53:CW63 DB53:DB63 DD53:DD63 DI53:DI63 DK53:DK63 DP53:DP63 DR53:DR63">
    <cfRule type="expression" dxfId="1" priority="3">
      <formula>IF(O30&gt;=P30,IF(O30="",FALSE,TRUE))</formula>
    </cfRule>
  </conditionalFormatting>
  <conditionalFormatting sqref="J5:J16">
    <cfRule type="colorScale" priority="4">
      <colorScale>
        <cfvo type="percent" val="0"/>
        <cfvo type="percent" val="100"/>
        <color rgb="FFFF231B"/>
        <color rgb="FF10FF07"/>
      </colorScale>
    </cfRule>
  </conditionalFormatting>
  <conditionalFormatting sqref="K5:K16">
    <cfRule type="colorScale" priority="5">
      <colorScale>
        <cfvo type="percent" val="0"/>
        <cfvo type="percent" val="100"/>
        <color rgb="FFFF231B"/>
        <color rgb="FF10FF07"/>
      </colorScale>
    </cfRule>
  </conditionalFormatting>
  <conditionalFormatting sqref="J20:K25">
    <cfRule type="colorScale" priority="6">
      <colorScale>
        <cfvo type="percent" val="0"/>
        <cfvo type="percent" val="100"/>
        <color rgb="FFFF231B"/>
        <color rgb="FF10FF07"/>
      </colorScale>
    </cfRule>
  </conditionalFormatting>
  <conditionalFormatting sqref="J19:J25">
    <cfRule type="colorScale" priority="7">
      <colorScale>
        <cfvo type="percent" val="0"/>
        <cfvo type="percent" val="100"/>
        <color rgb="FFFF231B"/>
        <color rgb="FF10FF07"/>
      </colorScale>
    </cfRule>
  </conditionalFormatting>
  <conditionalFormatting sqref="K19:K25">
    <cfRule type="colorScale" priority="8">
      <colorScale>
        <cfvo type="percent" val="0"/>
        <cfvo type="percent" val="100"/>
        <color rgb="FFFF231B"/>
        <color rgb="FF10FF07"/>
      </colorScale>
    </cfRule>
  </conditionalFormatting>
  <conditionalFormatting sqref="J67:K77">
    <cfRule type="colorScale" priority="9">
      <colorScale>
        <cfvo type="percent" val="0"/>
        <cfvo type="percent" val="100"/>
        <color rgb="FFFF231B"/>
        <color rgb="FF10FF07"/>
      </colorScale>
    </cfRule>
  </conditionalFormatting>
  <conditionalFormatting sqref="J66:J80">
    <cfRule type="colorScale" priority="10">
      <colorScale>
        <cfvo type="percent" val="0"/>
        <cfvo type="percent" val="100"/>
        <color rgb="FFFF231B"/>
        <color rgb="FF10FF07"/>
      </colorScale>
    </cfRule>
  </conditionalFormatting>
  <conditionalFormatting sqref="K66:K80">
    <cfRule type="colorScale" priority="11">
      <colorScale>
        <cfvo type="percent" val="0"/>
        <cfvo type="percent" val="100"/>
        <color rgb="FFFF231B"/>
        <color rgb="FF10FF07"/>
      </colorScale>
    </cfRule>
  </conditionalFormatting>
  <conditionalFormatting sqref="CN19:CN23 CP19:CP23">
    <cfRule type="expression" dxfId="0" priority="12">
      <formula>OR(IF(CN19&lt;CO19,TRUE),IF(AND(CO19="",CN19&lt;&gt;""),TRUE))</formula>
    </cfRule>
  </conditionalFormatting>
  <conditionalFormatting sqref="CN19:CN23 CP19:CP23">
    <cfRule type="expression" dxfId="1" priority="13">
      <formula>IF(CN19&gt;=CO19,IF(CN19="",FALSE,TRUE))</formula>
    </cfRule>
  </conditionalFormatting>
  <conditionalFormatting sqref="CN24:CN25">
    <cfRule type="expression" dxfId="0" priority="14">
      <formula>OR(IF(CN24&lt;CO24,TRUE),IF(AND(CO24="",CN24&lt;&gt;""),TRUE))</formula>
    </cfRule>
  </conditionalFormatting>
  <conditionalFormatting sqref="CN24:CN25">
    <cfRule type="expression" dxfId="1" priority="15">
      <formula>IF(CN24&gt;=CO24,IF(CN24="",FALSE,TRUE))</formula>
    </cfRule>
  </conditionalFormatting>
  <conditionalFormatting sqref="CP24:CP25">
    <cfRule type="expression" dxfId="0" priority="16">
      <formula>OR(IF(CP24&lt;CQ24,TRUE),IF(AND(CQ24="",CP24&lt;&gt;""),TRUE))</formula>
    </cfRule>
  </conditionalFormatting>
  <conditionalFormatting sqref="CP24:CP25">
    <cfRule type="expression" dxfId="1" priority="17">
      <formula>IF(CP24&gt;=CQ24,IF(CP24="",FALSE,TRUE))</formula>
    </cfRule>
  </conditionalFormatting>
  <conditionalFormatting sqref="CU5:CU16 CU19:CU23 CW19:CW23">
    <cfRule type="expression" dxfId="0" priority="18">
      <formula>OR(IF(CU5&lt;CV5,TRUE),IF(AND(CV5="",CU5&lt;&gt;""),TRUE))</formula>
    </cfRule>
  </conditionalFormatting>
  <conditionalFormatting sqref="CU5:CU16 CU19:CU23 CW19:CW23">
    <cfRule type="expression" dxfId="1" priority="19">
      <formula>IF(CU5&gt;=CV5,IF(CU5="",FALSE,TRUE))</formula>
    </cfRule>
  </conditionalFormatting>
  <conditionalFormatting sqref="CW5:CW16">
    <cfRule type="expression" dxfId="0" priority="20">
      <formula>OR(IF(CW5&lt;CX5,TRUE),IF(AND(CX5="",CW5&lt;&gt;""),TRUE))</formula>
    </cfRule>
  </conditionalFormatting>
  <conditionalFormatting sqref="CW5:CW16">
    <cfRule type="expression" dxfId="1" priority="21">
      <formula>IF(CW5&gt;=CX5,IF(CW5="",FALSE,TRUE))</formula>
    </cfRule>
  </conditionalFormatting>
  <conditionalFormatting sqref="CU24:CU25">
    <cfRule type="expression" dxfId="0" priority="22">
      <formula>OR(IF(CU24&lt;CV24,TRUE),IF(AND(CV24="",CU24&lt;&gt;""),TRUE))</formula>
    </cfRule>
  </conditionalFormatting>
  <conditionalFormatting sqref="CU24:CU25">
    <cfRule type="expression" dxfId="1" priority="23">
      <formula>IF(CU24&gt;=CV24,IF(CU24="",FALSE,TRUE))</formula>
    </cfRule>
  </conditionalFormatting>
  <conditionalFormatting sqref="CW24:CW25">
    <cfRule type="expression" dxfId="0" priority="24">
      <formula>OR(IF(CW24&lt;CX24,TRUE),IF(AND(CX24="",CW24&lt;&gt;""),TRUE))</formula>
    </cfRule>
  </conditionalFormatting>
  <conditionalFormatting sqref="CW24:CW25">
    <cfRule type="expression" dxfId="1" priority="25">
      <formula>IF(CW24&gt;=CX24,IF(CW24="",FALSE,TRUE))</formula>
    </cfRule>
  </conditionalFormatting>
  <conditionalFormatting sqref="CU66:CU80">
    <cfRule type="expression" dxfId="0" priority="26">
      <formula>OR(IF(CU66&lt;CV66,TRUE),IF(AND(CV66="",CU66&lt;&gt;""),TRUE))</formula>
    </cfRule>
  </conditionalFormatting>
  <conditionalFormatting sqref="CU66:CU80">
    <cfRule type="expression" dxfId="1" priority="27">
      <formula>IF(CU66&gt;=CV66,IF(CU66="",FALSE,TRUE))</formula>
    </cfRule>
  </conditionalFormatting>
  <conditionalFormatting sqref="CW66:CW80">
    <cfRule type="expression" dxfId="0" priority="28">
      <formula>OR(IF(CW66&lt;CX66,TRUE),IF(AND(CX66="",CW66&lt;&gt;""),TRUE))</formula>
    </cfRule>
  </conditionalFormatting>
  <conditionalFormatting sqref="CW66:CW80">
    <cfRule type="expression" dxfId="1" priority="29">
      <formula>IF(CW66&gt;=CX66,IF(CW66="",FALSE,TRUE))</formula>
    </cfRule>
  </conditionalFormatting>
  <conditionalFormatting sqref="DB5:DB16 DB19:DB23 DD19:DD23">
    <cfRule type="expression" dxfId="0" priority="30">
      <formula>OR(IF(DB5&lt;DC5,TRUE),IF(AND(DC5="",DB5&lt;&gt;""),TRUE))</formula>
    </cfRule>
  </conditionalFormatting>
  <conditionalFormatting sqref="DB5:DB16 DB19:DB23 DD19:DD23">
    <cfRule type="expression" dxfId="1" priority="31">
      <formula>IF(DB5&gt;=DC5,IF(DB5="",FALSE,TRUE))</formula>
    </cfRule>
  </conditionalFormatting>
  <conditionalFormatting sqref="DD5:DD16">
    <cfRule type="expression" dxfId="0" priority="32">
      <formula>OR(IF(DD5&lt;DE5,TRUE),IF(AND(DE5="",DD5&lt;&gt;""),TRUE))</formula>
    </cfRule>
  </conditionalFormatting>
  <conditionalFormatting sqref="DD5:DD16">
    <cfRule type="expression" dxfId="1" priority="33">
      <formula>IF(DD5&gt;=DE5,IF(DD5="",FALSE,TRUE))</formula>
    </cfRule>
  </conditionalFormatting>
  <conditionalFormatting sqref="DB28:DB29">
    <cfRule type="expression" dxfId="0" priority="34">
      <formula>OR(IF(DB28&lt;DC28,TRUE),IF(AND(DC28="",DB28&lt;&gt;""),TRUE))</formula>
    </cfRule>
  </conditionalFormatting>
  <conditionalFormatting sqref="DB28:DB29">
    <cfRule type="expression" dxfId="1" priority="35">
      <formula>IF(DB28&gt;=DC28,IF(DB28="",FALSE,TRUE))</formula>
    </cfRule>
  </conditionalFormatting>
  <conditionalFormatting sqref="DD28:DD29">
    <cfRule type="expression" dxfId="0" priority="36">
      <formula>OR(IF(DD28&lt;DE28,TRUE),IF(AND(DE28="",DD28&lt;&gt;""),TRUE))</formula>
    </cfRule>
  </conditionalFormatting>
  <conditionalFormatting sqref="DD28:DD29">
    <cfRule type="expression" dxfId="1" priority="37">
      <formula>IF(DD28&gt;=DE28,IF(DD28="",FALSE,TRUE))</formula>
    </cfRule>
  </conditionalFormatting>
  <conditionalFormatting sqref="DB24:DB25">
    <cfRule type="expression" dxfId="0" priority="38">
      <formula>OR(IF(DB24&lt;DC24,TRUE),IF(AND(DC24="",DB24&lt;&gt;""),TRUE))</formula>
    </cfRule>
  </conditionalFormatting>
  <conditionalFormatting sqref="DB24:DB25">
    <cfRule type="expression" dxfId="1" priority="39">
      <formula>IF(DB24&gt;=DC24,IF(DB24="",FALSE,TRUE))</formula>
    </cfRule>
  </conditionalFormatting>
  <conditionalFormatting sqref="DD24:DD25">
    <cfRule type="expression" dxfId="0" priority="40">
      <formula>OR(IF(DD24&lt;DE24,TRUE),IF(AND(DE24="",DD24&lt;&gt;""),TRUE))</formula>
    </cfRule>
  </conditionalFormatting>
  <conditionalFormatting sqref="DD24:DD25">
    <cfRule type="expression" dxfId="1" priority="41">
      <formula>IF(DD24&gt;=DE24,IF(DD24="",FALSE,TRUE))</formula>
    </cfRule>
  </conditionalFormatting>
  <conditionalFormatting sqref="DB66:DB80">
    <cfRule type="expression" dxfId="0" priority="42">
      <formula>OR(IF(DB66&lt;DC66,TRUE),IF(AND(DC66="",DB66&lt;&gt;""),TRUE))</formula>
    </cfRule>
  </conditionalFormatting>
  <conditionalFormatting sqref="DB66:DB80">
    <cfRule type="expression" dxfId="1" priority="43">
      <formula>IF(DB66&gt;=DC66,IF(DB66="",FALSE,TRUE))</formula>
    </cfRule>
  </conditionalFormatting>
  <conditionalFormatting sqref="DD66:DD80">
    <cfRule type="expression" dxfId="0" priority="44">
      <formula>OR(IF(DD66&lt;DE66,TRUE),IF(AND(DE66="",DD66&lt;&gt;""),TRUE))</formula>
    </cfRule>
  </conditionalFormatting>
  <conditionalFormatting sqref="DD66:DD80">
    <cfRule type="expression" dxfId="1" priority="45">
      <formula>IF(DD66&gt;=DE66,IF(DD66="",FALSE,TRUE))</formula>
    </cfRule>
  </conditionalFormatting>
  <conditionalFormatting sqref="DI5:DI16 DI19:DI23 DK19:DK23">
    <cfRule type="expression" dxfId="0" priority="46">
      <formula>OR(IF(DI5&lt;DJ5,TRUE),IF(AND(DJ5="",DI5&lt;&gt;""),TRUE))</formula>
    </cfRule>
  </conditionalFormatting>
  <conditionalFormatting sqref="DI5:DI16 DI19:DI23 DK19:DK23">
    <cfRule type="expression" dxfId="1" priority="47">
      <formula>IF(DI5&gt;=DJ5,IF(DI5="",FALSE,TRUE))</formula>
    </cfRule>
  </conditionalFormatting>
  <conditionalFormatting sqref="DK5:DK16">
    <cfRule type="expression" dxfId="0" priority="48">
      <formula>OR(IF(DK5&lt;DL5,TRUE),IF(AND(DL5="",DK5&lt;&gt;""),TRUE))</formula>
    </cfRule>
  </conditionalFormatting>
  <conditionalFormatting sqref="DK5:DK16">
    <cfRule type="expression" dxfId="1" priority="49">
      <formula>IF(DK5&gt;=DL5,IF(DK5="",FALSE,TRUE))</formula>
    </cfRule>
  </conditionalFormatting>
  <conditionalFormatting sqref="DI28:DI29">
    <cfRule type="expression" dxfId="0" priority="50">
      <formula>OR(IF(DI28&lt;DJ28,TRUE),IF(AND(DJ28="",DI28&lt;&gt;""),TRUE))</formula>
    </cfRule>
  </conditionalFormatting>
  <conditionalFormatting sqref="DI28:DI29">
    <cfRule type="expression" dxfId="1" priority="51">
      <formula>IF(DI28&gt;=DJ28,IF(DI28="",FALSE,TRUE))</formula>
    </cfRule>
  </conditionalFormatting>
  <conditionalFormatting sqref="DK28:DK29">
    <cfRule type="expression" dxfId="0" priority="52">
      <formula>OR(IF(DK28&lt;DL28,TRUE),IF(AND(DL28="",DK28&lt;&gt;""),TRUE))</formula>
    </cfRule>
  </conditionalFormatting>
  <conditionalFormatting sqref="DK28:DK29">
    <cfRule type="expression" dxfId="1" priority="53">
      <formula>IF(DK28&gt;=DL28,IF(DK28="",FALSE,TRUE))</formula>
    </cfRule>
  </conditionalFormatting>
  <conditionalFormatting sqref="DI24:DI25">
    <cfRule type="expression" dxfId="0" priority="54">
      <formula>OR(IF(DI24&lt;DJ24,TRUE),IF(AND(DJ24="",DI24&lt;&gt;""),TRUE))</formula>
    </cfRule>
  </conditionalFormatting>
  <conditionalFormatting sqref="DI24:DI25">
    <cfRule type="expression" dxfId="1" priority="55">
      <formula>IF(DI24&gt;=DJ24,IF(DI24="",FALSE,TRUE))</formula>
    </cfRule>
  </conditionalFormatting>
  <conditionalFormatting sqref="DK24:DK25">
    <cfRule type="expression" dxfId="0" priority="56">
      <formula>OR(IF(DK24&lt;DL24,TRUE),IF(AND(DL24="",DK24&lt;&gt;""),TRUE))</formula>
    </cfRule>
  </conditionalFormatting>
  <conditionalFormatting sqref="DK24:DK25">
    <cfRule type="expression" dxfId="1" priority="57">
      <formula>IF(DK24&gt;=DL24,IF(DK24="",FALSE,TRUE))</formula>
    </cfRule>
  </conditionalFormatting>
  <conditionalFormatting sqref="DI66:DI80">
    <cfRule type="expression" dxfId="0" priority="58">
      <formula>OR(IF(DI66&lt;DJ66,TRUE),IF(AND(DJ66="",DI66&lt;&gt;""),TRUE))</formula>
    </cfRule>
  </conditionalFormatting>
  <conditionalFormatting sqref="DI66:DI80">
    <cfRule type="expression" dxfId="1" priority="59">
      <formula>IF(DI66&gt;=DJ66,IF(DI66="",FALSE,TRUE))</formula>
    </cfRule>
  </conditionalFormatting>
  <conditionalFormatting sqref="DK66:DK80">
    <cfRule type="expression" dxfId="0" priority="60">
      <formula>OR(IF(DK66&lt;DL66,TRUE),IF(AND(DL66="",DK66&lt;&gt;""),TRUE))</formula>
    </cfRule>
  </conditionalFormatting>
  <conditionalFormatting sqref="DK66:DK80">
    <cfRule type="expression" dxfId="1" priority="61">
      <formula>IF(DK66&gt;=DL66,IF(DK66="",FALSE,TRUE))</formula>
    </cfRule>
  </conditionalFormatting>
  <conditionalFormatting sqref="DP5:DP16 DP19:DP23 DR19:DR23">
    <cfRule type="expression" dxfId="0" priority="62">
      <formula>OR(IF(DP5&lt;DQ5,TRUE),IF(AND(DQ5="",DP5&lt;&gt;""),TRUE))</formula>
    </cfRule>
  </conditionalFormatting>
  <conditionalFormatting sqref="DP5:DP16 DP19:DP23 DR19:DR23">
    <cfRule type="expression" dxfId="1" priority="63">
      <formula>IF(DP5&gt;=DQ5,IF(DP5="",FALSE,TRUE))</formula>
    </cfRule>
  </conditionalFormatting>
  <conditionalFormatting sqref="DR5:DR16">
    <cfRule type="expression" dxfId="0" priority="64">
      <formula>OR(IF(DR5&lt;DS5,TRUE),IF(AND(DS5="",DR5&lt;&gt;""),TRUE))</formula>
    </cfRule>
  </conditionalFormatting>
  <conditionalFormatting sqref="DR5:DR16">
    <cfRule type="expression" dxfId="1" priority="65">
      <formula>IF(DR5&gt;=DS5,IF(DR5="",FALSE,TRUE))</formula>
    </cfRule>
  </conditionalFormatting>
  <conditionalFormatting sqref="DP28:DP29">
    <cfRule type="expression" dxfId="0" priority="66">
      <formula>OR(IF(DP28&lt;DQ28,TRUE),IF(AND(DQ28="",DP28&lt;&gt;""),TRUE))</formula>
    </cfRule>
  </conditionalFormatting>
  <conditionalFormatting sqref="DP28:DP29">
    <cfRule type="expression" dxfId="1" priority="67">
      <formula>IF(DP28&gt;=DQ28,IF(DP28="",FALSE,TRUE))</formula>
    </cfRule>
  </conditionalFormatting>
  <conditionalFormatting sqref="DR28:DR29">
    <cfRule type="expression" dxfId="0" priority="68">
      <formula>OR(IF(DR28&lt;DS28,TRUE),IF(AND(DS28="",DR28&lt;&gt;""),TRUE))</formula>
    </cfRule>
  </conditionalFormatting>
  <conditionalFormatting sqref="DR28:DR29">
    <cfRule type="expression" dxfId="1" priority="69">
      <formula>IF(DR28&gt;=DS28,IF(DR28="",FALSE,TRUE))</formula>
    </cfRule>
  </conditionalFormatting>
  <conditionalFormatting sqref="DP24:DP25">
    <cfRule type="expression" dxfId="0" priority="70">
      <formula>OR(IF(DP24&lt;DQ24,TRUE),IF(AND(DQ24="",DP24&lt;&gt;""),TRUE))</formula>
    </cfRule>
  </conditionalFormatting>
  <conditionalFormatting sqref="DP24:DP25">
    <cfRule type="expression" dxfId="1" priority="71">
      <formula>IF(DP24&gt;=DQ24,IF(DP24="",FALSE,TRUE))</formula>
    </cfRule>
  </conditionalFormatting>
  <conditionalFormatting sqref="DR24:DR25">
    <cfRule type="expression" dxfId="0" priority="72">
      <formula>OR(IF(DR24&lt;DS24,TRUE),IF(AND(DS24="",DR24&lt;&gt;""),TRUE))</formula>
    </cfRule>
  </conditionalFormatting>
  <conditionalFormatting sqref="DR24:DR25">
    <cfRule type="expression" dxfId="1" priority="73">
      <formula>IF(DR24&gt;=DS24,IF(DR24="",FALSE,TRUE))</formula>
    </cfRule>
  </conditionalFormatting>
  <conditionalFormatting sqref="DP66:DP80">
    <cfRule type="expression" dxfId="0" priority="74">
      <formula>OR(IF(DP66&lt;DQ66,TRUE),IF(AND(DQ66="",DP66&lt;&gt;""),TRUE))</formula>
    </cfRule>
  </conditionalFormatting>
  <conditionalFormatting sqref="DP66:DP80">
    <cfRule type="expression" dxfId="1" priority="75">
      <formula>IF(DP66&gt;=DQ66,IF(DP66="",FALSE,TRUE))</formula>
    </cfRule>
  </conditionalFormatting>
  <conditionalFormatting sqref="DR66:DR80">
    <cfRule type="expression" dxfId="0" priority="76">
      <formula>OR(IF(DR66&lt;DS66,TRUE),IF(AND(DS66="",DR66&lt;&gt;""),TRUE))</formula>
    </cfRule>
  </conditionalFormatting>
  <conditionalFormatting sqref="DR66:DR80">
    <cfRule type="expression" dxfId="1" priority="77">
      <formula>IF(DR66&gt;=DS66,IF(DR66="",FALSE,TRUE))</formula>
    </cfRule>
  </conditionalFormatting>
  <conditionalFormatting sqref="J41:K50">
    <cfRule type="colorScale" priority="78">
      <colorScale>
        <cfvo type="percent" val="0"/>
        <cfvo type="percent" val="100"/>
        <color rgb="FFFF231B"/>
        <color rgb="FF10FF07"/>
      </colorScale>
    </cfRule>
  </conditionalFormatting>
  <conditionalFormatting sqref="J40:J50">
    <cfRule type="colorScale" priority="79">
      <colorScale>
        <cfvo type="percent" val="0"/>
        <cfvo type="percent" val="100"/>
        <color rgb="FFFF231B"/>
        <color rgb="FF10FF07"/>
      </colorScale>
    </cfRule>
  </conditionalFormatting>
  <conditionalFormatting sqref="K40:K50">
    <cfRule type="colorScale" priority="80">
      <colorScale>
        <cfvo type="percent" val="0"/>
        <cfvo type="percent" val="100"/>
        <color rgb="FFFF231B"/>
        <color rgb="FF10FF07"/>
      </colorScale>
    </cfRule>
  </conditionalFormatting>
  <conditionalFormatting sqref="J78:K78">
    <cfRule type="colorScale" priority="81">
      <colorScale>
        <cfvo type="percent" val="0"/>
        <cfvo type="percent" val="100"/>
        <color rgb="FFFF231B"/>
        <color rgb="FF10FF07"/>
      </colorScale>
    </cfRule>
  </conditionalFormatting>
  <conditionalFormatting sqref="J79:K79">
    <cfRule type="colorScale" priority="82">
      <colorScale>
        <cfvo type="percent" val="0"/>
        <cfvo type="percent" val="100"/>
        <color rgb="FFFF231B"/>
        <color rgb="FF10FF07"/>
      </colorScale>
    </cfRule>
  </conditionalFormatting>
  <conditionalFormatting sqref="J80:K80">
    <cfRule type="colorScale" priority="83">
      <colorScale>
        <cfvo type="percent" val="0"/>
        <cfvo type="percent" val="100"/>
        <color rgb="FFFF231B"/>
        <color rgb="FF10FF07"/>
      </colorScale>
    </cfRule>
  </conditionalFormatting>
  <conditionalFormatting sqref="J54:K63">
    <cfRule type="colorScale" priority="84">
      <colorScale>
        <cfvo type="percent" val="0"/>
        <cfvo type="percent" val="100"/>
        <color rgb="FFFF231B"/>
        <color rgb="FF10FF07"/>
      </colorScale>
    </cfRule>
  </conditionalFormatting>
  <conditionalFormatting sqref="J53:J63">
    <cfRule type="colorScale" priority="85">
      <colorScale>
        <cfvo type="percent" val="0"/>
        <cfvo type="percent" val="100"/>
        <color rgb="FFFF231B"/>
        <color rgb="FF10FF07"/>
      </colorScale>
    </cfRule>
  </conditionalFormatting>
  <conditionalFormatting sqref="K53:K63">
    <cfRule type="colorScale" priority="86">
      <colorScale>
        <cfvo type="percent" val="0"/>
        <cfvo type="percent" val="100"/>
        <color rgb="FFFF231B"/>
        <color rgb="FF10FF07"/>
      </colorScale>
    </cfRule>
  </conditionalFormatting>
  <conditionalFormatting sqref="CG5:CG16 CG19:CG23 CI19:CI23">
    <cfRule type="expression" dxfId="0" priority="87">
      <formula>OR(IF(CG5&lt;CH5,TRUE),IF(AND(CH5="",CG5&lt;&gt;""),TRUE))</formula>
    </cfRule>
  </conditionalFormatting>
  <conditionalFormatting sqref="CG5:CG16 CG19:CG23 CI19:CI23">
    <cfRule type="expression" dxfId="1" priority="88">
      <formula>IF(CG5&gt;=CH5,IF(CG5="",FALSE,TRUE))</formula>
    </cfRule>
  </conditionalFormatting>
  <conditionalFormatting sqref="CI5:CI16">
    <cfRule type="expression" dxfId="0" priority="89">
      <formula>OR(IF(CI5&lt;CJ5,TRUE),IF(AND(CJ5="",CI5&lt;&gt;""),TRUE))</formula>
    </cfRule>
  </conditionalFormatting>
  <conditionalFormatting sqref="CI5:CI16">
    <cfRule type="expression" dxfId="1" priority="90">
      <formula>IF(CI5&gt;=CJ5,IF(CI5="",FALSE,TRUE))</formula>
    </cfRule>
  </conditionalFormatting>
  <conditionalFormatting sqref="CG28:CG29">
    <cfRule type="expression" dxfId="0" priority="91">
      <formula>OR(IF(CG28&lt;CH28,TRUE),IF(AND(CH28="",CG28&lt;&gt;""),TRUE))</formula>
    </cfRule>
  </conditionalFormatting>
  <conditionalFormatting sqref="CG28:CG29">
    <cfRule type="expression" dxfId="1" priority="92">
      <formula>IF(CG28&gt;=CH28,IF(CG28="",FALSE,TRUE))</formula>
    </cfRule>
  </conditionalFormatting>
  <conditionalFormatting sqref="CI28:CI29">
    <cfRule type="expression" dxfId="0" priority="93">
      <formula>OR(IF(CI28&lt;CJ28,TRUE),IF(AND(CJ28="",CI28&lt;&gt;""),TRUE))</formula>
    </cfRule>
  </conditionalFormatting>
  <conditionalFormatting sqref="CI28:CI29">
    <cfRule type="expression" dxfId="1" priority="94">
      <formula>IF(CI28&gt;=CJ28,IF(CI28="",FALSE,TRUE))</formula>
    </cfRule>
  </conditionalFormatting>
  <conditionalFormatting sqref="CG24:CG25">
    <cfRule type="expression" dxfId="0" priority="95">
      <formula>OR(IF(CG24&lt;CH24,TRUE),IF(AND(CH24="",CG24&lt;&gt;""),TRUE))</formula>
    </cfRule>
  </conditionalFormatting>
  <conditionalFormatting sqref="CG24:CG25">
    <cfRule type="expression" dxfId="1" priority="96">
      <formula>IF(CG24&gt;=CH24,IF(CG24="",FALSE,TRUE))</formula>
    </cfRule>
  </conditionalFormatting>
  <conditionalFormatting sqref="CI24:CI25">
    <cfRule type="expression" dxfId="0" priority="97">
      <formula>OR(IF(CI24&lt;CJ24,TRUE),IF(AND(CJ24="",CI24&lt;&gt;""),TRUE))</formula>
    </cfRule>
  </conditionalFormatting>
  <conditionalFormatting sqref="CI24:CI25">
    <cfRule type="expression" dxfId="1" priority="98">
      <formula>IF(CI24&gt;=CJ24,IF(CI24="",FALSE,TRUE))</formula>
    </cfRule>
  </conditionalFormatting>
  <conditionalFormatting sqref="CG66:CG80">
    <cfRule type="expression" dxfId="0" priority="99">
      <formula>OR(IF(CG66&lt;CH66,TRUE),IF(AND(CH66="",CG66&lt;&gt;""),TRUE))</formula>
    </cfRule>
  </conditionalFormatting>
  <conditionalFormatting sqref="CG66:CG80">
    <cfRule type="expression" dxfId="1" priority="100">
      <formula>IF(CG66&gt;=CH66,IF(CG66="",FALSE,TRUE))</formula>
    </cfRule>
  </conditionalFormatting>
  <conditionalFormatting sqref="CI66:CI80">
    <cfRule type="expression" dxfId="0" priority="101">
      <formula>OR(IF(CI66&lt;CJ66,TRUE),IF(AND(CJ66="",CI66&lt;&gt;""),TRUE))</formula>
    </cfRule>
  </conditionalFormatting>
  <conditionalFormatting sqref="CI66:CI80">
    <cfRule type="expression" dxfId="1" priority="102">
      <formula>IF(CI66&gt;=CJ66,IF(CI66="",FALSE,TRUE))</formula>
    </cfRule>
  </conditionalFormatting>
  <conditionalFormatting sqref="BZ66:BZ80">
    <cfRule type="expression" dxfId="0" priority="103">
      <formula>OR(IF(BZ66&lt;CA66,TRUE),IF(AND(CA66="",BZ66&lt;&gt;""),TRUE))</formula>
    </cfRule>
  </conditionalFormatting>
  <conditionalFormatting sqref="BZ66:BZ80">
    <cfRule type="expression" dxfId="1" priority="104">
      <formula>IF(BZ66&gt;=CA66,IF(BZ66="",FALSE,TRUE))</formula>
    </cfRule>
  </conditionalFormatting>
  <conditionalFormatting sqref="CB66:CB80">
    <cfRule type="expression" dxfId="0" priority="105">
      <formula>OR(IF(CB66&lt;CC66,TRUE),IF(AND(CC66="",CB66&lt;&gt;""),TRUE))</formula>
    </cfRule>
  </conditionalFormatting>
  <conditionalFormatting sqref="CB66:CB80">
    <cfRule type="expression" dxfId="1" priority="106">
      <formula>IF(CB66&gt;=CC66,IF(CB66="",FALSE,TRUE))</formula>
    </cfRule>
  </conditionalFormatting>
  <conditionalFormatting sqref="BZ5:BZ16">
    <cfRule type="expression" dxfId="0" priority="107">
      <formula>OR(IF(BZ5&lt;CA5,TRUE),IF(AND(CA5="",BZ5&lt;&gt;""),TRUE))</formula>
    </cfRule>
  </conditionalFormatting>
  <conditionalFormatting sqref="BZ5:BZ16">
    <cfRule type="expression" dxfId="1" priority="108">
      <formula>IF(BZ5&gt;=CA5,IF(BZ5="",FALSE,TRUE))</formula>
    </cfRule>
  </conditionalFormatting>
  <conditionalFormatting sqref="CB5:CB16">
    <cfRule type="expression" dxfId="0" priority="109">
      <formula>OR(IF(CB5&lt;CC5,TRUE),IF(AND(CC5="",CB5&lt;&gt;""),TRUE))</formula>
    </cfRule>
  </conditionalFormatting>
  <conditionalFormatting sqref="CB5:CB16">
    <cfRule type="expression" dxfId="1" priority="110">
      <formula>IF(CB5&gt;=CC5,IF(CB5="",FALSE,TRUE))</formula>
    </cfRule>
  </conditionalFormatting>
  <conditionalFormatting sqref="BZ19:BZ23 CB19:CB23">
    <cfRule type="expression" dxfId="0" priority="111">
      <formula>OR(IF(BZ19&lt;CA19,TRUE),IF(AND(CA19="",BZ19&lt;&gt;""),TRUE))</formula>
    </cfRule>
  </conditionalFormatting>
  <conditionalFormatting sqref="BZ19:BZ23 CB19:CB23">
    <cfRule type="expression" dxfId="1" priority="112">
      <formula>IF(BZ19&gt;=CA19,IF(BZ19="",FALSE,TRUE))</formula>
    </cfRule>
  </conditionalFormatting>
  <conditionalFormatting sqref="BZ24:BZ25">
    <cfRule type="expression" dxfId="0" priority="113">
      <formula>OR(IF(BZ24&lt;CA24,TRUE),IF(AND(CA24="",BZ24&lt;&gt;""),TRUE))</formula>
    </cfRule>
  </conditionalFormatting>
  <conditionalFormatting sqref="BZ24:BZ25">
    <cfRule type="expression" dxfId="1" priority="114">
      <formula>IF(BZ24&gt;=CA24,IF(BZ24="",FALSE,TRUE))</formula>
    </cfRule>
  </conditionalFormatting>
  <conditionalFormatting sqref="CB24:CB25">
    <cfRule type="expression" dxfId="0" priority="115">
      <formula>OR(IF(CB24&lt;CC24,TRUE),IF(AND(CC24="",CB24&lt;&gt;""),TRUE))</formula>
    </cfRule>
  </conditionalFormatting>
  <conditionalFormatting sqref="CB24:CB25">
    <cfRule type="expression" dxfId="1" priority="116">
      <formula>IF(CB24&gt;=CC24,IF(CB24="",FALSE,TRUE))</formula>
    </cfRule>
  </conditionalFormatting>
  <conditionalFormatting sqref="BZ28:BZ29">
    <cfRule type="expression" dxfId="0" priority="117">
      <formula>OR(IF(BZ28&lt;CA28,TRUE),IF(AND(CA28="",BZ28&lt;&gt;""),TRUE))</formula>
    </cfRule>
  </conditionalFormatting>
  <conditionalFormatting sqref="BZ28:BZ29">
    <cfRule type="expression" dxfId="1" priority="118">
      <formula>IF(BZ28&gt;=CA28,IF(BZ28="",FALSE,TRUE))</formula>
    </cfRule>
  </conditionalFormatting>
  <conditionalFormatting sqref="CB28:CB29">
    <cfRule type="expression" dxfId="0" priority="119">
      <formula>OR(IF(CB28&lt;CC28,TRUE),IF(AND(CC28="",CB28&lt;&gt;""),TRUE))</formula>
    </cfRule>
  </conditionalFormatting>
  <conditionalFormatting sqref="CB28:CB29">
    <cfRule type="expression" dxfId="1" priority="120">
      <formula>IF(CB28&gt;=CC28,IF(CB28="",FALSE,TRUE))</formula>
    </cfRule>
  </conditionalFormatting>
  <conditionalFormatting sqref="BS66:BS80">
    <cfRule type="expression" dxfId="0" priority="121">
      <formula>OR(IF(BS66&lt;BT66,TRUE),IF(AND(BT66="",BS66&lt;&gt;""),TRUE))</formula>
    </cfRule>
  </conditionalFormatting>
  <conditionalFormatting sqref="BS66:BS80">
    <cfRule type="expression" dxfId="1" priority="122">
      <formula>IF(BS66&gt;=BT66,IF(BS66="",FALSE,TRUE))</formula>
    </cfRule>
  </conditionalFormatting>
  <conditionalFormatting sqref="BU66:BU80">
    <cfRule type="expression" dxfId="0" priority="123">
      <formula>OR(IF(BU66&lt;BV66,TRUE),IF(AND(BV66="",BU66&lt;&gt;""),TRUE))</formula>
    </cfRule>
  </conditionalFormatting>
  <conditionalFormatting sqref="BU66:BU80">
    <cfRule type="expression" dxfId="1" priority="124">
      <formula>IF(BU66&gt;=BV66,IF(BU66="",FALSE,TRUE))</formula>
    </cfRule>
  </conditionalFormatting>
  <conditionalFormatting sqref="BL66:BL80">
    <cfRule type="expression" dxfId="0" priority="125">
      <formula>OR(IF(BL66&lt;BM66,TRUE),IF(AND(BM66="",BL66&lt;&gt;""),TRUE))</formula>
    </cfRule>
  </conditionalFormatting>
  <conditionalFormatting sqref="BL66:BL80">
    <cfRule type="expression" dxfId="1" priority="126">
      <formula>IF(BL66&gt;=BM66,IF(BL66="",FALSE,TRUE))</formula>
    </cfRule>
  </conditionalFormatting>
  <conditionalFormatting sqref="BN66:BN80">
    <cfRule type="expression" dxfId="0" priority="127">
      <formula>OR(IF(BN66&lt;BO66,TRUE),IF(AND(BO66="",BN66&lt;&gt;""),TRUE))</formula>
    </cfRule>
  </conditionalFormatting>
  <conditionalFormatting sqref="BN66:BN80">
    <cfRule type="expression" dxfId="1" priority="128">
      <formula>IF(BN66&gt;=BO66,IF(BN66="",FALSE,TRUE))</formula>
    </cfRule>
  </conditionalFormatting>
  <conditionalFormatting sqref="BE66:BE80">
    <cfRule type="expression" dxfId="0" priority="129">
      <formula>OR(IF(BE66&lt;BF66,TRUE),IF(AND(BF66="",BE66&lt;&gt;""),TRUE))</formula>
    </cfRule>
  </conditionalFormatting>
  <conditionalFormatting sqref="BE66:BE80">
    <cfRule type="expression" dxfId="1" priority="130">
      <formula>IF(BE66&gt;=BF66,IF(BE66="",FALSE,TRUE))</formula>
    </cfRule>
  </conditionalFormatting>
  <conditionalFormatting sqref="BG66:BG80">
    <cfRule type="expression" dxfId="0" priority="131">
      <formula>OR(IF(BG66&lt;BH66,TRUE),IF(AND(BH66="",BG66&lt;&gt;""),TRUE))</formula>
    </cfRule>
  </conditionalFormatting>
  <conditionalFormatting sqref="BG66:BG80">
    <cfRule type="expression" dxfId="1" priority="132">
      <formula>IF(BG66&gt;=BH66,IF(BG66="",FALSE,TRUE))</formula>
    </cfRule>
  </conditionalFormatting>
  <conditionalFormatting sqref="AX66:AX80">
    <cfRule type="expression" dxfId="0" priority="133">
      <formula>OR(IF(AX66&lt;AY66,TRUE),IF(AND(AY66="",AX66&lt;&gt;""),TRUE))</formula>
    </cfRule>
  </conditionalFormatting>
  <conditionalFormatting sqref="AX66:AX80">
    <cfRule type="expression" dxfId="1" priority="134">
      <formula>IF(AX66&gt;=AY66,IF(AX66="",FALSE,TRUE))</formula>
    </cfRule>
  </conditionalFormatting>
  <conditionalFormatting sqref="AZ66:AZ80">
    <cfRule type="expression" dxfId="0" priority="135">
      <formula>OR(IF(AZ66&lt;BA66,TRUE),IF(AND(BA66="",AZ66&lt;&gt;""),TRUE))</formula>
    </cfRule>
  </conditionalFormatting>
  <conditionalFormatting sqref="AZ66:AZ80">
    <cfRule type="expression" dxfId="1" priority="136">
      <formula>IF(AZ66&gt;=BA66,IF(AZ66="",FALSE,TRUE))</formula>
    </cfRule>
  </conditionalFormatting>
  <conditionalFormatting sqref="AQ66:AQ80 AS66:AS69">
    <cfRule type="expression" dxfId="0" priority="137">
      <formula>OR(IF(AQ66&lt;AR66,TRUE),IF(AND(AR66="",AQ66&lt;&gt;""),TRUE))</formula>
    </cfRule>
  </conditionalFormatting>
  <conditionalFormatting sqref="AQ66:AQ80 AS66:AS69">
    <cfRule type="expression" dxfId="1" priority="138">
      <formula>IF(AQ66&gt;=AR66,IF(AQ66="",FALSE,TRUE))</formula>
    </cfRule>
  </conditionalFormatting>
  <conditionalFormatting sqref="AS66:AS80">
    <cfRule type="expression" dxfId="0" priority="139">
      <formula>OR(IF(AS66&lt;AT66,TRUE),IF(AND(AT66="",AS66&lt;&gt;""),TRUE))</formula>
    </cfRule>
  </conditionalFormatting>
  <conditionalFormatting sqref="AS66:AS80">
    <cfRule type="expression" dxfId="1" priority="140">
      <formula>IF(AS66&gt;=AT66,IF(AS66="",FALSE,TRUE))</formula>
    </cfRule>
  </conditionalFormatting>
  <conditionalFormatting sqref="AJ66:AJ80 AQ66:AQ69 AS66:AS69">
    <cfRule type="expression" dxfId="0" priority="141">
      <formula>OR(IF(AJ66&lt;AK66,TRUE),IF(AND(AK66="",AJ66&lt;&gt;""),TRUE))</formula>
    </cfRule>
  </conditionalFormatting>
  <conditionalFormatting sqref="AJ66:AJ80 AQ66:AQ69 AS66:AS69">
    <cfRule type="expression" dxfId="1" priority="142">
      <formula>IF(AJ66&gt;=AK66,IF(AJ66="",FALSE,TRUE))</formula>
    </cfRule>
  </conditionalFormatting>
  <conditionalFormatting sqref="AL66:AL80">
    <cfRule type="expression" dxfId="0" priority="143">
      <formula>OR(IF(AL66&lt;AM66,TRUE),IF(AND(AM66="",AL66&lt;&gt;""),TRUE))</formula>
    </cfRule>
  </conditionalFormatting>
  <conditionalFormatting sqref="AL66:AL80">
    <cfRule type="expression" dxfId="1" priority="144">
      <formula>IF(AL66&gt;=AM66,IF(AL66="",FALSE,TRUE))</formula>
    </cfRule>
  </conditionalFormatting>
  <conditionalFormatting sqref="AC66:AC80 AE66:AE69 AJ66:AJ69 AQ66:AQ69 AS66:AS69">
    <cfRule type="expression" dxfId="0" priority="145">
      <formula>OR(IF(AC66&lt;AD66,TRUE),IF(AND(AD66="",AC66&lt;&gt;""),TRUE))</formula>
    </cfRule>
  </conditionalFormatting>
  <conditionalFormatting sqref="AC66:AC80 AE66:AE69 AJ66:AJ69 AQ66:AQ69 AS66:AS69">
    <cfRule type="expression" dxfId="1" priority="146">
      <formula>IF(AC66&gt;=AD66,IF(AC66="",FALSE,TRUE))</formula>
    </cfRule>
  </conditionalFormatting>
  <conditionalFormatting sqref="AE66:AE80">
    <cfRule type="expression" dxfId="0" priority="147">
      <formula>OR(IF(AE66&lt;AF66,TRUE),IF(AND(AF66="",AE66&lt;&gt;""),TRUE))</formula>
    </cfRule>
  </conditionalFormatting>
  <conditionalFormatting sqref="AE66:AE80">
    <cfRule type="expression" dxfId="1" priority="148">
      <formula>IF(AE66&gt;=AF66,IF(AE66="",FALSE,TRUE))</formula>
    </cfRule>
  </conditionalFormatting>
  <conditionalFormatting sqref="V66:V80 AC66:AC67 AE66:AE67 AJ66:AJ67 AQ66:AQ67 AS66:AS67">
    <cfRule type="expression" dxfId="0" priority="149">
      <formula>OR(IF(V66&lt;W66,TRUE),IF(AND(W66="",V66&lt;&gt;""),TRUE))</formula>
    </cfRule>
  </conditionalFormatting>
  <conditionalFormatting sqref="V66:V80 AC66:AC67 AE66:AE67 AJ66:AJ67 AQ66:AQ67 AS66:AS67">
    <cfRule type="expression" dxfId="1" priority="150">
      <formula>IF(V66&gt;=W66,IF(V66="",FALSE,TRUE))</formula>
    </cfRule>
  </conditionalFormatting>
  <conditionalFormatting sqref="X66:X80">
    <cfRule type="expression" dxfId="0" priority="151">
      <formula>OR(IF(X66&lt;Y66,TRUE),IF(AND(Y66="",X66&lt;&gt;""),TRUE))</formula>
    </cfRule>
  </conditionalFormatting>
  <conditionalFormatting sqref="X66:X80">
    <cfRule type="expression" dxfId="1" priority="152">
      <formula>IF(X66&gt;=Y66,IF(X66="",FALSE,TRUE))</formula>
    </cfRule>
  </conditionalFormatting>
  <conditionalFormatting sqref="O66:O80">
    <cfRule type="expression" dxfId="0" priority="153">
      <formula>OR(IF(O66&lt;P66,TRUE),IF(AND(P66="",O66&lt;&gt;""),TRUE))</formula>
    </cfRule>
  </conditionalFormatting>
  <conditionalFormatting sqref="O66:O80">
    <cfRule type="expression" dxfId="1" priority="154">
      <formula>IF(O66&gt;=P66,IF(O66="",FALSE,TRUE))</formula>
    </cfRule>
  </conditionalFormatting>
  <conditionalFormatting sqref="Q66:Q80">
    <cfRule type="expression" dxfId="0" priority="155">
      <formula>OR(IF(Q66&lt;R66,TRUE),IF(AND(R66="",Q66&lt;&gt;""),TRUE))</formula>
    </cfRule>
  </conditionalFormatting>
  <conditionalFormatting sqref="Q66:Q80">
    <cfRule type="expression" dxfId="1" priority="156">
      <formula>IF(Q66&gt;=R66,IF(Q66="",FALSE,TRUE))</formula>
    </cfRule>
  </conditionalFormatting>
  <conditionalFormatting sqref="CN66:CN80">
    <cfRule type="expression" dxfId="0" priority="157">
      <formula>OR(IF(CN66&lt;CO66,TRUE),IF(AND(CO66="",CN66&lt;&gt;""),TRUE))</formula>
    </cfRule>
  </conditionalFormatting>
  <conditionalFormatting sqref="CN66:CN80">
    <cfRule type="expression" dxfId="1" priority="158">
      <formula>IF(CN66&gt;=CO66,IF(CN66="",FALSE,TRUE))</formula>
    </cfRule>
  </conditionalFormatting>
  <conditionalFormatting sqref="CP66:CP80">
    <cfRule type="expression" dxfId="0" priority="159">
      <formula>OR(IF(CP66&lt;CQ66,TRUE),IF(AND(CQ66="",CP66&lt;&gt;""),TRUE))</formula>
    </cfRule>
  </conditionalFormatting>
  <conditionalFormatting sqref="CP66:CP80">
    <cfRule type="expression" dxfId="1" priority="160">
      <formula>IF(CP66&gt;=CQ66,IF(CP66="",FALSE,TRUE))</formula>
    </cfRule>
  </conditionalFormatting>
  <conditionalFormatting sqref="BS28:BS29">
    <cfRule type="expression" dxfId="0" priority="161">
      <formula>OR(IF(BS28&lt;BT28,TRUE),IF(AND(BT28="",BS28&lt;&gt;""),TRUE))</formula>
    </cfRule>
  </conditionalFormatting>
  <conditionalFormatting sqref="BS28:BS29">
    <cfRule type="expression" dxfId="1" priority="162">
      <formula>IF(BS28&gt;=BT28,IF(BS28="",FALSE,TRUE))</formula>
    </cfRule>
  </conditionalFormatting>
  <conditionalFormatting sqref="BU28:BU29">
    <cfRule type="expression" dxfId="0" priority="163">
      <formula>OR(IF(BU28&lt;BV28,TRUE),IF(AND(BV28="",BU28&lt;&gt;""),TRUE))</formula>
    </cfRule>
  </conditionalFormatting>
  <conditionalFormatting sqref="BU28:BU29">
    <cfRule type="expression" dxfId="1" priority="164">
      <formula>IF(BU28&gt;=BV28,IF(BU28="",FALSE,TRUE))</formula>
    </cfRule>
  </conditionalFormatting>
  <conditionalFormatting sqref="BL28:BL29">
    <cfRule type="expression" dxfId="0" priority="165">
      <formula>OR(IF(BL28&lt;BM28,TRUE),IF(AND(BM28="",BL28&lt;&gt;""),TRUE))</formula>
    </cfRule>
  </conditionalFormatting>
  <conditionalFormatting sqref="BL28:BL29">
    <cfRule type="expression" dxfId="1" priority="166">
      <formula>IF(BL28&gt;=BM28,IF(BL28="",FALSE,TRUE))</formula>
    </cfRule>
  </conditionalFormatting>
  <conditionalFormatting sqref="BN28:BN29">
    <cfRule type="expression" dxfId="0" priority="167">
      <formula>OR(IF(BN28&lt;BO28,TRUE),IF(AND(BO28="",BN28&lt;&gt;""),TRUE))</formula>
    </cfRule>
  </conditionalFormatting>
  <conditionalFormatting sqref="BN28:BN29">
    <cfRule type="expression" dxfId="1" priority="168">
      <formula>IF(BN28&gt;=BO28,IF(BN28="",FALSE,TRUE))</formula>
    </cfRule>
  </conditionalFormatting>
  <conditionalFormatting sqref="BE28:BE29">
    <cfRule type="expression" dxfId="0" priority="169">
      <formula>OR(IF(BE28&lt;BF28,TRUE),IF(AND(BF28="",BE28&lt;&gt;""),TRUE))</formula>
    </cfRule>
  </conditionalFormatting>
  <conditionalFormatting sqref="BE28:BE29">
    <cfRule type="expression" dxfId="1" priority="170">
      <formula>IF(BE28&gt;=BF28,IF(BE28="",FALSE,TRUE))</formula>
    </cfRule>
  </conditionalFormatting>
  <conditionalFormatting sqref="BG28:BG29">
    <cfRule type="expression" dxfId="0" priority="171">
      <formula>OR(IF(BG28&lt;BH28,TRUE),IF(AND(BH28="",BG28&lt;&gt;""),TRUE))</formula>
    </cfRule>
  </conditionalFormatting>
  <conditionalFormatting sqref="BG28:BG29">
    <cfRule type="expression" dxfId="1" priority="172">
      <formula>IF(BG28&gt;=BH28,IF(BG28="",FALSE,TRUE))</formula>
    </cfRule>
  </conditionalFormatting>
  <conditionalFormatting sqref="AX28:AX29">
    <cfRule type="expression" dxfId="0" priority="173">
      <formula>OR(IF(AX28&lt;AY28,TRUE),IF(AND(AY28="",AX28&lt;&gt;""),TRUE))</formula>
    </cfRule>
  </conditionalFormatting>
  <conditionalFormatting sqref="AX28:AX29">
    <cfRule type="expression" dxfId="1" priority="174">
      <formula>IF(AX28&gt;=AY28,IF(AX28="",FALSE,TRUE))</formula>
    </cfRule>
  </conditionalFormatting>
  <conditionalFormatting sqref="AZ28:AZ29">
    <cfRule type="expression" dxfId="0" priority="175">
      <formula>OR(IF(AZ28&lt;BA28,TRUE),IF(AND(BA28="",AZ28&lt;&gt;""),TRUE))</formula>
    </cfRule>
  </conditionalFormatting>
  <conditionalFormatting sqref="AZ28:AZ29">
    <cfRule type="expression" dxfId="1" priority="176">
      <formula>IF(AZ28&gt;=BA28,IF(AZ28="",FALSE,TRUE))</formula>
    </cfRule>
  </conditionalFormatting>
  <conditionalFormatting sqref="AQ28:AQ29 AS28:AS29">
    <cfRule type="expression" dxfId="0" priority="177">
      <formula>OR(IF(AQ28&lt;AR28,TRUE),IF(AND(AR28="",AQ28&lt;&gt;""),TRUE))</formula>
    </cfRule>
  </conditionalFormatting>
  <conditionalFormatting sqref="AQ28:AQ29 AS28:AS29">
    <cfRule type="expression" dxfId="1" priority="178">
      <formula>IF(AQ28&gt;=AR28,IF(AQ28="",FALSE,TRUE))</formula>
    </cfRule>
  </conditionalFormatting>
  <conditionalFormatting sqref="AS28:AS29">
    <cfRule type="expression" dxfId="0" priority="179">
      <formula>OR(IF(AS28&lt;AT28,TRUE),IF(AND(AT28="",AS28&lt;&gt;""),TRUE))</formula>
    </cfRule>
  </conditionalFormatting>
  <conditionalFormatting sqref="AS28:AS29">
    <cfRule type="expression" dxfId="1" priority="180">
      <formula>IF(AS28&gt;=AT28,IF(AS28="",FALSE,TRUE))</formula>
    </cfRule>
  </conditionalFormatting>
  <conditionalFormatting sqref="AJ28:AJ29 AQ28:AQ29 AS28:AS29">
    <cfRule type="expression" dxfId="0" priority="181">
      <formula>OR(IF(AJ28&lt;AK28,TRUE),IF(AND(AK28="",AJ28&lt;&gt;""),TRUE))</formula>
    </cfRule>
  </conditionalFormatting>
  <conditionalFormatting sqref="AJ28:AJ29 AQ28:AQ29 AS28:AS29">
    <cfRule type="expression" dxfId="1" priority="182">
      <formula>IF(AJ28&gt;=AK28,IF(AJ28="",FALSE,TRUE))</formula>
    </cfRule>
  </conditionalFormatting>
  <conditionalFormatting sqref="AL28:AL29">
    <cfRule type="expression" dxfId="0" priority="183">
      <formula>OR(IF(AL28&lt;AM28,TRUE),IF(AND(AM28="",AL28&lt;&gt;""),TRUE))</formula>
    </cfRule>
  </conditionalFormatting>
  <conditionalFormatting sqref="AL28:AL29">
    <cfRule type="expression" dxfId="1" priority="184">
      <formula>IF(AL28&gt;=AM28,IF(AL28="",FALSE,TRUE))</formula>
    </cfRule>
  </conditionalFormatting>
  <conditionalFormatting sqref="AC28:AC29 AJ28:AJ29 AQ28:AQ29 AS28:AS29">
    <cfRule type="expression" dxfId="0" priority="185">
      <formula>OR(IF(AC28&lt;AD28,TRUE),IF(AND(AD28="",AC28&lt;&gt;""),TRUE))</formula>
    </cfRule>
  </conditionalFormatting>
  <conditionalFormatting sqref="AC28:AC29 AJ28:AJ29 AQ28:AQ29 AS28:AS29">
    <cfRule type="expression" dxfId="1" priority="186">
      <formula>IF(AC28&gt;=AD28,IF(AC28="",FALSE,TRUE))</formula>
    </cfRule>
  </conditionalFormatting>
  <conditionalFormatting sqref="AE28:AE29">
    <cfRule type="expression" dxfId="0" priority="187">
      <formula>OR(IF(AE28&lt;AF28,TRUE),IF(AND(AF28="",AE28&lt;&gt;""),TRUE))</formula>
    </cfRule>
  </conditionalFormatting>
  <conditionalFormatting sqref="AE28:AE29">
    <cfRule type="expression" dxfId="1" priority="188">
      <formula>IF(AE28&gt;=AF28,IF(AE28="",FALSE,TRUE))</formula>
    </cfRule>
  </conditionalFormatting>
  <conditionalFormatting sqref="V28:V29 AC28:AC29 AJ28:AJ29 AQ28:AQ29 AS28:AS29">
    <cfRule type="expression" dxfId="0" priority="189">
      <formula>OR(IF(V28&lt;W28,TRUE),IF(AND(W28="",V28&lt;&gt;""),TRUE))</formula>
    </cfRule>
  </conditionalFormatting>
  <conditionalFormatting sqref="V28:V29 AC28:AC29 AJ28:AJ29 AQ28:AQ29 AS28:AS29">
    <cfRule type="expression" dxfId="1" priority="190">
      <formula>IF(V28&gt;=W28,IF(V28="",FALSE,TRUE))</formula>
    </cfRule>
  </conditionalFormatting>
  <conditionalFormatting sqref="X28:X29 AE28:AE29">
    <cfRule type="expression" dxfId="0" priority="191">
      <formula>OR(IF(X28&lt;Y28,TRUE),IF(AND(Y28="",X28&lt;&gt;""),TRUE))</formula>
    </cfRule>
  </conditionalFormatting>
  <conditionalFormatting sqref="X28:X29 AE28:AE29">
    <cfRule type="expression" dxfId="1" priority="192">
      <formula>IF(X28&gt;=Y28,IF(X28="",FALSE,TRUE))</formula>
    </cfRule>
  </conditionalFormatting>
  <conditionalFormatting sqref="O28:O29">
    <cfRule type="expression" dxfId="0" priority="193">
      <formula>OR(IF(O28&lt;P28,TRUE),IF(AND(P28="",O28&lt;&gt;""),TRUE))</formula>
    </cfRule>
  </conditionalFormatting>
  <conditionalFormatting sqref="O28:O29">
    <cfRule type="expression" dxfId="1" priority="194">
      <formula>IF(O28&gt;=P28,IF(O28="",FALSE,TRUE))</formula>
    </cfRule>
  </conditionalFormatting>
  <conditionalFormatting sqref="Q28:Q29">
    <cfRule type="expression" dxfId="0" priority="195">
      <formula>OR(IF(Q28&lt;R28,TRUE),IF(AND(R28="",Q28&lt;&gt;""),TRUE))</formula>
    </cfRule>
  </conditionalFormatting>
  <conditionalFormatting sqref="Q28:Q29">
    <cfRule type="expression" dxfId="1" priority="196">
      <formula>IF(Q28&gt;=R28,IF(Q28="",FALSE,TRUE))</formula>
    </cfRule>
  </conditionalFormatting>
  <conditionalFormatting sqref="BS19:BS23 BU19:BU23">
    <cfRule type="expression" dxfId="0" priority="197">
      <formula>OR(IF(BS19&lt;BT19,TRUE),IF(AND(BT19="",BS19&lt;&gt;""),TRUE))</formula>
    </cfRule>
  </conditionalFormatting>
  <conditionalFormatting sqref="BS19:BS23 BU19:BU23">
    <cfRule type="expression" dxfId="1" priority="198">
      <formula>IF(BS19&gt;=BT19,IF(BS19="",FALSE,TRUE))</formula>
    </cfRule>
  </conditionalFormatting>
  <conditionalFormatting sqref="BS24:BS25">
    <cfRule type="expression" dxfId="0" priority="199">
      <formula>OR(IF(BS24&lt;BT24,TRUE),IF(AND(BT24="",BS24&lt;&gt;""),TRUE))</formula>
    </cfRule>
  </conditionalFormatting>
  <conditionalFormatting sqref="BS24:BS25">
    <cfRule type="expression" dxfId="1" priority="200">
      <formula>IF(BS24&gt;=BT24,IF(BS24="",FALSE,TRUE))</formula>
    </cfRule>
  </conditionalFormatting>
  <conditionalFormatting sqref="BU24:BU25">
    <cfRule type="expression" dxfId="0" priority="201">
      <formula>OR(IF(BU24&lt;BV24,TRUE),IF(AND(BV24="",BU24&lt;&gt;""),TRUE))</formula>
    </cfRule>
  </conditionalFormatting>
  <conditionalFormatting sqref="BU24:BU25">
    <cfRule type="expression" dxfId="1" priority="202">
      <formula>IF(BU24&gt;=BV24,IF(BU24="",FALSE,TRUE))</formula>
    </cfRule>
  </conditionalFormatting>
  <conditionalFormatting sqref="BL19:BL23 BN19:BN23">
    <cfRule type="expression" dxfId="0" priority="203">
      <formula>OR(IF(BL19&lt;BM19,TRUE),IF(AND(BM19="",BL19&lt;&gt;""),TRUE))</formula>
    </cfRule>
  </conditionalFormatting>
  <conditionalFormatting sqref="BL19:BL23 BN19:BN23">
    <cfRule type="expression" dxfId="1" priority="204">
      <formula>IF(BL19&gt;=BM19,IF(BL19="",FALSE,TRUE))</formula>
    </cfRule>
  </conditionalFormatting>
  <conditionalFormatting sqref="BL24:BL25">
    <cfRule type="expression" dxfId="0" priority="205">
      <formula>OR(IF(BL24&lt;BM24,TRUE),IF(AND(BM24="",BL24&lt;&gt;""),TRUE))</formula>
    </cfRule>
  </conditionalFormatting>
  <conditionalFormatting sqref="BL24:BL25">
    <cfRule type="expression" dxfId="1" priority="206">
      <formula>IF(BL24&gt;=BM24,IF(BL24="",FALSE,TRUE))</formula>
    </cfRule>
  </conditionalFormatting>
  <conditionalFormatting sqref="BN24:BN25">
    <cfRule type="expression" dxfId="0" priority="207">
      <formula>OR(IF(BN24&lt;BO24,TRUE),IF(AND(BO24="",BN24&lt;&gt;""),TRUE))</formula>
    </cfRule>
  </conditionalFormatting>
  <conditionalFormatting sqref="BN24:BN25">
    <cfRule type="expression" dxfId="1" priority="208">
      <formula>IF(BN24&gt;=BO24,IF(BN24="",FALSE,TRUE))</formula>
    </cfRule>
  </conditionalFormatting>
  <conditionalFormatting sqref="BE19:BE23 BG19:BG23">
    <cfRule type="expression" dxfId="0" priority="209">
      <formula>OR(IF(BE19&lt;BF19,TRUE),IF(AND(BF19="",BE19&lt;&gt;""),TRUE))</formula>
    </cfRule>
  </conditionalFormatting>
  <conditionalFormatting sqref="BE19:BE23 BG19:BG23">
    <cfRule type="expression" dxfId="1" priority="210">
      <formula>IF(BE19&gt;=BF19,IF(BE19="",FALSE,TRUE))</formula>
    </cfRule>
  </conditionalFormatting>
  <conditionalFormatting sqref="BE24:BE25">
    <cfRule type="expression" dxfId="0" priority="211">
      <formula>OR(IF(BE24&lt;BF24,TRUE),IF(AND(BF24="",BE24&lt;&gt;""),TRUE))</formula>
    </cfRule>
  </conditionalFormatting>
  <conditionalFormatting sqref="BE24:BE25">
    <cfRule type="expression" dxfId="1" priority="212">
      <formula>IF(BE24&gt;=BF24,IF(BE24="",FALSE,TRUE))</formula>
    </cfRule>
  </conditionalFormatting>
  <conditionalFormatting sqref="BG24:BG25">
    <cfRule type="expression" dxfId="0" priority="213">
      <formula>OR(IF(BG24&lt;BH24,TRUE),IF(AND(BH24="",BG24&lt;&gt;""),TRUE))</formula>
    </cfRule>
  </conditionalFormatting>
  <conditionalFormatting sqref="BG24:BG25">
    <cfRule type="expression" dxfId="1" priority="214">
      <formula>IF(BG24&gt;=BH24,IF(BG24="",FALSE,TRUE))</formula>
    </cfRule>
  </conditionalFormatting>
  <conditionalFormatting sqref="AX19:AX23 AZ19:AZ23">
    <cfRule type="expression" dxfId="0" priority="215">
      <formula>OR(IF(AX19&lt;AY19,TRUE),IF(AND(AY19="",AX19&lt;&gt;""),TRUE))</formula>
    </cfRule>
  </conditionalFormatting>
  <conditionalFormatting sqref="AX19:AX23 AZ19:AZ23">
    <cfRule type="expression" dxfId="1" priority="216">
      <formula>IF(AX19&gt;=AY19,IF(AX19="",FALSE,TRUE))</formula>
    </cfRule>
  </conditionalFormatting>
  <conditionalFormatting sqref="AX24:AX25">
    <cfRule type="expression" dxfId="0" priority="217">
      <formula>OR(IF(AX24&lt;AY24,TRUE),IF(AND(AY24="",AX24&lt;&gt;""),TRUE))</formula>
    </cfRule>
  </conditionalFormatting>
  <conditionalFormatting sqref="AX24:AX25">
    <cfRule type="expression" dxfId="1" priority="218">
      <formula>IF(AX24&gt;=AY24,IF(AX24="",FALSE,TRUE))</formula>
    </cfRule>
  </conditionalFormatting>
  <conditionalFormatting sqref="AZ24:AZ25">
    <cfRule type="expression" dxfId="0" priority="219">
      <formula>OR(IF(AZ24&lt;BA24,TRUE),IF(AND(BA24="",AZ24&lt;&gt;""),TRUE))</formula>
    </cfRule>
  </conditionalFormatting>
  <conditionalFormatting sqref="AZ24:AZ25">
    <cfRule type="expression" dxfId="1" priority="220">
      <formula>IF(AZ24&gt;=BA24,IF(AZ24="",FALSE,TRUE))</formula>
    </cfRule>
  </conditionalFormatting>
  <conditionalFormatting sqref="AQ19:AQ23 AS19:AS23">
    <cfRule type="expression" dxfId="0" priority="221">
      <formula>OR(IF(AQ19&lt;AR19,TRUE),IF(AND(AR19="",AQ19&lt;&gt;""),TRUE))</formula>
    </cfRule>
  </conditionalFormatting>
  <conditionalFormatting sqref="AQ19:AQ23 AS19:AS23">
    <cfRule type="expression" dxfId="1" priority="222">
      <formula>IF(AQ19&gt;=AR19,IF(AQ19="",FALSE,TRUE))</formula>
    </cfRule>
  </conditionalFormatting>
  <conditionalFormatting sqref="AQ24:AQ25">
    <cfRule type="expression" dxfId="0" priority="223">
      <formula>OR(IF(AQ24&lt;AR24,TRUE),IF(AND(AR24="",AQ24&lt;&gt;""),TRUE))</formula>
    </cfRule>
  </conditionalFormatting>
  <conditionalFormatting sqref="AQ24:AQ25">
    <cfRule type="expression" dxfId="1" priority="224">
      <formula>IF(AQ24&gt;=AR24,IF(AQ24="",FALSE,TRUE))</formula>
    </cfRule>
  </conditionalFormatting>
  <conditionalFormatting sqref="AS24:AS25">
    <cfRule type="expression" dxfId="0" priority="225">
      <formula>OR(IF(AS24&lt;AT24,TRUE),IF(AND(AT24="",AS24&lt;&gt;""),TRUE))</formula>
    </cfRule>
  </conditionalFormatting>
  <conditionalFormatting sqref="AS24:AS25">
    <cfRule type="expression" dxfId="1" priority="226">
      <formula>IF(AS24&gt;=AT24,IF(AS24="",FALSE,TRUE))</formula>
    </cfRule>
  </conditionalFormatting>
  <conditionalFormatting sqref="AJ19:AJ23 AL19:AL23 AQ19:AQ22 AS19:AS22">
    <cfRule type="expression" dxfId="0" priority="227">
      <formula>OR(IF(AJ19&lt;AK19,TRUE),IF(AND(AK19="",AJ19&lt;&gt;""),TRUE))</formula>
    </cfRule>
  </conditionalFormatting>
  <conditionalFormatting sqref="AJ19:AJ23 AL19:AL23 AQ19:AQ22 AS19:AS22">
    <cfRule type="expression" dxfId="1" priority="228">
      <formula>IF(AJ19&gt;=AK19,IF(AJ19="",FALSE,TRUE))</formula>
    </cfRule>
  </conditionalFormatting>
  <conditionalFormatting sqref="AJ24:AJ25">
    <cfRule type="expression" dxfId="0" priority="229">
      <formula>OR(IF(AJ24&lt;AK24,TRUE),IF(AND(AK24="",AJ24&lt;&gt;""),TRUE))</formula>
    </cfRule>
  </conditionalFormatting>
  <conditionalFormatting sqref="AJ24:AJ25">
    <cfRule type="expression" dxfId="1" priority="230">
      <formula>IF(AJ24&gt;=AK24,IF(AJ24="",FALSE,TRUE))</formula>
    </cfRule>
  </conditionalFormatting>
  <conditionalFormatting sqref="AL24:AL25">
    <cfRule type="expression" dxfId="0" priority="231">
      <formula>OR(IF(AL24&lt;AM24,TRUE),IF(AND(AM24="",AL24&lt;&gt;""),TRUE))</formula>
    </cfRule>
  </conditionalFormatting>
  <conditionalFormatting sqref="AL24:AL25">
    <cfRule type="expression" dxfId="1" priority="232">
      <formula>IF(AL24&gt;=AM24,IF(AL24="",FALSE,TRUE))</formula>
    </cfRule>
  </conditionalFormatting>
  <conditionalFormatting sqref="AC19:AC23 AE19:AE23 AJ19:AJ23 AQ19:AQ22 AS19:AS22">
    <cfRule type="expression" dxfId="0" priority="233">
      <formula>OR(IF(AC19&lt;AD19,TRUE),IF(AND(AD19="",AC19&lt;&gt;""),TRUE))</formula>
    </cfRule>
  </conditionalFormatting>
  <conditionalFormatting sqref="AC19:AC23 AE19:AE23 AJ19:AJ23 AQ19:AQ22 AS19:AS22">
    <cfRule type="expression" dxfId="1" priority="234">
      <formula>IF(AC19&gt;=AD19,IF(AC19="",FALSE,TRUE))</formula>
    </cfRule>
  </conditionalFormatting>
  <conditionalFormatting sqref="AC24:AC25">
    <cfRule type="expression" dxfId="0" priority="235">
      <formula>OR(IF(AC24&lt;AD24,TRUE),IF(AND(AD24="",AC24&lt;&gt;""),TRUE))</formula>
    </cfRule>
  </conditionalFormatting>
  <conditionalFormatting sqref="AC24:AC25">
    <cfRule type="expression" dxfId="1" priority="236">
      <formula>IF(AC24&gt;=AD24,IF(AC24="",FALSE,TRUE))</formula>
    </cfRule>
  </conditionalFormatting>
  <conditionalFormatting sqref="AE24:AE25">
    <cfRule type="expression" dxfId="0" priority="237">
      <formula>OR(IF(AE24&lt;AF24,TRUE),IF(AND(AF24="",AE24&lt;&gt;""),TRUE))</formula>
    </cfRule>
  </conditionalFormatting>
  <conditionalFormatting sqref="AE24:AE25">
    <cfRule type="expression" dxfId="1" priority="238">
      <formula>IF(AE24&gt;=AF24,IF(AE24="",FALSE,TRUE))</formula>
    </cfRule>
  </conditionalFormatting>
  <conditionalFormatting sqref="V19:V23 X19:X23 AC19:AC21 AE19:AE21 AJ19:AJ21 AQ19:AQ21 AS19:AS21">
    <cfRule type="expression" dxfId="0" priority="239">
      <formula>OR(IF(V19&lt;W19,TRUE),IF(AND(W19="",V19&lt;&gt;""),TRUE))</formula>
    </cfRule>
  </conditionalFormatting>
  <conditionalFormatting sqref="V19:V23 X19:X23 AC19:AC21 AE19:AE21 AJ19:AJ21 AQ19:AQ21 AS19:AS21">
    <cfRule type="expression" dxfId="1" priority="240">
      <formula>IF(V19&gt;=W19,IF(V19="",FALSE,TRUE))</formula>
    </cfRule>
  </conditionalFormatting>
  <conditionalFormatting sqref="V24:V25">
    <cfRule type="expression" dxfId="0" priority="241">
      <formula>OR(IF(V24&lt;W24,TRUE),IF(AND(W24="",V24&lt;&gt;""),TRUE))</formula>
    </cfRule>
  </conditionalFormatting>
  <conditionalFormatting sqref="V24:V25">
    <cfRule type="expression" dxfId="1" priority="242">
      <formula>IF(V24&gt;=W24,IF(V24="",FALSE,TRUE))</formula>
    </cfRule>
  </conditionalFormatting>
  <conditionalFormatting sqref="X24:X25">
    <cfRule type="expression" dxfId="0" priority="243">
      <formula>OR(IF(X24&lt;Y24,TRUE),IF(AND(Y24="",X24&lt;&gt;""),TRUE))</formula>
    </cfRule>
  </conditionalFormatting>
  <conditionalFormatting sqref="X24:X25">
    <cfRule type="expression" dxfId="1" priority="244">
      <formula>IF(X24&gt;=Y24,IF(X24="",FALSE,TRUE))</formula>
    </cfRule>
  </conditionalFormatting>
  <conditionalFormatting sqref="O19:O23 Q19:Q23">
    <cfRule type="expression" dxfId="0" priority="245">
      <formula>OR(IF(O19&lt;P19,TRUE),IF(AND(P19="",O19&lt;&gt;""),TRUE))</formula>
    </cfRule>
  </conditionalFormatting>
  <conditionalFormatting sqref="O19:O23 Q19:Q23">
    <cfRule type="expression" dxfId="1" priority="246">
      <formula>IF(O19&gt;=P19,IF(O19="",FALSE,TRUE))</formula>
    </cfRule>
  </conditionalFormatting>
  <conditionalFormatting sqref="O24:O25">
    <cfRule type="expression" dxfId="0" priority="247">
      <formula>OR(IF(O24&lt;P24,TRUE),IF(AND(P24="",O24&lt;&gt;""),TRUE))</formula>
    </cfRule>
  </conditionalFormatting>
  <conditionalFormatting sqref="O24:O25">
    <cfRule type="expression" dxfId="1" priority="248">
      <formula>IF(O24&gt;=P24,IF(O24="",FALSE,TRUE))</formula>
    </cfRule>
  </conditionalFormatting>
  <conditionalFormatting sqref="Q24:Q25">
    <cfRule type="expression" dxfId="0" priority="249">
      <formula>OR(IF(Q24&lt;R24,TRUE),IF(AND(R24="",Q24&lt;&gt;""),TRUE))</formula>
    </cfRule>
  </conditionalFormatting>
  <conditionalFormatting sqref="Q24:Q25">
    <cfRule type="expression" dxfId="1" priority="250">
      <formula>IF(Q24&gt;=R24,IF(Q24="",FALSE,TRUE))</formula>
    </cfRule>
  </conditionalFormatting>
  <conditionalFormatting sqref="BS5:BS16">
    <cfRule type="expression" dxfId="0" priority="251">
      <formula>OR(IF(BS5&lt;BT5,TRUE),IF(AND(BT5="",BS5&lt;&gt;""),TRUE))</formula>
    </cfRule>
  </conditionalFormatting>
  <conditionalFormatting sqref="BS5:BS16">
    <cfRule type="expression" dxfId="1" priority="252">
      <formula>IF(BS5&gt;=BT5,IF(BS5="",FALSE,TRUE))</formula>
    </cfRule>
  </conditionalFormatting>
  <conditionalFormatting sqref="BU5:BU16">
    <cfRule type="expression" dxfId="0" priority="253">
      <formula>OR(IF(BU5&lt;BV5,TRUE),IF(AND(BV5="",BU5&lt;&gt;""),TRUE))</formula>
    </cfRule>
  </conditionalFormatting>
  <conditionalFormatting sqref="BU5:BU16">
    <cfRule type="expression" dxfId="1" priority="254">
      <formula>IF(BU5&gt;=BV5,IF(BU5="",FALSE,TRUE))</formula>
    </cfRule>
  </conditionalFormatting>
  <conditionalFormatting sqref="BL5:BL16">
    <cfRule type="expression" dxfId="0" priority="255">
      <formula>OR(IF(BL5&lt;BM5,TRUE),IF(AND(BM5="",BL5&lt;&gt;""),TRUE))</formula>
    </cfRule>
  </conditionalFormatting>
  <conditionalFormatting sqref="BL5:BL16">
    <cfRule type="expression" dxfId="1" priority="256">
      <formula>IF(BL5&gt;=BM5,IF(BL5="",FALSE,TRUE))</formula>
    </cfRule>
  </conditionalFormatting>
  <conditionalFormatting sqref="BN5:BN16">
    <cfRule type="expression" dxfId="0" priority="257">
      <formula>OR(IF(BN5&lt;BO5,TRUE),IF(AND(BO5="",BN5&lt;&gt;""),TRUE))</formula>
    </cfRule>
  </conditionalFormatting>
  <conditionalFormatting sqref="BN5:BN16">
    <cfRule type="expression" dxfId="1" priority="258">
      <formula>IF(BN5&gt;=BO5,IF(BN5="",FALSE,TRUE))</formula>
    </cfRule>
  </conditionalFormatting>
  <conditionalFormatting sqref="BE5:BE16">
    <cfRule type="expression" dxfId="0" priority="259">
      <formula>OR(IF(BE5&lt;BF5,TRUE),IF(AND(BF5="",BE5&lt;&gt;""),TRUE))</formula>
    </cfRule>
  </conditionalFormatting>
  <conditionalFormatting sqref="BE5:BE16">
    <cfRule type="expression" dxfId="1" priority="260">
      <formula>IF(BE5&gt;=BF5,IF(BE5="",FALSE,TRUE))</formula>
    </cfRule>
  </conditionalFormatting>
  <conditionalFormatting sqref="BG5:BG16">
    <cfRule type="expression" dxfId="0" priority="261">
      <formula>OR(IF(BG5&lt;BH5,TRUE),IF(AND(BH5="",BG5&lt;&gt;""),TRUE))</formula>
    </cfRule>
  </conditionalFormatting>
  <conditionalFormatting sqref="BG5:BG16">
    <cfRule type="expression" dxfId="1" priority="262">
      <formula>IF(BG5&gt;=BH5,IF(BG5="",FALSE,TRUE))</formula>
    </cfRule>
  </conditionalFormatting>
  <conditionalFormatting sqref="AX5:AX16">
    <cfRule type="expression" dxfId="0" priority="263">
      <formula>OR(IF(AX5&lt;AY5,TRUE),IF(AND(AY5="",AX5&lt;&gt;""),TRUE))</formula>
    </cfRule>
  </conditionalFormatting>
  <conditionalFormatting sqref="AX5:AX16">
    <cfRule type="expression" dxfId="1" priority="264">
      <formula>IF(AX5&gt;=AY5,IF(AX5="",FALSE,TRUE))</formula>
    </cfRule>
  </conditionalFormatting>
  <conditionalFormatting sqref="AZ5:AZ16">
    <cfRule type="expression" dxfId="0" priority="265">
      <formula>OR(IF(AZ5&lt;BA5,TRUE),IF(AND(BA5="",AZ5&lt;&gt;""),TRUE))</formula>
    </cfRule>
  </conditionalFormatting>
  <conditionalFormatting sqref="AZ5:AZ16">
    <cfRule type="expression" dxfId="1" priority="266">
      <formula>IF(AZ5&gt;=BA5,IF(AZ5="",FALSE,TRUE))</formula>
    </cfRule>
  </conditionalFormatting>
  <conditionalFormatting sqref="AQ5:AQ16 AS5:AS9">
    <cfRule type="expression" dxfId="0" priority="267">
      <formula>OR(IF(AQ5&lt;AR5,TRUE),IF(AND(AR5="",AQ5&lt;&gt;""),TRUE))</formula>
    </cfRule>
  </conditionalFormatting>
  <conditionalFormatting sqref="AQ5:AQ16 AS5:AS9">
    <cfRule type="expression" dxfId="1" priority="268">
      <formula>IF(AQ5&gt;=AR5,IF(AQ5="",FALSE,TRUE))</formula>
    </cfRule>
  </conditionalFormatting>
  <conditionalFormatting sqref="AS5:AS16">
    <cfRule type="expression" dxfId="0" priority="269">
      <formula>OR(IF(AS5&lt;AT5,TRUE),IF(AND(AT5="",AS5&lt;&gt;""),TRUE))</formula>
    </cfRule>
  </conditionalFormatting>
  <conditionalFormatting sqref="AS5:AS16">
    <cfRule type="expression" dxfId="1" priority="270">
      <formula>IF(AS5&gt;=AT5,IF(AS5="",FALSE,TRUE))</formula>
    </cfRule>
  </conditionalFormatting>
  <conditionalFormatting sqref="AJ5:AJ16 AQ5:AQ9 AS5:AS9">
    <cfRule type="expression" dxfId="0" priority="271">
      <formula>OR(IF(AJ5&lt;AK5,TRUE),IF(AND(AK5="",AJ5&lt;&gt;""),TRUE))</formula>
    </cfRule>
  </conditionalFormatting>
  <conditionalFormatting sqref="AJ5:AJ16 AQ5:AQ9 AS5:AS9">
    <cfRule type="expression" dxfId="1" priority="272">
      <formula>IF(AJ5&gt;=AK5,IF(AJ5="",FALSE,TRUE))</formula>
    </cfRule>
  </conditionalFormatting>
  <conditionalFormatting sqref="AL5:AL16">
    <cfRule type="expression" dxfId="0" priority="273">
      <formula>OR(IF(AL5&lt;AM5,TRUE),IF(AND(AM5="",AL5&lt;&gt;""),TRUE))</formula>
    </cfRule>
  </conditionalFormatting>
  <conditionalFormatting sqref="AL5:AL16">
    <cfRule type="expression" dxfId="1" priority="274">
      <formula>IF(AL5&gt;=AM5,IF(AL5="",FALSE,TRUE))</formula>
    </cfRule>
  </conditionalFormatting>
  <conditionalFormatting sqref="AC5:AC16 AE6:AE8 AJ6:AJ9 AQ6:AQ9 AS6:AS9">
    <cfRule type="expression" dxfId="0" priority="275">
      <formula>OR(IF(AC5&lt;AD5,TRUE),IF(AND(AD5="",AC5&lt;&gt;""),TRUE))</formula>
    </cfRule>
  </conditionalFormatting>
  <conditionalFormatting sqref="AC5:AC16 AE6:AE8 AJ6:AJ9 AQ6:AQ9 AS6:AS9">
    <cfRule type="expression" dxfId="1" priority="276">
      <formula>IF(AC5&gt;=AD5,IF(AC5="",FALSE,TRUE))</formula>
    </cfRule>
  </conditionalFormatting>
  <conditionalFormatting sqref="AE5:AE16">
    <cfRule type="expression" dxfId="0" priority="277">
      <formula>OR(IF(AE5&lt;AF5,TRUE),IF(AND(AF5="",AE5&lt;&gt;""),TRUE))</formula>
    </cfRule>
  </conditionalFormatting>
  <conditionalFormatting sqref="AE5:AE16">
    <cfRule type="expression" dxfId="1" priority="278">
      <formula>IF(AE5&gt;=AF5,IF(AE5="",FALSE,TRUE))</formula>
    </cfRule>
  </conditionalFormatting>
  <conditionalFormatting sqref="V5:V16 AC5:AC8 AE6:AE8 AJ6:AJ8 AQ6:AQ8 AS6:AS8">
    <cfRule type="expression" dxfId="0" priority="279">
      <formula>OR(IF(V5&lt;W5,TRUE),IF(AND(W5="",V5&lt;&gt;""),TRUE))</formula>
    </cfRule>
  </conditionalFormatting>
  <conditionalFormatting sqref="V5:V16 AC5:AC8 AE6:AE8 AJ6:AJ8 AQ6:AQ8 AS6:AS8">
    <cfRule type="expression" dxfId="1" priority="280">
      <formula>IF(V5&gt;=W5,IF(V5="",FALSE,TRUE))</formula>
    </cfRule>
  </conditionalFormatting>
  <conditionalFormatting sqref="X5:X16">
    <cfRule type="expression" dxfId="0" priority="281">
      <formula>OR(IF(X5&lt;Y5,TRUE),IF(AND(Y5="",X5&lt;&gt;""),TRUE))</formula>
    </cfRule>
  </conditionalFormatting>
  <conditionalFormatting sqref="X5:X16">
    <cfRule type="expression" dxfId="1" priority="282">
      <formula>IF(X5&gt;=Y5,IF(X5="",FALSE,TRUE))</formula>
    </cfRule>
  </conditionalFormatting>
  <conditionalFormatting sqref="O5:O16">
    <cfRule type="expression" dxfId="0" priority="283">
      <formula>OR(IF(O5&lt;P5,TRUE),IF(AND(P5="",O5&lt;&gt;""),TRUE))</formula>
    </cfRule>
  </conditionalFormatting>
  <conditionalFormatting sqref="O5:O16">
    <cfRule type="expression" dxfId="1" priority="284">
      <formula>IF(O5&gt;=P5,IF(O5="",FALSE,TRUE))</formula>
    </cfRule>
  </conditionalFormatting>
  <conditionalFormatting sqref="Q5:Q16">
    <cfRule type="expression" dxfId="0" priority="285">
      <formula>OR(IF(Q5&lt;R5,TRUE),IF(AND(R5="",Q5&lt;&gt;""),TRUE))</formula>
    </cfRule>
  </conditionalFormatting>
  <conditionalFormatting sqref="Q5:Q16">
    <cfRule type="expression" dxfId="1" priority="286">
      <formula>IF(Q5&gt;=R5,IF(Q5="",FALSE,TRUE))</formula>
    </cfRule>
  </conditionalFormatting>
  <conditionalFormatting sqref="J29:K37">
    <cfRule type="colorScale" priority="287">
      <colorScale>
        <cfvo type="percent" val="0"/>
        <cfvo type="percent" val="100"/>
        <color rgb="FFFF231B"/>
        <color rgb="FF10FF07"/>
      </colorScale>
    </cfRule>
  </conditionalFormatting>
  <conditionalFormatting sqref="J28:J37">
    <cfRule type="colorScale" priority="288">
      <colorScale>
        <cfvo type="percent" val="0"/>
        <cfvo type="percent" val="100"/>
        <color rgb="FFFF231B"/>
        <color rgb="FF10FF07"/>
      </colorScale>
    </cfRule>
  </conditionalFormatting>
  <conditionalFormatting sqref="K28:K37">
    <cfRule type="colorScale" priority="289">
      <colorScale>
        <cfvo type="percent" val="0"/>
        <cfvo type="percent" val="100"/>
        <color rgb="FFFF231B"/>
        <color rgb="FF10FF07"/>
      </colorScale>
    </cfRule>
  </conditionalFormatting>
  <conditionalFormatting sqref="CN5:CN16">
    <cfRule type="expression" dxfId="0" priority="290">
      <formula>OR(IF(CN5&lt;CO5,TRUE),IF(AND(CO5="",CN5&lt;&gt;""),TRUE))</formula>
    </cfRule>
  </conditionalFormatting>
  <conditionalFormatting sqref="CN5:CN16">
    <cfRule type="expression" dxfId="1" priority="291">
      <formula>IF(CN5&gt;=CO5,IF(CN5="",FALSE,TRUE))</formula>
    </cfRule>
  </conditionalFormatting>
  <conditionalFormatting sqref="CP5:CP16">
    <cfRule type="expression" dxfId="0" priority="292">
      <formula>OR(IF(CP5&lt;CQ5,TRUE),IF(AND(CQ5="",CP5&lt;&gt;""),TRUE))</formula>
    </cfRule>
  </conditionalFormatting>
  <conditionalFormatting sqref="CP5:CP16">
    <cfRule type="expression" dxfId="1" priority="293">
      <formula>IF(CP5&gt;=CQ5,IF(CP5="",FALSE,TRUE))</formula>
    </cfRule>
  </conditionalFormatting>
  <conditionalFormatting sqref="CN28:CN29">
    <cfRule type="expression" dxfId="0" priority="294">
      <formula>OR(IF(CN28&lt;CO28,TRUE),IF(AND(CO28="",CN28&lt;&gt;""),TRUE))</formula>
    </cfRule>
  </conditionalFormatting>
  <conditionalFormatting sqref="CN28:CN29">
    <cfRule type="expression" dxfId="1" priority="295">
      <formula>IF(CN28&gt;=CO28,IF(CN28="",FALSE,TRUE))</formula>
    </cfRule>
  </conditionalFormatting>
  <conditionalFormatting sqref="CP28:CP29">
    <cfRule type="expression" dxfId="0" priority="296">
      <formula>OR(IF(CP28&lt;CQ28,TRUE),IF(AND(CQ28="",CP28&lt;&gt;""),TRUE))</formula>
    </cfRule>
  </conditionalFormatting>
  <conditionalFormatting sqref="CP28:CP29">
    <cfRule type="expression" dxfId="1" priority="297">
      <formula>IF(CP28&gt;=CQ28,IF(CP28="",FALSE,TRUE))</formula>
    </cfRule>
  </conditionalFormatting>
  <conditionalFormatting sqref="CU28:CU29">
    <cfRule type="expression" dxfId="0" priority="298">
      <formula>OR(IF(CU28&lt;CV28,TRUE),IF(AND(CV28="",CU28&lt;&gt;""),TRUE))</formula>
    </cfRule>
  </conditionalFormatting>
  <conditionalFormatting sqref="CU28:CU29">
    <cfRule type="expression" dxfId="1" priority="299">
      <formula>IF(CU28&gt;=CV28,IF(CU28="",FALSE,TRUE))</formula>
    </cfRule>
  </conditionalFormatting>
  <conditionalFormatting sqref="CW28:CW29">
    <cfRule type="expression" dxfId="0" priority="300">
      <formula>OR(IF(CW28&lt;CX28,TRUE),IF(AND(CX28="",CW28&lt;&gt;""),TRUE))</formula>
    </cfRule>
  </conditionalFormatting>
  <conditionalFormatting sqref="CW28:CW29">
    <cfRule type="expression" dxfId="1" priority="301">
      <formula>IF(CW28&gt;=CX28,IF(CW28="",FALSE,TRUE))</formula>
    </cfRule>
  </conditionalFormatting>
  <dataValidations>
    <dataValidation type="list" allowBlank="1" showErrorMessage="1" sqref="O5:R16 V5:Y16 AC5:AF16 AJ5:AM16 AQ5:AT16 AX5:BA16 BE5:BH16 BL5:BO16 BS5:BV16 BZ5:CC16 CG5:CJ16 CN5:CQ16 CU5:CX16 DB5:DE16 DI5:DL16 DP5:DS16 O19:R25 V19:Y25 AC19:AF25 AJ19:AM25 AQ19:AT25 AX19:BA25 BE19:BH25 BL19:BO25 BS19:BV25 BZ19:CC25 CG19:CJ25 CN19:CQ25 CU19:CX25 DB19:DE25 DI19:DL25 DP19:DS25 O28:R37 V28:Y37 AC28:AF37 AJ28:AM37 AQ28:AT37 AX28:BA37 BE28:BH37 BL28:BO37 BS28:BV37 BZ28:CC37 CG28:CJ37 CN28:CQ37 CU28:CX37 DB28:DE37 DI28:DL37 DP28:DS37 O40:R50 V40:Y50 AC40:AF50 AJ40:AM50 AQ40:AT50 AX40:BA50 BE40:BH50 BL40:BO50 BS40:BV50 BZ40:CC50 CG40:CJ50 CN40:CQ50 CU40:CX50 DB40:DE50 DI40:DL50 DP40:DS50 O53:R63 V53:Y63 AC53:AF63 AJ53:AM63 AQ53:AT63 AX53:BA63 BE53:BH63 BL53:BO63 BS53:BV63 BZ53:CC63 CG53:CJ63 CN53:CQ63 CU53:CX63 DB53:DE63 DI53:DL63 DP53:DS63 O66:R80 V66:Y80 AC66:AF80 AJ66:AM80 AQ66:AT80 AX66:BA80 BE66:BH80 BL66:BO80 BS66:BV80 BZ66:CC80 CG66:CJ80 CN66:CQ80 CU66:CX80 DB66:DE80 DI66:DL80 DP66:DS80">
      <formula1>"10%,20%,30%,40%,50%,60%,70%,80%,90%,100%"</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3.11"/>
    <col customWidth="1" min="2" max="2" width="14.89"/>
    <col customWidth="1" min="3" max="3" width="14.11"/>
    <col customWidth="1" min="4" max="4" width="15.11"/>
    <col customWidth="1" min="5" max="7" width="8.22"/>
    <col customWidth="1" min="8" max="8" width="11.78"/>
    <col customWidth="1" min="9" max="9" width="8.22"/>
    <col customWidth="1" min="10" max="10" width="32.67"/>
    <col customWidth="1" min="11" max="11" width="22.11"/>
    <col customWidth="1" min="12" max="26" width="8.22"/>
  </cols>
  <sheetData>
    <row r="1" ht="15.75" customHeight="1">
      <c r="A1" s="30" t="s">
        <v>124</v>
      </c>
      <c r="B1" s="31" t="s">
        <v>125</v>
      </c>
      <c r="C1" s="31" t="s">
        <v>126</v>
      </c>
      <c r="D1" s="31" t="s">
        <v>127</v>
      </c>
      <c r="E1" s="32" t="s">
        <v>128</v>
      </c>
      <c r="F1" s="32" t="s">
        <v>129</v>
      </c>
      <c r="G1" s="32" t="s">
        <v>130</v>
      </c>
      <c r="H1" s="32" t="s">
        <v>131</v>
      </c>
      <c r="I1" s="32" t="s">
        <v>132</v>
      </c>
      <c r="J1" s="32" t="s">
        <v>133</v>
      </c>
      <c r="K1" s="32" t="s">
        <v>134</v>
      </c>
    </row>
    <row r="2" ht="15.75" customHeight="1">
      <c r="A2" s="33">
        <v>44118.0</v>
      </c>
      <c r="B2" s="30"/>
      <c r="C2" s="30"/>
      <c r="D2" s="34">
        <v>1.0</v>
      </c>
      <c r="E2" s="35"/>
      <c r="F2" s="35"/>
      <c r="G2" s="35"/>
      <c r="H2" s="35"/>
      <c r="I2" s="35"/>
      <c r="J2" s="35"/>
      <c r="K2" s="35"/>
    </row>
    <row r="3" ht="15.75" customHeight="1">
      <c r="A3" s="33">
        <v>44119.0</v>
      </c>
      <c r="B3" s="30"/>
      <c r="C3" s="30"/>
      <c r="D3" s="30"/>
      <c r="E3" s="35"/>
      <c r="F3" s="35"/>
      <c r="G3" s="35"/>
      <c r="H3" s="35"/>
      <c r="I3" s="35"/>
      <c r="J3" s="35"/>
      <c r="K3" s="35"/>
    </row>
    <row r="4" ht="15.75" customHeight="1">
      <c r="A4" s="33">
        <v>44120.0</v>
      </c>
      <c r="B4" s="30"/>
      <c r="C4" s="30"/>
      <c r="D4" s="30"/>
      <c r="E4" s="35"/>
      <c r="F4" s="35"/>
      <c r="G4" s="35"/>
      <c r="H4" s="35"/>
      <c r="I4" s="35"/>
      <c r="J4" s="35"/>
      <c r="K4" s="35"/>
    </row>
    <row r="5" ht="15.75" customHeight="1">
      <c r="A5" s="33">
        <v>44121.0</v>
      </c>
      <c r="B5" s="30"/>
      <c r="C5" s="30"/>
      <c r="D5" s="30"/>
      <c r="E5" s="35"/>
      <c r="F5" s="35"/>
      <c r="G5" s="35"/>
      <c r="H5" s="35"/>
      <c r="I5" s="35"/>
      <c r="J5" s="35"/>
      <c r="K5" s="35"/>
    </row>
    <row r="6" ht="15.75" customHeight="1">
      <c r="A6" s="33">
        <v>44122.0</v>
      </c>
      <c r="B6" s="30"/>
      <c r="C6" s="30"/>
      <c r="D6" s="30"/>
      <c r="E6" s="35"/>
      <c r="F6" s="35"/>
      <c r="G6" s="35"/>
      <c r="H6" s="35"/>
      <c r="I6" s="35"/>
      <c r="J6" s="35"/>
      <c r="K6" s="35"/>
    </row>
    <row r="7" ht="15.75" customHeight="1">
      <c r="A7" s="33">
        <v>44123.0</v>
      </c>
      <c r="B7" s="30"/>
      <c r="C7" s="30"/>
      <c r="D7" s="30"/>
      <c r="E7" s="35"/>
      <c r="F7" s="35"/>
      <c r="G7" s="35"/>
      <c r="H7" s="35"/>
      <c r="I7" s="35"/>
      <c r="J7" s="35"/>
      <c r="K7" s="35"/>
    </row>
    <row r="8" ht="15.75" customHeight="1">
      <c r="A8" s="33">
        <v>44124.0</v>
      </c>
      <c r="B8" s="30"/>
      <c r="C8" s="30"/>
      <c r="D8" s="30"/>
      <c r="E8" s="35"/>
      <c r="F8" s="35"/>
      <c r="G8" s="35"/>
      <c r="H8" s="35"/>
      <c r="I8" s="35"/>
      <c r="J8" s="35"/>
      <c r="K8" s="35"/>
    </row>
    <row r="9" ht="15.75" customHeight="1">
      <c r="A9" s="33">
        <v>44125.0</v>
      </c>
      <c r="B9" s="30"/>
      <c r="C9" s="30"/>
      <c r="D9" s="30"/>
      <c r="E9" s="35"/>
      <c r="F9" s="35"/>
      <c r="G9" s="35"/>
      <c r="H9" s="35"/>
      <c r="I9" s="35"/>
      <c r="J9" s="35"/>
      <c r="K9" s="35"/>
    </row>
    <row r="10" ht="15.75" customHeight="1">
      <c r="A10" s="33">
        <v>44126.0</v>
      </c>
      <c r="B10" s="30"/>
      <c r="C10" s="30"/>
      <c r="D10" s="30"/>
      <c r="E10" s="35"/>
      <c r="F10" s="35"/>
      <c r="G10" s="35"/>
      <c r="H10" s="35"/>
      <c r="I10" s="35"/>
      <c r="J10" s="35"/>
      <c r="K10" s="35"/>
    </row>
    <row r="11" ht="15.75" customHeight="1">
      <c r="A11" s="33">
        <v>44127.0</v>
      </c>
      <c r="B11" s="30"/>
      <c r="C11" s="30"/>
      <c r="D11" s="30"/>
      <c r="E11" s="35"/>
      <c r="F11" s="35"/>
      <c r="G11" s="35"/>
      <c r="H11" s="35"/>
      <c r="I11" s="35"/>
      <c r="J11" s="35"/>
      <c r="K11" s="35"/>
    </row>
    <row r="12" ht="15.75" customHeight="1">
      <c r="A12" s="33">
        <v>44128.0</v>
      </c>
      <c r="B12" s="30"/>
      <c r="C12" s="30"/>
      <c r="D12" s="30"/>
      <c r="E12" s="35"/>
      <c r="F12" s="35"/>
      <c r="G12" s="35"/>
      <c r="H12" s="35"/>
      <c r="I12" s="35"/>
      <c r="J12" s="35"/>
      <c r="K12" s="35"/>
    </row>
    <row r="13" ht="15.75" customHeight="1">
      <c r="A13" s="33">
        <v>44129.0</v>
      </c>
      <c r="B13" s="30"/>
      <c r="C13" s="30"/>
      <c r="D13" s="30"/>
      <c r="E13" s="35"/>
      <c r="F13" s="35"/>
      <c r="G13" s="35"/>
      <c r="H13" s="35"/>
      <c r="I13" s="35"/>
      <c r="J13" s="35"/>
      <c r="K13" s="35"/>
    </row>
    <row r="14" ht="15.75" customHeight="1">
      <c r="A14" s="33">
        <v>44130.0</v>
      </c>
      <c r="B14" s="30"/>
      <c r="C14" s="30"/>
      <c r="D14" s="30"/>
      <c r="E14" s="35"/>
      <c r="F14" s="35"/>
      <c r="G14" s="35"/>
      <c r="H14" s="35"/>
      <c r="I14" s="35"/>
      <c r="J14" s="35"/>
      <c r="K14" s="35"/>
    </row>
    <row r="15" ht="15.75" customHeight="1">
      <c r="A15" s="33">
        <v>44131.0</v>
      </c>
      <c r="B15" s="30"/>
      <c r="C15" s="30"/>
      <c r="D15" s="30"/>
      <c r="E15" s="35"/>
      <c r="F15" s="35"/>
      <c r="G15" s="35"/>
      <c r="H15" s="35"/>
      <c r="I15" s="35"/>
      <c r="J15" s="35"/>
      <c r="K15" s="35"/>
    </row>
    <row r="16" ht="15.75" customHeight="1">
      <c r="A16" s="33">
        <v>44132.0</v>
      </c>
      <c r="B16" s="30"/>
      <c r="C16" s="30"/>
      <c r="D16" s="30"/>
      <c r="E16" s="35"/>
      <c r="F16" s="35"/>
      <c r="G16" s="35"/>
      <c r="H16" s="35"/>
      <c r="I16" s="35"/>
      <c r="J16" s="35"/>
      <c r="K16" s="35"/>
    </row>
    <row r="17" ht="15.75" customHeight="1">
      <c r="A17" s="33">
        <v>44133.0</v>
      </c>
      <c r="B17" s="30"/>
      <c r="C17" s="30"/>
      <c r="D17" s="30"/>
      <c r="E17" s="35"/>
      <c r="F17" s="35"/>
      <c r="G17" s="35"/>
      <c r="H17" s="35"/>
      <c r="I17" s="35"/>
      <c r="J17" s="35"/>
      <c r="K17" s="35"/>
    </row>
    <row r="18" ht="15.75" customHeight="1">
      <c r="A18" s="33">
        <v>44134.0</v>
      </c>
      <c r="B18" s="30"/>
      <c r="C18" s="30"/>
      <c r="D18" s="30"/>
      <c r="E18" s="35"/>
      <c r="F18" s="35"/>
      <c r="G18" s="35"/>
      <c r="H18" s="35"/>
      <c r="I18" s="35"/>
      <c r="J18" s="35"/>
      <c r="K18" s="35"/>
    </row>
    <row r="19" ht="15.75" customHeight="1">
      <c r="A19" s="33">
        <v>44135.0</v>
      </c>
      <c r="B19" s="30"/>
      <c r="C19" s="30"/>
      <c r="D19" s="30"/>
      <c r="E19" s="35"/>
      <c r="F19" s="35"/>
      <c r="G19" s="35"/>
      <c r="H19" s="35"/>
      <c r="I19" s="35"/>
      <c r="J19" s="35"/>
      <c r="K19" s="35"/>
    </row>
    <row r="20" ht="15.75" customHeight="1">
      <c r="A20" s="33">
        <v>44136.0</v>
      </c>
      <c r="B20" s="30"/>
      <c r="C20" s="30"/>
      <c r="D20" s="30"/>
      <c r="E20" s="35"/>
      <c r="F20" s="35"/>
      <c r="G20" s="35"/>
      <c r="H20" s="35"/>
      <c r="I20" s="35"/>
      <c r="J20" s="35"/>
      <c r="K20" s="35"/>
    </row>
    <row r="21" ht="15.75" customHeight="1">
      <c r="A21" s="33">
        <v>44137.0</v>
      </c>
      <c r="B21" s="30"/>
      <c r="C21" s="30"/>
      <c r="D21" s="30"/>
      <c r="E21" s="35"/>
      <c r="F21" s="35"/>
      <c r="G21" s="35"/>
      <c r="H21" s="35"/>
      <c r="I21" s="35"/>
      <c r="J21" s="35"/>
      <c r="K21" s="35"/>
    </row>
    <row r="22" ht="15.75" customHeight="1">
      <c r="A22" s="33">
        <v>44138.0</v>
      </c>
      <c r="B22" s="30"/>
      <c r="C22" s="30"/>
      <c r="D22" s="30"/>
      <c r="E22" s="35"/>
      <c r="F22" s="35"/>
      <c r="G22" s="35"/>
      <c r="H22" s="35"/>
      <c r="I22" s="35"/>
      <c r="J22" s="35"/>
      <c r="K22" s="35"/>
    </row>
    <row r="23" ht="15.75" customHeight="1">
      <c r="A23" s="33">
        <v>44139.0</v>
      </c>
      <c r="B23" s="30"/>
      <c r="C23" s="30"/>
      <c r="D23" s="30"/>
      <c r="E23" s="35"/>
      <c r="F23" s="35"/>
      <c r="G23" s="35"/>
      <c r="H23" s="35"/>
      <c r="I23" s="35"/>
      <c r="J23" s="35"/>
      <c r="K23" s="35"/>
    </row>
    <row r="24" ht="15.75" customHeight="1">
      <c r="A24" s="33">
        <v>44140.0</v>
      </c>
      <c r="B24" s="30"/>
      <c r="C24" s="30"/>
      <c r="D24" s="30"/>
      <c r="E24" s="35"/>
      <c r="F24" s="35"/>
      <c r="G24" s="35"/>
      <c r="H24" s="35"/>
      <c r="I24" s="35"/>
      <c r="J24" s="35"/>
      <c r="K24" s="35"/>
    </row>
    <row r="25" ht="15.75" customHeight="1">
      <c r="A25" s="33">
        <v>44141.0</v>
      </c>
      <c r="B25" s="30"/>
      <c r="C25" s="30"/>
      <c r="D25" s="30"/>
      <c r="E25" s="35"/>
      <c r="F25" s="35"/>
      <c r="G25" s="35"/>
      <c r="H25" s="35"/>
      <c r="I25" s="35"/>
      <c r="J25" s="35"/>
      <c r="K25" s="35"/>
    </row>
    <row r="26" ht="15.75" customHeight="1">
      <c r="A26" s="33">
        <v>44142.0</v>
      </c>
      <c r="B26" s="30"/>
      <c r="C26" s="30"/>
      <c r="D26" s="30"/>
      <c r="E26" s="35"/>
      <c r="F26" s="35"/>
      <c r="G26" s="35"/>
      <c r="H26" s="35"/>
      <c r="I26" s="35"/>
      <c r="J26" s="35"/>
      <c r="K26" s="35"/>
    </row>
    <row r="27" ht="15.75" customHeight="1">
      <c r="A27" s="33">
        <v>44143.0</v>
      </c>
      <c r="B27" s="30"/>
      <c r="C27" s="30"/>
      <c r="D27" s="30"/>
      <c r="E27" s="35"/>
      <c r="F27" s="35"/>
      <c r="G27" s="35"/>
      <c r="H27" s="35"/>
      <c r="I27" s="35"/>
      <c r="J27" s="35"/>
      <c r="K27" s="35"/>
    </row>
    <row r="28" ht="15.75" customHeight="1">
      <c r="A28" s="33">
        <v>44144.0</v>
      </c>
      <c r="B28" s="30"/>
      <c r="C28" s="30"/>
      <c r="D28" s="30"/>
      <c r="E28" s="35"/>
      <c r="F28" s="35"/>
      <c r="G28" s="35"/>
      <c r="H28" s="35"/>
      <c r="I28" s="35"/>
      <c r="J28" s="35"/>
      <c r="K28" s="35"/>
    </row>
    <row r="29" ht="15.75" customHeight="1">
      <c r="A29" s="33">
        <v>44145.0</v>
      </c>
      <c r="B29" s="30"/>
      <c r="C29" s="30"/>
      <c r="D29" s="30"/>
      <c r="E29" s="35"/>
      <c r="F29" s="35"/>
      <c r="G29" s="35"/>
      <c r="H29" s="35"/>
      <c r="I29" s="35"/>
      <c r="J29" s="35"/>
      <c r="K29" s="35"/>
    </row>
    <row r="30" ht="15.75" customHeight="1">
      <c r="A30" s="33">
        <v>44146.0</v>
      </c>
      <c r="B30" s="30"/>
      <c r="C30" s="30"/>
      <c r="D30" s="30"/>
      <c r="E30" s="35"/>
      <c r="F30" s="35"/>
      <c r="G30" s="35"/>
      <c r="H30" s="35"/>
      <c r="I30" s="35"/>
      <c r="J30" s="35"/>
      <c r="K30" s="35"/>
    </row>
    <row r="31" ht="15.75" customHeight="1">
      <c r="A31" s="33">
        <v>44147.0</v>
      </c>
      <c r="B31" s="30"/>
      <c r="C31" s="30"/>
      <c r="D31" s="30"/>
      <c r="E31" s="35"/>
      <c r="F31" s="35"/>
      <c r="G31" s="35"/>
      <c r="H31" s="35"/>
      <c r="I31" s="35"/>
      <c r="J31" s="35"/>
      <c r="K31" s="35"/>
    </row>
    <row r="32" ht="15.75" customHeight="1">
      <c r="A32" s="33">
        <v>44148.0</v>
      </c>
      <c r="B32" s="30"/>
      <c r="C32" s="30"/>
      <c r="D32" s="30"/>
      <c r="E32" s="35"/>
      <c r="F32" s="35"/>
      <c r="G32" s="35"/>
      <c r="H32" s="35"/>
      <c r="I32" s="35"/>
      <c r="J32" s="35"/>
      <c r="K32" s="35"/>
    </row>
    <row r="33" ht="15.75" customHeight="1">
      <c r="A33" s="33">
        <v>44149.0</v>
      </c>
      <c r="B33" s="30"/>
      <c r="C33" s="30"/>
      <c r="D33" s="30"/>
      <c r="E33" s="35"/>
      <c r="F33" s="35"/>
      <c r="G33" s="35"/>
      <c r="H33" s="35"/>
      <c r="I33" s="35"/>
      <c r="J33" s="35"/>
      <c r="K33" s="35"/>
    </row>
    <row r="34" ht="15.75" customHeight="1">
      <c r="A34" s="33">
        <v>44150.0</v>
      </c>
      <c r="B34" s="30"/>
      <c r="C34" s="30"/>
      <c r="D34" s="30"/>
      <c r="E34" s="35"/>
      <c r="F34" s="35"/>
      <c r="G34" s="35"/>
      <c r="H34" s="35"/>
      <c r="I34" s="35"/>
      <c r="J34" s="35"/>
      <c r="K34" s="35"/>
    </row>
    <row r="35" ht="15.75" customHeight="1">
      <c r="A35" s="33">
        <v>44151.0</v>
      </c>
      <c r="B35" s="30"/>
      <c r="C35" s="30"/>
      <c r="D35" s="30"/>
      <c r="E35" s="35"/>
      <c r="F35" s="35"/>
      <c r="G35" s="35"/>
      <c r="H35" s="35"/>
      <c r="I35" s="35"/>
      <c r="J35" s="35"/>
      <c r="K35" s="35"/>
    </row>
    <row r="36" ht="15.75" customHeight="1">
      <c r="A36" s="33">
        <v>44152.0</v>
      </c>
      <c r="B36" s="30"/>
      <c r="C36" s="30"/>
      <c r="D36" s="30"/>
      <c r="E36" s="35"/>
      <c r="F36" s="35"/>
      <c r="G36" s="35"/>
      <c r="H36" s="35"/>
      <c r="I36" s="35"/>
      <c r="J36" s="35"/>
      <c r="K36" s="35"/>
    </row>
    <row r="37" ht="15.75" customHeight="1">
      <c r="A37" s="33">
        <v>44153.0</v>
      </c>
      <c r="B37" s="30"/>
      <c r="C37" s="30"/>
      <c r="D37" s="30"/>
      <c r="E37" s="35"/>
      <c r="F37" s="35"/>
      <c r="G37" s="35"/>
      <c r="H37" s="35"/>
      <c r="I37" s="35"/>
      <c r="J37" s="35"/>
      <c r="K37" s="35"/>
    </row>
    <row r="38" ht="15.75" customHeight="1">
      <c r="A38" s="33">
        <v>44154.0</v>
      </c>
      <c r="B38" s="30"/>
      <c r="C38" s="30"/>
      <c r="D38" s="30"/>
      <c r="E38" s="35"/>
      <c r="F38" s="35"/>
      <c r="G38" s="35"/>
      <c r="H38" s="35"/>
      <c r="I38" s="35"/>
      <c r="J38" s="35"/>
      <c r="K38" s="35"/>
    </row>
    <row r="39" ht="15.75" customHeight="1">
      <c r="A39" s="33">
        <v>44155.0</v>
      </c>
      <c r="B39" s="30"/>
      <c r="C39" s="30"/>
      <c r="D39" s="30"/>
      <c r="E39" s="35"/>
      <c r="F39" s="35"/>
      <c r="G39" s="35"/>
      <c r="H39" s="35"/>
      <c r="I39" s="35"/>
      <c r="J39" s="35"/>
      <c r="K39" s="35"/>
    </row>
    <row r="40" ht="15.75" customHeight="1">
      <c r="A40" s="33">
        <v>44156.0</v>
      </c>
      <c r="B40" s="30"/>
      <c r="C40" s="30"/>
      <c r="D40" s="30"/>
      <c r="E40" s="35"/>
      <c r="F40" s="35"/>
      <c r="G40" s="35"/>
      <c r="H40" s="35"/>
      <c r="I40" s="35"/>
      <c r="J40" s="35"/>
      <c r="K40" s="35"/>
    </row>
    <row r="41" ht="15.75" customHeight="1">
      <c r="A41" s="33">
        <v>44157.0</v>
      </c>
      <c r="B41" s="30"/>
      <c r="C41" s="30"/>
      <c r="D41" s="30"/>
      <c r="E41" s="35"/>
      <c r="F41" s="35"/>
      <c r="G41" s="35"/>
      <c r="H41" s="35"/>
      <c r="I41" s="35"/>
      <c r="J41" s="35"/>
      <c r="K41" s="35"/>
    </row>
    <row r="42" ht="15.75" customHeight="1">
      <c r="A42" s="33">
        <v>44158.0</v>
      </c>
      <c r="B42" s="30"/>
      <c r="C42" s="30"/>
      <c r="D42" s="30"/>
      <c r="E42" s="35"/>
      <c r="F42" s="35"/>
      <c r="G42" s="35"/>
      <c r="H42" s="35"/>
      <c r="I42" s="35"/>
      <c r="J42" s="35"/>
      <c r="K42" s="35"/>
    </row>
    <row r="43" ht="15.75" customHeight="1">
      <c r="A43" s="33">
        <v>44159.0</v>
      </c>
      <c r="B43" s="30"/>
      <c r="C43" s="30"/>
      <c r="D43" s="30"/>
      <c r="E43" s="35"/>
      <c r="F43" s="35"/>
      <c r="G43" s="35"/>
      <c r="H43" s="35"/>
      <c r="I43" s="35"/>
      <c r="J43" s="35"/>
      <c r="K43" s="35"/>
    </row>
    <row r="44" ht="15.75" customHeight="1">
      <c r="A44" s="33">
        <v>44160.0</v>
      </c>
      <c r="B44" s="30"/>
      <c r="C44" s="30"/>
      <c r="D44" s="30"/>
      <c r="E44" s="35"/>
      <c r="F44" s="35"/>
      <c r="G44" s="35"/>
      <c r="H44" s="35"/>
      <c r="I44" s="35"/>
      <c r="J44" s="35"/>
      <c r="K44" s="35"/>
    </row>
    <row r="45" ht="15.75" customHeight="1">
      <c r="A45" s="33">
        <v>44161.0</v>
      </c>
      <c r="B45" s="30"/>
      <c r="C45" s="30"/>
      <c r="D45" s="30"/>
      <c r="E45" s="35"/>
      <c r="F45" s="35"/>
      <c r="G45" s="35"/>
      <c r="H45" s="35"/>
      <c r="I45" s="35"/>
      <c r="J45" s="35"/>
      <c r="K45" s="35"/>
    </row>
    <row r="46" ht="15.75" customHeight="1">
      <c r="A46" s="33">
        <v>44162.0</v>
      </c>
      <c r="B46" s="30"/>
      <c r="C46" s="30"/>
      <c r="D46" s="30"/>
      <c r="E46" s="35"/>
      <c r="F46" s="35"/>
      <c r="G46" s="35"/>
      <c r="H46" s="35"/>
      <c r="I46" s="35"/>
      <c r="J46" s="35"/>
      <c r="K46" s="35"/>
    </row>
    <row r="47" ht="15.75" customHeight="1">
      <c r="A47" s="13"/>
      <c r="B47" s="13"/>
      <c r="C47" s="13"/>
      <c r="D47" s="13"/>
    </row>
    <row r="48" ht="15.75" customHeight="1">
      <c r="A48" s="13"/>
      <c r="B48" s="13"/>
      <c r="C48" s="13"/>
      <c r="D48" s="13"/>
    </row>
    <row r="49" ht="15.75" customHeight="1">
      <c r="A49" s="13"/>
      <c r="B49" s="13"/>
      <c r="C49" s="13"/>
      <c r="D49" s="13"/>
    </row>
    <row r="50" ht="15.75" customHeight="1">
      <c r="A50" s="13"/>
      <c r="B50" s="13"/>
      <c r="C50" s="13"/>
      <c r="D50" s="13"/>
    </row>
    <row r="51" ht="15.75" customHeight="1">
      <c r="A51" s="13"/>
      <c r="B51" s="13"/>
      <c r="C51" s="13"/>
      <c r="D51" s="13"/>
    </row>
    <row r="52" ht="15.75" customHeight="1">
      <c r="A52" s="13"/>
      <c r="B52" s="13"/>
      <c r="C52" s="13"/>
      <c r="D52" s="13"/>
    </row>
    <row r="53" ht="15.75" customHeight="1">
      <c r="A53" s="13"/>
      <c r="B53" s="13"/>
      <c r="C53" s="13"/>
      <c r="D53" s="13"/>
    </row>
    <row r="54" ht="15.75" customHeight="1">
      <c r="A54" s="13"/>
      <c r="B54" s="13"/>
      <c r="C54" s="13"/>
      <c r="D54" s="13"/>
    </row>
    <row r="55" ht="15.75" customHeight="1">
      <c r="A55" s="13"/>
      <c r="B55" s="13"/>
      <c r="C55" s="13"/>
      <c r="D55" s="13"/>
    </row>
    <row r="56" ht="15.75" customHeight="1">
      <c r="A56" s="13"/>
      <c r="B56" s="13"/>
      <c r="C56" s="13"/>
      <c r="D56" s="13"/>
    </row>
    <row r="57" ht="15.75" customHeight="1">
      <c r="A57" s="13"/>
      <c r="B57" s="13"/>
      <c r="C57" s="13"/>
      <c r="D57" s="13"/>
    </row>
    <row r="58" ht="15.75" customHeight="1">
      <c r="A58" s="13"/>
      <c r="B58" s="13"/>
      <c r="C58" s="13"/>
      <c r="D58" s="13"/>
    </row>
    <row r="59" ht="15.75" customHeight="1">
      <c r="A59" s="13"/>
      <c r="B59" s="13"/>
      <c r="C59" s="13"/>
      <c r="D59" s="13"/>
    </row>
    <row r="60" ht="15.75" customHeight="1">
      <c r="A60" s="13"/>
      <c r="B60" s="13"/>
      <c r="C60" s="13"/>
      <c r="D60" s="13"/>
    </row>
    <row r="61" ht="15.75" customHeight="1">
      <c r="A61" s="13"/>
      <c r="B61" s="13"/>
      <c r="C61" s="13"/>
      <c r="D61" s="13"/>
    </row>
    <row r="62" ht="15.75" customHeight="1">
      <c r="A62" s="13"/>
      <c r="B62" s="13"/>
      <c r="C62" s="13"/>
      <c r="D62" s="13"/>
    </row>
    <row r="63" ht="15.75" customHeight="1">
      <c r="A63" s="13"/>
      <c r="B63" s="13"/>
      <c r="C63" s="13"/>
      <c r="D63" s="13"/>
    </row>
    <row r="64" ht="15.75" customHeight="1">
      <c r="A64" s="13"/>
      <c r="B64" s="13"/>
      <c r="C64" s="13"/>
      <c r="D64" s="13"/>
    </row>
    <row r="65" ht="15.75" customHeight="1">
      <c r="A65" s="13"/>
      <c r="B65" s="13"/>
      <c r="C65" s="13"/>
      <c r="D65" s="13"/>
    </row>
    <row r="66" ht="15.75" customHeight="1">
      <c r="A66" s="13"/>
      <c r="B66" s="13"/>
      <c r="C66" s="13"/>
      <c r="D66" s="13"/>
    </row>
    <row r="67" ht="15.75" customHeight="1">
      <c r="A67" s="13"/>
      <c r="B67" s="13"/>
      <c r="C67" s="13"/>
      <c r="D67" s="13"/>
    </row>
    <row r="68" ht="15.75" customHeight="1">
      <c r="A68" s="13"/>
      <c r="B68" s="13"/>
      <c r="C68" s="13"/>
      <c r="D68" s="13"/>
    </row>
    <row r="69" ht="15.75" customHeight="1">
      <c r="A69" s="13"/>
      <c r="B69" s="13"/>
      <c r="C69" s="13"/>
      <c r="D69" s="13"/>
    </row>
    <row r="70" ht="15.75" customHeight="1">
      <c r="A70" s="13"/>
      <c r="B70" s="13"/>
      <c r="C70" s="13"/>
      <c r="D70" s="13"/>
    </row>
    <row r="71" ht="15.75" customHeight="1">
      <c r="A71" s="13"/>
      <c r="B71" s="13"/>
      <c r="C71" s="13"/>
      <c r="D71" s="13"/>
    </row>
    <row r="72" ht="15.75" customHeight="1">
      <c r="A72" s="13"/>
      <c r="B72" s="13"/>
      <c r="C72" s="13"/>
      <c r="D72" s="13"/>
    </row>
    <row r="73" ht="15.75" customHeight="1">
      <c r="A73" s="13"/>
      <c r="B73" s="13"/>
      <c r="C73" s="13"/>
      <c r="D73" s="13"/>
    </row>
    <row r="74" ht="15.75" customHeight="1">
      <c r="A74" s="13"/>
      <c r="B74" s="13"/>
      <c r="C74" s="13"/>
      <c r="D74" s="13"/>
    </row>
    <row r="75" ht="15.75" customHeight="1">
      <c r="A75" s="13"/>
      <c r="B75" s="13"/>
      <c r="C75" s="13"/>
      <c r="D75" s="13"/>
    </row>
    <row r="76" ht="15.75" customHeight="1">
      <c r="A76" s="13"/>
      <c r="B76" s="13"/>
      <c r="C76" s="13"/>
      <c r="D76" s="13"/>
    </row>
    <row r="77" ht="15.75" customHeight="1">
      <c r="A77" s="13"/>
      <c r="B77" s="13"/>
      <c r="C77" s="13"/>
      <c r="D77" s="13"/>
    </row>
    <row r="78" ht="15.75" customHeight="1">
      <c r="A78" s="13"/>
      <c r="B78" s="13"/>
      <c r="C78" s="13"/>
      <c r="D78" s="13"/>
    </row>
    <row r="79" ht="15.75" customHeight="1">
      <c r="A79" s="13"/>
      <c r="B79" s="13"/>
      <c r="C79" s="13"/>
      <c r="D79" s="13"/>
    </row>
    <row r="80" ht="15.75" customHeight="1">
      <c r="A80" s="13"/>
      <c r="B80" s="13"/>
      <c r="C80" s="13"/>
      <c r="D80" s="13"/>
    </row>
    <row r="81" ht="15.75" customHeight="1">
      <c r="A81" s="13"/>
      <c r="B81" s="13"/>
      <c r="C81" s="13"/>
      <c r="D81" s="13"/>
    </row>
    <row r="82" ht="15.75" customHeight="1">
      <c r="A82" s="13"/>
      <c r="B82" s="13"/>
      <c r="C82" s="13"/>
      <c r="D82" s="13"/>
    </row>
    <row r="83" ht="15.75" customHeight="1">
      <c r="A83" s="13"/>
      <c r="B83" s="13"/>
      <c r="C83" s="13"/>
      <c r="D83" s="13"/>
    </row>
    <row r="84" ht="15.75" customHeight="1">
      <c r="A84" s="13"/>
      <c r="B84" s="13"/>
      <c r="C84" s="13"/>
      <c r="D84" s="13"/>
    </row>
    <row r="85" ht="15.75" customHeight="1">
      <c r="A85" s="13"/>
      <c r="B85" s="13"/>
      <c r="C85" s="13"/>
      <c r="D85" s="13"/>
    </row>
    <row r="86" ht="15.75" customHeight="1">
      <c r="A86" s="13"/>
      <c r="B86" s="13"/>
      <c r="C86" s="13"/>
      <c r="D86" s="13"/>
    </row>
    <row r="87" ht="15.75" customHeight="1">
      <c r="A87" s="13"/>
      <c r="B87" s="13"/>
      <c r="C87" s="13"/>
      <c r="D87" s="13"/>
    </row>
    <row r="88" ht="15.75" customHeight="1">
      <c r="A88" s="13"/>
      <c r="B88" s="13"/>
      <c r="C88" s="13"/>
      <c r="D88" s="13"/>
    </row>
    <row r="89" ht="15.75" customHeight="1">
      <c r="A89" s="13"/>
      <c r="B89" s="13"/>
      <c r="C89" s="13"/>
      <c r="D89" s="13"/>
    </row>
    <row r="90" ht="15.75" customHeight="1">
      <c r="A90" s="13"/>
      <c r="B90" s="13"/>
      <c r="C90" s="13"/>
      <c r="D90" s="13"/>
    </row>
    <row r="91" ht="15.75" customHeight="1">
      <c r="A91" s="13"/>
      <c r="B91" s="13"/>
      <c r="C91" s="13"/>
      <c r="D91" s="13"/>
    </row>
    <row r="92" ht="15.75" customHeight="1">
      <c r="A92" s="13"/>
      <c r="B92" s="13"/>
      <c r="C92" s="13"/>
      <c r="D92" s="13"/>
    </row>
    <row r="93" ht="15.75" customHeight="1">
      <c r="A93" s="13"/>
      <c r="B93" s="13"/>
      <c r="C93" s="13"/>
      <c r="D93" s="13"/>
    </row>
    <row r="94" ht="15.75" customHeight="1">
      <c r="A94" s="13"/>
      <c r="B94" s="13"/>
      <c r="C94" s="13"/>
      <c r="D94" s="13"/>
    </row>
    <row r="95" ht="15.75" customHeight="1">
      <c r="A95" s="13"/>
      <c r="B95" s="13"/>
      <c r="C95" s="13"/>
      <c r="D95" s="13"/>
    </row>
    <row r="96" ht="15.75" customHeight="1">
      <c r="A96" s="13"/>
      <c r="B96" s="13"/>
      <c r="C96" s="13"/>
      <c r="D96" s="13"/>
    </row>
    <row r="97" ht="15.75" customHeight="1">
      <c r="A97" s="13"/>
      <c r="B97" s="13"/>
      <c r="C97" s="13"/>
      <c r="D97" s="13"/>
    </row>
    <row r="98" ht="15.75" customHeight="1">
      <c r="A98" s="13"/>
      <c r="B98" s="13"/>
      <c r="C98" s="13"/>
      <c r="D98" s="13"/>
    </row>
    <row r="99" ht="15.75" customHeight="1">
      <c r="A99" s="13"/>
      <c r="B99" s="13"/>
      <c r="C99" s="13"/>
      <c r="D99" s="13"/>
    </row>
    <row r="100" ht="15.75" customHeight="1">
      <c r="A100" s="13"/>
      <c r="B100" s="13"/>
      <c r="C100" s="13"/>
      <c r="D100" s="13"/>
    </row>
    <row r="101" ht="15.75" customHeight="1">
      <c r="A101" s="13"/>
      <c r="B101" s="13"/>
      <c r="C101" s="13"/>
      <c r="D101" s="13"/>
    </row>
    <row r="102" ht="15.75" customHeight="1">
      <c r="A102" s="13"/>
      <c r="B102" s="13"/>
      <c r="C102" s="13"/>
      <c r="D102" s="13"/>
    </row>
    <row r="103" ht="15.75" customHeight="1">
      <c r="A103" s="13"/>
      <c r="B103" s="13"/>
      <c r="C103" s="13"/>
      <c r="D103" s="13"/>
    </row>
    <row r="104" ht="15.75" customHeight="1">
      <c r="A104" s="13"/>
      <c r="B104" s="13"/>
      <c r="C104" s="13"/>
      <c r="D104" s="13"/>
    </row>
    <row r="105" ht="15.75" customHeight="1">
      <c r="A105" s="13"/>
      <c r="B105" s="13"/>
      <c r="C105" s="13"/>
      <c r="D105" s="13"/>
    </row>
    <row r="106" ht="15.75" customHeight="1">
      <c r="A106" s="13"/>
      <c r="B106" s="13"/>
      <c r="C106" s="13"/>
      <c r="D106" s="13"/>
    </row>
    <row r="107" ht="15.75" customHeight="1">
      <c r="A107" s="13"/>
      <c r="B107" s="13"/>
      <c r="C107" s="13"/>
      <c r="D107" s="13"/>
    </row>
    <row r="108" ht="15.75" customHeight="1">
      <c r="A108" s="13"/>
      <c r="B108" s="13"/>
      <c r="C108" s="13"/>
      <c r="D108" s="13"/>
    </row>
    <row r="109" ht="15.75" customHeight="1">
      <c r="A109" s="13"/>
      <c r="B109" s="13"/>
      <c r="C109" s="13"/>
      <c r="D109" s="13"/>
    </row>
    <row r="110" ht="15.75" customHeight="1">
      <c r="A110" s="13"/>
      <c r="B110" s="13"/>
      <c r="C110" s="13"/>
      <c r="D110" s="13"/>
    </row>
    <row r="111" ht="15.75" customHeight="1">
      <c r="A111" s="13"/>
      <c r="B111" s="13"/>
      <c r="C111" s="13"/>
      <c r="D111" s="13"/>
    </row>
    <row r="112" ht="15.75" customHeight="1">
      <c r="A112" s="13"/>
      <c r="B112" s="13"/>
      <c r="C112" s="13"/>
      <c r="D112" s="13"/>
    </row>
    <row r="113" ht="15.75" customHeight="1">
      <c r="A113" s="13"/>
      <c r="B113" s="13"/>
      <c r="C113" s="13"/>
      <c r="D113" s="13"/>
    </row>
    <row r="114" ht="15.75" customHeight="1">
      <c r="A114" s="13"/>
      <c r="B114" s="13"/>
      <c r="C114" s="13"/>
      <c r="D114" s="13"/>
    </row>
    <row r="115" ht="15.75" customHeight="1">
      <c r="A115" s="13"/>
      <c r="B115" s="13"/>
      <c r="C115" s="13"/>
      <c r="D115" s="13"/>
    </row>
    <row r="116" ht="15.75" customHeight="1">
      <c r="A116" s="13"/>
      <c r="B116" s="13"/>
      <c r="C116" s="13"/>
      <c r="D116" s="13"/>
    </row>
    <row r="117" ht="15.75" customHeight="1">
      <c r="A117" s="13"/>
      <c r="B117" s="13"/>
      <c r="C117" s="13"/>
      <c r="D117" s="13"/>
    </row>
    <row r="118" ht="15.75" customHeight="1">
      <c r="A118" s="13"/>
      <c r="B118" s="13"/>
      <c r="C118" s="13"/>
      <c r="D118" s="13"/>
    </row>
    <row r="119" ht="15.75" customHeight="1">
      <c r="A119" s="13"/>
      <c r="B119" s="13"/>
      <c r="C119" s="13"/>
      <c r="D119" s="13"/>
    </row>
    <row r="120" ht="15.75" customHeight="1">
      <c r="A120" s="13"/>
      <c r="B120" s="13"/>
      <c r="C120" s="13"/>
      <c r="D120" s="13"/>
    </row>
    <row r="121" ht="15.75" customHeight="1">
      <c r="A121" s="13"/>
      <c r="B121" s="13"/>
      <c r="C121" s="13"/>
      <c r="D121" s="13"/>
    </row>
    <row r="122" ht="15.75" customHeight="1">
      <c r="A122" s="13"/>
      <c r="B122" s="13"/>
      <c r="C122" s="13"/>
      <c r="D122" s="13"/>
    </row>
    <row r="123" ht="15.75" customHeight="1">
      <c r="A123" s="13"/>
      <c r="B123" s="13"/>
      <c r="C123" s="13"/>
      <c r="D123" s="13"/>
    </row>
    <row r="124" ht="15.75" customHeight="1">
      <c r="A124" s="13"/>
      <c r="B124" s="13"/>
      <c r="C124" s="13"/>
      <c r="D124" s="13"/>
    </row>
    <row r="125" ht="15.75" customHeight="1">
      <c r="A125" s="13"/>
      <c r="B125" s="13"/>
      <c r="C125" s="13"/>
      <c r="D125" s="13"/>
    </row>
    <row r="126" ht="15.75" customHeight="1">
      <c r="A126" s="13"/>
      <c r="B126" s="13"/>
      <c r="C126" s="13"/>
      <c r="D126" s="13"/>
    </row>
    <row r="127" ht="15.75" customHeight="1">
      <c r="A127" s="13"/>
      <c r="B127" s="13"/>
      <c r="C127" s="13"/>
      <c r="D127" s="13"/>
    </row>
    <row r="128" ht="15.75" customHeight="1">
      <c r="A128" s="13"/>
      <c r="B128" s="13"/>
      <c r="C128" s="13"/>
      <c r="D128" s="13"/>
    </row>
    <row r="129" ht="15.75" customHeight="1">
      <c r="A129" s="13"/>
      <c r="B129" s="13"/>
      <c r="C129" s="13"/>
      <c r="D129" s="13"/>
    </row>
    <row r="130" ht="15.75" customHeight="1">
      <c r="A130" s="13"/>
      <c r="B130" s="13"/>
      <c r="C130" s="13"/>
      <c r="D130" s="13"/>
    </row>
    <row r="131" ht="15.75" customHeight="1">
      <c r="A131" s="13"/>
      <c r="B131" s="13"/>
      <c r="C131" s="13"/>
      <c r="D131" s="13"/>
    </row>
    <row r="132" ht="15.75" customHeight="1">
      <c r="A132" s="13"/>
      <c r="B132" s="13"/>
      <c r="C132" s="13"/>
      <c r="D132" s="13"/>
    </row>
    <row r="133" ht="15.75" customHeight="1">
      <c r="A133" s="13"/>
      <c r="B133" s="13"/>
      <c r="C133" s="13"/>
      <c r="D133" s="13"/>
    </row>
    <row r="134" ht="15.75" customHeight="1">
      <c r="A134" s="13"/>
      <c r="B134" s="13"/>
      <c r="C134" s="13"/>
      <c r="D134" s="13"/>
    </row>
    <row r="135" ht="15.75" customHeight="1">
      <c r="A135" s="13"/>
      <c r="B135" s="13"/>
      <c r="C135" s="13"/>
      <c r="D135" s="13"/>
    </row>
    <row r="136" ht="15.75" customHeight="1">
      <c r="A136" s="13"/>
      <c r="B136" s="13"/>
      <c r="C136" s="13"/>
      <c r="D136" s="13"/>
    </row>
    <row r="137" ht="15.75" customHeight="1">
      <c r="A137" s="13"/>
      <c r="B137" s="13"/>
      <c r="C137" s="13"/>
      <c r="D137" s="13"/>
    </row>
    <row r="138" ht="15.75" customHeight="1">
      <c r="A138" s="13"/>
      <c r="B138" s="13"/>
      <c r="C138" s="13"/>
      <c r="D138" s="13"/>
    </row>
    <row r="139" ht="15.75" customHeight="1">
      <c r="A139" s="13"/>
      <c r="B139" s="13"/>
      <c r="C139" s="13"/>
      <c r="D139" s="13"/>
    </row>
    <row r="140" ht="15.75" customHeight="1">
      <c r="A140" s="13"/>
      <c r="B140" s="13"/>
      <c r="C140" s="13"/>
      <c r="D140" s="13"/>
    </row>
    <row r="141" ht="15.75" customHeight="1">
      <c r="A141" s="13"/>
      <c r="B141" s="13"/>
      <c r="C141" s="13"/>
      <c r="D141" s="13"/>
    </row>
    <row r="142" ht="15.75" customHeight="1">
      <c r="A142" s="13"/>
      <c r="B142" s="13"/>
      <c r="C142" s="13"/>
      <c r="D142" s="13"/>
    </row>
    <row r="143" ht="15.75" customHeight="1">
      <c r="A143" s="13"/>
      <c r="B143" s="13"/>
      <c r="C143" s="13"/>
      <c r="D143" s="13"/>
    </row>
    <row r="144" ht="15.75" customHeight="1">
      <c r="A144" s="13"/>
      <c r="B144" s="13"/>
      <c r="C144" s="13"/>
      <c r="D144" s="13"/>
    </row>
    <row r="145" ht="15.75" customHeight="1">
      <c r="A145" s="13"/>
      <c r="B145" s="13"/>
      <c r="C145" s="13"/>
      <c r="D145" s="13"/>
    </row>
    <row r="146" ht="15.75" customHeight="1">
      <c r="A146" s="13"/>
      <c r="B146" s="13"/>
      <c r="C146" s="13"/>
      <c r="D146" s="13"/>
    </row>
    <row r="147" ht="15.75" customHeight="1">
      <c r="A147" s="13"/>
      <c r="B147" s="13"/>
      <c r="C147" s="13"/>
      <c r="D147" s="13"/>
    </row>
    <row r="148" ht="15.75" customHeight="1">
      <c r="A148" s="13"/>
      <c r="B148" s="13"/>
      <c r="C148" s="13"/>
      <c r="D148" s="13"/>
    </row>
    <row r="149" ht="15.75" customHeight="1">
      <c r="A149" s="13"/>
      <c r="B149" s="13"/>
      <c r="C149" s="13"/>
      <c r="D149" s="13"/>
    </row>
    <row r="150" ht="15.75" customHeight="1">
      <c r="A150" s="13"/>
      <c r="B150" s="13"/>
      <c r="C150" s="13"/>
      <c r="D150" s="13"/>
    </row>
    <row r="151" ht="15.75" customHeight="1">
      <c r="A151" s="13"/>
      <c r="B151" s="13"/>
      <c r="C151" s="13"/>
      <c r="D151" s="13"/>
    </row>
    <row r="152" ht="15.75" customHeight="1">
      <c r="A152" s="13"/>
      <c r="B152" s="13"/>
      <c r="C152" s="13"/>
      <c r="D152" s="13"/>
    </row>
    <row r="153" ht="15.75" customHeight="1">
      <c r="A153" s="13"/>
      <c r="B153" s="13"/>
      <c r="C153" s="13"/>
      <c r="D153" s="13"/>
    </row>
    <row r="154" ht="15.75" customHeight="1">
      <c r="A154" s="13"/>
      <c r="B154" s="13"/>
      <c r="C154" s="13"/>
      <c r="D154" s="13"/>
    </row>
    <row r="155" ht="15.75" customHeight="1">
      <c r="A155" s="13"/>
      <c r="B155" s="13"/>
      <c r="C155" s="13"/>
      <c r="D155" s="13"/>
    </row>
    <row r="156" ht="15.75" customHeight="1">
      <c r="A156" s="13"/>
      <c r="B156" s="13"/>
      <c r="C156" s="13"/>
      <c r="D156" s="13"/>
    </row>
    <row r="157" ht="15.75" customHeight="1">
      <c r="A157" s="13"/>
      <c r="B157" s="13"/>
      <c r="C157" s="13"/>
      <c r="D157" s="13"/>
    </row>
    <row r="158" ht="15.75" customHeight="1">
      <c r="A158" s="13"/>
      <c r="B158" s="13"/>
      <c r="C158" s="13"/>
      <c r="D158" s="13"/>
    </row>
    <row r="159" ht="15.75" customHeight="1">
      <c r="A159" s="13"/>
      <c r="B159" s="13"/>
      <c r="C159" s="13"/>
      <c r="D159" s="13"/>
    </row>
    <row r="160" ht="15.75" customHeight="1">
      <c r="A160" s="13"/>
      <c r="B160" s="13"/>
      <c r="C160" s="13"/>
      <c r="D160" s="13"/>
    </row>
    <row r="161" ht="15.75" customHeight="1">
      <c r="A161" s="13"/>
      <c r="B161" s="13"/>
      <c r="C161" s="13"/>
      <c r="D161" s="13"/>
    </row>
    <row r="162" ht="15.75" customHeight="1">
      <c r="A162" s="13"/>
      <c r="B162" s="13"/>
      <c r="C162" s="13"/>
      <c r="D162" s="13"/>
    </row>
    <row r="163" ht="15.75" customHeight="1">
      <c r="A163" s="13"/>
      <c r="B163" s="13"/>
      <c r="C163" s="13"/>
      <c r="D163" s="13"/>
    </row>
    <row r="164" ht="15.75" customHeight="1">
      <c r="A164" s="13"/>
      <c r="B164" s="13"/>
      <c r="C164" s="13"/>
      <c r="D164" s="13"/>
    </row>
    <row r="165" ht="15.75" customHeight="1">
      <c r="A165" s="13"/>
      <c r="B165" s="13"/>
      <c r="C165" s="13"/>
      <c r="D165" s="13"/>
    </row>
    <row r="166" ht="15.75" customHeight="1">
      <c r="A166" s="13"/>
      <c r="B166" s="13"/>
      <c r="C166" s="13"/>
      <c r="D166" s="13"/>
    </row>
    <row r="167" ht="15.75" customHeight="1">
      <c r="A167" s="13"/>
      <c r="B167" s="13"/>
      <c r="C167" s="13"/>
      <c r="D167" s="13"/>
    </row>
    <row r="168" ht="15.75" customHeight="1">
      <c r="A168" s="13"/>
      <c r="B168" s="13"/>
      <c r="C168" s="13"/>
      <c r="D168" s="13"/>
    </row>
    <row r="169" ht="15.75" customHeight="1">
      <c r="A169" s="13"/>
      <c r="B169" s="13"/>
      <c r="C169" s="13"/>
      <c r="D169" s="13"/>
    </row>
    <row r="170" ht="15.75" customHeight="1">
      <c r="A170" s="13"/>
      <c r="B170" s="13"/>
      <c r="C170" s="13"/>
      <c r="D170" s="13"/>
    </row>
    <row r="171" ht="15.75" customHeight="1">
      <c r="A171" s="13"/>
      <c r="B171" s="13"/>
      <c r="C171" s="13"/>
      <c r="D171" s="13"/>
    </row>
    <row r="172" ht="15.75" customHeight="1">
      <c r="A172" s="13"/>
      <c r="B172" s="13"/>
      <c r="C172" s="13"/>
      <c r="D172" s="13"/>
    </row>
    <row r="173" ht="15.75" customHeight="1">
      <c r="A173" s="13"/>
      <c r="B173" s="13"/>
      <c r="C173" s="13"/>
      <c r="D173" s="13"/>
    </row>
    <row r="174" ht="15.75" customHeight="1">
      <c r="A174" s="13"/>
      <c r="B174" s="13"/>
      <c r="C174" s="13"/>
      <c r="D174" s="13"/>
    </row>
    <row r="175" ht="15.75" customHeight="1">
      <c r="A175" s="13"/>
      <c r="B175" s="13"/>
      <c r="C175" s="13"/>
      <c r="D175" s="13"/>
    </row>
    <row r="176" ht="15.75" customHeight="1">
      <c r="A176" s="13"/>
      <c r="B176" s="13"/>
      <c r="C176" s="13"/>
      <c r="D176" s="13"/>
    </row>
    <row r="177" ht="15.75" customHeight="1">
      <c r="A177" s="13"/>
      <c r="B177" s="13"/>
      <c r="C177" s="13"/>
      <c r="D177" s="13"/>
    </row>
    <row r="178" ht="15.75" customHeight="1">
      <c r="A178" s="13"/>
      <c r="B178" s="13"/>
      <c r="C178" s="13"/>
      <c r="D178" s="13"/>
    </row>
    <row r="179" ht="15.75" customHeight="1">
      <c r="A179" s="13"/>
      <c r="B179" s="13"/>
      <c r="C179" s="13"/>
      <c r="D179" s="13"/>
    </row>
    <row r="180" ht="15.75" customHeight="1">
      <c r="A180" s="13"/>
      <c r="B180" s="13"/>
      <c r="C180" s="13"/>
      <c r="D180" s="13"/>
    </row>
    <row r="181" ht="15.75" customHeight="1">
      <c r="A181" s="13"/>
      <c r="B181" s="13"/>
      <c r="C181" s="13"/>
      <c r="D181" s="13"/>
    </row>
    <row r="182" ht="15.75" customHeight="1">
      <c r="A182" s="13"/>
      <c r="B182" s="13"/>
      <c r="C182" s="13"/>
      <c r="D182" s="13"/>
    </row>
    <row r="183" ht="15.75" customHeight="1">
      <c r="A183" s="13"/>
      <c r="B183" s="13"/>
      <c r="C183" s="13"/>
      <c r="D183" s="13"/>
    </row>
    <row r="184" ht="15.75" customHeight="1">
      <c r="A184" s="13"/>
      <c r="B184" s="13"/>
      <c r="C184" s="13"/>
      <c r="D184" s="13"/>
    </row>
    <row r="185" ht="15.75" customHeight="1">
      <c r="A185" s="13"/>
      <c r="B185" s="13"/>
      <c r="C185" s="13"/>
      <c r="D185" s="13"/>
    </row>
    <row r="186" ht="15.75" customHeight="1">
      <c r="A186" s="13"/>
      <c r="B186" s="13"/>
      <c r="C186" s="13"/>
      <c r="D186" s="13"/>
    </row>
    <row r="187" ht="15.75" customHeight="1">
      <c r="A187" s="13"/>
      <c r="B187" s="13"/>
      <c r="C187" s="13"/>
      <c r="D187" s="13"/>
    </row>
    <row r="188" ht="15.75" customHeight="1">
      <c r="A188" s="13"/>
      <c r="B188" s="13"/>
      <c r="C188" s="13"/>
      <c r="D188" s="13"/>
    </row>
    <row r="189" ht="15.75" customHeight="1">
      <c r="A189" s="13"/>
      <c r="B189" s="13"/>
      <c r="C189" s="13"/>
      <c r="D189" s="13"/>
    </row>
    <row r="190" ht="15.75" customHeight="1">
      <c r="A190" s="13"/>
      <c r="B190" s="13"/>
      <c r="C190" s="13"/>
      <c r="D190" s="13"/>
    </row>
    <row r="191" ht="15.75" customHeight="1">
      <c r="A191" s="13"/>
      <c r="B191" s="13"/>
      <c r="C191" s="13"/>
      <c r="D191" s="13"/>
    </row>
    <row r="192" ht="15.75" customHeight="1">
      <c r="A192" s="13"/>
      <c r="B192" s="13"/>
      <c r="C192" s="13"/>
      <c r="D192" s="13"/>
    </row>
    <row r="193" ht="15.75" customHeight="1">
      <c r="A193" s="13"/>
      <c r="B193" s="13"/>
      <c r="C193" s="13"/>
      <c r="D193" s="13"/>
    </row>
    <row r="194" ht="15.75" customHeight="1">
      <c r="A194" s="13"/>
      <c r="B194" s="13"/>
      <c r="C194" s="13"/>
      <c r="D194" s="13"/>
    </row>
    <row r="195" ht="15.75" customHeight="1">
      <c r="A195" s="13"/>
      <c r="B195" s="13"/>
      <c r="C195" s="13"/>
      <c r="D195" s="13"/>
    </row>
    <row r="196" ht="15.75" customHeight="1">
      <c r="A196" s="13"/>
      <c r="B196" s="13"/>
      <c r="C196" s="13"/>
      <c r="D196" s="13"/>
    </row>
    <row r="197" ht="15.75" customHeight="1">
      <c r="A197" s="13"/>
      <c r="B197" s="13"/>
      <c r="C197" s="13"/>
      <c r="D197" s="13"/>
    </row>
    <row r="198" ht="15.75" customHeight="1">
      <c r="A198" s="13"/>
      <c r="B198" s="13"/>
      <c r="C198" s="13"/>
      <c r="D198" s="13"/>
    </row>
    <row r="199" ht="15.75" customHeight="1">
      <c r="A199" s="13"/>
      <c r="B199" s="13"/>
      <c r="C199" s="13"/>
      <c r="D199" s="13"/>
    </row>
    <row r="200" ht="15.75" customHeight="1">
      <c r="A200" s="13"/>
      <c r="B200" s="13"/>
      <c r="C200" s="13"/>
      <c r="D200" s="13"/>
    </row>
    <row r="201" ht="15.75" customHeight="1">
      <c r="A201" s="13"/>
      <c r="B201" s="13"/>
      <c r="C201" s="13"/>
      <c r="D201" s="13"/>
    </row>
    <row r="202" ht="15.75" customHeight="1">
      <c r="A202" s="13"/>
      <c r="B202" s="13"/>
      <c r="C202" s="13"/>
      <c r="D202" s="13"/>
    </row>
    <row r="203" ht="15.75" customHeight="1">
      <c r="A203" s="13"/>
      <c r="B203" s="13"/>
      <c r="C203" s="13"/>
      <c r="D203" s="13"/>
    </row>
    <row r="204" ht="15.75" customHeight="1">
      <c r="A204" s="13"/>
      <c r="B204" s="13"/>
      <c r="C204" s="13"/>
      <c r="D204" s="13"/>
    </row>
    <row r="205" ht="15.75" customHeight="1">
      <c r="A205" s="13"/>
      <c r="B205" s="13"/>
      <c r="C205" s="13"/>
      <c r="D205" s="13"/>
    </row>
    <row r="206" ht="15.75" customHeight="1">
      <c r="A206" s="13"/>
      <c r="B206" s="13"/>
      <c r="C206" s="13"/>
      <c r="D206" s="13"/>
    </row>
    <row r="207" ht="15.75" customHeight="1">
      <c r="A207" s="13"/>
      <c r="B207" s="13"/>
      <c r="C207" s="13"/>
      <c r="D207" s="13"/>
    </row>
    <row r="208" ht="15.75" customHeight="1">
      <c r="A208" s="13"/>
      <c r="B208" s="13"/>
      <c r="C208" s="13"/>
      <c r="D208" s="13"/>
    </row>
    <row r="209" ht="15.75" customHeight="1">
      <c r="A209" s="13"/>
      <c r="B209" s="13"/>
      <c r="C209" s="13"/>
      <c r="D209" s="13"/>
    </row>
    <row r="210" ht="15.75" customHeight="1">
      <c r="A210" s="13"/>
      <c r="B210" s="13"/>
      <c r="C210" s="13"/>
      <c r="D210" s="13"/>
    </row>
    <row r="211" ht="15.75" customHeight="1">
      <c r="A211" s="13"/>
      <c r="B211" s="13"/>
      <c r="C211" s="13"/>
      <c r="D211" s="13"/>
    </row>
    <row r="212" ht="15.75" customHeight="1">
      <c r="A212" s="13"/>
      <c r="B212" s="13"/>
      <c r="C212" s="13"/>
      <c r="D212" s="13"/>
    </row>
    <row r="213" ht="15.75" customHeight="1">
      <c r="A213" s="13"/>
      <c r="B213" s="13"/>
      <c r="C213" s="13"/>
      <c r="D213" s="13"/>
    </row>
    <row r="214" ht="15.75" customHeight="1">
      <c r="A214" s="13"/>
      <c r="B214" s="13"/>
      <c r="C214" s="13"/>
      <c r="D214" s="13"/>
    </row>
    <row r="215" ht="15.75" customHeight="1">
      <c r="A215" s="13"/>
      <c r="B215" s="13"/>
      <c r="C215" s="13"/>
      <c r="D215" s="13"/>
    </row>
    <row r="216" ht="15.75" customHeight="1">
      <c r="A216" s="13"/>
      <c r="B216" s="13"/>
      <c r="C216" s="13"/>
      <c r="D216" s="13"/>
    </row>
    <row r="217" ht="15.75" customHeight="1">
      <c r="A217" s="13"/>
      <c r="B217" s="13"/>
      <c r="C217" s="13"/>
      <c r="D217" s="13"/>
    </row>
    <row r="218" ht="15.75" customHeight="1">
      <c r="A218" s="13"/>
      <c r="B218" s="13"/>
      <c r="C218" s="13"/>
      <c r="D218" s="13"/>
    </row>
    <row r="219" ht="15.75" customHeight="1">
      <c r="A219" s="13"/>
      <c r="B219" s="13"/>
      <c r="C219" s="13"/>
      <c r="D219" s="13"/>
    </row>
    <row r="220" ht="15.75" customHeight="1">
      <c r="A220" s="13"/>
      <c r="B220" s="13"/>
      <c r="C220" s="13"/>
      <c r="D220" s="13"/>
    </row>
    <row r="221" ht="15.75" customHeight="1">
      <c r="A221" s="13"/>
      <c r="B221" s="13"/>
      <c r="C221" s="13"/>
      <c r="D221" s="13"/>
    </row>
    <row r="222" ht="15.75" customHeight="1">
      <c r="A222" s="13"/>
      <c r="B222" s="13"/>
      <c r="C222" s="13"/>
      <c r="D222" s="13"/>
    </row>
    <row r="223" ht="15.75" customHeight="1">
      <c r="A223" s="13"/>
      <c r="B223" s="13"/>
      <c r="C223" s="13"/>
      <c r="D223" s="13"/>
    </row>
    <row r="224" ht="15.75" customHeight="1">
      <c r="A224" s="13"/>
      <c r="B224" s="13"/>
      <c r="C224" s="13"/>
      <c r="D224" s="13"/>
    </row>
    <row r="225" ht="15.75" customHeight="1">
      <c r="A225" s="13"/>
      <c r="B225" s="13"/>
      <c r="C225" s="13"/>
      <c r="D225" s="13"/>
    </row>
    <row r="226" ht="15.75" customHeight="1">
      <c r="A226" s="13"/>
      <c r="B226" s="13"/>
      <c r="C226" s="13"/>
      <c r="D226" s="13"/>
    </row>
    <row r="227" ht="15.75" customHeight="1">
      <c r="A227" s="13"/>
      <c r="B227" s="13"/>
      <c r="C227" s="13"/>
      <c r="D227" s="13"/>
    </row>
    <row r="228" ht="15.75" customHeight="1">
      <c r="A228" s="13"/>
      <c r="B228" s="13"/>
      <c r="C228" s="13"/>
      <c r="D228" s="13"/>
    </row>
    <row r="229" ht="15.75" customHeight="1">
      <c r="A229" s="13"/>
      <c r="B229" s="13"/>
      <c r="C229" s="13"/>
      <c r="D229" s="13"/>
    </row>
    <row r="230" ht="15.75" customHeight="1">
      <c r="A230" s="13"/>
      <c r="B230" s="13"/>
      <c r="C230" s="13"/>
      <c r="D230" s="13"/>
    </row>
    <row r="231" ht="15.75" customHeight="1">
      <c r="A231" s="13"/>
      <c r="B231" s="13"/>
      <c r="C231" s="13"/>
      <c r="D231" s="13"/>
    </row>
    <row r="232" ht="15.75" customHeight="1">
      <c r="A232" s="13"/>
      <c r="B232" s="13"/>
      <c r="C232" s="13"/>
      <c r="D232" s="13"/>
    </row>
    <row r="233" ht="15.75" customHeight="1">
      <c r="A233" s="13"/>
      <c r="B233" s="13"/>
      <c r="C233" s="13"/>
      <c r="D233" s="13"/>
    </row>
    <row r="234" ht="15.75" customHeight="1">
      <c r="A234" s="13"/>
      <c r="B234" s="13"/>
      <c r="C234" s="13"/>
      <c r="D234" s="13"/>
    </row>
    <row r="235" ht="15.75" customHeight="1">
      <c r="A235" s="13"/>
      <c r="B235" s="13"/>
      <c r="C235" s="13"/>
      <c r="D235" s="13"/>
    </row>
    <row r="236" ht="15.75" customHeight="1">
      <c r="A236" s="13"/>
      <c r="B236" s="13"/>
      <c r="C236" s="13"/>
      <c r="D236" s="13"/>
    </row>
    <row r="237" ht="15.75" customHeight="1">
      <c r="A237" s="13"/>
      <c r="B237" s="13"/>
      <c r="C237" s="13"/>
      <c r="D237" s="13"/>
    </row>
    <row r="238" ht="15.75" customHeight="1">
      <c r="A238" s="13"/>
      <c r="B238" s="13"/>
      <c r="C238" s="13"/>
      <c r="D238" s="13"/>
    </row>
    <row r="239" ht="15.75" customHeight="1">
      <c r="A239" s="13"/>
      <c r="B239" s="13"/>
      <c r="C239" s="13"/>
      <c r="D239" s="13"/>
    </row>
    <row r="240" ht="15.75" customHeight="1">
      <c r="A240" s="13"/>
      <c r="B240" s="13"/>
      <c r="C240" s="13"/>
      <c r="D240" s="13"/>
    </row>
    <row r="241" ht="15.75" customHeight="1">
      <c r="A241" s="13"/>
      <c r="B241" s="13"/>
      <c r="C241" s="13"/>
      <c r="D241" s="13"/>
    </row>
    <row r="242" ht="15.75" customHeight="1">
      <c r="A242" s="13"/>
      <c r="B242" s="13"/>
      <c r="C242" s="13"/>
      <c r="D242" s="13"/>
    </row>
    <row r="243" ht="15.75" customHeight="1">
      <c r="A243" s="13"/>
      <c r="B243" s="13"/>
      <c r="C243" s="13"/>
      <c r="D243" s="13"/>
    </row>
    <row r="244" ht="15.75" customHeight="1">
      <c r="A244" s="13"/>
      <c r="B244" s="13"/>
      <c r="C244" s="13"/>
      <c r="D244" s="13"/>
    </row>
    <row r="245" ht="15.75" customHeight="1">
      <c r="A245" s="13"/>
      <c r="B245" s="13"/>
      <c r="C245" s="13"/>
      <c r="D245" s="13"/>
    </row>
    <row r="246" ht="15.75" customHeight="1">
      <c r="A246" s="13"/>
      <c r="B246" s="13"/>
      <c r="C246" s="13"/>
      <c r="D246" s="13"/>
    </row>
    <row r="247" ht="15.75" customHeight="1">
      <c r="A247" s="13"/>
      <c r="B247" s="13"/>
      <c r="C247" s="13"/>
      <c r="D247" s="13"/>
    </row>
    <row r="248" ht="15.75" customHeight="1">
      <c r="A248" s="13"/>
      <c r="B248" s="13"/>
      <c r="C248" s="13"/>
      <c r="D248" s="13"/>
    </row>
    <row r="249" ht="15.75" customHeight="1">
      <c r="A249" s="13"/>
      <c r="B249" s="13"/>
      <c r="C249" s="13"/>
      <c r="D249" s="13"/>
    </row>
    <row r="250" ht="15.75" customHeight="1">
      <c r="A250" s="13"/>
      <c r="B250" s="13"/>
      <c r="C250" s="13"/>
      <c r="D250" s="13"/>
    </row>
    <row r="251" ht="15.75" customHeight="1">
      <c r="A251" s="13"/>
      <c r="B251" s="13"/>
      <c r="C251" s="13"/>
      <c r="D251" s="13"/>
    </row>
    <row r="252" ht="15.75" customHeight="1">
      <c r="A252" s="13"/>
      <c r="B252" s="13"/>
      <c r="C252" s="13"/>
      <c r="D252" s="13"/>
    </row>
    <row r="253" ht="15.75" customHeight="1">
      <c r="A253" s="13"/>
      <c r="B253" s="13"/>
      <c r="C253" s="13"/>
      <c r="D253" s="13"/>
    </row>
    <row r="254" ht="15.75" customHeight="1">
      <c r="A254" s="13"/>
      <c r="B254" s="13"/>
      <c r="C254" s="13"/>
      <c r="D254" s="13"/>
    </row>
    <row r="255" ht="15.75" customHeight="1">
      <c r="A255" s="13"/>
      <c r="B255" s="13"/>
      <c r="C255" s="13"/>
      <c r="D255" s="13"/>
    </row>
    <row r="256" ht="15.75" customHeight="1">
      <c r="A256" s="13"/>
      <c r="B256" s="13"/>
      <c r="C256" s="13"/>
      <c r="D256" s="13"/>
    </row>
    <row r="257" ht="15.75" customHeight="1">
      <c r="A257" s="13"/>
      <c r="B257" s="13"/>
      <c r="C257" s="13"/>
      <c r="D257" s="13"/>
    </row>
    <row r="258" ht="15.75" customHeight="1">
      <c r="A258" s="13"/>
      <c r="B258" s="13"/>
      <c r="C258" s="13"/>
      <c r="D258" s="13"/>
    </row>
    <row r="259" ht="15.75" customHeight="1">
      <c r="A259" s="13"/>
      <c r="B259" s="13"/>
      <c r="C259" s="13"/>
      <c r="D259" s="13"/>
    </row>
    <row r="260" ht="15.75" customHeight="1">
      <c r="A260" s="13"/>
      <c r="B260" s="13"/>
      <c r="C260" s="13"/>
      <c r="D260" s="13"/>
    </row>
    <row r="261" ht="15.75" customHeight="1">
      <c r="A261" s="13"/>
      <c r="B261" s="13"/>
      <c r="C261" s="13"/>
      <c r="D261" s="13"/>
    </row>
    <row r="262" ht="15.75" customHeight="1">
      <c r="A262" s="13"/>
      <c r="B262" s="13"/>
      <c r="C262" s="13"/>
      <c r="D262" s="13"/>
    </row>
    <row r="263" ht="15.75" customHeight="1">
      <c r="A263" s="13"/>
      <c r="B263" s="13"/>
      <c r="C263" s="13"/>
      <c r="D263" s="13"/>
    </row>
    <row r="264" ht="15.75" customHeight="1">
      <c r="A264" s="13"/>
      <c r="B264" s="13"/>
      <c r="C264" s="13"/>
      <c r="D264" s="13"/>
    </row>
    <row r="265" ht="15.75" customHeight="1">
      <c r="A265" s="13"/>
      <c r="B265" s="13"/>
      <c r="C265" s="13"/>
      <c r="D265" s="13"/>
    </row>
    <row r="266" ht="15.75" customHeight="1">
      <c r="A266" s="13"/>
      <c r="B266" s="13"/>
      <c r="C266" s="13"/>
      <c r="D266" s="13"/>
    </row>
    <row r="267" ht="15.75" customHeight="1">
      <c r="A267" s="13"/>
      <c r="B267" s="13"/>
      <c r="C267" s="13"/>
      <c r="D267" s="13"/>
    </row>
    <row r="268" ht="15.75" customHeight="1">
      <c r="A268" s="13"/>
      <c r="B268" s="13"/>
      <c r="C268" s="13"/>
      <c r="D268" s="13"/>
    </row>
    <row r="269" ht="15.75" customHeight="1">
      <c r="A269" s="13"/>
      <c r="B269" s="13"/>
      <c r="C269" s="13"/>
      <c r="D269" s="13"/>
    </row>
    <row r="270" ht="15.75" customHeight="1">
      <c r="A270" s="13"/>
      <c r="B270" s="13"/>
      <c r="C270" s="13"/>
      <c r="D270" s="13"/>
    </row>
    <row r="271" ht="15.75" customHeight="1">
      <c r="A271" s="13"/>
      <c r="B271" s="13"/>
      <c r="C271" s="13"/>
      <c r="D271" s="13"/>
    </row>
    <row r="272" ht="15.75" customHeight="1">
      <c r="A272" s="13"/>
      <c r="B272" s="13"/>
      <c r="C272" s="13"/>
      <c r="D272" s="13"/>
    </row>
    <row r="273" ht="15.75" customHeight="1">
      <c r="A273" s="13"/>
      <c r="B273" s="13"/>
      <c r="C273" s="13"/>
      <c r="D273" s="13"/>
    </row>
    <row r="274" ht="15.75" customHeight="1">
      <c r="A274" s="13"/>
      <c r="B274" s="13"/>
      <c r="C274" s="13"/>
      <c r="D274" s="13"/>
    </row>
    <row r="275" ht="15.75" customHeight="1">
      <c r="A275" s="13"/>
      <c r="B275" s="13"/>
      <c r="C275" s="13"/>
      <c r="D275" s="13"/>
    </row>
    <row r="276" ht="15.75" customHeight="1">
      <c r="A276" s="13"/>
      <c r="B276" s="13"/>
      <c r="C276" s="13"/>
      <c r="D276" s="13"/>
    </row>
    <row r="277" ht="15.75" customHeight="1">
      <c r="A277" s="13"/>
      <c r="B277" s="13"/>
      <c r="C277" s="13"/>
      <c r="D277" s="13"/>
    </row>
    <row r="278" ht="15.75" customHeight="1">
      <c r="A278" s="13"/>
      <c r="B278" s="13"/>
      <c r="C278" s="13"/>
      <c r="D278" s="13"/>
    </row>
    <row r="279" ht="15.75" customHeight="1">
      <c r="A279" s="13"/>
      <c r="B279" s="13"/>
      <c r="C279" s="13"/>
      <c r="D279" s="13"/>
    </row>
    <row r="280" ht="15.75" customHeight="1">
      <c r="A280" s="13"/>
      <c r="B280" s="13"/>
      <c r="C280" s="13"/>
      <c r="D280" s="13"/>
    </row>
    <row r="281" ht="15.75" customHeight="1">
      <c r="A281" s="13"/>
      <c r="B281" s="13"/>
      <c r="C281" s="13"/>
      <c r="D281" s="13"/>
    </row>
    <row r="282" ht="15.75" customHeight="1">
      <c r="A282" s="13"/>
      <c r="B282" s="13"/>
      <c r="C282" s="13"/>
      <c r="D282" s="13"/>
    </row>
    <row r="283" ht="15.75" customHeight="1">
      <c r="A283" s="13"/>
      <c r="B283" s="13"/>
      <c r="C283" s="13"/>
      <c r="D283" s="13"/>
    </row>
    <row r="284" ht="15.75" customHeight="1">
      <c r="A284" s="13"/>
      <c r="B284" s="13"/>
      <c r="C284" s="13"/>
      <c r="D284" s="13"/>
    </row>
    <row r="285" ht="15.75" customHeight="1">
      <c r="A285" s="13"/>
      <c r="B285" s="13"/>
      <c r="C285" s="13"/>
      <c r="D285" s="13"/>
    </row>
    <row r="286" ht="15.75" customHeight="1">
      <c r="A286" s="13"/>
      <c r="B286" s="13"/>
      <c r="C286" s="13"/>
      <c r="D286" s="13"/>
    </row>
    <row r="287" ht="15.75" customHeight="1">
      <c r="A287" s="13"/>
      <c r="B287" s="13"/>
      <c r="C287" s="13"/>
      <c r="D287" s="13"/>
    </row>
    <row r="288" ht="15.75" customHeight="1">
      <c r="A288" s="13"/>
      <c r="B288" s="13"/>
      <c r="C288" s="13"/>
      <c r="D288" s="13"/>
    </row>
    <row r="289" ht="15.75" customHeight="1">
      <c r="A289" s="13"/>
      <c r="B289" s="13"/>
      <c r="C289" s="13"/>
      <c r="D289" s="13"/>
    </row>
    <row r="290" ht="15.75" customHeight="1">
      <c r="A290" s="13"/>
      <c r="B290" s="13"/>
      <c r="C290" s="13"/>
      <c r="D290" s="13"/>
    </row>
    <row r="291" ht="15.75" customHeight="1">
      <c r="A291" s="13"/>
      <c r="B291" s="13"/>
      <c r="C291" s="13"/>
      <c r="D291" s="13"/>
    </row>
    <row r="292" ht="15.75" customHeight="1">
      <c r="A292" s="13"/>
      <c r="B292" s="13"/>
      <c r="C292" s="13"/>
      <c r="D292" s="13"/>
    </row>
    <row r="293" ht="15.75" customHeight="1">
      <c r="A293" s="13"/>
      <c r="B293" s="13"/>
      <c r="C293" s="13"/>
      <c r="D293" s="13"/>
    </row>
    <row r="294" ht="15.75" customHeight="1">
      <c r="A294" s="13"/>
      <c r="B294" s="13"/>
      <c r="C294" s="13"/>
      <c r="D294" s="13"/>
    </row>
    <row r="295" ht="15.75" customHeight="1">
      <c r="A295" s="13"/>
      <c r="B295" s="13"/>
      <c r="C295" s="13"/>
      <c r="D295" s="13"/>
    </row>
    <row r="296" ht="15.75" customHeight="1">
      <c r="A296" s="13"/>
      <c r="B296" s="13"/>
      <c r="C296" s="13"/>
      <c r="D296" s="13"/>
    </row>
    <row r="297" ht="15.75" customHeight="1">
      <c r="A297" s="13"/>
      <c r="B297" s="13"/>
      <c r="C297" s="13"/>
      <c r="D297" s="13"/>
    </row>
    <row r="298" ht="15.75" customHeight="1">
      <c r="A298" s="13"/>
      <c r="B298" s="13"/>
      <c r="C298" s="13"/>
      <c r="D298" s="13"/>
    </row>
    <row r="299" ht="15.75" customHeight="1">
      <c r="A299" s="13"/>
      <c r="B299" s="13"/>
      <c r="C299" s="13"/>
      <c r="D299" s="13"/>
    </row>
    <row r="300" ht="15.75" customHeight="1">
      <c r="A300" s="13"/>
      <c r="B300" s="13"/>
      <c r="C300" s="13"/>
      <c r="D300" s="13"/>
    </row>
    <row r="301" ht="15.75" customHeight="1">
      <c r="A301" s="13"/>
      <c r="B301" s="13"/>
      <c r="C301" s="13"/>
      <c r="D301" s="13"/>
    </row>
    <row r="302" ht="15.75" customHeight="1">
      <c r="A302" s="13"/>
      <c r="B302" s="13"/>
      <c r="C302" s="13"/>
      <c r="D302" s="13"/>
    </row>
    <row r="303" ht="15.75" customHeight="1">
      <c r="A303" s="13"/>
      <c r="B303" s="13"/>
      <c r="C303" s="13"/>
      <c r="D303" s="13"/>
    </row>
    <row r="304" ht="15.75" customHeight="1">
      <c r="A304" s="13"/>
      <c r="B304" s="13"/>
      <c r="C304" s="13"/>
      <c r="D304" s="13"/>
    </row>
    <row r="305" ht="15.75" customHeight="1">
      <c r="A305" s="13"/>
      <c r="B305" s="13"/>
      <c r="C305" s="13"/>
      <c r="D305" s="13"/>
    </row>
    <row r="306" ht="15.75" customHeight="1">
      <c r="A306" s="13"/>
      <c r="B306" s="13"/>
      <c r="C306" s="13"/>
      <c r="D306" s="13"/>
    </row>
    <row r="307" ht="15.75" customHeight="1">
      <c r="A307" s="13"/>
      <c r="B307" s="13"/>
      <c r="C307" s="13"/>
      <c r="D307" s="13"/>
    </row>
    <row r="308" ht="15.75" customHeight="1">
      <c r="A308" s="13"/>
      <c r="B308" s="13"/>
      <c r="C308" s="13"/>
      <c r="D308" s="13"/>
    </row>
    <row r="309" ht="15.75" customHeight="1">
      <c r="A309" s="13"/>
      <c r="B309" s="13"/>
      <c r="C309" s="13"/>
      <c r="D309" s="13"/>
    </row>
    <row r="310" ht="15.75" customHeight="1">
      <c r="A310" s="13"/>
      <c r="B310" s="13"/>
      <c r="C310" s="13"/>
      <c r="D310" s="13"/>
    </row>
    <row r="311" ht="15.75" customHeight="1">
      <c r="A311" s="13"/>
      <c r="B311" s="13"/>
      <c r="C311" s="13"/>
      <c r="D311" s="13"/>
    </row>
    <row r="312" ht="15.75" customHeight="1">
      <c r="A312" s="13"/>
      <c r="B312" s="13"/>
      <c r="C312" s="13"/>
      <c r="D312" s="13"/>
    </row>
    <row r="313" ht="15.75" customHeight="1">
      <c r="A313" s="13"/>
      <c r="B313" s="13"/>
      <c r="C313" s="13"/>
      <c r="D313" s="13"/>
    </row>
    <row r="314" ht="15.75" customHeight="1">
      <c r="A314" s="13"/>
      <c r="B314" s="13"/>
      <c r="C314" s="13"/>
      <c r="D314" s="13"/>
    </row>
    <row r="315" ht="15.75" customHeight="1">
      <c r="A315" s="13"/>
      <c r="B315" s="13"/>
      <c r="C315" s="13"/>
      <c r="D315" s="13"/>
    </row>
    <row r="316" ht="15.75" customHeight="1">
      <c r="A316" s="13"/>
      <c r="B316" s="13"/>
      <c r="C316" s="13"/>
      <c r="D316" s="13"/>
    </row>
    <row r="317" ht="15.75" customHeight="1">
      <c r="A317" s="13"/>
      <c r="B317" s="13"/>
      <c r="C317" s="13"/>
      <c r="D317" s="13"/>
    </row>
    <row r="318" ht="15.75" customHeight="1">
      <c r="A318" s="13"/>
      <c r="B318" s="13"/>
      <c r="C318" s="13"/>
      <c r="D318" s="13"/>
    </row>
    <row r="319" ht="15.75" customHeight="1">
      <c r="A319" s="13"/>
      <c r="B319" s="13"/>
      <c r="C319" s="13"/>
      <c r="D319" s="13"/>
    </row>
    <row r="320" ht="15.75" customHeight="1">
      <c r="A320" s="13"/>
      <c r="B320" s="13"/>
      <c r="C320" s="13"/>
      <c r="D320" s="13"/>
    </row>
    <row r="321" ht="15.75" customHeight="1">
      <c r="A321" s="13"/>
      <c r="B321" s="13"/>
      <c r="C321" s="13"/>
      <c r="D321" s="13"/>
    </row>
    <row r="322" ht="15.75" customHeight="1">
      <c r="A322" s="13"/>
      <c r="B322" s="13"/>
      <c r="C322" s="13"/>
      <c r="D322" s="13"/>
    </row>
    <row r="323" ht="15.75" customHeight="1">
      <c r="A323" s="13"/>
      <c r="B323" s="13"/>
      <c r="C323" s="13"/>
      <c r="D323" s="13"/>
    </row>
    <row r="324" ht="15.75" customHeight="1">
      <c r="A324" s="13"/>
      <c r="B324" s="13"/>
      <c r="C324" s="13"/>
      <c r="D324" s="13"/>
    </row>
    <row r="325" ht="15.75" customHeight="1">
      <c r="A325" s="13"/>
      <c r="B325" s="13"/>
      <c r="C325" s="13"/>
      <c r="D325" s="13"/>
    </row>
    <row r="326" ht="15.75" customHeight="1">
      <c r="A326" s="13"/>
      <c r="B326" s="13"/>
      <c r="C326" s="13"/>
      <c r="D326" s="13"/>
    </row>
    <row r="327" ht="15.75" customHeight="1">
      <c r="A327" s="13"/>
      <c r="B327" s="13"/>
      <c r="C327" s="13"/>
      <c r="D327" s="13"/>
    </row>
    <row r="328" ht="15.75" customHeight="1">
      <c r="A328" s="13"/>
      <c r="B328" s="13"/>
      <c r="C328" s="13"/>
      <c r="D328" s="13"/>
    </row>
    <row r="329" ht="15.75" customHeight="1">
      <c r="A329" s="13"/>
      <c r="B329" s="13"/>
      <c r="C329" s="13"/>
      <c r="D329" s="13"/>
    </row>
    <row r="330" ht="15.75" customHeight="1">
      <c r="A330" s="13"/>
      <c r="B330" s="13"/>
      <c r="C330" s="13"/>
      <c r="D330" s="13"/>
    </row>
    <row r="331" ht="15.75" customHeight="1">
      <c r="A331" s="13"/>
      <c r="B331" s="13"/>
      <c r="C331" s="13"/>
      <c r="D331" s="13"/>
    </row>
    <row r="332" ht="15.75" customHeight="1">
      <c r="A332" s="13"/>
      <c r="B332" s="13"/>
      <c r="C332" s="13"/>
      <c r="D332" s="13"/>
    </row>
    <row r="333" ht="15.75" customHeight="1">
      <c r="A333" s="13"/>
      <c r="B333" s="13"/>
      <c r="C333" s="13"/>
      <c r="D333" s="13"/>
    </row>
    <row r="334" ht="15.75" customHeight="1">
      <c r="A334" s="13"/>
      <c r="B334" s="13"/>
      <c r="C334" s="13"/>
      <c r="D334" s="13"/>
    </row>
    <row r="335" ht="15.75" customHeight="1">
      <c r="A335" s="13"/>
      <c r="B335" s="13"/>
      <c r="C335" s="13"/>
      <c r="D335" s="13"/>
    </row>
    <row r="336" ht="15.75" customHeight="1">
      <c r="A336" s="13"/>
      <c r="B336" s="13"/>
      <c r="C336" s="13"/>
      <c r="D336" s="13"/>
    </row>
    <row r="337" ht="15.75" customHeight="1">
      <c r="A337" s="13"/>
      <c r="B337" s="13"/>
      <c r="C337" s="13"/>
      <c r="D337" s="13"/>
    </row>
    <row r="338" ht="15.75" customHeight="1">
      <c r="A338" s="13"/>
      <c r="B338" s="13"/>
      <c r="C338" s="13"/>
      <c r="D338" s="13"/>
    </row>
    <row r="339" ht="15.75" customHeight="1">
      <c r="A339" s="13"/>
      <c r="B339" s="13"/>
      <c r="C339" s="13"/>
      <c r="D339" s="13"/>
    </row>
    <row r="340" ht="15.75" customHeight="1">
      <c r="A340" s="13"/>
      <c r="B340" s="13"/>
      <c r="C340" s="13"/>
      <c r="D340" s="13"/>
    </row>
    <row r="341" ht="15.75" customHeight="1">
      <c r="A341" s="13"/>
      <c r="B341" s="13"/>
      <c r="C341" s="13"/>
      <c r="D341" s="13"/>
    </row>
    <row r="342" ht="15.75" customHeight="1">
      <c r="A342" s="13"/>
      <c r="B342" s="13"/>
      <c r="C342" s="13"/>
      <c r="D342" s="13"/>
    </row>
    <row r="343" ht="15.75" customHeight="1">
      <c r="A343" s="13"/>
      <c r="B343" s="13"/>
      <c r="C343" s="13"/>
      <c r="D343" s="13"/>
    </row>
    <row r="344" ht="15.75" customHeight="1">
      <c r="A344" s="13"/>
      <c r="B344" s="13"/>
      <c r="C344" s="13"/>
      <c r="D344" s="13"/>
    </row>
    <row r="345" ht="15.75" customHeight="1">
      <c r="A345" s="13"/>
      <c r="B345" s="13"/>
      <c r="C345" s="13"/>
      <c r="D345" s="13"/>
    </row>
    <row r="346" ht="15.75" customHeight="1">
      <c r="A346" s="13"/>
      <c r="B346" s="13"/>
      <c r="C346" s="13"/>
      <c r="D346" s="13"/>
    </row>
    <row r="347" ht="15.75" customHeight="1">
      <c r="A347" s="13"/>
      <c r="B347" s="13"/>
      <c r="C347" s="13"/>
      <c r="D347" s="13"/>
    </row>
    <row r="348" ht="15.75" customHeight="1">
      <c r="A348" s="13"/>
      <c r="B348" s="13"/>
      <c r="C348" s="13"/>
      <c r="D348" s="13"/>
    </row>
    <row r="349" ht="15.75" customHeight="1">
      <c r="A349" s="13"/>
      <c r="B349" s="13"/>
      <c r="C349" s="13"/>
      <c r="D349" s="13"/>
    </row>
    <row r="350" ht="15.75" customHeight="1">
      <c r="A350" s="13"/>
      <c r="B350" s="13"/>
      <c r="C350" s="13"/>
      <c r="D350" s="13"/>
    </row>
    <row r="351" ht="15.75" customHeight="1">
      <c r="A351" s="13"/>
      <c r="B351" s="13"/>
      <c r="C351" s="13"/>
      <c r="D351" s="13"/>
    </row>
    <row r="352" ht="15.75" customHeight="1">
      <c r="A352" s="13"/>
      <c r="B352" s="13"/>
      <c r="C352" s="13"/>
      <c r="D352" s="13"/>
    </row>
    <row r="353" ht="15.75" customHeight="1">
      <c r="A353" s="13"/>
      <c r="B353" s="13"/>
      <c r="C353" s="13"/>
      <c r="D353" s="13"/>
    </row>
    <row r="354" ht="15.75" customHeight="1">
      <c r="A354" s="13"/>
      <c r="B354" s="13"/>
      <c r="C354" s="13"/>
      <c r="D354" s="13"/>
    </row>
    <row r="355" ht="15.75" customHeight="1">
      <c r="A355" s="13"/>
      <c r="B355" s="13"/>
      <c r="C355" s="13"/>
      <c r="D355" s="13"/>
    </row>
    <row r="356" ht="15.75" customHeight="1">
      <c r="A356" s="13"/>
      <c r="B356" s="13"/>
      <c r="C356" s="13"/>
      <c r="D356" s="13"/>
    </row>
    <row r="357" ht="15.75" customHeight="1">
      <c r="A357" s="13"/>
      <c r="B357" s="13"/>
      <c r="C357" s="13"/>
      <c r="D357" s="13"/>
    </row>
    <row r="358" ht="15.75" customHeight="1">
      <c r="A358" s="13"/>
      <c r="B358" s="13"/>
      <c r="C358" s="13"/>
      <c r="D358" s="13"/>
    </row>
    <row r="359" ht="15.75" customHeight="1">
      <c r="A359" s="13"/>
      <c r="B359" s="13"/>
      <c r="C359" s="13"/>
      <c r="D359" s="13"/>
    </row>
    <row r="360" ht="15.75" customHeight="1">
      <c r="A360" s="13"/>
      <c r="B360" s="13"/>
      <c r="C360" s="13"/>
      <c r="D360" s="13"/>
    </row>
    <row r="361" ht="15.75" customHeight="1">
      <c r="A361" s="13"/>
      <c r="B361" s="13"/>
      <c r="C361" s="13"/>
      <c r="D361" s="13"/>
    </row>
    <row r="362" ht="15.75" customHeight="1">
      <c r="A362" s="13"/>
      <c r="B362" s="13"/>
      <c r="C362" s="13"/>
      <c r="D362" s="13"/>
    </row>
    <row r="363" ht="15.75" customHeight="1">
      <c r="A363" s="13"/>
      <c r="B363" s="13"/>
      <c r="C363" s="13"/>
      <c r="D363" s="13"/>
    </row>
    <row r="364" ht="15.75" customHeight="1">
      <c r="A364" s="13"/>
      <c r="B364" s="13"/>
      <c r="C364" s="13"/>
      <c r="D364" s="13"/>
    </row>
    <row r="365" ht="15.75" customHeight="1">
      <c r="A365" s="13"/>
      <c r="B365" s="13"/>
      <c r="C365" s="13"/>
      <c r="D365" s="13"/>
    </row>
    <row r="366" ht="15.75" customHeight="1">
      <c r="A366" s="13"/>
      <c r="B366" s="13"/>
      <c r="C366" s="13"/>
      <c r="D366" s="13"/>
    </row>
    <row r="367" ht="15.75" customHeight="1">
      <c r="A367" s="13"/>
      <c r="B367" s="13"/>
      <c r="C367" s="13"/>
      <c r="D367" s="13"/>
    </row>
    <row r="368" ht="15.75" customHeight="1">
      <c r="A368" s="13"/>
      <c r="B368" s="13"/>
      <c r="C368" s="13"/>
      <c r="D368" s="13"/>
    </row>
    <row r="369" ht="15.75" customHeight="1">
      <c r="A369" s="13"/>
      <c r="B369" s="13"/>
      <c r="C369" s="13"/>
      <c r="D369" s="13"/>
    </row>
    <row r="370" ht="15.75" customHeight="1">
      <c r="A370" s="13"/>
      <c r="B370" s="13"/>
      <c r="C370" s="13"/>
      <c r="D370" s="13"/>
    </row>
    <row r="371" ht="15.75" customHeight="1">
      <c r="A371" s="13"/>
      <c r="B371" s="13"/>
      <c r="C371" s="13"/>
      <c r="D371" s="13"/>
    </row>
    <row r="372" ht="15.75" customHeight="1">
      <c r="A372" s="13"/>
      <c r="B372" s="13"/>
      <c r="C372" s="13"/>
      <c r="D372" s="13"/>
    </row>
    <row r="373" ht="15.75" customHeight="1">
      <c r="A373" s="13"/>
      <c r="B373" s="13"/>
      <c r="C373" s="13"/>
      <c r="D373" s="13"/>
    </row>
    <row r="374" ht="15.75" customHeight="1">
      <c r="A374" s="13"/>
      <c r="B374" s="13"/>
      <c r="C374" s="13"/>
      <c r="D374" s="13"/>
    </row>
    <row r="375" ht="15.75" customHeight="1">
      <c r="A375" s="13"/>
      <c r="B375" s="13"/>
      <c r="C375" s="13"/>
      <c r="D375" s="13"/>
    </row>
    <row r="376" ht="15.75" customHeight="1">
      <c r="A376" s="13"/>
      <c r="B376" s="13"/>
      <c r="C376" s="13"/>
      <c r="D376" s="13"/>
    </row>
    <row r="377" ht="15.75" customHeight="1">
      <c r="A377" s="13"/>
      <c r="B377" s="13"/>
      <c r="C377" s="13"/>
      <c r="D377" s="13"/>
    </row>
    <row r="378" ht="15.75" customHeight="1">
      <c r="A378" s="13"/>
      <c r="B378" s="13"/>
      <c r="C378" s="13"/>
      <c r="D378" s="13"/>
    </row>
    <row r="379" ht="15.75" customHeight="1">
      <c r="A379" s="13"/>
      <c r="B379" s="13"/>
      <c r="C379" s="13"/>
      <c r="D379" s="13"/>
    </row>
    <row r="380" ht="15.75" customHeight="1">
      <c r="A380" s="13"/>
      <c r="B380" s="13"/>
      <c r="C380" s="13"/>
      <c r="D380" s="13"/>
    </row>
    <row r="381" ht="15.75" customHeight="1">
      <c r="A381" s="13"/>
      <c r="B381" s="13"/>
      <c r="C381" s="13"/>
      <c r="D381" s="13"/>
    </row>
    <row r="382" ht="15.75" customHeight="1">
      <c r="A382" s="13"/>
      <c r="B382" s="13"/>
      <c r="C382" s="13"/>
      <c r="D382" s="13"/>
    </row>
    <row r="383" ht="15.75" customHeight="1">
      <c r="A383" s="13"/>
      <c r="B383" s="13"/>
      <c r="C383" s="13"/>
      <c r="D383" s="13"/>
    </row>
    <row r="384" ht="15.75" customHeight="1">
      <c r="A384" s="13"/>
      <c r="B384" s="13"/>
      <c r="C384" s="13"/>
      <c r="D384" s="13"/>
    </row>
    <row r="385" ht="15.75" customHeight="1">
      <c r="A385" s="13"/>
      <c r="B385" s="13"/>
      <c r="C385" s="13"/>
      <c r="D385" s="13"/>
    </row>
    <row r="386" ht="15.75" customHeight="1">
      <c r="A386" s="13"/>
      <c r="B386" s="13"/>
      <c r="C386" s="13"/>
      <c r="D386" s="13"/>
    </row>
    <row r="387" ht="15.75" customHeight="1">
      <c r="A387" s="13"/>
      <c r="B387" s="13"/>
      <c r="C387" s="13"/>
      <c r="D387" s="13"/>
    </row>
    <row r="388" ht="15.75" customHeight="1">
      <c r="A388" s="13"/>
      <c r="B388" s="13"/>
      <c r="C388" s="13"/>
      <c r="D388" s="13"/>
    </row>
    <row r="389" ht="15.75" customHeight="1">
      <c r="A389" s="13"/>
      <c r="B389" s="13"/>
      <c r="C389" s="13"/>
      <c r="D389" s="13"/>
    </row>
    <row r="390" ht="15.75" customHeight="1">
      <c r="A390" s="13"/>
      <c r="B390" s="13"/>
      <c r="C390" s="13"/>
      <c r="D390" s="13"/>
    </row>
    <row r="391" ht="15.75" customHeight="1">
      <c r="A391" s="13"/>
      <c r="B391" s="13"/>
      <c r="C391" s="13"/>
      <c r="D391" s="13"/>
    </row>
    <row r="392" ht="15.75" customHeight="1">
      <c r="A392" s="13"/>
      <c r="B392" s="13"/>
      <c r="C392" s="13"/>
      <c r="D392" s="13"/>
    </row>
    <row r="393" ht="15.75" customHeight="1">
      <c r="A393" s="13"/>
      <c r="B393" s="13"/>
      <c r="C393" s="13"/>
      <c r="D393" s="13"/>
    </row>
    <row r="394" ht="15.75" customHeight="1">
      <c r="A394" s="13"/>
      <c r="B394" s="13"/>
      <c r="C394" s="13"/>
      <c r="D394" s="13"/>
    </row>
    <row r="395" ht="15.75" customHeight="1">
      <c r="A395" s="13"/>
      <c r="B395" s="13"/>
      <c r="C395" s="13"/>
      <c r="D395" s="13"/>
    </row>
    <row r="396" ht="15.75" customHeight="1">
      <c r="A396" s="13"/>
      <c r="B396" s="13"/>
      <c r="C396" s="13"/>
      <c r="D396" s="13"/>
    </row>
    <row r="397" ht="15.75" customHeight="1">
      <c r="A397" s="13"/>
      <c r="B397" s="13"/>
      <c r="C397" s="13"/>
      <c r="D397" s="13"/>
    </row>
    <row r="398" ht="15.75" customHeight="1">
      <c r="A398" s="13"/>
      <c r="B398" s="13"/>
      <c r="C398" s="13"/>
      <c r="D398" s="13"/>
    </row>
    <row r="399" ht="15.75" customHeight="1">
      <c r="A399" s="13"/>
      <c r="B399" s="13"/>
      <c r="C399" s="13"/>
      <c r="D399" s="13"/>
    </row>
    <row r="400" ht="15.75" customHeight="1">
      <c r="A400" s="13"/>
      <c r="B400" s="13"/>
      <c r="C400" s="13"/>
      <c r="D400" s="13"/>
    </row>
    <row r="401" ht="15.75" customHeight="1">
      <c r="A401" s="13"/>
      <c r="B401" s="13"/>
      <c r="C401" s="13"/>
      <c r="D401" s="13"/>
    </row>
    <row r="402" ht="15.75" customHeight="1">
      <c r="A402" s="13"/>
      <c r="B402" s="13"/>
      <c r="C402" s="13"/>
      <c r="D402" s="13"/>
    </row>
    <row r="403" ht="15.75" customHeight="1">
      <c r="A403" s="13"/>
      <c r="B403" s="13"/>
      <c r="C403" s="13"/>
      <c r="D403" s="13"/>
    </row>
    <row r="404" ht="15.75" customHeight="1">
      <c r="A404" s="13"/>
      <c r="B404" s="13"/>
      <c r="C404" s="13"/>
      <c r="D404" s="13"/>
    </row>
    <row r="405" ht="15.75" customHeight="1">
      <c r="A405" s="13"/>
      <c r="B405" s="13"/>
      <c r="C405" s="13"/>
      <c r="D405" s="13"/>
    </row>
    <row r="406" ht="15.75" customHeight="1">
      <c r="A406" s="13"/>
      <c r="B406" s="13"/>
      <c r="C406" s="13"/>
      <c r="D406" s="13"/>
    </row>
    <row r="407" ht="15.75" customHeight="1">
      <c r="A407" s="13"/>
      <c r="B407" s="13"/>
      <c r="C407" s="13"/>
      <c r="D407" s="13"/>
    </row>
    <row r="408" ht="15.75" customHeight="1">
      <c r="A408" s="13"/>
      <c r="B408" s="13"/>
      <c r="C408" s="13"/>
      <c r="D408" s="13"/>
    </row>
    <row r="409" ht="15.75" customHeight="1">
      <c r="A409" s="13"/>
      <c r="B409" s="13"/>
      <c r="C409" s="13"/>
      <c r="D409" s="13"/>
    </row>
    <row r="410" ht="15.75" customHeight="1">
      <c r="A410" s="13"/>
      <c r="B410" s="13"/>
      <c r="C410" s="13"/>
      <c r="D410" s="13"/>
    </row>
    <row r="411" ht="15.75" customHeight="1">
      <c r="A411" s="13"/>
      <c r="B411" s="13"/>
      <c r="C411" s="13"/>
      <c r="D411" s="13"/>
    </row>
    <row r="412" ht="15.75" customHeight="1">
      <c r="A412" s="13"/>
      <c r="B412" s="13"/>
      <c r="C412" s="13"/>
      <c r="D412" s="13"/>
    </row>
    <row r="413" ht="15.75" customHeight="1">
      <c r="A413" s="13"/>
      <c r="B413" s="13"/>
      <c r="C413" s="13"/>
      <c r="D413" s="13"/>
    </row>
    <row r="414" ht="15.75" customHeight="1">
      <c r="A414" s="13"/>
      <c r="B414" s="13"/>
      <c r="C414" s="13"/>
      <c r="D414" s="13"/>
    </row>
    <row r="415" ht="15.75" customHeight="1">
      <c r="A415" s="13"/>
      <c r="B415" s="13"/>
      <c r="C415" s="13"/>
      <c r="D415" s="13"/>
    </row>
    <row r="416" ht="15.75" customHeight="1">
      <c r="A416" s="13"/>
      <c r="B416" s="13"/>
      <c r="C416" s="13"/>
      <c r="D416" s="13"/>
    </row>
    <row r="417" ht="15.75" customHeight="1">
      <c r="A417" s="13"/>
      <c r="B417" s="13"/>
      <c r="C417" s="13"/>
      <c r="D417" s="13"/>
    </row>
    <row r="418" ht="15.75" customHeight="1">
      <c r="A418" s="13"/>
      <c r="B418" s="13"/>
      <c r="C418" s="13"/>
      <c r="D418" s="13"/>
    </row>
    <row r="419" ht="15.75" customHeight="1">
      <c r="A419" s="13"/>
      <c r="B419" s="13"/>
      <c r="C419" s="13"/>
      <c r="D419" s="13"/>
    </row>
    <row r="420" ht="15.75" customHeight="1">
      <c r="A420" s="13"/>
      <c r="B420" s="13"/>
      <c r="C420" s="13"/>
      <c r="D420" s="13"/>
    </row>
    <row r="421" ht="15.75" customHeight="1">
      <c r="A421" s="13"/>
      <c r="B421" s="13"/>
      <c r="C421" s="13"/>
      <c r="D421" s="13"/>
    </row>
    <row r="422" ht="15.75" customHeight="1">
      <c r="A422" s="13"/>
      <c r="B422" s="13"/>
      <c r="C422" s="13"/>
      <c r="D422" s="13"/>
    </row>
    <row r="423" ht="15.75" customHeight="1">
      <c r="A423" s="13"/>
      <c r="B423" s="13"/>
      <c r="C423" s="13"/>
      <c r="D423" s="13"/>
    </row>
    <row r="424" ht="15.75" customHeight="1">
      <c r="A424" s="13"/>
      <c r="B424" s="13"/>
      <c r="C424" s="13"/>
      <c r="D424" s="13"/>
    </row>
    <row r="425" ht="15.75" customHeight="1">
      <c r="A425" s="13"/>
      <c r="B425" s="13"/>
      <c r="C425" s="13"/>
      <c r="D425" s="13"/>
    </row>
    <row r="426" ht="15.75" customHeight="1">
      <c r="A426" s="13"/>
      <c r="B426" s="13"/>
      <c r="C426" s="13"/>
      <c r="D426" s="13"/>
    </row>
    <row r="427" ht="15.75" customHeight="1">
      <c r="A427" s="13"/>
      <c r="B427" s="13"/>
      <c r="C427" s="13"/>
      <c r="D427" s="13"/>
    </row>
    <row r="428" ht="15.75" customHeight="1">
      <c r="A428" s="13"/>
      <c r="B428" s="13"/>
      <c r="C428" s="13"/>
      <c r="D428" s="13"/>
    </row>
    <row r="429" ht="15.75" customHeight="1">
      <c r="A429" s="13"/>
      <c r="B429" s="13"/>
      <c r="C429" s="13"/>
      <c r="D429" s="13"/>
    </row>
    <row r="430" ht="15.75" customHeight="1">
      <c r="A430" s="13"/>
      <c r="B430" s="13"/>
      <c r="C430" s="13"/>
      <c r="D430" s="13"/>
    </row>
    <row r="431" ht="15.75" customHeight="1">
      <c r="A431" s="13"/>
      <c r="B431" s="13"/>
      <c r="C431" s="13"/>
      <c r="D431" s="13"/>
    </row>
    <row r="432" ht="15.75" customHeight="1">
      <c r="A432" s="13"/>
      <c r="B432" s="13"/>
      <c r="C432" s="13"/>
      <c r="D432" s="13"/>
    </row>
    <row r="433" ht="15.75" customHeight="1">
      <c r="A433" s="13"/>
      <c r="B433" s="13"/>
      <c r="C433" s="13"/>
      <c r="D433" s="13"/>
    </row>
    <row r="434" ht="15.75" customHeight="1">
      <c r="A434" s="13"/>
      <c r="B434" s="13"/>
      <c r="C434" s="13"/>
      <c r="D434" s="13"/>
    </row>
    <row r="435" ht="15.75" customHeight="1">
      <c r="A435" s="13"/>
      <c r="B435" s="13"/>
      <c r="C435" s="13"/>
      <c r="D435" s="13"/>
    </row>
    <row r="436" ht="15.75" customHeight="1">
      <c r="A436" s="13"/>
      <c r="B436" s="13"/>
      <c r="C436" s="13"/>
      <c r="D436" s="13"/>
    </row>
    <row r="437" ht="15.75" customHeight="1">
      <c r="A437" s="13"/>
      <c r="B437" s="13"/>
      <c r="C437" s="13"/>
      <c r="D437" s="13"/>
    </row>
    <row r="438" ht="15.75" customHeight="1">
      <c r="A438" s="13"/>
      <c r="B438" s="13"/>
      <c r="C438" s="13"/>
      <c r="D438" s="13"/>
    </row>
    <row r="439" ht="15.75" customHeight="1">
      <c r="A439" s="13"/>
      <c r="B439" s="13"/>
      <c r="C439" s="13"/>
      <c r="D439" s="13"/>
    </row>
    <row r="440" ht="15.75" customHeight="1">
      <c r="A440" s="13"/>
      <c r="B440" s="13"/>
      <c r="C440" s="13"/>
      <c r="D440" s="13"/>
    </row>
    <row r="441" ht="15.75" customHeight="1">
      <c r="A441" s="13"/>
      <c r="B441" s="13"/>
      <c r="C441" s="13"/>
      <c r="D441" s="13"/>
    </row>
    <row r="442" ht="15.75" customHeight="1">
      <c r="A442" s="13"/>
      <c r="B442" s="13"/>
      <c r="C442" s="13"/>
      <c r="D442" s="13"/>
    </row>
    <row r="443" ht="15.75" customHeight="1">
      <c r="A443" s="13"/>
      <c r="B443" s="13"/>
      <c r="C443" s="13"/>
      <c r="D443" s="13"/>
    </row>
    <row r="444" ht="15.75" customHeight="1">
      <c r="A444" s="13"/>
      <c r="B444" s="13"/>
      <c r="C444" s="13"/>
      <c r="D444" s="13"/>
    </row>
    <row r="445" ht="15.75" customHeight="1">
      <c r="A445" s="13"/>
      <c r="B445" s="13"/>
      <c r="C445" s="13"/>
      <c r="D445" s="13"/>
    </row>
    <row r="446" ht="15.75" customHeight="1">
      <c r="A446" s="13"/>
      <c r="B446" s="13"/>
      <c r="C446" s="13"/>
      <c r="D446" s="13"/>
    </row>
    <row r="447" ht="15.75" customHeight="1">
      <c r="A447" s="13"/>
      <c r="B447" s="13"/>
      <c r="C447" s="13"/>
      <c r="D447" s="13"/>
    </row>
    <row r="448" ht="15.75" customHeight="1">
      <c r="A448" s="13"/>
      <c r="B448" s="13"/>
      <c r="C448" s="13"/>
      <c r="D448" s="13"/>
    </row>
    <row r="449" ht="15.75" customHeight="1">
      <c r="A449" s="13"/>
      <c r="B449" s="13"/>
      <c r="C449" s="13"/>
      <c r="D449" s="13"/>
    </row>
    <row r="450" ht="15.75" customHeight="1">
      <c r="A450" s="13"/>
      <c r="B450" s="13"/>
      <c r="C450" s="13"/>
      <c r="D450" s="13"/>
    </row>
    <row r="451" ht="15.75" customHeight="1">
      <c r="A451" s="13"/>
      <c r="B451" s="13"/>
      <c r="C451" s="13"/>
      <c r="D451" s="13"/>
    </row>
    <row r="452" ht="15.75" customHeight="1">
      <c r="A452" s="13"/>
      <c r="B452" s="13"/>
      <c r="C452" s="13"/>
      <c r="D452" s="13"/>
    </row>
    <row r="453" ht="15.75" customHeight="1">
      <c r="A453" s="13"/>
      <c r="B453" s="13"/>
      <c r="C453" s="13"/>
      <c r="D453" s="13"/>
    </row>
    <row r="454" ht="15.75" customHeight="1">
      <c r="A454" s="13"/>
      <c r="B454" s="13"/>
      <c r="C454" s="13"/>
      <c r="D454" s="13"/>
    </row>
    <row r="455" ht="15.75" customHeight="1">
      <c r="A455" s="13"/>
      <c r="B455" s="13"/>
      <c r="C455" s="13"/>
      <c r="D455" s="13"/>
    </row>
    <row r="456" ht="15.75" customHeight="1">
      <c r="A456" s="13"/>
      <c r="B456" s="13"/>
      <c r="C456" s="13"/>
      <c r="D456" s="13"/>
    </row>
    <row r="457" ht="15.75" customHeight="1">
      <c r="A457" s="13"/>
      <c r="B457" s="13"/>
      <c r="C457" s="13"/>
      <c r="D457" s="13"/>
    </row>
    <row r="458" ht="15.75" customHeight="1">
      <c r="A458" s="13"/>
      <c r="B458" s="13"/>
      <c r="C458" s="13"/>
      <c r="D458" s="13"/>
    </row>
    <row r="459" ht="15.75" customHeight="1">
      <c r="A459" s="13"/>
      <c r="B459" s="13"/>
      <c r="C459" s="13"/>
      <c r="D459" s="13"/>
    </row>
    <row r="460" ht="15.75" customHeight="1">
      <c r="A460" s="13"/>
      <c r="B460" s="13"/>
      <c r="C460" s="13"/>
      <c r="D460" s="13"/>
    </row>
    <row r="461" ht="15.75" customHeight="1">
      <c r="A461" s="13"/>
      <c r="B461" s="13"/>
      <c r="C461" s="13"/>
      <c r="D461" s="13"/>
    </row>
    <row r="462" ht="15.75" customHeight="1">
      <c r="A462" s="13"/>
      <c r="B462" s="13"/>
      <c r="C462" s="13"/>
      <c r="D462" s="13"/>
    </row>
    <row r="463" ht="15.75" customHeight="1">
      <c r="A463" s="13"/>
      <c r="B463" s="13"/>
      <c r="C463" s="13"/>
      <c r="D463" s="13"/>
    </row>
    <row r="464" ht="15.75" customHeight="1">
      <c r="A464" s="13"/>
      <c r="B464" s="13"/>
      <c r="C464" s="13"/>
      <c r="D464" s="13"/>
    </row>
    <row r="465" ht="15.75" customHeight="1">
      <c r="A465" s="13"/>
      <c r="B465" s="13"/>
      <c r="C465" s="13"/>
      <c r="D465" s="13"/>
    </row>
    <row r="466" ht="15.75" customHeight="1">
      <c r="A466" s="13"/>
      <c r="B466" s="13"/>
      <c r="C466" s="13"/>
      <c r="D466" s="13"/>
    </row>
    <row r="467" ht="15.75" customHeight="1">
      <c r="A467" s="13"/>
      <c r="B467" s="13"/>
      <c r="C467" s="13"/>
      <c r="D467" s="13"/>
    </row>
    <row r="468" ht="15.75" customHeight="1">
      <c r="A468" s="13"/>
      <c r="B468" s="13"/>
      <c r="C468" s="13"/>
      <c r="D468" s="13"/>
    </row>
    <row r="469" ht="15.75" customHeight="1">
      <c r="A469" s="13"/>
      <c r="B469" s="13"/>
      <c r="C469" s="13"/>
      <c r="D469" s="13"/>
    </row>
    <row r="470" ht="15.75" customHeight="1">
      <c r="A470" s="13"/>
      <c r="B470" s="13"/>
      <c r="C470" s="13"/>
      <c r="D470" s="13"/>
    </row>
    <row r="471" ht="15.75" customHeight="1">
      <c r="A471" s="13"/>
      <c r="B471" s="13"/>
      <c r="C471" s="13"/>
      <c r="D471" s="13"/>
    </row>
    <row r="472" ht="15.75" customHeight="1">
      <c r="A472" s="13"/>
      <c r="B472" s="13"/>
      <c r="C472" s="13"/>
      <c r="D472" s="13"/>
    </row>
    <row r="473" ht="15.75" customHeight="1">
      <c r="A473" s="13"/>
      <c r="B473" s="13"/>
      <c r="C473" s="13"/>
      <c r="D473" s="13"/>
    </row>
    <row r="474" ht="15.75" customHeight="1">
      <c r="A474" s="13"/>
      <c r="B474" s="13"/>
      <c r="C474" s="13"/>
      <c r="D474" s="13"/>
    </row>
    <row r="475" ht="15.75" customHeight="1">
      <c r="A475" s="13"/>
      <c r="B475" s="13"/>
      <c r="C475" s="13"/>
      <c r="D475" s="13"/>
    </row>
    <row r="476" ht="15.75" customHeight="1">
      <c r="A476" s="13"/>
      <c r="B476" s="13"/>
      <c r="C476" s="13"/>
      <c r="D476" s="13"/>
    </row>
    <row r="477" ht="15.75" customHeight="1">
      <c r="A477" s="13"/>
      <c r="B477" s="13"/>
      <c r="C477" s="13"/>
      <c r="D477" s="13"/>
    </row>
    <row r="478" ht="15.75" customHeight="1">
      <c r="A478" s="13"/>
      <c r="B478" s="13"/>
      <c r="C478" s="13"/>
      <c r="D478" s="13"/>
    </row>
    <row r="479" ht="15.75" customHeight="1">
      <c r="A479" s="13"/>
      <c r="B479" s="13"/>
      <c r="C479" s="13"/>
      <c r="D479" s="13"/>
    </row>
    <row r="480" ht="15.75" customHeight="1">
      <c r="A480" s="13"/>
      <c r="B480" s="13"/>
      <c r="C480" s="13"/>
      <c r="D480" s="13"/>
    </row>
    <row r="481" ht="15.75" customHeight="1">
      <c r="A481" s="13"/>
      <c r="B481" s="13"/>
      <c r="C481" s="13"/>
      <c r="D481" s="13"/>
    </row>
    <row r="482" ht="15.75" customHeight="1">
      <c r="A482" s="13"/>
      <c r="B482" s="13"/>
      <c r="C482" s="13"/>
      <c r="D482" s="13"/>
    </row>
    <row r="483" ht="15.75" customHeight="1">
      <c r="A483" s="13"/>
      <c r="B483" s="13"/>
      <c r="C483" s="13"/>
      <c r="D483" s="13"/>
    </row>
    <row r="484" ht="15.75" customHeight="1">
      <c r="A484" s="13"/>
      <c r="B484" s="13"/>
      <c r="C484" s="13"/>
      <c r="D484" s="13"/>
    </row>
    <row r="485" ht="15.75" customHeight="1">
      <c r="A485" s="13"/>
      <c r="B485" s="13"/>
      <c r="C485" s="13"/>
      <c r="D485" s="13"/>
    </row>
    <row r="486" ht="15.75" customHeight="1">
      <c r="A486" s="13"/>
      <c r="B486" s="13"/>
      <c r="C486" s="13"/>
      <c r="D486" s="13"/>
    </row>
    <row r="487" ht="15.75" customHeight="1">
      <c r="A487" s="13"/>
      <c r="B487" s="13"/>
      <c r="C487" s="13"/>
      <c r="D487" s="13"/>
    </row>
    <row r="488" ht="15.75" customHeight="1">
      <c r="A488" s="13"/>
      <c r="B488" s="13"/>
      <c r="C488" s="13"/>
      <c r="D488" s="13"/>
    </row>
    <row r="489" ht="15.75" customHeight="1">
      <c r="A489" s="13"/>
      <c r="B489" s="13"/>
      <c r="C489" s="13"/>
      <c r="D489" s="13"/>
    </row>
    <row r="490" ht="15.75" customHeight="1">
      <c r="A490" s="13"/>
      <c r="B490" s="13"/>
      <c r="C490" s="13"/>
      <c r="D490" s="13"/>
    </row>
    <row r="491" ht="15.75" customHeight="1">
      <c r="A491" s="13"/>
      <c r="B491" s="13"/>
      <c r="C491" s="13"/>
      <c r="D491" s="13"/>
    </row>
    <row r="492" ht="15.75" customHeight="1">
      <c r="A492" s="13"/>
      <c r="B492" s="13"/>
      <c r="C492" s="13"/>
      <c r="D492" s="13"/>
    </row>
    <row r="493" ht="15.75" customHeight="1">
      <c r="A493" s="13"/>
      <c r="B493" s="13"/>
      <c r="C493" s="13"/>
      <c r="D493" s="13"/>
    </row>
    <row r="494" ht="15.75" customHeight="1">
      <c r="A494" s="13"/>
      <c r="B494" s="13"/>
      <c r="C494" s="13"/>
      <c r="D494" s="13"/>
    </row>
    <row r="495" ht="15.75" customHeight="1">
      <c r="A495" s="13"/>
      <c r="B495" s="13"/>
      <c r="C495" s="13"/>
      <c r="D495" s="13"/>
    </row>
    <row r="496" ht="15.75" customHeight="1">
      <c r="A496" s="13"/>
      <c r="B496" s="13"/>
      <c r="C496" s="13"/>
      <c r="D496" s="13"/>
    </row>
    <row r="497" ht="15.75" customHeight="1">
      <c r="A497" s="13"/>
      <c r="B497" s="13"/>
      <c r="C497" s="13"/>
      <c r="D497" s="13"/>
    </row>
    <row r="498" ht="15.75" customHeight="1">
      <c r="A498" s="13"/>
      <c r="B498" s="13"/>
      <c r="C498" s="13"/>
      <c r="D498" s="13"/>
    </row>
    <row r="499" ht="15.75" customHeight="1">
      <c r="A499" s="13"/>
      <c r="B499" s="13"/>
      <c r="C499" s="13"/>
      <c r="D499" s="13"/>
    </row>
    <row r="500" ht="15.75" customHeight="1">
      <c r="A500" s="13"/>
      <c r="B500" s="13"/>
      <c r="C500" s="13"/>
      <c r="D500" s="13"/>
    </row>
    <row r="501" ht="15.75" customHeight="1">
      <c r="A501" s="13"/>
      <c r="B501" s="13"/>
      <c r="C501" s="13"/>
      <c r="D501" s="13"/>
    </row>
    <row r="502" ht="15.75" customHeight="1">
      <c r="A502" s="13"/>
      <c r="B502" s="13"/>
      <c r="C502" s="13"/>
      <c r="D502" s="13"/>
    </row>
    <row r="503" ht="15.75" customHeight="1">
      <c r="A503" s="13"/>
      <c r="B503" s="13"/>
      <c r="C503" s="13"/>
      <c r="D503" s="13"/>
    </row>
    <row r="504" ht="15.75" customHeight="1">
      <c r="A504" s="13"/>
      <c r="B504" s="13"/>
      <c r="C504" s="13"/>
      <c r="D504" s="13"/>
    </row>
    <row r="505" ht="15.75" customHeight="1">
      <c r="A505" s="13"/>
      <c r="B505" s="13"/>
      <c r="C505" s="13"/>
      <c r="D505" s="13"/>
    </row>
    <row r="506" ht="15.75" customHeight="1">
      <c r="A506" s="13"/>
      <c r="B506" s="13"/>
      <c r="C506" s="13"/>
      <c r="D506" s="13"/>
    </row>
    <row r="507" ht="15.75" customHeight="1">
      <c r="A507" s="13"/>
      <c r="B507" s="13"/>
      <c r="C507" s="13"/>
      <c r="D507" s="13"/>
    </row>
    <row r="508" ht="15.75" customHeight="1">
      <c r="A508" s="13"/>
      <c r="B508" s="13"/>
      <c r="C508" s="13"/>
      <c r="D508" s="13"/>
    </row>
    <row r="509" ht="15.75" customHeight="1">
      <c r="A509" s="13"/>
      <c r="B509" s="13"/>
      <c r="C509" s="13"/>
      <c r="D509" s="13"/>
    </row>
    <row r="510" ht="15.75" customHeight="1">
      <c r="A510" s="13"/>
      <c r="B510" s="13"/>
      <c r="C510" s="13"/>
      <c r="D510" s="13"/>
    </row>
    <row r="511" ht="15.75" customHeight="1">
      <c r="A511" s="13"/>
      <c r="B511" s="13"/>
      <c r="C511" s="13"/>
      <c r="D511" s="13"/>
    </row>
    <row r="512" ht="15.75" customHeight="1">
      <c r="A512" s="13"/>
      <c r="B512" s="13"/>
      <c r="C512" s="13"/>
      <c r="D512" s="13"/>
    </row>
    <row r="513" ht="15.75" customHeight="1">
      <c r="A513" s="13"/>
      <c r="B513" s="13"/>
      <c r="C513" s="13"/>
      <c r="D513" s="13"/>
    </row>
    <row r="514" ht="15.75" customHeight="1">
      <c r="A514" s="13"/>
      <c r="B514" s="13"/>
      <c r="C514" s="13"/>
      <c r="D514" s="13"/>
    </row>
    <row r="515" ht="15.75" customHeight="1">
      <c r="A515" s="13"/>
      <c r="B515" s="13"/>
      <c r="C515" s="13"/>
      <c r="D515" s="13"/>
    </row>
    <row r="516" ht="15.75" customHeight="1">
      <c r="A516" s="13"/>
      <c r="B516" s="13"/>
      <c r="C516" s="13"/>
      <c r="D516" s="13"/>
    </row>
    <row r="517" ht="15.75" customHeight="1">
      <c r="A517" s="13"/>
      <c r="B517" s="13"/>
      <c r="C517" s="13"/>
      <c r="D517" s="13"/>
    </row>
    <row r="518" ht="15.75" customHeight="1">
      <c r="A518" s="13"/>
      <c r="B518" s="13"/>
      <c r="C518" s="13"/>
      <c r="D518" s="13"/>
    </row>
    <row r="519" ht="15.75" customHeight="1">
      <c r="A519" s="13"/>
      <c r="B519" s="13"/>
      <c r="C519" s="13"/>
      <c r="D519" s="13"/>
    </row>
    <row r="520" ht="15.75" customHeight="1">
      <c r="A520" s="13"/>
      <c r="B520" s="13"/>
      <c r="C520" s="13"/>
      <c r="D520" s="13"/>
    </row>
    <row r="521" ht="15.75" customHeight="1">
      <c r="A521" s="13"/>
      <c r="B521" s="13"/>
      <c r="C521" s="13"/>
      <c r="D521" s="13"/>
    </row>
    <row r="522" ht="15.75" customHeight="1">
      <c r="A522" s="13"/>
      <c r="B522" s="13"/>
      <c r="C522" s="13"/>
      <c r="D522" s="13"/>
    </row>
    <row r="523" ht="15.75" customHeight="1">
      <c r="A523" s="13"/>
      <c r="B523" s="13"/>
      <c r="C523" s="13"/>
      <c r="D523" s="13"/>
    </row>
    <row r="524" ht="15.75" customHeight="1">
      <c r="A524" s="13"/>
      <c r="B524" s="13"/>
      <c r="C524" s="13"/>
      <c r="D524" s="13"/>
    </row>
    <row r="525" ht="15.75" customHeight="1">
      <c r="A525" s="13"/>
      <c r="B525" s="13"/>
      <c r="C525" s="13"/>
      <c r="D525" s="13"/>
    </row>
    <row r="526" ht="15.75" customHeight="1">
      <c r="A526" s="13"/>
      <c r="B526" s="13"/>
      <c r="C526" s="13"/>
      <c r="D526" s="13"/>
    </row>
    <row r="527" ht="15.75" customHeight="1">
      <c r="A527" s="13"/>
      <c r="B527" s="13"/>
      <c r="C527" s="13"/>
      <c r="D527" s="13"/>
    </row>
    <row r="528" ht="15.75" customHeight="1">
      <c r="A528" s="13"/>
      <c r="B528" s="13"/>
      <c r="C528" s="13"/>
      <c r="D528" s="13"/>
    </row>
    <row r="529" ht="15.75" customHeight="1">
      <c r="A529" s="13"/>
      <c r="B529" s="13"/>
      <c r="C529" s="13"/>
      <c r="D529" s="13"/>
    </row>
    <row r="530" ht="15.75" customHeight="1">
      <c r="A530" s="13"/>
      <c r="B530" s="13"/>
      <c r="C530" s="13"/>
      <c r="D530" s="13"/>
    </row>
    <row r="531" ht="15.75" customHeight="1">
      <c r="A531" s="13"/>
      <c r="B531" s="13"/>
      <c r="C531" s="13"/>
      <c r="D531" s="13"/>
    </row>
    <row r="532" ht="15.75" customHeight="1">
      <c r="A532" s="13"/>
      <c r="B532" s="13"/>
      <c r="C532" s="13"/>
      <c r="D532" s="13"/>
    </row>
    <row r="533" ht="15.75" customHeight="1">
      <c r="A533" s="13"/>
      <c r="B533" s="13"/>
      <c r="C533" s="13"/>
      <c r="D533" s="13"/>
    </row>
    <row r="534" ht="15.75" customHeight="1">
      <c r="A534" s="13"/>
      <c r="B534" s="13"/>
      <c r="C534" s="13"/>
      <c r="D534" s="13"/>
    </row>
    <row r="535" ht="15.75" customHeight="1">
      <c r="A535" s="13"/>
      <c r="B535" s="13"/>
      <c r="C535" s="13"/>
      <c r="D535" s="13"/>
    </row>
    <row r="536" ht="15.75" customHeight="1">
      <c r="A536" s="13"/>
      <c r="B536" s="13"/>
      <c r="C536" s="13"/>
      <c r="D536" s="13"/>
    </row>
    <row r="537" ht="15.75" customHeight="1">
      <c r="A537" s="13"/>
      <c r="B537" s="13"/>
      <c r="C537" s="13"/>
      <c r="D537" s="13"/>
    </row>
    <row r="538" ht="15.75" customHeight="1">
      <c r="A538" s="13"/>
      <c r="B538" s="13"/>
      <c r="C538" s="13"/>
      <c r="D538" s="13"/>
    </row>
    <row r="539" ht="15.75" customHeight="1">
      <c r="A539" s="13"/>
      <c r="B539" s="13"/>
      <c r="C539" s="13"/>
      <c r="D539" s="13"/>
    </row>
    <row r="540" ht="15.75" customHeight="1">
      <c r="A540" s="13"/>
      <c r="B540" s="13"/>
      <c r="C540" s="13"/>
      <c r="D540" s="13"/>
    </row>
    <row r="541" ht="15.75" customHeight="1">
      <c r="A541" s="13"/>
      <c r="B541" s="13"/>
      <c r="C541" s="13"/>
      <c r="D541" s="13"/>
    </row>
    <row r="542" ht="15.75" customHeight="1">
      <c r="A542" s="13"/>
      <c r="B542" s="13"/>
      <c r="C542" s="13"/>
      <c r="D542" s="13"/>
    </row>
    <row r="543" ht="15.75" customHeight="1">
      <c r="A543" s="13"/>
      <c r="B543" s="13"/>
      <c r="C543" s="13"/>
      <c r="D543" s="13"/>
    </row>
    <row r="544" ht="15.75" customHeight="1">
      <c r="A544" s="13"/>
      <c r="B544" s="13"/>
      <c r="C544" s="13"/>
      <c r="D544" s="13"/>
    </row>
    <row r="545" ht="15.75" customHeight="1">
      <c r="A545" s="13"/>
      <c r="B545" s="13"/>
      <c r="C545" s="13"/>
      <c r="D545" s="13"/>
    </row>
    <row r="546" ht="15.75" customHeight="1">
      <c r="A546" s="13"/>
      <c r="B546" s="13"/>
      <c r="C546" s="13"/>
      <c r="D546" s="13"/>
    </row>
    <row r="547" ht="15.75" customHeight="1">
      <c r="A547" s="13"/>
      <c r="B547" s="13"/>
      <c r="C547" s="13"/>
      <c r="D547" s="13"/>
    </row>
    <row r="548" ht="15.75" customHeight="1">
      <c r="A548" s="13"/>
      <c r="B548" s="13"/>
      <c r="C548" s="13"/>
      <c r="D548" s="13"/>
    </row>
    <row r="549" ht="15.75" customHeight="1">
      <c r="A549" s="13"/>
      <c r="B549" s="13"/>
      <c r="C549" s="13"/>
      <c r="D549" s="13"/>
    </row>
    <row r="550" ht="15.75" customHeight="1">
      <c r="A550" s="13"/>
      <c r="B550" s="13"/>
      <c r="C550" s="13"/>
      <c r="D550" s="13"/>
    </row>
    <row r="551" ht="15.75" customHeight="1">
      <c r="A551" s="13"/>
      <c r="B551" s="13"/>
      <c r="C551" s="13"/>
      <c r="D551" s="13"/>
    </row>
    <row r="552" ht="15.75" customHeight="1">
      <c r="A552" s="13"/>
      <c r="B552" s="13"/>
      <c r="C552" s="13"/>
      <c r="D552" s="13"/>
    </row>
    <row r="553" ht="15.75" customHeight="1">
      <c r="A553" s="13"/>
      <c r="B553" s="13"/>
      <c r="C553" s="13"/>
      <c r="D553" s="13"/>
    </row>
    <row r="554" ht="15.75" customHeight="1">
      <c r="A554" s="13"/>
      <c r="B554" s="13"/>
      <c r="C554" s="13"/>
      <c r="D554" s="13"/>
    </row>
    <row r="555" ht="15.75" customHeight="1">
      <c r="A555" s="13"/>
      <c r="B555" s="13"/>
      <c r="C555" s="13"/>
      <c r="D555" s="13"/>
    </row>
    <row r="556" ht="15.75" customHeight="1">
      <c r="A556" s="13"/>
      <c r="B556" s="13"/>
      <c r="C556" s="13"/>
      <c r="D556" s="13"/>
    </row>
    <row r="557" ht="15.75" customHeight="1">
      <c r="A557" s="13"/>
      <c r="B557" s="13"/>
      <c r="C557" s="13"/>
      <c r="D557" s="13"/>
    </row>
    <row r="558" ht="15.75" customHeight="1">
      <c r="A558" s="13"/>
      <c r="B558" s="13"/>
      <c r="C558" s="13"/>
      <c r="D558" s="13"/>
    </row>
    <row r="559" ht="15.75" customHeight="1">
      <c r="A559" s="13"/>
      <c r="B559" s="13"/>
      <c r="C559" s="13"/>
      <c r="D559" s="13"/>
    </row>
    <row r="560" ht="15.75" customHeight="1">
      <c r="A560" s="13"/>
      <c r="B560" s="13"/>
      <c r="C560" s="13"/>
      <c r="D560" s="13"/>
    </row>
    <row r="561" ht="15.75" customHeight="1">
      <c r="A561" s="13"/>
      <c r="B561" s="13"/>
      <c r="C561" s="13"/>
      <c r="D561" s="13"/>
    </row>
    <row r="562" ht="15.75" customHeight="1">
      <c r="A562" s="13"/>
      <c r="B562" s="13"/>
      <c r="C562" s="13"/>
      <c r="D562" s="13"/>
    </row>
    <row r="563" ht="15.75" customHeight="1">
      <c r="A563" s="13"/>
      <c r="B563" s="13"/>
      <c r="C563" s="13"/>
      <c r="D563" s="13"/>
    </row>
    <row r="564" ht="15.75" customHeight="1">
      <c r="A564" s="13"/>
      <c r="B564" s="13"/>
      <c r="C564" s="13"/>
      <c r="D564" s="13"/>
    </row>
    <row r="565" ht="15.75" customHeight="1">
      <c r="A565" s="13"/>
      <c r="B565" s="13"/>
      <c r="C565" s="13"/>
      <c r="D565" s="13"/>
    </row>
    <row r="566" ht="15.75" customHeight="1">
      <c r="A566" s="13"/>
      <c r="B566" s="13"/>
      <c r="C566" s="13"/>
      <c r="D566" s="13"/>
    </row>
    <row r="567" ht="15.75" customHeight="1">
      <c r="A567" s="13"/>
      <c r="B567" s="13"/>
      <c r="C567" s="13"/>
      <c r="D567" s="13"/>
    </row>
    <row r="568" ht="15.75" customHeight="1">
      <c r="A568" s="13"/>
      <c r="B568" s="13"/>
      <c r="C568" s="13"/>
      <c r="D568" s="13"/>
    </row>
    <row r="569" ht="15.75" customHeight="1">
      <c r="A569" s="13"/>
      <c r="B569" s="13"/>
      <c r="C569" s="13"/>
      <c r="D569" s="13"/>
    </row>
    <row r="570" ht="15.75" customHeight="1">
      <c r="A570" s="13"/>
      <c r="B570" s="13"/>
      <c r="C570" s="13"/>
      <c r="D570" s="13"/>
    </row>
    <row r="571" ht="15.75" customHeight="1">
      <c r="A571" s="13"/>
      <c r="B571" s="13"/>
      <c r="C571" s="13"/>
      <c r="D571" s="13"/>
    </row>
    <row r="572" ht="15.75" customHeight="1">
      <c r="A572" s="13"/>
      <c r="B572" s="13"/>
      <c r="C572" s="13"/>
      <c r="D572" s="13"/>
    </row>
    <row r="573" ht="15.75" customHeight="1">
      <c r="A573" s="13"/>
      <c r="B573" s="13"/>
      <c r="C573" s="13"/>
      <c r="D573" s="13"/>
    </row>
    <row r="574" ht="15.75" customHeight="1">
      <c r="A574" s="13"/>
      <c r="B574" s="13"/>
      <c r="C574" s="13"/>
      <c r="D574" s="13"/>
    </row>
    <row r="575" ht="15.75" customHeight="1">
      <c r="A575" s="13"/>
      <c r="B575" s="13"/>
      <c r="C575" s="13"/>
      <c r="D575" s="13"/>
    </row>
    <row r="576" ht="15.75" customHeight="1">
      <c r="A576" s="13"/>
      <c r="B576" s="13"/>
      <c r="C576" s="13"/>
      <c r="D576" s="13"/>
    </row>
    <row r="577" ht="15.75" customHeight="1">
      <c r="A577" s="13"/>
      <c r="B577" s="13"/>
      <c r="C577" s="13"/>
      <c r="D577" s="13"/>
    </row>
    <row r="578" ht="15.75" customHeight="1">
      <c r="A578" s="13"/>
      <c r="B578" s="13"/>
      <c r="C578" s="13"/>
      <c r="D578" s="13"/>
    </row>
    <row r="579" ht="15.75" customHeight="1">
      <c r="A579" s="13"/>
      <c r="B579" s="13"/>
      <c r="C579" s="13"/>
      <c r="D579" s="13"/>
    </row>
    <row r="580" ht="15.75" customHeight="1">
      <c r="A580" s="13"/>
      <c r="B580" s="13"/>
      <c r="C580" s="13"/>
      <c r="D580" s="13"/>
    </row>
    <row r="581" ht="15.75" customHeight="1">
      <c r="A581" s="13"/>
      <c r="B581" s="13"/>
      <c r="C581" s="13"/>
      <c r="D581" s="13"/>
    </row>
    <row r="582" ht="15.75" customHeight="1">
      <c r="A582" s="13"/>
      <c r="B582" s="13"/>
      <c r="C582" s="13"/>
      <c r="D582" s="13"/>
    </row>
    <row r="583" ht="15.75" customHeight="1">
      <c r="A583" s="13"/>
      <c r="B583" s="13"/>
      <c r="C583" s="13"/>
      <c r="D583" s="13"/>
    </row>
    <row r="584" ht="15.75" customHeight="1">
      <c r="A584" s="13"/>
      <c r="B584" s="13"/>
      <c r="C584" s="13"/>
      <c r="D584" s="13"/>
    </row>
    <row r="585" ht="15.75" customHeight="1">
      <c r="A585" s="13"/>
      <c r="B585" s="13"/>
      <c r="C585" s="13"/>
      <c r="D585" s="13"/>
    </row>
    <row r="586" ht="15.75" customHeight="1">
      <c r="A586" s="13"/>
      <c r="B586" s="13"/>
      <c r="C586" s="13"/>
      <c r="D586" s="13"/>
    </row>
    <row r="587" ht="15.75" customHeight="1">
      <c r="A587" s="13"/>
      <c r="B587" s="13"/>
      <c r="C587" s="13"/>
      <c r="D587" s="13"/>
    </row>
    <row r="588" ht="15.75" customHeight="1">
      <c r="A588" s="13"/>
      <c r="B588" s="13"/>
      <c r="C588" s="13"/>
      <c r="D588" s="13"/>
    </row>
    <row r="589" ht="15.75" customHeight="1">
      <c r="A589" s="13"/>
      <c r="B589" s="13"/>
      <c r="C589" s="13"/>
      <c r="D589" s="13"/>
    </row>
    <row r="590" ht="15.75" customHeight="1">
      <c r="A590" s="13"/>
      <c r="B590" s="13"/>
      <c r="C590" s="13"/>
      <c r="D590" s="13"/>
    </row>
    <row r="591" ht="15.75" customHeight="1">
      <c r="A591" s="13"/>
      <c r="B591" s="13"/>
      <c r="C591" s="13"/>
      <c r="D591" s="13"/>
    </row>
    <row r="592" ht="15.75" customHeight="1">
      <c r="A592" s="13"/>
      <c r="B592" s="13"/>
      <c r="C592" s="13"/>
      <c r="D592" s="13"/>
    </row>
    <row r="593" ht="15.75" customHeight="1">
      <c r="A593" s="13"/>
      <c r="B593" s="13"/>
      <c r="C593" s="13"/>
      <c r="D593" s="13"/>
    </row>
    <row r="594" ht="15.75" customHeight="1">
      <c r="A594" s="13"/>
      <c r="B594" s="13"/>
      <c r="C594" s="13"/>
      <c r="D594" s="13"/>
    </row>
    <row r="595" ht="15.75" customHeight="1">
      <c r="A595" s="13"/>
      <c r="B595" s="13"/>
      <c r="C595" s="13"/>
      <c r="D595" s="13"/>
    </row>
    <row r="596" ht="15.75" customHeight="1">
      <c r="A596" s="13"/>
      <c r="B596" s="13"/>
      <c r="C596" s="13"/>
      <c r="D596" s="13"/>
    </row>
    <row r="597" ht="15.75" customHeight="1">
      <c r="A597" s="13"/>
      <c r="B597" s="13"/>
      <c r="C597" s="13"/>
      <c r="D597" s="13"/>
    </row>
    <row r="598" ht="15.75" customHeight="1">
      <c r="A598" s="13"/>
      <c r="B598" s="13"/>
      <c r="C598" s="13"/>
      <c r="D598" s="13"/>
    </row>
    <row r="599" ht="15.75" customHeight="1">
      <c r="A599" s="13"/>
      <c r="B599" s="13"/>
      <c r="C599" s="13"/>
      <c r="D599" s="13"/>
    </row>
    <row r="600" ht="15.75" customHeight="1">
      <c r="A600" s="13"/>
      <c r="B600" s="13"/>
      <c r="C600" s="13"/>
      <c r="D600" s="13"/>
    </row>
    <row r="601" ht="15.75" customHeight="1">
      <c r="A601" s="13"/>
      <c r="B601" s="13"/>
      <c r="C601" s="13"/>
      <c r="D601" s="13"/>
    </row>
    <row r="602" ht="15.75" customHeight="1">
      <c r="A602" s="13"/>
      <c r="B602" s="13"/>
      <c r="C602" s="13"/>
      <c r="D602" s="13"/>
    </row>
    <row r="603" ht="15.75" customHeight="1">
      <c r="A603" s="13"/>
      <c r="B603" s="13"/>
      <c r="C603" s="13"/>
      <c r="D603" s="13"/>
    </row>
    <row r="604" ht="15.75" customHeight="1">
      <c r="A604" s="13"/>
      <c r="B604" s="13"/>
      <c r="C604" s="13"/>
      <c r="D604" s="13"/>
    </row>
    <row r="605" ht="15.75" customHeight="1">
      <c r="A605" s="13"/>
      <c r="B605" s="13"/>
      <c r="C605" s="13"/>
      <c r="D605" s="13"/>
    </row>
    <row r="606" ht="15.75" customHeight="1">
      <c r="A606" s="13"/>
      <c r="B606" s="13"/>
      <c r="C606" s="13"/>
      <c r="D606" s="13"/>
    </row>
    <row r="607" ht="15.75" customHeight="1">
      <c r="A607" s="13"/>
      <c r="B607" s="13"/>
      <c r="C607" s="13"/>
      <c r="D607" s="13"/>
    </row>
    <row r="608" ht="15.75" customHeight="1">
      <c r="A608" s="13"/>
      <c r="B608" s="13"/>
      <c r="C608" s="13"/>
      <c r="D608" s="13"/>
    </row>
    <row r="609" ht="15.75" customHeight="1">
      <c r="A609" s="13"/>
      <c r="B609" s="13"/>
      <c r="C609" s="13"/>
      <c r="D609" s="13"/>
    </row>
    <row r="610" ht="15.75" customHeight="1">
      <c r="A610" s="13"/>
      <c r="B610" s="13"/>
      <c r="C610" s="13"/>
      <c r="D610" s="13"/>
    </row>
    <row r="611" ht="15.75" customHeight="1">
      <c r="A611" s="13"/>
      <c r="B611" s="13"/>
      <c r="C611" s="13"/>
      <c r="D611" s="13"/>
    </row>
    <row r="612" ht="15.75" customHeight="1">
      <c r="A612" s="13"/>
      <c r="B612" s="13"/>
      <c r="C612" s="13"/>
      <c r="D612" s="13"/>
    </row>
    <row r="613" ht="15.75" customHeight="1">
      <c r="A613" s="13"/>
      <c r="B613" s="13"/>
      <c r="C613" s="13"/>
      <c r="D613" s="13"/>
    </row>
    <row r="614" ht="15.75" customHeight="1">
      <c r="A614" s="13"/>
      <c r="B614" s="13"/>
      <c r="C614" s="13"/>
      <c r="D614" s="13"/>
    </row>
    <row r="615" ht="15.75" customHeight="1">
      <c r="A615" s="13"/>
      <c r="B615" s="13"/>
      <c r="C615" s="13"/>
      <c r="D615" s="13"/>
    </row>
    <row r="616" ht="15.75" customHeight="1">
      <c r="A616" s="13"/>
      <c r="B616" s="13"/>
      <c r="C616" s="13"/>
      <c r="D616" s="13"/>
    </row>
    <row r="617" ht="15.75" customHeight="1">
      <c r="A617" s="13"/>
      <c r="B617" s="13"/>
      <c r="C617" s="13"/>
      <c r="D617" s="13"/>
    </row>
    <row r="618" ht="15.75" customHeight="1">
      <c r="A618" s="13"/>
      <c r="B618" s="13"/>
      <c r="C618" s="13"/>
      <c r="D618" s="13"/>
    </row>
    <row r="619" ht="15.75" customHeight="1">
      <c r="A619" s="13"/>
      <c r="B619" s="13"/>
      <c r="C619" s="13"/>
      <c r="D619" s="13"/>
    </row>
    <row r="620" ht="15.75" customHeight="1">
      <c r="A620" s="13"/>
      <c r="B620" s="13"/>
      <c r="C620" s="13"/>
      <c r="D620" s="13"/>
    </row>
    <row r="621" ht="15.75" customHeight="1">
      <c r="A621" s="13"/>
      <c r="B621" s="13"/>
      <c r="C621" s="13"/>
      <c r="D621" s="13"/>
    </row>
    <row r="622" ht="15.75" customHeight="1">
      <c r="A622" s="13"/>
      <c r="B622" s="13"/>
      <c r="C622" s="13"/>
      <c r="D622" s="13"/>
    </row>
    <row r="623" ht="15.75" customHeight="1">
      <c r="A623" s="13"/>
      <c r="B623" s="13"/>
      <c r="C623" s="13"/>
      <c r="D623" s="13"/>
    </row>
    <row r="624" ht="15.75" customHeight="1">
      <c r="A624" s="13"/>
      <c r="B624" s="13"/>
      <c r="C624" s="13"/>
      <c r="D624" s="13"/>
    </row>
    <row r="625" ht="15.75" customHeight="1">
      <c r="A625" s="13"/>
      <c r="B625" s="13"/>
      <c r="C625" s="13"/>
      <c r="D625" s="13"/>
    </row>
    <row r="626" ht="15.75" customHeight="1">
      <c r="A626" s="13"/>
      <c r="B626" s="13"/>
      <c r="C626" s="13"/>
      <c r="D626" s="13"/>
    </row>
    <row r="627" ht="15.75" customHeight="1">
      <c r="A627" s="13"/>
      <c r="B627" s="13"/>
      <c r="C627" s="13"/>
      <c r="D627" s="13"/>
    </row>
    <row r="628" ht="15.75" customHeight="1">
      <c r="A628" s="13"/>
      <c r="B628" s="13"/>
      <c r="C628" s="13"/>
      <c r="D628" s="13"/>
    </row>
    <row r="629" ht="15.75" customHeight="1">
      <c r="A629" s="13"/>
      <c r="B629" s="13"/>
      <c r="C629" s="13"/>
      <c r="D629" s="13"/>
    </row>
    <row r="630" ht="15.75" customHeight="1">
      <c r="A630" s="13"/>
      <c r="B630" s="13"/>
      <c r="C630" s="13"/>
      <c r="D630" s="13"/>
    </row>
    <row r="631" ht="15.75" customHeight="1">
      <c r="A631" s="13"/>
      <c r="B631" s="13"/>
      <c r="C631" s="13"/>
      <c r="D631" s="13"/>
    </row>
    <row r="632" ht="15.75" customHeight="1">
      <c r="A632" s="13"/>
      <c r="B632" s="13"/>
      <c r="C632" s="13"/>
      <c r="D632" s="13"/>
    </row>
    <row r="633" ht="15.75" customHeight="1">
      <c r="A633" s="13"/>
      <c r="B633" s="13"/>
      <c r="C633" s="13"/>
      <c r="D633" s="13"/>
    </row>
    <row r="634" ht="15.75" customHeight="1">
      <c r="A634" s="13"/>
      <c r="B634" s="13"/>
      <c r="C634" s="13"/>
      <c r="D634" s="13"/>
    </row>
    <row r="635" ht="15.75" customHeight="1">
      <c r="A635" s="13"/>
      <c r="B635" s="13"/>
      <c r="C635" s="13"/>
      <c r="D635" s="13"/>
    </row>
    <row r="636" ht="15.75" customHeight="1">
      <c r="A636" s="13"/>
      <c r="B636" s="13"/>
      <c r="C636" s="13"/>
      <c r="D636" s="13"/>
    </row>
    <row r="637" ht="15.75" customHeight="1">
      <c r="A637" s="13"/>
      <c r="B637" s="13"/>
      <c r="C637" s="13"/>
      <c r="D637" s="13"/>
    </row>
    <row r="638" ht="15.75" customHeight="1">
      <c r="A638" s="13"/>
      <c r="B638" s="13"/>
      <c r="C638" s="13"/>
      <c r="D638" s="13"/>
    </row>
    <row r="639" ht="15.75" customHeight="1">
      <c r="A639" s="13"/>
      <c r="B639" s="13"/>
      <c r="C639" s="13"/>
      <c r="D639" s="13"/>
    </row>
    <row r="640" ht="15.75" customHeight="1">
      <c r="A640" s="13"/>
      <c r="B640" s="13"/>
      <c r="C640" s="13"/>
      <c r="D640" s="13"/>
    </row>
    <row r="641" ht="15.75" customHeight="1">
      <c r="A641" s="13"/>
      <c r="B641" s="13"/>
      <c r="C641" s="13"/>
      <c r="D641" s="13"/>
    </row>
    <row r="642" ht="15.75" customHeight="1">
      <c r="A642" s="13"/>
      <c r="B642" s="13"/>
      <c r="C642" s="13"/>
      <c r="D642" s="13"/>
    </row>
    <row r="643" ht="15.75" customHeight="1">
      <c r="A643" s="13"/>
      <c r="B643" s="13"/>
      <c r="C643" s="13"/>
      <c r="D643" s="13"/>
    </row>
    <row r="644" ht="15.75" customHeight="1">
      <c r="A644" s="13"/>
      <c r="B644" s="13"/>
      <c r="C644" s="13"/>
      <c r="D644" s="13"/>
    </row>
    <row r="645" ht="15.75" customHeight="1">
      <c r="A645" s="13"/>
      <c r="B645" s="13"/>
      <c r="C645" s="13"/>
      <c r="D645" s="13"/>
    </row>
    <row r="646" ht="15.75" customHeight="1">
      <c r="A646" s="13"/>
      <c r="B646" s="13"/>
      <c r="C646" s="13"/>
      <c r="D646" s="13"/>
    </row>
    <row r="647" ht="15.75" customHeight="1">
      <c r="A647" s="13"/>
      <c r="B647" s="13"/>
      <c r="C647" s="13"/>
      <c r="D647" s="13"/>
    </row>
    <row r="648" ht="15.75" customHeight="1">
      <c r="A648" s="13"/>
      <c r="B648" s="13"/>
      <c r="C648" s="13"/>
      <c r="D648" s="13"/>
    </row>
    <row r="649" ht="15.75" customHeight="1">
      <c r="A649" s="13"/>
      <c r="B649" s="13"/>
      <c r="C649" s="13"/>
      <c r="D649" s="13"/>
    </row>
    <row r="650" ht="15.75" customHeight="1">
      <c r="A650" s="13"/>
      <c r="B650" s="13"/>
      <c r="C650" s="13"/>
      <c r="D650" s="13"/>
    </row>
    <row r="651" ht="15.75" customHeight="1">
      <c r="A651" s="13"/>
      <c r="B651" s="13"/>
      <c r="C651" s="13"/>
      <c r="D651" s="13"/>
    </row>
    <row r="652" ht="15.75" customHeight="1">
      <c r="A652" s="13"/>
      <c r="B652" s="13"/>
      <c r="C652" s="13"/>
      <c r="D652" s="13"/>
    </row>
    <row r="653" ht="15.75" customHeight="1">
      <c r="A653" s="13"/>
      <c r="B653" s="13"/>
      <c r="C653" s="13"/>
      <c r="D653" s="13"/>
    </row>
    <row r="654" ht="15.75" customHeight="1">
      <c r="A654" s="13"/>
      <c r="B654" s="13"/>
      <c r="C654" s="13"/>
      <c r="D654" s="13"/>
    </row>
    <row r="655" ht="15.75" customHeight="1">
      <c r="A655" s="13"/>
      <c r="B655" s="13"/>
      <c r="C655" s="13"/>
      <c r="D655" s="13"/>
    </row>
    <row r="656" ht="15.75" customHeight="1">
      <c r="A656" s="13"/>
      <c r="B656" s="13"/>
      <c r="C656" s="13"/>
      <c r="D656" s="13"/>
    </row>
    <row r="657" ht="15.75" customHeight="1">
      <c r="A657" s="13"/>
      <c r="B657" s="13"/>
      <c r="C657" s="13"/>
      <c r="D657" s="13"/>
    </row>
    <row r="658" ht="15.75" customHeight="1">
      <c r="A658" s="13"/>
      <c r="B658" s="13"/>
      <c r="C658" s="13"/>
      <c r="D658" s="13"/>
    </row>
    <row r="659" ht="15.75" customHeight="1">
      <c r="A659" s="13"/>
      <c r="B659" s="13"/>
      <c r="C659" s="13"/>
      <c r="D659" s="13"/>
    </row>
    <row r="660" ht="15.75" customHeight="1">
      <c r="A660" s="13"/>
      <c r="B660" s="13"/>
      <c r="C660" s="13"/>
      <c r="D660" s="13"/>
    </row>
    <row r="661" ht="15.75" customHeight="1">
      <c r="A661" s="13"/>
      <c r="B661" s="13"/>
      <c r="C661" s="13"/>
      <c r="D661" s="13"/>
    </row>
    <row r="662" ht="15.75" customHeight="1">
      <c r="A662" s="13"/>
      <c r="B662" s="13"/>
      <c r="C662" s="13"/>
      <c r="D662" s="13"/>
    </row>
    <row r="663" ht="15.75" customHeight="1">
      <c r="A663" s="13"/>
      <c r="B663" s="13"/>
      <c r="C663" s="13"/>
      <c r="D663" s="13"/>
    </row>
    <row r="664" ht="15.75" customHeight="1">
      <c r="A664" s="13"/>
      <c r="B664" s="13"/>
      <c r="C664" s="13"/>
      <c r="D664" s="13"/>
    </row>
    <row r="665" ht="15.75" customHeight="1">
      <c r="A665" s="13"/>
      <c r="B665" s="13"/>
      <c r="C665" s="13"/>
      <c r="D665" s="13"/>
    </row>
    <row r="666" ht="15.75" customHeight="1">
      <c r="A666" s="13"/>
      <c r="B666" s="13"/>
      <c r="C666" s="13"/>
      <c r="D666" s="13"/>
    </row>
    <row r="667" ht="15.75" customHeight="1">
      <c r="A667" s="13"/>
      <c r="B667" s="13"/>
      <c r="C667" s="13"/>
      <c r="D667" s="13"/>
    </row>
    <row r="668" ht="15.75" customHeight="1">
      <c r="A668" s="13"/>
      <c r="B668" s="13"/>
      <c r="C668" s="13"/>
      <c r="D668" s="13"/>
    </row>
    <row r="669" ht="15.75" customHeight="1">
      <c r="A669" s="13"/>
      <c r="B669" s="13"/>
      <c r="C669" s="13"/>
      <c r="D669" s="13"/>
    </row>
    <row r="670" ht="15.75" customHeight="1">
      <c r="A670" s="13"/>
      <c r="B670" s="13"/>
      <c r="C670" s="13"/>
      <c r="D670" s="13"/>
    </row>
    <row r="671" ht="15.75" customHeight="1">
      <c r="A671" s="13"/>
      <c r="B671" s="13"/>
      <c r="C671" s="13"/>
      <c r="D671" s="13"/>
    </row>
    <row r="672" ht="15.75" customHeight="1">
      <c r="A672" s="13"/>
      <c r="B672" s="13"/>
      <c r="C672" s="13"/>
      <c r="D672" s="13"/>
    </row>
    <row r="673" ht="15.75" customHeight="1">
      <c r="A673" s="13"/>
      <c r="B673" s="13"/>
      <c r="C673" s="13"/>
      <c r="D673" s="13"/>
    </row>
    <row r="674" ht="15.75" customHeight="1">
      <c r="A674" s="13"/>
      <c r="B674" s="13"/>
      <c r="C674" s="13"/>
      <c r="D674" s="13"/>
    </row>
    <row r="675" ht="15.75" customHeight="1">
      <c r="A675" s="13"/>
      <c r="B675" s="13"/>
      <c r="C675" s="13"/>
      <c r="D675" s="13"/>
    </row>
    <row r="676" ht="15.75" customHeight="1">
      <c r="A676" s="13"/>
      <c r="B676" s="13"/>
      <c r="C676" s="13"/>
      <c r="D676" s="13"/>
    </row>
    <row r="677" ht="15.75" customHeight="1">
      <c r="A677" s="13"/>
      <c r="B677" s="13"/>
      <c r="C677" s="13"/>
      <c r="D677" s="13"/>
    </row>
    <row r="678" ht="15.75" customHeight="1">
      <c r="A678" s="13"/>
      <c r="B678" s="13"/>
      <c r="C678" s="13"/>
      <c r="D678" s="13"/>
    </row>
    <row r="679" ht="15.75" customHeight="1">
      <c r="A679" s="13"/>
      <c r="B679" s="13"/>
      <c r="C679" s="13"/>
      <c r="D679" s="13"/>
    </row>
    <row r="680" ht="15.75" customHeight="1">
      <c r="A680" s="13"/>
      <c r="B680" s="13"/>
      <c r="C680" s="13"/>
      <c r="D680" s="13"/>
    </row>
    <row r="681" ht="15.75" customHeight="1">
      <c r="A681" s="13"/>
      <c r="B681" s="13"/>
      <c r="C681" s="13"/>
      <c r="D681" s="13"/>
    </row>
    <row r="682" ht="15.75" customHeight="1">
      <c r="A682" s="13"/>
      <c r="B682" s="13"/>
      <c r="C682" s="13"/>
      <c r="D682" s="13"/>
    </row>
    <row r="683" ht="15.75" customHeight="1">
      <c r="A683" s="13"/>
      <c r="B683" s="13"/>
      <c r="C683" s="13"/>
      <c r="D683" s="13"/>
    </row>
    <row r="684" ht="15.75" customHeight="1">
      <c r="A684" s="13"/>
      <c r="B684" s="13"/>
      <c r="C684" s="13"/>
      <c r="D684" s="13"/>
    </row>
    <row r="685" ht="15.75" customHeight="1">
      <c r="A685" s="13"/>
      <c r="B685" s="13"/>
      <c r="C685" s="13"/>
      <c r="D685" s="13"/>
    </row>
    <row r="686" ht="15.75" customHeight="1">
      <c r="A686" s="13"/>
      <c r="B686" s="13"/>
      <c r="C686" s="13"/>
      <c r="D686" s="13"/>
    </row>
    <row r="687" ht="15.75" customHeight="1">
      <c r="A687" s="13"/>
      <c r="B687" s="13"/>
      <c r="C687" s="13"/>
      <c r="D687" s="13"/>
    </row>
    <row r="688" ht="15.75" customHeight="1">
      <c r="A688" s="13"/>
      <c r="B688" s="13"/>
      <c r="C688" s="13"/>
      <c r="D688" s="13"/>
    </row>
    <row r="689" ht="15.75" customHeight="1">
      <c r="A689" s="13"/>
      <c r="B689" s="13"/>
      <c r="C689" s="13"/>
      <c r="D689" s="13"/>
    </row>
    <row r="690" ht="15.75" customHeight="1">
      <c r="A690" s="13"/>
      <c r="B690" s="13"/>
      <c r="C690" s="13"/>
      <c r="D690" s="13"/>
    </row>
    <row r="691" ht="15.75" customHeight="1">
      <c r="A691" s="13"/>
      <c r="B691" s="13"/>
      <c r="C691" s="13"/>
      <c r="D691" s="13"/>
    </row>
    <row r="692" ht="15.75" customHeight="1">
      <c r="A692" s="13"/>
      <c r="B692" s="13"/>
      <c r="C692" s="13"/>
      <c r="D692" s="13"/>
    </row>
    <row r="693" ht="15.75" customHeight="1">
      <c r="A693" s="13"/>
      <c r="B693" s="13"/>
      <c r="C693" s="13"/>
      <c r="D693" s="13"/>
    </row>
    <row r="694" ht="15.75" customHeight="1">
      <c r="A694" s="13"/>
      <c r="B694" s="13"/>
      <c r="C694" s="13"/>
      <c r="D694" s="13"/>
    </row>
    <row r="695" ht="15.75" customHeight="1">
      <c r="A695" s="13"/>
      <c r="B695" s="13"/>
      <c r="C695" s="13"/>
      <c r="D695" s="13"/>
    </row>
    <row r="696" ht="15.75" customHeight="1">
      <c r="A696" s="13"/>
      <c r="B696" s="13"/>
      <c r="C696" s="13"/>
      <c r="D696" s="13"/>
    </row>
    <row r="697" ht="15.75" customHeight="1">
      <c r="A697" s="13"/>
      <c r="B697" s="13"/>
      <c r="C697" s="13"/>
      <c r="D697" s="13"/>
    </row>
    <row r="698" ht="15.75" customHeight="1">
      <c r="A698" s="13"/>
      <c r="B698" s="13"/>
      <c r="C698" s="13"/>
      <c r="D698" s="13"/>
    </row>
    <row r="699" ht="15.75" customHeight="1">
      <c r="A699" s="13"/>
      <c r="B699" s="13"/>
      <c r="C699" s="13"/>
      <c r="D699" s="13"/>
    </row>
    <row r="700" ht="15.75" customHeight="1">
      <c r="A700" s="13"/>
      <c r="B700" s="13"/>
      <c r="C700" s="13"/>
      <c r="D700" s="13"/>
    </row>
    <row r="701" ht="15.75" customHeight="1">
      <c r="A701" s="13"/>
      <c r="B701" s="13"/>
      <c r="C701" s="13"/>
      <c r="D701" s="13"/>
    </row>
    <row r="702" ht="15.75" customHeight="1">
      <c r="A702" s="13"/>
      <c r="B702" s="13"/>
      <c r="C702" s="13"/>
      <c r="D702" s="13"/>
    </row>
    <row r="703" ht="15.75" customHeight="1">
      <c r="A703" s="13"/>
      <c r="B703" s="13"/>
      <c r="C703" s="13"/>
      <c r="D703" s="13"/>
    </row>
    <row r="704" ht="15.75" customHeight="1">
      <c r="A704" s="13"/>
      <c r="B704" s="13"/>
      <c r="C704" s="13"/>
      <c r="D704" s="13"/>
    </row>
    <row r="705" ht="15.75" customHeight="1">
      <c r="A705" s="13"/>
      <c r="B705" s="13"/>
      <c r="C705" s="13"/>
      <c r="D705" s="13"/>
    </row>
    <row r="706" ht="15.75" customHeight="1">
      <c r="A706" s="13"/>
      <c r="B706" s="13"/>
      <c r="C706" s="13"/>
      <c r="D706" s="13"/>
    </row>
    <row r="707" ht="15.75" customHeight="1">
      <c r="A707" s="13"/>
      <c r="B707" s="13"/>
      <c r="C707" s="13"/>
      <c r="D707" s="13"/>
    </row>
    <row r="708" ht="15.75" customHeight="1">
      <c r="A708" s="13"/>
      <c r="B708" s="13"/>
      <c r="C708" s="13"/>
      <c r="D708" s="13"/>
    </row>
    <row r="709" ht="15.75" customHeight="1">
      <c r="A709" s="13"/>
      <c r="B709" s="13"/>
      <c r="C709" s="13"/>
      <c r="D709" s="13"/>
    </row>
    <row r="710" ht="15.75" customHeight="1">
      <c r="A710" s="13"/>
      <c r="B710" s="13"/>
      <c r="C710" s="13"/>
      <c r="D710" s="13"/>
    </row>
    <row r="711" ht="15.75" customHeight="1">
      <c r="A711" s="13"/>
      <c r="B711" s="13"/>
      <c r="C711" s="13"/>
      <c r="D711" s="13"/>
    </row>
    <row r="712" ht="15.75" customHeight="1">
      <c r="A712" s="13"/>
      <c r="B712" s="13"/>
      <c r="C712" s="13"/>
      <c r="D712" s="13"/>
    </row>
    <row r="713" ht="15.75" customHeight="1">
      <c r="A713" s="13"/>
      <c r="B713" s="13"/>
      <c r="C713" s="13"/>
      <c r="D713" s="13"/>
    </row>
    <row r="714" ht="15.75" customHeight="1">
      <c r="A714" s="13"/>
      <c r="B714" s="13"/>
      <c r="C714" s="13"/>
      <c r="D714" s="13"/>
    </row>
    <row r="715" ht="15.75" customHeight="1">
      <c r="A715" s="13"/>
      <c r="B715" s="13"/>
      <c r="C715" s="13"/>
      <c r="D715" s="13"/>
    </row>
    <row r="716" ht="15.75" customHeight="1">
      <c r="A716" s="13"/>
      <c r="B716" s="13"/>
      <c r="C716" s="13"/>
      <c r="D716" s="13"/>
    </row>
    <row r="717" ht="15.75" customHeight="1">
      <c r="A717" s="13"/>
      <c r="B717" s="13"/>
      <c r="C717" s="13"/>
      <c r="D717" s="13"/>
    </row>
    <row r="718" ht="15.75" customHeight="1">
      <c r="A718" s="13"/>
      <c r="B718" s="13"/>
      <c r="C718" s="13"/>
      <c r="D718" s="13"/>
    </row>
    <row r="719" ht="15.75" customHeight="1">
      <c r="A719" s="13"/>
      <c r="B719" s="13"/>
      <c r="C719" s="13"/>
      <c r="D719" s="13"/>
    </row>
    <row r="720" ht="15.75" customHeight="1">
      <c r="A720" s="13"/>
      <c r="B720" s="13"/>
      <c r="C720" s="13"/>
      <c r="D720" s="13"/>
    </row>
    <row r="721" ht="15.75" customHeight="1">
      <c r="A721" s="13"/>
      <c r="B721" s="13"/>
      <c r="C721" s="13"/>
      <c r="D721" s="13"/>
    </row>
    <row r="722" ht="15.75" customHeight="1">
      <c r="A722" s="13"/>
      <c r="B722" s="13"/>
      <c r="C722" s="13"/>
      <c r="D722" s="13"/>
    </row>
    <row r="723" ht="15.75" customHeight="1">
      <c r="A723" s="13"/>
      <c r="B723" s="13"/>
      <c r="C723" s="13"/>
      <c r="D723" s="13"/>
    </row>
    <row r="724" ht="15.75" customHeight="1">
      <c r="A724" s="13"/>
      <c r="B724" s="13"/>
      <c r="C724" s="13"/>
      <c r="D724" s="13"/>
    </row>
    <row r="725" ht="15.75" customHeight="1">
      <c r="A725" s="13"/>
      <c r="B725" s="13"/>
      <c r="C725" s="13"/>
      <c r="D725" s="13"/>
    </row>
    <row r="726" ht="15.75" customHeight="1">
      <c r="A726" s="13"/>
      <c r="B726" s="13"/>
      <c r="C726" s="13"/>
      <c r="D726" s="13"/>
    </row>
    <row r="727" ht="15.75" customHeight="1">
      <c r="A727" s="13"/>
      <c r="B727" s="13"/>
      <c r="C727" s="13"/>
      <c r="D727" s="13"/>
    </row>
    <row r="728" ht="15.75" customHeight="1">
      <c r="A728" s="13"/>
      <c r="B728" s="13"/>
      <c r="C728" s="13"/>
      <c r="D728" s="13"/>
    </row>
    <row r="729" ht="15.75" customHeight="1">
      <c r="A729" s="13"/>
      <c r="B729" s="13"/>
      <c r="C729" s="13"/>
      <c r="D729" s="13"/>
    </row>
    <row r="730" ht="15.75" customHeight="1">
      <c r="A730" s="13"/>
      <c r="B730" s="13"/>
      <c r="C730" s="13"/>
      <c r="D730" s="13"/>
    </row>
    <row r="731" ht="15.75" customHeight="1">
      <c r="A731" s="13"/>
      <c r="B731" s="13"/>
      <c r="C731" s="13"/>
      <c r="D731" s="13"/>
    </row>
    <row r="732" ht="15.75" customHeight="1">
      <c r="A732" s="13"/>
      <c r="B732" s="13"/>
      <c r="C732" s="13"/>
      <c r="D732" s="13"/>
    </row>
    <row r="733" ht="15.75" customHeight="1">
      <c r="A733" s="13"/>
      <c r="B733" s="13"/>
      <c r="C733" s="13"/>
      <c r="D733" s="13"/>
    </row>
    <row r="734" ht="15.75" customHeight="1">
      <c r="A734" s="13"/>
      <c r="B734" s="13"/>
      <c r="C734" s="13"/>
      <c r="D734" s="13"/>
    </row>
    <row r="735" ht="15.75" customHeight="1">
      <c r="A735" s="13"/>
      <c r="B735" s="13"/>
      <c r="C735" s="13"/>
      <c r="D735" s="13"/>
    </row>
    <row r="736" ht="15.75" customHeight="1">
      <c r="A736" s="13"/>
      <c r="B736" s="13"/>
      <c r="C736" s="13"/>
      <c r="D736" s="13"/>
    </row>
    <row r="737" ht="15.75" customHeight="1">
      <c r="A737" s="13"/>
      <c r="B737" s="13"/>
      <c r="C737" s="13"/>
      <c r="D737" s="13"/>
    </row>
    <row r="738" ht="15.75" customHeight="1">
      <c r="A738" s="13"/>
      <c r="B738" s="13"/>
      <c r="C738" s="13"/>
      <c r="D738" s="13"/>
    </row>
    <row r="739" ht="15.75" customHeight="1">
      <c r="A739" s="13"/>
      <c r="B739" s="13"/>
      <c r="C739" s="13"/>
      <c r="D739" s="13"/>
    </row>
    <row r="740" ht="15.75" customHeight="1">
      <c r="A740" s="13"/>
      <c r="B740" s="13"/>
      <c r="C740" s="13"/>
      <c r="D740" s="13"/>
    </row>
    <row r="741" ht="15.75" customHeight="1">
      <c r="A741" s="13"/>
      <c r="B741" s="13"/>
      <c r="C741" s="13"/>
      <c r="D741" s="13"/>
    </row>
    <row r="742" ht="15.75" customHeight="1">
      <c r="A742" s="13"/>
      <c r="B742" s="13"/>
      <c r="C742" s="13"/>
      <c r="D742" s="13"/>
    </row>
    <row r="743" ht="15.75" customHeight="1">
      <c r="A743" s="13"/>
      <c r="B743" s="13"/>
      <c r="C743" s="13"/>
      <c r="D743" s="13"/>
    </row>
    <row r="744" ht="15.75" customHeight="1">
      <c r="A744" s="13"/>
      <c r="B744" s="13"/>
      <c r="C744" s="13"/>
      <c r="D744" s="13"/>
    </row>
    <row r="745" ht="15.75" customHeight="1">
      <c r="A745" s="13"/>
      <c r="B745" s="13"/>
      <c r="C745" s="13"/>
      <c r="D745" s="13"/>
    </row>
    <row r="746" ht="15.75" customHeight="1">
      <c r="A746" s="13"/>
      <c r="B746" s="13"/>
      <c r="C746" s="13"/>
      <c r="D746" s="13"/>
    </row>
    <row r="747" ht="15.75" customHeight="1">
      <c r="A747" s="13"/>
      <c r="B747" s="13"/>
      <c r="C747" s="13"/>
      <c r="D747" s="13"/>
    </row>
    <row r="748" ht="15.75" customHeight="1">
      <c r="A748" s="13"/>
      <c r="B748" s="13"/>
      <c r="C748" s="13"/>
      <c r="D748" s="13"/>
    </row>
    <row r="749" ht="15.75" customHeight="1">
      <c r="A749" s="13"/>
      <c r="B749" s="13"/>
      <c r="C749" s="13"/>
      <c r="D749" s="13"/>
    </row>
    <row r="750" ht="15.75" customHeight="1">
      <c r="A750" s="13"/>
      <c r="B750" s="13"/>
      <c r="C750" s="13"/>
      <c r="D750" s="13"/>
    </row>
    <row r="751" ht="15.75" customHeight="1">
      <c r="A751" s="13"/>
      <c r="B751" s="13"/>
      <c r="C751" s="13"/>
      <c r="D751" s="13"/>
    </row>
    <row r="752" ht="15.75" customHeight="1">
      <c r="A752" s="13"/>
      <c r="B752" s="13"/>
      <c r="C752" s="13"/>
      <c r="D752" s="13"/>
    </row>
    <row r="753" ht="15.75" customHeight="1">
      <c r="A753" s="13"/>
      <c r="B753" s="13"/>
      <c r="C753" s="13"/>
      <c r="D753" s="13"/>
    </row>
    <row r="754" ht="15.75" customHeight="1">
      <c r="A754" s="13"/>
      <c r="B754" s="13"/>
      <c r="C754" s="13"/>
      <c r="D754" s="13"/>
    </row>
    <row r="755" ht="15.75" customHeight="1">
      <c r="A755" s="13"/>
      <c r="B755" s="13"/>
      <c r="C755" s="13"/>
      <c r="D755" s="13"/>
    </row>
    <row r="756" ht="15.75" customHeight="1">
      <c r="A756" s="13"/>
      <c r="B756" s="13"/>
      <c r="C756" s="13"/>
      <c r="D756" s="13"/>
    </row>
    <row r="757" ht="15.75" customHeight="1">
      <c r="A757" s="13"/>
      <c r="B757" s="13"/>
      <c r="C757" s="13"/>
      <c r="D757" s="13"/>
    </row>
    <row r="758" ht="15.75" customHeight="1">
      <c r="A758" s="13"/>
      <c r="B758" s="13"/>
      <c r="C758" s="13"/>
      <c r="D758" s="13"/>
    </row>
    <row r="759" ht="15.75" customHeight="1">
      <c r="A759" s="13"/>
      <c r="B759" s="13"/>
      <c r="C759" s="13"/>
      <c r="D759" s="13"/>
    </row>
    <row r="760" ht="15.75" customHeight="1">
      <c r="A760" s="13"/>
      <c r="B760" s="13"/>
      <c r="C760" s="13"/>
      <c r="D760" s="13"/>
    </row>
    <row r="761" ht="15.75" customHeight="1">
      <c r="A761" s="13"/>
      <c r="B761" s="13"/>
      <c r="C761" s="13"/>
      <c r="D761" s="13"/>
    </row>
    <row r="762" ht="15.75" customHeight="1">
      <c r="A762" s="13"/>
      <c r="B762" s="13"/>
      <c r="C762" s="13"/>
      <c r="D762" s="13"/>
    </row>
    <row r="763" ht="15.75" customHeight="1">
      <c r="A763" s="13"/>
      <c r="B763" s="13"/>
      <c r="C763" s="13"/>
      <c r="D763" s="13"/>
    </row>
    <row r="764" ht="15.75" customHeight="1">
      <c r="A764" s="13"/>
      <c r="B764" s="13"/>
      <c r="C764" s="13"/>
      <c r="D764" s="13"/>
    </row>
    <row r="765" ht="15.75" customHeight="1">
      <c r="A765" s="13"/>
      <c r="B765" s="13"/>
      <c r="C765" s="13"/>
      <c r="D765" s="13"/>
    </row>
    <row r="766" ht="15.75" customHeight="1">
      <c r="A766" s="13"/>
      <c r="B766" s="13"/>
      <c r="C766" s="13"/>
      <c r="D766" s="13"/>
    </row>
    <row r="767" ht="15.75" customHeight="1">
      <c r="A767" s="13"/>
      <c r="B767" s="13"/>
      <c r="C767" s="13"/>
      <c r="D767" s="13"/>
    </row>
    <row r="768" ht="15.75" customHeight="1">
      <c r="A768" s="13"/>
      <c r="B768" s="13"/>
      <c r="C768" s="13"/>
      <c r="D768" s="13"/>
    </row>
    <row r="769" ht="15.75" customHeight="1">
      <c r="A769" s="13"/>
      <c r="B769" s="13"/>
      <c r="C769" s="13"/>
      <c r="D769" s="13"/>
    </row>
    <row r="770" ht="15.75" customHeight="1">
      <c r="A770" s="13"/>
      <c r="B770" s="13"/>
      <c r="C770" s="13"/>
      <c r="D770" s="13"/>
    </row>
    <row r="771" ht="15.75" customHeight="1">
      <c r="A771" s="13"/>
      <c r="B771" s="13"/>
      <c r="C771" s="13"/>
      <c r="D771" s="13"/>
    </row>
    <row r="772" ht="15.75" customHeight="1">
      <c r="A772" s="13"/>
      <c r="B772" s="13"/>
      <c r="C772" s="13"/>
      <c r="D772" s="13"/>
    </row>
    <row r="773" ht="15.75" customHeight="1">
      <c r="A773" s="13"/>
      <c r="B773" s="13"/>
      <c r="C773" s="13"/>
      <c r="D773" s="13"/>
    </row>
    <row r="774" ht="15.75" customHeight="1">
      <c r="A774" s="13"/>
      <c r="B774" s="13"/>
      <c r="C774" s="13"/>
      <c r="D774" s="13"/>
    </row>
    <row r="775" ht="15.75" customHeight="1">
      <c r="A775" s="13"/>
      <c r="B775" s="13"/>
      <c r="C775" s="13"/>
      <c r="D775" s="13"/>
    </row>
    <row r="776" ht="15.75" customHeight="1">
      <c r="A776" s="13"/>
      <c r="B776" s="13"/>
      <c r="C776" s="13"/>
      <c r="D776" s="13"/>
    </row>
    <row r="777" ht="15.75" customHeight="1">
      <c r="A777" s="13"/>
      <c r="B777" s="13"/>
      <c r="C777" s="13"/>
      <c r="D777" s="13"/>
    </row>
    <row r="778" ht="15.75" customHeight="1">
      <c r="A778" s="13"/>
      <c r="B778" s="13"/>
      <c r="C778" s="13"/>
      <c r="D778" s="13"/>
    </row>
    <row r="779" ht="15.75" customHeight="1">
      <c r="A779" s="13"/>
      <c r="B779" s="13"/>
      <c r="C779" s="13"/>
      <c r="D779" s="13"/>
    </row>
    <row r="780" ht="15.75" customHeight="1">
      <c r="A780" s="13"/>
      <c r="B780" s="13"/>
      <c r="C780" s="13"/>
      <c r="D780" s="13"/>
    </row>
    <row r="781" ht="15.75" customHeight="1">
      <c r="A781" s="13"/>
      <c r="B781" s="13"/>
      <c r="C781" s="13"/>
      <c r="D781" s="13"/>
    </row>
    <row r="782" ht="15.75" customHeight="1">
      <c r="A782" s="13"/>
      <c r="B782" s="13"/>
      <c r="C782" s="13"/>
      <c r="D782" s="13"/>
    </row>
    <row r="783" ht="15.75" customHeight="1">
      <c r="A783" s="13"/>
      <c r="B783" s="13"/>
      <c r="C783" s="13"/>
      <c r="D783" s="13"/>
    </row>
    <row r="784" ht="15.75" customHeight="1">
      <c r="A784" s="13"/>
      <c r="B784" s="13"/>
      <c r="C784" s="13"/>
      <c r="D784" s="13"/>
    </row>
    <row r="785" ht="15.75" customHeight="1">
      <c r="A785" s="13"/>
      <c r="B785" s="13"/>
      <c r="C785" s="13"/>
      <c r="D785" s="13"/>
    </row>
    <row r="786" ht="15.75" customHeight="1">
      <c r="A786" s="13"/>
      <c r="B786" s="13"/>
      <c r="C786" s="13"/>
      <c r="D786" s="13"/>
    </row>
    <row r="787" ht="15.75" customHeight="1">
      <c r="A787" s="13"/>
      <c r="B787" s="13"/>
      <c r="C787" s="13"/>
      <c r="D787" s="13"/>
    </row>
    <row r="788" ht="15.75" customHeight="1">
      <c r="A788" s="13"/>
      <c r="B788" s="13"/>
      <c r="C788" s="13"/>
      <c r="D788" s="13"/>
    </row>
    <row r="789" ht="15.75" customHeight="1">
      <c r="A789" s="13"/>
      <c r="B789" s="13"/>
      <c r="C789" s="13"/>
      <c r="D789" s="13"/>
    </row>
    <row r="790" ht="15.75" customHeight="1">
      <c r="A790" s="13"/>
      <c r="B790" s="13"/>
      <c r="C790" s="13"/>
      <c r="D790" s="13"/>
    </row>
    <row r="791" ht="15.75" customHeight="1">
      <c r="A791" s="13"/>
      <c r="B791" s="13"/>
      <c r="C791" s="13"/>
      <c r="D791" s="13"/>
    </row>
    <row r="792" ht="15.75" customHeight="1">
      <c r="A792" s="13"/>
      <c r="B792" s="13"/>
      <c r="C792" s="13"/>
      <c r="D792" s="13"/>
    </row>
    <row r="793" ht="15.75" customHeight="1">
      <c r="A793" s="13"/>
      <c r="B793" s="13"/>
      <c r="C793" s="13"/>
      <c r="D793" s="13"/>
    </row>
    <row r="794" ht="15.75" customHeight="1">
      <c r="A794" s="13"/>
      <c r="B794" s="13"/>
      <c r="C794" s="13"/>
      <c r="D794" s="13"/>
    </row>
    <row r="795" ht="15.75" customHeight="1">
      <c r="A795" s="13"/>
      <c r="B795" s="13"/>
      <c r="C795" s="13"/>
      <c r="D795" s="13"/>
    </row>
    <row r="796" ht="15.75" customHeight="1">
      <c r="A796" s="13"/>
      <c r="B796" s="13"/>
      <c r="C796" s="13"/>
      <c r="D796" s="13"/>
    </row>
    <row r="797" ht="15.75" customHeight="1">
      <c r="A797" s="13"/>
      <c r="B797" s="13"/>
      <c r="C797" s="13"/>
      <c r="D797" s="13"/>
    </row>
    <row r="798" ht="15.75" customHeight="1">
      <c r="A798" s="13"/>
      <c r="B798" s="13"/>
      <c r="C798" s="13"/>
      <c r="D798" s="13"/>
    </row>
    <row r="799" ht="15.75" customHeight="1">
      <c r="A799" s="13"/>
      <c r="B799" s="13"/>
      <c r="C799" s="13"/>
      <c r="D799" s="13"/>
    </row>
    <row r="800" ht="15.75" customHeight="1">
      <c r="A800" s="13"/>
      <c r="B800" s="13"/>
      <c r="C800" s="13"/>
      <c r="D800" s="13"/>
    </row>
    <row r="801" ht="15.75" customHeight="1">
      <c r="A801" s="13"/>
      <c r="B801" s="13"/>
      <c r="C801" s="13"/>
      <c r="D801" s="13"/>
    </row>
    <row r="802" ht="15.75" customHeight="1">
      <c r="A802" s="13"/>
      <c r="B802" s="13"/>
      <c r="C802" s="13"/>
      <c r="D802" s="13"/>
    </row>
    <row r="803" ht="15.75" customHeight="1">
      <c r="A803" s="13"/>
      <c r="B803" s="13"/>
      <c r="C803" s="13"/>
      <c r="D803" s="13"/>
    </row>
    <row r="804" ht="15.75" customHeight="1">
      <c r="A804" s="13"/>
      <c r="B804" s="13"/>
      <c r="C804" s="13"/>
      <c r="D804" s="13"/>
    </row>
    <row r="805" ht="15.75" customHeight="1">
      <c r="A805" s="13"/>
      <c r="B805" s="13"/>
      <c r="C805" s="13"/>
      <c r="D805" s="13"/>
    </row>
    <row r="806" ht="15.75" customHeight="1">
      <c r="A806" s="13"/>
      <c r="B806" s="13"/>
      <c r="C806" s="13"/>
      <c r="D806" s="13"/>
    </row>
    <row r="807" ht="15.75" customHeight="1">
      <c r="A807" s="13"/>
      <c r="B807" s="13"/>
      <c r="C807" s="13"/>
      <c r="D807" s="13"/>
    </row>
    <row r="808" ht="15.75" customHeight="1">
      <c r="A808" s="13"/>
      <c r="B808" s="13"/>
      <c r="C808" s="13"/>
      <c r="D808" s="13"/>
    </row>
    <row r="809" ht="15.75" customHeight="1">
      <c r="A809" s="13"/>
      <c r="B809" s="13"/>
      <c r="C809" s="13"/>
      <c r="D809" s="13"/>
    </row>
    <row r="810" ht="15.75" customHeight="1">
      <c r="A810" s="13"/>
      <c r="B810" s="13"/>
      <c r="C810" s="13"/>
      <c r="D810" s="13"/>
    </row>
    <row r="811" ht="15.75" customHeight="1">
      <c r="A811" s="13"/>
      <c r="B811" s="13"/>
      <c r="C811" s="13"/>
      <c r="D811" s="13"/>
    </row>
    <row r="812" ht="15.75" customHeight="1">
      <c r="A812" s="13"/>
      <c r="B812" s="13"/>
      <c r="C812" s="13"/>
      <c r="D812" s="13"/>
    </row>
    <row r="813" ht="15.75" customHeight="1">
      <c r="A813" s="13"/>
      <c r="B813" s="13"/>
      <c r="C813" s="13"/>
      <c r="D813" s="13"/>
    </row>
    <row r="814" ht="15.75" customHeight="1">
      <c r="A814" s="13"/>
      <c r="B814" s="13"/>
      <c r="C814" s="13"/>
      <c r="D814" s="13"/>
    </row>
    <row r="815" ht="15.75" customHeight="1">
      <c r="A815" s="13"/>
      <c r="B815" s="13"/>
      <c r="C815" s="13"/>
      <c r="D815" s="13"/>
    </row>
    <row r="816" ht="15.75" customHeight="1">
      <c r="A816" s="13"/>
      <c r="B816" s="13"/>
      <c r="C816" s="13"/>
      <c r="D816" s="13"/>
    </row>
    <row r="817" ht="15.75" customHeight="1">
      <c r="A817" s="13"/>
      <c r="B817" s="13"/>
      <c r="C817" s="13"/>
      <c r="D817" s="13"/>
    </row>
    <row r="818" ht="15.75" customHeight="1">
      <c r="A818" s="13"/>
      <c r="B818" s="13"/>
      <c r="C818" s="13"/>
      <c r="D818" s="13"/>
    </row>
    <row r="819" ht="15.75" customHeight="1">
      <c r="A819" s="13"/>
      <c r="B819" s="13"/>
      <c r="C819" s="13"/>
      <c r="D819" s="13"/>
    </row>
    <row r="820" ht="15.75" customHeight="1">
      <c r="A820" s="13"/>
      <c r="B820" s="13"/>
      <c r="C820" s="13"/>
      <c r="D820" s="13"/>
    </row>
    <row r="821" ht="15.75" customHeight="1">
      <c r="A821" s="13"/>
      <c r="B821" s="13"/>
      <c r="C821" s="13"/>
      <c r="D821" s="13"/>
    </row>
    <row r="822" ht="15.75" customHeight="1">
      <c r="A822" s="13"/>
      <c r="B822" s="13"/>
      <c r="C822" s="13"/>
      <c r="D822" s="13"/>
    </row>
    <row r="823" ht="15.75" customHeight="1">
      <c r="A823" s="13"/>
      <c r="B823" s="13"/>
      <c r="C823" s="13"/>
      <c r="D823" s="13"/>
    </row>
    <row r="824" ht="15.75" customHeight="1">
      <c r="A824" s="13"/>
      <c r="B824" s="13"/>
      <c r="C824" s="13"/>
      <c r="D824" s="13"/>
    </row>
    <row r="825" ht="15.75" customHeight="1">
      <c r="A825" s="13"/>
      <c r="B825" s="13"/>
      <c r="C825" s="13"/>
      <c r="D825" s="13"/>
    </row>
    <row r="826" ht="15.75" customHeight="1">
      <c r="A826" s="13"/>
      <c r="B826" s="13"/>
      <c r="C826" s="13"/>
      <c r="D826" s="13"/>
    </row>
    <row r="827" ht="15.75" customHeight="1">
      <c r="A827" s="13"/>
      <c r="B827" s="13"/>
      <c r="C827" s="13"/>
      <c r="D827" s="13"/>
    </row>
    <row r="828" ht="15.75" customHeight="1">
      <c r="A828" s="13"/>
      <c r="B828" s="13"/>
      <c r="C828" s="13"/>
      <c r="D828" s="13"/>
    </row>
    <row r="829" ht="15.75" customHeight="1">
      <c r="A829" s="13"/>
      <c r="B829" s="13"/>
      <c r="C829" s="13"/>
      <c r="D829" s="13"/>
    </row>
    <row r="830" ht="15.75" customHeight="1">
      <c r="A830" s="13"/>
      <c r="B830" s="13"/>
      <c r="C830" s="13"/>
      <c r="D830" s="13"/>
    </row>
    <row r="831" ht="15.75" customHeight="1">
      <c r="A831" s="13"/>
      <c r="B831" s="13"/>
      <c r="C831" s="13"/>
      <c r="D831" s="13"/>
    </row>
    <row r="832" ht="15.75" customHeight="1">
      <c r="A832" s="13"/>
      <c r="B832" s="13"/>
      <c r="C832" s="13"/>
      <c r="D832" s="13"/>
    </row>
    <row r="833" ht="15.75" customHeight="1">
      <c r="A833" s="13"/>
      <c r="B833" s="13"/>
      <c r="C833" s="13"/>
      <c r="D833" s="13"/>
    </row>
    <row r="834" ht="15.75" customHeight="1">
      <c r="A834" s="13"/>
      <c r="B834" s="13"/>
      <c r="C834" s="13"/>
      <c r="D834" s="13"/>
    </row>
    <row r="835" ht="15.75" customHeight="1">
      <c r="A835" s="13"/>
      <c r="B835" s="13"/>
      <c r="C835" s="13"/>
      <c r="D835" s="13"/>
    </row>
    <row r="836" ht="15.75" customHeight="1">
      <c r="A836" s="13"/>
      <c r="B836" s="13"/>
      <c r="C836" s="13"/>
      <c r="D836" s="13"/>
    </row>
    <row r="837" ht="15.75" customHeight="1">
      <c r="A837" s="13"/>
      <c r="B837" s="13"/>
      <c r="C837" s="13"/>
      <c r="D837" s="13"/>
    </row>
    <row r="838" ht="15.75" customHeight="1">
      <c r="A838" s="13"/>
      <c r="B838" s="13"/>
      <c r="C838" s="13"/>
      <c r="D838" s="13"/>
    </row>
    <row r="839" ht="15.75" customHeight="1">
      <c r="A839" s="13"/>
      <c r="B839" s="13"/>
      <c r="C839" s="13"/>
      <c r="D839" s="13"/>
    </row>
    <row r="840" ht="15.75" customHeight="1">
      <c r="A840" s="13"/>
      <c r="B840" s="13"/>
      <c r="C840" s="13"/>
      <c r="D840" s="13"/>
    </row>
    <row r="841" ht="15.75" customHeight="1">
      <c r="A841" s="13"/>
      <c r="B841" s="13"/>
      <c r="C841" s="13"/>
      <c r="D841" s="13"/>
    </row>
    <row r="842" ht="15.75" customHeight="1">
      <c r="A842" s="13"/>
      <c r="B842" s="13"/>
      <c r="C842" s="13"/>
      <c r="D842" s="13"/>
    </row>
    <row r="843" ht="15.75" customHeight="1">
      <c r="A843" s="13"/>
      <c r="B843" s="13"/>
      <c r="C843" s="13"/>
      <c r="D843" s="13"/>
    </row>
    <row r="844" ht="15.75" customHeight="1">
      <c r="A844" s="13"/>
      <c r="B844" s="13"/>
      <c r="C844" s="13"/>
      <c r="D844" s="13"/>
    </row>
    <row r="845" ht="15.75" customHeight="1">
      <c r="A845" s="13"/>
      <c r="B845" s="13"/>
      <c r="C845" s="13"/>
      <c r="D845" s="13"/>
    </row>
    <row r="846" ht="15.75" customHeight="1">
      <c r="A846" s="13"/>
      <c r="B846" s="13"/>
      <c r="C846" s="13"/>
      <c r="D846" s="13"/>
    </row>
    <row r="847" ht="15.75" customHeight="1">
      <c r="A847" s="13"/>
      <c r="B847" s="13"/>
      <c r="C847" s="13"/>
      <c r="D847" s="13"/>
    </row>
    <row r="848" ht="15.75" customHeight="1">
      <c r="A848" s="13"/>
      <c r="B848" s="13"/>
      <c r="C848" s="13"/>
      <c r="D848" s="13"/>
    </row>
    <row r="849" ht="15.75" customHeight="1">
      <c r="A849" s="13"/>
      <c r="B849" s="13"/>
      <c r="C849" s="13"/>
      <c r="D849" s="13"/>
    </row>
    <row r="850" ht="15.75" customHeight="1">
      <c r="A850" s="13"/>
      <c r="B850" s="13"/>
      <c r="C850" s="13"/>
      <c r="D850" s="13"/>
    </row>
    <row r="851" ht="15.75" customHeight="1">
      <c r="A851" s="13"/>
      <c r="B851" s="13"/>
      <c r="C851" s="13"/>
      <c r="D851" s="13"/>
    </row>
    <row r="852" ht="15.75" customHeight="1">
      <c r="A852" s="13"/>
      <c r="B852" s="13"/>
      <c r="C852" s="13"/>
      <c r="D852" s="13"/>
    </row>
    <row r="853" ht="15.75" customHeight="1">
      <c r="A853" s="13"/>
      <c r="B853" s="13"/>
      <c r="C853" s="13"/>
      <c r="D853" s="13"/>
    </row>
    <row r="854" ht="15.75" customHeight="1">
      <c r="A854" s="13"/>
      <c r="B854" s="13"/>
      <c r="C854" s="13"/>
      <c r="D854" s="13"/>
    </row>
    <row r="855" ht="15.75" customHeight="1">
      <c r="A855" s="13"/>
      <c r="B855" s="13"/>
      <c r="C855" s="13"/>
      <c r="D855" s="13"/>
    </row>
    <row r="856" ht="15.75" customHeight="1">
      <c r="A856" s="13"/>
      <c r="B856" s="13"/>
      <c r="C856" s="13"/>
      <c r="D856" s="13"/>
    </row>
    <row r="857" ht="15.75" customHeight="1">
      <c r="A857" s="13"/>
      <c r="B857" s="13"/>
      <c r="C857" s="13"/>
      <c r="D857" s="13"/>
    </row>
    <row r="858" ht="15.75" customHeight="1">
      <c r="A858" s="13"/>
      <c r="B858" s="13"/>
      <c r="C858" s="13"/>
      <c r="D858" s="13"/>
    </row>
    <row r="859" ht="15.75" customHeight="1">
      <c r="A859" s="13"/>
      <c r="B859" s="13"/>
      <c r="C859" s="13"/>
      <c r="D859" s="13"/>
    </row>
    <row r="860" ht="15.75" customHeight="1">
      <c r="A860" s="13"/>
      <c r="B860" s="13"/>
      <c r="C860" s="13"/>
      <c r="D860" s="13"/>
    </row>
    <row r="861" ht="15.75" customHeight="1">
      <c r="A861" s="13"/>
      <c r="B861" s="13"/>
      <c r="C861" s="13"/>
      <c r="D861" s="13"/>
    </row>
    <row r="862" ht="15.75" customHeight="1">
      <c r="A862" s="13"/>
      <c r="B862" s="13"/>
      <c r="C862" s="13"/>
      <c r="D862" s="13"/>
    </row>
    <row r="863" ht="15.75" customHeight="1">
      <c r="A863" s="13"/>
      <c r="B863" s="13"/>
      <c r="C863" s="13"/>
      <c r="D863" s="13"/>
    </row>
    <row r="864" ht="15.75" customHeight="1">
      <c r="A864" s="13"/>
      <c r="B864" s="13"/>
      <c r="C864" s="13"/>
      <c r="D864" s="13"/>
    </row>
    <row r="865" ht="15.75" customHeight="1">
      <c r="A865" s="13"/>
      <c r="B865" s="13"/>
      <c r="C865" s="13"/>
      <c r="D865" s="13"/>
    </row>
    <row r="866" ht="15.75" customHeight="1">
      <c r="A866" s="13"/>
      <c r="B866" s="13"/>
      <c r="C866" s="13"/>
      <c r="D866" s="13"/>
    </row>
    <row r="867" ht="15.75" customHeight="1">
      <c r="A867" s="13"/>
      <c r="B867" s="13"/>
      <c r="C867" s="13"/>
      <c r="D867" s="13"/>
    </row>
    <row r="868" ht="15.75" customHeight="1">
      <c r="A868" s="13"/>
      <c r="B868" s="13"/>
      <c r="C868" s="13"/>
      <c r="D868" s="13"/>
    </row>
    <row r="869" ht="15.75" customHeight="1">
      <c r="A869" s="13"/>
      <c r="B869" s="13"/>
      <c r="C869" s="13"/>
      <c r="D869" s="13"/>
    </row>
    <row r="870" ht="15.75" customHeight="1">
      <c r="A870" s="13"/>
      <c r="B870" s="13"/>
      <c r="C870" s="13"/>
      <c r="D870" s="13"/>
    </row>
    <row r="871" ht="15.75" customHeight="1">
      <c r="A871" s="13"/>
      <c r="B871" s="13"/>
      <c r="C871" s="13"/>
      <c r="D871" s="13"/>
    </row>
    <row r="872" ht="15.75" customHeight="1">
      <c r="A872" s="13"/>
      <c r="B872" s="13"/>
      <c r="C872" s="13"/>
      <c r="D872" s="13"/>
    </row>
    <row r="873" ht="15.75" customHeight="1">
      <c r="A873" s="13"/>
      <c r="B873" s="13"/>
      <c r="C873" s="13"/>
      <c r="D873" s="13"/>
    </row>
    <row r="874" ht="15.75" customHeight="1">
      <c r="A874" s="13"/>
      <c r="B874" s="13"/>
      <c r="C874" s="13"/>
      <c r="D874" s="13"/>
    </row>
    <row r="875" ht="15.75" customHeight="1">
      <c r="A875" s="13"/>
      <c r="B875" s="13"/>
      <c r="C875" s="13"/>
      <c r="D875" s="13"/>
    </row>
    <row r="876" ht="15.75" customHeight="1">
      <c r="A876" s="13"/>
      <c r="B876" s="13"/>
      <c r="C876" s="13"/>
      <c r="D876" s="13"/>
    </row>
    <row r="877" ht="15.75" customHeight="1">
      <c r="A877" s="13"/>
      <c r="B877" s="13"/>
      <c r="C877" s="13"/>
      <c r="D877" s="13"/>
    </row>
    <row r="878" ht="15.75" customHeight="1">
      <c r="A878" s="13"/>
      <c r="B878" s="13"/>
      <c r="C878" s="13"/>
      <c r="D878" s="13"/>
    </row>
    <row r="879" ht="15.75" customHeight="1">
      <c r="A879" s="13"/>
      <c r="B879" s="13"/>
      <c r="C879" s="13"/>
      <c r="D879" s="13"/>
    </row>
    <row r="880" ht="15.75" customHeight="1">
      <c r="A880" s="13"/>
      <c r="B880" s="13"/>
      <c r="C880" s="13"/>
      <c r="D880" s="13"/>
    </row>
    <row r="881" ht="15.75" customHeight="1">
      <c r="A881" s="13"/>
      <c r="B881" s="13"/>
      <c r="C881" s="13"/>
      <c r="D881" s="13"/>
    </row>
    <row r="882" ht="15.75" customHeight="1">
      <c r="A882" s="13"/>
      <c r="B882" s="13"/>
      <c r="C882" s="13"/>
      <c r="D882" s="13"/>
    </row>
    <row r="883" ht="15.75" customHeight="1">
      <c r="A883" s="13"/>
      <c r="B883" s="13"/>
      <c r="C883" s="13"/>
      <c r="D883" s="13"/>
    </row>
    <row r="884" ht="15.75" customHeight="1">
      <c r="A884" s="13"/>
      <c r="B884" s="13"/>
      <c r="C884" s="13"/>
      <c r="D884" s="13"/>
    </row>
    <row r="885" ht="15.75" customHeight="1">
      <c r="A885" s="13"/>
      <c r="B885" s="13"/>
      <c r="C885" s="13"/>
      <c r="D885" s="13"/>
    </row>
    <row r="886" ht="15.75" customHeight="1">
      <c r="A886" s="13"/>
      <c r="B886" s="13"/>
      <c r="C886" s="13"/>
      <c r="D886" s="13"/>
    </row>
    <row r="887" ht="15.75" customHeight="1">
      <c r="A887" s="13"/>
      <c r="B887" s="13"/>
      <c r="C887" s="13"/>
      <c r="D887" s="13"/>
    </row>
    <row r="888" ht="15.75" customHeight="1">
      <c r="A888" s="13"/>
      <c r="B888" s="13"/>
      <c r="C888" s="13"/>
      <c r="D888" s="13"/>
    </row>
    <row r="889" ht="15.75" customHeight="1">
      <c r="A889" s="13"/>
      <c r="B889" s="13"/>
      <c r="C889" s="13"/>
      <c r="D889" s="13"/>
    </row>
    <row r="890" ht="15.75" customHeight="1">
      <c r="A890" s="13"/>
      <c r="B890" s="13"/>
      <c r="C890" s="13"/>
      <c r="D890" s="13"/>
    </row>
    <row r="891" ht="15.75" customHeight="1">
      <c r="A891" s="13"/>
      <c r="B891" s="13"/>
      <c r="C891" s="13"/>
      <c r="D891" s="13"/>
    </row>
    <row r="892" ht="15.75" customHeight="1">
      <c r="A892" s="13"/>
      <c r="B892" s="13"/>
      <c r="C892" s="13"/>
      <c r="D892" s="13"/>
    </row>
    <row r="893" ht="15.75" customHeight="1">
      <c r="A893" s="13"/>
      <c r="B893" s="13"/>
      <c r="C893" s="13"/>
      <c r="D893" s="13"/>
    </row>
    <row r="894" ht="15.75" customHeight="1">
      <c r="A894" s="13"/>
      <c r="B894" s="13"/>
      <c r="C894" s="13"/>
      <c r="D894" s="13"/>
    </row>
    <row r="895" ht="15.75" customHeight="1">
      <c r="A895" s="13"/>
      <c r="B895" s="13"/>
      <c r="C895" s="13"/>
      <c r="D895" s="13"/>
    </row>
    <row r="896" ht="15.75" customHeight="1">
      <c r="A896" s="13"/>
      <c r="B896" s="13"/>
      <c r="C896" s="13"/>
      <c r="D896" s="13"/>
    </row>
    <row r="897" ht="15.75" customHeight="1">
      <c r="A897" s="13"/>
      <c r="B897" s="13"/>
      <c r="C897" s="13"/>
      <c r="D897" s="13"/>
    </row>
    <row r="898" ht="15.75" customHeight="1">
      <c r="A898" s="13"/>
      <c r="B898" s="13"/>
      <c r="C898" s="13"/>
      <c r="D898" s="13"/>
    </row>
    <row r="899" ht="15.75" customHeight="1">
      <c r="A899" s="13"/>
      <c r="B899" s="13"/>
      <c r="C899" s="13"/>
      <c r="D899" s="13"/>
    </row>
    <row r="900" ht="15.75" customHeight="1">
      <c r="A900" s="13"/>
      <c r="B900" s="13"/>
      <c r="C900" s="13"/>
      <c r="D900" s="13"/>
    </row>
    <row r="901" ht="15.75" customHeight="1">
      <c r="A901" s="13"/>
      <c r="B901" s="13"/>
      <c r="C901" s="13"/>
      <c r="D901" s="13"/>
    </row>
    <row r="902" ht="15.75" customHeight="1">
      <c r="A902" s="13"/>
      <c r="B902" s="13"/>
      <c r="C902" s="13"/>
      <c r="D902" s="13"/>
    </row>
    <row r="903" ht="15.75" customHeight="1">
      <c r="A903" s="13"/>
      <c r="B903" s="13"/>
      <c r="C903" s="13"/>
      <c r="D903" s="13"/>
    </row>
    <row r="904" ht="15.75" customHeight="1">
      <c r="A904" s="13"/>
      <c r="B904" s="13"/>
      <c r="C904" s="13"/>
      <c r="D904" s="13"/>
    </row>
    <row r="905" ht="15.75" customHeight="1">
      <c r="A905" s="13"/>
      <c r="B905" s="13"/>
      <c r="C905" s="13"/>
      <c r="D905" s="13"/>
    </row>
    <row r="906" ht="15.75" customHeight="1">
      <c r="A906" s="13"/>
      <c r="B906" s="13"/>
      <c r="C906" s="13"/>
      <c r="D906" s="13"/>
    </row>
    <row r="907" ht="15.75" customHeight="1">
      <c r="A907" s="13"/>
      <c r="B907" s="13"/>
      <c r="C907" s="13"/>
      <c r="D907" s="13"/>
    </row>
    <row r="908" ht="15.75" customHeight="1">
      <c r="A908" s="13"/>
      <c r="B908" s="13"/>
      <c r="C908" s="13"/>
      <c r="D908" s="13"/>
    </row>
    <row r="909" ht="15.75" customHeight="1">
      <c r="A909" s="13"/>
      <c r="B909" s="13"/>
      <c r="C909" s="13"/>
      <c r="D909" s="13"/>
    </row>
    <row r="910" ht="15.75" customHeight="1">
      <c r="A910" s="13"/>
      <c r="B910" s="13"/>
      <c r="C910" s="13"/>
      <c r="D910" s="13"/>
    </row>
    <row r="911" ht="15.75" customHeight="1">
      <c r="A911" s="13"/>
      <c r="B911" s="13"/>
      <c r="C911" s="13"/>
      <c r="D911" s="13"/>
    </row>
    <row r="912" ht="15.75" customHeight="1">
      <c r="A912" s="13"/>
      <c r="B912" s="13"/>
      <c r="C912" s="13"/>
      <c r="D912" s="13"/>
    </row>
    <row r="913" ht="15.75" customHeight="1">
      <c r="A913" s="13"/>
      <c r="B913" s="13"/>
      <c r="C913" s="13"/>
      <c r="D913" s="13"/>
    </row>
    <row r="914" ht="15.75" customHeight="1">
      <c r="A914" s="13"/>
      <c r="B914" s="13"/>
      <c r="C914" s="13"/>
      <c r="D914" s="13"/>
    </row>
    <row r="915" ht="15.75" customHeight="1">
      <c r="A915" s="13"/>
      <c r="B915" s="13"/>
      <c r="C915" s="13"/>
      <c r="D915" s="13"/>
    </row>
    <row r="916" ht="15.75" customHeight="1">
      <c r="A916" s="13"/>
      <c r="B916" s="13"/>
      <c r="C916" s="13"/>
      <c r="D916" s="13"/>
    </row>
    <row r="917" ht="15.75" customHeight="1">
      <c r="A917" s="13"/>
      <c r="B917" s="13"/>
      <c r="C917" s="13"/>
      <c r="D917" s="13"/>
    </row>
    <row r="918" ht="15.75" customHeight="1">
      <c r="A918" s="13"/>
      <c r="B918" s="13"/>
      <c r="C918" s="13"/>
      <c r="D918" s="13"/>
    </row>
    <row r="919" ht="15.75" customHeight="1">
      <c r="A919" s="13"/>
      <c r="B919" s="13"/>
      <c r="C919" s="13"/>
      <c r="D919" s="13"/>
    </row>
    <row r="920" ht="15.75" customHeight="1">
      <c r="A920" s="13"/>
      <c r="B920" s="13"/>
      <c r="C920" s="13"/>
      <c r="D920" s="13"/>
    </row>
    <row r="921" ht="15.75" customHeight="1">
      <c r="A921" s="13"/>
      <c r="B921" s="13"/>
      <c r="C921" s="13"/>
      <c r="D921" s="13"/>
    </row>
    <row r="922" ht="15.75" customHeight="1">
      <c r="A922" s="13"/>
      <c r="B922" s="13"/>
      <c r="C922" s="13"/>
      <c r="D922" s="13"/>
    </row>
    <row r="923" ht="15.75" customHeight="1">
      <c r="A923" s="13"/>
      <c r="B923" s="13"/>
      <c r="C923" s="13"/>
      <c r="D923" s="13"/>
    </row>
    <row r="924" ht="15.75" customHeight="1">
      <c r="A924" s="13"/>
      <c r="B924" s="13"/>
      <c r="C924" s="13"/>
      <c r="D924" s="13"/>
    </row>
    <row r="925" ht="15.75" customHeight="1">
      <c r="A925" s="13"/>
      <c r="B925" s="13"/>
      <c r="C925" s="13"/>
      <c r="D925" s="13"/>
    </row>
    <row r="926" ht="15.75" customHeight="1">
      <c r="A926" s="13"/>
      <c r="B926" s="13"/>
      <c r="C926" s="13"/>
      <c r="D926" s="13"/>
    </row>
    <row r="927" ht="15.75" customHeight="1">
      <c r="A927" s="13"/>
      <c r="B927" s="13"/>
      <c r="C927" s="13"/>
      <c r="D927" s="13"/>
    </row>
    <row r="928" ht="15.75" customHeight="1">
      <c r="A928" s="13"/>
      <c r="B928" s="13"/>
      <c r="C928" s="13"/>
      <c r="D928" s="13"/>
    </row>
    <row r="929" ht="15.75" customHeight="1">
      <c r="A929" s="13"/>
      <c r="B929" s="13"/>
      <c r="C929" s="13"/>
      <c r="D929" s="13"/>
    </row>
    <row r="930" ht="15.75" customHeight="1">
      <c r="A930" s="13"/>
      <c r="B930" s="13"/>
      <c r="C930" s="13"/>
      <c r="D930" s="13"/>
    </row>
    <row r="931" ht="15.75" customHeight="1">
      <c r="A931" s="13"/>
      <c r="B931" s="13"/>
      <c r="C931" s="13"/>
      <c r="D931" s="13"/>
    </row>
    <row r="932" ht="15.75" customHeight="1">
      <c r="A932" s="13"/>
      <c r="B932" s="13"/>
      <c r="C932" s="13"/>
      <c r="D932" s="13"/>
    </row>
    <row r="933" ht="15.75" customHeight="1">
      <c r="A933" s="13"/>
      <c r="B933" s="13"/>
      <c r="C933" s="13"/>
      <c r="D933" s="13"/>
    </row>
    <row r="934" ht="15.75" customHeight="1">
      <c r="A934" s="13"/>
      <c r="B934" s="13"/>
      <c r="C934" s="13"/>
      <c r="D934" s="13"/>
    </row>
    <row r="935" ht="15.75" customHeight="1">
      <c r="A935" s="13"/>
      <c r="B935" s="13"/>
      <c r="C935" s="13"/>
      <c r="D935" s="13"/>
    </row>
    <row r="936" ht="15.75" customHeight="1">
      <c r="A936" s="13"/>
      <c r="B936" s="13"/>
      <c r="C936" s="13"/>
      <c r="D936" s="13"/>
    </row>
    <row r="937" ht="15.75" customHeight="1">
      <c r="A937" s="13"/>
      <c r="B937" s="13"/>
      <c r="C937" s="13"/>
      <c r="D937" s="13"/>
    </row>
    <row r="938" ht="15.75" customHeight="1">
      <c r="A938" s="13"/>
      <c r="B938" s="13"/>
      <c r="C938" s="13"/>
      <c r="D938" s="13"/>
    </row>
    <row r="939" ht="15.75" customHeight="1">
      <c r="A939" s="13"/>
      <c r="B939" s="13"/>
      <c r="C939" s="13"/>
      <c r="D939" s="13"/>
    </row>
    <row r="940" ht="15.75" customHeight="1">
      <c r="A940" s="13"/>
      <c r="B940" s="13"/>
      <c r="C940" s="13"/>
      <c r="D940" s="13"/>
    </row>
    <row r="941" ht="15.75" customHeight="1">
      <c r="A941" s="13"/>
      <c r="B941" s="13"/>
      <c r="C941" s="13"/>
      <c r="D941" s="13"/>
    </row>
    <row r="942" ht="15.75" customHeight="1">
      <c r="A942" s="13"/>
      <c r="B942" s="13"/>
      <c r="C942" s="13"/>
      <c r="D942" s="13"/>
    </row>
    <row r="943" ht="15.75" customHeight="1">
      <c r="A943" s="13"/>
      <c r="B943" s="13"/>
      <c r="C943" s="13"/>
      <c r="D943" s="13"/>
    </row>
    <row r="944" ht="15.75" customHeight="1">
      <c r="A944" s="13"/>
      <c r="B944" s="13"/>
      <c r="C944" s="13"/>
      <c r="D944" s="13"/>
    </row>
    <row r="945" ht="15.75" customHeight="1">
      <c r="A945" s="13"/>
      <c r="B945" s="13"/>
      <c r="C945" s="13"/>
      <c r="D945" s="13"/>
    </row>
    <row r="946" ht="15.75" customHeight="1">
      <c r="A946" s="13"/>
      <c r="B946" s="13"/>
      <c r="C946" s="13"/>
      <c r="D946" s="13"/>
    </row>
    <row r="947" ht="15.75" customHeight="1">
      <c r="A947" s="13"/>
      <c r="B947" s="13"/>
      <c r="C947" s="13"/>
      <c r="D947" s="13"/>
    </row>
    <row r="948" ht="15.75" customHeight="1">
      <c r="A948" s="13"/>
      <c r="B948" s="13"/>
      <c r="C948" s="13"/>
      <c r="D948" s="13"/>
    </row>
    <row r="949" ht="15.75" customHeight="1">
      <c r="A949" s="13"/>
      <c r="B949" s="13"/>
      <c r="C949" s="13"/>
      <c r="D949" s="13"/>
    </row>
    <row r="950" ht="15.75" customHeight="1">
      <c r="A950" s="13"/>
      <c r="B950" s="13"/>
      <c r="C950" s="13"/>
      <c r="D950" s="13"/>
    </row>
    <row r="951" ht="15.75" customHeight="1">
      <c r="A951" s="13"/>
      <c r="B951" s="13"/>
      <c r="C951" s="13"/>
      <c r="D951" s="13"/>
    </row>
    <row r="952" ht="15.75" customHeight="1">
      <c r="A952" s="13"/>
      <c r="B952" s="13"/>
      <c r="C952" s="13"/>
      <c r="D952" s="13"/>
    </row>
    <row r="953" ht="15.75" customHeight="1">
      <c r="A953" s="13"/>
      <c r="B953" s="13"/>
      <c r="C953" s="13"/>
      <c r="D953" s="13"/>
    </row>
    <row r="954" ht="15.75" customHeight="1">
      <c r="A954" s="13"/>
      <c r="B954" s="13"/>
      <c r="C954" s="13"/>
      <c r="D954" s="13"/>
    </row>
    <row r="955" ht="15.75" customHeight="1">
      <c r="A955" s="13"/>
      <c r="B955" s="13"/>
      <c r="C955" s="13"/>
      <c r="D955" s="13"/>
    </row>
    <row r="956" ht="15.75" customHeight="1">
      <c r="A956" s="13"/>
      <c r="B956" s="13"/>
      <c r="C956" s="13"/>
      <c r="D956" s="13"/>
    </row>
    <row r="957" ht="15.75" customHeight="1">
      <c r="A957" s="13"/>
      <c r="B957" s="13"/>
      <c r="C957" s="13"/>
      <c r="D957" s="13"/>
    </row>
    <row r="958" ht="15.75" customHeight="1">
      <c r="A958" s="13"/>
      <c r="B958" s="13"/>
      <c r="C958" s="13"/>
      <c r="D958" s="13"/>
    </row>
    <row r="959" ht="15.75" customHeight="1">
      <c r="A959" s="13"/>
      <c r="B959" s="13"/>
      <c r="C959" s="13"/>
      <c r="D959" s="13"/>
    </row>
    <row r="960" ht="15.75" customHeight="1">
      <c r="A960" s="13"/>
      <c r="B960" s="13"/>
      <c r="C960" s="13"/>
      <c r="D960" s="13"/>
    </row>
    <row r="961" ht="15.75" customHeight="1">
      <c r="A961" s="13"/>
      <c r="B961" s="13"/>
      <c r="C961" s="13"/>
      <c r="D961" s="13"/>
    </row>
    <row r="962" ht="15.75" customHeight="1">
      <c r="A962" s="13"/>
      <c r="B962" s="13"/>
      <c r="C962" s="13"/>
      <c r="D962" s="13"/>
    </row>
    <row r="963" ht="15.75" customHeight="1">
      <c r="A963" s="13"/>
      <c r="B963" s="13"/>
      <c r="C963" s="13"/>
      <c r="D963" s="13"/>
    </row>
    <row r="964" ht="15.75" customHeight="1">
      <c r="A964" s="13"/>
      <c r="B964" s="13"/>
      <c r="C964" s="13"/>
      <c r="D964" s="13"/>
    </row>
    <row r="965" ht="15.75" customHeight="1">
      <c r="A965" s="13"/>
      <c r="B965" s="13"/>
      <c r="C965" s="13"/>
      <c r="D965" s="13"/>
    </row>
    <row r="966" ht="15.75" customHeight="1">
      <c r="A966" s="13"/>
      <c r="B966" s="13"/>
      <c r="C966" s="13"/>
      <c r="D966" s="13"/>
    </row>
    <row r="967" ht="15.75" customHeight="1">
      <c r="A967" s="13"/>
      <c r="B967" s="13"/>
      <c r="C967" s="13"/>
      <c r="D967" s="13"/>
    </row>
    <row r="968" ht="15.75" customHeight="1">
      <c r="A968" s="13"/>
      <c r="B968" s="13"/>
      <c r="C968" s="13"/>
      <c r="D968" s="13"/>
    </row>
    <row r="969" ht="15.75" customHeight="1">
      <c r="A969" s="13"/>
      <c r="B969" s="13"/>
      <c r="C969" s="13"/>
      <c r="D969" s="13"/>
    </row>
    <row r="970" ht="15.75" customHeight="1">
      <c r="A970" s="13"/>
      <c r="B970" s="13"/>
      <c r="C970" s="13"/>
      <c r="D970" s="13"/>
    </row>
    <row r="971" ht="15.75" customHeight="1">
      <c r="A971" s="13"/>
      <c r="B971" s="13"/>
      <c r="C971" s="13"/>
      <c r="D971" s="13"/>
    </row>
    <row r="972" ht="15.75" customHeight="1">
      <c r="A972" s="13"/>
      <c r="B972" s="13"/>
      <c r="C972" s="13"/>
      <c r="D972" s="13"/>
    </row>
    <row r="973" ht="15.75" customHeight="1">
      <c r="A973" s="13"/>
      <c r="B973" s="13"/>
      <c r="C973" s="13"/>
      <c r="D973" s="13"/>
    </row>
    <row r="974" ht="15.75" customHeight="1">
      <c r="A974" s="13"/>
      <c r="B974" s="13"/>
      <c r="C974" s="13"/>
      <c r="D974" s="13"/>
    </row>
    <row r="975" ht="15.75" customHeight="1">
      <c r="A975" s="13"/>
      <c r="B975" s="13"/>
      <c r="C975" s="13"/>
      <c r="D975" s="13"/>
    </row>
    <row r="976" ht="15.75" customHeight="1">
      <c r="A976" s="13"/>
      <c r="B976" s="13"/>
      <c r="C976" s="13"/>
      <c r="D976" s="13"/>
    </row>
    <row r="977" ht="15.75" customHeight="1">
      <c r="A977" s="13"/>
      <c r="B977" s="13"/>
      <c r="C977" s="13"/>
      <c r="D977" s="13"/>
    </row>
    <row r="978" ht="15.75" customHeight="1">
      <c r="A978" s="13"/>
      <c r="B978" s="13"/>
      <c r="C978" s="13"/>
      <c r="D978" s="13"/>
    </row>
    <row r="979" ht="15.75" customHeight="1">
      <c r="A979" s="13"/>
      <c r="B979" s="13"/>
      <c r="C979" s="13"/>
      <c r="D979" s="13"/>
    </row>
    <row r="980" ht="15.75" customHeight="1">
      <c r="A980" s="13"/>
      <c r="B980" s="13"/>
      <c r="C980" s="13"/>
      <c r="D980" s="13"/>
    </row>
    <row r="981" ht="15.75" customHeight="1">
      <c r="A981" s="13"/>
      <c r="B981" s="13"/>
      <c r="C981" s="13"/>
      <c r="D981" s="13"/>
    </row>
    <row r="982" ht="15.75" customHeight="1">
      <c r="A982" s="13"/>
      <c r="B982" s="13"/>
      <c r="C982" s="13"/>
      <c r="D982" s="13"/>
    </row>
    <row r="983" ht="15.75" customHeight="1">
      <c r="A983" s="13"/>
      <c r="B983" s="13"/>
      <c r="C983" s="13"/>
      <c r="D983" s="13"/>
    </row>
    <row r="984" ht="15.75" customHeight="1">
      <c r="A984" s="13"/>
      <c r="B984" s="13"/>
      <c r="C984" s="13"/>
      <c r="D984" s="13"/>
    </row>
    <row r="985" ht="15.75" customHeight="1">
      <c r="A985" s="13"/>
      <c r="B985" s="13"/>
      <c r="C985" s="13"/>
      <c r="D985" s="13"/>
    </row>
    <row r="986" ht="15.75" customHeight="1">
      <c r="A986" s="13"/>
      <c r="B986" s="13"/>
      <c r="C986" s="13"/>
      <c r="D986" s="13"/>
    </row>
    <row r="987" ht="15.75" customHeight="1">
      <c r="A987" s="13"/>
      <c r="B987" s="13"/>
      <c r="C987" s="13"/>
      <c r="D987" s="13"/>
    </row>
    <row r="988" ht="15.75" customHeight="1">
      <c r="A988" s="13"/>
      <c r="B988" s="13"/>
      <c r="C988" s="13"/>
      <c r="D988" s="13"/>
    </row>
    <row r="989" ht="15.75" customHeight="1">
      <c r="A989" s="13"/>
      <c r="B989" s="13"/>
      <c r="C989" s="13"/>
      <c r="D989" s="13"/>
    </row>
    <row r="990" ht="15.75" customHeight="1">
      <c r="A990" s="13"/>
      <c r="B990" s="13"/>
      <c r="C990" s="13"/>
      <c r="D990" s="13"/>
    </row>
    <row r="991" ht="15.75" customHeight="1">
      <c r="A991" s="13"/>
      <c r="B991" s="13"/>
      <c r="C991" s="13"/>
      <c r="D991" s="13"/>
    </row>
    <row r="992" ht="15.75" customHeight="1">
      <c r="A992" s="13"/>
      <c r="B992" s="13"/>
      <c r="C992" s="13"/>
      <c r="D992" s="13"/>
    </row>
    <row r="993" ht="15.75" customHeight="1">
      <c r="A993" s="13"/>
      <c r="B993" s="13"/>
      <c r="C993" s="13"/>
      <c r="D993" s="13"/>
    </row>
    <row r="994" ht="15.75" customHeight="1">
      <c r="A994" s="13"/>
      <c r="B994" s="13"/>
      <c r="C994" s="13"/>
      <c r="D994" s="13"/>
    </row>
    <row r="995" ht="15.75" customHeight="1">
      <c r="A995" s="13"/>
      <c r="B995" s="13"/>
      <c r="C995" s="13"/>
      <c r="D995" s="13"/>
    </row>
    <row r="996" ht="15.75" customHeight="1">
      <c r="A996" s="13"/>
      <c r="B996" s="13"/>
      <c r="C996" s="13"/>
      <c r="D996" s="13"/>
    </row>
    <row r="997" ht="15.75" customHeight="1">
      <c r="A997" s="13"/>
      <c r="B997" s="13"/>
      <c r="C997" s="13"/>
      <c r="D997" s="13"/>
    </row>
    <row r="998" ht="15.75" customHeight="1">
      <c r="A998" s="13"/>
      <c r="B998" s="13"/>
      <c r="C998" s="13"/>
      <c r="D998" s="13"/>
    </row>
    <row r="999" ht="15.75" customHeight="1">
      <c r="A999" s="13"/>
      <c r="B999" s="13"/>
      <c r="C999" s="13"/>
      <c r="D999" s="13"/>
    </row>
    <row r="1000" ht="15.75" customHeight="1">
      <c r="A1000" s="13"/>
      <c r="B1000" s="13"/>
      <c r="C1000" s="13"/>
      <c r="D1000" s="13"/>
    </row>
  </sheetData>
  <conditionalFormatting sqref="B2:B46">
    <cfRule type="cellIs" dxfId="2" priority="1" operator="equal">
      <formula>"Ja"</formula>
    </cfRule>
  </conditionalFormatting>
  <conditionalFormatting sqref="B2:B46">
    <cfRule type="cellIs" dxfId="3" priority="2" operator="equal">
      <formula>"Nein"</formula>
    </cfRule>
  </conditionalFormatting>
  <conditionalFormatting sqref="D2">
    <cfRule type="cellIs" dxfId="4" priority="3" operator="equal">
      <formula>1</formula>
    </cfRule>
  </conditionalFormatting>
  <conditionalFormatting sqref="D2">
    <cfRule type="cellIs" dxfId="5" priority="4" operator="equal">
      <formula>0.8</formula>
    </cfRule>
  </conditionalFormatting>
  <conditionalFormatting sqref="D2">
    <cfRule type="cellIs" dxfId="6" priority="5" operator="equal">
      <formula>0.6</formula>
    </cfRule>
  </conditionalFormatting>
  <conditionalFormatting sqref="D2">
    <cfRule type="cellIs" dxfId="7" priority="6" operator="equal">
      <formula>0.4</formula>
    </cfRule>
  </conditionalFormatting>
  <conditionalFormatting sqref="D2">
    <cfRule type="cellIs" dxfId="8" priority="7" operator="equal">
      <formula>0.2</formula>
    </cfRule>
  </conditionalFormatting>
  <conditionalFormatting sqref="D2">
    <cfRule type="cellIs" dxfId="0" priority="8" operator="equal">
      <formula>0</formula>
    </cfRule>
  </conditionalFormatting>
  <conditionalFormatting sqref="B2:B46">
    <cfRule type="cellIs" dxfId="4" priority="9" operator="equal">
      <formula>"Ja"</formula>
    </cfRule>
  </conditionalFormatting>
  <conditionalFormatting sqref="C2:C46">
    <cfRule type="cellIs" dxfId="2" priority="10" operator="equal">
      <formula>"Ja"</formula>
    </cfRule>
  </conditionalFormatting>
  <conditionalFormatting sqref="C2:C46">
    <cfRule type="cellIs" dxfId="3" priority="11" operator="equal">
      <formula>"Nein"</formula>
    </cfRule>
  </conditionalFormatting>
  <conditionalFormatting sqref="C2:C46">
    <cfRule type="cellIs" dxfId="4" priority="12" operator="equal">
      <formula>"Ja"</formula>
    </cfRule>
  </conditionalFormatting>
  <dataValidations>
    <dataValidation type="list" allowBlank="1" showErrorMessage="1" sqref="B2:C46">
      <formula1>"Ja,Nein"</formula1>
    </dataValidation>
    <dataValidation type="list" allowBlank="1" showErrorMessage="1" sqref="D2">
      <formula1>"100%,80%,60%,40%,20%,0%"</formula1>
    </dataValidation>
  </dataValidations>
  <printOptions/>
  <pageMargins bottom="0.75" footer="0.0" header="0.0" left="0.7" right="0.7" top="0.75"/>
  <pageSetup orientation="landscape"/>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6" width="8.22"/>
  </cols>
  <sheetData>
    <row r="1" ht="15.75" customHeight="1">
      <c r="B1" s="36" t="s">
        <v>135</v>
      </c>
    </row>
    <row r="2" ht="15.75" customHeight="1"/>
    <row r="3" ht="15.75" customHeight="1"/>
    <row r="4" ht="15.75" customHeight="1">
      <c r="B4" s="3" t="s">
        <v>136</v>
      </c>
      <c r="C4" s="3" t="s">
        <v>137</v>
      </c>
      <c r="D4" s="3" t="s">
        <v>138</v>
      </c>
      <c r="E4" s="3" t="s">
        <v>139</v>
      </c>
      <c r="F4" s="3" t="s">
        <v>140</v>
      </c>
      <c r="G4" s="3" t="s">
        <v>141</v>
      </c>
      <c r="H4" s="3" t="s">
        <v>142</v>
      </c>
    </row>
    <row r="5" ht="15.75" customHeight="1">
      <c r="A5" s="37">
        <v>0.16666666666666666</v>
      </c>
    </row>
    <row r="6" ht="15.75" customHeight="1">
      <c r="A6" s="37">
        <v>0.1875</v>
      </c>
    </row>
    <row r="7" ht="15.75" customHeight="1">
      <c r="A7" s="37">
        <v>0.208333333333333</v>
      </c>
    </row>
    <row r="8" ht="15.75" customHeight="1">
      <c r="A8" s="37">
        <v>0.229166666666667</v>
      </c>
    </row>
    <row r="9" ht="15.75" customHeight="1">
      <c r="A9" s="37">
        <v>0.25</v>
      </c>
    </row>
    <row r="10" ht="15.75" customHeight="1">
      <c r="A10" s="37">
        <v>0.270833333333334</v>
      </c>
    </row>
    <row r="11" ht="15.75" customHeight="1">
      <c r="A11" s="37">
        <v>0.291666666666667</v>
      </c>
    </row>
    <row r="12" ht="15.75" customHeight="1">
      <c r="A12" s="37">
        <v>0.3125</v>
      </c>
    </row>
    <row r="13" ht="15.75" customHeight="1">
      <c r="A13" s="37">
        <v>0.333333333333334</v>
      </c>
    </row>
    <row r="14" ht="15.75" customHeight="1">
      <c r="A14" s="37">
        <v>0.354166666666667</v>
      </c>
    </row>
    <row r="15" ht="15.75" customHeight="1">
      <c r="A15" s="37">
        <v>0.375</v>
      </c>
    </row>
    <row r="16" ht="15.75" customHeight="1">
      <c r="A16" s="37">
        <v>0.395833333333334</v>
      </c>
    </row>
    <row r="17" ht="15.75" customHeight="1">
      <c r="A17" s="37">
        <v>0.416666666666667</v>
      </c>
    </row>
    <row r="18" ht="15.75" customHeight="1">
      <c r="A18" s="37">
        <v>0.4375</v>
      </c>
    </row>
    <row r="19" ht="15.75" customHeight="1">
      <c r="A19" s="37">
        <v>0.458333333333334</v>
      </c>
    </row>
    <row r="20" ht="15.75" customHeight="1">
      <c r="A20" s="37">
        <v>0.479166666666667</v>
      </c>
    </row>
    <row r="21" ht="15.75" customHeight="1">
      <c r="A21" s="37">
        <v>0.5</v>
      </c>
    </row>
    <row r="22" ht="15.75" customHeight="1">
      <c r="A22" s="37">
        <v>0.520833333333334</v>
      </c>
    </row>
    <row r="23" ht="15.75" customHeight="1">
      <c r="A23" s="37">
        <v>0.541666666666667</v>
      </c>
    </row>
    <row r="24" ht="15.75" customHeight="1">
      <c r="A24" s="37">
        <v>0.5625</v>
      </c>
    </row>
    <row r="25" ht="15.75" customHeight="1">
      <c r="A25" s="37">
        <v>0.583333333333334</v>
      </c>
    </row>
    <row r="26" ht="15.75" customHeight="1">
      <c r="A26" s="37">
        <v>0.604166666666667</v>
      </c>
    </row>
    <row r="27" ht="15.75" customHeight="1">
      <c r="A27" s="37">
        <v>0.625000000000001</v>
      </c>
    </row>
    <row r="28" ht="15.75" customHeight="1">
      <c r="A28" s="37">
        <v>0.645833333333334</v>
      </c>
    </row>
    <row r="29" ht="15.75" customHeight="1">
      <c r="A29" s="37">
        <v>0.666666666666667</v>
      </c>
    </row>
    <row r="30" ht="15.75" customHeight="1">
      <c r="A30" s="37">
        <v>0.687500000000001</v>
      </c>
    </row>
    <row r="31" ht="15.75" customHeight="1">
      <c r="A31" s="37">
        <v>0.708333333333334</v>
      </c>
    </row>
    <row r="32" ht="15.75" customHeight="1">
      <c r="A32" s="37">
        <v>0.729166666666667</v>
      </c>
    </row>
    <row r="33" ht="15.75" customHeight="1">
      <c r="A33" s="37">
        <v>0.750000000000001</v>
      </c>
    </row>
    <row r="34" ht="15.75" customHeight="1">
      <c r="A34" s="37">
        <v>0.770833333333334</v>
      </c>
    </row>
    <row r="35" ht="15.75" customHeight="1">
      <c r="A35" s="37">
        <v>0.791666666666667</v>
      </c>
    </row>
    <row r="36" ht="15.75" customHeight="1">
      <c r="A36" s="37">
        <v>0.812500000000001</v>
      </c>
    </row>
    <row r="37" ht="15.75" customHeight="1">
      <c r="A37" s="37">
        <v>0.833333333333334</v>
      </c>
    </row>
    <row r="38" ht="15.75" customHeight="1">
      <c r="A38" s="37">
        <v>0.854166666666667</v>
      </c>
    </row>
    <row r="39" ht="15.75" customHeight="1">
      <c r="A39" s="37">
        <v>0.875000000000001</v>
      </c>
    </row>
    <row r="40" ht="15.75" customHeight="1">
      <c r="A40" s="37">
        <v>0.895833333333334</v>
      </c>
    </row>
    <row r="41" ht="15.75" customHeight="1">
      <c r="A41" s="37">
        <v>0.916666666666667</v>
      </c>
    </row>
    <row r="42" ht="15.75" customHeight="1">
      <c r="A42" s="37">
        <v>0.937500000000001</v>
      </c>
    </row>
    <row r="43" ht="15.75" customHeight="1">
      <c r="A43" s="37">
        <v>0.958333333333334</v>
      </c>
    </row>
    <row r="44" ht="15.75" customHeight="1">
      <c r="A44" s="37">
        <v>0.979166666666667</v>
      </c>
    </row>
    <row r="45" ht="15.75" customHeight="1">
      <c r="A45" s="37">
        <v>1.0</v>
      </c>
    </row>
    <row r="46" ht="15.75" customHeight="1">
      <c r="A46" s="37">
        <v>1.02083333333333</v>
      </c>
    </row>
    <row r="47" ht="15.75" customHeight="1">
      <c r="A47" s="37">
        <v>1.04166666666667</v>
      </c>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6" width="8.22"/>
  </cols>
  <sheetData>
    <row r="1" ht="15.75" customHeight="1">
      <c r="B1" s="36" t="s">
        <v>135</v>
      </c>
    </row>
    <row r="2" ht="15.75" customHeight="1"/>
    <row r="3" ht="15.75" customHeight="1"/>
    <row r="4" ht="15.75" customHeight="1">
      <c r="B4" s="3" t="s">
        <v>136</v>
      </c>
      <c r="C4" s="3" t="s">
        <v>137</v>
      </c>
      <c r="D4" s="3" t="s">
        <v>138</v>
      </c>
      <c r="E4" s="3" t="s">
        <v>139</v>
      </c>
      <c r="F4" s="3" t="s">
        <v>140</v>
      </c>
      <c r="G4" s="3" t="s">
        <v>141</v>
      </c>
      <c r="H4" s="3" t="s">
        <v>142</v>
      </c>
    </row>
    <row r="5" ht="15.75" customHeight="1">
      <c r="A5" s="37">
        <v>0.16666666666666666</v>
      </c>
    </row>
    <row r="6" ht="15.75" customHeight="1">
      <c r="A6" s="37">
        <v>0.1875</v>
      </c>
    </row>
    <row r="7" ht="15.75" customHeight="1">
      <c r="A7" s="37">
        <v>0.208333333333333</v>
      </c>
    </row>
    <row r="8" ht="15.75" customHeight="1">
      <c r="A8" s="37">
        <v>0.229166666666667</v>
      </c>
    </row>
    <row r="9" ht="15.75" customHeight="1">
      <c r="A9" s="37">
        <v>0.25</v>
      </c>
    </row>
    <row r="10" ht="15.75" customHeight="1">
      <c r="A10" s="37">
        <v>0.270833333333334</v>
      </c>
    </row>
    <row r="11" ht="15.75" customHeight="1">
      <c r="A11" s="37">
        <v>0.291666666666667</v>
      </c>
    </row>
    <row r="12" ht="15.75" customHeight="1">
      <c r="A12" s="37">
        <v>0.3125</v>
      </c>
    </row>
    <row r="13" ht="15.75" customHeight="1">
      <c r="A13" s="37">
        <v>0.333333333333334</v>
      </c>
    </row>
    <row r="14" ht="15.75" customHeight="1">
      <c r="A14" s="37">
        <v>0.354166666666667</v>
      </c>
    </row>
    <row r="15" ht="15.75" customHeight="1">
      <c r="A15" s="37">
        <v>0.375</v>
      </c>
    </row>
    <row r="16" ht="15.75" customHeight="1">
      <c r="A16" s="37">
        <v>0.395833333333334</v>
      </c>
    </row>
    <row r="17" ht="15.75" customHeight="1">
      <c r="A17" s="37">
        <v>0.416666666666667</v>
      </c>
    </row>
    <row r="18" ht="15.75" customHeight="1">
      <c r="A18" s="37">
        <v>0.4375</v>
      </c>
    </row>
    <row r="19" ht="15.75" customHeight="1">
      <c r="A19" s="37">
        <v>0.458333333333334</v>
      </c>
    </row>
    <row r="20" ht="15.75" customHeight="1">
      <c r="A20" s="37">
        <v>0.479166666666667</v>
      </c>
    </row>
    <row r="21" ht="15.75" customHeight="1">
      <c r="A21" s="37">
        <v>0.5</v>
      </c>
    </row>
    <row r="22" ht="15.75" customHeight="1">
      <c r="A22" s="37">
        <v>0.520833333333334</v>
      </c>
    </row>
    <row r="23" ht="15.75" customHeight="1">
      <c r="A23" s="37">
        <v>0.541666666666667</v>
      </c>
    </row>
    <row r="24" ht="15.75" customHeight="1">
      <c r="A24" s="37">
        <v>0.5625</v>
      </c>
    </row>
    <row r="25" ht="15.75" customHeight="1">
      <c r="A25" s="37">
        <v>0.583333333333334</v>
      </c>
    </row>
    <row r="26" ht="15.75" customHeight="1">
      <c r="A26" s="37">
        <v>0.604166666666667</v>
      </c>
    </row>
    <row r="27" ht="15.75" customHeight="1">
      <c r="A27" s="37">
        <v>0.625000000000001</v>
      </c>
    </row>
    <row r="28" ht="15.75" customHeight="1">
      <c r="A28" s="37">
        <v>0.645833333333334</v>
      </c>
    </row>
    <row r="29" ht="15.75" customHeight="1">
      <c r="A29" s="37">
        <v>0.666666666666667</v>
      </c>
    </row>
    <row r="30" ht="15.75" customHeight="1">
      <c r="A30" s="37">
        <v>0.687500000000001</v>
      </c>
    </row>
    <row r="31" ht="15.75" customHeight="1">
      <c r="A31" s="37">
        <v>0.708333333333334</v>
      </c>
    </row>
    <row r="32" ht="15.75" customHeight="1">
      <c r="A32" s="37">
        <v>0.729166666666667</v>
      </c>
    </row>
    <row r="33" ht="15.75" customHeight="1">
      <c r="A33" s="37">
        <v>0.750000000000001</v>
      </c>
    </row>
    <row r="34" ht="15.75" customHeight="1">
      <c r="A34" s="37">
        <v>0.770833333333334</v>
      </c>
    </row>
    <row r="35" ht="15.75" customHeight="1">
      <c r="A35" s="37">
        <v>0.791666666666667</v>
      </c>
    </row>
    <row r="36" ht="15.75" customHeight="1">
      <c r="A36" s="37">
        <v>0.812500000000001</v>
      </c>
    </row>
    <row r="37" ht="15.75" customHeight="1">
      <c r="A37" s="37">
        <v>0.833333333333334</v>
      </c>
    </row>
    <row r="38" ht="15.75" customHeight="1">
      <c r="A38" s="37">
        <v>0.854166666666667</v>
      </c>
    </row>
    <row r="39" ht="15.75" customHeight="1">
      <c r="A39" s="37">
        <v>0.875000000000001</v>
      </c>
    </row>
    <row r="40" ht="15.75" customHeight="1">
      <c r="A40" s="37">
        <v>0.895833333333334</v>
      </c>
    </row>
    <row r="41" ht="15.75" customHeight="1">
      <c r="A41" s="37">
        <v>0.916666666666667</v>
      </c>
    </row>
    <row r="42" ht="15.75" customHeight="1">
      <c r="A42" s="37">
        <v>0.937500000000001</v>
      </c>
    </row>
    <row r="43" ht="15.75" customHeight="1">
      <c r="A43" s="37">
        <v>0.958333333333334</v>
      </c>
    </row>
    <row r="44" ht="15.75" customHeight="1">
      <c r="A44" s="37">
        <v>0.979166666666667</v>
      </c>
    </row>
    <row r="45" ht="15.75" customHeight="1">
      <c r="A45" s="37">
        <v>1.0</v>
      </c>
    </row>
    <row r="46" ht="15.75" customHeight="1">
      <c r="A46" s="37">
        <v>1.02083333333333</v>
      </c>
    </row>
    <row r="47" ht="15.75" customHeight="1">
      <c r="A47" s="37">
        <v>1.04166666666667</v>
      </c>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2020-04-19T13:33:28Z</dcterms:created>
  <dc:creator>Microsoft Office-Benutzer</dc:creator>
</cp:coreProperties>
</file>