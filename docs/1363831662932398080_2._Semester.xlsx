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https://unigiessende-my.sharepoint.com/personal/j_s8s3k1k_uni-giessen_de/Documents/"/>
    </mc:Choice>
  </mc:AlternateContent>
  <xr:revisionPtr revIDLastSave="0" documentId="8_{43CD2661-FAA6-3342-B65E-97CA44A5AD0B}" xr6:coauthVersionLast="47" xr6:coauthVersionMax="47" xr10:uidLastSave="{00000000-0000-0000-0000-000000000000}"/>
  <bookViews>
    <workbookView xWindow="8040" yWindow="500" windowWidth="17560" windowHeight="15500" activeTab="2" xr2:uid="{50F29292-BE80-0C47-A0D2-DD086CB3D310}"/>
  </bookViews>
  <sheets>
    <sheet name="ANLEITUNG" sheetId="10" r:id="rId1"/>
    <sheet name="Best-Practices" sheetId="2" r:id="rId2"/>
    <sheet name="Semesterplan" sheetId="7" r:id="rId3"/>
    <sheet name="COMMITTMENT" sheetId="9" r:id="rId4"/>
    <sheet name="Wochenplan KW 19" sheetId="3" r:id="rId5"/>
    <sheet name="Wochenplan KW 20" sheetId="8" r:id="rId6"/>
    <sheet name="Notentracker"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K45" i="7" l="1"/>
  <c r="EK36" i="7"/>
  <c r="EK28" i="7"/>
  <c r="EK16" i="7"/>
  <c r="EK4" i="7"/>
  <c r="ED45" i="7"/>
  <c r="ED36" i="7"/>
  <c r="ED28" i="7"/>
  <c r="ED16" i="7"/>
  <c r="ED4" i="7"/>
  <c r="DW45" i="7"/>
  <c r="DW36" i="7"/>
  <c r="DW28" i="7"/>
  <c r="DW16" i="7"/>
  <c r="DW4" i="7"/>
  <c r="DP45" i="7"/>
  <c r="DP36" i="7"/>
  <c r="DP28" i="7"/>
  <c r="DP16" i="7"/>
  <c r="DP4" i="7"/>
  <c r="DI45" i="7"/>
  <c r="DI36" i="7"/>
  <c r="DI28" i="7"/>
  <c r="DI16" i="7"/>
  <c r="DI4" i="7"/>
  <c r="DB45" i="7"/>
  <c r="DB36" i="7"/>
  <c r="DB28" i="7"/>
  <c r="DB16" i="7"/>
  <c r="DB4" i="7"/>
  <c r="CN45" i="7"/>
  <c r="CN36" i="7"/>
  <c r="CN28" i="7"/>
  <c r="CN16" i="7"/>
  <c r="CN4" i="7"/>
  <c r="CG45" i="7"/>
  <c r="CG36" i="7"/>
  <c r="CG28" i="7"/>
  <c r="CG16" i="7"/>
  <c r="CG4" i="7"/>
  <c r="BZ45" i="7"/>
  <c r="BZ36" i="7"/>
  <c r="BZ28" i="7"/>
  <c r="BZ16" i="7"/>
  <c r="BZ4" i="7"/>
  <c r="BS45" i="7"/>
  <c r="BS36" i="7"/>
  <c r="BS28" i="7"/>
  <c r="BS16" i="7"/>
  <c r="BS4" i="7"/>
  <c r="BL45" i="7"/>
  <c r="BL36" i="7"/>
  <c r="BL28" i="7"/>
  <c r="BL16" i="7"/>
  <c r="BL4" i="7"/>
  <c r="BE45" i="7"/>
  <c r="BE36" i="7"/>
  <c r="BE28" i="7"/>
  <c r="BE16" i="7"/>
  <c r="BE4" i="7"/>
  <c r="AX45" i="7"/>
  <c r="AX36" i="7"/>
  <c r="AX28" i="7"/>
  <c r="AX16" i="7"/>
  <c r="AX4" i="7"/>
  <c r="AQ45" i="7"/>
  <c r="AQ36" i="7"/>
  <c r="AQ28" i="7"/>
  <c r="AQ16" i="7"/>
  <c r="AQ4" i="7"/>
  <c r="O45" i="7"/>
  <c r="O36" i="7"/>
  <c r="O28" i="7"/>
  <c r="O16" i="7"/>
  <c r="O4" i="7"/>
  <c r="C11" i="10"/>
  <c r="C7" i="10"/>
  <c r="J17" i="7" a="1"/>
  <c r="J17" i="7"/>
  <c r="J18" i="7" a="1"/>
  <c r="J18" i="7"/>
  <c r="J19" i="7" a="1"/>
  <c r="J20" i="7" a="1"/>
  <c r="J21" i="7" a="1"/>
  <c r="J22" i="7" a="1"/>
  <c r="J23" i="7" a="1"/>
  <c r="J24" i="7" a="1"/>
  <c r="J25" i="7" a="1"/>
  <c r="J19" i="7"/>
  <c r="J20" i="7"/>
  <c r="J21" i="7"/>
  <c r="J22" i="7"/>
  <c r="J23" i="7"/>
  <c r="J24" i="7"/>
  <c r="J25" i="7"/>
  <c r="J16" i="7"/>
  <c r="H5" i="11" a="1"/>
  <c r="H5" i="11"/>
  <c r="B2" i="11"/>
  <c r="K14" i="7" a="1"/>
  <c r="K14" i="7"/>
  <c r="K5" i="7" a="1"/>
  <c r="K5" i="7"/>
  <c r="K6" i="7" a="1"/>
  <c r="K6" i="7"/>
  <c r="K7" i="7" a="1"/>
  <c r="K8" i="7" a="1"/>
  <c r="K9" i="7" a="1"/>
  <c r="K10" i="7" a="1"/>
  <c r="K11" i="7" a="1"/>
  <c r="K12" i="7" a="1"/>
  <c r="K13" i="7" a="1"/>
  <c r="K7" i="7"/>
  <c r="K8" i="7"/>
  <c r="K9" i="7"/>
  <c r="K10" i="7"/>
  <c r="K11" i="7"/>
  <c r="K12" i="7"/>
  <c r="K13" i="7"/>
  <c r="K4" i="7"/>
  <c r="J14" i="7" a="1"/>
  <c r="J14" i="7"/>
  <c r="J5" i="7" a="1"/>
  <c r="J5" i="7"/>
  <c r="J6" i="7" a="1"/>
  <c r="J6" i="7"/>
  <c r="J7" i="7" a="1"/>
  <c r="J8" i="7" a="1"/>
  <c r="J9" i="7" a="1"/>
  <c r="J10" i="7" a="1"/>
  <c r="J11" i="7" a="1"/>
  <c r="J12" i="7" a="1"/>
  <c r="J13" i="7" a="1"/>
  <c r="J7" i="7"/>
  <c r="J8" i="7"/>
  <c r="J9" i="7"/>
  <c r="J10" i="7"/>
  <c r="J11" i="7"/>
  <c r="J12" i="7"/>
  <c r="J13" i="7"/>
  <c r="J4" i="7"/>
  <c r="I14" i="7"/>
  <c r="I5" i="7"/>
  <c r="I6" i="7"/>
  <c r="I7" i="7"/>
  <c r="I8" i="7"/>
  <c r="I9" i="7"/>
  <c r="I10" i="7"/>
  <c r="I11" i="7"/>
  <c r="I12" i="7"/>
  <c r="I13" i="7"/>
  <c r="I4" i="7"/>
  <c r="G4" i="7"/>
  <c r="G45" i="7"/>
  <c r="K17" i="7" a="1"/>
  <c r="K17" i="7"/>
  <c r="K18" i="7" a="1"/>
  <c r="K18" i="7"/>
  <c r="K19" i="7" a="1"/>
  <c r="K20" i="7" a="1"/>
  <c r="K21" i="7" a="1"/>
  <c r="K22" i="7" a="1"/>
  <c r="K23" i="7" a="1"/>
  <c r="K24" i="7" a="1"/>
  <c r="K25" i="7" a="1"/>
  <c r="K19" i="7"/>
  <c r="K20" i="7"/>
  <c r="K21" i="7"/>
  <c r="K22" i="7"/>
  <c r="K23" i="7"/>
  <c r="K24" i="7"/>
  <c r="K25" i="7"/>
  <c r="K16" i="7"/>
  <c r="K57" i="7" a="1"/>
  <c r="K57" i="7"/>
  <c r="J57" i="7" a="1"/>
  <c r="J57" i="7"/>
  <c r="K56" i="7" a="1"/>
  <c r="K56" i="7"/>
  <c r="J56" i="7" a="1"/>
  <c r="J56" i="7"/>
  <c r="K55" i="7" a="1"/>
  <c r="K55" i="7"/>
  <c r="J55" i="7" a="1"/>
  <c r="J55" i="7"/>
  <c r="I55" i="7"/>
  <c r="I56" i="7"/>
  <c r="I57" i="7"/>
  <c r="I53" i="7"/>
  <c r="J53" i="7" a="1"/>
  <c r="J53" i="7"/>
  <c r="K53" i="7" a="1"/>
  <c r="K53" i="7"/>
  <c r="I54" i="7"/>
  <c r="J54" i="7" a="1"/>
  <c r="J54" i="7"/>
  <c r="K54" i="7" a="1"/>
  <c r="K54" i="7"/>
  <c r="I51" i="7"/>
  <c r="J51" i="7" a="1"/>
  <c r="J51" i="7"/>
  <c r="K51" i="7" a="1"/>
  <c r="K51" i="7"/>
  <c r="G16" i="7"/>
  <c r="G28" i="7"/>
  <c r="CU45" i="7"/>
  <c r="CU36" i="7"/>
  <c r="CU28" i="7"/>
  <c r="CU16" i="7"/>
  <c r="CU4" i="7"/>
  <c r="AJ45" i="7"/>
  <c r="AJ36" i="7"/>
  <c r="AJ28" i="7"/>
  <c r="AJ16" i="7"/>
  <c r="AJ4" i="7"/>
  <c r="AC45" i="7"/>
  <c r="AC36" i="7"/>
  <c r="AC28" i="7"/>
  <c r="AC16" i="7"/>
  <c r="AC4" i="7"/>
  <c r="V45" i="7"/>
  <c r="V36" i="7"/>
  <c r="V28" i="7"/>
  <c r="V16" i="7"/>
  <c r="V4" i="7"/>
  <c r="I25" i="7"/>
  <c r="I19" i="7"/>
  <c r="I18" i="7"/>
  <c r="K52" i="7" a="1"/>
  <c r="K52" i="7"/>
  <c r="J52" i="7" a="1"/>
  <c r="J52" i="7"/>
  <c r="I52" i="7"/>
  <c r="K50" i="7" a="1"/>
  <c r="K50" i="7"/>
  <c r="J50" i="7" a="1"/>
  <c r="J50" i="7"/>
  <c r="I50" i="7"/>
  <c r="K49" i="7" a="1"/>
  <c r="K49" i="7"/>
  <c r="J49" i="7" a="1"/>
  <c r="J49" i="7"/>
  <c r="I49" i="7"/>
  <c r="K48" i="7" a="1"/>
  <c r="K48" i="7"/>
  <c r="J48" i="7" a="1"/>
  <c r="J48" i="7"/>
  <c r="I48" i="7"/>
  <c r="K47" i="7" a="1"/>
  <c r="K47" i="7"/>
  <c r="J47" i="7" a="1"/>
  <c r="J47" i="7"/>
  <c r="I47" i="7"/>
  <c r="K46" i="7" a="1"/>
  <c r="K46" i="7"/>
  <c r="J46" i="7" a="1"/>
  <c r="J46" i="7"/>
  <c r="I46" i="7"/>
  <c r="K43" i="7" a="1"/>
  <c r="K43" i="7"/>
  <c r="J43" i="7" a="1"/>
  <c r="J43" i="7"/>
  <c r="I43" i="7"/>
  <c r="K42" i="7" a="1"/>
  <c r="K42" i="7"/>
  <c r="J42" i="7" a="1"/>
  <c r="J42" i="7"/>
  <c r="I42" i="7"/>
  <c r="K41" i="7" a="1"/>
  <c r="K41" i="7"/>
  <c r="J41" i="7" a="1"/>
  <c r="J41" i="7"/>
  <c r="I41" i="7"/>
  <c r="K40" i="7" a="1"/>
  <c r="K40" i="7"/>
  <c r="J40" i="7" a="1"/>
  <c r="J40" i="7"/>
  <c r="I40" i="7"/>
  <c r="K39" i="7" a="1"/>
  <c r="K39" i="7"/>
  <c r="J39" i="7" a="1"/>
  <c r="J39" i="7"/>
  <c r="I39" i="7"/>
  <c r="K38" i="7" a="1"/>
  <c r="K38" i="7"/>
  <c r="J38" i="7" a="1"/>
  <c r="J38" i="7"/>
  <c r="I38" i="7"/>
  <c r="K37" i="7" a="1"/>
  <c r="K37" i="7"/>
  <c r="J37" i="7" a="1"/>
  <c r="J37" i="7"/>
  <c r="I37" i="7"/>
  <c r="G36" i="7"/>
  <c r="C12" i="10"/>
  <c r="K34" i="7" a="1"/>
  <c r="K34" i="7"/>
  <c r="J34" i="7" a="1"/>
  <c r="J34" i="7"/>
  <c r="K33" i="7" a="1"/>
  <c r="K33" i="7"/>
  <c r="J33" i="7" a="1"/>
  <c r="J33" i="7"/>
  <c r="K32" i="7" a="1"/>
  <c r="K32" i="7"/>
  <c r="J32" i="7" a="1"/>
  <c r="J32" i="7"/>
  <c r="K31" i="7" a="1"/>
  <c r="K31" i="7"/>
  <c r="J31" i="7" a="1"/>
  <c r="J31" i="7"/>
  <c r="K30" i="7" a="1"/>
  <c r="K30" i="7"/>
  <c r="J30" i="7" a="1"/>
  <c r="J30" i="7"/>
  <c r="K29" i="7" a="1"/>
  <c r="K29" i="7"/>
  <c r="J29" i="7" a="1"/>
  <c r="J29" i="7"/>
  <c r="I34" i="7"/>
  <c r="I33" i="7"/>
  <c r="I32" i="7"/>
  <c r="I31" i="7"/>
  <c r="I30" i="7"/>
  <c r="I29" i="7"/>
  <c r="I24" i="7"/>
  <c r="I23" i="7"/>
  <c r="I22" i="7"/>
  <c r="I21" i="7"/>
  <c r="I20" i="7"/>
  <c r="I17" i="7"/>
  <c r="I16" i="7"/>
  <c r="I36" i="7"/>
  <c r="I45" i="7"/>
  <c r="J36" i="7"/>
  <c r="K36" i="7"/>
  <c r="I28" i="7"/>
  <c r="J28" i="7"/>
  <c r="K28" i="7"/>
  <c r="J45" i="7"/>
  <c r="K4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<sst xmlns="http://schemas.openxmlformats.org/spreadsheetml/2006/main" count="406" uniqueCount="174">
  <si>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</si>
  <si>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</si>
  <si>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</si>
  <si>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</si>
  <si>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</si>
  <si>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</si>
  <si>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</si>
  <si>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</si>
  <si>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</si>
  <si>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</si>
  <si>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</si>
  <si>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</si>
  <si>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</si>
  <si>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</si>
  <si>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</si>
  <si>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</si>
  <si>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</si>
  <si>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</si>
  <si>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</si>
  <si>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</si>
  <si>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</si>
  <si>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</si>
  <si>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</si>
  <si>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</si>
  <si>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</si>
  <si>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</si>
  <si>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</si>
  <si>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</si>
  <si>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</si>
  <si>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</si>
  <si>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</si>
  <si>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</si>
  <si>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</si>
  <si>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</si>
  <si>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</si>
  <si>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</si>
  <si>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20</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</si>
  <si>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</si>
  <si>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</si>
  <si>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</si>
  <si>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</si>
  <si>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</si>
  <si>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</si>
  <si>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</si>
  <si>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</si>
  <si>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</si>
  <si>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</si>
  <si>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</si>
  <si>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</si>
  <si>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</si>
  <si>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</si>
  <si>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</si>
  <si>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</si>
  <si>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</si>
  <si>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</si>
  <si>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</si>
  <si>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</si>
  <si>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</si>
  <si>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</si>
  <si>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</si>
  <si>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</si>
  <si>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</si>
  <si>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</si>
  <si>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</si>
  <si>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</si>
  <si>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</si>
  <si>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</si>
  <si>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</si>
  <si>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</si>
  <si>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</si>
  <si>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</si>
  <si>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</si>
  <si>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</si>
  <si>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</si>
  <si>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</si>
  <si>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</si>
  <si>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</si>
  <si>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</si>
  <si>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</si>
  <si>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</si>
  <si>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</si>
  <si>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</si>
  <si>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</si>
  <si>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</si>
  <si>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</si>
  <si>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</si>
  <si>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</si>
  <si>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</si>
  <si>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</si>
  <si>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</si>
  <si>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</si>
  <si>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</si>
  <si>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</si>
  <si>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</si>
  <si>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</si>
  <si>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Finance</t>
  </si>
  <si>
    <t>1) Unternehmensfinanzierung - Was ist das?</t>
  </si>
  <si>
    <t>2) Geld und Zeit</t>
  </si>
  <si>
    <t>3) Bewertung von Anleihen</t>
  </si>
  <si>
    <t>4) Bewertung von Aktien</t>
  </si>
  <si>
    <t>5) Investitionsentscheidungsregeln</t>
  </si>
  <si>
    <t>6) Risiko und Rendite - Diversifikation in Portfolios</t>
  </si>
  <si>
    <t>7) Portfoliotheorie und Capital Asset Pricing Model</t>
  </si>
  <si>
    <t>8) Risiko und Kapitalkosten</t>
  </si>
  <si>
    <t>9) Markteffizienz</t>
  </si>
  <si>
    <t>10) Unternehmensfinanzierung</t>
  </si>
  <si>
    <t>Grundlagen Statistik</t>
  </si>
  <si>
    <t>1) Statistische Analysen</t>
  </si>
  <si>
    <t>2) Daten und Merkmale</t>
  </si>
  <si>
    <t>3) Häufigkeiten und Empirsche Verteilungen</t>
  </si>
  <si>
    <t>4) Parameter von Empirischen Verteilungen</t>
  </si>
  <si>
    <t xml:space="preserve">5) Rechnen mit Wahrscheinlichkeiten </t>
  </si>
  <si>
    <t>6) Diskrete Zufallsvariablen</t>
  </si>
  <si>
    <t>7) Stetige Zufallsvariablen</t>
  </si>
  <si>
    <t>8) Kombinatorik</t>
  </si>
  <si>
    <t>9) Urnenmodellverteilungen</t>
  </si>
  <si>
    <t>10) Normalverteilung</t>
  </si>
  <si>
    <t>1) A Recap from Introduction to Macro</t>
  </si>
  <si>
    <t>2) Economic Growth</t>
  </si>
  <si>
    <t>3) The Labor Market</t>
  </si>
  <si>
    <t>4) Money and Inflation</t>
  </si>
  <si>
    <t>5) Unemployment and Inflation: the Phillips curve</t>
  </si>
  <si>
    <t>6) Consumption and intertemporal macroeconomics</t>
  </si>
  <si>
    <t>Intermediate Macroeconomics</t>
  </si>
  <si>
    <t>Wirtschaftspolitik und öffentliche Finanzen</t>
  </si>
  <si>
    <t>2) Staat und Wirtschaftspolitik</t>
  </si>
  <si>
    <t>3) Öffentliche Verschuldung</t>
  </si>
  <si>
    <t>4) Markt und Effizienz</t>
  </si>
  <si>
    <t>5) Steuern und Sozialabgaben</t>
  </si>
  <si>
    <t>6) Marktversagen</t>
  </si>
  <si>
    <t>7) Positive Theorie der Staatstätigkeit: Neue Politische Ökonomie</t>
  </si>
  <si>
    <t>Management 2</t>
  </si>
  <si>
    <t>KW 18</t>
  </si>
  <si>
    <t>KW 28</t>
  </si>
  <si>
    <t>KW 29</t>
  </si>
  <si>
    <t>KW 33</t>
  </si>
  <si>
    <t>KW 34</t>
  </si>
  <si>
    <t>KW 17 (SEMESTERBEGINN)</t>
  </si>
  <si>
    <t>KW 30 (VL FREIE ZEIT)</t>
  </si>
  <si>
    <t>KW 35</t>
  </si>
  <si>
    <t>Grundlagen Statistik (S1a)</t>
  </si>
  <si>
    <t>Grundlagen Statistik (S1b)</t>
  </si>
  <si>
    <t>KW 27 (~70%)</t>
  </si>
  <si>
    <t>Modul</t>
  </si>
  <si>
    <t>Note</t>
  </si>
  <si>
    <t>Semester</t>
  </si>
  <si>
    <t>Makro 1</t>
  </si>
  <si>
    <t>Mikro 1</t>
  </si>
  <si>
    <t>Mathe für WiWis</t>
  </si>
  <si>
    <t>Accounting</t>
  </si>
  <si>
    <t>Management 1</t>
  </si>
  <si>
    <t>Makro 2</t>
  </si>
  <si>
    <t>WiPo und FiWi</t>
  </si>
  <si>
    <t>Modul XY</t>
  </si>
  <si>
    <t xml:space="preserve">Notendurchschnitt: </t>
  </si>
  <si>
    <t>Gesamt</t>
  </si>
  <si>
    <t>Umrechnungstabelle:</t>
  </si>
  <si>
    <t>1) Technologiemanagement</t>
  </si>
  <si>
    <t>2) Innovationsmanagement</t>
  </si>
  <si>
    <t>3) Organisation des Innovationsmanagements 1</t>
  </si>
  <si>
    <t>4) Organisation des Innovationsmanagements 2</t>
  </si>
  <si>
    <t>5) Der Innovationsprozess 1</t>
  </si>
  <si>
    <t>6) Der Innovationsprozess 2</t>
  </si>
  <si>
    <t>7) Kick-Off &amp; Grundlagen Marketing</t>
  </si>
  <si>
    <t>8) Produktmanagement</t>
  </si>
  <si>
    <t xml:space="preserve">9) Kundenmanagement </t>
  </si>
  <si>
    <t>10) Marktforschung</t>
  </si>
  <si>
    <t>12) Logistik</t>
  </si>
  <si>
    <t>11) Beschaffung</t>
  </si>
  <si>
    <t xml:space="preserve">KW 21 (WEISHEITSZAHNOP) </t>
  </si>
  <si>
    <t>KW 31 (KLAUSUREN!!)</t>
  </si>
  <si>
    <t>KW 32 (KLAUSUREN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</si>
</sst>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
      <sz val="8"/>
      <name val="Calibri"/>
      <family val="2"/>
      <scheme val="minor"/>
    </font>
    <font>
      <sz val="16"/>
      <color theme="1"/>
      <name val="Calibri"/>
      <family val="2"/>
      <scheme val="minor"/>
    </font>
    <font>
      <b/>
      <sz val="24"/>
      <color theme="1"/>
      <name val="Calibri"/>
      <family val="2"/>
      <scheme val="minor"/>
    </font>
    <font>
      <sz val="24"/>
      <color theme="1"/>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231B"/>
        <bgColor rgb="FF000000"/>
      </patternFill>
    </fill>
    <fill>
      <patternFill patternType="solid">
        <fgColor theme="8"/>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0" fontId="5" fillId="0" borderId="0" xfId="0" applyFont="1" applyAlignment="1">
      <alignment horizontal="center"/>
    </xf>
    <xf numFmtId="9" fontId="5" fillId="7" borderId="0" xfId="0" applyNumberFormat="1" applyFont="1" applyFill="1" applyAlignment="1">
      <alignment horizontal="center"/>
    </xf>
    <xf numFmtId="0" fontId="7" fillId="0" borderId="0" xfId="0" applyFont="1"/>
    <xf numFmtId="0" fontId="8" fillId="8" borderId="0" xfId="0" applyFont="1" applyFill="1"/>
    <xf numFmtId="0" fontId="9" fillId="9" borderId="0" xfId="0" applyFont="1" applyFill="1"/>
    <xf numFmtId="0" fontId="1" fillId="2" borderId="0" xfId="0" applyFont="1" applyFill="1" applyAlignment="1">
      <alignment horizontal="center"/>
    </xf>
  </cellXfs>
  <cellStyles count="1">
    <cellStyle name="Standard" xfId="0" builtinId="0"/>
  </cellStyles>
  <dxfs count="95">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10583</xdr:colOff>
      <xdr:row>12</xdr:row>
      <xdr:rowOff>181124</xdr:rowOff>
    </xdr:from>
    <xdr:to>
      <xdr:col>12</xdr:col>
      <xdr:colOff>276142</xdr:colOff>
      <xdr:row>45</xdr:row>
      <xdr:rowOff>22678</xdr:rowOff>
    </xdr:to>
    <xdr:pic>
      <xdr:nvPicPr>
        <xdr:cNvPr id="2" name="Grafik 1">
          <a:extLst>
            <a:ext uri="{FF2B5EF4-FFF2-40B4-BE49-F238E27FC236}">
              <a16:creationId xmlns:a16="http://schemas.microsoft.com/office/drawing/2014/main" id="{5EDC26A2-58BC-E993-3E10-93003A7D832D}"/>
            </a:ext>
          </a:extLst>
        </xdr:cNvPr>
        <xdr:cNvPicPr>
          <a:picLocks noChangeAspect="1"/>
        </xdr:cNvPicPr>
      </xdr:nvPicPr>
      <xdr:blipFill>
        <a:blip xmlns:r="http://schemas.openxmlformats.org/officeDocument/2006/relationships" r:embed="rId1"/>
        <a:stretch>
          <a:fillRect/>
        </a:stretch>
      </xdr:blipFill>
      <xdr:spPr>
        <a:xfrm>
          <a:off x="11123083" y="3900410"/>
          <a:ext cx="7862880" cy="75295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4">
  <autoFilter ref="A1:K46" xr:uid="{6E266E34-2786-2747-BCE7-51B74867A564}"/>
  <tableColumns count="11">
    <tableColumn id="1" xr3:uid="{95FD92F7-3DC8-704D-A103-A7EDDAB255AB}" name="Datum" dataDxfId="93"/>
    <tableColumn id="2" xr3:uid="{F464D510-8166-E740-A343-FB84BDEF877F}" name="Lerneinheiten durchgezogen" dataDxfId="92"/>
    <tableColumn id="3" xr3:uid="{75F52B08-1A00-0848-BBE6-1EDF7B31B1AD}" name="Tagesplan erstellt" dataDxfId="91"/>
    <tableColumn id="4" xr3:uid="{E6B18D89-E799-AD48-9DAA-37AEE1D29011}" name="Konzentrationslevel" dataDxfId="9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36CB4D-2D6C-2044-8402-F314595E53BB}" name="Tabelle3" displayName="Tabelle3" ref="A1:D27" totalsRowShown="0">
  <autoFilter ref="A1:D27" xr:uid="{9F36CB4D-2D6C-2044-8402-F314595E53BB}"/>
  <tableColumns count="4">
    <tableColumn id="1" xr3:uid="{21437B4A-D921-2B43-BB14-1D1A3C0DFBFC}" name="Modul"/>
    <tableColumn id="2" xr3:uid="{A722D095-14A1-6B47-BE2F-D1E4A14BCC71}" name="ECTS"/>
    <tableColumn id="3" xr3:uid="{55123CCE-836B-314D-AC69-1DA27BB8518C}" name="Note"/>
    <tableColumn id="4" xr3:uid="{16A73277-8E09-DA4A-AACA-64A906C53F60}" name="Semester"/>
  </tableColumns>
  <tableStyleInfo name="TableStyleLight1"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E12" sqref="E12"/>
    </sheetView>
  </sheetViews>
  <sheetFormatPr defaultColWidth="10.8515625" defaultRowHeight="15" x14ac:dyDescent="0.2"/>
  <cols>
    <col min="1" max="1" width="11.8359375" customWidth="1"/>
    <col min="2" max="2" width="62.640625" customWidth="1"/>
    <col min="3" max="3" width="24.2890625" customWidth="1"/>
    <col min="4" max="4" width="10.8515625" bestFit="1" customWidth="1"/>
  </cols>
  <sheetData>
    <row r="2" spans="1:4" x14ac:dyDescent="0.2">
      <c r="C2" s="18" t="s">
        <v>78</v>
      </c>
      <c r="D2" s="18"/>
    </row>
    <row r="3" spans="1:4" x14ac:dyDescent="0.2">
      <c r="C3" s="17" t="s">
        <v>63</v>
      </c>
    </row>
    <row r="4" spans="1:4" x14ac:dyDescent="0.2">
      <c r="C4" s="16" t="s">
        <v>77</v>
      </c>
    </row>
    <row r="5" spans="1:4" x14ac:dyDescent="0.2">
      <c r="A5" s="2" t="s">
        <v>60</v>
      </c>
      <c r="B5" s="2" t="s">
        <v>61</v>
      </c>
      <c r="C5" s="2" t="s">
        <v>62</v>
      </c>
      <c r="D5" s="2" t="s">
        <v>64</v>
      </c>
    </row>
    <row r="6" spans="1:4" x14ac:dyDescent="0.2">
      <c r="A6" t="s">
        <v>56</v>
      </c>
      <c r="B6" s="18" t="s">
        <v>59</v>
      </c>
      <c r="D6" t="s">
        <v>93</v>
      </c>
    </row>
    <row r="7" spans="1:4" x14ac:dyDescent="0.2">
      <c r="A7" t="s">
        <v>67</v>
      </c>
      <c r="B7" t="s">
        <v>68</v>
      </c>
      <c r="C7" s="16">
        <f>32+6+7</f>
        <v>45</v>
      </c>
    </row>
    <row r="8" spans="1:4" x14ac:dyDescent="0.2">
      <c r="A8" t="s">
        <v>58</v>
      </c>
      <c r="B8" s="18" t="s">
        <v>57</v>
      </c>
      <c r="D8" t="s">
        <v>81</v>
      </c>
    </row>
    <row r="9" spans="1:4" x14ac:dyDescent="0.2">
      <c r="A9" t="s">
        <v>66</v>
      </c>
      <c r="B9" s="18" t="s">
        <v>79</v>
      </c>
      <c r="D9" t="s">
        <v>82</v>
      </c>
    </row>
    <row r="10" spans="1:4" x14ac:dyDescent="0.2">
      <c r="A10" t="s">
        <v>70</v>
      </c>
      <c r="B10" t="s">
        <v>69</v>
      </c>
      <c r="C10" s="16">
        <v>12</v>
      </c>
      <c r="D10" t="s">
        <v>65</v>
      </c>
    </row>
    <row r="11" spans="1:4" x14ac:dyDescent="0.2">
      <c r="A11" t="s">
        <v>71</v>
      </c>
      <c r="B11" t="s">
        <v>73</v>
      </c>
      <c r="C11" s="16">
        <f>45*3</f>
        <v>135</v>
      </c>
      <c r="D11" t="s">
        <v>72</v>
      </c>
    </row>
    <row r="12" spans="1:4" x14ac:dyDescent="0.2">
      <c r="A12" t="s">
        <v>75</v>
      </c>
      <c r="B12" t="s">
        <v>74</v>
      </c>
      <c r="C12" s="17">
        <f>C11/C10</f>
        <v>11.25</v>
      </c>
    </row>
    <row r="13" spans="1:4" x14ac:dyDescent="0.2">
      <c r="A13" t="s">
        <v>80</v>
      </c>
      <c r="B13" t="s">
        <v>76</v>
      </c>
      <c r="D13" t="s">
        <v>83</v>
      </c>
    </row>
    <row r="14" spans="1:4" x14ac:dyDescent="0.2">
      <c r="A14" t="s">
        <v>84</v>
      </c>
      <c r="B14" t="s">
        <v>85</v>
      </c>
      <c r="D14" t="s">
        <v>86</v>
      </c>
    </row>
    <row r="15" spans="1:4" x14ac:dyDescent="0.2">
      <c r="A15" t="s">
        <v>87</v>
      </c>
      <c r="B15" s="18" t="s">
        <v>88</v>
      </c>
    </row>
    <row r="16" spans="1:4" x14ac:dyDescent="0.2">
      <c r="A16" t="s">
        <v>91</v>
      </c>
      <c r="B16" s="18" t="s">
        <v>89</v>
      </c>
    </row>
    <row r="17" spans="1:2" x14ac:dyDescent="0.2">
      <c r="A17" t="s">
        <v>92</v>
      </c>
      <c r="B17" t="s">
        <v>90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defaultColWidth="10.6015625" defaultRowHeight="15" x14ac:dyDescent="0.2"/>
  <cols>
    <col min="2" max="2" width="161.046875" customWidth="1"/>
    <col min="3" max="3" width="10.8515625"/>
  </cols>
  <sheetData>
    <row r="4" spans="2:2" ht="21" x14ac:dyDescent="0.3">
      <c r="B4" s="3" t="s">
        <v>16</v>
      </c>
    </row>
    <row r="6" spans="2:2" x14ac:dyDescent="0.2">
      <c r="B6" s="2" t="s">
        <v>13</v>
      </c>
    </row>
    <row r="7" spans="2:2" ht="45" x14ac:dyDescent="0.2">
      <c r="B7" s="1" t="s">
        <v>14</v>
      </c>
    </row>
    <row r="9" spans="2:2" x14ac:dyDescent="0.2">
      <c r="B9" s="2" t="s">
        <v>15</v>
      </c>
    </row>
    <row r="10" spans="2:2" ht="59.25" x14ac:dyDescent="0.2">
      <c r="B10" s="1" t="s">
        <v>39</v>
      </c>
    </row>
    <row r="12" spans="2:2" x14ac:dyDescent="0.2">
      <c r="B12" s="2" t="s">
        <v>17</v>
      </c>
    </row>
    <row r="13" spans="2:2" ht="117.75" x14ac:dyDescent="0.2">
      <c r="B13" s="1" t="s">
        <v>18</v>
      </c>
    </row>
    <row r="15" spans="2:2" x14ac:dyDescent="0.2">
      <c r="B15" s="2" t="s">
        <v>19</v>
      </c>
    </row>
    <row r="16" spans="2:2" ht="103.5" x14ac:dyDescent="0.2">
      <c r="B16" s="1" t="s">
        <v>20</v>
      </c>
    </row>
    <row r="17" spans="2:2" x14ac:dyDescent="0.2">
      <c r="B17" s="1"/>
    </row>
    <row r="18" spans="2:2" x14ac:dyDescent="0.2">
      <c r="B18" s="2" t="s">
        <v>38</v>
      </c>
    </row>
    <row r="19" spans="2:2" ht="132.75" x14ac:dyDescent="0.2">
      <c r="B19" s="1" t="s">
        <v>40</v>
      </c>
    </row>
    <row r="21" spans="2:2" x14ac:dyDescent="0.2">
      <c r="B21" s="2" t="s">
        <v>21</v>
      </c>
    </row>
    <row r="22" spans="2:2" ht="103.5" x14ac:dyDescent="0.2">
      <c r="B22" s="1" t="s">
        <v>41</v>
      </c>
    </row>
    <row r="24" spans="2:2" x14ac:dyDescent="0.2">
      <c r="B24" s="2" t="s">
        <v>22</v>
      </c>
    </row>
    <row r="25" spans="2:2" ht="103.5" x14ac:dyDescent="0.2">
      <c r="B25" s="1"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EP57"/>
  <sheetViews>
    <sheetView showGridLines="0" tabSelected="1" topLeftCell="DL1" zoomScale="75" zoomScaleNormal="83" workbookViewId="0">
      <selection activeCell="EK2" sqref="EK2:EP2"/>
    </sheetView>
  </sheetViews>
  <sheetFormatPr defaultColWidth="8.875" defaultRowHeight="15" outlineLevelRow="1" x14ac:dyDescent="0.2"/>
  <cols>
    <col min="3" max="3" width="38.71875" customWidth="1"/>
    <col min="4" max="4" width="12.9453125" bestFit="1" customWidth="1"/>
    <col min="5" max="5" width="4.80859375" bestFit="1" customWidth="1"/>
    <col min="6" max="6" width="56.4765625" bestFit="1" customWidth="1"/>
    <col min="7" max="7" width="15.53515625" bestFit="1" customWidth="1"/>
    <col min="8" max="8" width="2.46484375" customWidth="1"/>
    <col min="10" max="10" width="12.453125" bestFit="1" customWidth="1"/>
    <col min="11" max="11" width="14.796875" bestFit="1" customWidth="1"/>
    <col min="12" max="12" width="12.69921875" customWidth="1"/>
    <col min="13" max="14" width="2.46484375" customWidth="1"/>
    <col min="15" max="15" width="8.875" customWidth="1"/>
    <col min="16" max="16" width="12.453125" bestFit="1" customWidth="1"/>
    <col min="17" max="17" width="6.28515625" customWidth="1"/>
    <col min="18" max="18" width="14.796875" bestFit="1" customWidth="1"/>
    <col min="19" max="19" width="6.0390625" customWidth="1"/>
    <col min="20" max="20" width="12.69921875" bestFit="1" customWidth="1"/>
    <col min="21" max="21" width="2.46484375" customWidth="1"/>
    <col min="23" max="23" width="12.453125" bestFit="1" customWidth="1"/>
    <col min="24" max="24" width="6.28515625" customWidth="1"/>
    <col min="25" max="25" width="14.796875" bestFit="1" customWidth="1"/>
    <col min="26" max="26" width="6.0390625" customWidth="1"/>
    <col min="27" max="27" width="12.69921875" bestFit="1" customWidth="1"/>
    <col min="28" max="28" width="2.46484375" customWidth="1"/>
    <col min="30" max="30" width="12.453125" bestFit="1" customWidth="1"/>
    <col min="31" max="31" width="6.28515625" customWidth="1"/>
    <col min="32" max="32" width="14.796875" bestFit="1" customWidth="1"/>
    <col min="33" max="33" width="6.0390625" customWidth="1"/>
    <col min="34" max="34" width="12.69921875" bestFit="1" customWidth="1"/>
    <col min="35" max="35" width="2.46484375" customWidth="1"/>
    <col min="37" max="37" width="12.453125" bestFit="1" customWidth="1"/>
    <col min="38" max="38" width="6.28515625" customWidth="1"/>
    <col min="39" max="39" width="14.796875" bestFit="1" customWidth="1"/>
    <col min="40" max="40" width="6.0390625" customWidth="1"/>
    <col min="41" max="41" width="12.69921875" bestFit="1" customWidth="1"/>
    <col min="42" max="42" width="2.46484375" customWidth="1"/>
    <col min="43" max="43" width="8.875" bestFit="1" customWidth="1"/>
    <col min="44" max="44" width="12.453125" bestFit="1" customWidth="1"/>
    <col min="45" max="45" width="6.28515625" customWidth="1"/>
    <col min="46" max="46" width="14.796875" bestFit="1" customWidth="1"/>
    <col min="47" max="47" width="6.0390625" customWidth="1"/>
    <col min="48" max="48" width="12.69921875" bestFit="1" customWidth="1"/>
    <col min="49" max="49" width="2.46484375" customWidth="1"/>
    <col min="50" max="50" width="8.875" bestFit="1" customWidth="1"/>
    <col min="51" max="51" width="12.453125" bestFit="1" customWidth="1"/>
    <col min="52" max="52" width="6.28515625" customWidth="1"/>
    <col min="53" max="53" width="14.796875" bestFit="1" customWidth="1"/>
    <col min="54" max="54" width="6.0390625" customWidth="1"/>
    <col min="55" max="55" width="12.69921875" bestFit="1" customWidth="1"/>
    <col min="56" max="56" width="2.46484375" customWidth="1"/>
    <col min="57" max="57" width="8.875" bestFit="1" customWidth="1"/>
    <col min="58" max="58" width="12.453125" bestFit="1" customWidth="1"/>
    <col min="59" max="59" width="6.28515625" customWidth="1"/>
    <col min="60" max="60" width="14.796875" bestFit="1" customWidth="1"/>
    <col min="61" max="61" width="6.0390625" customWidth="1"/>
    <col min="62" max="62" width="12.69921875" bestFit="1" customWidth="1"/>
    <col min="63" max="63" width="2.46484375" customWidth="1"/>
    <col min="64" max="64" width="8.875" bestFit="1" customWidth="1"/>
    <col min="65" max="65" width="12.453125" bestFit="1" customWidth="1"/>
    <col min="66" max="66" width="6.28515625" customWidth="1"/>
    <col min="67" max="67" width="14.796875" bestFit="1" customWidth="1"/>
    <col min="68" max="68" width="6.0390625" customWidth="1"/>
    <col min="69" max="69" width="12.69921875" bestFit="1" customWidth="1"/>
    <col min="70" max="70" width="2.46484375" customWidth="1"/>
    <col min="71" max="71" width="8.875" bestFit="1" customWidth="1"/>
    <col min="72" max="72" width="12.453125" bestFit="1" customWidth="1"/>
    <col min="73" max="73" width="6.28515625" customWidth="1"/>
    <col min="74" max="74" width="14.796875" bestFit="1" customWidth="1"/>
    <col min="75" max="75" width="6.0390625" customWidth="1"/>
    <col min="76" max="76" width="12.69921875" bestFit="1" customWidth="1"/>
    <col min="77" max="77" width="2.46484375" customWidth="1"/>
    <col min="78" max="78" width="8.875" bestFit="1" customWidth="1"/>
    <col min="79" max="79" width="12.453125" bestFit="1" customWidth="1"/>
    <col min="80" max="80" width="6.28515625" customWidth="1"/>
    <col min="81" max="81" width="14.796875" bestFit="1" customWidth="1"/>
    <col min="82" max="82" width="6.0390625" customWidth="1"/>
    <col min="83" max="83" width="12.69921875" bestFit="1" customWidth="1"/>
    <col min="84" max="84" width="2.46484375" customWidth="1"/>
    <col min="85" max="85" width="8.875" bestFit="1" customWidth="1"/>
    <col min="86" max="86" width="12.453125" bestFit="1" customWidth="1"/>
    <col min="87" max="87" width="6.28515625" customWidth="1"/>
    <col min="88" max="88" width="14.796875" bestFit="1" customWidth="1"/>
    <col min="89" max="89" width="6.0390625" customWidth="1"/>
    <col min="90" max="90" width="12.69921875" bestFit="1" customWidth="1"/>
    <col min="91" max="91" width="2.46484375" customWidth="1"/>
    <col min="92" max="92" width="8.875" bestFit="1" customWidth="1"/>
    <col min="93" max="93" width="12.453125" bestFit="1" customWidth="1"/>
    <col min="94" max="94" width="6.28515625" customWidth="1"/>
    <col min="95" max="95" width="14.796875" bestFit="1" customWidth="1"/>
    <col min="96" max="96" width="6.0390625" customWidth="1"/>
    <col min="97" max="97" width="12.69921875" bestFit="1" customWidth="1"/>
    <col min="98" max="98" width="2.46484375" customWidth="1"/>
    <col min="99" max="99" width="7.3984375" customWidth="1"/>
    <col min="100" max="100" width="12.453125" bestFit="1" customWidth="1"/>
    <col min="101" max="101" width="6.28515625" customWidth="1"/>
    <col min="102" max="102" width="14.796875" bestFit="1" customWidth="1"/>
    <col min="103" max="103" width="6.0390625" customWidth="1"/>
    <col min="104" max="104" width="12.69921875" bestFit="1" customWidth="1"/>
    <col min="105" max="105" width="2.46484375" customWidth="1"/>
    <col min="106" max="106" width="7.3984375" customWidth="1"/>
    <col min="107" max="107" width="12.453125" bestFit="1" customWidth="1"/>
    <col min="108" max="108" width="6.28515625" customWidth="1"/>
    <col min="109" max="109" width="14.796875" bestFit="1" customWidth="1"/>
    <col min="110" max="110" width="6.0390625" customWidth="1"/>
    <col min="111" max="111" width="12.69921875" bestFit="1" customWidth="1"/>
    <col min="112" max="112" width="2.46484375" customWidth="1"/>
    <col min="113" max="113" width="7.3984375" customWidth="1"/>
    <col min="114" max="114" width="12.453125" bestFit="1" customWidth="1"/>
    <col min="115" max="115" width="6.28515625" customWidth="1"/>
    <col min="116" max="116" width="14.796875" bestFit="1" customWidth="1"/>
    <col min="117" max="117" width="6.0390625" customWidth="1"/>
    <col min="118" max="118" width="12.69921875" bestFit="1" customWidth="1"/>
    <col min="119" max="119" width="2.46484375" customWidth="1"/>
    <col min="120" max="120" width="7.3984375" customWidth="1"/>
    <col min="121" max="121" width="12.453125" bestFit="1" customWidth="1"/>
    <col min="122" max="122" width="6.28515625" customWidth="1"/>
    <col min="123" max="123" width="14.796875" bestFit="1" customWidth="1"/>
    <col min="124" max="124" width="6.0390625" customWidth="1"/>
    <col min="125" max="125" width="12.69921875" bestFit="1" customWidth="1"/>
    <col min="126" max="126" width="2.46484375" customWidth="1"/>
    <col min="127" max="127" width="7.3984375" customWidth="1"/>
    <col min="128" max="128" width="12.453125" bestFit="1" customWidth="1"/>
    <col min="129" max="129" width="6.28515625" customWidth="1"/>
    <col min="130" max="130" width="14.796875" bestFit="1" customWidth="1"/>
    <col min="131" max="131" width="6.0390625" customWidth="1"/>
    <col min="132" max="132" width="12.69921875" bestFit="1" customWidth="1"/>
    <col min="133" max="133" width="2.46484375" customWidth="1"/>
    <col min="134" max="134" width="7.3984375" customWidth="1"/>
    <col min="135" max="135" width="12.453125" bestFit="1" customWidth="1"/>
    <col min="136" max="136" width="6.28515625" customWidth="1"/>
    <col min="137" max="137" width="14.796875" bestFit="1" customWidth="1"/>
    <col min="138" max="138" width="6.0390625" customWidth="1"/>
    <col min="139" max="139" width="12.69921875" bestFit="1" customWidth="1"/>
    <col min="140" max="140" width="2.46484375" customWidth="1"/>
    <col min="141" max="141" width="7.3984375" customWidth="1"/>
    <col min="142" max="142" width="12.453125" bestFit="1" customWidth="1"/>
    <col min="143" max="143" width="6.28515625" customWidth="1"/>
    <col min="144" max="144" width="14.796875" bestFit="1" customWidth="1"/>
    <col min="145" max="145" width="6.0390625" customWidth="1"/>
    <col min="146" max="146" width="12.69921875" bestFit="1" customWidth="1"/>
    <col min="147" max="153" width="8.875" bestFit="1" customWidth="1"/>
  </cols>
  <sheetData>
    <row r="1" spans="2:146" ht="33" x14ac:dyDescent="0.45">
      <c r="B1" s="4" t="s">
        <v>0</v>
      </c>
      <c r="D1" s="4"/>
      <c r="G1" s="13" t="s">
        <v>34</v>
      </c>
      <c r="I1" s="13" t="s">
        <v>34</v>
      </c>
      <c r="J1" s="13" t="s">
        <v>34</v>
      </c>
      <c r="K1" s="13" t="s">
        <v>34</v>
      </c>
    </row>
    <row r="2" spans="2:146" x14ac:dyDescent="0.2">
      <c r="I2" s="26" t="s">
        <v>27</v>
      </c>
      <c r="J2" s="26"/>
      <c r="K2" s="26"/>
      <c r="L2" s="26"/>
      <c r="O2" s="26" t="s">
        <v>137</v>
      </c>
      <c r="P2" s="26"/>
      <c r="Q2" s="26"/>
      <c r="R2" s="26"/>
      <c r="S2" s="26"/>
      <c r="T2" s="26"/>
      <c r="V2" s="26" t="s">
        <v>132</v>
      </c>
      <c r="W2" s="26"/>
      <c r="X2" s="26"/>
      <c r="Y2" s="26"/>
      <c r="Z2" s="26"/>
      <c r="AA2" s="26"/>
      <c r="AC2" s="26" t="s">
        <v>35</v>
      </c>
      <c r="AD2" s="26"/>
      <c r="AE2" s="26"/>
      <c r="AF2" s="26"/>
      <c r="AG2" s="26"/>
      <c r="AH2" s="26"/>
      <c r="AJ2" s="26" t="s">
        <v>36</v>
      </c>
      <c r="AK2" s="26"/>
      <c r="AL2" s="26"/>
      <c r="AM2" s="26"/>
      <c r="AN2" s="26"/>
      <c r="AO2" s="26"/>
      <c r="AQ2" s="26" t="s">
        <v>169</v>
      </c>
      <c r="AR2" s="26"/>
      <c r="AS2" s="26"/>
      <c r="AT2" s="26"/>
      <c r="AU2" s="26"/>
      <c r="AV2" s="26"/>
      <c r="AX2" s="26" t="s">
        <v>37</v>
      </c>
      <c r="AY2" s="26"/>
      <c r="AZ2" s="26"/>
      <c r="BA2" s="26"/>
      <c r="BB2" s="26"/>
      <c r="BC2" s="26"/>
      <c r="BE2" s="26" t="s">
        <v>42</v>
      </c>
      <c r="BF2" s="26"/>
      <c r="BG2" s="26"/>
      <c r="BH2" s="26"/>
      <c r="BI2" s="26"/>
      <c r="BJ2" s="26"/>
      <c r="BL2" s="26" t="s">
        <v>43</v>
      </c>
      <c r="BM2" s="26"/>
      <c r="BN2" s="26"/>
      <c r="BO2" s="26"/>
      <c r="BP2" s="26"/>
      <c r="BQ2" s="26"/>
      <c r="BS2" s="26" t="s">
        <v>44</v>
      </c>
      <c r="BT2" s="26"/>
      <c r="BU2" s="26"/>
      <c r="BV2" s="26"/>
      <c r="BW2" s="26"/>
      <c r="BX2" s="26"/>
      <c r="BZ2" s="26" t="s">
        <v>94</v>
      </c>
      <c r="CA2" s="26"/>
      <c r="CB2" s="26"/>
      <c r="CC2" s="26"/>
      <c r="CD2" s="26"/>
      <c r="CE2" s="26"/>
      <c r="CG2" s="26" t="s">
        <v>142</v>
      </c>
      <c r="CH2" s="26"/>
      <c r="CI2" s="26"/>
      <c r="CJ2" s="26"/>
      <c r="CK2" s="26"/>
      <c r="CL2" s="26"/>
      <c r="CN2" s="26" t="s">
        <v>133</v>
      </c>
      <c r="CO2" s="26"/>
      <c r="CP2" s="26"/>
      <c r="CQ2" s="26"/>
      <c r="CR2" s="26"/>
      <c r="CS2" s="26"/>
      <c r="CU2" s="26" t="s">
        <v>134</v>
      </c>
      <c r="CV2" s="26"/>
      <c r="CW2" s="26"/>
      <c r="CX2" s="26"/>
      <c r="CY2" s="26"/>
      <c r="CZ2" s="26"/>
      <c r="DB2" s="26" t="s">
        <v>138</v>
      </c>
      <c r="DC2" s="26"/>
      <c r="DD2" s="26"/>
      <c r="DE2" s="26"/>
      <c r="DF2" s="26"/>
      <c r="DG2" s="26"/>
      <c r="DI2" s="26" t="s">
        <v>170</v>
      </c>
      <c r="DJ2" s="26"/>
      <c r="DK2" s="26"/>
      <c r="DL2" s="26"/>
      <c r="DM2" s="26"/>
      <c r="DN2" s="26"/>
      <c r="DP2" s="26" t="s">
        <v>171</v>
      </c>
      <c r="DQ2" s="26"/>
      <c r="DR2" s="26"/>
      <c r="DS2" s="26"/>
      <c r="DT2" s="26"/>
      <c r="DU2" s="26"/>
      <c r="DW2" s="26" t="s">
        <v>135</v>
      </c>
      <c r="DX2" s="26"/>
      <c r="DY2" s="26"/>
      <c r="DZ2" s="26"/>
      <c r="EA2" s="26"/>
      <c r="EB2" s="26"/>
      <c r="ED2" s="26" t="s">
        <v>136</v>
      </c>
      <c r="EE2" s="26"/>
      <c r="EF2" s="26"/>
      <c r="EG2" s="26"/>
      <c r="EH2" s="26"/>
      <c r="EI2" s="26"/>
      <c r="EK2" s="26" t="s">
        <v>139</v>
      </c>
      <c r="EL2" s="26"/>
      <c r="EM2" s="26"/>
      <c r="EN2" s="26"/>
      <c r="EO2" s="26"/>
      <c r="EP2" s="26"/>
    </row>
    <row r="3" spans="2:146" ht="15" customHeight="1" x14ac:dyDescent="0.2">
      <c r="B3" s="5" t="s">
        <v>26</v>
      </c>
      <c r="C3" s="5" t="s">
        <v>1</v>
      </c>
      <c r="D3" s="5" t="s">
        <v>24</v>
      </c>
      <c r="E3" s="6" t="s">
        <v>31</v>
      </c>
      <c r="F3" s="5" t="s">
        <v>29</v>
      </c>
      <c r="G3" s="5" t="s">
        <v>32</v>
      </c>
      <c r="I3" s="6" t="s">
        <v>11</v>
      </c>
      <c r="J3" s="6" t="s">
        <v>2</v>
      </c>
      <c r="K3" s="6" t="s">
        <v>3</v>
      </c>
      <c r="L3" s="6" t="s">
        <v>12</v>
      </c>
      <c r="O3" s="5" t="s">
        <v>11</v>
      </c>
      <c r="P3" s="5" t="s">
        <v>2</v>
      </c>
      <c r="Q3" s="5" t="s">
        <v>33</v>
      </c>
      <c r="R3" s="5" t="s">
        <v>3</v>
      </c>
      <c r="S3" s="5" t="s">
        <v>33</v>
      </c>
      <c r="T3" s="5" t="s">
        <v>12</v>
      </c>
      <c r="V3" s="5" t="s">
        <v>11</v>
      </c>
      <c r="W3" s="5" t="s">
        <v>2</v>
      </c>
      <c r="X3" s="5" t="s">
        <v>33</v>
      </c>
      <c r="Y3" s="5" t="s">
        <v>3</v>
      </c>
      <c r="Z3" s="5" t="s">
        <v>33</v>
      </c>
      <c r="AA3" s="5" t="s">
        <v>12</v>
      </c>
      <c r="AC3" s="5" t="s">
        <v>11</v>
      </c>
      <c r="AD3" s="5" t="s">
        <v>2</v>
      </c>
      <c r="AE3" s="5" t="s">
        <v>33</v>
      </c>
      <c r="AF3" s="5" t="s">
        <v>3</v>
      </c>
      <c r="AG3" s="5" t="s">
        <v>33</v>
      </c>
      <c r="AH3" s="5" t="s">
        <v>12</v>
      </c>
      <c r="AJ3" s="5" t="s">
        <v>11</v>
      </c>
      <c r="AK3" s="5" t="s">
        <v>2</v>
      </c>
      <c r="AL3" s="5" t="s">
        <v>33</v>
      </c>
      <c r="AM3" s="5" t="s">
        <v>3</v>
      </c>
      <c r="AN3" s="5" t="s">
        <v>33</v>
      </c>
      <c r="AO3" s="5" t="s">
        <v>12</v>
      </c>
      <c r="AQ3" s="5" t="s">
        <v>11</v>
      </c>
      <c r="AR3" s="5" t="s">
        <v>2</v>
      </c>
      <c r="AS3" s="5" t="s">
        <v>33</v>
      </c>
      <c r="AT3" s="5" t="s">
        <v>3</v>
      </c>
      <c r="AU3" s="5" t="s">
        <v>33</v>
      </c>
      <c r="AV3" s="5" t="s">
        <v>12</v>
      </c>
      <c r="AX3" s="5" t="s">
        <v>11</v>
      </c>
      <c r="AY3" s="5" t="s">
        <v>2</v>
      </c>
      <c r="AZ3" s="5" t="s">
        <v>33</v>
      </c>
      <c r="BA3" s="5" t="s">
        <v>3</v>
      </c>
      <c r="BB3" s="5" t="s">
        <v>33</v>
      </c>
      <c r="BC3" s="5" t="s">
        <v>12</v>
      </c>
      <c r="BE3" s="5" t="s">
        <v>11</v>
      </c>
      <c r="BF3" s="5" t="s">
        <v>2</v>
      </c>
      <c r="BG3" s="5" t="s">
        <v>33</v>
      </c>
      <c r="BH3" s="5" t="s">
        <v>3</v>
      </c>
      <c r="BI3" s="5" t="s">
        <v>33</v>
      </c>
      <c r="BJ3" s="5" t="s">
        <v>12</v>
      </c>
      <c r="BL3" s="5" t="s">
        <v>11</v>
      </c>
      <c r="BM3" s="5" t="s">
        <v>2</v>
      </c>
      <c r="BN3" s="5" t="s">
        <v>33</v>
      </c>
      <c r="BO3" s="5" t="s">
        <v>3</v>
      </c>
      <c r="BP3" s="5" t="s">
        <v>33</v>
      </c>
      <c r="BQ3" s="5" t="s">
        <v>12</v>
      </c>
      <c r="BS3" s="5" t="s">
        <v>11</v>
      </c>
      <c r="BT3" s="5" t="s">
        <v>2</v>
      </c>
      <c r="BU3" s="5" t="s">
        <v>33</v>
      </c>
      <c r="BV3" s="5" t="s">
        <v>3</v>
      </c>
      <c r="BW3" s="5" t="s">
        <v>33</v>
      </c>
      <c r="BX3" s="5" t="s">
        <v>12</v>
      </c>
      <c r="BZ3" s="5" t="s">
        <v>11</v>
      </c>
      <c r="CA3" s="5" t="s">
        <v>2</v>
      </c>
      <c r="CB3" s="5" t="s">
        <v>33</v>
      </c>
      <c r="CC3" s="5" t="s">
        <v>3</v>
      </c>
      <c r="CD3" s="5" t="s">
        <v>33</v>
      </c>
      <c r="CE3" s="5" t="s">
        <v>12</v>
      </c>
      <c r="CG3" s="5" t="s">
        <v>11</v>
      </c>
      <c r="CH3" s="5" t="s">
        <v>2</v>
      </c>
      <c r="CI3" s="5" t="s">
        <v>33</v>
      </c>
      <c r="CJ3" s="5" t="s">
        <v>3</v>
      </c>
      <c r="CK3" s="5" t="s">
        <v>33</v>
      </c>
      <c r="CL3" s="5" t="s">
        <v>12</v>
      </c>
      <c r="CN3" s="5" t="s">
        <v>11</v>
      </c>
      <c r="CO3" s="5" t="s">
        <v>2</v>
      </c>
      <c r="CP3" s="5" t="s">
        <v>33</v>
      </c>
      <c r="CQ3" s="5" t="s">
        <v>3</v>
      </c>
      <c r="CR3" s="5" t="s">
        <v>33</v>
      </c>
      <c r="CS3" s="5" t="s">
        <v>12</v>
      </c>
      <c r="CU3" s="5" t="s">
        <v>11</v>
      </c>
      <c r="CV3" s="5" t="s">
        <v>2</v>
      </c>
      <c r="CW3" s="5" t="s">
        <v>33</v>
      </c>
      <c r="CX3" s="5" t="s">
        <v>3</v>
      </c>
      <c r="CY3" s="5" t="s">
        <v>33</v>
      </c>
      <c r="CZ3" s="5" t="s">
        <v>12</v>
      </c>
      <c r="DB3" s="5" t="s">
        <v>11</v>
      </c>
      <c r="DC3" s="5" t="s">
        <v>2</v>
      </c>
      <c r="DD3" s="5" t="s">
        <v>33</v>
      </c>
      <c r="DE3" s="5" t="s">
        <v>3</v>
      </c>
      <c r="DF3" s="5" t="s">
        <v>33</v>
      </c>
      <c r="DG3" s="5" t="s">
        <v>12</v>
      </c>
      <c r="DI3" s="5" t="s">
        <v>11</v>
      </c>
      <c r="DJ3" s="5" t="s">
        <v>2</v>
      </c>
      <c r="DK3" s="5" t="s">
        <v>33</v>
      </c>
      <c r="DL3" s="5" t="s">
        <v>3</v>
      </c>
      <c r="DM3" s="5" t="s">
        <v>33</v>
      </c>
      <c r="DN3" s="5" t="s">
        <v>12</v>
      </c>
      <c r="DP3" s="5" t="s">
        <v>11</v>
      </c>
      <c r="DQ3" s="5" t="s">
        <v>2</v>
      </c>
      <c r="DR3" s="5" t="s">
        <v>33</v>
      </c>
      <c r="DS3" s="5" t="s">
        <v>3</v>
      </c>
      <c r="DT3" s="5" t="s">
        <v>33</v>
      </c>
      <c r="DU3" s="5" t="s">
        <v>12</v>
      </c>
      <c r="DW3" s="5" t="s">
        <v>11</v>
      </c>
      <c r="DX3" s="5" t="s">
        <v>2</v>
      </c>
      <c r="DY3" s="5" t="s">
        <v>33</v>
      </c>
      <c r="DZ3" s="5" t="s">
        <v>3</v>
      </c>
      <c r="EA3" s="5" t="s">
        <v>33</v>
      </c>
      <c r="EB3" s="5" t="s">
        <v>12</v>
      </c>
      <c r="ED3" s="5" t="s">
        <v>11</v>
      </c>
      <c r="EE3" s="5" t="s">
        <v>2</v>
      </c>
      <c r="EF3" s="5" t="s">
        <v>33</v>
      </c>
      <c r="EG3" s="5" t="s">
        <v>3</v>
      </c>
      <c r="EH3" s="5" t="s">
        <v>33</v>
      </c>
      <c r="EI3" s="5" t="s">
        <v>12</v>
      </c>
      <c r="EK3" s="5" t="s">
        <v>11</v>
      </c>
      <c r="EL3" s="5" t="s">
        <v>2</v>
      </c>
      <c r="EM3" s="5" t="s">
        <v>33</v>
      </c>
      <c r="EN3" s="5" t="s">
        <v>3</v>
      </c>
      <c r="EO3" s="5" t="s">
        <v>33</v>
      </c>
      <c r="EP3" s="5" t="s">
        <v>12</v>
      </c>
    </row>
    <row r="4" spans="2:146" x14ac:dyDescent="0.2">
      <c r="B4" t="s">
        <v>27</v>
      </c>
      <c r="C4" t="s">
        <v>95</v>
      </c>
      <c r="D4" s="19">
        <v>45873</v>
      </c>
      <c r="E4" s="9">
        <v>6</v>
      </c>
      <c r="G4" s="10">
        <f>+SUM(G5:G14)</f>
        <v>0.99999999999999989</v>
      </c>
      <c r="I4" s="12">
        <f>+SUM(I5:I14)</f>
        <v>0</v>
      </c>
      <c r="J4" s="11">
        <f>+SUMPRODUCT(G5:G14,J5:J14)</f>
        <v>0</v>
      </c>
      <c r="K4" s="11">
        <f>+SUMPRODUCT(G5:G14,K5:K14)</f>
        <v>0</v>
      </c>
      <c r="L4" s="9"/>
      <c r="O4" s="12">
        <f>+SUM(O5:O14)</f>
        <v>0</v>
      </c>
      <c r="V4" s="12">
        <f>+SUM(V5:V14)</f>
        <v>0</v>
      </c>
      <c r="AC4" s="12">
        <f>+SUM(AC5:AC14)</f>
        <v>0</v>
      </c>
      <c r="AJ4" s="12">
        <f>+SUM(AJ5:AJ14)</f>
        <v>0</v>
      </c>
      <c r="AQ4" s="12">
        <f>+SUM(AQ5:AQ14)</f>
        <v>0</v>
      </c>
      <c r="AX4" s="12">
        <f>+SUM(AX5:AX14)</f>
        <v>0</v>
      </c>
      <c r="BE4" s="12">
        <f>+SUM(BE5:BE14)</f>
        <v>0</v>
      </c>
      <c r="BL4" s="12">
        <f>+SUM(BL5:BL14)</f>
        <v>0</v>
      </c>
      <c r="BS4" s="12">
        <f>+SUM(BS5:BS14)</f>
        <v>0</v>
      </c>
      <c r="BZ4" s="12">
        <f>+SUM(BZ5:BZ14)</f>
        <v>0</v>
      </c>
      <c r="CG4" s="12">
        <f>+SUM(CG5:CG14)</f>
        <v>0</v>
      </c>
      <c r="CN4" s="12">
        <f>+SUM(CN5:CN14)</f>
        <v>0</v>
      </c>
      <c r="CU4" s="12">
        <f>+SUM(CU5:CU14)</f>
        <v>0</v>
      </c>
      <c r="DB4" s="12">
        <f>+SUM(DB5:DB14)</f>
        <v>0</v>
      </c>
      <c r="DI4" s="12">
        <f>+SUM(DI5:DI14)</f>
        <v>0</v>
      </c>
      <c r="DP4" s="12">
        <f>+SUM(DP5:DP14)</f>
        <v>0</v>
      </c>
      <c r="DW4" s="12">
        <f>+SUM(DW5:DW14)</f>
        <v>0</v>
      </c>
      <c r="ED4" s="12">
        <f>+SUM(ED5:ED14)</f>
        <v>0</v>
      </c>
      <c r="EK4" s="12">
        <f>+SUM(EK5:EK14)</f>
        <v>0</v>
      </c>
    </row>
    <row r="5" spans="2:146" ht="15" customHeight="1" outlineLevel="1" x14ac:dyDescent="0.2">
      <c r="B5" t="s">
        <v>28</v>
      </c>
      <c r="C5" t="s">
        <v>95</v>
      </c>
      <c r="E5" s="9"/>
      <c r="F5" t="s">
        <v>96</v>
      </c>
      <c r="G5" s="10">
        <v>0.1</v>
      </c>
      <c r="I5" s="9">
        <f>+SUMIF($N$3:$ZT$3,I$3,$N5:$ZT5)</f>
        <v>0</v>
      </c>
      <c r="J5" s="11" cm="1">
        <f t="array" ref="J5">MAX(IF($N$3:$EB$3=$J$3,N5:EB5))</f>
        <v>0</v>
      </c>
      <c r="K5" s="11" cm="1">
        <f t="array" ref="K5">MAX(IF($N$3:$EB$3=$J$3,N5:EB5))</f>
        <v>0</v>
      </c>
      <c r="L5" s="9"/>
      <c r="P5" s="10"/>
      <c r="Q5" s="10">
        <v>0.5</v>
      </c>
      <c r="R5" s="10"/>
      <c r="S5" s="10">
        <v>0.5</v>
      </c>
      <c r="W5" s="10"/>
      <c r="X5" s="10">
        <v>0.5</v>
      </c>
      <c r="Y5" s="10"/>
      <c r="Z5" s="10">
        <v>0.5</v>
      </c>
      <c r="AD5" s="10"/>
      <c r="AE5" s="10">
        <v>0.8</v>
      </c>
      <c r="AF5" s="10"/>
      <c r="AG5" s="10">
        <v>0.8</v>
      </c>
      <c r="AK5" s="10"/>
      <c r="AL5" s="10">
        <v>0.8</v>
      </c>
      <c r="AM5" s="10"/>
      <c r="AN5" s="10">
        <v>0.8</v>
      </c>
      <c r="AR5" s="10"/>
      <c r="AS5" s="10">
        <v>0.8</v>
      </c>
      <c r="AT5" s="10"/>
      <c r="AU5" s="10">
        <v>0.8</v>
      </c>
      <c r="AY5" s="10"/>
      <c r="AZ5" s="10">
        <v>1</v>
      </c>
      <c r="BA5" s="10"/>
      <c r="BB5" s="10">
        <v>1</v>
      </c>
      <c r="BF5" s="10"/>
      <c r="BG5" s="10">
        <v>1</v>
      </c>
      <c r="BH5" s="10"/>
      <c r="BI5" s="10">
        <v>1</v>
      </c>
      <c r="BM5" s="10"/>
      <c r="BN5" s="10">
        <v>1</v>
      </c>
      <c r="BO5" s="10"/>
      <c r="BP5" s="10">
        <v>1</v>
      </c>
      <c r="BT5" s="10"/>
      <c r="BU5" s="10">
        <v>1</v>
      </c>
      <c r="BV5" s="10"/>
      <c r="BW5" s="10">
        <v>1</v>
      </c>
      <c r="CA5" s="10"/>
      <c r="CB5" s="10">
        <v>1</v>
      </c>
      <c r="CC5" s="10"/>
      <c r="CD5" s="10">
        <v>1</v>
      </c>
      <c r="CH5" s="10"/>
      <c r="CI5" s="10">
        <v>1</v>
      </c>
      <c r="CJ5" s="10"/>
      <c r="CK5" s="10">
        <v>1</v>
      </c>
      <c r="CO5" s="10"/>
      <c r="CP5" s="10">
        <v>1</v>
      </c>
      <c r="CQ5" s="10"/>
      <c r="CR5" s="10">
        <v>1</v>
      </c>
      <c r="CV5" s="10"/>
      <c r="CW5" s="10">
        <v>1</v>
      </c>
      <c r="CX5" s="10"/>
      <c r="CY5" s="10">
        <v>1</v>
      </c>
      <c r="DC5" s="10"/>
      <c r="DD5" s="10">
        <v>1</v>
      </c>
      <c r="DE5" s="10"/>
      <c r="DF5" s="10">
        <v>1</v>
      </c>
      <c r="DJ5" s="10"/>
      <c r="DK5" s="10">
        <v>1</v>
      </c>
      <c r="DL5" s="10"/>
      <c r="DM5" s="10">
        <v>1</v>
      </c>
      <c r="DQ5" s="10"/>
      <c r="DR5" s="10">
        <v>1</v>
      </c>
      <c r="DS5" s="10"/>
      <c r="DT5" s="10">
        <v>1</v>
      </c>
      <c r="DX5" s="10"/>
      <c r="DY5" s="10">
        <v>1</v>
      </c>
      <c r="DZ5" s="10"/>
      <c r="EA5" s="10">
        <v>1</v>
      </c>
      <c r="EE5" s="10"/>
      <c r="EF5" s="10">
        <v>1</v>
      </c>
      <c r="EG5" s="10"/>
      <c r="EH5" s="10">
        <v>1</v>
      </c>
      <c r="EL5" s="10"/>
      <c r="EM5" s="10">
        <v>1</v>
      </c>
      <c r="EN5" s="10"/>
      <c r="EO5" s="10">
        <v>1</v>
      </c>
    </row>
    <row r="6" spans="2:146" ht="15" customHeight="1" outlineLevel="1" x14ac:dyDescent="0.2">
      <c r="B6" t="s">
        <v>28</v>
      </c>
      <c r="C6" t="s">
        <v>95</v>
      </c>
      <c r="E6" s="9"/>
      <c r="F6" t="s">
        <v>97</v>
      </c>
      <c r="G6" s="10">
        <v>0.1</v>
      </c>
      <c r="I6" s="9">
        <f>+SUMIF($N$3:$ZT$3,I$3,$N6:$ZT6)</f>
        <v>0</v>
      </c>
      <c r="J6" s="11" cm="1">
        <f t="array" ref="J6">MAX(IF($N$3:$EB$3=$J$3,N6:EB6))</f>
        <v>0</v>
      </c>
      <c r="K6" s="11" cm="1">
        <f t="array" ref="K6">MAX(IF($N$3:$EB$3=$J$3,N6:EB6))</f>
        <v>0</v>
      </c>
      <c r="L6" s="9"/>
      <c r="P6" s="10"/>
      <c r="Q6" s="10">
        <v>0.5</v>
      </c>
      <c r="R6" s="10"/>
      <c r="S6" s="10">
        <v>0.5</v>
      </c>
      <c r="W6" s="10"/>
      <c r="X6" s="10">
        <v>0.5</v>
      </c>
      <c r="Y6" s="10"/>
      <c r="Z6" s="10">
        <v>0.5</v>
      </c>
      <c r="AD6" s="10"/>
      <c r="AE6" s="10">
        <v>0.8</v>
      </c>
      <c r="AF6" s="10"/>
      <c r="AG6" s="10">
        <v>0.8</v>
      </c>
      <c r="AK6" s="10"/>
      <c r="AL6" s="10">
        <v>0.8</v>
      </c>
      <c r="AM6" s="10"/>
      <c r="AN6" s="10">
        <v>0.8</v>
      </c>
      <c r="AR6" s="10"/>
      <c r="AS6" s="10">
        <v>0.8</v>
      </c>
      <c r="AT6" s="10"/>
      <c r="AU6" s="10">
        <v>0.8</v>
      </c>
      <c r="AY6" s="10"/>
      <c r="AZ6" s="10">
        <v>0.8</v>
      </c>
      <c r="BA6" s="10"/>
      <c r="BB6" s="10">
        <v>0.8</v>
      </c>
      <c r="BF6" s="10"/>
      <c r="BG6" s="10">
        <v>1</v>
      </c>
      <c r="BH6" s="10"/>
      <c r="BI6" s="10">
        <v>1</v>
      </c>
      <c r="BM6" s="10"/>
      <c r="BN6" s="10">
        <v>1</v>
      </c>
      <c r="BO6" s="10"/>
      <c r="BP6" s="10">
        <v>1</v>
      </c>
      <c r="BT6" s="10"/>
      <c r="BU6" s="10">
        <v>1</v>
      </c>
      <c r="BV6" s="10"/>
      <c r="BW6" s="10">
        <v>1</v>
      </c>
      <c r="CA6" s="10"/>
      <c r="CB6" s="10">
        <v>1</v>
      </c>
      <c r="CC6" s="10"/>
      <c r="CD6" s="10">
        <v>1</v>
      </c>
      <c r="CH6" s="10"/>
      <c r="CI6" s="10">
        <v>1</v>
      </c>
      <c r="CJ6" s="10"/>
      <c r="CK6" s="10">
        <v>1</v>
      </c>
      <c r="CO6" s="10"/>
      <c r="CP6" s="10">
        <v>1</v>
      </c>
      <c r="CQ6" s="10"/>
      <c r="CR6" s="10">
        <v>1</v>
      </c>
      <c r="CV6" s="10"/>
      <c r="CW6" s="10">
        <v>1</v>
      </c>
      <c r="CX6" s="10"/>
      <c r="CY6" s="10">
        <v>1</v>
      </c>
      <c r="DC6" s="10"/>
      <c r="DD6" s="10">
        <v>1</v>
      </c>
      <c r="DE6" s="10"/>
      <c r="DF6" s="10">
        <v>1</v>
      </c>
      <c r="DJ6" s="10"/>
      <c r="DK6" s="10">
        <v>1</v>
      </c>
      <c r="DL6" s="10"/>
      <c r="DM6" s="10">
        <v>1</v>
      </c>
      <c r="DQ6" s="10"/>
      <c r="DR6" s="10">
        <v>1</v>
      </c>
      <c r="DS6" s="10"/>
      <c r="DT6" s="10">
        <v>1</v>
      </c>
      <c r="DX6" s="10"/>
      <c r="DY6" s="10">
        <v>1</v>
      </c>
      <c r="DZ6" s="10"/>
      <c r="EA6" s="10">
        <v>1</v>
      </c>
      <c r="EE6" s="10"/>
      <c r="EF6" s="10">
        <v>1</v>
      </c>
      <c r="EG6" s="10"/>
      <c r="EH6" s="10">
        <v>1</v>
      </c>
      <c r="EL6" s="10"/>
      <c r="EM6" s="10">
        <v>1</v>
      </c>
      <c r="EN6" s="10"/>
      <c r="EO6" s="10">
        <v>1</v>
      </c>
    </row>
    <row r="7" spans="2:146" ht="15" customHeight="1" outlineLevel="1" x14ac:dyDescent="0.2">
      <c r="B7" t="s">
        <v>28</v>
      </c>
      <c r="C7" t="s">
        <v>95</v>
      </c>
      <c r="E7" s="9"/>
      <c r="F7" t="s">
        <v>98</v>
      </c>
      <c r="G7" s="10">
        <v>0.1</v>
      </c>
      <c r="I7" s="9">
        <f>+SUMIF($N$3:$ZT$3,I$3,$N7:$ZT7)</f>
        <v>0</v>
      </c>
      <c r="J7" s="11" cm="1">
        <f t="array" ref="J7">MAX(IF($N$3:$EB$3=$J$3,N7:EB7))</f>
        <v>0</v>
      </c>
      <c r="K7" s="11" cm="1">
        <f t="array" ref="K7">MAX(IF($N$3:$EB$3=$J$3,N7:EB7))</f>
        <v>0</v>
      </c>
      <c r="L7" s="9"/>
      <c r="P7" s="10"/>
      <c r="Q7" s="10">
        <v>0.5</v>
      </c>
      <c r="R7" s="10"/>
      <c r="S7" s="10">
        <v>0.5</v>
      </c>
      <c r="W7" s="10"/>
      <c r="X7" s="10">
        <v>0.5</v>
      </c>
      <c r="Y7" s="10"/>
      <c r="Z7" s="10">
        <v>0.5</v>
      </c>
      <c r="AD7" s="10"/>
      <c r="AE7" s="10">
        <v>0.8</v>
      </c>
      <c r="AF7" s="10"/>
      <c r="AG7" s="10">
        <v>0.8</v>
      </c>
      <c r="AK7" s="10"/>
      <c r="AL7" s="10">
        <v>0.8</v>
      </c>
      <c r="AM7" s="10"/>
      <c r="AN7" s="10">
        <v>0.8</v>
      </c>
      <c r="AR7" s="10"/>
      <c r="AS7" s="10">
        <v>0.8</v>
      </c>
      <c r="AT7" s="10"/>
      <c r="AU7" s="10">
        <v>0.8</v>
      </c>
      <c r="AY7" s="10"/>
      <c r="AZ7" s="10">
        <v>0.8</v>
      </c>
      <c r="BA7" s="10"/>
      <c r="BB7" s="10">
        <v>0.8</v>
      </c>
      <c r="BF7" s="10"/>
      <c r="BG7" s="10">
        <v>1</v>
      </c>
      <c r="BH7" s="10"/>
      <c r="BI7" s="10">
        <v>1</v>
      </c>
      <c r="BM7" s="10"/>
      <c r="BN7" s="10">
        <v>1</v>
      </c>
      <c r="BO7" s="10"/>
      <c r="BP7" s="10">
        <v>1</v>
      </c>
      <c r="BT7" s="10"/>
      <c r="BU7" s="10">
        <v>1</v>
      </c>
      <c r="BV7" s="10"/>
      <c r="BW7" s="10">
        <v>1</v>
      </c>
      <c r="CA7" s="10"/>
      <c r="CB7" s="10">
        <v>1</v>
      </c>
      <c r="CC7" s="10"/>
      <c r="CD7" s="10">
        <v>1</v>
      </c>
      <c r="CH7" s="10"/>
      <c r="CI7" s="10">
        <v>1</v>
      </c>
      <c r="CJ7" s="10"/>
      <c r="CK7" s="10">
        <v>1</v>
      </c>
      <c r="CO7" s="10"/>
      <c r="CP7" s="10">
        <v>1</v>
      </c>
      <c r="CQ7" s="10"/>
      <c r="CR7" s="10">
        <v>1</v>
      </c>
      <c r="CV7" s="10"/>
      <c r="CW7" s="10">
        <v>1</v>
      </c>
      <c r="CX7" s="10"/>
      <c r="CY7" s="10">
        <v>1</v>
      </c>
      <c r="DC7" s="10"/>
      <c r="DD7" s="10">
        <v>1</v>
      </c>
      <c r="DE7" s="10"/>
      <c r="DF7" s="10">
        <v>1</v>
      </c>
      <c r="DJ7" s="10"/>
      <c r="DK7" s="10">
        <v>1</v>
      </c>
      <c r="DL7" s="10"/>
      <c r="DM7" s="10">
        <v>1</v>
      </c>
      <c r="DQ7" s="10"/>
      <c r="DR7" s="10">
        <v>1</v>
      </c>
      <c r="DS7" s="10"/>
      <c r="DT7" s="10">
        <v>1</v>
      </c>
      <c r="DX7" s="10"/>
      <c r="DY7" s="10">
        <v>1</v>
      </c>
      <c r="DZ7" s="10"/>
      <c r="EA7" s="10">
        <v>1</v>
      </c>
      <c r="EE7" s="10"/>
      <c r="EF7" s="10">
        <v>1</v>
      </c>
      <c r="EG7" s="10"/>
      <c r="EH7" s="10">
        <v>1</v>
      </c>
      <c r="EL7" s="10"/>
      <c r="EM7" s="10">
        <v>1</v>
      </c>
      <c r="EN7" s="10"/>
      <c r="EO7" s="10">
        <v>1</v>
      </c>
    </row>
    <row r="8" spans="2:146" ht="15" customHeight="1" outlineLevel="1" x14ac:dyDescent="0.2">
      <c r="B8" t="s">
        <v>28</v>
      </c>
      <c r="C8" t="s">
        <v>95</v>
      </c>
      <c r="E8" s="9"/>
      <c r="F8" t="s">
        <v>99</v>
      </c>
      <c r="G8" s="10">
        <v>0.1</v>
      </c>
      <c r="I8" s="9">
        <f>+SUMIF($N$3:$ZT$3,I$3,$N8:$ZT8)</f>
        <v>0</v>
      </c>
      <c r="J8" s="11" cm="1">
        <f t="array" ref="J8">MAX(IF($N$3:$EB$3=$J$3,N8:EB8))</f>
        <v>0</v>
      </c>
      <c r="K8" s="11" cm="1">
        <f t="array" ref="K8">MAX(IF($N$3:$EB$3=$J$3,N8:EB8))</f>
        <v>0</v>
      </c>
      <c r="L8" s="9"/>
      <c r="P8" s="10"/>
      <c r="Q8" s="10"/>
      <c r="R8" s="10"/>
      <c r="S8" s="10"/>
      <c r="W8" s="10"/>
      <c r="X8" s="10">
        <v>0.5</v>
      </c>
      <c r="Y8" s="10"/>
      <c r="Z8" s="10">
        <v>0.5</v>
      </c>
      <c r="AD8" s="10"/>
      <c r="AE8" s="10">
        <v>0.5</v>
      </c>
      <c r="AF8" s="10"/>
      <c r="AG8" s="10">
        <v>0.5</v>
      </c>
      <c r="AK8" s="10"/>
      <c r="AL8" s="10">
        <v>0.5</v>
      </c>
      <c r="AM8" s="10"/>
      <c r="AN8" s="10">
        <v>0.5</v>
      </c>
      <c r="AR8" s="10"/>
      <c r="AS8" s="10">
        <v>0.8</v>
      </c>
      <c r="AT8" s="10"/>
      <c r="AU8" s="10">
        <v>0.8</v>
      </c>
      <c r="AY8" s="10"/>
      <c r="AZ8" s="10">
        <v>0.8</v>
      </c>
      <c r="BA8" s="10"/>
      <c r="BB8" s="10">
        <v>0.8</v>
      </c>
      <c r="BF8" s="10"/>
      <c r="BG8" s="10">
        <v>0.8</v>
      </c>
      <c r="BH8" s="10"/>
      <c r="BI8" s="10">
        <v>0.8</v>
      </c>
      <c r="BM8" s="10"/>
      <c r="BN8" s="10">
        <v>0.8</v>
      </c>
      <c r="BO8" s="10"/>
      <c r="BP8" s="10">
        <v>0.8</v>
      </c>
      <c r="BT8" s="10"/>
      <c r="BU8" s="10">
        <v>1</v>
      </c>
      <c r="BV8" s="10"/>
      <c r="BW8" s="10">
        <v>1</v>
      </c>
      <c r="CA8" s="10"/>
      <c r="CB8" s="10">
        <v>1</v>
      </c>
      <c r="CC8" s="10"/>
      <c r="CD8" s="10">
        <v>1</v>
      </c>
      <c r="CH8" s="10"/>
      <c r="CI8" s="10">
        <v>1</v>
      </c>
      <c r="CJ8" s="10"/>
      <c r="CK8" s="10">
        <v>1</v>
      </c>
      <c r="CO8" s="10"/>
      <c r="CP8" s="10">
        <v>1</v>
      </c>
      <c r="CQ8" s="10"/>
      <c r="CR8" s="10">
        <v>1</v>
      </c>
      <c r="CV8" s="10"/>
      <c r="CW8" s="10">
        <v>1</v>
      </c>
      <c r="CX8" s="10"/>
      <c r="CY8" s="10">
        <v>1</v>
      </c>
      <c r="DC8" s="10"/>
      <c r="DD8" s="10">
        <v>1</v>
      </c>
      <c r="DE8" s="10"/>
      <c r="DF8" s="10">
        <v>1</v>
      </c>
      <c r="DJ8" s="10"/>
      <c r="DK8" s="10">
        <v>1</v>
      </c>
      <c r="DL8" s="10"/>
      <c r="DM8" s="10">
        <v>1</v>
      </c>
      <c r="DQ8" s="10"/>
      <c r="DR8" s="10">
        <v>1</v>
      </c>
      <c r="DS8" s="10"/>
      <c r="DT8" s="10">
        <v>1</v>
      </c>
      <c r="DX8" s="10"/>
      <c r="DY8" s="10">
        <v>1</v>
      </c>
      <c r="DZ8" s="10"/>
      <c r="EA8" s="10">
        <v>1</v>
      </c>
      <c r="EE8" s="10"/>
      <c r="EF8" s="10">
        <v>1</v>
      </c>
      <c r="EG8" s="10"/>
      <c r="EH8" s="10">
        <v>1</v>
      </c>
      <c r="EL8" s="10"/>
      <c r="EM8" s="10">
        <v>1</v>
      </c>
      <c r="EN8" s="10"/>
      <c r="EO8" s="10">
        <v>1</v>
      </c>
    </row>
    <row r="9" spans="2:146" ht="15" customHeight="1" outlineLevel="1" x14ac:dyDescent="0.2">
      <c r="B9" t="s">
        <v>28</v>
      </c>
      <c r="C9" t="s">
        <v>95</v>
      </c>
      <c r="E9" s="9"/>
      <c r="F9" t="s">
        <v>100</v>
      </c>
      <c r="G9" s="10">
        <v>0.1</v>
      </c>
      <c r="I9" s="9">
        <f>+SUMIF($N$3:$ZT$3,I$3,$N9:$ZT9)</f>
        <v>0</v>
      </c>
      <c r="J9" s="11" cm="1">
        <f t="array" ref="J9">MAX(IF($N$3:$EB$3=$J$3,N9:EB9))</f>
        <v>0</v>
      </c>
      <c r="K9" s="11" cm="1">
        <f t="array" ref="K9">MAX(IF($N$3:$EB$3=$J$3,N9:EB9))</f>
        <v>0</v>
      </c>
      <c r="L9" s="9"/>
      <c r="P9" s="10"/>
      <c r="Q9" s="10"/>
      <c r="R9" s="10"/>
      <c r="S9" s="10"/>
      <c r="W9" s="10"/>
      <c r="X9" s="10">
        <v>0.5</v>
      </c>
      <c r="Y9" s="10"/>
      <c r="Z9" s="10">
        <v>0.5</v>
      </c>
      <c r="AD9" s="10"/>
      <c r="AE9" s="10">
        <v>0.5</v>
      </c>
      <c r="AF9" s="10"/>
      <c r="AG9" s="10">
        <v>0.5</v>
      </c>
      <c r="AK9" s="10"/>
      <c r="AL9" s="10">
        <v>0.5</v>
      </c>
      <c r="AM9" s="10"/>
      <c r="AN9" s="10">
        <v>0.5</v>
      </c>
      <c r="AR9" s="10"/>
      <c r="AS9" s="10">
        <v>0.8</v>
      </c>
      <c r="AT9" s="10"/>
      <c r="AU9" s="10">
        <v>0.8</v>
      </c>
      <c r="AY9" s="10"/>
      <c r="AZ9" s="10">
        <v>0.8</v>
      </c>
      <c r="BA9" s="10"/>
      <c r="BB9" s="10">
        <v>0.8</v>
      </c>
      <c r="BF9" s="10"/>
      <c r="BG9" s="10">
        <v>0.8</v>
      </c>
      <c r="BH9" s="10"/>
      <c r="BI9" s="10">
        <v>0.8</v>
      </c>
      <c r="BM9" s="10"/>
      <c r="BN9" s="10">
        <v>0.8</v>
      </c>
      <c r="BO9" s="10"/>
      <c r="BP9" s="10">
        <v>0.8</v>
      </c>
      <c r="BT9" s="10"/>
      <c r="BU9" s="10">
        <v>1</v>
      </c>
      <c r="BV9" s="10"/>
      <c r="BW9" s="10">
        <v>1</v>
      </c>
      <c r="CA9" s="10"/>
      <c r="CB9" s="10">
        <v>1</v>
      </c>
      <c r="CC9" s="10"/>
      <c r="CD9" s="10">
        <v>1</v>
      </c>
      <c r="CH9" s="10"/>
      <c r="CI9" s="10">
        <v>1</v>
      </c>
      <c r="CJ9" s="10"/>
      <c r="CK9" s="10">
        <v>1</v>
      </c>
      <c r="CO9" s="10"/>
      <c r="CP9" s="10">
        <v>1</v>
      </c>
      <c r="CQ9" s="10"/>
      <c r="CR9" s="10">
        <v>1</v>
      </c>
      <c r="CV9" s="10"/>
      <c r="CW9" s="10">
        <v>1</v>
      </c>
      <c r="CX9" s="10"/>
      <c r="CY9" s="10">
        <v>1</v>
      </c>
      <c r="DC9" s="10"/>
      <c r="DD9" s="10">
        <v>1</v>
      </c>
      <c r="DE9" s="10"/>
      <c r="DF9" s="10">
        <v>1</v>
      </c>
      <c r="DJ9" s="10"/>
      <c r="DK9" s="10">
        <v>1</v>
      </c>
      <c r="DL9" s="10"/>
      <c r="DM9" s="10">
        <v>1</v>
      </c>
      <c r="DQ9" s="10"/>
      <c r="DR9" s="10">
        <v>1</v>
      </c>
      <c r="DS9" s="10"/>
      <c r="DT9" s="10">
        <v>1</v>
      </c>
      <c r="DX9" s="10"/>
      <c r="DY9" s="10">
        <v>1</v>
      </c>
      <c r="DZ9" s="10"/>
      <c r="EA9" s="10">
        <v>1</v>
      </c>
      <c r="EE9" s="10"/>
      <c r="EF9" s="10">
        <v>1</v>
      </c>
      <c r="EG9" s="10"/>
      <c r="EH9" s="10">
        <v>1</v>
      </c>
      <c r="EL9" s="10"/>
      <c r="EM9" s="10">
        <v>1</v>
      </c>
      <c r="EN9" s="10"/>
      <c r="EO9" s="10">
        <v>1</v>
      </c>
    </row>
    <row r="10" spans="2:146" ht="15" customHeight="1" outlineLevel="1" x14ac:dyDescent="0.2">
      <c r="B10" t="s">
        <v>28</v>
      </c>
      <c r="C10" t="s">
        <v>95</v>
      </c>
      <c r="E10" s="9"/>
      <c r="F10" t="s">
        <v>101</v>
      </c>
      <c r="G10" s="10">
        <v>0.1</v>
      </c>
      <c r="I10" s="9">
        <f>+SUMIF($N$3:$ZT$3,I$3,$N10:$ZT10)</f>
        <v>0</v>
      </c>
      <c r="J10" s="11" cm="1">
        <f t="array" ref="J10">MAX(IF($N$3:$EB$3=$J$3,N10:EB10))</f>
        <v>0</v>
      </c>
      <c r="K10" s="11" cm="1">
        <f t="array" ref="K10">MAX(IF($N$3:$EB$3=$J$3,N10:EB10))</f>
        <v>0</v>
      </c>
      <c r="L10" s="9"/>
      <c r="P10" s="10"/>
      <c r="Q10" s="10"/>
      <c r="R10" s="10"/>
      <c r="S10" s="10"/>
      <c r="W10" s="10"/>
      <c r="X10" s="10"/>
      <c r="Y10" s="10"/>
      <c r="Z10" s="10"/>
      <c r="AD10" s="10"/>
      <c r="AE10" s="10"/>
      <c r="AF10" s="10"/>
      <c r="AG10" s="10"/>
      <c r="AK10" s="10"/>
      <c r="AL10" s="10">
        <v>0.5</v>
      </c>
      <c r="AM10" s="10"/>
      <c r="AN10" s="10">
        <v>0.5</v>
      </c>
      <c r="AR10" s="10"/>
      <c r="AS10" s="10">
        <v>0.5</v>
      </c>
      <c r="AT10" s="10"/>
      <c r="AU10" s="10">
        <v>0.5</v>
      </c>
      <c r="AY10" s="10"/>
      <c r="AZ10" s="10">
        <v>0.5</v>
      </c>
      <c r="BA10" s="10"/>
      <c r="BB10" s="10">
        <v>0.5</v>
      </c>
      <c r="BF10" s="10"/>
      <c r="BG10" s="10">
        <v>0.5</v>
      </c>
      <c r="BH10" s="10"/>
      <c r="BI10" s="10">
        <v>0.5</v>
      </c>
      <c r="BM10" s="10"/>
      <c r="BN10" s="10">
        <v>0.8</v>
      </c>
      <c r="BO10" s="10"/>
      <c r="BP10" s="10">
        <v>0.8</v>
      </c>
      <c r="BT10" s="10"/>
      <c r="BU10" s="10">
        <v>0.8</v>
      </c>
      <c r="BV10" s="10"/>
      <c r="BW10" s="10">
        <v>0.8</v>
      </c>
      <c r="CA10" s="10"/>
      <c r="CB10" s="10">
        <v>0.8</v>
      </c>
      <c r="CC10" s="10"/>
      <c r="CD10" s="10">
        <v>0.8</v>
      </c>
      <c r="CH10" s="10"/>
      <c r="CI10" s="10">
        <v>1</v>
      </c>
      <c r="CJ10" s="10"/>
      <c r="CK10" s="10">
        <v>1</v>
      </c>
      <c r="CO10" s="10"/>
      <c r="CP10" s="10">
        <v>1</v>
      </c>
      <c r="CQ10" s="10"/>
      <c r="CR10" s="10">
        <v>1</v>
      </c>
      <c r="CV10" s="10"/>
      <c r="CW10" s="10">
        <v>1</v>
      </c>
      <c r="CX10" s="10"/>
      <c r="CY10" s="10">
        <v>1</v>
      </c>
      <c r="DC10" s="10"/>
      <c r="DD10" s="10">
        <v>1</v>
      </c>
      <c r="DE10" s="10"/>
      <c r="DF10" s="10">
        <v>1</v>
      </c>
      <c r="DJ10" s="10"/>
      <c r="DK10" s="10">
        <v>1</v>
      </c>
      <c r="DL10" s="10"/>
      <c r="DM10" s="10">
        <v>1</v>
      </c>
      <c r="DQ10" s="10"/>
      <c r="DR10" s="10">
        <v>1</v>
      </c>
      <c r="DS10" s="10"/>
      <c r="DT10" s="10">
        <v>1</v>
      </c>
      <c r="DX10" s="10"/>
      <c r="DY10" s="10">
        <v>1</v>
      </c>
      <c r="DZ10" s="10"/>
      <c r="EA10" s="10">
        <v>1</v>
      </c>
      <c r="EE10" s="10"/>
      <c r="EF10" s="10">
        <v>1</v>
      </c>
      <c r="EG10" s="10"/>
      <c r="EH10" s="10">
        <v>1</v>
      </c>
      <c r="EL10" s="10"/>
      <c r="EM10" s="10">
        <v>1</v>
      </c>
      <c r="EN10" s="10"/>
      <c r="EO10" s="10">
        <v>1</v>
      </c>
    </row>
    <row r="11" spans="2:146" ht="15" customHeight="1" outlineLevel="1" x14ac:dyDescent="0.2">
      <c r="B11" t="s">
        <v>28</v>
      </c>
      <c r="C11" t="s">
        <v>95</v>
      </c>
      <c r="E11" s="9"/>
      <c r="F11" t="s">
        <v>102</v>
      </c>
      <c r="G11" s="10">
        <v>0.1</v>
      </c>
      <c r="I11" s="9">
        <f>+SUMIF($N$3:$ZT$3,I$3,$N11:$ZT11)</f>
        <v>0</v>
      </c>
      <c r="J11" s="11" cm="1">
        <f t="array" ref="J11">MAX(IF($N$3:$EB$3=$J$3,N11:EB11))</f>
        <v>0</v>
      </c>
      <c r="K11" s="11" cm="1">
        <f t="array" ref="K11">MAX(IF($N$3:$EB$3=$J$3,N11:EB11))</f>
        <v>0</v>
      </c>
      <c r="L11" s="9"/>
      <c r="P11" s="10"/>
      <c r="Q11" s="10"/>
      <c r="R11" s="10"/>
      <c r="S11" s="10"/>
      <c r="W11" s="10"/>
      <c r="X11" s="10"/>
      <c r="Y11" s="10"/>
      <c r="Z11" s="10"/>
      <c r="AD11" s="10"/>
      <c r="AE11" s="10"/>
      <c r="AF11" s="10"/>
      <c r="AG11" s="10"/>
      <c r="AK11" s="10"/>
      <c r="AL11" s="10">
        <v>0.5</v>
      </c>
      <c r="AM11" s="10"/>
      <c r="AN11" s="10">
        <v>0.5</v>
      </c>
      <c r="AR11" s="10"/>
      <c r="AS11" s="10">
        <v>0.5</v>
      </c>
      <c r="AT11" s="10"/>
      <c r="AU11" s="10">
        <v>0.5</v>
      </c>
      <c r="AY11" s="10"/>
      <c r="AZ11" s="10">
        <v>0.5</v>
      </c>
      <c r="BA11" s="10"/>
      <c r="BB11" s="10">
        <v>0.5</v>
      </c>
      <c r="BF11" s="10"/>
      <c r="BG11" s="10">
        <v>0.5</v>
      </c>
      <c r="BH11" s="10"/>
      <c r="BI11" s="10">
        <v>0.5</v>
      </c>
      <c r="BM11" s="10"/>
      <c r="BN11" s="10">
        <v>0.8</v>
      </c>
      <c r="BO11" s="10"/>
      <c r="BP11" s="10">
        <v>0.8</v>
      </c>
      <c r="BT11" s="10"/>
      <c r="BU11" s="10">
        <v>0.8</v>
      </c>
      <c r="BV11" s="10"/>
      <c r="BW11" s="10">
        <v>0.8</v>
      </c>
      <c r="CA11" s="10"/>
      <c r="CB11" s="10">
        <v>0.8</v>
      </c>
      <c r="CC11" s="10"/>
      <c r="CD11" s="10">
        <v>0.8</v>
      </c>
      <c r="CH11" s="10"/>
      <c r="CI11" s="10">
        <v>1</v>
      </c>
      <c r="CJ11" s="10"/>
      <c r="CK11" s="10">
        <v>1</v>
      </c>
      <c r="CO11" s="10"/>
      <c r="CP11" s="10">
        <v>1</v>
      </c>
      <c r="CQ11" s="10"/>
      <c r="CR11" s="10">
        <v>1</v>
      </c>
      <c r="CV11" s="10"/>
      <c r="CW11" s="10">
        <v>1</v>
      </c>
      <c r="CX11" s="10"/>
      <c r="CY11" s="10">
        <v>1</v>
      </c>
      <c r="DC11" s="10"/>
      <c r="DD11" s="10">
        <v>1</v>
      </c>
      <c r="DE11" s="10"/>
      <c r="DF11" s="10">
        <v>1</v>
      </c>
      <c r="DJ11" s="10"/>
      <c r="DK11" s="10">
        <v>1</v>
      </c>
      <c r="DL11" s="10"/>
      <c r="DM11" s="10">
        <v>1</v>
      </c>
      <c r="DQ11" s="10"/>
      <c r="DR11" s="10">
        <v>1</v>
      </c>
      <c r="DS11" s="10"/>
      <c r="DT11" s="10">
        <v>1</v>
      </c>
      <c r="DX11" s="10"/>
      <c r="DY11" s="10">
        <v>1</v>
      </c>
      <c r="DZ11" s="10"/>
      <c r="EA11" s="10">
        <v>1</v>
      </c>
      <c r="EE11" s="10"/>
      <c r="EF11" s="10">
        <v>1</v>
      </c>
      <c r="EG11" s="10"/>
      <c r="EH11" s="10">
        <v>1</v>
      </c>
      <c r="EL11" s="10"/>
      <c r="EM11" s="10">
        <v>1</v>
      </c>
      <c r="EN11" s="10"/>
      <c r="EO11" s="10">
        <v>1</v>
      </c>
    </row>
    <row r="12" spans="2:146" ht="15" customHeight="1" outlineLevel="1" x14ac:dyDescent="0.2">
      <c r="B12" t="s">
        <v>28</v>
      </c>
      <c r="C12" t="s">
        <v>95</v>
      </c>
      <c r="E12" s="9"/>
      <c r="F12" t="s">
        <v>103</v>
      </c>
      <c r="G12" s="10">
        <v>0.1</v>
      </c>
      <c r="I12" s="9">
        <f>+SUMIF($N$3:$ZT$3,I$3,$N12:$ZT12)</f>
        <v>0</v>
      </c>
      <c r="J12" s="11" cm="1">
        <f t="array" ref="J12">MAX(IF($N$3:$EB$3=$J$3,N12:EB12))</f>
        <v>0</v>
      </c>
      <c r="K12" s="11" cm="1">
        <f t="array" ref="K12">MAX(IF($N$3:$EB$3=$J$3,N12:EB12))</f>
        <v>0</v>
      </c>
      <c r="L12" s="9"/>
      <c r="P12" s="10"/>
      <c r="Q12" s="10"/>
      <c r="R12" s="10"/>
      <c r="S12" s="10"/>
      <c r="W12" s="10"/>
      <c r="X12" s="10"/>
      <c r="Y12" s="10"/>
      <c r="Z12" s="10"/>
      <c r="AD12" s="10"/>
      <c r="AE12" s="10"/>
      <c r="AF12" s="10"/>
      <c r="AG12" s="10"/>
      <c r="AK12" s="10"/>
      <c r="AL12" s="10"/>
      <c r="AM12" s="10"/>
      <c r="AN12" s="10"/>
      <c r="AR12" s="10"/>
      <c r="AS12" s="10"/>
      <c r="AT12" s="10"/>
      <c r="AU12" s="10"/>
      <c r="AY12" s="10"/>
      <c r="AZ12" s="10">
        <v>0.5</v>
      </c>
      <c r="BA12" s="10"/>
      <c r="BB12" s="10">
        <v>0.5</v>
      </c>
      <c r="BF12" s="10"/>
      <c r="BG12" s="10">
        <v>0.5</v>
      </c>
      <c r="BH12" s="10"/>
      <c r="BI12" s="10">
        <v>0.5</v>
      </c>
      <c r="BM12" s="10"/>
      <c r="BN12" s="10">
        <v>0.5</v>
      </c>
      <c r="BO12" s="10"/>
      <c r="BP12" s="10">
        <v>0.5</v>
      </c>
      <c r="BT12" s="10"/>
      <c r="BU12" s="10">
        <v>0.5</v>
      </c>
      <c r="BV12" s="10"/>
      <c r="BW12" s="10">
        <v>0.5</v>
      </c>
      <c r="CA12" s="10"/>
      <c r="CB12" s="10">
        <v>0.8</v>
      </c>
      <c r="CC12" s="10"/>
      <c r="CD12" s="10">
        <v>0.8</v>
      </c>
      <c r="CH12" s="10"/>
      <c r="CI12" s="10">
        <v>0.8</v>
      </c>
      <c r="CJ12" s="10"/>
      <c r="CK12" s="10">
        <v>0.8</v>
      </c>
      <c r="CO12" s="10"/>
      <c r="CP12" s="10">
        <v>1</v>
      </c>
      <c r="CQ12" s="10"/>
      <c r="CR12" s="10">
        <v>1</v>
      </c>
      <c r="CV12" s="10"/>
      <c r="CW12" s="10">
        <v>1</v>
      </c>
      <c r="CX12" s="10"/>
      <c r="CY12" s="10">
        <v>1</v>
      </c>
      <c r="DC12" s="10"/>
      <c r="DD12" s="10">
        <v>1</v>
      </c>
      <c r="DE12" s="10"/>
      <c r="DF12" s="10">
        <v>1</v>
      </c>
      <c r="DJ12" s="10"/>
      <c r="DK12" s="10">
        <v>1</v>
      </c>
      <c r="DL12" s="10"/>
      <c r="DM12" s="10">
        <v>1</v>
      </c>
      <c r="DQ12" s="10"/>
      <c r="DR12" s="10">
        <v>1</v>
      </c>
      <c r="DS12" s="10"/>
      <c r="DT12" s="10">
        <v>1</v>
      </c>
      <c r="DX12" s="10"/>
      <c r="DY12" s="10">
        <v>1</v>
      </c>
      <c r="DZ12" s="10"/>
      <c r="EA12" s="10">
        <v>1</v>
      </c>
      <c r="EE12" s="10"/>
      <c r="EF12" s="10">
        <v>1</v>
      </c>
      <c r="EG12" s="10"/>
      <c r="EH12" s="10">
        <v>1</v>
      </c>
      <c r="EL12" s="10"/>
      <c r="EM12" s="10">
        <v>1</v>
      </c>
      <c r="EN12" s="10"/>
      <c r="EO12" s="10">
        <v>1</v>
      </c>
    </row>
    <row r="13" spans="2:146" ht="15" customHeight="1" outlineLevel="1" x14ac:dyDescent="0.2">
      <c r="B13" t="s">
        <v>28</v>
      </c>
      <c r="C13" t="s">
        <v>95</v>
      </c>
      <c r="E13" s="9"/>
      <c r="F13" t="s">
        <v>104</v>
      </c>
      <c r="G13" s="10">
        <v>0.1</v>
      </c>
      <c r="I13" s="9">
        <f>+SUMIF($N$3:$ZT$3,I$3,$N13:$ZT13)</f>
        <v>0</v>
      </c>
      <c r="J13" s="11" cm="1">
        <f t="array" ref="J13">MAX(IF($N$3:$EB$3=$J$3,N13:EB13))</f>
        <v>0</v>
      </c>
      <c r="K13" s="11" cm="1">
        <f t="array" ref="K13">MAX(IF($N$3:$EB$3=$J$3,N13:EB13))</f>
        <v>0</v>
      </c>
      <c r="L13" s="9"/>
      <c r="P13" s="10"/>
      <c r="Q13" s="10"/>
      <c r="R13" s="10"/>
      <c r="S13" s="10"/>
      <c r="W13" s="10"/>
      <c r="X13" s="10"/>
      <c r="Y13" s="10"/>
      <c r="Z13" s="10"/>
      <c r="AD13" s="10"/>
      <c r="AE13" s="10"/>
      <c r="AF13" s="10"/>
      <c r="AG13" s="10"/>
      <c r="AK13" s="10"/>
      <c r="AL13" s="10"/>
      <c r="AM13" s="10"/>
      <c r="AN13" s="10"/>
      <c r="AR13" s="10"/>
      <c r="AS13" s="10"/>
      <c r="AT13" s="10"/>
      <c r="AU13" s="10"/>
      <c r="AY13" s="10"/>
      <c r="AZ13" s="10">
        <v>0.5</v>
      </c>
      <c r="BA13" s="10"/>
      <c r="BB13" s="10">
        <v>0.5</v>
      </c>
      <c r="BF13" s="10"/>
      <c r="BG13" s="10">
        <v>0.5</v>
      </c>
      <c r="BH13" s="10"/>
      <c r="BI13" s="10">
        <v>0.5</v>
      </c>
      <c r="BM13" s="10"/>
      <c r="BN13" s="10">
        <v>0.5</v>
      </c>
      <c r="BO13" s="10"/>
      <c r="BP13" s="10">
        <v>0.5</v>
      </c>
      <c r="BT13" s="10"/>
      <c r="BU13" s="10">
        <v>0.5</v>
      </c>
      <c r="BV13" s="10"/>
      <c r="BW13" s="10">
        <v>0.5</v>
      </c>
      <c r="CA13" s="10"/>
      <c r="CB13" s="10">
        <v>0.8</v>
      </c>
      <c r="CC13" s="10"/>
      <c r="CD13" s="10">
        <v>0.8</v>
      </c>
      <c r="CH13" s="10"/>
      <c r="CI13" s="10">
        <v>0.8</v>
      </c>
      <c r="CJ13" s="10"/>
      <c r="CK13" s="10">
        <v>0.8</v>
      </c>
      <c r="CO13" s="10"/>
      <c r="CP13" s="10">
        <v>1</v>
      </c>
      <c r="CQ13" s="10"/>
      <c r="CR13" s="10">
        <v>1</v>
      </c>
      <c r="CV13" s="10"/>
      <c r="CW13" s="10">
        <v>1</v>
      </c>
      <c r="CX13" s="10"/>
      <c r="CY13" s="10">
        <v>1</v>
      </c>
      <c r="DC13" s="10"/>
      <c r="DD13" s="10">
        <v>1</v>
      </c>
      <c r="DE13" s="10"/>
      <c r="DF13" s="10">
        <v>1</v>
      </c>
      <c r="DJ13" s="10"/>
      <c r="DK13" s="10">
        <v>1</v>
      </c>
      <c r="DL13" s="10"/>
      <c r="DM13" s="10">
        <v>1</v>
      </c>
      <c r="DQ13" s="10"/>
      <c r="DR13" s="10">
        <v>1</v>
      </c>
      <c r="DS13" s="10"/>
      <c r="DT13" s="10">
        <v>1</v>
      </c>
      <c r="DX13" s="10"/>
      <c r="DY13" s="10">
        <v>1</v>
      </c>
      <c r="DZ13" s="10"/>
      <c r="EA13" s="10">
        <v>1</v>
      </c>
      <c r="EE13" s="10"/>
      <c r="EF13" s="10">
        <v>1</v>
      </c>
      <c r="EG13" s="10"/>
      <c r="EH13" s="10">
        <v>1</v>
      </c>
      <c r="EL13" s="10"/>
      <c r="EM13" s="10">
        <v>1</v>
      </c>
      <c r="EN13" s="10"/>
      <c r="EO13" s="10">
        <v>1</v>
      </c>
    </row>
    <row r="14" spans="2:146" ht="15" customHeight="1" outlineLevel="1" x14ac:dyDescent="0.2">
      <c r="B14" t="s">
        <v>28</v>
      </c>
      <c r="C14" t="s">
        <v>95</v>
      </c>
      <c r="E14" s="9"/>
      <c r="F14" t="s">
        <v>105</v>
      </c>
      <c r="G14" s="10">
        <v>0.1</v>
      </c>
      <c r="I14" s="9">
        <f>+SUMIF($N$3:$ZT$3,I$3,$N14:$ZT14)</f>
        <v>0</v>
      </c>
      <c r="J14" s="11" cm="1">
        <f t="array" ref="J14">MAX(IF($N$3:$EB$3=$J$3,N14:EB14))</f>
        <v>0</v>
      </c>
      <c r="K14" s="11" cm="1">
        <f t="array" ref="K14">MAX(IF($N$3:$EB$3=$J$3,N14:EB14))</f>
        <v>0</v>
      </c>
      <c r="L14" s="9"/>
      <c r="P14" s="10"/>
      <c r="Q14" s="10"/>
      <c r="R14" s="10"/>
      <c r="S14" s="10"/>
      <c r="W14" s="10"/>
      <c r="X14" s="10"/>
      <c r="Y14" s="10"/>
      <c r="Z14" s="10"/>
      <c r="AD14" s="10"/>
      <c r="AE14" s="10"/>
      <c r="AF14" s="10"/>
      <c r="AG14" s="10"/>
      <c r="AK14" s="10"/>
      <c r="AL14" s="10"/>
      <c r="AM14" s="10"/>
      <c r="AN14" s="10"/>
      <c r="AR14" s="10"/>
      <c r="AS14" s="10"/>
      <c r="AT14" s="10"/>
      <c r="AU14" s="10"/>
      <c r="AY14" s="10"/>
      <c r="AZ14" s="10">
        <v>0.5</v>
      </c>
      <c r="BA14" s="10"/>
      <c r="BB14" s="10">
        <v>0.5</v>
      </c>
      <c r="BF14" s="10"/>
      <c r="BG14" s="10">
        <v>0.5</v>
      </c>
      <c r="BH14" s="10"/>
      <c r="BI14" s="10">
        <v>0.5</v>
      </c>
      <c r="BM14" s="10"/>
      <c r="BN14" s="10">
        <v>0.5</v>
      </c>
      <c r="BO14" s="10"/>
      <c r="BP14" s="10">
        <v>0.5</v>
      </c>
      <c r="BT14" s="10"/>
      <c r="BU14" s="10">
        <v>0.5</v>
      </c>
      <c r="BV14" s="10"/>
      <c r="BW14" s="10">
        <v>0.5</v>
      </c>
      <c r="CA14" s="10"/>
      <c r="CB14" s="10">
        <v>0.8</v>
      </c>
      <c r="CC14" s="10"/>
      <c r="CD14" s="10">
        <v>0.8</v>
      </c>
      <c r="CH14" s="10"/>
      <c r="CI14" s="10">
        <v>0.8</v>
      </c>
      <c r="CJ14" s="10"/>
      <c r="CK14" s="10">
        <v>0.8</v>
      </c>
      <c r="CO14" s="10"/>
      <c r="CP14" s="10">
        <v>1</v>
      </c>
      <c r="CQ14" s="10"/>
      <c r="CR14" s="10">
        <v>1</v>
      </c>
      <c r="CV14" s="10"/>
      <c r="CW14" s="10">
        <v>1</v>
      </c>
      <c r="CX14" s="10"/>
      <c r="CY14" s="10">
        <v>1</v>
      </c>
      <c r="DC14" s="10"/>
      <c r="DD14" s="10">
        <v>1</v>
      </c>
      <c r="DE14" s="10"/>
      <c r="DF14" s="10">
        <v>1</v>
      </c>
      <c r="DJ14" s="10"/>
      <c r="DK14" s="10">
        <v>1</v>
      </c>
      <c r="DL14" s="10"/>
      <c r="DM14" s="10">
        <v>1</v>
      </c>
      <c r="DQ14" s="10"/>
      <c r="DR14" s="10">
        <v>1</v>
      </c>
      <c r="DS14" s="10"/>
      <c r="DT14" s="10">
        <v>1</v>
      </c>
      <c r="DX14" s="10"/>
      <c r="DY14" s="10">
        <v>1</v>
      </c>
      <c r="DZ14" s="10"/>
      <c r="EA14" s="10">
        <v>1</v>
      </c>
      <c r="EE14" s="10"/>
      <c r="EF14" s="10">
        <v>1</v>
      </c>
      <c r="EG14" s="10"/>
      <c r="EH14" s="10">
        <v>1</v>
      </c>
      <c r="EL14" s="10"/>
      <c r="EM14" s="10">
        <v>1</v>
      </c>
      <c r="EN14" s="10"/>
      <c r="EO14" s="10">
        <v>1</v>
      </c>
    </row>
    <row r="16" spans="2:146" x14ac:dyDescent="0.2">
      <c r="B16" t="s">
        <v>27</v>
      </c>
      <c r="C16" t="s">
        <v>106</v>
      </c>
      <c r="D16" s="19">
        <v>45874</v>
      </c>
      <c r="E16" s="9">
        <v>6</v>
      </c>
      <c r="G16" s="10">
        <f>+SUM(G17:G26)</f>
        <v>0.99999999999999989</v>
      </c>
      <c r="I16" s="12">
        <f>+SUM(I17:I24)</f>
        <v>0</v>
      </c>
      <c r="J16" s="11">
        <f>+SUMPRODUCT(G17:G26,J17:J26)</f>
        <v>0</v>
      </c>
      <c r="K16" s="11">
        <f>+SUMPRODUCT(G17:G26,K17:K26)</f>
        <v>0</v>
      </c>
      <c r="L16" s="9"/>
      <c r="O16" s="12">
        <f>+SUM(O17:O24)</f>
        <v>0</v>
      </c>
      <c r="V16" s="12">
        <f>+SUM(V17:V24)</f>
        <v>0</v>
      </c>
      <c r="AC16" s="12">
        <f>+SUM(AC17:AC24)</f>
        <v>0</v>
      </c>
      <c r="AJ16" s="12">
        <f>+SUM(AJ17:AJ24)</f>
        <v>0</v>
      </c>
      <c r="AQ16" s="12">
        <f>+SUM(AQ17:AQ24)</f>
        <v>0</v>
      </c>
      <c r="AX16" s="12">
        <f>+SUM(AX17:AX24)</f>
        <v>0</v>
      </c>
      <c r="BE16" s="12">
        <f>+SUM(BE17:BE24)</f>
        <v>0</v>
      </c>
      <c r="BL16" s="12">
        <f>+SUM(BL17:BL24)</f>
        <v>0</v>
      </c>
      <c r="BS16" s="12">
        <f>+SUM(BS17:BS24)</f>
        <v>0</v>
      </c>
      <c r="BZ16" s="12">
        <f>+SUM(BZ17:BZ24)</f>
        <v>0</v>
      </c>
      <c r="CG16" s="12">
        <f>+SUM(CG17:CG24)</f>
        <v>0</v>
      </c>
      <c r="CN16" s="12">
        <f>+SUM(CN17:CN24)</f>
        <v>0</v>
      </c>
      <c r="CU16" s="12">
        <f>+SUM(CU17:CU24)</f>
        <v>0</v>
      </c>
      <c r="DB16" s="12">
        <f>+SUM(DB17:DB24)</f>
        <v>0</v>
      </c>
      <c r="DI16" s="12">
        <f>+SUM(DI17:DI24)</f>
        <v>0</v>
      </c>
      <c r="DP16" s="12">
        <f>+SUM(DP17:DP24)</f>
        <v>0</v>
      </c>
      <c r="DW16" s="12">
        <f>+SUM(DW17:DW24)</f>
        <v>0</v>
      </c>
      <c r="ED16" s="12">
        <f>+SUM(ED17:ED24)</f>
        <v>0</v>
      </c>
      <c r="EK16" s="12">
        <f>+SUM(EK17:EK24)</f>
        <v>0</v>
      </c>
    </row>
    <row r="17" spans="1:146" ht="15" customHeight="1" outlineLevel="1" x14ac:dyDescent="0.2">
      <c r="B17" t="s">
        <v>28</v>
      </c>
      <c r="C17" t="s">
        <v>140</v>
      </c>
      <c r="E17" s="9"/>
      <c r="F17" t="s">
        <v>107</v>
      </c>
      <c r="G17" s="10">
        <v>0.1</v>
      </c>
      <c r="I17" s="9">
        <f>+SUMIF($N$3:$ZT$3,I$3,$N17:$ZT17)</f>
        <v>0</v>
      </c>
      <c r="J17" s="11" cm="1">
        <f t="array" ref="J17">MAX(IF($N$3:$EB$3=$J$3,N17:EB17))</f>
        <v>0</v>
      </c>
      <c r="K17" s="11" cm="1">
        <f t="array" ref="K17">MAX(IF($N$3:$EB$3=$J$3,N17:EB17))</f>
        <v>0</v>
      </c>
      <c r="L17" s="9"/>
      <c r="P17" s="10"/>
      <c r="Q17" s="10">
        <v>0.5</v>
      </c>
      <c r="R17" s="10"/>
      <c r="S17" s="10">
        <v>0.5</v>
      </c>
      <c r="W17" s="10"/>
      <c r="X17" s="10">
        <v>0.5</v>
      </c>
      <c r="Y17" s="10"/>
      <c r="Z17" s="10">
        <v>0.5</v>
      </c>
      <c r="AD17" s="10"/>
      <c r="AE17" s="10">
        <v>0.8</v>
      </c>
      <c r="AF17" s="10"/>
      <c r="AG17" s="10">
        <v>0.8</v>
      </c>
      <c r="AK17" s="10"/>
      <c r="AL17" s="10">
        <v>0.8</v>
      </c>
      <c r="AM17" s="10"/>
      <c r="AN17" s="10">
        <v>0.8</v>
      </c>
      <c r="AR17" s="10"/>
      <c r="AS17" s="10">
        <v>0.8</v>
      </c>
      <c r="AT17" s="10"/>
      <c r="AU17" s="10">
        <v>0.8</v>
      </c>
      <c r="AY17" s="10"/>
      <c r="AZ17" s="10">
        <v>1</v>
      </c>
      <c r="BA17" s="10"/>
      <c r="BB17" s="10">
        <v>1</v>
      </c>
      <c r="BF17" s="10"/>
      <c r="BG17" s="10">
        <v>1</v>
      </c>
      <c r="BH17" s="10"/>
      <c r="BI17" s="10">
        <v>1</v>
      </c>
      <c r="BM17" s="10"/>
      <c r="BN17" s="10">
        <v>1</v>
      </c>
      <c r="BO17" s="10"/>
      <c r="BP17" s="10">
        <v>1</v>
      </c>
      <c r="BT17" s="10"/>
      <c r="BU17" s="10">
        <v>1</v>
      </c>
      <c r="BV17" s="10"/>
      <c r="BW17" s="10">
        <v>1</v>
      </c>
      <c r="CA17" s="10"/>
      <c r="CB17" s="10">
        <v>1</v>
      </c>
      <c r="CC17" s="10"/>
      <c r="CD17" s="10">
        <v>1</v>
      </c>
      <c r="CH17" s="10"/>
      <c r="CI17" s="10">
        <v>1</v>
      </c>
      <c r="CJ17" s="10"/>
      <c r="CK17" s="10">
        <v>1</v>
      </c>
      <c r="CO17" s="10"/>
      <c r="CP17" s="10">
        <v>1</v>
      </c>
      <c r="CQ17" s="10"/>
      <c r="CR17" s="10">
        <v>1</v>
      </c>
      <c r="CV17" s="10"/>
      <c r="CW17" s="10">
        <v>1</v>
      </c>
      <c r="CX17" s="10"/>
      <c r="CY17" s="10">
        <v>1</v>
      </c>
      <c r="DC17" s="10"/>
      <c r="DD17" s="10">
        <v>1</v>
      </c>
      <c r="DE17" s="10"/>
      <c r="DF17" s="10">
        <v>1</v>
      </c>
      <c r="DJ17" s="10"/>
      <c r="DK17" s="10">
        <v>1</v>
      </c>
      <c r="DL17" s="10"/>
      <c r="DM17" s="10">
        <v>1</v>
      </c>
      <c r="DQ17" s="10"/>
      <c r="DR17" s="10">
        <v>1</v>
      </c>
      <c r="DS17" s="10"/>
      <c r="DT17" s="10">
        <v>1</v>
      </c>
      <c r="DX17" s="10"/>
      <c r="DY17" s="10">
        <v>1</v>
      </c>
      <c r="DZ17" s="10"/>
      <c r="EA17" s="10">
        <v>1</v>
      </c>
      <c r="EE17" s="10"/>
      <c r="EF17" s="10">
        <v>1</v>
      </c>
      <c r="EG17" s="10"/>
      <c r="EH17" s="10">
        <v>1</v>
      </c>
      <c r="EL17" s="10"/>
      <c r="EM17" s="10">
        <v>1</v>
      </c>
      <c r="EN17" s="10"/>
      <c r="EO17" s="10">
        <v>1</v>
      </c>
    </row>
    <row r="18" spans="1:146" ht="15" customHeight="1" outlineLevel="1" x14ac:dyDescent="0.2">
      <c r="B18" t="s">
        <v>28</v>
      </c>
      <c r="C18" t="s">
        <v>140</v>
      </c>
      <c r="E18" s="9"/>
      <c r="F18" t="s">
        <v>108</v>
      </c>
      <c r="G18" s="10">
        <v>0.1</v>
      </c>
      <c r="I18" s="9">
        <f>+SUMIF($N$3:$ZT$3,I$3,$N18:$ZT18)</f>
        <v>0</v>
      </c>
      <c r="J18" s="11" cm="1">
        <f t="array" ref="J18">MAX(IF($N$3:$EB$3=$J$3,N18:EB18))</f>
        <v>0</v>
      </c>
      <c r="K18" s="11" cm="1">
        <f t="array" ref="K18">MAX(IF($N$3:$EB$3=$J$3,N18:EB18))</f>
        <v>0</v>
      </c>
      <c r="L18" s="9"/>
      <c r="P18" s="10"/>
      <c r="Q18" s="10">
        <v>0.5</v>
      </c>
      <c r="R18" s="10"/>
      <c r="S18" s="10">
        <v>0.5</v>
      </c>
      <c r="W18" s="10"/>
      <c r="X18" s="10">
        <v>0.5</v>
      </c>
      <c r="Y18" s="10"/>
      <c r="Z18" s="10">
        <v>0.5</v>
      </c>
      <c r="AD18" s="10"/>
      <c r="AE18" s="10">
        <v>0.8</v>
      </c>
      <c r="AF18" s="10"/>
      <c r="AG18" s="10">
        <v>0.8</v>
      </c>
      <c r="AK18" s="10"/>
      <c r="AL18" s="10">
        <v>0.8</v>
      </c>
      <c r="AM18" s="10"/>
      <c r="AN18" s="10">
        <v>0.8</v>
      </c>
      <c r="AR18" s="10"/>
      <c r="AS18" s="10">
        <v>0.8</v>
      </c>
      <c r="AT18" s="10"/>
      <c r="AU18" s="10">
        <v>0.8</v>
      </c>
      <c r="AY18" s="10"/>
      <c r="AZ18" s="10">
        <v>0.8</v>
      </c>
      <c r="BA18" s="10"/>
      <c r="BB18" s="10">
        <v>0.8</v>
      </c>
      <c r="BF18" s="10"/>
      <c r="BG18" s="10">
        <v>1</v>
      </c>
      <c r="BH18" s="10"/>
      <c r="BI18" s="10">
        <v>1</v>
      </c>
      <c r="BM18" s="10"/>
      <c r="BN18" s="10">
        <v>1</v>
      </c>
      <c r="BO18" s="10"/>
      <c r="BP18" s="10">
        <v>1</v>
      </c>
      <c r="BT18" s="10"/>
      <c r="BU18" s="10">
        <v>1</v>
      </c>
      <c r="BV18" s="10"/>
      <c r="BW18" s="10">
        <v>1</v>
      </c>
      <c r="CA18" s="10"/>
      <c r="CB18" s="10">
        <v>1</v>
      </c>
      <c r="CC18" s="10"/>
      <c r="CD18" s="10">
        <v>1</v>
      </c>
      <c r="CH18" s="10"/>
      <c r="CI18" s="10">
        <v>1</v>
      </c>
      <c r="CJ18" s="10"/>
      <c r="CK18" s="10">
        <v>1</v>
      </c>
      <c r="CO18" s="10"/>
      <c r="CP18" s="10">
        <v>1</v>
      </c>
      <c r="CQ18" s="10"/>
      <c r="CR18" s="10">
        <v>1</v>
      </c>
      <c r="CV18" s="10"/>
      <c r="CW18" s="10">
        <v>1</v>
      </c>
      <c r="CX18" s="10"/>
      <c r="CY18" s="10">
        <v>1</v>
      </c>
      <c r="DC18" s="10"/>
      <c r="DD18" s="10">
        <v>1</v>
      </c>
      <c r="DE18" s="10"/>
      <c r="DF18" s="10">
        <v>1</v>
      </c>
      <c r="DJ18" s="10"/>
      <c r="DK18" s="10">
        <v>1</v>
      </c>
      <c r="DL18" s="10"/>
      <c r="DM18" s="10">
        <v>1</v>
      </c>
      <c r="DQ18" s="10"/>
      <c r="DR18" s="10">
        <v>1</v>
      </c>
      <c r="DS18" s="10"/>
      <c r="DT18" s="10">
        <v>1</v>
      </c>
      <c r="DX18" s="10"/>
      <c r="DY18" s="10">
        <v>1</v>
      </c>
      <c r="DZ18" s="10"/>
      <c r="EA18" s="10">
        <v>1</v>
      </c>
      <c r="EE18" s="10"/>
      <c r="EF18" s="10">
        <v>1</v>
      </c>
      <c r="EG18" s="10"/>
      <c r="EH18" s="10">
        <v>1</v>
      </c>
      <c r="EL18" s="10"/>
      <c r="EM18" s="10">
        <v>1</v>
      </c>
      <c r="EN18" s="10"/>
      <c r="EO18" s="10">
        <v>1</v>
      </c>
    </row>
    <row r="19" spans="1:146" outlineLevel="1" x14ac:dyDescent="0.2">
      <c r="B19" t="s">
        <v>28</v>
      </c>
      <c r="C19" t="s">
        <v>140</v>
      </c>
      <c r="E19" s="9"/>
      <c r="F19" t="s">
        <v>109</v>
      </c>
      <c r="G19" s="10">
        <v>0.1</v>
      </c>
      <c r="I19" s="9">
        <f>+SUMIF($N$3:$ZT$3,I$3,$N19:$ZT19)</f>
        <v>0</v>
      </c>
      <c r="J19" s="11" cm="1">
        <f t="array" ref="J19">MAX(IF($N$3:$EB$3=$J$3,N19:EB19))</f>
        <v>0</v>
      </c>
      <c r="K19" s="11" cm="1">
        <f t="array" ref="K19">MAX(IF($N$3:$EB$3=$J$3,N19:EB19))</f>
        <v>0</v>
      </c>
      <c r="L19" s="9"/>
      <c r="P19" s="10"/>
      <c r="Q19" s="10">
        <v>0.5</v>
      </c>
      <c r="R19" s="10"/>
      <c r="S19" s="10">
        <v>0.5</v>
      </c>
      <c r="W19" s="10"/>
      <c r="X19" s="10">
        <v>0.5</v>
      </c>
      <c r="Y19" s="10"/>
      <c r="Z19" s="10">
        <v>0.5</v>
      </c>
      <c r="AD19" s="10"/>
      <c r="AE19" s="10">
        <v>0.8</v>
      </c>
      <c r="AF19" s="10"/>
      <c r="AG19" s="10">
        <v>0.8</v>
      </c>
      <c r="AK19" s="10"/>
      <c r="AL19" s="10">
        <v>0.8</v>
      </c>
      <c r="AM19" s="10"/>
      <c r="AN19" s="10">
        <v>0.8</v>
      </c>
      <c r="AR19" s="10"/>
      <c r="AS19" s="10">
        <v>0.8</v>
      </c>
      <c r="AT19" s="10"/>
      <c r="AU19" s="10">
        <v>0.8</v>
      </c>
      <c r="AY19" s="10"/>
      <c r="AZ19" s="10">
        <v>0.8</v>
      </c>
      <c r="BA19" s="10"/>
      <c r="BB19" s="10">
        <v>0.8</v>
      </c>
      <c r="BF19" s="10"/>
      <c r="BG19" s="10">
        <v>0.8</v>
      </c>
      <c r="BH19" s="10"/>
      <c r="BI19" s="10">
        <v>0.8</v>
      </c>
      <c r="BM19" s="10"/>
      <c r="BN19" s="10">
        <v>0.8</v>
      </c>
      <c r="BO19" s="10"/>
      <c r="BP19" s="10">
        <v>0.8</v>
      </c>
      <c r="BT19" s="10"/>
      <c r="BU19" s="10">
        <v>1</v>
      </c>
      <c r="BV19" s="10"/>
      <c r="BW19" s="10">
        <v>1</v>
      </c>
      <c r="CA19" s="10"/>
      <c r="CB19" s="10">
        <v>1</v>
      </c>
      <c r="CC19" s="10"/>
      <c r="CD19" s="10">
        <v>1</v>
      </c>
      <c r="CH19" s="10"/>
      <c r="CI19" s="10">
        <v>1</v>
      </c>
      <c r="CJ19" s="10"/>
      <c r="CK19" s="10">
        <v>1</v>
      </c>
      <c r="CO19" s="10"/>
      <c r="CP19" s="10">
        <v>1</v>
      </c>
      <c r="CQ19" s="10"/>
      <c r="CR19" s="10">
        <v>1</v>
      </c>
      <c r="CV19" s="10"/>
      <c r="CW19" s="10">
        <v>1</v>
      </c>
      <c r="CX19" s="10"/>
      <c r="CY19" s="10">
        <v>1</v>
      </c>
      <c r="DC19" s="10"/>
      <c r="DD19" s="10">
        <v>1</v>
      </c>
      <c r="DE19" s="10"/>
      <c r="DF19" s="10">
        <v>1</v>
      </c>
      <c r="DJ19" s="10"/>
      <c r="DK19" s="10">
        <v>1</v>
      </c>
      <c r="DL19" s="10"/>
      <c r="DM19" s="10">
        <v>1</v>
      </c>
      <c r="DQ19" s="10"/>
      <c r="DR19" s="10">
        <v>1</v>
      </c>
      <c r="DS19" s="10"/>
      <c r="DT19" s="10">
        <v>1</v>
      </c>
      <c r="DX19" s="10"/>
      <c r="DY19" s="10">
        <v>1</v>
      </c>
      <c r="DZ19" s="10"/>
      <c r="EA19" s="10">
        <v>1</v>
      </c>
      <c r="EE19" s="10"/>
      <c r="EF19" s="10">
        <v>1</v>
      </c>
      <c r="EG19" s="10"/>
      <c r="EH19" s="10">
        <v>1</v>
      </c>
      <c r="EL19" s="10"/>
      <c r="EM19" s="10">
        <v>1</v>
      </c>
      <c r="EN19" s="10"/>
      <c r="EO19" s="10">
        <v>1</v>
      </c>
    </row>
    <row r="20" spans="1:146" ht="15" customHeight="1" outlineLevel="1" x14ac:dyDescent="0.2">
      <c r="B20" t="s">
        <v>28</v>
      </c>
      <c r="C20" t="s">
        <v>140</v>
      </c>
      <c r="E20" s="9"/>
      <c r="F20" t="s">
        <v>110</v>
      </c>
      <c r="G20" s="10">
        <v>0.1</v>
      </c>
      <c r="I20" s="9">
        <f>+SUMIF($N$3:$ZT$3,I$3,$N20:$ZT20)</f>
        <v>0</v>
      </c>
      <c r="J20" s="11" cm="1">
        <f t="array" ref="J20">MAX(IF($N$3:$EB$3=$J$3,N20:EB20))</f>
        <v>0</v>
      </c>
      <c r="K20" s="11" cm="1">
        <f t="array" ref="K20">MAX(IF($N$3:$EB$3=$J$3,N20:EB20))</f>
        <v>0</v>
      </c>
      <c r="L20" s="9"/>
      <c r="P20" s="10"/>
      <c r="Q20" s="10"/>
      <c r="R20" s="10"/>
      <c r="S20" s="10"/>
      <c r="W20" s="10"/>
      <c r="X20" s="10"/>
      <c r="Y20" s="10"/>
      <c r="Z20" s="10"/>
      <c r="AD20" s="10"/>
      <c r="AE20" s="10"/>
      <c r="AF20" s="10"/>
      <c r="AG20" s="10"/>
      <c r="AK20" s="10"/>
      <c r="AL20" s="10">
        <v>0.5</v>
      </c>
      <c r="AM20" s="10"/>
      <c r="AN20" s="10">
        <v>0.5</v>
      </c>
      <c r="AR20" s="10"/>
      <c r="AS20" s="10">
        <v>0.8</v>
      </c>
      <c r="AT20" s="10"/>
      <c r="AU20" s="10">
        <v>0.8</v>
      </c>
      <c r="AY20" s="10"/>
      <c r="AZ20" s="10">
        <v>0.8</v>
      </c>
      <c r="BA20" s="10"/>
      <c r="BB20" s="10">
        <v>0.8</v>
      </c>
      <c r="BF20" s="10"/>
      <c r="BG20" s="10">
        <v>0.8</v>
      </c>
      <c r="BH20" s="10"/>
      <c r="BI20" s="10">
        <v>0.8</v>
      </c>
      <c r="BM20" s="10"/>
      <c r="BN20" s="10">
        <v>0.8</v>
      </c>
      <c r="BO20" s="10"/>
      <c r="BP20" s="10">
        <v>0.8</v>
      </c>
      <c r="BT20" s="10"/>
      <c r="BU20" s="10">
        <v>0.8</v>
      </c>
      <c r="BV20" s="10"/>
      <c r="BW20" s="10">
        <v>0.8</v>
      </c>
      <c r="CA20" s="10"/>
      <c r="CB20" s="10">
        <v>0.8</v>
      </c>
      <c r="CC20" s="10"/>
      <c r="CD20" s="10">
        <v>0.8</v>
      </c>
      <c r="CH20" s="10"/>
      <c r="CI20" s="10">
        <v>1</v>
      </c>
      <c r="CJ20" s="10"/>
      <c r="CK20" s="10">
        <v>1</v>
      </c>
      <c r="CO20" s="10"/>
      <c r="CP20" s="10">
        <v>1</v>
      </c>
      <c r="CQ20" s="10"/>
      <c r="CR20" s="10">
        <v>1</v>
      </c>
      <c r="CV20" s="10"/>
      <c r="CW20" s="10">
        <v>1</v>
      </c>
      <c r="CX20" s="10"/>
      <c r="CY20" s="10">
        <v>1</v>
      </c>
      <c r="DC20" s="10"/>
      <c r="DD20" s="10">
        <v>1</v>
      </c>
      <c r="DE20" s="10"/>
      <c r="DF20" s="10">
        <v>1</v>
      </c>
      <c r="DJ20" s="10"/>
      <c r="DK20" s="10">
        <v>1</v>
      </c>
      <c r="DL20" s="10"/>
      <c r="DM20" s="10">
        <v>1</v>
      </c>
      <c r="DQ20" s="10"/>
      <c r="DR20" s="10">
        <v>1</v>
      </c>
      <c r="DS20" s="10"/>
      <c r="DT20" s="10">
        <v>1</v>
      </c>
      <c r="DX20" s="10"/>
      <c r="DY20" s="10">
        <v>1</v>
      </c>
      <c r="DZ20" s="10"/>
      <c r="EA20" s="10">
        <v>1</v>
      </c>
      <c r="EE20" s="10"/>
      <c r="EF20" s="10">
        <v>1</v>
      </c>
      <c r="EG20" s="10"/>
      <c r="EH20" s="10">
        <v>1</v>
      </c>
      <c r="EL20" s="10"/>
      <c r="EM20" s="10">
        <v>1</v>
      </c>
      <c r="EN20" s="10"/>
      <c r="EO20" s="10">
        <v>1</v>
      </c>
    </row>
    <row r="21" spans="1:146" ht="15" customHeight="1" outlineLevel="1" x14ac:dyDescent="0.2">
      <c r="B21" t="s">
        <v>28</v>
      </c>
      <c r="C21" t="s">
        <v>141</v>
      </c>
      <c r="E21" s="9"/>
      <c r="F21" t="s">
        <v>111</v>
      </c>
      <c r="G21" s="10">
        <v>0.1</v>
      </c>
      <c r="I21" s="9">
        <f>+SUMIF($N$3:$ZT$3,I$3,$N21:$ZT21)</f>
        <v>0</v>
      </c>
      <c r="J21" s="11" cm="1">
        <f t="array" ref="J21">MAX(IF($N$3:$EB$3=$J$3,N21:EB21))</f>
        <v>0</v>
      </c>
      <c r="K21" s="11" cm="1">
        <f t="array" ref="K21">MAX(IF($N$3:$EB$3=$J$3,N21:EB21))</f>
        <v>0</v>
      </c>
      <c r="L21" s="9"/>
      <c r="P21" s="10"/>
      <c r="Q21" s="10"/>
      <c r="R21" s="10"/>
      <c r="S21" s="10"/>
      <c r="W21" s="10"/>
      <c r="X21" s="10">
        <v>0.5</v>
      </c>
      <c r="Y21" s="10"/>
      <c r="Z21" s="10">
        <v>0.5</v>
      </c>
      <c r="AD21" s="10"/>
      <c r="AE21" s="10">
        <v>0.8</v>
      </c>
      <c r="AF21" s="10"/>
      <c r="AG21" s="10">
        <v>0.8</v>
      </c>
      <c r="AK21" s="10"/>
      <c r="AL21" s="10">
        <v>0.8</v>
      </c>
      <c r="AM21" s="10"/>
      <c r="AN21" s="10">
        <v>0.8</v>
      </c>
      <c r="AR21" s="10"/>
      <c r="AS21" s="10">
        <v>0.8</v>
      </c>
      <c r="AT21" s="10"/>
      <c r="AU21" s="10">
        <v>0.8</v>
      </c>
      <c r="AY21" s="10"/>
      <c r="AZ21" s="10">
        <v>1</v>
      </c>
      <c r="BA21" s="10"/>
      <c r="BB21" s="10">
        <v>1</v>
      </c>
      <c r="BF21" s="10"/>
      <c r="BG21" s="10">
        <v>1</v>
      </c>
      <c r="BH21" s="10"/>
      <c r="BI21" s="10">
        <v>1</v>
      </c>
      <c r="BM21" s="10"/>
      <c r="BN21" s="10">
        <v>1</v>
      </c>
      <c r="BO21" s="10"/>
      <c r="BP21" s="10">
        <v>1</v>
      </c>
      <c r="BT21" s="10"/>
      <c r="BU21" s="10">
        <v>1</v>
      </c>
      <c r="BV21" s="10"/>
      <c r="BW21" s="10">
        <v>1</v>
      </c>
      <c r="CA21" s="10"/>
      <c r="CB21" s="10">
        <v>1</v>
      </c>
      <c r="CC21" s="10"/>
      <c r="CD21" s="10">
        <v>1</v>
      </c>
      <c r="CH21" s="10"/>
      <c r="CI21" s="10">
        <v>1</v>
      </c>
      <c r="CJ21" s="10"/>
      <c r="CK21" s="10">
        <v>1</v>
      </c>
      <c r="CO21" s="10"/>
      <c r="CP21" s="10">
        <v>1</v>
      </c>
      <c r="CQ21" s="10"/>
      <c r="CR21" s="10">
        <v>1</v>
      </c>
      <c r="CV21" s="10"/>
      <c r="CW21" s="10">
        <v>1</v>
      </c>
      <c r="CX21" s="10"/>
      <c r="CY21" s="10">
        <v>1</v>
      </c>
      <c r="DC21" s="10"/>
      <c r="DD21" s="10">
        <v>1</v>
      </c>
      <c r="DE21" s="10"/>
      <c r="DF21" s="10">
        <v>1</v>
      </c>
      <c r="DJ21" s="10"/>
      <c r="DK21" s="10">
        <v>1</v>
      </c>
      <c r="DL21" s="10"/>
      <c r="DM21" s="10">
        <v>1</v>
      </c>
      <c r="DQ21" s="10"/>
      <c r="DR21" s="10">
        <v>1</v>
      </c>
      <c r="DS21" s="10"/>
      <c r="DT21" s="10">
        <v>1</v>
      </c>
      <c r="DX21" s="10"/>
      <c r="DY21" s="10">
        <v>1</v>
      </c>
      <c r="DZ21" s="10"/>
      <c r="EA21" s="10">
        <v>1</v>
      </c>
      <c r="EE21" s="10"/>
      <c r="EF21" s="10">
        <v>1</v>
      </c>
      <c r="EG21" s="10"/>
      <c r="EH21" s="10">
        <v>1</v>
      </c>
      <c r="EL21" s="10"/>
      <c r="EM21" s="10">
        <v>1</v>
      </c>
      <c r="EN21" s="10"/>
      <c r="EO21" s="10">
        <v>1</v>
      </c>
    </row>
    <row r="22" spans="1:146" ht="15" customHeight="1" outlineLevel="1" x14ac:dyDescent="0.2">
      <c r="B22" t="s">
        <v>28</v>
      </c>
      <c r="C22" t="s">
        <v>141</v>
      </c>
      <c r="E22" s="9"/>
      <c r="F22" t="s">
        <v>112</v>
      </c>
      <c r="G22" s="10">
        <v>0.1</v>
      </c>
      <c r="I22" s="9">
        <f>+SUMIF($N$3:$ZT$3,I$3,$N22:$ZT22)</f>
        <v>0</v>
      </c>
      <c r="J22" s="11" cm="1">
        <f t="array" ref="J22">MAX(IF($N$3:$EB$3=$J$3,N22:EB22))</f>
        <v>0</v>
      </c>
      <c r="K22" s="11" cm="1">
        <f t="array" ref="K22">MAX(IF($N$3:$EB$3=$J$3,N22:EB22))</f>
        <v>0</v>
      </c>
      <c r="L22" s="9"/>
      <c r="P22" s="10"/>
      <c r="Q22" s="10"/>
      <c r="R22" s="10"/>
      <c r="S22" s="10"/>
      <c r="W22" s="10"/>
      <c r="X22" s="10">
        <v>0.5</v>
      </c>
      <c r="Y22" s="10"/>
      <c r="Z22" s="10">
        <v>0.5</v>
      </c>
      <c r="AD22" s="10"/>
      <c r="AE22" s="10">
        <v>0.8</v>
      </c>
      <c r="AF22" s="10"/>
      <c r="AG22" s="10">
        <v>0.8</v>
      </c>
      <c r="AK22" s="10"/>
      <c r="AL22" s="10">
        <v>0.8</v>
      </c>
      <c r="AM22" s="10"/>
      <c r="AN22" s="10">
        <v>0.8</v>
      </c>
      <c r="AR22" s="10"/>
      <c r="AS22" s="10">
        <v>0.8</v>
      </c>
      <c r="AT22" s="10"/>
      <c r="AU22" s="10">
        <v>0.8</v>
      </c>
      <c r="AY22" s="10"/>
      <c r="AZ22" s="10">
        <v>0.8</v>
      </c>
      <c r="BA22" s="10"/>
      <c r="BB22" s="10">
        <v>0.8</v>
      </c>
      <c r="BF22" s="10"/>
      <c r="BG22" s="10">
        <v>0.8</v>
      </c>
      <c r="BH22" s="10"/>
      <c r="BI22" s="10">
        <v>0.8</v>
      </c>
      <c r="BM22" s="10"/>
      <c r="BN22" s="10">
        <v>1</v>
      </c>
      <c r="BO22" s="10"/>
      <c r="BP22" s="10">
        <v>1</v>
      </c>
      <c r="BT22" s="10"/>
      <c r="BU22" s="10">
        <v>1</v>
      </c>
      <c r="BV22" s="10"/>
      <c r="BW22" s="10">
        <v>1</v>
      </c>
      <c r="CA22" s="10"/>
      <c r="CB22" s="10">
        <v>1</v>
      </c>
      <c r="CC22" s="10"/>
      <c r="CD22" s="10">
        <v>1</v>
      </c>
      <c r="CH22" s="10"/>
      <c r="CI22" s="10">
        <v>1</v>
      </c>
      <c r="CJ22" s="10"/>
      <c r="CK22" s="10">
        <v>1</v>
      </c>
      <c r="CO22" s="10"/>
      <c r="CP22" s="10">
        <v>1</v>
      </c>
      <c r="CQ22" s="10"/>
      <c r="CR22" s="10">
        <v>1</v>
      </c>
      <c r="CV22" s="10"/>
      <c r="CW22" s="10">
        <v>1</v>
      </c>
      <c r="CX22" s="10"/>
      <c r="CY22" s="10">
        <v>1</v>
      </c>
      <c r="DC22" s="10"/>
      <c r="DD22" s="10">
        <v>1</v>
      </c>
      <c r="DE22" s="10"/>
      <c r="DF22" s="10">
        <v>1</v>
      </c>
      <c r="DJ22" s="10"/>
      <c r="DK22" s="10">
        <v>1</v>
      </c>
      <c r="DL22" s="10"/>
      <c r="DM22" s="10">
        <v>1</v>
      </c>
      <c r="DQ22" s="10"/>
      <c r="DR22" s="10">
        <v>1</v>
      </c>
      <c r="DS22" s="10"/>
      <c r="DT22" s="10">
        <v>1</v>
      </c>
      <c r="DX22" s="10"/>
      <c r="DY22" s="10">
        <v>1</v>
      </c>
      <c r="DZ22" s="10"/>
      <c r="EA22" s="10">
        <v>1</v>
      </c>
      <c r="EE22" s="10"/>
      <c r="EF22" s="10">
        <v>1</v>
      </c>
      <c r="EG22" s="10"/>
      <c r="EH22" s="10">
        <v>1</v>
      </c>
      <c r="EL22" s="10"/>
      <c r="EM22" s="10">
        <v>1</v>
      </c>
      <c r="EN22" s="10"/>
      <c r="EO22" s="10">
        <v>1</v>
      </c>
    </row>
    <row r="23" spans="1:146" ht="15" customHeight="1" outlineLevel="1" x14ac:dyDescent="0.2">
      <c r="B23" t="s">
        <v>28</v>
      </c>
      <c r="C23" t="s">
        <v>141</v>
      </c>
      <c r="E23" s="9"/>
      <c r="F23" t="s">
        <v>113</v>
      </c>
      <c r="G23" s="10">
        <v>0.1</v>
      </c>
      <c r="I23" s="9">
        <f>+SUMIF($N$3:$ZT$3,I$3,$N23:$ZT23)</f>
        <v>0</v>
      </c>
      <c r="J23" s="11" cm="1">
        <f t="array" ref="J23">MAX(IF($N$3:$EB$3=$J$3,N23:EB23))</f>
        <v>0</v>
      </c>
      <c r="K23" s="11" cm="1">
        <f t="array" ref="K23">MAX(IF($N$3:$EB$3=$J$3,N23:EB23))</f>
        <v>0</v>
      </c>
      <c r="L23" s="9"/>
      <c r="P23" s="10"/>
      <c r="Q23" s="10"/>
      <c r="R23" s="10"/>
      <c r="S23" s="10"/>
      <c r="W23" s="10"/>
      <c r="X23" s="10">
        <v>0.5</v>
      </c>
      <c r="Y23" s="10"/>
      <c r="Z23" s="10">
        <v>0.5</v>
      </c>
      <c r="AD23" s="10"/>
      <c r="AE23" s="10">
        <v>0.5</v>
      </c>
      <c r="AF23" s="10"/>
      <c r="AG23" s="10">
        <v>0.5</v>
      </c>
      <c r="AK23" s="10"/>
      <c r="AL23" s="10">
        <v>0.5</v>
      </c>
      <c r="AM23" s="10"/>
      <c r="AN23" s="10">
        <v>0.5</v>
      </c>
      <c r="AR23" s="10"/>
      <c r="AS23" s="10">
        <v>0.8</v>
      </c>
      <c r="AT23" s="10"/>
      <c r="AU23" s="10">
        <v>0.8</v>
      </c>
      <c r="AY23" s="10"/>
      <c r="AZ23" s="10">
        <v>0.8</v>
      </c>
      <c r="BA23" s="10"/>
      <c r="BB23" s="10">
        <v>0.8</v>
      </c>
      <c r="BF23" s="10"/>
      <c r="BG23" s="10">
        <v>0.8</v>
      </c>
      <c r="BH23" s="10"/>
      <c r="BI23" s="10">
        <v>0.8</v>
      </c>
      <c r="BM23" s="10"/>
      <c r="BN23" s="10">
        <v>0.8</v>
      </c>
      <c r="BO23" s="10"/>
      <c r="BP23" s="10">
        <v>0.8</v>
      </c>
      <c r="BT23" s="10"/>
      <c r="BU23" s="10">
        <v>1</v>
      </c>
      <c r="BV23" s="10"/>
      <c r="BW23" s="10">
        <v>1</v>
      </c>
      <c r="CA23" s="10"/>
      <c r="CB23" s="10">
        <v>1</v>
      </c>
      <c r="CC23" s="10"/>
      <c r="CD23" s="10">
        <v>1</v>
      </c>
      <c r="CH23" s="10"/>
      <c r="CI23" s="10">
        <v>1</v>
      </c>
      <c r="CJ23" s="10"/>
      <c r="CK23" s="10">
        <v>1</v>
      </c>
      <c r="CO23" s="10"/>
      <c r="CP23" s="10">
        <v>1</v>
      </c>
      <c r="CQ23" s="10"/>
      <c r="CR23" s="10">
        <v>1</v>
      </c>
      <c r="CV23" s="10"/>
      <c r="CW23" s="10">
        <v>1</v>
      </c>
      <c r="CX23" s="10"/>
      <c r="CY23" s="10">
        <v>1</v>
      </c>
      <c r="DC23" s="10"/>
      <c r="DD23" s="10">
        <v>1</v>
      </c>
      <c r="DE23" s="10"/>
      <c r="DF23" s="10">
        <v>1</v>
      </c>
      <c r="DJ23" s="10"/>
      <c r="DK23" s="10">
        <v>1</v>
      </c>
      <c r="DL23" s="10"/>
      <c r="DM23" s="10">
        <v>1</v>
      </c>
      <c r="DQ23" s="10"/>
      <c r="DR23" s="10">
        <v>1</v>
      </c>
      <c r="DS23" s="10"/>
      <c r="DT23" s="10">
        <v>1</v>
      </c>
      <c r="DX23" s="10"/>
      <c r="DY23" s="10">
        <v>1</v>
      </c>
      <c r="DZ23" s="10"/>
      <c r="EA23" s="10">
        <v>1</v>
      </c>
      <c r="EE23" s="10"/>
      <c r="EF23" s="10">
        <v>1</v>
      </c>
      <c r="EG23" s="10"/>
      <c r="EH23" s="10">
        <v>1</v>
      </c>
      <c r="EL23" s="10"/>
      <c r="EM23" s="10">
        <v>1</v>
      </c>
      <c r="EN23" s="10"/>
      <c r="EO23" s="10">
        <v>1</v>
      </c>
    </row>
    <row r="24" spans="1:146" ht="15" customHeight="1" outlineLevel="1" x14ac:dyDescent="0.2">
      <c r="B24" t="s">
        <v>28</v>
      </c>
      <c r="C24" t="s">
        <v>141</v>
      </c>
      <c r="E24" s="9"/>
      <c r="F24" t="s">
        <v>114</v>
      </c>
      <c r="G24" s="10">
        <v>0.1</v>
      </c>
      <c r="I24" s="9">
        <f>+SUMIF($N$3:$ZT$3,I$3,$N24:$ZT24)</f>
        <v>0</v>
      </c>
      <c r="J24" s="11" cm="1">
        <f t="array" ref="J24">MAX(IF($N$3:$EB$3=$J$3,N24:EB24))</f>
        <v>0</v>
      </c>
      <c r="K24" s="11" cm="1">
        <f t="array" ref="K24">MAX(IF($N$3:$EB$3=$J$3,N24:EB24))</f>
        <v>0</v>
      </c>
      <c r="L24" s="9"/>
      <c r="P24" s="10"/>
      <c r="Q24" s="10"/>
      <c r="R24" s="10"/>
      <c r="S24" s="10"/>
      <c r="W24" s="10"/>
      <c r="X24" s="10"/>
      <c r="Y24" s="10"/>
      <c r="Z24" s="10"/>
      <c r="AD24" s="10"/>
      <c r="AE24" s="10"/>
      <c r="AF24" s="10"/>
      <c r="AG24" s="10"/>
      <c r="AK24" s="10"/>
      <c r="AL24" s="10">
        <v>0.5</v>
      </c>
      <c r="AM24" s="10"/>
      <c r="AN24" s="10">
        <v>0.5</v>
      </c>
      <c r="AR24" s="10"/>
      <c r="AS24" s="10">
        <v>0.5</v>
      </c>
      <c r="AT24" s="10"/>
      <c r="AU24" s="10">
        <v>0.5</v>
      </c>
      <c r="AY24" s="10"/>
      <c r="AZ24" s="10">
        <v>0.5</v>
      </c>
      <c r="BA24" s="10"/>
      <c r="BB24" s="10">
        <v>0.5</v>
      </c>
      <c r="BF24" s="10"/>
      <c r="BG24" s="10">
        <v>0.5</v>
      </c>
      <c r="BH24" s="10"/>
      <c r="BI24" s="10">
        <v>0.5</v>
      </c>
      <c r="BM24" s="10"/>
      <c r="BN24" s="10">
        <v>0.8</v>
      </c>
      <c r="BO24" s="10"/>
      <c r="BP24" s="10">
        <v>0.8</v>
      </c>
      <c r="BT24" s="10"/>
      <c r="BU24" s="10">
        <v>0.8</v>
      </c>
      <c r="BV24" s="10"/>
      <c r="BW24" s="10">
        <v>0.8</v>
      </c>
      <c r="CA24" s="10"/>
      <c r="CB24" s="10">
        <v>0.8</v>
      </c>
      <c r="CC24" s="10"/>
      <c r="CD24" s="10">
        <v>0.8</v>
      </c>
      <c r="CH24" s="10"/>
      <c r="CI24" s="10">
        <v>1</v>
      </c>
      <c r="CJ24" s="10"/>
      <c r="CK24" s="10">
        <v>1</v>
      </c>
      <c r="CO24" s="10"/>
      <c r="CP24" s="10">
        <v>1</v>
      </c>
      <c r="CQ24" s="10"/>
      <c r="CR24" s="10">
        <v>1</v>
      </c>
      <c r="CV24" s="10"/>
      <c r="CW24" s="10">
        <v>1</v>
      </c>
      <c r="CX24" s="10"/>
      <c r="CY24" s="10">
        <v>1</v>
      </c>
      <c r="DC24" s="10"/>
      <c r="DD24" s="10">
        <v>1</v>
      </c>
      <c r="DE24" s="10"/>
      <c r="DF24" s="10">
        <v>1</v>
      </c>
      <c r="DJ24" s="10"/>
      <c r="DK24" s="10">
        <v>1</v>
      </c>
      <c r="DL24" s="10"/>
      <c r="DM24" s="10">
        <v>1</v>
      </c>
      <c r="DQ24" s="10"/>
      <c r="DR24" s="10">
        <v>1</v>
      </c>
      <c r="DS24" s="10"/>
      <c r="DT24" s="10">
        <v>1</v>
      </c>
      <c r="DX24" s="10"/>
      <c r="DY24" s="10">
        <v>1</v>
      </c>
      <c r="DZ24" s="10"/>
      <c r="EA24" s="10">
        <v>1</v>
      </c>
      <c r="EE24" s="10"/>
      <c r="EF24" s="10">
        <v>1</v>
      </c>
      <c r="EG24" s="10"/>
      <c r="EH24" s="10">
        <v>1</v>
      </c>
      <c r="EL24" s="10"/>
      <c r="EM24" s="10">
        <v>1</v>
      </c>
      <c r="EN24" s="10"/>
      <c r="EO24" s="10">
        <v>1</v>
      </c>
    </row>
    <row r="25" spans="1:146" ht="15" customHeight="1" outlineLevel="1" x14ac:dyDescent="0.2">
      <c r="B25" t="s">
        <v>28</v>
      </c>
      <c r="C25" t="s">
        <v>141</v>
      </c>
      <c r="E25" s="9"/>
      <c r="F25" t="s">
        <v>115</v>
      </c>
      <c r="G25" s="10">
        <v>0.1</v>
      </c>
      <c r="I25" s="9">
        <f>+SUMIF($N$3:$ZT$3,I$3,$N25:$ZT25)</f>
        <v>0</v>
      </c>
      <c r="J25" s="11" cm="1">
        <f t="array" ref="J25">MAX(IF($N$3:$EB$3=$J$3,N25:EB25))</f>
        <v>0</v>
      </c>
      <c r="K25" s="11" cm="1">
        <f t="array" ref="K25">MAX(IF($N$3:$EB$3=$J$3,N25:EB25))</f>
        <v>0</v>
      </c>
      <c r="L25" s="9"/>
      <c r="P25" s="10"/>
      <c r="Q25" s="10"/>
      <c r="R25" s="10"/>
      <c r="S25" s="10"/>
      <c r="W25" s="10"/>
      <c r="X25" s="10"/>
      <c r="Y25" s="10"/>
      <c r="Z25" s="10"/>
      <c r="AD25" s="10"/>
      <c r="AE25" s="10"/>
      <c r="AF25" s="10"/>
      <c r="AG25" s="10"/>
      <c r="AK25" s="10"/>
      <c r="AL25" s="10"/>
      <c r="AM25" s="10"/>
      <c r="AN25" s="10"/>
      <c r="AR25" s="10"/>
      <c r="AS25" s="10"/>
      <c r="AT25" s="10"/>
      <c r="AU25" s="10"/>
      <c r="AY25" s="10"/>
      <c r="AZ25" s="10">
        <v>0.5</v>
      </c>
      <c r="BA25" s="10"/>
      <c r="BB25" s="10">
        <v>0.5</v>
      </c>
      <c r="BF25" s="10"/>
      <c r="BG25" s="10">
        <v>0.5</v>
      </c>
      <c r="BH25" s="10"/>
      <c r="BI25" s="10">
        <v>0.5</v>
      </c>
      <c r="BM25" s="10"/>
      <c r="BN25" s="10">
        <v>0.5</v>
      </c>
      <c r="BO25" s="10"/>
      <c r="BP25" s="10">
        <v>0.5</v>
      </c>
      <c r="BT25" s="10"/>
      <c r="BU25" s="10">
        <v>0.5</v>
      </c>
      <c r="BV25" s="10"/>
      <c r="BW25" s="10">
        <v>0.5</v>
      </c>
      <c r="CA25" s="10"/>
      <c r="CB25" s="10">
        <v>0.8</v>
      </c>
      <c r="CC25" s="10"/>
      <c r="CD25" s="10">
        <v>0.8</v>
      </c>
      <c r="CH25" s="10"/>
      <c r="CI25" s="10">
        <v>0.8</v>
      </c>
      <c r="CJ25" s="10"/>
      <c r="CK25" s="10">
        <v>0.8</v>
      </c>
      <c r="CO25" s="10"/>
      <c r="CP25" s="10">
        <v>1</v>
      </c>
      <c r="CQ25" s="10"/>
      <c r="CR25" s="10">
        <v>1</v>
      </c>
      <c r="CV25" s="10"/>
      <c r="CW25" s="10">
        <v>1</v>
      </c>
      <c r="CX25" s="10"/>
      <c r="CY25" s="10">
        <v>1</v>
      </c>
      <c r="DC25" s="10"/>
      <c r="DD25" s="10">
        <v>1</v>
      </c>
      <c r="DE25" s="10"/>
      <c r="DF25" s="10">
        <v>1</v>
      </c>
      <c r="DJ25" s="10"/>
      <c r="DK25" s="10">
        <v>1</v>
      </c>
      <c r="DL25" s="10"/>
      <c r="DM25" s="10">
        <v>1</v>
      </c>
      <c r="DQ25" s="10"/>
      <c r="DR25" s="10">
        <v>1</v>
      </c>
      <c r="DS25" s="10"/>
      <c r="DT25" s="10">
        <v>1</v>
      </c>
      <c r="DX25" s="10"/>
      <c r="DY25" s="10">
        <v>1</v>
      </c>
      <c r="DZ25" s="10"/>
      <c r="EA25" s="10">
        <v>1</v>
      </c>
      <c r="EE25" s="10"/>
      <c r="EF25" s="10">
        <v>1</v>
      </c>
      <c r="EG25" s="10"/>
      <c r="EH25" s="10">
        <v>1</v>
      </c>
      <c r="EL25" s="10"/>
      <c r="EM25" s="10">
        <v>1</v>
      </c>
      <c r="EN25" s="10"/>
      <c r="EO25" s="10">
        <v>1</v>
      </c>
    </row>
    <row r="26" spans="1:146" outlineLevel="1" x14ac:dyDescent="0.2">
      <c r="A26" s="20"/>
      <c r="B26" s="20" t="s">
        <v>28</v>
      </c>
      <c r="C26" t="s">
        <v>141</v>
      </c>
      <c r="D26" s="20"/>
      <c r="E26" s="21"/>
      <c r="F26" s="20" t="s">
        <v>116</v>
      </c>
      <c r="G26" s="10">
        <v>0.1</v>
      </c>
      <c r="H26" s="20"/>
      <c r="I26" s="21">
        <v>0</v>
      </c>
      <c r="J26" s="22">
        <v>0</v>
      </c>
      <c r="K26" s="22">
        <v>0</v>
      </c>
      <c r="L26" s="21"/>
      <c r="M26" s="20"/>
      <c r="N26" s="20"/>
      <c r="O26" s="20"/>
      <c r="P26" s="10"/>
      <c r="Q26" s="10"/>
      <c r="R26" s="10"/>
      <c r="S26" s="10"/>
      <c r="T26" s="20"/>
      <c r="U26" s="20"/>
      <c r="V26" s="20"/>
      <c r="W26" s="10"/>
      <c r="X26" s="10"/>
      <c r="Y26" s="10"/>
      <c r="Z26" s="10"/>
      <c r="AA26" s="20"/>
      <c r="AB26" s="20"/>
      <c r="AC26" s="20"/>
      <c r="AD26" s="10"/>
      <c r="AE26" s="10"/>
      <c r="AF26" s="10"/>
      <c r="AG26" s="10"/>
      <c r="AH26" s="20"/>
      <c r="AI26" s="20"/>
      <c r="AJ26" s="20"/>
      <c r="AK26" s="10"/>
      <c r="AL26" s="10"/>
      <c r="AM26" s="10"/>
      <c r="AN26" s="10"/>
      <c r="AO26" s="20"/>
      <c r="AP26" s="20"/>
      <c r="AQ26" s="20"/>
      <c r="AR26" s="10"/>
      <c r="AS26" s="10"/>
      <c r="AT26" s="10"/>
      <c r="AU26" s="10"/>
      <c r="AV26" s="20"/>
      <c r="AW26" s="20"/>
      <c r="AX26" s="20"/>
      <c r="AY26" s="10"/>
      <c r="AZ26" s="10"/>
      <c r="BA26" s="10"/>
      <c r="BB26" s="10"/>
      <c r="BC26" s="20"/>
      <c r="BD26" s="20"/>
      <c r="BE26" s="20"/>
      <c r="BF26" s="10"/>
      <c r="BG26" s="10">
        <v>0.5</v>
      </c>
      <c r="BH26" s="10"/>
      <c r="BI26" s="10">
        <v>0.5</v>
      </c>
      <c r="BJ26" s="20"/>
      <c r="BK26" s="20"/>
      <c r="BL26" s="20"/>
      <c r="BM26" s="10"/>
      <c r="BN26" s="10">
        <v>0.5</v>
      </c>
      <c r="BO26" s="10"/>
      <c r="BP26" s="10">
        <v>0.5</v>
      </c>
      <c r="BQ26" s="20"/>
      <c r="BR26" s="20"/>
      <c r="BS26" s="20"/>
      <c r="BT26" s="10"/>
      <c r="BU26" s="10">
        <v>0.5</v>
      </c>
      <c r="BV26" s="10"/>
      <c r="BW26" s="10">
        <v>0.5</v>
      </c>
      <c r="BX26" s="20"/>
      <c r="BY26" s="20"/>
      <c r="BZ26" s="20"/>
      <c r="CA26" s="10"/>
      <c r="CB26" s="10">
        <v>0.8</v>
      </c>
      <c r="CC26" s="10"/>
      <c r="CD26" s="10">
        <v>0.8</v>
      </c>
      <c r="CE26" s="20"/>
      <c r="CF26" s="20"/>
      <c r="CG26" s="20"/>
      <c r="CH26" s="10"/>
      <c r="CI26" s="10">
        <v>0.8</v>
      </c>
      <c r="CJ26" s="10"/>
      <c r="CK26" s="10">
        <v>0.8</v>
      </c>
      <c r="CL26" s="20"/>
      <c r="CM26" s="20"/>
      <c r="CN26" s="20"/>
      <c r="CO26" s="10"/>
      <c r="CP26" s="10">
        <v>1</v>
      </c>
      <c r="CQ26" s="10"/>
      <c r="CR26" s="10">
        <v>1</v>
      </c>
      <c r="CS26" s="20"/>
      <c r="CT26" s="20"/>
      <c r="CU26" s="20"/>
      <c r="CV26" s="10"/>
      <c r="CW26" s="10">
        <v>1</v>
      </c>
      <c r="CX26" s="10"/>
      <c r="CY26" s="10">
        <v>1</v>
      </c>
      <c r="CZ26" s="20"/>
      <c r="DA26" s="20"/>
      <c r="DB26" s="20"/>
      <c r="DC26" s="10"/>
      <c r="DD26" s="10">
        <v>1</v>
      </c>
      <c r="DE26" s="10"/>
      <c r="DF26" s="10">
        <v>1</v>
      </c>
      <c r="DG26" s="20"/>
      <c r="DH26" s="20"/>
      <c r="DI26" s="20"/>
      <c r="DJ26" s="10"/>
      <c r="DK26" s="10">
        <v>1</v>
      </c>
      <c r="DL26" s="10"/>
      <c r="DM26" s="10">
        <v>1</v>
      </c>
      <c r="DN26" s="20"/>
      <c r="DO26" s="20"/>
      <c r="DP26" s="20"/>
      <c r="DQ26" s="10"/>
      <c r="DR26" s="10">
        <v>1</v>
      </c>
      <c r="DS26" s="10"/>
      <c r="DT26" s="10">
        <v>1</v>
      </c>
      <c r="DU26" s="20"/>
      <c r="DV26" s="20"/>
      <c r="DW26" s="20"/>
      <c r="DX26" s="10"/>
      <c r="DY26" s="10">
        <v>1</v>
      </c>
      <c r="DZ26" s="10"/>
      <c r="EA26" s="10">
        <v>1</v>
      </c>
      <c r="EB26" s="20"/>
      <c r="EC26" s="20"/>
      <c r="ED26" s="20"/>
      <c r="EE26" s="10"/>
      <c r="EF26" s="10">
        <v>1</v>
      </c>
      <c r="EG26" s="10"/>
      <c r="EH26" s="10">
        <v>1</v>
      </c>
      <c r="EI26" s="20"/>
      <c r="EJ26" s="20"/>
      <c r="EK26" s="20"/>
      <c r="EL26" s="10"/>
      <c r="EM26" s="10">
        <v>1</v>
      </c>
      <c r="EN26" s="10"/>
      <c r="EO26" s="10">
        <v>1</v>
      </c>
      <c r="EP26" s="20"/>
    </row>
    <row r="27" spans="1:146" ht="15" customHeight="1" x14ac:dyDescent="0.2"/>
    <row r="28" spans="1:146" x14ac:dyDescent="0.2">
      <c r="B28" t="s">
        <v>27</v>
      </c>
      <c r="C28" t="s">
        <v>123</v>
      </c>
      <c r="D28" s="19">
        <v>45870</v>
      </c>
      <c r="E28" s="9">
        <v>6</v>
      </c>
      <c r="G28" s="10">
        <f>+SUM(G29:G34)</f>
        <v>1</v>
      </c>
      <c r="I28" s="12">
        <f>+SUM(I29:I34)</f>
        <v>0</v>
      </c>
      <c r="J28" s="11">
        <f>+SUMPRODUCT(G29:G34,J29:J34)</f>
        <v>0</v>
      </c>
      <c r="K28" s="11">
        <f>+SUMPRODUCT(G29:G34,K29:K34)</f>
        <v>0</v>
      </c>
      <c r="L28" s="9"/>
      <c r="O28" s="12">
        <f>+SUM(O29:O34)</f>
        <v>0</v>
      </c>
      <c r="V28" s="12">
        <f>+SUM(V29:V34)</f>
        <v>0</v>
      </c>
      <c r="AC28" s="12">
        <f>+SUM(AC29:AC34)</f>
        <v>0</v>
      </c>
      <c r="AJ28" s="12">
        <f>+SUM(AJ29:AJ34)</f>
        <v>0</v>
      </c>
      <c r="AQ28" s="12">
        <f>+SUM(AQ29:AQ34)</f>
        <v>0</v>
      </c>
      <c r="AX28" s="12">
        <f>+SUM(AX29:AX34)</f>
        <v>0</v>
      </c>
      <c r="BE28" s="12">
        <f>+SUM(BE29:BE34)</f>
        <v>0</v>
      </c>
      <c r="BL28" s="12">
        <f>+SUM(BL29:BL34)</f>
        <v>0</v>
      </c>
      <c r="BS28" s="12">
        <f>+SUM(BS29:BS34)</f>
        <v>0</v>
      </c>
      <c r="BZ28" s="12">
        <f>+SUM(BZ29:BZ34)</f>
        <v>0</v>
      </c>
      <c r="CG28" s="12">
        <f>+SUM(CG29:CG34)</f>
        <v>0</v>
      </c>
      <c r="CN28" s="12">
        <f>+SUM(CN29:CN34)</f>
        <v>0</v>
      </c>
      <c r="CU28" s="12">
        <f>+SUM(CU29:CU34)</f>
        <v>0</v>
      </c>
      <c r="DB28" s="12">
        <f>+SUM(DB29:DB34)</f>
        <v>0</v>
      </c>
      <c r="DI28" s="12">
        <f>+SUM(DI29:DI34)</f>
        <v>0</v>
      </c>
      <c r="DP28" s="12">
        <f>+SUM(DP29:DP34)</f>
        <v>0</v>
      </c>
      <c r="DW28" s="12">
        <f>+SUM(DW29:DW34)</f>
        <v>0</v>
      </c>
      <c r="ED28" s="12">
        <f>+SUM(ED29:ED34)</f>
        <v>0</v>
      </c>
      <c r="EK28" s="12">
        <f>+SUM(EK29:EK34)</f>
        <v>0</v>
      </c>
    </row>
    <row r="29" spans="1:146" ht="15" customHeight="1" outlineLevel="1" x14ac:dyDescent="0.2">
      <c r="B29" t="s">
        <v>28</v>
      </c>
      <c r="C29" t="s">
        <v>123</v>
      </c>
      <c r="E29" s="9"/>
      <c r="F29" t="s">
        <v>117</v>
      </c>
      <c r="G29" s="10">
        <v>0.05</v>
      </c>
      <c r="I29" s="9">
        <f>+SUMIF($N$3:$ZT$3,I$3,$N29:$ZT29)</f>
        <v>0</v>
      </c>
      <c r="J29" s="11" cm="1">
        <f t="array" ref="J29">MAX(IF($N$3:$EB$3=$J$3,N29:EB29))</f>
        <v>0</v>
      </c>
      <c r="K29" s="11" cm="1">
        <f t="array" ref="K29">MAX(IF($N$3:$EB$3=$J$3,N29:EB29))</f>
        <v>0</v>
      </c>
      <c r="L29" s="9"/>
      <c r="P29" s="10"/>
      <c r="Q29" s="10">
        <v>0.5</v>
      </c>
      <c r="R29" s="10"/>
      <c r="S29" s="10">
        <v>0.5</v>
      </c>
      <c r="W29" s="10"/>
      <c r="X29" s="10">
        <v>0.5</v>
      </c>
      <c r="Y29" s="10"/>
      <c r="Z29" s="10">
        <v>0.5</v>
      </c>
      <c r="AD29" s="10"/>
      <c r="AE29" s="10">
        <v>0.8</v>
      </c>
      <c r="AF29" s="10"/>
      <c r="AG29" s="10">
        <v>0.8</v>
      </c>
      <c r="AK29" s="10"/>
      <c r="AL29" s="10">
        <v>0.8</v>
      </c>
      <c r="AM29" s="10"/>
      <c r="AN29" s="10">
        <v>0.8</v>
      </c>
      <c r="AR29" s="10"/>
      <c r="AS29" s="10">
        <v>0.8</v>
      </c>
      <c r="AT29" s="10"/>
      <c r="AU29" s="10">
        <v>0.8</v>
      </c>
      <c r="AY29" s="10"/>
      <c r="AZ29" s="10">
        <v>0.8</v>
      </c>
      <c r="BA29" s="10"/>
      <c r="BB29" s="10">
        <v>0.8</v>
      </c>
      <c r="BF29" s="10"/>
      <c r="BG29" s="10">
        <v>1</v>
      </c>
      <c r="BH29" s="10"/>
      <c r="BI29" s="10">
        <v>1</v>
      </c>
      <c r="BM29" s="10"/>
      <c r="BN29" s="10">
        <v>1</v>
      </c>
      <c r="BO29" s="10"/>
      <c r="BP29" s="10">
        <v>1</v>
      </c>
      <c r="BT29" s="10"/>
      <c r="BU29" s="10">
        <v>1</v>
      </c>
      <c r="BV29" s="10"/>
      <c r="BW29" s="10">
        <v>1</v>
      </c>
      <c r="CA29" s="10"/>
      <c r="CB29" s="10">
        <v>1</v>
      </c>
      <c r="CC29" s="10"/>
      <c r="CD29" s="10">
        <v>1</v>
      </c>
      <c r="CH29" s="10"/>
      <c r="CI29" s="10">
        <v>1</v>
      </c>
      <c r="CJ29" s="10"/>
      <c r="CK29" s="10">
        <v>1</v>
      </c>
      <c r="CO29" s="10"/>
      <c r="CP29" s="10">
        <v>1</v>
      </c>
      <c r="CQ29" s="10"/>
      <c r="CR29" s="10">
        <v>1</v>
      </c>
      <c r="CV29" s="10"/>
      <c r="CW29" s="10">
        <v>1</v>
      </c>
      <c r="CX29" s="10"/>
      <c r="CY29" s="10">
        <v>1</v>
      </c>
      <c r="DC29" s="10"/>
      <c r="DD29" s="10">
        <v>1</v>
      </c>
      <c r="DE29" s="10"/>
      <c r="DF29" s="10">
        <v>1</v>
      </c>
      <c r="DJ29" s="10"/>
      <c r="DK29" s="10">
        <v>1</v>
      </c>
      <c r="DL29" s="10"/>
      <c r="DM29" s="10">
        <v>1</v>
      </c>
      <c r="DQ29" s="10"/>
      <c r="DR29" s="10">
        <v>1</v>
      </c>
      <c r="DS29" s="10"/>
      <c r="DT29" s="10">
        <v>1</v>
      </c>
      <c r="DX29" s="10"/>
      <c r="DY29" s="10">
        <v>1</v>
      </c>
      <c r="DZ29" s="10"/>
      <c r="EA29" s="10">
        <v>1</v>
      </c>
      <c r="EE29" s="10"/>
      <c r="EF29" s="10">
        <v>1</v>
      </c>
      <c r="EG29" s="10"/>
      <c r="EH29" s="10">
        <v>1</v>
      </c>
      <c r="EL29" s="10"/>
      <c r="EM29" s="10">
        <v>1</v>
      </c>
      <c r="EN29" s="10"/>
      <c r="EO29" s="10">
        <v>1</v>
      </c>
    </row>
    <row r="30" spans="1:146" ht="15" customHeight="1" outlineLevel="1" x14ac:dyDescent="0.2">
      <c r="B30" t="s">
        <v>28</v>
      </c>
      <c r="C30" t="s">
        <v>123</v>
      </c>
      <c r="E30" s="9"/>
      <c r="F30" t="s">
        <v>118</v>
      </c>
      <c r="G30" s="10">
        <v>0.25</v>
      </c>
      <c r="I30" s="9">
        <f>+SUMIF($N$3:$ZT$3,I$3,$N30:$ZT30)</f>
        <v>0</v>
      </c>
      <c r="J30" s="11" cm="1">
        <f t="array" ref="J30">MAX(IF($N$3:$EB$3=$J$3,N30:EB30))</f>
        <v>0</v>
      </c>
      <c r="K30" s="11" cm="1">
        <f t="array" ref="K30">MAX(IF($N$3:$EB$3=$J$3,N30:EB30))</f>
        <v>0</v>
      </c>
      <c r="L30" s="9"/>
      <c r="P30" s="10"/>
      <c r="Q30" s="10">
        <v>0.1</v>
      </c>
      <c r="R30" s="10"/>
      <c r="S30" s="10">
        <v>0.1</v>
      </c>
      <c r="W30" s="10"/>
      <c r="X30" s="10">
        <v>0.5</v>
      </c>
      <c r="Y30" s="10"/>
      <c r="Z30" s="10">
        <v>0.5</v>
      </c>
      <c r="AD30" s="10"/>
      <c r="AE30" s="10">
        <v>0.5</v>
      </c>
      <c r="AF30" s="10"/>
      <c r="AG30" s="10">
        <v>0.5</v>
      </c>
      <c r="AK30" s="10"/>
      <c r="AL30" s="10">
        <v>0.8</v>
      </c>
      <c r="AM30" s="10"/>
      <c r="AN30" s="10">
        <v>0.8</v>
      </c>
      <c r="AR30" s="10"/>
      <c r="AS30" s="10">
        <v>0.8</v>
      </c>
      <c r="AT30" s="10"/>
      <c r="AU30" s="10">
        <v>0.8</v>
      </c>
      <c r="AY30" s="10"/>
      <c r="AZ30" s="10">
        <v>0.8</v>
      </c>
      <c r="BA30" s="10"/>
      <c r="BB30" s="10">
        <v>0.8</v>
      </c>
      <c r="BF30" s="10"/>
      <c r="BG30" s="10">
        <v>0.8</v>
      </c>
      <c r="BH30" s="10"/>
      <c r="BI30" s="10">
        <v>0.8</v>
      </c>
      <c r="BM30" s="10"/>
      <c r="BN30" s="10">
        <v>0.8</v>
      </c>
      <c r="BO30" s="10"/>
      <c r="BP30" s="10">
        <v>0.8</v>
      </c>
      <c r="BT30" s="10"/>
      <c r="BU30" s="10">
        <v>1</v>
      </c>
      <c r="BV30" s="10"/>
      <c r="BW30" s="10">
        <v>1</v>
      </c>
      <c r="CA30" s="10"/>
      <c r="CB30" s="10">
        <v>1</v>
      </c>
      <c r="CC30" s="10"/>
      <c r="CD30" s="10">
        <v>1</v>
      </c>
      <c r="CH30" s="10"/>
      <c r="CI30" s="10">
        <v>1</v>
      </c>
      <c r="CJ30" s="10"/>
      <c r="CK30" s="10">
        <v>1</v>
      </c>
      <c r="CO30" s="10"/>
      <c r="CP30" s="10">
        <v>1</v>
      </c>
      <c r="CQ30" s="10"/>
      <c r="CR30" s="10">
        <v>1</v>
      </c>
      <c r="CV30" s="10"/>
      <c r="CW30" s="10">
        <v>1</v>
      </c>
      <c r="CX30" s="10"/>
      <c r="CY30" s="10">
        <v>1</v>
      </c>
      <c r="DC30" s="10"/>
      <c r="DD30" s="10">
        <v>1</v>
      </c>
      <c r="DE30" s="10"/>
      <c r="DF30" s="10">
        <v>1</v>
      </c>
      <c r="DJ30" s="10"/>
      <c r="DK30" s="10">
        <v>1</v>
      </c>
      <c r="DL30" s="10"/>
      <c r="DM30" s="10">
        <v>1</v>
      </c>
      <c r="DQ30" s="10"/>
      <c r="DR30" s="10">
        <v>1</v>
      </c>
      <c r="DS30" s="10"/>
      <c r="DT30" s="10">
        <v>1</v>
      </c>
      <c r="DX30" s="10"/>
      <c r="DY30" s="10">
        <v>1</v>
      </c>
      <c r="DZ30" s="10"/>
      <c r="EA30" s="10">
        <v>1</v>
      </c>
      <c r="EE30" s="10"/>
      <c r="EF30" s="10">
        <v>1</v>
      </c>
      <c r="EG30" s="10"/>
      <c r="EH30" s="10">
        <v>1</v>
      </c>
      <c r="EL30" s="10"/>
      <c r="EM30" s="10">
        <v>1</v>
      </c>
      <c r="EN30" s="10"/>
      <c r="EO30" s="10">
        <v>1</v>
      </c>
    </row>
    <row r="31" spans="1:146" ht="15" customHeight="1" outlineLevel="1" x14ac:dyDescent="0.2">
      <c r="B31" t="s">
        <v>28</v>
      </c>
      <c r="C31" t="s">
        <v>123</v>
      </c>
      <c r="E31" s="9"/>
      <c r="F31" t="s">
        <v>119</v>
      </c>
      <c r="G31" s="10">
        <v>0.2</v>
      </c>
      <c r="I31" s="9">
        <f>+SUMIF($N$3:$ZT$3,I$3,$N31:$ZT31)</f>
        <v>0</v>
      </c>
      <c r="J31" s="11" cm="1">
        <f t="array" ref="J31">MAX(IF($N$3:$EB$3=$J$3,N31:EB31))</f>
        <v>0</v>
      </c>
      <c r="K31" s="11" cm="1">
        <f t="array" ref="K31">MAX(IF($N$3:$EB$3=$J$3,N31:EB31))</f>
        <v>0</v>
      </c>
      <c r="L31" s="9"/>
      <c r="P31" s="10"/>
      <c r="Q31" s="10"/>
      <c r="R31" s="10"/>
      <c r="S31" s="10"/>
      <c r="W31" s="10"/>
      <c r="X31" s="10"/>
      <c r="Y31" s="10"/>
      <c r="Z31" s="10"/>
      <c r="AD31" s="10"/>
      <c r="AE31" s="10"/>
      <c r="AF31" s="10"/>
      <c r="AG31" s="10"/>
      <c r="AK31" s="10"/>
      <c r="AL31" s="10">
        <v>0.5</v>
      </c>
      <c r="AM31" s="10"/>
      <c r="AN31" s="10">
        <v>0.5</v>
      </c>
      <c r="AR31" s="10"/>
      <c r="AS31" s="10">
        <v>0.8</v>
      </c>
      <c r="AT31" s="10"/>
      <c r="AU31" s="10">
        <v>0.8</v>
      </c>
      <c r="AY31" s="10"/>
      <c r="AZ31" s="10">
        <v>0.8</v>
      </c>
      <c r="BA31" s="10"/>
      <c r="BB31" s="10">
        <v>0.8</v>
      </c>
      <c r="BF31" s="10"/>
      <c r="BG31" s="10">
        <v>0.8</v>
      </c>
      <c r="BH31" s="10"/>
      <c r="BI31" s="10">
        <v>0.8</v>
      </c>
      <c r="BM31" s="10"/>
      <c r="BN31" s="10">
        <v>0.8</v>
      </c>
      <c r="BO31" s="10"/>
      <c r="BP31" s="10">
        <v>0.8</v>
      </c>
      <c r="BT31" s="10"/>
      <c r="BU31" s="10">
        <v>0.8</v>
      </c>
      <c r="BV31" s="10"/>
      <c r="BW31" s="10">
        <v>0.8</v>
      </c>
      <c r="CA31" s="10"/>
      <c r="CB31" s="10">
        <v>0.8</v>
      </c>
      <c r="CC31" s="10"/>
      <c r="CD31" s="10">
        <v>0.8</v>
      </c>
      <c r="CH31" s="10"/>
      <c r="CI31" s="10">
        <v>1</v>
      </c>
      <c r="CJ31" s="10"/>
      <c r="CK31" s="10">
        <v>1</v>
      </c>
      <c r="CO31" s="10"/>
      <c r="CP31" s="10">
        <v>1</v>
      </c>
      <c r="CQ31" s="10"/>
      <c r="CR31" s="10">
        <v>1</v>
      </c>
      <c r="CV31" s="10"/>
      <c r="CW31" s="10">
        <v>1</v>
      </c>
      <c r="CX31" s="10"/>
      <c r="CY31" s="10">
        <v>1</v>
      </c>
      <c r="DC31" s="10"/>
      <c r="DD31" s="10">
        <v>1</v>
      </c>
      <c r="DE31" s="10"/>
      <c r="DF31" s="10">
        <v>1</v>
      </c>
      <c r="DJ31" s="10"/>
      <c r="DK31" s="10">
        <v>1</v>
      </c>
      <c r="DL31" s="10"/>
      <c r="DM31" s="10">
        <v>1</v>
      </c>
      <c r="DQ31" s="10"/>
      <c r="DR31" s="10">
        <v>1</v>
      </c>
      <c r="DS31" s="10"/>
      <c r="DT31" s="10">
        <v>1</v>
      </c>
      <c r="DX31" s="10"/>
      <c r="DY31" s="10">
        <v>1</v>
      </c>
      <c r="DZ31" s="10"/>
      <c r="EA31" s="10">
        <v>1</v>
      </c>
      <c r="EE31" s="10"/>
      <c r="EF31" s="10">
        <v>1</v>
      </c>
      <c r="EG31" s="10"/>
      <c r="EH31" s="10">
        <v>1</v>
      </c>
      <c r="EL31" s="10"/>
      <c r="EM31" s="10">
        <v>1</v>
      </c>
      <c r="EN31" s="10"/>
      <c r="EO31" s="10">
        <v>1</v>
      </c>
    </row>
    <row r="32" spans="1:146" ht="15" customHeight="1" outlineLevel="1" x14ac:dyDescent="0.2">
      <c r="B32" t="s">
        <v>28</v>
      </c>
      <c r="C32" t="s">
        <v>123</v>
      </c>
      <c r="E32" s="9"/>
      <c r="F32" t="s">
        <v>120</v>
      </c>
      <c r="G32" s="10">
        <v>0.2</v>
      </c>
      <c r="I32" s="9">
        <f>+SUMIF($N$3:$ZT$3,I$3,$N32:$ZT32)</f>
        <v>0</v>
      </c>
      <c r="J32" s="11" cm="1">
        <f t="array" ref="J32">MAX(IF($N$3:$EB$3=$J$3,N32:EB32))</f>
        <v>0</v>
      </c>
      <c r="K32" s="11" cm="1">
        <f t="array" ref="K32">MAX(IF($N$3:$EB$3=$J$3,N32:EB32))</f>
        <v>0</v>
      </c>
      <c r="L32" s="9"/>
      <c r="P32" s="10"/>
      <c r="Q32" s="10"/>
      <c r="R32" s="10"/>
      <c r="S32" s="10"/>
      <c r="W32" s="10"/>
      <c r="X32" s="10"/>
      <c r="Y32" s="10"/>
      <c r="Z32" s="10"/>
      <c r="AD32" s="10"/>
      <c r="AE32" s="10"/>
      <c r="AF32" s="10"/>
      <c r="AG32" s="10"/>
      <c r="AK32" s="10"/>
      <c r="AL32" s="10">
        <v>0.5</v>
      </c>
      <c r="AM32" s="10"/>
      <c r="AN32" s="10">
        <v>0.5</v>
      </c>
      <c r="AR32" s="10"/>
      <c r="AS32" s="10">
        <v>0.5</v>
      </c>
      <c r="AT32" s="10"/>
      <c r="AU32" s="10">
        <v>0.5</v>
      </c>
      <c r="AY32" s="10"/>
      <c r="AZ32" s="10">
        <v>0.5</v>
      </c>
      <c r="BA32" s="10"/>
      <c r="BB32" s="10">
        <v>0.5</v>
      </c>
      <c r="BF32" s="10"/>
      <c r="BG32" s="10">
        <v>0.5</v>
      </c>
      <c r="BH32" s="10"/>
      <c r="BI32" s="10">
        <v>0.5</v>
      </c>
      <c r="BM32" s="10"/>
      <c r="BN32" s="10">
        <v>0.8</v>
      </c>
      <c r="BO32" s="10"/>
      <c r="BP32" s="10">
        <v>0.8</v>
      </c>
      <c r="BT32" s="10"/>
      <c r="BU32" s="10">
        <v>0.8</v>
      </c>
      <c r="BV32" s="10"/>
      <c r="BW32" s="10">
        <v>0.8</v>
      </c>
      <c r="CA32" s="10"/>
      <c r="CB32" s="10">
        <v>0.8</v>
      </c>
      <c r="CC32" s="10"/>
      <c r="CD32" s="10">
        <v>0.8</v>
      </c>
      <c r="CH32" s="10"/>
      <c r="CI32" s="10">
        <v>1</v>
      </c>
      <c r="CJ32" s="10"/>
      <c r="CK32" s="10">
        <v>1</v>
      </c>
      <c r="CO32" s="10"/>
      <c r="CP32" s="10">
        <v>1</v>
      </c>
      <c r="CQ32" s="10"/>
      <c r="CR32" s="10">
        <v>1</v>
      </c>
      <c r="CV32" s="10"/>
      <c r="CW32" s="10">
        <v>1</v>
      </c>
      <c r="CX32" s="10"/>
      <c r="CY32" s="10">
        <v>1</v>
      </c>
      <c r="DC32" s="10"/>
      <c r="DD32" s="10">
        <v>1</v>
      </c>
      <c r="DE32" s="10"/>
      <c r="DF32" s="10">
        <v>1</v>
      </c>
      <c r="DJ32" s="10"/>
      <c r="DK32" s="10">
        <v>1</v>
      </c>
      <c r="DL32" s="10"/>
      <c r="DM32" s="10">
        <v>1</v>
      </c>
      <c r="DQ32" s="10"/>
      <c r="DR32" s="10">
        <v>1</v>
      </c>
      <c r="DS32" s="10"/>
      <c r="DT32" s="10">
        <v>1</v>
      </c>
      <c r="DX32" s="10"/>
      <c r="DY32" s="10">
        <v>1</v>
      </c>
      <c r="DZ32" s="10"/>
      <c r="EA32" s="10">
        <v>1</v>
      </c>
      <c r="EE32" s="10"/>
      <c r="EF32" s="10">
        <v>1</v>
      </c>
      <c r="EG32" s="10"/>
      <c r="EH32" s="10">
        <v>1</v>
      </c>
      <c r="EL32" s="10"/>
      <c r="EM32" s="10">
        <v>1</v>
      </c>
      <c r="EN32" s="10"/>
      <c r="EO32" s="10">
        <v>1</v>
      </c>
    </row>
    <row r="33" spans="2:145" ht="15" customHeight="1" outlineLevel="1" x14ac:dyDescent="0.2">
      <c r="B33" t="s">
        <v>28</v>
      </c>
      <c r="C33" t="s">
        <v>123</v>
      </c>
      <c r="E33" s="9"/>
      <c r="F33" t="s">
        <v>121</v>
      </c>
      <c r="G33" s="10">
        <v>0.15</v>
      </c>
      <c r="I33" s="9">
        <f>+SUMIF($N$3:$ZT$3,I$3,$N33:$ZT33)</f>
        <v>0</v>
      </c>
      <c r="J33" s="11" cm="1">
        <f t="array" ref="J33">MAX(IF($N$3:$EB$3=$J$3,N33:EB33))</f>
        <v>0</v>
      </c>
      <c r="K33" s="11" cm="1">
        <f t="array" ref="K33">MAX(IF($N$3:$EB$3=$J$3,N33:EB33))</f>
        <v>0</v>
      </c>
      <c r="L33" s="9"/>
      <c r="P33" s="10"/>
      <c r="Q33" s="10"/>
      <c r="R33" s="10"/>
      <c r="S33" s="10"/>
      <c r="W33" s="10"/>
      <c r="X33" s="10"/>
      <c r="Y33" s="10"/>
      <c r="Z33" s="10"/>
      <c r="AD33" s="10"/>
      <c r="AE33" s="10"/>
      <c r="AF33" s="10"/>
      <c r="AG33" s="10"/>
      <c r="AK33" s="10"/>
      <c r="AL33" s="10"/>
      <c r="AM33" s="10"/>
      <c r="AN33" s="10"/>
      <c r="AR33" s="10"/>
      <c r="AS33" s="10"/>
      <c r="AT33" s="10"/>
      <c r="AU33" s="10"/>
      <c r="AY33" s="10"/>
      <c r="AZ33" s="10">
        <v>0.5</v>
      </c>
      <c r="BA33" s="10"/>
      <c r="BB33" s="10">
        <v>0.5</v>
      </c>
      <c r="BF33" s="10"/>
      <c r="BG33" s="10">
        <v>0.5</v>
      </c>
      <c r="BH33" s="10"/>
      <c r="BI33" s="10">
        <v>0.5</v>
      </c>
      <c r="BM33" s="10"/>
      <c r="BN33" s="10">
        <v>0.5</v>
      </c>
      <c r="BO33" s="10"/>
      <c r="BP33" s="10">
        <v>0.5</v>
      </c>
      <c r="BT33" s="10"/>
      <c r="BU33" s="10">
        <v>0.8</v>
      </c>
      <c r="BV33" s="10"/>
      <c r="BW33" s="10">
        <v>0.8</v>
      </c>
      <c r="CA33" s="10"/>
      <c r="CB33" s="10">
        <v>0.8</v>
      </c>
      <c r="CC33" s="10"/>
      <c r="CD33" s="10">
        <v>0.8</v>
      </c>
      <c r="CH33" s="10"/>
      <c r="CI33" s="10">
        <v>0.8</v>
      </c>
      <c r="CJ33" s="10"/>
      <c r="CK33" s="10">
        <v>0.8</v>
      </c>
      <c r="CO33" s="10"/>
      <c r="CP33" s="10">
        <v>1</v>
      </c>
      <c r="CQ33" s="10"/>
      <c r="CR33" s="10">
        <v>1</v>
      </c>
      <c r="CV33" s="10"/>
      <c r="CW33" s="10">
        <v>1</v>
      </c>
      <c r="CX33" s="10"/>
      <c r="CY33" s="10">
        <v>1</v>
      </c>
      <c r="DC33" s="10"/>
      <c r="DD33" s="10">
        <v>1</v>
      </c>
      <c r="DE33" s="10"/>
      <c r="DF33" s="10">
        <v>1</v>
      </c>
      <c r="DJ33" s="10"/>
      <c r="DK33" s="10">
        <v>1</v>
      </c>
      <c r="DL33" s="10"/>
      <c r="DM33" s="10">
        <v>1</v>
      </c>
      <c r="DQ33" s="10"/>
      <c r="DR33" s="10">
        <v>1</v>
      </c>
      <c r="DS33" s="10"/>
      <c r="DT33" s="10">
        <v>1</v>
      </c>
      <c r="DX33" s="10"/>
      <c r="DY33" s="10">
        <v>1</v>
      </c>
      <c r="DZ33" s="10"/>
      <c r="EA33" s="10">
        <v>1</v>
      </c>
      <c r="EE33" s="10"/>
      <c r="EF33" s="10">
        <v>1</v>
      </c>
      <c r="EG33" s="10"/>
      <c r="EH33" s="10">
        <v>1</v>
      </c>
      <c r="EL33" s="10"/>
      <c r="EM33" s="10">
        <v>1</v>
      </c>
      <c r="EN33" s="10"/>
      <c r="EO33" s="10">
        <v>1</v>
      </c>
    </row>
    <row r="34" spans="2:145" ht="15" customHeight="1" outlineLevel="1" x14ac:dyDescent="0.2">
      <c r="B34" t="s">
        <v>28</v>
      </c>
      <c r="C34" t="s">
        <v>123</v>
      </c>
      <c r="E34" s="9"/>
      <c r="F34" t="s">
        <v>122</v>
      </c>
      <c r="G34" s="10">
        <v>0.15</v>
      </c>
      <c r="I34" s="9">
        <f>+SUMIF($N$3:$ZT$3,I$3,$N34:$ZT34)</f>
        <v>0</v>
      </c>
      <c r="J34" s="11" cm="1">
        <f t="array" ref="J34">MAX(IF($N$3:$EB$3=$J$3,N34:EB34))</f>
        <v>0</v>
      </c>
      <c r="K34" s="11" cm="1">
        <f t="array" ref="K34">MAX(IF($N$3:$EB$3=$J$3,N34:EB34))</f>
        <v>0</v>
      </c>
      <c r="L34" s="9"/>
      <c r="P34" s="10"/>
      <c r="Q34" s="10"/>
      <c r="R34" s="10"/>
      <c r="S34" s="10"/>
      <c r="W34" s="10"/>
      <c r="X34" s="10"/>
      <c r="Y34" s="10"/>
      <c r="Z34" s="10"/>
      <c r="AD34" s="10"/>
      <c r="AE34" s="10"/>
      <c r="AF34" s="10"/>
      <c r="AG34" s="10"/>
      <c r="AK34" s="10"/>
      <c r="AL34" s="10"/>
      <c r="AM34" s="10"/>
      <c r="AN34" s="10"/>
      <c r="AR34" s="10"/>
      <c r="AS34" s="10"/>
      <c r="AT34" s="10"/>
      <c r="AU34" s="10"/>
      <c r="AY34" s="10"/>
      <c r="AZ34" s="10"/>
      <c r="BA34" s="10"/>
      <c r="BB34" s="10"/>
      <c r="BF34" s="10"/>
      <c r="BG34" s="10">
        <v>0.5</v>
      </c>
      <c r="BH34" s="10"/>
      <c r="BI34" s="10">
        <v>0.5</v>
      </c>
      <c r="BM34" s="10"/>
      <c r="BN34" s="10">
        <v>0.5</v>
      </c>
      <c r="BO34" s="10"/>
      <c r="BP34" s="10">
        <v>0.5</v>
      </c>
      <c r="BT34" s="10"/>
      <c r="BU34" s="10">
        <v>0.5</v>
      </c>
      <c r="BV34" s="10"/>
      <c r="BW34" s="10">
        <v>0.5</v>
      </c>
      <c r="CA34" s="10"/>
      <c r="CB34" s="10">
        <v>0.8</v>
      </c>
      <c r="CC34" s="10"/>
      <c r="CD34" s="10">
        <v>0.8</v>
      </c>
      <c r="CH34" s="10"/>
      <c r="CI34" s="10">
        <v>0.8</v>
      </c>
      <c r="CJ34" s="10"/>
      <c r="CK34" s="10">
        <v>0.8</v>
      </c>
      <c r="CO34" s="10"/>
      <c r="CP34" s="10">
        <v>1</v>
      </c>
      <c r="CQ34" s="10"/>
      <c r="CR34" s="10">
        <v>1</v>
      </c>
      <c r="CV34" s="10"/>
      <c r="CW34" s="10">
        <v>1</v>
      </c>
      <c r="CX34" s="10"/>
      <c r="CY34" s="10">
        <v>1</v>
      </c>
      <c r="DC34" s="10"/>
      <c r="DD34" s="10">
        <v>1</v>
      </c>
      <c r="DE34" s="10"/>
      <c r="DF34" s="10">
        <v>1</v>
      </c>
      <c r="DJ34" s="10"/>
      <c r="DK34" s="10">
        <v>1</v>
      </c>
      <c r="DL34" s="10"/>
      <c r="DM34" s="10">
        <v>1</v>
      </c>
      <c r="DQ34" s="10"/>
      <c r="DR34" s="10">
        <v>1</v>
      </c>
      <c r="DS34" s="10"/>
      <c r="DT34" s="10">
        <v>1</v>
      </c>
      <c r="DX34" s="10"/>
      <c r="DY34" s="10">
        <v>1</v>
      </c>
      <c r="DZ34" s="10"/>
      <c r="EA34" s="10">
        <v>1</v>
      </c>
      <c r="EE34" s="10"/>
      <c r="EF34" s="10">
        <v>1</v>
      </c>
      <c r="EG34" s="10"/>
      <c r="EH34" s="10">
        <v>1</v>
      </c>
      <c r="EL34" s="10"/>
      <c r="EM34" s="10">
        <v>1</v>
      </c>
      <c r="EN34" s="10"/>
      <c r="EO34" s="10">
        <v>1</v>
      </c>
    </row>
    <row r="35" spans="2:145" ht="15" customHeight="1" x14ac:dyDescent="0.2"/>
    <row r="36" spans="2:145" x14ac:dyDescent="0.2">
      <c r="B36" t="s">
        <v>27</v>
      </c>
      <c r="C36" t="s">
        <v>124</v>
      </c>
      <c r="D36" s="19">
        <v>45866</v>
      </c>
      <c r="E36" s="9">
        <v>6</v>
      </c>
      <c r="G36" s="10">
        <f>+SUM(G37:G43)</f>
        <v>1</v>
      </c>
      <c r="I36" s="12">
        <f>+SUM(I37:I43)</f>
        <v>0</v>
      </c>
      <c r="J36" s="11">
        <f>+SUMPRODUCT(G37:G43,J37:J43)</f>
        <v>0</v>
      </c>
      <c r="K36" s="11">
        <f>+SUMPRODUCT(G37:G43,K37:K43)</f>
        <v>0</v>
      </c>
      <c r="L36" s="9"/>
      <c r="O36" s="12">
        <f>+SUM(O37:O43)</f>
        <v>0</v>
      </c>
      <c r="V36" s="12">
        <f>+SUM(V37:V43)</f>
        <v>0</v>
      </c>
      <c r="AC36" s="12">
        <f>+SUM(AC37:AC43)</f>
        <v>0</v>
      </c>
      <c r="AJ36" s="12">
        <f>+SUM(AJ37:AJ43)</f>
        <v>0</v>
      </c>
      <c r="AQ36" s="12">
        <f>+SUM(AQ37:AQ43)</f>
        <v>0</v>
      </c>
      <c r="AX36" s="12">
        <f>+SUM(AX37:AX43)</f>
        <v>0</v>
      </c>
      <c r="BE36" s="12">
        <f>+SUM(BE37:BE43)</f>
        <v>0</v>
      </c>
      <c r="BL36" s="12">
        <f>+SUM(BL37:BL43)</f>
        <v>0</v>
      </c>
      <c r="BS36" s="12">
        <f>+SUM(BS37:BS43)</f>
        <v>0</v>
      </c>
      <c r="BZ36" s="12">
        <f>+SUM(BZ37:BZ43)</f>
        <v>0</v>
      </c>
      <c r="CG36" s="12">
        <f>+SUM(CG37:CG43)</f>
        <v>0</v>
      </c>
      <c r="CN36" s="12">
        <f>+SUM(CN37:CN43)</f>
        <v>0</v>
      </c>
      <c r="CU36" s="12">
        <f>+SUM(CU37:CU43)</f>
        <v>0</v>
      </c>
      <c r="DB36" s="12">
        <f>+SUM(DB37:DB43)</f>
        <v>0</v>
      </c>
      <c r="DI36" s="12">
        <f>+SUM(DI37:DI43)</f>
        <v>0</v>
      </c>
      <c r="DP36" s="12">
        <f>+SUM(DP37:DP43)</f>
        <v>0</v>
      </c>
      <c r="DW36" s="12">
        <f>+SUM(DW37:DW43)</f>
        <v>0</v>
      </c>
      <c r="ED36" s="12">
        <f>+SUM(ED37:ED43)</f>
        <v>0</v>
      </c>
      <c r="EK36" s="12">
        <f>+SUM(EK37:EK43)</f>
        <v>0</v>
      </c>
    </row>
    <row r="37" spans="2:145" outlineLevel="1" x14ac:dyDescent="0.2">
      <c r="B37" t="s">
        <v>28</v>
      </c>
      <c r="C37" t="s">
        <v>124</v>
      </c>
      <c r="E37" s="9"/>
      <c r="F37" t="s">
        <v>30</v>
      </c>
      <c r="G37" s="10">
        <v>0.05</v>
      </c>
      <c r="I37" s="9">
        <f>+SUMIF($N$3:$ZT$3,I$3,$N37:$ZT37)</f>
        <v>0</v>
      </c>
      <c r="J37" s="11" cm="1">
        <f t="array" ref="J37">MAX(IF($N$3:$EB$3=$J$3,N37:EB37))</f>
        <v>0</v>
      </c>
      <c r="K37" s="11" cm="1">
        <f t="array" ref="K37">MAX(IF($N$3:$EB$3=$J$3,N37:EB37))</f>
        <v>0</v>
      </c>
      <c r="L37" s="9"/>
      <c r="P37" s="10"/>
      <c r="Q37" s="10">
        <v>0.5</v>
      </c>
      <c r="R37" s="10"/>
      <c r="S37" s="10">
        <v>0.5</v>
      </c>
      <c r="W37" s="10"/>
      <c r="X37" s="10">
        <v>0.5</v>
      </c>
      <c r="Y37" s="10"/>
      <c r="Z37" s="10">
        <v>0.5</v>
      </c>
      <c r="AD37" s="10"/>
      <c r="AE37" s="10">
        <v>0.8</v>
      </c>
      <c r="AF37" s="10"/>
      <c r="AG37" s="10">
        <v>0.8</v>
      </c>
      <c r="AK37" s="10"/>
      <c r="AL37" s="10">
        <v>0.8</v>
      </c>
      <c r="AM37" s="10"/>
      <c r="AN37" s="10">
        <v>0.8</v>
      </c>
      <c r="AR37" s="10"/>
      <c r="AS37" s="10">
        <v>0.8</v>
      </c>
      <c r="AT37" s="10"/>
      <c r="AU37" s="10">
        <v>0.8</v>
      </c>
      <c r="AY37" s="10"/>
      <c r="AZ37" s="10">
        <v>0.8</v>
      </c>
      <c r="BA37" s="10"/>
      <c r="BB37" s="10">
        <v>0.8</v>
      </c>
      <c r="BF37" s="10"/>
      <c r="BG37" s="10">
        <v>1</v>
      </c>
      <c r="BH37" s="10"/>
      <c r="BI37" s="10">
        <v>1</v>
      </c>
      <c r="BM37" s="10"/>
      <c r="BN37" s="10">
        <v>1</v>
      </c>
      <c r="BO37" s="10"/>
      <c r="BP37" s="10">
        <v>1</v>
      </c>
      <c r="BT37" s="10"/>
      <c r="BU37" s="10">
        <v>1</v>
      </c>
      <c r="BV37" s="10"/>
      <c r="BW37" s="10">
        <v>1</v>
      </c>
      <c r="CA37" s="10"/>
      <c r="CB37" s="10">
        <v>1</v>
      </c>
      <c r="CC37" s="10"/>
      <c r="CD37" s="10">
        <v>1</v>
      </c>
      <c r="CH37" s="10"/>
      <c r="CI37" s="10">
        <v>1</v>
      </c>
      <c r="CJ37" s="10"/>
      <c r="CK37" s="10">
        <v>1</v>
      </c>
      <c r="CO37" s="10"/>
      <c r="CP37" s="10">
        <v>1</v>
      </c>
      <c r="CQ37" s="10"/>
      <c r="CR37" s="10">
        <v>1</v>
      </c>
      <c r="CV37" s="10"/>
      <c r="CW37" s="10">
        <v>1</v>
      </c>
      <c r="CX37" s="10"/>
      <c r="CY37" s="10">
        <v>1</v>
      </c>
      <c r="DC37" s="10"/>
      <c r="DD37" s="10">
        <v>1</v>
      </c>
      <c r="DE37" s="10"/>
      <c r="DF37" s="10">
        <v>1</v>
      </c>
      <c r="DJ37" s="10"/>
      <c r="DK37" s="10">
        <v>1</v>
      </c>
      <c r="DL37" s="10"/>
      <c r="DM37" s="10">
        <v>1</v>
      </c>
      <c r="DQ37" s="10"/>
      <c r="DR37" s="10">
        <v>1</v>
      </c>
      <c r="DS37" s="10"/>
      <c r="DT37" s="10">
        <v>1</v>
      </c>
      <c r="DX37" s="10"/>
      <c r="DY37" s="10">
        <v>1</v>
      </c>
      <c r="DZ37" s="10"/>
      <c r="EA37" s="10">
        <v>1</v>
      </c>
      <c r="EE37" s="10"/>
      <c r="EF37" s="10">
        <v>1</v>
      </c>
      <c r="EG37" s="10"/>
      <c r="EH37" s="10">
        <v>1</v>
      </c>
      <c r="EL37" s="10"/>
      <c r="EM37" s="10">
        <v>1</v>
      </c>
      <c r="EN37" s="10"/>
      <c r="EO37" s="10">
        <v>1</v>
      </c>
    </row>
    <row r="38" spans="2:145" outlineLevel="1" x14ac:dyDescent="0.2">
      <c r="B38" t="s">
        <v>28</v>
      </c>
      <c r="C38" t="s">
        <v>124</v>
      </c>
      <c r="E38" s="9"/>
      <c r="F38" t="s">
        <v>125</v>
      </c>
      <c r="G38" s="10">
        <v>0.2</v>
      </c>
      <c r="I38" s="9">
        <f>+SUMIF($N$3:$ZT$3,I$3,$N38:$ZT38)</f>
        <v>0</v>
      </c>
      <c r="J38" s="11" cm="1">
        <f t="array" ref="J38">MAX(IF($N$3:$EB$3=$J$3,N38:EB38))</f>
        <v>0</v>
      </c>
      <c r="K38" s="11" cm="1">
        <f t="array" ref="K38">MAX(IF($N$3:$EB$3=$J$3,N38:EB38))</f>
        <v>0</v>
      </c>
      <c r="L38" s="9"/>
      <c r="P38" s="10"/>
      <c r="Q38" s="10">
        <v>0.1</v>
      </c>
      <c r="R38" s="10"/>
      <c r="S38" s="10">
        <v>0.1</v>
      </c>
      <c r="W38" s="10"/>
      <c r="X38" s="10">
        <v>0.5</v>
      </c>
      <c r="Y38" s="10"/>
      <c r="Z38" s="10">
        <v>0.5</v>
      </c>
      <c r="AD38" s="10"/>
      <c r="AE38" s="10">
        <v>0.5</v>
      </c>
      <c r="AF38" s="10"/>
      <c r="AG38" s="10">
        <v>0.5</v>
      </c>
      <c r="AK38" s="10"/>
      <c r="AL38" s="10">
        <v>0.8</v>
      </c>
      <c r="AM38" s="10"/>
      <c r="AN38" s="10">
        <v>0.8</v>
      </c>
      <c r="AR38" s="10"/>
      <c r="AS38" s="10">
        <v>0.8</v>
      </c>
      <c r="AT38" s="10"/>
      <c r="AU38" s="10">
        <v>0.8</v>
      </c>
      <c r="AY38" s="10"/>
      <c r="AZ38" s="10">
        <v>0.8</v>
      </c>
      <c r="BA38" s="10"/>
      <c r="BB38" s="10">
        <v>0.8</v>
      </c>
      <c r="BF38" s="10"/>
      <c r="BG38" s="10">
        <v>0.8</v>
      </c>
      <c r="BH38" s="10"/>
      <c r="BI38" s="10">
        <v>0.8</v>
      </c>
      <c r="BM38" s="10"/>
      <c r="BN38" s="10">
        <v>0.8</v>
      </c>
      <c r="BO38" s="10"/>
      <c r="BP38" s="10">
        <v>0.8</v>
      </c>
      <c r="BT38" s="10"/>
      <c r="BU38" s="10">
        <v>1</v>
      </c>
      <c r="BV38" s="10"/>
      <c r="BW38" s="10">
        <v>1</v>
      </c>
      <c r="CA38" s="10"/>
      <c r="CB38" s="10">
        <v>1</v>
      </c>
      <c r="CC38" s="10"/>
      <c r="CD38" s="10">
        <v>1</v>
      </c>
      <c r="CH38" s="10"/>
      <c r="CI38" s="10">
        <v>1</v>
      </c>
      <c r="CJ38" s="10"/>
      <c r="CK38" s="10">
        <v>1</v>
      </c>
      <c r="CO38" s="10"/>
      <c r="CP38" s="10">
        <v>1</v>
      </c>
      <c r="CQ38" s="10"/>
      <c r="CR38" s="10">
        <v>1</v>
      </c>
      <c r="CV38" s="10"/>
      <c r="CW38" s="10">
        <v>1</v>
      </c>
      <c r="CX38" s="10"/>
      <c r="CY38" s="10">
        <v>1</v>
      </c>
      <c r="DC38" s="10"/>
      <c r="DD38" s="10">
        <v>1</v>
      </c>
      <c r="DE38" s="10"/>
      <c r="DF38" s="10">
        <v>1</v>
      </c>
      <c r="DJ38" s="10"/>
      <c r="DK38" s="10">
        <v>1</v>
      </c>
      <c r="DL38" s="10"/>
      <c r="DM38" s="10">
        <v>1</v>
      </c>
      <c r="DQ38" s="10"/>
      <c r="DR38" s="10">
        <v>1</v>
      </c>
      <c r="DS38" s="10"/>
      <c r="DT38" s="10">
        <v>1</v>
      </c>
      <c r="DX38" s="10"/>
      <c r="DY38" s="10">
        <v>1</v>
      </c>
      <c r="DZ38" s="10"/>
      <c r="EA38" s="10">
        <v>1</v>
      </c>
      <c r="EE38" s="10"/>
      <c r="EF38" s="10">
        <v>1</v>
      </c>
      <c r="EG38" s="10"/>
      <c r="EH38" s="10">
        <v>1</v>
      </c>
      <c r="EL38" s="10"/>
      <c r="EM38" s="10">
        <v>1</v>
      </c>
      <c r="EN38" s="10"/>
      <c r="EO38" s="10">
        <v>1</v>
      </c>
    </row>
    <row r="39" spans="2:145" outlineLevel="1" x14ac:dyDescent="0.2">
      <c r="B39" t="s">
        <v>28</v>
      </c>
      <c r="C39" t="s">
        <v>124</v>
      </c>
      <c r="E39" s="9"/>
      <c r="F39" t="s">
        <v>126</v>
      </c>
      <c r="G39" s="10">
        <v>0.1</v>
      </c>
      <c r="I39" s="9">
        <f>+SUMIF($N$3:$ZT$3,I$3,$N39:$ZT39)</f>
        <v>0</v>
      </c>
      <c r="J39" s="11" cm="1">
        <f t="array" ref="J39">MAX(IF($N$3:$EB$3=$J$3,N39:EB39))</f>
        <v>0</v>
      </c>
      <c r="K39" s="11" cm="1">
        <f t="array" ref="K39">MAX(IF($N$3:$EB$3=$J$3,N39:EB39))</f>
        <v>0</v>
      </c>
      <c r="L39" s="9"/>
      <c r="P39" s="10"/>
      <c r="Q39" s="10"/>
      <c r="R39" s="10"/>
      <c r="S39" s="10"/>
      <c r="W39" s="10"/>
      <c r="X39" s="10"/>
      <c r="Y39" s="10"/>
      <c r="Z39" s="10"/>
      <c r="AD39" s="10"/>
      <c r="AE39" s="10"/>
      <c r="AF39" s="10"/>
      <c r="AG39" s="10"/>
      <c r="AK39" s="10"/>
      <c r="AL39" s="10">
        <v>0.5</v>
      </c>
      <c r="AM39" s="10"/>
      <c r="AN39" s="10">
        <v>0.5</v>
      </c>
      <c r="AR39" s="10"/>
      <c r="AS39" s="10">
        <v>0.8</v>
      </c>
      <c r="AT39" s="10"/>
      <c r="AU39" s="10">
        <v>0.8</v>
      </c>
      <c r="AY39" s="10"/>
      <c r="AZ39" s="10">
        <v>0.8</v>
      </c>
      <c r="BA39" s="10"/>
      <c r="BB39" s="10">
        <v>0.8</v>
      </c>
      <c r="BF39" s="10"/>
      <c r="BG39" s="10">
        <v>0.8</v>
      </c>
      <c r="BH39" s="10"/>
      <c r="BI39" s="10">
        <v>0.8</v>
      </c>
      <c r="BM39" s="10"/>
      <c r="BN39" s="10">
        <v>0.8</v>
      </c>
      <c r="BO39" s="10"/>
      <c r="BP39" s="10">
        <v>0.8</v>
      </c>
      <c r="BT39" s="10"/>
      <c r="BU39" s="10">
        <v>0.8</v>
      </c>
      <c r="BV39" s="10"/>
      <c r="BW39" s="10">
        <v>0.8</v>
      </c>
      <c r="CA39" s="10"/>
      <c r="CB39" s="10">
        <v>0.8</v>
      </c>
      <c r="CC39" s="10"/>
      <c r="CD39" s="10">
        <v>0.8</v>
      </c>
      <c r="CH39" s="10"/>
      <c r="CI39" s="10">
        <v>1</v>
      </c>
      <c r="CJ39" s="10"/>
      <c r="CK39" s="10">
        <v>1</v>
      </c>
      <c r="CO39" s="10"/>
      <c r="CP39" s="10">
        <v>1</v>
      </c>
      <c r="CQ39" s="10"/>
      <c r="CR39" s="10">
        <v>1</v>
      </c>
      <c r="CV39" s="10"/>
      <c r="CW39" s="10">
        <v>1</v>
      </c>
      <c r="CX39" s="10"/>
      <c r="CY39" s="10">
        <v>1</v>
      </c>
      <c r="DC39" s="10"/>
      <c r="DD39" s="10">
        <v>1</v>
      </c>
      <c r="DE39" s="10"/>
      <c r="DF39" s="10">
        <v>1</v>
      </c>
      <c r="DJ39" s="10"/>
      <c r="DK39" s="10">
        <v>1</v>
      </c>
      <c r="DL39" s="10"/>
      <c r="DM39" s="10">
        <v>1</v>
      </c>
      <c r="DQ39" s="10"/>
      <c r="DR39" s="10">
        <v>1</v>
      </c>
      <c r="DS39" s="10"/>
      <c r="DT39" s="10">
        <v>1</v>
      </c>
      <c r="DX39" s="10"/>
      <c r="DY39" s="10">
        <v>1</v>
      </c>
      <c r="DZ39" s="10"/>
      <c r="EA39" s="10">
        <v>1</v>
      </c>
      <c r="EE39" s="10"/>
      <c r="EF39" s="10">
        <v>1</v>
      </c>
      <c r="EG39" s="10"/>
      <c r="EH39" s="10">
        <v>1</v>
      </c>
      <c r="EL39" s="10"/>
      <c r="EM39" s="10">
        <v>1</v>
      </c>
      <c r="EN39" s="10"/>
      <c r="EO39" s="10">
        <v>1</v>
      </c>
    </row>
    <row r="40" spans="2:145" outlineLevel="1" x14ac:dyDescent="0.2">
      <c r="B40" t="s">
        <v>28</v>
      </c>
      <c r="C40" t="s">
        <v>124</v>
      </c>
      <c r="E40" s="9"/>
      <c r="F40" t="s">
        <v>127</v>
      </c>
      <c r="G40" s="10">
        <v>0.1</v>
      </c>
      <c r="I40" s="9">
        <f>+SUMIF($N$3:$ZT$3,I$3,$N40:$ZT40)</f>
        <v>0</v>
      </c>
      <c r="J40" s="11" cm="1">
        <f t="array" ref="J40">MAX(IF($N$3:$EB$3=$J$3,N40:EB40))</f>
        <v>0</v>
      </c>
      <c r="K40" s="11" cm="1">
        <f t="array" ref="K40">MAX(IF($N$3:$EB$3=$J$3,N40:EB40))</f>
        <v>0</v>
      </c>
      <c r="L40" s="9"/>
      <c r="P40" s="10"/>
      <c r="Q40" s="10"/>
      <c r="R40" s="10"/>
      <c r="S40" s="10"/>
      <c r="W40" s="10"/>
      <c r="X40" s="10"/>
      <c r="Y40" s="10"/>
      <c r="Z40" s="10"/>
      <c r="AD40" s="10"/>
      <c r="AE40" s="10"/>
      <c r="AF40" s="10"/>
      <c r="AG40" s="10"/>
      <c r="AK40" s="10"/>
      <c r="AL40" s="10">
        <v>0.5</v>
      </c>
      <c r="AM40" s="10"/>
      <c r="AN40" s="10">
        <v>0.5</v>
      </c>
      <c r="AR40" s="10"/>
      <c r="AS40" s="10">
        <v>0.5</v>
      </c>
      <c r="AT40" s="10"/>
      <c r="AU40" s="10">
        <v>0.5</v>
      </c>
      <c r="AY40" s="10"/>
      <c r="AZ40" s="10">
        <v>0.5</v>
      </c>
      <c r="BA40" s="10"/>
      <c r="BB40" s="10">
        <v>0.5</v>
      </c>
      <c r="BF40" s="10"/>
      <c r="BG40" s="10">
        <v>0.5</v>
      </c>
      <c r="BH40" s="10"/>
      <c r="BI40" s="10">
        <v>0.5</v>
      </c>
      <c r="BM40" s="10"/>
      <c r="BN40" s="10">
        <v>0.8</v>
      </c>
      <c r="BO40" s="10"/>
      <c r="BP40" s="10">
        <v>0.8</v>
      </c>
      <c r="BT40" s="10"/>
      <c r="BU40" s="10">
        <v>0.8</v>
      </c>
      <c r="BV40" s="10"/>
      <c r="BW40" s="10">
        <v>0.8</v>
      </c>
      <c r="CA40" s="10"/>
      <c r="CB40" s="10">
        <v>0.8</v>
      </c>
      <c r="CC40" s="10"/>
      <c r="CD40" s="10">
        <v>0.8</v>
      </c>
      <c r="CH40" s="10"/>
      <c r="CI40" s="10">
        <v>1</v>
      </c>
      <c r="CJ40" s="10"/>
      <c r="CK40" s="10">
        <v>1</v>
      </c>
      <c r="CO40" s="10"/>
      <c r="CP40" s="10">
        <v>1</v>
      </c>
      <c r="CQ40" s="10"/>
      <c r="CR40" s="10">
        <v>1</v>
      </c>
      <c r="CV40" s="10"/>
      <c r="CW40" s="10">
        <v>1</v>
      </c>
      <c r="CX40" s="10"/>
      <c r="CY40" s="10">
        <v>1</v>
      </c>
      <c r="DC40" s="10"/>
      <c r="DD40" s="10">
        <v>1</v>
      </c>
      <c r="DE40" s="10"/>
      <c r="DF40" s="10">
        <v>1</v>
      </c>
      <c r="DJ40" s="10"/>
      <c r="DK40" s="10">
        <v>1</v>
      </c>
      <c r="DL40" s="10"/>
      <c r="DM40" s="10">
        <v>1</v>
      </c>
      <c r="DQ40" s="10"/>
      <c r="DR40" s="10">
        <v>1</v>
      </c>
      <c r="DS40" s="10"/>
      <c r="DT40" s="10">
        <v>1</v>
      </c>
      <c r="DX40" s="10"/>
      <c r="DY40" s="10">
        <v>1</v>
      </c>
      <c r="DZ40" s="10"/>
      <c r="EA40" s="10">
        <v>1</v>
      </c>
      <c r="EE40" s="10"/>
      <c r="EF40" s="10">
        <v>1</v>
      </c>
      <c r="EG40" s="10"/>
      <c r="EH40" s="10">
        <v>1</v>
      </c>
      <c r="EL40" s="10"/>
      <c r="EM40" s="10">
        <v>1</v>
      </c>
      <c r="EN40" s="10"/>
      <c r="EO40" s="10">
        <v>1</v>
      </c>
    </row>
    <row r="41" spans="2:145" outlineLevel="1" x14ac:dyDescent="0.2">
      <c r="B41" t="s">
        <v>28</v>
      </c>
      <c r="C41" t="s">
        <v>124</v>
      </c>
      <c r="E41" s="9"/>
      <c r="F41" t="s">
        <v>128</v>
      </c>
      <c r="G41" s="10">
        <v>0.15</v>
      </c>
      <c r="I41" s="9">
        <f>+SUMIF($N$3:$ZT$3,I$3,$N41:$ZT41)</f>
        <v>0</v>
      </c>
      <c r="J41" s="11" cm="1">
        <f t="array" ref="J41">MAX(IF($N$3:$EB$3=$J$3,N41:EB41))</f>
        <v>0</v>
      </c>
      <c r="K41" s="11" cm="1">
        <f t="array" ref="K41">MAX(IF($N$3:$EB$3=$J$3,N41:EB41))</f>
        <v>0</v>
      </c>
      <c r="L41" s="9"/>
      <c r="P41" s="10"/>
      <c r="Q41" s="10"/>
      <c r="R41" s="10"/>
      <c r="S41" s="10"/>
      <c r="W41" s="10"/>
      <c r="X41" s="10"/>
      <c r="Y41" s="10"/>
      <c r="Z41" s="10"/>
      <c r="AD41" s="10"/>
      <c r="AE41" s="10"/>
      <c r="AF41" s="10"/>
      <c r="AG41" s="10"/>
      <c r="AK41" s="10"/>
      <c r="AL41" s="10"/>
      <c r="AM41" s="10"/>
      <c r="AN41" s="10"/>
      <c r="AR41" s="10"/>
      <c r="AS41" s="10"/>
      <c r="AT41" s="10"/>
      <c r="AU41" s="10"/>
      <c r="AY41" s="10"/>
      <c r="AZ41" s="10">
        <v>0.5</v>
      </c>
      <c r="BA41" s="10"/>
      <c r="BB41" s="10">
        <v>0.5</v>
      </c>
      <c r="BF41" s="10"/>
      <c r="BG41" s="10">
        <v>0.5</v>
      </c>
      <c r="BH41" s="10"/>
      <c r="BI41" s="10">
        <v>0.5</v>
      </c>
      <c r="BM41" s="10"/>
      <c r="BN41" s="10">
        <v>0.8</v>
      </c>
      <c r="BO41" s="10"/>
      <c r="BP41" s="10">
        <v>0.8</v>
      </c>
      <c r="BT41" s="10"/>
      <c r="BU41" s="10">
        <v>0.8</v>
      </c>
      <c r="BV41" s="10"/>
      <c r="BW41" s="10">
        <v>0.8</v>
      </c>
      <c r="CA41" s="10"/>
      <c r="CB41" s="10">
        <v>0.8</v>
      </c>
      <c r="CC41" s="10"/>
      <c r="CD41" s="10">
        <v>0.8</v>
      </c>
      <c r="CH41" s="10"/>
      <c r="CI41" s="10">
        <v>0.8</v>
      </c>
      <c r="CJ41" s="10"/>
      <c r="CK41" s="10">
        <v>0.8</v>
      </c>
      <c r="CO41" s="10"/>
      <c r="CP41" s="10">
        <v>1</v>
      </c>
      <c r="CQ41" s="10"/>
      <c r="CR41" s="10">
        <v>1</v>
      </c>
      <c r="CV41" s="10"/>
      <c r="CW41" s="10">
        <v>1</v>
      </c>
      <c r="CX41" s="10"/>
      <c r="CY41" s="10">
        <v>1</v>
      </c>
      <c r="DC41" s="10"/>
      <c r="DD41" s="10">
        <v>1</v>
      </c>
      <c r="DE41" s="10"/>
      <c r="DF41" s="10">
        <v>1</v>
      </c>
      <c r="DJ41" s="10"/>
      <c r="DK41" s="10">
        <v>1</v>
      </c>
      <c r="DL41" s="10"/>
      <c r="DM41" s="10">
        <v>1</v>
      </c>
      <c r="DQ41" s="10"/>
      <c r="DR41" s="10">
        <v>1</v>
      </c>
      <c r="DS41" s="10"/>
      <c r="DT41" s="10">
        <v>1</v>
      </c>
      <c r="DX41" s="10"/>
      <c r="DY41" s="10">
        <v>1</v>
      </c>
      <c r="DZ41" s="10"/>
      <c r="EA41" s="10">
        <v>1</v>
      </c>
      <c r="EE41" s="10"/>
      <c r="EF41" s="10">
        <v>1</v>
      </c>
      <c r="EG41" s="10"/>
      <c r="EH41" s="10">
        <v>1</v>
      </c>
      <c r="EL41" s="10"/>
      <c r="EM41" s="10">
        <v>1</v>
      </c>
      <c r="EN41" s="10"/>
      <c r="EO41" s="10">
        <v>1</v>
      </c>
    </row>
    <row r="42" spans="2:145" outlineLevel="1" x14ac:dyDescent="0.2">
      <c r="B42" t="s">
        <v>28</v>
      </c>
      <c r="C42" t="s">
        <v>124</v>
      </c>
      <c r="E42" s="9"/>
      <c r="F42" t="s">
        <v>129</v>
      </c>
      <c r="G42" s="10">
        <v>0.2</v>
      </c>
      <c r="I42" s="9">
        <f>+SUMIF($N$3:$ZT$3,I$3,$N42:$ZT42)</f>
        <v>0</v>
      </c>
      <c r="J42" s="11" cm="1">
        <f t="array" ref="J42">MAX(IF($N$3:$EB$3=$J$3,N42:EB42))</f>
        <v>0</v>
      </c>
      <c r="K42" s="11" cm="1">
        <f t="array" ref="K42">MAX(IF($N$3:$EB$3=$J$3,N42:EB42))</f>
        <v>0</v>
      </c>
      <c r="L42" s="9"/>
      <c r="P42" s="10"/>
      <c r="Q42" s="10"/>
      <c r="R42" s="10"/>
      <c r="S42" s="10"/>
      <c r="W42" s="10"/>
      <c r="X42" s="10"/>
      <c r="Y42" s="10"/>
      <c r="Z42" s="10"/>
      <c r="AD42" s="10"/>
      <c r="AE42" s="10"/>
      <c r="AF42" s="10"/>
      <c r="AG42" s="10"/>
      <c r="AK42" s="10"/>
      <c r="AL42" s="10"/>
      <c r="AM42" s="10"/>
      <c r="AN42" s="10"/>
      <c r="AR42" s="10"/>
      <c r="AS42" s="10"/>
      <c r="AT42" s="10"/>
      <c r="AU42" s="10"/>
      <c r="AY42" s="10"/>
      <c r="AZ42" s="10"/>
      <c r="BA42" s="10"/>
      <c r="BB42" s="10"/>
      <c r="BF42" s="10"/>
      <c r="BG42" s="10">
        <v>0.5</v>
      </c>
      <c r="BH42" s="10"/>
      <c r="BI42" s="10">
        <v>0.5</v>
      </c>
      <c r="BM42" s="10"/>
      <c r="BN42" s="10">
        <v>0.5</v>
      </c>
      <c r="BO42" s="10"/>
      <c r="BP42" s="10">
        <v>0.5</v>
      </c>
      <c r="BT42" s="10"/>
      <c r="BU42" s="10">
        <v>0.8</v>
      </c>
      <c r="BV42" s="10"/>
      <c r="BW42" s="10">
        <v>0.8</v>
      </c>
      <c r="CA42" s="10"/>
      <c r="CB42" s="10">
        <v>0.8</v>
      </c>
      <c r="CC42" s="10"/>
      <c r="CD42" s="10">
        <v>0.8</v>
      </c>
      <c r="CH42" s="10"/>
      <c r="CI42" s="10">
        <v>0.8</v>
      </c>
      <c r="CJ42" s="10"/>
      <c r="CK42" s="10">
        <v>0.8</v>
      </c>
      <c r="CO42" s="10"/>
      <c r="CP42" s="10">
        <v>1</v>
      </c>
      <c r="CQ42" s="10"/>
      <c r="CR42" s="10">
        <v>1</v>
      </c>
      <c r="CV42" s="10"/>
      <c r="CW42" s="10">
        <v>1</v>
      </c>
      <c r="CX42" s="10"/>
      <c r="CY42" s="10">
        <v>1</v>
      </c>
      <c r="DC42" s="10"/>
      <c r="DD42" s="10">
        <v>1</v>
      </c>
      <c r="DE42" s="10"/>
      <c r="DF42" s="10">
        <v>1</v>
      </c>
      <c r="DJ42" s="10"/>
      <c r="DK42" s="10">
        <v>1</v>
      </c>
      <c r="DL42" s="10"/>
      <c r="DM42" s="10">
        <v>1</v>
      </c>
      <c r="DQ42" s="10"/>
      <c r="DR42" s="10">
        <v>1</v>
      </c>
      <c r="DS42" s="10"/>
      <c r="DT42" s="10">
        <v>1</v>
      </c>
      <c r="DX42" s="10"/>
      <c r="DY42" s="10">
        <v>1</v>
      </c>
      <c r="DZ42" s="10"/>
      <c r="EA42" s="10">
        <v>1</v>
      </c>
      <c r="EE42" s="10"/>
      <c r="EF42" s="10">
        <v>1</v>
      </c>
      <c r="EG42" s="10"/>
      <c r="EH42" s="10">
        <v>1</v>
      </c>
      <c r="EL42" s="10"/>
      <c r="EM42" s="10">
        <v>1</v>
      </c>
      <c r="EN42" s="10"/>
      <c r="EO42" s="10">
        <v>1</v>
      </c>
    </row>
    <row r="43" spans="2:145" outlineLevel="1" x14ac:dyDescent="0.2">
      <c r="B43" t="s">
        <v>28</v>
      </c>
      <c r="C43" t="s">
        <v>124</v>
      </c>
      <c r="E43" s="9"/>
      <c r="F43" t="s">
        <v>130</v>
      </c>
      <c r="G43" s="10">
        <v>0.2</v>
      </c>
      <c r="I43" s="9">
        <f>+SUMIF($N$3:$ZT$3,I$3,$N43:$ZT43)</f>
        <v>0</v>
      </c>
      <c r="J43" s="11" cm="1">
        <f t="array" ref="J43">MAX(IF($N$3:$EB$3=$J$3,N43:EB43))</f>
        <v>0</v>
      </c>
      <c r="K43" s="11" cm="1">
        <f t="array" ref="K43">MAX(IF($N$3:$EB$3=$J$3,N43:EB43))</f>
        <v>0</v>
      </c>
      <c r="L43" s="9"/>
      <c r="P43" s="10"/>
      <c r="Q43" s="10"/>
      <c r="R43" s="10"/>
      <c r="S43" s="10"/>
      <c r="W43" s="10"/>
      <c r="X43" s="10"/>
      <c r="Y43" s="10"/>
      <c r="Z43" s="10"/>
      <c r="AD43" s="10"/>
      <c r="AE43" s="10"/>
      <c r="AF43" s="10"/>
      <c r="AG43" s="10"/>
      <c r="AK43" s="10"/>
      <c r="AL43" s="10"/>
      <c r="AM43" s="10"/>
      <c r="AN43" s="10"/>
      <c r="AR43" s="10"/>
      <c r="AS43" s="10"/>
      <c r="AT43" s="10"/>
      <c r="AU43" s="10"/>
      <c r="AY43" s="10"/>
      <c r="AZ43" s="10"/>
      <c r="BA43" s="10"/>
      <c r="BB43" s="10"/>
      <c r="BF43" s="10"/>
      <c r="BG43" s="10">
        <v>0.5</v>
      </c>
      <c r="BH43" s="10"/>
      <c r="BI43" s="10">
        <v>0.5</v>
      </c>
      <c r="BM43" s="10"/>
      <c r="BN43" s="10">
        <v>0.5</v>
      </c>
      <c r="BO43" s="10"/>
      <c r="BP43" s="10">
        <v>0.5</v>
      </c>
      <c r="BT43" s="10"/>
      <c r="BU43" s="10">
        <v>0.5</v>
      </c>
      <c r="BV43" s="10"/>
      <c r="BW43" s="10">
        <v>0.5</v>
      </c>
      <c r="CA43" s="10"/>
      <c r="CB43" s="10">
        <v>0.8</v>
      </c>
      <c r="CC43" s="10"/>
      <c r="CD43" s="10">
        <v>0.8</v>
      </c>
      <c r="CH43" s="10"/>
      <c r="CI43" s="10">
        <v>0.8</v>
      </c>
      <c r="CJ43" s="10"/>
      <c r="CK43" s="10">
        <v>0.8</v>
      </c>
      <c r="CO43" s="10"/>
      <c r="CP43" s="10">
        <v>1</v>
      </c>
      <c r="CQ43" s="10"/>
      <c r="CR43" s="10">
        <v>1</v>
      </c>
      <c r="CV43" s="10"/>
      <c r="CW43" s="10">
        <v>1</v>
      </c>
      <c r="CX43" s="10"/>
      <c r="CY43" s="10">
        <v>1</v>
      </c>
      <c r="DC43" s="10"/>
      <c r="DD43" s="10">
        <v>1</v>
      </c>
      <c r="DE43" s="10"/>
      <c r="DF43" s="10">
        <v>1</v>
      </c>
      <c r="DJ43" s="10"/>
      <c r="DK43" s="10">
        <v>1</v>
      </c>
      <c r="DL43" s="10"/>
      <c r="DM43" s="10">
        <v>1</v>
      </c>
      <c r="DQ43" s="10"/>
      <c r="DR43" s="10">
        <v>1</v>
      </c>
      <c r="DS43" s="10"/>
      <c r="DT43" s="10">
        <v>1</v>
      </c>
      <c r="DX43" s="10"/>
      <c r="DY43" s="10">
        <v>1</v>
      </c>
      <c r="DZ43" s="10"/>
      <c r="EA43" s="10">
        <v>1</v>
      </c>
      <c r="EE43" s="10"/>
      <c r="EF43" s="10">
        <v>1</v>
      </c>
      <c r="EG43" s="10"/>
      <c r="EH43" s="10">
        <v>1</v>
      </c>
      <c r="EL43" s="10"/>
      <c r="EM43" s="10">
        <v>1</v>
      </c>
      <c r="EN43" s="10"/>
      <c r="EO43" s="10">
        <v>1</v>
      </c>
    </row>
    <row r="45" spans="2:145" x14ac:dyDescent="0.2">
      <c r="B45" t="s">
        <v>27</v>
      </c>
      <c r="C45" t="s">
        <v>131</v>
      </c>
      <c r="D45" s="19">
        <v>45877</v>
      </c>
      <c r="E45" s="9">
        <v>6</v>
      </c>
      <c r="G45" s="10">
        <f>+SUM(G46:G57)</f>
        <v>0</v>
      </c>
      <c r="I45" s="12">
        <f>+SUM(I46:I54)</f>
        <v>0</v>
      </c>
      <c r="J45" s="11">
        <f>+SUMPRODUCT(G46:G57,J46:J57)</f>
        <v>0</v>
      </c>
      <c r="K45" s="11">
        <f>+SUMPRODUCT(G46:G57,K46:K57)</f>
        <v>0</v>
      </c>
      <c r="L45" s="9"/>
      <c r="O45" s="12">
        <f>+SUM(O46:O54)</f>
        <v>0</v>
      </c>
      <c r="V45" s="12">
        <f>+SUM(V46:V54)</f>
        <v>0</v>
      </c>
      <c r="AC45" s="12">
        <f>+SUM(AC46:AC54)</f>
        <v>0</v>
      </c>
      <c r="AJ45" s="12">
        <f>+SUM(AJ46:AJ54)</f>
        <v>0</v>
      </c>
      <c r="AQ45" s="12">
        <f>+SUM(AQ46:AQ54)</f>
        <v>0</v>
      </c>
      <c r="AX45" s="12">
        <f>+SUM(AX46:AX54)</f>
        <v>0</v>
      </c>
      <c r="BE45" s="12">
        <f>+SUM(BE46:BE54)</f>
        <v>0</v>
      </c>
      <c r="BL45" s="12">
        <f>+SUM(BL46:BL54)</f>
        <v>0</v>
      </c>
      <c r="BS45" s="12">
        <f>+SUM(BS46:BS54)</f>
        <v>0</v>
      </c>
      <c r="BZ45" s="12">
        <f>+SUM(BZ46:BZ54)</f>
        <v>0</v>
      </c>
      <c r="CG45" s="12">
        <f>+SUM(CG46:CG54)</f>
        <v>0</v>
      </c>
      <c r="CN45" s="12">
        <f>+SUM(CN46:CN54)</f>
        <v>0</v>
      </c>
      <c r="CU45" s="12">
        <f>+SUM(CU46:CU54)</f>
        <v>0</v>
      </c>
      <c r="DB45" s="12">
        <f>+SUM(DB46:DB54)</f>
        <v>0</v>
      </c>
      <c r="DI45" s="12">
        <f>+SUM(DI46:DI54)</f>
        <v>0</v>
      </c>
      <c r="DP45" s="12">
        <f>+SUM(DP46:DP54)</f>
        <v>0</v>
      </c>
      <c r="DW45" s="12">
        <f>+SUM(DW46:DW54)</f>
        <v>0</v>
      </c>
      <c r="ED45" s="12">
        <f>+SUM(ED46:ED54)</f>
        <v>0</v>
      </c>
      <c r="EK45" s="12">
        <f>+SUM(EK46:EK54)</f>
        <v>0</v>
      </c>
    </row>
    <row r="46" spans="2:145" outlineLevel="1" x14ac:dyDescent="0.2">
      <c r="B46" t="s">
        <v>28</v>
      </c>
      <c r="C46" t="s">
        <v>131</v>
      </c>
      <c r="E46" s="9"/>
      <c r="F46" t="s">
        <v>157</v>
      </c>
      <c r="G46" s="10">
        <v>0</v>
      </c>
      <c r="I46" s="9">
        <f>+SUMIF($N$3:$ZT$3,I$3,$N46:$ZT46)</f>
        <v>0</v>
      </c>
      <c r="J46" s="11" cm="1">
        <f t="array" ref="J46">MAX(IF($N$3:$EB$3=$J$3,N46:EB46))</f>
        <v>0</v>
      </c>
      <c r="K46" s="11" cm="1">
        <f t="array" ref="K46">MAX(IF($N$3:$EB$3=$J$3,N46:EB46))</f>
        <v>0</v>
      </c>
      <c r="L46" s="9"/>
      <c r="P46" s="10"/>
      <c r="Q46" s="10">
        <v>0.5</v>
      </c>
      <c r="R46" s="10"/>
      <c r="S46" s="10">
        <v>0.5</v>
      </c>
      <c r="W46" s="10"/>
      <c r="X46" s="10">
        <v>0.5</v>
      </c>
      <c r="Y46" s="10"/>
      <c r="Z46" s="10">
        <v>0.5</v>
      </c>
      <c r="AD46" s="10"/>
      <c r="AE46" s="10">
        <v>0.8</v>
      </c>
      <c r="AF46" s="10"/>
      <c r="AG46" s="10">
        <v>0.8</v>
      </c>
      <c r="AK46" s="10"/>
      <c r="AL46" s="10">
        <v>0.8</v>
      </c>
      <c r="AM46" s="10"/>
      <c r="AN46" s="10">
        <v>0.8</v>
      </c>
      <c r="AR46" s="10"/>
      <c r="AS46" s="10">
        <v>0.8</v>
      </c>
      <c r="AT46" s="10"/>
      <c r="AU46" s="10">
        <v>0.8</v>
      </c>
      <c r="AY46" s="10"/>
      <c r="AZ46" s="10">
        <v>0.8</v>
      </c>
      <c r="BA46" s="10"/>
      <c r="BB46" s="10">
        <v>0.8</v>
      </c>
      <c r="BF46" s="10"/>
      <c r="BG46" s="10">
        <v>1</v>
      </c>
      <c r="BH46" s="10"/>
      <c r="BI46" s="10">
        <v>1</v>
      </c>
      <c r="BM46" s="10"/>
      <c r="BN46" s="10">
        <v>1</v>
      </c>
      <c r="BO46" s="10"/>
      <c r="BP46" s="10">
        <v>1</v>
      </c>
      <c r="BT46" s="10"/>
      <c r="BU46" s="10">
        <v>1</v>
      </c>
      <c r="BV46" s="10"/>
      <c r="BW46" s="10">
        <v>1</v>
      </c>
      <c r="CA46" s="10"/>
      <c r="CB46" s="10">
        <v>1</v>
      </c>
      <c r="CC46" s="10"/>
      <c r="CD46" s="10">
        <v>1</v>
      </c>
      <c r="CH46" s="10"/>
      <c r="CI46" s="10">
        <v>1</v>
      </c>
      <c r="CJ46" s="10"/>
      <c r="CK46" s="10">
        <v>1</v>
      </c>
      <c r="CO46" s="10"/>
      <c r="CP46" s="10">
        <v>1</v>
      </c>
      <c r="CQ46" s="10"/>
      <c r="CR46" s="10">
        <v>1</v>
      </c>
      <c r="CV46" s="10"/>
      <c r="CW46" s="10">
        <v>1</v>
      </c>
      <c r="CX46" s="10"/>
      <c r="CY46" s="10">
        <v>1</v>
      </c>
      <c r="DC46" s="10"/>
      <c r="DD46" s="10">
        <v>1</v>
      </c>
      <c r="DE46" s="10"/>
      <c r="DF46" s="10">
        <v>1</v>
      </c>
      <c r="DJ46" s="10"/>
      <c r="DK46" s="10">
        <v>1</v>
      </c>
      <c r="DL46" s="10"/>
      <c r="DM46" s="10">
        <v>1</v>
      </c>
      <c r="DQ46" s="10"/>
      <c r="DR46" s="10">
        <v>1</v>
      </c>
      <c r="DS46" s="10"/>
      <c r="DT46" s="10">
        <v>1</v>
      </c>
      <c r="DX46" s="10"/>
      <c r="DY46" s="10">
        <v>1</v>
      </c>
      <c r="DZ46" s="10"/>
      <c r="EA46" s="10">
        <v>1</v>
      </c>
      <c r="EE46" s="10"/>
      <c r="EF46" s="10">
        <v>1</v>
      </c>
      <c r="EG46" s="10"/>
      <c r="EH46" s="10">
        <v>1</v>
      </c>
      <c r="EL46" s="10"/>
      <c r="EM46" s="10">
        <v>1</v>
      </c>
      <c r="EN46" s="10"/>
      <c r="EO46" s="10">
        <v>1</v>
      </c>
    </row>
    <row r="47" spans="2:145" outlineLevel="1" x14ac:dyDescent="0.2">
      <c r="B47" t="s">
        <v>28</v>
      </c>
      <c r="C47" t="s">
        <v>131</v>
      </c>
      <c r="E47" s="9"/>
      <c r="F47" t="s">
        <v>158</v>
      </c>
      <c r="G47" s="10">
        <v>0</v>
      </c>
      <c r="I47" s="9">
        <f>+SUMIF($N$3:$ZT$3,I$3,$N47:$ZT47)</f>
        <v>0</v>
      </c>
      <c r="J47" s="11" cm="1">
        <f t="array" ref="J47">MAX(IF($N$3:$EB$3=$J$3,N47:EB47))</f>
        <v>0</v>
      </c>
      <c r="K47" s="11" cm="1">
        <f t="array" ref="K47">MAX(IF($N$3:$EB$3=$J$3,N47:EB47))</f>
        <v>0</v>
      </c>
      <c r="L47" s="9"/>
      <c r="P47" s="10"/>
      <c r="Q47" s="10">
        <v>0.5</v>
      </c>
      <c r="R47" s="10"/>
      <c r="S47" s="10">
        <v>0.5</v>
      </c>
      <c r="W47" s="10"/>
      <c r="X47" s="10">
        <v>0.5</v>
      </c>
      <c r="Y47" s="10"/>
      <c r="Z47" s="10">
        <v>0.5</v>
      </c>
      <c r="AD47" s="10"/>
      <c r="AE47" s="10">
        <v>0.8</v>
      </c>
      <c r="AF47" s="10"/>
      <c r="AG47" s="10">
        <v>0.8</v>
      </c>
      <c r="AK47" s="10"/>
      <c r="AL47" s="10">
        <v>0.8</v>
      </c>
      <c r="AM47" s="10"/>
      <c r="AN47" s="10">
        <v>0.8</v>
      </c>
      <c r="AR47" s="10"/>
      <c r="AS47" s="10">
        <v>0.8</v>
      </c>
      <c r="AT47" s="10"/>
      <c r="AU47" s="10">
        <v>0.8</v>
      </c>
      <c r="AY47" s="10"/>
      <c r="AZ47" s="10">
        <v>0.8</v>
      </c>
      <c r="BA47" s="10"/>
      <c r="BB47" s="10">
        <v>0.8</v>
      </c>
      <c r="BF47" s="10"/>
      <c r="BG47" s="10">
        <v>0.8</v>
      </c>
      <c r="BH47" s="10"/>
      <c r="BI47" s="10">
        <v>0.8</v>
      </c>
      <c r="BM47" s="10"/>
      <c r="BN47" s="10">
        <v>1</v>
      </c>
      <c r="BO47" s="10"/>
      <c r="BP47" s="10">
        <v>1</v>
      </c>
      <c r="BT47" s="10"/>
      <c r="BU47" s="10">
        <v>1</v>
      </c>
      <c r="BV47" s="10"/>
      <c r="BW47" s="10">
        <v>1</v>
      </c>
      <c r="CA47" s="10"/>
      <c r="CB47" s="10">
        <v>1</v>
      </c>
      <c r="CC47" s="10"/>
      <c r="CD47" s="10">
        <v>1</v>
      </c>
      <c r="CH47" s="10"/>
      <c r="CI47" s="10">
        <v>1</v>
      </c>
      <c r="CJ47" s="10"/>
      <c r="CK47" s="10">
        <v>1</v>
      </c>
      <c r="CO47" s="10"/>
      <c r="CP47" s="10">
        <v>1</v>
      </c>
      <c r="CQ47" s="10"/>
      <c r="CR47" s="10">
        <v>1</v>
      </c>
      <c r="CV47" s="10"/>
      <c r="CW47" s="10">
        <v>1</v>
      </c>
      <c r="CX47" s="10"/>
      <c r="CY47" s="10">
        <v>1</v>
      </c>
      <c r="DC47" s="10"/>
      <c r="DD47" s="10">
        <v>1</v>
      </c>
      <c r="DE47" s="10"/>
      <c r="DF47" s="10">
        <v>1</v>
      </c>
      <c r="DJ47" s="10"/>
      <c r="DK47" s="10">
        <v>1</v>
      </c>
      <c r="DL47" s="10"/>
      <c r="DM47" s="10">
        <v>1</v>
      </c>
      <c r="DQ47" s="10"/>
      <c r="DR47" s="10">
        <v>1</v>
      </c>
      <c r="DS47" s="10"/>
      <c r="DT47" s="10">
        <v>1</v>
      </c>
      <c r="DX47" s="10"/>
      <c r="DY47" s="10">
        <v>1</v>
      </c>
      <c r="DZ47" s="10"/>
      <c r="EA47" s="10">
        <v>1</v>
      </c>
      <c r="EE47" s="10"/>
      <c r="EF47" s="10">
        <v>1</v>
      </c>
      <c r="EG47" s="10"/>
      <c r="EH47" s="10">
        <v>1</v>
      </c>
      <c r="EL47" s="10"/>
      <c r="EM47" s="10">
        <v>1</v>
      </c>
      <c r="EN47" s="10"/>
      <c r="EO47" s="10">
        <v>1</v>
      </c>
    </row>
    <row r="48" spans="2:145" outlineLevel="1" x14ac:dyDescent="0.2">
      <c r="B48" t="s">
        <v>28</v>
      </c>
      <c r="C48" t="s">
        <v>131</v>
      </c>
      <c r="E48" s="9"/>
      <c r="F48" t="s">
        <v>159</v>
      </c>
      <c r="G48" s="10">
        <v>0</v>
      </c>
      <c r="I48" s="9">
        <f>+SUMIF($N$3:$ZT$3,I$3,$N48:$ZT48)</f>
        <v>0</v>
      </c>
      <c r="J48" s="11" cm="1">
        <f t="array" ref="J48">MAX(IF($N$3:$EB$3=$J$3,N48:EB48))</f>
        <v>0</v>
      </c>
      <c r="K48" s="11" cm="1">
        <f t="array" ref="K48">MAX(IF($N$3:$EB$3=$J$3,N48:EB48))</f>
        <v>0</v>
      </c>
      <c r="L48" s="9"/>
      <c r="P48" s="10"/>
      <c r="Q48" s="10">
        <v>0.5</v>
      </c>
      <c r="R48" s="10"/>
      <c r="S48" s="10">
        <v>0.5</v>
      </c>
      <c r="W48" s="10"/>
      <c r="X48" s="10">
        <v>0.5</v>
      </c>
      <c r="Y48" s="10"/>
      <c r="Z48" s="10">
        <v>0.5</v>
      </c>
      <c r="AD48" s="10"/>
      <c r="AE48" s="10">
        <v>0.8</v>
      </c>
      <c r="AF48" s="10"/>
      <c r="AG48" s="10">
        <v>0.8</v>
      </c>
      <c r="AK48" s="10"/>
      <c r="AL48" s="10">
        <v>0.8</v>
      </c>
      <c r="AM48" s="10"/>
      <c r="AN48" s="10">
        <v>0.8</v>
      </c>
      <c r="AR48" s="10"/>
      <c r="AS48" s="10">
        <v>0.8</v>
      </c>
      <c r="AT48" s="10"/>
      <c r="AU48" s="10">
        <v>0.8</v>
      </c>
      <c r="AY48" s="10"/>
      <c r="AZ48" s="10">
        <v>0.8</v>
      </c>
      <c r="BA48" s="10"/>
      <c r="BB48" s="10">
        <v>0.8</v>
      </c>
      <c r="BF48" s="10"/>
      <c r="BG48" s="10">
        <v>0.8</v>
      </c>
      <c r="BH48" s="10"/>
      <c r="BI48" s="10">
        <v>0.8</v>
      </c>
      <c r="BM48" s="10"/>
      <c r="BN48" s="10">
        <v>1</v>
      </c>
      <c r="BO48" s="10"/>
      <c r="BP48" s="10">
        <v>1</v>
      </c>
      <c r="BT48" s="10"/>
      <c r="BU48" s="10">
        <v>1</v>
      </c>
      <c r="BV48" s="10"/>
      <c r="BW48" s="10">
        <v>1</v>
      </c>
      <c r="CA48" s="10"/>
      <c r="CB48" s="10">
        <v>1</v>
      </c>
      <c r="CC48" s="10"/>
      <c r="CD48" s="10">
        <v>1</v>
      </c>
      <c r="CH48" s="10"/>
      <c r="CI48" s="10">
        <v>1</v>
      </c>
      <c r="CJ48" s="10"/>
      <c r="CK48" s="10">
        <v>1</v>
      </c>
      <c r="CO48" s="10"/>
      <c r="CP48" s="10">
        <v>1</v>
      </c>
      <c r="CQ48" s="10"/>
      <c r="CR48" s="10">
        <v>1</v>
      </c>
      <c r="CV48" s="10"/>
      <c r="CW48" s="10">
        <v>1</v>
      </c>
      <c r="CX48" s="10"/>
      <c r="CY48" s="10">
        <v>1</v>
      </c>
      <c r="DC48" s="10"/>
      <c r="DD48" s="10">
        <v>1</v>
      </c>
      <c r="DE48" s="10"/>
      <c r="DF48" s="10">
        <v>1</v>
      </c>
      <c r="DJ48" s="10"/>
      <c r="DK48" s="10">
        <v>1</v>
      </c>
      <c r="DL48" s="10"/>
      <c r="DM48" s="10">
        <v>1</v>
      </c>
      <c r="DQ48" s="10"/>
      <c r="DR48" s="10">
        <v>1</v>
      </c>
      <c r="DS48" s="10"/>
      <c r="DT48" s="10">
        <v>1</v>
      </c>
      <c r="DX48" s="10"/>
      <c r="DY48" s="10">
        <v>1</v>
      </c>
      <c r="DZ48" s="10"/>
      <c r="EA48" s="10">
        <v>1</v>
      </c>
      <c r="EE48" s="10"/>
      <c r="EF48" s="10">
        <v>1</v>
      </c>
      <c r="EG48" s="10"/>
      <c r="EH48" s="10">
        <v>1</v>
      </c>
      <c r="EL48" s="10"/>
      <c r="EM48" s="10">
        <v>1</v>
      </c>
      <c r="EN48" s="10"/>
      <c r="EO48" s="10">
        <v>1</v>
      </c>
    </row>
    <row r="49" spans="2:146" outlineLevel="1" x14ac:dyDescent="0.2">
      <c r="B49" t="s">
        <v>28</v>
      </c>
      <c r="C49" t="s">
        <v>131</v>
      </c>
      <c r="E49" s="9"/>
      <c r="F49" t="s">
        <v>160</v>
      </c>
      <c r="G49" s="10">
        <v>0</v>
      </c>
      <c r="I49" s="9">
        <f>+SUMIF($N$3:$ZT$3,I$3,$N49:$ZT49)</f>
        <v>0</v>
      </c>
      <c r="J49" s="11" cm="1">
        <f t="array" ref="J49">MAX(IF($N$3:$EB$3=$J$3,N49:EB49))</f>
        <v>0</v>
      </c>
      <c r="K49" s="11" cm="1">
        <f t="array" ref="K49">MAX(IF($N$3:$EB$3=$J$3,N49:EB49))</f>
        <v>0</v>
      </c>
      <c r="L49" s="9"/>
      <c r="P49" s="10"/>
      <c r="Q49" s="10"/>
      <c r="R49" s="10"/>
      <c r="S49" s="10"/>
      <c r="W49" s="10"/>
      <c r="X49" s="10">
        <v>0.5</v>
      </c>
      <c r="Y49" s="10"/>
      <c r="Z49" s="10">
        <v>0.5</v>
      </c>
      <c r="AD49" s="10"/>
      <c r="AE49" s="10">
        <v>0.5</v>
      </c>
      <c r="AF49" s="10"/>
      <c r="AG49" s="10">
        <v>0.5</v>
      </c>
      <c r="AK49" s="10"/>
      <c r="AL49" s="10">
        <v>0.8</v>
      </c>
      <c r="AM49" s="10"/>
      <c r="AN49" s="10">
        <v>0.8</v>
      </c>
      <c r="AR49" s="10"/>
      <c r="AS49" s="10">
        <v>0.8</v>
      </c>
      <c r="AT49" s="10"/>
      <c r="AU49" s="10">
        <v>0.8</v>
      </c>
      <c r="AY49" s="10"/>
      <c r="AZ49" s="10">
        <v>0.8</v>
      </c>
      <c r="BA49" s="10"/>
      <c r="BB49" s="10">
        <v>0.8</v>
      </c>
      <c r="BF49" s="10"/>
      <c r="BG49" s="10">
        <v>0.8</v>
      </c>
      <c r="BH49" s="10"/>
      <c r="BI49" s="10">
        <v>0.8</v>
      </c>
      <c r="BM49" s="10"/>
      <c r="BN49" s="10">
        <v>0.8</v>
      </c>
      <c r="BO49" s="10"/>
      <c r="BP49" s="10">
        <v>0.8</v>
      </c>
      <c r="BT49" s="10"/>
      <c r="BU49" s="10">
        <v>1</v>
      </c>
      <c r="BV49" s="10"/>
      <c r="BW49" s="10">
        <v>1</v>
      </c>
      <c r="CA49" s="10"/>
      <c r="CB49" s="10">
        <v>1</v>
      </c>
      <c r="CC49" s="10"/>
      <c r="CD49" s="10">
        <v>1</v>
      </c>
      <c r="CH49" s="10"/>
      <c r="CI49" s="10">
        <v>1</v>
      </c>
      <c r="CJ49" s="10"/>
      <c r="CK49" s="10">
        <v>1</v>
      </c>
      <c r="CO49" s="10"/>
      <c r="CP49" s="10">
        <v>1</v>
      </c>
      <c r="CQ49" s="10"/>
      <c r="CR49" s="10">
        <v>1</v>
      </c>
      <c r="CV49" s="10"/>
      <c r="CW49" s="10">
        <v>1</v>
      </c>
      <c r="CX49" s="10"/>
      <c r="CY49" s="10">
        <v>1</v>
      </c>
      <c r="DC49" s="10"/>
      <c r="DD49" s="10">
        <v>1</v>
      </c>
      <c r="DE49" s="10"/>
      <c r="DF49" s="10">
        <v>1</v>
      </c>
      <c r="DJ49" s="10"/>
      <c r="DK49" s="10">
        <v>1</v>
      </c>
      <c r="DL49" s="10"/>
      <c r="DM49" s="10">
        <v>1</v>
      </c>
      <c r="DQ49" s="10"/>
      <c r="DR49" s="10">
        <v>1</v>
      </c>
      <c r="DS49" s="10"/>
      <c r="DT49" s="10">
        <v>1</v>
      </c>
      <c r="DX49" s="10"/>
      <c r="DY49" s="10">
        <v>1</v>
      </c>
      <c r="DZ49" s="10"/>
      <c r="EA49" s="10">
        <v>1</v>
      </c>
      <c r="EE49" s="10"/>
      <c r="EF49" s="10">
        <v>1</v>
      </c>
      <c r="EG49" s="10"/>
      <c r="EH49" s="10">
        <v>1</v>
      </c>
      <c r="EL49" s="10"/>
      <c r="EM49" s="10">
        <v>1</v>
      </c>
      <c r="EN49" s="10"/>
      <c r="EO49" s="10">
        <v>1</v>
      </c>
    </row>
    <row r="50" spans="2:146" outlineLevel="1" x14ac:dyDescent="0.2">
      <c r="B50" t="s">
        <v>28</v>
      </c>
      <c r="C50" t="s">
        <v>131</v>
      </c>
      <c r="E50" s="9"/>
      <c r="F50" t="s">
        <v>161</v>
      </c>
      <c r="G50" s="10">
        <v>0</v>
      </c>
      <c r="I50" s="9">
        <f>+SUMIF($N$3:$ZT$3,I$3,$N50:$ZT50)</f>
        <v>0</v>
      </c>
      <c r="J50" s="11" cm="1">
        <f t="array" ref="J50">MAX(IF($N$3:$EB$3=$J$3,N50:EB50))</f>
        <v>0</v>
      </c>
      <c r="K50" s="11" cm="1">
        <f t="array" ref="K50">MAX(IF($N$3:$EB$3=$J$3,N50:EB50))</f>
        <v>0</v>
      </c>
      <c r="L50" s="9"/>
      <c r="P50" s="10"/>
      <c r="Q50" s="10"/>
      <c r="R50" s="10"/>
      <c r="S50" s="10"/>
      <c r="W50" s="10"/>
      <c r="X50" s="10">
        <v>0.5</v>
      </c>
      <c r="Y50" s="10"/>
      <c r="Z50" s="10">
        <v>0.5</v>
      </c>
      <c r="AD50" s="10"/>
      <c r="AE50" s="10">
        <v>0.5</v>
      </c>
      <c r="AF50" s="10"/>
      <c r="AG50" s="10">
        <v>0.5</v>
      </c>
      <c r="AK50" s="10"/>
      <c r="AL50" s="10">
        <v>0.5</v>
      </c>
      <c r="AM50" s="10"/>
      <c r="AN50" s="10">
        <v>0.5</v>
      </c>
      <c r="AR50" s="10"/>
      <c r="AS50" s="10">
        <v>0.8</v>
      </c>
      <c r="AT50" s="10"/>
      <c r="AU50" s="10">
        <v>0.8</v>
      </c>
      <c r="AY50" s="10"/>
      <c r="AZ50" s="10">
        <v>0.8</v>
      </c>
      <c r="BA50" s="10"/>
      <c r="BB50" s="10">
        <v>0.8</v>
      </c>
      <c r="BF50" s="10"/>
      <c r="BG50" s="10">
        <v>0.8</v>
      </c>
      <c r="BH50" s="10"/>
      <c r="BI50" s="10">
        <v>0.8</v>
      </c>
      <c r="BM50" s="10"/>
      <c r="BN50" s="10">
        <v>0.8</v>
      </c>
      <c r="BO50" s="10"/>
      <c r="BP50" s="10">
        <v>0.8</v>
      </c>
      <c r="BT50" s="10"/>
      <c r="BU50" s="10">
        <v>1</v>
      </c>
      <c r="BV50" s="10"/>
      <c r="BW50" s="10">
        <v>1</v>
      </c>
      <c r="CA50" s="10"/>
      <c r="CB50" s="10">
        <v>1</v>
      </c>
      <c r="CC50" s="10"/>
      <c r="CD50" s="10">
        <v>1</v>
      </c>
      <c r="CH50" s="10"/>
      <c r="CI50" s="10">
        <v>1</v>
      </c>
      <c r="CJ50" s="10"/>
      <c r="CK50" s="10">
        <v>1</v>
      </c>
      <c r="CO50" s="10"/>
      <c r="CP50" s="10">
        <v>1</v>
      </c>
      <c r="CQ50" s="10"/>
      <c r="CR50" s="10">
        <v>1</v>
      </c>
      <c r="CV50" s="10"/>
      <c r="CW50" s="10">
        <v>1</v>
      </c>
      <c r="CX50" s="10"/>
      <c r="CY50" s="10">
        <v>1</v>
      </c>
      <c r="DC50" s="10"/>
      <c r="DD50" s="10">
        <v>1</v>
      </c>
      <c r="DE50" s="10"/>
      <c r="DF50" s="10">
        <v>1</v>
      </c>
      <c r="DJ50" s="10"/>
      <c r="DK50" s="10">
        <v>1</v>
      </c>
      <c r="DL50" s="10"/>
      <c r="DM50" s="10">
        <v>1</v>
      </c>
      <c r="DQ50" s="10"/>
      <c r="DR50" s="10">
        <v>1</v>
      </c>
      <c r="DS50" s="10"/>
      <c r="DT50" s="10">
        <v>1</v>
      </c>
      <c r="DX50" s="10"/>
      <c r="DY50" s="10">
        <v>1</v>
      </c>
      <c r="DZ50" s="10"/>
      <c r="EA50" s="10">
        <v>1</v>
      </c>
      <c r="EE50" s="10"/>
      <c r="EF50" s="10">
        <v>1</v>
      </c>
      <c r="EG50" s="10"/>
      <c r="EH50" s="10">
        <v>1</v>
      </c>
      <c r="EL50" s="10"/>
      <c r="EM50" s="10">
        <v>1</v>
      </c>
      <c r="EN50" s="10"/>
      <c r="EO50" s="10">
        <v>1</v>
      </c>
    </row>
    <row r="51" spans="2:146" outlineLevel="1" x14ac:dyDescent="0.2">
      <c r="B51" t="s">
        <v>28</v>
      </c>
      <c r="C51" t="s">
        <v>131</v>
      </c>
      <c r="E51" s="9"/>
      <c r="F51" t="s">
        <v>162</v>
      </c>
      <c r="G51" s="10">
        <v>0</v>
      </c>
      <c r="I51" s="9">
        <f>+SUMIF($N$3:$ZT$3,I$3,$N51:$ZT51)</f>
        <v>0</v>
      </c>
      <c r="J51" s="11" cm="1">
        <f t="array" ref="J51">MAX(IF($N$3:$EB$3=$J$3,N51:EB51))</f>
        <v>0</v>
      </c>
      <c r="K51" s="11" cm="1">
        <f t="array" ref="K51">MAX(IF($N$3:$EB$3=$J$3,N51:EB51))</f>
        <v>0</v>
      </c>
      <c r="L51" s="9"/>
      <c r="P51" s="10"/>
      <c r="Q51" s="10"/>
      <c r="R51" s="10"/>
      <c r="S51" s="10"/>
      <c r="W51" s="10"/>
      <c r="X51" s="10"/>
      <c r="Y51" s="10"/>
      <c r="Z51" s="10"/>
      <c r="AD51" s="10"/>
      <c r="AE51" s="10"/>
      <c r="AF51" s="10"/>
      <c r="AG51" s="10"/>
      <c r="AK51" s="10"/>
      <c r="AL51" s="10">
        <v>0.5</v>
      </c>
      <c r="AM51" s="10"/>
      <c r="AN51" s="10">
        <v>0.5</v>
      </c>
      <c r="AR51" s="10"/>
      <c r="AS51" s="10">
        <v>0.5</v>
      </c>
      <c r="AT51" s="10"/>
      <c r="AU51" s="10">
        <v>0.5</v>
      </c>
      <c r="AY51" s="10"/>
      <c r="AZ51" s="10">
        <v>0.5</v>
      </c>
      <c r="BA51" s="10"/>
      <c r="BB51" s="10">
        <v>0.5</v>
      </c>
      <c r="BF51" s="10"/>
      <c r="BG51" s="10">
        <v>0.5</v>
      </c>
      <c r="BH51" s="10"/>
      <c r="BI51" s="10">
        <v>0.5</v>
      </c>
      <c r="BM51" s="10"/>
      <c r="BN51" s="10">
        <v>0.5</v>
      </c>
      <c r="BO51" s="10"/>
      <c r="BP51" s="10">
        <v>0.5</v>
      </c>
      <c r="BT51" s="10"/>
      <c r="BU51" s="10">
        <v>0.8</v>
      </c>
      <c r="BV51" s="10"/>
      <c r="BW51" s="10">
        <v>0.8</v>
      </c>
      <c r="CA51" s="10"/>
      <c r="CB51" s="10">
        <v>0.8</v>
      </c>
      <c r="CC51" s="10"/>
      <c r="CD51" s="10">
        <v>0.8</v>
      </c>
      <c r="CH51" s="10"/>
      <c r="CI51" s="10">
        <v>1</v>
      </c>
      <c r="CJ51" s="10"/>
      <c r="CK51" s="10">
        <v>1</v>
      </c>
      <c r="CO51" s="10"/>
      <c r="CP51" s="10">
        <v>1</v>
      </c>
      <c r="CQ51" s="10"/>
      <c r="CR51" s="10">
        <v>1</v>
      </c>
      <c r="CV51" s="10"/>
      <c r="CW51" s="10">
        <v>1</v>
      </c>
      <c r="CX51" s="10"/>
      <c r="CY51" s="10">
        <v>1</v>
      </c>
      <c r="DC51" s="10"/>
      <c r="DD51" s="10">
        <v>1</v>
      </c>
      <c r="DE51" s="10"/>
      <c r="DF51" s="10">
        <v>1</v>
      </c>
      <c r="DJ51" s="10"/>
      <c r="DK51" s="10">
        <v>1</v>
      </c>
      <c r="DL51" s="10"/>
      <c r="DM51" s="10">
        <v>1</v>
      </c>
      <c r="DQ51" s="10"/>
      <c r="DR51" s="10">
        <v>1</v>
      </c>
      <c r="DS51" s="10"/>
      <c r="DT51" s="10">
        <v>1</v>
      </c>
      <c r="DX51" s="10"/>
      <c r="DY51" s="10">
        <v>1</v>
      </c>
      <c r="DZ51" s="10"/>
      <c r="EA51" s="10">
        <v>1</v>
      </c>
      <c r="EE51" s="10"/>
      <c r="EF51" s="10">
        <v>1</v>
      </c>
      <c r="EG51" s="10"/>
      <c r="EH51" s="10">
        <v>1</v>
      </c>
      <c r="EL51" s="10"/>
      <c r="EM51" s="10">
        <v>1</v>
      </c>
      <c r="EN51" s="10"/>
      <c r="EO51" s="10">
        <v>1</v>
      </c>
    </row>
    <row r="52" spans="2:146" outlineLevel="1" x14ac:dyDescent="0.2">
      <c r="B52" t="s">
        <v>28</v>
      </c>
      <c r="C52" t="s">
        <v>131</v>
      </c>
      <c r="E52" s="9"/>
      <c r="F52" t="s">
        <v>163</v>
      </c>
      <c r="G52" s="10">
        <v>0</v>
      </c>
      <c r="I52" s="9">
        <f>+SUMIF($N$3:$ZT$3,I$3,$N52:$ZT52)</f>
        <v>0</v>
      </c>
      <c r="J52" s="11" cm="1">
        <f t="array" ref="J52">MAX(IF($N$3:$EB$3=$J$3,N52:EB52))</f>
        <v>0</v>
      </c>
      <c r="K52" s="11" cm="1">
        <f t="array" ref="K52">MAX(IF($N$3:$EB$3=$J$3,N52:EB52))</f>
        <v>0</v>
      </c>
      <c r="L52" s="9"/>
      <c r="P52" s="10"/>
      <c r="Q52" s="10"/>
      <c r="R52" s="10"/>
      <c r="S52" s="10"/>
      <c r="W52" s="10"/>
      <c r="X52" s="10"/>
      <c r="Y52" s="10"/>
      <c r="Z52" s="10"/>
      <c r="AD52" s="10"/>
      <c r="AE52" s="10"/>
      <c r="AF52" s="10"/>
      <c r="AG52" s="10"/>
      <c r="AK52" s="10"/>
      <c r="AL52" s="10"/>
      <c r="AM52" s="10"/>
      <c r="AN52" s="10"/>
      <c r="AR52" s="10"/>
      <c r="AS52" s="10"/>
      <c r="AT52" s="10"/>
      <c r="AU52" s="10"/>
      <c r="AY52" s="10"/>
      <c r="AZ52" s="10">
        <v>0.5</v>
      </c>
      <c r="BA52" s="10"/>
      <c r="BB52" s="10">
        <v>0.5</v>
      </c>
      <c r="BF52" s="10"/>
      <c r="BG52" s="10">
        <v>0.5</v>
      </c>
      <c r="BH52" s="10"/>
      <c r="BI52" s="10">
        <v>0.5</v>
      </c>
      <c r="BM52" s="10"/>
      <c r="BN52" s="10">
        <v>0.5</v>
      </c>
      <c r="BO52" s="10"/>
      <c r="BP52" s="10">
        <v>0.5</v>
      </c>
      <c r="BT52" s="10"/>
      <c r="BU52" s="10">
        <v>0.8</v>
      </c>
      <c r="BV52" s="10"/>
      <c r="BW52" s="10">
        <v>0.8</v>
      </c>
      <c r="CA52" s="10"/>
      <c r="CB52" s="10">
        <v>0.8</v>
      </c>
      <c r="CC52" s="10"/>
      <c r="CD52" s="10">
        <v>0.8</v>
      </c>
      <c r="CH52" s="10"/>
      <c r="CI52" s="10">
        <v>1</v>
      </c>
      <c r="CJ52" s="10"/>
      <c r="CK52" s="10">
        <v>1</v>
      </c>
      <c r="CO52" s="10"/>
      <c r="CP52" s="10">
        <v>1</v>
      </c>
      <c r="CQ52" s="10"/>
      <c r="CR52" s="10">
        <v>1</v>
      </c>
      <c r="CV52" s="10"/>
      <c r="CW52" s="10">
        <v>1</v>
      </c>
      <c r="CX52" s="10"/>
      <c r="CY52" s="10">
        <v>1</v>
      </c>
      <c r="DC52" s="10"/>
      <c r="DD52" s="10">
        <v>1</v>
      </c>
      <c r="DE52" s="10"/>
      <c r="DF52" s="10">
        <v>1</v>
      </c>
      <c r="DJ52" s="10"/>
      <c r="DK52" s="10">
        <v>1</v>
      </c>
      <c r="DL52" s="10"/>
      <c r="DM52" s="10">
        <v>1</v>
      </c>
      <c r="DQ52" s="10"/>
      <c r="DR52" s="10">
        <v>1</v>
      </c>
      <c r="DS52" s="10"/>
      <c r="DT52" s="10">
        <v>1</v>
      </c>
      <c r="DX52" s="10"/>
      <c r="DY52" s="10">
        <v>1</v>
      </c>
      <c r="DZ52" s="10"/>
      <c r="EA52" s="10">
        <v>1</v>
      </c>
      <c r="EE52" s="10"/>
      <c r="EF52" s="10">
        <v>1</v>
      </c>
      <c r="EG52" s="10"/>
      <c r="EH52" s="10">
        <v>1</v>
      </c>
      <c r="EL52" s="10"/>
      <c r="EM52" s="10">
        <v>1</v>
      </c>
      <c r="EN52" s="10"/>
      <c r="EO52" s="10">
        <v>1</v>
      </c>
    </row>
    <row r="53" spans="2:146" outlineLevel="1" x14ac:dyDescent="0.2">
      <c r="B53" t="s">
        <v>28</v>
      </c>
      <c r="C53" t="s">
        <v>131</v>
      </c>
      <c r="E53" s="9"/>
      <c r="F53" t="s">
        <v>164</v>
      </c>
      <c r="G53" s="10">
        <v>0</v>
      </c>
      <c r="I53" s="9">
        <f>+SUMIF($N$3:$ZT$3,I$3,$N53:$ZT53)</f>
        <v>0</v>
      </c>
      <c r="J53" s="11" cm="1">
        <f t="array" ref="J53">MAX(IF($N$3:$EB$3=$J$3,N53:EB53))</f>
        <v>0</v>
      </c>
      <c r="K53" s="11" cm="1">
        <f t="array" ref="K53">MAX(IF($N$3:$EB$3=$J$3,N53:EB53))</f>
        <v>0</v>
      </c>
      <c r="L53" s="9"/>
      <c r="N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v>0.5</v>
      </c>
      <c r="BA53" s="10"/>
      <c r="BB53" s="10">
        <v>0.5</v>
      </c>
      <c r="BC53" s="10"/>
      <c r="BD53" s="10"/>
      <c r="BE53" s="10"/>
      <c r="BF53" s="10"/>
      <c r="BG53" s="10">
        <v>0.5</v>
      </c>
      <c r="BH53" s="10"/>
      <c r="BI53" s="10">
        <v>0.5</v>
      </c>
      <c r="BJ53" s="10"/>
      <c r="BK53" s="10"/>
      <c r="BL53" s="10"/>
      <c r="BM53" s="10"/>
      <c r="BN53" s="10">
        <v>0.5</v>
      </c>
      <c r="BO53" s="10"/>
      <c r="BP53" s="10">
        <v>0.5</v>
      </c>
      <c r="BQ53" s="10"/>
      <c r="BR53" s="10"/>
      <c r="BS53" s="10"/>
      <c r="BT53" s="10"/>
      <c r="BU53" s="10">
        <v>0.5</v>
      </c>
      <c r="BV53" s="10"/>
      <c r="BW53" s="10">
        <v>0.5</v>
      </c>
      <c r="BX53" s="10"/>
      <c r="BY53" s="10"/>
      <c r="BZ53" s="10"/>
      <c r="CA53" s="10"/>
      <c r="CB53" s="10">
        <v>0.8</v>
      </c>
      <c r="CC53" s="10"/>
      <c r="CD53" s="10">
        <v>0.8</v>
      </c>
      <c r="CE53" s="10"/>
      <c r="CF53" s="10"/>
      <c r="CG53" s="10"/>
      <c r="CH53" s="10"/>
      <c r="CI53" s="10">
        <v>0.8</v>
      </c>
      <c r="CJ53" s="10"/>
      <c r="CK53" s="10">
        <v>0.8</v>
      </c>
      <c r="CL53" s="10"/>
      <c r="CM53" s="10"/>
      <c r="CN53" s="10"/>
      <c r="CO53" s="10"/>
      <c r="CP53" s="10">
        <v>1</v>
      </c>
      <c r="CQ53" s="10"/>
      <c r="CR53" s="10">
        <v>1</v>
      </c>
      <c r="CS53" s="10"/>
      <c r="CT53" s="10"/>
      <c r="CU53" s="10"/>
      <c r="CV53" s="10"/>
      <c r="CW53" s="10">
        <v>1</v>
      </c>
      <c r="CX53" s="10"/>
      <c r="CY53" s="10">
        <v>1</v>
      </c>
      <c r="CZ53" s="10"/>
      <c r="DA53" s="10"/>
      <c r="DB53" s="10"/>
      <c r="DC53" s="10"/>
      <c r="DD53" s="10">
        <v>1</v>
      </c>
      <c r="DE53" s="10"/>
      <c r="DF53" s="10">
        <v>1</v>
      </c>
      <c r="DG53" s="10"/>
      <c r="DH53" s="10"/>
      <c r="DI53" s="10"/>
      <c r="DJ53" s="10"/>
      <c r="DK53" s="10">
        <v>1</v>
      </c>
      <c r="DL53" s="10"/>
      <c r="DM53" s="10">
        <v>1</v>
      </c>
      <c r="DN53" s="10"/>
      <c r="DO53" s="10"/>
      <c r="DP53" s="10"/>
      <c r="DQ53" s="10"/>
      <c r="DR53" s="10">
        <v>1</v>
      </c>
      <c r="DS53" s="10"/>
      <c r="DT53" s="10">
        <v>1</v>
      </c>
      <c r="DU53" s="10"/>
      <c r="DV53" s="10"/>
      <c r="DW53" s="10"/>
      <c r="DX53" s="10"/>
      <c r="DY53" s="10">
        <v>1</v>
      </c>
      <c r="DZ53" s="10"/>
      <c r="EA53" s="10">
        <v>1</v>
      </c>
      <c r="EB53" s="10"/>
      <c r="EC53" s="10"/>
      <c r="ED53" s="10"/>
      <c r="EE53" s="10"/>
      <c r="EF53" s="10">
        <v>1</v>
      </c>
      <c r="EG53" s="10"/>
      <c r="EH53" s="10">
        <v>1</v>
      </c>
      <c r="EI53" s="10"/>
      <c r="EJ53" s="10"/>
      <c r="EK53" s="10"/>
      <c r="EL53" s="10"/>
      <c r="EM53" s="10">
        <v>1</v>
      </c>
      <c r="EN53" s="10"/>
      <c r="EO53" s="10">
        <v>1</v>
      </c>
      <c r="EP53" s="10"/>
    </row>
    <row r="54" spans="2:146" outlineLevel="1" x14ac:dyDescent="0.2">
      <c r="B54" t="s">
        <v>28</v>
      </c>
      <c r="C54" t="s">
        <v>131</v>
      </c>
      <c r="E54" s="9"/>
      <c r="F54" t="s">
        <v>165</v>
      </c>
      <c r="G54" s="10">
        <v>0</v>
      </c>
      <c r="I54" s="9">
        <f>+SUMIF($N$3:$ZT$3,I$3,$N54:$ZT54)</f>
        <v>0</v>
      </c>
      <c r="J54" s="11" cm="1">
        <f t="array" ref="J54">MAX(IF($N$3:$EB$3=$J$3,N54:EB54))</f>
        <v>0</v>
      </c>
      <c r="K54" s="11" cm="1">
        <f t="array" ref="K54">MAX(IF($N$3:$EB$3=$J$3,N54:EB54))</f>
        <v>0</v>
      </c>
      <c r="L54" s="9"/>
      <c r="N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v>0.5</v>
      </c>
      <c r="BA54" s="10"/>
      <c r="BB54" s="10">
        <v>0.5</v>
      </c>
      <c r="BC54" s="10"/>
      <c r="BD54" s="10"/>
      <c r="BE54" s="10"/>
      <c r="BF54" s="10"/>
      <c r="BG54" s="10">
        <v>0.5</v>
      </c>
      <c r="BH54" s="10"/>
      <c r="BI54" s="10">
        <v>0.5</v>
      </c>
      <c r="BJ54" s="10"/>
      <c r="BK54" s="10"/>
      <c r="BL54" s="10"/>
      <c r="BM54" s="10"/>
      <c r="BN54" s="10">
        <v>0.5</v>
      </c>
      <c r="BO54" s="10"/>
      <c r="BP54" s="10">
        <v>0.5</v>
      </c>
      <c r="BQ54" s="10"/>
      <c r="BR54" s="10"/>
      <c r="BS54" s="10"/>
      <c r="BT54" s="10"/>
      <c r="BU54" s="10">
        <v>0.5</v>
      </c>
      <c r="BV54" s="10"/>
      <c r="BW54" s="10">
        <v>0.5</v>
      </c>
      <c r="BX54" s="10"/>
      <c r="BY54" s="10"/>
      <c r="BZ54" s="10"/>
      <c r="CA54" s="10"/>
      <c r="CB54" s="10">
        <v>0.8</v>
      </c>
      <c r="CC54" s="10"/>
      <c r="CD54" s="10">
        <v>0.8</v>
      </c>
      <c r="CE54" s="10"/>
      <c r="CF54" s="10"/>
      <c r="CG54" s="10"/>
      <c r="CH54" s="10"/>
      <c r="CI54" s="10">
        <v>0.8</v>
      </c>
      <c r="CJ54" s="10"/>
      <c r="CK54" s="10">
        <v>0.8</v>
      </c>
      <c r="CL54" s="10"/>
      <c r="CM54" s="10"/>
      <c r="CN54" s="10"/>
      <c r="CO54" s="10"/>
      <c r="CP54" s="10">
        <v>1</v>
      </c>
      <c r="CQ54" s="10"/>
      <c r="CR54" s="10">
        <v>1</v>
      </c>
      <c r="CS54" s="10"/>
      <c r="CT54" s="10"/>
      <c r="CU54" s="10"/>
      <c r="CV54" s="10"/>
      <c r="CW54" s="10">
        <v>1</v>
      </c>
      <c r="CX54" s="10"/>
      <c r="CY54" s="10">
        <v>1</v>
      </c>
      <c r="CZ54" s="10"/>
      <c r="DA54" s="10"/>
      <c r="DB54" s="10"/>
      <c r="DC54" s="10"/>
      <c r="DD54" s="10">
        <v>1</v>
      </c>
      <c r="DE54" s="10"/>
      <c r="DF54" s="10">
        <v>1</v>
      </c>
      <c r="DG54" s="10"/>
      <c r="DH54" s="10"/>
      <c r="DI54" s="10"/>
      <c r="DJ54" s="10"/>
      <c r="DK54" s="10">
        <v>1</v>
      </c>
      <c r="DL54" s="10"/>
      <c r="DM54" s="10">
        <v>1</v>
      </c>
      <c r="DN54" s="10"/>
      <c r="DO54" s="10"/>
      <c r="DP54" s="10"/>
      <c r="DQ54" s="10"/>
      <c r="DR54" s="10">
        <v>1</v>
      </c>
      <c r="DS54" s="10"/>
      <c r="DT54" s="10">
        <v>1</v>
      </c>
      <c r="DU54" s="10"/>
      <c r="DV54" s="10"/>
      <c r="DW54" s="10"/>
      <c r="DX54" s="10"/>
      <c r="DY54" s="10">
        <v>1</v>
      </c>
      <c r="DZ54" s="10"/>
      <c r="EA54" s="10">
        <v>1</v>
      </c>
      <c r="EB54" s="10"/>
      <c r="EC54" s="10"/>
      <c r="ED54" s="10"/>
      <c r="EE54" s="10"/>
      <c r="EF54" s="10">
        <v>1</v>
      </c>
      <c r="EG54" s="10"/>
      <c r="EH54" s="10">
        <v>1</v>
      </c>
      <c r="EI54" s="10"/>
      <c r="EJ54" s="10"/>
      <c r="EK54" s="10"/>
      <c r="EL54" s="10"/>
      <c r="EM54" s="10">
        <v>1</v>
      </c>
      <c r="EN54" s="10"/>
      <c r="EO54" s="10">
        <v>1</v>
      </c>
      <c r="EP54" s="10"/>
    </row>
    <row r="55" spans="2:146" outlineLevel="1" x14ac:dyDescent="0.2">
      <c r="B55" t="s">
        <v>28</v>
      </c>
      <c r="C55" t="s">
        <v>131</v>
      </c>
      <c r="E55" s="9"/>
      <c r="F55" t="s">
        <v>166</v>
      </c>
      <c r="G55" s="10">
        <v>0</v>
      </c>
      <c r="I55" s="9">
        <f>+SUMIF($N$3:$ZT$3,I$3,$N55:$ZT55)</f>
        <v>0</v>
      </c>
      <c r="J55" s="11" cm="1">
        <f t="array" ref="J55">MAX(IF($N$3:$EB$3=$J$3,N55:EB55))</f>
        <v>0</v>
      </c>
      <c r="K55" s="11" cm="1">
        <f t="array" ref="K55">MAX(IF($N$3:$EB$3=$J$3,N55:EB55))</f>
        <v>0</v>
      </c>
      <c r="L55" s="9"/>
      <c r="P55" s="10"/>
      <c r="Q55" s="10"/>
      <c r="R55" s="10"/>
      <c r="S55" s="10"/>
      <c r="W55" s="10"/>
      <c r="X55" s="10"/>
      <c r="Y55" s="10"/>
      <c r="Z55" s="10"/>
      <c r="AD55" s="10"/>
      <c r="AE55" s="10"/>
      <c r="AF55" s="10"/>
      <c r="AG55" s="10"/>
      <c r="AK55" s="10"/>
      <c r="AL55" s="10"/>
      <c r="AM55" s="10"/>
      <c r="AN55" s="10"/>
      <c r="AR55" s="10"/>
      <c r="AS55" s="10"/>
      <c r="AT55" s="10"/>
      <c r="AU55" s="10"/>
      <c r="AY55" s="10"/>
      <c r="AZ55" s="10"/>
      <c r="BA55" s="10"/>
      <c r="BB55" s="10"/>
      <c r="BF55" s="10"/>
      <c r="BG55" s="10">
        <v>0.5</v>
      </c>
      <c r="BH55" s="10"/>
      <c r="BI55" s="10">
        <v>0.5</v>
      </c>
      <c r="BM55" s="10"/>
      <c r="BN55" s="10">
        <v>0.5</v>
      </c>
      <c r="BO55" s="10"/>
      <c r="BP55" s="10">
        <v>0.5</v>
      </c>
      <c r="BT55" s="10"/>
      <c r="BU55" s="10">
        <v>0.5</v>
      </c>
      <c r="BV55" s="10"/>
      <c r="BW55" s="10">
        <v>0.5</v>
      </c>
      <c r="CA55" s="10"/>
      <c r="CB55" s="10">
        <v>0.8</v>
      </c>
      <c r="CC55" s="10"/>
      <c r="CD55" s="10">
        <v>0.8</v>
      </c>
      <c r="CH55" s="10"/>
      <c r="CI55" s="10">
        <v>0.8</v>
      </c>
      <c r="CJ55" s="10"/>
      <c r="CK55" s="10">
        <v>0.8</v>
      </c>
      <c r="CO55" s="10"/>
      <c r="CP55" s="10">
        <v>1</v>
      </c>
      <c r="CQ55" s="10"/>
      <c r="CR55" s="10">
        <v>1</v>
      </c>
      <c r="CV55" s="10"/>
      <c r="CW55" s="10">
        <v>1</v>
      </c>
      <c r="CX55" s="10"/>
      <c r="CY55" s="10">
        <v>1</v>
      </c>
      <c r="DC55" s="10"/>
      <c r="DD55" s="10">
        <v>1</v>
      </c>
      <c r="DE55" s="10"/>
      <c r="DF55" s="10">
        <v>1</v>
      </c>
      <c r="DJ55" s="10"/>
      <c r="DK55" s="10">
        <v>1</v>
      </c>
      <c r="DL55" s="10"/>
      <c r="DM55" s="10">
        <v>1</v>
      </c>
      <c r="DQ55" s="10"/>
      <c r="DR55" s="10">
        <v>1</v>
      </c>
      <c r="DS55" s="10"/>
      <c r="DT55" s="10">
        <v>1</v>
      </c>
      <c r="DX55" s="10"/>
      <c r="DY55" s="10">
        <v>1</v>
      </c>
      <c r="DZ55" s="10"/>
      <c r="EA55" s="10">
        <v>1</v>
      </c>
      <c r="EE55" s="10"/>
      <c r="EF55" s="10">
        <v>1</v>
      </c>
      <c r="EG55" s="10"/>
      <c r="EH55" s="10">
        <v>1</v>
      </c>
      <c r="EL55" s="10"/>
      <c r="EM55" s="10">
        <v>1</v>
      </c>
      <c r="EN55" s="10"/>
      <c r="EO55" s="10">
        <v>1</v>
      </c>
    </row>
    <row r="56" spans="2:146" outlineLevel="1" x14ac:dyDescent="0.2">
      <c r="B56" t="s">
        <v>28</v>
      </c>
      <c r="C56" t="s">
        <v>131</v>
      </c>
      <c r="E56" s="9"/>
      <c r="F56" t="s">
        <v>168</v>
      </c>
      <c r="G56" s="10">
        <v>0</v>
      </c>
      <c r="I56" s="9">
        <f>+SUMIF($N$3:$ZT$3,I$3,$N56:$ZT56)</f>
        <v>0</v>
      </c>
      <c r="J56" s="11" cm="1">
        <f t="array" ref="J56">MAX(IF($N$3:$EB$3=$J$3,N56:EB56))</f>
        <v>0</v>
      </c>
      <c r="K56" s="11" cm="1">
        <f t="array" ref="K56">MAX(IF($N$3:$EB$3=$J$3,N56:EB56))</f>
        <v>0</v>
      </c>
      <c r="L56" s="9"/>
      <c r="P56" s="10"/>
      <c r="Q56" s="10"/>
      <c r="R56" s="10"/>
      <c r="S56" s="10"/>
      <c r="W56" s="10"/>
      <c r="X56" s="10"/>
      <c r="Y56" s="10"/>
      <c r="Z56" s="10"/>
      <c r="AD56" s="10"/>
      <c r="AE56" s="10"/>
      <c r="AF56" s="10"/>
      <c r="AG56" s="10"/>
      <c r="AK56" s="10"/>
      <c r="AL56" s="10"/>
      <c r="AM56" s="10"/>
      <c r="AN56" s="10"/>
      <c r="AR56" s="10"/>
      <c r="AS56" s="10"/>
      <c r="AT56" s="10"/>
      <c r="AU56" s="10"/>
      <c r="AY56" s="10"/>
      <c r="AZ56" s="10"/>
      <c r="BA56" s="10"/>
      <c r="BB56" s="10"/>
      <c r="BF56" s="10"/>
      <c r="BG56" s="10">
        <v>0.5</v>
      </c>
      <c r="BH56" s="10"/>
      <c r="BI56" s="10">
        <v>0.5</v>
      </c>
      <c r="BM56" s="10"/>
      <c r="BN56" s="10">
        <v>0.5</v>
      </c>
      <c r="BO56" s="10"/>
      <c r="BP56" s="10">
        <v>0.5</v>
      </c>
      <c r="BT56" s="10"/>
      <c r="BU56" s="10">
        <v>0.5</v>
      </c>
      <c r="BV56" s="10"/>
      <c r="BW56" s="10">
        <v>0.5</v>
      </c>
      <c r="CA56" s="10"/>
      <c r="CB56" s="10">
        <v>0.8</v>
      </c>
      <c r="CC56" s="10"/>
      <c r="CD56" s="10">
        <v>0.8</v>
      </c>
      <c r="CH56" s="10"/>
      <c r="CI56" s="10">
        <v>0.8</v>
      </c>
      <c r="CJ56" s="10"/>
      <c r="CK56" s="10">
        <v>0.8</v>
      </c>
      <c r="CO56" s="10"/>
      <c r="CP56" s="10">
        <v>1</v>
      </c>
      <c r="CQ56" s="10"/>
      <c r="CR56" s="10">
        <v>1</v>
      </c>
      <c r="CV56" s="10"/>
      <c r="CW56" s="10">
        <v>1</v>
      </c>
      <c r="CX56" s="10"/>
      <c r="CY56" s="10">
        <v>1</v>
      </c>
      <c r="DC56" s="10"/>
      <c r="DD56" s="10">
        <v>1</v>
      </c>
      <c r="DE56" s="10"/>
      <c r="DF56" s="10">
        <v>1</v>
      </c>
      <c r="DJ56" s="10"/>
      <c r="DK56" s="10">
        <v>1</v>
      </c>
      <c r="DL56" s="10"/>
      <c r="DM56" s="10">
        <v>1</v>
      </c>
      <c r="DQ56" s="10"/>
      <c r="DR56" s="10">
        <v>1</v>
      </c>
      <c r="DS56" s="10"/>
      <c r="DT56" s="10">
        <v>1</v>
      </c>
      <c r="DX56" s="10"/>
      <c r="DY56" s="10">
        <v>1</v>
      </c>
      <c r="DZ56" s="10"/>
      <c r="EA56" s="10">
        <v>1</v>
      </c>
      <c r="EE56" s="10"/>
      <c r="EF56" s="10">
        <v>1</v>
      </c>
      <c r="EG56" s="10"/>
      <c r="EH56" s="10">
        <v>1</v>
      </c>
      <c r="EL56" s="10"/>
      <c r="EM56" s="10">
        <v>1</v>
      </c>
      <c r="EN56" s="10"/>
      <c r="EO56" s="10">
        <v>1</v>
      </c>
    </row>
    <row r="57" spans="2:146" outlineLevel="1" x14ac:dyDescent="0.2">
      <c r="B57" t="s">
        <v>28</v>
      </c>
      <c r="C57" t="s">
        <v>131</v>
      </c>
      <c r="E57" s="9"/>
      <c r="F57" t="s">
        <v>167</v>
      </c>
      <c r="G57" s="10">
        <v>0</v>
      </c>
      <c r="I57" s="9">
        <f>+SUMIF($N$3:$ZT$3,I$3,$N57:$ZT57)</f>
        <v>0</v>
      </c>
      <c r="J57" s="11" cm="1">
        <f t="array" ref="J57">MAX(IF($N$3:$EB$3=$J$3,N57:EB57))</f>
        <v>0</v>
      </c>
      <c r="K57" s="11" cm="1">
        <f t="array" ref="K57">MAX(IF($N$3:$EB$3=$J$3,N57:EB57))</f>
        <v>0</v>
      </c>
      <c r="L57" s="9"/>
      <c r="P57" s="10"/>
      <c r="Q57" s="10"/>
      <c r="R57" s="10"/>
      <c r="S57" s="10"/>
      <c r="W57" s="10"/>
      <c r="X57" s="10"/>
      <c r="Y57" s="10"/>
      <c r="Z57" s="10"/>
      <c r="AD57" s="10"/>
      <c r="AE57" s="10"/>
      <c r="AF57" s="10"/>
      <c r="AG57" s="10"/>
      <c r="AK57" s="10"/>
      <c r="AL57" s="10"/>
      <c r="AM57" s="10"/>
      <c r="AN57" s="10"/>
      <c r="AO57" s="10"/>
      <c r="AP57" s="10"/>
      <c r="AR57" s="10"/>
      <c r="AS57" s="10"/>
      <c r="AT57" s="10"/>
      <c r="AU57" s="10"/>
      <c r="AV57" s="10"/>
      <c r="AW57" s="10"/>
      <c r="AY57" s="10"/>
      <c r="AZ57" s="10"/>
      <c r="BA57" s="10"/>
      <c r="BB57" s="10"/>
      <c r="BC57" s="10"/>
      <c r="BD57" s="10"/>
      <c r="BF57" s="10"/>
      <c r="BG57" s="10"/>
      <c r="BH57" s="10"/>
      <c r="BI57" s="10"/>
      <c r="BJ57" s="10"/>
      <c r="BK57" s="10"/>
      <c r="BM57" s="10"/>
      <c r="BN57" s="10">
        <v>0.5</v>
      </c>
      <c r="BO57" s="10"/>
      <c r="BP57" s="10">
        <v>0.5</v>
      </c>
      <c r="BQ57" s="10"/>
      <c r="BR57" s="10"/>
      <c r="BT57" s="10"/>
      <c r="BU57" s="10">
        <v>0.5</v>
      </c>
      <c r="BV57" s="10"/>
      <c r="BW57" s="10">
        <v>0.5</v>
      </c>
      <c r="BX57" s="10"/>
      <c r="BY57" s="10"/>
      <c r="CA57" s="10"/>
      <c r="CB57" s="10">
        <v>0.8</v>
      </c>
      <c r="CC57" s="10"/>
      <c r="CD57" s="10">
        <v>0.8</v>
      </c>
      <c r="CE57" s="10"/>
      <c r="CF57" s="10"/>
      <c r="CH57" s="10"/>
      <c r="CI57" s="10">
        <v>0.8</v>
      </c>
      <c r="CJ57" s="10"/>
      <c r="CK57" s="10">
        <v>0.8</v>
      </c>
      <c r="CL57" s="10"/>
      <c r="CM57" s="10"/>
      <c r="CO57" s="10"/>
      <c r="CP57" s="10">
        <v>1</v>
      </c>
      <c r="CQ57" s="10"/>
      <c r="CR57" s="10">
        <v>1</v>
      </c>
      <c r="CS57" s="10"/>
      <c r="CT57" s="10"/>
      <c r="CU57" s="10"/>
      <c r="CV57" s="10"/>
      <c r="CW57" s="10">
        <v>1</v>
      </c>
      <c r="CX57" s="10"/>
      <c r="CY57" s="10">
        <v>1</v>
      </c>
      <c r="DB57" s="10"/>
      <c r="DC57" s="10"/>
      <c r="DD57" s="10">
        <v>1</v>
      </c>
      <c r="DE57" s="10"/>
      <c r="DF57" s="10">
        <v>1</v>
      </c>
      <c r="DI57" s="10"/>
      <c r="DJ57" s="10"/>
      <c r="DK57" s="10">
        <v>1</v>
      </c>
      <c r="DL57" s="10"/>
      <c r="DM57" s="10">
        <v>1</v>
      </c>
      <c r="DP57" s="10"/>
      <c r="DQ57" s="10"/>
      <c r="DR57" s="10">
        <v>1</v>
      </c>
      <c r="DS57" s="10"/>
      <c r="DT57" s="10">
        <v>1</v>
      </c>
      <c r="DW57" s="10"/>
      <c r="DX57" s="10"/>
      <c r="DY57" s="10">
        <v>1</v>
      </c>
      <c r="DZ57" s="10"/>
      <c r="EA57" s="10">
        <v>1</v>
      </c>
      <c r="ED57" s="10"/>
      <c r="EE57" s="10"/>
      <c r="EF57" s="10">
        <v>1</v>
      </c>
      <c r="EG57" s="10"/>
      <c r="EH57" s="10">
        <v>1</v>
      </c>
      <c r="EK57" s="10"/>
      <c r="EL57" s="10"/>
      <c r="EM57" s="10">
        <v>1</v>
      </c>
      <c r="EN57" s="10"/>
      <c r="EO57" s="10">
        <v>1</v>
      </c>
    </row>
  </sheetData>
  <mergeCells count="20">
    <mergeCell ref="EK2:EP2"/>
    <mergeCell ref="DB2:DG2"/>
    <mergeCell ref="DI2:DN2"/>
    <mergeCell ref="DP2:DU2"/>
    <mergeCell ref="DW2:EB2"/>
    <mergeCell ref="ED2:EI2"/>
    <mergeCell ref="CN2:CS2"/>
    <mergeCell ref="CU2:CZ2"/>
    <mergeCell ref="BE2:BJ2"/>
    <mergeCell ref="BL2:BQ2"/>
    <mergeCell ref="BS2:BX2"/>
    <mergeCell ref="BZ2:CE2"/>
    <mergeCell ref="CG2:CL2"/>
    <mergeCell ref="I2:L2"/>
    <mergeCell ref="AX2:BC2"/>
    <mergeCell ref="O2:T2"/>
    <mergeCell ref="V2:AA2"/>
    <mergeCell ref="AC2:AH2"/>
    <mergeCell ref="AJ2:AO2"/>
    <mergeCell ref="AQ2:AV2"/>
  </mergeCells>
  <phoneticPr fontId="6" type="noConversion"/>
  <conditionalFormatting sqref="J5:J14">
    <cfRule type="colorScale" priority="1062">
      <colorScale>
        <cfvo type="percent" val="0"/>
        <cfvo type="percent" val="100"/>
        <color rgb="FFFF231B"/>
        <color rgb="FF10FF07"/>
      </colorScale>
    </cfRule>
  </conditionalFormatting>
  <conditionalFormatting sqref="J18">
    <cfRule type="colorScale" priority="454">
      <colorScale>
        <cfvo type="percent" val="0"/>
        <cfvo type="percent" val="100"/>
        <color rgb="FFFF231B"/>
        <color rgb="FF10FF07"/>
      </colorScale>
    </cfRule>
  </conditionalFormatting>
  <conditionalFormatting sqref="J19">
    <cfRule type="colorScale" priority="435">
      <colorScale>
        <cfvo type="percent" val="0"/>
        <cfvo type="percent" val="100"/>
        <color rgb="FFFF231B"/>
        <color rgb="FF10FF07"/>
      </colorScale>
    </cfRule>
  </conditionalFormatting>
  <conditionalFormatting sqref="J20:J25 J17">
    <cfRule type="colorScale" priority="1066">
      <colorScale>
        <cfvo type="percent" val="0"/>
        <cfvo type="percent" val="100"/>
        <color rgb="FFFF231B"/>
        <color rgb="FF10FF07"/>
      </colorScale>
    </cfRule>
  </conditionalFormatting>
  <conditionalFormatting sqref="J29:J34">
    <cfRule type="colorScale" priority="1073">
      <colorScale>
        <cfvo type="percent" val="0"/>
        <cfvo type="percent" val="100"/>
        <color rgb="FFFF231B"/>
        <color rgb="FF10FF07"/>
      </colorScale>
    </cfRule>
  </conditionalFormatting>
  <conditionalFormatting sqref="J37:J43">
    <cfRule type="colorScale" priority="999">
      <colorScale>
        <cfvo type="percent" val="0"/>
        <cfvo type="percent" val="100"/>
        <color rgb="FFFF231B"/>
        <color rgb="FF10FF07"/>
      </colorScale>
    </cfRule>
  </conditionalFormatting>
  <conditionalFormatting sqref="J6:K13">
    <cfRule type="colorScale" priority="1064">
      <colorScale>
        <cfvo type="percent" val="0"/>
        <cfvo type="percent" val="100"/>
        <color rgb="FFFF231B"/>
        <color rgb="FF10FF07"/>
      </colorScale>
    </cfRule>
  </conditionalFormatting>
  <conditionalFormatting sqref="J14:K14">
    <cfRule type="colorScale" priority="61">
      <colorScale>
        <cfvo type="percent" val="0"/>
        <cfvo type="percent" val="100"/>
        <color rgb="FFFF231B"/>
        <color rgb="FF10FF07"/>
      </colorScale>
    </cfRule>
  </conditionalFormatting>
  <conditionalFormatting sqref="J18:K18">
    <cfRule type="colorScale" priority="455">
      <colorScale>
        <cfvo type="percent" val="0"/>
        <cfvo type="percent" val="100"/>
        <color rgb="FFFF231B"/>
        <color rgb="FF10FF07"/>
      </colorScale>
    </cfRule>
  </conditionalFormatting>
  <conditionalFormatting sqref="J19:K19">
    <cfRule type="colorScale" priority="436">
      <colorScale>
        <cfvo type="percent" val="0"/>
        <cfvo type="percent" val="100"/>
        <color rgb="FFFF231B"/>
        <color rgb="FF10FF07"/>
      </colorScale>
    </cfRule>
  </conditionalFormatting>
  <conditionalFormatting sqref="J20:K25">
    <cfRule type="colorScale" priority="1068">
      <colorScale>
        <cfvo type="percent" val="0"/>
        <cfvo type="percent" val="100"/>
        <color rgb="FFFF231B"/>
        <color rgb="FF10FF07"/>
      </colorScale>
    </cfRule>
  </conditionalFormatting>
  <conditionalFormatting sqref="J30:K34">
    <cfRule type="colorScale" priority="1074">
      <colorScale>
        <cfvo type="percent" val="0"/>
        <cfvo type="percent" val="100"/>
        <color rgb="FFFF231B"/>
        <color rgb="FF10FF07"/>
      </colorScale>
    </cfRule>
  </conditionalFormatting>
  <conditionalFormatting sqref="J38:K43">
    <cfRule type="colorScale" priority="997">
      <colorScale>
        <cfvo type="percent" val="0"/>
        <cfvo type="percent" val="100"/>
        <color rgb="FFFF231B"/>
        <color rgb="FF10FF07"/>
      </colorScale>
    </cfRule>
  </conditionalFormatting>
  <conditionalFormatting sqref="K5:K14">
    <cfRule type="colorScale" priority="1065">
      <colorScale>
        <cfvo type="percent" val="0"/>
        <cfvo type="percent" val="100"/>
        <color rgb="FFFF231B"/>
        <color rgb="FF10FF07"/>
      </colorScale>
    </cfRule>
  </conditionalFormatting>
  <conditionalFormatting sqref="K18">
    <cfRule type="colorScale" priority="453">
      <colorScale>
        <cfvo type="percent" val="0"/>
        <cfvo type="percent" val="100"/>
        <color rgb="FFFF231B"/>
        <color rgb="FF10FF07"/>
      </colorScale>
    </cfRule>
  </conditionalFormatting>
  <conditionalFormatting sqref="K19">
    <cfRule type="colorScale" priority="434">
      <colorScale>
        <cfvo type="percent" val="0"/>
        <cfvo type="percent" val="100"/>
        <color rgb="FFFF231B"/>
        <color rgb="FF10FF07"/>
      </colorScale>
    </cfRule>
  </conditionalFormatting>
  <conditionalFormatting sqref="K20:K25 K17">
    <cfRule type="colorScale" priority="1069">
      <colorScale>
        <cfvo type="percent" val="0"/>
        <cfvo type="percent" val="100"/>
        <color rgb="FFFF231B"/>
        <color rgb="FF10FF07"/>
      </colorScale>
    </cfRule>
  </conditionalFormatting>
  <conditionalFormatting sqref="K29:K34">
    <cfRule type="colorScale" priority="1075">
      <colorScale>
        <cfvo type="percent" val="0"/>
        <cfvo type="percent" val="100"/>
        <color rgb="FFFF231B"/>
        <color rgb="FF10FF07"/>
      </colorScale>
    </cfRule>
  </conditionalFormatting>
  <conditionalFormatting sqref="K37:K43">
    <cfRule type="colorScale" priority="1001">
      <colorScale>
        <cfvo type="percent" val="0"/>
        <cfvo type="percent" val="100"/>
        <color rgb="FFFF231B"/>
        <color rgb="FF10FF07"/>
      </colorScale>
    </cfRule>
  </conditionalFormatting>
  <conditionalFormatting sqref="W5:W14 Y5:Y14 AD5:AD14 AF5:AF14 AK5:AK14 AM5:AM14 CV5:CV14 CX5:CX14 W17:W26 Y17:Y26 AD17:AD26 AF17:AF26 AK17:AK26 AM17:AM26 CV17:CV26 CX17:CX26 W29:W34 Y29:Y34 AD29:AD34 AF29:AF34 AK29:AK34 AM29:AM34 CV29:CV34 CX29:CX34 T53:W54 AA53:AD54 AH53:AK54 CV55:CV56 W46:W52 AD46:AD52 AK46:AK52 CV46:CV52 W55:W57 AD55:AD57 AK55:AK57 AO57:AP57 Y46:Y57 AF46:AF57 AM46:AM57 CX46:CX57 P5:P14 R5:R14 P17:P26 R17:R26 P29:P34 R29:R34 P46:P57 R46:R57 N53:N54 AR5:AR14 AT5:AT14 AR17:AR26 AT17:AT26 AR29:AR34 AT29:AT34 AO53:AR54 AR46:AR52 AR55:AR57 AV57:AW57 AT46:AT57 AY5:AY14 BA5:BA14 AY17:AY26 BA17:BA26 AY29:AY34 BA29:BA34 AV53:AY54 AY46:AY52 AY55:AY57 BC57:BD57 BA46:BA57 BF5:BF14 BH5:BH14 BF17:BF26 BH17:BH26 BF29:BF34 BH29:BH34 BC53:BF54 BF46:BF52 BF55:BF57 BJ57:BK57 BH46:BH57 BM5:BM14 BO5:BO14 BM17:BM26 BO17:BO26 BM29:BM34 BO29:BO34 BJ53:BM54 BM46:BM52 BM55:BM57 BQ57:BR57 BO46:BO57 BT5:BT14 BV5:BV14 BT17:BT26 BV17:BV26 BT29:BT34 BV29:BV34 BQ53:BT54 BT46:BT52 BT55:BT57 BX57:BY57 BV46:BV57 CA5:CA14 CC5:CC14 CA17:CA26 CC17:CC26 CA29:CA34 CC29:CC34 BX53:CA54 CA46:CA52 CA55:CA57 CE57:CF57 CC46:CC57 CH5:CH14 CJ5:CJ14 CH17:CH26 CJ17:CJ26 CH29:CH34 CJ29:CJ34 CE53:CH54 CH46:CH52 CH55:CH57 CL57:CM57 CJ46:CJ57 CO5:CO14 CQ5:CQ14 CO17:CO26 CQ17:CQ26 CO29:CO34 CQ29:CQ34 CL53:CO54 CS53:CV54 CO46:CO52 CO55:CO57 CS57:CV57 CQ46:CQ57 DC5:DC14 DE5:DE14 DC17:DC26 DE17:DE26 DC29:DC34 DE29:DE34 DC55:DC56 DC46:DC52 DE46:DE57 CZ53:DC54 DB57:DC57 DJ5:DJ14 DL5:DL14 DJ17:DJ26 DL17:DL26 DJ29:DJ34 DL29:DL34 DJ55:DJ56 DJ46:DJ52 DL46:DL57 DG53:DJ54 DI57:DJ57 DQ5:DQ14 DS5:DS14 DQ17:DQ26 DS17:DS26 DQ29:DQ34 DS29:DS34 DQ55:DQ56 DQ46:DQ52 DS46:DS57 DN53:DQ54 DP57:DQ57 DX5:DX14 DZ5:DZ14 DX17:DX26 DZ17:DZ26 DX29:DX34 DZ29:DZ34 DX55:DX56 DX46:DX52 DZ46:DZ57 DU53:DX54 DW57:DX57 EE5:EE14 EG5:EG14 EE17:EE26 EG17:EG26 EE29:EE34 EG29:EG34 EE55:EE56 EE46:EE52 EG46:EG57 EB53:EE54 ED57:EE57 EL5:EL14 EN5:EN14 EL17:EL26 EN17:EN26 EL29:EL34 EN29:EN34 EL55:EL56 EL46:EL52 EN46:EN57 EI53:EL54 EK57:EL57 EP53:EP54">
    <cfRule type="expression" dxfId="89" priority="874">
      <formula>OR(IF(N5&lt;O5,TRUE),IF(AND(O5="",N5&lt;&gt;""),TRUE))</formula>
    </cfRule>
    <cfRule type="expression" dxfId="88" priority="875">
      <formula>IF(N5&gt;=O5,IF(N5="",FALSE,TRUE))</formula>
    </cfRule>
  </conditionalFormatting>
  <conditionalFormatting sqref="W37:W43">
    <cfRule type="expression" dxfId="87" priority="207">
      <formula>OR(IF(W37&lt;X37,TRUE),IF(AND(X37="",W37&lt;&gt;""),TRUE))</formula>
    </cfRule>
    <cfRule type="expression" dxfId="86" priority="208">
      <formula>IF(W37&gt;=X37,IF(W37="",FALSE,TRUE))</formula>
    </cfRule>
  </conditionalFormatting>
  <conditionalFormatting sqref="Y37:Y43">
    <cfRule type="expression" dxfId="85" priority="205">
      <formula>OR(IF(Y37&lt;Z37,TRUE),IF(AND(Z37="",Y37&lt;&gt;""),TRUE))</formula>
    </cfRule>
    <cfRule type="expression" dxfId="84" priority="206">
      <formula>IF(Y37&gt;=Z37,IF(Y37="",FALSE,TRUE))</formula>
    </cfRule>
  </conditionalFormatting>
  <conditionalFormatting sqref="AD37:AD43">
    <cfRule type="expression" dxfId="83" priority="201">
      <formula>OR(IF(AD37&lt;AE37,TRUE),IF(AND(AE37="",AD37&lt;&gt;""),TRUE))</formula>
    </cfRule>
    <cfRule type="expression" dxfId="82" priority="202">
      <formula>IF(AD37&gt;=AE37,IF(AD37="",FALSE,TRUE))</formula>
    </cfRule>
  </conditionalFormatting>
  <conditionalFormatting sqref="AF37:AF43">
    <cfRule type="expression" dxfId="81" priority="199">
      <formula>OR(IF(AF37&lt;AG37,TRUE),IF(AND(AG37="",AF37&lt;&gt;""),TRUE))</formula>
    </cfRule>
    <cfRule type="expression" dxfId="80" priority="200">
      <formula>IF(AF37&gt;=AG37,IF(AF37="",FALSE,TRUE))</formula>
    </cfRule>
  </conditionalFormatting>
  <conditionalFormatting sqref="AK37:AK43">
    <cfRule type="expression" dxfId="79" priority="195">
      <formula>OR(IF(AK37&lt;AL37,TRUE),IF(AND(AL37="",AK37&lt;&gt;""),TRUE))</formula>
    </cfRule>
    <cfRule type="expression" dxfId="78" priority="196">
      <formula>IF(AK37&gt;=AL37,IF(AK37="",FALSE,TRUE))</formula>
    </cfRule>
  </conditionalFormatting>
  <conditionalFormatting sqref="AM37:AM43">
    <cfRule type="expression" dxfId="77" priority="193">
      <formula>OR(IF(AM37&lt;AN37,TRUE),IF(AND(AN37="",AM37&lt;&gt;""),TRUE))</formula>
    </cfRule>
    <cfRule type="expression" dxfId="76" priority="194">
      <formula>IF(AM37&gt;=AN37,IF(AM37="",FALSE,TRUE))</formula>
    </cfRule>
  </conditionalFormatting>
  <conditionalFormatting sqref="CV37:CV43">
    <cfRule type="expression" dxfId="75" priority="131">
      <formula>OR(IF(CV37&lt;CW37,TRUE),IF(AND(CW37="",CV37&lt;&gt;""),TRUE))</formula>
    </cfRule>
    <cfRule type="expression" dxfId="74" priority="132">
      <formula>IF(CV37&gt;=CW37,IF(CV37="",FALSE,TRUE))</formula>
    </cfRule>
  </conditionalFormatting>
  <conditionalFormatting sqref="CX37:CX43">
    <cfRule type="expression" dxfId="73" priority="129">
      <formula>OR(IF(CX37&lt;CY37,TRUE),IF(AND(CY37="",CX37&lt;&gt;""),TRUE))</formula>
    </cfRule>
    <cfRule type="expression" dxfId="72" priority="130">
      <formula>IF(CX37&gt;=CY37,IF(CX37="",FALSE,TRUE))</formula>
    </cfRule>
  </conditionalFormatting>
  <conditionalFormatting sqref="J46:K57">
    <cfRule type="colorScale" priority="1078">
      <colorScale>
        <cfvo type="percent" val="0"/>
        <cfvo type="percent" val="100"/>
        <color rgb="FFFF231B"/>
        <color rgb="FF10FF07"/>
      </colorScale>
    </cfRule>
  </conditionalFormatting>
  <conditionalFormatting sqref="J46:J57">
    <cfRule type="colorScale" priority="1159">
      <colorScale>
        <cfvo type="percent" val="0"/>
        <cfvo type="percent" val="100"/>
        <color rgb="FFFF231B"/>
        <color rgb="FF10FF07"/>
      </colorScale>
    </cfRule>
  </conditionalFormatting>
  <conditionalFormatting sqref="K46:K57">
    <cfRule type="colorScale" priority="1160">
      <colorScale>
        <cfvo type="percent" val="0"/>
        <cfvo type="percent" val="100"/>
        <color rgb="FFFF231B"/>
        <color rgb="FF10FF07"/>
      </colorScale>
    </cfRule>
  </conditionalFormatting>
  <conditionalFormatting sqref="P37:P43">
    <cfRule type="expression" dxfId="71" priority="59">
      <formula>OR(IF(P37&lt;Q37,TRUE),IF(AND(Q37="",P37&lt;&gt;""),TRUE))</formula>
    </cfRule>
    <cfRule type="expression" dxfId="70" priority="60">
      <formula>IF(P37&gt;=Q37,IF(P37="",FALSE,TRUE))</formula>
    </cfRule>
  </conditionalFormatting>
  <conditionalFormatting sqref="R37:R43">
    <cfRule type="expression" dxfId="69" priority="57">
      <formula>OR(IF(R37&lt;S37,TRUE),IF(AND(S37="",R37&lt;&gt;""),TRUE))</formula>
    </cfRule>
    <cfRule type="expression" dxfId="68" priority="58">
      <formula>IF(R37&gt;=S37,IF(R37="",FALSE,TRUE))</formula>
    </cfRule>
  </conditionalFormatting>
  <conditionalFormatting sqref="AR37:AR43">
    <cfRule type="expression" dxfId="67" priority="55">
      <formula>OR(IF(AR37&lt;AS37,TRUE),IF(AND(AS37="",AR37&lt;&gt;""),TRUE))</formula>
    </cfRule>
    <cfRule type="expression" dxfId="66" priority="56">
      <formula>IF(AR37&gt;=AS37,IF(AR37="",FALSE,TRUE))</formula>
    </cfRule>
  </conditionalFormatting>
  <conditionalFormatting sqref="AT37:AT43">
    <cfRule type="expression" dxfId="65" priority="53">
      <formula>OR(IF(AT37&lt;AU37,TRUE),IF(AND(AU37="",AT37&lt;&gt;""),TRUE))</formula>
    </cfRule>
    <cfRule type="expression" dxfId="64" priority="54">
      <formula>IF(AT37&gt;=AU37,IF(AT37="",FALSE,TRUE))</formula>
    </cfRule>
  </conditionalFormatting>
  <conditionalFormatting sqref="AY37:AY43">
    <cfRule type="expression" dxfId="63" priority="51">
      <formula>OR(IF(AY37&lt;AZ37,TRUE),IF(AND(AZ37="",AY37&lt;&gt;""),TRUE))</formula>
    </cfRule>
    <cfRule type="expression" dxfId="62" priority="52">
      <formula>IF(AY37&gt;=AZ37,IF(AY37="",FALSE,TRUE))</formula>
    </cfRule>
  </conditionalFormatting>
  <conditionalFormatting sqref="BA37:BA43">
    <cfRule type="expression" dxfId="61" priority="49">
      <formula>OR(IF(BA37&lt;BB37,TRUE),IF(AND(BB37="",BA37&lt;&gt;""),TRUE))</formula>
    </cfRule>
    <cfRule type="expression" dxfId="60" priority="50">
      <formula>IF(BA37&gt;=BB37,IF(BA37="",FALSE,TRUE))</formula>
    </cfRule>
  </conditionalFormatting>
  <conditionalFormatting sqref="BF37:BF43">
    <cfRule type="expression" dxfId="59" priority="47">
      <formula>OR(IF(BF37&lt;BG37,TRUE),IF(AND(BG37="",BF37&lt;&gt;""),TRUE))</formula>
    </cfRule>
    <cfRule type="expression" dxfId="58" priority="48">
      <formula>IF(BF37&gt;=BG37,IF(BF37="",FALSE,TRUE))</formula>
    </cfRule>
  </conditionalFormatting>
  <conditionalFormatting sqref="BH37:BH43">
    <cfRule type="expression" dxfId="57" priority="45">
      <formula>OR(IF(BH37&lt;BI37,TRUE),IF(AND(BI37="",BH37&lt;&gt;""),TRUE))</formula>
    </cfRule>
    <cfRule type="expression" dxfId="56" priority="46">
      <formula>IF(BH37&gt;=BI37,IF(BH37="",FALSE,TRUE))</formula>
    </cfRule>
  </conditionalFormatting>
  <conditionalFormatting sqref="BM37:BM43">
    <cfRule type="expression" dxfId="55" priority="43">
      <formula>OR(IF(BM37&lt;BN37,TRUE),IF(AND(BN37="",BM37&lt;&gt;""),TRUE))</formula>
    </cfRule>
    <cfRule type="expression" dxfId="54" priority="44">
      <formula>IF(BM37&gt;=BN37,IF(BM37="",FALSE,TRUE))</formula>
    </cfRule>
  </conditionalFormatting>
  <conditionalFormatting sqref="BO37:BO43">
    <cfRule type="expression" dxfId="53" priority="41">
      <formula>OR(IF(BO37&lt;BP37,TRUE),IF(AND(BP37="",BO37&lt;&gt;""),TRUE))</formula>
    </cfRule>
    <cfRule type="expression" dxfId="52" priority="42">
      <formula>IF(BO37&gt;=BP37,IF(BO37="",FALSE,TRUE))</formula>
    </cfRule>
  </conditionalFormatting>
  <conditionalFormatting sqref="BT37:BT43">
    <cfRule type="expression" dxfId="51" priority="39">
      <formula>OR(IF(BT37&lt;BU37,TRUE),IF(AND(BU37="",BT37&lt;&gt;""),TRUE))</formula>
    </cfRule>
    <cfRule type="expression" dxfId="50" priority="40">
      <formula>IF(BT37&gt;=BU37,IF(BT37="",FALSE,TRUE))</formula>
    </cfRule>
  </conditionalFormatting>
  <conditionalFormatting sqref="BV37:BV43">
    <cfRule type="expression" dxfId="49" priority="37">
      <formula>OR(IF(BV37&lt;BW37,TRUE),IF(AND(BW37="",BV37&lt;&gt;""),TRUE))</formula>
    </cfRule>
    <cfRule type="expression" dxfId="48" priority="38">
      <formula>IF(BV37&gt;=BW37,IF(BV37="",FALSE,TRUE))</formula>
    </cfRule>
  </conditionalFormatting>
  <conditionalFormatting sqref="CA37:CA43">
    <cfRule type="expression" dxfId="47" priority="35">
      <formula>OR(IF(CA37&lt;CB37,TRUE),IF(AND(CB37="",CA37&lt;&gt;""),TRUE))</formula>
    </cfRule>
    <cfRule type="expression" dxfId="46" priority="36">
      <formula>IF(CA37&gt;=CB37,IF(CA37="",FALSE,TRUE))</formula>
    </cfRule>
  </conditionalFormatting>
  <conditionalFormatting sqref="CC37:CC43">
    <cfRule type="expression" dxfId="45" priority="33">
      <formula>OR(IF(CC37&lt;CD37,TRUE),IF(AND(CD37="",CC37&lt;&gt;""),TRUE))</formula>
    </cfRule>
    <cfRule type="expression" dxfId="44" priority="34">
      <formula>IF(CC37&gt;=CD37,IF(CC37="",FALSE,TRUE))</formula>
    </cfRule>
  </conditionalFormatting>
  <conditionalFormatting sqref="CH37:CH43">
    <cfRule type="expression" dxfId="43" priority="31">
      <formula>OR(IF(CH37&lt;CI37,TRUE),IF(AND(CI37="",CH37&lt;&gt;""),TRUE))</formula>
    </cfRule>
    <cfRule type="expression" dxfId="42" priority="32">
      <formula>IF(CH37&gt;=CI37,IF(CH37="",FALSE,TRUE))</formula>
    </cfRule>
  </conditionalFormatting>
  <conditionalFormatting sqref="CJ37:CJ43">
    <cfRule type="expression" dxfId="41" priority="29">
      <formula>OR(IF(CJ37&lt;CK37,TRUE),IF(AND(CK37="",CJ37&lt;&gt;""),TRUE))</formula>
    </cfRule>
    <cfRule type="expression" dxfId="40" priority="30">
      <formula>IF(CJ37&gt;=CK37,IF(CJ37="",FALSE,TRUE))</formula>
    </cfRule>
  </conditionalFormatting>
  <conditionalFormatting sqref="CO37:CO43">
    <cfRule type="expression" dxfId="39" priority="27">
      <formula>OR(IF(CO37&lt;CP37,TRUE),IF(AND(CP37="",CO37&lt;&gt;""),TRUE))</formula>
    </cfRule>
    <cfRule type="expression" dxfId="38" priority="28">
      <formula>IF(CO37&gt;=CP37,IF(CO37="",FALSE,TRUE))</formula>
    </cfRule>
  </conditionalFormatting>
  <conditionalFormatting sqref="CQ37:CQ43">
    <cfRule type="expression" dxfId="37" priority="25">
      <formula>OR(IF(CQ37&lt;CR37,TRUE),IF(AND(CR37="",CQ37&lt;&gt;""),TRUE))</formula>
    </cfRule>
    <cfRule type="expression" dxfId="36" priority="26">
      <formula>IF(CQ37&gt;=CR37,IF(CQ37="",FALSE,TRUE))</formula>
    </cfRule>
  </conditionalFormatting>
  <conditionalFormatting sqref="DC37:DC43">
    <cfRule type="expression" dxfId="35" priority="23">
      <formula>OR(IF(DC37&lt;DD37,TRUE),IF(AND(DD37="",DC37&lt;&gt;""),TRUE))</formula>
    </cfRule>
    <cfRule type="expression" dxfId="34" priority="24">
      <formula>IF(DC37&gt;=DD37,IF(DC37="",FALSE,TRUE))</formula>
    </cfRule>
  </conditionalFormatting>
  <conditionalFormatting sqref="DE37:DE43">
    <cfRule type="expression" dxfId="33" priority="21">
      <formula>OR(IF(DE37&lt;DF37,TRUE),IF(AND(DF37="",DE37&lt;&gt;""),TRUE))</formula>
    </cfRule>
    <cfRule type="expression" dxfId="32" priority="22">
      <formula>IF(DE37&gt;=DF37,IF(DE37="",FALSE,TRUE))</formula>
    </cfRule>
  </conditionalFormatting>
  <conditionalFormatting sqref="DJ37:DJ43">
    <cfRule type="expression" dxfId="19" priority="19">
      <formula>OR(IF(DJ37&lt;DK37,TRUE),IF(AND(DK37="",DJ37&lt;&gt;""),TRUE))</formula>
    </cfRule>
    <cfRule type="expression" dxfId="18" priority="20">
      <formula>IF(DJ37&gt;=DK37,IF(DJ37="",FALSE,TRUE))</formula>
    </cfRule>
  </conditionalFormatting>
  <conditionalFormatting sqref="DL37:DL43">
    <cfRule type="expression" dxfId="17" priority="17">
      <formula>OR(IF(DL37&lt;DM37,TRUE),IF(AND(DM37="",DL37&lt;&gt;""),TRUE))</formula>
    </cfRule>
    <cfRule type="expression" dxfId="16" priority="18">
      <formula>IF(DL37&gt;=DM37,IF(DL37="",FALSE,TRUE))</formula>
    </cfRule>
  </conditionalFormatting>
  <conditionalFormatting sqref="DQ37:DQ43">
    <cfRule type="expression" dxfId="15" priority="15">
      <formula>OR(IF(DQ37&lt;DR37,TRUE),IF(AND(DR37="",DQ37&lt;&gt;""),TRUE))</formula>
    </cfRule>
    <cfRule type="expression" dxfId="14" priority="16">
      <formula>IF(DQ37&gt;=DR37,IF(DQ37="",FALSE,TRUE))</formula>
    </cfRule>
  </conditionalFormatting>
  <conditionalFormatting sqref="DS37:DS43">
    <cfRule type="expression" dxfId="13" priority="13">
      <formula>OR(IF(DS37&lt;DT37,TRUE),IF(AND(DT37="",DS37&lt;&gt;""),TRUE))</formula>
    </cfRule>
    <cfRule type="expression" dxfId="12" priority="14">
      <formula>IF(DS37&gt;=DT37,IF(DS37="",FALSE,TRUE))</formula>
    </cfRule>
  </conditionalFormatting>
  <conditionalFormatting sqref="DX37:DX43">
    <cfRule type="expression" dxfId="11" priority="11">
      <formula>OR(IF(DX37&lt;DY37,TRUE),IF(AND(DY37="",DX37&lt;&gt;""),TRUE))</formula>
    </cfRule>
    <cfRule type="expression" dxfId="10" priority="12">
      <formula>IF(DX37&gt;=DY37,IF(DX37="",FALSE,TRUE))</formula>
    </cfRule>
  </conditionalFormatting>
  <conditionalFormatting sqref="DZ37:DZ43">
    <cfRule type="expression" dxfId="9" priority="9">
      <formula>OR(IF(DZ37&lt;EA37,TRUE),IF(AND(EA37="",DZ37&lt;&gt;""),TRUE))</formula>
    </cfRule>
    <cfRule type="expression" dxfId="8" priority="10">
      <formula>IF(DZ37&gt;=EA37,IF(DZ37="",FALSE,TRUE))</formula>
    </cfRule>
  </conditionalFormatting>
  <conditionalFormatting sqref="EE37:EE43">
    <cfRule type="expression" dxfId="7" priority="7">
      <formula>OR(IF(EE37&lt;EF37,TRUE),IF(AND(EF37="",EE37&lt;&gt;""),TRUE))</formula>
    </cfRule>
    <cfRule type="expression" dxfId="6" priority="8">
      <formula>IF(EE37&gt;=EF37,IF(EE37="",FALSE,TRUE))</formula>
    </cfRule>
  </conditionalFormatting>
  <conditionalFormatting sqref="EG37:EG43">
    <cfRule type="expression" dxfId="5" priority="5">
      <formula>OR(IF(EG37&lt;EH37,TRUE),IF(AND(EH37="",EG37&lt;&gt;""),TRUE))</formula>
    </cfRule>
    <cfRule type="expression" dxfId="4" priority="6">
      <formula>IF(EG37&gt;=EH37,IF(EG37="",FALSE,TRUE))</formula>
    </cfRule>
  </conditionalFormatting>
  <conditionalFormatting sqref="EL37:EL43">
    <cfRule type="expression" dxfId="3" priority="3">
      <formula>OR(IF(EL37&lt;EM37,TRUE),IF(AND(EM37="",EL37&lt;&gt;""),TRUE))</formula>
    </cfRule>
    <cfRule type="expression" dxfId="2" priority="4">
      <formula>IF(EL37&gt;=EM37,IF(EL37="",FALSE,TRUE))</formula>
    </cfRule>
  </conditionalFormatting>
  <conditionalFormatting sqref="EN37:EN43">
    <cfRule type="expression" dxfId="1" priority="1">
      <formula>OR(IF(EN37&lt;EO37,TRUE),IF(AND(EO37="",EN37&lt;&gt;""),TRUE))</formula>
    </cfRule>
    <cfRule type="expression" dxfId="0" priority="2">
      <formula>IF(EN37&gt;=EO37,IF(EN37="",FALSE,TRUE))</formula>
    </cfRule>
  </conditionalFormatting>
  <dataValidations count="1">
    <dataValidation type="list" allowBlank="1" showInputMessage="1" showErrorMessage="1" sqref="W29:Z34 DY46:EA57 AK29:AN34 AD29:AG34 DK46:DM57 AY55:AY57 DX55:DX56 P29:S34 W17:Z26 AK37:AN43 AD37:AG43 DQ29:DT34 AR37:AU43 AY37:BB43 AZ53:BA57 P37:S43 AY29:BB34 CH46:CJ52 CB53:CC57 CA46:CC52 CH55:CH57 BF55:BF57 CA5:CD14 BU53:BV57 AR5:AU14 CH17:CK26 EE55:EE56 BB57:BD57 P17:S26 AG46:AG57 W37:Z43 N53:N54 DX46:DX52 AU57:AW57 CR46:CR56 CV17:CY26 CV29:CY34 CO37:CR43 CO29:CR34 CO17:CR26 DC29:DF34 DD46:DF57 DC55:DC56 DJ55:DJ56 DJ46:DJ52 DJ37:DM43 DR46:DT57 DQ55:DQ56 DQ46:DQ52 DX37:EA43 EE46:EE52 EE37:EH43 EI53:EL54 DU53:DX54 DN53:DQ54 DG53:DJ54 CZ53:DC54 CW46:CY57 AV53:AY54 W5:Z14 AD5:AG14 AK5:AN14 AO53:AR54 BG53:BH57 BC53:BF54 DW57:DX57 CL53:CO54 CE53:CH54 CS53:CV54 DQ37:DT43 BI57:BK57 EB53:EE54 BT46:BV52 CH5:CK14 CA29:CD34 T53:W54 BQ53:BT54 ED57:EE57 AN57:AP57 AH53:AK54 DX5:EA14 BJ53:BM54 BF46:BH52 CP53:CQ57 DC46:DC52 DI57:DJ57 DP57:DQ57 DX17:EA26 DQ5:DT14 DJ5:DM14 DC37:DF43 CV55:CV56 CL57:CM57 CA17:CD26 BT17:BW26 BW57:BY57 EE5:EH14 AR29:AU34 BF5:BI14 BF29:BI34 AR55:AR57 AY46:BA52 AS53:AT57 AD55:AF57 EE17:EH26 AA53:AF54 W55:W57 BP57:BR57 AK55:AK57 AY17:BB26 AL53:AM57 AR46:AT52 P5:S14 BT29:BW34 BI46:BI56 CD46:CD57 CA37:CD43 BW46:BW56 BM55:BM57 BN53:BO57 BM46:BO52 BM17:BP26 BM29:BP34 BM5:BP14 CA55:CA57 P46:S57 AK46:AM52 BT37:BW43 X46:Z57 W46:W52 AD46:AF52 AD17:AG26 AK17:AN26 AN46:AN56 AR17:AU26 AU46:AU56 AY5:BB14 BB46:BB56 BF37:BI43 BF17:BI26 BM37:BP43 BX53:CA54 BP46:BP56 CE57:CF57 CH37:CK43 CH29:CK34 CV46:CV52 CV37:CY43 CK46:CK57 CR57:CV57 CV5:CY14 DB57:DC57 DJ17:DM26 DC5:DF14 DQ17:DT26 BT5:BW14 BT55:BT57 CI53:CJ57 CO46:CQ52 CO55:CO57 CO5:CR14 DC17:DF26 DJ29:DM34 DX29:EA34 EE29:EH34 EF46:EH57 EL29:EO34 EM46:EO57 EL55:EL56 EP53:EP54 EL46:EL52 EL37:EO43 EK57:EL57 EL5:EO14 EL17:EO26"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A2" sqref="A2:A46"/>
    </sheetView>
  </sheetViews>
  <sheetFormatPr defaultColWidth="10.6015625" defaultRowHeight="15" x14ac:dyDescent="0.2"/>
  <cols>
    <col min="1" max="1" width="16.76953125" style="9" customWidth="1"/>
    <col min="2" max="2" width="19.11328125" style="9" customWidth="1"/>
    <col min="3" max="3" width="18.125" style="9" customWidth="1"/>
    <col min="4" max="4" width="19.48046875" style="9" customWidth="1"/>
    <col min="8" max="8" width="15.1640625" customWidth="1"/>
    <col min="10" max="10" width="42.046875" customWidth="1"/>
    <col min="11" max="11" width="28.484375" customWidth="1"/>
  </cols>
  <sheetData>
    <row r="1" spans="1:11" ht="30" x14ac:dyDescent="0.2">
      <c r="A1" s="9" t="s">
        <v>48</v>
      </c>
      <c r="B1" s="15" t="s">
        <v>45</v>
      </c>
      <c r="C1" s="15" t="s">
        <v>46</v>
      </c>
      <c r="D1" s="15" t="s">
        <v>47</v>
      </c>
      <c r="E1" s="1" t="s">
        <v>49</v>
      </c>
      <c r="F1" s="1" t="s">
        <v>50</v>
      </c>
      <c r="G1" s="1" t="s">
        <v>51</v>
      </c>
      <c r="H1" s="1" t="s">
        <v>52</v>
      </c>
      <c r="I1" s="1" t="s">
        <v>53</v>
      </c>
      <c r="J1" s="1" t="s">
        <v>54</v>
      </c>
      <c r="K1" s="1" t="s">
        <v>55</v>
      </c>
    </row>
    <row r="2" spans="1:11" x14ac:dyDescent="0.2">
      <c r="A2" s="14">
        <v>45776</v>
      </c>
      <c r="D2" s="11"/>
    </row>
    <row r="3" spans="1:11" x14ac:dyDescent="0.2">
      <c r="A3" s="14">
        <v>45777</v>
      </c>
    </row>
    <row r="4" spans="1:11" x14ac:dyDescent="0.2">
      <c r="A4" s="14">
        <v>45778</v>
      </c>
    </row>
    <row r="5" spans="1:11" x14ac:dyDescent="0.2">
      <c r="A5" s="14">
        <v>45779</v>
      </c>
    </row>
    <row r="6" spans="1:11" x14ac:dyDescent="0.2">
      <c r="A6" s="14">
        <v>45780</v>
      </c>
    </row>
    <row r="7" spans="1:11" x14ac:dyDescent="0.2">
      <c r="A7" s="14">
        <v>45781</v>
      </c>
    </row>
    <row r="8" spans="1:11" x14ac:dyDescent="0.2">
      <c r="A8" s="14">
        <v>45782</v>
      </c>
    </row>
    <row r="9" spans="1:11" x14ac:dyDescent="0.2">
      <c r="A9" s="14">
        <v>45783</v>
      </c>
    </row>
    <row r="10" spans="1:11" x14ac:dyDescent="0.2">
      <c r="A10" s="14">
        <v>45784</v>
      </c>
    </row>
    <row r="11" spans="1:11" x14ac:dyDescent="0.2">
      <c r="A11" s="14">
        <v>45785</v>
      </c>
    </row>
    <row r="12" spans="1:11" x14ac:dyDescent="0.2">
      <c r="A12" s="14">
        <v>45786</v>
      </c>
    </row>
    <row r="13" spans="1:11" x14ac:dyDescent="0.2">
      <c r="A13" s="14">
        <v>45787</v>
      </c>
    </row>
    <row r="14" spans="1:11" x14ac:dyDescent="0.2">
      <c r="A14" s="14">
        <v>45788</v>
      </c>
    </row>
    <row r="15" spans="1:11" x14ac:dyDescent="0.2">
      <c r="A15" s="14">
        <v>45789</v>
      </c>
    </row>
    <row r="16" spans="1:11" x14ac:dyDescent="0.2">
      <c r="A16" s="14">
        <v>45790</v>
      </c>
    </row>
    <row r="17" spans="1:1" x14ac:dyDescent="0.2">
      <c r="A17" s="14">
        <v>45791</v>
      </c>
    </row>
    <row r="18" spans="1:1" x14ac:dyDescent="0.2">
      <c r="A18" s="14">
        <v>45792</v>
      </c>
    </row>
    <row r="19" spans="1:1" x14ac:dyDescent="0.2">
      <c r="A19" s="14">
        <v>45793</v>
      </c>
    </row>
    <row r="20" spans="1:1" x14ac:dyDescent="0.2">
      <c r="A20" s="14">
        <v>45794</v>
      </c>
    </row>
    <row r="21" spans="1:1" x14ac:dyDescent="0.2">
      <c r="A21" s="14">
        <v>45795</v>
      </c>
    </row>
    <row r="22" spans="1:1" x14ac:dyDescent="0.2">
      <c r="A22" s="14">
        <v>45796</v>
      </c>
    </row>
    <row r="23" spans="1:1" x14ac:dyDescent="0.2">
      <c r="A23" s="14">
        <v>45797</v>
      </c>
    </row>
    <row r="24" spans="1:1" x14ac:dyDescent="0.2">
      <c r="A24" s="14">
        <v>45798</v>
      </c>
    </row>
    <row r="25" spans="1:1" x14ac:dyDescent="0.2">
      <c r="A25" s="14">
        <v>45799</v>
      </c>
    </row>
    <row r="26" spans="1:1" x14ac:dyDescent="0.2">
      <c r="A26" s="14">
        <v>45800</v>
      </c>
    </row>
    <row r="27" spans="1:1" x14ac:dyDescent="0.2">
      <c r="A27" s="14">
        <v>45801</v>
      </c>
    </row>
    <row r="28" spans="1:1" x14ac:dyDescent="0.2">
      <c r="A28" s="14">
        <v>45802</v>
      </c>
    </row>
    <row r="29" spans="1:1" x14ac:dyDescent="0.2">
      <c r="A29" s="14">
        <v>45803</v>
      </c>
    </row>
    <row r="30" spans="1:1" x14ac:dyDescent="0.2">
      <c r="A30" s="14">
        <v>45804</v>
      </c>
    </row>
    <row r="31" spans="1:1" x14ac:dyDescent="0.2">
      <c r="A31" s="14">
        <v>45805</v>
      </c>
    </row>
    <row r="32" spans="1:1" x14ac:dyDescent="0.2">
      <c r="A32" s="14">
        <v>45806</v>
      </c>
    </row>
    <row r="33" spans="1:1" x14ac:dyDescent="0.2">
      <c r="A33" s="14">
        <v>45807</v>
      </c>
    </row>
    <row r="34" spans="1:1" x14ac:dyDescent="0.2">
      <c r="A34" s="14">
        <v>45808</v>
      </c>
    </row>
    <row r="35" spans="1:1" x14ac:dyDescent="0.2">
      <c r="A35" s="14">
        <v>45809</v>
      </c>
    </row>
    <row r="36" spans="1:1" x14ac:dyDescent="0.2">
      <c r="A36" s="14">
        <v>45810</v>
      </c>
    </row>
    <row r="37" spans="1:1" x14ac:dyDescent="0.2">
      <c r="A37" s="14">
        <v>45811</v>
      </c>
    </row>
    <row r="38" spans="1:1" x14ac:dyDescent="0.2">
      <c r="A38" s="14">
        <v>45812</v>
      </c>
    </row>
    <row r="39" spans="1:1" x14ac:dyDescent="0.2">
      <c r="A39" s="14">
        <v>45813</v>
      </c>
    </row>
    <row r="40" spans="1:1" x14ac:dyDescent="0.2">
      <c r="A40" s="14">
        <v>45814</v>
      </c>
    </row>
    <row r="41" spans="1:1" x14ac:dyDescent="0.2">
      <c r="A41" s="14">
        <v>45815</v>
      </c>
    </row>
    <row r="42" spans="1:1" x14ac:dyDescent="0.2">
      <c r="A42" s="14">
        <v>45816</v>
      </c>
    </row>
    <row r="43" spans="1:1" x14ac:dyDescent="0.2">
      <c r="A43" s="14">
        <v>45817</v>
      </c>
    </row>
    <row r="44" spans="1:1" x14ac:dyDescent="0.2">
      <c r="A44" s="14">
        <v>45818</v>
      </c>
    </row>
    <row r="45" spans="1:1" x14ac:dyDescent="0.2">
      <c r="A45" s="14">
        <v>45819</v>
      </c>
    </row>
    <row r="46" spans="1:1" x14ac:dyDescent="0.2">
      <c r="A46" s="14">
        <v>45820</v>
      </c>
    </row>
  </sheetData>
  <conditionalFormatting sqref="B2:B46">
    <cfRule type="cellIs" dxfId="31" priority="4" operator="equal">
      <formula>"Ja"</formula>
    </cfRule>
    <cfRule type="cellIs" dxfId="30" priority="14" operator="equal">
      <formula>"Ja"</formula>
    </cfRule>
    <cfRule type="cellIs" dxfId="29" priority="15" operator="equal">
      <formula>"Nein"</formula>
    </cfRule>
  </conditionalFormatting>
  <conditionalFormatting sqref="C2:C46">
    <cfRule type="cellIs" dxfId="28" priority="1" operator="equal">
      <formula>"Ja"</formula>
    </cfRule>
    <cfRule type="cellIs" dxfId="27" priority="2" operator="equal">
      <formula>"Ja"</formula>
    </cfRule>
    <cfRule type="cellIs" dxfId="26" priority="3" operator="equal">
      <formula>"Nein"</formula>
    </cfRule>
  </conditionalFormatting>
  <conditionalFormatting sqref="D2">
    <cfRule type="cellIs" dxfId="25" priority="6" operator="equal">
      <formula>1</formula>
    </cfRule>
    <cfRule type="cellIs" dxfId="24" priority="7" operator="equal">
      <formula>0.8</formula>
    </cfRule>
    <cfRule type="cellIs" dxfId="23" priority="8" operator="equal">
      <formula>0.6</formula>
    </cfRule>
    <cfRule type="cellIs" dxfId="22" priority="9" operator="equal">
      <formula>0.4</formula>
    </cfRule>
    <cfRule type="cellIs" dxfId="21" priority="10" operator="equal">
      <formula>0.2</formula>
    </cfRule>
    <cfRule type="cellIs" dxfId="2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4" sqref="B4"/>
    </sheetView>
  </sheetViews>
  <sheetFormatPr defaultColWidth="10.6015625" defaultRowHeight="15" x14ac:dyDescent="0.2"/>
  <sheetData>
    <row r="1" spans="1:8" ht="25.5" x14ac:dyDescent="0.35">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015625" defaultRowHeight="15" x14ac:dyDescent="0.2"/>
  <sheetData>
    <row r="1" spans="1:8" ht="25.5" x14ac:dyDescent="0.35">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E9A72-34D6-7149-8493-FC53B64A6122}">
  <dimension ref="A1:H27"/>
  <sheetViews>
    <sheetView zoomScale="56" workbookViewId="0">
      <selection activeCell="O22" sqref="O22"/>
    </sheetView>
  </sheetViews>
  <sheetFormatPr defaultColWidth="10.8515625" defaultRowHeight="15" x14ac:dyDescent="0.2"/>
  <cols>
    <col min="1" max="1" width="33.78515625" customWidth="1"/>
    <col min="2" max="2" width="26.87890625" customWidth="1"/>
    <col min="3" max="3" width="29.96484375" customWidth="1"/>
    <col min="4" max="4" width="44.26953125" customWidth="1"/>
    <col min="8" max="8" width="35.51171875" bestFit="1" customWidth="1"/>
  </cols>
  <sheetData>
    <row r="1" spans="1:8" ht="21" x14ac:dyDescent="0.3">
      <c r="A1" s="23" t="s">
        <v>143</v>
      </c>
      <c r="B1" s="23" t="s">
        <v>31</v>
      </c>
      <c r="C1" s="23" t="s">
        <v>144</v>
      </c>
      <c r="D1" s="23" t="s">
        <v>145</v>
      </c>
    </row>
    <row r="2" spans="1:8" ht="21" x14ac:dyDescent="0.3">
      <c r="A2" s="23" t="s">
        <v>155</v>
      </c>
      <c r="B2" s="23">
        <f>SUM(B3:B3:B27)</f>
        <v>63</v>
      </c>
      <c r="C2" s="23"/>
      <c r="D2" s="23"/>
    </row>
    <row r="3" spans="1:8" ht="31.5" x14ac:dyDescent="0.45">
      <c r="A3" s="23" t="s">
        <v>146</v>
      </c>
      <c r="B3" s="23">
        <v>6</v>
      </c>
      <c r="C3" s="23">
        <v>3</v>
      </c>
      <c r="D3" s="23">
        <v>1</v>
      </c>
      <c r="H3" s="24" t="s">
        <v>154</v>
      </c>
    </row>
    <row r="4" spans="1:8" ht="31.5" x14ac:dyDescent="0.45">
      <c r="A4" s="23" t="s">
        <v>147</v>
      </c>
      <c r="B4" s="23">
        <v>6</v>
      </c>
      <c r="C4" s="23">
        <v>0</v>
      </c>
      <c r="D4" s="23">
        <v>1</v>
      </c>
      <c r="H4" s="24"/>
    </row>
    <row r="5" spans="1:8" ht="31.5" x14ac:dyDescent="0.45">
      <c r="A5" s="23" t="s">
        <v>148</v>
      </c>
      <c r="B5" s="23">
        <v>6</v>
      </c>
      <c r="C5" s="23">
        <v>3.7</v>
      </c>
      <c r="D5" s="23">
        <v>1</v>
      </c>
      <c r="H5" s="24" cm="1">
        <f t="array" ref="H5">SUMPRODUCT((C3:C12&gt;0)*C3:C12*B3:B12)/SUMPRODUCT((C3:C12&gt;0)*B3:B12)</f>
        <v>3.1333333333333337</v>
      </c>
    </row>
    <row r="6" spans="1:8" ht="21" x14ac:dyDescent="0.3">
      <c r="A6" s="23" t="s">
        <v>149</v>
      </c>
      <c r="B6" s="23">
        <v>6</v>
      </c>
      <c r="C6" s="23">
        <v>0</v>
      </c>
      <c r="D6" s="23">
        <v>1</v>
      </c>
    </row>
    <row r="7" spans="1:8" ht="21" x14ac:dyDescent="0.3">
      <c r="A7" s="23" t="s">
        <v>150</v>
      </c>
      <c r="B7" s="23">
        <v>6</v>
      </c>
      <c r="C7" s="23">
        <v>2.7</v>
      </c>
      <c r="D7" s="23">
        <v>1</v>
      </c>
    </row>
    <row r="8" spans="1:8" ht="21" x14ac:dyDescent="0.3">
      <c r="A8" s="23" t="s">
        <v>151</v>
      </c>
      <c r="B8" s="23">
        <v>6</v>
      </c>
      <c r="C8" s="23">
        <v>0</v>
      </c>
      <c r="D8" s="23">
        <v>2</v>
      </c>
    </row>
    <row r="9" spans="1:8" ht="21" x14ac:dyDescent="0.3">
      <c r="A9" s="23" t="s">
        <v>152</v>
      </c>
      <c r="B9" s="23">
        <v>6</v>
      </c>
      <c r="C9" s="23">
        <v>0</v>
      </c>
      <c r="D9" s="23">
        <v>2</v>
      </c>
    </row>
    <row r="10" spans="1:8" ht="21" x14ac:dyDescent="0.3">
      <c r="A10" s="23" t="s">
        <v>106</v>
      </c>
      <c r="B10" s="23">
        <v>9</v>
      </c>
      <c r="C10" s="23">
        <v>0</v>
      </c>
      <c r="D10" s="23">
        <v>2</v>
      </c>
    </row>
    <row r="11" spans="1:8" ht="31.5" x14ac:dyDescent="0.45">
      <c r="A11" s="23" t="s">
        <v>95</v>
      </c>
      <c r="B11" s="23">
        <v>6</v>
      </c>
      <c r="C11" s="23">
        <v>0</v>
      </c>
      <c r="D11" s="23">
        <v>2</v>
      </c>
      <c r="H11" s="25" t="s">
        <v>156</v>
      </c>
    </row>
    <row r="12" spans="1:8" ht="21" x14ac:dyDescent="0.3">
      <c r="A12" s="23" t="s">
        <v>131</v>
      </c>
      <c r="B12" s="23">
        <v>6</v>
      </c>
      <c r="C12" s="23">
        <v>0</v>
      </c>
      <c r="D12" s="23">
        <v>2</v>
      </c>
    </row>
    <row r="13" spans="1:8" ht="21" x14ac:dyDescent="0.3">
      <c r="A13" s="23" t="s">
        <v>153</v>
      </c>
      <c r="B13" s="23"/>
      <c r="C13" s="23"/>
      <c r="D13" s="23"/>
    </row>
    <row r="14" spans="1:8" ht="21" x14ac:dyDescent="0.3">
      <c r="A14" s="23" t="s">
        <v>153</v>
      </c>
      <c r="B14" s="23"/>
      <c r="C14" s="23"/>
      <c r="D14" s="23"/>
    </row>
    <row r="15" spans="1:8" ht="21" x14ac:dyDescent="0.3">
      <c r="A15" s="23" t="s">
        <v>153</v>
      </c>
      <c r="B15" s="23"/>
      <c r="C15" s="23"/>
      <c r="D15" s="23"/>
    </row>
    <row r="16" spans="1:8" ht="21" x14ac:dyDescent="0.3">
      <c r="A16" s="23" t="s">
        <v>153</v>
      </c>
      <c r="B16" s="23"/>
      <c r="C16" s="23"/>
      <c r="D16" s="23"/>
    </row>
    <row r="17" spans="1:4" ht="21" x14ac:dyDescent="0.3">
      <c r="A17" s="23" t="s">
        <v>153</v>
      </c>
      <c r="B17" s="23"/>
      <c r="C17" s="23"/>
      <c r="D17" s="23"/>
    </row>
    <row r="18" spans="1:4" ht="21" x14ac:dyDescent="0.3">
      <c r="A18" s="23" t="s">
        <v>153</v>
      </c>
      <c r="B18" s="23"/>
      <c r="C18" s="23"/>
      <c r="D18" s="23"/>
    </row>
    <row r="19" spans="1:4" ht="21" x14ac:dyDescent="0.3">
      <c r="A19" s="23" t="s">
        <v>153</v>
      </c>
      <c r="B19" s="23"/>
      <c r="C19" s="23"/>
      <c r="D19" s="23"/>
    </row>
    <row r="20" spans="1:4" ht="21" x14ac:dyDescent="0.3">
      <c r="A20" s="23" t="s">
        <v>153</v>
      </c>
      <c r="B20" s="23"/>
      <c r="C20" s="23"/>
      <c r="D20" s="23"/>
    </row>
    <row r="21" spans="1:4" ht="21" x14ac:dyDescent="0.3">
      <c r="A21" s="23" t="s">
        <v>153</v>
      </c>
      <c r="B21" s="23"/>
      <c r="C21" s="23"/>
      <c r="D21" s="23"/>
    </row>
    <row r="22" spans="1:4" ht="21" x14ac:dyDescent="0.3">
      <c r="A22" s="23" t="s">
        <v>153</v>
      </c>
      <c r="B22" s="23"/>
      <c r="C22" s="23"/>
      <c r="D22" s="23"/>
    </row>
    <row r="23" spans="1:4" ht="21" x14ac:dyDescent="0.3">
      <c r="A23" s="23" t="s">
        <v>153</v>
      </c>
      <c r="B23" s="23"/>
      <c r="C23" s="23"/>
      <c r="D23" s="23"/>
    </row>
    <row r="24" spans="1:4" ht="21" x14ac:dyDescent="0.3">
      <c r="A24" s="23" t="s">
        <v>153</v>
      </c>
      <c r="B24" s="23"/>
      <c r="C24" s="23"/>
      <c r="D24" s="23"/>
    </row>
    <row r="25" spans="1:4" ht="21" x14ac:dyDescent="0.3">
      <c r="A25" s="23" t="s">
        <v>153</v>
      </c>
      <c r="B25" s="23"/>
      <c r="C25" s="23"/>
      <c r="D25" s="23"/>
    </row>
    <row r="26" spans="1:4" ht="21" x14ac:dyDescent="0.3">
      <c r="A26" s="23" t="s">
        <v>153</v>
      </c>
      <c r="B26" s="23"/>
      <c r="C26" s="23"/>
      <c r="D26" s="23"/>
    </row>
    <row r="27" spans="1:4" x14ac:dyDescent="0.2">
      <c r="A27" t="s">
        <v>153</v>
      </c>
    </row>
  </sheetData>
  <pageMargins left="0.7" right="0.7" top="0.78740157499999996" bottom="0.78740157499999996" header="0.3" footer="0.3"/>
  <drawing r:id="rId1"/>
  <tableParts count="1">
    <tablePart r:id="rId2"/>
  </tableParts>
</worksheet>
</file>

<file path=docMetadata/LabelInfo.xml><?xml version="1.0" encoding="utf-8"?>
<clbl:labelList xmlns:clbl="http://schemas.microsoft.com/office/2020/mipLabelMetadata">
  <clbl:label id="{f75fc27d-a1ce-482f-827e-90e026e66691}" enabled="0" method="" siteId="{f75fc27d-a1ce-482f-827e-90e026e66691}" removed="1"/>
</clbl:labelLis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Best-Practices</vt:lpstr>
      <vt:lpstr>Semesterplan</vt:lpstr>
      <vt:lpstr>COMMITTMENT</vt:lpstr>
      <vt:lpstr>Wochenplan KW 19</vt:lpstr>
      <vt:lpstr>Wochenplan KW 20</vt:lpstr>
      <vt:lpstr>Notentracker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Gabriel Mourad</cp:lastModifiedBy>
  <dcterms:created xsi:type="dcterms:W3CDTF">2020-04-19T13:33:28Z</dcterms:created>
  <dcterms:modified xsi:type="dcterms:W3CDTF">2025-04-19T11:51:17Z</dcterms:modified>
</cp:coreProperties>
</file>