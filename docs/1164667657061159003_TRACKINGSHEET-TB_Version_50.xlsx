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Die 7 Lebensbereiche\5 B,K,M\Karriere\Studium\BWL\5A Methode\Noten\1 Semester\"/>
    </mc:Choice>
  </mc:AlternateContent>
  <xr:revisionPtr revIDLastSave="0" documentId="13_ncr:1_{6C8573F1-29D4-4F98-95D3-DC71FF3F84E2}" xr6:coauthVersionLast="47" xr6:coauthVersionMax="47" xr10:uidLastSave="{00000000-0000-0000-0000-000000000000}"/>
  <bookViews>
    <workbookView xWindow="-108" yWindow="-108" windowWidth="23256" windowHeight="12576"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2" i="10" l="1"/>
  <c r="G41" i="10"/>
  <c r="E39" i="10"/>
  <c r="G39" i="10" s="1"/>
  <c r="G38" i="10"/>
  <c r="E38" i="10"/>
  <c r="C30" i="10"/>
  <c r="D30" i="10"/>
  <c r="C29" i="10" l="1"/>
  <c r="AX4" i="7"/>
  <c r="AQ4" i="7"/>
  <c r="AJ4" i="7"/>
  <c r="AC4" i="7"/>
  <c r="V4" i="7"/>
  <c r="AX13" i="7"/>
  <c r="AQ13" i="7"/>
  <c r="AJ13" i="7"/>
  <c r="AC13" i="7"/>
  <c r="V13" i="7"/>
  <c r="O13" i="7"/>
  <c r="O4" i="7" l="1"/>
  <c r="G13" i="7"/>
  <c r="I14" i="7" l="1"/>
  <c r="C11" i="10" l="1"/>
  <c r="G4" i="7"/>
  <c r="K11" i="7" a="1"/>
  <c r="K11" i="7" s="1"/>
  <c r="J11" i="7" a="1"/>
  <c r="J11" i="7" s="1"/>
  <c r="BS4" i="7"/>
  <c r="BL4" i="7"/>
  <c r="BE4" i="7"/>
  <c r="K16" i="7" a="1"/>
  <c r="K16" i="7" s="1"/>
  <c r="J16" i="7" a="1"/>
  <c r="J16" i="7" s="1"/>
  <c r="I16" i="7"/>
  <c r="K15" i="7" a="1"/>
  <c r="K15" i="7" s="1"/>
  <c r="J15" i="7" a="1"/>
  <c r="J15" i="7" s="1"/>
  <c r="I15" i="7"/>
  <c r="C12" i="10"/>
  <c r="K21" i="7" a="1"/>
  <c r="K21" i="7" s="1"/>
  <c r="J21" i="7" a="1"/>
  <c r="J21" i="7" s="1"/>
  <c r="K20" i="7" a="1"/>
  <c r="K20" i="7" s="1"/>
  <c r="J20" i="7" a="1"/>
  <c r="J20" i="7" s="1"/>
  <c r="K19" i="7" a="1"/>
  <c r="K19" i="7" s="1"/>
  <c r="J19" i="7" a="1"/>
  <c r="J19" i="7" s="1"/>
  <c r="K18" i="7" a="1"/>
  <c r="K18" i="7" s="1"/>
  <c r="J18" i="7" a="1"/>
  <c r="J18" i="7" s="1"/>
  <c r="K17" i="7" a="1"/>
  <c r="K17" i="7" s="1"/>
  <c r="J17" i="7" a="1"/>
  <c r="J17" i="7" s="1"/>
  <c r="K14" i="7" a="1"/>
  <c r="K14" i="7" s="1"/>
  <c r="J14" i="7" a="1"/>
  <c r="J14"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I21" i="7"/>
  <c r="I20" i="7"/>
  <c r="I19" i="7"/>
  <c r="I18" i="7"/>
  <c r="I17" i="7"/>
  <c r="I6" i="7"/>
  <c r="I7" i="7"/>
  <c r="I8" i="7"/>
  <c r="I9" i="7"/>
  <c r="I10" i="7"/>
  <c r="I5" i="7"/>
  <c r="I4" i="7" l="1"/>
  <c r="I13" i="7"/>
  <c r="J13" i="7"/>
  <c r="K13" i="7"/>
  <c r="K4" i="7"/>
  <c r="J4" i="7"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<sst xmlns="http://schemas.openxmlformats.org/spreadsheetml/2006/main" count="260" uniqueCount="124">
  <si>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</si>
  <si>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</si>
  <si>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</si>
  <si>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</si>
  <si>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</si>
  <si>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</si>
  <si>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</si>
  <si>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</si>
  <si>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</si>
  <si>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</si>
  <si>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</si>
  <si>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</si>
  <si>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</si>
  <si>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</si>
  <si>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</si>
  <si>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</si>
  <si>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</si>
  <si>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</si>
  <si>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</si>
  <si>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</si>
  <si>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</si>
  <si>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</si>
  <si>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</si>
  <si>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</si>
  <si>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</si>
  <si>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</si>
  <si>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</si>
  <si>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</si>
  <si>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</si>
  <si>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</si>
  <si>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</si>
  <si>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</si>
  <si>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</si>
  <si>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</si>
  <si>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</si>
  <si>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</si>
  <si>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</si>
  <si>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</si>
  <si>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</si>
  <si>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</si>
  <si>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</si>
  <si>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</si>
  <si>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</si>
  <si>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</si>
  <si>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</si>
  <si>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</si>
  <si>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</si>
  <si>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</si>
  <si>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</si>
  <si>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</si>
  <si>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</si>
  <si>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</si>
  <si>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</si>
  <si>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</si>
  <si>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</si>
  <si>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</si>
  <si>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</si>
  <si>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</si>
  <si>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</si>
  <si>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</si>
  <si>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</si>
  <si>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</si>
  <si>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</si>
  <si>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</si>
  <si>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</si>
  <si>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</si>
  <si>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</si>
  <si>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</si>
  <si>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</si>
  <si>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</si>
  <si>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</si>
  <si>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</si>
  <si>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</si>
  <si>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</si>
  <si>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</si>
  <si>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</si>
  <si>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</si>
  <si>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</si>
  <si>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</si>
  <si>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</si>
  <si>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</si>
  <si>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</si>
  <si>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</si>
  <si>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</si>
  <si>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</si>
  <si>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</si>
  <si>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</si>
  <si>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</si>
  <si>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Europäisches und öffentliches Wirtschaftsrecht</t>
  </si>
  <si>
    <t>1) Innerstaatliches Organisationsrecht</t>
  </si>
  <si>
    <t>2) Organisationsrecht der EU</t>
  </si>
  <si>
    <t>3) Grundrechte der Wirtschaft</t>
  </si>
  <si>
    <t>4) Binnenmarktrecht</t>
  </si>
  <si>
    <t>5) Gewerbliches Berufsrecht</t>
  </si>
  <si>
    <t>6) Betriebsanlagenrecht, Baurecht und Verwaltungsverfahren</t>
  </si>
  <si>
    <t>7) Verwaltungsverfahren und nationaler Rechtsschutz</t>
  </si>
  <si>
    <t>Betriebswirtschaft und digitale Ökonomie</t>
  </si>
  <si>
    <t>2) Unternehmerische Perspektive</t>
  </si>
  <si>
    <t>3) Strategische Perspektive</t>
  </si>
  <si>
    <t>4) Finanzperspektive</t>
  </si>
  <si>
    <t>5) Kundenperspektive</t>
  </si>
  <si>
    <t>6) Produktionsperspektive</t>
  </si>
  <si>
    <t>7) Personalperspektive</t>
  </si>
  <si>
    <t>8) Corporate Governance und Unternehmensethik</t>
  </si>
  <si>
    <t>9) DI-Modul 1 (Wirtschaftsinformatik)</t>
  </si>
  <si>
    <t>10) DI-Modul 2 (Digitale Transformation von Märkten)</t>
  </si>
  <si>
    <t>11) DI-Modul 3 (IS-Management)</t>
  </si>
  <si>
    <t>12) DI-Modul 4 (Data &amp; Knowledge Engineering)</t>
  </si>
  <si>
    <t>KW 42</t>
  </si>
  <si>
    <t>KW 43</t>
  </si>
  <si>
    <t>KW 44</t>
  </si>
  <si>
    <t>KW 45</t>
  </si>
  <si>
    <t>KW 47</t>
  </si>
  <si>
    <t>Prüfungswoche!</t>
  </si>
  <si>
    <t>Recht</t>
  </si>
  <si>
    <t>KW 46: Letzte LernWOCHE !!</t>
  </si>
  <si>
    <t>4 W 3 Tage 20% von 5,5</t>
  </si>
  <si>
    <t>EÖR &amp; BWL</t>
  </si>
  <si>
    <t>Levelups</t>
  </si>
  <si>
    <t>RECHT Kapitel %</t>
  </si>
  <si>
    <t>BWL Kapitel %</t>
  </si>
  <si>
    <t>RECHT ECTS %</t>
  </si>
  <si>
    <t>BWL ECTS %</t>
  </si>
  <si>
    <t>`-14/Woche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</si>
</sst>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family val="2"/>
      <scheme val="minor"/>
    </font>
    <font>
      <b/>
      <sz val="12"/>
      <color rgb="FF000000"/>
      <name val="Calibri"/>
      <family val="2"/>
      <scheme val="minor"/>
    </font>
    <font>
      <b/>
      <u/>
      <sz val="12"/>
      <color theme="1"/>
      <name val="Calibri (Textkörper)"/>
    </font>
  </fonts>
  <fills count="1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231B"/>
        <bgColor rgb="FF000000"/>
      </patternFill>
    </fill>
    <fill>
      <patternFill patternType="solid">
        <fgColor rgb="FFFF0000"/>
        <bgColor rgb="FF000000"/>
      </patternFill>
    </fill>
    <fill>
      <patternFill patternType="solid">
        <fgColor rgb="FFE0E0E0"/>
        <bgColor rgb="FF000000"/>
      </patternFill>
    </fill>
  </fills>
  <borders count="1">
    <border>
      <left/>
      <right/>
      <top/>
      <bottom/>
      <diagonal/>
    </border>
  </borders>
  <cellStyleXfs count="1">
    <xf numFmtId="0" fontId="0" fillId="0" borderId="0"/>
  </cellStyleXfs>
  <cellXfs count="3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5" fillId="0" borderId="0" xfId="0" applyFont="1"/>
    <xf numFmtId="14" fontId="5" fillId="0" borderId="0" xfId="0" applyNumberFormat="1" applyFont="1"/>
    <xf numFmtId="0" fontId="5" fillId="0" borderId="0" xfId="0" applyFont="1" applyAlignment="1">
      <alignment horizontal="center"/>
    </xf>
    <xf numFmtId="9" fontId="5" fillId="0" borderId="0" xfId="0" applyNumberFormat="1" applyFont="1"/>
    <xf numFmtId="9" fontId="5" fillId="7" borderId="0" xfId="0" applyNumberFormat="1" applyFont="1" applyFill="1" applyAlignment="1">
      <alignment horizontal="center"/>
    </xf>
    <xf numFmtId="9" fontId="5" fillId="8" borderId="0" xfId="0" applyNumberFormat="1" applyFont="1" applyFill="1"/>
    <xf numFmtId="14" fontId="0" fillId="4" borderId="0" xfId="0" applyNumberFormat="1" applyFill="1"/>
    <xf numFmtId="2" fontId="0" fillId="0" borderId="0" xfId="0" applyNumberFormat="1"/>
    <xf numFmtId="10" fontId="0" fillId="0" borderId="0" xfId="0" applyNumberFormat="1"/>
    <xf numFmtId="0" fontId="1" fillId="2" borderId="0" xfId="0" applyFont="1" applyFill="1" applyAlignment="1">
      <alignment horizontal="center"/>
    </xf>
    <xf numFmtId="0" fontId="6" fillId="9" borderId="0" xfId="0" applyFont="1" applyFill="1" applyAlignment="1">
      <alignment horizontal="center"/>
    </xf>
    <xf numFmtId="0" fontId="7" fillId="4" borderId="0" xfId="0" applyFont="1" applyFill="1" applyAlignment="1">
      <alignment horizontal="center"/>
    </xf>
    <xf numFmtId="0" fontId="1" fillId="4" borderId="0" xfId="0" applyFont="1" applyFill="1" applyAlignment="1">
      <alignment horizontal="center"/>
    </xf>
  </cellXfs>
  <cellStyles count="1">
    <cellStyle name="Normal" xfId="0" builtinId="0"/>
  </cellStyles>
  <dxfs count="57">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FF231B"/>
      <color rgb="FF56FF5E"/>
      <color rgb="FFC4FF87"/>
      <color rgb="FFFFDE7F"/>
      <color rgb="FFFF755A"/>
      <color rgb="FFFDFF05"/>
      <color rgb="FF10FF07"/>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56">
  <autoFilter ref="A1:K46" xr:uid="{6E266E34-2786-2747-BCE7-51B74867A564}"/>
  <tableColumns count="11">
    <tableColumn id="1" xr3:uid="{95FD92F7-3DC8-704D-A103-A7EDDAB255AB}" name="Datum" dataDxfId="55"/>
    <tableColumn id="2" xr3:uid="{F464D510-8166-E740-A343-FB84BDEF877F}" name="Lerneinheiten durchgezogen" dataDxfId="54"/>
    <tableColumn id="3" xr3:uid="{75F52B08-1A00-0848-BBE6-1EDF7B31B1AD}" name="Tagesplan erstellt" dataDxfId="53"/>
    <tableColumn id="4" xr3:uid="{E6B18D89-E799-AD48-9DAA-37AEE1D29011}" name="Konzentrationslevel" dataDxfId="5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canvas.wu.ac.at/courses/3439" TargetMode="External"/><Relationship Id="rId7" Type="http://schemas.openxmlformats.org/officeDocument/2006/relationships/printerSettings" Target="../printerSettings/printerSettings1.bin"/><Relationship Id="rId2" Type="http://schemas.openxmlformats.org/officeDocument/2006/relationships/hyperlink" Target="https://canvas.wu.ac.at/courses/3439" TargetMode="External"/><Relationship Id="rId1" Type="http://schemas.openxmlformats.org/officeDocument/2006/relationships/hyperlink" Target="https://canvas.wu.ac.at/courses/3439" TargetMode="External"/><Relationship Id="rId6" Type="http://schemas.openxmlformats.org/officeDocument/2006/relationships/hyperlink" Target="https://canvas.wu.ac.at/courses/3439" TargetMode="External"/><Relationship Id="rId5" Type="http://schemas.openxmlformats.org/officeDocument/2006/relationships/hyperlink" Target="https://canvas.wu.ac.at/courses/3439" TargetMode="External"/><Relationship Id="rId4" Type="http://schemas.openxmlformats.org/officeDocument/2006/relationships/hyperlink" Target="https://canvas.wu.ac.at/courses/3439"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G42"/>
  <sheetViews>
    <sheetView topLeftCell="B3" workbookViewId="0">
      <selection activeCell="G37" sqref="G37"/>
    </sheetView>
  </sheetViews>
  <sheetFormatPr defaultColWidth="11.19921875" defaultRowHeight="15.6"/>
  <cols>
    <col min="1" max="1" width="11.796875" customWidth="1"/>
    <col min="2" max="2" width="62.69921875" customWidth="1"/>
  </cols>
  <sheetData>
    <row r="2" spans="1:5">
      <c r="C2" s="18" t="s">
        <v>72</v>
      </c>
      <c r="D2" s="18"/>
    </row>
    <row r="3" spans="1:5">
      <c r="C3" s="17" t="s">
        <v>57</v>
      </c>
      <c r="D3" s="17"/>
    </row>
    <row r="4" spans="1:5">
      <c r="B4" s="2" t="s">
        <v>114</v>
      </c>
      <c r="C4" s="16" t="s">
        <v>71</v>
      </c>
      <c r="D4" s="16"/>
    </row>
    <row r="5" spans="1:5">
      <c r="A5" s="2" t="s">
        <v>54</v>
      </c>
      <c r="B5" s="2" t="s">
        <v>55</v>
      </c>
      <c r="C5" s="2" t="s">
        <v>56</v>
      </c>
      <c r="D5" s="2"/>
      <c r="E5" s="2" t="s">
        <v>58</v>
      </c>
    </row>
    <row r="6" spans="1:5">
      <c r="A6" t="s">
        <v>50</v>
      </c>
      <c r="B6" s="18" t="s">
        <v>53</v>
      </c>
      <c r="E6" t="s">
        <v>87</v>
      </c>
    </row>
    <row r="7" spans="1:5">
      <c r="A7" t="s">
        <v>61</v>
      </c>
      <c r="B7" t="s">
        <v>62</v>
      </c>
      <c r="C7" s="16">
        <v>29</v>
      </c>
      <c r="D7" s="16"/>
    </row>
    <row r="8" spans="1:5">
      <c r="A8" t="s">
        <v>52</v>
      </c>
      <c r="B8" s="18" t="s">
        <v>51</v>
      </c>
      <c r="E8" t="s">
        <v>75</v>
      </c>
    </row>
    <row r="9" spans="1:5">
      <c r="A9" t="s">
        <v>60</v>
      </c>
      <c r="B9" s="18" t="s">
        <v>73</v>
      </c>
      <c r="E9" t="s">
        <v>76</v>
      </c>
    </row>
    <row r="10" spans="1:5">
      <c r="A10" t="s">
        <v>64</v>
      </c>
      <c r="B10" t="s">
        <v>63</v>
      </c>
      <c r="C10" s="16">
        <v>7</v>
      </c>
      <c r="D10" s="16"/>
      <c r="E10" t="s">
        <v>59</v>
      </c>
    </row>
    <row r="11" spans="1:5">
      <c r="A11" t="s">
        <v>65</v>
      </c>
      <c r="B11" t="s">
        <v>67</v>
      </c>
      <c r="C11" s="16">
        <f>87-3</f>
        <v>84</v>
      </c>
      <c r="D11" s="16"/>
      <c r="E11" t="s">
        <v>66</v>
      </c>
    </row>
    <row r="12" spans="1:5">
      <c r="A12" t="s">
        <v>69</v>
      </c>
      <c r="B12" t="s">
        <v>68</v>
      </c>
      <c r="C12" s="17">
        <f>C11/C10</f>
        <v>12</v>
      </c>
      <c r="D12" s="17"/>
    </row>
    <row r="13" spans="1:5">
      <c r="A13" t="s">
        <v>74</v>
      </c>
      <c r="B13" t="s">
        <v>70</v>
      </c>
      <c r="E13" t="s">
        <v>77</v>
      </c>
    </row>
    <row r="14" spans="1:5">
      <c r="A14" t="s">
        <v>78</v>
      </c>
      <c r="B14" t="s">
        <v>79</v>
      </c>
      <c r="E14" t="s">
        <v>80</v>
      </c>
    </row>
    <row r="15" spans="1:5">
      <c r="A15" t="s">
        <v>81</v>
      </c>
      <c r="B15" s="18" t="s">
        <v>82</v>
      </c>
    </row>
    <row r="16" spans="1:5">
      <c r="A16" t="s">
        <v>85</v>
      </c>
      <c r="B16" s="18" t="s">
        <v>83</v>
      </c>
    </row>
    <row r="17" spans="1:5">
      <c r="A17" t="s">
        <v>86</v>
      </c>
      <c r="B17" t="s">
        <v>84</v>
      </c>
    </row>
    <row r="20" spans="1:5">
      <c r="B20" s="2"/>
    </row>
    <row r="21" spans="1:5">
      <c r="B21" s="2" t="s">
        <v>117</v>
      </c>
      <c r="C21" s="16" t="s">
        <v>71</v>
      </c>
    </row>
    <row r="22" spans="1:5">
      <c r="A22" s="2" t="s">
        <v>54</v>
      </c>
      <c r="B22" s="2" t="s">
        <v>55</v>
      </c>
      <c r="C22" s="2" t="s">
        <v>56</v>
      </c>
      <c r="D22" s="2"/>
      <c r="E22" s="2" t="s">
        <v>58</v>
      </c>
    </row>
    <row r="23" spans="1:5">
      <c r="A23" t="s">
        <v>50</v>
      </c>
      <c r="B23" s="18" t="s">
        <v>53</v>
      </c>
      <c r="E23" t="s">
        <v>87</v>
      </c>
    </row>
    <row r="24" spans="1:5">
      <c r="A24" t="s">
        <v>61</v>
      </c>
      <c r="B24" t="s">
        <v>62</v>
      </c>
      <c r="C24" s="16">
        <v>19</v>
      </c>
    </row>
    <row r="25" spans="1:5">
      <c r="A25" t="s">
        <v>52</v>
      </c>
      <c r="B25" s="18" t="s">
        <v>51</v>
      </c>
      <c r="C25" s="26">
        <v>45258</v>
      </c>
      <c r="D25" s="19"/>
      <c r="E25" t="s">
        <v>75</v>
      </c>
    </row>
    <row r="26" spans="1:5">
      <c r="A26" t="s">
        <v>60</v>
      </c>
      <c r="B26" s="18" t="s">
        <v>73</v>
      </c>
      <c r="C26" s="16"/>
      <c r="E26" t="s">
        <v>76</v>
      </c>
    </row>
    <row r="27" spans="1:5">
      <c r="A27" t="s">
        <v>64</v>
      </c>
      <c r="B27" t="s">
        <v>63</v>
      </c>
      <c r="C27" s="16">
        <v>4.4000000000000004</v>
      </c>
      <c r="D27" t="s">
        <v>116</v>
      </c>
      <c r="E27" t="s">
        <v>59</v>
      </c>
    </row>
    <row r="28" spans="1:5">
      <c r="A28" t="s">
        <v>65</v>
      </c>
      <c r="B28" t="s">
        <v>67</v>
      </c>
      <c r="C28" s="16">
        <v>57</v>
      </c>
      <c r="E28" t="s">
        <v>66</v>
      </c>
    </row>
    <row r="29" spans="1:5">
      <c r="A29" t="s">
        <v>69</v>
      </c>
      <c r="B29" t="s">
        <v>68</v>
      </c>
      <c r="C29" s="17">
        <f>C28/C27</f>
        <v>12.954545454545453</v>
      </c>
      <c r="D29">
        <v>13</v>
      </c>
      <c r="E29" t="s">
        <v>123</v>
      </c>
    </row>
    <row r="30" spans="1:5">
      <c r="A30" t="s">
        <v>74</v>
      </c>
      <c r="B30" t="s">
        <v>70</v>
      </c>
      <c r="C30" s="17">
        <f>+D29*0.4</f>
        <v>5.2</v>
      </c>
      <c r="D30" s="17">
        <f>+D29*0.6</f>
        <v>7.8</v>
      </c>
      <c r="E30" t="s">
        <v>77</v>
      </c>
    </row>
    <row r="31" spans="1:5">
      <c r="A31" t="s">
        <v>78</v>
      </c>
      <c r="B31" t="s">
        <v>79</v>
      </c>
      <c r="E31" t="s">
        <v>80</v>
      </c>
    </row>
    <row r="32" spans="1:5">
      <c r="A32" t="s">
        <v>81</v>
      </c>
      <c r="B32" s="18" t="s">
        <v>82</v>
      </c>
    </row>
    <row r="33" spans="1:7">
      <c r="A33" t="s">
        <v>85</v>
      </c>
      <c r="B33" s="18" t="s">
        <v>83</v>
      </c>
    </row>
    <row r="34" spans="1:7">
      <c r="A34" t="s">
        <v>86</v>
      </c>
      <c r="B34" t="s">
        <v>84</v>
      </c>
    </row>
    <row r="38" spans="1:7">
      <c r="D38" t="s">
        <v>119</v>
      </c>
      <c r="E38" s="27">
        <f>7/19</f>
        <v>0.36842105263157893</v>
      </c>
      <c r="G38" s="17">
        <f>13*E38</f>
        <v>4.7894736842105257</v>
      </c>
    </row>
    <row r="39" spans="1:7">
      <c r="D39" t="s">
        <v>120</v>
      </c>
      <c r="E39">
        <f>12/19</f>
        <v>0.63157894736842102</v>
      </c>
      <c r="G39" s="17">
        <f>13*E39</f>
        <v>8.2105263157894726</v>
      </c>
    </row>
    <row r="41" spans="1:7">
      <c r="D41" t="s">
        <v>121</v>
      </c>
      <c r="E41">
        <v>0.4</v>
      </c>
      <c r="G41" s="17">
        <f>13*E41</f>
        <v>5.2</v>
      </c>
    </row>
    <row r="42" spans="1:7">
      <c r="D42" t="s">
        <v>122</v>
      </c>
      <c r="E42">
        <v>0.6</v>
      </c>
      <c r="G42" s="17">
        <f>13*E42</f>
        <v>7.8</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X30"/>
  <sheetViews>
    <sheetView showGridLines="0" tabSelected="1" topLeftCell="B1" zoomScale="85" zoomScaleNormal="85" workbookViewId="0">
      <pane xSplit="6" ySplit="3" topLeftCell="H4" activePane="bottomRight" state="frozen"/>
      <selection activeCell="B1" sqref="B1"/>
      <selection pane="topRight" activeCell="H1" sqref="H1"/>
      <selection pane="bottomLeft" activeCell="B4" sqref="B4"/>
      <selection pane="bottomRight" activeCell="Y8" sqref="Y8"/>
    </sheetView>
  </sheetViews>
  <sheetFormatPr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4" width="2.5" customWidth="1"/>
    <col min="16" max="16" width="12.5" bestFit="1" customWidth="1"/>
    <col min="17" max="17" width="6.296875" customWidth="1"/>
    <col min="18" max="18" width="14.796875" bestFit="1" customWidth="1"/>
    <col min="19" max="19" width="6" customWidth="1"/>
    <col min="20" max="20" width="12.69921875" bestFit="1" customWidth="1"/>
    <col min="21" max="21" width="2.5" customWidth="1"/>
    <col min="23" max="23" width="12.5" bestFit="1" customWidth="1"/>
    <col min="24" max="24" width="6.296875" customWidth="1"/>
    <col min="25" max="25" width="14.796875" bestFit="1" customWidth="1"/>
    <col min="26" max="26" width="6" customWidth="1"/>
    <col min="27" max="27" width="12.69921875" bestFit="1" customWidth="1"/>
    <col min="28" max="28" width="2.5" customWidth="1"/>
    <col min="30" max="30" width="12.5" bestFit="1" customWidth="1"/>
    <col min="31" max="31" width="6.296875" customWidth="1"/>
    <col min="32" max="32" width="14.796875" bestFit="1" customWidth="1"/>
    <col min="33" max="33" width="6" customWidth="1"/>
    <col min="34" max="34" width="12.69921875" bestFit="1" customWidth="1"/>
    <col min="35" max="35" width="2.5" customWidth="1"/>
    <col min="37" max="37" width="12.5" bestFit="1" customWidth="1"/>
    <col min="38" max="38" width="6.296875" customWidth="1"/>
    <col min="39" max="39" width="14.796875" bestFit="1" customWidth="1"/>
    <col min="40" max="40" width="6" customWidth="1"/>
    <col min="41" max="41" width="12.69921875" bestFit="1" customWidth="1"/>
    <col min="42" max="42" width="2.5" customWidth="1"/>
    <col min="44" max="44" width="12.5" bestFit="1" customWidth="1"/>
    <col min="45" max="45" width="6.296875" customWidth="1"/>
    <col min="46" max="46" width="14.796875" bestFit="1" customWidth="1"/>
    <col min="47" max="47" width="6" customWidth="1"/>
    <col min="48" max="48" width="12.69921875" bestFit="1" customWidth="1"/>
    <col min="49" max="49" width="2.5" customWidth="1"/>
    <col min="51" max="51" width="12.5" bestFit="1" customWidth="1"/>
    <col min="52" max="52" width="6.296875" customWidth="1"/>
    <col min="53" max="53" width="14.796875" bestFit="1" customWidth="1"/>
    <col min="54" max="54" width="6" customWidth="1"/>
    <col min="55" max="55" width="12.69921875" bestFit="1" customWidth="1"/>
    <col min="56" max="56" width="2.5" customWidth="1"/>
    <col min="58" max="58" width="12.5" bestFit="1" customWidth="1"/>
    <col min="59" max="59" width="6.296875" customWidth="1"/>
    <col min="60" max="60" width="14.796875" bestFit="1" customWidth="1"/>
    <col min="61" max="61" width="6" customWidth="1"/>
    <col min="62" max="62" width="12.69921875" bestFit="1" customWidth="1"/>
    <col min="63" max="63" width="2.5" customWidth="1"/>
    <col min="65" max="65" width="12.5" bestFit="1" customWidth="1"/>
    <col min="66" max="66" width="6.296875" customWidth="1"/>
    <col min="67" max="67" width="14.796875" bestFit="1" customWidth="1"/>
    <col min="68" max="68" width="6" customWidth="1"/>
    <col min="69" max="69" width="12.69921875" bestFit="1" customWidth="1"/>
    <col min="70" max="70" width="2.5" customWidth="1"/>
    <col min="72" max="72" width="12.5" bestFit="1" customWidth="1"/>
    <col min="73" max="73" width="6.296875" customWidth="1"/>
    <col min="74" max="74" width="14.796875" bestFit="1" customWidth="1"/>
    <col min="75" max="75" width="6" customWidth="1"/>
    <col min="76" max="76" width="12.69921875" bestFit="1" customWidth="1"/>
  </cols>
  <sheetData>
    <row r="1" spans="2:76" ht="33.6">
      <c r="B1" s="4" t="s">
        <v>0</v>
      </c>
      <c r="D1" s="4"/>
      <c r="G1" s="13" t="s">
        <v>34</v>
      </c>
      <c r="I1" s="13" t="s">
        <v>34</v>
      </c>
      <c r="J1" s="13" t="s">
        <v>34</v>
      </c>
      <c r="K1" s="13" t="s">
        <v>34</v>
      </c>
    </row>
    <row r="2" spans="2:76">
      <c r="I2" s="29" t="s">
        <v>27</v>
      </c>
      <c r="J2" s="29"/>
      <c r="K2" s="29"/>
      <c r="L2" s="29"/>
      <c r="O2" s="29" t="s">
        <v>108</v>
      </c>
      <c r="P2" s="29"/>
      <c r="Q2" s="29"/>
      <c r="R2" s="29"/>
      <c r="S2" s="29"/>
      <c r="T2" s="29"/>
      <c r="V2" s="29" t="s">
        <v>109</v>
      </c>
      <c r="W2" s="29"/>
      <c r="X2" s="29"/>
      <c r="Y2" s="29"/>
      <c r="Z2" s="29"/>
      <c r="AA2" s="29"/>
      <c r="AC2" s="29" t="s">
        <v>110</v>
      </c>
      <c r="AD2" s="29"/>
      <c r="AE2" s="29"/>
      <c r="AF2" s="29"/>
      <c r="AG2" s="29"/>
      <c r="AH2" s="29"/>
      <c r="AJ2" s="29" t="s">
        <v>111</v>
      </c>
      <c r="AK2" s="29"/>
      <c r="AL2" s="29"/>
      <c r="AM2" s="29"/>
      <c r="AN2" s="29"/>
      <c r="AO2" s="29"/>
      <c r="AQ2" s="29" t="s">
        <v>115</v>
      </c>
      <c r="AR2" s="29"/>
      <c r="AS2" s="29"/>
      <c r="AT2" s="29"/>
      <c r="AU2" s="29"/>
      <c r="AV2" s="29"/>
      <c r="AX2" s="30" t="s">
        <v>112</v>
      </c>
      <c r="AY2" s="30"/>
      <c r="AZ2" s="30"/>
      <c r="BA2" s="30"/>
      <c r="BB2" s="30"/>
      <c r="BC2" s="30"/>
      <c r="BE2" s="31" t="s">
        <v>113</v>
      </c>
      <c r="BF2" s="32"/>
      <c r="BG2" s="32"/>
      <c r="BH2" s="32"/>
      <c r="BI2" s="32"/>
      <c r="BJ2" s="32"/>
      <c r="BL2" s="29"/>
      <c r="BM2" s="29"/>
      <c r="BN2" s="29"/>
      <c r="BO2" s="29"/>
      <c r="BP2" s="29"/>
      <c r="BQ2" s="29"/>
      <c r="BS2" s="29"/>
      <c r="BT2" s="29"/>
      <c r="BU2" s="29"/>
      <c r="BV2" s="29"/>
      <c r="BW2" s="29"/>
      <c r="BX2" s="29"/>
    </row>
    <row r="3" spans="2:76">
      <c r="B3" s="5" t="s">
        <v>26</v>
      </c>
      <c r="C3" s="5" t="s">
        <v>1</v>
      </c>
      <c r="D3" s="5" t="s">
        <v>24</v>
      </c>
      <c r="E3" s="6" t="s">
        <v>31</v>
      </c>
      <c r="F3" s="5" t="s">
        <v>29</v>
      </c>
      <c r="G3" s="5" t="s">
        <v>32</v>
      </c>
      <c r="I3" s="6" t="s">
        <v>11</v>
      </c>
      <c r="J3" s="6" t="s">
        <v>2</v>
      </c>
      <c r="K3" s="6" t="s">
        <v>3</v>
      </c>
      <c r="L3" s="6" t="s">
        <v>12</v>
      </c>
      <c r="O3" s="5" t="s">
        <v>11</v>
      </c>
      <c r="P3" s="5" t="s">
        <v>2</v>
      </c>
      <c r="Q3" s="5" t="s">
        <v>33</v>
      </c>
      <c r="R3" s="5" t="s">
        <v>3</v>
      </c>
      <c r="S3" s="5" t="s">
        <v>33</v>
      </c>
      <c r="T3" s="5" t="s">
        <v>12</v>
      </c>
      <c r="V3" s="5" t="s">
        <v>11</v>
      </c>
      <c r="W3" s="5" t="s">
        <v>2</v>
      </c>
      <c r="X3" s="5" t="s">
        <v>33</v>
      </c>
      <c r="Y3" s="5" t="s">
        <v>3</v>
      </c>
      <c r="Z3" s="5" t="s">
        <v>33</v>
      </c>
      <c r="AA3" s="5" t="s">
        <v>12</v>
      </c>
      <c r="AC3" s="5" t="s">
        <v>11</v>
      </c>
      <c r="AD3" s="5" t="s">
        <v>2</v>
      </c>
      <c r="AE3" s="5" t="s">
        <v>33</v>
      </c>
      <c r="AF3" s="5" t="s">
        <v>3</v>
      </c>
      <c r="AG3" s="5" t="s">
        <v>33</v>
      </c>
      <c r="AH3" s="5" t="s">
        <v>12</v>
      </c>
      <c r="AJ3" s="5" t="s">
        <v>11</v>
      </c>
      <c r="AK3" s="5" t="s">
        <v>2</v>
      </c>
      <c r="AL3" s="5" t="s">
        <v>33</v>
      </c>
      <c r="AM3" s="5" t="s">
        <v>3</v>
      </c>
      <c r="AN3" s="5" t="s">
        <v>33</v>
      </c>
      <c r="AO3" s="5" t="s">
        <v>12</v>
      </c>
      <c r="AQ3" s="5" t="s">
        <v>11</v>
      </c>
      <c r="AR3" s="5" t="s">
        <v>2</v>
      </c>
      <c r="AS3" s="5" t="s">
        <v>33</v>
      </c>
      <c r="AT3" s="5" t="s">
        <v>3</v>
      </c>
      <c r="AU3" s="5" t="s">
        <v>33</v>
      </c>
      <c r="AV3" s="5" t="s">
        <v>12</v>
      </c>
      <c r="AX3" s="5" t="s">
        <v>11</v>
      </c>
      <c r="AY3" s="5" t="s">
        <v>2</v>
      </c>
      <c r="AZ3" s="5" t="s">
        <v>33</v>
      </c>
      <c r="BA3" s="5" t="s">
        <v>3</v>
      </c>
      <c r="BB3" s="5" t="s">
        <v>33</v>
      </c>
      <c r="BC3" s="5" t="s">
        <v>12</v>
      </c>
      <c r="BE3" s="5" t="s">
        <v>11</v>
      </c>
      <c r="BF3" s="5" t="s">
        <v>2</v>
      </c>
      <c r="BG3" s="5" t="s">
        <v>33</v>
      </c>
      <c r="BH3" s="5" t="s">
        <v>3</v>
      </c>
      <c r="BI3" s="5" t="s">
        <v>33</v>
      </c>
      <c r="BJ3" s="5" t="s">
        <v>12</v>
      </c>
      <c r="BL3" s="5"/>
      <c r="BM3" s="5"/>
      <c r="BN3" s="5"/>
      <c r="BO3" s="5"/>
      <c r="BP3" s="5"/>
      <c r="BQ3" s="5"/>
      <c r="BS3" s="5"/>
      <c r="BT3" s="5"/>
      <c r="BU3" s="5"/>
      <c r="BV3" s="5"/>
      <c r="BW3" s="5"/>
      <c r="BX3" s="5"/>
    </row>
    <row r="4" spans="2:76">
      <c r="B4" t="s">
        <v>27</v>
      </c>
      <c r="C4" t="s">
        <v>88</v>
      </c>
      <c r="D4" s="19">
        <v>45258</v>
      </c>
      <c r="E4" s="9">
        <v>4</v>
      </c>
      <c r="G4" s="10">
        <f>+SUM(G5:G11)</f>
        <v>1</v>
      </c>
      <c r="I4" s="12">
        <f>+SUM(I5:I11)</f>
        <v>0</v>
      </c>
      <c r="J4" s="11">
        <f>+SUMPRODUCT(G5:G10,J5:J10)</f>
        <v>0</v>
      </c>
      <c r="K4" s="11">
        <f>+SUMPRODUCT(G5:G10,K5:K10)</f>
        <v>0</v>
      </c>
      <c r="O4" s="12">
        <f>+SUM(O5:O11)</f>
        <v>0</v>
      </c>
      <c r="V4" s="12">
        <f>+SUM(V5:V11)</f>
        <v>0</v>
      </c>
      <c r="AC4" s="12">
        <f>+SUM(AC5:AC11)</f>
        <v>0</v>
      </c>
      <c r="AJ4" s="12">
        <f>+SUM(AJ5:AJ11)</f>
        <v>0</v>
      </c>
      <c r="AQ4" s="12">
        <f>+SUM(AQ5:AQ11)</f>
        <v>0</v>
      </c>
      <c r="AX4" s="12">
        <f>+SUM(AX5:AX11)</f>
        <v>0</v>
      </c>
      <c r="BE4" s="12">
        <f>+SUM(BE5:BE10)</f>
        <v>0</v>
      </c>
      <c r="BL4" s="12">
        <f>+SUM(BL5:BL10)</f>
        <v>0</v>
      </c>
      <c r="BS4" s="12">
        <f>+SUM(BS5:BS10)</f>
        <v>0</v>
      </c>
    </row>
    <row r="5" spans="2:76" outlineLevel="1">
      <c r="B5" t="s">
        <v>28</v>
      </c>
      <c r="C5" t="s">
        <v>88</v>
      </c>
      <c r="D5" s="19">
        <v>45258</v>
      </c>
      <c r="E5" s="9"/>
      <c r="F5" t="s">
        <v>89</v>
      </c>
      <c r="G5" s="10">
        <v>0.15</v>
      </c>
      <c r="I5" s="9">
        <f t="shared" ref="I5:I10" si="0">+SUMIF($N$3:$YR$3,I$3,$N5:$YR5)</f>
        <v>0</v>
      </c>
      <c r="J5" s="11" cm="1">
        <f t="array" ref="J5">MAX(IF($N$3:$CZ$3=$J$3,N5:CZ5))</f>
        <v>0</v>
      </c>
      <c r="K5" s="11" cm="1">
        <f t="array" ref="K5">MAX(IF($N$3:$CZ$3=$J$3,N5:CZ5))</f>
        <v>0</v>
      </c>
      <c r="L5" s="9"/>
      <c r="P5" s="10"/>
      <c r="Q5" s="10">
        <v>0.5</v>
      </c>
      <c r="R5" s="10"/>
      <c r="S5" s="10">
        <v>0.5</v>
      </c>
      <c r="W5" s="10"/>
      <c r="X5" s="10">
        <v>0.5</v>
      </c>
      <c r="Y5" s="10"/>
      <c r="Z5" s="10">
        <v>0.5</v>
      </c>
      <c r="AD5" s="10"/>
      <c r="AE5" s="10">
        <v>0.8</v>
      </c>
      <c r="AF5" s="10"/>
      <c r="AG5" s="10">
        <v>0.8</v>
      </c>
      <c r="AK5" s="10"/>
      <c r="AL5" s="10">
        <v>1</v>
      </c>
      <c r="AM5" s="10"/>
      <c r="AN5" s="10">
        <v>1</v>
      </c>
      <c r="AR5" s="10"/>
      <c r="AS5" s="10">
        <v>1</v>
      </c>
      <c r="AT5" s="10"/>
      <c r="AU5" s="10">
        <v>1</v>
      </c>
      <c r="AY5" s="10"/>
      <c r="AZ5" s="10">
        <v>1</v>
      </c>
      <c r="BA5" s="10"/>
      <c r="BB5" s="10">
        <v>1</v>
      </c>
      <c r="BF5" s="10"/>
      <c r="BG5" s="10"/>
      <c r="BH5" s="10"/>
      <c r="BI5" s="10"/>
      <c r="BM5" s="10"/>
      <c r="BN5" s="10"/>
      <c r="BO5" s="10"/>
      <c r="BP5" s="10"/>
      <c r="BT5" s="10"/>
      <c r="BU5" s="10"/>
      <c r="BV5" s="10"/>
      <c r="BW5" s="10"/>
    </row>
    <row r="6" spans="2:76" outlineLevel="1">
      <c r="B6" t="s">
        <v>28</v>
      </c>
      <c r="C6" t="s">
        <v>88</v>
      </c>
      <c r="D6" s="19">
        <v>45258</v>
      </c>
      <c r="E6" s="9"/>
      <c r="F6" t="s">
        <v>90</v>
      </c>
      <c r="G6" s="10">
        <v>0.2</v>
      </c>
      <c r="I6" s="9">
        <f t="shared" si="0"/>
        <v>0</v>
      </c>
      <c r="J6" s="11" cm="1">
        <f t="array" ref="J6">MAX(IF($N$3:$CZ$3=$J$3,N6:CZ6))</f>
        <v>0</v>
      </c>
      <c r="K6" s="11" cm="1">
        <f t="array" ref="K6">MAX(IF($N$3:$CZ$3=$J$3,N6:CZ6))</f>
        <v>0</v>
      </c>
      <c r="P6" s="10"/>
      <c r="Q6" s="10">
        <v>0.5</v>
      </c>
      <c r="R6" s="10"/>
      <c r="S6" s="10">
        <v>0.5</v>
      </c>
      <c r="W6" s="10"/>
      <c r="X6" s="10">
        <v>0.5</v>
      </c>
      <c r="Y6" s="10"/>
      <c r="Z6" s="10">
        <v>0.5</v>
      </c>
      <c r="AD6" s="10"/>
      <c r="AE6" s="10">
        <v>0.8</v>
      </c>
      <c r="AF6" s="10"/>
      <c r="AG6" s="10">
        <v>0.8</v>
      </c>
      <c r="AK6" s="10"/>
      <c r="AL6" s="10">
        <v>1</v>
      </c>
      <c r="AM6" s="10"/>
      <c r="AN6" s="10">
        <v>1</v>
      </c>
      <c r="AR6" s="10"/>
      <c r="AS6" s="10">
        <v>1</v>
      </c>
      <c r="AT6" s="10"/>
      <c r="AU6" s="10">
        <v>1</v>
      </c>
      <c r="AV6" s="27"/>
      <c r="AY6" s="10"/>
      <c r="AZ6" s="10">
        <v>1</v>
      </c>
      <c r="BA6" s="10"/>
      <c r="BB6" s="10">
        <v>1</v>
      </c>
      <c r="BF6" s="10"/>
      <c r="BG6" s="10"/>
      <c r="BH6" s="10"/>
      <c r="BI6" s="10"/>
      <c r="BM6" s="10"/>
      <c r="BN6" s="10"/>
      <c r="BO6" s="10"/>
      <c r="BP6" s="10"/>
      <c r="BT6" s="10"/>
      <c r="BU6" s="10"/>
      <c r="BV6" s="10"/>
      <c r="BW6" s="10"/>
    </row>
    <row r="7" spans="2:76" outlineLevel="1">
      <c r="B7" t="s">
        <v>28</v>
      </c>
      <c r="C7" t="s">
        <v>88</v>
      </c>
      <c r="D7" s="19">
        <v>45258</v>
      </c>
      <c r="E7" s="9"/>
      <c r="F7" t="s">
        <v>91</v>
      </c>
      <c r="G7" s="10">
        <v>0.1</v>
      </c>
      <c r="I7" s="9">
        <f t="shared" si="0"/>
        <v>0</v>
      </c>
      <c r="J7" s="11" cm="1">
        <f t="array" ref="J7">MAX(IF($N$3:$CZ$3=$J$3,N7:CZ7))</f>
        <v>0</v>
      </c>
      <c r="K7" s="11" cm="1">
        <f t="array" ref="K7">MAX(IF($N$3:$CZ$3=$J$3,N7:CZ7))</f>
        <v>0</v>
      </c>
      <c r="L7" s="9"/>
      <c r="P7" s="10"/>
      <c r="Q7" s="10"/>
      <c r="R7" s="10"/>
      <c r="S7" s="10"/>
      <c r="W7" s="10"/>
      <c r="X7" s="10">
        <v>0.5</v>
      </c>
      <c r="Y7" s="10"/>
      <c r="Z7" s="10">
        <v>0.5</v>
      </c>
      <c r="AD7" s="10"/>
      <c r="AE7" s="10">
        <v>0.8</v>
      </c>
      <c r="AF7" s="10"/>
      <c r="AG7" s="10">
        <v>0.8</v>
      </c>
      <c r="AK7" s="10"/>
      <c r="AL7" s="10">
        <v>1</v>
      </c>
      <c r="AM7" s="10"/>
      <c r="AN7" s="10">
        <v>1</v>
      </c>
      <c r="AR7" s="10"/>
      <c r="AS7" s="10">
        <v>1</v>
      </c>
      <c r="AT7" s="10"/>
      <c r="AU7" s="10">
        <v>1</v>
      </c>
      <c r="AY7" s="10"/>
      <c r="AZ7" s="10">
        <v>1</v>
      </c>
      <c r="BA7" s="10"/>
      <c r="BB7" s="10">
        <v>1</v>
      </c>
      <c r="BF7" s="10"/>
      <c r="BG7" s="10"/>
      <c r="BH7" s="10"/>
      <c r="BI7" s="10"/>
      <c r="BM7" s="10"/>
      <c r="BN7" s="10"/>
      <c r="BO7" s="10"/>
      <c r="BP7" s="10"/>
      <c r="BT7" s="10"/>
      <c r="BU7" s="10"/>
      <c r="BV7" s="10"/>
      <c r="BW7" s="10"/>
    </row>
    <row r="8" spans="2:76" outlineLevel="1">
      <c r="B8" t="s">
        <v>28</v>
      </c>
      <c r="C8" t="s">
        <v>88</v>
      </c>
      <c r="D8" s="19">
        <v>45258</v>
      </c>
      <c r="E8" s="9"/>
      <c r="F8" t="s">
        <v>92</v>
      </c>
      <c r="G8" s="10">
        <v>0.15</v>
      </c>
      <c r="I8" s="9">
        <f t="shared" si="0"/>
        <v>0</v>
      </c>
      <c r="J8" s="11" cm="1">
        <f t="array" ref="J8">MAX(IF($N$3:$CZ$3=$J$3,N8:CZ8))</f>
        <v>0</v>
      </c>
      <c r="K8" s="11" cm="1">
        <f t="array" ref="K8">MAX(IF($N$3:$CZ$3=$J$3,N8:CZ8))</f>
        <v>0</v>
      </c>
      <c r="L8" s="9"/>
      <c r="P8" s="10"/>
      <c r="Q8" s="10"/>
      <c r="R8" s="10"/>
      <c r="S8" s="10"/>
      <c r="W8" s="10"/>
      <c r="X8" s="10">
        <v>0.5</v>
      </c>
      <c r="Y8" s="10"/>
      <c r="Z8" s="10">
        <v>0.5</v>
      </c>
      <c r="AD8" s="10"/>
      <c r="AE8" s="10">
        <v>0.8</v>
      </c>
      <c r="AF8" s="10"/>
      <c r="AG8" s="10">
        <v>0.8</v>
      </c>
      <c r="AK8" s="10"/>
      <c r="AL8" s="10">
        <v>0.8</v>
      </c>
      <c r="AM8" s="10"/>
      <c r="AN8" s="10">
        <v>0.8</v>
      </c>
      <c r="AR8" s="10"/>
      <c r="AS8" s="10">
        <v>1</v>
      </c>
      <c r="AT8" s="10"/>
      <c r="AU8" s="10">
        <v>1</v>
      </c>
      <c r="AY8" s="10"/>
      <c r="AZ8" s="10">
        <v>1</v>
      </c>
      <c r="BA8" s="10"/>
      <c r="BB8" s="10">
        <v>1</v>
      </c>
      <c r="BF8" s="10"/>
      <c r="BG8" s="10"/>
      <c r="BH8" s="10"/>
      <c r="BI8" s="10"/>
      <c r="BM8" s="10"/>
      <c r="BN8" s="10"/>
      <c r="BO8" s="10"/>
      <c r="BP8" s="10"/>
      <c r="BT8" s="10"/>
      <c r="BU8" s="10"/>
      <c r="BV8" s="10"/>
      <c r="BW8" s="10"/>
    </row>
    <row r="9" spans="2:76" outlineLevel="1">
      <c r="B9" t="s">
        <v>28</v>
      </c>
      <c r="C9" t="s">
        <v>88</v>
      </c>
      <c r="D9" s="19">
        <v>45258</v>
      </c>
      <c r="E9" s="9"/>
      <c r="F9" t="s">
        <v>93</v>
      </c>
      <c r="G9" s="10">
        <v>0.15</v>
      </c>
      <c r="I9" s="9">
        <f t="shared" si="0"/>
        <v>0</v>
      </c>
      <c r="J9" s="11" cm="1">
        <f t="array" ref="J9">MAX(IF($N$3:$CZ$3=$J$3,N9:CZ9))</f>
        <v>0</v>
      </c>
      <c r="K9" s="11" cm="1">
        <f t="array" ref="K9">MAX(IF($N$3:$CZ$3=$J$3,N9:CZ9))</f>
        <v>0</v>
      </c>
      <c r="L9" s="9"/>
      <c r="P9" s="10"/>
      <c r="Q9" s="10"/>
      <c r="R9" s="10"/>
      <c r="S9" s="10"/>
      <c r="W9" s="10"/>
      <c r="X9" s="10">
        <v>0.5</v>
      </c>
      <c r="Y9" s="10"/>
      <c r="Z9" s="10">
        <v>0.5</v>
      </c>
      <c r="AD9" s="10"/>
      <c r="AE9" s="10">
        <v>0.8</v>
      </c>
      <c r="AF9" s="10"/>
      <c r="AG9" s="10">
        <v>0.8</v>
      </c>
      <c r="AK9" s="10"/>
      <c r="AL9" s="10">
        <v>0.8</v>
      </c>
      <c r="AM9" s="10"/>
      <c r="AN9" s="10">
        <v>0.8</v>
      </c>
      <c r="AR9" s="10"/>
      <c r="AS9" s="10">
        <v>1</v>
      </c>
      <c r="AT9" s="10"/>
      <c r="AU9" s="10">
        <v>1</v>
      </c>
      <c r="AY9" s="10"/>
      <c r="AZ9" s="10">
        <v>1</v>
      </c>
      <c r="BA9" s="10"/>
      <c r="BB9" s="10">
        <v>1</v>
      </c>
      <c r="BF9" s="10"/>
      <c r="BG9" s="10"/>
      <c r="BH9" s="10"/>
      <c r="BI9" s="10"/>
      <c r="BM9" s="10"/>
      <c r="BN9" s="10"/>
      <c r="BO9" s="10"/>
      <c r="BP9" s="10"/>
      <c r="BT9" s="10"/>
      <c r="BU9" s="10"/>
      <c r="BV9" s="10"/>
      <c r="BW9" s="10"/>
    </row>
    <row r="10" spans="2:76" outlineLevel="1">
      <c r="B10" t="s">
        <v>28</v>
      </c>
      <c r="C10" t="s">
        <v>88</v>
      </c>
      <c r="D10" s="19">
        <v>45258</v>
      </c>
      <c r="E10" s="9"/>
      <c r="F10" t="s">
        <v>94</v>
      </c>
      <c r="G10" s="10">
        <v>0.15</v>
      </c>
      <c r="I10" s="9">
        <f t="shared" si="0"/>
        <v>0</v>
      </c>
      <c r="J10" s="11" cm="1">
        <f t="array" ref="J10">MAX(IF($N$3:$CZ$3=$J$3,N10:CZ10))</f>
        <v>0</v>
      </c>
      <c r="K10" s="11" cm="1">
        <f t="array" ref="K10">MAX(IF($N$3:$CZ$3=$J$3,N10:CZ10))</f>
        <v>0</v>
      </c>
      <c r="L10" s="9"/>
      <c r="P10" s="10"/>
      <c r="Q10" s="10"/>
      <c r="R10" s="10"/>
      <c r="S10" s="10"/>
      <c r="W10" s="10"/>
      <c r="X10" s="10">
        <v>0.5</v>
      </c>
      <c r="Y10" s="10"/>
      <c r="Z10" s="10">
        <v>0.5</v>
      </c>
      <c r="AD10" s="10"/>
      <c r="AE10" s="10">
        <v>0.5</v>
      </c>
      <c r="AF10" s="10"/>
      <c r="AG10" s="10">
        <v>0.5</v>
      </c>
      <c r="AK10" s="10"/>
      <c r="AL10" s="10">
        <v>0.8</v>
      </c>
      <c r="AM10" s="10"/>
      <c r="AN10" s="10">
        <v>0.8</v>
      </c>
      <c r="AR10" s="10"/>
      <c r="AS10" s="10">
        <v>1</v>
      </c>
      <c r="AT10" s="10"/>
      <c r="AU10" s="10">
        <v>1</v>
      </c>
      <c r="AY10" s="10"/>
      <c r="AZ10" s="10">
        <v>1</v>
      </c>
      <c r="BA10" s="10"/>
      <c r="BB10" s="10">
        <v>1</v>
      </c>
      <c r="BF10" s="10"/>
      <c r="BG10" s="10"/>
      <c r="BH10" s="10"/>
      <c r="BI10" s="10"/>
      <c r="BM10" s="10"/>
      <c r="BN10" s="10"/>
      <c r="BO10" s="10"/>
      <c r="BP10" s="10"/>
      <c r="BT10" s="10"/>
      <c r="BU10" s="10"/>
      <c r="BV10" s="10"/>
      <c r="BW10" s="10"/>
    </row>
    <row r="11" spans="2:76">
      <c r="B11" t="s">
        <v>28</v>
      </c>
      <c r="C11" t="s">
        <v>88</v>
      </c>
      <c r="D11" s="19">
        <v>45258</v>
      </c>
      <c r="E11" s="9"/>
      <c r="F11" t="s">
        <v>95</v>
      </c>
      <c r="G11" s="10">
        <v>0.1</v>
      </c>
      <c r="I11" s="9">
        <v>0</v>
      </c>
      <c r="J11" s="11" cm="1">
        <f t="array" ref="J11">MAX(IF($N$3:$CZ$3=$J$3,N11:CZ11))</f>
        <v>0</v>
      </c>
      <c r="K11" s="11" cm="1">
        <f t="array" ref="K11">MAX(IF($N$3:$CZ$3=$J$3,N11:CZ11))</f>
        <v>0</v>
      </c>
      <c r="L11" s="9"/>
      <c r="P11" s="10"/>
      <c r="Q11" s="10"/>
      <c r="R11" s="10"/>
      <c r="S11" s="10"/>
      <c r="W11" s="10"/>
      <c r="X11" s="10">
        <v>0.5</v>
      </c>
      <c r="Y11" s="10"/>
      <c r="Z11" s="10">
        <v>0.5</v>
      </c>
      <c r="AD11" s="10"/>
      <c r="AE11" s="10">
        <v>0.5</v>
      </c>
      <c r="AF11" s="10"/>
      <c r="AG11" s="10">
        <v>0.5</v>
      </c>
      <c r="AK11" s="10"/>
      <c r="AL11" s="10">
        <v>0.8</v>
      </c>
      <c r="AM11" s="10"/>
      <c r="AN11" s="10">
        <v>0.8</v>
      </c>
      <c r="AR11" s="10"/>
      <c r="AS11" s="10">
        <v>1</v>
      </c>
      <c r="AT11" s="10"/>
      <c r="AU11" s="10">
        <v>1</v>
      </c>
      <c r="AY11" s="10"/>
      <c r="AZ11" s="10">
        <v>1</v>
      </c>
      <c r="BA11" s="10"/>
      <c r="BB11" s="10">
        <v>1</v>
      </c>
      <c r="BF11" s="10"/>
      <c r="BG11" s="10"/>
      <c r="BH11" s="10"/>
      <c r="BI11" s="10"/>
      <c r="BM11" s="10"/>
      <c r="BN11" s="10"/>
      <c r="BO11" s="10"/>
      <c r="BP11" s="10"/>
      <c r="BT11" s="10"/>
      <c r="BU11" s="10"/>
      <c r="BV11" s="10"/>
      <c r="BW11" s="10"/>
    </row>
    <row r="12" spans="2:76">
      <c r="E12" s="9"/>
      <c r="G12" s="10"/>
      <c r="I12" s="9"/>
      <c r="J12" s="11"/>
      <c r="K12" s="11"/>
      <c r="L12" s="9"/>
      <c r="P12" s="10"/>
      <c r="Q12" s="10"/>
      <c r="R12" t="s">
        <v>118</v>
      </c>
      <c r="S12">
        <v>2</v>
      </c>
      <c r="W12" s="10"/>
      <c r="X12" s="10"/>
      <c r="Y12" t="s">
        <v>118</v>
      </c>
      <c r="Z12">
        <v>5</v>
      </c>
      <c r="AD12" s="10"/>
      <c r="AE12" s="10"/>
      <c r="AF12" t="s">
        <v>118</v>
      </c>
      <c r="AG12">
        <v>5</v>
      </c>
      <c r="AK12" s="10"/>
      <c r="AL12" s="10"/>
      <c r="AM12" t="s">
        <v>118</v>
      </c>
      <c r="AN12">
        <v>5</v>
      </c>
      <c r="AO12" s="28"/>
      <c r="AR12" s="10"/>
      <c r="AS12" s="10"/>
      <c r="AT12" t="s">
        <v>118</v>
      </c>
      <c r="AU12">
        <v>4</v>
      </c>
      <c r="AY12" s="10"/>
      <c r="AZ12" s="10"/>
      <c r="BA12" s="10"/>
      <c r="BB12" s="10"/>
      <c r="BF12" s="10"/>
      <c r="BG12" s="10"/>
      <c r="BH12" s="10"/>
      <c r="BI12" s="10"/>
      <c r="BM12" s="10"/>
      <c r="BN12" s="10"/>
      <c r="BO12" s="10"/>
      <c r="BP12" s="10"/>
      <c r="BT12" s="10"/>
      <c r="BU12" s="10"/>
      <c r="BV12" s="10"/>
      <c r="BW12" s="10"/>
    </row>
    <row r="13" spans="2:76">
      <c r="B13" t="s">
        <v>27</v>
      </c>
      <c r="C13" t="s">
        <v>96</v>
      </c>
      <c r="D13" s="19">
        <v>45260</v>
      </c>
      <c r="E13" s="9">
        <v>6</v>
      </c>
      <c r="G13" s="10">
        <f>+SUM(G14:G25)</f>
        <v>0.99999999999999978</v>
      </c>
      <c r="I13" s="12">
        <f>+SUM(I14:I25)</f>
        <v>0</v>
      </c>
      <c r="J13" s="11">
        <f>+SUMPRODUCT(G14:G21,J14:J21)</f>
        <v>0</v>
      </c>
      <c r="K13" s="11">
        <f>+SUMPRODUCT(G14:G21,K14:K21)</f>
        <v>0</v>
      </c>
      <c r="O13" s="12">
        <f>+SUM(O14:O25)</f>
        <v>0</v>
      </c>
      <c r="V13" s="12">
        <f>+SUM(V14:V25)</f>
        <v>0</v>
      </c>
      <c r="AC13" s="12">
        <f>+SUM(AC14:AC25)</f>
        <v>0</v>
      </c>
      <c r="AJ13" s="12">
        <f>+SUM(AJ14:AJ25)</f>
        <v>0</v>
      </c>
      <c r="AQ13" s="12">
        <f>+SUM(AQ14:AQ25)</f>
        <v>0</v>
      </c>
      <c r="AX13" s="12">
        <f>+SUM(AX14:AX25)</f>
        <v>0</v>
      </c>
    </row>
    <row r="14" spans="2:76" outlineLevel="1">
      <c r="B14" t="s">
        <v>28</v>
      </c>
      <c r="C14" t="s">
        <v>96</v>
      </c>
      <c r="D14" s="19">
        <v>45260</v>
      </c>
      <c r="E14" s="9"/>
      <c r="F14" t="s">
        <v>30</v>
      </c>
      <c r="G14" s="10">
        <v>0.08</v>
      </c>
      <c r="I14" s="9">
        <f t="shared" ref="I14:I21" si="1">+SUMIF($N$3:$YR$3,I$3,$N14:$YR14)</f>
        <v>0</v>
      </c>
      <c r="J14" s="11" cm="1">
        <f t="array" ref="J14">MAX(IF($N$3:$CZ$3=$J$3,N14:CZ14))</f>
        <v>0</v>
      </c>
      <c r="K14" s="11" cm="1">
        <f t="array" ref="K14">MAX(IF($N$3:$CZ$3=$J$3,N14:CZ14))</f>
        <v>0</v>
      </c>
      <c r="L14" s="9"/>
      <c r="P14" s="10"/>
      <c r="Q14" s="10">
        <v>0.5</v>
      </c>
      <c r="R14" s="10"/>
      <c r="S14" s="10">
        <v>0.5</v>
      </c>
      <c r="W14" s="10"/>
      <c r="X14" s="10">
        <v>0.5</v>
      </c>
      <c r="Y14" s="10"/>
      <c r="Z14" s="10">
        <v>0.5</v>
      </c>
      <c r="AD14" s="10"/>
      <c r="AE14" s="10">
        <v>0.8</v>
      </c>
      <c r="AF14" s="10"/>
      <c r="AG14" s="10">
        <v>0.8</v>
      </c>
      <c r="AK14" s="10"/>
      <c r="AL14" s="10">
        <v>1</v>
      </c>
      <c r="AM14" s="10"/>
      <c r="AN14" s="10">
        <v>1</v>
      </c>
      <c r="AR14" s="10"/>
      <c r="AS14" s="10">
        <v>1</v>
      </c>
      <c r="AT14" s="10"/>
      <c r="AU14" s="10">
        <v>1</v>
      </c>
      <c r="AY14" s="10"/>
      <c r="AZ14" s="10">
        <v>1</v>
      </c>
      <c r="BA14" s="10"/>
      <c r="BB14" s="10">
        <v>1</v>
      </c>
      <c r="BF14" s="10"/>
      <c r="BG14" s="10"/>
      <c r="BH14" s="10"/>
      <c r="BI14" s="10"/>
      <c r="BM14" s="10"/>
      <c r="BN14" s="10"/>
      <c r="BO14" s="10"/>
      <c r="BP14" s="10"/>
      <c r="BT14" s="10"/>
      <c r="BU14" s="10"/>
      <c r="BV14" s="10"/>
      <c r="BW14" s="10"/>
    </row>
    <row r="15" spans="2:76" outlineLevel="1">
      <c r="B15" t="s">
        <v>28</v>
      </c>
      <c r="C15" t="s">
        <v>96</v>
      </c>
      <c r="D15" s="19">
        <v>45260</v>
      </c>
      <c r="E15" s="9"/>
      <c r="F15" t="s">
        <v>97</v>
      </c>
      <c r="G15" s="10">
        <v>0.08</v>
      </c>
      <c r="I15" s="9">
        <f t="shared" si="1"/>
        <v>0</v>
      </c>
      <c r="J15" s="11" cm="1">
        <f t="array" ref="J15">MAX(IF($N$3:$CZ$3=$J$3,N15:CZ15))</f>
        <v>0</v>
      </c>
      <c r="K15" s="11" cm="1">
        <f t="array" ref="K15">MAX(IF($N$3:$CZ$3=$J$3,N15:CZ15))</f>
        <v>0</v>
      </c>
      <c r="L15" s="9"/>
      <c r="P15" s="10"/>
      <c r="Q15" s="10">
        <v>0.5</v>
      </c>
      <c r="R15" s="10"/>
      <c r="S15" s="10">
        <v>0.5</v>
      </c>
      <c r="W15" s="10"/>
      <c r="X15" s="10">
        <v>0.5</v>
      </c>
      <c r="Y15" s="10"/>
      <c r="Z15" s="10">
        <v>0.5</v>
      </c>
      <c r="AD15" s="10"/>
      <c r="AE15" s="10">
        <v>0.8</v>
      </c>
      <c r="AF15" s="10"/>
      <c r="AG15" s="10">
        <v>0.8</v>
      </c>
      <c r="AK15" s="10"/>
      <c r="AL15" s="10">
        <v>1</v>
      </c>
      <c r="AM15" s="10"/>
      <c r="AN15" s="10">
        <v>1</v>
      </c>
      <c r="AR15" s="10"/>
      <c r="AS15" s="10">
        <v>1</v>
      </c>
      <c r="AT15" s="10"/>
      <c r="AU15" s="10">
        <v>1</v>
      </c>
      <c r="AY15" s="10"/>
      <c r="AZ15" s="10">
        <v>1</v>
      </c>
      <c r="BA15" s="10"/>
      <c r="BB15" s="10">
        <v>1</v>
      </c>
      <c r="BF15" s="10"/>
      <c r="BG15" s="10"/>
      <c r="BH15" s="10"/>
      <c r="BI15" s="10"/>
      <c r="BM15" s="10"/>
      <c r="BN15" s="10"/>
      <c r="BO15" s="10"/>
      <c r="BP15" s="10"/>
      <c r="BT15" s="10"/>
      <c r="BU15" s="10"/>
      <c r="BV15" s="10"/>
      <c r="BW15" s="10"/>
    </row>
    <row r="16" spans="2:76" outlineLevel="1">
      <c r="B16" t="s">
        <v>28</v>
      </c>
      <c r="C16" t="s">
        <v>96</v>
      </c>
      <c r="D16" s="19">
        <v>45260</v>
      </c>
      <c r="E16" s="9"/>
      <c r="F16" t="s">
        <v>98</v>
      </c>
      <c r="G16" s="10">
        <v>0.08</v>
      </c>
      <c r="I16" s="9">
        <f t="shared" si="1"/>
        <v>0</v>
      </c>
      <c r="J16" s="11" cm="1">
        <f t="array" ref="J16">MAX(IF($N$3:$CZ$3=$J$3,N16:CZ16))</f>
        <v>0</v>
      </c>
      <c r="K16" s="11" cm="1">
        <f t="array" ref="K16">MAX(IF($N$3:$CZ$3=$J$3,N16:CZ16))</f>
        <v>0</v>
      </c>
      <c r="L16" s="9"/>
      <c r="P16" s="10"/>
      <c r="Q16" s="10">
        <v>0.5</v>
      </c>
      <c r="R16" s="10"/>
      <c r="S16" s="10">
        <v>0.5</v>
      </c>
      <c r="W16" s="10"/>
      <c r="X16" s="10">
        <v>0.5</v>
      </c>
      <c r="Y16" s="10"/>
      <c r="Z16" s="10">
        <v>0.5</v>
      </c>
      <c r="AD16" s="10"/>
      <c r="AE16" s="10">
        <v>0.8</v>
      </c>
      <c r="AF16" s="10"/>
      <c r="AG16" s="10">
        <v>0.8</v>
      </c>
      <c r="AK16" s="10"/>
      <c r="AL16" s="10">
        <v>1</v>
      </c>
      <c r="AM16" s="10"/>
      <c r="AN16" s="10">
        <v>1</v>
      </c>
      <c r="AR16" s="10"/>
      <c r="AS16" s="10">
        <v>1</v>
      </c>
      <c r="AT16" s="10"/>
      <c r="AU16" s="10">
        <v>1</v>
      </c>
      <c r="AY16" s="10"/>
      <c r="AZ16" s="10">
        <v>1</v>
      </c>
      <c r="BA16" s="10"/>
      <c r="BB16" s="10">
        <v>1</v>
      </c>
      <c r="BF16" s="10"/>
      <c r="BG16" s="10"/>
      <c r="BH16" s="10"/>
      <c r="BI16" s="10"/>
      <c r="BM16" s="10"/>
      <c r="BN16" s="10"/>
      <c r="BO16" s="10"/>
      <c r="BP16" s="10"/>
      <c r="BT16" s="10"/>
      <c r="BU16" s="10"/>
      <c r="BV16" s="10"/>
      <c r="BW16" s="10"/>
    </row>
    <row r="17" spans="2:76" outlineLevel="1">
      <c r="B17" t="s">
        <v>28</v>
      </c>
      <c r="C17" t="s">
        <v>96</v>
      </c>
      <c r="D17" s="19">
        <v>45260</v>
      </c>
      <c r="E17" s="9"/>
      <c r="F17" t="s">
        <v>99</v>
      </c>
      <c r="G17" s="10">
        <v>0.12</v>
      </c>
      <c r="I17" s="9">
        <f t="shared" si="1"/>
        <v>0</v>
      </c>
      <c r="J17" s="11" cm="1">
        <f t="array" ref="J17">MAX(IF($N$3:$CZ$3=$J$3,N17:CZ17))</f>
        <v>0</v>
      </c>
      <c r="K17" s="11" cm="1">
        <f t="array" ref="K17">MAX(IF($N$3:$CZ$3=$J$3,N17:CZ17))</f>
        <v>0</v>
      </c>
      <c r="L17" s="9"/>
      <c r="P17" s="10"/>
      <c r="Q17" s="10"/>
      <c r="R17" s="10"/>
      <c r="S17" s="10"/>
      <c r="W17" s="10"/>
      <c r="X17" s="10">
        <v>0.5</v>
      </c>
      <c r="Y17" s="10"/>
      <c r="Z17" s="10">
        <v>0.5</v>
      </c>
      <c r="AD17" s="10"/>
      <c r="AE17" s="10">
        <v>0.8</v>
      </c>
      <c r="AF17" s="10"/>
      <c r="AG17" s="10">
        <v>0.8</v>
      </c>
      <c r="AK17" s="10"/>
      <c r="AL17" s="10">
        <v>0.8</v>
      </c>
      <c r="AM17" s="10"/>
      <c r="AN17" s="10">
        <v>0.8</v>
      </c>
      <c r="AR17" s="10"/>
      <c r="AS17" s="10">
        <v>1</v>
      </c>
      <c r="AT17" s="10"/>
      <c r="AU17" s="10">
        <v>1</v>
      </c>
      <c r="AY17" s="10"/>
      <c r="AZ17" s="10">
        <v>1</v>
      </c>
      <c r="BA17" s="10"/>
      <c r="BB17" s="10">
        <v>1</v>
      </c>
      <c r="BF17" s="10"/>
      <c r="BG17" s="10"/>
      <c r="BH17" s="10"/>
      <c r="BI17" s="10"/>
      <c r="BM17" s="10"/>
      <c r="BN17" s="10"/>
      <c r="BO17" s="10"/>
      <c r="BP17" s="10"/>
      <c r="BT17" s="10"/>
      <c r="BU17" s="10"/>
      <c r="BV17" s="10"/>
      <c r="BW17" s="10"/>
    </row>
    <row r="18" spans="2:76" outlineLevel="1">
      <c r="B18" t="s">
        <v>28</v>
      </c>
      <c r="C18" t="s">
        <v>96</v>
      </c>
      <c r="D18" s="19">
        <v>45260</v>
      </c>
      <c r="E18" s="9"/>
      <c r="F18" t="s">
        <v>100</v>
      </c>
      <c r="G18" s="10">
        <v>0.08</v>
      </c>
      <c r="I18" s="9">
        <f t="shared" si="1"/>
        <v>0</v>
      </c>
      <c r="J18" s="11" cm="1">
        <f t="array" ref="J18">MAX(IF($N$3:$CZ$3=$J$3,N18:CZ18))</f>
        <v>0</v>
      </c>
      <c r="K18" s="11" cm="1">
        <f t="array" ref="K18">MAX(IF($N$3:$CZ$3=$J$3,N18:CZ18))</f>
        <v>0</v>
      </c>
      <c r="L18" s="9"/>
      <c r="P18" s="10"/>
      <c r="Q18" s="10"/>
      <c r="R18" s="10"/>
      <c r="S18" s="10"/>
      <c r="W18" s="10"/>
      <c r="X18" s="10">
        <v>0.5</v>
      </c>
      <c r="Y18" s="10"/>
      <c r="Z18" s="10">
        <v>0.5</v>
      </c>
      <c r="AD18" s="10"/>
      <c r="AE18" s="10">
        <v>0.8</v>
      </c>
      <c r="AF18" s="10"/>
      <c r="AG18" s="10">
        <v>0.8</v>
      </c>
      <c r="AK18" s="10"/>
      <c r="AL18" s="10">
        <v>0.8</v>
      </c>
      <c r="AM18" s="10"/>
      <c r="AN18" s="10">
        <v>0.8</v>
      </c>
      <c r="AR18" s="10"/>
      <c r="AS18" s="10">
        <v>1</v>
      </c>
      <c r="AT18" s="10"/>
      <c r="AU18" s="10">
        <v>1</v>
      </c>
      <c r="AY18" s="10"/>
      <c r="AZ18" s="10">
        <v>1</v>
      </c>
      <c r="BA18" s="10"/>
      <c r="BB18" s="10">
        <v>1</v>
      </c>
      <c r="BF18" s="10"/>
      <c r="BG18" s="10"/>
      <c r="BH18" s="10"/>
      <c r="BI18" s="10"/>
      <c r="BM18" s="10"/>
      <c r="BN18" s="10"/>
      <c r="BO18" s="10"/>
      <c r="BP18" s="10"/>
      <c r="BT18" s="10"/>
      <c r="BU18" s="10"/>
      <c r="BV18" s="10"/>
      <c r="BW18" s="10"/>
    </row>
    <row r="19" spans="2:76" outlineLevel="1">
      <c r="B19" t="s">
        <v>28</v>
      </c>
      <c r="C19" t="s">
        <v>96</v>
      </c>
      <c r="D19" s="19">
        <v>45260</v>
      </c>
      <c r="E19" s="9"/>
      <c r="F19" t="s">
        <v>101</v>
      </c>
      <c r="G19" s="10">
        <v>0.08</v>
      </c>
      <c r="I19" s="9">
        <f t="shared" si="1"/>
        <v>0</v>
      </c>
      <c r="J19" s="11" cm="1">
        <f t="array" ref="J19">MAX(IF($N$3:$CZ$3=$J$3,N19:CZ19))</f>
        <v>0</v>
      </c>
      <c r="K19" s="11" cm="1">
        <f t="array" ref="K19">MAX(IF($N$3:$CZ$3=$J$3,N19:CZ19))</f>
        <v>0</v>
      </c>
      <c r="L19" s="9"/>
      <c r="P19" s="10"/>
      <c r="Q19" s="10"/>
      <c r="R19" s="10"/>
      <c r="S19" s="10"/>
      <c r="W19" s="10"/>
      <c r="X19" s="10">
        <v>0.5</v>
      </c>
      <c r="Y19" s="10"/>
      <c r="Z19" s="10">
        <v>0.5</v>
      </c>
      <c r="AD19" s="10"/>
      <c r="AE19" s="10">
        <v>0.8</v>
      </c>
      <c r="AF19" s="10"/>
      <c r="AG19" s="10">
        <v>0.8</v>
      </c>
      <c r="AK19" s="10"/>
      <c r="AL19" s="10">
        <v>0.8</v>
      </c>
      <c r="AM19" s="10"/>
      <c r="AN19" s="10">
        <v>0.8</v>
      </c>
      <c r="AR19" s="10"/>
      <c r="AS19" s="10">
        <v>1</v>
      </c>
      <c r="AT19" s="10"/>
      <c r="AU19" s="10">
        <v>1</v>
      </c>
      <c r="AY19" s="10"/>
      <c r="AZ19" s="10">
        <v>1</v>
      </c>
      <c r="BA19" s="10"/>
      <c r="BB19" s="10">
        <v>1</v>
      </c>
      <c r="BF19" s="10"/>
      <c r="BG19" s="10"/>
      <c r="BH19" s="10"/>
      <c r="BI19" s="10"/>
      <c r="BM19" s="10"/>
      <c r="BN19" s="10"/>
      <c r="BO19" s="10"/>
      <c r="BP19" s="10"/>
      <c r="BT19" s="10"/>
      <c r="BU19" s="10"/>
      <c r="BV19" s="10"/>
      <c r="BW19" s="10"/>
    </row>
    <row r="20" spans="2:76" outlineLevel="1">
      <c r="B20" t="s">
        <v>28</v>
      </c>
      <c r="C20" t="s">
        <v>96</v>
      </c>
      <c r="D20" s="19">
        <v>45260</v>
      </c>
      <c r="E20" s="9"/>
      <c r="F20" t="s">
        <v>102</v>
      </c>
      <c r="G20" s="10">
        <v>0.08</v>
      </c>
      <c r="I20" s="9">
        <f t="shared" si="1"/>
        <v>0</v>
      </c>
      <c r="J20" s="11" cm="1">
        <f t="array" ref="J20">MAX(IF($N$3:$CZ$3=$J$3,N20:CZ20))</f>
        <v>0</v>
      </c>
      <c r="K20" s="11" cm="1">
        <f t="array" ref="K20">MAX(IF($N$3:$CZ$3=$J$3,N20:CZ20))</f>
        <v>0</v>
      </c>
      <c r="L20" s="9"/>
      <c r="P20" s="10"/>
      <c r="Q20" s="10"/>
      <c r="R20" s="10"/>
      <c r="S20" s="10"/>
      <c r="W20" s="10"/>
      <c r="X20" s="10">
        <v>0.5</v>
      </c>
      <c r="Y20" s="10"/>
      <c r="Z20" s="10">
        <v>0.5</v>
      </c>
      <c r="AD20" s="10"/>
      <c r="AE20" s="10">
        <v>0.8</v>
      </c>
      <c r="AF20" s="10"/>
      <c r="AG20" s="10">
        <v>0.8</v>
      </c>
      <c r="AK20" s="10"/>
      <c r="AL20" s="10">
        <v>0.8</v>
      </c>
      <c r="AM20" s="10"/>
      <c r="AN20" s="10">
        <v>0.8</v>
      </c>
      <c r="AR20" s="10"/>
      <c r="AS20" s="10">
        <v>1</v>
      </c>
      <c r="AT20" s="10"/>
      <c r="AU20" s="10">
        <v>1</v>
      </c>
      <c r="AY20" s="10"/>
      <c r="AZ20" s="10">
        <v>1</v>
      </c>
      <c r="BA20" s="10"/>
      <c r="BB20" s="10">
        <v>1</v>
      </c>
      <c r="BF20" s="10"/>
      <c r="BG20" s="10"/>
      <c r="BH20" s="10"/>
      <c r="BI20" s="10"/>
      <c r="BM20" s="10"/>
      <c r="BN20" s="10"/>
      <c r="BO20" s="10"/>
      <c r="BP20" s="10"/>
      <c r="BT20" s="10"/>
      <c r="BU20" s="10"/>
      <c r="BV20" s="10"/>
      <c r="BW20" s="10"/>
    </row>
    <row r="21" spans="2:76" outlineLevel="1">
      <c r="B21" t="s">
        <v>28</v>
      </c>
      <c r="C21" t="s">
        <v>96</v>
      </c>
      <c r="D21" s="19">
        <v>45260</v>
      </c>
      <c r="E21" s="9"/>
      <c r="F21" t="s">
        <v>103</v>
      </c>
      <c r="G21" s="10">
        <v>0.08</v>
      </c>
      <c r="I21" s="9">
        <f t="shared" si="1"/>
        <v>0</v>
      </c>
      <c r="J21" s="11" cm="1">
        <f t="array" ref="J21">MAX(IF($N$3:$CZ$3=$J$3,N21:CZ21))</f>
        <v>0</v>
      </c>
      <c r="K21" s="11" cm="1">
        <f t="array" ref="K21">MAX(IF($N$3:$CZ$3=$J$3,N21:CZ21))</f>
        <v>0</v>
      </c>
      <c r="L21" s="9"/>
      <c r="P21" s="10"/>
      <c r="Q21" s="10"/>
      <c r="R21" s="10"/>
      <c r="S21" s="10"/>
      <c r="W21" s="10"/>
      <c r="X21" s="10">
        <v>0.5</v>
      </c>
      <c r="Y21" s="10"/>
      <c r="Z21" s="10">
        <v>0.5</v>
      </c>
      <c r="AD21" s="10"/>
      <c r="AE21" s="10">
        <v>0.5</v>
      </c>
      <c r="AF21" s="10"/>
      <c r="AG21" s="10">
        <v>0.5</v>
      </c>
      <c r="AK21" s="10"/>
      <c r="AL21" s="10">
        <v>0.8</v>
      </c>
      <c r="AM21" s="10"/>
      <c r="AN21" s="10">
        <v>0.8</v>
      </c>
      <c r="AR21" s="10"/>
      <c r="AS21" s="10">
        <v>1</v>
      </c>
      <c r="AT21" s="10"/>
      <c r="AU21" s="10">
        <v>1</v>
      </c>
      <c r="AY21" s="10"/>
      <c r="AZ21" s="10">
        <v>1</v>
      </c>
      <c r="BA21" s="10"/>
      <c r="BB21" s="10">
        <v>1</v>
      </c>
      <c r="BF21" s="10"/>
      <c r="BG21" s="10"/>
      <c r="BH21" s="10"/>
      <c r="BI21" s="10"/>
      <c r="BM21" s="10"/>
      <c r="BN21" s="10"/>
      <c r="BO21" s="10"/>
      <c r="BP21" s="10"/>
      <c r="BT21" s="10"/>
      <c r="BU21" s="10"/>
      <c r="BV21" s="10"/>
      <c r="BW21" s="10"/>
    </row>
    <row r="22" spans="2:76" outlineLevel="1">
      <c r="B22" s="20" t="s">
        <v>28</v>
      </c>
      <c r="C22" t="s">
        <v>96</v>
      </c>
      <c r="D22" s="21">
        <v>45260</v>
      </c>
      <c r="E22" s="22"/>
      <c r="F22" s="20" t="s">
        <v>104</v>
      </c>
      <c r="G22" s="10">
        <v>0.08</v>
      </c>
      <c r="H22" s="20"/>
      <c r="I22" s="22">
        <v>0</v>
      </c>
      <c r="J22" s="24">
        <v>0</v>
      </c>
      <c r="K22" s="24">
        <v>0</v>
      </c>
      <c r="L22" s="22"/>
      <c r="M22" s="20"/>
      <c r="N22" s="20"/>
      <c r="O22" s="20"/>
      <c r="P22" s="10"/>
      <c r="Q22" s="10"/>
      <c r="R22" s="10"/>
      <c r="S22" s="10"/>
      <c r="T22" s="20"/>
      <c r="U22" s="20"/>
      <c r="V22" s="20"/>
      <c r="W22" s="10"/>
      <c r="X22" s="10">
        <v>0.5</v>
      </c>
      <c r="Y22" s="10"/>
      <c r="Z22" s="10">
        <v>0.5</v>
      </c>
      <c r="AA22" s="20"/>
      <c r="AB22" s="20"/>
      <c r="AC22" s="20"/>
      <c r="AD22" s="10"/>
      <c r="AE22" s="10">
        <v>0.5</v>
      </c>
      <c r="AF22" s="10"/>
      <c r="AG22" s="10">
        <v>0.5</v>
      </c>
      <c r="AH22" s="20"/>
      <c r="AI22" s="20"/>
      <c r="AJ22" s="20"/>
      <c r="AK22" s="25"/>
      <c r="AL22" s="10">
        <v>0.8</v>
      </c>
      <c r="AM22" s="25"/>
      <c r="AN22" s="10">
        <v>0.8</v>
      </c>
      <c r="AO22" s="20"/>
      <c r="AP22" s="20"/>
      <c r="AQ22" s="20"/>
      <c r="AR22" s="25"/>
      <c r="AS22" s="10">
        <v>1</v>
      </c>
      <c r="AT22" s="25"/>
      <c r="AU22" s="10">
        <v>1</v>
      </c>
      <c r="AV22" s="20"/>
      <c r="AW22" s="20"/>
      <c r="AX22" s="20"/>
      <c r="AY22" s="25"/>
      <c r="AZ22" s="10">
        <v>1</v>
      </c>
      <c r="BA22" s="25"/>
      <c r="BB22" s="10">
        <v>1</v>
      </c>
      <c r="BC22" s="20"/>
      <c r="BD22" s="20"/>
      <c r="BE22" s="20"/>
      <c r="BF22" s="23"/>
      <c r="BG22" s="23"/>
      <c r="BH22" s="23"/>
      <c r="BI22" s="23"/>
      <c r="BJ22" s="20"/>
      <c r="BK22" s="20"/>
      <c r="BL22" s="20"/>
      <c r="BM22" s="23"/>
      <c r="BN22" s="23"/>
      <c r="BO22" s="23"/>
      <c r="BP22" s="23"/>
      <c r="BQ22" s="20"/>
      <c r="BR22" s="20"/>
      <c r="BS22" s="20"/>
      <c r="BT22" s="23"/>
      <c r="BU22" s="23"/>
      <c r="BV22" s="23"/>
      <c r="BW22" s="23"/>
      <c r="BX22" s="20"/>
    </row>
    <row r="23" spans="2:76" outlineLevel="1">
      <c r="B23" s="20" t="s">
        <v>28</v>
      </c>
      <c r="C23" t="s">
        <v>96</v>
      </c>
      <c r="D23" s="21">
        <v>45260</v>
      </c>
      <c r="E23" s="22"/>
      <c r="F23" s="20" t="s">
        <v>105</v>
      </c>
      <c r="G23" s="10">
        <v>0.08</v>
      </c>
      <c r="H23" s="20"/>
      <c r="I23" s="22">
        <v>0</v>
      </c>
      <c r="J23" s="24">
        <v>0</v>
      </c>
      <c r="K23" s="24">
        <v>0</v>
      </c>
      <c r="L23" s="22"/>
      <c r="M23" s="20"/>
      <c r="N23" s="20"/>
      <c r="O23" s="20"/>
      <c r="P23" s="10"/>
      <c r="Q23" s="10"/>
      <c r="R23" s="10"/>
      <c r="S23" s="10"/>
      <c r="T23" s="20"/>
      <c r="U23" s="20"/>
      <c r="V23" s="20"/>
      <c r="W23" s="10"/>
      <c r="X23" s="10">
        <v>0.5</v>
      </c>
      <c r="Y23" s="10"/>
      <c r="Z23" s="10">
        <v>0.5</v>
      </c>
      <c r="AA23" s="20"/>
      <c r="AB23" s="20"/>
      <c r="AC23" s="20"/>
      <c r="AD23" s="10"/>
      <c r="AE23" s="10">
        <v>0.5</v>
      </c>
      <c r="AF23" s="10"/>
      <c r="AG23" s="10">
        <v>0.5</v>
      </c>
      <c r="AH23" s="20"/>
      <c r="AI23" s="20"/>
      <c r="AJ23" s="20"/>
      <c r="AK23" s="25"/>
      <c r="AL23" s="10">
        <v>0.8</v>
      </c>
      <c r="AM23" s="25"/>
      <c r="AN23" s="10">
        <v>0.8</v>
      </c>
      <c r="AO23" s="20"/>
      <c r="AP23" s="20"/>
      <c r="AQ23" s="20"/>
      <c r="AR23" s="25"/>
      <c r="AS23" s="10">
        <v>1</v>
      </c>
      <c r="AT23" s="25"/>
      <c r="AU23" s="10">
        <v>1</v>
      </c>
      <c r="AV23" s="20"/>
      <c r="AW23" s="20"/>
      <c r="AX23" s="20"/>
      <c r="AY23" s="25"/>
      <c r="AZ23" s="10">
        <v>1</v>
      </c>
      <c r="BA23" s="25"/>
      <c r="BB23" s="10">
        <v>1</v>
      </c>
      <c r="BC23" s="20"/>
      <c r="BD23" s="20"/>
      <c r="BE23" s="20"/>
      <c r="BF23" s="23"/>
      <c r="BG23" s="23"/>
      <c r="BH23" s="23"/>
      <c r="BI23" s="23"/>
      <c r="BJ23" s="20"/>
      <c r="BK23" s="20"/>
      <c r="BL23" s="20"/>
      <c r="BM23" s="23"/>
      <c r="BN23" s="23"/>
      <c r="BO23" s="23"/>
      <c r="BP23" s="23"/>
      <c r="BQ23" s="20"/>
      <c r="BR23" s="20"/>
      <c r="BS23" s="20"/>
      <c r="BT23" s="23"/>
      <c r="BU23" s="23"/>
      <c r="BV23" s="23"/>
      <c r="BW23" s="23"/>
      <c r="BX23" s="20"/>
    </row>
    <row r="24" spans="2:76" outlineLevel="1">
      <c r="B24" s="20" t="s">
        <v>28</v>
      </c>
      <c r="C24" t="s">
        <v>96</v>
      </c>
      <c r="D24" s="21">
        <v>45260</v>
      </c>
      <c r="E24" s="22"/>
      <c r="F24" s="20" t="s">
        <v>106</v>
      </c>
      <c r="G24" s="10">
        <v>0.08</v>
      </c>
      <c r="H24" s="20"/>
      <c r="I24" s="22">
        <v>0</v>
      </c>
      <c r="J24" s="24">
        <v>0</v>
      </c>
      <c r="K24" s="24">
        <v>0</v>
      </c>
      <c r="L24" s="22"/>
      <c r="M24" s="20"/>
      <c r="N24" s="20"/>
      <c r="O24" s="20"/>
      <c r="P24" s="10"/>
      <c r="Q24" s="10"/>
      <c r="R24" s="10"/>
      <c r="S24" s="10"/>
      <c r="T24" s="20"/>
      <c r="U24" s="20"/>
      <c r="V24" s="20"/>
      <c r="W24" s="10"/>
      <c r="X24" s="10">
        <v>0.5</v>
      </c>
      <c r="Y24" s="10"/>
      <c r="Z24" s="10">
        <v>0.5</v>
      </c>
      <c r="AA24" s="20"/>
      <c r="AB24" s="20"/>
      <c r="AC24" s="20"/>
      <c r="AD24" s="10"/>
      <c r="AE24" s="10">
        <v>0.5</v>
      </c>
      <c r="AF24" s="10"/>
      <c r="AG24" s="10">
        <v>0.5</v>
      </c>
      <c r="AH24" s="20"/>
      <c r="AI24" s="20"/>
      <c r="AJ24" s="20"/>
      <c r="AK24" s="25"/>
      <c r="AL24" s="10">
        <v>0.8</v>
      </c>
      <c r="AM24" s="25"/>
      <c r="AN24" s="10">
        <v>0.8</v>
      </c>
      <c r="AO24" s="20"/>
      <c r="AP24" s="20"/>
      <c r="AQ24" s="20"/>
      <c r="AR24" s="25"/>
      <c r="AS24" s="10">
        <v>1</v>
      </c>
      <c r="AT24" s="25"/>
      <c r="AU24" s="10">
        <v>1</v>
      </c>
      <c r="AV24" s="20"/>
      <c r="AW24" s="20"/>
      <c r="AX24" s="20"/>
      <c r="AY24" s="25"/>
      <c r="AZ24" s="10">
        <v>1</v>
      </c>
      <c r="BA24" s="25"/>
      <c r="BB24" s="10">
        <v>1</v>
      </c>
      <c r="BC24" s="20"/>
      <c r="BD24" s="20"/>
      <c r="BE24" s="20"/>
      <c r="BF24" s="23"/>
      <c r="BG24" s="23"/>
      <c r="BH24" s="23"/>
      <c r="BI24" s="23"/>
      <c r="BJ24" s="20"/>
      <c r="BK24" s="20"/>
      <c r="BL24" s="20"/>
      <c r="BM24" s="23"/>
      <c r="BN24" s="23"/>
      <c r="BO24" s="23"/>
      <c r="BP24" s="23"/>
      <c r="BQ24" s="20"/>
      <c r="BR24" s="20"/>
      <c r="BS24" s="20"/>
      <c r="BT24" s="23"/>
      <c r="BU24" s="23"/>
      <c r="BV24" s="23"/>
      <c r="BW24" s="23"/>
      <c r="BX24" s="20"/>
    </row>
    <row r="25" spans="2:76" outlineLevel="1">
      <c r="B25" s="20" t="s">
        <v>28</v>
      </c>
      <c r="C25" t="s">
        <v>96</v>
      </c>
      <c r="D25" s="21">
        <v>45260</v>
      </c>
      <c r="E25" s="22"/>
      <c r="F25" s="20" t="s">
        <v>107</v>
      </c>
      <c r="G25" s="10">
        <v>0.08</v>
      </c>
      <c r="H25" s="20"/>
      <c r="I25" s="22">
        <v>0</v>
      </c>
      <c r="J25" s="24">
        <v>0</v>
      </c>
      <c r="K25" s="24">
        <v>0</v>
      </c>
      <c r="L25" s="22"/>
      <c r="M25" s="20"/>
      <c r="N25" s="20"/>
      <c r="O25" s="20"/>
      <c r="P25" s="10"/>
      <c r="Q25" s="10"/>
      <c r="R25" s="10"/>
      <c r="S25" s="10"/>
      <c r="T25" s="20"/>
      <c r="U25" s="20"/>
      <c r="V25" s="20"/>
      <c r="W25" s="10"/>
      <c r="X25" s="10"/>
      <c r="Y25" s="10"/>
      <c r="Z25" s="10"/>
      <c r="AA25" s="20"/>
      <c r="AB25" s="20"/>
      <c r="AC25" s="20"/>
      <c r="AD25" s="10"/>
      <c r="AE25" s="10">
        <v>0.5</v>
      </c>
      <c r="AF25" s="10"/>
      <c r="AG25" s="10">
        <v>0.5</v>
      </c>
      <c r="AH25" s="20"/>
      <c r="AI25" s="20"/>
      <c r="AJ25" s="20"/>
      <c r="AK25" s="25"/>
      <c r="AL25" s="10">
        <v>0.8</v>
      </c>
      <c r="AM25" s="25"/>
      <c r="AN25" s="10">
        <v>0.8</v>
      </c>
      <c r="AO25" s="20"/>
      <c r="AP25" s="20"/>
      <c r="AQ25" s="20"/>
      <c r="AR25" s="25"/>
      <c r="AS25" s="10">
        <v>1</v>
      </c>
      <c r="AT25" s="25"/>
      <c r="AU25" s="10">
        <v>1</v>
      </c>
      <c r="AV25" s="20"/>
      <c r="AW25" s="20"/>
      <c r="AX25" s="20"/>
      <c r="AY25" s="25"/>
      <c r="AZ25" s="10">
        <v>1</v>
      </c>
      <c r="BA25" s="25"/>
      <c r="BB25" s="10">
        <v>1</v>
      </c>
      <c r="BC25" s="20"/>
      <c r="BD25" s="20"/>
      <c r="BE25" s="20"/>
      <c r="BF25" s="23"/>
      <c r="BG25" s="23"/>
      <c r="BH25" s="23"/>
      <c r="BI25" s="23"/>
      <c r="BJ25" s="20"/>
      <c r="BK25" s="20"/>
      <c r="BL25" s="20"/>
      <c r="BM25" s="23"/>
      <c r="BN25" s="23"/>
      <c r="BO25" s="23"/>
      <c r="BP25" s="23"/>
      <c r="BQ25" s="20"/>
      <c r="BR25" s="20"/>
      <c r="BS25" s="20"/>
      <c r="BT25" s="23"/>
      <c r="BU25" s="23"/>
      <c r="BV25" s="23"/>
      <c r="BW25" s="23"/>
      <c r="BX25" s="20"/>
    </row>
    <row r="26" spans="2:76">
      <c r="R26" t="s">
        <v>118</v>
      </c>
      <c r="S26">
        <v>3</v>
      </c>
      <c r="Y26" t="s">
        <v>118</v>
      </c>
      <c r="Z26">
        <v>8</v>
      </c>
      <c r="AF26" t="s">
        <v>118</v>
      </c>
      <c r="AG26">
        <v>8</v>
      </c>
      <c r="AM26" t="s">
        <v>118</v>
      </c>
      <c r="AN26">
        <v>8</v>
      </c>
      <c r="AO26" s="28"/>
      <c r="AT26" t="s">
        <v>118</v>
      </c>
      <c r="AU26">
        <v>9</v>
      </c>
    </row>
    <row r="30" spans="2:76">
      <c r="AO30" s="27"/>
    </row>
  </sheetData>
  <mergeCells count="10">
    <mergeCell ref="BL2:BQ2"/>
    <mergeCell ref="BS2:BX2"/>
    <mergeCell ref="AX2:BC2"/>
    <mergeCell ref="BE2:BJ2"/>
    <mergeCell ref="I2:L2"/>
    <mergeCell ref="AQ2:AV2"/>
    <mergeCell ref="AJ2:AO2"/>
    <mergeCell ref="AC2:AH2"/>
    <mergeCell ref="V2:AA2"/>
    <mergeCell ref="O2:T2"/>
  </mergeCells>
  <conditionalFormatting sqref="J5:J12">
    <cfRule type="colorScale" priority="616">
      <colorScale>
        <cfvo type="percent" val="0"/>
        <cfvo type="percent" val="100"/>
        <color rgb="FFFF231B"/>
        <color rgb="FF10FF07"/>
      </colorScale>
    </cfRule>
  </conditionalFormatting>
  <conditionalFormatting sqref="J15">
    <cfRule type="colorScale" priority="164">
      <colorScale>
        <cfvo type="percent" val="0"/>
        <cfvo type="percent" val="100"/>
        <color rgb="FFFF231B"/>
        <color rgb="FF10FF07"/>
      </colorScale>
    </cfRule>
  </conditionalFormatting>
  <conditionalFormatting sqref="J16">
    <cfRule type="colorScale" priority="145">
      <colorScale>
        <cfvo type="percent" val="0"/>
        <cfvo type="percent" val="100"/>
        <color rgb="FFFF231B"/>
        <color rgb="FF10FF07"/>
      </colorScale>
    </cfRule>
  </conditionalFormatting>
  <conditionalFormatting sqref="J17:J21 J14">
    <cfRule type="colorScale" priority="398">
      <colorScale>
        <cfvo type="percent" val="0"/>
        <cfvo type="percent" val="100"/>
        <color rgb="FFFF231B"/>
        <color rgb="FF10FF07"/>
      </colorScale>
    </cfRule>
  </conditionalFormatting>
  <conditionalFormatting sqref="J6:K10">
    <cfRule type="colorScale" priority="587">
      <colorScale>
        <cfvo type="percent" val="0"/>
        <cfvo type="percent" val="100"/>
        <color rgb="FFFF231B"/>
        <color rgb="FF10FF07"/>
      </colorScale>
    </cfRule>
  </conditionalFormatting>
  <conditionalFormatting sqref="J11:K12">
    <cfRule type="colorScale" priority="19">
      <colorScale>
        <cfvo type="percent" val="0"/>
        <cfvo type="percent" val="100"/>
        <color rgb="FFFF231B"/>
        <color rgb="FF10FF07"/>
      </colorScale>
    </cfRule>
  </conditionalFormatting>
  <conditionalFormatting sqref="J15:K15">
    <cfRule type="colorScale" priority="165">
      <colorScale>
        <cfvo type="percent" val="0"/>
        <cfvo type="percent" val="100"/>
        <color rgb="FFFF231B"/>
        <color rgb="FF10FF07"/>
      </colorScale>
    </cfRule>
  </conditionalFormatting>
  <conditionalFormatting sqref="J16:K16">
    <cfRule type="colorScale" priority="146">
      <colorScale>
        <cfvo type="percent" val="0"/>
        <cfvo type="percent" val="100"/>
        <color rgb="FFFF231B"/>
        <color rgb="FF10FF07"/>
      </colorScale>
    </cfRule>
  </conditionalFormatting>
  <conditionalFormatting sqref="J17:K21">
    <cfRule type="colorScale" priority="399">
      <colorScale>
        <cfvo type="percent" val="0"/>
        <cfvo type="percent" val="100"/>
        <color rgb="FFFF231B"/>
        <color rgb="FF10FF07"/>
      </colorScale>
    </cfRule>
  </conditionalFormatting>
  <conditionalFormatting sqref="K5:K12">
    <cfRule type="colorScale" priority="617">
      <colorScale>
        <cfvo type="percent" val="0"/>
        <cfvo type="percent" val="100"/>
        <color rgb="FFFF231B"/>
        <color rgb="FF10FF07"/>
      </colorScale>
    </cfRule>
  </conditionalFormatting>
  <conditionalFormatting sqref="K15">
    <cfRule type="colorScale" priority="163">
      <colorScale>
        <cfvo type="percent" val="0"/>
        <cfvo type="percent" val="100"/>
        <color rgb="FFFF231B"/>
        <color rgb="FF10FF07"/>
      </colorScale>
    </cfRule>
  </conditionalFormatting>
  <conditionalFormatting sqref="K16">
    <cfRule type="colorScale" priority="144">
      <colorScale>
        <cfvo type="percent" val="0"/>
        <cfvo type="percent" val="100"/>
        <color rgb="FFFF231B"/>
        <color rgb="FF10FF07"/>
      </colorScale>
    </cfRule>
  </conditionalFormatting>
  <conditionalFormatting sqref="K17:K21 K14">
    <cfRule type="colorScale" priority="397">
      <colorScale>
        <cfvo type="percent" val="0"/>
        <cfvo type="percent" val="100"/>
        <color rgb="FFFF231B"/>
        <color rgb="FF10FF07"/>
      </colorScale>
    </cfRule>
  </conditionalFormatting>
  <conditionalFormatting sqref="P5:P9 R5:R11 W5:W12 Y5:Y11 AD5:AD12 AF5:AF11 P11:P12">
    <cfRule type="expression" dxfId="51" priority="585">
      <formula>IF(P5&gt;=Q5,IF(P5="",FALSE,TRUE))</formula>
    </cfRule>
    <cfRule type="expression" dxfId="50" priority="584">
      <formula>OR(IF(P5&lt;Q5,TRUE),IF(AND(Q5="",P5&lt;&gt;""),TRUE))</formula>
    </cfRule>
  </conditionalFormatting>
  <conditionalFormatting sqref="P10">
    <cfRule type="expression" dxfId="49" priority="685">
      <formula>IF(P10&gt;=Q9,IF(P10="",FALSE,TRUE))</formula>
    </cfRule>
    <cfRule type="expression" dxfId="48" priority="684">
      <formula>OR(IF(P10&lt;Q9,TRUE),IF(AND(Q9="",P10&lt;&gt;""),TRUE))</formula>
    </cfRule>
  </conditionalFormatting>
  <conditionalFormatting sqref="P14:P25 R14:R25">
    <cfRule type="expression" dxfId="47" priority="149">
      <formula>OR(IF(P14&lt;Q14,TRUE),IF(AND(Q14="",P14&lt;&gt;""),TRUE))</formula>
    </cfRule>
    <cfRule type="expression" dxfId="46" priority="150">
      <formula>IF(P14&gt;=Q14,IF(P14="",FALSE,TRUE))</formula>
    </cfRule>
  </conditionalFormatting>
  <conditionalFormatting sqref="W14:W25 Y14:Y25">
    <cfRule type="expression" dxfId="45" priority="148">
      <formula>IF(W14&gt;=X14,IF(W14="",FALSE,TRUE))</formula>
    </cfRule>
    <cfRule type="expression" dxfId="44" priority="147">
      <formula>OR(IF(W14&lt;X14,TRUE),IF(AND(X14="",W14&lt;&gt;""),TRUE))</formula>
    </cfRule>
  </conditionalFormatting>
  <conditionalFormatting sqref="AD14:AD25 AF14:AF25">
    <cfRule type="expression" dxfId="43" priority="143">
      <formula>IF(AD14&gt;=AE14,IF(AD14="",FALSE,TRUE))</formula>
    </cfRule>
    <cfRule type="expression" dxfId="42" priority="142">
      <formula>OR(IF(AD14&lt;AE14,TRUE),IF(AND(AE14="",AD14&lt;&gt;""),TRUE))</formula>
    </cfRule>
  </conditionalFormatting>
  <conditionalFormatting sqref="AK5:AK12">
    <cfRule type="expression" dxfId="41" priority="11">
      <formula>OR(IF(AK5&lt;AL5,TRUE),IF(AND(AL5="",AK5&lt;&gt;""),TRUE))</formula>
    </cfRule>
    <cfRule type="expression" dxfId="40" priority="12">
      <formula>IF(AK5&gt;=AL5,IF(AK5="",FALSE,TRUE))</formula>
    </cfRule>
  </conditionalFormatting>
  <conditionalFormatting sqref="AK14:AK21 AM14:AM21">
    <cfRule type="expression" dxfId="39" priority="10">
      <formula>IF(AK14&gt;=AL14,IF(AK14="",FALSE,TRUE))</formula>
    </cfRule>
    <cfRule type="expression" dxfId="38" priority="9">
      <formula>OR(IF(AK14&lt;AL14,TRUE),IF(AND(AL14="",AK14&lt;&gt;""),TRUE))</formula>
    </cfRule>
  </conditionalFormatting>
  <conditionalFormatting sqref="AM5:AM11">
    <cfRule type="expression" dxfId="37" priority="8">
      <formula>IF(AM5&gt;=AN5,IF(AM5="",FALSE,TRUE))</formula>
    </cfRule>
    <cfRule type="expression" dxfId="36" priority="7">
      <formula>OR(IF(AM5&lt;AN5,TRUE),IF(AND(AN5="",AM5&lt;&gt;""),TRUE))</formula>
    </cfRule>
  </conditionalFormatting>
  <conditionalFormatting sqref="AR5:AR12">
    <cfRule type="expression" dxfId="35" priority="6">
      <formula>IF(AR5&gt;=AS5,IF(AR5="",FALSE,TRUE))</formula>
    </cfRule>
    <cfRule type="expression" dxfId="34" priority="5">
      <formula>OR(IF(AR5&lt;AS5,TRUE),IF(AND(AS5="",AR5&lt;&gt;""),TRUE))</formula>
    </cfRule>
  </conditionalFormatting>
  <conditionalFormatting sqref="AR14:AR21 AT14:AT21">
    <cfRule type="expression" dxfId="33" priority="4">
      <formula>IF(AR14&gt;=AS14,IF(AR14="",FALSE,TRUE))</formula>
    </cfRule>
    <cfRule type="expression" dxfId="32" priority="3">
      <formula>OR(IF(AR14&lt;AS14,TRUE),IF(AND(AS14="",AR14&lt;&gt;""),TRUE))</formula>
    </cfRule>
  </conditionalFormatting>
  <conditionalFormatting sqref="AT5:AT11">
    <cfRule type="expression" dxfId="31" priority="2">
      <formula>IF(AT5&gt;=AU5,IF(AT5="",FALSE,TRUE))</formula>
    </cfRule>
    <cfRule type="expression" dxfId="30" priority="1">
      <formula>OR(IF(AT5&lt;AU5,TRUE),IF(AND(AU5="",AT5&lt;&gt;""),TRUE))</formula>
    </cfRule>
  </conditionalFormatting>
  <conditionalFormatting sqref="AY5:AY12">
    <cfRule type="expression" dxfId="29" priority="18">
      <formula>IF(AY5&gt;=AZ5,IF(AY5="",FALSE,TRUE))</formula>
    </cfRule>
    <cfRule type="expression" dxfId="28" priority="17">
      <formula>OR(IF(AY5&lt;AZ5,TRUE),IF(AND(AZ5="",AY5&lt;&gt;""),TRUE))</formula>
    </cfRule>
  </conditionalFormatting>
  <conditionalFormatting sqref="AY14:AY21 BA14:BA21">
    <cfRule type="expression" dxfId="27" priority="16">
      <formula>IF(AY14&gt;=AZ14,IF(AY14="",FALSE,TRUE))</formula>
    </cfRule>
    <cfRule type="expression" dxfId="26" priority="15">
      <formula>OR(IF(AY14&lt;AZ14,TRUE),IF(AND(AZ14="",AY14&lt;&gt;""),TRUE))</formula>
    </cfRule>
  </conditionalFormatting>
  <conditionalFormatting sqref="BA5:BA12">
    <cfRule type="expression" dxfId="25" priority="14">
      <formula>IF(BA5&gt;=BB5,IF(BA5="",FALSE,TRUE))</formula>
    </cfRule>
    <cfRule type="expression" dxfId="24" priority="13">
      <formula>OR(IF(BA5&lt;BB5,TRUE),IF(AND(BB5="",BA5&lt;&gt;""),TRUE))</formula>
    </cfRule>
  </conditionalFormatting>
  <conditionalFormatting sqref="BF5:BF12 BH5:BH12">
    <cfRule type="expression" dxfId="23" priority="80">
      <formula>OR(IF(BF5&lt;BG5,TRUE),IF(AND(BG5="",BF5&lt;&gt;""),TRUE))</formula>
    </cfRule>
    <cfRule type="expression" dxfId="22" priority="81">
      <formula>IF(BF5&gt;=BG5,IF(BF5="",FALSE,TRUE))</formula>
    </cfRule>
  </conditionalFormatting>
  <conditionalFormatting sqref="BF14:BF21 BH14:BH21">
    <cfRule type="expression" dxfId="21" priority="62">
      <formula>OR(IF(BF14&lt;BG14,TRUE),IF(AND(BG14="",BF14&lt;&gt;""),TRUE))</formula>
    </cfRule>
    <cfRule type="expression" dxfId="20" priority="63">
      <formula>IF(BF14&gt;=BG14,IF(BF14="",FALSE,TRUE))</formula>
    </cfRule>
  </conditionalFormatting>
  <conditionalFormatting sqref="BM5:BM12 BO5:BO12">
    <cfRule type="expression" dxfId="19" priority="61">
      <formula>IF(BM5&gt;=BN5,IF(BM5="",FALSE,TRUE))</formula>
    </cfRule>
    <cfRule type="expression" dxfId="18" priority="60">
      <formula>OR(IF(BM5&lt;BN5,TRUE),IF(AND(BN5="",BM5&lt;&gt;""),TRUE))</formula>
    </cfRule>
  </conditionalFormatting>
  <conditionalFormatting sqref="BM14:BM21 BO14:BO21">
    <cfRule type="expression" dxfId="17" priority="43">
      <formula>IF(BM14&gt;=BN14,IF(BM14="",FALSE,TRUE))</formula>
    </cfRule>
    <cfRule type="expression" dxfId="16" priority="42">
      <formula>OR(IF(BM14&lt;BN14,TRUE),IF(AND(BN14="",BM14&lt;&gt;""),TRUE))</formula>
    </cfRule>
  </conditionalFormatting>
  <conditionalFormatting sqref="BT5:BT12 BV5:BV12">
    <cfRule type="expression" dxfId="15" priority="41">
      <formula>IF(BT5&gt;=BU5,IF(BT5="",FALSE,TRUE))</formula>
    </cfRule>
    <cfRule type="expression" dxfId="14" priority="40">
      <formula>OR(IF(BT5&lt;BU5,TRUE),IF(AND(BU5="",BT5&lt;&gt;""),TRUE))</formula>
    </cfRule>
  </conditionalFormatting>
  <conditionalFormatting sqref="BT14:BT21 BV14:BV21">
    <cfRule type="expression" dxfId="13" priority="22">
      <formula>OR(IF(BT14&lt;BU14,TRUE),IF(AND(BU14="",BT14&lt;&gt;""),TRUE))</formula>
    </cfRule>
    <cfRule type="expression" dxfId="12" priority="23">
      <formula>IF(BT14&gt;=BU14,IF(BT14="",FALSE,TRUE))</formula>
    </cfRule>
  </conditionalFormatting>
  <dataValidations count="1">
    <dataValidation type="list" allowBlank="1" showInputMessage="1" showErrorMessage="1" sqref="AZ14:AZ25 BT14:BW21 BM14:BP21 BF14:BI21 BA14:BA21 AY14:AY21 P10:P12 X5:Z11 X12 BF5:BI12 BM5:BP12 BT5:BW12 AM14:AM21 AN14:AN25 AK14:AK21 BB14:BB25 R5:S11 AY5:BB12 AL14:AL25 AT5:AU11 AM5:AN11 Q5:Q12 AS14:AS25 AT14:AT21 AR14:AR21 AU14:AU25 AK5:AL12 AD14:AG25 AF5:AG11 W14:Z25 AD5:AE12 AR5:AS12 W5:W12 P5:P8 P14:S25" xr:uid="{DF46768B-76BD-4AD1-BDD9-05E5E50A35C8}">
      <formula1>"10%,20%,30%,40%,50%,60%,70%,80%,90%,100%"</formula1>
    </dataValidation>
  </dataValidations>
  <hyperlinks>
    <hyperlink ref="C13" r:id="rId1" display="https://canvas.wu.ac.at/courses/3439" xr:uid="{5D282DD7-B2C3-E742-A491-C6634C2B1747}"/>
    <hyperlink ref="C14:C21" r:id="rId2" display="https://canvas.wu.ac.at/courses/3439" xr:uid="{8ECDF347-903F-4449-B2F2-1913E406F173}"/>
    <hyperlink ref="C22" r:id="rId3" display="https://canvas.wu.ac.at/courses/3439" xr:uid="{C536576E-097F-8448-A59A-E82AE2494A94}"/>
    <hyperlink ref="C23" r:id="rId4" display="https://canvas.wu.ac.at/courses/3439" xr:uid="{09F7940C-FD76-0148-A8E1-774B59962851}"/>
    <hyperlink ref="C24" r:id="rId5" display="https://canvas.wu.ac.at/courses/3439" xr:uid="{1EE5044A-6970-B94B-8AC9-784B968C4E4B}"/>
    <hyperlink ref="C25" r:id="rId6" display="https://canvas.wu.ac.at/courses/3439" xr:uid="{98C53276-16C3-6C42-B9DD-A807A0F0D718}"/>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3" zoomScale="85" zoomScaleNormal="85" workbookViewId="0">
      <selection activeCell="B20" sqref="B20"/>
    </sheetView>
  </sheetViews>
  <sheetFormatPr defaultColWidth="10.69921875" defaultRowHeight="15.6"/>
  <cols>
    <col min="2" max="2" width="161" customWidth="1"/>
    <col min="3" max="3" width="10.796875"/>
  </cols>
  <sheetData>
    <row r="4" spans="2:2" ht="21">
      <c r="B4" s="3" t="s">
        <v>16</v>
      </c>
    </row>
    <row r="6" spans="2:2">
      <c r="B6" s="2" t="s">
        <v>13</v>
      </c>
    </row>
    <row r="7" spans="2:2" ht="46.8">
      <c r="B7" s="1" t="s">
        <v>14</v>
      </c>
    </row>
    <row r="9" spans="2:2">
      <c r="B9" s="2" t="s">
        <v>15</v>
      </c>
    </row>
    <row r="10" spans="2:2" ht="62.4">
      <c r="B10" s="1" t="s">
        <v>36</v>
      </c>
    </row>
    <row r="12" spans="2:2">
      <c r="B12" s="2" t="s">
        <v>17</v>
      </c>
    </row>
    <row r="13" spans="2:2" ht="156">
      <c r="B13" s="1" t="s">
        <v>18</v>
      </c>
    </row>
    <row r="15" spans="2:2">
      <c r="B15" s="2" t="s">
        <v>19</v>
      </c>
    </row>
    <row r="16" spans="2:2" ht="109.2">
      <c r="B16" s="1" t="s">
        <v>20</v>
      </c>
    </row>
    <row r="17" spans="2:2">
      <c r="B17" s="1"/>
    </row>
    <row r="18" spans="2:2">
      <c r="B18" s="2" t="s">
        <v>35</v>
      </c>
    </row>
    <row r="19" spans="2:2" ht="140.4">
      <c r="B19" s="1" t="s">
        <v>37</v>
      </c>
    </row>
    <row r="21" spans="2:2">
      <c r="B21" s="2" t="s">
        <v>21</v>
      </c>
    </row>
    <row r="22" spans="2:2" ht="124.8">
      <c r="B22" s="1" t="s">
        <v>38</v>
      </c>
    </row>
    <row r="24" spans="2:2">
      <c r="B24" s="2"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defaultColWidth="10.69921875" defaultRowHeight="15.6"/>
  <cols>
    <col min="1" max="1" width="16.796875" style="9" customWidth="1"/>
    <col min="2" max="2" width="19.19921875" style="9" customWidth="1"/>
    <col min="3" max="3" width="18.19921875" style="9" customWidth="1"/>
    <col min="4" max="4" width="19.5" style="9" customWidth="1"/>
    <col min="8" max="8" width="15.19921875" customWidth="1"/>
    <col min="10" max="10" width="42" customWidth="1"/>
    <col min="11" max="11" width="28.5" customWidth="1"/>
  </cols>
  <sheetData>
    <row r="1" spans="1:11" ht="31.2">
      <c r="A1" s="9" t="s">
        <v>42</v>
      </c>
      <c r="B1" s="15" t="s">
        <v>39</v>
      </c>
      <c r="C1" s="15" t="s">
        <v>40</v>
      </c>
      <c r="D1" s="15" t="s">
        <v>41</v>
      </c>
      <c r="E1" s="1" t="s">
        <v>43</v>
      </c>
      <c r="F1" s="1" t="s">
        <v>44</v>
      </c>
      <c r="G1" s="1" t="s">
        <v>45</v>
      </c>
      <c r="H1" s="1" t="s">
        <v>46</v>
      </c>
      <c r="I1" s="1" t="s">
        <v>47</v>
      </c>
      <c r="J1" s="1" t="s">
        <v>48</v>
      </c>
      <c r="K1" s="1" t="s">
        <v>49</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7" zoomScale="117" workbookViewId="0">
      <selection activeCell="C8" sqref="C8"/>
    </sheetView>
  </sheetViews>
  <sheetFormatPr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Tim Brandl</cp:lastModifiedBy>
  <dcterms:created xsi:type="dcterms:W3CDTF">2020-04-19T13:33:28Z</dcterms:created>
  <dcterms:modified xsi:type="dcterms:W3CDTF">2023-10-18T19:34:56Z</dcterms:modified>
</cp:coreProperties>
</file>