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gabrielkakur/Desktop/"/>
    </mc:Choice>
  </mc:AlternateContent>
  <xr:revisionPtr revIDLastSave="0" documentId="13_ncr:1_{430B8AB0-3904-584C-8A17-89D6B2306996}" xr6:coauthVersionLast="47" xr6:coauthVersionMax="47" xr10:uidLastSave="{00000000-0000-0000-0000-000000000000}"/>
  <bookViews>
    <workbookView xWindow="0" yWindow="460" windowWidth="28800" windowHeight="16840" activeTab="1" xr2:uid="{50F29292-BE80-0C47-A0D2-DD086CB3D310}"/>
  </bookViews>
  <sheets>
    <sheet name="Anleitung" sheetId="2" r:id="rId1"/>
    <sheet name="Semesterplan" sheetId="7" r:id="rId2"/>
    <sheet name="COMMITTMENT" sheetId="9" r:id="rId3"/>
    <sheet name="Wochenplan KW 19" sheetId="3" r:id="rId4"/>
    <sheet name="Tabelle1" sheetId="10" state="hidden"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EC21" i="7" l="1"/>
  <c r="DV21" i="7"/>
  <c r="DO21" i="7"/>
  <c r="DH21" i="7"/>
  <c r="DA21" i="7"/>
  <c r="CT21" i="7"/>
  <c r="CM21" i="7"/>
  <c r="CF21" i="7"/>
  <c r="BY21" i="7"/>
  <c r="BR21" i="7"/>
  <c r="BK21" i="7"/>
  <c r="BD21" i="7"/>
  <c r="AW21" i="7"/>
  <c r="EC35" i="7"/>
  <c r="DV35" i="7"/>
  <c r="DO35" i="7"/>
  <c r="DH35" i="7"/>
  <c r="DA35" i="7"/>
  <c r="CT35" i="7"/>
  <c r="CM35" i="7"/>
  <c r="CF35" i="7"/>
  <c r="BY35" i="7"/>
  <c r="BR35" i="7"/>
  <c r="BK35" i="7"/>
  <c r="BD35" i="7"/>
  <c r="AW35" i="7"/>
  <c r="AP35" i="7"/>
  <c r="AW45" i="7"/>
  <c r="K71" i="7"/>
  <c r="J71" i="7"/>
  <c r="I71" i="7"/>
  <c r="K70" i="7"/>
  <c r="J70" i="7"/>
  <c r="I70" i="7"/>
  <c r="K69" i="7"/>
  <c r="J69" i="7"/>
  <c r="I69" i="7"/>
  <c r="K68" i="7"/>
  <c r="J68" i="7"/>
  <c r="G74" i="7"/>
  <c r="N74" i="7"/>
  <c r="U74" i="7"/>
  <c r="AB74" i="7"/>
  <c r="AI74" i="7"/>
  <c r="AP74" i="7"/>
  <c r="AW74" i="7"/>
  <c r="BD74" i="7"/>
  <c r="BK74" i="7"/>
  <c r="BR74" i="7"/>
  <c r="BY74" i="7"/>
  <c r="CF74" i="7"/>
  <c r="CM74" i="7"/>
  <c r="CT74" i="7"/>
  <c r="DA74" i="7"/>
  <c r="DH74" i="7"/>
  <c r="DO74" i="7"/>
  <c r="DV74" i="7"/>
  <c r="EC74" i="7"/>
  <c r="EJ74" i="7"/>
  <c r="EQ74" i="7"/>
  <c r="EX74" i="7"/>
  <c r="FE74" i="7"/>
  <c r="FL74" i="7"/>
  <c r="FS74" i="7"/>
  <c r="FZ74" i="7"/>
  <c r="K43" i="7"/>
  <c r="J43" i="7"/>
  <c r="I43" i="7"/>
  <c r="K42" i="7"/>
  <c r="J42" i="7"/>
  <c r="I42" i="7"/>
  <c r="K41" i="7"/>
  <c r="J41" i="7"/>
  <c r="I41" i="7"/>
  <c r="K40" i="7"/>
  <c r="J40" i="7"/>
  <c r="I40" i="7"/>
  <c r="K39" i="7"/>
  <c r="J39" i="7"/>
  <c r="I39" i="7"/>
  <c r="K38" i="7"/>
  <c r="J38" i="7"/>
  <c r="I38" i="7"/>
  <c r="K37" i="7"/>
  <c r="J37" i="7"/>
  <c r="I37" i="7"/>
  <c r="K36" i="7"/>
  <c r="J36" i="7"/>
  <c r="I36" i="7"/>
  <c r="AI35" i="7"/>
  <c r="AB35" i="7"/>
  <c r="U35" i="7"/>
  <c r="N35" i="7"/>
  <c r="G35" i="7"/>
  <c r="K52" i="7"/>
  <c r="J52" i="7"/>
  <c r="I52" i="7"/>
  <c r="K51" i="7"/>
  <c r="J51" i="7"/>
  <c r="I51" i="7"/>
  <c r="K50" i="7"/>
  <c r="J50" i="7"/>
  <c r="I50" i="7"/>
  <c r="K49" i="7"/>
  <c r="J49" i="7"/>
  <c r="I49" i="7"/>
  <c r="K48" i="7"/>
  <c r="J48" i="7"/>
  <c r="I48" i="7"/>
  <c r="K47" i="7"/>
  <c r="J47" i="7"/>
  <c r="I47" i="7"/>
  <c r="K46" i="7"/>
  <c r="J46" i="7"/>
  <c r="I46" i="7"/>
  <c r="FZ45" i="7"/>
  <c r="FS45" i="7"/>
  <c r="FL45" i="7"/>
  <c r="FE45" i="7"/>
  <c r="EX45" i="7"/>
  <c r="EQ45" i="7"/>
  <c r="EJ45" i="7"/>
  <c r="EC45" i="7"/>
  <c r="DV45" i="7"/>
  <c r="DO45" i="7"/>
  <c r="DH45" i="7"/>
  <c r="DA45" i="7"/>
  <c r="CT45" i="7"/>
  <c r="CM45" i="7"/>
  <c r="CF45" i="7"/>
  <c r="BY45" i="7"/>
  <c r="BR45" i="7"/>
  <c r="BK45" i="7"/>
  <c r="BD45" i="7"/>
  <c r="AP45" i="7"/>
  <c r="AI45" i="7"/>
  <c r="AB45" i="7"/>
  <c r="U45" i="7"/>
  <c r="N45" i="7"/>
  <c r="G45" i="7"/>
  <c r="I68" i="7"/>
  <c r="K67" i="7"/>
  <c r="J67" i="7"/>
  <c r="I67" i="7"/>
  <c r="K66" i="7"/>
  <c r="J66" i="7"/>
  <c r="I66" i="7"/>
  <c r="K65" i="7"/>
  <c r="J65" i="7"/>
  <c r="I65" i="7"/>
  <c r="K64" i="7"/>
  <c r="J64" i="7"/>
  <c r="I64" i="7"/>
  <c r="K63" i="7"/>
  <c r="J63" i="7"/>
  <c r="I63" i="7"/>
  <c r="K62" i="7"/>
  <c r="J62" i="7"/>
  <c r="I62" i="7"/>
  <c r="K61" i="7"/>
  <c r="J61" i="7"/>
  <c r="I61" i="7"/>
  <c r="K60" i="7"/>
  <c r="J60" i="7"/>
  <c r="I60" i="7"/>
  <c r="K59" i="7"/>
  <c r="J59" i="7"/>
  <c r="I59" i="7"/>
  <c r="K58" i="7"/>
  <c r="J58" i="7"/>
  <c r="I58" i="7"/>
  <c r="FZ57" i="7"/>
  <c r="FS57" i="7"/>
  <c r="FL57" i="7"/>
  <c r="FE57" i="7"/>
  <c r="EX57" i="7"/>
  <c r="EQ57" i="7"/>
  <c r="EJ57" i="7"/>
  <c r="EC57" i="7"/>
  <c r="DV57" i="7"/>
  <c r="DO57" i="7"/>
  <c r="DH57" i="7"/>
  <c r="DA57" i="7"/>
  <c r="CT57" i="7"/>
  <c r="CM57" i="7"/>
  <c r="CF57" i="7"/>
  <c r="BY57" i="7"/>
  <c r="BR57" i="7"/>
  <c r="BK57" i="7"/>
  <c r="BD57" i="7"/>
  <c r="AW57" i="7"/>
  <c r="AP57" i="7"/>
  <c r="AI57" i="7"/>
  <c r="AB57" i="7"/>
  <c r="U57" i="7"/>
  <c r="N57" i="7"/>
  <c r="G57" i="7"/>
  <c r="K82" i="7"/>
  <c r="J82" i="7"/>
  <c r="I82" i="7"/>
  <c r="K81" i="7"/>
  <c r="J81" i="7"/>
  <c r="I81" i="7"/>
  <c r="K80" i="7"/>
  <c r="J80" i="7"/>
  <c r="I80" i="7"/>
  <c r="K79" i="7"/>
  <c r="J79" i="7"/>
  <c r="I79" i="7"/>
  <c r="K78" i="7"/>
  <c r="J78" i="7"/>
  <c r="I78" i="7"/>
  <c r="K77" i="7"/>
  <c r="J77" i="7"/>
  <c r="I77" i="7"/>
  <c r="K76" i="7"/>
  <c r="J76" i="7"/>
  <c r="I76" i="7"/>
  <c r="K75" i="7"/>
  <c r="J75" i="7"/>
  <c r="I75" i="7"/>
  <c r="K93" i="7"/>
  <c r="J93" i="7"/>
  <c r="I93" i="7"/>
  <c r="K92" i="7"/>
  <c r="J92" i="7"/>
  <c r="I92" i="7"/>
  <c r="K91" i="7"/>
  <c r="J91" i="7"/>
  <c r="I91" i="7"/>
  <c r="K90" i="7"/>
  <c r="J90" i="7"/>
  <c r="I90" i="7"/>
  <c r="K89" i="7"/>
  <c r="J89" i="7"/>
  <c r="I89" i="7"/>
  <c r="K88" i="7"/>
  <c r="J88" i="7"/>
  <c r="I88" i="7"/>
  <c r="K87" i="7"/>
  <c r="J87" i="7"/>
  <c r="I87" i="7"/>
  <c r="K86" i="7"/>
  <c r="J86" i="7"/>
  <c r="I86" i="7"/>
  <c r="K85" i="7"/>
  <c r="J85" i="7"/>
  <c r="I85" i="7"/>
  <c r="FZ84" i="7"/>
  <c r="FS84" i="7"/>
  <c r="FL84" i="7"/>
  <c r="FE84" i="7"/>
  <c r="EX84" i="7"/>
  <c r="EQ84" i="7"/>
  <c r="EJ84" i="7"/>
  <c r="EC84" i="7"/>
  <c r="DV84" i="7"/>
  <c r="DO84" i="7"/>
  <c r="DH84" i="7"/>
  <c r="DA84" i="7"/>
  <c r="CT84" i="7"/>
  <c r="CM84" i="7"/>
  <c r="CF84" i="7"/>
  <c r="BY84" i="7"/>
  <c r="BR84" i="7"/>
  <c r="BK84" i="7"/>
  <c r="BD84" i="7"/>
  <c r="AW84" i="7"/>
  <c r="AP84" i="7"/>
  <c r="AI84" i="7"/>
  <c r="AB84" i="7"/>
  <c r="U84" i="7"/>
  <c r="N84" i="7"/>
  <c r="G84" i="7"/>
  <c r="DH4" i="7"/>
  <c r="DA4" i="7"/>
  <c r="CT4" i="7"/>
  <c r="U4" i="7"/>
  <c r="AB4" i="7"/>
  <c r="AI4" i="7"/>
  <c r="AP4" i="7"/>
  <c r="AW4" i="7"/>
  <c r="BD4" i="7"/>
  <c r="BK4" i="7"/>
  <c r="BR4" i="7"/>
  <c r="BY4" i="7"/>
  <c r="CF4" i="7"/>
  <c r="CM4" i="7"/>
  <c r="G4" i="7"/>
  <c r="J74" i="7" l="1"/>
  <c r="J84" i="7"/>
  <c r="K74" i="7"/>
  <c r="I74" i="7"/>
  <c r="K57" i="7"/>
  <c r="J35" i="7"/>
  <c r="K35" i="7"/>
  <c r="J57" i="7"/>
  <c r="I57" i="7"/>
  <c r="K84" i="7"/>
  <c r="I84" i="7"/>
  <c r="I35" i="7"/>
  <c r="K45" i="7"/>
  <c r="I45" i="7"/>
  <c r="J45" i="7"/>
  <c r="K19" i="7"/>
  <c r="J19" i="7"/>
  <c r="I19" i="7"/>
  <c r="K18" i="7"/>
  <c r="J18" i="7"/>
  <c r="I18" i="7"/>
  <c r="K17" i="7"/>
  <c r="J17" i="7"/>
  <c r="I17" i="7"/>
  <c r="FZ4" i="7"/>
  <c r="FS4" i="7"/>
  <c r="FL4" i="7"/>
  <c r="FE4" i="7"/>
  <c r="EX4" i="7"/>
  <c r="EQ4" i="7"/>
  <c r="EJ4" i="7"/>
  <c r="EC4" i="7"/>
  <c r="DV4" i="7"/>
  <c r="DO4" i="7"/>
  <c r="N4" i="7"/>
  <c r="AP21" i="7"/>
  <c r="AI21" i="7"/>
  <c r="AB21" i="7"/>
  <c r="U21" i="7"/>
  <c r="I29" i="7"/>
  <c r="I28" i="7"/>
  <c r="I27" i="7"/>
  <c r="I26" i="7"/>
  <c r="I25" i="7"/>
  <c r="I24" i="7"/>
  <c r="I23" i="7"/>
  <c r="I22" i="7"/>
  <c r="I16" i="7"/>
  <c r="I6" i="7"/>
  <c r="I7" i="7"/>
  <c r="I8" i="7"/>
  <c r="I9" i="7"/>
  <c r="I10" i="7"/>
  <c r="I11" i="7"/>
  <c r="I12" i="7"/>
  <c r="I13" i="7"/>
  <c r="I14" i="7"/>
  <c r="I15" i="7"/>
  <c r="I5" i="7"/>
  <c r="N21" i="7"/>
  <c r="K29" i="7"/>
  <c r="J29" i="7"/>
  <c r="K28" i="7"/>
  <c r="J28" i="7"/>
  <c r="K27" i="7"/>
  <c r="J27" i="7"/>
  <c r="K26" i="7"/>
  <c r="J26" i="7"/>
  <c r="K25" i="7"/>
  <c r="J25" i="7"/>
  <c r="K24" i="7"/>
  <c r="J24" i="7"/>
  <c r="K23" i="7"/>
  <c r="J23" i="7"/>
  <c r="K22" i="7"/>
  <c r="J22" i="7"/>
  <c r="G21" i="7"/>
  <c r="J5" i="7"/>
  <c r="K6" i="7"/>
  <c r="K7" i="7"/>
  <c r="K8" i="7"/>
  <c r="K9" i="7"/>
  <c r="K10" i="7"/>
  <c r="K11" i="7"/>
  <c r="K12" i="7"/>
  <c r="K13" i="7"/>
  <c r="K14" i="7"/>
  <c r="K15" i="7"/>
  <c r="K16" i="7"/>
  <c r="J6" i="7"/>
  <c r="J7" i="7"/>
  <c r="J8" i="7"/>
  <c r="J9" i="7"/>
  <c r="J10" i="7"/>
  <c r="J11" i="7"/>
  <c r="J12" i="7"/>
  <c r="J13" i="7"/>
  <c r="J14" i="7"/>
  <c r="J15" i="7"/>
  <c r="J16" i="7"/>
  <c r="K5" i="7"/>
  <c r="I21" i="7" l="1"/>
  <c r="J21" i="7"/>
  <c r="K21" i="7"/>
  <c r="K4" i="7"/>
  <c r="I4" i="7" l="1"/>
  <c r="J4" i="7"/>
</calcChain>
</file>

<file path=xl/sharedStrings.xml><?xml version="1.0" encoding="utf-8"?>
<sst xmlns="http://schemas.openxmlformats.org/spreadsheetml/2006/main" count="520" uniqueCount="175">
  <si>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</si>
  <si>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</si>
  <si>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</si>
  <si>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</si>
  <si>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</si>
  <si>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</si>
  <si>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</si>
  <si>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</si>
  <si>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</si>
  <si>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</si>
  <si>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</si>
  <si>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</si>
  <si>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</si>
  <si>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</si>
  <si>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</si>
  <si>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</si>
  <si>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</si>
  <si>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</si>
  <si>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</si>
  <si>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</si>
  <si>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</si>
  <si>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</si>
  <si>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</si>
  <si>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</si>
  <si>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</si>
  <si>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</si>
  <si>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</si>
  <si>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</si>
  <si>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</si>
  <si>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</si>
  <si>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</si>
  <si>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</si>
  <si>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</si>
  <si>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</si>
  <si>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</si>
  <si>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</si>
  <si>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</si>
  <si>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</si>
  <si>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</si>
  <si>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</si>
  <si>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</si>
  <si>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</si>
  <si>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</si>
  <si>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</si>
  <si>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</si>
  <si>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</si>
  <si>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</si>
  <si>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</si>
  <si>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</si>
  <si>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MM1</t>
  </si>
  <si>
    <t>WK</t>
  </si>
  <si>
    <t>Mikro</t>
  </si>
  <si>
    <t>Statistik</t>
  </si>
  <si>
    <t>MvW</t>
  </si>
  <si>
    <t>KW 42</t>
  </si>
  <si>
    <t>KW 43</t>
  </si>
  <si>
    <t>KW 44</t>
  </si>
  <si>
    <t>KW 45</t>
  </si>
  <si>
    <t>KW 46</t>
  </si>
  <si>
    <t>KW 47</t>
  </si>
  <si>
    <t>KW 48</t>
  </si>
  <si>
    <t>KW 49</t>
  </si>
  <si>
    <t>KW 50</t>
  </si>
  <si>
    <t>KW 51</t>
  </si>
  <si>
    <t>KW 52</t>
  </si>
  <si>
    <t>KW 01</t>
  </si>
  <si>
    <t>KW 02</t>
  </si>
  <si>
    <t>KW 03</t>
  </si>
  <si>
    <t>KW 04</t>
  </si>
  <si>
    <t>KW 05</t>
  </si>
  <si>
    <t>KW 06</t>
  </si>
  <si>
    <t>KW 07</t>
  </si>
  <si>
    <t>KW 08</t>
  </si>
  <si>
    <t>KW 09</t>
  </si>
  <si>
    <t>KW 10</t>
  </si>
  <si>
    <t>KW 11</t>
  </si>
  <si>
    <t>KW 12</t>
  </si>
  <si>
    <t>KW 13</t>
  </si>
  <si>
    <t>KW 14</t>
  </si>
  <si>
    <r>
      <t xml:space="preserve">1) </t>
    </r>
    <r>
      <rPr>
        <sz val="8"/>
        <color theme="1"/>
        <rFont val="Calibri (Textkörper)"/>
      </rPr>
      <t>Unternehmen, Unternehmensführung und-netzwerke im Überblick</t>
    </r>
  </si>
  <si>
    <r>
      <t xml:space="preserve">2) </t>
    </r>
    <r>
      <rPr>
        <sz val="8"/>
        <color theme="1"/>
        <rFont val="Calibri (Textkörper)"/>
      </rPr>
      <t>Grundlagen und Theorien des internationalen Managements</t>
    </r>
  </si>
  <si>
    <r>
      <t xml:space="preserve">3) </t>
    </r>
    <r>
      <rPr>
        <sz val="8"/>
        <color theme="1"/>
        <rFont val="Calibri (Textkörper)"/>
      </rPr>
      <t>Unternehmensziele und Corporate Governance</t>
    </r>
  </si>
  <si>
    <r>
      <t xml:space="preserve">4) </t>
    </r>
    <r>
      <rPr>
        <sz val="8"/>
        <color theme="1"/>
        <rFont val="Calibri (Textkörper)"/>
      </rPr>
      <t>Strategie und Strategiegestaltung</t>
    </r>
  </si>
  <si>
    <r>
      <t xml:space="preserve">5) </t>
    </r>
    <r>
      <rPr>
        <sz val="8"/>
        <color theme="1"/>
        <rFont val="Calibri (Textkörper)"/>
      </rPr>
      <t>Strategisches Management</t>
    </r>
  </si>
  <si>
    <r>
      <t xml:space="preserve">6) </t>
    </r>
    <r>
      <rPr>
        <sz val="8"/>
        <color theme="1"/>
        <rFont val="Calibri (Textkörper)"/>
      </rPr>
      <t>Planung und Entscheidung / Modellbildung und Simulation</t>
    </r>
  </si>
  <si>
    <r>
      <t xml:space="preserve">7) </t>
    </r>
    <r>
      <rPr>
        <sz val="8"/>
        <color theme="1"/>
        <rFont val="Calibri (Textkörper)"/>
      </rPr>
      <t>Organisation und Organisationsgestaltung</t>
    </r>
  </si>
  <si>
    <r>
      <t xml:space="preserve">8) </t>
    </r>
    <r>
      <rPr>
        <sz val="8"/>
        <color theme="1"/>
        <rFont val="Calibri (Textkörper)"/>
      </rPr>
      <t>Organisation von internationalen Netzwerken</t>
    </r>
  </si>
  <si>
    <r>
      <t xml:space="preserve">9) </t>
    </r>
    <r>
      <rPr>
        <sz val="8"/>
        <color theme="1"/>
        <rFont val="Calibri (Textkörper)"/>
      </rPr>
      <t>Unternehmensnetzwerke</t>
    </r>
  </si>
  <si>
    <t>1) Grundlagen</t>
  </si>
  <si>
    <t xml:space="preserve">2) Elementare Lösungstechniken </t>
  </si>
  <si>
    <r>
      <t>3)</t>
    </r>
    <r>
      <rPr>
        <sz val="9"/>
        <color theme="1"/>
        <rFont val="Calibri"/>
        <family val="2"/>
        <scheme val="minor"/>
      </rPr>
      <t xml:space="preserve"> </t>
    </r>
    <r>
      <rPr>
        <sz val="9"/>
        <color theme="1"/>
        <rFont val="Calibri (Textkörper)"/>
      </rPr>
      <t>Exakte Differentialgleichungen / spezielle Typen 2. Ordnung</t>
    </r>
  </si>
  <si>
    <t>4) Lösungstheorie für Anfangswertprobleme</t>
  </si>
  <si>
    <t xml:space="preserve">5) Lineare Systeme erster Ordnung </t>
  </si>
  <si>
    <t xml:space="preserve">6) Lineare DGLen n-ter Ordnung </t>
  </si>
  <si>
    <t xml:space="preserve">7) Stabilität von Differentialgleichungen </t>
  </si>
  <si>
    <t xml:space="preserve">8) Laplace-Transformation </t>
  </si>
  <si>
    <t xml:space="preserve">9) Randwertprobleme </t>
  </si>
  <si>
    <t xml:space="preserve">10) Sturm-Liouville Probleme </t>
  </si>
  <si>
    <t xml:space="preserve">11) Grundbegriffe </t>
  </si>
  <si>
    <t xml:space="preserve">12) Differentialgleichungen erster Ordnung </t>
  </si>
  <si>
    <t xml:space="preserve">13) Parabolische Differentialgleichungen </t>
  </si>
  <si>
    <t xml:space="preserve">14) Elliptische Gleichungen </t>
  </si>
  <si>
    <t xml:space="preserve">15) Hyperbolische Gleichungen </t>
  </si>
  <si>
    <t>TM3</t>
  </si>
  <si>
    <t>2) Systemmodellierung und -simulation</t>
  </si>
  <si>
    <t>4) Aktorik</t>
  </si>
  <si>
    <t xml:space="preserve">5) Sensorik </t>
  </si>
  <si>
    <t>6) Steuerung und Regelung</t>
  </si>
  <si>
    <r>
      <t xml:space="preserve">3) </t>
    </r>
    <r>
      <rPr>
        <sz val="11"/>
        <color theme="1"/>
        <rFont val="Calibri (Textkörper)"/>
      </rPr>
      <t>Mechanische Komponenten und Energiespeicher</t>
    </r>
  </si>
  <si>
    <t>1) Kinematik der Punktmasse</t>
  </si>
  <si>
    <t>2) Kinematik des starren Körpers</t>
  </si>
  <si>
    <t>3) Kinetik der Punktmasse</t>
  </si>
  <si>
    <t>4) Kinetik von Punktmassensystemen</t>
  </si>
  <si>
    <t>5) Kinetik des starren Körpers (räumlich)</t>
  </si>
  <si>
    <t>6) Kinetik des starren Körpers (eben)</t>
  </si>
  <si>
    <t>7) Analytische Mechanik</t>
  </si>
  <si>
    <t>8) Einführung in die Schwingungslehre</t>
  </si>
  <si>
    <t>1) Einführung – Werkstoffe und Beanspruchungen</t>
  </si>
  <si>
    <t>2) Strukturebenen – vom Atom zum Werkstoff</t>
  </si>
  <si>
    <t>3) Legierungskunde</t>
  </si>
  <si>
    <t>4) Mechanische Eigenschaften</t>
  </si>
  <si>
    <t>5) Modifikation der Eigenschaften von Metallen</t>
  </si>
  <si>
    <t>6) Leichtmetalle</t>
  </si>
  <si>
    <t>1) Budgetbeschränkung / Präferenzen</t>
  </si>
  <si>
    <t>2) Nutzen/ Entscheidung</t>
  </si>
  <si>
    <t>3) Nachfrage</t>
  </si>
  <si>
    <t>4) Konsumentenrente</t>
  </si>
  <si>
    <t>5) Marktnachfrage/ Gleichgewicht</t>
  </si>
  <si>
    <t>6) Tausch</t>
  </si>
  <si>
    <r>
      <t xml:space="preserve">7) </t>
    </r>
    <r>
      <rPr>
        <sz val="10"/>
        <color theme="1"/>
        <rFont val="Calibri (Textkörper)"/>
      </rPr>
      <t>Technologie/ Profitmaximierung/ Kostenminimierung</t>
    </r>
  </si>
  <si>
    <r>
      <t>8)</t>
    </r>
    <r>
      <rPr>
        <sz val="9"/>
        <color theme="1"/>
        <rFont val="Calibri"/>
        <family val="2"/>
        <scheme val="minor"/>
      </rPr>
      <t xml:space="preserve"> </t>
    </r>
    <r>
      <rPr>
        <sz val="9"/>
        <color theme="1"/>
        <rFont val="Calibri (Textkörper)"/>
      </rPr>
      <t>Kostenkurven/ Unternehmensangebot/ Branchenangebot</t>
    </r>
  </si>
  <si>
    <t>9) Monopol/ Externe Effekte</t>
  </si>
  <si>
    <t>10) Öffentliche Güter</t>
  </si>
  <si>
    <t>11) Informationstechnologie</t>
  </si>
  <si>
    <t>12) Spieltheorie</t>
  </si>
  <si>
    <t>13) Asymmetrische Informationen</t>
  </si>
  <si>
    <t>14) Verschiedenes</t>
  </si>
  <si>
    <r>
      <t xml:space="preserve">1) </t>
    </r>
    <r>
      <rPr>
        <sz val="10"/>
        <color theme="1"/>
        <rFont val="Calibri (Textkörper)"/>
      </rPr>
      <t>Grundbegriffe / Analyse eindimensionaler Datensätze</t>
    </r>
  </si>
  <si>
    <r>
      <t xml:space="preserve">2) </t>
    </r>
    <r>
      <rPr>
        <sz val="11"/>
        <color theme="1"/>
        <rFont val="Calibri (Textkörper)"/>
      </rPr>
      <t>Analyse zwei- und mehrdimensionaler Datensätze</t>
    </r>
  </si>
  <si>
    <r>
      <t xml:space="preserve">3) </t>
    </r>
    <r>
      <rPr>
        <sz val="10"/>
        <color theme="1"/>
        <rFont val="Calibri (Textkörper)"/>
      </rPr>
      <t>Zufallsexperimente und Wahrscheinlichkeitsräume</t>
    </r>
  </si>
  <si>
    <t xml:space="preserve">4) Zufallsvariablen und Verteilungen </t>
  </si>
  <si>
    <t>5) Erwartungswert und Varianz</t>
  </si>
  <si>
    <t xml:space="preserve">6) Stetige Verteilungen </t>
  </si>
  <si>
    <t xml:space="preserve">7) Grenzwertsätze / Schätzen </t>
  </si>
  <si>
    <t xml:space="preserve">8) Testen </t>
  </si>
  <si>
    <t xml:space="preserve">7) Schwing- und Betriebsfestigkeit </t>
  </si>
  <si>
    <t>(7) Systemintegration</t>
  </si>
  <si>
    <t>(8) Entwicklung mechatronischer Systeme</t>
  </si>
  <si>
    <r>
      <t xml:space="preserve">(1) </t>
    </r>
    <r>
      <rPr>
        <sz val="10"/>
        <color theme="1"/>
        <rFont val="Calibri (Textkörper)"/>
      </rPr>
      <t>Moderne Lehre technischer Systeme im Maschinenbau</t>
    </r>
  </si>
  <si>
    <t>Statistik |Skript</t>
  </si>
  <si>
    <t>MM1 | Vl</t>
  </si>
  <si>
    <t>MvW|Anki+Zfg.</t>
  </si>
  <si>
    <t>/</t>
  </si>
  <si>
    <t>WK|Anki+Zfg.</t>
  </si>
  <si>
    <t>MM1|HÜ</t>
  </si>
  <si>
    <t>MM1 | Ü</t>
  </si>
  <si>
    <t>Mathe | Skript</t>
  </si>
  <si>
    <t>Statistik | Ü</t>
  </si>
  <si>
    <t xml:space="preserve">Mathe 3 </t>
  </si>
  <si>
    <t xml:space="preserve">&gt; Auf "Anschlag" lernen </t>
  </si>
  <si>
    <t>&gt; Vorlernen</t>
  </si>
  <si>
    <t xml:space="preserve">&gt; Vorlernen </t>
  </si>
  <si>
    <t>Statistik | Ü</t>
  </si>
  <si>
    <t xml:space="preserve">MM1 | Ü </t>
  </si>
  <si>
    <t>Mikro| Ü</t>
  </si>
  <si>
    <t xml:space="preserve">/ </t>
  </si>
  <si>
    <t>MM1 | HÜ</t>
  </si>
  <si>
    <t>Mikro | Anki+Zfg.</t>
  </si>
  <si>
    <t>TM3 | Vl</t>
  </si>
  <si>
    <t xml:space="preserve">Mathe |Ü </t>
  </si>
  <si>
    <t>TM3 | HÜ</t>
  </si>
  <si>
    <t>TM3 | Ü</t>
  </si>
  <si>
    <t>Mathe | Ü</t>
  </si>
  <si>
    <t>Mathe | Ü</t>
  </si>
  <si>
    <r>
      <rPr>
        <sz val="8"/>
        <color rgb="FF7030A0"/>
        <rFont val="Calibri (Textkörper)"/>
      </rPr>
      <t>Mikro | Anki+Zfg.</t>
    </r>
    <r>
      <rPr>
        <sz val="8"/>
        <color rgb="FF7030A0"/>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</si>
</sst>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9"/>
      <color theme="1"/>
      <name val="Calibri (Textkörper)"/>
    </font>
    <font>
      <sz val="8"/>
      <color theme="1"/>
      <name val="Calibri (Textkörper)"/>
    </font>
    <font>
      <sz val="10"/>
      <color theme="1"/>
      <name val="Calibri (Textkörper)"/>
    </font>
    <font>
      <sz val="9"/>
      <color theme="1"/>
      <name val="Calibri"/>
      <family val="2"/>
      <scheme val="minor"/>
    </font>
    <font>
      <sz val="11"/>
      <color theme="1"/>
      <name val="Calibri (Textkörper)"/>
    </font>
    <font>
      <sz val="12"/>
      <color rgb="FFFF0000"/>
      <name val="Calibri"/>
      <family val="2"/>
      <scheme val="minor"/>
    </font>
    <font>
      <sz val="12"/>
      <color rgb="FF000000"/>
      <name val="Calibri"/>
      <family val="2"/>
      <scheme val="minor"/>
    </font>
    <font>
      <sz val="12"/>
      <color rgb="FF00FF29"/>
      <name val="Calibri"/>
      <family val="2"/>
      <scheme val="minor"/>
    </font>
    <font>
      <sz val="12"/>
      <color theme="5" tint="-0.499984740745262"/>
      <name val="Calibri"/>
      <family val="2"/>
      <scheme val="minor"/>
    </font>
    <font>
      <sz val="9"/>
      <color theme="5" tint="-0.499984740745262"/>
      <name val="Calibri (Textkörper)"/>
    </font>
    <font>
      <sz val="10"/>
      <color theme="5" tint="-0.499984740745262"/>
      <name val="Calibri (Textkörper)"/>
    </font>
    <font>
      <sz val="12"/>
      <color rgb="FF7030A0"/>
      <name val="Calibri"/>
      <family val="2"/>
      <scheme val="minor"/>
    </font>
    <font>
      <sz val="8"/>
      <color rgb="FF7030A0"/>
      <name val="Calibri"/>
      <family val="2"/>
      <scheme val="minor"/>
    </font>
    <font>
      <sz val="8"/>
      <color rgb="FF7030A0"/>
      <name val="Calibri (Textkörper)"/>
    </font>
    <font>
      <sz val="9"/>
      <color rgb="FF0070C0"/>
      <name val="Calibri (Textkörper)"/>
    </font>
    <font>
      <sz val="12"/>
      <color rgb="FF0070C0"/>
      <name val="Calibri"/>
      <family val="2"/>
      <scheme val="minor"/>
    </font>
    <font>
      <sz val="12"/>
      <color rgb="FFFFC000"/>
      <name val="Calibri"/>
      <family val="2"/>
      <scheme val="minor"/>
    </font>
    <font>
      <sz val="9"/>
      <color rgb="FFFF0000"/>
      <name val="Calibri (Textkörper)"/>
    </font>
    <font>
      <sz val="9"/>
      <color rgb="FF92D050"/>
      <name val="Calibri (Textkörper)"/>
    </font>
    <font>
      <sz val="12"/>
      <color rgb="FF92D050"/>
      <name val="Calibri"/>
      <family val="2"/>
      <scheme val="minor"/>
    </font>
    <font>
      <sz val="9"/>
      <color rgb="FF92D050"/>
      <name val="Calibri"/>
      <family val="2"/>
      <scheme val="minor"/>
    </font>
    <font>
      <sz val="12"/>
      <color rgb="FF00FF29"/>
      <name val="Calibri (Textkörpe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14" fontId="0" fillId="0" borderId="0" xfId="0" applyNumberFormat="1"/>
    <xf numFmtId="9" fontId="11" fillId="0" borderId="0" xfId="0" applyNumberFormat="1" applyFont="1"/>
    <xf numFmtId="0" fontId="5"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10"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1" fillId="2" borderId="0" xfId="0" applyFont="1" applyFill="1" applyAlignment="1">
      <alignment horizontal="center"/>
    </xf>
  </cellXfs>
  <cellStyles count="1">
    <cellStyle name="Standard" xfId="0" builtinId="0"/>
  </cellStyles>
  <dxfs count="1102">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C4FF87"/>
      <color rgb="FF56FF5E"/>
      <color rgb="FFFFDE7F"/>
      <color rgb="FF00FF29"/>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5" totalsRowShown="0" headerRowDxfId="4">
  <autoFilter ref="A1:K45"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GE93"/>
  <sheetViews>
    <sheetView showGridLines="0" tabSelected="1" topLeftCell="A57" zoomScale="75" zoomScaleNormal="57" workbookViewId="0">
      <pane xSplit="7" topLeftCell="H1" activePane="topRight" state="frozen"/>
      <selection pane="topRight" activeCell="N96" sqref="N96"/>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 min="174" max="174" width="2.5" customWidth="1"/>
    <col min="176" max="176" width="12.5" bestFit="1" customWidth="1"/>
    <col min="177" max="177" width="6.33203125" customWidth="1"/>
    <col min="178" max="178" width="14.83203125" bestFit="1" customWidth="1"/>
    <col min="179" max="179" width="6" customWidth="1"/>
    <col min="180" max="180" width="12.6640625" bestFit="1" customWidth="1"/>
    <col min="181" max="181" width="2.5" customWidth="1"/>
    <col min="183" max="183" width="12.5" bestFit="1" customWidth="1"/>
    <col min="184" max="184" width="6.33203125" customWidth="1"/>
    <col min="185" max="185" width="14.83203125" bestFit="1" customWidth="1"/>
    <col min="186" max="186" width="6" customWidth="1"/>
    <col min="187" max="187" width="12.6640625" bestFit="1" customWidth="1"/>
    <col min="188" max="188" width="2.5" customWidth="1"/>
  </cols>
  <sheetData>
    <row r="1" spans="2:187" ht="34" x14ac:dyDescent="0.4">
      <c r="B1" s="5" t="s">
        <v>0</v>
      </c>
      <c r="D1" s="5"/>
      <c r="G1" s="14" t="s">
        <v>33</v>
      </c>
      <c r="I1" s="14" t="s">
        <v>33</v>
      </c>
      <c r="J1" s="14" t="s">
        <v>33</v>
      </c>
      <c r="K1" s="14" t="s">
        <v>33</v>
      </c>
    </row>
    <row r="2" spans="2:187" x14ac:dyDescent="0.2">
      <c r="I2" s="36" t="s">
        <v>27</v>
      </c>
      <c r="J2" s="36"/>
      <c r="K2" s="36"/>
      <c r="L2" s="36"/>
      <c r="N2" s="36" t="s">
        <v>54</v>
      </c>
      <c r="O2" s="36"/>
      <c r="P2" s="36"/>
      <c r="Q2" s="36"/>
      <c r="R2" s="36"/>
      <c r="S2" s="36"/>
      <c r="U2" s="36" t="s">
        <v>55</v>
      </c>
      <c r="V2" s="36"/>
      <c r="W2" s="36"/>
      <c r="X2" s="36"/>
      <c r="Y2" s="36"/>
      <c r="Z2" s="36"/>
      <c r="AB2" s="36" t="s">
        <v>56</v>
      </c>
      <c r="AC2" s="36"/>
      <c r="AD2" s="36"/>
      <c r="AE2" s="36"/>
      <c r="AF2" s="36"/>
      <c r="AG2" s="36"/>
      <c r="AI2" s="36" t="s">
        <v>57</v>
      </c>
      <c r="AJ2" s="36"/>
      <c r="AK2" s="36"/>
      <c r="AL2" s="36"/>
      <c r="AM2" s="36"/>
      <c r="AN2" s="36"/>
      <c r="AP2" s="36" t="s">
        <v>58</v>
      </c>
      <c r="AQ2" s="36"/>
      <c r="AR2" s="36"/>
      <c r="AS2" s="36"/>
      <c r="AT2" s="36"/>
      <c r="AU2" s="36"/>
      <c r="AW2" s="36" t="s">
        <v>59</v>
      </c>
      <c r="AX2" s="36"/>
      <c r="AY2" s="36"/>
      <c r="AZ2" s="36"/>
      <c r="BA2" s="36"/>
      <c r="BB2" s="36"/>
      <c r="BD2" s="36" t="s">
        <v>60</v>
      </c>
      <c r="BE2" s="36"/>
      <c r="BF2" s="36"/>
      <c r="BG2" s="36"/>
      <c r="BH2" s="36"/>
      <c r="BI2" s="36"/>
      <c r="BK2" s="36" t="s">
        <v>61</v>
      </c>
      <c r="BL2" s="36"/>
      <c r="BM2" s="36"/>
      <c r="BN2" s="36"/>
      <c r="BO2" s="36"/>
      <c r="BP2" s="36"/>
      <c r="BR2" s="36" t="s">
        <v>62</v>
      </c>
      <c r="BS2" s="36"/>
      <c r="BT2" s="36"/>
      <c r="BU2" s="36"/>
      <c r="BV2" s="36"/>
      <c r="BW2" s="36"/>
      <c r="BY2" s="36" t="s">
        <v>63</v>
      </c>
      <c r="BZ2" s="36"/>
      <c r="CA2" s="36"/>
      <c r="CB2" s="36"/>
      <c r="CC2" s="36"/>
      <c r="CD2" s="36"/>
      <c r="CF2" s="36" t="s">
        <v>64</v>
      </c>
      <c r="CG2" s="36"/>
      <c r="CH2" s="36"/>
      <c r="CI2" s="36"/>
      <c r="CJ2" s="36"/>
      <c r="CK2" s="36"/>
      <c r="CM2" s="36" t="s">
        <v>65</v>
      </c>
      <c r="CN2" s="36"/>
      <c r="CO2" s="36"/>
      <c r="CP2" s="36"/>
      <c r="CQ2" s="36"/>
      <c r="CR2" s="36"/>
      <c r="CT2" s="36" t="s">
        <v>66</v>
      </c>
      <c r="CU2" s="36"/>
      <c r="CV2" s="36"/>
      <c r="CW2" s="36"/>
      <c r="CX2" s="36"/>
      <c r="CY2" s="36"/>
      <c r="DA2" s="36" t="s">
        <v>67</v>
      </c>
      <c r="DB2" s="36"/>
      <c r="DC2" s="36"/>
      <c r="DD2" s="36"/>
      <c r="DE2" s="36"/>
      <c r="DF2" s="36"/>
      <c r="DH2" s="36" t="s">
        <v>68</v>
      </c>
      <c r="DI2" s="36"/>
      <c r="DJ2" s="36"/>
      <c r="DK2" s="36"/>
      <c r="DL2" s="36"/>
      <c r="DM2" s="36"/>
      <c r="DO2" s="36" t="s">
        <v>69</v>
      </c>
      <c r="DP2" s="36"/>
      <c r="DQ2" s="36"/>
      <c r="DR2" s="36"/>
      <c r="DS2" s="36"/>
      <c r="DT2" s="36"/>
      <c r="DV2" s="36" t="s">
        <v>70</v>
      </c>
      <c r="DW2" s="36"/>
      <c r="DX2" s="36"/>
      <c r="DY2" s="36"/>
      <c r="DZ2" s="36"/>
      <c r="EA2" s="36"/>
      <c r="EC2" s="36" t="s">
        <v>71</v>
      </c>
      <c r="ED2" s="36"/>
      <c r="EE2" s="36"/>
      <c r="EF2" s="36"/>
      <c r="EG2" s="36"/>
      <c r="EH2" s="36"/>
      <c r="EJ2" s="36" t="s">
        <v>72</v>
      </c>
      <c r="EK2" s="36"/>
      <c r="EL2" s="36"/>
      <c r="EM2" s="36"/>
      <c r="EN2" s="36"/>
      <c r="EO2" s="36"/>
      <c r="EQ2" s="36" t="s">
        <v>73</v>
      </c>
      <c r="ER2" s="36"/>
      <c r="ES2" s="36"/>
      <c r="ET2" s="36"/>
      <c r="EU2" s="36"/>
      <c r="EV2" s="36"/>
      <c r="EX2" s="36" t="s">
        <v>74</v>
      </c>
      <c r="EY2" s="36"/>
      <c r="EZ2" s="36"/>
      <c r="FA2" s="36"/>
      <c r="FB2" s="36"/>
      <c r="FC2" s="36"/>
      <c r="FE2" s="36" t="s">
        <v>75</v>
      </c>
      <c r="FF2" s="36"/>
      <c r="FG2" s="36"/>
      <c r="FH2" s="36"/>
      <c r="FI2" s="36"/>
      <c r="FJ2" s="36"/>
      <c r="FL2" s="36" t="s">
        <v>76</v>
      </c>
      <c r="FM2" s="36"/>
      <c r="FN2" s="36"/>
      <c r="FO2" s="36"/>
      <c r="FP2" s="36"/>
      <c r="FQ2" s="36"/>
      <c r="FS2" s="36" t="s">
        <v>77</v>
      </c>
      <c r="FT2" s="36"/>
      <c r="FU2" s="36"/>
      <c r="FV2" s="36"/>
      <c r="FW2" s="36"/>
      <c r="FX2" s="36"/>
      <c r="FZ2" s="36" t="s">
        <v>78</v>
      </c>
      <c r="GA2" s="36"/>
      <c r="GB2" s="36"/>
      <c r="GC2" s="36"/>
      <c r="GD2" s="36"/>
      <c r="GE2" s="36"/>
    </row>
    <row r="3" spans="2:187"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c r="EJ3" s="6" t="s">
        <v>11</v>
      </c>
      <c r="EK3" s="6" t="s">
        <v>2</v>
      </c>
      <c r="EL3" s="6" t="s">
        <v>32</v>
      </c>
      <c r="EM3" s="6" t="s">
        <v>3</v>
      </c>
      <c r="EN3" s="6" t="s">
        <v>32</v>
      </c>
      <c r="EO3" s="6" t="s">
        <v>12</v>
      </c>
      <c r="EQ3" s="6" t="s">
        <v>11</v>
      </c>
      <c r="ER3" s="6" t="s">
        <v>2</v>
      </c>
      <c r="ES3" s="6" t="s">
        <v>32</v>
      </c>
      <c r="ET3" s="6" t="s">
        <v>3</v>
      </c>
      <c r="EU3" s="6" t="s">
        <v>32</v>
      </c>
      <c r="EV3" s="6" t="s">
        <v>12</v>
      </c>
      <c r="EX3" s="6" t="s">
        <v>11</v>
      </c>
      <c r="EY3" s="6" t="s">
        <v>2</v>
      </c>
      <c r="EZ3" s="6" t="s">
        <v>32</v>
      </c>
      <c r="FA3" s="6" t="s">
        <v>3</v>
      </c>
      <c r="FB3" s="6" t="s">
        <v>32</v>
      </c>
      <c r="FC3" s="6" t="s">
        <v>12</v>
      </c>
      <c r="FE3" s="6" t="s">
        <v>11</v>
      </c>
      <c r="FF3" s="6" t="s">
        <v>2</v>
      </c>
      <c r="FG3" s="6" t="s">
        <v>32</v>
      </c>
      <c r="FH3" s="6" t="s">
        <v>3</v>
      </c>
      <c r="FI3" s="6" t="s">
        <v>32</v>
      </c>
      <c r="FJ3" s="6" t="s">
        <v>12</v>
      </c>
      <c r="FL3" s="6" t="s">
        <v>11</v>
      </c>
      <c r="FM3" s="6" t="s">
        <v>2</v>
      </c>
      <c r="FN3" s="6" t="s">
        <v>32</v>
      </c>
      <c r="FO3" s="6" t="s">
        <v>3</v>
      </c>
      <c r="FP3" s="6" t="s">
        <v>32</v>
      </c>
      <c r="FQ3" s="6" t="s">
        <v>12</v>
      </c>
      <c r="FS3" s="6" t="s">
        <v>11</v>
      </c>
      <c r="FT3" s="6" t="s">
        <v>2</v>
      </c>
      <c r="FU3" s="6" t="s">
        <v>32</v>
      </c>
      <c r="FV3" s="6" t="s">
        <v>3</v>
      </c>
      <c r="FW3" s="6" t="s">
        <v>32</v>
      </c>
      <c r="FX3" s="6" t="s">
        <v>12</v>
      </c>
      <c r="FZ3" s="6" t="s">
        <v>11</v>
      </c>
      <c r="GA3" s="6" t="s">
        <v>2</v>
      </c>
      <c r="GB3" s="6" t="s">
        <v>32</v>
      </c>
      <c r="GC3" s="6" t="s">
        <v>3</v>
      </c>
      <c r="GD3" s="6" t="s">
        <v>32</v>
      </c>
      <c r="GE3" s="6" t="s">
        <v>12</v>
      </c>
    </row>
    <row r="4" spans="2:187" x14ac:dyDescent="0.2">
      <c r="B4" t="s">
        <v>27</v>
      </c>
      <c r="C4" t="s">
        <v>158</v>
      </c>
      <c r="D4" s="17">
        <v>44648</v>
      </c>
      <c r="E4" s="10">
        <v>6</v>
      </c>
      <c r="F4" t="s">
        <v>159</v>
      </c>
      <c r="G4" s="11">
        <f>+SUM(G5:G19)</f>
        <v>1.0000000000000002</v>
      </c>
      <c r="I4" s="13">
        <f>+SUM(I5:I16)</f>
        <v>120</v>
      </c>
      <c r="J4" s="12">
        <f>+SUMPRODUCT(G5:G16,J5:J16)</f>
        <v>0.06</v>
      </c>
      <c r="K4" s="12">
        <f>+SUMPRODUCT(G5:G16,K5:K16)</f>
        <v>0.06</v>
      </c>
      <c r="L4" s="10"/>
      <c r="N4" s="13">
        <f>+SUM(N5:N16)</f>
        <v>10</v>
      </c>
      <c r="U4" s="13">
        <f>+SUM(U5:U16)</f>
        <v>10</v>
      </c>
      <c r="AB4" s="13">
        <f>+SUM(AB5:AB16)</f>
        <v>10</v>
      </c>
      <c r="AI4" s="13">
        <f>+SUM(AI5:AI16)</f>
        <v>10</v>
      </c>
      <c r="AP4" s="13">
        <f>+SUM(AP5:AP16)</f>
        <v>10</v>
      </c>
      <c r="AW4" s="13">
        <f>+SUM(AW5:AW16)</f>
        <v>10</v>
      </c>
      <c r="BD4" s="13">
        <f>+SUM(BD5:BD16)</f>
        <v>10</v>
      </c>
      <c r="BK4" s="13">
        <f>+SUM(BK5:BK16)</f>
        <v>10</v>
      </c>
      <c r="BR4" s="13">
        <f>+SUM(BR5:BR16)</f>
        <v>10</v>
      </c>
      <c r="BY4" s="13">
        <f>+SUM(BY5:BY16)</f>
        <v>10</v>
      </c>
      <c r="CF4" s="13">
        <f>+SUM(CF5:CF16)</f>
        <v>10</v>
      </c>
      <c r="CM4" s="13">
        <f>+SUM(CM5:CM16)</f>
        <v>10</v>
      </c>
      <c r="CT4" s="13">
        <f>+SUM(CT5:CT17)</f>
        <v>10</v>
      </c>
      <c r="DA4" s="13">
        <f>+SUM(DA5:DA18)</f>
        <v>10</v>
      </c>
      <c r="DH4" s="13">
        <f>+SUM(DH5:DH19)</f>
        <v>10</v>
      </c>
      <c r="DO4" s="13">
        <f>+SUM(DO5:DO16)</f>
        <v>0</v>
      </c>
      <c r="DV4" s="13">
        <f>+SUM(DV5:DV16)</f>
        <v>0</v>
      </c>
      <c r="EC4" s="13">
        <f>+SUM(EC5:EC16)</f>
        <v>0</v>
      </c>
      <c r="EJ4" s="13">
        <f>+SUM(EJ5:EJ16)</f>
        <v>0</v>
      </c>
      <c r="EQ4" s="13">
        <f>+SUM(EQ5:EQ16)</f>
        <v>0</v>
      </c>
      <c r="EX4" s="13">
        <f>+SUM(EX5:EX16)</f>
        <v>0</v>
      </c>
      <c r="FE4" s="13">
        <f>+SUM(FE5:FE16)</f>
        <v>0</v>
      </c>
      <c r="FL4" s="13">
        <f>+SUM(FL5:FL16)</f>
        <v>0</v>
      </c>
      <c r="FS4" s="13">
        <f>+SUM(FS5:FS16)</f>
        <v>0</v>
      </c>
      <c r="FZ4" s="13">
        <f>+SUM(FZ5:FZ16)</f>
        <v>0</v>
      </c>
    </row>
    <row r="5" spans="2:187" outlineLevel="1" x14ac:dyDescent="0.2">
      <c r="B5" t="s">
        <v>28</v>
      </c>
      <c r="E5" s="10"/>
      <c r="F5" t="s">
        <v>88</v>
      </c>
      <c r="G5" s="11">
        <v>0.06</v>
      </c>
      <c r="I5" s="10">
        <f>+SUMIF($N$3:$ZZ$3,I$3,$N5:$ZZ5)</f>
        <v>10</v>
      </c>
      <c r="J5" s="12">
        <f t="shared" ref="J5:K19" si="0">+_xlfn.MAXIFS($N5:$ZF5,$N$3:$ZF$3,J$3)</f>
        <v>1</v>
      </c>
      <c r="K5" s="12">
        <f t="shared" si="0"/>
        <v>1</v>
      </c>
      <c r="L5" s="10"/>
      <c r="N5">
        <v>10</v>
      </c>
      <c r="O5" s="11">
        <v>1</v>
      </c>
      <c r="P5" s="11">
        <v>1</v>
      </c>
      <c r="Q5" s="11">
        <v>1</v>
      </c>
      <c r="R5" s="11">
        <v>1</v>
      </c>
      <c r="U5">
        <v>0</v>
      </c>
      <c r="V5" s="11"/>
      <c r="W5" s="11">
        <v>1</v>
      </c>
      <c r="X5" s="11"/>
      <c r="Y5" s="11">
        <v>1</v>
      </c>
      <c r="AB5">
        <v>0</v>
      </c>
      <c r="AC5" s="11"/>
      <c r="AD5" s="11">
        <v>1</v>
      </c>
      <c r="AE5" s="11"/>
      <c r="AF5" s="11">
        <v>1</v>
      </c>
      <c r="AI5">
        <v>0</v>
      </c>
      <c r="AJ5" s="11"/>
      <c r="AK5" s="11">
        <v>1</v>
      </c>
      <c r="AL5" s="11"/>
      <c r="AM5" s="11">
        <v>1</v>
      </c>
      <c r="AP5">
        <v>0</v>
      </c>
      <c r="AQ5" s="11"/>
      <c r="AR5" s="11">
        <v>1</v>
      </c>
      <c r="AS5" s="11"/>
      <c r="AT5" s="11">
        <v>1</v>
      </c>
      <c r="AW5">
        <v>0</v>
      </c>
      <c r="AX5" s="11"/>
      <c r="AY5" s="11">
        <v>1</v>
      </c>
      <c r="AZ5" s="11"/>
      <c r="BA5" s="11">
        <v>1</v>
      </c>
      <c r="BD5">
        <v>0</v>
      </c>
      <c r="BE5" s="11"/>
      <c r="BF5" s="11">
        <v>1</v>
      </c>
      <c r="BG5" s="11"/>
      <c r="BH5" s="11">
        <v>1</v>
      </c>
      <c r="BK5">
        <v>0</v>
      </c>
      <c r="BL5" s="11"/>
      <c r="BM5" s="11">
        <v>1</v>
      </c>
      <c r="BN5" s="11"/>
      <c r="BO5" s="11">
        <v>1</v>
      </c>
      <c r="BR5">
        <v>0</v>
      </c>
      <c r="BS5" s="11"/>
      <c r="BT5" s="11">
        <v>1</v>
      </c>
      <c r="BU5" s="11"/>
      <c r="BV5" s="11">
        <v>1</v>
      </c>
      <c r="BY5">
        <v>0</v>
      </c>
      <c r="BZ5" s="11"/>
      <c r="CA5" s="11">
        <v>1</v>
      </c>
      <c r="CB5" s="11"/>
      <c r="CC5" s="11">
        <v>1</v>
      </c>
      <c r="CF5">
        <v>0</v>
      </c>
      <c r="CG5" s="11"/>
      <c r="CH5" s="11">
        <v>1</v>
      </c>
      <c r="CI5" s="11"/>
      <c r="CJ5" s="11">
        <v>1</v>
      </c>
      <c r="CM5">
        <v>0</v>
      </c>
      <c r="CN5" s="11"/>
      <c r="CO5" s="11">
        <v>1</v>
      </c>
      <c r="CP5" s="11"/>
      <c r="CQ5" s="11">
        <v>1</v>
      </c>
      <c r="CT5">
        <v>0</v>
      </c>
      <c r="CU5" s="11"/>
      <c r="CV5" s="11">
        <v>1</v>
      </c>
      <c r="CW5" s="11"/>
      <c r="CX5" s="11">
        <v>1</v>
      </c>
      <c r="DA5">
        <v>0</v>
      </c>
      <c r="DB5" s="11"/>
      <c r="DC5" s="11">
        <v>1</v>
      </c>
      <c r="DD5" s="11"/>
      <c r="DE5" s="11">
        <v>1</v>
      </c>
      <c r="DH5">
        <v>0</v>
      </c>
      <c r="DI5" s="11"/>
      <c r="DJ5" s="11">
        <v>1</v>
      </c>
      <c r="DK5" s="11"/>
      <c r="DL5" s="11">
        <v>1</v>
      </c>
      <c r="DP5" s="11"/>
      <c r="DQ5" s="11"/>
      <c r="DR5" s="11"/>
      <c r="DS5" s="11"/>
      <c r="DW5" s="11"/>
      <c r="DX5" s="11"/>
      <c r="DY5" s="11"/>
      <c r="DZ5" s="11"/>
      <c r="ED5" s="11"/>
      <c r="EE5" s="11"/>
      <c r="EF5" s="11"/>
      <c r="EG5" s="11"/>
      <c r="EK5" s="11"/>
      <c r="EL5" s="11"/>
      <c r="EM5" s="11"/>
      <c r="EN5" s="11"/>
      <c r="ER5" s="11"/>
      <c r="ES5" s="11"/>
      <c r="ET5" s="11"/>
      <c r="EU5" s="11"/>
      <c r="EY5" s="11"/>
      <c r="EZ5" s="11"/>
      <c r="FA5" s="11"/>
      <c r="FB5" s="11"/>
      <c r="FF5" s="11"/>
      <c r="FG5" s="11"/>
      <c r="FH5" s="11"/>
      <c r="FI5" s="11"/>
      <c r="FM5" s="11"/>
      <c r="FN5" s="11"/>
      <c r="FO5" s="11"/>
      <c r="FP5" s="11"/>
      <c r="FT5" s="11"/>
      <c r="FU5" s="11"/>
      <c r="FV5" s="11"/>
      <c r="FW5" s="11"/>
      <c r="GA5" s="11"/>
      <c r="GB5" s="11"/>
      <c r="GC5" s="11"/>
      <c r="GD5" s="11"/>
    </row>
    <row r="6" spans="2:187" outlineLevel="1" x14ac:dyDescent="0.2">
      <c r="B6" t="s">
        <v>28</v>
      </c>
      <c r="E6" s="10"/>
      <c r="F6" t="s">
        <v>89</v>
      </c>
      <c r="G6" s="11">
        <v>0.06</v>
      </c>
      <c r="I6" s="10">
        <f t="shared" ref="I6:I18" si="1">+SUMIF($N$3:$ZZ$3,I$3,$N6:$ZZ6)</f>
        <v>10</v>
      </c>
      <c r="J6" s="12">
        <f t="shared" si="0"/>
        <v>0</v>
      </c>
      <c r="K6" s="12">
        <f t="shared" si="0"/>
        <v>0</v>
      </c>
      <c r="L6" s="10"/>
      <c r="O6" s="11"/>
      <c r="P6" s="11"/>
      <c r="Q6" s="11"/>
      <c r="R6" s="11"/>
      <c r="U6">
        <v>10</v>
      </c>
      <c r="V6" s="11"/>
      <c r="W6" s="11">
        <v>1</v>
      </c>
      <c r="X6" s="11"/>
      <c r="Y6" s="11">
        <v>1</v>
      </c>
      <c r="AB6">
        <v>0</v>
      </c>
      <c r="AC6" s="11"/>
      <c r="AD6" s="11">
        <v>1</v>
      </c>
      <c r="AE6" s="11"/>
      <c r="AF6" s="11">
        <v>1</v>
      </c>
      <c r="AI6">
        <v>0</v>
      </c>
      <c r="AJ6" s="11"/>
      <c r="AK6" s="11">
        <v>1</v>
      </c>
      <c r="AL6" s="11"/>
      <c r="AM6" s="11">
        <v>1</v>
      </c>
      <c r="AP6">
        <v>0</v>
      </c>
      <c r="AQ6" s="11"/>
      <c r="AR6" s="11">
        <v>1</v>
      </c>
      <c r="AS6" s="11"/>
      <c r="AT6" s="11">
        <v>1</v>
      </c>
      <c r="AW6">
        <v>0</v>
      </c>
      <c r="AX6" s="11"/>
      <c r="AY6" s="11">
        <v>1</v>
      </c>
      <c r="AZ6" s="11"/>
      <c r="BA6" s="11">
        <v>1</v>
      </c>
      <c r="BD6">
        <v>0</v>
      </c>
      <c r="BE6" s="11"/>
      <c r="BF6" s="11">
        <v>1</v>
      </c>
      <c r="BG6" s="11"/>
      <c r="BH6" s="11">
        <v>1</v>
      </c>
      <c r="BK6">
        <v>0</v>
      </c>
      <c r="BL6" s="11"/>
      <c r="BM6" s="11">
        <v>1</v>
      </c>
      <c r="BN6" s="11"/>
      <c r="BO6" s="11">
        <v>1</v>
      </c>
      <c r="BR6">
        <v>0</v>
      </c>
      <c r="BS6" s="11"/>
      <c r="BT6" s="11">
        <v>1</v>
      </c>
      <c r="BU6" s="11"/>
      <c r="BV6" s="11">
        <v>1</v>
      </c>
      <c r="BY6">
        <v>0</v>
      </c>
      <c r="BZ6" s="11"/>
      <c r="CA6" s="11">
        <v>1</v>
      </c>
      <c r="CB6" s="11"/>
      <c r="CC6" s="11">
        <v>1</v>
      </c>
      <c r="CF6">
        <v>0</v>
      </c>
      <c r="CG6" s="11"/>
      <c r="CH6" s="11">
        <v>1</v>
      </c>
      <c r="CI6" s="11"/>
      <c r="CJ6" s="11">
        <v>1</v>
      </c>
      <c r="CM6">
        <v>0</v>
      </c>
      <c r="CN6" s="11"/>
      <c r="CO6" s="11">
        <v>1</v>
      </c>
      <c r="CP6" s="11"/>
      <c r="CQ6" s="11">
        <v>1</v>
      </c>
      <c r="CT6">
        <v>0</v>
      </c>
      <c r="CU6" s="11"/>
      <c r="CV6" s="11">
        <v>1</v>
      </c>
      <c r="CW6" s="11"/>
      <c r="CX6" s="11">
        <v>1</v>
      </c>
      <c r="DA6">
        <v>0</v>
      </c>
      <c r="DB6" s="11"/>
      <c r="DC6" s="11">
        <v>1</v>
      </c>
      <c r="DD6" s="11"/>
      <c r="DE6" s="11">
        <v>1</v>
      </c>
      <c r="DH6">
        <v>0</v>
      </c>
      <c r="DI6" s="11"/>
      <c r="DJ6" s="11">
        <v>1</v>
      </c>
      <c r="DK6" s="11"/>
      <c r="DL6" s="11">
        <v>1</v>
      </c>
      <c r="DP6" s="11"/>
      <c r="DQ6" s="11"/>
      <c r="DR6" s="11"/>
      <c r="DS6" s="11"/>
      <c r="DW6" s="11"/>
      <c r="DX6" s="11"/>
      <c r="DY6" s="11"/>
      <c r="DZ6" s="11"/>
      <c r="ED6" s="11"/>
      <c r="EE6" s="11"/>
      <c r="EF6" s="11"/>
      <c r="EG6" s="11"/>
      <c r="EK6" s="11"/>
      <c r="EL6" s="11"/>
      <c r="EM6" s="11"/>
      <c r="EN6" s="11"/>
      <c r="ER6" s="11"/>
      <c r="ES6" s="11"/>
      <c r="ET6" s="11"/>
      <c r="EU6" s="11"/>
      <c r="EY6" s="11"/>
      <c r="EZ6" s="11"/>
      <c r="FA6" s="11"/>
      <c r="FB6" s="11"/>
      <c r="FF6" s="11"/>
      <c r="FG6" s="11"/>
      <c r="FH6" s="11"/>
      <c r="FI6" s="11"/>
      <c r="FM6" s="11"/>
      <c r="FN6" s="11"/>
      <c r="FO6" s="11"/>
      <c r="FP6" s="11"/>
      <c r="FT6" s="11"/>
      <c r="FU6" s="11"/>
      <c r="FV6" s="11"/>
      <c r="FW6" s="11"/>
      <c r="GA6" s="11"/>
      <c r="GB6" s="11"/>
      <c r="GC6" s="11"/>
      <c r="GD6" s="11"/>
    </row>
    <row r="7" spans="2:187" outlineLevel="1" x14ac:dyDescent="0.2">
      <c r="B7" t="s">
        <v>28</v>
      </c>
      <c r="E7" s="10"/>
      <c r="F7" t="s">
        <v>90</v>
      </c>
      <c r="G7" s="11">
        <v>0.06</v>
      </c>
      <c r="I7" s="10">
        <f t="shared" si="1"/>
        <v>10</v>
      </c>
      <c r="J7" s="12">
        <f t="shared" si="0"/>
        <v>0</v>
      </c>
      <c r="K7" s="12">
        <f t="shared" si="0"/>
        <v>0</v>
      </c>
      <c r="L7" s="10"/>
      <c r="O7" s="11"/>
      <c r="P7" s="11"/>
      <c r="Q7" s="11"/>
      <c r="R7" s="11"/>
      <c r="V7" s="11"/>
      <c r="W7" s="11"/>
      <c r="X7" s="11"/>
      <c r="Y7" s="11"/>
      <c r="AB7">
        <v>10</v>
      </c>
      <c r="AC7" s="11"/>
      <c r="AD7" s="11">
        <v>1</v>
      </c>
      <c r="AE7" s="11"/>
      <c r="AF7" s="11">
        <v>1</v>
      </c>
      <c r="AI7">
        <v>0</v>
      </c>
      <c r="AJ7" s="11"/>
      <c r="AK7" s="11">
        <v>1</v>
      </c>
      <c r="AL7" s="11"/>
      <c r="AM7" s="11">
        <v>1</v>
      </c>
      <c r="AP7">
        <v>0</v>
      </c>
      <c r="AQ7" s="11"/>
      <c r="AR7" s="11">
        <v>1</v>
      </c>
      <c r="AS7" s="11"/>
      <c r="AT7" s="11">
        <v>1</v>
      </c>
      <c r="AW7">
        <v>0</v>
      </c>
      <c r="AX7" s="11"/>
      <c r="AY7" s="11">
        <v>1</v>
      </c>
      <c r="AZ7" s="11"/>
      <c r="BA7" s="11">
        <v>1</v>
      </c>
      <c r="BD7">
        <v>0</v>
      </c>
      <c r="BE7" s="11"/>
      <c r="BF7" s="11">
        <v>1</v>
      </c>
      <c r="BG7" s="11"/>
      <c r="BH7" s="11">
        <v>1</v>
      </c>
      <c r="BK7">
        <v>0</v>
      </c>
      <c r="BL7" s="11"/>
      <c r="BM7" s="11">
        <v>1</v>
      </c>
      <c r="BN7" s="11"/>
      <c r="BO7" s="11">
        <v>1</v>
      </c>
      <c r="BR7">
        <v>0</v>
      </c>
      <c r="BS7" s="11"/>
      <c r="BT7" s="11">
        <v>1</v>
      </c>
      <c r="BU7" s="11"/>
      <c r="BV7" s="11">
        <v>1</v>
      </c>
      <c r="BY7">
        <v>0</v>
      </c>
      <c r="BZ7" s="11"/>
      <c r="CA7" s="11">
        <v>1</v>
      </c>
      <c r="CB7" s="11"/>
      <c r="CC7" s="11">
        <v>1</v>
      </c>
      <c r="CF7">
        <v>0</v>
      </c>
      <c r="CG7" s="11"/>
      <c r="CH7" s="11">
        <v>1</v>
      </c>
      <c r="CI7" s="11"/>
      <c r="CJ7" s="11">
        <v>1</v>
      </c>
      <c r="CM7">
        <v>0</v>
      </c>
      <c r="CN7" s="11"/>
      <c r="CO7" s="11">
        <v>1</v>
      </c>
      <c r="CP7" s="11"/>
      <c r="CQ7" s="11">
        <v>1</v>
      </c>
      <c r="CT7">
        <v>0</v>
      </c>
      <c r="CU7" s="11"/>
      <c r="CV7" s="11">
        <v>1</v>
      </c>
      <c r="CW7" s="11"/>
      <c r="CX7" s="11">
        <v>1</v>
      </c>
      <c r="DA7">
        <v>0</v>
      </c>
      <c r="DB7" s="11"/>
      <c r="DC7" s="11">
        <v>1</v>
      </c>
      <c r="DD7" s="11"/>
      <c r="DE7" s="11">
        <v>1</v>
      </c>
      <c r="DH7">
        <v>0</v>
      </c>
      <c r="DI7" s="11"/>
      <c r="DJ7" s="11">
        <v>1</v>
      </c>
      <c r="DK7" s="11"/>
      <c r="DL7" s="11">
        <v>1</v>
      </c>
      <c r="DP7" s="11"/>
      <c r="DQ7" s="11"/>
      <c r="DR7" s="11"/>
      <c r="DS7" s="11"/>
      <c r="DW7" s="11"/>
      <c r="DX7" s="11"/>
      <c r="DY7" s="11"/>
      <c r="DZ7" s="11"/>
      <c r="ED7" s="11"/>
      <c r="EE7" s="11"/>
      <c r="EF7" s="11"/>
      <c r="EG7" s="11"/>
      <c r="EK7" s="11"/>
      <c r="EL7" s="11"/>
      <c r="EM7" s="11"/>
      <c r="EN7" s="11"/>
      <c r="ER7" s="11"/>
      <c r="ES7" s="11"/>
      <c r="ET7" s="11"/>
      <c r="EU7" s="11"/>
      <c r="EY7" s="11"/>
      <c r="EZ7" s="11"/>
      <c r="FA7" s="11"/>
      <c r="FB7" s="11"/>
      <c r="FF7" s="11"/>
      <c r="FG7" s="11"/>
      <c r="FH7" s="11"/>
      <c r="FI7" s="11"/>
      <c r="FM7" s="11"/>
      <c r="FN7" s="11"/>
      <c r="FO7" s="11"/>
      <c r="FP7" s="11"/>
      <c r="FT7" s="11"/>
      <c r="FU7" s="11"/>
      <c r="FV7" s="11"/>
      <c r="FW7" s="11"/>
      <c r="GA7" s="11"/>
      <c r="GB7" s="11"/>
      <c r="GC7" s="11"/>
      <c r="GD7" s="11"/>
    </row>
    <row r="8" spans="2:187" outlineLevel="1" x14ac:dyDescent="0.2">
      <c r="B8" t="s">
        <v>28</v>
      </c>
      <c r="E8" s="10"/>
      <c r="F8" t="s">
        <v>91</v>
      </c>
      <c r="G8" s="11">
        <v>0.06</v>
      </c>
      <c r="I8" s="10">
        <f t="shared" si="1"/>
        <v>10</v>
      </c>
      <c r="J8" s="12">
        <f t="shared" si="0"/>
        <v>0</v>
      </c>
      <c r="K8" s="12">
        <f t="shared" si="0"/>
        <v>0</v>
      </c>
      <c r="L8" s="10"/>
      <c r="O8" s="11"/>
      <c r="P8" s="11"/>
      <c r="Q8" s="11"/>
      <c r="R8" s="11"/>
      <c r="V8" s="11"/>
      <c r="W8" s="11"/>
      <c r="X8" s="11"/>
      <c r="Y8" s="11"/>
      <c r="AC8" s="11"/>
      <c r="AD8" s="11"/>
      <c r="AE8" s="11"/>
      <c r="AF8" s="11"/>
      <c r="AI8">
        <v>10</v>
      </c>
      <c r="AJ8" s="11"/>
      <c r="AK8" s="11">
        <v>1</v>
      </c>
      <c r="AL8" s="11"/>
      <c r="AM8" s="11">
        <v>1</v>
      </c>
      <c r="AP8">
        <v>0</v>
      </c>
      <c r="AQ8" s="11"/>
      <c r="AR8" s="11">
        <v>1</v>
      </c>
      <c r="AS8" s="11"/>
      <c r="AT8" s="11">
        <v>1</v>
      </c>
      <c r="AW8">
        <v>0</v>
      </c>
      <c r="AX8" s="11"/>
      <c r="AY8" s="11">
        <v>1</v>
      </c>
      <c r="AZ8" s="11"/>
      <c r="BA8" s="11">
        <v>1</v>
      </c>
      <c r="BD8">
        <v>0</v>
      </c>
      <c r="BE8" s="11"/>
      <c r="BF8" s="11">
        <v>1</v>
      </c>
      <c r="BG8" s="11"/>
      <c r="BH8" s="11">
        <v>1</v>
      </c>
      <c r="BK8">
        <v>0</v>
      </c>
      <c r="BL8" s="11"/>
      <c r="BM8" s="11">
        <v>1</v>
      </c>
      <c r="BN8" s="11"/>
      <c r="BO8" s="11">
        <v>1</v>
      </c>
      <c r="BR8">
        <v>0</v>
      </c>
      <c r="BS8" s="11"/>
      <c r="BT8" s="11">
        <v>1</v>
      </c>
      <c r="BU8" s="11"/>
      <c r="BV8" s="11">
        <v>1</v>
      </c>
      <c r="BY8">
        <v>0</v>
      </c>
      <c r="BZ8" s="11"/>
      <c r="CA8" s="11">
        <v>1</v>
      </c>
      <c r="CB8" s="11"/>
      <c r="CC8" s="11">
        <v>1</v>
      </c>
      <c r="CF8">
        <v>0</v>
      </c>
      <c r="CG8" s="11"/>
      <c r="CH8" s="11">
        <v>1</v>
      </c>
      <c r="CI8" s="11"/>
      <c r="CJ8" s="11">
        <v>1</v>
      </c>
      <c r="CM8">
        <v>0</v>
      </c>
      <c r="CN8" s="11"/>
      <c r="CO8" s="11">
        <v>1</v>
      </c>
      <c r="CP8" s="11"/>
      <c r="CQ8" s="11">
        <v>1</v>
      </c>
      <c r="CT8">
        <v>0</v>
      </c>
      <c r="CU8" s="11"/>
      <c r="CV8" s="11">
        <v>1</v>
      </c>
      <c r="CW8" s="11"/>
      <c r="CX8" s="11">
        <v>1</v>
      </c>
      <c r="DA8">
        <v>0</v>
      </c>
      <c r="DB8" s="11"/>
      <c r="DC8" s="11">
        <v>1</v>
      </c>
      <c r="DD8" s="11"/>
      <c r="DE8" s="11">
        <v>1</v>
      </c>
      <c r="DH8">
        <v>0</v>
      </c>
      <c r="DI8" s="11"/>
      <c r="DJ8" s="11">
        <v>1</v>
      </c>
      <c r="DK8" s="11"/>
      <c r="DL8" s="11">
        <v>1</v>
      </c>
      <c r="DP8" s="11"/>
      <c r="DQ8" s="11"/>
      <c r="DR8" s="11"/>
      <c r="DS8" s="11"/>
      <c r="DW8" s="11"/>
      <c r="DX8" s="11"/>
      <c r="DY8" s="11"/>
      <c r="DZ8" s="11"/>
      <c r="ED8" s="11"/>
      <c r="EE8" s="11"/>
      <c r="EF8" s="11"/>
      <c r="EG8" s="11"/>
      <c r="EK8" s="11"/>
      <c r="EL8" s="11"/>
      <c r="EM8" s="11"/>
      <c r="EN8" s="11"/>
      <c r="ER8" s="11"/>
      <c r="ES8" s="11"/>
      <c r="ET8" s="11"/>
      <c r="EU8" s="11"/>
      <c r="EY8" s="11"/>
      <c r="EZ8" s="11"/>
      <c r="FA8" s="11"/>
      <c r="FB8" s="11"/>
      <c r="FF8" s="11"/>
      <c r="FG8" s="11"/>
      <c r="FH8" s="11"/>
      <c r="FI8" s="11"/>
      <c r="FM8" s="11"/>
      <c r="FN8" s="11"/>
      <c r="FO8" s="11"/>
      <c r="FP8" s="11"/>
      <c r="FT8" s="11"/>
      <c r="FU8" s="11"/>
      <c r="FV8" s="11"/>
      <c r="FW8" s="11"/>
      <c r="GA8" s="11"/>
      <c r="GB8" s="11"/>
      <c r="GC8" s="11"/>
      <c r="GD8" s="11"/>
    </row>
    <row r="9" spans="2:187" outlineLevel="1" x14ac:dyDescent="0.2">
      <c r="B9" t="s">
        <v>28</v>
      </c>
      <c r="E9" s="10"/>
      <c r="F9" t="s">
        <v>92</v>
      </c>
      <c r="G9" s="11">
        <v>7.0000000000000007E-2</v>
      </c>
      <c r="I9" s="10">
        <f t="shared" si="1"/>
        <v>10</v>
      </c>
      <c r="J9" s="12">
        <f t="shared" si="0"/>
        <v>0</v>
      </c>
      <c r="K9" s="12">
        <f t="shared" si="0"/>
        <v>0</v>
      </c>
      <c r="L9" s="10"/>
      <c r="O9" s="11"/>
      <c r="P9" s="11"/>
      <c r="Q9" s="11"/>
      <c r="R9" s="11"/>
      <c r="V9" s="11"/>
      <c r="W9" s="11"/>
      <c r="X9" s="11"/>
      <c r="Y9" s="11"/>
      <c r="AC9" s="11"/>
      <c r="AD9" s="11"/>
      <c r="AE9" s="11"/>
      <c r="AF9" s="11"/>
      <c r="AJ9" s="11"/>
      <c r="AK9" s="11"/>
      <c r="AL9" s="11"/>
      <c r="AM9" s="11"/>
      <c r="AP9">
        <v>10</v>
      </c>
      <c r="AQ9" s="11"/>
      <c r="AR9" s="11">
        <v>1</v>
      </c>
      <c r="AS9" s="11"/>
      <c r="AT9" s="11">
        <v>1</v>
      </c>
      <c r="AW9">
        <v>0</v>
      </c>
      <c r="AX9" s="11"/>
      <c r="AY9" s="11">
        <v>1</v>
      </c>
      <c r="AZ9" s="11"/>
      <c r="BA9" s="11">
        <v>1</v>
      </c>
      <c r="BD9">
        <v>0</v>
      </c>
      <c r="BE9" s="11"/>
      <c r="BF9" s="11">
        <v>1</v>
      </c>
      <c r="BG9" s="11"/>
      <c r="BH9" s="11">
        <v>1</v>
      </c>
      <c r="BK9">
        <v>0</v>
      </c>
      <c r="BL9" s="11"/>
      <c r="BM9" s="11">
        <v>1</v>
      </c>
      <c r="BN9" s="11"/>
      <c r="BO9" s="11">
        <v>1</v>
      </c>
      <c r="BR9">
        <v>0</v>
      </c>
      <c r="BS9" s="11"/>
      <c r="BT9" s="11">
        <v>1</v>
      </c>
      <c r="BU9" s="11"/>
      <c r="BV9" s="11">
        <v>1</v>
      </c>
      <c r="BY9">
        <v>0</v>
      </c>
      <c r="BZ9" s="11"/>
      <c r="CA9" s="11">
        <v>1</v>
      </c>
      <c r="CB9" s="11"/>
      <c r="CC9" s="11">
        <v>1</v>
      </c>
      <c r="CF9">
        <v>0</v>
      </c>
      <c r="CG9" s="11"/>
      <c r="CH9" s="11">
        <v>1</v>
      </c>
      <c r="CI9" s="11"/>
      <c r="CJ9" s="11">
        <v>1</v>
      </c>
      <c r="CM9">
        <v>0</v>
      </c>
      <c r="CN9" s="11"/>
      <c r="CO9" s="11">
        <v>1</v>
      </c>
      <c r="CP9" s="11"/>
      <c r="CQ9" s="11">
        <v>1</v>
      </c>
      <c r="CT9">
        <v>0</v>
      </c>
      <c r="CU9" s="11"/>
      <c r="CV9" s="11">
        <v>1</v>
      </c>
      <c r="CW9" s="11"/>
      <c r="CX9" s="11">
        <v>1</v>
      </c>
      <c r="DA9">
        <v>0</v>
      </c>
      <c r="DB9" s="11"/>
      <c r="DC9" s="11">
        <v>1</v>
      </c>
      <c r="DD9" s="11"/>
      <c r="DE9" s="11">
        <v>1</v>
      </c>
      <c r="DH9">
        <v>0</v>
      </c>
      <c r="DI9" s="11"/>
      <c r="DJ9" s="11">
        <v>1</v>
      </c>
      <c r="DK9" s="11"/>
      <c r="DL9" s="11">
        <v>1</v>
      </c>
      <c r="DP9" s="11"/>
      <c r="DQ9" s="11"/>
      <c r="DR9" s="11"/>
      <c r="DS9" s="11"/>
      <c r="DW9" s="11"/>
      <c r="DX9" s="11"/>
      <c r="DY9" s="11"/>
      <c r="DZ9" s="11"/>
      <c r="ED9" s="11"/>
      <c r="EE9" s="11"/>
      <c r="EF9" s="11"/>
      <c r="EG9" s="11"/>
      <c r="EK9" s="11"/>
      <c r="EL9" s="11"/>
      <c r="EM9" s="11"/>
      <c r="EN9" s="11"/>
      <c r="ER9" s="11"/>
      <c r="ES9" s="11"/>
      <c r="ET9" s="11"/>
      <c r="EU9" s="11"/>
      <c r="EY9" s="11"/>
      <c r="EZ9" s="11"/>
      <c r="FA9" s="11"/>
      <c r="FB9" s="11"/>
      <c r="FF9" s="11"/>
      <c r="FG9" s="11"/>
      <c r="FH9" s="11"/>
      <c r="FI9" s="11"/>
      <c r="FM9" s="11"/>
      <c r="FN9" s="11"/>
      <c r="FO9" s="11"/>
      <c r="FP9" s="11"/>
      <c r="FT9" s="11"/>
      <c r="FU9" s="11"/>
      <c r="FV9" s="11"/>
      <c r="FW9" s="11"/>
      <c r="GA9" s="11"/>
      <c r="GB9" s="11"/>
      <c r="GC9" s="11"/>
      <c r="GD9" s="11"/>
    </row>
    <row r="10" spans="2:187" outlineLevel="1" x14ac:dyDescent="0.2">
      <c r="B10" t="s">
        <v>28</v>
      </c>
      <c r="E10" s="10"/>
      <c r="F10" t="s">
        <v>93</v>
      </c>
      <c r="G10" s="11">
        <v>7.0000000000000007E-2</v>
      </c>
      <c r="I10" s="10">
        <f t="shared" si="1"/>
        <v>10</v>
      </c>
      <c r="J10" s="12">
        <f t="shared" si="0"/>
        <v>0</v>
      </c>
      <c r="K10" s="12">
        <f t="shared" si="0"/>
        <v>0</v>
      </c>
      <c r="L10" s="10"/>
      <c r="O10" s="11"/>
      <c r="P10" s="11"/>
      <c r="Q10" s="11"/>
      <c r="R10" s="11"/>
      <c r="V10" s="11"/>
      <c r="W10" s="11"/>
      <c r="X10" s="11"/>
      <c r="Y10" s="11"/>
      <c r="AC10" s="11"/>
      <c r="AD10" s="11"/>
      <c r="AE10" s="11"/>
      <c r="AF10" s="11"/>
      <c r="AJ10" s="11"/>
      <c r="AK10" s="11"/>
      <c r="AL10" s="11"/>
      <c r="AM10" s="11"/>
      <c r="AQ10" s="11"/>
      <c r="AR10" s="11"/>
      <c r="AS10" s="11"/>
      <c r="AT10" s="11"/>
      <c r="AW10">
        <v>10</v>
      </c>
      <c r="AX10" s="11"/>
      <c r="AY10" s="11">
        <v>1</v>
      </c>
      <c r="AZ10" s="11"/>
      <c r="BA10" s="11">
        <v>1</v>
      </c>
      <c r="BD10">
        <v>0</v>
      </c>
      <c r="BE10" s="11"/>
      <c r="BF10" s="11">
        <v>1</v>
      </c>
      <c r="BG10" s="11"/>
      <c r="BH10" s="11">
        <v>1</v>
      </c>
      <c r="BK10">
        <v>0</v>
      </c>
      <c r="BL10" s="11"/>
      <c r="BM10" s="11">
        <v>1</v>
      </c>
      <c r="BN10" s="11"/>
      <c r="BO10" s="11">
        <v>1</v>
      </c>
      <c r="BR10">
        <v>0</v>
      </c>
      <c r="BS10" s="11"/>
      <c r="BT10" s="11">
        <v>1</v>
      </c>
      <c r="BU10" s="11"/>
      <c r="BV10" s="11">
        <v>1</v>
      </c>
      <c r="BY10">
        <v>0</v>
      </c>
      <c r="BZ10" s="11"/>
      <c r="CA10" s="11">
        <v>1</v>
      </c>
      <c r="CB10" s="11"/>
      <c r="CC10" s="11">
        <v>1</v>
      </c>
      <c r="CF10">
        <v>0</v>
      </c>
      <c r="CG10" s="11"/>
      <c r="CH10" s="11">
        <v>1</v>
      </c>
      <c r="CI10" s="11"/>
      <c r="CJ10" s="11">
        <v>1</v>
      </c>
      <c r="CM10">
        <v>0</v>
      </c>
      <c r="CN10" s="11"/>
      <c r="CO10" s="11">
        <v>1</v>
      </c>
      <c r="CP10" s="11"/>
      <c r="CQ10" s="11">
        <v>1</v>
      </c>
      <c r="CT10">
        <v>0</v>
      </c>
      <c r="CU10" s="11"/>
      <c r="CV10" s="11">
        <v>1</v>
      </c>
      <c r="CW10" s="11"/>
      <c r="CX10" s="11">
        <v>1</v>
      </c>
      <c r="DA10">
        <v>0</v>
      </c>
      <c r="DB10" s="11"/>
      <c r="DC10" s="11">
        <v>1</v>
      </c>
      <c r="DD10" s="11"/>
      <c r="DE10" s="11">
        <v>1</v>
      </c>
      <c r="DH10">
        <v>0</v>
      </c>
      <c r="DI10" s="11"/>
      <c r="DJ10" s="11">
        <v>1</v>
      </c>
      <c r="DK10" s="11"/>
      <c r="DL10" s="11">
        <v>1</v>
      </c>
      <c r="DP10" s="11"/>
      <c r="DQ10" s="11"/>
      <c r="DR10" s="11"/>
      <c r="DS10" s="11"/>
      <c r="DW10" s="11"/>
      <c r="DX10" s="11"/>
      <c r="DY10" s="11"/>
      <c r="DZ10" s="11"/>
      <c r="ED10" s="11"/>
      <c r="EE10" s="11"/>
      <c r="EF10" s="11"/>
      <c r="EG10" s="11"/>
      <c r="EK10" s="11"/>
      <c r="EL10" s="11"/>
      <c r="EM10" s="11"/>
      <c r="EN10" s="11"/>
      <c r="ER10" s="11"/>
      <c r="ES10" s="11"/>
      <c r="ET10" s="11"/>
      <c r="EU10" s="11"/>
      <c r="EY10" s="11"/>
      <c r="EZ10" s="11"/>
      <c r="FA10" s="11"/>
      <c r="FB10" s="11"/>
      <c r="FF10" s="11"/>
      <c r="FG10" s="11"/>
      <c r="FH10" s="11"/>
      <c r="FI10" s="11"/>
      <c r="FM10" s="11"/>
      <c r="FN10" s="11"/>
      <c r="FO10" s="11"/>
      <c r="FP10" s="11"/>
      <c r="FT10" s="11"/>
      <c r="FU10" s="11"/>
      <c r="FV10" s="11"/>
      <c r="FW10" s="11"/>
      <c r="GA10" s="11"/>
      <c r="GB10" s="11"/>
      <c r="GC10" s="11"/>
      <c r="GD10" s="11"/>
    </row>
    <row r="11" spans="2:187" outlineLevel="1" x14ac:dyDescent="0.2">
      <c r="B11" t="s">
        <v>28</v>
      </c>
      <c r="E11" s="10"/>
      <c r="F11" t="s">
        <v>94</v>
      </c>
      <c r="G11" s="11">
        <v>0.06</v>
      </c>
      <c r="I11" s="10">
        <f t="shared" si="1"/>
        <v>10</v>
      </c>
      <c r="J11" s="12">
        <f t="shared" si="0"/>
        <v>0</v>
      </c>
      <c r="K11" s="12">
        <f t="shared" si="0"/>
        <v>0</v>
      </c>
      <c r="L11" s="10"/>
      <c r="O11" s="11"/>
      <c r="P11" s="11"/>
      <c r="Q11" s="11"/>
      <c r="R11" s="11"/>
      <c r="V11" s="11"/>
      <c r="W11" s="11"/>
      <c r="X11" s="11"/>
      <c r="Y11" s="11"/>
      <c r="AC11" s="11"/>
      <c r="AD11" s="11"/>
      <c r="AE11" s="11"/>
      <c r="AF11" s="11"/>
      <c r="AJ11" s="11"/>
      <c r="AK11" s="11"/>
      <c r="AL11" s="11"/>
      <c r="AM11" s="11"/>
      <c r="AQ11" s="11"/>
      <c r="AR11" s="11"/>
      <c r="AS11" s="11"/>
      <c r="AT11" s="11"/>
      <c r="AX11" s="11"/>
      <c r="AY11" s="11"/>
      <c r="AZ11" s="11"/>
      <c r="BA11" s="11"/>
      <c r="BD11">
        <v>10</v>
      </c>
      <c r="BE11" s="11"/>
      <c r="BF11" s="11">
        <v>1</v>
      </c>
      <c r="BG11" s="11"/>
      <c r="BH11" s="11">
        <v>1</v>
      </c>
      <c r="BK11">
        <v>0</v>
      </c>
      <c r="BL11" s="11"/>
      <c r="BM11" s="11">
        <v>1</v>
      </c>
      <c r="BN11" s="11"/>
      <c r="BO11" s="11">
        <v>1</v>
      </c>
      <c r="BR11">
        <v>0</v>
      </c>
      <c r="BS11" s="11"/>
      <c r="BT11" s="11">
        <v>1</v>
      </c>
      <c r="BU11" s="11"/>
      <c r="BV11" s="11">
        <v>1</v>
      </c>
      <c r="BY11">
        <v>0</v>
      </c>
      <c r="BZ11" s="11"/>
      <c r="CA11" s="11">
        <v>1</v>
      </c>
      <c r="CB11" s="11"/>
      <c r="CC11" s="11">
        <v>1</v>
      </c>
      <c r="CF11">
        <v>0</v>
      </c>
      <c r="CG11" s="11"/>
      <c r="CH11" s="11">
        <v>1</v>
      </c>
      <c r="CI11" s="11"/>
      <c r="CJ11" s="11">
        <v>1</v>
      </c>
      <c r="CM11">
        <v>0</v>
      </c>
      <c r="CN11" s="11"/>
      <c r="CO11" s="11">
        <v>1</v>
      </c>
      <c r="CP11" s="11"/>
      <c r="CQ11" s="11">
        <v>1</v>
      </c>
      <c r="CT11">
        <v>0</v>
      </c>
      <c r="CU11" s="11"/>
      <c r="CV11" s="11">
        <v>1</v>
      </c>
      <c r="CW11" s="11"/>
      <c r="CX11" s="11">
        <v>1</v>
      </c>
      <c r="DA11">
        <v>0</v>
      </c>
      <c r="DB11" s="11"/>
      <c r="DC11" s="11">
        <v>1</v>
      </c>
      <c r="DD11" s="11"/>
      <c r="DE11" s="11">
        <v>1</v>
      </c>
      <c r="DH11">
        <v>0</v>
      </c>
      <c r="DI11" s="11"/>
      <c r="DJ11" s="11">
        <v>1</v>
      </c>
      <c r="DK11" s="11"/>
      <c r="DL11" s="11">
        <v>1</v>
      </c>
      <c r="DP11" s="11"/>
      <c r="DQ11" s="11"/>
      <c r="DR11" s="11"/>
      <c r="DS11" s="11"/>
      <c r="DW11" s="11"/>
      <c r="DX11" s="11"/>
      <c r="DY11" s="11"/>
      <c r="DZ11" s="11"/>
      <c r="ED11" s="11"/>
      <c r="EE11" s="11"/>
      <c r="EF11" s="11"/>
      <c r="EG11" s="11"/>
      <c r="EK11" s="11"/>
      <c r="EL11" s="11"/>
      <c r="EM11" s="11"/>
      <c r="EN11" s="11"/>
      <c r="ER11" s="11"/>
      <c r="ES11" s="11"/>
      <c r="ET11" s="11"/>
      <c r="EU11" s="11"/>
      <c r="EY11" s="11"/>
      <c r="EZ11" s="11"/>
      <c r="FA11" s="11"/>
      <c r="FB11" s="11"/>
      <c r="FF11" s="11"/>
      <c r="FG11" s="11"/>
      <c r="FH11" s="11"/>
      <c r="FI11" s="11"/>
      <c r="FM11" s="11"/>
      <c r="FN11" s="11"/>
      <c r="FO11" s="11"/>
      <c r="FP11" s="11"/>
      <c r="FT11" s="11"/>
      <c r="FU11" s="11"/>
      <c r="FV11" s="11"/>
      <c r="FW11" s="11"/>
      <c r="GA11" s="11"/>
      <c r="GB11" s="11"/>
      <c r="GC11" s="11"/>
      <c r="GD11" s="11"/>
    </row>
    <row r="12" spans="2:187" outlineLevel="1" x14ac:dyDescent="0.2">
      <c r="B12" t="s">
        <v>28</v>
      </c>
      <c r="E12" s="10"/>
      <c r="F12" t="s">
        <v>95</v>
      </c>
      <c r="G12" s="11">
        <v>0.06</v>
      </c>
      <c r="I12" s="10">
        <f t="shared" si="1"/>
        <v>10</v>
      </c>
      <c r="J12" s="12">
        <f t="shared" si="0"/>
        <v>0</v>
      </c>
      <c r="K12" s="12">
        <f t="shared" si="0"/>
        <v>0</v>
      </c>
      <c r="L12" s="10"/>
      <c r="O12" s="11"/>
      <c r="P12" s="11"/>
      <c r="Q12" s="11"/>
      <c r="R12" s="11"/>
      <c r="V12" s="11"/>
      <c r="W12" s="11"/>
      <c r="X12" s="11"/>
      <c r="Y12" s="11"/>
      <c r="AC12" s="11"/>
      <c r="AD12" s="11"/>
      <c r="AE12" s="11"/>
      <c r="AF12" s="11"/>
      <c r="AJ12" s="11"/>
      <c r="AK12" s="11"/>
      <c r="AL12" s="11"/>
      <c r="AM12" s="11"/>
      <c r="AQ12" s="11"/>
      <c r="AR12" s="11"/>
      <c r="AS12" s="11"/>
      <c r="AT12" s="11"/>
      <c r="AX12" s="11"/>
      <c r="AY12" s="11"/>
      <c r="AZ12" s="11"/>
      <c r="BA12" s="11"/>
      <c r="BE12" s="11"/>
      <c r="BF12" s="11"/>
      <c r="BG12" s="11"/>
      <c r="BH12" s="11"/>
      <c r="BK12">
        <v>10</v>
      </c>
      <c r="BL12" s="11"/>
      <c r="BM12" s="11">
        <v>1</v>
      </c>
      <c r="BN12" s="11"/>
      <c r="BO12" s="11">
        <v>1</v>
      </c>
      <c r="BR12">
        <v>0</v>
      </c>
      <c r="BS12" s="11"/>
      <c r="BT12" s="11">
        <v>1</v>
      </c>
      <c r="BU12" s="11"/>
      <c r="BV12" s="11">
        <v>1</v>
      </c>
      <c r="BY12">
        <v>0</v>
      </c>
      <c r="BZ12" s="11"/>
      <c r="CA12" s="11">
        <v>1</v>
      </c>
      <c r="CB12" s="11"/>
      <c r="CC12" s="11">
        <v>1</v>
      </c>
      <c r="CF12">
        <v>0</v>
      </c>
      <c r="CG12" s="11"/>
      <c r="CH12" s="11">
        <v>1</v>
      </c>
      <c r="CI12" s="11"/>
      <c r="CJ12" s="11">
        <v>1</v>
      </c>
      <c r="CM12">
        <v>0</v>
      </c>
      <c r="CN12" s="11"/>
      <c r="CO12" s="11">
        <v>1</v>
      </c>
      <c r="CP12" s="11"/>
      <c r="CQ12" s="11">
        <v>1</v>
      </c>
      <c r="CT12">
        <v>0</v>
      </c>
      <c r="CU12" s="11"/>
      <c r="CV12" s="11">
        <v>1</v>
      </c>
      <c r="CW12" s="11"/>
      <c r="CX12" s="11">
        <v>1</v>
      </c>
      <c r="DA12">
        <v>0</v>
      </c>
      <c r="DB12" s="11"/>
      <c r="DC12" s="11">
        <v>1</v>
      </c>
      <c r="DD12" s="11"/>
      <c r="DE12" s="11">
        <v>1</v>
      </c>
      <c r="DH12">
        <v>0</v>
      </c>
      <c r="DI12" s="11"/>
      <c r="DJ12" s="11">
        <v>1</v>
      </c>
      <c r="DK12" s="11"/>
      <c r="DL12" s="11">
        <v>1</v>
      </c>
      <c r="DP12" s="11"/>
      <c r="DQ12" s="11"/>
      <c r="DR12" s="11"/>
      <c r="DS12" s="11"/>
      <c r="DW12" s="11"/>
      <c r="DX12" s="11"/>
      <c r="DY12" s="11"/>
      <c r="DZ12" s="11"/>
      <c r="ED12" s="11"/>
      <c r="EE12" s="11"/>
      <c r="EF12" s="11"/>
      <c r="EG12" s="11"/>
      <c r="EK12" s="11"/>
      <c r="EL12" s="11"/>
      <c r="EM12" s="11"/>
      <c r="EN12" s="11"/>
      <c r="ER12" s="11"/>
      <c r="ES12" s="11"/>
      <c r="ET12" s="11"/>
      <c r="EU12" s="11"/>
      <c r="EY12" s="11"/>
      <c r="EZ12" s="11"/>
      <c r="FA12" s="11"/>
      <c r="FB12" s="11"/>
      <c r="FF12" s="11"/>
      <c r="FG12" s="11"/>
      <c r="FH12" s="11"/>
      <c r="FI12" s="11"/>
      <c r="FM12" s="11"/>
      <c r="FN12" s="11"/>
      <c r="FO12" s="11"/>
      <c r="FP12" s="11"/>
      <c r="FT12" s="11"/>
      <c r="FU12" s="11"/>
      <c r="FV12" s="11"/>
      <c r="FW12" s="11"/>
      <c r="GA12" s="11"/>
      <c r="GB12" s="11"/>
      <c r="GC12" s="11"/>
      <c r="GD12" s="11"/>
    </row>
    <row r="13" spans="2:187" outlineLevel="1" x14ac:dyDescent="0.2">
      <c r="B13" t="s">
        <v>28</v>
      </c>
      <c r="E13" s="10"/>
      <c r="F13" t="s">
        <v>96</v>
      </c>
      <c r="G13" s="11">
        <v>0.06</v>
      </c>
      <c r="I13" s="10">
        <f t="shared" si="1"/>
        <v>10</v>
      </c>
      <c r="J13" s="12">
        <f t="shared" si="0"/>
        <v>0</v>
      </c>
      <c r="K13" s="12">
        <f t="shared" si="0"/>
        <v>0</v>
      </c>
      <c r="L13" s="10"/>
      <c r="O13" s="11"/>
      <c r="P13" s="11"/>
      <c r="Q13" s="11"/>
      <c r="R13" s="11"/>
      <c r="V13" s="11"/>
      <c r="W13" s="11"/>
      <c r="X13" s="11"/>
      <c r="Y13" s="11"/>
      <c r="AC13" s="11"/>
      <c r="AD13" s="11"/>
      <c r="AE13" s="11"/>
      <c r="AF13" s="11"/>
      <c r="AJ13" s="11"/>
      <c r="AK13" s="11"/>
      <c r="AL13" s="11"/>
      <c r="AM13" s="11"/>
      <c r="AQ13" s="11"/>
      <c r="AR13" s="11"/>
      <c r="AS13" s="11"/>
      <c r="AT13" s="11"/>
      <c r="AX13" s="11"/>
      <c r="AY13" s="11"/>
      <c r="AZ13" s="11"/>
      <c r="BA13" s="11"/>
      <c r="BE13" s="11"/>
      <c r="BF13" s="11"/>
      <c r="BG13" s="11"/>
      <c r="BH13" s="11"/>
      <c r="BL13" s="11"/>
      <c r="BM13" s="11"/>
      <c r="BN13" s="11"/>
      <c r="BO13" s="11"/>
      <c r="BR13">
        <v>10</v>
      </c>
      <c r="BS13" s="11"/>
      <c r="BT13" s="11">
        <v>1</v>
      </c>
      <c r="BU13" s="11"/>
      <c r="BV13" s="11">
        <v>1</v>
      </c>
      <c r="BY13">
        <v>0</v>
      </c>
      <c r="BZ13" s="11"/>
      <c r="CA13" s="11">
        <v>1</v>
      </c>
      <c r="CB13" s="11"/>
      <c r="CC13" s="11">
        <v>1</v>
      </c>
      <c r="CF13">
        <v>0</v>
      </c>
      <c r="CG13" s="11"/>
      <c r="CH13" s="11">
        <v>1</v>
      </c>
      <c r="CI13" s="11"/>
      <c r="CJ13" s="11">
        <v>1</v>
      </c>
      <c r="CM13">
        <v>0</v>
      </c>
      <c r="CN13" s="11"/>
      <c r="CO13" s="11">
        <v>1</v>
      </c>
      <c r="CP13" s="11"/>
      <c r="CQ13" s="11">
        <v>1</v>
      </c>
      <c r="CT13">
        <v>0</v>
      </c>
      <c r="CU13" s="11"/>
      <c r="CV13" s="11">
        <v>1</v>
      </c>
      <c r="CW13" s="11"/>
      <c r="CX13" s="11">
        <v>1</v>
      </c>
      <c r="DA13">
        <v>0</v>
      </c>
      <c r="DB13" s="11"/>
      <c r="DC13" s="11">
        <v>1</v>
      </c>
      <c r="DD13" s="11"/>
      <c r="DE13" s="11">
        <v>1</v>
      </c>
      <c r="DH13">
        <v>0</v>
      </c>
      <c r="DI13" s="11"/>
      <c r="DJ13" s="11">
        <v>1</v>
      </c>
      <c r="DK13" s="11"/>
      <c r="DL13" s="11">
        <v>1</v>
      </c>
      <c r="DP13" s="11"/>
      <c r="DQ13" s="11"/>
      <c r="DR13" s="11"/>
      <c r="DS13" s="11"/>
      <c r="DW13" s="11"/>
      <c r="DX13" s="11"/>
      <c r="DY13" s="11"/>
      <c r="DZ13" s="11"/>
      <c r="ED13" s="11"/>
      <c r="EE13" s="11"/>
      <c r="EF13" s="11"/>
      <c r="EG13" s="11"/>
      <c r="EK13" s="11"/>
      <c r="EL13" s="11"/>
      <c r="EM13" s="11"/>
      <c r="EN13" s="11"/>
      <c r="ER13" s="11"/>
      <c r="ES13" s="11"/>
      <c r="ET13" s="11"/>
      <c r="EU13" s="11"/>
      <c r="EY13" s="11"/>
      <c r="EZ13" s="11"/>
      <c r="FA13" s="11"/>
      <c r="FB13" s="11"/>
      <c r="FF13" s="11"/>
      <c r="FG13" s="11"/>
      <c r="FH13" s="11"/>
      <c r="FI13" s="11"/>
      <c r="FM13" s="11"/>
      <c r="FN13" s="11"/>
      <c r="FO13" s="11"/>
      <c r="FP13" s="11"/>
      <c r="FT13" s="11"/>
      <c r="FU13" s="11"/>
      <c r="FV13" s="11"/>
      <c r="FW13" s="11"/>
      <c r="GA13" s="11"/>
      <c r="GB13" s="11"/>
      <c r="GC13" s="11"/>
      <c r="GD13" s="11"/>
    </row>
    <row r="14" spans="2:187" outlineLevel="1" x14ac:dyDescent="0.2">
      <c r="B14" t="s">
        <v>28</v>
      </c>
      <c r="E14" s="10"/>
      <c r="F14" t="s">
        <v>97</v>
      </c>
      <c r="G14" s="11">
        <v>0.06</v>
      </c>
      <c r="I14" s="10">
        <f t="shared" si="1"/>
        <v>10</v>
      </c>
      <c r="J14" s="12">
        <f t="shared" si="0"/>
        <v>0</v>
      </c>
      <c r="K14" s="12">
        <f t="shared" si="0"/>
        <v>0</v>
      </c>
      <c r="L14" s="10"/>
      <c r="O14" s="11"/>
      <c r="P14" s="11"/>
      <c r="Q14" s="11"/>
      <c r="R14" s="11"/>
      <c r="V14" s="11"/>
      <c r="W14" s="11"/>
      <c r="X14" s="11"/>
      <c r="Y14" s="11"/>
      <c r="AC14" s="11"/>
      <c r="AD14" s="11"/>
      <c r="AE14" s="11"/>
      <c r="AF14" s="11"/>
      <c r="AJ14" s="11"/>
      <c r="AK14" s="11"/>
      <c r="AL14" s="11"/>
      <c r="AM14" s="11"/>
      <c r="AQ14" s="11"/>
      <c r="AR14" s="11"/>
      <c r="AS14" s="11"/>
      <c r="AT14" s="11"/>
      <c r="AX14" s="11"/>
      <c r="AY14" s="11"/>
      <c r="AZ14" s="11"/>
      <c r="BA14" s="11"/>
      <c r="BE14" s="11"/>
      <c r="BF14" s="11"/>
      <c r="BG14" s="11"/>
      <c r="BH14" s="11"/>
      <c r="BL14" s="11"/>
      <c r="BM14" s="11"/>
      <c r="BN14" s="11"/>
      <c r="BO14" s="11"/>
      <c r="BS14" s="11"/>
      <c r="BT14" s="11"/>
      <c r="BU14" s="11"/>
      <c r="BV14" s="11"/>
      <c r="BY14">
        <v>10</v>
      </c>
      <c r="BZ14" s="11"/>
      <c r="CA14" s="11">
        <v>1</v>
      </c>
      <c r="CB14" s="11"/>
      <c r="CC14" s="11">
        <v>1</v>
      </c>
      <c r="CF14">
        <v>0</v>
      </c>
      <c r="CG14" s="11"/>
      <c r="CH14" s="11">
        <v>1</v>
      </c>
      <c r="CI14" s="11"/>
      <c r="CJ14" s="11">
        <v>1</v>
      </c>
      <c r="CM14">
        <v>0</v>
      </c>
      <c r="CN14" s="11"/>
      <c r="CO14" s="11">
        <v>1</v>
      </c>
      <c r="CP14" s="11"/>
      <c r="CQ14" s="11">
        <v>1</v>
      </c>
      <c r="CT14">
        <v>0</v>
      </c>
      <c r="CU14" s="11"/>
      <c r="CV14" s="11">
        <v>1</v>
      </c>
      <c r="CW14" s="11"/>
      <c r="CX14" s="11">
        <v>1</v>
      </c>
      <c r="DA14">
        <v>0</v>
      </c>
      <c r="DB14" s="11"/>
      <c r="DC14" s="11">
        <v>1</v>
      </c>
      <c r="DD14" s="11"/>
      <c r="DE14" s="11">
        <v>1</v>
      </c>
      <c r="DH14">
        <v>0</v>
      </c>
      <c r="DI14" s="11"/>
      <c r="DJ14" s="11">
        <v>1</v>
      </c>
      <c r="DK14" s="11"/>
      <c r="DL14" s="11">
        <v>1</v>
      </c>
      <c r="DP14" s="11"/>
      <c r="DQ14" s="11"/>
      <c r="DR14" s="11"/>
      <c r="DS14" s="11"/>
      <c r="DW14" s="11"/>
      <c r="DX14" s="11"/>
      <c r="DY14" s="11"/>
      <c r="DZ14" s="11"/>
      <c r="ED14" s="11"/>
      <c r="EE14" s="11"/>
      <c r="EF14" s="11"/>
      <c r="EG14" s="11"/>
      <c r="EK14" s="11"/>
      <c r="EL14" s="11"/>
      <c r="EM14" s="11"/>
      <c r="EN14" s="11"/>
      <c r="ER14" s="11"/>
      <c r="ES14" s="11"/>
      <c r="ET14" s="11"/>
      <c r="EU14" s="11"/>
      <c r="EY14" s="11"/>
      <c r="EZ14" s="11"/>
      <c r="FA14" s="11"/>
      <c r="FB14" s="11"/>
      <c r="FF14" s="11"/>
      <c r="FG14" s="11"/>
      <c r="FH14" s="11"/>
      <c r="FI14" s="11"/>
      <c r="FM14" s="11"/>
      <c r="FN14" s="11"/>
      <c r="FO14" s="11"/>
      <c r="FP14" s="11"/>
      <c r="FT14" s="11"/>
      <c r="FU14" s="11"/>
      <c r="FV14" s="11"/>
      <c r="FW14" s="11"/>
      <c r="GA14" s="11"/>
      <c r="GB14" s="11"/>
      <c r="GC14" s="11"/>
      <c r="GD14" s="11"/>
    </row>
    <row r="15" spans="2:187" outlineLevel="1" x14ac:dyDescent="0.2">
      <c r="B15" t="s">
        <v>28</v>
      </c>
      <c r="E15" s="10"/>
      <c r="F15" t="s">
        <v>98</v>
      </c>
      <c r="G15" s="11">
        <v>0.06</v>
      </c>
      <c r="I15" s="10">
        <f t="shared" si="1"/>
        <v>10</v>
      </c>
      <c r="J15" s="12">
        <f t="shared" si="0"/>
        <v>0</v>
      </c>
      <c r="K15" s="12">
        <f t="shared" si="0"/>
        <v>0</v>
      </c>
      <c r="L15" s="10"/>
      <c r="O15" s="11"/>
      <c r="P15" s="11"/>
      <c r="Q15" s="11"/>
      <c r="R15" s="11"/>
      <c r="V15" s="11"/>
      <c r="W15" s="11"/>
      <c r="X15" s="11"/>
      <c r="Y15" s="11"/>
      <c r="AC15" s="11"/>
      <c r="AD15" s="11"/>
      <c r="AE15" s="11"/>
      <c r="AF15" s="11"/>
      <c r="AJ15" s="11"/>
      <c r="AK15" s="11"/>
      <c r="AL15" s="11"/>
      <c r="AM15" s="11"/>
      <c r="AQ15" s="11"/>
      <c r="AR15" s="11"/>
      <c r="AS15" s="11"/>
      <c r="AT15" s="11"/>
      <c r="AX15" s="11"/>
      <c r="AY15" s="11"/>
      <c r="AZ15" s="11"/>
      <c r="BA15" s="11"/>
      <c r="BE15" s="11"/>
      <c r="BF15" s="11"/>
      <c r="BG15" s="11"/>
      <c r="BH15" s="11"/>
      <c r="BL15" s="11"/>
      <c r="BM15" s="11"/>
      <c r="BN15" s="11"/>
      <c r="BO15" s="11"/>
      <c r="BS15" s="11"/>
      <c r="BT15" s="11"/>
      <c r="BU15" s="11"/>
      <c r="BV15" s="11"/>
      <c r="BZ15" s="11"/>
      <c r="CA15" s="11"/>
      <c r="CB15" s="11"/>
      <c r="CC15" s="11"/>
      <c r="CF15">
        <v>10</v>
      </c>
      <c r="CG15" s="11"/>
      <c r="CH15" s="11">
        <v>1</v>
      </c>
      <c r="CI15" s="11"/>
      <c r="CJ15" s="11">
        <v>1</v>
      </c>
      <c r="CM15">
        <v>0</v>
      </c>
      <c r="CN15" s="11"/>
      <c r="CO15" s="11">
        <v>1</v>
      </c>
      <c r="CP15" s="11"/>
      <c r="CQ15" s="11">
        <v>1</v>
      </c>
      <c r="CT15">
        <v>0</v>
      </c>
      <c r="CU15" s="11"/>
      <c r="CV15" s="11">
        <v>1</v>
      </c>
      <c r="CW15" s="11"/>
      <c r="CX15" s="11">
        <v>1</v>
      </c>
      <c r="DA15">
        <v>0</v>
      </c>
      <c r="DB15" s="11"/>
      <c r="DC15" s="11">
        <v>1</v>
      </c>
      <c r="DD15" s="11"/>
      <c r="DE15" s="11">
        <v>1</v>
      </c>
      <c r="DH15">
        <v>0</v>
      </c>
      <c r="DI15" s="11"/>
      <c r="DJ15" s="11">
        <v>1</v>
      </c>
      <c r="DK15" s="11"/>
      <c r="DL15" s="11">
        <v>1</v>
      </c>
      <c r="DP15" s="11"/>
      <c r="DQ15" s="11"/>
      <c r="DR15" s="11"/>
      <c r="DS15" s="11"/>
      <c r="DW15" s="11"/>
      <c r="DX15" s="11"/>
      <c r="DY15" s="11"/>
      <c r="DZ15" s="11"/>
      <c r="ED15" s="11"/>
      <c r="EE15" s="11"/>
      <c r="EF15" s="11"/>
      <c r="EG15" s="11"/>
      <c r="EK15" s="11"/>
      <c r="EL15" s="11"/>
      <c r="EM15" s="11"/>
      <c r="EN15" s="11"/>
      <c r="ER15" s="11"/>
      <c r="ES15" s="11"/>
      <c r="ET15" s="11"/>
      <c r="EU15" s="11"/>
      <c r="EY15" s="11"/>
      <c r="EZ15" s="11"/>
      <c r="FA15" s="11"/>
      <c r="FB15" s="11"/>
      <c r="FF15" s="11"/>
      <c r="FG15" s="11"/>
      <c r="FH15" s="11"/>
      <c r="FI15" s="11"/>
      <c r="FM15" s="11"/>
      <c r="FN15" s="11"/>
      <c r="FO15" s="11"/>
      <c r="FP15" s="11"/>
      <c r="FT15" s="11"/>
      <c r="FU15" s="11"/>
      <c r="FV15" s="11"/>
      <c r="FW15" s="11"/>
      <c r="GA15" s="11"/>
      <c r="GB15" s="11"/>
      <c r="GC15" s="11"/>
      <c r="GD15" s="11"/>
    </row>
    <row r="16" spans="2:187" outlineLevel="1" x14ac:dyDescent="0.2">
      <c r="B16" t="s">
        <v>28</v>
      </c>
      <c r="E16" s="10"/>
      <c r="F16" t="s">
        <v>99</v>
      </c>
      <c r="G16" s="11">
        <v>0.06</v>
      </c>
      <c r="I16" s="10">
        <f>+SUMIF($N$3:$ZZ$3,I$3,$N16:$ZZ16)</f>
        <v>10</v>
      </c>
      <c r="J16" s="12">
        <f t="shared" si="0"/>
        <v>0</v>
      </c>
      <c r="K16" s="12">
        <f t="shared" si="0"/>
        <v>0</v>
      </c>
      <c r="L16" s="10"/>
      <c r="O16" s="11"/>
      <c r="P16" s="11"/>
      <c r="Q16" s="11"/>
      <c r="R16" s="11"/>
      <c r="V16" s="11"/>
      <c r="W16" s="11"/>
      <c r="X16" s="11"/>
      <c r="Y16" s="11"/>
      <c r="AC16" s="11"/>
      <c r="AD16" s="11"/>
      <c r="AE16" s="11"/>
      <c r="AF16" s="11"/>
      <c r="AJ16" s="11"/>
      <c r="AK16" s="11"/>
      <c r="AL16" s="11"/>
      <c r="AM16" s="11"/>
      <c r="AQ16" s="11"/>
      <c r="AR16" s="11"/>
      <c r="AS16" s="11"/>
      <c r="AT16" s="11"/>
      <c r="AX16" s="11"/>
      <c r="AY16" s="11"/>
      <c r="AZ16" s="11"/>
      <c r="BA16" s="11"/>
      <c r="BE16" s="11"/>
      <c r="BF16" s="11"/>
      <c r="BG16" s="11"/>
      <c r="BH16" s="11"/>
      <c r="BL16" s="11"/>
      <c r="BM16" s="11"/>
      <c r="BN16" s="11"/>
      <c r="BO16" s="11"/>
      <c r="BS16" s="11"/>
      <c r="BT16" s="11"/>
      <c r="BU16" s="11"/>
      <c r="BV16" s="11"/>
      <c r="BZ16" s="11"/>
      <c r="CA16" s="11"/>
      <c r="CB16" s="11"/>
      <c r="CC16" s="11"/>
      <c r="CG16" s="11"/>
      <c r="CH16" s="11"/>
      <c r="CI16" s="11"/>
      <c r="CJ16" s="11"/>
      <c r="CM16">
        <v>10</v>
      </c>
      <c r="CN16" s="11"/>
      <c r="CO16" s="11">
        <v>1</v>
      </c>
      <c r="CP16" s="11"/>
      <c r="CQ16" s="11">
        <v>1</v>
      </c>
      <c r="CT16">
        <v>0</v>
      </c>
      <c r="CU16" s="11"/>
      <c r="CV16" s="11">
        <v>1</v>
      </c>
      <c r="CW16" s="11"/>
      <c r="CX16" s="11">
        <v>1</v>
      </c>
      <c r="DA16">
        <v>0</v>
      </c>
      <c r="DB16" s="11"/>
      <c r="DC16" s="11">
        <v>1</v>
      </c>
      <c r="DD16" s="11"/>
      <c r="DE16" s="11">
        <v>1</v>
      </c>
      <c r="DH16">
        <v>0</v>
      </c>
      <c r="DI16" s="11"/>
      <c r="DJ16" s="11">
        <v>1</v>
      </c>
      <c r="DK16" s="11"/>
      <c r="DL16" s="11">
        <v>1</v>
      </c>
      <c r="DP16" s="11"/>
      <c r="DQ16" s="11"/>
      <c r="DR16" s="11"/>
      <c r="DS16" s="11"/>
      <c r="DW16" s="11"/>
      <c r="DX16" s="11"/>
      <c r="DY16" s="11"/>
      <c r="DZ16" s="11"/>
      <c r="ED16" s="11"/>
      <c r="EE16" s="11"/>
      <c r="EF16" s="11"/>
      <c r="EG16" s="11"/>
      <c r="EK16" s="11"/>
      <c r="EL16" s="11"/>
      <c r="EM16" s="11"/>
      <c r="EN16" s="11"/>
      <c r="ER16" s="11"/>
      <c r="ES16" s="11"/>
      <c r="ET16" s="11"/>
      <c r="EU16" s="11"/>
      <c r="EY16" s="11"/>
      <c r="EZ16" s="11"/>
      <c r="FA16" s="11"/>
      <c r="FB16" s="11"/>
      <c r="FF16" s="11"/>
      <c r="FG16" s="11"/>
      <c r="FH16" s="11"/>
      <c r="FI16" s="11"/>
      <c r="FM16" s="11"/>
      <c r="FN16" s="11"/>
      <c r="FO16" s="11"/>
      <c r="FP16" s="11"/>
      <c r="FT16" s="11"/>
      <c r="FU16" s="11"/>
      <c r="FV16" s="11"/>
      <c r="FW16" s="11"/>
      <c r="GA16" s="11"/>
      <c r="GB16" s="11"/>
      <c r="GC16" s="11"/>
      <c r="GD16" s="11"/>
    </row>
    <row r="17" spans="2:186" outlineLevel="1" x14ac:dyDescent="0.2">
      <c r="B17" t="s">
        <v>28</v>
      </c>
      <c r="E17" s="10"/>
      <c r="F17" t="s">
        <v>100</v>
      </c>
      <c r="G17" s="11">
        <v>0.08</v>
      </c>
      <c r="I17" s="10">
        <f t="shared" si="1"/>
        <v>10</v>
      </c>
      <c r="J17" s="12">
        <f t="shared" si="0"/>
        <v>0</v>
      </c>
      <c r="K17" s="12">
        <f t="shared" si="0"/>
        <v>0</v>
      </c>
      <c r="L17" s="10"/>
      <c r="O17" s="11"/>
      <c r="P17" s="11"/>
      <c r="Q17" s="11"/>
      <c r="R17" s="11"/>
      <c r="V17" s="11"/>
      <c r="W17" s="11"/>
      <c r="X17" s="11"/>
      <c r="Y17" s="11"/>
      <c r="AC17" s="11"/>
      <c r="AD17" s="11"/>
      <c r="AE17" s="11"/>
      <c r="AF17" s="11"/>
      <c r="AJ17" s="11"/>
      <c r="AK17" s="11"/>
      <c r="AL17" s="11"/>
      <c r="AM17" s="11"/>
      <c r="AQ17" s="11"/>
      <c r="AR17" s="11"/>
      <c r="AS17" s="11"/>
      <c r="AT17" s="11"/>
      <c r="AX17" s="11"/>
      <c r="AY17" s="11"/>
      <c r="AZ17" s="11"/>
      <c r="BA17" s="11"/>
      <c r="BE17" s="11"/>
      <c r="BF17" s="11"/>
      <c r="BG17" s="11"/>
      <c r="BH17" s="11"/>
      <c r="BL17" s="11"/>
      <c r="BM17" s="11"/>
      <c r="BN17" s="11"/>
      <c r="BO17" s="11"/>
      <c r="BS17" s="11"/>
      <c r="BT17" s="11"/>
      <c r="BU17" s="11"/>
      <c r="BV17" s="11"/>
      <c r="BZ17" s="11"/>
      <c r="CA17" s="11"/>
      <c r="CB17" s="11"/>
      <c r="CC17" s="11"/>
      <c r="CG17" s="11"/>
      <c r="CH17" s="11"/>
      <c r="CI17" s="11"/>
      <c r="CJ17" s="11"/>
      <c r="CN17" s="11"/>
      <c r="CO17" s="11"/>
      <c r="CP17" s="11"/>
      <c r="CQ17" s="11"/>
      <c r="CT17">
        <v>10</v>
      </c>
      <c r="CU17" s="11"/>
      <c r="CV17" s="11">
        <v>1</v>
      </c>
      <c r="CW17" s="11"/>
      <c r="CX17" s="11">
        <v>1</v>
      </c>
      <c r="DA17">
        <v>0</v>
      </c>
      <c r="DB17" s="11"/>
      <c r="DC17" s="11">
        <v>1</v>
      </c>
      <c r="DD17" s="11"/>
      <c r="DE17" s="11">
        <v>1</v>
      </c>
      <c r="DH17">
        <v>0</v>
      </c>
      <c r="DI17" s="11"/>
      <c r="DJ17" s="11">
        <v>1</v>
      </c>
      <c r="DK17" s="11"/>
      <c r="DL17" s="11">
        <v>1</v>
      </c>
      <c r="DP17" s="11"/>
      <c r="DQ17" s="11"/>
      <c r="DR17" s="11"/>
      <c r="DS17" s="11"/>
      <c r="DW17" s="11"/>
      <c r="DX17" s="11"/>
      <c r="DY17" s="11"/>
      <c r="DZ17" s="11"/>
      <c r="ED17" s="11"/>
      <c r="EE17" s="11"/>
      <c r="EF17" s="11"/>
      <c r="EG17" s="11"/>
      <c r="EK17" s="11"/>
      <c r="EL17" s="11"/>
      <c r="EM17" s="11"/>
      <c r="EN17" s="11"/>
      <c r="ER17" s="11"/>
      <c r="ES17" s="11"/>
      <c r="ET17" s="11"/>
      <c r="EU17" s="11"/>
      <c r="EY17" s="11"/>
      <c r="EZ17" s="11"/>
      <c r="FA17" s="11"/>
      <c r="FB17" s="11"/>
      <c r="FF17" s="11"/>
      <c r="FG17" s="11"/>
      <c r="FH17" s="11"/>
      <c r="FI17" s="11"/>
      <c r="FM17" s="11"/>
      <c r="FN17" s="11"/>
      <c r="FO17" s="11"/>
      <c r="FP17" s="11"/>
      <c r="FT17" s="11"/>
      <c r="FU17" s="11"/>
      <c r="FV17" s="11"/>
      <c r="FW17" s="11"/>
      <c r="GA17" s="11"/>
      <c r="GB17" s="11"/>
      <c r="GC17" s="11"/>
      <c r="GD17" s="11"/>
    </row>
    <row r="18" spans="2:186" outlineLevel="1" x14ac:dyDescent="0.2">
      <c r="B18" t="s">
        <v>28</v>
      </c>
      <c r="E18" s="10"/>
      <c r="F18" t="s">
        <v>101</v>
      </c>
      <c r="G18" s="11">
        <v>0.08</v>
      </c>
      <c r="I18" s="10">
        <f t="shared" si="1"/>
        <v>10</v>
      </c>
      <c r="J18" s="12">
        <f t="shared" si="0"/>
        <v>0</v>
      </c>
      <c r="K18" s="12">
        <f t="shared" si="0"/>
        <v>0</v>
      </c>
      <c r="L18" s="10"/>
      <c r="O18" s="11"/>
      <c r="P18" s="11"/>
      <c r="Q18" s="11"/>
      <c r="R18" s="11"/>
      <c r="V18" s="11"/>
      <c r="W18" s="11"/>
      <c r="X18" s="11"/>
      <c r="Y18" s="11"/>
      <c r="AC18" s="11"/>
      <c r="AD18" s="11"/>
      <c r="AE18" s="11"/>
      <c r="AF18" s="11"/>
      <c r="AJ18" s="11"/>
      <c r="AK18" s="11"/>
      <c r="AL18" s="11"/>
      <c r="AM18" s="11"/>
      <c r="AQ18" s="11"/>
      <c r="AR18" s="11"/>
      <c r="AS18" s="11"/>
      <c r="AT18" s="11"/>
      <c r="AX18" s="11"/>
      <c r="AY18" s="11"/>
      <c r="AZ18" s="11"/>
      <c r="BA18" s="11"/>
      <c r="BE18" s="11"/>
      <c r="BF18" s="11"/>
      <c r="BG18" s="11"/>
      <c r="BH18" s="11"/>
      <c r="BL18" s="11"/>
      <c r="BM18" s="11"/>
      <c r="BN18" s="11"/>
      <c r="BO18" s="11"/>
      <c r="BS18" s="11"/>
      <c r="BT18" s="11"/>
      <c r="BU18" s="11"/>
      <c r="BV18" s="11"/>
      <c r="BZ18" s="11"/>
      <c r="CA18" s="11"/>
      <c r="CB18" s="11"/>
      <c r="CC18" s="11"/>
      <c r="CG18" s="11"/>
      <c r="CH18" s="11"/>
      <c r="CI18" s="11"/>
      <c r="CJ18" s="11"/>
      <c r="CN18" s="11"/>
      <c r="CO18" s="11"/>
      <c r="CP18" s="11"/>
      <c r="CQ18" s="11"/>
      <c r="CU18" s="11"/>
      <c r="CV18" s="11"/>
      <c r="CW18" s="11"/>
      <c r="CX18" s="11"/>
      <c r="DA18">
        <v>10</v>
      </c>
      <c r="DB18" s="11"/>
      <c r="DC18" s="11">
        <v>1</v>
      </c>
      <c r="DD18" s="11"/>
      <c r="DE18" s="11">
        <v>1</v>
      </c>
      <c r="DH18">
        <v>0</v>
      </c>
      <c r="DI18" s="11"/>
      <c r="DJ18" s="11">
        <v>1</v>
      </c>
      <c r="DK18" s="11"/>
      <c r="DL18" s="11">
        <v>1</v>
      </c>
      <c r="DP18" s="11"/>
      <c r="DQ18" s="11"/>
      <c r="DR18" s="11"/>
      <c r="DS18" s="11"/>
      <c r="DW18" s="11"/>
      <c r="DX18" s="11"/>
      <c r="DY18" s="11"/>
      <c r="DZ18" s="11"/>
      <c r="ED18" s="11"/>
      <c r="EE18" s="11"/>
      <c r="EF18" s="11"/>
      <c r="EG18" s="11"/>
      <c r="EK18" s="11"/>
      <c r="EL18" s="11"/>
      <c r="EM18" s="11"/>
      <c r="EN18" s="11"/>
      <c r="ER18" s="11"/>
      <c r="ES18" s="11"/>
      <c r="ET18" s="11"/>
      <c r="EU18" s="11"/>
      <c r="EY18" s="11"/>
      <c r="EZ18" s="11"/>
      <c r="FA18" s="11"/>
      <c r="FB18" s="11"/>
      <c r="FF18" s="11"/>
      <c r="FG18" s="11"/>
      <c r="FH18" s="11"/>
      <c r="FI18" s="11"/>
      <c r="FM18" s="11"/>
      <c r="FN18" s="11"/>
      <c r="FO18" s="11"/>
      <c r="FP18" s="11"/>
      <c r="FT18" s="11"/>
      <c r="FU18" s="11"/>
      <c r="FV18" s="11"/>
      <c r="FW18" s="11"/>
      <c r="GA18" s="11"/>
      <c r="GB18" s="11"/>
      <c r="GC18" s="11"/>
      <c r="GD18" s="11"/>
    </row>
    <row r="19" spans="2:186" outlineLevel="1" x14ac:dyDescent="0.2">
      <c r="B19" t="s">
        <v>28</v>
      </c>
      <c r="E19" s="10"/>
      <c r="F19" t="s">
        <v>102</v>
      </c>
      <c r="G19" s="11">
        <v>0.1</v>
      </c>
      <c r="I19" s="10">
        <f>+SUMIF($N$3:$ZZ$3,I$3,$N19:$ZZ19)</f>
        <v>10</v>
      </c>
      <c r="J19" s="12">
        <f t="shared" si="0"/>
        <v>0</v>
      </c>
      <c r="K19" s="12">
        <f t="shared" si="0"/>
        <v>0</v>
      </c>
      <c r="L19" s="10"/>
      <c r="O19" s="11"/>
      <c r="P19" s="11"/>
      <c r="Q19" s="11"/>
      <c r="R19" s="11"/>
      <c r="V19" s="11"/>
      <c r="W19" s="11"/>
      <c r="X19" s="11"/>
      <c r="Y19" s="11"/>
      <c r="AC19" s="11"/>
      <c r="AD19" s="11"/>
      <c r="AE19" s="11"/>
      <c r="AF19" s="11"/>
      <c r="AJ19" s="11"/>
      <c r="AK19" s="11"/>
      <c r="AL19" s="11"/>
      <c r="AM19" s="11"/>
      <c r="AQ19" s="11"/>
      <c r="AR19" s="11"/>
      <c r="AS19" s="11"/>
      <c r="AT19" s="11"/>
      <c r="AX19" s="11"/>
      <c r="AY19" s="11"/>
      <c r="AZ19" s="11"/>
      <c r="BA19" s="11"/>
      <c r="BE19" s="11"/>
      <c r="BF19" s="11"/>
      <c r="BG19" s="11"/>
      <c r="BH19" s="11"/>
      <c r="BL19" s="11"/>
      <c r="BM19" s="11"/>
      <c r="BN19" s="11"/>
      <c r="BO19" s="11"/>
      <c r="BS19" s="11"/>
      <c r="BT19" s="11"/>
      <c r="BU19" s="11"/>
      <c r="BV19" s="11"/>
      <c r="BZ19" s="11"/>
      <c r="CA19" s="11"/>
      <c r="CB19" s="11"/>
      <c r="CC19" s="11"/>
      <c r="CG19" s="11"/>
      <c r="CH19" s="11"/>
      <c r="CI19" s="11"/>
      <c r="CJ19" s="11"/>
      <c r="CN19" s="11"/>
      <c r="CO19" s="11"/>
      <c r="CP19" s="11"/>
      <c r="CQ19" s="11"/>
      <c r="CU19" s="11"/>
      <c r="CV19" s="11"/>
      <c r="CW19" s="11"/>
      <c r="CX19" s="11"/>
      <c r="DB19" s="11"/>
      <c r="DC19" s="11"/>
      <c r="DD19" s="11"/>
      <c r="DE19" s="11"/>
      <c r="DH19">
        <v>10</v>
      </c>
      <c r="DI19" s="11"/>
      <c r="DJ19" s="11">
        <v>1</v>
      </c>
      <c r="DK19" s="11"/>
      <c r="DL19" s="11">
        <v>1</v>
      </c>
      <c r="DP19" s="11"/>
      <c r="DQ19" s="11"/>
      <c r="DR19" s="11"/>
      <c r="DS19" s="11"/>
      <c r="DW19" s="11"/>
      <c r="DX19" s="11"/>
      <c r="DY19" s="11"/>
      <c r="DZ19" s="11"/>
      <c r="ED19" s="11"/>
      <c r="EE19" s="11"/>
      <c r="EF19" s="11"/>
      <c r="EG19" s="11"/>
      <c r="EK19" s="11"/>
      <c r="EL19" s="11"/>
      <c r="EM19" s="11"/>
      <c r="EN19" s="11"/>
      <c r="ER19" s="11"/>
      <c r="ES19" s="11"/>
      <c r="ET19" s="11"/>
      <c r="EU19" s="11"/>
      <c r="EY19" s="11"/>
      <c r="EZ19" s="11"/>
      <c r="FA19" s="11"/>
      <c r="FB19" s="11"/>
      <c r="FF19" s="11"/>
      <c r="FG19" s="11"/>
      <c r="FH19" s="11"/>
      <c r="FI19" s="11"/>
      <c r="FM19" s="11"/>
      <c r="FN19" s="11"/>
      <c r="FO19" s="11"/>
      <c r="FP19" s="11"/>
      <c r="FT19" s="11"/>
      <c r="FU19" s="11"/>
      <c r="FV19" s="11"/>
      <c r="FW19" s="11"/>
      <c r="GA19" s="11"/>
      <c r="GB19" s="11"/>
      <c r="GC19" s="11"/>
      <c r="GD19" s="11"/>
    </row>
    <row r="21" spans="2:186" x14ac:dyDescent="0.2">
      <c r="B21" t="s">
        <v>27</v>
      </c>
      <c r="C21" t="s">
        <v>103</v>
      </c>
      <c r="D21" s="17">
        <v>44621</v>
      </c>
      <c r="E21" s="10">
        <v>6</v>
      </c>
      <c r="F21" t="s">
        <v>159</v>
      </c>
      <c r="G21" s="11">
        <f>+SUM(G22:G33)</f>
        <v>0.99999999999999989</v>
      </c>
      <c r="I21" s="13">
        <f>+SUM(I22:I33)</f>
        <v>180</v>
      </c>
      <c r="J21" s="12">
        <f>+SUMPRODUCT(G22:G33,J22:J33)</f>
        <v>0.06</v>
      </c>
      <c r="K21" s="12">
        <f>+SUMPRODUCT(G22:G33,K22:K33)</f>
        <v>0.06</v>
      </c>
      <c r="L21" s="10"/>
      <c r="N21" s="13">
        <f>+SUM(N22:N33)</f>
        <v>10</v>
      </c>
      <c r="U21" s="13">
        <f>+SUM(U22:U33)</f>
        <v>10</v>
      </c>
      <c r="AB21" s="13">
        <f>+SUM(AB22:AB33)</f>
        <v>10</v>
      </c>
      <c r="AI21" s="13">
        <f>+SUM(AI22:AI33)</f>
        <v>10</v>
      </c>
      <c r="AP21" s="13">
        <f>+SUM(AP22:AP33)</f>
        <v>10</v>
      </c>
      <c r="AW21" s="13">
        <f>+SUM(AW22:AW33)</f>
        <v>10</v>
      </c>
      <c r="BD21" s="13">
        <f>+SUM(BD22:BD33)</f>
        <v>10</v>
      </c>
      <c r="BK21" s="13">
        <f>+SUM(BK22:BK33)</f>
        <v>10</v>
      </c>
      <c r="BR21" s="13">
        <f>+SUM(BR22:BR33)</f>
        <v>10</v>
      </c>
      <c r="BY21" s="13">
        <f>+SUM(BY22:BY33)</f>
        <v>10</v>
      </c>
      <c r="CF21" s="13">
        <f>+SUM(CF22:CF33)</f>
        <v>10</v>
      </c>
      <c r="CM21" s="13">
        <f>+SUM(CM22:CM33)</f>
        <v>10</v>
      </c>
      <c r="CT21" s="13">
        <f>+SUM(CT22:CT33)</f>
        <v>10</v>
      </c>
      <c r="DA21" s="13">
        <f>+SUM(DA22:DA33)</f>
        <v>10</v>
      </c>
      <c r="DH21" s="13">
        <f>+SUM(DH22:DH33)</f>
        <v>10</v>
      </c>
      <c r="DO21" s="13">
        <f>+SUM(DO22:DO33)</f>
        <v>10</v>
      </c>
      <c r="DV21" s="13">
        <f>+SUM(DV22:DV33)</f>
        <v>10</v>
      </c>
      <c r="EC21" s="13">
        <f>+SUM(EC22:EC33)</f>
        <v>10</v>
      </c>
    </row>
    <row r="22" spans="2:186" outlineLevel="1" x14ac:dyDescent="0.2">
      <c r="B22" t="s">
        <v>28</v>
      </c>
      <c r="E22" s="10"/>
      <c r="F22" t="s">
        <v>109</v>
      </c>
      <c r="G22" s="11">
        <v>0.12</v>
      </c>
      <c r="I22" s="10">
        <f t="shared" ref="I22:I29" si="2">+SUMIF($N$3:$ZZ$3,I$3,$N22:$ZZ22)</f>
        <v>20</v>
      </c>
      <c r="J22" s="12">
        <f t="shared" ref="J22:K29" si="3">+_xlfn.MAXIFS($N22:$ZF22,$N$3:$ZF$3,J$3)</f>
        <v>0.5</v>
      </c>
      <c r="K22" s="12">
        <f t="shared" si="3"/>
        <v>0.5</v>
      </c>
      <c r="L22" s="10"/>
      <c r="N22">
        <v>10</v>
      </c>
      <c r="O22" s="11">
        <v>0.5</v>
      </c>
      <c r="P22" s="11">
        <v>0.5</v>
      </c>
      <c r="Q22" s="11">
        <v>0.5</v>
      </c>
      <c r="R22" s="11">
        <v>0.5</v>
      </c>
      <c r="U22">
        <v>10</v>
      </c>
      <c r="V22" s="11"/>
      <c r="W22" s="11">
        <v>1</v>
      </c>
      <c r="X22" s="11"/>
      <c r="Y22" s="11">
        <v>1</v>
      </c>
      <c r="AB22">
        <v>0</v>
      </c>
      <c r="AC22" s="11"/>
      <c r="AD22" s="11">
        <v>1</v>
      </c>
      <c r="AE22" s="11"/>
      <c r="AF22" s="11">
        <v>1</v>
      </c>
      <c r="AI22">
        <v>0</v>
      </c>
      <c r="AJ22" s="11"/>
      <c r="AK22" s="11">
        <v>1</v>
      </c>
      <c r="AL22" s="11"/>
      <c r="AM22" s="11">
        <v>1</v>
      </c>
      <c r="AP22">
        <v>0</v>
      </c>
      <c r="AQ22" s="11"/>
      <c r="AR22" s="11">
        <v>1</v>
      </c>
      <c r="AS22" s="11"/>
      <c r="AT22" s="11">
        <v>1</v>
      </c>
      <c r="AW22">
        <v>0</v>
      </c>
      <c r="AX22" s="11"/>
      <c r="AY22" s="11">
        <v>1</v>
      </c>
      <c r="AZ22" s="11"/>
      <c r="BA22" s="11">
        <v>1</v>
      </c>
      <c r="BD22">
        <v>0</v>
      </c>
      <c r="BE22" s="11"/>
      <c r="BF22" s="11">
        <v>1</v>
      </c>
      <c r="BG22" s="11"/>
      <c r="BH22" s="11">
        <v>1</v>
      </c>
      <c r="BK22">
        <v>0</v>
      </c>
      <c r="BL22" s="11"/>
      <c r="BM22" s="11">
        <v>1</v>
      </c>
      <c r="BN22" s="11"/>
      <c r="BO22" s="11">
        <v>1</v>
      </c>
      <c r="BR22">
        <v>0</v>
      </c>
      <c r="BS22" s="11"/>
      <c r="BT22" s="11">
        <v>1</v>
      </c>
      <c r="BU22" s="11"/>
      <c r="BV22" s="11">
        <v>1</v>
      </c>
      <c r="BY22">
        <v>0</v>
      </c>
      <c r="BZ22" s="11"/>
      <c r="CA22" s="11">
        <v>1</v>
      </c>
      <c r="CB22" s="11"/>
      <c r="CC22" s="11">
        <v>1</v>
      </c>
      <c r="CF22">
        <v>0</v>
      </c>
      <c r="CG22" s="11"/>
      <c r="CH22" s="11">
        <v>1</v>
      </c>
      <c r="CI22" s="11"/>
      <c r="CJ22" s="11">
        <v>1</v>
      </c>
      <c r="CM22">
        <v>0</v>
      </c>
      <c r="CN22" s="11"/>
      <c r="CO22" s="11">
        <v>1</v>
      </c>
      <c r="CP22" s="11"/>
      <c r="CQ22" s="11">
        <v>1</v>
      </c>
      <c r="CT22">
        <v>0</v>
      </c>
      <c r="CU22" s="11"/>
      <c r="CV22" s="11">
        <v>1</v>
      </c>
      <c r="CW22" s="11"/>
      <c r="CX22" s="11">
        <v>1</v>
      </c>
      <c r="DA22">
        <v>0</v>
      </c>
      <c r="DB22" s="11"/>
      <c r="DC22" s="11">
        <v>1</v>
      </c>
      <c r="DD22" s="11"/>
      <c r="DE22" s="11">
        <v>1</v>
      </c>
      <c r="DH22">
        <v>0</v>
      </c>
      <c r="DI22" s="11"/>
      <c r="DJ22" s="11">
        <v>1</v>
      </c>
      <c r="DK22" s="11"/>
      <c r="DL22" s="11">
        <v>1</v>
      </c>
      <c r="DO22">
        <v>0</v>
      </c>
      <c r="DP22" s="11"/>
      <c r="DQ22" s="11">
        <v>1</v>
      </c>
      <c r="DR22" s="11"/>
      <c r="DS22" s="11">
        <v>1</v>
      </c>
      <c r="DV22">
        <v>0</v>
      </c>
      <c r="DW22" s="11"/>
      <c r="DX22" s="11">
        <v>1</v>
      </c>
      <c r="DY22" s="11"/>
      <c r="DZ22" s="11">
        <v>1</v>
      </c>
      <c r="EC22">
        <v>0</v>
      </c>
      <c r="ED22" s="11"/>
      <c r="EE22" s="11">
        <v>1</v>
      </c>
      <c r="EF22" s="11"/>
      <c r="EG22" s="11">
        <v>1</v>
      </c>
      <c r="EK22" s="11"/>
      <c r="EL22" s="11"/>
      <c r="EM22" s="11"/>
      <c r="EN22" s="11"/>
      <c r="ER22" s="11"/>
      <c r="ES22" s="11"/>
      <c r="ET22" s="11"/>
      <c r="EU22" s="11"/>
      <c r="EY22" s="11"/>
      <c r="EZ22" s="11"/>
      <c r="FA22" s="11"/>
      <c r="FB22" s="11"/>
      <c r="FF22" s="11"/>
      <c r="FG22" s="11"/>
      <c r="FH22" s="11"/>
      <c r="FI22" s="11"/>
      <c r="FM22" s="11"/>
      <c r="FN22" s="11"/>
      <c r="FO22" s="11"/>
      <c r="FP22" s="11"/>
      <c r="FT22" s="11"/>
      <c r="FU22" s="11"/>
      <c r="FV22" s="11"/>
      <c r="FW22" s="11"/>
      <c r="GA22" s="11"/>
      <c r="GB22" s="11"/>
      <c r="GC22" s="11"/>
      <c r="GD22" s="11"/>
    </row>
    <row r="23" spans="2:186" outlineLevel="1" x14ac:dyDescent="0.2">
      <c r="B23" t="s">
        <v>28</v>
      </c>
      <c r="E23" s="10"/>
      <c r="F23" t="s">
        <v>110</v>
      </c>
      <c r="G23" s="11">
        <v>0.23</v>
      </c>
      <c r="I23" s="10">
        <f t="shared" si="2"/>
        <v>40</v>
      </c>
      <c r="J23" s="12">
        <f t="shared" si="3"/>
        <v>0</v>
      </c>
      <c r="K23" s="12">
        <f t="shared" si="3"/>
        <v>0</v>
      </c>
      <c r="L23" s="10"/>
      <c r="O23" s="11"/>
      <c r="P23" s="11"/>
      <c r="Q23" s="11"/>
      <c r="R23" s="11"/>
      <c r="V23" s="11"/>
      <c r="W23" s="11"/>
      <c r="X23" s="11"/>
      <c r="Y23" s="11"/>
      <c r="AB23">
        <v>10</v>
      </c>
      <c r="AC23" s="11"/>
      <c r="AD23" s="11">
        <v>0.3</v>
      </c>
      <c r="AE23" s="11"/>
      <c r="AF23" s="11">
        <v>0.3</v>
      </c>
      <c r="AI23">
        <v>10</v>
      </c>
      <c r="AJ23" s="11"/>
      <c r="AK23" s="11">
        <v>0.5</v>
      </c>
      <c r="AL23" s="11"/>
      <c r="AM23" s="11">
        <v>0.5</v>
      </c>
      <c r="AP23">
        <v>10</v>
      </c>
      <c r="AQ23" s="11"/>
      <c r="AR23" s="11">
        <v>0.8</v>
      </c>
      <c r="AS23" s="11"/>
      <c r="AT23" s="11">
        <v>0.8</v>
      </c>
      <c r="AW23">
        <v>10</v>
      </c>
      <c r="AX23" s="11"/>
      <c r="AY23" s="11">
        <v>1</v>
      </c>
      <c r="AZ23" s="11"/>
      <c r="BA23" s="11">
        <v>1</v>
      </c>
      <c r="BD23">
        <v>0</v>
      </c>
      <c r="BE23" s="11"/>
      <c r="BF23" s="11">
        <v>1</v>
      </c>
      <c r="BG23" s="11"/>
      <c r="BH23" s="11">
        <v>1</v>
      </c>
      <c r="BK23">
        <v>0</v>
      </c>
      <c r="BL23" s="11"/>
      <c r="BM23" s="11">
        <v>1</v>
      </c>
      <c r="BN23" s="11"/>
      <c r="BO23" s="11">
        <v>1</v>
      </c>
      <c r="BR23">
        <v>0</v>
      </c>
      <c r="BS23" s="11"/>
      <c r="BT23" s="11">
        <v>1</v>
      </c>
      <c r="BU23" s="11"/>
      <c r="BV23" s="11">
        <v>1</v>
      </c>
      <c r="BY23">
        <v>0</v>
      </c>
      <c r="BZ23" s="11"/>
      <c r="CA23" s="11">
        <v>1</v>
      </c>
      <c r="CB23" s="11"/>
      <c r="CC23" s="11">
        <v>1</v>
      </c>
      <c r="CF23">
        <v>0</v>
      </c>
      <c r="CG23" s="11"/>
      <c r="CH23" s="11">
        <v>1</v>
      </c>
      <c r="CI23" s="11"/>
      <c r="CJ23" s="11">
        <v>1</v>
      </c>
      <c r="CM23">
        <v>0</v>
      </c>
      <c r="CN23" s="11"/>
      <c r="CO23" s="11">
        <v>1</v>
      </c>
      <c r="CP23" s="11"/>
      <c r="CQ23" s="11">
        <v>1</v>
      </c>
      <c r="CT23">
        <v>0</v>
      </c>
      <c r="CU23" s="11"/>
      <c r="CV23" s="11">
        <v>1</v>
      </c>
      <c r="CW23" s="11"/>
      <c r="CX23" s="11">
        <v>1</v>
      </c>
      <c r="DA23">
        <v>0</v>
      </c>
      <c r="DB23" s="11"/>
      <c r="DC23" s="11">
        <v>1</v>
      </c>
      <c r="DD23" s="11"/>
      <c r="DE23" s="11">
        <v>1</v>
      </c>
      <c r="DH23">
        <v>0</v>
      </c>
      <c r="DI23" s="11"/>
      <c r="DJ23" s="11">
        <v>1</v>
      </c>
      <c r="DK23" s="11"/>
      <c r="DL23" s="11">
        <v>1</v>
      </c>
      <c r="DO23">
        <v>0</v>
      </c>
      <c r="DP23" s="11"/>
      <c r="DQ23" s="11">
        <v>1</v>
      </c>
      <c r="DR23" s="11"/>
      <c r="DS23" s="11">
        <v>1</v>
      </c>
      <c r="DV23">
        <v>0</v>
      </c>
      <c r="DW23" s="11"/>
      <c r="DX23" s="11">
        <v>1</v>
      </c>
      <c r="DY23" s="11"/>
      <c r="DZ23" s="11">
        <v>1</v>
      </c>
      <c r="EC23">
        <v>0</v>
      </c>
      <c r="ED23" s="11"/>
      <c r="EE23" s="11">
        <v>1</v>
      </c>
      <c r="EF23" s="11"/>
      <c r="EG23" s="11">
        <v>1</v>
      </c>
      <c r="EK23" s="11"/>
      <c r="EL23" s="11"/>
      <c r="EM23" s="11"/>
      <c r="EN23" s="11"/>
      <c r="ER23" s="11"/>
      <c r="ES23" s="11"/>
      <c r="ET23" s="11"/>
      <c r="EU23" s="11"/>
      <c r="EY23" s="11"/>
      <c r="EZ23" s="11"/>
      <c r="FA23" s="11"/>
      <c r="FB23" s="11"/>
      <c r="FF23" s="11"/>
      <c r="FG23" s="11"/>
      <c r="FH23" s="11"/>
      <c r="FI23" s="11"/>
      <c r="FM23" s="11"/>
      <c r="FN23" s="11"/>
      <c r="FO23" s="11"/>
      <c r="FP23" s="11"/>
      <c r="FT23" s="11"/>
      <c r="FU23" s="11"/>
      <c r="FV23" s="11"/>
      <c r="FW23" s="11"/>
      <c r="GA23" s="11"/>
      <c r="GB23" s="11"/>
      <c r="GC23" s="11"/>
      <c r="GD23" s="11"/>
    </row>
    <row r="24" spans="2:186" outlineLevel="1" x14ac:dyDescent="0.2">
      <c r="B24" t="s">
        <v>28</v>
      </c>
      <c r="E24" s="10"/>
      <c r="F24" t="s">
        <v>111</v>
      </c>
      <c r="G24" s="11">
        <v>0.14000000000000001</v>
      </c>
      <c r="I24" s="10">
        <f t="shared" si="2"/>
        <v>20</v>
      </c>
      <c r="J24" s="12">
        <f t="shared" si="3"/>
        <v>0</v>
      </c>
      <c r="K24" s="12">
        <f t="shared" si="3"/>
        <v>0</v>
      </c>
      <c r="L24" s="10"/>
      <c r="O24" s="11"/>
      <c r="P24" s="11"/>
      <c r="Q24" s="11"/>
      <c r="R24" s="11"/>
      <c r="V24" s="11"/>
      <c r="W24" s="11"/>
      <c r="X24" s="11"/>
      <c r="Y24" s="11"/>
      <c r="AC24" s="11"/>
      <c r="AD24" s="11"/>
      <c r="AE24" s="11"/>
      <c r="AF24" s="11"/>
      <c r="AJ24" s="11"/>
      <c r="AK24" s="11"/>
      <c r="AL24" s="11"/>
      <c r="AM24" s="11"/>
      <c r="AQ24" s="11"/>
      <c r="AR24" s="11"/>
      <c r="AS24" s="11"/>
      <c r="AT24" s="11"/>
      <c r="AX24" s="11"/>
      <c r="AY24" s="11"/>
      <c r="AZ24" s="11"/>
      <c r="BA24" s="11"/>
      <c r="BD24">
        <v>10</v>
      </c>
      <c r="BE24" s="11"/>
      <c r="BF24" s="11">
        <v>0.5</v>
      </c>
      <c r="BG24" s="11"/>
      <c r="BH24" s="11">
        <v>0.5</v>
      </c>
      <c r="BK24">
        <v>10</v>
      </c>
      <c r="BL24" s="11"/>
      <c r="BM24" s="11">
        <v>1</v>
      </c>
      <c r="BN24" s="11"/>
      <c r="BO24" s="11">
        <v>1</v>
      </c>
      <c r="BR24">
        <v>0</v>
      </c>
      <c r="BS24" s="11"/>
      <c r="BT24" s="11">
        <v>1</v>
      </c>
      <c r="BU24" s="11"/>
      <c r="BV24" s="11">
        <v>1</v>
      </c>
      <c r="BY24">
        <v>0</v>
      </c>
      <c r="BZ24" s="11"/>
      <c r="CA24" s="11">
        <v>1</v>
      </c>
      <c r="CB24" s="11"/>
      <c r="CC24" s="11">
        <v>1</v>
      </c>
      <c r="CF24">
        <v>0</v>
      </c>
      <c r="CG24" s="11"/>
      <c r="CH24" s="11">
        <v>1</v>
      </c>
      <c r="CI24" s="11"/>
      <c r="CJ24" s="11">
        <v>1</v>
      </c>
      <c r="CM24">
        <v>0</v>
      </c>
      <c r="CN24" s="11"/>
      <c r="CO24" s="11">
        <v>1</v>
      </c>
      <c r="CP24" s="11"/>
      <c r="CQ24" s="11">
        <v>1</v>
      </c>
      <c r="CT24">
        <v>0</v>
      </c>
      <c r="CU24" s="11"/>
      <c r="CV24" s="11">
        <v>1</v>
      </c>
      <c r="CW24" s="11"/>
      <c r="CX24" s="11">
        <v>1</v>
      </c>
      <c r="DA24">
        <v>0</v>
      </c>
      <c r="DB24" s="11"/>
      <c r="DC24" s="11">
        <v>1</v>
      </c>
      <c r="DD24" s="11"/>
      <c r="DE24" s="11">
        <v>1</v>
      </c>
      <c r="DH24">
        <v>0</v>
      </c>
      <c r="DI24" s="11"/>
      <c r="DJ24" s="11">
        <v>1</v>
      </c>
      <c r="DK24" s="11"/>
      <c r="DL24" s="11">
        <v>1</v>
      </c>
      <c r="DO24">
        <v>0</v>
      </c>
      <c r="DP24" s="11"/>
      <c r="DQ24" s="11">
        <v>1</v>
      </c>
      <c r="DR24" s="11"/>
      <c r="DS24" s="11">
        <v>1</v>
      </c>
      <c r="DV24">
        <v>0</v>
      </c>
      <c r="DW24" s="11"/>
      <c r="DX24" s="11">
        <v>1</v>
      </c>
      <c r="DY24" s="11"/>
      <c r="DZ24" s="11">
        <v>1</v>
      </c>
      <c r="EC24">
        <v>0</v>
      </c>
      <c r="ED24" s="11"/>
      <c r="EE24" s="11">
        <v>1</v>
      </c>
      <c r="EF24" s="11"/>
      <c r="EG24" s="11">
        <v>1</v>
      </c>
      <c r="EK24" s="11"/>
      <c r="EL24" s="11"/>
      <c r="EM24" s="11"/>
      <c r="EN24" s="11"/>
      <c r="ER24" s="11"/>
      <c r="ES24" s="11"/>
      <c r="ET24" s="11"/>
      <c r="EU24" s="11"/>
      <c r="EY24" s="11"/>
      <c r="EZ24" s="11"/>
      <c r="FA24" s="11"/>
      <c r="FB24" s="11"/>
      <c r="FF24" s="11"/>
      <c r="FG24" s="11"/>
      <c r="FH24" s="11"/>
      <c r="FI24" s="11"/>
      <c r="FM24" s="11"/>
      <c r="FN24" s="11"/>
      <c r="FO24" s="11"/>
      <c r="FP24" s="11"/>
      <c r="FT24" s="11"/>
      <c r="FU24" s="11"/>
      <c r="FV24" s="11"/>
      <c r="FW24" s="11"/>
      <c r="GA24" s="11"/>
      <c r="GB24" s="11"/>
      <c r="GC24" s="11"/>
      <c r="GD24" s="11"/>
    </row>
    <row r="25" spans="2:186" outlineLevel="1" x14ac:dyDescent="0.2">
      <c r="B25" t="s">
        <v>28</v>
      </c>
      <c r="E25" s="10"/>
      <c r="F25" t="s">
        <v>112</v>
      </c>
      <c r="G25" s="11">
        <v>0.09</v>
      </c>
      <c r="I25" s="10">
        <f t="shared" si="2"/>
        <v>20</v>
      </c>
      <c r="J25" s="12">
        <f t="shared" si="3"/>
        <v>0</v>
      </c>
      <c r="K25" s="12">
        <f t="shared" si="3"/>
        <v>0</v>
      </c>
      <c r="L25" s="10"/>
      <c r="O25" s="11"/>
      <c r="P25" s="11"/>
      <c r="Q25" s="11"/>
      <c r="R25" s="11"/>
      <c r="V25" s="11"/>
      <c r="W25" s="11"/>
      <c r="X25" s="11"/>
      <c r="Y25" s="11"/>
      <c r="AC25" s="11"/>
      <c r="AD25" s="11"/>
      <c r="AE25" s="11"/>
      <c r="AF25" s="11"/>
      <c r="AJ25" s="11"/>
      <c r="AK25" s="11"/>
      <c r="AL25" s="11"/>
      <c r="AM25" s="11"/>
      <c r="AQ25" s="11"/>
      <c r="AR25" s="11"/>
      <c r="AS25" s="11"/>
      <c r="AT25" s="11"/>
      <c r="AX25" s="11"/>
      <c r="AY25" s="11"/>
      <c r="AZ25" s="11"/>
      <c r="BA25" s="11"/>
      <c r="BE25" s="11"/>
      <c r="BF25" s="11"/>
      <c r="BG25" s="11"/>
      <c r="BH25" s="11"/>
      <c r="BL25" s="11"/>
      <c r="BM25" s="11"/>
      <c r="BN25" s="11"/>
      <c r="BO25" s="11"/>
      <c r="BR25">
        <v>10</v>
      </c>
      <c r="BS25" s="11"/>
      <c r="BT25" s="11">
        <v>0.5</v>
      </c>
      <c r="BU25" s="11"/>
      <c r="BV25" s="11">
        <v>0.5</v>
      </c>
      <c r="BY25">
        <v>10</v>
      </c>
      <c r="BZ25" s="11"/>
      <c r="CA25" s="11">
        <v>1</v>
      </c>
      <c r="CB25" s="11"/>
      <c r="CC25" s="11">
        <v>1</v>
      </c>
      <c r="CF25">
        <v>0</v>
      </c>
      <c r="CG25" s="11"/>
      <c r="CH25" s="11">
        <v>1</v>
      </c>
      <c r="CI25" s="11"/>
      <c r="CJ25" s="11">
        <v>1</v>
      </c>
      <c r="CM25">
        <v>0</v>
      </c>
      <c r="CN25" s="11"/>
      <c r="CO25" s="11">
        <v>1</v>
      </c>
      <c r="CP25" s="11"/>
      <c r="CQ25" s="11">
        <v>1</v>
      </c>
      <c r="CT25">
        <v>0</v>
      </c>
      <c r="CU25" s="11"/>
      <c r="CV25" s="11">
        <v>1</v>
      </c>
      <c r="CW25" s="11"/>
      <c r="CX25" s="11">
        <v>1</v>
      </c>
      <c r="DA25">
        <v>0</v>
      </c>
      <c r="DB25" s="11"/>
      <c r="DC25" s="11">
        <v>1</v>
      </c>
      <c r="DD25" s="11"/>
      <c r="DE25" s="11">
        <v>1</v>
      </c>
      <c r="DH25">
        <v>0</v>
      </c>
      <c r="DI25" s="11"/>
      <c r="DJ25" s="11">
        <v>1</v>
      </c>
      <c r="DK25" s="11"/>
      <c r="DL25" s="11">
        <v>1</v>
      </c>
      <c r="DO25">
        <v>0</v>
      </c>
      <c r="DP25" s="11"/>
      <c r="DQ25" s="11">
        <v>1</v>
      </c>
      <c r="DR25" s="11"/>
      <c r="DS25" s="11">
        <v>1</v>
      </c>
      <c r="DV25">
        <v>0</v>
      </c>
      <c r="DW25" s="11"/>
      <c r="DX25" s="11">
        <v>1</v>
      </c>
      <c r="DY25" s="11"/>
      <c r="DZ25" s="11">
        <v>1</v>
      </c>
      <c r="EC25">
        <v>0</v>
      </c>
      <c r="ED25" s="11"/>
      <c r="EE25" s="11">
        <v>1</v>
      </c>
      <c r="EF25" s="11"/>
      <c r="EG25" s="11">
        <v>1</v>
      </c>
      <c r="EK25" s="11"/>
      <c r="EL25" s="11"/>
      <c r="EM25" s="11"/>
      <c r="EN25" s="11"/>
      <c r="ER25" s="11"/>
      <c r="ES25" s="11"/>
      <c r="ET25" s="11"/>
      <c r="EU25" s="11"/>
      <c r="EY25" s="11"/>
      <c r="EZ25" s="11"/>
      <c r="FA25" s="11"/>
      <c r="FB25" s="11"/>
      <c r="FF25" s="11"/>
      <c r="FG25" s="11"/>
      <c r="FH25" s="11"/>
      <c r="FI25" s="11"/>
      <c r="FM25" s="11"/>
      <c r="FN25" s="11"/>
      <c r="FO25" s="11"/>
      <c r="FP25" s="11"/>
      <c r="FT25" s="11"/>
      <c r="FU25" s="11"/>
      <c r="FV25" s="11"/>
      <c r="FW25" s="11"/>
      <c r="GA25" s="11"/>
      <c r="GB25" s="11"/>
      <c r="GC25" s="11"/>
      <c r="GD25" s="11"/>
    </row>
    <row r="26" spans="2:186" outlineLevel="1" x14ac:dyDescent="0.2">
      <c r="B26" t="s">
        <v>28</v>
      </c>
      <c r="E26" s="10"/>
      <c r="F26" t="s">
        <v>113</v>
      </c>
      <c r="G26" s="11">
        <v>0.1</v>
      </c>
      <c r="I26" s="10">
        <f t="shared" si="2"/>
        <v>20</v>
      </c>
      <c r="J26" s="12">
        <f t="shared" si="3"/>
        <v>0</v>
      </c>
      <c r="K26" s="12">
        <f t="shared" si="3"/>
        <v>0</v>
      </c>
      <c r="L26" s="10"/>
      <c r="O26" s="11"/>
      <c r="P26" s="11"/>
      <c r="Q26" s="11"/>
      <c r="R26" s="11"/>
      <c r="V26" s="11"/>
      <c r="W26" s="11"/>
      <c r="X26" s="11"/>
      <c r="Y26" s="11"/>
      <c r="AC26" s="11"/>
      <c r="AD26" s="11"/>
      <c r="AE26" s="11"/>
      <c r="AF26" s="11"/>
      <c r="AJ26" s="11"/>
      <c r="AK26" s="11"/>
      <c r="AL26" s="11"/>
      <c r="AM26" s="11"/>
      <c r="AQ26" s="11"/>
      <c r="AR26" s="11"/>
      <c r="AS26" s="11"/>
      <c r="AT26" s="11"/>
      <c r="AX26" s="11"/>
      <c r="AY26" s="11"/>
      <c r="AZ26" s="11"/>
      <c r="BA26" s="11"/>
      <c r="BE26" s="11"/>
      <c r="BF26" s="11"/>
      <c r="BG26" s="11"/>
      <c r="BH26" s="11"/>
      <c r="BL26" s="11"/>
      <c r="BM26" s="11"/>
      <c r="BN26" s="11"/>
      <c r="BO26" s="11"/>
      <c r="BS26" s="11"/>
      <c r="BT26" s="11"/>
      <c r="BU26" s="11"/>
      <c r="BV26" s="11"/>
      <c r="BZ26" s="11"/>
      <c r="CA26" s="11"/>
      <c r="CB26" s="11"/>
      <c r="CC26" s="11"/>
      <c r="CF26">
        <v>10</v>
      </c>
      <c r="CG26" s="11"/>
      <c r="CH26" s="11">
        <v>0.5</v>
      </c>
      <c r="CI26" s="11"/>
      <c r="CJ26" s="11">
        <v>0.5</v>
      </c>
      <c r="CM26">
        <v>10</v>
      </c>
      <c r="CN26" s="11"/>
      <c r="CO26" s="11">
        <v>1</v>
      </c>
      <c r="CP26" s="11"/>
      <c r="CQ26" s="11">
        <v>1</v>
      </c>
      <c r="CT26">
        <v>0</v>
      </c>
      <c r="CU26" s="11"/>
      <c r="CV26" s="11">
        <v>1</v>
      </c>
      <c r="CW26" s="11"/>
      <c r="CX26" s="11">
        <v>1</v>
      </c>
      <c r="DA26">
        <v>0</v>
      </c>
      <c r="DB26" s="11"/>
      <c r="DC26" s="11">
        <v>1</v>
      </c>
      <c r="DD26" s="11"/>
      <c r="DE26" s="11">
        <v>1</v>
      </c>
      <c r="DH26">
        <v>0</v>
      </c>
      <c r="DI26" s="11"/>
      <c r="DJ26" s="11">
        <v>1</v>
      </c>
      <c r="DK26" s="11"/>
      <c r="DL26" s="11">
        <v>1</v>
      </c>
      <c r="DO26">
        <v>0</v>
      </c>
      <c r="DP26" s="11"/>
      <c r="DQ26" s="11">
        <v>1</v>
      </c>
      <c r="DR26" s="11"/>
      <c r="DS26" s="11">
        <v>1</v>
      </c>
      <c r="DV26">
        <v>0</v>
      </c>
      <c r="DW26" s="11"/>
      <c r="DX26" s="11">
        <v>1</v>
      </c>
      <c r="DY26" s="11"/>
      <c r="DZ26" s="11">
        <v>1</v>
      </c>
      <c r="EC26">
        <v>0</v>
      </c>
      <c r="ED26" s="11"/>
      <c r="EE26" s="11">
        <v>1</v>
      </c>
      <c r="EF26" s="11"/>
      <c r="EG26" s="11">
        <v>1</v>
      </c>
      <c r="EK26" s="11"/>
      <c r="EL26" s="11"/>
      <c r="EM26" s="11"/>
      <c r="EN26" s="11"/>
      <c r="ER26" s="11"/>
      <c r="ES26" s="11"/>
      <c r="ET26" s="11"/>
      <c r="EU26" s="11"/>
      <c r="EY26" s="11"/>
      <c r="EZ26" s="11"/>
      <c r="FA26" s="11"/>
      <c r="FB26" s="11"/>
      <c r="FF26" s="11"/>
      <c r="FG26" s="11"/>
      <c r="FH26" s="11"/>
      <c r="FI26" s="11"/>
      <c r="FM26" s="11"/>
      <c r="FN26" s="11"/>
      <c r="FO26" s="11"/>
      <c r="FP26" s="11"/>
      <c r="FT26" s="11"/>
      <c r="FU26" s="11"/>
      <c r="FV26" s="11"/>
      <c r="FW26" s="11"/>
      <c r="GA26" s="11"/>
      <c r="GB26" s="11"/>
      <c r="GC26" s="11"/>
      <c r="GD26" s="11"/>
    </row>
    <row r="27" spans="2:186" outlineLevel="1" x14ac:dyDescent="0.2">
      <c r="B27" t="s">
        <v>28</v>
      </c>
      <c r="E27" s="10"/>
      <c r="F27" t="s">
        <v>114</v>
      </c>
      <c r="G27" s="11">
        <v>0.1</v>
      </c>
      <c r="I27" s="10">
        <f t="shared" si="2"/>
        <v>20</v>
      </c>
      <c r="J27" s="12">
        <f t="shared" si="3"/>
        <v>0</v>
      </c>
      <c r="K27" s="12">
        <f t="shared" si="3"/>
        <v>0</v>
      </c>
      <c r="L27" s="10"/>
      <c r="O27" s="11"/>
      <c r="P27" s="11"/>
      <c r="Q27" s="11"/>
      <c r="R27" s="11"/>
      <c r="V27" s="11"/>
      <c r="W27" s="11"/>
      <c r="X27" s="11"/>
      <c r="Y27" s="11"/>
      <c r="AC27" s="11"/>
      <c r="AD27" s="11"/>
      <c r="AE27" s="11"/>
      <c r="AF27" s="11"/>
      <c r="AJ27" s="11"/>
      <c r="AK27" s="11"/>
      <c r="AL27" s="11"/>
      <c r="AM27" s="11"/>
      <c r="AQ27" s="11"/>
      <c r="AR27" s="11"/>
      <c r="AS27" s="11"/>
      <c r="AT27" s="11"/>
      <c r="AX27" s="11"/>
      <c r="AY27" s="11"/>
      <c r="AZ27" s="11"/>
      <c r="BA27" s="11"/>
      <c r="BE27" s="11"/>
      <c r="BF27" s="11"/>
      <c r="BG27" s="11"/>
      <c r="BH27" s="11"/>
      <c r="BL27" s="11"/>
      <c r="BM27" s="11"/>
      <c r="BN27" s="11"/>
      <c r="BO27" s="11"/>
      <c r="BS27" s="11"/>
      <c r="BT27" s="11"/>
      <c r="BU27" s="11"/>
      <c r="BV27" s="11"/>
      <c r="BZ27" s="11"/>
      <c r="CA27" s="11"/>
      <c r="CB27" s="11"/>
      <c r="CC27" s="11"/>
      <c r="CG27" s="11"/>
      <c r="CH27" s="11"/>
      <c r="CI27" s="11"/>
      <c r="CJ27" s="11"/>
      <c r="CN27" s="11"/>
      <c r="CO27" s="11"/>
      <c r="CP27" s="11"/>
      <c r="CQ27" s="11"/>
      <c r="CT27">
        <v>10</v>
      </c>
      <c r="CU27" s="11"/>
      <c r="CV27" s="11">
        <v>0.5</v>
      </c>
      <c r="CW27" s="11"/>
      <c r="CX27" s="11">
        <v>0.5</v>
      </c>
      <c r="DA27">
        <v>10</v>
      </c>
      <c r="DB27" s="11"/>
      <c r="DC27" s="11">
        <v>1</v>
      </c>
      <c r="DD27" s="11"/>
      <c r="DE27" s="11">
        <v>1</v>
      </c>
      <c r="DH27">
        <v>0</v>
      </c>
      <c r="DI27" s="11"/>
      <c r="DJ27" s="11">
        <v>1</v>
      </c>
      <c r="DK27" s="11"/>
      <c r="DL27" s="11">
        <v>1</v>
      </c>
      <c r="DO27">
        <v>0</v>
      </c>
      <c r="DP27" s="11"/>
      <c r="DQ27" s="11">
        <v>1</v>
      </c>
      <c r="DR27" s="11"/>
      <c r="DS27" s="11">
        <v>1</v>
      </c>
      <c r="DV27">
        <v>0</v>
      </c>
      <c r="DW27" s="11"/>
      <c r="DX27" s="11">
        <v>1</v>
      </c>
      <c r="DY27" s="11"/>
      <c r="DZ27" s="11">
        <v>1</v>
      </c>
      <c r="EC27">
        <v>0</v>
      </c>
      <c r="ED27" s="11"/>
      <c r="EE27" s="11">
        <v>1</v>
      </c>
      <c r="EF27" s="11"/>
      <c r="EG27" s="11">
        <v>1</v>
      </c>
      <c r="EK27" s="11"/>
      <c r="EL27" s="11"/>
      <c r="EM27" s="11"/>
      <c r="EN27" s="11"/>
      <c r="ER27" s="11"/>
      <c r="ES27" s="11"/>
      <c r="ET27" s="11"/>
      <c r="EU27" s="11"/>
      <c r="EY27" s="11"/>
      <c r="EZ27" s="11"/>
      <c r="FA27" s="11"/>
      <c r="FB27" s="11"/>
      <c r="FF27" s="11"/>
      <c r="FG27" s="11"/>
      <c r="FH27" s="11"/>
      <c r="FI27" s="11"/>
      <c r="FM27" s="11"/>
      <c r="FN27" s="11"/>
      <c r="FO27" s="11"/>
      <c r="FP27" s="11"/>
      <c r="FT27" s="11"/>
      <c r="FU27" s="11"/>
      <c r="FV27" s="11"/>
      <c r="FW27" s="11"/>
      <c r="GA27" s="11"/>
      <c r="GB27" s="11"/>
      <c r="GC27" s="11"/>
      <c r="GD27" s="11"/>
    </row>
    <row r="28" spans="2:186" outlineLevel="1" x14ac:dyDescent="0.2">
      <c r="B28" t="s">
        <v>28</v>
      </c>
      <c r="E28" s="10"/>
      <c r="F28" t="s">
        <v>115</v>
      </c>
      <c r="G28" s="11">
        <v>0.11</v>
      </c>
      <c r="I28" s="10">
        <f t="shared" si="2"/>
        <v>20</v>
      </c>
      <c r="J28" s="12">
        <f t="shared" si="3"/>
        <v>0</v>
      </c>
      <c r="K28" s="12">
        <f t="shared" si="3"/>
        <v>0</v>
      </c>
      <c r="L28" s="10"/>
      <c r="O28" s="11"/>
      <c r="P28" s="11"/>
      <c r="Q28" s="11"/>
      <c r="R28" s="11"/>
      <c r="V28" s="11"/>
      <c r="W28" s="11"/>
      <c r="X28" s="11"/>
      <c r="Y28" s="11"/>
      <c r="AC28" s="11"/>
      <c r="AD28" s="11"/>
      <c r="AE28" s="11"/>
      <c r="AF28" s="11"/>
      <c r="AJ28" s="11"/>
      <c r="AK28" s="11"/>
      <c r="AL28" s="11"/>
      <c r="AM28" s="11"/>
      <c r="AQ28" s="11"/>
      <c r="AR28" s="11"/>
      <c r="AS28" s="11"/>
      <c r="AT28" s="11"/>
      <c r="AX28" s="11"/>
      <c r="AY28" s="11"/>
      <c r="AZ28" s="11"/>
      <c r="BA28" s="11"/>
      <c r="BE28" s="11"/>
      <c r="BF28" s="11"/>
      <c r="BG28" s="11"/>
      <c r="BH28" s="11"/>
      <c r="BL28" s="11"/>
      <c r="BM28" s="11"/>
      <c r="BN28" s="11"/>
      <c r="BO28" s="11"/>
      <c r="BS28" s="11"/>
      <c r="BT28" s="11"/>
      <c r="BU28" s="11"/>
      <c r="BV28" s="11"/>
      <c r="BZ28" s="11"/>
      <c r="CA28" s="11"/>
      <c r="CB28" s="11"/>
      <c r="CC28" s="11"/>
      <c r="CG28" s="11"/>
      <c r="CH28" s="11"/>
      <c r="CI28" s="11"/>
      <c r="CJ28" s="11"/>
      <c r="CN28" s="11"/>
      <c r="CO28" s="11"/>
      <c r="CP28" s="11"/>
      <c r="CQ28" s="11"/>
      <c r="CU28" s="11"/>
      <c r="CV28" s="11"/>
      <c r="CW28" s="11"/>
      <c r="CX28" s="11"/>
      <c r="DB28" s="11"/>
      <c r="DC28" s="11"/>
      <c r="DD28" s="11"/>
      <c r="DE28" s="11"/>
      <c r="DH28">
        <v>10</v>
      </c>
      <c r="DI28" s="11"/>
      <c r="DJ28" s="11">
        <v>0.5</v>
      </c>
      <c r="DK28" s="11"/>
      <c r="DL28" s="11">
        <v>0.5</v>
      </c>
      <c r="DO28">
        <v>10</v>
      </c>
      <c r="DP28" s="11"/>
      <c r="DQ28" s="11">
        <v>1</v>
      </c>
      <c r="DR28" s="11"/>
      <c r="DS28" s="11">
        <v>1</v>
      </c>
      <c r="DV28">
        <v>0</v>
      </c>
      <c r="DW28" s="11"/>
      <c r="DX28" s="11">
        <v>1</v>
      </c>
      <c r="DY28" s="11"/>
      <c r="DZ28" s="11">
        <v>1</v>
      </c>
      <c r="EC28">
        <v>0</v>
      </c>
      <c r="ED28" s="11"/>
      <c r="EE28" s="11">
        <v>1</v>
      </c>
      <c r="EF28" s="11"/>
      <c r="EG28" s="11">
        <v>1</v>
      </c>
      <c r="EK28" s="11"/>
      <c r="EL28" s="11"/>
      <c r="EM28" s="11"/>
      <c r="EN28" s="11"/>
      <c r="ER28" s="11"/>
      <c r="ES28" s="11"/>
      <c r="ET28" s="11"/>
      <c r="EU28" s="11"/>
      <c r="EY28" s="11"/>
      <c r="EZ28" s="11"/>
      <c r="FA28" s="11"/>
      <c r="FB28" s="11"/>
      <c r="FF28" s="11"/>
      <c r="FG28" s="11"/>
      <c r="FH28" s="11"/>
      <c r="FI28" s="11"/>
      <c r="FM28" s="11"/>
      <c r="FN28" s="11"/>
      <c r="FO28" s="11"/>
      <c r="FP28" s="11"/>
      <c r="FT28" s="11"/>
      <c r="FU28" s="11"/>
      <c r="FV28" s="11"/>
      <c r="FW28" s="11"/>
      <c r="GA28" s="11"/>
      <c r="GB28" s="11"/>
      <c r="GC28" s="11"/>
      <c r="GD28" s="11"/>
    </row>
    <row r="29" spans="2:186" outlineLevel="1" x14ac:dyDescent="0.2">
      <c r="B29" t="s">
        <v>28</v>
      </c>
      <c r="E29" s="10"/>
      <c r="F29" t="s">
        <v>116</v>
      </c>
      <c r="G29" s="11">
        <v>0.11</v>
      </c>
      <c r="I29" s="10">
        <f t="shared" si="2"/>
        <v>20</v>
      </c>
      <c r="J29" s="12">
        <f t="shared" si="3"/>
        <v>0</v>
      </c>
      <c r="K29" s="12">
        <f t="shared" si="3"/>
        <v>0</v>
      </c>
      <c r="L29" s="10"/>
      <c r="O29" s="11"/>
      <c r="P29" s="11"/>
      <c r="Q29" s="11"/>
      <c r="R29" s="11"/>
      <c r="V29" s="11"/>
      <c r="W29" s="11"/>
      <c r="X29" s="11"/>
      <c r="Y29" s="11"/>
      <c r="AC29" s="11"/>
      <c r="AD29" s="11"/>
      <c r="AE29" s="11"/>
      <c r="AF29" s="11"/>
      <c r="AJ29" s="11"/>
      <c r="AK29" s="11"/>
      <c r="AL29" s="11"/>
      <c r="AM29" s="11"/>
      <c r="AQ29" s="11"/>
      <c r="AR29" s="11"/>
      <c r="AS29" s="11"/>
      <c r="AT29" s="11"/>
      <c r="AX29" s="11"/>
      <c r="AY29" s="11"/>
      <c r="AZ29" s="11"/>
      <c r="BA29" s="11"/>
      <c r="BE29" s="11"/>
      <c r="BF29" s="11"/>
      <c r="BG29" s="11"/>
      <c r="BH29" s="11"/>
      <c r="BL29" s="11"/>
      <c r="BM29" s="11"/>
      <c r="BN29" s="11"/>
      <c r="BO29" s="11"/>
      <c r="BS29" s="11"/>
      <c r="BT29" s="11"/>
      <c r="BU29" s="11"/>
      <c r="BV29" s="11"/>
      <c r="BZ29" s="11"/>
      <c r="CA29" s="11"/>
      <c r="CB29" s="11"/>
      <c r="CC29" s="11"/>
      <c r="CG29" s="11"/>
      <c r="CH29" s="11"/>
      <c r="CI29" s="11"/>
      <c r="CJ29" s="11"/>
      <c r="CN29" s="11"/>
      <c r="CO29" s="11"/>
      <c r="CP29" s="11"/>
      <c r="CQ29" s="11"/>
      <c r="CU29" s="11"/>
      <c r="CV29" s="11"/>
      <c r="CW29" s="11"/>
      <c r="CX29" s="11"/>
      <c r="DB29" s="11"/>
      <c r="DC29" s="11"/>
      <c r="DD29" s="11"/>
      <c r="DE29" s="11"/>
      <c r="DI29" s="11"/>
      <c r="DJ29" s="11"/>
      <c r="DK29" s="11"/>
      <c r="DL29" s="11"/>
      <c r="DP29" s="11"/>
      <c r="DQ29" s="11"/>
      <c r="DR29" s="11"/>
      <c r="DS29" s="11"/>
      <c r="DV29">
        <v>10</v>
      </c>
      <c r="DW29" s="11"/>
      <c r="DX29" s="11">
        <v>0.5</v>
      </c>
      <c r="DY29" s="11"/>
      <c r="DZ29" s="11">
        <v>0.5</v>
      </c>
      <c r="EC29">
        <v>10</v>
      </c>
      <c r="ED29" s="11"/>
      <c r="EE29" s="11">
        <v>1</v>
      </c>
      <c r="EF29" s="11"/>
      <c r="EG29" s="11">
        <v>1</v>
      </c>
      <c r="EK29" s="11"/>
      <c r="EL29" s="11"/>
      <c r="EM29" s="11"/>
      <c r="EN29" s="11"/>
      <c r="ER29" s="11"/>
      <c r="ES29" s="11"/>
      <c r="ET29" s="11"/>
      <c r="EU29" s="11"/>
      <c r="EY29" s="11"/>
      <c r="EZ29" s="11"/>
      <c r="FA29" s="11"/>
      <c r="FB29" s="11"/>
      <c r="FF29" s="11"/>
      <c r="FG29" s="11"/>
      <c r="FH29" s="11"/>
      <c r="FI29" s="11"/>
      <c r="FM29" s="11"/>
      <c r="FN29" s="11"/>
      <c r="FO29" s="11"/>
      <c r="FP29" s="11"/>
      <c r="FT29" s="11"/>
      <c r="FU29" s="11"/>
      <c r="FV29" s="11"/>
      <c r="FW29" s="11"/>
      <c r="GA29" s="11"/>
      <c r="GB29" s="11"/>
      <c r="GC29" s="11"/>
      <c r="GD29" s="11"/>
    </row>
    <row r="30" spans="2:186" outlineLevel="1" x14ac:dyDescent="0.2">
      <c r="E30" s="10"/>
      <c r="G30" s="11"/>
      <c r="I30" s="10"/>
      <c r="J30" s="12"/>
      <c r="K30" s="12"/>
      <c r="L30" s="10"/>
      <c r="O30" s="11"/>
      <c r="P30" s="11"/>
      <c r="Q30" s="11"/>
      <c r="R30" s="11"/>
      <c r="V30" s="11"/>
      <c r="W30" s="11"/>
      <c r="X30" s="11"/>
      <c r="Y30" s="11"/>
      <c r="AC30" s="11"/>
      <c r="AD30" s="11"/>
      <c r="AE30" s="11"/>
      <c r="AF30" s="11"/>
      <c r="AJ30" s="11"/>
      <c r="AK30" s="11"/>
      <c r="AL30" s="11"/>
      <c r="AM30" s="11"/>
      <c r="AQ30" s="11"/>
      <c r="AR30" s="11"/>
      <c r="AS30" s="11"/>
      <c r="AT30" s="11"/>
      <c r="AX30" s="11"/>
      <c r="AY30" s="11"/>
      <c r="AZ30" s="11"/>
      <c r="BA30" s="11"/>
      <c r="BE30" s="11"/>
      <c r="BF30" s="11"/>
      <c r="BG30" s="11"/>
      <c r="BH30" s="11"/>
      <c r="BL30" s="11"/>
      <c r="BM30" s="11"/>
      <c r="BN30" s="11"/>
      <c r="BO30" s="11"/>
      <c r="BS30" s="11"/>
      <c r="BT30" s="11"/>
      <c r="BU30" s="11"/>
      <c r="BV30" s="11"/>
      <c r="BZ30" s="11"/>
      <c r="CA30" s="11"/>
      <c r="CB30" s="11"/>
      <c r="CC30" s="11"/>
      <c r="CG30" s="11"/>
      <c r="CH30" s="11"/>
      <c r="CI30" s="11"/>
      <c r="CJ30" s="11"/>
      <c r="CN30" s="11"/>
      <c r="CO30" s="11"/>
      <c r="CP30" s="11"/>
      <c r="CQ30" s="11"/>
      <c r="CU30" s="11"/>
      <c r="CV30" s="11"/>
      <c r="CW30" s="11"/>
      <c r="CX30" s="11"/>
      <c r="DB30" s="11"/>
      <c r="DC30" s="11"/>
      <c r="DD30" s="11"/>
      <c r="DE30" s="11"/>
      <c r="DI30" s="11"/>
      <c r="DJ30" s="11"/>
      <c r="DK30" s="11"/>
      <c r="DL30" s="11"/>
      <c r="DP30" s="11"/>
      <c r="DQ30" s="11"/>
      <c r="DR30" s="11"/>
      <c r="DS30" s="11"/>
      <c r="DW30" s="11"/>
      <c r="DX30" s="11"/>
      <c r="DY30" s="11"/>
      <c r="DZ30" s="11"/>
      <c r="ED30" s="11"/>
      <c r="EE30" s="11"/>
      <c r="EF30" s="11"/>
      <c r="EG30" s="11"/>
      <c r="EK30" s="11"/>
      <c r="EL30" s="11"/>
      <c r="EM30" s="11"/>
      <c r="EN30" s="11"/>
      <c r="ER30" s="11"/>
      <c r="ES30" s="11"/>
      <c r="ET30" s="11"/>
      <c r="EU30" s="11"/>
      <c r="EY30" s="11"/>
      <c r="EZ30" s="11"/>
      <c r="FA30" s="11"/>
      <c r="FB30" s="11"/>
      <c r="FF30" s="11"/>
      <c r="FG30" s="11"/>
      <c r="FH30" s="11"/>
      <c r="FI30" s="11"/>
      <c r="FM30" s="11"/>
      <c r="FN30" s="11"/>
      <c r="FO30" s="11"/>
      <c r="FP30" s="11"/>
      <c r="FT30" s="11"/>
      <c r="FU30" s="11"/>
      <c r="FV30" s="11"/>
      <c r="FW30" s="11"/>
      <c r="GA30" s="11"/>
      <c r="GB30" s="11"/>
      <c r="GC30" s="11"/>
      <c r="GD30" s="11"/>
    </row>
    <row r="31" spans="2:186" outlineLevel="1" x14ac:dyDescent="0.2">
      <c r="E31" s="10"/>
      <c r="G31" s="11"/>
      <c r="I31" s="10"/>
      <c r="J31" s="12"/>
      <c r="K31" s="12"/>
      <c r="L31" s="10"/>
      <c r="O31" s="11"/>
      <c r="P31" s="11"/>
      <c r="Q31" s="11"/>
      <c r="R31" s="11"/>
      <c r="V31" s="11"/>
      <c r="W31" s="11"/>
      <c r="X31" s="11"/>
      <c r="Y31" s="11"/>
      <c r="AC31" s="11"/>
      <c r="AD31" s="11"/>
      <c r="AE31" s="11"/>
      <c r="AF31" s="11"/>
      <c r="AJ31" s="11"/>
      <c r="AK31" s="11"/>
      <c r="AL31" s="11"/>
      <c r="AM31" s="11"/>
      <c r="AQ31" s="11"/>
      <c r="AR31" s="11"/>
      <c r="AS31" s="11"/>
      <c r="AT31" s="11"/>
      <c r="AX31" s="11"/>
      <c r="AY31" s="11"/>
      <c r="AZ31" s="11"/>
      <c r="BA31" s="11"/>
      <c r="BE31" s="11"/>
      <c r="BF31" s="11"/>
      <c r="BG31" s="11"/>
      <c r="BH31" s="11"/>
      <c r="BL31" s="11"/>
      <c r="BM31" s="11"/>
      <c r="BN31" s="11"/>
      <c r="BO31" s="11"/>
      <c r="BS31" s="11"/>
      <c r="BT31" s="11"/>
      <c r="BU31" s="11"/>
      <c r="BV31" s="11"/>
      <c r="BZ31" s="11"/>
      <c r="CA31" s="11"/>
      <c r="CB31" s="11"/>
      <c r="CC31" s="11"/>
      <c r="CG31" s="11"/>
      <c r="CH31" s="11"/>
      <c r="CI31" s="11"/>
      <c r="CJ31" s="11"/>
      <c r="CN31" s="11"/>
      <c r="CO31" s="11"/>
      <c r="CP31" s="11"/>
      <c r="CQ31" s="11"/>
      <c r="CU31" s="11"/>
      <c r="CV31" s="11"/>
      <c r="CW31" s="11"/>
      <c r="CX31" s="11"/>
      <c r="DB31" s="11"/>
      <c r="DC31" s="11"/>
      <c r="DD31" s="11"/>
      <c r="DE31" s="11"/>
      <c r="DI31" s="11"/>
      <c r="DJ31" s="11"/>
      <c r="DK31" s="11"/>
      <c r="DL31" s="11"/>
      <c r="DP31" s="11"/>
      <c r="DQ31" s="11"/>
      <c r="DR31" s="11"/>
      <c r="DS31" s="11"/>
      <c r="DW31" s="11"/>
      <c r="DX31" s="11"/>
      <c r="DY31" s="11"/>
      <c r="DZ31" s="11"/>
      <c r="ED31" s="11"/>
      <c r="EE31" s="11"/>
      <c r="EF31" s="11"/>
      <c r="EG31" s="11"/>
      <c r="EK31" s="11"/>
      <c r="EL31" s="11"/>
      <c r="EM31" s="11"/>
      <c r="EN31" s="11"/>
      <c r="ER31" s="11"/>
      <c r="ES31" s="11"/>
      <c r="ET31" s="11"/>
      <c r="EU31" s="11"/>
      <c r="EY31" s="11"/>
      <c r="EZ31" s="11"/>
      <c r="FA31" s="11"/>
      <c r="FB31" s="11"/>
      <c r="FF31" s="11"/>
      <c r="FG31" s="11"/>
      <c r="FH31" s="11"/>
      <c r="FI31" s="11"/>
      <c r="FM31" s="11"/>
      <c r="FN31" s="11"/>
      <c r="FO31" s="11"/>
      <c r="FP31" s="11"/>
      <c r="FT31" s="11"/>
      <c r="FU31" s="11"/>
      <c r="FV31" s="11"/>
      <c r="FW31" s="11"/>
      <c r="GA31" s="11"/>
      <c r="GB31" s="11"/>
      <c r="GC31" s="11"/>
      <c r="GD31" s="11"/>
    </row>
    <row r="32" spans="2:186" outlineLevel="1" x14ac:dyDescent="0.2">
      <c r="E32" s="10"/>
      <c r="G32" s="11"/>
      <c r="I32" s="10"/>
      <c r="J32" s="12"/>
      <c r="K32" s="12"/>
      <c r="L32" s="10"/>
      <c r="O32" s="11"/>
      <c r="P32" s="11"/>
      <c r="Q32" s="11"/>
      <c r="R32" s="11"/>
      <c r="V32" s="11"/>
      <c r="W32" s="11"/>
      <c r="X32" s="11"/>
      <c r="Y32" s="11"/>
      <c r="AC32" s="11"/>
      <c r="AD32" s="11"/>
      <c r="AE32" s="11"/>
      <c r="AF32" s="11"/>
      <c r="AJ32" s="11"/>
      <c r="AK32" s="11"/>
      <c r="AL32" s="11"/>
      <c r="AM32" s="11"/>
      <c r="AQ32" s="11"/>
      <c r="AR32" s="11"/>
      <c r="AS32" s="11"/>
      <c r="AT32" s="11"/>
      <c r="AX32" s="11"/>
      <c r="AY32" s="11"/>
      <c r="AZ32" s="11"/>
      <c r="BA32" s="11"/>
      <c r="BE32" s="11"/>
      <c r="BF32" s="11"/>
      <c r="BG32" s="11"/>
      <c r="BH32" s="11"/>
      <c r="BL32" s="11"/>
      <c r="BM32" s="11"/>
      <c r="BN32" s="11"/>
      <c r="BO32" s="11"/>
      <c r="BS32" s="11"/>
      <c r="BT32" s="11"/>
      <c r="BU32" s="11"/>
      <c r="BV32" s="11"/>
      <c r="BZ32" s="11"/>
      <c r="CA32" s="11"/>
      <c r="CB32" s="11"/>
      <c r="CC32" s="11"/>
      <c r="CG32" s="11"/>
      <c r="CH32" s="11"/>
      <c r="CI32" s="11"/>
      <c r="CJ32" s="11"/>
      <c r="CN32" s="11"/>
      <c r="CO32" s="11"/>
      <c r="CP32" s="11"/>
      <c r="CQ32" s="11"/>
      <c r="CU32" s="11"/>
      <c r="CV32" s="11"/>
      <c r="CW32" s="11"/>
      <c r="CX32" s="11"/>
      <c r="DB32" s="11"/>
      <c r="DC32" s="11"/>
      <c r="DD32" s="11"/>
      <c r="DE32" s="11"/>
      <c r="DI32" s="11"/>
      <c r="DJ32" s="11"/>
      <c r="DK32" s="11"/>
      <c r="DL32" s="11"/>
      <c r="DP32" s="11"/>
      <c r="DQ32" s="11"/>
      <c r="DR32" s="11"/>
      <c r="DS32" s="11"/>
      <c r="DW32" s="11"/>
      <c r="DX32" s="11"/>
      <c r="DY32" s="11"/>
      <c r="DZ32" s="11"/>
      <c r="ED32" s="11"/>
      <c r="EE32" s="11"/>
      <c r="EF32" s="11"/>
      <c r="EG32" s="11"/>
      <c r="EK32" s="11"/>
      <c r="EL32" s="11"/>
      <c r="EM32" s="11"/>
      <c r="EN32" s="11"/>
      <c r="ER32" s="11"/>
      <c r="ES32" s="11"/>
      <c r="ET32" s="11"/>
      <c r="EU32" s="11"/>
      <c r="EY32" s="11"/>
      <c r="EZ32" s="11"/>
      <c r="FA32" s="11"/>
      <c r="FB32" s="11"/>
      <c r="FF32" s="11"/>
      <c r="FG32" s="11"/>
      <c r="FH32" s="11"/>
      <c r="FI32" s="11"/>
      <c r="FM32" s="11"/>
      <c r="FN32" s="11"/>
      <c r="FO32" s="11"/>
      <c r="FP32" s="11"/>
      <c r="FT32" s="11"/>
      <c r="FU32" s="11"/>
      <c r="FV32" s="11"/>
      <c r="FW32" s="11"/>
      <c r="GA32" s="11"/>
      <c r="GB32" s="11"/>
      <c r="GC32" s="11"/>
      <c r="GD32" s="11"/>
    </row>
    <row r="33" spans="2:186" outlineLevel="1" x14ac:dyDescent="0.2">
      <c r="E33" s="10"/>
      <c r="G33" s="11"/>
      <c r="I33" s="10"/>
      <c r="J33" s="12"/>
      <c r="K33" s="12"/>
      <c r="L33" s="10"/>
      <c r="O33" s="11"/>
      <c r="P33" s="11"/>
      <c r="Q33" s="11"/>
      <c r="R33" s="11"/>
      <c r="V33" s="11"/>
      <c r="W33" s="11"/>
      <c r="X33" s="11"/>
      <c r="Y33" s="11"/>
      <c r="AC33" s="11"/>
      <c r="AD33" s="11"/>
      <c r="AE33" s="11"/>
      <c r="AF33" s="11"/>
      <c r="AJ33" s="11"/>
      <c r="AK33" s="11"/>
      <c r="AL33" s="11"/>
      <c r="AM33" s="11"/>
      <c r="AQ33" s="11"/>
      <c r="AR33" s="11"/>
      <c r="AS33" s="11"/>
      <c r="AT33" s="11"/>
      <c r="AX33" s="11"/>
      <c r="AY33" s="11"/>
      <c r="AZ33" s="11"/>
      <c r="BA33" s="11"/>
      <c r="BE33" s="11"/>
      <c r="BF33" s="11"/>
      <c r="BG33" s="11"/>
      <c r="BH33" s="11"/>
      <c r="BL33" s="11"/>
      <c r="BM33" s="11"/>
      <c r="BN33" s="11"/>
      <c r="BO33" s="11"/>
      <c r="BS33" s="11"/>
      <c r="BT33" s="11"/>
      <c r="BU33" s="11"/>
      <c r="BV33" s="11"/>
      <c r="BZ33" s="11"/>
      <c r="CA33" s="11"/>
      <c r="CB33" s="11"/>
      <c r="CC33" s="11"/>
      <c r="CG33" s="11"/>
      <c r="CH33" s="11"/>
      <c r="CI33" s="11"/>
      <c r="CJ33" s="11"/>
      <c r="CN33" s="11"/>
      <c r="CO33" s="11"/>
      <c r="CP33" s="11"/>
      <c r="CQ33" s="11"/>
      <c r="CU33" s="11"/>
      <c r="CV33" s="11"/>
      <c r="CW33" s="11"/>
      <c r="CX33" s="11"/>
      <c r="DB33" s="11"/>
      <c r="DC33" s="11"/>
      <c r="DD33" s="11"/>
      <c r="DE33" s="11"/>
      <c r="DI33" s="11"/>
      <c r="DJ33" s="11"/>
      <c r="DK33" s="11"/>
      <c r="DL33" s="11"/>
      <c r="DP33" s="11"/>
      <c r="DQ33" s="11"/>
      <c r="DR33" s="11"/>
      <c r="DS33" s="11"/>
      <c r="DW33" s="11"/>
      <c r="DX33" s="11"/>
      <c r="DY33" s="11"/>
      <c r="DZ33" s="11"/>
      <c r="ED33" s="11"/>
      <c r="EE33" s="11"/>
      <c r="EF33" s="11"/>
      <c r="EG33" s="11"/>
      <c r="EK33" s="11"/>
      <c r="EL33" s="11"/>
      <c r="EM33" s="11"/>
      <c r="EN33" s="11"/>
      <c r="ER33" s="11"/>
      <c r="ES33" s="11"/>
      <c r="ET33" s="11"/>
      <c r="EU33" s="11"/>
      <c r="EY33" s="11"/>
      <c r="EZ33" s="11"/>
      <c r="FA33" s="11"/>
      <c r="FB33" s="11"/>
      <c r="FF33" s="11"/>
      <c r="FG33" s="11"/>
      <c r="FH33" s="11"/>
      <c r="FI33" s="11"/>
      <c r="FM33" s="11"/>
      <c r="FN33" s="11"/>
      <c r="FO33" s="11"/>
      <c r="FP33" s="11"/>
      <c r="FT33" s="11"/>
      <c r="FU33" s="11"/>
      <c r="FV33" s="11"/>
      <c r="FW33" s="11"/>
      <c r="GA33" s="11"/>
      <c r="GB33" s="11"/>
      <c r="GC33" s="11"/>
      <c r="GD33" s="11"/>
    </row>
    <row r="35" spans="2:186" x14ac:dyDescent="0.2">
      <c r="B35" t="s">
        <v>27</v>
      </c>
      <c r="C35" t="s">
        <v>49</v>
      </c>
      <c r="D35" s="17">
        <v>44628</v>
      </c>
      <c r="E35" s="10">
        <v>8</v>
      </c>
      <c r="F35" t="s">
        <v>159</v>
      </c>
      <c r="G35" s="11">
        <f>+SUM(G36:G43)</f>
        <v>1</v>
      </c>
      <c r="I35" s="13">
        <f>+SUM(I36:I43)</f>
        <v>234</v>
      </c>
      <c r="J35" s="12">
        <f>+SUMPRODUCT(G36:G43,J36:J43)</f>
        <v>0.02</v>
      </c>
      <c r="K35" s="12">
        <f>+SUMPRODUCT(G36:G43,K36:K43)</f>
        <v>0.02</v>
      </c>
      <c r="L35" s="10"/>
      <c r="N35" s="13">
        <f>+SUM(N36:N43)</f>
        <v>13</v>
      </c>
      <c r="U35" s="13">
        <f>+SUM(U36:U43)</f>
        <v>13</v>
      </c>
      <c r="AB35" s="13">
        <f>+SUM(AB36:AB43)</f>
        <v>13</v>
      </c>
      <c r="AI35" s="13">
        <f>+SUM(AI36:AI43)</f>
        <v>13</v>
      </c>
      <c r="AP35" s="13">
        <f>+SUM(AP36:AP43)</f>
        <v>13</v>
      </c>
      <c r="AW35" s="13">
        <f>+SUM(AW36:AW43)</f>
        <v>13</v>
      </c>
      <c r="BD35" s="13">
        <f>+SUM(BD36:BD43)</f>
        <v>13</v>
      </c>
      <c r="BK35" s="13">
        <f>+SUM(BK36:BK43)</f>
        <v>13</v>
      </c>
      <c r="BR35" s="13">
        <f>+SUM(BR36:BR43)</f>
        <v>13</v>
      </c>
      <c r="BY35" s="13">
        <f>+SUM(BY36:BY43)</f>
        <v>13</v>
      </c>
      <c r="CF35" s="13">
        <f>+SUM(CF36:CF43)</f>
        <v>13</v>
      </c>
      <c r="CM35" s="13">
        <f>+SUM(CM36:CM43)</f>
        <v>13</v>
      </c>
      <c r="CT35" s="13">
        <f>+SUM(CT36:CT43)</f>
        <v>13</v>
      </c>
      <c r="DA35" s="13">
        <f>+SUM(DA36:DA43)</f>
        <v>13</v>
      </c>
      <c r="DH35" s="13">
        <f>+SUM(DH36:DH43)</f>
        <v>13</v>
      </c>
      <c r="DO35" s="13">
        <f>+SUM(DO36:DO43)</f>
        <v>13</v>
      </c>
      <c r="DV35" s="13">
        <f>+SUM(DV36:DV43)</f>
        <v>13</v>
      </c>
      <c r="EC35" s="13">
        <f>+SUM(EC36:EC43)</f>
        <v>13</v>
      </c>
    </row>
    <row r="36" spans="2:186" outlineLevel="1" x14ac:dyDescent="0.2">
      <c r="B36" t="s">
        <v>28</v>
      </c>
      <c r="E36" s="10"/>
      <c r="F36" t="s">
        <v>148</v>
      </c>
      <c r="G36" s="11">
        <v>0.02</v>
      </c>
      <c r="I36" s="10">
        <f t="shared" ref="I36:I43" si="4">+SUMIF($N$3:$ZZ$3,I$3,$N36:$ZZ36)</f>
        <v>13</v>
      </c>
      <c r="J36" s="12">
        <f t="shared" ref="J36:K43" si="5">+_xlfn.MAXIFS($N36:$ZF36,$N$3:$ZF$3,J$3)</f>
        <v>1</v>
      </c>
      <c r="K36" s="12">
        <f t="shared" si="5"/>
        <v>1</v>
      </c>
      <c r="L36" s="10"/>
      <c r="N36">
        <v>13</v>
      </c>
      <c r="O36" s="11">
        <v>1</v>
      </c>
      <c r="P36" s="11">
        <v>1</v>
      </c>
      <c r="Q36" s="11">
        <v>1</v>
      </c>
      <c r="R36" s="11">
        <v>1</v>
      </c>
      <c r="U36">
        <v>0</v>
      </c>
      <c r="V36" s="11"/>
      <c r="W36" s="11">
        <v>1</v>
      </c>
      <c r="X36" s="11"/>
      <c r="Y36" s="11">
        <v>1</v>
      </c>
      <c r="AB36">
        <v>0</v>
      </c>
      <c r="AC36" s="11"/>
      <c r="AD36" s="11">
        <v>1</v>
      </c>
      <c r="AE36" s="11"/>
      <c r="AF36" s="11">
        <v>1</v>
      </c>
      <c r="AI36">
        <v>0</v>
      </c>
      <c r="AJ36" s="11"/>
      <c r="AK36" s="11">
        <v>1</v>
      </c>
      <c r="AL36" s="11"/>
      <c r="AM36" s="11">
        <v>1</v>
      </c>
      <c r="AP36">
        <v>0</v>
      </c>
      <c r="AQ36" s="11"/>
      <c r="AR36" s="11">
        <v>1</v>
      </c>
      <c r="AS36" s="11"/>
      <c r="AT36" s="11">
        <v>1</v>
      </c>
      <c r="AW36">
        <v>0</v>
      </c>
      <c r="AX36" s="11"/>
      <c r="AY36" s="11">
        <v>1</v>
      </c>
      <c r="AZ36" s="11"/>
      <c r="BA36" s="11">
        <v>1</v>
      </c>
      <c r="BD36">
        <v>0</v>
      </c>
      <c r="BE36" s="11"/>
      <c r="BF36" s="11">
        <v>1</v>
      </c>
      <c r="BG36" s="11"/>
      <c r="BH36" s="11">
        <v>1</v>
      </c>
      <c r="BK36">
        <v>0</v>
      </c>
      <c r="BL36" s="11"/>
      <c r="BM36" s="11">
        <v>1</v>
      </c>
      <c r="BN36" s="11"/>
      <c r="BO36" s="11">
        <v>1</v>
      </c>
      <c r="BR36">
        <v>0</v>
      </c>
      <c r="BS36" s="11"/>
      <c r="BT36" s="11">
        <v>1</v>
      </c>
      <c r="BU36" s="11"/>
      <c r="BV36" s="11">
        <v>1</v>
      </c>
      <c r="BY36">
        <v>0</v>
      </c>
      <c r="BZ36" s="11"/>
      <c r="CA36" s="11">
        <v>1</v>
      </c>
      <c r="CB36" s="11"/>
      <c r="CC36" s="11">
        <v>1</v>
      </c>
      <c r="CF36">
        <v>0</v>
      </c>
      <c r="CG36" s="11"/>
      <c r="CH36" s="11">
        <v>1</v>
      </c>
      <c r="CI36" s="11"/>
      <c r="CJ36" s="11">
        <v>1</v>
      </c>
      <c r="CM36">
        <v>0</v>
      </c>
      <c r="CN36" s="11"/>
      <c r="CO36" s="11">
        <v>1</v>
      </c>
      <c r="CP36" s="11"/>
      <c r="CQ36" s="11">
        <v>1</v>
      </c>
      <c r="CT36">
        <v>0</v>
      </c>
      <c r="CU36" s="11"/>
      <c r="CV36" s="11">
        <v>1</v>
      </c>
      <c r="CW36" s="11"/>
      <c r="CX36" s="11">
        <v>1</v>
      </c>
      <c r="DA36">
        <v>0</v>
      </c>
      <c r="DB36" s="11"/>
      <c r="DC36" s="11">
        <v>1</v>
      </c>
      <c r="DD36" s="11"/>
      <c r="DE36" s="11">
        <v>1</v>
      </c>
      <c r="DH36">
        <v>0</v>
      </c>
      <c r="DI36" s="11"/>
      <c r="DJ36" s="11">
        <v>1</v>
      </c>
      <c r="DK36" s="11"/>
      <c r="DL36" s="11">
        <v>1</v>
      </c>
      <c r="DO36">
        <v>0</v>
      </c>
      <c r="DP36" s="11"/>
      <c r="DQ36" s="11">
        <v>1</v>
      </c>
      <c r="DR36" s="11"/>
      <c r="DS36" s="11">
        <v>1</v>
      </c>
      <c r="DV36">
        <v>0</v>
      </c>
      <c r="DW36" s="11"/>
      <c r="DX36" s="11">
        <v>1</v>
      </c>
      <c r="DY36" s="11"/>
      <c r="DZ36" s="11">
        <v>1</v>
      </c>
      <c r="EC36">
        <v>0</v>
      </c>
      <c r="ED36" s="11"/>
      <c r="EE36" s="11">
        <v>1</v>
      </c>
      <c r="EF36" s="11"/>
      <c r="EG36" s="11">
        <v>1</v>
      </c>
      <c r="EK36" s="11"/>
      <c r="EL36" s="11"/>
      <c r="EM36" s="11"/>
      <c r="EN36" s="11"/>
      <c r="ER36" s="11"/>
      <c r="ES36" s="11"/>
      <c r="ET36" s="11"/>
      <c r="EU36" s="11"/>
      <c r="EY36" s="11"/>
      <c r="EZ36" s="11"/>
      <c r="FA36" s="11"/>
      <c r="FB36" s="11"/>
      <c r="FF36" s="11"/>
      <c r="FG36" s="11"/>
      <c r="FH36" s="11"/>
      <c r="FI36" s="11"/>
      <c r="FM36" s="11"/>
      <c r="FN36" s="11"/>
      <c r="FO36" s="11"/>
      <c r="FP36" s="11"/>
      <c r="FT36" s="11"/>
      <c r="FU36" s="11"/>
      <c r="FV36" s="11"/>
      <c r="FW36" s="11"/>
      <c r="GA36" s="11"/>
      <c r="GB36" s="11"/>
      <c r="GC36" s="11"/>
      <c r="GD36" s="11"/>
    </row>
    <row r="37" spans="2:186" outlineLevel="1" x14ac:dyDescent="0.2">
      <c r="B37" t="s">
        <v>28</v>
      </c>
      <c r="E37" s="10"/>
      <c r="F37" t="s">
        <v>104</v>
      </c>
      <c r="G37" s="11">
        <v>0.14000000000000001</v>
      </c>
      <c r="I37" s="10">
        <f t="shared" si="4"/>
        <v>26</v>
      </c>
      <c r="J37" s="12">
        <f t="shared" si="5"/>
        <v>0</v>
      </c>
      <c r="K37" s="12">
        <f t="shared" si="5"/>
        <v>0</v>
      </c>
      <c r="L37" s="10"/>
      <c r="O37" s="11"/>
      <c r="P37" s="11"/>
      <c r="Q37" s="11"/>
      <c r="R37" s="11"/>
      <c r="U37">
        <v>13</v>
      </c>
      <c r="V37" s="11"/>
      <c r="W37" s="11">
        <v>0.5</v>
      </c>
      <c r="X37" s="11"/>
      <c r="Y37" s="11">
        <v>0.5</v>
      </c>
      <c r="AB37">
        <v>13</v>
      </c>
      <c r="AC37" s="11"/>
      <c r="AD37" s="11">
        <v>1</v>
      </c>
      <c r="AE37" s="11"/>
      <c r="AF37" s="11">
        <v>1</v>
      </c>
      <c r="AI37">
        <v>0</v>
      </c>
      <c r="AJ37" s="11"/>
      <c r="AK37" s="11">
        <v>1</v>
      </c>
      <c r="AL37" s="11"/>
      <c r="AM37" s="11">
        <v>1</v>
      </c>
      <c r="AP37">
        <v>0</v>
      </c>
      <c r="AQ37" s="11"/>
      <c r="AR37" s="11">
        <v>1</v>
      </c>
      <c r="AS37" s="11"/>
      <c r="AT37" s="11">
        <v>1</v>
      </c>
      <c r="AW37">
        <v>0</v>
      </c>
      <c r="AX37" s="11"/>
      <c r="AY37" s="11">
        <v>1</v>
      </c>
      <c r="AZ37" s="11"/>
      <c r="BA37" s="11">
        <v>1</v>
      </c>
      <c r="BD37">
        <v>0</v>
      </c>
      <c r="BE37" s="11"/>
      <c r="BF37" s="11">
        <v>1</v>
      </c>
      <c r="BG37" s="11"/>
      <c r="BH37" s="11">
        <v>1</v>
      </c>
      <c r="BK37">
        <v>0</v>
      </c>
      <c r="BL37" s="11"/>
      <c r="BM37" s="11">
        <v>1</v>
      </c>
      <c r="BN37" s="11"/>
      <c r="BO37" s="11">
        <v>1</v>
      </c>
      <c r="BR37">
        <v>0</v>
      </c>
      <c r="BS37" s="11"/>
      <c r="BT37" s="11">
        <v>1</v>
      </c>
      <c r="BU37" s="11"/>
      <c r="BV37" s="11">
        <v>1</v>
      </c>
      <c r="BY37">
        <v>0</v>
      </c>
      <c r="BZ37" s="11"/>
      <c r="CA37" s="11">
        <v>1</v>
      </c>
      <c r="CB37" s="11"/>
      <c r="CC37" s="11">
        <v>1</v>
      </c>
      <c r="CF37">
        <v>0</v>
      </c>
      <c r="CG37" s="11"/>
      <c r="CH37" s="11">
        <v>1</v>
      </c>
      <c r="CI37" s="11"/>
      <c r="CJ37" s="11">
        <v>1</v>
      </c>
      <c r="CM37">
        <v>0</v>
      </c>
      <c r="CN37" s="11"/>
      <c r="CO37" s="11">
        <v>1</v>
      </c>
      <c r="CP37" s="11"/>
      <c r="CQ37" s="11">
        <v>1</v>
      </c>
      <c r="CT37">
        <v>0</v>
      </c>
      <c r="CU37" s="11"/>
      <c r="CV37" s="11">
        <v>1</v>
      </c>
      <c r="CW37" s="11"/>
      <c r="CX37" s="11">
        <v>1</v>
      </c>
      <c r="DA37">
        <v>0</v>
      </c>
      <c r="DB37" s="11"/>
      <c r="DC37" s="11">
        <v>1</v>
      </c>
      <c r="DD37" s="11"/>
      <c r="DE37" s="11">
        <v>1</v>
      </c>
      <c r="DH37">
        <v>0</v>
      </c>
      <c r="DI37" s="11"/>
      <c r="DJ37" s="11">
        <v>1</v>
      </c>
      <c r="DK37" s="11"/>
      <c r="DL37" s="11">
        <v>1</v>
      </c>
      <c r="DO37">
        <v>0</v>
      </c>
      <c r="DP37" s="11"/>
      <c r="DQ37" s="11">
        <v>1</v>
      </c>
      <c r="DR37" s="11"/>
      <c r="DS37" s="11">
        <v>1</v>
      </c>
      <c r="DV37">
        <v>0</v>
      </c>
      <c r="DW37" s="11"/>
      <c r="DX37" s="11">
        <v>1</v>
      </c>
      <c r="DY37" s="11"/>
      <c r="DZ37" s="11">
        <v>1</v>
      </c>
      <c r="EC37">
        <v>0</v>
      </c>
      <c r="ED37" s="11"/>
      <c r="EE37" s="11">
        <v>1</v>
      </c>
      <c r="EF37" s="11"/>
      <c r="EG37" s="11">
        <v>1</v>
      </c>
      <c r="EK37" s="11"/>
      <c r="EL37" s="11"/>
      <c r="EM37" s="11"/>
      <c r="EN37" s="11"/>
      <c r="ER37" s="11"/>
      <c r="ES37" s="11"/>
      <c r="ET37" s="11"/>
      <c r="EU37" s="11"/>
      <c r="EY37" s="11"/>
      <c r="EZ37" s="11"/>
      <c r="FA37" s="11"/>
      <c r="FB37" s="11"/>
      <c r="FF37" s="11"/>
      <c r="FG37" s="11"/>
      <c r="FH37" s="11"/>
      <c r="FI37" s="11"/>
      <c r="FM37" s="11"/>
      <c r="FN37" s="11"/>
      <c r="FO37" s="11"/>
      <c r="FP37" s="11"/>
      <c r="FT37" s="11"/>
      <c r="FU37" s="11"/>
      <c r="FV37" s="11"/>
      <c r="FW37" s="11"/>
      <c r="GA37" s="11"/>
      <c r="GB37" s="11"/>
      <c r="GC37" s="11"/>
      <c r="GD37" s="11"/>
    </row>
    <row r="38" spans="2:186" outlineLevel="1" x14ac:dyDescent="0.2">
      <c r="B38" t="s">
        <v>28</v>
      </c>
      <c r="E38" s="10"/>
      <c r="F38" t="s">
        <v>108</v>
      </c>
      <c r="G38" s="11">
        <v>0.31</v>
      </c>
      <c r="I38" s="10">
        <f t="shared" si="4"/>
        <v>78</v>
      </c>
      <c r="J38" s="12">
        <f t="shared" si="5"/>
        <v>0</v>
      </c>
      <c r="K38" s="12">
        <f t="shared" si="5"/>
        <v>0</v>
      </c>
      <c r="L38" s="10"/>
      <c r="O38" s="11"/>
      <c r="P38" s="11"/>
      <c r="Q38" s="11"/>
      <c r="R38" s="11"/>
      <c r="V38" s="11"/>
      <c r="W38" s="11"/>
      <c r="X38" s="11"/>
      <c r="Y38" s="11"/>
      <c r="AC38" s="11"/>
      <c r="AD38" s="11"/>
      <c r="AE38" s="11"/>
      <c r="AF38" s="11"/>
      <c r="AI38">
        <v>13</v>
      </c>
      <c r="AJ38" s="11"/>
      <c r="AK38" s="11">
        <v>0.2</v>
      </c>
      <c r="AL38" s="11"/>
      <c r="AM38" s="11">
        <v>0.2</v>
      </c>
      <c r="AP38">
        <v>13</v>
      </c>
      <c r="AQ38" s="11"/>
      <c r="AR38" s="11">
        <v>0.3</v>
      </c>
      <c r="AS38" s="11"/>
      <c r="AT38" s="11">
        <v>0.3</v>
      </c>
      <c r="AW38">
        <v>13</v>
      </c>
      <c r="AX38" s="11"/>
      <c r="AY38" s="11">
        <v>0.5</v>
      </c>
      <c r="AZ38" s="11"/>
      <c r="BA38" s="11">
        <v>0.5</v>
      </c>
      <c r="BD38">
        <v>13</v>
      </c>
      <c r="BE38" s="11"/>
      <c r="BF38" s="11">
        <v>0.6</v>
      </c>
      <c r="BG38" s="11"/>
      <c r="BH38" s="11">
        <v>0.6</v>
      </c>
      <c r="BK38">
        <v>13</v>
      </c>
      <c r="BL38" s="11"/>
      <c r="BM38" s="11">
        <v>0.8</v>
      </c>
      <c r="BN38" s="11"/>
      <c r="BO38" s="11">
        <v>0.8</v>
      </c>
      <c r="BR38">
        <v>13</v>
      </c>
      <c r="BS38" s="11"/>
      <c r="BT38" s="11">
        <v>1</v>
      </c>
      <c r="BU38" s="11"/>
      <c r="BV38" s="11">
        <v>1</v>
      </c>
      <c r="BY38">
        <v>0</v>
      </c>
      <c r="BZ38" s="11"/>
      <c r="CA38" s="11">
        <v>1</v>
      </c>
      <c r="CB38" s="11"/>
      <c r="CC38" s="11">
        <v>1</v>
      </c>
      <c r="CF38">
        <v>0</v>
      </c>
      <c r="CG38" s="11"/>
      <c r="CH38" s="11">
        <v>1</v>
      </c>
      <c r="CI38" s="11"/>
      <c r="CJ38" s="11">
        <v>1</v>
      </c>
      <c r="CM38">
        <v>0</v>
      </c>
      <c r="CN38" s="11"/>
      <c r="CO38" s="11">
        <v>1</v>
      </c>
      <c r="CP38" s="11"/>
      <c r="CQ38" s="11">
        <v>1</v>
      </c>
      <c r="CT38">
        <v>0</v>
      </c>
      <c r="CU38" s="11"/>
      <c r="CV38" s="11">
        <v>1</v>
      </c>
      <c r="CW38" s="11"/>
      <c r="CX38" s="11">
        <v>1</v>
      </c>
      <c r="DA38">
        <v>0</v>
      </c>
      <c r="DB38" s="11"/>
      <c r="DC38" s="11">
        <v>1</v>
      </c>
      <c r="DD38" s="11"/>
      <c r="DE38" s="11">
        <v>1</v>
      </c>
      <c r="DH38">
        <v>0</v>
      </c>
      <c r="DI38" s="11"/>
      <c r="DJ38" s="11">
        <v>1</v>
      </c>
      <c r="DK38" s="11"/>
      <c r="DL38" s="11">
        <v>1</v>
      </c>
      <c r="DO38">
        <v>0</v>
      </c>
      <c r="DP38" s="11"/>
      <c r="DQ38" s="11">
        <v>1</v>
      </c>
      <c r="DR38" s="11"/>
      <c r="DS38" s="11">
        <v>1</v>
      </c>
      <c r="DV38">
        <v>0</v>
      </c>
      <c r="DW38" s="11"/>
      <c r="DX38" s="11">
        <v>1</v>
      </c>
      <c r="DY38" s="11"/>
      <c r="DZ38" s="11">
        <v>1</v>
      </c>
      <c r="EC38">
        <v>0</v>
      </c>
      <c r="ED38" s="11"/>
      <c r="EE38" s="11">
        <v>1</v>
      </c>
      <c r="EF38" s="11"/>
      <c r="EG38" s="11">
        <v>1</v>
      </c>
      <c r="EK38" s="11"/>
      <c r="EL38" s="11"/>
      <c r="EM38" s="11"/>
      <c r="EN38" s="11"/>
      <c r="ER38" s="11"/>
      <c r="ES38" s="11"/>
      <c r="ET38" s="11"/>
      <c r="EU38" s="11"/>
      <c r="EY38" s="11"/>
      <c r="EZ38" s="11"/>
      <c r="FA38" s="11"/>
      <c r="FB38" s="11"/>
      <c r="FF38" s="11"/>
      <c r="FG38" s="11"/>
      <c r="FH38" s="11"/>
      <c r="FI38" s="11"/>
      <c r="FM38" s="11"/>
      <c r="FN38" s="11"/>
      <c r="FO38" s="11"/>
      <c r="FP38" s="11"/>
      <c r="FT38" s="11"/>
      <c r="FU38" s="11"/>
      <c r="FV38" s="11"/>
      <c r="FW38" s="11"/>
      <c r="GA38" s="11"/>
      <c r="GB38" s="11"/>
      <c r="GC38" s="11"/>
      <c r="GD38" s="11"/>
    </row>
    <row r="39" spans="2:186" outlineLevel="1" x14ac:dyDescent="0.2">
      <c r="B39" t="s">
        <v>28</v>
      </c>
      <c r="E39" s="10"/>
      <c r="F39" t="s">
        <v>105</v>
      </c>
      <c r="G39" s="11">
        <v>0.22</v>
      </c>
      <c r="I39" s="10">
        <f t="shared" si="4"/>
        <v>52</v>
      </c>
      <c r="J39" s="12">
        <f t="shared" si="5"/>
        <v>0</v>
      </c>
      <c r="K39" s="12">
        <f t="shared" si="5"/>
        <v>0</v>
      </c>
      <c r="L39" s="10"/>
      <c r="O39" s="11"/>
      <c r="P39" s="11"/>
      <c r="Q39" s="11"/>
      <c r="R39" s="11"/>
      <c r="V39" s="11"/>
      <c r="W39" s="11"/>
      <c r="X39" s="11"/>
      <c r="Y39" s="11"/>
      <c r="AC39" s="11"/>
      <c r="AD39" s="11"/>
      <c r="AE39" s="11"/>
      <c r="AF39" s="11"/>
      <c r="AJ39" s="11"/>
      <c r="AK39" s="11"/>
      <c r="AL39" s="11"/>
      <c r="AM39" s="11"/>
      <c r="AQ39" s="11"/>
      <c r="AR39" s="11"/>
      <c r="AS39" s="11"/>
      <c r="AT39" s="11"/>
      <c r="AX39" s="11"/>
      <c r="AY39" s="11"/>
      <c r="AZ39" s="11"/>
      <c r="BA39" s="11"/>
      <c r="BE39" s="11"/>
      <c r="BF39" s="11"/>
      <c r="BG39" s="11"/>
      <c r="BH39" s="11"/>
      <c r="BL39" s="11"/>
      <c r="BM39" s="11"/>
      <c r="BN39" s="11"/>
      <c r="BO39" s="11"/>
      <c r="BS39" s="11"/>
      <c r="BT39" s="11"/>
      <c r="BU39" s="11"/>
      <c r="BV39" s="11"/>
      <c r="BY39">
        <v>13</v>
      </c>
      <c r="BZ39" s="11"/>
      <c r="CA39" s="11">
        <v>0.3</v>
      </c>
      <c r="CB39" s="11"/>
      <c r="CC39" s="11">
        <v>0.3</v>
      </c>
      <c r="CF39">
        <v>13</v>
      </c>
      <c r="CG39" s="11"/>
      <c r="CH39" s="11">
        <v>0.5</v>
      </c>
      <c r="CI39" s="11"/>
      <c r="CJ39" s="11">
        <v>0.5</v>
      </c>
      <c r="CM39">
        <v>13</v>
      </c>
      <c r="CN39" s="11"/>
      <c r="CO39" s="11">
        <v>0.8</v>
      </c>
      <c r="CP39" s="11"/>
      <c r="CQ39" s="11">
        <v>0.8</v>
      </c>
      <c r="CT39">
        <v>13</v>
      </c>
      <c r="CU39" s="11"/>
      <c r="CV39" s="11">
        <v>1</v>
      </c>
      <c r="CW39" s="11"/>
      <c r="CX39" s="11">
        <v>1</v>
      </c>
      <c r="DA39">
        <v>0</v>
      </c>
      <c r="DB39" s="11"/>
      <c r="DC39" s="11">
        <v>1</v>
      </c>
      <c r="DD39" s="11"/>
      <c r="DE39" s="11">
        <v>1</v>
      </c>
      <c r="DH39">
        <v>0</v>
      </c>
      <c r="DI39" s="11"/>
      <c r="DJ39" s="11">
        <v>1</v>
      </c>
      <c r="DK39" s="11"/>
      <c r="DL39" s="11">
        <v>1</v>
      </c>
      <c r="DO39">
        <v>0</v>
      </c>
      <c r="DP39" s="11"/>
      <c r="DQ39" s="11">
        <v>1</v>
      </c>
      <c r="DR39" s="11"/>
      <c r="DS39" s="11">
        <v>1</v>
      </c>
      <c r="DV39">
        <v>0</v>
      </c>
      <c r="DW39" s="11"/>
      <c r="DX39" s="11">
        <v>1</v>
      </c>
      <c r="DY39" s="11"/>
      <c r="DZ39" s="11">
        <v>1</v>
      </c>
      <c r="EC39">
        <v>0</v>
      </c>
      <c r="ED39" s="11"/>
      <c r="EE39" s="11">
        <v>1</v>
      </c>
      <c r="EF39" s="11"/>
      <c r="EG39" s="11">
        <v>1</v>
      </c>
      <c r="EK39" s="11"/>
      <c r="EL39" s="11"/>
      <c r="EM39" s="11"/>
      <c r="EN39" s="11"/>
      <c r="ER39" s="11"/>
      <c r="ES39" s="11"/>
      <c r="ET39" s="11"/>
      <c r="EU39" s="11"/>
      <c r="EY39" s="11"/>
      <c r="EZ39" s="11"/>
      <c r="FA39" s="11"/>
      <c r="FB39" s="11"/>
      <c r="FF39" s="11"/>
      <c r="FG39" s="11"/>
      <c r="FH39" s="11"/>
      <c r="FI39" s="11"/>
      <c r="FM39" s="11"/>
      <c r="FN39" s="11"/>
      <c r="FO39" s="11"/>
      <c r="FP39" s="11"/>
      <c r="FT39" s="11"/>
      <c r="FU39" s="11"/>
      <c r="FV39" s="11"/>
      <c r="FW39" s="11"/>
      <c r="GA39" s="11"/>
      <c r="GB39" s="11"/>
      <c r="GC39" s="11"/>
      <c r="GD39" s="11"/>
    </row>
    <row r="40" spans="2:186" outlineLevel="1" x14ac:dyDescent="0.2">
      <c r="B40" t="s">
        <v>28</v>
      </c>
      <c r="E40" s="10"/>
      <c r="F40" t="s">
        <v>106</v>
      </c>
      <c r="G40" s="11">
        <v>0.11</v>
      </c>
      <c r="I40" s="10">
        <f t="shared" si="4"/>
        <v>26</v>
      </c>
      <c r="J40" s="12">
        <f t="shared" si="5"/>
        <v>0</v>
      </c>
      <c r="K40" s="12">
        <f t="shared" si="5"/>
        <v>0</v>
      </c>
      <c r="L40" s="10"/>
      <c r="O40" s="11"/>
      <c r="P40" s="11"/>
      <c r="Q40" s="11"/>
      <c r="R40" s="11"/>
      <c r="V40" s="11"/>
      <c r="W40" s="11"/>
      <c r="X40" s="11"/>
      <c r="Y40" s="11"/>
      <c r="AC40" s="11"/>
      <c r="AD40" s="11"/>
      <c r="AE40" s="11"/>
      <c r="AF40" s="11"/>
      <c r="AJ40" s="11"/>
      <c r="AK40" s="11"/>
      <c r="AL40" s="11"/>
      <c r="AM40" s="11"/>
      <c r="AQ40" s="11"/>
      <c r="AR40" s="11"/>
      <c r="AS40" s="11"/>
      <c r="AT40" s="11"/>
      <c r="AX40" s="11"/>
      <c r="AY40" s="11"/>
      <c r="AZ40" s="11"/>
      <c r="BA40" s="11"/>
      <c r="BE40" s="11"/>
      <c r="BF40" s="11"/>
      <c r="BG40" s="11"/>
      <c r="BH40" s="11"/>
      <c r="BL40" s="11"/>
      <c r="BM40" s="11"/>
      <c r="BN40" s="11"/>
      <c r="BO40" s="11"/>
      <c r="BS40" s="11"/>
      <c r="BT40" s="11"/>
      <c r="BU40" s="11"/>
      <c r="BV40" s="11"/>
      <c r="BZ40" s="11"/>
      <c r="CA40" s="11"/>
      <c r="CB40" s="11"/>
      <c r="CC40" s="11"/>
      <c r="CG40" s="11"/>
      <c r="CH40" s="11"/>
      <c r="CI40" s="11"/>
      <c r="CJ40" s="11"/>
      <c r="CN40" s="11"/>
      <c r="CO40" s="11"/>
      <c r="CP40" s="11"/>
      <c r="CQ40" s="11"/>
      <c r="CU40" s="11"/>
      <c r="CV40" s="11"/>
      <c r="CW40" s="11"/>
      <c r="CX40" s="11"/>
      <c r="DA40">
        <v>13</v>
      </c>
      <c r="DB40" s="11"/>
      <c r="DC40" s="11">
        <v>0.5</v>
      </c>
      <c r="DD40" s="11"/>
      <c r="DE40" s="11">
        <v>0.5</v>
      </c>
      <c r="DH40">
        <v>13</v>
      </c>
      <c r="DI40" s="11"/>
      <c r="DJ40" s="11">
        <v>1</v>
      </c>
      <c r="DK40" s="11"/>
      <c r="DL40" s="11">
        <v>1</v>
      </c>
      <c r="DO40">
        <v>0</v>
      </c>
      <c r="DP40" s="11"/>
      <c r="DQ40" s="11">
        <v>1</v>
      </c>
      <c r="DR40" s="11"/>
      <c r="DS40" s="11">
        <v>1</v>
      </c>
      <c r="DV40">
        <v>0</v>
      </c>
      <c r="DW40" s="11"/>
      <c r="DX40" s="11">
        <v>1</v>
      </c>
      <c r="DY40" s="11"/>
      <c r="DZ40" s="11">
        <v>1</v>
      </c>
      <c r="EC40">
        <v>0</v>
      </c>
      <c r="ED40" s="11"/>
      <c r="EE40" s="11">
        <v>1</v>
      </c>
      <c r="EF40" s="11"/>
      <c r="EG40" s="11">
        <v>1</v>
      </c>
      <c r="EK40" s="11"/>
      <c r="EL40" s="11"/>
      <c r="EM40" s="11"/>
      <c r="EN40" s="11"/>
      <c r="ER40" s="11"/>
      <c r="ES40" s="11"/>
      <c r="ET40" s="11"/>
      <c r="EU40" s="11"/>
      <c r="EY40" s="11"/>
      <c r="EZ40" s="11"/>
      <c r="FA40" s="11"/>
      <c r="FB40" s="11"/>
      <c r="FF40" s="11"/>
      <c r="FG40" s="11"/>
      <c r="FH40" s="11"/>
      <c r="FI40" s="11"/>
      <c r="FM40" s="11"/>
      <c r="FN40" s="11"/>
      <c r="FO40" s="11"/>
      <c r="FP40" s="11"/>
      <c r="FT40" s="11"/>
      <c r="FU40" s="11"/>
      <c r="FV40" s="11"/>
      <c r="FW40" s="11"/>
      <c r="GA40" s="11"/>
      <c r="GB40" s="11"/>
      <c r="GC40" s="11"/>
      <c r="GD40" s="11"/>
    </row>
    <row r="41" spans="2:186" outlineLevel="1" x14ac:dyDescent="0.2">
      <c r="B41" t="s">
        <v>28</v>
      </c>
      <c r="E41" s="10"/>
      <c r="F41" t="s">
        <v>107</v>
      </c>
      <c r="G41" s="11">
        <v>0.12</v>
      </c>
      <c r="I41" s="10">
        <f t="shared" si="4"/>
        <v>26</v>
      </c>
      <c r="J41" s="12">
        <f t="shared" si="5"/>
        <v>0</v>
      </c>
      <c r="K41" s="12">
        <f t="shared" si="5"/>
        <v>0</v>
      </c>
      <c r="L41" s="10"/>
      <c r="O41" s="11"/>
      <c r="P41" s="11"/>
      <c r="Q41" s="11"/>
      <c r="R41" s="11"/>
      <c r="V41" s="11"/>
      <c r="W41" s="11"/>
      <c r="X41" s="11"/>
      <c r="Y41" s="11"/>
      <c r="AC41" s="11"/>
      <c r="AD41" s="11"/>
      <c r="AE41" s="11"/>
      <c r="AF41" s="11"/>
      <c r="AJ41" s="11"/>
      <c r="AK41" s="11"/>
      <c r="AL41" s="11"/>
      <c r="AM41" s="11"/>
      <c r="AQ41" s="11"/>
      <c r="AR41" s="11"/>
      <c r="AS41" s="11"/>
      <c r="AT41" s="11"/>
      <c r="AX41" s="11"/>
      <c r="AY41" s="11"/>
      <c r="AZ41" s="11"/>
      <c r="BA41" s="11"/>
      <c r="BE41" s="11"/>
      <c r="BF41" s="11"/>
      <c r="BG41" s="11"/>
      <c r="BH41" s="11"/>
      <c r="BL41" s="11"/>
      <c r="BM41" s="11"/>
      <c r="BN41" s="11"/>
      <c r="BO41" s="11"/>
      <c r="BS41" s="11"/>
      <c r="BT41" s="11"/>
      <c r="BU41" s="11"/>
      <c r="BV41" s="11"/>
      <c r="BZ41" s="11"/>
      <c r="CA41" s="11"/>
      <c r="CB41" s="11"/>
      <c r="CC41" s="11"/>
      <c r="CG41" s="11"/>
      <c r="CH41" s="11"/>
      <c r="CI41" s="11"/>
      <c r="CJ41" s="11"/>
      <c r="CN41" s="11"/>
      <c r="CO41" s="11"/>
      <c r="CP41" s="11"/>
      <c r="CQ41" s="11"/>
      <c r="CU41" s="11"/>
      <c r="CV41" s="11"/>
      <c r="CW41" s="11"/>
      <c r="CX41" s="11"/>
      <c r="DB41" s="11"/>
      <c r="DC41" s="11"/>
      <c r="DD41" s="11"/>
      <c r="DE41" s="11"/>
      <c r="DI41" s="11"/>
      <c r="DJ41" s="11"/>
      <c r="DK41" s="11"/>
      <c r="DL41" s="11"/>
      <c r="DO41">
        <v>13</v>
      </c>
      <c r="DP41" s="11"/>
      <c r="DQ41" s="11">
        <v>0.5</v>
      </c>
      <c r="DR41" s="11"/>
      <c r="DS41" s="11">
        <v>0.5</v>
      </c>
      <c r="DV41">
        <v>13</v>
      </c>
      <c r="DW41" s="11"/>
      <c r="DX41" s="11">
        <v>1</v>
      </c>
      <c r="DY41" s="11"/>
      <c r="DZ41" s="11">
        <v>1</v>
      </c>
      <c r="EC41">
        <v>0</v>
      </c>
      <c r="ED41" s="11"/>
      <c r="EE41" s="11">
        <v>1</v>
      </c>
      <c r="EF41" s="11"/>
      <c r="EG41" s="11">
        <v>1</v>
      </c>
      <c r="EK41" s="11"/>
      <c r="EL41" s="11"/>
      <c r="EM41" s="11"/>
      <c r="EN41" s="11"/>
      <c r="ER41" s="11"/>
      <c r="ES41" s="11"/>
      <c r="ET41" s="11"/>
      <c r="EU41" s="11"/>
      <c r="EY41" s="11"/>
      <c r="EZ41" s="11"/>
      <c r="FA41" s="11"/>
      <c r="FB41" s="11"/>
      <c r="FF41" s="11"/>
      <c r="FG41" s="11"/>
      <c r="FH41" s="11"/>
      <c r="FI41" s="11"/>
      <c r="FM41" s="11"/>
      <c r="FN41" s="11"/>
      <c r="FO41" s="11"/>
      <c r="FP41" s="11"/>
      <c r="FT41" s="11"/>
      <c r="FU41" s="11"/>
      <c r="FV41" s="11"/>
      <c r="FW41" s="11"/>
      <c r="GA41" s="11"/>
      <c r="GB41" s="11"/>
      <c r="GC41" s="11"/>
      <c r="GD41" s="11"/>
    </row>
    <row r="42" spans="2:186" outlineLevel="1" x14ac:dyDescent="0.2">
      <c r="B42" t="s">
        <v>28</v>
      </c>
      <c r="E42" s="10"/>
      <c r="F42" t="s">
        <v>146</v>
      </c>
      <c r="G42" s="11">
        <v>0.03</v>
      </c>
      <c r="I42" s="10">
        <f t="shared" si="4"/>
        <v>6.5</v>
      </c>
      <c r="J42" s="12">
        <f t="shared" si="5"/>
        <v>0</v>
      </c>
      <c r="K42" s="12">
        <f t="shared" si="5"/>
        <v>0</v>
      </c>
      <c r="L42" s="10"/>
      <c r="O42" s="11"/>
      <c r="P42" s="11"/>
      <c r="Q42" s="11"/>
      <c r="R42" s="11"/>
      <c r="V42" s="11"/>
      <c r="W42" s="11"/>
      <c r="X42" s="11"/>
      <c r="Y42" s="11"/>
      <c r="AC42" s="11"/>
      <c r="AD42" s="11"/>
      <c r="AE42" s="11"/>
      <c r="AF42" s="11"/>
      <c r="AJ42" s="11"/>
      <c r="AK42" s="11"/>
      <c r="AL42" s="11"/>
      <c r="AM42" s="11"/>
      <c r="AQ42" s="11"/>
      <c r="AR42" s="11"/>
      <c r="AS42" s="11"/>
      <c r="AT42" s="11"/>
      <c r="AX42" s="11"/>
      <c r="AY42" s="11"/>
      <c r="AZ42" s="11"/>
      <c r="BA42" s="11"/>
      <c r="BE42" s="11"/>
      <c r="BF42" s="11"/>
      <c r="BG42" s="11"/>
      <c r="BH42" s="11"/>
      <c r="BL42" s="11"/>
      <c r="BM42" s="11"/>
      <c r="BN42" s="11"/>
      <c r="BO42" s="11"/>
      <c r="BS42" s="11"/>
      <c r="BT42" s="11"/>
      <c r="BU42" s="11"/>
      <c r="BV42" s="11"/>
      <c r="BZ42" s="11"/>
      <c r="CA42" s="11"/>
      <c r="CB42" s="11"/>
      <c r="CC42" s="11"/>
      <c r="CG42" s="11"/>
      <c r="CH42" s="11"/>
      <c r="CI42" s="11"/>
      <c r="CJ42" s="11"/>
      <c r="CN42" s="11"/>
      <c r="CO42" s="11"/>
      <c r="CP42" s="11"/>
      <c r="CQ42" s="11"/>
      <c r="CU42" s="11"/>
      <c r="CV42" s="11"/>
      <c r="CW42" s="11"/>
      <c r="CX42" s="11"/>
      <c r="DB42" s="11"/>
      <c r="DC42" s="11"/>
      <c r="DD42" s="11"/>
      <c r="DE42" s="11"/>
      <c r="DI42" s="11"/>
      <c r="DJ42" s="11"/>
      <c r="DK42" s="11"/>
      <c r="DL42" s="11"/>
      <c r="DP42" s="11"/>
      <c r="DQ42" s="11"/>
      <c r="DR42" s="11"/>
      <c r="DS42" s="11"/>
      <c r="DW42" s="11"/>
      <c r="DX42" s="11"/>
      <c r="DY42" s="11"/>
      <c r="DZ42" s="11"/>
      <c r="EC42">
        <v>6.5</v>
      </c>
      <c r="ED42" s="11"/>
      <c r="EE42" s="11">
        <v>1</v>
      </c>
      <c r="EF42" s="11"/>
      <c r="EG42" s="11">
        <v>1</v>
      </c>
      <c r="EK42" s="11"/>
      <c r="EL42" s="11"/>
      <c r="EM42" s="11"/>
      <c r="EN42" s="11"/>
      <c r="ER42" s="11"/>
      <c r="ES42" s="11"/>
      <c r="ET42" s="11"/>
      <c r="EU42" s="11"/>
      <c r="EY42" s="11"/>
      <c r="EZ42" s="11"/>
      <c r="FA42" s="11"/>
      <c r="FB42" s="11"/>
      <c r="FF42" s="11"/>
      <c r="FG42" s="11"/>
      <c r="FH42" s="11"/>
      <c r="FI42" s="11"/>
      <c r="FM42" s="11"/>
      <c r="FN42" s="11"/>
      <c r="FO42" s="11"/>
      <c r="FP42" s="11"/>
      <c r="FT42" s="11"/>
      <c r="FU42" s="11"/>
      <c r="FV42" s="11"/>
      <c r="FW42" s="11"/>
      <c r="GA42" s="11"/>
      <c r="GB42" s="11"/>
      <c r="GC42" s="11"/>
      <c r="GD42" s="11"/>
    </row>
    <row r="43" spans="2:186" outlineLevel="1" x14ac:dyDescent="0.2">
      <c r="B43" t="s">
        <v>28</v>
      </c>
      <c r="E43" s="10"/>
      <c r="F43" t="s">
        <v>147</v>
      </c>
      <c r="G43" s="11">
        <v>0.05</v>
      </c>
      <c r="I43" s="10">
        <f t="shared" si="4"/>
        <v>6.5</v>
      </c>
      <c r="J43" s="12">
        <f t="shared" si="5"/>
        <v>0</v>
      </c>
      <c r="K43" s="12">
        <f t="shared" si="5"/>
        <v>0</v>
      </c>
      <c r="L43" s="10"/>
      <c r="O43" s="11"/>
      <c r="P43" s="11"/>
      <c r="Q43" s="11"/>
      <c r="R43" s="11"/>
      <c r="V43" s="11"/>
      <c r="W43" s="11"/>
      <c r="X43" s="11"/>
      <c r="Y43" s="11"/>
      <c r="AC43" s="11"/>
      <c r="AD43" s="11"/>
      <c r="AE43" s="11"/>
      <c r="AF43" s="11"/>
      <c r="AJ43" s="11"/>
      <c r="AK43" s="11"/>
      <c r="AL43" s="11"/>
      <c r="AM43" s="11"/>
      <c r="AQ43" s="11"/>
      <c r="AR43" s="11"/>
      <c r="AS43" s="11"/>
      <c r="AT43" s="11"/>
      <c r="AX43" s="11"/>
      <c r="AY43" s="11"/>
      <c r="AZ43" s="11"/>
      <c r="BA43" s="11"/>
      <c r="BE43" s="11"/>
      <c r="BF43" s="11"/>
      <c r="BG43" s="11"/>
      <c r="BH43" s="11"/>
      <c r="BL43" s="11"/>
      <c r="BM43" s="11"/>
      <c r="BN43" s="11"/>
      <c r="BO43" s="11"/>
      <c r="BS43" s="11"/>
      <c r="BT43" s="11"/>
      <c r="BU43" s="11"/>
      <c r="BV43" s="11"/>
      <c r="BZ43" s="11"/>
      <c r="CA43" s="11"/>
      <c r="CB43" s="11"/>
      <c r="CC43" s="11"/>
      <c r="CG43" s="11"/>
      <c r="CH43" s="11"/>
      <c r="CI43" s="11"/>
      <c r="CJ43" s="11"/>
      <c r="CN43" s="11"/>
      <c r="CO43" s="11"/>
      <c r="CP43" s="11"/>
      <c r="CQ43" s="11"/>
      <c r="CU43" s="11"/>
      <c r="CV43" s="11"/>
      <c r="CW43" s="11"/>
      <c r="CX43" s="11"/>
      <c r="DB43" s="11"/>
      <c r="DC43" s="11"/>
      <c r="DD43" s="11"/>
      <c r="DE43" s="11"/>
      <c r="DI43" s="11"/>
      <c r="DJ43" s="11"/>
      <c r="DK43" s="11"/>
      <c r="DL43" s="11"/>
      <c r="DP43" s="11"/>
      <c r="DQ43" s="11"/>
      <c r="DR43" s="11"/>
      <c r="DS43" s="11"/>
      <c r="DW43" s="11"/>
      <c r="DX43" s="11"/>
      <c r="DY43" s="11"/>
      <c r="DZ43" s="11"/>
      <c r="EC43">
        <v>6.5</v>
      </c>
      <c r="ED43" s="11"/>
      <c r="EE43" s="11">
        <v>1</v>
      </c>
      <c r="EF43" s="11"/>
      <c r="EG43" s="11">
        <v>1</v>
      </c>
      <c r="EK43" s="11"/>
      <c r="EL43" s="11"/>
      <c r="EM43" s="11"/>
      <c r="EN43" s="11"/>
      <c r="ER43" s="11"/>
      <c r="ES43" s="11"/>
      <c r="ET43" s="11"/>
      <c r="EU43" s="11"/>
      <c r="EY43" s="11"/>
      <c r="EZ43" s="11"/>
      <c r="FA43" s="11"/>
      <c r="FB43" s="11"/>
      <c r="FF43" s="11"/>
      <c r="FG43" s="11"/>
      <c r="FH43" s="11"/>
      <c r="FI43" s="11"/>
      <c r="FM43" s="11"/>
      <c r="FN43" s="11"/>
      <c r="FO43" s="11"/>
      <c r="FP43" s="11"/>
      <c r="FT43" s="11"/>
      <c r="FU43" s="11"/>
      <c r="FV43" s="11"/>
      <c r="FW43" s="11"/>
      <c r="GA43" s="11"/>
      <c r="GB43" s="11"/>
      <c r="GC43" s="11"/>
      <c r="GD43" s="11"/>
    </row>
    <row r="45" spans="2:186" x14ac:dyDescent="0.2">
      <c r="B45" t="s">
        <v>27</v>
      </c>
      <c r="C45" t="s">
        <v>50</v>
      </c>
      <c r="D45" s="17">
        <v>44631</v>
      </c>
      <c r="E45" s="10">
        <v>4</v>
      </c>
      <c r="F45" t="s">
        <v>159</v>
      </c>
      <c r="G45" s="11">
        <f>+SUM(G46:G55)</f>
        <v>1</v>
      </c>
      <c r="I45" s="13">
        <f>+SUM(I46:I55)</f>
        <v>90</v>
      </c>
      <c r="J45" s="12">
        <f>+SUMPRODUCT(G46:G55,J46:J55)</f>
        <v>0.05</v>
      </c>
      <c r="K45" s="12">
        <f>+SUMPRODUCT(G46:G55,K46:K55)</f>
        <v>0</v>
      </c>
      <c r="L45" s="10"/>
      <c r="N45" s="13">
        <f>+SUM(N46:N55)</f>
        <v>5</v>
      </c>
      <c r="U45" s="13">
        <f>+SUM(U46:U55)</f>
        <v>5</v>
      </c>
      <c r="AB45" s="13">
        <f>+SUM(AB46:AB55)</f>
        <v>5</v>
      </c>
      <c r="AI45" s="13">
        <f>+SUM(AI46:AI55)</f>
        <v>5</v>
      </c>
      <c r="AP45" s="13">
        <f>+SUM(AP46:AP55)</f>
        <v>5</v>
      </c>
      <c r="AW45" s="13">
        <f>+SUM(AW46:AW55)</f>
        <v>5</v>
      </c>
      <c r="BD45" s="13">
        <f>+SUM(BD46:BD55)</f>
        <v>5</v>
      </c>
      <c r="BK45" s="13">
        <f>+SUM(BK46:BK55)</f>
        <v>5</v>
      </c>
      <c r="BR45" s="13">
        <f>+SUM(BR46:BR55)</f>
        <v>5</v>
      </c>
      <c r="BY45" s="13">
        <f>+SUM(BY46:BY55)</f>
        <v>5</v>
      </c>
      <c r="CF45" s="13">
        <f>+SUM(CF46:CF55)</f>
        <v>5</v>
      </c>
      <c r="CM45" s="13">
        <f>+SUM(CM46:CM55)</f>
        <v>5</v>
      </c>
      <c r="CT45" s="13">
        <f>+SUM(CT46:CT55)</f>
        <v>5</v>
      </c>
      <c r="DA45" s="13">
        <f>+SUM(DA46:DA55)</f>
        <v>5</v>
      </c>
      <c r="DH45" s="13">
        <f>+SUM(DH46:DH55)</f>
        <v>5</v>
      </c>
      <c r="DO45" s="13">
        <f>+SUM(DO46:DO55)</f>
        <v>5</v>
      </c>
      <c r="DV45" s="13">
        <f>+SUM(DV46:DV55)</f>
        <v>5</v>
      </c>
      <c r="EC45" s="13">
        <f>+SUM(EC46:EC55)</f>
        <v>5</v>
      </c>
      <c r="EJ45" s="13">
        <f>+SUM(EJ46:EJ55)</f>
        <v>0</v>
      </c>
      <c r="EQ45" s="13">
        <f>+SUM(EQ46:EQ55)</f>
        <v>0</v>
      </c>
      <c r="EX45" s="13">
        <f>+SUM(EX46:EX55)</f>
        <v>0</v>
      </c>
      <c r="FE45" s="13">
        <f>+SUM(FE46:FE55)</f>
        <v>0</v>
      </c>
      <c r="FL45" s="13">
        <f>+SUM(FL46:FL55)</f>
        <v>0</v>
      </c>
      <c r="FS45" s="13">
        <f>+SUM(FS46:FS55)</f>
        <v>0</v>
      </c>
      <c r="FZ45" s="13">
        <f>+SUM(FZ46:FZ55)</f>
        <v>0</v>
      </c>
    </row>
    <row r="46" spans="2:186" outlineLevel="1" x14ac:dyDescent="0.2">
      <c r="B46" t="s">
        <v>28</v>
      </c>
      <c r="E46" s="10"/>
      <c r="F46" t="s">
        <v>117</v>
      </c>
      <c r="G46" s="11">
        <v>0.05</v>
      </c>
      <c r="I46" s="10">
        <f>+SUMIF($N$3:$ZZ$3,I$3,$N46:$ZZ46)</f>
        <v>5</v>
      </c>
      <c r="J46" s="12">
        <f t="shared" ref="J46:K52" si="6">+_xlfn.MAXIFS($N46:$ZF46,$N$3:$ZF$3,J$3)</f>
        <v>1</v>
      </c>
      <c r="K46" s="12">
        <f t="shared" si="6"/>
        <v>0</v>
      </c>
      <c r="L46" s="10"/>
      <c r="N46">
        <v>5</v>
      </c>
      <c r="O46" s="11">
        <v>1</v>
      </c>
      <c r="P46" s="11">
        <v>1</v>
      </c>
      <c r="Q46" s="11"/>
      <c r="R46" s="11"/>
      <c r="U46">
        <v>0</v>
      </c>
      <c r="V46" s="11"/>
      <c r="W46" s="11">
        <v>1</v>
      </c>
      <c r="X46" s="11"/>
      <c r="Y46" s="11"/>
      <c r="AB46">
        <v>0</v>
      </c>
      <c r="AC46" s="11"/>
      <c r="AD46" s="11">
        <v>1</v>
      </c>
      <c r="AE46" s="11"/>
      <c r="AF46" s="11"/>
      <c r="AI46">
        <v>0</v>
      </c>
      <c r="AJ46" s="11"/>
      <c r="AK46" s="11">
        <v>1</v>
      </c>
      <c r="AL46" s="11"/>
      <c r="AM46" s="11"/>
      <c r="AP46">
        <v>0</v>
      </c>
      <c r="AQ46" s="11"/>
      <c r="AR46" s="11">
        <v>1</v>
      </c>
      <c r="AS46" s="11"/>
      <c r="AT46" s="11"/>
      <c r="AW46">
        <v>0</v>
      </c>
      <c r="AX46" s="11"/>
      <c r="AY46" s="11">
        <v>1</v>
      </c>
      <c r="AZ46" s="11"/>
      <c r="BA46" s="11"/>
      <c r="BD46">
        <v>0</v>
      </c>
      <c r="BE46" s="11"/>
      <c r="BF46" s="11">
        <v>1</v>
      </c>
      <c r="BG46" s="11"/>
      <c r="BH46" s="11"/>
      <c r="BK46">
        <v>0</v>
      </c>
      <c r="BL46" s="11"/>
      <c r="BM46" s="11">
        <v>1</v>
      </c>
      <c r="BN46" s="11"/>
      <c r="BO46" s="11"/>
      <c r="BR46">
        <v>0</v>
      </c>
      <c r="BS46" s="11"/>
      <c r="BT46" s="11">
        <v>1</v>
      </c>
      <c r="BU46" s="11"/>
      <c r="BV46" s="11"/>
      <c r="BY46">
        <v>0</v>
      </c>
      <c r="BZ46" s="11"/>
      <c r="CA46" s="11">
        <v>1</v>
      </c>
      <c r="CB46" s="11"/>
      <c r="CC46" s="11"/>
      <c r="CF46">
        <v>0</v>
      </c>
      <c r="CG46" s="11"/>
      <c r="CH46" s="11">
        <v>1</v>
      </c>
      <c r="CI46" s="11"/>
      <c r="CJ46" s="11"/>
      <c r="CM46">
        <v>0</v>
      </c>
      <c r="CN46" s="11"/>
      <c r="CO46" s="11">
        <v>1</v>
      </c>
      <c r="CP46" s="11"/>
      <c r="CQ46" s="11"/>
      <c r="CT46">
        <v>0</v>
      </c>
      <c r="CU46" s="11"/>
      <c r="CV46" s="11">
        <v>1</v>
      </c>
      <c r="CW46" s="11"/>
      <c r="CX46" s="11"/>
      <c r="DA46">
        <v>0</v>
      </c>
      <c r="DB46" s="11"/>
      <c r="DC46" s="11">
        <v>1</v>
      </c>
      <c r="DD46" s="11"/>
      <c r="DE46" s="11"/>
      <c r="DH46">
        <v>0</v>
      </c>
      <c r="DI46" s="11"/>
      <c r="DJ46" s="11">
        <v>1</v>
      </c>
      <c r="DK46" s="11"/>
      <c r="DL46" s="11"/>
      <c r="DO46">
        <v>0</v>
      </c>
      <c r="DP46" s="11"/>
      <c r="DQ46" s="18">
        <v>1</v>
      </c>
      <c r="DR46" s="11"/>
      <c r="DS46" s="11"/>
      <c r="DV46">
        <v>0</v>
      </c>
      <c r="DW46" s="11"/>
      <c r="DX46" s="18">
        <v>1</v>
      </c>
      <c r="DY46" s="11"/>
      <c r="DZ46" s="11"/>
      <c r="EC46">
        <v>0</v>
      </c>
      <c r="ED46" s="11"/>
      <c r="EE46" s="18">
        <v>1</v>
      </c>
      <c r="EF46" s="11"/>
      <c r="EG46" s="11"/>
      <c r="EK46" s="11"/>
      <c r="EL46" s="11"/>
      <c r="EM46" s="11"/>
      <c r="EN46" s="11"/>
      <c r="ER46" s="11"/>
      <c r="ES46" s="11"/>
      <c r="ET46" s="11"/>
      <c r="EU46" s="11"/>
      <c r="EY46" s="11"/>
      <c r="EZ46" s="11"/>
      <c r="FA46" s="11"/>
      <c r="FB46" s="11"/>
      <c r="FF46" s="11"/>
      <c r="FG46" s="11"/>
      <c r="FH46" s="11"/>
      <c r="FI46" s="11"/>
      <c r="FM46" s="11"/>
      <c r="FN46" s="11"/>
      <c r="FO46" s="11"/>
      <c r="FP46" s="11"/>
      <c r="FT46" s="11"/>
      <c r="FU46" s="11"/>
      <c r="FV46" s="11"/>
      <c r="FW46" s="11"/>
      <c r="GA46" s="11"/>
      <c r="GB46" s="11"/>
      <c r="GC46" s="11"/>
      <c r="GD46" s="11"/>
    </row>
    <row r="47" spans="2:186" outlineLevel="1" x14ac:dyDescent="0.2">
      <c r="B47" t="s">
        <v>28</v>
      </c>
      <c r="E47" s="10"/>
      <c r="F47" t="s">
        <v>118</v>
      </c>
      <c r="G47" s="11">
        <v>0.16</v>
      </c>
      <c r="I47" s="10">
        <f t="shared" ref="I47:I52" si="7">+SUMIF($N$3:$ZZ$3,I$3,$N47:$ZZ47)</f>
        <v>15</v>
      </c>
      <c r="J47" s="12">
        <f t="shared" si="6"/>
        <v>0</v>
      </c>
      <c r="K47" s="12">
        <f t="shared" si="6"/>
        <v>0</v>
      </c>
      <c r="L47" s="10"/>
      <c r="O47" s="11"/>
      <c r="P47" s="11"/>
      <c r="Q47" s="11"/>
      <c r="R47" s="11"/>
      <c r="U47">
        <v>5</v>
      </c>
      <c r="V47" s="11"/>
      <c r="W47" s="11">
        <v>0.3</v>
      </c>
      <c r="X47" s="11"/>
      <c r="Y47" s="11"/>
      <c r="AB47">
        <v>5</v>
      </c>
      <c r="AC47" s="11"/>
      <c r="AD47" s="11">
        <v>0.7</v>
      </c>
      <c r="AE47" s="11"/>
      <c r="AF47" s="11"/>
      <c r="AI47">
        <v>5</v>
      </c>
      <c r="AJ47" s="11"/>
      <c r="AK47" s="11">
        <v>1</v>
      </c>
      <c r="AL47" s="11"/>
      <c r="AM47" s="11"/>
      <c r="AP47">
        <v>0</v>
      </c>
      <c r="AQ47" s="11"/>
      <c r="AR47" s="11">
        <v>1</v>
      </c>
      <c r="AS47" s="11"/>
      <c r="AT47" s="11"/>
      <c r="AW47">
        <v>0</v>
      </c>
      <c r="AX47" s="11"/>
      <c r="AY47" s="11">
        <v>1</v>
      </c>
      <c r="AZ47" s="11"/>
      <c r="BA47" s="11"/>
      <c r="BD47">
        <v>0</v>
      </c>
      <c r="BE47" s="11"/>
      <c r="BF47" s="11">
        <v>1</v>
      </c>
      <c r="BG47" s="11"/>
      <c r="BH47" s="11"/>
      <c r="BK47">
        <v>0</v>
      </c>
      <c r="BL47" s="11"/>
      <c r="BM47" s="11">
        <v>1</v>
      </c>
      <c r="BN47" s="11"/>
      <c r="BO47" s="11"/>
      <c r="BR47">
        <v>0</v>
      </c>
      <c r="BS47" s="11"/>
      <c r="BT47" s="11">
        <v>1</v>
      </c>
      <c r="BU47" s="11"/>
      <c r="BV47" s="11"/>
      <c r="BY47">
        <v>0</v>
      </c>
      <c r="BZ47" s="11"/>
      <c r="CA47" s="11">
        <v>1</v>
      </c>
      <c r="CB47" s="11"/>
      <c r="CC47" s="11"/>
      <c r="CF47">
        <v>0</v>
      </c>
      <c r="CG47" s="11"/>
      <c r="CH47" s="11">
        <v>1</v>
      </c>
      <c r="CI47" s="11"/>
      <c r="CJ47" s="11"/>
      <c r="CM47">
        <v>0</v>
      </c>
      <c r="CN47" s="11"/>
      <c r="CO47" s="11">
        <v>1</v>
      </c>
      <c r="CP47" s="11"/>
      <c r="CQ47" s="11"/>
      <c r="CT47">
        <v>0</v>
      </c>
      <c r="CU47" s="11"/>
      <c r="CV47" s="11">
        <v>1</v>
      </c>
      <c r="CW47" s="11"/>
      <c r="CX47" s="11"/>
      <c r="DA47">
        <v>0</v>
      </c>
      <c r="DB47" s="11"/>
      <c r="DC47" s="11">
        <v>1</v>
      </c>
      <c r="DD47" s="11"/>
      <c r="DE47" s="11"/>
      <c r="DH47">
        <v>0</v>
      </c>
      <c r="DI47" s="11"/>
      <c r="DJ47" s="11">
        <v>1</v>
      </c>
      <c r="DK47" s="11"/>
      <c r="DL47" s="11"/>
      <c r="DO47">
        <v>0</v>
      </c>
      <c r="DP47" s="11"/>
      <c r="DQ47" s="18">
        <v>1</v>
      </c>
      <c r="DR47" s="11"/>
      <c r="DS47" s="11"/>
      <c r="DV47">
        <v>0</v>
      </c>
      <c r="DW47" s="11"/>
      <c r="DX47" s="18">
        <v>1</v>
      </c>
      <c r="DY47" s="11"/>
      <c r="DZ47" s="11"/>
      <c r="EC47">
        <v>0</v>
      </c>
      <c r="ED47" s="11"/>
      <c r="EE47" s="18">
        <v>1</v>
      </c>
      <c r="EF47" s="11"/>
      <c r="EG47" s="11"/>
      <c r="EK47" s="11"/>
      <c r="EL47" s="11"/>
      <c r="EM47" s="11"/>
      <c r="EN47" s="11"/>
      <c r="ER47" s="11"/>
      <c r="ES47" s="11"/>
      <c r="ET47" s="11"/>
      <c r="EU47" s="11"/>
      <c r="EY47" s="11"/>
      <c r="EZ47" s="11"/>
      <c r="FA47" s="11"/>
      <c r="FB47" s="11"/>
      <c r="FF47" s="11"/>
      <c r="FG47" s="11"/>
      <c r="FH47" s="11"/>
      <c r="FI47" s="11"/>
      <c r="FM47" s="11"/>
      <c r="FN47" s="11"/>
      <c r="FO47" s="11"/>
      <c r="FP47" s="11"/>
      <c r="FT47" s="11"/>
      <c r="FU47" s="11"/>
      <c r="FV47" s="11"/>
      <c r="FW47" s="11"/>
      <c r="GA47" s="11"/>
      <c r="GB47" s="11"/>
      <c r="GC47" s="11"/>
      <c r="GD47" s="11"/>
    </row>
    <row r="48" spans="2:186" outlineLevel="1" x14ac:dyDescent="0.2">
      <c r="B48" t="s">
        <v>28</v>
      </c>
      <c r="E48" s="10"/>
      <c r="F48" t="s">
        <v>119</v>
      </c>
      <c r="G48" s="11">
        <v>0.21</v>
      </c>
      <c r="I48" s="10">
        <f t="shared" si="7"/>
        <v>20</v>
      </c>
      <c r="J48" s="12">
        <f t="shared" si="6"/>
        <v>0</v>
      </c>
      <c r="K48" s="12">
        <f t="shared" si="6"/>
        <v>0</v>
      </c>
      <c r="L48" s="10"/>
      <c r="O48" s="11"/>
      <c r="P48" s="11"/>
      <c r="Q48" s="11"/>
      <c r="R48" s="11"/>
      <c r="V48" s="11"/>
      <c r="W48" s="11"/>
      <c r="X48" s="11"/>
      <c r="Y48" s="11"/>
      <c r="AC48" s="11"/>
      <c r="AD48" s="11"/>
      <c r="AE48" s="11"/>
      <c r="AF48" s="11"/>
      <c r="AJ48" s="11"/>
      <c r="AK48" s="11"/>
      <c r="AL48" s="11"/>
      <c r="AM48" s="11"/>
      <c r="AP48">
        <v>5</v>
      </c>
      <c r="AQ48" s="11"/>
      <c r="AR48" s="11">
        <v>0.3</v>
      </c>
      <c r="AS48" s="11"/>
      <c r="AT48" s="11"/>
      <c r="AW48">
        <v>5</v>
      </c>
      <c r="AX48" s="11"/>
      <c r="AY48" s="11">
        <v>0.5</v>
      </c>
      <c r="AZ48" s="11"/>
      <c r="BA48" s="11"/>
      <c r="BD48">
        <v>5</v>
      </c>
      <c r="BE48" s="11"/>
      <c r="BF48" s="11">
        <v>0.8</v>
      </c>
      <c r="BG48" s="11"/>
      <c r="BH48" s="11"/>
      <c r="BK48">
        <v>5</v>
      </c>
      <c r="BL48" s="11"/>
      <c r="BM48" s="11">
        <v>1</v>
      </c>
      <c r="BN48" s="11"/>
      <c r="BO48" s="11"/>
      <c r="BR48">
        <v>0</v>
      </c>
      <c r="BS48" s="11"/>
      <c r="BT48" s="11">
        <v>1</v>
      </c>
      <c r="BU48" s="11"/>
      <c r="BV48" s="11"/>
      <c r="BY48">
        <v>0</v>
      </c>
      <c r="BZ48" s="11"/>
      <c r="CA48" s="11">
        <v>1</v>
      </c>
      <c r="CB48" s="11"/>
      <c r="CC48" s="11"/>
      <c r="CF48">
        <v>0</v>
      </c>
      <c r="CG48" s="11"/>
      <c r="CH48" s="11">
        <v>1</v>
      </c>
      <c r="CI48" s="11"/>
      <c r="CJ48" s="11"/>
      <c r="CM48">
        <v>0</v>
      </c>
      <c r="CN48" s="11"/>
      <c r="CO48" s="11">
        <v>1</v>
      </c>
      <c r="CP48" s="11"/>
      <c r="CQ48" s="11"/>
      <c r="CT48">
        <v>0</v>
      </c>
      <c r="CU48" s="11"/>
      <c r="CV48" s="11">
        <v>1</v>
      </c>
      <c r="CW48" s="11"/>
      <c r="CX48" s="11"/>
      <c r="DA48">
        <v>0</v>
      </c>
      <c r="DB48" s="11"/>
      <c r="DC48" s="11">
        <v>1</v>
      </c>
      <c r="DD48" s="11"/>
      <c r="DE48" s="11"/>
      <c r="DH48">
        <v>0</v>
      </c>
      <c r="DI48" s="11"/>
      <c r="DJ48" s="11">
        <v>1</v>
      </c>
      <c r="DK48" s="11"/>
      <c r="DL48" s="11"/>
      <c r="DO48">
        <v>0</v>
      </c>
      <c r="DP48" s="11"/>
      <c r="DQ48" s="18">
        <v>1</v>
      </c>
      <c r="DR48" s="11"/>
      <c r="DS48" s="11"/>
      <c r="DV48">
        <v>0</v>
      </c>
      <c r="DW48" s="11"/>
      <c r="DX48" s="18">
        <v>1</v>
      </c>
      <c r="DY48" s="11"/>
      <c r="DZ48" s="11"/>
      <c r="EC48">
        <v>0</v>
      </c>
      <c r="ED48" s="11"/>
      <c r="EE48" s="18">
        <v>1</v>
      </c>
      <c r="EF48" s="11"/>
      <c r="EG48" s="11"/>
      <c r="EK48" s="11"/>
      <c r="EL48" s="11"/>
      <c r="EM48" s="11"/>
      <c r="EN48" s="11"/>
      <c r="ER48" s="11"/>
      <c r="ES48" s="11"/>
      <c r="ET48" s="11"/>
      <c r="EU48" s="11"/>
      <c r="EY48" s="11"/>
      <c r="EZ48" s="11"/>
      <c r="FA48" s="11"/>
      <c r="FB48" s="11"/>
      <c r="FF48" s="11"/>
      <c r="FG48" s="11"/>
      <c r="FH48" s="11"/>
      <c r="FI48" s="11"/>
      <c r="FM48" s="11"/>
      <c r="FN48" s="11"/>
      <c r="FO48" s="11"/>
      <c r="FP48" s="11"/>
      <c r="FT48" s="11"/>
      <c r="FU48" s="11"/>
      <c r="FV48" s="11"/>
      <c r="FW48" s="11"/>
      <c r="GA48" s="11"/>
      <c r="GB48" s="11"/>
      <c r="GC48" s="11"/>
      <c r="GD48" s="11"/>
    </row>
    <row r="49" spans="2:186" outlineLevel="1" x14ac:dyDescent="0.2">
      <c r="B49" t="s">
        <v>28</v>
      </c>
      <c r="E49" s="10"/>
      <c r="F49" t="s">
        <v>120</v>
      </c>
      <c r="G49" s="11">
        <v>0.23</v>
      </c>
      <c r="I49" s="10">
        <f t="shared" si="7"/>
        <v>20</v>
      </c>
      <c r="J49" s="12">
        <f t="shared" si="6"/>
        <v>0</v>
      </c>
      <c r="K49" s="12">
        <f t="shared" si="6"/>
        <v>0</v>
      </c>
      <c r="L49" s="10"/>
      <c r="O49" s="11"/>
      <c r="P49" s="11"/>
      <c r="Q49" s="11"/>
      <c r="R49" s="11"/>
      <c r="V49" s="11"/>
      <c r="W49" s="11"/>
      <c r="X49" s="11"/>
      <c r="Y49" s="11"/>
      <c r="AC49" s="11"/>
      <c r="AD49" s="11"/>
      <c r="AE49" s="11"/>
      <c r="AF49" s="11"/>
      <c r="AJ49" s="11"/>
      <c r="AK49" s="11"/>
      <c r="AL49" s="11"/>
      <c r="AM49" s="11"/>
      <c r="AQ49" s="11"/>
      <c r="AR49" s="11"/>
      <c r="AS49" s="11"/>
      <c r="AT49" s="11"/>
      <c r="AX49" s="11"/>
      <c r="AY49" s="11"/>
      <c r="AZ49" s="11"/>
      <c r="BA49" s="11"/>
      <c r="BE49" s="11"/>
      <c r="BF49" s="11"/>
      <c r="BG49" s="11"/>
      <c r="BH49" s="11"/>
      <c r="BL49" s="11"/>
      <c r="BM49" s="11"/>
      <c r="BN49" s="11"/>
      <c r="BO49" s="11"/>
      <c r="BR49">
        <v>5</v>
      </c>
      <c r="BS49" s="11"/>
      <c r="BT49" s="11">
        <v>0.3</v>
      </c>
      <c r="BU49" s="11"/>
      <c r="BV49" s="11"/>
      <c r="BY49">
        <v>5</v>
      </c>
      <c r="BZ49" s="11"/>
      <c r="CA49" s="11">
        <v>0.5</v>
      </c>
      <c r="CB49" s="11"/>
      <c r="CC49" s="11"/>
      <c r="CF49">
        <v>5</v>
      </c>
      <c r="CG49" s="11"/>
      <c r="CH49" s="11">
        <v>0.8</v>
      </c>
      <c r="CI49" s="11"/>
      <c r="CJ49" s="11"/>
      <c r="CM49">
        <v>5</v>
      </c>
      <c r="CN49" s="11"/>
      <c r="CO49" s="11">
        <v>1</v>
      </c>
      <c r="CP49" s="11"/>
      <c r="CQ49" s="11"/>
      <c r="CT49">
        <v>0</v>
      </c>
      <c r="CU49" s="11"/>
      <c r="CV49" s="11">
        <v>1</v>
      </c>
      <c r="CW49" s="11"/>
      <c r="CX49" s="11"/>
      <c r="DA49">
        <v>0</v>
      </c>
      <c r="DB49" s="11"/>
      <c r="DC49" s="11">
        <v>1</v>
      </c>
      <c r="DD49" s="11"/>
      <c r="DE49" s="11"/>
      <c r="DH49">
        <v>0</v>
      </c>
      <c r="DI49" s="11"/>
      <c r="DJ49" s="11">
        <v>1</v>
      </c>
      <c r="DK49" s="11"/>
      <c r="DL49" s="11"/>
      <c r="DO49">
        <v>0</v>
      </c>
      <c r="DP49" s="11"/>
      <c r="DQ49" s="18">
        <v>1</v>
      </c>
      <c r="DR49" s="11"/>
      <c r="DS49" s="11"/>
      <c r="DV49">
        <v>0</v>
      </c>
      <c r="DW49" s="11"/>
      <c r="DX49" s="18">
        <v>1</v>
      </c>
      <c r="DY49" s="11"/>
      <c r="DZ49" s="11"/>
      <c r="EC49">
        <v>0</v>
      </c>
      <c r="ED49" s="11"/>
      <c r="EE49" s="18">
        <v>1</v>
      </c>
      <c r="EF49" s="11"/>
      <c r="EG49" s="11"/>
      <c r="EK49" s="11"/>
      <c r="EL49" s="11"/>
      <c r="EM49" s="11"/>
      <c r="EN49" s="11"/>
      <c r="ER49" s="11"/>
      <c r="ES49" s="11"/>
      <c r="ET49" s="11"/>
      <c r="EU49" s="11"/>
      <c r="EY49" s="11"/>
      <c r="EZ49" s="11"/>
      <c r="FA49" s="11"/>
      <c r="FB49" s="11"/>
      <c r="FF49" s="11"/>
      <c r="FG49" s="11"/>
      <c r="FH49" s="11"/>
      <c r="FI49" s="11"/>
      <c r="FM49" s="11"/>
      <c r="FN49" s="11"/>
      <c r="FO49" s="11"/>
      <c r="FP49" s="11"/>
      <c r="FT49" s="11"/>
      <c r="FU49" s="11"/>
      <c r="FV49" s="11"/>
      <c r="FW49" s="11"/>
      <c r="GA49" s="11"/>
      <c r="GB49" s="11"/>
      <c r="GC49" s="11"/>
      <c r="GD49" s="11"/>
    </row>
    <row r="50" spans="2:186" outlineLevel="1" x14ac:dyDescent="0.2">
      <c r="B50" t="s">
        <v>28</v>
      </c>
      <c r="E50" s="10"/>
      <c r="F50" t="s">
        <v>121</v>
      </c>
      <c r="G50" s="11">
        <v>0.11</v>
      </c>
      <c r="I50" s="10">
        <f t="shared" si="7"/>
        <v>10</v>
      </c>
      <c r="J50" s="12">
        <f t="shared" si="6"/>
        <v>0</v>
      </c>
      <c r="K50" s="12">
        <f t="shared" si="6"/>
        <v>0</v>
      </c>
      <c r="L50" s="10"/>
      <c r="O50" s="11"/>
      <c r="P50" s="11"/>
      <c r="Q50" s="11"/>
      <c r="R50" s="11"/>
      <c r="V50" s="11"/>
      <c r="W50" s="11"/>
      <c r="X50" s="11"/>
      <c r="Y50" s="11"/>
      <c r="AC50" s="11"/>
      <c r="AD50" s="11"/>
      <c r="AE50" s="11"/>
      <c r="AF50" s="11"/>
      <c r="AJ50" s="11"/>
      <c r="AK50" s="11"/>
      <c r="AL50" s="11"/>
      <c r="AM50" s="11"/>
      <c r="AQ50" s="11"/>
      <c r="AR50" s="11"/>
      <c r="AS50" s="11"/>
      <c r="AT50" s="11"/>
      <c r="AX50" s="11"/>
      <c r="AY50" s="11"/>
      <c r="AZ50" s="11"/>
      <c r="BA50" s="11"/>
      <c r="BE50" s="11"/>
      <c r="BF50" s="11"/>
      <c r="BG50" s="11"/>
      <c r="BH50" s="11"/>
      <c r="BL50" s="11"/>
      <c r="BM50" s="11"/>
      <c r="BN50" s="11"/>
      <c r="BO50" s="11"/>
      <c r="BS50" s="11"/>
      <c r="BT50" s="11"/>
      <c r="BU50" s="11"/>
      <c r="BV50" s="11"/>
      <c r="BZ50" s="11"/>
      <c r="CA50" s="11"/>
      <c r="CB50" s="11"/>
      <c r="CC50" s="11"/>
      <c r="CG50" s="11"/>
      <c r="CH50" s="11"/>
      <c r="CI50" s="11"/>
      <c r="CJ50" s="11"/>
      <c r="CN50" s="11"/>
      <c r="CO50" s="11"/>
      <c r="CP50" s="11"/>
      <c r="CQ50" s="11"/>
      <c r="CT50">
        <v>5</v>
      </c>
      <c r="CU50" s="11"/>
      <c r="CV50" s="11">
        <v>0.5</v>
      </c>
      <c r="CW50" s="11"/>
      <c r="CX50" s="11"/>
      <c r="DA50">
        <v>5</v>
      </c>
      <c r="DB50" s="11"/>
      <c r="DC50" s="11">
        <v>1</v>
      </c>
      <c r="DD50" s="11"/>
      <c r="DE50" s="11"/>
      <c r="DH50">
        <v>0</v>
      </c>
      <c r="DI50" s="11"/>
      <c r="DJ50" s="11">
        <v>1</v>
      </c>
      <c r="DK50" s="11"/>
      <c r="DL50" s="11"/>
      <c r="DO50">
        <v>0</v>
      </c>
      <c r="DP50" s="11"/>
      <c r="DQ50" s="18">
        <v>1</v>
      </c>
      <c r="DR50" s="11"/>
      <c r="DS50" s="11"/>
      <c r="DV50">
        <v>0</v>
      </c>
      <c r="DW50" s="11"/>
      <c r="DX50" s="18">
        <v>1</v>
      </c>
      <c r="DY50" s="11"/>
      <c r="DZ50" s="11"/>
      <c r="EC50">
        <v>0</v>
      </c>
      <c r="ED50" s="11"/>
      <c r="EE50" s="18">
        <v>1</v>
      </c>
      <c r="EF50" s="11"/>
      <c r="EG50" s="11"/>
      <c r="EK50" s="11"/>
      <c r="EL50" s="11"/>
      <c r="EM50" s="11"/>
      <c r="EN50" s="11"/>
      <c r="ER50" s="11"/>
      <c r="ES50" s="11"/>
      <c r="ET50" s="11"/>
      <c r="EU50" s="11"/>
      <c r="EY50" s="11"/>
      <c r="EZ50" s="11"/>
      <c r="FA50" s="11"/>
      <c r="FB50" s="11"/>
      <c r="FF50" s="11"/>
      <c r="FG50" s="11"/>
      <c r="FH50" s="11"/>
      <c r="FI50" s="11"/>
      <c r="FM50" s="11"/>
      <c r="FN50" s="11"/>
      <c r="FO50" s="11"/>
      <c r="FP50" s="11"/>
      <c r="FT50" s="11"/>
      <c r="FU50" s="11"/>
      <c r="FV50" s="11"/>
      <c r="FW50" s="11"/>
      <c r="GA50" s="11"/>
      <c r="GB50" s="11"/>
      <c r="GC50" s="11"/>
      <c r="GD50" s="11"/>
    </row>
    <row r="51" spans="2:186" outlineLevel="1" x14ac:dyDescent="0.2">
      <c r="B51" t="s">
        <v>28</v>
      </c>
      <c r="E51" s="10"/>
      <c r="F51" t="s">
        <v>122</v>
      </c>
      <c r="G51" s="11">
        <v>0.06</v>
      </c>
      <c r="I51" s="10">
        <f t="shared" si="7"/>
        <v>5</v>
      </c>
      <c r="J51" s="12">
        <f t="shared" si="6"/>
        <v>0</v>
      </c>
      <c r="K51" s="12">
        <f t="shared" si="6"/>
        <v>0</v>
      </c>
      <c r="L51" s="10"/>
      <c r="O51" s="11"/>
      <c r="P51" s="11"/>
      <c r="Q51" s="11"/>
      <c r="R51" s="11"/>
      <c r="V51" s="11"/>
      <c r="W51" s="11"/>
      <c r="X51" s="11"/>
      <c r="Y51" s="11"/>
      <c r="AC51" s="11"/>
      <c r="AD51" s="11"/>
      <c r="AE51" s="11"/>
      <c r="AF51" s="11"/>
      <c r="AJ51" s="11"/>
      <c r="AK51" s="11"/>
      <c r="AL51" s="11"/>
      <c r="AM51" s="11"/>
      <c r="AQ51" s="11"/>
      <c r="AR51" s="11"/>
      <c r="AS51" s="11"/>
      <c r="AT51" s="11"/>
      <c r="AX51" s="11"/>
      <c r="AY51" s="11"/>
      <c r="AZ51" s="11"/>
      <c r="BA51" s="11"/>
      <c r="BE51" s="11"/>
      <c r="BF51" s="11"/>
      <c r="BG51" s="11"/>
      <c r="BH51" s="11"/>
      <c r="BL51" s="11"/>
      <c r="BM51" s="11"/>
      <c r="BN51" s="11"/>
      <c r="BO51" s="11"/>
      <c r="BS51" s="11"/>
      <c r="BT51" s="11"/>
      <c r="BU51" s="11"/>
      <c r="BV51" s="11"/>
      <c r="BZ51" s="11"/>
      <c r="CA51" s="11"/>
      <c r="CB51" s="11"/>
      <c r="CC51" s="11"/>
      <c r="CG51" s="11"/>
      <c r="CH51" s="11"/>
      <c r="CI51" s="11"/>
      <c r="CJ51" s="11"/>
      <c r="CN51" s="11"/>
      <c r="CO51" s="11"/>
      <c r="CP51" s="11"/>
      <c r="CQ51" s="11"/>
      <c r="CU51" s="11"/>
      <c r="CV51" s="11"/>
      <c r="CW51" s="11"/>
      <c r="CX51" s="11"/>
      <c r="DB51" s="11"/>
      <c r="DC51" s="11"/>
      <c r="DD51" s="11"/>
      <c r="DE51" s="11"/>
      <c r="DH51">
        <v>5</v>
      </c>
      <c r="DI51" s="11"/>
      <c r="DJ51" s="11">
        <v>1</v>
      </c>
      <c r="DK51" s="11"/>
      <c r="DL51" s="11"/>
      <c r="DO51">
        <v>0</v>
      </c>
      <c r="DP51" s="11"/>
      <c r="DQ51" s="18">
        <v>1</v>
      </c>
      <c r="DR51" s="11"/>
      <c r="DS51" s="11"/>
      <c r="DV51">
        <v>0</v>
      </c>
      <c r="DW51" s="11"/>
      <c r="DX51" s="18">
        <v>1</v>
      </c>
      <c r="DY51" s="11"/>
      <c r="DZ51" s="11"/>
      <c r="EC51">
        <v>0</v>
      </c>
      <c r="ED51" s="11"/>
      <c r="EE51" s="18">
        <v>1</v>
      </c>
      <c r="EF51" s="11"/>
      <c r="EG51" s="11"/>
      <c r="EK51" s="11"/>
      <c r="EL51" s="11"/>
      <c r="EM51" s="11"/>
      <c r="EN51" s="11"/>
      <c r="ER51" s="11"/>
      <c r="ES51" s="11"/>
      <c r="ET51" s="11"/>
      <c r="EU51" s="11"/>
      <c r="EY51" s="11"/>
      <c r="EZ51" s="11"/>
      <c r="FA51" s="11"/>
      <c r="FB51" s="11"/>
      <c r="FF51" s="11"/>
      <c r="FG51" s="11"/>
      <c r="FH51" s="11"/>
      <c r="FI51" s="11"/>
      <c r="FM51" s="11"/>
      <c r="FN51" s="11"/>
      <c r="FO51" s="11"/>
      <c r="FP51" s="11"/>
      <c r="FT51" s="11"/>
      <c r="FU51" s="11"/>
      <c r="FV51" s="11"/>
      <c r="FW51" s="11"/>
      <c r="GA51" s="11"/>
      <c r="GB51" s="11"/>
      <c r="GC51" s="11"/>
      <c r="GD51" s="11"/>
    </row>
    <row r="52" spans="2:186" outlineLevel="1" x14ac:dyDescent="0.2">
      <c r="B52" t="s">
        <v>28</v>
      </c>
      <c r="E52" s="10"/>
      <c r="F52" t="s">
        <v>145</v>
      </c>
      <c r="G52" s="11">
        <v>0.18</v>
      </c>
      <c r="I52" s="10">
        <f t="shared" si="7"/>
        <v>15</v>
      </c>
      <c r="J52" s="12">
        <f t="shared" si="6"/>
        <v>0</v>
      </c>
      <c r="K52" s="12">
        <f t="shared" si="6"/>
        <v>0</v>
      </c>
      <c r="L52" s="10"/>
      <c r="O52" s="11"/>
      <c r="P52" s="11"/>
      <c r="Q52" s="11"/>
      <c r="R52" s="11"/>
      <c r="V52" s="11"/>
      <c r="W52" s="11"/>
      <c r="X52" s="11"/>
      <c r="Y52" s="11"/>
      <c r="AC52" s="11"/>
      <c r="AD52" s="11"/>
      <c r="AE52" s="11"/>
      <c r="AF52" s="11"/>
      <c r="AJ52" s="11"/>
      <c r="AK52" s="11"/>
      <c r="AL52" s="11"/>
      <c r="AM52" s="11"/>
      <c r="AQ52" s="11"/>
      <c r="AR52" s="11"/>
      <c r="AS52" s="11"/>
      <c r="AT52" s="11"/>
      <c r="AX52" s="11"/>
      <c r="AY52" s="11"/>
      <c r="AZ52" s="11"/>
      <c r="BA52" s="11"/>
      <c r="BE52" s="11"/>
      <c r="BF52" s="11"/>
      <c r="BG52" s="11"/>
      <c r="BH52" s="11"/>
      <c r="BL52" s="11"/>
      <c r="BM52" s="11"/>
      <c r="BN52" s="11"/>
      <c r="BO52" s="11"/>
      <c r="BS52" s="11"/>
      <c r="BT52" s="11"/>
      <c r="BU52" s="11"/>
      <c r="BV52" s="11"/>
      <c r="BZ52" s="11"/>
      <c r="CA52" s="11"/>
      <c r="CB52" s="11"/>
      <c r="CC52" s="11"/>
      <c r="CG52" s="11"/>
      <c r="CH52" s="11"/>
      <c r="CI52" s="11"/>
      <c r="CJ52" s="11"/>
      <c r="CN52" s="11"/>
      <c r="CO52" s="11"/>
      <c r="CP52" s="11"/>
      <c r="CQ52" s="11"/>
      <c r="CU52" s="11"/>
      <c r="CV52" s="11"/>
      <c r="CW52" s="11"/>
      <c r="CX52" s="11"/>
      <c r="DB52" s="11"/>
      <c r="DC52" s="11"/>
      <c r="DD52" s="11"/>
      <c r="DE52" s="11"/>
      <c r="DI52" s="11"/>
      <c r="DJ52" s="11"/>
      <c r="DK52" s="11"/>
      <c r="DL52" s="11"/>
      <c r="DO52">
        <v>5</v>
      </c>
      <c r="DP52" s="11"/>
      <c r="DQ52" s="11">
        <v>0.5</v>
      </c>
      <c r="DR52" s="11"/>
      <c r="DS52" s="11"/>
      <c r="DV52">
        <v>5</v>
      </c>
      <c r="DW52" s="11"/>
      <c r="DX52" s="11">
        <v>0.8</v>
      </c>
      <c r="DY52" s="11"/>
      <c r="DZ52" s="11"/>
      <c r="EC52">
        <v>5</v>
      </c>
      <c r="ED52" s="11"/>
      <c r="EE52" s="11">
        <v>1</v>
      </c>
      <c r="EF52" s="11"/>
      <c r="EG52" s="11"/>
      <c r="EK52" s="11"/>
      <c r="EL52" s="11"/>
      <c r="EM52" s="11"/>
      <c r="EN52" s="11"/>
      <c r="ER52" s="11"/>
      <c r="ES52" s="11"/>
      <c r="ET52" s="11"/>
      <c r="EU52" s="11"/>
      <c r="EY52" s="11"/>
      <c r="EZ52" s="11"/>
      <c r="FA52" s="11"/>
      <c r="FB52" s="11"/>
      <c r="FF52" s="11"/>
      <c r="FG52" s="11"/>
      <c r="FH52" s="11"/>
      <c r="FI52" s="11"/>
      <c r="FM52" s="11"/>
      <c r="FN52" s="11"/>
      <c r="FO52" s="11"/>
      <c r="FP52" s="11"/>
      <c r="FT52" s="11"/>
      <c r="FU52" s="11"/>
      <c r="FV52" s="11"/>
      <c r="FW52" s="11"/>
      <c r="GA52" s="11"/>
      <c r="GB52" s="11"/>
      <c r="GC52" s="11"/>
      <c r="GD52" s="11"/>
    </row>
    <row r="53" spans="2:186" outlineLevel="1" x14ac:dyDescent="0.2">
      <c r="E53" s="10"/>
      <c r="G53" s="11"/>
      <c r="I53" s="10"/>
      <c r="J53" s="12"/>
      <c r="K53" s="12"/>
      <c r="L53" s="10"/>
      <c r="O53" s="11"/>
      <c r="P53" s="11"/>
      <c r="Q53" s="11"/>
      <c r="R53" s="11"/>
      <c r="V53" s="11"/>
      <c r="W53" s="11"/>
      <c r="X53" s="11"/>
      <c r="Y53" s="11"/>
      <c r="AC53" s="11"/>
      <c r="AD53" s="11"/>
      <c r="AE53" s="11"/>
      <c r="AF53" s="11"/>
      <c r="AJ53" s="11"/>
      <c r="AK53" s="11"/>
      <c r="AL53" s="11"/>
      <c r="AM53" s="11"/>
      <c r="AQ53" s="11"/>
      <c r="AR53" s="11"/>
      <c r="AS53" s="11"/>
      <c r="AT53" s="11"/>
      <c r="AX53" s="11"/>
      <c r="AY53" s="11"/>
      <c r="AZ53" s="11"/>
      <c r="BA53" s="11"/>
      <c r="BE53" s="11"/>
      <c r="BF53" s="11"/>
      <c r="BG53" s="11"/>
      <c r="BH53" s="11"/>
      <c r="BL53" s="11"/>
      <c r="BM53" s="11"/>
      <c r="BN53" s="11"/>
      <c r="BO53" s="11"/>
      <c r="BS53" s="11"/>
      <c r="BT53" s="11"/>
      <c r="BU53" s="11"/>
      <c r="BV53" s="11"/>
      <c r="BZ53" s="11"/>
      <c r="CA53" s="11"/>
      <c r="CB53" s="11"/>
      <c r="CC53" s="11"/>
      <c r="CG53" s="11"/>
      <c r="CH53" s="11"/>
      <c r="CI53" s="11"/>
      <c r="CJ53" s="11"/>
      <c r="CN53" s="11"/>
      <c r="CO53" s="11"/>
      <c r="CP53" s="11"/>
      <c r="CQ53" s="11"/>
      <c r="CU53" s="11"/>
      <c r="CV53" s="11"/>
      <c r="CW53" s="11"/>
      <c r="CX53" s="11"/>
      <c r="DB53" s="11"/>
      <c r="DC53" s="11"/>
      <c r="DD53" s="11"/>
      <c r="DE53" s="11"/>
      <c r="DI53" s="11"/>
      <c r="DJ53" s="11"/>
      <c r="DK53" s="11"/>
      <c r="DL53" s="11"/>
      <c r="DP53" s="11"/>
      <c r="DQ53" s="11"/>
      <c r="DR53" s="11"/>
      <c r="DS53" s="11"/>
      <c r="DW53" s="11"/>
      <c r="DX53" s="11"/>
      <c r="DY53" s="11"/>
      <c r="DZ53" s="11"/>
      <c r="ED53" s="11"/>
      <c r="EE53" s="11"/>
      <c r="EF53" s="11"/>
      <c r="EG53" s="11"/>
      <c r="EK53" s="11"/>
      <c r="EL53" s="11"/>
      <c r="EM53" s="11"/>
      <c r="EN53" s="11"/>
      <c r="ER53" s="11"/>
      <c r="ES53" s="11"/>
      <c r="ET53" s="11"/>
      <c r="EU53" s="11"/>
      <c r="EY53" s="11"/>
      <c r="EZ53" s="11"/>
      <c r="FA53" s="11"/>
      <c r="FB53" s="11"/>
      <c r="FF53" s="11"/>
      <c r="FG53" s="11"/>
      <c r="FH53" s="11"/>
      <c r="FI53" s="11"/>
      <c r="FM53" s="11"/>
      <c r="FN53" s="11"/>
      <c r="FO53" s="11"/>
      <c r="FP53" s="11"/>
      <c r="FT53" s="11"/>
      <c r="FU53" s="11"/>
      <c r="FV53" s="11"/>
      <c r="FW53" s="11"/>
      <c r="GA53" s="11"/>
      <c r="GB53" s="11"/>
      <c r="GC53" s="11"/>
      <c r="GD53" s="11"/>
    </row>
    <row r="54" spans="2:186" outlineLevel="1" x14ac:dyDescent="0.2">
      <c r="E54" s="10"/>
      <c r="G54" s="11"/>
      <c r="I54" s="10"/>
      <c r="J54" s="12"/>
      <c r="K54" s="12"/>
      <c r="L54" s="10"/>
      <c r="O54" s="11"/>
      <c r="P54" s="11"/>
      <c r="Q54" s="11"/>
      <c r="R54" s="11"/>
      <c r="V54" s="11"/>
      <c r="W54" s="11"/>
      <c r="X54" s="11"/>
      <c r="Y54" s="11"/>
      <c r="AC54" s="11"/>
      <c r="AD54" s="11"/>
      <c r="AE54" s="11"/>
      <c r="AF54" s="11"/>
      <c r="AJ54" s="11"/>
      <c r="AK54" s="11"/>
      <c r="AL54" s="11"/>
      <c r="AM54" s="11"/>
      <c r="AQ54" s="11"/>
      <c r="AR54" s="11"/>
      <c r="AS54" s="11"/>
      <c r="AT54" s="11"/>
      <c r="AX54" s="11"/>
      <c r="AY54" s="11"/>
      <c r="AZ54" s="11"/>
      <c r="BA54" s="11"/>
      <c r="BE54" s="11"/>
      <c r="BF54" s="11"/>
      <c r="BG54" s="11"/>
      <c r="BH54" s="11"/>
      <c r="BL54" s="11"/>
      <c r="BM54" s="11"/>
      <c r="BN54" s="11"/>
      <c r="BO54" s="11"/>
      <c r="BS54" s="11"/>
      <c r="BT54" s="11"/>
      <c r="BU54" s="11"/>
      <c r="BV54" s="11"/>
      <c r="BZ54" s="11"/>
      <c r="CA54" s="11"/>
      <c r="CB54" s="11"/>
      <c r="CC54" s="11"/>
      <c r="CG54" s="11"/>
      <c r="CH54" s="11"/>
      <c r="CI54" s="11"/>
      <c r="CJ54" s="11"/>
      <c r="CN54" s="11"/>
      <c r="CO54" s="11"/>
      <c r="CP54" s="11"/>
      <c r="CQ54" s="11"/>
      <c r="CU54" s="11"/>
      <c r="CV54" s="11"/>
      <c r="CW54" s="11"/>
      <c r="CX54" s="11"/>
      <c r="DB54" s="11"/>
      <c r="DC54" s="11"/>
      <c r="DD54" s="11"/>
      <c r="DE54" s="11"/>
      <c r="DI54" s="11"/>
      <c r="DJ54" s="11"/>
      <c r="DK54" s="11"/>
      <c r="DL54" s="11"/>
      <c r="DP54" s="11"/>
      <c r="DQ54" s="11"/>
      <c r="DR54" s="11"/>
      <c r="DS54" s="11"/>
      <c r="DW54" s="11"/>
      <c r="DX54" s="11"/>
      <c r="DY54" s="11"/>
      <c r="DZ54" s="11"/>
      <c r="ED54" s="11"/>
      <c r="EE54" s="11"/>
      <c r="EF54" s="11"/>
      <c r="EG54" s="11"/>
      <c r="EK54" s="11"/>
      <c r="EL54" s="11"/>
      <c r="EM54" s="11"/>
      <c r="EN54" s="11"/>
      <c r="ER54" s="11"/>
      <c r="ES54" s="11"/>
      <c r="ET54" s="11"/>
      <c r="EU54" s="11"/>
      <c r="EY54" s="11"/>
      <c r="EZ54" s="11"/>
      <c r="FA54" s="11"/>
      <c r="FB54" s="11"/>
      <c r="FF54" s="11"/>
      <c r="FG54" s="11"/>
      <c r="FH54" s="11"/>
      <c r="FI54" s="11"/>
      <c r="FM54" s="11"/>
      <c r="FN54" s="11"/>
      <c r="FO54" s="11"/>
      <c r="FP54" s="11"/>
      <c r="FT54" s="11"/>
      <c r="FU54" s="11"/>
      <c r="FV54" s="11"/>
      <c r="FW54" s="11"/>
      <c r="GA54" s="11"/>
      <c r="GB54" s="11"/>
      <c r="GC54" s="11"/>
      <c r="GD54" s="11"/>
    </row>
    <row r="55" spans="2:186" outlineLevel="1" x14ac:dyDescent="0.2">
      <c r="E55" s="10"/>
      <c r="G55" s="11"/>
      <c r="I55" s="10"/>
      <c r="J55" s="12"/>
      <c r="K55" s="12"/>
      <c r="L55" s="10"/>
      <c r="O55" s="11"/>
      <c r="P55" s="11"/>
      <c r="Q55" s="11"/>
      <c r="R55" s="11"/>
      <c r="V55" s="11"/>
      <c r="W55" s="11"/>
      <c r="X55" s="11"/>
      <c r="Y55" s="11"/>
      <c r="AC55" s="11"/>
      <c r="AD55" s="11"/>
      <c r="AE55" s="11"/>
      <c r="AF55" s="11"/>
      <c r="AJ55" s="11"/>
      <c r="AK55" s="11"/>
      <c r="AL55" s="11"/>
      <c r="AM55" s="11"/>
      <c r="AQ55" s="11"/>
      <c r="AR55" s="11"/>
      <c r="AS55" s="11"/>
      <c r="AT55" s="11"/>
      <c r="AX55" s="11"/>
      <c r="AY55" s="11"/>
      <c r="AZ55" s="11"/>
      <c r="BA55" s="11"/>
      <c r="BE55" s="11"/>
      <c r="BF55" s="11"/>
      <c r="BG55" s="11"/>
      <c r="BH55" s="11"/>
      <c r="BL55" s="11"/>
      <c r="BM55" s="11"/>
      <c r="BN55" s="11"/>
      <c r="BO55" s="11"/>
      <c r="BS55" s="11"/>
      <c r="BT55" s="11"/>
      <c r="BU55" s="11"/>
      <c r="BV55" s="11"/>
      <c r="BZ55" s="11"/>
      <c r="CA55" s="11"/>
      <c r="CB55" s="11"/>
      <c r="CC55" s="11"/>
      <c r="CG55" s="11"/>
      <c r="CH55" s="11"/>
      <c r="CI55" s="11"/>
      <c r="CJ55" s="11"/>
      <c r="CN55" s="11"/>
      <c r="CO55" s="11"/>
      <c r="CP55" s="11"/>
      <c r="CQ55" s="11"/>
      <c r="CU55" s="11"/>
      <c r="CV55" s="11"/>
      <c r="CW55" s="11"/>
      <c r="CX55" s="11"/>
      <c r="DB55" s="11"/>
      <c r="DC55" s="11"/>
      <c r="DD55" s="11"/>
      <c r="DE55" s="11"/>
      <c r="DI55" s="11"/>
      <c r="DJ55" s="11"/>
      <c r="DK55" s="11"/>
      <c r="DL55" s="11"/>
      <c r="DP55" s="11"/>
      <c r="DQ55" s="11"/>
      <c r="DR55" s="11"/>
      <c r="DS55" s="11"/>
      <c r="DW55" s="11"/>
      <c r="DX55" s="11"/>
      <c r="DY55" s="11"/>
      <c r="DZ55" s="11"/>
      <c r="ED55" s="11"/>
      <c r="EE55" s="11"/>
      <c r="EF55" s="11"/>
      <c r="EG55" s="11"/>
      <c r="EK55" s="11"/>
      <c r="EL55" s="11"/>
      <c r="EM55" s="11"/>
      <c r="EN55" s="11"/>
      <c r="ER55" s="11"/>
      <c r="ES55" s="11"/>
      <c r="ET55" s="11"/>
      <c r="EU55" s="11"/>
      <c r="EY55" s="11"/>
      <c r="EZ55" s="11"/>
      <c r="FA55" s="11"/>
      <c r="FB55" s="11"/>
      <c r="FF55" s="11"/>
      <c r="FG55" s="11"/>
      <c r="FH55" s="11"/>
      <c r="FI55" s="11"/>
      <c r="FM55" s="11"/>
      <c r="FN55" s="11"/>
      <c r="FO55" s="11"/>
      <c r="FP55" s="11"/>
      <c r="FT55" s="11"/>
      <c r="FU55" s="11"/>
      <c r="FV55" s="11"/>
      <c r="FW55" s="11"/>
      <c r="GA55" s="11"/>
      <c r="GB55" s="11"/>
      <c r="GC55" s="11"/>
      <c r="GD55" s="11"/>
    </row>
    <row r="57" spans="2:186" x14ac:dyDescent="0.2">
      <c r="B57" t="s">
        <v>27</v>
      </c>
      <c r="C57" t="s">
        <v>51</v>
      </c>
      <c r="D57" s="17">
        <v>44627</v>
      </c>
      <c r="E57" s="10">
        <v>5</v>
      </c>
      <c r="F57" t="s">
        <v>160</v>
      </c>
      <c r="G57" s="11">
        <f>+SUM(G58:G72)</f>
        <v>1</v>
      </c>
      <c r="I57" s="13">
        <f>+SUM(I58:I72)</f>
        <v>112</v>
      </c>
      <c r="J57" s="12">
        <f>+SUMPRODUCT(G58:G72,J58:J72)</f>
        <v>0.115</v>
      </c>
      <c r="K57" s="12">
        <f>+SUMPRODUCT(G58:G72,K58:K72)</f>
        <v>0.115</v>
      </c>
      <c r="L57" s="10"/>
      <c r="N57" s="13">
        <f>+SUM(N58:N72)</f>
        <v>8</v>
      </c>
      <c r="U57" s="13">
        <f>+SUM(U58:U72)</f>
        <v>8</v>
      </c>
      <c r="AB57" s="13">
        <f>+SUM(AB58:AB72)</f>
        <v>8</v>
      </c>
      <c r="AI57" s="13">
        <f>+SUM(AI58:AI72)</f>
        <v>8</v>
      </c>
      <c r="AP57" s="13">
        <f>+SUM(AP58:AP72)</f>
        <v>8</v>
      </c>
      <c r="AW57" s="13">
        <f>+SUM(AW58:AW72)</f>
        <v>8</v>
      </c>
      <c r="BD57" s="13">
        <f>+SUM(BD58:BD72)</f>
        <v>8</v>
      </c>
      <c r="BK57" s="13">
        <f>+SUM(BK58:BK72)</f>
        <v>8</v>
      </c>
      <c r="BR57" s="13">
        <f>+SUM(BR58:BR72)</f>
        <v>8</v>
      </c>
      <c r="BY57" s="13">
        <f>+SUM(BY58:BY72)</f>
        <v>8</v>
      </c>
      <c r="CF57" s="13">
        <f>+SUM(CF58:CF72)</f>
        <v>8</v>
      </c>
      <c r="CM57" s="13">
        <f>+SUM(CM58:CM72)</f>
        <v>8</v>
      </c>
      <c r="CT57" s="13">
        <f>+SUM(CT58:CT72)</f>
        <v>8</v>
      </c>
      <c r="DA57" s="13">
        <f>+SUM(DA58:DA72)</f>
        <v>8</v>
      </c>
      <c r="DH57" s="13">
        <f>+SUM(DH58:DH72)</f>
        <v>0</v>
      </c>
      <c r="DO57" s="13">
        <f>+SUM(DO58:DO72)</f>
        <v>0</v>
      </c>
      <c r="DV57" s="13">
        <f>+SUM(DV58:DV72)</f>
        <v>0</v>
      </c>
      <c r="EC57" s="13">
        <f>+SUM(EC58:EC72)</f>
        <v>0</v>
      </c>
      <c r="EJ57" s="13">
        <f>+SUM(EJ58:EJ72)</f>
        <v>0</v>
      </c>
      <c r="EQ57" s="13">
        <f>+SUM(EQ58:EQ72)</f>
        <v>0</v>
      </c>
      <c r="EX57" s="13">
        <f>+SUM(EX58:EX72)</f>
        <v>0</v>
      </c>
      <c r="FE57" s="13">
        <f>+SUM(FE58:FE72)</f>
        <v>0</v>
      </c>
      <c r="FL57" s="13">
        <f>+SUM(FL58:FL72)</f>
        <v>0</v>
      </c>
      <c r="FS57" s="13">
        <f>+SUM(FS58:FS72)</f>
        <v>0</v>
      </c>
      <c r="FZ57" s="13">
        <f>+SUM(FZ58:FZ72)</f>
        <v>0</v>
      </c>
    </row>
    <row r="58" spans="2:186" outlineLevel="1" x14ac:dyDescent="0.2">
      <c r="B58" t="s">
        <v>28</v>
      </c>
      <c r="E58" s="10"/>
      <c r="F58" t="s">
        <v>123</v>
      </c>
      <c r="G58" s="11">
        <v>0.08</v>
      </c>
      <c r="I58" s="10">
        <f>+SUMIF($N$3:$ZZ$3,I$3,$N58:$ZZ58)</f>
        <v>8.01</v>
      </c>
      <c r="J58" s="12">
        <f t="shared" ref="J58:K71" si="8">+_xlfn.MAXIFS($N58:$ZF58,$N$3:$ZF$3,J$3)</f>
        <v>0.5</v>
      </c>
      <c r="K58" s="12">
        <f t="shared" si="8"/>
        <v>0.5</v>
      </c>
      <c r="L58" s="10"/>
      <c r="N58">
        <v>2.67</v>
      </c>
      <c r="O58" s="11">
        <v>0.5</v>
      </c>
      <c r="P58" s="11">
        <v>0.5</v>
      </c>
      <c r="Q58" s="11">
        <v>0.5</v>
      </c>
      <c r="R58" s="11">
        <v>0.5</v>
      </c>
      <c r="U58">
        <v>0</v>
      </c>
      <c r="V58" s="11"/>
      <c r="W58" s="11">
        <v>0.5</v>
      </c>
      <c r="X58" s="11"/>
      <c r="Y58" s="11">
        <v>0.5</v>
      </c>
      <c r="AB58">
        <v>2.67</v>
      </c>
      <c r="AC58" s="11"/>
      <c r="AD58" s="11">
        <v>0.8</v>
      </c>
      <c r="AE58" s="11"/>
      <c r="AF58" s="11">
        <v>0.8</v>
      </c>
      <c r="AI58">
        <v>0</v>
      </c>
      <c r="AJ58" s="11"/>
      <c r="AK58" s="11">
        <v>0.8</v>
      </c>
      <c r="AL58" s="11"/>
      <c r="AM58" s="11">
        <v>0.8</v>
      </c>
      <c r="AP58">
        <v>0</v>
      </c>
      <c r="AQ58" s="11"/>
      <c r="AR58" s="11">
        <v>0.8</v>
      </c>
      <c r="AS58" s="11"/>
      <c r="AT58" s="11">
        <v>0.8</v>
      </c>
      <c r="AW58">
        <v>0</v>
      </c>
      <c r="AX58" s="11"/>
      <c r="AY58" s="11">
        <v>0.8</v>
      </c>
      <c r="AZ58" s="11"/>
      <c r="BA58" s="11">
        <v>0.8</v>
      </c>
      <c r="BD58">
        <v>0</v>
      </c>
      <c r="BE58" s="11"/>
      <c r="BF58" s="11">
        <v>0.8</v>
      </c>
      <c r="BG58" s="11"/>
      <c r="BH58" s="11">
        <v>0.8</v>
      </c>
      <c r="BK58">
        <v>2.67</v>
      </c>
      <c r="BL58" s="11"/>
      <c r="BM58" s="11">
        <v>1</v>
      </c>
      <c r="BN58" s="11"/>
      <c r="BO58" s="11">
        <v>1</v>
      </c>
      <c r="BR58">
        <v>0</v>
      </c>
      <c r="BS58" s="11"/>
      <c r="BT58" s="11">
        <v>1</v>
      </c>
      <c r="BU58" s="11"/>
      <c r="BV58" s="11">
        <v>1</v>
      </c>
      <c r="BY58">
        <v>0</v>
      </c>
      <c r="BZ58" s="11"/>
      <c r="CA58" s="11">
        <v>1</v>
      </c>
      <c r="CB58" s="11"/>
      <c r="CC58" s="11">
        <v>1</v>
      </c>
      <c r="CF58">
        <v>0</v>
      </c>
      <c r="CG58" s="11"/>
      <c r="CH58" s="11">
        <v>1</v>
      </c>
      <c r="CI58" s="11"/>
      <c r="CJ58" s="11">
        <v>1</v>
      </c>
      <c r="CM58">
        <v>0</v>
      </c>
      <c r="CN58" s="11"/>
      <c r="CO58" s="11">
        <v>1</v>
      </c>
      <c r="CP58" s="11"/>
      <c r="CQ58" s="11">
        <v>1</v>
      </c>
      <c r="CT58">
        <v>0</v>
      </c>
      <c r="CU58" s="11"/>
      <c r="CV58" s="11">
        <v>1</v>
      </c>
      <c r="CW58" s="11"/>
      <c r="CX58" s="11">
        <v>1</v>
      </c>
      <c r="DA58">
        <v>0</v>
      </c>
      <c r="DB58" s="11"/>
      <c r="DC58" s="11">
        <v>1</v>
      </c>
      <c r="DD58" s="11"/>
      <c r="DE58" s="11">
        <v>1</v>
      </c>
      <c r="DI58" s="11"/>
      <c r="DJ58" s="11"/>
      <c r="DK58" s="11"/>
      <c r="DL58" s="11"/>
      <c r="DP58" s="11"/>
      <c r="DQ58" s="11"/>
      <c r="DR58" s="11"/>
      <c r="DS58" s="11"/>
      <c r="DW58" s="11"/>
      <c r="DX58" s="11"/>
      <c r="DY58" s="11"/>
      <c r="DZ58" s="11"/>
      <c r="ED58" s="11"/>
      <c r="EE58" s="11"/>
      <c r="EF58" s="11"/>
      <c r="EG58" s="11"/>
      <c r="EK58" s="11"/>
      <c r="EL58" s="11"/>
      <c r="EM58" s="11"/>
      <c r="EN58" s="11"/>
      <c r="ER58" s="11"/>
      <c r="ES58" s="11"/>
      <c r="ET58" s="11"/>
      <c r="EU58" s="11"/>
      <c r="EY58" s="11"/>
      <c r="EZ58" s="11"/>
      <c r="FA58" s="11"/>
      <c r="FB58" s="11"/>
      <c r="FF58" s="11"/>
      <c r="FG58" s="11"/>
      <c r="FH58" s="11"/>
      <c r="FI58" s="11"/>
      <c r="FM58" s="11"/>
      <c r="FN58" s="11"/>
      <c r="FO58" s="11"/>
      <c r="FP58" s="11"/>
      <c r="FT58" s="11"/>
      <c r="FU58" s="11"/>
      <c r="FV58" s="11"/>
      <c r="FW58" s="11"/>
      <c r="GA58" s="11"/>
      <c r="GB58" s="11"/>
      <c r="GC58" s="11"/>
      <c r="GD58" s="11"/>
    </row>
    <row r="59" spans="2:186" outlineLevel="1" x14ac:dyDescent="0.2">
      <c r="B59" t="s">
        <v>28</v>
      </c>
      <c r="E59" s="10"/>
      <c r="F59" t="s">
        <v>124</v>
      </c>
      <c r="G59" s="11">
        <v>0.08</v>
      </c>
      <c r="I59" s="10">
        <f t="shared" ref="I59:I71" si="9">+SUMIF($N$3:$ZZ$3,I$3,$N59:$ZZ59)</f>
        <v>8.01</v>
      </c>
      <c r="J59" s="12">
        <f t="shared" si="8"/>
        <v>0.5</v>
      </c>
      <c r="K59" s="12">
        <f t="shared" si="8"/>
        <v>0.5</v>
      </c>
      <c r="L59" s="10"/>
      <c r="N59">
        <v>2.67</v>
      </c>
      <c r="O59" s="11">
        <v>0.5</v>
      </c>
      <c r="P59" s="11">
        <v>0.5</v>
      </c>
      <c r="Q59" s="11">
        <v>0.5</v>
      </c>
      <c r="R59" s="11">
        <v>0.5</v>
      </c>
      <c r="U59">
        <v>0</v>
      </c>
      <c r="V59" s="11"/>
      <c r="W59" s="11">
        <v>0.5</v>
      </c>
      <c r="X59" s="11"/>
      <c r="Y59" s="11">
        <v>0.5</v>
      </c>
      <c r="AB59">
        <v>2.67</v>
      </c>
      <c r="AC59" s="11"/>
      <c r="AD59" s="11">
        <v>0.8</v>
      </c>
      <c r="AE59" s="11"/>
      <c r="AF59" s="11">
        <v>0.8</v>
      </c>
      <c r="AI59">
        <v>0</v>
      </c>
      <c r="AJ59" s="11"/>
      <c r="AK59" s="11">
        <v>0.8</v>
      </c>
      <c r="AL59" s="11"/>
      <c r="AM59" s="11">
        <v>0.8</v>
      </c>
      <c r="AP59">
        <v>0</v>
      </c>
      <c r="AQ59" s="11"/>
      <c r="AR59" s="11">
        <v>0.8</v>
      </c>
      <c r="AS59" s="11"/>
      <c r="AT59" s="11">
        <v>0.8</v>
      </c>
      <c r="AW59">
        <v>0</v>
      </c>
      <c r="AX59" s="11"/>
      <c r="AY59" s="11">
        <v>0.8</v>
      </c>
      <c r="AZ59" s="11"/>
      <c r="BA59" s="11">
        <v>0.8</v>
      </c>
      <c r="BD59">
        <v>0</v>
      </c>
      <c r="BE59" s="11"/>
      <c r="BF59" s="11">
        <v>0.8</v>
      </c>
      <c r="BG59" s="11"/>
      <c r="BH59" s="11">
        <v>0.8</v>
      </c>
      <c r="BK59">
        <v>0</v>
      </c>
      <c r="BL59" s="11"/>
      <c r="BM59" s="11">
        <v>0.8</v>
      </c>
      <c r="BN59" s="11"/>
      <c r="BO59" s="11">
        <v>0.8</v>
      </c>
      <c r="BR59">
        <v>2.67</v>
      </c>
      <c r="BS59" s="11"/>
      <c r="BT59" s="11">
        <v>1</v>
      </c>
      <c r="BU59" s="11"/>
      <c r="BV59" s="11">
        <v>1</v>
      </c>
      <c r="BY59">
        <v>0</v>
      </c>
      <c r="BZ59" s="11"/>
      <c r="CA59" s="11">
        <v>1</v>
      </c>
      <c r="CB59" s="11"/>
      <c r="CC59" s="11">
        <v>1</v>
      </c>
      <c r="CF59">
        <v>0</v>
      </c>
      <c r="CG59" s="11"/>
      <c r="CH59" s="11">
        <v>1</v>
      </c>
      <c r="CI59" s="11"/>
      <c r="CJ59" s="11">
        <v>1</v>
      </c>
      <c r="CM59">
        <v>0</v>
      </c>
      <c r="CN59" s="11"/>
      <c r="CO59" s="11">
        <v>1</v>
      </c>
      <c r="CP59" s="11"/>
      <c r="CQ59" s="11">
        <v>1</v>
      </c>
      <c r="CT59">
        <v>0</v>
      </c>
      <c r="CU59" s="11"/>
      <c r="CV59" s="11">
        <v>1</v>
      </c>
      <c r="CW59" s="11"/>
      <c r="CX59" s="11">
        <v>1</v>
      </c>
      <c r="DA59">
        <v>0</v>
      </c>
      <c r="DB59" s="11"/>
      <c r="DC59" s="11">
        <v>1</v>
      </c>
      <c r="DD59" s="11"/>
      <c r="DE59" s="11">
        <v>1</v>
      </c>
      <c r="DI59" s="11"/>
      <c r="DJ59" s="11"/>
      <c r="DK59" s="11"/>
      <c r="DL59" s="11"/>
      <c r="DP59" s="11"/>
      <c r="DQ59" s="11"/>
      <c r="DR59" s="11"/>
      <c r="DS59" s="11"/>
      <c r="DW59" s="11"/>
      <c r="DX59" s="11"/>
      <c r="DY59" s="11"/>
      <c r="DZ59" s="11"/>
      <c r="ED59" s="11"/>
      <c r="EE59" s="11"/>
      <c r="EF59" s="11"/>
      <c r="EG59" s="11"/>
      <c r="EK59" s="11"/>
      <c r="EL59" s="11"/>
      <c r="EM59" s="11"/>
      <c r="EN59" s="11"/>
      <c r="ER59" s="11"/>
      <c r="ES59" s="11"/>
      <c r="ET59" s="11"/>
      <c r="EU59" s="11"/>
      <c r="EY59" s="11"/>
      <c r="EZ59" s="11"/>
      <c r="FA59" s="11"/>
      <c r="FB59" s="11"/>
      <c r="FF59" s="11"/>
      <c r="FG59" s="11"/>
      <c r="FH59" s="11"/>
      <c r="FI59" s="11"/>
      <c r="FM59" s="11"/>
      <c r="FN59" s="11"/>
      <c r="FO59" s="11"/>
      <c r="FP59" s="11"/>
      <c r="FT59" s="11"/>
      <c r="FU59" s="11"/>
      <c r="FV59" s="11"/>
      <c r="FW59" s="11"/>
      <c r="GA59" s="11"/>
      <c r="GB59" s="11"/>
      <c r="GC59" s="11"/>
      <c r="GD59" s="11"/>
    </row>
    <row r="60" spans="2:186" outlineLevel="1" x14ac:dyDescent="0.2">
      <c r="B60" t="s">
        <v>28</v>
      </c>
      <c r="E60" s="10"/>
      <c r="F60" t="s">
        <v>125</v>
      </c>
      <c r="G60" s="11">
        <v>7.0000000000000007E-2</v>
      </c>
      <c r="I60" s="10">
        <f t="shared" si="9"/>
        <v>7.99</v>
      </c>
      <c r="J60" s="12">
        <f t="shared" si="8"/>
        <v>0.5</v>
      </c>
      <c r="K60" s="12">
        <f t="shared" si="8"/>
        <v>0.5</v>
      </c>
      <c r="L60" s="10"/>
      <c r="N60">
        <v>2.66</v>
      </c>
      <c r="O60" s="11">
        <v>0.5</v>
      </c>
      <c r="P60" s="11">
        <v>0.5</v>
      </c>
      <c r="Q60" s="11">
        <v>0.5</v>
      </c>
      <c r="R60" s="11">
        <v>0.5</v>
      </c>
      <c r="U60">
        <v>0</v>
      </c>
      <c r="V60" s="11"/>
      <c r="W60" s="11">
        <v>0.5</v>
      </c>
      <c r="X60" s="11"/>
      <c r="Y60" s="11">
        <v>0.5</v>
      </c>
      <c r="AB60">
        <v>0</v>
      </c>
      <c r="AC60" s="11"/>
      <c r="AD60" s="11">
        <v>0.5</v>
      </c>
      <c r="AE60" s="11"/>
      <c r="AF60" s="11">
        <v>0.5</v>
      </c>
      <c r="AI60">
        <v>2.66</v>
      </c>
      <c r="AJ60" s="11"/>
      <c r="AK60" s="11">
        <v>0.8</v>
      </c>
      <c r="AL60" s="11"/>
      <c r="AM60" s="11">
        <v>0.8</v>
      </c>
      <c r="AP60">
        <v>0</v>
      </c>
      <c r="AQ60" s="11"/>
      <c r="AR60" s="11">
        <v>0.8</v>
      </c>
      <c r="AS60" s="11"/>
      <c r="AT60" s="11">
        <v>0.8</v>
      </c>
      <c r="AW60">
        <v>0</v>
      </c>
      <c r="AX60" s="11"/>
      <c r="AY60" s="11">
        <v>0.8</v>
      </c>
      <c r="AZ60" s="11"/>
      <c r="BA60" s="11">
        <v>0.8</v>
      </c>
      <c r="BD60">
        <v>0</v>
      </c>
      <c r="BE60" s="11"/>
      <c r="BF60" s="11">
        <v>0.8</v>
      </c>
      <c r="BG60" s="11"/>
      <c r="BH60" s="11">
        <v>0.8</v>
      </c>
      <c r="BK60">
        <v>0</v>
      </c>
      <c r="BL60" s="11"/>
      <c r="BM60" s="11">
        <v>0.8</v>
      </c>
      <c r="BN60" s="11"/>
      <c r="BO60" s="11">
        <v>0.8</v>
      </c>
      <c r="BR60">
        <v>0</v>
      </c>
      <c r="BS60" s="11"/>
      <c r="BT60" s="11">
        <v>0.8</v>
      </c>
      <c r="BU60" s="11"/>
      <c r="BV60" s="11">
        <v>0.8</v>
      </c>
      <c r="BY60">
        <v>2.67</v>
      </c>
      <c r="BZ60" s="11"/>
      <c r="CA60" s="11">
        <v>1</v>
      </c>
      <c r="CB60" s="11"/>
      <c r="CC60" s="11">
        <v>1</v>
      </c>
      <c r="CF60">
        <v>0</v>
      </c>
      <c r="CG60" s="11"/>
      <c r="CH60" s="11">
        <v>1</v>
      </c>
      <c r="CI60" s="11"/>
      <c r="CJ60" s="11">
        <v>1</v>
      </c>
      <c r="CM60">
        <v>0</v>
      </c>
      <c r="CN60" s="11"/>
      <c r="CO60" s="11">
        <v>1</v>
      </c>
      <c r="CP60" s="11"/>
      <c r="CQ60" s="11">
        <v>1</v>
      </c>
      <c r="CT60">
        <v>0</v>
      </c>
      <c r="CU60" s="11"/>
      <c r="CV60" s="11">
        <v>1</v>
      </c>
      <c r="CW60" s="11"/>
      <c r="CX60" s="11">
        <v>1</v>
      </c>
      <c r="DA60">
        <v>0</v>
      </c>
      <c r="DB60" s="11"/>
      <c r="DC60" s="11">
        <v>1</v>
      </c>
      <c r="DD60" s="11"/>
      <c r="DE60" s="11">
        <v>1</v>
      </c>
      <c r="DI60" s="11"/>
      <c r="DJ60" s="11"/>
      <c r="DK60" s="11"/>
      <c r="DL60" s="11"/>
      <c r="DP60" s="11"/>
      <c r="DQ60" s="11"/>
      <c r="DR60" s="11"/>
      <c r="DS60" s="11"/>
      <c r="DW60" s="11"/>
      <c r="DX60" s="11"/>
      <c r="DY60" s="11"/>
      <c r="DZ60" s="11"/>
      <c r="ED60" s="11"/>
      <c r="EE60" s="11"/>
      <c r="EF60" s="11"/>
      <c r="EG60" s="11"/>
      <c r="EK60" s="11"/>
      <c r="EL60" s="11"/>
      <c r="EM60" s="11"/>
      <c r="EN60" s="11"/>
      <c r="ER60" s="11"/>
      <c r="ES60" s="11"/>
      <c r="ET60" s="11"/>
      <c r="EU60" s="11"/>
      <c r="EY60" s="11"/>
      <c r="EZ60" s="11"/>
      <c r="FA60" s="11"/>
      <c r="FB60" s="11"/>
      <c r="FF60" s="11"/>
      <c r="FG60" s="11"/>
      <c r="FH60" s="11"/>
      <c r="FI60" s="11"/>
      <c r="FM60" s="11"/>
      <c r="FN60" s="11"/>
      <c r="FO60" s="11"/>
      <c r="FP60" s="11"/>
      <c r="FT60" s="11"/>
      <c r="FU60" s="11"/>
      <c r="FV60" s="11"/>
      <c r="FW60" s="11"/>
      <c r="GA60" s="11"/>
      <c r="GB60" s="11"/>
      <c r="GC60" s="11"/>
      <c r="GD60" s="11"/>
    </row>
    <row r="61" spans="2:186" outlineLevel="1" x14ac:dyDescent="0.2">
      <c r="B61" t="s">
        <v>28</v>
      </c>
      <c r="E61" s="10"/>
      <c r="F61" t="s">
        <v>126</v>
      </c>
      <c r="G61" s="11">
        <v>0.08</v>
      </c>
      <c r="I61" s="10">
        <f t="shared" si="9"/>
        <v>8</v>
      </c>
      <c r="J61" s="12">
        <f t="shared" si="8"/>
        <v>0</v>
      </c>
      <c r="K61" s="12">
        <f t="shared" si="8"/>
        <v>0</v>
      </c>
      <c r="L61" s="10"/>
      <c r="O61" s="11"/>
      <c r="P61" s="11"/>
      <c r="Q61" s="11"/>
      <c r="R61" s="11"/>
      <c r="U61">
        <v>2.66</v>
      </c>
      <c r="V61" s="11"/>
      <c r="W61" s="11">
        <v>0.5</v>
      </c>
      <c r="X61" s="11"/>
      <c r="Y61" s="11">
        <v>0.5</v>
      </c>
      <c r="AB61">
        <v>0</v>
      </c>
      <c r="AC61" s="11"/>
      <c r="AD61" s="11">
        <v>0.5</v>
      </c>
      <c r="AE61" s="11"/>
      <c r="AF61" s="11">
        <v>0.5</v>
      </c>
      <c r="AI61">
        <v>0</v>
      </c>
      <c r="AJ61" s="11"/>
      <c r="AK61" s="11">
        <v>0.5</v>
      </c>
      <c r="AL61" s="11"/>
      <c r="AM61" s="11">
        <v>0.5</v>
      </c>
      <c r="AP61">
        <v>2.67</v>
      </c>
      <c r="AQ61" s="11"/>
      <c r="AR61" s="11">
        <v>0.8</v>
      </c>
      <c r="AS61" s="11"/>
      <c r="AT61" s="11">
        <v>0.8</v>
      </c>
      <c r="AW61">
        <v>0</v>
      </c>
      <c r="AX61" s="11"/>
      <c r="AY61" s="11">
        <v>0.8</v>
      </c>
      <c r="AZ61" s="11"/>
      <c r="BA61" s="11">
        <v>0.8</v>
      </c>
      <c r="BD61">
        <v>0</v>
      </c>
      <c r="BE61" s="11"/>
      <c r="BF61" s="11">
        <v>0.8</v>
      </c>
      <c r="BG61" s="11"/>
      <c r="BH61" s="11">
        <v>0.8</v>
      </c>
      <c r="BK61">
        <v>0</v>
      </c>
      <c r="BL61" s="11"/>
      <c r="BM61" s="11">
        <v>0.8</v>
      </c>
      <c r="BN61" s="11"/>
      <c r="BO61" s="11">
        <v>0.8</v>
      </c>
      <c r="BR61">
        <v>0</v>
      </c>
      <c r="BS61" s="11"/>
      <c r="BT61" s="11">
        <v>0.8</v>
      </c>
      <c r="BU61" s="11"/>
      <c r="BV61" s="11">
        <v>0.8</v>
      </c>
      <c r="BY61">
        <v>2.67</v>
      </c>
      <c r="BZ61" s="11"/>
      <c r="CA61" s="11">
        <v>1</v>
      </c>
      <c r="CB61" s="11"/>
      <c r="CC61" s="11">
        <v>1</v>
      </c>
      <c r="CF61">
        <v>0</v>
      </c>
      <c r="CG61" s="11"/>
      <c r="CH61" s="11">
        <v>1</v>
      </c>
      <c r="CI61" s="11"/>
      <c r="CJ61" s="11">
        <v>1</v>
      </c>
      <c r="CM61">
        <v>0</v>
      </c>
      <c r="CN61" s="11"/>
      <c r="CO61" s="11">
        <v>1</v>
      </c>
      <c r="CP61" s="11"/>
      <c r="CQ61" s="11">
        <v>1</v>
      </c>
      <c r="CT61">
        <v>0</v>
      </c>
      <c r="CU61" s="11"/>
      <c r="CV61" s="11">
        <v>1</v>
      </c>
      <c r="CW61" s="11"/>
      <c r="CX61" s="11">
        <v>1</v>
      </c>
      <c r="DA61">
        <v>0</v>
      </c>
      <c r="DB61" s="11"/>
      <c r="DC61" s="11">
        <v>1</v>
      </c>
      <c r="DD61" s="11"/>
      <c r="DE61" s="11">
        <v>1</v>
      </c>
      <c r="DI61" s="11"/>
      <c r="DJ61" s="11"/>
      <c r="DK61" s="11"/>
      <c r="DL61" s="11"/>
      <c r="DP61" s="11"/>
      <c r="DQ61" s="11"/>
      <c r="DR61" s="11"/>
      <c r="DS61" s="11"/>
      <c r="DW61" s="11"/>
      <c r="DX61" s="11"/>
      <c r="DY61" s="11"/>
      <c r="DZ61" s="11"/>
      <c r="ED61" s="11"/>
      <c r="EE61" s="11"/>
      <c r="EF61" s="11"/>
      <c r="EG61" s="11"/>
      <c r="EK61" s="11"/>
      <c r="EL61" s="11"/>
      <c r="EM61" s="11"/>
      <c r="EN61" s="11"/>
      <c r="ER61" s="11"/>
      <c r="ES61" s="11"/>
      <c r="ET61" s="11"/>
      <c r="EU61" s="11"/>
      <c r="EY61" s="11"/>
      <c r="EZ61" s="11"/>
      <c r="FA61" s="11"/>
      <c r="FB61" s="11"/>
      <c r="FF61" s="11"/>
      <c r="FG61" s="11"/>
      <c r="FH61" s="11"/>
      <c r="FI61" s="11"/>
      <c r="FM61" s="11"/>
      <c r="FN61" s="11"/>
      <c r="FO61" s="11"/>
      <c r="FP61" s="11"/>
      <c r="FT61" s="11"/>
      <c r="FU61" s="11"/>
      <c r="FV61" s="11"/>
      <c r="FW61" s="11"/>
      <c r="GA61" s="11"/>
      <c r="GB61" s="11"/>
      <c r="GC61" s="11"/>
      <c r="GD61" s="11"/>
    </row>
    <row r="62" spans="2:186" outlineLevel="1" x14ac:dyDescent="0.2">
      <c r="B62" t="s">
        <v>28</v>
      </c>
      <c r="E62" s="10"/>
      <c r="F62" t="s">
        <v>127</v>
      </c>
      <c r="G62" s="11">
        <v>0.11</v>
      </c>
      <c r="I62" s="10">
        <f t="shared" si="9"/>
        <v>8.01</v>
      </c>
      <c r="J62" s="12">
        <f t="shared" si="8"/>
        <v>0</v>
      </c>
      <c r="K62" s="12">
        <f t="shared" si="8"/>
        <v>0</v>
      </c>
      <c r="L62" s="10"/>
      <c r="O62" s="11"/>
      <c r="P62" s="11"/>
      <c r="Q62" s="11"/>
      <c r="R62" s="11"/>
      <c r="U62">
        <v>2.67</v>
      </c>
      <c r="V62" s="11"/>
      <c r="W62" s="11">
        <v>0.5</v>
      </c>
      <c r="X62" s="11"/>
      <c r="Y62" s="11">
        <v>0.5</v>
      </c>
      <c r="AB62">
        <v>0</v>
      </c>
      <c r="AC62" s="11"/>
      <c r="AD62" s="11">
        <v>0.5</v>
      </c>
      <c r="AE62" s="11"/>
      <c r="AF62" s="11">
        <v>0.5</v>
      </c>
      <c r="AI62">
        <v>0</v>
      </c>
      <c r="AJ62" s="11"/>
      <c r="AK62" s="11">
        <v>0.5</v>
      </c>
      <c r="AL62" s="11"/>
      <c r="AM62" s="11">
        <v>0.5</v>
      </c>
      <c r="AP62">
        <v>2.67</v>
      </c>
      <c r="AQ62" s="11"/>
      <c r="AR62" s="11">
        <v>0.8</v>
      </c>
      <c r="AS62" s="11"/>
      <c r="AT62" s="11">
        <v>0.8</v>
      </c>
      <c r="AW62">
        <v>0</v>
      </c>
      <c r="AX62" s="11"/>
      <c r="AY62" s="11">
        <v>0.8</v>
      </c>
      <c r="AZ62" s="11"/>
      <c r="BA62" s="11">
        <v>0.8</v>
      </c>
      <c r="BD62">
        <v>0</v>
      </c>
      <c r="BE62" s="11"/>
      <c r="BF62" s="11">
        <v>0.8</v>
      </c>
      <c r="BG62" s="11"/>
      <c r="BH62" s="11">
        <v>0.8</v>
      </c>
      <c r="BK62">
        <v>0</v>
      </c>
      <c r="BL62" s="11"/>
      <c r="BM62" s="11">
        <v>0.8</v>
      </c>
      <c r="BN62" s="11"/>
      <c r="BO62" s="11">
        <v>0.8</v>
      </c>
      <c r="BR62">
        <v>0</v>
      </c>
      <c r="BS62" s="11"/>
      <c r="BT62" s="11">
        <v>0.8</v>
      </c>
      <c r="BU62" s="11"/>
      <c r="BV62" s="11">
        <v>0.8</v>
      </c>
      <c r="BY62">
        <v>0</v>
      </c>
      <c r="BZ62" s="11"/>
      <c r="CA62" s="11">
        <v>0.8</v>
      </c>
      <c r="CB62" s="11"/>
      <c r="CC62" s="11">
        <v>0.8</v>
      </c>
      <c r="CF62">
        <v>2.67</v>
      </c>
      <c r="CG62" s="11"/>
      <c r="CH62" s="11">
        <v>1</v>
      </c>
      <c r="CI62" s="11"/>
      <c r="CJ62" s="11">
        <v>1</v>
      </c>
      <c r="CM62">
        <v>0</v>
      </c>
      <c r="CN62" s="11"/>
      <c r="CO62" s="11">
        <v>1</v>
      </c>
      <c r="CP62" s="11"/>
      <c r="CQ62" s="11">
        <v>1</v>
      </c>
      <c r="CT62">
        <v>0</v>
      </c>
      <c r="CU62" s="11"/>
      <c r="CV62" s="11">
        <v>1</v>
      </c>
      <c r="CW62" s="11"/>
      <c r="CX62" s="11">
        <v>1</v>
      </c>
      <c r="DA62">
        <v>0</v>
      </c>
      <c r="DB62" s="11"/>
      <c r="DC62" s="11">
        <v>1</v>
      </c>
      <c r="DD62" s="11"/>
      <c r="DE62" s="11">
        <v>1</v>
      </c>
      <c r="DI62" s="11"/>
      <c r="DJ62" s="11"/>
      <c r="DK62" s="11"/>
      <c r="DL62" s="11"/>
      <c r="DP62" s="11"/>
      <c r="DQ62" s="11"/>
      <c r="DR62" s="11"/>
      <c r="DS62" s="11"/>
      <c r="DW62" s="11"/>
      <c r="DX62" s="11"/>
      <c r="DY62" s="11"/>
      <c r="DZ62" s="11"/>
      <c r="ED62" s="11"/>
      <c r="EE62" s="11"/>
      <c r="EF62" s="11"/>
      <c r="EG62" s="11"/>
      <c r="EK62" s="11"/>
      <c r="EL62" s="11"/>
      <c r="EM62" s="11"/>
      <c r="EN62" s="11"/>
      <c r="ER62" s="11"/>
      <c r="ES62" s="11"/>
      <c r="ET62" s="11"/>
      <c r="EU62" s="11"/>
      <c r="EY62" s="11"/>
      <c r="EZ62" s="11"/>
      <c r="FA62" s="11"/>
      <c r="FB62" s="11"/>
      <c r="FF62" s="11"/>
      <c r="FG62" s="11"/>
      <c r="FH62" s="11"/>
      <c r="FI62" s="11"/>
      <c r="FM62" s="11"/>
      <c r="FN62" s="11"/>
      <c r="FO62" s="11"/>
      <c r="FP62" s="11"/>
      <c r="FT62" s="11"/>
      <c r="FU62" s="11"/>
      <c r="FV62" s="11"/>
      <c r="FW62" s="11"/>
      <c r="GA62" s="11"/>
      <c r="GB62" s="11"/>
      <c r="GC62" s="11"/>
      <c r="GD62" s="11"/>
    </row>
    <row r="63" spans="2:186" outlineLevel="1" x14ac:dyDescent="0.2">
      <c r="B63" t="s">
        <v>28</v>
      </c>
      <c r="E63" s="10"/>
      <c r="F63" t="s">
        <v>128</v>
      </c>
      <c r="G63" s="11">
        <v>0.08</v>
      </c>
      <c r="I63" s="10">
        <f t="shared" si="9"/>
        <v>8</v>
      </c>
      <c r="J63" s="12">
        <f t="shared" si="8"/>
        <v>0</v>
      </c>
      <c r="K63" s="12">
        <f t="shared" si="8"/>
        <v>0</v>
      </c>
      <c r="L63" s="10"/>
      <c r="O63" s="11"/>
      <c r="P63" s="11"/>
      <c r="Q63" s="11"/>
      <c r="R63" s="11"/>
      <c r="U63">
        <v>2.67</v>
      </c>
      <c r="V63" s="11"/>
      <c r="W63" s="11">
        <v>0.5</v>
      </c>
      <c r="X63" s="11"/>
      <c r="Y63" s="11">
        <v>0.5</v>
      </c>
      <c r="AB63">
        <v>0</v>
      </c>
      <c r="AC63" s="11"/>
      <c r="AD63" s="11">
        <v>0.5</v>
      </c>
      <c r="AE63" s="11"/>
      <c r="AF63" s="11">
        <v>0.5</v>
      </c>
      <c r="AI63">
        <v>0</v>
      </c>
      <c r="AJ63" s="11"/>
      <c r="AK63" s="11">
        <v>0.5</v>
      </c>
      <c r="AL63" s="11"/>
      <c r="AM63" s="11">
        <v>0.5</v>
      </c>
      <c r="AP63">
        <v>0</v>
      </c>
      <c r="AQ63" s="11"/>
      <c r="AR63" s="11">
        <v>0.5</v>
      </c>
      <c r="AS63" s="11"/>
      <c r="AT63" s="11">
        <v>0.5</v>
      </c>
      <c r="AW63">
        <v>2.66</v>
      </c>
      <c r="AX63" s="11"/>
      <c r="AY63" s="11">
        <v>0.8</v>
      </c>
      <c r="AZ63" s="11"/>
      <c r="BA63" s="11">
        <v>0.8</v>
      </c>
      <c r="BD63">
        <v>0</v>
      </c>
      <c r="BE63" s="11"/>
      <c r="BF63" s="11">
        <v>0.8</v>
      </c>
      <c r="BG63" s="11"/>
      <c r="BH63" s="11">
        <v>0.8</v>
      </c>
      <c r="BK63">
        <v>0</v>
      </c>
      <c r="BL63" s="11"/>
      <c r="BM63" s="11">
        <v>0.8</v>
      </c>
      <c r="BN63" s="11"/>
      <c r="BO63" s="11">
        <v>0.8</v>
      </c>
      <c r="BR63">
        <v>0</v>
      </c>
      <c r="BS63" s="11"/>
      <c r="BT63" s="11">
        <v>0.8</v>
      </c>
      <c r="BU63" s="11"/>
      <c r="BV63" s="11">
        <v>0.8</v>
      </c>
      <c r="BY63">
        <v>0</v>
      </c>
      <c r="BZ63" s="11"/>
      <c r="CA63" s="11">
        <v>0.8</v>
      </c>
      <c r="CB63" s="11"/>
      <c r="CC63" s="11">
        <v>0.8</v>
      </c>
      <c r="CF63">
        <v>0</v>
      </c>
      <c r="CG63" s="11"/>
      <c r="CH63" s="11">
        <v>0.8</v>
      </c>
      <c r="CI63" s="11"/>
      <c r="CJ63" s="11">
        <v>0.8</v>
      </c>
      <c r="CM63">
        <v>2.67</v>
      </c>
      <c r="CN63" s="11"/>
      <c r="CO63" s="11">
        <v>1</v>
      </c>
      <c r="CP63" s="11"/>
      <c r="CQ63" s="11">
        <v>1</v>
      </c>
      <c r="CT63">
        <v>0</v>
      </c>
      <c r="CU63" s="11"/>
      <c r="CV63" s="11">
        <v>1</v>
      </c>
      <c r="CW63" s="11"/>
      <c r="CX63" s="11">
        <v>1</v>
      </c>
      <c r="DA63">
        <v>0</v>
      </c>
      <c r="DB63" s="11"/>
      <c r="DC63" s="11">
        <v>1</v>
      </c>
      <c r="DD63" s="11"/>
      <c r="DE63" s="11">
        <v>1</v>
      </c>
      <c r="DI63" s="11"/>
      <c r="DJ63" s="11"/>
      <c r="DK63" s="11"/>
      <c r="DL63" s="11"/>
      <c r="DP63" s="11"/>
      <c r="DQ63" s="11"/>
      <c r="DR63" s="11"/>
      <c r="DS63" s="11"/>
      <c r="DW63" s="11"/>
      <c r="DX63" s="11"/>
      <c r="DY63" s="11"/>
      <c r="DZ63" s="11"/>
      <c r="ED63" s="11"/>
      <c r="EE63" s="11"/>
      <c r="EF63" s="11"/>
      <c r="EG63" s="11"/>
      <c r="EK63" s="11"/>
      <c r="EL63" s="11"/>
      <c r="EM63" s="11"/>
      <c r="EN63" s="11"/>
      <c r="ER63" s="11"/>
      <c r="ES63" s="11"/>
      <c r="ET63" s="11"/>
      <c r="EU63" s="11"/>
      <c r="EY63" s="11"/>
      <c r="EZ63" s="11"/>
      <c r="FA63" s="11"/>
      <c r="FB63" s="11"/>
      <c r="FF63" s="11"/>
      <c r="FG63" s="11"/>
      <c r="FH63" s="11"/>
      <c r="FI63" s="11"/>
      <c r="FM63" s="11"/>
      <c r="FN63" s="11"/>
      <c r="FO63" s="11"/>
      <c r="FP63" s="11"/>
      <c r="FT63" s="11"/>
      <c r="FU63" s="11"/>
      <c r="FV63" s="11"/>
      <c r="FW63" s="11"/>
      <c r="GA63" s="11"/>
      <c r="GB63" s="11"/>
      <c r="GC63" s="11"/>
      <c r="GD63" s="11"/>
    </row>
    <row r="64" spans="2:186" outlineLevel="1" x14ac:dyDescent="0.2">
      <c r="B64" t="s">
        <v>28</v>
      </c>
      <c r="E64" s="10"/>
      <c r="F64" t="s">
        <v>129</v>
      </c>
      <c r="G64" s="11">
        <v>0.11</v>
      </c>
      <c r="I64" s="10">
        <f t="shared" si="9"/>
        <v>8</v>
      </c>
      <c r="J64" s="12">
        <f t="shared" si="8"/>
        <v>0</v>
      </c>
      <c r="K64" s="12">
        <f t="shared" si="8"/>
        <v>0</v>
      </c>
      <c r="L64" s="10"/>
      <c r="O64" s="11"/>
      <c r="P64" s="11"/>
      <c r="Q64" s="11"/>
      <c r="R64" s="11"/>
      <c r="V64" s="11"/>
      <c r="W64" s="11"/>
      <c r="X64" s="11"/>
      <c r="Y64" s="11"/>
      <c r="AB64">
        <v>2.66</v>
      </c>
      <c r="AC64" s="11"/>
      <c r="AD64" s="11">
        <v>0.5</v>
      </c>
      <c r="AE64" s="11"/>
      <c r="AF64" s="11">
        <v>0.5</v>
      </c>
      <c r="AI64">
        <v>0</v>
      </c>
      <c r="AJ64" s="11"/>
      <c r="AK64" s="11">
        <v>0.5</v>
      </c>
      <c r="AL64" s="11"/>
      <c r="AM64" s="11">
        <v>0.5</v>
      </c>
      <c r="AP64">
        <v>0</v>
      </c>
      <c r="AQ64" s="11"/>
      <c r="AR64" s="11">
        <v>0.5</v>
      </c>
      <c r="AS64" s="11"/>
      <c r="AT64" s="11">
        <v>0.5</v>
      </c>
      <c r="AW64">
        <v>0</v>
      </c>
      <c r="AX64" s="11"/>
      <c r="AY64" s="11">
        <v>0.5</v>
      </c>
      <c r="AZ64" s="11"/>
      <c r="BA64" s="11">
        <v>0.5</v>
      </c>
      <c r="BD64">
        <v>2.67</v>
      </c>
      <c r="BE64" s="11"/>
      <c r="BF64" s="11">
        <v>0.8</v>
      </c>
      <c r="BG64" s="11"/>
      <c r="BH64" s="11">
        <v>0.8</v>
      </c>
      <c r="BK64">
        <v>0</v>
      </c>
      <c r="BL64" s="11"/>
      <c r="BM64" s="11">
        <v>0.8</v>
      </c>
      <c r="BN64" s="11"/>
      <c r="BO64" s="11">
        <v>0.8</v>
      </c>
      <c r="BR64">
        <v>0</v>
      </c>
      <c r="BS64" s="11"/>
      <c r="BT64" s="11">
        <v>0.8</v>
      </c>
      <c r="BU64" s="11"/>
      <c r="BV64" s="11">
        <v>0.8</v>
      </c>
      <c r="BY64">
        <v>0</v>
      </c>
      <c r="BZ64" s="11"/>
      <c r="CA64" s="11">
        <v>0.8</v>
      </c>
      <c r="CB64" s="11"/>
      <c r="CC64" s="11">
        <v>0.8</v>
      </c>
      <c r="CF64">
        <v>0</v>
      </c>
      <c r="CG64" s="11"/>
      <c r="CH64" s="11">
        <v>0.8</v>
      </c>
      <c r="CI64" s="11"/>
      <c r="CJ64" s="11">
        <v>0.8</v>
      </c>
      <c r="CM64">
        <v>2.67</v>
      </c>
      <c r="CN64" s="11"/>
      <c r="CO64" s="11">
        <v>1</v>
      </c>
      <c r="CP64" s="11"/>
      <c r="CQ64" s="11">
        <v>1</v>
      </c>
      <c r="CT64">
        <v>0</v>
      </c>
      <c r="CU64" s="11"/>
      <c r="CV64" s="11">
        <v>1</v>
      </c>
      <c r="CW64" s="11"/>
      <c r="CX64" s="11">
        <v>1</v>
      </c>
      <c r="DA64">
        <v>0</v>
      </c>
      <c r="DB64" s="11"/>
      <c r="DC64" s="11">
        <v>1</v>
      </c>
      <c r="DD64" s="11"/>
      <c r="DE64" s="11">
        <v>1</v>
      </c>
      <c r="DI64" s="11"/>
      <c r="DJ64" s="11"/>
      <c r="DK64" s="11"/>
      <c r="DL64" s="11"/>
      <c r="DP64" s="11"/>
      <c r="DQ64" s="11"/>
      <c r="DR64" s="11"/>
      <c r="DS64" s="11"/>
      <c r="DW64" s="11"/>
      <c r="DX64" s="11"/>
      <c r="DY64" s="11"/>
      <c r="DZ64" s="11"/>
      <c r="ED64" s="11"/>
      <c r="EE64" s="11"/>
      <c r="EF64" s="11"/>
      <c r="EG64" s="11"/>
      <c r="EK64" s="11"/>
      <c r="EL64" s="11"/>
      <c r="EM64" s="11"/>
      <c r="EN64" s="11"/>
      <c r="ER64" s="11"/>
      <c r="ES64" s="11"/>
      <c r="ET64" s="11"/>
      <c r="EU64" s="11"/>
      <c r="EY64" s="11"/>
      <c r="EZ64" s="11"/>
      <c r="FA64" s="11"/>
      <c r="FB64" s="11"/>
      <c r="FF64" s="11"/>
      <c r="FG64" s="11"/>
      <c r="FH64" s="11"/>
      <c r="FI64" s="11"/>
      <c r="FM64" s="11"/>
      <c r="FN64" s="11"/>
      <c r="FO64" s="11"/>
      <c r="FP64" s="11"/>
      <c r="FT64" s="11"/>
      <c r="FU64" s="11"/>
      <c r="FV64" s="11"/>
      <c r="FW64" s="11"/>
      <c r="GA64" s="11"/>
      <c r="GB64" s="11"/>
      <c r="GC64" s="11"/>
      <c r="GD64" s="11"/>
    </row>
    <row r="65" spans="2:186" outlineLevel="1" x14ac:dyDescent="0.2">
      <c r="B65" t="s">
        <v>28</v>
      </c>
      <c r="E65" s="10"/>
      <c r="F65" t="s">
        <v>130</v>
      </c>
      <c r="G65" s="11">
        <v>0.08</v>
      </c>
      <c r="I65" s="10">
        <f t="shared" si="9"/>
        <v>8</v>
      </c>
      <c r="J65" s="12">
        <f t="shared" si="8"/>
        <v>0</v>
      </c>
      <c r="K65" s="12">
        <f t="shared" si="8"/>
        <v>0</v>
      </c>
      <c r="L65" s="10"/>
      <c r="O65" s="11"/>
      <c r="P65" s="11"/>
      <c r="Q65" s="11"/>
      <c r="R65" s="11"/>
      <c r="V65" s="11"/>
      <c r="W65" s="11"/>
      <c r="X65" s="11"/>
      <c r="Y65" s="11"/>
      <c r="AC65" s="11"/>
      <c r="AD65" s="11"/>
      <c r="AE65" s="11"/>
      <c r="AF65" s="11"/>
      <c r="AI65">
        <v>2.67</v>
      </c>
      <c r="AJ65" s="11"/>
      <c r="AK65" s="11">
        <v>0.5</v>
      </c>
      <c r="AL65" s="11"/>
      <c r="AM65" s="11">
        <v>0.5</v>
      </c>
      <c r="AP65">
        <v>0</v>
      </c>
      <c r="AQ65" s="11"/>
      <c r="AR65" s="11">
        <v>0.5</v>
      </c>
      <c r="AS65" s="11"/>
      <c r="AT65" s="11">
        <v>0.5</v>
      </c>
      <c r="AW65">
        <v>0</v>
      </c>
      <c r="AX65" s="11"/>
      <c r="AY65" s="11">
        <v>0.5</v>
      </c>
      <c r="AZ65" s="11"/>
      <c r="BA65" s="11">
        <v>0.5</v>
      </c>
      <c r="BD65">
        <v>2.67</v>
      </c>
      <c r="BE65" s="11"/>
      <c r="BF65" s="11">
        <v>0.8</v>
      </c>
      <c r="BG65" s="11"/>
      <c r="BH65" s="11">
        <v>0.8</v>
      </c>
      <c r="BK65">
        <v>0</v>
      </c>
      <c r="BL65" s="11"/>
      <c r="BM65" s="11">
        <v>0.8</v>
      </c>
      <c r="BN65" s="11"/>
      <c r="BO65" s="11">
        <v>0.8</v>
      </c>
      <c r="BR65">
        <v>0</v>
      </c>
      <c r="BS65" s="11"/>
      <c r="BT65" s="11">
        <v>0.8</v>
      </c>
      <c r="BU65" s="11"/>
      <c r="BV65" s="11">
        <v>0.8</v>
      </c>
      <c r="BY65">
        <v>0</v>
      </c>
      <c r="BZ65" s="11"/>
      <c r="CA65" s="11">
        <v>0.8</v>
      </c>
      <c r="CB65" s="11"/>
      <c r="CC65" s="11">
        <v>0.8</v>
      </c>
      <c r="CF65">
        <v>0</v>
      </c>
      <c r="CG65" s="11"/>
      <c r="CH65" s="11">
        <v>0.8</v>
      </c>
      <c r="CI65" s="11"/>
      <c r="CJ65" s="11">
        <v>0.8</v>
      </c>
      <c r="CM65">
        <v>2.66</v>
      </c>
      <c r="CN65" s="11"/>
      <c r="CO65" s="11">
        <v>1</v>
      </c>
      <c r="CP65" s="11"/>
      <c r="CQ65" s="11">
        <v>1</v>
      </c>
      <c r="CT65">
        <v>0</v>
      </c>
      <c r="CU65" s="11"/>
      <c r="CV65" s="11">
        <v>1</v>
      </c>
      <c r="CW65" s="11"/>
      <c r="CX65" s="11">
        <v>1</v>
      </c>
      <c r="DA65">
        <v>0</v>
      </c>
      <c r="DB65" s="11"/>
      <c r="DC65" s="11">
        <v>1</v>
      </c>
      <c r="DD65" s="11"/>
      <c r="DE65" s="11">
        <v>1</v>
      </c>
      <c r="DI65" s="11"/>
      <c r="DJ65" s="11"/>
      <c r="DK65" s="11"/>
      <c r="DL65" s="11"/>
      <c r="DP65" s="11"/>
      <c r="DQ65" s="11"/>
      <c r="DR65" s="11"/>
      <c r="DS65" s="11"/>
      <c r="DW65" s="11"/>
      <c r="DX65" s="11"/>
      <c r="DY65" s="11"/>
      <c r="DZ65" s="11"/>
      <c r="ED65" s="11"/>
      <c r="EE65" s="11"/>
      <c r="EF65" s="11"/>
      <c r="EG65" s="11"/>
      <c r="EK65" s="11"/>
      <c r="EL65" s="11"/>
      <c r="EM65" s="11"/>
      <c r="EN65" s="11"/>
      <c r="ER65" s="11"/>
      <c r="ES65" s="11"/>
      <c r="ET65" s="11"/>
      <c r="EU65" s="11"/>
      <c r="EY65" s="11"/>
      <c r="EZ65" s="11"/>
      <c r="FA65" s="11"/>
      <c r="FB65" s="11"/>
      <c r="FF65" s="11"/>
      <c r="FG65" s="11"/>
      <c r="FH65" s="11"/>
      <c r="FI65" s="11"/>
      <c r="FM65" s="11"/>
      <c r="FN65" s="11"/>
      <c r="FO65" s="11"/>
      <c r="FP65" s="11"/>
      <c r="FT65" s="11"/>
      <c r="FU65" s="11"/>
      <c r="FV65" s="11"/>
      <c r="FW65" s="11"/>
      <c r="GA65" s="11"/>
      <c r="GB65" s="11"/>
      <c r="GC65" s="11"/>
      <c r="GD65" s="11"/>
    </row>
    <row r="66" spans="2:186" outlineLevel="1" x14ac:dyDescent="0.2">
      <c r="B66" t="s">
        <v>28</v>
      </c>
      <c r="E66" s="10"/>
      <c r="F66" t="s">
        <v>131</v>
      </c>
      <c r="G66" s="11">
        <v>0.08</v>
      </c>
      <c r="I66" s="10">
        <f t="shared" si="9"/>
        <v>8.01</v>
      </c>
      <c r="J66" s="12">
        <f t="shared" si="8"/>
        <v>0</v>
      </c>
      <c r="K66" s="12">
        <f t="shared" si="8"/>
        <v>0</v>
      </c>
      <c r="L66" s="10"/>
      <c r="O66" s="11"/>
      <c r="P66" s="11"/>
      <c r="Q66" s="11"/>
      <c r="R66" s="11"/>
      <c r="V66" s="11"/>
      <c r="W66" s="11"/>
      <c r="X66" s="11"/>
      <c r="Y66" s="11"/>
      <c r="AC66" s="11"/>
      <c r="AD66" s="11"/>
      <c r="AE66" s="11"/>
      <c r="AF66" s="11"/>
      <c r="AI66">
        <v>2.67</v>
      </c>
      <c r="AJ66" s="11"/>
      <c r="AK66" s="11">
        <v>0.5</v>
      </c>
      <c r="AL66" s="11"/>
      <c r="AM66" s="11">
        <v>0.5</v>
      </c>
      <c r="AP66">
        <v>0</v>
      </c>
      <c r="AQ66" s="11"/>
      <c r="AR66" s="11">
        <v>0.5</v>
      </c>
      <c r="AS66" s="11"/>
      <c r="AT66" s="11">
        <v>0.5</v>
      </c>
      <c r="AW66">
        <v>0</v>
      </c>
      <c r="AX66" s="11"/>
      <c r="AY66" s="11">
        <v>0.5</v>
      </c>
      <c r="AZ66" s="11"/>
      <c r="BA66" s="11">
        <v>0.5</v>
      </c>
      <c r="BD66">
        <v>0</v>
      </c>
      <c r="BE66" s="11"/>
      <c r="BF66" s="11">
        <v>0.5</v>
      </c>
      <c r="BG66" s="11"/>
      <c r="BH66" s="11">
        <v>0.5</v>
      </c>
      <c r="BK66">
        <v>2.67</v>
      </c>
      <c r="BL66" s="11"/>
      <c r="BM66" s="11">
        <v>0.8</v>
      </c>
      <c r="BN66" s="11"/>
      <c r="BO66" s="11">
        <v>0.8</v>
      </c>
      <c r="BR66">
        <v>0</v>
      </c>
      <c r="BS66" s="11"/>
      <c r="BT66" s="11">
        <v>0.8</v>
      </c>
      <c r="BU66" s="11"/>
      <c r="BV66" s="11">
        <v>0.8</v>
      </c>
      <c r="BY66">
        <v>0</v>
      </c>
      <c r="BZ66" s="11"/>
      <c r="CA66" s="11">
        <v>0.8</v>
      </c>
      <c r="CB66" s="11"/>
      <c r="CC66" s="11">
        <v>0.8</v>
      </c>
      <c r="CF66">
        <v>0</v>
      </c>
      <c r="CG66" s="11"/>
      <c r="CH66" s="11">
        <v>0.8</v>
      </c>
      <c r="CI66" s="11"/>
      <c r="CJ66" s="11">
        <v>0.8</v>
      </c>
      <c r="CM66">
        <v>0</v>
      </c>
      <c r="CN66" s="11"/>
      <c r="CO66" s="11">
        <v>0.8</v>
      </c>
      <c r="CP66" s="11"/>
      <c r="CQ66" s="11">
        <v>0.8</v>
      </c>
      <c r="CT66">
        <v>2.67</v>
      </c>
      <c r="CU66" s="11"/>
      <c r="CV66" s="11">
        <v>1</v>
      </c>
      <c r="CW66" s="11"/>
      <c r="CX66" s="11">
        <v>1</v>
      </c>
      <c r="DA66">
        <v>0</v>
      </c>
      <c r="DB66" s="11"/>
      <c r="DC66" s="11">
        <v>1</v>
      </c>
      <c r="DD66" s="11"/>
      <c r="DE66" s="11">
        <v>1</v>
      </c>
      <c r="DI66" s="11"/>
      <c r="DJ66" s="11"/>
      <c r="DK66" s="11"/>
      <c r="DL66" s="11"/>
      <c r="DP66" s="11"/>
      <c r="DQ66" s="11"/>
      <c r="DR66" s="11"/>
      <c r="DS66" s="11"/>
      <c r="DW66" s="11"/>
      <c r="DX66" s="11"/>
      <c r="DY66" s="11"/>
      <c r="DZ66" s="11"/>
      <c r="ED66" s="11"/>
      <c r="EE66" s="11"/>
      <c r="EF66" s="11"/>
      <c r="EG66" s="11"/>
      <c r="EK66" s="11"/>
      <c r="EL66" s="11"/>
      <c r="EM66" s="11"/>
      <c r="EN66" s="11"/>
      <c r="ER66" s="11"/>
      <c r="ES66" s="11"/>
      <c r="ET66" s="11"/>
      <c r="EU66" s="11"/>
      <c r="EY66" s="11"/>
      <c r="EZ66" s="11"/>
      <c r="FA66" s="11"/>
      <c r="FB66" s="11"/>
      <c r="FF66" s="11"/>
      <c r="FG66" s="11"/>
      <c r="FH66" s="11"/>
      <c r="FI66" s="11"/>
      <c r="FM66" s="11"/>
      <c r="FN66" s="11"/>
      <c r="FO66" s="11"/>
      <c r="FP66" s="11"/>
      <c r="FT66" s="11"/>
      <c r="FU66" s="11"/>
      <c r="FV66" s="11"/>
      <c r="FW66" s="11"/>
      <c r="GA66" s="11"/>
      <c r="GB66" s="11"/>
      <c r="GC66" s="11"/>
      <c r="GD66" s="11"/>
    </row>
    <row r="67" spans="2:186" outlineLevel="1" x14ac:dyDescent="0.2">
      <c r="B67" t="s">
        <v>28</v>
      </c>
      <c r="E67" s="10"/>
      <c r="F67" t="s">
        <v>132</v>
      </c>
      <c r="G67" s="11">
        <v>0.06</v>
      </c>
      <c r="I67" s="10">
        <f t="shared" si="9"/>
        <v>8</v>
      </c>
      <c r="J67" s="12">
        <f t="shared" si="8"/>
        <v>0</v>
      </c>
      <c r="K67" s="12">
        <f t="shared" si="8"/>
        <v>0</v>
      </c>
      <c r="L67" s="10"/>
      <c r="O67" s="11"/>
      <c r="P67" s="11"/>
      <c r="Q67" s="11"/>
      <c r="R67" s="11"/>
      <c r="V67" s="11"/>
      <c r="W67" s="11"/>
      <c r="X67" s="11"/>
      <c r="Y67" s="11"/>
      <c r="AC67" s="11"/>
      <c r="AD67" s="11"/>
      <c r="AE67" s="11"/>
      <c r="AF67" s="11"/>
      <c r="AJ67" s="11"/>
      <c r="AK67" s="11"/>
      <c r="AL67" s="11"/>
      <c r="AM67" s="11"/>
      <c r="AP67">
        <v>2.66</v>
      </c>
      <c r="AQ67" s="11"/>
      <c r="AR67" s="11">
        <v>0.5</v>
      </c>
      <c r="AS67" s="11"/>
      <c r="AT67" s="11">
        <v>0.5</v>
      </c>
      <c r="AW67">
        <v>0</v>
      </c>
      <c r="AX67" s="11"/>
      <c r="AY67" s="11">
        <v>0.5</v>
      </c>
      <c r="AZ67" s="11"/>
      <c r="BA67" s="11">
        <v>0.5</v>
      </c>
      <c r="BD67">
        <v>0</v>
      </c>
      <c r="BE67" s="11"/>
      <c r="BF67" s="11">
        <v>0.5</v>
      </c>
      <c r="BG67" s="11"/>
      <c r="BH67" s="11">
        <v>0.5</v>
      </c>
      <c r="BK67">
        <v>0</v>
      </c>
      <c r="BL67" s="11"/>
      <c r="BM67" s="11">
        <v>0.5</v>
      </c>
      <c r="BN67" s="11"/>
      <c r="BO67" s="11">
        <v>0.5</v>
      </c>
      <c r="BR67">
        <v>2.67</v>
      </c>
      <c r="BS67" s="11"/>
      <c r="BT67" s="11">
        <v>0.8</v>
      </c>
      <c r="BU67" s="11"/>
      <c r="BV67" s="11">
        <v>0.8</v>
      </c>
      <c r="BY67">
        <v>0</v>
      </c>
      <c r="BZ67" s="11"/>
      <c r="CA67" s="11">
        <v>0.8</v>
      </c>
      <c r="CB67" s="11"/>
      <c r="CC67" s="11">
        <v>0.8</v>
      </c>
      <c r="CF67">
        <v>0</v>
      </c>
      <c r="CG67" s="11"/>
      <c r="CH67" s="11">
        <v>0.8</v>
      </c>
      <c r="CI67" s="11"/>
      <c r="CJ67" s="11">
        <v>0.8</v>
      </c>
      <c r="CM67">
        <v>0</v>
      </c>
      <c r="CN67" s="11"/>
      <c r="CO67" s="11">
        <v>0.8</v>
      </c>
      <c r="CP67" s="11"/>
      <c r="CQ67" s="11">
        <v>0.8</v>
      </c>
      <c r="CT67">
        <v>2.67</v>
      </c>
      <c r="CU67" s="11"/>
      <c r="CV67" s="11">
        <v>1</v>
      </c>
      <c r="CW67" s="11"/>
      <c r="CX67" s="11">
        <v>1</v>
      </c>
      <c r="DA67">
        <v>0</v>
      </c>
      <c r="DB67" s="11"/>
      <c r="DC67" s="11">
        <v>1</v>
      </c>
      <c r="DD67" s="11"/>
      <c r="DE67" s="11">
        <v>1</v>
      </c>
      <c r="DI67" s="11"/>
      <c r="DJ67" s="11"/>
      <c r="DK67" s="11"/>
      <c r="DL67" s="11"/>
      <c r="DP67" s="11"/>
      <c r="DQ67" s="11"/>
      <c r="DR67" s="11"/>
      <c r="DS67" s="11"/>
      <c r="DW67" s="11"/>
      <c r="DX67" s="11"/>
      <c r="DY67" s="11"/>
      <c r="DZ67" s="11"/>
      <c r="ED67" s="11"/>
      <c r="EE67" s="11"/>
      <c r="EF67" s="11"/>
      <c r="EG67" s="11"/>
      <c r="EK67" s="11"/>
      <c r="EL67" s="11"/>
      <c r="EM67" s="11"/>
      <c r="EN67" s="11"/>
      <c r="ER67" s="11"/>
      <c r="ES67" s="11"/>
      <c r="ET67" s="11"/>
      <c r="EU67" s="11"/>
      <c r="EY67" s="11"/>
      <c r="EZ67" s="11"/>
      <c r="FA67" s="11"/>
      <c r="FB67" s="11"/>
      <c r="FF67" s="11"/>
      <c r="FG67" s="11"/>
      <c r="FH67" s="11"/>
      <c r="FI67" s="11"/>
      <c r="FM67" s="11"/>
      <c r="FN67" s="11"/>
      <c r="FO67" s="11"/>
      <c r="FP67" s="11"/>
      <c r="FT67" s="11"/>
      <c r="FU67" s="11"/>
      <c r="FV67" s="11"/>
      <c r="FW67" s="11"/>
      <c r="GA67" s="11"/>
      <c r="GB67" s="11"/>
      <c r="GC67" s="11"/>
      <c r="GD67" s="11"/>
    </row>
    <row r="68" spans="2:186" outlineLevel="1" x14ac:dyDescent="0.2">
      <c r="B68" t="s">
        <v>28</v>
      </c>
      <c r="E68" s="10"/>
      <c r="F68" t="s">
        <v>133</v>
      </c>
      <c r="G68" s="11">
        <v>0.05</v>
      </c>
      <c r="I68" s="10">
        <f t="shared" si="9"/>
        <v>7.99</v>
      </c>
      <c r="J68" s="12">
        <f>+_xlfn.MAXIFS($N68:$ZF68,$N$3:$ZF$3,J$3)</f>
        <v>0</v>
      </c>
      <c r="K68" s="12">
        <f>+_xlfn.MAXIFS($N68:$ZF68,$N$3:$ZF$3,K$3)</f>
        <v>0</v>
      </c>
      <c r="L68" s="10"/>
      <c r="O68" s="11"/>
      <c r="P68" s="11"/>
      <c r="Q68" s="11"/>
      <c r="R68" s="11"/>
      <c r="V68" s="11"/>
      <c r="W68" s="11"/>
      <c r="X68" s="11"/>
      <c r="Y68" s="11"/>
      <c r="AC68" s="11"/>
      <c r="AD68" s="11"/>
      <c r="AE68" s="11"/>
      <c r="AF68" s="11"/>
      <c r="AJ68" s="11"/>
      <c r="AK68" s="11"/>
      <c r="AL68" s="11"/>
      <c r="AM68" s="11"/>
      <c r="AQ68" s="11"/>
      <c r="AR68" s="11"/>
      <c r="AS68" s="11"/>
      <c r="AT68" s="11"/>
      <c r="AW68">
        <v>2.67</v>
      </c>
      <c r="AX68" s="11"/>
      <c r="AY68" s="11">
        <v>0.5</v>
      </c>
      <c r="AZ68" s="11"/>
      <c r="BA68" s="11">
        <v>0.5</v>
      </c>
      <c r="BD68">
        <v>0</v>
      </c>
      <c r="BE68" s="11"/>
      <c r="BF68" s="11">
        <v>0.5</v>
      </c>
      <c r="BG68" s="11"/>
      <c r="BH68" s="11">
        <v>0.5</v>
      </c>
      <c r="BK68">
        <v>0</v>
      </c>
      <c r="BL68" s="11"/>
      <c r="BM68" s="11">
        <v>0.5</v>
      </c>
      <c r="BN68" s="11"/>
      <c r="BO68" s="11">
        <v>0.5</v>
      </c>
      <c r="BR68">
        <v>2.66</v>
      </c>
      <c r="BS68" s="11"/>
      <c r="BT68" s="11">
        <v>0.8</v>
      </c>
      <c r="BU68" s="11"/>
      <c r="BV68" s="11">
        <v>0.8</v>
      </c>
      <c r="BY68">
        <v>0</v>
      </c>
      <c r="BZ68" s="11"/>
      <c r="CA68" s="11">
        <v>0.8</v>
      </c>
      <c r="CB68" s="11"/>
      <c r="CC68" s="11">
        <v>0.8</v>
      </c>
      <c r="CF68">
        <v>0</v>
      </c>
      <c r="CG68" s="11"/>
      <c r="CH68" s="11">
        <v>0.8</v>
      </c>
      <c r="CI68" s="11"/>
      <c r="CJ68" s="11">
        <v>0.8</v>
      </c>
      <c r="CM68">
        <v>0</v>
      </c>
      <c r="CN68" s="11"/>
      <c r="CO68" s="11">
        <v>0.8</v>
      </c>
      <c r="CP68" s="11"/>
      <c r="CQ68" s="11">
        <v>0.8</v>
      </c>
      <c r="CT68">
        <v>2.66</v>
      </c>
      <c r="CU68" s="11"/>
      <c r="CV68" s="11">
        <v>1</v>
      </c>
      <c r="CW68" s="11"/>
      <c r="CX68" s="11">
        <v>1</v>
      </c>
      <c r="DA68">
        <v>0</v>
      </c>
      <c r="DB68" s="11"/>
      <c r="DC68" s="11">
        <v>1</v>
      </c>
      <c r="DD68" s="11"/>
      <c r="DE68" s="11">
        <v>1</v>
      </c>
      <c r="DI68" s="11"/>
      <c r="DJ68" s="11"/>
      <c r="DK68" s="11"/>
      <c r="DL68" s="11"/>
      <c r="DP68" s="11"/>
      <c r="DQ68" s="11"/>
      <c r="DR68" s="11"/>
      <c r="DS68" s="11"/>
      <c r="DW68" s="11"/>
      <c r="DX68" s="11"/>
      <c r="DY68" s="11"/>
      <c r="DZ68" s="11"/>
      <c r="ED68" s="11"/>
      <c r="EE68" s="11"/>
      <c r="EF68" s="11"/>
      <c r="EG68" s="11"/>
      <c r="EK68" s="11"/>
      <c r="EL68" s="11"/>
      <c r="EM68" s="11"/>
      <c r="EN68" s="11"/>
      <c r="ER68" s="11"/>
      <c r="ES68" s="11"/>
      <c r="ET68" s="11"/>
      <c r="EU68" s="11"/>
      <c r="EY68" s="11"/>
      <c r="EZ68" s="11"/>
      <c r="FA68" s="11"/>
      <c r="FB68" s="11"/>
      <c r="FF68" s="11"/>
      <c r="FG68" s="11"/>
      <c r="FH68" s="11"/>
      <c r="FI68" s="11"/>
      <c r="FM68" s="11"/>
      <c r="FN68" s="11"/>
      <c r="FO68" s="11"/>
      <c r="FP68" s="11"/>
      <c r="FT68" s="11"/>
      <c r="FU68" s="11"/>
      <c r="FV68" s="11"/>
      <c r="FW68" s="11"/>
      <c r="GA68" s="11"/>
      <c r="GB68" s="11"/>
      <c r="GC68" s="11"/>
      <c r="GD68" s="11"/>
    </row>
    <row r="69" spans="2:186" outlineLevel="1" x14ac:dyDescent="0.2">
      <c r="B69" t="s">
        <v>28</v>
      </c>
      <c r="E69" s="10"/>
      <c r="F69" t="s">
        <v>134</v>
      </c>
      <c r="G69" s="11">
        <v>0.05</v>
      </c>
      <c r="I69" s="10">
        <f t="shared" si="9"/>
        <v>8</v>
      </c>
      <c r="J69" s="12">
        <f t="shared" si="8"/>
        <v>0</v>
      </c>
      <c r="K69" s="12">
        <f t="shared" si="8"/>
        <v>0</v>
      </c>
      <c r="L69" s="10"/>
      <c r="O69" s="11"/>
      <c r="P69" s="11"/>
      <c r="Q69" s="11"/>
      <c r="R69" s="11"/>
      <c r="V69" s="11"/>
      <c r="W69" s="11"/>
      <c r="X69" s="11"/>
      <c r="Y69" s="11"/>
      <c r="AC69" s="11"/>
      <c r="AD69" s="11"/>
      <c r="AE69" s="11"/>
      <c r="AF69" s="11"/>
      <c r="AJ69" s="11"/>
      <c r="AK69" s="11"/>
      <c r="AL69" s="11"/>
      <c r="AM69" s="11"/>
      <c r="AQ69" s="11"/>
      <c r="AR69" s="11"/>
      <c r="AS69" s="11"/>
      <c r="AT69" s="11"/>
      <c r="AW69">
        <v>2.67</v>
      </c>
      <c r="AX69" s="11"/>
      <c r="AY69" s="11">
        <v>0.5</v>
      </c>
      <c r="AZ69" s="11"/>
      <c r="BA69" s="11">
        <v>0.5</v>
      </c>
      <c r="BD69">
        <v>0</v>
      </c>
      <c r="BE69" s="11"/>
      <c r="BF69" s="11">
        <v>0.5</v>
      </c>
      <c r="BG69" s="11"/>
      <c r="BH69" s="11">
        <v>0.5</v>
      </c>
      <c r="BK69">
        <v>0</v>
      </c>
      <c r="BL69" s="11"/>
      <c r="BM69" s="11">
        <v>0.5</v>
      </c>
      <c r="BN69" s="11"/>
      <c r="BO69" s="11">
        <v>0.5</v>
      </c>
      <c r="BR69">
        <v>0</v>
      </c>
      <c r="BS69" s="11"/>
      <c r="BT69" s="11">
        <v>0.5</v>
      </c>
      <c r="BU69" s="11"/>
      <c r="BV69" s="11">
        <v>0.5</v>
      </c>
      <c r="BY69">
        <v>2.66</v>
      </c>
      <c r="BZ69" s="11"/>
      <c r="CA69" s="11">
        <v>0.8</v>
      </c>
      <c r="CB69" s="11"/>
      <c r="CC69" s="11">
        <v>0.8</v>
      </c>
      <c r="CF69">
        <v>0</v>
      </c>
      <c r="CG69" s="11"/>
      <c r="CH69" s="11">
        <v>0.8</v>
      </c>
      <c r="CI69" s="11"/>
      <c r="CJ69" s="11">
        <v>0.8</v>
      </c>
      <c r="CM69">
        <v>0</v>
      </c>
      <c r="CN69" s="11"/>
      <c r="CO69" s="11">
        <v>0.8</v>
      </c>
      <c r="CP69" s="11"/>
      <c r="CQ69" s="11">
        <v>0.8</v>
      </c>
      <c r="CT69">
        <v>0</v>
      </c>
      <c r="CU69" s="11"/>
      <c r="CV69" s="11">
        <v>0.8</v>
      </c>
      <c r="CW69" s="11"/>
      <c r="CX69" s="11">
        <v>0.8</v>
      </c>
      <c r="DA69">
        <v>2.67</v>
      </c>
      <c r="DB69" s="11"/>
      <c r="DC69" s="11">
        <v>1</v>
      </c>
      <c r="DD69" s="11"/>
      <c r="DE69" s="11">
        <v>1</v>
      </c>
      <c r="DI69" s="11"/>
      <c r="DJ69" s="11"/>
      <c r="DK69" s="11"/>
      <c r="DL69" s="11"/>
      <c r="DP69" s="11"/>
      <c r="DQ69" s="11"/>
      <c r="DR69" s="11"/>
      <c r="DS69" s="11"/>
      <c r="DW69" s="11"/>
      <c r="DX69" s="11"/>
      <c r="DY69" s="11"/>
      <c r="DZ69" s="11"/>
      <c r="ED69" s="11"/>
      <c r="EE69" s="11"/>
      <c r="EF69" s="11"/>
      <c r="EG69" s="11"/>
      <c r="EK69" s="11"/>
      <c r="EL69" s="11"/>
      <c r="EM69" s="11"/>
      <c r="EN69" s="11"/>
      <c r="ER69" s="11"/>
      <c r="ES69" s="11"/>
      <c r="ET69" s="11"/>
      <c r="EU69" s="11"/>
      <c r="EY69" s="11"/>
      <c r="EZ69" s="11"/>
      <c r="FA69" s="11"/>
      <c r="FB69" s="11"/>
      <c r="FF69" s="11"/>
      <c r="FG69" s="11"/>
      <c r="FH69" s="11"/>
      <c r="FI69" s="11"/>
      <c r="FM69" s="11"/>
      <c r="FN69" s="11"/>
      <c r="FO69" s="11"/>
      <c r="FP69" s="11"/>
      <c r="FT69" s="11"/>
      <c r="FU69" s="11"/>
      <c r="FV69" s="11"/>
      <c r="FW69" s="11"/>
      <c r="GA69" s="11"/>
      <c r="GB69" s="11"/>
      <c r="GC69" s="11"/>
      <c r="GD69" s="11"/>
    </row>
    <row r="70" spans="2:186" outlineLevel="1" x14ac:dyDescent="0.2">
      <c r="B70" t="s">
        <v>28</v>
      </c>
      <c r="E70" s="10"/>
      <c r="F70" t="s">
        <v>135</v>
      </c>
      <c r="G70" s="11">
        <v>0.05</v>
      </c>
      <c r="I70" s="10">
        <f t="shared" si="9"/>
        <v>8</v>
      </c>
      <c r="J70" s="12">
        <f t="shared" si="8"/>
        <v>0</v>
      </c>
      <c r="K70" s="12">
        <f t="shared" si="8"/>
        <v>0</v>
      </c>
      <c r="L70" s="10"/>
      <c r="O70" s="11"/>
      <c r="P70" s="11"/>
      <c r="Q70" s="11"/>
      <c r="R70" s="11"/>
      <c r="V70" s="11"/>
      <c r="W70" s="11"/>
      <c r="X70" s="11"/>
      <c r="Y70" s="11"/>
      <c r="AC70" s="11"/>
      <c r="AD70" s="11"/>
      <c r="AE70" s="11"/>
      <c r="AF70" s="11"/>
      <c r="AJ70" s="11"/>
      <c r="AK70" s="11"/>
      <c r="AL70" s="11"/>
      <c r="AM70" s="11"/>
      <c r="AQ70" s="11"/>
      <c r="AR70" s="11"/>
      <c r="AS70" s="11"/>
      <c r="AT70" s="11"/>
      <c r="AX70" s="11"/>
      <c r="AY70" s="11"/>
      <c r="AZ70" s="11"/>
      <c r="BA70" s="11"/>
      <c r="BD70">
        <v>2.66</v>
      </c>
      <c r="BE70" s="11"/>
      <c r="BF70" s="11">
        <v>0.5</v>
      </c>
      <c r="BG70" s="11"/>
      <c r="BH70" s="11">
        <v>0.5</v>
      </c>
      <c r="BK70">
        <v>0</v>
      </c>
      <c r="BL70" s="11"/>
      <c r="BM70" s="11">
        <v>0.5</v>
      </c>
      <c r="BN70" s="11"/>
      <c r="BO70" s="11">
        <v>0.5</v>
      </c>
      <c r="BR70">
        <v>0</v>
      </c>
      <c r="BS70" s="11"/>
      <c r="BT70" s="11">
        <v>0.5</v>
      </c>
      <c r="BU70" s="11"/>
      <c r="BV70" s="11">
        <v>0.5</v>
      </c>
      <c r="BY70">
        <v>0</v>
      </c>
      <c r="BZ70" s="11"/>
      <c r="CA70" s="11">
        <v>0.5</v>
      </c>
      <c r="CB70" s="11"/>
      <c r="CC70" s="11">
        <v>0.5</v>
      </c>
      <c r="CF70">
        <v>2.67</v>
      </c>
      <c r="CG70" s="11"/>
      <c r="CH70" s="11">
        <v>0.8</v>
      </c>
      <c r="CI70" s="11"/>
      <c r="CJ70" s="11">
        <v>0.8</v>
      </c>
      <c r="CM70">
        <v>0</v>
      </c>
      <c r="CN70" s="11"/>
      <c r="CO70" s="11">
        <v>0.8</v>
      </c>
      <c r="CP70" s="11"/>
      <c r="CQ70" s="11">
        <v>0.8</v>
      </c>
      <c r="CT70">
        <v>0</v>
      </c>
      <c r="CU70" s="11"/>
      <c r="CV70" s="11">
        <v>0.8</v>
      </c>
      <c r="CW70" s="11"/>
      <c r="CX70" s="11">
        <v>0.8</v>
      </c>
      <c r="DA70">
        <v>2.67</v>
      </c>
      <c r="DB70" s="11"/>
      <c r="DC70" s="11">
        <v>1</v>
      </c>
      <c r="DD70" s="11"/>
      <c r="DE70" s="11">
        <v>1</v>
      </c>
      <c r="DI70" s="11"/>
      <c r="DJ70" s="11"/>
      <c r="DK70" s="11"/>
      <c r="DL70" s="11"/>
      <c r="DP70" s="11"/>
      <c r="DQ70" s="11"/>
      <c r="DR70" s="11"/>
      <c r="DS70" s="11"/>
      <c r="DW70" s="11"/>
      <c r="DX70" s="11"/>
      <c r="DY70" s="11"/>
      <c r="DZ70" s="11"/>
      <c r="ED70" s="11"/>
      <c r="EE70" s="11"/>
      <c r="EF70" s="11"/>
      <c r="EG70" s="11"/>
      <c r="EK70" s="11"/>
      <c r="EL70" s="11"/>
      <c r="EM70" s="11"/>
      <c r="EN70" s="11"/>
      <c r="ER70" s="11"/>
      <c r="ES70" s="11"/>
      <c r="ET70" s="11"/>
      <c r="EU70" s="11"/>
      <c r="EY70" s="11"/>
      <c r="EZ70" s="11"/>
      <c r="FA70" s="11"/>
      <c r="FB70" s="11"/>
      <c r="FF70" s="11"/>
      <c r="FG70" s="11"/>
      <c r="FH70" s="11"/>
      <c r="FI70" s="11"/>
      <c r="FM70" s="11"/>
      <c r="FN70" s="11"/>
      <c r="FO70" s="11"/>
      <c r="FP70" s="11"/>
      <c r="FT70" s="11"/>
      <c r="FU70" s="11"/>
      <c r="FV70" s="11"/>
      <c r="FW70" s="11"/>
      <c r="GA70" s="11"/>
      <c r="GB70" s="11"/>
      <c r="GC70" s="11"/>
      <c r="GD70" s="11"/>
    </row>
    <row r="71" spans="2:186" outlineLevel="1" x14ac:dyDescent="0.2">
      <c r="B71" t="s">
        <v>28</v>
      </c>
      <c r="E71" s="10"/>
      <c r="F71" t="s">
        <v>136</v>
      </c>
      <c r="G71" s="11">
        <v>0.02</v>
      </c>
      <c r="I71" s="10">
        <f t="shared" si="9"/>
        <v>7.98</v>
      </c>
      <c r="J71" s="12">
        <f t="shared" si="8"/>
        <v>0</v>
      </c>
      <c r="K71" s="12">
        <f t="shared" si="8"/>
        <v>0</v>
      </c>
      <c r="L71" s="10"/>
      <c r="O71" s="11"/>
      <c r="P71" s="11"/>
      <c r="Q71" s="11"/>
      <c r="R71" s="11"/>
      <c r="V71" s="11"/>
      <c r="W71" s="11"/>
      <c r="X71" s="11"/>
      <c r="Y71" s="11"/>
      <c r="AC71" s="11"/>
      <c r="AD71" s="11"/>
      <c r="AE71" s="11"/>
      <c r="AF71" s="11"/>
      <c r="AJ71" s="11"/>
      <c r="AK71" s="11"/>
      <c r="AL71" s="11"/>
      <c r="AM71" s="11"/>
      <c r="AQ71" s="11"/>
      <c r="AR71" s="11"/>
      <c r="AS71" s="11"/>
      <c r="AT71" s="11"/>
      <c r="AX71" s="11"/>
      <c r="AY71" s="11"/>
      <c r="AZ71" s="11"/>
      <c r="BA71" s="11"/>
      <c r="BE71" s="11"/>
      <c r="BF71" s="11"/>
      <c r="BG71" s="11"/>
      <c r="BH71" s="11"/>
      <c r="BK71">
        <v>2.66</v>
      </c>
      <c r="BL71" s="11"/>
      <c r="BM71" s="11">
        <v>0.5</v>
      </c>
      <c r="BN71" s="11"/>
      <c r="BO71" s="11">
        <v>0.5</v>
      </c>
      <c r="BR71">
        <v>0</v>
      </c>
      <c r="BS71" s="11"/>
      <c r="BT71" s="11">
        <v>0.5</v>
      </c>
      <c r="BU71" s="11"/>
      <c r="BV71" s="11">
        <v>0.5</v>
      </c>
      <c r="BY71">
        <v>0</v>
      </c>
      <c r="BZ71" s="11"/>
      <c r="CA71" s="11">
        <v>0.5</v>
      </c>
      <c r="CB71" s="11"/>
      <c r="CC71" s="11">
        <v>0.5</v>
      </c>
      <c r="CF71">
        <v>2.66</v>
      </c>
      <c r="CG71" s="11"/>
      <c r="CH71" s="11">
        <v>0.8</v>
      </c>
      <c r="CI71" s="11"/>
      <c r="CJ71" s="11">
        <v>0.8</v>
      </c>
      <c r="CM71">
        <v>0</v>
      </c>
      <c r="CN71" s="11"/>
      <c r="CO71" s="11">
        <v>0.8</v>
      </c>
      <c r="CP71" s="11"/>
      <c r="CQ71" s="11">
        <v>0.8</v>
      </c>
      <c r="CT71">
        <v>0</v>
      </c>
      <c r="CU71" s="11"/>
      <c r="CV71" s="11">
        <v>0.8</v>
      </c>
      <c r="CW71" s="11"/>
      <c r="CX71" s="11">
        <v>0.8</v>
      </c>
      <c r="DA71">
        <v>2.66</v>
      </c>
      <c r="DB71" s="11"/>
      <c r="DC71" s="11">
        <v>1</v>
      </c>
      <c r="DD71" s="11"/>
      <c r="DE71" s="11">
        <v>1</v>
      </c>
      <c r="DI71" s="11"/>
      <c r="DJ71" s="11"/>
      <c r="DK71" s="11"/>
      <c r="DL71" s="11"/>
      <c r="DP71" s="11"/>
      <c r="DQ71" s="11"/>
      <c r="DR71" s="11"/>
      <c r="DS71" s="11"/>
      <c r="DW71" s="11"/>
      <c r="DX71" s="11"/>
      <c r="DY71" s="11"/>
      <c r="DZ71" s="11"/>
      <c r="ED71" s="11"/>
      <c r="EE71" s="11"/>
      <c r="EF71" s="11"/>
      <c r="EG71" s="11"/>
      <c r="EK71" s="11"/>
      <c r="EL71" s="11"/>
      <c r="EM71" s="11"/>
      <c r="EN71" s="11"/>
      <c r="ER71" s="11"/>
      <c r="ES71" s="11"/>
      <c r="ET71" s="11"/>
      <c r="EU71" s="11"/>
      <c r="EY71" s="11"/>
      <c r="EZ71" s="11"/>
      <c r="FA71" s="11"/>
      <c r="FB71" s="11"/>
      <c r="FF71" s="11"/>
      <c r="FG71" s="11"/>
      <c r="FH71" s="11"/>
      <c r="FI71" s="11"/>
      <c r="FM71" s="11"/>
      <c r="FN71" s="11"/>
      <c r="FO71" s="11"/>
      <c r="FP71" s="11"/>
      <c r="FT71" s="11"/>
      <c r="FU71" s="11"/>
      <c r="FV71" s="11"/>
      <c r="FW71" s="11"/>
      <c r="GA71" s="11"/>
      <c r="GB71" s="11"/>
      <c r="GC71" s="11"/>
      <c r="GD71" s="11"/>
    </row>
    <row r="72" spans="2:186" outlineLevel="1" x14ac:dyDescent="0.2">
      <c r="E72" s="10"/>
      <c r="G72" s="11"/>
      <c r="I72" s="10"/>
      <c r="J72" s="12"/>
      <c r="K72" s="12"/>
      <c r="L72" s="10"/>
      <c r="O72" s="11"/>
      <c r="P72" s="11"/>
      <c r="Q72" s="11"/>
      <c r="R72" s="11"/>
      <c r="V72" s="11"/>
      <c r="W72" s="11"/>
      <c r="X72" s="11"/>
      <c r="Y72" s="11"/>
      <c r="AC72" s="11"/>
      <c r="AD72" s="11"/>
      <c r="AE72" s="11"/>
      <c r="AF72" s="11"/>
      <c r="AJ72" s="11"/>
      <c r="AK72" s="11"/>
      <c r="AL72" s="11"/>
      <c r="AM72" s="11"/>
      <c r="AQ72" s="11"/>
      <c r="AR72" s="11"/>
      <c r="AS72" s="11"/>
      <c r="AT72" s="11"/>
      <c r="AX72" s="11"/>
      <c r="AY72" s="11"/>
      <c r="AZ72" s="11"/>
      <c r="BA72" s="11"/>
      <c r="BE72" s="11"/>
      <c r="BF72" s="11"/>
      <c r="BG72" s="11"/>
      <c r="BH72" s="11"/>
      <c r="BL72" s="11"/>
      <c r="BM72" s="11"/>
      <c r="BN72" s="11"/>
      <c r="BO72" s="11"/>
      <c r="BS72" s="11"/>
      <c r="BT72" s="11"/>
      <c r="BU72" s="11"/>
      <c r="BV72" s="11"/>
      <c r="BZ72" s="11"/>
      <c r="CA72" s="11"/>
      <c r="CB72" s="11"/>
      <c r="CC72" s="11"/>
      <c r="CG72" s="11"/>
      <c r="CH72" s="11"/>
      <c r="CI72" s="11"/>
      <c r="CJ72" s="11"/>
      <c r="CN72" s="11"/>
      <c r="CO72" s="11"/>
      <c r="CP72" s="11"/>
      <c r="CQ72" s="11"/>
      <c r="CU72" s="11"/>
      <c r="CV72" s="11"/>
      <c r="CW72" s="11"/>
      <c r="CX72" s="11"/>
      <c r="DB72" s="11"/>
      <c r="DC72" s="11"/>
      <c r="DD72" s="11"/>
      <c r="DE72" s="11"/>
      <c r="DI72" s="11"/>
      <c r="DJ72" s="11"/>
      <c r="DK72" s="11"/>
      <c r="DL72" s="11"/>
      <c r="DP72" s="11"/>
      <c r="DQ72" s="11"/>
      <c r="DR72" s="11"/>
      <c r="DS72" s="11"/>
      <c r="DW72" s="11"/>
      <c r="DX72" s="11"/>
      <c r="DY72" s="11"/>
      <c r="DZ72" s="11"/>
      <c r="ED72" s="11"/>
      <c r="EE72" s="11"/>
      <c r="EF72" s="11"/>
      <c r="EG72" s="11"/>
      <c r="EK72" s="11"/>
      <c r="EL72" s="11"/>
      <c r="EM72" s="11"/>
      <c r="EN72" s="11"/>
      <c r="ER72" s="11"/>
      <c r="ES72" s="11"/>
      <c r="ET72" s="11"/>
      <c r="EU72" s="11"/>
      <c r="EY72" s="11"/>
      <c r="EZ72" s="11"/>
      <c r="FA72" s="11"/>
      <c r="FB72" s="11"/>
      <c r="FF72" s="11"/>
      <c r="FG72" s="11"/>
      <c r="FH72" s="11"/>
      <c r="FI72" s="11"/>
      <c r="FM72" s="11"/>
      <c r="FN72" s="11"/>
      <c r="FO72" s="11"/>
      <c r="FP72" s="11"/>
      <c r="FT72" s="11"/>
      <c r="FU72" s="11"/>
      <c r="FV72" s="11"/>
      <c r="FW72" s="11"/>
      <c r="GA72" s="11"/>
      <c r="GB72" s="11"/>
      <c r="GC72" s="11"/>
      <c r="GD72" s="11"/>
    </row>
    <row r="74" spans="2:186" x14ac:dyDescent="0.2">
      <c r="B74" t="s">
        <v>27</v>
      </c>
      <c r="C74" t="s">
        <v>52</v>
      </c>
      <c r="D74" s="17">
        <v>44614</v>
      </c>
      <c r="E74" s="10">
        <v>4</v>
      </c>
      <c r="F74" t="s">
        <v>161</v>
      </c>
      <c r="G74" s="11">
        <f>+SUM(G75:G82)</f>
        <v>1</v>
      </c>
      <c r="I74" s="13">
        <f>+SUM(I75:I82)</f>
        <v>84</v>
      </c>
      <c r="J74" s="12">
        <f>+SUMPRODUCT(G75:G82,J75:J82)</f>
        <v>0.13500000000000001</v>
      </c>
      <c r="K74" s="12">
        <f>+SUMPRODUCT(G75:G82,K75:K82)</f>
        <v>0.13500000000000001</v>
      </c>
      <c r="L74" s="10"/>
      <c r="N74" s="13">
        <f>+SUM(N75:N82)</f>
        <v>7</v>
      </c>
      <c r="U74" s="13">
        <f>+SUM(U75:U82)</f>
        <v>7</v>
      </c>
      <c r="AB74" s="13">
        <f>+SUM(AB75:AB82)</f>
        <v>7</v>
      </c>
      <c r="AI74" s="13">
        <f>+SUM(AI75:AI82)</f>
        <v>7</v>
      </c>
      <c r="AP74" s="13">
        <f>+SUM(AP75:AP82)</f>
        <v>7</v>
      </c>
      <c r="AW74" s="13">
        <f>+SUM(AW75:AW82)</f>
        <v>7</v>
      </c>
      <c r="BD74" s="13">
        <f>+SUM(BD75:BD82)</f>
        <v>7</v>
      </c>
      <c r="BK74" s="13">
        <f>+SUM(BK75:BK82)</f>
        <v>7</v>
      </c>
      <c r="BR74" s="13">
        <f>+SUM(BR75:BR82)</f>
        <v>7</v>
      </c>
      <c r="BY74" s="13">
        <f>+SUM(BY75:BY82)</f>
        <v>7</v>
      </c>
      <c r="CF74" s="13">
        <f>+SUM(CF75:CF82)</f>
        <v>7</v>
      </c>
      <c r="CM74" s="13">
        <f>+SUM(CM75:CM82)</f>
        <v>7</v>
      </c>
      <c r="CT74" s="13">
        <f>+SUM(CT75:CT82)</f>
        <v>0</v>
      </c>
      <c r="DA74" s="13">
        <f>+SUM(DA75:DA82)</f>
        <v>0</v>
      </c>
      <c r="DH74" s="13">
        <f>+SUM(DH75:DH82)</f>
        <v>0</v>
      </c>
      <c r="DO74" s="13">
        <f>+SUM(DO75:DO82)</f>
        <v>0</v>
      </c>
      <c r="DV74" s="13">
        <f>+SUM(DV75:DV82)</f>
        <v>0</v>
      </c>
      <c r="EC74" s="13">
        <f>+SUM(EC75:EC82)</f>
        <v>0</v>
      </c>
      <c r="EJ74" s="13">
        <f>+SUM(EJ75:EJ82)</f>
        <v>0</v>
      </c>
      <c r="EQ74" s="13">
        <f>+SUM(EQ75:EQ82)</f>
        <v>0</v>
      </c>
      <c r="EX74" s="13">
        <f>+SUM(EX75:EX82)</f>
        <v>0</v>
      </c>
      <c r="FE74" s="13">
        <f>+SUM(FE75:FE82)</f>
        <v>0</v>
      </c>
      <c r="FL74" s="13">
        <f>+SUM(FL75:FL82)</f>
        <v>0</v>
      </c>
      <c r="FS74" s="13">
        <f>+SUM(FS75:FS82)</f>
        <v>0</v>
      </c>
      <c r="FZ74" s="13">
        <f>+SUM(FZ75:FZ82)</f>
        <v>0</v>
      </c>
    </row>
    <row r="75" spans="2:186" outlineLevel="1" x14ac:dyDescent="0.2">
      <c r="B75" t="s">
        <v>28</v>
      </c>
      <c r="E75" s="10"/>
      <c r="F75" t="s">
        <v>137</v>
      </c>
      <c r="G75" s="11">
        <v>0.17</v>
      </c>
      <c r="I75" s="10">
        <f t="shared" ref="I75:I82" si="10">+SUMIF($N$3:$ZZ$3,I$3,$N75:$ZZ75)</f>
        <v>10.5</v>
      </c>
      <c r="J75" s="12">
        <f t="shared" ref="J75:K82" si="11">+_xlfn.MAXIFS($N75:$ZF75,$N$3:$ZF$3,J$3)</f>
        <v>0.5</v>
      </c>
      <c r="K75" s="12">
        <f t="shared" si="11"/>
        <v>0.5</v>
      </c>
      <c r="L75" s="10"/>
      <c r="N75">
        <v>3.5</v>
      </c>
      <c r="O75" s="11">
        <v>0.5</v>
      </c>
      <c r="P75" s="11">
        <v>0.5</v>
      </c>
      <c r="Q75" s="11">
        <v>0.5</v>
      </c>
      <c r="R75" s="11">
        <v>0.5</v>
      </c>
      <c r="U75">
        <v>0</v>
      </c>
      <c r="V75" s="11"/>
      <c r="W75" s="11">
        <v>0.5</v>
      </c>
      <c r="X75" s="11"/>
      <c r="Y75" s="11">
        <v>0.5</v>
      </c>
      <c r="AB75">
        <v>3.5</v>
      </c>
      <c r="AC75" s="11"/>
      <c r="AD75" s="11">
        <v>0.8</v>
      </c>
      <c r="AE75" s="11"/>
      <c r="AF75" s="11">
        <v>0.8</v>
      </c>
      <c r="AI75">
        <v>0</v>
      </c>
      <c r="AJ75" s="11"/>
      <c r="AK75" s="11">
        <v>0.8</v>
      </c>
      <c r="AL75" s="11"/>
      <c r="AM75" s="11">
        <v>0.8</v>
      </c>
      <c r="AP75">
        <v>0</v>
      </c>
      <c r="AQ75" s="11"/>
      <c r="AR75" s="11">
        <v>0.8</v>
      </c>
      <c r="AS75" s="11"/>
      <c r="AT75" s="11">
        <v>0.8</v>
      </c>
      <c r="AW75">
        <v>0</v>
      </c>
      <c r="AX75" s="11"/>
      <c r="AY75" s="11">
        <v>0.8</v>
      </c>
      <c r="AZ75" s="11"/>
      <c r="BA75" s="11">
        <v>0.8</v>
      </c>
      <c r="BD75">
        <v>3.5</v>
      </c>
      <c r="BE75" s="11"/>
      <c r="BF75" s="11">
        <v>1</v>
      </c>
      <c r="BG75" s="11"/>
      <c r="BH75" s="11">
        <v>1</v>
      </c>
      <c r="BK75">
        <v>0</v>
      </c>
      <c r="BL75" s="11"/>
      <c r="BM75" s="11">
        <v>1</v>
      </c>
      <c r="BN75" s="11"/>
      <c r="BO75" s="11">
        <v>1</v>
      </c>
      <c r="BR75">
        <v>0</v>
      </c>
      <c r="BS75" s="11"/>
      <c r="BT75" s="11">
        <v>1</v>
      </c>
      <c r="BU75" s="11"/>
      <c r="BV75" s="11">
        <v>1</v>
      </c>
      <c r="BY75">
        <v>0</v>
      </c>
      <c r="BZ75" s="11"/>
      <c r="CA75" s="11">
        <v>1</v>
      </c>
      <c r="CB75" s="11"/>
      <c r="CC75" s="11">
        <v>1</v>
      </c>
      <c r="CF75">
        <v>0</v>
      </c>
      <c r="CG75" s="11"/>
      <c r="CH75" s="11">
        <v>1</v>
      </c>
      <c r="CI75" s="11"/>
      <c r="CJ75" s="11">
        <v>1</v>
      </c>
      <c r="CM75">
        <v>0</v>
      </c>
      <c r="CN75" s="11"/>
      <c r="CO75" s="11">
        <v>1</v>
      </c>
      <c r="CP75" s="11"/>
      <c r="CQ75" s="11">
        <v>1</v>
      </c>
      <c r="CU75" s="11"/>
      <c r="CV75" s="11"/>
      <c r="CW75" s="11"/>
      <c r="CX75" s="11"/>
      <c r="DB75" s="11"/>
      <c r="DC75" s="11"/>
      <c r="DD75" s="11"/>
      <c r="DE75" s="11"/>
      <c r="DI75" s="11"/>
      <c r="DJ75" s="11"/>
      <c r="DK75" s="11"/>
      <c r="DL75" s="11"/>
      <c r="DP75" s="11"/>
      <c r="DQ75" s="11"/>
      <c r="DR75" s="11"/>
      <c r="DS75" s="11"/>
      <c r="DW75" s="11"/>
      <c r="DX75" s="11"/>
      <c r="DY75" s="11"/>
      <c r="DZ75" s="11"/>
      <c r="ED75" s="11"/>
      <c r="EE75" s="11"/>
      <c r="EF75" s="11"/>
      <c r="EG75" s="11"/>
      <c r="EK75" s="11"/>
      <c r="EL75" s="11"/>
      <c r="EM75" s="11"/>
      <c r="EN75" s="11"/>
      <c r="ER75" s="11"/>
      <c r="ES75" s="11"/>
      <c r="ET75" s="11"/>
      <c r="EU75" s="11"/>
      <c r="EY75" s="11"/>
      <c r="EZ75" s="11"/>
      <c r="FA75" s="11"/>
      <c r="FB75" s="11"/>
      <c r="FF75" s="11"/>
      <c r="FG75" s="11"/>
      <c r="FH75" s="11"/>
      <c r="FI75" s="11"/>
      <c r="FM75" s="11"/>
      <c r="FN75" s="11"/>
      <c r="FO75" s="11"/>
      <c r="FP75" s="11"/>
      <c r="FT75" s="11"/>
      <c r="FU75" s="11"/>
      <c r="FV75" s="11"/>
      <c r="FW75" s="11"/>
      <c r="GA75" s="11"/>
      <c r="GB75" s="11"/>
      <c r="GC75" s="11"/>
      <c r="GD75" s="11"/>
    </row>
    <row r="76" spans="2:186" outlineLevel="1" x14ac:dyDescent="0.2">
      <c r="B76" t="s">
        <v>28</v>
      </c>
      <c r="E76" s="10"/>
      <c r="F76" t="s">
        <v>138</v>
      </c>
      <c r="G76" s="11">
        <v>0.1</v>
      </c>
      <c r="I76" s="10">
        <f t="shared" si="10"/>
        <v>10.5</v>
      </c>
      <c r="J76" s="12">
        <f t="shared" si="11"/>
        <v>0.5</v>
      </c>
      <c r="K76" s="12">
        <f t="shared" si="11"/>
        <v>0.5</v>
      </c>
      <c r="L76" s="10"/>
      <c r="N76">
        <v>3.5</v>
      </c>
      <c r="O76" s="11">
        <v>0.5</v>
      </c>
      <c r="P76" s="11">
        <v>0.5</v>
      </c>
      <c r="Q76" s="11">
        <v>0.5</v>
      </c>
      <c r="R76" s="11">
        <v>0.5</v>
      </c>
      <c r="U76">
        <v>0</v>
      </c>
      <c r="V76" s="11"/>
      <c r="W76" s="11">
        <v>0.5</v>
      </c>
      <c r="X76" s="11"/>
      <c r="Y76" s="11">
        <v>0.5</v>
      </c>
      <c r="AB76">
        <v>0</v>
      </c>
      <c r="AC76" s="11"/>
      <c r="AD76" s="11">
        <v>0.5</v>
      </c>
      <c r="AE76" s="11"/>
      <c r="AF76" s="11">
        <v>0.5</v>
      </c>
      <c r="AI76">
        <v>3.5</v>
      </c>
      <c r="AJ76" s="11"/>
      <c r="AK76" s="11">
        <v>0.8</v>
      </c>
      <c r="AL76" s="11"/>
      <c r="AM76" s="11">
        <v>0.8</v>
      </c>
      <c r="AP76">
        <v>0</v>
      </c>
      <c r="AQ76" s="11"/>
      <c r="AR76" s="11">
        <v>0.8</v>
      </c>
      <c r="AS76" s="11"/>
      <c r="AT76" s="11">
        <v>0.8</v>
      </c>
      <c r="AW76">
        <v>0</v>
      </c>
      <c r="AX76" s="11"/>
      <c r="AY76" s="11">
        <v>0.8</v>
      </c>
      <c r="AZ76" s="11"/>
      <c r="BA76" s="11">
        <v>0.8</v>
      </c>
      <c r="BD76">
        <v>0</v>
      </c>
      <c r="BE76" s="11"/>
      <c r="BF76" s="11">
        <v>0.8</v>
      </c>
      <c r="BG76" s="11"/>
      <c r="BH76" s="11">
        <v>0.8</v>
      </c>
      <c r="BK76">
        <v>3.5</v>
      </c>
      <c r="BL76" s="11"/>
      <c r="BM76" s="11">
        <v>1</v>
      </c>
      <c r="BN76" s="11"/>
      <c r="BO76" s="11">
        <v>1</v>
      </c>
      <c r="BR76">
        <v>0</v>
      </c>
      <c r="BS76" s="11"/>
      <c r="BT76" s="11">
        <v>1</v>
      </c>
      <c r="BU76" s="11"/>
      <c r="BV76" s="11">
        <v>1</v>
      </c>
      <c r="BY76">
        <v>0</v>
      </c>
      <c r="BZ76" s="11"/>
      <c r="CA76" s="11">
        <v>1</v>
      </c>
      <c r="CB76" s="11"/>
      <c r="CC76" s="11">
        <v>1</v>
      </c>
      <c r="CF76">
        <v>0</v>
      </c>
      <c r="CG76" s="11"/>
      <c r="CH76" s="11">
        <v>1</v>
      </c>
      <c r="CI76" s="11"/>
      <c r="CJ76" s="11">
        <v>1</v>
      </c>
      <c r="CM76">
        <v>0</v>
      </c>
      <c r="CN76" s="11"/>
      <c r="CO76" s="11">
        <v>1</v>
      </c>
      <c r="CP76" s="11"/>
      <c r="CQ76" s="11">
        <v>1</v>
      </c>
      <c r="CU76" s="11"/>
      <c r="CV76" s="11"/>
      <c r="CW76" s="11"/>
      <c r="CX76" s="11"/>
      <c r="DB76" s="11"/>
      <c r="DC76" s="11"/>
      <c r="DD76" s="11"/>
      <c r="DE76" s="11"/>
      <c r="DI76" s="11"/>
      <c r="DJ76" s="11"/>
      <c r="DK76" s="11"/>
      <c r="DL76" s="11"/>
      <c r="DP76" s="11"/>
      <c r="DQ76" s="11"/>
      <c r="DR76" s="11"/>
      <c r="DS76" s="11"/>
      <c r="DW76" s="11"/>
      <c r="DX76" s="11"/>
      <c r="DY76" s="11"/>
      <c r="DZ76" s="11"/>
      <c r="ED76" s="11"/>
      <c r="EE76" s="11"/>
      <c r="EF76" s="11"/>
      <c r="EG76" s="11"/>
      <c r="EK76" s="11"/>
      <c r="EL76" s="11"/>
      <c r="EM76" s="11"/>
      <c r="EN76" s="11"/>
      <c r="ER76" s="11"/>
      <c r="ES76" s="11"/>
      <c r="ET76" s="11"/>
      <c r="EU76" s="11"/>
      <c r="EY76" s="11"/>
      <c r="EZ76" s="11"/>
      <c r="FA76" s="11"/>
      <c r="FB76" s="11"/>
      <c r="FF76" s="11"/>
      <c r="FG76" s="11"/>
      <c r="FH76" s="11"/>
      <c r="FI76" s="11"/>
      <c r="FM76" s="11"/>
      <c r="FN76" s="11"/>
      <c r="FO76" s="11"/>
      <c r="FP76" s="11"/>
      <c r="FT76" s="11"/>
      <c r="FU76" s="11"/>
      <c r="FV76" s="11"/>
      <c r="FW76" s="11"/>
      <c r="GA76" s="11"/>
      <c r="GB76" s="11"/>
      <c r="GC76" s="11"/>
      <c r="GD76" s="11"/>
    </row>
    <row r="77" spans="2:186" outlineLevel="1" x14ac:dyDescent="0.2">
      <c r="B77" t="s">
        <v>28</v>
      </c>
      <c r="E77" s="10"/>
      <c r="F77" t="s">
        <v>139</v>
      </c>
      <c r="G77" s="11">
        <v>0.1</v>
      </c>
      <c r="I77" s="10">
        <f t="shared" si="10"/>
        <v>10.5</v>
      </c>
      <c r="J77" s="12">
        <f t="shared" si="11"/>
        <v>0</v>
      </c>
      <c r="K77" s="12">
        <f t="shared" si="11"/>
        <v>0</v>
      </c>
      <c r="L77" s="10"/>
      <c r="O77" s="11"/>
      <c r="P77" s="11"/>
      <c r="Q77" s="11"/>
      <c r="R77" s="11"/>
      <c r="U77">
        <v>3.5</v>
      </c>
      <c r="V77" s="11"/>
      <c r="W77" s="11">
        <v>0.5</v>
      </c>
      <c r="X77" s="11"/>
      <c r="Y77" s="11">
        <v>0.5</v>
      </c>
      <c r="AB77">
        <v>0</v>
      </c>
      <c r="AC77" s="11"/>
      <c r="AD77" s="11">
        <v>0.5</v>
      </c>
      <c r="AE77" s="11"/>
      <c r="AF77" s="11">
        <v>0.5</v>
      </c>
      <c r="AI77">
        <v>0</v>
      </c>
      <c r="AJ77" s="11"/>
      <c r="AK77" s="11">
        <v>0.5</v>
      </c>
      <c r="AL77" s="11"/>
      <c r="AM77" s="11">
        <v>0.5</v>
      </c>
      <c r="AP77">
        <v>3.5</v>
      </c>
      <c r="AQ77" s="11"/>
      <c r="AR77" s="11">
        <v>0.8</v>
      </c>
      <c r="AS77" s="11"/>
      <c r="AT77" s="11">
        <v>0.8</v>
      </c>
      <c r="AW77">
        <v>0</v>
      </c>
      <c r="AX77" s="11"/>
      <c r="AY77" s="11">
        <v>0.8</v>
      </c>
      <c r="AZ77" s="11"/>
      <c r="BA77" s="11">
        <v>0.8</v>
      </c>
      <c r="BD77">
        <v>0</v>
      </c>
      <c r="BE77" s="11"/>
      <c r="BF77" s="11">
        <v>0.8</v>
      </c>
      <c r="BG77" s="11"/>
      <c r="BH77" s="11">
        <v>0.8</v>
      </c>
      <c r="BK77">
        <v>0</v>
      </c>
      <c r="BL77" s="11"/>
      <c r="BM77" s="11">
        <v>0.8</v>
      </c>
      <c r="BN77" s="11"/>
      <c r="BO77" s="11">
        <v>0.8</v>
      </c>
      <c r="BR77">
        <v>3.5</v>
      </c>
      <c r="BS77" s="11"/>
      <c r="BT77" s="11">
        <v>1</v>
      </c>
      <c r="BU77" s="11"/>
      <c r="BV77" s="11">
        <v>1</v>
      </c>
      <c r="BY77">
        <v>0</v>
      </c>
      <c r="BZ77" s="11"/>
      <c r="CA77" s="11">
        <v>1</v>
      </c>
      <c r="CB77" s="11"/>
      <c r="CC77" s="11">
        <v>1</v>
      </c>
      <c r="CF77">
        <v>0</v>
      </c>
      <c r="CG77" s="11"/>
      <c r="CH77" s="11">
        <v>1</v>
      </c>
      <c r="CI77" s="11"/>
      <c r="CJ77" s="11">
        <v>1</v>
      </c>
      <c r="CM77">
        <v>0</v>
      </c>
      <c r="CN77" s="11"/>
      <c r="CO77" s="11">
        <v>1</v>
      </c>
      <c r="CP77" s="11"/>
      <c r="CQ77" s="11">
        <v>1</v>
      </c>
      <c r="CU77" s="11"/>
      <c r="CV77" s="11"/>
      <c r="CW77" s="11"/>
      <c r="CX77" s="11"/>
      <c r="DB77" s="11"/>
      <c r="DC77" s="11"/>
      <c r="DD77" s="11"/>
      <c r="DE77" s="11"/>
      <c r="DI77" s="11"/>
      <c r="DJ77" s="11"/>
      <c r="DK77" s="11"/>
      <c r="DL77" s="11"/>
      <c r="DP77" s="11"/>
      <c r="DQ77" s="11"/>
      <c r="DR77" s="11"/>
      <c r="DS77" s="11"/>
      <c r="DW77" s="11"/>
      <c r="DX77" s="11"/>
      <c r="DY77" s="11"/>
      <c r="DZ77" s="11"/>
      <c r="ED77" s="11"/>
      <c r="EE77" s="11"/>
      <c r="EF77" s="11"/>
      <c r="EG77" s="11"/>
      <c r="EK77" s="11"/>
      <c r="EL77" s="11"/>
      <c r="EM77" s="11"/>
      <c r="EN77" s="11"/>
      <c r="ER77" s="11"/>
      <c r="ES77" s="11"/>
      <c r="ET77" s="11"/>
      <c r="EU77" s="11"/>
      <c r="EY77" s="11"/>
      <c r="EZ77" s="11"/>
      <c r="FA77" s="11"/>
      <c r="FB77" s="11"/>
      <c r="FF77" s="11"/>
      <c r="FG77" s="11"/>
      <c r="FH77" s="11"/>
      <c r="FI77" s="11"/>
      <c r="FM77" s="11"/>
      <c r="FN77" s="11"/>
      <c r="FO77" s="11"/>
      <c r="FP77" s="11"/>
      <c r="FT77" s="11"/>
      <c r="FU77" s="11"/>
      <c r="FV77" s="11"/>
      <c r="FW77" s="11"/>
      <c r="GA77" s="11"/>
      <c r="GB77" s="11"/>
      <c r="GC77" s="11"/>
      <c r="GD77" s="11"/>
    </row>
    <row r="78" spans="2:186" outlineLevel="1" x14ac:dyDescent="0.2">
      <c r="B78" t="s">
        <v>28</v>
      </c>
      <c r="E78" s="10"/>
      <c r="F78" t="s">
        <v>140</v>
      </c>
      <c r="G78" s="11">
        <v>0.1</v>
      </c>
      <c r="I78" s="10">
        <f t="shared" si="10"/>
        <v>10.5</v>
      </c>
      <c r="J78" s="12">
        <f t="shared" si="11"/>
        <v>0</v>
      </c>
      <c r="K78" s="12">
        <f t="shared" si="11"/>
        <v>0</v>
      </c>
      <c r="L78" s="10"/>
      <c r="O78" s="11"/>
      <c r="P78" s="11"/>
      <c r="Q78" s="11"/>
      <c r="R78" s="11"/>
      <c r="U78">
        <v>3.5</v>
      </c>
      <c r="V78" s="11"/>
      <c r="W78" s="11">
        <v>0.5</v>
      </c>
      <c r="X78" s="11"/>
      <c r="Y78" s="11">
        <v>0.5</v>
      </c>
      <c r="AB78">
        <v>0</v>
      </c>
      <c r="AC78" s="11"/>
      <c r="AD78" s="11">
        <v>0.5</v>
      </c>
      <c r="AE78" s="11"/>
      <c r="AF78" s="11">
        <v>0.5</v>
      </c>
      <c r="AI78">
        <v>0</v>
      </c>
      <c r="AJ78" s="11"/>
      <c r="AK78" s="11">
        <v>0.5</v>
      </c>
      <c r="AL78" s="11"/>
      <c r="AM78" s="11">
        <v>0.5</v>
      </c>
      <c r="AP78">
        <v>0</v>
      </c>
      <c r="AQ78" s="11"/>
      <c r="AR78" s="11">
        <v>0.5</v>
      </c>
      <c r="AS78" s="11"/>
      <c r="AT78" s="11">
        <v>0.5</v>
      </c>
      <c r="AW78">
        <v>3.5</v>
      </c>
      <c r="AX78" s="11"/>
      <c r="AY78" s="11">
        <v>0.8</v>
      </c>
      <c r="AZ78" s="11"/>
      <c r="BA78" s="11">
        <v>0.8</v>
      </c>
      <c r="BD78">
        <v>0</v>
      </c>
      <c r="BE78" s="11"/>
      <c r="BF78" s="11">
        <v>0.8</v>
      </c>
      <c r="BG78" s="11"/>
      <c r="BH78" s="11">
        <v>0.8</v>
      </c>
      <c r="BK78">
        <v>0</v>
      </c>
      <c r="BL78" s="11"/>
      <c r="BM78" s="11">
        <v>0.8</v>
      </c>
      <c r="BN78" s="11"/>
      <c r="BO78" s="11">
        <v>0.8</v>
      </c>
      <c r="BR78">
        <v>0</v>
      </c>
      <c r="BS78" s="11"/>
      <c r="BT78" s="11">
        <v>0.8</v>
      </c>
      <c r="BU78" s="11"/>
      <c r="BV78" s="11">
        <v>0.8</v>
      </c>
      <c r="BY78">
        <v>3.5</v>
      </c>
      <c r="BZ78" s="11"/>
      <c r="CA78" s="11">
        <v>1</v>
      </c>
      <c r="CB78" s="11"/>
      <c r="CC78" s="11">
        <v>1</v>
      </c>
      <c r="CF78">
        <v>0</v>
      </c>
      <c r="CG78" s="11"/>
      <c r="CH78" s="11">
        <v>1</v>
      </c>
      <c r="CI78" s="11"/>
      <c r="CJ78" s="11">
        <v>1</v>
      </c>
      <c r="CM78">
        <v>0</v>
      </c>
      <c r="CN78" s="11"/>
      <c r="CO78" s="11">
        <v>1</v>
      </c>
      <c r="CP78" s="11"/>
      <c r="CQ78" s="11">
        <v>1</v>
      </c>
      <c r="CU78" s="11"/>
      <c r="CV78" s="11"/>
      <c r="CW78" s="11"/>
      <c r="CX78" s="11"/>
      <c r="DB78" s="11"/>
      <c r="DC78" s="11"/>
      <c r="DD78" s="11"/>
      <c r="DE78" s="11"/>
      <c r="DI78" s="11"/>
      <c r="DJ78" s="11"/>
      <c r="DK78" s="11"/>
      <c r="DL78" s="11"/>
      <c r="DP78" s="11"/>
      <c r="DQ78" s="11"/>
      <c r="DR78" s="11"/>
      <c r="DS78" s="11"/>
      <c r="DW78" s="11"/>
      <c r="DX78" s="11"/>
      <c r="DY78" s="11"/>
      <c r="DZ78" s="11"/>
      <c r="ED78" s="11"/>
      <c r="EE78" s="11"/>
      <c r="EF78" s="11"/>
      <c r="EG78" s="11"/>
      <c r="EK78" s="11"/>
      <c r="EL78" s="11"/>
      <c r="EM78" s="11"/>
      <c r="EN78" s="11"/>
      <c r="ER78" s="11"/>
      <c r="ES78" s="11"/>
      <c r="ET78" s="11"/>
      <c r="EU78" s="11"/>
      <c r="EY78" s="11"/>
      <c r="EZ78" s="11"/>
      <c r="FA78" s="11"/>
      <c r="FB78" s="11"/>
      <c r="FF78" s="11"/>
      <c r="FG78" s="11"/>
      <c r="FH78" s="11"/>
      <c r="FI78" s="11"/>
      <c r="FM78" s="11"/>
      <c r="FN78" s="11"/>
      <c r="FO78" s="11"/>
      <c r="FP78" s="11"/>
      <c r="FT78" s="11"/>
      <c r="FU78" s="11"/>
      <c r="FV78" s="11"/>
      <c r="FW78" s="11"/>
      <c r="GA78" s="11"/>
      <c r="GB78" s="11"/>
      <c r="GC78" s="11"/>
      <c r="GD78" s="11"/>
    </row>
    <row r="79" spans="2:186" outlineLevel="1" x14ac:dyDescent="0.2">
      <c r="B79" t="s">
        <v>28</v>
      </c>
      <c r="E79" s="10"/>
      <c r="F79" t="s">
        <v>141</v>
      </c>
      <c r="G79" s="11">
        <v>0.1</v>
      </c>
      <c r="I79" s="10">
        <f t="shared" si="10"/>
        <v>10.5</v>
      </c>
      <c r="J79" s="12">
        <f t="shared" si="11"/>
        <v>0</v>
      </c>
      <c r="K79" s="12">
        <f t="shared" si="11"/>
        <v>0</v>
      </c>
      <c r="L79" s="10"/>
      <c r="O79" s="11"/>
      <c r="P79" s="11"/>
      <c r="Q79" s="11"/>
      <c r="R79" s="11"/>
      <c r="V79" s="11"/>
      <c r="W79" s="11"/>
      <c r="X79" s="11"/>
      <c r="Y79" s="11"/>
      <c r="AB79">
        <v>3.5</v>
      </c>
      <c r="AC79" s="11"/>
      <c r="AD79" s="11">
        <v>0.5</v>
      </c>
      <c r="AE79" s="11"/>
      <c r="AF79" s="11">
        <v>0.5</v>
      </c>
      <c r="AI79">
        <v>0</v>
      </c>
      <c r="AJ79" s="11"/>
      <c r="AK79" s="11">
        <v>0.5</v>
      </c>
      <c r="AL79" s="11"/>
      <c r="AM79" s="11">
        <v>0.5</v>
      </c>
      <c r="AP79">
        <v>0</v>
      </c>
      <c r="AQ79" s="11"/>
      <c r="AR79" s="11">
        <v>0.5</v>
      </c>
      <c r="AS79" s="11"/>
      <c r="AT79" s="11">
        <v>0.5</v>
      </c>
      <c r="AW79">
        <v>0</v>
      </c>
      <c r="AX79" s="11"/>
      <c r="AY79" s="11">
        <v>0.5</v>
      </c>
      <c r="AZ79" s="11"/>
      <c r="BA79" s="11">
        <v>0.5</v>
      </c>
      <c r="BD79">
        <v>3.5</v>
      </c>
      <c r="BE79" s="11"/>
      <c r="BF79" s="11">
        <v>0.8</v>
      </c>
      <c r="BG79" s="11"/>
      <c r="BH79" s="11">
        <v>0.8</v>
      </c>
      <c r="BK79">
        <v>0</v>
      </c>
      <c r="BL79" s="11"/>
      <c r="BM79" s="11">
        <v>0.8</v>
      </c>
      <c r="BN79" s="11"/>
      <c r="BO79" s="11">
        <v>0.8</v>
      </c>
      <c r="BR79">
        <v>0</v>
      </c>
      <c r="BS79" s="11"/>
      <c r="BT79" s="11">
        <v>0.8</v>
      </c>
      <c r="BU79" s="11"/>
      <c r="BV79" s="11">
        <v>0.8</v>
      </c>
      <c r="BY79">
        <v>0</v>
      </c>
      <c r="BZ79" s="11"/>
      <c r="CA79" s="11">
        <v>0.8</v>
      </c>
      <c r="CB79" s="11"/>
      <c r="CC79" s="11">
        <v>0.8</v>
      </c>
      <c r="CF79">
        <v>3.5</v>
      </c>
      <c r="CG79" s="11"/>
      <c r="CH79" s="11">
        <v>1</v>
      </c>
      <c r="CI79" s="11"/>
      <c r="CJ79" s="11">
        <v>1</v>
      </c>
      <c r="CM79">
        <v>0</v>
      </c>
      <c r="CN79" s="11"/>
      <c r="CO79" s="11">
        <v>1</v>
      </c>
      <c r="CP79" s="11"/>
      <c r="CQ79" s="11">
        <v>1</v>
      </c>
      <c r="CU79" s="11"/>
      <c r="CV79" s="11"/>
      <c r="CW79" s="11"/>
      <c r="CX79" s="11"/>
      <c r="DB79" s="11"/>
      <c r="DC79" s="11"/>
      <c r="DD79" s="11"/>
      <c r="DE79" s="11"/>
      <c r="DI79" s="11"/>
      <c r="DJ79" s="11"/>
      <c r="DK79" s="11"/>
      <c r="DL79" s="11"/>
      <c r="DP79" s="11"/>
      <c r="DQ79" s="11"/>
      <c r="DR79" s="11"/>
      <c r="DS79" s="11"/>
      <c r="DW79" s="11"/>
      <c r="DX79" s="11"/>
      <c r="DY79" s="11"/>
      <c r="DZ79" s="11"/>
      <c r="ED79" s="11"/>
      <c r="EE79" s="11"/>
      <c r="EF79" s="11"/>
      <c r="EG79" s="11"/>
      <c r="EK79" s="11"/>
      <c r="EL79" s="11"/>
      <c r="EM79" s="11"/>
      <c r="EN79" s="11"/>
      <c r="ER79" s="11"/>
      <c r="ES79" s="11"/>
      <c r="ET79" s="11"/>
      <c r="EU79" s="11"/>
      <c r="EY79" s="11"/>
      <c r="EZ79" s="11"/>
      <c r="FA79" s="11"/>
      <c r="FB79" s="11"/>
      <c r="FF79" s="11"/>
      <c r="FG79" s="11"/>
      <c r="FH79" s="11"/>
      <c r="FI79" s="11"/>
      <c r="FM79" s="11"/>
      <c r="FN79" s="11"/>
      <c r="FO79" s="11"/>
      <c r="FP79" s="11"/>
      <c r="FT79" s="11"/>
      <c r="FU79" s="11"/>
      <c r="FV79" s="11"/>
      <c r="FW79" s="11"/>
      <c r="GA79" s="11"/>
      <c r="GB79" s="11"/>
      <c r="GC79" s="11"/>
      <c r="GD79" s="11"/>
    </row>
    <row r="80" spans="2:186" outlineLevel="1" x14ac:dyDescent="0.2">
      <c r="B80" t="s">
        <v>28</v>
      </c>
      <c r="E80" s="10"/>
      <c r="F80" t="s">
        <v>142</v>
      </c>
      <c r="G80" s="11">
        <v>0.11</v>
      </c>
      <c r="I80" s="10">
        <f t="shared" si="10"/>
        <v>10.5</v>
      </c>
      <c r="J80" s="12">
        <f t="shared" si="11"/>
        <v>0</v>
      </c>
      <c r="K80" s="12">
        <f t="shared" si="11"/>
        <v>0</v>
      </c>
      <c r="L80" s="10"/>
      <c r="O80" s="11"/>
      <c r="P80" s="11"/>
      <c r="Q80" s="11"/>
      <c r="R80" s="11"/>
      <c r="V80" s="11"/>
      <c r="W80" s="11"/>
      <c r="X80" s="11"/>
      <c r="Y80" s="11"/>
      <c r="AC80" s="11"/>
      <c r="AD80" s="11"/>
      <c r="AE80" s="11"/>
      <c r="AF80" s="11"/>
      <c r="AI80">
        <v>3.5</v>
      </c>
      <c r="AJ80" s="11"/>
      <c r="AK80" s="11">
        <v>0.5</v>
      </c>
      <c r="AL80" s="11"/>
      <c r="AM80" s="11">
        <v>0.5</v>
      </c>
      <c r="AP80">
        <v>0</v>
      </c>
      <c r="AQ80" s="11"/>
      <c r="AR80" s="11">
        <v>0.5</v>
      </c>
      <c r="AS80" s="11"/>
      <c r="AT80" s="11">
        <v>0.5</v>
      </c>
      <c r="AW80">
        <v>0</v>
      </c>
      <c r="AX80" s="11"/>
      <c r="AY80" s="11">
        <v>0.5</v>
      </c>
      <c r="AZ80" s="11"/>
      <c r="BA80" s="11">
        <v>0.5</v>
      </c>
      <c r="BD80">
        <v>0</v>
      </c>
      <c r="BE80" s="11"/>
      <c r="BF80" s="11">
        <v>0.5</v>
      </c>
      <c r="BG80" s="11"/>
      <c r="BH80" s="11">
        <v>0.5</v>
      </c>
      <c r="BK80">
        <v>3.5</v>
      </c>
      <c r="BL80" s="11"/>
      <c r="BM80" s="11">
        <v>0.8</v>
      </c>
      <c r="BN80" s="11"/>
      <c r="BO80" s="11">
        <v>0.8</v>
      </c>
      <c r="BR80">
        <v>0</v>
      </c>
      <c r="BS80" s="11"/>
      <c r="BT80" s="11">
        <v>0.8</v>
      </c>
      <c r="BU80" s="11"/>
      <c r="BV80" s="11">
        <v>0.8</v>
      </c>
      <c r="BY80">
        <v>0</v>
      </c>
      <c r="BZ80" s="11"/>
      <c r="CA80" s="11">
        <v>0.8</v>
      </c>
      <c r="CB80" s="11"/>
      <c r="CC80" s="11">
        <v>0.8</v>
      </c>
      <c r="CF80">
        <v>3.5</v>
      </c>
      <c r="CG80" s="11"/>
      <c r="CH80" s="11">
        <v>1</v>
      </c>
      <c r="CI80" s="11"/>
      <c r="CJ80" s="11">
        <v>1</v>
      </c>
      <c r="CM80">
        <v>0</v>
      </c>
      <c r="CN80" s="11"/>
      <c r="CO80" s="11">
        <v>1</v>
      </c>
      <c r="CP80" s="11"/>
      <c r="CQ80" s="11">
        <v>1</v>
      </c>
      <c r="CU80" s="11"/>
      <c r="CV80" s="11"/>
      <c r="CW80" s="11"/>
      <c r="CX80" s="11"/>
      <c r="DB80" s="11"/>
      <c r="DC80" s="11"/>
      <c r="DD80" s="11"/>
      <c r="DE80" s="11"/>
      <c r="DI80" s="11"/>
      <c r="DJ80" s="11"/>
      <c r="DK80" s="11"/>
      <c r="DL80" s="11"/>
      <c r="DP80" s="11"/>
      <c r="DQ80" s="11"/>
      <c r="DR80" s="11"/>
      <c r="DS80" s="11"/>
      <c r="DW80" s="11"/>
      <c r="DX80" s="11"/>
      <c r="DY80" s="11"/>
      <c r="DZ80" s="11"/>
      <c r="ED80" s="11"/>
      <c r="EE80" s="11"/>
      <c r="EF80" s="11"/>
      <c r="EG80" s="11"/>
      <c r="EK80" s="11"/>
      <c r="EL80" s="11"/>
      <c r="EM80" s="11"/>
      <c r="EN80" s="11"/>
      <c r="ER80" s="11"/>
      <c r="ES80" s="11"/>
      <c r="ET80" s="11"/>
      <c r="EU80" s="11"/>
      <c r="EY80" s="11"/>
      <c r="EZ80" s="11"/>
      <c r="FA80" s="11"/>
      <c r="FB80" s="11"/>
      <c r="FF80" s="11"/>
      <c r="FG80" s="11"/>
      <c r="FH80" s="11"/>
      <c r="FI80" s="11"/>
      <c r="FM80" s="11"/>
      <c r="FN80" s="11"/>
      <c r="FO80" s="11"/>
      <c r="FP80" s="11"/>
      <c r="FT80" s="11"/>
      <c r="FU80" s="11"/>
      <c r="FV80" s="11"/>
      <c r="FW80" s="11"/>
      <c r="GA80" s="11"/>
      <c r="GB80" s="11"/>
      <c r="GC80" s="11"/>
      <c r="GD80" s="11"/>
    </row>
    <row r="81" spans="2:186" outlineLevel="1" x14ac:dyDescent="0.2">
      <c r="B81" t="s">
        <v>28</v>
      </c>
      <c r="E81" s="10"/>
      <c r="F81" t="s">
        <v>143</v>
      </c>
      <c r="G81" s="11">
        <v>0.17</v>
      </c>
      <c r="I81" s="10">
        <f t="shared" si="10"/>
        <v>10.5</v>
      </c>
      <c r="J81" s="12">
        <f t="shared" si="11"/>
        <v>0</v>
      </c>
      <c r="K81" s="12">
        <f t="shared" si="11"/>
        <v>0</v>
      </c>
      <c r="L81" s="10"/>
      <c r="O81" s="11"/>
      <c r="P81" s="11"/>
      <c r="Q81" s="11"/>
      <c r="R81" s="11"/>
      <c r="V81" s="11"/>
      <c r="W81" s="11"/>
      <c r="X81" s="11"/>
      <c r="Y81" s="11"/>
      <c r="AC81" s="11"/>
      <c r="AD81" s="11"/>
      <c r="AE81" s="11"/>
      <c r="AF81" s="11"/>
      <c r="AJ81" s="11"/>
      <c r="AK81" s="11"/>
      <c r="AL81" s="11"/>
      <c r="AM81" s="11"/>
      <c r="AP81">
        <v>3.5</v>
      </c>
      <c r="AQ81" s="11"/>
      <c r="AR81" s="11">
        <v>0.5</v>
      </c>
      <c r="AS81" s="11"/>
      <c r="AT81" s="11">
        <v>0.5</v>
      </c>
      <c r="AW81">
        <v>0</v>
      </c>
      <c r="AX81" s="11"/>
      <c r="AY81" s="11">
        <v>0.5</v>
      </c>
      <c r="AZ81" s="11"/>
      <c r="BA81" s="11">
        <v>0.5</v>
      </c>
      <c r="BD81">
        <v>0</v>
      </c>
      <c r="BE81" s="11"/>
      <c r="BF81" s="11">
        <v>0.5</v>
      </c>
      <c r="BG81" s="11"/>
      <c r="BH81" s="11">
        <v>0.5</v>
      </c>
      <c r="BK81">
        <v>0</v>
      </c>
      <c r="BL81" s="11"/>
      <c r="BM81" s="11">
        <v>0.5</v>
      </c>
      <c r="BN81" s="11"/>
      <c r="BO81" s="11">
        <v>0.5</v>
      </c>
      <c r="BR81">
        <v>3.5</v>
      </c>
      <c r="BS81" s="11"/>
      <c r="BT81" s="11">
        <v>0.8</v>
      </c>
      <c r="BU81" s="11"/>
      <c r="BV81" s="11">
        <v>0.8</v>
      </c>
      <c r="BY81">
        <v>0</v>
      </c>
      <c r="BZ81" s="11"/>
      <c r="CA81" s="11">
        <v>0.8</v>
      </c>
      <c r="CB81" s="11"/>
      <c r="CC81" s="11">
        <v>0.8</v>
      </c>
      <c r="CF81">
        <v>0</v>
      </c>
      <c r="CG81" s="11"/>
      <c r="CH81" s="11">
        <v>0.8</v>
      </c>
      <c r="CI81" s="11"/>
      <c r="CJ81" s="11">
        <v>0.8</v>
      </c>
      <c r="CM81">
        <v>3.5</v>
      </c>
      <c r="CN81" s="11"/>
      <c r="CO81" s="11">
        <v>1</v>
      </c>
      <c r="CP81" s="11"/>
      <c r="CQ81" s="11">
        <v>1</v>
      </c>
      <c r="CU81" s="11"/>
      <c r="CV81" s="11"/>
      <c r="CW81" s="11"/>
      <c r="CX81" s="11"/>
      <c r="DB81" s="11"/>
      <c r="DC81" s="11"/>
      <c r="DD81" s="11"/>
      <c r="DE81" s="11"/>
      <c r="DI81" s="11"/>
      <c r="DJ81" s="11"/>
      <c r="DK81" s="11"/>
      <c r="DL81" s="11"/>
      <c r="DP81" s="11"/>
      <c r="DQ81" s="11"/>
      <c r="DR81" s="11"/>
      <c r="DS81" s="11"/>
      <c r="DW81" s="11"/>
      <c r="DX81" s="11"/>
      <c r="DY81" s="11"/>
      <c r="DZ81" s="11"/>
      <c r="ED81" s="11"/>
      <c r="EE81" s="11"/>
      <c r="EF81" s="11"/>
      <c r="EG81" s="11"/>
      <c r="EK81" s="11"/>
      <c r="EL81" s="11"/>
      <c r="EM81" s="11"/>
      <c r="EN81" s="11"/>
      <c r="ER81" s="11"/>
      <c r="ES81" s="11"/>
      <c r="ET81" s="11"/>
      <c r="EU81" s="11"/>
      <c r="EY81" s="11"/>
      <c r="EZ81" s="11"/>
      <c r="FA81" s="11"/>
      <c r="FB81" s="11"/>
      <c r="FF81" s="11"/>
      <c r="FG81" s="11"/>
      <c r="FH81" s="11"/>
      <c r="FI81" s="11"/>
      <c r="FM81" s="11"/>
      <c r="FN81" s="11"/>
      <c r="FO81" s="11"/>
      <c r="FP81" s="11"/>
      <c r="FT81" s="11"/>
      <c r="FU81" s="11"/>
      <c r="FV81" s="11"/>
      <c r="FW81" s="11"/>
      <c r="GA81" s="11"/>
      <c r="GB81" s="11"/>
      <c r="GC81" s="11"/>
      <c r="GD81" s="11"/>
    </row>
    <row r="82" spans="2:186" outlineLevel="1" x14ac:dyDescent="0.2">
      <c r="B82" t="s">
        <v>28</v>
      </c>
      <c r="E82" s="10"/>
      <c r="F82" t="s">
        <v>144</v>
      </c>
      <c r="G82" s="11">
        <v>0.15</v>
      </c>
      <c r="I82" s="10">
        <f t="shared" si="10"/>
        <v>10.5</v>
      </c>
      <c r="J82" s="12">
        <f t="shared" si="11"/>
        <v>0</v>
      </c>
      <c r="K82" s="12">
        <f t="shared" si="11"/>
        <v>0</v>
      </c>
      <c r="L82" s="10"/>
      <c r="O82" s="11"/>
      <c r="P82" s="11"/>
      <c r="Q82" s="11"/>
      <c r="R82" s="11"/>
      <c r="V82" s="11"/>
      <c r="W82" s="11"/>
      <c r="X82" s="11"/>
      <c r="Y82" s="11"/>
      <c r="AC82" s="11"/>
      <c r="AD82" s="11"/>
      <c r="AE82" s="11"/>
      <c r="AF82" s="11"/>
      <c r="AJ82" s="11"/>
      <c r="AK82" s="11"/>
      <c r="AL82" s="11"/>
      <c r="AM82" s="11"/>
      <c r="AQ82" s="11"/>
      <c r="AR82" s="11"/>
      <c r="AS82" s="11"/>
      <c r="AT82" s="11"/>
      <c r="AW82">
        <v>3.5</v>
      </c>
      <c r="AX82" s="11"/>
      <c r="AY82" s="11">
        <v>0.5</v>
      </c>
      <c r="AZ82" s="11"/>
      <c r="BA82" s="11">
        <v>0.5</v>
      </c>
      <c r="BD82">
        <v>0</v>
      </c>
      <c r="BE82" s="11"/>
      <c r="BF82" s="11">
        <v>0.5</v>
      </c>
      <c r="BG82" s="11"/>
      <c r="BH82" s="11">
        <v>0.5</v>
      </c>
      <c r="BK82">
        <v>0</v>
      </c>
      <c r="BL82" s="11"/>
      <c r="BM82" s="11">
        <v>0.5</v>
      </c>
      <c r="BN82" s="11"/>
      <c r="BO82" s="11">
        <v>0.5</v>
      </c>
      <c r="BR82">
        <v>0</v>
      </c>
      <c r="BS82" s="11"/>
      <c r="BT82" s="11">
        <v>0.5</v>
      </c>
      <c r="BU82" s="11"/>
      <c r="BV82" s="11">
        <v>0.5</v>
      </c>
      <c r="BY82">
        <v>3.5</v>
      </c>
      <c r="BZ82" s="11"/>
      <c r="CA82" s="11">
        <v>0.8</v>
      </c>
      <c r="CB82" s="11"/>
      <c r="CC82" s="11">
        <v>0.8</v>
      </c>
      <c r="CF82">
        <v>0</v>
      </c>
      <c r="CG82" s="11"/>
      <c r="CH82" s="11">
        <v>0.8</v>
      </c>
      <c r="CI82" s="11"/>
      <c r="CJ82" s="11">
        <v>0.8</v>
      </c>
      <c r="CM82">
        <v>3.5</v>
      </c>
      <c r="CN82" s="11"/>
      <c r="CO82" s="11">
        <v>1</v>
      </c>
      <c r="CP82" s="11"/>
      <c r="CQ82" s="11">
        <v>1</v>
      </c>
      <c r="CU82" s="11"/>
      <c r="CV82" s="11"/>
      <c r="CW82" s="11"/>
      <c r="CX82" s="11"/>
      <c r="DB82" s="11"/>
      <c r="DC82" s="11"/>
      <c r="DD82" s="11"/>
      <c r="DE82" s="11"/>
      <c r="DI82" s="11"/>
      <c r="DJ82" s="11"/>
      <c r="DK82" s="11"/>
      <c r="DL82" s="11"/>
      <c r="DP82" s="11"/>
      <c r="DQ82" s="11"/>
      <c r="DR82" s="11"/>
      <c r="DS82" s="11"/>
      <c r="DW82" s="11"/>
      <c r="DX82" s="11"/>
      <c r="DY82" s="11"/>
      <c r="DZ82" s="11"/>
      <c r="ED82" s="11"/>
      <c r="EE82" s="11"/>
      <c r="EF82" s="11"/>
      <c r="EG82" s="11"/>
      <c r="EK82" s="11"/>
      <c r="EL82" s="11"/>
      <c r="EM82" s="11"/>
      <c r="EN82" s="11"/>
      <c r="ER82" s="11"/>
      <c r="ES82" s="11"/>
      <c r="ET82" s="11"/>
      <c r="EU82" s="11"/>
      <c r="EY82" s="11"/>
      <c r="EZ82" s="11"/>
      <c r="FA82" s="11"/>
      <c r="FB82" s="11"/>
      <c r="FF82" s="11"/>
      <c r="FG82" s="11"/>
      <c r="FH82" s="11"/>
      <c r="FI82" s="11"/>
      <c r="FM82" s="11"/>
      <c r="FN82" s="11"/>
      <c r="FO82" s="11"/>
      <c r="FP82" s="11"/>
      <c r="FT82" s="11"/>
      <c r="FU82" s="11"/>
      <c r="FV82" s="11"/>
      <c r="FW82" s="11"/>
      <c r="GA82" s="11"/>
      <c r="GB82" s="11"/>
      <c r="GC82" s="11"/>
      <c r="GD82" s="11"/>
    </row>
    <row r="84" spans="2:186" x14ac:dyDescent="0.2">
      <c r="B84" t="s">
        <v>27</v>
      </c>
      <c r="C84" t="s">
        <v>53</v>
      </c>
      <c r="E84" s="10">
        <v>4</v>
      </c>
      <c r="F84" t="s">
        <v>160</v>
      </c>
      <c r="G84" s="11">
        <f>+SUM(G85:G96)</f>
        <v>0.99999999999999989</v>
      </c>
      <c r="I84" s="13">
        <f>+SUM(I85:I96)</f>
        <v>94.5</v>
      </c>
      <c r="J84" s="12">
        <f>+SUMPRODUCT(G85:G96,J85:J96)</f>
        <v>9.5000000000000001E-2</v>
      </c>
      <c r="K84" s="12">
        <f>+SUMPRODUCT(G85:G96,K85:K96)</f>
        <v>0</v>
      </c>
      <c r="L84" s="10"/>
      <c r="N84" s="13">
        <f>+SUM(N85:N96)</f>
        <v>7</v>
      </c>
      <c r="U84" s="13">
        <f>+SUM(U85:U96)</f>
        <v>7</v>
      </c>
      <c r="AB84" s="13">
        <f>+SUM(AB85:AB96)</f>
        <v>7</v>
      </c>
      <c r="AI84" s="13">
        <f>+SUM(AI85:AI96)</f>
        <v>7</v>
      </c>
      <c r="AP84" s="13">
        <f>+SUM(AP85:AP96)</f>
        <v>7</v>
      </c>
      <c r="AW84" s="13">
        <f>+SUM(AW85:AW96)</f>
        <v>7</v>
      </c>
      <c r="BD84" s="13">
        <f>+SUM(BD85:BD96)</f>
        <v>7</v>
      </c>
      <c r="BK84" s="13">
        <f>+SUM(BK85:BK96)</f>
        <v>7</v>
      </c>
      <c r="BR84" s="13">
        <f>+SUM(BR85:BR96)</f>
        <v>7</v>
      </c>
      <c r="BY84" s="13">
        <f>+SUM(BY85:BY96)</f>
        <v>7</v>
      </c>
      <c r="CF84" s="13">
        <f>+SUM(CF85:CF96)</f>
        <v>7</v>
      </c>
      <c r="CM84" s="13">
        <f>+SUM(CM85:CM96)</f>
        <v>7</v>
      </c>
      <c r="CT84" s="13">
        <f>+SUM(CT85:CT96)</f>
        <v>10.5</v>
      </c>
      <c r="DA84" s="13">
        <f>+SUM(DA85:DA96)</f>
        <v>0</v>
      </c>
      <c r="DH84" s="13">
        <f>+SUM(DH85:DH96)</f>
        <v>0</v>
      </c>
      <c r="DO84" s="13">
        <f>+SUM(DO85:DO96)</f>
        <v>0</v>
      </c>
      <c r="DV84" s="13">
        <f>+SUM(DV85:DV96)</f>
        <v>0</v>
      </c>
      <c r="EC84" s="13">
        <f>+SUM(EC85:EC96)</f>
        <v>0</v>
      </c>
      <c r="EJ84" s="13">
        <f>+SUM(EJ85:EJ96)</f>
        <v>0</v>
      </c>
      <c r="EQ84" s="13">
        <f>+SUM(EQ85:EQ96)</f>
        <v>0</v>
      </c>
      <c r="EX84" s="13">
        <f>+SUM(EX85:EX96)</f>
        <v>0</v>
      </c>
      <c r="FE84" s="13">
        <f>+SUM(FE85:FE96)</f>
        <v>0</v>
      </c>
      <c r="FL84" s="13">
        <f>+SUM(FL85:FL96)</f>
        <v>0</v>
      </c>
      <c r="FS84" s="13">
        <f>+SUM(FS85:FS96)</f>
        <v>0</v>
      </c>
      <c r="FZ84" s="13">
        <f>+SUM(FZ85:FZ96)</f>
        <v>0</v>
      </c>
    </row>
    <row r="85" spans="2:186" outlineLevel="1" x14ac:dyDescent="0.2">
      <c r="B85" t="s">
        <v>28</v>
      </c>
      <c r="E85" s="10"/>
      <c r="F85" t="s">
        <v>79</v>
      </c>
      <c r="G85" s="11">
        <v>7.0000000000000007E-2</v>
      </c>
      <c r="I85" s="10">
        <f>+SUMIF($N$3:$ZZ$3,I$3,$N85:$ZZ85)</f>
        <v>10.5</v>
      </c>
      <c r="J85" s="12">
        <f t="shared" ref="J85:K93" si="12">+_xlfn.MAXIFS($N85:$ZF85,$N$3:$ZF$3,J$3)</f>
        <v>0.5</v>
      </c>
      <c r="K85" s="12">
        <f t="shared" si="12"/>
        <v>0</v>
      </c>
      <c r="L85" s="10"/>
      <c r="N85">
        <v>3.5</v>
      </c>
      <c r="O85" s="11">
        <v>0.5</v>
      </c>
      <c r="P85" s="11">
        <v>0.5</v>
      </c>
      <c r="Q85" s="11"/>
      <c r="R85" s="11"/>
      <c r="U85">
        <v>0</v>
      </c>
      <c r="V85" s="11"/>
      <c r="W85" s="11">
        <v>0.5</v>
      </c>
      <c r="X85" s="11"/>
      <c r="Y85" s="11"/>
      <c r="AB85">
        <v>3.5</v>
      </c>
      <c r="AC85" s="11"/>
      <c r="AD85" s="11">
        <v>0.8</v>
      </c>
      <c r="AE85" s="11"/>
      <c r="AF85" s="11"/>
      <c r="AI85">
        <v>0</v>
      </c>
      <c r="AJ85" s="11"/>
      <c r="AK85" s="11">
        <v>0.8</v>
      </c>
      <c r="AL85" s="11"/>
      <c r="AM85" s="11"/>
      <c r="AP85">
        <v>0</v>
      </c>
      <c r="AQ85" s="11"/>
      <c r="AR85" s="11">
        <v>0.8</v>
      </c>
      <c r="AS85" s="11"/>
      <c r="AT85" s="11"/>
      <c r="AW85">
        <v>0</v>
      </c>
      <c r="AX85" s="11"/>
      <c r="AY85" s="11">
        <v>0.8</v>
      </c>
      <c r="AZ85" s="11"/>
      <c r="BA85" s="11"/>
      <c r="BD85">
        <v>0</v>
      </c>
      <c r="BE85" s="11"/>
      <c r="BF85" s="11">
        <v>0.8</v>
      </c>
      <c r="BG85" s="11"/>
      <c r="BH85" s="11"/>
      <c r="BK85">
        <v>3.5</v>
      </c>
      <c r="BL85" s="11"/>
      <c r="BM85" s="11">
        <v>1</v>
      </c>
      <c r="BN85" s="11"/>
      <c r="BO85" s="11"/>
      <c r="BR85">
        <v>0</v>
      </c>
      <c r="BS85" s="11"/>
      <c r="BT85" s="11">
        <v>1</v>
      </c>
      <c r="BU85" s="11"/>
      <c r="BV85" s="11"/>
      <c r="BY85">
        <v>0</v>
      </c>
      <c r="BZ85" s="11"/>
      <c r="CA85" s="11">
        <v>1</v>
      </c>
      <c r="CB85" s="11"/>
      <c r="CC85" s="11"/>
      <c r="CF85">
        <v>0</v>
      </c>
      <c r="CG85" s="11"/>
      <c r="CH85" s="11">
        <v>1</v>
      </c>
      <c r="CI85" s="11"/>
      <c r="CJ85" s="11"/>
      <c r="CM85">
        <v>0</v>
      </c>
      <c r="CN85" s="11"/>
      <c r="CO85" s="11">
        <v>1</v>
      </c>
      <c r="CP85" s="11"/>
      <c r="CQ85" s="11"/>
      <c r="CT85">
        <v>0</v>
      </c>
      <c r="CU85" s="11"/>
      <c r="CV85" s="11">
        <v>1</v>
      </c>
      <c r="CW85" s="11"/>
      <c r="CX85" s="11"/>
      <c r="DB85" s="11"/>
      <c r="DC85" s="11"/>
      <c r="DD85" s="11"/>
      <c r="DE85" s="11"/>
      <c r="DI85" s="11"/>
      <c r="DJ85" s="11"/>
      <c r="DK85" s="11"/>
      <c r="DL85" s="11"/>
      <c r="DP85" s="11"/>
      <c r="DQ85" s="11"/>
      <c r="DR85" s="11"/>
      <c r="DS85" s="11"/>
      <c r="DW85" s="11"/>
      <c r="DX85" s="11"/>
      <c r="DY85" s="11"/>
      <c r="DZ85" s="11"/>
      <c r="ED85" s="11"/>
      <c r="EE85" s="11"/>
      <c r="EF85" s="11"/>
      <c r="EG85" s="11"/>
      <c r="EK85" s="11"/>
      <c r="EL85" s="11"/>
      <c r="EM85" s="11"/>
      <c r="EN85" s="11"/>
      <c r="ER85" s="11"/>
      <c r="ES85" s="11"/>
      <c r="ET85" s="11"/>
      <c r="EU85" s="11"/>
      <c r="EY85" s="11"/>
      <c r="EZ85" s="11"/>
      <c r="FA85" s="11"/>
      <c r="FB85" s="11"/>
      <c r="FF85" s="11"/>
      <c r="FG85" s="11"/>
      <c r="FH85" s="11"/>
      <c r="FI85" s="11"/>
      <c r="FM85" s="11"/>
      <c r="FN85" s="11"/>
      <c r="FO85" s="11"/>
      <c r="FP85" s="11"/>
      <c r="FT85" s="11"/>
      <c r="FU85" s="11"/>
      <c r="FV85" s="11"/>
      <c r="FW85" s="11"/>
      <c r="GA85" s="11"/>
      <c r="GB85" s="11"/>
      <c r="GC85" s="11"/>
      <c r="GD85" s="11"/>
    </row>
    <row r="86" spans="2:186" outlineLevel="1" x14ac:dyDescent="0.2">
      <c r="B86" t="s">
        <v>28</v>
      </c>
      <c r="E86" s="10"/>
      <c r="F86" t="s">
        <v>80</v>
      </c>
      <c r="G86" s="11">
        <v>0.12</v>
      </c>
      <c r="I86" s="10">
        <f t="shared" ref="I86:I93" si="13">+SUMIF($N$3:$ZZ$3,I$3,$N86:$ZZ86)</f>
        <v>10.5</v>
      </c>
      <c r="J86" s="12">
        <f t="shared" si="12"/>
        <v>0.5</v>
      </c>
      <c r="K86" s="12">
        <f t="shared" si="12"/>
        <v>0</v>
      </c>
      <c r="L86" s="10"/>
      <c r="N86">
        <v>3.5</v>
      </c>
      <c r="O86" s="11">
        <v>0.5</v>
      </c>
      <c r="P86" s="11">
        <v>0.5</v>
      </c>
      <c r="Q86" s="11"/>
      <c r="R86" s="11"/>
      <c r="U86">
        <v>0</v>
      </c>
      <c r="V86" s="11"/>
      <c r="W86" s="11">
        <v>0.5</v>
      </c>
      <c r="X86" s="11"/>
      <c r="Y86" s="11"/>
      <c r="AB86">
        <v>0</v>
      </c>
      <c r="AC86" s="11"/>
      <c r="AD86" s="11">
        <v>0.5</v>
      </c>
      <c r="AE86" s="11"/>
      <c r="AF86" s="11"/>
      <c r="AI86">
        <v>3.5</v>
      </c>
      <c r="AJ86" s="11"/>
      <c r="AK86" s="11">
        <v>0.8</v>
      </c>
      <c r="AL86" s="11"/>
      <c r="AM86" s="11"/>
      <c r="AP86">
        <v>0</v>
      </c>
      <c r="AQ86" s="11"/>
      <c r="AR86" s="11">
        <v>0.8</v>
      </c>
      <c r="AS86" s="11"/>
      <c r="AT86" s="11"/>
      <c r="AW86">
        <v>0</v>
      </c>
      <c r="AX86" s="11"/>
      <c r="AY86" s="11">
        <v>0.8</v>
      </c>
      <c r="AZ86" s="11"/>
      <c r="BA86" s="11"/>
      <c r="BD86">
        <v>0</v>
      </c>
      <c r="BE86" s="11"/>
      <c r="BF86" s="11">
        <v>0.8</v>
      </c>
      <c r="BG86" s="11"/>
      <c r="BH86" s="11"/>
      <c r="BK86">
        <v>0</v>
      </c>
      <c r="BL86" s="11"/>
      <c r="BM86" s="11">
        <v>0.8</v>
      </c>
      <c r="BN86" s="11"/>
      <c r="BO86" s="11"/>
      <c r="BR86">
        <v>3.5</v>
      </c>
      <c r="BS86" s="11"/>
      <c r="BT86" s="11">
        <v>1</v>
      </c>
      <c r="BU86" s="11"/>
      <c r="BV86" s="11"/>
      <c r="BY86">
        <v>0</v>
      </c>
      <c r="BZ86" s="11"/>
      <c r="CA86" s="11">
        <v>1</v>
      </c>
      <c r="CB86" s="11"/>
      <c r="CC86" s="11"/>
      <c r="CF86">
        <v>0</v>
      </c>
      <c r="CG86" s="11"/>
      <c r="CH86" s="11">
        <v>1</v>
      </c>
      <c r="CI86" s="11"/>
      <c r="CJ86" s="11"/>
      <c r="CM86">
        <v>0</v>
      </c>
      <c r="CN86" s="11"/>
      <c r="CO86" s="11">
        <v>1</v>
      </c>
      <c r="CP86" s="11"/>
      <c r="CQ86" s="11"/>
      <c r="CT86">
        <v>0</v>
      </c>
      <c r="CU86" s="11"/>
      <c r="CV86" s="11">
        <v>1</v>
      </c>
      <c r="CW86" s="11"/>
      <c r="CX86" s="11"/>
      <c r="DB86" s="11"/>
      <c r="DC86" s="11"/>
      <c r="DD86" s="11"/>
      <c r="DE86" s="11"/>
      <c r="DI86" s="11"/>
      <c r="DJ86" s="11"/>
      <c r="DK86" s="11"/>
      <c r="DL86" s="11"/>
      <c r="DP86" s="11"/>
      <c r="DQ86" s="11"/>
      <c r="DR86" s="11"/>
      <c r="DS86" s="11"/>
      <c r="DW86" s="11"/>
      <c r="DX86" s="11"/>
      <c r="DY86" s="11"/>
      <c r="DZ86" s="11"/>
      <c r="ED86" s="11"/>
      <c r="EE86" s="11"/>
      <c r="EF86" s="11"/>
      <c r="EG86" s="11"/>
      <c r="EK86" s="11"/>
      <c r="EL86" s="11"/>
      <c r="EM86" s="11"/>
      <c r="EN86" s="11"/>
      <c r="ER86" s="11"/>
      <c r="ES86" s="11"/>
      <c r="ET86" s="11"/>
      <c r="EU86" s="11"/>
      <c r="EY86" s="11"/>
      <c r="EZ86" s="11"/>
      <c r="FA86" s="11"/>
      <c r="FB86" s="11"/>
      <c r="FF86" s="11"/>
      <c r="FG86" s="11"/>
      <c r="FH86" s="11"/>
      <c r="FI86" s="11"/>
      <c r="FM86" s="11"/>
      <c r="FN86" s="11"/>
      <c r="FO86" s="11"/>
      <c r="FP86" s="11"/>
      <c r="FT86" s="11"/>
      <c r="FU86" s="11"/>
      <c r="FV86" s="11"/>
      <c r="FW86" s="11"/>
      <c r="GA86" s="11"/>
      <c r="GB86" s="11"/>
      <c r="GC86" s="11"/>
      <c r="GD86" s="11"/>
    </row>
    <row r="87" spans="2:186" outlineLevel="1" x14ac:dyDescent="0.2">
      <c r="B87" t="s">
        <v>28</v>
      </c>
      <c r="E87" s="10"/>
      <c r="F87" t="s">
        <v>81</v>
      </c>
      <c r="G87" s="11">
        <v>0.15</v>
      </c>
      <c r="I87" s="10">
        <f t="shared" si="13"/>
        <v>10.5</v>
      </c>
      <c r="J87" s="12">
        <f t="shared" si="12"/>
        <v>0</v>
      </c>
      <c r="K87" s="12">
        <f t="shared" si="12"/>
        <v>0</v>
      </c>
      <c r="L87" s="10"/>
      <c r="O87" s="11"/>
      <c r="P87" s="11"/>
      <c r="Q87" s="11"/>
      <c r="R87" s="11"/>
      <c r="U87">
        <v>3.5</v>
      </c>
      <c r="V87" s="11"/>
      <c r="W87" s="11">
        <v>0.5</v>
      </c>
      <c r="X87" s="11"/>
      <c r="Y87" s="11"/>
      <c r="AB87">
        <v>0</v>
      </c>
      <c r="AC87" s="11"/>
      <c r="AD87" s="11">
        <v>0.5</v>
      </c>
      <c r="AE87" s="11"/>
      <c r="AF87" s="11"/>
      <c r="AI87">
        <v>0</v>
      </c>
      <c r="AJ87" s="11"/>
      <c r="AK87" s="11">
        <v>0.5</v>
      </c>
      <c r="AL87" s="11"/>
      <c r="AM87" s="11"/>
      <c r="AP87">
        <v>3.5</v>
      </c>
      <c r="AQ87" s="11"/>
      <c r="AR87" s="11">
        <v>0.8</v>
      </c>
      <c r="AS87" s="11"/>
      <c r="AT87" s="11"/>
      <c r="AW87">
        <v>0</v>
      </c>
      <c r="AX87" s="11"/>
      <c r="AY87" s="11">
        <v>0.8</v>
      </c>
      <c r="AZ87" s="11"/>
      <c r="BA87" s="11"/>
      <c r="BD87">
        <v>0</v>
      </c>
      <c r="BE87" s="11"/>
      <c r="BF87" s="11">
        <v>0.8</v>
      </c>
      <c r="BG87" s="11"/>
      <c r="BH87" s="11"/>
      <c r="BK87">
        <v>0</v>
      </c>
      <c r="BL87" s="11"/>
      <c r="BM87" s="11">
        <v>0.8</v>
      </c>
      <c r="BN87" s="11"/>
      <c r="BO87" s="11"/>
      <c r="BR87">
        <v>0</v>
      </c>
      <c r="BS87" s="11"/>
      <c r="BT87" s="11">
        <v>0.8</v>
      </c>
      <c r="BU87" s="11"/>
      <c r="BV87" s="11"/>
      <c r="BY87">
        <v>3.5</v>
      </c>
      <c r="BZ87" s="11"/>
      <c r="CA87" s="11">
        <v>1</v>
      </c>
      <c r="CB87" s="11"/>
      <c r="CC87" s="11"/>
      <c r="CF87">
        <v>0</v>
      </c>
      <c r="CG87" s="11"/>
      <c r="CH87" s="11">
        <v>1</v>
      </c>
      <c r="CI87" s="11"/>
      <c r="CJ87" s="11"/>
      <c r="CM87">
        <v>0</v>
      </c>
      <c r="CN87" s="11"/>
      <c r="CO87" s="11">
        <v>1</v>
      </c>
      <c r="CP87" s="11"/>
      <c r="CQ87" s="11"/>
      <c r="CT87">
        <v>0</v>
      </c>
      <c r="CU87" s="11"/>
      <c r="CV87" s="11">
        <v>1</v>
      </c>
      <c r="CW87" s="11"/>
      <c r="CX87" s="11"/>
      <c r="DB87" s="11"/>
      <c r="DC87" s="11"/>
      <c r="DD87" s="11"/>
      <c r="DE87" s="11"/>
      <c r="DI87" s="11"/>
      <c r="DJ87" s="11"/>
      <c r="DK87" s="11"/>
      <c r="DL87" s="11"/>
      <c r="DP87" s="11"/>
      <c r="DQ87" s="11"/>
      <c r="DR87" s="11"/>
      <c r="DS87" s="11"/>
      <c r="DW87" s="11"/>
      <c r="DX87" s="11"/>
      <c r="DY87" s="11"/>
      <c r="DZ87" s="11"/>
      <c r="ED87" s="11"/>
      <c r="EE87" s="11"/>
      <c r="EF87" s="11"/>
      <c r="EG87" s="11"/>
      <c r="EK87" s="11"/>
      <c r="EL87" s="11"/>
      <c r="EM87" s="11"/>
      <c r="EN87" s="11"/>
      <c r="ER87" s="11"/>
      <c r="ES87" s="11"/>
      <c r="ET87" s="11"/>
      <c r="EU87" s="11"/>
      <c r="EY87" s="11"/>
      <c r="EZ87" s="11"/>
      <c r="FA87" s="11"/>
      <c r="FB87" s="11"/>
      <c r="FF87" s="11"/>
      <c r="FG87" s="11"/>
      <c r="FH87" s="11"/>
      <c r="FI87" s="11"/>
      <c r="FM87" s="11"/>
      <c r="FN87" s="11"/>
      <c r="FO87" s="11"/>
      <c r="FP87" s="11"/>
      <c r="FT87" s="11"/>
      <c r="FU87" s="11"/>
      <c r="FV87" s="11"/>
      <c r="FW87" s="11"/>
      <c r="GA87" s="11"/>
      <c r="GB87" s="11"/>
      <c r="GC87" s="11"/>
      <c r="GD87" s="11"/>
    </row>
    <row r="88" spans="2:186" outlineLevel="1" x14ac:dyDescent="0.2">
      <c r="B88" t="s">
        <v>28</v>
      </c>
      <c r="E88" s="10"/>
      <c r="F88" t="s">
        <v>82</v>
      </c>
      <c r="G88" s="11">
        <v>0.13</v>
      </c>
      <c r="I88" s="10">
        <f t="shared" si="13"/>
        <v>10.5</v>
      </c>
      <c r="J88" s="12">
        <f t="shared" si="12"/>
        <v>0</v>
      </c>
      <c r="K88" s="12">
        <f t="shared" si="12"/>
        <v>0</v>
      </c>
      <c r="L88" s="10"/>
      <c r="O88" s="11"/>
      <c r="P88" s="11"/>
      <c r="Q88" s="11"/>
      <c r="R88" s="11"/>
      <c r="U88">
        <v>3.5</v>
      </c>
      <c r="V88" s="11"/>
      <c r="W88" s="11">
        <v>0.5</v>
      </c>
      <c r="X88" s="11"/>
      <c r="Y88" s="11"/>
      <c r="AB88">
        <v>0</v>
      </c>
      <c r="AC88" s="11"/>
      <c r="AD88" s="11">
        <v>0.5</v>
      </c>
      <c r="AE88" s="11"/>
      <c r="AF88" s="11"/>
      <c r="AI88">
        <v>0</v>
      </c>
      <c r="AJ88" s="11"/>
      <c r="AK88" s="11">
        <v>0.5</v>
      </c>
      <c r="AL88" s="11"/>
      <c r="AM88" s="11"/>
      <c r="AP88">
        <v>0</v>
      </c>
      <c r="AQ88" s="11"/>
      <c r="AR88" s="11">
        <v>0.5</v>
      </c>
      <c r="AS88" s="11"/>
      <c r="AT88" s="11"/>
      <c r="AW88">
        <v>3.5</v>
      </c>
      <c r="AX88" s="11"/>
      <c r="AY88" s="11">
        <v>0.8</v>
      </c>
      <c r="AZ88" s="11"/>
      <c r="BA88" s="11"/>
      <c r="BD88">
        <v>0</v>
      </c>
      <c r="BE88" s="11"/>
      <c r="BF88" s="11">
        <v>0.8</v>
      </c>
      <c r="BG88" s="11"/>
      <c r="BH88" s="11"/>
      <c r="BK88">
        <v>0</v>
      </c>
      <c r="BL88" s="11"/>
      <c r="BM88" s="11">
        <v>0.8</v>
      </c>
      <c r="BN88" s="11"/>
      <c r="BO88" s="11"/>
      <c r="BR88">
        <v>0</v>
      </c>
      <c r="BS88" s="11"/>
      <c r="BT88" s="11">
        <v>0.8</v>
      </c>
      <c r="BU88" s="11"/>
      <c r="BV88" s="11"/>
      <c r="BY88">
        <v>0</v>
      </c>
      <c r="BZ88" s="11"/>
      <c r="CA88" s="11">
        <v>0.8</v>
      </c>
      <c r="CB88" s="11"/>
      <c r="CC88" s="11"/>
      <c r="CF88">
        <v>3.5</v>
      </c>
      <c r="CG88" s="11"/>
      <c r="CH88" s="11">
        <v>1</v>
      </c>
      <c r="CI88" s="11"/>
      <c r="CJ88" s="11"/>
      <c r="CM88">
        <v>0</v>
      </c>
      <c r="CN88" s="11"/>
      <c r="CO88" s="11">
        <v>1</v>
      </c>
      <c r="CP88" s="11"/>
      <c r="CQ88" s="11"/>
      <c r="CT88">
        <v>0</v>
      </c>
      <c r="CU88" s="11"/>
      <c r="CV88" s="11">
        <v>1</v>
      </c>
      <c r="CW88" s="11"/>
      <c r="CX88" s="11"/>
      <c r="DB88" s="11"/>
      <c r="DC88" s="11"/>
      <c r="DD88" s="11"/>
      <c r="DE88" s="11"/>
      <c r="DI88" s="11"/>
      <c r="DJ88" s="11"/>
      <c r="DK88" s="11"/>
      <c r="DL88" s="11"/>
      <c r="DP88" s="11"/>
      <c r="DQ88" s="11"/>
      <c r="DR88" s="11"/>
      <c r="DS88" s="11"/>
      <c r="DW88" s="11"/>
      <c r="DX88" s="11"/>
      <c r="DY88" s="11"/>
      <c r="DZ88" s="11"/>
      <c r="ED88" s="11"/>
      <c r="EE88" s="11"/>
      <c r="EF88" s="11"/>
      <c r="EG88" s="11"/>
      <c r="EK88" s="11"/>
      <c r="EL88" s="11"/>
      <c r="EM88" s="11"/>
      <c r="EN88" s="11"/>
      <c r="ER88" s="11"/>
      <c r="ES88" s="11"/>
      <c r="ET88" s="11"/>
      <c r="EU88" s="11"/>
      <c r="EY88" s="11"/>
      <c r="EZ88" s="11"/>
      <c r="FA88" s="11"/>
      <c r="FB88" s="11"/>
      <c r="FF88" s="11"/>
      <c r="FG88" s="11"/>
      <c r="FH88" s="11"/>
      <c r="FI88" s="11"/>
      <c r="FM88" s="11"/>
      <c r="FN88" s="11"/>
      <c r="FO88" s="11"/>
      <c r="FP88" s="11"/>
      <c r="FT88" s="11"/>
      <c r="FU88" s="11"/>
      <c r="FV88" s="11"/>
      <c r="FW88" s="11"/>
      <c r="GA88" s="11"/>
      <c r="GB88" s="11"/>
      <c r="GC88" s="11"/>
      <c r="GD88" s="11"/>
    </row>
    <row r="89" spans="2:186" outlineLevel="1" x14ac:dyDescent="0.2">
      <c r="B89" t="s">
        <v>28</v>
      </c>
      <c r="E89" s="10"/>
      <c r="F89" t="s">
        <v>83</v>
      </c>
      <c r="G89" s="11">
        <v>0.14000000000000001</v>
      </c>
      <c r="I89" s="10">
        <f t="shared" si="13"/>
        <v>10.5</v>
      </c>
      <c r="J89" s="12">
        <f t="shared" si="12"/>
        <v>0</v>
      </c>
      <c r="K89" s="12">
        <f t="shared" si="12"/>
        <v>0</v>
      </c>
      <c r="L89" s="10"/>
      <c r="O89" s="11"/>
      <c r="P89" s="11"/>
      <c r="Q89" s="11"/>
      <c r="R89" s="11"/>
      <c r="V89" s="11"/>
      <c r="W89" s="11"/>
      <c r="X89" s="11"/>
      <c r="Y89" s="11"/>
      <c r="AB89">
        <v>3.5</v>
      </c>
      <c r="AC89" s="11"/>
      <c r="AD89" s="11">
        <v>0.5</v>
      </c>
      <c r="AE89" s="11"/>
      <c r="AF89" s="11"/>
      <c r="AI89">
        <v>0</v>
      </c>
      <c r="AJ89" s="11"/>
      <c r="AK89" s="11">
        <v>0.5</v>
      </c>
      <c r="AL89" s="11"/>
      <c r="AM89" s="11"/>
      <c r="AP89">
        <v>0</v>
      </c>
      <c r="AQ89" s="11"/>
      <c r="AR89" s="11">
        <v>0.5</v>
      </c>
      <c r="AS89" s="11"/>
      <c r="AT89" s="11"/>
      <c r="AW89">
        <v>0</v>
      </c>
      <c r="AX89" s="11"/>
      <c r="AY89" s="11">
        <v>0.5</v>
      </c>
      <c r="AZ89" s="11"/>
      <c r="BA89" s="11"/>
      <c r="BD89">
        <v>3.5</v>
      </c>
      <c r="BE89" s="11"/>
      <c r="BF89" s="11">
        <v>0.8</v>
      </c>
      <c r="BG89" s="11"/>
      <c r="BH89" s="11"/>
      <c r="BK89">
        <v>0</v>
      </c>
      <c r="BL89" s="11"/>
      <c r="BM89" s="11">
        <v>0.8</v>
      </c>
      <c r="BN89" s="11"/>
      <c r="BO89" s="11"/>
      <c r="BR89">
        <v>0</v>
      </c>
      <c r="BS89" s="11"/>
      <c r="BT89" s="11">
        <v>0.8</v>
      </c>
      <c r="BU89" s="11"/>
      <c r="BV89" s="11"/>
      <c r="BY89">
        <v>0</v>
      </c>
      <c r="BZ89" s="11"/>
      <c r="CA89" s="11">
        <v>0.8</v>
      </c>
      <c r="CB89" s="11"/>
      <c r="CC89" s="11"/>
      <c r="CF89">
        <v>0</v>
      </c>
      <c r="CG89" s="11"/>
      <c r="CH89" s="11">
        <v>0.8</v>
      </c>
      <c r="CI89" s="11"/>
      <c r="CJ89" s="11"/>
      <c r="CM89">
        <v>3.5</v>
      </c>
      <c r="CN89" s="11"/>
      <c r="CO89" s="11">
        <v>1</v>
      </c>
      <c r="CP89" s="11"/>
      <c r="CQ89" s="11"/>
      <c r="CT89">
        <v>0</v>
      </c>
      <c r="CU89" s="11"/>
      <c r="CV89" s="11">
        <v>1</v>
      </c>
      <c r="CW89" s="11"/>
      <c r="CX89" s="11"/>
      <c r="DB89" s="11"/>
      <c r="DC89" s="11"/>
      <c r="DD89" s="11"/>
      <c r="DE89" s="11"/>
      <c r="DI89" s="11"/>
      <c r="DJ89" s="11"/>
      <c r="DK89" s="11"/>
      <c r="DL89" s="11"/>
      <c r="DP89" s="11"/>
      <c r="DQ89" s="11"/>
      <c r="DR89" s="11"/>
      <c r="DS89" s="11"/>
      <c r="DW89" s="11"/>
      <c r="DX89" s="11"/>
      <c r="DY89" s="11"/>
      <c r="DZ89" s="11"/>
      <c r="ED89" s="11"/>
      <c r="EE89" s="11"/>
      <c r="EF89" s="11"/>
      <c r="EG89" s="11"/>
      <c r="EK89" s="11"/>
      <c r="EL89" s="11"/>
      <c r="EM89" s="11"/>
      <c r="EN89" s="11"/>
      <c r="ER89" s="11"/>
      <c r="ES89" s="11"/>
      <c r="ET89" s="11"/>
      <c r="EU89" s="11"/>
      <c r="EY89" s="11"/>
      <c r="EZ89" s="11"/>
      <c r="FA89" s="11"/>
      <c r="FB89" s="11"/>
      <c r="FF89" s="11"/>
      <c r="FG89" s="11"/>
      <c r="FH89" s="11"/>
      <c r="FI89" s="11"/>
      <c r="FM89" s="11"/>
      <c r="FN89" s="11"/>
      <c r="FO89" s="11"/>
      <c r="FP89" s="11"/>
      <c r="FT89" s="11"/>
      <c r="FU89" s="11"/>
      <c r="FV89" s="11"/>
      <c r="FW89" s="11"/>
      <c r="GA89" s="11"/>
      <c r="GB89" s="11"/>
      <c r="GC89" s="11"/>
      <c r="GD89" s="11"/>
    </row>
    <row r="90" spans="2:186" outlineLevel="1" x14ac:dyDescent="0.2">
      <c r="B90" t="s">
        <v>28</v>
      </c>
      <c r="E90" s="10"/>
      <c r="F90" t="s">
        <v>84</v>
      </c>
      <c r="G90" s="11">
        <v>0.1</v>
      </c>
      <c r="I90" s="10">
        <f t="shared" si="13"/>
        <v>10.5</v>
      </c>
      <c r="J90" s="12">
        <f t="shared" si="12"/>
        <v>0</v>
      </c>
      <c r="K90" s="12">
        <f t="shared" si="12"/>
        <v>0</v>
      </c>
      <c r="L90" s="10"/>
      <c r="O90" s="11"/>
      <c r="P90" s="11"/>
      <c r="Q90" s="11"/>
      <c r="R90" s="11"/>
      <c r="V90" s="11"/>
      <c r="W90" s="11"/>
      <c r="X90" s="11"/>
      <c r="Y90" s="11"/>
      <c r="AC90" s="11"/>
      <c r="AD90" s="11"/>
      <c r="AE90" s="11"/>
      <c r="AF90" s="11"/>
      <c r="AI90">
        <v>3.5</v>
      </c>
      <c r="AJ90" s="11"/>
      <c r="AK90" s="11">
        <v>0.5</v>
      </c>
      <c r="AL90" s="11"/>
      <c r="AM90" s="11"/>
      <c r="AP90">
        <v>0</v>
      </c>
      <c r="AQ90" s="11"/>
      <c r="AR90" s="11">
        <v>0.5</v>
      </c>
      <c r="AS90" s="11"/>
      <c r="AT90" s="11"/>
      <c r="AW90">
        <v>0</v>
      </c>
      <c r="AX90" s="11"/>
      <c r="AY90" s="11">
        <v>0.5</v>
      </c>
      <c r="AZ90" s="11"/>
      <c r="BA90" s="11"/>
      <c r="BD90">
        <v>0</v>
      </c>
      <c r="BE90" s="11"/>
      <c r="BF90" s="11">
        <v>0.5</v>
      </c>
      <c r="BG90" s="11"/>
      <c r="BH90" s="11"/>
      <c r="BK90">
        <v>3.5</v>
      </c>
      <c r="BL90" s="11"/>
      <c r="BM90" s="11">
        <v>0.8</v>
      </c>
      <c r="BN90" s="11"/>
      <c r="BO90" s="11"/>
      <c r="BR90">
        <v>0</v>
      </c>
      <c r="BS90" s="11"/>
      <c r="BT90" s="11">
        <v>0.8</v>
      </c>
      <c r="BU90" s="11"/>
      <c r="BV90" s="11"/>
      <c r="BY90">
        <v>0</v>
      </c>
      <c r="BZ90" s="11"/>
      <c r="CA90" s="11">
        <v>0.8</v>
      </c>
      <c r="CB90" s="11"/>
      <c r="CC90" s="11"/>
      <c r="CF90">
        <v>0</v>
      </c>
      <c r="CG90" s="11"/>
      <c r="CH90" s="11">
        <v>0.8</v>
      </c>
      <c r="CI90" s="11"/>
      <c r="CJ90" s="11"/>
      <c r="CM90">
        <v>3.5</v>
      </c>
      <c r="CN90" s="11"/>
      <c r="CO90" s="11">
        <v>1</v>
      </c>
      <c r="CP90" s="11"/>
      <c r="CQ90" s="11"/>
      <c r="CT90">
        <v>0</v>
      </c>
      <c r="CU90" s="11"/>
      <c r="CV90" s="11">
        <v>1</v>
      </c>
      <c r="CW90" s="11"/>
      <c r="CX90" s="11"/>
      <c r="DB90" s="11"/>
      <c r="DC90" s="11"/>
      <c r="DD90" s="11"/>
      <c r="DE90" s="11"/>
      <c r="DI90" s="11"/>
      <c r="DJ90" s="11"/>
      <c r="DK90" s="11"/>
      <c r="DL90" s="11"/>
      <c r="DP90" s="11"/>
      <c r="DQ90" s="11"/>
      <c r="DR90" s="11"/>
      <c r="DS90" s="11"/>
      <c r="DW90" s="11"/>
      <c r="DX90" s="11"/>
      <c r="DY90" s="11"/>
      <c r="DZ90" s="11"/>
      <c r="ED90" s="11"/>
      <c r="EE90" s="11"/>
      <c r="EF90" s="11"/>
      <c r="EG90" s="11"/>
      <c r="EK90" s="11"/>
      <c r="EL90" s="11"/>
      <c r="EM90" s="11"/>
      <c r="EN90" s="11"/>
      <c r="ER90" s="11"/>
      <c r="ES90" s="11"/>
      <c r="ET90" s="11"/>
      <c r="EU90" s="11"/>
      <c r="EY90" s="11"/>
      <c r="EZ90" s="11"/>
      <c r="FA90" s="11"/>
      <c r="FB90" s="11"/>
      <c r="FF90" s="11"/>
      <c r="FG90" s="11"/>
      <c r="FH90" s="11"/>
      <c r="FI90" s="11"/>
      <c r="FM90" s="11"/>
      <c r="FN90" s="11"/>
      <c r="FO90" s="11"/>
      <c r="FP90" s="11"/>
      <c r="FT90" s="11"/>
      <c r="FU90" s="11"/>
      <c r="FV90" s="11"/>
      <c r="FW90" s="11"/>
      <c r="GA90" s="11"/>
      <c r="GB90" s="11"/>
      <c r="GC90" s="11"/>
      <c r="GD90" s="11"/>
    </row>
    <row r="91" spans="2:186" outlineLevel="1" x14ac:dyDescent="0.2">
      <c r="B91" t="s">
        <v>28</v>
      </c>
      <c r="E91" s="10"/>
      <c r="F91" t="s">
        <v>85</v>
      </c>
      <c r="G91" s="11">
        <v>0.11</v>
      </c>
      <c r="I91" s="10">
        <f t="shared" si="13"/>
        <v>10.5</v>
      </c>
      <c r="J91" s="12">
        <f t="shared" si="12"/>
        <v>0</v>
      </c>
      <c r="K91" s="12">
        <f t="shared" si="12"/>
        <v>0</v>
      </c>
      <c r="L91" s="10"/>
      <c r="O91" s="11"/>
      <c r="P91" s="11"/>
      <c r="Q91" s="11"/>
      <c r="R91" s="11"/>
      <c r="V91" s="11"/>
      <c r="W91" s="11"/>
      <c r="X91" s="11"/>
      <c r="Y91" s="11"/>
      <c r="AC91" s="11"/>
      <c r="AD91" s="11"/>
      <c r="AE91" s="11"/>
      <c r="AF91" s="11"/>
      <c r="AJ91" s="11"/>
      <c r="AK91" s="11"/>
      <c r="AL91" s="11"/>
      <c r="AM91" s="11"/>
      <c r="AP91">
        <v>3.5</v>
      </c>
      <c r="AQ91" s="11"/>
      <c r="AR91" s="11">
        <v>0.5</v>
      </c>
      <c r="AS91" s="11"/>
      <c r="AT91" s="11"/>
      <c r="AW91">
        <v>0</v>
      </c>
      <c r="AX91" s="11"/>
      <c r="AY91" s="11">
        <v>0.5</v>
      </c>
      <c r="AZ91" s="11"/>
      <c r="BA91" s="11"/>
      <c r="BD91">
        <v>0</v>
      </c>
      <c r="BE91" s="11"/>
      <c r="BF91" s="11">
        <v>0.5</v>
      </c>
      <c r="BG91" s="11"/>
      <c r="BH91" s="11"/>
      <c r="BK91">
        <v>0</v>
      </c>
      <c r="BL91" s="11"/>
      <c r="BM91" s="11">
        <v>0.5</v>
      </c>
      <c r="BN91" s="11"/>
      <c r="BO91" s="11"/>
      <c r="BR91">
        <v>3.5</v>
      </c>
      <c r="BS91" s="11"/>
      <c r="BT91" s="11">
        <v>0.8</v>
      </c>
      <c r="BU91" s="11"/>
      <c r="BV91" s="11"/>
      <c r="BY91">
        <v>0</v>
      </c>
      <c r="BZ91" s="11"/>
      <c r="CA91" s="11">
        <v>0.8</v>
      </c>
      <c r="CB91" s="11"/>
      <c r="CC91" s="11"/>
      <c r="CF91">
        <v>0</v>
      </c>
      <c r="CG91" s="11"/>
      <c r="CH91" s="11">
        <v>0.8</v>
      </c>
      <c r="CI91" s="11"/>
      <c r="CJ91" s="11"/>
      <c r="CM91">
        <v>0</v>
      </c>
      <c r="CN91" s="11"/>
      <c r="CO91" s="11">
        <v>0.8</v>
      </c>
      <c r="CP91" s="11"/>
      <c r="CQ91" s="11"/>
      <c r="CT91">
        <v>3.5</v>
      </c>
      <c r="CU91" s="11"/>
      <c r="CV91" s="11">
        <v>1</v>
      </c>
      <c r="CW91" s="11"/>
      <c r="CX91" s="11"/>
      <c r="DB91" s="11"/>
      <c r="DC91" s="11"/>
      <c r="DD91" s="11"/>
      <c r="DE91" s="11"/>
      <c r="DI91" s="11"/>
      <c r="DJ91" s="11"/>
      <c r="DK91" s="11"/>
      <c r="DL91" s="11"/>
      <c r="DP91" s="11"/>
      <c r="DQ91" s="11"/>
      <c r="DR91" s="11"/>
      <c r="DS91" s="11"/>
      <c r="DW91" s="11"/>
      <c r="DX91" s="11"/>
      <c r="DY91" s="11"/>
      <c r="DZ91" s="11"/>
      <c r="ED91" s="11"/>
      <c r="EE91" s="11"/>
      <c r="EF91" s="11"/>
      <c r="EG91" s="11"/>
      <c r="EK91" s="11"/>
      <c r="EL91" s="11"/>
      <c r="EM91" s="11"/>
      <c r="EN91" s="11"/>
      <c r="ER91" s="11"/>
      <c r="ES91" s="11"/>
      <c r="ET91" s="11"/>
      <c r="EU91" s="11"/>
      <c r="EY91" s="11"/>
      <c r="EZ91" s="11"/>
      <c r="FA91" s="11"/>
      <c r="FB91" s="11"/>
      <c r="FF91" s="11"/>
      <c r="FG91" s="11"/>
      <c r="FH91" s="11"/>
      <c r="FI91" s="11"/>
      <c r="FM91" s="11"/>
      <c r="FN91" s="11"/>
      <c r="FO91" s="11"/>
      <c r="FP91" s="11"/>
      <c r="FT91" s="11"/>
      <c r="FU91" s="11"/>
      <c r="FV91" s="11"/>
      <c r="FW91" s="11"/>
      <c r="GA91" s="11"/>
      <c r="GB91" s="11"/>
      <c r="GC91" s="11"/>
      <c r="GD91" s="11"/>
    </row>
    <row r="92" spans="2:186" outlineLevel="1" x14ac:dyDescent="0.2">
      <c r="B92" t="s">
        <v>28</v>
      </c>
      <c r="E92" s="10"/>
      <c r="F92" t="s">
        <v>86</v>
      </c>
      <c r="G92" s="11">
        <v>0.1</v>
      </c>
      <c r="I92" s="10">
        <f t="shared" si="13"/>
        <v>10.5</v>
      </c>
      <c r="J92" s="12">
        <f t="shared" si="12"/>
        <v>0</v>
      </c>
      <c r="K92" s="12">
        <f t="shared" si="12"/>
        <v>0</v>
      </c>
      <c r="L92" s="10"/>
      <c r="O92" s="11"/>
      <c r="P92" s="11"/>
      <c r="Q92" s="11"/>
      <c r="R92" s="11"/>
      <c r="V92" s="11"/>
      <c r="W92" s="11"/>
      <c r="X92" s="11"/>
      <c r="Y92" s="11"/>
      <c r="AC92" s="11"/>
      <c r="AD92" s="11"/>
      <c r="AE92" s="11"/>
      <c r="AF92" s="11"/>
      <c r="AJ92" s="11"/>
      <c r="AK92" s="11"/>
      <c r="AL92" s="11"/>
      <c r="AM92" s="11"/>
      <c r="AQ92" s="11"/>
      <c r="AR92" s="11"/>
      <c r="AS92" s="11"/>
      <c r="AT92" s="11"/>
      <c r="AW92">
        <v>3.5</v>
      </c>
      <c r="AX92" s="11"/>
      <c r="AY92" s="11">
        <v>0.5</v>
      </c>
      <c r="AZ92" s="11"/>
      <c r="BA92" s="11"/>
      <c r="BD92">
        <v>0</v>
      </c>
      <c r="BE92" s="11"/>
      <c r="BF92" s="11">
        <v>0.5</v>
      </c>
      <c r="BG92" s="11"/>
      <c r="BH92" s="11"/>
      <c r="BK92">
        <v>0</v>
      </c>
      <c r="BL92" s="11"/>
      <c r="BM92" s="11">
        <v>0.5</v>
      </c>
      <c r="BN92" s="11"/>
      <c r="BO92" s="11"/>
      <c r="BR92">
        <v>0</v>
      </c>
      <c r="BS92" s="11"/>
      <c r="BT92" s="11">
        <v>0.5</v>
      </c>
      <c r="BU92" s="11"/>
      <c r="BV92" s="11"/>
      <c r="BY92">
        <v>3.5</v>
      </c>
      <c r="BZ92" s="11"/>
      <c r="CA92" s="11">
        <v>0.8</v>
      </c>
      <c r="CB92" s="11"/>
      <c r="CC92" s="11"/>
      <c r="CF92">
        <v>0</v>
      </c>
      <c r="CG92" s="11"/>
      <c r="CH92" s="11">
        <v>0.8</v>
      </c>
      <c r="CI92" s="11"/>
      <c r="CJ92" s="11"/>
      <c r="CM92">
        <v>0</v>
      </c>
      <c r="CN92" s="11"/>
      <c r="CO92" s="11">
        <v>0.8</v>
      </c>
      <c r="CP92" s="11"/>
      <c r="CQ92" s="11"/>
      <c r="CT92">
        <v>3.5</v>
      </c>
      <c r="CU92" s="11"/>
      <c r="CV92" s="11">
        <v>1</v>
      </c>
      <c r="CW92" s="11"/>
      <c r="CX92" s="11"/>
      <c r="DB92" s="11"/>
      <c r="DC92" s="11"/>
      <c r="DD92" s="11"/>
      <c r="DE92" s="11"/>
      <c r="DI92" s="11"/>
      <c r="DJ92" s="11"/>
      <c r="DK92" s="11"/>
      <c r="DL92" s="11"/>
      <c r="DP92" s="11"/>
      <c r="DQ92" s="11"/>
      <c r="DR92" s="11"/>
      <c r="DS92" s="11"/>
      <c r="DW92" s="11"/>
      <c r="DX92" s="11"/>
      <c r="DY92" s="11"/>
      <c r="DZ92" s="11"/>
      <c r="ED92" s="11"/>
      <c r="EE92" s="11"/>
      <c r="EF92" s="11"/>
      <c r="EG92" s="11"/>
      <c r="EK92" s="11"/>
      <c r="EL92" s="11"/>
      <c r="EM92" s="11"/>
      <c r="EN92" s="11"/>
      <c r="ER92" s="11"/>
      <c r="ES92" s="11"/>
      <c r="ET92" s="11"/>
      <c r="EU92" s="11"/>
      <c r="EY92" s="11"/>
      <c r="EZ92" s="11"/>
      <c r="FA92" s="11"/>
      <c r="FB92" s="11"/>
      <c r="FF92" s="11"/>
      <c r="FG92" s="11"/>
      <c r="FH92" s="11"/>
      <c r="FI92" s="11"/>
      <c r="FM92" s="11"/>
      <c r="FN92" s="11"/>
      <c r="FO92" s="11"/>
      <c r="FP92" s="11"/>
      <c r="FT92" s="11"/>
      <c r="FU92" s="11"/>
      <c r="FV92" s="11"/>
      <c r="FW92" s="11"/>
      <c r="GA92" s="11"/>
      <c r="GB92" s="11"/>
      <c r="GC92" s="11"/>
      <c r="GD92" s="11"/>
    </row>
    <row r="93" spans="2:186" outlineLevel="1" x14ac:dyDescent="0.2">
      <c r="B93" t="s">
        <v>28</v>
      </c>
      <c r="E93" s="10"/>
      <c r="F93" t="s">
        <v>87</v>
      </c>
      <c r="G93" s="11">
        <v>0.08</v>
      </c>
      <c r="I93" s="10">
        <f t="shared" si="13"/>
        <v>10.5</v>
      </c>
      <c r="J93" s="12">
        <f t="shared" si="12"/>
        <v>0</v>
      </c>
      <c r="K93" s="12">
        <f t="shared" si="12"/>
        <v>0</v>
      </c>
      <c r="L93" s="10"/>
      <c r="O93" s="11"/>
      <c r="P93" s="11"/>
      <c r="Q93" s="11"/>
      <c r="R93" s="11"/>
      <c r="V93" s="11"/>
      <c r="W93" s="11"/>
      <c r="X93" s="11"/>
      <c r="Y93" s="11"/>
      <c r="AC93" s="11"/>
      <c r="AD93" s="11"/>
      <c r="AE93" s="11"/>
      <c r="AF93" s="11"/>
      <c r="AJ93" s="11"/>
      <c r="AK93" s="11"/>
      <c r="AL93" s="11"/>
      <c r="AM93" s="11"/>
      <c r="AQ93" s="11"/>
      <c r="AR93" s="11"/>
      <c r="AS93" s="11"/>
      <c r="AT93" s="11"/>
      <c r="AX93" s="11"/>
      <c r="AY93" s="11"/>
      <c r="AZ93" s="11"/>
      <c r="BA93" s="11"/>
      <c r="BD93">
        <v>3.5</v>
      </c>
      <c r="BE93" s="11"/>
      <c r="BF93" s="11">
        <v>0.5</v>
      </c>
      <c r="BG93" s="11"/>
      <c r="BH93" s="11"/>
      <c r="BK93">
        <v>0</v>
      </c>
      <c r="BL93" s="11"/>
      <c r="BM93" s="11">
        <v>0.5</v>
      </c>
      <c r="BN93" s="11"/>
      <c r="BO93" s="11"/>
      <c r="BR93">
        <v>0</v>
      </c>
      <c r="BS93" s="11"/>
      <c r="BT93" s="11">
        <v>0.5</v>
      </c>
      <c r="BU93" s="11"/>
      <c r="BV93" s="11"/>
      <c r="BY93">
        <v>0</v>
      </c>
      <c r="BZ93" s="11"/>
      <c r="CA93" s="11">
        <v>0.5</v>
      </c>
      <c r="CB93" s="11"/>
      <c r="CC93" s="11"/>
      <c r="CF93">
        <v>3.5</v>
      </c>
      <c r="CG93" s="11"/>
      <c r="CH93" s="11">
        <v>0.8</v>
      </c>
      <c r="CI93" s="11"/>
      <c r="CJ93" s="11"/>
      <c r="CM93">
        <v>0</v>
      </c>
      <c r="CN93" s="11"/>
      <c r="CO93" s="11">
        <v>0.8</v>
      </c>
      <c r="CP93" s="11"/>
      <c r="CQ93" s="11"/>
      <c r="CT93">
        <v>3.5</v>
      </c>
      <c r="CU93" s="11"/>
      <c r="CV93" s="11">
        <v>1</v>
      </c>
      <c r="CW93" s="11"/>
      <c r="CX93" s="11"/>
      <c r="DB93" s="11"/>
      <c r="DC93" s="11"/>
      <c r="DD93" s="11"/>
      <c r="DE93" s="11"/>
      <c r="DI93" s="11"/>
      <c r="DJ93" s="11"/>
      <c r="DK93" s="11"/>
      <c r="DL93" s="11"/>
      <c r="DP93" s="11"/>
      <c r="DQ93" s="11"/>
      <c r="DR93" s="11"/>
      <c r="DS93" s="11"/>
      <c r="DW93" s="11"/>
      <c r="DX93" s="11"/>
      <c r="DY93" s="11"/>
      <c r="DZ93" s="11"/>
      <c r="ED93" s="11"/>
      <c r="EE93" s="11"/>
      <c r="EF93" s="11"/>
      <c r="EG93" s="11"/>
      <c r="EK93" s="11"/>
      <c r="EL93" s="11"/>
      <c r="EM93" s="11"/>
      <c r="EN93" s="11"/>
      <c r="ER93" s="11"/>
      <c r="ES93" s="11"/>
      <c r="ET93" s="11"/>
      <c r="EU93" s="11"/>
      <c r="EY93" s="11"/>
      <c r="EZ93" s="11"/>
      <c r="FA93" s="11"/>
      <c r="FB93" s="11"/>
      <c r="FF93" s="11"/>
      <c r="FG93" s="11"/>
      <c r="FH93" s="11"/>
      <c r="FI93" s="11"/>
      <c r="FM93" s="11"/>
      <c r="FN93" s="11"/>
      <c r="FO93" s="11"/>
      <c r="FP93" s="11"/>
      <c r="FT93" s="11"/>
      <c r="FU93" s="11"/>
      <c r="FV93" s="11"/>
      <c r="FW93" s="11"/>
      <c r="GA93" s="11"/>
      <c r="GB93" s="11"/>
      <c r="GC93" s="11"/>
      <c r="GD93" s="11"/>
    </row>
  </sheetData>
  <mergeCells count="26">
    <mergeCell ref="I2:L2"/>
    <mergeCell ref="N2:S2"/>
    <mergeCell ref="BD2:BI2"/>
    <mergeCell ref="U2:Z2"/>
    <mergeCell ref="AB2:AG2"/>
    <mergeCell ref="AI2:AN2"/>
    <mergeCell ref="AP2:AU2"/>
    <mergeCell ref="AW2:BB2"/>
    <mergeCell ref="BK2:BP2"/>
    <mergeCell ref="BR2:BW2"/>
    <mergeCell ref="BY2:CD2"/>
    <mergeCell ref="CF2:CK2"/>
    <mergeCell ref="CM2:CR2"/>
    <mergeCell ref="CT2:CY2"/>
    <mergeCell ref="DA2:DF2"/>
    <mergeCell ref="DH2:DM2"/>
    <mergeCell ref="DO2:DT2"/>
    <mergeCell ref="DV2:EA2"/>
    <mergeCell ref="FL2:FQ2"/>
    <mergeCell ref="FS2:FX2"/>
    <mergeCell ref="FZ2:GE2"/>
    <mergeCell ref="EC2:EH2"/>
    <mergeCell ref="EJ2:EO2"/>
    <mergeCell ref="EQ2:EV2"/>
    <mergeCell ref="EX2:FC2"/>
    <mergeCell ref="FE2:FJ2"/>
  </mergeCells>
  <conditionalFormatting sqref="J5:K16">
    <cfRule type="colorScale" priority="2181">
      <colorScale>
        <cfvo type="percent" val="0"/>
        <cfvo type="percent" val="100"/>
        <color rgb="FFFF231B"/>
        <color rgb="FF10FF07"/>
      </colorScale>
    </cfRule>
  </conditionalFormatting>
  <conditionalFormatting sqref="O5:O16 AJ38:AJ43 AL38:AL43 AX39:AX43 AZ39:AZ43 Q38:Q43 O38:O43 BG39:BG43 X38:X43 V38:V43 AE38:AE43 AC38:AC43 AS38:AS43 AQ38:AQ43 BE39:BE43 BN39:BN43 BL39:BL43 BU39:BU43 BS39:BS43 CB39:CB43 BZ39:BZ43 CI39:CI43 CG39:CG43 CP39:CP43 CN39:CN43 CW40:CW43 CU40:CU43 DD40:DD43 DB40:DB43 DK41:DK43 DI41:DI43 DR41:DR43 DP41:DP43 DY42:DY43 DW42:DW43 EF42:EF43 ED42:ED43 EM38:EM43 EK38:EK43 ET38:ET43 ER38:ER43 FA38:FA43 EY38:EY43 FH38:FH43 FF38:FF43 FO38:FO43 FM38:FM43 FV38:FV43 FT38:FT43 GC38:GC43 GA38:GA43 O75:O82 Q75:Q82 BS75:BS82 BU75:BU82 DW75:DW82 DY75:DY82 GA75:GA82 GC75:GC82 AQ75:AQ82 AS75:AS82 BE75:BE82 BG75:BG82 V75:V82 X75:X82 AC75:AC82 AE75:AE82 AJ75:AJ82 AL75:AL82 AX75:AX82 AZ75:AZ82 BL75:BL82 BN75:BN82 BZ75:BZ82 CB75:CB82 CG75:CG82 CI75:CI82 CN75:CN82 CP75:CP82 CU75:CU82 CW75:CW82 DB75:DB82 DD75:DD82 DI75:DI82 DK75:DK82 DP75:DP82 DR75:DR82 ED75:ED82 EF75:EF82 EK75:EK82 EM75:EM82 ER75:ER82 ET75:ET82 EY75:EY82 FA75:FA82 FF75:FF82 FH75:FH82 FM75:FM82 FO75:FO82 FT75:FT82 FV75:FV82">
    <cfRule type="expression" dxfId="1101" priority="2179">
      <formula>OR(IF(O5&lt;P5,TRUE),IF(AND(P5="",O5&lt;&gt;""),TRUE))</formula>
    </cfRule>
    <cfRule type="expression" dxfId="1100" priority="2180">
      <formula>IF(O5&gt;=P5,IF(O5="",FALSE,TRUE))</formula>
    </cfRule>
  </conditionalFormatting>
  <conditionalFormatting sqref="Q5:Q16">
    <cfRule type="expression" dxfId="1099" priority="2177">
      <formula>OR(IF(Q5&lt;R5,TRUE),IF(AND(R5="",Q5&lt;&gt;""),TRUE))</formula>
    </cfRule>
    <cfRule type="expression" dxfId="1098" priority="2178">
      <formula>IF(Q5&gt;=R5,IF(Q5="",FALSE,TRUE))</formula>
    </cfRule>
  </conditionalFormatting>
  <conditionalFormatting sqref="AJ24:AJ33">
    <cfRule type="expression" dxfId="1097" priority="2050">
      <formula>OR(IF(AJ24&lt;AK24,TRUE),IF(AND(AK24="",AJ24&lt;&gt;""),TRUE))</formula>
    </cfRule>
    <cfRule type="expression" dxfId="1096" priority="2051">
      <formula>IF(AJ24&gt;=AK24,IF(AJ24="",FALSE,TRUE))</formula>
    </cfRule>
  </conditionalFormatting>
  <conditionalFormatting sqref="AL24:AL33">
    <cfRule type="expression" dxfId="1095" priority="2048">
      <formula>OR(IF(AL24&lt;AM24,TRUE),IF(AND(AM24="",AL24&lt;&gt;""),TRUE))</formula>
    </cfRule>
    <cfRule type="expression" dxfId="1094" priority="2049">
      <formula>IF(AL24&gt;=AM24,IF(AL24="",FALSE,TRUE))</formula>
    </cfRule>
  </conditionalFormatting>
  <conditionalFormatting sqref="AQ5:AQ16">
    <cfRule type="expression" dxfId="1093" priority="2046">
      <formula>OR(IF(AQ5&lt;AR5,TRUE),IF(AND(AR5="",AQ5&lt;&gt;""),TRUE))</formula>
    </cfRule>
    <cfRule type="expression" dxfId="1092" priority="2047">
      <formula>IF(AQ5&gt;=AR5,IF(AQ5="",FALSE,TRUE))</formula>
    </cfRule>
  </conditionalFormatting>
  <conditionalFormatting sqref="AS5:AS16">
    <cfRule type="expression" dxfId="1091" priority="2044">
      <formula>OR(IF(AS5&lt;AT5,TRUE),IF(AND(AT5="",AS5&lt;&gt;""),TRUE))</formula>
    </cfRule>
    <cfRule type="expression" dxfId="1090" priority="2045">
      <formula>IF(AS5&gt;=AT5,IF(AS5="",FALSE,TRUE))</formula>
    </cfRule>
  </conditionalFormatting>
  <conditionalFormatting sqref="J22:K33">
    <cfRule type="colorScale" priority="2122">
      <colorScale>
        <cfvo type="percent" val="0"/>
        <cfvo type="percent" val="100"/>
        <color rgb="FFFF231B"/>
        <color rgb="FF10FF07"/>
      </colorScale>
    </cfRule>
  </conditionalFormatting>
  <conditionalFormatting sqref="O22:O23">
    <cfRule type="expression" dxfId="1089" priority="2120">
      <formula>OR(IF(O22&lt;P22,TRUE),IF(AND(P22="",O22&lt;&gt;""),TRUE))</formula>
    </cfRule>
    <cfRule type="expression" dxfId="1088" priority="2121">
      <formula>IF(O22&gt;=P22,IF(O22="",FALSE,TRUE))</formula>
    </cfRule>
  </conditionalFormatting>
  <conditionalFormatting sqref="Q22:Q23">
    <cfRule type="expression" dxfId="1087" priority="2118">
      <formula>OR(IF(Q22&lt;R22,TRUE),IF(AND(R22="",Q22&lt;&gt;""),TRUE))</formula>
    </cfRule>
    <cfRule type="expression" dxfId="1086" priority="2119">
      <formula>IF(Q22&gt;=R22,IF(Q22="",FALSE,TRUE))</formula>
    </cfRule>
  </conditionalFormatting>
  <conditionalFormatting sqref="AX24:AX33">
    <cfRule type="expression" dxfId="1085" priority="2018">
      <formula>OR(IF(AX24&lt;AY24,TRUE),IF(AND(AY24="",AX24&lt;&gt;""),TRUE))</formula>
    </cfRule>
    <cfRule type="expression" dxfId="1084" priority="2019">
      <formula>IF(AX24&gt;=AY24,IF(AX24="",FALSE,TRUE))</formula>
    </cfRule>
  </conditionalFormatting>
  <conditionalFormatting sqref="AZ24:AZ33">
    <cfRule type="expression" dxfId="1083" priority="2016">
      <formula>OR(IF(AZ24&lt;BA24,TRUE),IF(AND(BA24="",AZ24&lt;&gt;""),TRUE))</formula>
    </cfRule>
    <cfRule type="expression" dxfId="1082" priority="2017">
      <formula>IF(AZ24&gt;=BA24,IF(AZ24="",FALSE,TRUE))</formula>
    </cfRule>
  </conditionalFormatting>
  <conditionalFormatting sqref="BE5:BE16">
    <cfRule type="expression" dxfId="1081" priority="2014">
      <formula>OR(IF(BE5&lt;BF5,TRUE),IF(AND(BF5="",BE5&lt;&gt;""),TRUE))</formula>
    </cfRule>
    <cfRule type="expression" dxfId="1080" priority="2015">
      <formula>IF(BE5&gt;=BF5,IF(BE5="",FALSE,TRUE))</formula>
    </cfRule>
  </conditionalFormatting>
  <conditionalFormatting sqref="BG5:BG16">
    <cfRule type="expression" dxfId="1079" priority="2012">
      <formula>OR(IF(BG5&lt;BH5,TRUE),IF(AND(BH5="",BG5&lt;&gt;""),TRUE))</formula>
    </cfRule>
    <cfRule type="expression" dxfId="1078" priority="2013">
      <formula>IF(BG5&gt;=BH5,IF(BG5="",FALSE,TRUE))</formula>
    </cfRule>
  </conditionalFormatting>
  <conditionalFormatting sqref="BZ5:BZ16">
    <cfRule type="expression" dxfId="1077" priority="1818">
      <formula>OR(IF(BZ5&lt;CA5,TRUE),IF(AND(CA5="",BZ5&lt;&gt;""),TRUE))</formula>
    </cfRule>
    <cfRule type="expression" dxfId="1076" priority="1819">
      <formula>IF(BZ5&gt;=CA5,IF(BZ5="",FALSE,TRUE))</formula>
    </cfRule>
  </conditionalFormatting>
  <conditionalFormatting sqref="Q24:Q33">
    <cfRule type="expression" dxfId="1075" priority="2096">
      <formula>OR(IF(Q24&lt;R24,TRUE),IF(AND(R24="",Q24&lt;&gt;""),TRUE))</formula>
    </cfRule>
    <cfRule type="expression" dxfId="1074" priority="2097">
      <formula>IF(Q24&gt;=R24,IF(Q24="",FALSE,TRUE))</formula>
    </cfRule>
  </conditionalFormatting>
  <conditionalFormatting sqref="O24:O33">
    <cfRule type="expression" dxfId="1073" priority="2098">
      <formula>OR(IF(O24&lt;P24,TRUE),IF(AND(P24="",O24&lt;&gt;""),TRUE))</formula>
    </cfRule>
    <cfRule type="expression" dxfId="1072" priority="2099">
      <formula>IF(O24&gt;=P24,IF(O24="",FALSE,TRUE))</formula>
    </cfRule>
  </conditionalFormatting>
  <conditionalFormatting sqref="BG24:BG33">
    <cfRule type="expression" dxfId="1071" priority="2000">
      <formula>OR(IF(BG24&lt;BH24,TRUE),IF(AND(BH24="",BG24&lt;&gt;""),TRUE))</formula>
    </cfRule>
    <cfRule type="expression" dxfId="1070" priority="2001">
      <formula>IF(BG24&gt;=BH24,IF(BG24="",FALSE,TRUE))</formula>
    </cfRule>
  </conditionalFormatting>
  <conditionalFormatting sqref="V5:V16">
    <cfRule type="expression" dxfId="1069" priority="2094">
      <formula>OR(IF(V5&lt;W5,TRUE),IF(AND(W5="",V5&lt;&gt;""),TRUE))</formula>
    </cfRule>
    <cfRule type="expression" dxfId="1068" priority="2095">
      <formula>IF(V5&gt;=W5,IF(V5="",FALSE,TRUE))</formula>
    </cfRule>
  </conditionalFormatting>
  <conditionalFormatting sqref="X5:X16">
    <cfRule type="expression" dxfId="1067" priority="2092">
      <formula>OR(IF(X5&lt;Y5,TRUE),IF(AND(Y5="",X5&lt;&gt;""),TRUE))</formula>
    </cfRule>
    <cfRule type="expression" dxfId="1066" priority="2093">
      <formula>IF(X5&gt;=Y5,IF(X5="",FALSE,TRUE))</formula>
    </cfRule>
  </conditionalFormatting>
  <conditionalFormatting sqref="V22:V23">
    <cfRule type="expression" dxfId="1065" priority="2090">
      <formula>OR(IF(V22&lt;W22,TRUE),IF(AND(W22="",V22&lt;&gt;""),TRUE))</formula>
    </cfRule>
    <cfRule type="expression" dxfId="1064" priority="2091">
      <formula>IF(V22&gt;=W22,IF(V22="",FALSE,TRUE))</formula>
    </cfRule>
  </conditionalFormatting>
  <conditionalFormatting sqref="X22:X23">
    <cfRule type="expression" dxfId="1063" priority="2088">
      <formula>OR(IF(X22&lt;Y22,TRUE),IF(AND(Y22="",X22&lt;&gt;""),TRUE))</formula>
    </cfRule>
    <cfRule type="expression" dxfId="1062" priority="2089">
      <formula>IF(X22&gt;=Y22,IF(X22="",FALSE,TRUE))</formula>
    </cfRule>
  </conditionalFormatting>
  <conditionalFormatting sqref="X24:X33">
    <cfRule type="expression" dxfId="1061" priority="2080">
      <formula>OR(IF(X24&lt;Y24,TRUE),IF(AND(Y24="",X24&lt;&gt;""),TRUE))</formula>
    </cfRule>
    <cfRule type="expression" dxfId="1060" priority="2081">
      <formula>IF(X24&gt;=Y24,IF(X24="",FALSE,TRUE))</formula>
    </cfRule>
  </conditionalFormatting>
  <conditionalFormatting sqref="V24:V33">
    <cfRule type="expression" dxfId="1059" priority="2082">
      <formula>OR(IF(V24&lt;W24,TRUE),IF(AND(W24="",V24&lt;&gt;""),TRUE))</formula>
    </cfRule>
    <cfRule type="expression" dxfId="1058" priority="2083">
      <formula>IF(V24&gt;=W24,IF(V24="",FALSE,TRUE))</formula>
    </cfRule>
  </conditionalFormatting>
  <conditionalFormatting sqref="AC5:AC16">
    <cfRule type="expression" dxfId="1057" priority="2078">
      <formula>OR(IF(AC5&lt;AD5,TRUE),IF(AND(AD5="",AC5&lt;&gt;""),TRUE))</formula>
    </cfRule>
    <cfRule type="expression" dxfId="1056" priority="2079">
      <formula>IF(AC5&gt;=AD5,IF(AC5="",FALSE,TRUE))</formula>
    </cfRule>
  </conditionalFormatting>
  <conditionalFormatting sqref="AE5:AE16">
    <cfRule type="expression" dxfId="1055" priority="2076">
      <formula>OR(IF(AE5&lt;AF5,TRUE),IF(AND(AF5="",AE5&lt;&gt;""),TRUE))</formula>
    </cfRule>
    <cfRule type="expression" dxfId="1054" priority="2077">
      <formula>IF(AE5&gt;=AF5,IF(AE5="",FALSE,TRUE))</formula>
    </cfRule>
  </conditionalFormatting>
  <conditionalFormatting sqref="AC22:AC23">
    <cfRule type="expression" dxfId="1053" priority="2074">
      <formula>OR(IF(AC22&lt;AD22,TRUE),IF(AND(AD22="",AC22&lt;&gt;""),TRUE))</formula>
    </cfRule>
    <cfRule type="expression" dxfId="1052" priority="2075">
      <formula>IF(AC22&gt;=AD22,IF(AC22="",FALSE,TRUE))</formula>
    </cfRule>
  </conditionalFormatting>
  <conditionalFormatting sqref="AE22:AE23">
    <cfRule type="expression" dxfId="1051" priority="2072">
      <formula>OR(IF(AE22&lt;AF22,TRUE),IF(AND(AF22="",AE22&lt;&gt;""),TRUE))</formula>
    </cfRule>
    <cfRule type="expression" dxfId="1050" priority="2073">
      <formula>IF(AE22&gt;=AF22,IF(AE22="",FALSE,TRUE))</formula>
    </cfRule>
  </conditionalFormatting>
  <conditionalFormatting sqref="AE24:AE33">
    <cfRule type="expression" dxfId="1049" priority="2064">
      <formula>OR(IF(AE24&lt;AF24,TRUE),IF(AND(AF24="",AE24&lt;&gt;""),TRUE))</formula>
    </cfRule>
    <cfRule type="expression" dxfId="1048" priority="2065">
      <formula>IF(AE24&gt;=AF24,IF(AE24="",FALSE,TRUE))</formula>
    </cfRule>
  </conditionalFormatting>
  <conditionalFormatting sqref="AC24:AC33">
    <cfRule type="expression" dxfId="1047" priority="2066">
      <formula>OR(IF(AC24&lt;AD24,TRUE),IF(AND(AD24="",AC24&lt;&gt;""),TRUE))</formula>
    </cfRule>
    <cfRule type="expression" dxfId="1046" priority="2067">
      <formula>IF(AC24&gt;=AD24,IF(AC24="",FALSE,TRUE))</formula>
    </cfRule>
  </conditionalFormatting>
  <conditionalFormatting sqref="AJ5:AJ16">
    <cfRule type="expression" dxfId="1045" priority="2062">
      <formula>OR(IF(AJ5&lt;AK5,TRUE),IF(AND(AK5="",AJ5&lt;&gt;""),TRUE))</formula>
    </cfRule>
    <cfRule type="expression" dxfId="1044" priority="2063">
      <formula>IF(AJ5&gt;=AK5,IF(AJ5="",FALSE,TRUE))</formula>
    </cfRule>
  </conditionalFormatting>
  <conditionalFormatting sqref="AL5:AL16">
    <cfRule type="expression" dxfId="1043" priority="2060">
      <formula>OR(IF(AL5&lt;AM5,TRUE),IF(AND(AM5="",AL5&lt;&gt;""),TRUE))</formula>
    </cfRule>
    <cfRule type="expression" dxfId="1042" priority="2061">
      <formula>IF(AL5&gt;=AM5,IF(AL5="",FALSE,TRUE))</formula>
    </cfRule>
  </conditionalFormatting>
  <conditionalFormatting sqref="AJ22:AJ23">
    <cfRule type="expression" dxfId="1041" priority="2058">
      <formula>OR(IF(AJ22&lt;AK22,TRUE),IF(AND(AK22="",AJ22&lt;&gt;""),TRUE))</formula>
    </cfRule>
    <cfRule type="expression" dxfId="1040" priority="2059">
      <formula>IF(AJ22&gt;=AK22,IF(AJ22="",FALSE,TRUE))</formula>
    </cfRule>
  </conditionalFormatting>
  <conditionalFormatting sqref="AL22:AL23">
    <cfRule type="expression" dxfId="1039" priority="2056">
      <formula>OR(IF(AL22&lt;AM22,TRUE),IF(AND(AM22="",AL22&lt;&gt;""),TRUE))</formula>
    </cfRule>
    <cfRule type="expression" dxfId="1038" priority="2057">
      <formula>IF(AL22&gt;=AM22,IF(AL22="",FALSE,TRUE))</formula>
    </cfRule>
  </conditionalFormatting>
  <conditionalFormatting sqref="AQ22:AQ23">
    <cfRule type="expression" dxfId="1037" priority="2042">
      <formula>OR(IF(AQ22&lt;AR22,TRUE),IF(AND(AR22="",AQ22&lt;&gt;""),TRUE))</formula>
    </cfRule>
    <cfRule type="expression" dxfId="1036" priority="2043">
      <formula>IF(AQ22&gt;=AR22,IF(AQ22="",FALSE,TRUE))</formula>
    </cfRule>
  </conditionalFormatting>
  <conditionalFormatting sqref="AS22:AS23">
    <cfRule type="expression" dxfId="1035" priority="2040">
      <formula>OR(IF(AS22&lt;AT22,TRUE),IF(AND(AT22="",AS22&lt;&gt;""),TRUE))</formula>
    </cfRule>
    <cfRule type="expression" dxfId="1034" priority="2041">
      <formula>IF(AS22&gt;=AT22,IF(AS22="",FALSE,TRUE))</formula>
    </cfRule>
  </conditionalFormatting>
  <conditionalFormatting sqref="AS24:AS33">
    <cfRule type="expression" dxfId="1033" priority="2032">
      <formula>OR(IF(AS24&lt;AT24,TRUE),IF(AND(AT24="",AS24&lt;&gt;""),TRUE))</formula>
    </cfRule>
    <cfRule type="expression" dxfId="1032" priority="2033">
      <formula>IF(AS24&gt;=AT24,IF(AS24="",FALSE,TRUE))</formula>
    </cfRule>
  </conditionalFormatting>
  <conditionalFormatting sqref="AQ24:AQ33">
    <cfRule type="expression" dxfId="1031" priority="2034">
      <formula>OR(IF(AQ24&lt;AR24,TRUE),IF(AND(AR24="",AQ24&lt;&gt;""),TRUE))</formula>
    </cfRule>
    <cfRule type="expression" dxfId="1030" priority="2035">
      <formula>IF(AQ24&gt;=AR24,IF(AQ24="",FALSE,TRUE))</formula>
    </cfRule>
  </conditionalFormatting>
  <conditionalFormatting sqref="AX5:AX16">
    <cfRule type="expression" dxfId="1029" priority="2030">
      <formula>OR(IF(AX5&lt;AY5,TRUE),IF(AND(AY5="",AX5&lt;&gt;""),TRUE))</formula>
    </cfRule>
    <cfRule type="expression" dxfId="1028" priority="2031">
      <formula>IF(AX5&gt;=AY5,IF(AX5="",FALSE,TRUE))</formula>
    </cfRule>
  </conditionalFormatting>
  <conditionalFormatting sqref="AZ5:AZ16">
    <cfRule type="expression" dxfId="1027" priority="2028">
      <formula>OR(IF(AZ5&lt;BA5,TRUE),IF(AND(BA5="",AZ5&lt;&gt;""),TRUE))</formula>
    </cfRule>
    <cfRule type="expression" dxfId="1026" priority="2029">
      <formula>IF(AZ5&gt;=BA5,IF(AZ5="",FALSE,TRUE))</formula>
    </cfRule>
  </conditionalFormatting>
  <conditionalFormatting sqref="CB5:CB16">
    <cfRule type="expression" dxfId="1025" priority="1816">
      <formula>OR(IF(CB5&lt;CC5,TRUE),IF(AND(CC5="",CB5&lt;&gt;""),TRUE))</formula>
    </cfRule>
    <cfRule type="expression" dxfId="1024" priority="1817">
      <formula>IF(CB5&gt;=CC5,IF(CB5="",FALSE,TRUE))</formula>
    </cfRule>
  </conditionalFormatting>
  <conditionalFormatting sqref="BE24:BE33">
    <cfRule type="expression" dxfId="1023" priority="2002">
      <formula>OR(IF(BE24&lt;BF24,TRUE),IF(AND(BF24="",BE24&lt;&gt;""),TRUE))</formula>
    </cfRule>
    <cfRule type="expression" dxfId="1022" priority="2003">
      <formula>IF(BE24&gt;=BF24,IF(BE24="",FALSE,TRUE))</formula>
    </cfRule>
  </conditionalFormatting>
  <conditionalFormatting sqref="CI26:CI33">
    <cfRule type="expression" dxfId="1021" priority="1772">
      <formula>OR(IF(CI26&lt;CJ26,TRUE),IF(AND(CJ26="",CI26&lt;&gt;""),TRUE))</formula>
    </cfRule>
    <cfRule type="expression" dxfId="1020" priority="1773">
      <formula>IF(CI26&gt;=CJ26,IF(CI26="",FALSE,TRUE))</formula>
    </cfRule>
  </conditionalFormatting>
  <conditionalFormatting sqref="CG5:CG16">
    <cfRule type="expression" dxfId="1019" priority="1786">
      <formula>OR(IF(CG5&lt;CH5,TRUE),IF(AND(CH5="",CG5&lt;&gt;""),TRUE))</formula>
    </cfRule>
    <cfRule type="expression" dxfId="1018" priority="1787">
      <formula>IF(CG5&gt;=CH5,IF(CG5="",FALSE,TRUE))</formula>
    </cfRule>
  </conditionalFormatting>
  <conditionalFormatting sqref="CI5:CI16">
    <cfRule type="expression" dxfId="1017" priority="1784">
      <formula>OR(IF(CI5&lt;CJ5,TRUE),IF(AND(CJ5="",CI5&lt;&gt;""),TRUE))</formula>
    </cfRule>
    <cfRule type="expression" dxfId="1016" priority="1785">
      <formula>IF(CI5&gt;=CJ5,IF(CI5="",FALSE,TRUE))</formula>
    </cfRule>
  </conditionalFormatting>
  <conditionalFormatting sqref="CG26:CG33">
    <cfRule type="expression" dxfId="1015" priority="1774">
      <formula>OR(IF(CG26&lt;CH26,TRUE),IF(AND(CH26="",CG26&lt;&gt;""),TRUE))</formula>
    </cfRule>
    <cfRule type="expression" dxfId="1014" priority="1775">
      <formula>IF(CG26&gt;=CH26,IF(CG26="",FALSE,TRUE))</formula>
    </cfRule>
  </conditionalFormatting>
  <conditionalFormatting sqref="EK24:EK33">
    <cfRule type="expression" dxfId="1013" priority="1518">
      <formula>OR(IF(EK24&lt;EL24,TRUE),IF(AND(EL24="",EK24&lt;&gt;""),TRUE))</formula>
    </cfRule>
    <cfRule type="expression" dxfId="1012" priority="1519">
      <formula>IF(EK24&gt;=EL24,IF(EK24="",FALSE,TRUE))</formula>
    </cfRule>
  </conditionalFormatting>
  <conditionalFormatting sqref="EK5:EK16">
    <cfRule type="expression" dxfId="1011" priority="1530">
      <formula>OR(IF(EK5&lt;EL5,TRUE),IF(AND(EL5="",EK5&lt;&gt;""),TRUE))</formula>
    </cfRule>
    <cfRule type="expression" dxfId="1010" priority="1531">
      <formula>IF(EK5&gt;=EL5,IF(EK5="",FALSE,TRUE))</formula>
    </cfRule>
  </conditionalFormatting>
  <conditionalFormatting sqref="EM5:EM16">
    <cfRule type="expression" dxfId="1009" priority="1528">
      <formula>OR(IF(EM5&lt;EN5,TRUE),IF(AND(EN5="",EM5&lt;&gt;""),TRUE))</formula>
    </cfRule>
    <cfRule type="expression" dxfId="1008" priority="1529">
      <formula>IF(EM5&gt;=EN5,IF(EM5="",FALSE,TRUE))</formula>
    </cfRule>
  </conditionalFormatting>
  <conditionalFormatting sqref="EK22:EK23">
    <cfRule type="expression" dxfId="1007" priority="1526">
      <formula>OR(IF(EK22&lt;EL22,TRUE),IF(AND(EL22="",EK22&lt;&gt;""),TRUE))</formula>
    </cfRule>
    <cfRule type="expression" dxfId="1006" priority="1527">
      <formula>IF(EK22&gt;=EL22,IF(EK22="",FALSE,TRUE))</formula>
    </cfRule>
  </conditionalFormatting>
  <conditionalFormatting sqref="EM22:EM23">
    <cfRule type="expression" dxfId="1005" priority="1524">
      <formula>OR(IF(EM22&lt;EN22,TRUE),IF(AND(EN22="",EM22&lt;&gt;""),TRUE))</formula>
    </cfRule>
    <cfRule type="expression" dxfId="1004" priority="1525">
      <formula>IF(EM22&gt;=EN22,IF(EM22="",FALSE,TRUE))</formula>
    </cfRule>
  </conditionalFormatting>
  <conditionalFormatting sqref="EM24:EM33">
    <cfRule type="expression" dxfId="1003" priority="1516">
      <formula>OR(IF(EM24&lt;EN24,TRUE),IF(AND(EN24="",EM24&lt;&gt;""),TRUE))</formula>
    </cfRule>
    <cfRule type="expression" dxfId="1002" priority="1517">
      <formula>IF(EM24&gt;=EN24,IF(EM24="",FALSE,TRUE))</formula>
    </cfRule>
  </conditionalFormatting>
  <conditionalFormatting sqref="FM24:FM33">
    <cfRule type="expression" dxfId="1001" priority="1390">
      <formula>OR(IF(FM24&lt;FN24,TRUE),IF(AND(FN24="",FM24&lt;&gt;""),TRUE))</formula>
    </cfRule>
    <cfRule type="expression" dxfId="1000" priority="1391">
      <formula>IF(FM24&gt;=FN24,IF(FM24="",FALSE,TRUE))</formula>
    </cfRule>
  </conditionalFormatting>
  <conditionalFormatting sqref="FO24:FO33">
    <cfRule type="expression" dxfId="999" priority="1388">
      <formula>OR(IF(FO24&lt;FP24,TRUE),IF(AND(FP24="",FO24&lt;&gt;""),TRUE))</formula>
    </cfRule>
    <cfRule type="expression" dxfId="998" priority="1389">
      <formula>IF(FO24&gt;=FP24,IF(FO24="",FALSE,TRUE))</formula>
    </cfRule>
  </conditionalFormatting>
  <conditionalFormatting sqref="FM5:FM16">
    <cfRule type="expression" dxfId="997" priority="1402">
      <formula>OR(IF(FM5&lt;FN5,TRUE),IF(AND(FN5="",FM5&lt;&gt;""),TRUE))</formula>
    </cfRule>
    <cfRule type="expression" dxfId="996" priority="1403">
      <formula>IF(FM5&gt;=FN5,IF(FM5="",FALSE,TRUE))</formula>
    </cfRule>
  </conditionalFormatting>
  <conditionalFormatting sqref="FO5:FO16">
    <cfRule type="expression" dxfId="995" priority="1400">
      <formula>OR(IF(FO5&lt;FP5,TRUE),IF(AND(FP5="",FO5&lt;&gt;""),TRUE))</formula>
    </cfRule>
    <cfRule type="expression" dxfId="994" priority="1401">
      <formula>IF(FO5&gt;=FP5,IF(FO5="",FALSE,TRUE))</formula>
    </cfRule>
  </conditionalFormatting>
  <conditionalFormatting sqref="FM22:FM23">
    <cfRule type="expression" dxfId="993" priority="1398">
      <formula>OR(IF(FM22&lt;FN22,TRUE),IF(AND(FN22="",FM22&lt;&gt;""),TRUE))</formula>
    </cfRule>
    <cfRule type="expression" dxfId="992" priority="1399">
      <formula>IF(FM22&gt;=FN22,IF(FM22="",FALSE,TRUE))</formula>
    </cfRule>
  </conditionalFormatting>
  <conditionalFormatting sqref="FO22:FO23">
    <cfRule type="expression" dxfId="991" priority="1396">
      <formula>OR(IF(FO22&lt;FP22,TRUE),IF(AND(FP22="",FO22&lt;&gt;""),TRUE))</formula>
    </cfRule>
    <cfRule type="expression" dxfId="990" priority="1397">
      <formula>IF(FO22&gt;=FP22,IF(FO22="",FALSE,TRUE))</formula>
    </cfRule>
  </conditionalFormatting>
  <conditionalFormatting sqref="BL5:BL16">
    <cfRule type="expression" dxfId="989" priority="1882">
      <formula>OR(IF(BL5&lt;BM5,TRUE),IF(AND(BM5="",BL5&lt;&gt;""),TRUE))</formula>
    </cfRule>
    <cfRule type="expression" dxfId="988" priority="1883">
      <formula>IF(BL5&gt;=BM5,IF(BL5="",FALSE,TRUE))</formula>
    </cfRule>
  </conditionalFormatting>
  <conditionalFormatting sqref="BN5:BN16">
    <cfRule type="expression" dxfId="987" priority="1880">
      <formula>OR(IF(BN5&lt;BO5,TRUE),IF(AND(BO5="",BN5&lt;&gt;""),TRUE))</formula>
    </cfRule>
    <cfRule type="expression" dxfId="986" priority="1881">
      <formula>IF(BN5&gt;=BO5,IF(BN5="",FALSE,TRUE))</formula>
    </cfRule>
  </conditionalFormatting>
  <conditionalFormatting sqref="DB5:DB16">
    <cfRule type="expression" dxfId="985" priority="1690">
      <formula>OR(IF(DB5&lt;DC5,TRUE),IF(AND(DC5="",DB5&lt;&gt;""),TRUE))</formula>
    </cfRule>
    <cfRule type="expression" dxfId="984" priority="1691">
      <formula>IF(DB5&gt;=DC5,IF(DB5="",FALSE,TRUE))</formula>
    </cfRule>
  </conditionalFormatting>
  <conditionalFormatting sqref="BN25:BN33">
    <cfRule type="expression" dxfId="983" priority="1868">
      <formula>OR(IF(BN25&lt;BO25,TRUE),IF(AND(BO25="",BN25&lt;&gt;""),TRUE))</formula>
    </cfRule>
    <cfRule type="expression" dxfId="982" priority="1869">
      <formula>IF(BN25&gt;=BO25,IF(BN25="",FALSE,TRUE))</formula>
    </cfRule>
  </conditionalFormatting>
  <conditionalFormatting sqref="DD5:DD16">
    <cfRule type="expression" dxfId="981" priority="1688">
      <formula>OR(IF(DD5&lt;DE5,TRUE),IF(AND(DE5="",DD5&lt;&gt;""),TRUE))</formula>
    </cfRule>
    <cfRule type="expression" dxfId="980" priority="1689">
      <formula>IF(DD5&gt;=DE5,IF(DD5="",FALSE,TRUE))</formula>
    </cfRule>
  </conditionalFormatting>
  <conditionalFormatting sqref="BL25:BL33">
    <cfRule type="expression" dxfId="979" priority="1870">
      <formula>OR(IF(BL25&lt;BM25,TRUE),IF(AND(BM25="",BL25&lt;&gt;""),TRUE))</formula>
    </cfRule>
    <cfRule type="expression" dxfId="978" priority="1871">
      <formula>IF(BL25&gt;=BM25,IF(BL25="",FALSE,TRUE))</formula>
    </cfRule>
  </conditionalFormatting>
  <conditionalFormatting sqref="BS5:BS16">
    <cfRule type="expression" dxfId="977" priority="1850">
      <formula>OR(IF(BS5&lt;BT5,TRUE),IF(AND(BT5="",BS5&lt;&gt;""),TRUE))</formula>
    </cfRule>
    <cfRule type="expression" dxfId="976" priority="1851">
      <formula>IF(BS5&gt;=BT5,IF(BS5="",FALSE,TRUE))</formula>
    </cfRule>
  </conditionalFormatting>
  <conditionalFormatting sqref="BU5:BU16">
    <cfRule type="expression" dxfId="975" priority="1848">
      <formula>OR(IF(BU5&lt;BV5,TRUE),IF(AND(BV5="",BU5&lt;&gt;""),TRUE))</formula>
    </cfRule>
    <cfRule type="expression" dxfId="974" priority="1849">
      <formula>IF(BU5&gt;=BV5,IF(BU5="",FALSE,TRUE))</formula>
    </cfRule>
  </conditionalFormatting>
  <conditionalFormatting sqref="BU25:BU33">
    <cfRule type="expression" dxfId="973" priority="1836">
      <formula>OR(IF(BU25&lt;BV25,TRUE),IF(AND(BV25="",BU25&lt;&gt;""),TRUE))</formula>
    </cfRule>
    <cfRule type="expression" dxfId="972" priority="1837">
      <formula>IF(BU25&gt;=BV25,IF(BU25="",FALSE,TRUE))</formula>
    </cfRule>
  </conditionalFormatting>
  <conditionalFormatting sqref="BS25:BS33">
    <cfRule type="expression" dxfId="971" priority="1838">
      <formula>OR(IF(BS25&lt;BT25,TRUE),IF(AND(BT25="",BS25&lt;&gt;""),TRUE))</formula>
    </cfRule>
    <cfRule type="expression" dxfId="970" priority="1839">
      <formula>IF(BS25&gt;=BT25,IF(BS25="",FALSE,TRUE))</formula>
    </cfRule>
  </conditionalFormatting>
  <conditionalFormatting sqref="CB26:CB33">
    <cfRule type="expression" dxfId="969" priority="1804">
      <formula>OR(IF(CB26&lt;CC26,TRUE),IF(AND(CC26="",CB26&lt;&gt;""),TRUE))</formula>
    </cfRule>
    <cfRule type="expression" dxfId="968" priority="1805">
      <formula>IF(CB26&gt;=CC26,IF(CB26="",FALSE,TRUE))</formula>
    </cfRule>
  </conditionalFormatting>
  <conditionalFormatting sqref="BZ26:BZ33">
    <cfRule type="expression" dxfId="967" priority="1806">
      <formula>OR(IF(BZ26&lt;CA26,TRUE),IF(AND(CA26="",BZ26&lt;&gt;""),TRUE))</formula>
    </cfRule>
    <cfRule type="expression" dxfId="966" priority="1807">
      <formula>IF(BZ26&gt;=CA26,IF(BZ26="",FALSE,TRUE))</formula>
    </cfRule>
  </conditionalFormatting>
  <conditionalFormatting sqref="CN5:CN16">
    <cfRule type="expression" dxfId="965" priority="1754">
      <formula>OR(IF(CN5&lt;CO5,TRUE),IF(AND(CO5="",CN5&lt;&gt;""),TRUE))</formula>
    </cfRule>
    <cfRule type="expression" dxfId="964" priority="1755">
      <formula>IF(CN5&gt;=CO5,IF(CN5="",FALSE,TRUE))</formula>
    </cfRule>
  </conditionalFormatting>
  <conditionalFormatting sqref="CP5:CP16">
    <cfRule type="expression" dxfId="963" priority="1752">
      <formula>OR(IF(CP5&lt;CQ5,TRUE),IF(AND(CQ5="",CP5&lt;&gt;""),TRUE))</formula>
    </cfRule>
    <cfRule type="expression" dxfId="962" priority="1753">
      <formula>IF(CP5&gt;=CQ5,IF(CP5="",FALSE,TRUE))</formula>
    </cfRule>
  </conditionalFormatting>
  <conditionalFormatting sqref="CP27:CP33">
    <cfRule type="expression" dxfId="961" priority="1740">
      <formula>OR(IF(CP27&lt;CQ27,TRUE),IF(AND(CQ27="",CP27&lt;&gt;""),TRUE))</formula>
    </cfRule>
    <cfRule type="expression" dxfId="960" priority="1741">
      <formula>IF(CP27&gt;=CQ27,IF(CP27="",FALSE,TRUE))</formula>
    </cfRule>
  </conditionalFormatting>
  <conditionalFormatting sqref="CN27:CN33">
    <cfRule type="expression" dxfId="959" priority="1742">
      <formula>OR(IF(CN27&lt;CO27,TRUE),IF(AND(CO27="",CN27&lt;&gt;""),TRUE))</formula>
    </cfRule>
    <cfRule type="expression" dxfId="958" priority="1743">
      <formula>IF(CN27&gt;=CO27,IF(CN27="",FALSE,TRUE))</formula>
    </cfRule>
  </conditionalFormatting>
  <conditionalFormatting sqref="CU5:CU16">
    <cfRule type="expression" dxfId="957" priority="1722">
      <formula>OR(IF(CU5&lt;CV5,TRUE),IF(AND(CV5="",CU5&lt;&gt;""),TRUE))</formula>
    </cfRule>
    <cfRule type="expression" dxfId="956" priority="1723">
      <formula>IF(CU5&gt;=CV5,IF(CU5="",FALSE,TRUE))</formula>
    </cfRule>
  </conditionalFormatting>
  <conditionalFormatting sqref="CW5:CW16">
    <cfRule type="expression" dxfId="955" priority="1720">
      <formula>OR(IF(CW5&lt;CX5,TRUE),IF(AND(CX5="",CW5&lt;&gt;""),TRUE))</formula>
    </cfRule>
    <cfRule type="expression" dxfId="954" priority="1721">
      <formula>IF(CW5&gt;=CX5,IF(CW5="",FALSE,TRUE))</formula>
    </cfRule>
  </conditionalFormatting>
  <conditionalFormatting sqref="CW27:CW33">
    <cfRule type="expression" dxfId="953" priority="1708">
      <formula>OR(IF(CW27&lt;CX27,TRUE),IF(AND(CX27="",CW27&lt;&gt;""),TRUE))</formula>
    </cfRule>
    <cfRule type="expression" dxfId="952" priority="1709">
      <formula>IF(CW27&gt;=CX27,IF(CW27="",FALSE,TRUE))</formula>
    </cfRule>
  </conditionalFormatting>
  <conditionalFormatting sqref="CU27:CU33">
    <cfRule type="expression" dxfId="951" priority="1710">
      <formula>OR(IF(CU27&lt;CV27,TRUE),IF(AND(CV27="",CU27&lt;&gt;""),TRUE))</formula>
    </cfRule>
    <cfRule type="expression" dxfId="950" priority="1711">
      <formula>IF(CU27&gt;=CV27,IF(CU27="",FALSE,TRUE))</formula>
    </cfRule>
  </conditionalFormatting>
  <conditionalFormatting sqref="AE17:AE19">
    <cfRule type="expression" dxfId="949" priority="1295">
      <formula>OR(IF(AE17&lt;AF17,TRUE),IF(AND(AF17="",AE17&lt;&gt;""),TRUE))</formula>
    </cfRule>
    <cfRule type="expression" dxfId="948" priority="1296">
      <formula>IF(AE17&gt;=AF17,IF(AE17="",FALSE,TRUE))</formula>
    </cfRule>
  </conditionalFormatting>
  <conditionalFormatting sqref="AJ17:AJ19">
    <cfRule type="expression" dxfId="947" priority="1293">
      <formula>OR(IF(AJ17&lt;AK17,TRUE),IF(AND(AK17="",AJ17&lt;&gt;""),TRUE))</formula>
    </cfRule>
    <cfRule type="expression" dxfId="946" priority="1294">
      <formula>IF(AJ17&gt;=AK17,IF(AJ17="",FALSE,TRUE))</formula>
    </cfRule>
  </conditionalFormatting>
  <conditionalFormatting sqref="AL85:AL93">
    <cfRule type="expression" dxfId="945" priority="1190">
      <formula>OR(IF(AL85&lt;AM85,TRUE),IF(AND(AM85="",AL85&lt;&gt;""),TRUE))</formula>
    </cfRule>
    <cfRule type="expression" dxfId="944" priority="1191">
      <formula>IF(AL85&gt;=AM85,IF(AL85="",FALSE,TRUE))</formula>
    </cfRule>
  </conditionalFormatting>
  <conditionalFormatting sqref="AQ85:AQ93">
    <cfRule type="expression" dxfId="943" priority="1188">
      <formula>OR(IF(AQ85&lt;AR85,TRUE),IF(AND(AR85="",AQ85&lt;&gt;""),TRUE))</formula>
    </cfRule>
    <cfRule type="expression" dxfId="942" priority="1189">
      <formula>IF(AQ85&gt;=AR85,IF(AQ85="",FALSE,TRUE))</formula>
    </cfRule>
  </conditionalFormatting>
  <conditionalFormatting sqref="DD28:DD33">
    <cfRule type="expression" dxfId="941" priority="1676">
      <formula>OR(IF(DD28&lt;DE28,TRUE),IF(AND(DE28="",DD28&lt;&gt;""),TRUE))</formula>
    </cfRule>
    <cfRule type="expression" dxfId="940" priority="1677">
      <formula>IF(DD28&gt;=DE28,IF(DD28="",FALSE,TRUE))</formula>
    </cfRule>
  </conditionalFormatting>
  <conditionalFormatting sqref="DB28:DB33">
    <cfRule type="expression" dxfId="939" priority="1678">
      <formula>OR(IF(DB28&lt;DC28,TRUE),IF(AND(DC28="",DB28&lt;&gt;""),TRUE))</formula>
    </cfRule>
    <cfRule type="expression" dxfId="938" priority="1679">
      <formula>IF(DB28&gt;=DC28,IF(DB28="",FALSE,TRUE))</formula>
    </cfRule>
  </conditionalFormatting>
  <conditionalFormatting sqref="CI17:CI19">
    <cfRule type="expression" dxfId="937" priority="1263">
      <formula>OR(IF(CI17&lt;CJ17,TRUE),IF(AND(CJ17="",CI17&lt;&gt;""),TRUE))</formula>
    </cfRule>
    <cfRule type="expression" dxfId="936" priority="1264">
      <formula>IF(CI17&gt;=CJ17,IF(CI17="",FALSE,TRUE))</formula>
    </cfRule>
  </conditionalFormatting>
  <conditionalFormatting sqref="CN17:CN19">
    <cfRule type="expression" dxfId="935" priority="1261">
      <formula>OR(IF(CN17&lt;CO17,TRUE),IF(AND(CO17="",CN17&lt;&gt;""),TRUE))</formula>
    </cfRule>
    <cfRule type="expression" dxfId="934" priority="1262">
      <formula>IF(CN17&gt;=CO17,IF(CN17="",FALSE,TRUE))</formula>
    </cfRule>
  </conditionalFormatting>
  <conditionalFormatting sqref="CP85:CP93">
    <cfRule type="expression" dxfId="933" priority="1158">
      <formula>OR(IF(CP85&lt;CQ85,TRUE),IF(AND(CQ85="",CP85&lt;&gt;""),TRUE))</formula>
    </cfRule>
    <cfRule type="expression" dxfId="932" priority="1159">
      <formula>IF(CP85&gt;=CQ85,IF(CP85="",FALSE,TRUE))</formula>
    </cfRule>
  </conditionalFormatting>
  <conditionalFormatting sqref="CU85:CU93">
    <cfRule type="expression" dxfId="931" priority="1156">
      <formula>OR(IF(CU85&lt;CV85,TRUE),IF(AND(CV85="",CU85&lt;&gt;""),TRUE))</formula>
    </cfRule>
    <cfRule type="expression" dxfId="930" priority="1157">
      <formula>IF(CU85&gt;=CV85,IF(CU85="",FALSE,TRUE))</formula>
    </cfRule>
  </conditionalFormatting>
  <conditionalFormatting sqref="DI5:DI16">
    <cfRule type="expression" dxfId="929" priority="1658">
      <formula>OR(IF(DI5&lt;DJ5,TRUE),IF(AND(DJ5="",DI5&lt;&gt;""),TRUE))</formula>
    </cfRule>
    <cfRule type="expression" dxfId="928" priority="1659">
      <formula>IF(DI5&gt;=DJ5,IF(DI5="",FALSE,TRUE))</formula>
    </cfRule>
  </conditionalFormatting>
  <conditionalFormatting sqref="DK5:DK16">
    <cfRule type="expression" dxfId="927" priority="1656">
      <formula>OR(IF(DK5&lt;DL5,TRUE),IF(AND(DL5="",DK5&lt;&gt;""),TRUE))</formula>
    </cfRule>
    <cfRule type="expression" dxfId="926" priority="1657">
      <formula>IF(DK5&gt;=DL5,IF(DK5="",FALSE,TRUE))</formula>
    </cfRule>
  </conditionalFormatting>
  <conditionalFormatting sqref="DK28:DK33">
    <cfRule type="expression" dxfId="925" priority="1644">
      <formula>OR(IF(DK28&lt;DL28,TRUE),IF(AND(DL28="",DK28&lt;&gt;""),TRUE))</formula>
    </cfRule>
    <cfRule type="expression" dxfId="924" priority="1645">
      <formula>IF(DK28&gt;=DL28,IF(DK28="",FALSE,TRUE))</formula>
    </cfRule>
  </conditionalFormatting>
  <conditionalFormatting sqref="DI28:DI33">
    <cfRule type="expression" dxfId="923" priority="1646">
      <formula>OR(IF(DI28&lt;DJ28,TRUE),IF(AND(DJ28="",DI28&lt;&gt;""),TRUE))</formula>
    </cfRule>
    <cfRule type="expression" dxfId="922" priority="1647">
      <formula>IF(DI28&gt;=DJ28,IF(DI28="",FALSE,TRUE))</formula>
    </cfRule>
  </conditionalFormatting>
  <conditionalFormatting sqref="EM17:EM19">
    <cfRule type="expression" dxfId="921" priority="1231">
      <formula>OR(IF(EM17&lt;EN17,TRUE),IF(AND(EN17="",EM17&lt;&gt;""),TRUE))</formula>
    </cfRule>
    <cfRule type="expression" dxfId="920" priority="1232">
      <formula>IF(EM17&gt;=EN17,IF(EM17="",FALSE,TRUE))</formula>
    </cfRule>
  </conditionalFormatting>
  <conditionalFormatting sqref="ER17:ER19">
    <cfRule type="expression" dxfId="919" priority="1229">
      <formula>OR(IF(ER17&lt;ES17,TRUE),IF(AND(ES17="",ER17&lt;&gt;""),TRUE))</formula>
    </cfRule>
    <cfRule type="expression" dxfId="918" priority="1230">
      <formula>IF(ER17&gt;=ES17,IF(ER17="",FALSE,TRUE))</formula>
    </cfRule>
  </conditionalFormatting>
  <conditionalFormatting sqref="ET85:ET93">
    <cfRule type="expression" dxfId="917" priority="1126">
      <formula>OR(IF(ET85&lt;EU85,TRUE),IF(AND(EU85="",ET85&lt;&gt;""),TRUE))</formula>
    </cfRule>
    <cfRule type="expression" dxfId="916" priority="1127">
      <formula>IF(ET85&gt;=EU85,IF(ET85="",FALSE,TRUE))</formula>
    </cfRule>
  </conditionalFormatting>
  <conditionalFormatting sqref="EY85:EY93">
    <cfRule type="expression" dxfId="915" priority="1124">
      <formula>OR(IF(EY85&lt;EZ85,TRUE),IF(AND(EZ85="",EY85&lt;&gt;""),TRUE))</formula>
    </cfRule>
    <cfRule type="expression" dxfId="914" priority="1125">
      <formula>IF(EY85&gt;=EZ85,IF(EY85="",FALSE,TRUE))</formula>
    </cfRule>
  </conditionalFormatting>
  <conditionalFormatting sqref="DP5:DP16">
    <cfRule type="expression" dxfId="913" priority="1626">
      <formula>OR(IF(DP5&lt;DQ5,TRUE),IF(AND(DQ5="",DP5&lt;&gt;""),TRUE))</formula>
    </cfRule>
    <cfRule type="expression" dxfId="912" priority="1627">
      <formula>IF(DP5&gt;=DQ5,IF(DP5="",FALSE,TRUE))</formula>
    </cfRule>
  </conditionalFormatting>
  <conditionalFormatting sqref="DR5:DR16">
    <cfRule type="expression" dxfId="911" priority="1624">
      <formula>OR(IF(DR5&lt;DS5,TRUE),IF(AND(DS5="",DR5&lt;&gt;""),TRUE))</formula>
    </cfRule>
    <cfRule type="expression" dxfId="910" priority="1625">
      <formula>IF(DR5&gt;=DS5,IF(DR5="",FALSE,TRUE))</formula>
    </cfRule>
  </conditionalFormatting>
  <conditionalFormatting sqref="DR29:DR33">
    <cfRule type="expression" dxfId="909" priority="1612">
      <formula>OR(IF(DR29&lt;DS29,TRUE),IF(AND(DS29="",DR29&lt;&gt;""),TRUE))</formula>
    </cfRule>
    <cfRule type="expression" dxfId="908" priority="1613">
      <formula>IF(DR29&gt;=DS29,IF(DR29="",FALSE,TRUE))</formula>
    </cfRule>
  </conditionalFormatting>
  <conditionalFormatting sqref="DP29:DP33">
    <cfRule type="expression" dxfId="907" priority="1614">
      <formula>OR(IF(DP29&lt;DQ29,TRUE),IF(AND(DQ29="",DP29&lt;&gt;""),TRUE))</formula>
    </cfRule>
    <cfRule type="expression" dxfId="906" priority="1615">
      <formula>IF(DP29&gt;=DQ29,IF(DP29="",FALSE,TRUE))</formula>
    </cfRule>
  </conditionalFormatting>
  <conditionalFormatting sqref="DW5:DW16">
    <cfRule type="expression" dxfId="905" priority="1594">
      <formula>OR(IF(DW5&lt;DX5,TRUE),IF(AND(DX5="",DW5&lt;&gt;""),TRUE))</formula>
    </cfRule>
    <cfRule type="expression" dxfId="904" priority="1595">
      <formula>IF(DW5&gt;=DX5,IF(DW5="",FALSE,TRUE))</formula>
    </cfRule>
  </conditionalFormatting>
  <conditionalFormatting sqref="DY5:DY16">
    <cfRule type="expression" dxfId="903" priority="1592">
      <formula>OR(IF(DY5&lt;DZ5,TRUE),IF(AND(DZ5="",DY5&lt;&gt;""),TRUE))</formula>
    </cfRule>
    <cfRule type="expression" dxfId="902" priority="1593">
      <formula>IF(DY5&gt;=DZ5,IF(DY5="",FALSE,TRUE))</formula>
    </cfRule>
  </conditionalFormatting>
  <conditionalFormatting sqref="DY29:DY33">
    <cfRule type="expression" dxfId="901" priority="1580">
      <formula>OR(IF(DY29&lt;DZ29,TRUE),IF(AND(DZ29="",DY29&lt;&gt;""),TRUE))</formula>
    </cfRule>
    <cfRule type="expression" dxfId="900" priority="1581">
      <formula>IF(DY29&gt;=DZ29,IF(DY29="",FALSE,TRUE))</formula>
    </cfRule>
  </conditionalFormatting>
  <conditionalFormatting sqref="DW29:DW33">
    <cfRule type="expression" dxfId="899" priority="1582">
      <formula>OR(IF(DW29&lt;DX29,TRUE),IF(AND(DX29="",DW29&lt;&gt;""),TRUE))</formula>
    </cfRule>
    <cfRule type="expression" dxfId="898" priority="1583">
      <formula>IF(DW29&gt;=DX29,IF(DW29="",FALSE,TRUE))</formula>
    </cfRule>
  </conditionalFormatting>
  <conditionalFormatting sqref="ED5:ED16">
    <cfRule type="expression" dxfId="897" priority="1562">
      <formula>OR(IF(ED5&lt;EE5,TRUE),IF(AND(EE5="",ED5&lt;&gt;""),TRUE))</formula>
    </cfRule>
    <cfRule type="expression" dxfId="896" priority="1563">
      <formula>IF(ED5&gt;=EE5,IF(ED5="",FALSE,TRUE))</formula>
    </cfRule>
  </conditionalFormatting>
  <conditionalFormatting sqref="EF5:EF16">
    <cfRule type="expression" dxfId="895" priority="1560">
      <formula>OR(IF(EF5&lt;EG5,TRUE),IF(AND(EG5="",EF5&lt;&gt;""),TRUE))</formula>
    </cfRule>
    <cfRule type="expression" dxfId="894" priority="1561">
      <formula>IF(EF5&gt;=EG5,IF(EF5="",FALSE,TRUE))</formula>
    </cfRule>
  </conditionalFormatting>
  <conditionalFormatting sqref="EF30:EF33">
    <cfRule type="expression" dxfId="893" priority="1548">
      <formula>OR(IF(EF30&lt;EG30,TRUE),IF(AND(EG30="",EF30&lt;&gt;""),TRUE))</formula>
    </cfRule>
    <cfRule type="expression" dxfId="892" priority="1549">
      <formula>IF(EF30&gt;=EG30,IF(EF30="",FALSE,TRUE))</formula>
    </cfRule>
  </conditionalFormatting>
  <conditionalFormatting sqref="ED30:ED33">
    <cfRule type="expression" dxfId="891" priority="1550">
      <formula>OR(IF(ED30&lt;EE30,TRUE),IF(AND(EE30="",ED30&lt;&gt;""),TRUE))</formula>
    </cfRule>
    <cfRule type="expression" dxfId="890" priority="1551">
      <formula>IF(ED30&gt;=EE30,IF(ED30="",FALSE,TRUE))</formula>
    </cfRule>
  </conditionalFormatting>
  <conditionalFormatting sqref="V58:V68">
    <cfRule type="expression" dxfId="889" priority="998">
      <formula>OR(IF(V58&lt;W58,TRUE),IF(AND(W58="",V58&lt;&gt;""),TRUE))</formula>
    </cfRule>
    <cfRule type="expression" dxfId="888" priority="999">
      <formula>IF(V58&gt;=W58,IF(V58="",FALSE,TRUE))</formula>
    </cfRule>
  </conditionalFormatting>
  <conditionalFormatting sqref="X58:X68">
    <cfRule type="expression" dxfId="887" priority="996">
      <formula>OR(IF(X58&lt;Y58,TRUE),IF(AND(Y58="",X58&lt;&gt;""),TRUE))</formula>
    </cfRule>
    <cfRule type="expression" dxfId="886" priority="997">
      <formula>IF(X58&gt;=Y58,IF(X58="",FALSE,TRUE))</formula>
    </cfRule>
  </conditionalFormatting>
  <conditionalFormatting sqref="ER5:ER16">
    <cfRule type="expression" dxfId="885" priority="1498">
      <formula>OR(IF(ER5&lt;ES5,TRUE),IF(AND(ES5="",ER5&lt;&gt;""),TRUE))</formula>
    </cfRule>
    <cfRule type="expression" dxfId="884" priority="1499">
      <formula>IF(ER5&gt;=ES5,IF(ER5="",FALSE,TRUE))</formula>
    </cfRule>
  </conditionalFormatting>
  <conditionalFormatting sqref="ET5:ET16">
    <cfRule type="expression" dxfId="883" priority="1496">
      <formula>OR(IF(ET5&lt;EU5,TRUE),IF(AND(EU5="",ET5&lt;&gt;""),TRUE))</formula>
    </cfRule>
    <cfRule type="expression" dxfId="882" priority="1497">
      <formula>IF(ET5&gt;=EU5,IF(ET5="",FALSE,TRUE))</formula>
    </cfRule>
  </conditionalFormatting>
  <conditionalFormatting sqref="ER22:ER23">
    <cfRule type="expression" dxfId="881" priority="1494">
      <formula>OR(IF(ER22&lt;ES22,TRUE),IF(AND(ES22="",ER22&lt;&gt;""),TRUE))</formula>
    </cfRule>
    <cfRule type="expression" dxfId="880" priority="1495">
      <formula>IF(ER22&gt;=ES22,IF(ER22="",FALSE,TRUE))</formula>
    </cfRule>
  </conditionalFormatting>
  <conditionalFormatting sqref="ET24:ET33">
    <cfRule type="expression" dxfId="879" priority="1484">
      <formula>OR(IF(ET24&lt;EU24,TRUE),IF(AND(EU24="",ET24&lt;&gt;""),TRUE))</formula>
    </cfRule>
    <cfRule type="expression" dxfId="878" priority="1485">
      <formula>IF(ET24&gt;=EU24,IF(ET24="",FALSE,TRUE))</formula>
    </cfRule>
  </conditionalFormatting>
  <conditionalFormatting sqref="ET22:ET23">
    <cfRule type="expression" dxfId="877" priority="1492">
      <formula>OR(IF(ET22&lt;EU22,TRUE),IF(AND(EU22="",ET22&lt;&gt;""),TRUE))</formula>
    </cfRule>
    <cfRule type="expression" dxfId="876" priority="1493">
      <formula>IF(ET22&gt;=EU22,IF(ET22="",FALSE,TRUE))</formula>
    </cfRule>
  </conditionalFormatting>
  <conditionalFormatting sqref="ER24:ER33">
    <cfRule type="expression" dxfId="875" priority="1486">
      <formula>OR(IF(ER24&lt;ES24,TRUE),IF(AND(ES24="",ER24&lt;&gt;""),TRUE))</formula>
    </cfRule>
    <cfRule type="expression" dxfId="874" priority="1487">
      <formula>IF(ER24&gt;=ES24,IF(ER24="",FALSE,TRUE))</formula>
    </cfRule>
  </conditionalFormatting>
  <conditionalFormatting sqref="BE17:BE19">
    <cfRule type="expression" dxfId="873" priority="1281">
      <formula>OR(IF(BE17&lt;BF17,TRUE),IF(AND(BF17="",BE17&lt;&gt;""),TRUE))</formula>
    </cfRule>
    <cfRule type="expression" dxfId="872" priority="1282">
      <formula>IF(BE17&gt;=BF17,IF(BE17="",FALSE,TRUE))</formula>
    </cfRule>
  </conditionalFormatting>
  <conditionalFormatting sqref="BG17:BG19">
    <cfRule type="expression" dxfId="871" priority="1279">
      <formula>OR(IF(BG17&lt;BH17,TRUE),IF(AND(BH17="",BG17&lt;&gt;""),TRUE))</formula>
    </cfRule>
    <cfRule type="expression" dxfId="870" priority="1280">
      <formula>IF(BG17&gt;=BH17,IF(BG17="",FALSE,TRUE))</formula>
    </cfRule>
  </conditionalFormatting>
  <conditionalFormatting sqref="BZ58:BZ68">
    <cfRule type="expression" dxfId="869" priority="966">
      <formula>OR(IF(BZ58&lt;CA58,TRUE),IF(AND(CA58="",BZ58&lt;&gt;""),TRUE))</formula>
    </cfRule>
    <cfRule type="expression" dxfId="868" priority="967">
      <formula>IF(BZ58&gt;=CA58,IF(BZ58="",FALSE,TRUE))</formula>
    </cfRule>
  </conditionalFormatting>
  <conditionalFormatting sqref="CB58:CB68">
    <cfRule type="expression" dxfId="867" priority="964">
      <formula>OR(IF(CB58&lt;CC58,TRUE),IF(AND(CC58="",CB58&lt;&gt;""),TRUE))</formula>
    </cfRule>
    <cfRule type="expression" dxfId="866" priority="965">
      <formula>IF(CB58&gt;=CC58,IF(CB58="",FALSE,TRUE))</formula>
    </cfRule>
  </conditionalFormatting>
  <conditionalFormatting sqref="EY5:EY16">
    <cfRule type="expression" dxfId="865" priority="1466">
      <formula>OR(IF(EY5&lt;EZ5,TRUE),IF(AND(EZ5="",EY5&lt;&gt;""),TRUE))</formula>
    </cfRule>
    <cfRule type="expression" dxfId="864" priority="1467">
      <formula>IF(EY5&gt;=EZ5,IF(EY5="",FALSE,TRUE))</formula>
    </cfRule>
  </conditionalFormatting>
  <conditionalFormatting sqref="FA5:FA16">
    <cfRule type="expression" dxfId="863" priority="1464">
      <formula>OR(IF(FA5&lt;FB5,TRUE),IF(AND(FB5="",FA5&lt;&gt;""),TRUE))</formula>
    </cfRule>
    <cfRule type="expression" dxfId="862" priority="1465">
      <formula>IF(FA5&gt;=FB5,IF(FA5="",FALSE,TRUE))</formula>
    </cfRule>
  </conditionalFormatting>
  <conditionalFormatting sqref="EY22:EY23">
    <cfRule type="expression" dxfId="861" priority="1462">
      <formula>OR(IF(EY22&lt;EZ22,TRUE),IF(AND(EZ22="",EY22&lt;&gt;""),TRUE))</formula>
    </cfRule>
    <cfRule type="expression" dxfId="860" priority="1463">
      <formula>IF(EY22&gt;=EZ22,IF(EY22="",FALSE,TRUE))</formula>
    </cfRule>
  </conditionalFormatting>
  <conditionalFormatting sqref="FA24:FA33">
    <cfRule type="expression" dxfId="859" priority="1452">
      <formula>OR(IF(FA24&lt;FB24,TRUE),IF(AND(FB24="",FA24&lt;&gt;""),TRUE))</formula>
    </cfRule>
    <cfRule type="expression" dxfId="858" priority="1453">
      <formula>IF(FA24&gt;=FB24,IF(FA24="",FALSE,TRUE))</formula>
    </cfRule>
  </conditionalFormatting>
  <conditionalFormatting sqref="FA22:FA23">
    <cfRule type="expression" dxfId="857" priority="1460">
      <formula>OR(IF(FA22&lt;FB22,TRUE),IF(AND(FB22="",FA22&lt;&gt;""),TRUE))</formula>
    </cfRule>
    <cfRule type="expression" dxfId="856" priority="1461">
      <formula>IF(FA22&gt;=FB22,IF(FA22="",FALSE,TRUE))</formula>
    </cfRule>
  </conditionalFormatting>
  <conditionalFormatting sqref="EY24:EY33">
    <cfRule type="expression" dxfId="855" priority="1454">
      <formula>OR(IF(EY24&lt;EZ24,TRUE),IF(AND(EZ24="",EY24&lt;&gt;""),TRUE))</formula>
    </cfRule>
    <cfRule type="expression" dxfId="854" priority="1455">
      <formula>IF(EY24&gt;=EZ24,IF(EY24="",FALSE,TRUE))</formula>
    </cfRule>
  </conditionalFormatting>
  <conditionalFormatting sqref="DI17:DI19">
    <cfRule type="expression" dxfId="853" priority="1249">
      <formula>OR(IF(DI17&lt;DJ17,TRUE),IF(AND(DJ17="",DI17&lt;&gt;""),TRUE))</formula>
    </cfRule>
    <cfRule type="expression" dxfId="852" priority="1250">
      <formula>IF(DI17&gt;=DJ17,IF(DI17="",FALSE,TRUE))</formula>
    </cfRule>
  </conditionalFormatting>
  <conditionalFormatting sqref="DK17:DK19">
    <cfRule type="expression" dxfId="851" priority="1247">
      <formula>OR(IF(DK17&lt;DL17,TRUE),IF(AND(DL17="",DK17&lt;&gt;""),TRUE))</formula>
    </cfRule>
    <cfRule type="expression" dxfId="850" priority="1248">
      <formula>IF(DK17&gt;=DL17,IF(DK17="",FALSE,TRUE))</formula>
    </cfRule>
  </conditionalFormatting>
  <conditionalFormatting sqref="ED58:ED68">
    <cfRule type="expression" dxfId="849" priority="934">
      <formula>OR(IF(ED58&lt;EE58,TRUE),IF(AND(EE58="",ED58&lt;&gt;""),TRUE))</formula>
    </cfRule>
    <cfRule type="expression" dxfId="848" priority="935">
      <formula>IF(ED58&gt;=EE58,IF(ED58="",FALSE,TRUE))</formula>
    </cfRule>
  </conditionalFormatting>
  <conditionalFormatting sqref="EF58:EF68">
    <cfRule type="expression" dxfId="847" priority="932">
      <formula>OR(IF(EF58&lt;EG58,TRUE),IF(AND(EG58="",EF58&lt;&gt;""),TRUE))</formula>
    </cfRule>
    <cfRule type="expression" dxfId="846" priority="933">
      <formula>IF(EF58&gt;=EG58,IF(EF58="",FALSE,TRUE))</formula>
    </cfRule>
  </conditionalFormatting>
  <conditionalFormatting sqref="FF5:FF16">
    <cfRule type="expression" dxfId="845" priority="1434">
      <formula>OR(IF(FF5&lt;FG5,TRUE),IF(AND(FG5="",FF5&lt;&gt;""),TRUE))</formula>
    </cfRule>
    <cfRule type="expression" dxfId="844" priority="1435">
      <formula>IF(FF5&gt;=FG5,IF(FF5="",FALSE,TRUE))</formula>
    </cfRule>
  </conditionalFormatting>
  <conditionalFormatting sqref="FH5:FH16">
    <cfRule type="expression" dxfId="843" priority="1432">
      <formula>OR(IF(FH5&lt;FI5,TRUE),IF(AND(FI5="",FH5&lt;&gt;""),TRUE))</formula>
    </cfRule>
    <cfRule type="expression" dxfId="842" priority="1433">
      <formula>IF(FH5&gt;=FI5,IF(FH5="",FALSE,TRUE))</formula>
    </cfRule>
  </conditionalFormatting>
  <conditionalFormatting sqref="FF22:FF23">
    <cfRule type="expression" dxfId="841" priority="1430">
      <formula>OR(IF(FF22&lt;FG22,TRUE),IF(AND(FG22="",FF22&lt;&gt;""),TRUE))</formula>
    </cfRule>
    <cfRule type="expression" dxfId="840" priority="1431">
      <formula>IF(FF22&gt;=FG22,IF(FF22="",FALSE,TRUE))</formula>
    </cfRule>
  </conditionalFormatting>
  <conditionalFormatting sqref="FH24:FH33">
    <cfRule type="expression" dxfId="839" priority="1420">
      <formula>OR(IF(FH24&lt;FI24,TRUE),IF(AND(FI24="",FH24&lt;&gt;""),TRUE))</formula>
    </cfRule>
    <cfRule type="expression" dxfId="838" priority="1421">
      <formula>IF(FH24&gt;=FI24,IF(FH24="",FALSE,TRUE))</formula>
    </cfRule>
  </conditionalFormatting>
  <conditionalFormatting sqref="FH22:FH23">
    <cfRule type="expression" dxfId="837" priority="1428">
      <formula>OR(IF(FH22&lt;FI22,TRUE),IF(AND(FI22="",FH22&lt;&gt;""),TRUE))</formula>
    </cfRule>
    <cfRule type="expression" dxfId="836" priority="1429">
      <formula>IF(FH22&gt;=FI22,IF(FH22="",FALSE,TRUE))</formula>
    </cfRule>
  </conditionalFormatting>
  <conditionalFormatting sqref="FF24:FF33">
    <cfRule type="expression" dxfId="835" priority="1422">
      <formula>OR(IF(FF24&lt;FG24,TRUE),IF(AND(FG24="",FF24&lt;&gt;""),TRUE))</formula>
    </cfRule>
    <cfRule type="expression" dxfId="834" priority="1423">
      <formula>IF(FF24&gt;=FG24,IF(FF24="",FALSE,TRUE))</formula>
    </cfRule>
  </conditionalFormatting>
  <conditionalFormatting sqref="FM17:FM19">
    <cfRule type="expression" dxfId="833" priority="1217">
      <formula>OR(IF(FM17&lt;FN17,TRUE),IF(AND(FN17="",FM17&lt;&gt;""),TRUE))</formula>
    </cfRule>
    <cfRule type="expression" dxfId="832" priority="1218">
      <formula>IF(FM17&gt;=FN17,IF(FM17="",FALSE,TRUE))</formula>
    </cfRule>
  </conditionalFormatting>
  <conditionalFormatting sqref="FO17:FO19">
    <cfRule type="expression" dxfId="831" priority="1215">
      <formula>OR(IF(FO17&lt;FP17,TRUE),IF(AND(FP17="",FO17&lt;&gt;""),TRUE))</formula>
    </cfRule>
    <cfRule type="expression" dxfId="830" priority="1216">
      <formula>IF(FO17&gt;=FP17,IF(FO17="",FALSE,TRUE))</formula>
    </cfRule>
  </conditionalFormatting>
  <conditionalFormatting sqref="FT5:FT16">
    <cfRule type="expression" dxfId="829" priority="1370">
      <formula>OR(IF(FT5&lt;FU5,TRUE),IF(AND(FU5="",FT5&lt;&gt;""),TRUE))</formula>
    </cfRule>
    <cfRule type="expression" dxfId="828" priority="1371">
      <formula>IF(FT5&gt;=FU5,IF(FT5="",FALSE,TRUE))</formula>
    </cfRule>
  </conditionalFormatting>
  <conditionalFormatting sqref="FV5:FV16">
    <cfRule type="expression" dxfId="827" priority="1368">
      <formula>OR(IF(FV5&lt;FW5,TRUE),IF(AND(FW5="",FV5&lt;&gt;""),TRUE))</formula>
    </cfRule>
    <cfRule type="expression" dxfId="826" priority="1369">
      <formula>IF(FV5&gt;=FW5,IF(FV5="",FALSE,TRUE))</formula>
    </cfRule>
  </conditionalFormatting>
  <conditionalFormatting sqref="FT22:FT23">
    <cfRule type="expression" dxfId="825" priority="1366">
      <formula>OR(IF(FT22&lt;FU22,TRUE),IF(AND(FU22="",FT22&lt;&gt;""),TRUE))</formula>
    </cfRule>
    <cfRule type="expression" dxfId="824" priority="1367">
      <formula>IF(FT22&gt;=FU22,IF(FT22="",FALSE,TRUE))</formula>
    </cfRule>
  </conditionalFormatting>
  <conditionalFormatting sqref="FV24:FV33">
    <cfRule type="expression" dxfId="823" priority="1356">
      <formula>OR(IF(FV24&lt;FW24,TRUE),IF(AND(FW24="",FV24&lt;&gt;""),TRUE))</formula>
    </cfRule>
    <cfRule type="expression" dxfId="822" priority="1357">
      <formula>IF(FV24&gt;=FW24,IF(FV24="",FALSE,TRUE))</formula>
    </cfRule>
  </conditionalFormatting>
  <conditionalFormatting sqref="FV22:FV23">
    <cfRule type="expression" dxfId="821" priority="1364">
      <formula>OR(IF(FV22&lt;FW22,TRUE),IF(AND(FW22="",FV22&lt;&gt;""),TRUE))</formula>
    </cfRule>
    <cfRule type="expression" dxfId="820" priority="1365">
      <formula>IF(FV22&gt;=FW22,IF(FV22="",FALSE,TRUE))</formula>
    </cfRule>
  </conditionalFormatting>
  <conditionalFormatting sqref="FT24:FT33">
    <cfRule type="expression" dxfId="819" priority="1358">
      <formula>OR(IF(FT24&lt;FU24,TRUE),IF(AND(FU24="",FT24&lt;&gt;""),TRUE))</formula>
    </cfRule>
    <cfRule type="expression" dxfId="818" priority="1359">
      <formula>IF(FT24&gt;=FU24,IF(FT24="",FALSE,TRUE))</formula>
    </cfRule>
  </conditionalFormatting>
  <conditionalFormatting sqref="GA5:GA16">
    <cfRule type="expression" dxfId="817" priority="1338">
      <formula>OR(IF(GA5&lt;GB5,TRUE),IF(AND(GB5="",GA5&lt;&gt;""),TRUE))</formula>
    </cfRule>
    <cfRule type="expression" dxfId="816" priority="1339">
      <formula>IF(GA5&gt;=GB5,IF(GA5="",FALSE,TRUE))</formula>
    </cfRule>
  </conditionalFormatting>
  <conditionalFormatting sqref="GC5:GC16">
    <cfRule type="expression" dxfId="815" priority="1336">
      <formula>OR(IF(GC5&lt;GD5,TRUE),IF(AND(GD5="",GC5&lt;&gt;""),TRUE))</formula>
    </cfRule>
    <cfRule type="expression" dxfId="814" priority="1337">
      <formula>IF(GC5&gt;=GD5,IF(GC5="",FALSE,TRUE))</formula>
    </cfRule>
  </conditionalFormatting>
  <conditionalFormatting sqref="GA22:GA23">
    <cfRule type="expression" dxfId="813" priority="1334">
      <formula>OR(IF(GA22&lt;GB22,TRUE),IF(AND(GB22="",GA22&lt;&gt;""),TRUE))</formula>
    </cfRule>
    <cfRule type="expression" dxfId="812" priority="1335">
      <formula>IF(GA22&gt;=GB22,IF(GA22="",FALSE,TRUE))</formula>
    </cfRule>
  </conditionalFormatting>
  <conditionalFormatting sqref="GC24:GC33">
    <cfRule type="expression" dxfId="811" priority="1324">
      <formula>OR(IF(GC24&lt;GD24,TRUE),IF(AND(GD24="",GC24&lt;&gt;""),TRUE))</formula>
    </cfRule>
    <cfRule type="expression" dxfId="810" priority="1325">
      <formula>IF(GC24&gt;=GD24,IF(GC24="",FALSE,TRUE))</formula>
    </cfRule>
  </conditionalFormatting>
  <conditionalFormatting sqref="GC22:GC23">
    <cfRule type="expression" dxfId="809" priority="1332">
      <formula>OR(IF(GC22&lt;GD22,TRUE),IF(AND(GD22="",GC22&lt;&gt;""),TRUE))</formula>
    </cfRule>
    <cfRule type="expression" dxfId="808" priority="1333">
      <formula>IF(GC22&gt;=GD22,IF(GC22="",FALSE,TRUE))</formula>
    </cfRule>
  </conditionalFormatting>
  <conditionalFormatting sqref="GA24:GA33">
    <cfRule type="expression" dxfId="807" priority="1326">
      <formula>OR(IF(GA24&lt;GB24,TRUE),IF(AND(GB24="",GA24&lt;&gt;""),TRUE))</formula>
    </cfRule>
    <cfRule type="expression" dxfId="806" priority="1327">
      <formula>IF(GA24&gt;=GB24,IF(GA24="",FALSE,TRUE))</formula>
    </cfRule>
  </conditionalFormatting>
  <conditionalFormatting sqref="J17:K19">
    <cfRule type="colorScale" priority="1307">
      <colorScale>
        <cfvo type="percent" val="0"/>
        <cfvo type="percent" val="100"/>
        <color rgb="FFFF231B"/>
        <color rgb="FF10FF07"/>
      </colorScale>
    </cfRule>
  </conditionalFormatting>
  <conditionalFormatting sqref="O17:O19">
    <cfRule type="expression" dxfId="805" priority="1305">
      <formula>OR(IF(O17&lt;P17,TRUE),IF(AND(P17="",O17&lt;&gt;""),TRUE))</formula>
    </cfRule>
    <cfRule type="expression" dxfId="804" priority="1306">
      <formula>IF(O17&gt;=P17,IF(O17="",FALSE,TRUE))</formula>
    </cfRule>
  </conditionalFormatting>
  <conditionalFormatting sqref="Q17:Q19">
    <cfRule type="expression" dxfId="803" priority="1303">
      <formula>OR(IF(Q17&lt;R17,TRUE),IF(AND(R17="",Q17&lt;&gt;""),TRUE))</formula>
    </cfRule>
    <cfRule type="expression" dxfId="802" priority="1304">
      <formula>IF(Q17&gt;=R17,IF(Q17="",FALSE,TRUE))</formula>
    </cfRule>
  </conditionalFormatting>
  <conditionalFormatting sqref="AQ17:AQ19">
    <cfRule type="expression" dxfId="801" priority="1289">
      <formula>OR(IF(AQ17&lt;AR17,TRUE),IF(AND(AR17="",AQ17&lt;&gt;""),TRUE))</formula>
    </cfRule>
    <cfRule type="expression" dxfId="800" priority="1290">
      <formula>IF(AQ17&gt;=AR17,IF(AQ17="",FALSE,TRUE))</formula>
    </cfRule>
  </conditionalFormatting>
  <conditionalFormatting sqref="AS17:AS19">
    <cfRule type="expression" dxfId="799" priority="1287">
      <formula>OR(IF(AS17&lt;AT17,TRUE),IF(AND(AT17="",AS17&lt;&gt;""),TRUE))</formula>
    </cfRule>
    <cfRule type="expression" dxfId="798" priority="1288">
      <formula>IF(AS17&gt;=AT17,IF(AS17="",FALSE,TRUE))</formula>
    </cfRule>
  </conditionalFormatting>
  <conditionalFormatting sqref="V17:V19">
    <cfRule type="expression" dxfId="797" priority="1301">
      <formula>OR(IF(V17&lt;W17,TRUE),IF(AND(W17="",V17&lt;&gt;""),TRUE))</formula>
    </cfRule>
    <cfRule type="expression" dxfId="796" priority="1302">
      <formula>IF(V17&gt;=W17,IF(V17="",FALSE,TRUE))</formula>
    </cfRule>
  </conditionalFormatting>
  <conditionalFormatting sqref="X17:X19">
    <cfRule type="expression" dxfId="795" priority="1299">
      <formula>OR(IF(X17&lt;Y17,TRUE),IF(AND(Y17="",X17&lt;&gt;""),TRUE))</formula>
    </cfRule>
    <cfRule type="expression" dxfId="794" priority="1300">
      <formula>IF(X17&gt;=Y17,IF(X17="",FALSE,TRUE))</formula>
    </cfRule>
  </conditionalFormatting>
  <conditionalFormatting sqref="AC17:AC19">
    <cfRule type="expression" dxfId="793" priority="1297">
      <formula>OR(IF(AC17&lt;AD17,TRUE),IF(AND(AD17="",AC17&lt;&gt;""),TRUE))</formula>
    </cfRule>
    <cfRule type="expression" dxfId="792" priority="1298">
      <formula>IF(AC17&gt;=AD17,IF(AC17="",FALSE,TRUE))</formula>
    </cfRule>
  </conditionalFormatting>
  <conditionalFormatting sqref="AL17:AL19">
    <cfRule type="expression" dxfId="791" priority="1291">
      <formula>OR(IF(AL17&lt;AM17,TRUE),IF(AND(AM17="",AL17&lt;&gt;""),TRUE))</formula>
    </cfRule>
    <cfRule type="expression" dxfId="790" priority="1292">
      <formula>IF(AL17&gt;=AM17,IF(AL17="",FALSE,TRUE))</formula>
    </cfRule>
  </conditionalFormatting>
  <conditionalFormatting sqref="AX17:AX19">
    <cfRule type="expression" dxfId="789" priority="1285">
      <formula>OR(IF(AX17&lt;AY17,TRUE),IF(AND(AY17="",AX17&lt;&gt;""),TRUE))</formula>
    </cfRule>
    <cfRule type="expression" dxfId="788" priority="1286">
      <formula>IF(AX17&gt;=AY17,IF(AX17="",FALSE,TRUE))</formula>
    </cfRule>
  </conditionalFormatting>
  <conditionalFormatting sqref="AZ17:AZ19">
    <cfRule type="expression" dxfId="787" priority="1283">
      <formula>OR(IF(AZ17&lt;BA17,TRUE),IF(AND(BA17="",AZ17&lt;&gt;""),TRUE))</formula>
    </cfRule>
    <cfRule type="expression" dxfId="786" priority="1284">
      <formula>IF(AZ17&gt;=BA17,IF(AZ17="",FALSE,TRUE))</formula>
    </cfRule>
  </conditionalFormatting>
  <conditionalFormatting sqref="BL17:BL19">
    <cfRule type="expression" dxfId="785" priority="1277">
      <formula>OR(IF(BL17&lt;BM17,TRUE),IF(AND(BM17="",BL17&lt;&gt;""),TRUE))</formula>
    </cfRule>
    <cfRule type="expression" dxfId="784" priority="1278">
      <formula>IF(BL17&gt;=BM17,IF(BL17="",FALSE,TRUE))</formula>
    </cfRule>
  </conditionalFormatting>
  <conditionalFormatting sqref="BN17:BN19">
    <cfRule type="expression" dxfId="783" priority="1275">
      <formula>OR(IF(BN17&lt;BO17,TRUE),IF(AND(BO17="",BN17&lt;&gt;""),TRUE))</formula>
    </cfRule>
    <cfRule type="expression" dxfId="782" priority="1276">
      <formula>IF(BN17&gt;=BO17,IF(BN17="",FALSE,TRUE))</formula>
    </cfRule>
  </conditionalFormatting>
  <conditionalFormatting sqref="BS17:BS19">
    <cfRule type="expression" dxfId="781" priority="1273">
      <formula>OR(IF(BS17&lt;BT17,TRUE),IF(AND(BT17="",BS17&lt;&gt;""),TRUE))</formula>
    </cfRule>
    <cfRule type="expression" dxfId="780" priority="1274">
      <formula>IF(BS17&gt;=BT17,IF(BS17="",FALSE,TRUE))</formula>
    </cfRule>
  </conditionalFormatting>
  <conditionalFormatting sqref="BU17:BU19">
    <cfRule type="expression" dxfId="779" priority="1271">
      <formula>OR(IF(BU17&lt;BV17,TRUE),IF(AND(BV17="",BU17&lt;&gt;""),TRUE))</formula>
    </cfRule>
    <cfRule type="expression" dxfId="778" priority="1272">
      <formula>IF(BU17&gt;=BV17,IF(BU17="",FALSE,TRUE))</formula>
    </cfRule>
  </conditionalFormatting>
  <conditionalFormatting sqref="BZ17:BZ19">
    <cfRule type="expression" dxfId="777" priority="1269">
      <formula>OR(IF(BZ17&lt;CA17,TRUE),IF(AND(CA17="",BZ17&lt;&gt;""),TRUE))</formula>
    </cfRule>
    <cfRule type="expression" dxfId="776" priority="1270">
      <formula>IF(BZ17&gt;=CA17,IF(BZ17="",FALSE,TRUE))</formula>
    </cfRule>
  </conditionalFormatting>
  <conditionalFormatting sqref="CB17:CB19">
    <cfRule type="expression" dxfId="775" priority="1267">
      <formula>OR(IF(CB17&lt;CC17,TRUE),IF(AND(CC17="",CB17&lt;&gt;""),TRUE))</formula>
    </cfRule>
    <cfRule type="expression" dxfId="774" priority="1268">
      <formula>IF(CB17&gt;=CC17,IF(CB17="",FALSE,TRUE))</formula>
    </cfRule>
  </conditionalFormatting>
  <conditionalFormatting sqref="CG17:CG19">
    <cfRule type="expression" dxfId="773" priority="1265">
      <formula>OR(IF(CG17&lt;CH17,TRUE),IF(AND(CH17="",CG17&lt;&gt;""),TRUE))</formula>
    </cfRule>
    <cfRule type="expression" dxfId="772" priority="1266">
      <formula>IF(CG17&gt;=CH17,IF(CG17="",FALSE,TRUE))</formula>
    </cfRule>
  </conditionalFormatting>
  <conditionalFormatting sqref="CP17:CP19">
    <cfRule type="expression" dxfId="771" priority="1259">
      <formula>OR(IF(CP17&lt;CQ17,TRUE),IF(AND(CQ17="",CP17&lt;&gt;""),TRUE))</formula>
    </cfRule>
    <cfRule type="expression" dxfId="770" priority="1260">
      <formula>IF(CP17&gt;=CQ17,IF(CP17="",FALSE,TRUE))</formula>
    </cfRule>
  </conditionalFormatting>
  <conditionalFormatting sqref="CU17:CU19">
    <cfRule type="expression" dxfId="769" priority="1257">
      <formula>OR(IF(CU17&lt;CV17,TRUE),IF(AND(CV17="",CU17&lt;&gt;""),TRUE))</formula>
    </cfRule>
    <cfRule type="expression" dxfId="768" priority="1258">
      <formula>IF(CU17&gt;=CV17,IF(CU17="",FALSE,TRUE))</formula>
    </cfRule>
  </conditionalFormatting>
  <conditionalFormatting sqref="CW17:CW19">
    <cfRule type="expression" dxfId="767" priority="1255">
      <formula>OR(IF(CW17&lt;CX17,TRUE),IF(AND(CX17="",CW17&lt;&gt;""),TRUE))</formula>
    </cfRule>
    <cfRule type="expression" dxfId="766" priority="1256">
      <formula>IF(CW17&gt;=CX17,IF(CW17="",FALSE,TRUE))</formula>
    </cfRule>
  </conditionalFormatting>
  <conditionalFormatting sqref="DB17:DB19">
    <cfRule type="expression" dxfId="765" priority="1253">
      <formula>OR(IF(DB17&lt;DC17,TRUE),IF(AND(DC17="",DB17&lt;&gt;""),TRUE))</formula>
    </cfRule>
    <cfRule type="expression" dxfId="764" priority="1254">
      <formula>IF(DB17&gt;=DC17,IF(DB17="",FALSE,TRUE))</formula>
    </cfRule>
  </conditionalFormatting>
  <conditionalFormatting sqref="DD17:DD19">
    <cfRule type="expression" dxfId="763" priority="1251">
      <formula>OR(IF(DD17&lt;DE17,TRUE),IF(AND(DE17="",DD17&lt;&gt;""),TRUE))</formula>
    </cfRule>
    <cfRule type="expression" dxfId="762" priority="1252">
      <formula>IF(DD17&gt;=DE17,IF(DD17="",FALSE,TRUE))</formula>
    </cfRule>
  </conditionalFormatting>
  <conditionalFormatting sqref="DP17:DP19">
    <cfRule type="expression" dxfId="761" priority="1245">
      <formula>OR(IF(DP17&lt;DQ17,TRUE),IF(AND(DQ17="",DP17&lt;&gt;""),TRUE))</formula>
    </cfRule>
    <cfRule type="expression" dxfId="760" priority="1246">
      <formula>IF(DP17&gt;=DQ17,IF(DP17="",FALSE,TRUE))</formula>
    </cfRule>
  </conditionalFormatting>
  <conditionalFormatting sqref="DR17:DR19">
    <cfRule type="expression" dxfId="759" priority="1243">
      <formula>OR(IF(DR17&lt;DS17,TRUE),IF(AND(DS17="",DR17&lt;&gt;""),TRUE))</formula>
    </cfRule>
    <cfRule type="expression" dxfId="758" priority="1244">
      <formula>IF(DR17&gt;=DS17,IF(DR17="",FALSE,TRUE))</formula>
    </cfRule>
  </conditionalFormatting>
  <conditionalFormatting sqref="DW17:DW19">
    <cfRule type="expression" dxfId="757" priority="1241">
      <formula>OR(IF(DW17&lt;DX17,TRUE),IF(AND(DX17="",DW17&lt;&gt;""),TRUE))</formula>
    </cfRule>
    <cfRule type="expression" dxfId="756" priority="1242">
      <formula>IF(DW17&gt;=DX17,IF(DW17="",FALSE,TRUE))</formula>
    </cfRule>
  </conditionalFormatting>
  <conditionalFormatting sqref="DY17:DY19">
    <cfRule type="expression" dxfId="755" priority="1239">
      <formula>OR(IF(DY17&lt;DZ17,TRUE),IF(AND(DZ17="",DY17&lt;&gt;""),TRUE))</formula>
    </cfRule>
    <cfRule type="expression" dxfId="754" priority="1240">
      <formula>IF(DY17&gt;=DZ17,IF(DY17="",FALSE,TRUE))</formula>
    </cfRule>
  </conditionalFormatting>
  <conditionalFormatting sqref="ED17:ED19">
    <cfRule type="expression" dxfId="753" priority="1237">
      <formula>OR(IF(ED17&lt;EE17,TRUE),IF(AND(EE17="",ED17&lt;&gt;""),TRUE))</formula>
    </cfRule>
    <cfRule type="expression" dxfId="752" priority="1238">
      <formula>IF(ED17&gt;=EE17,IF(ED17="",FALSE,TRUE))</formula>
    </cfRule>
  </conditionalFormatting>
  <conditionalFormatting sqref="EF17:EF19">
    <cfRule type="expression" dxfId="751" priority="1235">
      <formula>OR(IF(EF17&lt;EG17,TRUE),IF(AND(EG17="",EF17&lt;&gt;""),TRUE))</formula>
    </cfRule>
    <cfRule type="expression" dxfId="750" priority="1236">
      <formula>IF(EF17&gt;=EG17,IF(EF17="",FALSE,TRUE))</formula>
    </cfRule>
  </conditionalFormatting>
  <conditionalFormatting sqref="EK17:EK19">
    <cfRule type="expression" dxfId="749" priority="1233">
      <formula>OR(IF(EK17&lt;EL17,TRUE),IF(AND(EL17="",EK17&lt;&gt;""),TRUE))</formula>
    </cfRule>
    <cfRule type="expression" dxfId="748" priority="1234">
      <formula>IF(EK17&gt;=EL17,IF(EK17="",FALSE,TRUE))</formula>
    </cfRule>
  </conditionalFormatting>
  <conditionalFormatting sqref="ET17:ET19">
    <cfRule type="expression" dxfId="747" priority="1227">
      <formula>OR(IF(ET17&lt;EU17,TRUE),IF(AND(EU17="",ET17&lt;&gt;""),TRUE))</formula>
    </cfRule>
    <cfRule type="expression" dxfId="746" priority="1228">
      <formula>IF(ET17&gt;=EU17,IF(ET17="",FALSE,TRUE))</formula>
    </cfRule>
  </conditionalFormatting>
  <conditionalFormatting sqref="EY17:EY19">
    <cfRule type="expression" dxfId="745" priority="1225">
      <formula>OR(IF(EY17&lt;EZ17,TRUE),IF(AND(EZ17="",EY17&lt;&gt;""),TRUE))</formula>
    </cfRule>
    <cfRule type="expression" dxfId="744" priority="1226">
      <formula>IF(EY17&gt;=EZ17,IF(EY17="",FALSE,TRUE))</formula>
    </cfRule>
  </conditionalFormatting>
  <conditionalFormatting sqref="FA17:FA19">
    <cfRule type="expression" dxfId="743" priority="1223">
      <formula>OR(IF(FA17&lt;FB17,TRUE),IF(AND(FB17="",FA17&lt;&gt;""),TRUE))</formula>
    </cfRule>
    <cfRule type="expression" dxfId="742" priority="1224">
      <formula>IF(FA17&gt;=FB17,IF(FA17="",FALSE,TRUE))</formula>
    </cfRule>
  </conditionalFormatting>
  <conditionalFormatting sqref="FF17:FF19">
    <cfRule type="expression" dxfId="741" priority="1221">
      <formula>OR(IF(FF17&lt;FG17,TRUE),IF(AND(FG17="",FF17&lt;&gt;""),TRUE))</formula>
    </cfRule>
    <cfRule type="expression" dxfId="740" priority="1222">
      <formula>IF(FF17&gt;=FG17,IF(FF17="",FALSE,TRUE))</formula>
    </cfRule>
  </conditionalFormatting>
  <conditionalFormatting sqref="FH17:FH19">
    <cfRule type="expression" dxfId="739" priority="1219">
      <formula>OR(IF(FH17&lt;FI17,TRUE),IF(AND(FI17="",FH17&lt;&gt;""),TRUE))</formula>
    </cfRule>
    <cfRule type="expression" dxfId="738" priority="1220">
      <formula>IF(FH17&gt;=FI17,IF(FH17="",FALSE,TRUE))</formula>
    </cfRule>
  </conditionalFormatting>
  <conditionalFormatting sqref="FT17:FT19">
    <cfRule type="expression" dxfId="737" priority="1213">
      <formula>OR(IF(FT17&lt;FU17,TRUE),IF(AND(FU17="",FT17&lt;&gt;""),TRUE))</formula>
    </cfRule>
    <cfRule type="expression" dxfId="736" priority="1214">
      <formula>IF(FT17&gt;=FU17,IF(FT17="",FALSE,TRUE))</formula>
    </cfRule>
  </conditionalFormatting>
  <conditionalFormatting sqref="FV17:FV19">
    <cfRule type="expression" dxfId="735" priority="1211">
      <formula>OR(IF(FV17&lt;FW17,TRUE),IF(AND(FW17="",FV17&lt;&gt;""),TRUE))</formula>
    </cfRule>
    <cfRule type="expression" dxfId="734" priority="1212">
      <formula>IF(FV17&gt;=FW17,IF(FV17="",FALSE,TRUE))</formula>
    </cfRule>
  </conditionalFormatting>
  <conditionalFormatting sqref="GA17:GA19">
    <cfRule type="expression" dxfId="733" priority="1209">
      <formula>OR(IF(GA17&lt;GB17,TRUE),IF(AND(GB17="",GA17&lt;&gt;""),TRUE))</formula>
    </cfRule>
    <cfRule type="expression" dxfId="732" priority="1210">
      <formula>IF(GA17&gt;=GB17,IF(GA17="",FALSE,TRUE))</formula>
    </cfRule>
  </conditionalFormatting>
  <conditionalFormatting sqref="GC17:GC19">
    <cfRule type="expression" dxfId="731" priority="1207">
      <formula>OR(IF(GC17&lt;GD17,TRUE),IF(AND(GD17="",GC17&lt;&gt;""),TRUE))</formula>
    </cfRule>
    <cfRule type="expression" dxfId="730" priority="1208">
      <formula>IF(GC17&gt;=GD17,IF(GC17="",FALSE,TRUE))</formula>
    </cfRule>
  </conditionalFormatting>
  <conditionalFormatting sqref="J85:K93">
    <cfRule type="colorScale" priority="1206">
      <colorScale>
        <cfvo type="percent" val="0"/>
        <cfvo type="percent" val="100"/>
        <color rgb="FFFF231B"/>
        <color rgb="FF10FF07"/>
      </colorScale>
    </cfRule>
  </conditionalFormatting>
  <conditionalFormatting sqref="O85:O93">
    <cfRule type="expression" dxfId="729" priority="1204">
      <formula>OR(IF(O85&lt;P85,TRUE),IF(AND(P85="",O85&lt;&gt;""),TRUE))</formula>
    </cfRule>
    <cfRule type="expression" dxfId="728" priority="1205">
      <formula>IF(O85&gt;=P85,IF(O85="",FALSE,TRUE))</formula>
    </cfRule>
  </conditionalFormatting>
  <conditionalFormatting sqref="Q85:Q93">
    <cfRule type="expression" dxfId="727" priority="1202">
      <formula>OR(IF(Q85&lt;R85,TRUE),IF(AND(R85="",Q85&lt;&gt;""),TRUE))</formula>
    </cfRule>
    <cfRule type="expression" dxfId="726" priority="1203">
      <formula>IF(Q85&gt;=R85,IF(Q85="",FALSE,TRUE))</formula>
    </cfRule>
  </conditionalFormatting>
  <conditionalFormatting sqref="AS85:AS93">
    <cfRule type="expression" dxfId="725" priority="1186">
      <formula>OR(IF(AS85&lt;AT85,TRUE),IF(AND(AT85="",AS85&lt;&gt;""),TRUE))</formula>
    </cfRule>
    <cfRule type="expression" dxfId="724" priority="1187">
      <formula>IF(AS85&gt;=AT85,IF(AS85="",FALSE,TRUE))</formula>
    </cfRule>
  </conditionalFormatting>
  <conditionalFormatting sqref="BE85:BE93">
    <cfRule type="expression" dxfId="723" priority="1180">
      <formula>OR(IF(BE85&lt;BF85,TRUE),IF(AND(BF85="",BE85&lt;&gt;""),TRUE))</formula>
    </cfRule>
    <cfRule type="expression" dxfId="722" priority="1181">
      <formula>IF(BE85&gt;=BF85,IF(BE85="",FALSE,TRUE))</formula>
    </cfRule>
  </conditionalFormatting>
  <conditionalFormatting sqref="BG85:BG93">
    <cfRule type="expression" dxfId="721" priority="1178">
      <formula>OR(IF(BG85&lt;BH85,TRUE),IF(AND(BH85="",BG85&lt;&gt;""),TRUE))</formula>
    </cfRule>
    <cfRule type="expression" dxfId="720" priority="1179">
      <formula>IF(BG85&gt;=BH85,IF(BG85="",FALSE,TRUE))</formula>
    </cfRule>
  </conditionalFormatting>
  <conditionalFormatting sqref="V85:V93">
    <cfRule type="expression" dxfId="719" priority="1200">
      <formula>OR(IF(V85&lt;W85,TRUE),IF(AND(W85="",V85&lt;&gt;""),TRUE))</formula>
    </cfRule>
    <cfRule type="expression" dxfId="718" priority="1201">
      <formula>IF(V85&gt;=W85,IF(V85="",FALSE,TRUE))</formula>
    </cfRule>
  </conditionalFormatting>
  <conditionalFormatting sqref="X85:X93">
    <cfRule type="expression" dxfId="717" priority="1198">
      <formula>OR(IF(X85&lt;Y85,TRUE),IF(AND(Y85="",X85&lt;&gt;""),TRUE))</formula>
    </cfRule>
    <cfRule type="expression" dxfId="716" priority="1199">
      <formula>IF(X85&gt;=Y85,IF(X85="",FALSE,TRUE))</formula>
    </cfRule>
  </conditionalFormatting>
  <conditionalFormatting sqref="AC85:AC93">
    <cfRule type="expression" dxfId="715" priority="1196">
      <formula>OR(IF(AC85&lt;AD85,TRUE),IF(AND(AD85="",AC85&lt;&gt;""),TRUE))</formula>
    </cfRule>
    <cfRule type="expression" dxfId="714" priority="1197">
      <formula>IF(AC85&gt;=AD85,IF(AC85="",FALSE,TRUE))</formula>
    </cfRule>
  </conditionalFormatting>
  <conditionalFormatting sqref="AE85:AE93">
    <cfRule type="expression" dxfId="713" priority="1194">
      <formula>OR(IF(AE85&lt;AF85,TRUE),IF(AND(AF85="",AE85&lt;&gt;""),TRUE))</formula>
    </cfRule>
    <cfRule type="expression" dxfId="712" priority="1195">
      <formula>IF(AE85&gt;=AF85,IF(AE85="",FALSE,TRUE))</formula>
    </cfRule>
  </conditionalFormatting>
  <conditionalFormatting sqref="AJ85:AJ93">
    <cfRule type="expression" dxfId="711" priority="1192">
      <formula>OR(IF(AJ85&lt;AK85,TRUE),IF(AND(AK85="",AJ85&lt;&gt;""),TRUE))</formula>
    </cfRule>
    <cfRule type="expression" dxfId="710" priority="1193">
      <formula>IF(AJ85&gt;=AK85,IF(AJ85="",FALSE,TRUE))</formula>
    </cfRule>
  </conditionalFormatting>
  <conditionalFormatting sqref="AX85:AX93">
    <cfRule type="expression" dxfId="709" priority="1184">
      <formula>OR(IF(AX85&lt;AY85,TRUE),IF(AND(AY85="",AX85&lt;&gt;""),TRUE))</formula>
    </cfRule>
    <cfRule type="expression" dxfId="708" priority="1185">
      <formula>IF(AX85&gt;=AY85,IF(AX85="",FALSE,TRUE))</formula>
    </cfRule>
  </conditionalFormatting>
  <conditionalFormatting sqref="AZ85:AZ93">
    <cfRule type="expression" dxfId="707" priority="1182">
      <formula>OR(IF(AZ85&lt;BA85,TRUE),IF(AND(BA85="",AZ85&lt;&gt;""),TRUE))</formula>
    </cfRule>
    <cfRule type="expression" dxfId="706" priority="1183">
      <formula>IF(AZ85&gt;=BA85,IF(AZ85="",FALSE,TRUE))</formula>
    </cfRule>
  </conditionalFormatting>
  <conditionalFormatting sqref="BL85:BL93">
    <cfRule type="expression" dxfId="705" priority="1176">
      <formula>OR(IF(BL85&lt;BM85,TRUE),IF(AND(BM85="",BL85&lt;&gt;""),TRUE))</formula>
    </cfRule>
    <cfRule type="expression" dxfId="704" priority="1177">
      <formula>IF(BL85&gt;=BM85,IF(BL85="",FALSE,TRUE))</formula>
    </cfRule>
  </conditionalFormatting>
  <conditionalFormatting sqref="BN85:BN93">
    <cfRule type="expression" dxfId="703" priority="1174">
      <formula>OR(IF(BN85&lt;BO85,TRUE),IF(AND(BO85="",BN85&lt;&gt;""),TRUE))</formula>
    </cfRule>
    <cfRule type="expression" dxfId="702" priority="1175">
      <formula>IF(BN85&gt;=BO85,IF(BN85="",FALSE,TRUE))</formula>
    </cfRule>
  </conditionalFormatting>
  <conditionalFormatting sqref="BS85:BS93">
    <cfRule type="expression" dxfId="701" priority="1172">
      <formula>OR(IF(BS85&lt;BT85,TRUE),IF(AND(BT85="",BS85&lt;&gt;""),TRUE))</formula>
    </cfRule>
    <cfRule type="expression" dxfId="700" priority="1173">
      <formula>IF(BS85&gt;=BT85,IF(BS85="",FALSE,TRUE))</formula>
    </cfRule>
  </conditionalFormatting>
  <conditionalFormatting sqref="BU85:BU93">
    <cfRule type="expression" dxfId="699" priority="1170">
      <formula>OR(IF(BU85&lt;BV85,TRUE),IF(AND(BV85="",BU85&lt;&gt;""),TRUE))</formula>
    </cfRule>
    <cfRule type="expression" dxfId="698" priority="1171">
      <formula>IF(BU85&gt;=BV85,IF(BU85="",FALSE,TRUE))</formula>
    </cfRule>
  </conditionalFormatting>
  <conditionalFormatting sqref="BZ85:BZ93">
    <cfRule type="expression" dxfId="697" priority="1168">
      <formula>OR(IF(BZ85&lt;CA85,TRUE),IF(AND(CA85="",BZ85&lt;&gt;""),TRUE))</formula>
    </cfRule>
    <cfRule type="expression" dxfId="696" priority="1169">
      <formula>IF(BZ85&gt;=CA85,IF(BZ85="",FALSE,TRUE))</formula>
    </cfRule>
  </conditionalFormatting>
  <conditionalFormatting sqref="CB85:CB93">
    <cfRule type="expression" dxfId="695" priority="1166">
      <formula>OR(IF(CB85&lt;CC85,TRUE),IF(AND(CC85="",CB85&lt;&gt;""),TRUE))</formula>
    </cfRule>
    <cfRule type="expression" dxfId="694" priority="1167">
      <formula>IF(CB85&gt;=CC85,IF(CB85="",FALSE,TRUE))</formula>
    </cfRule>
  </conditionalFormatting>
  <conditionalFormatting sqref="CG85:CG93">
    <cfRule type="expression" dxfId="693" priority="1164">
      <formula>OR(IF(CG85&lt;CH85,TRUE),IF(AND(CH85="",CG85&lt;&gt;""),TRUE))</formula>
    </cfRule>
    <cfRule type="expression" dxfId="692" priority="1165">
      <formula>IF(CG85&gt;=CH85,IF(CG85="",FALSE,TRUE))</formula>
    </cfRule>
  </conditionalFormatting>
  <conditionalFormatting sqref="CI85:CI93">
    <cfRule type="expression" dxfId="691" priority="1162">
      <formula>OR(IF(CI85&lt;CJ85,TRUE),IF(AND(CJ85="",CI85&lt;&gt;""),TRUE))</formula>
    </cfRule>
    <cfRule type="expression" dxfId="690" priority="1163">
      <formula>IF(CI85&gt;=CJ85,IF(CI85="",FALSE,TRUE))</formula>
    </cfRule>
  </conditionalFormatting>
  <conditionalFormatting sqref="CN85:CN93">
    <cfRule type="expression" dxfId="689" priority="1160">
      <formula>OR(IF(CN85&lt;CO85,TRUE),IF(AND(CO85="",CN85&lt;&gt;""),TRUE))</formula>
    </cfRule>
    <cfRule type="expression" dxfId="688" priority="1161">
      <formula>IF(CN85&gt;=CO85,IF(CN85="",FALSE,TRUE))</formula>
    </cfRule>
  </conditionalFormatting>
  <conditionalFormatting sqref="CW85:CW93">
    <cfRule type="expression" dxfId="687" priority="1154">
      <formula>OR(IF(CW85&lt;CX85,TRUE),IF(AND(CX85="",CW85&lt;&gt;""),TRUE))</formula>
    </cfRule>
    <cfRule type="expression" dxfId="686" priority="1155">
      <formula>IF(CW85&gt;=CX85,IF(CW85="",FALSE,TRUE))</formula>
    </cfRule>
  </conditionalFormatting>
  <conditionalFormatting sqref="DB85:DB93">
    <cfRule type="expression" dxfId="685" priority="1152">
      <formula>OR(IF(DB85&lt;DC85,TRUE),IF(AND(DC85="",DB85&lt;&gt;""),TRUE))</formula>
    </cfRule>
    <cfRule type="expression" dxfId="684" priority="1153">
      <formula>IF(DB85&gt;=DC85,IF(DB85="",FALSE,TRUE))</formula>
    </cfRule>
  </conditionalFormatting>
  <conditionalFormatting sqref="DD85:DD93">
    <cfRule type="expression" dxfId="683" priority="1150">
      <formula>OR(IF(DD85&lt;DE85,TRUE),IF(AND(DE85="",DD85&lt;&gt;""),TRUE))</formula>
    </cfRule>
    <cfRule type="expression" dxfId="682" priority="1151">
      <formula>IF(DD85&gt;=DE85,IF(DD85="",FALSE,TRUE))</formula>
    </cfRule>
  </conditionalFormatting>
  <conditionalFormatting sqref="DI85:DI93">
    <cfRule type="expression" dxfId="681" priority="1148">
      <formula>OR(IF(DI85&lt;DJ85,TRUE),IF(AND(DJ85="",DI85&lt;&gt;""),TRUE))</formula>
    </cfRule>
    <cfRule type="expression" dxfId="680" priority="1149">
      <formula>IF(DI85&gt;=DJ85,IF(DI85="",FALSE,TRUE))</formula>
    </cfRule>
  </conditionalFormatting>
  <conditionalFormatting sqref="DK85:DK93">
    <cfRule type="expression" dxfId="679" priority="1146">
      <formula>OR(IF(DK85&lt;DL85,TRUE),IF(AND(DL85="",DK85&lt;&gt;""),TRUE))</formula>
    </cfRule>
    <cfRule type="expression" dxfId="678" priority="1147">
      <formula>IF(DK85&gt;=DL85,IF(DK85="",FALSE,TRUE))</formula>
    </cfRule>
  </conditionalFormatting>
  <conditionalFormatting sqref="DP85:DP93">
    <cfRule type="expression" dxfId="677" priority="1144">
      <formula>OR(IF(DP85&lt;DQ85,TRUE),IF(AND(DQ85="",DP85&lt;&gt;""),TRUE))</formula>
    </cfRule>
    <cfRule type="expression" dxfId="676" priority="1145">
      <formula>IF(DP85&gt;=DQ85,IF(DP85="",FALSE,TRUE))</formula>
    </cfRule>
  </conditionalFormatting>
  <conditionalFormatting sqref="DR85:DR93">
    <cfRule type="expression" dxfId="675" priority="1142">
      <formula>OR(IF(DR85&lt;DS85,TRUE),IF(AND(DS85="",DR85&lt;&gt;""),TRUE))</formula>
    </cfRule>
    <cfRule type="expression" dxfId="674" priority="1143">
      <formula>IF(DR85&gt;=DS85,IF(DR85="",FALSE,TRUE))</formula>
    </cfRule>
  </conditionalFormatting>
  <conditionalFormatting sqref="DW85:DW93">
    <cfRule type="expression" dxfId="673" priority="1140">
      <formula>OR(IF(DW85&lt;DX85,TRUE),IF(AND(DX85="",DW85&lt;&gt;""),TRUE))</formula>
    </cfRule>
    <cfRule type="expression" dxfId="672" priority="1141">
      <formula>IF(DW85&gt;=DX85,IF(DW85="",FALSE,TRUE))</formula>
    </cfRule>
  </conditionalFormatting>
  <conditionalFormatting sqref="DY85:DY93">
    <cfRule type="expression" dxfId="671" priority="1138">
      <formula>OR(IF(DY85&lt;DZ85,TRUE),IF(AND(DZ85="",DY85&lt;&gt;""),TRUE))</formula>
    </cfRule>
    <cfRule type="expression" dxfId="670" priority="1139">
      <formula>IF(DY85&gt;=DZ85,IF(DY85="",FALSE,TRUE))</formula>
    </cfRule>
  </conditionalFormatting>
  <conditionalFormatting sqref="ED85:ED93">
    <cfRule type="expression" dxfId="669" priority="1136">
      <formula>OR(IF(ED85&lt;EE85,TRUE),IF(AND(EE85="",ED85&lt;&gt;""),TRUE))</formula>
    </cfRule>
    <cfRule type="expression" dxfId="668" priority="1137">
      <formula>IF(ED85&gt;=EE85,IF(ED85="",FALSE,TRUE))</formula>
    </cfRule>
  </conditionalFormatting>
  <conditionalFormatting sqref="EF85:EF93">
    <cfRule type="expression" dxfId="667" priority="1134">
      <formula>OR(IF(EF85&lt;EG85,TRUE),IF(AND(EG85="",EF85&lt;&gt;""),TRUE))</formula>
    </cfRule>
    <cfRule type="expression" dxfId="666" priority="1135">
      <formula>IF(EF85&gt;=EG85,IF(EF85="",FALSE,TRUE))</formula>
    </cfRule>
  </conditionalFormatting>
  <conditionalFormatting sqref="EK85:EK93">
    <cfRule type="expression" dxfId="665" priority="1132">
      <formula>OR(IF(EK85&lt;EL85,TRUE),IF(AND(EL85="",EK85&lt;&gt;""),TRUE))</formula>
    </cfRule>
    <cfRule type="expression" dxfId="664" priority="1133">
      <formula>IF(EK85&gt;=EL85,IF(EK85="",FALSE,TRUE))</formula>
    </cfRule>
  </conditionalFormatting>
  <conditionalFormatting sqref="EM85:EM93">
    <cfRule type="expression" dxfId="663" priority="1130">
      <formula>OR(IF(EM85&lt;EN85,TRUE),IF(AND(EN85="",EM85&lt;&gt;""),TRUE))</formula>
    </cfRule>
    <cfRule type="expression" dxfId="662" priority="1131">
      <formula>IF(EM85&gt;=EN85,IF(EM85="",FALSE,TRUE))</formula>
    </cfRule>
  </conditionalFormatting>
  <conditionalFormatting sqref="ER85:ER93">
    <cfRule type="expression" dxfId="661" priority="1128">
      <formula>OR(IF(ER85&lt;ES85,TRUE),IF(AND(ES85="",ER85&lt;&gt;""),TRUE))</formula>
    </cfRule>
    <cfRule type="expression" dxfId="660" priority="1129">
      <formula>IF(ER85&gt;=ES85,IF(ER85="",FALSE,TRUE))</formula>
    </cfRule>
  </conditionalFormatting>
  <conditionalFormatting sqref="FA85:FA93">
    <cfRule type="expression" dxfId="659" priority="1122">
      <formula>OR(IF(FA85&lt;FB85,TRUE),IF(AND(FB85="",FA85&lt;&gt;""),TRUE))</formula>
    </cfRule>
    <cfRule type="expression" dxfId="658" priority="1123">
      <formula>IF(FA85&gt;=FB85,IF(FA85="",FALSE,TRUE))</formula>
    </cfRule>
  </conditionalFormatting>
  <conditionalFormatting sqref="FF85:FF93">
    <cfRule type="expression" dxfId="657" priority="1120">
      <formula>OR(IF(FF85&lt;FG85,TRUE),IF(AND(FG85="",FF85&lt;&gt;""),TRUE))</formula>
    </cfRule>
    <cfRule type="expression" dxfId="656" priority="1121">
      <formula>IF(FF85&gt;=FG85,IF(FF85="",FALSE,TRUE))</formula>
    </cfRule>
  </conditionalFormatting>
  <conditionalFormatting sqref="FH85:FH93">
    <cfRule type="expression" dxfId="655" priority="1118">
      <formula>OR(IF(FH85&lt;FI85,TRUE),IF(AND(FI85="",FH85&lt;&gt;""),TRUE))</formula>
    </cfRule>
    <cfRule type="expression" dxfId="654" priority="1119">
      <formula>IF(FH85&gt;=FI85,IF(FH85="",FALSE,TRUE))</formula>
    </cfRule>
  </conditionalFormatting>
  <conditionalFormatting sqref="FM85:FM93">
    <cfRule type="expression" dxfId="653" priority="1116">
      <formula>OR(IF(FM85&lt;FN85,TRUE),IF(AND(FN85="",FM85&lt;&gt;""),TRUE))</formula>
    </cfRule>
    <cfRule type="expression" dxfId="652" priority="1117">
      <formula>IF(FM85&gt;=FN85,IF(FM85="",FALSE,TRUE))</formula>
    </cfRule>
  </conditionalFormatting>
  <conditionalFormatting sqref="FO85:FO93">
    <cfRule type="expression" dxfId="651" priority="1114">
      <formula>OR(IF(FO85&lt;FP85,TRUE),IF(AND(FP85="",FO85&lt;&gt;""),TRUE))</formula>
    </cfRule>
    <cfRule type="expression" dxfId="650" priority="1115">
      <formula>IF(FO85&gt;=FP85,IF(FO85="",FALSE,TRUE))</formula>
    </cfRule>
  </conditionalFormatting>
  <conditionalFormatting sqref="FT85:FT93">
    <cfRule type="expression" dxfId="649" priority="1112">
      <formula>OR(IF(FT85&lt;FU85,TRUE),IF(AND(FU85="",FT85&lt;&gt;""),TRUE))</formula>
    </cfRule>
    <cfRule type="expression" dxfId="648" priority="1113">
      <formula>IF(FT85&gt;=FU85,IF(FT85="",FALSE,TRUE))</formula>
    </cfRule>
  </conditionalFormatting>
  <conditionalFormatting sqref="FV85:FV93">
    <cfRule type="expression" dxfId="647" priority="1110">
      <formula>OR(IF(FV85&lt;FW85,TRUE),IF(AND(FW85="",FV85&lt;&gt;""),TRUE))</formula>
    </cfRule>
    <cfRule type="expression" dxfId="646" priority="1111">
      <formula>IF(FV85&gt;=FW85,IF(FV85="",FALSE,TRUE))</formula>
    </cfRule>
  </conditionalFormatting>
  <conditionalFormatting sqref="GA85:GA93">
    <cfRule type="expression" dxfId="645" priority="1108">
      <formula>OR(IF(GA85&lt;GB85,TRUE),IF(AND(GB85="",GA85&lt;&gt;""),TRUE))</formula>
    </cfRule>
    <cfRule type="expression" dxfId="644" priority="1109">
      <formula>IF(GA85&gt;=GB85,IF(GA85="",FALSE,TRUE))</formula>
    </cfRule>
  </conditionalFormatting>
  <conditionalFormatting sqref="GC85:GC93">
    <cfRule type="expression" dxfId="643" priority="1106">
      <formula>OR(IF(GC85&lt;GD85,TRUE),IF(AND(GD85="",GC85&lt;&gt;""),TRUE))</formula>
    </cfRule>
    <cfRule type="expression" dxfId="642" priority="1107">
      <formula>IF(GC85&gt;=GD85,IF(GC85="",FALSE,TRUE))</formula>
    </cfRule>
  </conditionalFormatting>
  <conditionalFormatting sqref="J58:K68">
    <cfRule type="colorScale" priority="1004">
      <colorScale>
        <cfvo type="percent" val="0"/>
        <cfvo type="percent" val="100"/>
        <color rgb="FFFF231B"/>
        <color rgb="FF10FF07"/>
      </colorScale>
    </cfRule>
  </conditionalFormatting>
  <conditionalFormatting sqref="O58:O68">
    <cfRule type="expression" dxfId="641" priority="1002">
      <formula>OR(IF(O58&lt;P58,TRUE),IF(AND(P58="",O58&lt;&gt;""),TRUE))</formula>
    </cfRule>
    <cfRule type="expression" dxfId="640" priority="1003">
      <formula>IF(O58&gt;=P58,IF(O58="",FALSE,TRUE))</formula>
    </cfRule>
  </conditionalFormatting>
  <conditionalFormatting sqref="Q58:Q68">
    <cfRule type="expression" dxfId="639" priority="1000">
      <formula>OR(IF(Q58&lt;R58,TRUE),IF(AND(R58="",Q58&lt;&gt;""),TRUE))</formula>
    </cfRule>
    <cfRule type="expression" dxfId="638" priority="1001">
      <formula>IF(Q58&gt;=R58,IF(Q58="",FALSE,TRUE))</formula>
    </cfRule>
  </conditionalFormatting>
  <conditionalFormatting sqref="AQ58:AQ68">
    <cfRule type="expression" dxfId="637" priority="986">
      <formula>OR(IF(AQ58&lt;AR58,TRUE),IF(AND(AR58="",AQ58&lt;&gt;""),TRUE))</formula>
    </cfRule>
    <cfRule type="expression" dxfId="636" priority="987">
      <formula>IF(AQ58&gt;=AR58,IF(AQ58="",FALSE,TRUE))</formula>
    </cfRule>
  </conditionalFormatting>
  <conditionalFormatting sqref="AS58:AS68">
    <cfRule type="expression" dxfId="635" priority="984">
      <formula>OR(IF(AS58&lt;AT58,TRUE),IF(AND(AT58="",AS58&lt;&gt;""),TRUE))</formula>
    </cfRule>
    <cfRule type="expression" dxfId="634" priority="985">
      <formula>IF(AS58&gt;=AT58,IF(AS58="",FALSE,TRUE))</formula>
    </cfRule>
  </conditionalFormatting>
  <conditionalFormatting sqref="BE58:BE68">
    <cfRule type="expression" dxfId="633" priority="978">
      <formula>OR(IF(BE58&lt;BF58,TRUE),IF(AND(BF58="",BE58&lt;&gt;""),TRUE))</formula>
    </cfRule>
    <cfRule type="expression" dxfId="632" priority="979">
      <formula>IF(BE58&gt;=BF58,IF(BE58="",FALSE,TRUE))</formula>
    </cfRule>
  </conditionalFormatting>
  <conditionalFormatting sqref="BG58:BG68">
    <cfRule type="expression" dxfId="631" priority="976">
      <formula>OR(IF(BG58&lt;BH58,TRUE),IF(AND(BH58="",BG58&lt;&gt;""),TRUE))</formula>
    </cfRule>
    <cfRule type="expression" dxfId="630" priority="977">
      <formula>IF(BG58&gt;=BH58,IF(BG58="",FALSE,TRUE))</formula>
    </cfRule>
  </conditionalFormatting>
  <conditionalFormatting sqref="AC58:AC68">
    <cfRule type="expression" dxfId="629" priority="994">
      <formula>OR(IF(AC58&lt;AD58,TRUE),IF(AND(AD58="",AC58&lt;&gt;""),TRUE))</formula>
    </cfRule>
    <cfRule type="expression" dxfId="628" priority="995">
      <formula>IF(AC58&gt;=AD58,IF(AC58="",FALSE,TRUE))</formula>
    </cfRule>
  </conditionalFormatting>
  <conditionalFormatting sqref="AE58:AE68">
    <cfRule type="expression" dxfId="627" priority="992">
      <formula>OR(IF(AE58&lt;AF58,TRUE),IF(AND(AF58="",AE58&lt;&gt;""),TRUE))</formula>
    </cfRule>
    <cfRule type="expression" dxfId="626" priority="993">
      <formula>IF(AE58&gt;=AF58,IF(AE58="",FALSE,TRUE))</formula>
    </cfRule>
  </conditionalFormatting>
  <conditionalFormatting sqref="AJ58:AJ68">
    <cfRule type="expression" dxfId="625" priority="990">
      <formula>OR(IF(AJ58&lt;AK58,TRUE),IF(AND(AK58="",AJ58&lt;&gt;""),TRUE))</formula>
    </cfRule>
    <cfRule type="expression" dxfId="624" priority="991">
      <formula>IF(AJ58&gt;=AK58,IF(AJ58="",FALSE,TRUE))</formula>
    </cfRule>
  </conditionalFormatting>
  <conditionalFormatting sqref="AL58:AL68">
    <cfRule type="expression" dxfId="623" priority="988">
      <formula>OR(IF(AL58&lt;AM58,TRUE),IF(AND(AM58="",AL58&lt;&gt;""),TRUE))</formula>
    </cfRule>
    <cfRule type="expression" dxfId="622" priority="989">
      <formula>IF(AL58&gt;=AM58,IF(AL58="",FALSE,TRUE))</formula>
    </cfRule>
  </conditionalFormatting>
  <conditionalFormatting sqref="AX58:AX68">
    <cfRule type="expression" dxfId="621" priority="982">
      <formula>OR(IF(AX58&lt;AY58,TRUE),IF(AND(AY58="",AX58&lt;&gt;""),TRUE))</formula>
    </cfRule>
    <cfRule type="expression" dxfId="620" priority="983">
      <formula>IF(AX58&gt;=AY58,IF(AX58="",FALSE,TRUE))</formula>
    </cfRule>
  </conditionalFormatting>
  <conditionalFormatting sqref="AZ58:AZ68">
    <cfRule type="expression" dxfId="619" priority="980">
      <formula>OR(IF(AZ58&lt;BA58,TRUE),IF(AND(BA58="",AZ58&lt;&gt;""),TRUE))</formula>
    </cfRule>
    <cfRule type="expression" dxfId="618" priority="981">
      <formula>IF(AZ58&gt;=BA58,IF(AZ58="",FALSE,TRUE))</formula>
    </cfRule>
  </conditionalFormatting>
  <conditionalFormatting sqref="BL58:BL68">
    <cfRule type="expression" dxfId="617" priority="974">
      <formula>OR(IF(BL58&lt;BM58,TRUE),IF(AND(BM58="",BL58&lt;&gt;""),TRUE))</formula>
    </cfRule>
    <cfRule type="expression" dxfId="616" priority="975">
      <formula>IF(BL58&gt;=BM58,IF(BL58="",FALSE,TRUE))</formula>
    </cfRule>
  </conditionalFormatting>
  <conditionalFormatting sqref="BN58:BN68">
    <cfRule type="expression" dxfId="615" priority="972">
      <formula>OR(IF(BN58&lt;BO58,TRUE),IF(AND(BO58="",BN58&lt;&gt;""),TRUE))</formula>
    </cfRule>
    <cfRule type="expression" dxfId="614" priority="973">
      <formula>IF(BN58&gt;=BO58,IF(BN58="",FALSE,TRUE))</formula>
    </cfRule>
  </conditionalFormatting>
  <conditionalFormatting sqref="BS58:BS68">
    <cfRule type="expression" dxfId="613" priority="970">
      <formula>OR(IF(BS58&lt;BT58,TRUE),IF(AND(BT58="",BS58&lt;&gt;""),TRUE))</formula>
    </cfRule>
    <cfRule type="expression" dxfId="612" priority="971">
      <formula>IF(BS58&gt;=BT58,IF(BS58="",FALSE,TRUE))</formula>
    </cfRule>
  </conditionalFormatting>
  <conditionalFormatting sqref="BU58:BU68">
    <cfRule type="expression" dxfId="611" priority="968">
      <formula>OR(IF(BU58&lt;BV58,TRUE),IF(AND(BV58="",BU58&lt;&gt;""),TRUE))</formula>
    </cfRule>
    <cfRule type="expression" dxfId="610" priority="969">
      <formula>IF(BU58&gt;=BV58,IF(BU58="",FALSE,TRUE))</formula>
    </cfRule>
  </conditionalFormatting>
  <conditionalFormatting sqref="CG58:CG68">
    <cfRule type="expression" dxfId="609" priority="962">
      <formula>OR(IF(CG58&lt;CH58,TRUE),IF(AND(CH58="",CG58&lt;&gt;""),TRUE))</formula>
    </cfRule>
    <cfRule type="expression" dxfId="608" priority="963">
      <formula>IF(CG58&gt;=CH58,IF(CG58="",FALSE,TRUE))</formula>
    </cfRule>
  </conditionalFormatting>
  <conditionalFormatting sqref="CI58:CI68">
    <cfRule type="expression" dxfId="607" priority="960">
      <formula>OR(IF(CI58&lt;CJ58,TRUE),IF(AND(CJ58="",CI58&lt;&gt;""),TRUE))</formula>
    </cfRule>
    <cfRule type="expression" dxfId="606" priority="961">
      <formula>IF(CI58&gt;=CJ58,IF(CI58="",FALSE,TRUE))</formula>
    </cfRule>
  </conditionalFormatting>
  <conditionalFormatting sqref="CN58:CN68">
    <cfRule type="expression" dxfId="605" priority="958">
      <formula>OR(IF(CN58&lt;CO58,TRUE),IF(AND(CO58="",CN58&lt;&gt;""),TRUE))</formula>
    </cfRule>
    <cfRule type="expression" dxfId="604" priority="959">
      <formula>IF(CN58&gt;=CO58,IF(CN58="",FALSE,TRUE))</formula>
    </cfRule>
  </conditionalFormatting>
  <conditionalFormatting sqref="CP58:CP68">
    <cfRule type="expression" dxfId="603" priority="956">
      <formula>OR(IF(CP58&lt;CQ58,TRUE),IF(AND(CQ58="",CP58&lt;&gt;""),TRUE))</formula>
    </cfRule>
    <cfRule type="expression" dxfId="602" priority="957">
      <formula>IF(CP58&gt;=CQ58,IF(CP58="",FALSE,TRUE))</formula>
    </cfRule>
  </conditionalFormatting>
  <conditionalFormatting sqref="CU58:CU68">
    <cfRule type="expression" dxfId="601" priority="954">
      <formula>OR(IF(CU58&lt;CV58,TRUE),IF(AND(CV58="",CU58&lt;&gt;""),TRUE))</formula>
    </cfRule>
    <cfRule type="expression" dxfId="600" priority="955">
      <formula>IF(CU58&gt;=CV58,IF(CU58="",FALSE,TRUE))</formula>
    </cfRule>
  </conditionalFormatting>
  <conditionalFormatting sqref="CW58:CW68">
    <cfRule type="expression" dxfId="599" priority="952">
      <formula>OR(IF(CW58&lt;CX58,TRUE),IF(AND(CX58="",CW58&lt;&gt;""),TRUE))</formula>
    </cfRule>
    <cfRule type="expression" dxfId="598" priority="953">
      <formula>IF(CW58&gt;=CX58,IF(CW58="",FALSE,TRUE))</formula>
    </cfRule>
  </conditionalFormatting>
  <conditionalFormatting sqref="DB58:DB68">
    <cfRule type="expression" dxfId="597" priority="950">
      <formula>OR(IF(DB58&lt;DC58,TRUE),IF(AND(DC58="",DB58&lt;&gt;""),TRUE))</formula>
    </cfRule>
    <cfRule type="expression" dxfId="596" priority="951">
      <formula>IF(DB58&gt;=DC58,IF(DB58="",FALSE,TRUE))</formula>
    </cfRule>
  </conditionalFormatting>
  <conditionalFormatting sqref="DD58:DD68">
    <cfRule type="expression" dxfId="595" priority="948">
      <formula>OR(IF(DD58&lt;DE58,TRUE),IF(AND(DE58="",DD58&lt;&gt;""),TRUE))</formula>
    </cfRule>
    <cfRule type="expression" dxfId="594" priority="949">
      <formula>IF(DD58&gt;=DE58,IF(DD58="",FALSE,TRUE))</formula>
    </cfRule>
  </conditionalFormatting>
  <conditionalFormatting sqref="DI58:DI68">
    <cfRule type="expression" dxfId="593" priority="946">
      <formula>OR(IF(DI58&lt;DJ58,TRUE),IF(AND(DJ58="",DI58&lt;&gt;""),TRUE))</formula>
    </cfRule>
    <cfRule type="expression" dxfId="592" priority="947">
      <formula>IF(DI58&gt;=DJ58,IF(DI58="",FALSE,TRUE))</formula>
    </cfRule>
  </conditionalFormatting>
  <conditionalFormatting sqref="DK58:DK68">
    <cfRule type="expression" dxfId="591" priority="944">
      <formula>OR(IF(DK58&lt;DL58,TRUE),IF(AND(DL58="",DK58&lt;&gt;""),TRUE))</formula>
    </cfRule>
    <cfRule type="expression" dxfId="590" priority="945">
      <formula>IF(DK58&gt;=DL58,IF(DK58="",FALSE,TRUE))</formula>
    </cfRule>
  </conditionalFormatting>
  <conditionalFormatting sqref="DP58:DP68">
    <cfRule type="expression" dxfId="589" priority="942">
      <formula>OR(IF(DP58&lt;DQ58,TRUE),IF(AND(DQ58="",DP58&lt;&gt;""),TRUE))</formula>
    </cfRule>
    <cfRule type="expression" dxfId="588" priority="943">
      <formula>IF(DP58&gt;=DQ58,IF(DP58="",FALSE,TRUE))</formula>
    </cfRule>
  </conditionalFormatting>
  <conditionalFormatting sqref="DR58:DR68">
    <cfRule type="expression" dxfId="587" priority="940">
      <formula>OR(IF(DR58&lt;DS58,TRUE),IF(AND(DS58="",DR58&lt;&gt;""),TRUE))</formula>
    </cfRule>
    <cfRule type="expression" dxfId="586" priority="941">
      <formula>IF(DR58&gt;=DS58,IF(DR58="",FALSE,TRUE))</formula>
    </cfRule>
  </conditionalFormatting>
  <conditionalFormatting sqref="DW58:DW68">
    <cfRule type="expression" dxfId="585" priority="938">
      <formula>OR(IF(DW58&lt;DX58,TRUE),IF(AND(DX58="",DW58&lt;&gt;""),TRUE))</formula>
    </cfRule>
    <cfRule type="expression" dxfId="584" priority="939">
      <formula>IF(DW58&gt;=DX58,IF(DW58="",FALSE,TRUE))</formula>
    </cfRule>
  </conditionalFormatting>
  <conditionalFormatting sqref="DY58:DY68">
    <cfRule type="expression" dxfId="583" priority="936">
      <formula>OR(IF(DY58&lt;DZ58,TRUE),IF(AND(DZ58="",DY58&lt;&gt;""),TRUE))</formula>
    </cfRule>
    <cfRule type="expression" dxfId="582" priority="937">
      <formula>IF(DY58&gt;=DZ58,IF(DY58="",FALSE,TRUE))</formula>
    </cfRule>
  </conditionalFormatting>
  <conditionalFormatting sqref="EK58:EK68">
    <cfRule type="expression" dxfId="581" priority="930">
      <formula>OR(IF(EK58&lt;EL58,TRUE),IF(AND(EL58="",EK58&lt;&gt;""),TRUE))</formula>
    </cfRule>
    <cfRule type="expression" dxfId="580" priority="931">
      <formula>IF(EK58&gt;=EL58,IF(EK58="",FALSE,TRUE))</formula>
    </cfRule>
  </conditionalFormatting>
  <conditionalFormatting sqref="EM58:EM68">
    <cfRule type="expression" dxfId="579" priority="928">
      <formula>OR(IF(EM58&lt;EN58,TRUE),IF(AND(EN58="",EM58&lt;&gt;""),TRUE))</formula>
    </cfRule>
    <cfRule type="expression" dxfId="578" priority="929">
      <formula>IF(EM58&gt;=EN58,IF(EM58="",FALSE,TRUE))</formula>
    </cfRule>
  </conditionalFormatting>
  <conditionalFormatting sqref="ER58:ER68">
    <cfRule type="expression" dxfId="577" priority="926">
      <formula>OR(IF(ER58&lt;ES58,TRUE),IF(AND(ES58="",ER58&lt;&gt;""),TRUE))</formula>
    </cfRule>
    <cfRule type="expression" dxfId="576" priority="927">
      <formula>IF(ER58&gt;=ES58,IF(ER58="",FALSE,TRUE))</formula>
    </cfRule>
  </conditionalFormatting>
  <conditionalFormatting sqref="ET58:ET68">
    <cfRule type="expression" dxfId="575" priority="924">
      <formula>OR(IF(ET58&lt;EU58,TRUE),IF(AND(EU58="",ET58&lt;&gt;""),TRUE))</formula>
    </cfRule>
    <cfRule type="expression" dxfId="574" priority="925">
      <formula>IF(ET58&gt;=EU58,IF(ET58="",FALSE,TRUE))</formula>
    </cfRule>
  </conditionalFormatting>
  <conditionalFormatting sqref="EY58:EY68">
    <cfRule type="expression" dxfId="573" priority="922">
      <formula>OR(IF(EY58&lt;EZ58,TRUE),IF(AND(EZ58="",EY58&lt;&gt;""),TRUE))</formula>
    </cfRule>
    <cfRule type="expression" dxfId="572" priority="923">
      <formula>IF(EY58&gt;=EZ58,IF(EY58="",FALSE,TRUE))</formula>
    </cfRule>
  </conditionalFormatting>
  <conditionalFormatting sqref="FA58:FA68">
    <cfRule type="expression" dxfId="571" priority="920">
      <formula>OR(IF(FA58&lt;FB58,TRUE),IF(AND(FB58="",FA58&lt;&gt;""),TRUE))</formula>
    </cfRule>
    <cfRule type="expression" dxfId="570" priority="921">
      <formula>IF(FA58&gt;=FB58,IF(FA58="",FALSE,TRUE))</formula>
    </cfRule>
  </conditionalFormatting>
  <conditionalFormatting sqref="FF58:FF68">
    <cfRule type="expression" dxfId="569" priority="918">
      <formula>OR(IF(FF58&lt;FG58,TRUE),IF(AND(FG58="",FF58&lt;&gt;""),TRUE))</formula>
    </cfRule>
    <cfRule type="expression" dxfId="568" priority="919">
      <formula>IF(FF58&gt;=FG58,IF(FF58="",FALSE,TRUE))</formula>
    </cfRule>
  </conditionalFormatting>
  <conditionalFormatting sqref="FH58:FH68">
    <cfRule type="expression" dxfId="567" priority="916">
      <formula>OR(IF(FH58&lt;FI58,TRUE),IF(AND(FI58="",FH58&lt;&gt;""),TRUE))</formula>
    </cfRule>
    <cfRule type="expression" dxfId="566" priority="917">
      <formula>IF(FH58&gt;=FI58,IF(FH58="",FALSE,TRUE))</formula>
    </cfRule>
  </conditionalFormatting>
  <conditionalFormatting sqref="FM58:FM68">
    <cfRule type="expression" dxfId="565" priority="914">
      <formula>OR(IF(FM58&lt;FN58,TRUE),IF(AND(FN58="",FM58&lt;&gt;""),TRUE))</formula>
    </cfRule>
    <cfRule type="expression" dxfId="564" priority="915">
      <formula>IF(FM58&gt;=FN58,IF(FM58="",FALSE,TRUE))</formula>
    </cfRule>
  </conditionalFormatting>
  <conditionalFormatting sqref="FO58:FO68">
    <cfRule type="expression" dxfId="563" priority="912">
      <formula>OR(IF(FO58&lt;FP58,TRUE),IF(AND(FP58="",FO58&lt;&gt;""),TRUE))</formula>
    </cfRule>
    <cfRule type="expression" dxfId="562" priority="913">
      <formula>IF(FO58&gt;=FP58,IF(FO58="",FALSE,TRUE))</formula>
    </cfRule>
  </conditionalFormatting>
  <conditionalFormatting sqref="FT58:FT68">
    <cfRule type="expression" dxfId="561" priority="910">
      <formula>OR(IF(FT58&lt;FU58,TRUE),IF(AND(FU58="",FT58&lt;&gt;""),TRUE))</formula>
    </cfRule>
    <cfRule type="expression" dxfId="560" priority="911">
      <formula>IF(FT58&gt;=FU58,IF(FT58="",FALSE,TRUE))</formula>
    </cfRule>
  </conditionalFormatting>
  <conditionalFormatting sqref="FV58:FV68">
    <cfRule type="expression" dxfId="559" priority="908">
      <formula>OR(IF(FV58&lt;FW58,TRUE),IF(AND(FW58="",FV58&lt;&gt;""),TRUE))</formula>
    </cfRule>
    <cfRule type="expression" dxfId="558" priority="909">
      <formula>IF(FV58&gt;=FW58,IF(FV58="",FALSE,TRUE))</formula>
    </cfRule>
  </conditionalFormatting>
  <conditionalFormatting sqref="GA58:GA68">
    <cfRule type="expression" dxfId="557" priority="906">
      <formula>OR(IF(GA58&lt;GB58,TRUE),IF(AND(GB58="",GA58&lt;&gt;""),TRUE))</formula>
    </cfRule>
    <cfRule type="expression" dxfId="556" priority="907">
      <formula>IF(GA58&gt;=GB58,IF(GA58="",FALSE,TRUE))</formula>
    </cfRule>
  </conditionalFormatting>
  <conditionalFormatting sqref="GC58:GC68">
    <cfRule type="expression" dxfId="555" priority="904">
      <formula>OR(IF(GC58&lt;GD58,TRUE),IF(AND(GD58="",GC58&lt;&gt;""),TRUE))</formula>
    </cfRule>
    <cfRule type="expression" dxfId="554" priority="905">
      <formula>IF(GC58&gt;=GD58,IF(GC58="",FALSE,TRUE))</formula>
    </cfRule>
  </conditionalFormatting>
  <conditionalFormatting sqref="J46:K55">
    <cfRule type="colorScale" priority="903">
      <colorScale>
        <cfvo type="percent" val="0"/>
        <cfvo type="percent" val="100"/>
        <color rgb="FFFF231B"/>
        <color rgb="FF10FF07"/>
      </colorScale>
    </cfRule>
  </conditionalFormatting>
  <conditionalFormatting sqref="O46:O55">
    <cfRule type="expression" dxfId="553" priority="901">
      <formula>OR(IF(O46&lt;P46,TRUE),IF(AND(P46="",O46&lt;&gt;""),TRUE))</formula>
    </cfRule>
    <cfRule type="expression" dxfId="552" priority="902">
      <formula>IF(O46&gt;=P46,IF(O46="",FALSE,TRUE))</formula>
    </cfRule>
  </conditionalFormatting>
  <conditionalFormatting sqref="Q46:Q55">
    <cfRule type="expression" dxfId="551" priority="899">
      <formula>OR(IF(Q46&lt;R46,TRUE),IF(AND(R46="",Q46&lt;&gt;""),TRUE))</formula>
    </cfRule>
    <cfRule type="expression" dxfId="550" priority="900">
      <formula>IF(Q46&gt;=R46,IF(Q46="",FALSE,TRUE))</formula>
    </cfRule>
  </conditionalFormatting>
  <conditionalFormatting sqref="AQ46:AQ55">
    <cfRule type="expression" dxfId="549" priority="885">
      <formula>OR(IF(AQ46&lt;AR46,TRUE),IF(AND(AR46="",AQ46&lt;&gt;""),TRUE))</formula>
    </cfRule>
    <cfRule type="expression" dxfId="548" priority="886">
      <formula>IF(AQ46&gt;=AR46,IF(AQ46="",FALSE,TRUE))</formula>
    </cfRule>
  </conditionalFormatting>
  <conditionalFormatting sqref="AS46:AS55">
    <cfRule type="expression" dxfId="547" priority="883">
      <formula>OR(IF(AS46&lt;AT46,TRUE),IF(AND(AT46="",AS46&lt;&gt;""),TRUE))</formula>
    </cfRule>
    <cfRule type="expression" dxfId="546" priority="884">
      <formula>IF(AS46&gt;=AT46,IF(AS46="",FALSE,TRUE))</formula>
    </cfRule>
  </conditionalFormatting>
  <conditionalFormatting sqref="BE46:BE55">
    <cfRule type="expression" dxfId="545" priority="877">
      <formula>OR(IF(BE46&lt;BF46,TRUE),IF(AND(BF46="",BE46&lt;&gt;""),TRUE))</formula>
    </cfRule>
    <cfRule type="expression" dxfId="544" priority="878">
      <formula>IF(BE46&gt;=BF46,IF(BE46="",FALSE,TRUE))</formula>
    </cfRule>
  </conditionalFormatting>
  <conditionalFormatting sqref="BG46:BG55">
    <cfRule type="expression" dxfId="543" priority="875">
      <formula>OR(IF(BG46&lt;BH46,TRUE),IF(AND(BH46="",BG46&lt;&gt;""),TRUE))</formula>
    </cfRule>
    <cfRule type="expression" dxfId="542" priority="876">
      <formula>IF(BG46&gt;=BH46,IF(BG46="",FALSE,TRUE))</formula>
    </cfRule>
  </conditionalFormatting>
  <conditionalFormatting sqref="V46:V55">
    <cfRule type="expression" dxfId="541" priority="897">
      <formula>OR(IF(V46&lt;W46,TRUE),IF(AND(W46="",V46&lt;&gt;""),TRUE))</formula>
    </cfRule>
    <cfRule type="expression" dxfId="540" priority="898">
      <formula>IF(V46&gt;=W46,IF(V46="",FALSE,TRUE))</formula>
    </cfRule>
  </conditionalFormatting>
  <conditionalFormatting sqref="X46:X55">
    <cfRule type="expression" dxfId="539" priority="895">
      <formula>OR(IF(X46&lt;Y46,TRUE),IF(AND(Y46="",X46&lt;&gt;""),TRUE))</formula>
    </cfRule>
    <cfRule type="expression" dxfId="538" priority="896">
      <formula>IF(X46&gt;=Y46,IF(X46="",FALSE,TRUE))</formula>
    </cfRule>
  </conditionalFormatting>
  <conditionalFormatting sqref="AC46:AC55">
    <cfRule type="expression" dxfId="537" priority="893">
      <formula>OR(IF(AC46&lt;AD46,TRUE),IF(AND(AD46="",AC46&lt;&gt;""),TRUE))</formula>
    </cfRule>
    <cfRule type="expression" dxfId="536" priority="894">
      <formula>IF(AC46&gt;=AD46,IF(AC46="",FALSE,TRUE))</formula>
    </cfRule>
  </conditionalFormatting>
  <conditionalFormatting sqref="AE46:AE55">
    <cfRule type="expression" dxfId="535" priority="891">
      <formula>OR(IF(AE46&lt;AF46,TRUE),IF(AND(AF46="",AE46&lt;&gt;""),TRUE))</formula>
    </cfRule>
    <cfRule type="expression" dxfId="534" priority="892">
      <formula>IF(AE46&gt;=AF46,IF(AE46="",FALSE,TRUE))</formula>
    </cfRule>
  </conditionalFormatting>
  <conditionalFormatting sqref="AJ46:AJ55">
    <cfRule type="expression" dxfId="533" priority="889">
      <formula>OR(IF(AJ46&lt;AK46,TRUE),IF(AND(AK46="",AJ46&lt;&gt;""),TRUE))</formula>
    </cfRule>
    <cfRule type="expression" dxfId="532" priority="890">
      <formula>IF(AJ46&gt;=AK46,IF(AJ46="",FALSE,TRUE))</formula>
    </cfRule>
  </conditionalFormatting>
  <conditionalFormatting sqref="AL46:AL55">
    <cfRule type="expression" dxfId="531" priority="887">
      <formula>OR(IF(AL46&lt;AM46,TRUE),IF(AND(AM46="",AL46&lt;&gt;""),TRUE))</formula>
    </cfRule>
    <cfRule type="expression" dxfId="530" priority="888">
      <formula>IF(AL46&gt;=AM46,IF(AL46="",FALSE,TRUE))</formula>
    </cfRule>
  </conditionalFormatting>
  <conditionalFormatting sqref="AX46:AX55">
    <cfRule type="expression" dxfId="529" priority="881">
      <formula>OR(IF(AX46&lt;AY46,TRUE),IF(AND(AY46="",AX46&lt;&gt;""),TRUE))</formula>
    </cfRule>
    <cfRule type="expression" dxfId="528" priority="882">
      <formula>IF(AX46&gt;=AY46,IF(AX46="",FALSE,TRUE))</formula>
    </cfRule>
  </conditionalFormatting>
  <conditionalFormatting sqref="AZ46:AZ55">
    <cfRule type="expression" dxfId="527" priority="879">
      <formula>OR(IF(AZ46&lt;BA46,TRUE),IF(AND(BA46="",AZ46&lt;&gt;""),TRUE))</formula>
    </cfRule>
    <cfRule type="expression" dxfId="526" priority="880">
      <formula>IF(AZ46&gt;=BA46,IF(AZ46="",FALSE,TRUE))</formula>
    </cfRule>
  </conditionalFormatting>
  <conditionalFormatting sqref="BL46:BL55">
    <cfRule type="expression" dxfId="525" priority="873">
      <formula>OR(IF(BL46&lt;BM46,TRUE),IF(AND(BM46="",BL46&lt;&gt;""),TRUE))</formula>
    </cfRule>
    <cfRule type="expression" dxfId="524" priority="874">
      <formula>IF(BL46&gt;=BM46,IF(BL46="",FALSE,TRUE))</formula>
    </cfRule>
  </conditionalFormatting>
  <conditionalFormatting sqref="BN46:BN55">
    <cfRule type="expression" dxfId="523" priority="871">
      <formula>OR(IF(BN46&lt;BO46,TRUE),IF(AND(BO46="",BN46&lt;&gt;""),TRUE))</formula>
    </cfRule>
    <cfRule type="expression" dxfId="522" priority="872">
      <formula>IF(BN46&gt;=BO46,IF(BN46="",FALSE,TRUE))</formula>
    </cfRule>
  </conditionalFormatting>
  <conditionalFormatting sqref="BS46:BS55">
    <cfRule type="expression" dxfId="521" priority="869">
      <formula>OR(IF(BS46&lt;BT46,TRUE),IF(AND(BT46="",BS46&lt;&gt;""),TRUE))</formula>
    </cfRule>
    <cfRule type="expression" dxfId="520" priority="870">
      <formula>IF(BS46&gt;=BT46,IF(BS46="",FALSE,TRUE))</formula>
    </cfRule>
  </conditionalFormatting>
  <conditionalFormatting sqref="BU46:BU55">
    <cfRule type="expression" dxfId="519" priority="867">
      <formula>OR(IF(BU46&lt;BV46,TRUE),IF(AND(BV46="",BU46&lt;&gt;""),TRUE))</formula>
    </cfRule>
    <cfRule type="expression" dxfId="518" priority="868">
      <formula>IF(BU46&gt;=BV46,IF(BU46="",FALSE,TRUE))</formula>
    </cfRule>
  </conditionalFormatting>
  <conditionalFormatting sqref="BZ46:BZ55">
    <cfRule type="expression" dxfId="517" priority="865">
      <formula>OR(IF(BZ46&lt;CA46,TRUE),IF(AND(CA46="",BZ46&lt;&gt;""),TRUE))</formula>
    </cfRule>
    <cfRule type="expression" dxfId="516" priority="866">
      <formula>IF(BZ46&gt;=CA46,IF(BZ46="",FALSE,TRUE))</formula>
    </cfRule>
  </conditionalFormatting>
  <conditionalFormatting sqref="CB46:CB55">
    <cfRule type="expression" dxfId="515" priority="863">
      <formula>OR(IF(CB46&lt;CC46,TRUE),IF(AND(CC46="",CB46&lt;&gt;""),TRUE))</formula>
    </cfRule>
    <cfRule type="expression" dxfId="514" priority="864">
      <formula>IF(CB46&gt;=CC46,IF(CB46="",FALSE,TRUE))</formula>
    </cfRule>
  </conditionalFormatting>
  <conditionalFormatting sqref="CG46:CG55">
    <cfRule type="expression" dxfId="513" priority="861">
      <formula>OR(IF(CG46&lt;CH46,TRUE),IF(AND(CH46="",CG46&lt;&gt;""),TRUE))</formula>
    </cfRule>
    <cfRule type="expression" dxfId="512" priority="862">
      <formula>IF(CG46&gt;=CH46,IF(CG46="",FALSE,TRUE))</formula>
    </cfRule>
  </conditionalFormatting>
  <conditionalFormatting sqref="CI46:CI55">
    <cfRule type="expression" dxfId="511" priority="859">
      <formula>OR(IF(CI46&lt;CJ46,TRUE),IF(AND(CJ46="",CI46&lt;&gt;""),TRUE))</formula>
    </cfRule>
    <cfRule type="expression" dxfId="510" priority="860">
      <formula>IF(CI46&gt;=CJ46,IF(CI46="",FALSE,TRUE))</formula>
    </cfRule>
  </conditionalFormatting>
  <conditionalFormatting sqref="CN46:CN55">
    <cfRule type="expression" dxfId="509" priority="857">
      <formula>OR(IF(CN46&lt;CO46,TRUE),IF(AND(CO46="",CN46&lt;&gt;""),TRUE))</formula>
    </cfRule>
    <cfRule type="expression" dxfId="508" priority="858">
      <formula>IF(CN46&gt;=CO46,IF(CN46="",FALSE,TRUE))</formula>
    </cfRule>
  </conditionalFormatting>
  <conditionalFormatting sqref="CP46:CP55">
    <cfRule type="expression" dxfId="507" priority="855">
      <formula>OR(IF(CP46&lt;CQ46,TRUE),IF(AND(CQ46="",CP46&lt;&gt;""),TRUE))</formula>
    </cfRule>
    <cfRule type="expression" dxfId="506" priority="856">
      <formula>IF(CP46&gt;=CQ46,IF(CP46="",FALSE,TRUE))</formula>
    </cfRule>
  </conditionalFormatting>
  <conditionalFormatting sqref="CU46:CU55">
    <cfRule type="expression" dxfId="505" priority="853">
      <formula>OR(IF(CU46&lt;CV46,TRUE),IF(AND(CV46="",CU46&lt;&gt;""),TRUE))</formula>
    </cfRule>
    <cfRule type="expression" dxfId="504" priority="854">
      <formula>IF(CU46&gt;=CV46,IF(CU46="",FALSE,TRUE))</formula>
    </cfRule>
  </conditionalFormatting>
  <conditionalFormatting sqref="CW46:CW55">
    <cfRule type="expression" dxfId="503" priority="851">
      <formula>OR(IF(CW46&lt;CX46,TRUE),IF(AND(CX46="",CW46&lt;&gt;""),TRUE))</formula>
    </cfRule>
    <cfRule type="expression" dxfId="502" priority="852">
      <formula>IF(CW46&gt;=CX46,IF(CW46="",FALSE,TRUE))</formula>
    </cfRule>
  </conditionalFormatting>
  <conditionalFormatting sqref="DB46:DB55">
    <cfRule type="expression" dxfId="501" priority="849">
      <formula>OR(IF(DB46&lt;DC46,TRUE),IF(AND(DC46="",DB46&lt;&gt;""),TRUE))</formula>
    </cfRule>
    <cfRule type="expression" dxfId="500" priority="850">
      <formula>IF(DB46&gt;=DC46,IF(DB46="",FALSE,TRUE))</formula>
    </cfRule>
  </conditionalFormatting>
  <conditionalFormatting sqref="DD46:DD55">
    <cfRule type="expression" dxfId="499" priority="847">
      <formula>OR(IF(DD46&lt;DE46,TRUE),IF(AND(DE46="",DD46&lt;&gt;""),TRUE))</formula>
    </cfRule>
    <cfRule type="expression" dxfId="498" priority="848">
      <formula>IF(DD46&gt;=DE46,IF(DD46="",FALSE,TRUE))</formula>
    </cfRule>
  </conditionalFormatting>
  <conditionalFormatting sqref="DI46:DI55">
    <cfRule type="expression" dxfId="497" priority="845">
      <formula>OR(IF(DI46&lt;DJ46,TRUE),IF(AND(DJ46="",DI46&lt;&gt;""),TRUE))</formula>
    </cfRule>
    <cfRule type="expression" dxfId="496" priority="846">
      <formula>IF(DI46&gt;=DJ46,IF(DI46="",FALSE,TRUE))</formula>
    </cfRule>
  </conditionalFormatting>
  <conditionalFormatting sqref="DK46:DK55">
    <cfRule type="expression" dxfId="495" priority="843">
      <formula>OR(IF(DK46&lt;DL46,TRUE),IF(AND(DL46="",DK46&lt;&gt;""),TRUE))</formula>
    </cfRule>
    <cfRule type="expression" dxfId="494" priority="844">
      <formula>IF(DK46&gt;=DL46,IF(DK46="",FALSE,TRUE))</formula>
    </cfRule>
  </conditionalFormatting>
  <conditionalFormatting sqref="DP46:DP55">
    <cfRule type="expression" dxfId="493" priority="841">
      <formula>OR(IF(DP46&lt;DQ46,TRUE),IF(AND(DQ46="",DP46&lt;&gt;""),TRUE))</formula>
    </cfRule>
    <cfRule type="expression" dxfId="492" priority="842">
      <formula>IF(DP46&gt;=DQ46,IF(DP46="",FALSE,TRUE))</formula>
    </cfRule>
  </conditionalFormatting>
  <conditionalFormatting sqref="DR46:DR55">
    <cfRule type="expression" dxfId="491" priority="839">
      <formula>OR(IF(DR46&lt;DS46,TRUE),IF(AND(DS46="",DR46&lt;&gt;""),TRUE))</formula>
    </cfRule>
    <cfRule type="expression" dxfId="490" priority="840">
      <formula>IF(DR46&gt;=DS46,IF(DR46="",FALSE,TRUE))</formula>
    </cfRule>
  </conditionalFormatting>
  <conditionalFormatting sqref="DW46:DW55">
    <cfRule type="expression" dxfId="489" priority="837">
      <formula>OR(IF(DW46&lt;DX46,TRUE),IF(AND(DX46="",DW46&lt;&gt;""),TRUE))</formula>
    </cfRule>
    <cfRule type="expression" dxfId="488" priority="838">
      <formula>IF(DW46&gt;=DX46,IF(DW46="",FALSE,TRUE))</formula>
    </cfRule>
  </conditionalFormatting>
  <conditionalFormatting sqref="DY46:DY55">
    <cfRule type="expression" dxfId="487" priority="835">
      <formula>OR(IF(DY46&lt;DZ46,TRUE),IF(AND(DZ46="",DY46&lt;&gt;""),TRUE))</formula>
    </cfRule>
    <cfRule type="expression" dxfId="486" priority="836">
      <formula>IF(DY46&gt;=DZ46,IF(DY46="",FALSE,TRUE))</formula>
    </cfRule>
  </conditionalFormatting>
  <conditionalFormatting sqref="ED46:ED55">
    <cfRule type="expression" dxfId="485" priority="833">
      <formula>OR(IF(ED46&lt;EE46,TRUE),IF(AND(EE46="",ED46&lt;&gt;""),TRUE))</formula>
    </cfRule>
    <cfRule type="expression" dxfId="484" priority="834">
      <formula>IF(ED46&gt;=EE46,IF(ED46="",FALSE,TRUE))</formula>
    </cfRule>
  </conditionalFormatting>
  <conditionalFormatting sqref="EF46:EF55">
    <cfRule type="expression" dxfId="483" priority="831">
      <formula>OR(IF(EF46&lt;EG46,TRUE),IF(AND(EG46="",EF46&lt;&gt;""),TRUE))</formula>
    </cfRule>
    <cfRule type="expression" dxfId="482" priority="832">
      <formula>IF(EF46&gt;=EG46,IF(EF46="",FALSE,TRUE))</formula>
    </cfRule>
  </conditionalFormatting>
  <conditionalFormatting sqref="EK46:EK55">
    <cfRule type="expression" dxfId="481" priority="829">
      <formula>OR(IF(EK46&lt;EL46,TRUE),IF(AND(EL46="",EK46&lt;&gt;""),TRUE))</formula>
    </cfRule>
    <cfRule type="expression" dxfId="480" priority="830">
      <formula>IF(EK46&gt;=EL46,IF(EK46="",FALSE,TRUE))</formula>
    </cfRule>
  </conditionalFormatting>
  <conditionalFormatting sqref="EM46:EM55">
    <cfRule type="expression" dxfId="479" priority="827">
      <formula>OR(IF(EM46&lt;EN46,TRUE),IF(AND(EN46="",EM46&lt;&gt;""),TRUE))</formula>
    </cfRule>
    <cfRule type="expression" dxfId="478" priority="828">
      <formula>IF(EM46&gt;=EN46,IF(EM46="",FALSE,TRUE))</formula>
    </cfRule>
  </conditionalFormatting>
  <conditionalFormatting sqref="ER46:ER55">
    <cfRule type="expression" dxfId="477" priority="825">
      <formula>OR(IF(ER46&lt;ES46,TRUE),IF(AND(ES46="",ER46&lt;&gt;""),TRUE))</formula>
    </cfRule>
    <cfRule type="expression" dxfId="476" priority="826">
      <formula>IF(ER46&gt;=ES46,IF(ER46="",FALSE,TRUE))</formula>
    </cfRule>
  </conditionalFormatting>
  <conditionalFormatting sqref="ET46:ET55">
    <cfRule type="expression" dxfId="475" priority="823">
      <formula>OR(IF(ET46&lt;EU46,TRUE),IF(AND(EU46="",ET46&lt;&gt;""),TRUE))</formula>
    </cfRule>
    <cfRule type="expression" dxfId="474" priority="824">
      <formula>IF(ET46&gt;=EU46,IF(ET46="",FALSE,TRUE))</formula>
    </cfRule>
  </conditionalFormatting>
  <conditionalFormatting sqref="EY46:EY55">
    <cfRule type="expression" dxfId="473" priority="821">
      <formula>OR(IF(EY46&lt;EZ46,TRUE),IF(AND(EZ46="",EY46&lt;&gt;""),TRUE))</formula>
    </cfRule>
    <cfRule type="expression" dxfId="472" priority="822">
      <formula>IF(EY46&gt;=EZ46,IF(EY46="",FALSE,TRUE))</formula>
    </cfRule>
  </conditionalFormatting>
  <conditionalFormatting sqref="FA46:FA55">
    <cfRule type="expression" dxfId="471" priority="819">
      <formula>OR(IF(FA46&lt;FB46,TRUE),IF(AND(FB46="",FA46&lt;&gt;""),TRUE))</formula>
    </cfRule>
    <cfRule type="expression" dxfId="470" priority="820">
      <formula>IF(FA46&gt;=FB46,IF(FA46="",FALSE,TRUE))</formula>
    </cfRule>
  </conditionalFormatting>
  <conditionalFormatting sqref="FF46:FF55">
    <cfRule type="expression" dxfId="469" priority="817">
      <formula>OR(IF(FF46&lt;FG46,TRUE),IF(AND(FG46="",FF46&lt;&gt;""),TRUE))</formula>
    </cfRule>
    <cfRule type="expression" dxfId="468" priority="818">
      <formula>IF(FF46&gt;=FG46,IF(FF46="",FALSE,TRUE))</formula>
    </cfRule>
  </conditionalFormatting>
  <conditionalFormatting sqref="FH46:FH55">
    <cfRule type="expression" dxfId="467" priority="815">
      <formula>OR(IF(FH46&lt;FI46,TRUE),IF(AND(FI46="",FH46&lt;&gt;""),TRUE))</formula>
    </cfRule>
    <cfRule type="expression" dxfId="466" priority="816">
      <formula>IF(FH46&gt;=FI46,IF(FH46="",FALSE,TRUE))</formula>
    </cfRule>
  </conditionalFormatting>
  <conditionalFormatting sqref="FM46:FM55">
    <cfRule type="expression" dxfId="465" priority="813">
      <formula>OR(IF(FM46&lt;FN46,TRUE),IF(AND(FN46="",FM46&lt;&gt;""),TRUE))</formula>
    </cfRule>
    <cfRule type="expression" dxfId="464" priority="814">
      <formula>IF(FM46&gt;=FN46,IF(FM46="",FALSE,TRUE))</formula>
    </cfRule>
  </conditionalFormatting>
  <conditionalFormatting sqref="FO46:FO55">
    <cfRule type="expression" dxfId="463" priority="811">
      <formula>OR(IF(FO46&lt;FP46,TRUE),IF(AND(FP46="",FO46&lt;&gt;""),TRUE))</formula>
    </cfRule>
    <cfRule type="expression" dxfId="462" priority="812">
      <formula>IF(FO46&gt;=FP46,IF(FO46="",FALSE,TRUE))</formula>
    </cfRule>
  </conditionalFormatting>
  <conditionalFormatting sqref="FT46:FT55">
    <cfRule type="expression" dxfId="461" priority="809">
      <formula>OR(IF(FT46&lt;FU46,TRUE),IF(AND(FU46="",FT46&lt;&gt;""),TRUE))</formula>
    </cfRule>
    <cfRule type="expression" dxfId="460" priority="810">
      <formula>IF(FT46&gt;=FU46,IF(FT46="",FALSE,TRUE))</formula>
    </cfRule>
  </conditionalFormatting>
  <conditionalFormatting sqref="FV46:FV55">
    <cfRule type="expression" dxfId="459" priority="807">
      <formula>OR(IF(FV46&lt;FW46,TRUE),IF(AND(FW46="",FV46&lt;&gt;""),TRUE))</formula>
    </cfRule>
    <cfRule type="expression" dxfId="458" priority="808">
      <formula>IF(FV46&gt;=FW46,IF(FV46="",FALSE,TRUE))</formula>
    </cfRule>
  </conditionalFormatting>
  <conditionalFormatting sqref="GA46:GA55">
    <cfRule type="expression" dxfId="457" priority="805">
      <formula>OR(IF(GA46&lt;GB46,TRUE),IF(AND(GB46="",GA46&lt;&gt;""),TRUE))</formula>
    </cfRule>
    <cfRule type="expression" dxfId="456" priority="806">
      <formula>IF(GA46&gt;=GB46,IF(GA46="",FALSE,TRUE))</formula>
    </cfRule>
  </conditionalFormatting>
  <conditionalFormatting sqref="GC46:GC55">
    <cfRule type="expression" dxfId="455" priority="803">
      <formula>OR(IF(GC46&lt;GD46,TRUE),IF(AND(GD46="",GC46&lt;&gt;""),TRUE))</formula>
    </cfRule>
    <cfRule type="expression" dxfId="454" priority="804">
      <formula>IF(GC46&gt;=GD46,IF(GC46="",FALSE,TRUE))</formula>
    </cfRule>
  </conditionalFormatting>
  <conditionalFormatting sqref="O36:O37">
    <cfRule type="expression" dxfId="453" priority="800">
      <formula>OR(IF(O36&lt;P36,TRUE),IF(AND(P36="",O36&lt;&gt;""),TRUE))</formula>
    </cfRule>
    <cfRule type="expression" dxfId="452" priority="801">
      <formula>IF(O36&gt;=P36,IF(O36="",FALSE,TRUE))</formula>
    </cfRule>
  </conditionalFormatting>
  <conditionalFormatting sqref="Q36:Q37">
    <cfRule type="expression" dxfId="451" priority="798">
      <formula>OR(IF(Q36&lt;R36,TRUE),IF(AND(R36="",Q36&lt;&gt;""),TRUE))</formula>
    </cfRule>
    <cfRule type="expression" dxfId="450" priority="799">
      <formula>IF(Q36&gt;=R36,IF(Q36="",FALSE,TRUE))</formula>
    </cfRule>
  </conditionalFormatting>
  <conditionalFormatting sqref="V36:V37">
    <cfRule type="expression" dxfId="449" priority="792">
      <formula>OR(IF(V36&lt;W36,TRUE),IF(AND(W36="",V36&lt;&gt;""),TRUE))</formula>
    </cfRule>
    <cfRule type="expression" dxfId="448" priority="793">
      <formula>IF(V36&gt;=W36,IF(V36="",FALSE,TRUE))</formula>
    </cfRule>
  </conditionalFormatting>
  <conditionalFormatting sqref="X36:X37">
    <cfRule type="expression" dxfId="447" priority="790">
      <formula>OR(IF(X36&lt;Y36,TRUE),IF(AND(Y36="",X36&lt;&gt;""),TRUE))</formula>
    </cfRule>
    <cfRule type="expression" dxfId="446" priority="791">
      <formula>IF(X36&gt;=Y36,IF(X36="",FALSE,TRUE))</formula>
    </cfRule>
  </conditionalFormatting>
  <conditionalFormatting sqref="AC36:AC37">
    <cfRule type="expression" dxfId="445" priority="784">
      <formula>OR(IF(AC36&lt;AD36,TRUE),IF(AND(AD36="",AC36&lt;&gt;""),TRUE))</formula>
    </cfRule>
    <cfRule type="expression" dxfId="444" priority="785">
      <formula>IF(AC36&gt;=AD36,IF(AC36="",FALSE,TRUE))</formula>
    </cfRule>
  </conditionalFormatting>
  <conditionalFormatting sqref="AE36:AE37">
    <cfRule type="expression" dxfId="443" priority="782">
      <formula>OR(IF(AE36&lt;AF36,TRUE),IF(AND(AF36="",AE36&lt;&gt;""),TRUE))</formula>
    </cfRule>
    <cfRule type="expression" dxfId="442" priority="783">
      <formula>IF(AE36&gt;=AF36,IF(AE36="",FALSE,TRUE))</formula>
    </cfRule>
  </conditionalFormatting>
  <conditionalFormatting sqref="AJ36:AJ37">
    <cfRule type="expression" dxfId="441" priority="776">
      <formula>OR(IF(AJ36&lt;AK36,TRUE),IF(AND(AK36="",AJ36&lt;&gt;""),TRUE))</formula>
    </cfRule>
    <cfRule type="expression" dxfId="440" priority="777">
      <formula>IF(AJ36&gt;=AK36,IF(AJ36="",FALSE,TRUE))</formula>
    </cfRule>
  </conditionalFormatting>
  <conditionalFormatting sqref="AL36:AL37">
    <cfRule type="expression" dxfId="439" priority="774">
      <formula>OR(IF(AL36&lt;AM36,TRUE),IF(AND(AM36="",AL36&lt;&gt;""),TRUE))</formula>
    </cfRule>
    <cfRule type="expression" dxfId="438" priority="775">
      <formula>IF(AL36&gt;=AM36,IF(AL36="",FALSE,TRUE))</formula>
    </cfRule>
  </conditionalFormatting>
  <conditionalFormatting sqref="AQ36:AQ37">
    <cfRule type="expression" dxfId="437" priority="768">
      <formula>OR(IF(AQ36&lt;AR36,TRUE),IF(AND(AR36="",AQ36&lt;&gt;""),TRUE))</formula>
    </cfRule>
    <cfRule type="expression" dxfId="436" priority="769">
      <formula>IF(AQ36&gt;=AR36,IF(AQ36="",FALSE,TRUE))</formula>
    </cfRule>
  </conditionalFormatting>
  <conditionalFormatting sqref="AS36:AS37">
    <cfRule type="expression" dxfId="435" priority="766">
      <formula>OR(IF(AS36&lt;AT36,TRUE),IF(AND(AT36="",AS36&lt;&gt;""),TRUE))</formula>
    </cfRule>
    <cfRule type="expression" dxfId="434" priority="767">
      <formula>IF(AS36&gt;=AT36,IF(AS36="",FALSE,TRUE))</formula>
    </cfRule>
  </conditionalFormatting>
  <conditionalFormatting sqref="EK36:EK37">
    <cfRule type="expression" dxfId="433" priority="656">
      <formula>OR(IF(EK36&lt;EL36,TRUE),IF(AND(EL36="",EK36&lt;&gt;""),TRUE))</formula>
    </cfRule>
    <cfRule type="expression" dxfId="432" priority="657">
      <formula>IF(EK36&gt;=EL36,IF(EK36="",FALSE,TRUE))</formula>
    </cfRule>
  </conditionalFormatting>
  <conditionalFormatting sqref="EM36:EM37">
    <cfRule type="expression" dxfId="431" priority="654">
      <formula>OR(IF(EM36&lt;EN36,TRUE),IF(AND(EN36="",EM36&lt;&gt;""),TRUE))</formula>
    </cfRule>
    <cfRule type="expression" dxfId="430" priority="655">
      <formula>IF(EM36&gt;=EN36,IF(EM36="",FALSE,TRUE))</formula>
    </cfRule>
  </conditionalFormatting>
  <conditionalFormatting sqref="ER36:ER37">
    <cfRule type="expression" dxfId="429" priority="648">
      <formula>OR(IF(ER36&lt;ES36,TRUE),IF(AND(ES36="",ER36&lt;&gt;""),TRUE))</formula>
    </cfRule>
    <cfRule type="expression" dxfId="428" priority="649">
      <formula>IF(ER36&gt;=ES36,IF(ER36="",FALSE,TRUE))</formula>
    </cfRule>
  </conditionalFormatting>
  <conditionalFormatting sqref="ET36:ET37">
    <cfRule type="expression" dxfId="427" priority="646">
      <formula>OR(IF(ET36&lt;EU36,TRUE),IF(AND(EU36="",ET36&lt;&gt;""),TRUE))</formula>
    </cfRule>
    <cfRule type="expression" dxfId="426" priority="647">
      <formula>IF(ET36&gt;=EU36,IF(ET36="",FALSE,TRUE))</formula>
    </cfRule>
  </conditionalFormatting>
  <conditionalFormatting sqref="EY36:EY37">
    <cfRule type="expression" dxfId="425" priority="640">
      <formula>OR(IF(EY36&lt;EZ36,TRUE),IF(AND(EZ36="",EY36&lt;&gt;""),TRUE))</formula>
    </cfRule>
    <cfRule type="expression" dxfId="424" priority="641">
      <formula>IF(EY36&gt;=EZ36,IF(EY36="",FALSE,TRUE))</formula>
    </cfRule>
  </conditionalFormatting>
  <conditionalFormatting sqref="FA36:FA37">
    <cfRule type="expression" dxfId="423" priority="638">
      <formula>OR(IF(FA36&lt;FB36,TRUE),IF(AND(FB36="",FA36&lt;&gt;""),TRUE))</formula>
    </cfRule>
    <cfRule type="expression" dxfId="422" priority="639">
      <formula>IF(FA36&gt;=FB36,IF(FA36="",FALSE,TRUE))</formula>
    </cfRule>
  </conditionalFormatting>
  <conditionalFormatting sqref="FF36:FF37">
    <cfRule type="expression" dxfId="421" priority="632">
      <formula>OR(IF(FF36&lt;FG36,TRUE),IF(AND(FG36="",FF36&lt;&gt;""),TRUE))</formula>
    </cfRule>
    <cfRule type="expression" dxfId="420" priority="633">
      <formula>IF(FF36&gt;=FG36,IF(FF36="",FALSE,TRUE))</formula>
    </cfRule>
  </conditionalFormatting>
  <conditionalFormatting sqref="FH36:FH37">
    <cfRule type="expression" dxfId="419" priority="630">
      <formula>OR(IF(FH36&lt;FI36,TRUE),IF(AND(FI36="",FH36&lt;&gt;""),TRUE))</formula>
    </cfRule>
    <cfRule type="expression" dxfId="418" priority="631">
      <formula>IF(FH36&gt;=FI36,IF(FH36="",FALSE,TRUE))</formula>
    </cfRule>
  </conditionalFormatting>
  <conditionalFormatting sqref="FM36:FM37">
    <cfRule type="expression" dxfId="417" priority="624">
      <formula>OR(IF(FM36&lt;FN36,TRUE),IF(AND(FN36="",FM36&lt;&gt;""),TRUE))</formula>
    </cfRule>
    <cfRule type="expression" dxfId="416" priority="625">
      <formula>IF(FM36&gt;=FN36,IF(FM36="",FALSE,TRUE))</formula>
    </cfRule>
  </conditionalFormatting>
  <conditionalFormatting sqref="FO36:FO37">
    <cfRule type="expression" dxfId="415" priority="622">
      <formula>OR(IF(FO36&lt;FP36,TRUE),IF(AND(FP36="",FO36&lt;&gt;""),TRUE))</formula>
    </cfRule>
    <cfRule type="expression" dxfId="414" priority="623">
      <formula>IF(FO36&gt;=FP36,IF(FO36="",FALSE,TRUE))</formula>
    </cfRule>
  </conditionalFormatting>
  <conditionalFormatting sqref="FT36:FT37">
    <cfRule type="expression" dxfId="413" priority="616">
      <formula>OR(IF(FT36&lt;FU36,TRUE),IF(AND(FU36="",FT36&lt;&gt;""),TRUE))</formula>
    </cfRule>
    <cfRule type="expression" dxfId="412" priority="617">
      <formula>IF(FT36&gt;=FU36,IF(FT36="",FALSE,TRUE))</formula>
    </cfRule>
  </conditionalFormatting>
  <conditionalFormatting sqref="FV36:FV37">
    <cfRule type="expression" dxfId="411" priority="614">
      <formula>OR(IF(FV36&lt;FW36,TRUE),IF(AND(FW36="",FV36&lt;&gt;""),TRUE))</formula>
    </cfRule>
    <cfRule type="expression" dxfId="410" priority="615">
      <formula>IF(FV36&gt;=FW36,IF(FV36="",FALSE,TRUE))</formula>
    </cfRule>
  </conditionalFormatting>
  <conditionalFormatting sqref="GA36:GA37">
    <cfRule type="expression" dxfId="409" priority="608">
      <formula>OR(IF(GA36&lt;GB36,TRUE),IF(AND(GB36="",GA36&lt;&gt;""),TRUE))</formula>
    </cfRule>
    <cfRule type="expression" dxfId="408" priority="609">
      <formula>IF(GA36&gt;=GB36,IF(GA36="",FALSE,TRUE))</formula>
    </cfRule>
  </conditionalFormatting>
  <conditionalFormatting sqref="GC36:GC37">
    <cfRule type="expression" dxfId="407" priority="606">
      <formula>OR(IF(GC36&lt;GD36,TRUE),IF(AND(GD36="",GC36&lt;&gt;""),TRUE))</formula>
    </cfRule>
    <cfRule type="expression" dxfId="406" priority="607">
      <formula>IF(GC36&gt;=GD36,IF(GC36="",FALSE,TRUE))</formula>
    </cfRule>
  </conditionalFormatting>
  <conditionalFormatting sqref="J36:K43">
    <cfRule type="colorScale" priority="2186">
      <colorScale>
        <cfvo type="percent" val="0"/>
        <cfvo type="percent" val="100"/>
        <color rgb="FFFF231B"/>
        <color rgb="FF10FF07"/>
      </colorScale>
    </cfRule>
  </conditionalFormatting>
  <conditionalFormatting sqref="V69:V72">
    <cfRule type="expression" dxfId="405" priority="595">
      <formula>OR(IF(V69&lt;W69,TRUE),IF(AND(W69="",V69&lt;&gt;""),TRUE))</formula>
    </cfRule>
    <cfRule type="expression" dxfId="404" priority="596">
      <formula>IF(V69&gt;=W69,IF(V69="",FALSE,TRUE))</formula>
    </cfRule>
  </conditionalFormatting>
  <conditionalFormatting sqref="X69:X72">
    <cfRule type="expression" dxfId="403" priority="593">
      <formula>OR(IF(X69&lt;Y69,TRUE),IF(AND(Y69="",X69&lt;&gt;""),TRUE))</formula>
    </cfRule>
    <cfRule type="expression" dxfId="402" priority="594">
      <formula>IF(X69&gt;=Y69,IF(X69="",FALSE,TRUE))</formula>
    </cfRule>
  </conditionalFormatting>
  <conditionalFormatting sqref="BZ69:BZ72">
    <cfRule type="expression" dxfId="401" priority="563">
      <formula>OR(IF(BZ69&lt;CA69,TRUE),IF(AND(CA69="",BZ69&lt;&gt;""),TRUE))</formula>
    </cfRule>
    <cfRule type="expression" dxfId="400" priority="564">
      <formula>IF(BZ69&gt;=CA69,IF(BZ69="",FALSE,TRUE))</formula>
    </cfRule>
  </conditionalFormatting>
  <conditionalFormatting sqref="CB69:CB72">
    <cfRule type="expression" dxfId="399" priority="561">
      <formula>OR(IF(CB69&lt;CC69,TRUE),IF(AND(CC69="",CB69&lt;&gt;""),TRUE))</formula>
    </cfRule>
    <cfRule type="expression" dxfId="398" priority="562">
      <formula>IF(CB69&gt;=CC69,IF(CB69="",FALSE,TRUE))</formula>
    </cfRule>
  </conditionalFormatting>
  <conditionalFormatting sqref="ED69:ED72">
    <cfRule type="expression" dxfId="397" priority="531">
      <formula>OR(IF(ED69&lt;EE69,TRUE),IF(AND(EE69="",ED69&lt;&gt;""),TRUE))</formula>
    </cfRule>
    <cfRule type="expression" dxfId="396" priority="532">
      <formula>IF(ED69&gt;=EE69,IF(ED69="",FALSE,TRUE))</formula>
    </cfRule>
  </conditionalFormatting>
  <conditionalFormatting sqref="EF69:EF72">
    <cfRule type="expression" dxfId="395" priority="529">
      <formula>OR(IF(EF69&lt;EG69,TRUE),IF(AND(EG69="",EF69&lt;&gt;""),TRUE))</formula>
    </cfRule>
    <cfRule type="expression" dxfId="394" priority="530">
      <formula>IF(EF69&gt;=EG69,IF(EF69="",FALSE,TRUE))</formula>
    </cfRule>
  </conditionalFormatting>
  <conditionalFormatting sqref="O69:O72">
    <cfRule type="expression" dxfId="393" priority="599">
      <formula>OR(IF(O69&lt;P69,TRUE),IF(AND(P69="",O69&lt;&gt;""),TRUE))</formula>
    </cfRule>
    <cfRule type="expression" dxfId="392" priority="600">
      <formula>IF(O69&gt;=P69,IF(O69="",FALSE,TRUE))</formula>
    </cfRule>
  </conditionalFormatting>
  <conditionalFormatting sqref="Q69:Q72">
    <cfRule type="expression" dxfId="391" priority="597">
      <formula>OR(IF(Q69&lt;R69,TRUE),IF(AND(R69="",Q69&lt;&gt;""),TRUE))</formula>
    </cfRule>
    <cfRule type="expression" dxfId="390" priority="598">
      <formula>IF(Q69&gt;=R69,IF(Q69="",FALSE,TRUE))</formula>
    </cfRule>
  </conditionalFormatting>
  <conditionalFormatting sqref="AQ69:AQ72">
    <cfRule type="expression" dxfId="389" priority="583">
      <formula>OR(IF(AQ69&lt;AR69,TRUE),IF(AND(AR69="",AQ69&lt;&gt;""),TRUE))</formula>
    </cfRule>
    <cfRule type="expression" dxfId="388" priority="584">
      <formula>IF(AQ69&gt;=AR69,IF(AQ69="",FALSE,TRUE))</formula>
    </cfRule>
  </conditionalFormatting>
  <conditionalFormatting sqref="AS69:AS72">
    <cfRule type="expression" dxfId="387" priority="581">
      <formula>OR(IF(AS69&lt;AT69,TRUE),IF(AND(AT69="",AS69&lt;&gt;""),TRUE))</formula>
    </cfRule>
    <cfRule type="expression" dxfId="386" priority="582">
      <formula>IF(AS69&gt;=AT69,IF(AS69="",FALSE,TRUE))</formula>
    </cfRule>
  </conditionalFormatting>
  <conditionalFormatting sqref="BE69:BE72">
    <cfRule type="expression" dxfId="385" priority="575">
      <formula>OR(IF(BE69&lt;BF69,TRUE),IF(AND(BF69="",BE69&lt;&gt;""),TRUE))</formula>
    </cfRule>
    <cfRule type="expression" dxfId="384" priority="576">
      <formula>IF(BE69&gt;=BF69,IF(BE69="",FALSE,TRUE))</formula>
    </cfRule>
  </conditionalFormatting>
  <conditionalFormatting sqref="BG69:BG72">
    <cfRule type="expression" dxfId="383" priority="573">
      <formula>OR(IF(BG69&lt;BH69,TRUE),IF(AND(BH69="",BG69&lt;&gt;""),TRUE))</formula>
    </cfRule>
    <cfRule type="expression" dxfId="382" priority="574">
      <formula>IF(BG69&gt;=BH69,IF(BG69="",FALSE,TRUE))</formula>
    </cfRule>
  </conditionalFormatting>
  <conditionalFormatting sqref="AC69:AC72">
    <cfRule type="expression" dxfId="381" priority="591">
      <formula>OR(IF(AC69&lt;AD69,TRUE),IF(AND(AD69="",AC69&lt;&gt;""),TRUE))</formula>
    </cfRule>
    <cfRule type="expression" dxfId="380" priority="592">
      <formula>IF(AC69&gt;=AD69,IF(AC69="",FALSE,TRUE))</formula>
    </cfRule>
  </conditionalFormatting>
  <conditionalFormatting sqref="AE69:AE72">
    <cfRule type="expression" dxfId="379" priority="589">
      <formula>OR(IF(AE69&lt;AF69,TRUE),IF(AND(AF69="",AE69&lt;&gt;""),TRUE))</formula>
    </cfRule>
    <cfRule type="expression" dxfId="378" priority="590">
      <formula>IF(AE69&gt;=AF69,IF(AE69="",FALSE,TRUE))</formula>
    </cfRule>
  </conditionalFormatting>
  <conditionalFormatting sqref="AJ69:AJ72">
    <cfRule type="expression" dxfId="377" priority="587">
      <formula>OR(IF(AJ69&lt;AK69,TRUE),IF(AND(AK69="",AJ69&lt;&gt;""),TRUE))</formula>
    </cfRule>
    <cfRule type="expression" dxfId="376" priority="588">
      <formula>IF(AJ69&gt;=AK69,IF(AJ69="",FALSE,TRUE))</formula>
    </cfRule>
  </conditionalFormatting>
  <conditionalFormatting sqref="AL69:AL72">
    <cfRule type="expression" dxfId="375" priority="585">
      <formula>OR(IF(AL69&lt;AM69,TRUE),IF(AND(AM69="",AL69&lt;&gt;""),TRUE))</formula>
    </cfRule>
    <cfRule type="expression" dxfId="374" priority="586">
      <formula>IF(AL69&gt;=AM69,IF(AL69="",FALSE,TRUE))</formula>
    </cfRule>
  </conditionalFormatting>
  <conditionalFormatting sqref="AX69:AX72">
    <cfRule type="expression" dxfId="373" priority="579">
      <formula>OR(IF(AX69&lt;AY69,TRUE),IF(AND(AY69="",AX69&lt;&gt;""),TRUE))</formula>
    </cfRule>
    <cfRule type="expression" dxfId="372" priority="580">
      <formula>IF(AX69&gt;=AY69,IF(AX69="",FALSE,TRUE))</formula>
    </cfRule>
  </conditionalFormatting>
  <conditionalFormatting sqref="AZ69:AZ72">
    <cfRule type="expression" dxfId="371" priority="577">
      <formula>OR(IF(AZ69&lt;BA69,TRUE),IF(AND(BA69="",AZ69&lt;&gt;""),TRUE))</formula>
    </cfRule>
    <cfRule type="expression" dxfId="370" priority="578">
      <formula>IF(AZ69&gt;=BA69,IF(AZ69="",FALSE,TRUE))</formula>
    </cfRule>
  </conditionalFormatting>
  <conditionalFormatting sqref="BL69:BL72">
    <cfRule type="expression" dxfId="369" priority="571">
      <formula>OR(IF(BL69&lt;BM69,TRUE),IF(AND(BM69="",BL69&lt;&gt;""),TRUE))</formula>
    </cfRule>
    <cfRule type="expression" dxfId="368" priority="572">
      <formula>IF(BL69&gt;=BM69,IF(BL69="",FALSE,TRUE))</formula>
    </cfRule>
  </conditionalFormatting>
  <conditionalFormatting sqref="BN69:BN72">
    <cfRule type="expression" dxfId="367" priority="569">
      <formula>OR(IF(BN69&lt;BO69,TRUE),IF(AND(BO69="",BN69&lt;&gt;""),TRUE))</formula>
    </cfRule>
    <cfRule type="expression" dxfId="366" priority="570">
      <formula>IF(BN69&gt;=BO69,IF(BN69="",FALSE,TRUE))</formula>
    </cfRule>
  </conditionalFormatting>
  <conditionalFormatting sqref="BS69:BS72">
    <cfRule type="expression" dxfId="365" priority="567">
      <formula>OR(IF(BS69&lt;BT69,TRUE),IF(AND(BT69="",BS69&lt;&gt;""),TRUE))</formula>
    </cfRule>
    <cfRule type="expression" dxfId="364" priority="568">
      <formula>IF(BS69&gt;=BT69,IF(BS69="",FALSE,TRUE))</formula>
    </cfRule>
  </conditionalFormatting>
  <conditionalFormatting sqref="BU69:BU72">
    <cfRule type="expression" dxfId="363" priority="565">
      <formula>OR(IF(BU69&lt;BV69,TRUE),IF(AND(BV69="",BU69&lt;&gt;""),TRUE))</formula>
    </cfRule>
    <cfRule type="expression" dxfId="362" priority="566">
      <formula>IF(BU69&gt;=BV69,IF(BU69="",FALSE,TRUE))</formula>
    </cfRule>
  </conditionalFormatting>
  <conditionalFormatting sqref="CG69:CG72">
    <cfRule type="expression" dxfId="361" priority="559">
      <formula>OR(IF(CG69&lt;CH69,TRUE),IF(AND(CH69="",CG69&lt;&gt;""),TRUE))</formula>
    </cfRule>
    <cfRule type="expression" dxfId="360" priority="560">
      <formula>IF(CG69&gt;=CH69,IF(CG69="",FALSE,TRUE))</formula>
    </cfRule>
  </conditionalFormatting>
  <conditionalFormatting sqref="CI69:CI72">
    <cfRule type="expression" dxfId="359" priority="557">
      <formula>OR(IF(CI69&lt;CJ69,TRUE),IF(AND(CJ69="",CI69&lt;&gt;""),TRUE))</formula>
    </cfRule>
    <cfRule type="expression" dxfId="358" priority="558">
      <formula>IF(CI69&gt;=CJ69,IF(CI69="",FALSE,TRUE))</formula>
    </cfRule>
  </conditionalFormatting>
  <conditionalFormatting sqref="CN69:CN72">
    <cfRule type="expression" dxfId="357" priority="555">
      <formula>OR(IF(CN69&lt;CO69,TRUE),IF(AND(CO69="",CN69&lt;&gt;""),TRUE))</formula>
    </cfRule>
    <cfRule type="expression" dxfId="356" priority="556">
      <formula>IF(CN69&gt;=CO69,IF(CN69="",FALSE,TRUE))</formula>
    </cfRule>
  </conditionalFormatting>
  <conditionalFormatting sqref="CP69:CP72">
    <cfRule type="expression" dxfId="355" priority="553">
      <formula>OR(IF(CP69&lt;CQ69,TRUE),IF(AND(CQ69="",CP69&lt;&gt;""),TRUE))</formula>
    </cfRule>
    <cfRule type="expression" dxfId="354" priority="554">
      <formula>IF(CP69&gt;=CQ69,IF(CP69="",FALSE,TRUE))</formula>
    </cfRule>
  </conditionalFormatting>
  <conditionalFormatting sqref="CU69:CU72">
    <cfRule type="expression" dxfId="353" priority="551">
      <formula>OR(IF(CU69&lt;CV69,TRUE),IF(AND(CV69="",CU69&lt;&gt;""),TRUE))</formula>
    </cfRule>
    <cfRule type="expression" dxfId="352" priority="552">
      <formula>IF(CU69&gt;=CV69,IF(CU69="",FALSE,TRUE))</formula>
    </cfRule>
  </conditionalFormatting>
  <conditionalFormatting sqref="CW69:CW72">
    <cfRule type="expression" dxfId="351" priority="549">
      <formula>OR(IF(CW69&lt;CX69,TRUE),IF(AND(CX69="",CW69&lt;&gt;""),TRUE))</formula>
    </cfRule>
    <cfRule type="expression" dxfId="350" priority="550">
      <formula>IF(CW69&gt;=CX69,IF(CW69="",FALSE,TRUE))</formula>
    </cfRule>
  </conditionalFormatting>
  <conditionalFormatting sqref="DB69:DB72">
    <cfRule type="expression" dxfId="349" priority="547">
      <formula>OR(IF(DB69&lt;DC69,TRUE),IF(AND(DC69="",DB69&lt;&gt;""),TRUE))</formula>
    </cfRule>
    <cfRule type="expression" dxfId="348" priority="548">
      <formula>IF(DB69&gt;=DC69,IF(DB69="",FALSE,TRUE))</formula>
    </cfRule>
  </conditionalFormatting>
  <conditionalFormatting sqref="DD69:DD72">
    <cfRule type="expression" dxfId="347" priority="545">
      <formula>OR(IF(DD69&lt;DE69,TRUE),IF(AND(DE69="",DD69&lt;&gt;""),TRUE))</formula>
    </cfRule>
    <cfRule type="expression" dxfId="346" priority="546">
      <formula>IF(DD69&gt;=DE69,IF(DD69="",FALSE,TRUE))</formula>
    </cfRule>
  </conditionalFormatting>
  <conditionalFormatting sqref="DI69:DI72">
    <cfRule type="expression" dxfId="345" priority="543">
      <formula>OR(IF(DI69&lt;DJ69,TRUE),IF(AND(DJ69="",DI69&lt;&gt;""),TRUE))</formula>
    </cfRule>
    <cfRule type="expression" dxfId="344" priority="544">
      <formula>IF(DI69&gt;=DJ69,IF(DI69="",FALSE,TRUE))</formula>
    </cfRule>
  </conditionalFormatting>
  <conditionalFormatting sqref="DK69:DK72">
    <cfRule type="expression" dxfId="343" priority="541">
      <formula>OR(IF(DK69&lt;DL69,TRUE),IF(AND(DL69="",DK69&lt;&gt;""),TRUE))</formula>
    </cfRule>
    <cfRule type="expression" dxfId="342" priority="542">
      <formula>IF(DK69&gt;=DL69,IF(DK69="",FALSE,TRUE))</formula>
    </cfRule>
  </conditionalFormatting>
  <conditionalFormatting sqref="DP69:DP72">
    <cfRule type="expression" dxfId="341" priority="539">
      <formula>OR(IF(DP69&lt;DQ69,TRUE),IF(AND(DQ69="",DP69&lt;&gt;""),TRUE))</formula>
    </cfRule>
    <cfRule type="expression" dxfId="340" priority="540">
      <formula>IF(DP69&gt;=DQ69,IF(DP69="",FALSE,TRUE))</formula>
    </cfRule>
  </conditionalFormatting>
  <conditionalFormatting sqref="DR69:DR72">
    <cfRule type="expression" dxfId="339" priority="537">
      <formula>OR(IF(DR69&lt;DS69,TRUE),IF(AND(DS69="",DR69&lt;&gt;""),TRUE))</formula>
    </cfRule>
    <cfRule type="expression" dxfId="338" priority="538">
      <formula>IF(DR69&gt;=DS69,IF(DR69="",FALSE,TRUE))</formula>
    </cfRule>
  </conditionalFormatting>
  <conditionalFormatting sqref="DW69:DW72">
    <cfRule type="expression" dxfId="337" priority="535">
      <formula>OR(IF(DW69&lt;DX69,TRUE),IF(AND(DX69="",DW69&lt;&gt;""),TRUE))</formula>
    </cfRule>
    <cfRule type="expression" dxfId="336" priority="536">
      <formula>IF(DW69&gt;=DX69,IF(DW69="",FALSE,TRUE))</formula>
    </cfRule>
  </conditionalFormatting>
  <conditionalFormatting sqref="DY69:DY72">
    <cfRule type="expression" dxfId="335" priority="533">
      <formula>OR(IF(DY69&lt;DZ69,TRUE),IF(AND(DZ69="",DY69&lt;&gt;""),TRUE))</formula>
    </cfRule>
    <cfRule type="expression" dxfId="334" priority="534">
      <formula>IF(DY69&gt;=DZ69,IF(DY69="",FALSE,TRUE))</formula>
    </cfRule>
  </conditionalFormatting>
  <conditionalFormatting sqref="EK69:EK72">
    <cfRule type="expression" dxfId="333" priority="527">
      <formula>OR(IF(EK69&lt;EL69,TRUE),IF(AND(EL69="",EK69&lt;&gt;""),TRUE))</formula>
    </cfRule>
    <cfRule type="expression" dxfId="332" priority="528">
      <formula>IF(EK69&gt;=EL69,IF(EK69="",FALSE,TRUE))</formula>
    </cfRule>
  </conditionalFormatting>
  <conditionalFormatting sqref="EM69:EM72">
    <cfRule type="expression" dxfId="331" priority="525">
      <formula>OR(IF(EM69&lt;EN69,TRUE),IF(AND(EN69="",EM69&lt;&gt;""),TRUE))</formula>
    </cfRule>
    <cfRule type="expression" dxfId="330" priority="526">
      <formula>IF(EM69&gt;=EN69,IF(EM69="",FALSE,TRUE))</formula>
    </cfRule>
  </conditionalFormatting>
  <conditionalFormatting sqref="ER69:ER72">
    <cfRule type="expression" dxfId="329" priority="523">
      <formula>OR(IF(ER69&lt;ES69,TRUE),IF(AND(ES69="",ER69&lt;&gt;""),TRUE))</formula>
    </cfRule>
    <cfRule type="expression" dxfId="328" priority="524">
      <formula>IF(ER69&gt;=ES69,IF(ER69="",FALSE,TRUE))</formula>
    </cfRule>
  </conditionalFormatting>
  <conditionalFormatting sqref="ET69:ET72">
    <cfRule type="expression" dxfId="327" priority="521">
      <formula>OR(IF(ET69&lt;EU69,TRUE),IF(AND(EU69="",ET69&lt;&gt;""),TRUE))</formula>
    </cfRule>
    <cfRule type="expression" dxfId="326" priority="522">
      <formula>IF(ET69&gt;=EU69,IF(ET69="",FALSE,TRUE))</formula>
    </cfRule>
  </conditionalFormatting>
  <conditionalFormatting sqref="EY69:EY72">
    <cfRule type="expression" dxfId="325" priority="519">
      <formula>OR(IF(EY69&lt;EZ69,TRUE),IF(AND(EZ69="",EY69&lt;&gt;""),TRUE))</formula>
    </cfRule>
    <cfRule type="expression" dxfId="324" priority="520">
      <formula>IF(EY69&gt;=EZ69,IF(EY69="",FALSE,TRUE))</formula>
    </cfRule>
  </conditionalFormatting>
  <conditionalFormatting sqref="FA69:FA72">
    <cfRule type="expression" dxfId="323" priority="517">
      <formula>OR(IF(FA69&lt;FB69,TRUE),IF(AND(FB69="",FA69&lt;&gt;""),TRUE))</formula>
    </cfRule>
    <cfRule type="expression" dxfId="322" priority="518">
      <formula>IF(FA69&gt;=FB69,IF(FA69="",FALSE,TRUE))</formula>
    </cfRule>
  </conditionalFormatting>
  <conditionalFormatting sqref="FF69:FF72">
    <cfRule type="expression" dxfId="321" priority="515">
      <formula>OR(IF(FF69&lt;FG69,TRUE),IF(AND(FG69="",FF69&lt;&gt;""),TRUE))</formula>
    </cfRule>
    <cfRule type="expression" dxfId="320" priority="516">
      <formula>IF(FF69&gt;=FG69,IF(FF69="",FALSE,TRUE))</formula>
    </cfRule>
  </conditionalFormatting>
  <conditionalFormatting sqref="FH69:FH72">
    <cfRule type="expression" dxfId="319" priority="513">
      <formula>OR(IF(FH69&lt;FI69,TRUE),IF(AND(FI69="",FH69&lt;&gt;""),TRUE))</formula>
    </cfRule>
    <cfRule type="expression" dxfId="318" priority="514">
      <formula>IF(FH69&gt;=FI69,IF(FH69="",FALSE,TRUE))</formula>
    </cfRule>
  </conditionalFormatting>
  <conditionalFormatting sqref="FM69:FM72">
    <cfRule type="expression" dxfId="317" priority="511">
      <formula>OR(IF(FM69&lt;FN69,TRUE),IF(AND(FN69="",FM69&lt;&gt;""),TRUE))</formula>
    </cfRule>
    <cfRule type="expression" dxfId="316" priority="512">
      <formula>IF(FM69&gt;=FN69,IF(FM69="",FALSE,TRUE))</formula>
    </cfRule>
  </conditionalFormatting>
  <conditionalFormatting sqref="FO69:FO72">
    <cfRule type="expression" dxfId="315" priority="509">
      <formula>OR(IF(FO69&lt;FP69,TRUE),IF(AND(FP69="",FO69&lt;&gt;""),TRUE))</formula>
    </cfRule>
    <cfRule type="expression" dxfId="314" priority="510">
      <formula>IF(FO69&gt;=FP69,IF(FO69="",FALSE,TRUE))</formula>
    </cfRule>
  </conditionalFormatting>
  <conditionalFormatting sqref="FT69:FT72">
    <cfRule type="expression" dxfId="313" priority="507">
      <formula>OR(IF(FT69&lt;FU69,TRUE),IF(AND(FU69="",FT69&lt;&gt;""),TRUE))</formula>
    </cfRule>
    <cfRule type="expression" dxfId="312" priority="508">
      <formula>IF(FT69&gt;=FU69,IF(FT69="",FALSE,TRUE))</formula>
    </cfRule>
  </conditionalFormatting>
  <conditionalFormatting sqref="FV69:FV72">
    <cfRule type="expression" dxfId="311" priority="505">
      <formula>OR(IF(FV69&lt;FW69,TRUE),IF(AND(FW69="",FV69&lt;&gt;""),TRUE))</formula>
    </cfRule>
    <cfRule type="expression" dxfId="310" priority="506">
      <formula>IF(FV69&gt;=FW69,IF(FV69="",FALSE,TRUE))</formula>
    </cfRule>
  </conditionalFormatting>
  <conditionalFormatting sqref="GA69:GA72">
    <cfRule type="expression" dxfId="309" priority="503">
      <formula>OR(IF(GA69&lt;GB69,TRUE),IF(AND(GB69="",GA69&lt;&gt;""),TRUE))</formula>
    </cfRule>
    <cfRule type="expression" dxfId="308" priority="504">
      <formula>IF(GA69&gt;=GB69,IF(GA69="",FALSE,TRUE))</formula>
    </cfRule>
  </conditionalFormatting>
  <conditionalFormatting sqref="GC69:GC72">
    <cfRule type="expression" dxfId="307" priority="501">
      <formula>OR(IF(GC69&lt;GD69,TRUE),IF(AND(GD69="",GC69&lt;&gt;""),TRUE))</formula>
    </cfRule>
    <cfRule type="expression" dxfId="306" priority="502">
      <formula>IF(GC69&gt;=GD69,IF(GC69="",FALSE,TRUE))</formula>
    </cfRule>
  </conditionalFormatting>
  <conditionalFormatting sqref="J69:K72">
    <cfRule type="colorScale" priority="2187">
      <colorScale>
        <cfvo type="percent" val="0"/>
        <cfvo type="percent" val="100"/>
        <color rgb="FFFF231B"/>
        <color rgb="FF10FF07"/>
      </colorScale>
    </cfRule>
  </conditionalFormatting>
  <conditionalFormatting sqref="J75:K82">
    <cfRule type="colorScale" priority="2506">
      <colorScale>
        <cfvo type="percent" val="0"/>
        <cfvo type="percent" val="100"/>
        <color rgb="FFFF231B"/>
        <color rgb="FF10FF07"/>
      </colorScale>
    </cfRule>
  </conditionalFormatting>
  <conditionalFormatting sqref="AZ38 AX38">
    <cfRule type="expression" dxfId="305" priority="297">
      <formula>OR(IF(AX38&lt;AY38,TRUE),IF(AND(AY38="",AX38&lt;&gt;""),TRUE))</formula>
    </cfRule>
    <cfRule type="expression" dxfId="304" priority="298">
      <formula>IF(AX38&gt;=AY38,IF(AX38="",FALSE,TRUE))</formula>
    </cfRule>
  </conditionalFormatting>
  <conditionalFormatting sqref="AX36:AX37">
    <cfRule type="expression" dxfId="303" priority="295">
      <formula>OR(IF(AX36&lt;AY36,TRUE),IF(AND(AY36="",AX36&lt;&gt;""),TRUE))</formula>
    </cfRule>
    <cfRule type="expression" dxfId="302" priority="296">
      <formula>IF(AX36&gt;=AY36,IF(AX36="",FALSE,TRUE))</formula>
    </cfRule>
  </conditionalFormatting>
  <conditionalFormatting sqref="AZ36:AZ37">
    <cfRule type="expression" dxfId="301" priority="293">
      <formula>OR(IF(AZ36&lt;BA36,TRUE),IF(AND(BA36="",AZ36&lt;&gt;""),TRUE))</formula>
    </cfRule>
    <cfRule type="expression" dxfId="300" priority="294">
      <formula>IF(AZ36&gt;=BA36,IF(AZ36="",FALSE,TRUE))</formula>
    </cfRule>
  </conditionalFormatting>
  <conditionalFormatting sqref="BG38 BE38">
    <cfRule type="expression" dxfId="299" priority="291">
      <formula>OR(IF(BE38&lt;BF38,TRUE),IF(AND(BF38="",BE38&lt;&gt;""),TRUE))</formula>
    </cfRule>
    <cfRule type="expression" dxfId="298" priority="292">
      <formula>IF(BE38&gt;=BF38,IF(BE38="",FALSE,TRUE))</formula>
    </cfRule>
  </conditionalFormatting>
  <conditionalFormatting sqref="BE36:BE37">
    <cfRule type="expression" dxfId="297" priority="289">
      <formula>OR(IF(BE36&lt;BF36,TRUE),IF(AND(BF36="",BE36&lt;&gt;""),TRUE))</formula>
    </cfRule>
    <cfRule type="expression" dxfId="296" priority="290">
      <formula>IF(BE36&gt;=BF36,IF(BE36="",FALSE,TRUE))</formula>
    </cfRule>
  </conditionalFormatting>
  <conditionalFormatting sqref="BG36:BG37">
    <cfRule type="expression" dxfId="295" priority="287">
      <formula>OR(IF(BG36&lt;BH36,TRUE),IF(AND(BH36="",BG36&lt;&gt;""),TRUE))</formula>
    </cfRule>
    <cfRule type="expression" dxfId="294" priority="288">
      <formula>IF(BG36&gt;=BH36,IF(BG36="",FALSE,TRUE))</formula>
    </cfRule>
  </conditionalFormatting>
  <conditionalFormatting sqref="BN38 BL38">
    <cfRule type="expression" dxfId="293" priority="285">
      <formula>OR(IF(BL38&lt;BM38,TRUE),IF(AND(BM38="",BL38&lt;&gt;""),TRUE))</formula>
    </cfRule>
    <cfRule type="expression" dxfId="292" priority="286">
      <formula>IF(BL38&gt;=BM38,IF(BL38="",FALSE,TRUE))</formula>
    </cfRule>
  </conditionalFormatting>
  <conditionalFormatting sqref="BL36:BL37">
    <cfRule type="expression" dxfId="291" priority="283">
      <formula>OR(IF(BL36&lt;BM36,TRUE),IF(AND(BM36="",BL36&lt;&gt;""),TRUE))</formula>
    </cfRule>
    <cfRule type="expression" dxfId="290" priority="284">
      <formula>IF(BL36&gt;=BM36,IF(BL36="",FALSE,TRUE))</formula>
    </cfRule>
  </conditionalFormatting>
  <conditionalFormatting sqref="BN36:BN37">
    <cfRule type="expression" dxfId="289" priority="281">
      <formula>OR(IF(BN36&lt;BO36,TRUE),IF(AND(BO36="",BN36&lt;&gt;""),TRUE))</formula>
    </cfRule>
    <cfRule type="expression" dxfId="288" priority="282">
      <formula>IF(BN36&gt;=BO36,IF(BN36="",FALSE,TRUE))</formula>
    </cfRule>
  </conditionalFormatting>
  <conditionalFormatting sqref="BU38 BS38">
    <cfRule type="expression" dxfId="287" priority="279">
      <formula>OR(IF(BS38&lt;BT38,TRUE),IF(AND(BT38="",BS38&lt;&gt;""),TRUE))</formula>
    </cfRule>
    <cfRule type="expression" dxfId="286" priority="280">
      <formula>IF(BS38&gt;=BT38,IF(BS38="",FALSE,TRUE))</formula>
    </cfRule>
  </conditionalFormatting>
  <conditionalFormatting sqref="BS36:BS37">
    <cfRule type="expression" dxfId="285" priority="277">
      <formula>OR(IF(BS36&lt;BT36,TRUE),IF(AND(BT36="",BS36&lt;&gt;""),TRUE))</formula>
    </cfRule>
    <cfRule type="expression" dxfId="284" priority="278">
      <formula>IF(BS36&gt;=BT36,IF(BS36="",FALSE,TRUE))</formula>
    </cfRule>
  </conditionalFormatting>
  <conditionalFormatting sqref="BU36:BU37">
    <cfRule type="expression" dxfId="283" priority="275">
      <formula>OR(IF(BU36&lt;BV36,TRUE),IF(AND(BV36="",BU36&lt;&gt;""),TRUE))</formula>
    </cfRule>
    <cfRule type="expression" dxfId="282" priority="276">
      <formula>IF(BU36&gt;=BV36,IF(BU36="",FALSE,TRUE))</formula>
    </cfRule>
  </conditionalFormatting>
  <conditionalFormatting sqref="CB38 BZ38">
    <cfRule type="expression" dxfId="281" priority="273">
      <formula>OR(IF(BZ38&lt;CA38,TRUE),IF(AND(CA38="",BZ38&lt;&gt;""),TRUE))</formula>
    </cfRule>
    <cfRule type="expression" dxfId="280" priority="274">
      <formula>IF(BZ38&gt;=CA38,IF(BZ38="",FALSE,TRUE))</formula>
    </cfRule>
  </conditionalFormatting>
  <conditionalFormatting sqref="BZ36:BZ37">
    <cfRule type="expression" dxfId="279" priority="271">
      <formula>OR(IF(BZ36&lt;CA36,TRUE),IF(AND(CA36="",BZ36&lt;&gt;""),TRUE))</formula>
    </cfRule>
    <cfRule type="expression" dxfId="278" priority="272">
      <formula>IF(BZ36&gt;=CA36,IF(BZ36="",FALSE,TRUE))</formula>
    </cfRule>
  </conditionalFormatting>
  <conditionalFormatting sqref="CB36:CB37">
    <cfRule type="expression" dxfId="277" priority="269">
      <formula>OR(IF(CB36&lt;CC36,TRUE),IF(AND(CC36="",CB36&lt;&gt;""),TRUE))</formula>
    </cfRule>
    <cfRule type="expression" dxfId="276" priority="270">
      <formula>IF(CB36&gt;=CC36,IF(CB36="",FALSE,TRUE))</formula>
    </cfRule>
  </conditionalFormatting>
  <conditionalFormatting sqref="CI38 CG38">
    <cfRule type="expression" dxfId="275" priority="267">
      <formula>OR(IF(CG38&lt;CH38,TRUE),IF(AND(CH38="",CG38&lt;&gt;""),TRUE))</formula>
    </cfRule>
    <cfRule type="expression" dxfId="274" priority="268">
      <formula>IF(CG38&gt;=CH38,IF(CG38="",FALSE,TRUE))</formula>
    </cfRule>
  </conditionalFormatting>
  <conditionalFormatting sqref="CG36:CG37">
    <cfRule type="expression" dxfId="273" priority="265">
      <formula>OR(IF(CG36&lt;CH36,TRUE),IF(AND(CH36="",CG36&lt;&gt;""),TRUE))</formula>
    </cfRule>
    <cfRule type="expression" dxfId="272" priority="266">
      <formula>IF(CG36&gt;=CH36,IF(CG36="",FALSE,TRUE))</formula>
    </cfRule>
  </conditionalFormatting>
  <conditionalFormatting sqref="CI36:CI37">
    <cfRule type="expression" dxfId="271" priority="263">
      <formula>OR(IF(CI36&lt;CJ36,TRUE),IF(AND(CJ36="",CI36&lt;&gt;""),TRUE))</formula>
    </cfRule>
    <cfRule type="expression" dxfId="270" priority="264">
      <formula>IF(CI36&gt;=CJ36,IF(CI36="",FALSE,TRUE))</formula>
    </cfRule>
  </conditionalFormatting>
  <conditionalFormatting sqref="CP38 CN38">
    <cfRule type="expression" dxfId="269" priority="261">
      <formula>OR(IF(CN38&lt;CO38,TRUE),IF(AND(CO38="",CN38&lt;&gt;""),TRUE))</formula>
    </cfRule>
    <cfRule type="expression" dxfId="268" priority="262">
      <formula>IF(CN38&gt;=CO38,IF(CN38="",FALSE,TRUE))</formula>
    </cfRule>
  </conditionalFormatting>
  <conditionalFormatting sqref="CN36:CN37">
    <cfRule type="expression" dxfId="267" priority="259">
      <formula>OR(IF(CN36&lt;CO36,TRUE),IF(AND(CO36="",CN36&lt;&gt;""),TRUE))</formula>
    </cfRule>
    <cfRule type="expression" dxfId="266" priority="260">
      <formula>IF(CN36&gt;=CO36,IF(CN36="",FALSE,TRUE))</formula>
    </cfRule>
  </conditionalFormatting>
  <conditionalFormatting sqref="CP36:CP37">
    <cfRule type="expression" dxfId="265" priority="257">
      <formula>OR(IF(CP36&lt;CQ36,TRUE),IF(AND(CQ36="",CP36&lt;&gt;""),TRUE))</formula>
    </cfRule>
    <cfRule type="expression" dxfId="264" priority="258">
      <formula>IF(CP36&gt;=CQ36,IF(CP36="",FALSE,TRUE))</formula>
    </cfRule>
  </conditionalFormatting>
  <conditionalFormatting sqref="CW39 CU39">
    <cfRule type="expression" dxfId="263" priority="255">
      <formula>OR(IF(CU39&lt;CV39,TRUE),IF(AND(CV39="",CU39&lt;&gt;""),TRUE))</formula>
    </cfRule>
    <cfRule type="expression" dxfId="262" priority="256">
      <formula>IF(CU39&gt;=CV39,IF(CU39="",FALSE,TRUE))</formula>
    </cfRule>
  </conditionalFormatting>
  <conditionalFormatting sqref="CW38 CU38">
    <cfRule type="expression" dxfId="261" priority="253">
      <formula>OR(IF(CU38&lt;CV38,TRUE),IF(AND(CV38="",CU38&lt;&gt;""),TRUE))</formula>
    </cfRule>
    <cfRule type="expression" dxfId="260" priority="254">
      <formula>IF(CU38&gt;=CV38,IF(CU38="",FALSE,TRUE))</formula>
    </cfRule>
  </conditionalFormatting>
  <conditionalFormatting sqref="CU36:CU37">
    <cfRule type="expression" dxfId="259" priority="251">
      <formula>OR(IF(CU36&lt;CV36,TRUE),IF(AND(CV36="",CU36&lt;&gt;""),TRUE))</formula>
    </cfRule>
    <cfRule type="expression" dxfId="258" priority="252">
      <formula>IF(CU36&gt;=CV36,IF(CU36="",FALSE,TRUE))</formula>
    </cfRule>
  </conditionalFormatting>
  <conditionalFormatting sqref="CW36:CW37">
    <cfRule type="expression" dxfId="257" priority="249">
      <formula>OR(IF(CW36&lt;CX36,TRUE),IF(AND(CX36="",CW36&lt;&gt;""),TRUE))</formula>
    </cfRule>
    <cfRule type="expression" dxfId="256" priority="250">
      <formula>IF(CW36&gt;=CX36,IF(CW36="",FALSE,TRUE))</formula>
    </cfRule>
  </conditionalFormatting>
  <conditionalFormatting sqref="DD39 DB39">
    <cfRule type="expression" dxfId="255" priority="247">
      <formula>OR(IF(DB39&lt;DC39,TRUE),IF(AND(DC39="",DB39&lt;&gt;""),TRUE))</formula>
    </cfRule>
    <cfRule type="expression" dxfId="254" priority="248">
      <formula>IF(DB39&gt;=DC39,IF(DB39="",FALSE,TRUE))</formula>
    </cfRule>
  </conditionalFormatting>
  <conditionalFormatting sqref="DD38 DB38">
    <cfRule type="expression" dxfId="253" priority="245">
      <formula>OR(IF(DB38&lt;DC38,TRUE),IF(AND(DC38="",DB38&lt;&gt;""),TRUE))</formula>
    </cfRule>
    <cfRule type="expression" dxfId="252" priority="246">
      <formula>IF(DB38&gt;=DC38,IF(DB38="",FALSE,TRUE))</formula>
    </cfRule>
  </conditionalFormatting>
  <conditionalFormatting sqref="DB36:DB37">
    <cfRule type="expression" dxfId="251" priority="243">
      <formula>OR(IF(DB36&lt;DC36,TRUE),IF(AND(DC36="",DB36&lt;&gt;""),TRUE))</formula>
    </cfRule>
    <cfRule type="expression" dxfId="250" priority="244">
      <formula>IF(DB36&gt;=DC36,IF(DB36="",FALSE,TRUE))</formula>
    </cfRule>
  </conditionalFormatting>
  <conditionalFormatting sqref="DD36:DD37">
    <cfRule type="expression" dxfId="249" priority="241">
      <formula>OR(IF(DD36&lt;DE36,TRUE),IF(AND(DE36="",DD36&lt;&gt;""),TRUE))</formula>
    </cfRule>
    <cfRule type="expression" dxfId="248" priority="242">
      <formula>IF(DD36&gt;=DE36,IF(DD36="",FALSE,TRUE))</formula>
    </cfRule>
  </conditionalFormatting>
  <conditionalFormatting sqref="DK40 DI40">
    <cfRule type="expression" dxfId="247" priority="239">
      <formula>OR(IF(DI40&lt;DJ40,TRUE),IF(AND(DJ40="",DI40&lt;&gt;""),TRUE))</formula>
    </cfRule>
    <cfRule type="expression" dxfId="246" priority="240">
      <formula>IF(DI40&gt;=DJ40,IF(DI40="",FALSE,TRUE))</formula>
    </cfRule>
  </conditionalFormatting>
  <conditionalFormatting sqref="DK39 DI39">
    <cfRule type="expression" dxfId="245" priority="237">
      <formula>OR(IF(DI39&lt;DJ39,TRUE),IF(AND(DJ39="",DI39&lt;&gt;""),TRUE))</formula>
    </cfRule>
    <cfRule type="expression" dxfId="244" priority="238">
      <formula>IF(DI39&gt;=DJ39,IF(DI39="",FALSE,TRUE))</formula>
    </cfRule>
  </conditionalFormatting>
  <conditionalFormatting sqref="DK38 DI38">
    <cfRule type="expression" dxfId="243" priority="235">
      <formula>OR(IF(DI38&lt;DJ38,TRUE),IF(AND(DJ38="",DI38&lt;&gt;""),TRUE))</formula>
    </cfRule>
    <cfRule type="expression" dxfId="242" priority="236">
      <formula>IF(DI38&gt;=DJ38,IF(DI38="",FALSE,TRUE))</formula>
    </cfRule>
  </conditionalFormatting>
  <conditionalFormatting sqref="DI36:DI37">
    <cfRule type="expression" dxfId="241" priority="233">
      <formula>OR(IF(DI36&lt;DJ36,TRUE),IF(AND(DJ36="",DI36&lt;&gt;""),TRUE))</formula>
    </cfRule>
    <cfRule type="expression" dxfId="240" priority="234">
      <formula>IF(DI36&gt;=DJ36,IF(DI36="",FALSE,TRUE))</formula>
    </cfRule>
  </conditionalFormatting>
  <conditionalFormatting sqref="DK36:DK37">
    <cfRule type="expression" dxfId="239" priority="231">
      <formula>OR(IF(DK36&lt;DL36,TRUE),IF(AND(DL36="",DK36&lt;&gt;""),TRUE))</formula>
    </cfRule>
    <cfRule type="expression" dxfId="238" priority="232">
      <formula>IF(DK36&gt;=DL36,IF(DK36="",FALSE,TRUE))</formula>
    </cfRule>
  </conditionalFormatting>
  <conditionalFormatting sqref="DR40 DP40">
    <cfRule type="expression" dxfId="237" priority="229">
      <formula>OR(IF(DP40&lt;DQ40,TRUE),IF(AND(DQ40="",DP40&lt;&gt;""),TRUE))</formula>
    </cfRule>
    <cfRule type="expression" dxfId="236" priority="230">
      <formula>IF(DP40&gt;=DQ40,IF(DP40="",FALSE,TRUE))</formula>
    </cfRule>
  </conditionalFormatting>
  <conditionalFormatting sqref="DR39 DP39">
    <cfRule type="expression" dxfId="235" priority="227">
      <formula>OR(IF(DP39&lt;DQ39,TRUE),IF(AND(DQ39="",DP39&lt;&gt;""),TRUE))</formula>
    </cfRule>
    <cfRule type="expression" dxfId="234" priority="228">
      <formula>IF(DP39&gt;=DQ39,IF(DP39="",FALSE,TRUE))</formula>
    </cfRule>
  </conditionalFormatting>
  <conditionalFormatting sqref="DR38 DP38">
    <cfRule type="expression" dxfId="233" priority="225">
      <formula>OR(IF(DP38&lt;DQ38,TRUE),IF(AND(DQ38="",DP38&lt;&gt;""),TRUE))</formula>
    </cfRule>
    <cfRule type="expression" dxfId="232" priority="226">
      <formula>IF(DP38&gt;=DQ38,IF(DP38="",FALSE,TRUE))</formula>
    </cfRule>
  </conditionalFormatting>
  <conditionalFormatting sqref="DP36:DP37">
    <cfRule type="expression" dxfId="231" priority="223">
      <formula>OR(IF(DP36&lt;DQ36,TRUE),IF(AND(DQ36="",DP36&lt;&gt;""),TRUE))</formula>
    </cfRule>
    <cfRule type="expression" dxfId="230" priority="224">
      <formula>IF(DP36&gt;=DQ36,IF(DP36="",FALSE,TRUE))</formula>
    </cfRule>
  </conditionalFormatting>
  <conditionalFormatting sqref="DR36:DR37">
    <cfRule type="expression" dxfId="229" priority="221">
      <formula>OR(IF(DR36&lt;DS36,TRUE),IF(AND(DS36="",DR36&lt;&gt;""),TRUE))</formula>
    </cfRule>
    <cfRule type="expression" dxfId="228" priority="222">
      <formula>IF(DR36&gt;=DS36,IF(DR36="",FALSE,TRUE))</formula>
    </cfRule>
  </conditionalFormatting>
  <conditionalFormatting sqref="DY41 DW41">
    <cfRule type="expression" dxfId="227" priority="219">
      <formula>OR(IF(DW41&lt;DX41,TRUE),IF(AND(DX41="",DW41&lt;&gt;""),TRUE))</formula>
    </cfRule>
    <cfRule type="expression" dxfId="226" priority="220">
      <formula>IF(DW41&gt;=DX41,IF(DW41="",FALSE,TRUE))</formula>
    </cfRule>
  </conditionalFormatting>
  <conditionalFormatting sqref="DY40 DW40">
    <cfRule type="expression" dxfId="225" priority="217">
      <formula>OR(IF(DW40&lt;DX40,TRUE),IF(AND(DX40="",DW40&lt;&gt;""),TRUE))</formula>
    </cfRule>
    <cfRule type="expression" dxfId="224" priority="218">
      <formula>IF(DW40&gt;=DX40,IF(DW40="",FALSE,TRUE))</formula>
    </cfRule>
  </conditionalFormatting>
  <conditionalFormatting sqref="DY39 DW39">
    <cfRule type="expression" dxfId="223" priority="215">
      <formula>OR(IF(DW39&lt;DX39,TRUE),IF(AND(DX39="",DW39&lt;&gt;""),TRUE))</formula>
    </cfRule>
    <cfRule type="expression" dxfId="222" priority="216">
      <formula>IF(DW39&gt;=DX39,IF(DW39="",FALSE,TRUE))</formula>
    </cfRule>
  </conditionalFormatting>
  <conditionalFormatting sqref="DY38 DW38">
    <cfRule type="expression" dxfId="221" priority="213">
      <formula>OR(IF(DW38&lt;DX38,TRUE),IF(AND(DX38="",DW38&lt;&gt;""),TRUE))</formula>
    </cfRule>
    <cfRule type="expression" dxfId="220" priority="214">
      <formula>IF(DW38&gt;=DX38,IF(DW38="",FALSE,TRUE))</formula>
    </cfRule>
  </conditionalFormatting>
  <conditionalFormatting sqref="DW36:DW37">
    <cfRule type="expression" dxfId="219" priority="211">
      <formula>OR(IF(DW36&lt;DX36,TRUE),IF(AND(DX36="",DW36&lt;&gt;""),TRUE))</formula>
    </cfRule>
    <cfRule type="expression" dxfId="218" priority="212">
      <formula>IF(DW36&gt;=DX36,IF(DW36="",FALSE,TRUE))</formula>
    </cfRule>
  </conditionalFormatting>
  <conditionalFormatting sqref="DY36:DY37">
    <cfRule type="expression" dxfId="217" priority="209">
      <formula>OR(IF(DY36&lt;DZ36,TRUE),IF(AND(DZ36="",DY36&lt;&gt;""),TRUE))</formula>
    </cfRule>
    <cfRule type="expression" dxfId="216" priority="210">
      <formula>IF(DY36&gt;=DZ36,IF(DY36="",FALSE,TRUE))</formula>
    </cfRule>
  </conditionalFormatting>
  <conditionalFormatting sqref="EF41 ED41">
    <cfRule type="expression" dxfId="215" priority="207">
      <formula>OR(IF(ED41&lt;EE41,TRUE),IF(AND(EE41="",ED41&lt;&gt;""),TRUE))</formula>
    </cfRule>
    <cfRule type="expression" dxfId="214" priority="208">
      <formula>IF(ED41&gt;=EE41,IF(ED41="",FALSE,TRUE))</formula>
    </cfRule>
  </conditionalFormatting>
  <conditionalFormatting sqref="EF40 ED40">
    <cfRule type="expression" dxfId="213" priority="205">
      <formula>OR(IF(ED40&lt;EE40,TRUE),IF(AND(EE40="",ED40&lt;&gt;""),TRUE))</formula>
    </cfRule>
    <cfRule type="expression" dxfId="212" priority="206">
      <formula>IF(ED40&gt;=EE40,IF(ED40="",FALSE,TRUE))</formula>
    </cfRule>
  </conditionalFormatting>
  <conditionalFormatting sqref="EF39 ED39">
    <cfRule type="expression" dxfId="211" priority="203">
      <formula>OR(IF(ED39&lt;EE39,TRUE),IF(AND(EE39="",ED39&lt;&gt;""),TRUE))</formula>
    </cfRule>
    <cfRule type="expression" dxfId="210" priority="204">
      <formula>IF(ED39&gt;=EE39,IF(ED39="",FALSE,TRUE))</formula>
    </cfRule>
  </conditionalFormatting>
  <conditionalFormatting sqref="EF38 ED38">
    <cfRule type="expression" dxfId="209" priority="201">
      <formula>OR(IF(ED38&lt;EE38,TRUE),IF(AND(EE38="",ED38&lt;&gt;""),TRUE))</formula>
    </cfRule>
    <cfRule type="expression" dxfId="208" priority="202">
      <formula>IF(ED38&gt;=EE38,IF(ED38="",FALSE,TRUE))</formula>
    </cfRule>
  </conditionalFormatting>
  <conditionalFormatting sqref="ED36:ED37">
    <cfRule type="expression" dxfId="207" priority="199">
      <formula>OR(IF(ED36&lt;EE36,TRUE),IF(AND(EE36="",ED36&lt;&gt;""),TRUE))</formula>
    </cfRule>
    <cfRule type="expression" dxfId="206" priority="200">
      <formula>IF(ED36&gt;=EE36,IF(ED36="",FALSE,TRUE))</formula>
    </cfRule>
  </conditionalFormatting>
  <conditionalFormatting sqref="EF36:EF37">
    <cfRule type="expression" dxfId="205" priority="197">
      <formula>OR(IF(EF36&lt;EG36,TRUE),IF(AND(EG36="",EF36&lt;&gt;""),TRUE))</formula>
    </cfRule>
    <cfRule type="expression" dxfId="204" priority="198">
      <formula>IF(EF36&gt;=EG36,IF(EF36="",FALSE,TRUE))</formula>
    </cfRule>
  </conditionalFormatting>
  <conditionalFormatting sqref="AX22:AX23">
    <cfRule type="expression" dxfId="203" priority="195">
      <formula>OR(IF(AX22&lt;AY22,TRUE),IF(AND(AY22="",AX22&lt;&gt;""),TRUE))</formula>
    </cfRule>
    <cfRule type="expression" dxfId="202" priority="196">
      <formula>IF(AX22&gt;=AY22,IF(AX22="",FALSE,TRUE))</formula>
    </cfRule>
  </conditionalFormatting>
  <conditionalFormatting sqref="AZ22:AZ23">
    <cfRule type="expression" dxfId="201" priority="193">
      <formula>OR(IF(AZ22&lt;BA22,TRUE),IF(AND(BA22="",AZ22&lt;&gt;""),TRUE))</formula>
    </cfRule>
    <cfRule type="expression" dxfId="200" priority="194">
      <formula>IF(AZ22&gt;=BA22,IF(AZ22="",FALSE,TRUE))</formula>
    </cfRule>
  </conditionalFormatting>
  <conditionalFormatting sqref="BE22:BE23">
    <cfRule type="expression" dxfId="199" priority="191">
      <formula>OR(IF(BE22&lt;BF22,TRUE),IF(AND(BF22="",BE22&lt;&gt;""),TRUE))</formula>
    </cfRule>
    <cfRule type="expression" dxfId="198" priority="192">
      <formula>IF(BE22&gt;=BF22,IF(BE22="",FALSE,TRUE))</formula>
    </cfRule>
  </conditionalFormatting>
  <conditionalFormatting sqref="BG22:BG23">
    <cfRule type="expression" dxfId="197" priority="189">
      <formula>OR(IF(BG22&lt;BH22,TRUE),IF(AND(BH22="",BG22&lt;&gt;""),TRUE))</formula>
    </cfRule>
    <cfRule type="expression" dxfId="196" priority="190">
      <formula>IF(BG22&gt;=BH22,IF(BG22="",FALSE,TRUE))</formula>
    </cfRule>
  </conditionalFormatting>
  <conditionalFormatting sqref="BN24">
    <cfRule type="expression" dxfId="195" priority="185">
      <formula>OR(IF(BN24&lt;BO24,TRUE),IF(AND(BO24="",BN24&lt;&gt;""),TRUE))</formula>
    </cfRule>
    <cfRule type="expression" dxfId="194" priority="186">
      <formula>IF(BN24&gt;=BO24,IF(BN24="",FALSE,TRUE))</formula>
    </cfRule>
  </conditionalFormatting>
  <conditionalFormatting sqref="BL24">
    <cfRule type="expression" dxfId="193" priority="187">
      <formula>OR(IF(BL24&lt;BM24,TRUE),IF(AND(BM24="",BL24&lt;&gt;""),TRUE))</formula>
    </cfRule>
    <cfRule type="expression" dxfId="192" priority="188">
      <formula>IF(BL24&gt;=BM24,IF(BL24="",FALSE,TRUE))</formula>
    </cfRule>
  </conditionalFormatting>
  <conditionalFormatting sqref="BL22:BL23">
    <cfRule type="expression" dxfId="191" priority="183">
      <formula>OR(IF(BL22&lt;BM22,TRUE),IF(AND(BM22="",BL22&lt;&gt;""),TRUE))</formula>
    </cfRule>
    <cfRule type="expression" dxfId="190" priority="184">
      <formula>IF(BL22&gt;=BM22,IF(BL22="",FALSE,TRUE))</formula>
    </cfRule>
  </conditionalFormatting>
  <conditionalFormatting sqref="BN22:BN23">
    <cfRule type="expression" dxfId="189" priority="181">
      <formula>OR(IF(BN22&lt;BO22,TRUE),IF(AND(BO22="",BN22&lt;&gt;""),TRUE))</formula>
    </cfRule>
    <cfRule type="expression" dxfId="188" priority="182">
      <formula>IF(BN22&gt;=BO22,IF(BN22="",FALSE,TRUE))</formula>
    </cfRule>
  </conditionalFormatting>
  <conditionalFormatting sqref="BU24">
    <cfRule type="expression" dxfId="187" priority="177">
      <formula>OR(IF(BU24&lt;BV24,TRUE),IF(AND(BV24="",BU24&lt;&gt;""),TRUE))</formula>
    </cfRule>
    <cfRule type="expression" dxfId="186" priority="178">
      <formula>IF(BU24&gt;=BV24,IF(BU24="",FALSE,TRUE))</formula>
    </cfRule>
  </conditionalFormatting>
  <conditionalFormatting sqref="BS24">
    <cfRule type="expression" dxfId="185" priority="179">
      <formula>OR(IF(BS24&lt;BT24,TRUE),IF(AND(BT24="",BS24&lt;&gt;""),TRUE))</formula>
    </cfRule>
    <cfRule type="expression" dxfId="184" priority="180">
      <formula>IF(BS24&gt;=BT24,IF(BS24="",FALSE,TRUE))</formula>
    </cfRule>
  </conditionalFormatting>
  <conditionalFormatting sqref="BS22:BS23">
    <cfRule type="expression" dxfId="183" priority="175">
      <formula>OR(IF(BS22&lt;BT22,TRUE),IF(AND(BT22="",BS22&lt;&gt;""),TRUE))</formula>
    </cfRule>
    <cfRule type="expression" dxfId="182" priority="176">
      <formula>IF(BS22&gt;=BT22,IF(BS22="",FALSE,TRUE))</formula>
    </cfRule>
  </conditionalFormatting>
  <conditionalFormatting sqref="BU22:BU23">
    <cfRule type="expression" dxfId="181" priority="173">
      <formula>OR(IF(BU22&lt;BV22,TRUE),IF(AND(BV22="",BU22&lt;&gt;""),TRUE))</formula>
    </cfRule>
    <cfRule type="expression" dxfId="180" priority="174">
      <formula>IF(BU22&gt;=BV22,IF(BU22="",FALSE,TRUE))</formula>
    </cfRule>
  </conditionalFormatting>
  <conditionalFormatting sqref="CB25">
    <cfRule type="expression" dxfId="179" priority="169">
      <formula>OR(IF(CB25&lt;CC25,TRUE),IF(AND(CC25="",CB25&lt;&gt;""),TRUE))</formula>
    </cfRule>
    <cfRule type="expression" dxfId="178" priority="170">
      <formula>IF(CB25&gt;=CC25,IF(CB25="",FALSE,TRUE))</formula>
    </cfRule>
  </conditionalFormatting>
  <conditionalFormatting sqref="BZ25">
    <cfRule type="expression" dxfId="177" priority="171">
      <formula>OR(IF(BZ25&lt;CA25,TRUE),IF(AND(CA25="",BZ25&lt;&gt;""),TRUE))</formula>
    </cfRule>
    <cfRule type="expression" dxfId="176" priority="172">
      <formula>IF(BZ25&gt;=CA25,IF(BZ25="",FALSE,TRUE))</formula>
    </cfRule>
  </conditionalFormatting>
  <conditionalFormatting sqref="CB24">
    <cfRule type="expression" dxfId="175" priority="165">
      <formula>OR(IF(CB24&lt;CC24,TRUE),IF(AND(CC24="",CB24&lt;&gt;""),TRUE))</formula>
    </cfRule>
    <cfRule type="expression" dxfId="174" priority="166">
      <formula>IF(CB24&gt;=CC24,IF(CB24="",FALSE,TRUE))</formula>
    </cfRule>
  </conditionalFormatting>
  <conditionalFormatting sqref="BZ24">
    <cfRule type="expression" dxfId="173" priority="167">
      <formula>OR(IF(BZ24&lt;CA24,TRUE),IF(AND(CA24="",BZ24&lt;&gt;""),TRUE))</formula>
    </cfRule>
    <cfRule type="expression" dxfId="172" priority="168">
      <formula>IF(BZ24&gt;=CA24,IF(BZ24="",FALSE,TRUE))</formula>
    </cfRule>
  </conditionalFormatting>
  <conditionalFormatting sqref="BZ22:BZ23">
    <cfRule type="expression" dxfId="171" priority="163">
      <formula>OR(IF(BZ22&lt;CA22,TRUE),IF(AND(CA22="",BZ22&lt;&gt;""),TRUE))</formula>
    </cfRule>
    <cfRule type="expression" dxfId="170" priority="164">
      <formula>IF(BZ22&gt;=CA22,IF(BZ22="",FALSE,TRUE))</formula>
    </cfRule>
  </conditionalFormatting>
  <conditionalFormatting sqref="CB22:CB23">
    <cfRule type="expression" dxfId="169" priority="161">
      <formula>OR(IF(CB22&lt;CC22,TRUE),IF(AND(CC22="",CB22&lt;&gt;""),TRUE))</formula>
    </cfRule>
    <cfRule type="expression" dxfId="168" priority="162">
      <formula>IF(CB22&gt;=CC22,IF(CB22="",FALSE,TRUE))</formula>
    </cfRule>
  </conditionalFormatting>
  <conditionalFormatting sqref="CI25">
    <cfRule type="expression" dxfId="167" priority="157">
      <formula>OR(IF(CI25&lt;CJ25,TRUE),IF(AND(CJ25="",CI25&lt;&gt;""),TRUE))</formula>
    </cfRule>
    <cfRule type="expression" dxfId="166" priority="158">
      <formula>IF(CI25&gt;=CJ25,IF(CI25="",FALSE,TRUE))</formula>
    </cfRule>
  </conditionalFormatting>
  <conditionalFormatting sqref="CG25">
    <cfRule type="expression" dxfId="165" priority="159">
      <formula>OR(IF(CG25&lt;CH25,TRUE),IF(AND(CH25="",CG25&lt;&gt;""),TRUE))</formula>
    </cfRule>
    <cfRule type="expression" dxfId="164" priority="160">
      <formula>IF(CG25&gt;=CH25,IF(CG25="",FALSE,TRUE))</formula>
    </cfRule>
  </conditionalFormatting>
  <conditionalFormatting sqref="CI24">
    <cfRule type="expression" dxfId="163" priority="153">
      <formula>OR(IF(CI24&lt;CJ24,TRUE),IF(AND(CJ24="",CI24&lt;&gt;""),TRUE))</formula>
    </cfRule>
    <cfRule type="expression" dxfId="162" priority="154">
      <formula>IF(CI24&gt;=CJ24,IF(CI24="",FALSE,TRUE))</formula>
    </cfRule>
  </conditionalFormatting>
  <conditionalFormatting sqref="CG24">
    <cfRule type="expression" dxfId="161" priority="155">
      <formula>OR(IF(CG24&lt;CH24,TRUE),IF(AND(CH24="",CG24&lt;&gt;""),TRUE))</formula>
    </cfRule>
    <cfRule type="expression" dxfId="160" priority="156">
      <formula>IF(CG24&gt;=CH24,IF(CG24="",FALSE,TRUE))</formula>
    </cfRule>
  </conditionalFormatting>
  <conditionalFormatting sqref="CG22:CG23">
    <cfRule type="expression" dxfId="159" priority="151">
      <formula>OR(IF(CG22&lt;CH22,TRUE),IF(AND(CH22="",CG22&lt;&gt;""),TRUE))</formula>
    </cfRule>
    <cfRule type="expression" dxfId="158" priority="152">
      <formula>IF(CG22&gt;=CH22,IF(CG22="",FALSE,TRUE))</formula>
    </cfRule>
  </conditionalFormatting>
  <conditionalFormatting sqref="CI22:CI23">
    <cfRule type="expression" dxfId="157" priority="149">
      <formula>OR(IF(CI22&lt;CJ22,TRUE),IF(AND(CJ22="",CI22&lt;&gt;""),TRUE))</formula>
    </cfRule>
    <cfRule type="expression" dxfId="156" priority="150">
      <formula>IF(CI22&gt;=CJ22,IF(CI22="",FALSE,TRUE))</formula>
    </cfRule>
  </conditionalFormatting>
  <conditionalFormatting sqref="CP26">
    <cfRule type="expression" dxfId="155" priority="145">
      <formula>OR(IF(CP26&lt;CQ26,TRUE),IF(AND(CQ26="",CP26&lt;&gt;""),TRUE))</formula>
    </cfRule>
    <cfRule type="expression" dxfId="154" priority="146">
      <formula>IF(CP26&gt;=CQ26,IF(CP26="",FALSE,TRUE))</formula>
    </cfRule>
  </conditionalFormatting>
  <conditionalFormatting sqref="CN26">
    <cfRule type="expression" dxfId="153" priority="147">
      <formula>OR(IF(CN26&lt;CO26,TRUE),IF(AND(CO26="",CN26&lt;&gt;""),TRUE))</formula>
    </cfRule>
    <cfRule type="expression" dxfId="152" priority="148">
      <formula>IF(CN26&gt;=CO26,IF(CN26="",FALSE,TRUE))</formula>
    </cfRule>
  </conditionalFormatting>
  <conditionalFormatting sqref="CP25">
    <cfRule type="expression" dxfId="151" priority="141">
      <formula>OR(IF(CP25&lt;CQ25,TRUE),IF(AND(CQ25="",CP25&lt;&gt;""),TRUE))</formula>
    </cfRule>
    <cfRule type="expression" dxfId="150" priority="142">
      <formula>IF(CP25&gt;=CQ25,IF(CP25="",FALSE,TRUE))</formula>
    </cfRule>
  </conditionalFormatting>
  <conditionalFormatting sqref="CN25">
    <cfRule type="expression" dxfId="149" priority="143">
      <formula>OR(IF(CN25&lt;CO25,TRUE),IF(AND(CO25="",CN25&lt;&gt;""),TRUE))</formula>
    </cfRule>
    <cfRule type="expression" dxfId="148" priority="144">
      <formula>IF(CN25&gt;=CO25,IF(CN25="",FALSE,TRUE))</formula>
    </cfRule>
  </conditionalFormatting>
  <conditionalFormatting sqref="CP24">
    <cfRule type="expression" dxfId="147" priority="137">
      <formula>OR(IF(CP24&lt;CQ24,TRUE),IF(AND(CQ24="",CP24&lt;&gt;""),TRUE))</formula>
    </cfRule>
    <cfRule type="expression" dxfId="146" priority="138">
      <formula>IF(CP24&gt;=CQ24,IF(CP24="",FALSE,TRUE))</formula>
    </cfRule>
  </conditionalFormatting>
  <conditionalFormatting sqref="CN24">
    <cfRule type="expression" dxfId="145" priority="139">
      <formula>OR(IF(CN24&lt;CO24,TRUE),IF(AND(CO24="",CN24&lt;&gt;""),TRUE))</formula>
    </cfRule>
    <cfRule type="expression" dxfId="144" priority="140">
      <formula>IF(CN24&gt;=CO24,IF(CN24="",FALSE,TRUE))</formula>
    </cfRule>
  </conditionalFormatting>
  <conditionalFormatting sqref="CN22:CN23">
    <cfRule type="expression" dxfId="143" priority="135">
      <formula>OR(IF(CN22&lt;CO22,TRUE),IF(AND(CO22="",CN22&lt;&gt;""),TRUE))</formula>
    </cfRule>
    <cfRule type="expression" dxfId="142" priority="136">
      <formula>IF(CN22&gt;=CO22,IF(CN22="",FALSE,TRUE))</formula>
    </cfRule>
  </conditionalFormatting>
  <conditionalFormatting sqref="CP22:CP23">
    <cfRule type="expression" dxfId="141" priority="133">
      <formula>OR(IF(CP22&lt;CQ22,TRUE),IF(AND(CQ22="",CP22&lt;&gt;""),TRUE))</formula>
    </cfRule>
    <cfRule type="expression" dxfId="140" priority="134">
      <formula>IF(CP22&gt;=CQ22,IF(CP22="",FALSE,TRUE))</formula>
    </cfRule>
  </conditionalFormatting>
  <conditionalFormatting sqref="CW26">
    <cfRule type="expression" dxfId="139" priority="129">
      <formula>OR(IF(CW26&lt;CX26,TRUE),IF(AND(CX26="",CW26&lt;&gt;""),TRUE))</formula>
    </cfRule>
    <cfRule type="expression" dxfId="138" priority="130">
      <formula>IF(CW26&gt;=CX26,IF(CW26="",FALSE,TRUE))</formula>
    </cfRule>
  </conditionalFormatting>
  <conditionalFormatting sqref="CU26">
    <cfRule type="expression" dxfId="137" priority="131">
      <formula>OR(IF(CU26&lt;CV26,TRUE),IF(AND(CV26="",CU26&lt;&gt;""),TRUE))</formula>
    </cfRule>
    <cfRule type="expression" dxfId="136" priority="132">
      <formula>IF(CU26&gt;=CV26,IF(CU26="",FALSE,TRUE))</formula>
    </cfRule>
  </conditionalFormatting>
  <conditionalFormatting sqref="CW25">
    <cfRule type="expression" dxfId="135" priority="125">
      <formula>OR(IF(CW25&lt;CX25,TRUE),IF(AND(CX25="",CW25&lt;&gt;""),TRUE))</formula>
    </cfRule>
    <cfRule type="expression" dxfId="134" priority="126">
      <formula>IF(CW25&gt;=CX25,IF(CW25="",FALSE,TRUE))</formula>
    </cfRule>
  </conditionalFormatting>
  <conditionalFormatting sqref="CU25">
    <cfRule type="expression" dxfId="133" priority="127">
      <formula>OR(IF(CU25&lt;CV25,TRUE),IF(AND(CV25="",CU25&lt;&gt;""),TRUE))</formula>
    </cfRule>
    <cfRule type="expression" dxfId="132" priority="128">
      <formula>IF(CU25&gt;=CV25,IF(CU25="",FALSE,TRUE))</formula>
    </cfRule>
  </conditionalFormatting>
  <conditionalFormatting sqref="CW24">
    <cfRule type="expression" dxfId="131" priority="121">
      <formula>OR(IF(CW24&lt;CX24,TRUE),IF(AND(CX24="",CW24&lt;&gt;""),TRUE))</formula>
    </cfRule>
    <cfRule type="expression" dxfId="130" priority="122">
      <formula>IF(CW24&gt;=CX24,IF(CW24="",FALSE,TRUE))</formula>
    </cfRule>
  </conditionalFormatting>
  <conditionalFormatting sqref="CU24">
    <cfRule type="expression" dxfId="129" priority="123">
      <formula>OR(IF(CU24&lt;CV24,TRUE),IF(AND(CV24="",CU24&lt;&gt;""),TRUE))</formula>
    </cfRule>
    <cfRule type="expression" dxfId="128" priority="124">
      <formula>IF(CU24&gt;=CV24,IF(CU24="",FALSE,TRUE))</formula>
    </cfRule>
  </conditionalFormatting>
  <conditionalFormatting sqref="CU22:CU23">
    <cfRule type="expression" dxfId="127" priority="119">
      <formula>OR(IF(CU22&lt;CV22,TRUE),IF(AND(CV22="",CU22&lt;&gt;""),TRUE))</formula>
    </cfRule>
    <cfRule type="expression" dxfId="126" priority="120">
      <formula>IF(CU22&gt;=CV22,IF(CU22="",FALSE,TRUE))</formula>
    </cfRule>
  </conditionalFormatting>
  <conditionalFormatting sqref="CW22:CW23">
    <cfRule type="expression" dxfId="125" priority="117">
      <formula>OR(IF(CW22&lt;CX22,TRUE),IF(AND(CX22="",CW22&lt;&gt;""),TRUE))</formula>
    </cfRule>
    <cfRule type="expression" dxfId="124" priority="118">
      <formula>IF(CW22&gt;=CX22,IF(CW22="",FALSE,TRUE))</formula>
    </cfRule>
  </conditionalFormatting>
  <conditionalFormatting sqref="DD27">
    <cfRule type="expression" dxfId="123" priority="113">
      <formula>OR(IF(DD27&lt;DE27,TRUE),IF(AND(DE27="",DD27&lt;&gt;""),TRUE))</formula>
    </cfRule>
    <cfRule type="expression" dxfId="122" priority="114">
      <formula>IF(DD27&gt;=DE27,IF(DD27="",FALSE,TRUE))</formula>
    </cfRule>
  </conditionalFormatting>
  <conditionalFormatting sqref="DB27">
    <cfRule type="expression" dxfId="121" priority="115">
      <formula>OR(IF(DB27&lt;DC27,TRUE),IF(AND(DC27="",DB27&lt;&gt;""),TRUE))</formula>
    </cfRule>
    <cfRule type="expression" dxfId="120" priority="116">
      <formula>IF(DB27&gt;=DC27,IF(DB27="",FALSE,TRUE))</formula>
    </cfRule>
  </conditionalFormatting>
  <conditionalFormatting sqref="DD26">
    <cfRule type="expression" dxfId="119" priority="109">
      <formula>OR(IF(DD26&lt;DE26,TRUE),IF(AND(DE26="",DD26&lt;&gt;""),TRUE))</formula>
    </cfRule>
    <cfRule type="expression" dxfId="118" priority="110">
      <formula>IF(DD26&gt;=DE26,IF(DD26="",FALSE,TRUE))</formula>
    </cfRule>
  </conditionalFormatting>
  <conditionalFormatting sqref="DB26">
    <cfRule type="expression" dxfId="117" priority="111">
      <formula>OR(IF(DB26&lt;DC26,TRUE),IF(AND(DC26="",DB26&lt;&gt;""),TRUE))</formula>
    </cfRule>
    <cfRule type="expression" dxfId="116" priority="112">
      <formula>IF(DB26&gt;=DC26,IF(DB26="",FALSE,TRUE))</formula>
    </cfRule>
  </conditionalFormatting>
  <conditionalFormatting sqref="DD25">
    <cfRule type="expression" dxfId="115" priority="105">
      <formula>OR(IF(DD25&lt;DE25,TRUE),IF(AND(DE25="",DD25&lt;&gt;""),TRUE))</formula>
    </cfRule>
    <cfRule type="expression" dxfId="114" priority="106">
      <formula>IF(DD25&gt;=DE25,IF(DD25="",FALSE,TRUE))</formula>
    </cfRule>
  </conditionalFormatting>
  <conditionalFormatting sqref="DB25">
    <cfRule type="expression" dxfId="113" priority="107">
      <formula>OR(IF(DB25&lt;DC25,TRUE),IF(AND(DC25="",DB25&lt;&gt;""),TRUE))</formula>
    </cfRule>
    <cfRule type="expression" dxfId="112" priority="108">
      <formula>IF(DB25&gt;=DC25,IF(DB25="",FALSE,TRUE))</formula>
    </cfRule>
  </conditionalFormatting>
  <conditionalFormatting sqref="DD24">
    <cfRule type="expression" dxfId="111" priority="101">
      <formula>OR(IF(DD24&lt;DE24,TRUE),IF(AND(DE24="",DD24&lt;&gt;""),TRUE))</formula>
    </cfRule>
    <cfRule type="expression" dxfId="110" priority="102">
      <formula>IF(DD24&gt;=DE24,IF(DD24="",FALSE,TRUE))</formula>
    </cfRule>
  </conditionalFormatting>
  <conditionalFormatting sqref="DB24">
    <cfRule type="expression" dxfId="109" priority="103">
      <formula>OR(IF(DB24&lt;DC24,TRUE),IF(AND(DC24="",DB24&lt;&gt;""),TRUE))</formula>
    </cfRule>
    <cfRule type="expression" dxfId="108" priority="104">
      <formula>IF(DB24&gt;=DC24,IF(DB24="",FALSE,TRUE))</formula>
    </cfRule>
  </conditionalFormatting>
  <conditionalFormatting sqref="DB22:DB23">
    <cfRule type="expression" dxfId="107" priority="99">
      <formula>OR(IF(DB22&lt;DC22,TRUE),IF(AND(DC22="",DB22&lt;&gt;""),TRUE))</formula>
    </cfRule>
    <cfRule type="expression" dxfId="106" priority="100">
      <formula>IF(DB22&gt;=DC22,IF(DB22="",FALSE,TRUE))</formula>
    </cfRule>
  </conditionalFormatting>
  <conditionalFormatting sqref="DD22:DD23">
    <cfRule type="expression" dxfId="105" priority="97">
      <formula>OR(IF(DD22&lt;DE22,TRUE),IF(AND(DE22="",DD22&lt;&gt;""),TRUE))</formula>
    </cfRule>
    <cfRule type="expression" dxfId="104" priority="98">
      <formula>IF(DD22&gt;=DE22,IF(DD22="",FALSE,TRUE))</formula>
    </cfRule>
  </conditionalFormatting>
  <conditionalFormatting sqref="DK27">
    <cfRule type="expression" dxfId="103" priority="93">
      <formula>OR(IF(DK27&lt;DL27,TRUE),IF(AND(DL27="",DK27&lt;&gt;""),TRUE))</formula>
    </cfRule>
    <cfRule type="expression" dxfId="102" priority="94">
      <formula>IF(DK27&gt;=DL27,IF(DK27="",FALSE,TRUE))</formula>
    </cfRule>
  </conditionalFormatting>
  <conditionalFormatting sqref="DI27">
    <cfRule type="expression" dxfId="101" priority="95">
      <formula>OR(IF(DI27&lt;DJ27,TRUE),IF(AND(DJ27="",DI27&lt;&gt;""),TRUE))</formula>
    </cfRule>
    <cfRule type="expression" dxfId="100" priority="96">
      <formula>IF(DI27&gt;=DJ27,IF(DI27="",FALSE,TRUE))</formula>
    </cfRule>
  </conditionalFormatting>
  <conditionalFormatting sqref="DK26">
    <cfRule type="expression" dxfId="99" priority="89">
      <formula>OR(IF(DK26&lt;DL26,TRUE),IF(AND(DL26="",DK26&lt;&gt;""),TRUE))</formula>
    </cfRule>
    <cfRule type="expression" dxfId="98" priority="90">
      <formula>IF(DK26&gt;=DL26,IF(DK26="",FALSE,TRUE))</formula>
    </cfRule>
  </conditionalFormatting>
  <conditionalFormatting sqref="DI26">
    <cfRule type="expression" dxfId="97" priority="91">
      <formula>OR(IF(DI26&lt;DJ26,TRUE),IF(AND(DJ26="",DI26&lt;&gt;""),TRUE))</formula>
    </cfRule>
    <cfRule type="expression" dxfId="96" priority="92">
      <formula>IF(DI26&gt;=DJ26,IF(DI26="",FALSE,TRUE))</formula>
    </cfRule>
  </conditionalFormatting>
  <conditionalFormatting sqref="DK25">
    <cfRule type="expression" dxfId="95" priority="85">
      <formula>OR(IF(DK25&lt;DL25,TRUE),IF(AND(DL25="",DK25&lt;&gt;""),TRUE))</formula>
    </cfRule>
    <cfRule type="expression" dxfId="94" priority="86">
      <formula>IF(DK25&gt;=DL25,IF(DK25="",FALSE,TRUE))</formula>
    </cfRule>
  </conditionalFormatting>
  <conditionalFormatting sqref="DI25">
    <cfRule type="expression" dxfId="93" priority="87">
      <formula>OR(IF(DI25&lt;DJ25,TRUE),IF(AND(DJ25="",DI25&lt;&gt;""),TRUE))</formula>
    </cfRule>
    <cfRule type="expression" dxfId="92" priority="88">
      <formula>IF(DI25&gt;=DJ25,IF(DI25="",FALSE,TRUE))</formula>
    </cfRule>
  </conditionalFormatting>
  <conditionalFormatting sqref="DK24">
    <cfRule type="expression" dxfId="91" priority="81">
      <formula>OR(IF(DK24&lt;DL24,TRUE),IF(AND(DL24="",DK24&lt;&gt;""),TRUE))</formula>
    </cfRule>
    <cfRule type="expression" dxfId="90" priority="82">
      <formula>IF(DK24&gt;=DL24,IF(DK24="",FALSE,TRUE))</formula>
    </cfRule>
  </conditionalFormatting>
  <conditionalFormatting sqref="DI24">
    <cfRule type="expression" dxfId="89" priority="83">
      <formula>OR(IF(DI24&lt;DJ24,TRUE),IF(AND(DJ24="",DI24&lt;&gt;""),TRUE))</formula>
    </cfRule>
    <cfRule type="expression" dxfId="88" priority="84">
      <formula>IF(DI24&gt;=DJ24,IF(DI24="",FALSE,TRUE))</formula>
    </cfRule>
  </conditionalFormatting>
  <conditionalFormatting sqref="DI22:DI23">
    <cfRule type="expression" dxfId="87" priority="79">
      <formula>OR(IF(DI22&lt;DJ22,TRUE),IF(AND(DJ22="",DI22&lt;&gt;""),TRUE))</formula>
    </cfRule>
    <cfRule type="expression" dxfId="86" priority="80">
      <formula>IF(DI22&gt;=DJ22,IF(DI22="",FALSE,TRUE))</formula>
    </cfRule>
  </conditionalFormatting>
  <conditionalFormatting sqref="DK22:DK23">
    <cfRule type="expression" dxfId="85" priority="77">
      <formula>OR(IF(DK22&lt;DL22,TRUE),IF(AND(DL22="",DK22&lt;&gt;""),TRUE))</formula>
    </cfRule>
    <cfRule type="expression" dxfId="84" priority="78">
      <formula>IF(DK22&gt;=DL22,IF(DK22="",FALSE,TRUE))</formula>
    </cfRule>
  </conditionalFormatting>
  <conditionalFormatting sqref="DR28">
    <cfRule type="expression" dxfId="83" priority="73">
      <formula>OR(IF(DR28&lt;DS28,TRUE),IF(AND(DS28="",DR28&lt;&gt;""),TRUE))</formula>
    </cfRule>
    <cfRule type="expression" dxfId="82" priority="74">
      <formula>IF(DR28&gt;=DS28,IF(DR28="",FALSE,TRUE))</formula>
    </cfRule>
  </conditionalFormatting>
  <conditionalFormatting sqref="DP28">
    <cfRule type="expression" dxfId="81" priority="75">
      <formula>OR(IF(DP28&lt;DQ28,TRUE),IF(AND(DQ28="",DP28&lt;&gt;""),TRUE))</formula>
    </cfRule>
    <cfRule type="expression" dxfId="80" priority="76">
      <formula>IF(DP28&gt;=DQ28,IF(DP28="",FALSE,TRUE))</formula>
    </cfRule>
  </conditionalFormatting>
  <conditionalFormatting sqref="DR27">
    <cfRule type="expression" dxfId="79" priority="69">
      <formula>OR(IF(DR27&lt;DS27,TRUE),IF(AND(DS27="",DR27&lt;&gt;""),TRUE))</formula>
    </cfRule>
    <cfRule type="expression" dxfId="78" priority="70">
      <formula>IF(DR27&gt;=DS27,IF(DR27="",FALSE,TRUE))</formula>
    </cfRule>
  </conditionalFormatting>
  <conditionalFormatting sqref="DP27">
    <cfRule type="expression" dxfId="77" priority="71">
      <formula>OR(IF(DP27&lt;DQ27,TRUE),IF(AND(DQ27="",DP27&lt;&gt;""),TRUE))</formula>
    </cfRule>
    <cfRule type="expression" dxfId="76" priority="72">
      <formula>IF(DP27&gt;=DQ27,IF(DP27="",FALSE,TRUE))</formula>
    </cfRule>
  </conditionalFormatting>
  <conditionalFormatting sqref="DR26">
    <cfRule type="expression" dxfId="75" priority="65">
      <formula>OR(IF(DR26&lt;DS26,TRUE),IF(AND(DS26="",DR26&lt;&gt;""),TRUE))</formula>
    </cfRule>
    <cfRule type="expression" dxfId="74" priority="66">
      <formula>IF(DR26&gt;=DS26,IF(DR26="",FALSE,TRUE))</formula>
    </cfRule>
  </conditionalFormatting>
  <conditionalFormatting sqref="DP26">
    <cfRule type="expression" dxfId="73" priority="67">
      <formula>OR(IF(DP26&lt;DQ26,TRUE),IF(AND(DQ26="",DP26&lt;&gt;""),TRUE))</formula>
    </cfRule>
    <cfRule type="expression" dxfId="72" priority="68">
      <formula>IF(DP26&gt;=DQ26,IF(DP26="",FALSE,TRUE))</formula>
    </cfRule>
  </conditionalFormatting>
  <conditionalFormatting sqref="DR25">
    <cfRule type="expression" dxfId="71" priority="61">
      <formula>OR(IF(DR25&lt;DS25,TRUE),IF(AND(DS25="",DR25&lt;&gt;""),TRUE))</formula>
    </cfRule>
    <cfRule type="expression" dxfId="70" priority="62">
      <formula>IF(DR25&gt;=DS25,IF(DR25="",FALSE,TRUE))</formula>
    </cfRule>
  </conditionalFormatting>
  <conditionalFormatting sqref="DP25">
    <cfRule type="expression" dxfId="69" priority="63">
      <formula>OR(IF(DP25&lt;DQ25,TRUE),IF(AND(DQ25="",DP25&lt;&gt;""),TRUE))</formula>
    </cfRule>
    <cfRule type="expression" dxfId="68" priority="64">
      <formula>IF(DP25&gt;=DQ25,IF(DP25="",FALSE,TRUE))</formula>
    </cfRule>
  </conditionalFormatting>
  <conditionalFormatting sqref="DR24">
    <cfRule type="expression" dxfId="67" priority="57">
      <formula>OR(IF(DR24&lt;DS24,TRUE),IF(AND(DS24="",DR24&lt;&gt;""),TRUE))</formula>
    </cfRule>
    <cfRule type="expression" dxfId="66" priority="58">
      <formula>IF(DR24&gt;=DS24,IF(DR24="",FALSE,TRUE))</formula>
    </cfRule>
  </conditionalFormatting>
  <conditionalFormatting sqref="DP24">
    <cfRule type="expression" dxfId="65" priority="59">
      <formula>OR(IF(DP24&lt;DQ24,TRUE),IF(AND(DQ24="",DP24&lt;&gt;""),TRUE))</formula>
    </cfRule>
    <cfRule type="expression" dxfId="64" priority="60">
      <formula>IF(DP24&gt;=DQ24,IF(DP24="",FALSE,TRUE))</formula>
    </cfRule>
  </conditionalFormatting>
  <conditionalFormatting sqref="DP22:DP23">
    <cfRule type="expression" dxfId="63" priority="55">
      <formula>OR(IF(DP22&lt;DQ22,TRUE),IF(AND(DQ22="",DP22&lt;&gt;""),TRUE))</formula>
    </cfRule>
    <cfRule type="expression" dxfId="62" priority="56">
      <formula>IF(DP22&gt;=DQ22,IF(DP22="",FALSE,TRUE))</formula>
    </cfRule>
  </conditionalFormatting>
  <conditionalFormatting sqref="DR22:DR23">
    <cfRule type="expression" dxfId="61" priority="53">
      <formula>OR(IF(DR22&lt;DS22,TRUE),IF(AND(DS22="",DR22&lt;&gt;""),TRUE))</formula>
    </cfRule>
    <cfRule type="expression" dxfId="60" priority="54">
      <formula>IF(DR22&gt;=DS22,IF(DR22="",FALSE,TRUE))</formula>
    </cfRule>
  </conditionalFormatting>
  <conditionalFormatting sqref="DY28">
    <cfRule type="expression" dxfId="59" priority="49">
      <formula>OR(IF(DY28&lt;DZ28,TRUE),IF(AND(DZ28="",DY28&lt;&gt;""),TRUE))</formula>
    </cfRule>
    <cfRule type="expression" dxfId="58" priority="50">
      <formula>IF(DY28&gt;=DZ28,IF(DY28="",FALSE,TRUE))</formula>
    </cfRule>
  </conditionalFormatting>
  <conditionalFormatting sqref="DW28">
    <cfRule type="expression" dxfId="57" priority="51">
      <formula>OR(IF(DW28&lt;DX28,TRUE),IF(AND(DX28="",DW28&lt;&gt;""),TRUE))</formula>
    </cfRule>
    <cfRule type="expression" dxfId="56" priority="52">
      <formula>IF(DW28&gt;=DX28,IF(DW28="",FALSE,TRUE))</formula>
    </cfRule>
  </conditionalFormatting>
  <conditionalFormatting sqref="DY27">
    <cfRule type="expression" dxfId="55" priority="45">
      <formula>OR(IF(DY27&lt;DZ27,TRUE),IF(AND(DZ27="",DY27&lt;&gt;""),TRUE))</formula>
    </cfRule>
    <cfRule type="expression" dxfId="54" priority="46">
      <formula>IF(DY27&gt;=DZ27,IF(DY27="",FALSE,TRUE))</formula>
    </cfRule>
  </conditionalFormatting>
  <conditionalFormatting sqref="DW27">
    <cfRule type="expression" dxfId="53" priority="47">
      <formula>OR(IF(DW27&lt;DX27,TRUE),IF(AND(DX27="",DW27&lt;&gt;""),TRUE))</formula>
    </cfRule>
    <cfRule type="expression" dxfId="52" priority="48">
      <formula>IF(DW27&gt;=DX27,IF(DW27="",FALSE,TRUE))</formula>
    </cfRule>
  </conditionalFormatting>
  <conditionalFormatting sqref="DY26">
    <cfRule type="expression" dxfId="51" priority="41">
      <formula>OR(IF(DY26&lt;DZ26,TRUE),IF(AND(DZ26="",DY26&lt;&gt;""),TRUE))</formula>
    </cfRule>
    <cfRule type="expression" dxfId="50" priority="42">
      <formula>IF(DY26&gt;=DZ26,IF(DY26="",FALSE,TRUE))</formula>
    </cfRule>
  </conditionalFormatting>
  <conditionalFormatting sqref="DW26">
    <cfRule type="expression" dxfId="49" priority="43">
      <formula>OR(IF(DW26&lt;DX26,TRUE),IF(AND(DX26="",DW26&lt;&gt;""),TRUE))</formula>
    </cfRule>
    <cfRule type="expression" dxfId="48" priority="44">
      <formula>IF(DW26&gt;=DX26,IF(DW26="",FALSE,TRUE))</formula>
    </cfRule>
  </conditionalFormatting>
  <conditionalFormatting sqref="DY25">
    <cfRule type="expression" dxfId="47" priority="37">
      <formula>OR(IF(DY25&lt;DZ25,TRUE),IF(AND(DZ25="",DY25&lt;&gt;""),TRUE))</formula>
    </cfRule>
    <cfRule type="expression" dxfId="46" priority="38">
      <formula>IF(DY25&gt;=DZ25,IF(DY25="",FALSE,TRUE))</formula>
    </cfRule>
  </conditionalFormatting>
  <conditionalFormatting sqref="DW25">
    <cfRule type="expression" dxfId="45" priority="39">
      <formula>OR(IF(DW25&lt;DX25,TRUE),IF(AND(DX25="",DW25&lt;&gt;""),TRUE))</formula>
    </cfRule>
    <cfRule type="expression" dxfId="44" priority="40">
      <formula>IF(DW25&gt;=DX25,IF(DW25="",FALSE,TRUE))</formula>
    </cfRule>
  </conditionalFormatting>
  <conditionalFormatting sqref="DY24">
    <cfRule type="expression" dxfId="43" priority="33">
      <formula>OR(IF(DY24&lt;DZ24,TRUE),IF(AND(DZ24="",DY24&lt;&gt;""),TRUE))</formula>
    </cfRule>
    <cfRule type="expression" dxfId="42" priority="34">
      <formula>IF(DY24&gt;=DZ24,IF(DY24="",FALSE,TRUE))</formula>
    </cfRule>
  </conditionalFormatting>
  <conditionalFormatting sqref="DW24">
    <cfRule type="expression" dxfId="41" priority="35">
      <formula>OR(IF(DW24&lt;DX24,TRUE),IF(AND(DX24="",DW24&lt;&gt;""),TRUE))</formula>
    </cfRule>
    <cfRule type="expression" dxfId="40" priority="36">
      <formula>IF(DW24&gt;=DX24,IF(DW24="",FALSE,TRUE))</formula>
    </cfRule>
  </conditionalFormatting>
  <conditionalFormatting sqref="DW22:DW23">
    <cfRule type="expression" dxfId="39" priority="31">
      <formula>OR(IF(DW22&lt;DX22,TRUE),IF(AND(DX22="",DW22&lt;&gt;""),TRUE))</formula>
    </cfRule>
    <cfRule type="expression" dxfId="38" priority="32">
      <formula>IF(DW22&gt;=DX22,IF(DW22="",FALSE,TRUE))</formula>
    </cfRule>
  </conditionalFormatting>
  <conditionalFormatting sqref="DY22:DY23">
    <cfRule type="expression" dxfId="37" priority="29">
      <formula>OR(IF(DY22&lt;DZ22,TRUE),IF(AND(DZ22="",DY22&lt;&gt;""),TRUE))</formula>
    </cfRule>
    <cfRule type="expression" dxfId="36" priority="30">
      <formula>IF(DY22&gt;=DZ22,IF(DY22="",FALSE,TRUE))</formula>
    </cfRule>
  </conditionalFormatting>
  <conditionalFormatting sqref="EF29">
    <cfRule type="expression" dxfId="35" priority="25">
      <formula>OR(IF(EF29&lt;EG29,TRUE),IF(AND(EG29="",EF29&lt;&gt;""),TRUE))</formula>
    </cfRule>
    <cfRule type="expression" dxfId="34" priority="26">
      <formula>IF(EF29&gt;=EG29,IF(EF29="",FALSE,TRUE))</formula>
    </cfRule>
  </conditionalFormatting>
  <conditionalFormatting sqref="ED29">
    <cfRule type="expression" dxfId="33" priority="27">
      <formula>OR(IF(ED29&lt;EE29,TRUE),IF(AND(EE29="",ED29&lt;&gt;""),TRUE))</formula>
    </cfRule>
    <cfRule type="expression" dxfId="32" priority="28">
      <formula>IF(ED29&gt;=EE29,IF(ED29="",FALSE,TRUE))</formula>
    </cfRule>
  </conditionalFormatting>
  <conditionalFormatting sqref="EF28">
    <cfRule type="expression" dxfId="31" priority="21">
      <formula>OR(IF(EF28&lt;EG28,TRUE),IF(AND(EG28="",EF28&lt;&gt;""),TRUE))</formula>
    </cfRule>
    <cfRule type="expression" dxfId="30" priority="22">
      <formula>IF(EF28&gt;=EG28,IF(EF28="",FALSE,TRUE))</formula>
    </cfRule>
  </conditionalFormatting>
  <conditionalFormatting sqref="ED28">
    <cfRule type="expression" dxfId="29" priority="23">
      <formula>OR(IF(ED28&lt;EE28,TRUE),IF(AND(EE28="",ED28&lt;&gt;""),TRUE))</formula>
    </cfRule>
    <cfRule type="expression" dxfId="28" priority="24">
      <formula>IF(ED28&gt;=EE28,IF(ED28="",FALSE,TRUE))</formula>
    </cfRule>
  </conditionalFormatting>
  <conditionalFormatting sqref="EF27">
    <cfRule type="expression" dxfId="27" priority="17">
      <formula>OR(IF(EF27&lt;EG27,TRUE),IF(AND(EG27="",EF27&lt;&gt;""),TRUE))</formula>
    </cfRule>
    <cfRule type="expression" dxfId="26" priority="18">
      <formula>IF(EF27&gt;=EG27,IF(EF27="",FALSE,TRUE))</formula>
    </cfRule>
  </conditionalFormatting>
  <conditionalFormatting sqref="ED27">
    <cfRule type="expression" dxfId="25" priority="19">
      <formula>OR(IF(ED27&lt;EE27,TRUE),IF(AND(EE27="",ED27&lt;&gt;""),TRUE))</formula>
    </cfRule>
    <cfRule type="expression" dxfId="24" priority="20">
      <formula>IF(ED27&gt;=EE27,IF(ED27="",FALSE,TRUE))</formula>
    </cfRule>
  </conditionalFormatting>
  <conditionalFormatting sqref="EF26">
    <cfRule type="expression" dxfId="23" priority="13">
      <formula>OR(IF(EF26&lt;EG26,TRUE),IF(AND(EG26="",EF26&lt;&gt;""),TRUE))</formula>
    </cfRule>
    <cfRule type="expression" dxfId="22" priority="14">
      <formula>IF(EF26&gt;=EG26,IF(EF26="",FALSE,TRUE))</formula>
    </cfRule>
  </conditionalFormatting>
  <conditionalFormatting sqref="ED26">
    <cfRule type="expression" dxfId="21" priority="15">
      <formula>OR(IF(ED26&lt;EE26,TRUE),IF(AND(EE26="",ED26&lt;&gt;""),TRUE))</formula>
    </cfRule>
    <cfRule type="expression" dxfId="20" priority="16">
      <formula>IF(ED26&gt;=EE26,IF(ED26="",FALSE,TRUE))</formula>
    </cfRule>
  </conditionalFormatting>
  <conditionalFormatting sqref="EF25">
    <cfRule type="expression" dxfId="19" priority="9">
      <formula>OR(IF(EF25&lt;EG25,TRUE),IF(AND(EG25="",EF25&lt;&gt;""),TRUE))</formula>
    </cfRule>
    <cfRule type="expression" dxfId="18" priority="10">
      <formula>IF(EF25&gt;=EG25,IF(EF25="",FALSE,TRUE))</formula>
    </cfRule>
  </conditionalFormatting>
  <conditionalFormatting sqref="ED25">
    <cfRule type="expression" dxfId="17" priority="11">
      <formula>OR(IF(ED25&lt;EE25,TRUE),IF(AND(EE25="",ED25&lt;&gt;""),TRUE))</formula>
    </cfRule>
    <cfRule type="expression" dxfId="16" priority="12">
      <formula>IF(ED25&gt;=EE25,IF(ED25="",FALSE,TRUE))</formula>
    </cfRule>
  </conditionalFormatting>
  <conditionalFormatting sqref="EF24">
    <cfRule type="expression" dxfId="15" priority="5">
      <formula>OR(IF(EF24&lt;EG24,TRUE),IF(AND(EG24="",EF24&lt;&gt;""),TRUE))</formula>
    </cfRule>
    <cfRule type="expression" dxfId="14" priority="6">
      <formula>IF(EF24&gt;=EG24,IF(EF24="",FALSE,TRUE))</formula>
    </cfRule>
  </conditionalFormatting>
  <conditionalFormatting sqref="ED24">
    <cfRule type="expression" dxfId="13" priority="7">
      <formula>OR(IF(ED24&lt;EE24,TRUE),IF(AND(EE24="",ED24&lt;&gt;""),TRUE))</formula>
    </cfRule>
    <cfRule type="expression" dxfId="12" priority="8">
      <formula>IF(ED24&gt;=EE24,IF(ED24="",FALSE,TRUE))</formula>
    </cfRule>
  </conditionalFormatting>
  <conditionalFormatting sqref="ED22:ED23">
    <cfRule type="expression" dxfId="11" priority="3">
      <formula>OR(IF(ED22&lt;EE22,TRUE),IF(AND(EE22="",ED22&lt;&gt;""),TRUE))</formula>
    </cfRule>
    <cfRule type="expression" dxfId="10" priority="4">
      <formula>IF(ED22&gt;=EE22,IF(ED22="",FALSE,TRUE))</formula>
    </cfRule>
  </conditionalFormatting>
  <conditionalFormatting sqref="EF22:EF23">
    <cfRule type="expression" dxfId="9" priority="1">
      <formula>OR(IF(EF22&lt;EG22,TRUE),IF(AND(EG22="",EF22&lt;&gt;""),TRUE))</formula>
    </cfRule>
    <cfRule type="expression" dxfId="8" priority="2">
      <formula>IF(EF22&gt;=EG22,IF(EF22="",FALSE,TRUE))</formula>
    </cfRule>
  </conditionalFormatting>
  <dataValidations count="1">
    <dataValidation type="list" allowBlank="1" showInputMessage="1" showErrorMessage="1" sqref="V22:Y33 V5:Y19 AC22:AF33 AC5:AF19 AJ22:AM33 AJ5:AM19 AQ22:AT33 AQ5:AT19 EE52:EE55 AX5:BA19 ED36:EG43 BE5:BH19 O22:R33 V46:Y55 AC46:AF55 AJ46:AM55 AQ46:AT55 AX46:BA55 BE46:BH55 BL46:BO55 O85:R93 V85:Y93 AC85:AF93 AJ85:AM93 AQ85:AT93 AX85:BA93 BE85:BH93 AX22:BA33 BL5:BO19 BS46:BV55 BL85:BO93 BE22:BH33 BS5:BV19 BZ46:CC55 BS85:BV93 BL22:BO33 BZ5:CC19 CG46:CJ55 BZ85:CC93 BS22:BV33 CG5:CJ19 CN46:CQ55 CG85:CJ93 BZ22:CC33 O5:R19 CN75:CQ82 CN85:CQ93 CG22:CJ33 CN5:CQ19 CU46:CX55 CU85:CX93 CN22:CQ33 CU5:CX19 DB46:DE55 DB85:DE93 CU22:CX33 DB5:DE19 DI46:DL55 DI85:DL93 DB22:DE33 DP5:DS19 DQ52:DQ55 DP85:DS93 DI22:DL33 DW5:DZ19 DX52:DX55 DW85:DZ93 DP22:DS33 ED5:EG19 EK46:EN55 ED85:EG93 EK22:EN33 EK5:EN19 ER46:EU55 EK85:EN93 ER22:EU33 ER5:EU19 EY46:FB55 ER85:EU93 EY22:FB33 EY5:FB19 FF46:FI55 EY85:FB93 FF22:FI33 FF5:FI19 FM46:FP55 FF85:FI93 FM22:FP33 FM5:FP19 FT46:FW55 FM85:FP93 FT22:FW33 FT5:FW19 GA46:GD55 FT85:FW93 GA22:GD33 GA85:GD93 GA5:GD19 O46:R55 GA36:GD43 DI5:DL19 V36:Y43 AC36:AF43 AJ36:AM43 DP36:DS43 AQ36:AT43 O36:R43 AX36:BA43 BE36:BH43 BL36:BO43 BZ36:CC43 BS36:BV43 CG36:CJ43 CN36:CQ43 DW36:DZ43 CU36:CX43 DB36:DE43 DI36:DL43 EK36:EN43 ER36:EU43 EY36:FB43 FF36:FI43 FM36:FP43 FT36:FW43 V58:Y72 AC58:AF72 AJ58:AM72 AQ58:AT72 AX58:BA72 BE58:BH72 BL58:BO72 BS58:BV72 BZ58:CC72 CG58:CJ72 CN58:CQ72 O58:R72 CU58:CX72 DI58:DL72 DP58:DS72 DW58:DZ72 ED58:EG72 EK58:EN72 ER58:EU72 EY58:FB72 FF58:FI72 FM58:FP72 FT58:FW72 GA58:GD72 DB58:DE72 O75:R82 V75:Y82 AC75:AF82 AJ75:AM82 AQ75:AT82 AX75:BA82 BE75:BH82 BL75:BO82 BS75:BV82 GA75:GD82 BZ75:CC82 CG75:CJ82 CU75:CX82 DB75:DE82 DI75:DL82 DP75:DS82 DW75:DZ82 ED75:EG82 EK75:EN82 ER75:EU82 EY75:FB82 FF75:FI82 FM75:FP82 FT75:FW82 DP46:DP55 DR46:DS55 DW46:DW55 DY46:DZ55 ED46:ED55 EF46:EG55 DW22:DZ33 ED22:EG33"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5"/>
  <sheetViews>
    <sheetView workbookViewId="0">
      <selection activeCell="D5" sqref="D5"/>
    </sheetView>
  </sheetViews>
  <sheetFormatPr baseColWidth="10" defaultRowHeight="16" x14ac:dyDescent="0.2"/>
  <cols>
    <col min="1" max="1" width="16.83203125" style="10" customWidth="1"/>
    <col min="2" max="2" width="19.1640625" style="10" customWidth="1"/>
    <col min="3" max="3" width="18.1640625" style="10" customWidth="1"/>
    <col min="4" max="4" width="19.5" style="10" customWidth="1"/>
    <col min="8" max="8" width="15.1640625" customWidth="1"/>
    <col min="10" max="10" width="42" customWidth="1"/>
    <col min="11" max="11" width="28.5" customWidth="1"/>
  </cols>
  <sheetData>
    <row r="1" spans="1:11" ht="34" x14ac:dyDescent="0.2">
      <c r="A1" s="10" t="s">
        <v>41</v>
      </c>
      <c r="B1" s="16" t="s">
        <v>38</v>
      </c>
      <c r="C1" s="16" t="s">
        <v>39</v>
      </c>
      <c r="D1" s="16" t="s">
        <v>40</v>
      </c>
      <c r="E1" s="1" t="s">
        <v>42</v>
      </c>
      <c r="F1" s="1" t="s">
        <v>43</v>
      </c>
      <c r="G1" s="1" t="s">
        <v>44</v>
      </c>
      <c r="H1" s="1" t="s">
        <v>45</v>
      </c>
      <c r="I1" s="1" t="s">
        <v>46</v>
      </c>
      <c r="J1" s="1" t="s">
        <v>47</v>
      </c>
      <c r="K1" s="1" t="s">
        <v>48</v>
      </c>
    </row>
    <row r="2" spans="1:11" x14ac:dyDescent="0.2">
      <c r="A2" s="15">
        <v>44119</v>
      </c>
    </row>
    <row r="3" spans="1:11" x14ac:dyDescent="0.2">
      <c r="A3" s="15">
        <v>44120</v>
      </c>
    </row>
    <row r="4" spans="1:11" x14ac:dyDescent="0.2">
      <c r="A4" s="15">
        <v>44121</v>
      </c>
    </row>
    <row r="5" spans="1:11" x14ac:dyDescent="0.2">
      <c r="A5" s="15">
        <v>44122</v>
      </c>
    </row>
    <row r="6" spans="1:11" x14ac:dyDescent="0.2">
      <c r="A6" s="15">
        <v>44123</v>
      </c>
    </row>
    <row r="7" spans="1:11" x14ac:dyDescent="0.2">
      <c r="A7" s="15">
        <v>44124</v>
      </c>
    </row>
    <row r="8" spans="1:11" x14ac:dyDescent="0.2">
      <c r="A8" s="15">
        <v>44125</v>
      </c>
    </row>
    <row r="9" spans="1:11" x14ac:dyDescent="0.2">
      <c r="A9" s="15">
        <v>44126</v>
      </c>
    </row>
    <row r="10" spans="1:11" x14ac:dyDescent="0.2">
      <c r="A10" s="15">
        <v>44127</v>
      </c>
    </row>
    <row r="11" spans="1:11" x14ac:dyDescent="0.2">
      <c r="A11" s="15">
        <v>44128</v>
      </c>
    </row>
    <row r="12" spans="1:11" x14ac:dyDescent="0.2">
      <c r="A12" s="15">
        <v>44129</v>
      </c>
    </row>
    <row r="13" spans="1:11" x14ac:dyDescent="0.2">
      <c r="A13" s="15">
        <v>44130</v>
      </c>
    </row>
    <row r="14" spans="1:11" x14ac:dyDescent="0.2">
      <c r="A14" s="15">
        <v>44131</v>
      </c>
    </row>
    <row r="15" spans="1:11" x14ac:dyDescent="0.2">
      <c r="A15" s="15">
        <v>44132</v>
      </c>
    </row>
    <row r="16" spans="1:11" x14ac:dyDescent="0.2">
      <c r="A16" s="15">
        <v>44133</v>
      </c>
    </row>
    <row r="17" spans="1:1" x14ac:dyDescent="0.2">
      <c r="A17" s="15">
        <v>44134</v>
      </c>
    </row>
    <row r="18" spans="1:1" x14ac:dyDescent="0.2">
      <c r="A18" s="15">
        <v>44135</v>
      </c>
    </row>
    <row r="19" spans="1:1" x14ac:dyDescent="0.2">
      <c r="A19" s="15">
        <v>44136</v>
      </c>
    </row>
    <row r="20" spans="1:1" x14ac:dyDescent="0.2">
      <c r="A20" s="15">
        <v>44137</v>
      </c>
    </row>
    <row r="21" spans="1:1" x14ac:dyDescent="0.2">
      <c r="A21" s="15">
        <v>44138</v>
      </c>
    </row>
    <row r="22" spans="1:1" x14ac:dyDescent="0.2">
      <c r="A22" s="15">
        <v>44139</v>
      </c>
    </row>
    <row r="23" spans="1:1" x14ac:dyDescent="0.2">
      <c r="A23" s="15">
        <v>44140</v>
      </c>
    </row>
    <row r="24" spans="1:1" x14ac:dyDescent="0.2">
      <c r="A24" s="15">
        <v>44141</v>
      </c>
    </row>
    <row r="25" spans="1:1" x14ac:dyDescent="0.2">
      <c r="A25" s="15">
        <v>44142</v>
      </c>
    </row>
    <row r="26" spans="1:1" x14ac:dyDescent="0.2">
      <c r="A26" s="15">
        <v>44143</v>
      </c>
    </row>
    <row r="27" spans="1:1" x14ac:dyDescent="0.2">
      <c r="A27" s="15">
        <v>44144</v>
      </c>
    </row>
    <row r="28" spans="1:1" x14ac:dyDescent="0.2">
      <c r="A28" s="15">
        <v>44145</v>
      </c>
    </row>
    <row r="29" spans="1:1" x14ac:dyDescent="0.2">
      <c r="A29" s="15">
        <v>44146</v>
      </c>
    </row>
    <row r="30" spans="1:1" x14ac:dyDescent="0.2">
      <c r="A30" s="15">
        <v>44147</v>
      </c>
    </row>
    <row r="31" spans="1:1" x14ac:dyDescent="0.2">
      <c r="A31" s="15">
        <v>44148</v>
      </c>
    </row>
    <row r="32" spans="1:1" x14ac:dyDescent="0.2">
      <c r="A32" s="15">
        <v>44149</v>
      </c>
    </row>
    <row r="33" spans="1:1" x14ac:dyDescent="0.2">
      <c r="A33" s="15">
        <v>44150</v>
      </c>
    </row>
    <row r="34" spans="1:1" x14ac:dyDescent="0.2">
      <c r="A34" s="15">
        <v>44151</v>
      </c>
    </row>
    <row r="35" spans="1:1" x14ac:dyDescent="0.2">
      <c r="A35" s="15">
        <v>44152</v>
      </c>
    </row>
    <row r="36" spans="1:1" x14ac:dyDescent="0.2">
      <c r="A36" s="15">
        <v>44153</v>
      </c>
    </row>
    <row r="37" spans="1:1" x14ac:dyDescent="0.2">
      <c r="A37" s="15">
        <v>44154</v>
      </c>
    </row>
    <row r="38" spans="1:1" x14ac:dyDescent="0.2">
      <c r="A38" s="15">
        <v>44155</v>
      </c>
    </row>
    <row r="39" spans="1:1" x14ac:dyDescent="0.2">
      <c r="A39" s="15">
        <v>44156</v>
      </c>
    </row>
    <row r="40" spans="1:1" x14ac:dyDescent="0.2">
      <c r="A40" s="15">
        <v>44157</v>
      </c>
    </row>
    <row r="41" spans="1:1" x14ac:dyDescent="0.2">
      <c r="A41" s="15">
        <v>44158</v>
      </c>
    </row>
    <row r="42" spans="1:1" x14ac:dyDescent="0.2">
      <c r="A42" s="15">
        <v>44159</v>
      </c>
    </row>
    <row r="43" spans="1:1" x14ac:dyDescent="0.2">
      <c r="A43" s="15">
        <v>44160</v>
      </c>
    </row>
    <row r="44" spans="1:1" x14ac:dyDescent="0.2">
      <c r="A44" s="15">
        <v>44161</v>
      </c>
    </row>
    <row r="45" spans="1:1" x14ac:dyDescent="0.2">
      <c r="A45" s="15">
        <v>44162</v>
      </c>
    </row>
  </sheetData>
  <conditionalFormatting sqref="B2:C45">
    <cfRule type="cellIs" dxfId="7" priority="14" operator="equal">
      <formula>"Ja"</formula>
    </cfRule>
    <cfRule type="cellIs" dxfId="6" priority="15" operator="equal">
      <formula>"Nein"</formula>
    </cfRule>
  </conditionalFormatting>
  <conditionalFormatting sqref="B2:C45">
    <cfRule type="cellIs" dxfId="5" priority="4" operator="equal">
      <formula>"Ja"</formula>
    </cfRule>
  </conditionalFormatting>
  <dataValidations count="1">
    <dataValidation type="list" allowBlank="1" showInputMessage="1" showErrorMessage="1" sqref="B2:C45" xr:uid="{7FDD2772-70A7-4C43-8D43-0112E4DB6845}">
      <formula1>"Ja,Nein"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06" workbookViewId="0">
      <selection activeCell="H14" sqref="H14"/>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9">
        <v>0.16666666666666666</v>
      </c>
    </row>
    <row r="6" spans="1:8" x14ac:dyDescent="0.2">
      <c r="A6" s="9">
        <v>0.1875</v>
      </c>
    </row>
    <row r="7" spans="1:8" x14ac:dyDescent="0.2">
      <c r="A7" s="9">
        <v>0.20833333333333301</v>
      </c>
    </row>
    <row r="8" spans="1:8" x14ac:dyDescent="0.2">
      <c r="A8" s="9">
        <v>0.22916666666666699</v>
      </c>
    </row>
    <row r="9" spans="1:8" x14ac:dyDescent="0.2">
      <c r="A9" s="9">
        <v>0.25</v>
      </c>
    </row>
    <row r="10" spans="1:8" x14ac:dyDescent="0.2">
      <c r="A10" s="9">
        <v>0.27083333333333398</v>
      </c>
    </row>
    <row r="11" spans="1:8" x14ac:dyDescent="0.2">
      <c r="A11" s="9">
        <v>0.29166666666666702</v>
      </c>
      <c r="C11" s="27" t="s">
        <v>156</v>
      </c>
      <c r="G11" s="28"/>
    </row>
    <row r="12" spans="1:8" x14ac:dyDescent="0.2">
      <c r="A12" s="9">
        <v>0.3125</v>
      </c>
      <c r="B12" s="20" t="s">
        <v>166</v>
      </c>
      <c r="C12" s="28" t="s">
        <v>152</v>
      </c>
      <c r="F12" s="22" t="s">
        <v>149</v>
      </c>
      <c r="G12" s="28" t="s">
        <v>173</v>
      </c>
      <c r="H12" s="19"/>
    </row>
    <row r="13" spans="1:8" x14ac:dyDescent="0.2">
      <c r="A13" s="9">
        <v>0.33333333333333398</v>
      </c>
      <c r="B13" s="20" t="s">
        <v>152</v>
      </c>
      <c r="C13" s="28" t="s">
        <v>152</v>
      </c>
      <c r="D13" s="35" t="s">
        <v>150</v>
      </c>
      <c r="E13" s="20" t="s">
        <v>154</v>
      </c>
      <c r="F13" s="21" t="s">
        <v>152</v>
      </c>
      <c r="G13" s="28" t="s">
        <v>152</v>
      </c>
    </row>
    <row r="14" spans="1:8" x14ac:dyDescent="0.2">
      <c r="A14" s="9">
        <v>0.35416666666666702</v>
      </c>
      <c r="B14" s="20" t="s">
        <v>152</v>
      </c>
      <c r="C14" s="28" t="s">
        <v>152</v>
      </c>
      <c r="D14" s="20" t="s">
        <v>152</v>
      </c>
      <c r="E14" s="20" t="s">
        <v>152</v>
      </c>
      <c r="F14" s="21" t="s">
        <v>152</v>
      </c>
      <c r="G14" s="28" t="s">
        <v>152</v>
      </c>
    </row>
    <row r="15" spans="1:8" x14ac:dyDescent="0.2">
      <c r="A15" s="9">
        <v>0.375</v>
      </c>
      <c r="B15" s="20" t="s">
        <v>152</v>
      </c>
      <c r="C15" s="28" t="s">
        <v>152</v>
      </c>
      <c r="D15" s="20" t="s">
        <v>152</v>
      </c>
      <c r="E15" s="20" t="s">
        <v>152</v>
      </c>
      <c r="F15" s="21" t="s">
        <v>152</v>
      </c>
      <c r="G15" s="28" t="s">
        <v>152</v>
      </c>
    </row>
    <row r="16" spans="1:8" x14ac:dyDescent="0.2">
      <c r="A16" s="9">
        <v>0.39583333333333398</v>
      </c>
      <c r="B16" s="20" t="s">
        <v>152</v>
      </c>
      <c r="C16" s="28" t="s">
        <v>152</v>
      </c>
      <c r="D16" s="26" t="s">
        <v>167</v>
      </c>
      <c r="E16" s="29" t="s">
        <v>168</v>
      </c>
      <c r="F16" s="23" t="s">
        <v>162</v>
      </c>
      <c r="G16" s="20" t="s">
        <v>155</v>
      </c>
    </row>
    <row r="17" spans="1:8" x14ac:dyDescent="0.2">
      <c r="A17" s="9">
        <v>0.41666666666666702</v>
      </c>
      <c r="B17" s="21" t="s">
        <v>157</v>
      </c>
      <c r="C17" s="29" t="s">
        <v>168</v>
      </c>
      <c r="D17" s="24" t="s">
        <v>152</v>
      </c>
      <c r="E17" s="29" t="s">
        <v>152</v>
      </c>
      <c r="F17" s="21" t="s">
        <v>152</v>
      </c>
      <c r="G17" s="20" t="s">
        <v>152</v>
      </c>
    </row>
    <row r="18" spans="1:8" x14ac:dyDescent="0.2">
      <c r="A18" s="9">
        <v>0.4375</v>
      </c>
      <c r="B18" s="21" t="s">
        <v>152</v>
      </c>
      <c r="C18" s="29" t="s">
        <v>152</v>
      </c>
      <c r="D18" s="24" t="s">
        <v>152</v>
      </c>
      <c r="E18" s="29" t="s">
        <v>152</v>
      </c>
      <c r="F18" s="21" t="s">
        <v>152</v>
      </c>
      <c r="G18" s="20" t="s">
        <v>152</v>
      </c>
    </row>
    <row r="19" spans="1:8" x14ac:dyDescent="0.2">
      <c r="A19" s="9">
        <v>0.45833333333333398</v>
      </c>
      <c r="B19" s="21" t="s">
        <v>152</v>
      </c>
      <c r="C19" s="29" t="s">
        <v>152</v>
      </c>
      <c r="D19" s="24" t="s">
        <v>152</v>
      </c>
      <c r="E19" s="29" t="s">
        <v>152</v>
      </c>
      <c r="F19" s="21" t="s">
        <v>152</v>
      </c>
      <c r="G19" s="20" t="s">
        <v>152</v>
      </c>
    </row>
    <row r="20" spans="1:8" x14ac:dyDescent="0.2">
      <c r="A20" s="9">
        <v>0.47916666666666702</v>
      </c>
      <c r="B20" s="21" t="s">
        <v>152</v>
      </c>
      <c r="C20" s="29" t="s">
        <v>152</v>
      </c>
      <c r="D20" s="24" t="s">
        <v>152</v>
      </c>
      <c r="E20" s="29" t="s">
        <v>170</v>
      </c>
      <c r="F20" s="27" t="s">
        <v>172</v>
      </c>
      <c r="G20" s="24" t="s">
        <v>164</v>
      </c>
      <c r="H20" s="19"/>
    </row>
    <row r="21" spans="1:8" x14ac:dyDescent="0.2">
      <c r="A21" s="9">
        <v>0.5</v>
      </c>
      <c r="B21" s="21" t="s">
        <v>152</v>
      </c>
      <c r="C21" s="29" t="s">
        <v>152</v>
      </c>
      <c r="D21" s="24" t="s">
        <v>152</v>
      </c>
      <c r="E21" s="29" t="s">
        <v>152</v>
      </c>
      <c r="F21" s="28" t="s">
        <v>152</v>
      </c>
      <c r="G21" s="24" t="s">
        <v>152</v>
      </c>
    </row>
    <row r="22" spans="1:8" x14ac:dyDescent="0.2">
      <c r="A22" s="9">
        <v>0.52083333333333404</v>
      </c>
      <c r="B22" s="21" t="s">
        <v>152</v>
      </c>
      <c r="C22" s="29" t="s">
        <v>152</v>
      </c>
      <c r="D22" s="24" t="s">
        <v>152</v>
      </c>
      <c r="E22" s="29" t="s">
        <v>152</v>
      </c>
      <c r="F22" s="28" t="s">
        <v>152</v>
      </c>
      <c r="G22" s="24" t="s">
        <v>165</v>
      </c>
      <c r="H22" s="24"/>
    </row>
    <row r="23" spans="1:8" x14ac:dyDescent="0.2">
      <c r="A23" s="9">
        <v>0.54166666666666696</v>
      </c>
      <c r="C23" s="29" t="s">
        <v>152</v>
      </c>
      <c r="F23" s="28" t="s">
        <v>152</v>
      </c>
      <c r="G23" s="24" t="s">
        <v>152</v>
      </c>
    </row>
    <row r="24" spans="1:8" x14ac:dyDescent="0.2">
      <c r="A24" s="9">
        <v>0.5625</v>
      </c>
    </row>
    <row r="25" spans="1:8" x14ac:dyDescent="0.2">
      <c r="A25" s="9">
        <v>0.58333333333333404</v>
      </c>
      <c r="B25" s="25" t="s">
        <v>174</v>
      </c>
      <c r="D25" s="20" t="s">
        <v>150</v>
      </c>
      <c r="E25" s="29" t="s">
        <v>171</v>
      </c>
    </row>
    <row r="26" spans="1:8" x14ac:dyDescent="0.2">
      <c r="A26" s="9">
        <v>0.60416666666666696</v>
      </c>
      <c r="B26" s="24" t="s">
        <v>152</v>
      </c>
      <c r="C26" s="28" t="s">
        <v>169</v>
      </c>
      <c r="D26" s="20" t="s">
        <v>152</v>
      </c>
      <c r="E26" s="29" t="s">
        <v>152</v>
      </c>
      <c r="F26" s="20" t="s">
        <v>150</v>
      </c>
    </row>
    <row r="27" spans="1:8" x14ac:dyDescent="0.2">
      <c r="A27" s="9">
        <v>0.625000000000001</v>
      </c>
      <c r="B27" s="24" t="s">
        <v>152</v>
      </c>
      <c r="C27" s="28" t="s">
        <v>152</v>
      </c>
      <c r="D27" s="20" t="s">
        <v>152</v>
      </c>
      <c r="E27" s="29" t="s">
        <v>152</v>
      </c>
      <c r="F27" s="20" t="s">
        <v>152</v>
      </c>
    </row>
    <row r="28" spans="1:8" x14ac:dyDescent="0.2">
      <c r="A28" s="9">
        <v>0.64583333333333404</v>
      </c>
      <c r="B28" s="24" t="s">
        <v>152</v>
      </c>
      <c r="C28" s="28" t="s">
        <v>152</v>
      </c>
      <c r="D28" s="20" t="s">
        <v>155</v>
      </c>
      <c r="E28" s="29" t="s">
        <v>152</v>
      </c>
      <c r="F28" s="20" t="s">
        <v>152</v>
      </c>
    </row>
    <row r="29" spans="1:8" x14ac:dyDescent="0.2">
      <c r="A29" s="9">
        <v>0.66666666666666696</v>
      </c>
      <c r="B29" s="24" t="s">
        <v>152</v>
      </c>
      <c r="C29" s="28" t="s">
        <v>152</v>
      </c>
      <c r="D29" s="20" t="s">
        <v>152</v>
      </c>
      <c r="E29" s="29" t="s">
        <v>152</v>
      </c>
      <c r="F29" s="20" t="s">
        <v>163</v>
      </c>
    </row>
    <row r="30" spans="1:8" x14ac:dyDescent="0.2">
      <c r="A30" s="9">
        <v>0.687500000000001</v>
      </c>
      <c r="B30" s="24" t="s">
        <v>152</v>
      </c>
      <c r="C30" s="28" t="s">
        <v>152</v>
      </c>
      <c r="D30" s="20" t="s">
        <v>152</v>
      </c>
      <c r="E30" s="29" t="s">
        <v>152</v>
      </c>
      <c r="F30" s="20" t="s">
        <v>152</v>
      </c>
    </row>
    <row r="31" spans="1:8" x14ac:dyDescent="0.2">
      <c r="A31" s="9">
        <v>0.70833333333333404</v>
      </c>
      <c r="C31" s="28" t="s">
        <v>152</v>
      </c>
      <c r="D31" s="20" t="s">
        <v>152</v>
      </c>
      <c r="E31" s="29" t="s">
        <v>152</v>
      </c>
    </row>
    <row r="32" spans="1:8" x14ac:dyDescent="0.2">
      <c r="A32" s="9">
        <v>0.72916666666666696</v>
      </c>
      <c r="E32" s="29" t="s">
        <v>152</v>
      </c>
    </row>
    <row r="33" spans="1:8" x14ac:dyDescent="0.2">
      <c r="A33" s="9">
        <v>0.750000000000001</v>
      </c>
    </row>
    <row r="34" spans="1:8" x14ac:dyDescent="0.2">
      <c r="A34" s="9">
        <v>0.77083333333333404</v>
      </c>
    </row>
    <row r="35" spans="1:8" x14ac:dyDescent="0.2">
      <c r="A35" s="9">
        <v>0.79166666666666696</v>
      </c>
    </row>
    <row r="36" spans="1:8" x14ac:dyDescent="0.2">
      <c r="A36" s="9">
        <v>0.812500000000001</v>
      </c>
    </row>
    <row r="37" spans="1:8" x14ac:dyDescent="0.2">
      <c r="A37" s="9">
        <v>0.83333333333333404</v>
      </c>
      <c r="B37" s="30" t="s">
        <v>151</v>
      </c>
      <c r="C37" s="32" t="s">
        <v>153</v>
      </c>
      <c r="D37" s="30" t="s">
        <v>151</v>
      </c>
      <c r="E37" s="34" t="s">
        <v>153</v>
      </c>
      <c r="F37" s="30" t="s">
        <v>151</v>
      </c>
      <c r="G37" s="34" t="s">
        <v>153</v>
      </c>
      <c r="H37" s="30" t="s">
        <v>151</v>
      </c>
    </row>
    <row r="38" spans="1:8" x14ac:dyDescent="0.2">
      <c r="A38" s="9">
        <v>0.85416666666666696</v>
      </c>
      <c r="B38" s="31" t="s">
        <v>152</v>
      </c>
      <c r="C38" s="33" t="s">
        <v>152</v>
      </c>
      <c r="D38" s="31" t="s">
        <v>152</v>
      </c>
      <c r="E38" s="33" t="s">
        <v>152</v>
      </c>
      <c r="F38" s="31" t="s">
        <v>152</v>
      </c>
      <c r="G38" s="33" t="s">
        <v>152</v>
      </c>
      <c r="H38" s="31" t="s">
        <v>152</v>
      </c>
    </row>
    <row r="39" spans="1:8" x14ac:dyDescent="0.2">
      <c r="A39" s="9">
        <v>0.875000000000001</v>
      </c>
      <c r="B39" s="31" t="s">
        <v>152</v>
      </c>
      <c r="C39" s="33" t="s">
        <v>152</v>
      </c>
      <c r="D39" s="31" t="s">
        <v>152</v>
      </c>
      <c r="E39" s="33" t="s">
        <v>152</v>
      </c>
      <c r="F39" s="31" t="s">
        <v>152</v>
      </c>
      <c r="G39" s="33" t="s">
        <v>152</v>
      </c>
      <c r="H39" s="31" t="s">
        <v>152</v>
      </c>
    </row>
    <row r="40" spans="1:8" x14ac:dyDescent="0.2">
      <c r="A40" s="9">
        <v>0.89583333333333404</v>
      </c>
      <c r="B40" s="31" t="s">
        <v>152</v>
      </c>
      <c r="C40" s="33" t="s">
        <v>152</v>
      </c>
      <c r="D40" s="31" t="s">
        <v>152</v>
      </c>
      <c r="E40" s="33" t="s">
        <v>152</v>
      </c>
      <c r="F40" s="31" t="s">
        <v>152</v>
      </c>
      <c r="G40" s="33" t="s">
        <v>152</v>
      </c>
      <c r="H40" s="31" t="s">
        <v>152</v>
      </c>
    </row>
    <row r="41" spans="1:8" x14ac:dyDescent="0.2">
      <c r="A41" s="9">
        <v>0.91666666666666696</v>
      </c>
    </row>
    <row r="42" spans="1:8" x14ac:dyDescent="0.2">
      <c r="A42" s="9">
        <v>0.937500000000001</v>
      </c>
    </row>
    <row r="43" spans="1:8" x14ac:dyDescent="0.2">
      <c r="A43" s="9">
        <v>0.95833333333333404</v>
      </c>
    </row>
    <row r="44" spans="1:8" x14ac:dyDescent="0.2">
      <c r="A44" s="9">
        <v>0.97916666666666696</v>
      </c>
    </row>
    <row r="45" spans="1:8" x14ac:dyDescent="0.2">
      <c r="A45" s="9">
        <v>1</v>
      </c>
    </row>
    <row r="46" spans="1:8" x14ac:dyDescent="0.2">
      <c r="A46" s="9">
        <v>1.0208333333333299</v>
      </c>
    </row>
    <row r="47" spans="1:8" x14ac:dyDescent="0.2">
      <c r="A47" s="9">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5F917-B8CE-3742-9EF2-653C187F62C4}">
  <dimension ref="A1"/>
  <sheetViews>
    <sheetView workbookViewId="0"/>
  </sheetViews>
  <sheetFormatPr baseColWidth="10" defaultRowHeight="16" x14ac:dyDescent="0.2"/>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9">
        <v>0.16666666666666666</v>
      </c>
    </row>
    <row r="6" spans="1:8" x14ac:dyDescent="0.2">
      <c r="A6" s="9">
        <v>0.1875</v>
      </c>
    </row>
    <row r="7" spans="1:8" x14ac:dyDescent="0.2">
      <c r="A7" s="9">
        <v>0.20833333333333301</v>
      </c>
    </row>
    <row r="8" spans="1:8" x14ac:dyDescent="0.2">
      <c r="A8" s="9">
        <v>0.22916666666666699</v>
      </c>
    </row>
    <row r="9" spans="1:8" x14ac:dyDescent="0.2">
      <c r="A9" s="9">
        <v>0.25</v>
      </c>
    </row>
    <row r="10" spans="1:8" x14ac:dyDescent="0.2">
      <c r="A10" s="9">
        <v>0.27083333333333398</v>
      </c>
    </row>
    <row r="11" spans="1:8" x14ac:dyDescent="0.2">
      <c r="A11" s="9">
        <v>0.29166666666666702</v>
      </c>
    </row>
    <row r="12" spans="1:8" x14ac:dyDescent="0.2">
      <c r="A12" s="9">
        <v>0.3125</v>
      </c>
    </row>
    <row r="13" spans="1:8" x14ac:dyDescent="0.2">
      <c r="A13" s="9">
        <v>0.33333333333333398</v>
      </c>
    </row>
    <row r="14" spans="1:8" x14ac:dyDescent="0.2">
      <c r="A14" s="9">
        <v>0.35416666666666702</v>
      </c>
    </row>
    <row r="15" spans="1:8" x14ac:dyDescent="0.2">
      <c r="A15" s="9">
        <v>0.375</v>
      </c>
    </row>
    <row r="16" spans="1:8" x14ac:dyDescent="0.2">
      <c r="A16" s="9">
        <v>0.39583333333333398</v>
      </c>
    </row>
    <row r="17" spans="1:1" x14ac:dyDescent="0.2">
      <c r="A17" s="9">
        <v>0.41666666666666702</v>
      </c>
    </row>
    <row r="18" spans="1:1" x14ac:dyDescent="0.2">
      <c r="A18" s="9">
        <v>0.4375</v>
      </c>
    </row>
    <row r="19" spans="1:1" x14ac:dyDescent="0.2">
      <c r="A19" s="9">
        <v>0.45833333333333398</v>
      </c>
    </row>
    <row r="20" spans="1:1" x14ac:dyDescent="0.2">
      <c r="A20" s="9">
        <v>0.47916666666666702</v>
      </c>
    </row>
    <row r="21" spans="1:1" x14ac:dyDescent="0.2">
      <c r="A21" s="9">
        <v>0.5</v>
      </c>
    </row>
    <row r="22" spans="1:1" x14ac:dyDescent="0.2">
      <c r="A22" s="9">
        <v>0.52083333333333404</v>
      </c>
    </row>
    <row r="23" spans="1:1" x14ac:dyDescent="0.2">
      <c r="A23" s="9">
        <v>0.54166666666666696</v>
      </c>
    </row>
    <row r="24" spans="1:1" x14ac:dyDescent="0.2">
      <c r="A24" s="9">
        <v>0.5625</v>
      </c>
    </row>
    <row r="25" spans="1:1" x14ac:dyDescent="0.2">
      <c r="A25" s="9">
        <v>0.58333333333333404</v>
      </c>
    </row>
    <row r="26" spans="1:1" x14ac:dyDescent="0.2">
      <c r="A26" s="9">
        <v>0.60416666666666696</v>
      </c>
    </row>
    <row r="27" spans="1:1" x14ac:dyDescent="0.2">
      <c r="A27" s="9">
        <v>0.625000000000001</v>
      </c>
    </row>
    <row r="28" spans="1:1" x14ac:dyDescent="0.2">
      <c r="A28" s="9">
        <v>0.64583333333333404</v>
      </c>
    </row>
    <row r="29" spans="1:1" x14ac:dyDescent="0.2">
      <c r="A29" s="9">
        <v>0.66666666666666696</v>
      </c>
    </row>
    <row r="30" spans="1:1" x14ac:dyDescent="0.2">
      <c r="A30" s="9">
        <v>0.687500000000001</v>
      </c>
    </row>
    <row r="31" spans="1:1" x14ac:dyDescent="0.2">
      <c r="A31" s="9">
        <v>0.70833333333333404</v>
      </c>
    </row>
    <row r="32" spans="1:1" x14ac:dyDescent="0.2">
      <c r="A32" s="9">
        <v>0.72916666666666696</v>
      </c>
    </row>
    <row r="33" spans="1:1" x14ac:dyDescent="0.2">
      <c r="A33" s="9">
        <v>0.750000000000001</v>
      </c>
    </row>
    <row r="34" spans="1:1" x14ac:dyDescent="0.2">
      <c r="A34" s="9">
        <v>0.77083333333333404</v>
      </c>
    </row>
    <row r="35" spans="1:1" x14ac:dyDescent="0.2">
      <c r="A35" s="9">
        <v>0.79166666666666696</v>
      </c>
    </row>
    <row r="36" spans="1:1" x14ac:dyDescent="0.2">
      <c r="A36" s="9">
        <v>0.812500000000001</v>
      </c>
    </row>
    <row r="37" spans="1:1" x14ac:dyDescent="0.2">
      <c r="A37" s="9">
        <v>0.83333333333333404</v>
      </c>
    </row>
    <row r="38" spans="1:1" x14ac:dyDescent="0.2">
      <c r="A38" s="9">
        <v>0.85416666666666696</v>
      </c>
    </row>
    <row r="39" spans="1:1" x14ac:dyDescent="0.2">
      <c r="A39" s="9">
        <v>0.875000000000001</v>
      </c>
    </row>
    <row r="40" spans="1:1" x14ac:dyDescent="0.2">
      <c r="A40" s="9">
        <v>0.89583333333333404</v>
      </c>
    </row>
    <row r="41" spans="1:1" x14ac:dyDescent="0.2">
      <c r="A41" s="9">
        <v>0.91666666666666696</v>
      </c>
    </row>
    <row r="42" spans="1:1" x14ac:dyDescent="0.2">
      <c r="A42" s="9">
        <v>0.937500000000001</v>
      </c>
    </row>
    <row r="43" spans="1:1" x14ac:dyDescent="0.2">
      <c r="A43" s="9">
        <v>0.95833333333333404</v>
      </c>
    </row>
    <row r="44" spans="1:1" x14ac:dyDescent="0.2">
      <c r="A44" s="9">
        <v>0.97916666666666696</v>
      </c>
    </row>
    <row r="45" spans="1:1" x14ac:dyDescent="0.2">
      <c r="A45" s="9">
        <v>1</v>
      </c>
    </row>
    <row r="46" spans="1:1" x14ac:dyDescent="0.2">
      <c r="A46" s="9">
        <v>1.0208333333333299</v>
      </c>
    </row>
    <row r="47" spans="1:1" x14ac:dyDescent="0.2">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COMMITTMENT</vt:lpstr>
      <vt:lpstr>Wochenplan KW 19</vt:lpstr>
      <vt:lpstr>Tabelle1</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2021-10-24T14:48:42Z</dcterms:modified>
</cp:coreProperties>
</file>