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166925"/>
  <mc:AlternateContent xmlns:mc="http://schemas.openxmlformats.org/markup-compatibility/2006">
    <mc:Choice Requires="x15">
      <x15ac:absPath xmlns:x15ac="http://schemas.microsoft.com/office/spreadsheetml/2010/11/ac" url="/Users/runewitt/Documents/Semester 1/"/>
    </mc:Choice>
  </mc:AlternateContent>
  <xr:revisionPtr revIDLastSave="0" documentId="13_ncr:1_{AEB86939-CAF2-E241-9D08-A0CD2264D988}" xr6:coauthVersionLast="47" xr6:coauthVersionMax="47" xr10:uidLastSave="{00000000-0000-0000-0000-000000000000}"/>
  <bookViews>
    <workbookView xWindow="0" yWindow="740" windowWidth="29400" windowHeight="16840" activeTab="1" xr2:uid="{50F29292-BE80-0C47-A0D2-DD086CB3D310}"/>
  </bookViews>
  <sheets>
    <sheet name="ANLEITUNG" sheetId="10" r:id="rId1"/>
    <sheet name="Semesterplan" sheetId="7" r:id="rId2"/>
    <sheet name="Best-Practices" sheetId="2" r:id="rId3"/>
    <sheet name="COMMITTMENT" sheetId="9" r:id="rId4"/>
    <sheet name="Wochenplan KW 19" sheetId="3" r:id="rId5"/>
    <sheet name="Wochenplan KW 20"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40" i="7" l="1" a="1"/>
  <c r="K40" i="7" s="1"/>
  <c r="J40" i="7" a="1"/>
  <c r="J40" i="7" s="1"/>
  <c r="I40" i="7"/>
  <c r="I39" i="7"/>
  <c r="J39" i="7" a="1"/>
  <c r="J39" i="7" s="1"/>
  <c r="K39" i="7" a="1"/>
  <c r="K39" i="7" s="1"/>
  <c r="K65" i="7" a="1"/>
  <c r="K65" i="7" s="1"/>
  <c r="J65" i="7" a="1"/>
  <c r="J65" i="7" s="1"/>
  <c r="I65" i="7"/>
  <c r="I9" i="7"/>
  <c r="I10" i="7"/>
  <c r="I11" i="7"/>
  <c r="I12" i="7"/>
  <c r="I13" i="7"/>
  <c r="I14" i="7"/>
  <c r="I15" i="7"/>
  <c r="I54" i="7"/>
  <c r="I55" i="7"/>
  <c r="I56" i="7"/>
  <c r="I57" i="7"/>
  <c r="I58" i="7"/>
  <c r="I59" i="7"/>
  <c r="I60" i="7"/>
  <c r="I61" i="7"/>
  <c r="I62" i="7"/>
  <c r="I63" i="7"/>
  <c r="I64" i="7"/>
  <c r="I47" i="7"/>
  <c r="I48" i="7"/>
  <c r="I24" i="7"/>
  <c r="I25" i="7"/>
  <c r="I26" i="7"/>
  <c r="I27" i="7"/>
  <c r="I28" i="7"/>
  <c r="I29" i="7"/>
  <c r="I30" i="7"/>
  <c r="I31" i="7"/>
  <c r="I32" i="7"/>
  <c r="B73" i="7"/>
  <c r="E74" i="7"/>
  <c r="E75" i="7"/>
  <c r="E76" i="7"/>
  <c r="E73" i="7"/>
  <c r="J9" i="7" a="1"/>
  <c r="J9" i="7" s="1"/>
  <c r="K9" i="7" a="1"/>
  <c r="K9" i="7" s="1"/>
  <c r="J10" i="7" a="1"/>
  <c r="J10" i="7" s="1"/>
  <c r="K10" i="7" a="1"/>
  <c r="K10" i="7" s="1"/>
  <c r="J11" i="7" a="1"/>
  <c r="J11" i="7" s="1"/>
  <c r="K11" i="7" a="1"/>
  <c r="K11" i="7" s="1"/>
  <c r="J12" i="7" a="1"/>
  <c r="J12" i="7" s="1"/>
  <c r="K12" i="7" a="1"/>
  <c r="K12" i="7" s="1"/>
  <c r="J13" i="7" a="1"/>
  <c r="J13" i="7" s="1"/>
  <c r="K13" i="7" a="1"/>
  <c r="K13" i="7" s="1"/>
  <c r="J14" i="7" a="1"/>
  <c r="J14" i="7" s="1"/>
  <c r="K14" i="7" a="1"/>
  <c r="K14" i="7" s="1"/>
  <c r="J15" i="7" a="1"/>
  <c r="J15" i="7" s="1"/>
  <c r="K15" i="7" a="1"/>
  <c r="K15" i="7" s="1"/>
  <c r="J24" i="7" a="1"/>
  <c r="J24" i="7" s="1"/>
  <c r="K24" i="7" a="1"/>
  <c r="K24" i="7" s="1"/>
  <c r="J25" i="7" a="1"/>
  <c r="J25" i="7" s="1"/>
  <c r="K25" i="7" a="1"/>
  <c r="K25" i="7" s="1"/>
  <c r="J26" i="7" a="1"/>
  <c r="J26" i="7" s="1"/>
  <c r="K26" i="7" a="1"/>
  <c r="K26" i="7" s="1"/>
  <c r="J27" i="7" a="1"/>
  <c r="J27" i="7" s="1"/>
  <c r="K27" i="7" a="1"/>
  <c r="K27" i="7" s="1"/>
  <c r="J28" i="7" a="1"/>
  <c r="J28" i="7" s="1"/>
  <c r="K28" i="7" a="1"/>
  <c r="K28" i="7" s="1"/>
  <c r="J29" i="7" a="1"/>
  <c r="J29" i="7" s="1"/>
  <c r="K29" i="7" a="1"/>
  <c r="K29" i="7" s="1"/>
  <c r="J30" i="7" a="1"/>
  <c r="J30" i="7" s="1"/>
  <c r="K30" i="7" a="1"/>
  <c r="K30" i="7" s="1"/>
  <c r="J31" i="7" a="1"/>
  <c r="J31" i="7" s="1"/>
  <c r="K31" i="7" a="1"/>
  <c r="K31" i="7" s="1"/>
  <c r="J32" i="7" a="1"/>
  <c r="J32" i="7" s="1"/>
  <c r="K32" i="7" a="1"/>
  <c r="K32" i="7" s="1"/>
  <c r="J47" i="7" a="1"/>
  <c r="J47" i="7" s="1"/>
  <c r="K47" i="7" a="1"/>
  <c r="K47" i="7" s="1"/>
  <c r="J48" i="7" a="1"/>
  <c r="J48" i="7" s="1"/>
  <c r="K48" i="7" a="1"/>
  <c r="K48" i="7" s="1"/>
  <c r="J54" i="7" a="1"/>
  <c r="J54" i="7" s="1"/>
  <c r="K54" i="7" a="1"/>
  <c r="K54" i="7" s="1"/>
  <c r="J55" i="7" a="1"/>
  <c r="J55" i="7" s="1"/>
  <c r="K55" i="7" a="1"/>
  <c r="K55" i="7" s="1"/>
  <c r="J56" i="7" a="1"/>
  <c r="J56" i="7" s="1"/>
  <c r="K56" i="7" a="1"/>
  <c r="K56" i="7" s="1"/>
  <c r="J57" i="7" a="1"/>
  <c r="J57" i="7" s="1"/>
  <c r="K57" i="7" a="1"/>
  <c r="K57" i="7" s="1"/>
  <c r="J58" i="7" a="1"/>
  <c r="J58" i="7" s="1"/>
  <c r="K58" i="7" a="1"/>
  <c r="K58" i="7" s="1"/>
  <c r="J59" i="7" a="1"/>
  <c r="J59" i="7" s="1"/>
  <c r="K59" i="7" a="1"/>
  <c r="K59" i="7" s="1"/>
  <c r="J60" i="7" a="1"/>
  <c r="J60" i="7" s="1"/>
  <c r="K60" i="7" a="1"/>
  <c r="K60" i="7" s="1"/>
  <c r="J61" i="7" a="1"/>
  <c r="J61" i="7" s="1"/>
  <c r="K61" i="7" a="1"/>
  <c r="K61" i="7" s="1"/>
  <c r="J62" i="7" a="1"/>
  <c r="J62" i="7" s="1"/>
  <c r="K62" i="7" a="1"/>
  <c r="K62" i="7" s="1"/>
  <c r="J63" i="7" a="1"/>
  <c r="J63" i="7" s="1"/>
  <c r="K63" i="7" a="1"/>
  <c r="K63" i="7" s="1"/>
  <c r="J64" i="7" a="1"/>
  <c r="J64" i="7" s="1"/>
  <c r="K64" i="7" a="1"/>
  <c r="K64" i="7" s="1"/>
  <c r="G36" i="7"/>
  <c r="G18" i="7"/>
  <c r="C11" i="10"/>
  <c r="C12" i="10" s="1"/>
  <c r="I22" i="7"/>
  <c r="J22" i="7" a="1"/>
  <c r="J22" i="7" s="1"/>
  <c r="K22" i="7" a="1"/>
  <c r="K22" i="7" s="1"/>
  <c r="I23" i="7"/>
  <c r="J23" i="7" a="1"/>
  <c r="J23" i="7" s="1"/>
  <c r="K23" i="7" a="1"/>
  <c r="K23" i="7" s="1"/>
  <c r="I33" i="7"/>
  <c r="J33" i="7" a="1"/>
  <c r="J33" i="7" s="1"/>
  <c r="K33" i="7" a="1"/>
  <c r="K33" i="7" s="1"/>
  <c r="K21" i="7" a="1"/>
  <c r="K21" i="7" s="1"/>
  <c r="J21" i="7" a="1"/>
  <c r="J21" i="7" s="1"/>
  <c r="I21" i="7"/>
  <c r="K20" i="7" a="1"/>
  <c r="K20" i="7" s="1"/>
  <c r="J20" i="7" a="1"/>
  <c r="J20" i="7" s="1"/>
  <c r="I20" i="7"/>
  <c r="K53" i="7" a="1"/>
  <c r="K53" i="7" s="1"/>
  <c r="J53" i="7" a="1"/>
  <c r="J53" i="7" s="1"/>
  <c r="I53" i="7"/>
  <c r="K52" i="7" a="1"/>
  <c r="K52" i="7" s="1"/>
  <c r="J52" i="7" a="1"/>
  <c r="J52" i="7" s="1"/>
  <c r="I52" i="7"/>
  <c r="G51" i="7"/>
  <c r="K34" i="7" a="1"/>
  <c r="K34" i="7" s="1"/>
  <c r="J34" i="7" a="1"/>
  <c r="J34" i="7" s="1"/>
  <c r="K19" i="7" a="1"/>
  <c r="K19" i="7" s="1"/>
  <c r="J19" i="7" a="1"/>
  <c r="J19" i="7" s="1"/>
  <c r="K46" i="7" a="1"/>
  <c r="K46" i="7" s="1"/>
  <c r="J46" i="7" a="1"/>
  <c r="J46" i="7" s="1"/>
  <c r="K45" i="7" a="1"/>
  <c r="K45" i="7" s="1"/>
  <c r="J45" i="7" a="1"/>
  <c r="J45" i="7" s="1"/>
  <c r="K44" i="7" a="1"/>
  <c r="K44" i="7" s="1"/>
  <c r="J44" i="7" a="1"/>
  <c r="J44" i="7" s="1"/>
  <c r="K43" i="7" a="1"/>
  <c r="K43" i="7" s="1"/>
  <c r="J43" i="7" a="1"/>
  <c r="J43" i="7" s="1"/>
  <c r="K42" i="7" a="1"/>
  <c r="K42" i="7" s="1"/>
  <c r="J42" i="7" a="1"/>
  <c r="J42" i="7" s="1"/>
  <c r="K41" i="7" a="1"/>
  <c r="K41" i="7" s="1"/>
  <c r="J41" i="7" a="1"/>
  <c r="J41" i="7" s="1"/>
  <c r="K38" i="7" a="1"/>
  <c r="K38" i="7" s="1"/>
  <c r="J38" i="7" a="1"/>
  <c r="J38" i="7" s="1"/>
  <c r="K37" i="7" a="1"/>
  <c r="K37" i="7" s="1"/>
  <c r="J37" i="7" a="1"/>
  <c r="J37" i="7" s="1"/>
  <c r="K16" i="7" a="1"/>
  <c r="K16" i="7" s="1"/>
  <c r="J16" i="7" a="1"/>
  <c r="J16" i="7" s="1"/>
  <c r="K8" i="7" a="1"/>
  <c r="K8" i="7" s="1"/>
  <c r="J8" i="7" a="1"/>
  <c r="J8" i="7" s="1"/>
  <c r="K7" i="7" a="1"/>
  <c r="K7" i="7" s="1"/>
  <c r="J7" i="7" a="1"/>
  <c r="J7" i="7" s="1"/>
  <c r="K6" i="7" a="1"/>
  <c r="K6" i="7" s="1"/>
  <c r="J6" i="7" a="1"/>
  <c r="J6" i="7" s="1"/>
  <c r="K5" i="7" a="1"/>
  <c r="K5" i="7" s="1"/>
  <c r="J5" i="7" a="1"/>
  <c r="J5" i="7" s="1"/>
  <c r="G4" i="7"/>
  <c r="I46" i="7"/>
  <c r="I45" i="7"/>
  <c r="I44" i="7"/>
  <c r="I43" i="7"/>
  <c r="I42" i="7"/>
  <c r="I41" i="7"/>
  <c r="I38" i="7"/>
  <c r="I37" i="7"/>
  <c r="I34" i="7"/>
  <c r="I19" i="7"/>
  <c r="I6" i="7"/>
  <c r="I7" i="7"/>
  <c r="I8" i="7"/>
  <c r="I16" i="7"/>
  <c r="I5" i="7"/>
  <c r="I51" i="7" l="1"/>
  <c r="K51" i="7"/>
  <c r="J51" i="7"/>
  <c r="I36" i="7"/>
  <c r="J36" i="7"/>
  <c r="K36" i="7"/>
  <c r="I18" i="7"/>
  <c r="J18" i="7"/>
  <c r="K18" i="7"/>
  <c r="K4" i="7"/>
  <c r="I4" i="7" l="1"/>
  <c r="J76" i="7" s="1"/>
  <c r="J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<sst xmlns="http://schemas.openxmlformats.org/spreadsheetml/2006/main" count="436" uniqueCount="175">
  <si>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</si>
  <si>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</si>
  <si>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</si>
  <si>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</si>
  <si>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</si>
  <si>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</si>
  <si>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</si>
  <si>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</si>
  <si>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</si>
  <si>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</si>
  <si>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</si>
  <si>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</si>
  <si>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</si>
  <si>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</si>
  <si>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</si>
  <si>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</si>
  <si>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</si>
  <si>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</si>
  <si>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</si>
  <si>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</si>
  <si>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</si>
  <si>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</si>
  <si>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</si>
  <si>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</si>
  <si>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</si>
  <si>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</si>
  <si>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</si>
  <si>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</si>
  <si>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</si>
  <si>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</si>
  <si>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</si>
  <si>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</si>
  <si>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</si>
  <si>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</si>
  <si>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</si>
  <si>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</si>
  <si>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</si>
  <si>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</si>
  <si>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</si>
  <si>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</si>
  <si>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</si>
  <si>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</si>
  <si>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</si>
  <si>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</si>
  <si>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</si>
  <si>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</si>
  <si>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</si>
  <si>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</si>
  <si>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</si>
  <si>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</si>
  <si>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</si>
  <si>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</si>
  <si>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</si>
  <si>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</si>
  <si>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</si>
  <si>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</si>
  <si>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</si>
  <si>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</si>
  <si>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</si>
  <si>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</si>
  <si>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</si>
  <si>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</si>
  <si>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</si>
  <si>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</si>
  <si>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</si>
  <si>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</si>
  <si>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</si>
  <si>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</si>
  <si>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</si>
  <si>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</si>
  <si>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</si>
  <si>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</si>
  <si>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</si>
  <si>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</si>
  <si>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</si>
  <si>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</si>
  <si>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</si>
  <si>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</si>
  <si>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</si>
  <si>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</si>
  <si>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</si>
  <si>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</si>
  <si>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</si>
  <si>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</si>
  <si>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</si>
  <si>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</si>
  <si>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</si>
  <si>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</si>
  <si>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OMAT</t>
  </si>
  <si>
    <t>OACC</t>
  </si>
  <si>
    <t>OVWL</t>
  </si>
  <si>
    <t>2) Von der Inventur zur Bilanz</t>
  </si>
  <si>
    <t>3) Buchungsregeln</t>
  </si>
  <si>
    <t>4) Buchführung damals und heute</t>
  </si>
  <si>
    <t>5) Die Aufspaltung des Eigenkapitals</t>
  </si>
  <si>
    <t>6) Betrieblicher Erfolg</t>
  </si>
  <si>
    <t>7) Umsatzsteuer Vorsteuer</t>
  </si>
  <si>
    <t>8) Besonderheiten des Wareneinkaufs</t>
  </si>
  <si>
    <t>9) Warenverkauf, Eigenverbrauch und sonstige Erträge</t>
  </si>
  <si>
    <t>10) Anschaffungskosten</t>
  </si>
  <si>
    <t>11) Herstellungskosten</t>
  </si>
  <si>
    <t>12) Interne produktive Leistungen</t>
  </si>
  <si>
    <t>13) Folgebewertung von Sachanlagen in der Handel und Steuerbilanz
Planmäßige Abschreibung</t>
  </si>
  <si>
    <t>14) Folgebewertung von Sachanlagen und Finanzanlagen in der Handel und Steuerbilanz
Außerplanmäßige Abschreibung</t>
  </si>
  <si>
    <t>15) Immaterielle Vermögenswerte und Rechnungsabgrenzungsposten</t>
  </si>
  <si>
    <t>16) Rückstellungen und Verbindlichkeiten</t>
  </si>
  <si>
    <t>OSTAT</t>
  </si>
  <si>
    <t>1) Matrizen</t>
  </si>
  <si>
    <t>2) Lineare Gleichungssysteme</t>
  </si>
  <si>
    <t>3) Vektoren</t>
  </si>
  <si>
    <t>4) Determinanten</t>
  </si>
  <si>
    <t>5) Inversen</t>
  </si>
  <si>
    <t>6) Vollständige Induktion</t>
  </si>
  <si>
    <t>7) Folgen</t>
  </si>
  <si>
    <t>8) Reihen</t>
  </si>
  <si>
    <t>9) ReelleFunktionen</t>
  </si>
  <si>
    <t>10) Approximation</t>
  </si>
  <si>
    <t>11) Univariate und multivariate Funktionen</t>
  </si>
  <si>
    <t>12) Optimierung</t>
  </si>
  <si>
    <t>1) Beschreibung univariater Datensätze</t>
  </si>
  <si>
    <t>2) Beschreibung bivariater Datensätze: Zusammenhangsanalysen</t>
  </si>
  <si>
    <t>4) Verteilungsmodelle</t>
  </si>
  <si>
    <t>5) Bivariate Zufallsvariablen</t>
  </si>
  <si>
    <t>6) Mittelung bei Zufallsstichproben</t>
  </si>
  <si>
    <t>7) Parameterschätzung</t>
  </si>
  <si>
    <t>8) Konfidenzintervalle (KI)</t>
  </si>
  <si>
    <t>9) Statistische Tests</t>
  </si>
  <si>
    <t>10) Tests bei (un)verbundenen Stichproben</t>
  </si>
  <si>
    <t>11) Das lineare Regressionsmodell</t>
  </si>
  <si>
    <t>KW 42</t>
  </si>
  <si>
    <t>KW 43</t>
  </si>
  <si>
    <t>KW 44</t>
  </si>
  <si>
    <t>KW 45</t>
  </si>
  <si>
    <t>KW 46</t>
  </si>
  <si>
    <t>KW 47</t>
  </si>
  <si>
    <t>KW 48</t>
  </si>
  <si>
    <t>KW 49</t>
  </si>
  <si>
    <t>KW 50</t>
  </si>
  <si>
    <t>KW 51</t>
  </si>
  <si>
    <t>KW 52</t>
  </si>
  <si>
    <t>KW 01</t>
  </si>
  <si>
    <t>KW 02</t>
  </si>
  <si>
    <t>Kw 03</t>
  </si>
  <si>
    <t>Kw 04</t>
  </si>
  <si>
    <t>Kw 05</t>
  </si>
  <si>
    <t>Kw 06</t>
  </si>
  <si>
    <t>Kw 07</t>
  </si>
  <si>
    <t>Kw 08 Klausur</t>
  </si>
  <si>
    <t>1) Historische Wirtschaftsformen – Steinzeit bis Römisches Reich</t>
  </si>
  <si>
    <t>2) Historische Wirtschaftsformen – Mittelalter und die Scholastiker</t>
  </si>
  <si>
    <t>3) Frühe Neuzeit, Industrielle Revolution und die Klassik</t>
  </si>
  <si>
    <t>4) Ökonomische Theorie – Klassik und Marx</t>
  </si>
  <si>
    <t>5) Ökonomische Theorie – Die Neoklassik I</t>
  </si>
  <si>
    <t>6) Ökonomische Theorie – Die Neoklassik II</t>
  </si>
  <si>
    <t>7)  Nach dem 1. Weltkrieg – Fakten und die Makroökonomik</t>
  </si>
  <si>
    <t>8) Der Geld- und Güterkreislauf und das BIP</t>
  </si>
  <si>
    <t>9) Die BRD seit 1950</t>
  </si>
  <si>
    <t>10) Keynes und die keynesianische Makrotheorie I</t>
  </si>
  <si>
    <t>11) Woher kommt dauerhaftes Wirtschaftswachstum?</t>
  </si>
  <si>
    <t>12) Inflation</t>
  </si>
  <si>
    <t>13) Finanzkapitalismus und Finanzkrise</t>
  </si>
  <si>
    <t>Verteilung nach Kapitel</t>
  </si>
  <si>
    <t>Verteilung nach CP</t>
  </si>
  <si>
    <t>3 Lvl Ups</t>
  </si>
  <si>
    <t>4 Lvl Ups</t>
  </si>
  <si>
    <t>3 lvl ups</t>
  </si>
  <si>
    <t>Vorlesung Mathe</t>
  </si>
  <si>
    <t>Statistik</t>
  </si>
  <si>
    <t>Mathe</t>
  </si>
  <si>
    <t>ACC</t>
  </si>
  <si>
    <t xml:space="preserve">Einfürung </t>
  </si>
  <si>
    <t>0.5</t>
  </si>
  <si>
    <t xml:space="preserve">stunden gesamt </t>
  </si>
  <si>
    <t xml:space="preserve">Warscheinlichkeitsrechnung </t>
  </si>
  <si>
    <t xml:space="preserve">3) Zufallsvariablen und Verteilungen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</si>
</sst>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s>
  <fills count="9">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
      <patternFill patternType="solid">
        <fgColor rgb="FF56FF5E"/>
        <bgColor indexed="64"/>
      </patternFill>
    </fill>
    <fill>
      <patternFill patternType="solid">
        <fgColor rgb="FFFF231B"/>
        <bgColor indexed="64"/>
      </patternFill>
    </fill>
  </fills>
  <borders count="1">
    <border>
      <left/>
      <right/>
      <top/>
      <bottom/>
      <diagonal/>
    </border>
  </borders>
  <cellStyleXfs count="1">
    <xf numFmtId="0" fontId="0" fillId="0" borderId="0"/>
  </cellStyleXfs>
  <cellXfs count="25">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1" fontId="0" fillId="0" borderId="0" xfId="0" applyNumberFormat="1"/>
    <xf numFmtId="164" fontId="0" fillId="5" borderId="0" xfId="0" applyNumberFormat="1" applyFill="1"/>
    <xf numFmtId="0" fontId="0" fillId="7" borderId="0" xfId="0" applyFill="1"/>
    <xf numFmtId="0" fontId="0" fillId="8" borderId="0" xfId="0" applyFill="1"/>
    <xf numFmtId="0" fontId="1" fillId="2" borderId="0" xfId="0" applyFont="1" applyFill="1" applyAlignment="1">
      <alignment horizontal="center"/>
    </xf>
  </cellXfs>
  <cellStyles count="1">
    <cellStyle name="Standard" xfId="0" builtinId="0"/>
  </cellStyles>
  <dxfs count="103">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FF231B"/>
      <color rgb="FFFDFF05"/>
      <color rgb="FF56FF5E"/>
      <color rgb="FF00FF29"/>
      <color rgb="FFC4FF87"/>
      <color rgb="FFFFDE7F"/>
      <color rgb="FFFF755A"/>
      <color rgb="FF10FF07"/>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102">
  <autoFilter ref="A1:K46" xr:uid="{6E266E34-2786-2747-BCE7-51B74867A564}"/>
  <tableColumns count="11">
    <tableColumn id="1" xr3:uid="{95FD92F7-3DC8-704D-A103-A7EDDAB255AB}" name="Datum" dataDxfId="101"/>
    <tableColumn id="2" xr3:uid="{F464D510-8166-E740-A343-FB84BDEF877F}" name="Lerneinheiten durchgezogen" dataDxfId="100"/>
    <tableColumn id="3" xr3:uid="{75F52B08-1A00-0848-BBE6-1EDF7B31B1AD}" name="Tagesplan erstellt" dataDxfId="99"/>
    <tableColumn id="4" xr3:uid="{E6B18D89-E799-AD48-9DAA-37AEE1D29011}" name="Konzentrationslevel" dataDxfId="98"/>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election activeCell="E24" sqref="E24"/>
    </sheetView>
  </sheetViews>
  <sheetFormatPr baseColWidth="10" defaultRowHeight="16" x14ac:dyDescent="0.2"/>
  <cols>
    <col min="1" max="1" width="11.83203125" customWidth="1"/>
    <col min="2" max="2" width="62.6640625" customWidth="1"/>
  </cols>
  <sheetData>
    <row r="2" spans="1:4" x14ac:dyDescent="0.2">
      <c r="C2" s="18" t="s">
        <v>72</v>
      </c>
    </row>
    <row r="3" spans="1:4" x14ac:dyDescent="0.2">
      <c r="C3" s="17" t="s">
        <v>57</v>
      </c>
    </row>
    <row r="4" spans="1:4" x14ac:dyDescent="0.2">
      <c r="C4" s="16" t="s">
        <v>71</v>
      </c>
    </row>
    <row r="5" spans="1:4" x14ac:dyDescent="0.2">
      <c r="A5" s="2" t="s">
        <v>54</v>
      </c>
      <c r="B5" s="2" t="s">
        <v>55</v>
      </c>
      <c r="C5" s="2" t="s">
        <v>56</v>
      </c>
      <c r="D5" s="2" t="s">
        <v>58</v>
      </c>
    </row>
    <row r="6" spans="1:4" x14ac:dyDescent="0.2">
      <c r="A6" t="s">
        <v>50</v>
      </c>
      <c r="B6" s="18" t="s">
        <v>53</v>
      </c>
      <c r="D6" t="s">
        <v>87</v>
      </c>
    </row>
    <row r="7" spans="1:4" x14ac:dyDescent="0.2">
      <c r="A7" t="s">
        <v>61</v>
      </c>
      <c r="B7" t="s">
        <v>62</v>
      </c>
      <c r="C7" s="16">
        <v>13</v>
      </c>
    </row>
    <row r="8" spans="1:4" x14ac:dyDescent="0.2">
      <c r="A8" t="s">
        <v>52</v>
      </c>
      <c r="B8" s="18" t="s">
        <v>51</v>
      </c>
      <c r="D8" t="s">
        <v>75</v>
      </c>
    </row>
    <row r="9" spans="1:4" x14ac:dyDescent="0.2">
      <c r="A9" t="s">
        <v>60</v>
      </c>
      <c r="B9" s="18" t="s">
        <v>73</v>
      </c>
      <c r="D9" t="s">
        <v>76</v>
      </c>
    </row>
    <row r="10" spans="1:4" x14ac:dyDescent="0.2">
      <c r="A10" t="s">
        <v>64</v>
      </c>
      <c r="B10" t="s">
        <v>63</v>
      </c>
      <c r="C10" s="16">
        <v>13</v>
      </c>
      <c r="D10" t="s">
        <v>59</v>
      </c>
    </row>
    <row r="11" spans="1:4" x14ac:dyDescent="0.2">
      <c r="A11" t="s">
        <v>65</v>
      </c>
      <c r="B11" t="s">
        <v>67</v>
      </c>
      <c r="C11" s="16">
        <f>C7*3</f>
        <v>39</v>
      </c>
      <c r="D11" t="s">
        <v>66</v>
      </c>
    </row>
    <row r="12" spans="1:4" x14ac:dyDescent="0.2">
      <c r="A12" t="s">
        <v>69</v>
      </c>
      <c r="B12" t="s">
        <v>68</v>
      </c>
      <c r="C12" s="21">
        <f>C11/C10</f>
        <v>3</v>
      </c>
    </row>
    <row r="13" spans="1:4" x14ac:dyDescent="0.2">
      <c r="A13" t="s">
        <v>74</v>
      </c>
      <c r="B13" t="s">
        <v>70</v>
      </c>
      <c r="D13" t="s">
        <v>77</v>
      </c>
    </row>
    <row r="14" spans="1:4" x14ac:dyDescent="0.2">
      <c r="A14" t="s">
        <v>78</v>
      </c>
      <c r="B14" t="s">
        <v>79</v>
      </c>
      <c r="D14" t="s">
        <v>80</v>
      </c>
    </row>
    <row r="15" spans="1:4" x14ac:dyDescent="0.2">
      <c r="A15" t="s">
        <v>81</v>
      </c>
      <c r="B15" s="18" t="s">
        <v>82</v>
      </c>
    </row>
    <row r="16" spans="1:4" x14ac:dyDescent="0.2">
      <c r="A16" t="s">
        <v>85</v>
      </c>
      <c r="B16" s="18" t="s">
        <v>83</v>
      </c>
    </row>
    <row r="17" spans="1:2" x14ac:dyDescent="0.2">
      <c r="A17" t="s">
        <v>86</v>
      </c>
      <c r="B17" t="s">
        <v>84</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EO76"/>
  <sheetViews>
    <sheetView showGridLines="0" tabSelected="1" topLeftCell="A27" zoomScale="84" zoomScaleNormal="70" workbookViewId="0">
      <pane xSplit="12" topLeftCell="BI1" activePane="topRight" state="frozen"/>
      <selection pane="topRight" activeCell="BK57" sqref="BK57"/>
    </sheetView>
  </sheetViews>
  <sheetFormatPr baseColWidth="10" defaultColWidth="8.83203125" defaultRowHeight="16" outlineLevelRow="1" x14ac:dyDescent="0.2"/>
  <cols>
    <col min="3" max="3" width="9.5" bestFit="1" customWidth="1"/>
    <col min="4" max="4" width="13" bestFit="1" customWidth="1"/>
    <col min="5" max="5" width="4.83203125" bestFit="1" customWidth="1"/>
    <col min="6" max="6" width="103" bestFit="1" customWidth="1"/>
    <col min="7" max="7" width="15.5" bestFit="1" customWidth="1"/>
    <col min="8" max="8" width="2.5" customWidth="1"/>
    <col min="10" max="10" width="12.5" bestFit="1" customWidth="1"/>
    <col min="11" max="11" width="14.83203125" bestFit="1" customWidth="1"/>
    <col min="12" max="12" width="12.6640625" bestFit="1"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 min="64" max="64" width="12.5" bestFit="1" customWidth="1"/>
    <col min="65" max="65" width="6.33203125" customWidth="1"/>
    <col min="66" max="66" width="14.83203125" bestFit="1" customWidth="1"/>
    <col min="67" max="67" width="6" customWidth="1"/>
    <col min="68" max="68" width="12.6640625" bestFit="1" customWidth="1"/>
    <col min="69" max="69" width="2.5" customWidth="1"/>
    <col min="71" max="71" width="12.5" bestFit="1" customWidth="1"/>
    <col min="72" max="72" width="6.33203125" customWidth="1"/>
    <col min="73" max="73" width="14.83203125" bestFit="1" customWidth="1"/>
    <col min="74" max="74" width="6" customWidth="1"/>
    <col min="75" max="75" width="12.6640625" bestFit="1" customWidth="1"/>
    <col min="76" max="76" width="2.5" customWidth="1"/>
    <col min="78" max="78" width="12.5" bestFit="1" customWidth="1"/>
    <col min="79" max="79" width="6.33203125" customWidth="1"/>
    <col min="80" max="80" width="14.83203125" bestFit="1" customWidth="1"/>
    <col min="81" max="81" width="6" customWidth="1"/>
    <col min="82" max="82" width="12.6640625" bestFit="1" customWidth="1"/>
    <col min="83" max="83" width="2.5" customWidth="1"/>
    <col min="85" max="85" width="12.5" bestFit="1" customWidth="1"/>
    <col min="86" max="86" width="6.33203125" customWidth="1"/>
    <col min="87" max="87" width="14.83203125" bestFit="1" customWidth="1"/>
    <col min="88" max="88" width="6" customWidth="1"/>
    <col min="89" max="89" width="12.6640625" bestFit="1" customWidth="1"/>
    <col min="90" max="90" width="2.5" customWidth="1"/>
    <col min="92" max="92" width="12.5" bestFit="1" customWidth="1"/>
    <col min="93" max="93" width="6.33203125" customWidth="1"/>
    <col min="94" max="94" width="14.83203125" bestFit="1" customWidth="1"/>
    <col min="95" max="95" width="6" customWidth="1"/>
    <col min="96" max="96" width="12.6640625" bestFit="1" customWidth="1"/>
    <col min="97" max="97" width="2.5" customWidth="1"/>
    <col min="99" max="99" width="12.5" bestFit="1" customWidth="1"/>
    <col min="100" max="100" width="6.33203125" customWidth="1"/>
    <col min="101" max="101" width="14.83203125" bestFit="1" customWidth="1"/>
    <col min="102" max="102" width="6" customWidth="1"/>
    <col min="103" max="103" width="12.6640625" bestFit="1" customWidth="1"/>
    <col min="104" max="104" width="2.5" customWidth="1"/>
    <col min="105" max="105" width="8.6640625" bestFit="1" customWidth="1"/>
    <col min="106" max="106" width="12.33203125" bestFit="1" customWidth="1"/>
    <col min="107" max="107" width="4.33203125" bestFit="1" customWidth="1"/>
    <col min="108" max="108" width="15.33203125" bestFit="1" customWidth="1"/>
    <col min="109" max="109" width="4.33203125" bestFit="1" customWidth="1"/>
    <col min="110" max="110" width="13.33203125" bestFit="1" customWidth="1"/>
    <col min="111" max="111" width="1.83203125" customWidth="1"/>
    <col min="112" max="112" width="8.6640625" bestFit="1" customWidth="1"/>
    <col min="113" max="113" width="12.33203125" bestFit="1" customWidth="1"/>
    <col min="114" max="114" width="4.33203125" bestFit="1" customWidth="1"/>
    <col min="115" max="115" width="15.33203125" bestFit="1" customWidth="1"/>
    <col min="116" max="116" width="4.33203125" bestFit="1" customWidth="1"/>
    <col min="117" max="117" width="13.33203125" bestFit="1" customWidth="1"/>
    <col min="119" max="119" width="8.6640625" bestFit="1" customWidth="1"/>
    <col min="120" max="120" width="12.33203125" bestFit="1" customWidth="1"/>
    <col min="121" max="121" width="4.33203125" bestFit="1" customWidth="1"/>
    <col min="122" max="122" width="15.33203125" bestFit="1" customWidth="1"/>
    <col min="123" max="123" width="4.33203125" bestFit="1" customWidth="1"/>
    <col min="124" max="124" width="13.33203125" bestFit="1" customWidth="1"/>
    <col min="126" max="126" width="8.6640625" bestFit="1" customWidth="1"/>
    <col min="127" max="127" width="12.33203125" bestFit="1" customWidth="1"/>
    <col min="128" max="128" width="4.33203125" bestFit="1" customWidth="1"/>
    <col min="129" max="129" width="15.33203125" bestFit="1" customWidth="1"/>
    <col min="130" max="130" width="4.33203125" bestFit="1" customWidth="1"/>
    <col min="131" max="131" width="13.33203125" bestFit="1" customWidth="1"/>
    <col min="133" max="133" width="8.6640625" bestFit="1" customWidth="1"/>
    <col min="134" max="134" width="12.33203125" bestFit="1" customWidth="1"/>
    <col min="135" max="135" width="4.33203125" bestFit="1" customWidth="1"/>
    <col min="136" max="136" width="15.33203125" bestFit="1" customWidth="1"/>
    <col min="137" max="137" width="4.33203125" bestFit="1" customWidth="1"/>
    <col min="138" max="138" width="13.33203125" bestFit="1" customWidth="1"/>
    <col min="140" max="140" width="8.6640625" bestFit="1" customWidth="1"/>
    <col min="141" max="141" width="12.33203125" bestFit="1" customWidth="1"/>
    <col min="142" max="142" width="4.33203125" bestFit="1" customWidth="1"/>
    <col min="143" max="143" width="15.33203125" bestFit="1" customWidth="1"/>
    <col min="144" max="144" width="4.33203125" bestFit="1" customWidth="1"/>
    <col min="145" max="145" width="13.33203125" bestFit="1" customWidth="1"/>
  </cols>
  <sheetData>
    <row r="1" spans="2:145" ht="34" x14ac:dyDescent="0.4">
      <c r="B1" s="4" t="s">
        <v>0</v>
      </c>
      <c r="D1" s="4"/>
      <c r="G1" s="13" t="s">
        <v>34</v>
      </c>
      <c r="I1" s="13" t="s">
        <v>34</v>
      </c>
      <c r="J1" s="13" t="s">
        <v>34</v>
      </c>
      <c r="K1" s="13" t="s">
        <v>34</v>
      </c>
    </row>
    <row r="2" spans="2:145" x14ac:dyDescent="0.2">
      <c r="I2" s="24" t="s">
        <v>27</v>
      </c>
      <c r="J2" s="24"/>
      <c r="K2" s="24"/>
      <c r="L2" s="24"/>
      <c r="N2" s="24" t="s">
        <v>129</v>
      </c>
      <c r="O2" s="24"/>
      <c r="P2" s="24"/>
      <c r="Q2" s="24"/>
      <c r="R2" s="24"/>
      <c r="S2" s="24"/>
      <c r="U2" s="24" t="s">
        <v>130</v>
      </c>
      <c r="V2" s="24"/>
      <c r="W2" s="24"/>
      <c r="X2" s="24"/>
      <c r="Y2" s="24"/>
      <c r="Z2" s="24"/>
      <c r="AB2" s="24" t="s">
        <v>131</v>
      </c>
      <c r="AC2" s="24"/>
      <c r="AD2" s="24"/>
      <c r="AE2" s="24"/>
      <c r="AF2" s="24"/>
      <c r="AG2" s="24"/>
      <c r="AI2" s="24" t="s">
        <v>132</v>
      </c>
      <c r="AJ2" s="24"/>
      <c r="AK2" s="24"/>
      <c r="AL2" s="24"/>
      <c r="AM2" s="24"/>
      <c r="AN2" s="24"/>
      <c r="AP2" s="24" t="s">
        <v>133</v>
      </c>
      <c r="AQ2" s="24"/>
      <c r="AR2" s="24"/>
      <c r="AS2" s="24"/>
      <c r="AT2" s="24"/>
      <c r="AU2" s="24"/>
      <c r="AW2" s="24" t="s">
        <v>134</v>
      </c>
      <c r="AX2" s="24"/>
      <c r="AY2" s="24"/>
      <c r="AZ2" s="24"/>
      <c r="BA2" s="24"/>
      <c r="BB2" s="24"/>
      <c r="BD2" s="24" t="s">
        <v>135</v>
      </c>
      <c r="BE2" s="24"/>
      <c r="BF2" s="24"/>
      <c r="BG2" s="24"/>
      <c r="BH2" s="24"/>
      <c r="BI2" s="24"/>
      <c r="BK2" s="24" t="s">
        <v>136</v>
      </c>
      <c r="BL2" s="24"/>
      <c r="BM2" s="24"/>
      <c r="BN2" s="24"/>
      <c r="BO2" s="24"/>
      <c r="BP2" s="24"/>
      <c r="BR2" s="24" t="s">
        <v>137</v>
      </c>
      <c r="BS2" s="24"/>
      <c r="BT2" s="24"/>
      <c r="BU2" s="24"/>
      <c r="BV2" s="24"/>
      <c r="BW2" s="24"/>
      <c r="BY2" s="24" t="s">
        <v>138</v>
      </c>
      <c r="BZ2" s="24"/>
      <c r="CA2" s="24"/>
      <c r="CB2" s="24"/>
      <c r="CC2" s="24"/>
      <c r="CD2" s="24"/>
      <c r="CF2" s="24" t="s">
        <v>139</v>
      </c>
      <c r="CG2" s="24"/>
      <c r="CH2" s="24"/>
      <c r="CI2" s="24"/>
      <c r="CJ2" s="24"/>
      <c r="CK2" s="24"/>
      <c r="CM2" s="24" t="s">
        <v>140</v>
      </c>
      <c r="CN2" s="24"/>
      <c r="CO2" s="24"/>
      <c r="CP2" s="24"/>
      <c r="CQ2" s="24"/>
      <c r="CR2" s="24"/>
      <c r="CT2" s="24" t="s">
        <v>141</v>
      </c>
      <c r="CU2" s="24"/>
      <c r="CV2" s="24"/>
      <c r="CW2" s="24"/>
      <c r="CX2" s="24"/>
      <c r="CY2" s="24"/>
      <c r="DA2" s="24" t="s">
        <v>142</v>
      </c>
      <c r="DB2" s="24"/>
      <c r="DC2" s="24"/>
      <c r="DD2" s="24"/>
      <c r="DE2" s="24"/>
      <c r="DF2" s="24"/>
      <c r="DH2" s="24" t="s">
        <v>143</v>
      </c>
      <c r="DI2" s="24"/>
      <c r="DJ2" s="24"/>
      <c r="DK2" s="24"/>
      <c r="DL2" s="24"/>
      <c r="DM2" s="24"/>
      <c r="DO2" s="24" t="s">
        <v>144</v>
      </c>
      <c r="DP2" s="24"/>
      <c r="DQ2" s="24"/>
      <c r="DR2" s="24"/>
      <c r="DS2" s="24"/>
      <c r="DT2" s="24"/>
      <c r="DV2" s="24" t="s">
        <v>145</v>
      </c>
      <c r="DW2" s="24"/>
      <c r="DX2" s="24"/>
      <c r="DY2" s="24"/>
      <c r="DZ2" s="24"/>
      <c r="EA2" s="24"/>
      <c r="EC2" s="24" t="s">
        <v>146</v>
      </c>
      <c r="ED2" s="24"/>
      <c r="EE2" s="24"/>
      <c r="EF2" s="24"/>
      <c r="EG2" s="24"/>
      <c r="EH2" s="24"/>
      <c r="EJ2" s="24" t="s">
        <v>147</v>
      </c>
      <c r="EK2" s="24"/>
      <c r="EL2" s="24"/>
      <c r="EM2" s="24"/>
      <c r="EN2" s="24"/>
      <c r="EO2" s="24"/>
    </row>
    <row r="3" spans="2:145" x14ac:dyDescent="0.2">
      <c r="B3" s="5" t="s">
        <v>26</v>
      </c>
      <c r="C3" s="5" t="s">
        <v>1</v>
      </c>
      <c r="D3" s="5" t="s">
        <v>24</v>
      </c>
      <c r="E3" s="6" t="s">
        <v>31</v>
      </c>
      <c r="F3" s="5" t="s">
        <v>29</v>
      </c>
      <c r="G3" s="5" t="s">
        <v>32</v>
      </c>
      <c r="I3" s="6" t="s">
        <v>11</v>
      </c>
      <c r="J3" s="6" t="s">
        <v>2</v>
      </c>
      <c r="K3" s="6" t="s">
        <v>3</v>
      </c>
      <c r="L3" s="6" t="s">
        <v>12</v>
      </c>
      <c r="N3" s="5" t="s">
        <v>11</v>
      </c>
      <c r="O3" s="5" t="s">
        <v>2</v>
      </c>
      <c r="P3" s="5" t="s">
        <v>33</v>
      </c>
      <c r="Q3" s="5" t="s">
        <v>3</v>
      </c>
      <c r="R3" s="5" t="s">
        <v>33</v>
      </c>
      <c r="S3" s="5" t="s">
        <v>12</v>
      </c>
      <c r="U3" s="5" t="s">
        <v>11</v>
      </c>
      <c r="V3" s="5" t="s">
        <v>2</v>
      </c>
      <c r="W3" s="5" t="s">
        <v>33</v>
      </c>
      <c r="X3" s="5" t="s">
        <v>3</v>
      </c>
      <c r="Y3" s="5" t="s">
        <v>33</v>
      </c>
      <c r="Z3" s="5" t="s">
        <v>12</v>
      </c>
      <c r="AB3" s="5" t="s">
        <v>11</v>
      </c>
      <c r="AC3" s="5" t="s">
        <v>2</v>
      </c>
      <c r="AD3" s="5" t="s">
        <v>33</v>
      </c>
      <c r="AE3" s="5" t="s">
        <v>3</v>
      </c>
      <c r="AF3" s="5" t="s">
        <v>33</v>
      </c>
      <c r="AG3" s="5" t="s">
        <v>12</v>
      </c>
      <c r="AI3" s="5" t="s">
        <v>11</v>
      </c>
      <c r="AJ3" s="5" t="s">
        <v>2</v>
      </c>
      <c r="AK3" s="5" t="s">
        <v>33</v>
      </c>
      <c r="AL3" s="5" t="s">
        <v>3</v>
      </c>
      <c r="AM3" s="5" t="s">
        <v>33</v>
      </c>
      <c r="AN3" s="5" t="s">
        <v>12</v>
      </c>
      <c r="AP3" s="5" t="s">
        <v>11</v>
      </c>
      <c r="AQ3" s="5" t="s">
        <v>2</v>
      </c>
      <c r="AR3" s="5" t="s">
        <v>33</v>
      </c>
      <c r="AS3" s="5" t="s">
        <v>3</v>
      </c>
      <c r="AT3" s="5" t="s">
        <v>33</v>
      </c>
      <c r="AU3" s="5" t="s">
        <v>12</v>
      </c>
      <c r="AW3" s="5" t="s">
        <v>11</v>
      </c>
      <c r="AX3" s="5" t="s">
        <v>2</v>
      </c>
      <c r="AY3" s="5" t="s">
        <v>33</v>
      </c>
      <c r="AZ3" s="5" t="s">
        <v>3</v>
      </c>
      <c r="BA3" s="5" t="s">
        <v>33</v>
      </c>
      <c r="BB3" s="5" t="s">
        <v>12</v>
      </c>
      <c r="BD3" s="5" t="s">
        <v>11</v>
      </c>
      <c r="BE3" s="5" t="s">
        <v>2</v>
      </c>
      <c r="BF3" s="5" t="s">
        <v>33</v>
      </c>
      <c r="BG3" s="5" t="s">
        <v>3</v>
      </c>
      <c r="BH3" s="5" t="s">
        <v>33</v>
      </c>
      <c r="BI3" s="5" t="s">
        <v>12</v>
      </c>
      <c r="BK3" s="5" t="s">
        <v>11</v>
      </c>
      <c r="BL3" s="5" t="s">
        <v>2</v>
      </c>
      <c r="BM3" s="5" t="s">
        <v>33</v>
      </c>
      <c r="BN3" s="5" t="s">
        <v>3</v>
      </c>
      <c r="BO3" s="5" t="s">
        <v>33</v>
      </c>
      <c r="BP3" s="5" t="s">
        <v>12</v>
      </c>
      <c r="BR3" s="5" t="s">
        <v>11</v>
      </c>
      <c r="BS3" s="5" t="s">
        <v>2</v>
      </c>
      <c r="BT3" s="5" t="s">
        <v>33</v>
      </c>
      <c r="BU3" s="5" t="s">
        <v>3</v>
      </c>
      <c r="BV3" s="5" t="s">
        <v>33</v>
      </c>
      <c r="BW3" s="5" t="s">
        <v>12</v>
      </c>
      <c r="BY3" s="5" t="s">
        <v>11</v>
      </c>
      <c r="BZ3" s="5" t="s">
        <v>2</v>
      </c>
      <c r="CA3" s="5" t="s">
        <v>33</v>
      </c>
      <c r="CB3" s="5" t="s">
        <v>3</v>
      </c>
      <c r="CC3" s="5" t="s">
        <v>33</v>
      </c>
      <c r="CD3" s="5" t="s">
        <v>12</v>
      </c>
      <c r="CF3" s="5" t="s">
        <v>11</v>
      </c>
      <c r="CG3" s="5" t="s">
        <v>2</v>
      </c>
      <c r="CH3" s="5" t="s">
        <v>33</v>
      </c>
      <c r="CI3" s="5" t="s">
        <v>3</v>
      </c>
      <c r="CJ3" s="5" t="s">
        <v>33</v>
      </c>
      <c r="CK3" s="5" t="s">
        <v>12</v>
      </c>
      <c r="CM3" s="5" t="s">
        <v>11</v>
      </c>
      <c r="CN3" s="5" t="s">
        <v>2</v>
      </c>
      <c r="CO3" s="5" t="s">
        <v>33</v>
      </c>
      <c r="CP3" s="5" t="s">
        <v>3</v>
      </c>
      <c r="CQ3" s="5" t="s">
        <v>33</v>
      </c>
      <c r="CR3" s="5" t="s">
        <v>12</v>
      </c>
      <c r="CT3" s="5" t="s">
        <v>11</v>
      </c>
      <c r="CU3" s="5" t="s">
        <v>2</v>
      </c>
      <c r="CV3" s="5" t="s">
        <v>33</v>
      </c>
      <c r="CW3" s="5" t="s">
        <v>3</v>
      </c>
      <c r="CX3" s="5" t="s">
        <v>33</v>
      </c>
      <c r="CY3" s="5" t="s">
        <v>12</v>
      </c>
      <c r="DA3" s="5" t="s">
        <v>11</v>
      </c>
      <c r="DB3" s="5" t="s">
        <v>2</v>
      </c>
      <c r="DC3" s="5" t="s">
        <v>33</v>
      </c>
      <c r="DD3" s="5" t="s">
        <v>3</v>
      </c>
      <c r="DE3" s="5" t="s">
        <v>33</v>
      </c>
      <c r="DF3" s="5" t="s">
        <v>12</v>
      </c>
      <c r="DH3" s="5" t="s">
        <v>11</v>
      </c>
      <c r="DI3" s="5" t="s">
        <v>2</v>
      </c>
      <c r="DJ3" s="5" t="s">
        <v>33</v>
      </c>
      <c r="DK3" s="5" t="s">
        <v>3</v>
      </c>
      <c r="DL3" s="5" t="s">
        <v>33</v>
      </c>
      <c r="DM3" s="5" t="s">
        <v>12</v>
      </c>
      <c r="DO3" s="5" t="s">
        <v>11</v>
      </c>
      <c r="DP3" s="5" t="s">
        <v>2</v>
      </c>
      <c r="DQ3" s="5" t="s">
        <v>33</v>
      </c>
      <c r="DR3" s="5" t="s">
        <v>3</v>
      </c>
      <c r="DS3" s="5" t="s">
        <v>33</v>
      </c>
      <c r="DT3" s="5" t="s">
        <v>12</v>
      </c>
      <c r="DV3" s="5" t="s">
        <v>11</v>
      </c>
      <c r="DW3" s="5" t="s">
        <v>2</v>
      </c>
      <c r="DX3" s="5" t="s">
        <v>33</v>
      </c>
      <c r="DY3" s="5" t="s">
        <v>3</v>
      </c>
      <c r="DZ3" s="5" t="s">
        <v>33</v>
      </c>
      <c r="EA3" s="5" t="s">
        <v>12</v>
      </c>
      <c r="EC3" s="5" t="s">
        <v>11</v>
      </c>
      <c r="ED3" s="5" t="s">
        <v>2</v>
      </c>
      <c r="EE3" s="5" t="s">
        <v>33</v>
      </c>
      <c r="EF3" s="5" t="s">
        <v>3</v>
      </c>
      <c r="EG3" s="5" t="s">
        <v>33</v>
      </c>
      <c r="EH3" s="5" t="s">
        <v>12</v>
      </c>
      <c r="EJ3" s="5" t="s">
        <v>11</v>
      </c>
      <c r="EK3" s="5" t="s">
        <v>2</v>
      </c>
      <c r="EL3" s="5" t="s">
        <v>33</v>
      </c>
      <c r="EM3" s="5" t="s">
        <v>3</v>
      </c>
      <c r="EN3" s="5" t="s">
        <v>33</v>
      </c>
      <c r="EO3" s="5" t="s">
        <v>12</v>
      </c>
    </row>
    <row r="4" spans="2:145" x14ac:dyDescent="0.2">
      <c r="B4" t="s">
        <v>27</v>
      </c>
      <c r="C4" t="s">
        <v>88</v>
      </c>
      <c r="D4" s="19">
        <v>45709</v>
      </c>
      <c r="E4" s="9">
        <v>10</v>
      </c>
      <c r="F4" t="s">
        <v>163</v>
      </c>
      <c r="G4" s="10">
        <f>+SUM(G5:G16)</f>
        <v>1</v>
      </c>
      <c r="I4" s="12">
        <f>+SUM(I5:I16)</f>
        <v>49.5</v>
      </c>
      <c r="J4" s="11">
        <f>+SUMPRODUCT(G5:G16,J5:J16)</f>
        <v>0.78000000000000025</v>
      </c>
      <c r="K4" s="11">
        <f>+SUMPRODUCT(G5:G16,K5:K16)</f>
        <v>0.78000000000000025</v>
      </c>
      <c r="L4" s="9"/>
      <c r="N4" s="12"/>
      <c r="U4" s="12"/>
      <c r="AB4" s="12"/>
      <c r="AI4" s="12"/>
      <c r="AP4" s="12"/>
      <c r="AW4" s="12"/>
      <c r="BD4" s="12"/>
      <c r="BK4" s="12"/>
      <c r="BR4" s="12"/>
      <c r="BY4" s="12"/>
      <c r="CF4" s="12"/>
      <c r="CM4" s="12"/>
      <c r="CT4" s="12"/>
      <c r="DA4" s="12"/>
      <c r="DH4" s="12"/>
      <c r="DO4" s="12"/>
      <c r="DV4" s="12"/>
      <c r="EC4" s="12"/>
      <c r="EJ4" s="12"/>
    </row>
    <row r="5" spans="2:145" outlineLevel="1" x14ac:dyDescent="0.2">
      <c r="B5" t="s">
        <v>28</v>
      </c>
      <c r="C5" t="s">
        <v>88</v>
      </c>
      <c r="E5" s="9"/>
      <c r="F5" t="s">
        <v>107</v>
      </c>
      <c r="G5" s="10">
        <v>0.1</v>
      </c>
      <c r="I5" s="9">
        <f>+SUMIF($N$3:$ZS$3,I$3,$N5:$ZS5)</f>
        <v>7</v>
      </c>
      <c r="J5" s="11" cm="1">
        <f t="array" ref="J5">MAX(IF($N$3:$EH$3=$J$3,N5:EH5))</f>
        <v>1</v>
      </c>
      <c r="K5" s="11" cm="1">
        <f t="array" ref="K5">MAX(IF($N$3:$EH$3=$J$3,N5:EH5))</f>
        <v>1</v>
      </c>
      <c r="L5" s="9"/>
      <c r="N5">
        <v>4.5</v>
      </c>
      <c r="O5" s="10">
        <v>0.5</v>
      </c>
      <c r="P5" s="10">
        <v>0.5</v>
      </c>
      <c r="Q5" s="10">
        <v>0.5</v>
      </c>
      <c r="R5" s="10">
        <v>0.5</v>
      </c>
      <c r="U5">
        <v>1.5</v>
      </c>
      <c r="V5" s="10">
        <v>0.8</v>
      </c>
      <c r="W5" s="10">
        <v>0.8</v>
      </c>
      <c r="X5" s="10">
        <v>0.8</v>
      </c>
      <c r="Y5" s="10">
        <v>0.8</v>
      </c>
      <c r="AC5" s="10">
        <v>0.8</v>
      </c>
      <c r="AD5" s="10">
        <v>0.8</v>
      </c>
      <c r="AE5" s="10">
        <v>0.8</v>
      </c>
      <c r="AF5" s="10">
        <v>0.8</v>
      </c>
      <c r="AJ5" s="10">
        <v>0.8</v>
      </c>
      <c r="AK5" s="10">
        <v>0.8</v>
      </c>
      <c r="AL5" s="10">
        <v>0.8</v>
      </c>
      <c r="AM5" s="10">
        <v>0.8</v>
      </c>
      <c r="AP5">
        <v>1</v>
      </c>
      <c r="AQ5" s="10">
        <v>1</v>
      </c>
      <c r="AR5" s="10">
        <v>1</v>
      </c>
      <c r="AS5" s="10">
        <v>1</v>
      </c>
      <c r="AT5" s="10">
        <v>1</v>
      </c>
      <c r="AX5" s="10">
        <v>1</v>
      </c>
      <c r="AY5" s="10">
        <v>1</v>
      </c>
      <c r="AZ5" s="10">
        <v>1</v>
      </c>
      <c r="BA5" s="10">
        <v>1</v>
      </c>
      <c r="BE5" s="10">
        <v>1</v>
      </c>
      <c r="BF5" s="10">
        <v>1</v>
      </c>
      <c r="BG5" s="10">
        <v>1</v>
      </c>
      <c r="BH5" s="10">
        <v>1</v>
      </c>
      <c r="BL5" s="10">
        <v>1</v>
      </c>
      <c r="BM5" s="10">
        <v>1</v>
      </c>
      <c r="BN5" s="10">
        <v>1</v>
      </c>
      <c r="BO5" s="10">
        <v>1</v>
      </c>
      <c r="BS5" s="10"/>
      <c r="BT5" s="10">
        <v>1</v>
      </c>
      <c r="BU5" s="10"/>
      <c r="BV5" s="10">
        <v>1</v>
      </c>
      <c r="BZ5" s="10"/>
      <c r="CA5" s="10">
        <v>1</v>
      </c>
      <c r="CB5" s="10"/>
      <c r="CC5" s="10">
        <v>1</v>
      </c>
      <c r="CG5" s="10"/>
      <c r="CH5" s="10">
        <v>1</v>
      </c>
      <c r="CI5" s="10"/>
      <c r="CJ5" s="10">
        <v>1</v>
      </c>
      <c r="CN5" s="10"/>
      <c r="CO5" s="10">
        <v>1</v>
      </c>
      <c r="CP5" s="10"/>
      <c r="CQ5" s="10">
        <v>1</v>
      </c>
      <c r="CU5" s="10"/>
      <c r="CV5" s="10">
        <v>1</v>
      </c>
      <c r="CW5" s="10"/>
      <c r="CX5" s="10">
        <v>1</v>
      </c>
      <c r="DB5" s="10"/>
      <c r="DC5" s="10"/>
      <c r="DD5" s="10"/>
      <c r="DE5" s="10"/>
      <c r="DI5" s="10"/>
      <c r="DJ5" s="10"/>
      <c r="DK5" s="10"/>
      <c r="DL5" s="10"/>
      <c r="DP5" s="10"/>
      <c r="DQ5" s="10"/>
      <c r="DR5" s="10"/>
      <c r="DS5" s="10"/>
      <c r="DW5" s="10"/>
      <c r="DX5" s="10"/>
      <c r="DY5" s="10"/>
      <c r="DZ5" s="10"/>
      <c r="ED5" s="10"/>
      <c r="EE5" s="10"/>
      <c r="EF5" s="10"/>
      <c r="EG5" s="10"/>
      <c r="EK5" s="10"/>
      <c r="EL5" s="10"/>
      <c r="EM5" s="10"/>
      <c r="EN5" s="10"/>
    </row>
    <row r="6" spans="2:145" outlineLevel="1" x14ac:dyDescent="0.2">
      <c r="B6" t="s">
        <v>28</v>
      </c>
      <c r="C6" t="s">
        <v>88</v>
      </c>
      <c r="E6" s="9"/>
      <c r="F6" t="s">
        <v>108</v>
      </c>
      <c r="G6" s="10">
        <v>0.1</v>
      </c>
      <c r="I6" s="9">
        <f>+SUMIF($N$3:$ZS$3,I$3,$N6:$ZS6)</f>
        <v>7.5</v>
      </c>
      <c r="J6" s="11" cm="1">
        <f t="array" ref="J6">MAX(IF($N$3:$EH$3=$J$3,N6:EH6))</f>
        <v>1</v>
      </c>
      <c r="K6" s="11" cm="1">
        <f t="array" ref="K6">MAX(IF($N$3:$EH$3=$J$3,N6:EH6))</f>
        <v>1</v>
      </c>
      <c r="L6" s="9"/>
      <c r="N6">
        <v>3</v>
      </c>
      <c r="O6" s="10">
        <v>0.5</v>
      </c>
      <c r="P6" s="10">
        <v>0.5</v>
      </c>
      <c r="Q6" s="10">
        <v>0.5</v>
      </c>
      <c r="R6" s="10">
        <v>0.5</v>
      </c>
      <c r="V6" s="10">
        <v>0.5</v>
      </c>
      <c r="W6" s="10">
        <v>0.5</v>
      </c>
      <c r="X6" s="10">
        <v>0.5</v>
      </c>
      <c r="Y6" s="10">
        <v>0.5</v>
      </c>
      <c r="AB6">
        <v>2.5</v>
      </c>
      <c r="AC6" s="10">
        <v>0.8</v>
      </c>
      <c r="AD6" s="10">
        <v>0.8</v>
      </c>
      <c r="AE6" s="10">
        <v>0.8</v>
      </c>
      <c r="AF6" s="10">
        <v>0.8</v>
      </c>
      <c r="AJ6" s="10">
        <v>0.8</v>
      </c>
      <c r="AK6" s="10">
        <v>0.8</v>
      </c>
      <c r="AL6" s="10">
        <v>0.8</v>
      </c>
      <c r="AM6" s="10">
        <v>0.8</v>
      </c>
      <c r="AP6">
        <v>2</v>
      </c>
      <c r="AQ6" s="10">
        <v>1</v>
      </c>
      <c r="AR6" s="10">
        <v>1</v>
      </c>
      <c r="AS6" s="10">
        <v>1</v>
      </c>
      <c r="AT6" s="10">
        <v>1</v>
      </c>
      <c r="AX6" s="10">
        <v>1</v>
      </c>
      <c r="AY6" s="10">
        <v>1</v>
      </c>
      <c r="AZ6" s="10">
        <v>1</v>
      </c>
      <c r="BA6" s="10">
        <v>1</v>
      </c>
      <c r="BE6" s="10">
        <v>1</v>
      </c>
      <c r="BF6" s="10">
        <v>1</v>
      </c>
      <c r="BG6" s="10">
        <v>1</v>
      </c>
      <c r="BH6" s="10">
        <v>1</v>
      </c>
      <c r="BL6" s="10">
        <v>1</v>
      </c>
      <c r="BM6" s="10">
        <v>1</v>
      </c>
      <c r="BN6" s="10">
        <v>1</v>
      </c>
      <c r="BO6" s="10">
        <v>1</v>
      </c>
      <c r="BS6" s="10"/>
      <c r="BT6" s="10">
        <v>1</v>
      </c>
      <c r="BU6" s="10"/>
      <c r="BV6" s="10">
        <v>1</v>
      </c>
      <c r="BZ6" s="10"/>
      <c r="CA6" s="10">
        <v>1</v>
      </c>
      <c r="CB6" s="10"/>
      <c r="CC6" s="10">
        <v>1</v>
      </c>
      <c r="CG6" s="10"/>
      <c r="CH6" s="10">
        <v>1</v>
      </c>
      <c r="CI6" s="10"/>
      <c r="CJ6" s="10">
        <v>1</v>
      </c>
      <c r="CN6" s="10"/>
      <c r="CO6" s="10">
        <v>1</v>
      </c>
      <c r="CP6" s="10"/>
      <c r="CQ6" s="10">
        <v>1</v>
      </c>
      <c r="CU6" s="10"/>
      <c r="CV6" s="10">
        <v>1</v>
      </c>
      <c r="CW6" s="10"/>
      <c r="CX6" s="10">
        <v>1</v>
      </c>
      <c r="DB6" s="10"/>
      <c r="DC6" s="10"/>
      <c r="DD6" s="10"/>
      <c r="DE6" s="10"/>
      <c r="DI6" s="10"/>
      <c r="DJ6" s="10"/>
      <c r="DK6" s="10"/>
      <c r="DL6" s="10"/>
      <c r="DP6" s="10"/>
      <c r="DQ6" s="10"/>
      <c r="DR6" s="10"/>
      <c r="DS6" s="10"/>
      <c r="DW6" s="10"/>
      <c r="DX6" s="10"/>
      <c r="DY6" s="10"/>
      <c r="DZ6" s="10"/>
      <c r="ED6" s="10"/>
      <c r="EE6" s="10"/>
      <c r="EF6" s="10"/>
      <c r="EG6" s="10"/>
      <c r="EK6" s="10"/>
      <c r="EL6" s="10"/>
      <c r="EM6" s="10"/>
      <c r="EN6" s="10"/>
    </row>
    <row r="7" spans="2:145" outlineLevel="1" x14ac:dyDescent="0.2">
      <c r="B7" t="s">
        <v>28</v>
      </c>
      <c r="C7" t="s">
        <v>88</v>
      </c>
      <c r="E7" s="9"/>
      <c r="F7" t="s">
        <v>109</v>
      </c>
      <c r="G7" s="10">
        <v>0.1</v>
      </c>
      <c r="I7" s="9">
        <f>+SUMIF($N$3:$ZS$3,I$3,$N7:$ZS7)</f>
        <v>1.5</v>
      </c>
      <c r="J7" s="11" cm="1">
        <f t="array" ref="J7">MAX(IF($N$3:$EH$3=$J$3,N7:EH7))</f>
        <v>0.8</v>
      </c>
      <c r="K7" s="11" cm="1">
        <f t="array" ref="K7">MAX(IF($N$3:$EH$3=$J$3,N7:EH7))</f>
        <v>0.8</v>
      </c>
      <c r="L7" s="9"/>
      <c r="O7" s="10"/>
      <c r="P7" s="10">
        <v>0.5</v>
      </c>
      <c r="Q7" s="10"/>
      <c r="R7" s="10">
        <v>0.5</v>
      </c>
      <c r="U7">
        <v>1</v>
      </c>
      <c r="V7" s="10">
        <v>0.5</v>
      </c>
      <c r="W7" s="10">
        <v>0.5</v>
      </c>
      <c r="X7" s="10">
        <v>0.5</v>
      </c>
      <c r="Y7" s="10">
        <v>0.5</v>
      </c>
      <c r="AC7" s="10">
        <v>0.5</v>
      </c>
      <c r="AD7" s="10">
        <v>0.5</v>
      </c>
      <c r="AE7" s="10">
        <v>0.5</v>
      </c>
      <c r="AF7" s="10">
        <v>0.5</v>
      </c>
      <c r="AI7">
        <v>0.5</v>
      </c>
      <c r="AJ7" s="10">
        <v>0.8</v>
      </c>
      <c r="AK7" s="10">
        <v>0.8</v>
      </c>
      <c r="AL7" s="10">
        <v>0.8</v>
      </c>
      <c r="AM7" s="10">
        <v>0.8</v>
      </c>
      <c r="AQ7" s="10">
        <v>0.8</v>
      </c>
      <c r="AR7" s="10">
        <v>0.8</v>
      </c>
      <c r="AS7" s="10">
        <v>0.8</v>
      </c>
      <c r="AT7" s="10">
        <v>0.8</v>
      </c>
      <c r="AX7" s="10">
        <v>0.8</v>
      </c>
      <c r="AY7" s="10">
        <v>0.8</v>
      </c>
      <c r="AZ7" s="10">
        <v>0.8</v>
      </c>
      <c r="BA7" s="10">
        <v>0.8</v>
      </c>
      <c r="BE7" s="10">
        <v>0.8</v>
      </c>
      <c r="BF7" s="10">
        <v>0.8</v>
      </c>
      <c r="BG7" s="10">
        <v>0.8</v>
      </c>
      <c r="BH7" s="10">
        <v>0.8</v>
      </c>
      <c r="BL7" s="10"/>
      <c r="BM7" s="10">
        <v>1</v>
      </c>
      <c r="BN7" s="10"/>
      <c r="BO7" s="10">
        <v>1</v>
      </c>
      <c r="BS7" s="10"/>
      <c r="BT7" s="10">
        <v>1</v>
      </c>
      <c r="BU7" s="10"/>
      <c r="BV7" s="10">
        <v>1</v>
      </c>
      <c r="BZ7" s="10"/>
      <c r="CA7" s="10">
        <v>1</v>
      </c>
      <c r="CB7" s="10"/>
      <c r="CC7" s="10">
        <v>1</v>
      </c>
      <c r="CG7" s="10"/>
      <c r="CH7" s="10">
        <v>1</v>
      </c>
      <c r="CI7" s="10"/>
      <c r="CJ7" s="10">
        <v>1</v>
      </c>
      <c r="CN7" s="10"/>
      <c r="CO7" s="10">
        <v>1</v>
      </c>
      <c r="CP7" s="10"/>
      <c r="CQ7" s="10">
        <v>1</v>
      </c>
      <c r="CU7" s="10"/>
      <c r="CV7" s="10">
        <v>1</v>
      </c>
      <c r="CW7" s="10"/>
      <c r="CX7" s="10">
        <v>1</v>
      </c>
      <c r="DB7" s="10"/>
      <c r="DC7" s="10"/>
      <c r="DD7" s="10"/>
      <c r="DE7" s="10"/>
      <c r="DI7" s="10"/>
      <c r="DJ7" s="10"/>
      <c r="DK7" s="10"/>
      <c r="DL7" s="10"/>
      <c r="DP7" s="10"/>
      <c r="DQ7" s="10"/>
      <c r="DR7" s="10"/>
      <c r="DS7" s="10"/>
      <c r="DW7" s="10"/>
      <c r="DX7" s="10"/>
      <c r="DY7" s="10"/>
      <c r="DZ7" s="10"/>
      <c r="ED7" s="10"/>
      <c r="EE7" s="10"/>
      <c r="EF7" s="10"/>
      <c r="EG7" s="10"/>
      <c r="EK7" s="10"/>
      <c r="EL7" s="10"/>
      <c r="EM7" s="10"/>
      <c r="EN7" s="10"/>
    </row>
    <row r="8" spans="2:145" outlineLevel="1" x14ac:dyDescent="0.2">
      <c r="B8" t="s">
        <v>28</v>
      </c>
      <c r="C8" t="s">
        <v>88</v>
      </c>
      <c r="E8" s="9"/>
      <c r="F8" t="s">
        <v>110</v>
      </c>
      <c r="G8" s="10">
        <v>0.1</v>
      </c>
      <c r="I8" s="9">
        <f>+SUMIF($N$3:$ZS$3,I$3,$N8:$ZS8)</f>
        <v>3.5</v>
      </c>
      <c r="J8" s="11" cm="1">
        <f t="array" ref="J8">MAX(IF($N$3:$EH$3=$J$3,N8:EH8))</f>
        <v>0.8</v>
      </c>
      <c r="K8" s="11" cm="1">
        <f t="array" ref="K8">MAX(IF($N$3:$EH$3=$J$3,N8:EH8))</f>
        <v>0.8</v>
      </c>
      <c r="L8" s="9"/>
      <c r="O8" s="10"/>
      <c r="P8" s="10"/>
      <c r="Q8" s="10"/>
      <c r="R8" s="10"/>
      <c r="U8">
        <v>2</v>
      </c>
      <c r="V8" s="10">
        <v>0.5</v>
      </c>
      <c r="W8" s="10">
        <v>0.5</v>
      </c>
      <c r="X8" s="10">
        <v>0.5</v>
      </c>
      <c r="Y8" s="10">
        <v>0.5</v>
      </c>
      <c r="AC8" s="10">
        <v>0.5</v>
      </c>
      <c r="AD8" s="10">
        <v>0.5</v>
      </c>
      <c r="AE8" s="10">
        <v>0.5</v>
      </c>
      <c r="AF8" s="10">
        <v>0.5</v>
      </c>
      <c r="AJ8" s="10">
        <v>0.5</v>
      </c>
      <c r="AK8" s="10">
        <v>0.5</v>
      </c>
      <c r="AL8" s="10">
        <v>0.5</v>
      </c>
      <c r="AM8" s="10">
        <v>0.5</v>
      </c>
      <c r="AQ8" s="10">
        <v>0.5</v>
      </c>
      <c r="AR8" s="10">
        <v>0.5</v>
      </c>
      <c r="AS8" s="10">
        <v>0.5</v>
      </c>
      <c r="AT8" s="10">
        <v>0.5</v>
      </c>
      <c r="AW8">
        <v>1.5</v>
      </c>
      <c r="AX8" s="10">
        <v>0.8</v>
      </c>
      <c r="AY8" s="10">
        <v>0.8</v>
      </c>
      <c r="AZ8" s="10">
        <v>0.8</v>
      </c>
      <c r="BA8" s="10">
        <v>0.8</v>
      </c>
      <c r="BE8" s="10">
        <v>0.8</v>
      </c>
      <c r="BF8" s="10">
        <v>0.8</v>
      </c>
      <c r="BG8" s="10">
        <v>0.8</v>
      </c>
      <c r="BH8" s="10">
        <v>0.8</v>
      </c>
      <c r="BL8" s="10">
        <v>0.8</v>
      </c>
      <c r="BM8" s="10">
        <v>0.8</v>
      </c>
      <c r="BN8" s="10">
        <v>0.8</v>
      </c>
      <c r="BO8" s="10">
        <v>0.8</v>
      </c>
      <c r="BS8" s="10"/>
      <c r="BT8" s="10">
        <v>1</v>
      </c>
      <c r="BU8" s="10"/>
      <c r="BV8" s="10">
        <v>1</v>
      </c>
      <c r="BZ8" s="10"/>
      <c r="CA8" s="10">
        <v>1</v>
      </c>
      <c r="CB8" s="10"/>
      <c r="CC8" s="10">
        <v>1</v>
      </c>
      <c r="CG8" s="10"/>
      <c r="CH8" s="10">
        <v>1</v>
      </c>
      <c r="CI8" s="10"/>
      <c r="CJ8" s="10">
        <v>1</v>
      </c>
      <c r="CN8" s="10"/>
      <c r="CO8" s="10">
        <v>1</v>
      </c>
      <c r="CP8" s="10"/>
      <c r="CQ8" s="10">
        <v>1</v>
      </c>
      <c r="CU8" s="10"/>
      <c r="CV8" s="10">
        <v>1</v>
      </c>
      <c r="CW8" s="10"/>
      <c r="CX8" s="10">
        <v>1</v>
      </c>
      <c r="DB8" s="10"/>
      <c r="DC8" s="10"/>
      <c r="DD8" s="10"/>
      <c r="DE8" s="10"/>
      <c r="DI8" s="10"/>
      <c r="DJ8" s="10"/>
      <c r="DK8" s="10"/>
      <c r="DL8" s="10"/>
      <c r="DP8" s="10"/>
      <c r="DQ8" s="10"/>
      <c r="DR8" s="10"/>
      <c r="DS8" s="10"/>
      <c r="DW8" s="10"/>
      <c r="DX8" s="10"/>
      <c r="DY8" s="10"/>
      <c r="DZ8" s="10"/>
      <c r="ED8" s="10"/>
      <c r="EE8" s="10"/>
      <c r="EF8" s="10"/>
      <c r="EG8" s="10"/>
      <c r="EK8" s="10"/>
      <c r="EL8" s="10"/>
      <c r="EM8" s="10"/>
      <c r="EN8" s="10"/>
    </row>
    <row r="9" spans="2:145" outlineLevel="1" x14ac:dyDescent="0.2">
      <c r="B9" t="s">
        <v>28</v>
      </c>
      <c r="C9" t="s">
        <v>88</v>
      </c>
      <c r="E9" s="9"/>
      <c r="F9" t="s">
        <v>111</v>
      </c>
      <c r="G9" s="10">
        <v>0.1</v>
      </c>
      <c r="I9" s="9">
        <f t="shared" ref="I9:I15" si="0">+SUMIF($N$3:$ZS$3,I$3,$N9:$ZS9)</f>
        <v>3.5</v>
      </c>
      <c r="J9" s="11" cm="1">
        <f t="array" ref="J9">MAX(IF($N$3:$EH$3=$J$3,N9:EH9))</f>
        <v>0.8</v>
      </c>
      <c r="K9" s="11" cm="1">
        <f t="array" ref="K9">MAX(IF($N$3:$EH$3=$J$3,N9:EH9))</f>
        <v>0.8</v>
      </c>
      <c r="L9" s="9"/>
      <c r="O9" s="10"/>
      <c r="P9" s="10"/>
      <c r="Q9" s="10"/>
      <c r="R9" s="10"/>
      <c r="V9" s="10"/>
      <c r="W9" s="10"/>
      <c r="X9" s="10"/>
      <c r="Y9" s="10"/>
      <c r="AB9">
        <v>2</v>
      </c>
      <c r="AC9" s="10">
        <v>0.5</v>
      </c>
      <c r="AD9" s="10">
        <v>0.5</v>
      </c>
      <c r="AE9" s="10">
        <v>0.5</v>
      </c>
      <c r="AF9" s="10">
        <v>0.5</v>
      </c>
      <c r="AJ9" s="10">
        <v>0.5</v>
      </c>
      <c r="AK9" s="10">
        <v>0.5</v>
      </c>
      <c r="AL9" s="10">
        <v>0.5</v>
      </c>
      <c r="AM9" s="10">
        <v>0.5</v>
      </c>
      <c r="AQ9" s="10">
        <v>0.5</v>
      </c>
      <c r="AR9" s="10">
        <v>0.5</v>
      </c>
      <c r="AS9" s="10">
        <v>0.5</v>
      </c>
      <c r="AT9" s="10">
        <v>0.5</v>
      </c>
      <c r="AW9">
        <v>1.5</v>
      </c>
      <c r="AX9" s="10">
        <v>0.8</v>
      </c>
      <c r="AY9" s="10">
        <v>0.8</v>
      </c>
      <c r="AZ9" s="10">
        <v>0.8</v>
      </c>
      <c r="BA9" s="10">
        <v>0.8</v>
      </c>
      <c r="BE9" s="10">
        <v>0.8</v>
      </c>
      <c r="BF9" s="10">
        <v>0.8</v>
      </c>
      <c r="BG9" s="10">
        <v>0.8</v>
      </c>
      <c r="BH9" s="10">
        <v>0.8</v>
      </c>
      <c r="BL9" s="10">
        <v>0.8</v>
      </c>
      <c r="BM9" s="10">
        <v>0.8</v>
      </c>
      <c r="BN9" s="10">
        <v>0.8</v>
      </c>
      <c r="BO9" s="10">
        <v>0.8</v>
      </c>
      <c r="BS9" s="10"/>
      <c r="BT9" s="10">
        <v>0.8</v>
      </c>
      <c r="BU9" s="10"/>
      <c r="BV9" s="10">
        <v>0.8</v>
      </c>
      <c r="BZ9" s="10"/>
      <c r="CA9" s="10">
        <v>1</v>
      </c>
      <c r="CB9" s="10"/>
      <c r="CC9" s="10">
        <v>1</v>
      </c>
      <c r="CG9" s="10"/>
      <c r="CH9" s="10">
        <v>1</v>
      </c>
      <c r="CI9" s="10"/>
      <c r="CJ9" s="10">
        <v>1</v>
      </c>
      <c r="CN9" s="10"/>
      <c r="CO9" s="10">
        <v>1</v>
      </c>
      <c r="CP9" s="10"/>
      <c r="CQ9" s="10">
        <v>1</v>
      </c>
      <c r="CU9" s="10"/>
      <c r="CV9" s="10">
        <v>1</v>
      </c>
      <c r="CW9" s="10"/>
      <c r="CX9" s="10">
        <v>1</v>
      </c>
      <c r="DB9" s="10"/>
      <c r="DC9" s="10"/>
      <c r="DD9" s="10"/>
      <c r="DE9" s="10"/>
      <c r="DI9" s="10"/>
      <c r="DJ9" s="10"/>
      <c r="DK9" s="10"/>
      <c r="DL9" s="10"/>
      <c r="DP9" s="10"/>
      <c r="DQ9" s="10"/>
      <c r="DR9" s="10"/>
      <c r="DS9" s="10"/>
      <c r="DW9" s="10"/>
      <c r="DX9" s="10"/>
      <c r="DY9" s="10"/>
      <c r="DZ9" s="10"/>
      <c r="ED9" s="10"/>
      <c r="EE9" s="10"/>
      <c r="EF9" s="10"/>
      <c r="EG9" s="10"/>
      <c r="EK9" s="10"/>
      <c r="EL9" s="10"/>
      <c r="EM9" s="10"/>
      <c r="EN9" s="10"/>
    </row>
    <row r="10" spans="2:145" outlineLevel="1" x14ac:dyDescent="0.2">
      <c r="B10" t="s">
        <v>28</v>
      </c>
      <c r="C10" t="s">
        <v>88</v>
      </c>
      <c r="E10" s="9"/>
      <c r="F10" t="s">
        <v>112</v>
      </c>
      <c r="G10" s="10">
        <v>0.1</v>
      </c>
      <c r="I10" s="9">
        <f t="shared" si="0"/>
        <v>0.5</v>
      </c>
      <c r="J10" s="11" cm="1">
        <f t="array" ref="J10">MAX(IF($N$3:$EH$3=$J$3,N10:EH10))</f>
        <v>0.8</v>
      </c>
      <c r="K10" s="11" cm="1">
        <f t="array" ref="K10">MAX(IF($N$3:$EH$3=$J$3,N10:EH10))</f>
        <v>0.8</v>
      </c>
      <c r="L10" s="9"/>
      <c r="O10" s="10"/>
      <c r="P10" s="10"/>
      <c r="Q10" s="10"/>
      <c r="R10" s="10"/>
      <c r="V10" s="10"/>
      <c r="W10" s="10"/>
      <c r="X10" s="10"/>
      <c r="Y10" s="10"/>
      <c r="AB10">
        <v>0.5</v>
      </c>
      <c r="AC10" s="10">
        <v>0.5</v>
      </c>
      <c r="AD10" s="10">
        <v>0.5</v>
      </c>
      <c r="AE10" s="10">
        <v>0.5</v>
      </c>
      <c r="AF10" s="10">
        <v>0.5</v>
      </c>
      <c r="AJ10" s="10">
        <v>0.5</v>
      </c>
      <c r="AK10" s="10">
        <v>0.5</v>
      </c>
      <c r="AL10" s="10">
        <v>0.5</v>
      </c>
      <c r="AM10" s="10">
        <v>0.5</v>
      </c>
      <c r="AQ10" s="10">
        <v>0.5</v>
      </c>
      <c r="AR10" s="10">
        <v>0.5</v>
      </c>
      <c r="AS10" s="10">
        <v>0.5</v>
      </c>
      <c r="AT10" s="10">
        <v>0.5</v>
      </c>
      <c r="AX10" s="10">
        <v>0.5</v>
      </c>
      <c r="AY10" s="10">
        <v>0.5</v>
      </c>
      <c r="AZ10" s="10">
        <v>0.5</v>
      </c>
      <c r="BA10" s="10">
        <v>0.5</v>
      </c>
      <c r="BE10" s="10">
        <v>0.8</v>
      </c>
      <c r="BF10" s="10">
        <v>0.8</v>
      </c>
      <c r="BG10" s="10">
        <v>0.8</v>
      </c>
      <c r="BH10" s="10">
        <v>0.8</v>
      </c>
      <c r="BL10" s="10">
        <v>0.8</v>
      </c>
      <c r="BM10" s="10">
        <v>0.8</v>
      </c>
      <c r="BN10" s="10">
        <v>0.8</v>
      </c>
      <c r="BO10" s="10">
        <v>0.8</v>
      </c>
      <c r="BS10" s="10"/>
      <c r="BT10" s="10">
        <v>0.8</v>
      </c>
      <c r="BU10" s="10"/>
      <c r="BV10" s="10">
        <v>0.8</v>
      </c>
      <c r="BZ10" s="10"/>
      <c r="CA10" s="10">
        <v>1</v>
      </c>
      <c r="CB10" s="10"/>
      <c r="CC10" s="10">
        <v>1</v>
      </c>
      <c r="CG10" s="10"/>
      <c r="CH10" s="10">
        <v>1</v>
      </c>
      <c r="CI10" s="10"/>
      <c r="CJ10" s="10">
        <v>1</v>
      </c>
      <c r="CN10" s="10"/>
      <c r="CO10" s="10">
        <v>1</v>
      </c>
      <c r="CP10" s="10"/>
      <c r="CQ10" s="10">
        <v>1</v>
      </c>
      <c r="CU10" s="10"/>
      <c r="CV10" s="10">
        <v>1</v>
      </c>
      <c r="CW10" s="10"/>
      <c r="CX10" s="10">
        <v>1</v>
      </c>
      <c r="DB10" s="10"/>
      <c r="DC10" s="10"/>
      <c r="DD10" s="10"/>
      <c r="DE10" s="10"/>
      <c r="DI10" s="10"/>
      <c r="DJ10" s="10"/>
      <c r="DK10" s="10"/>
      <c r="DL10" s="10"/>
      <c r="DP10" s="10"/>
      <c r="DQ10" s="10"/>
      <c r="DR10" s="10"/>
      <c r="DS10" s="10"/>
      <c r="DW10" s="10"/>
      <c r="DX10" s="10"/>
      <c r="DY10" s="10"/>
      <c r="DZ10" s="10"/>
      <c r="ED10" s="10"/>
      <c r="EE10" s="10"/>
      <c r="EF10" s="10"/>
      <c r="EG10" s="10"/>
      <c r="EK10" s="10"/>
      <c r="EL10" s="10"/>
      <c r="EM10" s="10"/>
      <c r="EN10" s="10"/>
    </row>
    <row r="11" spans="2:145" outlineLevel="1" x14ac:dyDescent="0.2">
      <c r="B11" t="s">
        <v>28</v>
      </c>
      <c r="C11" t="s">
        <v>88</v>
      </c>
      <c r="E11" s="9"/>
      <c r="F11" t="s">
        <v>113</v>
      </c>
      <c r="G11" s="10">
        <v>0.1</v>
      </c>
      <c r="I11" s="9">
        <f t="shared" si="0"/>
        <v>4.5</v>
      </c>
      <c r="J11" s="11" cm="1">
        <f t="array" ref="J11">MAX(IF($N$3:$EH$3=$J$3,N11:EH11))</f>
        <v>0.8</v>
      </c>
      <c r="K11" s="11" cm="1">
        <f t="array" ref="K11">MAX(IF($N$3:$EH$3=$J$3,N11:EH11))</f>
        <v>0.8</v>
      </c>
      <c r="L11" s="9"/>
      <c r="O11" s="10"/>
      <c r="P11" s="10"/>
      <c r="Q11" s="10"/>
      <c r="R11" s="10"/>
      <c r="V11" s="10"/>
      <c r="W11" s="10"/>
      <c r="X11" s="10"/>
      <c r="Y11" s="10"/>
      <c r="AC11" s="10"/>
      <c r="AD11" s="10"/>
      <c r="AE11" s="10"/>
      <c r="AF11" s="10"/>
      <c r="AI11">
        <v>2</v>
      </c>
      <c r="AJ11" s="10">
        <v>0.5</v>
      </c>
      <c r="AK11" s="10">
        <v>0.5</v>
      </c>
      <c r="AL11" s="10">
        <v>0.5</v>
      </c>
      <c r="AM11" s="10">
        <v>0.5</v>
      </c>
      <c r="AQ11" s="10">
        <v>0.5</v>
      </c>
      <c r="AR11" s="10">
        <v>0.5</v>
      </c>
      <c r="AS11" s="10">
        <v>0.5</v>
      </c>
      <c r="AT11" s="10">
        <v>0.5</v>
      </c>
      <c r="AX11" s="10">
        <v>0.5</v>
      </c>
      <c r="AY11" s="10">
        <v>0.5</v>
      </c>
      <c r="AZ11" s="10">
        <v>0.5</v>
      </c>
      <c r="BA11" s="10">
        <v>0.5</v>
      </c>
      <c r="BE11" s="10">
        <v>0.5</v>
      </c>
      <c r="BF11" s="10">
        <v>0.5</v>
      </c>
      <c r="BG11" s="10">
        <v>0.5</v>
      </c>
      <c r="BH11" s="10">
        <v>0.5</v>
      </c>
      <c r="BK11">
        <v>2.5</v>
      </c>
      <c r="BL11" s="10">
        <v>0.8</v>
      </c>
      <c r="BM11" s="10">
        <v>0.8</v>
      </c>
      <c r="BN11" s="10">
        <v>0.8</v>
      </c>
      <c r="BO11" s="10">
        <v>0.8</v>
      </c>
      <c r="BS11" s="10"/>
      <c r="BT11" s="10">
        <v>0.8</v>
      </c>
      <c r="BU11" s="10"/>
      <c r="BV11" s="10">
        <v>0.8</v>
      </c>
      <c r="BZ11" s="10"/>
      <c r="CA11" s="10">
        <v>0.8</v>
      </c>
      <c r="CB11" s="10"/>
      <c r="CC11" s="10">
        <v>0.8</v>
      </c>
      <c r="CG11" s="10"/>
      <c r="CH11" s="10">
        <v>1</v>
      </c>
      <c r="CI11" s="10"/>
      <c r="CJ11" s="10">
        <v>1</v>
      </c>
      <c r="CN11" s="10"/>
      <c r="CO11" s="10">
        <v>1</v>
      </c>
      <c r="CP11" s="10"/>
      <c r="CQ11" s="10">
        <v>1</v>
      </c>
      <c r="CU11" s="10"/>
      <c r="CV11" s="10">
        <v>1</v>
      </c>
      <c r="CW11" s="10"/>
      <c r="CX11" s="10">
        <v>1</v>
      </c>
      <c r="DB11" s="10"/>
      <c r="DC11" s="10"/>
      <c r="DD11" s="10"/>
      <c r="DE11" s="10"/>
      <c r="DI11" s="10"/>
      <c r="DJ11" s="10"/>
      <c r="DK11" s="10"/>
      <c r="DL11" s="10"/>
      <c r="DP11" s="10"/>
      <c r="DQ11" s="10"/>
      <c r="DR11" s="10"/>
      <c r="DS11" s="10"/>
      <c r="DW11" s="10"/>
      <c r="DX11" s="10"/>
      <c r="DY11" s="10"/>
      <c r="DZ11" s="10"/>
      <c r="ED11" s="10"/>
      <c r="EE11" s="10"/>
      <c r="EF11" s="10"/>
      <c r="EG11" s="10"/>
      <c r="EK11" s="10"/>
      <c r="EL11" s="10"/>
      <c r="EM11" s="10"/>
      <c r="EN11" s="10"/>
    </row>
    <row r="12" spans="2:145" outlineLevel="1" x14ac:dyDescent="0.2">
      <c r="B12" t="s">
        <v>28</v>
      </c>
      <c r="C12" t="s">
        <v>88</v>
      </c>
      <c r="E12" s="9"/>
      <c r="F12" t="s">
        <v>114</v>
      </c>
      <c r="G12" s="10">
        <v>0.1</v>
      </c>
      <c r="I12" s="9">
        <f t="shared" si="0"/>
        <v>9.5</v>
      </c>
      <c r="J12" s="11" cm="1">
        <f t="array" ref="J12">MAX(IF($N$3:$EH$3=$J$3,N12:EH12))</f>
        <v>0.8</v>
      </c>
      <c r="K12" s="11" cm="1">
        <f t="array" ref="K12">MAX(IF($N$3:$EH$3=$J$3,N12:EH12))</f>
        <v>0.8</v>
      </c>
      <c r="L12" s="9"/>
      <c r="O12" s="10"/>
      <c r="P12" s="10"/>
      <c r="Q12" s="10"/>
      <c r="R12" s="10"/>
      <c r="V12" s="10"/>
      <c r="W12" s="10"/>
      <c r="X12" s="10"/>
      <c r="Y12" s="10"/>
      <c r="AC12" s="10"/>
      <c r="AD12" s="10"/>
      <c r="AE12" s="10"/>
      <c r="AF12" s="10"/>
      <c r="AI12">
        <v>4</v>
      </c>
      <c r="AJ12" s="10">
        <v>0.5</v>
      </c>
      <c r="AK12" s="10">
        <v>0.5</v>
      </c>
      <c r="AL12" s="10">
        <v>0.5</v>
      </c>
      <c r="AM12" s="10">
        <v>0.5</v>
      </c>
      <c r="AQ12" s="10">
        <v>0.5</v>
      </c>
      <c r="AR12" s="10">
        <v>0.5</v>
      </c>
      <c r="AS12" s="10">
        <v>0.5</v>
      </c>
      <c r="AT12" s="10">
        <v>0.5</v>
      </c>
      <c r="AX12" s="10">
        <v>0.5</v>
      </c>
      <c r="AY12" s="10">
        <v>0.5</v>
      </c>
      <c r="AZ12" s="10">
        <v>0.5</v>
      </c>
      <c r="BA12" s="10">
        <v>0.5</v>
      </c>
      <c r="BE12" s="10">
        <v>0.5</v>
      </c>
      <c r="BF12" s="10">
        <v>0.5</v>
      </c>
      <c r="BG12" s="10">
        <v>0.5</v>
      </c>
      <c r="BH12" s="10">
        <v>0.5</v>
      </c>
      <c r="BK12">
        <v>5.5</v>
      </c>
      <c r="BL12" s="10">
        <v>0.8</v>
      </c>
      <c r="BM12" s="10">
        <v>0.8</v>
      </c>
      <c r="BN12" s="10">
        <v>0.8</v>
      </c>
      <c r="BO12" s="10">
        <v>0.8</v>
      </c>
      <c r="BS12" s="10"/>
      <c r="BT12" s="10">
        <v>0.8</v>
      </c>
      <c r="BU12" s="10"/>
      <c r="BV12" s="10">
        <v>0.8</v>
      </c>
      <c r="BZ12" s="10"/>
      <c r="CA12" s="10">
        <v>0.8</v>
      </c>
      <c r="CB12" s="10"/>
      <c r="CC12" s="10">
        <v>0.8</v>
      </c>
      <c r="CG12" s="10"/>
      <c r="CH12" s="10">
        <v>1</v>
      </c>
      <c r="CI12" s="10"/>
      <c r="CJ12" s="10">
        <v>1</v>
      </c>
      <c r="CN12" s="10"/>
      <c r="CO12" s="10">
        <v>1</v>
      </c>
      <c r="CP12" s="10"/>
      <c r="CQ12" s="10">
        <v>1</v>
      </c>
      <c r="CU12" s="10"/>
      <c r="CV12" s="10">
        <v>1</v>
      </c>
      <c r="CW12" s="10"/>
      <c r="CX12" s="10">
        <v>1</v>
      </c>
      <c r="DB12" s="10"/>
      <c r="DC12" s="10"/>
      <c r="DD12" s="10"/>
      <c r="DE12" s="10"/>
      <c r="DI12" s="10"/>
      <c r="DJ12" s="10"/>
      <c r="DK12" s="10"/>
      <c r="DL12" s="10"/>
      <c r="DP12" s="10"/>
      <c r="DQ12" s="10"/>
      <c r="DR12" s="10"/>
      <c r="DS12" s="10"/>
      <c r="DW12" s="10"/>
      <c r="DX12" s="10"/>
      <c r="DY12" s="10"/>
      <c r="DZ12" s="10"/>
      <c r="ED12" s="10"/>
      <c r="EE12" s="10"/>
      <c r="EF12" s="10"/>
      <c r="EG12" s="10"/>
      <c r="EK12" s="10"/>
      <c r="EL12" s="10"/>
      <c r="EM12" s="10"/>
      <c r="EN12" s="10"/>
    </row>
    <row r="13" spans="2:145" outlineLevel="1" x14ac:dyDescent="0.2">
      <c r="B13" t="s">
        <v>28</v>
      </c>
      <c r="C13" t="s">
        <v>88</v>
      </c>
      <c r="E13" s="9"/>
      <c r="F13" t="s">
        <v>115</v>
      </c>
      <c r="G13" s="10">
        <v>0.05</v>
      </c>
      <c r="I13" s="9">
        <f t="shared" si="0"/>
        <v>2</v>
      </c>
      <c r="J13" s="11" cm="1">
        <f t="array" ref="J13">MAX(IF($N$3:$EH$3=$J$3,N13:EH13))</f>
        <v>0.5</v>
      </c>
      <c r="K13" s="11" cm="1">
        <f t="array" ref="K13">MAX(IF($N$3:$EH$3=$J$3,N13:EH13))</f>
        <v>0.5</v>
      </c>
      <c r="L13" s="9"/>
      <c r="O13" s="10"/>
      <c r="P13" s="10"/>
      <c r="Q13" s="10"/>
      <c r="R13" s="10"/>
      <c r="V13" s="10"/>
      <c r="W13" s="10"/>
      <c r="X13" s="10"/>
      <c r="Y13" s="10"/>
      <c r="AC13" s="10"/>
      <c r="AD13" s="10"/>
      <c r="AE13" s="10"/>
      <c r="AF13" s="10"/>
      <c r="AJ13" s="10"/>
      <c r="AK13" s="10"/>
      <c r="AL13" s="10"/>
      <c r="AM13" s="10"/>
      <c r="AP13">
        <v>2</v>
      </c>
      <c r="AQ13" s="10">
        <v>0.5</v>
      </c>
      <c r="AR13" s="10">
        <v>0.5</v>
      </c>
      <c r="AS13" s="10">
        <v>0.5</v>
      </c>
      <c r="AT13" s="10">
        <v>0.5</v>
      </c>
      <c r="AX13" s="10">
        <v>0.5</v>
      </c>
      <c r="AY13" s="10">
        <v>0.5</v>
      </c>
      <c r="AZ13" s="10">
        <v>0.5</v>
      </c>
      <c r="BA13" s="10">
        <v>0.5</v>
      </c>
      <c r="BE13" s="10">
        <v>0.5</v>
      </c>
      <c r="BF13" s="10">
        <v>0.5</v>
      </c>
      <c r="BG13" s="10">
        <v>0.5</v>
      </c>
      <c r="BH13" s="10">
        <v>0.5</v>
      </c>
      <c r="BL13" s="10">
        <v>0.5</v>
      </c>
      <c r="BM13" s="10">
        <v>0.5</v>
      </c>
      <c r="BN13" s="10">
        <v>0.5</v>
      </c>
      <c r="BO13" s="10">
        <v>0.5</v>
      </c>
      <c r="BS13" s="10"/>
      <c r="BT13" s="10">
        <v>0.8</v>
      </c>
      <c r="BU13" s="10"/>
      <c r="BV13" s="10">
        <v>0.8</v>
      </c>
      <c r="BZ13" s="10"/>
      <c r="CA13" s="10">
        <v>0.8</v>
      </c>
      <c r="CB13" s="10"/>
      <c r="CC13" s="10">
        <v>0.8</v>
      </c>
      <c r="CG13" s="10"/>
      <c r="CH13" s="10">
        <v>0.8</v>
      </c>
      <c r="CI13" s="10"/>
      <c r="CJ13" s="10">
        <v>0.8</v>
      </c>
      <c r="CN13" s="10"/>
      <c r="CO13" s="10">
        <v>1</v>
      </c>
      <c r="CP13" s="10"/>
      <c r="CQ13" s="10">
        <v>1</v>
      </c>
      <c r="CU13" s="10"/>
      <c r="CV13" s="10">
        <v>1</v>
      </c>
      <c r="CW13" s="10"/>
      <c r="CX13" s="10">
        <v>1</v>
      </c>
      <c r="DB13" s="10"/>
      <c r="DC13" s="10"/>
      <c r="DD13" s="10"/>
      <c r="DE13" s="10"/>
      <c r="DI13" s="10"/>
      <c r="DJ13" s="10"/>
      <c r="DK13" s="10"/>
      <c r="DL13" s="10"/>
      <c r="DP13" s="10"/>
      <c r="DQ13" s="10"/>
      <c r="DR13" s="10"/>
      <c r="DS13" s="10"/>
      <c r="DW13" s="10"/>
      <c r="DX13" s="10"/>
      <c r="DY13" s="10"/>
      <c r="DZ13" s="10"/>
      <c r="ED13" s="10"/>
      <c r="EE13" s="10"/>
      <c r="EF13" s="10"/>
      <c r="EG13" s="10"/>
      <c r="EK13" s="10"/>
      <c r="EL13" s="10"/>
      <c r="EM13" s="10"/>
      <c r="EN13" s="10"/>
    </row>
    <row r="14" spans="2:145" outlineLevel="1" x14ac:dyDescent="0.2">
      <c r="B14" t="s">
        <v>28</v>
      </c>
      <c r="C14" t="s">
        <v>88</v>
      </c>
      <c r="E14" s="9"/>
      <c r="F14" t="s">
        <v>116</v>
      </c>
      <c r="G14" s="10">
        <v>0.05</v>
      </c>
      <c r="I14" s="9">
        <f t="shared" si="0"/>
        <v>3</v>
      </c>
      <c r="J14" s="11" cm="1">
        <f t="array" ref="J14">MAX(IF($N$3:$EH$3=$J$3,N14:EH14))</f>
        <v>0.5</v>
      </c>
      <c r="K14" s="11" cm="1">
        <f t="array" ref="K14">MAX(IF($N$3:$EH$3=$J$3,N14:EH14))</f>
        <v>0.5</v>
      </c>
      <c r="L14" s="9"/>
      <c r="O14" s="10"/>
      <c r="P14" s="10"/>
      <c r="Q14" s="10"/>
      <c r="R14" s="10"/>
      <c r="V14" s="10"/>
      <c r="W14" s="10"/>
      <c r="X14" s="10"/>
      <c r="Y14" s="10"/>
      <c r="AC14" s="10"/>
      <c r="AD14" s="10"/>
      <c r="AE14" s="10"/>
      <c r="AF14" s="10"/>
      <c r="AJ14" s="10"/>
      <c r="AK14" s="10"/>
      <c r="AL14" s="10"/>
      <c r="AM14" s="10"/>
      <c r="AQ14" s="10"/>
      <c r="AR14" s="10"/>
      <c r="AS14" s="10"/>
      <c r="AT14" s="10"/>
      <c r="AW14">
        <v>3</v>
      </c>
      <c r="AX14" s="10">
        <v>0.5</v>
      </c>
      <c r="AY14" s="10">
        <v>0.5</v>
      </c>
      <c r="AZ14" s="10">
        <v>0.5</v>
      </c>
      <c r="BA14" s="10">
        <v>0.5</v>
      </c>
      <c r="BE14" s="10">
        <v>0.5</v>
      </c>
      <c r="BF14" s="10">
        <v>0.5</v>
      </c>
      <c r="BG14" s="10">
        <v>0.5</v>
      </c>
      <c r="BH14" s="10">
        <v>0.5</v>
      </c>
      <c r="BL14" s="10">
        <v>0.5</v>
      </c>
      <c r="BM14" s="10">
        <v>0.5</v>
      </c>
      <c r="BN14" s="10">
        <v>0.5</v>
      </c>
      <c r="BO14" s="10">
        <v>0.5</v>
      </c>
      <c r="BS14" s="10"/>
      <c r="BT14" s="10">
        <v>0.8</v>
      </c>
      <c r="BU14" s="10"/>
      <c r="BV14" s="10">
        <v>0.8</v>
      </c>
      <c r="BZ14" s="10"/>
      <c r="CA14" s="10">
        <v>0.8</v>
      </c>
      <c r="CB14" s="10"/>
      <c r="CC14" s="10">
        <v>0.8</v>
      </c>
      <c r="CG14" s="10"/>
      <c r="CH14" s="10">
        <v>0.8</v>
      </c>
      <c r="CI14" s="10"/>
      <c r="CJ14" s="10">
        <v>0.8</v>
      </c>
      <c r="CN14" s="10"/>
      <c r="CO14" s="10">
        <v>1</v>
      </c>
      <c r="CP14" s="10"/>
      <c r="CQ14" s="10">
        <v>1</v>
      </c>
      <c r="CU14" s="10"/>
      <c r="CV14" s="10">
        <v>1</v>
      </c>
      <c r="CW14" s="10"/>
      <c r="CX14" s="10">
        <v>1</v>
      </c>
      <c r="DB14" s="10"/>
      <c r="DC14" s="10"/>
      <c r="DD14" s="10"/>
      <c r="DE14" s="10"/>
      <c r="DI14" s="10"/>
      <c r="DJ14" s="10"/>
      <c r="DK14" s="10"/>
      <c r="DL14" s="10"/>
      <c r="DP14" s="10"/>
      <c r="DQ14" s="10"/>
      <c r="DR14" s="10"/>
      <c r="DS14" s="10"/>
      <c r="DW14" s="10"/>
      <c r="DX14" s="10"/>
      <c r="DY14" s="10"/>
      <c r="DZ14" s="10"/>
      <c r="ED14" s="10"/>
      <c r="EE14" s="10"/>
      <c r="EF14" s="10"/>
      <c r="EG14" s="10"/>
      <c r="EK14" s="10"/>
      <c r="EL14" s="10"/>
      <c r="EM14" s="10"/>
      <c r="EN14" s="10"/>
    </row>
    <row r="15" spans="2:145" outlineLevel="1" x14ac:dyDescent="0.2">
      <c r="B15" t="s">
        <v>28</v>
      </c>
      <c r="C15" t="s">
        <v>88</v>
      </c>
      <c r="E15" s="9"/>
      <c r="F15" t="s">
        <v>117</v>
      </c>
      <c r="G15" s="10">
        <v>0.05</v>
      </c>
      <c r="I15" s="9">
        <f t="shared" si="0"/>
        <v>4.5</v>
      </c>
      <c r="J15" s="11" cm="1">
        <f t="array" ref="J15">MAX(IF($N$3:$EH$3=$J$3,N15:EH15))</f>
        <v>0.5</v>
      </c>
      <c r="K15" s="11" cm="1">
        <f t="array" ref="K15">MAX(IF($N$3:$EH$3=$J$3,N15:EH15))</f>
        <v>0.5</v>
      </c>
      <c r="L15" s="9"/>
      <c r="O15" s="10"/>
      <c r="P15" s="10"/>
      <c r="Q15" s="10"/>
      <c r="R15" s="10"/>
      <c r="V15" s="10"/>
      <c r="W15" s="10"/>
      <c r="X15" s="10"/>
      <c r="Y15" s="10"/>
      <c r="AC15" s="10"/>
      <c r="AD15" s="10"/>
      <c r="AE15" s="10"/>
      <c r="AF15" s="10"/>
      <c r="AJ15" s="10"/>
      <c r="AK15" s="10"/>
      <c r="AL15" s="10"/>
      <c r="AM15" s="10"/>
      <c r="AQ15" s="10"/>
      <c r="AR15" s="10"/>
      <c r="AS15" s="10"/>
      <c r="AT15" s="10"/>
      <c r="AX15" s="10"/>
      <c r="AY15" s="10"/>
      <c r="AZ15" s="10"/>
      <c r="BA15" s="10"/>
      <c r="BD15">
        <v>4.5</v>
      </c>
      <c r="BE15" s="10">
        <v>0.5</v>
      </c>
      <c r="BF15" s="10">
        <v>0.5</v>
      </c>
      <c r="BG15" s="10">
        <v>0.5</v>
      </c>
      <c r="BH15" s="10">
        <v>0.5</v>
      </c>
      <c r="BL15" s="10">
        <v>0.5</v>
      </c>
      <c r="BM15" s="10">
        <v>0.5</v>
      </c>
      <c r="BN15" s="10">
        <v>0.5</v>
      </c>
      <c r="BO15" s="10">
        <v>0.5</v>
      </c>
      <c r="BS15" s="10"/>
      <c r="BT15" s="10">
        <v>0.5</v>
      </c>
      <c r="BU15" s="10"/>
      <c r="BV15" s="10">
        <v>0.5</v>
      </c>
      <c r="BZ15" s="10"/>
      <c r="CA15" s="10">
        <v>0.8</v>
      </c>
      <c r="CB15" s="10"/>
      <c r="CC15" s="10">
        <v>0.8</v>
      </c>
      <c r="CG15" s="10"/>
      <c r="CH15" s="10">
        <v>0.8</v>
      </c>
      <c r="CI15" s="10"/>
      <c r="CJ15" s="10">
        <v>0.8</v>
      </c>
      <c r="CN15" s="10"/>
      <c r="CO15" s="10">
        <v>0.8</v>
      </c>
      <c r="CP15" s="10"/>
      <c r="CQ15" s="10">
        <v>0.8</v>
      </c>
      <c r="CU15" s="10"/>
      <c r="CV15" s="10">
        <v>1</v>
      </c>
      <c r="CW15" s="10"/>
      <c r="CX15" s="10">
        <v>1</v>
      </c>
      <c r="DB15" s="10"/>
      <c r="DC15" s="10"/>
      <c r="DD15" s="10"/>
      <c r="DE15" s="10"/>
      <c r="DI15" s="10"/>
      <c r="DJ15" s="10"/>
      <c r="DK15" s="10"/>
      <c r="DL15" s="10"/>
      <c r="DP15" s="10"/>
      <c r="DQ15" s="10"/>
      <c r="DR15" s="10"/>
      <c r="DS15" s="10"/>
      <c r="DW15" s="10"/>
      <c r="DX15" s="10"/>
      <c r="DY15" s="10"/>
      <c r="DZ15" s="10"/>
      <c r="ED15" s="10"/>
      <c r="EE15" s="10"/>
      <c r="EF15" s="10"/>
      <c r="EG15" s="10"/>
      <c r="EK15" s="10"/>
      <c r="EL15" s="10"/>
      <c r="EM15" s="10"/>
      <c r="EN15" s="10"/>
    </row>
    <row r="16" spans="2:145" outlineLevel="1" x14ac:dyDescent="0.2">
      <c r="B16" t="s">
        <v>28</v>
      </c>
      <c r="C16" t="s">
        <v>88</v>
      </c>
      <c r="F16" t="s">
        <v>118</v>
      </c>
      <c r="G16" s="10">
        <v>0.05</v>
      </c>
      <c r="I16" s="9">
        <f>+SUMIF($N$3:$ZS$3,I$3,$N16:$ZS16)</f>
        <v>2.5</v>
      </c>
      <c r="J16" s="11" cm="1">
        <f t="array" ref="J16">MAX(IF($N$3:$EH$3=$J$3,N16:EH16))</f>
        <v>0.5</v>
      </c>
      <c r="K16" s="11" cm="1">
        <f t="array" ref="K16">MAX(IF($N$3:$EH$3=$J$3,N16:EH16))</f>
        <v>0.5</v>
      </c>
      <c r="L16" s="9"/>
      <c r="O16" s="10"/>
      <c r="P16" s="10"/>
      <c r="Q16" s="10"/>
      <c r="R16" s="10"/>
      <c r="V16" s="10"/>
      <c r="W16" s="10"/>
      <c r="X16" s="10"/>
      <c r="Y16" s="10"/>
      <c r="AC16" s="10"/>
      <c r="AD16" s="10"/>
      <c r="AE16" s="10"/>
      <c r="AF16" s="10"/>
      <c r="AJ16" s="10"/>
      <c r="AK16" s="10"/>
      <c r="AL16" s="10"/>
      <c r="AM16" s="10"/>
      <c r="AQ16" s="10"/>
      <c r="AR16" s="10"/>
      <c r="AS16" s="10"/>
      <c r="AT16" s="10"/>
      <c r="AX16" s="10"/>
      <c r="AY16" s="10"/>
      <c r="AZ16" s="10"/>
      <c r="BA16" s="10"/>
      <c r="BD16">
        <v>2.5</v>
      </c>
      <c r="BE16" s="10">
        <v>0.5</v>
      </c>
      <c r="BF16" s="10">
        <v>0.5</v>
      </c>
      <c r="BG16" s="10">
        <v>0.5</v>
      </c>
      <c r="BH16" s="10">
        <v>0.5</v>
      </c>
      <c r="BL16" s="10">
        <v>0.5</v>
      </c>
      <c r="BM16" s="10">
        <v>0.5</v>
      </c>
      <c r="BN16" s="10">
        <v>0.5</v>
      </c>
      <c r="BO16" s="10">
        <v>0.5</v>
      </c>
      <c r="BS16" s="10"/>
      <c r="BT16" s="10">
        <v>0.5</v>
      </c>
      <c r="BU16" s="10"/>
      <c r="BV16" s="10">
        <v>0.5</v>
      </c>
      <c r="BZ16" s="10"/>
      <c r="CA16" s="10">
        <v>0.5</v>
      </c>
      <c r="CB16" s="10"/>
      <c r="CC16" s="10">
        <v>0.5</v>
      </c>
      <c r="CG16" s="10"/>
      <c r="CH16" s="10">
        <v>0.8</v>
      </c>
      <c r="CI16" s="10"/>
      <c r="CJ16" s="10">
        <v>0.8</v>
      </c>
      <c r="CN16" s="10"/>
      <c r="CO16" s="10">
        <v>0.8</v>
      </c>
      <c r="CP16" s="10"/>
      <c r="CQ16" s="10">
        <v>0.8</v>
      </c>
      <c r="CU16" s="10"/>
      <c r="CV16" s="10">
        <v>1</v>
      </c>
      <c r="CW16" s="10"/>
      <c r="CX16" s="10">
        <v>1</v>
      </c>
      <c r="DB16" s="10"/>
      <c r="DC16" s="10"/>
      <c r="DD16" s="10"/>
      <c r="DE16" s="10"/>
      <c r="DI16" s="10"/>
      <c r="DJ16" s="10"/>
      <c r="DK16" s="10"/>
      <c r="DL16" s="10"/>
      <c r="DP16" s="10"/>
      <c r="DQ16" s="10"/>
      <c r="DR16" s="10"/>
      <c r="DS16" s="10"/>
      <c r="DW16" s="10"/>
      <c r="DX16" s="10"/>
      <c r="DY16" s="10"/>
      <c r="DZ16" s="10"/>
      <c r="ED16" s="10"/>
      <c r="EE16" s="10"/>
      <c r="EF16" s="10"/>
      <c r="EG16" s="10"/>
      <c r="EK16" s="10"/>
      <c r="EL16" s="10"/>
      <c r="EM16" s="10"/>
      <c r="EN16" s="10"/>
    </row>
    <row r="18" spans="2:144" x14ac:dyDescent="0.2">
      <c r="B18" t="s">
        <v>27</v>
      </c>
      <c r="C18" t="s">
        <v>89</v>
      </c>
      <c r="D18" s="19">
        <v>45706</v>
      </c>
      <c r="E18" s="9">
        <v>5</v>
      </c>
      <c r="F18" t="s">
        <v>164</v>
      </c>
      <c r="G18" s="10">
        <f>+SUM(G19:G34)</f>
        <v>1.0000000000000002</v>
      </c>
      <c r="I18" s="12">
        <f>+SUM(I19:I34)</f>
        <v>39.450000000000003</v>
      </c>
      <c r="J18" s="11">
        <f>+SUMPRODUCT(G19:G34,J19:J34)</f>
        <v>0.68500000000000028</v>
      </c>
      <c r="K18" s="11">
        <f>+SUMPRODUCT(G19:G34,K19:K34)</f>
        <v>0.68500000000000028</v>
      </c>
      <c r="L18" s="9"/>
      <c r="N18" s="12"/>
      <c r="U18" s="12"/>
      <c r="AB18" s="12"/>
      <c r="AI18" s="12"/>
      <c r="AP18" s="12"/>
    </row>
    <row r="19" spans="2:144" outlineLevel="1" x14ac:dyDescent="0.2">
      <c r="B19" t="s">
        <v>28</v>
      </c>
      <c r="C19" t="s">
        <v>89</v>
      </c>
      <c r="E19" s="9"/>
      <c r="F19" t="s">
        <v>30</v>
      </c>
      <c r="G19" s="10">
        <v>0.05</v>
      </c>
      <c r="I19" s="9">
        <f>+SUMIF($N$3:$ZS$3,I$3,$N19:$ZS19)</f>
        <v>1</v>
      </c>
      <c r="J19" s="11" cm="1">
        <f t="array" ref="J19">MAX(IF($N$3:$EH$3=$J$3,N19:EH19))</f>
        <v>1</v>
      </c>
      <c r="K19" s="11" cm="1">
        <f t="array" ref="K19">MAX(IF($N$3:$EH$3=$J$3,N19:EH19))</f>
        <v>1</v>
      </c>
      <c r="L19" s="9"/>
      <c r="N19">
        <v>1</v>
      </c>
      <c r="O19" s="10">
        <v>0.5</v>
      </c>
      <c r="P19" s="10">
        <v>0.5</v>
      </c>
      <c r="Q19" s="10">
        <v>0.5</v>
      </c>
      <c r="R19" s="10">
        <v>0.5</v>
      </c>
      <c r="V19" s="10">
        <v>0.8</v>
      </c>
      <c r="W19" s="10">
        <v>0.8</v>
      </c>
      <c r="X19" s="10">
        <v>0.8</v>
      </c>
      <c r="Y19" s="10">
        <v>0.8</v>
      </c>
      <c r="AC19" s="10">
        <v>0.8</v>
      </c>
      <c r="AD19" s="10">
        <v>0.8</v>
      </c>
      <c r="AE19" s="10">
        <v>0.8</v>
      </c>
      <c r="AF19" s="10">
        <v>0.8</v>
      </c>
      <c r="AJ19" s="10">
        <v>0.8</v>
      </c>
      <c r="AK19" s="10">
        <v>0.8</v>
      </c>
      <c r="AL19" s="10">
        <v>0.8</v>
      </c>
      <c r="AM19" s="10">
        <v>0.8</v>
      </c>
      <c r="AQ19" s="10">
        <v>1</v>
      </c>
      <c r="AR19" s="10">
        <v>1</v>
      </c>
      <c r="AS19" s="10">
        <v>1</v>
      </c>
      <c r="AT19" s="10">
        <v>1</v>
      </c>
      <c r="AX19" s="10">
        <v>1</v>
      </c>
      <c r="AY19" s="10">
        <v>1</v>
      </c>
      <c r="AZ19" s="10">
        <v>1</v>
      </c>
      <c r="BA19" s="10">
        <v>1</v>
      </c>
      <c r="BE19" s="10">
        <v>1</v>
      </c>
      <c r="BF19" s="10">
        <v>1</v>
      </c>
      <c r="BG19" s="10">
        <v>1</v>
      </c>
      <c r="BH19" s="10">
        <v>1</v>
      </c>
      <c r="BL19" s="10">
        <v>1</v>
      </c>
      <c r="BM19" s="10">
        <v>1</v>
      </c>
      <c r="BN19" s="10">
        <v>1</v>
      </c>
      <c r="BO19" s="10">
        <v>1</v>
      </c>
      <c r="BS19" s="10"/>
      <c r="BT19" s="10">
        <v>1</v>
      </c>
      <c r="BU19" s="10"/>
      <c r="BV19" s="10">
        <v>1</v>
      </c>
      <c r="BZ19" s="10"/>
      <c r="CA19" s="10">
        <v>1</v>
      </c>
      <c r="CB19" s="10"/>
      <c r="CC19" s="10">
        <v>1</v>
      </c>
      <c r="CG19" s="10"/>
      <c r="CH19" s="10">
        <v>1</v>
      </c>
      <c r="CI19" s="10"/>
      <c r="CJ19" s="10">
        <v>1</v>
      </c>
      <c r="CN19" s="10"/>
      <c r="CO19" s="10">
        <v>1</v>
      </c>
      <c r="CP19" s="10"/>
      <c r="CQ19" s="10">
        <v>1</v>
      </c>
      <c r="CU19" s="10"/>
      <c r="CV19" s="10">
        <v>1</v>
      </c>
      <c r="CW19" s="10"/>
      <c r="CX19" s="10">
        <v>1</v>
      </c>
      <c r="DB19" s="10"/>
      <c r="DC19" s="10"/>
      <c r="DD19" s="10"/>
      <c r="DE19" s="10"/>
      <c r="DI19" s="10"/>
      <c r="DJ19" s="10"/>
      <c r="DK19" s="10"/>
      <c r="DL19" s="10"/>
      <c r="DP19" s="10"/>
      <c r="DQ19" s="10"/>
      <c r="DR19" s="10"/>
      <c r="DS19" s="10"/>
      <c r="DW19" s="10"/>
      <c r="DX19" s="10"/>
      <c r="DY19" s="10"/>
      <c r="DZ19" s="10"/>
      <c r="ED19" s="10"/>
      <c r="EE19" s="10"/>
      <c r="EF19" s="10"/>
      <c r="EG19" s="10"/>
      <c r="EK19" s="10"/>
      <c r="EL19" s="10"/>
      <c r="EM19" s="10"/>
      <c r="EN19" s="10"/>
    </row>
    <row r="20" spans="2:144" outlineLevel="1" x14ac:dyDescent="0.2">
      <c r="B20" t="s">
        <v>28</v>
      </c>
      <c r="C20" t="s">
        <v>89</v>
      </c>
      <c r="E20" s="9"/>
      <c r="F20" t="s">
        <v>91</v>
      </c>
      <c r="G20" s="10">
        <v>0.05</v>
      </c>
      <c r="I20" s="9">
        <f>+SUMIF($N$3:$ZS$3,I$3,$N20:$ZS20)</f>
        <v>1</v>
      </c>
      <c r="J20" s="11" cm="1">
        <f t="array" ref="J20">MAX(IF($N$3:$EH$3=$J$3,N20:EH20))</f>
        <v>1</v>
      </c>
      <c r="K20" s="11" cm="1">
        <f t="array" ref="K20">MAX(IF($N$3:$EH$3=$J$3,N20:EH20))</f>
        <v>1</v>
      </c>
      <c r="L20" s="9"/>
      <c r="N20">
        <v>1</v>
      </c>
      <c r="O20" s="10">
        <v>0.5</v>
      </c>
      <c r="P20" s="10">
        <v>0.5</v>
      </c>
      <c r="Q20" s="10">
        <v>0.5</v>
      </c>
      <c r="R20" s="10">
        <v>0.5</v>
      </c>
      <c r="V20" s="10">
        <v>0.5</v>
      </c>
      <c r="W20" s="10">
        <v>0.5</v>
      </c>
      <c r="X20" s="10">
        <v>0.5</v>
      </c>
      <c r="Y20" s="10">
        <v>0.5</v>
      </c>
      <c r="AC20" s="10">
        <v>0.8</v>
      </c>
      <c r="AD20" s="10">
        <v>0.8</v>
      </c>
      <c r="AE20" s="10">
        <v>0.8</v>
      </c>
      <c r="AF20" s="10">
        <v>0.8</v>
      </c>
      <c r="AJ20" s="10">
        <v>0.8</v>
      </c>
      <c r="AK20" s="10">
        <v>0.8</v>
      </c>
      <c r="AL20" s="10">
        <v>0.8</v>
      </c>
      <c r="AM20" s="10">
        <v>0.8</v>
      </c>
      <c r="AQ20" s="10">
        <v>0.8</v>
      </c>
      <c r="AR20" s="10">
        <v>0.8</v>
      </c>
      <c r="AS20" s="10">
        <v>0.8</v>
      </c>
      <c r="AT20" s="10">
        <v>0.8</v>
      </c>
      <c r="AX20" s="10">
        <v>1</v>
      </c>
      <c r="AY20" s="10">
        <v>1</v>
      </c>
      <c r="AZ20" s="10">
        <v>1</v>
      </c>
      <c r="BA20" s="10">
        <v>1</v>
      </c>
      <c r="BE20" s="10">
        <v>1</v>
      </c>
      <c r="BF20" s="10">
        <v>1</v>
      </c>
      <c r="BG20" s="10">
        <v>1</v>
      </c>
      <c r="BH20" s="10">
        <v>1</v>
      </c>
      <c r="BL20" s="10">
        <v>1</v>
      </c>
      <c r="BM20" s="10">
        <v>1</v>
      </c>
      <c r="BN20" s="10">
        <v>1</v>
      </c>
      <c r="BO20" s="10">
        <v>1</v>
      </c>
      <c r="BS20" s="10"/>
      <c r="BT20" s="10">
        <v>1</v>
      </c>
      <c r="BU20" s="10"/>
      <c r="BV20" s="10">
        <v>1</v>
      </c>
      <c r="BZ20" s="10"/>
      <c r="CA20" s="10">
        <v>1</v>
      </c>
      <c r="CB20" s="10"/>
      <c r="CC20" s="10">
        <v>1</v>
      </c>
      <c r="CG20" s="10"/>
      <c r="CH20" s="10">
        <v>1</v>
      </c>
      <c r="CI20" s="10"/>
      <c r="CJ20" s="10">
        <v>1</v>
      </c>
      <c r="CN20" s="10"/>
      <c r="CO20" s="10">
        <v>1</v>
      </c>
      <c r="CP20" s="10"/>
      <c r="CQ20" s="10">
        <v>1</v>
      </c>
      <c r="CU20" s="10"/>
      <c r="CV20" s="10">
        <v>1</v>
      </c>
      <c r="CW20" s="10"/>
      <c r="CX20" s="10">
        <v>1</v>
      </c>
      <c r="DB20" s="10"/>
      <c r="DC20" s="10"/>
      <c r="DD20" s="10"/>
      <c r="DE20" s="10"/>
      <c r="DI20" s="10"/>
      <c r="DJ20" s="10"/>
      <c r="DK20" s="10"/>
      <c r="DL20" s="10"/>
      <c r="DP20" s="10"/>
      <c r="DQ20" s="10"/>
      <c r="DR20" s="10"/>
      <c r="DS20" s="10"/>
      <c r="DW20" s="10"/>
      <c r="DX20" s="10"/>
      <c r="DY20" s="10"/>
      <c r="DZ20" s="10"/>
      <c r="ED20" s="10"/>
      <c r="EE20" s="10"/>
      <c r="EF20" s="10"/>
      <c r="EG20" s="10"/>
      <c r="EK20" s="10"/>
      <c r="EL20" s="10"/>
      <c r="EM20" s="10"/>
      <c r="EN20" s="10"/>
    </row>
    <row r="21" spans="2:144" outlineLevel="1" x14ac:dyDescent="0.2">
      <c r="B21" t="s">
        <v>28</v>
      </c>
      <c r="C21" t="s">
        <v>89</v>
      </c>
      <c r="E21" s="9"/>
      <c r="F21" t="s">
        <v>92</v>
      </c>
      <c r="G21" s="10">
        <v>0.05</v>
      </c>
      <c r="I21" s="9">
        <f>+SUMIF($N$3:$ZS$3,I$3,$N21:$ZS21)</f>
        <v>5</v>
      </c>
      <c r="J21" s="11" cm="1">
        <f t="array" ref="J21">MAX(IF($N$3:$EH$3=$J$3,N21:EH21))</f>
        <v>1</v>
      </c>
      <c r="K21" s="11" cm="1">
        <f t="array" ref="K21">MAX(IF($N$3:$EH$3=$J$3,N21:EH21))</f>
        <v>1</v>
      </c>
      <c r="L21" s="9"/>
      <c r="N21">
        <v>1</v>
      </c>
      <c r="O21" s="10">
        <v>0.5</v>
      </c>
      <c r="P21" s="10">
        <v>0.5</v>
      </c>
      <c r="Q21" s="10">
        <v>0.5</v>
      </c>
      <c r="R21" s="10">
        <v>0.5</v>
      </c>
      <c r="V21" s="10">
        <v>0.5</v>
      </c>
      <c r="W21" s="10">
        <v>0.5</v>
      </c>
      <c r="X21" s="10">
        <v>0.5</v>
      </c>
      <c r="Y21" s="10">
        <v>0.5</v>
      </c>
      <c r="AC21" s="10">
        <v>0.5</v>
      </c>
      <c r="AD21" s="10">
        <v>0.5</v>
      </c>
      <c r="AE21" s="10">
        <v>0.5</v>
      </c>
      <c r="AF21" s="10">
        <v>0.5</v>
      </c>
      <c r="AI21">
        <v>1.5</v>
      </c>
      <c r="AJ21" s="10">
        <v>0.8</v>
      </c>
      <c r="AK21" s="10">
        <v>0.8</v>
      </c>
      <c r="AL21" s="10">
        <v>0.8</v>
      </c>
      <c r="AM21" s="10">
        <v>0.8</v>
      </c>
      <c r="AQ21" s="10">
        <v>0.8</v>
      </c>
      <c r="AR21" s="10">
        <v>0.8</v>
      </c>
      <c r="AS21" s="10">
        <v>0.8</v>
      </c>
      <c r="AT21" s="10">
        <v>0.8</v>
      </c>
      <c r="AW21">
        <v>2.5</v>
      </c>
      <c r="AX21" s="10">
        <v>1</v>
      </c>
      <c r="AY21" s="10">
        <v>1</v>
      </c>
      <c r="AZ21" s="10">
        <v>1</v>
      </c>
      <c r="BA21" s="10">
        <v>1</v>
      </c>
      <c r="BE21" s="10">
        <v>1</v>
      </c>
      <c r="BF21" s="10">
        <v>1</v>
      </c>
      <c r="BG21" s="10">
        <v>1</v>
      </c>
      <c r="BH21" s="10">
        <v>1</v>
      </c>
      <c r="BL21" s="10">
        <v>1</v>
      </c>
      <c r="BM21" s="10">
        <v>1</v>
      </c>
      <c r="BN21" s="10">
        <v>1</v>
      </c>
      <c r="BO21" s="10">
        <v>1</v>
      </c>
      <c r="BS21" s="10"/>
      <c r="BT21" s="10">
        <v>1</v>
      </c>
      <c r="BU21" s="10"/>
      <c r="BV21" s="10">
        <v>1</v>
      </c>
      <c r="BZ21" s="10"/>
      <c r="CA21" s="10">
        <v>1</v>
      </c>
      <c r="CB21" s="10"/>
      <c r="CC21" s="10">
        <v>1</v>
      </c>
      <c r="CG21" s="10"/>
      <c r="CH21" s="10">
        <v>1</v>
      </c>
      <c r="CI21" s="10"/>
      <c r="CJ21" s="10">
        <v>1</v>
      </c>
      <c r="CN21" s="10"/>
      <c r="CO21" s="10">
        <v>1</v>
      </c>
      <c r="CP21" s="10"/>
      <c r="CQ21" s="10">
        <v>1</v>
      </c>
      <c r="CU21" s="10"/>
      <c r="CV21" s="10">
        <v>1</v>
      </c>
      <c r="CW21" s="10"/>
      <c r="CX21" s="10">
        <v>1</v>
      </c>
      <c r="DB21" s="10"/>
      <c r="DC21" s="10"/>
      <c r="DD21" s="10"/>
      <c r="DE21" s="10"/>
      <c r="DI21" s="10"/>
      <c r="DJ21" s="10"/>
      <c r="DK21" s="10"/>
      <c r="DL21" s="10"/>
      <c r="DP21" s="10"/>
      <c r="DQ21" s="10"/>
      <c r="DR21" s="10"/>
      <c r="DS21" s="10"/>
      <c r="DW21" s="10"/>
      <c r="DX21" s="10"/>
      <c r="DY21" s="10"/>
      <c r="DZ21" s="10"/>
      <c r="ED21" s="10"/>
      <c r="EE21" s="10"/>
      <c r="EF21" s="10"/>
      <c r="EG21" s="10"/>
      <c r="EK21" s="10"/>
      <c r="EL21" s="10"/>
      <c r="EM21" s="10"/>
      <c r="EN21" s="10"/>
    </row>
    <row r="22" spans="2:144" outlineLevel="1" x14ac:dyDescent="0.2">
      <c r="B22" t="s">
        <v>28</v>
      </c>
      <c r="C22" t="s">
        <v>89</v>
      </c>
      <c r="E22" s="9"/>
      <c r="F22" t="s">
        <v>93</v>
      </c>
      <c r="G22" s="10">
        <v>0.05</v>
      </c>
      <c r="I22" s="9">
        <f>+SUMIF($N$3:$ZS$3,I$3,$N22:$ZS22)</f>
        <v>1</v>
      </c>
      <c r="J22" s="11" cm="1">
        <f t="array" ref="J22">MAX(IF($N$3:$EH$3=$J$3,N22:EH22))</f>
        <v>0.8</v>
      </c>
      <c r="K22" s="11" cm="1">
        <f t="array" ref="K22">MAX(IF($N$3:$EH$3=$J$3,N22:EH22))</f>
        <v>0.8</v>
      </c>
      <c r="L22" s="9"/>
      <c r="O22" s="10"/>
      <c r="P22" s="10">
        <v>0.5</v>
      </c>
      <c r="Q22" s="10"/>
      <c r="R22" s="10">
        <v>0.5</v>
      </c>
      <c r="U22">
        <v>1</v>
      </c>
      <c r="V22" s="10">
        <v>0.5</v>
      </c>
      <c r="W22" s="10">
        <v>0.5</v>
      </c>
      <c r="X22" s="10">
        <v>0.5</v>
      </c>
      <c r="Y22" s="10">
        <v>0.5</v>
      </c>
      <c r="AC22" s="10">
        <v>0.5</v>
      </c>
      <c r="AD22" s="10">
        <v>0.5</v>
      </c>
      <c r="AE22" s="10">
        <v>0.5</v>
      </c>
      <c r="AF22" s="10">
        <v>0.5</v>
      </c>
      <c r="AJ22" s="10">
        <v>0.8</v>
      </c>
      <c r="AK22" s="10">
        <v>0.8</v>
      </c>
      <c r="AL22" s="10">
        <v>0.8</v>
      </c>
      <c r="AM22" s="10">
        <v>0.8</v>
      </c>
      <c r="AQ22" s="10">
        <v>0.8</v>
      </c>
      <c r="AR22" s="10">
        <v>0.8</v>
      </c>
      <c r="AS22" s="10">
        <v>0.8</v>
      </c>
      <c r="AT22" s="10">
        <v>0.8</v>
      </c>
      <c r="AX22" s="10">
        <v>0.8</v>
      </c>
      <c r="AY22" s="10">
        <v>0.8</v>
      </c>
      <c r="AZ22" s="10">
        <v>0.8</v>
      </c>
      <c r="BA22" s="10">
        <v>0.8</v>
      </c>
      <c r="BE22" s="10">
        <v>0.8</v>
      </c>
      <c r="BF22" s="10">
        <v>0.8</v>
      </c>
      <c r="BG22" s="10">
        <v>0.8</v>
      </c>
      <c r="BH22" s="10">
        <v>0.8</v>
      </c>
      <c r="BL22" s="10"/>
      <c r="BM22" s="10">
        <v>1</v>
      </c>
      <c r="BN22" s="10"/>
      <c r="BO22" s="10">
        <v>1</v>
      </c>
      <c r="BS22" s="10"/>
      <c r="BT22" s="10">
        <v>1</v>
      </c>
      <c r="BU22" s="10"/>
      <c r="BV22" s="10">
        <v>1</v>
      </c>
      <c r="BZ22" s="10"/>
      <c r="CA22" s="10">
        <v>1</v>
      </c>
      <c r="CB22" s="10"/>
      <c r="CC22" s="10">
        <v>1</v>
      </c>
      <c r="CG22" s="10"/>
      <c r="CH22" s="10">
        <v>1</v>
      </c>
      <c r="CI22" s="10"/>
      <c r="CJ22" s="10">
        <v>1</v>
      </c>
      <c r="CN22" s="10"/>
      <c r="CO22" s="10">
        <v>1</v>
      </c>
      <c r="CP22" s="10"/>
      <c r="CQ22" s="10">
        <v>1</v>
      </c>
      <c r="CU22" s="10"/>
      <c r="CV22" s="10">
        <v>1</v>
      </c>
      <c r="CW22" s="10"/>
      <c r="CX22" s="10">
        <v>1</v>
      </c>
      <c r="DB22" s="10"/>
      <c r="DC22" s="10"/>
      <c r="DD22" s="10"/>
      <c r="DE22" s="10"/>
      <c r="DI22" s="10"/>
      <c r="DJ22" s="10"/>
      <c r="DK22" s="10"/>
      <c r="DL22" s="10"/>
      <c r="DP22" s="10"/>
      <c r="DQ22" s="10"/>
      <c r="DR22" s="10"/>
      <c r="DS22" s="10"/>
      <c r="DW22" s="10"/>
      <c r="DX22" s="10"/>
      <c r="DY22" s="10"/>
      <c r="DZ22" s="10"/>
      <c r="ED22" s="10"/>
      <c r="EE22" s="10"/>
      <c r="EF22" s="10"/>
      <c r="EG22" s="10"/>
      <c r="EK22" s="10"/>
      <c r="EL22" s="10"/>
      <c r="EM22" s="10"/>
      <c r="EN22" s="10"/>
    </row>
    <row r="23" spans="2:144" outlineLevel="1" x14ac:dyDescent="0.2">
      <c r="B23" t="s">
        <v>28</v>
      </c>
      <c r="C23" t="s">
        <v>89</v>
      </c>
      <c r="E23" s="9"/>
      <c r="F23" t="s">
        <v>94</v>
      </c>
      <c r="G23" s="10">
        <v>0.1</v>
      </c>
      <c r="I23" s="9">
        <f>+SUMIF($N$3:$ZS$3,I$3,$N23:$ZS23)</f>
        <v>2.5</v>
      </c>
      <c r="J23" s="11" cm="1">
        <f t="array" ref="J23">MAX(IF($N$3:$EH$3=$J$3,N23:EH23))</f>
        <v>0.8</v>
      </c>
      <c r="K23" s="11" cm="1">
        <f t="array" ref="K23">MAX(IF($N$3:$EH$3=$J$3,N23:EH23))</f>
        <v>0.8</v>
      </c>
      <c r="L23" s="9"/>
      <c r="O23" s="10"/>
      <c r="P23" s="10"/>
      <c r="Q23" s="10"/>
      <c r="R23" s="10"/>
      <c r="U23">
        <v>1.5</v>
      </c>
      <c r="V23" s="10">
        <v>0.5</v>
      </c>
      <c r="W23" s="10">
        <v>0.5</v>
      </c>
      <c r="X23" s="10">
        <v>0.5</v>
      </c>
      <c r="Y23" s="10">
        <v>0.5</v>
      </c>
      <c r="AC23" s="10">
        <v>0.5</v>
      </c>
      <c r="AD23" s="10">
        <v>0.5</v>
      </c>
      <c r="AE23" s="10">
        <v>0.5</v>
      </c>
      <c r="AF23" s="10">
        <v>0.5</v>
      </c>
      <c r="AJ23" s="10">
        <v>0.5</v>
      </c>
      <c r="AK23" s="10">
        <v>0.5</v>
      </c>
      <c r="AL23" s="10">
        <v>0.5</v>
      </c>
      <c r="AM23" s="10">
        <v>0.5</v>
      </c>
      <c r="AP23">
        <v>1</v>
      </c>
      <c r="AQ23" s="10">
        <v>0.8</v>
      </c>
      <c r="AR23" s="10">
        <v>0.8</v>
      </c>
      <c r="AS23" s="10">
        <v>0.8</v>
      </c>
      <c r="AT23" s="10">
        <v>0.8</v>
      </c>
      <c r="AX23" s="10">
        <v>0.8</v>
      </c>
      <c r="AY23" s="10">
        <v>0.8</v>
      </c>
      <c r="AZ23" s="10">
        <v>0.8</v>
      </c>
      <c r="BA23" s="10">
        <v>0.8</v>
      </c>
      <c r="BE23" s="10">
        <v>0.8</v>
      </c>
      <c r="BF23" s="10">
        <v>0.8</v>
      </c>
      <c r="BG23" s="10">
        <v>0.8</v>
      </c>
      <c r="BH23" s="10">
        <v>0.8</v>
      </c>
      <c r="BL23" s="10"/>
      <c r="BM23" s="10">
        <v>1</v>
      </c>
      <c r="BN23" s="10"/>
      <c r="BO23" s="10">
        <v>1</v>
      </c>
      <c r="BS23" s="10"/>
      <c r="BT23" s="10">
        <v>1</v>
      </c>
      <c r="BU23" s="10"/>
      <c r="BV23" s="10">
        <v>1</v>
      </c>
      <c r="BZ23" s="10"/>
      <c r="CA23" s="10">
        <v>1</v>
      </c>
      <c r="CB23" s="10"/>
      <c r="CC23" s="10">
        <v>1</v>
      </c>
      <c r="CG23" s="10"/>
      <c r="CH23" s="10">
        <v>1</v>
      </c>
      <c r="CI23" s="10"/>
      <c r="CJ23" s="10">
        <v>1</v>
      </c>
      <c r="CN23" s="10"/>
      <c r="CO23" s="10">
        <v>1</v>
      </c>
      <c r="CP23" s="10"/>
      <c r="CQ23" s="10">
        <v>1</v>
      </c>
      <c r="CU23" s="10"/>
      <c r="CV23" s="10">
        <v>1</v>
      </c>
      <c r="CW23" s="10"/>
      <c r="CX23" s="10">
        <v>1</v>
      </c>
      <c r="DB23" s="10"/>
      <c r="DC23" s="10"/>
      <c r="DD23" s="10"/>
      <c r="DE23" s="10"/>
      <c r="DI23" s="10"/>
      <c r="DJ23" s="10"/>
      <c r="DK23" s="10"/>
      <c r="DL23" s="10"/>
      <c r="DP23" s="10"/>
      <c r="DQ23" s="10"/>
      <c r="DR23" s="10"/>
      <c r="DS23" s="10"/>
      <c r="DW23" s="10"/>
      <c r="DX23" s="10"/>
      <c r="DY23" s="10"/>
      <c r="DZ23" s="10"/>
      <c r="ED23" s="10"/>
      <c r="EE23" s="10"/>
      <c r="EF23" s="10"/>
      <c r="EG23" s="10"/>
      <c r="EK23" s="10"/>
      <c r="EL23" s="10"/>
      <c r="EM23" s="10"/>
      <c r="EN23" s="10"/>
    </row>
    <row r="24" spans="2:144" outlineLevel="1" x14ac:dyDescent="0.2">
      <c r="B24" t="s">
        <v>28</v>
      </c>
      <c r="C24" t="s">
        <v>89</v>
      </c>
      <c r="E24" s="9"/>
      <c r="F24" t="s">
        <v>95</v>
      </c>
      <c r="G24" s="10">
        <v>0.05</v>
      </c>
      <c r="I24" s="9">
        <f t="shared" ref="I24:I32" si="1">+SUMIF($N$3:$ZS$3,I$3,$N24:$ZS24)</f>
        <v>5.5</v>
      </c>
      <c r="J24" s="11" cm="1">
        <f t="array" ref="J24">MAX(IF($N$3:$EH$3=$J$3,N24:EH24))</f>
        <v>0.8</v>
      </c>
      <c r="K24" s="11" cm="1">
        <f t="array" ref="K24">MAX(IF($N$3:$EH$3=$J$3,N24:EH24))</f>
        <v>0.8</v>
      </c>
      <c r="L24" s="9"/>
      <c r="O24" s="10"/>
      <c r="P24" s="10"/>
      <c r="Q24" s="10"/>
      <c r="R24" s="10"/>
      <c r="U24">
        <v>2.5</v>
      </c>
      <c r="V24" s="10">
        <v>0.5</v>
      </c>
      <c r="W24" s="10">
        <v>0.5</v>
      </c>
      <c r="X24" s="10">
        <v>0.5</v>
      </c>
      <c r="Y24" s="10">
        <v>0.5</v>
      </c>
      <c r="AC24" s="10">
        <v>0.5</v>
      </c>
      <c r="AD24" s="10">
        <v>0.5</v>
      </c>
      <c r="AE24" s="10">
        <v>0.5</v>
      </c>
      <c r="AF24" s="10">
        <v>0.5</v>
      </c>
      <c r="AJ24" s="10">
        <v>0.5</v>
      </c>
      <c r="AK24" s="10">
        <v>0.5</v>
      </c>
      <c r="AL24" s="10">
        <v>0.5</v>
      </c>
      <c r="AM24" s="10">
        <v>0.5</v>
      </c>
      <c r="AP24">
        <v>3</v>
      </c>
      <c r="AQ24" s="10">
        <v>0.8</v>
      </c>
      <c r="AR24" s="10">
        <v>0.8</v>
      </c>
      <c r="AS24" s="10">
        <v>0.8</v>
      </c>
      <c r="AT24" s="10">
        <v>0.8</v>
      </c>
      <c r="AX24" s="10">
        <v>0.8</v>
      </c>
      <c r="AY24" s="10">
        <v>0.8</v>
      </c>
      <c r="AZ24" s="10">
        <v>0.8</v>
      </c>
      <c r="BA24" s="10">
        <v>0.8</v>
      </c>
      <c r="BE24" s="10">
        <v>0.8</v>
      </c>
      <c r="BF24" s="10">
        <v>0.8</v>
      </c>
      <c r="BG24" s="10">
        <v>0.8</v>
      </c>
      <c r="BH24" s="10">
        <v>0.8</v>
      </c>
      <c r="BL24" s="10">
        <v>0.8</v>
      </c>
      <c r="BM24" s="10">
        <v>0.8</v>
      </c>
      <c r="BN24" s="10">
        <v>0.8</v>
      </c>
      <c r="BO24" s="10">
        <v>0.8</v>
      </c>
      <c r="BS24" s="10"/>
      <c r="BT24" s="10">
        <v>1</v>
      </c>
      <c r="BU24" s="10"/>
      <c r="BV24" s="10">
        <v>1</v>
      </c>
      <c r="BZ24" s="10"/>
      <c r="CA24" s="10">
        <v>1</v>
      </c>
      <c r="CB24" s="10"/>
      <c r="CC24" s="10">
        <v>1</v>
      </c>
      <c r="CG24" s="10"/>
      <c r="CH24" s="10">
        <v>1</v>
      </c>
      <c r="CI24" s="10"/>
      <c r="CJ24" s="10">
        <v>1</v>
      </c>
      <c r="CN24" s="10"/>
      <c r="CO24" s="10">
        <v>1</v>
      </c>
      <c r="CP24" s="10"/>
      <c r="CQ24" s="10">
        <v>1</v>
      </c>
      <c r="CU24" s="10"/>
      <c r="CV24" s="10">
        <v>1</v>
      </c>
      <c r="CW24" s="10"/>
      <c r="CX24" s="10">
        <v>1</v>
      </c>
      <c r="DB24" s="10"/>
      <c r="DC24" s="10"/>
      <c r="DD24" s="10"/>
      <c r="DE24" s="10"/>
      <c r="DI24" s="10"/>
      <c r="DJ24" s="10"/>
      <c r="DK24" s="10"/>
      <c r="DL24" s="10"/>
      <c r="DP24" s="10"/>
      <c r="DQ24" s="10"/>
      <c r="DR24" s="10"/>
      <c r="DS24" s="10"/>
      <c r="DW24" s="10"/>
      <c r="DX24" s="10"/>
      <c r="DY24" s="10"/>
      <c r="DZ24" s="10"/>
      <c r="ED24" s="10"/>
      <c r="EE24" s="10"/>
      <c r="EF24" s="10"/>
      <c r="EG24" s="10"/>
      <c r="EK24" s="10"/>
      <c r="EL24" s="10"/>
      <c r="EM24" s="10"/>
      <c r="EN24" s="10"/>
    </row>
    <row r="25" spans="2:144" outlineLevel="1" x14ac:dyDescent="0.2">
      <c r="B25" t="s">
        <v>28</v>
      </c>
      <c r="C25" t="s">
        <v>89</v>
      </c>
      <c r="E25" s="9"/>
      <c r="F25" t="s">
        <v>96</v>
      </c>
      <c r="G25" s="10">
        <v>0.05</v>
      </c>
      <c r="I25" s="9">
        <f t="shared" si="1"/>
        <v>2.5</v>
      </c>
      <c r="J25" s="11" cm="1">
        <f t="array" ref="J25">MAX(IF($N$3:$EH$3=$J$3,N25:EH25))</f>
        <v>0.8</v>
      </c>
      <c r="K25" s="11" cm="1">
        <f t="array" ref="K25">MAX(IF($N$3:$EH$3=$J$3,N25:EH25))</f>
        <v>0.8</v>
      </c>
      <c r="L25" s="9"/>
      <c r="O25" s="10"/>
      <c r="P25" s="10"/>
      <c r="Q25" s="10"/>
      <c r="R25" s="10"/>
      <c r="U25">
        <v>1</v>
      </c>
      <c r="V25" s="10">
        <v>0.5</v>
      </c>
      <c r="W25" s="10">
        <v>0.5</v>
      </c>
      <c r="X25" s="10">
        <v>0.5</v>
      </c>
      <c r="Y25" s="10">
        <v>0.5</v>
      </c>
      <c r="AC25" s="10">
        <v>0.5</v>
      </c>
      <c r="AD25" s="10">
        <v>0.5</v>
      </c>
      <c r="AE25" s="10">
        <v>0.5</v>
      </c>
      <c r="AF25" s="10">
        <v>0.5</v>
      </c>
      <c r="AJ25" s="10">
        <v>0.5</v>
      </c>
      <c r="AK25" s="10">
        <v>0.5</v>
      </c>
      <c r="AL25" s="10">
        <v>0.5</v>
      </c>
      <c r="AM25" s="10">
        <v>0.5</v>
      </c>
      <c r="AQ25" s="10"/>
      <c r="AR25" s="10">
        <v>0.8</v>
      </c>
      <c r="AS25" s="10"/>
      <c r="AT25" s="10">
        <v>0.8</v>
      </c>
      <c r="AW25">
        <v>1.5</v>
      </c>
      <c r="AX25" s="10">
        <v>0.8</v>
      </c>
      <c r="AY25" s="10">
        <v>0.8</v>
      </c>
      <c r="AZ25" s="10">
        <v>0.8</v>
      </c>
      <c r="BA25" s="10">
        <v>0.8</v>
      </c>
      <c r="BE25" s="10">
        <v>0.8</v>
      </c>
      <c r="BF25" s="10">
        <v>0.8</v>
      </c>
      <c r="BG25" s="10">
        <v>0.8</v>
      </c>
      <c r="BH25" s="10">
        <v>0.8</v>
      </c>
      <c r="BL25" s="10">
        <v>0.8</v>
      </c>
      <c r="BM25" s="10">
        <v>0.8</v>
      </c>
      <c r="BN25" s="10">
        <v>0.8</v>
      </c>
      <c r="BO25" s="10">
        <v>0.8</v>
      </c>
      <c r="BS25" s="10"/>
      <c r="BT25" s="10">
        <v>1</v>
      </c>
      <c r="BU25" s="10"/>
      <c r="BV25" s="10">
        <v>1</v>
      </c>
      <c r="BZ25" s="10"/>
      <c r="CA25" s="10">
        <v>1</v>
      </c>
      <c r="CB25" s="10"/>
      <c r="CC25" s="10">
        <v>1</v>
      </c>
      <c r="CG25" s="10"/>
      <c r="CH25" s="10">
        <v>1</v>
      </c>
      <c r="CI25" s="10"/>
      <c r="CJ25" s="10">
        <v>1</v>
      </c>
      <c r="CN25" s="10"/>
      <c r="CO25" s="10">
        <v>1</v>
      </c>
      <c r="CP25" s="10"/>
      <c r="CQ25" s="10">
        <v>1</v>
      </c>
      <c r="CU25" s="10"/>
      <c r="CV25" s="10">
        <v>1</v>
      </c>
      <c r="CW25" s="10"/>
      <c r="CX25" s="10">
        <v>1</v>
      </c>
      <c r="DB25" s="10"/>
      <c r="DC25" s="10"/>
      <c r="DD25" s="10"/>
      <c r="DE25" s="10"/>
      <c r="DI25" s="10"/>
      <c r="DJ25" s="10"/>
      <c r="DK25" s="10"/>
      <c r="DL25" s="10"/>
      <c r="DP25" s="10"/>
      <c r="DQ25" s="10"/>
      <c r="DR25" s="10"/>
      <c r="DS25" s="10"/>
      <c r="DW25" s="10"/>
      <c r="DX25" s="10"/>
      <c r="DY25" s="10"/>
      <c r="DZ25" s="10"/>
      <c r="ED25" s="10"/>
      <c r="EE25" s="10"/>
      <c r="EF25" s="10"/>
      <c r="EG25" s="10"/>
      <c r="EK25" s="10"/>
      <c r="EL25" s="10"/>
      <c r="EM25" s="10"/>
      <c r="EN25" s="10"/>
    </row>
    <row r="26" spans="2:144" outlineLevel="1" x14ac:dyDescent="0.2">
      <c r="B26" t="s">
        <v>28</v>
      </c>
      <c r="C26" t="s">
        <v>89</v>
      </c>
      <c r="E26" s="9"/>
      <c r="F26" t="s">
        <v>97</v>
      </c>
      <c r="G26" s="10">
        <v>0.1</v>
      </c>
      <c r="I26" s="9">
        <f t="shared" si="1"/>
        <v>7</v>
      </c>
      <c r="J26" s="11" cm="1">
        <f t="array" ref="J26">MAX(IF($N$3:$EH$3=$J$3,N26:EH26))</f>
        <v>0.8</v>
      </c>
      <c r="K26" s="11" cm="1">
        <f t="array" ref="K26">MAX(IF($N$3:$EH$3=$J$3,N26:EH26))</f>
        <v>0.8</v>
      </c>
      <c r="L26" s="9"/>
      <c r="P26" s="10"/>
      <c r="Q26" s="10"/>
      <c r="R26" s="10"/>
      <c r="V26" s="10"/>
      <c r="W26" s="10"/>
      <c r="X26" s="10"/>
      <c r="Y26" s="10"/>
      <c r="AB26">
        <v>3</v>
      </c>
      <c r="AC26" s="10">
        <v>0.5</v>
      </c>
      <c r="AD26" s="10">
        <v>0.5</v>
      </c>
      <c r="AE26" s="10">
        <v>0.5</v>
      </c>
      <c r="AF26" s="10">
        <v>0.5</v>
      </c>
      <c r="AJ26" s="10">
        <v>0.5</v>
      </c>
      <c r="AK26" s="10">
        <v>0.5</v>
      </c>
      <c r="AL26" s="10">
        <v>0.5</v>
      </c>
      <c r="AM26" s="10">
        <v>0.5</v>
      </c>
      <c r="AQ26" s="10">
        <v>0.5</v>
      </c>
      <c r="AR26" s="10">
        <v>0.5</v>
      </c>
      <c r="AS26" s="10">
        <v>0.5</v>
      </c>
      <c r="AT26" s="10">
        <v>0.5</v>
      </c>
      <c r="AW26">
        <v>3</v>
      </c>
      <c r="AX26" s="10">
        <v>0.8</v>
      </c>
      <c r="AY26" s="10">
        <v>0.8</v>
      </c>
      <c r="AZ26" s="10">
        <v>0.8</v>
      </c>
      <c r="BA26" s="10">
        <v>0.8</v>
      </c>
      <c r="BD26">
        <v>1</v>
      </c>
      <c r="BE26" s="10">
        <v>0.8</v>
      </c>
      <c r="BF26" s="10">
        <v>0.8</v>
      </c>
      <c r="BG26" s="10">
        <v>0.8</v>
      </c>
      <c r="BH26" s="10">
        <v>0.8</v>
      </c>
      <c r="BL26" s="10">
        <v>0.8</v>
      </c>
      <c r="BM26" s="10">
        <v>0.8</v>
      </c>
      <c r="BN26" s="10">
        <v>0.8</v>
      </c>
      <c r="BO26" s="10">
        <v>0.8</v>
      </c>
      <c r="BS26" s="10"/>
      <c r="BT26" s="10">
        <v>0.8</v>
      </c>
      <c r="BU26" s="10"/>
      <c r="BV26" s="10">
        <v>0.8</v>
      </c>
      <c r="BZ26" s="10"/>
      <c r="CA26" s="10">
        <v>1</v>
      </c>
      <c r="CB26" s="10"/>
      <c r="CC26" s="10">
        <v>1</v>
      </c>
      <c r="CG26" s="10"/>
      <c r="CH26" s="10">
        <v>1</v>
      </c>
      <c r="CI26" s="10"/>
      <c r="CJ26" s="10">
        <v>1</v>
      </c>
      <c r="CN26" s="10"/>
      <c r="CO26" s="10">
        <v>1</v>
      </c>
      <c r="CP26" s="10"/>
      <c r="CQ26" s="10">
        <v>1</v>
      </c>
      <c r="CU26" s="10"/>
      <c r="CV26" s="10">
        <v>1</v>
      </c>
      <c r="CW26" s="10"/>
      <c r="CX26" s="10">
        <v>1</v>
      </c>
      <c r="DB26" s="10"/>
      <c r="DC26" s="10"/>
      <c r="DD26" s="10"/>
      <c r="DE26" s="10"/>
      <c r="DI26" s="10"/>
      <c r="DJ26" s="10"/>
      <c r="DK26" s="10"/>
      <c r="DL26" s="10"/>
      <c r="DP26" s="10"/>
      <c r="DQ26" s="10"/>
      <c r="DR26" s="10"/>
      <c r="DS26" s="10"/>
      <c r="DW26" s="10"/>
      <c r="DX26" s="10"/>
      <c r="DY26" s="10"/>
      <c r="DZ26" s="10"/>
      <c r="ED26" s="10"/>
      <c r="EE26" s="10"/>
      <c r="EF26" s="10"/>
      <c r="EG26" s="10"/>
      <c r="EK26" s="10"/>
      <c r="EL26" s="10"/>
      <c r="EM26" s="10"/>
      <c r="EN26" s="10"/>
    </row>
    <row r="27" spans="2:144" outlineLevel="1" x14ac:dyDescent="0.2">
      <c r="B27" t="s">
        <v>28</v>
      </c>
      <c r="C27" t="s">
        <v>89</v>
      </c>
      <c r="E27" s="9"/>
      <c r="F27" t="s">
        <v>98</v>
      </c>
      <c r="G27" s="10">
        <v>0.05</v>
      </c>
      <c r="I27" s="9">
        <f t="shared" si="1"/>
        <v>3.45</v>
      </c>
      <c r="J27" s="11" cm="1">
        <f t="array" ref="J27">MAX(IF($N$3:$EH$3=$J$3,N27:EH27))</f>
        <v>0.8</v>
      </c>
      <c r="K27" s="11" cm="1">
        <f t="array" ref="K27">MAX(IF($N$3:$EH$3=$J$3,N27:EH27))</f>
        <v>0.8</v>
      </c>
      <c r="L27" s="9"/>
      <c r="O27" s="10"/>
      <c r="P27" s="10"/>
      <c r="Q27" s="10"/>
      <c r="R27" s="10"/>
      <c r="V27" s="10"/>
      <c r="W27" s="10"/>
      <c r="X27" s="10"/>
      <c r="Y27" s="10"/>
      <c r="AB27">
        <v>1.5</v>
      </c>
      <c r="AC27" s="10">
        <v>0.5</v>
      </c>
      <c r="AD27" s="10">
        <v>0.5</v>
      </c>
      <c r="AE27" s="10">
        <v>0.5</v>
      </c>
      <c r="AF27" s="10">
        <v>0.5</v>
      </c>
      <c r="AJ27" s="10">
        <v>0.5</v>
      </c>
      <c r="AK27" s="10">
        <v>0.5</v>
      </c>
      <c r="AL27" s="10">
        <v>0.5</v>
      </c>
      <c r="AM27" s="10">
        <v>0.5</v>
      </c>
      <c r="AQ27" s="10">
        <v>0.5</v>
      </c>
      <c r="AR27" s="10">
        <v>0.5</v>
      </c>
      <c r="AS27" s="10">
        <v>0.5</v>
      </c>
      <c r="AT27" s="10">
        <v>0.5</v>
      </c>
      <c r="AW27">
        <v>0.45</v>
      </c>
      <c r="AX27" s="10"/>
      <c r="AY27" s="10">
        <v>0.8</v>
      </c>
      <c r="AZ27" s="10"/>
      <c r="BA27" s="10">
        <v>0.8</v>
      </c>
      <c r="BD27">
        <v>1.5</v>
      </c>
      <c r="BE27" s="10">
        <v>0.8</v>
      </c>
      <c r="BF27" s="10">
        <v>0.8</v>
      </c>
      <c r="BG27" s="10">
        <v>0.8</v>
      </c>
      <c r="BH27" s="10">
        <v>0.8</v>
      </c>
      <c r="BL27" s="10">
        <v>0.8</v>
      </c>
      <c r="BM27" s="10">
        <v>0.8</v>
      </c>
      <c r="BN27" s="10">
        <v>0.8</v>
      </c>
      <c r="BO27" s="10">
        <v>0.8</v>
      </c>
      <c r="BS27" s="10"/>
      <c r="BT27" s="10">
        <v>0.8</v>
      </c>
      <c r="BU27" s="10"/>
      <c r="BV27" s="10">
        <v>0.8</v>
      </c>
      <c r="BZ27" s="10"/>
      <c r="CA27" s="10">
        <v>1</v>
      </c>
      <c r="CB27" s="10"/>
      <c r="CC27" s="10">
        <v>1</v>
      </c>
      <c r="CG27" s="10"/>
      <c r="CH27" s="10">
        <v>1</v>
      </c>
      <c r="CI27" s="10"/>
      <c r="CJ27" s="10">
        <v>1</v>
      </c>
      <c r="CN27" s="10"/>
      <c r="CO27" s="10">
        <v>1</v>
      </c>
      <c r="CP27" s="10"/>
      <c r="CQ27" s="10">
        <v>1</v>
      </c>
      <c r="CU27" s="10"/>
      <c r="CV27" s="10">
        <v>1</v>
      </c>
      <c r="CW27" s="10"/>
      <c r="CX27" s="10">
        <v>1</v>
      </c>
      <c r="DB27" s="10"/>
      <c r="DC27" s="10"/>
      <c r="DD27" s="10"/>
      <c r="DE27" s="10"/>
      <c r="DI27" s="10"/>
      <c r="DJ27" s="10"/>
      <c r="DK27" s="10"/>
      <c r="DL27" s="10"/>
      <c r="DP27" s="10"/>
      <c r="DQ27" s="10"/>
      <c r="DR27" s="10"/>
      <c r="DS27" s="10"/>
      <c r="DW27" s="10"/>
      <c r="DX27" s="10"/>
      <c r="DY27" s="10"/>
      <c r="DZ27" s="10"/>
      <c r="ED27" s="10"/>
      <c r="EE27" s="10"/>
      <c r="EF27" s="10"/>
      <c r="EG27" s="10"/>
      <c r="EK27" s="10"/>
      <c r="EL27" s="10"/>
      <c r="EM27" s="10"/>
      <c r="EN27" s="10"/>
    </row>
    <row r="28" spans="2:144" outlineLevel="1" x14ac:dyDescent="0.2">
      <c r="B28" t="s">
        <v>28</v>
      </c>
      <c r="C28" t="s">
        <v>89</v>
      </c>
      <c r="E28" s="9"/>
      <c r="F28" t="s">
        <v>99</v>
      </c>
      <c r="G28" s="10">
        <v>0.05</v>
      </c>
      <c r="I28" s="9">
        <f t="shared" si="1"/>
        <v>2</v>
      </c>
      <c r="J28" s="11" cm="1">
        <f t="array" ref="J28">MAX(IF($N$3:$EH$3=$J$3,N28:EH28))</f>
        <v>0.8</v>
      </c>
      <c r="K28" s="11" cm="1">
        <f t="array" ref="K28">MAX(IF($N$3:$EH$3=$J$3,N28:EH28))</f>
        <v>0.8</v>
      </c>
      <c r="L28" s="9"/>
      <c r="O28" s="10"/>
      <c r="P28" s="10"/>
      <c r="Q28" s="10"/>
      <c r="R28" s="10"/>
      <c r="V28" s="10"/>
      <c r="W28" s="10"/>
      <c r="X28" s="10"/>
      <c r="Y28" s="10"/>
      <c r="AB28">
        <v>1.5</v>
      </c>
      <c r="AC28" s="10">
        <v>0.5</v>
      </c>
      <c r="AD28" s="10">
        <v>0.5</v>
      </c>
      <c r="AE28" s="10">
        <v>0.5</v>
      </c>
      <c r="AF28" s="10">
        <v>0.5</v>
      </c>
      <c r="AJ28" s="10">
        <v>0.5</v>
      </c>
      <c r="AK28" s="10">
        <v>0.5</v>
      </c>
      <c r="AL28" s="10">
        <v>0.5</v>
      </c>
      <c r="AM28" s="10">
        <v>0.5</v>
      </c>
      <c r="AQ28" s="10">
        <v>0.5</v>
      </c>
      <c r="AR28" s="10">
        <v>0.5</v>
      </c>
      <c r="AS28" s="10">
        <v>0.5</v>
      </c>
      <c r="AT28" s="10">
        <v>0.5</v>
      </c>
      <c r="AX28" s="10">
        <v>0.5</v>
      </c>
      <c r="AY28" s="10">
        <v>0.5</v>
      </c>
      <c r="AZ28" s="10">
        <v>0.5</v>
      </c>
      <c r="BA28" s="10">
        <v>0.5</v>
      </c>
      <c r="BD28">
        <v>0.5</v>
      </c>
      <c r="BE28" s="10">
        <v>0.8</v>
      </c>
      <c r="BF28" s="10">
        <v>0.8</v>
      </c>
      <c r="BG28" s="10">
        <v>0.8</v>
      </c>
      <c r="BH28" s="10">
        <v>0.8</v>
      </c>
      <c r="BL28" s="10">
        <v>0.8</v>
      </c>
      <c r="BM28" s="10">
        <v>0.8</v>
      </c>
      <c r="BN28" s="10">
        <v>0.8</v>
      </c>
      <c r="BO28" s="10">
        <v>0.8</v>
      </c>
      <c r="BS28" s="10"/>
      <c r="BT28" s="10">
        <v>0.8</v>
      </c>
      <c r="BU28" s="10"/>
      <c r="BV28" s="10">
        <v>0.8</v>
      </c>
      <c r="BZ28" s="10"/>
      <c r="CA28" s="10">
        <v>0.8</v>
      </c>
      <c r="CB28" s="10"/>
      <c r="CC28" s="10">
        <v>0.8</v>
      </c>
      <c r="CG28" s="10"/>
      <c r="CH28" s="10">
        <v>1</v>
      </c>
      <c r="CI28" s="10"/>
      <c r="CJ28" s="10">
        <v>1</v>
      </c>
      <c r="CN28" s="10"/>
      <c r="CO28" s="10">
        <v>1</v>
      </c>
      <c r="CP28" s="10"/>
      <c r="CQ28" s="10">
        <v>1</v>
      </c>
      <c r="CU28" s="10"/>
      <c r="CV28" s="10">
        <v>1</v>
      </c>
      <c r="CW28" s="10"/>
      <c r="CX28" s="10">
        <v>1</v>
      </c>
      <c r="DB28" s="10"/>
      <c r="DC28" s="10"/>
      <c r="DD28" s="10"/>
      <c r="DE28" s="10"/>
      <c r="DI28" s="10"/>
      <c r="DJ28" s="10"/>
      <c r="DK28" s="10"/>
      <c r="DL28" s="10"/>
      <c r="DP28" s="10"/>
      <c r="DQ28" s="10"/>
      <c r="DR28" s="10"/>
      <c r="DS28" s="10"/>
      <c r="DW28" s="10"/>
      <c r="DX28" s="10"/>
      <c r="DY28" s="10"/>
      <c r="DZ28" s="10"/>
      <c r="ED28" s="10"/>
      <c r="EE28" s="10"/>
      <c r="EF28" s="10"/>
      <c r="EG28" s="10"/>
      <c r="EK28" s="10"/>
      <c r="EL28" s="10"/>
      <c r="EM28" s="10"/>
      <c r="EN28" s="10"/>
    </row>
    <row r="29" spans="2:144" outlineLevel="1" x14ac:dyDescent="0.2">
      <c r="B29" t="s">
        <v>28</v>
      </c>
      <c r="C29" t="s">
        <v>89</v>
      </c>
      <c r="E29" s="9"/>
      <c r="F29" t="s">
        <v>100</v>
      </c>
      <c r="G29" s="10">
        <v>0.1</v>
      </c>
      <c r="I29" s="9">
        <f t="shared" si="1"/>
        <v>1.5</v>
      </c>
      <c r="J29" s="11" cm="1">
        <f t="array" ref="J29">MAX(IF($N$3:$EH$3=$J$3,N29:EH29))</f>
        <v>0.5</v>
      </c>
      <c r="K29" s="11" cm="1">
        <f t="array" ref="K29">MAX(IF($N$3:$EH$3=$J$3,N29:EH29))</f>
        <v>0.5</v>
      </c>
      <c r="L29" s="9"/>
      <c r="O29" s="10"/>
      <c r="P29" s="10"/>
      <c r="Q29" s="10"/>
      <c r="R29" s="10"/>
      <c r="V29" s="10"/>
      <c r="W29" s="10"/>
      <c r="X29" s="10"/>
      <c r="Y29" s="10"/>
      <c r="AC29" s="10"/>
      <c r="AD29" s="10"/>
      <c r="AE29" s="10"/>
      <c r="AF29" s="10"/>
      <c r="AI29">
        <v>1.5</v>
      </c>
      <c r="AJ29" s="10">
        <v>0.5</v>
      </c>
      <c r="AK29" s="10">
        <v>0.5</v>
      </c>
      <c r="AL29" s="10">
        <v>0.5</v>
      </c>
      <c r="AM29" s="10">
        <v>0.5</v>
      </c>
      <c r="AQ29" s="10">
        <v>0.5</v>
      </c>
      <c r="AR29" s="10">
        <v>0.5</v>
      </c>
      <c r="AS29" s="10">
        <v>0.5</v>
      </c>
      <c r="AT29" s="10">
        <v>0.5</v>
      </c>
      <c r="AX29" s="10">
        <v>0.5</v>
      </c>
      <c r="AY29" s="10">
        <v>0.5</v>
      </c>
      <c r="AZ29" s="10">
        <v>0.5</v>
      </c>
      <c r="BA29" s="10">
        <v>0.5</v>
      </c>
      <c r="BE29" s="10">
        <v>0.5</v>
      </c>
      <c r="BF29" s="10">
        <v>0.5</v>
      </c>
      <c r="BG29" s="10">
        <v>0.5</v>
      </c>
      <c r="BH29" s="10">
        <v>0.5</v>
      </c>
      <c r="BL29" s="10"/>
      <c r="BM29" s="10">
        <v>0.8</v>
      </c>
      <c r="BN29" s="10"/>
      <c r="BO29" s="10">
        <v>0.8</v>
      </c>
      <c r="BS29" s="10"/>
      <c r="BT29" s="10">
        <v>0.8</v>
      </c>
      <c r="BU29" s="10"/>
      <c r="BV29" s="10">
        <v>0.8</v>
      </c>
      <c r="BZ29" s="10"/>
      <c r="CA29" s="10">
        <v>0.8</v>
      </c>
      <c r="CB29" s="10"/>
      <c r="CC29" s="10">
        <v>0.8</v>
      </c>
      <c r="CG29" s="10"/>
      <c r="CH29" s="10">
        <v>1</v>
      </c>
      <c r="CI29" s="10"/>
      <c r="CJ29" s="10">
        <v>1</v>
      </c>
      <c r="CN29" s="10"/>
      <c r="CO29" s="10">
        <v>1</v>
      </c>
      <c r="CP29" s="10"/>
      <c r="CQ29" s="10">
        <v>1</v>
      </c>
      <c r="CU29" s="10"/>
      <c r="CV29" s="10">
        <v>1</v>
      </c>
      <c r="CW29" s="10"/>
      <c r="CX29" s="10">
        <v>1</v>
      </c>
      <c r="DB29" s="10"/>
      <c r="DC29" s="10"/>
      <c r="DD29" s="10"/>
      <c r="DE29" s="10"/>
      <c r="DI29" s="10"/>
      <c r="DJ29" s="10"/>
      <c r="DK29" s="10"/>
      <c r="DL29" s="10"/>
      <c r="DP29" s="10"/>
      <c r="DQ29" s="10"/>
      <c r="DR29" s="10"/>
      <c r="DS29" s="10"/>
      <c r="DW29" s="10"/>
      <c r="DX29" s="10"/>
      <c r="DY29" s="10"/>
      <c r="DZ29" s="10"/>
      <c r="ED29" s="10"/>
      <c r="EE29" s="10"/>
      <c r="EF29" s="10"/>
      <c r="EG29" s="10"/>
      <c r="EK29" s="10"/>
      <c r="EL29" s="10"/>
      <c r="EM29" s="10"/>
      <c r="EN29" s="10"/>
    </row>
    <row r="30" spans="2:144" outlineLevel="1" x14ac:dyDescent="0.2">
      <c r="B30" t="s">
        <v>28</v>
      </c>
      <c r="C30" t="s">
        <v>89</v>
      </c>
      <c r="E30" s="9"/>
      <c r="F30" t="s">
        <v>101</v>
      </c>
      <c r="G30" s="10">
        <v>0.05</v>
      </c>
      <c r="I30" s="9">
        <f t="shared" si="1"/>
        <v>1.5</v>
      </c>
      <c r="J30" s="11" cm="1">
        <f t="array" ref="J30">MAX(IF($N$3:$EH$3=$J$3,N30:EH30))</f>
        <v>0.5</v>
      </c>
      <c r="K30" s="11" cm="1">
        <f t="array" ref="K30">MAX(IF($N$3:$EH$3=$J$3,N30:EH30))</f>
        <v>0.5</v>
      </c>
      <c r="L30" s="9"/>
      <c r="O30" s="10"/>
      <c r="P30" s="10"/>
      <c r="Q30" s="10"/>
      <c r="R30" s="10"/>
      <c r="V30" s="10"/>
      <c r="W30" s="10"/>
      <c r="X30" s="10"/>
      <c r="Y30" s="10"/>
      <c r="AC30" s="10"/>
      <c r="AD30" s="10"/>
      <c r="AE30" s="10"/>
      <c r="AF30" s="10"/>
      <c r="AI30">
        <v>1.5</v>
      </c>
      <c r="AJ30" s="10">
        <v>0.5</v>
      </c>
      <c r="AK30" s="10">
        <v>0.5</v>
      </c>
      <c r="AL30" s="10">
        <v>0.5</v>
      </c>
      <c r="AM30" s="10">
        <v>0.5</v>
      </c>
      <c r="AQ30" s="10">
        <v>0.5</v>
      </c>
      <c r="AR30" s="10">
        <v>0.5</v>
      </c>
      <c r="AS30" s="10">
        <v>0.5</v>
      </c>
      <c r="AT30" s="10">
        <v>0.5</v>
      </c>
      <c r="AX30" s="10">
        <v>0.5</v>
      </c>
      <c r="AY30" s="10">
        <v>0.5</v>
      </c>
      <c r="AZ30" s="10">
        <v>0.5</v>
      </c>
      <c r="BA30" s="10">
        <v>0.5</v>
      </c>
      <c r="BE30" s="10">
        <v>0.5</v>
      </c>
      <c r="BF30" s="10">
        <v>0.5</v>
      </c>
      <c r="BG30" s="10">
        <v>0.5</v>
      </c>
      <c r="BH30" s="10">
        <v>0.5</v>
      </c>
      <c r="BL30" s="10">
        <v>0.5</v>
      </c>
      <c r="BM30" s="10">
        <v>0.5</v>
      </c>
      <c r="BN30" s="10">
        <v>0.5</v>
      </c>
      <c r="BO30" s="10">
        <v>0.5</v>
      </c>
      <c r="BS30" s="10"/>
      <c r="BT30" s="10">
        <v>0.8</v>
      </c>
      <c r="BU30" s="10"/>
      <c r="BV30" s="10">
        <v>0.8</v>
      </c>
      <c r="BZ30" s="10"/>
      <c r="CA30" s="10">
        <v>0.8</v>
      </c>
      <c r="CB30" s="10"/>
      <c r="CC30" s="10">
        <v>0.8</v>
      </c>
      <c r="CG30" s="10"/>
      <c r="CH30" s="10">
        <v>1</v>
      </c>
      <c r="CI30" s="10"/>
      <c r="CJ30" s="10">
        <v>1</v>
      </c>
      <c r="CN30" s="10"/>
      <c r="CO30" s="10">
        <v>1</v>
      </c>
      <c r="CP30" s="10"/>
      <c r="CQ30" s="10">
        <v>1</v>
      </c>
      <c r="CU30" s="10"/>
      <c r="CV30" s="10">
        <v>1</v>
      </c>
      <c r="CW30" s="10"/>
      <c r="CX30" s="10">
        <v>1</v>
      </c>
      <c r="DB30" s="10"/>
      <c r="DC30" s="10"/>
      <c r="DD30" s="10"/>
      <c r="DE30" s="10"/>
      <c r="DI30" s="10"/>
      <c r="DJ30" s="10"/>
      <c r="DK30" s="10"/>
      <c r="DL30" s="10"/>
      <c r="DP30" s="10"/>
      <c r="DQ30" s="10"/>
      <c r="DR30" s="10"/>
      <c r="DS30" s="10"/>
      <c r="DW30" s="10"/>
      <c r="DX30" s="10"/>
      <c r="DY30" s="10"/>
      <c r="DZ30" s="10"/>
      <c r="ED30" s="10"/>
      <c r="EE30" s="10"/>
      <c r="EF30" s="10"/>
      <c r="EG30" s="10"/>
      <c r="EK30" s="10"/>
      <c r="EL30" s="10"/>
      <c r="EM30" s="10"/>
      <c r="EN30" s="10"/>
    </row>
    <row r="31" spans="2:144" outlineLevel="1" x14ac:dyDescent="0.2">
      <c r="B31" t="s">
        <v>28</v>
      </c>
      <c r="C31" t="s">
        <v>89</v>
      </c>
      <c r="E31" s="9"/>
      <c r="F31" t="s">
        <v>102</v>
      </c>
      <c r="G31" s="10">
        <v>0.1</v>
      </c>
      <c r="I31" s="9">
        <f t="shared" si="1"/>
        <v>1.5</v>
      </c>
      <c r="J31" s="11" cm="1">
        <f t="array" ref="J31">MAX(IF($N$3:$EH$3=$J$3,N31:EH31))</f>
        <v>0.5</v>
      </c>
      <c r="K31" s="11" cm="1">
        <f t="array" ref="K31">MAX(IF($N$3:$EH$3=$J$3,N31:EH31))</f>
        <v>0.5</v>
      </c>
      <c r="L31" s="9"/>
      <c r="O31" s="10"/>
      <c r="P31" s="10"/>
      <c r="Q31" s="10"/>
      <c r="R31" s="10"/>
      <c r="V31" s="10"/>
      <c r="W31" s="10"/>
      <c r="X31" s="10"/>
      <c r="Y31" s="10"/>
      <c r="AC31" s="10"/>
      <c r="AD31" s="10"/>
      <c r="AE31" s="10"/>
      <c r="AF31" s="10"/>
      <c r="AJ31" s="10"/>
      <c r="AK31" s="10"/>
      <c r="AL31" s="10"/>
      <c r="AM31" s="10"/>
      <c r="AQ31" s="10"/>
      <c r="AR31" s="10"/>
      <c r="AS31" s="10"/>
      <c r="AT31" s="10"/>
      <c r="AX31" s="10"/>
      <c r="AY31" s="10"/>
      <c r="AZ31" s="10"/>
      <c r="BA31" s="10"/>
      <c r="BD31">
        <v>1.5</v>
      </c>
      <c r="BE31" s="10">
        <v>0.5</v>
      </c>
      <c r="BF31" s="10">
        <v>0.5</v>
      </c>
      <c r="BG31" s="10">
        <v>0.5</v>
      </c>
      <c r="BH31" s="10">
        <v>0.5</v>
      </c>
      <c r="BL31" s="10">
        <v>0.5</v>
      </c>
      <c r="BM31" s="10">
        <v>0.5</v>
      </c>
      <c r="BN31" s="10">
        <v>0.5</v>
      </c>
      <c r="BO31" s="10">
        <v>0.5</v>
      </c>
      <c r="BS31" s="10"/>
      <c r="BT31" s="10">
        <v>0.8</v>
      </c>
      <c r="BU31" s="10"/>
      <c r="BV31" s="10">
        <v>0.8</v>
      </c>
      <c r="BZ31" s="10"/>
      <c r="CA31" s="10">
        <v>0.8</v>
      </c>
      <c r="CB31" s="10"/>
      <c r="CC31" s="10">
        <v>0.8</v>
      </c>
      <c r="CG31" s="10"/>
      <c r="CH31" s="10">
        <v>0.8</v>
      </c>
      <c r="CI31" s="10"/>
      <c r="CJ31" s="10">
        <v>0.8</v>
      </c>
      <c r="CN31" s="10"/>
      <c r="CO31" s="10">
        <v>1</v>
      </c>
      <c r="CP31" s="10"/>
      <c r="CQ31" s="10">
        <v>1</v>
      </c>
      <c r="CU31" s="10"/>
      <c r="CV31" s="10">
        <v>1</v>
      </c>
      <c r="CW31" s="10"/>
      <c r="CX31" s="10">
        <v>1</v>
      </c>
      <c r="DB31" s="10"/>
      <c r="DC31" s="10"/>
      <c r="DD31" s="10"/>
      <c r="DE31" s="10"/>
      <c r="DI31" s="10"/>
      <c r="DJ31" s="10"/>
      <c r="DK31" s="10"/>
      <c r="DL31" s="10"/>
      <c r="DP31" s="10"/>
      <c r="DQ31" s="10"/>
      <c r="DR31" s="10"/>
      <c r="DS31" s="10"/>
      <c r="DW31" s="10"/>
      <c r="DX31" s="10"/>
      <c r="DY31" s="10"/>
      <c r="DZ31" s="10"/>
      <c r="ED31" s="10"/>
      <c r="EE31" s="10"/>
      <c r="EF31" s="10"/>
      <c r="EG31" s="10"/>
      <c r="EK31" s="10"/>
      <c r="EL31" s="10"/>
      <c r="EM31" s="10"/>
      <c r="EN31" s="10"/>
    </row>
    <row r="32" spans="2:144" outlineLevel="1" x14ac:dyDescent="0.2">
      <c r="B32" t="s">
        <v>28</v>
      </c>
      <c r="C32" t="s">
        <v>89</v>
      </c>
      <c r="E32" s="9"/>
      <c r="F32" t="s">
        <v>103</v>
      </c>
      <c r="G32" s="10">
        <v>0.05</v>
      </c>
      <c r="I32" s="9">
        <f t="shared" si="1"/>
        <v>2.5</v>
      </c>
      <c r="J32" s="11" cm="1">
        <f t="array" ref="J32">MAX(IF($N$3:$EH$3=$J$3,N32:EH32))</f>
        <v>0.5</v>
      </c>
      <c r="K32" s="11" cm="1">
        <f t="array" ref="K32">MAX(IF($N$3:$EH$3=$J$3,N32:EH32))</f>
        <v>0.5</v>
      </c>
      <c r="L32" s="9"/>
      <c r="O32" s="10"/>
      <c r="P32" s="10"/>
      <c r="Q32" s="10"/>
      <c r="R32" s="10"/>
      <c r="V32" s="10"/>
      <c r="W32" s="10"/>
      <c r="X32" s="10"/>
      <c r="Y32" s="10"/>
      <c r="AC32" s="10"/>
      <c r="AD32" s="10"/>
      <c r="AE32" s="10"/>
      <c r="AF32" s="10"/>
      <c r="AJ32" s="10"/>
      <c r="AK32" s="10"/>
      <c r="AL32" s="10"/>
      <c r="AM32" s="10"/>
      <c r="AQ32" s="10"/>
      <c r="AR32" s="10"/>
      <c r="AS32" s="10"/>
      <c r="AT32" s="10"/>
      <c r="AX32" s="10"/>
      <c r="AY32" s="10"/>
      <c r="AZ32" s="10"/>
      <c r="BA32" s="10"/>
      <c r="BD32">
        <v>2.5</v>
      </c>
      <c r="BE32" s="10">
        <v>0.5</v>
      </c>
      <c r="BF32" s="10">
        <v>0.5</v>
      </c>
      <c r="BG32" s="10">
        <v>0.5</v>
      </c>
      <c r="BH32" s="10">
        <v>0.5</v>
      </c>
      <c r="BL32" s="10">
        <v>0.5</v>
      </c>
      <c r="BM32" s="10">
        <v>0.5</v>
      </c>
      <c r="BN32" s="10">
        <v>0.5</v>
      </c>
      <c r="BO32" s="10">
        <v>0.5</v>
      </c>
      <c r="BS32" s="10"/>
      <c r="BT32" s="10">
        <v>0.5</v>
      </c>
      <c r="BU32" s="10"/>
      <c r="BV32" s="10">
        <v>0.5</v>
      </c>
      <c r="BZ32" s="10"/>
      <c r="CA32" s="10">
        <v>0.8</v>
      </c>
      <c r="CB32" s="10"/>
      <c r="CC32" s="10">
        <v>0.8</v>
      </c>
      <c r="CG32" s="10"/>
      <c r="CH32" s="10">
        <v>0.8</v>
      </c>
      <c r="CI32" s="10"/>
      <c r="CJ32" s="10">
        <v>0.8</v>
      </c>
      <c r="CN32" s="10"/>
      <c r="CO32" s="10">
        <v>1</v>
      </c>
      <c r="CP32" s="10"/>
      <c r="CQ32" s="10">
        <v>1</v>
      </c>
      <c r="CU32" s="10"/>
      <c r="CV32" s="10">
        <v>1</v>
      </c>
      <c r="CW32" s="10"/>
      <c r="CX32" s="10">
        <v>1</v>
      </c>
      <c r="DB32" s="10"/>
      <c r="DC32" s="10"/>
      <c r="DD32" s="10"/>
      <c r="DE32" s="10"/>
      <c r="DI32" s="10"/>
      <c r="DJ32" s="10"/>
      <c r="DK32" s="10"/>
      <c r="DL32" s="10"/>
      <c r="DP32" s="10"/>
      <c r="DQ32" s="10"/>
      <c r="DR32" s="10"/>
      <c r="DS32" s="10"/>
      <c r="DW32" s="10"/>
      <c r="DX32" s="10"/>
      <c r="DY32" s="10"/>
      <c r="DZ32" s="10"/>
      <c r="ED32" s="10"/>
      <c r="EE32" s="10"/>
      <c r="EF32" s="10"/>
      <c r="EG32" s="10"/>
      <c r="EK32" s="10"/>
      <c r="EL32" s="10"/>
      <c r="EM32" s="10"/>
      <c r="EN32" s="10"/>
    </row>
    <row r="33" spans="2:144" outlineLevel="1" x14ac:dyDescent="0.2">
      <c r="B33" t="s">
        <v>28</v>
      </c>
      <c r="C33" t="s">
        <v>89</v>
      </c>
      <c r="E33" s="9"/>
      <c r="F33" t="s">
        <v>104</v>
      </c>
      <c r="G33" s="10">
        <v>0.05</v>
      </c>
      <c r="I33" s="9">
        <f>+SUMIF($N$3:$ZS$3,I$3,$N33:$ZS33)</f>
        <v>1.5</v>
      </c>
      <c r="J33" s="11" cm="1">
        <f t="array" ref="J33">MAX(IF($N$3:$EH$3=$J$3,N33:EH33))</f>
        <v>0.5</v>
      </c>
      <c r="K33" s="11" cm="1">
        <f t="array" ref="K33">MAX(IF($N$3:$EH$3=$J$3,N33:EH33))</f>
        <v>0.5</v>
      </c>
      <c r="L33" s="9"/>
      <c r="O33" s="10"/>
      <c r="P33" s="10"/>
      <c r="Q33" s="10"/>
      <c r="R33" s="10"/>
      <c r="V33" s="10"/>
      <c r="W33" s="10"/>
      <c r="X33" s="10"/>
      <c r="Y33" s="10"/>
      <c r="AC33" s="10"/>
      <c r="AD33" s="10"/>
      <c r="AE33" s="10"/>
      <c r="AF33" s="10"/>
      <c r="AJ33" s="10"/>
      <c r="AK33" s="10"/>
      <c r="AL33" s="10"/>
      <c r="AM33" s="10"/>
      <c r="AQ33" s="10"/>
      <c r="AR33" s="10"/>
      <c r="AS33" s="10"/>
      <c r="AT33" s="10"/>
      <c r="AX33" s="10"/>
      <c r="AY33" s="10"/>
      <c r="AZ33" s="10"/>
      <c r="BA33" s="10"/>
      <c r="BD33">
        <v>1.5</v>
      </c>
      <c r="BE33" s="10">
        <v>0.5</v>
      </c>
      <c r="BF33" s="10">
        <v>0.5</v>
      </c>
      <c r="BG33" s="10">
        <v>0.5</v>
      </c>
      <c r="BH33" s="10">
        <v>0.5</v>
      </c>
      <c r="BL33" s="10">
        <v>0.5</v>
      </c>
      <c r="BM33" s="10">
        <v>0.5</v>
      </c>
      <c r="BN33" s="10">
        <v>0.5</v>
      </c>
      <c r="BO33" s="10">
        <v>0.5</v>
      </c>
      <c r="BS33" s="10"/>
      <c r="BT33" s="10">
        <v>0.5</v>
      </c>
      <c r="BU33" s="10"/>
      <c r="BV33" s="10">
        <v>0.5</v>
      </c>
      <c r="BZ33" s="10"/>
      <c r="CA33" s="10">
        <v>0.8</v>
      </c>
      <c r="CB33" s="10"/>
      <c r="CC33" s="10">
        <v>0.8</v>
      </c>
      <c r="CG33" s="10"/>
      <c r="CH33" s="10">
        <v>0.8</v>
      </c>
      <c r="CI33" s="10"/>
      <c r="CJ33" s="10">
        <v>0.8</v>
      </c>
      <c r="CN33" s="10"/>
      <c r="CO33" s="10">
        <v>0.8</v>
      </c>
      <c r="CP33" s="10"/>
      <c r="CQ33" s="10">
        <v>0.8</v>
      </c>
      <c r="CU33" s="10"/>
      <c r="CV33" s="10">
        <v>1</v>
      </c>
      <c r="CW33" s="10"/>
      <c r="CX33" s="10">
        <v>1</v>
      </c>
      <c r="DB33" s="10"/>
      <c r="DC33" s="10"/>
      <c r="DD33" s="10"/>
      <c r="DE33" s="10"/>
      <c r="DI33" s="10"/>
      <c r="DJ33" s="10"/>
      <c r="DK33" s="10"/>
      <c r="DL33" s="10"/>
      <c r="DP33" s="10"/>
      <c r="DQ33" s="10"/>
      <c r="DR33" s="10"/>
      <c r="DS33" s="10"/>
      <c r="DW33" s="10"/>
      <c r="DX33" s="10"/>
      <c r="DY33" s="10"/>
      <c r="DZ33" s="10"/>
      <c r="ED33" s="10"/>
      <c r="EE33" s="10"/>
      <c r="EF33" s="10"/>
      <c r="EG33" s="10"/>
      <c r="EK33" s="10"/>
      <c r="EL33" s="10"/>
      <c r="EM33" s="10"/>
      <c r="EN33" s="10"/>
    </row>
    <row r="34" spans="2:144" outlineLevel="1" x14ac:dyDescent="0.2">
      <c r="B34" t="s">
        <v>28</v>
      </c>
      <c r="C34" t="s">
        <v>89</v>
      </c>
      <c r="E34" s="9"/>
      <c r="F34" t="s">
        <v>105</v>
      </c>
      <c r="G34" s="10">
        <v>0.05</v>
      </c>
      <c r="I34" s="9">
        <f>+SUMIF($N$3:$ZS$3,I$3,$N34:$ZS34)</f>
        <v>0</v>
      </c>
      <c r="J34" s="11" cm="1">
        <f t="array" ref="J34">MAX(IF($N$3:$EH$3=$J$3,N34:EH34))</f>
        <v>0</v>
      </c>
      <c r="K34" s="11" cm="1">
        <f t="array" ref="K34">MAX(IF($N$3:$EH$3=$J$3,N34:EH34))</f>
        <v>0</v>
      </c>
      <c r="L34" s="9"/>
      <c r="O34" s="10"/>
      <c r="P34" s="10"/>
      <c r="Q34" s="10"/>
      <c r="R34" s="10"/>
      <c r="V34" s="10"/>
      <c r="W34" s="10"/>
      <c r="X34" s="10"/>
      <c r="Y34" s="10"/>
      <c r="AC34" s="10"/>
      <c r="AD34" s="10"/>
      <c r="AE34" s="10"/>
      <c r="AF34" s="10"/>
      <c r="AJ34" s="10"/>
      <c r="AK34" s="10"/>
      <c r="AL34" s="10"/>
      <c r="AM34" s="10"/>
      <c r="AQ34" s="10"/>
      <c r="AR34" s="10"/>
      <c r="AS34" s="10"/>
      <c r="AT34" s="10"/>
      <c r="AX34" s="10"/>
      <c r="AY34" s="10"/>
      <c r="AZ34" s="10"/>
      <c r="BA34" s="10"/>
      <c r="BE34" s="10"/>
      <c r="BF34" s="10"/>
      <c r="BG34" s="10"/>
      <c r="BH34" s="10"/>
      <c r="BL34" s="10"/>
      <c r="BM34" s="10">
        <v>0.5</v>
      </c>
      <c r="BN34" s="10"/>
      <c r="BO34" s="10">
        <v>0.5</v>
      </c>
      <c r="BS34" s="10"/>
      <c r="BT34" s="10">
        <v>0.5</v>
      </c>
      <c r="BU34" s="10"/>
      <c r="BV34" s="10">
        <v>0.5</v>
      </c>
      <c r="BZ34" s="10"/>
      <c r="CA34" s="10">
        <v>0.5</v>
      </c>
      <c r="CB34" s="10"/>
      <c r="CC34" s="10">
        <v>0.5</v>
      </c>
      <c r="CG34" s="10"/>
      <c r="CH34" s="10">
        <v>0.8</v>
      </c>
      <c r="CI34" s="10"/>
      <c r="CJ34" s="10">
        <v>0.8</v>
      </c>
      <c r="CN34" s="10"/>
      <c r="CO34" s="10">
        <v>0.8</v>
      </c>
      <c r="CP34" s="10"/>
      <c r="CQ34" s="10">
        <v>0.8</v>
      </c>
      <c r="CU34" s="10"/>
      <c r="CV34" s="10">
        <v>1</v>
      </c>
      <c r="CW34" s="10"/>
      <c r="CX34" s="10">
        <v>1</v>
      </c>
      <c r="DB34" s="10"/>
      <c r="DC34" s="10"/>
      <c r="DD34" s="10"/>
      <c r="DE34" s="10"/>
      <c r="DI34" s="10"/>
      <c r="DJ34" s="10"/>
      <c r="DK34" s="10"/>
      <c r="DL34" s="10"/>
      <c r="DP34" s="10"/>
      <c r="DQ34" s="10"/>
      <c r="DR34" s="10"/>
      <c r="DS34" s="10"/>
      <c r="DW34" s="10"/>
      <c r="DX34" s="10"/>
      <c r="DY34" s="10"/>
      <c r="DZ34" s="10"/>
      <c r="ED34" s="10"/>
      <c r="EE34" s="10"/>
      <c r="EF34" s="10"/>
      <c r="EG34" s="10"/>
      <c r="EK34" s="10"/>
      <c r="EL34" s="10"/>
      <c r="EM34" s="10"/>
      <c r="EN34" s="10"/>
    </row>
    <row r="36" spans="2:144" x14ac:dyDescent="0.2">
      <c r="B36" t="s">
        <v>27</v>
      </c>
      <c r="C36" t="s">
        <v>106</v>
      </c>
      <c r="D36" s="19">
        <v>45713</v>
      </c>
      <c r="E36" s="9">
        <v>10</v>
      </c>
      <c r="F36" t="s">
        <v>163</v>
      </c>
      <c r="G36" s="10">
        <f>+SUM(G37:G49)</f>
        <v>1</v>
      </c>
      <c r="I36" s="12">
        <f>+SUM(I37:I49)</f>
        <v>66.25</v>
      </c>
      <c r="J36" s="11">
        <f>+SUMPRODUCT(G37:G49,J37:J49)</f>
        <v>0.75000000000000022</v>
      </c>
      <c r="K36" s="11">
        <f>+SUMPRODUCT(G37:G49,K37:K49)</f>
        <v>0.75000000000000022</v>
      </c>
      <c r="L36" s="9"/>
      <c r="N36" s="12"/>
      <c r="U36" s="12"/>
      <c r="AB36" s="12"/>
      <c r="AI36" s="12"/>
      <c r="AP36" s="12"/>
    </row>
    <row r="37" spans="2:144" outlineLevel="1" x14ac:dyDescent="0.2">
      <c r="B37" t="s">
        <v>28</v>
      </c>
      <c r="C37" t="s">
        <v>106</v>
      </c>
      <c r="E37" s="9"/>
      <c r="F37" t="s">
        <v>119</v>
      </c>
      <c r="G37" s="10">
        <v>0.1</v>
      </c>
      <c r="I37" s="9">
        <f t="shared" ref="I37:I48" si="2">+SUMIF($N$3:$ZS$3,I$3,$N37:$ZS37)</f>
        <v>10.5</v>
      </c>
      <c r="J37" s="11" cm="1">
        <f t="array" ref="J37">MAX(IF($N$3:$EH$3=$J$3,N37:EH37))</f>
        <v>1</v>
      </c>
      <c r="K37" s="11" cm="1">
        <f t="array" ref="K37">MAX(IF($N$3:$EH$3=$J$3,N37:EH37))</f>
        <v>1</v>
      </c>
      <c r="L37" s="9"/>
      <c r="N37">
        <v>6.5</v>
      </c>
      <c r="O37" s="10">
        <v>0.8</v>
      </c>
      <c r="P37" s="10">
        <v>0.5</v>
      </c>
      <c r="Q37" s="10">
        <v>0.8</v>
      </c>
      <c r="R37" s="10">
        <v>0.5</v>
      </c>
      <c r="U37">
        <v>1</v>
      </c>
      <c r="V37" s="10">
        <v>0.8</v>
      </c>
      <c r="W37" s="10">
        <v>0.8</v>
      </c>
      <c r="X37" s="10">
        <v>0.8</v>
      </c>
      <c r="Y37" s="10">
        <v>0.8</v>
      </c>
      <c r="AC37" s="10">
        <v>0.8</v>
      </c>
      <c r="AD37" s="10">
        <v>0.8</v>
      </c>
      <c r="AE37" s="10">
        <v>0.8</v>
      </c>
      <c r="AF37" s="10">
        <v>0.8</v>
      </c>
      <c r="AJ37" s="10">
        <v>0.8</v>
      </c>
      <c r="AK37" s="10">
        <v>0.8</v>
      </c>
      <c r="AL37" s="10">
        <v>0.8</v>
      </c>
      <c r="AM37" s="10">
        <v>0.8</v>
      </c>
      <c r="AP37">
        <v>3</v>
      </c>
      <c r="AQ37" s="10">
        <v>1</v>
      </c>
      <c r="AR37" s="10">
        <v>1</v>
      </c>
      <c r="AS37" s="10">
        <v>1</v>
      </c>
      <c r="AT37" s="10">
        <v>1</v>
      </c>
      <c r="AX37" s="10">
        <v>1</v>
      </c>
      <c r="AY37" s="10">
        <v>1</v>
      </c>
      <c r="AZ37" s="10">
        <v>1</v>
      </c>
      <c r="BA37" s="10">
        <v>1</v>
      </c>
      <c r="BE37" s="10">
        <v>1</v>
      </c>
      <c r="BF37" s="10">
        <v>1</v>
      </c>
      <c r="BG37" s="10">
        <v>1</v>
      </c>
      <c r="BH37" s="10">
        <v>1</v>
      </c>
      <c r="BL37" s="10">
        <v>1</v>
      </c>
      <c r="BM37" s="10">
        <v>1</v>
      </c>
      <c r="BN37" s="10">
        <v>1</v>
      </c>
      <c r="BO37" s="10">
        <v>1</v>
      </c>
      <c r="BS37" s="10"/>
      <c r="BT37" s="10">
        <v>1</v>
      </c>
      <c r="BU37" s="10"/>
      <c r="BV37" s="10">
        <v>1</v>
      </c>
      <c r="BZ37" s="10"/>
      <c r="CA37" s="10">
        <v>1</v>
      </c>
      <c r="CB37" s="10"/>
      <c r="CC37" s="10">
        <v>1</v>
      </c>
      <c r="CG37" s="10"/>
      <c r="CH37" s="10">
        <v>1</v>
      </c>
      <c r="CI37" s="10"/>
      <c r="CJ37" s="10">
        <v>1</v>
      </c>
      <c r="CN37" s="10"/>
      <c r="CO37" s="10">
        <v>1</v>
      </c>
      <c r="CP37" s="10"/>
      <c r="CQ37" s="10">
        <v>1</v>
      </c>
      <c r="CU37" s="10"/>
      <c r="CV37" s="10">
        <v>1</v>
      </c>
      <c r="CW37" s="10"/>
      <c r="CX37" s="10">
        <v>1</v>
      </c>
      <c r="DB37" s="10"/>
      <c r="DC37" s="10"/>
      <c r="DD37" s="10"/>
      <c r="DE37" s="10"/>
      <c r="DI37" s="10"/>
      <c r="DJ37" s="10"/>
      <c r="DK37" s="10"/>
      <c r="DL37" s="10"/>
      <c r="DP37" s="10"/>
      <c r="DQ37" s="10"/>
      <c r="DR37" s="10"/>
      <c r="DS37" s="10"/>
      <c r="DW37" s="10"/>
      <c r="DX37" s="10"/>
      <c r="DY37" s="10"/>
      <c r="DZ37" s="10"/>
      <c r="ED37" s="10"/>
      <c r="EE37" s="10"/>
      <c r="EF37" s="10"/>
      <c r="EG37" s="10"/>
      <c r="EK37" s="10"/>
      <c r="EL37" s="10"/>
      <c r="EM37" s="10"/>
      <c r="EN37" s="10"/>
    </row>
    <row r="38" spans="2:144" outlineLevel="1" x14ac:dyDescent="0.2">
      <c r="B38" t="s">
        <v>28</v>
      </c>
      <c r="C38" t="s">
        <v>106</v>
      </c>
      <c r="E38" s="9"/>
      <c r="F38" t="s">
        <v>120</v>
      </c>
      <c r="G38" s="10">
        <v>0.1</v>
      </c>
      <c r="I38" s="9">
        <f t="shared" si="2"/>
        <v>4</v>
      </c>
      <c r="J38" s="11" cm="1">
        <f t="array" ref="J38">MAX(IF($N$3:$EH$3=$J$3,N38:EH38))</f>
        <v>1</v>
      </c>
      <c r="K38" s="11" cm="1">
        <f t="array" ref="K38">MAX(IF($N$3:$EH$3=$J$3,N38:EH38))</f>
        <v>1</v>
      </c>
      <c r="L38" s="9"/>
      <c r="N38">
        <v>1.5</v>
      </c>
      <c r="O38" s="10">
        <v>0.5</v>
      </c>
      <c r="P38" s="10">
        <v>0.5</v>
      </c>
      <c r="Q38" s="10">
        <v>0.5</v>
      </c>
      <c r="R38" s="10">
        <v>0.5</v>
      </c>
      <c r="U38">
        <v>1.5</v>
      </c>
      <c r="V38" s="10">
        <v>0.5</v>
      </c>
      <c r="W38" s="10">
        <v>0.5</v>
      </c>
      <c r="X38" s="10">
        <v>0.5</v>
      </c>
      <c r="Y38" s="10">
        <v>0.5</v>
      </c>
      <c r="AB38">
        <v>1</v>
      </c>
      <c r="AC38" s="10">
        <v>0.8</v>
      </c>
      <c r="AD38" s="10">
        <v>0.8</v>
      </c>
      <c r="AE38" s="10">
        <v>0.8</v>
      </c>
      <c r="AF38" s="10">
        <v>0.8</v>
      </c>
      <c r="AJ38" s="10">
        <v>0.8</v>
      </c>
      <c r="AK38" s="10">
        <v>0.8</v>
      </c>
      <c r="AL38" s="10">
        <v>0.8</v>
      </c>
      <c r="AM38" s="10">
        <v>0.8</v>
      </c>
      <c r="AQ38" s="10">
        <v>0.8</v>
      </c>
      <c r="AR38" s="10">
        <v>0.8</v>
      </c>
      <c r="AS38" s="10">
        <v>0.8</v>
      </c>
      <c r="AT38" s="10">
        <v>0.8</v>
      </c>
      <c r="AW38" t="s">
        <v>171</v>
      </c>
      <c r="AX38" s="10">
        <v>1</v>
      </c>
      <c r="AY38" s="10">
        <v>1</v>
      </c>
      <c r="AZ38" s="10">
        <v>1</v>
      </c>
      <c r="BA38" s="10">
        <v>1</v>
      </c>
      <c r="BE38" s="10">
        <v>1</v>
      </c>
      <c r="BF38" s="10">
        <v>1</v>
      </c>
      <c r="BG38" s="10">
        <v>1</v>
      </c>
      <c r="BH38" s="10">
        <v>1</v>
      </c>
      <c r="BL38" s="10">
        <v>1</v>
      </c>
      <c r="BM38" s="10">
        <v>1</v>
      </c>
      <c r="BN38" s="10">
        <v>1</v>
      </c>
      <c r="BO38" s="10">
        <v>1</v>
      </c>
      <c r="BS38" s="10"/>
      <c r="BT38" s="10">
        <v>1</v>
      </c>
      <c r="BU38" s="10"/>
      <c r="BV38" s="10">
        <v>1</v>
      </c>
      <c r="BZ38" s="10"/>
      <c r="CA38" s="10">
        <v>1</v>
      </c>
      <c r="CB38" s="10"/>
      <c r="CC38" s="10">
        <v>1</v>
      </c>
      <c r="CG38" s="10"/>
      <c r="CH38" s="10">
        <v>1</v>
      </c>
      <c r="CI38" s="10"/>
      <c r="CJ38" s="10">
        <v>1</v>
      </c>
      <c r="CN38" s="10"/>
      <c r="CO38" s="10">
        <v>1</v>
      </c>
      <c r="CP38" s="10"/>
      <c r="CQ38" s="10">
        <v>1</v>
      </c>
      <c r="CU38" s="10"/>
      <c r="CV38" s="10">
        <v>1</v>
      </c>
      <c r="CW38" s="10"/>
      <c r="CX38" s="10">
        <v>1</v>
      </c>
      <c r="DB38" s="10"/>
      <c r="DC38" s="10"/>
      <c r="DD38" s="10"/>
      <c r="DE38" s="10"/>
      <c r="DI38" s="10"/>
      <c r="DJ38" s="10"/>
      <c r="DK38" s="10"/>
      <c r="DL38" s="10"/>
      <c r="DP38" s="10"/>
      <c r="DQ38" s="10"/>
      <c r="DR38" s="10"/>
      <c r="DS38" s="10"/>
      <c r="DW38" s="10"/>
      <c r="DX38" s="10"/>
      <c r="DY38" s="10"/>
      <c r="DZ38" s="10"/>
      <c r="ED38" s="10"/>
      <c r="EE38" s="10"/>
      <c r="EF38" s="10"/>
      <c r="EG38" s="10"/>
      <c r="EK38" s="10"/>
      <c r="EL38" s="10"/>
      <c r="EM38" s="10"/>
      <c r="EN38" s="10"/>
    </row>
    <row r="39" spans="2:144" outlineLevel="1" x14ac:dyDescent="0.2">
      <c r="B39" t="s">
        <v>28</v>
      </c>
      <c r="C39" t="s">
        <v>106</v>
      </c>
      <c r="E39" s="9"/>
      <c r="F39" t="s">
        <v>174</v>
      </c>
      <c r="G39" s="10">
        <v>0.1</v>
      </c>
      <c r="I39" s="9">
        <f t="shared" si="2"/>
        <v>10</v>
      </c>
      <c r="J39" s="11" cm="1">
        <f t="array" ref="J39">MAX(IF($N$3:$EH$3=$J$3,N39:EH39))</f>
        <v>1</v>
      </c>
      <c r="K39" s="11" cm="1">
        <f t="array" ref="K39">MAX(IF($N$3:$EH$3=$J$3,N39:EH39))</f>
        <v>1</v>
      </c>
      <c r="L39" s="9"/>
      <c r="O39" s="10"/>
      <c r="P39" s="10">
        <v>0.5</v>
      </c>
      <c r="Q39" s="10"/>
      <c r="R39" s="10">
        <v>0.5</v>
      </c>
      <c r="U39">
        <v>2</v>
      </c>
      <c r="V39" s="10">
        <v>0.5</v>
      </c>
      <c r="W39" s="10">
        <v>0.5</v>
      </c>
      <c r="X39" s="10">
        <v>0.5</v>
      </c>
      <c r="Y39" s="10">
        <v>0.5</v>
      </c>
      <c r="AC39" s="10">
        <v>0.5</v>
      </c>
      <c r="AD39" s="10">
        <v>0.5</v>
      </c>
      <c r="AE39" s="10">
        <v>0.5</v>
      </c>
      <c r="AF39" s="10">
        <v>0.5</v>
      </c>
      <c r="AI39">
        <v>3.5</v>
      </c>
      <c r="AJ39" s="10">
        <v>0.8</v>
      </c>
      <c r="AK39" s="10">
        <v>0.8</v>
      </c>
      <c r="AL39" s="10">
        <v>0.8</v>
      </c>
      <c r="AM39" s="10">
        <v>0.8</v>
      </c>
      <c r="AQ39" s="10">
        <v>0.8</v>
      </c>
      <c r="AR39" s="10">
        <v>0.8</v>
      </c>
      <c r="AS39" s="10">
        <v>0.8</v>
      </c>
      <c r="AT39" s="10">
        <v>0.8</v>
      </c>
      <c r="AX39" s="10">
        <v>0.8</v>
      </c>
      <c r="AY39" s="10">
        <v>0.8</v>
      </c>
      <c r="AZ39" s="10">
        <v>0.8</v>
      </c>
      <c r="BA39" s="10">
        <v>0.8</v>
      </c>
      <c r="BE39" s="10">
        <v>0.8</v>
      </c>
      <c r="BF39" s="10">
        <v>0.8</v>
      </c>
      <c r="BG39" s="10">
        <v>0.8</v>
      </c>
      <c r="BH39" s="10">
        <v>0.8</v>
      </c>
      <c r="BK39">
        <v>4.5</v>
      </c>
      <c r="BL39" s="10">
        <v>1</v>
      </c>
      <c r="BM39" s="10">
        <v>1</v>
      </c>
      <c r="BN39" s="10">
        <v>1</v>
      </c>
      <c r="BO39" s="10">
        <v>1</v>
      </c>
      <c r="BS39" s="10"/>
      <c r="BT39" s="10">
        <v>1</v>
      </c>
      <c r="BU39" s="10"/>
      <c r="BV39" s="10">
        <v>1</v>
      </c>
      <c r="BZ39" s="10"/>
      <c r="CA39" s="10">
        <v>1</v>
      </c>
      <c r="CB39" s="10"/>
      <c r="CC39" s="10">
        <v>1</v>
      </c>
      <c r="CG39" s="10"/>
      <c r="CH39" s="10">
        <v>1</v>
      </c>
      <c r="CI39" s="10"/>
      <c r="CJ39" s="10">
        <v>1</v>
      </c>
      <c r="CN39" s="10"/>
      <c r="CO39" s="10">
        <v>1</v>
      </c>
      <c r="CP39" s="10"/>
      <c r="CQ39" s="10">
        <v>1</v>
      </c>
      <c r="CU39" s="10"/>
      <c r="CV39" s="10">
        <v>1</v>
      </c>
      <c r="CW39" s="10"/>
      <c r="CX39" s="10">
        <v>1</v>
      </c>
      <c r="DB39" s="10"/>
      <c r="DC39" s="10"/>
      <c r="DD39" s="10"/>
      <c r="DE39" s="10"/>
      <c r="DI39" s="10"/>
      <c r="DJ39" s="10"/>
      <c r="DK39" s="10"/>
      <c r="DL39" s="10"/>
      <c r="DP39" s="10"/>
      <c r="DQ39" s="10"/>
      <c r="DR39" s="10"/>
      <c r="DS39" s="10"/>
      <c r="DW39" s="10"/>
      <c r="DX39" s="10"/>
      <c r="DY39" s="10"/>
      <c r="DZ39" s="10"/>
      <c r="ED39" s="10"/>
      <c r="EE39" s="10"/>
      <c r="EF39" s="10"/>
      <c r="EG39" s="10"/>
      <c r="EK39" s="10"/>
      <c r="EL39" s="10"/>
      <c r="EM39" s="10"/>
      <c r="EN39" s="10"/>
    </row>
    <row r="40" spans="2:144" outlineLevel="1" x14ac:dyDescent="0.2">
      <c r="B40" t="s">
        <v>28</v>
      </c>
      <c r="C40" t="s">
        <v>106</v>
      </c>
      <c r="E40" s="9"/>
      <c r="F40" t="s">
        <v>173</v>
      </c>
      <c r="G40" s="10">
        <v>0.1</v>
      </c>
      <c r="I40" s="9">
        <f>+SUMIF($N$3:$ZS$3,I$3,$N40:$ZS40)</f>
        <v>0</v>
      </c>
      <c r="J40" s="11" cm="1">
        <f t="array" ref="J40">MAX(IF($N$3:$EH$3=$J$3,N40:EH40))</f>
        <v>0.5</v>
      </c>
      <c r="K40" s="11" cm="1">
        <f t="array" ref="K40">MAX(IF($N$3:$EH$3=$J$3,N40:EH40))</f>
        <v>0.5</v>
      </c>
      <c r="L40" s="9"/>
      <c r="O40" s="10"/>
      <c r="P40" s="10"/>
      <c r="Q40" s="10"/>
      <c r="R40" s="10"/>
      <c r="V40" s="10"/>
      <c r="W40" s="10"/>
      <c r="X40" s="10"/>
      <c r="Y40" s="10"/>
      <c r="AC40" s="10"/>
      <c r="AD40" s="10"/>
      <c r="AE40" s="10"/>
      <c r="AF40" s="10"/>
      <c r="AJ40" s="10"/>
      <c r="AK40" s="10"/>
      <c r="AL40" s="10"/>
      <c r="AM40" s="10"/>
      <c r="AQ40" s="10"/>
      <c r="AR40" s="10"/>
      <c r="AS40" s="10"/>
      <c r="AT40" s="10"/>
      <c r="AX40" s="10"/>
      <c r="AY40" s="10"/>
      <c r="AZ40" s="10"/>
      <c r="BA40" s="10"/>
      <c r="BE40" s="10">
        <v>0.5</v>
      </c>
      <c r="BF40" s="10">
        <v>0.5</v>
      </c>
      <c r="BG40" s="10">
        <v>0.5</v>
      </c>
      <c r="BH40" s="10">
        <v>0.5</v>
      </c>
      <c r="BL40" s="10">
        <v>0.5</v>
      </c>
      <c r="BM40" s="10">
        <v>0.5</v>
      </c>
      <c r="BN40" s="10">
        <v>0.5</v>
      </c>
      <c r="BO40" s="10">
        <v>0.5</v>
      </c>
      <c r="BS40" s="10"/>
      <c r="BT40" s="10">
        <v>0.5</v>
      </c>
      <c r="BU40" s="10"/>
      <c r="BV40" s="10">
        <v>0.5</v>
      </c>
      <c r="BZ40" s="10"/>
      <c r="CA40" s="10">
        <v>0.8</v>
      </c>
      <c r="CB40" s="10"/>
      <c r="CC40" s="10">
        <v>0.8</v>
      </c>
      <c r="CG40" s="10"/>
      <c r="CH40" s="10">
        <v>0.8</v>
      </c>
      <c r="CI40" s="10"/>
      <c r="CJ40" s="10">
        <v>0.8</v>
      </c>
      <c r="CN40" s="10"/>
      <c r="CO40" s="10">
        <v>0.8</v>
      </c>
      <c r="CP40" s="10"/>
      <c r="CQ40" s="10">
        <v>0.8</v>
      </c>
      <c r="CU40" s="10"/>
      <c r="CV40" s="10">
        <v>1</v>
      </c>
      <c r="CW40" s="10"/>
      <c r="CX40" s="10">
        <v>1</v>
      </c>
      <c r="DB40" s="10"/>
      <c r="DC40" s="10"/>
      <c r="DD40" s="10"/>
      <c r="DE40" s="10"/>
      <c r="DI40" s="10"/>
      <c r="DJ40" s="10"/>
      <c r="DK40" s="10"/>
      <c r="DL40" s="10"/>
      <c r="DP40" s="10"/>
      <c r="DQ40" s="10"/>
      <c r="DR40" s="10"/>
      <c r="DS40" s="10"/>
      <c r="DW40" s="10"/>
      <c r="DX40" s="10"/>
      <c r="DY40" s="10"/>
      <c r="DZ40" s="10"/>
      <c r="ED40" s="10"/>
      <c r="EE40" s="10"/>
      <c r="EF40" s="10"/>
      <c r="EG40" s="10"/>
      <c r="EK40" s="10"/>
      <c r="EL40" s="10"/>
      <c r="EM40" s="10"/>
      <c r="EN40" s="10"/>
    </row>
    <row r="41" spans="2:144" outlineLevel="1" x14ac:dyDescent="0.2">
      <c r="B41" t="s">
        <v>28</v>
      </c>
      <c r="C41" t="s">
        <v>106</v>
      </c>
      <c r="E41" s="9"/>
      <c r="F41" t="s">
        <v>121</v>
      </c>
      <c r="G41" s="10">
        <v>0.05</v>
      </c>
      <c r="I41" s="9">
        <f t="shared" si="2"/>
        <v>9.5</v>
      </c>
      <c r="J41" s="11" cm="1">
        <f t="array" ref="J41">MAX(IF($N$3:$EH$3=$J$3,N41:EH41))</f>
        <v>1</v>
      </c>
      <c r="K41" s="11" cm="1">
        <f t="array" ref="K41">MAX(IF($N$3:$EH$3=$J$3,N41:EH41))</f>
        <v>1</v>
      </c>
      <c r="L41" s="9"/>
      <c r="O41" s="10"/>
      <c r="P41" s="10"/>
      <c r="Q41" s="10"/>
      <c r="R41" s="10"/>
      <c r="U41">
        <v>4.5</v>
      </c>
      <c r="V41" s="10">
        <v>0.5</v>
      </c>
      <c r="W41" s="10">
        <v>0.5</v>
      </c>
      <c r="X41" s="10">
        <v>0.5</v>
      </c>
      <c r="Y41" s="10">
        <v>0.5</v>
      </c>
      <c r="AC41" s="10">
        <v>0.5</v>
      </c>
      <c r="AD41" s="10">
        <v>0.5</v>
      </c>
      <c r="AE41" s="10">
        <v>0.5</v>
      </c>
      <c r="AF41" s="10">
        <v>0.5</v>
      </c>
      <c r="AJ41" s="10">
        <v>0.5</v>
      </c>
      <c r="AK41" s="10">
        <v>0.5</v>
      </c>
      <c r="AL41" s="10">
        <v>0.5</v>
      </c>
      <c r="AM41" s="10">
        <v>0.5</v>
      </c>
      <c r="AP41">
        <v>1.5</v>
      </c>
      <c r="AQ41" s="10">
        <v>0.8</v>
      </c>
      <c r="AR41" s="10">
        <v>0.8</v>
      </c>
      <c r="AS41" s="10">
        <v>0.8</v>
      </c>
      <c r="AT41" s="10">
        <v>0.8</v>
      </c>
      <c r="AX41" s="10">
        <v>0.8</v>
      </c>
      <c r="AY41" s="10">
        <v>0.8</v>
      </c>
      <c r="AZ41" s="10">
        <v>0.8</v>
      </c>
      <c r="BA41" s="10">
        <v>0.8</v>
      </c>
      <c r="BE41" s="10">
        <v>0.8</v>
      </c>
      <c r="BF41" s="10">
        <v>0.8</v>
      </c>
      <c r="BG41" s="10">
        <v>0.8</v>
      </c>
      <c r="BH41" s="10">
        <v>0.8</v>
      </c>
      <c r="BK41">
        <v>3.5</v>
      </c>
      <c r="BL41" s="10">
        <v>1</v>
      </c>
      <c r="BM41" s="10">
        <v>1</v>
      </c>
      <c r="BN41" s="10">
        <v>1</v>
      </c>
      <c r="BO41" s="10">
        <v>1</v>
      </c>
      <c r="BS41" s="10"/>
      <c r="BT41" s="10">
        <v>1</v>
      </c>
      <c r="BU41" s="10"/>
      <c r="BV41" s="10">
        <v>1</v>
      </c>
      <c r="BZ41" s="10"/>
      <c r="CA41" s="10">
        <v>1</v>
      </c>
      <c r="CB41" s="10"/>
      <c r="CC41" s="10">
        <v>1</v>
      </c>
      <c r="CG41" s="10"/>
      <c r="CH41" s="10">
        <v>1</v>
      </c>
      <c r="CI41" s="10"/>
      <c r="CJ41" s="10">
        <v>1</v>
      </c>
      <c r="CN41" s="10"/>
      <c r="CO41" s="10">
        <v>1</v>
      </c>
      <c r="CP41" s="10"/>
      <c r="CQ41" s="10">
        <v>1</v>
      </c>
      <c r="CU41" s="10"/>
      <c r="CV41" s="10">
        <v>1</v>
      </c>
      <c r="CW41" s="10"/>
      <c r="CX41" s="10">
        <v>1</v>
      </c>
      <c r="DB41" s="10"/>
      <c r="DC41" s="10"/>
      <c r="DD41" s="10"/>
      <c r="DE41" s="10"/>
      <c r="DI41" s="10"/>
      <c r="DJ41" s="10"/>
      <c r="DK41" s="10"/>
      <c r="DL41" s="10"/>
      <c r="DP41" s="10"/>
      <c r="DQ41" s="10"/>
      <c r="DR41" s="10"/>
      <c r="DS41" s="10"/>
      <c r="DW41" s="10"/>
      <c r="DX41" s="10"/>
      <c r="DY41" s="10"/>
      <c r="DZ41" s="10"/>
      <c r="ED41" s="10"/>
      <c r="EE41" s="10"/>
      <c r="EF41" s="10"/>
      <c r="EG41" s="10"/>
      <c r="EK41" s="10"/>
      <c r="EL41" s="10"/>
      <c r="EM41" s="10"/>
      <c r="EN41" s="10"/>
    </row>
    <row r="42" spans="2:144" outlineLevel="1" x14ac:dyDescent="0.2">
      <c r="B42" t="s">
        <v>28</v>
      </c>
      <c r="C42" t="s">
        <v>106</v>
      </c>
      <c r="E42" s="9"/>
      <c r="F42" t="s">
        <v>122</v>
      </c>
      <c r="G42" s="10">
        <v>0.1</v>
      </c>
      <c r="I42" s="9">
        <f t="shared" si="2"/>
        <v>5.5</v>
      </c>
      <c r="J42" s="11" cm="1">
        <f t="array" ref="J42">MAX(IF($N$3:$EH$3=$J$3,N42:EH42))</f>
        <v>0.8</v>
      </c>
      <c r="K42" s="11" cm="1">
        <f t="array" ref="K42">MAX(IF($N$3:$EH$3=$J$3,N42:EH42))</f>
        <v>0.8</v>
      </c>
      <c r="L42" s="9"/>
      <c r="O42" s="10"/>
      <c r="P42" s="10"/>
      <c r="Q42" s="10"/>
      <c r="R42" s="10"/>
      <c r="U42">
        <v>3</v>
      </c>
      <c r="V42" s="10">
        <v>0.5</v>
      </c>
      <c r="W42" s="10">
        <v>0.5</v>
      </c>
      <c r="X42" s="10">
        <v>0.5</v>
      </c>
      <c r="Y42" s="10">
        <v>0.5</v>
      </c>
      <c r="AC42" s="10">
        <v>0.5</v>
      </c>
      <c r="AD42" s="10">
        <v>0.5</v>
      </c>
      <c r="AE42" s="10">
        <v>0.5</v>
      </c>
      <c r="AF42" s="10">
        <v>0.5</v>
      </c>
      <c r="AJ42" s="10">
        <v>0.5</v>
      </c>
      <c r="AK42" s="10">
        <v>0.5</v>
      </c>
      <c r="AL42" s="10">
        <v>0.5</v>
      </c>
      <c r="AM42" s="10">
        <v>0.5</v>
      </c>
      <c r="AQ42" s="10">
        <v>0.5</v>
      </c>
      <c r="AR42" s="10">
        <v>0.5</v>
      </c>
      <c r="AS42" s="10">
        <v>0.5</v>
      </c>
      <c r="AT42" s="10">
        <v>0.5</v>
      </c>
      <c r="AW42">
        <v>2.5</v>
      </c>
      <c r="AX42" s="10">
        <v>0.8</v>
      </c>
      <c r="AY42" s="10">
        <v>0.8</v>
      </c>
      <c r="AZ42" s="10">
        <v>0.8</v>
      </c>
      <c r="BA42" s="10">
        <v>0.8</v>
      </c>
      <c r="BE42" s="10">
        <v>0.8</v>
      </c>
      <c r="BF42" s="10">
        <v>0.8</v>
      </c>
      <c r="BG42" s="10">
        <v>0.8</v>
      </c>
      <c r="BH42" s="10">
        <v>0.8</v>
      </c>
      <c r="BL42" s="10">
        <v>0.8</v>
      </c>
      <c r="BM42" s="10">
        <v>0.8</v>
      </c>
      <c r="BN42" s="10">
        <v>0.8</v>
      </c>
      <c r="BO42" s="10">
        <v>0.8</v>
      </c>
      <c r="BS42" s="10"/>
      <c r="BT42" s="10">
        <v>1</v>
      </c>
      <c r="BU42" s="10"/>
      <c r="BV42" s="10">
        <v>1</v>
      </c>
      <c r="BZ42" s="10"/>
      <c r="CA42" s="10">
        <v>1</v>
      </c>
      <c r="CB42" s="10"/>
      <c r="CC42" s="10">
        <v>1</v>
      </c>
      <c r="CG42" s="10"/>
      <c r="CH42" s="10">
        <v>1</v>
      </c>
      <c r="CI42" s="10"/>
      <c r="CJ42" s="10">
        <v>1</v>
      </c>
      <c r="CN42" s="10"/>
      <c r="CO42" s="10">
        <v>1</v>
      </c>
      <c r="CP42" s="10"/>
      <c r="CQ42" s="10">
        <v>1</v>
      </c>
      <c r="CU42" s="10"/>
      <c r="CV42" s="10">
        <v>1</v>
      </c>
      <c r="CW42" s="10"/>
      <c r="CX42" s="10">
        <v>1</v>
      </c>
      <c r="DB42" s="10"/>
      <c r="DC42" s="10"/>
      <c r="DD42" s="10"/>
      <c r="DE42" s="10"/>
      <c r="DI42" s="10"/>
      <c r="DJ42" s="10"/>
      <c r="DK42" s="10"/>
      <c r="DL42" s="10"/>
      <c r="DP42" s="10"/>
      <c r="DQ42" s="10"/>
      <c r="DR42" s="10"/>
      <c r="DS42" s="10"/>
      <c r="DW42" s="10"/>
      <c r="DX42" s="10"/>
      <c r="DY42" s="10"/>
      <c r="DZ42" s="10"/>
      <c r="ED42" s="10"/>
      <c r="EE42" s="10"/>
      <c r="EF42" s="10"/>
      <c r="EG42" s="10"/>
      <c r="EK42" s="10"/>
      <c r="EL42" s="10"/>
      <c r="EM42" s="10"/>
      <c r="EN42" s="10"/>
    </row>
    <row r="43" spans="2:144" outlineLevel="1" x14ac:dyDescent="0.2">
      <c r="B43" t="s">
        <v>28</v>
      </c>
      <c r="C43" t="s">
        <v>106</v>
      </c>
      <c r="E43" s="9"/>
      <c r="F43" t="s">
        <v>123</v>
      </c>
      <c r="G43" s="10">
        <v>0.05</v>
      </c>
      <c r="I43" s="9">
        <f t="shared" si="2"/>
        <v>8.25</v>
      </c>
      <c r="J43" s="11" cm="1">
        <f t="array" ref="J43">MAX(IF($N$3:$EH$3=$J$3,N43:EH43))</f>
        <v>0.8</v>
      </c>
      <c r="K43" s="11" cm="1">
        <f t="array" ref="K43">MAX(IF($N$3:$EH$3=$J$3,N43:EH43))</f>
        <v>0.8</v>
      </c>
      <c r="L43" s="9"/>
      <c r="O43" s="10"/>
      <c r="P43" s="10"/>
      <c r="Q43" s="10"/>
      <c r="R43" s="10"/>
      <c r="V43" s="10"/>
      <c r="W43" s="10"/>
      <c r="X43" s="10"/>
      <c r="Y43" s="10"/>
      <c r="AB43">
        <v>4</v>
      </c>
      <c r="AC43" s="10">
        <v>0.5</v>
      </c>
      <c r="AD43" s="10">
        <v>0.5</v>
      </c>
      <c r="AE43" s="10">
        <v>0.5</v>
      </c>
      <c r="AF43" s="10">
        <v>0.5</v>
      </c>
      <c r="AJ43" s="10">
        <v>0.5</v>
      </c>
      <c r="AK43" s="10">
        <v>0.5</v>
      </c>
      <c r="AL43" s="10">
        <v>0.5</v>
      </c>
      <c r="AM43" s="10">
        <v>0.5</v>
      </c>
      <c r="AQ43" s="10">
        <v>0.5</v>
      </c>
      <c r="AR43" s="10">
        <v>0.5</v>
      </c>
      <c r="AS43" s="10">
        <v>0.5</v>
      </c>
      <c r="AT43" s="10">
        <v>0.5</v>
      </c>
      <c r="AW43">
        <v>4.25</v>
      </c>
      <c r="AX43" s="10">
        <v>0.8</v>
      </c>
      <c r="AY43" s="10">
        <v>0.8</v>
      </c>
      <c r="AZ43" s="10">
        <v>0.8</v>
      </c>
      <c r="BA43" s="10">
        <v>0.8</v>
      </c>
      <c r="BE43" s="10">
        <v>0.8</v>
      </c>
      <c r="BF43" s="10">
        <v>0.8</v>
      </c>
      <c r="BG43" s="10">
        <v>0.8</v>
      </c>
      <c r="BH43" s="10">
        <v>0.8</v>
      </c>
      <c r="BL43" s="10">
        <v>0.8</v>
      </c>
      <c r="BM43" s="10">
        <v>0.8</v>
      </c>
      <c r="BN43" s="10">
        <v>0.8</v>
      </c>
      <c r="BO43" s="10">
        <v>0.8</v>
      </c>
      <c r="BS43" s="10"/>
      <c r="BT43" s="10">
        <v>0.8</v>
      </c>
      <c r="BU43" s="10"/>
      <c r="BV43" s="10">
        <v>0.8</v>
      </c>
      <c r="BZ43" s="10"/>
      <c r="CA43" s="10">
        <v>1</v>
      </c>
      <c r="CB43" s="10"/>
      <c r="CC43" s="10">
        <v>1</v>
      </c>
      <c r="CG43" s="10"/>
      <c r="CH43" s="10">
        <v>1</v>
      </c>
      <c r="CI43" s="10"/>
      <c r="CJ43" s="10">
        <v>1</v>
      </c>
      <c r="CN43" s="10"/>
      <c r="CO43" s="10">
        <v>1</v>
      </c>
      <c r="CP43" s="10"/>
      <c r="CQ43" s="10">
        <v>1</v>
      </c>
      <c r="CU43" s="10"/>
      <c r="CV43" s="10">
        <v>1</v>
      </c>
      <c r="CW43" s="10"/>
      <c r="CX43" s="10">
        <v>1</v>
      </c>
      <c r="DB43" s="10"/>
      <c r="DC43" s="10"/>
      <c r="DD43" s="10"/>
      <c r="DE43" s="10"/>
      <c r="DI43" s="10"/>
      <c r="DJ43" s="10"/>
      <c r="DK43" s="10"/>
      <c r="DL43" s="10"/>
      <c r="DP43" s="10"/>
      <c r="DQ43" s="10"/>
      <c r="DR43" s="10"/>
      <c r="DS43" s="10"/>
      <c r="DW43" s="10"/>
      <c r="DX43" s="10"/>
      <c r="DY43" s="10"/>
      <c r="DZ43" s="10"/>
      <c r="ED43" s="10"/>
      <c r="EE43" s="10"/>
      <c r="EF43" s="10"/>
      <c r="EG43" s="10"/>
      <c r="EK43" s="10"/>
      <c r="EL43" s="10"/>
      <c r="EM43" s="10"/>
      <c r="EN43" s="10"/>
    </row>
    <row r="44" spans="2:144" outlineLevel="1" x14ac:dyDescent="0.2">
      <c r="B44" t="s">
        <v>28</v>
      </c>
      <c r="C44" t="s">
        <v>106</v>
      </c>
      <c r="E44" s="9"/>
      <c r="F44" t="s">
        <v>124</v>
      </c>
      <c r="G44" s="10">
        <v>0.1</v>
      </c>
      <c r="I44" s="9">
        <f t="shared" si="2"/>
        <v>5.5</v>
      </c>
      <c r="J44" s="11" cm="1">
        <f t="array" ref="J44">MAX(IF($N$3:$EH$3=$J$3,N44:EH44))</f>
        <v>0.8</v>
      </c>
      <c r="K44" s="11" cm="1">
        <f t="array" ref="K44">MAX(IF($N$3:$EH$3=$J$3,N44:EH44))</f>
        <v>0.8</v>
      </c>
      <c r="L44" s="9"/>
      <c r="O44" s="10"/>
      <c r="P44" s="10"/>
      <c r="Q44" s="10"/>
      <c r="R44" s="10"/>
      <c r="V44" s="10"/>
      <c r="W44" s="10"/>
      <c r="X44" s="10"/>
      <c r="Y44" s="10"/>
      <c r="AB44">
        <v>2</v>
      </c>
      <c r="AC44" s="10">
        <v>0.5</v>
      </c>
      <c r="AD44" s="10">
        <v>0.5</v>
      </c>
      <c r="AE44" s="10">
        <v>0.5</v>
      </c>
      <c r="AF44" s="10">
        <v>0.5</v>
      </c>
      <c r="AJ44" s="10">
        <v>0.5</v>
      </c>
      <c r="AK44" s="10">
        <v>0.5</v>
      </c>
      <c r="AL44" s="10">
        <v>0.5</v>
      </c>
      <c r="AM44" s="10">
        <v>0.5</v>
      </c>
      <c r="AQ44" s="10">
        <v>0.5</v>
      </c>
      <c r="AR44" s="10">
        <v>0.5</v>
      </c>
      <c r="AS44" s="10">
        <v>0.5</v>
      </c>
      <c r="AT44" s="10">
        <v>0.5</v>
      </c>
      <c r="AX44" s="10">
        <v>0.5</v>
      </c>
      <c r="AY44" s="10">
        <v>0.5</v>
      </c>
      <c r="AZ44" s="10">
        <v>0.5</v>
      </c>
      <c r="BA44" s="10">
        <v>0.5</v>
      </c>
      <c r="BD44">
        <v>3.5</v>
      </c>
      <c r="BE44" s="10">
        <v>0.8</v>
      </c>
      <c r="BF44" s="10">
        <v>0.8</v>
      </c>
      <c r="BG44" s="10">
        <v>0.8</v>
      </c>
      <c r="BH44" s="10">
        <v>0.8</v>
      </c>
      <c r="BL44" s="10">
        <v>0.8</v>
      </c>
      <c r="BM44" s="10">
        <v>0.8</v>
      </c>
      <c r="BN44" s="10">
        <v>0.8</v>
      </c>
      <c r="BO44" s="10">
        <v>0.8</v>
      </c>
      <c r="BS44" s="10"/>
      <c r="BT44" s="10">
        <v>0.8</v>
      </c>
      <c r="BU44" s="10"/>
      <c r="BV44" s="10">
        <v>0.8</v>
      </c>
      <c r="BZ44" s="10"/>
      <c r="CA44" s="10">
        <v>0.8</v>
      </c>
      <c r="CB44" s="10"/>
      <c r="CC44" s="10">
        <v>0.8</v>
      </c>
      <c r="CG44" s="10"/>
      <c r="CH44" s="10">
        <v>1</v>
      </c>
      <c r="CI44" s="10"/>
      <c r="CJ44" s="10">
        <v>1</v>
      </c>
      <c r="CN44" s="10"/>
      <c r="CO44" s="10">
        <v>1</v>
      </c>
      <c r="CP44" s="10"/>
      <c r="CQ44" s="10">
        <v>1</v>
      </c>
      <c r="CU44" s="10"/>
      <c r="CV44" s="10">
        <v>1</v>
      </c>
      <c r="CW44" s="10"/>
      <c r="CX44" s="10">
        <v>1</v>
      </c>
      <c r="DB44" s="10"/>
      <c r="DC44" s="10"/>
      <c r="DD44" s="10"/>
      <c r="DE44" s="10"/>
      <c r="DI44" s="10"/>
      <c r="DJ44" s="10"/>
      <c r="DK44" s="10"/>
      <c r="DL44" s="10"/>
      <c r="DP44" s="10"/>
      <c r="DQ44" s="10"/>
      <c r="DR44" s="10"/>
      <c r="DS44" s="10"/>
      <c r="DW44" s="10"/>
      <c r="DX44" s="10"/>
      <c r="DY44" s="10"/>
      <c r="DZ44" s="10"/>
      <c r="ED44" s="10"/>
      <c r="EE44" s="10"/>
      <c r="EF44" s="10"/>
      <c r="EG44" s="10"/>
      <c r="EK44" s="10"/>
      <c r="EL44" s="10"/>
      <c r="EM44" s="10"/>
      <c r="EN44" s="10"/>
    </row>
    <row r="45" spans="2:144" outlineLevel="1" x14ac:dyDescent="0.2">
      <c r="B45" t="s">
        <v>28</v>
      </c>
      <c r="C45" t="s">
        <v>106</v>
      </c>
      <c r="E45" s="9"/>
      <c r="F45" t="s">
        <v>125</v>
      </c>
      <c r="G45" s="10">
        <v>0.1</v>
      </c>
      <c r="I45" s="9">
        <f t="shared" si="2"/>
        <v>3</v>
      </c>
      <c r="J45" s="11" cm="1">
        <f t="array" ref="J45">MAX(IF($N$3:$EH$3=$J$3,N45:EH45))</f>
        <v>0.5</v>
      </c>
      <c r="K45" s="11" cm="1">
        <f t="array" ref="K45">MAX(IF($N$3:$EH$3=$J$3,N45:EH45))</f>
        <v>0.5</v>
      </c>
      <c r="L45" s="9"/>
      <c r="O45" s="10"/>
      <c r="P45" s="10"/>
      <c r="Q45" s="10"/>
      <c r="R45" s="10"/>
      <c r="V45" s="10"/>
      <c r="W45" s="10"/>
      <c r="X45" s="10"/>
      <c r="Y45" s="10"/>
      <c r="AC45" s="10"/>
      <c r="AD45" s="10"/>
      <c r="AE45" s="10"/>
      <c r="AF45" s="10"/>
      <c r="AI45">
        <v>3</v>
      </c>
      <c r="AJ45" s="10">
        <v>0.5</v>
      </c>
      <c r="AK45" s="10">
        <v>0.5</v>
      </c>
      <c r="AL45" s="10">
        <v>0.5</v>
      </c>
      <c r="AM45" s="10">
        <v>0.5</v>
      </c>
      <c r="AQ45" s="10">
        <v>0.5</v>
      </c>
      <c r="AR45" s="10">
        <v>0.5</v>
      </c>
      <c r="AS45" s="10">
        <v>0.5</v>
      </c>
      <c r="AT45" s="10">
        <v>0.5</v>
      </c>
      <c r="AX45" s="10">
        <v>0.5</v>
      </c>
      <c r="AY45" s="10">
        <v>0.5</v>
      </c>
      <c r="AZ45" s="10">
        <v>0.5</v>
      </c>
      <c r="BA45" s="10">
        <v>0.5</v>
      </c>
      <c r="BE45" s="10">
        <v>0.5</v>
      </c>
      <c r="BF45" s="10">
        <v>0.5</v>
      </c>
      <c r="BG45" s="10">
        <v>0.5</v>
      </c>
      <c r="BH45" s="10">
        <v>0.5</v>
      </c>
      <c r="BL45" s="10"/>
      <c r="BM45" s="10">
        <v>0.8</v>
      </c>
      <c r="BN45" s="10"/>
      <c r="BO45" s="10">
        <v>0.8</v>
      </c>
      <c r="BS45" s="10"/>
      <c r="BT45" s="10">
        <v>0.8</v>
      </c>
      <c r="BU45" s="10"/>
      <c r="BV45" s="10">
        <v>0.8</v>
      </c>
      <c r="BZ45" s="10"/>
      <c r="CA45" s="10">
        <v>0.8</v>
      </c>
      <c r="CB45" s="10"/>
      <c r="CC45" s="10">
        <v>0.8</v>
      </c>
      <c r="CG45" s="10"/>
      <c r="CH45" s="10">
        <v>1</v>
      </c>
      <c r="CI45" s="10"/>
      <c r="CJ45" s="10">
        <v>1</v>
      </c>
      <c r="CN45" s="10"/>
      <c r="CO45" s="10">
        <v>1</v>
      </c>
      <c r="CP45" s="10"/>
      <c r="CQ45" s="10">
        <v>1</v>
      </c>
      <c r="CU45" s="10"/>
      <c r="CV45" s="10">
        <v>1</v>
      </c>
      <c r="CW45" s="10"/>
      <c r="CX45" s="10">
        <v>1</v>
      </c>
      <c r="DB45" s="10"/>
      <c r="DC45" s="10"/>
      <c r="DD45" s="10"/>
      <c r="DE45" s="10"/>
      <c r="DI45" s="10"/>
      <c r="DJ45" s="10"/>
      <c r="DK45" s="10"/>
      <c r="DL45" s="10"/>
      <c r="DP45" s="10"/>
      <c r="DQ45" s="10"/>
      <c r="DR45" s="10"/>
      <c r="DS45" s="10"/>
      <c r="DW45" s="10"/>
      <c r="DX45" s="10"/>
      <c r="DY45" s="10"/>
      <c r="DZ45" s="10"/>
      <c r="ED45" s="10"/>
      <c r="EE45" s="10"/>
      <c r="EF45" s="10"/>
      <c r="EG45" s="10"/>
      <c r="EK45" s="10"/>
      <c r="EL45" s="10"/>
      <c r="EM45" s="10"/>
      <c r="EN45" s="10"/>
    </row>
    <row r="46" spans="2:144" outlineLevel="1" x14ac:dyDescent="0.2">
      <c r="B46" t="s">
        <v>28</v>
      </c>
      <c r="C46" t="s">
        <v>106</v>
      </c>
      <c r="E46" s="9"/>
      <c r="F46" t="s">
        <v>126</v>
      </c>
      <c r="G46" s="10">
        <v>0.05</v>
      </c>
      <c r="I46" s="9">
        <f t="shared" si="2"/>
        <v>3.5</v>
      </c>
      <c r="J46" s="11" cm="1">
        <f t="array" ref="J46">MAX(IF($N$3:$EH$3=$J$3,N46:EH46))</f>
        <v>0.5</v>
      </c>
      <c r="K46" s="11" cm="1">
        <f t="array" ref="K46">MAX(IF($N$3:$EH$3=$J$3,N46:EH46))</f>
        <v>0.5</v>
      </c>
      <c r="L46" s="9"/>
      <c r="O46" s="10"/>
      <c r="P46" s="10"/>
      <c r="Q46" s="10"/>
      <c r="R46" s="10"/>
      <c r="V46" s="10"/>
      <c r="W46" s="10"/>
      <c r="X46" s="10"/>
      <c r="Y46" s="10"/>
      <c r="AC46" s="10"/>
      <c r="AD46" s="10"/>
      <c r="AE46" s="10"/>
      <c r="AF46" s="10"/>
      <c r="AI46">
        <v>3.5</v>
      </c>
      <c r="AJ46" s="10">
        <v>0.5</v>
      </c>
      <c r="AK46" s="10">
        <v>0.5</v>
      </c>
      <c r="AL46" s="10">
        <v>0.5</v>
      </c>
      <c r="AM46" s="10">
        <v>0.5</v>
      </c>
      <c r="AQ46" s="10">
        <v>0.5</v>
      </c>
      <c r="AR46" s="10">
        <v>0.5</v>
      </c>
      <c r="AS46" s="10">
        <v>0.5</v>
      </c>
      <c r="AT46" s="10">
        <v>0.5</v>
      </c>
      <c r="AX46" s="10">
        <v>0.5</v>
      </c>
      <c r="AY46" s="10">
        <v>0.5</v>
      </c>
      <c r="AZ46" s="10">
        <v>0.5</v>
      </c>
      <c r="BA46" s="10">
        <v>0.5</v>
      </c>
      <c r="BE46" s="10">
        <v>0.5</v>
      </c>
      <c r="BF46" s="10">
        <v>0.5</v>
      </c>
      <c r="BG46" s="10">
        <v>0.5</v>
      </c>
      <c r="BH46" s="10">
        <v>0.5</v>
      </c>
      <c r="BL46" s="10">
        <v>0.5</v>
      </c>
      <c r="BM46" s="10">
        <v>0.5</v>
      </c>
      <c r="BN46" s="10">
        <v>0.5</v>
      </c>
      <c r="BO46" s="10">
        <v>0.5</v>
      </c>
      <c r="BS46" s="10"/>
      <c r="BT46" s="10">
        <v>0.8</v>
      </c>
      <c r="BU46" s="10"/>
      <c r="BV46" s="10">
        <v>0.8</v>
      </c>
      <c r="BZ46" s="10"/>
      <c r="CA46" s="10">
        <v>0.8</v>
      </c>
      <c r="CB46" s="10"/>
      <c r="CC46" s="10">
        <v>0.8</v>
      </c>
      <c r="CG46" s="10"/>
      <c r="CH46" s="10">
        <v>1</v>
      </c>
      <c r="CI46" s="10"/>
      <c r="CJ46" s="10">
        <v>1</v>
      </c>
      <c r="CN46" s="10"/>
      <c r="CO46" s="10">
        <v>1</v>
      </c>
      <c r="CP46" s="10"/>
      <c r="CQ46" s="10">
        <v>1</v>
      </c>
      <c r="CU46" s="10"/>
      <c r="CV46" s="10">
        <v>1</v>
      </c>
      <c r="CW46" s="10"/>
      <c r="CX46" s="10">
        <v>1</v>
      </c>
      <c r="DB46" s="10"/>
      <c r="DC46" s="10"/>
      <c r="DD46" s="10"/>
      <c r="DE46" s="10"/>
      <c r="DI46" s="10"/>
      <c r="DJ46" s="10"/>
      <c r="DK46" s="10"/>
      <c r="DL46" s="10"/>
      <c r="DP46" s="10"/>
      <c r="DQ46" s="10"/>
      <c r="DR46" s="10"/>
      <c r="DS46" s="10"/>
      <c r="DW46" s="10"/>
      <c r="DX46" s="10"/>
      <c r="DY46" s="10"/>
      <c r="DZ46" s="10"/>
      <c r="ED46" s="10"/>
      <c r="EE46" s="10"/>
      <c r="EF46" s="10"/>
      <c r="EG46" s="10"/>
      <c r="EK46" s="10"/>
      <c r="EL46" s="10"/>
      <c r="EM46" s="10"/>
      <c r="EN46" s="10"/>
    </row>
    <row r="47" spans="2:144" outlineLevel="1" x14ac:dyDescent="0.2">
      <c r="B47" t="s">
        <v>28</v>
      </c>
      <c r="C47" t="s">
        <v>106</v>
      </c>
      <c r="E47" s="9"/>
      <c r="F47" t="s">
        <v>127</v>
      </c>
      <c r="G47" s="10">
        <v>0.1</v>
      </c>
      <c r="I47" s="9">
        <f t="shared" si="2"/>
        <v>3</v>
      </c>
      <c r="J47" s="11" cm="1">
        <f t="array" ref="J47">MAX(IF($N$3:$EH$3=$J$3,N47:EH47))</f>
        <v>0.5</v>
      </c>
      <c r="K47" s="11" cm="1">
        <f t="array" ref="K47">MAX(IF($N$3:$EH$3=$J$3,N47:EH47))</f>
        <v>0.5</v>
      </c>
      <c r="L47" s="9"/>
      <c r="O47" s="10"/>
      <c r="P47" s="10"/>
      <c r="Q47" s="10"/>
      <c r="R47" s="10"/>
      <c r="V47" s="10"/>
      <c r="W47" s="10"/>
      <c r="X47" s="10"/>
      <c r="Y47" s="10"/>
      <c r="AC47" s="10"/>
      <c r="AD47" s="10"/>
      <c r="AE47" s="10"/>
      <c r="AF47" s="10"/>
      <c r="AJ47" s="10"/>
      <c r="AK47" s="10"/>
      <c r="AL47" s="10"/>
      <c r="AM47" s="10"/>
      <c r="AP47">
        <v>3</v>
      </c>
      <c r="AQ47" s="10">
        <v>0.5</v>
      </c>
      <c r="AR47" s="10">
        <v>0.5</v>
      </c>
      <c r="AS47" s="10">
        <v>0.5</v>
      </c>
      <c r="AT47" s="10">
        <v>0.5</v>
      </c>
      <c r="AX47" s="10">
        <v>0.5</v>
      </c>
      <c r="AY47" s="10">
        <v>0.5</v>
      </c>
      <c r="AZ47" s="10">
        <v>0.5</v>
      </c>
      <c r="BA47" s="10">
        <v>0.5</v>
      </c>
      <c r="BE47" s="10">
        <v>0.5</v>
      </c>
      <c r="BF47" s="10">
        <v>0.5</v>
      </c>
      <c r="BG47" s="10">
        <v>0.5</v>
      </c>
      <c r="BH47" s="10">
        <v>0.5</v>
      </c>
      <c r="BL47" s="10">
        <v>0.5</v>
      </c>
      <c r="BM47" s="10">
        <v>0.5</v>
      </c>
      <c r="BN47" s="10">
        <v>0.5</v>
      </c>
      <c r="BO47" s="10">
        <v>0.5</v>
      </c>
      <c r="BS47" s="10"/>
      <c r="BT47" s="10">
        <v>0.8</v>
      </c>
      <c r="BU47" s="10"/>
      <c r="BV47" s="10">
        <v>0.8</v>
      </c>
      <c r="BZ47" s="10"/>
      <c r="CA47" s="10">
        <v>0.8</v>
      </c>
      <c r="CB47" s="10"/>
      <c r="CC47" s="10">
        <v>0.8</v>
      </c>
      <c r="CG47" s="10"/>
      <c r="CH47" s="10">
        <v>0.8</v>
      </c>
      <c r="CI47" s="10"/>
      <c r="CJ47" s="10">
        <v>0.8</v>
      </c>
      <c r="CN47" s="10"/>
      <c r="CO47" s="10">
        <v>1</v>
      </c>
      <c r="CP47" s="10"/>
      <c r="CQ47" s="10">
        <v>1</v>
      </c>
      <c r="CU47" s="10"/>
      <c r="CV47" s="10">
        <v>1</v>
      </c>
      <c r="CW47" s="10"/>
      <c r="CX47" s="10">
        <v>1</v>
      </c>
      <c r="DB47" s="10"/>
      <c r="DC47" s="10"/>
      <c r="DD47" s="10"/>
      <c r="DE47" s="10"/>
      <c r="DI47" s="10"/>
      <c r="DJ47" s="10"/>
      <c r="DK47" s="10"/>
      <c r="DL47" s="10"/>
      <c r="DP47" s="10"/>
      <c r="DQ47" s="10"/>
      <c r="DR47" s="10"/>
      <c r="DS47" s="10"/>
      <c r="DW47" s="10"/>
      <c r="DX47" s="10"/>
      <c r="DY47" s="10"/>
      <c r="DZ47" s="10"/>
      <c r="ED47" s="10"/>
      <c r="EE47" s="10"/>
      <c r="EF47" s="10"/>
      <c r="EG47" s="10"/>
      <c r="EK47" s="10"/>
      <c r="EL47" s="10"/>
      <c r="EM47" s="10"/>
      <c r="EN47" s="10"/>
    </row>
    <row r="48" spans="2:144" outlineLevel="1" x14ac:dyDescent="0.2">
      <c r="B48" t="s">
        <v>28</v>
      </c>
      <c r="C48" t="s">
        <v>106</v>
      </c>
      <c r="E48" s="9"/>
      <c r="F48" t="s">
        <v>128</v>
      </c>
      <c r="G48" s="10">
        <v>0.05</v>
      </c>
      <c r="I48" s="9">
        <f t="shared" si="2"/>
        <v>3.5</v>
      </c>
      <c r="J48" s="11" cm="1">
        <f t="array" ref="J48">MAX(IF($N$3:$EH$3=$J$3,N48:EH48))</f>
        <v>0.5</v>
      </c>
      <c r="K48" s="11" cm="1">
        <f t="array" ref="K48">MAX(IF($N$3:$EH$3=$J$3,N48:EH48))</f>
        <v>0.5</v>
      </c>
      <c r="L48" s="9"/>
      <c r="O48" s="10"/>
      <c r="P48" s="10"/>
      <c r="Q48" s="10"/>
      <c r="R48" s="10"/>
      <c r="V48" s="10"/>
      <c r="W48" s="10"/>
      <c r="X48" s="10"/>
      <c r="Y48" s="10"/>
      <c r="AC48" s="10"/>
      <c r="AD48" s="10"/>
      <c r="AE48" s="10"/>
      <c r="AF48" s="10"/>
      <c r="AJ48" s="10"/>
      <c r="AK48" s="10"/>
      <c r="AL48" s="10"/>
      <c r="AM48" s="10"/>
      <c r="AQ48" s="10"/>
      <c r="AR48" s="10"/>
      <c r="AS48" s="10"/>
      <c r="AT48" s="10"/>
      <c r="AX48" s="10"/>
      <c r="AY48" s="10"/>
      <c r="AZ48" s="10"/>
      <c r="BA48" s="10"/>
      <c r="BD48">
        <v>3.5</v>
      </c>
      <c r="BE48" s="10">
        <v>0.5</v>
      </c>
      <c r="BF48" s="10">
        <v>0.5</v>
      </c>
      <c r="BG48" s="10">
        <v>0.5</v>
      </c>
      <c r="BH48" s="10">
        <v>0.5</v>
      </c>
      <c r="BL48" s="10">
        <v>0.5</v>
      </c>
      <c r="BM48" s="10">
        <v>0.5</v>
      </c>
      <c r="BN48" s="10">
        <v>0.5</v>
      </c>
      <c r="BO48" s="10">
        <v>0.5</v>
      </c>
      <c r="BS48" s="10"/>
      <c r="BT48" s="10">
        <v>0.5</v>
      </c>
      <c r="BU48" s="10"/>
      <c r="BV48" s="10">
        <v>0.5</v>
      </c>
      <c r="BZ48" s="10"/>
      <c r="CA48" s="10">
        <v>0.8</v>
      </c>
      <c r="CB48" s="10"/>
      <c r="CC48" s="10">
        <v>0.8</v>
      </c>
      <c r="CG48" s="10"/>
      <c r="CH48" s="10">
        <v>0.8</v>
      </c>
      <c r="CI48" s="10"/>
      <c r="CJ48" s="10">
        <v>0.8</v>
      </c>
      <c r="CN48" s="10"/>
      <c r="CO48" s="10">
        <v>1</v>
      </c>
      <c r="CP48" s="10"/>
      <c r="CQ48" s="10">
        <v>1</v>
      </c>
      <c r="CU48" s="10"/>
      <c r="CV48" s="10">
        <v>1</v>
      </c>
      <c r="CW48" s="10"/>
      <c r="CX48" s="10">
        <v>1</v>
      </c>
      <c r="DB48" s="10"/>
      <c r="DC48" s="10"/>
      <c r="DD48" s="10"/>
      <c r="DE48" s="10"/>
      <c r="DI48" s="10"/>
      <c r="DJ48" s="10"/>
      <c r="DK48" s="10"/>
      <c r="DL48" s="10"/>
      <c r="DP48" s="10"/>
      <c r="DQ48" s="10"/>
      <c r="DR48" s="10"/>
      <c r="DS48" s="10"/>
      <c r="DW48" s="10"/>
      <c r="DX48" s="10"/>
      <c r="DY48" s="10"/>
      <c r="DZ48" s="10"/>
      <c r="ED48" s="10"/>
      <c r="EE48" s="10"/>
      <c r="EF48" s="10"/>
      <c r="EG48" s="10"/>
      <c r="EK48" s="10"/>
      <c r="EL48" s="10"/>
      <c r="EM48" s="10"/>
      <c r="EN48" s="10"/>
    </row>
    <row r="49" spans="2:144" outlineLevel="1" x14ac:dyDescent="0.2">
      <c r="E49" s="9"/>
      <c r="G49" s="10"/>
      <c r="I49" s="9"/>
      <c r="J49" s="11"/>
      <c r="K49" s="11"/>
      <c r="L49" s="9"/>
      <c r="O49" s="10"/>
      <c r="P49" s="10"/>
      <c r="Q49" s="10"/>
      <c r="R49" s="10"/>
      <c r="V49" s="10"/>
      <c r="W49" s="10"/>
      <c r="X49" s="10"/>
      <c r="Y49" s="10"/>
      <c r="AC49" s="10"/>
      <c r="AD49" s="10"/>
      <c r="AE49" s="10"/>
      <c r="AF49" s="10"/>
      <c r="AJ49" s="10"/>
      <c r="AK49" s="10"/>
      <c r="AL49" s="10"/>
      <c r="AM49" s="10"/>
      <c r="AQ49" s="10"/>
      <c r="AR49" s="10"/>
      <c r="AS49" s="10"/>
      <c r="AT49" s="10"/>
      <c r="AX49" s="10"/>
      <c r="AY49" s="10"/>
      <c r="AZ49" s="10"/>
      <c r="BA49" s="10"/>
      <c r="BE49" s="10"/>
      <c r="BF49" s="10"/>
      <c r="BG49" s="10"/>
      <c r="BH49" s="10"/>
      <c r="BL49" s="10"/>
      <c r="BM49" s="10"/>
      <c r="BN49" s="10"/>
      <c r="BO49" s="10"/>
      <c r="BS49" s="10"/>
      <c r="BT49" s="10"/>
      <c r="BU49" s="10"/>
      <c r="BV49" s="10"/>
      <c r="BZ49" s="10"/>
      <c r="CA49" s="10"/>
      <c r="CB49" s="10"/>
      <c r="CC49" s="10"/>
      <c r="CG49" s="10"/>
      <c r="CH49" s="10"/>
      <c r="CI49" s="10"/>
      <c r="CJ49" s="10"/>
      <c r="CN49" s="10"/>
      <c r="CO49" s="10"/>
      <c r="CP49" s="10"/>
      <c r="CQ49" s="10"/>
      <c r="CU49" s="10"/>
      <c r="CV49" s="10"/>
      <c r="CW49" s="10"/>
      <c r="CX49" s="10"/>
      <c r="DB49" s="10"/>
      <c r="DC49" s="10"/>
      <c r="DD49" s="10"/>
      <c r="DE49" s="10"/>
      <c r="DI49" s="10"/>
      <c r="DJ49" s="10"/>
      <c r="DK49" s="10"/>
      <c r="DL49" s="10"/>
      <c r="DP49" s="10"/>
      <c r="DQ49" s="10"/>
      <c r="DR49" s="10"/>
      <c r="DS49" s="10"/>
      <c r="DW49" s="10"/>
      <c r="DX49" s="10"/>
      <c r="DY49" s="10"/>
      <c r="DZ49" s="10"/>
      <c r="ED49" s="10"/>
      <c r="EE49" s="10"/>
      <c r="EF49" s="10"/>
      <c r="EG49" s="10"/>
      <c r="EK49" s="10"/>
      <c r="EL49" s="10"/>
      <c r="EM49" s="10"/>
      <c r="EN49" s="10"/>
    </row>
    <row r="51" spans="2:144" x14ac:dyDescent="0.2">
      <c r="B51" t="s">
        <v>27</v>
      </c>
      <c r="C51" t="s">
        <v>90</v>
      </c>
      <c r="D51" s="19">
        <v>45715</v>
      </c>
      <c r="E51" s="9">
        <v>5</v>
      </c>
      <c r="F51" t="s">
        <v>165</v>
      </c>
      <c r="G51" s="10">
        <f>+SUM(G52:G64)</f>
        <v>1</v>
      </c>
      <c r="I51" s="12">
        <f>+SUM(I52:I64)</f>
        <v>16.75</v>
      </c>
      <c r="J51" s="11">
        <f>+SUMPRODUCT(G52:G64,J52:J64)</f>
        <v>0.39</v>
      </c>
      <c r="K51" s="11">
        <f>+SUMPRODUCT(G52:G64,K52:K64)</f>
        <v>0.39</v>
      </c>
      <c r="L51" s="9"/>
      <c r="N51" s="12"/>
      <c r="U51" s="12"/>
      <c r="AB51" s="12"/>
      <c r="AI51" s="12"/>
      <c r="AP51" s="12"/>
    </row>
    <row r="52" spans="2:144" outlineLevel="1" x14ac:dyDescent="0.2">
      <c r="B52" t="s">
        <v>28</v>
      </c>
      <c r="C52" t="s">
        <v>90</v>
      </c>
      <c r="E52" s="9"/>
      <c r="F52" t="s">
        <v>148</v>
      </c>
      <c r="G52" s="10">
        <v>0.05</v>
      </c>
      <c r="I52" s="9">
        <f>+SUMIF($N$3:$ZS$3,I$3,$N52:$ZS52)</f>
        <v>3</v>
      </c>
      <c r="J52" s="11" cm="1">
        <f t="array" ref="J52">MAX(IF($N$3:$EH$3=$J$3,N52:EH52))</f>
        <v>1</v>
      </c>
      <c r="K52" s="11" cm="1">
        <f t="array" ref="K52">MAX(IF($N$3:$EH$3=$J$3,N52:EH52))</f>
        <v>1</v>
      </c>
      <c r="L52" s="9"/>
      <c r="O52" s="10"/>
      <c r="P52" s="10">
        <v>0.5</v>
      </c>
      <c r="Q52" s="10"/>
      <c r="R52" s="10">
        <v>0.5</v>
      </c>
      <c r="U52">
        <v>2</v>
      </c>
      <c r="V52" s="10">
        <v>0.8</v>
      </c>
      <c r="W52" s="10">
        <v>0.8</v>
      </c>
      <c r="X52" s="10">
        <v>0.8</v>
      </c>
      <c r="Y52" s="10">
        <v>0.8</v>
      </c>
      <c r="AB52">
        <v>0.5</v>
      </c>
      <c r="AC52" s="10">
        <v>1</v>
      </c>
      <c r="AD52" s="10">
        <v>0.8</v>
      </c>
      <c r="AE52" s="10">
        <v>1</v>
      </c>
      <c r="AF52" s="10">
        <v>0.8</v>
      </c>
      <c r="AJ52" s="10">
        <v>1</v>
      </c>
      <c r="AK52" s="10">
        <v>0.8</v>
      </c>
      <c r="AL52" s="10">
        <v>1</v>
      </c>
      <c r="AM52" s="10">
        <v>0.8</v>
      </c>
      <c r="AQ52" s="10">
        <v>1</v>
      </c>
      <c r="AR52" s="10">
        <v>1</v>
      </c>
      <c r="AS52" s="10">
        <v>1</v>
      </c>
      <c r="AT52" s="10">
        <v>1</v>
      </c>
      <c r="AW52">
        <v>0.5</v>
      </c>
      <c r="AX52" s="10">
        <v>1</v>
      </c>
      <c r="AY52" s="10">
        <v>1</v>
      </c>
      <c r="AZ52" s="10">
        <v>1</v>
      </c>
      <c r="BA52" s="10">
        <v>1</v>
      </c>
      <c r="BE52" s="10">
        <v>1</v>
      </c>
      <c r="BF52" s="10">
        <v>1</v>
      </c>
      <c r="BG52" s="10">
        <v>1</v>
      </c>
      <c r="BH52" s="10">
        <v>1</v>
      </c>
      <c r="BL52" s="10">
        <v>1</v>
      </c>
      <c r="BM52" s="10">
        <v>1</v>
      </c>
      <c r="BN52" s="10">
        <v>1</v>
      </c>
      <c r="BO52" s="10">
        <v>1</v>
      </c>
      <c r="BS52" s="10"/>
      <c r="BT52" s="10">
        <v>1</v>
      </c>
      <c r="BU52" s="10"/>
      <c r="BV52" s="10">
        <v>1</v>
      </c>
      <c r="BZ52" s="10"/>
      <c r="CA52" s="10">
        <v>1</v>
      </c>
      <c r="CB52" s="10"/>
      <c r="CC52" s="10">
        <v>1</v>
      </c>
      <c r="CG52" s="10"/>
      <c r="CH52" s="10">
        <v>1</v>
      </c>
      <c r="CI52" s="10"/>
      <c r="CJ52" s="10">
        <v>1</v>
      </c>
      <c r="CN52" s="10"/>
      <c r="CO52" s="10">
        <v>1</v>
      </c>
      <c r="CP52" s="10"/>
      <c r="CQ52" s="10">
        <v>1</v>
      </c>
      <c r="CU52" s="10"/>
      <c r="CV52" s="10">
        <v>1</v>
      </c>
      <c r="CW52" s="10"/>
      <c r="CX52" s="10">
        <v>1</v>
      </c>
      <c r="DB52" s="10"/>
      <c r="DC52" s="10"/>
      <c r="DD52" s="10"/>
      <c r="DE52" s="10"/>
      <c r="DI52" s="10"/>
      <c r="DJ52" s="10"/>
      <c r="DK52" s="10"/>
      <c r="DL52" s="10"/>
      <c r="DP52" s="10"/>
      <c r="DQ52" s="10"/>
      <c r="DR52" s="10"/>
      <c r="DS52" s="10"/>
      <c r="DW52" s="10"/>
      <c r="DX52" s="10"/>
      <c r="DY52" s="10"/>
      <c r="DZ52" s="10"/>
      <c r="ED52" s="10"/>
      <c r="EE52" s="10"/>
      <c r="EF52" s="10"/>
      <c r="EG52" s="10"/>
      <c r="EK52" s="10"/>
      <c r="EL52" s="10"/>
      <c r="EM52" s="10"/>
      <c r="EN52" s="10"/>
    </row>
    <row r="53" spans="2:144" outlineLevel="1" x14ac:dyDescent="0.2">
      <c r="B53" t="s">
        <v>28</v>
      </c>
      <c r="C53" t="s">
        <v>90</v>
      </c>
      <c r="E53" s="9"/>
      <c r="F53" t="s">
        <v>149</v>
      </c>
      <c r="G53" s="10">
        <v>0.05</v>
      </c>
      <c r="I53" s="9">
        <f>+SUMIF($N$3:$ZS$3,I$3,$N53:$ZS53)</f>
        <v>3.5</v>
      </c>
      <c r="J53" s="11" cm="1">
        <f t="array" ref="J53">MAX(IF($N$3:$EH$3=$J$3,N53:EH53))</f>
        <v>1</v>
      </c>
      <c r="K53" s="11" cm="1">
        <f t="array" ref="K53">MAX(IF($N$3:$EH$3=$J$3,N53:EH53))</f>
        <v>1</v>
      </c>
      <c r="L53" s="9"/>
      <c r="O53" s="10"/>
      <c r="P53" s="10">
        <v>0.5</v>
      </c>
      <c r="Q53" s="10"/>
      <c r="R53" s="10">
        <v>0.5</v>
      </c>
      <c r="V53" s="10"/>
      <c r="W53" s="10">
        <v>0.5</v>
      </c>
      <c r="X53" s="10"/>
      <c r="Y53" s="10">
        <v>0.5</v>
      </c>
      <c r="AB53">
        <v>2</v>
      </c>
      <c r="AC53" s="10">
        <v>0.8</v>
      </c>
      <c r="AD53" s="10">
        <v>0.8</v>
      </c>
      <c r="AE53" s="10">
        <v>0.8</v>
      </c>
      <c r="AF53" s="10">
        <v>0.8</v>
      </c>
      <c r="AI53">
        <v>1</v>
      </c>
      <c r="AJ53" s="10">
        <v>0.8</v>
      </c>
      <c r="AK53" s="10">
        <v>0.8</v>
      </c>
      <c r="AL53" s="10">
        <v>0.8</v>
      </c>
      <c r="AM53" s="10">
        <v>0.8</v>
      </c>
      <c r="AQ53" s="10">
        <v>0.8</v>
      </c>
      <c r="AR53" s="10">
        <v>0.8</v>
      </c>
      <c r="AS53" s="10">
        <v>0.8</v>
      </c>
      <c r="AT53" s="10">
        <v>0.8</v>
      </c>
      <c r="AW53">
        <v>0.5</v>
      </c>
      <c r="AX53" s="10">
        <v>1</v>
      </c>
      <c r="AY53" s="10">
        <v>1</v>
      </c>
      <c r="AZ53" s="10">
        <v>1</v>
      </c>
      <c r="BA53" s="10">
        <v>1</v>
      </c>
      <c r="BE53" s="10">
        <v>1</v>
      </c>
      <c r="BF53" s="10">
        <v>1</v>
      </c>
      <c r="BG53" s="10">
        <v>1</v>
      </c>
      <c r="BH53" s="10">
        <v>1</v>
      </c>
      <c r="BL53" s="10">
        <v>1</v>
      </c>
      <c r="BM53" s="10">
        <v>1</v>
      </c>
      <c r="BN53" s="10">
        <v>1</v>
      </c>
      <c r="BO53" s="10">
        <v>1</v>
      </c>
      <c r="BS53" s="10"/>
      <c r="BT53" s="10">
        <v>1</v>
      </c>
      <c r="BU53" s="10"/>
      <c r="BV53" s="10">
        <v>1</v>
      </c>
      <c r="BZ53" s="10"/>
      <c r="CA53" s="10">
        <v>1</v>
      </c>
      <c r="CB53" s="10"/>
      <c r="CC53" s="10">
        <v>1</v>
      </c>
      <c r="CG53" s="10"/>
      <c r="CH53" s="10">
        <v>1</v>
      </c>
      <c r="CI53" s="10"/>
      <c r="CJ53" s="10">
        <v>1</v>
      </c>
      <c r="CN53" s="10"/>
      <c r="CO53" s="10">
        <v>1</v>
      </c>
      <c r="CP53" s="10"/>
      <c r="CQ53" s="10">
        <v>1</v>
      </c>
      <c r="CU53" s="10"/>
      <c r="CV53" s="10">
        <v>1</v>
      </c>
      <c r="CW53" s="10"/>
      <c r="CX53" s="10">
        <v>1</v>
      </c>
      <c r="DB53" s="10"/>
      <c r="DC53" s="10"/>
      <c r="DD53" s="10"/>
      <c r="DE53" s="10"/>
      <c r="DI53" s="10"/>
      <c r="DJ53" s="10"/>
      <c r="DK53" s="10"/>
      <c r="DL53" s="10"/>
      <c r="DP53" s="10"/>
      <c r="DQ53" s="10"/>
      <c r="DR53" s="10"/>
      <c r="DS53" s="10"/>
      <c r="DW53" s="10"/>
      <c r="DX53" s="10"/>
      <c r="DY53" s="10"/>
      <c r="DZ53" s="10"/>
      <c r="ED53" s="10"/>
      <c r="EE53" s="10"/>
      <c r="EF53" s="10"/>
      <c r="EG53" s="10"/>
      <c r="EK53" s="10"/>
      <c r="EL53" s="10"/>
      <c r="EM53" s="10"/>
      <c r="EN53" s="10"/>
    </row>
    <row r="54" spans="2:144" outlineLevel="1" x14ac:dyDescent="0.2">
      <c r="B54" t="s">
        <v>28</v>
      </c>
      <c r="C54" t="s">
        <v>90</v>
      </c>
      <c r="E54" s="9"/>
      <c r="F54" t="s">
        <v>150</v>
      </c>
      <c r="G54" s="10">
        <v>0.05</v>
      </c>
      <c r="I54" s="9">
        <f t="shared" ref="I54:I65" si="3">+SUMIF($N$3:$ZS$3,I$3,$N54:$ZS54)</f>
        <v>2.5</v>
      </c>
      <c r="J54" s="11" cm="1">
        <f t="array" ref="J54">MAX(IF($N$3:$EH$3=$J$3,N54:EH54))</f>
        <v>1</v>
      </c>
      <c r="K54" s="11" cm="1">
        <f t="array" ref="K54">MAX(IF($N$3:$EH$3=$J$3,N54:EH54))</f>
        <v>1</v>
      </c>
      <c r="L54" s="9"/>
      <c r="O54" s="10"/>
      <c r="P54" s="10">
        <v>0.5</v>
      </c>
      <c r="Q54" s="10"/>
      <c r="R54" s="10">
        <v>0.5</v>
      </c>
      <c r="V54" s="10"/>
      <c r="W54" s="10">
        <v>0.5</v>
      </c>
      <c r="X54" s="10"/>
      <c r="Y54" s="10">
        <v>0.5</v>
      </c>
      <c r="AB54">
        <v>1.5</v>
      </c>
      <c r="AC54" s="10">
        <v>0.8</v>
      </c>
      <c r="AD54" s="10">
        <v>0.5</v>
      </c>
      <c r="AE54" s="10">
        <v>0.8</v>
      </c>
      <c r="AF54" s="10">
        <v>0.5</v>
      </c>
      <c r="AI54">
        <v>0.5</v>
      </c>
      <c r="AJ54" s="10">
        <v>1</v>
      </c>
      <c r="AK54" s="10">
        <v>0.8</v>
      </c>
      <c r="AL54" s="10">
        <v>1</v>
      </c>
      <c r="AM54" s="10">
        <v>0.8</v>
      </c>
      <c r="AQ54" s="10">
        <v>1</v>
      </c>
      <c r="AR54" s="10">
        <v>0.8</v>
      </c>
      <c r="AS54" s="10">
        <v>1</v>
      </c>
      <c r="AT54" s="10">
        <v>0.8</v>
      </c>
      <c r="AX54" s="10">
        <v>0.8</v>
      </c>
      <c r="AY54" s="10">
        <v>0.8</v>
      </c>
      <c r="AZ54" s="10">
        <v>0.8</v>
      </c>
      <c r="BA54" s="10">
        <v>0.8</v>
      </c>
      <c r="BD54">
        <v>0.5</v>
      </c>
      <c r="BE54" s="10">
        <v>0.9</v>
      </c>
      <c r="BF54" s="10">
        <v>0.8</v>
      </c>
      <c r="BG54" s="10">
        <v>0.9</v>
      </c>
      <c r="BH54" s="10">
        <v>0.8</v>
      </c>
      <c r="BL54" s="10">
        <v>0.9</v>
      </c>
      <c r="BM54" s="10">
        <v>1</v>
      </c>
      <c r="BN54" s="10">
        <v>0.9</v>
      </c>
      <c r="BO54" s="10">
        <v>1</v>
      </c>
      <c r="BS54" s="10"/>
      <c r="BT54" s="10">
        <v>1</v>
      </c>
      <c r="BU54" s="10"/>
      <c r="BV54" s="10">
        <v>1</v>
      </c>
      <c r="BZ54" s="10"/>
      <c r="CA54" s="10">
        <v>1</v>
      </c>
      <c r="CB54" s="10"/>
      <c r="CC54" s="10">
        <v>1</v>
      </c>
      <c r="CG54" s="10"/>
      <c r="CH54" s="10">
        <v>1</v>
      </c>
      <c r="CI54" s="10"/>
      <c r="CJ54" s="10">
        <v>1</v>
      </c>
      <c r="CN54" s="10"/>
      <c r="CO54" s="10">
        <v>1</v>
      </c>
      <c r="CP54" s="10"/>
      <c r="CQ54" s="10">
        <v>1</v>
      </c>
      <c r="CU54" s="10"/>
      <c r="CV54" s="10">
        <v>1</v>
      </c>
      <c r="CW54" s="10"/>
      <c r="CX54" s="10">
        <v>1</v>
      </c>
      <c r="DB54" s="10"/>
      <c r="DC54" s="10"/>
      <c r="DD54" s="10"/>
      <c r="DE54" s="10"/>
      <c r="DI54" s="10"/>
      <c r="DJ54" s="10"/>
      <c r="DK54" s="10"/>
      <c r="DL54" s="10"/>
      <c r="DP54" s="10"/>
      <c r="DQ54" s="10"/>
      <c r="DR54" s="10"/>
      <c r="DS54" s="10"/>
      <c r="DW54" s="10"/>
      <c r="DX54" s="10"/>
      <c r="DY54" s="10"/>
      <c r="DZ54" s="10"/>
      <c r="ED54" s="10"/>
      <c r="EE54" s="10"/>
      <c r="EF54" s="10"/>
      <c r="EG54" s="10"/>
      <c r="EK54" s="10"/>
      <c r="EL54" s="10"/>
      <c r="EM54" s="10"/>
      <c r="EN54" s="10"/>
    </row>
    <row r="55" spans="2:144" outlineLevel="1" x14ac:dyDescent="0.2">
      <c r="B55" t="s">
        <v>28</v>
      </c>
      <c r="C55" t="s">
        <v>90</v>
      </c>
      <c r="E55" s="9"/>
      <c r="F55" t="s">
        <v>151</v>
      </c>
      <c r="G55" s="10">
        <v>0.1</v>
      </c>
      <c r="I55" s="9">
        <f t="shared" si="3"/>
        <v>3.5</v>
      </c>
      <c r="J55" s="11" cm="1">
        <f t="array" ref="J55">MAX(IF($N$3:$EH$3=$J$3,N55:EH55))</f>
        <v>0.9</v>
      </c>
      <c r="K55" s="11" cm="1">
        <f t="array" ref="K55">MAX(IF($N$3:$EH$3=$J$3,N55:EH55))</f>
        <v>0.9</v>
      </c>
      <c r="L55" s="9"/>
      <c r="O55" s="10"/>
      <c r="P55" s="10"/>
      <c r="Q55" s="10"/>
      <c r="R55" s="10"/>
      <c r="V55" s="10"/>
      <c r="W55" s="10">
        <v>0.5</v>
      </c>
      <c r="X55" s="10"/>
      <c r="Y55" s="10">
        <v>0.5</v>
      </c>
      <c r="AC55" s="10"/>
      <c r="AD55" s="10">
        <v>0.5</v>
      </c>
      <c r="AE55" s="10"/>
      <c r="AF55" s="10">
        <v>0.5</v>
      </c>
      <c r="AJ55" s="10"/>
      <c r="AK55" s="10">
        <v>0.5</v>
      </c>
      <c r="AL55" s="10"/>
      <c r="AM55" s="10">
        <v>0.5</v>
      </c>
      <c r="AP55">
        <v>2.5</v>
      </c>
      <c r="AQ55" s="10">
        <v>0.8</v>
      </c>
      <c r="AR55" s="10">
        <v>0.8</v>
      </c>
      <c r="AS55" s="10">
        <v>0.8</v>
      </c>
      <c r="AT55" s="10">
        <v>0.8</v>
      </c>
      <c r="AX55" s="10">
        <v>0.8</v>
      </c>
      <c r="AY55" s="10">
        <v>0.8</v>
      </c>
      <c r="AZ55" s="10">
        <v>0.8</v>
      </c>
      <c r="BA55" s="10">
        <v>0.8</v>
      </c>
      <c r="BD55">
        <v>1</v>
      </c>
      <c r="BE55" s="10">
        <v>0.9</v>
      </c>
      <c r="BF55" s="10">
        <v>0.8</v>
      </c>
      <c r="BG55" s="10">
        <v>0.9</v>
      </c>
      <c r="BH55" s="10">
        <v>0.8</v>
      </c>
      <c r="BL55" s="10">
        <v>0.9</v>
      </c>
      <c r="BM55" s="10">
        <v>0.8</v>
      </c>
      <c r="BN55" s="10">
        <v>0.9</v>
      </c>
      <c r="BO55" s="10">
        <v>0.8</v>
      </c>
      <c r="BS55" s="10"/>
      <c r="BT55" s="10">
        <v>1</v>
      </c>
      <c r="BU55" s="10"/>
      <c r="BV55" s="10">
        <v>1</v>
      </c>
      <c r="BZ55" s="10"/>
      <c r="CA55" s="10">
        <v>1</v>
      </c>
      <c r="CB55" s="10"/>
      <c r="CC55" s="10">
        <v>1</v>
      </c>
      <c r="CG55" s="10"/>
      <c r="CH55" s="10">
        <v>1</v>
      </c>
      <c r="CI55" s="10"/>
      <c r="CJ55" s="10">
        <v>1</v>
      </c>
      <c r="CN55" s="10"/>
      <c r="CO55" s="10">
        <v>1</v>
      </c>
      <c r="CP55" s="10"/>
      <c r="CQ55" s="10">
        <v>1</v>
      </c>
      <c r="CU55" s="10"/>
      <c r="CV55" s="10">
        <v>1</v>
      </c>
      <c r="CW55" s="10"/>
      <c r="CX55" s="10">
        <v>1</v>
      </c>
      <c r="DB55" s="10"/>
      <c r="DC55" s="10"/>
      <c r="DD55" s="10"/>
      <c r="DE55" s="10"/>
      <c r="DI55" s="10"/>
      <c r="DJ55" s="10"/>
      <c r="DK55" s="10"/>
      <c r="DL55" s="10"/>
      <c r="DP55" s="10"/>
      <c r="DQ55" s="10"/>
      <c r="DR55" s="10"/>
      <c r="DS55" s="10"/>
      <c r="DW55" s="10"/>
      <c r="DX55" s="10"/>
      <c r="DY55" s="10"/>
      <c r="DZ55" s="10"/>
      <c r="ED55" s="10"/>
      <c r="EE55" s="10"/>
      <c r="EF55" s="10"/>
      <c r="EG55" s="10"/>
      <c r="EK55" s="10"/>
      <c r="EL55" s="10"/>
      <c r="EM55" s="10"/>
      <c r="EN55" s="10"/>
    </row>
    <row r="56" spans="2:144" outlineLevel="1" x14ac:dyDescent="0.2">
      <c r="B56" t="s">
        <v>28</v>
      </c>
      <c r="C56" t="s">
        <v>90</v>
      </c>
      <c r="E56" s="9"/>
      <c r="F56" t="s">
        <v>152</v>
      </c>
      <c r="G56" s="10">
        <v>0.1</v>
      </c>
      <c r="I56" s="9">
        <f t="shared" si="3"/>
        <v>1.25</v>
      </c>
      <c r="J56" s="11" cm="1">
        <f t="array" ref="J56">MAX(IF($N$3:$EH$3=$J$3,N56:EH56))</f>
        <v>0.5</v>
      </c>
      <c r="K56" s="11" cm="1">
        <f t="array" ref="K56">MAX(IF($N$3:$EH$3=$J$3,N56:EH56))</f>
        <v>0.5</v>
      </c>
      <c r="L56" s="9"/>
      <c r="O56" s="10"/>
      <c r="P56" s="10"/>
      <c r="Q56" s="10"/>
      <c r="R56" s="10"/>
      <c r="V56" s="10"/>
      <c r="W56" s="10">
        <v>0.5</v>
      </c>
      <c r="X56" s="10"/>
      <c r="Y56" s="10">
        <v>0.5</v>
      </c>
      <c r="AC56" s="10"/>
      <c r="AD56" s="10">
        <v>0.5</v>
      </c>
      <c r="AE56" s="10"/>
      <c r="AF56" s="10">
        <v>0.5</v>
      </c>
      <c r="AJ56" s="10"/>
      <c r="AK56" s="10">
        <v>0.5</v>
      </c>
      <c r="AL56" s="10"/>
      <c r="AM56" s="10">
        <v>0.5</v>
      </c>
      <c r="AQ56" s="10"/>
      <c r="AR56" s="10">
        <v>0.5</v>
      </c>
      <c r="AS56" s="10"/>
      <c r="AT56" s="10">
        <v>0.5</v>
      </c>
      <c r="AW56">
        <v>0.75</v>
      </c>
      <c r="AX56" s="10">
        <v>0.5</v>
      </c>
      <c r="AY56" s="10">
        <v>0.8</v>
      </c>
      <c r="AZ56" s="10">
        <v>0.5</v>
      </c>
      <c r="BA56" s="10">
        <v>0.8</v>
      </c>
      <c r="BE56" s="10">
        <v>0.5</v>
      </c>
      <c r="BF56" s="10">
        <v>0.8</v>
      </c>
      <c r="BG56" s="10">
        <v>0.5</v>
      </c>
      <c r="BH56" s="10">
        <v>0.8</v>
      </c>
      <c r="BK56">
        <v>0.5</v>
      </c>
      <c r="BL56" s="10">
        <v>0.5</v>
      </c>
      <c r="BM56" s="10">
        <v>0.8</v>
      </c>
      <c r="BN56" s="10">
        <v>0.5</v>
      </c>
      <c r="BO56" s="10">
        <v>0.8</v>
      </c>
      <c r="BS56" s="10"/>
      <c r="BT56" s="10">
        <v>0.8</v>
      </c>
      <c r="BU56" s="10"/>
      <c r="BV56" s="10">
        <v>0.8</v>
      </c>
      <c r="BZ56" s="10"/>
      <c r="CA56" s="10">
        <v>1</v>
      </c>
      <c r="CB56" s="10"/>
      <c r="CC56" s="10">
        <v>1</v>
      </c>
      <c r="CG56" s="10"/>
      <c r="CH56" s="10">
        <v>1</v>
      </c>
      <c r="CI56" s="10"/>
      <c r="CJ56" s="10">
        <v>1</v>
      </c>
      <c r="CN56" s="10"/>
      <c r="CO56" s="10">
        <v>1</v>
      </c>
      <c r="CP56" s="10"/>
      <c r="CQ56" s="10">
        <v>1</v>
      </c>
      <c r="CU56" s="10"/>
      <c r="CV56" s="10">
        <v>1</v>
      </c>
      <c r="CW56" s="10"/>
      <c r="CX56" s="10">
        <v>1</v>
      </c>
      <c r="DB56" s="10"/>
      <c r="DC56" s="10"/>
      <c r="DD56" s="10"/>
      <c r="DE56" s="10"/>
      <c r="DI56" s="10"/>
      <c r="DJ56" s="10"/>
      <c r="DK56" s="10"/>
      <c r="DL56" s="10"/>
      <c r="DP56" s="10"/>
      <c r="DQ56" s="10"/>
      <c r="DR56" s="10"/>
      <c r="DS56" s="10"/>
      <c r="DW56" s="10"/>
      <c r="DX56" s="10"/>
      <c r="DY56" s="10"/>
      <c r="DZ56" s="10"/>
      <c r="ED56" s="10"/>
      <c r="EE56" s="10"/>
      <c r="EF56" s="10"/>
      <c r="EG56" s="10"/>
      <c r="EK56" s="10"/>
      <c r="EL56" s="10"/>
      <c r="EM56" s="10"/>
      <c r="EN56" s="10"/>
    </row>
    <row r="57" spans="2:144" outlineLevel="1" x14ac:dyDescent="0.2">
      <c r="B57" t="s">
        <v>28</v>
      </c>
      <c r="C57" t="s">
        <v>90</v>
      </c>
      <c r="E57" s="9"/>
      <c r="F57" t="s">
        <v>153</v>
      </c>
      <c r="G57" s="10">
        <v>0.1</v>
      </c>
      <c r="I57" s="9">
        <f t="shared" si="3"/>
        <v>1.5</v>
      </c>
      <c r="J57" s="11" cm="1">
        <f t="array" ref="J57">MAX(IF($N$3:$EH$3=$J$3,N57:EH57))</f>
        <v>0.5</v>
      </c>
      <c r="K57" s="11" cm="1">
        <f t="array" ref="K57">MAX(IF($N$3:$EH$3=$J$3,N57:EH57))</f>
        <v>0.5</v>
      </c>
      <c r="L57" s="9"/>
      <c r="O57" s="10"/>
      <c r="P57" s="10"/>
      <c r="Q57" s="10"/>
      <c r="R57" s="10"/>
      <c r="V57" s="10"/>
      <c r="W57" s="10"/>
      <c r="X57" s="10"/>
      <c r="Y57" s="10"/>
      <c r="AC57" s="10"/>
      <c r="AD57" s="10">
        <v>0.5</v>
      </c>
      <c r="AE57" s="10"/>
      <c r="AF57" s="10">
        <v>0.5</v>
      </c>
      <c r="AJ57" s="10"/>
      <c r="AK57" s="10">
        <v>0.5</v>
      </c>
      <c r="AL57" s="10"/>
      <c r="AM57" s="10">
        <v>0.5</v>
      </c>
      <c r="AQ57" s="10"/>
      <c r="AR57" s="10">
        <v>0.5</v>
      </c>
      <c r="AS57" s="10"/>
      <c r="AT57" s="10">
        <v>0.5</v>
      </c>
      <c r="AX57" s="10"/>
      <c r="AY57" s="10">
        <v>0.8</v>
      </c>
      <c r="AZ57" s="10"/>
      <c r="BA57" s="10">
        <v>0.8</v>
      </c>
      <c r="BD57">
        <v>1.5</v>
      </c>
      <c r="BE57" s="10">
        <v>0.5</v>
      </c>
      <c r="BF57" s="10">
        <v>0.8</v>
      </c>
      <c r="BG57" s="10">
        <v>0.5</v>
      </c>
      <c r="BH57" s="10">
        <v>0.8</v>
      </c>
      <c r="BL57" s="10">
        <v>0.5</v>
      </c>
      <c r="BM57" s="10">
        <v>0.8</v>
      </c>
      <c r="BN57" s="10">
        <v>0.5</v>
      </c>
      <c r="BO57" s="10">
        <v>0.8</v>
      </c>
      <c r="BS57" s="10"/>
      <c r="BT57" s="10">
        <v>0.8</v>
      </c>
      <c r="BU57" s="10"/>
      <c r="BV57" s="10">
        <v>0.8</v>
      </c>
      <c r="BZ57" s="10"/>
      <c r="CA57" s="10">
        <v>0.8</v>
      </c>
      <c r="CB57" s="10"/>
      <c r="CC57" s="10">
        <v>0.8</v>
      </c>
      <c r="CG57" s="10"/>
      <c r="CH57" s="10">
        <v>1</v>
      </c>
      <c r="CI57" s="10"/>
      <c r="CJ57" s="10">
        <v>1</v>
      </c>
      <c r="CN57" s="10"/>
      <c r="CO57" s="10">
        <v>1</v>
      </c>
      <c r="CP57" s="10"/>
      <c r="CQ57" s="10">
        <v>1</v>
      </c>
      <c r="CU57" s="10"/>
      <c r="CV57" s="10">
        <v>1</v>
      </c>
      <c r="CW57" s="10"/>
      <c r="CX57" s="10">
        <v>1</v>
      </c>
      <c r="DB57" s="10"/>
      <c r="DC57" s="10"/>
      <c r="DD57" s="10"/>
      <c r="DE57" s="10"/>
      <c r="DI57" s="10"/>
      <c r="DJ57" s="10"/>
      <c r="DK57" s="10"/>
      <c r="DL57" s="10"/>
      <c r="DP57" s="10"/>
      <c r="DQ57" s="10"/>
      <c r="DR57" s="10"/>
      <c r="DS57" s="10"/>
      <c r="DW57" s="10"/>
      <c r="DX57" s="10"/>
      <c r="DY57" s="10"/>
      <c r="DZ57" s="10"/>
      <c r="ED57" s="10"/>
      <c r="EE57" s="10"/>
      <c r="EF57" s="10"/>
      <c r="EG57" s="10"/>
      <c r="EK57" s="10"/>
      <c r="EL57" s="10"/>
      <c r="EM57" s="10"/>
      <c r="EN57" s="10"/>
    </row>
    <row r="58" spans="2:144" outlineLevel="1" x14ac:dyDescent="0.2">
      <c r="B58" t="s">
        <v>28</v>
      </c>
      <c r="C58" t="s">
        <v>90</v>
      </c>
      <c r="E58" s="9"/>
      <c r="F58" t="s">
        <v>154</v>
      </c>
      <c r="G58" s="10">
        <v>0.1</v>
      </c>
      <c r="I58" s="9">
        <f t="shared" si="3"/>
        <v>1.5</v>
      </c>
      <c r="J58" s="11" cm="1">
        <f t="array" ref="J58">MAX(IF($N$3:$EH$3=$J$3,N58:EH58))</f>
        <v>0.5</v>
      </c>
      <c r="K58" s="11" cm="1">
        <f t="array" ref="K58">MAX(IF($N$3:$EH$3=$J$3,N58:EH58))</f>
        <v>0.5</v>
      </c>
      <c r="L58" s="9"/>
      <c r="O58" s="10"/>
      <c r="P58" s="10"/>
      <c r="Q58" s="10"/>
      <c r="R58" s="10"/>
      <c r="V58" s="10"/>
      <c r="W58" s="10"/>
      <c r="X58" s="10"/>
      <c r="Y58" s="10"/>
      <c r="AC58" s="10"/>
      <c r="AD58" s="10">
        <v>0.5</v>
      </c>
      <c r="AE58" s="10"/>
      <c r="AF58" s="10">
        <v>0.5</v>
      </c>
      <c r="AJ58" s="10"/>
      <c r="AK58" s="10">
        <v>0.5</v>
      </c>
      <c r="AL58" s="10"/>
      <c r="AM58" s="10">
        <v>0.5</v>
      </c>
      <c r="AQ58" s="10"/>
      <c r="AR58" s="10">
        <v>0.5</v>
      </c>
      <c r="AS58" s="10"/>
      <c r="AT58" s="10">
        <v>0.5</v>
      </c>
      <c r="AX58" s="10"/>
      <c r="AY58" s="10">
        <v>0.5</v>
      </c>
      <c r="AZ58" s="10"/>
      <c r="BA58" s="10">
        <v>0.5</v>
      </c>
      <c r="BE58" s="10"/>
      <c r="BF58" s="10">
        <v>0.8</v>
      </c>
      <c r="BG58" s="10"/>
      <c r="BH58" s="10">
        <v>0.8</v>
      </c>
      <c r="BK58">
        <v>1.5</v>
      </c>
      <c r="BL58" s="10">
        <v>0.5</v>
      </c>
      <c r="BM58" s="10">
        <v>0.8</v>
      </c>
      <c r="BN58" s="10">
        <v>0.5</v>
      </c>
      <c r="BO58" s="10">
        <v>0.8</v>
      </c>
      <c r="BS58" s="10"/>
      <c r="BT58" s="10">
        <v>0.8</v>
      </c>
      <c r="BU58" s="10"/>
      <c r="BV58" s="10">
        <v>0.8</v>
      </c>
      <c r="BZ58" s="10"/>
      <c r="CA58" s="10">
        <v>0.8</v>
      </c>
      <c r="CB58" s="10"/>
      <c r="CC58" s="10">
        <v>0.8</v>
      </c>
      <c r="CG58" s="10"/>
      <c r="CH58" s="10">
        <v>1</v>
      </c>
      <c r="CI58" s="10"/>
      <c r="CJ58" s="10">
        <v>1</v>
      </c>
      <c r="CN58" s="10"/>
      <c r="CO58" s="10">
        <v>1</v>
      </c>
      <c r="CP58" s="10"/>
      <c r="CQ58" s="10">
        <v>1</v>
      </c>
      <c r="CU58" s="10"/>
      <c r="CV58" s="10">
        <v>1</v>
      </c>
      <c r="CW58" s="10"/>
      <c r="CX58" s="10">
        <v>1</v>
      </c>
      <c r="DB58" s="10"/>
      <c r="DC58" s="10"/>
      <c r="DD58" s="10"/>
      <c r="DE58" s="10"/>
      <c r="DI58" s="10"/>
      <c r="DJ58" s="10"/>
      <c r="DK58" s="10"/>
      <c r="DL58" s="10"/>
      <c r="DP58" s="10"/>
      <c r="DQ58" s="10"/>
      <c r="DR58" s="10"/>
      <c r="DS58" s="10"/>
      <c r="DW58" s="10"/>
      <c r="DX58" s="10"/>
      <c r="DY58" s="10"/>
      <c r="DZ58" s="10"/>
      <c r="ED58" s="10"/>
      <c r="EE58" s="10"/>
      <c r="EF58" s="10"/>
      <c r="EG58" s="10"/>
      <c r="EK58" s="10"/>
      <c r="EL58" s="10"/>
      <c r="EM58" s="10"/>
      <c r="EN58" s="10"/>
    </row>
    <row r="59" spans="2:144" outlineLevel="1" x14ac:dyDescent="0.2">
      <c r="B59" t="s">
        <v>28</v>
      </c>
      <c r="C59" t="s">
        <v>90</v>
      </c>
      <c r="E59" s="9"/>
      <c r="F59" t="s">
        <v>155</v>
      </c>
      <c r="G59" s="10">
        <v>0.1</v>
      </c>
      <c r="I59" s="9">
        <f t="shared" si="3"/>
        <v>0</v>
      </c>
      <c r="J59" s="11" cm="1">
        <f t="array" ref="J59">MAX(IF($N$3:$EH$3=$J$3,N59:EH59))</f>
        <v>0</v>
      </c>
      <c r="K59" s="11" cm="1">
        <f t="array" ref="K59">MAX(IF($N$3:$EH$3=$J$3,N59:EH59))</f>
        <v>0</v>
      </c>
      <c r="L59" s="9"/>
      <c r="O59" s="10"/>
      <c r="P59" s="10"/>
      <c r="Q59" s="10"/>
      <c r="R59" s="10"/>
      <c r="V59" s="10"/>
      <c r="W59" s="10"/>
      <c r="X59" s="10"/>
      <c r="Y59" s="10"/>
      <c r="AC59" s="10"/>
      <c r="AD59" s="10"/>
      <c r="AE59" s="10"/>
      <c r="AF59" s="10"/>
      <c r="AJ59" s="10"/>
      <c r="AK59" s="10">
        <v>0.5</v>
      </c>
      <c r="AL59" s="10"/>
      <c r="AM59" s="10">
        <v>0.5</v>
      </c>
      <c r="AQ59" s="10"/>
      <c r="AR59" s="10">
        <v>0.5</v>
      </c>
      <c r="AS59" s="10"/>
      <c r="AT59" s="10">
        <v>0.5</v>
      </c>
      <c r="AX59" s="10"/>
      <c r="AY59" s="10">
        <v>0.5</v>
      </c>
      <c r="AZ59" s="10"/>
      <c r="BA59" s="10">
        <v>0.5</v>
      </c>
      <c r="BE59" s="10"/>
      <c r="BF59" s="10">
        <v>0.5</v>
      </c>
      <c r="BG59" s="10"/>
      <c r="BH59" s="10">
        <v>0.5</v>
      </c>
      <c r="BL59" s="10"/>
      <c r="BM59" s="10">
        <v>0.8</v>
      </c>
      <c r="BN59" s="10"/>
      <c r="BO59" s="10">
        <v>0.8</v>
      </c>
      <c r="BS59" s="10"/>
      <c r="BT59" s="10">
        <v>0.8</v>
      </c>
      <c r="BU59" s="10"/>
      <c r="BV59" s="10">
        <v>0.8</v>
      </c>
      <c r="BZ59" s="10"/>
      <c r="CA59" s="10">
        <v>0.8</v>
      </c>
      <c r="CB59" s="10"/>
      <c r="CC59" s="10">
        <v>0.8</v>
      </c>
      <c r="CG59" s="10"/>
      <c r="CH59" s="10">
        <v>1</v>
      </c>
      <c r="CI59" s="10"/>
      <c r="CJ59" s="10">
        <v>1</v>
      </c>
      <c r="CN59" s="10"/>
      <c r="CO59" s="10">
        <v>1</v>
      </c>
      <c r="CP59" s="10"/>
      <c r="CQ59" s="10">
        <v>1</v>
      </c>
      <c r="CU59" s="10"/>
      <c r="CV59" s="10">
        <v>1</v>
      </c>
      <c r="CW59" s="10"/>
      <c r="CX59" s="10">
        <v>1</v>
      </c>
      <c r="DB59" s="10"/>
      <c r="DC59" s="10"/>
      <c r="DD59" s="10"/>
      <c r="DE59" s="10"/>
      <c r="DI59" s="10"/>
      <c r="DJ59" s="10"/>
      <c r="DK59" s="10"/>
      <c r="DL59" s="10"/>
      <c r="DP59" s="10"/>
      <c r="DQ59" s="10"/>
      <c r="DR59" s="10"/>
      <c r="DS59" s="10"/>
      <c r="DW59" s="10"/>
      <c r="DX59" s="10"/>
      <c r="DY59" s="10"/>
      <c r="DZ59" s="10"/>
      <c r="ED59" s="10"/>
      <c r="EE59" s="10"/>
      <c r="EF59" s="10"/>
      <c r="EG59" s="10"/>
      <c r="EK59" s="10"/>
      <c r="EL59" s="10"/>
      <c r="EM59" s="10"/>
      <c r="EN59" s="10"/>
    </row>
    <row r="60" spans="2:144" outlineLevel="1" x14ac:dyDescent="0.2">
      <c r="B60" t="s">
        <v>28</v>
      </c>
      <c r="C60" t="s">
        <v>90</v>
      </c>
      <c r="E60" s="9"/>
      <c r="F60" t="s">
        <v>156</v>
      </c>
      <c r="G60" s="10">
        <v>0.05</v>
      </c>
      <c r="I60" s="9">
        <f t="shared" si="3"/>
        <v>0</v>
      </c>
      <c r="J60" s="11" cm="1">
        <f t="array" ref="J60">MAX(IF($N$3:$EH$3=$J$3,N60:EH60))</f>
        <v>0</v>
      </c>
      <c r="K60" s="11" cm="1">
        <f t="array" ref="K60">MAX(IF($N$3:$EH$3=$J$3,N60:EH60))</f>
        <v>0</v>
      </c>
      <c r="L60" s="9"/>
      <c r="O60" s="10"/>
      <c r="P60" s="10"/>
      <c r="Q60" s="10"/>
      <c r="R60" s="10"/>
      <c r="V60" s="10"/>
      <c r="W60" s="10"/>
      <c r="X60" s="10"/>
      <c r="Y60" s="10"/>
      <c r="AC60" s="10"/>
      <c r="AD60" s="10"/>
      <c r="AE60" s="10"/>
      <c r="AF60" s="10"/>
      <c r="AJ60" s="10"/>
      <c r="AK60" s="10">
        <v>0.5</v>
      </c>
      <c r="AL60" s="10"/>
      <c r="AM60" s="10">
        <v>0.5</v>
      </c>
      <c r="AQ60" s="10"/>
      <c r="AR60" s="10">
        <v>0.5</v>
      </c>
      <c r="AS60" s="10"/>
      <c r="AT60" s="10">
        <v>0.5</v>
      </c>
      <c r="AX60" s="10"/>
      <c r="AY60" s="10">
        <v>0.5</v>
      </c>
      <c r="AZ60" s="10"/>
      <c r="BA60" s="10">
        <v>0.5</v>
      </c>
      <c r="BE60" s="10"/>
      <c r="BF60" s="10">
        <v>0.5</v>
      </c>
      <c r="BG60" s="10"/>
      <c r="BH60" s="10">
        <v>0.5</v>
      </c>
      <c r="BL60" s="10"/>
      <c r="BM60" s="10">
        <v>0.5</v>
      </c>
      <c r="BN60" s="10"/>
      <c r="BO60" s="10">
        <v>0.5</v>
      </c>
      <c r="BS60" s="10"/>
      <c r="BT60" s="10">
        <v>0.8</v>
      </c>
      <c r="BU60" s="10"/>
      <c r="BV60" s="10">
        <v>0.8</v>
      </c>
      <c r="BZ60" s="10"/>
      <c r="CA60" s="10">
        <v>0.8</v>
      </c>
      <c r="CB60" s="10"/>
      <c r="CC60" s="10">
        <v>0.8</v>
      </c>
      <c r="CG60" s="10"/>
      <c r="CH60" s="10">
        <v>0.8</v>
      </c>
      <c r="CI60" s="10"/>
      <c r="CJ60" s="10">
        <v>0.8</v>
      </c>
      <c r="CN60" s="10"/>
      <c r="CO60" s="10">
        <v>1</v>
      </c>
      <c r="CP60" s="10"/>
      <c r="CQ60" s="10">
        <v>1</v>
      </c>
      <c r="CU60" s="10"/>
      <c r="CV60" s="10">
        <v>1</v>
      </c>
      <c r="CW60" s="10"/>
      <c r="CX60" s="10">
        <v>1</v>
      </c>
      <c r="DB60" s="10"/>
      <c r="DC60" s="10"/>
      <c r="DD60" s="10"/>
      <c r="DE60" s="10"/>
      <c r="DI60" s="10"/>
      <c r="DJ60" s="10"/>
      <c r="DK60" s="10"/>
      <c r="DL60" s="10"/>
      <c r="DP60" s="10"/>
      <c r="DQ60" s="10"/>
      <c r="DR60" s="10"/>
      <c r="DS60" s="10"/>
      <c r="DW60" s="10"/>
      <c r="DX60" s="10"/>
      <c r="DY60" s="10"/>
      <c r="DZ60" s="10"/>
      <c r="ED60" s="10"/>
      <c r="EE60" s="10"/>
      <c r="EF60" s="10"/>
      <c r="EG60" s="10"/>
      <c r="EK60" s="10"/>
      <c r="EL60" s="10"/>
      <c r="EM60" s="10"/>
      <c r="EN60" s="10"/>
    </row>
    <row r="61" spans="2:144" outlineLevel="1" x14ac:dyDescent="0.2">
      <c r="B61" t="s">
        <v>28</v>
      </c>
      <c r="C61" t="s">
        <v>90</v>
      </c>
      <c r="E61" s="9"/>
      <c r="F61" t="s">
        <v>157</v>
      </c>
      <c r="G61" s="10">
        <v>0.1</v>
      </c>
      <c r="I61" s="9">
        <f t="shared" si="3"/>
        <v>0</v>
      </c>
      <c r="J61" s="11" cm="1">
        <f t="array" ref="J61">MAX(IF($N$3:$EH$3=$J$3,N61:EH61))</f>
        <v>0</v>
      </c>
      <c r="K61" s="11" cm="1">
        <f t="array" ref="K61">MAX(IF($N$3:$EH$3=$J$3,N61:EH61))</f>
        <v>0</v>
      </c>
      <c r="L61" s="9"/>
      <c r="O61" s="10"/>
      <c r="P61" s="10"/>
      <c r="Q61" s="10"/>
      <c r="R61" s="10"/>
      <c r="V61" s="10"/>
      <c r="W61" s="10"/>
      <c r="X61" s="10"/>
      <c r="Y61" s="10"/>
      <c r="AC61" s="10"/>
      <c r="AD61" s="10"/>
      <c r="AE61" s="10"/>
      <c r="AF61" s="10"/>
      <c r="AJ61" s="10"/>
      <c r="AK61" s="10"/>
      <c r="AL61" s="10"/>
      <c r="AM61" s="10"/>
      <c r="AQ61" s="10"/>
      <c r="AR61" s="10">
        <v>0.5</v>
      </c>
      <c r="AS61" s="10"/>
      <c r="AT61" s="10">
        <v>0.5</v>
      </c>
      <c r="AX61" s="10"/>
      <c r="AY61" s="10">
        <v>0.5</v>
      </c>
      <c r="AZ61" s="10"/>
      <c r="BA61" s="10">
        <v>0.5</v>
      </c>
      <c r="BE61" s="10"/>
      <c r="BF61" s="10">
        <v>0.5</v>
      </c>
      <c r="BG61" s="10"/>
      <c r="BH61" s="10">
        <v>0.5</v>
      </c>
      <c r="BL61" s="10"/>
      <c r="BM61" s="10">
        <v>0.5</v>
      </c>
      <c r="BN61" s="10"/>
      <c r="BO61" s="10">
        <v>0.5</v>
      </c>
      <c r="BS61" s="10"/>
      <c r="BT61" s="10">
        <v>0.8</v>
      </c>
      <c r="BU61" s="10"/>
      <c r="BV61" s="10">
        <v>0.8</v>
      </c>
      <c r="BZ61" s="10"/>
      <c r="CA61" s="10">
        <v>0.8</v>
      </c>
      <c r="CB61" s="10"/>
      <c r="CC61" s="10">
        <v>0.8</v>
      </c>
      <c r="CG61" s="10"/>
      <c r="CH61" s="10">
        <v>0.8</v>
      </c>
      <c r="CI61" s="10"/>
      <c r="CJ61" s="10">
        <v>0.8</v>
      </c>
      <c r="CN61" s="10"/>
      <c r="CO61" s="10">
        <v>1</v>
      </c>
      <c r="CP61" s="10"/>
      <c r="CQ61" s="10">
        <v>1</v>
      </c>
      <c r="CU61" s="10"/>
      <c r="CV61" s="10">
        <v>1</v>
      </c>
      <c r="CW61" s="10"/>
      <c r="CX61" s="10">
        <v>1</v>
      </c>
      <c r="DB61" s="10"/>
      <c r="DC61" s="10"/>
      <c r="DD61" s="10"/>
      <c r="DE61" s="10"/>
      <c r="DI61" s="10"/>
      <c r="DJ61" s="10"/>
      <c r="DK61" s="10"/>
      <c r="DL61" s="10"/>
      <c r="DP61" s="10"/>
      <c r="DQ61" s="10"/>
      <c r="DR61" s="10"/>
      <c r="DS61" s="10"/>
      <c r="DW61" s="10"/>
      <c r="DX61" s="10"/>
      <c r="DY61" s="10"/>
      <c r="DZ61" s="10"/>
      <c r="ED61" s="10"/>
      <c r="EE61" s="10"/>
      <c r="EF61" s="10"/>
      <c r="EG61" s="10"/>
      <c r="EK61" s="10"/>
      <c r="EL61" s="10"/>
      <c r="EM61" s="10"/>
      <c r="EN61" s="10"/>
    </row>
    <row r="62" spans="2:144" outlineLevel="1" x14ac:dyDescent="0.2">
      <c r="B62" t="s">
        <v>28</v>
      </c>
      <c r="C62" t="s">
        <v>90</v>
      </c>
      <c r="E62" s="9"/>
      <c r="F62" t="s">
        <v>158</v>
      </c>
      <c r="G62" s="10">
        <v>0.05</v>
      </c>
      <c r="I62" s="9">
        <f t="shared" si="3"/>
        <v>0</v>
      </c>
      <c r="J62" s="11" cm="1">
        <f t="array" ref="J62">MAX(IF($N$3:$EH$3=$J$3,N62:EH62))</f>
        <v>0</v>
      </c>
      <c r="K62" s="11" cm="1">
        <f t="array" ref="K62">MAX(IF($N$3:$EH$3=$J$3,N62:EH62))</f>
        <v>0</v>
      </c>
      <c r="L62" s="9"/>
      <c r="O62" s="10"/>
      <c r="P62" s="10"/>
      <c r="Q62" s="10"/>
      <c r="R62" s="10"/>
      <c r="V62" s="10"/>
      <c r="W62" s="10"/>
      <c r="X62" s="10"/>
      <c r="Y62" s="10"/>
      <c r="AC62" s="10"/>
      <c r="AD62" s="10"/>
      <c r="AE62" s="10"/>
      <c r="AF62" s="10"/>
      <c r="AJ62" s="10"/>
      <c r="AK62" s="10"/>
      <c r="AL62" s="10"/>
      <c r="AM62" s="10"/>
      <c r="AQ62" s="10"/>
      <c r="AR62" s="10"/>
      <c r="AS62" s="10"/>
      <c r="AT62" s="10"/>
      <c r="AX62" s="10"/>
      <c r="AY62" s="10"/>
      <c r="AZ62" s="10"/>
      <c r="BA62" s="10"/>
      <c r="BE62" s="10"/>
      <c r="BF62" s="10">
        <v>0.5</v>
      </c>
      <c r="BG62" s="10"/>
      <c r="BH62" s="10">
        <v>0.5</v>
      </c>
      <c r="BL62" s="10"/>
      <c r="BM62" s="10">
        <v>0.5</v>
      </c>
      <c r="BN62" s="10"/>
      <c r="BO62" s="10">
        <v>0.5</v>
      </c>
      <c r="BS62" s="10"/>
      <c r="BT62" s="10">
        <v>0.5</v>
      </c>
      <c r="BU62" s="10"/>
      <c r="BV62" s="10">
        <v>0.5</v>
      </c>
      <c r="BZ62" s="10"/>
      <c r="CA62" s="10">
        <v>0.8</v>
      </c>
      <c r="CB62" s="10"/>
      <c r="CC62" s="10">
        <v>0.8</v>
      </c>
      <c r="CG62" s="10"/>
      <c r="CH62" s="10">
        <v>0.8</v>
      </c>
      <c r="CI62" s="10"/>
      <c r="CJ62" s="10">
        <v>0.8</v>
      </c>
      <c r="CN62" s="10"/>
      <c r="CO62" s="10">
        <v>1</v>
      </c>
      <c r="CP62" s="10"/>
      <c r="CQ62" s="10">
        <v>1</v>
      </c>
      <c r="CU62" s="10"/>
      <c r="CV62" s="10">
        <v>1</v>
      </c>
      <c r="CW62" s="10"/>
      <c r="CX62" s="10">
        <v>1</v>
      </c>
      <c r="DB62" s="10"/>
      <c r="DC62" s="10"/>
      <c r="DD62" s="10"/>
      <c r="DE62" s="10"/>
      <c r="DI62" s="10"/>
      <c r="DJ62" s="10"/>
      <c r="DK62" s="10"/>
      <c r="DL62" s="10"/>
      <c r="DP62" s="10"/>
      <c r="DQ62" s="10"/>
      <c r="DR62" s="10"/>
      <c r="DS62" s="10"/>
      <c r="DW62" s="10"/>
      <c r="DX62" s="10"/>
      <c r="DY62" s="10"/>
      <c r="DZ62" s="10"/>
      <c r="ED62" s="10"/>
      <c r="EE62" s="10"/>
      <c r="EF62" s="10"/>
      <c r="EG62" s="10"/>
      <c r="EK62" s="10"/>
      <c r="EL62" s="10"/>
      <c r="EM62" s="10"/>
      <c r="EN62" s="10"/>
    </row>
    <row r="63" spans="2:144" outlineLevel="1" x14ac:dyDescent="0.2">
      <c r="B63" t="s">
        <v>28</v>
      </c>
      <c r="C63" t="s">
        <v>90</v>
      </c>
      <c r="E63" s="9"/>
      <c r="F63" t="s">
        <v>159</v>
      </c>
      <c r="G63" s="10">
        <v>0.1</v>
      </c>
      <c r="I63" s="9">
        <f t="shared" si="3"/>
        <v>0</v>
      </c>
      <c r="J63" s="11" cm="1">
        <f t="array" ref="J63">MAX(IF($N$3:$EH$3=$J$3,N63:EH63))</f>
        <v>0</v>
      </c>
      <c r="K63" s="11" cm="1">
        <f t="array" ref="K63">MAX(IF($N$3:$EH$3=$J$3,N63:EH63))</f>
        <v>0</v>
      </c>
      <c r="L63" s="9"/>
      <c r="O63" s="10"/>
      <c r="P63" s="10"/>
      <c r="Q63" s="10"/>
      <c r="R63" s="10"/>
      <c r="V63" s="10"/>
      <c r="W63" s="10"/>
      <c r="X63" s="10"/>
      <c r="Y63" s="10"/>
      <c r="AC63" s="10"/>
      <c r="AD63" s="10"/>
      <c r="AE63" s="10"/>
      <c r="AF63" s="10"/>
      <c r="AJ63" s="10"/>
      <c r="AK63" s="10"/>
      <c r="AL63" s="10"/>
      <c r="AM63" s="10"/>
      <c r="AQ63" s="10"/>
      <c r="AR63" s="10"/>
      <c r="AS63" s="10"/>
      <c r="AT63" s="10"/>
      <c r="AX63" s="10"/>
      <c r="AY63" s="10"/>
      <c r="AZ63" s="10"/>
      <c r="BA63" s="10"/>
      <c r="BE63" s="10"/>
      <c r="BF63" s="10">
        <v>0.5</v>
      </c>
      <c r="BG63" s="10"/>
      <c r="BH63" s="10">
        <v>0.5</v>
      </c>
      <c r="BL63" s="10"/>
      <c r="BM63" s="10">
        <v>0.5</v>
      </c>
      <c r="BN63" s="10"/>
      <c r="BO63" s="10">
        <v>0.5</v>
      </c>
      <c r="BS63" s="10"/>
      <c r="BT63" s="10">
        <v>0.5</v>
      </c>
      <c r="BU63" s="10"/>
      <c r="BV63" s="10">
        <v>0.5</v>
      </c>
      <c r="BZ63" s="10"/>
      <c r="CA63" s="10">
        <v>0.8</v>
      </c>
      <c r="CB63" s="10"/>
      <c r="CC63" s="10">
        <v>0.8</v>
      </c>
      <c r="CG63" s="10"/>
      <c r="CH63" s="10">
        <v>0.8</v>
      </c>
      <c r="CI63" s="10"/>
      <c r="CJ63" s="10">
        <v>0.8</v>
      </c>
      <c r="CN63" s="10"/>
      <c r="CO63" s="10">
        <v>0.8</v>
      </c>
      <c r="CP63" s="10"/>
      <c r="CQ63" s="10">
        <v>0.8</v>
      </c>
      <c r="CU63" s="10"/>
      <c r="CV63" s="10">
        <v>1</v>
      </c>
      <c r="CW63" s="10"/>
      <c r="CX63" s="10">
        <v>1</v>
      </c>
      <c r="DB63" s="10"/>
      <c r="DC63" s="10"/>
      <c r="DD63" s="10"/>
      <c r="DE63" s="10"/>
      <c r="DI63" s="10"/>
      <c r="DJ63" s="10"/>
      <c r="DK63" s="10"/>
      <c r="DL63" s="10"/>
      <c r="DP63" s="10"/>
      <c r="DQ63" s="10"/>
      <c r="DR63" s="10"/>
      <c r="DS63" s="10"/>
      <c r="DW63" s="10"/>
      <c r="DX63" s="10"/>
      <c r="DY63" s="10"/>
      <c r="DZ63" s="10"/>
      <c r="ED63" s="10"/>
      <c r="EE63" s="10"/>
      <c r="EF63" s="10"/>
      <c r="EG63" s="10"/>
      <c r="EK63" s="10"/>
      <c r="EL63" s="10"/>
      <c r="EM63" s="10"/>
      <c r="EN63" s="10"/>
    </row>
    <row r="64" spans="2:144" outlineLevel="1" x14ac:dyDescent="0.2">
      <c r="B64" t="s">
        <v>28</v>
      </c>
      <c r="C64" t="s">
        <v>90</v>
      </c>
      <c r="E64" s="9"/>
      <c r="F64" t="s">
        <v>160</v>
      </c>
      <c r="G64" s="10">
        <v>0.05</v>
      </c>
      <c r="I64" s="9">
        <f t="shared" si="3"/>
        <v>0</v>
      </c>
      <c r="J64" s="11" cm="1">
        <f t="array" ref="J64">MAX(IF($N$3:$EH$3=$J$3,N64:EH64))</f>
        <v>0</v>
      </c>
      <c r="K64" s="11" cm="1">
        <f t="array" ref="K64">MAX(IF($N$3:$EH$3=$J$3,N64:EH64))</f>
        <v>0</v>
      </c>
      <c r="L64" s="9"/>
      <c r="O64" s="10"/>
      <c r="P64" s="10"/>
      <c r="Q64" s="10"/>
      <c r="R64" s="10"/>
      <c r="V64" s="10"/>
      <c r="W64" s="10"/>
      <c r="X64" s="10"/>
      <c r="Y64" s="10"/>
      <c r="AC64" s="10"/>
      <c r="AD64" s="10"/>
      <c r="AE64" s="10"/>
      <c r="AF64" s="10"/>
      <c r="AJ64" s="10"/>
      <c r="AK64" s="10"/>
      <c r="AL64" s="10"/>
      <c r="AM64" s="10"/>
      <c r="AQ64" s="10"/>
      <c r="AR64" s="10"/>
      <c r="AS64" s="10"/>
      <c r="AT64" s="10"/>
      <c r="AX64" s="10"/>
      <c r="AY64" s="10"/>
      <c r="AZ64" s="10"/>
      <c r="BA64" s="10"/>
      <c r="BE64" s="10"/>
      <c r="BF64" s="10"/>
      <c r="BG64" s="10"/>
      <c r="BH64" s="10"/>
      <c r="BL64" s="10"/>
      <c r="BM64" s="10">
        <v>0.5</v>
      </c>
      <c r="BN64" s="10"/>
      <c r="BO64" s="10">
        <v>0.5</v>
      </c>
      <c r="BS64" s="10"/>
      <c r="BT64" s="10">
        <v>0.5</v>
      </c>
      <c r="BU64" s="10"/>
      <c r="BV64" s="10">
        <v>0.5</v>
      </c>
      <c r="BZ64" s="10"/>
      <c r="CA64" s="10">
        <v>0.5</v>
      </c>
      <c r="CB64" s="10"/>
      <c r="CC64" s="10">
        <v>0.5</v>
      </c>
      <c r="CG64" s="10"/>
      <c r="CH64" s="10">
        <v>0.8</v>
      </c>
      <c r="CI64" s="10"/>
      <c r="CJ64" s="10">
        <v>0.8</v>
      </c>
      <c r="CN64" s="10"/>
      <c r="CO64" s="10">
        <v>0.8</v>
      </c>
      <c r="CP64" s="10"/>
      <c r="CQ64" s="10">
        <v>0.8</v>
      </c>
      <c r="CU64" s="10"/>
      <c r="CV64" s="10">
        <v>1</v>
      </c>
      <c r="CW64" s="10"/>
      <c r="CX64" s="10">
        <v>1</v>
      </c>
      <c r="DB64" s="10"/>
      <c r="DC64" s="10"/>
      <c r="DD64" s="10"/>
      <c r="DE64" s="10"/>
      <c r="DI64" s="10"/>
      <c r="DJ64" s="10"/>
      <c r="DK64" s="10"/>
      <c r="DL64" s="10"/>
      <c r="DP64" s="10"/>
      <c r="DQ64" s="10"/>
      <c r="DR64" s="10"/>
      <c r="DS64" s="10"/>
      <c r="DW64" s="10"/>
      <c r="DX64" s="10"/>
      <c r="DY64" s="10"/>
      <c r="DZ64" s="10"/>
      <c r="ED64" s="10"/>
      <c r="EE64" s="10"/>
      <c r="EF64" s="10"/>
      <c r="EG64" s="10"/>
      <c r="EK64" s="10"/>
      <c r="EL64" s="10"/>
      <c r="EM64" s="10"/>
      <c r="EN64" s="10"/>
    </row>
    <row r="65" spans="2:144" outlineLevel="1" x14ac:dyDescent="0.2">
      <c r="B65" t="s">
        <v>28</v>
      </c>
      <c r="C65" t="s">
        <v>90</v>
      </c>
      <c r="E65" s="9"/>
      <c r="F65" t="s">
        <v>170</v>
      </c>
      <c r="G65" s="10">
        <v>0.05</v>
      </c>
      <c r="I65" s="9">
        <f t="shared" si="3"/>
        <v>1</v>
      </c>
      <c r="J65" s="11" cm="1">
        <f t="array" ref="J65">MAX(IF($N$3:$EH$3=$J$3,N65:EH65))</f>
        <v>0.5</v>
      </c>
      <c r="K65" s="11" cm="1">
        <f t="array" ref="K65">MAX(IF($N$3:$EH$3=$J$3,N65:EH65))</f>
        <v>0.5</v>
      </c>
      <c r="L65" s="9"/>
      <c r="O65" s="10"/>
      <c r="P65" s="10"/>
      <c r="Q65" s="10"/>
      <c r="R65" s="10"/>
      <c r="V65" s="10"/>
      <c r="W65" s="10"/>
      <c r="X65" s="10"/>
      <c r="Y65" s="10"/>
      <c r="AB65">
        <v>0.5</v>
      </c>
      <c r="AC65" s="10">
        <v>0.5</v>
      </c>
      <c r="AD65" s="10">
        <v>1</v>
      </c>
      <c r="AE65" s="10">
        <v>0.5</v>
      </c>
      <c r="AF65" s="10">
        <v>1</v>
      </c>
      <c r="AJ65" s="10"/>
      <c r="AK65" s="10">
        <v>1</v>
      </c>
      <c r="AL65" s="10"/>
      <c r="AM65" s="10">
        <v>1</v>
      </c>
      <c r="AQ65" s="10"/>
      <c r="AR65" s="10">
        <v>1</v>
      </c>
      <c r="AS65" s="10"/>
      <c r="AT65" s="10">
        <v>1</v>
      </c>
      <c r="AW65">
        <v>0.5</v>
      </c>
      <c r="AX65" s="10"/>
      <c r="AY65" s="10">
        <v>1</v>
      </c>
      <c r="AZ65" s="10"/>
      <c r="BA65" s="10">
        <v>1</v>
      </c>
      <c r="BE65" s="10"/>
      <c r="BF65" s="10">
        <v>1</v>
      </c>
      <c r="BG65" s="10"/>
      <c r="BH65" s="10">
        <v>1</v>
      </c>
      <c r="BL65" s="10"/>
      <c r="BM65" s="10">
        <v>0.5</v>
      </c>
      <c r="BN65" s="10"/>
      <c r="BO65" s="10">
        <v>0.5</v>
      </c>
      <c r="BS65" s="10"/>
      <c r="BT65" s="10">
        <v>0.5</v>
      </c>
      <c r="BU65" s="10"/>
      <c r="BV65" s="10">
        <v>0.5</v>
      </c>
      <c r="BZ65" s="10"/>
      <c r="CA65" s="10">
        <v>0.5</v>
      </c>
      <c r="CB65" s="10"/>
      <c r="CC65" s="10">
        <v>0.5</v>
      </c>
      <c r="CG65" s="10"/>
      <c r="CH65" s="10">
        <v>0.8</v>
      </c>
      <c r="CI65" s="10"/>
      <c r="CJ65" s="10">
        <v>0.8</v>
      </c>
      <c r="CN65" s="10"/>
      <c r="CO65" s="10">
        <v>0.8</v>
      </c>
      <c r="CP65" s="10"/>
      <c r="CQ65" s="10">
        <v>0.8</v>
      </c>
      <c r="CU65" s="10"/>
      <c r="CV65" s="10">
        <v>1</v>
      </c>
      <c r="CW65" s="10"/>
      <c r="CX65" s="10">
        <v>1</v>
      </c>
      <c r="DB65" s="10"/>
      <c r="DC65" s="10"/>
      <c r="DD65" s="10"/>
      <c r="DE65" s="10"/>
      <c r="DI65" s="10"/>
      <c r="DJ65" s="10"/>
      <c r="DK65" s="10"/>
      <c r="DL65" s="10"/>
      <c r="DP65" s="10"/>
      <c r="DQ65" s="10"/>
      <c r="DR65" s="10"/>
      <c r="DS65" s="10"/>
      <c r="DW65" s="10"/>
      <c r="DX65" s="10"/>
      <c r="DY65" s="10"/>
      <c r="DZ65" s="10"/>
      <c r="ED65" s="10"/>
      <c r="EE65" s="10"/>
      <c r="EF65" s="10"/>
      <c r="EG65" s="10"/>
      <c r="EK65" s="10"/>
      <c r="EL65" s="10"/>
      <c r="EM65" s="10"/>
      <c r="EN65" s="10"/>
    </row>
    <row r="71" spans="2:144" x14ac:dyDescent="0.2">
      <c r="B71" t="s">
        <v>162</v>
      </c>
      <c r="D71" t="s">
        <v>161</v>
      </c>
    </row>
    <row r="72" spans="2:144" x14ac:dyDescent="0.2">
      <c r="B72">
        <v>12</v>
      </c>
      <c r="C72">
        <v>30</v>
      </c>
      <c r="D72" s="16">
        <v>53</v>
      </c>
      <c r="E72">
        <v>100</v>
      </c>
    </row>
    <row r="73" spans="2:144" x14ac:dyDescent="0.2">
      <c r="B73">
        <f>+B72/3</f>
        <v>4</v>
      </c>
      <c r="C73" s="20">
        <v>10</v>
      </c>
      <c r="D73">
        <v>12</v>
      </c>
      <c r="E73">
        <f>$E$72/$D$72*D73</f>
        <v>22.641509433962263</v>
      </c>
    </row>
    <row r="74" spans="2:144" x14ac:dyDescent="0.2">
      <c r="B74">
        <v>3</v>
      </c>
      <c r="C74" s="20">
        <v>5</v>
      </c>
      <c r="D74">
        <v>16</v>
      </c>
      <c r="E74">
        <f>$E$72/$D$72*D74</f>
        <v>30.188679245283019</v>
      </c>
    </row>
    <row r="75" spans="2:144" x14ac:dyDescent="0.2">
      <c r="B75">
        <v>4</v>
      </c>
      <c r="C75" s="20">
        <v>10</v>
      </c>
      <c r="D75">
        <v>12</v>
      </c>
      <c r="E75">
        <f>$E$72/$D$72*D75</f>
        <v>22.641509433962263</v>
      </c>
      <c r="J75" t="s">
        <v>172</v>
      </c>
    </row>
    <row r="76" spans="2:144" x14ac:dyDescent="0.2">
      <c r="B76">
        <v>2</v>
      </c>
      <c r="C76" s="20">
        <v>5</v>
      </c>
      <c r="D76">
        <v>13</v>
      </c>
      <c r="E76">
        <f>$E$72/$D$72*D76</f>
        <v>24.528301886792452</v>
      </c>
      <c r="J76" s="20">
        <f>+SUM(I4,I18,I36,I51)</f>
        <v>171.95</v>
      </c>
    </row>
  </sheetData>
  <mergeCells count="20">
    <mergeCell ref="EC2:EH2"/>
    <mergeCell ref="EJ2:EO2"/>
    <mergeCell ref="DH2:DM2"/>
    <mergeCell ref="DO2:DT2"/>
    <mergeCell ref="DV2:EA2"/>
    <mergeCell ref="CT2:CY2"/>
    <mergeCell ref="DA2:DF2"/>
    <mergeCell ref="BK2:BP2"/>
    <mergeCell ref="BR2:BW2"/>
    <mergeCell ref="BY2:CD2"/>
    <mergeCell ref="CF2:CK2"/>
    <mergeCell ref="CM2:CR2"/>
    <mergeCell ref="I2:L2"/>
    <mergeCell ref="N2:S2"/>
    <mergeCell ref="BD2:BI2"/>
    <mergeCell ref="U2:Z2"/>
    <mergeCell ref="AB2:AG2"/>
    <mergeCell ref="AI2:AN2"/>
    <mergeCell ref="AP2:AU2"/>
    <mergeCell ref="AW2:BB2"/>
  </mergeCells>
  <conditionalFormatting sqref="J5:J16">
    <cfRule type="colorScale" priority="961">
      <colorScale>
        <cfvo type="percent" val="0"/>
        <cfvo type="percent" val="100"/>
        <color rgb="FFFF231B"/>
        <color rgb="FF10FF07"/>
      </colorScale>
    </cfRule>
  </conditionalFormatting>
  <conditionalFormatting sqref="J20">
    <cfRule type="colorScale" priority="410">
      <colorScale>
        <cfvo type="percent" val="0"/>
        <cfvo type="percent" val="100"/>
        <color rgb="FFFF231B"/>
        <color rgb="FF10FF07"/>
      </colorScale>
    </cfRule>
  </conditionalFormatting>
  <conditionalFormatting sqref="J21">
    <cfRule type="colorScale" priority="391">
      <colorScale>
        <cfvo type="percent" val="0"/>
        <cfvo type="percent" val="100"/>
        <color rgb="FFFF231B"/>
        <color rgb="FF10FF07"/>
      </colorScale>
    </cfRule>
  </conditionalFormatting>
  <conditionalFormatting sqref="J22:J34 J19">
    <cfRule type="colorScale" priority="644">
      <colorScale>
        <cfvo type="percent" val="0"/>
        <cfvo type="percent" val="100"/>
        <color rgb="FFFF231B"/>
        <color rgb="FF10FF07"/>
      </colorScale>
    </cfRule>
  </conditionalFormatting>
  <conditionalFormatting sqref="J37:J49">
    <cfRule type="colorScale" priority="965">
      <colorScale>
        <cfvo type="percent" val="0"/>
        <cfvo type="percent" val="100"/>
        <color rgb="FFFF231B"/>
        <color rgb="FF10FF07"/>
      </colorScale>
    </cfRule>
  </conditionalFormatting>
  <conditionalFormatting sqref="J52:J65">
    <cfRule type="colorScale" priority="1049">
      <colorScale>
        <cfvo type="percent" val="0"/>
        <cfvo type="percent" val="100"/>
        <color rgb="FFFF231B"/>
        <color rgb="FF10FF07"/>
      </colorScale>
    </cfRule>
  </conditionalFormatting>
  <conditionalFormatting sqref="J6:K16">
    <cfRule type="colorScale" priority="963">
      <colorScale>
        <cfvo type="percent" val="0"/>
        <cfvo type="percent" val="100"/>
        <color rgb="FFFF231B"/>
        <color rgb="FF10FF07"/>
      </colorScale>
    </cfRule>
  </conditionalFormatting>
  <conditionalFormatting sqref="J20:K20">
    <cfRule type="colorScale" priority="411">
      <colorScale>
        <cfvo type="percent" val="0"/>
        <cfvo type="percent" val="100"/>
        <color rgb="FFFF231B"/>
        <color rgb="FF10FF07"/>
      </colorScale>
    </cfRule>
  </conditionalFormatting>
  <conditionalFormatting sqref="J21:K21">
    <cfRule type="colorScale" priority="392">
      <colorScale>
        <cfvo type="percent" val="0"/>
        <cfvo type="percent" val="100"/>
        <color rgb="FFFF231B"/>
        <color rgb="FF10FF07"/>
      </colorScale>
    </cfRule>
  </conditionalFormatting>
  <conditionalFormatting sqref="J22:K34">
    <cfRule type="colorScale" priority="645">
      <colorScale>
        <cfvo type="percent" val="0"/>
        <cfvo type="percent" val="100"/>
        <color rgb="FFFF231B"/>
        <color rgb="FF10FF07"/>
      </colorScale>
    </cfRule>
  </conditionalFormatting>
  <conditionalFormatting sqref="J38:K49">
    <cfRule type="colorScale" priority="966">
      <colorScale>
        <cfvo type="percent" val="0"/>
        <cfvo type="percent" val="100"/>
        <color rgb="FFFF231B"/>
        <color rgb="FF10FF07"/>
      </colorScale>
    </cfRule>
  </conditionalFormatting>
  <conditionalFormatting sqref="J53:K64">
    <cfRule type="colorScale" priority="1050">
      <colorScale>
        <cfvo type="percent" val="0"/>
        <cfvo type="percent" val="100"/>
        <color rgb="FFFF231B"/>
        <color rgb="FF10FF07"/>
      </colorScale>
    </cfRule>
  </conditionalFormatting>
  <conditionalFormatting sqref="J65:K65">
    <cfRule type="colorScale" priority="151">
      <colorScale>
        <cfvo type="percent" val="0"/>
        <cfvo type="percent" val="100"/>
        <color rgb="FFFF231B"/>
        <color rgb="FF10FF07"/>
      </colorScale>
    </cfRule>
  </conditionalFormatting>
  <conditionalFormatting sqref="K5:K16">
    <cfRule type="colorScale" priority="964">
      <colorScale>
        <cfvo type="percent" val="0"/>
        <cfvo type="percent" val="100"/>
        <color rgb="FFFF231B"/>
        <color rgb="FF10FF07"/>
      </colorScale>
    </cfRule>
  </conditionalFormatting>
  <conditionalFormatting sqref="K20">
    <cfRule type="colorScale" priority="409">
      <colorScale>
        <cfvo type="percent" val="0"/>
        <cfvo type="percent" val="100"/>
        <color rgb="FFFF231B"/>
        <color rgb="FF10FF07"/>
      </colorScale>
    </cfRule>
  </conditionalFormatting>
  <conditionalFormatting sqref="K21">
    <cfRule type="colorScale" priority="390">
      <colorScale>
        <cfvo type="percent" val="0"/>
        <cfvo type="percent" val="100"/>
        <color rgb="FFFF231B"/>
        <color rgb="FF10FF07"/>
      </colorScale>
    </cfRule>
  </conditionalFormatting>
  <conditionalFormatting sqref="K22:K34 K19">
    <cfRule type="colorScale" priority="643">
      <colorScale>
        <cfvo type="percent" val="0"/>
        <cfvo type="percent" val="100"/>
        <color rgb="FFFF231B"/>
        <color rgb="FF10FF07"/>
      </colorScale>
    </cfRule>
  </conditionalFormatting>
  <conditionalFormatting sqref="K37:K49">
    <cfRule type="colorScale" priority="967">
      <colorScale>
        <cfvo type="percent" val="0"/>
        <cfvo type="percent" val="100"/>
        <color rgb="FFFF231B"/>
        <color rgb="FF10FF07"/>
      </colorScale>
    </cfRule>
  </conditionalFormatting>
  <conditionalFormatting sqref="K52:K65">
    <cfRule type="colorScale" priority="1051">
      <colorScale>
        <cfvo type="percent" val="0"/>
        <cfvo type="percent" val="100"/>
        <color rgb="FFFF231B"/>
        <color rgb="FF10FF07"/>
      </colorScale>
    </cfRule>
  </conditionalFormatting>
  <conditionalFormatting sqref="O5 Q5:Q16 AC5:AC16 AE5:AE16 AJ5:AJ16 AL5:AL16 BS5:BS16 BU5:BU16 BZ5:BZ16 CB5:CB16 CG5:CG16 CI5:CI16 CN5:CN16 CP5:CP16 CU5:CU16 CW5:CW16 DB5:DB16 DD5:DD16 O7:O16 O19:O25 O28:O34 O37:O49 Q37:Q49 V37:V49 X37:X49 AC37:AC49 AE37:AE49 AJ37:AJ49 AL37:AL49 AQ37:AQ49 AS37:AS49 AX37:AX49 AZ37:AZ49 BE37:BE49 BG37:BG49 BS37:BS49 BU37:BU49 BZ37:BZ49 CB37:CB49 CG37:CG49 CI37:CI49 CN37:CN49 CP37:CP49 CU37:CU49 CW37:CW49 DB37:DB49 DD37:DD49 O52:O65 Q52:Q65 V52:V65 X52:X65 AC52:AC65 AE52:AE65 AJ52:AJ65 AL52:AL65 AQ52:AQ65 AS52:AS65 AX52:AX65 AZ52:AZ65 BE52:BE65 BG52:BG65 BL52:BL65 BN52:BN65 BS52:BS65 BU52:BU65 BZ52:BZ65 CB52:CB65 CG52:CG65 CI52:CI65 CN52:CN65 CP52:CP65 CU52:CU65 CW52:CW65 DB52:DB65 DD52:DD65 DI52:DI65 DK52:DK65 DP52:DP65 DR52:DR65 DW52:DW65 DY52:DY65 ED52:ED65 EF52:EF65 EK52:EK65 EM52:EM65 BL37:BL49 BN37:BN49">
    <cfRule type="expression" dxfId="97" priority="830">
      <formula>OR(IF(O5&lt;P5,TRUE),IF(AND(P5="",O5&lt;&gt;""),TRUE))</formula>
    </cfRule>
    <cfRule type="expression" dxfId="96" priority="831">
      <formula>IF(O5&gt;=P5,IF(O5="",FALSE,TRUE))</formula>
    </cfRule>
  </conditionalFormatting>
  <conditionalFormatting sqref="O6">
    <cfRule type="expression" dxfId="95" priority="1055">
      <formula>IF(O6&gt;=P7,IF(O6="",FALSE,TRUE))</formula>
    </cfRule>
    <cfRule type="expression" dxfId="94" priority="1054">
      <formula>OR(IF(O6&lt;P7,TRUE),IF(AND(P7="",O6&lt;&gt;""),TRUE))</formula>
    </cfRule>
  </conditionalFormatting>
  <conditionalFormatting sqref="O27">
    <cfRule type="expression" dxfId="93" priority="1058">
      <formula>OR(IF(O27&lt;P26,TRUE),IF(AND(P26="",O27&lt;&gt;""),TRUE))</formula>
    </cfRule>
    <cfRule type="expression" dxfId="92" priority="1059">
      <formula>IF(O27&gt;=P26,IF(O27="",FALSE,TRUE))</formula>
    </cfRule>
  </conditionalFormatting>
  <conditionalFormatting sqref="Q19:Q34">
    <cfRule type="expression" dxfId="91" priority="185">
      <formula>IF(Q19&gt;=R19,IF(Q19="",FALSE,TRUE))</formula>
    </cfRule>
    <cfRule type="expression" dxfId="90" priority="184">
      <formula>OR(IF(Q19&lt;R19,TRUE),IF(AND(R19="",Q19&lt;&gt;""),TRUE))</formula>
    </cfRule>
  </conditionalFormatting>
  <conditionalFormatting sqref="V5:V16">
    <cfRule type="expression" dxfId="89" priority="159">
      <formula>IF(V5&gt;=W5,IF(V5="",FALSE,TRUE))</formula>
    </cfRule>
    <cfRule type="expression" dxfId="88" priority="158">
      <formula>OR(IF(V5&lt;W5,TRUE),IF(AND(W5="",V5&lt;&gt;""),TRUE))</formula>
    </cfRule>
  </conditionalFormatting>
  <conditionalFormatting sqref="V19:V34 X19:X34">
    <cfRule type="expression" dxfId="87" priority="181">
      <formula>IF(V19&gt;=W19,IF(V19="",FALSE,TRUE))</formula>
    </cfRule>
    <cfRule type="expression" dxfId="86" priority="180">
      <formula>OR(IF(V19&lt;W19,TRUE),IF(AND(W19="",V19&lt;&gt;""),TRUE))</formula>
    </cfRule>
  </conditionalFormatting>
  <conditionalFormatting sqref="X5:X16">
    <cfRule type="expression" dxfId="85" priority="157">
      <formula>IF(X5&gt;=Y5,IF(X5="",FALSE,TRUE))</formula>
    </cfRule>
    <cfRule type="expression" dxfId="84" priority="156">
      <formula>OR(IF(X5&lt;Y5,TRUE),IF(AND(Y5="",X5&lt;&gt;""),TRUE))</formula>
    </cfRule>
  </conditionalFormatting>
  <conditionalFormatting sqref="AC19:AC34">
    <cfRule type="expression" dxfId="83" priority="155">
      <formula>IF(AC19&gt;=AD19,IF(AC19="",FALSE,TRUE))</formula>
    </cfRule>
    <cfRule type="expression" dxfId="82" priority="154">
      <formula>OR(IF(AC19&lt;AD19,TRUE),IF(AND(AD19="",AC19&lt;&gt;""),TRUE))</formula>
    </cfRule>
  </conditionalFormatting>
  <conditionalFormatting sqref="AE19:AE34">
    <cfRule type="expression" dxfId="81" priority="152">
      <formula>OR(IF(AE19&lt;AF19,TRUE),IF(AND(AF19="",AE19&lt;&gt;""),TRUE))</formula>
    </cfRule>
    <cfRule type="expression" dxfId="80" priority="153">
      <formula>IF(AE19&gt;=AF19,IF(AE19="",FALSE,TRUE))</formula>
    </cfRule>
  </conditionalFormatting>
  <conditionalFormatting sqref="AJ19:AJ34">
    <cfRule type="expression" dxfId="79" priority="147">
      <formula>OR(IF(AJ19&lt;AK19,TRUE),IF(AND(AK19="",AJ19&lt;&gt;""),TRUE))</formula>
    </cfRule>
    <cfRule type="expression" dxfId="78" priority="148">
      <formula>IF(AJ19&gt;=AK19,IF(AJ19="",FALSE,TRUE))</formula>
    </cfRule>
  </conditionalFormatting>
  <conditionalFormatting sqref="AL19:AL34">
    <cfRule type="expression" dxfId="77" priority="140">
      <formula>IF(AL19&gt;=AM19,IF(AL19="",FALSE,TRUE))</formula>
    </cfRule>
    <cfRule type="expression" dxfId="76" priority="139">
      <formula>OR(IF(AL19&lt;AM19,TRUE),IF(AND(AM19="",AL19&lt;&gt;""),TRUE))</formula>
    </cfRule>
  </conditionalFormatting>
  <conditionalFormatting sqref="AQ5:AQ16">
    <cfRule type="expression" dxfId="75" priority="114">
      <formula>IF(AQ5&gt;=AR5,IF(AQ5="",FALSE,TRUE))</formula>
    </cfRule>
    <cfRule type="expression" dxfId="74" priority="113">
      <formula>OR(IF(AQ5&lt;AR5,TRUE),IF(AND(AR5="",AQ5&lt;&gt;""),TRUE))</formula>
    </cfRule>
  </conditionalFormatting>
  <conditionalFormatting sqref="AQ19:AQ34">
    <cfRule type="expression" dxfId="73" priority="132">
      <formula>IF(AQ19&gt;=AR19,IF(AQ19="",FALSE,TRUE))</formula>
    </cfRule>
    <cfRule type="expression" dxfId="72" priority="131">
      <formula>OR(IF(AQ19&lt;AR19,TRUE),IF(AND(AR19="",AQ19&lt;&gt;""),TRUE))</formula>
    </cfRule>
  </conditionalFormatting>
  <conditionalFormatting sqref="AS5:AS16">
    <cfRule type="expression" dxfId="71" priority="111">
      <formula>OR(IF(AS5&lt;AT5,TRUE),IF(AND(AT5="",AS5&lt;&gt;""),TRUE))</formula>
    </cfRule>
    <cfRule type="expression" dxfId="70" priority="112">
      <formula>IF(AS5&gt;=AT5,IF(AS5="",FALSE,TRUE))</formula>
    </cfRule>
  </conditionalFormatting>
  <conditionalFormatting sqref="AS19:AS34">
    <cfRule type="expression" dxfId="69" priority="118">
      <formula>IF(AS19&gt;=AT19,IF(AS19="",FALSE,TRUE))</formula>
    </cfRule>
    <cfRule type="expression" dxfId="68" priority="117">
      <formula>OR(IF(AS19&lt;AT19,TRUE),IF(AND(AT19="",AS19&lt;&gt;""),TRUE))</formula>
    </cfRule>
  </conditionalFormatting>
  <conditionalFormatting sqref="AX5:AX16">
    <cfRule type="expression" dxfId="67" priority="109">
      <formula>OR(IF(AX5&lt;AY5,TRUE),IF(AND(AY5="",AX5&lt;&gt;""),TRUE))</formula>
    </cfRule>
    <cfRule type="expression" dxfId="66" priority="110">
      <formula>IF(AX5&gt;=AY5,IF(AX5="",FALSE,TRUE))</formula>
    </cfRule>
  </conditionalFormatting>
  <conditionalFormatting sqref="AX19:AX34">
    <cfRule type="expression" dxfId="65" priority="91">
      <formula>OR(IF(AX19&lt;AY19,TRUE),IF(AND(AY19="",AX19&lt;&gt;""),TRUE))</formula>
    </cfRule>
    <cfRule type="expression" dxfId="64" priority="92">
      <formula>IF(AX19&gt;=AY19,IF(AX19="",FALSE,TRUE))</formula>
    </cfRule>
  </conditionalFormatting>
  <conditionalFormatting sqref="AZ5:AZ16">
    <cfRule type="expression" dxfId="63" priority="83">
      <formula>OR(IF(AZ5&lt;BA5,TRUE),IF(AND(BA5="",AZ5&lt;&gt;""),TRUE))</formula>
    </cfRule>
    <cfRule type="expression" dxfId="62" priority="84">
      <formula>IF(AZ5&gt;=BA5,IF(AZ5="",FALSE,TRUE))</formula>
    </cfRule>
  </conditionalFormatting>
  <conditionalFormatting sqref="AZ19:AZ34">
    <cfRule type="expression" dxfId="61" priority="75">
      <formula>OR(IF(AZ19&lt;BA19,TRUE),IF(AND(BA19="",AZ19&lt;&gt;""),TRUE))</formula>
    </cfRule>
    <cfRule type="expression" dxfId="60" priority="76">
      <formula>IF(AZ19&gt;=BA19,IF(AZ19="",FALSE,TRUE))</formula>
    </cfRule>
  </conditionalFormatting>
  <conditionalFormatting sqref="BE5:BE16">
    <cfRule type="expression" dxfId="59" priority="66">
      <formula>IF(BE5&gt;=BF5,IF(BE5="",FALSE,TRUE))</formula>
    </cfRule>
    <cfRule type="expression" dxfId="58" priority="65">
      <formula>OR(IF(BE5&lt;BF5,TRUE),IF(AND(BF5="",BE5&lt;&gt;""),TRUE))</formula>
    </cfRule>
  </conditionalFormatting>
  <conditionalFormatting sqref="BE19:BE34">
    <cfRule type="expression" dxfId="57" priority="53">
      <formula>OR(IF(BE19&lt;BF19,TRUE),IF(AND(BF19="",BE19&lt;&gt;""),TRUE))</formula>
    </cfRule>
    <cfRule type="expression" dxfId="56" priority="54">
      <formula>IF(BE19&gt;=BF19,IF(BE19="",FALSE,TRUE))</formula>
    </cfRule>
  </conditionalFormatting>
  <conditionalFormatting sqref="BG5:BG16">
    <cfRule type="expression" dxfId="55" priority="37">
      <formula>OR(IF(BG5&lt;BH5,TRUE),IF(AND(BH5="",BG5&lt;&gt;""),TRUE))</formula>
    </cfRule>
    <cfRule type="expression" dxfId="54" priority="38">
      <formula>IF(BG5&gt;=BH5,IF(BG5="",FALSE,TRUE))</formula>
    </cfRule>
  </conditionalFormatting>
  <conditionalFormatting sqref="BG19:BG34">
    <cfRule type="expression" dxfId="53" priority="34">
      <formula>IF(BG19&gt;=BH19,IF(BG19="",FALSE,TRUE))</formula>
    </cfRule>
    <cfRule type="expression" dxfId="52" priority="33">
      <formula>OR(IF(BG19&lt;BH19,TRUE),IF(AND(BH19="",BG19&lt;&gt;""),TRUE))</formula>
    </cfRule>
  </conditionalFormatting>
  <conditionalFormatting sqref="BL5:BL16">
    <cfRule type="expression" dxfId="51" priority="24">
      <formula>IF(BL5&gt;=BM5,IF(BL5="",FALSE,TRUE))</formula>
    </cfRule>
    <cfRule type="expression" dxfId="50" priority="23">
      <formula>OR(IF(BL5&lt;BM5,TRUE),IF(AND(BM5="",BL5&lt;&gt;""),TRUE))</formula>
    </cfRule>
  </conditionalFormatting>
  <conditionalFormatting sqref="BL19:BL34">
    <cfRule type="expression" dxfId="49" priority="10">
      <formula>IF(BL19&gt;=BM19,IF(BL19="",FALSE,TRUE))</formula>
    </cfRule>
    <cfRule type="expression" dxfId="48" priority="9">
      <formula>OR(IF(BL19&lt;BM19,TRUE),IF(AND(BM19="",BL19&lt;&gt;""),TRUE))</formula>
    </cfRule>
  </conditionalFormatting>
  <conditionalFormatting sqref="BN5:BN16">
    <cfRule type="expression" dxfId="47" priority="1">
      <formula>OR(IF(BN5&lt;BO5,TRUE),IF(AND(BO5="",BN5&lt;&gt;""),TRUE))</formula>
    </cfRule>
    <cfRule type="expression" dxfId="46" priority="2">
      <formula>IF(BN5&gt;=BO5,IF(BN5="",FALSE,TRUE))</formula>
    </cfRule>
  </conditionalFormatting>
  <conditionalFormatting sqref="BN19:BN34">
    <cfRule type="expression" dxfId="45" priority="5">
      <formula>OR(IF(BN19&lt;BO19,TRUE),IF(AND(BO19="",BN19&lt;&gt;""),TRUE))</formula>
    </cfRule>
    <cfRule type="expression" dxfId="44" priority="6">
      <formula>IF(BN19&gt;=BO19,IF(BN19="",FALSE,TRUE))</formula>
    </cfRule>
  </conditionalFormatting>
  <conditionalFormatting sqref="BS19:BS34 BU19:BU34">
    <cfRule type="expression" dxfId="43" priority="166">
      <formula>OR(IF(BS19&lt;BT19,TRUE),IF(AND(BT19="",BS19&lt;&gt;""),TRUE))</formula>
    </cfRule>
    <cfRule type="expression" dxfId="42" priority="167">
      <formula>IF(BS19&gt;=BT19,IF(BS19="",FALSE,TRUE))</formula>
    </cfRule>
  </conditionalFormatting>
  <conditionalFormatting sqref="BZ19:BZ34 CB19:CB34">
    <cfRule type="expression" dxfId="41" priority="164">
      <formula>OR(IF(BZ19&lt;CA19,TRUE),IF(AND(CA19="",BZ19&lt;&gt;""),TRUE))</formula>
    </cfRule>
    <cfRule type="expression" dxfId="40" priority="165">
      <formula>IF(BZ19&gt;=CA19,IF(BZ19="",FALSE,TRUE))</formula>
    </cfRule>
  </conditionalFormatting>
  <conditionalFormatting sqref="CG19:CG34 CI19:CI34">
    <cfRule type="expression" dxfId="39" priority="162">
      <formula>OR(IF(CG19&lt;CH19,TRUE),IF(AND(CH19="",CG19&lt;&gt;""),TRUE))</formula>
    </cfRule>
    <cfRule type="expression" dxfId="38" priority="163">
      <formula>IF(CG19&gt;=CH19,IF(CG19="",FALSE,TRUE))</formula>
    </cfRule>
  </conditionalFormatting>
  <conditionalFormatting sqref="CN19:CN34 CP19:CP34">
    <cfRule type="expression" dxfId="37" priority="160">
      <formula>OR(IF(CN19&lt;CO19,TRUE),IF(AND(CO19="",CN19&lt;&gt;""),TRUE))</formula>
    </cfRule>
    <cfRule type="expression" dxfId="36" priority="161">
      <formula>IF(CN19&gt;=CO19,IF(CN19="",FALSE,TRUE))</formula>
    </cfRule>
  </conditionalFormatting>
  <conditionalFormatting sqref="CU19:CU34 CW19:CW34">
    <cfRule type="expression" dxfId="35" priority="288">
      <formula>OR(IF(CU19&lt;CV19,TRUE),IF(AND(CV19="",CU19&lt;&gt;""),TRUE))</formula>
    </cfRule>
    <cfRule type="expression" dxfId="34" priority="289">
      <formula>IF(CU19&gt;=CV19,IF(CU19="",FALSE,TRUE))</formula>
    </cfRule>
  </conditionalFormatting>
  <conditionalFormatting sqref="DB19:DB34 DD19:DD34">
    <cfRule type="expression" dxfId="33" priority="268">
      <formula>OR(IF(DB19&lt;DC19,TRUE),IF(AND(DC19="",DB19&lt;&gt;""),TRUE))</formula>
    </cfRule>
    <cfRule type="expression" dxfId="32" priority="269">
      <formula>IF(DB19&gt;=DC19,IF(DB19="",FALSE,TRUE))</formula>
    </cfRule>
  </conditionalFormatting>
  <conditionalFormatting sqref="DI5:DI16 DK5:DK16 DI37:DI49 DK37:DK49">
    <cfRule type="expression" dxfId="31" priority="264">
      <formula>OR(IF(DI5&lt;DJ5,TRUE),IF(AND(DJ5="",DI5&lt;&gt;""),TRUE))</formula>
    </cfRule>
    <cfRule type="expression" dxfId="30" priority="265">
      <formula>IF(DI5&gt;=DJ5,IF(DI5="",FALSE,TRUE))</formula>
    </cfRule>
  </conditionalFormatting>
  <conditionalFormatting sqref="DI19:DI34 DK19:DK34">
    <cfRule type="expression" dxfId="29" priority="262">
      <formula>OR(IF(DI19&lt;DJ19,TRUE),IF(AND(DJ19="",DI19&lt;&gt;""),TRUE))</formula>
    </cfRule>
    <cfRule type="expression" dxfId="28" priority="263">
      <formula>IF(DI19&gt;=DJ19,IF(DI19="",FALSE,TRUE))</formula>
    </cfRule>
  </conditionalFormatting>
  <conditionalFormatting sqref="DP5:DP16 DR5:DR16 DP37:DP49 DR37:DR49">
    <cfRule type="expression" dxfId="27" priority="260">
      <formula>OR(IF(DP5&lt;DQ5,TRUE),IF(AND(DQ5="",DP5&lt;&gt;""),TRUE))</formula>
    </cfRule>
    <cfRule type="expression" dxfId="26" priority="261">
      <formula>IF(DP5&gt;=DQ5,IF(DP5="",FALSE,TRUE))</formula>
    </cfRule>
  </conditionalFormatting>
  <conditionalFormatting sqref="DP19:DP34 DR19:DR34">
    <cfRule type="expression" dxfId="25" priority="259">
      <formula>IF(DP19&gt;=DQ19,IF(DP19="",FALSE,TRUE))</formula>
    </cfRule>
    <cfRule type="expression" dxfId="24" priority="258">
      <formula>OR(IF(DP19&lt;DQ19,TRUE),IF(AND(DQ19="",DP19&lt;&gt;""),TRUE))</formula>
    </cfRule>
  </conditionalFormatting>
  <conditionalFormatting sqref="DW5:DW16 DY5:DY16 DW37:DW49 DY37:DY49">
    <cfRule type="expression" dxfId="23" priority="256">
      <formula>OR(IF(DW5&lt;DX5,TRUE),IF(AND(DX5="",DW5&lt;&gt;""),TRUE))</formula>
    </cfRule>
    <cfRule type="expression" dxfId="22" priority="257">
      <formula>IF(DW5&gt;=DX5,IF(DW5="",FALSE,TRUE))</formula>
    </cfRule>
  </conditionalFormatting>
  <conditionalFormatting sqref="DW19:DW34 DY19:DY34">
    <cfRule type="expression" dxfId="21" priority="254">
      <formula>OR(IF(DW19&lt;DX19,TRUE),IF(AND(DX19="",DW19&lt;&gt;""),TRUE))</formula>
    </cfRule>
    <cfRule type="expression" dxfId="20" priority="255">
      <formula>IF(DW19&gt;=DX19,IF(DW19="",FALSE,TRUE))</formula>
    </cfRule>
  </conditionalFormatting>
  <conditionalFormatting sqref="ED5:ED16 EF5:EF16 ED37:ED49 EF37:EF49">
    <cfRule type="expression" dxfId="19" priority="253">
      <formula>IF(ED5&gt;=EE5,IF(ED5="",FALSE,TRUE))</formula>
    </cfRule>
    <cfRule type="expression" dxfId="18" priority="252">
      <formula>OR(IF(ED5&lt;EE5,TRUE),IF(AND(EE5="",ED5&lt;&gt;""),TRUE))</formula>
    </cfRule>
  </conditionalFormatting>
  <conditionalFormatting sqref="ED19:ED34 EF19:EF34">
    <cfRule type="expression" dxfId="17" priority="250">
      <formula>OR(IF(ED19&lt;EE19,TRUE),IF(AND(EE19="",ED19&lt;&gt;""),TRUE))</formula>
    </cfRule>
    <cfRule type="expression" dxfId="16" priority="251">
      <formula>IF(ED19&gt;=EE19,IF(ED19="",FALSE,TRUE))</formula>
    </cfRule>
  </conditionalFormatting>
  <conditionalFormatting sqref="EK5:EK16 EM5:EM16 EK37:EK49 EM37:EM49">
    <cfRule type="expression" dxfId="15" priority="248">
      <formula>OR(IF(EK5&lt;EL5,TRUE),IF(AND(EL5="",EK5&lt;&gt;""),TRUE))</formula>
    </cfRule>
    <cfRule type="expression" dxfId="14" priority="249">
      <formula>IF(EK5&gt;=EL5,IF(EK5="",FALSE,TRUE))</formula>
    </cfRule>
  </conditionalFormatting>
  <conditionalFormatting sqref="EK19:EK34 EM19:EM34">
    <cfRule type="expression" dxfId="13" priority="247">
      <formula>IF(EK19&gt;=EL19,IF(EK19="",FALSE,TRUE))</formula>
    </cfRule>
    <cfRule type="expression" dxfId="12" priority="246">
      <formula>OR(IF(EK19&lt;EL19,TRUE),IF(AND(EL19="",EK19&lt;&gt;""),TRUE))</formula>
    </cfRule>
  </conditionalFormatting>
  <dataValidations count="1">
    <dataValidation type="list" allowBlank="1" showInputMessage="1" showErrorMessage="1" sqref="AJ52:AM65 BS19:BV34 BZ5:CC16 CG19:CJ34 V19:Y34 AJ5:AM16 AQ52:AT65 AX52:BA65 BL19:BO34 BS5:BV16 AC19:AF34 BE5:BH16 AJ19:AM34 BE19:BH34 AC5:AF16 BZ19:CC34 BL52:BO65 AX19:BA34 AQ19:AT34 V5:Y16 BZ52:CC65 CG5:CJ16 EK5:EN16 EK19:EN34 P26:R27 CU5:CX16 CU19:CX34 DB5:DE16 DB19:DE34 CG52:CJ65 DI5:DL16 DI19:DL34 DP5:DS16 DP19:DS34 DW5:DZ16 DW19:DZ34 ED5:EG16 ED19:EG34 AQ5:AT16 AX5:BA16 ED52:EG65 DW52:DZ65 DP52:DS65 DI52:DL65 DB52:DE65 EK52:EN65 AC52:AF65 BS52:BV65 CU52:CX65 V52:Y65 O52:R65 BE52:BH65 CN19:CQ34 CN5:CQ16 BL5:BO16 CN52:CQ65 O5:R16 O27 O19:R25 O28:R34 CN37:CQ49 AC37:AF49 CU37:CX49 AJ37:AM49 BE37:BH49 ED37:EG49 DW37:DZ49 DP37:DS49 DI37:DL49 DB37:DE49 O37:R49 V37:Y49 EK37:EN49 AQ37:AT49 AX37:BA49 CG37:CJ49 BS37:BV49 BZ37:CC49 BL37:BO49"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topLeftCell="A9" workbookViewId="0">
      <selection activeCell="B2" sqref="B2"/>
    </sheetView>
  </sheetViews>
  <sheetFormatPr baseColWidth="10" defaultColWidth="10.6640625" defaultRowHeight="16" x14ac:dyDescent="0.2"/>
  <cols>
    <col min="2" max="2" width="161" customWidth="1"/>
    <col min="3" max="3" width="10.83203125"/>
  </cols>
  <sheetData>
    <row r="4" spans="2:2" ht="21" x14ac:dyDescent="0.25">
      <c r="B4" s="3" t="s">
        <v>16</v>
      </c>
    </row>
    <row r="6" spans="2:2" x14ac:dyDescent="0.2">
      <c r="B6" s="2" t="s">
        <v>13</v>
      </c>
    </row>
    <row r="7" spans="2:2" ht="51" x14ac:dyDescent="0.2">
      <c r="B7" s="1" t="s">
        <v>14</v>
      </c>
    </row>
    <row r="9" spans="2:2" x14ac:dyDescent="0.2">
      <c r="B9" s="2" t="s">
        <v>15</v>
      </c>
    </row>
    <row r="10" spans="2:2" ht="68" x14ac:dyDescent="0.2">
      <c r="B10" s="1" t="s">
        <v>36</v>
      </c>
    </row>
    <row r="12" spans="2:2" x14ac:dyDescent="0.2">
      <c r="B12" s="2" t="s">
        <v>17</v>
      </c>
    </row>
    <row r="13" spans="2:2" ht="153" x14ac:dyDescent="0.2">
      <c r="B13" s="1" t="s">
        <v>18</v>
      </c>
    </row>
    <row r="15" spans="2:2" x14ac:dyDescent="0.2">
      <c r="B15" s="2" t="s">
        <v>19</v>
      </c>
    </row>
    <row r="16" spans="2:2" ht="119" x14ac:dyDescent="0.2">
      <c r="B16" s="1" t="s">
        <v>20</v>
      </c>
    </row>
    <row r="17" spans="2:2" x14ac:dyDescent="0.2">
      <c r="B17" s="1"/>
    </row>
    <row r="18" spans="2:2" x14ac:dyDescent="0.2">
      <c r="B18" s="2" t="s">
        <v>35</v>
      </c>
    </row>
    <row r="19" spans="2:2" ht="153" x14ac:dyDescent="0.2">
      <c r="B19" s="1" t="s">
        <v>37</v>
      </c>
    </row>
    <row r="21" spans="2:2" x14ac:dyDescent="0.2">
      <c r="B21" s="2" t="s">
        <v>21</v>
      </c>
    </row>
    <row r="22" spans="2:2" ht="136" x14ac:dyDescent="0.2">
      <c r="B22" s="1" t="s">
        <v>38</v>
      </c>
    </row>
    <row r="24" spans="2:2" x14ac:dyDescent="0.2">
      <c r="B24" s="2" t="s">
        <v>22</v>
      </c>
    </row>
    <row r="25" spans="2:2" ht="136" x14ac:dyDescent="0.2">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6640625" defaultRowHeight="16" x14ac:dyDescent="0.2"/>
  <cols>
    <col min="1" max="1" width="16.83203125" style="9" customWidth="1"/>
    <col min="2" max="2" width="19.1640625" style="9" customWidth="1"/>
    <col min="3" max="3" width="18.1640625" style="9" customWidth="1"/>
    <col min="4" max="4" width="19.5" style="9" customWidth="1"/>
    <col min="8" max="8" width="15.1640625" customWidth="1"/>
    <col min="10" max="10" width="42" customWidth="1"/>
    <col min="11" max="11" width="28.5" customWidth="1"/>
  </cols>
  <sheetData>
    <row r="1" spans="1:11" ht="34" x14ac:dyDescent="0.2">
      <c r="A1" s="9" t="s">
        <v>42</v>
      </c>
      <c r="B1" s="15" t="s">
        <v>39</v>
      </c>
      <c r="C1" s="15" t="s">
        <v>40</v>
      </c>
      <c r="D1" s="15" t="s">
        <v>41</v>
      </c>
      <c r="E1" s="1" t="s">
        <v>43</v>
      </c>
      <c r="F1" s="1" t="s">
        <v>44</v>
      </c>
      <c r="G1" s="1" t="s">
        <v>45</v>
      </c>
      <c r="H1" s="1" t="s">
        <v>46</v>
      </c>
      <c r="I1" s="1" t="s">
        <v>47</v>
      </c>
      <c r="J1" s="1" t="s">
        <v>48</v>
      </c>
      <c r="K1" s="1" t="s">
        <v>49</v>
      </c>
    </row>
    <row r="2" spans="1:11" x14ac:dyDescent="0.2">
      <c r="A2" s="14">
        <v>44118</v>
      </c>
      <c r="D2" s="11">
        <v>1</v>
      </c>
    </row>
    <row r="3" spans="1:11" x14ac:dyDescent="0.2">
      <c r="A3" s="14">
        <v>44119</v>
      </c>
    </row>
    <row r="4" spans="1:11" x14ac:dyDescent="0.2">
      <c r="A4" s="14">
        <v>44120</v>
      </c>
    </row>
    <row r="5" spans="1:11" x14ac:dyDescent="0.2">
      <c r="A5" s="14">
        <v>44121</v>
      </c>
    </row>
    <row r="6" spans="1:11" x14ac:dyDescent="0.2">
      <c r="A6" s="14">
        <v>44122</v>
      </c>
    </row>
    <row r="7" spans="1:11" x14ac:dyDescent="0.2">
      <c r="A7" s="14">
        <v>44123</v>
      </c>
    </row>
    <row r="8" spans="1:11" x14ac:dyDescent="0.2">
      <c r="A8" s="14">
        <v>44124</v>
      </c>
    </row>
    <row r="9" spans="1:11" x14ac:dyDescent="0.2">
      <c r="A9" s="14">
        <v>44125</v>
      </c>
    </row>
    <row r="10" spans="1:11" x14ac:dyDescent="0.2">
      <c r="A10" s="14">
        <v>44126</v>
      </c>
    </row>
    <row r="11" spans="1:11" x14ac:dyDescent="0.2">
      <c r="A11" s="14">
        <v>44127</v>
      </c>
    </row>
    <row r="12" spans="1:11" x14ac:dyDescent="0.2">
      <c r="A12" s="14">
        <v>44128</v>
      </c>
    </row>
    <row r="13" spans="1:11" x14ac:dyDescent="0.2">
      <c r="A13" s="14">
        <v>44129</v>
      </c>
    </row>
    <row r="14" spans="1:11" x14ac:dyDescent="0.2">
      <c r="A14" s="14">
        <v>44130</v>
      </c>
    </row>
    <row r="15" spans="1:11" x14ac:dyDescent="0.2">
      <c r="A15" s="14">
        <v>44131</v>
      </c>
    </row>
    <row r="16" spans="1:11" x14ac:dyDescent="0.2">
      <c r="A16" s="14">
        <v>44132</v>
      </c>
    </row>
    <row r="17" spans="1:1" x14ac:dyDescent="0.2">
      <c r="A17" s="14">
        <v>44133</v>
      </c>
    </row>
    <row r="18" spans="1:1" x14ac:dyDescent="0.2">
      <c r="A18" s="14">
        <v>44134</v>
      </c>
    </row>
    <row r="19" spans="1:1" x14ac:dyDescent="0.2">
      <c r="A19" s="14">
        <v>44135</v>
      </c>
    </row>
    <row r="20" spans="1:1" x14ac:dyDescent="0.2">
      <c r="A20" s="14">
        <v>44136</v>
      </c>
    </row>
    <row r="21" spans="1:1" x14ac:dyDescent="0.2">
      <c r="A21" s="14">
        <v>44137</v>
      </c>
    </row>
    <row r="22" spans="1:1" x14ac:dyDescent="0.2">
      <c r="A22" s="14">
        <v>44138</v>
      </c>
    </row>
    <row r="23" spans="1:1" x14ac:dyDescent="0.2">
      <c r="A23" s="14">
        <v>44139</v>
      </c>
    </row>
    <row r="24" spans="1:1" x14ac:dyDescent="0.2">
      <c r="A24" s="14">
        <v>44140</v>
      </c>
    </row>
    <row r="25" spans="1:1" x14ac:dyDescent="0.2">
      <c r="A25" s="14">
        <v>44141</v>
      </c>
    </row>
    <row r="26" spans="1:1" x14ac:dyDescent="0.2">
      <c r="A26" s="14">
        <v>44142</v>
      </c>
    </row>
    <row r="27" spans="1:1" x14ac:dyDescent="0.2">
      <c r="A27" s="14">
        <v>44143</v>
      </c>
    </row>
    <row r="28" spans="1:1" x14ac:dyDescent="0.2">
      <c r="A28" s="14">
        <v>44144</v>
      </c>
    </row>
    <row r="29" spans="1:1" x14ac:dyDescent="0.2">
      <c r="A29" s="14">
        <v>44145</v>
      </c>
    </row>
    <row r="30" spans="1:1" x14ac:dyDescent="0.2">
      <c r="A30" s="14">
        <v>44146</v>
      </c>
    </row>
    <row r="31" spans="1:1" x14ac:dyDescent="0.2">
      <c r="A31" s="14">
        <v>44147</v>
      </c>
    </row>
    <row r="32" spans="1:1" x14ac:dyDescent="0.2">
      <c r="A32" s="14">
        <v>44148</v>
      </c>
    </row>
    <row r="33" spans="1:1" x14ac:dyDescent="0.2">
      <c r="A33" s="14">
        <v>44149</v>
      </c>
    </row>
    <row r="34" spans="1:1" x14ac:dyDescent="0.2">
      <c r="A34" s="14">
        <v>44150</v>
      </c>
    </row>
    <row r="35" spans="1:1" x14ac:dyDescent="0.2">
      <c r="A35" s="14">
        <v>44151</v>
      </c>
    </row>
    <row r="36" spans="1:1" x14ac:dyDescent="0.2">
      <c r="A36" s="14">
        <v>44152</v>
      </c>
    </row>
    <row r="37" spans="1:1" x14ac:dyDescent="0.2">
      <c r="A37" s="14">
        <v>44153</v>
      </c>
    </row>
    <row r="38" spans="1:1" x14ac:dyDescent="0.2">
      <c r="A38" s="14">
        <v>44154</v>
      </c>
    </row>
    <row r="39" spans="1:1" x14ac:dyDescent="0.2">
      <c r="A39" s="14">
        <v>44155</v>
      </c>
    </row>
    <row r="40" spans="1:1" x14ac:dyDescent="0.2">
      <c r="A40" s="14">
        <v>44156</v>
      </c>
    </row>
    <row r="41" spans="1:1" x14ac:dyDescent="0.2">
      <c r="A41" s="14">
        <v>44157</v>
      </c>
    </row>
    <row r="42" spans="1:1" x14ac:dyDescent="0.2">
      <c r="A42" s="14">
        <v>44158</v>
      </c>
    </row>
    <row r="43" spans="1:1" x14ac:dyDescent="0.2">
      <c r="A43" s="14">
        <v>44159</v>
      </c>
    </row>
    <row r="44" spans="1:1" x14ac:dyDescent="0.2">
      <c r="A44" s="14">
        <v>44160</v>
      </c>
    </row>
    <row r="45" spans="1:1" x14ac:dyDescent="0.2">
      <c r="A45" s="14">
        <v>44161</v>
      </c>
    </row>
    <row r="46" spans="1:1" x14ac:dyDescent="0.2">
      <c r="A46" s="14">
        <v>44162</v>
      </c>
    </row>
  </sheetData>
  <conditionalFormatting sqref="B2:B46">
    <cfRule type="cellIs" dxfId="11" priority="4" operator="equal">
      <formula>"Ja"</formula>
    </cfRule>
    <cfRule type="cellIs" dxfId="10" priority="14" operator="equal">
      <formula>"Ja"</formula>
    </cfRule>
    <cfRule type="cellIs" dxfId="9" priority="15" operator="equal">
      <formula>"Nein"</formula>
    </cfRule>
  </conditionalFormatting>
  <conditionalFormatting sqref="C2:C46">
    <cfRule type="cellIs" dxfId="8" priority="1" operator="equal">
      <formula>"Ja"</formula>
    </cfRule>
    <cfRule type="cellIs" dxfId="7" priority="2" operator="equal">
      <formula>"Ja"</formula>
    </cfRule>
    <cfRule type="cellIs" dxfId="6" priority="3" operator="equal">
      <formula>"Nein"</formula>
    </cfRule>
  </conditionalFormatting>
  <conditionalFormatting sqref="D2">
    <cfRule type="cellIs" dxfId="5" priority="6" operator="equal">
      <formula>1</formula>
    </cfRule>
    <cfRule type="cellIs" dxfId="4" priority="7" operator="equal">
      <formula>0.8</formula>
    </cfRule>
    <cfRule type="cellIs" dxfId="3" priority="8" operator="equal">
      <formula>0.6</formula>
    </cfRule>
    <cfRule type="cellIs" dxfId="2" priority="9" operator="equal">
      <formula>0.4</formula>
    </cfRule>
    <cfRule type="cellIs" dxfId="1" priority="10" operator="equal">
      <formula>0.2</formula>
    </cfRule>
    <cfRule type="cellIs" dxfId="0" priority="11" operator="equal">
      <formula>0</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topLeftCell="A9" zoomScale="117" workbookViewId="0">
      <selection activeCell="E18" sqref="E18"/>
    </sheetView>
  </sheetViews>
  <sheetFormatPr baseColWidth="10" defaultColWidth="10.6640625" defaultRowHeight="16" x14ac:dyDescent="0.2"/>
  <cols>
    <col min="5" max="6" width="15.1640625" bestFit="1" customWidth="1"/>
  </cols>
  <sheetData>
    <row r="1" spans="1:8" ht="26" x14ac:dyDescent="0.3">
      <c r="B1" s="7" t="s">
        <v>25</v>
      </c>
    </row>
    <row r="4" spans="1:8" x14ac:dyDescent="0.2">
      <c r="B4" s="2" t="s">
        <v>4</v>
      </c>
      <c r="C4" s="2" t="s">
        <v>5</v>
      </c>
      <c r="D4" s="2" t="s">
        <v>6</v>
      </c>
      <c r="E4" s="2" t="s">
        <v>7</v>
      </c>
      <c r="F4" s="2" t="s">
        <v>10</v>
      </c>
      <c r="G4" s="2" t="s">
        <v>8</v>
      </c>
      <c r="H4" s="2" t="s">
        <v>9</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c r="E14" s="22" t="s">
        <v>167</v>
      </c>
    </row>
    <row r="15" spans="1:8" x14ac:dyDescent="0.2">
      <c r="A15" s="8">
        <v>0.375</v>
      </c>
      <c r="E15" s="22" t="s">
        <v>167</v>
      </c>
    </row>
    <row r="16" spans="1:8" x14ac:dyDescent="0.2">
      <c r="A16" s="8">
        <v>0.39583333333333398</v>
      </c>
      <c r="E16" s="22" t="s">
        <v>167</v>
      </c>
    </row>
    <row r="17" spans="1:6" x14ac:dyDescent="0.2">
      <c r="A17" s="8">
        <v>0.41666666666666702</v>
      </c>
      <c r="E17" s="22" t="s">
        <v>167</v>
      </c>
      <c r="F17" s="23" t="s">
        <v>169</v>
      </c>
    </row>
    <row r="18" spans="1:6" x14ac:dyDescent="0.2">
      <c r="A18" s="8">
        <v>0.4375</v>
      </c>
      <c r="F18" s="23" t="s">
        <v>169</v>
      </c>
    </row>
    <row r="19" spans="1:6" x14ac:dyDescent="0.2">
      <c r="A19" s="8">
        <v>0.45833333333333398</v>
      </c>
      <c r="F19" s="23" t="s">
        <v>169</v>
      </c>
    </row>
    <row r="20" spans="1:6" x14ac:dyDescent="0.2">
      <c r="A20" s="8">
        <v>0.47916666666666702</v>
      </c>
      <c r="F20" s="23" t="s">
        <v>169</v>
      </c>
    </row>
    <row r="21" spans="1:6" x14ac:dyDescent="0.2">
      <c r="A21" s="8">
        <v>0.5</v>
      </c>
      <c r="E21" s="13" t="s">
        <v>168</v>
      </c>
      <c r="F21" s="23" t="s">
        <v>169</v>
      </c>
    </row>
    <row r="22" spans="1:6" x14ac:dyDescent="0.2">
      <c r="A22" s="8">
        <v>0.52083333333333404</v>
      </c>
      <c r="E22" s="13" t="s">
        <v>168</v>
      </c>
      <c r="F22" s="13" t="s">
        <v>166</v>
      </c>
    </row>
    <row r="23" spans="1:6" x14ac:dyDescent="0.2">
      <c r="A23" s="8">
        <v>0.54166666666666696</v>
      </c>
      <c r="F23" s="13" t="s">
        <v>166</v>
      </c>
    </row>
    <row r="24" spans="1:6" x14ac:dyDescent="0.2">
      <c r="A24" s="8">
        <v>0.5625</v>
      </c>
      <c r="F24" s="13" t="s">
        <v>166</v>
      </c>
    </row>
    <row r="25" spans="1:6" x14ac:dyDescent="0.2">
      <c r="A25" s="8">
        <v>0.58333333333333404</v>
      </c>
      <c r="E25" s="13" t="s">
        <v>166</v>
      </c>
      <c r="F25" s="13" t="s">
        <v>166</v>
      </c>
    </row>
    <row r="26" spans="1:6" x14ac:dyDescent="0.2">
      <c r="A26" s="8">
        <v>0.60416666666666696</v>
      </c>
      <c r="E26" s="13" t="s">
        <v>166</v>
      </c>
      <c r="F26" s="13" t="s">
        <v>166</v>
      </c>
    </row>
    <row r="27" spans="1:6" x14ac:dyDescent="0.2">
      <c r="A27" s="8">
        <v>0.625000000000001</v>
      </c>
      <c r="E27" s="13" t="s">
        <v>166</v>
      </c>
    </row>
    <row r="28" spans="1:6" x14ac:dyDescent="0.2">
      <c r="A28" s="8">
        <v>0.64583333333333404</v>
      </c>
      <c r="E28" s="13" t="s">
        <v>166</v>
      </c>
      <c r="F28" s="13" t="s">
        <v>168</v>
      </c>
    </row>
    <row r="29" spans="1:6" x14ac:dyDescent="0.2">
      <c r="A29" s="8">
        <v>0.66666666666666696</v>
      </c>
      <c r="E29" s="13" t="s">
        <v>166</v>
      </c>
      <c r="F29" s="13" t="s">
        <v>168</v>
      </c>
    </row>
    <row r="30" spans="1:6" x14ac:dyDescent="0.2">
      <c r="A30" s="8">
        <v>0.687500000000001</v>
      </c>
    </row>
    <row r="31" spans="1:6" x14ac:dyDescent="0.2">
      <c r="A31" s="8">
        <v>0.70833333333333404</v>
      </c>
      <c r="E31" s="13" t="s">
        <v>168</v>
      </c>
      <c r="F31" s="23" t="s">
        <v>169</v>
      </c>
    </row>
    <row r="32" spans="1:6" x14ac:dyDescent="0.2">
      <c r="A32" s="8">
        <v>0.72916666666666696</v>
      </c>
      <c r="E32" s="13" t="s">
        <v>168</v>
      </c>
      <c r="F32" s="23" t="s">
        <v>169</v>
      </c>
    </row>
    <row r="33" spans="1:6" x14ac:dyDescent="0.2">
      <c r="A33" s="8">
        <v>0.750000000000001</v>
      </c>
      <c r="F33" s="23" t="s">
        <v>169</v>
      </c>
    </row>
    <row r="34" spans="1:6" x14ac:dyDescent="0.2">
      <c r="A34" s="8">
        <v>0.77083333333333404</v>
      </c>
      <c r="F34" s="23" t="s">
        <v>169</v>
      </c>
    </row>
    <row r="35" spans="1:6" x14ac:dyDescent="0.2">
      <c r="A35" s="8">
        <v>0.79166666666666696</v>
      </c>
    </row>
    <row r="36" spans="1:6" x14ac:dyDescent="0.2">
      <c r="A36" s="8">
        <v>0.812500000000001</v>
      </c>
    </row>
    <row r="37" spans="1:6" x14ac:dyDescent="0.2">
      <c r="A37" s="8">
        <v>0.83333333333333404</v>
      </c>
    </row>
    <row r="38" spans="1:6" x14ac:dyDescent="0.2">
      <c r="A38" s="8">
        <v>0.85416666666666696</v>
      </c>
    </row>
    <row r="39" spans="1:6" x14ac:dyDescent="0.2">
      <c r="A39" s="8">
        <v>0.875000000000001</v>
      </c>
    </row>
    <row r="40" spans="1:6" x14ac:dyDescent="0.2">
      <c r="A40" s="8">
        <v>0.89583333333333404</v>
      </c>
    </row>
    <row r="41" spans="1:6" x14ac:dyDescent="0.2">
      <c r="A41" s="8">
        <v>0.91666666666666696</v>
      </c>
    </row>
    <row r="42" spans="1:6" x14ac:dyDescent="0.2">
      <c r="A42" s="8">
        <v>0.937500000000001</v>
      </c>
    </row>
    <row r="43" spans="1:6" x14ac:dyDescent="0.2">
      <c r="A43" s="8">
        <v>0.95833333333333404</v>
      </c>
    </row>
    <row r="44" spans="1:6" x14ac:dyDescent="0.2">
      <c r="A44" s="8">
        <v>0.97916666666666696</v>
      </c>
    </row>
    <row r="45" spans="1:6" x14ac:dyDescent="0.2">
      <c r="A45" s="8">
        <v>1</v>
      </c>
    </row>
    <row r="46" spans="1:6" x14ac:dyDescent="0.2">
      <c r="A46" s="8">
        <v>1.0208333333333299</v>
      </c>
    </row>
    <row r="47" spans="1:6" x14ac:dyDescent="0.2">
      <c r="A47" s="8">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F20" sqref="F20"/>
    </sheetView>
  </sheetViews>
  <sheetFormatPr baseColWidth="10" defaultColWidth="10.6640625" defaultRowHeight="16" x14ac:dyDescent="0.2"/>
  <sheetData>
    <row r="1" spans="1:8" ht="26" x14ac:dyDescent="0.3">
      <c r="B1" s="7" t="s">
        <v>25</v>
      </c>
    </row>
    <row r="4" spans="1:8" x14ac:dyDescent="0.2">
      <c r="B4" s="2" t="s">
        <v>4</v>
      </c>
      <c r="C4" s="2" t="s">
        <v>5</v>
      </c>
      <c r="D4" s="2" t="s">
        <v>6</v>
      </c>
      <c r="E4" s="2" t="s">
        <v>7</v>
      </c>
      <c r="F4" s="2" t="s">
        <v>10</v>
      </c>
      <c r="G4" s="2" t="s">
        <v>8</v>
      </c>
      <c r="H4" s="2" t="s">
        <v>9</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Witt Richard</cp:lastModifiedBy>
  <dcterms:created xsi:type="dcterms:W3CDTF">2020-04-19T13:33:28Z</dcterms:created>
  <dcterms:modified xsi:type="dcterms:W3CDTF">2024-12-04T16:03:35Z</dcterms:modified>
</cp:coreProperties>
</file>