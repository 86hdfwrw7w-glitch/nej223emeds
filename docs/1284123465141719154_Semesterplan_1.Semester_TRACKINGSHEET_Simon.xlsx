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simon\Documents\pumpkincareers\"/>
    </mc:Choice>
  </mc:AlternateContent>
  <xr:revisionPtr revIDLastSave="0" documentId="13_ncr:1_{EA2915BB-E98A-447C-BE15-796CCBE2DE75}" xr6:coauthVersionLast="47" xr6:coauthVersionMax="47" xr10:uidLastSave="{00000000-0000-0000-0000-000000000000}"/>
  <bookViews>
    <workbookView xWindow="-108" yWindow="-108" windowWidth="23256" windowHeight="12456"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C42" i="7" l="1"/>
  <c r="EC33" i="7"/>
  <c r="EC25" i="7"/>
  <c r="EC14" i="7"/>
  <c r="EC4" i="7"/>
  <c r="DV42" i="7"/>
  <c r="DV33" i="7"/>
  <c r="DV25" i="7"/>
  <c r="DV14" i="7"/>
  <c r="DV4" i="7"/>
  <c r="DO42" i="7"/>
  <c r="DO33" i="7" s="1"/>
  <c r="DO25" i="7" s="1"/>
  <c r="DO14" i="7"/>
  <c r="DO4" i="7"/>
  <c r="DH42" i="7"/>
  <c r="DH33" i="7"/>
  <c r="DH25" i="7"/>
  <c r="DH14" i="7"/>
  <c r="DH4" i="7"/>
  <c r="DA42" i="7"/>
  <c r="DA33" i="7"/>
  <c r="DA25" i="7"/>
  <c r="DA14" i="7"/>
  <c r="DA4" i="7"/>
  <c r="CT42" i="7"/>
  <c r="CT33" i="7" s="1"/>
  <c r="CT25" i="7" s="1"/>
  <c r="CT14" i="7"/>
  <c r="CT4" i="7"/>
  <c r="CM42" i="7"/>
  <c r="CM33" i="7" s="1"/>
  <c r="CM25" i="7" s="1"/>
  <c r="CM14" i="7"/>
  <c r="CM4" i="7"/>
  <c r="CF42" i="7"/>
  <c r="CF33" i="7"/>
  <c r="CF25" i="7"/>
  <c r="CF14" i="7"/>
  <c r="CF4" i="7"/>
  <c r="BY42" i="7"/>
  <c r="BY33" i="7" s="1"/>
  <c r="BY25" i="7" s="1"/>
  <c r="BY14" i="7"/>
  <c r="BY4" i="7"/>
  <c r="BR42" i="7"/>
  <c r="BR33" i="7" s="1"/>
  <c r="BR25" i="7" s="1"/>
  <c r="BR14" i="7"/>
  <c r="BR4" i="7"/>
  <c r="BK42" i="7"/>
  <c r="BK33" i="7"/>
  <c r="BK25" i="7"/>
  <c r="BK14" i="7"/>
  <c r="BK4" i="7"/>
  <c r="BD42" i="7"/>
  <c r="BD33" i="7"/>
  <c r="BD25" i="7"/>
  <c r="BD14" i="7"/>
  <c r="BD4" i="7"/>
  <c r="AW42" i="7"/>
  <c r="AW33" i="7"/>
  <c r="AW25" i="7"/>
  <c r="AW14" i="7"/>
  <c r="AW4" i="7"/>
  <c r="AP42" i="7"/>
  <c r="AP33" i="7"/>
  <c r="AP25" i="7"/>
  <c r="AP14" i="7"/>
  <c r="C11" i="10"/>
  <c r="C12" i="10"/>
  <c r="EX4" i="7"/>
  <c r="EQ4" i="7"/>
  <c r="EJ4"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AI42" i="7"/>
  <c r="AB42" i="7"/>
  <c r="U42" i="7"/>
  <c r="N42" i="7"/>
  <c r="G42" i="7"/>
  <c r="K7" i="7" a="1"/>
  <c r="K7" i="7" s="1"/>
  <c r="J7" i="7" a="1"/>
  <c r="J7" i="7" s="1"/>
  <c r="I7" i="7"/>
  <c r="K6" i="7" a="1"/>
  <c r="K6" i="7" s="1"/>
  <c r="J6" i="7" a="1"/>
  <c r="J6" i="7" s="1"/>
  <c r="I6" i="7"/>
  <c r="K23" i="7" a="1"/>
  <c r="K23" i="7" s="1"/>
  <c r="J23" i="7" a="1"/>
  <c r="J23" i="7" s="1"/>
  <c r="I23" i="7"/>
  <c r="K22" i="7" a="1"/>
  <c r="K22" i="7" s="1"/>
  <c r="J22" i="7" a="1"/>
  <c r="J22" i="7" s="1"/>
  <c r="I22" i="7"/>
  <c r="K21" i="7" a="1"/>
  <c r="K21" i="7" s="1"/>
  <c r="J21" i="7" a="1"/>
  <c r="J21" i="7" s="1"/>
  <c r="I21" i="7"/>
  <c r="K20" i="7" a="1"/>
  <c r="K20" i="7" s="1"/>
  <c r="J20" i="7" a="1"/>
  <c r="J20" i="7" s="1"/>
  <c r="I20" i="7"/>
  <c r="K19" i="7" a="1"/>
  <c r="K19" i="7" s="1"/>
  <c r="J19" i="7" a="1"/>
  <c r="J19" i="7" s="1"/>
  <c r="I19" i="7"/>
  <c r="K16" i="7" a="1"/>
  <c r="K16" i="7" s="1"/>
  <c r="J16" i="7" a="1"/>
  <c r="J16" i="7" s="1"/>
  <c r="I16" i="7"/>
  <c r="K15" i="7" a="1"/>
  <c r="K15" i="7" s="1"/>
  <c r="J15" i="7" a="1"/>
  <c r="J15" i="7" s="1"/>
  <c r="I15" i="7"/>
  <c r="K40" i="7" a="1"/>
  <c r="K40" i="7" s="1"/>
  <c r="J40" i="7" a="1"/>
  <c r="J40" i="7" s="1"/>
  <c r="I40" i="7"/>
  <c r="K39" i="7" a="1"/>
  <c r="K39" i="7" s="1"/>
  <c r="J39" i="7" a="1"/>
  <c r="J39" i="7" s="1"/>
  <c r="I39" i="7"/>
  <c r="K38" i="7" a="1"/>
  <c r="K38" i="7" s="1"/>
  <c r="J38" i="7" a="1"/>
  <c r="J38" i="7" s="1"/>
  <c r="I38" i="7"/>
  <c r="K37" i="7" a="1"/>
  <c r="K37" i="7" s="1"/>
  <c r="J37" i="7" a="1"/>
  <c r="J37" i="7" s="1"/>
  <c r="I37" i="7"/>
  <c r="K36" i="7" a="1"/>
  <c r="K36" i="7" s="1"/>
  <c r="J36" i="7" a="1"/>
  <c r="J36" i="7" s="1"/>
  <c r="I36" i="7"/>
  <c r="K35" i="7" a="1"/>
  <c r="K35" i="7" s="1"/>
  <c r="J35" i="7" a="1"/>
  <c r="J35" i="7" s="1"/>
  <c r="I35" i="7"/>
  <c r="K34" i="7" a="1"/>
  <c r="K34" i="7" s="1"/>
  <c r="J34" i="7" a="1"/>
  <c r="J34" i="7" s="1"/>
  <c r="I34" i="7"/>
  <c r="AI33" i="7"/>
  <c r="AB33" i="7"/>
  <c r="U33" i="7"/>
  <c r="N33" i="7"/>
  <c r="G33" i="7"/>
  <c r="K18" i="7" a="1"/>
  <c r="K18" i="7" s="1"/>
  <c r="J18" i="7" a="1"/>
  <c r="J18" i="7" s="1"/>
  <c r="K17" i="7" a="1"/>
  <c r="K17" i="7" s="1"/>
  <c r="J17" i="7" a="1"/>
  <c r="J17"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12" i="7" a="1"/>
  <c r="K12" i="7" s="1"/>
  <c r="J12" i="7" a="1"/>
  <c r="J12" i="7" s="1"/>
  <c r="K11" i="7" a="1"/>
  <c r="K11" i="7" s="1"/>
  <c r="J11" i="7" a="1"/>
  <c r="J11" i="7" s="1"/>
  <c r="K10" i="7" a="1"/>
  <c r="K10" i="7" s="1"/>
  <c r="J10" i="7" a="1"/>
  <c r="J10" i="7" s="1"/>
  <c r="K9" i="7" a="1"/>
  <c r="K9" i="7" s="1"/>
  <c r="J9" i="7" a="1"/>
  <c r="J9" i="7" s="1"/>
  <c r="K8" i="7" a="1"/>
  <c r="K8" i="7" s="1"/>
  <c r="J8" i="7" a="1"/>
  <c r="J8" i="7" s="1"/>
  <c r="K5" i="7" a="1"/>
  <c r="K5" i="7" s="1"/>
  <c r="J5" i="7" a="1"/>
  <c r="J5" i="7" s="1"/>
  <c r="AI14" i="7"/>
  <c r="AB14" i="7"/>
  <c r="U14" i="7"/>
  <c r="N14" i="7"/>
  <c r="AP4" i="7"/>
  <c r="AI4" i="7"/>
  <c r="AB4" i="7"/>
  <c r="U4" i="7"/>
  <c r="N4" i="7"/>
  <c r="G4" i="7"/>
  <c r="AI25" i="7"/>
  <c r="AB25" i="7"/>
  <c r="U25" i="7"/>
  <c r="N25" i="7"/>
  <c r="I31" i="7"/>
  <c r="I30" i="7"/>
  <c r="I29" i="7"/>
  <c r="I28" i="7"/>
  <c r="I27" i="7"/>
  <c r="I26" i="7"/>
  <c r="I18" i="7"/>
  <c r="I17" i="7"/>
  <c r="I8" i="7"/>
  <c r="I9" i="7"/>
  <c r="I10" i="7"/>
  <c r="I11" i="7"/>
  <c r="I12" i="7"/>
  <c r="I5" i="7"/>
  <c r="G25" i="7"/>
  <c r="G14" i="7"/>
  <c r="I14" i="7" l="1"/>
  <c r="I42" i="7"/>
  <c r="J42" i="7"/>
  <c r="K42" i="7"/>
  <c r="I33" i="7"/>
  <c r="K33" i="7"/>
  <c r="J33" i="7"/>
  <c r="I25" i="7"/>
  <c r="J25" i="7"/>
  <c r="K25" i="7"/>
  <c r="J14" i="7"/>
  <c r="K14"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<sst xmlns="http://schemas.openxmlformats.org/spreadsheetml/2006/main" count="373" uniqueCount="147">
  <si>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</si>
  <si>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</si>
  <si>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</si>
  <si>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</si>
  <si>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</si>
  <si>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</si>
  <si>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</si>
  <si>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</si>
  <si>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</si>
  <si>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</si>
  <si>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</si>
  <si>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</si>
  <si>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</si>
  <si>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</si>
  <si>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</si>
  <si>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</si>
  <si>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</si>
  <si>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</si>
  <si>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</si>
  <si>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</si>
  <si>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</si>
  <si>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</si>
  <si>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</si>
  <si>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</si>
  <si>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</si>
  <si>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</si>
  <si>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</si>
  <si>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</si>
  <si>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</si>
  <si>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</si>
  <si>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</si>
  <si>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</si>
  <si>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</si>
  <si>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</si>
  <si>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</si>
  <si>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</si>
  <si>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</si>
  <si>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</si>
  <si>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</si>
  <si>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</si>
  <si>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</si>
  <si>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</si>
  <si>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</si>
  <si>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</si>
  <si>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</si>
  <si>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</si>
  <si>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</si>
  <si>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</si>
  <si>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</si>
  <si>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</si>
  <si>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</si>
  <si>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</si>
  <si>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</si>
  <si>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</si>
  <si>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</si>
  <si>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</si>
  <si>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</si>
  <si>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</si>
  <si>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</si>
  <si>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</si>
  <si>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</si>
  <si>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</si>
  <si>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</si>
  <si>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</si>
  <si>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</si>
  <si>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</si>
  <si>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</si>
  <si>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</si>
  <si>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</si>
  <si>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</si>
  <si>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</si>
  <si>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</si>
  <si>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</si>
  <si>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</si>
  <si>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</si>
  <si>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</si>
  <si>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</si>
  <si>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</si>
  <si>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</si>
  <si>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</si>
  <si>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</si>
  <si>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</si>
  <si>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</si>
  <si>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</si>
  <si>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</si>
  <si>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</si>
  <si>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</si>
  <si>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Einführung BWL</t>
  </si>
  <si>
    <t>Mathematische Methoden</t>
  </si>
  <si>
    <t>Explorative Datenanalyse</t>
  </si>
  <si>
    <t>Einführung VWL</t>
  </si>
  <si>
    <t>Jahresabschluss</t>
  </si>
  <si>
    <t>1) Platzhalter</t>
  </si>
  <si>
    <t>1) Gegenstand und Zweck des betrieblichen Rechnungswesens 16</t>
  </si>
  <si>
    <t>2) Buchführung 13</t>
  </si>
  <si>
    <t>3) Doppellte Buchführung 21</t>
  </si>
  <si>
    <t>4) Buchführungskreislauf 28</t>
  </si>
  <si>
    <t>5) Weiterführende Buchungen 21</t>
  </si>
  <si>
    <t>6) Jahresabschluss nach HGB 36</t>
  </si>
  <si>
    <t>7) Kapitalmarktorientierte Rechnungslegung nach IFRS 12</t>
  </si>
  <si>
    <t>9) Bewertung 9</t>
  </si>
  <si>
    <t>1) Einführung + Statistische Merkmale und Variablen 15</t>
  </si>
  <si>
    <t>2) Maßzahlen zur Beschreibung statistischer Verteilungen 18</t>
  </si>
  <si>
    <t>3) Einführung in Excel 10</t>
  </si>
  <si>
    <t>4) Zweidimensionale Verteilungen, lineare Regressionsberecchnung 23</t>
  </si>
  <si>
    <t>5) Beschreiubung von Zeitreihen 17</t>
  </si>
  <si>
    <t>6) Indexzahlen + Daten- und Informationsbeschaffung 12</t>
  </si>
  <si>
    <t>1) Vektoren 19</t>
  </si>
  <si>
    <t>2) Matrizen 15</t>
  </si>
  <si>
    <t>3) Besondere Matrizen + invertieren einer quadratischen Matrix 12</t>
  </si>
  <si>
    <t>4) Die Determinante + Berechnung der Inversen + Rang einer Matrix 17</t>
  </si>
  <si>
    <t>1) Gegenstand der Betriebswirtschaftslehre 21</t>
  </si>
  <si>
    <t>2) Entscheidungstheorie 23</t>
  </si>
  <si>
    <t>3) Wahrscheinlichkeitsrechnung 34</t>
  </si>
  <si>
    <t>4) Spieltheorie 19</t>
  </si>
  <si>
    <t>5) Warum Unternehmen 25</t>
  </si>
  <si>
    <t>6) Corporate Governance 16</t>
  </si>
  <si>
    <t>7) Konkrete Rechtsformen  18</t>
  </si>
  <si>
    <t>8) Shareholder- Stakeholder Value / Unternehmensethik &amp; CSR 15</t>
  </si>
  <si>
    <t>5) Lineare Gleichungssysteme 11</t>
  </si>
  <si>
    <t>6) Ökonomische Anwendung von LGS'en 10</t>
  </si>
  <si>
    <t>7) Gauß'sche Elimination 9</t>
  </si>
  <si>
    <t>8) Eigenwerte, Eigenvektoren 7</t>
  </si>
  <si>
    <t>9) Quadratische Formen 15</t>
  </si>
  <si>
    <t>KW 38</t>
  </si>
  <si>
    <t>KW 39</t>
  </si>
  <si>
    <t>KW 40</t>
  </si>
  <si>
    <t>KW 41</t>
  </si>
  <si>
    <t>KW 43</t>
  </si>
  <si>
    <t>KW 44</t>
  </si>
  <si>
    <t>KW 45</t>
  </si>
  <si>
    <t>KW 46</t>
  </si>
  <si>
    <t>KW 47</t>
  </si>
  <si>
    <t>KW 48</t>
  </si>
  <si>
    <t>KW 49</t>
  </si>
  <si>
    <t>KW 50</t>
  </si>
  <si>
    <t>KW 51</t>
  </si>
  <si>
    <t>KW 52</t>
  </si>
  <si>
    <t>KW 1</t>
  </si>
  <si>
    <t>KW 3</t>
  </si>
  <si>
    <t>KW 4</t>
  </si>
  <si>
    <t>KW 5</t>
  </si>
  <si>
    <t>KW 6 Klausuren!!!</t>
  </si>
  <si>
    <t>KW 2 80% 1. Semseters</t>
  </si>
  <si>
    <t>10)Bilanzierungsfragen/Jahresabschlussanalyse 16</t>
  </si>
  <si>
    <t>8) Gliederung Bilanz + Ansatz Vermögen &amp; Schulden 15</t>
  </si>
  <si>
    <t>KW 42 Vorlesungsbeginn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</si>
</sst>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applyAlignment="1">
      <alignment horizontal="right"/>
    </xf>
    <xf numFmtId="0" fontId="1" fillId="2" borderId="0" xfId="0" applyFont="1" applyFill="1" applyAlignment="1">
      <alignment horizontal="center"/>
    </xf>
    <xf numFmtId="0" fontId="1" fillId="2" borderId="0" xfId="0" applyFont="1" applyFill="1" applyAlignment="1">
      <alignment horizontal="left" wrapText="1"/>
    </xf>
    <xf numFmtId="9" fontId="0" fillId="7" borderId="0" xfId="0" applyNumberFormat="1" applyFill="1"/>
  </cellXfs>
  <cellStyles count="1">
    <cellStyle name="Standard" xfId="0" builtinId="0"/>
  </cellStyles>
  <dxfs count="237">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36">
  <autoFilter ref="A1:K46" xr:uid="{6E266E34-2786-2747-BCE7-51B74867A564}"/>
  <tableColumns count="11">
    <tableColumn id="1" xr3:uid="{95FD92F7-3DC8-704D-A103-A7EDDAB255AB}" name="Datum" dataDxfId="235"/>
    <tableColumn id="2" xr3:uid="{F464D510-8166-E740-A343-FB84BDEF877F}" name="Lerneinheiten durchgezogen" dataDxfId="234"/>
    <tableColumn id="3" xr3:uid="{75F52B08-1A00-0848-BBE6-1EDF7B31B1AD}" name="Tagesplan erstellt" dataDxfId="233"/>
    <tableColumn id="4" xr3:uid="{E6B18D89-E799-AD48-9DAA-37AEE1D29011}" name="Konzentrationslevel" dataDxfId="23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zoomScale="74" workbookViewId="0">
      <selection activeCell="C10" sqref="C10"/>
    </sheetView>
  </sheetViews>
  <sheetFormatPr baseColWidth="10" defaultRowHeight="15.6"/>
  <cols>
    <col min="1" max="1" width="11.796875" customWidth="1"/>
    <col min="2" max="2" width="62.69921875" customWidth="1"/>
  </cols>
  <sheetData>
    <row r="2" spans="1:4">
      <c r="C2" s="18" t="s">
        <v>71</v>
      </c>
    </row>
    <row r="3" spans="1:4">
      <c r="C3" s="17" t="s">
        <v>56</v>
      </c>
    </row>
    <row r="4" spans="1:4">
      <c r="C4" s="16" t="s">
        <v>70</v>
      </c>
    </row>
    <row r="5" spans="1:4">
      <c r="A5" s="2" t="s">
        <v>53</v>
      </c>
      <c r="B5" s="2" t="s">
        <v>54</v>
      </c>
      <c r="C5" s="2" t="s">
        <v>55</v>
      </c>
      <c r="D5" s="2" t="s">
        <v>57</v>
      </c>
    </row>
    <row r="6" spans="1:4">
      <c r="A6" t="s">
        <v>49</v>
      </c>
      <c r="B6" s="18" t="s">
        <v>52</v>
      </c>
      <c r="D6" t="s">
        <v>86</v>
      </c>
    </row>
    <row r="7" spans="1:4">
      <c r="A7" t="s">
        <v>60</v>
      </c>
      <c r="B7" t="s">
        <v>61</v>
      </c>
      <c r="C7" s="16">
        <v>40</v>
      </c>
    </row>
    <row r="8" spans="1:4">
      <c r="A8" t="s">
        <v>51</v>
      </c>
      <c r="B8" s="18" t="s">
        <v>50</v>
      </c>
      <c r="D8" t="s">
        <v>74</v>
      </c>
    </row>
    <row r="9" spans="1:4">
      <c r="A9" t="s">
        <v>59</v>
      </c>
      <c r="B9" s="18" t="s">
        <v>72</v>
      </c>
      <c r="D9" t="s">
        <v>75</v>
      </c>
    </row>
    <row r="10" spans="1:4">
      <c r="A10" t="s">
        <v>63</v>
      </c>
      <c r="B10" t="s">
        <v>62</v>
      </c>
      <c r="C10" s="16">
        <v>15</v>
      </c>
      <c r="D10" t="s">
        <v>58</v>
      </c>
    </row>
    <row r="11" spans="1:4">
      <c r="A11" t="s">
        <v>64</v>
      </c>
      <c r="B11" t="s">
        <v>66</v>
      </c>
      <c r="C11" s="16">
        <f>40*3</f>
        <v>120</v>
      </c>
      <c r="D11" t="s">
        <v>65</v>
      </c>
    </row>
    <row r="12" spans="1:4">
      <c r="A12" t="s">
        <v>68</v>
      </c>
      <c r="B12" t="s">
        <v>67</v>
      </c>
      <c r="C12" s="17">
        <f>C11/C10</f>
        <v>8</v>
      </c>
    </row>
    <row r="13" spans="1:4">
      <c r="A13" t="s">
        <v>73</v>
      </c>
      <c r="B13" t="s">
        <v>69</v>
      </c>
      <c r="D13" t="s">
        <v>76</v>
      </c>
    </row>
    <row r="14" spans="1:4">
      <c r="A14" t="s">
        <v>77</v>
      </c>
      <c r="B14" t="s">
        <v>78</v>
      </c>
      <c r="D14" t="s">
        <v>79</v>
      </c>
    </row>
    <row r="15" spans="1:4">
      <c r="A15" t="s">
        <v>80</v>
      </c>
      <c r="B15" s="18" t="s">
        <v>81</v>
      </c>
    </row>
    <row r="16" spans="1:4">
      <c r="A16" t="s">
        <v>84</v>
      </c>
      <c r="B16" s="18" t="s">
        <v>82</v>
      </c>
    </row>
    <row r="17" spans="1: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C52"/>
  <sheetViews>
    <sheetView tabSelected="1" topLeftCell="A3" zoomScale="66" zoomScaleNormal="70" workbookViewId="0">
      <pane xSplit="11" topLeftCell="L1" activePane="topRight" state="frozen"/>
      <selection pane="topRight" activeCell="BD12" sqref="BD12"/>
    </sheetView>
  </sheetViews>
  <sheetFormatPr baseColWidth="10" defaultColWidth="8.796875" defaultRowHeight="15.6" outlineLevelRow="1"/>
  <cols>
    <col min="3" max="3" width="22.796875" customWidth="1"/>
    <col min="4" max="4" width="13" bestFit="1" customWidth="1"/>
    <col min="5" max="5" width="4.796875" bestFit="1" customWidth="1"/>
    <col min="6" max="6" width="57.5" customWidth="1"/>
    <col min="7" max="7" width="9.796875"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 min="78" max="78" width="12.5" bestFit="1" customWidth="1"/>
    <col min="79" max="79" width="6.296875" customWidth="1"/>
    <col min="80" max="80" width="14.796875" bestFit="1" customWidth="1"/>
    <col min="81" max="81" width="6" customWidth="1"/>
    <col min="82" max="82" width="12.69921875" bestFit="1" customWidth="1"/>
    <col min="83" max="83" width="2.5" customWidth="1"/>
    <col min="85" max="85" width="12.5" bestFit="1" customWidth="1"/>
    <col min="86" max="86" width="6.296875" customWidth="1"/>
    <col min="87" max="87" width="14.796875" bestFit="1" customWidth="1"/>
    <col min="88" max="88" width="6" customWidth="1"/>
    <col min="89" max="89" width="12.69921875" bestFit="1" customWidth="1"/>
    <col min="90" max="90" width="2.5" customWidth="1"/>
    <col min="92" max="92" width="12.5" bestFit="1" customWidth="1"/>
    <col min="93" max="93" width="6.296875" customWidth="1"/>
    <col min="94" max="94" width="14.796875" bestFit="1" customWidth="1"/>
    <col min="95" max="95" width="6" customWidth="1"/>
    <col min="96" max="96" width="12.69921875" bestFit="1" customWidth="1"/>
    <col min="97" max="97" width="2.5" customWidth="1"/>
    <col min="99" max="99" width="12.5" bestFit="1" customWidth="1"/>
    <col min="100" max="100" width="6.296875" customWidth="1"/>
    <col min="101" max="101" width="14.796875" bestFit="1" customWidth="1"/>
    <col min="102" max="102" width="6" customWidth="1"/>
    <col min="103" max="103" width="12.69921875" bestFit="1" customWidth="1"/>
    <col min="104" max="104" width="2.5" customWidth="1"/>
    <col min="106" max="106" width="12.5" bestFit="1" customWidth="1"/>
    <col min="107" max="107" width="6.296875" customWidth="1"/>
    <col min="108" max="108" width="14.796875" bestFit="1" customWidth="1"/>
    <col min="109" max="109" width="6" customWidth="1"/>
    <col min="110" max="110" width="12.69921875" bestFit="1" customWidth="1"/>
    <col min="111" max="111" width="2.5" customWidth="1"/>
    <col min="113" max="113" width="12.5" bestFit="1" customWidth="1"/>
    <col min="114" max="114" width="6.296875" customWidth="1"/>
    <col min="115" max="115" width="14.796875" bestFit="1" customWidth="1"/>
    <col min="116" max="116" width="6" customWidth="1"/>
    <col min="117" max="117" width="12.69921875" bestFit="1" customWidth="1"/>
    <col min="118" max="118" width="2.5" customWidth="1"/>
    <col min="120" max="120" width="12.5" bestFit="1" customWidth="1"/>
    <col min="121" max="121" width="6.296875" customWidth="1"/>
    <col min="122" max="122" width="14.796875" bestFit="1" customWidth="1"/>
    <col min="123" max="123" width="6" customWidth="1"/>
    <col min="124" max="124" width="12.69921875" bestFit="1" customWidth="1"/>
    <col min="125" max="125" width="2.5" customWidth="1"/>
    <col min="127" max="127" width="12.5" bestFit="1" customWidth="1"/>
    <col min="128" max="128" width="6.296875" customWidth="1"/>
    <col min="129" max="129" width="14.796875" bestFit="1" customWidth="1"/>
    <col min="130" max="130" width="6" customWidth="1"/>
    <col min="131" max="131" width="12.69921875" bestFit="1" customWidth="1"/>
    <col min="132" max="132" width="2.5" customWidth="1"/>
    <col min="134" max="134" width="12.5" bestFit="1" customWidth="1"/>
    <col min="135" max="135" width="6.296875" customWidth="1"/>
    <col min="136" max="136" width="14.796875" bestFit="1" customWidth="1"/>
    <col min="137" max="137" width="6" customWidth="1"/>
    <col min="138" max="138" width="12.69921875" bestFit="1" customWidth="1"/>
    <col min="139" max="139" width="2.5" customWidth="1"/>
    <col min="141" max="141" width="12.5" bestFit="1" customWidth="1"/>
    <col min="142" max="142" width="6.296875" customWidth="1"/>
    <col min="143" max="143" width="14.796875" bestFit="1" customWidth="1"/>
    <col min="144" max="144" width="6" customWidth="1"/>
    <col min="145" max="145" width="12.69921875" bestFit="1" customWidth="1"/>
    <col min="146" max="146" width="2.5" customWidth="1"/>
    <col min="148" max="148" width="12.5" bestFit="1" customWidth="1"/>
    <col min="149" max="149" width="6.296875" customWidth="1"/>
    <col min="150" max="150" width="14.796875" bestFit="1" customWidth="1"/>
    <col min="151" max="151" width="6" customWidth="1"/>
    <col min="152" max="152" width="12.69921875" bestFit="1" customWidth="1"/>
    <col min="153" max="153" width="2.5" customWidth="1"/>
    <col min="155" max="155" width="12.5" bestFit="1" customWidth="1"/>
    <col min="156" max="156" width="6.296875" customWidth="1"/>
    <col min="157" max="157" width="14.796875" bestFit="1" customWidth="1"/>
    <col min="158" max="158" width="6" customWidth="1"/>
    <col min="159" max="159" width="12.69921875" bestFit="1" customWidth="1"/>
    <col min="160" max="160" width="2.5" customWidth="1"/>
  </cols>
  <sheetData>
    <row r="1" spans="2:159" ht="33.6">
      <c r="B1" s="4" t="s">
        <v>0</v>
      </c>
      <c r="D1" s="4"/>
      <c r="G1" s="13" t="s">
        <v>33</v>
      </c>
      <c r="I1" s="13" t="s">
        <v>33</v>
      </c>
      <c r="J1" s="13" t="s">
        <v>33</v>
      </c>
      <c r="K1" s="13" t="s">
        <v>33</v>
      </c>
      <c r="Q1">
        <v>4</v>
      </c>
      <c r="X1">
        <v>4</v>
      </c>
      <c r="AE1">
        <v>3</v>
      </c>
      <c r="AL1">
        <v>3</v>
      </c>
      <c r="AS1">
        <v>8</v>
      </c>
      <c r="AZ1">
        <v>8</v>
      </c>
      <c r="BG1">
        <v>8</v>
      </c>
      <c r="BN1">
        <v>9</v>
      </c>
      <c r="BU1">
        <v>9</v>
      </c>
      <c r="CB1">
        <v>8</v>
      </c>
      <c r="CI1">
        <v>8</v>
      </c>
      <c r="CP1">
        <v>8</v>
      </c>
      <c r="CW1">
        <v>8</v>
      </c>
      <c r="DD1">
        <v>8</v>
      </c>
      <c r="DK1">
        <v>8</v>
      </c>
      <c r="DR1">
        <v>8</v>
      </c>
      <c r="DY1">
        <v>4</v>
      </c>
    </row>
    <row r="2" spans="2:159">
      <c r="I2" s="20" t="s">
        <v>27</v>
      </c>
      <c r="J2" s="20"/>
      <c r="K2" s="20"/>
      <c r="L2" s="20"/>
      <c r="N2" s="20" t="s">
        <v>124</v>
      </c>
      <c r="O2" s="20"/>
      <c r="P2" s="20"/>
      <c r="Q2" s="20"/>
      <c r="R2" s="20"/>
      <c r="S2" s="20"/>
      <c r="U2" s="20" t="s">
        <v>125</v>
      </c>
      <c r="V2" s="20"/>
      <c r="W2" s="20"/>
      <c r="X2" s="20"/>
      <c r="Y2" s="20"/>
      <c r="Z2" s="20"/>
      <c r="AB2" s="20" t="s">
        <v>126</v>
      </c>
      <c r="AC2" s="20"/>
      <c r="AD2" s="20"/>
      <c r="AE2" s="20"/>
      <c r="AF2" s="20"/>
      <c r="AG2" s="20"/>
      <c r="AI2" s="20" t="s">
        <v>127</v>
      </c>
      <c r="AJ2" s="20"/>
      <c r="AK2" s="20"/>
      <c r="AL2" s="20"/>
      <c r="AM2" s="20"/>
      <c r="AN2" s="20"/>
      <c r="AP2" s="20" t="s">
        <v>146</v>
      </c>
      <c r="AQ2" s="20"/>
      <c r="AR2" s="20"/>
      <c r="AS2" s="20"/>
      <c r="AT2" s="20"/>
      <c r="AU2" s="20"/>
      <c r="AW2" s="20" t="s">
        <v>128</v>
      </c>
      <c r="AX2" s="20"/>
      <c r="AY2" s="20"/>
      <c r="AZ2" s="20"/>
      <c r="BA2" s="20"/>
      <c r="BB2" s="20"/>
      <c r="BD2" s="20" t="s">
        <v>129</v>
      </c>
      <c r="BE2" s="20"/>
      <c r="BF2" s="20"/>
      <c r="BG2" s="20"/>
      <c r="BH2" s="20"/>
      <c r="BI2" s="20"/>
      <c r="BK2" s="20" t="s">
        <v>130</v>
      </c>
      <c r="BL2" s="20"/>
      <c r="BM2" s="20"/>
      <c r="BN2" s="20"/>
      <c r="BO2" s="20"/>
      <c r="BP2" s="20"/>
      <c r="BR2" s="20" t="s">
        <v>131</v>
      </c>
      <c r="BS2" s="20"/>
      <c r="BT2" s="20"/>
      <c r="BU2" s="20"/>
      <c r="BV2" s="20"/>
      <c r="BW2" s="20"/>
      <c r="BY2" s="20" t="s">
        <v>132</v>
      </c>
      <c r="BZ2" s="20"/>
      <c r="CA2" s="20"/>
      <c r="CB2" s="20"/>
      <c r="CC2" s="20"/>
      <c r="CD2" s="20"/>
      <c r="CF2" s="20" t="s">
        <v>133</v>
      </c>
      <c r="CG2" s="20"/>
      <c r="CH2" s="20"/>
      <c r="CI2" s="20"/>
      <c r="CJ2" s="20"/>
      <c r="CK2" s="20"/>
      <c r="CM2" s="20" t="s">
        <v>134</v>
      </c>
      <c r="CN2" s="20"/>
      <c r="CO2" s="20"/>
      <c r="CP2" s="20"/>
      <c r="CQ2" s="20"/>
      <c r="CR2" s="20"/>
      <c r="CT2" s="20" t="s">
        <v>135</v>
      </c>
      <c r="CU2" s="20"/>
      <c r="CV2" s="20"/>
      <c r="CW2" s="20"/>
      <c r="CX2" s="20"/>
      <c r="CY2" s="20"/>
      <c r="DA2" s="20" t="s">
        <v>136</v>
      </c>
      <c r="DB2" s="20"/>
      <c r="DC2" s="20"/>
      <c r="DD2" s="20"/>
      <c r="DE2" s="20"/>
      <c r="DF2" s="20"/>
      <c r="DH2" s="20" t="s">
        <v>137</v>
      </c>
      <c r="DI2" s="20"/>
      <c r="DJ2" s="20"/>
      <c r="DK2" s="20"/>
      <c r="DL2" s="20"/>
      <c r="DM2" s="20"/>
      <c r="DO2" s="20" t="s">
        <v>138</v>
      </c>
      <c r="DP2" s="20"/>
      <c r="DQ2" s="20"/>
      <c r="DR2" s="20"/>
      <c r="DS2" s="20"/>
      <c r="DT2" s="20"/>
      <c r="DV2" s="20" t="s">
        <v>143</v>
      </c>
      <c r="DW2" s="20"/>
      <c r="DX2" s="20"/>
      <c r="DY2" s="20"/>
      <c r="DZ2" s="20"/>
      <c r="EA2" s="20"/>
      <c r="EC2" s="20" t="s">
        <v>139</v>
      </c>
      <c r="ED2" s="20"/>
      <c r="EE2" s="20"/>
      <c r="EF2" s="20"/>
      <c r="EG2" s="20"/>
      <c r="EH2" s="20"/>
      <c r="EJ2" s="20" t="s">
        <v>140</v>
      </c>
      <c r="EK2" s="20"/>
      <c r="EL2" s="20"/>
      <c r="EM2" s="20"/>
      <c r="EN2" s="20"/>
      <c r="EO2" s="20"/>
      <c r="EQ2" s="20" t="s">
        <v>141</v>
      </c>
      <c r="ER2" s="20"/>
      <c r="ES2" s="20"/>
      <c r="ET2" s="20"/>
      <c r="EU2" s="20"/>
      <c r="EV2" s="20"/>
      <c r="EX2" s="20" t="s">
        <v>142</v>
      </c>
      <c r="EY2" s="20"/>
      <c r="EZ2" s="20"/>
      <c r="FA2" s="20"/>
      <c r="FB2" s="20"/>
      <c r="FC2" s="20"/>
    </row>
    <row r="3" spans="2:159" ht="28.2" customHeight="1">
      <c r="B3" s="5" t="s">
        <v>26</v>
      </c>
      <c r="C3" s="5" t="s">
        <v>1</v>
      </c>
      <c r="D3" s="5" t="s">
        <v>24</v>
      </c>
      <c r="E3" s="6" t="s">
        <v>30</v>
      </c>
      <c r="F3" s="5" t="s">
        <v>29</v>
      </c>
      <c r="G3" s="21"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c r="DV3" s="5" t="s">
        <v>11</v>
      </c>
      <c r="DW3" s="5" t="s">
        <v>2</v>
      </c>
      <c r="DX3" s="5" t="s">
        <v>32</v>
      </c>
      <c r="DY3" s="5" t="s">
        <v>3</v>
      </c>
      <c r="DZ3" s="5" t="s">
        <v>32</v>
      </c>
      <c r="EA3" s="5" t="s">
        <v>12</v>
      </c>
      <c r="EC3" s="5" t="s">
        <v>11</v>
      </c>
      <c r="ED3" s="5" t="s">
        <v>2</v>
      </c>
      <c r="EE3" s="5" t="s">
        <v>32</v>
      </c>
      <c r="EF3" s="5" t="s">
        <v>3</v>
      </c>
      <c r="EG3" s="5" t="s">
        <v>32</v>
      </c>
      <c r="EH3" s="5" t="s">
        <v>12</v>
      </c>
      <c r="EJ3" s="5" t="s">
        <v>11</v>
      </c>
      <c r="EK3" s="5" t="s">
        <v>2</v>
      </c>
      <c r="EL3" s="5" t="s">
        <v>32</v>
      </c>
      <c r="EM3" s="5" t="s">
        <v>3</v>
      </c>
      <c r="EN3" s="5" t="s">
        <v>32</v>
      </c>
      <c r="EO3" s="5" t="s">
        <v>12</v>
      </c>
      <c r="EQ3" s="5" t="s">
        <v>11</v>
      </c>
      <c r="ER3" s="5" t="s">
        <v>2</v>
      </c>
      <c r="ES3" s="5" t="s">
        <v>32</v>
      </c>
      <c r="ET3" s="5" t="s">
        <v>3</v>
      </c>
      <c r="EU3" s="5" t="s">
        <v>32</v>
      </c>
      <c r="EV3" s="5" t="s">
        <v>12</v>
      </c>
      <c r="EX3" s="5" t="s">
        <v>11</v>
      </c>
      <c r="EY3" s="5" t="s">
        <v>2</v>
      </c>
      <c r="EZ3" s="5" t="s">
        <v>32</v>
      </c>
      <c r="FA3" s="5" t="s">
        <v>3</v>
      </c>
      <c r="FB3" s="5" t="s">
        <v>32</v>
      </c>
      <c r="FC3" s="5" t="s">
        <v>12</v>
      </c>
    </row>
    <row r="4" spans="2:159">
      <c r="B4" t="s">
        <v>27</v>
      </c>
      <c r="C4" t="s">
        <v>87</v>
      </c>
      <c r="D4" s="19">
        <v>45689</v>
      </c>
      <c r="E4" s="9">
        <v>6</v>
      </c>
      <c r="G4" s="10">
        <f>+SUM(G5:G12)</f>
        <v>1</v>
      </c>
      <c r="I4" s="12">
        <f>+SUM(I5:I12)</f>
        <v>0</v>
      </c>
      <c r="J4" s="11">
        <f>+SUMPRODUCT(G5:G12,J5:J12)</f>
        <v>0</v>
      </c>
      <c r="K4" s="11">
        <f>+SUMPRODUCT(G5:G12,K5:K12)</f>
        <v>0</v>
      </c>
      <c r="L4" s="9"/>
      <c r="N4" s="12">
        <f>+SUM(N5:N12)</f>
        <v>0</v>
      </c>
      <c r="U4" s="12">
        <f>+SUM(U5:U12)</f>
        <v>0</v>
      </c>
      <c r="AB4" s="12">
        <f>+SUM(AB5:AB12)</f>
        <v>0</v>
      </c>
      <c r="AI4" s="12">
        <f>+SUM(AI5:AI12)</f>
        <v>0</v>
      </c>
      <c r="AP4" s="12">
        <f>+SUM(AP5:AP12)</f>
        <v>0</v>
      </c>
      <c r="AW4" s="12">
        <f>+SUM(AW5:AW12)</f>
        <v>0</v>
      </c>
      <c r="BD4" s="12">
        <f>+SUM(BD5:BD12)</f>
        <v>0</v>
      </c>
      <c r="BK4" s="12">
        <f>+SUM(BK5:BK12)</f>
        <v>0</v>
      </c>
      <c r="BR4" s="12">
        <f>+SUM(BR5:BR12)</f>
        <v>0</v>
      </c>
      <c r="BY4" s="12">
        <f>+SUM(BY5:BY12)</f>
        <v>0</v>
      </c>
      <c r="CF4" s="12">
        <f>+SUM(CF5:CF12)</f>
        <v>0</v>
      </c>
      <c r="CM4" s="12">
        <f>+SUM(CM5:CM12)</f>
        <v>0</v>
      </c>
      <c r="CT4" s="12">
        <f>+SUM(CT5:CT12)</f>
        <v>0</v>
      </c>
      <c r="DA4" s="12">
        <f>+SUM(DA5:DA12)</f>
        <v>0</v>
      </c>
      <c r="DH4" s="12">
        <f>+SUM(DH5:DH12)</f>
        <v>0</v>
      </c>
      <c r="DO4" s="12">
        <f>+SUM(DO5:DO12)</f>
        <v>0</v>
      </c>
      <c r="DV4" s="12">
        <f>+SUM(DV5:DV12)</f>
        <v>0</v>
      </c>
      <c r="EC4" s="12">
        <f>+SUM(EC5:EC12)</f>
        <v>0</v>
      </c>
      <c r="EJ4" s="12">
        <f>+SUM(EJ5:EJ12)</f>
        <v>0</v>
      </c>
      <c r="EQ4" s="12">
        <f>+SUM(EQ5:EQ12)</f>
        <v>0</v>
      </c>
      <c r="EX4" s="12">
        <f>+SUM(EX5:EX12)</f>
        <v>0</v>
      </c>
    </row>
    <row r="5" spans="2:159" outlineLevel="1">
      <c r="B5" t="s">
        <v>28</v>
      </c>
      <c r="C5" t="s">
        <v>87</v>
      </c>
      <c r="E5" s="9"/>
      <c r="F5" t="s">
        <v>111</v>
      </c>
      <c r="G5" s="10">
        <v>0.05</v>
      </c>
      <c r="I5" s="9">
        <f t="shared" ref="I5:I12" si="0">+SUMIF($M$3:$YR$3,I$3,$M5:$YR5)</f>
        <v>0</v>
      </c>
      <c r="J5" s="11" cm="1">
        <f t="array" ref="J5">MAX(IF($M$3:$EA$3=$J$3,M5:EA5))</f>
        <v>0</v>
      </c>
      <c r="K5" s="11" cm="1">
        <f t="array" ref="K5">MAX(IF($M$3:$EA$3=$J$3,M5:EA5))</f>
        <v>0</v>
      </c>
      <c r="L5" s="9"/>
      <c r="O5" s="10"/>
      <c r="P5" s="10">
        <v>0.5</v>
      </c>
      <c r="Q5" s="10"/>
      <c r="R5" s="10">
        <v>0.5</v>
      </c>
      <c r="V5" s="10"/>
      <c r="W5" s="10">
        <v>0.5</v>
      </c>
      <c r="X5" s="10"/>
      <c r="Y5" s="10">
        <v>0.5</v>
      </c>
      <c r="AC5" s="10"/>
      <c r="AD5" s="10">
        <v>0.5</v>
      </c>
      <c r="AE5" s="10"/>
      <c r="AF5" s="10">
        <v>0.5</v>
      </c>
      <c r="AJ5" s="10"/>
      <c r="AK5" s="10">
        <v>0.5</v>
      </c>
      <c r="AL5" s="10"/>
      <c r="AM5" s="10">
        <v>0.5</v>
      </c>
      <c r="AQ5" s="10"/>
      <c r="AR5" s="22">
        <v>0.8</v>
      </c>
      <c r="AS5" s="10"/>
      <c r="AT5" s="22">
        <v>0.8</v>
      </c>
      <c r="AX5" s="10"/>
      <c r="AY5" s="10">
        <v>0.8</v>
      </c>
      <c r="AZ5" s="10"/>
      <c r="BA5" s="10">
        <v>0.8</v>
      </c>
      <c r="BE5" s="10"/>
      <c r="BF5" s="10">
        <v>0.8</v>
      </c>
      <c r="BG5" s="10"/>
      <c r="BH5" s="10">
        <v>0.8</v>
      </c>
      <c r="BL5" s="10"/>
      <c r="BM5" s="10">
        <v>0.8</v>
      </c>
      <c r="BN5" s="10"/>
      <c r="BO5" s="10">
        <v>0.8</v>
      </c>
      <c r="BS5" s="10"/>
      <c r="BT5" s="10">
        <v>0.8</v>
      </c>
      <c r="BU5" s="10"/>
      <c r="BV5" s="10">
        <v>0.8</v>
      </c>
      <c r="BZ5" s="10"/>
      <c r="CA5" s="10">
        <v>1</v>
      </c>
      <c r="CB5" s="10"/>
      <c r="CC5" s="10">
        <v>1</v>
      </c>
      <c r="CG5" s="10"/>
      <c r="CH5" s="10">
        <v>1</v>
      </c>
      <c r="CI5" s="10"/>
      <c r="CJ5" s="10">
        <v>1</v>
      </c>
      <c r="CN5" s="10"/>
      <c r="CO5" s="10">
        <v>1</v>
      </c>
      <c r="CP5" s="10"/>
      <c r="CQ5" s="10">
        <v>1</v>
      </c>
      <c r="CU5" s="10"/>
      <c r="CV5" s="10">
        <v>1</v>
      </c>
      <c r="CW5" s="10"/>
      <c r="CX5" s="10">
        <v>1</v>
      </c>
      <c r="DB5" s="10"/>
      <c r="DC5" s="10">
        <v>1</v>
      </c>
      <c r="DD5" s="10"/>
      <c r="DE5" s="10">
        <v>1</v>
      </c>
      <c r="DI5" s="10"/>
      <c r="DJ5" s="10">
        <v>1</v>
      </c>
      <c r="DK5" s="10"/>
      <c r="DL5" s="10">
        <v>1</v>
      </c>
      <c r="DP5" s="10"/>
      <c r="DQ5" s="10">
        <v>1</v>
      </c>
      <c r="DR5" s="10"/>
      <c r="DS5" s="10">
        <v>1</v>
      </c>
      <c r="DW5" s="10"/>
      <c r="DX5" s="10">
        <v>1</v>
      </c>
      <c r="DY5" s="10"/>
      <c r="DZ5" s="10">
        <v>1</v>
      </c>
      <c r="ED5" s="10"/>
      <c r="EE5" s="10"/>
      <c r="EF5" s="10"/>
      <c r="EG5" s="10"/>
      <c r="EK5" s="10"/>
      <c r="EL5" s="10"/>
      <c r="EM5" s="10"/>
      <c r="EN5" s="10"/>
      <c r="ER5" s="10"/>
      <c r="ES5" s="10"/>
      <c r="ET5" s="10"/>
      <c r="EU5" s="10"/>
      <c r="EY5" s="10"/>
      <c r="EZ5" s="10"/>
      <c r="FA5" s="10"/>
      <c r="FB5" s="10"/>
    </row>
    <row r="6" spans="2:159" outlineLevel="1">
      <c r="B6" t="s">
        <v>28</v>
      </c>
      <c r="C6" t="s">
        <v>87</v>
      </c>
      <c r="E6" s="9"/>
      <c r="F6" t="s">
        <v>112</v>
      </c>
      <c r="G6" s="10">
        <v>0.2</v>
      </c>
      <c r="I6" s="9">
        <f t="shared" si="0"/>
        <v>0</v>
      </c>
      <c r="J6" s="11" cm="1">
        <f t="array" ref="J6">MAX(IF($M$3:$EA$3=$J$3,M6:EA6))</f>
        <v>0</v>
      </c>
      <c r="K6" s="11" cm="1">
        <f t="array" ref="K6">MAX(IF($M$3:$EA$3=$J$3,M6:EA6))</f>
        <v>0</v>
      </c>
      <c r="L6" s="9"/>
      <c r="O6" s="10"/>
      <c r="P6" s="10"/>
      <c r="Q6" s="10"/>
      <c r="R6" s="10"/>
      <c r="V6" s="10"/>
      <c r="W6" s="22">
        <v>0.5</v>
      </c>
      <c r="X6" s="10"/>
      <c r="Y6" s="22">
        <v>0.5</v>
      </c>
      <c r="AC6" s="10"/>
      <c r="AD6" s="10">
        <v>0.5</v>
      </c>
      <c r="AE6" s="10"/>
      <c r="AF6" s="10">
        <v>0.5</v>
      </c>
      <c r="AJ6" s="10"/>
      <c r="AK6" s="10">
        <v>0.5</v>
      </c>
      <c r="AL6" s="10"/>
      <c r="AM6" s="10">
        <v>0.5</v>
      </c>
      <c r="AQ6" s="10"/>
      <c r="AR6" s="10">
        <v>0.5</v>
      </c>
      <c r="AS6" s="10"/>
      <c r="AT6" s="10">
        <v>0.5</v>
      </c>
      <c r="AX6" s="10"/>
      <c r="AY6" s="22">
        <v>0.8</v>
      </c>
      <c r="AZ6" s="10"/>
      <c r="BA6" s="22">
        <v>0.8</v>
      </c>
      <c r="BE6" s="10"/>
      <c r="BF6" s="10">
        <v>0.8</v>
      </c>
      <c r="BG6" s="10"/>
      <c r="BH6" s="10">
        <v>0.8</v>
      </c>
      <c r="BL6" s="10"/>
      <c r="BM6" s="10">
        <v>0.8</v>
      </c>
      <c r="BN6" s="10"/>
      <c r="BO6" s="10">
        <v>0.8</v>
      </c>
      <c r="BS6" s="10"/>
      <c r="BT6" s="10">
        <v>0.8</v>
      </c>
      <c r="BU6" s="10"/>
      <c r="BV6" s="10">
        <v>0.8</v>
      </c>
      <c r="BZ6" s="10"/>
      <c r="CA6" s="10">
        <v>0.8</v>
      </c>
      <c r="CB6" s="10"/>
      <c r="CC6" s="10">
        <v>0.8</v>
      </c>
      <c r="CG6" s="10"/>
      <c r="CH6" s="10">
        <v>1</v>
      </c>
      <c r="CI6" s="10"/>
      <c r="CJ6" s="10">
        <v>1</v>
      </c>
      <c r="CN6" s="10"/>
      <c r="CO6" s="10">
        <v>1</v>
      </c>
      <c r="CP6" s="10"/>
      <c r="CQ6" s="10">
        <v>1</v>
      </c>
      <c r="CU6" s="10"/>
      <c r="CV6" s="10">
        <v>1</v>
      </c>
      <c r="CW6" s="10"/>
      <c r="CX6" s="10">
        <v>1</v>
      </c>
      <c r="DB6" s="10"/>
      <c r="DC6" s="10">
        <v>1</v>
      </c>
      <c r="DD6" s="10"/>
      <c r="DE6" s="10">
        <v>1</v>
      </c>
      <c r="DI6" s="10"/>
      <c r="DJ6" s="10">
        <v>1</v>
      </c>
      <c r="DK6" s="10"/>
      <c r="DL6" s="10">
        <v>1</v>
      </c>
      <c r="DP6" s="10"/>
      <c r="DQ6" s="10">
        <v>1</v>
      </c>
      <c r="DR6" s="10"/>
      <c r="DS6" s="10">
        <v>1</v>
      </c>
      <c r="DW6" s="10"/>
      <c r="DX6" s="10">
        <v>1</v>
      </c>
      <c r="DY6" s="10"/>
      <c r="DZ6" s="10">
        <v>1</v>
      </c>
      <c r="ED6" s="10"/>
      <c r="EE6" s="10"/>
      <c r="EF6" s="10"/>
      <c r="EG6" s="10"/>
      <c r="EK6" s="10"/>
      <c r="EL6" s="10"/>
      <c r="EM6" s="10"/>
      <c r="EN6" s="10"/>
      <c r="ER6" s="10"/>
      <c r="ES6" s="10"/>
      <c r="ET6" s="10"/>
      <c r="EU6" s="10"/>
      <c r="EY6" s="10"/>
      <c r="EZ6" s="10"/>
      <c r="FA6" s="10"/>
      <c r="FB6" s="10"/>
    </row>
    <row r="7" spans="2:159" outlineLevel="1">
      <c r="B7" t="s">
        <v>28</v>
      </c>
      <c r="C7" t="s">
        <v>87</v>
      </c>
      <c r="E7" s="9"/>
      <c r="F7" t="s">
        <v>113</v>
      </c>
      <c r="G7" s="10">
        <v>0.2</v>
      </c>
      <c r="I7" s="9">
        <f t="shared" si="0"/>
        <v>0</v>
      </c>
      <c r="J7" s="11" cm="1">
        <f t="array" ref="J7">MAX(IF($M$3:$EA$3=$J$3,M7:EA7))</f>
        <v>0</v>
      </c>
      <c r="K7" s="11" cm="1">
        <f t="array" ref="K7">MAX(IF($M$3:$EA$3=$J$3,M7:EA7))</f>
        <v>0</v>
      </c>
      <c r="L7" s="9"/>
      <c r="O7" s="10"/>
      <c r="P7" s="10"/>
      <c r="Q7" s="10"/>
      <c r="R7" s="10"/>
      <c r="V7" s="10"/>
      <c r="W7" s="10"/>
      <c r="X7" s="10"/>
      <c r="Y7" s="10"/>
      <c r="AC7" s="10"/>
      <c r="AD7" s="22">
        <v>0.5</v>
      </c>
      <c r="AE7" s="10"/>
      <c r="AF7" s="22">
        <v>0.5</v>
      </c>
      <c r="AJ7" s="10"/>
      <c r="AK7" s="10">
        <v>0.5</v>
      </c>
      <c r="AL7" s="10"/>
      <c r="AM7" s="10">
        <v>0.5</v>
      </c>
      <c r="AQ7" s="10"/>
      <c r="AR7" s="10">
        <v>0.5</v>
      </c>
      <c r="AS7" s="10"/>
      <c r="AT7" s="10">
        <v>0.5</v>
      </c>
      <c r="AX7" s="10"/>
      <c r="AY7" s="10">
        <v>0.5</v>
      </c>
      <c r="AZ7" s="10"/>
      <c r="BA7" s="10">
        <v>0.5</v>
      </c>
      <c r="BE7" s="10"/>
      <c r="BF7" s="22">
        <v>0.8</v>
      </c>
      <c r="BG7" s="10"/>
      <c r="BH7" s="22">
        <v>0.8</v>
      </c>
      <c r="BL7" s="10"/>
      <c r="BM7" s="10">
        <v>0.8</v>
      </c>
      <c r="BN7" s="10"/>
      <c r="BO7" s="10">
        <v>0.8</v>
      </c>
      <c r="BS7" s="10"/>
      <c r="BT7" s="10">
        <v>0.8</v>
      </c>
      <c r="BU7" s="10"/>
      <c r="BV7" s="10">
        <v>0.8</v>
      </c>
      <c r="BZ7" s="10"/>
      <c r="CA7" s="10">
        <v>0.8</v>
      </c>
      <c r="CB7" s="10"/>
      <c r="CC7" s="10">
        <v>0.8</v>
      </c>
      <c r="CG7" s="10"/>
      <c r="CH7" s="10">
        <v>0.8</v>
      </c>
      <c r="CI7" s="10"/>
      <c r="CJ7" s="10">
        <v>0.8</v>
      </c>
      <c r="CN7" s="10"/>
      <c r="CO7" s="10">
        <v>1</v>
      </c>
      <c r="CP7" s="10"/>
      <c r="CQ7" s="10">
        <v>1</v>
      </c>
      <c r="CU7" s="10"/>
      <c r="CV7" s="10">
        <v>1</v>
      </c>
      <c r="CW7" s="10"/>
      <c r="CX7" s="10">
        <v>1</v>
      </c>
      <c r="DB7" s="10"/>
      <c r="DC7" s="10">
        <v>1</v>
      </c>
      <c r="DD7" s="10"/>
      <c r="DE7" s="10">
        <v>1</v>
      </c>
      <c r="DI7" s="10"/>
      <c r="DJ7" s="10">
        <v>1</v>
      </c>
      <c r="DK7" s="10"/>
      <c r="DL7" s="10">
        <v>1</v>
      </c>
      <c r="DP7" s="10"/>
      <c r="DQ7" s="10">
        <v>1</v>
      </c>
      <c r="DR7" s="10"/>
      <c r="DS7" s="10">
        <v>1</v>
      </c>
      <c r="DW7" s="10"/>
      <c r="DX7" s="10">
        <v>1</v>
      </c>
      <c r="DY7" s="10"/>
      <c r="DZ7" s="10">
        <v>1</v>
      </c>
      <c r="ED7" s="10"/>
      <c r="EE7" s="10"/>
      <c r="EF7" s="10"/>
      <c r="EG7" s="10"/>
      <c r="EK7" s="10"/>
      <c r="EL7" s="10"/>
      <c r="EM7" s="10"/>
      <c r="EN7" s="10"/>
      <c r="ER7" s="10"/>
      <c r="ES7" s="10"/>
      <c r="ET7" s="10"/>
      <c r="EU7" s="10"/>
      <c r="EY7" s="10"/>
      <c r="EZ7" s="10"/>
      <c r="FA7" s="10"/>
      <c r="FB7" s="10"/>
    </row>
    <row r="8" spans="2:159" outlineLevel="1">
      <c r="B8" t="s">
        <v>28</v>
      </c>
      <c r="C8" t="s">
        <v>87</v>
      </c>
      <c r="E8" s="9"/>
      <c r="F8" t="s">
        <v>114</v>
      </c>
      <c r="G8" s="10">
        <v>0.2</v>
      </c>
      <c r="I8" s="9">
        <f t="shared" si="0"/>
        <v>0</v>
      </c>
      <c r="J8" s="11" cm="1">
        <f t="array" ref="J8">MAX(IF($M$3:$EA$3=$J$3,M8:EA8))</f>
        <v>0</v>
      </c>
      <c r="K8" s="11" cm="1">
        <f t="array" ref="K8">MAX(IF($M$3:$EA$3=$J$3,M8:EA8))</f>
        <v>0</v>
      </c>
      <c r="L8" s="9"/>
      <c r="O8" s="10"/>
      <c r="P8" s="10"/>
      <c r="Q8" s="10"/>
      <c r="R8" s="10"/>
      <c r="V8" s="10"/>
      <c r="W8" s="10"/>
      <c r="X8" s="10"/>
      <c r="Y8" s="10"/>
      <c r="AC8" s="10"/>
      <c r="AD8" s="10"/>
      <c r="AE8" s="10"/>
      <c r="AF8" s="10"/>
      <c r="AJ8" s="10"/>
      <c r="AK8" s="22">
        <v>0.5</v>
      </c>
      <c r="AL8" s="10"/>
      <c r="AM8" s="22">
        <v>0.5</v>
      </c>
      <c r="AQ8" s="10"/>
      <c r="AR8" s="10">
        <v>0.5</v>
      </c>
      <c r="AS8" s="10"/>
      <c r="AT8" s="10">
        <v>0.5</v>
      </c>
      <c r="AX8" s="10"/>
      <c r="AY8" s="10">
        <v>0.5</v>
      </c>
      <c r="AZ8" s="10"/>
      <c r="BA8" s="10">
        <v>0.5</v>
      </c>
      <c r="BE8" s="10"/>
      <c r="BF8" s="10">
        <v>0.5</v>
      </c>
      <c r="BG8" s="10"/>
      <c r="BH8" s="10">
        <v>0.5</v>
      </c>
      <c r="BL8" s="10"/>
      <c r="BM8" s="22">
        <v>0.8</v>
      </c>
      <c r="BN8" s="10"/>
      <c r="BO8" s="22">
        <v>0.8</v>
      </c>
      <c r="BS8" s="10"/>
      <c r="BT8" s="10">
        <v>0.8</v>
      </c>
      <c r="BU8" s="10"/>
      <c r="BV8" s="10">
        <v>0.8</v>
      </c>
      <c r="BZ8" s="10"/>
      <c r="CA8" s="10">
        <v>0.8</v>
      </c>
      <c r="CB8" s="10"/>
      <c r="CC8" s="10">
        <v>0.8</v>
      </c>
      <c r="CG8" s="10"/>
      <c r="CH8" s="10">
        <v>0.8</v>
      </c>
      <c r="CI8" s="10"/>
      <c r="CJ8" s="10">
        <v>0.8</v>
      </c>
      <c r="CN8" s="10"/>
      <c r="CO8" s="10">
        <v>0.8</v>
      </c>
      <c r="CP8" s="10"/>
      <c r="CQ8" s="10">
        <v>0.8</v>
      </c>
      <c r="CU8" s="10"/>
      <c r="CV8" s="10">
        <v>1</v>
      </c>
      <c r="CW8" s="10"/>
      <c r="CX8" s="10">
        <v>1</v>
      </c>
      <c r="DB8" s="10"/>
      <c r="DC8" s="10">
        <v>1</v>
      </c>
      <c r="DD8" s="10"/>
      <c r="DE8" s="10">
        <v>1</v>
      </c>
      <c r="DI8" s="10"/>
      <c r="DJ8" s="10">
        <v>1</v>
      </c>
      <c r="DK8" s="10"/>
      <c r="DL8" s="10">
        <v>1</v>
      </c>
      <c r="DP8" s="10"/>
      <c r="DQ8" s="10">
        <v>1</v>
      </c>
      <c r="DR8" s="10"/>
      <c r="DS8" s="10">
        <v>1</v>
      </c>
      <c r="DW8" s="10"/>
      <c r="DX8" s="10">
        <v>1</v>
      </c>
      <c r="DY8" s="10"/>
      <c r="DZ8" s="10">
        <v>1</v>
      </c>
      <c r="ED8" s="10"/>
      <c r="EE8" s="10"/>
      <c r="EF8" s="10"/>
      <c r="EG8" s="10"/>
      <c r="EK8" s="10"/>
      <c r="EL8" s="10"/>
      <c r="EM8" s="10"/>
      <c r="EN8" s="10"/>
      <c r="ER8" s="10"/>
      <c r="ES8" s="10"/>
      <c r="ET8" s="10"/>
      <c r="EU8" s="10"/>
      <c r="EY8" s="10"/>
      <c r="EZ8" s="10"/>
      <c r="FA8" s="10"/>
      <c r="FB8" s="10"/>
    </row>
    <row r="9" spans="2:159" outlineLevel="1">
      <c r="B9" t="s">
        <v>28</v>
      </c>
      <c r="C9" t="s">
        <v>87</v>
      </c>
      <c r="E9" s="9"/>
      <c r="F9" t="s">
        <v>115</v>
      </c>
      <c r="G9" s="10">
        <v>0.15</v>
      </c>
      <c r="I9" s="9">
        <f t="shared" si="0"/>
        <v>0</v>
      </c>
      <c r="J9" s="11" cm="1">
        <f t="array" ref="J9">MAX(IF($M$3:$EA$3=$J$3,M9:EA9))</f>
        <v>0</v>
      </c>
      <c r="K9" s="11" cm="1">
        <f t="array" ref="K9">MAX(IF($M$3:$EA$3=$J$3,M9:EA9))</f>
        <v>0</v>
      </c>
      <c r="L9" s="9"/>
      <c r="O9" s="10"/>
      <c r="P9" s="10"/>
      <c r="Q9" s="10"/>
      <c r="R9" s="10"/>
      <c r="V9" s="10"/>
      <c r="W9" s="10"/>
      <c r="X9" s="10"/>
      <c r="Y9" s="10"/>
      <c r="AC9" s="10"/>
      <c r="AD9" s="10"/>
      <c r="AE9" s="10"/>
      <c r="AF9" s="10"/>
      <c r="AJ9" s="10"/>
      <c r="AK9" s="10"/>
      <c r="AL9" s="10"/>
      <c r="AM9" s="10"/>
      <c r="AQ9" s="10"/>
      <c r="AR9" s="10"/>
      <c r="AS9" s="10"/>
      <c r="AT9" s="10"/>
      <c r="AX9" s="10"/>
      <c r="AY9" s="22">
        <v>0.5</v>
      </c>
      <c r="AZ9" s="10"/>
      <c r="BA9" s="22">
        <v>0.5</v>
      </c>
      <c r="BE9" s="10"/>
      <c r="BF9" s="10">
        <v>0.5</v>
      </c>
      <c r="BG9" s="10"/>
      <c r="BH9" s="10">
        <v>0.5</v>
      </c>
      <c r="BL9" s="10"/>
      <c r="BM9" s="10">
        <v>0.5</v>
      </c>
      <c r="BN9" s="10"/>
      <c r="BO9" s="10">
        <v>0.5</v>
      </c>
      <c r="BS9" s="10"/>
      <c r="BT9" s="22">
        <v>0.8</v>
      </c>
      <c r="BU9" s="10"/>
      <c r="BV9" s="22">
        <v>0.8</v>
      </c>
      <c r="BZ9" s="10"/>
      <c r="CA9" s="10">
        <v>0.8</v>
      </c>
      <c r="CB9" s="10"/>
      <c r="CC9" s="10">
        <v>0.8</v>
      </c>
      <c r="CG9" s="10"/>
      <c r="CH9" s="10">
        <v>0.8</v>
      </c>
      <c r="CI9" s="10"/>
      <c r="CJ9" s="10">
        <v>0.8</v>
      </c>
      <c r="CN9" s="10"/>
      <c r="CO9" s="10">
        <v>0.8</v>
      </c>
      <c r="CP9" s="10"/>
      <c r="CQ9" s="10">
        <v>0.8</v>
      </c>
      <c r="CU9" s="10"/>
      <c r="CV9" s="10">
        <v>1</v>
      </c>
      <c r="CW9" s="10"/>
      <c r="CX9" s="10">
        <v>1</v>
      </c>
      <c r="DB9" s="10"/>
      <c r="DC9" s="10">
        <v>1</v>
      </c>
      <c r="DD9" s="10"/>
      <c r="DE9" s="10">
        <v>1</v>
      </c>
      <c r="DI9" s="10"/>
      <c r="DJ9" s="10">
        <v>1</v>
      </c>
      <c r="DK9" s="10"/>
      <c r="DL9" s="10">
        <v>1</v>
      </c>
      <c r="DP9" s="10"/>
      <c r="DQ9" s="10">
        <v>1</v>
      </c>
      <c r="DR9" s="10"/>
      <c r="DS9" s="10">
        <v>1</v>
      </c>
      <c r="DW9" s="10"/>
      <c r="DX9" s="10">
        <v>1</v>
      </c>
      <c r="DY9" s="10"/>
      <c r="DZ9" s="10">
        <v>1</v>
      </c>
      <c r="ED9" s="10"/>
      <c r="EE9" s="10"/>
      <c r="EF9" s="10"/>
      <c r="EG9" s="10"/>
      <c r="EK9" s="10"/>
      <c r="EL9" s="10"/>
      <c r="EM9" s="10"/>
      <c r="EN9" s="10"/>
      <c r="ER9" s="10"/>
      <c r="ES9" s="10"/>
      <c r="ET9" s="10"/>
      <c r="EU9" s="10"/>
      <c r="EY9" s="10"/>
      <c r="EZ9" s="10"/>
      <c r="FA9" s="10"/>
      <c r="FB9" s="10"/>
    </row>
    <row r="10" spans="2:159" outlineLevel="1">
      <c r="B10" t="s">
        <v>28</v>
      </c>
      <c r="C10" t="s">
        <v>87</v>
      </c>
      <c r="E10" s="9"/>
      <c r="F10" t="s">
        <v>116</v>
      </c>
      <c r="G10" s="10">
        <v>0.05</v>
      </c>
      <c r="I10" s="9">
        <f t="shared" si="0"/>
        <v>0</v>
      </c>
      <c r="J10" s="11" cm="1">
        <f t="array" ref="J10">MAX(IF($M$3:$EA$3=$J$3,M10:EA10))</f>
        <v>0</v>
      </c>
      <c r="K10" s="11" cm="1">
        <f t="array" ref="K10">MAX(IF($M$3:$EA$3=$J$3,M10:EA10))</f>
        <v>0</v>
      </c>
      <c r="L10" s="9"/>
      <c r="O10" s="10"/>
      <c r="P10" s="10"/>
      <c r="Q10" s="10"/>
      <c r="R10" s="10"/>
      <c r="V10" s="10"/>
      <c r="W10" s="10"/>
      <c r="X10" s="10"/>
      <c r="Y10" s="10"/>
      <c r="AC10" s="10"/>
      <c r="AD10" s="10"/>
      <c r="AE10" s="10"/>
      <c r="AF10" s="10"/>
      <c r="AJ10" s="10"/>
      <c r="AK10" s="10"/>
      <c r="AL10" s="10"/>
      <c r="AM10" s="10"/>
      <c r="AQ10" s="10"/>
      <c r="AR10" s="10"/>
      <c r="AS10" s="10"/>
      <c r="AT10" s="10"/>
      <c r="AX10" s="10"/>
      <c r="AY10" s="10"/>
      <c r="AZ10" s="10"/>
      <c r="BA10" s="10"/>
      <c r="BE10" s="10"/>
      <c r="BF10" s="22">
        <v>0.5</v>
      </c>
      <c r="BG10" s="10"/>
      <c r="BH10" s="22">
        <v>0.5</v>
      </c>
      <c r="BL10" s="10"/>
      <c r="BM10" s="10">
        <v>0.5</v>
      </c>
      <c r="BN10" s="10"/>
      <c r="BO10" s="10">
        <v>0.5</v>
      </c>
      <c r="BS10" s="10"/>
      <c r="BT10" s="10">
        <v>0.5</v>
      </c>
      <c r="BU10" s="10"/>
      <c r="BV10" s="10">
        <v>0.5</v>
      </c>
      <c r="BZ10" s="10"/>
      <c r="CA10" s="10">
        <v>0.8</v>
      </c>
      <c r="CB10" s="10"/>
      <c r="CC10" s="10">
        <v>0.8</v>
      </c>
      <c r="CG10" s="10"/>
      <c r="CH10" s="10">
        <v>0.8</v>
      </c>
      <c r="CI10" s="10"/>
      <c r="CJ10" s="10">
        <v>0.8</v>
      </c>
      <c r="CN10" s="10"/>
      <c r="CO10" s="10">
        <v>0.8</v>
      </c>
      <c r="CP10" s="10"/>
      <c r="CQ10" s="10">
        <v>0.8</v>
      </c>
      <c r="CU10" s="10"/>
      <c r="CV10" s="10">
        <v>0.8</v>
      </c>
      <c r="CW10" s="10"/>
      <c r="CX10" s="10">
        <v>0.8</v>
      </c>
      <c r="DB10" s="10"/>
      <c r="DC10" s="10">
        <v>1</v>
      </c>
      <c r="DD10" s="10"/>
      <c r="DE10" s="10">
        <v>1</v>
      </c>
      <c r="DI10" s="10"/>
      <c r="DJ10" s="10">
        <v>1</v>
      </c>
      <c r="DK10" s="10"/>
      <c r="DL10" s="10">
        <v>1</v>
      </c>
      <c r="DP10" s="10"/>
      <c r="DQ10" s="10">
        <v>1</v>
      </c>
      <c r="DR10" s="10"/>
      <c r="DS10" s="10">
        <v>1</v>
      </c>
      <c r="DW10" s="10"/>
      <c r="DX10" s="10">
        <v>1</v>
      </c>
      <c r="DY10" s="10"/>
      <c r="DZ10" s="10">
        <v>1</v>
      </c>
      <c r="ED10" s="10"/>
      <c r="EE10" s="10"/>
      <c r="EF10" s="10"/>
      <c r="EG10" s="10"/>
      <c r="EK10" s="10"/>
      <c r="EL10" s="10"/>
      <c r="EM10" s="10"/>
      <c r="EN10" s="10"/>
      <c r="ER10" s="10"/>
      <c r="ES10" s="10"/>
      <c r="ET10" s="10"/>
      <c r="EU10" s="10"/>
      <c r="EY10" s="10"/>
      <c r="EZ10" s="10"/>
      <c r="FA10" s="10"/>
      <c r="FB10" s="10"/>
    </row>
    <row r="11" spans="2:159" outlineLevel="1">
      <c r="B11" t="s">
        <v>28</v>
      </c>
      <c r="C11" t="s">
        <v>87</v>
      </c>
      <c r="E11" s="9"/>
      <c r="F11" t="s">
        <v>117</v>
      </c>
      <c r="G11" s="10">
        <v>0.1</v>
      </c>
      <c r="I11" s="9">
        <f t="shared" si="0"/>
        <v>0</v>
      </c>
      <c r="J11" s="11" cm="1">
        <f t="array" ref="J11">MAX(IF($M$3:$EA$3=$J$3,M11:EA11))</f>
        <v>0</v>
      </c>
      <c r="K11" s="11" cm="1">
        <f t="array" ref="K11">MAX(IF($M$3:$EA$3=$J$3,M11:EA11))</f>
        <v>0</v>
      </c>
      <c r="L11" s="9"/>
      <c r="O11" s="10"/>
      <c r="P11" s="10"/>
      <c r="Q11" s="10"/>
      <c r="R11" s="10"/>
      <c r="V11" s="10"/>
      <c r="W11" s="10"/>
      <c r="X11" s="10"/>
      <c r="Y11" s="10"/>
      <c r="AC11" s="10"/>
      <c r="AD11" s="10"/>
      <c r="AE11" s="10"/>
      <c r="AF11" s="10"/>
      <c r="AJ11" s="10"/>
      <c r="AK11" s="10"/>
      <c r="AL11" s="10"/>
      <c r="AM11" s="10"/>
      <c r="AQ11" s="10"/>
      <c r="AR11" s="10"/>
      <c r="AS11" s="10"/>
      <c r="AT11" s="10"/>
      <c r="AX11" s="10"/>
      <c r="AY11" s="10"/>
      <c r="AZ11" s="10"/>
      <c r="BA11" s="10"/>
      <c r="BE11" s="10"/>
      <c r="BF11" s="10"/>
      <c r="BG11" s="10"/>
      <c r="BH11" s="10"/>
      <c r="BL11" s="10"/>
      <c r="BM11" s="22">
        <v>0.5</v>
      </c>
      <c r="BN11" s="10"/>
      <c r="BO11" s="22">
        <v>0.5</v>
      </c>
      <c r="BS11" s="10"/>
      <c r="BT11" s="10">
        <v>0.5</v>
      </c>
      <c r="BU11" s="10"/>
      <c r="BV11" s="10">
        <v>0.5</v>
      </c>
      <c r="BZ11" s="10"/>
      <c r="CA11" s="10">
        <v>0.5</v>
      </c>
      <c r="CB11" s="10"/>
      <c r="CC11" s="10">
        <v>0.5</v>
      </c>
      <c r="CG11" s="10"/>
      <c r="CH11" s="10">
        <v>0.8</v>
      </c>
      <c r="CI11" s="10"/>
      <c r="CJ11" s="10">
        <v>0.8</v>
      </c>
      <c r="CN11" s="10"/>
      <c r="CO11" s="10">
        <v>0.8</v>
      </c>
      <c r="CP11" s="10"/>
      <c r="CQ11" s="10">
        <v>0.8</v>
      </c>
      <c r="CU11" s="10"/>
      <c r="CV11" s="10">
        <v>0.8</v>
      </c>
      <c r="CW11" s="10"/>
      <c r="CX11" s="10">
        <v>0.8</v>
      </c>
      <c r="DB11" s="10"/>
      <c r="DC11" s="10">
        <v>0.8</v>
      </c>
      <c r="DD11" s="10"/>
      <c r="DE11" s="10">
        <v>0.8</v>
      </c>
      <c r="DI11" s="10"/>
      <c r="DJ11" s="10">
        <v>1</v>
      </c>
      <c r="DK11" s="10"/>
      <c r="DL11" s="10">
        <v>1</v>
      </c>
      <c r="DP11" s="10"/>
      <c r="DQ11" s="10">
        <v>1</v>
      </c>
      <c r="DR11" s="10"/>
      <c r="DS11" s="10">
        <v>1</v>
      </c>
      <c r="DW11" s="10"/>
      <c r="DX11" s="10">
        <v>1</v>
      </c>
      <c r="DY11" s="10"/>
      <c r="DZ11" s="10">
        <v>1</v>
      </c>
      <c r="ED11" s="10"/>
      <c r="EE11" s="10"/>
      <c r="EF11" s="10"/>
      <c r="EG11" s="10"/>
      <c r="EK11" s="10"/>
      <c r="EL11" s="10"/>
      <c r="EM11" s="10"/>
      <c r="EN11" s="10"/>
      <c r="ER11" s="10"/>
      <c r="ES11" s="10"/>
      <c r="ET11" s="10"/>
      <c r="EU11" s="10"/>
      <c r="EY11" s="10"/>
      <c r="EZ11" s="10"/>
      <c r="FA11" s="10"/>
      <c r="FB11" s="10"/>
    </row>
    <row r="12" spans="2:159" outlineLevel="1">
      <c r="B12" t="s">
        <v>28</v>
      </c>
      <c r="C12" t="s">
        <v>87</v>
      </c>
      <c r="E12" s="9"/>
      <c r="F12" t="s">
        <v>118</v>
      </c>
      <c r="G12" s="10">
        <v>0.05</v>
      </c>
      <c r="I12" s="9">
        <f t="shared" si="0"/>
        <v>0</v>
      </c>
      <c r="J12" s="11" cm="1">
        <f t="array" ref="J12">MAX(IF($M$3:$EA$3=$J$3,M12:EA12))</f>
        <v>0</v>
      </c>
      <c r="K12" s="11" cm="1">
        <f t="array" ref="K12">MAX(IF($M$3:$EA$3=$J$3,M12:EA12))</f>
        <v>0</v>
      </c>
      <c r="L12" s="9"/>
      <c r="O12" s="10"/>
      <c r="P12" s="10"/>
      <c r="Q12" s="10"/>
      <c r="R12" s="10"/>
      <c r="V12" s="10"/>
      <c r="W12" s="10"/>
      <c r="X12" s="10"/>
      <c r="Y12" s="10"/>
      <c r="AC12" s="10"/>
      <c r="AD12" s="10"/>
      <c r="AE12" s="10"/>
      <c r="AF12" s="10"/>
      <c r="AJ12" s="10"/>
      <c r="AK12" s="10"/>
      <c r="AL12" s="10"/>
      <c r="AM12" s="10"/>
      <c r="AQ12" s="10"/>
      <c r="AR12" s="10"/>
      <c r="AS12" s="10"/>
      <c r="AT12" s="10"/>
      <c r="AX12" s="10"/>
      <c r="AY12" s="10"/>
      <c r="AZ12" s="10"/>
      <c r="BA12" s="10"/>
      <c r="BE12" s="10"/>
      <c r="BF12" s="10"/>
      <c r="BG12" s="10"/>
      <c r="BH12" s="10"/>
      <c r="BL12" s="10"/>
      <c r="BM12" s="10"/>
      <c r="BN12" s="10"/>
      <c r="BO12" s="10"/>
      <c r="BS12" s="10"/>
      <c r="BT12" s="22">
        <v>0.5</v>
      </c>
      <c r="BU12" s="10"/>
      <c r="BV12" s="22">
        <v>0.5</v>
      </c>
      <c r="BZ12" s="10"/>
      <c r="CA12" s="10">
        <v>0.5</v>
      </c>
      <c r="CB12" s="10"/>
      <c r="CC12" s="10">
        <v>0.5</v>
      </c>
      <c r="CG12" s="10"/>
      <c r="CH12" s="10">
        <v>0.5</v>
      </c>
      <c r="CI12" s="10"/>
      <c r="CJ12" s="10">
        <v>0.5</v>
      </c>
      <c r="CN12" s="10"/>
      <c r="CO12" s="10">
        <v>0.8</v>
      </c>
      <c r="CP12" s="10"/>
      <c r="CQ12" s="10">
        <v>0.8</v>
      </c>
      <c r="CU12" s="10"/>
      <c r="CV12" s="10">
        <v>0.8</v>
      </c>
      <c r="CW12" s="10"/>
      <c r="CX12" s="10">
        <v>0.8</v>
      </c>
      <c r="DB12" s="10"/>
      <c r="DC12" s="10">
        <v>0.8</v>
      </c>
      <c r="DD12" s="10"/>
      <c r="DE12" s="10">
        <v>0.8</v>
      </c>
      <c r="DI12" s="10"/>
      <c r="DJ12" s="10">
        <v>0.8</v>
      </c>
      <c r="DK12" s="10"/>
      <c r="DL12" s="10">
        <v>0.8</v>
      </c>
      <c r="DP12" s="10"/>
      <c r="DQ12" s="10">
        <v>1</v>
      </c>
      <c r="DR12" s="10"/>
      <c r="DS12" s="10">
        <v>1</v>
      </c>
      <c r="DW12" s="10"/>
      <c r="DX12" s="10">
        <v>1</v>
      </c>
      <c r="DY12" s="10"/>
      <c r="DZ12" s="10">
        <v>1</v>
      </c>
      <c r="ED12" s="10"/>
      <c r="EE12" s="10"/>
      <c r="EF12" s="10"/>
      <c r="EG12" s="10"/>
      <c r="EK12" s="10"/>
      <c r="EL12" s="10"/>
      <c r="EM12" s="10"/>
      <c r="EN12" s="10"/>
      <c r="ER12" s="10"/>
      <c r="ES12" s="10"/>
      <c r="ET12" s="10"/>
      <c r="EU12" s="10"/>
      <c r="EY12" s="10"/>
      <c r="EZ12" s="10"/>
      <c r="FA12" s="10"/>
      <c r="FB12" s="10"/>
    </row>
    <row r="14" spans="2:159">
      <c r="B14" t="s">
        <v>27</v>
      </c>
      <c r="C14" t="s">
        <v>88</v>
      </c>
      <c r="D14" s="19">
        <v>45689</v>
      </c>
      <c r="E14" s="9">
        <v>6</v>
      </c>
      <c r="G14" s="10">
        <f>+SUM(G15:G23)</f>
        <v>1</v>
      </c>
      <c r="I14" s="12">
        <f>+SUM(I15:I23)</f>
        <v>0</v>
      </c>
      <c r="J14" s="11">
        <f>+SUMPRODUCT(G15:G23,J15:J23)</f>
        <v>0</v>
      </c>
      <c r="K14" s="11">
        <f>+SUMPRODUCT(G15:G23,K15:K23)</f>
        <v>0</v>
      </c>
      <c r="L14" s="9"/>
      <c r="N14" s="12">
        <f>+SUM(N15:N23)</f>
        <v>0</v>
      </c>
      <c r="U14" s="12">
        <f>+SUM(U15:U23)</f>
        <v>0</v>
      </c>
      <c r="AB14" s="12">
        <f>+SUM(AB15:AB23)</f>
        <v>0</v>
      </c>
      <c r="AI14" s="12">
        <f>+SUM(AI15:AI23)</f>
        <v>0</v>
      </c>
      <c r="AP14" s="12">
        <f>+SUM(AP15:AP23)</f>
        <v>0</v>
      </c>
      <c r="AW14" s="12">
        <f>+SUM(AW15:AW23)</f>
        <v>0</v>
      </c>
      <c r="BD14" s="12">
        <f>+SUM(BD15:BD23)</f>
        <v>0</v>
      </c>
      <c r="BK14" s="12">
        <f>+SUM(BK15:BK23)</f>
        <v>0</v>
      </c>
      <c r="BR14" s="12">
        <f>+SUM(BR15:BR23)</f>
        <v>0</v>
      </c>
      <c r="BY14" s="12">
        <f>+SUM(BY15:BY23)</f>
        <v>0</v>
      </c>
      <c r="CF14" s="12">
        <f>+SUM(CF15:CF23)</f>
        <v>0</v>
      </c>
      <c r="CM14" s="12">
        <f>+SUM(CM15:CM23)</f>
        <v>0</v>
      </c>
      <c r="CT14" s="12">
        <f>+SUM(CT15:CT23)</f>
        <v>0</v>
      </c>
      <c r="DA14" s="12">
        <f>+SUM(DA15:DA23)</f>
        <v>0</v>
      </c>
      <c r="DH14" s="12">
        <f>+SUM(DH15:DH23)</f>
        <v>0</v>
      </c>
      <c r="DO14" s="12">
        <f>+SUM(DO15:DO23)</f>
        <v>0</v>
      </c>
      <c r="DV14" s="12">
        <f>+SUM(DV15:DV23)</f>
        <v>0</v>
      </c>
      <c r="EC14" s="12">
        <f>+SUM(EC15:EC23)</f>
        <v>0</v>
      </c>
    </row>
    <row r="15" spans="2:159" outlineLevel="1">
      <c r="B15" t="s">
        <v>28</v>
      </c>
      <c r="C15" t="s">
        <v>88</v>
      </c>
      <c r="E15" s="9"/>
      <c r="F15" t="s">
        <v>107</v>
      </c>
      <c r="G15" s="10">
        <v>0.1</v>
      </c>
      <c r="I15" s="9">
        <f t="shared" ref="I15:I23" si="1">+SUMIF($M$3:$YR$3,I$3,$M15:$YR15)</f>
        <v>0</v>
      </c>
      <c r="J15" s="11" cm="1">
        <f t="array" ref="J15">MAX(IF($M$3:$EA$3=$J$3,M15:EA15))</f>
        <v>0</v>
      </c>
      <c r="K15" s="11" cm="1">
        <f t="array" ref="K15">MAX(IF($M$3:$EA$3=$J$3,M15:EA15))</f>
        <v>0</v>
      </c>
      <c r="L15" s="9"/>
      <c r="O15" s="10"/>
      <c r="P15" s="10">
        <v>0.5</v>
      </c>
      <c r="Q15" s="10"/>
      <c r="R15" s="10">
        <v>0.5</v>
      </c>
      <c r="V15" s="10"/>
      <c r="W15" s="10">
        <v>0.5</v>
      </c>
      <c r="X15" s="10"/>
      <c r="Y15" s="10">
        <v>0.5</v>
      </c>
      <c r="AC15" s="10"/>
      <c r="AD15" s="10">
        <v>0.5</v>
      </c>
      <c r="AE15" s="10"/>
      <c r="AF15" s="10">
        <v>0.5</v>
      </c>
      <c r="AJ15" s="10"/>
      <c r="AK15" s="10">
        <v>0.5</v>
      </c>
      <c r="AL15" s="10"/>
      <c r="AM15" s="10">
        <v>0.5</v>
      </c>
      <c r="AQ15" s="10"/>
      <c r="AR15" s="22">
        <v>0.8</v>
      </c>
      <c r="AS15" s="10"/>
      <c r="AT15" s="22">
        <v>0.8</v>
      </c>
      <c r="AX15" s="10"/>
      <c r="AY15" s="10">
        <v>0.8</v>
      </c>
      <c r="AZ15" s="10"/>
      <c r="BA15" s="10">
        <v>0.8</v>
      </c>
      <c r="BE15" s="10"/>
      <c r="BF15" s="10">
        <v>0.8</v>
      </c>
      <c r="BG15" s="10"/>
      <c r="BH15" s="10">
        <v>0.8</v>
      </c>
      <c r="BL15" s="10"/>
      <c r="BM15" s="10">
        <v>0.8</v>
      </c>
      <c r="BN15" s="10"/>
      <c r="BO15" s="10">
        <v>0.8</v>
      </c>
      <c r="BS15" s="10"/>
      <c r="BT15" s="10">
        <v>0.8</v>
      </c>
      <c r="BU15" s="10"/>
      <c r="BV15" s="10">
        <v>0.8</v>
      </c>
      <c r="BZ15" s="10"/>
      <c r="CA15" s="10">
        <v>0.8</v>
      </c>
      <c r="CB15" s="10"/>
      <c r="CC15" s="10">
        <v>0.8</v>
      </c>
      <c r="CG15" s="10"/>
      <c r="CH15" s="10">
        <v>1</v>
      </c>
      <c r="CI15" s="10"/>
      <c r="CJ15" s="10">
        <v>1</v>
      </c>
      <c r="CN15" s="10"/>
      <c r="CO15" s="10">
        <v>1</v>
      </c>
      <c r="CP15" s="10"/>
      <c r="CQ15" s="10">
        <v>1</v>
      </c>
      <c r="CU15" s="10"/>
      <c r="CV15" s="10">
        <v>1</v>
      </c>
      <c r="CW15" s="10"/>
      <c r="CX15" s="10">
        <v>1</v>
      </c>
      <c r="DB15" s="10"/>
      <c r="DC15" s="10">
        <v>1</v>
      </c>
      <c r="DD15" s="10"/>
      <c r="DE15" s="10">
        <v>1</v>
      </c>
      <c r="DI15" s="10"/>
      <c r="DJ15" s="10">
        <v>1</v>
      </c>
      <c r="DK15" s="10"/>
      <c r="DL15" s="10">
        <v>1</v>
      </c>
      <c r="DP15" s="10"/>
      <c r="DQ15" s="10">
        <v>1</v>
      </c>
      <c r="DR15" s="10"/>
      <c r="DS15" s="10">
        <v>1</v>
      </c>
      <c r="DW15" s="10"/>
      <c r="DX15" s="10">
        <v>1</v>
      </c>
      <c r="DY15" s="10"/>
      <c r="DZ15" s="10">
        <v>1</v>
      </c>
      <c r="ED15" s="10"/>
      <c r="EE15" s="10"/>
      <c r="EF15" s="10"/>
      <c r="EG15" s="10"/>
      <c r="EK15" s="10"/>
      <c r="EL15" s="10"/>
      <c r="EM15" s="10"/>
      <c r="EN15" s="10"/>
      <c r="ER15" s="10"/>
      <c r="ES15" s="10"/>
      <c r="ET15" s="10"/>
      <c r="EU15" s="10"/>
      <c r="EY15" s="10"/>
      <c r="EZ15" s="10"/>
      <c r="FA15" s="10"/>
      <c r="FB15" s="10"/>
    </row>
    <row r="16" spans="2:159" outlineLevel="1">
      <c r="B16" t="s">
        <v>28</v>
      </c>
      <c r="C16" t="s">
        <v>88</v>
      </c>
      <c r="E16" s="9"/>
      <c r="F16" t="s">
        <v>108</v>
      </c>
      <c r="G16" s="10">
        <v>0.15</v>
      </c>
      <c r="I16" s="9">
        <f t="shared" si="1"/>
        <v>0</v>
      </c>
      <c r="J16" s="11" cm="1">
        <f t="array" ref="J16">MAX(IF($M$3:$EA$3=$J$3,M16:EA16))</f>
        <v>0</v>
      </c>
      <c r="K16" s="11" cm="1">
        <f t="array" ref="K16">MAX(IF($M$3:$EA$3=$J$3,M16:EA16))</f>
        <v>0</v>
      </c>
      <c r="L16" s="9"/>
      <c r="O16" s="10"/>
      <c r="P16" s="10"/>
      <c r="Q16" s="10"/>
      <c r="R16" s="10"/>
      <c r="V16" s="10"/>
      <c r="W16" s="22">
        <v>0.5</v>
      </c>
      <c r="X16" s="10"/>
      <c r="Y16" s="22">
        <v>0.5</v>
      </c>
      <c r="AC16" s="10"/>
      <c r="AD16" s="10">
        <v>0.5</v>
      </c>
      <c r="AE16" s="10"/>
      <c r="AF16" s="10">
        <v>0.5</v>
      </c>
      <c r="AJ16" s="10"/>
      <c r="AK16" s="10">
        <v>0.5</v>
      </c>
      <c r="AL16" s="10"/>
      <c r="AM16" s="10">
        <v>0.5</v>
      </c>
      <c r="AQ16" s="10"/>
      <c r="AR16" s="10">
        <v>0.5</v>
      </c>
      <c r="AS16" s="10"/>
      <c r="AT16" s="10">
        <v>0.5</v>
      </c>
      <c r="AX16" s="10"/>
      <c r="AY16" s="22">
        <v>0.8</v>
      </c>
      <c r="AZ16" s="10"/>
      <c r="BA16" s="22">
        <v>0.8</v>
      </c>
      <c r="BE16" s="10"/>
      <c r="BF16" s="10">
        <v>0.8</v>
      </c>
      <c r="BG16" s="10"/>
      <c r="BH16" s="10">
        <v>0.8</v>
      </c>
      <c r="BL16" s="10"/>
      <c r="BM16" s="10">
        <v>0.8</v>
      </c>
      <c r="BN16" s="10"/>
      <c r="BO16" s="10">
        <v>0.8</v>
      </c>
      <c r="BS16" s="10"/>
      <c r="BT16" s="10">
        <v>0.8</v>
      </c>
      <c r="BU16" s="10"/>
      <c r="BV16" s="10">
        <v>0.8</v>
      </c>
      <c r="BZ16" s="10"/>
      <c r="CA16" s="10">
        <v>0.8</v>
      </c>
      <c r="CB16" s="10"/>
      <c r="CC16" s="10">
        <v>0.8</v>
      </c>
      <c r="CG16" s="10"/>
      <c r="CH16" s="10">
        <v>0.8</v>
      </c>
      <c r="CI16" s="10"/>
      <c r="CJ16" s="10">
        <v>0.8</v>
      </c>
      <c r="CN16" s="10"/>
      <c r="CO16" s="10">
        <v>1</v>
      </c>
      <c r="CP16" s="10"/>
      <c r="CQ16" s="10">
        <v>1</v>
      </c>
      <c r="CU16" s="10"/>
      <c r="CV16" s="10">
        <v>1</v>
      </c>
      <c r="CW16" s="10"/>
      <c r="CX16" s="10">
        <v>1</v>
      </c>
      <c r="DB16" s="10"/>
      <c r="DC16" s="10">
        <v>1</v>
      </c>
      <c r="DD16" s="10"/>
      <c r="DE16" s="10">
        <v>1</v>
      </c>
      <c r="DI16" s="10"/>
      <c r="DJ16" s="10">
        <v>1</v>
      </c>
      <c r="DK16" s="10"/>
      <c r="DL16" s="10">
        <v>1</v>
      </c>
      <c r="DP16" s="10"/>
      <c r="DQ16" s="10">
        <v>1</v>
      </c>
      <c r="DR16" s="10"/>
      <c r="DS16" s="10">
        <v>1</v>
      </c>
      <c r="DW16" s="10"/>
      <c r="DX16" s="10">
        <v>1</v>
      </c>
      <c r="DY16" s="10"/>
      <c r="DZ16" s="10">
        <v>1</v>
      </c>
      <c r="ED16" s="10"/>
      <c r="EE16" s="10"/>
      <c r="EF16" s="10"/>
      <c r="EG16" s="10"/>
      <c r="EK16" s="10"/>
      <c r="EL16" s="10"/>
      <c r="EM16" s="10"/>
      <c r="EN16" s="10"/>
      <c r="ER16" s="10"/>
      <c r="ES16" s="10"/>
      <c r="ET16" s="10"/>
      <c r="EU16" s="10"/>
      <c r="EY16" s="10"/>
      <c r="EZ16" s="10"/>
      <c r="FA16" s="10"/>
      <c r="FB16" s="10"/>
    </row>
    <row r="17" spans="2:158" outlineLevel="1">
      <c r="B17" t="s">
        <v>28</v>
      </c>
      <c r="C17" t="s">
        <v>88</v>
      </c>
      <c r="E17" s="9"/>
      <c r="F17" t="s">
        <v>109</v>
      </c>
      <c r="G17" s="10">
        <v>0.15</v>
      </c>
      <c r="I17" s="9">
        <f t="shared" si="1"/>
        <v>0</v>
      </c>
      <c r="J17" s="11" cm="1">
        <f t="array" ref="J17">MAX(IF($M$3:$EA$3=$J$3,M17:EA17))</f>
        <v>0</v>
      </c>
      <c r="K17" s="11" cm="1">
        <f t="array" ref="K17">MAX(IF($M$3:$EA$3=$J$3,M17:EA17))</f>
        <v>0</v>
      </c>
      <c r="L17" s="9"/>
      <c r="O17" s="10"/>
      <c r="P17" s="10"/>
      <c r="Q17" s="10"/>
      <c r="R17" s="10"/>
      <c r="V17" s="10"/>
      <c r="W17" s="10"/>
      <c r="X17" s="10"/>
      <c r="Y17" s="10"/>
      <c r="AC17" s="10"/>
      <c r="AD17" s="22">
        <v>0.5</v>
      </c>
      <c r="AE17" s="10"/>
      <c r="AF17" s="22">
        <v>0.5</v>
      </c>
      <c r="AJ17" s="10"/>
      <c r="AK17" s="10">
        <v>0.5</v>
      </c>
      <c r="AL17" s="10"/>
      <c r="AM17" s="10">
        <v>0.5</v>
      </c>
      <c r="AQ17" s="10"/>
      <c r="AR17" s="10">
        <v>0.5</v>
      </c>
      <c r="AS17" s="10"/>
      <c r="AT17" s="10">
        <v>0.5</v>
      </c>
      <c r="AX17" s="10"/>
      <c r="AY17" s="10">
        <v>0.5</v>
      </c>
      <c r="AZ17" s="10"/>
      <c r="BA17" s="10">
        <v>0.5</v>
      </c>
      <c r="BE17" s="10"/>
      <c r="BF17" s="22">
        <v>0.8</v>
      </c>
      <c r="BG17" s="10"/>
      <c r="BH17" s="22">
        <v>0.8</v>
      </c>
      <c r="BL17" s="10"/>
      <c r="BM17" s="10">
        <v>0.8</v>
      </c>
      <c r="BN17" s="10"/>
      <c r="BO17" s="10">
        <v>0.8</v>
      </c>
      <c r="BS17" s="10"/>
      <c r="BT17" s="10">
        <v>0.8</v>
      </c>
      <c r="BU17" s="10"/>
      <c r="BV17" s="10">
        <v>0.8</v>
      </c>
      <c r="BZ17" s="10"/>
      <c r="CA17" s="10">
        <v>0.8</v>
      </c>
      <c r="CB17" s="10"/>
      <c r="CC17" s="10">
        <v>0.8</v>
      </c>
      <c r="CG17" s="10"/>
      <c r="CH17" s="10">
        <v>0.8</v>
      </c>
      <c r="CI17" s="10"/>
      <c r="CJ17" s="10">
        <v>0.8</v>
      </c>
      <c r="CN17" s="10"/>
      <c r="CO17" s="10">
        <v>0.8</v>
      </c>
      <c r="CP17" s="10"/>
      <c r="CQ17" s="10">
        <v>0.8</v>
      </c>
      <c r="CU17" s="10"/>
      <c r="CV17" s="10">
        <v>1</v>
      </c>
      <c r="CW17" s="10"/>
      <c r="CX17" s="10">
        <v>1</v>
      </c>
      <c r="DB17" s="10"/>
      <c r="DC17" s="10">
        <v>1</v>
      </c>
      <c r="DD17" s="10"/>
      <c r="DE17" s="10">
        <v>1</v>
      </c>
      <c r="DI17" s="10"/>
      <c r="DJ17" s="10">
        <v>1</v>
      </c>
      <c r="DK17" s="10"/>
      <c r="DL17" s="10">
        <v>1</v>
      </c>
      <c r="DP17" s="10"/>
      <c r="DQ17" s="10">
        <v>1</v>
      </c>
      <c r="DR17" s="10"/>
      <c r="DS17" s="10">
        <v>1</v>
      </c>
      <c r="DW17" s="10"/>
      <c r="DX17" s="10">
        <v>1</v>
      </c>
      <c r="DY17" s="10"/>
      <c r="DZ17" s="10">
        <v>1</v>
      </c>
      <c r="ED17" s="10"/>
      <c r="EE17" s="10"/>
      <c r="EF17" s="10"/>
      <c r="EG17" s="10"/>
      <c r="EK17" s="10"/>
      <c r="EL17" s="10"/>
      <c r="EM17" s="10"/>
      <c r="EN17" s="10"/>
      <c r="ER17" s="10"/>
      <c r="ES17" s="10"/>
      <c r="ET17" s="10"/>
      <c r="EU17" s="10"/>
      <c r="EY17" s="10"/>
      <c r="EZ17" s="10"/>
      <c r="FA17" s="10"/>
      <c r="FB17" s="10"/>
    </row>
    <row r="18" spans="2:158" outlineLevel="1">
      <c r="B18" t="s">
        <v>28</v>
      </c>
      <c r="C18" t="s">
        <v>88</v>
      </c>
      <c r="E18" s="9"/>
      <c r="F18" t="s">
        <v>110</v>
      </c>
      <c r="G18" s="10">
        <v>0.1</v>
      </c>
      <c r="I18" s="9">
        <f t="shared" si="1"/>
        <v>0</v>
      </c>
      <c r="J18" s="11" cm="1">
        <f t="array" ref="J18">MAX(IF($M$3:$EA$3=$J$3,M18:EA18))</f>
        <v>0</v>
      </c>
      <c r="K18" s="11" cm="1">
        <f t="array" ref="K18">MAX(IF($M$3:$EA$3=$J$3,M18:EA18))</f>
        <v>0</v>
      </c>
      <c r="L18" s="9"/>
      <c r="O18" s="10"/>
      <c r="P18" s="10"/>
      <c r="Q18" s="10"/>
      <c r="R18" s="10"/>
      <c r="V18" s="10"/>
      <c r="W18" s="10"/>
      <c r="X18" s="10"/>
      <c r="Y18" s="10"/>
      <c r="AC18" s="10"/>
      <c r="AD18" s="10"/>
      <c r="AE18" s="10"/>
      <c r="AF18" s="10"/>
      <c r="AJ18" s="10"/>
      <c r="AK18" s="10"/>
      <c r="AL18" s="10"/>
      <c r="AM18" s="10"/>
      <c r="AQ18" s="10"/>
      <c r="AR18" s="22">
        <v>0.5</v>
      </c>
      <c r="AS18" s="10"/>
      <c r="AT18" s="22">
        <v>0.5</v>
      </c>
      <c r="AX18" s="10"/>
      <c r="AY18" s="10">
        <v>0.5</v>
      </c>
      <c r="AZ18" s="10"/>
      <c r="BA18" s="10">
        <v>0.5</v>
      </c>
      <c r="BE18" s="10"/>
      <c r="BF18" s="10">
        <v>0.5</v>
      </c>
      <c r="BG18" s="10"/>
      <c r="BH18" s="10">
        <v>0.5</v>
      </c>
      <c r="BL18" s="10"/>
      <c r="BM18" s="22">
        <v>0.8</v>
      </c>
      <c r="BN18" s="10"/>
      <c r="BO18" s="22">
        <v>0.8</v>
      </c>
      <c r="BS18" s="10"/>
      <c r="BT18" s="10">
        <v>0.8</v>
      </c>
      <c r="BU18" s="10"/>
      <c r="BV18" s="10">
        <v>0.8</v>
      </c>
      <c r="BZ18" s="10"/>
      <c r="CA18" s="10">
        <v>0.8</v>
      </c>
      <c r="CB18" s="10"/>
      <c r="CC18" s="10">
        <v>0.8</v>
      </c>
      <c r="CG18" s="10"/>
      <c r="CH18" s="10">
        <v>0.8</v>
      </c>
      <c r="CI18" s="10"/>
      <c r="CJ18" s="10">
        <v>0.8</v>
      </c>
      <c r="CN18" s="10"/>
      <c r="CO18" s="10">
        <v>0.8</v>
      </c>
      <c r="CP18" s="10"/>
      <c r="CQ18" s="10">
        <v>0.8</v>
      </c>
      <c r="CU18" s="10"/>
      <c r="CV18" s="10">
        <v>0.8</v>
      </c>
      <c r="CW18" s="10"/>
      <c r="CX18" s="10">
        <v>0.8</v>
      </c>
      <c r="DB18" s="10"/>
      <c r="DC18" s="10">
        <v>1</v>
      </c>
      <c r="DD18" s="10"/>
      <c r="DE18" s="10">
        <v>1</v>
      </c>
      <c r="DI18" s="10"/>
      <c r="DJ18" s="10">
        <v>1</v>
      </c>
      <c r="DK18" s="10"/>
      <c r="DL18" s="10">
        <v>1</v>
      </c>
      <c r="DP18" s="10"/>
      <c r="DQ18" s="10">
        <v>1</v>
      </c>
      <c r="DR18" s="10"/>
      <c r="DS18" s="10">
        <v>1</v>
      </c>
      <c r="DW18" s="10"/>
      <c r="DX18" s="10">
        <v>1</v>
      </c>
      <c r="DY18" s="10"/>
      <c r="DZ18" s="10">
        <v>1</v>
      </c>
      <c r="ED18" s="10"/>
      <c r="EE18" s="10"/>
      <c r="EF18" s="10"/>
      <c r="EG18" s="10"/>
      <c r="EK18" s="10"/>
      <c r="EL18" s="10"/>
      <c r="EM18" s="10"/>
      <c r="EN18" s="10"/>
      <c r="ER18" s="10"/>
      <c r="ES18" s="10"/>
      <c r="ET18" s="10"/>
      <c r="EU18" s="10"/>
      <c r="EY18" s="10"/>
      <c r="EZ18" s="10"/>
      <c r="FA18" s="10"/>
      <c r="FB18" s="10"/>
    </row>
    <row r="19" spans="2:158" outlineLevel="1">
      <c r="B19" t="s">
        <v>28</v>
      </c>
      <c r="C19" t="s">
        <v>88</v>
      </c>
      <c r="E19" s="9"/>
      <c r="F19" t="s">
        <v>119</v>
      </c>
      <c r="G19" s="10">
        <v>0.15</v>
      </c>
      <c r="I19" s="9">
        <f t="shared" si="1"/>
        <v>0</v>
      </c>
      <c r="J19" s="11" cm="1">
        <f t="array" ref="J19">MAX(IF($M$3:$EA$3=$J$3,M19:EA19))</f>
        <v>0</v>
      </c>
      <c r="K19" s="11" cm="1">
        <f t="array" ref="K19">MAX(IF($M$3:$EA$3=$J$3,M19:EA19))</f>
        <v>0</v>
      </c>
      <c r="L19" s="9"/>
      <c r="O19" s="10"/>
      <c r="P19" s="10"/>
      <c r="Q19" s="10"/>
      <c r="R19" s="10"/>
      <c r="V19" s="10"/>
      <c r="W19" s="10"/>
      <c r="X19" s="10"/>
      <c r="Y19" s="10"/>
      <c r="AC19" s="10"/>
      <c r="AD19" s="10"/>
      <c r="AE19" s="10"/>
      <c r="AF19" s="10"/>
      <c r="AJ19" s="10"/>
      <c r="AK19" s="10"/>
      <c r="AL19" s="10"/>
      <c r="AM19" s="10"/>
      <c r="AQ19" s="10"/>
      <c r="AR19" s="10"/>
      <c r="AS19" s="10"/>
      <c r="AT19" s="10"/>
      <c r="AX19" s="10"/>
      <c r="AY19" s="22">
        <v>0.5</v>
      </c>
      <c r="AZ19" s="10"/>
      <c r="BA19" s="22">
        <v>0.5</v>
      </c>
      <c r="BE19" s="10"/>
      <c r="BF19" s="10">
        <v>0.5</v>
      </c>
      <c r="BG19" s="10"/>
      <c r="BH19" s="10">
        <v>0.5</v>
      </c>
      <c r="BL19" s="10"/>
      <c r="BM19" s="10">
        <v>0.5</v>
      </c>
      <c r="BN19" s="10"/>
      <c r="BO19" s="10">
        <v>0.5</v>
      </c>
      <c r="BS19" s="10"/>
      <c r="BT19" s="22">
        <v>0.8</v>
      </c>
      <c r="BU19" s="10"/>
      <c r="BV19" s="22">
        <v>0.8</v>
      </c>
      <c r="BZ19" s="10"/>
      <c r="CA19" s="10">
        <v>0.8</v>
      </c>
      <c r="CB19" s="10"/>
      <c r="CC19" s="10">
        <v>0.8</v>
      </c>
      <c r="CG19" s="10"/>
      <c r="CH19" s="10">
        <v>0.8</v>
      </c>
      <c r="CI19" s="10"/>
      <c r="CJ19" s="10">
        <v>0.8</v>
      </c>
      <c r="CN19" s="10"/>
      <c r="CO19" s="10">
        <v>0.8</v>
      </c>
      <c r="CP19" s="10"/>
      <c r="CQ19" s="10">
        <v>0.8</v>
      </c>
      <c r="CU19" s="10"/>
      <c r="CV19" s="10">
        <v>0.8</v>
      </c>
      <c r="CW19" s="10"/>
      <c r="CX19" s="10">
        <v>0.8</v>
      </c>
      <c r="DB19" s="10"/>
      <c r="DC19" s="10">
        <v>1</v>
      </c>
      <c r="DD19" s="10"/>
      <c r="DE19" s="10">
        <v>1</v>
      </c>
      <c r="DI19" s="10"/>
      <c r="DJ19" s="10">
        <v>1</v>
      </c>
      <c r="DK19" s="10"/>
      <c r="DL19" s="10">
        <v>1</v>
      </c>
      <c r="DP19" s="10"/>
      <c r="DQ19" s="10">
        <v>1</v>
      </c>
      <c r="DR19" s="10"/>
      <c r="DS19" s="10">
        <v>1</v>
      </c>
      <c r="DW19" s="10"/>
      <c r="DX19" s="10">
        <v>1</v>
      </c>
      <c r="DY19" s="10"/>
      <c r="DZ19" s="10">
        <v>1</v>
      </c>
      <c r="ED19" s="10"/>
      <c r="EE19" s="10"/>
      <c r="EF19" s="10"/>
      <c r="EG19" s="10"/>
      <c r="EK19" s="10"/>
      <c r="EL19" s="10"/>
      <c r="EM19" s="10"/>
      <c r="EN19" s="10"/>
      <c r="ER19" s="10"/>
      <c r="ES19" s="10"/>
      <c r="ET19" s="10"/>
      <c r="EU19" s="10"/>
      <c r="EY19" s="10"/>
      <c r="EZ19" s="10"/>
      <c r="FA19" s="10"/>
      <c r="FB19" s="10"/>
    </row>
    <row r="20" spans="2:158" outlineLevel="1">
      <c r="B20" t="s">
        <v>28</v>
      </c>
      <c r="C20" t="s">
        <v>88</v>
      </c>
      <c r="E20" s="9"/>
      <c r="F20" t="s">
        <v>120</v>
      </c>
      <c r="G20" s="10">
        <v>0.1</v>
      </c>
      <c r="I20" s="9">
        <f t="shared" si="1"/>
        <v>0</v>
      </c>
      <c r="J20" s="11" cm="1">
        <f t="array" ref="J20">MAX(IF($M$3:$EA$3=$J$3,M20:EA20))</f>
        <v>0</v>
      </c>
      <c r="K20" s="11" cm="1">
        <f t="array" ref="K20">MAX(IF($M$3:$EA$3=$J$3,M20:EA20))</f>
        <v>0</v>
      </c>
      <c r="L20" s="9"/>
      <c r="O20" s="10"/>
      <c r="P20" s="10"/>
      <c r="Q20" s="10"/>
      <c r="R20" s="10"/>
      <c r="V20" s="10"/>
      <c r="W20" s="10"/>
      <c r="X20" s="10"/>
      <c r="Y20" s="10"/>
      <c r="AC20" s="10"/>
      <c r="AD20" s="10"/>
      <c r="AE20" s="10"/>
      <c r="AF20" s="10"/>
      <c r="AJ20" s="10"/>
      <c r="AK20" s="10"/>
      <c r="AL20" s="10"/>
      <c r="AM20" s="10"/>
      <c r="AQ20" s="10"/>
      <c r="AR20" s="10"/>
      <c r="AS20" s="10"/>
      <c r="AT20" s="10"/>
      <c r="AX20" s="10"/>
      <c r="AY20" s="10"/>
      <c r="AZ20" s="10"/>
      <c r="BA20" s="10"/>
      <c r="BE20" s="10"/>
      <c r="BF20" s="22">
        <v>0.5</v>
      </c>
      <c r="BG20" s="10"/>
      <c r="BH20" s="22">
        <v>0.5</v>
      </c>
      <c r="BL20" s="10"/>
      <c r="BM20" s="10">
        <v>0.5</v>
      </c>
      <c r="BN20" s="10"/>
      <c r="BO20" s="10">
        <v>0.5</v>
      </c>
      <c r="BS20" s="10"/>
      <c r="BT20" s="10">
        <v>0.5</v>
      </c>
      <c r="BU20" s="10"/>
      <c r="BV20" s="10">
        <v>0.5</v>
      </c>
      <c r="BZ20" s="10"/>
      <c r="CA20" s="10">
        <v>0.8</v>
      </c>
      <c r="CB20" s="10"/>
      <c r="CC20" s="10">
        <v>0.8</v>
      </c>
      <c r="CG20" s="10"/>
      <c r="CH20" s="10">
        <v>0.8</v>
      </c>
      <c r="CI20" s="10"/>
      <c r="CJ20" s="10">
        <v>0.8</v>
      </c>
      <c r="CN20" s="10"/>
      <c r="CO20" s="10">
        <v>0.8</v>
      </c>
      <c r="CP20" s="10"/>
      <c r="CQ20" s="10">
        <v>0.8</v>
      </c>
      <c r="CU20" s="10"/>
      <c r="CV20" s="10">
        <v>0.8</v>
      </c>
      <c r="CW20" s="10"/>
      <c r="CX20" s="10">
        <v>0.8</v>
      </c>
      <c r="DB20" s="10"/>
      <c r="DC20" s="10">
        <v>0.8</v>
      </c>
      <c r="DD20" s="10"/>
      <c r="DE20" s="10">
        <v>0.8</v>
      </c>
      <c r="DI20" s="10"/>
      <c r="DJ20" s="10">
        <v>1</v>
      </c>
      <c r="DK20" s="10"/>
      <c r="DL20" s="10">
        <v>1</v>
      </c>
      <c r="DP20" s="10"/>
      <c r="DQ20" s="10">
        <v>1</v>
      </c>
      <c r="DR20" s="10"/>
      <c r="DS20" s="10">
        <v>1</v>
      </c>
      <c r="DW20" s="10"/>
      <c r="DX20" s="10">
        <v>1</v>
      </c>
      <c r="DY20" s="10"/>
      <c r="DZ20" s="10">
        <v>1</v>
      </c>
      <c r="ED20" s="10"/>
      <c r="EE20" s="10"/>
      <c r="EF20" s="10"/>
      <c r="EG20" s="10"/>
      <c r="EK20" s="10"/>
      <c r="EL20" s="10"/>
      <c r="EM20" s="10"/>
      <c r="EN20" s="10"/>
      <c r="ER20" s="10"/>
      <c r="ES20" s="10"/>
      <c r="ET20" s="10"/>
      <c r="EU20" s="10"/>
      <c r="EY20" s="10"/>
      <c r="EZ20" s="10"/>
      <c r="FA20" s="10"/>
      <c r="FB20" s="10"/>
    </row>
    <row r="21" spans="2:158" outlineLevel="1">
      <c r="B21" t="s">
        <v>28</v>
      </c>
      <c r="C21" t="s">
        <v>88</v>
      </c>
      <c r="E21" s="9"/>
      <c r="F21" t="s">
        <v>121</v>
      </c>
      <c r="G21" s="10">
        <v>0.05</v>
      </c>
      <c r="I21" s="9">
        <f t="shared" si="1"/>
        <v>0</v>
      </c>
      <c r="J21" s="11" cm="1">
        <f t="array" ref="J21">MAX(IF($M$3:$EA$3=$J$3,M21:EA21))</f>
        <v>0</v>
      </c>
      <c r="K21" s="11" cm="1">
        <f t="array" ref="K21">MAX(IF($M$3:$EA$3=$J$3,M21:EA21))</f>
        <v>0</v>
      </c>
      <c r="L21" s="9"/>
      <c r="O21" s="10"/>
      <c r="P21" s="10"/>
      <c r="Q21" s="10"/>
      <c r="R21" s="10"/>
      <c r="V21" s="10"/>
      <c r="W21" s="10"/>
      <c r="X21" s="10"/>
      <c r="Y21" s="10"/>
      <c r="AC21" s="10"/>
      <c r="AD21" s="10"/>
      <c r="AE21" s="10"/>
      <c r="AF21" s="10"/>
      <c r="AJ21" s="10"/>
      <c r="AK21" s="10"/>
      <c r="AL21" s="10"/>
      <c r="AM21" s="10"/>
      <c r="AQ21" s="10"/>
      <c r="AR21" s="10"/>
      <c r="AS21" s="10"/>
      <c r="AT21" s="10"/>
      <c r="AX21" s="10"/>
      <c r="AY21" s="10"/>
      <c r="AZ21" s="10"/>
      <c r="BA21" s="10"/>
      <c r="BE21" s="10"/>
      <c r="BF21" s="10"/>
      <c r="BG21" s="10"/>
      <c r="BH21" s="10"/>
      <c r="BL21" s="10"/>
      <c r="BM21" s="22">
        <v>0.5</v>
      </c>
      <c r="BN21" s="10"/>
      <c r="BO21" s="22">
        <v>0.5</v>
      </c>
      <c r="BS21" s="10"/>
      <c r="BT21" s="10">
        <v>0.5</v>
      </c>
      <c r="BU21" s="10"/>
      <c r="BV21" s="10">
        <v>0.5</v>
      </c>
      <c r="BZ21" s="10"/>
      <c r="CA21" s="10">
        <v>0.5</v>
      </c>
      <c r="CB21" s="10"/>
      <c r="CC21" s="10">
        <v>0.5</v>
      </c>
      <c r="CG21" s="10"/>
      <c r="CH21" s="10">
        <v>0.8</v>
      </c>
      <c r="CI21" s="10"/>
      <c r="CJ21" s="10">
        <v>0.8</v>
      </c>
      <c r="CN21" s="10"/>
      <c r="CO21" s="10">
        <v>0.8</v>
      </c>
      <c r="CP21" s="10"/>
      <c r="CQ21" s="10">
        <v>0.8</v>
      </c>
      <c r="CU21" s="10"/>
      <c r="CV21" s="10">
        <v>0.8</v>
      </c>
      <c r="CW21" s="10"/>
      <c r="CX21" s="10">
        <v>0.8</v>
      </c>
      <c r="DB21" s="10"/>
      <c r="DC21" s="10">
        <v>0.8</v>
      </c>
      <c r="DD21" s="10"/>
      <c r="DE21" s="10">
        <v>0.8</v>
      </c>
      <c r="DI21" s="10"/>
      <c r="DJ21" s="10">
        <v>0.8</v>
      </c>
      <c r="DK21" s="10"/>
      <c r="DL21" s="10">
        <v>0.8</v>
      </c>
      <c r="DP21" s="10"/>
      <c r="DQ21" s="10">
        <v>1</v>
      </c>
      <c r="DR21" s="10"/>
      <c r="DS21" s="10">
        <v>1</v>
      </c>
      <c r="DW21" s="10"/>
      <c r="DX21" s="10">
        <v>1</v>
      </c>
      <c r="DY21" s="10"/>
      <c r="DZ21" s="10">
        <v>1</v>
      </c>
      <c r="ED21" s="10"/>
      <c r="EE21" s="10"/>
      <c r="EF21" s="10"/>
      <c r="EG21" s="10"/>
      <c r="EK21" s="10"/>
      <c r="EL21" s="10"/>
      <c r="EM21" s="10"/>
      <c r="EN21" s="10"/>
      <c r="ER21" s="10"/>
      <c r="ES21" s="10"/>
      <c r="ET21" s="10"/>
      <c r="EU21" s="10"/>
      <c r="EY21" s="10"/>
      <c r="EZ21" s="10"/>
      <c r="FA21" s="10"/>
      <c r="FB21" s="10"/>
    </row>
    <row r="22" spans="2:158" outlineLevel="1">
      <c r="B22" t="s">
        <v>28</v>
      </c>
      <c r="C22" t="s">
        <v>88</v>
      </c>
      <c r="E22" s="9"/>
      <c r="F22" t="s">
        <v>122</v>
      </c>
      <c r="G22" s="10">
        <v>0.1</v>
      </c>
      <c r="I22" s="9">
        <f t="shared" si="1"/>
        <v>0</v>
      </c>
      <c r="J22" s="11" cm="1">
        <f t="array" ref="J22">MAX(IF($M$3:$EA$3=$J$3,M22:EA22))</f>
        <v>0</v>
      </c>
      <c r="K22" s="11" cm="1">
        <f t="array" ref="K22">MAX(IF($M$3:$EA$3=$J$3,M22:EA22))</f>
        <v>0</v>
      </c>
      <c r="L22" s="9"/>
      <c r="O22" s="10"/>
      <c r="P22" s="10"/>
      <c r="Q22" s="10"/>
      <c r="R22" s="10"/>
      <c r="V22" s="10"/>
      <c r="W22" s="10"/>
      <c r="X22" s="10"/>
      <c r="Y22" s="10"/>
      <c r="AC22" s="10"/>
      <c r="AD22" s="10"/>
      <c r="AE22" s="10"/>
      <c r="AF22" s="10"/>
      <c r="AJ22" s="10"/>
      <c r="AK22" s="10"/>
      <c r="AL22" s="10"/>
      <c r="AM22" s="10"/>
      <c r="AQ22" s="10"/>
      <c r="AR22" s="10"/>
      <c r="AS22" s="10"/>
      <c r="AT22" s="10"/>
      <c r="AX22" s="10"/>
      <c r="AY22" s="10"/>
      <c r="AZ22" s="10"/>
      <c r="BA22" s="10"/>
      <c r="BE22" s="10"/>
      <c r="BF22" s="10"/>
      <c r="BG22" s="10"/>
      <c r="BH22" s="10"/>
      <c r="BL22" s="10"/>
      <c r="BM22" s="10"/>
      <c r="BN22" s="10"/>
      <c r="BO22" s="10"/>
      <c r="BS22" s="10"/>
      <c r="BT22" s="22">
        <v>0.5</v>
      </c>
      <c r="BU22" s="10"/>
      <c r="BV22" s="22">
        <v>0.5</v>
      </c>
      <c r="BZ22" s="10"/>
      <c r="CA22" s="10">
        <v>0.5</v>
      </c>
      <c r="CB22" s="10"/>
      <c r="CC22" s="10">
        <v>0.5</v>
      </c>
      <c r="CG22" s="10"/>
      <c r="CH22" s="10">
        <v>0.5</v>
      </c>
      <c r="CI22" s="10"/>
      <c r="CJ22" s="10">
        <v>0.5</v>
      </c>
      <c r="CN22" s="10"/>
      <c r="CO22" s="10">
        <v>0.8</v>
      </c>
      <c r="CP22" s="10"/>
      <c r="CQ22" s="10">
        <v>0.8</v>
      </c>
      <c r="CU22" s="10"/>
      <c r="CV22" s="10">
        <v>0.8</v>
      </c>
      <c r="CW22" s="10"/>
      <c r="CX22" s="10">
        <v>0.8</v>
      </c>
      <c r="DB22" s="10"/>
      <c r="DC22" s="10">
        <v>0.8</v>
      </c>
      <c r="DD22" s="10"/>
      <c r="DE22" s="10">
        <v>0.8</v>
      </c>
      <c r="DI22" s="10"/>
      <c r="DJ22" s="10">
        <v>0.8</v>
      </c>
      <c r="DK22" s="10"/>
      <c r="DL22" s="10">
        <v>0.8</v>
      </c>
      <c r="DP22" s="10"/>
      <c r="DQ22" s="10">
        <v>1</v>
      </c>
      <c r="DR22" s="10"/>
      <c r="DS22" s="10">
        <v>1</v>
      </c>
      <c r="DW22" s="10"/>
      <c r="DX22" s="10">
        <v>1</v>
      </c>
      <c r="DY22" s="10"/>
      <c r="DZ22" s="10">
        <v>1</v>
      </c>
      <c r="ED22" s="10"/>
      <c r="EE22" s="10"/>
      <c r="EF22" s="10"/>
      <c r="EG22" s="10"/>
      <c r="EK22" s="10"/>
      <c r="EL22" s="10"/>
      <c r="EM22" s="10"/>
      <c r="EN22" s="10"/>
      <c r="ER22" s="10"/>
      <c r="ES22" s="10"/>
      <c r="ET22" s="10"/>
      <c r="EU22" s="10"/>
      <c r="EY22" s="10"/>
      <c r="EZ22" s="10"/>
      <c r="FA22" s="10"/>
      <c r="FB22" s="10"/>
    </row>
    <row r="23" spans="2:158" outlineLevel="1">
      <c r="B23" t="s">
        <v>28</v>
      </c>
      <c r="C23" t="s">
        <v>88</v>
      </c>
      <c r="E23" s="9"/>
      <c r="F23" t="s">
        <v>123</v>
      </c>
      <c r="G23" s="10">
        <v>0.1</v>
      </c>
      <c r="I23" s="9">
        <f t="shared" si="1"/>
        <v>0</v>
      </c>
      <c r="J23" s="11" cm="1">
        <f t="array" ref="J23">MAX(IF($M$3:$EA$3=$J$3,M23:EA23))</f>
        <v>0</v>
      </c>
      <c r="K23" s="11" cm="1">
        <f t="array" ref="K23">MAX(IF($M$3:$EA$3=$J$3,M23:EA23))</f>
        <v>0</v>
      </c>
      <c r="L23" s="9"/>
      <c r="O23" s="10"/>
      <c r="P23" s="10"/>
      <c r="Q23" s="10"/>
      <c r="R23" s="10"/>
      <c r="V23" s="10"/>
      <c r="W23" s="10"/>
      <c r="X23" s="10"/>
      <c r="Y23" s="10"/>
      <c r="AC23" s="10"/>
      <c r="AD23" s="10"/>
      <c r="AE23" s="10"/>
      <c r="AF23" s="10"/>
      <c r="AJ23" s="10"/>
      <c r="AK23" s="10"/>
      <c r="AL23" s="10"/>
      <c r="AM23" s="10"/>
      <c r="AQ23" s="10"/>
      <c r="AR23" s="10"/>
      <c r="AS23" s="10"/>
      <c r="AT23" s="10"/>
      <c r="AX23" s="10"/>
      <c r="AY23" s="10"/>
      <c r="AZ23" s="10"/>
      <c r="BA23" s="10"/>
      <c r="BE23" s="10"/>
      <c r="BF23" s="10"/>
      <c r="BG23" s="10"/>
      <c r="BH23" s="10"/>
      <c r="BL23" s="10"/>
      <c r="BM23" s="10"/>
      <c r="BN23" s="10"/>
      <c r="BO23" s="10"/>
      <c r="BS23" s="10"/>
      <c r="BT23" s="10"/>
      <c r="BU23" s="10"/>
      <c r="BV23" s="10"/>
      <c r="BZ23" s="10"/>
      <c r="CA23" s="10">
        <v>0.5</v>
      </c>
      <c r="CB23" s="10"/>
      <c r="CC23" s="10">
        <v>0.5</v>
      </c>
      <c r="CG23" s="10"/>
      <c r="CH23" s="10">
        <v>0.5</v>
      </c>
      <c r="CI23" s="10"/>
      <c r="CJ23" s="10">
        <v>0.5</v>
      </c>
      <c r="CN23" s="10"/>
      <c r="CO23" s="10">
        <v>0.5</v>
      </c>
      <c r="CP23" s="10"/>
      <c r="CQ23" s="10">
        <v>0.5</v>
      </c>
      <c r="CU23" s="10"/>
      <c r="CV23" s="10">
        <v>0.8</v>
      </c>
      <c r="CW23" s="10"/>
      <c r="CX23" s="10">
        <v>0.8</v>
      </c>
      <c r="DB23" s="10"/>
      <c r="DC23" s="10">
        <v>0.8</v>
      </c>
      <c r="DD23" s="10"/>
      <c r="DE23" s="10">
        <v>0.8</v>
      </c>
      <c r="DI23" s="10"/>
      <c r="DJ23" s="10">
        <v>0.8</v>
      </c>
      <c r="DK23" s="10"/>
      <c r="DL23" s="10">
        <v>0.8</v>
      </c>
      <c r="DP23" s="10"/>
      <c r="DQ23" s="10">
        <v>0.8</v>
      </c>
      <c r="DR23" s="10"/>
      <c r="DS23" s="10">
        <v>0.8</v>
      </c>
      <c r="DW23" s="10"/>
      <c r="DX23" s="10">
        <v>1</v>
      </c>
      <c r="DY23" s="10"/>
      <c r="DZ23" s="10">
        <v>1</v>
      </c>
      <c r="ED23" s="10"/>
      <c r="EE23" s="10"/>
      <c r="EF23" s="10"/>
      <c r="EG23" s="10"/>
      <c r="EK23" s="10"/>
      <c r="EL23" s="10"/>
      <c r="EM23" s="10"/>
      <c r="EN23" s="10"/>
      <c r="ER23" s="10"/>
      <c r="ES23" s="10"/>
      <c r="ET23" s="10"/>
      <c r="EU23" s="10"/>
      <c r="EY23" s="10"/>
      <c r="EZ23" s="10"/>
      <c r="FA23" s="10"/>
      <c r="FB23" s="10"/>
    </row>
    <row r="25" spans="2:158">
      <c r="B25" t="s">
        <v>27</v>
      </c>
      <c r="C25" t="s">
        <v>89</v>
      </c>
      <c r="D25" s="19">
        <v>45689</v>
      </c>
      <c r="E25" s="9">
        <v>6</v>
      </c>
      <c r="G25" s="10">
        <f>+SUM(G26:G31)</f>
        <v>0.99999999999999989</v>
      </c>
      <c r="I25" s="12">
        <f>+SUM(I26:I31)</f>
        <v>0</v>
      </c>
      <c r="J25" s="11">
        <f>+SUMPRODUCT(G26:G31,J26:J31)</f>
        <v>0</v>
      </c>
      <c r="K25" s="11">
        <f>+SUMPRODUCT(G26:G31,K26:K31)</f>
        <v>0</v>
      </c>
      <c r="L25" s="9"/>
      <c r="N25" s="12">
        <f>+SUM(N26:N31)</f>
        <v>0</v>
      </c>
      <c r="U25" s="12">
        <f>+SUM(U26:U31)</f>
        <v>0</v>
      </c>
      <c r="AB25" s="12">
        <f>+SUM(AB26:AB31)</f>
        <v>0</v>
      </c>
      <c r="AI25" s="12">
        <f>+SUM(AI26:AI31)</f>
        <v>0</v>
      </c>
      <c r="AP25" s="12">
        <f>+SUM(AP26:AP34)</f>
        <v>0</v>
      </c>
      <c r="AW25" s="12">
        <f>+SUM(AW26:AW34)</f>
        <v>0</v>
      </c>
      <c r="BD25" s="12">
        <f>+SUM(BD26:BD34)</f>
        <v>0</v>
      </c>
      <c r="BK25" s="12">
        <f>+SUM(BK26:BK34)</f>
        <v>0</v>
      </c>
      <c r="BR25" s="12">
        <f>+SUM(BR26:BR34)</f>
        <v>0</v>
      </c>
      <c r="BY25" s="12">
        <f>+SUM(BY26:BY34)</f>
        <v>0</v>
      </c>
      <c r="CF25" s="12">
        <f>+SUM(CF26:CF34)</f>
        <v>0</v>
      </c>
      <c r="CM25" s="12">
        <f>+SUM(CM26:CM34)</f>
        <v>0</v>
      </c>
      <c r="CT25" s="12">
        <f>+SUM(CT26:CT34)</f>
        <v>0</v>
      </c>
      <c r="DA25" s="12">
        <f>+SUM(DA26:DA34)</f>
        <v>0</v>
      </c>
      <c r="DH25" s="12">
        <f>+SUM(DH26:DH34)</f>
        <v>0</v>
      </c>
      <c r="DO25" s="12">
        <f>+SUM(DO26:DO34)</f>
        <v>0</v>
      </c>
      <c r="DV25" s="12">
        <f>+SUM(DV26:DV34)</f>
        <v>0</v>
      </c>
      <c r="EC25" s="12">
        <f>+SUM(EC26:EC34)</f>
        <v>0</v>
      </c>
    </row>
    <row r="26" spans="2:158" outlineLevel="1">
      <c r="B26" t="s">
        <v>28</v>
      </c>
      <c r="C26" t="s">
        <v>89</v>
      </c>
      <c r="E26" s="9"/>
      <c r="F26" t="s">
        <v>101</v>
      </c>
      <c r="G26" s="10">
        <v>0.15</v>
      </c>
      <c r="I26" s="9">
        <f t="shared" ref="I26:I31" si="2">+SUMIF($M$3:$YR$3,I$3,$M26:$YR26)</f>
        <v>0</v>
      </c>
      <c r="J26" s="11" cm="1">
        <f t="array" ref="J26">MAX(IF($M$3:$EA$3=$J$3,M26:EA26))</f>
        <v>0</v>
      </c>
      <c r="K26" s="11" cm="1">
        <f t="array" ref="K26">MAX(IF($M$3:$EA$3=$J$3,M26:EA26))</f>
        <v>0</v>
      </c>
      <c r="L26" s="9"/>
      <c r="O26" s="10"/>
      <c r="P26" s="10">
        <v>0.5</v>
      </c>
      <c r="Q26" s="10"/>
      <c r="R26" s="10">
        <v>0.5</v>
      </c>
      <c r="V26" s="10"/>
      <c r="W26" s="10">
        <v>0.5</v>
      </c>
      <c r="X26" s="10"/>
      <c r="Y26" s="10">
        <v>0.5</v>
      </c>
      <c r="AC26" s="10"/>
      <c r="AD26" s="10">
        <v>0.5</v>
      </c>
      <c r="AE26" s="10"/>
      <c r="AF26" s="10">
        <v>0.5</v>
      </c>
      <c r="AJ26" s="10"/>
      <c r="AK26" s="10">
        <v>0.5</v>
      </c>
      <c r="AL26" s="10"/>
      <c r="AM26" s="10">
        <v>0.5</v>
      </c>
      <c r="AQ26" s="10"/>
      <c r="AR26" s="22">
        <v>0.8</v>
      </c>
      <c r="AS26" s="10"/>
      <c r="AT26" s="22">
        <v>0.8</v>
      </c>
      <c r="AX26" s="10"/>
      <c r="AY26" s="10">
        <v>0.8</v>
      </c>
      <c r="AZ26" s="10"/>
      <c r="BA26" s="10">
        <v>0.8</v>
      </c>
      <c r="BE26" s="10"/>
      <c r="BF26" s="10">
        <v>0.8</v>
      </c>
      <c r="BG26" s="10"/>
      <c r="BH26" s="10">
        <v>0.8</v>
      </c>
      <c r="BL26" s="10"/>
      <c r="BM26" s="10">
        <v>0.8</v>
      </c>
      <c r="BN26" s="10"/>
      <c r="BO26" s="10">
        <v>0.8</v>
      </c>
      <c r="BS26" s="10"/>
      <c r="BT26" s="10">
        <v>0.8</v>
      </c>
      <c r="BU26" s="10"/>
      <c r="BV26" s="10">
        <v>0.8</v>
      </c>
      <c r="BZ26" s="10"/>
      <c r="CA26" s="10">
        <v>0.8</v>
      </c>
      <c r="CB26" s="10"/>
      <c r="CC26" s="10">
        <v>0.8</v>
      </c>
      <c r="CG26" s="10"/>
      <c r="CH26" s="10">
        <v>0.8</v>
      </c>
      <c r="CI26" s="10"/>
      <c r="CJ26" s="10">
        <v>0.8</v>
      </c>
      <c r="CN26" s="10"/>
      <c r="CO26" s="10">
        <v>1</v>
      </c>
      <c r="CP26" s="10"/>
      <c r="CQ26" s="10">
        <v>1</v>
      </c>
      <c r="CU26" s="10"/>
      <c r="CV26" s="10">
        <v>1</v>
      </c>
      <c r="CW26" s="10"/>
      <c r="CX26" s="10">
        <v>1</v>
      </c>
      <c r="DB26" s="10"/>
      <c r="DC26" s="10">
        <v>1</v>
      </c>
      <c r="DD26" s="10"/>
      <c r="DE26" s="10">
        <v>1</v>
      </c>
      <c r="DI26" s="10"/>
      <c r="DJ26" s="10">
        <v>1</v>
      </c>
      <c r="DK26" s="10"/>
      <c r="DL26" s="10">
        <v>1</v>
      </c>
      <c r="DP26" s="10"/>
      <c r="DQ26" s="10">
        <v>1</v>
      </c>
      <c r="DR26" s="10"/>
      <c r="DS26" s="10">
        <v>1</v>
      </c>
      <c r="DW26" s="10"/>
      <c r="DX26" s="10">
        <v>1</v>
      </c>
      <c r="DY26" s="10"/>
      <c r="DZ26" s="10">
        <v>1</v>
      </c>
      <c r="ED26" s="10"/>
      <c r="EE26" s="10"/>
      <c r="EF26" s="10"/>
      <c r="EG26" s="10"/>
      <c r="EK26" s="10"/>
      <c r="EL26" s="10"/>
      <c r="EM26" s="10"/>
      <c r="EN26" s="10"/>
      <c r="ER26" s="10"/>
      <c r="ES26" s="10"/>
      <c r="ET26" s="10"/>
      <c r="EU26" s="10"/>
      <c r="EY26" s="10"/>
      <c r="EZ26" s="10"/>
      <c r="FA26" s="10"/>
      <c r="FB26" s="10"/>
    </row>
    <row r="27" spans="2:158" outlineLevel="1">
      <c r="B27" t="s">
        <v>28</v>
      </c>
      <c r="C27" t="s">
        <v>89</v>
      </c>
      <c r="E27" s="9"/>
      <c r="F27" t="s">
        <v>102</v>
      </c>
      <c r="G27" s="10">
        <v>0.2</v>
      </c>
      <c r="I27" s="9">
        <f t="shared" si="2"/>
        <v>0</v>
      </c>
      <c r="J27" s="11" cm="1">
        <f t="array" ref="J27">MAX(IF($M$3:$EA$3=$J$3,M27:EA27))</f>
        <v>0</v>
      </c>
      <c r="K27" s="11" cm="1">
        <f t="array" ref="K27">MAX(IF($M$3:$EA$3=$J$3,M27:EA27))</f>
        <v>0</v>
      </c>
      <c r="L27" s="9"/>
      <c r="O27" s="10"/>
      <c r="P27" s="10"/>
      <c r="Q27" s="10"/>
      <c r="R27" s="10"/>
      <c r="V27" s="10"/>
      <c r="W27" s="22">
        <v>0.5</v>
      </c>
      <c r="X27" s="10"/>
      <c r="Y27" s="22">
        <v>0.5</v>
      </c>
      <c r="AC27" s="10"/>
      <c r="AD27" s="10">
        <v>0.5</v>
      </c>
      <c r="AE27" s="10"/>
      <c r="AF27" s="10">
        <v>0.5</v>
      </c>
      <c r="AJ27" s="10"/>
      <c r="AK27" s="10">
        <v>0.5</v>
      </c>
      <c r="AL27" s="10"/>
      <c r="AM27" s="10">
        <v>0.5</v>
      </c>
      <c r="AQ27" s="10"/>
      <c r="AR27" s="10">
        <v>0.5</v>
      </c>
      <c r="AS27" s="10"/>
      <c r="AT27" s="10">
        <v>0.5</v>
      </c>
      <c r="AX27" s="10"/>
      <c r="AY27" s="10">
        <v>0.5</v>
      </c>
      <c r="AZ27" s="10"/>
      <c r="BA27" s="10">
        <v>0.5</v>
      </c>
      <c r="BE27" s="10"/>
      <c r="BF27" s="22">
        <v>0.8</v>
      </c>
      <c r="BG27" s="10"/>
      <c r="BH27" s="10">
        <v>0.8</v>
      </c>
      <c r="BL27" s="10"/>
      <c r="BM27" s="10">
        <v>0.8</v>
      </c>
      <c r="BN27" s="10"/>
      <c r="BO27" s="10">
        <v>0.8</v>
      </c>
      <c r="BS27" s="10"/>
      <c r="BT27" s="10">
        <v>0.8</v>
      </c>
      <c r="BU27" s="10"/>
      <c r="BV27" s="10">
        <v>0.8</v>
      </c>
      <c r="BZ27" s="10"/>
      <c r="CA27" s="10">
        <v>0.8</v>
      </c>
      <c r="CB27" s="10"/>
      <c r="CC27" s="10">
        <v>0.8</v>
      </c>
      <c r="CG27" s="10"/>
      <c r="CH27" s="10">
        <v>0.8</v>
      </c>
      <c r="CI27" s="10"/>
      <c r="CJ27" s="10">
        <v>0.8</v>
      </c>
      <c r="CN27" s="10"/>
      <c r="CO27" s="10">
        <v>0.8</v>
      </c>
      <c r="CP27" s="10"/>
      <c r="CQ27" s="10">
        <v>0.8</v>
      </c>
      <c r="CU27" s="10"/>
      <c r="CV27" s="10">
        <v>0.8</v>
      </c>
      <c r="CW27" s="10"/>
      <c r="CX27" s="10">
        <v>0.8</v>
      </c>
      <c r="DB27" s="10"/>
      <c r="DC27" s="10">
        <v>1</v>
      </c>
      <c r="DD27" s="10"/>
      <c r="DE27" s="10">
        <v>1</v>
      </c>
      <c r="DI27" s="10"/>
      <c r="DJ27" s="10">
        <v>1</v>
      </c>
      <c r="DK27" s="10"/>
      <c r="DL27" s="10">
        <v>1</v>
      </c>
      <c r="DP27" s="10"/>
      <c r="DQ27" s="10">
        <v>1</v>
      </c>
      <c r="DR27" s="10"/>
      <c r="DS27" s="10">
        <v>1</v>
      </c>
      <c r="DW27" s="10"/>
      <c r="DX27" s="10">
        <v>1</v>
      </c>
      <c r="DY27" s="10"/>
      <c r="DZ27" s="10">
        <v>1</v>
      </c>
      <c r="ED27" s="10"/>
      <c r="EE27" s="10"/>
      <c r="EF27" s="10"/>
      <c r="EG27" s="10"/>
      <c r="EK27" s="10"/>
      <c r="EL27" s="10"/>
      <c r="EM27" s="10"/>
      <c r="EN27" s="10"/>
      <c r="ER27" s="10"/>
      <c r="ES27" s="10"/>
      <c r="ET27" s="10"/>
      <c r="EU27" s="10"/>
      <c r="EY27" s="10"/>
      <c r="EZ27" s="10"/>
      <c r="FA27" s="10"/>
      <c r="FB27" s="10"/>
    </row>
    <row r="28" spans="2:158" outlineLevel="1">
      <c r="B28" t="s">
        <v>28</v>
      </c>
      <c r="C28" t="s">
        <v>89</v>
      </c>
      <c r="E28" s="9"/>
      <c r="F28" t="s">
        <v>103</v>
      </c>
      <c r="G28" s="10">
        <v>0.05</v>
      </c>
      <c r="I28" s="9">
        <f t="shared" si="2"/>
        <v>0</v>
      </c>
      <c r="J28" s="11" cm="1">
        <f t="array" ref="J28">MAX(IF($M$3:$EA$3=$J$3,M28:EA28))</f>
        <v>0</v>
      </c>
      <c r="K28" s="11" cm="1">
        <f t="array" ref="K28">MAX(IF($M$3:$EA$3=$J$3,M28:EA28))</f>
        <v>0</v>
      </c>
      <c r="L28" s="9"/>
      <c r="O28" s="10"/>
      <c r="P28" s="10"/>
      <c r="Q28" s="10"/>
      <c r="R28" s="10"/>
      <c r="V28" s="10"/>
      <c r="W28" s="10"/>
      <c r="X28" s="10"/>
      <c r="Y28" s="10"/>
      <c r="AC28" s="10"/>
      <c r="AD28" s="10"/>
      <c r="AE28" s="10"/>
      <c r="AF28" s="10"/>
      <c r="AJ28" s="10"/>
      <c r="AK28" s="22">
        <v>0.5</v>
      </c>
      <c r="AL28" s="10"/>
      <c r="AM28" s="22">
        <v>0.5</v>
      </c>
      <c r="AQ28" s="10"/>
      <c r="AR28" s="10">
        <v>0.5</v>
      </c>
      <c r="AS28" s="10"/>
      <c r="AT28" s="10">
        <v>0.5</v>
      </c>
      <c r="AX28" s="10"/>
      <c r="AY28" s="10">
        <v>0.5</v>
      </c>
      <c r="AZ28" s="10"/>
      <c r="BA28" s="10">
        <v>0.5</v>
      </c>
      <c r="BE28" s="10"/>
      <c r="BF28" s="10">
        <v>0.5</v>
      </c>
      <c r="BG28" s="10"/>
      <c r="BH28" s="10">
        <v>0.5</v>
      </c>
      <c r="BL28" s="10"/>
      <c r="BM28" s="10">
        <v>0.5</v>
      </c>
      <c r="BN28" s="10"/>
      <c r="BO28" s="10">
        <v>0.5</v>
      </c>
      <c r="BS28" s="10"/>
      <c r="BT28" s="22">
        <v>0.8</v>
      </c>
      <c r="BU28" s="10"/>
      <c r="BV28" s="22">
        <v>0.8</v>
      </c>
      <c r="BZ28" s="10"/>
      <c r="CA28" s="10">
        <v>0.8</v>
      </c>
      <c r="CB28" s="10"/>
      <c r="CC28" s="10">
        <v>0.8</v>
      </c>
      <c r="CG28" s="10"/>
      <c r="CH28" s="10">
        <v>0.8</v>
      </c>
      <c r="CI28" s="10"/>
      <c r="CJ28" s="10">
        <v>0.8</v>
      </c>
      <c r="CN28" s="10"/>
      <c r="CO28" s="10">
        <v>0.8</v>
      </c>
      <c r="CP28" s="10"/>
      <c r="CQ28" s="10">
        <v>0.8</v>
      </c>
      <c r="CU28" s="10"/>
      <c r="CV28" s="10">
        <v>0.8</v>
      </c>
      <c r="CW28" s="10"/>
      <c r="CX28" s="10">
        <v>0.8</v>
      </c>
      <c r="DB28" s="10"/>
      <c r="DC28" s="10">
        <v>0.8</v>
      </c>
      <c r="DD28" s="10"/>
      <c r="DE28" s="10">
        <v>0.8</v>
      </c>
      <c r="DI28" s="10"/>
      <c r="DJ28" s="10">
        <v>1</v>
      </c>
      <c r="DK28" s="10"/>
      <c r="DL28" s="10">
        <v>1</v>
      </c>
      <c r="DP28" s="10"/>
      <c r="DQ28" s="10">
        <v>1</v>
      </c>
      <c r="DR28" s="10"/>
      <c r="DS28" s="10">
        <v>1</v>
      </c>
      <c r="DW28" s="10"/>
      <c r="DX28" s="10">
        <v>1</v>
      </c>
      <c r="DY28" s="10"/>
      <c r="DZ28" s="10">
        <v>1</v>
      </c>
      <c r="ED28" s="10"/>
      <c r="EE28" s="10"/>
      <c r="EF28" s="10"/>
      <c r="EG28" s="10"/>
      <c r="EK28" s="10"/>
      <c r="EL28" s="10"/>
      <c r="EM28" s="10"/>
      <c r="EN28" s="10"/>
      <c r="ER28" s="10"/>
      <c r="ES28" s="10"/>
      <c r="ET28" s="10"/>
      <c r="EU28" s="10"/>
      <c r="EY28" s="10"/>
      <c r="EZ28" s="10"/>
      <c r="FA28" s="10"/>
      <c r="FB28" s="10"/>
    </row>
    <row r="29" spans="2:158" outlineLevel="1">
      <c r="B29" t="s">
        <v>28</v>
      </c>
      <c r="C29" t="s">
        <v>89</v>
      </c>
      <c r="E29" s="9"/>
      <c r="F29" t="s">
        <v>104</v>
      </c>
      <c r="G29" s="10">
        <v>0.25</v>
      </c>
      <c r="I29" s="9">
        <f t="shared" si="2"/>
        <v>0</v>
      </c>
      <c r="J29" s="11" cm="1">
        <f t="array" ref="J29">MAX(IF($M$3:$EA$3=$J$3,M29:EA29))</f>
        <v>0</v>
      </c>
      <c r="K29" s="11" cm="1">
        <f t="array" ref="K29">MAX(IF($M$3:$EA$3=$J$3,M29:EA29))</f>
        <v>0</v>
      </c>
      <c r="L29" s="9"/>
      <c r="O29" s="10"/>
      <c r="P29" s="10"/>
      <c r="Q29" s="10"/>
      <c r="R29" s="10"/>
      <c r="V29" s="10"/>
      <c r="W29" s="10"/>
      <c r="X29" s="10"/>
      <c r="Y29" s="10"/>
      <c r="AC29" s="10"/>
      <c r="AD29" s="10"/>
      <c r="AE29" s="10"/>
      <c r="AF29" s="10"/>
      <c r="AJ29" s="10"/>
      <c r="AK29" s="10"/>
      <c r="AL29" s="10"/>
      <c r="AM29" s="10"/>
      <c r="AQ29" s="10"/>
      <c r="AR29" s="10"/>
      <c r="AS29" s="10"/>
      <c r="AT29" s="10"/>
      <c r="AX29" s="10"/>
      <c r="AY29" s="22">
        <v>0.5</v>
      </c>
      <c r="AZ29" s="10"/>
      <c r="BA29" s="22">
        <v>0.5</v>
      </c>
      <c r="BE29" s="10"/>
      <c r="BF29" s="10">
        <v>0.5</v>
      </c>
      <c r="BG29" s="10"/>
      <c r="BH29" s="10">
        <v>0.5</v>
      </c>
      <c r="BL29" s="10"/>
      <c r="BM29" s="10">
        <v>0.5</v>
      </c>
      <c r="BN29" s="10"/>
      <c r="BO29" s="10">
        <v>0.5</v>
      </c>
      <c r="BS29" s="10"/>
      <c r="BT29" s="10">
        <v>0.5</v>
      </c>
      <c r="BU29" s="10"/>
      <c r="BV29" s="10">
        <v>0.5</v>
      </c>
      <c r="BZ29" s="10"/>
      <c r="CA29" s="10">
        <v>0.5</v>
      </c>
      <c r="CB29" s="10"/>
      <c r="CC29" s="10">
        <v>0.5</v>
      </c>
      <c r="CG29" s="10"/>
      <c r="CH29" s="10">
        <v>0.8</v>
      </c>
      <c r="CI29" s="10"/>
      <c r="CJ29" s="10">
        <v>0.8</v>
      </c>
      <c r="CN29" s="10"/>
      <c r="CO29" s="10">
        <v>0.8</v>
      </c>
      <c r="CP29" s="10"/>
      <c r="CQ29" s="10">
        <v>0.8</v>
      </c>
      <c r="CU29" s="10"/>
      <c r="CV29" s="10">
        <v>0.8</v>
      </c>
      <c r="CW29" s="10"/>
      <c r="CX29" s="10">
        <v>0.8</v>
      </c>
      <c r="DB29" s="10"/>
      <c r="DC29" s="10">
        <v>0.8</v>
      </c>
      <c r="DD29" s="10"/>
      <c r="DE29" s="10">
        <v>0.8</v>
      </c>
      <c r="DI29" s="10"/>
      <c r="DJ29" s="10">
        <v>0.8</v>
      </c>
      <c r="DK29" s="10"/>
      <c r="DL29" s="10">
        <v>0.8</v>
      </c>
      <c r="DP29" s="10"/>
      <c r="DQ29" s="10">
        <v>1</v>
      </c>
      <c r="DR29" s="10"/>
      <c r="DS29" s="10">
        <v>1</v>
      </c>
      <c r="DW29" s="10"/>
      <c r="DX29" s="10">
        <v>1</v>
      </c>
      <c r="DY29" s="10"/>
      <c r="DZ29" s="10">
        <v>1</v>
      </c>
      <c r="ED29" s="10"/>
      <c r="EE29" s="10"/>
      <c r="EF29" s="10"/>
      <c r="EG29" s="10"/>
      <c r="EK29" s="10"/>
      <c r="EL29" s="10"/>
      <c r="EM29" s="10"/>
      <c r="EN29" s="10"/>
      <c r="ER29" s="10"/>
      <c r="ES29" s="10"/>
      <c r="ET29" s="10"/>
      <c r="EU29" s="10"/>
      <c r="EY29" s="10"/>
      <c r="EZ29" s="10"/>
      <c r="FA29" s="10"/>
      <c r="FB29" s="10"/>
    </row>
    <row r="30" spans="2:158" outlineLevel="1">
      <c r="B30" t="s">
        <v>28</v>
      </c>
      <c r="C30" t="s">
        <v>89</v>
      </c>
      <c r="E30" s="9"/>
      <c r="F30" t="s">
        <v>105</v>
      </c>
      <c r="G30" s="10">
        <v>0.2</v>
      </c>
      <c r="I30" s="9">
        <f t="shared" si="2"/>
        <v>0</v>
      </c>
      <c r="J30" s="11" cm="1">
        <f t="array" ref="J30">MAX(IF($M$3:$EA$3=$J$3,M30:EA30))</f>
        <v>0</v>
      </c>
      <c r="K30" s="11" cm="1">
        <f t="array" ref="K30">MAX(IF($M$3:$EA$3=$J$3,M30:EA30))</f>
        <v>0</v>
      </c>
      <c r="L30" s="9"/>
      <c r="O30" s="10"/>
      <c r="P30" s="10"/>
      <c r="Q30" s="10"/>
      <c r="R30" s="10"/>
      <c r="V30" s="10"/>
      <c r="W30" s="10"/>
      <c r="X30" s="10"/>
      <c r="Y30" s="10"/>
      <c r="AC30" s="10"/>
      <c r="AD30" s="10"/>
      <c r="AE30" s="10"/>
      <c r="AF30" s="10"/>
      <c r="AJ30" s="10"/>
      <c r="AK30" s="10"/>
      <c r="AL30" s="10"/>
      <c r="AM30" s="10"/>
      <c r="AQ30" s="10"/>
      <c r="AR30" s="10"/>
      <c r="AS30" s="10"/>
      <c r="AT30" s="10"/>
      <c r="AX30" s="10"/>
      <c r="AY30" s="10"/>
      <c r="AZ30" s="10"/>
      <c r="BA30" s="10"/>
      <c r="BE30" s="10"/>
      <c r="BF30" s="10"/>
      <c r="BG30" s="10"/>
      <c r="BH30" s="10"/>
      <c r="BL30" s="10"/>
      <c r="BM30" s="22">
        <v>0.5</v>
      </c>
      <c r="BN30" s="10"/>
      <c r="BO30" s="22">
        <v>0.5</v>
      </c>
      <c r="BS30" s="10"/>
      <c r="BT30" s="10">
        <v>0.5</v>
      </c>
      <c r="BU30" s="10"/>
      <c r="BV30" s="10">
        <v>0.5</v>
      </c>
      <c r="BZ30" s="10"/>
      <c r="CA30" s="10">
        <v>0.5</v>
      </c>
      <c r="CB30" s="10"/>
      <c r="CC30" s="10">
        <v>0.5</v>
      </c>
      <c r="CG30" s="10"/>
      <c r="CH30" s="10">
        <v>0.5</v>
      </c>
      <c r="CI30" s="10"/>
      <c r="CJ30" s="10">
        <v>0.5</v>
      </c>
      <c r="CN30" s="10"/>
      <c r="CO30" s="10">
        <v>0.5</v>
      </c>
      <c r="CP30" s="10"/>
      <c r="CQ30" s="10">
        <v>0.5</v>
      </c>
      <c r="CU30" s="10"/>
      <c r="CV30" s="10">
        <v>0.8</v>
      </c>
      <c r="CW30" s="10"/>
      <c r="CX30" s="10">
        <v>0.8</v>
      </c>
      <c r="DB30" s="10"/>
      <c r="DC30" s="10">
        <v>0.8</v>
      </c>
      <c r="DD30" s="10"/>
      <c r="DE30" s="10">
        <v>0.8</v>
      </c>
      <c r="DI30" s="10"/>
      <c r="DJ30" s="10">
        <v>0.8</v>
      </c>
      <c r="DK30" s="10"/>
      <c r="DL30" s="10">
        <v>0.8</v>
      </c>
      <c r="DP30" s="10"/>
      <c r="DQ30" s="10">
        <v>1</v>
      </c>
      <c r="DR30" s="10"/>
      <c r="DS30" s="10">
        <v>1</v>
      </c>
      <c r="DW30" s="10"/>
      <c r="DX30" s="10">
        <v>1</v>
      </c>
      <c r="DY30" s="10"/>
      <c r="DZ30" s="10">
        <v>1</v>
      </c>
      <c r="ED30" s="10"/>
      <c r="EE30" s="10"/>
      <c r="EF30" s="10"/>
      <c r="EG30" s="10"/>
      <c r="EK30" s="10"/>
      <c r="EL30" s="10"/>
      <c r="EM30" s="10"/>
      <c r="EN30" s="10"/>
      <c r="ER30" s="10"/>
      <c r="ES30" s="10"/>
      <c r="ET30" s="10"/>
      <c r="EU30" s="10"/>
      <c r="EY30" s="10"/>
      <c r="EZ30" s="10"/>
      <c r="FA30" s="10"/>
      <c r="FB30" s="10"/>
    </row>
    <row r="31" spans="2:158" outlineLevel="1">
      <c r="B31" t="s">
        <v>28</v>
      </c>
      <c r="C31" t="s">
        <v>89</v>
      </c>
      <c r="E31" s="9"/>
      <c r="F31" t="s">
        <v>106</v>
      </c>
      <c r="G31" s="10">
        <v>0.15</v>
      </c>
      <c r="I31" s="9">
        <f t="shared" si="2"/>
        <v>0</v>
      </c>
      <c r="J31" s="11" cm="1">
        <f t="array" ref="J31">MAX(IF($M$3:$EA$3=$J$3,M31:EA31))</f>
        <v>0</v>
      </c>
      <c r="K31" s="11" cm="1">
        <f t="array" ref="K31">MAX(IF($M$3:$EA$3=$J$3,M31:EA31))</f>
        <v>0</v>
      </c>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c r="BG31" s="10"/>
      <c r="BH31" s="10"/>
      <c r="BL31" s="10"/>
      <c r="BM31" s="10"/>
      <c r="BN31" s="10"/>
      <c r="BO31" s="10"/>
      <c r="BS31" s="10"/>
      <c r="BT31" s="10"/>
      <c r="BU31" s="10"/>
      <c r="BV31" s="10"/>
      <c r="BZ31" s="10"/>
      <c r="CA31" s="10">
        <v>0.5</v>
      </c>
      <c r="CB31" s="10"/>
      <c r="CC31" s="10">
        <v>0.5</v>
      </c>
      <c r="CG31" s="10"/>
      <c r="CH31" s="10">
        <v>0.5</v>
      </c>
      <c r="CI31" s="10"/>
      <c r="CJ31" s="10">
        <v>0.5</v>
      </c>
      <c r="CN31" s="10"/>
      <c r="CO31" s="10">
        <v>0.5</v>
      </c>
      <c r="CP31" s="10"/>
      <c r="CQ31" s="10">
        <v>0.5</v>
      </c>
      <c r="CU31" s="10"/>
      <c r="CV31" s="10">
        <v>0.5</v>
      </c>
      <c r="CW31" s="10"/>
      <c r="CX31" s="10">
        <v>0.5</v>
      </c>
      <c r="DB31" s="10"/>
      <c r="DC31" s="10">
        <v>0.5</v>
      </c>
      <c r="DD31" s="10"/>
      <c r="DE31" s="10">
        <v>0.5</v>
      </c>
      <c r="DI31" s="10"/>
      <c r="DJ31" s="10">
        <v>0.8</v>
      </c>
      <c r="DK31" s="10"/>
      <c r="DL31" s="10">
        <v>0.8</v>
      </c>
      <c r="DP31" s="10"/>
      <c r="DQ31" s="10">
        <v>0.8</v>
      </c>
      <c r="DR31" s="10"/>
      <c r="DS31" s="10">
        <v>0.8</v>
      </c>
      <c r="DW31" s="10"/>
      <c r="DX31" s="10">
        <v>1</v>
      </c>
      <c r="DY31" s="10"/>
      <c r="DZ31" s="10">
        <v>1</v>
      </c>
      <c r="ED31" s="10"/>
      <c r="EE31" s="10"/>
      <c r="EF31" s="10"/>
      <c r="EG31" s="10"/>
      <c r="EK31" s="10"/>
      <c r="EL31" s="10"/>
      <c r="EM31" s="10"/>
      <c r="EN31" s="10"/>
      <c r="ER31" s="10"/>
      <c r="ES31" s="10"/>
      <c r="ET31" s="10"/>
      <c r="EU31" s="10"/>
      <c r="EY31" s="10"/>
      <c r="EZ31" s="10"/>
      <c r="FA31" s="10"/>
      <c r="FB31" s="10"/>
    </row>
    <row r="33" spans="2:158">
      <c r="B33" t="s">
        <v>27</v>
      </c>
      <c r="C33" t="s">
        <v>90</v>
      </c>
      <c r="D33" s="19">
        <v>45689</v>
      </c>
      <c r="E33" s="9">
        <v>6</v>
      </c>
      <c r="G33" s="10">
        <f>+SUM(G34:G40)</f>
        <v>0.64999999999999991</v>
      </c>
      <c r="I33" s="12">
        <f>+SUM(I34:I40)</f>
        <v>0</v>
      </c>
      <c r="J33" s="11">
        <f>+SUMPRODUCT(G34:G40,J34:J40)</f>
        <v>0</v>
      </c>
      <c r="K33" s="11">
        <f>+SUMPRODUCT(G34:G40,K34:K40)</f>
        <v>0</v>
      </c>
      <c r="L33" s="9"/>
      <c r="N33" s="12">
        <f>+SUM(N34:N40)</f>
        <v>0</v>
      </c>
      <c r="U33" s="12">
        <f>+SUM(U34:U40)</f>
        <v>0</v>
      </c>
      <c r="AB33" s="12">
        <f>+SUM(AB34:AB40)</f>
        <v>0</v>
      </c>
      <c r="AI33" s="12">
        <f>+SUM(AI34:AI40)</f>
        <v>0</v>
      </c>
      <c r="AP33" s="12">
        <f>+SUM(AP34:AP42)</f>
        <v>0</v>
      </c>
      <c r="AW33" s="12">
        <f>+SUM(AW34:AW42)</f>
        <v>0</v>
      </c>
      <c r="BD33" s="12">
        <f>+SUM(BD34:BD42)</f>
        <v>0</v>
      </c>
      <c r="BK33" s="12">
        <f>+SUM(BK34:BK42)</f>
        <v>0</v>
      </c>
      <c r="BR33" s="12">
        <f>+SUM(BR34:BR42)</f>
        <v>0</v>
      </c>
      <c r="BY33" s="12">
        <f>+SUM(BY34:BY42)</f>
        <v>0</v>
      </c>
      <c r="CF33" s="12">
        <f>+SUM(CF34:CF42)</f>
        <v>0</v>
      </c>
      <c r="CM33" s="12">
        <f>+SUM(CM34:CM42)</f>
        <v>0</v>
      </c>
      <c r="CT33" s="12">
        <f>+SUM(CT34:CT42)</f>
        <v>0</v>
      </c>
      <c r="DA33" s="12">
        <f>+SUM(DA34:DA42)</f>
        <v>0</v>
      </c>
      <c r="DH33" s="12">
        <f>+SUM(DH34:DH42)</f>
        <v>0</v>
      </c>
      <c r="DO33" s="12">
        <f>+SUM(DO34:DO42)</f>
        <v>0</v>
      </c>
      <c r="DV33" s="12">
        <f>+SUM(DV34:DV42)</f>
        <v>0</v>
      </c>
      <c r="EC33" s="12">
        <f>+SUM(EC34:EC42)</f>
        <v>0</v>
      </c>
    </row>
    <row r="34" spans="2:158" outlineLevel="1">
      <c r="B34" t="s">
        <v>28</v>
      </c>
      <c r="C34" t="s">
        <v>90</v>
      </c>
      <c r="E34" s="9"/>
      <c r="F34" t="s">
        <v>92</v>
      </c>
      <c r="G34" s="10">
        <v>0.1</v>
      </c>
      <c r="I34" s="9">
        <f t="shared" ref="I34:I40" si="3">+SUMIF($M$3:$YR$3,I$3,$M34:$YR34)</f>
        <v>0</v>
      </c>
      <c r="J34" s="11" cm="1">
        <f t="array" ref="J34">MAX(IF($M$3:$EA$3=$J$3,M34:EA34))</f>
        <v>0</v>
      </c>
      <c r="K34" s="11" cm="1">
        <f t="array" ref="K34">MAX(IF($M$3:$EA$3=$J$3,M34:EA34))</f>
        <v>0</v>
      </c>
      <c r="L34" s="9"/>
      <c r="O34" s="10"/>
      <c r="P34" s="10"/>
      <c r="Q34" s="10"/>
      <c r="R34" s="10"/>
      <c r="V34" s="10"/>
      <c r="W34" s="10"/>
      <c r="X34" s="10"/>
      <c r="Y34" s="10"/>
      <c r="AC34" s="10"/>
      <c r="AD34" s="10"/>
      <c r="AE34" s="10"/>
      <c r="AF34" s="10"/>
      <c r="AJ34" s="10"/>
      <c r="AK34" s="10"/>
      <c r="AL34" s="10"/>
      <c r="AM34" s="10"/>
      <c r="AQ34" s="10"/>
      <c r="AR34" s="22">
        <v>0.5</v>
      </c>
      <c r="AS34" s="10"/>
      <c r="AT34" s="22">
        <v>0.5</v>
      </c>
      <c r="AX34" s="10"/>
      <c r="AY34" s="10">
        <v>0.5</v>
      </c>
      <c r="AZ34" s="10"/>
      <c r="BA34" s="10">
        <v>0.5</v>
      </c>
      <c r="BE34" s="10"/>
      <c r="BF34" s="22">
        <v>0.8</v>
      </c>
      <c r="BG34" s="10"/>
      <c r="BH34" s="22">
        <v>0.8</v>
      </c>
      <c r="BL34" s="10"/>
      <c r="BM34" s="10">
        <v>0.8</v>
      </c>
      <c r="BN34" s="10"/>
      <c r="BO34" s="10">
        <v>0.8</v>
      </c>
      <c r="BS34" s="10"/>
      <c r="BT34" s="10">
        <v>0.8</v>
      </c>
      <c r="BU34" s="10"/>
      <c r="BV34" s="10">
        <v>0.8</v>
      </c>
      <c r="BZ34" s="10"/>
      <c r="CA34" s="10">
        <v>0.8</v>
      </c>
      <c r="CB34" s="10"/>
      <c r="CC34" s="10">
        <v>0.8</v>
      </c>
      <c r="CG34" s="10"/>
      <c r="CH34" s="10">
        <v>1</v>
      </c>
      <c r="CI34" s="10"/>
      <c r="CJ34" s="10">
        <v>1</v>
      </c>
      <c r="CN34" s="10"/>
      <c r="CO34" s="10">
        <v>1</v>
      </c>
      <c r="CP34" s="10"/>
      <c r="CQ34" s="10">
        <v>1</v>
      </c>
      <c r="CU34" s="10"/>
      <c r="CV34" s="10">
        <v>1</v>
      </c>
      <c r="CW34" s="10"/>
      <c r="CX34" s="10">
        <v>1</v>
      </c>
      <c r="DB34" s="10"/>
      <c r="DC34" s="10">
        <v>1</v>
      </c>
      <c r="DD34" s="10"/>
      <c r="DE34" s="10">
        <v>1</v>
      </c>
      <c r="DI34" s="10"/>
      <c r="DJ34" s="10">
        <v>1</v>
      </c>
      <c r="DK34" s="10"/>
      <c r="DL34" s="10">
        <v>1</v>
      </c>
      <c r="DP34" s="10"/>
      <c r="DQ34" s="10">
        <v>1</v>
      </c>
      <c r="DR34" s="10"/>
      <c r="DS34" s="10">
        <v>1</v>
      </c>
      <c r="DW34" s="10"/>
      <c r="DX34" s="10">
        <v>1</v>
      </c>
      <c r="DY34" s="10"/>
      <c r="DZ34" s="10">
        <v>1</v>
      </c>
      <c r="ED34" s="10"/>
      <c r="EE34" s="10"/>
      <c r="EF34" s="10"/>
      <c r="EG34" s="10"/>
      <c r="EK34" s="10"/>
      <c r="EL34" s="10"/>
      <c r="EM34" s="10"/>
      <c r="EN34" s="10"/>
      <c r="ER34" s="10"/>
      <c r="ES34" s="10"/>
      <c r="ET34" s="10"/>
      <c r="EU34" s="10"/>
      <c r="EY34" s="10"/>
      <c r="EZ34" s="10"/>
      <c r="FA34" s="10"/>
      <c r="FB34" s="10"/>
    </row>
    <row r="35" spans="2:158" outlineLevel="1">
      <c r="B35" t="s">
        <v>28</v>
      </c>
      <c r="C35" t="s">
        <v>90</v>
      </c>
      <c r="E35" s="9"/>
      <c r="F35" t="s">
        <v>92</v>
      </c>
      <c r="G35" s="10">
        <v>0.05</v>
      </c>
      <c r="I35" s="9">
        <f t="shared" si="3"/>
        <v>0</v>
      </c>
      <c r="J35" s="11" cm="1">
        <f t="array" ref="J35">MAX(IF($M$3:$EA$3=$J$3,M35:EA35))</f>
        <v>0</v>
      </c>
      <c r="K35" s="11" cm="1">
        <f t="array" ref="K35">MAX(IF($M$3:$EA$3=$J$3,M35:EA35))</f>
        <v>0</v>
      </c>
      <c r="L35" s="9"/>
      <c r="O35" s="10"/>
      <c r="P35" s="10"/>
      <c r="Q35" s="10"/>
      <c r="R35" s="10"/>
      <c r="V35" s="10"/>
      <c r="W35" s="10"/>
      <c r="X35" s="10"/>
      <c r="Y35" s="10"/>
      <c r="AC35" s="10"/>
      <c r="AD35" s="10"/>
      <c r="AE35" s="10"/>
      <c r="AF35" s="10"/>
      <c r="AJ35" s="10"/>
      <c r="AK35" s="10"/>
      <c r="AL35" s="10"/>
      <c r="AM35" s="10"/>
      <c r="AQ35" s="10"/>
      <c r="AR35" s="22">
        <v>0.5</v>
      </c>
      <c r="AS35" s="10"/>
      <c r="AT35" s="22">
        <v>0.5</v>
      </c>
      <c r="AX35" s="10"/>
      <c r="AY35" s="10">
        <v>0.5</v>
      </c>
      <c r="AZ35" s="10"/>
      <c r="BA35" s="10">
        <v>0.5</v>
      </c>
      <c r="BE35" s="10"/>
      <c r="BF35" s="10">
        <v>0.5</v>
      </c>
      <c r="BG35" s="10"/>
      <c r="BH35" s="10">
        <v>0.5</v>
      </c>
      <c r="BL35" s="10"/>
      <c r="BM35" s="22">
        <v>0.8</v>
      </c>
      <c r="BN35" s="10"/>
      <c r="BO35" s="22">
        <v>0.8</v>
      </c>
      <c r="BS35" s="10"/>
      <c r="BT35" s="10">
        <v>0.8</v>
      </c>
      <c r="BU35" s="10"/>
      <c r="BV35" s="10">
        <v>0.8</v>
      </c>
      <c r="BZ35" s="10"/>
      <c r="CA35" s="10">
        <v>0.8</v>
      </c>
      <c r="CB35" s="10"/>
      <c r="CC35" s="10">
        <v>0.8</v>
      </c>
      <c r="CG35" s="10"/>
      <c r="CH35" s="10">
        <v>0.8</v>
      </c>
      <c r="CI35" s="10"/>
      <c r="CJ35" s="10">
        <v>0.8</v>
      </c>
      <c r="CN35" s="10"/>
      <c r="CO35" s="10">
        <v>0.8</v>
      </c>
      <c r="CP35" s="10"/>
      <c r="CQ35" s="10">
        <v>0.8</v>
      </c>
      <c r="CU35" s="10"/>
      <c r="CV35" s="10">
        <v>0.8</v>
      </c>
      <c r="CW35" s="10"/>
      <c r="CX35" s="10">
        <v>0.8</v>
      </c>
      <c r="DB35" s="10"/>
      <c r="DC35" s="10">
        <v>1</v>
      </c>
      <c r="DD35" s="10"/>
      <c r="DE35" s="10">
        <v>1</v>
      </c>
      <c r="DI35" s="10"/>
      <c r="DJ35" s="10">
        <v>1</v>
      </c>
      <c r="DK35" s="10"/>
      <c r="DL35" s="10">
        <v>1</v>
      </c>
      <c r="DP35" s="10"/>
      <c r="DQ35" s="10">
        <v>1</v>
      </c>
      <c r="DR35" s="10"/>
      <c r="DS35" s="10">
        <v>1</v>
      </c>
      <c r="DW35" s="10"/>
      <c r="DX35" s="10">
        <v>1</v>
      </c>
      <c r="DY35" s="10"/>
      <c r="DZ35" s="10">
        <v>1</v>
      </c>
      <c r="ED35" s="10"/>
      <c r="EE35" s="10"/>
      <c r="EF35" s="10"/>
      <c r="EG35" s="10"/>
      <c r="EK35" s="10"/>
      <c r="EL35" s="10"/>
      <c r="EM35" s="10"/>
      <c r="EN35" s="10"/>
      <c r="ER35" s="10"/>
      <c r="ES35" s="10"/>
      <c r="ET35" s="10"/>
      <c r="EU35" s="10"/>
      <c r="EY35" s="10"/>
      <c r="EZ35" s="10"/>
      <c r="FA35" s="10"/>
      <c r="FB35" s="10"/>
    </row>
    <row r="36" spans="2:158" outlineLevel="1">
      <c r="B36" t="s">
        <v>28</v>
      </c>
      <c r="C36" t="s">
        <v>90</v>
      </c>
      <c r="E36" s="9"/>
      <c r="F36" t="s">
        <v>92</v>
      </c>
      <c r="G36" s="10">
        <v>0.1</v>
      </c>
      <c r="I36" s="9">
        <f t="shared" si="3"/>
        <v>0</v>
      </c>
      <c r="J36" s="11" cm="1">
        <f t="array" ref="J36">MAX(IF($M$3:$EA$3=$J$3,M36:EA36))</f>
        <v>0</v>
      </c>
      <c r="K36" s="11" cm="1">
        <f t="array" ref="K36">MAX(IF($M$3:$EA$3=$J$3,M36:EA36))</f>
        <v>0</v>
      </c>
      <c r="L36" s="9"/>
      <c r="O36" s="10"/>
      <c r="P36" s="10"/>
      <c r="Q36" s="10"/>
      <c r="R36" s="10"/>
      <c r="V36" s="10"/>
      <c r="W36" s="10"/>
      <c r="X36" s="10"/>
      <c r="Y36" s="10"/>
      <c r="AC36" s="10"/>
      <c r="AD36" s="10"/>
      <c r="AE36" s="10"/>
      <c r="AF36" s="10"/>
      <c r="AJ36" s="10"/>
      <c r="AK36" s="10"/>
      <c r="AL36" s="10"/>
      <c r="AM36" s="10"/>
      <c r="AQ36" s="10"/>
      <c r="AR36" s="10"/>
      <c r="AS36" s="10"/>
      <c r="AT36" s="10"/>
      <c r="AX36" s="10"/>
      <c r="AY36" s="22">
        <v>0.5</v>
      </c>
      <c r="AZ36" s="10"/>
      <c r="BA36" s="22">
        <v>0.5</v>
      </c>
      <c r="BE36" s="10"/>
      <c r="BF36" s="10">
        <v>0.5</v>
      </c>
      <c r="BG36" s="10"/>
      <c r="BH36" s="10">
        <v>0.5</v>
      </c>
      <c r="BL36" s="10"/>
      <c r="BM36" s="10">
        <v>0.5</v>
      </c>
      <c r="BN36" s="10"/>
      <c r="BO36" s="10">
        <v>0.5</v>
      </c>
      <c r="BS36" s="10"/>
      <c r="BT36" s="22">
        <v>0.8</v>
      </c>
      <c r="BU36" s="10"/>
      <c r="BV36" s="22">
        <v>0.8</v>
      </c>
      <c r="BZ36" s="10"/>
      <c r="CA36" s="10">
        <v>0.8</v>
      </c>
      <c r="CB36" s="10"/>
      <c r="CC36" s="10">
        <v>0.8</v>
      </c>
      <c r="CG36" s="10"/>
      <c r="CH36" s="10">
        <v>0.8</v>
      </c>
      <c r="CI36" s="10"/>
      <c r="CJ36" s="10">
        <v>0.8</v>
      </c>
      <c r="CN36" s="10"/>
      <c r="CO36" s="10">
        <v>0.8</v>
      </c>
      <c r="CP36" s="10"/>
      <c r="CQ36" s="10">
        <v>0.8</v>
      </c>
      <c r="CU36" s="10"/>
      <c r="CV36" s="10">
        <v>0.8</v>
      </c>
      <c r="CW36" s="10"/>
      <c r="CX36" s="10">
        <v>0.8</v>
      </c>
      <c r="DB36" s="10"/>
      <c r="DC36" s="10">
        <v>0.8</v>
      </c>
      <c r="DD36" s="10"/>
      <c r="DE36" s="10">
        <v>0.8</v>
      </c>
      <c r="DI36" s="10"/>
      <c r="DJ36" s="10">
        <v>1</v>
      </c>
      <c r="DK36" s="10"/>
      <c r="DL36" s="10">
        <v>1</v>
      </c>
      <c r="DP36" s="10"/>
      <c r="DQ36" s="10">
        <v>1</v>
      </c>
      <c r="DR36" s="10"/>
      <c r="DS36" s="10">
        <v>1</v>
      </c>
      <c r="DW36" s="10"/>
      <c r="DX36" s="10">
        <v>1</v>
      </c>
      <c r="DY36" s="10"/>
      <c r="DZ36" s="10">
        <v>1</v>
      </c>
      <c r="ED36" s="10"/>
      <c r="EE36" s="10"/>
      <c r="EF36" s="10"/>
      <c r="EG36" s="10"/>
      <c r="EK36" s="10"/>
      <c r="EL36" s="10"/>
      <c r="EM36" s="10"/>
      <c r="EN36" s="10"/>
      <c r="ER36" s="10"/>
      <c r="ES36" s="10"/>
      <c r="ET36" s="10"/>
      <c r="EU36" s="10"/>
      <c r="EY36" s="10"/>
      <c r="EZ36" s="10"/>
      <c r="FA36" s="10"/>
      <c r="FB36" s="10"/>
    </row>
    <row r="37" spans="2:158" outlineLevel="1">
      <c r="B37" t="s">
        <v>28</v>
      </c>
      <c r="C37" t="s">
        <v>90</v>
      </c>
      <c r="E37" s="9"/>
      <c r="F37" t="s">
        <v>92</v>
      </c>
      <c r="G37" s="10">
        <v>0.1</v>
      </c>
      <c r="I37" s="9">
        <f t="shared" si="3"/>
        <v>0</v>
      </c>
      <c r="J37" s="11" cm="1">
        <f t="array" ref="J37">MAX(IF($M$3:$EA$3=$J$3,M37:EA37))</f>
        <v>0</v>
      </c>
      <c r="K37" s="11" cm="1">
        <f t="array" ref="K37">MAX(IF($M$3:$EA$3=$J$3,M37:EA37))</f>
        <v>0</v>
      </c>
      <c r="L37" s="9"/>
      <c r="O37" s="10"/>
      <c r="P37" s="10"/>
      <c r="Q37" s="10"/>
      <c r="R37" s="10"/>
      <c r="V37" s="10"/>
      <c r="W37" s="10"/>
      <c r="X37" s="10"/>
      <c r="Y37" s="10"/>
      <c r="AC37" s="10"/>
      <c r="AD37" s="10"/>
      <c r="AE37" s="10"/>
      <c r="AF37" s="10"/>
      <c r="AJ37" s="10"/>
      <c r="AK37" s="10"/>
      <c r="AL37" s="10"/>
      <c r="AM37" s="10"/>
      <c r="AQ37" s="10"/>
      <c r="AR37" s="10"/>
      <c r="AS37" s="10"/>
      <c r="AT37" s="10"/>
      <c r="AX37" s="10"/>
      <c r="AY37" s="10"/>
      <c r="AZ37" s="10"/>
      <c r="BA37" s="10"/>
      <c r="BE37" s="10"/>
      <c r="BF37" s="10"/>
      <c r="BG37" s="10"/>
      <c r="BH37" s="10"/>
      <c r="BL37" s="10"/>
      <c r="BM37" s="22">
        <v>0.5</v>
      </c>
      <c r="BN37" s="10"/>
      <c r="BO37" s="22">
        <v>0.5</v>
      </c>
      <c r="BS37" s="10"/>
      <c r="BT37" s="10">
        <v>0.5</v>
      </c>
      <c r="BU37" s="10"/>
      <c r="BV37" s="10">
        <v>0.5</v>
      </c>
      <c r="BZ37" s="10"/>
      <c r="CA37" s="10">
        <v>0.5</v>
      </c>
      <c r="CB37" s="10"/>
      <c r="CC37" s="10">
        <v>0.5</v>
      </c>
      <c r="CG37" s="10"/>
      <c r="CH37" s="10">
        <v>0.5</v>
      </c>
      <c r="CI37" s="10"/>
      <c r="CJ37" s="10">
        <v>0.5</v>
      </c>
      <c r="CN37" s="10"/>
      <c r="CO37" s="10">
        <v>0.8</v>
      </c>
      <c r="CP37" s="10"/>
      <c r="CQ37" s="10">
        <v>0.8</v>
      </c>
      <c r="CU37" s="10"/>
      <c r="CV37" s="10">
        <v>0.8</v>
      </c>
      <c r="CW37" s="10"/>
      <c r="CX37" s="10">
        <v>0.8</v>
      </c>
      <c r="DB37" s="10"/>
      <c r="DC37" s="10">
        <v>0.8</v>
      </c>
      <c r="DD37" s="10"/>
      <c r="DE37" s="10">
        <v>0.8</v>
      </c>
      <c r="DI37" s="10"/>
      <c r="DJ37" s="10">
        <v>1</v>
      </c>
      <c r="DK37" s="10"/>
      <c r="DL37" s="10">
        <v>1</v>
      </c>
      <c r="DP37" s="10"/>
      <c r="DQ37" s="10">
        <v>1</v>
      </c>
      <c r="DR37" s="10"/>
      <c r="DS37" s="10">
        <v>1</v>
      </c>
      <c r="DW37" s="10"/>
      <c r="DX37" s="10">
        <v>1</v>
      </c>
      <c r="DY37" s="10"/>
      <c r="DZ37" s="10">
        <v>1</v>
      </c>
      <c r="ED37" s="10"/>
      <c r="EE37" s="10"/>
      <c r="EF37" s="10"/>
      <c r="EG37" s="10"/>
      <c r="EK37" s="10"/>
      <c r="EL37" s="10"/>
      <c r="EM37" s="10"/>
      <c r="EN37" s="10"/>
      <c r="ER37" s="10"/>
      <c r="ES37" s="10"/>
      <c r="ET37" s="10"/>
      <c r="EU37" s="10"/>
      <c r="EY37" s="10"/>
      <c r="EZ37" s="10"/>
      <c r="FA37" s="10"/>
      <c r="FB37" s="10"/>
    </row>
    <row r="38" spans="2:158" outlineLevel="1">
      <c r="B38" t="s">
        <v>28</v>
      </c>
      <c r="C38" t="s">
        <v>90</v>
      </c>
      <c r="E38" s="9"/>
      <c r="F38" t="s">
        <v>92</v>
      </c>
      <c r="G38" s="10">
        <v>0.1</v>
      </c>
      <c r="I38" s="9">
        <f t="shared" si="3"/>
        <v>0</v>
      </c>
      <c r="J38" s="11" cm="1">
        <f t="array" ref="J38">MAX(IF($M$3:$EA$3=$J$3,M38:EA38))</f>
        <v>0</v>
      </c>
      <c r="K38" s="11" cm="1">
        <f t="array" ref="K38">MAX(IF($M$3:$EA$3=$J$3,M38:EA38))</f>
        <v>0</v>
      </c>
      <c r="L38" s="9"/>
      <c r="O38" s="10"/>
      <c r="P38" s="10"/>
      <c r="Q38" s="10"/>
      <c r="R38" s="10"/>
      <c r="V38" s="10"/>
      <c r="W38" s="10"/>
      <c r="X38" s="10"/>
      <c r="Y38" s="10"/>
      <c r="AC38" s="10"/>
      <c r="AD38" s="10"/>
      <c r="AE38" s="10"/>
      <c r="AF38" s="10"/>
      <c r="AJ38" s="10"/>
      <c r="AK38" s="10"/>
      <c r="AL38" s="10"/>
      <c r="AM38" s="10"/>
      <c r="AQ38" s="10"/>
      <c r="AR38" s="10"/>
      <c r="AS38" s="10"/>
      <c r="AT38" s="10"/>
      <c r="AX38" s="10"/>
      <c r="AY38" s="10"/>
      <c r="AZ38" s="10"/>
      <c r="BA38" s="10"/>
      <c r="BE38" s="10"/>
      <c r="BF38" s="10"/>
      <c r="BG38" s="10"/>
      <c r="BH38" s="10"/>
      <c r="BL38" s="10"/>
      <c r="BM38" s="10"/>
      <c r="BN38" s="10"/>
      <c r="BO38" s="10"/>
      <c r="BS38" s="10"/>
      <c r="BT38" s="22">
        <v>0.5</v>
      </c>
      <c r="BU38" s="10"/>
      <c r="BV38" s="22">
        <v>0.5</v>
      </c>
      <c r="BZ38" s="10"/>
      <c r="CA38" s="10">
        <v>0.5</v>
      </c>
      <c r="CB38" s="10"/>
      <c r="CC38" s="10">
        <v>0.5</v>
      </c>
      <c r="CG38" s="10"/>
      <c r="CH38" s="10">
        <v>0.5</v>
      </c>
      <c r="CI38" s="10"/>
      <c r="CJ38" s="10">
        <v>0.5</v>
      </c>
      <c r="CN38" s="10"/>
      <c r="CO38" s="10">
        <v>0.5</v>
      </c>
      <c r="CP38" s="10"/>
      <c r="CQ38" s="10">
        <v>0.5</v>
      </c>
      <c r="CU38" s="10"/>
      <c r="CV38" s="10">
        <v>0.8</v>
      </c>
      <c r="CW38" s="10"/>
      <c r="CX38" s="10">
        <v>0.8</v>
      </c>
      <c r="DB38" s="10"/>
      <c r="DC38" s="10">
        <v>0.8</v>
      </c>
      <c r="DD38" s="10"/>
      <c r="DE38" s="10">
        <v>0.8</v>
      </c>
      <c r="DI38" s="10"/>
      <c r="DJ38" s="10">
        <v>0.8</v>
      </c>
      <c r="DK38" s="10"/>
      <c r="DL38" s="10">
        <v>0.8</v>
      </c>
      <c r="DP38" s="10"/>
      <c r="DQ38" s="10">
        <v>1</v>
      </c>
      <c r="DR38" s="10"/>
      <c r="DS38" s="10">
        <v>1</v>
      </c>
      <c r="DW38" s="10"/>
      <c r="DX38" s="10">
        <v>1</v>
      </c>
      <c r="DY38" s="10"/>
      <c r="DZ38" s="10">
        <v>1</v>
      </c>
      <c r="ED38" s="10"/>
      <c r="EE38" s="10"/>
      <c r="EF38" s="10"/>
      <c r="EG38" s="10"/>
      <c r="EK38" s="10"/>
      <c r="EL38" s="10"/>
      <c r="EM38" s="10"/>
      <c r="EN38" s="10"/>
      <c r="ER38" s="10"/>
      <c r="ES38" s="10"/>
      <c r="ET38" s="10"/>
      <c r="EU38" s="10"/>
      <c r="EY38" s="10"/>
      <c r="EZ38" s="10"/>
      <c r="FA38" s="10"/>
      <c r="FB38" s="10"/>
    </row>
    <row r="39" spans="2:158" outlineLevel="1">
      <c r="B39" t="s">
        <v>28</v>
      </c>
      <c r="C39" t="s">
        <v>90</v>
      </c>
      <c r="E39" s="9"/>
      <c r="F39" t="s">
        <v>92</v>
      </c>
      <c r="G39" s="10">
        <v>0.1</v>
      </c>
      <c r="I39" s="9">
        <f t="shared" si="3"/>
        <v>0</v>
      </c>
      <c r="J39" s="11" cm="1">
        <f t="array" ref="J39">MAX(IF($M$3:$EA$3=$J$3,M39:EA39))</f>
        <v>0</v>
      </c>
      <c r="K39" s="11" cm="1">
        <f t="array" ref="K39">MAX(IF($M$3:$EA$3=$J$3,M39:EA39))</f>
        <v>0</v>
      </c>
      <c r="L39" s="9"/>
      <c r="O39" s="10"/>
      <c r="P39" s="10"/>
      <c r="Q39" s="10"/>
      <c r="R39" s="10"/>
      <c r="V39" s="10"/>
      <c r="W39" s="10"/>
      <c r="X39" s="10"/>
      <c r="Y39" s="10"/>
      <c r="AC39" s="10"/>
      <c r="AD39" s="10"/>
      <c r="AE39" s="10"/>
      <c r="AF39" s="10"/>
      <c r="AJ39" s="10"/>
      <c r="AK39" s="10"/>
      <c r="AL39" s="10"/>
      <c r="AM39" s="10"/>
      <c r="AQ39" s="10"/>
      <c r="AR39" s="10"/>
      <c r="AS39" s="10"/>
      <c r="AT39" s="10"/>
      <c r="AX39" s="10"/>
      <c r="AY39" s="10"/>
      <c r="AZ39" s="10"/>
      <c r="BA39" s="10"/>
      <c r="BE39" s="10"/>
      <c r="BF39" s="10"/>
      <c r="BG39" s="10"/>
      <c r="BH39" s="10"/>
      <c r="BL39" s="10"/>
      <c r="BM39" s="10"/>
      <c r="BN39" s="10"/>
      <c r="BO39" s="10"/>
      <c r="BS39" s="10"/>
      <c r="BT39" s="10"/>
      <c r="BU39" s="10"/>
      <c r="BV39" s="10"/>
      <c r="BZ39" s="10"/>
      <c r="CA39" s="10">
        <v>0.5</v>
      </c>
      <c r="CB39" s="10"/>
      <c r="CC39" s="10">
        <v>0.5</v>
      </c>
      <c r="CG39" s="10"/>
      <c r="CH39" s="10">
        <v>0.5</v>
      </c>
      <c r="CI39" s="10"/>
      <c r="CJ39" s="10">
        <v>0.5</v>
      </c>
      <c r="CN39" s="10"/>
      <c r="CO39" s="10">
        <v>0.5</v>
      </c>
      <c r="CP39" s="10"/>
      <c r="CQ39" s="10">
        <v>0.5</v>
      </c>
      <c r="CU39" s="10"/>
      <c r="CV39" s="10">
        <v>0.5</v>
      </c>
      <c r="CW39" s="10"/>
      <c r="CX39" s="10">
        <v>0.5</v>
      </c>
      <c r="DB39" s="10"/>
      <c r="DC39" s="10">
        <v>0.8</v>
      </c>
      <c r="DD39" s="10"/>
      <c r="DE39" s="10">
        <v>0.8</v>
      </c>
      <c r="DI39" s="10"/>
      <c r="DJ39" s="10">
        <v>0.8</v>
      </c>
      <c r="DK39" s="10"/>
      <c r="DL39" s="10">
        <v>0.8</v>
      </c>
      <c r="DP39" s="10"/>
      <c r="DQ39" s="10">
        <v>0.8</v>
      </c>
      <c r="DR39" s="10"/>
      <c r="DS39" s="10">
        <v>0.8</v>
      </c>
      <c r="DW39" s="10"/>
      <c r="DX39" s="10">
        <v>1</v>
      </c>
      <c r="DY39" s="10"/>
      <c r="DZ39" s="10">
        <v>1</v>
      </c>
      <c r="ED39" s="10"/>
      <c r="EE39" s="10"/>
      <c r="EF39" s="10"/>
      <c r="EG39" s="10"/>
      <c r="EK39" s="10"/>
      <c r="EL39" s="10"/>
      <c r="EM39" s="10"/>
      <c r="EN39" s="10"/>
      <c r="ER39" s="10"/>
      <c r="ES39" s="10"/>
      <c r="ET39" s="10"/>
      <c r="EU39" s="10"/>
      <c r="EY39" s="10"/>
      <c r="EZ39" s="10"/>
      <c r="FA39" s="10"/>
      <c r="FB39" s="10"/>
    </row>
    <row r="40" spans="2:158" outlineLevel="1">
      <c r="B40" t="s">
        <v>28</v>
      </c>
      <c r="C40" t="s">
        <v>90</v>
      </c>
      <c r="E40" s="9"/>
      <c r="F40" t="s">
        <v>92</v>
      </c>
      <c r="G40" s="10">
        <v>0.1</v>
      </c>
      <c r="I40" s="9">
        <f t="shared" si="3"/>
        <v>0</v>
      </c>
      <c r="J40" s="11" cm="1">
        <f t="array" ref="J40">MAX(IF($M$3:$EA$3=$J$3,M40:EA40))</f>
        <v>0</v>
      </c>
      <c r="K40" s="11" cm="1">
        <f t="array" ref="K40">MAX(IF($M$3:$EA$3=$J$3,M40:EA40))</f>
        <v>0</v>
      </c>
      <c r="L40" s="9"/>
      <c r="O40" s="10"/>
      <c r="P40" s="10"/>
      <c r="Q40" s="10"/>
      <c r="R40" s="10"/>
      <c r="V40" s="10"/>
      <c r="W40" s="10"/>
      <c r="X40" s="10"/>
      <c r="Y40" s="10"/>
      <c r="AC40" s="10"/>
      <c r="AD40" s="10"/>
      <c r="AE40" s="10"/>
      <c r="AF40" s="10"/>
      <c r="AJ40" s="10"/>
      <c r="AK40" s="10"/>
      <c r="AL40" s="10"/>
      <c r="AM40" s="10"/>
      <c r="AQ40" s="10"/>
      <c r="AR40" s="10"/>
      <c r="AS40" s="10"/>
      <c r="AT40" s="10"/>
      <c r="AX40" s="10"/>
      <c r="AY40" s="10"/>
      <c r="AZ40" s="10"/>
      <c r="BA40" s="10"/>
      <c r="BE40" s="10"/>
      <c r="BF40" s="10"/>
      <c r="BG40" s="10"/>
      <c r="BH40" s="10"/>
      <c r="BL40" s="10"/>
      <c r="BM40" s="10"/>
      <c r="BN40" s="10"/>
      <c r="BO40" s="10"/>
      <c r="BS40" s="10"/>
      <c r="BT40" s="10"/>
      <c r="BU40" s="10"/>
      <c r="BV40" s="10"/>
      <c r="BZ40" s="10"/>
      <c r="CA40" s="10"/>
      <c r="CB40" s="10"/>
      <c r="CC40" s="10"/>
      <c r="CG40" s="10"/>
      <c r="CH40" s="10"/>
      <c r="CI40" s="10"/>
      <c r="CJ40" s="10"/>
      <c r="CN40" s="10"/>
      <c r="CO40" s="10"/>
      <c r="CP40" s="10"/>
      <c r="CQ40" s="10"/>
      <c r="CU40" s="10"/>
      <c r="CV40" s="10"/>
      <c r="CW40" s="10"/>
      <c r="CX40" s="10"/>
      <c r="DB40" s="10"/>
      <c r="DC40" s="10"/>
      <c r="DD40" s="10"/>
      <c r="DE40" s="10"/>
      <c r="DI40" s="10"/>
      <c r="DJ40" s="10"/>
      <c r="DK40" s="10"/>
      <c r="DL40" s="10"/>
      <c r="DP40" s="10"/>
      <c r="DQ40" s="10"/>
      <c r="DR40" s="10"/>
      <c r="DS40" s="10"/>
      <c r="DW40" s="10"/>
      <c r="DX40" s="10">
        <v>1</v>
      </c>
      <c r="DY40" s="10"/>
      <c r="DZ40" s="10">
        <v>1</v>
      </c>
      <c r="ED40" s="10"/>
      <c r="EE40" s="10"/>
      <c r="EF40" s="10"/>
      <c r="EG40" s="10"/>
      <c r="EK40" s="10"/>
      <c r="EL40" s="10"/>
      <c r="EM40" s="10"/>
      <c r="EN40" s="10"/>
      <c r="ER40" s="10"/>
      <c r="ES40" s="10"/>
      <c r="ET40" s="10"/>
      <c r="EU40" s="10"/>
      <c r="EY40" s="10"/>
      <c r="EZ40" s="10"/>
      <c r="FA40" s="10"/>
      <c r="FB40" s="10"/>
    </row>
    <row r="42" spans="2:158">
      <c r="B42" t="s">
        <v>27</v>
      </c>
      <c r="C42" t="s">
        <v>91</v>
      </c>
      <c r="D42" s="19">
        <v>45689</v>
      </c>
      <c r="E42" s="9">
        <v>6</v>
      </c>
      <c r="G42" s="10">
        <f>+SUM(G43:G52)</f>
        <v>1.0000000000000002</v>
      </c>
      <c r="I42" s="12">
        <f>+SUM(I43:I52)</f>
        <v>0</v>
      </c>
      <c r="J42" s="11">
        <f>+SUMPRODUCT(G43:G52,J43:J52)</f>
        <v>0</v>
      </c>
      <c r="K42" s="11">
        <f>+SUMPRODUCT(G43:G52,K43:K52)</f>
        <v>0</v>
      </c>
      <c r="L42" s="9"/>
      <c r="N42" s="12">
        <f>+SUM(N43:N52)</f>
        <v>0</v>
      </c>
      <c r="U42" s="12">
        <f>+SUM(U43:U52)</f>
        <v>0</v>
      </c>
      <c r="AB42" s="12">
        <f>+SUM(AB43:AB52)</f>
        <v>0</v>
      </c>
      <c r="AI42" s="12">
        <f>+SUM(AI43:AI52)</f>
        <v>0</v>
      </c>
      <c r="AP42" s="12">
        <f>+SUM(AP43:AP51)</f>
        <v>0</v>
      </c>
      <c r="AW42" s="12">
        <f>+SUM(AW43:AW51)</f>
        <v>0</v>
      </c>
      <c r="BD42" s="12">
        <f>+SUM(BD43:BD51)</f>
        <v>0</v>
      </c>
      <c r="BK42" s="12">
        <f>+SUM(BK43:BK51)</f>
        <v>0</v>
      </c>
      <c r="BR42" s="12">
        <f>+SUM(BR43:BR51)</f>
        <v>0</v>
      </c>
      <c r="BY42" s="12">
        <f>+SUM(BY43:BY51)</f>
        <v>0</v>
      </c>
      <c r="CF42" s="12">
        <f>+SUM(CF43:CF51)</f>
        <v>0</v>
      </c>
      <c r="CM42" s="12">
        <f>+SUM(CM43:CM51)</f>
        <v>0</v>
      </c>
      <c r="CT42" s="12">
        <f>+SUM(CT43:CT51)</f>
        <v>0</v>
      </c>
      <c r="DA42" s="12">
        <f>+SUM(DA43:DA51)</f>
        <v>0</v>
      </c>
      <c r="DH42" s="12">
        <f>+SUM(DH43:DH51)</f>
        <v>0</v>
      </c>
      <c r="DO42" s="12">
        <f>+SUM(DO43:DO51)</f>
        <v>0</v>
      </c>
      <c r="DV42" s="12">
        <f>+SUM(DV43:DV51)</f>
        <v>0</v>
      </c>
      <c r="EC42" s="12">
        <f>+SUM(EC43:EC51)</f>
        <v>0</v>
      </c>
    </row>
    <row r="43" spans="2:158" outlineLevel="1">
      <c r="B43" t="s">
        <v>28</v>
      </c>
      <c r="C43" t="s">
        <v>91</v>
      </c>
      <c r="E43" s="9"/>
      <c r="F43" t="s">
        <v>93</v>
      </c>
      <c r="G43" s="10">
        <v>0.1</v>
      </c>
      <c r="I43" s="9">
        <f t="shared" ref="I43:I52" si="4">+SUMIF($M$3:$YR$3,I$3,$M43:$YR43)</f>
        <v>0</v>
      </c>
      <c r="J43" s="11" cm="1">
        <f t="array" ref="J43">MAX(IF($M$3:$EA$3=$J$3,M43:EA43))</f>
        <v>0</v>
      </c>
      <c r="K43" s="11" cm="1">
        <f t="array" ref="K43">MAX(IF($M$3:$EA$3=$J$3,M43:EA43))</f>
        <v>0</v>
      </c>
      <c r="L43" s="9"/>
      <c r="O43" s="10"/>
      <c r="P43" s="10">
        <v>0.5</v>
      </c>
      <c r="Q43" s="10"/>
      <c r="R43" s="10">
        <v>0.5</v>
      </c>
      <c r="V43" s="10"/>
      <c r="W43" s="10">
        <v>0.5</v>
      </c>
      <c r="X43" s="10"/>
      <c r="Y43" s="10">
        <v>0.5</v>
      </c>
      <c r="AC43" s="10"/>
      <c r="AD43" s="10">
        <v>0.5</v>
      </c>
      <c r="AE43" s="10"/>
      <c r="AF43" s="10">
        <v>0.5</v>
      </c>
      <c r="AJ43" s="10"/>
      <c r="AK43" s="10">
        <v>0.5</v>
      </c>
      <c r="AL43" s="10"/>
      <c r="AM43" s="10">
        <v>0.5</v>
      </c>
      <c r="AQ43" s="10"/>
      <c r="AR43" s="22">
        <v>0.8</v>
      </c>
      <c r="AS43" s="10"/>
      <c r="AT43" s="22">
        <v>0.8</v>
      </c>
      <c r="AU43" s="10"/>
      <c r="AX43" s="10"/>
      <c r="AY43" s="10">
        <v>0.8</v>
      </c>
      <c r="AZ43" s="10"/>
      <c r="BA43" s="10">
        <v>0.8</v>
      </c>
      <c r="BE43" s="10"/>
      <c r="BF43" s="10">
        <v>0.8</v>
      </c>
      <c r="BG43" s="10"/>
      <c r="BH43" s="10">
        <v>0.8</v>
      </c>
      <c r="BL43" s="10"/>
      <c r="BM43" s="10">
        <v>0.8</v>
      </c>
      <c r="BN43" s="10"/>
      <c r="BO43" s="10">
        <v>0.8</v>
      </c>
      <c r="BS43" s="10"/>
      <c r="BT43" s="10">
        <v>0.8</v>
      </c>
      <c r="BU43" s="10"/>
      <c r="BV43" s="10">
        <v>0.8</v>
      </c>
      <c r="BZ43" s="10"/>
      <c r="CA43" s="10">
        <v>1</v>
      </c>
      <c r="CB43" s="10"/>
      <c r="CC43" s="10">
        <v>1</v>
      </c>
      <c r="CG43" s="10"/>
      <c r="CH43" s="10">
        <v>1</v>
      </c>
      <c r="CI43" s="10"/>
      <c r="CJ43" s="10">
        <v>1</v>
      </c>
      <c r="CN43" s="10"/>
      <c r="CO43" s="10">
        <v>1</v>
      </c>
      <c r="CP43" s="10"/>
      <c r="CQ43" s="10">
        <v>1</v>
      </c>
      <c r="CU43" s="10"/>
      <c r="CV43" s="10">
        <v>1</v>
      </c>
      <c r="CW43" s="10"/>
      <c r="CX43" s="10">
        <v>1</v>
      </c>
      <c r="DB43" s="10"/>
      <c r="DC43" s="10">
        <v>1</v>
      </c>
      <c r="DD43" s="10"/>
      <c r="DE43" s="10">
        <v>1</v>
      </c>
      <c r="DI43" s="10"/>
      <c r="DJ43" s="10">
        <v>1</v>
      </c>
      <c r="DK43" s="10"/>
      <c r="DL43" s="10">
        <v>1</v>
      </c>
      <c r="DP43" s="10"/>
      <c r="DQ43" s="10">
        <v>1</v>
      </c>
      <c r="DR43" s="10"/>
      <c r="DS43" s="10">
        <v>1</v>
      </c>
      <c r="DW43" s="10"/>
      <c r="DX43" s="10">
        <v>1</v>
      </c>
      <c r="DY43" s="10"/>
      <c r="DZ43" s="10">
        <v>1</v>
      </c>
      <c r="ED43" s="10"/>
      <c r="EE43" s="10"/>
      <c r="EF43" s="10"/>
      <c r="EG43" s="10"/>
      <c r="EK43" s="10"/>
      <c r="EL43" s="10"/>
      <c r="EM43" s="10"/>
      <c r="EN43" s="10"/>
      <c r="ER43" s="10"/>
      <c r="ES43" s="10"/>
      <c r="ET43" s="10"/>
      <c r="EU43" s="10"/>
      <c r="EY43" s="10"/>
      <c r="EZ43" s="10"/>
      <c r="FA43" s="10"/>
      <c r="FB43" s="10"/>
    </row>
    <row r="44" spans="2:158" outlineLevel="1">
      <c r="B44" t="s">
        <v>28</v>
      </c>
      <c r="C44" t="s">
        <v>91</v>
      </c>
      <c r="E44" s="9"/>
      <c r="F44" t="s">
        <v>94</v>
      </c>
      <c r="G44" s="10">
        <v>0.1</v>
      </c>
      <c r="I44" s="9">
        <f t="shared" si="4"/>
        <v>0</v>
      </c>
      <c r="J44" s="11" cm="1">
        <f t="array" ref="J44">MAX(IF($M$3:$EA$3=$J$3,M44:EA44))</f>
        <v>0</v>
      </c>
      <c r="K44" s="11" cm="1">
        <f t="array" ref="K44">MAX(IF($M$3:$EA$3=$J$3,M44:EA44))</f>
        <v>0</v>
      </c>
      <c r="L44" s="9"/>
      <c r="O44" s="10"/>
      <c r="P44" s="10"/>
      <c r="Q44" s="10"/>
      <c r="R44" s="10"/>
      <c r="V44" s="10"/>
      <c r="W44" s="22">
        <v>0.5</v>
      </c>
      <c r="X44" s="10"/>
      <c r="Y44" s="22">
        <v>0.5</v>
      </c>
      <c r="AC44" s="10"/>
      <c r="AD44" s="10">
        <v>0.5</v>
      </c>
      <c r="AE44" s="10"/>
      <c r="AF44" s="10">
        <v>0.5</v>
      </c>
      <c r="AJ44" s="10"/>
      <c r="AK44" s="10">
        <v>0.5</v>
      </c>
      <c r="AL44" s="10"/>
      <c r="AM44" s="10">
        <v>0.5</v>
      </c>
      <c r="AQ44" s="10"/>
      <c r="AR44" s="10">
        <v>0.5</v>
      </c>
      <c r="AS44" s="10"/>
      <c r="AT44" s="10">
        <v>0.5</v>
      </c>
      <c r="AU44" s="10"/>
      <c r="AX44" s="10"/>
      <c r="AY44" s="22">
        <v>0.8</v>
      </c>
      <c r="AZ44" s="10"/>
      <c r="BA44" s="22">
        <v>0.8</v>
      </c>
      <c r="BE44" s="10"/>
      <c r="BF44" s="10">
        <v>0.8</v>
      </c>
      <c r="BG44" s="10"/>
      <c r="BH44" s="10">
        <v>0.8</v>
      </c>
      <c r="BL44" s="10"/>
      <c r="BM44" s="10">
        <v>0.8</v>
      </c>
      <c r="BN44" s="10"/>
      <c r="BO44" s="10">
        <v>0.8</v>
      </c>
      <c r="BS44" s="10"/>
      <c r="BT44" s="10">
        <v>0.8</v>
      </c>
      <c r="BU44" s="10"/>
      <c r="BV44" s="10">
        <v>0.8</v>
      </c>
      <c r="BZ44" s="10"/>
      <c r="CA44" s="10">
        <v>0.8</v>
      </c>
      <c r="CB44" s="10"/>
      <c r="CC44" s="10">
        <v>0.8</v>
      </c>
      <c r="CG44" s="10"/>
      <c r="CH44" s="10">
        <v>1</v>
      </c>
      <c r="CI44" s="10"/>
      <c r="CJ44" s="10">
        <v>1</v>
      </c>
      <c r="CN44" s="10"/>
      <c r="CO44" s="10">
        <v>1</v>
      </c>
      <c r="CP44" s="10"/>
      <c r="CQ44" s="10">
        <v>1</v>
      </c>
      <c r="CU44" s="10"/>
      <c r="CV44" s="10">
        <v>1</v>
      </c>
      <c r="CW44" s="10"/>
      <c r="CX44" s="10">
        <v>1</v>
      </c>
      <c r="DB44" s="10"/>
      <c r="DC44" s="10">
        <v>1</v>
      </c>
      <c r="DD44" s="10"/>
      <c r="DE44" s="10">
        <v>1</v>
      </c>
      <c r="DI44" s="10"/>
      <c r="DJ44" s="10">
        <v>1</v>
      </c>
      <c r="DK44" s="10"/>
      <c r="DL44" s="10">
        <v>1</v>
      </c>
      <c r="DP44" s="10"/>
      <c r="DQ44" s="10">
        <v>1</v>
      </c>
      <c r="DR44" s="10"/>
      <c r="DS44" s="10">
        <v>1</v>
      </c>
      <c r="DW44" s="10"/>
      <c r="DX44" s="10">
        <v>1</v>
      </c>
      <c r="DY44" s="10"/>
      <c r="DZ44" s="10">
        <v>1</v>
      </c>
      <c r="ED44" s="10"/>
      <c r="EE44" s="10"/>
      <c r="EF44" s="10"/>
      <c r="EG44" s="10"/>
      <c r="EK44" s="10"/>
      <c r="EL44" s="10"/>
      <c r="EM44" s="10"/>
      <c r="EN44" s="10"/>
      <c r="ER44" s="10"/>
      <c r="ES44" s="10"/>
      <c r="ET44" s="10"/>
      <c r="EU44" s="10"/>
      <c r="EY44" s="10"/>
      <c r="EZ44" s="10"/>
      <c r="FA44" s="10"/>
      <c r="FB44" s="10"/>
    </row>
    <row r="45" spans="2:158" outlineLevel="1">
      <c r="B45" t="s">
        <v>28</v>
      </c>
      <c r="C45" t="s">
        <v>91</v>
      </c>
      <c r="E45" s="9"/>
      <c r="F45" t="s">
        <v>95</v>
      </c>
      <c r="G45" s="10">
        <v>0.1</v>
      </c>
      <c r="I45" s="9">
        <f t="shared" si="4"/>
        <v>0</v>
      </c>
      <c r="J45" s="11" cm="1">
        <f t="array" ref="J45">MAX(IF($M$3:$EA$3=$J$3,M45:EA45))</f>
        <v>0</v>
      </c>
      <c r="K45" s="11" cm="1">
        <f t="array" ref="K45">MAX(IF($M$3:$EA$3=$J$3,M45:EA45))</f>
        <v>0</v>
      </c>
      <c r="L45" s="9"/>
      <c r="O45" s="10"/>
      <c r="P45" s="10"/>
      <c r="Q45" s="10"/>
      <c r="R45" s="10"/>
      <c r="V45" s="10"/>
      <c r="W45" s="10"/>
      <c r="X45" s="10"/>
      <c r="Y45" s="10"/>
      <c r="AC45" s="10"/>
      <c r="AD45" s="22">
        <v>0.5</v>
      </c>
      <c r="AE45" s="10"/>
      <c r="AF45" s="22">
        <v>0.5</v>
      </c>
      <c r="AJ45" s="10"/>
      <c r="AK45" s="10">
        <v>0.5</v>
      </c>
      <c r="AL45" s="10"/>
      <c r="AM45" s="10">
        <v>0.5</v>
      </c>
      <c r="AQ45" s="10"/>
      <c r="AR45" s="10">
        <v>0.5</v>
      </c>
      <c r="AS45" s="10"/>
      <c r="AT45" s="10">
        <v>0.5</v>
      </c>
      <c r="AU45" s="10"/>
      <c r="AX45" s="10"/>
      <c r="AY45" s="10">
        <v>0.5</v>
      </c>
      <c r="AZ45" s="10"/>
      <c r="BA45" s="10">
        <v>0.5</v>
      </c>
      <c r="BE45" s="10"/>
      <c r="BF45" s="22">
        <v>0.8</v>
      </c>
      <c r="BG45" s="10"/>
      <c r="BH45" s="22">
        <v>0.8</v>
      </c>
      <c r="BL45" s="10"/>
      <c r="BM45" s="10">
        <v>0.8</v>
      </c>
      <c r="BN45" s="10"/>
      <c r="BO45" s="10">
        <v>0.8</v>
      </c>
      <c r="BS45" s="10"/>
      <c r="BT45" s="10">
        <v>0.8</v>
      </c>
      <c r="BU45" s="10"/>
      <c r="BV45" s="10">
        <v>0.8</v>
      </c>
      <c r="BZ45" s="10"/>
      <c r="CA45" s="10">
        <v>0.8</v>
      </c>
      <c r="CB45" s="10"/>
      <c r="CC45" s="10">
        <v>0.8</v>
      </c>
      <c r="CG45" s="10"/>
      <c r="CH45" s="10">
        <v>0.8</v>
      </c>
      <c r="CI45" s="10"/>
      <c r="CJ45" s="10">
        <v>0.8</v>
      </c>
      <c r="CN45" s="10"/>
      <c r="CO45" s="10">
        <v>1</v>
      </c>
      <c r="CP45" s="10"/>
      <c r="CQ45" s="10">
        <v>1</v>
      </c>
      <c r="CU45" s="10"/>
      <c r="CV45" s="10">
        <v>1</v>
      </c>
      <c r="CW45" s="10"/>
      <c r="CX45" s="10">
        <v>1</v>
      </c>
      <c r="DB45" s="10"/>
      <c r="DC45" s="10">
        <v>1</v>
      </c>
      <c r="DD45" s="10"/>
      <c r="DE45" s="10">
        <v>1</v>
      </c>
      <c r="DI45" s="10"/>
      <c r="DJ45" s="10">
        <v>1</v>
      </c>
      <c r="DK45" s="10"/>
      <c r="DL45" s="10">
        <v>1</v>
      </c>
      <c r="DP45" s="10"/>
      <c r="DQ45" s="10">
        <v>1</v>
      </c>
      <c r="DR45" s="10"/>
      <c r="DS45" s="10">
        <v>1</v>
      </c>
      <c r="DW45" s="10"/>
      <c r="DX45" s="10">
        <v>1</v>
      </c>
      <c r="DY45" s="10"/>
      <c r="DZ45" s="10">
        <v>1</v>
      </c>
      <c r="ED45" s="10"/>
      <c r="EE45" s="10"/>
      <c r="EF45" s="10"/>
      <c r="EG45" s="10"/>
      <c r="EK45" s="10"/>
      <c r="EL45" s="10"/>
      <c r="EM45" s="10"/>
      <c r="EN45" s="10"/>
      <c r="ER45" s="10"/>
      <c r="ES45" s="10"/>
      <c r="ET45" s="10"/>
      <c r="EU45" s="10"/>
      <c r="EY45" s="10"/>
      <c r="EZ45" s="10"/>
      <c r="FA45" s="10"/>
      <c r="FB45" s="10"/>
    </row>
    <row r="46" spans="2:158" outlineLevel="1">
      <c r="B46" t="s">
        <v>28</v>
      </c>
      <c r="C46" t="s">
        <v>91</v>
      </c>
      <c r="E46" s="9"/>
      <c r="F46" t="s">
        <v>96</v>
      </c>
      <c r="G46" s="10">
        <v>0.1</v>
      </c>
      <c r="I46" s="9">
        <f t="shared" si="4"/>
        <v>0</v>
      </c>
      <c r="J46" s="11" cm="1">
        <f t="array" ref="J46">MAX(IF($M$3:$EA$3=$J$3,M46:EA46))</f>
        <v>0</v>
      </c>
      <c r="K46" s="11" cm="1">
        <f t="array" ref="K46">MAX(IF($M$3:$EA$3=$J$3,M46:EA46))</f>
        <v>0</v>
      </c>
      <c r="L46" s="9"/>
      <c r="O46" s="10"/>
      <c r="P46" s="10"/>
      <c r="Q46" s="10"/>
      <c r="R46" s="10"/>
      <c r="V46" s="10"/>
      <c r="W46" s="10"/>
      <c r="X46" s="10"/>
      <c r="Y46" s="10"/>
      <c r="AC46" s="10"/>
      <c r="AD46" s="10"/>
      <c r="AE46" s="10"/>
      <c r="AF46" s="10"/>
      <c r="AJ46" s="10"/>
      <c r="AK46" s="22">
        <v>0.5</v>
      </c>
      <c r="AL46" s="10"/>
      <c r="AM46" s="22">
        <v>0.5</v>
      </c>
      <c r="AQ46" s="10"/>
      <c r="AR46" s="10">
        <v>0.5</v>
      </c>
      <c r="AS46" s="10"/>
      <c r="AT46" s="10">
        <v>0.5</v>
      </c>
      <c r="AX46" s="10"/>
      <c r="AY46" s="10">
        <v>0.5</v>
      </c>
      <c r="AZ46" s="10"/>
      <c r="BA46" s="10">
        <v>0.5</v>
      </c>
      <c r="BE46" s="10"/>
      <c r="BF46" s="10">
        <v>0.5</v>
      </c>
      <c r="BG46" s="10"/>
      <c r="BH46" s="10">
        <v>0.5</v>
      </c>
      <c r="BL46" s="10"/>
      <c r="BM46" s="22">
        <v>0.8</v>
      </c>
      <c r="BN46" s="10"/>
      <c r="BO46" s="22">
        <v>0.8</v>
      </c>
      <c r="BS46" s="10"/>
      <c r="BT46" s="10">
        <v>0.8</v>
      </c>
      <c r="BU46" s="10"/>
      <c r="BV46" s="10">
        <v>0.8</v>
      </c>
      <c r="BZ46" s="10"/>
      <c r="CA46" s="10">
        <v>0.8</v>
      </c>
      <c r="CB46" s="10"/>
      <c r="CC46" s="10">
        <v>0.8</v>
      </c>
      <c r="CG46" s="10"/>
      <c r="CH46" s="10">
        <v>0.8</v>
      </c>
      <c r="CI46" s="10"/>
      <c r="CJ46" s="10">
        <v>0.8</v>
      </c>
      <c r="CN46" s="10"/>
      <c r="CO46" s="10">
        <v>0.8</v>
      </c>
      <c r="CP46" s="10"/>
      <c r="CQ46" s="10">
        <v>0.8</v>
      </c>
      <c r="CU46" s="10"/>
      <c r="CV46" s="10">
        <v>1</v>
      </c>
      <c r="CW46" s="10"/>
      <c r="CX46" s="10">
        <v>1</v>
      </c>
      <c r="DB46" s="10"/>
      <c r="DC46" s="10">
        <v>1</v>
      </c>
      <c r="DD46" s="10"/>
      <c r="DE46" s="10">
        <v>1</v>
      </c>
      <c r="DI46" s="10"/>
      <c r="DJ46" s="10">
        <v>1</v>
      </c>
      <c r="DK46" s="10"/>
      <c r="DL46" s="10">
        <v>1</v>
      </c>
      <c r="DP46" s="10"/>
      <c r="DQ46" s="10">
        <v>1</v>
      </c>
      <c r="DR46" s="10"/>
      <c r="DS46" s="10">
        <v>1</v>
      </c>
      <c r="DW46" s="10"/>
      <c r="DX46" s="10">
        <v>1</v>
      </c>
      <c r="DY46" s="10"/>
      <c r="DZ46" s="10">
        <v>1</v>
      </c>
      <c r="ED46" s="10"/>
      <c r="EE46" s="10"/>
      <c r="EF46" s="10"/>
      <c r="EG46" s="10"/>
      <c r="EK46" s="10"/>
      <c r="EL46" s="10"/>
      <c r="EM46" s="10"/>
      <c r="EN46" s="10"/>
      <c r="ER46" s="10"/>
      <c r="ES46" s="10"/>
      <c r="ET46" s="10"/>
      <c r="EU46" s="10"/>
      <c r="EY46" s="10"/>
      <c r="EZ46" s="10"/>
      <c r="FA46" s="10"/>
      <c r="FB46" s="10"/>
    </row>
    <row r="47" spans="2:158" outlineLevel="1">
      <c r="B47" t="s">
        <v>28</v>
      </c>
      <c r="C47" t="s">
        <v>91</v>
      </c>
      <c r="E47" s="9"/>
      <c r="F47" t="s">
        <v>97</v>
      </c>
      <c r="G47" s="10">
        <v>0.1</v>
      </c>
      <c r="I47" s="9">
        <f t="shared" si="4"/>
        <v>0</v>
      </c>
      <c r="J47" s="11" cm="1">
        <f t="array" ref="J47">MAX(IF($M$3:$EA$3=$J$3,M47:EA47))</f>
        <v>0</v>
      </c>
      <c r="K47" s="11" cm="1">
        <f t="array" ref="K47">MAX(IF($M$3:$EA$3=$J$3,M47:EA47))</f>
        <v>0</v>
      </c>
      <c r="L47" s="9"/>
      <c r="O47" s="10"/>
      <c r="P47" s="10"/>
      <c r="Q47" s="10"/>
      <c r="R47" s="10"/>
      <c r="V47" s="10"/>
      <c r="W47" s="10"/>
      <c r="X47" s="10"/>
      <c r="Y47" s="10"/>
      <c r="AC47" s="10"/>
      <c r="AD47" s="10"/>
      <c r="AE47" s="10"/>
      <c r="AF47" s="10"/>
      <c r="AJ47" s="10"/>
      <c r="AK47" s="10"/>
      <c r="AL47" s="10"/>
      <c r="AM47" s="10"/>
      <c r="AQ47" s="10"/>
      <c r="AR47" s="22">
        <v>0.5</v>
      </c>
      <c r="AS47" s="10"/>
      <c r="AT47" s="22">
        <v>0.5</v>
      </c>
      <c r="AX47" s="10"/>
      <c r="AY47" s="10">
        <v>0.5</v>
      </c>
      <c r="AZ47" s="10"/>
      <c r="BA47" s="10">
        <v>0.5</v>
      </c>
      <c r="BE47" s="10"/>
      <c r="BF47" s="10">
        <v>0.5</v>
      </c>
      <c r="BG47" s="10"/>
      <c r="BH47" s="10">
        <v>0.5</v>
      </c>
      <c r="BL47" s="10"/>
      <c r="BM47" s="10">
        <v>0.5</v>
      </c>
      <c r="BN47" s="10"/>
      <c r="BO47" s="10">
        <v>0.5</v>
      </c>
      <c r="BS47" s="10"/>
      <c r="BT47" s="22">
        <v>0.8</v>
      </c>
      <c r="BU47" s="22"/>
      <c r="BV47" s="22">
        <v>0.8</v>
      </c>
      <c r="BZ47" s="10"/>
      <c r="CA47" s="10">
        <v>0.8</v>
      </c>
      <c r="CB47" s="10"/>
      <c r="CC47" s="10">
        <v>0.8</v>
      </c>
      <c r="CG47" s="10"/>
      <c r="CH47" s="10">
        <v>0.8</v>
      </c>
      <c r="CI47" s="10"/>
      <c r="CJ47" s="10">
        <v>0.8</v>
      </c>
      <c r="CN47" s="10"/>
      <c r="CO47" s="10">
        <v>0.8</v>
      </c>
      <c r="CP47" s="10"/>
      <c r="CQ47" s="10">
        <v>0.8</v>
      </c>
      <c r="CU47" s="10"/>
      <c r="CV47" s="10">
        <v>0.8</v>
      </c>
      <c r="CW47" s="10"/>
      <c r="CX47" s="10">
        <v>0.8</v>
      </c>
      <c r="DB47" s="10"/>
      <c r="DC47" s="10">
        <v>1</v>
      </c>
      <c r="DD47" s="10"/>
      <c r="DE47" s="10">
        <v>1</v>
      </c>
      <c r="DI47" s="10"/>
      <c r="DJ47" s="10">
        <v>1</v>
      </c>
      <c r="DK47" s="10"/>
      <c r="DL47" s="10">
        <v>1</v>
      </c>
      <c r="DP47" s="10"/>
      <c r="DQ47" s="10">
        <v>1</v>
      </c>
      <c r="DR47" s="10"/>
      <c r="DS47" s="10">
        <v>1</v>
      </c>
      <c r="DW47" s="10"/>
      <c r="DX47" s="10">
        <v>1</v>
      </c>
      <c r="DY47" s="10"/>
      <c r="DZ47" s="10">
        <v>1</v>
      </c>
      <c r="ED47" s="10"/>
      <c r="EE47" s="10"/>
      <c r="EF47" s="10"/>
      <c r="EG47" s="10"/>
      <c r="EK47" s="10"/>
      <c r="EL47" s="10"/>
      <c r="EM47" s="10"/>
      <c r="EN47" s="10"/>
      <c r="ER47" s="10"/>
      <c r="ES47" s="10"/>
      <c r="ET47" s="10"/>
      <c r="EU47" s="10"/>
      <c r="EY47" s="10"/>
      <c r="EZ47" s="10"/>
      <c r="FA47" s="10"/>
      <c r="FB47" s="10"/>
    </row>
    <row r="48" spans="2:158" outlineLevel="1">
      <c r="B48" t="s">
        <v>28</v>
      </c>
      <c r="C48" t="s">
        <v>91</v>
      </c>
      <c r="E48" s="9"/>
      <c r="F48" t="s">
        <v>98</v>
      </c>
      <c r="G48" s="10">
        <v>0.15</v>
      </c>
      <c r="I48" s="9">
        <f t="shared" si="4"/>
        <v>0</v>
      </c>
      <c r="J48" s="11" cm="1">
        <f t="array" ref="J48">MAX(IF($M$3:$EA$3=$J$3,M48:EA48))</f>
        <v>0</v>
      </c>
      <c r="K48" s="11" cm="1">
        <f t="array" ref="K48">MAX(IF($M$3:$EA$3=$J$3,M48:EA48))</f>
        <v>0</v>
      </c>
      <c r="L48" s="9"/>
      <c r="O48" s="10"/>
      <c r="P48" s="10"/>
      <c r="Q48" s="10"/>
      <c r="R48" s="10"/>
      <c r="V48" s="10"/>
      <c r="W48" s="10"/>
      <c r="X48" s="10"/>
      <c r="Y48" s="10"/>
      <c r="AC48" s="10"/>
      <c r="AD48" s="10"/>
      <c r="AE48" s="10"/>
      <c r="AF48" s="10"/>
      <c r="AJ48" s="10"/>
      <c r="AK48" s="10"/>
      <c r="AL48" s="10"/>
      <c r="AM48" s="10"/>
      <c r="AQ48" s="10"/>
      <c r="AR48" s="10"/>
      <c r="AS48" s="10"/>
      <c r="AT48" s="10"/>
      <c r="AX48" s="10"/>
      <c r="AY48" s="22">
        <v>0.5</v>
      </c>
      <c r="AZ48" s="10"/>
      <c r="BA48" s="22">
        <v>0.5</v>
      </c>
      <c r="BE48" s="10"/>
      <c r="BF48" s="10">
        <v>0.5</v>
      </c>
      <c r="BG48" s="10"/>
      <c r="BH48" s="10">
        <v>0.5</v>
      </c>
      <c r="BL48" s="10"/>
      <c r="BM48" s="10">
        <v>0.5</v>
      </c>
      <c r="BN48" s="10"/>
      <c r="BO48" s="10">
        <v>0.5</v>
      </c>
      <c r="BS48" s="10"/>
      <c r="BT48" s="10">
        <v>0.5</v>
      </c>
      <c r="BU48" s="10"/>
      <c r="BV48" s="10">
        <v>0.5</v>
      </c>
      <c r="BZ48" s="10"/>
      <c r="CA48" s="10">
        <v>0.8</v>
      </c>
      <c r="CB48" s="10"/>
      <c r="CC48" s="10">
        <v>0.8</v>
      </c>
      <c r="CG48" s="10"/>
      <c r="CH48" s="10">
        <v>0.8</v>
      </c>
      <c r="CI48" s="10"/>
      <c r="CJ48" s="10">
        <v>0.8</v>
      </c>
      <c r="CN48" s="10"/>
      <c r="CO48" s="10">
        <v>0.8</v>
      </c>
      <c r="CP48" s="10"/>
      <c r="CQ48" s="10">
        <v>0.8</v>
      </c>
      <c r="CU48" s="10"/>
      <c r="CV48" s="10">
        <v>0.8</v>
      </c>
      <c r="CW48" s="10"/>
      <c r="CX48" s="10">
        <v>0.8</v>
      </c>
      <c r="DB48" s="10"/>
      <c r="DC48" s="10">
        <v>0.8</v>
      </c>
      <c r="DD48" s="10"/>
      <c r="DE48" s="10">
        <v>0.8</v>
      </c>
      <c r="DI48" s="10"/>
      <c r="DJ48" s="10">
        <v>1</v>
      </c>
      <c r="DK48" s="10"/>
      <c r="DL48" s="10">
        <v>1</v>
      </c>
      <c r="DP48" s="10"/>
      <c r="DQ48" s="10">
        <v>1</v>
      </c>
      <c r="DR48" s="10"/>
      <c r="DS48" s="10">
        <v>1</v>
      </c>
      <c r="DW48" s="10"/>
      <c r="DX48" s="10">
        <v>1</v>
      </c>
      <c r="DY48" s="10"/>
      <c r="DZ48" s="10">
        <v>1</v>
      </c>
      <c r="ED48" s="10"/>
      <c r="EE48" s="10"/>
      <c r="EF48" s="10"/>
      <c r="EG48" s="10"/>
      <c r="EK48" s="10"/>
      <c r="EL48" s="10"/>
      <c r="EM48" s="10"/>
      <c r="EN48" s="10"/>
      <c r="ER48" s="10"/>
      <c r="ES48" s="10"/>
      <c r="ET48" s="10"/>
      <c r="EU48" s="10"/>
      <c r="EY48" s="10"/>
      <c r="EZ48" s="10"/>
      <c r="FA48" s="10"/>
      <c r="FB48" s="10"/>
    </row>
    <row r="49" spans="2:158" outlineLevel="1">
      <c r="B49" t="s">
        <v>28</v>
      </c>
      <c r="C49" t="s">
        <v>91</v>
      </c>
      <c r="E49" s="9"/>
      <c r="F49" t="s">
        <v>99</v>
      </c>
      <c r="G49" s="10">
        <v>0.15</v>
      </c>
      <c r="I49" s="9">
        <f t="shared" si="4"/>
        <v>0</v>
      </c>
      <c r="J49" s="11" cm="1">
        <f t="array" ref="J49">MAX(IF($M$3:$EA$3=$J$3,M49:EA49))</f>
        <v>0</v>
      </c>
      <c r="K49" s="11" cm="1">
        <f t="array" ref="K49">MAX(IF($M$3:$EA$3=$J$3,M49:EA49))</f>
        <v>0</v>
      </c>
      <c r="L49" s="9"/>
      <c r="O49" s="10"/>
      <c r="P49" s="10"/>
      <c r="Q49" s="10"/>
      <c r="R49" s="10"/>
      <c r="V49" s="10"/>
      <c r="W49" s="10"/>
      <c r="X49" s="10"/>
      <c r="Y49" s="10"/>
      <c r="AC49" s="10"/>
      <c r="AD49" s="10"/>
      <c r="AE49" s="10"/>
      <c r="AF49" s="10"/>
      <c r="AJ49" s="10"/>
      <c r="AK49" s="10"/>
      <c r="AL49" s="10"/>
      <c r="AM49" s="10"/>
      <c r="AQ49" s="10"/>
      <c r="AR49" s="10"/>
      <c r="AS49" s="10"/>
      <c r="AT49" s="10"/>
      <c r="AX49" s="10"/>
      <c r="AY49" s="10"/>
      <c r="AZ49" s="10"/>
      <c r="BA49" s="10"/>
      <c r="BE49" s="10"/>
      <c r="BF49" s="22">
        <v>0.5</v>
      </c>
      <c r="BG49" s="10"/>
      <c r="BH49" s="22">
        <v>0.5</v>
      </c>
      <c r="BL49" s="10"/>
      <c r="BM49" s="10">
        <v>0.5</v>
      </c>
      <c r="BN49" s="10"/>
      <c r="BO49" s="10">
        <v>0.5</v>
      </c>
      <c r="BS49" s="10"/>
      <c r="BT49" s="10">
        <v>0.5</v>
      </c>
      <c r="BU49" s="10"/>
      <c r="BV49" s="10">
        <v>0.5</v>
      </c>
      <c r="BZ49" s="10"/>
      <c r="CA49" s="10">
        <v>0.5</v>
      </c>
      <c r="CB49" s="10"/>
      <c r="CC49" s="10">
        <v>0.5</v>
      </c>
      <c r="CG49" s="10"/>
      <c r="CH49" s="10">
        <v>0.8</v>
      </c>
      <c r="CI49" s="10"/>
      <c r="CJ49" s="10">
        <v>0.8</v>
      </c>
      <c r="CN49" s="10"/>
      <c r="CO49" s="10">
        <v>0.8</v>
      </c>
      <c r="CP49" s="10"/>
      <c r="CQ49" s="10">
        <v>0.8</v>
      </c>
      <c r="CU49" s="10"/>
      <c r="CV49" s="10">
        <v>0.8</v>
      </c>
      <c r="CW49" s="10"/>
      <c r="CX49" s="10">
        <v>0.8</v>
      </c>
      <c r="DB49" s="10"/>
      <c r="DC49" s="10">
        <v>0.8</v>
      </c>
      <c r="DD49" s="10"/>
      <c r="DE49" s="10">
        <v>0.8</v>
      </c>
      <c r="DI49" s="10"/>
      <c r="DJ49" s="10">
        <v>1</v>
      </c>
      <c r="DK49" s="10"/>
      <c r="DL49" s="10">
        <v>1</v>
      </c>
      <c r="DP49" s="10"/>
      <c r="DQ49" s="10">
        <v>1</v>
      </c>
      <c r="DR49" s="10"/>
      <c r="DS49" s="10">
        <v>1</v>
      </c>
      <c r="DW49" s="10"/>
      <c r="DX49" s="10">
        <v>1</v>
      </c>
      <c r="DY49" s="10"/>
      <c r="DZ49" s="10">
        <v>1</v>
      </c>
      <c r="ED49" s="10"/>
      <c r="EE49" s="10"/>
      <c r="EF49" s="10"/>
      <c r="EG49" s="10"/>
      <c r="EK49" s="10"/>
      <c r="EL49" s="10"/>
      <c r="EM49" s="10"/>
      <c r="EN49" s="10"/>
      <c r="ER49" s="10"/>
      <c r="ES49" s="10"/>
      <c r="ET49" s="10"/>
      <c r="EU49" s="10"/>
      <c r="EY49" s="10"/>
      <c r="EZ49" s="10"/>
      <c r="FA49" s="10"/>
      <c r="FB49" s="10"/>
    </row>
    <row r="50" spans="2:158" outlineLevel="1">
      <c r="B50" t="s">
        <v>28</v>
      </c>
      <c r="C50" t="s">
        <v>91</v>
      </c>
      <c r="E50" s="9"/>
      <c r="F50" t="s">
        <v>145</v>
      </c>
      <c r="G50" s="10">
        <v>0.05</v>
      </c>
      <c r="I50" s="9">
        <f t="shared" si="4"/>
        <v>0</v>
      </c>
      <c r="J50" s="11" cm="1">
        <f t="array" ref="J50">MAX(IF($M$3:$EA$3=$J$3,M50:EA50))</f>
        <v>0</v>
      </c>
      <c r="K50" s="11" cm="1">
        <f t="array" ref="K50">MAX(IF($M$3:$EA$3=$J$3,M50:EA50))</f>
        <v>0</v>
      </c>
      <c r="L50" s="9"/>
      <c r="O50" s="10"/>
      <c r="P50" s="10"/>
      <c r="Q50" s="10"/>
      <c r="R50" s="10"/>
      <c r="V50" s="10"/>
      <c r="W50" s="10"/>
      <c r="X50" s="10"/>
      <c r="Y50" s="10"/>
      <c r="AC50" s="10"/>
      <c r="AD50" s="10"/>
      <c r="AE50" s="10"/>
      <c r="AF50" s="10"/>
      <c r="AJ50" s="10"/>
      <c r="AK50" s="10"/>
      <c r="AL50" s="10"/>
      <c r="AM50" s="10"/>
      <c r="AQ50" s="10"/>
      <c r="AR50" s="10"/>
      <c r="AS50" s="10"/>
      <c r="AT50" s="10"/>
      <c r="AX50" s="10"/>
      <c r="AY50" s="10"/>
      <c r="AZ50" s="10"/>
      <c r="BA50" s="10"/>
      <c r="BE50" s="10"/>
      <c r="BF50" s="10"/>
      <c r="BG50" s="10"/>
      <c r="BH50" s="10"/>
      <c r="BL50" s="10"/>
      <c r="BM50" s="22">
        <v>0.5</v>
      </c>
      <c r="BN50" s="10"/>
      <c r="BO50" s="22">
        <v>0.5</v>
      </c>
      <c r="BS50" s="10"/>
      <c r="BT50" s="10">
        <v>0.5</v>
      </c>
      <c r="BU50" s="10"/>
      <c r="BV50" s="10">
        <v>0.5</v>
      </c>
      <c r="BZ50" s="10"/>
      <c r="CA50" s="10">
        <v>0.5</v>
      </c>
      <c r="CB50" s="10"/>
      <c r="CC50" s="10">
        <v>0.5</v>
      </c>
      <c r="CG50" s="10"/>
      <c r="CH50" s="10">
        <v>0.5</v>
      </c>
      <c r="CI50" s="10"/>
      <c r="CJ50" s="10">
        <v>0.5</v>
      </c>
      <c r="CN50" s="10"/>
      <c r="CO50" s="10">
        <v>0.8</v>
      </c>
      <c r="CP50" s="10"/>
      <c r="CQ50" s="10">
        <v>0.8</v>
      </c>
      <c r="CU50" s="10"/>
      <c r="CV50" s="10">
        <v>0.8</v>
      </c>
      <c r="CW50" s="10"/>
      <c r="CX50" s="10">
        <v>0.8</v>
      </c>
      <c r="DB50" s="10"/>
      <c r="DC50" s="10">
        <v>0.8</v>
      </c>
      <c r="DD50" s="10"/>
      <c r="DE50" s="10">
        <v>0.8</v>
      </c>
      <c r="DI50" s="10"/>
      <c r="DJ50" s="10">
        <v>0.8</v>
      </c>
      <c r="DK50" s="10"/>
      <c r="DL50" s="10">
        <v>0.8</v>
      </c>
      <c r="DP50" s="10"/>
      <c r="DQ50" s="10">
        <v>1</v>
      </c>
      <c r="DR50" s="10"/>
      <c r="DS50" s="10">
        <v>1</v>
      </c>
      <c r="DW50" s="10"/>
      <c r="DX50" s="10">
        <v>1</v>
      </c>
      <c r="DY50" s="10"/>
      <c r="DZ50" s="10">
        <v>1</v>
      </c>
      <c r="ED50" s="10"/>
      <c r="EE50" s="10"/>
      <c r="EF50" s="10"/>
      <c r="EG50" s="10"/>
      <c r="EK50" s="10"/>
      <c r="EL50" s="10"/>
      <c r="EM50" s="10"/>
      <c r="EN50" s="10"/>
      <c r="ER50" s="10"/>
      <c r="ES50" s="10"/>
      <c r="ET50" s="10"/>
      <c r="EU50" s="10"/>
      <c r="EY50" s="10"/>
      <c r="EZ50" s="10"/>
      <c r="FA50" s="10"/>
      <c r="FB50" s="10"/>
    </row>
    <row r="51" spans="2:158" outlineLevel="1">
      <c r="B51" t="s">
        <v>28</v>
      </c>
      <c r="C51" t="s">
        <v>91</v>
      </c>
      <c r="E51" s="9"/>
      <c r="F51" t="s">
        <v>100</v>
      </c>
      <c r="G51" s="10">
        <v>0.05</v>
      </c>
      <c r="I51" s="9">
        <f t="shared" si="4"/>
        <v>0</v>
      </c>
      <c r="J51" s="11" cm="1">
        <f t="array" ref="J51">MAX(IF($M$3:$EA$3=$J$3,M51:EA51))</f>
        <v>0</v>
      </c>
      <c r="K51" s="11" cm="1">
        <f t="array" ref="K51">MAX(IF($M$3:$EA$3=$J$3,M51:EA51))</f>
        <v>0</v>
      </c>
      <c r="L51" s="9"/>
      <c r="O51" s="10"/>
      <c r="P51" s="10"/>
      <c r="Q51" s="10"/>
      <c r="R51" s="10"/>
      <c r="V51" s="10"/>
      <c r="W51" s="10"/>
      <c r="X51" s="10"/>
      <c r="Y51" s="10"/>
      <c r="AC51" s="10"/>
      <c r="AD51" s="10"/>
      <c r="AE51" s="10"/>
      <c r="AF51" s="10"/>
      <c r="AJ51" s="10"/>
      <c r="AK51" s="10"/>
      <c r="AL51" s="10"/>
      <c r="AM51" s="10"/>
      <c r="AQ51" s="10"/>
      <c r="AR51" s="10"/>
      <c r="AS51" s="10"/>
      <c r="AT51" s="10"/>
      <c r="AX51" s="10"/>
      <c r="AY51" s="10"/>
      <c r="AZ51" s="10"/>
      <c r="BA51" s="10"/>
      <c r="BE51" s="10"/>
      <c r="BF51" s="10"/>
      <c r="BG51" s="10"/>
      <c r="BH51" s="10"/>
      <c r="BL51" s="10"/>
      <c r="BM51" s="10"/>
      <c r="BN51" s="10"/>
      <c r="BO51" s="10"/>
      <c r="BS51" s="10"/>
      <c r="BT51" s="22">
        <v>0.5</v>
      </c>
      <c r="BU51" s="22"/>
      <c r="BV51" s="22">
        <v>0.5</v>
      </c>
      <c r="BZ51" s="10"/>
      <c r="CA51" s="10">
        <v>0.5</v>
      </c>
      <c r="CB51" s="10"/>
      <c r="CC51" s="10">
        <v>0.5</v>
      </c>
      <c r="CG51" s="10"/>
      <c r="CH51" s="10">
        <v>0.5</v>
      </c>
      <c r="CI51" s="10"/>
      <c r="CJ51" s="10">
        <v>0.5</v>
      </c>
      <c r="CN51" s="10"/>
      <c r="CO51" s="10">
        <v>0.5</v>
      </c>
      <c r="CP51" s="10"/>
      <c r="CQ51" s="10">
        <v>0.5</v>
      </c>
      <c r="CU51" s="10"/>
      <c r="CV51" s="10">
        <v>0.8</v>
      </c>
      <c r="CW51" s="10"/>
      <c r="CX51" s="10">
        <v>0.8</v>
      </c>
      <c r="DB51" s="10"/>
      <c r="DC51" s="10">
        <v>0.8</v>
      </c>
      <c r="DD51" s="10"/>
      <c r="DE51" s="10">
        <v>0.8</v>
      </c>
      <c r="DI51" s="10"/>
      <c r="DJ51" s="10">
        <v>0.8</v>
      </c>
      <c r="DK51" s="10"/>
      <c r="DL51" s="10">
        <v>0.8</v>
      </c>
      <c r="DP51" s="10"/>
      <c r="DQ51" s="10">
        <v>1</v>
      </c>
      <c r="DR51" s="10"/>
      <c r="DS51" s="10">
        <v>1</v>
      </c>
      <c r="DW51" s="10"/>
      <c r="DX51" s="10">
        <v>1</v>
      </c>
      <c r="DY51" s="10"/>
      <c r="DZ51" s="10">
        <v>1</v>
      </c>
      <c r="ED51" s="10"/>
      <c r="EE51" s="10"/>
      <c r="EF51" s="10"/>
      <c r="EG51" s="10"/>
      <c r="EK51" s="10"/>
      <c r="EL51" s="10"/>
      <c r="EM51" s="10"/>
      <c r="EN51" s="10"/>
      <c r="ER51" s="10"/>
      <c r="ES51" s="10"/>
      <c r="ET51" s="10"/>
      <c r="EU51" s="10"/>
      <c r="EY51" s="10"/>
      <c r="EZ51" s="10"/>
      <c r="FA51" s="10"/>
      <c r="FB51" s="10"/>
    </row>
    <row r="52" spans="2:158" outlineLevel="1">
      <c r="B52" t="s">
        <v>28</v>
      </c>
      <c r="C52" t="s">
        <v>91</v>
      </c>
      <c r="E52" s="9"/>
      <c r="F52" t="s">
        <v>144</v>
      </c>
      <c r="G52" s="10">
        <v>0.1</v>
      </c>
      <c r="I52" s="9">
        <f t="shared" si="4"/>
        <v>0</v>
      </c>
      <c r="J52" s="11" cm="1">
        <f t="array" ref="J52">MAX(IF($M$3:$EA$3=$J$3,M52:EA52))</f>
        <v>0</v>
      </c>
      <c r="K52" s="11" cm="1">
        <f t="array" ref="K52">MAX(IF($M$3:$EA$3=$J$3,M52:EA52))</f>
        <v>0</v>
      </c>
      <c r="L52" s="9"/>
      <c r="O52" s="10"/>
      <c r="P52" s="10"/>
      <c r="Q52" s="10"/>
      <c r="R52" s="10"/>
      <c r="V52" s="10"/>
      <c r="W52" s="10"/>
      <c r="X52" s="10"/>
      <c r="Y52" s="10"/>
      <c r="AC52" s="10"/>
      <c r="AD52" s="10"/>
      <c r="AE52" s="10"/>
      <c r="AF52" s="10"/>
      <c r="AJ52" s="10"/>
      <c r="AK52" s="10"/>
      <c r="AL52" s="10"/>
      <c r="AM52" s="10"/>
      <c r="AQ52" s="10"/>
      <c r="AR52" s="10"/>
      <c r="AS52" s="10"/>
      <c r="AT52" s="10"/>
      <c r="AX52" s="10"/>
      <c r="AY52" s="10"/>
      <c r="AZ52" s="10"/>
      <c r="BA52" s="10"/>
      <c r="BE52" s="10"/>
      <c r="BF52" s="10"/>
      <c r="BG52" s="10"/>
      <c r="BH52" s="10"/>
      <c r="BL52" s="10"/>
      <c r="BM52" s="10"/>
      <c r="BN52" s="10"/>
      <c r="BO52" s="10"/>
      <c r="BS52" s="10"/>
      <c r="BT52" s="10"/>
      <c r="BU52" s="10"/>
      <c r="BV52" s="10"/>
      <c r="BZ52" s="10"/>
      <c r="CA52" s="10">
        <v>0.5</v>
      </c>
      <c r="CB52" s="10"/>
      <c r="CC52" s="10">
        <v>0.5</v>
      </c>
      <c r="CG52" s="10"/>
      <c r="CH52" s="10">
        <v>0.5</v>
      </c>
      <c r="CI52" s="10"/>
      <c r="CJ52" s="10">
        <v>0.5</v>
      </c>
      <c r="CN52" s="10"/>
      <c r="CO52" s="10">
        <v>0.5</v>
      </c>
      <c r="CP52" s="10"/>
      <c r="CQ52" s="10">
        <v>0.5</v>
      </c>
      <c r="CU52" s="10"/>
      <c r="CV52" s="10">
        <v>0.5</v>
      </c>
      <c r="CW52" s="10"/>
      <c r="CX52" s="10">
        <v>0.5</v>
      </c>
      <c r="DB52" s="10"/>
      <c r="DC52" s="10">
        <v>0.8</v>
      </c>
      <c r="DD52" s="10"/>
      <c r="DE52" s="10">
        <v>0.8</v>
      </c>
      <c r="DI52" s="10"/>
      <c r="DJ52" s="10">
        <v>0.8</v>
      </c>
      <c r="DK52" s="10"/>
      <c r="DL52" s="10">
        <v>0.8</v>
      </c>
      <c r="DP52" s="10"/>
      <c r="DQ52" s="10">
        <v>0.8</v>
      </c>
      <c r="DR52" s="10"/>
      <c r="DS52" s="10">
        <v>0.8</v>
      </c>
      <c r="DW52" s="10"/>
      <c r="DX52" s="10">
        <v>1</v>
      </c>
      <c r="DY52" s="10"/>
      <c r="DZ52" s="10">
        <v>1</v>
      </c>
      <c r="ED52" s="10"/>
      <c r="EE52" s="10"/>
      <c r="EF52" s="10"/>
      <c r="EG52" s="10"/>
      <c r="EK52" s="10"/>
      <c r="EL52" s="10"/>
      <c r="EM52" s="10"/>
      <c r="EN52" s="10"/>
      <c r="ER52" s="10"/>
      <c r="ES52" s="10"/>
      <c r="ET52" s="10"/>
      <c r="EU52" s="10"/>
      <c r="EY52" s="10"/>
      <c r="EZ52" s="10"/>
      <c r="FA52" s="10"/>
      <c r="FB52" s="10"/>
    </row>
  </sheetData>
  <mergeCells count="22">
    <mergeCell ref="I2:L2"/>
    <mergeCell ref="AW2:BB2"/>
    <mergeCell ref="N2:S2"/>
    <mergeCell ref="U2:Z2"/>
    <mergeCell ref="AB2:AG2"/>
    <mergeCell ref="AI2:AN2"/>
    <mergeCell ref="AP2:AU2"/>
    <mergeCell ref="CM2:CR2"/>
    <mergeCell ref="CT2:CY2"/>
    <mergeCell ref="BD2:BI2"/>
    <mergeCell ref="BK2:BP2"/>
    <mergeCell ref="BR2:BW2"/>
    <mergeCell ref="BY2:CD2"/>
    <mergeCell ref="CF2:CK2"/>
    <mergeCell ref="EJ2:EO2"/>
    <mergeCell ref="EQ2:EV2"/>
    <mergeCell ref="EX2:FC2"/>
    <mergeCell ref="DA2:DF2"/>
    <mergeCell ref="DH2:DM2"/>
    <mergeCell ref="DO2:DT2"/>
    <mergeCell ref="DV2:EA2"/>
    <mergeCell ref="EC2:EH2"/>
  </mergeCells>
  <conditionalFormatting sqref="J5:J12">
    <cfRule type="colorScale" priority="792">
      <colorScale>
        <cfvo type="percent" val="0"/>
        <cfvo type="percent" val="100"/>
        <color rgb="FFFF231B"/>
        <color rgb="FF10FF07"/>
      </colorScale>
    </cfRule>
  </conditionalFormatting>
  <conditionalFormatting sqref="J15">
    <cfRule type="colorScale" priority="340">
      <colorScale>
        <cfvo type="percent" val="0"/>
        <cfvo type="percent" val="100"/>
        <color rgb="FFFF231B"/>
        <color rgb="FF10FF07"/>
      </colorScale>
    </cfRule>
  </conditionalFormatting>
  <conditionalFormatting sqref="J16">
    <cfRule type="colorScale" priority="321">
      <colorScale>
        <cfvo type="percent" val="0"/>
        <cfvo type="percent" val="100"/>
        <color rgb="FFFF231B"/>
        <color rgb="FF10FF07"/>
      </colorScale>
    </cfRule>
  </conditionalFormatting>
  <conditionalFormatting sqref="J17:J23">
    <cfRule type="colorScale" priority="1718">
      <colorScale>
        <cfvo type="percent" val="0"/>
        <cfvo type="percent" val="100"/>
        <color rgb="FFFF231B"/>
        <color rgb="FF10FF07"/>
      </colorScale>
    </cfRule>
  </conditionalFormatting>
  <conditionalFormatting sqref="J26:J31">
    <cfRule type="colorScale" priority="1364">
      <colorScale>
        <cfvo type="percent" val="0"/>
        <cfvo type="percent" val="100"/>
        <color rgb="FFFF231B"/>
        <color rgb="FF10FF07"/>
      </colorScale>
    </cfRule>
  </conditionalFormatting>
  <conditionalFormatting sqref="J34:J40">
    <cfRule type="colorScale" priority="885">
      <colorScale>
        <cfvo type="percent" val="0"/>
        <cfvo type="percent" val="100"/>
        <color rgb="FFFF231B"/>
        <color rgb="FF10FF07"/>
      </colorScale>
    </cfRule>
  </conditionalFormatting>
  <conditionalFormatting sqref="J6:K7">
    <cfRule type="colorScale" priority="195">
      <colorScale>
        <cfvo type="percent" val="0"/>
        <cfvo type="percent" val="100"/>
        <color rgb="FFFF231B"/>
        <color rgb="FF10FF07"/>
      </colorScale>
    </cfRule>
  </conditionalFormatting>
  <conditionalFormatting sqref="J8:K12">
    <cfRule type="colorScale" priority="763">
      <colorScale>
        <cfvo type="percent" val="0"/>
        <cfvo type="percent" val="100"/>
        <color rgb="FFFF231B"/>
        <color rgb="FF10FF07"/>
      </colorScale>
    </cfRule>
  </conditionalFormatting>
  <conditionalFormatting sqref="J15:K15">
    <cfRule type="colorScale" priority="341">
      <colorScale>
        <cfvo type="percent" val="0"/>
        <cfvo type="percent" val="100"/>
        <color rgb="FFFF231B"/>
        <color rgb="FF10FF07"/>
      </colorScale>
    </cfRule>
  </conditionalFormatting>
  <conditionalFormatting sqref="J16:K16">
    <cfRule type="colorScale" priority="322">
      <colorScale>
        <cfvo type="percent" val="0"/>
        <cfvo type="percent" val="100"/>
        <color rgb="FFFF231B"/>
        <color rgb="FF10FF07"/>
      </colorScale>
    </cfRule>
  </conditionalFormatting>
  <conditionalFormatting sqref="J17:K23">
    <cfRule type="colorScale" priority="1720">
      <colorScale>
        <cfvo type="percent" val="0"/>
        <cfvo type="percent" val="100"/>
        <color rgb="FFFF231B"/>
        <color rgb="FF10FF07"/>
      </colorScale>
    </cfRule>
  </conditionalFormatting>
  <conditionalFormatting sqref="J27:K31">
    <cfRule type="colorScale" priority="1365">
      <colorScale>
        <cfvo type="percent" val="0"/>
        <cfvo type="percent" val="100"/>
        <color rgb="FFFF231B"/>
        <color rgb="FF10FF07"/>
      </colorScale>
    </cfRule>
  </conditionalFormatting>
  <conditionalFormatting sqref="J35:K40">
    <cfRule type="colorScale" priority="883">
      <colorScale>
        <cfvo type="percent" val="0"/>
        <cfvo type="percent" val="100"/>
        <color rgb="FFFF231B"/>
        <color rgb="FF10FF07"/>
      </colorScale>
    </cfRule>
  </conditionalFormatting>
  <conditionalFormatting sqref="K5:K12">
    <cfRule type="colorScale" priority="793">
      <colorScale>
        <cfvo type="percent" val="0"/>
        <cfvo type="percent" val="100"/>
        <color rgb="FFFF231B"/>
        <color rgb="FF10FF07"/>
      </colorScale>
    </cfRule>
  </conditionalFormatting>
  <conditionalFormatting sqref="K15">
    <cfRule type="colorScale" priority="339">
      <colorScale>
        <cfvo type="percent" val="0"/>
        <cfvo type="percent" val="100"/>
        <color rgb="FFFF231B"/>
        <color rgb="FF10FF07"/>
      </colorScale>
    </cfRule>
  </conditionalFormatting>
  <conditionalFormatting sqref="K16">
    <cfRule type="colorScale" priority="320">
      <colorScale>
        <cfvo type="percent" val="0"/>
        <cfvo type="percent" val="100"/>
        <color rgb="FFFF231B"/>
        <color rgb="FF10FF07"/>
      </colorScale>
    </cfRule>
  </conditionalFormatting>
  <conditionalFormatting sqref="K17:K23">
    <cfRule type="colorScale" priority="1722">
      <colorScale>
        <cfvo type="percent" val="0"/>
        <cfvo type="percent" val="100"/>
        <color rgb="FFFF231B"/>
        <color rgb="FF10FF07"/>
      </colorScale>
    </cfRule>
  </conditionalFormatting>
  <conditionalFormatting sqref="K26:K31">
    <cfRule type="colorScale" priority="1366">
      <colorScale>
        <cfvo type="percent" val="0"/>
        <cfvo type="percent" val="100"/>
        <color rgb="FFFF231B"/>
        <color rgb="FF10FF07"/>
      </colorScale>
    </cfRule>
  </conditionalFormatting>
  <conditionalFormatting sqref="K34:K40">
    <cfRule type="colorScale" priority="887">
      <colorScale>
        <cfvo type="percent" val="0"/>
        <cfvo type="percent" val="100"/>
        <color rgb="FFFF231B"/>
        <color rgb="FF10FF07"/>
      </colorScale>
    </cfRule>
  </conditionalFormatting>
  <conditionalFormatting sqref="O5:O12 Q5:Q12 V5:V12 X5:X12 AC5:AC12 AE5:AE12 AJ5:AJ12 AQ5:AQ12 BE5:BE12 O15:O23 Q15:Q23 V15:V23 X15:X23 AC15:AC23 AE15:AE23 AJ15:AJ23 AQ15:AQ23 BE15:BE23 BL15:BL23 BS15:BS23 BZ15:BZ23 CG15:CG23 CN15:CN23 CU15:CU23 O26:O31 Q26:Q31 V26:V31 X26:X31 AC26:AC31 AE26:AE31 AJ26:AJ31 AL26:AL31 AQ26:AQ31 BE26:BE31 BL26:BL31 BS26:BS31 BZ26:BZ31 CG26:CG31 CN26:CN31 CU26:CU31 O43:O52 Q43:Q52 V43:V52 X43:X52 AC43:AC52 AE43:AE52 AJ43:AJ52 AQ43:AQ52 BE43:BE52 BL43:BL52 BS43:BS52 BZ43:BZ52 CG43:CG52 CN43:CN52 CU43:CU52 DB43:DB52 DI43:DI52 DP43:DP52 DW43:DW52 DY43:DY52 ED43:ED52 EF43:EF52 EK43:EK52 EM43:EM52 ER43:ER52 ET43:ET52 EY43:EY52 FA43:FA52 AL5:AL12 AL15:AL23 AL43:AL52 AS26:AS31 AS5:AS12 AS15:AS23 AS43:AS52 AX5:AX12 AX15:AX23 AX26:AX31 AX43:AX52 AZ26:AZ31 AZ5:AZ12 AZ15:AZ23 AZ43:AZ52 BG26:BG31 BG5:BG12 BG15:BG23 BG43:BG52 BN26:BN31 BN5:BN12 BN15:BN23 BN43:BN52 BU15:BU23 BU26:BU31 BU43:BU52 CB15:CB23 CB26:CB31 CB43:CB52 CI15:CI23 CI26:CI31 CI43:CI52 CP15:CP23 CP26:CP31 CP43:CP52 CW15:CW23 CW26:CW31 CW43:CW52 DD15:DD23 DD26:DD31 DD43:DD52 DK15:DK23 DK26:DK31 DK43:DK52 DR15:DR23 DR26:DR31 DR43:DR52">
    <cfRule type="expression" dxfId="231" priority="760">
      <formula>OR(IF(O5&lt;P5,TRUE),IF(AND(P5="",O5&lt;&gt;""),TRUE))</formula>
    </cfRule>
    <cfRule type="expression" dxfId="230" priority="761">
      <formula>IF(O5&gt;=P5,IF(O5="",FALSE,TRUE))</formula>
    </cfRule>
  </conditionalFormatting>
  <conditionalFormatting sqref="O34:O40">
    <cfRule type="expression" dxfId="229" priority="480">
      <formula>OR(IF(O34&lt;P34,TRUE),IF(AND(P34="",O34&lt;&gt;""),TRUE))</formula>
    </cfRule>
    <cfRule type="expression" dxfId="228" priority="481">
      <formula>IF(O34&gt;=P34,IF(O34="",FALSE,TRUE))</formula>
    </cfRule>
  </conditionalFormatting>
  <conditionalFormatting sqref="Q36:Q40">
    <cfRule type="expression" dxfId="227" priority="478">
      <formula>OR(IF(Q36&lt;R36,TRUE),IF(AND(R36="",Q36&lt;&gt;""),TRUE))</formula>
    </cfRule>
    <cfRule type="expression" dxfId="226" priority="479">
      <formula>IF(Q36&gt;=R36,IF(Q36="",FALSE,TRUE))</formula>
    </cfRule>
  </conditionalFormatting>
  <conditionalFormatting sqref="V34:V40">
    <cfRule type="expression" dxfId="225" priority="472">
      <formula>OR(IF(V34&lt;W34,TRUE),IF(AND(W34="",V34&lt;&gt;""),TRUE))</formula>
    </cfRule>
    <cfRule type="expression" dxfId="224" priority="473">
      <formula>IF(V34&gt;=W34,IF(V34="",FALSE,TRUE))</formula>
    </cfRule>
  </conditionalFormatting>
  <conditionalFormatting sqref="X34:X40">
    <cfRule type="expression" dxfId="223" priority="470">
      <formula>OR(IF(X34&lt;Y34,TRUE),IF(AND(Y34="",X34&lt;&gt;""),TRUE))</formula>
    </cfRule>
    <cfRule type="expression" dxfId="222" priority="471">
      <formula>IF(X34&gt;=Y34,IF(X34="",FALSE,TRUE))</formula>
    </cfRule>
  </conditionalFormatting>
  <conditionalFormatting sqref="AC34:AC40">
    <cfRule type="expression" dxfId="221" priority="464">
      <formula>OR(IF(AC34&lt;AD34,TRUE),IF(AND(AD34="",AC34&lt;&gt;""),TRUE))</formula>
    </cfRule>
    <cfRule type="expression" dxfId="220" priority="465">
      <formula>IF(AC34&gt;=AD34,IF(AC34="",FALSE,TRUE))</formula>
    </cfRule>
  </conditionalFormatting>
  <conditionalFormatting sqref="AE34:AE40">
    <cfRule type="expression" dxfId="219" priority="462">
      <formula>OR(IF(AE34&lt;AF34,TRUE),IF(AND(AF34="",AE34&lt;&gt;""),TRUE))</formula>
    </cfRule>
    <cfRule type="expression" dxfId="218" priority="463">
      <formula>IF(AE34&gt;=AF34,IF(AE34="",FALSE,TRUE))</formula>
    </cfRule>
  </conditionalFormatting>
  <conditionalFormatting sqref="AJ34:AJ40">
    <cfRule type="expression" dxfId="217" priority="456">
      <formula>OR(IF(AJ34&lt;AK34,TRUE),IF(AND(AK34="",AJ34&lt;&gt;""),TRUE))</formula>
    </cfRule>
    <cfRule type="expression" dxfId="216" priority="457">
      <formula>IF(AJ34&gt;=AK34,IF(AJ34="",FALSE,TRUE))</formula>
    </cfRule>
  </conditionalFormatting>
  <conditionalFormatting sqref="AL34:AL40">
    <cfRule type="expression" dxfId="215" priority="454">
      <formula>OR(IF(AL34&lt;AM34,TRUE),IF(AND(AM34="",AL34&lt;&gt;""),TRUE))</formula>
    </cfRule>
    <cfRule type="expression" dxfId="214" priority="455">
      <formula>IF(AL34&gt;=AM34,IF(AL34="",FALSE,TRUE))</formula>
    </cfRule>
  </conditionalFormatting>
  <conditionalFormatting sqref="AQ34:AQ40">
    <cfRule type="expression" dxfId="213" priority="448">
      <formula>OR(IF(AQ34&lt;AR34,TRUE),IF(AND(AR34="",AQ34&lt;&gt;""),TRUE))</formula>
    </cfRule>
    <cfRule type="expression" dxfId="212" priority="449">
      <formula>IF(AQ34&gt;=AR34,IF(AQ34="",FALSE,TRUE))</formula>
    </cfRule>
  </conditionalFormatting>
  <conditionalFormatting sqref="AU43:AU45">
    <cfRule type="expression" dxfId="209" priority="75">
      <formula>OR(IF(AU43&lt;AV43,TRUE),IF(AND(AV43="",AU43&lt;&gt;""),TRUE))</formula>
    </cfRule>
    <cfRule type="expression" dxfId="208" priority="76">
      <formula>IF(AU43&gt;=AV43,IF(AU43="",FALSE,TRUE))</formula>
    </cfRule>
  </conditionalFormatting>
  <conditionalFormatting sqref="BE34:BE40">
    <cfRule type="expression" dxfId="203" priority="429">
      <formula>OR(IF(BE34&lt;BF34,TRUE),IF(AND(BF34="",BE34&lt;&gt;""),TRUE))</formula>
    </cfRule>
    <cfRule type="expression" dxfId="202" priority="430">
      <formula>IF(BE34&gt;=BF34,IF(BE34="",FALSE,TRUE))</formula>
    </cfRule>
  </conditionalFormatting>
  <conditionalFormatting sqref="BL5:BL12">
    <cfRule type="expression" dxfId="199" priority="316">
      <formula>OR(IF(BL5&lt;BM5,TRUE),IF(AND(BM5="",BL5&lt;&gt;""),TRUE))</formula>
    </cfRule>
    <cfRule type="expression" dxfId="198" priority="317">
      <formula>IF(BL5&gt;=BM5,IF(BL5="",FALSE,TRUE))</formula>
    </cfRule>
  </conditionalFormatting>
  <conditionalFormatting sqref="BL34:BL40">
    <cfRule type="expression" dxfId="197" priority="304">
      <formula>OR(IF(BL34&lt;BM34,TRUE),IF(AND(BM34="",BL34&lt;&gt;""),TRUE))</formula>
    </cfRule>
    <cfRule type="expression" dxfId="196" priority="305">
      <formula>IF(BL34&gt;=BM34,IF(BL34="",FALSE,TRUE))</formula>
    </cfRule>
  </conditionalFormatting>
  <conditionalFormatting sqref="BS5:BS12">
    <cfRule type="expression" dxfId="193" priority="296">
      <formula>OR(IF(BS5&lt;BT5,TRUE),IF(AND(BT5="",BS5&lt;&gt;""),TRUE))</formula>
    </cfRule>
    <cfRule type="expression" dxfId="192" priority="297">
      <formula>IF(BS5&gt;=BT5,IF(BS5="",FALSE,TRUE))</formula>
    </cfRule>
  </conditionalFormatting>
  <conditionalFormatting sqref="BS34:BS40">
    <cfRule type="expression" dxfId="191" priority="284">
      <formula>OR(IF(BS34&lt;BT34,TRUE),IF(AND(BT34="",BS34&lt;&gt;""),TRUE))</formula>
    </cfRule>
    <cfRule type="expression" dxfId="190" priority="285">
      <formula>IF(BS34&gt;=BT34,IF(BS34="",FALSE,TRUE))</formula>
    </cfRule>
  </conditionalFormatting>
  <conditionalFormatting sqref="BU12">
    <cfRule type="expression" dxfId="189" priority="196">
      <formula>OR(IF(BU12&lt;BV12,TRUE),IF(AND(BV12="",BU12&lt;&gt;""),TRUE))</formula>
    </cfRule>
    <cfRule type="expression" dxfId="188" priority="197">
      <formula>IF(BU12&gt;=BV12,IF(BU12="",FALSE,TRUE))</formula>
    </cfRule>
  </conditionalFormatting>
  <conditionalFormatting sqref="BU38:BU40">
    <cfRule type="expression" dxfId="187" priority="282">
      <formula>OR(IF(BU38&lt;BV38,TRUE),IF(AND(BV38="",BU38&lt;&gt;""),TRUE))</formula>
    </cfRule>
    <cfRule type="expression" dxfId="186" priority="283">
      <formula>IF(BU38&gt;=BV38,IF(BU38="",FALSE,TRUE))</formula>
    </cfRule>
  </conditionalFormatting>
  <conditionalFormatting sqref="BZ5:BZ12">
    <cfRule type="expression" dxfId="185" priority="276">
      <formula>OR(IF(BZ5&lt;CA5,TRUE),IF(AND(CA5="",BZ5&lt;&gt;""),TRUE))</formula>
    </cfRule>
    <cfRule type="expression" dxfId="184" priority="277">
      <formula>IF(BZ5&gt;=CA5,IF(BZ5="",FALSE,TRUE))</formula>
    </cfRule>
  </conditionalFormatting>
  <conditionalFormatting sqref="BZ34:BZ40">
    <cfRule type="expression" dxfId="183" priority="264">
      <formula>OR(IF(BZ34&lt;CA34,TRUE),IF(AND(CA34="",BZ34&lt;&gt;""),TRUE))</formula>
    </cfRule>
    <cfRule type="expression" dxfId="182" priority="265">
      <formula>IF(BZ34&gt;=CA34,IF(BZ34="",FALSE,TRUE))</formula>
    </cfRule>
  </conditionalFormatting>
  <conditionalFormatting sqref="CG5:CG12">
    <cfRule type="expression" dxfId="179" priority="256">
      <formula>OR(IF(CG5&lt;CH5,TRUE),IF(AND(CH5="",CG5&lt;&gt;""),TRUE))</formula>
    </cfRule>
    <cfRule type="expression" dxfId="178" priority="257">
      <formula>IF(CG5&gt;=CH5,IF(CG5="",FALSE,TRUE))</formula>
    </cfRule>
  </conditionalFormatting>
  <conditionalFormatting sqref="CG34:CG40">
    <cfRule type="expression" dxfId="177" priority="244">
      <formula>OR(IF(CG34&lt;CH34,TRUE),IF(AND(CH34="",CG34&lt;&gt;""),TRUE))</formula>
    </cfRule>
    <cfRule type="expression" dxfId="176" priority="245">
      <formula>IF(CG34&gt;=CH34,IF(CG34="",FALSE,TRUE))</formula>
    </cfRule>
  </conditionalFormatting>
  <conditionalFormatting sqref="CN5:CN12">
    <cfRule type="expression" dxfId="173" priority="236">
      <formula>OR(IF(CN5&lt;CO5,TRUE),IF(AND(CO5="",CN5&lt;&gt;""),TRUE))</formula>
    </cfRule>
    <cfRule type="expression" dxfId="172" priority="237">
      <formula>IF(CN5&gt;=CO5,IF(CN5="",FALSE,TRUE))</formula>
    </cfRule>
  </conditionalFormatting>
  <conditionalFormatting sqref="CN34:CN40">
    <cfRule type="expression" dxfId="171" priority="224">
      <formula>OR(IF(CN34&lt;CO34,TRUE),IF(AND(CO34="",CN34&lt;&gt;""),TRUE))</formula>
    </cfRule>
    <cfRule type="expression" dxfId="170" priority="225">
      <formula>IF(CN34&gt;=CO34,IF(CN34="",FALSE,TRUE))</formula>
    </cfRule>
  </conditionalFormatting>
  <conditionalFormatting sqref="CU5:CU12">
    <cfRule type="expression" dxfId="167" priority="216">
      <formula>OR(IF(CU5&lt;CV5,TRUE),IF(AND(CV5="",CU5&lt;&gt;""),TRUE))</formula>
    </cfRule>
    <cfRule type="expression" dxfId="166" priority="217">
      <formula>IF(CU5&gt;=CV5,IF(CU5="",FALSE,TRUE))</formula>
    </cfRule>
  </conditionalFormatting>
  <conditionalFormatting sqref="CU34:CU40">
    <cfRule type="expression" dxfId="165" priority="204">
      <formula>OR(IF(CU34&lt;CV34,TRUE),IF(AND(CV34="",CU34&lt;&gt;""),TRUE))</formula>
    </cfRule>
    <cfRule type="expression" dxfId="164" priority="205">
      <formula>IF(CU34&gt;=CV34,IF(CU34="",FALSE,TRUE))</formula>
    </cfRule>
  </conditionalFormatting>
  <conditionalFormatting sqref="DB5:DB12">
    <cfRule type="expression" dxfId="161" priority="185">
      <formula>OR(IF(DB5&lt;DC5,TRUE),IF(AND(DC5="",DB5&lt;&gt;""),TRUE))</formula>
    </cfRule>
    <cfRule type="expression" dxfId="160" priority="186">
      <formula>IF(DB5&gt;=DC5,IF(DB5="",FALSE,TRUE))</formula>
    </cfRule>
  </conditionalFormatting>
  <conditionalFormatting sqref="DB15:DB23 DB26:DB31">
    <cfRule type="expression" dxfId="159" priority="187">
      <formula>OR(IF(DB15&lt;DC15,TRUE),IF(AND(DC15="",DB15&lt;&gt;""),TRUE))</formula>
    </cfRule>
    <cfRule type="expression" dxfId="158" priority="188">
      <formula>IF(DB15&gt;=DC15,IF(DB15="",FALSE,TRUE))</formula>
    </cfRule>
  </conditionalFormatting>
  <conditionalFormatting sqref="DB34:DB40">
    <cfRule type="expression" dxfId="157" priority="183">
      <formula>OR(IF(DB34&lt;DC34,TRUE),IF(AND(DC34="",DB34&lt;&gt;""),TRUE))</formula>
    </cfRule>
    <cfRule type="expression" dxfId="156" priority="184">
      <formula>IF(DB34&gt;=DC34,IF(DB34="",FALSE,TRUE))</formula>
    </cfRule>
  </conditionalFormatting>
  <conditionalFormatting sqref="DI5:DI12">
    <cfRule type="expression" dxfId="153" priority="81">
      <formula>OR(IF(DI5&lt;DJ5,TRUE),IF(AND(DJ5="",DI5&lt;&gt;""),TRUE))</formula>
    </cfRule>
    <cfRule type="expression" dxfId="152" priority="82">
      <formula>IF(DI5&gt;=DJ5,IF(DI5="",FALSE,TRUE))</formula>
    </cfRule>
  </conditionalFormatting>
  <conditionalFormatting sqref="DI15:DI23 DI26:DI31">
    <cfRule type="expression" dxfId="151" priority="83">
      <formula>OR(IF(DI15&lt;DJ15,TRUE),IF(AND(DJ15="",DI15&lt;&gt;""),TRUE))</formula>
    </cfRule>
    <cfRule type="expression" dxfId="150" priority="84">
      <formula>IF(DI15&gt;=DJ15,IF(DI15="",FALSE,TRUE))</formula>
    </cfRule>
  </conditionalFormatting>
  <conditionalFormatting sqref="DI34:DI40">
    <cfRule type="expression" dxfId="149" priority="79">
      <formula>OR(IF(DI34&lt;DJ34,TRUE),IF(AND(DJ34="",DI34&lt;&gt;""),TRUE))</formula>
    </cfRule>
    <cfRule type="expression" dxfId="148" priority="80">
      <formula>IF(DI34&gt;=DJ34,IF(DI34="",FALSE,TRUE))</formula>
    </cfRule>
  </conditionalFormatting>
  <conditionalFormatting sqref="DP5:DP12">
    <cfRule type="expression" dxfId="145" priority="169">
      <formula>OR(IF(DP5&lt;DQ5,TRUE),IF(AND(DQ5="",DP5&lt;&gt;""),TRUE))</formula>
    </cfRule>
    <cfRule type="expression" dxfId="144" priority="170">
      <formula>IF(DP5&gt;=DQ5,IF(DP5="",FALSE,TRUE))</formula>
    </cfRule>
  </conditionalFormatting>
  <conditionalFormatting sqref="DP15:DP23 DP26:DP31">
    <cfRule type="expression" dxfId="143" priority="171">
      <formula>OR(IF(DP15&lt;DQ15,TRUE),IF(AND(DQ15="",DP15&lt;&gt;""),TRUE))</formula>
    </cfRule>
    <cfRule type="expression" dxfId="142" priority="172">
      <formula>IF(DP15&gt;=DQ15,IF(DP15="",FALSE,TRUE))</formula>
    </cfRule>
  </conditionalFormatting>
  <conditionalFormatting sqref="DP34:DP40">
    <cfRule type="expression" dxfId="141" priority="167">
      <formula>OR(IF(DP34&lt;DQ34,TRUE),IF(AND(DQ34="",DP34&lt;&gt;""),TRUE))</formula>
    </cfRule>
    <cfRule type="expression" dxfId="140" priority="168">
      <formula>IF(DP34&gt;=DQ34,IF(DP34="",FALSE,TRUE))</formula>
    </cfRule>
  </conditionalFormatting>
  <conditionalFormatting sqref="DW5:DW12 DY5:DY12">
    <cfRule type="expression" dxfId="137" priority="89">
      <formula>OR(IF(DW5&lt;DX5,TRUE),IF(AND(DX5="",DW5&lt;&gt;""),TRUE))</formula>
    </cfRule>
    <cfRule type="expression" dxfId="136" priority="90">
      <formula>IF(DW5&gt;=DX5,IF(DW5="",FALSE,TRUE))</formula>
    </cfRule>
  </conditionalFormatting>
  <conditionalFormatting sqref="DW15:DW23 DY15:DY23 DW26:DW31 DY26:DY31">
    <cfRule type="expression" dxfId="135" priority="91">
      <formula>OR(IF(DW15&lt;DX15,TRUE),IF(AND(DX15="",DW15&lt;&gt;""),TRUE))</formula>
    </cfRule>
    <cfRule type="expression" dxfId="134" priority="92">
      <formula>IF(DW15&gt;=DX15,IF(DW15="",FALSE,TRUE))</formula>
    </cfRule>
  </conditionalFormatting>
  <conditionalFormatting sqref="DW34:DW40">
    <cfRule type="expression" dxfId="133" priority="87">
      <formula>OR(IF(DW34&lt;DX34,TRUE),IF(AND(DX34="",DW34&lt;&gt;""),TRUE))</formula>
    </cfRule>
    <cfRule type="expression" dxfId="132" priority="88">
      <formula>IF(DW34&gt;=DX34,IF(DW34="",FALSE,TRUE))</formula>
    </cfRule>
  </conditionalFormatting>
  <conditionalFormatting sqref="DY34:DY40">
    <cfRule type="expression" dxfId="131" priority="85">
      <formula>OR(IF(DY34&lt;DZ34,TRUE),IF(AND(DZ34="",DY34&lt;&gt;""),TRUE))</formula>
    </cfRule>
    <cfRule type="expression" dxfId="130" priority="86">
      <formula>IF(DY34&gt;=DZ34,IF(DY34="",FALSE,TRUE))</formula>
    </cfRule>
  </conditionalFormatting>
  <conditionalFormatting sqref="ED5:ED12 EF5:EF12">
    <cfRule type="expression" dxfId="129" priority="153">
      <formula>OR(IF(ED5&lt;EE5,TRUE),IF(AND(EE5="",ED5&lt;&gt;""),TRUE))</formula>
    </cfRule>
    <cfRule type="expression" dxfId="128" priority="154">
      <formula>IF(ED5&gt;=EE5,IF(ED5="",FALSE,TRUE))</formula>
    </cfRule>
  </conditionalFormatting>
  <conditionalFormatting sqref="ED15:ED23 EF15:EF23 ED26:ED31 EF26:EF31">
    <cfRule type="expression" dxfId="127" priority="155">
      <formula>OR(IF(ED15&lt;EE15,TRUE),IF(AND(EE15="",ED15&lt;&gt;""),TRUE))</formula>
    </cfRule>
    <cfRule type="expression" dxfId="126" priority="156">
      <formula>IF(ED15&gt;=EE15,IF(ED15="",FALSE,TRUE))</formula>
    </cfRule>
  </conditionalFormatting>
  <conditionalFormatting sqref="ED34:ED40">
    <cfRule type="expression" dxfId="125" priority="151">
      <formula>OR(IF(ED34&lt;EE34,TRUE),IF(AND(EE34="",ED34&lt;&gt;""),TRUE))</formula>
    </cfRule>
    <cfRule type="expression" dxfId="124" priority="152">
      <formula>IF(ED34&gt;=EE34,IF(ED34="",FALSE,TRUE))</formula>
    </cfRule>
  </conditionalFormatting>
  <conditionalFormatting sqref="EF34:EF40">
    <cfRule type="expression" dxfId="123" priority="149">
      <formula>OR(IF(EF34&lt;EG34,TRUE),IF(AND(EG34="",EF34&lt;&gt;""),TRUE))</formula>
    </cfRule>
    <cfRule type="expression" dxfId="122" priority="150">
      <formula>IF(EF34&gt;=EG34,IF(EF34="",FALSE,TRUE))</formula>
    </cfRule>
  </conditionalFormatting>
  <conditionalFormatting sqref="EK5:EK12 EM5:EM12">
    <cfRule type="expression" dxfId="121" priority="145">
      <formula>OR(IF(EK5&lt;EL5,TRUE),IF(AND(EL5="",EK5&lt;&gt;""),TRUE))</formula>
    </cfRule>
    <cfRule type="expression" dxfId="120" priority="146">
      <formula>IF(EK5&gt;=EL5,IF(EK5="",FALSE,TRUE))</formula>
    </cfRule>
  </conditionalFormatting>
  <conditionalFormatting sqref="EK15:EK23 EM15:EM23 EK26:EK31 EM26:EM31">
    <cfRule type="expression" dxfId="119" priority="147">
      <formula>OR(IF(EK15&lt;EL15,TRUE),IF(AND(EL15="",EK15&lt;&gt;""),TRUE))</formula>
    </cfRule>
    <cfRule type="expression" dxfId="118" priority="148">
      <formula>IF(EK15&gt;=EL15,IF(EK15="",FALSE,TRUE))</formula>
    </cfRule>
  </conditionalFormatting>
  <conditionalFormatting sqref="EK34:EK40">
    <cfRule type="expression" dxfId="117" priority="143">
      <formula>OR(IF(EK34&lt;EL34,TRUE),IF(AND(EL34="",EK34&lt;&gt;""),TRUE))</formula>
    </cfRule>
    <cfRule type="expression" dxfId="116" priority="144">
      <formula>IF(EK34&gt;=EL34,IF(EK34="",FALSE,TRUE))</formula>
    </cfRule>
  </conditionalFormatting>
  <conditionalFormatting sqref="EM34:EM40">
    <cfRule type="expression" dxfId="115" priority="141">
      <formula>OR(IF(EM34&lt;EN34,TRUE),IF(AND(EN34="",EM34&lt;&gt;""),TRUE))</formula>
    </cfRule>
    <cfRule type="expression" dxfId="114" priority="142">
      <formula>IF(EM34&gt;=EN34,IF(EM34="",FALSE,TRUE))</formula>
    </cfRule>
  </conditionalFormatting>
  <conditionalFormatting sqref="ER5:ER12 ET5:ET12">
    <cfRule type="expression" dxfId="113" priority="137">
      <formula>OR(IF(ER5&lt;ES5,TRUE),IF(AND(ES5="",ER5&lt;&gt;""),TRUE))</formula>
    </cfRule>
    <cfRule type="expression" dxfId="112" priority="138">
      <formula>IF(ER5&gt;=ES5,IF(ER5="",FALSE,TRUE))</formula>
    </cfRule>
  </conditionalFormatting>
  <conditionalFormatting sqref="ER15:ER23 ET15:ET23 ER26:ER31 ET26:ET31">
    <cfRule type="expression" dxfId="111" priority="139">
      <formula>OR(IF(ER15&lt;ES15,TRUE),IF(AND(ES15="",ER15&lt;&gt;""),TRUE))</formula>
    </cfRule>
    <cfRule type="expression" dxfId="110" priority="140">
      <formula>IF(ER15&gt;=ES15,IF(ER15="",FALSE,TRUE))</formula>
    </cfRule>
  </conditionalFormatting>
  <conditionalFormatting sqref="ER34:ER40">
    <cfRule type="expression" dxfId="109" priority="135">
      <formula>OR(IF(ER34&lt;ES34,TRUE),IF(AND(ES34="",ER34&lt;&gt;""),TRUE))</formula>
    </cfRule>
    <cfRule type="expression" dxfId="108" priority="136">
      <formula>IF(ER34&gt;=ES34,IF(ER34="",FALSE,TRUE))</formula>
    </cfRule>
  </conditionalFormatting>
  <conditionalFormatting sqref="ET34:ET40">
    <cfRule type="expression" dxfId="107" priority="133">
      <formula>OR(IF(ET34&lt;EU34,TRUE),IF(AND(EU34="",ET34&lt;&gt;""),TRUE))</formula>
    </cfRule>
    <cfRule type="expression" dxfId="106" priority="134">
      <formula>IF(ET34&gt;=EU34,IF(ET34="",FALSE,TRUE))</formula>
    </cfRule>
  </conditionalFormatting>
  <conditionalFormatting sqref="EY5:EY12 FA5:FA12">
    <cfRule type="expression" dxfId="105" priority="129">
      <formula>OR(IF(EY5&lt;EZ5,TRUE),IF(AND(EZ5="",EY5&lt;&gt;""),TRUE))</formula>
    </cfRule>
    <cfRule type="expression" dxfId="104" priority="130">
      <formula>IF(EY5&gt;=EZ5,IF(EY5="",FALSE,TRUE))</formula>
    </cfRule>
  </conditionalFormatting>
  <conditionalFormatting sqref="EY15:EY23 FA15:FA23 EY26:EY31 FA26:FA31">
    <cfRule type="expression" dxfId="103" priority="131">
      <formula>OR(IF(EY15&lt;EZ15,TRUE),IF(AND(EZ15="",EY15&lt;&gt;""),TRUE))</formula>
    </cfRule>
    <cfRule type="expression" dxfId="102" priority="132">
      <formula>IF(EY15&gt;=EZ15,IF(EY15="",FALSE,TRUE))</formula>
    </cfRule>
  </conditionalFormatting>
  <conditionalFormatting sqref="EY34:EY40">
    <cfRule type="expression" dxfId="101" priority="127">
      <formula>OR(IF(EY34&lt;EZ34,TRUE),IF(AND(EZ34="",EY34&lt;&gt;""),TRUE))</formula>
    </cfRule>
    <cfRule type="expression" dxfId="100" priority="128">
      <formula>IF(EY34&gt;=EZ34,IF(EY34="",FALSE,TRUE))</formula>
    </cfRule>
  </conditionalFormatting>
  <conditionalFormatting sqref="FA34:FA40">
    <cfRule type="expression" dxfId="99" priority="125">
      <formula>OR(IF(FA34&lt;FB34,TRUE),IF(AND(FB34="",FA34&lt;&gt;""),TRUE))</formula>
    </cfRule>
    <cfRule type="expression" dxfId="98" priority="126">
      <formula>IF(FA34&gt;=FB34,IF(FA34="",FALSE,TRUE))</formula>
    </cfRule>
  </conditionalFormatting>
  <conditionalFormatting sqref="J43:J52">
    <cfRule type="colorScale" priority="1723">
      <colorScale>
        <cfvo type="percent" val="0"/>
        <cfvo type="percent" val="100"/>
        <color rgb="FFFF231B"/>
        <color rgb="FF10FF07"/>
      </colorScale>
    </cfRule>
  </conditionalFormatting>
  <conditionalFormatting sqref="J44:K52">
    <cfRule type="colorScale" priority="1724">
      <colorScale>
        <cfvo type="percent" val="0"/>
        <cfvo type="percent" val="100"/>
        <color rgb="FFFF231B"/>
        <color rgb="FF10FF07"/>
      </colorScale>
    </cfRule>
  </conditionalFormatting>
  <conditionalFormatting sqref="K43:K52">
    <cfRule type="colorScale" priority="1725">
      <colorScale>
        <cfvo type="percent" val="0"/>
        <cfvo type="percent" val="100"/>
        <color rgb="FFFF231B"/>
        <color rgb="FF10FF07"/>
      </colorScale>
    </cfRule>
  </conditionalFormatting>
  <conditionalFormatting sqref="AS34:AS40">
    <cfRule type="expression" dxfId="97" priority="69">
      <formula>OR(IF(AS34&lt;AT34,TRUE),IF(AND(AT34="",AS34&lt;&gt;""),TRUE))</formula>
    </cfRule>
    <cfRule type="expression" dxfId="96" priority="70">
      <formula>IF(AS34&gt;=AT34,IF(AS34="",FALSE,TRUE))</formula>
    </cfRule>
  </conditionalFormatting>
  <conditionalFormatting sqref="AX34:AX40">
    <cfRule type="expression" dxfId="83" priority="67">
      <formula>OR(IF(AX34&lt;AY34,TRUE),IF(AND(AY34="",AX34&lt;&gt;""),TRUE))</formula>
    </cfRule>
    <cfRule type="expression" dxfId="82" priority="68">
      <formula>IF(AX34&gt;=AY34,IF(AX34="",FALSE,TRUE))</formula>
    </cfRule>
  </conditionalFormatting>
  <conditionalFormatting sqref="AZ34:AZ40">
    <cfRule type="expression" dxfId="81" priority="65">
      <formula>OR(IF(AZ34&lt;BA34,TRUE),IF(AND(BA34="",AZ34&lt;&gt;""),TRUE))</formula>
    </cfRule>
    <cfRule type="expression" dxfId="80" priority="66">
      <formula>IF(AZ34&gt;=BA34,IF(AZ34="",FALSE,TRUE))</formula>
    </cfRule>
  </conditionalFormatting>
  <conditionalFormatting sqref="BG34:BG40">
    <cfRule type="expression" dxfId="75" priority="63">
      <formula>OR(IF(BG34&lt;BH34,TRUE),IF(AND(BH34="",BG34&lt;&gt;""),TRUE))</formula>
    </cfRule>
    <cfRule type="expression" dxfId="74" priority="64">
      <formula>IF(BG34&gt;=BH34,IF(BG34="",FALSE,TRUE))</formula>
    </cfRule>
  </conditionalFormatting>
  <conditionalFormatting sqref="BN34:BN40">
    <cfRule type="expression" dxfId="73" priority="61">
      <formula>OR(IF(BN34&lt;BO34,TRUE),IF(AND(BO34="",BN34&lt;&gt;""),TRUE))</formula>
    </cfRule>
    <cfRule type="expression" dxfId="72" priority="62">
      <formula>IF(BN34&gt;=BO34,IF(BN34="",FALSE,TRUE))</formula>
    </cfRule>
  </conditionalFormatting>
  <conditionalFormatting sqref="BU34:BU37">
    <cfRule type="expression" dxfId="71" priority="59">
      <formula>OR(IF(BU34&lt;BV34,TRUE),IF(AND(BV34="",BU34&lt;&gt;""),TRUE))</formula>
    </cfRule>
    <cfRule type="expression" dxfId="70" priority="60">
      <formula>IF(BU34&gt;=BV34,IF(BU34="",FALSE,TRUE))</formula>
    </cfRule>
  </conditionalFormatting>
  <conditionalFormatting sqref="BU5:BU11">
    <cfRule type="expression" dxfId="69" priority="57">
      <formula>OR(IF(BU5&lt;BV5,TRUE),IF(AND(BV5="",BU5&lt;&gt;""),TRUE))</formula>
    </cfRule>
    <cfRule type="expression" dxfId="68" priority="58">
      <formula>IF(BU5&gt;=BV5,IF(BU5="",FALSE,TRUE))</formula>
    </cfRule>
  </conditionalFormatting>
  <conditionalFormatting sqref="CB12">
    <cfRule type="expression" dxfId="67" priority="53">
      <formula>OR(IF(CB12&lt;CC12,TRUE),IF(AND(CC12="",CB12&lt;&gt;""),TRUE))</formula>
    </cfRule>
    <cfRule type="expression" dxfId="66" priority="54">
      <formula>IF(CB12&gt;=CC12,IF(CB12="",FALSE,TRUE))</formula>
    </cfRule>
  </conditionalFormatting>
  <conditionalFormatting sqref="CB38:CB40">
    <cfRule type="expression" dxfId="65" priority="55">
      <formula>OR(IF(CB38&lt;CC38,TRUE),IF(AND(CC38="",CB38&lt;&gt;""),TRUE))</formula>
    </cfRule>
    <cfRule type="expression" dxfId="64" priority="56">
      <formula>IF(CB38&gt;=CC38,IF(CB38="",FALSE,TRUE))</formula>
    </cfRule>
  </conditionalFormatting>
  <conditionalFormatting sqref="CB34:CB37">
    <cfRule type="expression" dxfId="63" priority="51">
      <formula>OR(IF(CB34&lt;CC34,TRUE),IF(AND(CC34="",CB34&lt;&gt;""),TRUE))</formula>
    </cfRule>
    <cfRule type="expression" dxfId="62" priority="52">
      <formula>IF(CB34&gt;=CC34,IF(CB34="",FALSE,TRUE))</formula>
    </cfRule>
  </conditionalFormatting>
  <conditionalFormatting sqref="CB5:CB11">
    <cfRule type="expression" dxfId="61" priority="49">
      <formula>OR(IF(CB5&lt;CC5,TRUE),IF(AND(CC5="",CB5&lt;&gt;""),TRUE))</formula>
    </cfRule>
    <cfRule type="expression" dxfId="60" priority="50">
      <formula>IF(CB5&gt;=CC5,IF(CB5="",FALSE,TRUE))</formula>
    </cfRule>
  </conditionalFormatting>
  <conditionalFormatting sqref="CI12">
    <cfRule type="expression" dxfId="59" priority="45">
      <formula>OR(IF(CI12&lt;CJ12,TRUE),IF(AND(CJ12="",CI12&lt;&gt;""),TRUE))</formula>
    </cfRule>
    <cfRule type="expression" dxfId="58" priority="46">
      <formula>IF(CI12&gt;=CJ12,IF(CI12="",FALSE,TRUE))</formula>
    </cfRule>
  </conditionalFormatting>
  <conditionalFormatting sqref="CI38:CI40">
    <cfRule type="expression" dxfId="57" priority="47">
      <formula>OR(IF(CI38&lt;CJ38,TRUE),IF(AND(CJ38="",CI38&lt;&gt;""),TRUE))</formula>
    </cfRule>
    <cfRule type="expression" dxfId="56" priority="48">
      <formula>IF(CI38&gt;=CJ38,IF(CI38="",FALSE,TRUE))</formula>
    </cfRule>
  </conditionalFormatting>
  <conditionalFormatting sqref="CI34:CI37">
    <cfRule type="expression" dxfId="55" priority="43">
      <formula>OR(IF(CI34&lt;CJ34,TRUE),IF(AND(CJ34="",CI34&lt;&gt;""),TRUE))</formula>
    </cfRule>
    <cfRule type="expression" dxfId="54" priority="44">
      <formula>IF(CI34&gt;=CJ34,IF(CI34="",FALSE,TRUE))</formula>
    </cfRule>
  </conditionalFormatting>
  <conditionalFormatting sqref="CI5:CI11">
    <cfRule type="expression" dxfId="53" priority="41">
      <formula>OR(IF(CI5&lt;CJ5,TRUE),IF(AND(CJ5="",CI5&lt;&gt;""),TRUE))</formula>
    </cfRule>
    <cfRule type="expression" dxfId="52" priority="42">
      <formula>IF(CI5&gt;=CJ5,IF(CI5="",FALSE,TRUE))</formula>
    </cfRule>
  </conditionalFormatting>
  <conditionalFormatting sqref="CP12">
    <cfRule type="expression" dxfId="51" priority="37">
      <formula>OR(IF(CP12&lt;CQ12,TRUE),IF(AND(CQ12="",CP12&lt;&gt;""),TRUE))</formula>
    </cfRule>
    <cfRule type="expression" dxfId="50" priority="38">
      <formula>IF(CP12&gt;=CQ12,IF(CP12="",FALSE,TRUE))</formula>
    </cfRule>
  </conditionalFormatting>
  <conditionalFormatting sqref="CP38:CP40">
    <cfRule type="expression" dxfId="49" priority="39">
      <formula>OR(IF(CP38&lt;CQ38,TRUE),IF(AND(CQ38="",CP38&lt;&gt;""),TRUE))</formula>
    </cfRule>
    <cfRule type="expression" dxfId="48" priority="40">
      <formula>IF(CP38&gt;=CQ38,IF(CP38="",FALSE,TRUE))</formula>
    </cfRule>
  </conditionalFormatting>
  <conditionalFormatting sqref="CP34:CP37">
    <cfRule type="expression" dxfId="47" priority="35">
      <formula>OR(IF(CP34&lt;CQ34,TRUE),IF(AND(CQ34="",CP34&lt;&gt;""),TRUE))</formula>
    </cfRule>
    <cfRule type="expression" dxfId="46" priority="36">
      <formula>IF(CP34&gt;=CQ34,IF(CP34="",FALSE,TRUE))</formula>
    </cfRule>
  </conditionalFormatting>
  <conditionalFormatting sqref="CP5:CP11">
    <cfRule type="expression" dxfId="45" priority="33">
      <formula>OR(IF(CP5&lt;CQ5,TRUE),IF(AND(CQ5="",CP5&lt;&gt;""),TRUE))</formula>
    </cfRule>
    <cfRule type="expression" dxfId="44" priority="34">
      <formula>IF(CP5&gt;=CQ5,IF(CP5="",FALSE,TRUE))</formula>
    </cfRule>
  </conditionalFormatting>
  <conditionalFormatting sqref="CW12">
    <cfRule type="expression" dxfId="31" priority="29">
      <formula>OR(IF(CW12&lt;CX12,TRUE),IF(AND(CX12="",CW12&lt;&gt;""),TRUE))</formula>
    </cfRule>
    <cfRule type="expression" dxfId="30" priority="30">
      <formula>IF(CW12&gt;=CX12,IF(CW12="",FALSE,TRUE))</formula>
    </cfRule>
  </conditionalFormatting>
  <conditionalFormatting sqref="CW38:CW40">
    <cfRule type="expression" dxfId="29" priority="31">
      <formula>OR(IF(CW38&lt;CX38,TRUE),IF(AND(CX38="",CW38&lt;&gt;""),TRUE))</formula>
    </cfRule>
    <cfRule type="expression" dxfId="28" priority="32">
      <formula>IF(CW38&gt;=CX38,IF(CW38="",FALSE,TRUE))</formula>
    </cfRule>
  </conditionalFormatting>
  <conditionalFormatting sqref="CW34:CW37">
    <cfRule type="expression" dxfId="27" priority="27">
      <formula>OR(IF(CW34&lt;CX34,TRUE),IF(AND(CX34="",CW34&lt;&gt;""),TRUE))</formula>
    </cfRule>
    <cfRule type="expression" dxfId="26" priority="28">
      <formula>IF(CW34&gt;=CX34,IF(CW34="",FALSE,TRUE))</formula>
    </cfRule>
  </conditionalFormatting>
  <conditionalFormatting sqref="CW5:CW11">
    <cfRule type="expression" dxfId="25" priority="25">
      <formula>OR(IF(CW5&lt;CX5,TRUE),IF(AND(CX5="",CW5&lt;&gt;""),TRUE))</formula>
    </cfRule>
    <cfRule type="expression" dxfId="24" priority="26">
      <formula>IF(CW5&gt;=CX5,IF(CW5="",FALSE,TRUE))</formula>
    </cfRule>
  </conditionalFormatting>
  <conditionalFormatting sqref="DD12">
    <cfRule type="expression" dxfId="23" priority="21">
      <formula>OR(IF(DD12&lt;DE12,TRUE),IF(AND(DE12="",DD12&lt;&gt;""),TRUE))</formula>
    </cfRule>
    <cfRule type="expression" dxfId="22" priority="22">
      <formula>IF(DD12&gt;=DE12,IF(DD12="",FALSE,TRUE))</formula>
    </cfRule>
  </conditionalFormatting>
  <conditionalFormatting sqref="DD38:DD40">
    <cfRule type="expression" dxfId="21" priority="23">
      <formula>OR(IF(DD38&lt;DE38,TRUE),IF(AND(DE38="",DD38&lt;&gt;""),TRUE))</formula>
    </cfRule>
    <cfRule type="expression" dxfId="20" priority="24">
      <formula>IF(DD38&gt;=DE38,IF(DD38="",FALSE,TRUE))</formula>
    </cfRule>
  </conditionalFormatting>
  <conditionalFormatting sqref="DD34:DD37">
    <cfRule type="expression" dxfId="19" priority="19">
      <formula>OR(IF(DD34&lt;DE34,TRUE),IF(AND(DE34="",DD34&lt;&gt;""),TRUE))</formula>
    </cfRule>
    <cfRule type="expression" dxfId="18" priority="20">
      <formula>IF(DD34&gt;=DE34,IF(DD34="",FALSE,TRUE))</formula>
    </cfRule>
  </conditionalFormatting>
  <conditionalFormatting sqref="DD5:DD11">
    <cfRule type="expression" dxfId="17" priority="17">
      <formula>OR(IF(DD5&lt;DE5,TRUE),IF(AND(DE5="",DD5&lt;&gt;""),TRUE))</formula>
    </cfRule>
    <cfRule type="expression" dxfId="16" priority="18">
      <formula>IF(DD5&gt;=DE5,IF(DD5="",FALSE,TRUE))</formula>
    </cfRule>
  </conditionalFormatting>
  <conditionalFormatting sqref="DK12">
    <cfRule type="expression" dxfId="15" priority="13">
      <formula>OR(IF(DK12&lt;DL12,TRUE),IF(AND(DL12="",DK12&lt;&gt;""),TRUE))</formula>
    </cfRule>
    <cfRule type="expression" dxfId="14" priority="14">
      <formula>IF(DK12&gt;=DL12,IF(DK12="",FALSE,TRUE))</formula>
    </cfRule>
  </conditionalFormatting>
  <conditionalFormatting sqref="DK38:DK40">
    <cfRule type="expression" dxfId="13" priority="15">
      <formula>OR(IF(DK38&lt;DL38,TRUE),IF(AND(DL38="",DK38&lt;&gt;""),TRUE))</formula>
    </cfRule>
    <cfRule type="expression" dxfId="12" priority="16">
      <formula>IF(DK38&gt;=DL38,IF(DK38="",FALSE,TRUE))</formula>
    </cfRule>
  </conditionalFormatting>
  <conditionalFormatting sqref="DK34:DK37">
    <cfRule type="expression" dxfId="11" priority="11">
      <formula>OR(IF(DK34&lt;DL34,TRUE),IF(AND(DL34="",DK34&lt;&gt;""),TRUE))</formula>
    </cfRule>
    <cfRule type="expression" dxfId="10" priority="12">
      <formula>IF(DK34&gt;=DL34,IF(DK34="",FALSE,TRUE))</formula>
    </cfRule>
  </conditionalFormatting>
  <conditionalFormatting sqref="DK5:DK11">
    <cfRule type="expression" dxfId="9" priority="9">
      <formula>OR(IF(DK5&lt;DL5,TRUE),IF(AND(DL5="",DK5&lt;&gt;""),TRUE))</formula>
    </cfRule>
    <cfRule type="expression" dxfId="8" priority="10">
      <formula>IF(DK5&gt;=DL5,IF(DK5="",FALSE,TRUE))</formula>
    </cfRule>
  </conditionalFormatting>
  <conditionalFormatting sqref="DR12">
    <cfRule type="expression" dxfId="7" priority="5">
      <formula>OR(IF(DR12&lt;DS12,TRUE),IF(AND(DS12="",DR12&lt;&gt;""),TRUE))</formula>
    </cfRule>
    <cfRule type="expression" dxfId="6" priority="6">
      <formula>IF(DR12&gt;=DS12,IF(DR12="",FALSE,TRUE))</formula>
    </cfRule>
  </conditionalFormatting>
  <conditionalFormatting sqref="DR38:DR40">
    <cfRule type="expression" dxfId="5" priority="7">
      <formula>OR(IF(DR38&lt;DS38,TRUE),IF(AND(DS38="",DR38&lt;&gt;""),TRUE))</formula>
    </cfRule>
    <cfRule type="expression" dxfId="4" priority="8">
      <formula>IF(DR38&gt;=DS38,IF(DR38="",FALSE,TRUE))</formula>
    </cfRule>
  </conditionalFormatting>
  <conditionalFormatting sqref="DR34:DR37">
    <cfRule type="expression" dxfId="3" priority="3">
      <formula>OR(IF(DR34&lt;DS34,TRUE),IF(AND(DS34="",DR34&lt;&gt;""),TRUE))</formula>
    </cfRule>
    <cfRule type="expression" dxfId="2" priority="4">
      <formula>IF(DR34&gt;=DS34,IF(DR34="",FALSE,TRUE))</formula>
    </cfRule>
  </conditionalFormatting>
  <conditionalFormatting sqref="DR5:DR11">
    <cfRule type="expression" dxfId="1" priority="1">
      <formula>OR(IF(DR5&lt;DS5,TRUE),IF(AND(DS5="",DR5&lt;&gt;""),TRUE))</formula>
    </cfRule>
    <cfRule type="expression" dxfId="0" priority="2">
      <formula>IF(DR5&gt;=DS5,IF(DR5="",FALSE,TRUE))</formula>
    </cfRule>
  </conditionalFormatting>
  <dataValidations count="1">
    <dataValidation type="list" allowBlank="1" showInputMessage="1" showErrorMessage="1" sqref="CU26:CX31 CN34:CQ40 BE5:BH12 AQ5:AT12 AQ34:AT40 AJ34:AM40 AC34:AF40 V15:Y23 O26:R31 CG34:CJ40 BZ34:CC40 BL34:BO40 BS34:BV40 BE26:BH31 AU43:AU45 BL26:BO31 AQ26:AT31 BL5:BO12 DI5:DL12 AC15:AF23 BZ26:CC31 CG26:CJ31 O43:R52 CN26:CQ31 O5:R12 CU34:CX40 CU15:CX23 AJ15:AM23 AC26:AF31 V5:Y12 DB26:DE31 BS15:BV23 AQ43:AT52 CG43:CJ52 CN43:CQ52 CN15:CQ23 AQ15:AT23 AJ5:AM12 V26:Y31 V34:Y40 O34:R40 BL15:BO23 V43:Y52 BE15:BH23 BS26:BV31 BZ15:CC23 CG15:CJ23 DP15:DS23 AC43:AF52 AC5:AF12 AJ26:AM31 AX15:BA23 AX43:BA52 BE34:BH40 BS43:BV52 BZ5:CC12 CG5:CJ12 CU43:CX52 BS5:BV12 O15:R23 DI15:DL23 DB34:DE40 DB15:DE23 CN5:CQ12 DB43:DE52 EY15:FB23 DW15:DZ23 DW26:DZ31 DW34:DZ40 DW5:DZ12 DI26:DL31 DP26:DS31 DP34:DS40 DP5:DS12 DP43:DS52 EY5:FB12 EY26:FB31 EY34:FB40 EY43:FB52 DW43:DZ52 ED5:EG12 ED26:EG31 ED34:EG40 ED43:EG52 ED15:EG23 EK5:EN12 EK26:EN31 EK34:EN40 EK43:EN52 EK15:EN23 ER5:EU12 ER26:EU31 ER34:EU40 ER43:EU52 ER15:EU23 DI43:DL52 DI34:DL40 DB5:DE12 CU5:CX12 AX5:BA12 AX34:BA40 AX26:BA31 BE43:BH52 BL43:BO52 BZ43:CC52 AJ43:AM52"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0" workbookViewId="0">
      <selection activeCell="B2" sqref="B2"/>
    </sheetView>
  </sheetViews>
  <sheetFormatPr baseColWidth="10" defaultColWidth="10.69921875" defaultRowHeight="15.6"/>
  <cols>
    <col min="2" max="2" width="161" customWidth="1"/>
    <col min="3" max="3" width="10.796875"/>
  </cols>
  <sheetData>
    <row r="4" spans="2:2" ht="21">
      <c r="B4" s="3" t="s">
        <v>16</v>
      </c>
    </row>
    <row r="6" spans="2:2">
      <c r="B6" s="2" t="s">
        <v>13</v>
      </c>
    </row>
    <row r="7" spans="2:2" ht="46.8">
      <c r="B7" s="1" t="s">
        <v>14</v>
      </c>
    </row>
    <row r="9" spans="2:2">
      <c r="B9" s="2" t="s">
        <v>15</v>
      </c>
    </row>
    <row r="10" spans="2:2" ht="62.4">
      <c r="B10" s="1" t="s">
        <v>35</v>
      </c>
    </row>
    <row r="12" spans="2:2">
      <c r="B12" s="2" t="s">
        <v>17</v>
      </c>
    </row>
    <row r="13" spans="2:2" ht="140.4">
      <c r="B13" s="1" t="s">
        <v>18</v>
      </c>
    </row>
    <row r="15" spans="2:2">
      <c r="B15" s="2" t="s">
        <v>19</v>
      </c>
    </row>
    <row r="16" spans="2:2" ht="109.2">
      <c r="B16" s="1" t="s">
        <v>20</v>
      </c>
    </row>
    <row r="17" spans="2:2">
      <c r="B17" s="1"/>
    </row>
    <row r="18" spans="2:2">
      <c r="B18" s="2" t="s">
        <v>34</v>
      </c>
    </row>
    <row r="19" spans="2:2" ht="140.4">
      <c r="B19" s="1" t="s">
        <v>36</v>
      </c>
    </row>
    <row r="21" spans="2:2">
      <c r="B21" s="2" t="s">
        <v>21</v>
      </c>
    </row>
    <row r="22" spans="2:2" ht="124.8">
      <c r="B22" s="1" t="s">
        <v>37</v>
      </c>
    </row>
    <row r="24" spans="2:2">
      <c r="B24" s="2" t="s">
        <v>22</v>
      </c>
    </row>
    <row r="25" spans="2:2" ht="124.8">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E2" sqref="E2"/>
    </sheetView>
  </sheetViews>
  <sheetFormatPr baseColWidth="10" defaultColWidth="10.69921875" defaultRowHeight="15.6"/>
  <cols>
    <col min="1" max="1" width="16.796875" style="9" customWidth="1"/>
    <col min="2" max="2" width="19.19921875" style="9" customWidth="1"/>
    <col min="3" max="3" width="18.19921875" style="9" customWidth="1"/>
    <col min="4" max="4" width="19.5" style="9" customWidth="1"/>
    <col min="8" max="8" width="15.19921875" customWidth="1"/>
    <col min="10" max="10" width="42" customWidth="1"/>
    <col min="11" max="11" width="28.5" customWidth="1"/>
  </cols>
  <sheetData>
    <row r="1" spans="1:11" ht="31.2">
      <c r="A1" s="9" t="s">
        <v>41</v>
      </c>
      <c r="B1" s="15" t="s">
        <v>38</v>
      </c>
      <c r="C1" s="15" t="s">
        <v>39</v>
      </c>
      <c r="D1" s="15" t="s">
        <v>40</v>
      </c>
      <c r="E1" s="1" t="s">
        <v>42</v>
      </c>
      <c r="F1" s="1" t="s">
        <v>43</v>
      </c>
      <c r="G1" s="1" t="s">
        <v>44</v>
      </c>
      <c r="H1" s="1" t="s">
        <v>45</v>
      </c>
      <c r="I1" s="1" t="s">
        <v>46</v>
      </c>
      <c r="J1" s="1" t="s">
        <v>47</v>
      </c>
      <c r="K1" s="1" t="s">
        <v>48</v>
      </c>
    </row>
    <row r="2" spans="1:11">
      <c r="A2" s="14">
        <v>44118</v>
      </c>
      <c r="D2" s="11"/>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43" priority="4" operator="equal">
      <formula>"Ja"</formula>
    </cfRule>
    <cfRule type="cellIs" dxfId="42" priority="14" operator="equal">
      <formula>"Ja"</formula>
    </cfRule>
    <cfRule type="cellIs" dxfId="41" priority="15" operator="equal">
      <formula>"Nein"</formula>
    </cfRule>
  </conditionalFormatting>
  <conditionalFormatting sqref="C2:C46">
    <cfRule type="cellIs" dxfId="40" priority="1" operator="equal">
      <formula>"Ja"</formula>
    </cfRule>
    <cfRule type="cellIs" dxfId="39" priority="2" operator="equal">
      <formula>"Ja"</formula>
    </cfRule>
    <cfRule type="cellIs" dxfId="38" priority="3" operator="equal">
      <formula>"Nein"</formula>
    </cfRule>
  </conditionalFormatting>
  <conditionalFormatting sqref="D2">
    <cfRule type="cellIs" dxfId="37" priority="6" operator="equal">
      <formula>1</formula>
    </cfRule>
    <cfRule type="cellIs" dxfId="36" priority="7" operator="equal">
      <formula>0.8</formula>
    </cfRule>
    <cfRule type="cellIs" dxfId="35" priority="8" operator="equal">
      <formula>0.6</formula>
    </cfRule>
    <cfRule type="cellIs" dxfId="34" priority="9" operator="equal">
      <formula>0.4</formula>
    </cfRule>
    <cfRule type="cellIs" dxfId="33" priority="10" operator="equal">
      <formula>0.2</formula>
    </cfRule>
    <cfRule type="cellIs" dxfId="32"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E18" sqref="E18"/>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Simon Ruz</cp:lastModifiedBy>
  <dcterms:created xsi:type="dcterms:W3CDTF">2020-04-19T13:33:28Z</dcterms:created>
  <dcterms:modified xsi:type="dcterms:W3CDTF">2024-09-13T11:57:26Z</dcterms:modified>
</cp:coreProperties>
</file>