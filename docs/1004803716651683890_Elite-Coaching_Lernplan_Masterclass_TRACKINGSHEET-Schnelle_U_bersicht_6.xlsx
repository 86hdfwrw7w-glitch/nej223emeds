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3BBAA7D1-3832-0F4B-94E4-E68B4F50016C}" xr6:coauthVersionLast="47" xr6:coauthVersionMax="47" xr10:uidLastSave="{00000000-0000-0000-0000-000000000000}"/>
  <bookViews>
    <workbookView xWindow="0" yWindow="500" windowWidth="3572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96" i="7" l="1"/>
  <c r="F80" i="7"/>
  <c r="F51" i="7"/>
  <c r="F34" i="7"/>
  <c r="F21" i="7"/>
  <c r="F4" i="7"/>
  <c r="K42" i="7" a="1"/>
  <c r="K42" i="7" s="1"/>
  <c r="J42" i="7" a="1"/>
  <c r="J42" i="7" s="1"/>
  <c r="K11" i="7" a="1"/>
  <c r="K11" i="7" s="1"/>
  <c r="J11" i="7" a="1"/>
  <c r="J11" i="7" s="1"/>
  <c r="C12" i="10"/>
  <c r="K108" i="7" a="1"/>
  <c r="K108" i="7" s="1"/>
  <c r="J108" i="7" a="1"/>
  <c r="J108" i="7" s="1"/>
  <c r="I108" i="7"/>
  <c r="K107" i="7" a="1"/>
  <c r="K107" i="7" s="1"/>
  <c r="J107" i="7" a="1"/>
  <c r="J107" i="7" s="1"/>
  <c r="I107" i="7"/>
  <c r="K106" i="7" a="1"/>
  <c r="K106" i="7" s="1"/>
  <c r="J106" i="7" a="1"/>
  <c r="J106" i="7" s="1"/>
  <c r="I106" i="7"/>
  <c r="K105" i="7" a="1"/>
  <c r="K105" i="7" s="1"/>
  <c r="J105" i="7" a="1"/>
  <c r="J105" i="7" s="1"/>
  <c r="I105" i="7"/>
  <c r="K104" i="7" a="1"/>
  <c r="K104" i="7" s="1"/>
  <c r="J104" i="7" a="1"/>
  <c r="J104" i="7" s="1"/>
  <c r="I104" i="7"/>
  <c r="K103" i="7" a="1"/>
  <c r="K103" i="7" s="1"/>
  <c r="J103" i="7" a="1"/>
  <c r="J103" i="7" s="1"/>
  <c r="I103" i="7"/>
  <c r="K102" i="7" a="1"/>
  <c r="K102" i="7" s="1"/>
  <c r="J102" i="7" a="1"/>
  <c r="J102" i="7" s="1"/>
  <c r="I102" i="7"/>
  <c r="K101" i="7" a="1"/>
  <c r="K101" i="7" s="1"/>
  <c r="J101" i="7" a="1"/>
  <c r="J101" i="7" s="1"/>
  <c r="I101" i="7"/>
  <c r="K100" i="7" a="1"/>
  <c r="K100" i="7" s="1"/>
  <c r="J100" i="7" a="1"/>
  <c r="J100" i="7" s="1"/>
  <c r="I100" i="7"/>
  <c r="K99" i="7" a="1"/>
  <c r="K99" i="7" s="1"/>
  <c r="J99" i="7" a="1"/>
  <c r="J99" i="7" s="1"/>
  <c r="I99" i="7"/>
  <c r="K98" i="7" a="1"/>
  <c r="K98" i="7" s="1"/>
  <c r="J98" i="7" a="1"/>
  <c r="J98" i="7" s="1"/>
  <c r="I98" i="7"/>
  <c r="K97" i="7" a="1"/>
  <c r="K97" i="7" s="1"/>
  <c r="J97" i="7" a="1"/>
  <c r="J97" i="7" s="1"/>
  <c r="I97" i="7"/>
  <c r="C11" i="10" l="1"/>
  <c r="FS4" i="7" l="1"/>
  <c r="FL4" i="7"/>
  <c r="FE4" i="7"/>
  <c r="EX4" i="7"/>
  <c r="EQ4" i="7"/>
  <c r="EJ4" i="7"/>
  <c r="EC4" i="7"/>
  <c r="DV4" i="7"/>
  <c r="DO4" i="7"/>
  <c r="DH4" i="7"/>
  <c r="D80" i="7"/>
  <c r="C7" i="10"/>
  <c r="K92" i="7" a="1"/>
  <c r="K92" i="7" s="1"/>
  <c r="J92" i="7" a="1"/>
  <c r="J92" i="7" s="1"/>
  <c r="I92" i="7"/>
  <c r="K91" i="7" a="1"/>
  <c r="K91" i="7" s="1"/>
  <c r="J91" i="7" a="1"/>
  <c r="J91" i="7" s="1"/>
  <c r="I91" i="7"/>
  <c r="K90" i="7" a="1"/>
  <c r="K90" i="7" s="1"/>
  <c r="J90" i="7" a="1"/>
  <c r="J90" i="7" s="1"/>
  <c r="I90" i="7"/>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6" i="7" l="1"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46" i="7" a="1"/>
  <c r="K46" i="7" s="1"/>
  <c r="J46" i="7" a="1"/>
  <c r="J46" i="7" s="1"/>
  <c r="I46" i="7"/>
  <c r="K45" i="7" a="1"/>
  <c r="K45" i="7" s="1"/>
  <c r="J45" i="7" a="1"/>
  <c r="J45" i="7" s="1"/>
  <c r="I45" i="7"/>
  <c r="K44" i="7" a="1"/>
  <c r="K44" i="7" s="1"/>
  <c r="J44" i="7" a="1"/>
  <c r="J44" i="7" s="1"/>
  <c r="I44" i="7"/>
  <c r="AP43" i="7"/>
  <c r="AI43" i="7"/>
  <c r="AB43" i="7"/>
  <c r="U43" i="7"/>
  <c r="N43" i="7"/>
  <c r="G43"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AP12" i="7"/>
  <c r="AI12" i="7"/>
  <c r="AB12" i="7"/>
  <c r="U12" i="7"/>
  <c r="G12" i="7"/>
  <c r="I5" i="7"/>
  <c r="J5" i="7" a="1"/>
  <c r="J5" i="7" s="1"/>
  <c r="K5" i="7" a="1"/>
  <c r="K5" i="7" s="1"/>
  <c r="I6" i="7"/>
  <c r="J6" i="7" a="1"/>
  <c r="J6" i="7" s="1"/>
  <c r="K6" i="7" a="1"/>
  <c r="K6" i="7" s="1"/>
  <c r="I7" i="7"/>
  <c r="J7" i="7" a="1"/>
  <c r="J7" i="7" s="1"/>
  <c r="K7" i="7" a="1"/>
  <c r="K7" i="7" s="1"/>
  <c r="I8" i="7"/>
  <c r="J8" i="7" a="1"/>
  <c r="J8" i="7" s="1"/>
  <c r="K8" i="7" a="1"/>
  <c r="K8" i="7" s="1"/>
  <c r="I9" i="7"/>
  <c r="J9" i="7" a="1"/>
  <c r="J9" i="7" s="1"/>
  <c r="K9" i="7" a="1"/>
  <c r="K9" i="7" s="1"/>
  <c r="I10" i="7"/>
  <c r="J10" i="7" a="1"/>
  <c r="J10" i="7" s="1"/>
  <c r="K10" i="7" a="1"/>
  <c r="K10" i="7" s="1"/>
  <c r="J12" i="7" l="1"/>
  <c r="I12" i="7"/>
  <c r="K12" i="7"/>
  <c r="DA4" i="7" l="1"/>
  <c r="CT4" i="7"/>
  <c r="CM4" i="7"/>
  <c r="CF4" i="7"/>
  <c r="BY4" i="7"/>
  <c r="BR4" i="7"/>
  <c r="K51" i="7" a="1"/>
  <c r="K51" i="7" s="1"/>
  <c r="J51" i="7" a="1"/>
  <c r="J51" i="7" s="1"/>
  <c r="I51"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AP34" i="7"/>
  <c r="AI34" i="7"/>
  <c r="AB34" i="7"/>
  <c r="U34" i="7"/>
  <c r="N34" i="7"/>
  <c r="G34" i="7"/>
  <c r="BK4" i="7"/>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BD4" i="7"/>
  <c r="AW4" i="7"/>
  <c r="AP4" i="7"/>
  <c r="AI4" i="7"/>
  <c r="AB4" i="7"/>
  <c r="U4" i="7"/>
  <c r="N4" i="7"/>
  <c r="G4" i="7"/>
  <c r="AP21" i="7"/>
  <c r="AI21" i="7"/>
  <c r="AB21" i="7"/>
  <c r="U21" i="7"/>
  <c r="I32" i="7"/>
  <c r="I31" i="7"/>
  <c r="I30" i="7"/>
  <c r="I29" i="7"/>
  <c r="I28" i="7"/>
  <c r="I27" i="7"/>
  <c r="I26" i="7"/>
  <c r="I25" i="7"/>
  <c r="I24" i="7"/>
  <c r="I23" i="7"/>
  <c r="I22" i="7"/>
  <c r="N21" i="7"/>
  <c r="G21" i="7"/>
  <c r="J43" i="7" l="1"/>
  <c r="I43" i="7"/>
  <c r="K43" i="7"/>
  <c r="I34" i="7"/>
  <c r="K34" i="7"/>
  <c r="J34" i="7"/>
  <c r="I21" i="7"/>
  <c r="J21" i="7"/>
  <c r="K21"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<sst xmlns="http://schemas.openxmlformats.org/spreadsheetml/2006/main" count="526" uniqueCount="203">
  <si>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</si>
  <si>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</si>
  <si>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</si>
  <si>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</si>
  <si>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</si>
  <si>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</si>
  <si>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</si>
  <si>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</si>
  <si>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</si>
  <si>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</si>
  <si>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</si>
  <si>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</si>
  <si>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</si>
  <si>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</si>
  <si>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</si>
  <si>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</si>
  <si>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</si>
  <si>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</si>
  <si>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</si>
  <si>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</si>
  <si>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</si>
  <si>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</si>
  <si>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</si>
  <si>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</si>
  <si>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</si>
  <si>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</si>
  <si>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</si>
  <si>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</si>
  <si>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</si>
  <si>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</si>
  <si>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</si>
  <si>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</si>
  <si>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</si>
  <si>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</si>
  <si>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</si>
  <si>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</si>
  <si>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</si>
  <si>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</si>
  <si>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</si>
  <si>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</si>
  <si>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</si>
  <si>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</si>
  <si>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</si>
  <si>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</si>
  <si>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</si>
  <si>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</si>
  <si>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</si>
  <si>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</si>
  <si>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</si>
  <si>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</si>
  <si>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</si>
  <si>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</si>
  <si>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</si>
  <si>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</si>
  <si>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</si>
  <si>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</si>
  <si>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</si>
  <si>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</si>
  <si>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</si>
  <si>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</si>
  <si>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</si>
  <si>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</si>
  <si>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</si>
  <si>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</si>
  <si>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</si>
  <si>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</si>
  <si>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</si>
  <si>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</si>
  <si>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</si>
  <si>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</si>
  <si>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</si>
  <si>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</si>
  <si>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</si>
  <si>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</si>
  <si>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</si>
  <si>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</si>
  <si>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</si>
  <si>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</si>
  <si>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</si>
  <si>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</si>
  <si>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</si>
  <si>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</si>
  <si>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</si>
  <si>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</si>
  <si>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</si>
  <si>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</si>
  <si>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</si>
  <si>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</si>
  <si>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</si>
  <si>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</si>
  <si>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</si>
  <si>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</si>
  <si>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</si>
  <si>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</si>
  <si>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</si>
  <si>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</si>
  <si>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</si>
  <si>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</si>
  <si>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</si>
  <si>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</si>
  <si>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11) Unternehmensbewertung DCF</t>
  </si>
  <si>
    <t>12) Unternehmensbewertung Multiplikator</t>
  </si>
  <si>
    <t>13) Derivate Instrumente Und Hedging</t>
  </si>
  <si>
    <t xml:space="preserve">Unternehmensfinanzierung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</si>
  <si>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</si>
  <si>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</si>
  <si>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</si>
  <si>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</si>
  <si>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</si>
  <si>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</si>
  <si>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</si>
  <si>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</si>
  <si>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</si>
  <si>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</si>
  <si>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</si>
  <si>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</si>
  <si>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International Economics Part 1 </t>
  </si>
  <si>
    <t>International Economics Part 1</t>
  </si>
  <si>
    <t>International Economics Part 2</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</si>
  <si>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</si>
  <si>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</si>
  <si>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</si>
  <si>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</si>
  <si>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</si>
  <si>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</si>
  <si>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</si>
  <si>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</si>
  <si>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</si>
  <si>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</si>
  <si>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</si>
  <si>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</si>
  <si>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</si>
  <si>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</si>
  <si>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</si>
  <si>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</si>
  <si>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</si>
  <si>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</si>
  <si>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</si>
  <si>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</si>
  <si>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</si>
  <si>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</si>
  <si>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</si>
  <si>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13) Informationsprobleme</t>
  </si>
  <si>
    <t>14)Distributins - Marktablehnung</t>
  </si>
  <si>
    <t>15)Gründe für Marktablehnung</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</si>
  <si>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</si>
  <si>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</si>
  <si>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</si>
  <si>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</si>
  <si>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</si>
  <si>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</si>
  <si>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</si>
  <si>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</si>
  <si>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</si>
  <si>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</si>
  <si>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</si>
  <si>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</si>
  <si>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</si>
  <si>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</si>
  <si>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</si>
  <si>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</si>
  <si>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</si>
  <si>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</si>
  <si>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</si>
  <si>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</si>
  <si>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</si>
  <si>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 xml:space="preserve"> Management Information System </t>
  </si>
  <si>
    <t>KW 31</t>
  </si>
  <si>
    <t>KW 32</t>
  </si>
  <si>
    <t>KW 33</t>
  </si>
  <si>
    <t>KW 34</t>
  </si>
  <si>
    <t>KW 35</t>
  </si>
  <si>
    <t>KW 36</t>
  </si>
  <si>
    <t>KW 37</t>
  </si>
  <si>
    <t>KW 38</t>
  </si>
  <si>
    <t>KW 39</t>
  </si>
  <si>
    <t>KW 40</t>
  </si>
  <si>
    <t>KW 41</t>
  </si>
  <si>
    <t>KW 42</t>
  </si>
  <si>
    <t>KW 43</t>
  </si>
  <si>
    <t>KW 44</t>
  </si>
  <si>
    <t>KW 45</t>
  </si>
  <si>
    <t>KW 46</t>
  </si>
  <si>
    <t>KW 47</t>
  </si>
  <si>
    <t>KW 48</t>
  </si>
  <si>
    <t>KW 49</t>
  </si>
  <si>
    <t>KW 50</t>
  </si>
  <si>
    <t>KW 51</t>
  </si>
  <si>
    <t>KW 52</t>
  </si>
  <si>
    <t>KW 53</t>
  </si>
  <si>
    <t>KLAUSUREN</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</si>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</sst>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2" fontId="0" fillId="4" borderId="0" xfId="0" applyNumberFormat="1" applyFill="1"/>
    <xf numFmtId="0" fontId="0" fillId="5" borderId="0" xfId="0" applyNumberFormat="1" applyFill="1"/>
    <xf numFmtId="9" fontId="0" fillId="0" borderId="1" xfId="0" applyNumberFormat="1" applyBorder="1"/>
    <xf numFmtId="9" fontId="0" fillId="0" borderId="2" xfId="0" applyNumberFormat="1" applyBorder="1"/>
    <xf numFmtId="9" fontId="0" fillId="0" borderId="3" xfId="0" applyNumberFormat="1" applyBorder="1"/>
    <xf numFmtId="9" fontId="0" fillId="0" borderId="4" xfId="0" applyNumberFormat="1" applyBorder="1"/>
    <xf numFmtId="9" fontId="0" fillId="0" borderId="5" xfId="0" applyNumberFormat="1" applyBorder="1"/>
    <xf numFmtId="9" fontId="0" fillId="0" borderId="6" xfId="0" applyNumberFormat="1" applyBorder="1"/>
    <xf numFmtId="0" fontId="0" fillId="4" borderId="0" xfId="0" applyNumberFormat="1" applyFill="1"/>
    <xf numFmtId="9" fontId="0" fillId="0" borderId="0" xfId="0" applyNumberFormat="1" applyBorder="1"/>
    <xf numFmtId="0" fontId="0" fillId="0" borderId="0" xfId="0" applyBorder="1"/>
    <xf numFmtId="14" fontId="1" fillId="0" borderId="0" xfId="0" applyNumberFormat="1" applyFont="1"/>
    <xf numFmtId="0" fontId="1" fillId="2" borderId="0" xfId="0" applyFont="1" applyFill="1" applyAlignment="1">
      <alignment horizontal="center"/>
    </xf>
  </cellXfs>
  <cellStyles count="1">
    <cellStyle name="Standard" xfId="0" builtinId="0"/>
  </cellStyles>
  <dxfs count="2117">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8">
  <autoFilter ref="A1:K46" xr:uid="{6E266E34-2786-2747-BCE7-51B74867A564}"/>
  <tableColumns count="11">
    <tableColumn id="1" xr3:uid="{95FD92F7-3DC8-704D-A103-A7EDDAB255AB}" name="Datum" dataDxfId="7"/>
    <tableColumn id="2" xr3:uid="{F464D510-8166-E740-A343-FB84BDEF877F}" name="Lerneinheiten durchgezogen" dataDxfId="6"/>
    <tableColumn id="3" xr3:uid="{75F52B08-1A00-0848-BBE6-1EDF7B31B1AD}" name="Tagesplan erstellt" dataDxfId="5"/>
    <tableColumn id="4" xr3:uid="{E6B18D89-E799-AD48-9DAA-37AEE1D29011}" name="Konzentrationslevel" dataDxfId="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ColWidth="11" defaultRowHeight="16" x14ac:dyDescent="0.2"/>
  <cols>
    <col min="1" max="1" width="11.83203125" customWidth="1"/>
    <col min="2" max="2" width="62.6640625" customWidth="1"/>
    <col min="3" max="3" width="12.33203125" bestFit="1" customWidth="1"/>
  </cols>
  <sheetData>
    <row r="2" spans="1:4" x14ac:dyDescent="0.2">
      <c r="C2" s="21" t="s">
        <v>74</v>
      </c>
    </row>
    <row r="3" spans="1:4" x14ac:dyDescent="0.2">
      <c r="C3" s="20" t="s">
        <v>59</v>
      </c>
    </row>
    <row r="4" spans="1:4" x14ac:dyDescent="0.2">
      <c r="C4" s="19" t="s">
        <v>73</v>
      </c>
    </row>
    <row r="5" spans="1:4" x14ac:dyDescent="0.2">
      <c r="A5" s="3" t="s">
        <v>56</v>
      </c>
      <c r="B5" s="3" t="s">
        <v>57</v>
      </c>
      <c r="C5" s="3" t="s">
        <v>58</v>
      </c>
      <c r="D5" s="3" t="s">
        <v>60</v>
      </c>
    </row>
    <row r="6" spans="1:4" x14ac:dyDescent="0.2">
      <c r="A6" t="s">
        <v>52</v>
      </c>
      <c r="B6" s="21" t="s">
        <v>55</v>
      </c>
      <c r="D6" t="s">
        <v>89</v>
      </c>
    </row>
    <row r="7" spans="1:4" x14ac:dyDescent="0.2">
      <c r="A7" t="s">
        <v>63</v>
      </c>
      <c r="B7" t="s">
        <v>64</v>
      </c>
      <c r="C7" s="19">
        <f>13+11+12+25+12</f>
        <v>73</v>
      </c>
    </row>
    <row r="8" spans="1:4" x14ac:dyDescent="0.2">
      <c r="A8" t="s">
        <v>54</v>
      </c>
      <c r="B8" s="21" t="s">
        <v>53</v>
      </c>
      <c r="C8" s="9"/>
      <c r="D8" t="s">
        <v>77</v>
      </c>
    </row>
    <row r="9" spans="1:4" x14ac:dyDescent="0.2">
      <c r="A9" t="s">
        <v>62</v>
      </c>
      <c r="B9" s="21" t="s">
        <v>75</v>
      </c>
      <c r="D9" t="s">
        <v>78</v>
      </c>
    </row>
    <row r="10" spans="1:4" x14ac:dyDescent="0.2">
      <c r="A10" t="s">
        <v>66</v>
      </c>
      <c r="B10" t="s">
        <v>65</v>
      </c>
      <c r="C10" s="30">
        <v>20</v>
      </c>
      <c r="D10" t="s">
        <v>61</v>
      </c>
    </row>
    <row r="11" spans="1:4" x14ac:dyDescent="0.2">
      <c r="A11" t="s">
        <v>67</v>
      </c>
      <c r="B11" t="s">
        <v>69</v>
      </c>
      <c r="C11" s="22">
        <f>3*73</f>
        <v>219</v>
      </c>
      <c r="D11" t="s">
        <v>68</v>
      </c>
    </row>
    <row r="12" spans="1:4" x14ac:dyDescent="0.2">
      <c r="A12" t="s">
        <v>71</v>
      </c>
      <c r="B12" t="s">
        <v>70</v>
      </c>
      <c r="C12" s="23">
        <f>C11/C10</f>
        <v>10.95</v>
      </c>
    </row>
    <row r="13" spans="1:4" x14ac:dyDescent="0.2">
      <c r="A13" t="s">
        <v>76</v>
      </c>
      <c r="B13" t="s">
        <v>72</v>
      </c>
      <c r="D13" t="s">
        <v>79</v>
      </c>
    </row>
    <row r="14" spans="1:4" x14ac:dyDescent="0.2">
      <c r="A14" t="s">
        <v>80</v>
      </c>
      <c r="B14" t="s">
        <v>81</v>
      </c>
      <c r="D14" t="s">
        <v>82</v>
      </c>
    </row>
    <row r="15" spans="1:4" x14ac:dyDescent="0.2">
      <c r="A15" t="s">
        <v>83</v>
      </c>
      <c r="B15" s="21" t="s">
        <v>84</v>
      </c>
    </row>
    <row r="16" spans="1:4" x14ac:dyDescent="0.2">
      <c r="A16" t="s">
        <v>87</v>
      </c>
      <c r="B16" s="21" t="s">
        <v>85</v>
      </c>
    </row>
    <row r="17" spans="1:2" x14ac:dyDescent="0.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X216"/>
  <sheetViews>
    <sheetView showGridLines="0" tabSelected="1" zoomScale="50" zoomScaleNormal="70" workbookViewId="0">
      <pane xSplit="12" topLeftCell="M1" activePane="topRight" state="frozen"/>
      <selection pane="topRight" activeCell="F97" sqref="F97"/>
    </sheetView>
  </sheetViews>
  <sheetFormatPr baseColWidth="10" defaultColWidth="8.83203125" defaultRowHeight="16" outlineLevelRow="1" x14ac:dyDescent="0.2"/>
  <cols>
    <col min="2" max="2" width="15.33203125" customWidth="1"/>
    <col min="3" max="3" width="31.33203125" customWidth="1"/>
    <col min="4" max="4" width="13" style="3" bestFit="1" customWidth="1"/>
    <col min="5" max="5" width="4.83203125" bestFit="1" customWidth="1"/>
    <col min="6" max="6" width="58.1640625" customWidth="1"/>
    <col min="7" max="7" width="2.1640625" customWidth="1"/>
    <col min="8" max="8" width="2.5" hidden="1" customWidth="1"/>
    <col min="9" max="9" width="8.83203125" hidden="1" customWidth="1"/>
    <col min="10" max="10" width="12.5" hidden="1" customWidth="1"/>
    <col min="11" max="11" width="14.83203125" hidden="1" customWidth="1"/>
    <col min="12" max="12" width="8.1640625" hidden="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 min="174" max="174" width="2.5" customWidth="1"/>
    <col min="176" max="176" width="12.5" bestFit="1" customWidth="1"/>
    <col min="177" max="177" width="6.33203125" customWidth="1"/>
    <col min="178" max="178" width="14.83203125" bestFit="1" customWidth="1"/>
    <col min="179" max="179" width="6" customWidth="1"/>
    <col min="180" max="180" width="12.6640625" bestFit="1" customWidth="1"/>
  </cols>
  <sheetData>
    <row r="1" spans="2:180" ht="34" x14ac:dyDescent="0.4">
      <c r="B1" s="5" t="s">
        <v>0</v>
      </c>
      <c r="D1" s="5"/>
      <c r="G1" s="15" t="s">
        <v>36</v>
      </c>
      <c r="I1" s="15" t="s">
        <v>36</v>
      </c>
      <c r="J1" s="15" t="s">
        <v>36</v>
      </c>
      <c r="K1" s="15" t="s">
        <v>36</v>
      </c>
    </row>
    <row r="2" spans="2:180" x14ac:dyDescent="0.2">
      <c r="I2" s="34" t="s">
        <v>27</v>
      </c>
      <c r="J2" s="34"/>
      <c r="K2" s="34"/>
      <c r="L2" s="34"/>
      <c r="N2" s="34" t="s">
        <v>167</v>
      </c>
      <c r="O2" s="34"/>
      <c r="P2" s="34"/>
      <c r="Q2" s="34"/>
      <c r="R2" s="34"/>
      <c r="S2" s="34"/>
      <c r="U2" s="34" t="s">
        <v>168</v>
      </c>
      <c r="V2" s="34"/>
      <c r="W2" s="34"/>
      <c r="X2" s="34"/>
      <c r="Y2" s="34"/>
      <c r="Z2" s="34"/>
      <c r="AB2" s="34" t="s">
        <v>169</v>
      </c>
      <c r="AC2" s="34"/>
      <c r="AD2" s="34"/>
      <c r="AE2" s="34"/>
      <c r="AF2" s="34"/>
      <c r="AG2" s="34"/>
      <c r="AI2" s="34" t="s">
        <v>170</v>
      </c>
      <c r="AJ2" s="34"/>
      <c r="AK2" s="34"/>
      <c r="AL2" s="34"/>
      <c r="AM2" s="34"/>
      <c r="AN2" s="34"/>
      <c r="AP2" s="34" t="s">
        <v>171</v>
      </c>
      <c r="AQ2" s="34"/>
      <c r="AR2" s="34"/>
      <c r="AS2" s="34"/>
      <c r="AT2" s="34"/>
      <c r="AU2" s="34"/>
      <c r="AW2" s="34" t="s">
        <v>172</v>
      </c>
      <c r="AX2" s="34"/>
      <c r="AY2" s="34"/>
      <c r="AZ2" s="34"/>
      <c r="BA2" s="34"/>
      <c r="BB2" s="34"/>
      <c r="BD2" s="34" t="s">
        <v>173</v>
      </c>
      <c r="BE2" s="34"/>
      <c r="BF2" s="34"/>
      <c r="BG2" s="34"/>
      <c r="BH2" s="34"/>
      <c r="BI2" s="34"/>
      <c r="BK2" s="34" t="s">
        <v>174</v>
      </c>
      <c r="BL2" s="34"/>
      <c r="BM2" s="34"/>
      <c r="BN2" s="34"/>
      <c r="BO2" s="34"/>
      <c r="BP2" s="34"/>
      <c r="BR2" s="34" t="s">
        <v>175</v>
      </c>
      <c r="BS2" s="34"/>
      <c r="BT2" s="34"/>
      <c r="BU2" s="34"/>
      <c r="BV2" s="34"/>
      <c r="BW2" s="34"/>
      <c r="BY2" s="34" t="s">
        <v>176</v>
      </c>
      <c r="BZ2" s="34"/>
      <c r="CA2" s="34"/>
      <c r="CB2" s="34"/>
      <c r="CC2" s="34"/>
      <c r="CD2" s="34"/>
      <c r="CF2" s="34" t="s">
        <v>177</v>
      </c>
      <c r="CG2" s="34"/>
      <c r="CH2" s="34"/>
      <c r="CI2" s="34"/>
      <c r="CJ2" s="34"/>
      <c r="CK2" s="34"/>
      <c r="CM2" s="34" t="s">
        <v>178</v>
      </c>
      <c r="CN2" s="34"/>
      <c r="CO2" s="34"/>
      <c r="CP2" s="34"/>
      <c r="CQ2" s="34"/>
      <c r="CR2" s="34"/>
      <c r="CT2" s="34" t="s">
        <v>179</v>
      </c>
      <c r="CU2" s="34"/>
      <c r="CV2" s="34"/>
      <c r="CW2" s="34"/>
      <c r="CX2" s="34"/>
      <c r="CY2" s="34"/>
      <c r="DA2" s="34" t="s">
        <v>180</v>
      </c>
      <c r="DB2" s="34"/>
      <c r="DC2" s="34"/>
      <c r="DD2" s="34"/>
      <c r="DE2" s="34"/>
      <c r="DF2" s="34"/>
      <c r="DH2" s="34" t="s">
        <v>181</v>
      </c>
      <c r="DI2" s="34"/>
      <c r="DJ2" s="34"/>
      <c r="DK2" s="34"/>
      <c r="DL2" s="34"/>
      <c r="DM2" s="34"/>
      <c r="DO2" s="34" t="s">
        <v>182</v>
      </c>
      <c r="DP2" s="34"/>
      <c r="DQ2" s="34"/>
      <c r="DR2" s="34"/>
      <c r="DS2" s="34"/>
      <c r="DT2" s="34"/>
      <c r="DV2" s="34" t="s">
        <v>183</v>
      </c>
      <c r="DW2" s="34"/>
      <c r="DX2" s="34"/>
      <c r="DY2" s="34"/>
      <c r="DZ2" s="34"/>
      <c r="EA2" s="34"/>
      <c r="EC2" s="34" t="s">
        <v>184</v>
      </c>
      <c r="ED2" s="34"/>
      <c r="EE2" s="34"/>
      <c r="EF2" s="34"/>
      <c r="EG2" s="34"/>
      <c r="EH2" s="34"/>
      <c r="EJ2" s="34" t="s">
        <v>185</v>
      </c>
      <c r="EK2" s="34"/>
      <c r="EL2" s="34"/>
      <c r="EM2" s="34"/>
      <c r="EN2" s="34"/>
      <c r="EO2" s="34"/>
      <c r="EQ2" s="34" t="s">
        <v>186</v>
      </c>
      <c r="ER2" s="34"/>
      <c r="ES2" s="34"/>
      <c r="ET2" s="34"/>
      <c r="EU2" s="34"/>
      <c r="EV2" s="34"/>
      <c r="EX2" s="34" t="s">
        <v>187</v>
      </c>
      <c r="EY2" s="34"/>
      <c r="EZ2" s="34"/>
      <c r="FA2" s="34"/>
      <c r="FB2" s="34"/>
      <c r="FC2" s="34"/>
      <c r="FE2" s="34" t="s">
        <v>188</v>
      </c>
      <c r="FF2" s="34"/>
      <c r="FG2" s="34"/>
      <c r="FH2" s="34"/>
      <c r="FI2" s="34"/>
      <c r="FJ2" s="34"/>
      <c r="FL2" s="34" t="s">
        <v>189</v>
      </c>
      <c r="FM2" s="34"/>
      <c r="FN2" s="34"/>
      <c r="FO2" s="34"/>
      <c r="FP2" s="34"/>
      <c r="FQ2" s="34"/>
      <c r="FS2" s="34" t="s">
        <v>190</v>
      </c>
      <c r="FT2" s="34"/>
      <c r="FU2" s="34"/>
      <c r="FV2" s="34"/>
      <c r="FW2" s="34"/>
      <c r="FX2" s="34"/>
    </row>
    <row r="3" spans="2:180" x14ac:dyDescent="0.2">
      <c r="B3" s="6" t="s">
        <v>26</v>
      </c>
      <c r="C3" s="6" t="s">
        <v>1</v>
      </c>
      <c r="D3" s="6" t="s">
        <v>24</v>
      </c>
      <c r="E3" s="7" t="s">
        <v>33</v>
      </c>
      <c r="F3" s="6" t="s">
        <v>29</v>
      </c>
      <c r="G3" s="6" t="s">
        <v>34</v>
      </c>
      <c r="I3" s="7" t="s">
        <v>11</v>
      </c>
      <c r="J3" s="7" t="s">
        <v>2</v>
      </c>
      <c r="K3" s="7" t="s">
        <v>3</v>
      </c>
      <c r="L3" s="7" t="s">
        <v>12</v>
      </c>
      <c r="N3" s="6" t="s">
        <v>11</v>
      </c>
      <c r="O3" s="6" t="s">
        <v>2</v>
      </c>
      <c r="P3" s="6" t="s">
        <v>35</v>
      </c>
      <c r="Q3" s="6" t="s">
        <v>3</v>
      </c>
      <c r="R3" s="6" t="s">
        <v>35</v>
      </c>
      <c r="S3" s="6" t="s">
        <v>12</v>
      </c>
      <c r="U3" s="6" t="s">
        <v>11</v>
      </c>
      <c r="V3" s="6" t="s">
        <v>2</v>
      </c>
      <c r="W3" s="6" t="s">
        <v>35</v>
      </c>
      <c r="X3" s="6" t="s">
        <v>3</v>
      </c>
      <c r="Y3" s="6" t="s">
        <v>35</v>
      </c>
      <c r="Z3" s="6" t="s">
        <v>12</v>
      </c>
      <c r="AB3" s="6" t="s">
        <v>11</v>
      </c>
      <c r="AC3" s="6" t="s">
        <v>2</v>
      </c>
      <c r="AD3" s="6" t="s">
        <v>35</v>
      </c>
      <c r="AE3" s="6" t="s">
        <v>3</v>
      </c>
      <c r="AF3" s="6" t="s">
        <v>35</v>
      </c>
      <c r="AG3" s="6" t="s">
        <v>12</v>
      </c>
      <c r="AI3" s="6" t="s">
        <v>11</v>
      </c>
      <c r="AJ3" s="6" t="s">
        <v>2</v>
      </c>
      <c r="AK3" s="6" t="s">
        <v>35</v>
      </c>
      <c r="AL3" s="6" t="s">
        <v>3</v>
      </c>
      <c r="AM3" s="6" t="s">
        <v>35</v>
      </c>
      <c r="AN3" s="6" t="s">
        <v>12</v>
      </c>
      <c r="AP3" s="6" t="s">
        <v>11</v>
      </c>
      <c r="AQ3" s="6" t="s">
        <v>2</v>
      </c>
      <c r="AR3" s="6" t="s">
        <v>35</v>
      </c>
      <c r="AS3" s="6" t="s">
        <v>3</v>
      </c>
      <c r="AT3" s="6" t="s">
        <v>35</v>
      </c>
      <c r="AU3" s="6" t="s">
        <v>12</v>
      </c>
      <c r="AW3" s="6" t="s">
        <v>11</v>
      </c>
      <c r="AX3" s="6" t="s">
        <v>2</v>
      </c>
      <c r="AY3" s="6" t="s">
        <v>35</v>
      </c>
      <c r="AZ3" s="6" t="s">
        <v>3</v>
      </c>
      <c r="BA3" s="6" t="s">
        <v>35</v>
      </c>
      <c r="BB3" s="6" t="s">
        <v>12</v>
      </c>
      <c r="BD3" s="6" t="s">
        <v>11</v>
      </c>
      <c r="BE3" s="6" t="s">
        <v>2</v>
      </c>
      <c r="BF3" s="6" t="s">
        <v>35</v>
      </c>
      <c r="BG3" s="6" t="s">
        <v>3</v>
      </c>
      <c r="BH3" s="6" t="s">
        <v>35</v>
      </c>
      <c r="BI3" s="6" t="s">
        <v>12</v>
      </c>
      <c r="BK3" s="6" t="s">
        <v>11</v>
      </c>
      <c r="BL3" s="6" t="s">
        <v>2</v>
      </c>
      <c r="BM3" s="6" t="s">
        <v>35</v>
      </c>
      <c r="BN3" s="6" t="s">
        <v>3</v>
      </c>
      <c r="BO3" s="6" t="s">
        <v>35</v>
      </c>
      <c r="BP3" s="6" t="s">
        <v>12</v>
      </c>
      <c r="BR3" s="6" t="s">
        <v>11</v>
      </c>
      <c r="BS3" s="6" t="s">
        <v>2</v>
      </c>
      <c r="BT3" s="6" t="s">
        <v>35</v>
      </c>
      <c r="BU3" s="6" t="s">
        <v>3</v>
      </c>
      <c r="BV3" s="6" t="s">
        <v>35</v>
      </c>
      <c r="BW3" s="6" t="s">
        <v>12</v>
      </c>
      <c r="BY3" s="6" t="s">
        <v>11</v>
      </c>
      <c r="BZ3" s="6" t="s">
        <v>2</v>
      </c>
      <c r="CA3" s="6" t="s">
        <v>35</v>
      </c>
      <c r="CB3" s="6" t="s">
        <v>3</v>
      </c>
      <c r="CC3" s="6" t="s">
        <v>35</v>
      </c>
      <c r="CD3" s="6" t="s">
        <v>12</v>
      </c>
      <c r="CF3" s="6" t="s">
        <v>11</v>
      </c>
      <c r="CG3" s="6" t="s">
        <v>2</v>
      </c>
      <c r="CH3" s="6" t="s">
        <v>35</v>
      </c>
      <c r="CI3" s="6" t="s">
        <v>3</v>
      </c>
      <c r="CJ3" s="6" t="s">
        <v>35</v>
      </c>
      <c r="CK3" s="6" t="s">
        <v>12</v>
      </c>
      <c r="CM3" s="6" t="s">
        <v>11</v>
      </c>
      <c r="CN3" s="6" t="s">
        <v>2</v>
      </c>
      <c r="CO3" s="6" t="s">
        <v>35</v>
      </c>
      <c r="CP3" s="6" t="s">
        <v>3</v>
      </c>
      <c r="CQ3" s="6" t="s">
        <v>35</v>
      </c>
      <c r="CR3" s="6" t="s">
        <v>12</v>
      </c>
      <c r="CT3" s="6" t="s">
        <v>11</v>
      </c>
      <c r="CU3" s="6" t="s">
        <v>2</v>
      </c>
      <c r="CV3" s="6" t="s">
        <v>35</v>
      </c>
      <c r="CW3" s="6" t="s">
        <v>3</v>
      </c>
      <c r="CX3" s="6" t="s">
        <v>35</v>
      </c>
      <c r="CY3" s="6" t="s">
        <v>12</v>
      </c>
      <c r="DA3" s="6" t="s">
        <v>11</v>
      </c>
      <c r="DB3" s="6" t="s">
        <v>2</v>
      </c>
      <c r="DC3" s="6" t="s">
        <v>35</v>
      </c>
      <c r="DD3" s="6" t="s">
        <v>3</v>
      </c>
      <c r="DE3" s="6" t="s">
        <v>35</v>
      </c>
      <c r="DF3" s="6" t="s">
        <v>12</v>
      </c>
      <c r="DH3" s="6" t="s">
        <v>11</v>
      </c>
      <c r="DI3" s="6" t="s">
        <v>2</v>
      </c>
      <c r="DJ3" s="6" t="s">
        <v>35</v>
      </c>
      <c r="DK3" s="6" t="s">
        <v>3</v>
      </c>
      <c r="DL3" s="6" t="s">
        <v>35</v>
      </c>
      <c r="DM3" s="6" t="s">
        <v>12</v>
      </c>
      <c r="DO3" s="6" t="s">
        <v>11</v>
      </c>
      <c r="DP3" s="6" t="s">
        <v>2</v>
      </c>
      <c r="DQ3" s="6" t="s">
        <v>35</v>
      </c>
      <c r="DR3" s="6" t="s">
        <v>3</v>
      </c>
      <c r="DS3" s="6" t="s">
        <v>35</v>
      </c>
      <c r="DT3" s="6" t="s">
        <v>12</v>
      </c>
      <c r="DV3" s="6" t="s">
        <v>11</v>
      </c>
      <c r="DW3" s="6" t="s">
        <v>2</v>
      </c>
      <c r="DX3" s="6" t="s">
        <v>35</v>
      </c>
      <c r="DY3" s="6" t="s">
        <v>3</v>
      </c>
      <c r="DZ3" s="6" t="s">
        <v>35</v>
      </c>
      <c r="EA3" s="6" t="s">
        <v>12</v>
      </c>
      <c r="EC3" s="6" t="s">
        <v>11</v>
      </c>
      <c r="ED3" s="6" t="s">
        <v>2</v>
      </c>
      <c r="EE3" s="6" t="s">
        <v>35</v>
      </c>
      <c r="EF3" s="6" t="s">
        <v>3</v>
      </c>
      <c r="EG3" s="6" t="s">
        <v>35</v>
      </c>
      <c r="EH3" s="6" t="s">
        <v>12</v>
      </c>
      <c r="EJ3" s="6" t="s">
        <v>11</v>
      </c>
      <c r="EK3" s="6" t="s">
        <v>2</v>
      </c>
      <c r="EL3" s="6" t="s">
        <v>35</v>
      </c>
      <c r="EM3" s="6" t="s">
        <v>3</v>
      </c>
      <c r="EN3" s="6" t="s">
        <v>35</v>
      </c>
      <c r="EO3" s="6" t="s">
        <v>12</v>
      </c>
      <c r="EQ3" s="6" t="s">
        <v>11</v>
      </c>
      <c r="ER3" s="6" t="s">
        <v>2</v>
      </c>
      <c r="ES3" s="6" t="s">
        <v>35</v>
      </c>
      <c r="ET3" s="6" t="s">
        <v>3</v>
      </c>
      <c r="EU3" s="6" t="s">
        <v>35</v>
      </c>
      <c r="EV3" s="6" t="s">
        <v>12</v>
      </c>
      <c r="EX3" s="6" t="s">
        <v>11</v>
      </c>
      <c r="EY3" s="6" t="s">
        <v>2</v>
      </c>
      <c r="EZ3" s="6" t="s">
        <v>35</v>
      </c>
      <c r="FA3" s="6" t="s">
        <v>3</v>
      </c>
      <c r="FB3" s="6" t="s">
        <v>35</v>
      </c>
      <c r="FC3" s="6" t="s">
        <v>12</v>
      </c>
      <c r="FE3" s="6" t="s">
        <v>11</v>
      </c>
      <c r="FF3" s="6" t="s">
        <v>2</v>
      </c>
      <c r="FG3" s="6" t="s">
        <v>35</v>
      </c>
      <c r="FH3" s="6" t="s">
        <v>3</v>
      </c>
      <c r="FI3" s="6" t="s">
        <v>35</v>
      </c>
      <c r="FJ3" s="6" t="s">
        <v>12</v>
      </c>
      <c r="FL3" s="6" t="s">
        <v>11</v>
      </c>
      <c r="FM3" s="6" t="s">
        <v>2</v>
      </c>
      <c r="FN3" s="6" t="s">
        <v>35</v>
      </c>
      <c r="FO3" s="6" t="s">
        <v>3</v>
      </c>
      <c r="FP3" s="6" t="s">
        <v>35</v>
      </c>
      <c r="FQ3" s="6" t="s">
        <v>12</v>
      </c>
      <c r="FS3" s="6" t="s">
        <v>11</v>
      </c>
      <c r="FT3" s="6" t="s">
        <v>2</v>
      </c>
      <c r="FU3" s="6" t="s">
        <v>35</v>
      </c>
      <c r="FV3" s="6" t="s">
        <v>3</v>
      </c>
      <c r="FW3" s="6" t="s">
        <v>35</v>
      </c>
      <c r="FX3" s="6" t="s">
        <v>12</v>
      </c>
    </row>
    <row r="4" spans="2:180" ht="17" thickBot="1" x14ac:dyDescent="0.25">
      <c r="B4" s="3" t="s">
        <v>27</v>
      </c>
      <c r="C4" s="3" t="s">
        <v>103</v>
      </c>
      <c r="D4" s="33">
        <v>44943</v>
      </c>
      <c r="E4" s="11">
        <v>6</v>
      </c>
      <c r="F4">
        <f>(13*3)/22</f>
        <v>1.7727272727272727</v>
      </c>
      <c r="G4" s="12">
        <f>+SUM(G5:G10)</f>
        <v>0.4</v>
      </c>
      <c r="I4" s="14">
        <f>+SUM(I5:I10)</f>
        <v>0</v>
      </c>
      <c r="J4" s="13">
        <f>+SUMPRODUCT(G5:G10,J5:J10)</f>
        <v>0</v>
      </c>
      <c r="K4" s="13">
        <f>+SUMPRODUCT(G5:G10,K5:K10)</f>
        <v>0</v>
      </c>
      <c r="L4" s="11"/>
      <c r="N4" s="14">
        <f>+SUM(N5:N10)</f>
        <v>0</v>
      </c>
      <c r="U4" s="14">
        <f>+SUM(U5:U10)</f>
        <v>0</v>
      </c>
      <c r="AB4" s="14">
        <f>+SUM(AB5:AB10)</f>
        <v>0</v>
      </c>
      <c r="AI4" s="14">
        <f>+SUM(AI5:AI10)</f>
        <v>0</v>
      </c>
      <c r="AP4" s="14">
        <f>+SUM(AP5:AP10)</f>
        <v>0</v>
      </c>
      <c r="AW4" s="14">
        <f>+SUM(AW5:AW10)</f>
        <v>0</v>
      </c>
      <c r="BD4" s="14">
        <f>+SUM(BD5:BD10)</f>
        <v>0</v>
      </c>
      <c r="BK4" s="14">
        <f>+SUM(BK5:BK10)</f>
        <v>0</v>
      </c>
      <c r="BR4" s="14">
        <f>+SUM(BR5:BR10)</f>
        <v>0</v>
      </c>
      <c r="BY4" s="14">
        <f>+SUM(BY5:BY10)</f>
        <v>0</v>
      </c>
      <c r="CF4" s="14">
        <f>+SUM(CF5:CF10)</f>
        <v>0</v>
      </c>
      <c r="CM4" s="14">
        <f>+SUM(CM5:CM10)</f>
        <v>0</v>
      </c>
      <c r="CT4" s="14">
        <f>+SUM(CT5:CT10)</f>
        <v>0</v>
      </c>
      <c r="DA4" s="14">
        <f>+SUM(DA5:DA10)</f>
        <v>0</v>
      </c>
      <c r="DH4" s="14">
        <f>+SUM(DH5:DH10)</f>
        <v>0</v>
      </c>
      <c r="DO4" s="14">
        <f>+SUM(DO5:DO10)</f>
        <v>0</v>
      </c>
      <c r="DV4" s="14">
        <f>+SUM(DV5:DV10)</f>
        <v>0</v>
      </c>
      <c r="EC4" s="14">
        <f>+SUM(EC5:EC10)</f>
        <v>0</v>
      </c>
      <c r="EJ4" s="14">
        <f>+SUM(EJ5:EJ10)</f>
        <v>0</v>
      </c>
      <c r="EQ4" s="14">
        <f>+SUM(EQ5:EQ10)</f>
        <v>0</v>
      </c>
      <c r="EX4" s="14">
        <f>+SUM(EX5:EX10)</f>
        <v>0</v>
      </c>
      <c r="FE4" s="14">
        <f>+SUM(FE5:FE10)</f>
        <v>0</v>
      </c>
      <c r="FL4" s="14">
        <f>+SUM(FL5:FL10)</f>
        <v>0</v>
      </c>
      <c r="FS4" s="14">
        <f>+SUM(FS5:FS10)</f>
        <v>0</v>
      </c>
    </row>
    <row r="5" spans="2:180" outlineLevel="1" x14ac:dyDescent="0.2">
      <c r="B5" t="s">
        <v>28</v>
      </c>
      <c r="C5" t="s">
        <v>103</v>
      </c>
      <c r="E5" s="11"/>
      <c r="F5" t="s">
        <v>90</v>
      </c>
      <c r="G5" s="12">
        <v>0.1</v>
      </c>
      <c r="I5" s="11">
        <f>+SUMIF($N$3:$ZZ$3,I$3,$N5:$ZZ5)</f>
        <v>0</v>
      </c>
      <c r="J5" s="13" cm="1">
        <f t="array" ref="J5">MAX(IF($N$3:$EH$3=$J$3,N5:EH5))</f>
        <v>0</v>
      </c>
      <c r="K5" s="13" cm="1">
        <f t="array" ref="K5">MAX(IF($N$3:$EH$3=$J$3,N5:EH5))</f>
        <v>0</v>
      </c>
      <c r="L5" s="11"/>
      <c r="O5" s="12"/>
      <c r="P5" s="12">
        <v>0.5</v>
      </c>
      <c r="Q5" s="12"/>
      <c r="R5" s="12"/>
      <c r="V5" s="24"/>
      <c r="W5" s="25">
        <v>0.8</v>
      </c>
      <c r="X5" s="12"/>
      <c r="Y5" s="12"/>
      <c r="AC5" s="24"/>
      <c r="AD5" s="25">
        <v>1</v>
      </c>
      <c r="AE5" s="12"/>
      <c r="AF5" s="12"/>
      <c r="AJ5" s="12"/>
      <c r="AK5" s="12"/>
      <c r="AL5" s="12"/>
      <c r="AM5" s="12"/>
      <c r="AQ5" s="12"/>
      <c r="AR5" s="12"/>
      <c r="AS5" s="12"/>
      <c r="AT5" s="12"/>
      <c r="AX5" s="12"/>
      <c r="AY5" s="12"/>
      <c r="AZ5" s="12"/>
      <c r="BA5" s="12"/>
      <c r="BE5" s="12"/>
      <c r="BF5" s="12"/>
      <c r="BG5" s="12"/>
      <c r="BH5" s="12"/>
      <c r="BL5" s="12"/>
      <c r="BM5" s="12"/>
      <c r="BN5" s="12"/>
      <c r="BO5" s="12"/>
      <c r="BS5" s="12"/>
      <c r="BT5" s="12"/>
      <c r="BU5" s="12"/>
      <c r="BV5" s="12"/>
      <c r="BZ5" s="12"/>
      <c r="CA5" s="12"/>
      <c r="CB5" s="12"/>
      <c r="CC5" s="12"/>
      <c r="CG5" s="12"/>
      <c r="CH5" s="12"/>
      <c r="CI5" s="12"/>
      <c r="CJ5" s="12"/>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c r="ER5" s="12"/>
      <c r="ES5" s="12"/>
      <c r="ET5" s="12"/>
      <c r="EU5" s="12"/>
      <c r="EY5" s="12"/>
      <c r="EZ5" s="12">
        <v>1</v>
      </c>
      <c r="FA5" s="12"/>
      <c r="FB5" s="12">
        <v>1</v>
      </c>
      <c r="FF5" s="12"/>
      <c r="FG5" s="12">
        <v>1</v>
      </c>
      <c r="FH5" s="12"/>
      <c r="FI5" s="12">
        <v>1</v>
      </c>
      <c r="FM5" s="12"/>
      <c r="FN5" s="12">
        <v>1</v>
      </c>
      <c r="FO5" s="12"/>
      <c r="FP5" s="12">
        <v>1</v>
      </c>
      <c r="FT5" s="12"/>
      <c r="FU5" s="12">
        <v>1</v>
      </c>
      <c r="FV5" s="12"/>
      <c r="FW5" s="12">
        <v>1</v>
      </c>
    </row>
    <row r="6" spans="2:180" outlineLevel="1" x14ac:dyDescent="0.2">
      <c r="B6" t="s">
        <v>28</v>
      </c>
      <c r="C6" t="s">
        <v>103</v>
      </c>
      <c r="E6" s="11"/>
      <c r="F6" t="s">
        <v>91</v>
      </c>
      <c r="G6" s="12">
        <v>0.05</v>
      </c>
      <c r="I6" s="11">
        <f t="shared" ref="I6:I10" si="0">+SUMIF($N$3:$ZZ$3,I$3,$N6:$ZZ6)</f>
        <v>0</v>
      </c>
      <c r="J6" s="13" cm="1">
        <f t="array" ref="J6">MAX(IF($N$3:$EH$3=$J$3,N6:EH6))</f>
        <v>0</v>
      </c>
      <c r="K6" s="13" cm="1">
        <f t="array" ref="K6">MAX(IF($N$3:$EH$3=$J$3,N6:EH6))</f>
        <v>0</v>
      </c>
      <c r="L6" s="11"/>
      <c r="O6" s="12"/>
      <c r="P6" s="12">
        <v>0.5</v>
      </c>
      <c r="Q6" s="12"/>
      <c r="R6" s="12"/>
      <c r="V6" s="26"/>
      <c r="W6" s="27">
        <v>0.8</v>
      </c>
      <c r="X6" s="12"/>
      <c r="Y6" s="12"/>
      <c r="AC6" s="26"/>
      <c r="AD6" s="27">
        <v>1</v>
      </c>
      <c r="AE6" s="12"/>
      <c r="AF6" s="12"/>
      <c r="AJ6" s="12"/>
      <c r="AK6" s="12"/>
      <c r="AL6" s="12"/>
      <c r="AM6" s="12"/>
      <c r="AQ6" s="12"/>
      <c r="AR6" s="12"/>
      <c r="AS6" s="12"/>
      <c r="AT6" s="12"/>
      <c r="AX6" s="12"/>
      <c r="AY6" s="12"/>
      <c r="AZ6" s="12"/>
      <c r="BA6" s="12"/>
      <c r="BE6" s="12"/>
      <c r="BF6" s="12"/>
      <c r="BG6" s="12"/>
      <c r="BH6" s="12"/>
      <c r="BL6" s="12"/>
      <c r="BM6" s="12"/>
      <c r="BN6" s="12"/>
      <c r="BO6" s="12"/>
      <c r="BS6" s="12"/>
      <c r="BT6" s="12"/>
      <c r="BU6" s="12"/>
      <c r="BV6" s="12"/>
      <c r="BZ6" s="12"/>
      <c r="CA6" s="12"/>
      <c r="CB6" s="12"/>
      <c r="CC6" s="12"/>
      <c r="CG6" s="12"/>
      <c r="CH6" s="12"/>
      <c r="CI6" s="12"/>
      <c r="CJ6" s="12"/>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c r="ER6" s="12"/>
      <c r="ES6" s="12"/>
      <c r="ET6" s="12"/>
      <c r="EU6" s="12"/>
      <c r="EY6" s="12"/>
      <c r="EZ6" s="12">
        <v>1</v>
      </c>
      <c r="FA6" s="12"/>
      <c r="FB6" s="12">
        <v>1</v>
      </c>
      <c r="FF6" s="12"/>
      <c r="FG6" s="12">
        <v>1</v>
      </c>
      <c r="FH6" s="12"/>
      <c r="FI6" s="12">
        <v>1</v>
      </c>
      <c r="FM6" s="12"/>
      <c r="FN6" s="12">
        <v>1</v>
      </c>
      <c r="FO6" s="12"/>
      <c r="FP6" s="12">
        <v>1</v>
      </c>
      <c r="FT6" s="12"/>
      <c r="FU6" s="12">
        <v>1</v>
      </c>
      <c r="FV6" s="12"/>
      <c r="FW6" s="12">
        <v>1</v>
      </c>
    </row>
    <row r="7" spans="2:180" outlineLevel="1" x14ac:dyDescent="0.2">
      <c r="B7" t="s">
        <v>28</v>
      </c>
      <c r="C7" t="s">
        <v>103</v>
      </c>
      <c r="E7" s="11"/>
      <c r="F7" t="s">
        <v>92</v>
      </c>
      <c r="G7" s="12">
        <v>0.05</v>
      </c>
      <c r="I7" s="11">
        <f t="shared" si="0"/>
        <v>0</v>
      </c>
      <c r="J7" s="13" cm="1">
        <f t="array" ref="J7">MAX(IF($N$3:$EH$3=$J$3,N7:EH7))</f>
        <v>0</v>
      </c>
      <c r="K7" s="13" cm="1">
        <f t="array" ref="K7">MAX(IF($N$3:$EH$3=$J$3,N7:EH7))</f>
        <v>0</v>
      </c>
      <c r="L7" s="11"/>
      <c r="O7" s="12"/>
      <c r="P7" s="12"/>
      <c r="Q7" s="12"/>
      <c r="R7" s="12"/>
      <c r="V7" s="26"/>
      <c r="W7" s="27">
        <v>0.8</v>
      </c>
      <c r="X7" s="12"/>
      <c r="Y7" s="12"/>
      <c r="AC7" s="26"/>
      <c r="AD7" s="27">
        <v>1</v>
      </c>
      <c r="AE7" s="12"/>
      <c r="AF7" s="12"/>
      <c r="AJ7" s="12"/>
      <c r="AK7" s="12"/>
      <c r="AL7" s="12"/>
      <c r="AM7" s="12"/>
      <c r="AQ7" s="12"/>
      <c r="AR7" s="12"/>
      <c r="AS7" s="12"/>
      <c r="AT7" s="12"/>
      <c r="AX7" s="12"/>
      <c r="AY7" s="12"/>
      <c r="AZ7" s="12"/>
      <c r="BA7" s="12"/>
      <c r="BE7" s="12"/>
      <c r="BF7" s="12"/>
      <c r="BG7" s="12"/>
      <c r="BH7" s="12"/>
      <c r="BL7" s="12"/>
      <c r="BM7" s="12"/>
      <c r="BN7" s="12"/>
      <c r="BO7" s="12"/>
      <c r="BS7" s="12"/>
      <c r="BT7" s="12"/>
      <c r="BU7" s="12"/>
      <c r="BV7" s="12"/>
      <c r="BZ7" s="12"/>
      <c r="CA7" s="12"/>
      <c r="CB7" s="12"/>
      <c r="CC7" s="12"/>
      <c r="CG7" s="12"/>
      <c r="CH7" s="12"/>
      <c r="CI7" s="12"/>
      <c r="CJ7" s="12"/>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c r="ER7" s="12"/>
      <c r="ES7" s="12"/>
      <c r="ET7" s="12"/>
      <c r="EU7" s="12"/>
      <c r="EY7" s="12"/>
      <c r="EZ7" s="12">
        <v>1</v>
      </c>
      <c r="FA7" s="12"/>
      <c r="FB7" s="12">
        <v>1</v>
      </c>
      <c r="FF7" s="12"/>
      <c r="FG7" s="12">
        <v>1</v>
      </c>
      <c r="FH7" s="12"/>
      <c r="FI7" s="12">
        <v>1</v>
      </c>
      <c r="FM7" s="12"/>
      <c r="FN7" s="12">
        <v>1</v>
      </c>
      <c r="FO7" s="12"/>
      <c r="FP7" s="12">
        <v>1</v>
      </c>
      <c r="FT7" s="12"/>
      <c r="FU7" s="12">
        <v>1</v>
      </c>
      <c r="FV7" s="12"/>
      <c r="FW7" s="12">
        <v>1</v>
      </c>
    </row>
    <row r="8" spans="2:180" ht="17" outlineLevel="1" thickBot="1" x14ac:dyDescent="0.25">
      <c r="B8" t="s">
        <v>28</v>
      </c>
      <c r="C8" t="s">
        <v>103</v>
      </c>
      <c r="E8" s="11"/>
      <c r="F8" t="s">
        <v>93</v>
      </c>
      <c r="G8" s="12">
        <v>0.05</v>
      </c>
      <c r="I8" s="11">
        <f t="shared" si="0"/>
        <v>0</v>
      </c>
      <c r="J8" s="13" cm="1">
        <f t="array" ref="J8">MAX(IF($N$3:$EH$3=$J$3,N8:EH8))</f>
        <v>0</v>
      </c>
      <c r="K8" s="13" cm="1">
        <f t="array" ref="K8">MAX(IF($N$3:$EH$3=$J$3,N8:EH8))</f>
        <v>0</v>
      </c>
      <c r="L8" s="11"/>
      <c r="O8" s="12"/>
      <c r="P8" s="12"/>
      <c r="Q8" s="12"/>
      <c r="R8" s="12"/>
      <c r="V8" s="28"/>
      <c r="W8" s="29">
        <v>0.8</v>
      </c>
      <c r="X8" s="12"/>
      <c r="Y8" s="12"/>
      <c r="AC8" s="28"/>
      <c r="AD8" s="29">
        <v>1</v>
      </c>
      <c r="AE8" s="12"/>
      <c r="AF8" s="12"/>
      <c r="AJ8" s="12"/>
      <c r="AK8" s="12"/>
      <c r="AL8" s="12"/>
      <c r="AM8" s="12"/>
      <c r="AQ8" s="12"/>
      <c r="AR8" s="12"/>
      <c r="AS8" s="12"/>
      <c r="AT8" s="12"/>
      <c r="AX8" s="12"/>
      <c r="AY8" s="12"/>
      <c r="AZ8" s="12"/>
      <c r="BA8" s="12"/>
      <c r="BE8" s="12"/>
      <c r="BF8" s="12"/>
      <c r="BG8" s="12"/>
      <c r="BH8" s="12"/>
      <c r="BL8" s="12"/>
      <c r="BM8" s="12"/>
      <c r="BN8" s="12"/>
      <c r="BO8" s="12"/>
      <c r="BS8" s="12"/>
      <c r="BT8" s="12"/>
      <c r="BU8" s="12"/>
      <c r="BV8" s="12"/>
      <c r="BZ8" s="12"/>
      <c r="CA8" s="12"/>
      <c r="CB8" s="12"/>
      <c r="CC8" s="12"/>
      <c r="CG8" s="12"/>
      <c r="CH8" s="12"/>
      <c r="CI8" s="12"/>
      <c r="CJ8" s="12"/>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c r="ER8" s="12"/>
      <c r="ES8" s="12"/>
      <c r="ET8" s="12"/>
      <c r="EU8" s="12"/>
      <c r="EY8" s="12"/>
      <c r="EZ8" s="12">
        <v>1</v>
      </c>
      <c r="FA8" s="12"/>
      <c r="FB8" s="12">
        <v>1</v>
      </c>
      <c r="FF8" s="12"/>
      <c r="FG8" s="12">
        <v>1</v>
      </c>
      <c r="FH8" s="12"/>
      <c r="FI8" s="12">
        <v>1</v>
      </c>
      <c r="FM8" s="12"/>
      <c r="FN8" s="12">
        <v>1</v>
      </c>
      <c r="FO8" s="12"/>
      <c r="FP8" s="12">
        <v>1</v>
      </c>
      <c r="FT8" s="12"/>
      <c r="FU8" s="12">
        <v>1</v>
      </c>
      <c r="FV8" s="12"/>
      <c r="FW8" s="12">
        <v>1</v>
      </c>
    </row>
    <row r="9" spans="2:180" outlineLevel="1" x14ac:dyDescent="0.2">
      <c r="B9" t="s">
        <v>28</v>
      </c>
      <c r="C9" t="s">
        <v>103</v>
      </c>
      <c r="E9" s="11"/>
      <c r="F9" t="s">
        <v>94</v>
      </c>
      <c r="G9" s="12">
        <v>0.05</v>
      </c>
      <c r="I9" s="11">
        <f t="shared" si="0"/>
        <v>0</v>
      </c>
      <c r="J9" s="13" cm="1">
        <f t="array" ref="J9">MAX(IF($N$3:$EH$3=$J$3,N9:EH9))</f>
        <v>0</v>
      </c>
      <c r="K9" s="13" cm="1">
        <f t="array" ref="K9">MAX(IF($N$3:$EH$3=$J$3,N9:EH9))</f>
        <v>0</v>
      </c>
      <c r="L9" s="11"/>
      <c r="O9" s="12"/>
      <c r="P9" s="12"/>
      <c r="Q9" s="12"/>
      <c r="R9" s="12"/>
      <c r="V9" s="12"/>
      <c r="W9" s="12"/>
      <c r="X9" s="12"/>
      <c r="Y9" s="12"/>
      <c r="AC9" s="12"/>
      <c r="AD9" s="12">
        <v>0.5</v>
      </c>
      <c r="AE9" s="12"/>
      <c r="AF9" s="12"/>
      <c r="AJ9" s="24"/>
      <c r="AK9" s="25">
        <v>1</v>
      </c>
      <c r="AL9" s="12"/>
      <c r="AM9" s="12"/>
      <c r="AQ9" s="12"/>
      <c r="AR9" s="12"/>
      <c r="AS9" s="12"/>
      <c r="AT9" s="12"/>
      <c r="AX9" s="12"/>
      <c r="AY9" s="12"/>
      <c r="AZ9" s="12"/>
      <c r="BA9" s="12"/>
      <c r="BE9" s="12"/>
      <c r="BF9" s="12"/>
      <c r="BG9" s="12"/>
      <c r="BH9" s="12"/>
      <c r="BL9" s="12"/>
      <c r="BM9" s="12"/>
      <c r="BN9" s="12"/>
      <c r="BO9" s="12"/>
      <c r="BS9" s="12"/>
      <c r="BT9" s="12"/>
      <c r="BU9" s="12"/>
      <c r="BV9" s="12"/>
      <c r="BZ9" s="12"/>
      <c r="CA9" s="12"/>
      <c r="CB9" s="12"/>
      <c r="CC9" s="12"/>
      <c r="CG9" s="12"/>
      <c r="CH9" s="12"/>
      <c r="CI9" s="12"/>
      <c r="CJ9" s="12"/>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c r="ER9" s="12"/>
      <c r="ES9" s="12"/>
      <c r="ET9" s="12"/>
      <c r="EU9" s="12"/>
      <c r="EY9" s="12"/>
      <c r="EZ9" s="12">
        <v>1</v>
      </c>
      <c r="FA9" s="12"/>
      <c r="FB9" s="12">
        <v>1</v>
      </c>
      <c r="FF9" s="12"/>
      <c r="FG9" s="12">
        <v>1</v>
      </c>
      <c r="FH9" s="12"/>
      <c r="FI9" s="12">
        <v>1</v>
      </c>
      <c r="FM9" s="12"/>
      <c r="FN9" s="12">
        <v>1</v>
      </c>
      <c r="FO9" s="12"/>
      <c r="FP9" s="12">
        <v>1</v>
      </c>
      <c r="FT9" s="12"/>
      <c r="FU9" s="12">
        <v>1</v>
      </c>
      <c r="FV9" s="12"/>
      <c r="FW9" s="12">
        <v>1</v>
      </c>
    </row>
    <row r="10" spans="2:180" outlineLevel="1" x14ac:dyDescent="0.2">
      <c r="B10" t="s">
        <v>28</v>
      </c>
      <c r="C10" t="s">
        <v>103</v>
      </c>
      <c r="E10" s="11"/>
      <c r="F10" t="s">
        <v>95</v>
      </c>
      <c r="G10" s="12">
        <v>0.1</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26"/>
      <c r="AK10" s="27">
        <v>1</v>
      </c>
      <c r="AL10" s="12"/>
      <c r="AM10" s="12"/>
      <c r="AQ10" s="12"/>
      <c r="AR10" s="12"/>
      <c r="AS10" s="12"/>
      <c r="AT10" s="12"/>
      <c r="AX10" s="12"/>
      <c r="AY10" s="12"/>
      <c r="AZ10" s="12"/>
      <c r="BA10" s="12"/>
      <c r="BE10" s="12"/>
      <c r="BF10" s="12"/>
      <c r="BG10" s="12"/>
      <c r="BH10" s="12"/>
      <c r="BL10" s="12"/>
      <c r="BM10" s="12"/>
      <c r="BN10" s="12"/>
      <c r="BO10" s="12"/>
      <c r="BS10" s="12"/>
      <c r="BT10" s="12"/>
      <c r="BU10" s="12"/>
      <c r="BV10" s="12"/>
      <c r="BZ10" s="12"/>
      <c r="CA10" s="12"/>
      <c r="CB10" s="12"/>
      <c r="CC10" s="12"/>
      <c r="CG10" s="12"/>
      <c r="CH10" s="12"/>
      <c r="CI10" s="12"/>
      <c r="CJ10" s="12"/>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12"/>
      <c r="EZ10" s="12">
        <v>1</v>
      </c>
      <c r="FA10" s="12"/>
      <c r="FB10" s="12">
        <v>1</v>
      </c>
      <c r="FF10" s="12"/>
      <c r="FG10" s="12">
        <v>1</v>
      </c>
      <c r="FH10" s="12"/>
      <c r="FI10" s="12">
        <v>1</v>
      </c>
      <c r="FM10" s="12"/>
      <c r="FN10" s="12">
        <v>1</v>
      </c>
      <c r="FO10" s="12"/>
      <c r="FP10" s="12">
        <v>1</v>
      </c>
      <c r="FT10" s="12"/>
      <c r="FU10" s="12">
        <v>1</v>
      </c>
      <c r="FV10" s="12"/>
      <c r="FW10" s="12">
        <v>1</v>
      </c>
    </row>
    <row r="11" spans="2:180" outlineLevel="1" x14ac:dyDescent="0.2">
      <c r="B11" t="s">
        <v>28</v>
      </c>
      <c r="C11" t="s">
        <v>103</v>
      </c>
      <c r="E11" s="11"/>
      <c r="F11" t="s">
        <v>96</v>
      </c>
      <c r="G11" s="12"/>
      <c r="I11" s="11"/>
      <c r="J11" s="13" cm="1">
        <f t="array" ref="J11">MAX(IF($N$3:$EH$3=$J$3,N11:EH11))</f>
        <v>0</v>
      </c>
      <c r="K11" s="13" cm="1">
        <f t="array" ref="K11">MAX(IF($N$3:$EH$3=$J$3,N11:EH11))</f>
        <v>0</v>
      </c>
      <c r="L11" s="11"/>
      <c r="O11" s="12"/>
      <c r="P11" s="12"/>
      <c r="Q11" s="12"/>
      <c r="R11" s="12"/>
      <c r="V11" s="12"/>
      <c r="W11" s="12"/>
      <c r="X11" s="12"/>
      <c r="Y11" s="12"/>
      <c r="AC11" s="12"/>
      <c r="AD11" s="12"/>
      <c r="AE11" s="12"/>
      <c r="AF11" s="12"/>
      <c r="AJ11" s="26"/>
      <c r="AK11" s="27">
        <v>1</v>
      </c>
      <c r="AL11" s="12"/>
      <c r="AM11" s="12"/>
      <c r="AQ11" s="12"/>
      <c r="AR11" s="12"/>
      <c r="AS11" s="12"/>
      <c r="AT11" s="12"/>
      <c r="AX11" s="12"/>
      <c r="AY11" s="12"/>
      <c r="AZ11" s="12"/>
      <c r="BA11" s="12"/>
      <c r="BE11" s="12"/>
      <c r="BF11" s="12"/>
      <c r="BG11" s="12"/>
      <c r="BH11" s="12"/>
      <c r="BL11" s="12"/>
      <c r="BM11" s="12"/>
      <c r="BN11" s="12"/>
      <c r="BO11" s="12"/>
      <c r="BS11" s="12"/>
      <c r="BT11" s="12"/>
      <c r="BU11" s="12"/>
      <c r="BV11" s="12"/>
      <c r="BZ11" s="12"/>
      <c r="CA11" s="12"/>
      <c r="CB11" s="12"/>
      <c r="CC11" s="12"/>
      <c r="CG11" s="12"/>
      <c r="CH11" s="12"/>
      <c r="CI11" s="12"/>
      <c r="CJ11" s="12"/>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12"/>
      <c r="EZ11" s="12">
        <v>1</v>
      </c>
      <c r="FA11" s="12"/>
      <c r="FB11" s="12">
        <v>1</v>
      </c>
      <c r="FF11" s="12"/>
      <c r="FG11" s="12">
        <v>1</v>
      </c>
      <c r="FH11" s="12"/>
      <c r="FI11" s="12">
        <v>1</v>
      </c>
      <c r="FM11" s="12"/>
      <c r="FN11" s="12">
        <v>1</v>
      </c>
      <c r="FO11" s="12"/>
      <c r="FP11" s="12">
        <v>1</v>
      </c>
      <c r="FT11" s="12"/>
      <c r="FU11" s="12"/>
      <c r="FV11" s="12"/>
      <c r="FW11" s="12"/>
    </row>
    <row r="12" spans="2:180" ht="17" outlineLevel="1" thickBot="1" x14ac:dyDescent="0.25">
      <c r="B12" t="s">
        <v>28</v>
      </c>
      <c r="C12" t="s">
        <v>103</v>
      </c>
      <c r="E12" s="11"/>
      <c r="F12" t="s">
        <v>97</v>
      </c>
      <c r="G12" s="12">
        <f>+SUM(G13:G19)</f>
        <v>0.85</v>
      </c>
      <c r="I12" s="11">
        <f>+SUM(I13:I19)</f>
        <v>0</v>
      </c>
      <c r="J12" s="13">
        <f>+SUMPRODUCT(G13:G19,J13:J19)</f>
        <v>0</v>
      </c>
      <c r="K12" s="13">
        <f>+SUMPRODUCT(G13:G19,K13:K19)</f>
        <v>0</v>
      </c>
      <c r="L12" s="11"/>
      <c r="O12" s="12"/>
      <c r="P12" s="12"/>
      <c r="Q12" s="12"/>
      <c r="R12" s="12"/>
      <c r="U12">
        <f>+SUM(U13:U19)</f>
        <v>0</v>
      </c>
      <c r="V12" s="12"/>
      <c r="W12" s="12"/>
      <c r="X12" s="12"/>
      <c r="Y12" s="12"/>
      <c r="AB12">
        <f>+SUM(AB13:AB19)</f>
        <v>0</v>
      </c>
      <c r="AC12" s="12"/>
      <c r="AD12" s="12"/>
      <c r="AE12" s="12"/>
      <c r="AF12" s="12"/>
      <c r="AI12">
        <f>+SUM(AI13:AI19)</f>
        <v>0</v>
      </c>
      <c r="AJ12" s="28"/>
      <c r="AK12" s="29">
        <v>1</v>
      </c>
      <c r="AL12" s="12"/>
      <c r="AM12" s="12"/>
      <c r="AP12">
        <f>+SUM(AP13:AP19)</f>
        <v>0</v>
      </c>
      <c r="AQ12" s="12"/>
      <c r="AR12" s="12"/>
      <c r="AS12" s="12"/>
      <c r="AT12" s="12"/>
      <c r="AX12" s="12"/>
      <c r="AY12" s="12"/>
      <c r="AZ12" s="12"/>
      <c r="BA12" s="12"/>
      <c r="BE12" s="12"/>
      <c r="BF12" s="12"/>
      <c r="BG12" s="12"/>
      <c r="BH12" s="12"/>
      <c r="BL12" s="12"/>
      <c r="BM12" s="12"/>
      <c r="BN12" s="12"/>
      <c r="BO12" s="12"/>
      <c r="BS12" s="12"/>
      <c r="BT12" s="12"/>
      <c r="BU12" s="12"/>
      <c r="BV12" s="12"/>
      <c r="BZ12" s="12"/>
      <c r="CA12" s="12"/>
      <c r="CB12" s="12"/>
      <c r="CC12" s="12"/>
      <c r="CG12" s="12"/>
      <c r="CH12" s="12"/>
      <c r="CI12" s="12"/>
      <c r="CJ12" s="12"/>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12"/>
      <c r="EZ12" s="12">
        <v>1</v>
      </c>
      <c r="FA12" s="12"/>
      <c r="FB12" s="12">
        <v>1</v>
      </c>
      <c r="FF12" s="12"/>
      <c r="FG12" s="12">
        <v>1</v>
      </c>
      <c r="FH12" s="12"/>
      <c r="FI12" s="12">
        <v>1</v>
      </c>
      <c r="FM12" s="12"/>
      <c r="FN12" s="12">
        <v>1</v>
      </c>
      <c r="FO12" s="12"/>
      <c r="FP12" s="12">
        <v>1</v>
      </c>
      <c r="FT12" s="12"/>
      <c r="FU12" s="12">
        <v>1</v>
      </c>
      <c r="FV12" s="12"/>
      <c r="FW12" s="12">
        <v>1</v>
      </c>
    </row>
    <row r="13" spans="2:180" outlineLevel="1" x14ac:dyDescent="0.2">
      <c r="B13" t="s">
        <v>28</v>
      </c>
      <c r="C13" t="s">
        <v>103</v>
      </c>
      <c r="E13" s="11"/>
      <c r="F13" t="s">
        <v>98</v>
      </c>
      <c r="G13" s="12">
        <v>0.1</v>
      </c>
      <c r="I13" s="11">
        <f t="shared" ref="I13:I17" si="1">+SUMIF($N$3:$ZZ$3,I$3,$N13:$ZZ13)</f>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v>0.5</v>
      </c>
      <c r="AS13" s="12"/>
      <c r="AT13" s="12"/>
      <c r="AX13" s="12"/>
      <c r="AY13" s="12">
        <v>0.8</v>
      </c>
      <c r="AZ13" s="12"/>
      <c r="BA13" s="12"/>
      <c r="BE13" s="12"/>
      <c r="BF13" s="12">
        <v>1</v>
      </c>
      <c r="BG13" s="12"/>
      <c r="BH13" s="12"/>
      <c r="BL13" s="12"/>
      <c r="BM13" s="12"/>
      <c r="BN13" s="12"/>
      <c r="BO13" s="12"/>
      <c r="BS13" s="12"/>
      <c r="BT13" s="12"/>
      <c r="BU13" s="12"/>
      <c r="BV13" s="12"/>
      <c r="BZ13" s="12"/>
      <c r="CA13" s="12"/>
      <c r="CB13" s="12"/>
      <c r="CC13" s="12"/>
      <c r="CG13" s="12"/>
      <c r="CH13" s="12"/>
      <c r="CI13" s="12"/>
      <c r="CJ13" s="12"/>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12"/>
      <c r="EZ13" s="12">
        <v>1</v>
      </c>
      <c r="FA13" s="12"/>
      <c r="FB13" s="12">
        <v>1</v>
      </c>
      <c r="FF13" s="12"/>
      <c r="FG13" s="12">
        <v>1</v>
      </c>
      <c r="FH13" s="12"/>
      <c r="FI13" s="12">
        <v>1</v>
      </c>
      <c r="FM13" s="12"/>
      <c r="FN13" s="12">
        <v>1</v>
      </c>
      <c r="FO13" s="12"/>
      <c r="FP13" s="12">
        <v>1</v>
      </c>
      <c r="FT13" s="12"/>
      <c r="FU13" s="12">
        <v>1</v>
      </c>
      <c r="FV13" s="12"/>
      <c r="FW13" s="12">
        <v>1</v>
      </c>
    </row>
    <row r="14" spans="2:180" outlineLevel="1" x14ac:dyDescent="0.2">
      <c r="B14" t="s">
        <v>28</v>
      </c>
      <c r="C14" t="s">
        <v>103</v>
      </c>
      <c r="E14" s="11"/>
      <c r="F14" t="s">
        <v>99</v>
      </c>
      <c r="G14" s="12">
        <v>0.2</v>
      </c>
      <c r="I14" s="11">
        <f t="shared" si="1"/>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v>0.5</v>
      </c>
      <c r="AS14" s="12"/>
      <c r="AT14" s="12"/>
      <c r="AX14" s="12"/>
      <c r="AY14" s="12">
        <v>0.8</v>
      </c>
      <c r="AZ14" s="12"/>
      <c r="BA14" s="12"/>
      <c r="BE14" s="12"/>
      <c r="BF14" s="12">
        <v>1</v>
      </c>
      <c r="BG14" s="12"/>
      <c r="BH14" s="12"/>
      <c r="BL14" s="12"/>
      <c r="BM14" s="12"/>
      <c r="BN14" s="12"/>
      <c r="BO14" s="12"/>
      <c r="BS14" s="12"/>
      <c r="BT14" s="12"/>
      <c r="BU14" s="12"/>
      <c r="BV14" s="12"/>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12"/>
      <c r="EZ14" s="12">
        <v>0.8</v>
      </c>
      <c r="FA14" s="12"/>
      <c r="FB14" s="12">
        <v>0.8</v>
      </c>
      <c r="FF14" s="12"/>
      <c r="FG14" s="12">
        <v>1</v>
      </c>
      <c r="FH14" s="12"/>
      <c r="FI14" s="12">
        <v>1</v>
      </c>
      <c r="FM14" s="12"/>
      <c r="FN14" s="12">
        <v>1</v>
      </c>
      <c r="FO14" s="12"/>
      <c r="FP14" s="12">
        <v>1</v>
      </c>
      <c r="FT14" s="12"/>
      <c r="FU14" s="12">
        <v>1</v>
      </c>
      <c r="FV14" s="12"/>
      <c r="FW14" s="12">
        <v>1</v>
      </c>
    </row>
    <row r="15" spans="2:180" outlineLevel="1" x14ac:dyDescent="0.2">
      <c r="B15" t="s">
        <v>28</v>
      </c>
      <c r="C15" t="s">
        <v>103</v>
      </c>
      <c r="E15" s="11"/>
      <c r="F15" t="s">
        <v>100</v>
      </c>
      <c r="G15" s="12">
        <v>0.2</v>
      </c>
      <c r="I15" s="11">
        <f t="shared" si="1"/>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v>0.5</v>
      </c>
      <c r="AZ15" s="12"/>
      <c r="BA15" s="12"/>
      <c r="BE15" s="12"/>
      <c r="BF15" s="12">
        <v>0.8</v>
      </c>
      <c r="BG15" s="12"/>
      <c r="BH15" s="12"/>
      <c r="BL15" s="12"/>
      <c r="BM15" s="12">
        <v>1</v>
      </c>
      <c r="BN15" s="12"/>
      <c r="BO15" s="12"/>
      <c r="BS15" s="12"/>
      <c r="BT15" s="12"/>
      <c r="BU15" s="12"/>
      <c r="BV15" s="12"/>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c r="EK15" s="12"/>
      <c r="EL15" s="12"/>
      <c r="EM15" s="12"/>
      <c r="EN15" s="12"/>
      <c r="ER15" s="12"/>
      <c r="ES15" s="12"/>
      <c r="ET15" s="12"/>
      <c r="EU15" s="12"/>
      <c r="EY15" s="12"/>
      <c r="EZ15" s="12">
        <v>0.8</v>
      </c>
      <c r="FA15" s="12"/>
      <c r="FB15" s="12">
        <v>0.8</v>
      </c>
      <c r="FF15" s="12"/>
      <c r="FG15" s="12">
        <v>1</v>
      </c>
      <c r="FH15" s="12"/>
      <c r="FI15" s="12">
        <v>1</v>
      </c>
      <c r="FM15" s="12"/>
      <c r="FN15" s="12">
        <v>1</v>
      </c>
      <c r="FO15" s="12"/>
      <c r="FP15" s="12">
        <v>1</v>
      </c>
      <c r="FT15" s="12"/>
      <c r="FU15" s="12">
        <v>1</v>
      </c>
      <c r="FV15" s="12"/>
      <c r="FW15" s="12">
        <v>1</v>
      </c>
    </row>
    <row r="16" spans="2:180" outlineLevel="1" x14ac:dyDescent="0.2">
      <c r="B16" t="s">
        <v>28</v>
      </c>
      <c r="C16" t="s">
        <v>103</v>
      </c>
      <c r="E16" s="11"/>
      <c r="F16" t="s">
        <v>101</v>
      </c>
      <c r="G16" s="12">
        <v>0.2</v>
      </c>
      <c r="I16" s="11">
        <f t="shared" si="1"/>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v>0.5</v>
      </c>
      <c r="BN16" s="12"/>
      <c r="BO16" s="12"/>
      <c r="BS16" s="12"/>
      <c r="BT16" s="12">
        <v>0.8</v>
      </c>
      <c r="BU16" s="12"/>
      <c r="BV16" s="12"/>
      <c r="BZ16" s="12"/>
      <c r="CA16" s="12">
        <v>1</v>
      </c>
      <c r="CB16" s="12"/>
      <c r="CC16" s="12"/>
      <c r="CG16" s="12"/>
      <c r="CH16" s="12"/>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c r="EK16" s="12"/>
      <c r="EL16" s="12"/>
      <c r="EM16" s="12"/>
      <c r="EN16" s="12"/>
      <c r="ER16" s="12"/>
      <c r="ES16" s="12"/>
      <c r="ET16" s="12"/>
      <c r="EU16" s="12"/>
      <c r="EY16" s="12"/>
      <c r="EZ16" s="12">
        <v>0.8</v>
      </c>
      <c r="FA16" s="12"/>
      <c r="FB16" s="12">
        <v>0.8</v>
      </c>
      <c r="FF16" s="12"/>
      <c r="FG16" s="12">
        <v>0.8</v>
      </c>
      <c r="FH16" s="12"/>
      <c r="FI16" s="12">
        <v>0.8</v>
      </c>
      <c r="FM16" s="12"/>
      <c r="FN16" s="12">
        <v>1</v>
      </c>
      <c r="FO16" s="12"/>
      <c r="FP16" s="12">
        <v>1</v>
      </c>
      <c r="FT16" s="12"/>
      <c r="FU16" s="12">
        <v>1</v>
      </c>
      <c r="FV16" s="12"/>
      <c r="FW16" s="12">
        <v>1</v>
      </c>
    </row>
    <row r="17" spans="2:179" outlineLevel="1" x14ac:dyDescent="0.2">
      <c r="B17" t="s">
        <v>28</v>
      </c>
      <c r="C17" t="s">
        <v>103</v>
      </c>
      <c r="E17" s="11"/>
      <c r="F17" t="s">
        <v>102</v>
      </c>
      <c r="G17" s="12">
        <v>0.15</v>
      </c>
      <c r="I17" s="11">
        <f t="shared" si="1"/>
        <v>0</v>
      </c>
      <c r="J17" s="13" cm="1">
        <f t="array" ref="J17">MAX(IF($N$3:$EH$3=$J$3,N17:EH17))</f>
        <v>0</v>
      </c>
      <c r="K17" s="13" cm="1">
        <f t="array" ref="K17">MAX(IF($N$3:$EH$3=$J$3,N17:EH17))</f>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v>0.5</v>
      </c>
      <c r="BU17" s="12"/>
      <c r="BV17" s="12"/>
      <c r="BZ17" s="12"/>
      <c r="CA17" s="12">
        <v>0.8</v>
      </c>
      <c r="CB17" s="12"/>
      <c r="CC17" s="12"/>
      <c r="CG17" s="12"/>
      <c r="CH17" s="12">
        <v>1</v>
      </c>
      <c r="CI17" s="12"/>
      <c r="CJ17" s="12"/>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c r="EK17" s="12"/>
      <c r="EL17" s="12"/>
      <c r="EM17" s="12"/>
      <c r="EN17" s="12"/>
      <c r="ER17" s="12"/>
      <c r="ES17" s="12"/>
      <c r="ET17" s="12"/>
      <c r="EU17" s="12"/>
      <c r="EY17" s="12"/>
      <c r="EZ17" s="12">
        <v>0.8</v>
      </c>
      <c r="FA17" s="12"/>
      <c r="FB17" s="12">
        <v>0.8</v>
      </c>
      <c r="FF17" s="12"/>
      <c r="FG17" s="12">
        <v>0.8</v>
      </c>
      <c r="FH17" s="12"/>
      <c r="FI17" s="12">
        <v>0.8</v>
      </c>
      <c r="FM17" s="12"/>
      <c r="FN17" s="12">
        <v>1</v>
      </c>
      <c r="FO17" s="12"/>
      <c r="FP17" s="12">
        <v>1</v>
      </c>
      <c r="FT17" s="12"/>
      <c r="FU17" s="12">
        <v>1</v>
      </c>
      <c r="FV17" s="12"/>
      <c r="FW17" s="12">
        <v>1</v>
      </c>
    </row>
    <row r="18" spans="2:179" outlineLevel="1" x14ac:dyDescent="0.2">
      <c r="E18" s="11"/>
      <c r="G18" s="12"/>
      <c r="I18" s="11"/>
      <c r="J18" s="13"/>
      <c r="K18" s="13"/>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c r="CN18" s="12"/>
      <c r="CO18" s="12">
        <v>0.5</v>
      </c>
      <c r="CP18" s="12"/>
      <c r="CQ18" s="12"/>
      <c r="CU18" s="12"/>
      <c r="CV18" s="12">
        <v>0.8</v>
      </c>
      <c r="CW18" s="12"/>
      <c r="CX18" s="12"/>
      <c r="DB18" s="12"/>
      <c r="DC18" s="12">
        <v>1</v>
      </c>
      <c r="DD18" s="12"/>
      <c r="DE18" s="12"/>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12"/>
      <c r="EZ18" s="12"/>
      <c r="FA18" s="12"/>
      <c r="FB18" s="12"/>
      <c r="FF18" s="12"/>
      <c r="FG18" s="12"/>
      <c r="FH18" s="12"/>
      <c r="FI18" s="12"/>
      <c r="FM18" s="12"/>
      <c r="FN18" s="12"/>
      <c r="FO18" s="12"/>
      <c r="FP18" s="12"/>
      <c r="FT18" s="12"/>
      <c r="FU18" s="12"/>
      <c r="FV18" s="12"/>
      <c r="FW18" s="12"/>
    </row>
    <row r="19" spans="2:179" outlineLevel="1" x14ac:dyDescent="0.2">
      <c r="E19" s="11"/>
      <c r="G19" s="12"/>
      <c r="I19" s="11"/>
      <c r="J19" s="13"/>
      <c r="K19" s="13"/>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12"/>
      <c r="EZ19" s="12"/>
      <c r="FA19" s="12"/>
      <c r="FB19" s="12"/>
      <c r="FF19" s="12"/>
      <c r="FG19" s="12"/>
      <c r="FH19" s="12"/>
      <c r="FI19" s="12"/>
      <c r="FM19" s="12"/>
      <c r="FN19" s="12"/>
      <c r="FO19" s="12"/>
      <c r="FP19" s="12"/>
      <c r="FT19" s="12"/>
      <c r="FU19" s="12"/>
      <c r="FV19" s="12"/>
      <c r="FW19" s="12"/>
    </row>
    <row r="21" spans="2:179" ht="17" thickBot="1" x14ac:dyDescent="0.25">
      <c r="B21" s="3" t="s">
        <v>27</v>
      </c>
      <c r="C21" s="3" t="s">
        <v>104</v>
      </c>
      <c r="D21" s="33">
        <v>44943</v>
      </c>
      <c r="E21" s="11">
        <v>12</v>
      </c>
      <c r="F21">
        <f>(11*3)/22</f>
        <v>1.5</v>
      </c>
      <c r="G21" s="12">
        <f>+SUM(G22:G32)</f>
        <v>0.94999999999999984</v>
      </c>
      <c r="I21" s="14">
        <f>+SUM(I22:I32)</f>
        <v>0</v>
      </c>
      <c r="J21" s="13">
        <f>+SUMPRODUCT(G22:G32,J22:J32)</f>
        <v>0</v>
      </c>
      <c r="K21" s="13">
        <f>+SUMPRODUCT(G22:G32,K22:K32)</f>
        <v>0</v>
      </c>
      <c r="L21" s="11"/>
      <c r="N21" s="14">
        <f>+SUM(N22:N32)</f>
        <v>0</v>
      </c>
      <c r="U21" s="14">
        <f>+SUM(U22:U32)</f>
        <v>0</v>
      </c>
      <c r="AB21" s="14">
        <f>+SUM(AB22:AB32)</f>
        <v>0</v>
      </c>
      <c r="AI21" s="14">
        <f>+SUM(AI22:AI32)</f>
        <v>0</v>
      </c>
      <c r="AP21" s="14">
        <f>+SUM(AP22:AP32)</f>
        <v>0</v>
      </c>
    </row>
    <row r="22" spans="2:179" outlineLevel="1" x14ac:dyDescent="0.2">
      <c r="B22" t="s">
        <v>28</v>
      </c>
      <c r="C22" t="s">
        <v>104</v>
      </c>
      <c r="E22" s="11"/>
      <c r="F22" t="s">
        <v>105</v>
      </c>
      <c r="G22" s="12">
        <v>0.1</v>
      </c>
      <c r="I22" s="11">
        <f t="shared" ref="I22:I32" si="2">+SUMIF($N$3:$ZZ$3,I$3,$N22:$ZZ22)</f>
        <v>0</v>
      </c>
      <c r="J22" s="13" cm="1">
        <f t="array" ref="J22">MAX(IF($N$3:$EH$3=$J$3,N22:EH22))</f>
        <v>0</v>
      </c>
      <c r="K22" s="13" cm="1">
        <f t="array" ref="K22">MAX(IF($N$3:$EH$3=$J$3,N22:EH22))</f>
        <v>0</v>
      </c>
      <c r="L22" s="11"/>
      <c r="O22" s="12"/>
      <c r="P22" s="12">
        <v>0.5</v>
      </c>
      <c r="Q22" s="12"/>
      <c r="R22" s="12"/>
      <c r="V22" s="24"/>
      <c r="W22" s="25">
        <v>0.8</v>
      </c>
      <c r="X22" s="12"/>
      <c r="Y22" s="12"/>
      <c r="AC22" s="24"/>
      <c r="AD22" s="25">
        <v>1</v>
      </c>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12"/>
      <c r="EZ22" s="12"/>
      <c r="FA22" s="12"/>
      <c r="FB22" s="12"/>
      <c r="FF22" s="12"/>
      <c r="FG22" s="12">
        <v>1</v>
      </c>
      <c r="FH22" s="12"/>
      <c r="FI22" s="12">
        <v>1</v>
      </c>
      <c r="FM22" s="12"/>
      <c r="FN22" s="12">
        <v>1</v>
      </c>
      <c r="FO22" s="12"/>
      <c r="FP22" s="12">
        <v>1</v>
      </c>
      <c r="FT22" s="12"/>
      <c r="FU22" s="12">
        <v>1</v>
      </c>
      <c r="FV22" s="12"/>
      <c r="FW22" s="12">
        <v>1</v>
      </c>
    </row>
    <row r="23" spans="2:179" ht="17" outlineLevel="1" thickBot="1" x14ac:dyDescent="0.25">
      <c r="B23" t="s">
        <v>28</v>
      </c>
      <c r="C23" t="s">
        <v>104</v>
      </c>
      <c r="E23" s="11"/>
      <c r="F23" t="s">
        <v>106</v>
      </c>
      <c r="G23" s="12">
        <v>0.05</v>
      </c>
      <c r="I23" s="11">
        <f t="shared" si="2"/>
        <v>0</v>
      </c>
      <c r="J23" s="13" cm="1">
        <f t="array" ref="J23">MAX(IF($N$3:$EH$3=$J$3,N23:EH23))</f>
        <v>0</v>
      </c>
      <c r="K23" s="13" cm="1">
        <f t="array" ref="K23">MAX(IF($N$3:$EH$3=$J$3,N23:EH23))</f>
        <v>0</v>
      </c>
      <c r="L23" s="11"/>
      <c r="O23" s="12"/>
      <c r="P23" s="12">
        <v>0.5</v>
      </c>
      <c r="Q23" s="12"/>
      <c r="R23" s="12"/>
      <c r="V23" s="28"/>
      <c r="W23" s="29">
        <v>0.8</v>
      </c>
      <c r="X23" s="12"/>
      <c r="Y23" s="12"/>
      <c r="AC23" s="28"/>
      <c r="AD23" s="29">
        <v>0.8</v>
      </c>
      <c r="AE23" s="12"/>
      <c r="AF23" s="12"/>
      <c r="AJ23" s="12"/>
      <c r="AK23" s="12">
        <v>1</v>
      </c>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12"/>
      <c r="EZ23" s="12"/>
      <c r="FA23" s="12"/>
      <c r="FB23" s="12"/>
      <c r="FF23" s="12"/>
      <c r="FG23" s="12">
        <v>1</v>
      </c>
      <c r="FH23" s="12"/>
      <c r="FI23" s="12">
        <v>1</v>
      </c>
      <c r="FM23" s="12"/>
      <c r="FN23" s="12">
        <v>1</v>
      </c>
      <c r="FO23" s="12"/>
      <c r="FP23" s="12">
        <v>1</v>
      </c>
      <c r="FT23" s="12"/>
      <c r="FU23" s="12">
        <v>1</v>
      </c>
      <c r="FV23" s="12"/>
      <c r="FW23" s="12">
        <v>1</v>
      </c>
    </row>
    <row r="24" spans="2:179" outlineLevel="1" x14ac:dyDescent="0.2">
      <c r="B24" t="s">
        <v>28</v>
      </c>
      <c r="C24" t="s">
        <v>104</v>
      </c>
      <c r="E24" s="11"/>
      <c r="F24" t="s">
        <v>107</v>
      </c>
      <c r="G24" s="12">
        <v>0.05</v>
      </c>
      <c r="I24" s="11">
        <f t="shared" si="2"/>
        <v>0</v>
      </c>
      <c r="J24" s="13" cm="1">
        <f t="array" ref="J24">MAX(IF($N$3:$EH$3=$J$3,N24:EH24))</f>
        <v>0</v>
      </c>
      <c r="K24" s="13" cm="1">
        <f t="array" ref="K24">MAX(IF($N$3:$EH$3=$J$3,N24:EH24))</f>
        <v>0</v>
      </c>
      <c r="L24" s="11"/>
      <c r="O24" s="12"/>
      <c r="P24" s="12">
        <v>0.5</v>
      </c>
      <c r="Q24" s="12"/>
      <c r="R24" s="12"/>
      <c r="V24" s="12"/>
      <c r="W24" s="12">
        <v>0.5</v>
      </c>
      <c r="X24" s="12"/>
      <c r="Y24" s="12"/>
      <c r="AC24" s="31"/>
      <c r="AD24" s="31">
        <v>0.5</v>
      </c>
      <c r="AE24" s="12"/>
      <c r="AF24" s="12"/>
      <c r="AJ24" s="12"/>
      <c r="AK24" s="12">
        <v>0.8</v>
      </c>
      <c r="AL24" s="12"/>
      <c r="AM24" s="12"/>
      <c r="AQ24" s="12"/>
      <c r="AR24" s="12">
        <v>1</v>
      </c>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c r="ER24" s="12"/>
      <c r="ES24" s="12"/>
      <c r="ET24" s="12"/>
      <c r="EU24" s="12"/>
      <c r="EY24" s="12"/>
      <c r="EZ24" s="12"/>
      <c r="FA24" s="12"/>
      <c r="FB24" s="12"/>
      <c r="FF24" s="12"/>
      <c r="FG24" s="12">
        <v>1</v>
      </c>
      <c r="FH24" s="12"/>
      <c r="FI24" s="12">
        <v>1</v>
      </c>
      <c r="FM24" s="12"/>
      <c r="FN24" s="12">
        <v>1</v>
      </c>
      <c r="FO24" s="12"/>
      <c r="FP24" s="12">
        <v>1</v>
      </c>
      <c r="FT24" s="12"/>
      <c r="FU24" s="12">
        <v>1</v>
      </c>
      <c r="FV24" s="12"/>
      <c r="FW24" s="12">
        <v>1</v>
      </c>
    </row>
    <row r="25" spans="2:179" outlineLevel="1" x14ac:dyDescent="0.2">
      <c r="B25" t="s">
        <v>28</v>
      </c>
      <c r="C25" t="s">
        <v>104</v>
      </c>
      <c r="E25" s="11"/>
      <c r="F25" t="s">
        <v>108</v>
      </c>
      <c r="G25" s="12">
        <v>0.05</v>
      </c>
      <c r="I25" s="11">
        <f t="shared" si="2"/>
        <v>0</v>
      </c>
      <c r="J25" s="13" cm="1">
        <f t="array" ref="J25">MAX(IF($N$3:$EH$3=$J$3,N25:EH25))</f>
        <v>0</v>
      </c>
      <c r="K25" s="13" cm="1">
        <f t="array" ref="K25">MAX(IF($N$3:$EH$3=$J$3,N25:EH25))</f>
        <v>0</v>
      </c>
      <c r="L25" s="11"/>
      <c r="O25" s="12"/>
      <c r="P25" s="12">
        <v>0.5</v>
      </c>
      <c r="Q25" s="12"/>
      <c r="R25" s="12"/>
      <c r="V25" s="12"/>
      <c r="W25" s="12"/>
      <c r="X25" s="12"/>
      <c r="Y25" s="12"/>
      <c r="AC25" s="31"/>
      <c r="AD25" s="31"/>
      <c r="AE25" s="12"/>
      <c r="AF25" s="12"/>
      <c r="AJ25" s="12"/>
      <c r="AK25" s="12">
        <v>0.5</v>
      </c>
      <c r="AL25" s="12"/>
      <c r="AM25" s="12"/>
      <c r="AQ25" s="12"/>
      <c r="AR25" s="12">
        <v>0.8</v>
      </c>
      <c r="AS25" s="12"/>
      <c r="AT25" s="12"/>
      <c r="AX25" s="12"/>
      <c r="AY25" s="12">
        <v>1</v>
      </c>
      <c r="AZ25" s="12"/>
      <c r="BA25" s="12"/>
      <c r="BE25" s="12"/>
      <c r="BF25" s="12"/>
      <c r="BG25" s="12"/>
      <c r="BH25" s="12"/>
      <c r="BL25" s="12"/>
      <c r="BM25" s="12"/>
      <c r="BN25" s="12"/>
      <c r="BO25" s="12"/>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c r="EK25" s="12"/>
      <c r="EL25" s="12"/>
      <c r="EM25" s="12"/>
      <c r="EN25" s="12"/>
      <c r="ER25" s="12"/>
      <c r="ES25" s="12"/>
      <c r="ET25" s="12"/>
      <c r="EU25" s="12"/>
      <c r="EY25" s="12"/>
      <c r="EZ25" s="12"/>
      <c r="FA25" s="12"/>
      <c r="FB25" s="12"/>
      <c r="FF25" s="12"/>
      <c r="FG25" s="12">
        <v>1</v>
      </c>
      <c r="FH25" s="12"/>
      <c r="FI25" s="12">
        <v>1</v>
      </c>
      <c r="FM25" s="12"/>
      <c r="FN25" s="12">
        <v>1</v>
      </c>
      <c r="FO25" s="12"/>
      <c r="FP25" s="12">
        <v>1</v>
      </c>
      <c r="FT25" s="12"/>
      <c r="FU25" s="12">
        <v>1</v>
      </c>
      <c r="FV25" s="12"/>
      <c r="FW25" s="12">
        <v>1</v>
      </c>
    </row>
    <row r="26" spans="2:179" outlineLevel="1" x14ac:dyDescent="0.2">
      <c r="B26" t="s">
        <v>28</v>
      </c>
      <c r="C26" t="s">
        <v>104</v>
      </c>
      <c r="E26" s="11"/>
      <c r="F26" t="s">
        <v>109</v>
      </c>
      <c r="G26" s="12">
        <v>0.1</v>
      </c>
      <c r="I26" s="11">
        <f t="shared" si="2"/>
        <v>0</v>
      </c>
      <c r="J26" s="13" cm="1">
        <f t="array" ref="J26">MAX(IF($N$3:$EH$3=$J$3,N26:EH26))</f>
        <v>0</v>
      </c>
      <c r="K26" s="13" cm="1">
        <f t="array" ref="K26">MAX(IF($N$3:$EH$3=$J$3,N26:EH26))</f>
        <v>0</v>
      </c>
      <c r="L26" s="11"/>
      <c r="O26" s="12"/>
      <c r="P26" s="12"/>
      <c r="Q26" s="12"/>
      <c r="R26" s="12"/>
      <c r="V26" s="12"/>
      <c r="W26" s="12"/>
      <c r="X26" s="12"/>
      <c r="Y26" s="12"/>
      <c r="AC26" s="31"/>
      <c r="AD26" s="31"/>
      <c r="AE26" s="12"/>
      <c r="AF26" s="12"/>
      <c r="AJ26" s="12"/>
      <c r="AK26" s="12"/>
      <c r="AL26" s="12"/>
      <c r="AM26" s="12"/>
      <c r="AQ26" s="12"/>
      <c r="AR26" s="12">
        <v>0.5</v>
      </c>
      <c r="AS26" s="12"/>
      <c r="AT26" s="12"/>
      <c r="AX26" s="12"/>
      <c r="AY26" s="12">
        <v>0.8</v>
      </c>
      <c r="AZ26" s="12"/>
      <c r="BA26" s="12"/>
      <c r="BE26" s="12"/>
      <c r="BF26" s="12">
        <v>1</v>
      </c>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c r="EK26" s="12"/>
      <c r="EL26" s="12"/>
      <c r="EM26" s="12"/>
      <c r="EN26" s="12"/>
      <c r="ER26" s="12"/>
      <c r="ES26" s="12"/>
      <c r="ET26" s="12"/>
      <c r="EU26" s="12"/>
      <c r="EY26" s="12"/>
      <c r="EZ26" s="12"/>
      <c r="FA26" s="12"/>
      <c r="FB26" s="12"/>
      <c r="FF26" s="12"/>
      <c r="FG26" s="12">
        <v>0.8</v>
      </c>
      <c r="FH26" s="12"/>
      <c r="FI26" s="12">
        <v>0.8</v>
      </c>
      <c r="FM26" s="12"/>
      <c r="FN26" s="12">
        <v>1</v>
      </c>
      <c r="FO26" s="12"/>
      <c r="FP26" s="12">
        <v>1</v>
      </c>
      <c r="FT26" s="12"/>
      <c r="FU26" s="12">
        <v>1</v>
      </c>
      <c r="FV26" s="12"/>
      <c r="FW26" s="12">
        <v>1</v>
      </c>
    </row>
    <row r="27" spans="2:179" outlineLevel="1" x14ac:dyDescent="0.2">
      <c r="B27" t="s">
        <v>28</v>
      </c>
      <c r="C27" t="s">
        <v>104</v>
      </c>
      <c r="E27" s="11"/>
      <c r="F27" t="s">
        <v>110</v>
      </c>
      <c r="G27" s="12">
        <v>0.1</v>
      </c>
      <c r="I27" s="11">
        <f t="shared" si="2"/>
        <v>0</v>
      </c>
      <c r="J27" s="13" cm="1">
        <f t="array" ref="J27">MAX(IF($N$3:$EH$3=$J$3,N27:EH27))</f>
        <v>0</v>
      </c>
      <c r="K27" s="13" cm="1">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v>0.5</v>
      </c>
      <c r="AZ27" s="12"/>
      <c r="BA27" s="12"/>
      <c r="BE27" s="12"/>
      <c r="BF27" s="12">
        <v>0.8</v>
      </c>
      <c r="BG27" s="12"/>
      <c r="BH27" s="12"/>
      <c r="BL27" s="12"/>
      <c r="BM27" s="12">
        <v>1</v>
      </c>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c r="ER27" s="12"/>
      <c r="ES27" s="12"/>
      <c r="ET27" s="12"/>
      <c r="EU27" s="12"/>
      <c r="EY27" s="12"/>
      <c r="EZ27" s="12"/>
      <c r="FA27" s="12"/>
      <c r="FB27" s="12"/>
      <c r="FF27" s="12"/>
      <c r="FG27" s="12">
        <v>0.8</v>
      </c>
      <c r="FH27" s="12"/>
      <c r="FI27" s="12">
        <v>0.8</v>
      </c>
      <c r="FM27" s="12"/>
      <c r="FN27" s="12">
        <v>1</v>
      </c>
      <c r="FO27" s="12"/>
      <c r="FP27" s="12">
        <v>1</v>
      </c>
      <c r="FT27" s="12"/>
      <c r="FU27" s="12">
        <v>1</v>
      </c>
      <c r="FV27" s="12"/>
      <c r="FW27" s="12">
        <v>1</v>
      </c>
    </row>
    <row r="28" spans="2:179" outlineLevel="1" x14ac:dyDescent="0.2">
      <c r="B28" t="s">
        <v>28</v>
      </c>
      <c r="C28" t="s">
        <v>104</v>
      </c>
      <c r="E28" s="11"/>
      <c r="F28" t="s">
        <v>111</v>
      </c>
      <c r="G28" s="12">
        <v>0.1</v>
      </c>
      <c r="I28" s="11">
        <f t="shared" si="2"/>
        <v>0</v>
      </c>
      <c r="J28" s="13" cm="1">
        <f t="array" ref="J28">MAX(IF($N$3:$EH$3=$J$3,N28:EH28))</f>
        <v>0</v>
      </c>
      <c r="K28" s="13" cm="1">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v>0.5</v>
      </c>
      <c r="BG28" s="12"/>
      <c r="BH28" s="12"/>
      <c r="BL28" s="12"/>
      <c r="BM28" s="12">
        <v>0.8</v>
      </c>
      <c r="BN28" s="12"/>
      <c r="BO28" s="12"/>
      <c r="BS28" s="12"/>
      <c r="BT28" s="12">
        <v>1</v>
      </c>
      <c r="BU28" s="12"/>
      <c r="BV28" s="12"/>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c r="ER28" s="12"/>
      <c r="ES28" s="12"/>
      <c r="ET28" s="12"/>
      <c r="EU28" s="12"/>
      <c r="EY28" s="12"/>
      <c r="EZ28" s="12"/>
      <c r="FA28" s="12"/>
      <c r="FB28" s="12"/>
      <c r="FF28" s="12"/>
      <c r="FG28" s="12">
        <v>0.8</v>
      </c>
      <c r="FH28" s="12"/>
      <c r="FI28" s="12">
        <v>0.8</v>
      </c>
      <c r="FM28" s="12"/>
      <c r="FN28" s="12">
        <v>1</v>
      </c>
      <c r="FO28" s="12"/>
      <c r="FP28" s="12">
        <v>1</v>
      </c>
      <c r="FT28" s="12"/>
      <c r="FU28" s="12">
        <v>1</v>
      </c>
      <c r="FV28" s="12"/>
      <c r="FW28" s="12">
        <v>1</v>
      </c>
    </row>
    <row r="29" spans="2:179" outlineLevel="1" x14ac:dyDescent="0.2">
      <c r="B29" t="s">
        <v>28</v>
      </c>
      <c r="C29" t="s">
        <v>104</v>
      </c>
      <c r="E29" s="11"/>
      <c r="F29" t="s">
        <v>112</v>
      </c>
      <c r="G29" s="12">
        <v>0.1</v>
      </c>
      <c r="I29" s="11">
        <f t="shared" si="2"/>
        <v>0</v>
      </c>
      <c r="J29" s="13" cm="1">
        <f t="array" ref="J29">MAX(IF($N$3:$EH$3=$J$3,N29:EH29))</f>
        <v>0</v>
      </c>
      <c r="K29" s="13" cm="1">
        <f t="array" ref="K29">MAX(IF($N$3:$EH$3=$J$3,N29:EH29))</f>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v>0.8</v>
      </c>
      <c r="BN29" s="12"/>
      <c r="BO29" s="12"/>
      <c r="BS29" s="12"/>
      <c r="BT29" s="12">
        <v>1</v>
      </c>
      <c r="BU29" s="12"/>
      <c r="BV29" s="12"/>
      <c r="BZ29" s="12"/>
      <c r="CA29" s="12"/>
      <c r="CB29" s="12"/>
      <c r="CC29" s="12"/>
      <c r="CG29" s="12"/>
      <c r="CH29" s="12"/>
      <c r="CI29" s="12"/>
      <c r="CJ29" s="12"/>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12"/>
      <c r="EZ29" s="12"/>
      <c r="FA29" s="12"/>
      <c r="FB29" s="12"/>
      <c r="FF29" s="12"/>
      <c r="FG29" s="12">
        <v>0.8</v>
      </c>
      <c r="FH29" s="12"/>
      <c r="FI29" s="12">
        <v>0.8</v>
      </c>
      <c r="FM29" s="12"/>
      <c r="FN29" s="12">
        <v>1</v>
      </c>
      <c r="FO29" s="12"/>
      <c r="FP29" s="12">
        <v>1</v>
      </c>
      <c r="FT29" s="12"/>
      <c r="FU29" s="12">
        <v>1</v>
      </c>
      <c r="FV29" s="12"/>
      <c r="FW29" s="12">
        <v>1</v>
      </c>
    </row>
    <row r="30" spans="2:179" outlineLevel="1" x14ac:dyDescent="0.2">
      <c r="B30" t="s">
        <v>28</v>
      </c>
      <c r="C30" t="s">
        <v>104</v>
      </c>
      <c r="E30" s="11"/>
      <c r="F30" t="s">
        <v>113</v>
      </c>
      <c r="G30" s="12">
        <v>0.1</v>
      </c>
      <c r="I30" s="11">
        <f t="shared" si="2"/>
        <v>0</v>
      </c>
      <c r="J30" s="13" cm="1">
        <f t="array" ref="J30">MAX(IF($N$3:$EH$3=$J$3,N30:EH30))</f>
        <v>0</v>
      </c>
      <c r="K30" s="13" cm="1">
        <f t="array" ref="K30">MAX(IF($N$3:$EH$3=$J$3,N30:EH30))</f>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v>0.5</v>
      </c>
      <c r="BU30" s="12"/>
      <c r="BV30" s="12"/>
      <c r="BZ30" s="12"/>
      <c r="CA30" s="12">
        <v>0.8</v>
      </c>
      <c r="CB30" s="12"/>
      <c r="CC30" s="12"/>
      <c r="CG30" s="12"/>
      <c r="CH30" s="12">
        <v>1</v>
      </c>
      <c r="CI30" s="12"/>
      <c r="CJ30" s="12"/>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12"/>
      <c r="EZ30" s="12"/>
      <c r="FA30" s="12"/>
      <c r="FB30" s="12"/>
      <c r="FF30" s="12"/>
      <c r="FG30" s="12">
        <v>0.8</v>
      </c>
      <c r="FH30" s="12"/>
      <c r="FI30" s="12">
        <v>0.8</v>
      </c>
      <c r="FM30" s="12"/>
      <c r="FN30" s="12">
        <v>1</v>
      </c>
      <c r="FO30" s="12"/>
      <c r="FP30" s="12">
        <v>1</v>
      </c>
      <c r="FT30" s="12"/>
      <c r="FU30" s="12">
        <v>1</v>
      </c>
      <c r="FV30" s="12"/>
      <c r="FW30" s="12">
        <v>1</v>
      </c>
    </row>
    <row r="31" spans="2:179" outlineLevel="1" x14ac:dyDescent="0.2">
      <c r="B31" t="s">
        <v>28</v>
      </c>
      <c r="C31" t="s">
        <v>104</v>
      </c>
      <c r="E31" s="11"/>
      <c r="F31" t="s">
        <v>114</v>
      </c>
      <c r="G31" s="12">
        <v>0.1</v>
      </c>
      <c r="I31" s="11">
        <f t="shared" si="2"/>
        <v>0</v>
      </c>
      <c r="J31" s="13" cm="1">
        <f t="array" ref="J31">MAX(IF($N$3:$EH$3=$J$3,N31:EH31))</f>
        <v>0</v>
      </c>
      <c r="K31" s="13" cm="1">
        <f t="array" ref="K31">MAX(IF($N$3:$EH$3=$J$3,N31:EH31))</f>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v>0.5</v>
      </c>
      <c r="CP31" s="12"/>
      <c r="CQ31" s="12"/>
      <c r="CU31" s="12"/>
      <c r="CV31" s="12">
        <v>0.8</v>
      </c>
      <c r="CW31" s="12"/>
      <c r="CX31" s="12"/>
      <c r="DB31" s="12"/>
      <c r="DC31" s="12">
        <v>1</v>
      </c>
      <c r="DD31" s="12"/>
      <c r="DE31" s="12"/>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12"/>
      <c r="EZ31" s="12"/>
      <c r="FA31" s="12"/>
      <c r="FB31" s="12"/>
      <c r="FF31" s="12"/>
      <c r="FG31" s="12">
        <v>0.8</v>
      </c>
      <c r="FH31" s="12"/>
      <c r="FI31" s="12">
        <v>0.8</v>
      </c>
      <c r="FM31" s="12"/>
      <c r="FN31" s="12">
        <v>1</v>
      </c>
      <c r="FO31" s="12"/>
      <c r="FP31" s="12">
        <v>1</v>
      </c>
      <c r="FT31" s="12"/>
      <c r="FU31" s="12">
        <v>1</v>
      </c>
      <c r="FV31" s="12"/>
      <c r="FW31" s="12">
        <v>1</v>
      </c>
    </row>
    <row r="32" spans="2:179" outlineLevel="1" x14ac:dyDescent="0.2">
      <c r="B32" t="s">
        <v>28</v>
      </c>
      <c r="C32" t="s">
        <v>104</v>
      </c>
      <c r="E32" s="11"/>
      <c r="F32" t="s">
        <v>115</v>
      </c>
      <c r="G32" s="12">
        <v>0.1</v>
      </c>
      <c r="I32" s="11">
        <f t="shared" si="2"/>
        <v>0</v>
      </c>
      <c r="J32" s="13" cm="1">
        <f t="array" ref="J32">MAX(IF($N$3:$EH$3=$J$3,N32:EH32))</f>
        <v>0</v>
      </c>
      <c r="K32" s="13" cm="1">
        <f t="array" ref="K32">MAX(IF($N$3:$EH$3=$J$3,N32:EH32))</f>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c r="CP32" s="12"/>
      <c r="CQ32" s="12"/>
      <c r="CU32" s="12"/>
      <c r="CV32" s="12"/>
      <c r="CW32" s="12"/>
      <c r="CX32" s="12"/>
      <c r="DB32" s="12"/>
      <c r="DC32" s="12">
        <v>0.5</v>
      </c>
      <c r="DD32" s="12"/>
      <c r="DE32" s="12"/>
      <c r="DI32" s="12"/>
      <c r="DJ32" s="12">
        <v>0.8</v>
      </c>
      <c r="DK32" s="12"/>
      <c r="DL32" s="12"/>
      <c r="DP32" s="12"/>
      <c r="DQ32" s="12">
        <v>1</v>
      </c>
      <c r="DR32" s="12"/>
      <c r="DS32" s="12"/>
      <c r="DW32" s="12"/>
      <c r="DX32" s="12"/>
      <c r="DY32" s="12"/>
      <c r="DZ32" s="12"/>
      <c r="ED32" s="12"/>
      <c r="EE32" s="12"/>
      <c r="EF32" s="12"/>
      <c r="EG32" s="12"/>
      <c r="EK32" s="12"/>
      <c r="EL32" s="12"/>
      <c r="EM32" s="12"/>
      <c r="EN32" s="12"/>
      <c r="ER32" s="12"/>
      <c r="ES32" s="12"/>
      <c r="ET32" s="12"/>
      <c r="EU32" s="12"/>
      <c r="EY32" s="12"/>
      <c r="EZ32" s="12"/>
      <c r="FA32" s="12"/>
      <c r="FB32" s="12"/>
      <c r="FF32" s="12"/>
      <c r="FG32" s="12">
        <v>0.8</v>
      </c>
      <c r="FH32" s="12"/>
      <c r="FI32" s="12">
        <v>0.8</v>
      </c>
      <c r="FM32" s="12"/>
      <c r="FN32" s="12">
        <v>1</v>
      </c>
      <c r="FO32" s="12"/>
      <c r="FP32" s="12">
        <v>1</v>
      </c>
      <c r="FT32" s="12"/>
      <c r="FU32" s="12">
        <v>1</v>
      </c>
      <c r="FV32" s="12"/>
      <c r="FW32" s="12">
        <v>1</v>
      </c>
    </row>
    <row r="34" spans="2:179" ht="17" thickBot="1" x14ac:dyDescent="0.25">
      <c r="B34" s="3" t="s">
        <v>27</v>
      </c>
      <c r="C34" s="3" t="s">
        <v>116</v>
      </c>
      <c r="D34" s="33">
        <v>44943</v>
      </c>
      <c r="E34" s="11">
        <v>12</v>
      </c>
      <c r="F34">
        <f>(12*3)/22</f>
        <v>1.6363636363636365</v>
      </c>
      <c r="G34" s="12">
        <f>+SUM(G35:G41)</f>
        <v>0.64999999999999991</v>
      </c>
      <c r="I34" s="14">
        <f>+SUM(I35:I41)</f>
        <v>0</v>
      </c>
      <c r="J34" s="13">
        <f>+SUMPRODUCT(G35:G41,J35:J41)</f>
        <v>0</v>
      </c>
      <c r="K34" s="13">
        <f>+SUMPRODUCT(G35:G41,K35:K41)</f>
        <v>0</v>
      </c>
      <c r="L34" s="11"/>
      <c r="N34" s="14">
        <f>+SUM(N35:N41)</f>
        <v>0</v>
      </c>
      <c r="U34" s="14">
        <f>+SUM(U35:U41)</f>
        <v>0</v>
      </c>
      <c r="AB34" s="14">
        <f>+SUM(AB35:AB41)</f>
        <v>0</v>
      </c>
      <c r="AI34" s="14">
        <f>+SUM(AI35:AI41)</f>
        <v>0</v>
      </c>
      <c r="AP34" s="14">
        <f>+SUM(AP35:AP41)</f>
        <v>0</v>
      </c>
    </row>
    <row r="35" spans="2:179" outlineLevel="1" x14ac:dyDescent="0.2">
      <c r="B35" t="s">
        <v>28</v>
      </c>
      <c r="C35" t="s">
        <v>117</v>
      </c>
      <c r="E35" s="11"/>
      <c r="F35" t="s">
        <v>119</v>
      </c>
      <c r="G35" s="12">
        <v>0.1</v>
      </c>
      <c r="I35" s="11">
        <f t="shared" ref="I35:I46" si="3">+SUMIF($N$3:$ZZ$3,I$3,$N35:$ZZ35)</f>
        <v>0</v>
      </c>
      <c r="J35" s="13" cm="1">
        <f t="array" ref="J35">MAX(IF($N$3:$EH$3=$J$3,N35:EH35))</f>
        <v>0</v>
      </c>
      <c r="K35" s="13" cm="1">
        <f t="array" ref="K35">MAX(IF($N$3:$EH$3=$J$3,N35:EH35))</f>
        <v>0</v>
      </c>
      <c r="L35" s="11"/>
      <c r="O35" s="12"/>
      <c r="P35" s="12">
        <v>0.5</v>
      </c>
      <c r="Q35" s="12"/>
      <c r="R35" s="12"/>
      <c r="V35" s="24"/>
      <c r="W35" s="25">
        <v>0.8</v>
      </c>
      <c r="X35" s="12"/>
      <c r="Y35" s="12"/>
      <c r="AC35" s="24"/>
      <c r="AD35" s="25">
        <v>1</v>
      </c>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12"/>
      <c r="EZ35" s="12"/>
      <c r="FA35" s="12"/>
      <c r="FB35" s="12"/>
      <c r="FF35" s="12"/>
      <c r="FG35" s="12">
        <v>1</v>
      </c>
      <c r="FH35" s="12"/>
      <c r="FI35" s="12">
        <v>1</v>
      </c>
      <c r="FM35" s="12"/>
      <c r="FN35" s="12">
        <v>1</v>
      </c>
      <c r="FO35" s="12"/>
      <c r="FP35" s="12">
        <v>1</v>
      </c>
      <c r="FT35" s="12"/>
      <c r="FU35" s="12">
        <v>1</v>
      </c>
      <c r="FV35" s="12"/>
      <c r="FW35" s="12">
        <v>1</v>
      </c>
    </row>
    <row r="36" spans="2:179" ht="17" outlineLevel="1" thickBot="1" x14ac:dyDescent="0.25">
      <c r="B36" t="s">
        <v>28</v>
      </c>
      <c r="C36" t="s">
        <v>117</v>
      </c>
      <c r="E36" s="11"/>
      <c r="F36" t="s">
        <v>120</v>
      </c>
      <c r="G36" s="12">
        <v>0.05</v>
      </c>
      <c r="I36" s="11">
        <f t="shared" si="3"/>
        <v>0</v>
      </c>
      <c r="J36" s="13" cm="1">
        <f t="array" ref="J36">MAX(IF($N$3:$EH$3=$J$3,N36:EH36))</f>
        <v>0</v>
      </c>
      <c r="K36" s="13" cm="1">
        <f t="array" ref="K36">MAX(IF($N$3:$EH$3=$J$3,N36:EH36))</f>
        <v>0</v>
      </c>
      <c r="L36" s="11"/>
      <c r="O36" s="12"/>
      <c r="P36" s="12">
        <v>0.5</v>
      </c>
      <c r="Q36" s="12"/>
      <c r="R36" s="12"/>
      <c r="V36" s="28"/>
      <c r="W36" s="29">
        <v>0.8</v>
      </c>
      <c r="X36" s="12"/>
      <c r="Y36" s="12"/>
      <c r="AC36" s="28"/>
      <c r="AD36" s="29">
        <v>0.8</v>
      </c>
      <c r="AE36" s="12"/>
      <c r="AF36" s="12"/>
      <c r="AJ36" s="12"/>
      <c r="AK36" s="12">
        <v>1</v>
      </c>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c r="EK36" s="12"/>
      <c r="EL36" s="12"/>
      <c r="EM36" s="12"/>
      <c r="EN36" s="12"/>
      <c r="ER36" s="12"/>
      <c r="ES36" s="12"/>
      <c r="ET36" s="12"/>
      <c r="EU36" s="12"/>
      <c r="EY36" s="12"/>
      <c r="EZ36" s="12"/>
      <c r="FA36" s="12"/>
      <c r="FB36" s="12"/>
      <c r="FF36" s="12"/>
      <c r="FG36" s="12">
        <v>1</v>
      </c>
      <c r="FH36" s="12"/>
      <c r="FI36" s="12">
        <v>1</v>
      </c>
      <c r="FM36" s="12"/>
      <c r="FN36" s="12">
        <v>1</v>
      </c>
      <c r="FO36" s="12"/>
      <c r="FP36" s="12">
        <v>1</v>
      </c>
      <c r="FT36" s="12"/>
      <c r="FU36" s="12">
        <v>1</v>
      </c>
      <c r="FV36" s="12"/>
      <c r="FW36" s="12">
        <v>1</v>
      </c>
    </row>
    <row r="37" spans="2:179" outlineLevel="1" x14ac:dyDescent="0.2">
      <c r="B37" t="s">
        <v>28</v>
      </c>
      <c r="C37" t="s">
        <v>117</v>
      </c>
      <c r="E37" s="11"/>
      <c r="F37" t="s">
        <v>121</v>
      </c>
      <c r="G37" s="12">
        <v>0.1</v>
      </c>
      <c r="I37" s="11">
        <f t="shared" si="3"/>
        <v>0</v>
      </c>
      <c r="J37" s="13" cm="1">
        <f t="array" ref="J37">MAX(IF($N$3:$EH$3=$J$3,N37:EH37))</f>
        <v>0</v>
      </c>
      <c r="K37" s="13" cm="1">
        <f t="array" ref="K37">MAX(IF($N$3:$EH$3=$J$3,N37:EH37))</f>
        <v>0</v>
      </c>
      <c r="L37" s="11"/>
      <c r="O37" s="12"/>
      <c r="P37" s="12"/>
      <c r="Q37" s="12"/>
      <c r="R37" s="12"/>
      <c r="V37" s="12"/>
      <c r="W37" s="12">
        <v>0.5</v>
      </c>
      <c r="X37" s="12"/>
      <c r="Y37" s="12"/>
      <c r="AC37" s="31"/>
      <c r="AD37" s="31">
        <v>0.8</v>
      </c>
      <c r="AE37" s="12"/>
      <c r="AF37" s="12"/>
      <c r="AJ37" s="12"/>
      <c r="AK37" s="12">
        <v>0.8</v>
      </c>
      <c r="AL37" s="12"/>
      <c r="AM37" s="12"/>
      <c r="AQ37" s="12"/>
      <c r="AR37" s="12">
        <v>1</v>
      </c>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c r="DW37" s="12"/>
      <c r="DX37" s="12"/>
      <c r="DY37" s="12"/>
      <c r="DZ37" s="12"/>
      <c r="ED37" s="12"/>
      <c r="EE37" s="12"/>
      <c r="EF37" s="12"/>
      <c r="EG37" s="12"/>
      <c r="EK37" s="12"/>
      <c r="EL37" s="12"/>
      <c r="EM37" s="12"/>
      <c r="EN37" s="12"/>
      <c r="ER37" s="12"/>
      <c r="ES37" s="12"/>
      <c r="ET37" s="12"/>
      <c r="EU37" s="12"/>
      <c r="EY37" s="12"/>
      <c r="EZ37" s="12"/>
      <c r="FA37" s="12"/>
      <c r="FB37" s="12"/>
      <c r="FF37" s="12"/>
      <c r="FG37" s="12">
        <v>1</v>
      </c>
      <c r="FH37" s="12"/>
      <c r="FI37" s="12">
        <v>1</v>
      </c>
      <c r="FM37" s="12"/>
      <c r="FN37" s="12">
        <v>1</v>
      </c>
      <c r="FO37" s="12"/>
      <c r="FP37" s="12">
        <v>1</v>
      </c>
      <c r="FT37" s="12"/>
      <c r="FU37" s="12">
        <v>1</v>
      </c>
      <c r="FV37" s="12"/>
      <c r="FW37" s="12">
        <v>1</v>
      </c>
    </row>
    <row r="38" spans="2:179" outlineLevel="1" x14ac:dyDescent="0.2">
      <c r="B38" t="s">
        <v>28</v>
      </c>
      <c r="C38" t="s">
        <v>117</v>
      </c>
      <c r="E38" s="11"/>
      <c r="F38" t="s">
        <v>122</v>
      </c>
      <c r="G38" s="12">
        <v>0.1</v>
      </c>
      <c r="I38" s="11">
        <f t="shared" si="3"/>
        <v>0</v>
      </c>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v>0.5</v>
      </c>
      <c r="AL38" s="12"/>
      <c r="AM38" s="12"/>
      <c r="AQ38" s="12"/>
      <c r="AR38" s="12">
        <v>0.8</v>
      </c>
      <c r="AS38" s="12"/>
      <c r="AT38" s="12"/>
      <c r="AX38" s="12"/>
      <c r="AY38" s="12">
        <v>1</v>
      </c>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c r="DP38" s="12"/>
      <c r="DQ38" s="12"/>
      <c r="DR38" s="12"/>
      <c r="DS38" s="12"/>
      <c r="DW38" s="12"/>
      <c r="DX38" s="12"/>
      <c r="DY38" s="12"/>
      <c r="DZ38" s="12"/>
      <c r="ED38" s="12"/>
      <c r="EE38" s="12"/>
      <c r="EF38" s="12"/>
      <c r="EG38" s="12"/>
      <c r="EK38" s="12"/>
      <c r="EL38" s="12"/>
      <c r="EM38" s="12"/>
      <c r="EN38" s="12"/>
      <c r="ER38" s="12"/>
      <c r="ES38" s="12"/>
      <c r="ET38" s="12"/>
      <c r="EU38" s="12"/>
      <c r="EY38" s="12"/>
      <c r="EZ38" s="12"/>
      <c r="FA38" s="12"/>
      <c r="FB38" s="12"/>
      <c r="FF38" s="12"/>
      <c r="FG38" s="12">
        <v>1</v>
      </c>
      <c r="FH38" s="12"/>
      <c r="FI38" s="12">
        <v>1</v>
      </c>
      <c r="FM38" s="12"/>
      <c r="FN38" s="12">
        <v>1</v>
      </c>
      <c r="FO38" s="12"/>
      <c r="FP38" s="12">
        <v>1</v>
      </c>
      <c r="FT38" s="12"/>
      <c r="FU38" s="12">
        <v>1</v>
      </c>
      <c r="FV38" s="12"/>
      <c r="FW38" s="12">
        <v>1</v>
      </c>
    </row>
    <row r="39" spans="2:179" outlineLevel="1" x14ac:dyDescent="0.2">
      <c r="B39" t="s">
        <v>28</v>
      </c>
      <c r="C39" t="s">
        <v>117</v>
      </c>
      <c r="E39" s="11"/>
      <c r="F39" t="s">
        <v>30</v>
      </c>
      <c r="G39" s="12">
        <v>0.1</v>
      </c>
      <c r="I39" s="11">
        <f t="shared" si="3"/>
        <v>0</v>
      </c>
      <c r="J39" s="13" cm="1">
        <f t="array" ref="J39">MAX(IF($N$3:$EH$3=$J$3,N39:EH39))</f>
        <v>0</v>
      </c>
      <c r="K39" s="13" cm="1">
        <f t="array" ref="K39">MAX(IF($N$3:$EH$3=$J$3,N39:EH39))</f>
        <v>0</v>
      </c>
      <c r="L39" s="11"/>
      <c r="O39" s="12"/>
      <c r="P39" s="12"/>
      <c r="Q39" s="12"/>
      <c r="R39" s="12"/>
      <c r="V39" s="12"/>
      <c r="W39" s="12"/>
      <c r="X39" s="12"/>
      <c r="Y39" s="12"/>
      <c r="AC39" s="12"/>
      <c r="AD39" s="12"/>
      <c r="AE39" s="12"/>
      <c r="AF39" s="12"/>
      <c r="AJ39" s="12"/>
      <c r="AK39" s="12"/>
      <c r="AL39" s="12"/>
      <c r="AM39" s="12"/>
      <c r="AQ39" s="12"/>
      <c r="AR39" s="12"/>
      <c r="AS39" s="12"/>
      <c r="AT39" s="12"/>
      <c r="AX39" s="12"/>
      <c r="AY39" s="12">
        <v>0.5</v>
      </c>
      <c r="AZ39" s="12"/>
      <c r="BA39" s="12"/>
      <c r="BE39" s="12"/>
      <c r="BF39" s="12">
        <v>0.8</v>
      </c>
      <c r="BG39" s="12"/>
      <c r="BH39" s="12"/>
      <c r="BL39" s="12"/>
      <c r="BM39" s="12">
        <v>1</v>
      </c>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12"/>
      <c r="EZ39" s="12"/>
      <c r="FA39" s="12"/>
      <c r="FB39" s="12"/>
      <c r="FF39" s="12"/>
      <c r="FG39" s="12">
        <v>0.8</v>
      </c>
      <c r="FH39" s="12"/>
      <c r="FI39" s="12">
        <v>0.8</v>
      </c>
      <c r="FM39" s="12"/>
      <c r="FN39" s="12">
        <v>1</v>
      </c>
      <c r="FO39" s="12"/>
      <c r="FP39" s="12">
        <v>1</v>
      </c>
      <c r="FT39" s="12"/>
      <c r="FU39" s="12">
        <v>1</v>
      </c>
      <c r="FV39" s="12"/>
      <c r="FW39" s="12">
        <v>1</v>
      </c>
    </row>
    <row r="40" spans="2:179" outlineLevel="1" x14ac:dyDescent="0.2">
      <c r="B40" t="s">
        <v>28</v>
      </c>
      <c r="C40" t="s">
        <v>117</v>
      </c>
      <c r="E40" s="11"/>
      <c r="F40" t="s">
        <v>123</v>
      </c>
      <c r="G40" s="12">
        <v>0.1</v>
      </c>
      <c r="I40" s="11">
        <f t="shared" si="3"/>
        <v>0</v>
      </c>
      <c r="J40" s="13" cm="1">
        <f t="array" ref="J40">MAX(IF($N$3:$EH$3=$J$3,N40:EH40))</f>
        <v>0</v>
      </c>
      <c r="K40" s="13" cm="1">
        <f t="array" ref="K40">MAX(IF($N$3:$EH$3=$J$3,N40:EH40))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v>0.5</v>
      </c>
      <c r="BG40" s="12"/>
      <c r="BH40" s="12"/>
      <c r="BL40" s="12"/>
      <c r="BM40" s="12">
        <v>0.8</v>
      </c>
      <c r="BN40" s="12"/>
      <c r="BO40" s="12"/>
      <c r="BS40" s="12"/>
      <c r="BT40" s="12">
        <v>1</v>
      </c>
      <c r="BU40" s="12"/>
      <c r="BV40" s="12"/>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12"/>
      <c r="EZ40" s="12"/>
      <c r="FA40" s="12"/>
      <c r="FB40" s="12"/>
      <c r="FF40" s="12"/>
      <c r="FG40" s="12">
        <v>0.8</v>
      </c>
      <c r="FH40" s="12"/>
      <c r="FI40" s="12">
        <v>0.8</v>
      </c>
      <c r="FM40" s="12"/>
      <c r="FN40" s="12">
        <v>1</v>
      </c>
      <c r="FO40" s="12"/>
      <c r="FP40" s="12">
        <v>1</v>
      </c>
      <c r="FT40" s="12"/>
      <c r="FU40" s="12">
        <v>1</v>
      </c>
      <c r="FV40" s="12"/>
      <c r="FW40" s="12">
        <v>1</v>
      </c>
    </row>
    <row r="41" spans="2:179" outlineLevel="1" x14ac:dyDescent="0.2">
      <c r="B41" t="s">
        <v>28</v>
      </c>
      <c r="C41" t="s">
        <v>117</v>
      </c>
      <c r="E41" s="11"/>
      <c r="F41" t="s">
        <v>124</v>
      </c>
      <c r="G41" s="12">
        <v>0.1</v>
      </c>
      <c r="I41" s="11">
        <f t="shared" si="3"/>
        <v>0</v>
      </c>
      <c r="J41" s="13" cm="1">
        <f t="array" ref="J41">MAX(IF($N$3:$EH$3=$J$3,N41:EH41))</f>
        <v>0</v>
      </c>
      <c r="K41" s="13" cm="1">
        <f t="array" ref="K41">MAX(IF($N$3:$EH$3=$J$3,N41:EH41))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v>0.5</v>
      </c>
      <c r="BG41" s="12"/>
      <c r="BH41" s="12"/>
      <c r="BL41" s="12"/>
      <c r="BM41" s="12">
        <v>0.8</v>
      </c>
      <c r="BN41" s="12"/>
      <c r="BO41" s="12"/>
      <c r="BS41" s="12"/>
      <c r="BT41" s="12">
        <v>1</v>
      </c>
      <c r="BU41" s="12"/>
      <c r="BV41" s="12"/>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12"/>
      <c r="EZ41" s="12"/>
      <c r="FA41" s="12"/>
      <c r="FB41" s="12"/>
      <c r="FF41" s="12"/>
      <c r="FG41" s="12">
        <v>0.8</v>
      </c>
      <c r="FH41" s="12"/>
      <c r="FI41" s="12">
        <v>0.8</v>
      </c>
      <c r="FM41" s="12"/>
      <c r="FN41" s="12">
        <v>1</v>
      </c>
      <c r="FO41" s="12"/>
      <c r="FP41" s="12">
        <v>1</v>
      </c>
      <c r="FT41" s="12"/>
      <c r="FU41" s="12">
        <v>1</v>
      </c>
      <c r="FV41" s="12"/>
      <c r="FW41" s="12">
        <v>1</v>
      </c>
    </row>
    <row r="42" spans="2:179" outlineLevel="1" x14ac:dyDescent="0.2">
      <c r="B42" t="s">
        <v>28</v>
      </c>
      <c r="C42" t="s">
        <v>117</v>
      </c>
      <c r="E42" s="11"/>
      <c r="F42" t="s">
        <v>125</v>
      </c>
      <c r="G42" s="12"/>
      <c r="I42" s="11"/>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v>0.5</v>
      </c>
      <c r="CB42" s="12"/>
      <c r="CC42" s="12"/>
      <c r="CG42" s="12"/>
      <c r="CH42" s="12">
        <v>0.8</v>
      </c>
      <c r="CI42" s="12"/>
      <c r="CJ42" s="12"/>
      <c r="CN42" s="12"/>
      <c r="CO42" s="12">
        <v>0.5</v>
      </c>
      <c r="CP42" s="12"/>
      <c r="CQ42" s="12"/>
      <c r="CU42" s="12"/>
      <c r="CV42" s="12">
        <v>0.8</v>
      </c>
      <c r="CW42" s="12"/>
      <c r="CX42" s="12"/>
      <c r="DB42" s="12"/>
      <c r="DC42" s="12">
        <v>1</v>
      </c>
      <c r="DD42" s="12"/>
      <c r="DE42" s="12"/>
      <c r="DI42" s="12"/>
      <c r="DJ42" s="12"/>
      <c r="DK42" s="12"/>
      <c r="DL42" s="12"/>
      <c r="DP42" s="12"/>
      <c r="DQ42" s="12"/>
      <c r="DR42" s="12"/>
      <c r="DS42" s="12"/>
      <c r="DW42" s="12"/>
      <c r="DX42" s="12"/>
      <c r="DY42" s="12"/>
      <c r="DZ42" s="12"/>
      <c r="ED42" s="12"/>
      <c r="EE42" s="12"/>
      <c r="EF42" s="12"/>
      <c r="EG42" s="12"/>
      <c r="EK42" s="12"/>
      <c r="EL42" s="12"/>
      <c r="EM42" s="12"/>
      <c r="EN42" s="12"/>
      <c r="ER42" s="12"/>
      <c r="ES42" s="12"/>
      <c r="ET42" s="12"/>
      <c r="EU42" s="12"/>
      <c r="EY42" s="12"/>
      <c r="EZ42" s="12"/>
      <c r="FA42" s="12"/>
      <c r="FB42" s="12"/>
      <c r="FF42" s="12"/>
      <c r="FG42" s="12">
        <v>0.8</v>
      </c>
      <c r="FH42" s="12"/>
      <c r="FI42" s="12">
        <v>0.8</v>
      </c>
      <c r="FM42" s="12"/>
      <c r="FN42" s="12">
        <v>1</v>
      </c>
      <c r="FO42" s="12"/>
      <c r="FP42" s="12">
        <v>1</v>
      </c>
      <c r="FT42" s="12"/>
      <c r="FU42" s="12">
        <v>1</v>
      </c>
      <c r="FV42" s="12"/>
      <c r="FW42" s="12">
        <v>1</v>
      </c>
    </row>
    <row r="43" spans="2:179" outlineLevel="1" x14ac:dyDescent="0.2">
      <c r="B43" t="s">
        <v>28</v>
      </c>
      <c r="C43" t="s">
        <v>117</v>
      </c>
      <c r="E43" s="11"/>
      <c r="F43" t="s">
        <v>126</v>
      </c>
      <c r="G43" s="12">
        <f>+SUM(G44:G51)</f>
        <v>0.30000000000000004</v>
      </c>
      <c r="I43" s="11">
        <f>+SUM(I44:I51)</f>
        <v>0</v>
      </c>
      <c r="J43" s="13">
        <f>+SUMPRODUCT(G44:G51,J44:J51)</f>
        <v>0</v>
      </c>
      <c r="K43" s="13">
        <f>+SUMPRODUCT(G44:G51,K44:K51)</f>
        <v>0</v>
      </c>
      <c r="L43" s="11"/>
      <c r="N43">
        <f>+SUM(N44:N51)</f>
        <v>0</v>
      </c>
      <c r="O43" s="12"/>
      <c r="P43" s="12"/>
      <c r="Q43" s="12"/>
      <c r="R43" s="12"/>
      <c r="U43">
        <f>+SUM(U44:U51)</f>
        <v>0</v>
      </c>
      <c r="V43" s="12"/>
      <c r="W43" s="12"/>
      <c r="X43" s="12"/>
      <c r="Y43" s="12"/>
      <c r="AB43">
        <f>+SUM(AB44:AB51)</f>
        <v>0</v>
      </c>
      <c r="AC43" s="12"/>
      <c r="AD43" s="12"/>
      <c r="AE43" s="12"/>
      <c r="AF43" s="12"/>
      <c r="AI43">
        <f>+SUM(AI44:AI51)</f>
        <v>0</v>
      </c>
      <c r="AJ43" s="12"/>
      <c r="AK43" s="12"/>
      <c r="AL43" s="12"/>
      <c r="AM43" s="12"/>
      <c r="AP43">
        <f>+SUM(AP44:AP51)</f>
        <v>0</v>
      </c>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c r="ER43" s="12"/>
      <c r="ES43" s="12"/>
      <c r="ET43" s="12"/>
      <c r="EU43" s="12"/>
      <c r="EY43" s="12"/>
      <c r="EZ43" s="12"/>
      <c r="FA43" s="12"/>
      <c r="FB43" s="12"/>
      <c r="FF43" s="12"/>
      <c r="FG43" s="12">
        <v>0.8</v>
      </c>
      <c r="FH43" s="12"/>
      <c r="FI43" s="12">
        <v>0.8</v>
      </c>
      <c r="FM43" s="12"/>
      <c r="FN43" s="12">
        <v>1</v>
      </c>
      <c r="FO43" s="12"/>
      <c r="FP43" s="12">
        <v>1</v>
      </c>
      <c r="FT43" s="12"/>
      <c r="FU43" s="12">
        <v>1</v>
      </c>
      <c r="FV43" s="12"/>
      <c r="FW43" s="12">
        <v>1</v>
      </c>
    </row>
    <row r="44" spans="2:179" outlineLevel="1" x14ac:dyDescent="0.2">
      <c r="B44" t="s">
        <v>28</v>
      </c>
      <c r="C44" t="s">
        <v>117</v>
      </c>
      <c r="E44" s="11"/>
      <c r="F44" t="s">
        <v>127</v>
      </c>
      <c r="G44" s="12">
        <v>0.1</v>
      </c>
      <c r="I44" s="11">
        <f t="shared" si="3"/>
        <v>0</v>
      </c>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12"/>
      <c r="EZ44" s="12"/>
      <c r="FA44" s="12"/>
      <c r="FB44" s="12"/>
      <c r="FF44" s="12"/>
      <c r="FG44" s="12">
        <v>0.8</v>
      </c>
      <c r="FH44" s="12"/>
      <c r="FI44" s="12">
        <v>0.8</v>
      </c>
      <c r="FM44" s="12"/>
      <c r="FN44" s="12">
        <v>1</v>
      </c>
      <c r="FO44" s="12"/>
      <c r="FP44" s="12">
        <v>1</v>
      </c>
      <c r="FT44" s="12"/>
      <c r="FU44" s="12">
        <v>1</v>
      </c>
      <c r="FV44" s="12"/>
      <c r="FW44" s="12">
        <v>1</v>
      </c>
    </row>
    <row r="45" spans="2:179" outlineLevel="1" x14ac:dyDescent="0.2">
      <c r="B45" t="s">
        <v>28</v>
      </c>
      <c r="C45" t="s">
        <v>117</v>
      </c>
      <c r="E45" s="11"/>
      <c r="F45" t="s">
        <v>128</v>
      </c>
      <c r="G45" s="12">
        <v>0.05</v>
      </c>
      <c r="I45" s="11">
        <f t="shared" si="3"/>
        <v>0</v>
      </c>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12"/>
      <c r="EZ45" s="12"/>
      <c r="FA45" s="12"/>
      <c r="FB45" s="12"/>
      <c r="FF45" s="12"/>
      <c r="FG45" s="12">
        <v>0.8</v>
      </c>
      <c r="FH45" s="12"/>
      <c r="FI45" s="12">
        <v>0.8</v>
      </c>
      <c r="FM45" s="12"/>
      <c r="FN45" s="12">
        <v>1</v>
      </c>
      <c r="FO45" s="12"/>
      <c r="FP45" s="12">
        <v>1</v>
      </c>
      <c r="FT45" s="12"/>
      <c r="FU45" s="12">
        <v>1</v>
      </c>
      <c r="FV45" s="12"/>
      <c r="FW45" s="12">
        <v>1</v>
      </c>
    </row>
    <row r="46" spans="2:179" outlineLevel="1" x14ac:dyDescent="0.2">
      <c r="B46" t="s">
        <v>28</v>
      </c>
      <c r="C46" t="s">
        <v>117</v>
      </c>
      <c r="E46" s="11"/>
      <c r="F46" t="s">
        <v>129</v>
      </c>
      <c r="G46" s="12">
        <v>0.05</v>
      </c>
      <c r="I46" s="11">
        <f t="shared" si="3"/>
        <v>0</v>
      </c>
      <c r="J46" s="13" cm="1">
        <f t="array" ref="J46">MAX(IF($N$3:$EH$3=$J$3,N46:EH46))</f>
        <v>0</v>
      </c>
      <c r="K46" s="13" cm="1">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12"/>
      <c r="EZ46" s="12"/>
      <c r="FA46" s="12"/>
      <c r="FB46" s="12"/>
      <c r="FF46" s="12"/>
      <c r="FG46" s="12">
        <v>0.8</v>
      </c>
      <c r="FH46" s="12"/>
      <c r="FI46" s="12">
        <v>0.8</v>
      </c>
      <c r="FM46" s="12"/>
      <c r="FN46" s="12">
        <v>1</v>
      </c>
      <c r="FO46" s="12"/>
      <c r="FP46" s="12">
        <v>1</v>
      </c>
      <c r="FT46" s="12"/>
      <c r="FU46" s="12">
        <v>1</v>
      </c>
      <c r="FV46" s="12"/>
      <c r="FW46" s="12">
        <v>1</v>
      </c>
    </row>
    <row r="47" spans="2:179" outlineLevel="1" x14ac:dyDescent="0.2">
      <c r="E47" s="11"/>
      <c r="G47" s="12"/>
      <c r="I47" s="11"/>
      <c r="J47" s="13"/>
      <c r="K47" s="13"/>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12"/>
      <c r="EZ47" s="12"/>
      <c r="FA47" s="12"/>
      <c r="FB47" s="12"/>
      <c r="FF47" s="12"/>
      <c r="FG47" s="12"/>
      <c r="FH47" s="12"/>
      <c r="FI47" s="12"/>
      <c r="FM47" s="12"/>
      <c r="FN47" s="12"/>
      <c r="FO47" s="12"/>
      <c r="FP47" s="12"/>
      <c r="FT47" s="12"/>
      <c r="FU47" s="12"/>
      <c r="FV47" s="12"/>
      <c r="FW47" s="12"/>
    </row>
    <row r="51" spans="2:179" ht="17" outlineLevel="1" thickBot="1" x14ac:dyDescent="0.25">
      <c r="B51" s="3" t="s">
        <v>27</v>
      </c>
      <c r="C51" s="3" t="s">
        <v>118</v>
      </c>
      <c r="E51" s="11"/>
      <c r="F51">
        <f>(25*3)/22</f>
        <v>3.4090909090909092</v>
      </c>
      <c r="G51" s="12">
        <v>0.1</v>
      </c>
      <c r="I51" s="11">
        <f>+SUMIF($N$3:$ZZ$3,I$3,$N51:$ZZ51)</f>
        <v>0</v>
      </c>
      <c r="J51" s="13" cm="1">
        <f t="array" ref="J51">MAX(IF($N$3:$EH$3=$J$3,N51:EH51))</f>
        <v>0</v>
      </c>
      <c r="K51" s="13" cm="1">
        <f t="array" ref="K51">MAX(IF($N$3:$EH$3=$J$3,N51:EH51))</f>
        <v>0</v>
      </c>
      <c r="L51" s="11"/>
      <c r="O51" s="12"/>
      <c r="P51" s="12">
        <v>0.5</v>
      </c>
      <c r="Q51" s="12"/>
      <c r="R51" s="12"/>
      <c r="V51" s="31"/>
      <c r="W51" s="31"/>
      <c r="X51" s="12"/>
      <c r="Y51" s="12"/>
      <c r="AC51" s="31"/>
      <c r="AD51" s="31"/>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c r="ED51" s="12"/>
      <c r="EE51" s="12"/>
      <c r="EF51" s="12"/>
      <c r="EG51" s="12"/>
      <c r="EK51" s="12"/>
      <c r="EL51" s="12"/>
      <c r="EM51" s="12"/>
      <c r="EN51" s="12"/>
      <c r="ER51" s="12"/>
      <c r="ES51" s="12"/>
      <c r="ET51" s="12"/>
      <c r="EU51" s="12"/>
      <c r="EY51" s="12"/>
      <c r="EZ51" s="12"/>
      <c r="FA51" s="12"/>
      <c r="FB51" s="12"/>
      <c r="FF51" s="12"/>
      <c r="FG51" s="12">
        <v>1</v>
      </c>
      <c r="FH51" s="12"/>
      <c r="FI51" s="12">
        <v>1</v>
      </c>
      <c r="FM51" s="12"/>
      <c r="FN51" s="12">
        <v>1</v>
      </c>
      <c r="FO51" s="12"/>
      <c r="FP51" s="12">
        <v>1</v>
      </c>
      <c r="FT51" s="12"/>
      <c r="FU51" s="12"/>
      <c r="FV51" s="12"/>
      <c r="FW51" s="12"/>
    </row>
    <row r="52" spans="2:179" outlineLevel="1" x14ac:dyDescent="0.2">
      <c r="B52" t="s">
        <v>28</v>
      </c>
      <c r="C52" t="s">
        <v>118</v>
      </c>
      <c r="E52" s="11"/>
      <c r="F52" t="s">
        <v>130</v>
      </c>
      <c r="G52" s="12">
        <v>0.1</v>
      </c>
      <c r="I52" s="11">
        <f t="shared" ref="I52:I76" si="4">+SUMIF($N$3:$WV$3,I$3,$N52:$WV52)</f>
        <v>0</v>
      </c>
      <c r="J52" s="13" cm="1">
        <f t="array" ref="J52">MAX(IF($N$3:$DV$3=$J$3,N52:DV52))</f>
        <v>0</v>
      </c>
      <c r="K52" s="13" cm="1">
        <f t="array" ref="K52">MAX(IF($N$3:$DV$3=$J$3,N52:DV52))</f>
        <v>0</v>
      </c>
      <c r="L52" s="11"/>
      <c r="O52" s="12"/>
      <c r="P52" s="12">
        <v>0.5</v>
      </c>
      <c r="Q52" s="12"/>
      <c r="R52" s="12"/>
      <c r="U52">
        <v>0</v>
      </c>
      <c r="V52" s="24"/>
      <c r="W52" s="25">
        <v>0.8</v>
      </c>
      <c r="X52" s="12"/>
      <c r="Y52" s="12"/>
      <c r="AC52" s="24"/>
      <c r="AD52" s="25">
        <v>1</v>
      </c>
      <c r="AE52" s="12"/>
      <c r="AF52" s="12"/>
      <c r="AJ52" s="12"/>
      <c r="AK52" s="12"/>
      <c r="AL52" s="12"/>
      <c r="AM52" s="12"/>
      <c r="AP52">
        <v>0</v>
      </c>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c r="EK52" s="12"/>
      <c r="EL52" s="12"/>
      <c r="EM52" s="12"/>
      <c r="EN52" s="12"/>
      <c r="ER52" s="12"/>
      <c r="ES52" s="12"/>
      <c r="ET52" s="12"/>
      <c r="EU52" s="12"/>
      <c r="EY52" s="12"/>
      <c r="EZ52" s="12"/>
      <c r="FA52" s="12"/>
      <c r="FB52" s="12"/>
      <c r="FF52" s="12"/>
      <c r="FG52" s="12">
        <v>1</v>
      </c>
      <c r="FH52" s="12"/>
      <c r="FI52" s="12">
        <v>1</v>
      </c>
      <c r="FM52" s="12"/>
      <c r="FN52" s="12">
        <v>1</v>
      </c>
      <c r="FO52" s="12"/>
      <c r="FP52" s="12">
        <v>1</v>
      </c>
      <c r="FT52" s="12"/>
      <c r="FU52" s="12">
        <v>1</v>
      </c>
      <c r="FV52" s="12"/>
      <c r="FW52" s="12"/>
    </row>
    <row r="53" spans="2:179" ht="17" outlineLevel="1" thickBot="1" x14ac:dyDescent="0.25">
      <c r="B53" t="s">
        <v>28</v>
      </c>
      <c r="C53" t="s">
        <v>118</v>
      </c>
      <c r="E53" s="11"/>
      <c r="F53" t="s">
        <v>131</v>
      </c>
      <c r="G53" s="12">
        <v>0.05</v>
      </c>
      <c r="I53" s="11">
        <f t="shared" si="4"/>
        <v>0</v>
      </c>
      <c r="J53" s="13" cm="1">
        <f t="array" ref="J53">MAX(IF($N$3:$DV$3=$J$3,N53:DV53))</f>
        <v>0</v>
      </c>
      <c r="K53" s="13" cm="1">
        <f t="array" ref="K53">MAX(IF($N$3:$DV$3=$J$3,N53:DV53))</f>
        <v>0</v>
      </c>
      <c r="L53" s="11"/>
      <c r="O53" s="12"/>
      <c r="P53" s="12"/>
      <c r="Q53" s="12"/>
      <c r="R53" s="12"/>
      <c r="V53" s="28"/>
      <c r="W53" s="29">
        <v>0.8</v>
      </c>
      <c r="X53" s="12"/>
      <c r="Y53" s="12"/>
      <c r="AC53" s="28"/>
      <c r="AD53" s="29">
        <v>1</v>
      </c>
      <c r="AE53" s="12"/>
      <c r="AF53" s="12"/>
      <c r="AJ53" s="12"/>
      <c r="AK53" s="12"/>
      <c r="AL53" s="12"/>
      <c r="AM53" s="12"/>
      <c r="AP53">
        <v>0</v>
      </c>
      <c r="AQ53" s="12"/>
      <c r="AR53" s="12"/>
      <c r="AS53" s="12"/>
      <c r="AT53" s="12"/>
      <c r="AX53" s="12"/>
      <c r="AY53" s="12"/>
      <c r="AZ53" s="12"/>
      <c r="BA53" s="12"/>
      <c r="BE53" s="12"/>
      <c r="BF53" s="12"/>
      <c r="BG53" s="12"/>
      <c r="BH53" s="12"/>
      <c r="BL53" s="12"/>
      <c r="BM53" s="12"/>
      <c r="BN53" s="12"/>
      <c r="BO53" s="12"/>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c r="EK53" s="12"/>
      <c r="EL53" s="12"/>
      <c r="EM53" s="12"/>
      <c r="EN53" s="12"/>
      <c r="ER53" s="12"/>
      <c r="ES53" s="12"/>
      <c r="ET53" s="12"/>
      <c r="EU53" s="12"/>
      <c r="EY53" s="12"/>
      <c r="EZ53" s="12"/>
      <c r="FA53" s="12"/>
      <c r="FB53" s="12"/>
      <c r="FF53" s="12"/>
      <c r="FG53" s="12">
        <v>1</v>
      </c>
      <c r="FH53" s="12"/>
      <c r="FI53" s="12">
        <v>1</v>
      </c>
      <c r="FM53" s="12"/>
      <c r="FN53" s="12">
        <v>1</v>
      </c>
      <c r="FO53" s="12"/>
      <c r="FP53" s="12">
        <v>1</v>
      </c>
      <c r="FT53" s="12"/>
      <c r="FU53" s="12">
        <v>1</v>
      </c>
      <c r="FV53" s="12"/>
      <c r="FW53" s="12"/>
    </row>
    <row r="54" spans="2:179" outlineLevel="1" x14ac:dyDescent="0.2">
      <c r="B54" t="s">
        <v>28</v>
      </c>
      <c r="C54" t="s">
        <v>118</v>
      </c>
      <c r="E54" s="11"/>
      <c r="F54" t="s">
        <v>132</v>
      </c>
      <c r="G54" s="12">
        <v>0.05</v>
      </c>
      <c r="I54" s="11">
        <f t="shared" si="4"/>
        <v>0</v>
      </c>
      <c r="J54" s="13" cm="1">
        <f t="array" ref="J54">MAX(IF($N$3:$DV$3=$J$3,N54:DV54))</f>
        <v>0</v>
      </c>
      <c r="K54" s="13" cm="1">
        <f t="array" ref="K54">MAX(IF($N$3:$DV$3=$J$3,N54:DV54))</f>
        <v>0</v>
      </c>
      <c r="L54" s="11"/>
      <c r="O54" s="12"/>
      <c r="P54" s="12"/>
      <c r="Q54" s="12"/>
      <c r="R54" s="12"/>
      <c r="V54" s="12"/>
      <c r="W54" s="12"/>
      <c r="X54" s="12"/>
      <c r="Y54" s="12"/>
      <c r="AC54" s="12"/>
      <c r="AD54" s="12">
        <v>0.5</v>
      </c>
      <c r="AE54" s="12"/>
      <c r="AF54" s="12"/>
      <c r="AJ54" s="12"/>
      <c r="AK54" s="12">
        <v>0.8</v>
      </c>
      <c r="AL54" s="12"/>
      <c r="AM54" s="12"/>
      <c r="AP54">
        <v>0</v>
      </c>
      <c r="AQ54" s="12"/>
      <c r="AR54" s="12">
        <v>1</v>
      </c>
      <c r="AS54" s="12"/>
      <c r="AT54" s="12"/>
      <c r="AX54" s="12"/>
      <c r="AY54" s="12"/>
      <c r="AZ54" s="12"/>
      <c r="BA54" s="12"/>
      <c r="BE54" s="12"/>
      <c r="BF54" s="12"/>
      <c r="BG54" s="12"/>
      <c r="BH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c r="EK54" s="12"/>
      <c r="EL54" s="12"/>
      <c r="EM54" s="12"/>
      <c r="EN54" s="12"/>
      <c r="ER54" s="12"/>
      <c r="ES54" s="12"/>
      <c r="ET54" s="12"/>
      <c r="EU54" s="12"/>
      <c r="EY54" s="12"/>
      <c r="EZ54" s="12"/>
      <c r="FA54" s="12"/>
      <c r="FB54" s="12"/>
      <c r="FF54" s="12"/>
      <c r="FG54" s="12">
        <v>1</v>
      </c>
      <c r="FH54" s="12"/>
      <c r="FI54" s="12">
        <v>1</v>
      </c>
      <c r="FM54" s="12"/>
      <c r="FN54" s="12">
        <v>1</v>
      </c>
      <c r="FO54" s="12"/>
      <c r="FP54" s="12">
        <v>1</v>
      </c>
      <c r="FT54" s="12"/>
      <c r="FU54" s="12">
        <v>1</v>
      </c>
      <c r="FV54" s="12"/>
      <c r="FW54" s="12"/>
    </row>
    <row r="55" spans="2:179" outlineLevel="1" x14ac:dyDescent="0.2">
      <c r="B55" t="s">
        <v>28</v>
      </c>
      <c r="C55" t="s">
        <v>118</v>
      </c>
      <c r="E55" s="11"/>
      <c r="F55" t="s">
        <v>133</v>
      </c>
      <c r="G55" s="12">
        <v>0.05</v>
      </c>
      <c r="I55" s="11">
        <f t="shared" si="4"/>
        <v>0</v>
      </c>
      <c r="J55" s="13" cm="1">
        <f t="array" ref="J55">MAX(IF($N$3:$DV$3=$J$3,N55:DV55))</f>
        <v>0</v>
      </c>
      <c r="K55" s="13" cm="1">
        <f t="array" ref="K55">MAX(IF($N$3:$DV$3=$J$3,N55:DV55))</f>
        <v>0</v>
      </c>
      <c r="L55" s="11"/>
      <c r="O55" s="12"/>
      <c r="P55" s="12"/>
      <c r="Q55" s="12"/>
      <c r="R55" s="12"/>
      <c r="V55" s="12"/>
      <c r="W55" s="12"/>
      <c r="X55" s="12"/>
      <c r="Y55" s="12"/>
      <c r="AC55" s="12"/>
      <c r="AD55" s="12"/>
      <c r="AE55" s="12"/>
      <c r="AF55" s="12"/>
      <c r="AJ55" s="12"/>
      <c r="AK55" s="12">
        <v>0.5</v>
      </c>
      <c r="AL55" s="12"/>
      <c r="AM55" s="12"/>
      <c r="AP55">
        <v>0</v>
      </c>
      <c r="AQ55" s="12"/>
      <c r="AR55" s="12">
        <v>0.8</v>
      </c>
      <c r="AS55" s="12"/>
      <c r="AT55" s="12"/>
      <c r="AX55" s="12"/>
      <c r="AY55" s="12">
        <v>1</v>
      </c>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c r="EK55" s="12"/>
      <c r="EL55" s="12"/>
      <c r="EM55" s="12"/>
      <c r="EN55" s="12"/>
      <c r="ER55" s="12"/>
      <c r="ES55" s="12"/>
      <c r="ET55" s="12"/>
      <c r="EU55" s="12"/>
      <c r="EY55" s="12"/>
      <c r="EZ55" s="12"/>
      <c r="FA55" s="12"/>
      <c r="FB55" s="12"/>
      <c r="FF55" s="12"/>
      <c r="FG55" s="12">
        <v>0.8</v>
      </c>
      <c r="FH55" s="12"/>
      <c r="FI55" s="12">
        <v>0.8</v>
      </c>
      <c r="FM55" s="12"/>
      <c r="FN55" s="12">
        <v>1</v>
      </c>
      <c r="FO55" s="12"/>
      <c r="FP55" s="12">
        <v>1</v>
      </c>
      <c r="FT55" s="12"/>
      <c r="FU55" s="12">
        <v>1</v>
      </c>
      <c r="FV55" s="12"/>
      <c r="FW55" s="12"/>
    </row>
    <row r="56" spans="2:179" outlineLevel="1" x14ac:dyDescent="0.2">
      <c r="B56" t="s">
        <v>28</v>
      </c>
      <c r="C56" t="s">
        <v>118</v>
      </c>
      <c r="E56" s="11"/>
      <c r="F56" t="s">
        <v>134</v>
      </c>
      <c r="G56" s="12">
        <v>0.05</v>
      </c>
      <c r="I56" s="11">
        <f t="shared" si="4"/>
        <v>0</v>
      </c>
      <c r="J56" s="13" cm="1">
        <f t="array" ref="J56">MAX(IF($N$3:$DV$3=$J$3,N56:DV56))</f>
        <v>0</v>
      </c>
      <c r="K56" s="13" cm="1">
        <f t="array" ref="K56">MAX(IF($N$3:$DV$3=$J$3,N56:DV56))</f>
        <v>0</v>
      </c>
      <c r="L56" s="11"/>
      <c r="O56" s="12"/>
      <c r="P56" s="12"/>
      <c r="Q56" s="12"/>
      <c r="R56" s="12"/>
      <c r="V56" s="12"/>
      <c r="W56" s="12"/>
      <c r="X56" s="12"/>
      <c r="Y56" s="12"/>
      <c r="AC56" s="12"/>
      <c r="AD56" s="12"/>
      <c r="AE56" s="12"/>
      <c r="AF56" s="12"/>
      <c r="AJ56" s="12"/>
      <c r="AK56" s="12">
        <v>0.5</v>
      </c>
      <c r="AL56" s="12"/>
      <c r="AM56" s="12"/>
      <c r="AP56">
        <v>0</v>
      </c>
      <c r="AQ56" s="12"/>
      <c r="AR56" s="12">
        <v>0.8</v>
      </c>
      <c r="AS56" s="12"/>
      <c r="AT56" s="12"/>
      <c r="AX56" s="12"/>
      <c r="AY56" s="12">
        <v>1</v>
      </c>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c r="EK56" s="12"/>
      <c r="EL56" s="12"/>
      <c r="EM56" s="12"/>
      <c r="EN56" s="12"/>
      <c r="ER56" s="12"/>
      <c r="ES56" s="12"/>
      <c r="ET56" s="12"/>
      <c r="EU56" s="12"/>
      <c r="EY56" s="12"/>
      <c r="EZ56" s="12"/>
      <c r="FA56" s="12"/>
      <c r="FB56" s="12"/>
      <c r="FF56" s="12"/>
      <c r="FG56" s="12">
        <v>0.8</v>
      </c>
      <c r="FH56" s="12"/>
      <c r="FI56" s="12">
        <v>0.8</v>
      </c>
      <c r="FM56" s="12"/>
      <c r="FN56" s="12">
        <v>1</v>
      </c>
      <c r="FO56" s="12"/>
      <c r="FP56" s="12">
        <v>1</v>
      </c>
      <c r="FT56" s="12"/>
      <c r="FU56" s="12">
        <v>1</v>
      </c>
      <c r="FV56" s="12"/>
      <c r="FW56" s="12"/>
    </row>
    <row r="57" spans="2:179" outlineLevel="1" x14ac:dyDescent="0.2">
      <c r="B57" t="s">
        <v>28</v>
      </c>
      <c r="C57" t="s">
        <v>118</v>
      </c>
      <c r="E57" s="11"/>
      <c r="F57" t="s">
        <v>135</v>
      </c>
      <c r="G57" s="12">
        <v>0.1</v>
      </c>
      <c r="I57" s="11">
        <f t="shared" si="4"/>
        <v>0</v>
      </c>
      <c r="J57" s="13" cm="1">
        <f t="array" ref="J57">MAX(IF($N$3:$DV$3=$J$3,N57:DV57))</f>
        <v>0</v>
      </c>
      <c r="K57" s="13" cm="1">
        <f t="array" ref="K57">MAX(IF($N$3:$DV$3=$J$3,N57:DV57))</f>
        <v>0</v>
      </c>
      <c r="L57" s="11"/>
      <c r="O57" s="12"/>
      <c r="P57" s="12"/>
      <c r="Q57" s="12"/>
      <c r="R57" s="12"/>
      <c r="V57" s="12"/>
      <c r="W57" s="12"/>
      <c r="X57" s="12"/>
      <c r="Y57" s="12"/>
      <c r="AC57" s="12"/>
      <c r="AD57" s="12"/>
      <c r="AE57" s="12"/>
      <c r="AF57" s="12"/>
      <c r="AJ57" s="12"/>
      <c r="AK57" s="12">
        <v>0.5</v>
      </c>
      <c r="AL57" s="12"/>
      <c r="AM57" s="12"/>
      <c r="AP57">
        <v>0</v>
      </c>
      <c r="AQ57" s="12"/>
      <c r="AR57" s="12">
        <v>0.8</v>
      </c>
      <c r="AS57" s="12"/>
      <c r="AT57" s="12"/>
      <c r="AX57" s="12"/>
      <c r="AY57" s="12">
        <v>1</v>
      </c>
      <c r="AZ57" s="12"/>
      <c r="BA57" s="12"/>
      <c r="BE57" s="12"/>
      <c r="BF57" s="12"/>
      <c r="BG57" s="12"/>
      <c r="BH57" s="12"/>
      <c r="BL57" s="12"/>
      <c r="BM57" s="12"/>
      <c r="BN57" s="12"/>
      <c r="BO57" s="12"/>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c r="EK57" s="12"/>
      <c r="EL57" s="12"/>
      <c r="EM57" s="12"/>
      <c r="EN57" s="12"/>
      <c r="ER57" s="12"/>
      <c r="ES57" s="12"/>
      <c r="ET57" s="12"/>
      <c r="EU57" s="12"/>
      <c r="EY57" s="12"/>
      <c r="EZ57" s="12"/>
      <c r="FA57" s="12"/>
      <c r="FB57" s="12"/>
      <c r="FF57" s="12"/>
      <c r="FG57" s="12">
        <v>0.8</v>
      </c>
      <c r="FH57" s="12"/>
      <c r="FI57" s="12">
        <v>0.8</v>
      </c>
      <c r="FM57" s="12"/>
      <c r="FN57" s="12">
        <v>1</v>
      </c>
      <c r="FO57" s="12"/>
      <c r="FP57" s="12">
        <v>1</v>
      </c>
      <c r="FT57" s="12"/>
      <c r="FU57" s="12">
        <v>1</v>
      </c>
      <c r="FV57" s="12"/>
      <c r="FW57" s="12"/>
    </row>
    <row r="58" spans="2:179" outlineLevel="1" x14ac:dyDescent="0.2">
      <c r="B58" t="s">
        <v>28</v>
      </c>
      <c r="C58" t="s">
        <v>118</v>
      </c>
      <c r="E58" s="11"/>
      <c r="F58" t="s">
        <v>136</v>
      </c>
      <c r="G58" s="12">
        <v>0.1</v>
      </c>
      <c r="I58" s="11">
        <f t="shared" si="4"/>
        <v>0</v>
      </c>
      <c r="J58" s="13" cm="1">
        <f t="array" ref="J58">MAX(IF($N$3:$DV$3=$J$3,N58:DV58))</f>
        <v>0</v>
      </c>
      <c r="K58" s="13" cm="1">
        <f t="array" ref="K58">MAX(IF($N$3:$DV$3=$J$3,N58:DV58))</f>
        <v>0</v>
      </c>
      <c r="L58" s="11"/>
      <c r="O58" s="12"/>
      <c r="P58" s="12"/>
      <c r="Q58" s="12"/>
      <c r="R58" s="12"/>
      <c r="V58" s="12"/>
      <c r="W58" s="12"/>
      <c r="X58" s="12"/>
      <c r="Y58" s="12"/>
      <c r="AC58" s="12"/>
      <c r="AD58" s="12"/>
      <c r="AE58" s="12"/>
      <c r="AF58" s="12"/>
      <c r="AJ58" s="12"/>
      <c r="AK58" s="12">
        <v>0.5</v>
      </c>
      <c r="AL58" s="12"/>
      <c r="AM58" s="12"/>
      <c r="AP58">
        <v>0</v>
      </c>
      <c r="AQ58" s="12"/>
      <c r="AR58" s="12">
        <v>0.8</v>
      </c>
      <c r="AS58" s="12"/>
      <c r="AT58" s="12"/>
      <c r="AX58" s="12"/>
      <c r="AY58" s="12">
        <v>1</v>
      </c>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c r="EK58" s="12"/>
      <c r="EL58" s="12"/>
      <c r="EM58" s="12"/>
      <c r="EN58" s="12"/>
      <c r="ER58" s="12"/>
      <c r="ES58" s="12"/>
      <c r="ET58" s="12"/>
      <c r="EU58" s="12"/>
      <c r="EY58" s="12"/>
      <c r="EZ58" s="12"/>
      <c r="FA58" s="12"/>
      <c r="FB58" s="12"/>
      <c r="FF58" s="12"/>
      <c r="FG58" s="12">
        <v>0.8</v>
      </c>
      <c r="FH58" s="12"/>
      <c r="FI58" s="12">
        <v>0.8</v>
      </c>
      <c r="FM58" s="12"/>
      <c r="FN58" s="12">
        <v>1</v>
      </c>
      <c r="FO58" s="12"/>
      <c r="FP58" s="12">
        <v>1</v>
      </c>
      <c r="FT58" s="12"/>
      <c r="FU58" s="12">
        <v>1</v>
      </c>
      <c r="FV58" s="12"/>
      <c r="FW58" s="12"/>
    </row>
    <row r="59" spans="2:179" outlineLevel="1" x14ac:dyDescent="0.2">
      <c r="B59" t="s">
        <v>28</v>
      </c>
      <c r="C59" t="s">
        <v>118</v>
      </c>
      <c r="E59" s="11"/>
      <c r="F59" t="s">
        <v>137</v>
      </c>
      <c r="G59" s="12">
        <v>0.1</v>
      </c>
      <c r="I59" s="11">
        <f t="shared" si="4"/>
        <v>0</v>
      </c>
      <c r="J59" s="13" cm="1">
        <f t="array" ref="J59">MAX(IF($N$3:$DV$3=$J$3,N59:DV59))</f>
        <v>0</v>
      </c>
      <c r="K59" s="13" cm="1">
        <f t="array" ref="K59">MAX(IF($N$3:$DV$3=$J$3,N59:DV59))</f>
        <v>0</v>
      </c>
      <c r="L59" s="11"/>
      <c r="O59" s="12"/>
      <c r="P59" s="12"/>
      <c r="Q59" s="12"/>
      <c r="R59" s="12"/>
      <c r="V59" s="12"/>
      <c r="W59" s="12"/>
      <c r="X59" s="12"/>
      <c r="Y59" s="12"/>
      <c r="AC59" s="12"/>
      <c r="AD59" s="12"/>
      <c r="AE59" s="12"/>
      <c r="AF59" s="12"/>
      <c r="AJ59" s="12"/>
      <c r="AK59" s="12">
        <v>0.5</v>
      </c>
      <c r="AL59" s="12"/>
      <c r="AM59" s="12"/>
      <c r="AP59">
        <v>0</v>
      </c>
      <c r="AQ59" s="12"/>
      <c r="AR59" s="12">
        <v>0.8</v>
      </c>
      <c r="AS59" s="12"/>
      <c r="AT59" s="12"/>
      <c r="AX59" s="12"/>
      <c r="AY59" s="12">
        <v>1</v>
      </c>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c r="EK59" s="12"/>
      <c r="EL59" s="12"/>
      <c r="EM59" s="12"/>
      <c r="EN59" s="12"/>
      <c r="ER59" s="12"/>
      <c r="ES59" s="12"/>
      <c r="ET59" s="12"/>
      <c r="EU59" s="12"/>
      <c r="EY59" s="12"/>
      <c r="EZ59" s="12"/>
      <c r="FA59" s="12"/>
      <c r="FB59" s="12"/>
      <c r="FF59" s="12"/>
      <c r="FG59" s="12">
        <v>0.8</v>
      </c>
      <c r="FH59" s="12"/>
      <c r="FI59" s="12">
        <v>0.8</v>
      </c>
      <c r="FM59" s="12"/>
      <c r="FN59" s="12">
        <v>1</v>
      </c>
      <c r="FO59" s="12"/>
      <c r="FP59" s="12">
        <v>1</v>
      </c>
      <c r="FT59" s="12"/>
      <c r="FU59" s="12">
        <v>1</v>
      </c>
      <c r="FV59" s="12"/>
      <c r="FW59" s="12"/>
    </row>
    <row r="60" spans="2:179" outlineLevel="1" x14ac:dyDescent="0.2">
      <c r="B60" t="s">
        <v>28</v>
      </c>
      <c r="C60" t="s">
        <v>118</v>
      </c>
      <c r="E60" s="11"/>
      <c r="F60" t="s">
        <v>138</v>
      </c>
      <c r="G60" s="12">
        <v>0.1</v>
      </c>
      <c r="I60" s="11">
        <f t="shared" si="4"/>
        <v>0</v>
      </c>
      <c r="J60" s="13" cm="1">
        <f t="array" ref="J60">MAX(IF($N$3:$DV$3=$J$3,N60:DV60))</f>
        <v>0</v>
      </c>
      <c r="K60" s="13" cm="1">
        <f t="array" ref="K60">MAX(IF($N$3:$DV$3=$J$3,N60:DV60))</f>
        <v>0</v>
      </c>
      <c r="L60" s="11"/>
      <c r="O60" s="12"/>
      <c r="P60" s="12"/>
      <c r="Q60" s="12"/>
      <c r="R60" s="12"/>
      <c r="V60" s="12"/>
      <c r="W60" s="12"/>
      <c r="X60" s="12"/>
      <c r="Y60" s="12"/>
      <c r="AC60" s="12"/>
      <c r="AD60" s="12"/>
      <c r="AE60" s="12"/>
      <c r="AF60" s="12"/>
      <c r="AJ60" s="12"/>
      <c r="AK60" s="12">
        <v>0.5</v>
      </c>
      <c r="AL60" s="12"/>
      <c r="AM60" s="12"/>
      <c r="AP60">
        <v>0</v>
      </c>
      <c r="AQ60" s="12"/>
      <c r="AR60" s="12">
        <v>0.8</v>
      </c>
      <c r="AS60" s="12"/>
      <c r="AT60" s="12"/>
      <c r="AX60" s="12"/>
      <c r="AY60" s="12">
        <v>1</v>
      </c>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c r="EK60" s="12"/>
      <c r="EL60" s="12"/>
      <c r="EM60" s="12"/>
      <c r="EN60" s="12"/>
      <c r="ER60" s="12"/>
      <c r="ES60" s="12"/>
      <c r="ET60" s="12"/>
      <c r="EU60" s="12"/>
      <c r="EY60" s="12"/>
      <c r="EZ60" s="12"/>
      <c r="FA60" s="12"/>
      <c r="FB60" s="12"/>
      <c r="FF60" s="12"/>
      <c r="FG60" s="12">
        <v>0.8</v>
      </c>
      <c r="FH60" s="12"/>
      <c r="FI60" s="12">
        <v>0.8</v>
      </c>
      <c r="FM60" s="12"/>
      <c r="FN60" s="12">
        <v>1</v>
      </c>
      <c r="FO60" s="12"/>
      <c r="FP60" s="12">
        <v>1</v>
      </c>
      <c r="FT60" s="12"/>
      <c r="FU60" s="12">
        <v>1</v>
      </c>
      <c r="FV60" s="12"/>
      <c r="FW60" s="12"/>
    </row>
    <row r="61" spans="2:179" outlineLevel="1" x14ac:dyDescent="0.2">
      <c r="B61" t="s">
        <v>28</v>
      </c>
      <c r="C61" t="s">
        <v>118</v>
      </c>
      <c r="E61" s="11"/>
      <c r="F61" t="s">
        <v>139</v>
      </c>
      <c r="G61" s="12">
        <v>0.1</v>
      </c>
      <c r="I61" s="11">
        <f t="shared" si="4"/>
        <v>0</v>
      </c>
      <c r="J61" s="13" cm="1">
        <f t="array" ref="J61">MAX(IF($N$3:$DV$3=$J$3,N61:DV61))</f>
        <v>0</v>
      </c>
      <c r="K61" s="13" cm="1">
        <f t="array" ref="K61">MAX(IF($N$3:$DV$3=$J$3,N61:DV61))</f>
        <v>0</v>
      </c>
      <c r="L61" s="11"/>
      <c r="O61" s="12"/>
      <c r="P61" s="12"/>
      <c r="Q61" s="12"/>
      <c r="R61" s="12"/>
      <c r="V61" s="12"/>
      <c r="W61" s="12"/>
      <c r="X61" s="12"/>
      <c r="Y61" s="12"/>
      <c r="AC61" s="12"/>
      <c r="AD61" s="12"/>
      <c r="AE61" s="12"/>
      <c r="AF61" s="12"/>
      <c r="AJ61" s="12"/>
      <c r="AK61" s="12"/>
      <c r="AL61" s="12"/>
      <c r="AM61" s="12"/>
      <c r="AP61">
        <v>0</v>
      </c>
      <c r="AQ61" s="12"/>
      <c r="AR61" s="12"/>
      <c r="AS61" s="12"/>
      <c r="AT61" s="12"/>
      <c r="AX61" s="12"/>
      <c r="AY61" s="12"/>
      <c r="AZ61" s="12"/>
      <c r="BA61" s="12"/>
      <c r="BE61" s="12"/>
      <c r="BF61" s="12">
        <v>0.5</v>
      </c>
      <c r="BG61" s="12"/>
      <c r="BH61" s="12"/>
      <c r="BL61" s="12"/>
      <c r="BM61" s="12">
        <v>0.8</v>
      </c>
      <c r="BN61" s="12"/>
      <c r="BO61" s="12"/>
      <c r="BS61" s="12"/>
      <c r="BT61" s="12">
        <v>1</v>
      </c>
      <c r="BU61" s="12"/>
      <c r="BV61" s="12"/>
      <c r="BZ61" s="12"/>
      <c r="CA61" s="12"/>
      <c r="CB61" s="12"/>
      <c r="CC61" s="12"/>
      <c r="CG61" s="12"/>
      <c r="CH61" s="12"/>
      <c r="CI61" s="12"/>
      <c r="CJ61" s="12"/>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c r="ED61" s="12"/>
      <c r="EE61" s="12"/>
      <c r="EF61" s="12"/>
      <c r="EG61" s="12"/>
      <c r="EK61" s="12"/>
      <c r="EL61" s="12"/>
      <c r="EM61" s="12"/>
      <c r="EN61" s="12"/>
      <c r="ER61" s="12"/>
      <c r="ES61" s="12"/>
      <c r="ET61" s="12"/>
      <c r="EU61" s="12"/>
      <c r="EY61" s="12"/>
      <c r="EZ61" s="12"/>
      <c r="FA61" s="12"/>
      <c r="FB61" s="12"/>
      <c r="FF61" s="12"/>
      <c r="FG61" s="12">
        <v>0.8</v>
      </c>
      <c r="FH61" s="12"/>
      <c r="FI61" s="12">
        <v>0.8</v>
      </c>
      <c r="FM61" s="12"/>
      <c r="FN61" s="12">
        <v>1</v>
      </c>
      <c r="FO61" s="12"/>
      <c r="FP61" s="12">
        <v>1</v>
      </c>
      <c r="FT61" s="12"/>
      <c r="FU61" s="12">
        <v>1</v>
      </c>
      <c r="FV61" s="12"/>
      <c r="FW61" s="12"/>
    </row>
    <row r="62" spans="2:179" outlineLevel="1" x14ac:dyDescent="0.2">
      <c r="B62" t="s">
        <v>28</v>
      </c>
      <c r="C62" t="s">
        <v>118</v>
      </c>
      <c r="E62" s="11"/>
      <c r="F62" t="s">
        <v>140</v>
      </c>
      <c r="G62" s="12">
        <v>0.1</v>
      </c>
      <c r="I62" s="11">
        <f t="shared" si="4"/>
        <v>0</v>
      </c>
      <c r="J62" s="13" cm="1">
        <f t="array" ref="J62">MAX(IF($N$3:$DV$3=$J$3,N62:DV62))</f>
        <v>0</v>
      </c>
      <c r="K62" s="13" cm="1">
        <f t="array" ref="K62">MAX(IF($N$3:$DV$3=$J$3,N62:DV62))</f>
        <v>0</v>
      </c>
      <c r="L62" s="11"/>
      <c r="O62" s="12"/>
      <c r="P62" s="12"/>
      <c r="Q62" s="12"/>
      <c r="R62" s="12"/>
      <c r="V62" s="12"/>
      <c r="W62" s="12"/>
      <c r="X62" s="12"/>
      <c r="Y62" s="12"/>
      <c r="AC62" s="12"/>
      <c r="AD62" s="12"/>
      <c r="AE62" s="12"/>
      <c r="AF62" s="12"/>
      <c r="AJ62" s="12"/>
      <c r="AK62" s="12"/>
      <c r="AL62" s="12"/>
      <c r="AM62" s="12"/>
      <c r="AP62">
        <v>0</v>
      </c>
      <c r="AQ62" s="12"/>
      <c r="AR62" s="12"/>
      <c r="AS62" s="12"/>
      <c r="AT62" s="12"/>
      <c r="AX62" s="12"/>
      <c r="AY62" s="12"/>
      <c r="AZ62" s="12"/>
      <c r="BA62" s="12"/>
      <c r="BE62" s="12"/>
      <c r="BF62" s="12">
        <v>0.5</v>
      </c>
      <c r="BG62" s="12"/>
      <c r="BH62" s="12"/>
      <c r="BL62" s="12"/>
      <c r="BM62" s="12">
        <v>0.8</v>
      </c>
      <c r="BN62" s="12"/>
      <c r="BO62" s="12"/>
      <c r="BS62" s="12"/>
      <c r="BT62" s="12">
        <v>1</v>
      </c>
      <c r="BU62" s="12"/>
      <c r="BV62" s="12"/>
      <c r="BZ62" s="12"/>
      <c r="CA62" s="12"/>
      <c r="CB62" s="12"/>
      <c r="CC62" s="12"/>
      <c r="CG62" s="12"/>
      <c r="CH62" s="12"/>
      <c r="CI62" s="12"/>
      <c r="CJ62" s="12"/>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c r="ED62" s="12"/>
      <c r="EE62" s="12"/>
      <c r="EF62" s="12"/>
      <c r="EG62" s="12"/>
      <c r="EK62" s="12"/>
      <c r="EL62" s="12"/>
      <c r="EM62" s="12"/>
      <c r="EN62" s="12"/>
      <c r="ER62" s="12"/>
      <c r="ES62" s="12"/>
      <c r="ET62" s="12"/>
      <c r="EU62" s="12"/>
      <c r="EY62" s="12"/>
      <c r="EZ62" s="12"/>
      <c r="FA62" s="12"/>
      <c r="FB62" s="12"/>
      <c r="FF62" s="12"/>
      <c r="FG62" s="12">
        <v>0.8</v>
      </c>
      <c r="FH62" s="12"/>
      <c r="FI62" s="12">
        <v>0.8</v>
      </c>
      <c r="FM62" s="12"/>
      <c r="FN62" s="12">
        <v>1</v>
      </c>
      <c r="FO62" s="12"/>
      <c r="FP62" s="12">
        <v>1</v>
      </c>
      <c r="FT62" s="12"/>
      <c r="FU62" s="12">
        <v>1</v>
      </c>
      <c r="FV62" s="12"/>
      <c r="FW62" s="12"/>
    </row>
    <row r="63" spans="2:179" outlineLevel="1" x14ac:dyDescent="0.2">
      <c r="B63" t="s">
        <v>28</v>
      </c>
      <c r="C63" t="s">
        <v>118</v>
      </c>
      <c r="E63" s="11"/>
      <c r="F63" t="s">
        <v>141</v>
      </c>
      <c r="G63" s="12">
        <v>0.1</v>
      </c>
      <c r="I63" s="11">
        <f t="shared" si="4"/>
        <v>0</v>
      </c>
      <c r="J63" s="13" cm="1">
        <f t="array" ref="J63">MAX(IF($N$3:$DV$3=$J$3,N63:DV63))</f>
        <v>0</v>
      </c>
      <c r="K63" s="13" cm="1">
        <f t="array" ref="K63">MAX(IF($N$3:$DV$3=$J$3,N63:DV63))</f>
        <v>0</v>
      </c>
      <c r="L63" s="11"/>
      <c r="O63" s="12"/>
      <c r="P63" s="12"/>
      <c r="Q63" s="12"/>
      <c r="R63" s="12"/>
      <c r="V63" s="12"/>
      <c r="W63" s="12"/>
      <c r="X63" s="12"/>
      <c r="Y63" s="12"/>
      <c r="AC63" s="12"/>
      <c r="AD63" s="12"/>
      <c r="AE63" s="12"/>
      <c r="AF63" s="12"/>
      <c r="AJ63" s="12"/>
      <c r="AK63" s="12"/>
      <c r="AL63" s="12"/>
      <c r="AM63" s="12"/>
      <c r="AP63">
        <v>0</v>
      </c>
      <c r="AQ63" s="12"/>
      <c r="AR63" s="12"/>
      <c r="AS63" s="12"/>
      <c r="AT63" s="12"/>
      <c r="AX63" s="12"/>
      <c r="AY63" s="12"/>
      <c r="AZ63" s="12"/>
      <c r="BA63" s="12"/>
      <c r="BE63" s="12"/>
      <c r="BF63" s="12">
        <v>0.5</v>
      </c>
      <c r="BG63" s="12"/>
      <c r="BH63" s="12"/>
      <c r="BL63" s="12"/>
      <c r="BM63" s="12">
        <v>0.8</v>
      </c>
      <c r="BN63" s="12"/>
      <c r="BO63" s="12"/>
      <c r="BS63" s="12"/>
      <c r="BT63" s="12">
        <v>1</v>
      </c>
      <c r="BU63" s="12"/>
      <c r="BV63" s="12"/>
      <c r="BZ63" s="12"/>
      <c r="CA63" s="12"/>
      <c r="CB63" s="12"/>
      <c r="CC63" s="12"/>
      <c r="CG63" s="12"/>
      <c r="CH63" s="12"/>
      <c r="CI63" s="12"/>
      <c r="CJ63" s="12"/>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c r="ED63" s="12"/>
      <c r="EE63" s="12"/>
      <c r="EF63" s="12"/>
      <c r="EG63" s="12"/>
      <c r="EK63" s="12"/>
      <c r="EL63" s="12"/>
      <c r="EM63" s="12"/>
      <c r="EN63" s="12"/>
      <c r="ER63" s="12"/>
      <c r="ES63" s="12"/>
      <c r="ET63" s="12"/>
      <c r="EU63" s="12"/>
      <c r="EY63" s="12"/>
      <c r="EZ63" s="12"/>
      <c r="FA63" s="12"/>
      <c r="FB63" s="12"/>
      <c r="FF63" s="12"/>
      <c r="FG63" s="12">
        <v>0.8</v>
      </c>
      <c r="FH63" s="12"/>
      <c r="FI63" s="12">
        <v>0.8</v>
      </c>
      <c r="FM63" s="12"/>
      <c r="FN63" s="12">
        <v>1</v>
      </c>
      <c r="FO63" s="12"/>
      <c r="FP63" s="12">
        <v>1</v>
      </c>
      <c r="FT63" s="12"/>
      <c r="FU63" s="12">
        <v>1</v>
      </c>
      <c r="FV63" s="12"/>
      <c r="FW63" s="12"/>
    </row>
    <row r="64" spans="2:179" outlineLevel="1" x14ac:dyDescent="0.2">
      <c r="B64" t="s">
        <v>28</v>
      </c>
      <c r="C64" t="s">
        <v>118</v>
      </c>
      <c r="E64" s="11"/>
      <c r="F64" t="s">
        <v>142</v>
      </c>
      <c r="G64" s="12">
        <v>0.1</v>
      </c>
      <c r="I64" s="11">
        <f t="shared" si="4"/>
        <v>0</v>
      </c>
      <c r="J64" s="13" cm="1">
        <f t="array" ref="J64">MAX(IF($N$3:$DV$3=$J$3,N64:DV64))</f>
        <v>0</v>
      </c>
      <c r="K64" s="13" cm="1">
        <f t="array" ref="K64">MAX(IF($N$3:$DV$3=$J$3,N64:DV64))</f>
        <v>0</v>
      </c>
      <c r="L64" s="11"/>
      <c r="O64" s="12"/>
      <c r="P64" s="12"/>
      <c r="Q64" s="12"/>
      <c r="R64" s="12"/>
      <c r="V64" s="12"/>
      <c r="W64" s="12"/>
      <c r="X64" s="12"/>
      <c r="Y64" s="12"/>
      <c r="AC64" s="12"/>
      <c r="AD64" s="12"/>
      <c r="AE64" s="12"/>
      <c r="AF64" s="12"/>
      <c r="AJ64" s="12"/>
      <c r="AK64" s="12"/>
      <c r="AL64" s="12"/>
      <c r="AM64" s="12"/>
      <c r="AP64">
        <v>0</v>
      </c>
      <c r="AQ64" s="12"/>
      <c r="AR64" s="12"/>
      <c r="AS64" s="12"/>
      <c r="AT64" s="12"/>
      <c r="AX64" s="12"/>
      <c r="AY64" s="12"/>
      <c r="AZ64" s="12"/>
      <c r="BA64" s="12"/>
      <c r="BE64" s="12"/>
      <c r="BF64" s="12">
        <v>0.5</v>
      </c>
      <c r="BG64" s="12"/>
      <c r="BH64" s="12"/>
      <c r="BL64" s="12"/>
      <c r="BM64" s="12">
        <v>0.8</v>
      </c>
      <c r="BN64" s="12"/>
      <c r="BO64" s="12"/>
      <c r="BS64" s="12"/>
      <c r="BT64" s="12">
        <v>1</v>
      </c>
      <c r="BU64" s="12"/>
      <c r="BV64" s="12"/>
      <c r="BZ64" s="12"/>
      <c r="CA64" s="12"/>
      <c r="CB64" s="12"/>
      <c r="CC64" s="12"/>
      <c r="CG64" s="12"/>
      <c r="CH64" s="12"/>
      <c r="CI64" s="12"/>
      <c r="CJ64" s="12"/>
      <c r="CN64" s="12"/>
      <c r="CO64" s="12"/>
      <c r="CP64" s="12"/>
      <c r="CQ64" s="12"/>
      <c r="CU64" s="12"/>
      <c r="CV64" s="12"/>
      <c r="CW64" s="12"/>
      <c r="CX64" s="12"/>
      <c r="DB64" s="12"/>
      <c r="DC64" s="12"/>
      <c r="DD64" s="12"/>
      <c r="DE64" s="12"/>
      <c r="DI64" s="12"/>
      <c r="DJ64" s="12"/>
      <c r="DK64" s="12"/>
      <c r="DL64" s="12"/>
      <c r="DP64" s="12"/>
      <c r="DQ64" s="12"/>
      <c r="DR64" s="12"/>
      <c r="DS64" s="12"/>
      <c r="DW64" s="12"/>
      <c r="DX64" s="12"/>
      <c r="DY64" s="12"/>
      <c r="DZ64" s="12"/>
      <c r="ED64" s="12"/>
      <c r="EE64" s="12"/>
      <c r="EF64" s="12"/>
      <c r="EG64" s="12"/>
      <c r="EK64" s="12"/>
      <c r="EL64" s="12"/>
      <c r="EM64" s="12"/>
      <c r="EN64" s="12"/>
      <c r="ER64" s="12"/>
      <c r="ES64" s="12"/>
      <c r="ET64" s="12"/>
      <c r="EU64" s="12"/>
      <c r="EY64" s="12"/>
      <c r="EZ64" s="12"/>
      <c r="FA64" s="12"/>
      <c r="FB64" s="12"/>
      <c r="FF64" s="12"/>
      <c r="FG64" s="12">
        <v>0.8</v>
      </c>
      <c r="FH64" s="12"/>
      <c r="FI64" s="12">
        <v>0.8</v>
      </c>
      <c r="FM64" s="12"/>
      <c r="FN64" s="12">
        <v>1</v>
      </c>
      <c r="FO64" s="12"/>
      <c r="FP64" s="12">
        <v>1</v>
      </c>
      <c r="FT64" s="12"/>
      <c r="FU64" s="12">
        <v>1</v>
      </c>
      <c r="FV64" s="12"/>
      <c r="FW64" s="12"/>
    </row>
    <row r="65" spans="2:179" outlineLevel="1" x14ac:dyDescent="0.2">
      <c r="B65" t="s">
        <v>28</v>
      </c>
      <c r="C65" t="s">
        <v>118</v>
      </c>
      <c r="E65" s="11"/>
      <c r="F65" t="s">
        <v>143</v>
      </c>
      <c r="G65" s="12">
        <v>0.1</v>
      </c>
      <c r="I65" s="11">
        <f t="shared" si="4"/>
        <v>0</v>
      </c>
      <c r="J65" s="13" cm="1">
        <f t="array" ref="J65">MAX(IF($N$3:$DV$3=$J$3,N65:DV65))</f>
        <v>0</v>
      </c>
      <c r="K65" s="13" cm="1">
        <f t="array" ref="K65">MAX(IF($N$3:$DV$3=$J$3,N65:DV65))</f>
        <v>0</v>
      </c>
      <c r="L65" s="11"/>
      <c r="O65" s="12"/>
      <c r="P65" s="12"/>
      <c r="Q65" s="12"/>
      <c r="R65" s="12"/>
      <c r="V65" s="12"/>
      <c r="W65" s="12"/>
      <c r="X65" s="12"/>
      <c r="Y65" s="12"/>
      <c r="AC65" s="12"/>
      <c r="AD65" s="12"/>
      <c r="AE65" s="12"/>
      <c r="AF65" s="12"/>
      <c r="AJ65" s="12"/>
      <c r="AK65" s="12"/>
      <c r="AL65" s="12"/>
      <c r="AM65" s="12"/>
      <c r="AP65">
        <v>0</v>
      </c>
      <c r="AQ65" s="12"/>
      <c r="AR65" s="12"/>
      <c r="AS65" s="12"/>
      <c r="AT65" s="12"/>
      <c r="AX65" s="12"/>
      <c r="AY65" s="12"/>
      <c r="AZ65" s="12"/>
      <c r="BA65" s="12"/>
      <c r="BE65" s="12"/>
      <c r="BF65" s="12"/>
      <c r="BG65" s="12"/>
      <c r="BH65" s="12"/>
      <c r="BL65" s="12"/>
      <c r="BM65" s="12"/>
      <c r="BN65" s="12"/>
      <c r="BO65" s="12"/>
      <c r="BS65" s="12"/>
      <c r="BT65" s="12"/>
      <c r="BU65" s="12"/>
      <c r="BV65" s="12"/>
      <c r="BZ65" s="12"/>
      <c r="CA65" s="12">
        <v>0.5</v>
      </c>
      <c r="CB65" s="12"/>
      <c r="CC65" s="12"/>
      <c r="CG65" s="12"/>
      <c r="CH65" s="12">
        <v>0.8</v>
      </c>
      <c r="CI65" s="12"/>
      <c r="CJ65" s="12"/>
      <c r="CN65" s="12"/>
      <c r="CO65" s="12">
        <v>1</v>
      </c>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c r="EK65" s="12"/>
      <c r="EL65" s="12"/>
      <c r="EM65" s="12"/>
      <c r="EN65" s="12"/>
      <c r="ER65" s="12"/>
      <c r="ES65" s="12"/>
      <c r="ET65" s="12"/>
      <c r="EU65" s="12"/>
      <c r="EY65" s="12"/>
      <c r="EZ65" s="12"/>
      <c r="FA65" s="12"/>
      <c r="FB65" s="12"/>
      <c r="FF65" s="12"/>
      <c r="FG65" s="12">
        <v>0.8</v>
      </c>
      <c r="FH65" s="12"/>
      <c r="FI65" s="12">
        <v>0.8</v>
      </c>
      <c r="FM65" s="12"/>
      <c r="FN65" s="12">
        <v>1</v>
      </c>
      <c r="FO65" s="12"/>
      <c r="FP65" s="12">
        <v>1</v>
      </c>
      <c r="FT65" s="12"/>
      <c r="FU65" s="12">
        <v>1</v>
      </c>
      <c r="FV65" s="12"/>
      <c r="FW65" s="12"/>
    </row>
    <row r="66" spans="2:179" outlineLevel="1" x14ac:dyDescent="0.2">
      <c r="B66" t="s">
        <v>28</v>
      </c>
      <c r="C66" t="s">
        <v>118</v>
      </c>
      <c r="E66" s="11"/>
      <c r="F66" t="s">
        <v>144</v>
      </c>
      <c r="G66" s="12">
        <v>0.1</v>
      </c>
      <c r="I66" s="11">
        <f t="shared" si="4"/>
        <v>0</v>
      </c>
      <c r="J66" s="13" cm="1">
        <f t="array" ref="J66">MAX(IF($N$3:$DV$3=$J$3,N66:DV66))</f>
        <v>0</v>
      </c>
      <c r="K66" s="13" cm="1">
        <f t="array" ref="K66">MAX(IF($N$3:$DV$3=$J$3,N66:DV66))</f>
        <v>0</v>
      </c>
      <c r="L66" s="11"/>
      <c r="O66" s="12"/>
      <c r="P66" s="12"/>
      <c r="Q66" s="12"/>
      <c r="R66" s="12"/>
      <c r="V66" s="12"/>
      <c r="W66" s="12"/>
      <c r="X66" s="12"/>
      <c r="Y66" s="12"/>
      <c r="AC66" s="12"/>
      <c r="AD66" s="12"/>
      <c r="AE66" s="12"/>
      <c r="AF66" s="12"/>
      <c r="AJ66" s="12"/>
      <c r="AK66" s="12"/>
      <c r="AL66" s="12"/>
      <c r="AM66" s="12"/>
      <c r="AP66">
        <v>0</v>
      </c>
      <c r="AQ66" s="12"/>
      <c r="AR66" s="12"/>
      <c r="AS66" s="12"/>
      <c r="AT66" s="12"/>
      <c r="AX66" s="12"/>
      <c r="AY66" s="12"/>
      <c r="AZ66" s="12"/>
      <c r="BA66" s="12"/>
      <c r="BE66" s="12"/>
      <c r="BF66" s="12"/>
      <c r="BG66" s="12"/>
      <c r="BH66" s="12"/>
      <c r="BL66" s="12"/>
      <c r="BM66" s="12"/>
      <c r="BN66" s="12"/>
      <c r="BO66" s="12"/>
      <c r="BS66" s="12"/>
      <c r="BT66" s="12"/>
      <c r="BU66" s="12"/>
      <c r="BV66" s="12"/>
      <c r="BZ66" s="12"/>
      <c r="CA66" s="12">
        <v>0.5</v>
      </c>
      <c r="CB66" s="12"/>
      <c r="CC66" s="12"/>
      <c r="CG66" s="12"/>
      <c r="CH66" s="12">
        <v>0.8</v>
      </c>
      <c r="CI66" s="12"/>
      <c r="CJ66" s="12"/>
      <c r="CN66" s="12"/>
      <c r="CO66" s="12">
        <v>1</v>
      </c>
      <c r="CP66" s="12"/>
      <c r="CQ66" s="12"/>
      <c r="CU66" s="12"/>
      <c r="CV66" s="12"/>
      <c r="CW66" s="12"/>
      <c r="CX66" s="12"/>
      <c r="DB66" s="12"/>
      <c r="DC66" s="12"/>
      <c r="DD66" s="12"/>
      <c r="DE66" s="12"/>
      <c r="DI66" s="12"/>
      <c r="DJ66" s="12"/>
      <c r="DK66" s="12"/>
      <c r="DL66" s="12"/>
      <c r="DP66" s="12"/>
      <c r="DQ66" s="12"/>
      <c r="DR66" s="12"/>
      <c r="DS66" s="12"/>
      <c r="DW66" s="12"/>
      <c r="DX66" s="12"/>
      <c r="DY66" s="12"/>
      <c r="DZ66" s="12"/>
      <c r="ED66" s="12"/>
      <c r="EE66" s="12"/>
      <c r="EF66" s="12"/>
      <c r="EG66" s="12"/>
      <c r="EK66" s="12"/>
      <c r="EL66" s="12"/>
      <c r="EM66" s="12"/>
      <c r="EN66" s="12"/>
      <c r="ER66" s="12"/>
      <c r="ES66" s="12"/>
      <c r="ET66" s="12"/>
      <c r="EU66" s="12"/>
      <c r="EY66" s="12"/>
      <c r="EZ66" s="12"/>
      <c r="FA66" s="12"/>
      <c r="FB66" s="12"/>
      <c r="FF66" s="12"/>
      <c r="FG66" s="12">
        <v>0.8</v>
      </c>
      <c r="FH66" s="12"/>
      <c r="FI66" s="12">
        <v>0.8</v>
      </c>
      <c r="FM66" s="12"/>
      <c r="FN66" s="12">
        <v>1</v>
      </c>
      <c r="FO66" s="12"/>
      <c r="FP66" s="12">
        <v>1</v>
      </c>
      <c r="FT66" s="12"/>
      <c r="FU66" s="12">
        <v>1</v>
      </c>
      <c r="FV66" s="12"/>
      <c r="FW66" s="12"/>
    </row>
    <row r="67" spans="2:179" ht="17.25" customHeight="1" outlineLevel="1" x14ac:dyDescent="0.2">
      <c r="B67" t="s">
        <v>28</v>
      </c>
      <c r="C67" t="s">
        <v>118</v>
      </c>
      <c r="E67" s="11"/>
      <c r="F67" t="s">
        <v>145</v>
      </c>
      <c r="G67" s="12">
        <v>0.1</v>
      </c>
      <c r="I67" s="11">
        <f t="shared" si="4"/>
        <v>0</v>
      </c>
      <c r="J67" s="13" cm="1">
        <f t="array" ref="J67">MAX(IF($N$3:$DV$3=$J$3,N67:DV67))</f>
        <v>0</v>
      </c>
      <c r="K67" s="13" cm="1">
        <f t="array" ref="K67">MAX(IF($N$3:$DV$3=$J$3,N67:DV67))</f>
        <v>0</v>
      </c>
      <c r="L67" s="11"/>
      <c r="O67" s="12"/>
      <c r="P67" s="12"/>
      <c r="Q67" s="12"/>
      <c r="R67" s="12"/>
      <c r="V67" s="12"/>
      <c r="W67" s="12"/>
      <c r="X67" s="12"/>
      <c r="Y67" s="12"/>
      <c r="AC67" s="12"/>
      <c r="AD67" s="12"/>
      <c r="AE67" s="12"/>
      <c r="AF67" s="12"/>
      <c r="AJ67" s="12"/>
      <c r="AK67" s="12"/>
      <c r="AL67" s="12"/>
      <c r="AM67" s="12"/>
      <c r="AP67">
        <v>0</v>
      </c>
      <c r="AQ67" s="12"/>
      <c r="AR67" s="12"/>
      <c r="AS67" s="12"/>
      <c r="AT67" s="12"/>
      <c r="AX67" s="12"/>
      <c r="AY67" s="12"/>
      <c r="AZ67" s="12"/>
      <c r="BA67" s="12"/>
      <c r="BE67" s="12"/>
      <c r="BF67" s="12"/>
      <c r="BG67" s="12"/>
      <c r="BH67" s="12"/>
      <c r="BL67" s="12"/>
      <c r="BM67" s="12"/>
      <c r="BN67" s="12"/>
      <c r="BO67" s="12"/>
      <c r="BS67" s="12"/>
      <c r="BT67" s="12"/>
      <c r="BU67" s="12"/>
      <c r="BV67" s="12"/>
      <c r="BZ67" s="12"/>
      <c r="CA67" s="12">
        <v>0.5</v>
      </c>
      <c r="CB67" s="12"/>
      <c r="CC67" s="12"/>
      <c r="CG67" s="12"/>
      <c r="CH67" s="12">
        <v>0.8</v>
      </c>
      <c r="CI67" s="12"/>
      <c r="CJ67" s="12"/>
      <c r="CN67" s="12"/>
      <c r="CO67" s="12">
        <v>1</v>
      </c>
      <c r="CP67" s="12"/>
      <c r="CQ67" s="12"/>
      <c r="CU67" s="12"/>
      <c r="CV67" s="12"/>
      <c r="CW67" s="12"/>
      <c r="CX67" s="12"/>
      <c r="DB67" s="12"/>
      <c r="DC67" s="12"/>
      <c r="DD67" s="12"/>
      <c r="DE67" s="12"/>
      <c r="DI67" s="12"/>
      <c r="DJ67" s="12"/>
      <c r="DK67" s="12"/>
      <c r="DL67" s="12"/>
      <c r="DP67" s="12"/>
      <c r="DQ67" s="12"/>
      <c r="DR67" s="12"/>
      <c r="DS67" s="12"/>
      <c r="DW67" s="12"/>
      <c r="DX67" s="12"/>
      <c r="DY67" s="12"/>
      <c r="DZ67" s="12"/>
      <c r="ED67" s="12"/>
      <c r="EE67" s="12"/>
      <c r="EF67" s="12"/>
      <c r="EG67" s="12"/>
      <c r="EK67" s="12"/>
      <c r="EL67" s="12"/>
      <c r="EM67" s="12"/>
      <c r="EN67" s="12"/>
      <c r="ER67" s="12"/>
      <c r="ES67" s="12"/>
      <c r="ET67" s="12"/>
      <c r="EU67" s="12"/>
      <c r="EY67" s="12"/>
      <c r="EZ67" s="12"/>
      <c r="FA67" s="12"/>
      <c r="FB67" s="12"/>
      <c r="FF67" s="12"/>
      <c r="FG67" s="12">
        <v>0.8</v>
      </c>
      <c r="FH67" s="12"/>
      <c r="FI67" s="12">
        <v>0.8</v>
      </c>
      <c r="FM67" s="12"/>
      <c r="FN67" s="12">
        <v>1</v>
      </c>
      <c r="FO67" s="12"/>
      <c r="FP67" s="12">
        <v>1</v>
      </c>
      <c r="FT67" s="12"/>
      <c r="FU67" s="12">
        <v>1</v>
      </c>
      <c r="FV67" s="12"/>
      <c r="FW67" s="12"/>
    </row>
    <row r="68" spans="2:179" outlineLevel="1" x14ac:dyDescent="0.2">
      <c r="B68" t="s">
        <v>28</v>
      </c>
      <c r="C68" t="s">
        <v>118</v>
      </c>
      <c r="E68" s="11"/>
      <c r="F68" t="s">
        <v>146</v>
      </c>
      <c r="G68" s="12">
        <v>0.1</v>
      </c>
      <c r="I68" s="11">
        <f t="shared" si="4"/>
        <v>0</v>
      </c>
      <c r="J68" s="13" cm="1">
        <f t="array" ref="J68">MAX(IF($N$3:$DV$3=$J$3,N68:DV68))</f>
        <v>0</v>
      </c>
      <c r="K68" s="13" cm="1">
        <f t="array" ref="K68">MAX(IF($N$3:$DV$3=$J$3,N68:DV68))</f>
        <v>0</v>
      </c>
      <c r="L68" s="11"/>
      <c r="O68" s="12"/>
      <c r="P68" s="12"/>
      <c r="Q68" s="12"/>
      <c r="R68" s="12"/>
      <c r="V68" s="12"/>
      <c r="W68" s="12"/>
      <c r="X68" s="12"/>
      <c r="Y68" s="12"/>
      <c r="AC68" s="12"/>
      <c r="AD68" s="12"/>
      <c r="AE68" s="12"/>
      <c r="AF68" s="12"/>
      <c r="AJ68" s="12"/>
      <c r="AK68" s="12"/>
      <c r="AL68" s="12"/>
      <c r="AM68" s="12"/>
      <c r="AP68">
        <v>0</v>
      </c>
      <c r="AQ68" s="12"/>
      <c r="AR68" s="12"/>
      <c r="AS68" s="12"/>
      <c r="AT68" s="12"/>
      <c r="AX68" s="12"/>
      <c r="AY68" s="12"/>
      <c r="AZ68" s="12"/>
      <c r="BA68" s="12"/>
      <c r="BE68" s="12"/>
      <c r="BF68" s="12"/>
      <c r="BG68" s="12"/>
      <c r="BH68" s="12"/>
      <c r="BL68" s="12"/>
      <c r="BM68" s="12"/>
      <c r="BN68" s="12"/>
      <c r="BO68" s="12"/>
      <c r="BS68" s="12"/>
      <c r="BT68" s="12"/>
      <c r="BU68" s="12"/>
      <c r="BV68" s="12"/>
      <c r="BZ68" s="12"/>
      <c r="CA68" s="12">
        <v>0.5</v>
      </c>
      <c r="CB68" s="12"/>
      <c r="CC68" s="12"/>
      <c r="CG68" s="12"/>
      <c r="CH68" s="12">
        <v>0.8</v>
      </c>
      <c r="CI68" s="12"/>
      <c r="CJ68" s="12"/>
      <c r="CN68" s="12"/>
      <c r="CO68" s="12">
        <v>1</v>
      </c>
      <c r="CP68" s="12"/>
      <c r="CQ68" s="12"/>
      <c r="CU68" s="12"/>
      <c r="CV68" s="12"/>
      <c r="CW68" s="12"/>
      <c r="CX68" s="12"/>
      <c r="DB68" s="12"/>
      <c r="DC68" s="12"/>
      <c r="DD68" s="12"/>
      <c r="DE68" s="12"/>
      <c r="DI68" s="12"/>
      <c r="DJ68" s="12"/>
      <c r="DK68" s="12"/>
      <c r="DL68" s="12"/>
      <c r="DP68" s="12"/>
      <c r="DQ68" s="12"/>
      <c r="DR68" s="12"/>
      <c r="DS68" s="12"/>
      <c r="DW68" s="12"/>
      <c r="DX68" s="12"/>
      <c r="DY68" s="12"/>
      <c r="DZ68" s="12"/>
      <c r="ED68" s="12"/>
      <c r="EE68" s="12"/>
      <c r="EF68" s="12"/>
      <c r="EG68" s="12"/>
      <c r="EK68" s="12"/>
      <c r="EL68" s="12"/>
      <c r="EM68" s="12"/>
      <c r="EN68" s="12"/>
      <c r="ER68" s="12"/>
      <c r="ES68" s="12"/>
      <c r="ET68" s="12"/>
      <c r="EU68" s="12"/>
      <c r="EY68" s="12"/>
      <c r="EZ68" s="12"/>
      <c r="FA68" s="12"/>
      <c r="FB68" s="12"/>
      <c r="FF68" s="12"/>
      <c r="FG68" s="12">
        <v>0.8</v>
      </c>
      <c r="FH68" s="12"/>
      <c r="FI68" s="12">
        <v>0.8</v>
      </c>
      <c r="FM68" s="12"/>
      <c r="FN68" s="12">
        <v>1</v>
      </c>
      <c r="FO68" s="12"/>
      <c r="FP68" s="12">
        <v>1</v>
      </c>
      <c r="FT68" s="12"/>
      <c r="FU68" s="12">
        <v>1</v>
      </c>
      <c r="FV68" s="12"/>
      <c r="FW68" s="12"/>
    </row>
    <row r="69" spans="2:179" outlineLevel="1" x14ac:dyDescent="0.2">
      <c r="B69" t="s">
        <v>28</v>
      </c>
      <c r="C69" t="s">
        <v>118</v>
      </c>
      <c r="E69" s="11"/>
      <c r="F69" t="s">
        <v>147</v>
      </c>
      <c r="G69" s="12">
        <v>0.1</v>
      </c>
      <c r="I69" s="11">
        <f t="shared" si="4"/>
        <v>0</v>
      </c>
      <c r="J69" s="13" cm="1">
        <f t="array" ref="J69">MAX(IF($N$3:$DV$3=$J$3,N69:DV69))</f>
        <v>0</v>
      </c>
      <c r="K69" s="13" cm="1">
        <f t="array" ref="K69">MAX(IF($N$3:$DV$3=$J$3,N69:DV69))</f>
        <v>0</v>
      </c>
      <c r="L69" s="11"/>
      <c r="O69" s="12"/>
      <c r="P69" s="12"/>
      <c r="Q69" s="12"/>
      <c r="R69" s="12"/>
      <c r="V69" s="12"/>
      <c r="W69" s="12"/>
      <c r="X69" s="12"/>
      <c r="Y69" s="12"/>
      <c r="AC69" s="12"/>
      <c r="AD69" s="12"/>
      <c r="AE69" s="12"/>
      <c r="AF69" s="12"/>
      <c r="AJ69" s="12"/>
      <c r="AK69" s="12"/>
      <c r="AL69" s="12"/>
      <c r="AM69" s="12"/>
      <c r="AP69">
        <v>0</v>
      </c>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v>0.5</v>
      </c>
      <c r="CW69" s="12"/>
      <c r="CX69" s="12"/>
      <c r="DB69" s="12"/>
      <c r="DC69" s="12">
        <v>0.8</v>
      </c>
      <c r="DD69" s="12"/>
      <c r="DE69" s="12"/>
      <c r="DI69" s="12"/>
      <c r="DJ69" s="12">
        <v>1</v>
      </c>
      <c r="DK69" s="12"/>
      <c r="DL69" s="12"/>
      <c r="DP69" s="12"/>
      <c r="DQ69" s="12"/>
      <c r="DR69" s="12"/>
      <c r="DS69" s="12"/>
      <c r="DW69" s="12"/>
      <c r="DX69" s="12"/>
      <c r="DY69" s="12"/>
      <c r="DZ69" s="12"/>
      <c r="ED69" s="12"/>
      <c r="EE69" s="12"/>
      <c r="EF69" s="12"/>
      <c r="EG69" s="12"/>
      <c r="EK69" s="12"/>
      <c r="EL69" s="12"/>
      <c r="EM69" s="12"/>
      <c r="EN69" s="12"/>
      <c r="ER69" s="12"/>
      <c r="ES69" s="12"/>
      <c r="ET69" s="12"/>
      <c r="EU69" s="12"/>
      <c r="EY69" s="12"/>
      <c r="EZ69" s="12"/>
      <c r="FA69" s="12"/>
      <c r="FB69" s="12"/>
      <c r="FF69" s="12"/>
      <c r="FG69" s="12">
        <v>0.8</v>
      </c>
      <c r="FH69" s="12"/>
      <c r="FI69" s="12">
        <v>0.8</v>
      </c>
      <c r="FM69" s="12"/>
      <c r="FN69" s="12">
        <v>1</v>
      </c>
      <c r="FO69" s="12"/>
      <c r="FP69" s="12">
        <v>1</v>
      </c>
      <c r="FT69" s="12"/>
      <c r="FU69" s="12">
        <v>1</v>
      </c>
      <c r="FV69" s="12"/>
      <c r="FW69" s="12"/>
    </row>
    <row r="70" spans="2:179" outlineLevel="1" x14ac:dyDescent="0.2">
      <c r="B70" t="s">
        <v>28</v>
      </c>
      <c r="C70" t="s">
        <v>118</v>
      </c>
      <c r="E70" s="11"/>
      <c r="F70" t="s">
        <v>148</v>
      </c>
      <c r="G70" s="12">
        <v>0.1</v>
      </c>
      <c r="I70" s="11">
        <f t="shared" si="4"/>
        <v>0</v>
      </c>
      <c r="J70" s="13" cm="1">
        <f t="array" ref="J70">MAX(IF($N$3:$DV$3=$J$3,N70:DV70))</f>
        <v>0</v>
      </c>
      <c r="K70" s="13" cm="1">
        <f t="array" ref="K70">MAX(IF($N$3:$DV$3=$J$3,N70:DV70))</f>
        <v>0</v>
      </c>
      <c r="L70" s="11"/>
      <c r="O70" s="12"/>
      <c r="P70" s="12"/>
      <c r="Q70" s="12"/>
      <c r="R70" s="12"/>
      <c r="V70" s="12"/>
      <c r="W70" s="12"/>
      <c r="X70" s="12"/>
      <c r="Y70" s="12"/>
      <c r="AC70" s="12"/>
      <c r="AD70" s="12"/>
      <c r="AE70" s="12"/>
      <c r="AF70" s="12"/>
      <c r="AJ70" s="12"/>
      <c r="AK70" s="12"/>
      <c r="AL70" s="12"/>
      <c r="AM70" s="12"/>
      <c r="AP70">
        <v>0</v>
      </c>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v>0.5</v>
      </c>
      <c r="CW70" s="12"/>
      <c r="CX70" s="12"/>
      <c r="DB70" s="12"/>
      <c r="DC70" s="12">
        <v>0.8</v>
      </c>
      <c r="DD70" s="12"/>
      <c r="DE70" s="12"/>
      <c r="DI70" s="12"/>
      <c r="DJ70" s="12">
        <v>1</v>
      </c>
      <c r="DK70" s="12"/>
      <c r="DL70" s="12"/>
      <c r="DP70" s="12"/>
      <c r="DQ70" s="12"/>
      <c r="DR70" s="12"/>
      <c r="DS70" s="12"/>
      <c r="DW70" s="12"/>
      <c r="DX70" s="12"/>
      <c r="DY70" s="12"/>
      <c r="DZ70" s="12"/>
      <c r="ED70" s="12"/>
      <c r="EE70" s="12"/>
      <c r="EF70" s="12"/>
      <c r="EG70" s="12"/>
      <c r="EK70" s="12"/>
      <c r="EL70" s="12"/>
      <c r="EM70" s="12"/>
      <c r="EN70" s="12"/>
      <c r="ER70" s="12"/>
      <c r="ES70" s="12"/>
      <c r="ET70" s="12"/>
      <c r="EU70" s="12"/>
      <c r="EY70" s="12"/>
      <c r="EZ70" s="12"/>
      <c r="FA70" s="12"/>
      <c r="FB70" s="12"/>
      <c r="FF70" s="12"/>
      <c r="FG70" s="12">
        <v>0.8</v>
      </c>
      <c r="FH70" s="12"/>
      <c r="FI70" s="12">
        <v>0.8</v>
      </c>
      <c r="FM70" s="12"/>
      <c r="FN70" s="12">
        <v>1</v>
      </c>
      <c r="FO70" s="12"/>
      <c r="FP70" s="12">
        <v>1</v>
      </c>
      <c r="FT70" s="12"/>
      <c r="FU70" s="12">
        <v>1</v>
      </c>
      <c r="FV70" s="12"/>
      <c r="FW70" s="12"/>
    </row>
    <row r="71" spans="2:179" outlineLevel="1" x14ac:dyDescent="0.2">
      <c r="B71" t="s">
        <v>28</v>
      </c>
      <c r="C71" t="s">
        <v>118</v>
      </c>
      <c r="E71" s="11"/>
      <c r="F71" t="s">
        <v>149</v>
      </c>
      <c r="G71" s="12">
        <v>0.1</v>
      </c>
      <c r="I71" s="11">
        <f t="shared" si="4"/>
        <v>0</v>
      </c>
      <c r="J71" s="13" cm="1">
        <f t="array" ref="J71">MAX(IF($N$3:$DV$3=$J$3,N71:DV71))</f>
        <v>0</v>
      </c>
      <c r="K71" s="13" cm="1">
        <f t="array" ref="K71">MAX(IF($N$3:$DV$3=$J$3,N71:DV71))</f>
        <v>0</v>
      </c>
      <c r="L71" s="11"/>
      <c r="O71" s="12"/>
      <c r="P71" s="12"/>
      <c r="Q71" s="12"/>
      <c r="R71" s="12"/>
      <c r="V71" s="12"/>
      <c r="W71" s="12"/>
      <c r="X71" s="12"/>
      <c r="Y71" s="12"/>
      <c r="AC71" s="12"/>
      <c r="AD71" s="12"/>
      <c r="AE71" s="12"/>
      <c r="AF71" s="12"/>
      <c r="AJ71" s="12"/>
      <c r="AK71" s="12"/>
      <c r="AL71" s="12"/>
      <c r="AM71" s="12"/>
      <c r="AP71">
        <v>0</v>
      </c>
      <c r="AQ71" s="12"/>
      <c r="AR71" s="12"/>
      <c r="AS71" s="12"/>
      <c r="AT71" s="12"/>
      <c r="AX71" s="12"/>
      <c r="AY71" s="12"/>
      <c r="AZ71" s="12"/>
      <c r="BA71" s="12"/>
      <c r="BE71" s="12"/>
      <c r="BF71" s="12"/>
      <c r="BG71" s="12"/>
      <c r="BH71" s="12"/>
      <c r="BL71" s="12"/>
      <c r="BM71" s="12"/>
      <c r="BN71" s="12"/>
      <c r="BO71" s="12"/>
      <c r="BS71" s="12"/>
      <c r="BT71" s="12"/>
      <c r="BU71" s="12"/>
      <c r="BV71" s="12"/>
      <c r="BZ71" s="12"/>
      <c r="CA71" s="12"/>
      <c r="CB71" s="12"/>
      <c r="CC71" s="12"/>
      <c r="CG71" s="12"/>
      <c r="CH71" s="12"/>
      <c r="CI71" s="12"/>
      <c r="CJ71" s="12"/>
      <c r="CN71" s="12"/>
      <c r="CO71" s="12"/>
      <c r="CP71" s="12"/>
      <c r="CQ71" s="12"/>
      <c r="CU71" s="12"/>
      <c r="CV71" s="12">
        <v>0.5</v>
      </c>
      <c r="CW71" s="12"/>
      <c r="CX71" s="12"/>
      <c r="DB71" s="12"/>
      <c r="DC71" s="12">
        <v>0.8</v>
      </c>
      <c r="DD71" s="12"/>
      <c r="DE71" s="12"/>
      <c r="DI71" s="12"/>
      <c r="DJ71" s="12">
        <v>1</v>
      </c>
      <c r="DK71" s="12"/>
      <c r="DL71" s="12"/>
      <c r="DP71" s="12"/>
      <c r="DQ71" s="12"/>
      <c r="DR71" s="12"/>
      <c r="DS71" s="12"/>
      <c r="DW71" s="12"/>
      <c r="DX71" s="12"/>
      <c r="DY71" s="12"/>
      <c r="DZ71" s="12"/>
      <c r="ED71" s="12"/>
      <c r="EE71" s="12"/>
      <c r="EF71" s="12"/>
      <c r="EG71" s="12"/>
      <c r="EK71" s="12"/>
      <c r="EL71" s="12"/>
      <c r="EM71" s="12"/>
      <c r="EN71" s="12"/>
      <c r="ER71" s="12"/>
      <c r="ES71" s="12"/>
      <c r="ET71" s="12"/>
      <c r="EU71" s="12"/>
      <c r="EY71" s="12"/>
      <c r="EZ71" s="12"/>
      <c r="FA71" s="12"/>
      <c r="FB71" s="12"/>
      <c r="FF71" s="12"/>
      <c r="FG71" s="12">
        <v>0.8</v>
      </c>
      <c r="FH71" s="12"/>
      <c r="FI71" s="12">
        <v>0.8</v>
      </c>
      <c r="FM71" s="12"/>
      <c r="FN71" s="12">
        <v>1</v>
      </c>
      <c r="FO71" s="12"/>
      <c r="FP71" s="12">
        <v>1</v>
      </c>
      <c r="FT71" s="12"/>
      <c r="FU71" s="12">
        <v>1</v>
      </c>
      <c r="FV71" s="12"/>
      <c r="FW71" s="12"/>
    </row>
    <row r="72" spans="2:179" outlineLevel="1" x14ac:dyDescent="0.2">
      <c r="B72" t="s">
        <v>28</v>
      </c>
      <c r="C72" t="s">
        <v>118</v>
      </c>
      <c r="E72" s="11"/>
      <c r="F72" t="s">
        <v>150</v>
      </c>
      <c r="G72" s="12">
        <v>0.1</v>
      </c>
      <c r="I72" s="11">
        <f t="shared" si="4"/>
        <v>0</v>
      </c>
      <c r="J72" s="13" cm="1">
        <f t="array" ref="J72">MAX(IF($N$3:$DV$3=$J$3,N72:DV72))</f>
        <v>0</v>
      </c>
      <c r="K72" s="13" cm="1">
        <f t="array" ref="K72">MAX(IF($N$3:$DV$3=$J$3,N72:DV72))</f>
        <v>0</v>
      </c>
      <c r="L72" s="11"/>
      <c r="O72" s="12"/>
      <c r="P72" s="12"/>
      <c r="Q72" s="12"/>
      <c r="R72" s="12"/>
      <c r="V72" s="12"/>
      <c r="W72" s="12"/>
      <c r="X72" s="12"/>
      <c r="Y72" s="12"/>
      <c r="AC72" s="12"/>
      <c r="AD72" s="12"/>
      <c r="AE72" s="12"/>
      <c r="AF72" s="12"/>
      <c r="AJ72" s="12"/>
      <c r="AK72" s="12"/>
      <c r="AL72" s="12"/>
      <c r="AM72" s="12"/>
      <c r="AP72">
        <v>0</v>
      </c>
      <c r="AQ72" s="12"/>
      <c r="AR72" s="12"/>
      <c r="AS72" s="12"/>
      <c r="AT72" s="12"/>
      <c r="AX72" s="12"/>
      <c r="AY72" s="12"/>
      <c r="AZ72" s="12"/>
      <c r="BA72" s="12"/>
      <c r="BE72" s="12"/>
      <c r="BF72" s="12"/>
      <c r="BG72" s="12"/>
      <c r="BH72" s="12"/>
      <c r="BL72" s="12"/>
      <c r="BM72" s="12"/>
      <c r="BN72" s="12"/>
      <c r="BO72" s="12"/>
      <c r="BS72" s="12"/>
      <c r="BT72" s="12"/>
      <c r="BU72" s="12"/>
      <c r="BV72" s="12"/>
      <c r="BZ72" s="12"/>
      <c r="CA72" s="12"/>
      <c r="CB72" s="12"/>
      <c r="CC72" s="12"/>
      <c r="CG72" s="12"/>
      <c r="CH72" s="12"/>
      <c r="CI72" s="12"/>
      <c r="CJ72" s="12"/>
      <c r="CN72" s="12"/>
      <c r="CO72" s="12"/>
      <c r="CP72" s="12"/>
      <c r="CQ72" s="12"/>
      <c r="CU72" s="12"/>
      <c r="CV72" s="12"/>
      <c r="CW72" s="12"/>
      <c r="CX72" s="12"/>
      <c r="DB72" s="12"/>
      <c r="DC72" s="12"/>
      <c r="DD72" s="12"/>
      <c r="DE72" s="12"/>
      <c r="DI72" s="12"/>
      <c r="DJ72" s="12"/>
      <c r="DK72" s="12"/>
      <c r="DL72" s="12"/>
      <c r="DP72" s="12"/>
      <c r="DQ72" s="12"/>
      <c r="DR72" s="12"/>
      <c r="DS72" s="12"/>
      <c r="DW72" s="12"/>
      <c r="DX72" s="12"/>
      <c r="DY72" s="12"/>
      <c r="DZ72" s="12"/>
      <c r="ED72" s="12"/>
      <c r="EE72" s="12"/>
      <c r="EF72" s="12"/>
      <c r="EG72" s="12"/>
      <c r="EK72" s="12"/>
      <c r="EL72" s="12"/>
      <c r="EM72" s="12"/>
      <c r="EN72" s="12"/>
      <c r="ER72" s="12"/>
      <c r="ES72" s="12"/>
      <c r="ET72" s="12"/>
      <c r="EU72" s="12"/>
      <c r="EY72" s="12"/>
      <c r="EZ72" s="12"/>
      <c r="FA72" s="12"/>
      <c r="FB72" s="12"/>
      <c r="FF72" s="12"/>
      <c r="FG72" s="12">
        <v>0.8</v>
      </c>
      <c r="FH72" s="12"/>
      <c r="FI72" s="12">
        <v>0.8</v>
      </c>
      <c r="FM72" s="12"/>
      <c r="FN72" s="12">
        <v>1</v>
      </c>
      <c r="FO72" s="12"/>
      <c r="FP72" s="12">
        <v>1</v>
      </c>
      <c r="FT72" s="12"/>
      <c r="FU72" s="12">
        <v>1</v>
      </c>
      <c r="FV72" s="12"/>
      <c r="FW72" s="12"/>
    </row>
    <row r="73" spans="2:179" outlineLevel="1" x14ac:dyDescent="0.2">
      <c r="B73" t="s">
        <v>28</v>
      </c>
      <c r="C73" t="s">
        <v>118</v>
      </c>
      <c r="E73" s="11"/>
      <c r="F73" t="s">
        <v>151</v>
      </c>
      <c r="G73" s="12">
        <v>0.1</v>
      </c>
      <c r="I73" s="11">
        <f t="shared" si="4"/>
        <v>0</v>
      </c>
      <c r="J73" s="13" cm="1">
        <f t="array" ref="J73">MAX(IF($N$3:$DV$3=$J$3,N73:DV73))</f>
        <v>0</v>
      </c>
      <c r="K73" s="13" cm="1">
        <f t="array" ref="K73">MAX(IF($N$3:$DV$3=$J$3,N73:DV73))</f>
        <v>0</v>
      </c>
      <c r="L73" s="11"/>
      <c r="O73" s="12"/>
      <c r="P73" s="12"/>
      <c r="Q73" s="12"/>
      <c r="R73" s="12"/>
      <c r="V73" s="12"/>
      <c r="W73" s="12"/>
      <c r="X73" s="12"/>
      <c r="Y73" s="12"/>
      <c r="AC73" s="12"/>
      <c r="AD73" s="12"/>
      <c r="AE73" s="12"/>
      <c r="AF73" s="12"/>
      <c r="AJ73" s="12"/>
      <c r="AK73" s="12"/>
      <c r="AL73" s="12"/>
      <c r="AM73" s="12"/>
      <c r="AP73">
        <v>0</v>
      </c>
      <c r="AQ73" s="12"/>
      <c r="AR73" s="12"/>
      <c r="AS73" s="12"/>
      <c r="AT73" s="12"/>
      <c r="AX73" s="12"/>
      <c r="AY73" s="12"/>
      <c r="AZ73" s="12"/>
      <c r="BA73" s="12"/>
      <c r="BE73" s="12"/>
      <c r="BF73" s="12"/>
      <c r="BG73" s="12"/>
      <c r="BH73" s="12"/>
      <c r="BL73" s="12"/>
      <c r="BM73" s="12"/>
      <c r="BN73" s="12"/>
      <c r="BO73" s="12"/>
      <c r="BS73" s="12"/>
      <c r="BT73" s="12"/>
      <c r="BU73" s="12"/>
      <c r="BV73" s="12"/>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c r="DP73" s="12"/>
      <c r="DQ73" s="12"/>
      <c r="DR73" s="12"/>
      <c r="DS73" s="12"/>
      <c r="DW73" s="12"/>
      <c r="DX73" s="12"/>
      <c r="DY73" s="12"/>
      <c r="DZ73" s="12"/>
      <c r="ED73" s="12"/>
      <c r="EE73" s="12"/>
      <c r="EF73" s="12"/>
      <c r="EG73" s="12"/>
      <c r="EK73" s="12"/>
      <c r="EL73" s="12"/>
      <c r="EM73" s="12"/>
      <c r="EN73" s="12"/>
      <c r="ER73" s="12"/>
      <c r="ES73" s="12"/>
      <c r="ET73" s="12"/>
      <c r="EU73" s="12"/>
      <c r="EY73" s="12"/>
      <c r="EZ73" s="12"/>
      <c r="FA73" s="12"/>
      <c r="FB73" s="12"/>
      <c r="FF73" s="12"/>
      <c r="FG73" s="12">
        <v>0.8</v>
      </c>
      <c r="FH73" s="12"/>
      <c r="FI73" s="12">
        <v>0.8</v>
      </c>
      <c r="FM73" s="12"/>
      <c r="FN73" s="12">
        <v>1</v>
      </c>
      <c r="FO73" s="12"/>
      <c r="FP73" s="12">
        <v>1</v>
      </c>
      <c r="FT73" s="12"/>
      <c r="FU73" s="12">
        <v>1</v>
      </c>
      <c r="FV73" s="12"/>
      <c r="FW73" s="12"/>
    </row>
    <row r="74" spans="2:179" outlineLevel="1" x14ac:dyDescent="0.2">
      <c r="B74" t="s">
        <v>28</v>
      </c>
      <c r="C74" t="s">
        <v>118</v>
      </c>
      <c r="E74" s="11"/>
      <c r="F74" t="s">
        <v>152</v>
      </c>
      <c r="G74" s="12">
        <v>0.1</v>
      </c>
      <c r="I74" s="11">
        <f t="shared" si="4"/>
        <v>0</v>
      </c>
      <c r="J74" s="13" cm="1">
        <f t="array" ref="J74">MAX(IF($N$3:$DV$3=$J$3,N74:DV74))</f>
        <v>0</v>
      </c>
      <c r="K74" s="13" cm="1">
        <f t="array" ref="K74">MAX(IF($N$3:$DV$3=$J$3,N74:DV74))</f>
        <v>0</v>
      </c>
      <c r="L74" s="11"/>
      <c r="O74" s="12"/>
      <c r="P74" s="12"/>
      <c r="Q74" s="12"/>
      <c r="R74" s="12"/>
      <c r="V74" s="12"/>
      <c r="W74" s="12"/>
      <c r="X74" s="12"/>
      <c r="Y74" s="12"/>
      <c r="AC74" s="12"/>
      <c r="AD74" s="12"/>
      <c r="AE74" s="12"/>
      <c r="AF74" s="12"/>
      <c r="AJ74" s="12"/>
      <c r="AK74" s="12"/>
      <c r="AL74" s="12"/>
      <c r="AM74" s="12"/>
      <c r="AP74">
        <v>0</v>
      </c>
      <c r="AQ74" s="12"/>
      <c r="AR74" s="12"/>
      <c r="AS74" s="12"/>
      <c r="AT74" s="12"/>
      <c r="AX74" s="12"/>
      <c r="AY74" s="12"/>
      <c r="AZ74" s="12"/>
      <c r="BA74" s="12"/>
      <c r="BE74" s="12"/>
      <c r="BF74" s="12"/>
      <c r="BG74" s="12"/>
      <c r="BH74" s="12"/>
      <c r="BL74" s="12"/>
      <c r="BM74" s="12"/>
      <c r="BN74" s="12"/>
      <c r="BO74" s="12"/>
      <c r="BS74" s="12"/>
      <c r="BT74" s="12"/>
      <c r="BU74" s="12"/>
      <c r="BV74" s="12"/>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c r="DP74" s="12"/>
      <c r="DQ74" s="12"/>
      <c r="DR74" s="12"/>
      <c r="DS74" s="12"/>
      <c r="DW74" s="12"/>
      <c r="DX74" s="12"/>
      <c r="DY74" s="12"/>
      <c r="DZ74" s="12"/>
      <c r="ED74" s="12"/>
      <c r="EE74" s="12"/>
      <c r="EF74" s="12"/>
      <c r="EG74" s="12"/>
      <c r="EK74" s="12"/>
      <c r="EL74" s="12"/>
      <c r="EM74" s="12"/>
      <c r="EN74" s="12"/>
      <c r="ER74" s="12"/>
      <c r="ES74" s="12"/>
      <c r="ET74" s="12"/>
      <c r="EU74" s="12"/>
      <c r="EY74" s="12"/>
      <c r="EZ74" s="12"/>
      <c r="FA74" s="12"/>
      <c r="FB74" s="12"/>
      <c r="FF74" s="12"/>
      <c r="FG74" s="12">
        <v>0.8</v>
      </c>
      <c r="FH74" s="12"/>
      <c r="FI74" s="12">
        <v>0.8</v>
      </c>
      <c r="FM74" s="12"/>
      <c r="FN74" s="12">
        <v>1</v>
      </c>
      <c r="FO74" s="12"/>
      <c r="FP74" s="12">
        <v>1</v>
      </c>
      <c r="FT74" s="12"/>
      <c r="FU74" s="12">
        <v>1</v>
      </c>
      <c r="FV74" s="12"/>
      <c r="FW74" s="12"/>
    </row>
    <row r="75" spans="2:179" outlineLevel="1" x14ac:dyDescent="0.2">
      <c r="B75" t="s">
        <v>28</v>
      </c>
      <c r="C75" t="s">
        <v>118</v>
      </c>
      <c r="E75" s="11"/>
      <c r="F75" t="s">
        <v>153</v>
      </c>
      <c r="G75" s="12">
        <v>0.1</v>
      </c>
      <c r="I75" s="11">
        <f t="shared" si="4"/>
        <v>0</v>
      </c>
      <c r="J75" s="13" cm="1">
        <f t="array" ref="J75">MAX(IF($N$3:$DV$3=$J$3,N75:DV75))</f>
        <v>0</v>
      </c>
      <c r="K75" s="13" cm="1">
        <f t="array" ref="K75">MAX(IF($N$3:$DV$3=$J$3,N75:DV75))</f>
        <v>0</v>
      </c>
      <c r="L75" s="11"/>
      <c r="O75" s="12"/>
      <c r="P75" s="12"/>
      <c r="Q75" s="12"/>
      <c r="R75" s="12"/>
      <c r="V75" s="12"/>
      <c r="W75" s="12"/>
      <c r="X75" s="12"/>
      <c r="Y75" s="12"/>
      <c r="AC75" s="12"/>
      <c r="AD75" s="12"/>
      <c r="AE75" s="12"/>
      <c r="AF75" s="12"/>
      <c r="AJ75" s="12"/>
      <c r="AK75" s="12"/>
      <c r="AL75" s="12"/>
      <c r="AM75" s="12"/>
      <c r="AP75">
        <v>0</v>
      </c>
      <c r="AQ75" s="12"/>
      <c r="AR75" s="12"/>
      <c r="AS75" s="12"/>
      <c r="AT75" s="12"/>
      <c r="AX75" s="12"/>
      <c r="AY75" s="12"/>
      <c r="AZ75" s="12"/>
      <c r="BA75" s="12"/>
      <c r="BE75" s="12"/>
      <c r="BF75" s="12"/>
      <c r="BG75" s="12"/>
      <c r="BH75" s="12"/>
      <c r="BL75" s="12"/>
      <c r="BM75" s="12"/>
      <c r="BN75" s="12"/>
      <c r="BO75" s="12"/>
      <c r="BS75" s="12"/>
      <c r="BT75" s="12"/>
      <c r="BU75" s="12"/>
      <c r="BV75" s="12"/>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c r="DP75" s="12"/>
      <c r="DQ75" s="12"/>
      <c r="DR75" s="12"/>
      <c r="DS75" s="12"/>
      <c r="DW75" s="12"/>
      <c r="DX75" s="12"/>
      <c r="DY75" s="12"/>
      <c r="DZ75" s="12"/>
      <c r="ED75" s="12"/>
      <c r="EE75" s="12"/>
      <c r="EF75" s="12"/>
      <c r="EG75" s="12"/>
      <c r="EK75" s="12"/>
      <c r="EL75" s="12"/>
      <c r="EM75" s="12"/>
      <c r="EN75" s="12"/>
      <c r="ER75" s="12"/>
      <c r="ES75" s="12"/>
      <c r="ET75" s="12"/>
      <c r="EU75" s="12"/>
      <c r="EY75" s="12"/>
      <c r="EZ75" s="12"/>
      <c r="FA75" s="12"/>
      <c r="FB75" s="12"/>
      <c r="FF75" s="12"/>
      <c r="FG75" s="12">
        <v>0.8</v>
      </c>
      <c r="FH75" s="12"/>
      <c r="FI75" s="12">
        <v>0.8</v>
      </c>
      <c r="FM75" s="12"/>
      <c r="FN75" s="12">
        <v>1</v>
      </c>
      <c r="FO75" s="12"/>
      <c r="FP75" s="12">
        <v>1</v>
      </c>
      <c r="FT75" s="12"/>
      <c r="FU75" s="12">
        <v>1</v>
      </c>
      <c r="FV75" s="12"/>
      <c r="FW75" s="12"/>
    </row>
    <row r="76" spans="2:179" outlineLevel="1" x14ac:dyDescent="0.2">
      <c r="B76" t="s">
        <v>28</v>
      </c>
      <c r="C76" t="s">
        <v>118</v>
      </c>
      <c r="E76" s="11"/>
      <c r="F76" t="s">
        <v>154</v>
      </c>
      <c r="G76" s="12">
        <v>0.1</v>
      </c>
      <c r="I76" s="11">
        <f t="shared" si="4"/>
        <v>0</v>
      </c>
      <c r="J76" s="13" cm="1">
        <f t="array" ref="J76">MAX(IF($N$3:$DV$3=$J$3,N76:DV76))</f>
        <v>0</v>
      </c>
      <c r="K76" s="13" cm="1">
        <f t="array" ref="K76">MAX(IF($N$3:$DV$3=$J$3,N76:DV76))</f>
        <v>0</v>
      </c>
      <c r="L76" s="11"/>
      <c r="O76" s="12"/>
      <c r="P76" s="12"/>
      <c r="Q76" s="12"/>
      <c r="R76" s="12"/>
      <c r="V76" s="12"/>
      <c r="W76" s="12"/>
      <c r="X76" s="12"/>
      <c r="Y76" s="12"/>
      <c r="AC76" s="12"/>
      <c r="AD76" s="12"/>
      <c r="AE76" s="12"/>
      <c r="AF76" s="12"/>
      <c r="AJ76" s="12"/>
      <c r="AK76" s="12"/>
      <c r="AL76" s="12"/>
      <c r="AM76" s="12"/>
      <c r="AP76">
        <v>0</v>
      </c>
      <c r="AQ76" s="12"/>
      <c r="AR76" s="12"/>
      <c r="AS76" s="12"/>
      <c r="AT76" s="12"/>
      <c r="AX76" s="12"/>
      <c r="AY76" s="12"/>
      <c r="AZ76" s="12"/>
      <c r="BA76" s="12"/>
      <c r="BE76" s="12"/>
      <c r="BF76" s="12"/>
      <c r="BG76" s="12"/>
      <c r="BH76" s="12"/>
      <c r="BL76" s="12"/>
      <c r="BM76" s="12"/>
      <c r="BN76" s="12"/>
      <c r="BO76" s="12"/>
      <c r="BS76" s="12"/>
      <c r="BT76" s="12"/>
      <c r="BU76" s="12"/>
      <c r="BV76" s="12"/>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c r="DP76" s="12"/>
      <c r="DQ76" s="12"/>
      <c r="DR76" s="12"/>
      <c r="DS76" s="12"/>
      <c r="DW76" s="12"/>
      <c r="DX76" s="12"/>
      <c r="DY76" s="12"/>
      <c r="DZ76" s="12"/>
      <c r="ED76" s="12"/>
      <c r="EE76" s="12"/>
      <c r="EF76" s="12"/>
      <c r="EG76" s="12"/>
      <c r="EK76" s="12"/>
      <c r="EL76" s="12"/>
      <c r="EM76" s="12"/>
      <c r="EN76" s="12"/>
      <c r="ER76" s="12"/>
      <c r="ES76" s="12"/>
      <c r="ET76" s="12"/>
      <c r="EU76" s="12"/>
      <c r="EY76" s="12"/>
      <c r="EZ76" s="12"/>
      <c r="FA76" s="12"/>
      <c r="FB76" s="12"/>
      <c r="FF76" s="12"/>
      <c r="FG76" s="12">
        <v>0.8</v>
      </c>
      <c r="FH76" s="12"/>
      <c r="FI76" s="12">
        <v>0.8</v>
      </c>
      <c r="FM76" s="12"/>
      <c r="FN76" s="12">
        <v>1</v>
      </c>
      <c r="FO76" s="12"/>
      <c r="FP76" s="12">
        <v>1</v>
      </c>
      <c r="FT76" s="12"/>
      <c r="FU76" s="12">
        <v>1</v>
      </c>
      <c r="FV76" s="12"/>
      <c r="FW76" s="12"/>
    </row>
    <row r="79" spans="2:179" x14ac:dyDescent="0.2">
      <c r="V79" s="32"/>
      <c r="W79" s="32"/>
    </row>
    <row r="80" spans="2:179" ht="17" outlineLevel="1" thickBot="1" x14ac:dyDescent="0.25">
      <c r="B80" s="3" t="s">
        <v>27</v>
      </c>
      <c r="C80" s="3" t="s">
        <v>166</v>
      </c>
      <c r="D80" s="33">
        <f>DATE(2023,1,17)</f>
        <v>44943</v>
      </c>
      <c r="E80" s="11"/>
      <c r="F80">
        <f>(12*3)/22</f>
        <v>1.6363636363636365</v>
      </c>
      <c r="G80" s="12">
        <v>0.1</v>
      </c>
      <c r="I80" s="11">
        <f>+SUMIF($N$3:$ZZ$3,I$3,$N80:$ZZ80)</f>
        <v>0</v>
      </c>
      <c r="J80" s="13" cm="1">
        <f t="array" ref="J80">MAX(IF($N$3:$EH$3=$J$3,N80:EH80))</f>
        <v>0</v>
      </c>
      <c r="K80" s="13" cm="1">
        <f t="array" ref="K80">MAX(IF($N$3:$EH$3=$J$3,N80:EH80))</f>
        <v>0</v>
      </c>
      <c r="L80" s="11"/>
      <c r="O80" s="12"/>
      <c r="P80" s="12"/>
      <c r="Q80" s="12"/>
      <c r="R80" s="12"/>
      <c r="V80" s="31"/>
      <c r="W80" s="31"/>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c r="DW80" s="12"/>
      <c r="DX80" s="12"/>
      <c r="DY80" s="12"/>
      <c r="DZ80" s="12"/>
      <c r="ED80" s="12"/>
      <c r="EE80" s="12"/>
      <c r="EF80" s="12"/>
      <c r="EG80" s="12"/>
      <c r="EK80" s="12"/>
      <c r="EL80" s="12"/>
      <c r="EM80" s="12"/>
      <c r="EN80" s="12"/>
      <c r="ER80" s="12"/>
      <c r="ES80" s="12"/>
      <c r="ET80" s="12"/>
      <c r="EU80" s="12"/>
      <c r="EY80" s="12"/>
      <c r="EZ80" s="12"/>
      <c r="FA80" s="12"/>
      <c r="FB80" s="12"/>
      <c r="FF80" s="12"/>
      <c r="FG80" s="12">
        <v>1</v>
      </c>
      <c r="FH80" s="12"/>
      <c r="FI80" s="12">
        <v>1</v>
      </c>
      <c r="FM80" s="12"/>
      <c r="FN80" s="12">
        <v>1</v>
      </c>
      <c r="FO80" s="12"/>
      <c r="FP80" s="12">
        <v>1</v>
      </c>
      <c r="FT80" s="12"/>
      <c r="FU80" s="12"/>
      <c r="FV80" s="12"/>
      <c r="FW80" s="12"/>
    </row>
    <row r="81" spans="2:179" ht="12.75" customHeight="1" outlineLevel="1" x14ac:dyDescent="0.2">
      <c r="B81" t="s">
        <v>28</v>
      </c>
      <c r="C81" t="s">
        <v>155</v>
      </c>
      <c r="E81" s="11"/>
      <c r="F81" t="s">
        <v>156</v>
      </c>
      <c r="G81" s="12">
        <v>0.1</v>
      </c>
      <c r="I81" s="11">
        <f t="shared" ref="I81:I92" si="5">+SUMIF($N$3:$WV$3,I$3,$N81:$WV81)</f>
        <v>0</v>
      </c>
      <c r="J81" s="13" cm="1">
        <f t="array" ref="J81">MAX(IF($N$3:$DV$3=$J$3,N81:DV81))</f>
        <v>0</v>
      </c>
      <c r="K81" s="13" cm="1">
        <f t="array" ref="K81">MAX(IF($N$3:$DV$3=$J$3,N81:DV81))</f>
        <v>0</v>
      </c>
      <c r="L81" s="11"/>
      <c r="O81" s="12"/>
      <c r="P81" s="12">
        <v>0.5</v>
      </c>
      <c r="Q81" s="12"/>
      <c r="R81" s="12"/>
      <c r="U81">
        <v>0</v>
      </c>
      <c r="V81" s="24"/>
      <c r="W81" s="25">
        <v>0.8</v>
      </c>
      <c r="X81" s="12"/>
      <c r="Y81" s="12"/>
      <c r="AC81" s="24"/>
      <c r="AD81" s="25">
        <v>1</v>
      </c>
      <c r="AE81" s="12"/>
      <c r="AF81" s="12"/>
      <c r="AJ81" s="12"/>
      <c r="AK81" s="12"/>
      <c r="AL81" s="12"/>
      <c r="AM81" s="12"/>
      <c r="AP81">
        <v>0</v>
      </c>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c r="DW81" s="12"/>
      <c r="DX81" s="12"/>
      <c r="DY81" s="12"/>
      <c r="DZ81" s="12"/>
      <c r="ED81" s="12"/>
      <c r="EE81" s="12"/>
      <c r="EF81" s="12"/>
      <c r="EG81" s="12"/>
      <c r="EK81" s="12"/>
      <c r="EL81" s="12"/>
      <c r="EM81" s="12"/>
      <c r="EN81" s="12"/>
      <c r="ER81" s="12"/>
      <c r="ES81" s="12"/>
      <c r="ET81" s="12"/>
      <c r="EU81" s="12"/>
      <c r="EY81" s="12"/>
      <c r="EZ81" s="12"/>
      <c r="FA81" s="12"/>
      <c r="FB81" s="12"/>
      <c r="FF81" s="12"/>
      <c r="FG81" s="12">
        <v>1</v>
      </c>
      <c r="FH81" s="12"/>
      <c r="FI81" s="12">
        <v>1</v>
      </c>
      <c r="FM81" s="12"/>
      <c r="FN81" s="12">
        <v>1</v>
      </c>
      <c r="FO81" s="12"/>
      <c r="FP81" s="12">
        <v>1</v>
      </c>
      <c r="FT81" s="12"/>
      <c r="FU81" s="12">
        <v>1</v>
      </c>
      <c r="FV81" s="12"/>
      <c r="FW81" s="12">
        <v>1</v>
      </c>
    </row>
    <row r="82" spans="2:179" ht="17" outlineLevel="1" thickBot="1" x14ac:dyDescent="0.25">
      <c r="B82" t="s">
        <v>28</v>
      </c>
      <c r="C82" t="s">
        <v>155</v>
      </c>
      <c r="E82" s="11"/>
      <c r="F82" t="s">
        <v>157</v>
      </c>
      <c r="G82" s="12">
        <v>0.05</v>
      </c>
      <c r="I82" s="11">
        <f t="shared" si="5"/>
        <v>0</v>
      </c>
      <c r="J82" s="13" cm="1">
        <f t="array" ref="J82">MAX(IF($N$3:$DV$3=$J$3,N82:DV82))</f>
        <v>0</v>
      </c>
      <c r="K82" s="13" cm="1">
        <f t="array" ref="K82">MAX(IF($N$3:$DV$3=$J$3,N82:DV82))</f>
        <v>0</v>
      </c>
      <c r="L82" s="11"/>
      <c r="O82" s="12"/>
      <c r="P82" s="12">
        <v>0.5</v>
      </c>
      <c r="Q82" s="12"/>
      <c r="R82" s="12"/>
      <c r="V82" s="28"/>
      <c r="W82" s="29">
        <v>0.8</v>
      </c>
      <c r="X82" s="12"/>
      <c r="Y82" s="12"/>
      <c r="AC82" s="28"/>
      <c r="AD82" s="29">
        <v>1</v>
      </c>
      <c r="AE82" s="12"/>
      <c r="AF82" s="12"/>
      <c r="AJ82" s="12"/>
      <c r="AK82" s="12"/>
      <c r="AL82" s="12"/>
      <c r="AM82" s="12"/>
      <c r="AP82">
        <v>0</v>
      </c>
      <c r="AQ82" s="12"/>
      <c r="AR82" s="12"/>
      <c r="AS82" s="12"/>
      <c r="AT82" s="12"/>
      <c r="AX82" s="12"/>
      <c r="AY82" s="12"/>
      <c r="AZ82" s="12"/>
      <c r="BA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c r="DW82" s="12"/>
      <c r="DX82" s="12"/>
      <c r="DY82" s="12"/>
      <c r="DZ82" s="12"/>
      <c r="ED82" s="12"/>
      <c r="EE82" s="12"/>
      <c r="EF82" s="12"/>
      <c r="EG82" s="12"/>
      <c r="EK82" s="12"/>
      <c r="EL82" s="12"/>
      <c r="EM82" s="12"/>
      <c r="EN82" s="12"/>
      <c r="ER82" s="12"/>
      <c r="ES82" s="12"/>
      <c r="ET82" s="12"/>
      <c r="EU82" s="12"/>
      <c r="EY82" s="12"/>
      <c r="EZ82" s="12"/>
      <c r="FA82" s="12"/>
      <c r="FB82" s="12"/>
      <c r="FF82" s="12"/>
      <c r="FG82" s="12">
        <v>1</v>
      </c>
      <c r="FH82" s="12"/>
      <c r="FI82" s="12">
        <v>1</v>
      </c>
      <c r="FM82" s="12"/>
      <c r="FN82" s="12">
        <v>1</v>
      </c>
      <c r="FO82" s="12"/>
      <c r="FP82" s="12">
        <v>1</v>
      </c>
      <c r="FT82" s="12"/>
      <c r="FU82" s="12">
        <v>1</v>
      </c>
      <c r="FV82" s="12"/>
      <c r="FW82" s="12">
        <v>1</v>
      </c>
    </row>
    <row r="83" spans="2:179" outlineLevel="1" x14ac:dyDescent="0.2">
      <c r="B83" t="s">
        <v>28</v>
      </c>
      <c r="C83" t="s">
        <v>155</v>
      </c>
      <c r="E83" s="11"/>
      <c r="F83" t="s">
        <v>158</v>
      </c>
      <c r="G83" s="12">
        <v>0.05</v>
      </c>
      <c r="I83" s="11">
        <f t="shared" si="5"/>
        <v>0</v>
      </c>
      <c r="J83" s="13" cm="1">
        <f t="array" ref="J83">MAX(IF($N$3:$DV$3=$J$3,N83:DV83))</f>
        <v>0</v>
      </c>
      <c r="K83" s="13" cm="1">
        <f t="array" ref="K83">MAX(IF($N$3:$DV$3=$J$3,N83:DV83))</f>
        <v>0</v>
      </c>
      <c r="L83" s="11"/>
      <c r="O83" s="12"/>
      <c r="P83" s="12"/>
      <c r="Q83" s="12"/>
      <c r="R83" s="12"/>
      <c r="V83" s="12"/>
      <c r="W83" s="12"/>
      <c r="X83" s="12"/>
      <c r="Y83" s="12"/>
      <c r="AC83" s="12"/>
      <c r="AD83" s="12">
        <v>0.5</v>
      </c>
      <c r="AE83" s="12"/>
      <c r="AF83" s="12"/>
      <c r="AJ83" s="12"/>
      <c r="AK83" s="12">
        <v>0.8</v>
      </c>
      <c r="AL83" s="12"/>
      <c r="AM83" s="12"/>
      <c r="AP83">
        <v>0</v>
      </c>
      <c r="AQ83" s="12"/>
      <c r="AR83" s="12">
        <v>1</v>
      </c>
      <c r="AS83" s="12"/>
      <c r="AT83" s="12"/>
      <c r="AX83" s="12"/>
      <c r="AY83" s="12"/>
      <c r="AZ83" s="12"/>
      <c r="BA83" s="12"/>
      <c r="BE83" s="12"/>
      <c r="BF83" s="12"/>
      <c r="BG83" s="12"/>
      <c r="BH83" s="12"/>
      <c r="BL83" s="12"/>
      <c r="BM83" s="12"/>
      <c r="BN83" s="12"/>
      <c r="BO83" s="12"/>
      <c r="BS83" s="12"/>
      <c r="BT83" s="12"/>
      <c r="BU83" s="12"/>
      <c r="BV83" s="12"/>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c r="DP83" s="12"/>
      <c r="DQ83" s="12"/>
      <c r="DR83" s="12"/>
      <c r="DS83" s="12"/>
      <c r="DW83" s="12"/>
      <c r="DX83" s="12"/>
      <c r="DY83" s="12"/>
      <c r="DZ83" s="12"/>
      <c r="ED83" s="12"/>
      <c r="EE83" s="12"/>
      <c r="EF83" s="12"/>
      <c r="EG83" s="12"/>
      <c r="EK83" s="12"/>
      <c r="EL83" s="12"/>
      <c r="EM83" s="12"/>
      <c r="EN83" s="12"/>
      <c r="ER83" s="12"/>
      <c r="ES83" s="12"/>
      <c r="ET83" s="12"/>
      <c r="EU83" s="12"/>
      <c r="EY83" s="12"/>
      <c r="EZ83" s="12"/>
      <c r="FA83" s="12"/>
      <c r="FB83" s="12"/>
      <c r="FF83" s="12"/>
      <c r="FG83" s="12">
        <v>1</v>
      </c>
      <c r="FH83" s="12"/>
      <c r="FI83" s="12">
        <v>1</v>
      </c>
      <c r="FM83" s="12"/>
      <c r="FN83" s="12">
        <v>1</v>
      </c>
      <c r="FO83" s="12"/>
      <c r="FP83" s="12">
        <v>1</v>
      </c>
      <c r="FT83" s="12"/>
      <c r="FU83" s="12">
        <v>1</v>
      </c>
      <c r="FV83" s="12"/>
      <c r="FW83" s="12">
        <v>1</v>
      </c>
    </row>
    <row r="84" spans="2:179" outlineLevel="1" x14ac:dyDescent="0.2">
      <c r="B84" t="s">
        <v>28</v>
      </c>
      <c r="C84" t="s">
        <v>155</v>
      </c>
      <c r="E84" s="11"/>
      <c r="F84" t="s">
        <v>159</v>
      </c>
      <c r="G84" s="12">
        <v>0.05</v>
      </c>
      <c r="I84" s="11">
        <f t="shared" si="5"/>
        <v>0</v>
      </c>
      <c r="J84" s="13" cm="1">
        <f t="array" ref="J84">MAX(IF($N$3:$DV$3=$J$3,N84:DV84))</f>
        <v>0</v>
      </c>
      <c r="K84" s="13" cm="1">
        <f t="array" ref="K84">MAX(IF($N$3:$DV$3=$J$3,N84:DV84))</f>
        <v>0</v>
      </c>
      <c r="L84" s="11"/>
      <c r="O84" s="12"/>
      <c r="P84" s="12"/>
      <c r="Q84" s="12"/>
      <c r="R84" s="12"/>
      <c r="V84" s="12"/>
      <c r="W84" s="12"/>
      <c r="X84" s="12"/>
      <c r="Y84" s="12"/>
      <c r="AC84" s="12"/>
      <c r="AD84" s="12"/>
      <c r="AE84" s="12"/>
      <c r="AF84" s="12"/>
      <c r="AJ84" s="12"/>
      <c r="AK84" s="12">
        <v>0.5</v>
      </c>
      <c r="AL84" s="12"/>
      <c r="AM84" s="12"/>
      <c r="AP84">
        <v>0</v>
      </c>
      <c r="AQ84" s="12"/>
      <c r="AR84" s="12">
        <v>0.8</v>
      </c>
      <c r="AS84" s="12"/>
      <c r="AT84" s="12"/>
      <c r="AX84" s="12"/>
      <c r="AY84" s="12">
        <v>1</v>
      </c>
      <c r="AZ84" s="12"/>
      <c r="BA84" s="12"/>
      <c r="BE84" s="12"/>
      <c r="BF84" s="12"/>
      <c r="BG84" s="12"/>
      <c r="BH84" s="12"/>
      <c r="BL84" s="12"/>
      <c r="BM84" s="12"/>
      <c r="BN84" s="12"/>
      <c r="BO84" s="12"/>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W84" s="12"/>
      <c r="DX84" s="12"/>
      <c r="DY84" s="12"/>
      <c r="DZ84" s="12"/>
      <c r="ED84" s="12"/>
      <c r="EE84" s="12"/>
      <c r="EF84" s="12"/>
      <c r="EG84" s="12"/>
      <c r="EK84" s="12"/>
      <c r="EL84" s="12"/>
      <c r="EM84" s="12"/>
      <c r="EN84" s="12"/>
      <c r="ER84" s="12"/>
      <c r="ES84" s="12"/>
      <c r="ET84" s="12"/>
      <c r="EU84" s="12"/>
      <c r="EY84" s="12"/>
      <c r="EZ84" s="12"/>
      <c r="FA84" s="12"/>
      <c r="FB84" s="12"/>
      <c r="FF84" s="12"/>
      <c r="FG84" s="12">
        <v>0.8</v>
      </c>
      <c r="FH84" s="12"/>
      <c r="FI84" s="12">
        <v>0.8</v>
      </c>
      <c r="FM84" s="12"/>
      <c r="FN84" s="12">
        <v>1</v>
      </c>
      <c r="FO84" s="12"/>
      <c r="FP84" s="12">
        <v>1</v>
      </c>
      <c r="FT84" s="12"/>
      <c r="FU84" s="12">
        <v>1</v>
      </c>
      <c r="FV84" s="12"/>
      <c r="FW84" s="12">
        <v>1</v>
      </c>
    </row>
    <row r="85" spans="2:179" outlineLevel="1" x14ac:dyDescent="0.2">
      <c r="B85" t="s">
        <v>28</v>
      </c>
      <c r="C85" t="s">
        <v>155</v>
      </c>
      <c r="E85" s="11"/>
      <c r="F85" t="s">
        <v>160</v>
      </c>
      <c r="G85" s="12">
        <v>0.05</v>
      </c>
      <c r="I85" s="11">
        <f t="shared" si="5"/>
        <v>0</v>
      </c>
      <c r="J85" s="13" cm="1">
        <f t="array" ref="J85">MAX(IF($N$3:$DV$3=$J$3,N85:DV85))</f>
        <v>0</v>
      </c>
      <c r="K85" s="13" cm="1">
        <f t="array" ref="K85">MAX(IF($N$3:$DV$3=$J$3,N85:DV85))</f>
        <v>0</v>
      </c>
      <c r="L85" s="11"/>
      <c r="O85" s="12"/>
      <c r="P85" s="12"/>
      <c r="Q85" s="12"/>
      <c r="R85" s="12"/>
      <c r="V85" s="12"/>
      <c r="W85" s="12"/>
      <c r="X85" s="12"/>
      <c r="Y85" s="12"/>
      <c r="AC85" s="12"/>
      <c r="AD85" s="12"/>
      <c r="AE85" s="12"/>
      <c r="AF85" s="12"/>
      <c r="AJ85" s="12"/>
      <c r="AK85" s="12"/>
      <c r="AL85" s="12"/>
      <c r="AM85" s="12"/>
      <c r="AP85">
        <v>0</v>
      </c>
      <c r="AQ85" s="12"/>
      <c r="AR85" s="12">
        <v>0.5</v>
      </c>
      <c r="AS85" s="12"/>
      <c r="AT85" s="12"/>
      <c r="AX85" s="12"/>
      <c r="AY85" s="12">
        <v>0.8</v>
      </c>
      <c r="AZ85" s="12"/>
      <c r="BA85" s="12"/>
      <c r="BE85" s="12"/>
      <c r="BF85" s="12">
        <v>1</v>
      </c>
      <c r="BG85" s="12"/>
      <c r="BH85" s="12"/>
      <c r="BL85" s="12"/>
      <c r="BM85" s="12">
        <v>1</v>
      </c>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W85" s="12"/>
      <c r="DX85" s="12"/>
      <c r="DY85" s="12"/>
      <c r="DZ85" s="12"/>
      <c r="ED85" s="12"/>
      <c r="EE85" s="12"/>
      <c r="EF85" s="12"/>
      <c r="EG85" s="12"/>
      <c r="EK85" s="12"/>
      <c r="EL85" s="12"/>
      <c r="EM85" s="12"/>
      <c r="EN85" s="12"/>
      <c r="ER85" s="12"/>
      <c r="ES85" s="12"/>
      <c r="ET85" s="12"/>
      <c r="EU85" s="12"/>
      <c r="EY85" s="12"/>
      <c r="EZ85" s="12"/>
      <c r="FA85" s="12"/>
      <c r="FB85" s="12"/>
      <c r="FF85" s="12"/>
      <c r="FG85" s="12">
        <v>0.8</v>
      </c>
      <c r="FH85" s="12"/>
      <c r="FI85" s="12">
        <v>0.8</v>
      </c>
      <c r="FM85" s="12"/>
      <c r="FN85" s="12">
        <v>1</v>
      </c>
      <c r="FO85" s="12"/>
      <c r="FP85" s="12">
        <v>1</v>
      </c>
      <c r="FT85" s="12"/>
      <c r="FU85" s="12">
        <v>1</v>
      </c>
      <c r="FV85" s="12"/>
      <c r="FW85" s="12">
        <v>1</v>
      </c>
    </row>
    <row r="86" spans="2:179" outlineLevel="1" x14ac:dyDescent="0.2">
      <c r="B86" t="s">
        <v>28</v>
      </c>
      <c r="C86" t="s">
        <v>155</v>
      </c>
      <c r="E86" s="11"/>
      <c r="F86" t="s">
        <v>161</v>
      </c>
      <c r="G86" s="12">
        <v>0.1</v>
      </c>
      <c r="I86" s="11">
        <f t="shared" si="5"/>
        <v>0</v>
      </c>
      <c r="J86" s="13" cm="1">
        <f t="array" ref="J86">MAX(IF($N$3:$DV$3=$J$3,N86:DV86))</f>
        <v>0</v>
      </c>
      <c r="K86" s="13" cm="1">
        <f t="array" ref="K86">MAX(IF($N$3:$DV$3=$J$3,N86:DV86))</f>
        <v>0</v>
      </c>
      <c r="L86" s="11"/>
      <c r="O86" s="12"/>
      <c r="P86" s="12"/>
      <c r="Q86" s="12"/>
      <c r="R86" s="12"/>
      <c r="V86" s="12"/>
      <c r="W86" s="12"/>
      <c r="X86" s="12"/>
      <c r="Y86" s="12"/>
      <c r="AC86" s="12"/>
      <c r="AD86" s="12"/>
      <c r="AE86" s="12"/>
      <c r="AF86" s="12"/>
      <c r="AJ86" s="12"/>
      <c r="AK86" s="12"/>
      <c r="AL86" s="12"/>
      <c r="AM86" s="12"/>
      <c r="AP86">
        <v>0</v>
      </c>
      <c r="AQ86" s="12"/>
      <c r="AR86" s="12"/>
      <c r="AS86" s="12"/>
      <c r="AT86" s="12"/>
      <c r="AX86" s="12"/>
      <c r="AY86" s="12">
        <v>0.5</v>
      </c>
      <c r="AZ86" s="12"/>
      <c r="BA86" s="12"/>
      <c r="BE86" s="12"/>
      <c r="BF86" s="12">
        <v>0.8</v>
      </c>
      <c r="BG86" s="12"/>
      <c r="BH86" s="12"/>
      <c r="BL86" s="12"/>
      <c r="BM86" s="12">
        <v>1</v>
      </c>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c r="DW86" s="12"/>
      <c r="DX86" s="12"/>
      <c r="DY86" s="12"/>
      <c r="DZ86" s="12"/>
      <c r="ED86" s="12"/>
      <c r="EE86" s="12"/>
      <c r="EF86" s="12"/>
      <c r="EG86" s="12"/>
      <c r="EK86" s="12"/>
      <c r="EL86" s="12"/>
      <c r="EM86" s="12"/>
      <c r="EN86" s="12"/>
      <c r="ER86" s="12"/>
      <c r="ES86" s="12"/>
      <c r="ET86" s="12"/>
      <c r="EU86" s="12"/>
      <c r="EY86" s="12"/>
      <c r="EZ86" s="12"/>
      <c r="FA86" s="12"/>
      <c r="FB86" s="12"/>
      <c r="FF86" s="12"/>
      <c r="FG86" s="12">
        <v>0.8</v>
      </c>
      <c r="FH86" s="12"/>
      <c r="FI86" s="12">
        <v>0.8</v>
      </c>
      <c r="FM86" s="12"/>
      <c r="FN86" s="12">
        <v>1</v>
      </c>
      <c r="FO86" s="12"/>
      <c r="FP86" s="12">
        <v>1</v>
      </c>
      <c r="FT86" s="12"/>
      <c r="FU86" s="12">
        <v>1</v>
      </c>
      <c r="FV86" s="12"/>
      <c r="FW86" s="12">
        <v>1</v>
      </c>
    </row>
    <row r="87" spans="2:179" outlineLevel="1" x14ac:dyDescent="0.2">
      <c r="B87" t="s">
        <v>28</v>
      </c>
      <c r="C87" t="s">
        <v>155</v>
      </c>
      <c r="E87" s="11"/>
      <c r="F87" t="s">
        <v>162</v>
      </c>
      <c r="G87" s="12">
        <v>0.1</v>
      </c>
      <c r="I87" s="11">
        <f t="shared" si="5"/>
        <v>0</v>
      </c>
      <c r="J87" s="13" cm="1">
        <f t="array" ref="J87">MAX(IF($N$3:$DV$3=$J$3,N87:DV87))</f>
        <v>0</v>
      </c>
      <c r="K87" s="13" cm="1">
        <f t="array" ref="K87">MAX(IF($N$3:$DV$3=$J$3,N87:DV87))</f>
        <v>0</v>
      </c>
      <c r="L87" s="11"/>
      <c r="O87" s="12"/>
      <c r="P87" s="12"/>
      <c r="Q87" s="12"/>
      <c r="R87" s="12"/>
      <c r="V87" s="12"/>
      <c r="W87" s="12"/>
      <c r="X87" s="12"/>
      <c r="Y87" s="12"/>
      <c r="AC87" s="12"/>
      <c r="AD87" s="12"/>
      <c r="AE87" s="12"/>
      <c r="AF87" s="12"/>
      <c r="AJ87" s="12"/>
      <c r="AK87" s="12"/>
      <c r="AL87" s="12"/>
      <c r="AM87" s="12"/>
      <c r="AP87">
        <v>0</v>
      </c>
      <c r="AQ87" s="12"/>
      <c r="AR87" s="12"/>
      <c r="AS87" s="12"/>
      <c r="AT87" s="12"/>
      <c r="AX87" s="12"/>
      <c r="AY87" s="12"/>
      <c r="AZ87" s="12"/>
      <c r="BA87" s="12"/>
      <c r="BE87" s="12"/>
      <c r="BF87" s="12">
        <v>0.5</v>
      </c>
      <c r="BG87" s="12"/>
      <c r="BH87" s="12"/>
      <c r="BL87" s="12"/>
      <c r="BM87" s="12">
        <v>0.8</v>
      </c>
      <c r="BN87" s="12"/>
      <c r="BO87" s="12"/>
      <c r="BS87" s="12"/>
      <c r="BT87" s="12">
        <v>1</v>
      </c>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c r="DW87" s="12"/>
      <c r="DX87" s="12"/>
      <c r="DY87" s="12"/>
      <c r="DZ87" s="12"/>
      <c r="ED87" s="12"/>
      <c r="EE87" s="12"/>
      <c r="EF87" s="12"/>
      <c r="EG87" s="12"/>
      <c r="EK87" s="12"/>
      <c r="EL87" s="12"/>
      <c r="EM87" s="12"/>
      <c r="EN87" s="12"/>
      <c r="ER87" s="12"/>
      <c r="ES87" s="12"/>
      <c r="ET87" s="12"/>
      <c r="EU87" s="12"/>
      <c r="EY87" s="12"/>
      <c r="EZ87" s="12"/>
      <c r="FA87" s="12"/>
      <c r="FB87" s="12"/>
      <c r="FF87" s="12"/>
      <c r="FG87" s="12">
        <v>0.8</v>
      </c>
      <c r="FH87" s="12"/>
      <c r="FI87" s="12">
        <v>0.8</v>
      </c>
      <c r="FM87" s="12"/>
      <c r="FN87" s="12">
        <v>1</v>
      </c>
      <c r="FO87" s="12"/>
      <c r="FP87" s="12">
        <v>1</v>
      </c>
      <c r="FT87" s="12"/>
      <c r="FU87" s="12">
        <v>1</v>
      </c>
      <c r="FV87" s="12"/>
      <c r="FW87" s="12">
        <v>1</v>
      </c>
    </row>
    <row r="88" spans="2:179" outlineLevel="1" x14ac:dyDescent="0.2">
      <c r="B88" t="s">
        <v>28</v>
      </c>
      <c r="C88" t="s">
        <v>155</v>
      </c>
      <c r="E88" s="11"/>
      <c r="F88" t="s">
        <v>163</v>
      </c>
      <c r="G88" s="12">
        <v>0.1</v>
      </c>
      <c r="I88" s="11">
        <f t="shared" si="5"/>
        <v>0</v>
      </c>
      <c r="J88" s="13" cm="1">
        <f t="array" ref="J88">MAX(IF($N$3:$DV$3=$J$3,N88:DV88))</f>
        <v>0</v>
      </c>
      <c r="K88" s="13" cm="1">
        <f t="array" ref="K88">MAX(IF($N$3:$DV$3=$J$3,N88:DV88))</f>
        <v>0</v>
      </c>
      <c r="L88" s="11"/>
      <c r="O88" s="12"/>
      <c r="P88" s="12"/>
      <c r="Q88" s="12"/>
      <c r="R88" s="12"/>
      <c r="V88" s="12"/>
      <c r="W88" s="12"/>
      <c r="X88" s="12"/>
      <c r="Y88" s="12"/>
      <c r="AC88" s="12"/>
      <c r="AD88" s="12"/>
      <c r="AE88" s="12"/>
      <c r="AF88" s="12"/>
      <c r="AJ88" s="12"/>
      <c r="AK88" s="12"/>
      <c r="AL88" s="12"/>
      <c r="AM88" s="12"/>
      <c r="AP88">
        <v>0</v>
      </c>
      <c r="AQ88" s="12"/>
      <c r="AR88" s="12"/>
      <c r="AS88" s="12"/>
      <c r="AT88" s="12"/>
      <c r="AX88" s="12"/>
      <c r="AY88" s="12"/>
      <c r="AZ88" s="12"/>
      <c r="BA88" s="12"/>
      <c r="BE88" s="12"/>
      <c r="BF88" s="12"/>
      <c r="BG88" s="12"/>
      <c r="BH88" s="12"/>
      <c r="BL88" s="12"/>
      <c r="BM88" s="12"/>
      <c r="BN88" s="12"/>
      <c r="BO88" s="12"/>
      <c r="BS88" s="12"/>
      <c r="BT88" s="12"/>
      <c r="BU88" s="12"/>
      <c r="BV88" s="12"/>
      <c r="BZ88" s="12"/>
      <c r="CA88" s="12">
        <v>0.5</v>
      </c>
      <c r="CB88" s="12"/>
      <c r="CC88" s="12"/>
      <c r="CG88" s="12"/>
      <c r="CH88" s="12">
        <v>0.8</v>
      </c>
      <c r="CI88" s="12"/>
      <c r="CJ88" s="12"/>
      <c r="CN88" s="12"/>
      <c r="CO88" s="12">
        <v>1</v>
      </c>
      <c r="CP88" s="12"/>
      <c r="CQ88" s="12"/>
      <c r="CU88" s="12"/>
      <c r="CV88" s="12"/>
      <c r="CW88" s="12"/>
      <c r="CX88" s="12"/>
      <c r="DB88" s="12"/>
      <c r="DC88" s="12"/>
      <c r="DD88" s="12"/>
      <c r="DE88" s="12"/>
      <c r="DI88" s="12"/>
      <c r="DJ88" s="12"/>
      <c r="DK88" s="12"/>
      <c r="DL88" s="12"/>
      <c r="DP88" s="12"/>
      <c r="DQ88" s="12"/>
      <c r="DR88" s="12"/>
      <c r="DS88" s="12"/>
      <c r="DW88" s="12"/>
      <c r="DX88" s="12"/>
      <c r="DY88" s="12"/>
      <c r="DZ88" s="12"/>
      <c r="ED88" s="12"/>
      <c r="EE88" s="12"/>
      <c r="EF88" s="12"/>
      <c r="EG88" s="12"/>
      <c r="EK88" s="12"/>
      <c r="EL88" s="12"/>
      <c r="EM88" s="12"/>
      <c r="EN88" s="12"/>
      <c r="ER88" s="12"/>
      <c r="ES88" s="12"/>
      <c r="ET88" s="12"/>
      <c r="EU88" s="12"/>
      <c r="EY88" s="12"/>
      <c r="EZ88" s="12"/>
      <c r="FA88" s="12"/>
      <c r="FB88" s="12"/>
      <c r="FF88" s="12"/>
      <c r="FG88" s="12">
        <v>0.8</v>
      </c>
      <c r="FH88" s="12"/>
      <c r="FI88" s="12">
        <v>0.8</v>
      </c>
      <c r="FM88" s="12"/>
      <c r="FN88" s="12">
        <v>1</v>
      </c>
      <c r="FO88" s="12"/>
      <c r="FP88" s="12">
        <v>1</v>
      </c>
      <c r="FT88" s="12"/>
      <c r="FU88" s="12">
        <v>1</v>
      </c>
      <c r="FV88" s="12"/>
      <c r="FW88" s="12">
        <v>1</v>
      </c>
    </row>
    <row r="89" spans="2:179" outlineLevel="1" x14ac:dyDescent="0.2">
      <c r="B89" t="s">
        <v>28</v>
      </c>
      <c r="C89" t="s">
        <v>155</v>
      </c>
      <c r="E89" s="11"/>
      <c r="F89" t="s">
        <v>164</v>
      </c>
      <c r="G89" s="12">
        <v>0.1</v>
      </c>
      <c r="I89" s="11">
        <f t="shared" si="5"/>
        <v>0</v>
      </c>
      <c r="J89" s="13" cm="1">
        <f t="array" ref="J89">MAX(IF($N$3:$DV$3=$J$3,N89:DV89))</f>
        <v>0</v>
      </c>
      <c r="K89" s="13" cm="1">
        <f t="array" ref="K89">MAX(IF($N$3:$DV$3=$J$3,N89:DV89))</f>
        <v>0</v>
      </c>
      <c r="L89" s="11"/>
      <c r="O89" s="12"/>
      <c r="P89" s="12"/>
      <c r="Q89" s="12"/>
      <c r="R89" s="12"/>
      <c r="V89" s="12"/>
      <c r="W89" s="12"/>
      <c r="X89" s="12"/>
      <c r="Y89" s="12"/>
      <c r="AC89" s="12"/>
      <c r="AD89" s="12"/>
      <c r="AE89" s="12"/>
      <c r="AF89" s="12"/>
      <c r="AJ89" s="12"/>
      <c r="AK89" s="12"/>
      <c r="AL89" s="12"/>
      <c r="AM89" s="12"/>
      <c r="AP89">
        <v>0</v>
      </c>
      <c r="AQ89" s="12"/>
      <c r="AR89" s="12"/>
      <c r="AS89" s="12"/>
      <c r="AT89" s="12"/>
      <c r="AX89" s="12"/>
      <c r="AY89" s="12"/>
      <c r="AZ89" s="12"/>
      <c r="BA89" s="12"/>
      <c r="BE89" s="12"/>
      <c r="BF89" s="12"/>
      <c r="BG89" s="12"/>
      <c r="BH89" s="12"/>
      <c r="BL89" s="12"/>
      <c r="BM89" s="12"/>
      <c r="BN89" s="12"/>
      <c r="BO89" s="12"/>
      <c r="BS89" s="12"/>
      <c r="BT89" s="12"/>
      <c r="BU89" s="12"/>
      <c r="BV89" s="12"/>
      <c r="BZ89" s="12"/>
      <c r="CA89" s="12">
        <v>0.5</v>
      </c>
      <c r="CB89" s="12"/>
      <c r="CC89" s="12"/>
      <c r="CG89" s="12"/>
      <c r="CH89" s="12">
        <v>0.8</v>
      </c>
      <c r="CI89" s="12"/>
      <c r="CJ89" s="12"/>
      <c r="CN89" s="12"/>
      <c r="CO89" s="12">
        <v>1</v>
      </c>
      <c r="CP89" s="12"/>
      <c r="CQ89" s="12"/>
      <c r="CU89" s="12"/>
      <c r="CV89" s="12"/>
      <c r="CW89" s="12"/>
      <c r="CX89" s="12"/>
      <c r="DB89" s="12"/>
      <c r="DC89" s="12"/>
      <c r="DD89" s="12"/>
      <c r="DE89" s="12"/>
      <c r="DI89" s="12"/>
      <c r="DJ89" s="12"/>
      <c r="DK89" s="12"/>
      <c r="DL89" s="12"/>
      <c r="DP89" s="12"/>
      <c r="DQ89" s="12"/>
      <c r="DR89" s="12"/>
      <c r="DS89" s="12"/>
      <c r="DW89" s="12"/>
      <c r="DX89" s="12"/>
      <c r="DY89" s="12"/>
      <c r="DZ89" s="12"/>
      <c r="ED89" s="12"/>
      <c r="EE89" s="12"/>
      <c r="EF89" s="12"/>
      <c r="EG89" s="12"/>
      <c r="EK89" s="12"/>
      <c r="EL89" s="12"/>
      <c r="EM89" s="12"/>
      <c r="EN89" s="12"/>
      <c r="ER89" s="12"/>
      <c r="ES89" s="12"/>
      <c r="ET89" s="12"/>
      <c r="EU89" s="12"/>
      <c r="EY89" s="12"/>
      <c r="EZ89" s="12"/>
      <c r="FA89" s="12"/>
      <c r="FB89" s="12"/>
      <c r="FF89" s="12"/>
      <c r="FG89" s="12">
        <v>0.8</v>
      </c>
      <c r="FH89" s="12"/>
      <c r="FI89" s="12">
        <v>0.8</v>
      </c>
      <c r="FM89" s="12"/>
      <c r="FN89" s="12">
        <v>1</v>
      </c>
      <c r="FO89" s="12"/>
      <c r="FP89" s="12">
        <v>1</v>
      </c>
      <c r="FT89" s="12"/>
      <c r="FU89" s="12">
        <v>1</v>
      </c>
      <c r="FV89" s="12"/>
      <c r="FW89" s="12">
        <v>1</v>
      </c>
    </row>
    <row r="90" spans="2:179" outlineLevel="1" x14ac:dyDescent="0.2">
      <c r="B90" t="s">
        <v>28</v>
      </c>
      <c r="C90" t="s">
        <v>155</v>
      </c>
      <c r="E90" s="11"/>
      <c r="F90" t="s">
        <v>165</v>
      </c>
      <c r="G90" s="12">
        <v>0.1</v>
      </c>
      <c r="I90" s="11">
        <f t="shared" si="5"/>
        <v>0</v>
      </c>
      <c r="J90" s="13" cm="1">
        <f t="array" ref="J90">MAX(IF($N$3:$DV$3=$J$3,N90:DV90))</f>
        <v>0</v>
      </c>
      <c r="K90" s="13" cm="1">
        <f t="array" ref="K90">MAX(IF($N$3:$DV$3=$J$3,N90:DV90))</f>
        <v>0</v>
      </c>
      <c r="L90" s="11"/>
      <c r="O90" s="12"/>
      <c r="P90" s="12"/>
      <c r="Q90" s="12"/>
      <c r="R90" s="12"/>
      <c r="V90" s="12"/>
      <c r="W90" s="12"/>
      <c r="X90" s="12"/>
      <c r="Y90" s="12"/>
      <c r="AC90" s="12"/>
      <c r="AD90" s="12"/>
      <c r="AE90" s="12"/>
      <c r="AF90" s="12"/>
      <c r="AJ90" s="12"/>
      <c r="AK90" s="12"/>
      <c r="AL90" s="12"/>
      <c r="AM90" s="12"/>
      <c r="AP90">
        <v>0</v>
      </c>
      <c r="AQ90" s="12"/>
      <c r="AR90" s="12"/>
      <c r="AS90" s="12"/>
      <c r="AT90" s="12"/>
      <c r="AX90" s="12"/>
      <c r="AY90" s="12"/>
      <c r="AZ90" s="12"/>
      <c r="BA90" s="12"/>
      <c r="BE90" s="12"/>
      <c r="BF90" s="12"/>
      <c r="BG90" s="12"/>
      <c r="BH90" s="12"/>
      <c r="BL90" s="12"/>
      <c r="BM90" s="12"/>
      <c r="BN90" s="12"/>
      <c r="BO90" s="12"/>
      <c r="BS90" s="12"/>
      <c r="BT90" s="12"/>
      <c r="BU90" s="12"/>
      <c r="BV90" s="12"/>
      <c r="BZ90" s="12"/>
      <c r="CA90" s="12">
        <v>0.5</v>
      </c>
      <c r="CB90" s="12"/>
      <c r="CC90" s="12"/>
      <c r="CG90" s="12"/>
      <c r="CH90" s="12">
        <v>0.8</v>
      </c>
      <c r="CI90" s="12"/>
      <c r="CJ90" s="12"/>
      <c r="CN90" s="12"/>
      <c r="CO90" s="12">
        <v>1</v>
      </c>
      <c r="CP90" s="12"/>
      <c r="CQ90" s="12"/>
      <c r="CU90" s="12"/>
      <c r="CV90" s="12"/>
      <c r="CW90" s="12"/>
      <c r="CX90" s="12"/>
      <c r="DB90" s="12"/>
      <c r="DC90" s="12"/>
      <c r="DD90" s="12"/>
      <c r="DE90" s="12"/>
      <c r="DI90" s="12"/>
      <c r="DJ90" s="12"/>
      <c r="DK90" s="12"/>
      <c r="DL90" s="12"/>
      <c r="DP90" s="12"/>
      <c r="DQ90" s="12"/>
      <c r="DR90" s="12"/>
      <c r="DS90" s="12"/>
      <c r="DW90" s="12"/>
      <c r="DX90" s="12"/>
      <c r="DY90" s="12"/>
      <c r="DZ90" s="12"/>
      <c r="ED90" s="12"/>
      <c r="EE90" s="12"/>
      <c r="EF90" s="12"/>
      <c r="EG90" s="12"/>
      <c r="EK90" s="12"/>
      <c r="EL90" s="12"/>
      <c r="EM90" s="12"/>
      <c r="EN90" s="12"/>
      <c r="ER90" s="12"/>
      <c r="ES90" s="12"/>
      <c r="ET90" s="12"/>
      <c r="EU90" s="12"/>
      <c r="EY90" s="12"/>
      <c r="EZ90" s="12"/>
      <c r="FA90" s="12"/>
      <c r="FB90" s="12"/>
      <c r="FF90" s="12"/>
      <c r="FG90" s="12">
        <v>0.8</v>
      </c>
      <c r="FH90" s="12"/>
      <c r="FI90" s="12">
        <v>0.8</v>
      </c>
      <c r="FM90" s="12"/>
      <c r="FN90" s="12">
        <v>1</v>
      </c>
      <c r="FO90" s="12"/>
      <c r="FP90" s="12">
        <v>1</v>
      </c>
      <c r="FT90" s="12"/>
      <c r="FU90" s="12">
        <v>1</v>
      </c>
      <c r="FV90" s="12"/>
      <c r="FW90" s="12">
        <v>1</v>
      </c>
    </row>
    <row r="91" spans="2:179" outlineLevel="1" x14ac:dyDescent="0.2">
      <c r="B91" t="s">
        <v>28</v>
      </c>
      <c r="C91" t="s">
        <v>155</v>
      </c>
      <c r="E91" s="11"/>
      <c r="F91" t="s">
        <v>31</v>
      </c>
      <c r="G91" s="12">
        <v>0.1</v>
      </c>
      <c r="I91" s="11">
        <f t="shared" si="5"/>
        <v>0</v>
      </c>
      <c r="J91" s="13" cm="1">
        <f t="array" ref="J91">MAX(IF($N$3:$DV$3=$J$3,N91:DV91))</f>
        <v>0</v>
      </c>
      <c r="K91" s="13" cm="1">
        <f t="array" ref="K91">MAX(IF($N$3:$DV$3=$J$3,N91:DV91))</f>
        <v>0</v>
      </c>
      <c r="L91" s="11"/>
      <c r="O91" s="12"/>
      <c r="P91" s="12"/>
      <c r="Q91" s="12"/>
      <c r="R91" s="12"/>
      <c r="V91" s="12"/>
      <c r="W91" s="12"/>
      <c r="X91" s="12"/>
      <c r="Y91" s="12"/>
      <c r="AC91" s="12"/>
      <c r="AD91" s="12"/>
      <c r="AE91" s="12"/>
      <c r="AF91" s="12"/>
      <c r="AJ91" s="12"/>
      <c r="AK91" s="12"/>
      <c r="AL91" s="12"/>
      <c r="AM91" s="12"/>
      <c r="AP91">
        <v>0</v>
      </c>
      <c r="AQ91" s="12"/>
      <c r="AR91" s="12"/>
      <c r="AS91" s="12"/>
      <c r="AT91" s="12"/>
      <c r="AX91" s="12"/>
      <c r="AY91" s="12"/>
      <c r="AZ91" s="12"/>
      <c r="BA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v>0.5</v>
      </c>
      <c r="CW91" s="12"/>
      <c r="CX91" s="12"/>
      <c r="DB91" s="12"/>
      <c r="DC91" s="12">
        <v>0.8</v>
      </c>
      <c r="DD91" s="12"/>
      <c r="DE91" s="12"/>
      <c r="DI91" s="12"/>
      <c r="DJ91" s="12">
        <v>1</v>
      </c>
      <c r="DK91" s="12"/>
      <c r="DL91" s="12"/>
      <c r="DP91" s="12"/>
      <c r="DQ91" s="12"/>
      <c r="DR91" s="12"/>
      <c r="DS91" s="12"/>
      <c r="DW91" s="12"/>
      <c r="DX91" s="12"/>
      <c r="DY91" s="12"/>
      <c r="DZ91" s="12"/>
      <c r="ED91" s="12"/>
      <c r="EE91" s="12"/>
      <c r="EF91" s="12"/>
      <c r="EG91" s="12"/>
      <c r="EK91" s="12"/>
      <c r="EL91" s="12"/>
      <c r="EM91" s="12"/>
      <c r="EN91" s="12"/>
      <c r="ER91" s="12"/>
      <c r="ES91" s="12"/>
      <c r="ET91" s="12"/>
      <c r="EU91" s="12"/>
      <c r="EY91" s="12"/>
      <c r="EZ91" s="12"/>
      <c r="FA91" s="12"/>
      <c r="FB91" s="12"/>
      <c r="FF91" s="12"/>
      <c r="FG91" s="12">
        <v>0.8</v>
      </c>
      <c r="FH91" s="12"/>
      <c r="FI91" s="12">
        <v>0.8</v>
      </c>
      <c r="FM91" s="12"/>
      <c r="FN91" s="12">
        <v>1</v>
      </c>
      <c r="FO91" s="12"/>
      <c r="FP91" s="12">
        <v>1</v>
      </c>
      <c r="FT91" s="12"/>
      <c r="FU91" s="12">
        <v>1</v>
      </c>
      <c r="FV91" s="12"/>
      <c r="FW91" s="12">
        <v>1</v>
      </c>
    </row>
    <row r="92" spans="2:179" outlineLevel="1" x14ac:dyDescent="0.2">
      <c r="B92" t="s">
        <v>28</v>
      </c>
      <c r="C92" t="s">
        <v>155</v>
      </c>
      <c r="E92" s="11"/>
      <c r="F92" t="s">
        <v>32</v>
      </c>
      <c r="G92" s="12">
        <v>0.1</v>
      </c>
      <c r="I92" s="11">
        <f t="shared" si="5"/>
        <v>0</v>
      </c>
      <c r="J92" s="13" cm="1">
        <f t="array" ref="J92">MAX(IF($N$3:$DV$3=$J$3,N92:DV92))</f>
        <v>0</v>
      </c>
      <c r="K92" s="13" cm="1">
        <f t="array" ref="K92">MAX(IF($N$3:$DV$3=$J$3,N92:DV92))</f>
        <v>0</v>
      </c>
      <c r="L92" s="11"/>
      <c r="O92" s="12"/>
      <c r="P92" s="12"/>
      <c r="Q92" s="12"/>
      <c r="R92" s="12"/>
      <c r="V92" s="12"/>
      <c r="W92" s="12"/>
      <c r="X92" s="12"/>
      <c r="Y92" s="12"/>
      <c r="AC92" s="12"/>
      <c r="AD92" s="12"/>
      <c r="AE92" s="12"/>
      <c r="AF92" s="12"/>
      <c r="AJ92" s="12"/>
      <c r="AK92" s="12"/>
      <c r="AL92" s="12"/>
      <c r="AM92" s="12"/>
      <c r="AP92">
        <v>0</v>
      </c>
      <c r="AQ92" s="12"/>
      <c r="AR92" s="12"/>
      <c r="AS92" s="12"/>
      <c r="AT92" s="12"/>
      <c r="AX92" s="12"/>
      <c r="AY92" s="12"/>
      <c r="AZ92" s="12"/>
      <c r="BA92" s="12"/>
      <c r="BE92" s="12"/>
      <c r="BF92" s="12"/>
      <c r="BG92" s="12"/>
      <c r="BH92" s="12"/>
      <c r="BL92" s="12"/>
      <c r="BM92" s="12"/>
      <c r="BN92" s="12"/>
      <c r="BO92" s="12"/>
      <c r="BS92" s="12"/>
      <c r="BT92" s="12"/>
      <c r="BU92" s="12"/>
      <c r="BV92" s="12"/>
      <c r="BZ92" s="12"/>
      <c r="CA92" s="12"/>
      <c r="CB92" s="12"/>
      <c r="CC92" s="12"/>
      <c r="CG92" s="12"/>
      <c r="CH92" s="12"/>
      <c r="CI92" s="12"/>
      <c r="CJ92" s="12"/>
      <c r="CN92" s="12"/>
      <c r="CO92" s="12"/>
      <c r="CP92" s="12"/>
      <c r="CQ92" s="12"/>
      <c r="CU92" s="12"/>
      <c r="CV92" s="12"/>
      <c r="CW92" s="12"/>
      <c r="CX92" s="12"/>
      <c r="DB92" s="12"/>
      <c r="DC92" s="12"/>
      <c r="DD92" s="12"/>
      <c r="DE92" s="12"/>
      <c r="DI92" s="12"/>
      <c r="DJ92" s="12"/>
      <c r="DK92" s="12"/>
      <c r="DL92" s="12"/>
      <c r="DP92" s="12"/>
      <c r="DQ92" s="12"/>
      <c r="DR92" s="12"/>
      <c r="DS92" s="12"/>
      <c r="DW92" s="12"/>
      <c r="DX92" s="12"/>
      <c r="DY92" s="12"/>
      <c r="DZ92" s="12"/>
      <c r="ED92" s="12"/>
      <c r="EE92" s="12"/>
      <c r="EF92" s="12"/>
      <c r="EG92" s="12"/>
      <c r="EK92" s="12"/>
      <c r="EL92" s="12"/>
      <c r="EM92" s="12"/>
      <c r="EN92" s="12"/>
      <c r="ER92" s="12"/>
      <c r="ES92" s="12"/>
      <c r="ET92" s="12"/>
      <c r="EU92" s="12"/>
      <c r="EY92" s="12"/>
      <c r="EZ92" s="12"/>
      <c r="FA92" s="12"/>
      <c r="FB92" s="12"/>
      <c r="FF92" s="12"/>
      <c r="FG92" s="12">
        <v>0.8</v>
      </c>
      <c r="FH92" s="12"/>
      <c r="FI92" s="12">
        <v>0.8</v>
      </c>
      <c r="FM92" s="12"/>
      <c r="FN92" s="12">
        <v>1</v>
      </c>
      <c r="FO92" s="12"/>
      <c r="FP92" s="12">
        <v>1</v>
      </c>
      <c r="FT92" s="12"/>
      <c r="FU92" s="12">
        <v>1</v>
      </c>
      <c r="FV92" s="12"/>
      <c r="FW92" s="12">
        <v>1</v>
      </c>
    </row>
    <row r="93" spans="2:179" outlineLevel="1" x14ac:dyDescent="0.2">
      <c r="E93" s="11"/>
      <c r="G93" s="12"/>
      <c r="I93" s="11"/>
      <c r="J93" s="13"/>
      <c r="K93" s="13"/>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L93" s="12"/>
      <c r="BM93" s="12"/>
      <c r="BN93" s="12"/>
      <c r="BO93" s="12"/>
      <c r="BS93" s="12"/>
      <c r="BT93" s="12"/>
      <c r="BU93" s="12"/>
      <c r="BV93" s="12"/>
      <c r="BZ93" s="12"/>
      <c r="CA93" s="12"/>
      <c r="CB93" s="12"/>
      <c r="CC93" s="12"/>
      <c r="CG93" s="12"/>
      <c r="CH93" s="12"/>
      <c r="CI93" s="12"/>
      <c r="CJ93" s="12"/>
      <c r="CN93" s="12"/>
      <c r="CO93" s="12"/>
      <c r="CP93" s="12"/>
      <c r="CQ93" s="12"/>
      <c r="CU93" s="12"/>
      <c r="CV93" s="12"/>
      <c r="CW93" s="12"/>
      <c r="CX93" s="12"/>
      <c r="DB93" s="12"/>
      <c r="DC93" s="12"/>
      <c r="DD93" s="12"/>
      <c r="DE93" s="12"/>
      <c r="DI93" s="12"/>
      <c r="DJ93" s="12"/>
      <c r="DK93" s="12"/>
      <c r="DL93" s="12"/>
      <c r="DP93" s="12"/>
      <c r="DQ93" s="12"/>
      <c r="DR93" s="12"/>
      <c r="DS93" s="12"/>
      <c r="DW93" s="12"/>
      <c r="DX93" s="12"/>
      <c r="DY93" s="12"/>
      <c r="DZ93" s="12"/>
      <c r="ED93" s="12"/>
      <c r="EE93" s="12"/>
      <c r="EF93" s="12"/>
      <c r="EG93" s="12"/>
      <c r="EK93" s="12"/>
      <c r="EL93" s="12"/>
      <c r="EM93" s="12"/>
      <c r="EN93" s="12"/>
      <c r="ER93" s="12"/>
      <c r="ES93" s="12"/>
      <c r="ET93" s="12"/>
      <c r="EU93" s="12"/>
      <c r="EY93" s="12"/>
      <c r="EZ93" s="12"/>
      <c r="FA93" s="12"/>
      <c r="FB93" s="12"/>
      <c r="FF93" s="12"/>
      <c r="FG93" s="12"/>
      <c r="FH93" s="12"/>
      <c r="FI93" s="12"/>
      <c r="FM93" s="12"/>
      <c r="FN93" s="12"/>
      <c r="FO93" s="12"/>
      <c r="FP93" s="12"/>
      <c r="FT93" s="12"/>
      <c r="FU93" s="12"/>
      <c r="FV93" s="12"/>
      <c r="FW93" s="12"/>
    </row>
    <row r="94" spans="2:179" x14ac:dyDescent="0.2">
      <c r="B94" s="3"/>
      <c r="C94" s="3"/>
      <c r="FN94" s="12">
        <v>1</v>
      </c>
    </row>
    <row r="95" spans="2:179" x14ac:dyDescent="0.2">
      <c r="G95" s="12"/>
      <c r="I95" s="11"/>
      <c r="J95" s="13"/>
      <c r="K95" s="13"/>
    </row>
    <row r="96" spans="2:179" x14ac:dyDescent="0.2">
      <c r="F96">
        <f>(11*3)/22</f>
        <v>1.5</v>
      </c>
      <c r="G96" s="12"/>
      <c r="I96" s="11"/>
      <c r="J96" s="13"/>
      <c r="K96" s="13"/>
    </row>
    <row r="97" spans="2:179" ht="12.75" customHeight="1" outlineLevel="1" x14ac:dyDescent="0.2">
      <c r="B97" t="s">
        <v>28</v>
      </c>
      <c r="C97" t="s">
        <v>191</v>
      </c>
      <c r="E97" s="11"/>
      <c r="F97" t="s">
        <v>192</v>
      </c>
      <c r="G97" s="12">
        <v>0.1</v>
      </c>
      <c r="I97" s="11">
        <f t="shared" ref="I97:I108" si="6">+SUMIF($N$3:$WV$3,I$3,$N97:$WV97)</f>
        <v>0</v>
      </c>
      <c r="J97" s="13" cm="1">
        <f t="array" ref="J97">MAX(IF($N$3:$DV$3=$J$3,N97:DV97))</f>
        <v>0</v>
      </c>
      <c r="K97" s="13" cm="1">
        <f t="array" ref="K97">MAX(IF($N$3:$DV$3=$J$3,N97:DV97))</f>
        <v>0</v>
      </c>
      <c r="L97" s="11"/>
      <c r="O97" s="12"/>
      <c r="P97" s="12"/>
      <c r="Q97" s="12"/>
      <c r="R97" s="12"/>
      <c r="U97">
        <v>0</v>
      </c>
      <c r="V97" s="12"/>
      <c r="W97" s="12">
        <v>0.5</v>
      </c>
      <c r="X97" s="12"/>
      <c r="Y97" s="12"/>
      <c r="AC97" s="12"/>
      <c r="AD97" s="12">
        <v>0.5</v>
      </c>
      <c r="AE97" s="12"/>
      <c r="AF97" s="12"/>
      <c r="AJ97" s="12"/>
      <c r="AK97" s="12">
        <v>0.8</v>
      </c>
      <c r="AL97" s="12"/>
      <c r="AM97" s="12"/>
      <c r="AP97">
        <v>0</v>
      </c>
      <c r="AQ97" s="12"/>
      <c r="AR97" s="12">
        <v>1</v>
      </c>
      <c r="AS97" s="12"/>
      <c r="AT97" s="12"/>
      <c r="AX97" s="12"/>
      <c r="AY97" s="12"/>
      <c r="AZ97" s="12"/>
      <c r="BA97" s="12"/>
      <c r="BE97" s="12"/>
      <c r="BF97" s="12"/>
      <c r="BG97" s="12"/>
      <c r="BH97" s="12"/>
      <c r="BL97" s="12"/>
      <c r="BM97" s="12"/>
      <c r="BN97" s="12"/>
      <c r="BO97" s="12"/>
      <c r="BS97" s="12"/>
      <c r="BT97" s="12"/>
      <c r="BU97" s="12"/>
      <c r="BV97" s="12"/>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c r="DW97" s="12"/>
      <c r="DX97" s="12"/>
      <c r="DY97" s="12"/>
      <c r="DZ97" s="12"/>
      <c r="ED97" s="12"/>
      <c r="EE97" s="12"/>
      <c r="EF97" s="12"/>
      <c r="EG97" s="12"/>
      <c r="EK97" s="12"/>
      <c r="EL97" s="12"/>
      <c r="EM97" s="12"/>
      <c r="EN97" s="12"/>
      <c r="ER97" s="12"/>
      <c r="ES97" s="12"/>
      <c r="ET97" s="12"/>
      <c r="EU97" s="12"/>
      <c r="EY97" s="12"/>
      <c r="EZ97" s="12"/>
      <c r="FA97" s="12"/>
      <c r="FB97" s="12"/>
      <c r="FF97" s="12"/>
      <c r="FG97" s="12">
        <v>1</v>
      </c>
      <c r="FH97" s="12"/>
      <c r="FI97" s="12">
        <v>1</v>
      </c>
      <c r="FM97" s="12"/>
      <c r="FN97" s="12">
        <v>1</v>
      </c>
      <c r="FO97" s="12"/>
      <c r="FP97" s="12">
        <v>1</v>
      </c>
      <c r="FT97" s="12"/>
      <c r="FU97" s="12">
        <v>1</v>
      </c>
      <c r="FV97" s="12"/>
      <c r="FW97" s="12">
        <v>1</v>
      </c>
    </row>
    <row r="98" spans="2:179" outlineLevel="1" x14ac:dyDescent="0.2">
      <c r="B98" t="s">
        <v>28</v>
      </c>
      <c r="C98" t="s">
        <v>191</v>
      </c>
      <c r="E98" s="11"/>
      <c r="F98" t="s">
        <v>193</v>
      </c>
      <c r="G98" s="12">
        <v>0.05</v>
      </c>
      <c r="I98" s="11">
        <f t="shared" si="6"/>
        <v>0</v>
      </c>
      <c r="J98" s="13" cm="1">
        <f t="array" ref="J98">MAX(IF($N$3:$DV$3=$J$3,N98:DV98))</f>
        <v>0</v>
      </c>
      <c r="K98" s="13" cm="1">
        <f t="array" ref="K98">MAX(IF($N$3:$DV$3=$J$3,N98:DV98))</f>
        <v>0</v>
      </c>
      <c r="L98" s="11"/>
      <c r="O98" s="12"/>
      <c r="P98" s="12"/>
      <c r="Q98" s="12"/>
      <c r="R98" s="12"/>
      <c r="V98" s="12"/>
      <c r="W98" s="12">
        <v>0.5</v>
      </c>
      <c r="X98" s="12"/>
      <c r="Y98" s="12"/>
      <c r="AC98" s="12"/>
      <c r="AD98" s="12">
        <v>0.5</v>
      </c>
      <c r="AE98" s="12"/>
      <c r="AF98" s="12"/>
      <c r="AJ98" s="12"/>
      <c r="AK98" s="12">
        <v>0.8</v>
      </c>
      <c r="AL98" s="12"/>
      <c r="AM98" s="12"/>
      <c r="AP98">
        <v>0</v>
      </c>
      <c r="AQ98" s="12"/>
      <c r="AR98" s="12">
        <v>1</v>
      </c>
      <c r="AS98" s="12"/>
      <c r="AT98" s="12"/>
      <c r="AX98" s="12"/>
      <c r="AY98" s="12"/>
      <c r="AZ98" s="12"/>
      <c r="BA98" s="12"/>
      <c r="BE98" s="12"/>
      <c r="BF98" s="12"/>
      <c r="BG98" s="12"/>
      <c r="BH98" s="12"/>
      <c r="BL98" s="12"/>
      <c r="BM98" s="12"/>
      <c r="BN98" s="12"/>
      <c r="BO98" s="12"/>
      <c r="BS98" s="12"/>
      <c r="BT98" s="12"/>
      <c r="BU98" s="12"/>
      <c r="BV98" s="12"/>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c r="DW98" s="12"/>
      <c r="DX98" s="12"/>
      <c r="DY98" s="12"/>
      <c r="DZ98" s="12"/>
      <c r="ED98" s="12"/>
      <c r="EE98" s="12"/>
      <c r="EF98" s="12"/>
      <c r="EG98" s="12"/>
      <c r="EK98" s="12"/>
      <c r="EL98" s="12"/>
      <c r="EM98" s="12"/>
      <c r="EN98" s="12"/>
      <c r="ER98" s="12"/>
      <c r="ES98" s="12"/>
      <c r="ET98" s="12"/>
      <c r="EU98" s="12"/>
      <c r="EY98" s="12"/>
      <c r="EZ98" s="12"/>
      <c r="FA98" s="12"/>
      <c r="FB98" s="12"/>
      <c r="FF98" s="12"/>
      <c r="FG98" s="12">
        <v>1</v>
      </c>
      <c r="FH98" s="12"/>
      <c r="FI98" s="12">
        <v>1</v>
      </c>
      <c r="FM98" s="12"/>
      <c r="FN98" s="12">
        <v>1</v>
      </c>
      <c r="FO98" s="12"/>
      <c r="FP98" s="12">
        <v>1</v>
      </c>
      <c r="FT98" s="12"/>
      <c r="FU98" s="12">
        <v>1</v>
      </c>
      <c r="FV98" s="12"/>
      <c r="FW98" s="12">
        <v>1</v>
      </c>
    </row>
    <row r="99" spans="2:179" outlineLevel="1" x14ac:dyDescent="0.2">
      <c r="B99" t="s">
        <v>28</v>
      </c>
      <c r="C99" t="s">
        <v>191</v>
      </c>
      <c r="E99" s="11"/>
      <c r="F99" t="s">
        <v>194</v>
      </c>
      <c r="G99" s="12">
        <v>0.05</v>
      </c>
      <c r="I99" s="11">
        <f t="shared" si="6"/>
        <v>0</v>
      </c>
      <c r="J99" s="13" cm="1">
        <f t="array" ref="J99">MAX(IF($N$3:$DV$3=$J$3,N99:DV99))</f>
        <v>0</v>
      </c>
      <c r="K99" s="13" cm="1">
        <f t="array" ref="K99">MAX(IF($N$3:$DV$3=$J$3,N99:DV99))</f>
        <v>0</v>
      </c>
      <c r="L99" s="11"/>
      <c r="O99" s="12"/>
      <c r="P99" s="12"/>
      <c r="Q99" s="12"/>
      <c r="R99" s="12"/>
      <c r="V99" s="12"/>
      <c r="W99" s="12"/>
      <c r="X99" s="12"/>
      <c r="Y99" s="12"/>
      <c r="AC99" s="12"/>
      <c r="AD99" s="12"/>
      <c r="AE99" s="12"/>
      <c r="AF99" s="12"/>
      <c r="AJ99" s="12"/>
      <c r="AK99" s="12">
        <v>0.5</v>
      </c>
      <c r="AL99" s="12"/>
      <c r="AM99" s="12"/>
      <c r="AP99">
        <v>0</v>
      </c>
      <c r="AQ99" s="12"/>
      <c r="AR99" s="12">
        <v>0.8</v>
      </c>
      <c r="AS99" s="12"/>
      <c r="AT99" s="12"/>
      <c r="AX99" s="12"/>
      <c r="AY99" s="12">
        <v>1</v>
      </c>
      <c r="AZ99" s="12"/>
      <c r="BA99" s="12"/>
      <c r="BE99" s="12"/>
      <c r="BF99" s="12"/>
      <c r="BG99" s="12"/>
      <c r="BH99" s="12"/>
      <c r="BL99" s="12"/>
      <c r="BM99" s="12"/>
      <c r="BN99" s="12"/>
      <c r="BO99" s="12"/>
      <c r="BS99" s="12"/>
      <c r="BT99" s="12"/>
      <c r="BU99" s="12"/>
      <c r="BV99" s="12"/>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c r="DW99" s="12"/>
      <c r="DX99" s="12"/>
      <c r="DY99" s="12"/>
      <c r="DZ99" s="12"/>
      <c r="ED99" s="12"/>
      <c r="EE99" s="12"/>
      <c r="EF99" s="12"/>
      <c r="EG99" s="12"/>
      <c r="EK99" s="12"/>
      <c r="EL99" s="12"/>
      <c r="EM99" s="12"/>
      <c r="EN99" s="12"/>
      <c r="ER99" s="12"/>
      <c r="ES99" s="12"/>
      <c r="ET99" s="12"/>
      <c r="EU99" s="12"/>
      <c r="EY99" s="12"/>
      <c r="EZ99" s="12"/>
      <c r="FA99" s="12"/>
      <c r="FB99" s="12"/>
      <c r="FF99" s="12"/>
      <c r="FG99" s="12">
        <v>1</v>
      </c>
      <c r="FH99" s="12"/>
      <c r="FI99" s="12">
        <v>1</v>
      </c>
      <c r="FM99" s="12"/>
      <c r="FN99" s="12">
        <v>1</v>
      </c>
      <c r="FO99" s="12"/>
      <c r="FP99" s="12">
        <v>1</v>
      </c>
      <c r="FT99" s="12"/>
      <c r="FU99" s="12">
        <v>1</v>
      </c>
      <c r="FV99" s="12"/>
      <c r="FW99" s="12">
        <v>1</v>
      </c>
    </row>
    <row r="100" spans="2:179" outlineLevel="1" x14ac:dyDescent="0.2">
      <c r="B100" t="s">
        <v>28</v>
      </c>
      <c r="C100" t="s">
        <v>191</v>
      </c>
      <c r="E100" s="11"/>
      <c r="F100" t="s">
        <v>195</v>
      </c>
      <c r="G100" s="12">
        <v>0.05</v>
      </c>
      <c r="I100" s="11">
        <f t="shared" si="6"/>
        <v>0</v>
      </c>
      <c r="J100" s="13" cm="1">
        <f t="array" ref="J100">MAX(IF($N$3:$DV$3=$J$3,N100:DV100))</f>
        <v>0</v>
      </c>
      <c r="K100" s="13" cm="1">
        <f t="array" ref="K100">MAX(IF($N$3:$DV$3=$J$3,N100:DV100))</f>
        <v>0</v>
      </c>
      <c r="L100" s="11"/>
      <c r="O100" s="12"/>
      <c r="P100" s="12"/>
      <c r="Q100" s="12"/>
      <c r="R100" s="12"/>
      <c r="V100" s="12"/>
      <c r="W100" s="12"/>
      <c r="X100" s="12"/>
      <c r="Y100" s="12"/>
      <c r="AC100" s="12"/>
      <c r="AD100" s="12"/>
      <c r="AE100" s="12"/>
      <c r="AF100" s="12"/>
      <c r="AJ100" s="12"/>
      <c r="AK100" s="12">
        <v>0.5</v>
      </c>
      <c r="AL100" s="12"/>
      <c r="AM100" s="12"/>
      <c r="AP100">
        <v>0</v>
      </c>
      <c r="AQ100" s="12"/>
      <c r="AR100" s="12">
        <v>0.8</v>
      </c>
      <c r="AS100" s="12"/>
      <c r="AT100" s="12"/>
      <c r="AX100" s="12"/>
      <c r="AY100" s="12">
        <v>1</v>
      </c>
      <c r="AZ100" s="12"/>
      <c r="BA100" s="12"/>
      <c r="BE100" s="12"/>
      <c r="BF100" s="12"/>
      <c r="BG100" s="12"/>
      <c r="BH100" s="12"/>
      <c r="BL100" s="12"/>
      <c r="BM100" s="12"/>
      <c r="BN100" s="12"/>
      <c r="BO100" s="12"/>
      <c r="BS100" s="12"/>
      <c r="BT100" s="12"/>
      <c r="BU100" s="12"/>
      <c r="BV100" s="12"/>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c r="DW100" s="12"/>
      <c r="DX100" s="12"/>
      <c r="DY100" s="12"/>
      <c r="DZ100" s="12"/>
      <c r="ED100" s="12"/>
      <c r="EE100" s="12"/>
      <c r="EF100" s="12"/>
      <c r="EG100" s="12"/>
      <c r="EK100" s="12"/>
      <c r="EL100" s="12"/>
      <c r="EM100" s="12"/>
      <c r="EN100" s="12"/>
      <c r="ER100" s="12"/>
      <c r="ES100" s="12"/>
      <c r="ET100" s="12"/>
      <c r="EU100" s="12"/>
      <c r="EY100" s="12"/>
      <c r="EZ100" s="12"/>
      <c r="FA100" s="12"/>
      <c r="FB100" s="12"/>
      <c r="FF100" s="12"/>
      <c r="FG100" s="12">
        <v>0.8</v>
      </c>
      <c r="FH100" s="12"/>
      <c r="FI100" s="12">
        <v>0.8</v>
      </c>
      <c r="FM100" s="12"/>
      <c r="FN100" s="12">
        <v>1</v>
      </c>
      <c r="FO100" s="12"/>
      <c r="FP100" s="12">
        <v>1</v>
      </c>
      <c r="FT100" s="12"/>
      <c r="FU100" s="12">
        <v>1</v>
      </c>
      <c r="FV100" s="12"/>
      <c r="FW100" s="12">
        <v>1</v>
      </c>
    </row>
    <row r="101" spans="2:179" outlineLevel="1" x14ac:dyDescent="0.2">
      <c r="B101" t="s">
        <v>28</v>
      </c>
      <c r="C101" t="s">
        <v>191</v>
      </c>
      <c r="E101" s="11"/>
      <c r="F101" t="s">
        <v>196</v>
      </c>
      <c r="G101" s="12">
        <v>0.05</v>
      </c>
      <c r="I101" s="11">
        <f t="shared" si="6"/>
        <v>0</v>
      </c>
      <c r="J101" s="13" cm="1">
        <f t="array" ref="J101">MAX(IF($N$3:$DV$3=$J$3,N101:DV101))</f>
        <v>0</v>
      </c>
      <c r="K101" s="13" cm="1">
        <f t="array" ref="K101">MAX(IF($N$3:$DV$3=$J$3,N101:DV101))</f>
        <v>0</v>
      </c>
      <c r="L101" s="11"/>
      <c r="O101" s="12"/>
      <c r="P101" s="12"/>
      <c r="Q101" s="12"/>
      <c r="R101" s="12"/>
      <c r="V101" s="12"/>
      <c r="W101" s="12"/>
      <c r="X101" s="12"/>
      <c r="Y101" s="12"/>
      <c r="AC101" s="12"/>
      <c r="AD101" s="12"/>
      <c r="AE101" s="12"/>
      <c r="AF101" s="12"/>
      <c r="AJ101" s="12"/>
      <c r="AK101" s="12"/>
      <c r="AL101" s="12"/>
      <c r="AM101" s="12"/>
      <c r="AP101">
        <v>0</v>
      </c>
      <c r="AQ101" s="12"/>
      <c r="AR101" s="12">
        <v>0.5</v>
      </c>
      <c r="AS101" s="12"/>
      <c r="AT101" s="12"/>
      <c r="AX101" s="12"/>
      <c r="AY101" s="12">
        <v>0.8</v>
      </c>
      <c r="AZ101" s="12"/>
      <c r="BA101" s="12"/>
      <c r="BE101" s="12"/>
      <c r="BF101" s="12">
        <v>1</v>
      </c>
      <c r="BG101" s="12"/>
      <c r="BH101" s="12"/>
      <c r="BL101" s="12"/>
      <c r="BM101" s="12"/>
      <c r="BN101" s="12"/>
      <c r="BO101" s="12"/>
      <c r="BS101" s="12"/>
      <c r="BT101" s="12"/>
      <c r="BU101" s="12"/>
      <c r="BV101" s="12"/>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c r="DW101" s="12"/>
      <c r="DX101" s="12"/>
      <c r="DY101" s="12"/>
      <c r="DZ101" s="12"/>
      <c r="ED101" s="12"/>
      <c r="EE101" s="12"/>
      <c r="EF101" s="12"/>
      <c r="EG101" s="12"/>
      <c r="EK101" s="12"/>
      <c r="EL101" s="12"/>
      <c r="EM101" s="12"/>
      <c r="EN101" s="12"/>
      <c r="ER101" s="12"/>
      <c r="ES101" s="12"/>
      <c r="ET101" s="12"/>
      <c r="EU101" s="12"/>
      <c r="EY101" s="12"/>
      <c r="EZ101" s="12"/>
      <c r="FA101" s="12"/>
      <c r="FB101" s="12"/>
      <c r="FF101" s="12"/>
      <c r="FG101" s="12">
        <v>0.8</v>
      </c>
      <c r="FH101" s="12"/>
      <c r="FI101" s="12">
        <v>0.8</v>
      </c>
      <c r="FM101" s="12"/>
      <c r="FN101" s="12">
        <v>1</v>
      </c>
      <c r="FO101" s="12"/>
      <c r="FP101" s="12">
        <v>1</v>
      </c>
      <c r="FT101" s="12"/>
      <c r="FU101" s="12">
        <v>1</v>
      </c>
      <c r="FV101" s="12"/>
      <c r="FW101" s="12">
        <v>1</v>
      </c>
    </row>
    <row r="102" spans="2:179" outlineLevel="1" x14ac:dyDescent="0.2">
      <c r="B102" t="s">
        <v>28</v>
      </c>
      <c r="C102" t="s">
        <v>191</v>
      </c>
      <c r="E102" s="11"/>
      <c r="F102" t="s">
        <v>197</v>
      </c>
      <c r="G102" s="12">
        <v>0.1</v>
      </c>
      <c r="I102" s="11">
        <f t="shared" si="6"/>
        <v>0</v>
      </c>
      <c r="J102" s="13" cm="1">
        <f t="array" ref="J102">MAX(IF($N$3:$DV$3=$J$3,N102:DV102))</f>
        <v>0</v>
      </c>
      <c r="K102" s="13" cm="1">
        <f t="array" ref="K102">MAX(IF($N$3:$DV$3=$J$3,N102:DV102))</f>
        <v>0</v>
      </c>
      <c r="L102" s="11"/>
      <c r="O102" s="12"/>
      <c r="P102" s="12"/>
      <c r="Q102" s="12"/>
      <c r="R102" s="12"/>
      <c r="V102" s="12"/>
      <c r="W102" s="12"/>
      <c r="X102" s="12"/>
      <c r="Y102" s="12"/>
      <c r="AC102" s="12"/>
      <c r="AD102" s="12"/>
      <c r="AE102" s="12"/>
      <c r="AF102" s="12"/>
      <c r="AJ102" s="12"/>
      <c r="AK102" s="12"/>
      <c r="AL102" s="12"/>
      <c r="AM102" s="12"/>
      <c r="AP102">
        <v>0</v>
      </c>
      <c r="AQ102" s="12"/>
      <c r="AR102" s="12"/>
      <c r="AS102" s="12"/>
      <c r="AT102" s="12"/>
      <c r="AX102" s="12"/>
      <c r="AY102" s="12"/>
      <c r="AZ102" s="12"/>
      <c r="BA102" s="12"/>
      <c r="BE102" s="12"/>
      <c r="BF102" s="12">
        <v>0.5</v>
      </c>
      <c r="BG102" s="12"/>
      <c r="BH102" s="12"/>
      <c r="BL102" s="12"/>
      <c r="BM102" s="12">
        <v>0.8</v>
      </c>
      <c r="BN102" s="12"/>
      <c r="BO102" s="12"/>
      <c r="BS102" s="12"/>
      <c r="BT102" s="12">
        <v>1</v>
      </c>
      <c r="BU102" s="12"/>
      <c r="BV102" s="12"/>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c r="DW102" s="12"/>
      <c r="DX102" s="12"/>
      <c r="DY102" s="12"/>
      <c r="DZ102" s="12"/>
      <c r="ED102" s="12"/>
      <c r="EE102" s="12"/>
      <c r="EF102" s="12"/>
      <c r="EG102" s="12"/>
      <c r="EK102" s="12"/>
      <c r="EL102" s="12"/>
      <c r="EM102" s="12"/>
      <c r="EN102" s="12"/>
      <c r="ER102" s="12"/>
      <c r="ES102" s="12"/>
      <c r="ET102" s="12"/>
      <c r="EU102" s="12"/>
      <c r="EY102" s="12"/>
      <c r="EZ102" s="12"/>
      <c r="FA102" s="12"/>
      <c r="FB102" s="12"/>
      <c r="FF102" s="12"/>
      <c r="FG102" s="12">
        <v>0.8</v>
      </c>
      <c r="FH102" s="12"/>
      <c r="FI102" s="12">
        <v>0.8</v>
      </c>
      <c r="FM102" s="12"/>
      <c r="FN102" s="12">
        <v>1</v>
      </c>
      <c r="FO102" s="12"/>
      <c r="FP102" s="12">
        <v>1</v>
      </c>
      <c r="FT102" s="12"/>
      <c r="FU102" s="12">
        <v>1</v>
      </c>
      <c r="FV102" s="12"/>
      <c r="FW102" s="12">
        <v>1</v>
      </c>
    </row>
    <row r="103" spans="2:179" outlineLevel="1" x14ac:dyDescent="0.2">
      <c r="B103" t="s">
        <v>28</v>
      </c>
      <c r="C103" t="s">
        <v>191</v>
      </c>
      <c r="E103" s="11"/>
      <c r="F103" t="s">
        <v>198</v>
      </c>
      <c r="G103" s="12">
        <v>0.1</v>
      </c>
      <c r="I103" s="11">
        <f t="shared" si="6"/>
        <v>0</v>
      </c>
      <c r="J103" s="13" cm="1">
        <f t="array" ref="J103">MAX(IF($N$3:$DV$3=$J$3,N103:DV103))</f>
        <v>0</v>
      </c>
      <c r="K103" s="13" cm="1">
        <f t="array" ref="K103">MAX(IF($N$3:$DV$3=$J$3,N103:DV103))</f>
        <v>0</v>
      </c>
      <c r="L103" s="11"/>
      <c r="O103" s="12"/>
      <c r="P103" s="12"/>
      <c r="Q103" s="12"/>
      <c r="R103" s="12"/>
      <c r="V103" s="12"/>
      <c r="W103" s="12"/>
      <c r="X103" s="12"/>
      <c r="Y103" s="12"/>
      <c r="AC103" s="12"/>
      <c r="AD103" s="12"/>
      <c r="AE103" s="12"/>
      <c r="AF103" s="12"/>
      <c r="AJ103" s="12"/>
      <c r="AK103" s="12"/>
      <c r="AL103" s="12"/>
      <c r="AM103" s="12"/>
      <c r="AP103">
        <v>0</v>
      </c>
      <c r="AQ103" s="12"/>
      <c r="AR103" s="12"/>
      <c r="AS103" s="12"/>
      <c r="AT103" s="12"/>
      <c r="AX103" s="12"/>
      <c r="AY103" s="12"/>
      <c r="AZ103" s="12"/>
      <c r="BA103" s="12"/>
      <c r="BE103" s="12"/>
      <c r="BF103" s="12"/>
      <c r="BG103" s="12"/>
      <c r="BH103" s="12"/>
      <c r="BL103" s="12"/>
      <c r="BM103" s="12">
        <v>0.5</v>
      </c>
      <c r="BN103" s="12"/>
      <c r="BO103" s="12"/>
      <c r="BS103" s="12"/>
      <c r="BT103" s="12">
        <v>0.8</v>
      </c>
      <c r="BU103" s="12"/>
      <c r="BV103" s="12"/>
      <c r="BZ103" s="12"/>
      <c r="CA103" s="12">
        <v>1</v>
      </c>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c r="DW103" s="12"/>
      <c r="DX103" s="12"/>
      <c r="DY103" s="12"/>
      <c r="DZ103" s="12"/>
      <c r="ED103" s="12"/>
      <c r="EE103" s="12"/>
      <c r="EF103" s="12"/>
      <c r="EG103" s="12"/>
      <c r="EK103" s="12"/>
      <c r="EL103" s="12"/>
      <c r="EM103" s="12"/>
      <c r="EN103" s="12"/>
      <c r="ER103" s="12"/>
      <c r="ES103" s="12"/>
      <c r="ET103" s="12"/>
      <c r="EU103" s="12"/>
      <c r="EY103" s="12"/>
      <c r="EZ103" s="12"/>
      <c r="FA103" s="12"/>
      <c r="FB103" s="12"/>
      <c r="FF103" s="12"/>
      <c r="FG103" s="12">
        <v>0.8</v>
      </c>
      <c r="FH103" s="12"/>
      <c r="FI103" s="12">
        <v>0.8</v>
      </c>
      <c r="FM103" s="12"/>
      <c r="FN103" s="12">
        <v>1</v>
      </c>
      <c r="FO103" s="12"/>
      <c r="FP103" s="12">
        <v>1</v>
      </c>
      <c r="FT103" s="12"/>
      <c r="FU103" s="12">
        <v>1</v>
      </c>
      <c r="FV103" s="12"/>
      <c r="FW103" s="12">
        <v>1</v>
      </c>
    </row>
    <row r="104" spans="2:179" outlineLevel="1" x14ac:dyDescent="0.2">
      <c r="B104" t="s">
        <v>28</v>
      </c>
      <c r="C104" t="s">
        <v>191</v>
      </c>
      <c r="E104" s="11"/>
      <c r="F104" t="s">
        <v>199</v>
      </c>
      <c r="G104" s="12">
        <v>0.1</v>
      </c>
      <c r="I104" s="11">
        <f t="shared" si="6"/>
        <v>0</v>
      </c>
      <c r="J104" s="13" cm="1">
        <f t="array" ref="J104">MAX(IF($N$3:$DV$3=$J$3,N104:DV104))</f>
        <v>0</v>
      </c>
      <c r="K104" s="13" cm="1">
        <f t="array" ref="K104">MAX(IF($N$3:$DV$3=$J$3,N104:DV104))</f>
        <v>0</v>
      </c>
      <c r="L104" s="11"/>
      <c r="O104" s="12"/>
      <c r="P104" s="12"/>
      <c r="Q104" s="12"/>
      <c r="R104" s="12"/>
      <c r="V104" s="12"/>
      <c r="W104" s="12"/>
      <c r="X104" s="12"/>
      <c r="Y104" s="12"/>
      <c r="AC104" s="12"/>
      <c r="AD104" s="12"/>
      <c r="AE104" s="12"/>
      <c r="AF104" s="12"/>
      <c r="AJ104" s="12"/>
      <c r="AK104" s="12"/>
      <c r="AL104" s="12"/>
      <c r="AM104" s="12"/>
      <c r="AP104">
        <v>0</v>
      </c>
      <c r="AQ104" s="12"/>
      <c r="AR104" s="12"/>
      <c r="AS104" s="12"/>
      <c r="AT104" s="12"/>
      <c r="AX104" s="12"/>
      <c r="AY104" s="12"/>
      <c r="AZ104" s="12"/>
      <c r="BA104" s="12"/>
      <c r="BE104" s="12"/>
      <c r="BF104" s="12"/>
      <c r="BG104" s="12"/>
      <c r="BH104" s="12"/>
      <c r="BL104" s="12"/>
      <c r="BM104" s="12"/>
      <c r="BN104" s="12"/>
      <c r="BO104" s="12"/>
      <c r="BS104" s="12"/>
      <c r="BT104" s="12">
        <v>0.3</v>
      </c>
      <c r="BU104" s="12"/>
      <c r="BV104" s="12"/>
      <c r="BZ104" s="12"/>
      <c r="CA104" s="12">
        <v>0.5</v>
      </c>
      <c r="CB104" s="12"/>
      <c r="CC104" s="12"/>
      <c r="CG104" s="12"/>
      <c r="CH104" s="12">
        <v>0.8</v>
      </c>
      <c r="CI104" s="12"/>
      <c r="CJ104" s="12"/>
      <c r="CN104" s="12"/>
      <c r="CO104" s="12">
        <v>1</v>
      </c>
      <c r="CP104" s="12"/>
      <c r="CQ104" s="12"/>
      <c r="CU104" s="12"/>
      <c r="CV104" s="12"/>
      <c r="CW104" s="12"/>
      <c r="CX104" s="12"/>
      <c r="DB104" s="12"/>
      <c r="DC104" s="12"/>
      <c r="DD104" s="12"/>
      <c r="DE104" s="12"/>
      <c r="DI104" s="12"/>
      <c r="DJ104" s="12"/>
      <c r="DK104" s="12"/>
      <c r="DL104" s="12"/>
      <c r="DP104" s="12"/>
      <c r="DQ104" s="12"/>
      <c r="DR104" s="12"/>
      <c r="DS104" s="12"/>
      <c r="DW104" s="12"/>
      <c r="DX104" s="12"/>
      <c r="DY104" s="12"/>
      <c r="DZ104" s="12"/>
      <c r="ED104" s="12"/>
      <c r="EE104" s="12"/>
      <c r="EF104" s="12"/>
      <c r="EG104" s="12"/>
      <c r="EK104" s="12"/>
      <c r="EL104" s="12"/>
      <c r="EM104" s="12"/>
      <c r="EN104" s="12"/>
      <c r="ER104" s="12"/>
      <c r="ES104" s="12"/>
      <c r="ET104" s="12"/>
      <c r="EU104" s="12"/>
      <c r="EY104" s="12"/>
      <c r="EZ104" s="12"/>
      <c r="FA104" s="12"/>
      <c r="FB104" s="12"/>
      <c r="FF104" s="12"/>
      <c r="FG104" s="12">
        <v>0.8</v>
      </c>
      <c r="FH104" s="12"/>
      <c r="FI104" s="12">
        <v>0.8</v>
      </c>
      <c r="FM104" s="12"/>
      <c r="FN104" s="12">
        <v>1</v>
      </c>
      <c r="FO104" s="12"/>
      <c r="FP104" s="12">
        <v>1</v>
      </c>
      <c r="FT104" s="12"/>
      <c r="FU104" s="12">
        <v>1</v>
      </c>
      <c r="FV104" s="12"/>
      <c r="FW104" s="12">
        <v>1</v>
      </c>
    </row>
    <row r="105" spans="2:179" outlineLevel="1" x14ac:dyDescent="0.2">
      <c r="B105" t="s">
        <v>28</v>
      </c>
      <c r="C105" t="s">
        <v>191</v>
      </c>
      <c r="E105" s="11"/>
      <c r="F105" t="s">
        <v>200</v>
      </c>
      <c r="G105" s="12">
        <v>0.1</v>
      </c>
      <c r="I105" s="11">
        <f t="shared" si="6"/>
        <v>0</v>
      </c>
      <c r="J105" s="13" cm="1">
        <f t="array" ref="J105">MAX(IF($N$3:$DV$3=$J$3,N105:DV105))</f>
        <v>0</v>
      </c>
      <c r="K105" s="13" cm="1">
        <f t="array" ref="K105">MAX(IF($N$3:$DV$3=$J$3,N105:DV105))</f>
        <v>0</v>
      </c>
      <c r="L105" s="11"/>
      <c r="O105" s="12"/>
      <c r="P105" s="12"/>
      <c r="Q105" s="12"/>
      <c r="R105" s="12"/>
      <c r="V105" s="12"/>
      <c r="W105" s="12"/>
      <c r="X105" s="12"/>
      <c r="Y105" s="12"/>
      <c r="AC105" s="12"/>
      <c r="AD105" s="12"/>
      <c r="AE105" s="12"/>
      <c r="AF105" s="12"/>
      <c r="AJ105" s="12"/>
      <c r="AK105" s="12"/>
      <c r="AL105" s="12"/>
      <c r="AM105" s="12"/>
      <c r="AP105">
        <v>0</v>
      </c>
      <c r="AQ105" s="12"/>
      <c r="AR105" s="12"/>
      <c r="AS105" s="12"/>
      <c r="AT105" s="12"/>
      <c r="AX105" s="12"/>
      <c r="AY105" s="12"/>
      <c r="AZ105" s="12"/>
      <c r="BA105" s="12"/>
      <c r="BE105" s="12"/>
      <c r="BF105" s="12"/>
      <c r="BG105" s="12"/>
      <c r="BH105" s="12"/>
      <c r="BL105" s="12"/>
      <c r="BM105" s="12"/>
      <c r="BN105" s="12"/>
      <c r="BO105" s="12"/>
      <c r="BS105" s="12"/>
      <c r="BT105" s="12"/>
      <c r="BU105" s="12"/>
      <c r="BV105" s="12"/>
      <c r="BZ105" s="12"/>
      <c r="CA105" s="12">
        <v>0.5</v>
      </c>
      <c r="CB105" s="12"/>
      <c r="CC105" s="12"/>
      <c r="CG105" s="12"/>
      <c r="CH105" s="12">
        <v>0.8</v>
      </c>
      <c r="CI105" s="12"/>
      <c r="CJ105" s="12"/>
      <c r="CN105" s="12"/>
      <c r="CO105" s="12">
        <v>1</v>
      </c>
      <c r="CP105" s="12"/>
      <c r="CQ105" s="12"/>
      <c r="CU105" s="12"/>
      <c r="CV105" s="12"/>
      <c r="CW105" s="12"/>
      <c r="CX105" s="12"/>
      <c r="DB105" s="12"/>
      <c r="DC105" s="12"/>
      <c r="DD105" s="12"/>
      <c r="DE105" s="12"/>
      <c r="DI105" s="12"/>
      <c r="DJ105" s="12"/>
      <c r="DK105" s="12"/>
      <c r="DL105" s="12"/>
      <c r="DP105" s="12"/>
      <c r="DQ105" s="12"/>
      <c r="DR105" s="12"/>
      <c r="DS105" s="12"/>
      <c r="DW105" s="12"/>
      <c r="DX105" s="12"/>
      <c r="DY105" s="12"/>
      <c r="DZ105" s="12"/>
      <c r="ED105" s="12"/>
      <c r="EE105" s="12"/>
      <c r="EF105" s="12"/>
      <c r="EG105" s="12"/>
      <c r="EK105" s="12"/>
      <c r="EL105" s="12"/>
      <c r="EM105" s="12"/>
      <c r="EN105" s="12"/>
      <c r="ER105" s="12"/>
      <c r="ES105" s="12"/>
      <c r="ET105" s="12"/>
      <c r="EU105" s="12"/>
      <c r="EY105" s="12"/>
      <c r="EZ105" s="12"/>
      <c r="FA105" s="12"/>
      <c r="FB105" s="12"/>
      <c r="FF105" s="12"/>
      <c r="FG105" s="12">
        <v>0.8</v>
      </c>
      <c r="FH105" s="12"/>
      <c r="FI105" s="12">
        <v>0.8</v>
      </c>
      <c r="FM105" s="12"/>
      <c r="FN105" s="12">
        <v>1</v>
      </c>
      <c r="FO105" s="12"/>
      <c r="FP105" s="12">
        <v>1</v>
      </c>
      <c r="FT105" s="12"/>
      <c r="FU105" s="12">
        <v>1</v>
      </c>
      <c r="FV105" s="12"/>
      <c r="FW105" s="12">
        <v>1</v>
      </c>
    </row>
    <row r="106" spans="2:179" outlineLevel="1" x14ac:dyDescent="0.2">
      <c r="B106" t="s">
        <v>28</v>
      </c>
      <c r="C106" t="s">
        <v>191</v>
      </c>
      <c r="E106" s="11"/>
      <c r="F106" t="s">
        <v>201</v>
      </c>
      <c r="G106" s="12">
        <v>0.1</v>
      </c>
      <c r="I106" s="11">
        <f t="shared" si="6"/>
        <v>0</v>
      </c>
      <c r="J106" s="13" cm="1">
        <f t="array" ref="J106">MAX(IF($N$3:$DV$3=$J$3,N106:DV106))</f>
        <v>0</v>
      </c>
      <c r="K106" s="13" cm="1">
        <f t="array" ref="K106">MAX(IF($N$3:$DV$3=$J$3,N106:DV106))</f>
        <v>0</v>
      </c>
      <c r="L106" s="11"/>
      <c r="O106" s="12"/>
      <c r="P106" s="12"/>
      <c r="Q106" s="12"/>
      <c r="R106" s="12"/>
      <c r="V106" s="12"/>
      <c r="W106" s="12"/>
      <c r="X106" s="12"/>
      <c r="Y106" s="12"/>
      <c r="AC106" s="12"/>
      <c r="AD106" s="12"/>
      <c r="AE106" s="12"/>
      <c r="AF106" s="12"/>
      <c r="AJ106" s="12"/>
      <c r="AK106" s="12"/>
      <c r="AL106" s="12"/>
      <c r="AM106" s="12"/>
      <c r="AP106">
        <v>0</v>
      </c>
      <c r="AQ106" s="12"/>
      <c r="AR106" s="12"/>
      <c r="AS106" s="12"/>
      <c r="AT106" s="12"/>
      <c r="AX106" s="12"/>
      <c r="AY106" s="12"/>
      <c r="AZ106" s="12"/>
      <c r="BA106" s="12"/>
      <c r="BE106" s="12"/>
      <c r="BF106" s="12"/>
      <c r="BG106" s="12"/>
      <c r="BH106" s="12"/>
      <c r="BL106" s="12"/>
      <c r="BM106" s="12"/>
      <c r="BN106" s="12"/>
      <c r="BO106" s="12"/>
      <c r="BS106" s="12"/>
      <c r="BT106" s="12"/>
      <c r="BU106" s="12"/>
      <c r="BV106" s="12"/>
      <c r="BZ106" s="12"/>
      <c r="CA106" s="12"/>
      <c r="CB106" s="12"/>
      <c r="CC106" s="12"/>
      <c r="CG106" s="12"/>
      <c r="CH106" s="12"/>
      <c r="CI106" s="12"/>
      <c r="CJ106" s="12"/>
      <c r="CN106" s="12"/>
      <c r="CO106" s="12"/>
      <c r="CP106" s="12"/>
      <c r="CQ106" s="12"/>
      <c r="CU106" s="12"/>
      <c r="CV106" s="12">
        <v>0.5</v>
      </c>
      <c r="CW106" s="12"/>
      <c r="CX106" s="12"/>
      <c r="DB106" s="12"/>
      <c r="DC106" s="12">
        <v>0.8</v>
      </c>
      <c r="DD106" s="12"/>
      <c r="DE106" s="12"/>
      <c r="DI106" s="12"/>
      <c r="DJ106" s="12">
        <v>1</v>
      </c>
      <c r="DK106" s="12"/>
      <c r="DL106" s="12"/>
      <c r="DP106" s="12"/>
      <c r="DQ106" s="12"/>
      <c r="DR106" s="12"/>
      <c r="DS106" s="12"/>
      <c r="DW106" s="12"/>
      <c r="DX106" s="12"/>
      <c r="DY106" s="12"/>
      <c r="DZ106" s="12"/>
      <c r="ED106" s="12"/>
      <c r="EE106" s="12"/>
      <c r="EF106" s="12"/>
      <c r="EG106" s="12"/>
      <c r="EK106" s="12"/>
      <c r="EL106" s="12"/>
      <c r="EM106" s="12"/>
      <c r="EN106" s="12"/>
      <c r="ER106" s="12"/>
      <c r="ES106" s="12"/>
      <c r="ET106" s="12"/>
      <c r="EU106" s="12"/>
      <c r="EY106" s="12"/>
      <c r="EZ106" s="12"/>
      <c r="FA106" s="12"/>
      <c r="FB106" s="12"/>
      <c r="FF106" s="12"/>
      <c r="FG106" s="12">
        <v>0.8</v>
      </c>
      <c r="FH106" s="12"/>
      <c r="FI106" s="12">
        <v>0.8</v>
      </c>
      <c r="FM106" s="12"/>
      <c r="FN106" s="12">
        <v>1</v>
      </c>
      <c r="FO106" s="12"/>
      <c r="FP106" s="12">
        <v>1</v>
      </c>
      <c r="FT106" s="12"/>
      <c r="FU106" s="12">
        <v>1</v>
      </c>
      <c r="FV106" s="12"/>
      <c r="FW106" s="12">
        <v>1</v>
      </c>
    </row>
    <row r="107" spans="2:179" outlineLevel="1" x14ac:dyDescent="0.2">
      <c r="B107" t="s">
        <v>28</v>
      </c>
      <c r="C107" t="s">
        <v>191</v>
      </c>
      <c r="E107" s="11"/>
      <c r="F107" t="s">
        <v>202</v>
      </c>
      <c r="G107" s="12">
        <v>0.1</v>
      </c>
      <c r="I107" s="11">
        <f t="shared" si="6"/>
        <v>0</v>
      </c>
      <c r="J107" s="13" cm="1">
        <f t="array" ref="J107">MAX(IF($N$3:$DV$3=$J$3,N107:DV107))</f>
        <v>0</v>
      </c>
      <c r="K107" s="13" cm="1">
        <f t="array" ref="K107">MAX(IF($N$3:$DV$3=$J$3,N107:DV107))</f>
        <v>0</v>
      </c>
      <c r="L107" s="11"/>
      <c r="O107" s="12"/>
      <c r="P107" s="12"/>
      <c r="Q107" s="12"/>
      <c r="R107" s="12"/>
      <c r="V107" s="12"/>
      <c r="W107" s="12"/>
      <c r="X107" s="12"/>
      <c r="Y107" s="12"/>
      <c r="AC107" s="12"/>
      <c r="AD107" s="12"/>
      <c r="AE107" s="12"/>
      <c r="AF107" s="12"/>
      <c r="AJ107" s="12"/>
      <c r="AK107" s="12"/>
      <c r="AL107" s="12"/>
      <c r="AM107" s="12"/>
      <c r="AP107">
        <v>0</v>
      </c>
      <c r="AQ107" s="12"/>
      <c r="AR107" s="12"/>
      <c r="AS107" s="12"/>
      <c r="AT107" s="12"/>
      <c r="AX107" s="12"/>
      <c r="AY107" s="12"/>
      <c r="AZ107" s="12"/>
      <c r="BA107" s="12"/>
      <c r="BE107" s="12"/>
      <c r="BF107" s="12"/>
      <c r="BG107" s="12"/>
      <c r="BH107" s="12"/>
      <c r="BL107" s="12"/>
      <c r="BM107" s="12"/>
      <c r="BN107" s="12"/>
      <c r="BO107" s="12"/>
      <c r="BS107" s="12"/>
      <c r="BT107" s="12"/>
      <c r="BU107" s="12"/>
      <c r="BV107" s="12"/>
      <c r="BZ107" s="12"/>
      <c r="CA107" s="12"/>
      <c r="CB107" s="12"/>
      <c r="CC107" s="12"/>
      <c r="CG107" s="12"/>
      <c r="CH107" s="12"/>
      <c r="CI107" s="12"/>
      <c r="CJ107" s="12"/>
      <c r="CN107" s="12"/>
      <c r="CO107" s="12"/>
      <c r="CP107" s="12"/>
      <c r="CQ107" s="12"/>
      <c r="CU107" s="12"/>
      <c r="CV107" s="12"/>
      <c r="CW107" s="12"/>
      <c r="CX107" s="12"/>
      <c r="DB107" s="12"/>
      <c r="DC107" s="12"/>
      <c r="DD107" s="12"/>
      <c r="DE107" s="12"/>
      <c r="DI107" s="12"/>
      <c r="DJ107" s="12"/>
      <c r="DK107" s="12"/>
      <c r="DL107" s="12"/>
      <c r="DP107" s="12"/>
      <c r="DQ107" s="12"/>
      <c r="DR107" s="12"/>
      <c r="DS107" s="12"/>
      <c r="DW107" s="12"/>
      <c r="DX107" s="12"/>
      <c r="DY107" s="12"/>
      <c r="DZ107" s="12"/>
      <c r="ED107" s="12"/>
      <c r="EE107" s="12"/>
      <c r="EF107" s="12"/>
      <c r="EG107" s="12"/>
      <c r="EK107" s="12"/>
      <c r="EL107" s="12"/>
      <c r="EM107" s="12"/>
      <c r="EN107" s="12"/>
      <c r="ER107" s="12"/>
      <c r="ES107" s="12"/>
      <c r="ET107" s="12"/>
      <c r="EU107" s="12"/>
      <c r="EY107" s="12"/>
      <c r="EZ107" s="12"/>
      <c r="FA107" s="12"/>
      <c r="FB107" s="12"/>
      <c r="FF107" s="12"/>
      <c r="FG107" s="12">
        <v>0.8</v>
      </c>
      <c r="FH107" s="12"/>
      <c r="FI107" s="12">
        <v>0.8</v>
      </c>
      <c r="FM107" s="12"/>
      <c r="FN107" s="12">
        <v>1</v>
      </c>
      <c r="FO107" s="12"/>
      <c r="FP107" s="12">
        <v>1</v>
      </c>
      <c r="FT107" s="12"/>
      <c r="FU107" s="12">
        <v>1</v>
      </c>
      <c r="FV107" s="12"/>
      <c r="FW107" s="12">
        <v>1</v>
      </c>
    </row>
    <row r="108" spans="2:179" outlineLevel="1" x14ac:dyDescent="0.2">
      <c r="E108" s="11"/>
      <c r="G108" s="12">
        <v>0.1</v>
      </c>
      <c r="I108" s="11">
        <f t="shared" si="6"/>
        <v>0</v>
      </c>
      <c r="J108" s="13" cm="1">
        <f t="array" ref="J108">MAX(IF($N$3:$DV$3=$J$3,N108:DV108))</f>
        <v>0</v>
      </c>
      <c r="K108" s="13" cm="1">
        <f t="array" ref="K108">MAX(IF($N$3:$DV$3=$J$3,N108:DV108))</f>
        <v>0</v>
      </c>
      <c r="L108" s="11"/>
      <c r="O108" s="12"/>
      <c r="P108" s="12"/>
      <c r="Q108" s="12"/>
      <c r="R108" s="12"/>
      <c r="V108" s="12"/>
      <c r="W108" s="12"/>
      <c r="X108" s="12"/>
      <c r="Y108" s="12"/>
      <c r="AC108" s="12"/>
      <c r="AD108" s="12"/>
      <c r="AE108" s="12"/>
      <c r="AF108" s="12"/>
      <c r="AJ108" s="12"/>
      <c r="AK108" s="12"/>
      <c r="AL108" s="12"/>
      <c r="AM108" s="12"/>
      <c r="AP108">
        <v>0</v>
      </c>
      <c r="AQ108" s="12"/>
      <c r="AR108" s="12"/>
      <c r="AS108" s="12"/>
      <c r="AT108" s="12"/>
      <c r="AX108" s="12"/>
      <c r="AY108" s="12"/>
      <c r="AZ108" s="12"/>
      <c r="BA108" s="12"/>
      <c r="BE108" s="12"/>
      <c r="BF108" s="12"/>
      <c r="BG108" s="12"/>
      <c r="BH108" s="12"/>
      <c r="BL108" s="12"/>
      <c r="BM108" s="12"/>
      <c r="BN108" s="12"/>
      <c r="BO108" s="12"/>
      <c r="BS108" s="12"/>
      <c r="BT108" s="12"/>
      <c r="BU108" s="12"/>
      <c r="BV108" s="12"/>
      <c r="BZ108" s="12"/>
      <c r="CA108" s="12"/>
      <c r="CB108" s="12"/>
      <c r="CC108" s="12"/>
      <c r="CG108" s="12"/>
      <c r="CH108" s="12"/>
      <c r="CI108" s="12"/>
      <c r="CJ108" s="12"/>
      <c r="CN108" s="12"/>
      <c r="CO108" s="12"/>
      <c r="CP108" s="12"/>
      <c r="CQ108" s="12"/>
      <c r="CU108" s="12"/>
      <c r="CV108" s="12"/>
      <c r="CW108" s="12"/>
      <c r="CX108" s="12"/>
      <c r="DB108" s="12"/>
      <c r="DC108" s="12"/>
      <c r="DD108" s="12"/>
      <c r="DE108" s="12"/>
      <c r="DI108" s="12"/>
      <c r="DJ108" s="12"/>
      <c r="DK108" s="12"/>
      <c r="DL108" s="12"/>
      <c r="DP108" s="12"/>
      <c r="DQ108" s="12"/>
      <c r="DR108" s="12"/>
      <c r="DS108" s="12"/>
      <c r="DW108" s="12"/>
      <c r="DX108" s="12"/>
      <c r="DY108" s="12"/>
      <c r="DZ108" s="12"/>
      <c r="ED108" s="12"/>
      <c r="EE108" s="12"/>
      <c r="EF108" s="12"/>
      <c r="EG108" s="12"/>
      <c r="EK108" s="12"/>
      <c r="EL108" s="12"/>
      <c r="EM108" s="12"/>
      <c r="EN108" s="12"/>
      <c r="ER108" s="12"/>
      <c r="ES108" s="12"/>
      <c r="ET108" s="12"/>
      <c r="EU108" s="12"/>
      <c r="EY108" s="12"/>
      <c r="EZ108" s="12"/>
      <c r="FA108" s="12"/>
      <c r="FB108" s="12"/>
      <c r="FF108" s="12"/>
      <c r="FG108" s="12">
        <v>0.8</v>
      </c>
      <c r="FH108" s="12"/>
      <c r="FI108" s="12">
        <v>0.8</v>
      </c>
      <c r="FM108" s="12"/>
      <c r="FN108" s="12">
        <v>1</v>
      </c>
      <c r="FO108" s="12"/>
      <c r="FP108" s="12">
        <v>1</v>
      </c>
      <c r="FT108" s="12"/>
      <c r="FU108" s="12">
        <v>1</v>
      </c>
      <c r="FV108" s="12"/>
      <c r="FW108" s="12">
        <v>1</v>
      </c>
    </row>
    <row r="136" spans="170:170" ht="16.5" customHeight="1" x14ac:dyDescent="0.2">
      <c r="FN136">
        <v>1</v>
      </c>
    </row>
    <row r="204" spans="7:11" x14ac:dyDescent="0.2">
      <c r="G204" s="12"/>
      <c r="I204" s="11"/>
      <c r="J204" s="13"/>
      <c r="K204" s="13"/>
    </row>
    <row r="205" spans="7:11" x14ac:dyDescent="0.2">
      <c r="G205" s="12"/>
      <c r="I205" s="11"/>
      <c r="J205" s="13"/>
      <c r="K205" s="13"/>
    </row>
    <row r="206" spans="7:11" x14ac:dyDescent="0.2">
      <c r="G206" s="12"/>
      <c r="I206" s="11"/>
      <c r="J206" s="13"/>
      <c r="K206" s="13"/>
    </row>
    <row r="207" spans="7:11" x14ac:dyDescent="0.2">
      <c r="G207" s="12"/>
      <c r="I207" s="11"/>
      <c r="J207" s="13"/>
      <c r="K207" s="13"/>
    </row>
    <row r="208" spans="7:11" x14ac:dyDescent="0.2">
      <c r="G208" s="12"/>
      <c r="I208" s="11"/>
      <c r="J208" s="13"/>
      <c r="K208" s="13"/>
    </row>
    <row r="209" spans="7:11" x14ac:dyDescent="0.2">
      <c r="G209" s="12"/>
      <c r="I209" s="11"/>
      <c r="J209" s="13"/>
      <c r="K209" s="13"/>
    </row>
    <row r="210" spans="7:11" x14ac:dyDescent="0.2">
      <c r="G210" s="12"/>
      <c r="I210" s="11"/>
      <c r="J210" s="13"/>
      <c r="K210" s="13"/>
    </row>
    <row r="211" spans="7:11" x14ac:dyDescent="0.2">
      <c r="G211" s="12"/>
      <c r="I211" s="11"/>
      <c r="J211" s="13"/>
      <c r="K211" s="13"/>
    </row>
    <row r="212" spans="7:11" x14ac:dyDescent="0.2">
      <c r="G212" s="12"/>
      <c r="I212" s="11"/>
      <c r="J212" s="13"/>
      <c r="K212" s="13"/>
    </row>
    <row r="213" spans="7:11" x14ac:dyDescent="0.2">
      <c r="G213" s="12"/>
      <c r="I213" s="11"/>
      <c r="J213" s="13"/>
      <c r="K213" s="13"/>
    </row>
    <row r="214" spans="7:11" x14ac:dyDescent="0.2">
      <c r="G214" s="12"/>
      <c r="I214" s="11"/>
      <c r="J214" s="13"/>
      <c r="K214" s="13"/>
    </row>
    <row r="215" spans="7:11" x14ac:dyDescent="0.2">
      <c r="G215" s="12"/>
      <c r="I215" s="11"/>
      <c r="J215" s="13"/>
      <c r="K215" s="13"/>
    </row>
    <row r="216" spans="7:11" x14ac:dyDescent="0.2">
      <c r="G216" s="12"/>
      <c r="I216" s="11"/>
      <c r="J216" s="13"/>
      <c r="K216" s="13"/>
    </row>
  </sheetData>
  <mergeCells count="25">
    <mergeCell ref="BK2:BP2"/>
    <mergeCell ref="BR2:BW2"/>
    <mergeCell ref="BY2:CD2"/>
    <mergeCell ref="CF2:CK2"/>
    <mergeCell ref="FS2:FX2"/>
    <mergeCell ref="EJ2:EO2"/>
    <mergeCell ref="EQ2:EV2"/>
    <mergeCell ref="EX2:FC2"/>
    <mergeCell ref="FE2:FJ2"/>
    <mergeCell ref="FL2:FQ2"/>
    <mergeCell ref="I2:L2"/>
    <mergeCell ref="N2:S2"/>
    <mergeCell ref="BD2:BI2"/>
    <mergeCell ref="U2:Z2"/>
    <mergeCell ref="AB2:AG2"/>
    <mergeCell ref="AI2:AN2"/>
    <mergeCell ref="AP2:AU2"/>
    <mergeCell ref="AW2:BB2"/>
    <mergeCell ref="CM2:CR2"/>
    <mergeCell ref="DH2:DM2"/>
    <mergeCell ref="DO2:DT2"/>
    <mergeCell ref="DV2:EA2"/>
    <mergeCell ref="EC2:EH2"/>
    <mergeCell ref="CT2:CY2"/>
    <mergeCell ref="DA2:DF2"/>
  </mergeCells>
  <phoneticPr fontId="5" type="noConversion"/>
  <conditionalFormatting sqref="O5:O19 Q5:Q19 AQ5:AQ19 AS5:AS19 BE5:BE19 BG5:BG19 V5:V19 X5:X19 AC5:AC19 AE5:AE19 AJ5:AJ19 AL5:AL19 AX5:AX19 AZ5:AZ19 BL5:BL19 BN5:BN19 AJ24:AJ32 AL24:AL32 AX24:AX32 AZ24:AZ32 Q24:Q32 BG24:BG32 X24:X32 V24:V32 AE24:AE32 AC24:AC32 AS24:AS32 AQ24:AQ32 BE24:BE32 BN24:BN32 BL24:BL32 CB5:CB8 Q37:Q47 Q51 O41:O47 O51 X37:X47 X51 V37:V47 V51 AE37:AE47 AE51 AC37:AC47 AC51 AJ37:AJ47 AJ51 AL37:AL47 AL51 AS37:AS47 AS51 AQ37:AQ47 AQ51 AX37:AX47 AX51 AZ37:AZ47 AZ51 BG37:BG47 BG51 BE37:BE47 BE51 BN37:BN47 BN51 BL37:BL47 BL51 BU47 BU51 BS47 BS51 CB47 CB51 BZ47 BZ51 CI47 CI51 CG47 CG51 CP47 CP51 CN47 CN51 CW47 CW51 CU47 CU51 DD47 DD51 DB47 DB51 O24:O28 O30:O32">
    <cfRule type="expression" dxfId="2116" priority="3845">
      <formula>OR(IF(O5&lt;P5,TRUE),IF(AND(P5="",O5&lt;&gt;""),TRUE))</formula>
    </cfRule>
    <cfRule type="expression" dxfId="2115" priority="3846">
      <formula>IF(O5&gt;=P5,IF(O5="",FALSE,TRUE))</formula>
    </cfRule>
  </conditionalFormatting>
  <conditionalFormatting sqref="O22:O23 O29">
    <cfRule type="expression" dxfId="2114" priority="3786">
      <formula>OR(IF(O22&lt;P22,TRUE),IF(AND(P22="",O22&lt;&gt;""),TRUE))</formula>
    </cfRule>
    <cfRule type="expression" dxfId="2113" priority="3787">
      <formula>IF(O22&gt;=P22,IF(O22="",FALSE,TRUE))</formula>
    </cfRule>
  </conditionalFormatting>
  <conditionalFormatting sqref="Q22:Q23">
    <cfRule type="expression" dxfId="2112" priority="3784">
      <formula>OR(IF(Q22&lt;R22,TRUE),IF(AND(R22="",Q22&lt;&gt;""),TRUE))</formula>
    </cfRule>
    <cfRule type="expression" dxfId="2111" priority="3785">
      <formula>IF(Q22&gt;=R22,IF(Q22="",FALSE,TRUE))</formula>
    </cfRule>
  </conditionalFormatting>
  <conditionalFormatting sqref="BE22:BE23">
    <cfRule type="expression" dxfId="2110" priority="3676">
      <formula>OR(IF(BE22&lt;BF22,TRUE),IF(AND(BF22="",BE22&lt;&gt;""),TRUE))</formula>
    </cfRule>
    <cfRule type="expression" dxfId="2109" priority="3677">
      <formula>IF(BE22&gt;=BF22,IF(BE22="",FALSE,TRUE))</formula>
    </cfRule>
  </conditionalFormatting>
  <conditionalFormatting sqref="V22:V23">
    <cfRule type="expression" dxfId="2108" priority="3756">
      <formula>OR(IF(V22&lt;W22,TRUE),IF(AND(W22="",V22&lt;&gt;""),TRUE))</formula>
    </cfRule>
    <cfRule type="expression" dxfId="2107" priority="3757">
      <formula>IF(V22&gt;=W22,IF(V22="",FALSE,TRUE))</formula>
    </cfRule>
  </conditionalFormatting>
  <conditionalFormatting sqref="X22:X23">
    <cfRule type="expression" dxfId="2106" priority="3754">
      <formula>OR(IF(X22&lt;Y22,TRUE),IF(AND(Y22="",X22&lt;&gt;""),TRUE))</formula>
    </cfRule>
    <cfRule type="expression" dxfId="2105" priority="3755">
      <formula>IF(X22&gt;=Y22,IF(X22="",FALSE,TRUE))</formula>
    </cfRule>
  </conditionalFormatting>
  <conditionalFormatting sqref="AC22:AC23">
    <cfRule type="expression" dxfId="2104" priority="3740">
      <formula>OR(IF(AC22&lt;AD22,TRUE),IF(AND(AD22="",AC22&lt;&gt;""),TRUE))</formula>
    </cfRule>
    <cfRule type="expression" dxfId="2103" priority="3741">
      <formula>IF(AC22&gt;=AD22,IF(AC22="",FALSE,TRUE))</formula>
    </cfRule>
  </conditionalFormatting>
  <conditionalFormatting sqref="AE22:AE23">
    <cfRule type="expression" dxfId="2102" priority="3738">
      <formula>OR(IF(AE22&lt;AF22,TRUE),IF(AND(AF22="",AE22&lt;&gt;""),TRUE))</formula>
    </cfRule>
    <cfRule type="expression" dxfId="2101" priority="3739">
      <formula>IF(AE22&gt;=AF22,IF(AE22="",FALSE,TRUE))</formula>
    </cfRule>
  </conditionalFormatting>
  <conditionalFormatting sqref="AJ22:AJ23">
    <cfRule type="expression" dxfId="2100" priority="3724">
      <formula>OR(IF(AJ22&lt;AK22,TRUE),IF(AND(AK22="",AJ22&lt;&gt;""),TRUE))</formula>
    </cfRule>
    <cfRule type="expression" dxfId="2099" priority="3725">
      <formula>IF(AJ22&gt;=AK22,IF(AJ22="",FALSE,TRUE))</formula>
    </cfRule>
  </conditionalFormatting>
  <conditionalFormatting sqref="AL22:AL23">
    <cfRule type="expression" dxfId="2098" priority="3722">
      <formula>OR(IF(AL22&lt;AM22,TRUE),IF(AND(AM22="",AL22&lt;&gt;""),TRUE))</formula>
    </cfRule>
    <cfRule type="expression" dxfId="2097" priority="3723">
      <formula>IF(AL22&gt;=AM22,IF(AL22="",FALSE,TRUE))</formula>
    </cfRule>
  </conditionalFormatting>
  <conditionalFormatting sqref="AQ22:AQ23">
    <cfRule type="expression" dxfId="2096" priority="3708">
      <formula>OR(IF(AQ22&lt;AR22,TRUE),IF(AND(AR22="",AQ22&lt;&gt;""),TRUE))</formula>
    </cfRule>
    <cfRule type="expression" dxfId="2095" priority="3709">
      <formula>IF(AQ22&gt;=AR22,IF(AQ22="",FALSE,TRUE))</formula>
    </cfRule>
  </conditionalFormatting>
  <conditionalFormatting sqref="AS22:AS23">
    <cfRule type="expression" dxfId="2094" priority="3706">
      <formula>OR(IF(AS22&lt;AT22,TRUE),IF(AND(AT22="",AS22&lt;&gt;""),TRUE))</formula>
    </cfRule>
    <cfRule type="expression" dxfId="2093" priority="3707">
      <formula>IF(AS22&gt;=AT22,IF(AS22="",FALSE,TRUE))</formula>
    </cfRule>
  </conditionalFormatting>
  <conditionalFormatting sqref="AX22:AX23">
    <cfRule type="expression" dxfId="2092" priority="3692">
      <formula>OR(IF(AX22&lt;AY22,TRUE),IF(AND(AY22="",AX22&lt;&gt;""),TRUE))</formula>
    </cfRule>
    <cfRule type="expression" dxfId="2091" priority="3693">
      <formula>IF(AX22&gt;=AY22,IF(AX22="",FALSE,TRUE))</formula>
    </cfRule>
  </conditionalFormatting>
  <conditionalFormatting sqref="AZ22:AZ23">
    <cfRule type="expression" dxfId="2090" priority="3690">
      <formula>OR(IF(AZ22&lt;BA22,TRUE),IF(AND(BA22="",AZ22&lt;&gt;""),TRUE))</formula>
    </cfRule>
    <cfRule type="expression" dxfId="2089" priority="3691">
      <formula>IF(AZ22&gt;=BA22,IF(AZ22="",FALSE,TRUE))</formula>
    </cfRule>
  </conditionalFormatting>
  <conditionalFormatting sqref="BG22:BG23">
    <cfRule type="expression" dxfId="2088" priority="3674">
      <formula>OR(IF(BG22&lt;BH22,TRUE),IF(AND(BH22="",BG22&lt;&gt;""),TRUE))</formula>
    </cfRule>
    <cfRule type="expression" dxfId="2087" priority="3675">
      <formula>IF(BG22&gt;=BH22,IF(BG22="",FALSE,TRUE))</formula>
    </cfRule>
  </conditionalFormatting>
  <conditionalFormatting sqref="BL22:BL23">
    <cfRule type="expression" dxfId="2086" priority="3652">
      <formula>OR(IF(BL22&lt;BM22,TRUE),IF(AND(BM22="",BL22&lt;&gt;""),TRUE))</formula>
    </cfRule>
    <cfRule type="expression" dxfId="2085" priority="3653">
      <formula>IF(BL22&gt;=BM22,IF(BL22="",FALSE,TRUE))</formula>
    </cfRule>
  </conditionalFormatting>
  <conditionalFormatting sqref="BN22:BN23">
    <cfRule type="expression" dxfId="2084" priority="3650">
      <formula>OR(IF(BN22&lt;BO22,TRUE),IF(AND(BO22="",BN22&lt;&gt;""),TRUE))</formula>
    </cfRule>
    <cfRule type="expression" dxfId="2083" priority="3651">
      <formula>IF(BN22&gt;=BO22,IF(BN22="",FALSE,TRUE))</formula>
    </cfRule>
  </conditionalFormatting>
  <conditionalFormatting sqref="O35:O40">
    <cfRule type="expression" dxfId="2082" priority="3573">
      <formula>OR(IF(O35&lt;P35,TRUE),IF(AND(P35="",O35&lt;&gt;""),TRUE))</formula>
    </cfRule>
    <cfRule type="expression" dxfId="2081" priority="3574">
      <formula>IF(O35&gt;=P35,IF(O35="",FALSE,TRUE))</formula>
    </cfRule>
  </conditionalFormatting>
  <conditionalFormatting sqref="Q35:Q36">
    <cfRule type="expression" dxfId="2080" priority="3571">
      <formula>OR(IF(Q35&lt;R35,TRUE),IF(AND(R35="",Q35&lt;&gt;""),TRUE))</formula>
    </cfRule>
    <cfRule type="expression" dxfId="2079" priority="3572">
      <formula>IF(Q35&gt;=R35,IF(Q35="",FALSE,TRUE))</formula>
    </cfRule>
  </conditionalFormatting>
  <conditionalFormatting sqref="BE35:BE36">
    <cfRule type="expression" dxfId="2078" priority="3525">
      <formula>OR(IF(BE35&lt;BF35,TRUE),IF(AND(BF35="",BE35&lt;&gt;""),TRUE))</formula>
    </cfRule>
    <cfRule type="expression" dxfId="2077" priority="3526">
      <formula>IF(BE35&gt;=BF35,IF(BE35="",FALSE,TRUE))</formula>
    </cfRule>
  </conditionalFormatting>
  <conditionalFormatting sqref="V35:V36">
    <cfRule type="expression" dxfId="2076" priority="3565">
      <formula>OR(IF(V35&lt;W35,TRUE),IF(AND(W35="",V35&lt;&gt;""),TRUE))</formula>
    </cfRule>
    <cfRule type="expression" dxfId="2075" priority="3566">
      <formula>IF(V35&gt;=W35,IF(V35="",FALSE,TRUE))</formula>
    </cfRule>
  </conditionalFormatting>
  <conditionalFormatting sqref="X35:X36">
    <cfRule type="expression" dxfId="2074" priority="3563">
      <formula>OR(IF(X35&lt;Y35,TRUE),IF(AND(Y35="",X35&lt;&gt;""),TRUE))</formula>
    </cfRule>
    <cfRule type="expression" dxfId="2073" priority="3564">
      <formula>IF(X35&gt;=Y35,IF(X35="",FALSE,TRUE))</formula>
    </cfRule>
  </conditionalFormatting>
  <conditionalFormatting sqref="AC35:AC36">
    <cfRule type="expression" dxfId="2072" priority="3557">
      <formula>OR(IF(AC35&lt;AD35,TRUE),IF(AND(AD35="",AC35&lt;&gt;""),TRUE))</formula>
    </cfRule>
    <cfRule type="expression" dxfId="2071" priority="3558">
      <formula>IF(AC35&gt;=AD35,IF(AC35="",FALSE,TRUE))</formula>
    </cfRule>
  </conditionalFormatting>
  <conditionalFormatting sqref="AE35:AE36">
    <cfRule type="expression" dxfId="2070" priority="3555">
      <formula>OR(IF(AE35&lt;AF35,TRUE),IF(AND(AF35="",AE35&lt;&gt;""),TRUE))</formula>
    </cfRule>
    <cfRule type="expression" dxfId="2069" priority="3556">
      <formula>IF(AE35&gt;=AF35,IF(AE35="",FALSE,TRUE))</formula>
    </cfRule>
  </conditionalFormatting>
  <conditionalFormatting sqref="AJ35:AJ36">
    <cfRule type="expression" dxfId="2068" priority="3549">
      <formula>OR(IF(AJ35&lt;AK35,TRUE),IF(AND(AK35="",AJ35&lt;&gt;""),TRUE))</formula>
    </cfRule>
    <cfRule type="expression" dxfId="2067" priority="3550">
      <formula>IF(AJ35&gt;=AK35,IF(AJ35="",FALSE,TRUE))</formula>
    </cfRule>
  </conditionalFormatting>
  <conditionalFormatting sqref="AL35:AL36">
    <cfRule type="expression" dxfId="2066" priority="3547">
      <formula>OR(IF(AL35&lt;AM35,TRUE),IF(AND(AM35="",AL35&lt;&gt;""),TRUE))</formula>
    </cfRule>
    <cfRule type="expression" dxfId="2065" priority="3548">
      <formula>IF(AL35&gt;=AM35,IF(AL35="",FALSE,TRUE))</formula>
    </cfRule>
  </conditionalFormatting>
  <conditionalFormatting sqref="AQ35:AQ36">
    <cfRule type="expression" dxfId="2064" priority="3541">
      <formula>OR(IF(AQ35&lt;AR35,TRUE),IF(AND(AR35="",AQ35&lt;&gt;""),TRUE))</formula>
    </cfRule>
    <cfRule type="expression" dxfId="2063" priority="3542">
      <formula>IF(AQ35&gt;=AR35,IF(AQ35="",FALSE,TRUE))</formula>
    </cfRule>
  </conditionalFormatting>
  <conditionalFormatting sqref="AS35:AS36">
    <cfRule type="expression" dxfId="2062" priority="3539">
      <formula>OR(IF(AS35&lt;AT35,TRUE),IF(AND(AT35="",AS35&lt;&gt;""),TRUE))</formula>
    </cfRule>
    <cfRule type="expression" dxfId="2061" priority="3540">
      <formula>IF(AS35&gt;=AT35,IF(AS35="",FALSE,TRUE))</formula>
    </cfRule>
  </conditionalFormatting>
  <conditionalFormatting sqref="AX35:AX36">
    <cfRule type="expression" dxfId="2060" priority="3533">
      <formula>OR(IF(AX35&lt;AY35,TRUE),IF(AND(AY35="",AX35&lt;&gt;""),TRUE))</formula>
    </cfRule>
    <cfRule type="expression" dxfId="2059" priority="3534">
      <formula>IF(AX35&gt;=AY35,IF(AX35="",FALSE,TRUE))</formula>
    </cfRule>
  </conditionalFormatting>
  <conditionalFormatting sqref="AZ35:AZ36">
    <cfRule type="expression" dxfId="2058" priority="3531">
      <formula>OR(IF(AZ35&lt;BA35,TRUE),IF(AND(BA35="",AZ35&lt;&gt;""),TRUE))</formula>
    </cfRule>
    <cfRule type="expression" dxfId="2057" priority="3532">
      <formula>IF(AZ35&gt;=BA35,IF(AZ35="",FALSE,TRUE))</formula>
    </cfRule>
  </conditionalFormatting>
  <conditionalFormatting sqref="BG35:BG36">
    <cfRule type="expression" dxfId="2056" priority="3523">
      <formula>OR(IF(BG35&lt;BH35,TRUE),IF(AND(BH35="",BG35&lt;&gt;""),TRUE))</formula>
    </cfRule>
    <cfRule type="expression" dxfId="2055" priority="3524">
      <formula>IF(BG35&gt;=BH35,IF(BG35="",FALSE,TRUE))</formula>
    </cfRule>
  </conditionalFormatting>
  <conditionalFormatting sqref="BL35:BL36">
    <cfRule type="expression" dxfId="2054" priority="3514">
      <formula>OR(IF(BL35&lt;BM35,TRUE),IF(AND(BM35="",BL35&lt;&gt;""),TRUE))</formula>
    </cfRule>
    <cfRule type="expression" dxfId="2053" priority="3515">
      <formula>IF(BL35&gt;=BM35,IF(BL35="",FALSE,TRUE))</formula>
    </cfRule>
  </conditionalFormatting>
  <conditionalFormatting sqref="BN35:BN36">
    <cfRule type="expression" dxfId="2052" priority="3512">
      <formula>OR(IF(BN35&lt;BO35,TRUE),IF(AND(BO35="",BN35&lt;&gt;""),TRUE))</formula>
    </cfRule>
    <cfRule type="expression" dxfId="2051" priority="3513">
      <formula>IF(BN35&gt;=BO35,IF(BN35="",FALSE,TRUE))</formula>
    </cfRule>
  </conditionalFormatting>
  <conditionalFormatting sqref="J6:K19">
    <cfRule type="colorScale" priority="3848">
      <colorScale>
        <cfvo type="percent" val="0"/>
        <cfvo type="percent" val="100"/>
        <color rgb="FFFF231B"/>
        <color rgb="FF10FF07"/>
      </colorScale>
    </cfRule>
  </conditionalFormatting>
  <conditionalFormatting sqref="J5:J19">
    <cfRule type="colorScale" priority="3877">
      <colorScale>
        <cfvo type="percent" val="0"/>
        <cfvo type="percent" val="100"/>
        <color rgb="FFFF231B"/>
        <color rgb="FF10FF07"/>
      </colorScale>
    </cfRule>
  </conditionalFormatting>
  <conditionalFormatting sqref="K5:K19">
    <cfRule type="colorScale" priority="3878">
      <colorScale>
        <cfvo type="percent" val="0"/>
        <cfvo type="percent" val="100"/>
        <color rgb="FFFF231B"/>
        <color rgb="FF10FF07"/>
      </colorScale>
    </cfRule>
  </conditionalFormatting>
  <conditionalFormatting sqref="J23:K32">
    <cfRule type="colorScale" priority="3935">
      <colorScale>
        <cfvo type="percent" val="0"/>
        <cfvo type="percent" val="100"/>
        <color rgb="FFFF231B"/>
        <color rgb="FF10FF07"/>
      </colorScale>
    </cfRule>
  </conditionalFormatting>
  <conditionalFormatting sqref="J22:J32">
    <cfRule type="colorScale" priority="3937">
      <colorScale>
        <cfvo type="percent" val="0"/>
        <cfvo type="percent" val="100"/>
        <color rgb="FFFF231B"/>
        <color rgb="FF10FF07"/>
      </colorScale>
    </cfRule>
  </conditionalFormatting>
  <conditionalFormatting sqref="K22:K32">
    <cfRule type="colorScale" priority="3939">
      <colorScale>
        <cfvo type="percent" val="0"/>
        <cfvo type="percent" val="100"/>
        <color rgb="FFFF231B"/>
        <color rgb="FF10FF07"/>
      </colorScale>
    </cfRule>
  </conditionalFormatting>
  <conditionalFormatting sqref="J36:K46">
    <cfRule type="colorScale" priority="3968">
      <colorScale>
        <cfvo type="percent" val="0"/>
        <cfvo type="percent" val="100"/>
        <color rgb="FFFF231B"/>
        <color rgb="FF10FF07"/>
      </colorScale>
    </cfRule>
  </conditionalFormatting>
  <conditionalFormatting sqref="J35:J46">
    <cfRule type="colorScale" priority="3970">
      <colorScale>
        <cfvo type="percent" val="0"/>
        <cfvo type="percent" val="100"/>
        <color rgb="FFFF231B"/>
        <color rgb="FF10FF07"/>
      </colorScale>
    </cfRule>
  </conditionalFormatting>
  <conditionalFormatting sqref="K35:K46">
    <cfRule type="colorScale" priority="3972">
      <colorScale>
        <cfvo type="percent" val="0"/>
        <cfvo type="percent" val="100"/>
        <color rgb="FFFF231B"/>
        <color rgb="FF10FF07"/>
      </colorScale>
    </cfRule>
  </conditionalFormatting>
  <conditionalFormatting sqref="BS5:BS19 BU5:BU19 BU24:BU32 BS24:BS32 BU37:BU46 BS37:BS46">
    <cfRule type="expression" dxfId="2050" priority="3401">
      <formula>OR(IF(BS5&lt;BT5,TRUE),IF(AND(BT5="",BS5&lt;&gt;""),TRUE))</formula>
    </cfRule>
    <cfRule type="expression" dxfId="2049" priority="3402">
      <formula>IF(BS5&gt;=BT5,IF(BS5="",FALSE,TRUE))</formula>
    </cfRule>
  </conditionalFormatting>
  <conditionalFormatting sqref="BS22:BS23">
    <cfRule type="expression" dxfId="2048" priority="3397">
      <formula>OR(IF(BS22&lt;BT22,TRUE),IF(AND(BT22="",BS22&lt;&gt;""),TRUE))</formula>
    </cfRule>
    <cfRule type="expression" dxfId="2047" priority="3398">
      <formula>IF(BS22&gt;=BT22,IF(BS22="",FALSE,TRUE))</formula>
    </cfRule>
  </conditionalFormatting>
  <conditionalFormatting sqref="BU22:BU23">
    <cfRule type="expression" dxfId="2046" priority="3395">
      <formula>OR(IF(BU22&lt;BV22,TRUE),IF(AND(BV22="",BU22&lt;&gt;""),TRUE))</formula>
    </cfRule>
    <cfRule type="expression" dxfId="2045" priority="3396">
      <formula>IF(BU22&gt;=BV22,IF(BU22="",FALSE,TRUE))</formula>
    </cfRule>
  </conditionalFormatting>
  <conditionalFormatting sqref="BS35:BS36">
    <cfRule type="expression" dxfId="2044" priority="3389">
      <formula>OR(IF(BS35&lt;BT35,TRUE),IF(AND(BT35="",BS35&lt;&gt;""),TRUE))</formula>
    </cfRule>
    <cfRule type="expression" dxfId="2043" priority="3390">
      <formula>IF(BS35&gt;=BT35,IF(BS35="",FALSE,TRUE))</formula>
    </cfRule>
  </conditionalFormatting>
  <conditionalFormatting sqref="BU35:BU36">
    <cfRule type="expression" dxfId="2042" priority="3387">
      <formula>OR(IF(BU35&lt;BV35,TRUE),IF(AND(BV35="",BU35&lt;&gt;""),TRUE))</formula>
    </cfRule>
    <cfRule type="expression" dxfId="2041" priority="3388">
      <formula>IF(BU35&gt;=BV35,IF(BU35="",FALSE,TRUE))</formula>
    </cfRule>
  </conditionalFormatting>
  <conditionalFormatting sqref="BZ5:BZ19 CB24:CB32 BZ24:BZ32 CB37:CB46 BZ37:BZ46">
    <cfRule type="expression" dxfId="2040" priority="3381">
      <formula>OR(IF(BZ5&lt;CA5,TRUE),IF(AND(CA5="",BZ5&lt;&gt;""),TRUE))</formula>
    </cfRule>
    <cfRule type="expression" dxfId="2039" priority="3382">
      <formula>IF(BZ5&gt;=CA5,IF(BZ5="",FALSE,TRUE))</formula>
    </cfRule>
  </conditionalFormatting>
  <conditionalFormatting sqref="BZ22:BZ23">
    <cfRule type="expression" dxfId="2038" priority="3377">
      <formula>OR(IF(BZ22&lt;CA22,TRUE),IF(AND(CA22="",BZ22&lt;&gt;""),TRUE))</formula>
    </cfRule>
    <cfRule type="expression" dxfId="2037" priority="3378">
      <formula>IF(BZ22&gt;=CA22,IF(BZ22="",FALSE,TRUE))</formula>
    </cfRule>
  </conditionalFormatting>
  <conditionalFormatting sqref="CB22:CB23">
    <cfRule type="expression" dxfId="2036" priority="3375">
      <formula>OR(IF(CB22&lt;CC22,TRUE),IF(AND(CC22="",CB22&lt;&gt;""),TRUE))</formula>
    </cfRule>
    <cfRule type="expression" dxfId="2035" priority="3376">
      <formula>IF(CB22&gt;=CC22,IF(CB22="",FALSE,TRUE))</formula>
    </cfRule>
  </conditionalFormatting>
  <conditionalFormatting sqref="BZ35:BZ36">
    <cfRule type="expression" dxfId="2034" priority="3369">
      <formula>OR(IF(BZ35&lt;CA35,TRUE),IF(AND(CA35="",BZ35&lt;&gt;""),TRUE))</formula>
    </cfRule>
    <cfRule type="expression" dxfId="2033" priority="3370">
      <formula>IF(BZ35&gt;=CA35,IF(BZ35="",FALSE,TRUE))</formula>
    </cfRule>
  </conditionalFormatting>
  <conditionalFormatting sqref="CB35:CB36">
    <cfRule type="expression" dxfId="2032" priority="3367">
      <formula>OR(IF(CB35&lt;CC35,TRUE),IF(AND(CC35="",CB35&lt;&gt;""),TRUE))</formula>
    </cfRule>
    <cfRule type="expression" dxfId="2031" priority="3368">
      <formula>IF(CB35&gt;=CC35,IF(CB35="",FALSE,TRUE))</formula>
    </cfRule>
  </conditionalFormatting>
  <conditionalFormatting sqref="CG5:CG19 CI5:CI19 CI24:CI32 CG24:CG32 CI37:CI46 CG37:CG46">
    <cfRule type="expression" dxfId="2030" priority="3361">
      <formula>OR(IF(CG5&lt;CH5,TRUE),IF(AND(CH5="",CG5&lt;&gt;""),TRUE))</formula>
    </cfRule>
    <cfRule type="expression" dxfId="2029" priority="3362">
      <formula>IF(CG5&gt;=CH5,IF(CG5="",FALSE,TRUE))</formula>
    </cfRule>
  </conditionalFormatting>
  <conditionalFormatting sqref="CG22:CG23">
    <cfRule type="expression" dxfId="2028" priority="3357">
      <formula>OR(IF(CG22&lt;CH22,TRUE),IF(AND(CH22="",CG22&lt;&gt;""),TRUE))</formula>
    </cfRule>
    <cfRule type="expression" dxfId="2027" priority="3358">
      <formula>IF(CG22&gt;=CH22,IF(CG22="",FALSE,TRUE))</formula>
    </cfRule>
  </conditionalFormatting>
  <conditionalFormatting sqref="CI22:CI23">
    <cfRule type="expression" dxfId="2026" priority="3355">
      <formula>OR(IF(CI22&lt;CJ22,TRUE),IF(AND(CJ22="",CI22&lt;&gt;""),TRUE))</formula>
    </cfRule>
    <cfRule type="expression" dxfId="2025" priority="3356">
      <formula>IF(CI22&gt;=CJ22,IF(CI22="",FALSE,TRUE))</formula>
    </cfRule>
  </conditionalFormatting>
  <conditionalFormatting sqref="CG35:CG36">
    <cfRule type="expression" dxfId="2024" priority="3349">
      <formula>OR(IF(CG35&lt;CH35,TRUE),IF(AND(CH35="",CG35&lt;&gt;""),TRUE))</formula>
    </cfRule>
    <cfRule type="expression" dxfId="2023" priority="3350">
      <formula>IF(CG35&gt;=CH35,IF(CG35="",FALSE,TRUE))</formula>
    </cfRule>
  </conditionalFormatting>
  <conditionalFormatting sqref="CI35:CI36">
    <cfRule type="expression" dxfId="2022" priority="3347">
      <formula>OR(IF(CI35&lt;CJ35,TRUE),IF(AND(CJ35="",CI35&lt;&gt;""),TRUE))</formula>
    </cfRule>
    <cfRule type="expression" dxfId="2021" priority="3348">
      <formula>IF(CI35&gt;=CJ35,IF(CI35="",FALSE,TRUE))</formula>
    </cfRule>
  </conditionalFormatting>
  <conditionalFormatting sqref="CN5:CN19 CP5:CP19 CP24:CP32 CN24:CN32 CP37:CP46 CN37:CN46">
    <cfRule type="expression" dxfId="2020" priority="3341">
      <formula>OR(IF(CN5&lt;CO5,TRUE),IF(AND(CO5="",CN5&lt;&gt;""),TRUE))</formula>
    </cfRule>
    <cfRule type="expression" dxfId="2019" priority="3342">
      <formula>IF(CN5&gt;=CO5,IF(CN5="",FALSE,TRUE))</formula>
    </cfRule>
  </conditionalFormatting>
  <conditionalFormatting sqref="CN22:CN23">
    <cfRule type="expression" dxfId="2018" priority="3337">
      <formula>OR(IF(CN22&lt;CO22,TRUE),IF(AND(CO22="",CN22&lt;&gt;""),TRUE))</formula>
    </cfRule>
    <cfRule type="expression" dxfId="2017" priority="3338">
      <formula>IF(CN22&gt;=CO22,IF(CN22="",FALSE,TRUE))</formula>
    </cfRule>
  </conditionalFormatting>
  <conditionalFormatting sqref="CP22:CP23">
    <cfRule type="expression" dxfId="2016" priority="3335">
      <formula>OR(IF(CP22&lt;CQ22,TRUE),IF(AND(CQ22="",CP22&lt;&gt;""),TRUE))</formula>
    </cfRule>
    <cfRule type="expression" dxfId="2015" priority="3336">
      <formula>IF(CP22&gt;=CQ22,IF(CP22="",FALSE,TRUE))</formula>
    </cfRule>
  </conditionalFormatting>
  <conditionalFormatting sqref="CN35:CN36">
    <cfRule type="expression" dxfId="2014" priority="3329">
      <formula>OR(IF(CN35&lt;CO35,TRUE),IF(AND(CO35="",CN35&lt;&gt;""),TRUE))</formula>
    </cfRule>
    <cfRule type="expression" dxfId="2013" priority="3330">
      <formula>IF(CN35&gt;=CO35,IF(CN35="",FALSE,TRUE))</formula>
    </cfRule>
  </conditionalFormatting>
  <conditionalFormatting sqref="CP35:CP36">
    <cfRule type="expression" dxfId="2012" priority="3327">
      <formula>OR(IF(CP35&lt;CQ35,TRUE),IF(AND(CQ35="",CP35&lt;&gt;""),TRUE))</formula>
    </cfRule>
    <cfRule type="expression" dxfId="2011" priority="3328">
      <formula>IF(CP35&gt;=CQ35,IF(CP35="",FALSE,TRUE))</formula>
    </cfRule>
  </conditionalFormatting>
  <conditionalFormatting sqref="CU5:CU19 CW5:CW19 CW24:CW32 CU24:CU32 CW37:CW46 CU37:CU46">
    <cfRule type="expression" dxfId="2010" priority="3321">
      <formula>OR(IF(CU5&lt;CV5,TRUE),IF(AND(CV5="",CU5&lt;&gt;""),TRUE))</formula>
    </cfRule>
    <cfRule type="expression" dxfId="2009" priority="3322">
      <formula>IF(CU5&gt;=CV5,IF(CU5="",FALSE,TRUE))</formula>
    </cfRule>
  </conditionalFormatting>
  <conditionalFormatting sqref="CU22:CU23">
    <cfRule type="expression" dxfId="2008" priority="3317">
      <formula>OR(IF(CU22&lt;CV22,TRUE),IF(AND(CV22="",CU22&lt;&gt;""),TRUE))</formula>
    </cfRule>
    <cfRule type="expression" dxfId="2007" priority="3318">
      <formula>IF(CU22&gt;=CV22,IF(CU22="",FALSE,TRUE))</formula>
    </cfRule>
  </conditionalFormatting>
  <conditionalFormatting sqref="CW22:CW23">
    <cfRule type="expression" dxfId="2006" priority="3315">
      <formula>OR(IF(CW22&lt;CX22,TRUE),IF(AND(CX22="",CW22&lt;&gt;""),TRUE))</formula>
    </cfRule>
    <cfRule type="expression" dxfId="2005" priority="3316">
      <formula>IF(CW22&gt;=CX22,IF(CW22="",FALSE,TRUE))</formula>
    </cfRule>
  </conditionalFormatting>
  <conditionalFormatting sqref="CU35:CU36">
    <cfRule type="expression" dxfId="2004" priority="3309">
      <formula>OR(IF(CU35&lt;CV35,TRUE),IF(AND(CV35="",CU35&lt;&gt;""),TRUE))</formula>
    </cfRule>
    <cfRule type="expression" dxfId="2003" priority="3310">
      <formula>IF(CU35&gt;=CV35,IF(CU35="",FALSE,TRUE))</formula>
    </cfRule>
  </conditionalFormatting>
  <conditionalFormatting sqref="CW35:CW36">
    <cfRule type="expression" dxfId="2002" priority="3307">
      <formula>OR(IF(CW35&lt;CX35,TRUE),IF(AND(CX35="",CW35&lt;&gt;""),TRUE))</formula>
    </cfRule>
    <cfRule type="expression" dxfId="2001" priority="3308">
      <formula>IF(CW35&gt;=CX35,IF(CW35="",FALSE,TRUE))</formula>
    </cfRule>
  </conditionalFormatting>
  <conditionalFormatting sqref="DB5:DB19 DD5:DD19 DD24:DD32 DB24:DB32 DD37:DD46 DB37:DB46">
    <cfRule type="expression" dxfId="2000" priority="3301">
      <formula>OR(IF(DB5&lt;DC5,TRUE),IF(AND(DC5="",DB5&lt;&gt;""),TRUE))</formula>
    </cfRule>
    <cfRule type="expression" dxfId="1999" priority="3302">
      <formula>IF(DB5&gt;=DC5,IF(DB5="",FALSE,TRUE))</formula>
    </cfRule>
  </conditionalFormatting>
  <conditionalFormatting sqref="DB22:DB23">
    <cfRule type="expression" dxfId="1998" priority="3297">
      <formula>OR(IF(DB22&lt;DC22,TRUE),IF(AND(DC22="",DB22&lt;&gt;""),TRUE))</formula>
    </cfRule>
    <cfRule type="expression" dxfId="1997" priority="3298">
      <formula>IF(DB22&gt;=DC22,IF(DB22="",FALSE,TRUE))</formula>
    </cfRule>
  </conditionalFormatting>
  <conditionalFormatting sqref="DD22:DD23">
    <cfRule type="expression" dxfId="1996" priority="3295">
      <formula>OR(IF(DD22&lt;DE22,TRUE),IF(AND(DE22="",DD22&lt;&gt;""),TRUE))</formula>
    </cfRule>
    <cfRule type="expression" dxfId="1995" priority="3296">
      <formula>IF(DD22&gt;=DE22,IF(DD22="",FALSE,TRUE))</formula>
    </cfRule>
  </conditionalFormatting>
  <conditionalFormatting sqref="DB35:DB36">
    <cfRule type="expression" dxfId="1994" priority="3289">
      <formula>OR(IF(DB35&lt;DC35,TRUE),IF(AND(DC35="",DB35&lt;&gt;""),TRUE))</formula>
    </cfRule>
    <cfRule type="expression" dxfId="1993" priority="3290">
      <formula>IF(DB35&gt;=DC35,IF(DB35="",FALSE,TRUE))</formula>
    </cfRule>
  </conditionalFormatting>
  <conditionalFormatting sqref="DD35:DD36">
    <cfRule type="expression" dxfId="1992" priority="3287">
      <formula>OR(IF(DD35&lt;DE35,TRUE),IF(AND(DE35="",DD35&lt;&gt;""),TRUE))</formula>
    </cfRule>
    <cfRule type="expression" dxfId="1991" priority="3288">
      <formula>IF(DD35&gt;=DE35,IF(DD35="",FALSE,TRUE))</formula>
    </cfRule>
  </conditionalFormatting>
  <conditionalFormatting sqref="CB10:CB19">
    <cfRule type="expression" dxfId="1990" priority="4035">
      <formula>OR(IF(CB10&lt;CC10,TRUE),IF(AND(CC10="",CB10&lt;&gt;""),TRUE))</formula>
    </cfRule>
    <cfRule type="expression" dxfId="1989" priority="4036">
      <formula>IF(CB10&gt;=CC10,IF(CB10="",FALSE,TRUE))</formula>
    </cfRule>
  </conditionalFormatting>
  <conditionalFormatting sqref="CB9">
    <cfRule type="expression" dxfId="1988" priority="3281">
      <formula>OR(IF(CB9&lt;CC9,TRUE),IF(AND(CC9="",CB9&lt;&gt;""),TRUE))</formula>
    </cfRule>
    <cfRule type="expression" dxfId="1987" priority="3282">
      <formula>IF(CB9&gt;=CC9,IF(CB9="",FALSE,TRUE))</formula>
    </cfRule>
  </conditionalFormatting>
  <conditionalFormatting sqref="J47:K47 J51:K51">
    <cfRule type="colorScale" priority="4243">
      <colorScale>
        <cfvo type="percent" val="0"/>
        <cfvo type="percent" val="100"/>
        <color rgb="FFFF231B"/>
        <color rgb="FF10FF07"/>
      </colorScale>
    </cfRule>
  </conditionalFormatting>
  <conditionalFormatting sqref="J47 J51">
    <cfRule type="colorScale" priority="4245">
      <colorScale>
        <cfvo type="percent" val="0"/>
        <cfvo type="percent" val="100"/>
        <color rgb="FFFF231B"/>
        <color rgb="FF10FF07"/>
      </colorScale>
    </cfRule>
  </conditionalFormatting>
  <conditionalFormatting sqref="K47 K51">
    <cfRule type="colorScale" priority="4247">
      <colorScale>
        <cfvo type="percent" val="0"/>
        <cfvo type="percent" val="100"/>
        <color rgb="FFFF231B"/>
        <color rgb="FF10FF07"/>
      </colorScale>
    </cfRule>
  </conditionalFormatting>
  <conditionalFormatting sqref="AJ54:AJ63">
    <cfRule type="expression" dxfId="1986" priority="3251">
      <formula>OR(IF(AJ54&lt;AK54,TRUE),IF(AND(AK54="",AJ54&lt;&gt;""),TRUE))</formula>
    </cfRule>
    <cfRule type="expression" dxfId="1985" priority="3252">
      <formula>IF(AJ54&gt;=AK54,IF(AJ54="",FALSE,TRUE))</formula>
    </cfRule>
  </conditionalFormatting>
  <conditionalFormatting sqref="AL54:AL63">
    <cfRule type="expression" dxfId="1984" priority="3249">
      <formula>OR(IF(AL54&lt;AM54,TRUE),IF(AND(AM54="",AL54&lt;&gt;""),TRUE))</formula>
    </cfRule>
    <cfRule type="expression" dxfId="1983" priority="3250">
      <formula>IF(AL54&gt;=AM54,IF(AL54="",FALSE,TRUE))</formula>
    </cfRule>
  </conditionalFormatting>
  <conditionalFormatting sqref="O52:O53">
    <cfRule type="expression" dxfId="1982" priority="3279">
      <formula>OR(IF(O52&lt;P52,TRUE),IF(AND(P52="",O52&lt;&gt;""),TRUE))</formula>
    </cfRule>
    <cfRule type="expression" dxfId="1981" priority="3280">
      <formula>IF(O52&gt;=P52,IF(O52="",FALSE,TRUE))</formula>
    </cfRule>
  </conditionalFormatting>
  <conditionalFormatting sqref="Q52:Q53">
    <cfRule type="expression" dxfId="1980" priority="3277">
      <formula>OR(IF(Q52&lt;R52,TRUE),IF(AND(R52="",Q52&lt;&gt;""),TRUE))</formula>
    </cfRule>
    <cfRule type="expression" dxfId="1979" priority="3278">
      <formula>IF(Q52&gt;=R52,IF(Q52="",FALSE,TRUE))</formula>
    </cfRule>
  </conditionalFormatting>
  <conditionalFormatting sqref="Q54:Q63">
    <cfRule type="expression" dxfId="1978" priority="3273">
      <formula>OR(IF(Q54&lt;R54,TRUE),IF(AND(R54="",Q54&lt;&gt;""),TRUE))</formula>
    </cfRule>
    <cfRule type="expression" dxfId="1977" priority="3274">
      <formula>IF(Q54&gt;=R54,IF(Q54="",FALSE,TRUE))</formula>
    </cfRule>
  </conditionalFormatting>
  <conditionalFormatting sqref="O54:O63">
    <cfRule type="expression" dxfId="1976" priority="3275">
      <formula>OR(IF(O54&lt;P54,TRUE),IF(AND(P54="",O54&lt;&gt;""),TRUE))</formula>
    </cfRule>
    <cfRule type="expression" dxfId="1975" priority="3276">
      <formula>IF(O54&gt;=P54,IF(O54="",FALSE,TRUE))</formula>
    </cfRule>
  </conditionalFormatting>
  <conditionalFormatting sqref="V52:V53">
    <cfRule type="expression" dxfId="1974" priority="3271">
      <formula>OR(IF(V52&lt;W52,TRUE),IF(AND(W52="",V52&lt;&gt;""),TRUE))</formula>
    </cfRule>
    <cfRule type="expression" dxfId="1973" priority="3272">
      <formula>IF(V52&gt;=W52,IF(V52="",FALSE,TRUE))</formula>
    </cfRule>
  </conditionalFormatting>
  <conditionalFormatting sqref="X52:X53">
    <cfRule type="expression" dxfId="1972" priority="3269">
      <formula>OR(IF(X52&lt;Y52,TRUE),IF(AND(Y52="",X52&lt;&gt;""),TRUE))</formula>
    </cfRule>
    <cfRule type="expression" dxfId="1971" priority="3270">
      <formula>IF(X52&gt;=Y52,IF(X52="",FALSE,TRUE))</formula>
    </cfRule>
  </conditionalFormatting>
  <conditionalFormatting sqref="X54:X63">
    <cfRule type="expression" dxfId="1970" priority="3265">
      <formula>OR(IF(X54&lt;Y54,TRUE),IF(AND(Y54="",X54&lt;&gt;""),TRUE))</formula>
    </cfRule>
    <cfRule type="expression" dxfId="1969" priority="3266">
      <formula>IF(X54&gt;=Y54,IF(X54="",FALSE,TRUE))</formula>
    </cfRule>
  </conditionalFormatting>
  <conditionalFormatting sqref="V54:V63">
    <cfRule type="expression" dxfId="1968" priority="3267">
      <formula>OR(IF(V54&lt;W54,TRUE),IF(AND(W54="",V54&lt;&gt;""),TRUE))</formula>
    </cfRule>
    <cfRule type="expression" dxfId="1967" priority="3268">
      <formula>IF(V54&gt;=W54,IF(V54="",FALSE,TRUE))</formula>
    </cfRule>
  </conditionalFormatting>
  <conditionalFormatting sqref="AC52:AC53">
    <cfRule type="expression" dxfId="1966" priority="3263">
      <formula>OR(IF(AC52&lt;AD52,TRUE),IF(AND(AD52="",AC52&lt;&gt;""),TRUE))</formula>
    </cfRule>
    <cfRule type="expression" dxfId="1965" priority="3264">
      <formula>IF(AC52&gt;=AD52,IF(AC52="",FALSE,TRUE))</formula>
    </cfRule>
  </conditionalFormatting>
  <conditionalFormatting sqref="AE52:AE53">
    <cfRule type="expression" dxfId="1964" priority="3261">
      <formula>OR(IF(AE52&lt;AF52,TRUE),IF(AND(AF52="",AE52&lt;&gt;""),TRUE))</formula>
    </cfRule>
    <cfRule type="expression" dxfId="1963" priority="3262">
      <formula>IF(AE52&gt;=AF52,IF(AE52="",FALSE,TRUE))</formula>
    </cfRule>
  </conditionalFormatting>
  <conditionalFormatting sqref="AE54:AE63">
    <cfRule type="expression" dxfId="1962" priority="3257">
      <formula>OR(IF(AE54&lt;AF54,TRUE),IF(AND(AF54="",AE54&lt;&gt;""),TRUE))</formula>
    </cfRule>
    <cfRule type="expression" dxfId="1961" priority="3258">
      <formula>IF(AE54&gt;=AF54,IF(AE54="",FALSE,TRUE))</formula>
    </cfRule>
  </conditionalFormatting>
  <conditionalFormatting sqref="AC54:AC63">
    <cfRule type="expression" dxfId="1960" priority="3259">
      <formula>OR(IF(AC54&lt;AD54,TRUE),IF(AND(AD54="",AC54&lt;&gt;""),TRUE))</formula>
    </cfRule>
    <cfRule type="expression" dxfId="1959" priority="3260">
      <formula>IF(AC54&gt;=AD54,IF(AC54="",FALSE,TRUE))</formula>
    </cfRule>
  </conditionalFormatting>
  <conditionalFormatting sqref="AJ52:AJ53">
    <cfRule type="expression" dxfId="1958" priority="3255">
      <formula>OR(IF(AJ52&lt;AK52,TRUE),IF(AND(AK52="",AJ52&lt;&gt;""),TRUE))</formula>
    </cfRule>
    <cfRule type="expression" dxfId="1957" priority="3256">
      <formula>IF(AJ52&gt;=AK52,IF(AJ52="",FALSE,TRUE))</formula>
    </cfRule>
  </conditionalFormatting>
  <conditionalFormatting sqref="AL52:AL53">
    <cfRule type="expression" dxfId="1956" priority="3253">
      <formula>OR(IF(AL52&lt;AM52,TRUE),IF(AND(AM52="",AL52&lt;&gt;""),TRUE))</formula>
    </cfRule>
    <cfRule type="expression" dxfId="1955" priority="3254">
      <formula>IF(AL52&gt;=AM52,IF(AL52="",FALSE,TRUE))</formula>
    </cfRule>
  </conditionalFormatting>
  <conditionalFormatting sqref="AQ52:AQ53">
    <cfRule type="expression" dxfId="1954" priority="3247">
      <formula>OR(IF(AQ52&lt;AR52,TRUE),IF(AND(AR52="",AQ52&lt;&gt;""),TRUE))</formula>
    </cfRule>
    <cfRule type="expression" dxfId="1953" priority="3248">
      <formula>IF(AQ52&gt;=AR52,IF(AQ52="",FALSE,TRUE))</formula>
    </cfRule>
  </conditionalFormatting>
  <conditionalFormatting sqref="AS52:AS53">
    <cfRule type="expression" dxfId="1952" priority="3245">
      <formula>OR(IF(AS52&lt;AT52,TRUE),IF(AND(AT52="",AS52&lt;&gt;""),TRUE))</formula>
    </cfRule>
    <cfRule type="expression" dxfId="1951" priority="3246">
      <formula>IF(AS52&gt;=AT52,IF(AS52="",FALSE,TRUE))</formula>
    </cfRule>
  </conditionalFormatting>
  <conditionalFormatting sqref="AS54:AS63">
    <cfRule type="expression" dxfId="1950" priority="3241">
      <formula>OR(IF(AS54&lt;AT54,TRUE),IF(AND(AT54="",AS54&lt;&gt;""),TRUE))</formula>
    </cfRule>
    <cfRule type="expression" dxfId="1949" priority="3242">
      <formula>IF(AS54&gt;=AT54,IF(AS54="",FALSE,TRUE))</formula>
    </cfRule>
  </conditionalFormatting>
  <conditionalFormatting sqref="AQ54:AQ63">
    <cfRule type="expression" dxfId="1948" priority="3243">
      <formula>OR(IF(AQ54&lt;AR54,TRUE),IF(AND(AR54="",AQ54&lt;&gt;""),TRUE))</formula>
    </cfRule>
    <cfRule type="expression" dxfId="1947" priority="3244">
      <formula>IF(AQ54&gt;=AR54,IF(AQ54="",FALSE,TRUE))</formula>
    </cfRule>
  </conditionalFormatting>
  <conditionalFormatting sqref="J53:K63">
    <cfRule type="colorScale" priority="3240">
      <colorScale>
        <cfvo type="percent" val="0"/>
        <cfvo type="percent" val="100"/>
        <color rgb="FFFF231B"/>
        <color rgb="FF10FF07"/>
      </colorScale>
    </cfRule>
  </conditionalFormatting>
  <conditionalFormatting sqref="J52:J63">
    <cfRule type="colorScale" priority="3239">
      <colorScale>
        <cfvo type="percent" val="0"/>
        <cfvo type="percent" val="100"/>
        <color rgb="FFFF231B"/>
        <color rgb="FF10FF07"/>
      </colorScale>
    </cfRule>
  </conditionalFormatting>
  <conditionalFormatting sqref="K52:K63">
    <cfRule type="colorScale" priority="3238">
      <colorScale>
        <cfvo type="percent" val="0"/>
        <cfvo type="percent" val="100"/>
        <color rgb="FFFF231B"/>
        <color rgb="FF10FF07"/>
      </colorScale>
    </cfRule>
  </conditionalFormatting>
  <conditionalFormatting sqref="AJ64">
    <cfRule type="expression" dxfId="1946" priority="3224">
      <formula>OR(IF(AJ64&lt;AK64,TRUE),IF(AND(AK64="",AJ64&lt;&gt;""),TRUE))</formula>
    </cfRule>
    <cfRule type="expression" dxfId="1945" priority="3225">
      <formula>IF(AJ64&gt;=AK64,IF(AJ64="",FALSE,TRUE))</formula>
    </cfRule>
  </conditionalFormatting>
  <conditionalFormatting sqref="AL64">
    <cfRule type="expression" dxfId="1944" priority="3222">
      <formula>OR(IF(AL64&lt;AM64,TRUE),IF(AND(AM64="",AL64&lt;&gt;""),TRUE))</formula>
    </cfRule>
    <cfRule type="expression" dxfId="1943" priority="3223">
      <formula>IF(AL64&gt;=AM64,IF(AL64="",FALSE,TRUE))</formula>
    </cfRule>
  </conditionalFormatting>
  <conditionalFormatting sqref="Q64">
    <cfRule type="expression" dxfId="1942" priority="3234">
      <formula>OR(IF(Q64&lt;R64,TRUE),IF(AND(R64="",Q64&lt;&gt;""),TRUE))</formula>
    </cfRule>
    <cfRule type="expression" dxfId="1941" priority="3235">
      <formula>IF(Q64&gt;=R64,IF(Q64="",FALSE,TRUE))</formula>
    </cfRule>
  </conditionalFormatting>
  <conditionalFormatting sqref="O64">
    <cfRule type="expression" dxfId="1940" priority="3236">
      <formula>OR(IF(O64&lt;P64,TRUE),IF(AND(P64="",O64&lt;&gt;""),TRUE))</formula>
    </cfRule>
    <cfRule type="expression" dxfId="1939" priority="3237">
      <formula>IF(O64&gt;=P64,IF(O64="",FALSE,TRUE))</formula>
    </cfRule>
  </conditionalFormatting>
  <conditionalFormatting sqref="X64">
    <cfRule type="expression" dxfId="1938" priority="3230">
      <formula>OR(IF(X64&lt;Y64,TRUE),IF(AND(Y64="",X64&lt;&gt;""),TRUE))</formula>
    </cfRule>
    <cfRule type="expression" dxfId="1937" priority="3231">
      <formula>IF(X64&gt;=Y64,IF(X64="",FALSE,TRUE))</formula>
    </cfRule>
  </conditionalFormatting>
  <conditionalFormatting sqref="V64">
    <cfRule type="expression" dxfId="1936" priority="3232">
      <formula>OR(IF(V64&lt;W64,TRUE),IF(AND(W64="",V64&lt;&gt;""),TRUE))</formula>
    </cfRule>
    <cfRule type="expression" dxfId="1935" priority="3233">
      <formula>IF(V64&gt;=W64,IF(V64="",FALSE,TRUE))</formula>
    </cfRule>
  </conditionalFormatting>
  <conditionalFormatting sqref="AE64">
    <cfRule type="expression" dxfId="1934" priority="3226">
      <formula>OR(IF(AE64&lt;AF64,TRUE),IF(AND(AF64="",AE64&lt;&gt;""),TRUE))</formula>
    </cfRule>
    <cfRule type="expression" dxfId="1933" priority="3227">
      <formula>IF(AE64&gt;=AF64,IF(AE64="",FALSE,TRUE))</formula>
    </cfRule>
  </conditionalFormatting>
  <conditionalFormatting sqref="AC64">
    <cfRule type="expression" dxfId="1932" priority="3228">
      <formula>OR(IF(AC64&lt;AD64,TRUE),IF(AND(AD64="",AC64&lt;&gt;""),TRUE))</formula>
    </cfRule>
    <cfRule type="expression" dxfId="1931" priority="3229">
      <formula>IF(AC64&gt;=AD64,IF(AC64="",FALSE,TRUE))</formula>
    </cfRule>
  </conditionalFormatting>
  <conditionalFormatting sqref="AS64">
    <cfRule type="expression" dxfId="1930" priority="3218">
      <formula>OR(IF(AS64&lt;AT64,TRUE),IF(AND(AT64="",AS64&lt;&gt;""),TRUE))</formula>
    </cfRule>
    <cfRule type="expression" dxfId="1929" priority="3219">
      <formula>IF(AS64&gt;=AT64,IF(AS64="",FALSE,TRUE))</formula>
    </cfRule>
  </conditionalFormatting>
  <conditionalFormatting sqref="AQ64">
    <cfRule type="expression" dxfId="1928" priority="3220">
      <formula>OR(IF(AQ64&lt;AR64,TRUE),IF(AND(AR64="",AQ64&lt;&gt;""),TRUE))</formula>
    </cfRule>
    <cfRule type="expression" dxfId="1927" priority="3221">
      <formula>IF(AQ64&gt;=AR64,IF(AQ64="",FALSE,TRUE))</formula>
    </cfRule>
  </conditionalFormatting>
  <conditionalFormatting sqref="J64:K64">
    <cfRule type="colorScale" priority="3217">
      <colorScale>
        <cfvo type="percent" val="0"/>
        <cfvo type="percent" val="100"/>
        <color rgb="FFFF231B"/>
        <color rgb="FF10FF07"/>
      </colorScale>
    </cfRule>
  </conditionalFormatting>
  <conditionalFormatting sqref="J64">
    <cfRule type="colorScale" priority="3216">
      <colorScale>
        <cfvo type="percent" val="0"/>
        <cfvo type="percent" val="100"/>
        <color rgb="FFFF231B"/>
        <color rgb="FF10FF07"/>
      </colorScale>
    </cfRule>
  </conditionalFormatting>
  <conditionalFormatting sqref="K64">
    <cfRule type="colorScale" priority="3215">
      <colorScale>
        <cfvo type="percent" val="0"/>
        <cfvo type="percent" val="100"/>
        <color rgb="FFFF231B"/>
        <color rgb="FF10FF07"/>
      </colorScale>
    </cfRule>
  </conditionalFormatting>
  <conditionalFormatting sqref="AJ65">
    <cfRule type="expression" dxfId="1926" priority="3201">
      <formula>OR(IF(AJ65&lt;AK65,TRUE),IF(AND(AK65="",AJ65&lt;&gt;""),TRUE))</formula>
    </cfRule>
    <cfRule type="expression" dxfId="1925" priority="3202">
      <formula>IF(AJ65&gt;=AK65,IF(AJ65="",FALSE,TRUE))</formula>
    </cfRule>
  </conditionalFormatting>
  <conditionalFormatting sqref="AL65">
    <cfRule type="expression" dxfId="1924" priority="3199">
      <formula>OR(IF(AL65&lt;AM65,TRUE),IF(AND(AM65="",AL65&lt;&gt;""),TRUE))</formula>
    </cfRule>
    <cfRule type="expression" dxfId="1923" priority="3200">
      <formula>IF(AL65&gt;=AM65,IF(AL65="",FALSE,TRUE))</formula>
    </cfRule>
  </conditionalFormatting>
  <conditionalFormatting sqref="Q65">
    <cfRule type="expression" dxfId="1922" priority="3211">
      <formula>OR(IF(Q65&lt;R65,TRUE),IF(AND(R65="",Q65&lt;&gt;""),TRUE))</formula>
    </cfRule>
    <cfRule type="expression" dxfId="1921" priority="3212">
      <formula>IF(Q65&gt;=R65,IF(Q65="",FALSE,TRUE))</formula>
    </cfRule>
  </conditionalFormatting>
  <conditionalFormatting sqref="O65">
    <cfRule type="expression" dxfId="1920" priority="3213">
      <formula>OR(IF(O65&lt;P65,TRUE),IF(AND(P65="",O65&lt;&gt;""),TRUE))</formula>
    </cfRule>
    <cfRule type="expression" dxfId="1919" priority="3214">
      <formula>IF(O65&gt;=P65,IF(O65="",FALSE,TRUE))</formula>
    </cfRule>
  </conditionalFormatting>
  <conditionalFormatting sqref="X65">
    <cfRule type="expression" dxfId="1918" priority="3207">
      <formula>OR(IF(X65&lt;Y65,TRUE),IF(AND(Y65="",X65&lt;&gt;""),TRUE))</formula>
    </cfRule>
    <cfRule type="expression" dxfId="1917" priority="3208">
      <formula>IF(X65&gt;=Y65,IF(X65="",FALSE,TRUE))</formula>
    </cfRule>
  </conditionalFormatting>
  <conditionalFormatting sqref="V65">
    <cfRule type="expression" dxfId="1916" priority="3209">
      <formula>OR(IF(V65&lt;W65,TRUE),IF(AND(W65="",V65&lt;&gt;""),TRUE))</formula>
    </cfRule>
    <cfRule type="expression" dxfId="1915" priority="3210">
      <formula>IF(V65&gt;=W65,IF(V65="",FALSE,TRUE))</formula>
    </cfRule>
  </conditionalFormatting>
  <conditionalFormatting sqref="AE65">
    <cfRule type="expression" dxfId="1914" priority="3203">
      <formula>OR(IF(AE65&lt;AF65,TRUE),IF(AND(AF65="",AE65&lt;&gt;""),TRUE))</formula>
    </cfRule>
    <cfRule type="expression" dxfId="1913" priority="3204">
      <formula>IF(AE65&gt;=AF65,IF(AE65="",FALSE,TRUE))</formula>
    </cfRule>
  </conditionalFormatting>
  <conditionalFormatting sqref="AC65">
    <cfRule type="expression" dxfId="1912" priority="3205">
      <formula>OR(IF(AC65&lt;AD65,TRUE),IF(AND(AD65="",AC65&lt;&gt;""),TRUE))</formula>
    </cfRule>
    <cfRule type="expression" dxfId="1911" priority="3206">
      <formula>IF(AC65&gt;=AD65,IF(AC65="",FALSE,TRUE))</formula>
    </cfRule>
  </conditionalFormatting>
  <conditionalFormatting sqref="AS65">
    <cfRule type="expression" dxfId="1910" priority="3195">
      <formula>OR(IF(AS65&lt;AT65,TRUE),IF(AND(AT65="",AS65&lt;&gt;""),TRUE))</formula>
    </cfRule>
    <cfRule type="expression" dxfId="1909" priority="3196">
      <formula>IF(AS65&gt;=AT65,IF(AS65="",FALSE,TRUE))</formula>
    </cfRule>
  </conditionalFormatting>
  <conditionalFormatting sqref="AQ65">
    <cfRule type="expression" dxfId="1908" priority="3197">
      <formula>OR(IF(AQ65&lt;AR65,TRUE),IF(AND(AR65="",AQ65&lt;&gt;""),TRUE))</formula>
    </cfRule>
    <cfRule type="expression" dxfId="1907" priority="3198">
      <formula>IF(AQ65&gt;=AR65,IF(AQ65="",FALSE,TRUE))</formula>
    </cfRule>
  </conditionalFormatting>
  <conditionalFormatting sqref="J65:K65">
    <cfRule type="colorScale" priority="3194">
      <colorScale>
        <cfvo type="percent" val="0"/>
        <cfvo type="percent" val="100"/>
        <color rgb="FFFF231B"/>
        <color rgb="FF10FF07"/>
      </colorScale>
    </cfRule>
  </conditionalFormatting>
  <conditionalFormatting sqref="J65">
    <cfRule type="colorScale" priority="3193">
      <colorScale>
        <cfvo type="percent" val="0"/>
        <cfvo type="percent" val="100"/>
        <color rgb="FFFF231B"/>
        <color rgb="FF10FF07"/>
      </colorScale>
    </cfRule>
  </conditionalFormatting>
  <conditionalFormatting sqref="K65">
    <cfRule type="colorScale" priority="3192">
      <colorScale>
        <cfvo type="percent" val="0"/>
        <cfvo type="percent" val="100"/>
        <color rgb="FFFF231B"/>
        <color rgb="FF10FF07"/>
      </colorScale>
    </cfRule>
  </conditionalFormatting>
  <conditionalFormatting sqref="AJ66">
    <cfRule type="expression" dxfId="1906" priority="3178">
      <formula>OR(IF(AJ66&lt;AK66,TRUE),IF(AND(AK66="",AJ66&lt;&gt;""),TRUE))</formula>
    </cfRule>
    <cfRule type="expression" dxfId="1905" priority="3179">
      <formula>IF(AJ66&gt;=AK66,IF(AJ66="",FALSE,TRUE))</formula>
    </cfRule>
  </conditionalFormatting>
  <conditionalFormatting sqref="AL66">
    <cfRule type="expression" dxfId="1904" priority="3176">
      <formula>OR(IF(AL66&lt;AM66,TRUE),IF(AND(AM66="",AL66&lt;&gt;""),TRUE))</formula>
    </cfRule>
    <cfRule type="expression" dxfId="1903" priority="3177">
      <formula>IF(AL66&gt;=AM66,IF(AL66="",FALSE,TRUE))</formula>
    </cfRule>
  </conditionalFormatting>
  <conditionalFormatting sqref="Q66">
    <cfRule type="expression" dxfId="1902" priority="3188">
      <formula>OR(IF(Q66&lt;R66,TRUE),IF(AND(R66="",Q66&lt;&gt;""),TRUE))</formula>
    </cfRule>
    <cfRule type="expression" dxfId="1901" priority="3189">
      <formula>IF(Q66&gt;=R66,IF(Q66="",FALSE,TRUE))</formula>
    </cfRule>
  </conditionalFormatting>
  <conditionalFormatting sqref="O66">
    <cfRule type="expression" dxfId="1900" priority="3190">
      <formula>OR(IF(O66&lt;P66,TRUE),IF(AND(P66="",O66&lt;&gt;""),TRUE))</formula>
    </cfRule>
    <cfRule type="expression" dxfId="1899" priority="3191">
      <formula>IF(O66&gt;=P66,IF(O66="",FALSE,TRUE))</formula>
    </cfRule>
  </conditionalFormatting>
  <conditionalFormatting sqref="X66">
    <cfRule type="expression" dxfId="1898" priority="3184">
      <formula>OR(IF(X66&lt;Y66,TRUE),IF(AND(Y66="",X66&lt;&gt;""),TRUE))</formula>
    </cfRule>
    <cfRule type="expression" dxfId="1897" priority="3185">
      <formula>IF(X66&gt;=Y66,IF(X66="",FALSE,TRUE))</formula>
    </cfRule>
  </conditionalFormatting>
  <conditionalFormatting sqref="V66">
    <cfRule type="expression" dxfId="1896" priority="3186">
      <formula>OR(IF(V66&lt;W66,TRUE),IF(AND(W66="",V66&lt;&gt;""),TRUE))</formula>
    </cfRule>
    <cfRule type="expression" dxfId="1895" priority="3187">
      <formula>IF(V66&gt;=W66,IF(V66="",FALSE,TRUE))</formula>
    </cfRule>
  </conditionalFormatting>
  <conditionalFormatting sqref="AE66">
    <cfRule type="expression" dxfId="1894" priority="3180">
      <formula>OR(IF(AE66&lt;AF66,TRUE),IF(AND(AF66="",AE66&lt;&gt;""),TRUE))</formula>
    </cfRule>
    <cfRule type="expression" dxfId="1893" priority="3181">
      <formula>IF(AE66&gt;=AF66,IF(AE66="",FALSE,TRUE))</formula>
    </cfRule>
  </conditionalFormatting>
  <conditionalFormatting sqref="AC66">
    <cfRule type="expression" dxfId="1892" priority="3182">
      <formula>OR(IF(AC66&lt;AD66,TRUE),IF(AND(AD66="",AC66&lt;&gt;""),TRUE))</formula>
    </cfRule>
    <cfRule type="expression" dxfId="1891" priority="3183">
      <formula>IF(AC66&gt;=AD66,IF(AC66="",FALSE,TRUE))</formula>
    </cfRule>
  </conditionalFormatting>
  <conditionalFormatting sqref="AS66">
    <cfRule type="expression" dxfId="1890" priority="3172">
      <formula>OR(IF(AS66&lt;AT66,TRUE),IF(AND(AT66="",AS66&lt;&gt;""),TRUE))</formula>
    </cfRule>
    <cfRule type="expression" dxfId="1889" priority="3173">
      <formula>IF(AS66&gt;=AT66,IF(AS66="",FALSE,TRUE))</formula>
    </cfRule>
  </conditionalFormatting>
  <conditionalFormatting sqref="AQ66">
    <cfRule type="expression" dxfId="1888" priority="3174">
      <formula>OR(IF(AQ66&lt;AR66,TRUE),IF(AND(AR66="",AQ66&lt;&gt;""),TRUE))</formula>
    </cfRule>
    <cfRule type="expression" dxfId="1887" priority="3175">
      <formula>IF(AQ66&gt;=AR66,IF(AQ66="",FALSE,TRUE))</formula>
    </cfRule>
  </conditionalFormatting>
  <conditionalFormatting sqref="J66:K66">
    <cfRule type="colorScale" priority="3171">
      <colorScale>
        <cfvo type="percent" val="0"/>
        <cfvo type="percent" val="100"/>
        <color rgb="FFFF231B"/>
        <color rgb="FF10FF07"/>
      </colorScale>
    </cfRule>
  </conditionalFormatting>
  <conditionalFormatting sqref="J66">
    <cfRule type="colorScale" priority="3170">
      <colorScale>
        <cfvo type="percent" val="0"/>
        <cfvo type="percent" val="100"/>
        <color rgb="FFFF231B"/>
        <color rgb="FF10FF07"/>
      </colorScale>
    </cfRule>
  </conditionalFormatting>
  <conditionalFormatting sqref="K66">
    <cfRule type="colorScale" priority="3169">
      <colorScale>
        <cfvo type="percent" val="0"/>
        <cfvo type="percent" val="100"/>
        <color rgb="FFFF231B"/>
        <color rgb="FF10FF07"/>
      </colorScale>
    </cfRule>
  </conditionalFormatting>
  <conditionalFormatting sqref="AJ67">
    <cfRule type="expression" dxfId="1886" priority="3155">
      <formula>OR(IF(AJ67&lt;AK67,TRUE),IF(AND(AK67="",AJ67&lt;&gt;""),TRUE))</formula>
    </cfRule>
    <cfRule type="expression" dxfId="1885" priority="3156">
      <formula>IF(AJ67&gt;=AK67,IF(AJ67="",FALSE,TRUE))</formula>
    </cfRule>
  </conditionalFormatting>
  <conditionalFormatting sqref="AL67">
    <cfRule type="expression" dxfId="1884" priority="3153">
      <formula>OR(IF(AL67&lt;AM67,TRUE),IF(AND(AM67="",AL67&lt;&gt;""),TRUE))</formula>
    </cfRule>
    <cfRule type="expression" dxfId="1883" priority="3154">
      <formula>IF(AL67&gt;=AM67,IF(AL67="",FALSE,TRUE))</formula>
    </cfRule>
  </conditionalFormatting>
  <conditionalFormatting sqref="Q67">
    <cfRule type="expression" dxfId="1882" priority="3165">
      <formula>OR(IF(Q67&lt;R67,TRUE),IF(AND(R67="",Q67&lt;&gt;""),TRUE))</formula>
    </cfRule>
    <cfRule type="expression" dxfId="1881" priority="3166">
      <formula>IF(Q67&gt;=R67,IF(Q67="",FALSE,TRUE))</formula>
    </cfRule>
  </conditionalFormatting>
  <conditionalFormatting sqref="O67">
    <cfRule type="expression" dxfId="1880" priority="3167">
      <formula>OR(IF(O67&lt;P67,TRUE),IF(AND(P67="",O67&lt;&gt;""),TRUE))</formula>
    </cfRule>
    <cfRule type="expression" dxfId="1879" priority="3168">
      <formula>IF(O67&gt;=P67,IF(O67="",FALSE,TRUE))</formula>
    </cfRule>
  </conditionalFormatting>
  <conditionalFormatting sqref="X67">
    <cfRule type="expression" dxfId="1878" priority="3161">
      <formula>OR(IF(X67&lt;Y67,TRUE),IF(AND(Y67="",X67&lt;&gt;""),TRUE))</formula>
    </cfRule>
    <cfRule type="expression" dxfId="1877" priority="3162">
      <formula>IF(X67&gt;=Y67,IF(X67="",FALSE,TRUE))</formula>
    </cfRule>
  </conditionalFormatting>
  <conditionalFormatting sqref="V67">
    <cfRule type="expression" dxfId="1876" priority="3163">
      <formula>OR(IF(V67&lt;W67,TRUE),IF(AND(W67="",V67&lt;&gt;""),TRUE))</formula>
    </cfRule>
    <cfRule type="expression" dxfId="1875" priority="3164">
      <formula>IF(V67&gt;=W67,IF(V67="",FALSE,TRUE))</formula>
    </cfRule>
  </conditionalFormatting>
  <conditionalFormatting sqref="AE67">
    <cfRule type="expression" dxfId="1874" priority="3157">
      <formula>OR(IF(AE67&lt;AF67,TRUE),IF(AND(AF67="",AE67&lt;&gt;""),TRUE))</formula>
    </cfRule>
    <cfRule type="expression" dxfId="1873" priority="3158">
      <formula>IF(AE67&gt;=AF67,IF(AE67="",FALSE,TRUE))</formula>
    </cfRule>
  </conditionalFormatting>
  <conditionalFormatting sqref="AC67">
    <cfRule type="expression" dxfId="1872" priority="3159">
      <formula>OR(IF(AC67&lt;AD67,TRUE),IF(AND(AD67="",AC67&lt;&gt;""),TRUE))</formula>
    </cfRule>
    <cfRule type="expression" dxfId="1871" priority="3160">
      <formula>IF(AC67&gt;=AD67,IF(AC67="",FALSE,TRUE))</formula>
    </cfRule>
  </conditionalFormatting>
  <conditionalFormatting sqref="AS67">
    <cfRule type="expression" dxfId="1870" priority="3149">
      <formula>OR(IF(AS67&lt;AT67,TRUE),IF(AND(AT67="",AS67&lt;&gt;""),TRUE))</formula>
    </cfRule>
    <cfRule type="expression" dxfId="1869" priority="3150">
      <formula>IF(AS67&gt;=AT67,IF(AS67="",FALSE,TRUE))</formula>
    </cfRule>
  </conditionalFormatting>
  <conditionalFormatting sqref="AQ67">
    <cfRule type="expression" dxfId="1868" priority="3151">
      <formula>OR(IF(AQ67&lt;AR67,TRUE),IF(AND(AR67="",AQ67&lt;&gt;""),TRUE))</formula>
    </cfRule>
    <cfRule type="expression" dxfId="1867" priority="3152">
      <formula>IF(AQ67&gt;=AR67,IF(AQ67="",FALSE,TRUE))</formula>
    </cfRule>
  </conditionalFormatting>
  <conditionalFormatting sqref="J67:K67">
    <cfRule type="colorScale" priority="3148">
      <colorScale>
        <cfvo type="percent" val="0"/>
        <cfvo type="percent" val="100"/>
        <color rgb="FFFF231B"/>
        <color rgb="FF10FF07"/>
      </colorScale>
    </cfRule>
  </conditionalFormatting>
  <conditionalFormatting sqref="J67">
    <cfRule type="colorScale" priority="3147">
      <colorScale>
        <cfvo type="percent" val="0"/>
        <cfvo type="percent" val="100"/>
        <color rgb="FFFF231B"/>
        <color rgb="FF10FF07"/>
      </colorScale>
    </cfRule>
  </conditionalFormatting>
  <conditionalFormatting sqref="K67">
    <cfRule type="colorScale" priority="3146">
      <colorScale>
        <cfvo type="percent" val="0"/>
        <cfvo type="percent" val="100"/>
        <color rgb="FFFF231B"/>
        <color rgb="FF10FF07"/>
      </colorScale>
    </cfRule>
  </conditionalFormatting>
  <conditionalFormatting sqref="AJ68">
    <cfRule type="expression" dxfId="1866" priority="3132">
      <formula>OR(IF(AJ68&lt;AK68,TRUE),IF(AND(AK68="",AJ68&lt;&gt;""),TRUE))</formula>
    </cfRule>
    <cfRule type="expression" dxfId="1865" priority="3133">
      <formula>IF(AJ68&gt;=AK68,IF(AJ68="",FALSE,TRUE))</formula>
    </cfRule>
  </conditionalFormatting>
  <conditionalFormatting sqref="AL68">
    <cfRule type="expression" dxfId="1864" priority="3130">
      <formula>OR(IF(AL68&lt;AM68,TRUE),IF(AND(AM68="",AL68&lt;&gt;""),TRUE))</formula>
    </cfRule>
    <cfRule type="expression" dxfId="1863" priority="3131">
      <formula>IF(AL68&gt;=AM68,IF(AL68="",FALSE,TRUE))</formula>
    </cfRule>
  </conditionalFormatting>
  <conditionalFormatting sqref="Q68">
    <cfRule type="expression" dxfId="1862" priority="3142">
      <formula>OR(IF(Q68&lt;R68,TRUE),IF(AND(R68="",Q68&lt;&gt;""),TRUE))</formula>
    </cfRule>
    <cfRule type="expression" dxfId="1861" priority="3143">
      <formula>IF(Q68&gt;=R68,IF(Q68="",FALSE,TRUE))</formula>
    </cfRule>
  </conditionalFormatting>
  <conditionalFormatting sqref="O68">
    <cfRule type="expression" dxfId="1860" priority="3144">
      <formula>OR(IF(O68&lt;P68,TRUE),IF(AND(P68="",O68&lt;&gt;""),TRUE))</formula>
    </cfRule>
    <cfRule type="expression" dxfId="1859" priority="3145">
      <formula>IF(O68&gt;=P68,IF(O68="",FALSE,TRUE))</formula>
    </cfRule>
  </conditionalFormatting>
  <conditionalFormatting sqref="X68">
    <cfRule type="expression" dxfId="1858" priority="3138">
      <formula>OR(IF(X68&lt;Y68,TRUE),IF(AND(Y68="",X68&lt;&gt;""),TRUE))</formula>
    </cfRule>
    <cfRule type="expression" dxfId="1857" priority="3139">
      <formula>IF(X68&gt;=Y68,IF(X68="",FALSE,TRUE))</formula>
    </cfRule>
  </conditionalFormatting>
  <conditionalFormatting sqref="V68">
    <cfRule type="expression" dxfId="1856" priority="3140">
      <formula>OR(IF(V68&lt;W68,TRUE),IF(AND(W68="",V68&lt;&gt;""),TRUE))</formula>
    </cfRule>
    <cfRule type="expression" dxfId="1855" priority="3141">
      <formula>IF(V68&gt;=W68,IF(V68="",FALSE,TRUE))</formula>
    </cfRule>
  </conditionalFormatting>
  <conditionalFormatting sqref="AE68">
    <cfRule type="expression" dxfId="1854" priority="3134">
      <formula>OR(IF(AE68&lt;AF68,TRUE),IF(AND(AF68="",AE68&lt;&gt;""),TRUE))</formula>
    </cfRule>
    <cfRule type="expression" dxfId="1853" priority="3135">
      <formula>IF(AE68&gt;=AF68,IF(AE68="",FALSE,TRUE))</formula>
    </cfRule>
  </conditionalFormatting>
  <conditionalFormatting sqref="AC68">
    <cfRule type="expression" dxfId="1852" priority="3136">
      <formula>OR(IF(AC68&lt;AD68,TRUE),IF(AND(AD68="",AC68&lt;&gt;""),TRUE))</formula>
    </cfRule>
    <cfRule type="expression" dxfId="1851" priority="3137">
      <formula>IF(AC68&gt;=AD68,IF(AC68="",FALSE,TRUE))</formula>
    </cfRule>
  </conditionalFormatting>
  <conditionalFormatting sqref="AS68">
    <cfRule type="expression" dxfId="1850" priority="3126">
      <formula>OR(IF(AS68&lt;AT68,TRUE),IF(AND(AT68="",AS68&lt;&gt;""),TRUE))</formula>
    </cfRule>
    <cfRule type="expression" dxfId="1849" priority="3127">
      <formula>IF(AS68&gt;=AT68,IF(AS68="",FALSE,TRUE))</formula>
    </cfRule>
  </conditionalFormatting>
  <conditionalFormatting sqref="AQ68">
    <cfRule type="expression" dxfId="1848" priority="3128">
      <formula>OR(IF(AQ68&lt;AR68,TRUE),IF(AND(AR68="",AQ68&lt;&gt;""),TRUE))</formula>
    </cfRule>
    <cfRule type="expression" dxfId="1847" priority="3129">
      <formula>IF(AQ68&gt;=AR68,IF(AQ68="",FALSE,TRUE))</formula>
    </cfRule>
  </conditionalFormatting>
  <conditionalFormatting sqref="J68:K68">
    <cfRule type="colorScale" priority="3125">
      <colorScale>
        <cfvo type="percent" val="0"/>
        <cfvo type="percent" val="100"/>
        <color rgb="FFFF231B"/>
        <color rgb="FF10FF07"/>
      </colorScale>
    </cfRule>
  </conditionalFormatting>
  <conditionalFormatting sqref="J68">
    <cfRule type="colorScale" priority="3124">
      <colorScale>
        <cfvo type="percent" val="0"/>
        <cfvo type="percent" val="100"/>
        <color rgb="FFFF231B"/>
        <color rgb="FF10FF07"/>
      </colorScale>
    </cfRule>
  </conditionalFormatting>
  <conditionalFormatting sqref="K68">
    <cfRule type="colorScale" priority="3123">
      <colorScale>
        <cfvo type="percent" val="0"/>
        <cfvo type="percent" val="100"/>
        <color rgb="FFFF231B"/>
        <color rgb="FF10FF07"/>
      </colorScale>
    </cfRule>
  </conditionalFormatting>
  <conditionalFormatting sqref="AJ69">
    <cfRule type="expression" dxfId="1846" priority="3109">
      <formula>OR(IF(AJ69&lt;AK69,TRUE),IF(AND(AK69="",AJ69&lt;&gt;""),TRUE))</formula>
    </cfRule>
    <cfRule type="expression" dxfId="1845" priority="3110">
      <formula>IF(AJ69&gt;=AK69,IF(AJ69="",FALSE,TRUE))</formula>
    </cfRule>
  </conditionalFormatting>
  <conditionalFormatting sqref="AL69">
    <cfRule type="expression" dxfId="1844" priority="3107">
      <formula>OR(IF(AL69&lt;AM69,TRUE),IF(AND(AM69="",AL69&lt;&gt;""),TRUE))</formula>
    </cfRule>
    <cfRule type="expression" dxfId="1843" priority="3108">
      <formula>IF(AL69&gt;=AM69,IF(AL69="",FALSE,TRUE))</formula>
    </cfRule>
  </conditionalFormatting>
  <conditionalFormatting sqref="Q69">
    <cfRule type="expression" dxfId="1842" priority="3119">
      <formula>OR(IF(Q69&lt;R69,TRUE),IF(AND(R69="",Q69&lt;&gt;""),TRUE))</formula>
    </cfRule>
    <cfRule type="expression" dxfId="1841" priority="3120">
      <formula>IF(Q69&gt;=R69,IF(Q69="",FALSE,TRUE))</formula>
    </cfRule>
  </conditionalFormatting>
  <conditionalFormatting sqref="O69">
    <cfRule type="expression" dxfId="1840" priority="3121">
      <formula>OR(IF(O69&lt;P69,TRUE),IF(AND(P69="",O69&lt;&gt;""),TRUE))</formula>
    </cfRule>
    <cfRule type="expression" dxfId="1839" priority="3122">
      <formula>IF(O69&gt;=P69,IF(O69="",FALSE,TRUE))</formula>
    </cfRule>
  </conditionalFormatting>
  <conditionalFormatting sqref="X69">
    <cfRule type="expression" dxfId="1838" priority="3115">
      <formula>OR(IF(X69&lt;Y69,TRUE),IF(AND(Y69="",X69&lt;&gt;""),TRUE))</formula>
    </cfRule>
    <cfRule type="expression" dxfId="1837" priority="3116">
      <formula>IF(X69&gt;=Y69,IF(X69="",FALSE,TRUE))</formula>
    </cfRule>
  </conditionalFormatting>
  <conditionalFormatting sqref="V69">
    <cfRule type="expression" dxfId="1836" priority="3117">
      <formula>OR(IF(V69&lt;W69,TRUE),IF(AND(W69="",V69&lt;&gt;""),TRUE))</formula>
    </cfRule>
    <cfRule type="expression" dxfId="1835" priority="3118">
      <formula>IF(V69&gt;=W69,IF(V69="",FALSE,TRUE))</formula>
    </cfRule>
  </conditionalFormatting>
  <conditionalFormatting sqref="AE69">
    <cfRule type="expression" dxfId="1834" priority="3111">
      <formula>OR(IF(AE69&lt;AF69,TRUE),IF(AND(AF69="",AE69&lt;&gt;""),TRUE))</formula>
    </cfRule>
    <cfRule type="expression" dxfId="1833" priority="3112">
      <formula>IF(AE69&gt;=AF69,IF(AE69="",FALSE,TRUE))</formula>
    </cfRule>
  </conditionalFormatting>
  <conditionalFormatting sqref="AC69">
    <cfRule type="expression" dxfId="1832" priority="3113">
      <formula>OR(IF(AC69&lt;AD69,TRUE),IF(AND(AD69="",AC69&lt;&gt;""),TRUE))</formula>
    </cfRule>
    <cfRule type="expression" dxfId="1831" priority="3114">
      <formula>IF(AC69&gt;=AD69,IF(AC69="",FALSE,TRUE))</formula>
    </cfRule>
  </conditionalFormatting>
  <conditionalFormatting sqref="AS69">
    <cfRule type="expression" dxfId="1830" priority="3103">
      <formula>OR(IF(AS69&lt;AT69,TRUE),IF(AND(AT69="",AS69&lt;&gt;""),TRUE))</formula>
    </cfRule>
    <cfRule type="expression" dxfId="1829" priority="3104">
      <formula>IF(AS69&gt;=AT69,IF(AS69="",FALSE,TRUE))</formula>
    </cfRule>
  </conditionalFormatting>
  <conditionalFormatting sqref="AQ69">
    <cfRule type="expression" dxfId="1828" priority="3105">
      <formula>OR(IF(AQ69&lt;AR69,TRUE),IF(AND(AR69="",AQ69&lt;&gt;""),TRUE))</formula>
    </cfRule>
    <cfRule type="expression" dxfId="1827" priority="3106">
      <formula>IF(AQ69&gt;=AR69,IF(AQ69="",FALSE,TRUE))</formula>
    </cfRule>
  </conditionalFormatting>
  <conditionalFormatting sqref="J69:K69">
    <cfRule type="colorScale" priority="3102">
      <colorScale>
        <cfvo type="percent" val="0"/>
        <cfvo type="percent" val="100"/>
        <color rgb="FFFF231B"/>
        <color rgb="FF10FF07"/>
      </colorScale>
    </cfRule>
  </conditionalFormatting>
  <conditionalFormatting sqref="J69">
    <cfRule type="colorScale" priority="3101">
      <colorScale>
        <cfvo type="percent" val="0"/>
        <cfvo type="percent" val="100"/>
        <color rgb="FFFF231B"/>
        <color rgb="FF10FF07"/>
      </colorScale>
    </cfRule>
  </conditionalFormatting>
  <conditionalFormatting sqref="K69">
    <cfRule type="colorScale" priority="3100">
      <colorScale>
        <cfvo type="percent" val="0"/>
        <cfvo type="percent" val="100"/>
        <color rgb="FFFF231B"/>
        <color rgb="FF10FF07"/>
      </colorScale>
    </cfRule>
  </conditionalFormatting>
  <conditionalFormatting sqref="AJ70">
    <cfRule type="expression" dxfId="1826" priority="3086">
      <formula>OR(IF(AJ70&lt;AK70,TRUE),IF(AND(AK70="",AJ70&lt;&gt;""),TRUE))</formula>
    </cfRule>
    <cfRule type="expression" dxfId="1825" priority="3087">
      <formula>IF(AJ70&gt;=AK70,IF(AJ70="",FALSE,TRUE))</formula>
    </cfRule>
  </conditionalFormatting>
  <conditionalFormatting sqref="AL70">
    <cfRule type="expression" dxfId="1824" priority="3084">
      <formula>OR(IF(AL70&lt;AM70,TRUE),IF(AND(AM70="",AL70&lt;&gt;""),TRUE))</formula>
    </cfRule>
    <cfRule type="expression" dxfId="1823" priority="3085">
      <formula>IF(AL70&gt;=AM70,IF(AL70="",FALSE,TRUE))</formula>
    </cfRule>
  </conditionalFormatting>
  <conditionalFormatting sqref="Q70">
    <cfRule type="expression" dxfId="1822" priority="3096">
      <formula>OR(IF(Q70&lt;R70,TRUE),IF(AND(R70="",Q70&lt;&gt;""),TRUE))</formula>
    </cfRule>
    <cfRule type="expression" dxfId="1821" priority="3097">
      <formula>IF(Q70&gt;=R70,IF(Q70="",FALSE,TRUE))</formula>
    </cfRule>
  </conditionalFormatting>
  <conditionalFormatting sqref="O70">
    <cfRule type="expression" dxfId="1820" priority="3098">
      <formula>OR(IF(O70&lt;P70,TRUE),IF(AND(P70="",O70&lt;&gt;""),TRUE))</formula>
    </cfRule>
    <cfRule type="expression" dxfId="1819" priority="3099">
      <formula>IF(O70&gt;=P70,IF(O70="",FALSE,TRUE))</formula>
    </cfRule>
  </conditionalFormatting>
  <conditionalFormatting sqref="X70">
    <cfRule type="expression" dxfId="1818" priority="3092">
      <formula>OR(IF(X70&lt;Y70,TRUE),IF(AND(Y70="",X70&lt;&gt;""),TRUE))</formula>
    </cfRule>
    <cfRule type="expression" dxfId="1817" priority="3093">
      <formula>IF(X70&gt;=Y70,IF(X70="",FALSE,TRUE))</formula>
    </cfRule>
  </conditionalFormatting>
  <conditionalFormatting sqref="V70">
    <cfRule type="expression" dxfId="1816" priority="3094">
      <formula>OR(IF(V70&lt;W70,TRUE),IF(AND(W70="",V70&lt;&gt;""),TRUE))</formula>
    </cfRule>
    <cfRule type="expression" dxfId="1815" priority="3095">
      <formula>IF(V70&gt;=W70,IF(V70="",FALSE,TRUE))</formula>
    </cfRule>
  </conditionalFormatting>
  <conditionalFormatting sqref="AE70">
    <cfRule type="expression" dxfId="1814" priority="3088">
      <formula>OR(IF(AE70&lt;AF70,TRUE),IF(AND(AF70="",AE70&lt;&gt;""),TRUE))</formula>
    </cfRule>
    <cfRule type="expression" dxfId="1813" priority="3089">
      <formula>IF(AE70&gt;=AF70,IF(AE70="",FALSE,TRUE))</formula>
    </cfRule>
  </conditionalFormatting>
  <conditionalFormatting sqref="AC70">
    <cfRule type="expression" dxfId="1812" priority="3090">
      <formula>OR(IF(AC70&lt;AD70,TRUE),IF(AND(AD70="",AC70&lt;&gt;""),TRUE))</formula>
    </cfRule>
    <cfRule type="expression" dxfId="1811" priority="3091">
      <formula>IF(AC70&gt;=AD70,IF(AC70="",FALSE,TRUE))</formula>
    </cfRule>
  </conditionalFormatting>
  <conditionalFormatting sqref="AS70">
    <cfRule type="expression" dxfId="1810" priority="3080">
      <formula>OR(IF(AS70&lt;AT70,TRUE),IF(AND(AT70="",AS70&lt;&gt;""),TRUE))</formula>
    </cfRule>
    <cfRule type="expression" dxfId="1809" priority="3081">
      <formula>IF(AS70&gt;=AT70,IF(AS70="",FALSE,TRUE))</formula>
    </cfRule>
  </conditionalFormatting>
  <conditionalFormatting sqref="AQ70">
    <cfRule type="expression" dxfId="1808" priority="3082">
      <formula>OR(IF(AQ70&lt;AR70,TRUE),IF(AND(AR70="",AQ70&lt;&gt;""),TRUE))</formula>
    </cfRule>
    <cfRule type="expression" dxfId="1807" priority="3083">
      <formula>IF(AQ70&gt;=AR70,IF(AQ70="",FALSE,TRUE))</formula>
    </cfRule>
  </conditionalFormatting>
  <conditionalFormatting sqref="J70:K70">
    <cfRule type="colorScale" priority="3079">
      <colorScale>
        <cfvo type="percent" val="0"/>
        <cfvo type="percent" val="100"/>
        <color rgb="FFFF231B"/>
        <color rgb="FF10FF07"/>
      </colorScale>
    </cfRule>
  </conditionalFormatting>
  <conditionalFormatting sqref="J70">
    <cfRule type="colorScale" priority="3078">
      <colorScale>
        <cfvo type="percent" val="0"/>
        <cfvo type="percent" val="100"/>
        <color rgb="FFFF231B"/>
        <color rgb="FF10FF07"/>
      </colorScale>
    </cfRule>
  </conditionalFormatting>
  <conditionalFormatting sqref="K70">
    <cfRule type="colorScale" priority="3077">
      <colorScale>
        <cfvo type="percent" val="0"/>
        <cfvo type="percent" val="100"/>
        <color rgb="FFFF231B"/>
        <color rgb="FF10FF07"/>
      </colorScale>
    </cfRule>
  </conditionalFormatting>
  <conditionalFormatting sqref="AJ71">
    <cfRule type="expression" dxfId="1806" priority="3063">
      <formula>OR(IF(AJ71&lt;AK71,TRUE),IF(AND(AK71="",AJ71&lt;&gt;""),TRUE))</formula>
    </cfRule>
    <cfRule type="expression" dxfId="1805" priority="3064">
      <formula>IF(AJ71&gt;=AK71,IF(AJ71="",FALSE,TRUE))</formula>
    </cfRule>
  </conditionalFormatting>
  <conditionalFormatting sqref="AL71">
    <cfRule type="expression" dxfId="1804" priority="3061">
      <formula>OR(IF(AL71&lt;AM71,TRUE),IF(AND(AM71="",AL71&lt;&gt;""),TRUE))</formula>
    </cfRule>
    <cfRule type="expression" dxfId="1803" priority="3062">
      <formula>IF(AL71&gt;=AM71,IF(AL71="",FALSE,TRUE))</formula>
    </cfRule>
  </conditionalFormatting>
  <conditionalFormatting sqref="Q71">
    <cfRule type="expression" dxfId="1802" priority="3073">
      <formula>OR(IF(Q71&lt;R71,TRUE),IF(AND(R71="",Q71&lt;&gt;""),TRUE))</formula>
    </cfRule>
    <cfRule type="expression" dxfId="1801" priority="3074">
      <formula>IF(Q71&gt;=R71,IF(Q71="",FALSE,TRUE))</formula>
    </cfRule>
  </conditionalFormatting>
  <conditionalFormatting sqref="O71">
    <cfRule type="expression" dxfId="1800" priority="3075">
      <formula>OR(IF(O71&lt;P71,TRUE),IF(AND(P71="",O71&lt;&gt;""),TRUE))</formula>
    </cfRule>
    <cfRule type="expression" dxfId="1799" priority="3076">
      <formula>IF(O71&gt;=P71,IF(O71="",FALSE,TRUE))</formula>
    </cfRule>
  </conditionalFormatting>
  <conditionalFormatting sqref="X71">
    <cfRule type="expression" dxfId="1798" priority="3069">
      <formula>OR(IF(X71&lt;Y71,TRUE),IF(AND(Y71="",X71&lt;&gt;""),TRUE))</formula>
    </cfRule>
    <cfRule type="expression" dxfId="1797" priority="3070">
      <formula>IF(X71&gt;=Y71,IF(X71="",FALSE,TRUE))</formula>
    </cfRule>
  </conditionalFormatting>
  <conditionalFormatting sqref="V71">
    <cfRule type="expression" dxfId="1796" priority="3071">
      <formula>OR(IF(V71&lt;W71,TRUE),IF(AND(W71="",V71&lt;&gt;""),TRUE))</formula>
    </cfRule>
    <cfRule type="expression" dxfId="1795" priority="3072">
      <formula>IF(V71&gt;=W71,IF(V71="",FALSE,TRUE))</formula>
    </cfRule>
  </conditionalFormatting>
  <conditionalFormatting sqref="AE71">
    <cfRule type="expression" dxfId="1794" priority="3065">
      <formula>OR(IF(AE71&lt;AF71,TRUE),IF(AND(AF71="",AE71&lt;&gt;""),TRUE))</formula>
    </cfRule>
    <cfRule type="expression" dxfId="1793" priority="3066">
      <formula>IF(AE71&gt;=AF71,IF(AE71="",FALSE,TRUE))</formula>
    </cfRule>
  </conditionalFormatting>
  <conditionalFormatting sqref="AC71">
    <cfRule type="expression" dxfId="1792" priority="3067">
      <formula>OR(IF(AC71&lt;AD71,TRUE),IF(AND(AD71="",AC71&lt;&gt;""),TRUE))</formula>
    </cfRule>
    <cfRule type="expression" dxfId="1791" priority="3068">
      <formula>IF(AC71&gt;=AD71,IF(AC71="",FALSE,TRUE))</formula>
    </cfRule>
  </conditionalFormatting>
  <conditionalFormatting sqref="AS71">
    <cfRule type="expression" dxfId="1790" priority="3057">
      <formula>OR(IF(AS71&lt;AT71,TRUE),IF(AND(AT71="",AS71&lt;&gt;""),TRUE))</formula>
    </cfRule>
    <cfRule type="expression" dxfId="1789" priority="3058">
      <formula>IF(AS71&gt;=AT71,IF(AS71="",FALSE,TRUE))</formula>
    </cfRule>
  </conditionalFormatting>
  <conditionalFormatting sqref="AQ71">
    <cfRule type="expression" dxfId="1788" priority="3059">
      <formula>OR(IF(AQ71&lt;AR71,TRUE),IF(AND(AR71="",AQ71&lt;&gt;""),TRUE))</formula>
    </cfRule>
    <cfRule type="expression" dxfId="1787" priority="3060">
      <formula>IF(AQ71&gt;=AR71,IF(AQ71="",FALSE,TRUE))</formula>
    </cfRule>
  </conditionalFormatting>
  <conditionalFormatting sqref="J71:K71">
    <cfRule type="colorScale" priority="3056">
      <colorScale>
        <cfvo type="percent" val="0"/>
        <cfvo type="percent" val="100"/>
        <color rgb="FFFF231B"/>
        <color rgb="FF10FF07"/>
      </colorScale>
    </cfRule>
  </conditionalFormatting>
  <conditionalFormatting sqref="J71">
    <cfRule type="colorScale" priority="3055">
      <colorScale>
        <cfvo type="percent" val="0"/>
        <cfvo type="percent" val="100"/>
        <color rgb="FFFF231B"/>
        <color rgb="FF10FF07"/>
      </colorScale>
    </cfRule>
  </conditionalFormatting>
  <conditionalFormatting sqref="K71">
    <cfRule type="colorScale" priority="3054">
      <colorScale>
        <cfvo type="percent" val="0"/>
        <cfvo type="percent" val="100"/>
        <color rgb="FFFF231B"/>
        <color rgb="FF10FF07"/>
      </colorScale>
    </cfRule>
  </conditionalFormatting>
  <conditionalFormatting sqref="AJ72">
    <cfRule type="expression" dxfId="1786" priority="3040">
      <formula>OR(IF(AJ72&lt;AK72,TRUE),IF(AND(AK72="",AJ72&lt;&gt;""),TRUE))</formula>
    </cfRule>
    <cfRule type="expression" dxfId="1785" priority="3041">
      <formula>IF(AJ72&gt;=AK72,IF(AJ72="",FALSE,TRUE))</formula>
    </cfRule>
  </conditionalFormatting>
  <conditionalFormatting sqref="AL72">
    <cfRule type="expression" dxfId="1784" priority="3038">
      <formula>OR(IF(AL72&lt;AM72,TRUE),IF(AND(AM72="",AL72&lt;&gt;""),TRUE))</formula>
    </cfRule>
    <cfRule type="expression" dxfId="1783" priority="3039">
      <formula>IF(AL72&gt;=AM72,IF(AL72="",FALSE,TRUE))</formula>
    </cfRule>
  </conditionalFormatting>
  <conditionalFormatting sqref="Q72">
    <cfRule type="expression" dxfId="1782" priority="3050">
      <formula>OR(IF(Q72&lt;R72,TRUE),IF(AND(R72="",Q72&lt;&gt;""),TRUE))</formula>
    </cfRule>
    <cfRule type="expression" dxfId="1781" priority="3051">
      <formula>IF(Q72&gt;=R72,IF(Q72="",FALSE,TRUE))</formula>
    </cfRule>
  </conditionalFormatting>
  <conditionalFormatting sqref="O72">
    <cfRule type="expression" dxfId="1780" priority="3052">
      <formula>OR(IF(O72&lt;P72,TRUE),IF(AND(P72="",O72&lt;&gt;""),TRUE))</formula>
    </cfRule>
    <cfRule type="expression" dxfId="1779" priority="3053">
      <formula>IF(O72&gt;=P72,IF(O72="",FALSE,TRUE))</formula>
    </cfRule>
  </conditionalFormatting>
  <conditionalFormatting sqref="X72">
    <cfRule type="expression" dxfId="1778" priority="3046">
      <formula>OR(IF(X72&lt;Y72,TRUE),IF(AND(Y72="",X72&lt;&gt;""),TRUE))</formula>
    </cfRule>
    <cfRule type="expression" dxfId="1777" priority="3047">
      <formula>IF(X72&gt;=Y72,IF(X72="",FALSE,TRUE))</formula>
    </cfRule>
  </conditionalFormatting>
  <conditionalFormatting sqref="V72">
    <cfRule type="expression" dxfId="1776" priority="3048">
      <formula>OR(IF(V72&lt;W72,TRUE),IF(AND(W72="",V72&lt;&gt;""),TRUE))</formula>
    </cfRule>
    <cfRule type="expression" dxfId="1775" priority="3049">
      <formula>IF(V72&gt;=W72,IF(V72="",FALSE,TRUE))</formula>
    </cfRule>
  </conditionalFormatting>
  <conditionalFormatting sqref="AE72">
    <cfRule type="expression" dxfId="1774" priority="3042">
      <formula>OR(IF(AE72&lt;AF72,TRUE),IF(AND(AF72="",AE72&lt;&gt;""),TRUE))</formula>
    </cfRule>
    <cfRule type="expression" dxfId="1773" priority="3043">
      <formula>IF(AE72&gt;=AF72,IF(AE72="",FALSE,TRUE))</formula>
    </cfRule>
  </conditionalFormatting>
  <conditionalFormatting sqref="AC72">
    <cfRule type="expression" dxfId="1772" priority="3044">
      <formula>OR(IF(AC72&lt;AD72,TRUE),IF(AND(AD72="",AC72&lt;&gt;""),TRUE))</formula>
    </cfRule>
    <cfRule type="expression" dxfId="1771" priority="3045">
      <formula>IF(AC72&gt;=AD72,IF(AC72="",FALSE,TRUE))</formula>
    </cfRule>
  </conditionalFormatting>
  <conditionalFormatting sqref="AS72">
    <cfRule type="expression" dxfId="1770" priority="3034">
      <formula>OR(IF(AS72&lt;AT72,TRUE),IF(AND(AT72="",AS72&lt;&gt;""),TRUE))</formula>
    </cfRule>
    <cfRule type="expression" dxfId="1769" priority="3035">
      <formula>IF(AS72&gt;=AT72,IF(AS72="",FALSE,TRUE))</formula>
    </cfRule>
  </conditionalFormatting>
  <conditionalFormatting sqref="AQ72">
    <cfRule type="expression" dxfId="1768" priority="3036">
      <formula>OR(IF(AQ72&lt;AR72,TRUE),IF(AND(AR72="",AQ72&lt;&gt;""),TRUE))</formula>
    </cfRule>
    <cfRule type="expression" dxfId="1767" priority="3037">
      <formula>IF(AQ72&gt;=AR72,IF(AQ72="",FALSE,TRUE))</formula>
    </cfRule>
  </conditionalFormatting>
  <conditionalFormatting sqref="J72:K72">
    <cfRule type="colorScale" priority="3033">
      <colorScale>
        <cfvo type="percent" val="0"/>
        <cfvo type="percent" val="100"/>
        <color rgb="FFFF231B"/>
        <color rgb="FF10FF07"/>
      </colorScale>
    </cfRule>
  </conditionalFormatting>
  <conditionalFormatting sqref="J72">
    <cfRule type="colorScale" priority="3032">
      <colorScale>
        <cfvo type="percent" val="0"/>
        <cfvo type="percent" val="100"/>
        <color rgb="FFFF231B"/>
        <color rgb="FF10FF07"/>
      </colorScale>
    </cfRule>
  </conditionalFormatting>
  <conditionalFormatting sqref="K72">
    <cfRule type="colorScale" priority="3031">
      <colorScale>
        <cfvo type="percent" val="0"/>
        <cfvo type="percent" val="100"/>
        <color rgb="FFFF231B"/>
        <color rgb="FF10FF07"/>
      </colorScale>
    </cfRule>
  </conditionalFormatting>
  <conditionalFormatting sqref="AJ73">
    <cfRule type="expression" dxfId="1766" priority="3017">
      <formula>OR(IF(AJ73&lt;AK73,TRUE),IF(AND(AK73="",AJ73&lt;&gt;""),TRUE))</formula>
    </cfRule>
    <cfRule type="expression" dxfId="1765" priority="3018">
      <formula>IF(AJ73&gt;=AK73,IF(AJ73="",FALSE,TRUE))</formula>
    </cfRule>
  </conditionalFormatting>
  <conditionalFormatting sqref="AL73">
    <cfRule type="expression" dxfId="1764" priority="3015">
      <formula>OR(IF(AL73&lt;AM73,TRUE),IF(AND(AM73="",AL73&lt;&gt;""),TRUE))</formula>
    </cfRule>
    <cfRule type="expression" dxfId="1763" priority="3016">
      <formula>IF(AL73&gt;=AM73,IF(AL73="",FALSE,TRUE))</formula>
    </cfRule>
  </conditionalFormatting>
  <conditionalFormatting sqref="Q73">
    <cfRule type="expression" dxfId="1762" priority="3027">
      <formula>OR(IF(Q73&lt;R73,TRUE),IF(AND(R73="",Q73&lt;&gt;""),TRUE))</formula>
    </cfRule>
    <cfRule type="expression" dxfId="1761" priority="3028">
      <formula>IF(Q73&gt;=R73,IF(Q73="",FALSE,TRUE))</formula>
    </cfRule>
  </conditionalFormatting>
  <conditionalFormatting sqref="O73">
    <cfRule type="expression" dxfId="1760" priority="3029">
      <formula>OR(IF(O73&lt;P73,TRUE),IF(AND(P73="",O73&lt;&gt;""),TRUE))</formula>
    </cfRule>
    <cfRule type="expression" dxfId="1759" priority="3030">
      <formula>IF(O73&gt;=P73,IF(O73="",FALSE,TRUE))</formula>
    </cfRule>
  </conditionalFormatting>
  <conditionalFormatting sqref="X73">
    <cfRule type="expression" dxfId="1758" priority="3023">
      <formula>OR(IF(X73&lt;Y73,TRUE),IF(AND(Y73="",X73&lt;&gt;""),TRUE))</formula>
    </cfRule>
    <cfRule type="expression" dxfId="1757" priority="3024">
      <formula>IF(X73&gt;=Y73,IF(X73="",FALSE,TRUE))</formula>
    </cfRule>
  </conditionalFormatting>
  <conditionalFormatting sqref="V73">
    <cfRule type="expression" dxfId="1756" priority="3025">
      <formula>OR(IF(V73&lt;W73,TRUE),IF(AND(W73="",V73&lt;&gt;""),TRUE))</formula>
    </cfRule>
    <cfRule type="expression" dxfId="1755" priority="3026">
      <formula>IF(V73&gt;=W73,IF(V73="",FALSE,TRUE))</formula>
    </cfRule>
  </conditionalFormatting>
  <conditionalFormatting sqref="AE73">
    <cfRule type="expression" dxfId="1754" priority="3019">
      <formula>OR(IF(AE73&lt;AF73,TRUE),IF(AND(AF73="",AE73&lt;&gt;""),TRUE))</formula>
    </cfRule>
    <cfRule type="expression" dxfId="1753" priority="3020">
      <formula>IF(AE73&gt;=AF73,IF(AE73="",FALSE,TRUE))</formula>
    </cfRule>
  </conditionalFormatting>
  <conditionalFormatting sqref="AC73">
    <cfRule type="expression" dxfId="1752" priority="3021">
      <formula>OR(IF(AC73&lt;AD73,TRUE),IF(AND(AD73="",AC73&lt;&gt;""),TRUE))</formula>
    </cfRule>
    <cfRule type="expression" dxfId="1751" priority="3022">
      <formula>IF(AC73&gt;=AD73,IF(AC73="",FALSE,TRUE))</formula>
    </cfRule>
  </conditionalFormatting>
  <conditionalFormatting sqref="AS73">
    <cfRule type="expression" dxfId="1750" priority="3011">
      <formula>OR(IF(AS73&lt;AT73,TRUE),IF(AND(AT73="",AS73&lt;&gt;""),TRUE))</formula>
    </cfRule>
    <cfRule type="expression" dxfId="1749" priority="3012">
      <formula>IF(AS73&gt;=AT73,IF(AS73="",FALSE,TRUE))</formula>
    </cfRule>
  </conditionalFormatting>
  <conditionalFormatting sqref="AQ73">
    <cfRule type="expression" dxfId="1748" priority="3013">
      <formula>OR(IF(AQ73&lt;AR73,TRUE),IF(AND(AR73="",AQ73&lt;&gt;""),TRUE))</formula>
    </cfRule>
    <cfRule type="expression" dxfId="1747" priority="3014">
      <formula>IF(AQ73&gt;=AR73,IF(AQ73="",FALSE,TRUE))</formula>
    </cfRule>
  </conditionalFormatting>
  <conditionalFormatting sqref="J73:K73">
    <cfRule type="colorScale" priority="3010">
      <colorScale>
        <cfvo type="percent" val="0"/>
        <cfvo type="percent" val="100"/>
        <color rgb="FFFF231B"/>
        <color rgb="FF10FF07"/>
      </colorScale>
    </cfRule>
  </conditionalFormatting>
  <conditionalFormatting sqref="J73">
    <cfRule type="colorScale" priority="3009">
      <colorScale>
        <cfvo type="percent" val="0"/>
        <cfvo type="percent" val="100"/>
        <color rgb="FFFF231B"/>
        <color rgb="FF10FF07"/>
      </colorScale>
    </cfRule>
  </conditionalFormatting>
  <conditionalFormatting sqref="K73">
    <cfRule type="colorScale" priority="3008">
      <colorScale>
        <cfvo type="percent" val="0"/>
        <cfvo type="percent" val="100"/>
        <color rgb="FFFF231B"/>
        <color rgb="FF10FF07"/>
      </colorScale>
    </cfRule>
  </conditionalFormatting>
  <conditionalFormatting sqref="AJ74">
    <cfRule type="expression" dxfId="1746" priority="2994">
      <formula>OR(IF(AJ74&lt;AK74,TRUE),IF(AND(AK74="",AJ74&lt;&gt;""),TRUE))</formula>
    </cfRule>
    <cfRule type="expression" dxfId="1745" priority="2995">
      <formula>IF(AJ74&gt;=AK74,IF(AJ74="",FALSE,TRUE))</formula>
    </cfRule>
  </conditionalFormatting>
  <conditionalFormatting sqref="AL74">
    <cfRule type="expression" dxfId="1744" priority="2992">
      <formula>OR(IF(AL74&lt;AM74,TRUE),IF(AND(AM74="",AL74&lt;&gt;""),TRUE))</formula>
    </cfRule>
    <cfRule type="expression" dxfId="1743" priority="2993">
      <formula>IF(AL74&gt;=AM74,IF(AL74="",FALSE,TRUE))</formula>
    </cfRule>
  </conditionalFormatting>
  <conditionalFormatting sqref="Q74">
    <cfRule type="expression" dxfId="1742" priority="3004">
      <formula>OR(IF(Q74&lt;R74,TRUE),IF(AND(R74="",Q74&lt;&gt;""),TRUE))</formula>
    </cfRule>
    <cfRule type="expression" dxfId="1741" priority="3005">
      <formula>IF(Q74&gt;=R74,IF(Q74="",FALSE,TRUE))</formula>
    </cfRule>
  </conditionalFormatting>
  <conditionalFormatting sqref="O74">
    <cfRule type="expression" dxfId="1740" priority="3006">
      <formula>OR(IF(O74&lt;P74,TRUE),IF(AND(P74="",O74&lt;&gt;""),TRUE))</formula>
    </cfRule>
    <cfRule type="expression" dxfId="1739" priority="3007">
      <formula>IF(O74&gt;=P74,IF(O74="",FALSE,TRUE))</formula>
    </cfRule>
  </conditionalFormatting>
  <conditionalFormatting sqref="X74">
    <cfRule type="expression" dxfId="1738" priority="3000">
      <formula>OR(IF(X74&lt;Y74,TRUE),IF(AND(Y74="",X74&lt;&gt;""),TRUE))</formula>
    </cfRule>
    <cfRule type="expression" dxfId="1737" priority="3001">
      <formula>IF(X74&gt;=Y74,IF(X74="",FALSE,TRUE))</formula>
    </cfRule>
  </conditionalFormatting>
  <conditionalFormatting sqref="V74">
    <cfRule type="expression" dxfId="1736" priority="3002">
      <formula>OR(IF(V74&lt;W74,TRUE),IF(AND(W74="",V74&lt;&gt;""),TRUE))</formula>
    </cfRule>
    <cfRule type="expression" dxfId="1735" priority="3003">
      <formula>IF(V74&gt;=W74,IF(V74="",FALSE,TRUE))</formula>
    </cfRule>
  </conditionalFormatting>
  <conditionalFormatting sqref="AE74">
    <cfRule type="expression" dxfId="1734" priority="2996">
      <formula>OR(IF(AE74&lt;AF74,TRUE),IF(AND(AF74="",AE74&lt;&gt;""),TRUE))</formula>
    </cfRule>
    <cfRule type="expression" dxfId="1733" priority="2997">
      <formula>IF(AE74&gt;=AF74,IF(AE74="",FALSE,TRUE))</formula>
    </cfRule>
  </conditionalFormatting>
  <conditionalFormatting sqref="AC74">
    <cfRule type="expression" dxfId="1732" priority="2998">
      <formula>OR(IF(AC74&lt;AD74,TRUE),IF(AND(AD74="",AC74&lt;&gt;""),TRUE))</formula>
    </cfRule>
    <cfRule type="expression" dxfId="1731" priority="2999">
      <formula>IF(AC74&gt;=AD74,IF(AC74="",FALSE,TRUE))</formula>
    </cfRule>
  </conditionalFormatting>
  <conditionalFormatting sqref="AS74">
    <cfRule type="expression" dxfId="1730" priority="2988">
      <formula>OR(IF(AS74&lt;AT74,TRUE),IF(AND(AT74="",AS74&lt;&gt;""),TRUE))</formula>
    </cfRule>
    <cfRule type="expression" dxfId="1729" priority="2989">
      <formula>IF(AS74&gt;=AT74,IF(AS74="",FALSE,TRUE))</formula>
    </cfRule>
  </conditionalFormatting>
  <conditionalFormatting sqref="AQ74">
    <cfRule type="expression" dxfId="1728" priority="2990">
      <formula>OR(IF(AQ74&lt;AR74,TRUE),IF(AND(AR74="",AQ74&lt;&gt;""),TRUE))</formula>
    </cfRule>
    <cfRule type="expression" dxfId="1727" priority="2991">
      <formula>IF(AQ74&gt;=AR74,IF(AQ74="",FALSE,TRUE))</formula>
    </cfRule>
  </conditionalFormatting>
  <conditionalFormatting sqref="J74:K74">
    <cfRule type="colorScale" priority="2987">
      <colorScale>
        <cfvo type="percent" val="0"/>
        <cfvo type="percent" val="100"/>
        <color rgb="FFFF231B"/>
        <color rgb="FF10FF07"/>
      </colorScale>
    </cfRule>
  </conditionalFormatting>
  <conditionalFormatting sqref="J74">
    <cfRule type="colorScale" priority="2986">
      <colorScale>
        <cfvo type="percent" val="0"/>
        <cfvo type="percent" val="100"/>
        <color rgb="FFFF231B"/>
        <color rgb="FF10FF07"/>
      </colorScale>
    </cfRule>
  </conditionalFormatting>
  <conditionalFormatting sqref="K74">
    <cfRule type="colorScale" priority="2985">
      <colorScale>
        <cfvo type="percent" val="0"/>
        <cfvo type="percent" val="100"/>
        <color rgb="FFFF231B"/>
        <color rgb="FF10FF07"/>
      </colorScale>
    </cfRule>
  </conditionalFormatting>
  <conditionalFormatting sqref="AJ75">
    <cfRule type="expression" dxfId="1726" priority="2971">
      <formula>OR(IF(AJ75&lt;AK75,TRUE),IF(AND(AK75="",AJ75&lt;&gt;""),TRUE))</formula>
    </cfRule>
    <cfRule type="expression" dxfId="1725" priority="2972">
      <formula>IF(AJ75&gt;=AK75,IF(AJ75="",FALSE,TRUE))</formula>
    </cfRule>
  </conditionalFormatting>
  <conditionalFormatting sqref="AL75">
    <cfRule type="expression" dxfId="1724" priority="2969">
      <formula>OR(IF(AL75&lt;AM75,TRUE),IF(AND(AM75="",AL75&lt;&gt;""),TRUE))</formula>
    </cfRule>
    <cfRule type="expression" dxfId="1723" priority="2970">
      <formula>IF(AL75&gt;=AM75,IF(AL75="",FALSE,TRUE))</formula>
    </cfRule>
  </conditionalFormatting>
  <conditionalFormatting sqref="Q75">
    <cfRule type="expression" dxfId="1722" priority="2981">
      <formula>OR(IF(Q75&lt;R75,TRUE),IF(AND(R75="",Q75&lt;&gt;""),TRUE))</formula>
    </cfRule>
    <cfRule type="expression" dxfId="1721" priority="2982">
      <formula>IF(Q75&gt;=R75,IF(Q75="",FALSE,TRUE))</formula>
    </cfRule>
  </conditionalFormatting>
  <conditionalFormatting sqref="O75">
    <cfRule type="expression" dxfId="1720" priority="2983">
      <formula>OR(IF(O75&lt;P75,TRUE),IF(AND(P75="",O75&lt;&gt;""),TRUE))</formula>
    </cfRule>
    <cfRule type="expression" dxfId="1719" priority="2984">
      <formula>IF(O75&gt;=P75,IF(O75="",FALSE,TRUE))</formula>
    </cfRule>
  </conditionalFormatting>
  <conditionalFormatting sqref="X75">
    <cfRule type="expression" dxfId="1718" priority="2977">
      <formula>OR(IF(X75&lt;Y75,TRUE),IF(AND(Y75="",X75&lt;&gt;""),TRUE))</formula>
    </cfRule>
    <cfRule type="expression" dxfId="1717" priority="2978">
      <formula>IF(X75&gt;=Y75,IF(X75="",FALSE,TRUE))</formula>
    </cfRule>
  </conditionalFormatting>
  <conditionalFormatting sqref="V75">
    <cfRule type="expression" dxfId="1716" priority="2979">
      <formula>OR(IF(V75&lt;W75,TRUE),IF(AND(W75="",V75&lt;&gt;""),TRUE))</formula>
    </cfRule>
    <cfRule type="expression" dxfId="1715" priority="2980">
      <formula>IF(V75&gt;=W75,IF(V75="",FALSE,TRUE))</formula>
    </cfRule>
  </conditionalFormatting>
  <conditionalFormatting sqref="AE75">
    <cfRule type="expression" dxfId="1714" priority="2973">
      <formula>OR(IF(AE75&lt;AF75,TRUE),IF(AND(AF75="",AE75&lt;&gt;""),TRUE))</formula>
    </cfRule>
    <cfRule type="expression" dxfId="1713" priority="2974">
      <formula>IF(AE75&gt;=AF75,IF(AE75="",FALSE,TRUE))</formula>
    </cfRule>
  </conditionalFormatting>
  <conditionalFormatting sqref="AC75">
    <cfRule type="expression" dxfId="1712" priority="2975">
      <formula>OR(IF(AC75&lt;AD75,TRUE),IF(AND(AD75="",AC75&lt;&gt;""),TRUE))</formula>
    </cfRule>
    <cfRule type="expression" dxfId="1711" priority="2976">
      <formula>IF(AC75&gt;=AD75,IF(AC75="",FALSE,TRUE))</formula>
    </cfRule>
  </conditionalFormatting>
  <conditionalFormatting sqref="AS75">
    <cfRule type="expression" dxfId="1710" priority="2965">
      <formula>OR(IF(AS75&lt;AT75,TRUE),IF(AND(AT75="",AS75&lt;&gt;""),TRUE))</formula>
    </cfRule>
    <cfRule type="expression" dxfId="1709" priority="2966">
      <formula>IF(AS75&gt;=AT75,IF(AS75="",FALSE,TRUE))</formula>
    </cfRule>
  </conditionalFormatting>
  <conditionalFormatting sqref="AQ75">
    <cfRule type="expression" dxfId="1708" priority="2967">
      <formula>OR(IF(AQ75&lt;AR75,TRUE),IF(AND(AR75="",AQ75&lt;&gt;""),TRUE))</formula>
    </cfRule>
    <cfRule type="expression" dxfId="1707" priority="2968">
      <formula>IF(AQ75&gt;=AR75,IF(AQ75="",FALSE,TRUE))</formula>
    </cfRule>
  </conditionalFormatting>
  <conditionalFormatting sqref="J75:K75">
    <cfRule type="colorScale" priority="2964">
      <colorScale>
        <cfvo type="percent" val="0"/>
        <cfvo type="percent" val="100"/>
        <color rgb="FFFF231B"/>
        <color rgb="FF10FF07"/>
      </colorScale>
    </cfRule>
  </conditionalFormatting>
  <conditionalFormatting sqref="J75">
    <cfRule type="colorScale" priority="2963">
      <colorScale>
        <cfvo type="percent" val="0"/>
        <cfvo type="percent" val="100"/>
        <color rgb="FFFF231B"/>
        <color rgb="FF10FF07"/>
      </colorScale>
    </cfRule>
  </conditionalFormatting>
  <conditionalFormatting sqref="K75">
    <cfRule type="colorScale" priority="2962">
      <colorScale>
        <cfvo type="percent" val="0"/>
        <cfvo type="percent" val="100"/>
        <color rgb="FFFF231B"/>
        <color rgb="FF10FF07"/>
      </colorScale>
    </cfRule>
  </conditionalFormatting>
  <conditionalFormatting sqref="AJ76">
    <cfRule type="expression" dxfId="1706" priority="2948">
      <formula>OR(IF(AJ76&lt;AK76,TRUE),IF(AND(AK76="",AJ76&lt;&gt;""),TRUE))</formula>
    </cfRule>
    <cfRule type="expression" dxfId="1705" priority="2949">
      <formula>IF(AJ76&gt;=AK76,IF(AJ76="",FALSE,TRUE))</formula>
    </cfRule>
  </conditionalFormatting>
  <conditionalFormatting sqref="AL76">
    <cfRule type="expression" dxfId="1704" priority="2946">
      <formula>OR(IF(AL76&lt;AM76,TRUE),IF(AND(AM76="",AL76&lt;&gt;""),TRUE))</formula>
    </cfRule>
    <cfRule type="expression" dxfId="1703" priority="2947">
      <formula>IF(AL76&gt;=AM76,IF(AL76="",FALSE,TRUE))</formula>
    </cfRule>
  </conditionalFormatting>
  <conditionalFormatting sqref="Q76">
    <cfRule type="expression" dxfId="1702" priority="2958">
      <formula>OR(IF(Q76&lt;R76,TRUE),IF(AND(R76="",Q76&lt;&gt;""),TRUE))</formula>
    </cfRule>
    <cfRule type="expression" dxfId="1701" priority="2959">
      <formula>IF(Q76&gt;=R76,IF(Q76="",FALSE,TRUE))</formula>
    </cfRule>
  </conditionalFormatting>
  <conditionalFormatting sqref="O76">
    <cfRule type="expression" dxfId="1700" priority="2960">
      <formula>OR(IF(O76&lt;P76,TRUE),IF(AND(P76="",O76&lt;&gt;""),TRUE))</formula>
    </cfRule>
    <cfRule type="expression" dxfId="1699" priority="2961">
      <formula>IF(O76&gt;=P76,IF(O76="",FALSE,TRUE))</formula>
    </cfRule>
  </conditionalFormatting>
  <conditionalFormatting sqref="X76">
    <cfRule type="expression" dxfId="1698" priority="2954">
      <formula>OR(IF(X76&lt;Y76,TRUE),IF(AND(Y76="",X76&lt;&gt;""),TRUE))</formula>
    </cfRule>
    <cfRule type="expression" dxfId="1697" priority="2955">
      <formula>IF(X76&gt;=Y76,IF(X76="",FALSE,TRUE))</formula>
    </cfRule>
  </conditionalFormatting>
  <conditionalFormatting sqref="V76">
    <cfRule type="expression" dxfId="1696" priority="2956">
      <formula>OR(IF(V76&lt;W76,TRUE),IF(AND(W76="",V76&lt;&gt;""),TRUE))</formula>
    </cfRule>
    <cfRule type="expression" dxfId="1695" priority="2957">
      <formula>IF(V76&gt;=W76,IF(V76="",FALSE,TRUE))</formula>
    </cfRule>
  </conditionalFormatting>
  <conditionalFormatting sqref="AE76">
    <cfRule type="expression" dxfId="1694" priority="2950">
      <formula>OR(IF(AE76&lt;AF76,TRUE),IF(AND(AF76="",AE76&lt;&gt;""),TRUE))</formula>
    </cfRule>
    <cfRule type="expression" dxfId="1693" priority="2951">
      <formula>IF(AE76&gt;=AF76,IF(AE76="",FALSE,TRUE))</formula>
    </cfRule>
  </conditionalFormatting>
  <conditionalFormatting sqref="AC76">
    <cfRule type="expression" dxfId="1692" priority="2952">
      <formula>OR(IF(AC76&lt;AD76,TRUE),IF(AND(AD76="",AC76&lt;&gt;""),TRUE))</formula>
    </cfRule>
    <cfRule type="expression" dxfId="1691" priority="2953">
      <formula>IF(AC76&gt;=AD76,IF(AC76="",FALSE,TRUE))</formula>
    </cfRule>
  </conditionalFormatting>
  <conditionalFormatting sqref="AS76">
    <cfRule type="expression" dxfId="1690" priority="2942">
      <formula>OR(IF(AS76&lt;AT76,TRUE),IF(AND(AT76="",AS76&lt;&gt;""),TRUE))</formula>
    </cfRule>
    <cfRule type="expression" dxfId="1689" priority="2943">
      <formula>IF(AS76&gt;=AT76,IF(AS76="",FALSE,TRUE))</formula>
    </cfRule>
  </conditionalFormatting>
  <conditionalFormatting sqref="AQ76">
    <cfRule type="expression" dxfId="1688" priority="2944">
      <formula>OR(IF(AQ76&lt;AR76,TRUE),IF(AND(AR76="",AQ76&lt;&gt;""),TRUE))</formula>
    </cfRule>
    <cfRule type="expression" dxfId="1687" priority="2945">
      <formula>IF(AQ76&gt;=AR76,IF(AQ76="",FALSE,TRUE))</formula>
    </cfRule>
  </conditionalFormatting>
  <conditionalFormatting sqref="J76:K76">
    <cfRule type="colorScale" priority="2941">
      <colorScale>
        <cfvo type="percent" val="0"/>
        <cfvo type="percent" val="100"/>
        <color rgb="FFFF231B"/>
        <color rgb="FF10FF07"/>
      </colorScale>
    </cfRule>
  </conditionalFormatting>
  <conditionalFormatting sqref="J76">
    <cfRule type="colorScale" priority="2940">
      <colorScale>
        <cfvo type="percent" val="0"/>
        <cfvo type="percent" val="100"/>
        <color rgb="FFFF231B"/>
        <color rgb="FF10FF07"/>
      </colorScale>
    </cfRule>
  </conditionalFormatting>
  <conditionalFormatting sqref="K76">
    <cfRule type="colorScale" priority="2939">
      <colorScale>
        <cfvo type="percent" val="0"/>
        <cfvo type="percent" val="100"/>
        <color rgb="FFFF231B"/>
        <color rgb="FF10FF07"/>
      </colorScale>
    </cfRule>
  </conditionalFormatting>
  <conditionalFormatting sqref="BZ52:BZ53">
    <cfRule type="expression" dxfId="1686" priority="2937">
      <formula>OR(IF(BZ52&lt;CA52,TRUE),IF(AND(CA52="",BZ52&lt;&gt;""),TRUE))</formula>
    </cfRule>
    <cfRule type="expression" dxfId="1685" priority="2938">
      <formula>IF(BZ52&gt;=CA52,IF(BZ52="",FALSE,TRUE))</formula>
    </cfRule>
  </conditionalFormatting>
  <conditionalFormatting sqref="CB54:CB63">
    <cfRule type="expression" dxfId="1684" priority="2931">
      <formula>OR(IF(CB54&lt;CC54,TRUE),IF(AND(CC54="",CB54&lt;&gt;""),TRUE))</formula>
    </cfRule>
    <cfRule type="expression" dxfId="1683" priority="2932">
      <formula>IF(CB54&gt;=CC54,IF(CB54="",FALSE,TRUE))</formula>
    </cfRule>
  </conditionalFormatting>
  <conditionalFormatting sqref="CB52:CB53">
    <cfRule type="expression" dxfId="1682" priority="2935">
      <formula>OR(IF(CB52&lt;CC52,TRUE),IF(AND(CC52="",CB52&lt;&gt;""),TRUE))</formula>
    </cfRule>
    <cfRule type="expression" dxfId="1681" priority="2936">
      <formula>IF(CB52&gt;=CC52,IF(CB52="",FALSE,TRUE))</formula>
    </cfRule>
  </conditionalFormatting>
  <conditionalFormatting sqref="BZ54:BZ63">
    <cfRule type="expression" dxfId="1680" priority="2933">
      <formula>OR(IF(BZ54&lt;CA54,TRUE),IF(AND(CA54="",BZ54&lt;&gt;""),TRUE))</formula>
    </cfRule>
    <cfRule type="expression" dxfId="1679" priority="2934">
      <formula>IF(BZ54&gt;=CA54,IF(BZ54="",FALSE,TRUE))</formula>
    </cfRule>
  </conditionalFormatting>
  <conditionalFormatting sqref="CB64">
    <cfRule type="expression" dxfId="1678" priority="2927">
      <formula>OR(IF(CB64&lt;CC64,TRUE),IF(AND(CC64="",CB64&lt;&gt;""),TRUE))</formula>
    </cfRule>
    <cfRule type="expression" dxfId="1677" priority="2928">
      <formula>IF(CB64&gt;=CC64,IF(CB64="",FALSE,TRUE))</formula>
    </cfRule>
  </conditionalFormatting>
  <conditionalFormatting sqref="BZ64">
    <cfRule type="expression" dxfId="1676" priority="2929">
      <formula>OR(IF(BZ64&lt;CA64,TRUE),IF(AND(CA64="",BZ64&lt;&gt;""),TRUE))</formula>
    </cfRule>
    <cfRule type="expression" dxfId="1675" priority="2930">
      <formula>IF(BZ64&gt;=CA64,IF(BZ64="",FALSE,TRUE))</formula>
    </cfRule>
  </conditionalFormatting>
  <conditionalFormatting sqref="CB65">
    <cfRule type="expression" dxfId="1674" priority="2923">
      <formula>OR(IF(CB65&lt;CC65,TRUE),IF(AND(CC65="",CB65&lt;&gt;""),TRUE))</formula>
    </cfRule>
    <cfRule type="expression" dxfId="1673" priority="2924">
      <formula>IF(CB65&gt;=CC65,IF(CB65="",FALSE,TRUE))</formula>
    </cfRule>
  </conditionalFormatting>
  <conditionalFormatting sqref="BZ65">
    <cfRule type="expression" dxfId="1672" priority="2925">
      <formula>OR(IF(BZ65&lt;CA65,TRUE),IF(AND(CA65="",BZ65&lt;&gt;""),TRUE))</formula>
    </cfRule>
    <cfRule type="expression" dxfId="1671" priority="2926">
      <formula>IF(BZ65&gt;=CA65,IF(BZ65="",FALSE,TRUE))</formula>
    </cfRule>
  </conditionalFormatting>
  <conditionalFormatting sqref="CB66">
    <cfRule type="expression" dxfId="1670" priority="2919">
      <formula>OR(IF(CB66&lt;CC66,TRUE),IF(AND(CC66="",CB66&lt;&gt;""),TRUE))</formula>
    </cfRule>
    <cfRule type="expression" dxfId="1669" priority="2920">
      <formula>IF(CB66&gt;=CC66,IF(CB66="",FALSE,TRUE))</formula>
    </cfRule>
  </conditionalFormatting>
  <conditionalFormatting sqref="BZ66">
    <cfRule type="expression" dxfId="1668" priority="2921">
      <formula>OR(IF(BZ66&lt;CA66,TRUE),IF(AND(CA66="",BZ66&lt;&gt;""),TRUE))</formula>
    </cfRule>
    <cfRule type="expression" dxfId="1667" priority="2922">
      <formula>IF(BZ66&gt;=CA66,IF(BZ66="",FALSE,TRUE))</formula>
    </cfRule>
  </conditionalFormatting>
  <conditionalFormatting sqref="CB67">
    <cfRule type="expression" dxfId="1666" priority="2915">
      <formula>OR(IF(CB67&lt;CC67,TRUE),IF(AND(CC67="",CB67&lt;&gt;""),TRUE))</formula>
    </cfRule>
    <cfRule type="expression" dxfId="1665" priority="2916">
      <formula>IF(CB67&gt;=CC67,IF(CB67="",FALSE,TRUE))</formula>
    </cfRule>
  </conditionalFormatting>
  <conditionalFormatting sqref="BZ67">
    <cfRule type="expression" dxfId="1664" priority="2917">
      <formula>OR(IF(BZ67&lt;CA67,TRUE),IF(AND(CA67="",BZ67&lt;&gt;""),TRUE))</formula>
    </cfRule>
    <cfRule type="expression" dxfId="1663" priority="2918">
      <formula>IF(BZ67&gt;=CA67,IF(BZ67="",FALSE,TRUE))</formula>
    </cfRule>
  </conditionalFormatting>
  <conditionalFormatting sqref="CB68">
    <cfRule type="expression" dxfId="1662" priority="2911">
      <formula>OR(IF(CB68&lt;CC68,TRUE),IF(AND(CC68="",CB68&lt;&gt;""),TRUE))</formula>
    </cfRule>
    <cfRule type="expression" dxfId="1661" priority="2912">
      <formula>IF(CB68&gt;=CC68,IF(CB68="",FALSE,TRUE))</formula>
    </cfRule>
  </conditionalFormatting>
  <conditionalFormatting sqref="BZ68">
    <cfRule type="expression" dxfId="1660" priority="2913">
      <formula>OR(IF(BZ68&lt;CA68,TRUE),IF(AND(CA68="",BZ68&lt;&gt;""),TRUE))</formula>
    </cfRule>
    <cfRule type="expression" dxfId="1659" priority="2914">
      <formula>IF(BZ68&gt;=CA68,IF(BZ68="",FALSE,TRUE))</formula>
    </cfRule>
  </conditionalFormatting>
  <conditionalFormatting sqref="CB69">
    <cfRule type="expression" dxfId="1658" priority="2907">
      <formula>OR(IF(CB69&lt;CC69,TRUE),IF(AND(CC69="",CB69&lt;&gt;""),TRUE))</formula>
    </cfRule>
    <cfRule type="expression" dxfId="1657" priority="2908">
      <formula>IF(CB69&gt;=CC69,IF(CB69="",FALSE,TRUE))</formula>
    </cfRule>
  </conditionalFormatting>
  <conditionalFormatting sqref="BZ69">
    <cfRule type="expression" dxfId="1656" priority="2909">
      <formula>OR(IF(BZ69&lt;CA69,TRUE),IF(AND(CA69="",BZ69&lt;&gt;""),TRUE))</formula>
    </cfRule>
    <cfRule type="expression" dxfId="1655" priority="2910">
      <formula>IF(BZ69&gt;=CA69,IF(BZ69="",FALSE,TRUE))</formula>
    </cfRule>
  </conditionalFormatting>
  <conditionalFormatting sqref="CB70">
    <cfRule type="expression" dxfId="1654" priority="2903">
      <formula>OR(IF(CB70&lt;CC70,TRUE),IF(AND(CC70="",CB70&lt;&gt;""),TRUE))</formula>
    </cfRule>
    <cfRule type="expression" dxfId="1653" priority="2904">
      <formula>IF(CB70&gt;=CC70,IF(CB70="",FALSE,TRUE))</formula>
    </cfRule>
  </conditionalFormatting>
  <conditionalFormatting sqref="BZ70">
    <cfRule type="expression" dxfId="1652" priority="2905">
      <formula>OR(IF(BZ70&lt;CA70,TRUE),IF(AND(CA70="",BZ70&lt;&gt;""),TRUE))</formula>
    </cfRule>
    <cfRule type="expression" dxfId="1651" priority="2906">
      <formula>IF(BZ70&gt;=CA70,IF(BZ70="",FALSE,TRUE))</formula>
    </cfRule>
  </conditionalFormatting>
  <conditionalFormatting sqref="CB71">
    <cfRule type="expression" dxfId="1650" priority="2899">
      <formula>OR(IF(CB71&lt;CC71,TRUE),IF(AND(CC71="",CB71&lt;&gt;""),TRUE))</formula>
    </cfRule>
    <cfRule type="expression" dxfId="1649" priority="2900">
      <formula>IF(CB71&gt;=CC71,IF(CB71="",FALSE,TRUE))</formula>
    </cfRule>
  </conditionalFormatting>
  <conditionalFormatting sqref="BZ71">
    <cfRule type="expression" dxfId="1648" priority="2901">
      <formula>OR(IF(BZ71&lt;CA71,TRUE),IF(AND(CA71="",BZ71&lt;&gt;""),TRUE))</formula>
    </cfRule>
    <cfRule type="expression" dxfId="1647" priority="2902">
      <formula>IF(BZ71&gt;=CA71,IF(BZ71="",FALSE,TRUE))</formula>
    </cfRule>
  </conditionalFormatting>
  <conditionalFormatting sqref="CB72">
    <cfRule type="expression" dxfId="1646" priority="2895">
      <formula>OR(IF(CB72&lt;CC72,TRUE),IF(AND(CC72="",CB72&lt;&gt;""),TRUE))</formula>
    </cfRule>
    <cfRule type="expression" dxfId="1645" priority="2896">
      <formula>IF(CB72&gt;=CC72,IF(CB72="",FALSE,TRUE))</formula>
    </cfRule>
  </conditionalFormatting>
  <conditionalFormatting sqref="BZ72">
    <cfRule type="expression" dxfId="1644" priority="2897">
      <formula>OR(IF(BZ72&lt;CA72,TRUE),IF(AND(CA72="",BZ72&lt;&gt;""),TRUE))</formula>
    </cfRule>
    <cfRule type="expression" dxfId="1643" priority="2898">
      <formula>IF(BZ72&gt;=CA72,IF(BZ72="",FALSE,TRUE))</formula>
    </cfRule>
  </conditionalFormatting>
  <conditionalFormatting sqref="CB73">
    <cfRule type="expression" dxfId="1642" priority="2891">
      <formula>OR(IF(CB73&lt;CC73,TRUE),IF(AND(CC73="",CB73&lt;&gt;""),TRUE))</formula>
    </cfRule>
    <cfRule type="expression" dxfId="1641" priority="2892">
      <formula>IF(CB73&gt;=CC73,IF(CB73="",FALSE,TRUE))</formula>
    </cfRule>
  </conditionalFormatting>
  <conditionalFormatting sqref="BZ73">
    <cfRule type="expression" dxfId="1640" priority="2893">
      <formula>OR(IF(BZ73&lt;CA73,TRUE),IF(AND(CA73="",BZ73&lt;&gt;""),TRUE))</formula>
    </cfRule>
    <cfRule type="expression" dxfId="1639" priority="2894">
      <formula>IF(BZ73&gt;=CA73,IF(BZ73="",FALSE,TRUE))</formula>
    </cfRule>
  </conditionalFormatting>
  <conditionalFormatting sqref="CB74">
    <cfRule type="expression" dxfId="1638" priority="2887">
      <formula>OR(IF(CB74&lt;CC74,TRUE),IF(AND(CC74="",CB74&lt;&gt;""),TRUE))</formula>
    </cfRule>
    <cfRule type="expression" dxfId="1637" priority="2888">
      <formula>IF(CB74&gt;=CC74,IF(CB74="",FALSE,TRUE))</formula>
    </cfRule>
  </conditionalFormatting>
  <conditionalFormatting sqref="BZ74">
    <cfRule type="expression" dxfId="1636" priority="2889">
      <formula>OR(IF(BZ74&lt;CA74,TRUE),IF(AND(CA74="",BZ74&lt;&gt;""),TRUE))</formula>
    </cfRule>
    <cfRule type="expression" dxfId="1635" priority="2890">
      <formula>IF(BZ74&gt;=CA74,IF(BZ74="",FALSE,TRUE))</formula>
    </cfRule>
  </conditionalFormatting>
  <conditionalFormatting sqref="CB75">
    <cfRule type="expression" dxfId="1634" priority="2883">
      <formula>OR(IF(CB75&lt;CC75,TRUE),IF(AND(CC75="",CB75&lt;&gt;""),TRUE))</formula>
    </cfRule>
    <cfRule type="expression" dxfId="1633" priority="2884">
      <formula>IF(CB75&gt;=CC75,IF(CB75="",FALSE,TRUE))</formula>
    </cfRule>
  </conditionalFormatting>
  <conditionalFormatting sqref="BZ75">
    <cfRule type="expression" dxfId="1632" priority="2885">
      <formula>OR(IF(BZ75&lt;CA75,TRUE),IF(AND(CA75="",BZ75&lt;&gt;""),TRUE))</formula>
    </cfRule>
    <cfRule type="expression" dxfId="1631" priority="2886">
      <formula>IF(BZ75&gt;=CA75,IF(BZ75="",FALSE,TRUE))</formula>
    </cfRule>
  </conditionalFormatting>
  <conditionalFormatting sqref="CB76">
    <cfRule type="expression" dxfId="1630" priority="2879">
      <formula>OR(IF(CB76&lt;CC76,TRUE),IF(AND(CC76="",CB76&lt;&gt;""),TRUE))</formula>
    </cfRule>
    <cfRule type="expression" dxfId="1629" priority="2880">
      <formula>IF(CB76&gt;=CC76,IF(CB76="",FALSE,TRUE))</formula>
    </cfRule>
  </conditionalFormatting>
  <conditionalFormatting sqref="BZ76">
    <cfRule type="expression" dxfId="1628" priority="2881">
      <formula>OR(IF(BZ76&lt;CA76,TRUE),IF(AND(CA76="",BZ76&lt;&gt;""),TRUE))</formula>
    </cfRule>
    <cfRule type="expression" dxfId="1627" priority="2882">
      <formula>IF(BZ76&gt;=CA76,IF(BZ76="",FALSE,TRUE))</formula>
    </cfRule>
  </conditionalFormatting>
  <conditionalFormatting sqref="CG52:CG53">
    <cfRule type="expression" dxfId="1626" priority="2877">
      <formula>OR(IF(CG52&lt;CH52,TRUE),IF(AND(CH52="",CG52&lt;&gt;""),TRUE))</formula>
    </cfRule>
    <cfRule type="expression" dxfId="1625" priority="2878">
      <formula>IF(CG52&gt;=CH52,IF(CG52="",FALSE,TRUE))</formula>
    </cfRule>
  </conditionalFormatting>
  <conditionalFormatting sqref="CI54:CI63">
    <cfRule type="expression" dxfId="1624" priority="2871">
      <formula>OR(IF(CI54&lt;CJ54,TRUE),IF(AND(CJ54="",CI54&lt;&gt;""),TRUE))</formula>
    </cfRule>
    <cfRule type="expression" dxfId="1623" priority="2872">
      <formula>IF(CI54&gt;=CJ54,IF(CI54="",FALSE,TRUE))</formula>
    </cfRule>
  </conditionalFormatting>
  <conditionalFormatting sqref="CI52:CI53">
    <cfRule type="expression" dxfId="1622" priority="2875">
      <formula>OR(IF(CI52&lt;CJ52,TRUE),IF(AND(CJ52="",CI52&lt;&gt;""),TRUE))</formula>
    </cfRule>
    <cfRule type="expression" dxfId="1621" priority="2876">
      <formula>IF(CI52&gt;=CJ52,IF(CI52="",FALSE,TRUE))</formula>
    </cfRule>
  </conditionalFormatting>
  <conditionalFormatting sqref="CG54:CG63">
    <cfRule type="expression" dxfId="1620" priority="2873">
      <formula>OR(IF(CG54&lt;CH54,TRUE),IF(AND(CH54="",CG54&lt;&gt;""),TRUE))</formula>
    </cfRule>
    <cfRule type="expression" dxfId="1619" priority="2874">
      <formula>IF(CG54&gt;=CH54,IF(CG54="",FALSE,TRUE))</formula>
    </cfRule>
  </conditionalFormatting>
  <conditionalFormatting sqref="CI64">
    <cfRule type="expression" dxfId="1618" priority="2867">
      <formula>OR(IF(CI64&lt;CJ64,TRUE),IF(AND(CJ64="",CI64&lt;&gt;""),TRUE))</formula>
    </cfRule>
    <cfRule type="expression" dxfId="1617" priority="2868">
      <formula>IF(CI64&gt;=CJ64,IF(CI64="",FALSE,TRUE))</formula>
    </cfRule>
  </conditionalFormatting>
  <conditionalFormatting sqref="CG64">
    <cfRule type="expression" dxfId="1616" priority="2869">
      <formula>OR(IF(CG64&lt;CH64,TRUE),IF(AND(CH64="",CG64&lt;&gt;""),TRUE))</formula>
    </cfRule>
    <cfRule type="expression" dxfId="1615" priority="2870">
      <formula>IF(CG64&gt;=CH64,IF(CG64="",FALSE,TRUE))</formula>
    </cfRule>
  </conditionalFormatting>
  <conditionalFormatting sqref="CI65">
    <cfRule type="expression" dxfId="1614" priority="2863">
      <formula>OR(IF(CI65&lt;CJ65,TRUE),IF(AND(CJ65="",CI65&lt;&gt;""),TRUE))</formula>
    </cfRule>
    <cfRule type="expression" dxfId="1613" priority="2864">
      <formula>IF(CI65&gt;=CJ65,IF(CI65="",FALSE,TRUE))</formula>
    </cfRule>
  </conditionalFormatting>
  <conditionalFormatting sqref="CG65">
    <cfRule type="expression" dxfId="1612" priority="2865">
      <formula>OR(IF(CG65&lt;CH65,TRUE),IF(AND(CH65="",CG65&lt;&gt;""),TRUE))</formula>
    </cfRule>
    <cfRule type="expression" dxfId="1611" priority="2866">
      <formula>IF(CG65&gt;=CH65,IF(CG65="",FALSE,TRUE))</formula>
    </cfRule>
  </conditionalFormatting>
  <conditionalFormatting sqref="CI66">
    <cfRule type="expression" dxfId="1610" priority="2859">
      <formula>OR(IF(CI66&lt;CJ66,TRUE),IF(AND(CJ66="",CI66&lt;&gt;""),TRUE))</formula>
    </cfRule>
    <cfRule type="expression" dxfId="1609" priority="2860">
      <formula>IF(CI66&gt;=CJ66,IF(CI66="",FALSE,TRUE))</formula>
    </cfRule>
  </conditionalFormatting>
  <conditionalFormatting sqref="CG66">
    <cfRule type="expression" dxfId="1608" priority="2861">
      <formula>OR(IF(CG66&lt;CH66,TRUE),IF(AND(CH66="",CG66&lt;&gt;""),TRUE))</formula>
    </cfRule>
    <cfRule type="expression" dxfId="1607" priority="2862">
      <formula>IF(CG66&gt;=CH66,IF(CG66="",FALSE,TRUE))</formula>
    </cfRule>
  </conditionalFormatting>
  <conditionalFormatting sqref="CI67">
    <cfRule type="expression" dxfId="1606" priority="2855">
      <formula>OR(IF(CI67&lt;CJ67,TRUE),IF(AND(CJ67="",CI67&lt;&gt;""),TRUE))</formula>
    </cfRule>
    <cfRule type="expression" dxfId="1605" priority="2856">
      <formula>IF(CI67&gt;=CJ67,IF(CI67="",FALSE,TRUE))</formula>
    </cfRule>
  </conditionalFormatting>
  <conditionalFormatting sqref="CG67">
    <cfRule type="expression" dxfId="1604" priority="2857">
      <formula>OR(IF(CG67&lt;CH67,TRUE),IF(AND(CH67="",CG67&lt;&gt;""),TRUE))</formula>
    </cfRule>
    <cfRule type="expression" dxfId="1603" priority="2858">
      <formula>IF(CG67&gt;=CH67,IF(CG67="",FALSE,TRUE))</formula>
    </cfRule>
  </conditionalFormatting>
  <conditionalFormatting sqref="CI68">
    <cfRule type="expression" dxfId="1602" priority="2851">
      <formula>OR(IF(CI68&lt;CJ68,TRUE),IF(AND(CJ68="",CI68&lt;&gt;""),TRUE))</formula>
    </cfRule>
    <cfRule type="expression" dxfId="1601" priority="2852">
      <formula>IF(CI68&gt;=CJ68,IF(CI68="",FALSE,TRUE))</formula>
    </cfRule>
  </conditionalFormatting>
  <conditionalFormatting sqref="CG68">
    <cfRule type="expression" dxfId="1600" priority="2853">
      <formula>OR(IF(CG68&lt;CH68,TRUE),IF(AND(CH68="",CG68&lt;&gt;""),TRUE))</formula>
    </cfRule>
    <cfRule type="expression" dxfId="1599" priority="2854">
      <formula>IF(CG68&gt;=CH68,IF(CG68="",FALSE,TRUE))</formula>
    </cfRule>
  </conditionalFormatting>
  <conditionalFormatting sqref="CI69">
    <cfRule type="expression" dxfId="1598" priority="2847">
      <formula>OR(IF(CI69&lt;CJ69,TRUE),IF(AND(CJ69="",CI69&lt;&gt;""),TRUE))</formula>
    </cfRule>
    <cfRule type="expression" dxfId="1597" priority="2848">
      <formula>IF(CI69&gt;=CJ69,IF(CI69="",FALSE,TRUE))</formula>
    </cfRule>
  </conditionalFormatting>
  <conditionalFormatting sqref="CG69">
    <cfRule type="expression" dxfId="1596" priority="2849">
      <formula>OR(IF(CG69&lt;CH69,TRUE),IF(AND(CH69="",CG69&lt;&gt;""),TRUE))</formula>
    </cfRule>
    <cfRule type="expression" dxfId="1595" priority="2850">
      <formula>IF(CG69&gt;=CH69,IF(CG69="",FALSE,TRUE))</formula>
    </cfRule>
  </conditionalFormatting>
  <conditionalFormatting sqref="CI70">
    <cfRule type="expression" dxfId="1594" priority="2843">
      <formula>OR(IF(CI70&lt;CJ70,TRUE),IF(AND(CJ70="",CI70&lt;&gt;""),TRUE))</formula>
    </cfRule>
    <cfRule type="expression" dxfId="1593" priority="2844">
      <formula>IF(CI70&gt;=CJ70,IF(CI70="",FALSE,TRUE))</formula>
    </cfRule>
  </conditionalFormatting>
  <conditionalFormatting sqref="CG70">
    <cfRule type="expression" dxfId="1592" priority="2845">
      <formula>OR(IF(CG70&lt;CH70,TRUE),IF(AND(CH70="",CG70&lt;&gt;""),TRUE))</formula>
    </cfRule>
    <cfRule type="expression" dxfId="1591" priority="2846">
      <formula>IF(CG70&gt;=CH70,IF(CG70="",FALSE,TRUE))</formula>
    </cfRule>
  </conditionalFormatting>
  <conditionalFormatting sqref="CI71">
    <cfRule type="expression" dxfId="1590" priority="2839">
      <formula>OR(IF(CI71&lt;CJ71,TRUE),IF(AND(CJ71="",CI71&lt;&gt;""),TRUE))</formula>
    </cfRule>
    <cfRule type="expression" dxfId="1589" priority="2840">
      <formula>IF(CI71&gt;=CJ71,IF(CI71="",FALSE,TRUE))</formula>
    </cfRule>
  </conditionalFormatting>
  <conditionalFormatting sqref="CG71">
    <cfRule type="expression" dxfId="1588" priority="2841">
      <formula>OR(IF(CG71&lt;CH71,TRUE),IF(AND(CH71="",CG71&lt;&gt;""),TRUE))</formula>
    </cfRule>
    <cfRule type="expression" dxfId="1587" priority="2842">
      <formula>IF(CG71&gt;=CH71,IF(CG71="",FALSE,TRUE))</formula>
    </cfRule>
  </conditionalFormatting>
  <conditionalFormatting sqref="CI72">
    <cfRule type="expression" dxfId="1586" priority="2835">
      <formula>OR(IF(CI72&lt;CJ72,TRUE),IF(AND(CJ72="",CI72&lt;&gt;""),TRUE))</formula>
    </cfRule>
    <cfRule type="expression" dxfId="1585" priority="2836">
      <formula>IF(CI72&gt;=CJ72,IF(CI72="",FALSE,TRUE))</formula>
    </cfRule>
  </conditionalFormatting>
  <conditionalFormatting sqref="CG72">
    <cfRule type="expression" dxfId="1584" priority="2837">
      <formula>OR(IF(CG72&lt;CH72,TRUE),IF(AND(CH72="",CG72&lt;&gt;""),TRUE))</formula>
    </cfRule>
    <cfRule type="expression" dxfId="1583" priority="2838">
      <formula>IF(CG72&gt;=CH72,IF(CG72="",FALSE,TRUE))</formula>
    </cfRule>
  </conditionalFormatting>
  <conditionalFormatting sqref="CI73">
    <cfRule type="expression" dxfId="1582" priority="2831">
      <formula>OR(IF(CI73&lt;CJ73,TRUE),IF(AND(CJ73="",CI73&lt;&gt;""),TRUE))</formula>
    </cfRule>
    <cfRule type="expression" dxfId="1581" priority="2832">
      <formula>IF(CI73&gt;=CJ73,IF(CI73="",FALSE,TRUE))</formula>
    </cfRule>
  </conditionalFormatting>
  <conditionalFormatting sqref="CG73">
    <cfRule type="expression" dxfId="1580" priority="2833">
      <formula>OR(IF(CG73&lt;CH73,TRUE),IF(AND(CH73="",CG73&lt;&gt;""),TRUE))</formula>
    </cfRule>
    <cfRule type="expression" dxfId="1579" priority="2834">
      <formula>IF(CG73&gt;=CH73,IF(CG73="",FALSE,TRUE))</formula>
    </cfRule>
  </conditionalFormatting>
  <conditionalFormatting sqref="CI74">
    <cfRule type="expression" dxfId="1578" priority="2827">
      <formula>OR(IF(CI74&lt;CJ74,TRUE),IF(AND(CJ74="",CI74&lt;&gt;""),TRUE))</formula>
    </cfRule>
    <cfRule type="expression" dxfId="1577" priority="2828">
      <formula>IF(CI74&gt;=CJ74,IF(CI74="",FALSE,TRUE))</formula>
    </cfRule>
  </conditionalFormatting>
  <conditionalFormatting sqref="CG74">
    <cfRule type="expression" dxfId="1576" priority="2829">
      <formula>OR(IF(CG74&lt;CH74,TRUE),IF(AND(CH74="",CG74&lt;&gt;""),TRUE))</formula>
    </cfRule>
    <cfRule type="expression" dxfId="1575" priority="2830">
      <formula>IF(CG74&gt;=CH74,IF(CG74="",FALSE,TRUE))</formula>
    </cfRule>
  </conditionalFormatting>
  <conditionalFormatting sqref="CI75">
    <cfRule type="expression" dxfId="1574" priority="2823">
      <formula>OR(IF(CI75&lt;CJ75,TRUE),IF(AND(CJ75="",CI75&lt;&gt;""),TRUE))</formula>
    </cfRule>
    <cfRule type="expression" dxfId="1573" priority="2824">
      <formula>IF(CI75&gt;=CJ75,IF(CI75="",FALSE,TRUE))</formula>
    </cfRule>
  </conditionalFormatting>
  <conditionalFormatting sqref="CG75">
    <cfRule type="expression" dxfId="1572" priority="2825">
      <formula>OR(IF(CG75&lt;CH75,TRUE),IF(AND(CH75="",CG75&lt;&gt;""),TRUE))</formula>
    </cfRule>
    <cfRule type="expression" dxfId="1571" priority="2826">
      <formula>IF(CG75&gt;=CH75,IF(CG75="",FALSE,TRUE))</formula>
    </cfRule>
  </conditionalFormatting>
  <conditionalFormatting sqref="CI76">
    <cfRule type="expression" dxfId="1570" priority="2819">
      <formula>OR(IF(CI76&lt;CJ76,TRUE),IF(AND(CJ76="",CI76&lt;&gt;""),TRUE))</formula>
    </cfRule>
    <cfRule type="expression" dxfId="1569" priority="2820">
      <formula>IF(CI76&gt;=CJ76,IF(CI76="",FALSE,TRUE))</formula>
    </cfRule>
  </conditionalFormatting>
  <conditionalFormatting sqref="CG76">
    <cfRule type="expression" dxfId="1568" priority="2821">
      <formula>OR(IF(CG76&lt;CH76,TRUE),IF(AND(CH76="",CG76&lt;&gt;""),TRUE))</formula>
    </cfRule>
    <cfRule type="expression" dxfId="1567" priority="2822">
      <formula>IF(CG76&gt;=CH76,IF(CG76="",FALSE,TRUE))</formula>
    </cfRule>
  </conditionalFormatting>
  <conditionalFormatting sqref="CN52:CN53">
    <cfRule type="expression" dxfId="1566" priority="2817">
      <formula>OR(IF(CN52&lt;CO52,TRUE),IF(AND(CO52="",CN52&lt;&gt;""),TRUE))</formula>
    </cfRule>
    <cfRule type="expression" dxfId="1565" priority="2818">
      <formula>IF(CN52&gt;=CO52,IF(CN52="",FALSE,TRUE))</formula>
    </cfRule>
  </conditionalFormatting>
  <conditionalFormatting sqref="CP54:CP63">
    <cfRule type="expression" dxfId="1564" priority="2811">
      <formula>OR(IF(CP54&lt;CQ54,TRUE),IF(AND(CQ54="",CP54&lt;&gt;""),TRUE))</formula>
    </cfRule>
    <cfRule type="expression" dxfId="1563" priority="2812">
      <formula>IF(CP54&gt;=CQ54,IF(CP54="",FALSE,TRUE))</formula>
    </cfRule>
  </conditionalFormatting>
  <conditionalFormatting sqref="CP52:CP53">
    <cfRule type="expression" dxfId="1562" priority="2815">
      <formula>OR(IF(CP52&lt;CQ52,TRUE),IF(AND(CQ52="",CP52&lt;&gt;""),TRUE))</formula>
    </cfRule>
    <cfRule type="expression" dxfId="1561" priority="2816">
      <formula>IF(CP52&gt;=CQ52,IF(CP52="",FALSE,TRUE))</formula>
    </cfRule>
  </conditionalFormatting>
  <conditionalFormatting sqref="CN54:CN63">
    <cfRule type="expression" dxfId="1560" priority="2813">
      <formula>OR(IF(CN54&lt;CO54,TRUE),IF(AND(CO54="",CN54&lt;&gt;""),TRUE))</formula>
    </cfRule>
    <cfRule type="expression" dxfId="1559" priority="2814">
      <formula>IF(CN54&gt;=CO54,IF(CN54="",FALSE,TRUE))</formula>
    </cfRule>
  </conditionalFormatting>
  <conditionalFormatting sqref="CP64">
    <cfRule type="expression" dxfId="1558" priority="2807">
      <formula>OR(IF(CP64&lt;CQ64,TRUE),IF(AND(CQ64="",CP64&lt;&gt;""),TRUE))</formula>
    </cfRule>
    <cfRule type="expression" dxfId="1557" priority="2808">
      <formula>IF(CP64&gt;=CQ64,IF(CP64="",FALSE,TRUE))</formula>
    </cfRule>
  </conditionalFormatting>
  <conditionalFormatting sqref="CN64">
    <cfRule type="expression" dxfId="1556" priority="2809">
      <formula>OR(IF(CN64&lt;CO64,TRUE),IF(AND(CO64="",CN64&lt;&gt;""),TRUE))</formula>
    </cfRule>
    <cfRule type="expression" dxfId="1555" priority="2810">
      <formula>IF(CN64&gt;=CO64,IF(CN64="",FALSE,TRUE))</formula>
    </cfRule>
  </conditionalFormatting>
  <conditionalFormatting sqref="CP65">
    <cfRule type="expression" dxfId="1554" priority="2803">
      <formula>OR(IF(CP65&lt;CQ65,TRUE),IF(AND(CQ65="",CP65&lt;&gt;""),TRUE))</formula>
    </cfRule>
    <cfRule type="expression" dxfId="1553" priority="2804">
      <formula>IF(CP65&gt;=CQ65,IF(CP65="",FALSE,TRUE))</formula>
    </cfRule>
  </conditionalFormatting>
  <conditionalFormatting sqref="CN65">
    <cfRule type="expression" dxfId="1552" priority="2805">
      <formula>OR(IF(CN65&lt;CO65,TRUE),IF(AND(CO65="",CN65&lt;&gt;""),TRUE))</formula>
    </cfRule>
    <cfRule type="expression" dxfId="1551" priority="2806">
      <formula>IF(CN65&gt;=CO65,IF(CN65="",FALSE,TRUE))</formula>
    </cfRule>
  </conditionalFormatting>
  <conditionalFormatting sqref="CP66">
    <cfRule type="expression" dxfId="1550" priority="2799">
      <formula>OR(IF(CP66&lt;CQ66,TRUE),IF(AND(CQ66="",CP66&lt;&gt;""),TRUE))</formula>
    </cfRule>
    <cfRule type="expression" dxfId="1549" priority="2800">
      <formula>IF(CP66&gt;=CQ66,IF(CP66="",FALSE,TRUE))</formula>
    </cfRule>
  </conditionalFormatting>
  <conditionalFormatting sqref="CN66">
    <cfRule type="expression" dxfId="1548" priority="2801">
      <formula>OR(IF(CN66&lt;CO66,TRUE),IF(AND(CO66="",CN66&lt;&gt;""),TRUE))</formula>
    </cfRule>
    <cfRule type="expression" dxfId="1547" priority="2802">
      <formula>IF(CN66&gt;=CO66,IF(CN66="",FALSE,TRUE))</formula>
    </cfRule>
  </conditionalFormatting>
  <conditionalFormatting sqref="CP67">
    <cfRule type="expression" dxfId="1546" priority="2795">
      <formula>OR(IF(CP67&lt;CQ67,TRUE),IF(AND(CQ67="",CP67&lt;&gt;""),TRUE))</formula>
    </cfRule>
    <cfRule type="expression" dxfId="1545" priority="2796">
      <formula>IF(CP67&gt;=CQ67,IF(CP67="",FALSE,TRUE))</formula>
    </cfRule>
  </conditionalFormatting>
  <conditionalFormatting sqref="CN67">
    <cfRule type="expression" dxfId="1544" priority="2797">
      <formula>OR(IF(CN67&lt;CO67,TRUE),IF(AND(CO67="",CN67&lt;&gt;""),TRUE))</formula>
    </cfRule>
    <cfRule type="expression" dxfId="1543" priority="2798">
      <formula>IF(CN67&gt;=CO67,IF(CN67="",FALSE,TRUE))</formula>
    </cfRule>
  </conditionalFormatting>
  <conditionalFormatting sqref="CP68">
    <cfRule type="expression" dxfId="1542" priority="2791">
      <formula>OR(IF(CP68&lt;CQ68,TRUE),IF(AND(CQ68="",CP68&lt;&gt;""),TRUE))</formula>
    </cfRule>
    <cfRule type="expression" dxfId="1541" priority="2792">
      <formula>IF(CP68&gt;=CQ68,IF(CP68="",FALSE,TRUE))</formula>
    </cfRule>
  </conditionalFormatting>
  <conditionalFormatting sqref="CN68">
    <cfRule type="expression" dxfId="1540" priority="2793">
      <formula>OR(IF(CN68&lt;CO68,TRUE),IF(AND(CO68="",CN68&lt;&gt;""),TRUE))</formula>
    </cfRule>
    <cfRule type="expression" dxfId="1539" priority="2794">
      <formula>IF(CN68&gt;=CO68,IF(CN68="",FALSE,TRUE))</formula>
    </cfRule>
  </conditionalFormatting>
  <conditionalFormatting sqref="CP69">
    <cfRule type="expression" dxfId="1538" priority="2787">
      <formula>OR(IF(CP69&lt;CQ69,TRUE),IF(AND(CQ69="",CP69&lt;&gt;""),TRUE))</formula>
    </cfRule>
    <cfRule type="expression" dxfId="1537" priority="2788">
      <formula>IF(CP69&gt;=CQ69,IF(CP69="",FALSE,TRUE))</formula>
    </cfRule>
  </conditionalFormatting>
  <conditionalFormatting sqref="CN69">
    <cfRule type="expression" dxfId="1536" priority="2789">
      <formula>OR(IF(CN69&lt;CO69,TRUE),IF(AND(CO69="",CN69&lt;&gt;""),TRUE))</formula>
    </cfRule>
    <cfRule type="expression" dxfId="1535" priority="2790">
      <formula>IF(CN69&gt;=CO69,IF(CN69="",FALSE,TRUE))</formula>
    </cfRule>
  </conditionalFormatting>
  <conditionalFormatting sqref="CP70">
    <cfRule type="expression" dxfId="1534" priority="2783">
      <formula>OR(IF(CP70&lt;CQ70,TRUE),IF(AND(CQ70="",CP70&lt;&gt;""),TRUE))</formula>
    </cfRule>
    <cfRule type="expression" dxfId="1533" priority="2784">
      <formula>IF(CP70&gt;=CQ70,IF(CP70="",FALSE,TRUE))</formula>
    </cfRule>
  </conditionalFormatting>
  <conditionalFormatting sqref="CN70">
    <cfRule type="expression" dxfId="1532" priority="2785">
      <formula>OR(IF(CN70&lt;CO70,TRUE),IF(AND(CO70="",CN70&lt;&gt;""),TRUE))</formula>
    </cfRule>
    <cfRule type="expression" dxfId="1531" priority="2786">
      <formula>IF(CN70&gt;=CO70,IF(CN70="",FALSE,TRUE))</formula>
    </cfRule>
  </conditionalFormatting>
  <conditionalFormatting sqref="CP71">
    <cfRule type="expression" dxfId="1530" priority="2779">
      <formula>OR(IF(CP71&lt;CQ71,TRUE),IF(AND(CQ71="",CP71&lt;&gt;""),TRUE))</formula>
    </cfRule>
    <cfRule type="expression" dxfId="1529" priority="2780">
      <formula>IF(CP71&gt;=CQ71,IF(CP71="",FALSE,TRUE))</formula>
    </cfRule>
  </conditionalFormatting>
  <conditionalFormatting sqref="CN71">
    <cfRule type="expression" dxfId="1528" priority="2781">
      <formula>OR(IF(CN71&lt;CO71,TRUE),IF(AND(CO71="",CN71&lt;&gt;""),TRUE))</formula>
    </cfRule>
    <cfRule type="expression" dxfId="1527" priority="2782">
      <formula>IF(CN71&gt;=CO71,IF(CN71="",FALSE,TRUE))</formula>
    </cfRule>
  </conditionalFormatting>
  <conditionalFormatting sqref="CP72">
    <cfRule type="expression" dxfId="1526" priority="2775">
      <formula>OR(IF(CP72&lt;CQ72,TRUE),IF(AND(CQ72="",CP72&lt;&gt;""),TRUE))</formula>
    </cfRule>
    <cfRule type="expression" dxfId="1525" priority="2776">
      <formula>IF(CP72&gt;=CQ72,IF(CP72="",FALSE,TRUE))</formula>
    </cfRule>
  </conditionalFormatting>
  <conditionalFormatting sqref="CN72">
    <cfRule type="expression" dxfId="1524" priority="2777">
      <formula>OR(IF(CN72&lt;CO72,TRUE),IF(AND(CO72="",CN72&lt;&gt;""),TRUE))</formula>
    </cfRule>
    <cfRule type="expression" dxfId="1523" priority="2778">
      <formula>IF(CN72&gt;=CO72,IF(CN72="",FALSE,TRUE))</formula>
    </cfRule>
  </conditionalFormatting>
  <conditionalFormatting sqref="CP73">
    <cfRule type="expression" dxfId="1522" priority="2771">
      <formula>OR(IF(CP73&lt;CQ73,TRUE),IF(AND(CQ73="",CP73&lt;&gt;""),TRUE))</formula>
    </cfRule>
    <cfRule type="expression" dxfId="1521" priority="2772">
      <formula>IF(CP73&gt;=CQ73,IF(CP73="",FALSE,TRUE))</formula>
    </cfRule>
  </conditionalFormatting>
  <conditionalFormatting sqref="CN73">
    <cfRule type="expression" dxfId="1520" priority="2773">
      <formula>OR(IF(CN73&lt;CO73,TRUE),IF(AND(CO73="",CN73&lt;&gt;""),TRUE))</formula>
    </cfRule>
    <cfRule type="expression" dxfId="1519" priority="2774">
      <formula>IF(CN73&gt;=CO73,IF(CN73="",FALSE,TRUE))</formula>
    </cfRule>
  </conditionalFormatting>
  <conditionalFormatting sqref="CP74">
    <cfRule type="expression" dxfId="1518" priority="2767">
      <formula>OR(IF(CP74&lt;CQ74,TRUE),IF(AND(CQ74="",CP74&lt;&gt;""),TRUE))</formula>
    </cfRule>
    <cfRule type="expression" dxfId="1517" priority="2768">
      <formula>IF(CP74&gt;=CQ74,IF(CP74="",FALSE,TRUE))</formula>
    </cfRule>
  </conditionalFormatting>
  <conditionalFormatting sqref="CN74">
    <cfRule type="expression" dxfId="1516" priority="2769">
      <formula>OR(IF(CN74&lt;CO74,TRUE),IF(AND(CO74="",CN74&lt;&gt;""),TRUE))</formula>
    </cfRule>
    <cfRule type="expression" dxfId="1515" priority="2770">
      <formula>IF(CN74&gt;=CO74,IF(CN74="",FALSE,TRUE))</formula>
    </cfRule>
  </conditionalFormatting>
  <conditionalFormatting sqref="CP75">
    <cfRule type="expression" dxfId="1514" priority="2763">
      <formula>OR(IF(CP75&lt;CQ75,TRUE),IF(AND(CQ75="",CP75&lt;&gt;""),TRUE))</formula>
    </cfRule>
    <cfRule type="expression" dxfId="1513" priority="2764">
      <formula>IF(CP75&gt;=CQ75,IF(CP75="",FALSE,TRUE))</formula>
    </cfRule>
  </conditionalFormatting>
  <conditionalFormatting sqref="CN75">
    <cfRule type="expression" dxfId="1512" priority="2765">
      <formula>OR(IF(CN75&lt;CO75,TRUE),IF(AND(CO75="",CN75&lt;&gt;""),TRUE))</formula>
    </cfRule>
    <cfRule type="expression" dxfId="1511" priority="2766">
      <formula>IF(CN75&gt;=CO75,IF(CN75="",FALSE,TRUE))</formula>
    </cfRule>
  </conditionalFormatting>
  <conditionalFormatting sqref="CP76">
    <cfRule type="expression" dxfId="1510" priority="2759">
      <formula>OR(IF(CP76&lt;CQ76,TRUE),IF(AND(CQ76="",CP76&lt;&gt;""),TRUE))</formula>
    </cfRule>
    <cfRule type="expression" dxfId="1509" priority="2760">
      <formula>IF(CP76&gt;=CQ76,IF(CP76="",FALSE,TRUE))</formula>
    </cfRule>
  </conditionalFormatting>
  <conditionalFormatting sqref="CN76">
    <cfRule type="expression" dxfId="1508" priority="2761">
      <formula>OR(IF(CN76&lt;CO76,TRUE),IF(AND(CO76="",CN76&lt;&gt;""),TRUE))</formula>
    </cfRule>
    <cfRule type="expression" dxfId="1507" priority="2762">
      <formula>IF(CN76&gt;=CO76,IF(CN76="",FALSE,TRUE))</formula>
    </cfRule>
  </conditionalFormatting>
  <conditionalFormatting sqref="CU52:CU53">
    <cfRule type="expression" dxfId="1506" priority="2757">
      <formula>OR(IF(CU52&lt;CV52,TRUE),IF(AND(CV52="",CU52&lt;&gt;""),TRUE))</formula>
    </cfRule>
    <cfRule type="expression" dxfId="1505" priority="2758">
      <formula>IF(CU52&gt;=CV52,IF(CU52="",FALSE,TRUE))</formula>
    </cfRule>
  </conditionalFormatting>
  <conditionalFormatting sqref="CW54:CW63">
    <cfRule type="expression" dxfId="1504" priority="2751">
      <formula>OR(IF(CW54&lt;CX54,TRUE),IF(AND(CX54="",CW54&lt;&gt;""),TRUE))</formula>
    </cfRule>
    <cfRule type="expression" dxfId="1503" priority="2752">
      <formula>IF(CW54&gt;=CX54,IF(CW54="",FALSE,TRUE))</formula>
    </cfRule>
  </conditionalFormatting>
  <conditionalFormatting sqref="CW52:CW53">
    <cfRule type="expression" dxfId="1502" priority="2755">
      <formula>OR(IF(CW52&lt;CX52,TRUE),IF(AND(CX52="",CW52&lt;&gt;""),TRUE))</formula>
    </cfRule>
    <cfRule type="expression" dxfId="1501" priority="2756">
      <formula>IF(CW52&gt;=CX52,IF(CW52="",FALSE,TRUE))</formula>
    </cfRule>
  </conditionalFormatting>
  <conditionalFormatting sqref="CU54:CU63">
    <cfRule type="expression" dxfId="1500" priority="2753">
      <formula>OR(IF(CU54&lt;CV54,TRUE),IF(AND(CV54="",CU54&lt;&gt;""),TRUE))</formula>
    </cfRule>
    <cfRule type="expression" dxfId="1499" priority="2754">
      <formula>IF(CU54&gt;=CV54,IF(CU54="",FALSE,TRUE))</formula>
    </cfRule>
  </conditionalFormatting>
  <conditionalFormatting sqref="CW64">
    <cfRule type="expression" dxfId="1498" priority="2747">
      <formula>OR(IF(CW64&lt;CX64,TRUE),IF(AND(CX64="",CW64&lt;&gt;""),TRUE))</formula>
    </cfRule>
    <cfRule type="expression" dxfId="1497" priority="2748">
      <formula>IF(CW64&gt;=CX64,IF(CW64="",FALSE,TRUE))</formula>
    </cfRule>
  </conditionalFormatting>
  <conditionalFormatting sqref="CU64">
    <cfRule type="expression" dxfId="1496" priority="2749">
      <formula>OR(IF(CU64&lt;CV64,TRUE),IF(AND(CV64="",CU64&lt;&gt;""),TRUE))</formula>
    </cfRule>
    <cfRule type="expression" dxfId="1495" priority="2750">
      <formula>IF(CU64&gt;=CV64,IF(CU64="",FALSE,TRUE))</formula>
    </cfRule>
  </conditionalFormatting>
  <conditionalFormatting sqref="CW65">
    <cfRule type="expression" dxfId="1494" priority="2743">
      <formula>OR(IF(CW65&lt;CX65,TRUE),IF(AND(CX65="",CW65&lt;&gt;""),TRUE))</formula>
    </cfRule>
    <cfRule type="expression" dxfId="1493" priority="2744">
      <formula>IF(CW65&gt;=CX65,IF(CW65="",FALSE,TRUE))</formula>
    </cfRule>
  </conditionalFormatting>
  <conditionalFormatting sqref="CU65">
    <cfRule type="expression" dxfId="1492" priority="2745">
      <formula>OR(IF(CU65&lt;CV65,TRUE),IF(AND(CV65="",CU65&lt;&gt;""),TRUE))</formula>
    </cfRule>
    <cfRule type="expression" dxfId="1491" priority="2746">
      <formula>IF(CU65&gt;=CV65,IF(CU65="",FALSE,TRUE))</formula>
    </cfRule>
  </conditionalFormatting>
  <conditionalFormatting sqref="CW66">
    <cfRule type="expression" dxfId="1490" priority="2739">
      <formula>OR(IF(CW66&lt;CX66,TRUE),IF(AND(CX66="",CW66&lt;&gt;""),TRUE))</formula>
    </cfRule>
    <cfRule type="expression" dxfId="1489" priority="2740">
      <formula>IF(CW66&gt;=CX66,IF(CW66="",FALSE,TRUE))</formula>
    </cfRule>
  </conditionalFormatting>
  <conditionalFormatting sqref="CU66">
    <cfRule type="expression" dxfId="1488" priority="2741">
      <formula>OR(IF(CU66&lt;CV66,TRUE),IF(AND(CV66="",CU66&lt;&gt;""),TRUE))</formula>
    </cfRule>
    <cfRule type="expression" dxfId="1487" priority="2742">
      <formula>IF(CU66&gt;=CV66,IF(CU66="",FALSE,TRUE))</formula>
    </cfRule>
  </conditionalFormatting>
  <conditionalFormatting sqref="CW67">
    <cfRule type="expression" dxfId="1486" priority="2735">
      <formula>OR(IF(CW67&lt;CX67,TRUE),IF(AND(CX67="",CW67&lt;&gt;""),TRUE))</formula>
    </cfRule>
    <cfRule type="expression" dxfId="1485" priority="2736">
      <formula>IF(CW67&gt;=CX67,IF(CW67="",FALSE,TRUE))</formula>
    </cfRule>
  </conditionalFormatting>
  <conditionalFormatting sqref="CU67">
    <cfRule type="expression" dxfId="1484" priority="2737">
      <formula>OR(IF(CU67&lt;CV67,TRUE),IF(AND(CV67="",CU67&lt;&gt;""),TRUE))</formula>
    </cfRule>
    <cfRule type="expression" dxfId="1483" priority="2738">
      <formula>IF(CU67&gt;=CV67,IF(CU67="",FALSE,TRUE))</formula>
    </cfRule>
  </conditionalFormatting>
  <conditionalFormatting sqref="CW68">
    <cfRule type="expression" dxfId="1482" priority="2731">
      <formula>OR(IF(CW68&lt;CX68,TRUE),IF(AND(CX68="",CW68&lt;&gt;""),TRUE))</formula>
    </cfRule>
    <cfRule type="expression" dxfId="1481" priority="2732">
      <formula>IF(CW68&gt;=CX68,IF(CW68="",FALSE,TRUE))</formula>
    </cfRule>
  </conditionalFormatting>
  <conditionalFormatting sqref="CU68">
    <cfRule type="expression" dxfId="1480" priority="2733">
      <formula>OR(IF(CU68&lt;CV68,TRUE),IF(AND(CV68="",CU68&lt;&gt;""),TRUE))</formula>
    </cfRule>
    <cfRule type="expression" dxfId="1479" priority="2734">
      <formula>IF(CU68&gt;=CV68,IF(CU68="",FALSE,TRUE))</formula>
    </cfRule>
  </conditionalFormatting>
  <conditionalFormatting sqref="CW69">
    <cfRule type="expression" dxfId="1478" priority="2727">
      <formula>OR(IF(CW69&lt;CX69,TRUE),IF(AND(CX69="",CW69&lt;&gt;""),TRUE))</formula>
    </cfRule>
    <cfRule type="expression" dxfId="1477" priority="2728">
      <formula>IF(CW69&gt;=CX69,IF(CW69="",FALSE,TRUE))</formula>
    </cfRule>
  </conditionalFormatting>
  <conditionalFormatting sqref="CU69">
    <cfRule type="expression" dxfId="1476" priority="2729">
      <formula>OR(IF(CU69&lt;CV69,TRUE),IF(AND(CV69="",CU69&lt;&gt;""),TRUE))</formula>
    </cfRule>
    <cfRule type="expression" dxfId="1475" priority="2730">
      <formula>IF(CU69&gt;=CV69,IF(CU69="",FALSE,TRUE))</formula>
    </cfRule>
  </conditionalFormatting>
  <conditionalFormatting sqref="CW70">
    <cfRule type="expression" dxfId="1474" priority="2723">
      <formula>OR(IF(CW70&lt;CX70,TRUE),IF(AND(CX70="",CW70&lt;&gt;""),TRUE))</formula>
    </cfRule>
    <cfRule type="expression" dxfId="1473" priority="2724">
      <formula>IF(CW70&gt;=CX70,IF(CW70="",FALSE,TRUE))</formula>
    </cfRule>
  </conditionalFormatting>
  <conditionalFormatting sqref="CU70">
    <cfRule type="expression" dxfId="1472" priority="2725">
      <formula>OR(IF(CU70&lt;CV70,TRUE),IF(AND(CV70="",CU70&lt;&gt;""),TRUE))</formula>
    </cfRule>
    <cfRule type="expression" dxfId="1471" priority="2726">
      <formula>IF(CU70&gt;=CV70,IF(CU70="",FALSE,TRUE))</formula>
    </cfRule>
  </conditionalFormatting>
  <conditionalFormatting sqref="CW71">
    <cfRule type="expression" dxfId="1470" priority="2719">
      <formula>OR(IF(CW71&lt;CX71,TRUE),IF(AND(CX71="",CW71&lt;&gt;""),TRUE))</formula>
    </cfRule>
    <cfRule type="expression" dxfId="1469" priority="2720">
      <formula>IF(CW71&gt;=CX71,IF(CW71="",FALSE,TRUE))</formula>
    </cfRule>
  </conditionalFormatting>
  <conditionalFormatting sqref="CU71">
    <cfRule type="expression" dxfId="1468" priority="2721">
      <formula>OR(IF(CU71&lt;CV71,TRUE),IF(AND(CV71="",CU71&lt;&gt;""),TRUE))</formula>
    </cfRule>
    <cfRule type="expression" dxfId="1467" priority="2722">
      <formula>IF(CU71&gt;=CV71,IF(CU71="",FALSE,TRUE))</formula>
    </cfRule>
  </conditionalFormatting>
  <conditionalFormatting sqref="CW72">
    <cfRule type="expression" dxfId="1466" priority="2715">
      <formula>OR(IF(CW72&lt;CX72,TRUE),IF(AND(CX72="",CW72&lt;&gt;""),TRUE))</formula>
    </cfRule>
    <cfRule type="expression" dxfId="1465" priority="2716">
      <formula>IF(CW72&gt;=CX72,IF(CW72="",FALSE,TRUE))</formula>
    </cfRule>
  </conditionalFormatting>
  <conditionalFormatting sqref="CU72">
    <cfRule type="expression" dxfId="1464" priority="2717">
      <formula>OR(IF(CU72&lt;CV72,TRUE),IF(AND(CV72="",CU72&lt;&gt;""),TRUE))</formula>
    </cfRule>
    <cfRule type="expression" dxfId="1463" priority="2718">
      <formula>IF(CU72&gt;=CV72,IF(CU72="",FALSE,TRUE))</formula>
    </cfRule>
  </conditionalFormatting>
  <conditionalFormatting sqref="CW73">
    <cfRule type="expression" dxfId="1462" priority="2711">
      <formula>OR(IF(CW73&lt;CX73,TRUE),IF(AND(CX73="",CW73&lt;&gt;""),TRUE))</formula>
    </cfRule>
    <cfRule type="expression" dxfId="1461" priority="2712">
      <formula>IF(CW73&gt;=CX73,IF(CW73="",FALSE,TRUE))</formula>
    </cfRule>
  </conditionalFormatting>
  <conditionalFormatting sqref="CU73">
    <cfRule type="expression" dxfId="1460" priority="2713">
      <formula>OR(IF(CU73&lt;CV73,TRUE),IF(AND(CV73="",CU73&lt;&gt;""),TRUE))</formula>
    </cfRule>
    <cfRule type="expression" dxfId="1459" priority="2714">
      <formula>IF(CU73&gt;=CV73,IF(CU73="",FALSE,TRUE))</formula>
    </cfRule>
  </conditionalFormatting>
  <conditionalFormatting sqref="CW74">
    <cfRule type="expression" dxfId="1458" priority="2707">
      <formula>OR(IF(CW74&lt;CX74,TRUE),IF(AND(CX74="",CW74&lt;&gt;""),TRUE))</formula>
    </cfRule>
    <cfRule type="expression" dxfId="1457" priority="2708">
      <formula>IF(CW74&gt;=CX74,IF(CW74="",FALSE,TRUE))</formula>
    </cfRule>
  </conditionalFormatting>
  <conditionalFormatting sqref="CU74">
    <cfRule type="expression" dxfId="1456" priority="2709">
      <formula>OR(IF(CU74&lt;CV74,TRUE),IF(AND(CV74="",CU74&lt;&gt;""),TRUE))</formula>
    </cfRule>
    <cfRule type="expression" dxfId="1455" priority="2710">
      <formula>IF(CU74&gt;=CV74,IF(CU74="",FALSE,TRUE))</formula>
    </cfRule>
  </conditionalFormatting>
  <conditionalFormatting sqref="CW75">
    <cfRule type="expression" dxfId="1454" priority="2703">
      <formula>OR(IF(CW75&lt;CX75,TRUE),IF(AND(CX75="",CW75&lt;&gt;""),TRUE))</formula>
    </cfRule>
    <cfRule type="expression" dxfId="1453" priority="2704">
      <formula>IF(CW75&gt;=CX75,IF(CW75="",FALSE,TRUE))</formula>
    </cfRule>
  </conditionalFormatting>
  <conditionalFormatting sqref="CU75">
    <cfRule type="expression" dxfId="1452" priority="2705">
      <formula>OR(IF(CU75&lt;CV75,TRUE),IF(AND(CV75="",CU75&lt;&gt;""),TRUE))</formula>
    </cfRule>
    <cfRule type="expression" dxfId="1451" priority="2706">
      <formula>IF(CU75&gt;=CV75,IF(CU75="",FALSE,TRUE))</formula>
    </cfRule>
  </conditionalFormatting>
  <conditionalFormatting sqref="CW76">
    <cfRule type="expression" dxfId="1450" priority="2699">
      <formula>OR(IF(CW76&lt;CX76,TRUE),IF(AND(CX76="",CW76&lt;&gt;""),TRUE))</formula>
    </cfRule>
    <cfRule type="expression" dxfId="1449" priority="2700">
      <formula>IF(CW76&gt;=CX76,IF(CW76="",FALSE,TRUE))</formula>
    </cfRule>
  </conditionalFormatting>
  <conditionalFormatting sqref="CU76">
    <cfRule type="expression" dxfId="1448" priority="2701">
      <formula>OR(IF(CU76&lt;CV76,TRUE),IF(AND(CV76="",CU76&lt;&gt;""),TRUE))</formula>
    </cfRule>
    <cfRule type="expression" dxfId="1447" priority="2702">
      <formula>IF(CU76&gt;=CV76,IF(CU76="",FALSE,TRUE))</formula>
    </cfRule>
  </conditionalFormatting>
  <conditionalFormatting sqref="DB52:DB53">
    <cfRule type="expression" dxfId="1446" priority="2697">
      <formula>OR(IF(DB52&lt;DC52,TRUE),IF(AND(DC52="",DB52&lt;&gt;""),TRUE))</formula>
    </cfRule>
    <cfRule type="expression" dxfId="1445" priority="2698">
      <formula>IF(DB52&gt;=DC52,IF(DB52="",FALSE,TRUE))</formula>
    </cfRule>
  </conditionalFormatting>
  <conditionalFormatting sqref="DD54:DD63">
    <cfRule type="expression" dxfId="1444" priority="2691">
      <formula>OR(IF(DD54&lt;DE54,TRUE),IF(AND(DE54="",DD54&lt;&gt;""),TRUE))</formula>
    </cfRule>
    <cfRule type="expression" dxfId="1443" priority="2692">
      <formula>IF(DD54&gt;=DE54,IF(DD54="",FALSE,TRUE))</formula>
    </cfRule>
  </conditionalFormatting>
  <conditionalFormatting sqref="DD52:DD53">
    <cfRule type="expression" dxfId="1442" priority="2695">
      <formula>OR(IF(DD52&lt;DE52,TRUE),IF(AND(DE52="",DD52&lt;&gt;""),TRUE))</formula>
    </cfRule>
    <cfRule type="expression" dxfId="1441" priority="2696">
      <formula>IF(DD52&gt;=DE52,IF(DD52="",FALSE,TRUE))</formula>
    </cfRule>
  </conditionalFormatting>
  <conditionalFormatting sqref="DB54:DB63">
    <cfRule type="expression" dxfId="1440" priority="2693">
      <formula>OR(IF(DB54&lt;DC54,TRUE),IF(AND(DC54="",DB54&lt;&gt;""),TRUE))</formula>
    </cfRule>
    <cfRule type="expression" dxfId="1439" priority="2694">
      <formula>IF(DB54&gt;=DC54,IF(DB54="",FALSE,TRUE))</formula>
    </cfRule>
  </conditionalFormatting>
  <conditionalFormatting sqref="DD64">
    <cfRule type="expression" dxfId="1438" priority="2687">
      <formula>OR(IF(DD64&lt;DE64,TRUE),IF(AND(DE64="",DD64&lt;&gt;""),TRUE))</formula>
    </cfRule>
    <cfRule type="expression" dxfId="1437" priority="2688">
      <formula>IF(DD64&gt;=DE64,IF(DD64="",FALSE,TRUE))</formula>
    </cfRule>
  </conditionalFormatting>
  <conditionalFormatting sqref="DB64">
    <cfRule type="expression" dxfId="1436" priority="2689">
      <formula>OR(IF(DB64&lt;DC64,TRUE),IF(AND(DC64="",DB64&lt;&gt;""),TRUE))</formula>
    </cfRule>
    <cfRule type="expression" dxfId="1435" priority="2690">
      <formula>IF(DB64&gt;=DC64,IF(DB64="",FALSE,TRUE))</formula>
    </cfRule>
  </conditionalFormatting>
  <conditionalFormatting sqref="DD65">
    <cfRule type="expression" dxfId="1434" priority="2683">
      <formula>OR(IF(DD65&lt;DE65,TRUE),IF(AND(DE65="",DD65&lt;&gt;""),TRUE))</formula>
    </cfRule>
    <cfRule type="expression" dxfId="1433" priority="2684">
      <formula>IF(DD65&gt;=DE65,IF(DD65="",FALSE,TRUE))</formula>
    </cfRule>
  </conditionalFormatting>
  <conditionalFormatting sqref="DB65">
    <cfRule type="expression" dxfId="1432" priority="2685">
      <formula>OR(IF(DB65&lt;DC65,TRUE),IF(AND(DC65="",DB65&lt;&gt;""),TRUE))</formula>
    </cfRule>
    <cfRule type="expression" dxfId="1431" priority="2686">
      <formula>IF(DB65&gt;=DC65,IF(DB65="",FALSE,TRUE))</formula>
    </cfRule>
  </conditionalFormatting>
  <conditionalFormatting sqref="DD66">
    <cfRule type="expression" dxfId="1430" priority="2679">
      <formula>OR(IF(DD66&lt;DE66,TRUE),IF(AND(DE66="",DD66&lt;&gt;""),TRUE))</formula>
    </cfRule>
    <cfRule type="expression" dxfId="1429" priority="2680">
      <formula>IF(DD66&gt;=DE66,IF(DD66="",FALSE,TRUE))</formula>
    </cfRule>
  </conditionalFormatting>
  <conditionalFormatting sqref="DB66">
    <cfRule type="expression" dxfId="1428" priority="2681">
      <formula>OR(IF(DB66&lt;DC66,TRUE),IF(AND(DC66="",DB66&lt;&gt;""),TRUE))</formula>
    </cfRule>
    <cfRule type="expression" dxfId="1427" priority="2682">
      <formula>IF(DB66&gt;=DC66,IF(DB66="",FALSE,TRUE))</formula>
    </cfRule>
  </conditionalFormatting>
  <conditionalFormatting sqref="DD67">
    <cfRule type="expression" dxfId="1426" priority="2675">
      <formula>OR(IF(DD67&lt;DE67,TRUE),IF(AND(DE67="",DD67&lt;&gt;""),TRUE))</formula>
    </cfRule>
    <cfRule type="expression" dxfId="1425" priority="2676">
      <formula>IF(DD67&gt;=DE67,IF(DD67="",FALSE,TRUE))</formula>
    </cfRule>
  </conditionalFormatting>
  <conditionalFormatting sqref="DB67">
    <cfRule type="expression" dxfId="1424" priority="2677">
      <formula>OR(IF(DB67&lt;DC67,TRUE),IF(AND(DC67="",DB67&lt;&gt;""),TRUE))</formula>
    </cfRule>
    <cfRule type="expression" dxfId="1423" priority="2678">
      <formula>IF(DB67&gt;=DC67,IF(DB67="",FALSE,TRUE))</formula>
    </cfRule>
  </conditionalFormatting>
  <conditionalFormatting sqref="DD68">
    <cfRule type="expression" dxfId="1422" priority="2671">
      <formula>OR(IF(DD68&lt;DE68,TRUE),IF(AND(DE68="",DD68&lt;&gt;""),TRUE))</formula>
    </cfRule>
    <cfRule type="expression" dxfId="1421" priority="2672">
      <formula>IF(DD68&gt;=DE68,IF(DD68="",FALSE,TRUE))</formula>
    </cfRule>
  </conditionalFormatting>
  <conditionalFormatting sqref="DB68">
    <cfRule type="expression" dxfId="1420" priority="2673">
      <formula>OR(IF(DB68&lt;DC68,TRUE),IF(AND(DC68="",DB68&lt;&gt;""),TRUE))</formula>
    </cfRule>
    <cfRule type="expression" dxfId="1419" priority="2674">
      <formula>IF(DB68&gt;=DC68,IF(DB68="",FALSE,TRUE))</formula>
    </cfRule>
  </conditionalFormatting>
  <conditionalFormatting sqref="DD69">
    <cfRule type="expression" dxfId="1418" priority="2667">
      <formula>OR(IF(DD69&lt;DE69,TRUE),IF(AND(DE69="",DD69&lt;&gt;""),TRUE))</formula>
    </cfRule>
    <cfRule type="expression" dxfId="1417" priority="2668">
      <formula>IF(DD69&gt;=DE69,IF(DD69="",FALSE,TRUE))</formula>
    </cfRule>
  </conditionalFormatting>
  <conditionalFormatting sqref="DB69">
    <cfRule type="expression" dxfId="1416" priority="2669">
      <formula>OR(IF(DB69&lt;DC69,TRUE),IF(AND(DC69="",DB69&lt;&gt;""),TRUE))</formula>
    </cfRule>
    <cfRule type="expression" dxfId="1415" priority="2670">
      <formula>IF(DB69&gt;=DC69,IF(DB69="",FALSE,TRUE))</formula>
    </cfRule>
  </conditionalFormatting>
  <conditionalFormatting sqref="DD70">
    <cfRule type="expression" dxfId="1414" priority="2663">
      <formula>OR(IF(DD70&lt;DE70,TRUE),IF(AND(DE70="",DD70&lt;&gt;""),TRUE))</formula>
    </cfRule>
    <cfRule type="expression" dxfId="1413" priority="2664">
      <formula>IF(DD70&gt;=DE70,IF(DD70="",FALSE,TRUE))</formula>
    </cfRule>
  </conditionalFormatting>
  <conditionalFormatting sqref="DB70">
    <cfRule type="expression" dxfId="1412" priority="2665">
      <formula>OR(IF(DB70&lt;DC70,TRUE),IF(AND(DC70="",DB70&lt;&gt;""),TRUE))</formula>
    </cfRule>
    <cfRule type="expression" dxfId="1411" priority="2666">
      <formula>IF(DB70&gt;=DC70,IF(DB70="",FALSE,TRUE))</formula>
    </cfRule>
  </conditionalFormatting>
  <conditionalFormatting sqref="DD71">
    <cfRule type="expression" dxfId="1410" priority="2659">
      <formula>OR(IF(DD71&lt;DE71,TRUE),IF(AND(DE71="",DD71&lt;&gt;""),TRUE))</formula>
    </cfRule>
    <cfRule type="expression" dxfId="1409" priority="2660">
      <formula>IF(DD71&gt;=DE71,IF(DD71="",FALSE,TRUE))</formula>
    </cfRule>
  </conditionalFormatting>
  <conditionalFormatting sqref="DB71">
    <cfRule type="expression" dxfId="1408" priority="2661">
      <formula>OR(IF(DB71&lt;DC71,TRUE),IF(AND(DC71="",DB71&lt;&gt;""),TRUE))</formula>
    </cfRule>
    <cfRule type="expression" dxfId="1407" priority="2662">
      <formula>IF(DB71&gt;=DC71,IF(DB71="",FALSE,TRUE))</formula>
    </cfRule>
  </conditionalFormatting>
  <conditionalFormatting sqref="DD72">
    <cfRule type="expression" dxfId="1406" priority="2655">
      <formula>OR(IF(DD72&lt;DE72,TRUE),IF(AND(DE72="",DD72&lt;&gt;""),TRUE))</formula>
    </cfRule>
    <cfRule type="expression" dxfId="1405" priority="2656">
      <formula>IF(DD72&gt;=DE72,IF(DD72="",FALSE,TRUE))</formula>
    </cfRule>
  </conditionalFormatting>
  <conditionalFormatting sqref="DB72">
    <cfRule type="expression" dxfId="1404" priority="2657">
      <formula>OR(IF(DB72&lt;DC72,TRUE),IF(AND(DC72="",DB72&lt;&gt;""),TRUE))</formula>
    </cfRule>
    <cfRule type="expression" dxfId="1403" priority="2658">
      <formula>IF(DB72&gt;=DC72,IF(DB72="",FALSE,TRUE))</formula>
    </cfRule>
  </conditionalFormatting>
  <conditionalFormatting sqref="DD73">
    <cfRule type="expression" dxfId="1402" priority="2651">
      <formula>OR(IF(DD73&lt;DE73,TRUE),IF(AND(DE73="",DD73&lt;&gt;""),TRUE))</formula>
    </cfRule>
    <cfRule type="expression" dxfId="1401" priority="2652">
      <formula>IF(DD73&gt;=DE73,IF(DD73="",FALSE,TRUE))</formula>
    </cfRule>
  </conditionalFormatting>
  <conditionalFormatting sqref="DB73">
    <cfRule type="expression" dxfId="1400" priority="2653">
      <formula>OR(IF(DB73&lt;DC73,TRUE),IF(AND(DC73="",DB73&lt;&gt;""),TRUE))</formula>
    </cfRule>
    <cfRule type="expression" dxfId="1399" priority="2654">
      <formula>IF(DB73&gt;=DC73,IF(DB73="",FALSE,TRUE))</formula>
    </cfRule>
  </conditionalFormatting>
  <conditionalFormatting sqref="DD74">
    <cfRule type="expression" dxfId="1398" priority="2647">
      <formula>OR(IF(DD74&lt;DE74,TRUE),IF(AND(DE74="",DD74&lt;&gt;""),TRUE))</formula>
    </cfRule>
    <cfRule type="expression" dxfId="1397" priority="2648">
      <formula>IF(DD74&gt;=DE74,IF(DD74="",FALSE,TRUE))</formula>
    </cfRule>
  </conditionalFormatting>
  <conditionalFormatting sqref="DB74">
    <cfRule type="expression" dxfId="1396" priority="2649">
      <formula>OR(IF(DB74&lt;DC74,TRUE),IF(AND(DC74="",DB74&lt;&gt;""),TRUE))</formula>
    </cfRule>
    <cfRule type="expression" dxfId="1395" priority="2650">
      <formula>IF(DB74&gt;=DC74,IF(DB74="",FALSE,TRUE))</formula>
    </cfRule>
  </conditionalFormatting>
  <conditionalFormatting sqref="DD75">
    <cfRule type="expression" dxfId="1394" priority="2643">
      <formula>OR(IF(DD75&lt;DE75,TRUE),IF(AND(DE75="",DD75&lt;&gt;""),TRUE))</formula>
    </cfRule>
    <cfRule type="expression" dxfId="1393" priority="2644">
      <formula>IF(DD75&gt;=DE75,IF(DD75="",FALSE,TRUE))</formula>
    </cfRule>
  </conditionalFormatting>
  <conditionalFormatting sqref="DB75">
    <cfRule type="expression" dxfId="1392" priority="2645">
      <formula>OR(IF(DB75&lt;DC75,TRUE),IF(AND(DC75="",DB75&lt;&gt;""),TRUE))</formula>
    </cfRule>
    <cfRule type="expression" dxfId="1391" priority="2646">
      <formula>IF(DB75&gt;=DC75,IF(DB75="",FALSE,TRUE))</formula>
    </cfRule>
  </conditionalFormatting>
  <conditionalFormatting sqref="DD76">
    <cfRule type="expression" dxfId="1390" priority="2639">
      <formula>OR(IF(DD76&lt;DE76,TRUE),IF(AND(DE76="",DD76&lt;&gt;""),TRUE))</formula>
    </cfRule>
    <cfRule type="expression" dxfId="1389" priority="2640">
      <formula>IF(DD76&gt;=DE76,IF(DD76="",FALSE,TRUE))</formula>
    </cfRule>
  </conditionalFormatting>
  <conditionalFormatting sqref="DB76">
    <cfRule type="expression" dxfId="1388" priority="2641">
      <formula>OR(IF(DB76&lt;DC76,TRUE),IF(AND(DC76="",DB76&lt;&gt;""),TRUE))</formula>
    </cfRule>
    <cfRule type="expression" dxfId="1387" priority="2642">
      <formula>IF(DB76&gt;=DC76,IF(DB76="",FALSE,TRUE))</formula>
    </cfRule>
  </conditionalFormatting>
  <conditionalFormatting sqref="AX52:AX53">
    <cfRule type="expression" dxfId="1386" priority="2397">
      <formula>OR(IF(AX52&lt;AY52,TRUE),IF(AND(AY52="",AX52&lt;&gt;""),TRUE))</formula>
    </cfRule>
    <cfRule type="expression" dxfId="1385" priority="2398">
      <formula>IF(AX52&gt;=AY52,IF(AX52="",FALSE,TRUE))</formula>
    </cfRule>
  </conditionalFormatting>
  <conditionalFormatting sqref="AZ52:AZ53">
    <cfRule type="expression" dxfId="1384" priority="2395">
      <formula>OR(IF(AZ52&lt;BA52,TRUE),IF(AND(BA52="",AZ52&lt;&gt;""),TRUE))</formula>
    </cfRule>
    <cfRule type="expression" dxfId="1383" priority="2396">
      <formula>IF(AZ52&gt;=BA52,IF(AZ52="",FALSE,TRUE))</formula>
    </cfRule>
  </conditionalFormatting>
  <conditionalFormatting sqref="AZ54:AZ63">
    <cfRule type="expression" dxfId="1382" priority="2391">
      <formula>OR(IF(AZ54&lt;BA54,TRUE),IF(AND(BA54="",AZ54&lt;&gt;""),TRUE))</formula>
    </cfRule>
    <cfRule type="expression" dxfId="1381" priority="2392">
      <formula>IF(AZ54&gt;=BA54,IF(AZ54="",FALSE,TRUE))</formula>
    </cfRule>
  </conditionalFormatting>
  <conditionalFormatting sqref="AX54:AX63">
    <cfRule type="expression" dxfId="1380" priority="2393">
      <formula>OR(IF(AX54&lt;AY54,TRUE),IF(AND(AY54="",AX54&lt;&gt;""),TRUE))</formula>
    </cfRule>
    <cfRule type="expression" dxfId="1379" priority="2394">
      <formula>IF(AX54&gt;=AY54,IF(AX54="",FALSE,TRUE))</formula>
    </cfRule>
  </conditionalFormatting>
  <conditionalFormatting sqref="AZ64">
    <cfRule type="expression" dxfId="1378" priority="2387">
      <formula>OR(IF(AZ64&lt;BA64,TRUE),IF(AND(BA64="",AZ64&lt;&gt;""),TRUE))</formula>
    </cfRule>
    <cfRule type="expression" dxfId="1377" priority="2388">
      <formula>IF(AZ64&gt;=BA64,IF(AZ64="",FALSE,TRUE))</formula>
    </cfRule>
  </conditionalFormatting>
  <conditionalFormatting sqref="AX64">
    <cfRule type="expression" dxfId="1376" priority="2389">
      <formula>OR(IF(AX64&lt;AY64,TRUE),IF(AND(AY64="",AX64&lt;&gt;""),TRUE))</formula>
    </cfRule>
    <cfRule type="expression" dxfId="1375" priority="2390">
      <formula>IF(AX64&gt;=AY64,IF(AX64="",FALSE,TRUE))</formula>
    </cfRule>
  </conditionalFormatting>
  <conditionalFormatting sqref="AZ65">
    <cfRule type="expression" dxfId="1374" priority="2383">
      <formula>OR(IF(AZ65&lt;BA65,TRUE),IF(AND(BA65="",AZ65&lt;&gt;""),TRUE))</formula>
    </cfRule>
    <cfRule type="expression" dxfId="1373" priority="2384">
      <formula>IF(AZ65&gt;=BA65,IF(AZ65="",FALSE,TRUE))</formula>
    </cfRule>
  </conditionalFormatting>
  <conditionalFormatting sqref="AX65">
    <cfRule type="expression" dxfId="1372" priority="2385">
      <formula>OR(IF(AX65&lt;AY65,TRUE),IF(AND(AY65="",AX65&lt;&gt;""),TRUE))</formula>
    </cfRule>
    <cfRule type="expression" dxfId="1371" priority="2386">
      <formula>IF(AX65&gt;=AY65,IF(AX65="",FALSE,TRUE))</formula>
    </cfRule>
  </conditionalFormatting>
  <conditionalFormatting sqref="AZ66">
    <cfRule type="expression" dxfId="1370" priority="2379">
      <formula>OR(IF(AZ66&lt;BA66,TRUE),IF(AND(BA66="",AZ66&lt;&gt;""),TRUE))</formula>
    </cfRule>
    <cfRule type="expression" dxfId="1369" priority="2380">
      <formula>IF(AZ66&gt;=BA66,IF(AZ66="",FALSE,TRUE))</formula>
    </cfRule>
  </conditionalFormatting>
  <conditionalFormatting sqref="AX66">
    <cfRule type="expression" dxfId="1368" priority="2381">
      <formula>OR(IF(AX66&lt;AY66,TRUE),IF(AND(AY66="",AX66&lt;&gt;""),TRUE))</formula>
    </cfRule>
    <cfRule type="expression" dxfId="1367" priority="2382">
      <formula>IF(AX66&gt;=AY66,IF(AX66="",FALSE,TRUE))</formula>
    </cfRule>
  </conditionalFormatting>
  <conditionalFormatting sqref="AZ67">
    <cfRule type="expression" dxfId="1366" priority="2375">
      <formula>OR(IF(AZ67&lt;BA67,TRUE),IF(AND(BA67="",AZ67&lt;&gt;""),TRUE))</formula>
    </cfRule>
    <cfRule type="expression" dxfId="1365" priority="2376">
      <formula>IF(AZ67&gt;=BA67,IF(AZ67="",FALSE,TRUE))</formula>
    </cfRule>
  </conditionalFormatting>
  <conditionalFormatting sqref="AX67">
    <cfRule type="expression" dxfId="1364" priority="2377">
      <formula>OR(IF(AX67&lt;AY67,TRUE),IF(AND(AY67="",AX67&lt;&gt;""),TRUE))</formula>
    </cfRule>
    <cfRule type="expression" dxfId="1363" priority="2378">
      <formula>IF(AX67&gt;=AY67,IF(AX67="",FALSE,TRUE))</formula>
    </cfRule>
  </conditionalFormatting>
  <conditionalFormatting sqref="AZ68">
    <cfRule type="expression" dxfId="1362" priority="2371">
      <formula>OR(IF(AZ68&lt;BA68,TRUE),IF(AND(BA68="",AZ68&lt;&gt;""),TRUE))</formula>
    </cfRule>
    <cfRule type="expression" dxfId="1361" priority="2372">
      <formula>IF(AZ68&gt;=BA68,IF(AZ68="",FALSE,TRUE))</formula>
    </cfRule>
  </conditionalFormatting>
  <conditionalFormatting sqref="AX68">
    <cfRule type="expression" dxfId="1360" priority="2373">
      <formula>OR(IF(AX68&lt;AY68,TRUE),IF(AND(AY68="",AX68&lt;&gt;""),TRUE))</formula>
    </cfRule>
    <cfRule type="expression" dxfId="1359" priority="2374">
      <formula>IF(AX68&gt;=AY68,IF(AX68="",FALSE,TRUE))</formula>
    </cfRule>
  </conditionalFormatting>
  <conditionalFormatting sqref="AZ69">
    <cfRule type="expression" dxfId="1358" priority="2367">
      <formula>OR(IF(AZ69&lt;BA69,TRUE),IF(AND(BA69="",AZ69&lt;&gt;""),TRUE))</formula>
    </cfRule>
    <cfRule type="expression" dxfId="1357" priority="2368">
      <formula>IF(AZ69&gt;=BA69,IF(AZ69="",FALSE,TRUE))</formula>
    </cfRule>
  </conditionalFormatting>
  <conditionalFormatting sqref="AX69">
    <cfRule type="expression" dxfId="1356" priority="2369">
      <formula>OR(IF(AX69&lt;AY69,TRUE),IF(AND(AY69="",AX69&lt;&gt;""),TRUE))</formula>
    </cfRule>
    <cfRule type="expression" dxfId="1355" priority="2370">
      <formula>IF(AX69&gt;=AY69,IF(AX69="",FALSE,TRUE))</formula>
    </cfRule>
  </conditionalFormatting>
  <conditionalFormatting sqref="AZ70">
    <cfRule type="expression" dxfId="1354" priority="2363">
      <formula>OR(IF(AZ70&lt;BA70,TRUE),IF(AND(BA70="",AZ70&lt;&gt;""),TRUE))</formula>
    </cfRule>
    <cfRule type="expression" dxfId="1353" priority="2364">
      <formula>IF(AZ70&gt;=BA70,IF(AZ70="",FALSE,TRUE))</formula>
    </cfRule>
  </conditionalFormatting>
  <conditionalFormatting sqref="AX70">
    <cfRule type="expression" dxfId="1352" priority="2365">
      <formula>OR(IF(AX70&lt;AY70,TRUE),IF(AND(AY70="",AX70&lt;&gt;""),TRUE))</formula>
    </cfRule>
    <cfRule type="expression" dxfId="1351" priority="2366">
      <formula>IF(AX70&gt;=AY70,IF(AX70="",FALSE,TRUE))</formula>
    </cfRule>
  </conditionalFormatting>
  <conditionalFormatting sqref="AZ71">
    <cfRule type="expression" dxfId="1350" priority="2359">
      <formula>OR(IF(AZ71&lt;BA71,TRUE),IF(AND(BA71="",AZ71&lt;&gt;""),TRUE))</formula>
    </cfRule>
    <cfRule type="expression" dxfId="1349" priority="2360">
      <formula>IF(AZ71&gt;=BA71,IF(AZ71="",FALSE,TRUE))</formula>
    </cfRule>
  </conditionalFormatting>
  <conditionalFormatting sqref="AX71">
    <cfRule type="expression" dxfId="1348" priority="2361">
      <formula>OR(IF(AX71&lt;AY71,TRUE),IF(AND(AY71="",AX71&lt;&gt;""),TRUE))</formula>
    </cfRule>
    <cfRule type="expression" dxfId="1347" priority="2362">
      <formula>IF(AX71&gt;=AY71,IF(AX71="",FALSE,TRUE))</formula>
    </cfRule>
  </conditionalFormatting>
  <conditionalFormatting sqref="AZ72">
    <cfRule type="expression" dxfId="1346" priority="2355">
      <formula>OR(IF(AZ72&lt;BA72,TRUE),IF(AND(BA72="",AZ72&lt;&gt;""),TRUE))</formula>
    </cfRule>
    <cfRule type="expression" dxfId="1345" priority="2356">
      <formula>IF(AZ72&gt;=BA72,IF(AZ72="",FALSE,TRUE))</formula>
    </cfRule>
  </conditionalFormatting>
  <conditionalFormatting sqref="AX72">
    <cfRule type="expression" dxfId="1344" priority="2357">
      <formula>OR(IF(AX72&lt;AY72,TRUE),IF(AND(AY72="",AX72&lt;&gt;""),TRUE))</formula>
    </cfRule>
    <cfRule type="expression" dxfId="1343" priority="2358">
      <formula>IF(AX72&gt;=AY72,IF(AX72="",FALSE,TRUE))</formula>
    </cfRule>
  </conditionalFormatting>
  <conditionalFormatting sqref="AZ73">
    <cfRule type="expression" dxfId="1342" priority="2351">
      <formula>OR(IF(AZ73&lt;BA73,TRUE),IF(AND(BA73="",AZ73&lt;&gt;""),TRUE))</formula>
    </cfRule>
    <cfRule type="expression" dxfId="1341" priority="2352">
      <formula>IF(AZ73&gt;=BA73,IF(AZ73="",FALSE,TRUE))</formula>
    </cfRule>
  </conditionalFormatting>
  <conditionalFormatting sqref="AX73">
    <cfRule type="expression" dxfId="1340" priority="2353">
      <formula>OR(IF(AX73&lt;AY73,TRUE),IF(AND(AY73="",AX73&lt;&gt;""),TRUE))</formula>
    </cfRule>
    <cfRule type="expression" dxfId="1339" priority="2354">
      <formula>IF(AX73&gt;=AY73,IF(AX73="",FALSE,TRUE))</formula>
    </cfRule>
  </conditionalFormatting>
  <conditionalFormatting sqref="AZ74">
    <cfRule type="expression" dxfId="1338" priority="2347">
      <formula>OR(IF(AZ74&lt;BA74,TRUE),IF(AND(BA74="",AZ74&lt;&gt;""),TRUE))</formula>
    </cfRule>
    <cfRule type="expression" dxfId="1337" priority="2348">
      <formula>IF(AZ74&gt;=BA74,IF(AZ74="",FALSE,TRUE))</formula>
    </cfRule>
  </conditionalFormatting>
  <conditionalFormatting sqref="AX74">
    <cfRule type="expression" dxfId="1336" priority="2349">
      <formula>OR(IF(AX74&lt;AY74,TRUE),IF(AND(AY74="",AX74&lt;&gt;""),TRUE))</formula>
    </cfRule>
    <cfRule type="expression" dxfId="1335" priority="2350">
      <formula>IF(AX74&gt;=AY74,IF(AX74="",FALSE,TRUE))</formula>
    </cfRule>
  </conditionalFormatting>
  <conditionalFormatting sqref="AZ75">
    <cfRule type="expression" dxfId="1334" priority="2343">
      <formula>OR(IF(AZ75&lt;BA75,TRUE),IF(AND(BA75="",AZ75&lt;&gt;""),TRUE))</formula>
    </cfRule>
    <cfRule type="expression" dxfId="1333" priority="2344">
      <formula>IF(AZ75&gt;=BA75,IF(AZ75="",FALSE,TRUE))</formula>
    </cfRule>
  </conditionalFormatting>
  <conditionalFormatting sqref="AX75">
    <cfRule type="expression" dxfId="1332" priority="2345">
      <formula>OR(IF(AX75&lt;AY75,TRUE),IF(AND(AY75="",AX75&lt;&gt;""),TRUE))</formula>
    </cfRule>
    <cfRule type="expression" dxfId="1331" priority="2346">
      <formula>IF(AX75&gt;=AY75,IF(AX75="",FALSE,TRUE))</formula>
    </cfRule>
  </conditionalFormatting>
  <conditionalFormatting sqref="AZ76">
    <cfRule type="expression" dxfId="1330" priority="2339">
      <formula>OR(IF(AZ76&lt;BA76,TRUE),IF(AND(BA76="",AZ76&lt;&gt;""),TRUE))</formula>
    </cfRule>
    <cfRule type="expression" dxfId="1329" priority="2340">
      <formula>IF(AZ76&gt;=BA76,IF(AZ76="",FALSE,TRUE))</formula>
    </cfRule>
  </conditionalFormatting>
  <conditionalFormatting sqref="AX76">
    <cfRule type="expression" dxfId="1328" priority="2341">
      <formula>OR(IF(AX76&lt;AY76,TRUE),IF(AND(AY76="",AX76&lt;&gt;""),TRUE))</formula>
    </cfRule>
    <cfRule type="expression" dxfId="1327" priority="2342">
      <formula>IF(AX76&gt;=AY76,IF(AX76="",FALSE,TRUE))</formula>
    </cfRule>
  </conditionalFormatting>
  <conditionalFormatting sqref="BE52:BE53">
    <cfRule type="expression" dxfId="1326" priority="2337">
      <formula>OR(IF(BE52&lt;BF52,TRUE),IF(AND(BF52="",BE52&lt;&gt;""),TRUE))</formula>
    </cfRule>
    <cfRule type="expression" dxfId="1325" priority="2338">
      <formula>IF(BE52&gt;=BF52,IF(BE52="",FALSE,TRUE))</formula>
    </cfRule>
  </conditionalFormatting>
  <conditionalFormatting sqref="BG52:BG53">
    <cfRule type="expression" dxfId="1324" priority="2335">
      <formula>OR(IF(BG52&lt;BH52,TRUE),IF(AND(BH52="",BG52&lt;&gt;""),TRUE))</formula>
    </cfRule>
    <cfRule type="expression" dxfId="1323" priority="2336">
      <formula>IF(BG52&gt;=BH52,IF(BG52="",FALSE,TRUE))</formula>
    </cfRule>
  </conditionalFormatting>
  <conditionalFormatting sqref="BG54:BG63">
    <cfRule type="expression" dxfId="1322" priority="2331">
      <formula>OR(IF(BG54&lt;BH54,TRUE),IF(AND(BH54="",BG54&lt;&gt;""),TRUE))</formula>
    </cfRule>
    <cfRule type="expression" dxfId="1321" priority="2332">
      <formula>IF(BG54&gt;=BH54,IF(BG54="",FALSE,TRUE))</formula>
    </cfRule>
  </conditionalFormatting>
  <conditionalFormatting sqref="BE54:BE63">
    <cfRule type="expression" dxfId="1320" priority="2333">
      <formula>OR(IF(BE54&lt;BF54,TRUE),IF(AND(BF54="",BE54&lt;&gt;""),TRUE))</formula>
    </cfRule>
    <cfRule type="expression" dxfId="1319" priority="2334">
      <formula>IF(BE54&gt;=BF54,IF(BE54="",FALSE,TRUE))</formula>
    </cfRule>
  </conditionalFormatting>
  <conditionalFormatting sqref="BG64">
    <cfRule type="expression" dxfId="1318" priority="2327">
      <formula>OR(IF(BG64&lt;BH64,TRUE),IF(AND(BH64="",BG64&lt;&gt;""),TRUE))</formula>
    </cfRule>
    <cfRule type="expression" dxfId="1317" priority="2328">
      <formula>IF(BG64&gt;=BH64,IF(BG64="",FALSE,TRUE))</formula>
    </cfRule>
  </conditionalFormatting>
  <conditionalFormatting sqref="BE64">
    <cfRule type="expression" dxfId="1316" priority="2329">
      <formula>OR(IF(BE64&lt;BF64,TRUE),IF(AND(BF64="",BE64&lt;&gt;""),TRUE))</formula>
    </cfRule>
    <cfRule type="expression" dxfId="1315" priority="2330">
      <formula>IF(BE64&gt;=BF64,IF(BE64="",FALSE,TRUE))</formula>
    </cfRule>
  </conditionalFormatting>
  <conditionalFormatting sqref="BG65">
    <cfRule type="expression" dxfId="1314" priority="2323">
      <formula>OR(IF(BG65&lt;BH65,TRUE),IF(AND(BH65="",BG65&lt;&gt;""),TRUE))</formula>
    </cfRule>
    <cfRule type="expression" dxfId="1313" priority="2324">
      <formula>IF(BG65&gt;=BH65,IF(BG65="",FALSE,TRUE))</formula>
    </cfRule>
  </conditionalFormatting>
  <conditionalFormatting sqref="BE65">
    <cfRule type="expression" dxfId="1312" priority="2325">
      <formula>OR(IF(BE65&lt;BF65,TRUE),IF(AND(BF65="",BE65&lt;&gt;""),TRUE))</formula>
    </cfRule>
    <cfRule type="expression" dxfId="1311" priority="2326">
      <formula>IF(BE65&gt;=BF65,IF(BE65="",FALSE,TRUE))</formula>
    </cfRule>
  </conditionalFormatting>
  <conditionalFormatting sqref="BG66">
    <cfRule type="expression" dxfId="1310" priority="2319">
      <formula>OR(IF(BG66&lt;BH66,TRUE),IF(AND(BH66="",BG66&lt;&gt;""),TRUE))</formula>
    </cfRule>
    <cfRule type="expression" dxfId="1309" priority="2320">
      <formula>IF(BG66&gt;=BH66,IF(BG66="",FALSE,TRUE))</formula>
    </cfRule>
  </conditionalFormatting>
  <conditionalFormatting sqref="BE66">
    <cfRule type="expression" dxfId="1308" priority="2321">
      <formula>OR(IF(BE66&lt;BF66,TRUE),IF(AND(BF66="",BE66&lt;&gt;""),TRUE))</formula>
    </cfRule>
    <cfRule type="expression" dxfId="1307" priority="2322">
      <formula>IF(BE66&gt;=BF66,IF(BE66="",FALSE,TRUE))</formula>
    </cfRule>
  </conditionalFormatting>
  <conditionalFormatting sqref="BG67">
    <cfRule type="expression" dxfId="1306" priority="2315">
      <formula>OR(IF(BG67&lt;BH67,TRUE),IF(AND(BH67="",BG67&lt;&gt;""),TRUE))</formula>
    </cfRule>
    <cfRule type="expression" dxfId="1305" priority="2316">
      <formula>IF(BG67&gt;=BH67,IF(BG67="",FALSE,TRUE))</formula>
    </cfRule>
  </conditionalFormatting>
  <conditionalFormatting sqref="BE67">
    <cfRule type="expression" dxfId="1304" priority="2317">
      <formula>OR(IF(BE67&lt;BF67,TRUE),IF(AND(BF67="",BE67&lt;&gt;""),TRUE))</formula>
    </cfRule>
    <cfRule type="expression" dxfId="1303" priority="2318">
      <formula>IF(BE67&gt;=BF67,IF(BE67="",FALSE,TRUE))</formula>
    </cfRule>
  </conditionalFormatting>
  <conditionalFormatting sqref="BG68">
    <cfRule type="expression" dxfId="1302" priority="2311">
      <formula>OR(IF(BG68&lt;BH68,TRUE),IF(AND(BH68="",BG68&lt;&gt;""),TRUE))</formula>
    </cfRule>
    <cfRule type="expression" dxfId="1301" priority="2312">
      <formula>IF(BG68&gt;=BH68,IF(BG68="",FALSE,TRUE))</formula>
    </cfRule>
  </conditionalFormatting>
  <conditionalFormatting sqref="BE68">
    <cfRule type="expression" dxfId="1300" priority="2313">
      <formula>OR(IF(BE68&lt;BF68,TRUE),IF(AND(BF68="",BE68&lt;&gt;""),TRUE))</formula>
    </cfRule>
    <cfRule type="expression" dxfId="1299" priority="2314">
      <formula>IF(BE68&gt;=BF68,IF(BE68="",FALSE,TRUE))</formula>
    </cfRule>
  </conditionalFormatting>
  <conditionalFormatting sqref="BG69">
    <cfRule type="expression" dxfId="1298" priority="2307">
      <formula>OR(IF(BG69&lt;BH69,TRUE),IF(AND(BH69="",BG69&lt;&gt;""),TRUE))</formula>
    </cfRule>
    <cfRule type="expression" dxfId="1297" priority="2308">
      <formula>IF(BG69&gt;=BH69,IF(BG69="",FALSE,TRUE))</formula>
    </cfRule>
  </conditionalFormatting>
  <conditionalFormatting sqref="BE69">
    <cfRule type="expression" dxfId="1296" priority="2309">
      <formula>OR(IF(BE69&lt;BF69,TRUE),IF(AND(BF69="",BE69&lt;&gt;""),TRUE))</formula>
    </cfRule>
    <cfRule type="expression" dxfId="1295" priority="2310">
      <formula>IF(BE69&gt;=BF69,IF(BE69="",FALSE,TRUE))</formula>
    </cfRule>
  </conditionalFormatting>
  <conditionalFormatting sqref="BG70">
    <cfRule type="expression" dxfId="1294" priority="2303">
      <formula>OR(IF(BG70&lt;BH70,TRUE),IF(AND(BH70="",BG70&lt;&gt;""),TRUE))</formula>
    </cfRule>
    <cfRule type="expression" dxfId="1293" priority="2304">
      <formula>IF(BG70&gt;=BH70,IF(BG70="",FALSE,TRUE))</formula>
    </cfRule>
  </conditionalFormatting>
  <conditionalFormatting sqref="BE70">
    <cfRule type="expression" dxfId="1292" priority="2305">
      <formula>OR(IF(BE70&lt;BF70,TRUE),IF(AND(BF70="",BE70&lt;&gt;""),TRUE))</formula>
    </cfRule>
    <cfRule type="expression" dxfId="1291" priority="2306">
      <formula>IF(BE70&gt;=BF70,IF(BE70="",FALSE,TRUE))</formula>
    </cfRule>
  </conditionalFormatting>
  <conditionalFormatting sqref="BG71">
    <cfRule type="expression" dxfId="1290" priority="2299">
      <formula>OR(IF(BG71&lt;BH71,TRUE),IF(AND(BH71="",BG71&lt;&gt;""),TRUE))</formula>
    </cfRule>
    <cfRule type="expression" dxfId="1289" priority="2300">
      <formula>IF(BG71&gt;=BH71,IF(BG71="",FALSE,TRUE))</formula>
    </cfRule>
  </conditionalFormatting>
  <conditionalFormatting sqref="BE71">
    <cfRule type="expression" dxfId="1288" priority="2301">
      <formula>OR(IF(BE71&lt;BF71,TRUE),IF(AND(BF71="",BE71&lt;&gt;""),TRUE))</formula>
    </cfRule>
    <cfRule type="expression" dxfId="1287" priority="2302">
      <formula>IF(BE71&gt;=BF71,IF(BE71="",FALSE,TRUE))</formula>
    </cfRule>
  </conditionalFormatting>
  <conditionalFormatting sqref="BG72">
    <cfRule type="expression" dxfId="1286" priority="2295">
      <formula>OR(IF(BG72&lt;BH72,TRUE),IF(AND(BH72="",BG72&lt;&gt;""),TRUE))</formula>
    </cfRule>
    <cfRule type="expression" dxfId="1285" priority="2296">
      <formula>IF(BG72&gt;=BH72,IF(BG72="",FALSE,TRUE))</formula>
    </cfRule>
  </conditionalFormatting>
  <conditionalFormatting sqref="BE72">
    <cfRule type="expression" dxfId="1284" priority="2297">
      <formula>OR(IF(BE72&lt;BF72,TRUE),IF(AND(BF72="",BE72&lt;&gt;""),TRUE))</formula>
    </cfRule>
    <cfRule type="expression" dxfId="1283" priority="2298">
      <formula>IF(BE72&gt;=BF72,IF(BE72="",FALSE,TRUE))</formula>
    </cfRule>
  </conditionalFormatting>
  <conditionalFormatting sqref="BG73">
    <cfRule type="expression" dxfId="1282" priority="2291">
      <formula>OR(IF(BG73&lt;BH73,TRUE),IF(AND(BH73="",BG73&lt;&gt;""),TRUE))</formula>
    </cfRule>
    <cfRule type="expression" dxfId="1281" priority="2292">
      <formula>IF(BG73&gt;=BH73,IF(BG73="",FALSE,TRUE))</formula>
    </cfRule>
  </conditionalFormatting>
  <conditionalFormatting sqref="BE73">
    <cfRule type="expression" dxfId="1280" priority="2293">
      <formula>OR(IF(BE73&lt;BF73,TRUE),IF(AND(BF73="",BE73&lt;&gt;""),TRUE))</formula>
    </cfRule>
    <cfRule type="expression" dxfId="1279" priority="2294">
      <formula>IF(BE73&gt;=BF73,IF(BE73="",FALSE,TRUE))</formula>
    </cfRule>
  </conditionalFormatting>
  <conditionalFormatting sqref="BG74">
    <cfRule type="expression" dxfId="1278" priority="2287">
      <formula>OR(IF(BG74&lt;BH74,TRUE),IF(AND(BH74="",BG74&lt;&gt;""),TRUE))</formula>
    </cfRule>
    <cfRule type="expression" dxfId="1277" priority="2288">
      <formula>IF(BG74&gt;=BH74,IF(BG74="",FALSE,TRUE))</formula>
    </cfRule>
  </conditionalFormatting>
  <conditionalFormatting sqref="BE74">
    <cfRule type="expression" dxfId="1276" priority="2289">
      <formula>OR(IF(BE74&lt;BF74,TRUE),IF(AND(BF74="",BE74&lt;&gt;""),TRUE))</formula>
    </cfRule>
    <cfRule type="expression" dxfId="1275" priority="2290">
      <formula>IF(BE74&gt;=BF74,IF(BE74="",FALSE,TRUE))</formula>
    </cfRule>
  </conditionalFormatting>
  <conditionalFormatting sqref="BG75">
    <cfRule type="expression" dxfId="1274" priority="2283">
      <formula>OR(IF(BG75&lt;BH75,TRUE),IF(AND(BH75="",BG75&lt;&gt;""),TRUE))</formula>
    </cfRule>
    <cfRule type="expression" dxfId="1273" priority="2284">
      <formula>IF(BG75&gt;=BH75,IF(BG75="",FALSE,TRUE))</formula>
    </cfRule>
  </conditionalFormatting>
  <conditionalFormatting sqref="BE75">
    <cfRule type="expression" dxfId="1272" priority="2285">
      <formula>OR(IF(BE75&lt;BF75,TRUE),IF(AND(BF75="",BE75&lt;&gt;""),TRUE))</formula>
    </cfRule>
    <cfRule type="expression" dxfId="1271" priority="2286">
      <formula>IF(BE75&gt;=BF75,IF(BE75="",FALSE,TRUE))</formula>
    </cfRule>
  </conditionalFormatting>
  <conditionalFormatting sqref="BG76">
    <cfRule type="expression" dxfId="1270" priority="2279">
      <formula>OR(IF(BG76&lt;BH76,TRUE),IF(AND(BH76="",BG76&lt;&gt;""),TRUE))</formula>
    </cfRule>
    <cfRule type="expression" dxfId="1269" priority="2280">
      <formula>IF(BG76&gt;=BH76,IF(BG76="",FALSE,TRUE))</formula>
    </cfRule>
  </conditionalFormatting>
  <conditionalFormatting sqref="BE76">
    <cfRule type="expression" dxfId="1268" priority="2281">
      <formula>OR(IF(BE76&lt;BF76,TRUE),IF(AND(BF76="",BE76&lt;&gt;""),TRUE))</formula>
    </cfRule>
    <cfRule type="expression" dxfId="1267" priority="2282">
      <formula>IF(BE76&gt;=BF76,IF(BE76="",FALSE,TRUE))</formula>
    </cfRule>
  </conditionalFormatting>
  <conditionalFormatting sqref="BL52:BL53">
    <cfRule type="expression" dxfId="1266" priority="2277">
      <formula>OR(IF(BL52&lt;BM52,TRUE),IF(AND(BM52="",BL52&lt;&gt;""),TRUE))</formula>
    </cfRule>
    <cfRule type="expression" dxfId="1265" priority="2278">
      <formula>IF(BL52&gt;=BM52,IF(BL52="",FALSE,TRUE))</formula>
    </cfRule>
  </conditionalFormatting>
  <conditionalFormatting sqref="BN52:BN53">
    <cfRule type="expression" dxfId="1264" priority="2275">
      <formula>OR(IF(BN52&lt;BO52,TRUE),IF(AND(BO52="",BN52&lt;&gt;""),TRUE))</formula>
    </cfRule>
    <cfRule type="expression" dxfId="1263" priority="2276">
      <formula>IF(BN52&gt;=BO52,IF(BN52="",FALSE,TRUE))</formula>
    </cfRule>
  </conditionalFormatting>
  <conditionalFormatting sqref="BN54:BN63">
    <cfRule type="expression" dxfId="1262" priority="2271">
      <formula>OR(IF(BN54&lt;BO54,TRUE),IF(AND(BO54="",BN54&lt;&gt;""),TRUE))</formula>
    </cfRule>
    <cfRule type="expression" dxfId="1261" priority="2272">
      <formula>IF(BN54&gt;=BO54,IF(BN54="",FALSE,TRUE))</formula>
    </cfRule>
  </conditionalFormatting>
  <conditionalFormatting sqref="BL54:BL63">
    <cfRule type="expression" dxfId="1260" priority="2273">
      <formula>OR(IF(BL54&lt;BM54,TRUE),IF(AND(BM54="",BL54&lt;&gt;""),TRUE))</formula>
    </cfRule>
    <cfRule type="expression" dxfId="1259" priority="2274">
      <formula>IF(BL54&gt;=BM54,IF(BL54="",FALSE,TRUE))</formula>
    </cfRule>
  </conditionalFormatting>
  <conditionalFormatting sqref="BN64">
    <cfRule type="expression" dxfId="1258" priority="2267">
      <formula>OR(IF(BN64&lt;BO64,TRUE),IF(AND(BO64="",BN64&lt;&gt;""),TRUE))</formula>
    </cfRule>
    <cfRule type="expression" dxfId="1257" priority="2268">
      <formula>IF(BN64&gt;=BO64,IF(BN64="",FALSE,TRUE))</formula>
    </cfRule>
  </conditionalFormatting>
  <conditionalFormatting sqref="BL64">
    <cfRule type="expression" dxfId="1256" priority="2269">
      <formula>OR(IF(BL64&lt;BM64,TRUE),IF(AND(BM64="",BL64&lt;&gt;""),TRUE))</formula>
    </cfRule>
    <cfRule type="expression" dxfId="1255" priority="2270">
      <formula>IF(BL64&gt;=BM64,IF(BL64="",FALSE,TRUE))</formula>
    </cfRule>
  </conditionalFormatting>
  <conditionalFormatting sqref="BN65">
    <cfRule type="expression" dxfId="1254" priority="2263">
      <formula>OR(IF(BN65&lt;BO65,TRUE),IF(AND(BO65="",BN65&lt;&gt;""),TRUE))</formula>
    </cfRule>
    <cfRule type="expression" dxfId="1253" priority="2264">
      <formula>IF(BN65&gt;=BO65,IF(BN65="",FALSE,TRUE))</formula>
    </cfRule>
  </conditionalFormatting>
  <conditionalFormatting sqref="BL65">
    <cfRule type="expression" dxfId="1252" priority="2265">
      <formula>OR(IF(BL65&lt;BM65,TRUE),IF(AND(BM65="",BL65&lt;&gt;""),TRUE))</formula>
    </cfRule>
    <cfRule type="expression" dxfId="1251" priority="2266">
      <formula>IF(BL65&gt;=BM65,IF(BL65="",FALSE,TRUE))</formula>
    </cfRule>
  </conditionalFormatting>
  <conditionalFormatting sqref="BN66">
    <cfRule type="expression" dxfId="1250" priority="2259">
      <formula>OR(IF(BN66&lt;BO66,TRUE),IF(AND(BO66="",BN66&lt;&gt;""),TRUE))</formula>
    </cfRule>
    <cfRule type="expression" dxfId="1249" priority="2260">
      <formula>IF(BN66&gt;=BO66,IF(BN66="",FALSE,TRUE))</formula>
    </cfRule>
  </conditionalFormatting>
  <conditionalFormatting sqref="BL66">
    <cfRule type="expression" dxfId="1248" priority="2261">
      <formula>OR(IF(BL66&lt;BM66,TRUE),IF(AND(BM66="",BL66&lt;&gt;""),TRUE))</formula>
    </cfRule>
    <cfRule type="expression" dxfId="1247" priority="2262">
      <formula>IF(BL66&gt;=BM66,IF(BL66="",FALSE,TRUE))</formula>
    </cfRule>
  </conditionalFormatting>
  <conditionalFormatting sqref="BN67">
    <cfRule type="expression" dxfId="1246" priority="2255">
      <formula>OR(IF(BN67&lt;BO67,TRUE),IF(AND(BO67="",BN67&lt;&gt;""),TRUE))</formula>
    </cfRule>
    <cfRule type="expression" dxfId="1245" priority="2256">
      <formula>IF(BN67&gt;=BO67,IF(BN67="",FALSE,TRUE))</formula>
    </cfRule>
  </conditionalFormatting>
  <conditionalFormatting sqref="BL67">
    <cfRule type="expression" dxfId="1244" priority="2257">
      <formula>OR(IF(BL67&lt;BM67,TRUE),IF(AND(BM67="",BL67&lt;&gt;""),TRUE))</formula>
    </cfRule>
    <cfRule type="expression" dxfId="1243" priority="2258">
      <formula>IF(BL67&gt;=BM67,IF(BL67="",FALSE,TRUE))</formula>
    </cfRule>
  </conditionalFormatting>
  <conditionalFormatting sqref="BN68">
    <cfRule type="expression" dxfId="1242" priority="2251">
      <formula>OR(IF(BN68&lt;BO68,TRUE),IF(AND(BO68="",BN68&lt;&gt;""),TRUE))</formula>
    </cfRule>
    <cfRule type="expression" dxfId="1241" priority="2252">
      <formula>IF(BN68&gt;=BO68,IF(BN68="",FALSE,TRUE))</formula>
    </cfRule>
  </conditionalFormatting>
  <conditionalFormatting sqref="BL68">
    <cfRule type="expression" dxfId="1240" priority="2253">
      <formula>OR(IF(BL68&lt;BM68,TRUE),IF(AND(BM68="",BL68&lt;&gt;""),TRUE))</formula>
    </cfRule>
    <cfRule type="expression" dxfId="1239" priority="2254">
      <formula>IF(BL68&gt;=BM68,IF(BL68="",FALSE,TRUE))</formula>
    </cfRule>
  </conditionalFormatting>
  <conditionalFormatting sqref="BN69">
    <cfRule type="expression" dxfId="1238" priority="2247">
      <formula>OR(IF(BN69&lt;BO69,TRUE),IF(AND(BO69="",BN69&lt;&gt;""),TRUE))</formula>
    </cfRule>
    <cfRule type="expression" dxfId="1237" priority="2248">
      <formula>IF(BN69&gt;=BO69,IF(BN69="",FALSE,TRUE))</formula>
    </cfRule>
  </conditionalFormatting>
  <conditionalFormatting sqref="BL69">
    <cfRule type="expression" dxfId="1236" priority="2249">
      <formula>OR(IF(BL69&lt;BM69,TRUE),IF(AND(BM69="",BL69&lt;&gt;""),TRUE))</formula>
    </cfRule>
    <cfRule type="expression" dxfId="1235" priority="2250">
      <formula>IF(BL69&gt;=BM69,IF(BL69="",FALSE,TRUE))</formula>
    </cfRule>
  </conditionalFormatting>
  <conditionalFormatting sqref="BN70">
    <cfRule type="expression" dxfId="1234" priority="2243">
      <formula>OR(IF(BN70&lt;BO70,TRUE),IF(AND(BO70="",BN70&lt;&gt;""),TRUE))</formula>
    </cfRule>
    <cfRule type="expression" dxfId="1233" priority="2244">
      <formula>IF(BN70&gt;=BO70,IF(BN70="",FALSE,TRUE))</formula>
    </cfRule>
  </conditionalFormatting>
  <conditionalFormatting sqref="BL70">
    <cfRule type="expression" dxfId="1232" priority="2245">
      <formula>OR(IF(BL70&lt;BM70,TRUE),IF(AND(BM70="",BL70&lt;&gt;""),TRUE))</formula>
    </cfRule>
    <cfRule type="expression" dxfId="1231" priority="2246">
      <formula>IF(BL70&gt;=BM70,IF(BL70="",FALSE,TRUE))</formula>
    </cfRule>
  </conditionalFormatting>
  <conditionalFormatting sqref="BN71">
    <cfRule type="expression" dxfId="1230" priority="2239">
      <formula>OR(IF(BN71&lt;BO71,TRUE),IF(AND(BO71="",BN71&lt;&gt;""),TRUE))</formula>
    </cfRule>
    <cfRule type="expression" dxfId="1229" priority="2240">
      <formula>IF(BN71&gt;=BO71,IF(BN71="",FALSE,TRUE))</formula>
    </cfRule>
  </conditionalFormatting>
  <conditionalFormatting sqref="BL71">
    <cfRule type="expression" dxfId="1228" priority="2241">
      <formula>OR(IF(BL71&lt;BM71,TRUE),IF(AND(BM71="",BL71&lt;&gt;""),TRUE))</formula>
    </cfRule>
    <cfRule type="expression" dxfId="1227" priority="2242">
      <formula>IF(BL71&gt;=BM71,IF(BL71="",FALSE,TRUE))</formula>
    </cfRule>
  </conditionalFormatting>
  <conditionalFormatting sqref="BN72">
    <cfRule type="expression" dxfId="1226" priority="2235">
      <formula>OR(IF(BN72&lt;BO72,TRUE),IF(AND(BO72="",BN72&lt;&gt;""),TRUE))</formula>
    </cfRule>
    <cfRule type="expression" dxfId="1225" priority="2236">
      <formula>IF(BN72&gt;=BO72,IF(BN72="",FALSE,TRUE))</formula>
    </cfRule>
  </conditionalFormatting>
  <conditionalFormatting sqref="BL72">
    <cfRule type="expression" dxfId="1224" priority="2237">
      <formula>OR(IF(BL72&lt;BM72,TRUE),IF(AND(BM72="",BL72&lt;&gt;""),TRUE))</formula>
    </cfRule>
    <cfRule type="expression" dxfId="1223" priority="2238">
      <formula>IF(BL72&gt;=BM72,IF(BL72="",FALSE,TRUE))</formula>
    </cfRule>
  </conditionalFormatting>
  <conditionalFormatting sqref="BN73">
    <cfRule type="expression" dxfId="1222" priority="2231">
      <formula>OR(IF(BN73&lt;BO73,TRUE),IF(AND(BO73="",BN73&lt;&gt;""),TRUE))</formula>
    </cfRule>
    <cfRule type="expression" dxfId="1221" priority="2232">
      <formula>IF(BN73&gt;=BO73,IF(BN73="",FALSE,TRUE))</formula>
    </cfRule>
  </conditionalFormatting>
  <conditionalFormatting sqref="BL73">
    <cfRule type="expression" dxfId="1220" priority="2233">
      <formula>OR(IF(BL73&lt;BM73,TRUE),IF(AND(BM73="",BL73&lt;&gt;""),TRUE))</formula>
    </cfRule>
    <cfRule type="expression" dxfId="1219" priority="2234">
      <formula>IF(BL73&gt;=BM73,IF(BL73="",FALSE,TRUE))</formula>
    </cfRule>
  </conditionalFormatting>
  <conditionalFormatting sqref="BN74">
    <cfRule type="expression" dxfId="1218" priority="2227">
      <formula>OR(IF(BN74&lt;BO74,TRUE),IF(AND(BO74="",BN74&lt;&gt;""),TRUE))</formula>
    </cfRule>
    <cfRule type="expression" dxfId="1217" priority="2228">
      <formula>IF(BN74&gt;=BO74,IF(BN74="",FALSE,TRUE))</formula>
    </cfRule>
  </conditionalFormatting>
  <conditionalFormatting sqref="BL74">
    <cfRule type="expression" dxfId="1216" priority="2229">
      <formula>OR(IF(BL74&lt;BM74,TRUE),IF(AND(BM74="",BL74&lt;&gt;""),TRUE))</formula>
    </cfRule>
    <cfRule type="expression" dxfId="1215" priority="2230">
      <formula>IF(BL74&gt;=BM74,IF(BL74="",FALSE,TRUE))</formula>
    </cfRule>
  </conditionalFormatting>
  <conditionalFormatting sqref="BN75">
    <cfRule type="expression" dxfId="1214" priority="2223">
      <formula>OR(IF(BN75&lt;BO75,TRUE),IF(AND(BO75="",BN75&lt;&gt;""),TRUE))</formula>
    </cfRule>
    <cfRule type="expression" dxfId="1213" priority="2224">
      <formula>IF(BN75&gt;=BO75,IF(BN75="",FALSE,TRUE))</formula>
    </cfRule>
  </conditionalFormatting>
  <conditionalFormatting sqref="BL75">
    <cfRule type="expression" dxfId="1212" priority="2225">
      <formula>OR(IF(BL75&lt;BM75,TRUE),IF(AND(BM75="",BL75&lt;&gt;""),TRUE))</formula>
    </cfRule>
    <cfRule type="expression" dxfId="1211" priority="2226">
      <formula>IF(BL75&gt;=BM75,IF(BL75="",FALSE,TRUE))</formula>
    </cfRule>
  </conditionalFormatting>
  <conditionalFormatting sqref="BN76">
    <cfRule type="expression" dxfId="1210" priority="2219">
      <formula>OR(IF(BN76&lt;BO76,TRUE),IF(AND(BO76="",BN76&lt;&gt;""),TRUE))</formula>
    </cfRule>
    <cfRule type="expression" dxfId="1209" priority="2220">
      <formula>IF(BN76&gt;=BO76,IF(BN76="",FALSE,TRUE))</formula>
    </cfRule>
  </conditionalFormatting>
  <conditionalFormatting sqref="BL76">
    <cfRule type="expression" dxfId="1208" priority="2221">
      <formula>OR(IF(BL76&lt;BM76,TRUE),IF(AND(BM76="",BL76&lt;&gt;""),TRUE))</formula>
    </cfRule>
    <cfRule type="expression" dxfId="1207" priority="2222">
      <formula>IF(BL76&gt;=BM76,IF(BL76="",FALSE,TRUE))</formula>
    </cfRule>
  </conditionalFormatting>
  <conditionalFormatting sqref="BS52:BS53">
    <cfRule type="expression" dxfId="1206" priority="2217">
      <formula>OR(IF(BS52&lt;BT52,TRUE),IF(AND(BT52="",BS52&lt;&gt;""),TRUE))</formula>
    </cfRule>
    <cfRule type="expression" dxfId="1205" priority="2218">
      <formula>IF(BS52&gt;=BT52,IF(BS52="",FALSE,TRUE))</formula>
    </cfRule>
  </conditionalFormatting>
  <conditionalFormatting sqref="BU52:BU53">
    <cfRule type="expression" dxfId="1204" priority="2215">
      <formula>OR(IF(BU52&lt;BV52,TRUE),IF(AND(BV52="",BU52&lt;&gt;""),TRUE))</formula>
    </cfRule>
    <cfRule type="expression" dxfId="1203" priority="2216">
      <formula>IF(BU52&gt;=BV52,IF(BU52="",FALSE,TRUE))</formula>
    </cfRule>
  </conditionalFormatting>
  <conditionalFormatting sqref="BU54:BU63">
    <cfRule type="expression" dxfId="1202" priority="2211">
      <formula>OR(IF(BU54&lt;BV54,TRUE),IF(AND(BV54="",BU54&lt;&gt;""),TRUE))</formula>
    </cfRule>
    <cfRule type="expression" dxfId="1201" priority="2212">
      <formula>IF(BU54&gt;=BV54,IF(BU54="",FALSE,TRUE))</formula>
    </cfRule>
  </conditionalFormatting>
  <conditionalFormatting sqref="BS54:BS63">
    <cfRule type="expression" dxfId="1200" priority="2213">
      <formula>OR(IF(BS54&lt;BT54,TRUE),IF(AND(BT54="",BS54&lt;&gt;""),TRUE))</formula>
    </cfRule>
    <cfRule type="expression" dxfId="1199" priority="2214">
      <formula>IF(BS54&gt;=BT54,IF(BS54="",FALSE,TRUE))</formula>
    </cfRule>
  </conditionalFormatting>
  <conditionalFormatting sqref="BU64">
    <cfRule type="expression" dxfId="1198" priority="2207">
      <formula>OR(IF(BU64&lt;BV64,TRUE),IF(AND(BV64="",BU64&lt;&gt;""),TRUE))</formula>
    </cfRule>
    <cfRule type="expression" dxfId="1197" priority="2208">
      <formula>IF(BU64&gt;=BV64,IF(BU64="",FALSE,TRUE))</formula>
    </cfRule>
  </conditionalFormatting>
  <conditionalFormatting sqref="BS64">
    <cfRule type="expression" dxfId="1196" priority="2209">
      <formula>OR(IF(BS64&lt;BT64,TRUE),IF(AND(BT64="",BS64&lt;&gt;""),TRUE))</formula>
    </cfRule>
    <cfRule type="expression" dxfId="1195" priority="2210">
      <formula>IF(BS64&gt;=BT64,IF(BS64="",FALSE,TRUE))</formula>
    </cfRule>
  </conditionalFormatting>
  <conditionalFormatting sqref="BU65">
    <cfRule type="expression" dxfId="1194" priority="2203">
      <formula>OR(IF(BU65&lt;BV65,TRUE),IF(AND(BV65="",BU65&lt;&gt;""),TRUE))</formula>
    </cfRule>
    <cfRule type="expression" dxfId="1193" priority="2204">
      <formula>IF(BU65&gt;=BV65,IF(BU65="",FALSE,TRUE))</formula>
    </cfRule>
  </conditionalFormatting>
  <conditionalFormatting sqref="BS65">
    <cfRule type="expression" dxfId="1192" priority="2205">
      <formula>OR(IF(BS65&lt;BT65,TRUE),IF(AND(BT65="",BS65&lt;&gt;""),TRUE))</formula>
    </cfRule>
    <cfRule type="expression" dxfId="1191" priority="2206">
      <formula>IF(BS65&gt;=BT65,IF(BS65="",FALSE,TRUE))</formula>
    </cfRule>
  </conditionalFormatting>
  <conditionalFormatting sqref="BU66">
    <cfRule type="expression" dxfId="1190" priority="2199">
      <formula>OR(IF(BU66&lt;BV66,TRUE),IF(AND(BV66="",BU66&lt;&gt;""),TRUE))</formula>
    </cfRule>
    <cfRule type="expression" dxfId="1189" priority="2200">
      <formula>IF(BU66&gt;=BV66,IF(BU66="",FALSE,TRUE))</formula>
    </cfRule>
  </conditionalFormatting>
  <conditionalFormatting sqref="BS66">
    <cfRule type="expression" dxfId="1188" priority="2201">
      <formula>OR(IF(BS66&lt;BT66,TRUE),IF(AND(BT66="",BS66&lt;&gt;""),TRUE))</formula>
    </cfRule>
    <cfRule type="expression" dxfId="1187" priority="2202">
      <formula>IF(BS66&gt;=BT66,IF(BS66="",FALSE,TRUE))</formula>
    </cfRule>
  </conditionalFormatting>
  <conditionalFormatting sqref="BU67">
    <cfRule type="expression" dxfId="1186" priority="2195">
      <formula>OR(IF(BU67&lt;BV67,TRUE),IF(AND(BV67="",BU67&lt;&gt;""),TRUE))</formula>
    </cfRule>
    <cfRule type="expression" dxfId="1185" priority="2196">
      <formula>IF(BU67&gt;=BV67,IF(BU67="",FALSE,TRUE))</formula>
    </cfRule>
  </conditionalFormatting>
  <conditionalFormatting sqref="BS67">
    <cfRule type="expression" dxfId="1184" priority="2197">
      <formula>OR(IF(BS67&lt;BT67,TRUE),IF(AND(BT67="",BS67&lt;&gt;""),TRUE))</formula>
    </cfRule>
    <cfRule type="expression" dxfId="1183" priority="2198">
      <formula>IF(BS67&gt;=BT67,IF(BS67="",FALSE,TRUE))</formula>
    </cfRule>
  </conditionalFormatting>
  <conditionalFormatting sqref="BU68">
    <cfRule type="expression" dxfId="1182" priority="2191">
      <formula>OR(IF(BU68&lt;BV68,TRUE),IF(AND(BV68="",BU68&lt;&gt;""),TRUE))</formula>
    </cfRule>
    <cfRule type="expression" dxfId="1181" priority="2192">
      <formula>IF(BU68&gt;=BV68,IF(BU68="",FALSE,TRUE))</formula>
    </cfRule>
  </conditionalFormatting>
  <conditionalFormatting sqref="BS68">
    <cfRule type="expression" dxfId="1180" priority="2193">
      <formula>OR(IF(BS68&lt;BT68,TRUE),IF(AND(BT68="",BS68&lt;&gt;""),TRUE))</formula>
    </cfRule>
    <cfRule type="expression" dxfId="1179" priority="2194">
      <formula>IF(BS68&gt;=BT68,IF(BS68="",FALSE,TRUE))</formula>
    </cfRule>
  </conditionalFormatting>
  <conditionalFormatting sqref="BU69">
    <cfRule type="expression" dxfId="1178" priority="2187">
      <formula>OR(IF(BU69&lt;BV69,TRUE),IF(AND(BV69="",BU69&lt;&gt;""),TRUE))</formula>
    </cfRule>
    <cfRule type="expression" dxfId="1177" priority="2188">
      <formula>IF(BU69&gt;=BV69,IF(BU69="",FALSE,TRUE))</formula>
    </cfRule>
  </conditionalFormatting>
  <conditionalFormatting sqref="BS69">
    <cfRule type="expression" dxfId="1176" priority="2189">
      <formula>OR(IF(BS69&lt;BT69,TRUE),IF(AND(BT69="",BS69&lt;&gt;""),TRUE))</formula>
    </cfRule>
    <cfRule type="expression" dxfId="1175" priority="2190">
      <formula>IF(BS69&gt;=BT69,IF(BS69="",FALSE,TRUE))</formula>
    </cfRule>
  </conditionalFormatting>
  <conditionalFormatting sqref="BU70">
    <cfRule type="expression" dxfId="1174" priority="2183">
      <formula>OR(IF(BU70&lt;BV70,TRUE),IF(AND(BV70="",BU70&lt;&gt;""),TRUE))</formula>
    </cfRule>
    <cfRule type="expression" dxfId="1173" priority="2184">
      <formula>IF(BU70&gt;=BV70,IF(BU70="",FALSE,TRUE))</formula>
    </cfRule>
  </conditionalFormatting>
  <conditionalFormatting sqref="BS70">
    <cfRule type="expression" dxfId="1172" priority="2185">
      <formula>OR(IF(BS70&lt;BT70,TRUE),IF(AND(BT70="",BS70&lt;&gt;""),TRUE))</formula>
    </cfRule>
    <cfRule type="expression" dxfId="1171" priority="2186">
      <formula>IF(BS70&gt;=BT70,IF(BS70="",FALSE,TRUE))</formula>
    </cfRule>
  </conditionalFormatting>
  <conditionalFormatting sqref="BU71">
    <cfRule type="expression" dxfId="1170" priority="2179">
      <formula>OR(IF(BU71&lt;BV71,TRUE),IF(AND(BV71="",BU71&lt;&gt;""),TRUE))</formula>
    </cfRule>
    <cfRule type="expression" dxfId="1169" priority="2180">
      <formula>IF(BU71&gt;=BV71,IF(BU71="",FALSE,TRUE))</formula>
    </cfRule>
  </conditionalFormatting>
  <conditionalFormatting sqref="BS71">
    <cfRule type="expression" dxfId="1168" priority="2181">
      <formula>OR(IF(BS71&lt;BT71,TRUE),IF(AND(BT71="",BS71&lt;&gt;""),TRUE))</formula>
    </cfRule>
    <cfRule type="expression" dxfId="1167" priority="2182">
      <formula>IF(BS71&gt;=BT71,IF(BS71="",FALSE,TRUE))</formula>
    </cfRule>
  </conditionalFormatting>
  <conditionalFormatting sqref="BU72">
    <cfRule type="expression" dxfId="1166" priority="2175">
      <formula>OR(IF(BU72&lt;BV72,TRUE),IF(AND(BV72="",BU72&lt;&gt;""),TRUE))</formula>
    </cfRule>
    <cfRule type="expression" dxfId="1165" priority="2176">
      <formula>IF(BU72&gt;=BV72,IF(BU72="",FALSE,TRUE))</formula>
    </cfRule>
  </conditionalFormatting>
  <conditionalFormatting sqref="BS72">
    <cfRule type="expression" dxfId="1164" priority="2177">
      <formula>OR(IF(BS72&lt;BT72,TRUE),IF(AND(BT72="",BS72&lt;&gt;""),TRUE))</formula>
    </cfRule>
    <cfRule type="expression" dxfId="1163" priority="2178">
      <formula>IF(BS72&gt;=BT72,IF(BS72="",FALSE,TRUE))</formula>
    </cfRule>
  </conditionalFormatting>
  <conditionalFormatting sqref="BU73">
    <cfRule type="expression" dxfId="1162" priority="2171">
      <formula>OR(IF(BU73&lt;BV73,TRUE),IF(AND(BV73="",BU73&lt;&gt;""),TRUE))</formula>
    </cfRule>
    <cfRule type="expression" dxfId="1161" priority="2172">
      <formula>IF(BU73&gt;=BV73,IF(BU73="",FALSE,TRUE))</formula>
    </cfRule>
  </conditionalFormatting>
  <conditionalFormatting sqref="BS73">
    <cfRule type="expression" dxfId="1160" priority="2173">
      <formula>OR(IF(BS73&lt;BT73,TRUE),IF(AND(BT73="",BS73&lt;&gt;""),TRUE))</formula>
    </cfRule>
    <cfRule type="expression" dxfId="1159" priority="2174">
      <formula>IF(BS73&gt;=BT73,IF(BS73="",FALSE,TRUE))</formula>
    </cfRule>
  </conditionalFormatting>
  <conditionalFormatting sqref="BU74">
    <cfRule type="expression" dxfId="1158" priority="2167">
      <formula>OR(IF(BU74&lt;BV74,TRUE),IF(AND(BV74="",BU74&lt;&gt;""),TRUE))</formula>
    </cfRule>
    <cfRule type="expression" dxfId="1157" priority="2168">
      <formula>IF(BU74&gt;=BV74,IF(BU74="",FALSE,TRUE))</formula>
    </cfRule>
  </conditionalFormatting>
  <conditionalFormatting sqref="BS74">
    <cfRule type="expression" dxfId="1156" priority="2169">
      <formula>OR(IF(BS74&lt;BT74,TRUE),IF(AND(BT74="",BS74&lt;&gt;""),TRUE))</formula>
    </cfRule>
    <cfRule type="expression" dxfId="1155" priority="2170">
      <formula>IF(BS74&gt;=BT74,IF(BS74="",FALSE,TRUE))</formula>
    </cfRule>
  </conditionalFormatting>
  <conditionalFormatting sqref="BU75">
    <cfRule type="expression" dxfId="1154" priority="2163">
      <formula>OR(IF(BU75&lt;BV75,TRUE),IF(AND(BV75="",BU75&lt;&gt;""),TRUE))</formula>
    </cfRule>
    <cfRule type="expression" dxfId="1153" priority="2164">
      <formula>IF(BU75&gt;=BV75,IF(BU75="",FALSE,TRUE))</formula>
    </cfRule>
  </conditionalFormatting>
  <conditionalFormatting sqref="BS75">
    <cfRule type="expression" dxfId="1152" priority="2165">
      <formula>OR(IF(BS75&lt;BT75,TRUE),IF(AND(BT75="",BS75&lt;&gt;""),TRUE))</formula>
    </cfRule>
    <cfRule type="expression" dxfId="1151" priority="2166">
      <formula>IF(BS75&gt;=BT75,IF(BS75="",FALSE,TRUE))</formula>
    </cfRule>
  </conditionalFormatting>
  <conditionalFormatting sqref="BU76">
    <cfRule type="expression" dxfId="1150" priority="2159">
      <formula>OR(IF(BU76&lt;BV76,TRUE),IF(AND(BV76="",BU76&lt;&gt;""),TRUE))</formula>
    </cfRule>
    <cfRule type="expression" dxfId="1149" priority="2160">
      <formula>IF(BU76&gt;=BV76,IF(BU76="",FALSE,TRUE))</formula>
    </cfRule>
  </conditionalFormatting>
  <conditionalFormatting sqref="BS76">
    <cfRule type="expression" dxfId="1148" priority="2161">
      <formula>OR(IF(BS76&lt;BT76,TRUE),IF(AND(BT76="",BS76&lt;&gt;""),TRUE))</formula>
    </cfRule>
    <cfRule type="expression" dxfId="1147" priority="2162">
      <formula>IF(BS76&gt;=BT76,IF(BS76="",FALSE,TRUE))</formula>
    </cfRule>
  </conditionalFormatting>
  <conditionalFormatting sqref="Q80 O80 X80 V80 AE80 AC80 AJ80 AL80 AS80 AQ80 AX80 AZ80 BG80 BE80 BN80 BL80 BU80 BS80 CB80 BZ80 CI80 CG80 CP80 CN80 CW80 CU80 DD80 DB80">
    <cfRule type="expression" dxfId="1146" priority="2154">
      <formula>OR(IF(O80&lt;P80,TRUE),IF(AND(P80="",O80&lt;&gt;""),TRUE))</formula>
    </cfRule>
    <cfRule type="expression" dxfId="1145" priority="2155">
      <formula>IF(O80&gt;=P80,IF(O80="",FALSE,TRUE))</formula>
    </cfRule>
  </conditionalFormatting>
  <conditionalFormatting sqref="J80:K80">
    <cfRule type="colorScale" priority="2156">
      <colorScale>
        <cfvo type="percent" val="0"/>
        <cfvo type="percent" val="100"/>
        <color rgb="FFFF231B"/>
        <color rgb="FF10FF07"/>
      </colorScale>
    </cfRule>
  </conditionalFormatting>
  <conditionalFormatting sqref="J80">
    <cfRule type="colorScale" priority="2157">
      <colorScale>
        <cfvo type="percent" val="0"/>
        <cfvo type="percent" val="100"/>
        <color rgb="FFFF231B"/>
        <color rgb="FF10FF07"/>
      </colorScale>
    </cfRule>
  </conditionalFormatting>
  <conditionalFormatting sqref="K80">
    <cfRule type="colorScale" priority="2158">
      <colorScale>
        <cfvo type="percent" val="0"/>
        <cfvo type="percent" val="100"/>
        <color rgb="FFFF231B"/>
        <color rgb="FF10FF07"/>
      </colorScale>
    </cfRule>
  </conditionalFormatting>
  <conditionalFormatting sqref="AJ83:AJ93">
    <cfRule type="expression" dxfId="1144" priority="2124">
      <formula>OR(IF(AJ83&lt;AK83,TRUE),IF(AND(AK83="",AJ83&lt;&gt;""),TRUE))</formula>
    </cfRule>
    <cfRule type="expression" dxfId="1143" priority="2125">
      <formula>IF(AJ83&gt;=AK83,IF(AJ83="",FALSE,TRUE))</formula>
    </cfRule>
  </conditionalFormatting>
  <conditionalFormatting sqref="AL83:AL93">
    <cfRule type="expression" dxfId="1142" priority="2122">
      <formula>OR(IF(AL83&lt;AM83,TRUE),IF(AND(AM83="",AL83&lt;&gt;""),TRUE))</formula>
    </cfRule>
    <cfRule type="expression" dxfId="1141" priority="2123">
      <formula>IF(AL83&gt;=AM83,IF(AL83="",FALSE,TRUE))</formula>
    </cfRule>
  </conditionalFormatting>
  <conditionalFormatting sqref="O81:O82">
    <cfRule type="expression" dxfId="1140" priority="2152">
      <formula>OR(IF(O81&lt;P81,TRUE),IF(AND(P81="",O81&lt;&gt;""),TRUE))</formula>
    </cfRule>
    <cfRule type="expression" dxfId="1139" priority="2153">
      <formula>IF(O81&gt;=P81,IF(O81="",FALSE,TRUE))</formula>
    </cfRule>
  </conditionalFormatting>
  <conditionalFormatting sqref="Q81:Q82">
    <cfRule type="expression" dxfId="1138" priority="2150">
      <formula>OR(IF(Q81&lt;R81,TRUE),IF(AND(R81="",Q81&lt;&gt;""),TRUE))</formula>
    </cfRule>
    <cfRule type="expression" dxfId="1137" priority="2151">
      <formula>IF(Q81&gt;=R81,IF(Q81="",FALSE,TRUE))</formula>
    </cfRule>
  </conditionalFormatting>
  <conditionalFormatting sqref="Q83:Q93">
    <cfRule type="expression" dxfId="1136" priority="2146">
      <formula>OR(IF(Q83&lt;R83,TRUE),IF(AND(R83="",Q83&lt;&gt;""),TRUE))</formula>
    </cfRule>
    <cfRule type="expression" dxfId="1135" priority="2147">
      <formula>IF(Q83&gt;=R83,IF(Q83="",FALSE,TRUE))</formula>
    </cfRule>
  </conditionalFormatting>
  <conditionalFormatting sqref="O83:O93">
    <cfRule type="expression" dxfId="1134" priority="2148">
      <formula>OR(IF(O83&lt;P83,TRUE),IF(AND(P83="",O83&lt;&gt;""),TRUE))</formula>
    </cfRule>
    <cfRule type="expression" dxfId="1133" priority="2149">
      <formula>IF(O83&gt;=P83,IF(O83="",FALSE,TRUE))</formula>
    </cfRule>
  </conditionalFormatting>
  <conditionalFormatting sqref="V81:V82">
    <cfRule type="expression" dxfId="1132" priority="2144">
      <formula>OR(IF(V81&lt;W81,TRUE),IF(AND(W81="",V81&lt;&gt;""),TRUE))</formula>
    </cfRule>
    <cfRule type="expression" dxfId="1131" priority="2145">
      <formula>IF(V81&gt;=W81,IF(V81="",FALSE,TRUE))</formula>
    </cfRule>
  </conditionalFormatting>
  <conditionalFormatting sqref="X81:X82">
    <cfRule type="expression" dxfId="1130" priority="2142">
      <formula>OR(IF(X81&lt;Y81,TRUE),IF(AND(Y81="",X81&lt;&gt;""),TRUE))</formula>
    </cfRule>
    <cfRule type="expression" dxfId="1129" priority="2143">
      <formula>IF(X81&gt;=Y81,IF(X81="",FALSE,TRUE))</formula>
    </cfRule>
  </conditionalFormatting>
  <conditionalFormatting sqref="X83:X93">
    <cfRule type="expression" dxfId="1128" priority="2138">
      <formula>OR(IF(X83&lt;Y83,TRUE),IF(AND(Y83="",X83&lt;&gt;""),TRUE))</formula>
    </cfRule>
    <cfRule type="expression" dxfId="1127" priority="2139">
      <formula>IF(X83&gt;=Y83,IF(X83="",FALSE,TRUE))</formula>
    </cfRule>
  </conditionalFormatting>
  <conditionalFormatting sqref="V83:V93">
    <cfRule type="expression" dxfId="1126" priority="2140">
      <formula>OR(IF(V83&lt;W83,TRUE),IF(AND(W83="",V83&lt;&gt;""),TRUE))</formula>
    </cfRule>
    <cfRule type="expression" dxfId="1125" priority="2141">
      <formula>IF(V83&gt;=W83,IF(V83="",FALSE,TRUE))</formula>
    </cfRule>
  </conditionalFormatting>
  <conditionalFormatting sqref="AC81:AC82">
    <cfRule type="expression" dxfId="1124" priority="2136">
      <formula>OR(IF(AC81&lt;AD81,TRUE),IF(AND(AD81="",AC81&lt;&gt;""),TRUE))</formula>
    </cfRule>
    <cfRule type="expression" dxfId="1123" priority="2137">
      <formula>IF(AC81&gt;=AD81,IF(AC81="",FALSE,TRUE))</formula>
    </cfRule>
  </conditionalFormatting>
  <conditionalFormatting sqref="AE81:AE82">
    <cfRule type="expression" dxfId="1122" priority="2134">
      <formula>OR(IF(AE81&lt;AF81,TRUE),IF(AND(AF81="",AE81&lt;&gt;""),TRUE))</formula>
    </cfRule>
    <cfRule type="expression" dxfId="1121" priority="2135">
      <formula>IF(AE81&gt;=AF81,IF(AE81="",FALSE,TRUE))</formula>
    </cfRule>
  </conditionalFormatting>
  <conditionalFormatting sqref="AE83:AE93">
    <cfRule type="expression" dxfId="1120" priority="2130">
      <formula>OR(IF(AE83&lt;AF83,TRUE),IF(AND(AF83="",AE83&lt;&gt;""),TRUE))</formula>
    </cfRule>
    <cfRule type="expression" dxfId="1119" priority="2131">
      <formula>IF(AE83&gt;=AF83,IF(AE83="",FALSE,TRUE))</formula>
    </cfRule>
  </conditionalFormatting>
  <conditionalFormatting sqref="AC83:AC93">
    <cfRule type="expression" dxfId="1118" priority="2132">
      <formula>OR(IF(AC83&lt;AD83,TRUE),IF(AND(AD83="",AC83&lt;&gt;""),TRUE))</formula>
    </cfRule>
    <cfRule type="expression" dxfId="1117" priority="2133">
      <formula>IF(AC83&gt;=AD83,IF(AC83="",FALSE,TRUE))</formula>
    </cfRule>
  </conditionalFormatting>
  <conditionalFormatting sqref="AJ81:AJ82">
    <cfRule type="expression" dxfId="1116" priority="2128">
      <formula>OR(IF(AJ81&lt;AK81,TRUE),IF(AND(AK81="",AJ81&lt;&gt;""),TRUE))</formula>
    </cfRule>
    <cfRule type="expression" dxfId="1115" priority="2129">
      <formula>IF(AJ81&gt;=AK81,IF(AJ81="",FALSE,TRUE))</formula>
    </cfRule>
  </conditionalFormatting>
  <conditionalFormatting sqref="AL81:AL82">
    <cfRule type="expression" dxfId="1114" priority="2126">
      <formula>OR(IF(AL81&lt;AM81,TRUE),IF(AND(AM81="",AL81&lt;&gt;""),TRUE))</formula>
    </cfRule>
    <cfRule type="expression" dxfId="1113" priority="2127">
      <formula>IF(AL81&gt;=AM81,IF(AL81="",FALSE,TRUE))</formula>
    </cfRule>
  </conditionalFormatting>
  <conditionalFormatting sqref="AQ81:AQ82">
    <cfRule type="expression" dxfId="1112" priority="2120">
      <formula>OR(IF(AQ81&lt;AR81,TRUE),IF(AND(AR81="",AQ81&lt;&gt;""),TRUE))</formula>
    </cfRule>
    <cfRule type="expression" dxfId="1111" priority="2121">
      <formula>IF(AQ81&gt;=AR81,IF(AQ81="",FALSE,TRUE))</formula>
    </cfRule>
  </conditionalFormatting>
  <conditionalFormatting sqref="AS81:AS82">
    <cfRule type="expression" dxfId="1110" priority="2118">
      <formula>OR(IF(AS81&lt;AT81,TRUE),IF(AND(AT81="",AS81&lt;&gt;""),TRUE))</formula>
    </cfRule>
    <cfRule type="expression" dxfId="1109" priority="2119">
      <formula>IF(AS81&gt;=AT81,IF(AS81="",FALSE,TRUE))</formula>
    </cfRule>
  </conditionalFormatting>
  <conditionalFormatting sqref="AS83:AS93">
    <cfRule type="expression" dxfId="1108" priority="2114">
      <formula>OR(IF(AS83&lt;AT83,TRUE),IF(AND(AT83="",AS83&lt;&gt;""),TRUE))</formula>
    </cfRule>
    <cfRule type="expression" dxfId="1107" priority="2115">
      <formula>IF(AS83&gt;=AT83,IF(AS83="",FALSE,TRUE))</formula>
    </cfRule>
  </conditionalFormatting>
  <conditionalFormatting sqref="AQ83:AQ93">
    <cfRule type="expression" dxfId="1106" priority="2116">
      <formula>OR(IF(AQ83&lt;AR83,TRUE),IF(AND(AR83="",AQ83&lt;&gt;""),TRUE))</formula>
    </cfRule>
    <cfRule type="expression" dxfId="1105" priority="2117">
      <formula>IF(AQ83&gt;=AR83,IF(AQ83="",FALSE,TRUE))</formula>
    </cfRule>
  </conditionalFormatting>
  <conditionalFormatting sqref="J82:K93">
    <cfRule type="colorScale" priority="2113">
      <colorScale>
        <cfvo type="percent" val="0"/>
        <cfvo type="percent" val="100"/>
        <color rgb="FFFF231B"/>
        <color rgb="FF10FF07"/>
      </colorScale>
    </cfRule>
  </conditionalFormatting>
  <conditionalFormatting sqref="J81:J93">
    <cfRule type="colorScale" priority="2112">
      <colorScale>
        <cfvo type="percent" val="0"/>
        <cfvo type="percent" val="100"/>
        <color rgb="FFFF231B"/>
        <color rgb="FF10FF07"/>
      </colorScale>
    </cfRule>
  </conditionalFormatting>
  <conditionalFormatting sqref="K81:K93">
    <cfRule type="colorScale" priority="2111">
      <colorScale>
        <cfvo type="percent" val="0"/>
        <cfvo type="percent" val="100"/>
        <color rgb="FFFF231B"/>
        <color rgb="FF10FF07"/>
      </colorScale>
    </cfRule>
  </conditionalFormatting>
  <conditionalFormatting sqref="BZ81:BZ82">
    <cfRule type="expression" dxfId="1104" priority="1810">
      <formula>OR(IF(BZ81&lt;CA81,TRUE),IF(AND(CA81="",BZ81&lt;&gt;""),TRUE))</formula>
    </cfRule>
    <cfRule type="expression" dxfId="1103" priority="1811">
      <formula>IF(BZ81&gt;=CA81,IF(BZ81="",FALSE,TRUE))</formula>
    </cfRule>
  </conditionalFormatting>
  <conditionalFormatting sqref="CB83:CB93">
    <cfRule type="expression" dxfId="1102" priority="1804">
      <formula>OR(IF(CB83&lt;CC83,TRUE),IF(AND(CC83="",CB83&lt;&gt;""),TRUE))</formula>
    </cfRule>
    <cfRule type="expression" dxfId="1101" priority="1805">
      <formula>IF(CB83&gt;=CC83,IF(CB83="",FALSE,TRUE))</formula>
    </cfRule>
  </conditionalFormatting>
  <conditionalFormatting sqref="CB81:CB82">
    <cfRule type="expression" dxfId="1100" priority="1808">
      <formula>OR(IF(CB81&lt;CC81,TRUE),IF(AND(CC81="",CB81&lt;&gt;""),TRUE))</formula>
    </cfRule>
    <cfRule type="expression" dxfId="1099" priority="1809">
      <formula>IF(CB81&gt;=CC81,IF(CB81="",FALSE,TRUE))</formula>
    </cfRule>
  </conditionalFormatting>
  <conditionalFormatting sqref="BZ83:BZ93">
    <cfRule type="expression" dxfId="1098" priority="1806">
      <formula>OR(IF(BZ83&lt;CA83,TRUE),IF(AND(CA83="",BZ83&lt;&gt;""),TRUE))</formula>
    </cfRule>
    <cfRule type="expression" dxfId="1097" priority="1807">
      <formula>IF(BZ83&gt;=CA83,IF(BZ83="",FALSE,TRUE))</formula>
    </cfRule>
  </conditionalFormatting>
  <conditionalFormatting sqref="CG81:CG82">
    <cfRule type="expression" dxfId="1096" priority="1750">
      <formula>OR(IF(CG81&lt;CH81,TRUE),IF(AND(CH81="",CG81&lt;&gt;""),TRUE))</formula>
    </cfRule>
    <cfRule type="expression" dxfId="1095" priority="1751">
      <formula>IF(CG81&gt;=CH81,IF(CG81="",FALSE,TRUE))</formula>
    </cfRule>
  </conditionalFormatting>
  <conditionalFormatting sqref="CI83:CI93">
    <cfRule type="expression" dxfId="1094" priority="1744">
      <formula>OR(IF(CI83&lt;CJ83,TRUE),IF(AND(CJ83="",CI83&lt;&gt;""),TRUE))</formula>
    </cfRule>
    <cfRule type="expression" dxfId="1093" priority="1745">
      <formula>IF(CI83&gt;=CJ83,IF(CI83="",FALSE,TRUE))</formula>
    </cfRule>
  </conditionalFormatting>
  <conditionalFormatting sqref="CI81:CI82">
    <cfRule type="expression" dxfId="1092" priority="1748">
      <formula>OR(IF(CI81&lt;CJ81,TRUE),IF(AND(CJ81="",CI81&lt;&gt;""),TRUE))</formula>
    </cfRule>
    <cfRule type="expression" dxfId="1091" priority="1749">
      <formula>IF(CI81&gt;=CJ81,IF(CI81="",FALSE,TRUE))</formula>
    </cfRule>
  </conditionalFormatting>
  <conditionalFormatting sqref="CG83:CG93">
    <cfRule type="expression" dxfId="1090" priority="1746">
      <formula>OR(IF(CG83&lt;CH83,TRUE),IF(AND(CH83="",CG83&lt;&gt;""),TRUE))</formula>
    </cfRule>
    <cfRule type="expression" dxfId="1089" priority="1747">
      <formula>IF(CG83&gt;=CH83,IF(CG83="",FALSE,TRUE))</formula>
    </cfRule>
  </conditionalFormatting>
  <conditionalFormatting sqref="CN81:CN82">
    <cfRule type="expression" dxfId="1088" priority="1690">
      <formula>OR(IF(CN81&lt;CO81,TRUE),IF(AND(CO81="",CN81&lt;&gt;""),TRUE))</formula>
    </cfRule>
    <cfRule type="expression" dxfId="1087" priority="1691">
      <formula>IF(CN81&gt;=CO81,IF(CN81="",FALSE,TRUE))</formula>
    </cfRule>
  </conditionalFormatting>
  <conditionalFormatting sqref="CP83:CP93">
    <cfRule type="expression" dxfId="1086" priority="1684">
      <formula>OR(IF(CP83&lt;CQ83,TRUE),IF(AND(CQ83="",CP83&lt;&gt;""),TRUE))</formula>
    </cfRule>
    <cfRule type="expression" dxfId="1085" priority="1685">
      <formula>IF(CP83&gt;=CQ83,IF(CP83="",FALSE,TRUE))</formula>
    </cfRule>
  </conditionalFormatting>
  <conditionalFormatting sqref="CP81:CP82">
    <cfRule type="expression" dxfId="1084" priority="1688">
      <formula>OR(IF(CP81&lt;CQ81,TRUE),IF(AND(CQ81="",CP81&lt;&gt;""),TRUE))</formula>
    </cfRule>
    <cfRule type="expression" dxfId="1083" priority="1689">
      <formula>IF(CP81&gt;=CQ81,IF(CP81="",FALSE,TRUE))</formula>
    </cfRule>
  </conditionalFormatting>
  <conditionalFormatting sqref="CN83:CN93">
    <cfRule type="expression" dxfId="1082" priority="1686">
      <formula>OR(IF(CN83&lt;CO83,TRUE),IF(AND(CO83="",CN83&lt;&gt;""),TRUE))</formula>
    </cfRule>
    <cfRule type="expression" dxfId="1081" priority="1687">
      <formula>IF(CN83&gt;=CO83,IF(CN83="",FALSE,TRUE))</formula>
    </cfRule>
  </conditionalFormatting>
  <conditionalFormatting sqref="CU81:CU82">
    <cfRule type="expression" dxfId="1080" priority="1630">
      <formula>OR(IF(CU81&lt;CV81,TRUE),IF(AND(CV81="",CU81&lt;&gt;""),TRUE))</formula>
    </cfRule>
    <cfRule type="expression" dxfId="1079" priority="1631">
      <formula>IF(CU81&gt;=CV81,IF(CU81="",FALSE,TRUE))</formula>
    </cfRule>
  </conditionalFormatting>
  <conditionalFormatting sqref="CW83:CW93">
    <cfRule type="expression" dxfId="1078" priority="1624">
      <formula>OR(IF(CW83&lt;CX83,TRUE),IF(AND(CX83="",CW83&lt;&gt;""),TRUE))</formula>
    </cfRule>
    <cfRule type="expression" dxfId="1077" priority="1625">
      <formula>IF(CW83&gt;=CX83,IF(CW83="",FALSE,TRUE))</formula>
    </cfRule>
  </conditionalFormatting>
  <conditionalFormatting sqref="CW81:CW82">
    <cfRule type="expression" dxfId="1076" priority="1628">
      <formula>OR(IF(CW81&lt;CX81,TRUE),IF(AND(CX81="",CW81&lt;&gt;""),TRUE))</formula>
    </cfRule>
    <cfRule type="expression" dxfId="1075" priority="1629">
      <formula>IF(CW81&gt;=CX81,IF(CW81="",FALSE,TRUE))</formula>
    </cfRule>
  </conditionalFormatting>
  <conditionalFormatting sqref="CU83:CU93">
    <cfRule type="expression" dxfId="1074" priority="1626">
      <formula>OR(IF(CU83&lt;CV83,TRUE),IF(AND(CV83="",CU83&lt;&gt;""),TRUE))</formula>
    </cfRule>
    <cfRule type="expression" dxfId="1073" priority="1627">
      <formula>IF(CU83&gt;=CV83,IF(CU83="",FALSE,TRUE))</formula>
    </cfRule>
  </conditionalFormatting>
  <conditionalFormatting sqref="DB81:DB82">
    <cfRule type="expression" dxfId="1072" priority="1570">
      <formula>OR(IF(DB81&lt;DC81,TRUE),IF(AND(DC81="",DB81&lt;&gt;""),TRUE))</formula>
    </cfRule>
    <cfRule type="expression" dxfId="1071" priority="1571">
      <formula>IF(DB81&gt;=DC81,IF(DB81="",FALSE,TRUE))</formula>
    </cfRule>
  </conditionalFormatting>
  <conditionalFormatting sqref="DD83:DD93">
    <cfRule type="expression" dxfId="1070" priority="1564">
      <formula>OR(IF(DD83&lt;DE83,TRUE),IF(AND(DE83="",DD83&lt;&gt;""),TRUE))</formula>
    </cfRule>
    <cfRule type="expression" dxfId="1069" priority="1565">
      <formula>IF(DD83&gt;=DE83,IF(DD83="",FALSE,TRUE))</formula>
    </cfRule>
  </conditionalFormatting>
  <conditionalFormatting sqref="DD81:DD82">
    <cfRule type="expression" dxfId="1068" priority="1568">
      <formula>OR(IF(DD81&lt;DE81,TRUE),IF(AND(DE81="",DD81&lt;&gt;""),TRUE))</formula>
    </cfRule>
    <cfRule type="expression" dxfId="1067" priority="1569">
      <formula>IF(DD81&gt;=DE81,IF(DD81="",FALSE,TRUE))</formula>
    </cfRule>
  </conditionalFormatting>
  <conditionalFormatting sqref="DB83:DB93">
    <cfRule type="expression" dxfId="1066" priority="1566">
      <formula>OR(IF(DB83&lt;DC83,TRUE),IF(AND(DC83="",DB83&lt;&gt;""),TRUE))</formula>
    </cfRule>
    <cfRule type="expression" dxfId="1065" priority="1567">
      <formula>IF(DB83&gt;=DC83,IF(DB83="",FALSE,TRUE))</formula>
    </cfRule>
  </conditionalFormatting>
  <conditionalFormatting sqref="AX81:AX82">
    <cfRule type="expression" dxfId="1064" priority="1270">
      <formula>OR(IF(AX81&lt;AY81,TRUE),IF(AND(AY81="",AX81&lt;&gt;""),TRUE))</formula>
    </cfRule>
    <cfRule type="expression" dxfId="1063" priority="1271">
      <formula>IF(AX81&gt;=AY81,IF(AX81="",FALSE,TRUE))</formula>
    </cfRule>
  </conditionalFormatting>
  <conditionalFormatting sqref="AZ81:AZ82">
    <cfRule type="expression" dxfId="1062" priority="1268">
      <formula>OR(IF(AZ81&lt;BA81,TRUE),IF(AND(BA81="",AZ81&lt;&gt;""),TRUE))</formula>
    </cfRule>
    <cfRule type="expression" dxfId="1061" priority="1269">
      <formula>IF(AZ81&gt;=BA81,IF(AZ81="",FALSE,TRUE))</formula>
    </cfRule>
  </conditionalFormatting>
  <conditionalFormatting sqref="AZ83:AZ93">
    <cfRule type="expression" dxfId="1060" priority="1264">
      <formula>OR(IF(AZ83&lt;BA83,TRUE),IF(AND(BA83="",AZ83&lt;&gt;""),TRUE))</formula>
    </cfRule>
    <cfRule type="expression" dxfId="1059" priority="1265">
      <formula>IF(AZ83&gt;=BA83,IF(AZ83="",FALSE,TRUE))</formula>
    </cfRule>
  </conditionalFormatting>
  <conditionalFormatting sqref="AX83:AX93">
    <cfRule type="expression" dxfId="1058" priority="1266">
      <formula>OR(IF(AX83&lt;AY83,TRUE),IF(AND(AY83="",AX83&lt;&gt;""),TRUE))</formula>
    </cfRule>
    <cfRule type="expression" dxfId="1057" priority="1267">
      <formula>IF(AX83&gt;=AY83,IF(AX83="",FALSE,TRUE))</formula>
    </cfRule>
  </conditionalFormatting>
  <conditionalFormatting sqref="BE81:BE82">
    <cfRule type="expression" dxfId="1056" priority="1210">
      <formula>OR(IF(BE81&lt;BF81,TRUE),IF(AND(BF81="",BE81&lt;&gt;""),TRUE))</formula>
    </cfRule>
    <cfRule type="expression" dxfId="1055" priority="1211">
      <formula>IF(BE81&gt;=BF81,IF(BE81="",FALSE,TRUE))</formula>
    </cfRule>
  </conditionalFormatting>
  <conditionalFormatting sqref="BG81:BG82">
    <cfRule type="expression" dxfId="1054" priority="1208">
      <formula>OR(IF(BG81&lt;BH81,TRUE),IF(AND(BH81="",BG81&lt;&gt;""),TRUE))</formula>
    </cfRule>
    <cfRule type="expression" dxfId="1053" priority="1209">
      <formula>IF(BG81&gt;=BH81,IF(BG81="",FALSE,TRUE))</formula>
    </cfRule>
  </conditionalFormatting>
  <conditionalFormatting sqref="BG83:BG93">
    <cfRule type="expression" dxfId="1052" priority="1204">
      <formula>OR(IF(BG83&lt;BH83,TRUE),IF(AND(BH83="",BG83&lt;&gt;""),TRUE))</formula>
    </cfRule>
    <cfRule type="expression" dxfId="1051" priority="1205">
      <formula>IF(BG83&gt;=BH83,IF(BG83="",FALSE,TRUE))</formula>
    </cfRule>
  </conditionalFormatting>
  <conditionalFormatting sqref="BE83:BE93">
    <cfRule type="expression" dxfId="1050" priority="1206">
      <formula>OR(IF(BE83&lt;BF83,TRUE),IF(AND(BF83="",BE83&lt;&gt;""),TRUE))</formula>
    </cfRule>
    <cfRule type="expression" dxfId="1049" priority="1207">
      <formula>IF(BE83&gt;=BF83,IF(BE83="",FALSE,TRUE))</formula>
    </cfRule>
  </conditionalFormatting>
  <conditionalFormatting sqref="BL81:BL82">
    <cfRule type="expression" dxfId="1048" priority="1150">
      <formula>OR(IF(BL81&lt;BM81,TRUE),IF(AND(BM81="",BL81&lt;&gt;""),TRUE))</formula>
    </cfRule>
    <cfRule type="expression" dxfId="1047" priority="1151">
      <formula>IF(BL81&gt;=BM81,IF(BL81="",FALSE,TRUE))</formula>
    </cfRule>
  </conditionalFormatting>
  <conditionalFormatting sqref="BN81:BN82">
    <cfRule type="expression" dxfId="1046" priority="1148">
      <formula>OR(IF(BN81&lt;BO81,TRUE),IF(AND(BO81="",BN81&lt;&gt;""),TRUE))</formula>
    </cfRule>
    <cfRule type="expression" dxfId="1045" priority="1149">
      <formula>IF(BN81&gt;=BO81,IF(BN81="",FALSE,TRUE))</formula>
    </cfRule>
  </conditionalFormatting>
  <conditionalFormatting sqref="BN83:BN93">
    <cfRule type="expression" dxfId="1044" priority="1144">
      <formula>OR(IF(BN83&lt;BO83,TRUE),IF(AND(BO83="",BN83&lt;&gt;""),TRUE))</formula>
    </cfRule>
    <cfRule type="expression" dxfId="1043" priority="1145">
      <formula>IF(BN83&gt;=BO83,IF(BN83="",FALSE,TRUE))</formula>
    </cfRule>
  </conditionalFormatting>
  <conditionalFormatting sqref="BL83:BL93">
    <cfRule type="expression" dxfId="1042" priority="1146">
      <formula>OR(IF(BL83&lt;BM83,TRUE),IF(AND(BM83="",BL83&lt;&gt;""),TRUE))</formula>
    </cfRule>
    <cfRule type="expression" dxfId="1041" priority="1147">
      <formula>IF(BL83&gt;=BM83,IF(BL83="",FALSE,TRUE))</formula>
    </cfRule>
  </conditionalFormatting>
  <conditionalFormatting sqref="BS81:BS82">
    <cfRule type="expression" dxfId="1040" priority="1090">
      <formula>OR(IF(BS81&lt;BT81,TRUE),IF(AND(BT81="",BS81&lt;&gt;""),TRUE))</formula>
    </cfRule>
    <cfRule type="expression" dxfId="1039" priority="1091">
      <formula>IF(BS81&gt;=BT81,IF(BS81="",FALSE,TRUE))</formula>
    </cfRule>
  </conditionalFormatting>
  <conditionalFormatting sqref="BU81:BU82">
    <cfRule type="expression" dxfId="1038" priority="1088">
      <formula>OR(IF(BU81&lt;BV81,TRUE),IF(AND(BV81="",BU81&lt;&gt;""),TRUE))</formula>
    </cfRule>
    <cfRule type="expression" dxfId="1037" priority="1089">
      <formula>IF(BU81&gt;=BV81,IF(BU81="",FALSE,TRUE))</formula>
    </cfRule>
  </conditionalFormatting>
  <conditionalFormatting sqref="BU83:BU93">
    <cfRule type="expression" dxfId="1036" priority="1084">
      <formula>OR(IF(BU83&lt;BV83,TRUE),IF(AND(BV83="",BU83&lt;&gt;""),TRUE))</formula>
    </cfRule>
    <cfRule type="expression" dxfId="1035" priority="1085">
      <formula>IF(BU83&gt;=BV83,IF(BU83="",FALSE,TRUE))</formula>
    </cfRule>
  </conditionalFormatting>
  <conditionalFormatting sqref="BS83:BS93">
    <cfRule type="expression" dxfId="1034" priority="1086">
      <formula>OR(IF(BS83&lt;BT83,TRUE),IF(AND(BT83="",BS83&lt;&gt;""),TRUE))</formula>
    </cfRule>
    <cfRule type="expression" dxfId="1033" priority="1087">
      <formula>IF(BS83&gt;=BT83,IF(BS83="",FALSE,TRUE))</formula>
    </cfRule>
  </conditionalFormatting>
  <conditionalFormatting sqref="DK47 DK51 DI47 DI51">
    <cfRule type="expression" dxfId="1032" priority="1030">
      <formula>OR(IF(DI47&lt;DJ47,TRUE),IF(AND(DJ47="",DI47&lt;&gt;""),TRUE))</formula>
    </cfRule>
    <cfRule type="expression" dxfId="1031" priority="1031">
      <formula>IF(DI47&gt;=DJ47,IF(DI47="",FALSE,TRUE))</formula>
    </cfRule>
  </conditionalFormatting>
  <conditionalFormatting sqref="DI5:DI19 DK5:DK19 DK24:DK32 DI24:DI32 DK37:DK46 DI37:DI46">
    <cfRule type="expression" dxfId="1030" priority="1028">
      <formula>OR(IF(DI5&lt;DJ5,TRUE),IF(AND(DJ5="",DI5&lt;&gt;""),TRUE))</formula>
    </cfRule>
    <cfRule type="expression" dxfId="1029" priority="1029">
      <formula>IF(DI5&gt;=DJ5,IF(DI5="",FALSE,TRUE))</formula>
    </cfRule>
  </conditionalFormatting>
  <conditionalFormatting sqref="DI22:DI23">
    <cfRule type="expression" dxfId="1028" priority="1026">
      <formula>OR(IF(DI22&lt;DJ22,TRUE),IF(AND(DJ22="",DI22&lt;&gt;""),TRUE))</formula>
    </cfRule>
    <cfRule type="expression" dxfId="1027" priority="1027">
      <formula>IF(DI22&gt;=DJ22,IF(DI22="",FALSE,TRUE))</formula>
    </cfRule>
  </conditionalFormatting>
  <conditionalFormatting sqref="DK22:DK23">
    <cfRule type="expression" dxfId="1026" priority="1024">
      <formula>OR(IF(DK22&lt;DL22,TRUE),IF(AND(DL22="",DK22&lt;&gt;""),TRUE))</formula>
    </cfRule>
    <cfRule type="expression" dxfId="1025" priority="1025">
      <formula>IF(DK22&gt;=DL22,IF(DK22="",FALSE,TRUE))</formula>
    </cfRule>
  </conditionalFormatting>
  <conditionalFormatting sqref="DI35:DI36">
    <cfRule type="expression" dxfId="1024" priority="1022">
      <formula>OR(IF(DI35&lt;DJ35,TRUE),IF(AND(DJ35="",DI35&lt;&gt;""),TRUE))</formula>
    </cfRule>
    <cfRule type="expression" dxfId="1023" priority="1023">
      <formula>IF(DI35&gt;=DJ35,IF(DI35="",FALSE,TRUE))</formula>
    </cfRule>
  </conditionalFormatting>
  <conditionalFormatting sqref="DK35:DK36">
    <cfRule type="expression" dxfId="1022" priority="1020">
      <formula>OR(IF(DK35&lt;DL35,TRUE),IF(AND(DL35="",DK35&lt;&gt;""),TRUE))</formula>
    </cfRule>
    <cfRule type="expression" dxfId="1021" priority="1021">
      <formula>IF(DK35&gt;=DL35,IF(DK35="",FALSE,TRUE))</formula>
    </cfRule>
  </conditionalFormatting>
  <conditionalFormatting sqref="DI52:DI53">
    <cfRule type="expression" dxfId="1020" priority="1018">
      <formula>OR(IF(DI52&lt;DJ52,TRUE),IF(AND(DJ52="",DI52&lt;&gt;""),TRUE))</formula>
    </cfRule>
    <cfRule type="expression" dxfId="1019" priority="1019">
      <formula>IF(DI52&gt;=DJ52,IF(DI52="",FALSE,TRUE))</formula>
    </cfRule>
  </conditionalFormatting>
  <conditionalFormatting sqref="DK54:DK63">
    <cfRule type="expression" dxfId="1018" priority="1012">
      <formula>OR(IF(DK54&lt;DL54,TRUE),IF(AND(DL54="",DK54&lt;&gt;""),TRUE))</formula>
    </cfRule>
    <cfRule type="expression" dxfId="1017" priority="1013">
      <formula>IF(DK54&gt;=DL54,IF(DK54="",FALSE,TRUE))</formula>
    </cfRule>
  </conditionalFormatting>
  <conditionalFormatting sqref="DK52:DK53">
    <cfRule type="expression" dxfId="1016" priority="1016">
      <formula>OR(IF(DK52&lt;DL52,TRUE),IF(AND(DL52="",DK52&lt;&gt;""),TRUE))</formula>
    </cfRule>
    <cfRule type="expression" dxfId="1015" priority="1017">
      <formula>IF(DK52&gt;=DL52,IF(DK52="",FALSE,TRUE))</formula>
    </cfRule>
  </conditionalFormatting>
  <conditionalFormatting sqref="DI54:DI63">
    <cfRule type="expression" dxfId="1014" priority="1014">
      <formula>OR(IF(DI54&lt;DJ54,TRUE),IF(AND(DJ54="",DI54&lt;&gt;""),TRUE))</formula>
    </cfRule>
    <cfRule type="expression" dxfId="1013" priority="1015">
      <formula>IF(DI54&gt;=DJ54,IF(DI54="",FALSE,TRUE))</formula>
    </cfRule>
  </conditionalFormatting>
  <conditionalFormatting sqref="DK64">
    <cfRule type="expression" dxfId="1012" priority="1008">
      <formula>OR(IF(DK64&lt;DL64,TRUE),IF(AND(DL64="",DK64&lt;&gt;""),TRUE))</formula>
    </cfRule>
    <cfRule type="expression" dxfId="1011" priority="1009">
      <formula>IF(DK64&gt;=DL64,IF(DK64="",FALSE,TRUE))</formula>
    </cfRule>
  </conditionalFormatting>
  <conditionalFormatting sqref="DI64">
    <cfRule type="expression" dxfId="1010" priority="1010">
      <formula>OR(IF(DI64&lt;DJ64,TRUE),IF(AND(DJ64="",DI64&lt;&gt;""),TRUE))</formula>
    </cfRule>
    <cfRule type="expression" dxfId="1009" priority="1011">
      <formula>IF(DI64&gt;=DJ64,IF(DI64="",FALSE,TRUE))</formula>
    </cfRule>
  </conditionalFormatting>
  <conditionalFormatting sqref="DK65">
    <cfRule type="expression" dxfId="1008" priority="1004">
      <formula>OR(IF(DK65&lt;DL65,TRUE),IF(AND(DL65="",DK65&lt;&gt;""),TRUE))</formula>
    </cfRule>
    <cfRule type="expression" dxfId="1007" priority="1005">
      <formula>IF(DK65&gt;=DL65,IF(DK65="",FALSE,TRUE))</formula>
    </cfRule>
  </conditionalFormatting>
  <conditionalFormatting sqref="DI65">
    <cfRule type="expression" dxfId="1006" priority="1006">
      <formula>OR(IF(DI65&lt;DJ65,TRUE),IF(AND(DJ65="",DI65&lt;&gt;""),TRUE))</formula>
    </cfRule>
    <cfRule type="expression" dxfId="1005" priority="1007">
      <formula>IF(DI65&gt;=DJ65,IF(DI65="",FALSE,TRUE))</formula>
    </cfRule>
  </conditionalFormatting>
  <conditionalFormatting sqref="DK66">
    <cfRule type="expression" dxfId="1004" priority="1000">
      <formula>OR(IF(DK66&lt;DL66,TRUE),IF(AND(DL66="",DK66&lt;&gt;""),TRUE))</formula>
    </cfRule>
    <cfRule type="expression" dxfId="1003" priority="1001">
      <formula>IF(DK66&gt;=DL66,IF(DK66="",FALSE,TRUE))</formula>
    </cfRule>
  </conditionalFormatting>
  <conditionalFormatting sqref="DI66">
    <cfRule type="expression" dxfId="1002" priority="1002">
      <formula>OR(IF(DI66&lt;DJ66,TRUE),IF(AND(DJ66="",DI66&lt;&gt;""),TRUE))</formula>
    </cfRule>
    <cfRule type="expression" dxfId="1001" priority="1003">
      <formula>IF(DI66&gt;=DJ66,IF(DI66="",FALSE,TRUE))</formula>
    </cfRule>
  </conditionalFormatting>
  <conditionalFormatting sqref="DK67">
    <cfRule type="expression" dxfId="1000" priority="996">
      <formula>OR(IF(DK67&lt;DL67,TRUE),IF(AND(DL67="",DK67&lt;&gt;""),TRUE))</formula>
    </cfRule>
    <cfRule type="expression" dxfId="999" priority="997">
      <formula>IF(DK67&gt;=DL67,IF(DK67="",FALSE,TRUE))</formula>
    </cfRule>
  </conditionalFormatting>
  <conditionalFormatting sqref="DI67">
    <cfRule type="expression" dxfId="998" priority="998">
      <formula>OR(IF(DI67&lt;DJ67,TRUE),IF(AND(DJ67="",DI67&lt;&gt;""),TRUE))</formula>
    </cfRule>
    <cfRule type="expression" dxfId="997" priority="999">
      <formula>IF(DI67&gt;=DJ67,IF(DI67="",FALSE,TRUE))</formula>
    </cfRule>
  </conditionalFormatting>
  <conditionalFormatting sqref="DK68">
    <cfRule type="expression" dxfId="996" priority="992">
      <formula>OR(IF(DK68&lt;DL68,TRUE),IF(AND(DL68="",DK68&lt;&gt;""),TRUE))</formula>
    </cfRule>
    <cfRule type="expression" dxfId="995" priority="993">
      <formula>IF(DK68&gt;=DL68,IF(DK68="",FALSE,TRUE))</formula>
    </cfRule>
  </conditionalFormatting>
  <conditionalFormatting sqref="DI68">
    <cfRule type="expression" dxfId="994" priority="994">
      <formula>OR(IF(DI68&lt;DJ68,TRUE),IF(AND(DJ68="",DI68&lt;&gt;""),TRUE))</formula>
    </cfRule>
    <cfRule type="expression" dxfId="993" priority="995">
      <formula>IF(DI68&gt;=DJ68,IF(DI68="",FALSE,TRUE))</formula>
    </cfRule>
  </conditionalFormatting>
  <conditionalFormatting sqref="DK69">
    <cfRule type="expression" dxfId="992" priority="988">
      <formula>OR(IF(DK69&lt;DL69,TRUE),IF(AND(DL69="",DK69&lt;&gt;""),TRUE))</formula>
    </cfRule>
    <cfRule type="expression" dxfId="991" priority="989">
      <formula>IF(DK69&gt;=DL69,IF(DK69="",FALSE,TRUE))</formula>
    </cfRule>
  </conditionalFormatting>
  <conditionalFormatting sqref="DI69">
    <cfRule type="expression" dxfId="990" priority="990">
      <formula>OR(IF(DI69&lt;DJ69,TRUE),IF(AND(DJ69="",DI69&lt;&gt;""),TRUE))</formula>
    </cfRule>
    <cfRule type="expression" dxfId="989" priority="991">
      <formula>IF(DI69&gt;=DJ69,IF(DI69="",FALSE,TRUE))</formula>
    </cfRule>
  </conditionalFormatting>
  <conditionalFormatting sqref="DK70">
    <cfRule type="expression" dxfId="988" priority="984">
      <formula>OR(IF(DK70&lt;DL70,TRUE),IF(AND(DL70="",DK70&lt;&gt;""),TRUE))</formula>
    </cfRule>
    <cfRule type="expression" dxfId="987" priority="985">
      <formula>IF(DK70&gt;=DL70,IF(DK70="",FALSE,TRUE))</formula>
    </cfRule>
  </conditionalFormatting>
  <conditionalFormatting sqref="DI70">
    <cfRule type="expression" dxfId="986" priority="986">
      <formula>OR(IF(DI70&lt;DJ70,TRUE),IF(AND(DJ70="",DI70&lt;&gt;""),TRUE))</formula>
    </cfRule>
    <cfRule type="expression" dxfId="985" priority="987">
      <formula>IF(DI70&gt;=DJ70,IF(DI70="",FALSE,TRUE))</formula>
    </cfRule>
  </conditionalFormatting>
  <conditionalFormatting sqref="DK71">
    <cfRule type="expression" dxfId="984" priority="980">
      <formula>OR(IF(DK71&lt;DL71,TRUE),IF(AND(DL71="",DK71&lt;&gt;""),TRUE))</formula>
    </cfRule>
    <cfRule type="expression" dxfId="983" priority="981">
      <formula>IF(DK71&gt;=DL71,IF(DK71="",FALSE,TRUE))</formula>
    </cfRule>
  </conditionalFormatting>
  <conditionalFormatting sqref="DI71">
    <cfRule type="expression" dxfId="982" priority="982">
      <formula>OR(IF(DI71&lt;DJ71,TRUE),IF(AND(DJ71="",DI71&lt;&gt;""),TRUE))</formula>
    </cfRule>
    <cfRule type="expression" dxfId="981" priority="983">
      <formula>IF(DI71&gt;=DJ71,IF(DI71="",FALSE,TRUE))</formula>
    </cfRule>
  </conditionalFormatting>
  <conditionalFormatting sqref="DK72">
    <cfRule type="expression" dxfId="980" priority="976">
      <formula>OR(IF(DK72&lt;DL72,TRUE),IF(AND(DL72="",DK72&lt;&gt;""),TRUE))</formula>
    </cfRule>
    <cfRule type="expression" dxfId="979" priority="977">
      <formula>IF(DK72&gt;=DL72,IF(DK72="",FALSE,TRUE))</formula>
    </cfRule>
  </conditionalFormatting>
  <conditionalFormatting sqref="DI72">
    <cfRule type="expression" dxfId="978" priority="978">
      <formula>OR(IF(DI72&lt;DJ72,TRUE),IF(AND(DJ72="",DI72&lt;&gt;""),TRUE))</formula>
    </cfRule>
    <cfRule type="expression" dxfId="977" priority="979">
      <formula>IF(DI72&gt;=DJ72,IF(DI72="",FALSE,TRUE))</formula>
    </cfRule>
  </conditionalFormatting>
  <conditionalFormatting sqref="DK73">
    <cfRule type="expression" dxfId="976" priority="972">
      <formula>OR(IF(DK73&lt;DL73,TRUE),IF(AND(DL73="",DK73&lt;&gt;""),TRUE))</formula>
    </cfRule>
    <cfRule type="expression" dxfId="975" priority="973">
      <formula>IF(DK73&gt;=DL73,IF(DK73="",FALSE,TRUE))</formula>
    </cfRule>
  </conditionalFormatting>
  <conditionalFormatting sqref="DI73">
    <cfRule type="expression" dxfId="974" priority="974">
      <formula>OR(IF(DI73&lt;DJ73,TRUE),IF(AND(DJ73="",DI73&lt;&gt;""),TRUE))</formula>
    </cfRule>
    <cfRule type="expression" dxfId="973" priority="975">
      <formula>IF(DI73&gt;=DJ73,IF(DI73="",FALSE,TRUE))</formula>
    </cfRule>
  </conditionalFormatting>
  <conditionalFormatting sqref="DK74">
    <cfRule type="expression" dxfId="972" priority="968">
      <formula>OR(IF(DK74&lt;DL74,TRUE),IF(AND(DL74="",DK74&lt;&gt;""),TRUE))</formula>
    </cfRule>
    <cfRule type="expression" dxfId="971" priority="969">
      <formula>IF(DK74&gt;=DL74,IF(DK74="",FALSE,TRUE))</formula>
    </cfRule>
  </conditionalFormatting>
  <conditionalFormatting sqref="DI74">
    <cfRule type="expression" dxfId="970" priority="970">
      <formula>OR(IF(DI74&lt;DJ74,TRUE),IF(AND(DJ74="",DI74&lt;&gt;""),TRUE))</formula>
    </cfRule>
    <cfRule type="expression" dxfId="969" priority="971">
      <formula>IF(DI74&gt;=DJ74,IF(DI74="",FALSE,TRUE))</formula>
    </cfRule>
  </conditionalFormatting>
  <conditionalFormatting sqref="DK75">
    <cfRule type="expression" dxfId="968" priority="964">
      <formula>OR(IF(DK75&lt;DL75,TRUE),IF(AND(DL75="",DK75&lt;&gt;""),TRUE))</formula>
    </cfRule>
    <cfRule type="expression" dxfId="967" priority="965">
      <formula>IF(DK75&gt;=DL75,IF(DK75="",FALSE,TRUE))</formula>
    </cfRule>
  </conditionalFormatting>
  <conditionalFormatting sqref="DI75">
    <cfRule type="expression" dxfId="966" priority="966">
      <formula>OR(IF(DI75&lt;DJ75,TRUE),IF(AND(DJ75="",DI75&lt;&gt;""),TRUE))</formula>
    </cfRule>
    <cfRule type="expression" dxfId="965" priority="967">
      <formula>IF(DI75&gt;=DJ75,IF(DI75="",FALSE,TRUE))</formula>
    </cfRule>
  </conditionalFormatting>
  <conditionalFormatting sqref="DK76">
    <cfRule type="expression" dxfId="964" priority="960">
      <formula>OR(IF(DK76&lt;DL76,TRUE),IF(AND(DL76="",DK76&lt;&gt;""),TRUE))</formula>
    </cfRule>
    <cfRule type="expression" dxfId="963" priority="961">
      <formula>IF(DK76&gt;=DL76,IF(DK76="",FALSE,TRUE))</formula>
    </cfRule>
  </conditionalFormatting>
  <conditionalFormatting sqref="DI76">
    <cfRule type="expression" dxfId="962" priority="962">
      <formula>OR(IF(DI76&lt;DJ76,TRUE),IF(AND(DJ76="",DI76&lt;&gt;""),TRUE))</formula>
    </cfRule>
    <cfRule type="expression" dxfId="961" priority="963">
      <formula>IF(DI76&gt;=DJ76,IF(DI76="",FALSE,TRUE))</formula>
    </cfRule>
  </conditionalFormatting>
  <conditionalFormatting sqref="DK80 DI80">
    <cfRule type="expression" dxfId="960" priority="958">
      <formula>OR(IF(DI80&lt;DJ80,TRUE),IF(AND(DJ80="",DI80&lt;&gt;""),TRUE))</formula>
    </cfRule>
    <cfRule type="expression" dxfId="959" priority="959">
      <formula>IF(DI80&gt;=DJ80,IF(DI80="",FALSE,TRUE))</formula>
    </cfRule>
  </conditionalFormatting>
  <conditionalFormatting sqref="DI81:DI82">
    <cfRule type="expression" dxfId="958" priority="956">
      <formula>OR(IF(DI81&lt;DJ81,TRUE),IF(AND(DJ81="",DI81&lt;&gt;""),TRUE))</formula>
    </cfRule>
    <cfRule type="expression" dxfId="957" priority="957">
      <formula>IF(DI81&gt;=DJ81,IF(DI81="",FALSE,TRUE))</formula>
    </cfRule>
  </conditionalFormatting>
  <conditionalFormatting sqref="DK83:DK93">
    <cfRule type="expression" dxfId="956" priority="950">
      <formula>OR(IF(DK83&lt;DL83,TRUE),IF(AND(DL83="",DK83&lt;&gt;""),TRUE))</formula>
    </cfRule>
    <cfRule type="expression" dxfId="955" priority="951">
      <formula>IF(DK83&gt;=DL83,IF(DK83="",FALSE,TRUE))</formula>
    </cfRule>
  </conditionalFormatting>
  <conditionalFormatting sqref="DK81:DK82">
    <cfRule type="expression" dxfId="954" priority="954">
      <formula>OR(IF(DK81&lt;DL81,TRUE),IF(AND(DL81="",DK81&lt;&gt;""),TRUE))</formula>
    </cfRule>
    <cfRule type="expression" dxfId="953" priority="955">
      <formula>IF(DK81&gt;=DL81,IF(DK81="",FALSE,TRUE))</formula>
    </cfRule>
  </conditionalFormatting>
  <conditionalFormatting sqref="DI83:DI93">
    <cfRule type="expression" dxfId="952" priority="952">
      <formula>OR(IF(DI83&lt;DJ83,TRUE),IF(AND(DJ83="",DI83&lt;&gt;""),TRUE))</formula>
    </cfRule>
    <cfRule type="expression" dxfId="951" priority="953">
      <formula>IF(DI83&gt;=DJ83,IF(DI83="",FALSE,TRUE))</formula>
    </cfRule>
  </conditionalFormatting>
  <conditionalFormatting sqref="DR47 DR51 DP47 DP51">
    <cfRule type="expression" dxfId="950" priority="948">
      <formula>OR(IF(DP47&lt;DQ47,TRUE),IF(AND(DQ47="",DP47&lt;&gt;""),TRUE))</formula>
    </cfRule>
    <cfRule type="expression" dxfId="949" priority="949">
      <formula>IF(DP47&gt;=DQ47,IF(DP47="",FALSE,TRUE))</formula>
    </cfRule>
  </conditionalFormatting>
  <conditionalFormatting sqref="DP5:DP19 DR5:DR19 DR24:DR32 DP24:DP32 DR37:DR46 DP37:DP46">
    <cfRule type="expression" dxfId="948" priority="946">
      <formula>OR(IF(DP5&lt;DQ5,TRUE),IF(AND(DQ5="",DP5&lt;&gt;""),TRUE))</formula>
    </cfRule>
    <cfRule type="expression" dxfId="947" priority="947">
      <formula>IF(DP5&gt;=DQ5,IF(DP5="",FALSE,TRUE))</formula>
    </cfRule>
  </conditionalFormatting>
  <conditionalFormatting sqref="DP22:DP23">
    <cfRule type="expression" dxfId="946" priority="944">
      <formula>OR(IF(DP22&lt;DQ22,TRUE),IF(AND(DQ22="",DP22&lt;&gt;""),TRUE))</formula>
    </cfRule>
    <cfRule type="expression" dxfId="945" priority="945">
      <formula>IF(DP22&gt;=DQ22,IF(DP22="",FALSE,TRUE))</formula>
    </cfRule>
  </conditionalFormatting>
  <conditionalFormatting sqref="DR22:DR23">
    <cfRule type="expression" dxfId="944" priority="942">
      <formula>OR(IF(DR22&lt;DS22,TRUE),IF(AND(DS22="",DR22&lt;&gt;""),TRUE))</formula>
    </cfRule>
    <cfRule type="expression" dxfId="943" priority="943">
      <formula>IF(DR22&gt;=DS22,IF(DR22="",FALSE,TRUE))</formula>
    </cfRule>
  </conditionalFormatting>
  <conditionalFormatting sqref="DP35:DP36">
    <cfRule type="expression" dxfId="942" priority="940">
      <formula>OR(IF(DP35&lt;DQ35,TRUE),IF(AND(DQ35="",DP35&lt;&gt;""),TRUE))</formula>
    </cfRule>
    <cfRule type="expression" dxfId="941" priority="941">
      <formula>IF(DP35&gt;=DQ35,IF(DP35="",FALSE,TRUE))</formula>
    </cfRule>
  </conditionalFormatting>
  <conditionalFormatting sqref="DR35:DR36">
    <cfRule type="expression" dxfId="940" priority="938">
      <formula>OR(IF(DR35&lt;DS35,TRUE),IF(AND(DS35="",DR35&lt;&gt;""),TRUE))</formula>
    </cfRule>
    <cfRule type="expression" dxfId="939" priority="939">
      <formula>IF(DR35&gt;=DS35,IF(DR35="",FALSE,TRUE))</formula>
    </cfRule>
  </conditionalFormatting>
  <conditionalFormatting sqref="DP52:DP53">
    <cfRule type="expression" dxfId="938" priority="936">
      <formula>OR(IF(DP52&lt;DQ52,TRUE),IF(AND(DQ52="",DP52&lt;&gt;""),TRUE))</formula>
    </cfRule>
    <cfRule type="expression" dxfId="937" priority="937">
      <formula>IF(DP52&gt;=DQ52,IF(DP52="",FALSE,TRUE))</formula>
    </cfRule>
  </conditionalFormatting>
  <conditionalFormatting sqref="DR54:DR63">
    <cfRule type="expression" dxfId="936" priority="930">
      <formula>OR(IF(DR54&lt;DS54,TRUE),IF(AND(DS54="",DR54&lt;&gt;""),TRUE))</formula>
    </cfRule>
    <cfRule type="expression" dxfId="935" priority="931">
      <formula>IF(DR54&gt;=DS54,IF(DR54="",FALSE,TRUE))</formula>
    </cfRule>
  </conditionalFormatting>
  <conditionalFormatting sqref="DR52:DR53">
    <cfRule type="expression" dxfId="934" priority="934">
      <formula>OR(IF(DR52&lt;DS52,TRUE),IF(AND(DS52="",DR52&lt;&gt;""),TRUE))</formula>
    </cfRule>
    <cfRule type="expression" dxfId="933" priority="935">
      <formula>IF(DR52&gt;=DS52,IF(DR52="",FALSE,TRUE))</formula>
    </cfRule>
  </conditionalFormatting>
  <conditionalFormatting sqref="DP54:DP63">
    <cfRule type="expression" dxfId="932" priority="932">
      <formula>OR(IF(DP54&lt;DQ54,TRUE),IF(AND(DQ54="",DP54&lt;&gt;""),TRUE))</formula>
    </cfRule>
    <cfRule type="expression" dxfId="931" priority="933">
      <formula>IF(DP54&gt;=DQ54,IF(DP54="",FALSE,TRUE))</formula>
    </cfRule>
  </conditionalFormatting>
  <conditionalFormatting sqref="DR64">
    <cfRule type="expression" dxfId="930" priority="926">
      <formula>OR(IF(DR64&lt;DS64,TRUE),IF(AND(DS64="",DR64&lt;&gt;""),TRUE))</formula>
    </cfRule>
    <cfRule type="expression" dxfId="929" priority="927">
      <formula>IF(DR64&gt;=DS64,IF(DR64="",FALSE,TRUE))</formula>
    </cfRule>
  </conditionalFormatting>
  <conditionalFormatting sqref="DP64">
    <cfRule type="expression" dxfId="928" priority="928">
      <formula>OR(IF(DP64&lt;DQ64,TRUE),IF(AND(DQ64="",DP64&lt;&gt;""),TRUE))</formula>
    </cfRule>
    <cfRule type="expression" dxfId="927" priority="929">
      <formula>IF(DP64&gt;=DQ64,IF(DP64="",FALSE,TRUE))</formula>
    </cfRule>
  </conditionalFormatting>
  <conditionalFormatting sqref="DR65">
    <cfRule type="expression" dxfId="926" priority="922">
      <formula>OR(IF(DR65&lt;DS65,TRUE),IF(AND(DS65="",DR65&lt;&gt;""),TRUE))</formula>
    </cfRule>
    <cfRule type="expression" dxfId="925" priority="923">
      <formula>IF(DR65&gt;=DS65,IF(DR65="",FALSE,TRUE))</formula>
    </cfRule>
  </conditionalFormatting>
  <conditionalFormatting sqref="DP65">
    <cfRule type="expression" dxfId="924" priority="924">
      <formula>OR(IF(DP65&lt;DQ65,TRUE),IF(AND(DQ65="",DP65&lt;&gt;""),TRUE))</formula>
    </cfRule>
    <cfRule type="expression" dxfId="923" priority="925">
      <formula>IF(DP65&gt;=DQ65,IF(DP65="",FALSE,TRUE))</formula>
    </cfRule>
  </conditionalFormatting>
  <conditionalFormatting sqref="DR66">
    <cfRule type="expression" dxfId="922" priority="918">
      <formula>OR(IF(DR66&lt;DS66,TRUE),IF(AND(DS66="",DR66&lt;&gt;""),TRUE))</formula>
    </cfRule>
    <cfRule type="expression" dxfId="921" priority="919">
      <formula>IF(DR66&gt;=DS66,IF(DR66="",FALSE,TRUE))</formula>
    </cfRule>
  </conditionalFormatting>
  <conditionalFormatting sqref="DP66">
    <cfRule type="expression" dxfId="920" priority="920">
      <formula>OR(IF(DP66&lt;DQ66,TRUE),IF(AND(DQ66="",DP66&lt;&gt;""),TRUE))</formula>
    </cfRule>
    <cfRule type="expression" dxfId="919" priority="921">
      <formula>IF(DP66&gt;=DQ66,IF(DP66="",FALSE,TRUE))</formula>
    </cfRule>
  </conditionalFormatting>
  <conditionalFormatting sqref="DR67">
    <cfRule type="expression" dxfId="918" priority="914">
      <formula>OR(IF(DR67&lt;DS67,TRUE),IF(AND(DS67="",DR67&lt;&gt;""),TRUE))</formula>
    </cfRule>
    <cfRule type="expression" dxfId="917" priority="915">
      <formula>IF(DR67&gt;=DS67,IF(DR67="",FALSE,TRUE))</formula>
    </cfRule>
  </conditionalFormatting>
  <conditionalFormatting sqref="DP67">
    <cfRule type="expression" dxfId="916" priority="916">
      <formula>OR(IF(DP67&lt;DQ67,TRUE),IF(AND(DQ67="",DP67&lt;&gt;""),TRUE))</formula>
    </cfRule>
    <cfRule type="expression" dxfId="915" priority="917">
      <formula>IF(DP67&gt;=DQ67,IF(DP67="",FALSE,TRUE))</formula>
    </cfRule>
  </conditionalFormatting>
  <conditionalFormatting sqref="DR68">
    <cfRule type="expression" dxfId="914" priority="910">
      <formula>OR(IF(DR68&lt;DS68,TRUE),IF(AND(DS68="",DR68&lt;&gt;""),TRUE))</formula>
    </cfRule>
    <cfRule type="expression" dxfId="913" priority="911">
      <formula>IF(DR68&gt;=DS68,IF(DR68="",FALSE,TRUE))</formula>
    </cfRule>
  </conditionalFormatting>
  <conditionalFormatting sqref="DP68">
    <cfRule type="expression" dxfId="912" priority="912">
      <formula>OR(IF(DP68&lt;DQ68,TRUE),IF(AND(DQ68="",DP68&lt;&gt;""),TRUE))</formula>
    </cfRule>
    <cfRule type="expression" dxfId="911" priority="913">
      <formula>IF(DP68&gt;=DQ68,IF(DP68="",FALSE,TRUE))</formula>
    </cfRule>
  </conditionalFormatting>
  <conditionalFormatting sqref="DR69">
    <cfRule type="expression" dxfId="910" priority="906">
      <formula>OR(IF(DR69&lt;DS69,TRUE),IF(AND(DS69="",DR69&lt;&gt;""),TRUE))</formula>
    </cfRule>
    <cfRule type="expression" dxfId="909" priority="907">
      <formula>IF(DR69&gt;=DS69,IF(DR69="",FALSE,TRUE))</formula>
    </cfRule>
  </conditionalFormatting>
  <conditionalFormatting sqref="DP69">
    <cfRule type="expression" dxfId="908" priority="908">
      <formula>OR(IF(DP69&lt;DQ69,TRUE),IF(AND(DQ69="",DP69&lt;&gt;""),TRUE))</formula>
    </cfRule>
    <cfRule type="expression" dxfId="907" priority="909">
      <formula>IF(DP69&gt;=DQ69,IF(DP69="",FALSE,TRUE))</formula>
    </cfRule>
  </conditionalFormatting>
  <conditionalFormatting sqref="DR70">
    <cfRule type="expression" dxfId="906" priority="902">
      <formula>OR(IF(DR70&lt;DS70,TRUE),IF(AND(DS70="",DR70&lt;&gt;""),TRUE))</formula>
    </cfRule>
    <cfRule type="expression" dxfId="905" priority="903">
      <formula>IF(DR70&gt;=DS70,IF(DR70="",FALSE,TRUE))</formula>
    </cfRule>
  </conditionalFormatting>
  <conditionalFormatting sqref="DP70">
    <cfRule type="expression" dxfId="904" priority="904">
      <formula>OR(IF(DP70&lt;DQ70,TRUE),IF(AND(DQ70="",DP70&lt;&gt;""),TRUE))</formula>
    </cfRule>
    <cfRule type="expression" dxfId="903" priority="905">
      <formula>IF(DP70&gt;=DQ70,IF(DP70="",FALSE,TRUE))</formula>
    </cfRule>
  </conditionalFormatting>
  <conditionalFormatting sqref="DR71">
    <cfRule type="expression" dxfId="902" priority="898">
      <formula>OR(IF(DR71&lt;DS71,TRUE),IF(AND(DS71="",DR71&lt;&gt;""),TRUE))</formula>
    </cfRule>
    <cfRule type="expression" dxfId="901" priority="899">
      <formula>IF(DR71&gt;=DS71,IF(DR71="",FALSE,TRUE))</formula>
    </cfRule>
  </conditionalFormatting>
  <conditionalFormatting sqref="DP71">
    <cfRule type="expression" dxfId="900" priority="900">
      <formula>OR(IF(DP71&lt;DQ71,TRUE),IF(AND(DQ71="",DP71&lt;&gt;""),TRUE))</formula>
    </cfRule>
    <cfRule type="expression" dxfId="899" priority="901">
      <formula>IF(DP71&gt;=DQ71,IF(DP71="",FALSE,TRUE))</formula>
    </cfRule>
  </conditionalFormatting>
  <conditionalFormatting sqref="DR72">
    <cfRule type="expression" dxfId="898" priority="894">
      <formula>OR(IF(DR72&lt;DS72,TRUE),IF(AND(DS72="",DR72&lt;&gt;""),TRUE))</formula>
    </cfRule>
    <cfRule type="expression" dxfId="897" priority="895">
      <formula>IF(DR72&gt;=DS72,IF(DR72="",FALSE,TRUE))</formula>
    </cfRule>
  </conditionalFormatting>
  <conditionalFormatting sqref="DP72">
    <cfRule type="expression" dxfId="896" priority="896">
      <formula>OR(IF(DP72&lt;DQ72,TRUE),IF(AND(DQ72="",DP72&lt;&gt;""),TRUE))</formula>
    </cfRule>
    <cfRule type="expression" dxfId="895" priority="897">
      <formula>IF(DP72&gt;=DQ72,IF(DP72="",FALSE,TRUE))</formula>
    </cfRule>
  </conditionalFormatting>
  <conditionalFormatting sqref="DR73">
    <cfRule type="expression" dxfId="894" priority="890">
      <formula>OR(IF(DR73&lt;DS73,TRUE),IF(AND(DS73="",DR73&lt;&gt;""),TRUE))</formula>
    </cfRule>
    <cfRule type="expression" dxfId="893" priority="891">
      <formula>IF(DR73&gt;=DS73,IF(DR73="",FALSE,TRUE))</formula>
    </cfRule>
  </conditionalFormatting>
  <conditionalFormatting sqref="DP73">
    <cfRule type="expression" dxfId="892" priority="892">
      <formula>OR(IF(DP73&lt;DQ73,TRUE),IF(AND(DQ73="",DP73&lt;&gt;""),TRUE))</formula>
    </cfRule>
    <cfRule type="expression" dxfId="891" priority="893">
      <formula>IF(DP73&gt;=DQ73,IF(DP73="",FALSE,TRUE))</formula>
    </cfRule>
  </conditionalFormatting>
  <conditionalFormatting sqref="DR74">
    <cfRule type="expression" dxfId="890" priority="886">
      <formula>OR(IF(DR74&lt;DS74,TRUE),IF(AND(DS74="",DR74&lt;&gt;""),TRUE))</formula>
    </cfRule>
    <cfRule type="expression" dxfId="889" priority="887">
      <formula>IF(DR74&gt;=DS74,IF(DR74="",FALSE,TRUE))</formula>
    </cfRule>
  </conditionalFormatting>
  <conditionalFormatting sqref="DP74">
    <cfRule type="expression" dxfId="888" priority="888">
      <formula>OR(IF(DP74&lt;DQ74,TRUE),IF(AND(DQ74="",DP74&lt;&gt;""),TRUE))</formula>
    </cfRule>
    <cfRule type="expression" dxfId="887" priority="889">
      <formula>IF(DP74&gt;=DQ74,IF(DP74="",FALSE,TRUE))</formula>
    </cfRule>
  </conditionalFormatting>
  <conditionalFormatting sqref="DR75">
    <cfRule type="expression" dxfId="886" priority="882">
      <formula>OR(IF(DR75&lt;DS75,TRUE),IF(AND(DS75="",DR75&lt;&gt;""),TRUE))</formula>
    </cfRule>
    <cfRule type="expression" dxfId="885" priority="883">
      <formula>IF(DR75&gt;=DS75,IF(DR75="",FALSE,TRUE))</formula>
    </cfRule>
  </conditionalFormatting>
  <conditionalFormatting sqref="DP75">
    <cfRule type="expression" dxfId="884" priority="884">
      <formula>OR(IF(DP75&lt;DQ75,TRUE),IF(AND(DQ75="",DP75&lt;&gt;""),TRUE))</formula>
    </cfRule>
    <cfRule type="expression" dxfId="883" priority="885">
      <formula>IF(DP75&gt;=DQ75,IF(DP75="",FALSE,TRUE))</formula>
    </cfRule>
  </conditionalFormatting>
  <conditionalFormatting sqref="DR76">
    <cfRule type="expression" dxfId="882" priority="878">
      <formula>OR(IF(DR76&lt;DS76,TRUE),IF(AND(DS76="",DR76&lt;&gt;""),TRUE))</formula>
    </cfRule>
    <cfRule type="expression" dxfId="881" priority="879">
      <formula>IF(DR76&gt;=DS76,IF(DR76="",FALSE,TRUE))</formula>
    </cfRule>
  </conditionalFormatting>
  <conditionalFormatting sqref="DP76">
    <cfRule type="expression" dxfId="880" priority="880">
      <formula>OR(IF(DP76&lt;DQ76,TRUE),IF(AND(DQ76="",DP76&lt;&gt;""),TRUE))</formula>
    </cfRule>
    <cfRule type="expression" dxfId="879" priority="881">
      <formula>IF(DP76&gt;=DQ76,IF(DP76="",FALSE,TRUE))</formula>
    </cfRule>
  </conditionalFormatting>
  <conditionalFormatting sqref="DR80 DP80">
    <cfRule type="expression" dxfId="878" priority="876">
      <formula>OR(IF(DP80&lt;DQ80,TRUE),IF(AND(DQ80="",DP80&lt;&gt;""),TRUE))</formula>
    </cfRule>
    <cfRule type="expression" dxfId="877" priority="877">
      <formula>IF(DP80&gt;=DQ80,IF(DP80="",FALSE,TRUE))</formula>
    </cfRule>
  </conditionalFormatting>
  <conditionalFormatting sqref="DP81:DP82">
    <cfRule type="expression" dxfId="876" priority="874">
      <formula>OR(IF(DP81&lt;DQ81,TRUE),IF(AND(DQ81="",DP81&lt;&gt;""),TRUE))</formula>
    </cfRule>
    <cfRule type="expression" dxfId="875" priority="875">
      <formula>IF(DP81&gt;=DQ81,IF(DP81="",FALSE,TRUE))</formula>
    </cfRule>
  </conditionalFormatting>
  <conditionalFormatting sqref="DR83:DR93">
    <cfRule type="expression" dxfId="874" priority="868">
      <formula>OR(IF(DR83&lt;DS83,TRUE),IF(AND(DS83="",DR83&lt;&gt;""),TRUE))</formula>
    </cfRule>
    <cfRule type="expression" dxfId="873" priority="869">
      <formula>IF(DR83&gt;=DS83,IF(DR83="",FALSE,TRUE))</formula>
    </cfRule>
  </conditionalFormatting>
  <conditionalFormatting sqref="DR81:DR82">
    <cfRule type="expression" dxfId="872" priority="872">
      <formula>OR(IF(DR81&lt;DS81,TRUE),IF(AND(DS81="",DR81&lt;&gt;""),TRUE))</formula>
    </cfRule>
    <cfRule type="expression" dxfId="871" priority="873">
      <formula>IF(DR81&gt;=DS81,IF(DR81="",FALSE,TRUE))</formula>
    </cfRule>
  </conditionalFormatting>
  <conditionalFormatting sqref="DP83:DP93">
    <cfRule type="expression" dxfId="870" priority="870">
      <formula>OR(IF(DP83&lt;DQ83,TRUE),IF(AND(DQ83="",DP83&lt;&gt;""),TRUE))</formula>
    </cfRule>
    <cfRule type="expression" dxfId="869" priority="871">
      <formula>IF(DP83&gt;=DQ83,IF(DP83="",FALSE,TRUE))</formula>
    </cfRule>
  </conditionalFormatting>
  <conditionalFormatting sqref="DY47 DY51 DW47 DW51">
    <cfRule type="expression" dxfId="868" priority="866">
      <formula>OR(IF(DW47&lt;DX47,TRUE),IF(AND(DX47="",DW47&lt;&gt;""),TRUE))</formula>
    </cfRule>
    <cfRule type="expression" dxfId="867" priority="867">
      <formula>IF(DW47&gt;=DX47,IF(DW47="",FALSE,TRUE))</formula>
    </cfRule>
  </conditionalFormatting>
  <conditionalFormatting sqref="DW5:DW19 DY5:DY19 DY24:DY32 DW24:DW32 DY37:DY46 DW37:DW46">
    <cfRule type="expression" dxfId="866" priority="864">
      <formula>OR(IF(DW5&lt;DX5,TRUE),IF(AND(DX5="",DW5&lt;&gt;""),TRUE))</formula>
    </cfRule>
    <cfRule type="expression" dxfId="865" priority="865">
      <formula>IF(DW5&gt;=DX5,IF(DW5="",FALSE,TRUE))</formula>
    </cfRule>
  </conditionalFormatting>
  <conditionalFormatting sqref="DW22:DW23">
    <cfRule type="expression" dxfId="864" priority="862">
      <formula>OR(IF(DW22&lt;DX22,TRUE),IF(AND(DX22="",DW22&lt;&gt;""),TRUE))</formula>
    </cfRule>
    <cfRule type="expression" dxfId="863" priority="863">
      <formula>IF(DW22&gt;=DX22,IF(DW22="",FALSE,TRUE))</formula>
    </cfRule>
  </conditionalFormatting>
  <conditionalFormatting sqref="DY22:DY23">
    <cfRule type="expression" dxfId="862" priority="860">
      <formula>OR(IF(DY22&lt;DZ22,TRUE),IF(AND(DZ22="",DY22&lt;&gt;""),TRUE))</formula>
    </cfRule>
    <cfRule type="expression" dxfId="861" priority="861">
      <formula>IF(DY22&gt;=DZ22,IF(DY22="",FALSE,TRUE))</formula>
    </cfRule>
  </conditionalFormatting>
  <conditionalFormatting sqref="DW35:DW36">
    <cfRule type="expression" dxfId="860" priority="858">
      <formula>OR(IF(DW35&lt;DX35,TRUE),IF(AND(DX35="",DW35&lt;&gt;""),TRUE))</formula>
    </cfRule>
    <cfRule type="expression" dxfId="859" priority="859">
      <formula>IF(DW35&gt;=DX35,IF(DW35="",FALSE,TRUE))</formula>
    </cfRule>
  </conditionalFormatting>
  <conditionalFormatting sqref="DY35:DY36">
    <cfRule type="expression" dxfId="858" priority="856">
      <formula>OR(IF(DY35&lt;DZ35,TRUE),IF(AND(DZ35="",DY35&lt;&gt;""),TRUE))</formula>
    </cfRule>
    <cfRule type="expression" dxfId="857" priority="857">
      <formula>IF(DY35&gt;=DZ35,IF(DY35="",FALSE,TRUE))</formula>
    </cfRule>
  </conditionalFormatting>
  <conditionalFormatting sqref="DW52:DW53">
    <cfRule type="expression" dxfId="856" priority="854">
      <formula>OR(IF(DW52&lt;DX52,TRUE),IF(AND(DX52="",DW52&lt;&gt;""),TRUE))</formula>
    </cfRule>
    <cfRule type="expression" dxfId="855" priority="855">
      <formula>IF(DW52&gt;=DX52,IF(DW52="",FALSE,TRUE))</formula>
    </cfRule>
  </conditionalFormatting>
  <conditionalFormatting sqref="DY54:DY63">
    <cfRule type="expression" dxfId="854" priority="848">
      <formula>OR(IF(DY54&lt;DZ54,TRUE),IF(AND(DZ54="",DY54&lt;&gt;""),TRUE))</formula>
    </cfRule>
    <cfRule type="expression" dxfId="853" priority="849">
      <formula>IF(DY54&gt;=DZ54,IF(DY54="",FALSE,TRUE))</formula>
    </cfRule>
  </conditionalFormatting>
  <conditionalFormatting sqref="DY52:DY53">
    <cfRule type="expression" dxfId="852" priority="852">
      <formula>OR(IF(DY52&lt;DZ52,TRUE),IF(AND(DZ52="",DY52&lt;&gt;""),TRUE))</formula>
    </cfRule>
    <cfRule type="expression" dxfId="851" priority="853">
      <formula>IF(DY52&gt;=DZ52,IF(DY52="",FALSE,TRUE))</formula>
    </cfRule>
  </conditionalFormatting>
  <conditionalFormatting sqref="DW54:DW63">
    <cfRule type="expression" dxfId="850" priority="850">
      <formula>OR(IF(DW54&lt;DX54,TRUE),IF(AND(DX54="",DW54&lt;&gt;""),TRUE))</formula>
    </cfRule>
    <cfRule type="expression" dxfId="849" priority="851">
      <formula>IF(DW54&gt;=DX54,IF(DW54="",FALSE,TRUE))</formula>
    </cfRule>
  </conditionalFormatting>
  <conditionalFormatting sqref="DY64">
    <cfRule type="expression" dxfId="848" priority="844">
      <formula>OR(IF(DY64&lt;DZ64,TRUE),IF(AND(DZ64="",DY64&lt;&gt;""),TRUE))</formula>
    </cfRule>
    <cfRule type="expression" dxfId="847" priority="845">
      <formula>IF(DY64&gt;=DZ64,IF(DY64="",FALSE,TRUE))</formula>
    </cfRule>
  </conditionalFormatting>
  <conditionalFormatting sqref="DW64">
    <cfRule type="expression" dxfId="846" priority="846">
      <formula>OR(IF(DW64&lt;DX64,TRUE),IF(AND(DX64="",DW64&lt;&gt;""),TRUE))</formula>
    </cfRule>
    <cfRule type="expression" dxfId="845" priority="847">
      <formula>IF(DW64&gt;=DX64,IF(DW64="",FALSE,TRUE))</formula>
    </cfRule>
  </conditionalFormatting>
  <conditionalFormatting sqref="DY65">
    <cfRule type="expression" dxfId="844" priority="840">
      <formula>OR(IF(DY65&lt;DZ65,TRUE),IF(AND(DZ65="",DY65&lt;&gt;""),TRUE))</formula>
    </cfRule>
    <cfRule type="expression" dxfId="843" priority="841">
      <formula>IF(DY65&gt;=DZ65,IF(DY65="",FALSE,TRUE))</formula>
    </cfRule>
  </conditionalFormatting>
  <conditionalFormatting sqref="DW65">
    <cfRule type="expression" dxfId="842" priority="842">
      <formula>OR(IF(DW65&lt;DX65,TRUE),IF(AND(DX65="",DW65&lt;&gt;""),TRUE))</formula>
    </cfRule>
    <cfRule type="expression" dxfId="841" priority="843">
      <formula>IF(DW65&gt;=DX65,IF(DW65="",FALSE,TRUE))</formula>
    </cfRule>
  </conditionalFormatting>
  <conditionalFormatting sqref="DY66">
    <cfRule type="expression" dxfId="840" priority="836">
      <formula>OR(IF(DY66&lt;DZ66,TRUE),IF(AND(DZ66="",DY66&lt;&gt;""),TRUE))</formula>
    </cfRule>
    <cfRule type="expression" dxfId="839" priority="837">
      <formula>IF(DY66&gt;=DZ66,IF(DY66="",FALSE,TRUE))</formula>
    </cfRule>
  </conditionalFormatting>
  <conditionalFormatting sqref="DW66">
    <cfRule type="expression" dxfId="838" priority="838">
      <formula>OR(IF(DW66&lt;DX66,TRUE),IF(AND(DX66="",DW66&lt;&gt;""),TRUE))</formula>
    </cfRule>
    <cfRule type="expression" dxfId="837" priority="839">
      <formula>IF(DW66&gt;=DX66,IF(DW66="",FALSE,TRUE))</formula>
    </cfRule>
  </conditionalFormatting>
  <conditionalFormatting sqref="DY67">
    <cfRule type="expression" dxfId="836" priority="832">
      <formula>OR(IF(DY67&lt;DZ67,TRUE),IF(AND(DZ67="",DY67&lt;&gt;""),TRUE))</formula>
    </cfRule>
    <cfRule type="expression" dxfId="835" priority="833">
      <formula>IF(DY67&gt;=DZ67,IF(DY67="",FALSE,TRUE))</formula>
    </cfRule>
  </conditionalFormatting>
  <conditionalFormatting sqref="DW67">
    <cfRule type="expression" dxfId="834" priority="834">
      <formula>OR(IF(DW67&lt;DX67,TRUE),IF(AND(DX67="",DW67&lt;&gt;""),TRUE))</formula>
    </cfRule>
    <cfRule type="expression" dxfId="833" priority="835">
      <formula>IF(DW67&gt;=DX67,IF(DW67="",FALSE,TRUE))</formula>
    </cfRule>
  </conditionalFormatting>
  <conditionalFormatting sqref="DY68">
    <cfRule type="expression" dxfId="832" priority="828">
      <formula>OR(IF(DY68&lt;DZ68,TRUE),IF(AND(DZ68="",DY68&lt;&gt;""),TRUE))</formula>
    </cfRule>
    <cfRule type="expression" dxfId="831" priority="829">
      <formula>IF(DY68&gt;=DZ68,IF(DY68="",FALSE,TRUE))</formula>
    </cfRule>
  </conditionalFormatting>
  <conditionalFormatting sqref="DW68">
    <cfRule type="expression" dxfId="830" priority="830">
      <formula>OR(IF(DW68&lt;DX68,TRUE),IF(AND(DX68="",DW68&lt;&gt;""),TRUE))</formula>
    </cfRule>
    <cfRule type="expression" dxfId="829" priority="831">
      <formula>IF(DW68&gt;=DX68,IF(DW68="",FALSE,TRUE))</formula>
    </cfRule>
  </conditionalFormatting>
  <conditionalFormatting sqref="DY69">
    <cfRule type="expression" dxfId="828" priority="824">
      <formula>OR(IF(DY69&lt;DZ69,TRUE),IF(AND(DZ69="",DY69&lt;&gt;""),TRUE))</formula>
    </cfRule>
    <cfRule type="expression" dxfId="827" priority="825">
      <formula>IF(DY69&gt;=DZ69,IF(DY69="",FALSE,TRUE))</formula>
    </cfRule>
  </conditionalFormatting>
  <conditionalFormatting sqref="DW69">
    <cfRule type="expression" dxfId="826" priority="826">
      <formula>OR(IF(DW69&lt;DX69,TRUE),IF(AND(DX69="",DW69&lt;&gt;""),TRUE))</formula>
    </cfRule>
    <cfRule type="expression" dxfId="825" priority="827">
      <formula>IF(DW69&gt;=DX69,IF(DW69="",FALSE,TRUE))</formula>
    </cfRule>
  </conditionalFormatting>
  <conditionalFormatting sqref="DY70">
    <cfRule type="expression" dxfId="824" priority="820">
      <formula>OR(IF(DY70&lt;DZ70,TRUE),IF(AND(DZ70="",DY70&lt;&gt;""),TRUE))</formula>
    </cfRule>
    <cfRule type="expression" dxfId="823" priority="821">
      <formula>IF(DY70&gt;=DZ70,IF(DY70="",FALSE,TRUE))</formula>
    </cfRule>
  </conditionalFormatting>
  <conditionalFormatting sqref="DW70">
    <cfRule type="expression" dxfId="822" priority="822">
      <formula>OR(IF(DW70&lt;DX70,TRUE),IF(AND(DX70="",DW70&lt;&gt;""),TRUE))</formula>
    </cfRule>
    <cfRule type="expression" dxfId="821" priority="823">
      <formula>IF(DW70&gt;=DX70,IF(DW70="",FALSE,TRUE))</formula>
    </cfRule>
  </conditionalFormatting>
  <conditionalFormatting sqref="DY71">
    <cfRule type="expression" dxfId="820" priority="816">
      <formula>OR(IF(DY71&lt;DZ71,TRUE),IF(AND(DZ71="",DY71&lt;&gt;""),TRUE))</formula>
    </cfRule>
    <cfRule type="expression" dxfId="819" priority="817">
      <formula>IF(DY71&gt;=DZ71,IF(DY71="",FALSE,TRUE))</formula>
    </cfRule>
  </conditionalFormatting>
  <conditionalFormatting sqref="DW71">
    <cfRule type="expression" dxfId="818" priority="818">
      <formula>OR(IF(DW71&lt;DX71,TRUE),IF(AND(DX71="",DW71&lt;&gt;""),TRUE))</formula>
    </cfRule>
    <cfRule type="expression" dxfId="817" priority="819">
      <formula>IF(DW71&gt;=DX71,IF(DW71="",FALSE,TRUE))</formula>
    </cfRule>
  </conditionalFormatting>
  <conditionalFormatting sqref="DY72">
    <cfRule type="expression" dxfId="816" priority="812">
      <formula>OR(IF(DY72&lt;DZ72,TRUE),IF(AND(DZ72="",DY72&lt;&gt;""),TRUE))</formula>
    </cfRule>
    <cfRule type="expression" dxfId="815" priority="813">
      <formula>IF(DY72&gt;=DZ72,IF(DY72="",FALSE,TRUE))</formula>
    </cfRule>
  </conditionalFormatting>
  <conditionalFormatting sqref="DW72">
    <cfRule type="expression" dxfId="814" priority="814">
      <formula>OR(IF(DW72&lt;DX72,TRUE),IF(AND(DX72="",DW72&lt;&gt;""),TRUE))</formula>
    </cfRule>
    <cfRule type="expression" dxfId="813" priority="815">
      <formula>IF(DW72&gt;=DX72,IF(DW72="",FALSE,TRUE))</formula>
    </cfRule>
  </conditionalFormatting>
  <conditionalFormatting sqref="DY73">
    <cfRule type="expression" dxfId="812" priority="808">
      <formula>OR(IF(DY73&lt;DZ73,TRUE),IF(AND(DZ73="",DY73&lt;&gt;""),TRUE))</formula>
    </cfRule>
    <cfRule type="expression" dxfId="811" priority="809">
      <formula>IF(DY73&gt;=DZ73,IF(DY73="",FALSE,TRUE))</formula>
    </cfRule>
  </conditionalFormatting>
  <conditionalFormatting sqref="DW73">
    <cfRule type="expression" dxfId="810" priority="810">
      <formula>OR(IF(DW73&lt;DX73,TRUE),IF(AND(DX73="",DW73&lt;&gt;""),TRUE))</formula>
    </cfRule>
    <cfRule type="expression" dxfId="809" priority="811">
      <formula>IF(DW73&gt;=DX73,IF(DW73="",FALSE,TRUE))</formula>
    </cfRule>
  </conditionalFormatting>
  <conditionalFormatting sqref="DY74">
    <cfRule type="expression" dxfId="808" priority="804">
      <formula>OR(IF(DY74&lt;DZ74,TRUE),IF(AND(DZ74="",DY74&lt;&gt;""),TRUE))</formula>
    </cfRule>
    <cfRule type="expression" dxfId="807" priority="805">
      <formula>IF(DY74&gt;=DZ74,IF(DY74="",FALSE,TRUE))</formula>
    </cfRule>
  </conditionalFormatting>
  <conditionalFormatting sqref="DW74">
    <cfRule type="expression" dxfId="806" priority="806">
      <formula>OR(IF(DW74&lt;DX74,TRUE),IF(AND(DX74="",DW74&lt;&gt;""),TRUE))</formula>
    </cfRule>
    <cfRule type="expression" dxfId="805" priority="807">
      <formula>IF(DW74&gt;=DX74,IF(DW74="",FALSE,TRUE))</formula>
    </cfRule>
  </conditionalFormatting>
  <conditionalFormatting sqref="DY75">
    <cfRule type="expression" dxfId="804" priority="800">
      <formula>OR(IF(DY75&lt;DZ75,TRUE),IF(AND(DZ75="",DY75&lt;&gt;""),TRUE))</formula>
    </cfRule>
    <cfRule type="expression" dxfId="803" priority="801">
      <formula>IF(DY75&gt;=DZ75,IF(DY75="",FALSE,TRUE))</formula>
    </cfRule>
  </conditionalFormatting>
  <conditionalFormatting sqref="DW75">
    <cfRule type="expression" dxfId="802" priority="802">
      <formula>OR(IF(DW75&lt;DX75,TRUE),IF(AND(DX75="",DW75&lt;&gt;""),TRUE))</formula>
    </cfRule>
    <cfRule type="expression" dxfId="801" priority="803">
      <formula>IF(DW75&gt;=DX75,IF(DW75="",FALSE,TRUE))</formula>
    </cfRule>
  </conditionalFormatting>
  <conditionalFormatting sqref="DY76">
    <cfRule type="expression" dxfId="800" priority="796">
      <formula>OR(IF(DY76&lt;DZ76,TRUE),IF(AND(DZ76="",DY76&lt;&gt;""),TRUE))</formula>
    </cfRule>
    <cfRule type="expression" dxfId="799" priority="797">
      <formula>IF(DY76&gt;=DZ76,IF(DY76="",FALSE,TRUE))</formula>
    </cfRule>
  </conditionalFormatting>
  <conditionalFormatting sqref="DW76">
    <cfRule type="expression" dxfId="798" priority="798">
      <formula>OR(IF(DW76&lt;DX76,TRUE),IF(AND(DX76="",DW76&lt;&gt;""),TRUE))</formula>
    </cfRule>
    <cfRule type="expression" dxfId="797" priority="799">
      <formula>IF(DW76&gt;=DX76,IF(DW76="",FALSE,TRUE))</formula>
    </cfRule>
  </conditionalFormatting>
  <conditionalFormatting sqref="DY80 DW80">
    <cfRule type="expression" dxfId="796" priority="794">
      <formula>OR(IF(DW80&lt;DX80,TRUE),IF(AND(DX80="",DW80&lt;&gt;""),TRUE))</formula>
    </cfRule>
    <cfRule type="expression" dxfId="795" priority="795">
      <formula>IF(DW80&gt;=DX80,IF(DW80="",FALSE,TRUE))</formula>
    </cfRule>
  </conditionalFormatting>
  <conditionalFormatting sqref="DW81:DW82">
    <cfRule type="expression" dxfId="794" priority="792">
      <formula>OR(IF(DW81&lt;DX81,TRUE),IF(AND(DX81="",DW81&lt;&gt;""),TRUE))</formula>
    </cfRule>
    <cfRule type="expression" dxfId="793" priority="793">
      <formula>IF(DW81&gt;=DX81,IF(DW81="",FALSE,TRUE))</formula>
    </cfRule>
  </conditionalFormatting>
  <conditionalFormatting sqref="DY83:DY93">
    <cfRule type="expression" dxfId="792" priority="786">
      <formula>OR(IF(DY83&lt;DZ83,TRUE),IF(AND(DZ83="",DY83&lt;&gt;""),TRUE))</formula>
    </cfRule>
    <cfRule type="expression" dxfId="791" priority="787">
      <formula>IF(DY83&gt;=DZ83,IF(DY83="",FALSE,TRUE))</formula>
    </cfRule>
  </conditionalFormatting>
  <conditionalFormatting sqref="DY81:DY82">
    <cfRule type="expression" dxfId="790" priority="790">
      <formula>OR(IF(DY81&lt;DZ81,TRUE),IF(AND(DZ81="",DY81&lt;&gt;""),TRUE))</formula>
    </cfRule>
    <cfRule type="expression" dxfId="789" priority="791">
      <formula>IF(DY81&gt;=DZ81,IF(DY81="",FALSE,TRUE))</formula>
    </cfRule>
  </conditionalFormatting>
  <conditionalFormatting sqref="DW83:DW93">
    <cfRule type="expression" dxfId="788" priority="788">
      <formula>OR(IF(DW83&lt;DX83,TRUE),IF(AND(DX83="",DW83&lt;&gt;""),TRUE))</formula>
    </cfRule>
    <cfRule type="expression" dxfId="787" priority="789">
      <formula>IF(DW83&gt;=DX83,IF(DW83="",FALSE,TRUE))</formula>
    </cfRule>
  </conditionalFormatting>
  <conditionalFormatting sqref="EF47 EF51 ED47 ED51">
    <cfRule type="expression" dxfId="786" priority="784">
      <formula>OR(IF(ED47&lt;EE47,TRUE),IF(AND(EE47="",ED47&lt;&gt;""),TRUE))</formula>
    </cfRule>
    <cfRule type="expression" dxfId="785" priority="785">
      <formula>IF(ED47&gt;=EE47,IF(ED47="",FALSE,TRUE))</formula>
    </cfRule>
  </conditionalFormatting>
  <conditionalFormatting sqref="ED5:ED19 EF5:EF19 EF24:EF32 ED24:ED32 EF37:EF46 ED37:ED46">
    <cfRule type="expression" dxfId="784" priority="782">
      <formula>OR(IF(ED5&lt;EE5,TRUE),IF(AND(EE5="",ED5&lt;&gt;""),TRUE))</formula>
    </cfRule>
    <cfRule type="expression" dxfId="783" priority="783">
      <formula>IF(ED5&gt;=EE5,IF(ED5="",FALSE,TRUE))</formula>
    </cfRule>
  </conditionalFormatting>
  <conditionalFormatting sqref="ED22:ED23">
    <cfRule type="expression" dxfId="782" priority="780">
      <formula>OR(IF(ED22&lt;EE22,TRUE),IF(AND(EE22="",ED22&lt;&gt;""),TRUE))</formula>
    </cfRule>
    <cfRule type="expression" dxfId="781" priority="781">
      <formula>IF(ED22&gt;=EE22,IF(ED22="",FALSE,TRUE))</formula>
    </cfRule>
  </conditionalFormatting>
  <conditionalFormatting sqref="EF22:EF23">
    <cfRule type="expression" dxfId="780" priority="778">
      <formula>OR(IF(EF22&lt;EG22,TRUE),IF(AND(EG22="",EF22&lt;&gt;""),TRUE))</formula>
    </cfRule>
    <cfRule type="expression" dxfId="779" priority="779">
      <formula>IF(EF22&gt;=EG22,IF(EF22="",FALSE,TRUE))</formula>
    </cfRule>
  </conditionalFormatting>
  <conditionalFormatting sqref="ED35:ED36">
    <cfRule type="expression" dxfId="778" priority="776">
      <formula>OR(IF(ED35&lt;EE35,TRUE),IF(AND(EE35="",ED35&lt;&gt;""),TRUE))</formula>
    </cfRule>
    <cfRule type="expression" dxfId="777" priority="777">
      <formula>IF(ED35&gt;=EE35,IF(ED35="",FALSE,TRUE))</formula>
    </cfRule>
  </conditionalFormatting>
  <conditionalFormatting sqref="EF35:EF36">
    <cfRule type="expression" dxfId="776" priority="774">
      <formula>OR(IF(EF35&lt;EG35,TRUE),IF(AND(EG35="",EF35&lt;&gt;""),TRUE))</formula>
    </cfRule>
    <cfRule type="expression" dxfId="775" priority="775">
      <formula>IF(EF35&gt;=EG35,IF(EF35="",FALSE,TRUE))</formula>
    </cfRule>
  </conditionalFormatting>
  <conditionalFormatting sqref="ED52:ED53">
    <cfRule type="expression" dxfId="774" priority="772">
      <formula>OR(IF(ED52&lt;EE52,TRUE),IF(AND(EE52="",ED52&lt;&gt;""),TRUE))</formula>
    </cfRule>
    <cfRule type="expression" dxfId="773" priority="773">
      <formula>IF(ED52&gt;=EE52,IF(ED52="",FALSE,TRUE))</formula>
    </cfRule>
  </conditionalFormatting>
  <conditionalFormatting sqref="EF54:EF63">
    <cfRule type="expression" dxfId="772" priority="766">
      <formula>OR(IF(EF54&lt;EG54,TRUE),IF(AND(EG54="",EF54&lt;&gt;""),TRUE))</formula>
    </cfRule>
    <cfRule type="expression" dxfId="771" priority="767">
      <formula>IF(EF54&gt;=EG54,IF(EF54="",FALSE,TRUE))</formula>
    </cfRule>
  </conditionalFormatting>
  <conditionalFormatting sqref="EF52:EF53">
    <cfRule type="expression" dxfId="770" priority="770">
      <formula>OR(IF(EF52&lt;EG52,TRUE),IF(AND(EG52="",EF52&lt;&gt;""),TRUE))</formula>
    </cfRule>
    <cfRule type="expression" dxfId="769" priority="771">
      <formula>IF(EF52&gt;=EG52,IF(EF52="",FALSE,TRUE))</formula>
    </cfRule>
  </conditionalFormatting>
  <conditionalFormatting sqref="ED54:ED63">
    <cfRule type="expression" dxfId="768" priority="768">
      <formula>OR(IF(ED54&lt;EE54,TRUE),IF(AND(EE54="",ED54&lt;&gt;""),TRUE))</formula>
    </cfRule>
    <cfRule type="expression" dxfId="767" priority="769">
      <formula>IF(ED54&gt;=EE54,IF(ED54="",FALSE,TRUE))</formula>
    </cfRule>
  </conditionalFormatting>
  <conditionalFormatting sqref="EF64">
    <cfRule type="expression" dxfId="766" priority="762">
      <formula>OR(IF(EF64&lt;EG64,TRUE),IF(AND(EG64="",EF64&lt;&gt;""),TRUE))</formula>
    </cfRule>
    <cfRule type="expression" dxfId="765" priority="763">
      <formula>IF(EF64&gt;=EG64,IF(EF64="",FALSE,TRUE))</formula>
    </cfRule>
  </conditionalFormatting>
  <conditionalFormatting sqref="ED64">
    <cfRule type="expression" dxfId="764" priority="764">
      <formula>OR(IF(ED64&lt;EE64,TRUE),IF(AND(EE64="",ED64&lt;&gt;""),TRUE))</formula>
    </cfRule>
    <cfRule type="expression" dxfId="763" priority="765">
      <formula>IF(ED64&gt;=EE64,IF(ED64="",FALSE,TRUE))</formula>
    </cfRule>
  </conditionalFormatting>
  <conditionalFormatting sqref="EF65">
    <cfRule type="expression" dxfId="762" priority="758">
      <formula>OR(IF(EF65&lt;EG65,TRUE),IF(AND(EG65="",EF65&lt;&gt;""),TRUE))</formula>
    </cfRule>
    <cfRule type="expression" dxfId="761" priority="759">
      <formula>IF(EF65&gt;=EG65,IF(EF65="",FALSE,TRUE))</formula>
    </cfRule>
  </conditionalFormatting>
  <conditionalFormatting sqref="ED65">
    <cfRule type="expression" dxfId="760" priority="760">
      <formula>OR(IF(ED65&lt;EE65,TRUE),IF(AND(EE65="",ED65&lt;&gt;""),TRUE))</formula>
    </cfRule>
    <cfRule type="expression" dxfId="759" priority="761">
      <formula>IF(ED65&gt;=EE65,IF(ED65="",FALSE,TRUE))</formula>
    </cfRule>
  </conditionalFormatting>
  <conditionalFormatting sqref="EF66">
    <cfRule type="expression" dxfId="758" priority="754">
      <formula>OR(IF(EF66&lt;EG66,TRUE),IF(AND(EG66="",EF66&lt;&gt;""),TRUE))</formula>
    </cfRule>
    <cfRule type="expression" dxfId="757" priority="755">
      <formula>IF(EF66&gt;=EG66,IF(EF66="",FALSE,TRUE))</formula>
    </cfRule>
  </conditionalFormatting>
  <conditionalFormatting sqref="ED66">
    <cfRule type="expression" dxfId="756" priority="756">
      <formula>OR(IF(ED66&lt;EE66,TRUE),IF(AND(EE66="",ED66&lt;&gt;""),TRUE))</formula>
    </cfRule>
    <cfRule type="expression" dxfId="755" priority="757">
      <formula>IF(ED66&gt;=EE66,IF(ED66="",FALSE,TRUE))</formula>
    </cfRule>
  </conditionalFormatting>
  <conditionalFormatting sqref="EF67">
    <cfRule type="expression" dxfId="754" priority="750">
      <formula>OR(IF(EF67&lt;EG67,TRUE),IF(AND(EG67="",EF67&lt;&gt;""),TRUE))</formula>
    </cfRule>
    <cfRule type="expression" dxfId="753" priority="751">
      <formula>IF(EF67&gt;=EG67,IF(EF67="",FALSE,TRUE))</formula>
    </cfRule>
  </conditionalFormatting>
  <conditionalFormatting sqref="ED67">
    <cfRule type="expression" dxfId="752" priority="752">
      <formula>OR(IF(ED67&lt;EE67,TRUE),IF(AND(EE67="",ED67&lt;&gt;""),TRUE))</formula>
    </cfRule>
    <cfRule type="expression" dxfId="751" priority="753">
      <formula>IF(ED67&gt;=EE67,IF(ED67="",FALSE,TRUE))</formula>
    </cfRule>
  </conditionalFormatting>
  <conditionalFormatting sqref="EF68">
    <cfRule type="expression" dxfId="750" priority="746">
      <formula>OR(IF(EF68&lt;EG68,TRUE),IF(AND(EG68="",EF68&lt;&gt;""),TRUE))</formula>
    </cfRule>
    <cfRule type="expression" dxfId="749" priority="747">
      <formula>IF(EF68&gt;=EG68,IF(EF68="",FALSE,TRUE))</formula>
    </cfRule>
  </conditionalFormatting>
  <conditionalFormatting sqref="ED68">
    <cfRule type="expression" dxfId="748" priority="748">
      <formula>OR(IF(ED68&lt;EE68,TRUE),IF(AND(EE68="",ED68&lt;&gt;""),TRUE))</formula>
    </cfRule>
    <cfRule type="expression" dxfId="747" priority="749">
      <formula>IF(ED68&gt;=EE68,IF(ED68="",FALSE,TRUE))</formula>
    </cfRule>
  </conditionalFormatting>
  <conditionalFormatting sqref="EF69">
    <cfRule type="expression" dxfId="746" priority="742">
      <formula>OR(IF(EF69&lt;EG69,TRUE),IF(AND(EG69="",EF69&lt;&gt;""),TRUE))</formula>
    </cfRule>
    <cfRule type="expression" dxfId="745" priority="743">
      <formula>IF(EF69&gt;=EG69,IF(EF69="",FALSE,TRUE))</formula>
    </cfRule>
  </conditionalFormatting>
  <conditionalFormatting sqref="ED69">
    <cfRule type="expression" dxfId="744" priority="744">
      <formula>OR(IF(ED69&lt;EE69,TRUE),IF(AND(EE69="",ED69&lt;&gt;""),TRUE))</formula>
    </cfRule>
    <cfRule type="expression" dxfId="743" priority="745">
      <formula>IF(ED69&gt;=EE69,IF(ED69="",FALSE,TRUE))</formula>
    </cfRule>
  </conditionalFormatting>
  <conditionalFormatting sqref="EF70">
    <cfRule type="expression" dxfId="742" priority="738">
      <formula>OR(IF(EF70&lt;EG70,TRUE),IF(AND(EG70="",EF70&lt;&gt;""),TRUE))</formula>
    </cfRule>
    <cfRule type="expression" dxfId="741" priority="739">
      <formula>IF(EF70&gt;=EG70,IF(EF70="",FALSE,TRUE))</formula>
    </cfRule>
  </conditionalFormatting>
  <conditionalFormatting sqref="ED70">
    <cfRule type="expression" dxfId="740" priority="740">
      <formula>OR(IF(ED70&lt;EE70,TRUE),IF(AND(EE70="",ED70&lt;&gt;""),TRUE))</formula>
    </cfRule>
    <cfRule type="expression" dxfId="739" priority="741">
      <formula>IF(ED70&gt;=EE70,IF(ED70="",FALSE,TRUE))</formula>
    </cfRule>
  </conditionalFormatting>
  <conditionalFormatting sqref="EF71">
    <cfRule type="expression" dxfId="738" priority="734">
      <formula>OR(IF(EF71&lt;EG71,TRUE),IF(AND(EG71="",EF71&lt;&gt;""),TRUE))</formula>
    </cfRule>
    <cfRule type="expression" dxfId="737" priority="735">
      <formula>IF(EF71&gt;=EG71,IF(EF71="",FALSE,TRUE))</formula>
    </cfRule>
  </conditionalFormatting>
  <conditionalFormatting sqref="ED71">
    <cfRule type="expression" dxfId="736" priority="736">
      <formula>OR(IF(ED71&lt;EE71,TRUE),IF(AND(EE71="",ED71&lt;&gt;""),TRUE))</formula>
    </cfRule>
    <cfRule type="expression" dxfId="735" priority="737">
      <formula>IF(ED71&gt;=EE71,IF(ED71="",FALSE,TRUE))</formula>
    </cfRule>
  </conditionalFormatting>
  <conditionalFormatting sqref="EF72">
    <cfRule type="expression" dxfId="734" priority="730">
      <formula>OR(IF(EF72&lt;EG72,TRUE),IF(AND(EG72="",EF72&lt;&gt;""),TRUE))</formula>
    </cfRule>
    <cfRule type="expression" dxfId="733" priority="731">
      <formula>IF(EF72&gt;=EG72,IF(EF72="",FALSE,TRUE))</formula>
    </cfRule>
  </conditionalFormatting>
  <conditionalFormatting sqref="ED72">
    <cfRule type="expression" dxfId="732" priority="732">
      <formula>OR(IF(ED72&lt;EE72,TRUE),IF(AND(EE72="",ED72&lt;&gt;""),TRUE))</formula>
    </cfRule>
    <cfRule type="expression" dxfId="731" priority="733">
      <formula>IF(ED72&gt;=EE72,IF(ED72="",FALSE,TRUE))</formula>
    </cfRule>
  </conditionalFormatting>
  <conditionalFormatting sqref="EF73">
    <cfRule type="expression" dxfId="730" priority="726">
      <formula>OR(IF(EF73&lt;EG73,TRUE),IF(AND(EG73="",EF73&lt;&gt;""),TRUE))</formula>
    </cfRule>
    <cfRule type="expression" dxfId="729" priority="727">
      <formula>IF(EF73&gt;=EG73,IF(EF73="",FALSE,TRUE))</formula>
    </cfRule>
  </conditionalFormatting>
  <conditionalFormatting sqref="ED73">
    <cfRule type="expression" dxfId="728" priority="728">
      <formula>OR(IF(ED73&lt;EE73,TRUE),IF(AND(EE73="",ED73&lt;&gt;""),TRUE))</formula>
    </cfRule>
    <cfRule type="expression" dxfId="727" priority="729">
      <formula>IF(ED73&gt;=EE73,IF(ED73="",FALSE,TRUE))</formula>
    </cfRule>
  </conditionalFormatting>
  <conditionalFormatting sqref="EF74">
    <cfRule type="expression" dxfId="726" priority="722">
      <formula>OR(IF(EF74&lt;EG74,TRUE),IF(AND(EG74="",EF74&lt;&gt;""),TRUE))</formula>
    </cfRule>
    <cfRule type="expression" dxfId="725" priority="723">
      <formula>IF(EF74&gt;=EG74,IF(EF74="",FALSE,TRUE))</formula>
    </cfRule>
  </conditionalFormatting>
  <conditionalFormatting sqref="ED74">
    <cfRule type="expression" dxfId="724" priority="724">
      <formula>OR(IF(ED74&lt;EE74,TRUE),IF(AND(EE74="",ED74&lt;&gt;""),TRUE))</formula>
    </cfRule>
    <cfRule type="expression" dxfId="723" priority="725">
      <formula>IF(ED74&gt;=EE74,IF(ED74="",FALSE,TRUE))</formula>
    </cfRule>
  </conditionalFormatting>
  <conditionalFormatting sqref="EF75">
    <cfRule type="expression" dxfId="722" priority="718">
      <formula>OR(IF(EF75&lt;EG75,TRUE),IF(AND(EG75="",EF75&lt;&gt;""),TRUE))</formula>
    </cfRule>
    <cfRule type="expression" dxfId="721" priority="719">
      <formula>IF(EF75&gt;=EG75,IF(EF75="",FALSE,TRUE))</formula>
    </cfRule>
  </conditionalFormatting>
  <conditionalFormatting sqref="ED75">
    <cfRule type="expression" dxfId="720" priority="720">
      <formula>OR(IF(ED75&lt;EE75,TRUE),IF(AND(EE75="",ED75&lt;&gt;""),TRUE))</formula>
    </cfRule>
    <cfRule type="expression" dxfId="719" priority="721">
      <formula>IF(ED75&gt;=EE75,IF(ED75="",FALSE,TRUE))</formula>
    </cfRule>
  </conditionalFormatting>
  <conditionalFormatting sqref="EF76">
    <cfRule type="expression" dxfId="718" priority="714">
      <formula>OR(IF(EF76&lt;EG76,TRUE),IF(AND(EG76="",EF76&lt;&gt;""),TRUE))</formula>
    </cfRule>
    <cfRule type="expression" dxfId="717" priority="715">
      <formula>IF(EF76&gt;=EG76,IF(EF76="",FALSE,TRUE))</formula>
    </cfRule>
  </conditionalFormatting>
  <conditionalFormatting sqref="ED76">
    <cfRule type="expression" dxfId="716" priority="716">
      <formula>OR(IF(ED76&lt;EE76,TRUE),IF(AND(EE76="",ED76&lt;&gt;""),TRUE))</formula>
    </cfRule>
    <cfRule type="expression" dxfId="715" priority="717">
      <formula>IF(ED76&gt;=EE76,IF(ED76="",FALSE,TRUE))</formula>
    </cfRule>
  </conditionalFormatting>
  <conditionalFormatting sqref="EF80 ED80">
    <cfRule type="expression" dxfId="714" priority="712">
      <formula>OR(IF(ED80&lt;EE80,TRUE),IF(AND(EE80="",ED80&lt;&gt;""),TRUE))</formula>
    </cfRule>
    <cfRule type="expression" dxfId="713" priority="713">
      <formula>IF(ED80&gt;=EE80,IF(ED80="",FALSE,TRUE))</formula>
    </cfRule>
  </conditionalFormatting>
  <conditionalFormatting sqref="ED81:ED82">
    <cfRule type="expression" dxfId="712" priority="710">
      <formula>OR(IF(ED81&lt;EE81,TRUE),IF(AND(EE81="",ED81&lt;&gt;""),TRUE))</formula>
    </cfRule>
    <cfRule type="expression" dxfId="711" priority="711">
      <formula>IF(ED81&gt;=EE81,IF(ED81="",FALSE,TRUE))</formula>
    </cfRule>
  </conditionalFormatting>
  <conditionalFormatting sqref="EF83:EF93">
    <cfRule type="expression" dxfId="710" priority="704">
      <formula>OR(IF(EF83&lt;EG83,TRUE),IF(AND(EG83="",EF83&lt;&gt;""),TRUE))</formula>
    </cfRule>
    <cfRule type="expression" dxfId="709" priority="705">
      <formula>IF(EF83&gt;=EG83,IF(EF83="",FALSE,TRUE))</formula>
    </cfRule>
  </conditionalFormatting>
  <conditionalFormatting sqref="EF81:EF82">
    <cfRule type="expression" dxfId="708" priority="708">
      <formula>OR(IF(EF81&lt;EG81,TRUE),IF(AND(EG81="",EF81&lt;&gt;""),TRUE))</formula>
    </cfRule>
    <cfRule type="expression" dxfId="707" priority="709">
      <formula>IF(EF81&gt;=EG81,IF(EF81="",FALSE,TRUE))</formula>
    </cfRule>
  </conditionalFormatting>
  <conditionalFormatting sqref="ED83:ED93">
    <cfRule type="expression" dxfId="706" priority="706">
      <formula>OR(IF(ED83&lt;EE83,TRUE),IF(AND(EE83="",ED83&lt;&gt;""),TRUE))</formula>
    </cfRule>
    <cfRule type="expression" dxfId="705" priority="707">
      <formula>IF(ED83&gt;=EE83,IF(ED83="",FALSE,TRUE))</formula>
    </cfRule>
  </conditionalFormatting>
  <conditionalFormatting sqref="EM47 EM51 EK47 EK51">
    <cfRule type="expression" dxfId="704" priority="702">
      <formula>OR(IF(EK47&lt;EL47,TRUE),IF(AND(EL47="",EK47&lt;&gt;""),TRUE))</formula>
    </cfRule>
    <cfRule type="expression" dxfId="703" priority="703">
      <formula>IF(EK47&gt;=EL47,IF(EK47="",FALSE,TRUE))</formula>
    </cfRule>
  </conditionalFormatting>
  <conditionalFormatting sqref="EK5:EK19 EM5:EM19 EM24:EM32 EK24:EK32 EM37:EM46 EK37:EK46">
    <cfRule type="expression" dxfId="702" priority="700">
      <formula>OR(IF(EK5&lt;EL5,TRUE),IF(AND(EL5="",EK5&lt;&gt;""),TRUE))</formula>
    </cfRule>
    <cfRule type="expression" dxfId="701" priority="701">
      <formula>IF(EK5&gt;=EL5,IF(EK5="",FALSE,TRUE))</formula>
    </cfRule>
  </conditionalFormatting>
  <conditionalFormatting sqref="EK22:EK23">
    <cfRule type="expression" dxfId="700" priority="698">
      <formula>OR(IF(EK22&lt;EL22,TRUE),IF(AND(EL22="",EK22&lt;&gt;""),TRUE))</formula>
    </cfRule>
    <cfRule type="expression" dxfId="699" priority="699">
      <formula>IF(EK22&gt;=EL22,IF(EK22="",FALSE,TRUE))</formula>
    </cfRule>
  </conditionalFormatting>
  <conditionalFormatting sqref="EM22:EM23">
    <cfRule type="expression" dxfId="698" priority="696">
      <formula>OR(IF(EM22&lt;EN22,TRUE),IF(AND(EN22="",EM22&lt;&gt;""),TRUE))</formula>
    </cfRule>
    <cfRule type="expression" dxfId="697" priority="697">
      <formula>IF(EM22&gt;=EN22,IF(EM22="",FALSE,TRUE))</formula>
    </cfRule>
  </conditionalFormatting>
  <conditionalFormatting sqref="EK35:EK36">
    <cfRule type="expression" dxfId="696" priority="694">
      <formula>OR(IF(EK35&lt;EL35,TRUE),IF(AND(EL35="",EK35&lt;&gt;""),TRUE))</formula>
    </cfRule>
    <cfRule type="expression" dxfId="695" priority="695">
      <formula>IF(EK35&gt;=EL35,IF(EK35="",FALSE,TRUE))</formula>
    </cfRule>
  </conditionalFormatting>
  <conditionalFormatting sqref="EM35:EM36">
    <cfRule type="expression" dxfId="694" priority="692">
      <formula>OR(IF(EM35&lt;EN35,TRUE),IF(AND(EN35="",EM35&lt;&gt;""),TRUE))</formula>
    </cfRule>
    <cfRule type="expression" dxfId="693" priority="693">
      <formula>IF(EM35&gt;=EN35,IF(EM35="",FALSE,TRUE))</formula>
    </cfRule>
  </conditionalFormatting>
  <conditionalFormatting sqref="EK52:EK53">
    <cfRule type="expression" dxfId="692" priority="690">
      <formula>OR(IF(EK52&lt;EL52,TRUE),IF(AND(EL52="",EK52&lt;&gt;""),TRUE))</formula>
    </cfRule>
    <cfRule type="expression" dxfId="691" priority="691">
      <formula>IF(EK52&gt;=EL52,IF(EK52="",FALSE,TRUE))</formula>
    </cfRule>
  </conditionalFormatting>
  <conditionalFormatting sqref="EM54:EM63">
    <cfRule type="expression" dxfId="690" priority="684">
      <formula>OR(IF(EM54&lt;EN54,TRUE),IF(AND(EN54="",EM54&lt;&gt;""),TRUE))</formula>
    </cfRule>
    <cfRule type="expression" dxfId="689" priority="685">
      <formula>IF(EM54&gt;=EN54,IF(EM54="",FALSE,TRUE))</formula>
    </cfRule>
  </conditionalFormatting>
  <conditionalFormatting sqref="EM52:EM53">
    <cfRule type="expression" dxfId="688" priority="688">
      <formula>OR(IF(EM52&lt;EN52,TRUE),IF(AND(EN52="",EM52&lt;&gt;""),TRUE))</formula>
    </cfRule>
    <cfRule type="expression" dxfId="687" priority="689">
      <formula>IF(EM52&gt;=EN52,IF(EM52="",FALSE,TRUE))</formula>
    </cfRule>
  </conditionalFormatting>
  <conditionalFormatting sqref="EK54:EK63">
    <cfRule type="expression" dxfId="686" priority="686">
      <formula>OR(IF(EK54&lt;EL54,TRUE),IF(AND(EL54="",EK54&lt;&gt;""),TRUE))</formula>
    </cfRule>
    <cfRule type="expression" dxfId="685" priority="687">
      <formula>IF(EK54&gt;=EL54,IF(EK54="",FALSE,TRUE))</formula>
    </cfRule>
  </conditionalFormatting>
  <conditionalFormatting sqref="EM64">
    <cfRule type="expression" dxfId="684" priority="680">
      <formula>OR(IF(EM64&lt;EN64,TRUE),IF(AND(EN64="",EM64&lt;&gt;""),TRUE))</formula>
    </cfRule>
    <cfRule type="expression" dxfId="683" priority="681">
      <formula>IF(EM64&gt;=EN64,IF(EM64="",FALSE,TRUE))</formula>
    </cfRule>
  </conditionalFormatting>
  <conditionalFormatting sqref="EK64">
    <cfRule type="expression" dxfId="682" priority="682">
      <formula>OR(IF(EK64&lt;EL64,TRUE),IF(AND(EL64="",EK64&lt;&gt;""),TRUE))</formula>
    </cfRule>
    <cfRule type="expression" dxfId="681" priority="683">
      <formula>IF(EK64&gt;=EL64,IF(EK64="",FALSE,TRUE))</formula>
    </cfRule>
  </conditionalFormatting>
  <conditionalFormatting sqref="EM65">
    <cfRule type="expression" dxfId="680" priority="676">
      <formula>OR(IF(EM65&lt;EN65,TRUE),IF(AND(EN65="",EM65&lt;&gt;""),TRUE))</formula>
    </cfRule>
    <cfRule type="expression" dxfId="679" priority="677">
      <formula>IF(EM65&gt;=EN65,IF(EM65="",FALSE,TRUE))</formula>
    </cfRule>
  </conditionalFormatting>
  <conditionalFormatting sqref="EK65">
    <cfRule type="expression" dxfId="678" priority="678">
      <formula>OR(IF(EK65&lt;EL65,TRUE),IF(AND(EL65="",EK65&lt;&gt;""),TRUE))</formula>
    </cfRule>
    <cfRule type="expression" dxfId="677" priority="679">
      <formula>IF(EK65&gt;=EL65,IF(EK65="",FALSE,TRUE))</formula>
    </cfRule>
  </conditionalFormatting>
  <conditionalFormatting sqref="EM66">
    <cfRule type="expression" dxfId="676" priority="672">
      <formula>OR(IF(EM66&lt;EN66,TRUE),IF(AND(EN66="",EM66&lt;&gt;""),TRUE))</formula>
    </cfRule>
    <cfRule type="expression" dxfId="675" priority="673">
      <formula>IF(EM66&gt;=EN66,IF(EM66="",FALSE,TRUE))</formula>
    </cfRule>
  </conditionalFormatting>
  <conditionalFormatting sqref="EK66">
    <cfRule type="expression" dxfId="674" priority="674">
      <formula>OR(IF(EK66&lt;EL66,TRUE),IF(AND(EL66="",EK66&lt;&gt;""),TRUE))</formula>
    </cfRule>
    <cfRule type="expression" dxfId="673" priority="675">
      <formula>IF(EK66&gt;=EL66,IF(EK66="",FALSE,TRUE))</formula>
    </cfRule>
  </conditionalFormatting>
  <conditionalFormatting sqref="EM67">
    <cfRule type="expression" dxfId="672" priority="668">
      <formula>OR(IF(EM67&lt;EN67,TRUE),IF(AND(EN67="",EM67&lt;&gt;""),TRUE))</formula>
    </cfRule>
    <cfRule type="expression" dxfId="671" priority="669">
      <formula>IF(EM67&gt;=EN67,IF(EM67="",FALSE,TRUE))</formula>
    </cfRule>
  </conditionalFormatting>
  <conditionalFormatting sqref="EK67">
    <cfRule type="expression" dxfId="670" priority="670">
      <formula>OR(IF(EK67&lt;EL67,TRUE),IF(AND(EL67="",EK67&lt;&gt;""),TRUE))</formula>
    </cfRule>
    <cfRule type="expression" dxfId="669" priority="671">
      <formula>IF(EK67&gt;=EL67,IF(EK67="",FALSE,TRUE))</formula>
    </cfRule>
  </conditionalFormatting>
  <conditionalFormatting sqref="EM68">
    <cfRule type="expression" dxfId="668" priority="664">
      <formula>OR(IF(EM68&lt;EN68,TRUE),IF(AND(EN68="",EM68&lt;&gt;""),TRUE))</formula>
    </cfRule>
    <cfRule type="expression" dxfId="667" priority="665">
      <formula>IF(EM68&gt;=EN68,IF(EM68="",FALSE,TRUE))</formula>
    </cfRule>
  </conditionalFormatting>
  <conditionalFormatting sqref="EK68">
    <cfRule type="expression" dxfId="666" priority="666">
      <formula>OR(IF(EK68&lt;EL68,TRUE),IF(AND(EL68="",EK68&lt;&gt;""),TRUE))</formula>
    </cfRule>
    <cfRule type="expression" dxfId="665" priority="667">
      <formula>IF(EK68&gt;=EL68,IF(EK68="",FALSE,TRUE))</formula>
    </cfRule>
  </conditionalFormatting>
  <conditionalFormatting sqref="EM69">
    <cfRule type="expression" dxfId="664" priority="660">
      <formula>OR(IF(EM69&lt;EN69,TRUE),IF(AND(EN69="",EM69&lt;&gt;""),TRUE))</formula>
    </cfRule>
    <cfRule type="expression" dxfId="663" priority="661">
      <formula>IF(EM69&gt;=EN69,IF(EM69="",FALSE,TRUE))</formula>
    </cfRule>
  </conditionalFormatting>
  <conditionalFormatting sqref="EK69">
    <cfRule type="expression" dxfId="662" priority="662">
      <formula>OR(IF(EK69&lt;EL69,TRUE),IF(AND(EL69="",EK69&lt;&gt;""),TRUE))</formula>
    </cfRule>
    <cfRule type="expression" dxfId="661" priority="663">
      <formula>IF(EK69&gt;=EL69,IF(EK69="",FALSE,TRUE))</formula>
    </cfRule>
  </conditionalFormatting>
  <conditionalFormatting sqref="EM70">
    <cfRule type="expression" dxfId="660" priority="656">
      <formula>OR(IF(EM70&lt;EN70,TRUE),IF(AND(EN70="",EM70&lt;&gt;""),TRUE))</formula>
    </cfRule>
    <cfRule type="expression" dxfId="659" priority="657">
      <formula>IF(EM70&gt;=EN70,IF(EM70="",FALSE,TRUE))</formula>
    </cfRule>
  </conditionalFormatting>
  <conditionalFormatting sqref="EK70">
    <cfRule type="expression" dxfId="658" priority="658">
      <formula>OR(IF(EK70&lt;EL70,TRUE),IF(AND(EL70="",EK70&lt;&gt;""),TRUE))</formula>
    </cfRule>
    <cfRule type="expression" dxfId="657" priority="659">
      <formula>IF(EK70&gt;=EL70,IF(EK70="",FALSE,TRUE))</formula>
    </cfRule>
  </conditionalFormatting>
  <conditionalFormatting sqref="EM71">
    <cfRule type="expression" dxfId="656" priority="652">
      <formula>OR(IF(EM71&lt;EN71,TRUE),IF(AND(EN71="",EM71&lt;&gt;""),TRUE))</formula>
    </cfRule>
    <cfRule type="expression" dxfId="655" priority="653">
      <formula>IF(EM71&gt;=EN71,IF(EM71="",FALSE,TRUE))</formula>
    </cfRule>
  </conditionalFormatting>
  <conditionalFormatting sqref="EK71">
    <cfRule type="expression" dxfId="654" priority="654">
      <formula>OR(IF(EK71&lt;EL71,TRUE),IF(AND(EL71="",EK71&lt;&gt;""),TRUE))</formula>
    </cfRule>
    <cfRule type="expression" dxfId="653" priority="655">
      <formula>IF(EK71&gt;=EL71,IF(EK71="",FALSE,TRUE))</formula>
    </cfRule>
  </conditionalFormatting>
  <conditionalFormatting sqref="EM72">
    <cfRule type="expression" dxfId="652" priority="648">
      <formula>OR(IF(EM72&lt;EN72,TRUE),IF(AND(EN72="",EM72&lt;&gt;""),TRUE))</formula>
    </cfRule>
    <cfRule type="expression" dxfId="651" priority="649">
      <formula>IF(EM72&gt;=EN72,IF(EM72="",FALSE,TRUE))</formula>
    </cfRule>
  </conditionalFormatting>
  <conditionalFormatting sqref="EK72">
    <cfRule type="expression" dxfId="650" priority="650">
      <formula>OR(IF(EK72&lt;EL72,TRUE),IF(AND(EL72="",EK72&lt;&gt;""),TRUE))</formula>
    </cfRule>
    <cfRule type="expression" dxfId="649" priority="651">
      <formula>IF(EK72&gt;=EL72,IF(EK72="",FALSE,TRUE))</formula>
    </cfRule>
  </conditionalFormatting>
  <conditionalFormatting sqref="EM73">
    <cfRule type="expression" dxfId="648" priority="644">
      <formula>OR(IF(EM73&lt;EN73,TRUE),IF(AND(EN73="",EM73&lt;&gt;""),TRUE))</formula>
    </cfRule>
    <cfRule type="expression" dxfId="647" priority="645">
      <formula>IF(EM73&gt;=EN73,IF(EM73="",FALSE,TRUE))</formula>
    </cfRule>
  </conditionalFormatting>
  <conditionalFormatting sqref="EK73">
    <cfRule type="expression" dxfId="646" priority="646">
      <formula>OR(IF(EK73&lt;EL73,TRUE),IF(AND(EL73="",EK73&lt;&gt;""),TRUE))</formula>
    </cfRule>
    <cfRule type="expression" dxfId="645" priority="647">
      <formula>IF(EK73&gt;=EL73,IF(EK73="",FALSE,TRUE))</formula>
    </cfRule>
  </conditionalFormatting>
  <conditionalFormatting sqref="EM74">
    <cfRule type="expression" dxfId="644" priority="640">
      <formula>OR(IF(EM74&lt;EN74,TRUE),IF(AND(EN74="",EM74&lt;&gt;""),TRUE))</formula>
    </cfRule>
    <cfRule type="expression" dxfId="643" priority="641">
      <formula>IF(EM74&gt;=EN74,IF(EM74="",FALSE,TRUE))</formula>
    </cfRule>
  </conditionalFormatting>
  <conditionalFormatting sqref="EK74">
    <cfRule type="expression" dxfId="642" priority="642">
      <formula>OR(IF(EK74&lt;EL74,TRUE),IF(AND(EL74="",EK74&lt;&gt;""),TRUE))</formula>
    </cfRule>
    <cfRule type="expression" dxfId="641" priority="643">
      <formula>IF(EK74&gt;=EL74,IF(EK74="",FALSE,TRUE))</formula>
    </cfRule>
  </conditionalFormatting>
  <conditionalFormatting sqref="EM75">
    <cfRule type="expression" dxfId="640" priority="636">
      <formula>OR(IF(EM75&lt;EN75,TRUE),IF(AND(EN75="",EM75&lt;&gt;""),TRUE))</formula>
    </cfRule>
    <cfRule type="expression" dxfId="639" priority="637">
      <formula>IF(EM75&gt;=EN75,IF(EM75="",FALSE,TRUE))</formula>
    </cfRule>
  </conditionalFormatting>
  <conditionalFormatting sqref="EK75">
    <cfRule type="expression" dxfId="638" priority="638">
      <formula>OR(IF(EK75&lt;EL75,TRUE),IF(AND(EL75="",EK75&lt;&gt;""),TRUE))</formula>
    </cfRule>
    <cfRule type="expression" dxfId="637" priority="639">
      <formula>IF(EK75&gt;=EL75,IF(EK75="",FALSE,TRUE))</formula>
    </cfRule>
  </conditionalFormatting>
  <conditionalFormatting sqref="EM76">
    <cfRule type="expression" dxfId="636" priority="632">
      <formula>OR(IF(EM76&lt;EN76,TRUE),IF(AND(EN76="",EM76&lt;&gt;""),TRUE))</formula>
    </cfRule>
    <cfRule type="expression" dxfId="635" priority="633">
      <formula>IF(EM76&gt;=EN76,IF(EM76="",FALSE,TRUE))</formula>
    </cfRule>
  </conditionalFormatting>
  <conditionalFormatting sqref="EK76">
    <cfRule type="expression" dxfId="634" priority="634">
      <formula>OR(IF(EK76&lt;EL76,TRUE),IF(AND(EL76="",EK76&lt;&gt;""),TRUE))</formula>
    </cfRule>
    <cfRule type="expression" dxfId="633" priority="635">
      <formula>IF(EK76&gt;=EL76,IF(EK76="",FALSE,TRUE))</formula>
    </cfRule>
  </conditionalFormatting>
  <conditionalFormatting sqref="EM80 EK80">
    <cfRule type="expression" dxfId="632" priority="630">
      <formula>OR(IF(EK80&lt;EL80,TRUE),IF(AND(EL80="",EK80&lt;&gt;""),TRUE))</formula>
    </cfRule>
    <cfRule type="expression" dxfId="631" priority="631">
      <formula>IF(EK80&gt;=EL80,IF(EK80="",FALSE,TRUE))</formula>
    </cfRule>
  </conditionalFormatting>
  <conditionalFormatting sqref="EK81:EK82">
    <cfRule type="expression" dxfId="630" priority="628">
      <formula>OR(IF(EK81&lt;EL81,TRUE),IF(AND(EL81="",EK81&lt;&gt;""),TRUE))</formula>
    </cfRule>
    <cfRule type="expression" dxfId="629" priority="629">
      <formula>IF(EK81&gt;=EL81,IF(EK81="",FALSE,TRUE))</formula>
    </cfRule>
  </conditionalFormatting>
  <conditionalFormatting sqref="EM83:EM93">
    <cfRule type="expression" dxfId="628" priority="622">
      <formula>OR(IF(EM83&lt;EN83,TRUE),IF(AND(EN83="",EM83&lt;&gt;""),TRUE))</formula>
    </cfRule>
    <cfRule type="expression" dxfId="627" priority="623">
      <formula>IF(EM83&gt;=EN83,IF(EM83="",FALSE,TRUE))</formula>
    </cfRule>
  </conditionalFormatting>
  <conditionalFormatting sqref="EM81:EM82">
    <cfRule type="expression" dxfId="626" priority="626">
      <formula>OR(IF(EM81&lt;EN81,TRUE),IF(AND(EN81="",EM81&lt;&gt;""),TRUE))</formula>
    </cfRule>
    <cfRule type="expression" dxfId="625" priority="627">
      <formula>IF(EM81&gt;=EN81,IF(EM81="",FALSE,TRUE))</formula>
    </cfRule>
  </conditionalFormatting>
  <conditionalFormatting sqref="EK83:EK93">
    <cfRule type="expression" dxfId="624" priority="624">
      <formula>OR(IF(EK83&lt;EL83,TRUE),IF(AND(EL83="",EK83&lt;&gt;""),TRUE))</formula>
    </cfRule>
    <cfRule type="expression" dxfId="623" priority="625">
      <formula>IF(EK83&gt;=EL83,IF(EK83="",FALSE,TRUE))</formula>
    </cfRule>
  </conditionalFormatting>
  <conditionalFormatting sqref="ET47 ET51 ER47 ER51">
    <cfRule type="expression" dxfId="622" priority="620">
      <formula>OR(IF(ER47&lt;ES47,TRUE),IF(AND(ES47="",ER47&lt;&gt;""),TRUE))</formula>
    </cfRule>
    <cfRule type="expression" dxfId="621" priority="621">
      <formula>IF(ER47&gt;=ES47,IF(ER47="",FALSE,TRUE))</formula>
    </cfRule>
  </conditionalFormatting>
  <conditionalFormatting sqref="ER5:ER19 ET5:ET19 ET24:ET32 ER24:ER32 ET37:ET46 ER37:ER46">
    <cfRule type="expression" dxfId="620" priority="618">
      <formula>OR(IF(ER5&lt;ES5,TRUE),IF(AND(ES5="",ER5&lt;&gt;""),TRUE))</formula>
    </cfRule>
    <cfRule type="expression" dxfId="619" priority="619">
      <formula>IF(ER5&gt;=ES5,IF(ER5="",FALSE,TRUE))</formula>
    </cfRule>
  </conditionalFormatting>
  <conditionalFormatting sqref="ER22:ER23">
    <cfRule type="expression" dxfId="618" priority="616">
      <formula>OR(IF(ER22&lt;ES22,TRUE),IF(AND(ES22="",ER22&lt;&gt;""),TRUE))</formula>
    </cfRule>
    <cfRule type="expression" dxfId="617" priority="617">
      <formula>IF(ER22&gt;=ES22,IF(ER22="",FALSE,TRUE))</formula>
    </cfRule>
  </conditionalFormatting>
  <conditionalFormatting sqref="ET22:ET23">
    <cfRule type="expression" dxfId="616" priority="614">
      <formula>OR(IF(ET22&lt;EU22,TRUE),IF(AND(EU22="",ET22&lt;&gt;""),TRUE))</formula>
    </cfRule>
    <cfRule type="expression" dxfId="615" priority="615">
      <formula>IF(ET22&gt;=EU22,IF(ET22="",FALSE,TRUE))</formula>
    </cfRule>
  </conditionalFormatting>
  <conditionalFormatting sqref="ER35:ER36">
    <cfRule type="expression" dxfId="614" priority="612">
      <formula>OR(IF(ER35&lt;ES35,TRUE),IF(AND(ES35="",ER35&lt;&gt;""),TRUE))</formula>
    </cfRule>
    <cfRule type="expression" dxfId="613" priority="613">
      <formula>IF(ER35&gt;=ES35,IF(ER35="",FALSE,TRUE))</formula>
    </cfRule>
  </conditionalFormatting>
  <conditionalFormatting sqref="ET35:ET36">
    <cfRule type="expression" dxfId="612" priority="610">
      <formula>OR(IF(ET35&lt;EU35,TRUE),IF(AND(EU35="",ET35&lt;&gt;""),TRUE))</formula>
    </cfRule>
    <cfRule type="expression" dxfId="611" priority="611">
      <formula>IF(ET35&gt;=EU35,IF(ET35="",FALSE,TRUE))</formula>
    </cfRule>
  </conditionalFormatting>
  <conditionalFormatting sqref="ER52:ER53">
    <cfRule type="expression" dxfId="610" priority="608">
      <formula>OR(IF(ER52&lt;ES52,TRUE),IF(AND(ES52="",ER52&lt;&gt;""),TRUE))</formula>
    </cfRule>
    <cfRule type="expression" dxfId="609" priority="609">
      <formula>IF(ER52&gt;=ES52,IF(ER52="",FALSE,TRUE))</formula>
    </cfRule>
  </conditionalFormatting>
  <conditionalFormatting sqref="ET54:ET63">
    <cfRule type="expression" dxfId="608" priority="602">
      <formula>OR(IF(ET54&lt;EU54,TRUE),IF(AND(EU54="",ET54&lt;&gt;""),TRUE))</formula>
    </cfRule>
    <cfRule type="expression" dxfId="607" priority="603">
      <formula>IF(ET54&gt;=EU54,IF(ET54="",FALSE,TRUE))</formula>
    </cfRule>
  </conditionalFormatting>
  <conditionalFormatting sqref="ET52:ET53">
    <cfRule type="expression" dxfId="606" priority="606">
      <formula>OR(IF(ET52&lt;EU52,TRUE),IF(AND(EU52="",ET52&lt;&gt;""),TRUE))</formula>
    </cfRule>
    <cfRule type="expression" dxfId="605" priority="607">
      <formula>IF(ET52&gt;=EU52,IF(ET52="",FALSE,TRUE))</formula>
    </cfRule>
  </conditionalFormatting>
  <conditionalFormatting sqref="ER54:ER63">
    <cfRule type="expression" dxfId="604" priority="604">
      <formula>OR(IF(ER54&lt;ES54,TRUE),IF(AND(ES54="",ER54&lt;&gt;""),TRUE))</formula>
    </cfRule>
    <cfRule type="expression" dxfId="603" priority="605">
      <formula>IF(ER54&gt;=ES54,IF(ER54="",FALSE,TRUE))</formula>
    </cfRule>
  </conditionalFormatting>
  <conditionalFormatting sqref="ET64">
    <cfRule type="expression" dxfId="602" priority="598">
      <formula>OR(IF(ET64&lt;EU64,TRUE),IF(AND(EU64="",ET64&lt;&gt;""),TRUE))</formula>
    </cfRule>
    <cfRule type="expression" dxfId="601" priority="599">
      <formula>IF(ET64&gt;=EU64,IF(ET64="",FALSE,TRUE))</formula>
    </cfRule>
  </conditionalFormatting>
  <conditionalFormatting sqref="ER64">
    <cfRule type="expression" dxfId="600" priority="600">
      <formula>OR(IF(ER64&lt;ES64,TRUE),IF(AND(ES64="",ER64&lt;&gt;""),TRUE))</formula>
    </cfRule>
    <cfRule type="expression" dxfId="599" priority="601">
      <formula>IF(ER64&gt;=ES64,IF(ER64="",FALSE,TRUE))</formula>
    </cfRule>
  </conditionalFormatting>
  <conditionalFormatting sqref="ET65">
    <cfRule type="expression" dxfId="598" priority="594">
      <formula>OR(IF(ET65&lt;EU65,TRUE),IF(AND(EU65="",ET65&lt;&gt;""),TRUE))</formula>
    </cfRule>
    <cfRule type="expression" dxfId="597" priority="595">
      <formula>IF(ET65&gt;=EU65,IF(ET65="",FALSE,TRUE))</formula>
    </cfRule>
  </conditionalFormatting>
  <conditionalFormatting sqref="ER65">
    <cfRule type="expression" dxfId="596" priority="596">
      <formula>OR(IF(ER65&lt;ES65,TRUE),IF(AND(ES65="",ER65&lt;&gt;""),TRUE))</formula>
    </cfRule>
    <cfRule type="expression" dxfId="595" priority="597">
      <formula>IF(ER65&gt;=ES65,IF(ER65="",FALSE,TRUE))</formula>
    </cfRule>
  </conditionalFormatting>
  <conditionalFormatting sqref="ET66">
    <cfRule type="expression" dxfId="594" priority="590">
      <formula>OR(IF(ET66&lt;EU66,TRUE),IF(AND(EU66="",ET66&lt;&gt;""),TRUE))</formula>
    </cfRule>
    <cfRule type="expression" dxfId="593" priority="591">
      <formula>IF(ET66&gt;=EU66,IF(ET66="",FALSE,TRUE))</formula>
    </cfRule>
  </conditionalFormatting>
  <conditionalFormatting sqref="ER66">
    <cfRule type="expression" dxfId="592" priority="592">
      <formula>OR(IF(ER66&lt;ES66,TRUE),IF(AND(ES66="",ER66&lt;&gt;""),TRUE))</formula>
    </cfRule>
    <cfRule type="expression" dxfId="591" priority="593">
      <formula>IF(ER66&gt;=ES66,IF(ER66="",FALSE,TRUE))</formula>
    </cfRule>
  </conditionalFormatting>
  <conditionalFormatting sqref="ET67">
    <cfRule type="expression" dxfId="590" priority="586">
      <formula>OR(IF(ET67&lt;EU67,TRUE),IF(AND(EU67="",ET67&lt;&gt;""),TRUE))</formula>
    </cfRule>
    <cfRule type="expression" dxfId="589" priority="587">
      <formula>IF(ET67&gt;=EU67,IF(ET67="",FALSE,TRUE))</formula>
    </cfRule>
  </conditionalFormatting>
  <conditionalFormatting sqref="ER67">
    <cfRule type="expression" dxfId="588" priority="588">
      <formula>OR(IF(ER67&lt;ES67,TRUE),IF(AND(ES67="",ER67&lt;&gt;""),TRUE))</formula>
    </cfRule>
    <cfRule type="expression" dxfId="587" priority="589">
      <formula>IF(ER67&gt;=ES67,IF(ER67="",FALSE,TRUE))</formula>
    </cfRule>
  </conditionalFormatting>
  <conditionalFormatting sqref="ET68">
    <cfRule type="expression" dxfId="586" priority="582">
      <formula>OR(IF(ET68&lt;EU68,TRUE),IF(AND(EU68="",ET68&lt;&gt;""),TRUE))</formula>
    </cfRule>
    <cfRule type="expression" dxfId="585" priority="583">
      <formula>IF(ET68&gt;=EU68,IF(ET68="",FALSE,TRUE))</formula>
    </cfRule>
  </conditionalFormatting>
  <conditionalFormatting sqref="ER68">
    <cfRule type="expression" dxfId="584" priority="584">
      <formula>OR(IF(ER68&lt;ES68,TRUE),IF(AND(ES68="",ER68&lt;&gt;""),TRUE))</formula>
    </cfRule>
    <cfRule type="expression" dxfId="583" priority="585">
      <formula>IF(ER68&gt;=ES68,IF(ER68="",FALSE,TRUE))</formula>
    </cfRule>
  </conditionalFormatting>
  <conditionalFormatting sqref="ET69">
    <cfRule type="expression" dxfId="582" priority="578">
      <formula>OR(IF(ET69&lt;EU69,TRUE),IF(AND(EU69="",ET69&lt;&gt;""),TRUE))</formula>
    </cfRule>
    <cfRule type="expression" dxfId="581" priority="579">
      <formula>IF(ET69&gt;=EU69,IF(ET69="",FALSE,TRUE))</formula>
    </cfRule>
  </conditionalFormatting>
  <conditionalFormatting sqref="ER69">
    <cfRule type="expression" dxfId="580" priority="580">
      <formula>OR(IF(ER69&lt;ES69,TRUE),IF(AND(ES69="",ER69&lt;&gt;""),TRUE))</formula>
    </cfRule>
    <cfRule type="expression" dxfId="579" priority="581">
      <formula>IF(ER69&gt;=ES69,IF(ER69="",FALSE,TRUE))</formula>
    </cfRule>
  </conditionalFormatting>
  <conditionalFormatting sqref="ET70">
    <cfRule type="expression" dxfId="578" priority="574">
      <formula>OR(IF(ET70&lt;EU70,TRUE),IF(AND(EU70="",ET70&lt;&gt;""),TRUE))</formula>
    </cfRule>
    <cfRule type="expression" dxfId="577" priority="575">
      <formula>IF(ET70&gt;=EU70,IF(ET70="",FALSE,TRUE))</formula>
    </cfRule>
  </conditionalFormatting>
  <conditionalFormatting sqref="ER70">
    <cfRule type="expression" dxfId="576" priority="576">
      <formula>OR(IF(ER70&lt;ES70,TRUE),IF(AND(ES70="",ER70&lt;&gt;""),TRUE))</formula>
    </cfRule>
    <cfRule type="expression" dxfId="575" priority="577">
      <formula>IF(ER70&gt;=ES70,IF(ER70="",FALSE,TRUE))</formula>
    </cfRule>
  </conditionalFormatting>
  <conditionalFormatting sqref="ET71">
    <cfRule type="expression" dxfId="574" priority="570">
      <formula>OR(IF(ET71&lt;EU71,TRUE),IF(AND(EU71="",ET71&lt;&gt;""),TRUE))</formula>
    </cfRule>
    <cfRule type="expression" dxfId="573" priority="571">
      <formula>IF(ET71&gt;=EU71,IF(ET71="",FALSE,TRUE))</formula>
    </cfRule>
  </conditionalFormatting>
  <conditionalFormatting sqref="ER71">
    <cfRule type="expression" dxfId="572" priority="572">
      <formula>OR(IF(ER71&lt;ES71,TRUE),IF(AND(ES71="",ER71&lt;&gt;""),TRUE))</formula>
    </cfRule>
    <cfRule type="expression" dxfId="571" priority="573">
      <formula>IF(ER71&gt;=ES71,IF(ER71="",FALSE,TRUE))</formula>
    </cfRule>
  </conditionalFormatting>
  <conditionalFormatting sqref="ET72">
    <cfRule type="expression" dxfId="570" priority="566">
      <formula>OR(IF(ET72&lt;EU72,TRUE),IF(AND(EU72="",ET72&lt;&gt;""),TRUE))</formula>
    </cfRule>
    <cfRule type="expression" dxfId="569" priority="567">
      <formula>IF(ET72&gt;=EU72,IF(ET72="",FALSE,TRUE))</formula>
    </cfRule>
  </conditionalFormatting>
  <conditionalFormatting sqref="ER72">
    <cfRule type="expression" dxfId="568" priority="568">
      <formula>OR(IF(ER72&lt;ES72,TRUE),IF(AND(ES72="",ER72&lt;&gt;""),TRUE))</formula>
    </cfRule>
    <cfRule type="expression" dxfId="567" priority="569">
      <formula>IF(ER72&gt;=ES72,IF(ER72="",FALSE,TRUE))</formula>
    </cfRule>
  </conditionalFormatting>
  <conditionalFormatting sqref="ET73">
    <cfRule type="expression" dxfId="566" priority="562">
      <formula>OR(IF(ET73&lt;EU73,TRUE),IF(AND(EU73="",ET73&lt;&gt;""),TRUE))</formula>
    </cfRule>
    <cfRule type="expression" dxfId="565" priority="563">
      <formula>IF(ET73&gt;=EU73,IF(ET73="",FALSE,TRUE))</formula>
    </cfRule>
  </conditionalFormatting>
  <conditionalFormatting sqref="ER73">
    <cfRule type="expression" dxfId="564" priority="564">
      <formula>OR(IF(ER73&lt;ES73,TRUE),IF(AND(ES73="",ER73&lt;&gt;""),TRUE))</formula>
    </cfRule>
    <cfRule type="expression" dxfId="563" priority="565">
      <formula>IF(ER73&gt;=ES73,IF(ER73="",FALSE,TRUE))</formula>
    </cfRule>
  </conditionalFormatting>
  <conditionalFormatting sqref="ET74">
    <cfRule type="expression" dxfId="562" priority="558">
      <formula>OR(IF(ET74&lt;EU74,TRUE),IF(AND(EU74="",ET74&lt;&gt;""),TRUE))</formula>
    </cfRule>
    <cfRule type="expression" dxfId="561" priority="559">
      <formula>IF(ET74&gt;=EU74,IF(ET74="",FALSE,TRUE))</formula>
    </cfRule>
  </conditionalFormatting>
  <conditionalFormatting sqref="ER74">
    <cfRule type="expression" dxfId="560" priority="560">
      <formula>OR(IF(ER74&lt;ES74,TRUE),IF(AND(ES74="",ER74&lt;&gt;""),TRUE))</formula>
    </cfRule>
    <cfRule type="expression" dxfId="559" priority="561">
      <formula>IF(ER74&gt;=ES74,IF(ER74="",FALSE,TRUE))</formula>
    </cfRule>
  </conditionalFormatting>
  <conditionalFormatting sqref="ET75">
    <cfRule type="expression" dxfId="558" priority="554">
      <formula>OR(IF(ET75&lt;EU75,TRUE),IF(AND(EU75="",ET75&lt;&gt;""),TRUE))</formula>
    </cfRule>
    <cfRule type="expression" dxfId="557" priority="555">
      <formula>IF(ET75&gt;=EU75,IF(ET75="",FALSE,TRUE))</formula>
    </cfRule>
  </conditionalFormatting>
  <conditionalFormatting sqref="ER75">
    <cfRule type="expression" dxfId="556" priority="556">
      <formula>OR(IF(ER75&lt;ES75,TRUE),IF(AND(ES75="",ER75&lt;&gt;""),TRUE))</formula>
    </cfRule>
    <cfRule type="expression" dxfId="555" priority="557">
      <formula>IF(ER75&gt;=ES75,IF(ER75="",FALSE,TRUE))</formula>
    </cfRule>
  </conditionalFormatting>
  <conditionalFormatting sqref="ET76">
    <cfRule type="expression" dxfId="554" priority="550">
      <formula>OR(IF(ET76&lt;EU76,TRUE),IF(AND(EU76="",ET76&lt;&gt;""),TRUE))</formula>
    </cfRule>
    <cfRule type="expression" dxfId="553" priority="551">
      <formula>IF(ET76&gt;=EU76,IF(ET76="",FALSE,TRUE))</formula>
    </cfRule>
  </conditionalFormatting>
  <conditionalFormatting sqref="ER76">
    <cfRule type="expression" dxfId="552" priority="552">
      <formula>OR(IF(ER76&lt;ES76,TRUE),IF(AND(ES76="",ER76&lt;&gt;""),TRUE))</formula>
    </cfRule>
    <cfRule type="expression" dxfId="551" priority="553">
      <formula>IF(ER76&gt;=ES76,IF(ER76="",FALSE,TRUE))</formula>
    </cfRule>
  </conditionalFormatting>
  <conditionalFormatting sqref="ET80 ER80">
    <cfRule type="expression" dxfId="550" priority="548">
      <formula>OR(IF(ER80&lt;ES80,TRUE),IF(AND(ES80="",ER80&lt;&gt;""),TRUE))</formula>
    </cfRule>
    <cfRule type="expression" dxfId="549" priority="549">
      <formula>IF(ER80&gt;=ES80,IF(ER80="",FALSE,TRUE))</formula>
    </cfRule>
  </conditionalFormatting>
  <conditionalFormatting sqref="ER81:ER82">
    <cfRule type="expression" dxfId="548" priority="546">
      <formula>OR(IF(ER81&lt;ES81,TRUE),IF(AND(ES81="",ER81&lt;&gt;""),TRUE))</formula>
    </cfRule>
    <cfRule type="expression" dxfId="547" priority="547">
      <formula>IF(ER81&gt;=ES81,IF(ER81="",FALSE,TRUE))</formula>
    </cfRule>
  </conditionalFormatting>
  <conditionalFormatting sqref="ET83:ET93">
    <cfRule type="expression" dxfId="546" priority="540">
      <formula>OR(IF(ET83&lt;EU83,TRUE),IF(AND(EU83="",ET83&lt;&gt;""),TRUE))</formula>
    </cfRule>
    <cfRule type="expression" dxfId="545" priority="541">
      <formula>IF(ET83&gt;=EU83,IF(ET83="",FALSE,TRUE))</formula>
    </cfRule>
  </conditionalFormatting>
  <conditionalFormatting sqref="ET81:ET82">
    <cfRule type="expression" dxfId="544" priority="544">
      <formula>OR(IF(ET81&lt;EU81,TRUE),IF(AND(EU81="",ET81&lt;&gt;""),TRUE))</formula>
    </cfRule>
    <cfRule type="expression" dxfId="543" priority="545">
      <formula>IF(ET81&gt;=EU81,IF(ET81="",FALSE,TRUE))</formula>
    </cfRule>
  </conditionalFormatting>
  <conditionalFormatting sqref="ER83:ER93">
    <cfRule type="expression" dxfId="542" priority="542">
      <formula>OR(IF(ER83&lt;ES83,TRUE),IF(AND(ES83="",ER83&lt;&gt;""),TRUE))</formula>
    </cfRule>
    <cfRule type="expression" dxfId="541" priority="543">
      <formula>IF(ER83&gt;=ES83,IF(ER83="",FALSE,TRUE))</formula>
    </cfRule>
  </conditionalFormatting>
  <conditionalFormatting sqref="FA47 FA51 EY47 EY51">
    <cfRule type="expression" dxfId="540" priority="538">
      <formula>OR(IF(EY47&lt;EZ47,TRUE),IF(AND(EZ47="",EY47&lt;&gt;""),TRUE))</formula>
    </cfRule>
    <cfRule type="expression" dxfId="539" priority="539">
      <formula>IF(EY47&gt;=EZ47,IF(EY47="",FALSE,TRUE))</formula>
    </cfRule>
  </conditionalFormatting>
  <conditionalFormatting sqref="EY18:EY19 FA18:FA19 FA24:FA32 EY24:EY32 FA37:FA46 EY37:EY46">
    <cfRule type="expression" dxfId="538" priority="536">
      <formula>OR(IF(EY18&lt;EZ18,TRUE),IF(AND(EZ18="",EY18&lt;&gt;""),TRUE))</formula>
    </cfRule>
    <cfRule type="expression" dxfId="537" priority="537">
      <formula>IF(EY18&gt;=EZ18,IF(EY18="",FALSE,TRUE))</formula>
    </cfRule>
  </conditionalFormatting>
  <conditionalFormatting sqref="EY22:EY23">
    <cfRule type="expression" dxfId="536" priority="534">
      <formula>OR(IF(EY22&lt;EZ22,TRUE),IF(AND(EZ22="",EY22&lt;&gt;""),TRUE))</formula>
    </cfRule>
    <cfRule type="expression" dxfId="535" priority="535">
      <formula>IF(EY22&gt;=EZ22,IF(EY22="",FALSE,TRUE))</formula>
    </cfRule>
  </conditionalFormatting>
  <conditionalFormatting sqref="FA22:FA23">
    <cfRule type="expression" dxfId="534" priority="532">
      <formula>OR(IF(FA22&lt;FB22,TRUE),IF(AND(FB22="",FA22&lt;&gt;""),TRUE))</formula>
    </cfRule>
    <cfRule type="expression" dxfId="533" priority="533">
      <formula>IF(FA22&gt;=FB22,IF(FA22="",FALSE,TRUE))</formula>
    </cfRule>
  </conditionalFormatting>
  <conditionalFormatting sqref="EY35:EY36">
    <cfRule type="expression" dxfId="532" priority="530">
      <formula>OR(IF(EY35&lt;EZ35,TRUE),IF(AND(EZ35="",EY35&lt;&gt;""),TRUE))</formula>
    </cfRule>
    <cfRule type="expression" dxfId="531" priority="531">
      <formula>IF(EY35&gt;=EZ35,IF(EY35="",FALSE,TRUE))</formula>
    </cfRule>
  </conditionalFormatting>
  <conditionalFormatting sqref="FA35:FA36">
    <cfRule type="expression" dxfId="530" priority="528">
      <formula>OR(IF(FA35&lt;FB35,TRUE),IF(AND(FB35="",FA35&lt;&gt;""),TRUE))</formula>
    </cfRule>
    <cfRule type="expression" dxfId="529" priority="529">
      <formula>IF(FA35&gt;=FB35,IF(FA35="",FALSE,TRUE))</formula>
    </cfRule>
  </conditionalFormatting>
  <conditionalFormatting sqref="EY52:EY53">
    <cfRule type="expression" dxfId="528" priority="526">
      <formula>OR(IF(EY52&lt;EZ52,TRUE),IF(AND(EZ52="",EY52&lt;&gt;""),TRUE))</formula>
    </cfRule>
    <cfRule type="expression" dxfId="527" priority="527">
      <formula>IF(EY52&gt;=EZ52,IF(EY52="",FALSE,TRUE))</formula>
    </cfRule>
  </conditionalFormatting>
  <conditionalFormatting sqref="FA54:FA63">
    <cfRule type="expression" dxfId="526" priority="520">
      <formula>OR(IF(FA54&lt;FB54,TRUE),IF(AND(FB54="",FA54&lt;&gt;""),TRUE))</formula>
    </cfRule>
    <cfRule type="expression" dxfId="525" priority="521">
      <formula>IF(FA54&gt;=FB54,IF(FA54="",FALSE,TRUE))</formula>
    </cfRule>
  </conditionalFormatting>
  <conditionalFormatting sqref="FA52:FA53">
    <cfRule type="expression" dxfId="524" priority="524">
      <formula>OR(IF(FA52&lt;FB52,TRUE),IF(AND(FB52="",FA52&lt;&gt;""),TRUE))</formula>
    </cfRule>
    <cfRule type="expression" dxfId="523" priority="525">
      <formula>IF(FA52&gt;=FB52,IF(FA52="",FALSE,TRUE))</formula>
    </cfRule>
  </conditionalFormatting>
  <conditionalFormatting sqref="EY54:EY63">
    <cfRule type="expression" dxfId="522" priority="522">
      <formula>OR(IF(EY54&lt;EZ54,TRUE),IF(AND(EZ54="",EY54&lt;&gt;""),TRUE))</formula>
    </cfRule>
    <cfRule type="expression" dxfId="521" priority="523">
      <formula>IF(EY54&gt;=EZ54,IF(EY54="",FALSE,TRUE))</formula>
    </cfRule>
  </conditionalFormatting>
  <conditionalFormatting sqref="FA64">
    <cfRule type="expression" dxfId="520" priority="516">
      <formula>OR(IF(FA64&lt;FB64,TRUE),IF(AND(FB64="",FA64&lt;&gt;""),TRUE))</formula>
    </cfRule>
    <cfRule type="expression" dxfId="519" priority="517">
      <formula>IF(FA64&gt;=FB64,IF(FA64="",FALSE,TRUE))</formula>
    </cfRule>
  </conditionalFormatting>
  <conditionalFormatting sqref="EY64">
    <cfRule type="expression" dxfId="518" priority="518">
      <formula>OR(IF(EY64&lt;EZ64,TRUE),IF(AND(EZ64="",EY64&lt;&gt;""),TRUE))</formula>
    </cfRule>
    <cfRule type="expression" dxfId="517" priority="519">
      <formula>IF(EY64&gt;=EZ64,IF(EY64="",FALSE,TRUE))</formula>
    </cfRule>
  </conditionalFormatting>
  <conditionalFormatting sqref="FA65">
    <cfRule type="expression" dxfId="516" priority="512">
      <formula>OR(IF(FA65&lt;FB65,TRUE),IF(AND(FB65="",FA65&lt;&gt;""),TRUE))</formula>
    </cfRule>
    <cfRule type="expression" dxfId="515" priority="513">
      <formula>IF(FA65&gt;=FB65,IF(FA65="",FALSE,TRUE))</formula>
    </cfRule>
  </conditionalFormatting>
  <conditionalFormatting sqref="EY65">
    <cfRule type="expression" dxfId="514" priority="514">
      <formula>OR(IF(EY65&lt;EZ65,TRUE),IF(AND(EZ65="",EY65&lt;&gt;""),TRUE))</formula>
    </cfRule>
    <cfRule type="expression" dxfId="513" priority="515">
      <formula>IF(EY65&gt;=EZ65,IF(EY65="",FALSE,TRUE))</formula>
    </cfRule>
  </conditionalFormatting>
  <conditionalFormatting sqref="FA66">
    <cfRule type="expression" dxfId="512" priority="508">
      <formula>OR(IF(FA66&lt;FB66,TRUE),IF(AND(FB66="",FA66&lt;&gt;""),TRUE))</formula>
    </cfRule>
    <cfRule type="expression" dxfId="511" priority="509">
      <formula>IF(FA66&gt;=FB66,IF(FA66="",FALSE,TRUE))</formula>
    </cfRule>
  </conditionalFormatting>
  <conditionalFormatting sqref="EY66">
    <cfRule type="expression" dxfId="510" priority="510">
      <formula>OR(IF(EY66&lt;EZ66,TRUE),IF(AND(EZ66="",EY66&lt;&gt;""),TRUE))</formula>
    </cfRule>
    <cfRule type="expression" dxfId="509" priority="511">
      <formula>IF(EY66&gt;=EZ66,IF(EY66="",FALSE,TRUE))</formula>
    </cfRule>
  </conditionalFormatting>
  <conditionalFormatting sqref="FA67">
    <cfRule type="expression" dxfId="508" priority="504">
      <formula>OR(IF(FA67&lt;FB67,TRUE),IF(AND(FB67="",FA67&lt;&gt;""),TRUE))</formula>
    </cfRule>
    <cfRule type="expression" dxfId="507" priority="505">
      <formula>IF(FA67&gt;=FB67,IF(FA67="",FALSE,TRUE))</formula>
    </cfRule>
  </conditionalFormatting>
  <conditionalFormatting sqref="EY67">
    <cfRule type="expression" dxfId="506" priority="506">
      <formula>OR(IF(EY67&lt;EZ67,TRUE),IF(AND(EZ67="",EY67&lt;&gt;""),TRUE))</formula>
    </cfRule>
    <cfRule type="expression" dxfId="505" priority="507">
      <formula>IF(EY67&gt;=EZ67,IF(EY67="",FALSE,TRUE))</formula>
    </cfRule>
  </conditionalFormatting>
  <conditionalFormatting sqref="FA68">
    <cfRule type="expression" dxfId="504" priority="500">
      <formula>OR(IF(FA68&lt;FB68,TRUE),IF(AND(FB68="",FA68&lt;&gt;""),TRUE))</formula>
    </cfRule>
    <cfRule type="expression" dxfId="503" priority="501">
      <formula>IF(FA68&gt;=FB68,IF(FA68="",FALSE,TRUE))</formula>
    </cfRule>
  </conditionalFormatting>
  <conditionalFormatting sqref="EY68">
    <cfRule type="expression" dxfId="502" priority="502">
      <formula>OR(IF(EY68&lt;EZ68,TRUE),IF(AND(EZ68="",EY68&lt;&gt;""),TRUE))</formula>
    </cfRule>
    <cfRule type="expression" dxfId="501" priority="503">
      <formula>IF(EY68&gt;=EZ68,IF(EY68="",FALSE,TRUE))</formula>
    </cfRule>
  </conditionalFormatting>
  <conditionalFormatting sqref="FA69">
    <cfRule type="expression" dxfId="500" priority="496">
      <formula>OR(IF(FA69&lt;FB69,TRUE),IF(AND(FB69="",FA69&lt;&gt;""),TRUE))</formula>
    </cfRule>
    <cfRule type="expression" dxfId="499" priority="497">
      <formula>IF(FA69&gt;=FB69,IF(FA69="",FALSE,TRUE))</formula>
    </cfRule>
  </conditionalFormatting>
  <conditionalFormatting sqref="EY69">
    <cfRule type="expression" dxfId="498" priority="498">
      <formula>OR(IF(EY69&lt;EZ69,TRUE),IF(AND(EZ69="",EY69&lt;&gt;""),TRUE))</formula>
    </cfRule>
    <cfRule type="expression" dxfId="497" priority="499">
      <formula>IF(EY69&gt;=EZ69,IF(EY69="",FALSE,TRUE))</formula>
    </cfRule>
  </conditionalFormatting>
  <conditionalFormatting sqref="FA70">
    <cfRule type="expression" dxfId="496" priority="492">
      <formula>OR(IF(FA70&lt;FB70,TRUE),IF(AND(FB70="",FA70&lt;&gt;""),TRUE))</formula>
    </cfRule>
    <cfRule type="expression" dxfId="495" priority="493">
      <formula>IF(FA70&gt;=FB70,IF(FA70="",FALSE,TRUE))</formula>
    </cfRule>
  </conditionalFormatting>
  <conditionalFormatting sqref="EY70">
    <cfRule type="expression" dxfId="494" priority="494">
      <formula>OR(IF(EY70&lt;EZ70,TRUE),IF(AND(EZ70="",EY70&lt;&gt;""),TRUE))</formula>
    </cfRule>
    <cfRule type="expression" dxfId="493" priority="495">
      <formula>IF(EY70&gt;=EZ70,IF(EY70="",FALSE,TRUE))</formula>
    </cfRule>
  </conditionalFormatting>
  <conditionalFormatting sqref="FA71">
    <cfRule type="expression" dxfId="492" priority="488">
      <formula>OR(IF(FA71&lt;FB71,TRUE),IF(AND(FB71="",FA71&lt;&gt;""),TRUE))</formula>
    </cfRule>
    <cfRule type="expression" dxfId="491" priority="489">
      <formula>IF(FA71&gt;=FB71,IF(FA71="",FALSE,TRUE))</formula>
    </cfRule>
  </conditionalFormatting>
  <conditionalFormatting sqref="EY71">
    <cfRule type="expression" dxfId="490" priority="490">
      <formula>OR(IF(EY71&lt;EZ71,TRUE),IF(AND(EZ71="",EY71&lt;&gt;""),TRUE))</formula>
    </cfRule>
    <cfRule type="expression" dxfId="489" priority="491">
      <formula>IF(EY71&gt;=EZ71,IF(EY71="",FALSE,TRUE))</formula>
    </cfRule>
  </conditionalFormatting>
  <conditionalFormatting sqref="FA72">
    <cfRule type="expression" dxfId="488" priority="484">
      <formula>OR(IF(FA72&lt;FB72,TRUE),IF(AND(FB72="",FA72&lt;&gt;""),TRUE))</formula>
    </cfRule>
    <cfRule type="expression" dxfId="487" priority="485">
      <formula>IF(FA72&gt;=FB72,IF(FA72="",FALSE,TRUE))</formula>
    </cfRule>
  </conditionalFormatting>
  <conditionalFormatting sqref="EY72">
    <cfRule type="expression" dxfId="486" priority="486">
      <formula>OR(IF(EY72&lt;EZ72,TRUE),IF(AND(EZ72="",EY72&lt;&gt;""),TRUE))</formula>
    </cfRule>
    <cfRule type="expression" dxfId="485" priority="487">
      <formula>IF(EY72&gt;=EZ72,IF(EY72="",FALSE,TRUE))</formula>
    </cfRule>
  </conditionalFormatting>
  <conditionalFormatting sqref="FA73">
    <cfRule type="expression" dxfId="484" priority="480">
      <formula>OR(IF(FA73&lt;FB73,TRUE),IF(AND(FB73="",FA73&lt;&gt;""),TRUE))</formula>
    </cfRule>
    <cfRule type="expression" dxfId="483" priority="481">
      <formula>IF(FA73&gt;=FB73,IF(FA73="",FALSE,TRUE))</formula>
    </cfRule>
  </conditionalFormatting>
  <conditionalFormatting sqref="EY73">
    <cfRule type="expression" dxfId="482" priority="482">
      <formula>OR(IF(EY73&lt;EZ73,TRUE),IF(AND(EZ73="",EY73&lt;&gt;""),TRUE))</formula>
    </cfRule>
    <cfRule type="expression" dxfId="481" priority="483">
      <formula>IF(EY73&gt;=EZ73,IF(EY73="",FALSE,TRUE))</formula>
    </cfRule>
  </conditionalFormatting>
  <conditionalFormatting sqref="FA74">
    <cfRule type="expression" dxfId="480" priority="476">
      <formula>OR(IF(FA74&lt;FB74,TRUE),IF(AND(FB74="",FA74&lt;&gt;""),TRUE))</formula>
    </cfRule>
    <cfRule type="expression" dxfId="479" priority="477">
      <formula>IF(FA74&gt;=FB74,IF(FA74="",FALSE,TRUE))</formula>
    </cfRule>
  </conditionalFormatting>
  <conditionalFormatting sqref="EY74">
    <cfRule type="expression" dxfId="478" priority="478">
      <formula>OR(IF(EY74&lt;EZ74,TRUE),IF(AND(EZ74="",EY74&lt;&gt;""),TRUE))</formula>
    </cfRule>
    <cfRule type="expression" dxfId="477" priority="479">
      <formula>IF(EY74&gt;=EZ74,IF(EY74="",FALSE,TRUE))</formula>
    </cfRule>
  </conditionalFormatting>
  <conditionalFormatting sqref="FA75">
    <cfRule type="expression" dxfId="476" priority="472">
      <formula>OR(IF(FA75&lt;FB75,TRUE),IF(AND(FB75="",FA75&lt;&gt;""),TRUE))</formula>
    </cfRule>
    <cfRule type="expression" dxfId="475" priority="473">
      <formula>IF(FA75&gt;=FB75,IF(FA75="",FALSE,TRUE))</formula>
    </cfRule>
  </conditionalFormatting>
  <conditionalFormatting sqref="EY75">
    <cfRule type="expression" dxfId="474" priority="474">
      <formula>OR(IF(EY75&lt;EZ75,TRUE),IF(AND(EZ75="",EY75&lt;&gt;""),TRUE))</formula>
    </cfRule>
    <cfRule type="expression" dxfId="473" priority="475">
      <formula>IF(EY75&gt;=EZ75,IF(EY75="",FALSE,TRUE))</formula>
    </cfRule>
  </conditionalFormatting>
  <conditionalFormatting sqref="FA76">
    <cfRule type="expression" dxfId="472" priority="468">
      <formula>OR(IF(FA76&lt;FB76,TRUE),IF(AND(FB76="",FA76&lt;&gt;""),TRUE))</formula>
    </cfRule>
    <cfRule type="expression" dxfId="471" priority="469">
      <formula>IF(FA76&gt;=FB76,IF(FA76="",FALSE,TRUE))</formula>
    </cfRule>
  </conditionalFormatting>
  <conditionalFormatting sqref="EY76">
    <cfRule type="expression" dxfId="470" priority="470">
      <formula>OR(IF(EY76&lt;EZ76,TRUE),IF(AND(EZ76="",EY76&lt;&gt;""),TRUE))</formula>
    </cfRule>
    <cfRule type="expression" dxfId="469" priority="471">
      <formula>IF(EY76&gt;=EZ76,IF(EY76="",FALSE,TRUE))</formula>
    </cfRule>
  </conditionalFormatting>
  <conditionalFormatting sqref="FA80 EY80">
    <cfRule type="expression" dxfId="468" priority="466">
      <formula>OR(IF(EY80&lt;EZ80,TRUE),IF(AND(EZ80="",EY80&lt;&gt;""),TRUE))</formula>
    </cfRule>
    <cfRule type="expression" dxfId="467" priority="467">
      <formula>IF(EY80&gt;=EZ80,IF(EY80="",FALSE,TRUE))</formula>
    </cfRule>
  </conditionalFormatting>
  <conditionalFormatting sqref="EY81:EY82">
    <cfRule type="expression" dxfId="466" priority="464">
      <formula>OR(IF(EY81&lt;EZ81,TRUE),IF(AND(EZ81="",EY81&lt;&gt;""),TRUE))</formula>
    </cfRule>
    <cfRule type="expression" dxfId="465" priority="465">
      <formula>IF(EY81&gt;=EZ81,IF(EY81="",FALSE,TRUE))</formula>
    </cfRule>
  </conditionalFormatting>
  <conditionalFormatting sqref="FA83:FA93">
    <cfRule type="expression" dxfId="464" priority="458">
      <formula>OR(IF(FA83&lt;FB83,TRUE),IF(AND(FB83="",FA83&lt;&gt;""),TRUE))</formula>
    </cfRule>
    <cfRule type="expression" dxfId="463" priority="459">
      <formula>IF(FA83&gt;=FB83,IF(FA83="",FALSE,TRUE))</formula>
    </cfRule>
  </conditionalFormatting>
  <conditionalFormatting sqref="FA81:FA82">
    <cfRule type="expression" dxfId="462" priority="462">
      <formula>OR(IF(FA81&lt;FB81,TRUE),IF(AND(FB81="",FA81&lt;&gt;""),TRUE))</formula>
    </cfRule>
    <cfRule type="expression" dxfId="461" priority="463">
      <formula>IF(FA81&gt;=FB81,IF(FA81="",FALSE,TRUE))</formula>
    </cfRule>
  </conditionalFormatting>
  <conditionalFormatting sqref="EY83:EY93">
    <cfRule type="expression" dxfId="460" priority="460">
      <formula>OR(IF(EY83&lt;EZ83,TRUE),IF(AND(EZ83="",EY83&lt;&gt;""),TRUE))</formula>
    </cfRule>
    <cfRule type="expression" dxfId="459" priority="461">
      <formula>IF(EY83&gt;=EZ83,IF(EY83="",FALSE,TRUE))</formula>
    </cfRule>
  </conditionalFormatting>
  <conditionalFormatting sqref="FH47 FH51 FF47 FF51">
    <cfRule type="expression" dxfId="458" priority="456">
      <formula>OR(IF(FF47&lt;FG47,TRUE),IF(AND(FG47="",FF47&lt;&gt;""),TRUE))</formula>
    </cfRule>
    <cfRule type="expression" dxfId="457" priority="457">
      <formula>IF(FF47&gt;=FG47,IF(FF47="",FALSE,TRUE))</formula>
    </cfRule>
  </conditionalFormatting>
  <conditionalFormatting sqref="FF18:FF19 FH18:FH19 FH24:FH32 FF24:FF32 FH37:FH46 FF37:FF46">
    <cfRule type="expression" dxfId="456" priority="454">
      <formula>OR(IF(FF18&lt;FG18,TRUE),IF(AND(FG18="",FF18&lt;&gt;""),TRUE))</formula>
    </cfRule>
    <cfRule type="expression" dxfId="455" priority="455">
      <formula>IF(FF18&gt;=FG18,IF(FF18="",FALSE,TRUE))</formula>
    </cfRule>
  </conditionalFormatting>
  <conditionalFormatting sqref="FF22:FF23">
    <cfRule type="expression" dxfId="454" priority="452">
      <formula>OR(IF(FF22&lt;FG22,TRUE),IF(AND(FG22="",FF22&lt;&gt;""),TRUE))</formula>
    </cfRule>
    <cfRule type="expression" dxfId="453" priority="453">
      <formula>IF(FF22&gt;=FG22,IF(FF22="",FALSE,TRUE))</formula>
    </cfRule>
  </conditionalFormatting>
  <conditionalFormatting sqref="FH22:FH23">
    <cfRule type="expression" dxfId="452" priority="450">
      <formula>OR(IF(FH22&lt;FI22,TRUE),IF(AND(FI22="",FH22&lt;&gt;""),TRUE))</formula>
    </cfRule>
    <cfRule type="expression" dxfId="451" priority="451">
      <formula>IF(FH22&gt;=FI22,IF(FH22="",FALSE,TRUE))</formula>
    </cfRule>
  </conditionalFormatting>
  <conditionalFormatting sqref="FF35:FF36">
    <cfRule type="expression" dxfId="450" priority="448">
      <formula>OR(IF(FF35&lt;FG35,TRUE),IF(AND(FG35="",FF35&lt;&gt;""),TRUE))</formula>
    </cfRule>
    <cfRule type="expression" dxfId="449" priority="449">
      <formula>IF(FF35&gt;=FG35,IF(FF35="",FALSE,TRUE))</formula>
    </cfRule>
  </conditionalFormatting>
  <conditionalFormatting sqref="FH35:FH36">
    <cfRule type="expression" dxfId="448" priority="446">
      <formula>OR(IF(FH35&lt;FI35,TRUE),IF(AND(FI35="",FH35&lt;&gt;""),TRUE))</formula>
    </cfRule>
    <cfRule type="expression" dxfId="447" priority="447">
      <formula>IF(FH35&gt;=FI35,IF(FH35="",FALSE,TRUE))</formula>
    </cfRule>
  </conditionalFormatting>
  <conditionalFormatting sqref="FF52:FF53">
    <cfRule type="expression" dxfId="446" priority="444">
      <formula>OR(IF(FF52&lt;FG52,TRUE),IF(AND(FG52="",FF52&lt;&gt;""),TRUE))</formula>
    </cfRule>
    <cfRule type="expression" dxfId="445" priority="445">
      <formula>IF(FF52&gt;=FG52,IF(FF52="",FALSE,TRUE))</formula>
    </cfRule>
  </conditionalFormatting>
  <conditionalFormatting sqref="FH54:FH63">
    <cfRule type="expression" dxfId="444" priority="438">
      <formula>OR(IF(FH54&lt;FI54,TRUE),IF(AND(FI54="",FH54&lt;&gt;""),TRUE))</formula>
    </cfRule>
    <cfRule type="expression" dxfId="443" priority="439">
      <formula>IF(FH54&gt;=FI54,IF(FH54="",FALSE,TRUE))</formula>
    </cfRule>
  </conditionalFormatting>
  <conditionalFormatting sqref="FH52:FH53">
    <cfRule type="expression" dxfId="442" priority="442">
      <formula>OR(IF(FH52&lt;FI52,TRUE),IF(AND(FI52="",FH52&lt;&gt;""),TRUE))</formula>
    </cfRule>
    <cfRule type="expression" dxfId="441" priority="443">
      <formula>IF(FH52&gt;=FI52,IF(FH52="",FALSE,TRUE))</formula>
    </cfRule>
  </conditionalFormatting>
  <conditionalFormatting sqref="FF54:FF63">
    <cfRule type="expression" dxfId="440" priority="440">
      <formula>OR(IF(FF54&lt;FG54,TRUE),IF(AND(FG54="",FF54&lt;&gt;""),TRUE))</formula>
    </cfRule>
    <cfRule type="expression" dxfId="439" priority="441">
      <formula>IF(FF54&gt;=FG54,IF(FF54="",FALSE,TRUE))</formula>
    </cfRule>
  </conditionalFormatting>
  <conditionalFormatting sqref="FH64">
    <cfRule type="expression" dxfId="438" priority="434">
      <formula>OR(IF(FH64&lt;FI64,TRUE),IF(AND(FI64="",FH64&lt;&gt;""),TRUE))</formula>
    </cfRule>
    <cfRule type="expression" dxfId="437" priority="435">
      <formula>IF(FH64&gt;=FI64,IF(FH64="",FALSE,TRUE))</formula>
    </cfRule>
  </conditionalFormatting>
  <conditionalFormatting sqref="FF64">
    <cfRule type="expression" dxfId="436" priority="436">
      <formula>OR(IF(FF64&lt;FG64,TRUE),IF(AND(FG64="",FF64&lt;&gt;""),TRUE))</formula>
    </cfRule>
    <cfRule type="expression" dxfId="435" priority="437">
      <formula>IF(FF64&gt;=FG64,IF(FF64="",FALSE,TRUE))</formula>
    </cfRule>
  </conditionalFormatting>
  <conditionalFormatting sqref="FH65">
    <cfRule type="expression" dxfId="434" priority="430">
      <formula>OR(IF(FH65&lt;FI65,TRUE),IF(AND(FI65="",FH65&lt;&gt;""),TRUE))</formula>
    </cfRule>
    <cfRule type="expression" dxfId="433" priority="431">
      <formula>IF(FH65&gt;=FI65,IF(FH65="",FALSE,TRUE))</formula>
    </cfRule>
  </conditionalFormatting>
  <conditionalFormatting sqref="FF65">
    <cfRule type="expression" dxfId="432" priority="432">
      <formula>OR(IF(FF65&lt;FG65,TRUE),IF(AND(FG65="",FF65&lt;&gt;""),TRUE))</formula>
    </cfRule>
    <cfRule type="expression" dxfId="431" priority="433">
      <formula>IF(FF65&gt;=FG65,IF(FF65="",FALSE,TRUE))</formula>
    </cfRule>
  </conditionalFormatting>
  <conditionalFormatting sqref="FH66">
    <cfRule type="expression" dxfId="430" priority="426">
      <formula>OR(IF(FH66&lt;FI66,TRUE),IF(AND(FI66="",FH66&lt;&gt;""),TRUE))</formula>
    </cfRule>
    <cfRule type="expression" dxfId="429" priority="427">
      <formula>IF(FH66&gt;=FI66,IF(FH66="",FALSE,TRUE))</formula>
    </cfRule>
  </conditionalFormatting>
  <conditionalFormatting sqref="FF66">
    <cfRule type="expression" dxfId="428" priority="428">
      <formula>OR(IF(FF66&lt;FG66,TRUE),IF(AND(FG66="",FF66&lt;&gt;""),TRUE))</formula>
    </cfRule>
    <cfRule type="expression" dxfId="427" priority="429">
      <formula>IF(FF66&gt;=FG66,IF(FF66="",FALSE,TRUE))</formula>
    </cfRule>
  </conditionalFormatting>
  <conditionalFormatting sqref="FH67">
    <cfRule type="expression" dxfId="426" priority="422">
      <formula>OR(IF(FH67&lt;FI67,TRUE),IF(AND(FI67="",FH67&lt;&gt;""),TRUE))</formula>
    </cfRule>
    <cfRule type="expression" dxfId="425" priority="423">
      <formula>IF(FH67&gt;=FI67,IF(FH67="",FALSE,TRUE))</formula>
    </cfRule>
  </conditionalFormatting>
  <conditionalFormatting sqref="FF67">
    <cfRule type="expression" dxfId="424" priority="424">
      <formula>OR(IF(FF67&lt;FG67,TRUE),IF(AND(FG67="",FF67&lt;&gt;""),TRUE))</formula>
    </cfRule>
    <cfRule type="expression" dxfId="423" priority="425">
      <formula>IF(FF67&gt;=FG67,IF(FF67="",FALSE,TRUE))</formula>
    </cfRule>
  </conditionalFormatting>
  <conditionalFormatting sqref="FH68">
    <cfRule type="expression" dxfId="422" priority="418">
      <formula>OR(IF(FH68&lt;FI68,TRUE),IF(AND(FI68="",FH68&lt;&gt;""),TRUE))</formula>
    </cfRule>
    <cfRule type="expression" dxfId="421" priority="419">
      <formula>IF(FH68&gt;=FI68,IF(FH68="",FALSE,TRUE))</formula>
    </cfRule>
  </conditionalFormatting>
  <conditionalFormatting sqref="FF68">
    <cfRule type="expression" dxfId="420" priority="420">
      <formula>OR(IF(FF68&lt;FG68,TRUE),IF(AND(FG68="",FF68&lt;&gt;""),TRUE))</formula>
    </cfRule>
    <cfRule type="expression" dxfId="419" priority="421">
      <formula>IF(FF68&gt;=FG68,IF(FF68="",FALSE,TRUE))</formula>
    </cfRule>
  </conditionalFormatting>
  <conditionalFormatting sqref="FH69">
    <cfRule type="expression" dxfId="418" priority="414">
      <formula>OR(IF(FH69&lt;FI69,TRUE),IF(AND(FI69="",FH69&lt;&gt;""),TRUE))</formula>
    </cfRule>
    <cfRule type="expression" dxfId="417" priority="415">
      <formula>IF(FH69&gt;=FI69,IF(FH69="",FALSE,TRUE))</formula>
    </cfRule>
  </conditionalFormatting>
  <conditionalFormatting sqref="FF69">
    <cfRule type="expression" dxfId="416" priority="416">
      <formula>OR(IF(FF69&lt;FG69,TRUE),IF(AND(FG69="",FF69&lt;&gt;""),TRUE))</formula>
    </cfRule>
    <cfRule type="expression" dxfId="415" priority="417">
      <formula>IF(FF69&gt;=FG69,IF(FF69="",FALSE,TRUE))</formula>
    </cfRule>
  </conditionalFormatting>
  <conditionalFormatting sqref="FH70">
    <cfRule type="expression" dxfId="414" priority="410">
      <formula>OR(IF(FH70&lt;FI70,TRUE),IF(AND(FI70="",FH70&lt;&gt;""),TRUE))</formula>
    </cfRule>
    <cfRule type="expression" dxfId="413" priority="411">
      <formula>IF(FH70&gt;=FI70,IF(FH70="",FALSE,TRUE))</formula>
    </cfRule>
  </conditionalFormatting>
  <conditionalFormatting sqref="FF70">
    <cfRule type="expression" dxfId="412" priority="412">
      <formula>OR(IF(FF70&lt;FG70,TRUE),IF(AND(FG70="",FF70&lt;&gt;""),TRUE))</formula>
    </cfRule>
    <cfRule type="expression" dxfId="411" priority="413">
      <formula>IF(FF70&gt;=FG70,IF(FF70="",FALSE,TRUE))</formula>
    </cfRule>
  </conditionalFormatting>
  <conditionalFormatting sqref="FH71">
    <cfRule type="expression" dxfId="410" priority="406">
      <formula>OR(IF(FH71&lt;FI71,TRUE),IF(AND(FI71="",FH71&lt;&gt;""),TRUE))</formula>
    </cfRule>
    <cfRule type="expression" dxfId="409" priority="407">
      <formula>IF(FH71&gt;=FI71,IF(FH71="",FALSE,TRUE))</formula>
    </cfRule>
  </conditionalFormatting>
  <conditionalFormatting sqref="FF71">
    <cfRule type="expression" dxfId="408" priority="408">
      <formula>OR(IF(FF71&lt;FG71,TRUE),IF(AND(FG71="",FF71&lt;&gt;""),TRUE))</formula>
    </cfRule>
    <cfRule type="expression" dxfId="407" priority="409">
      <formula>IF(FF71&gt;=FG71,IF(FF71="",FALSE,TRUE))</formula>
    </cfRule>
  </conditionalFormatting>
  <conditionalFormatting sqref="FH72">
    <cfRule type="expression" dxfId="406" priority="402">
      <formula>OR(IF(FH72&lt;FI72,TRUE),IF(AND(FI72="",FH72&lt;&gt;""),TRUE))</formula>
    </cfRule>
    <cfRule type="expression" dxfId="405" priority="403">
      <formula>IF(FH72&gt;=FI72,IF(FH72="",FALSE,TRUE))</formula>
    </cfRule>
  </conditionalFormatting>
  <conditionalFormatting sqref="FF72">
    <cfRule type="expression" dxfId="404" priority="404">
      <formula>OR(IF(FF72&lt;FG72,TRUE),IF(AND(FG72="",FF72&lt;&gt;""),TRUE))</formula>
    </cfRule>
    <cfRule type="expression" dxfId="403" priority="405">
      <formula>IF(FF72&gt;=FG72,IF(FF72="",FALSE,TRUE))</formula>
    </cfRule>
  </conditionalFormatting>
  <conditionalFormatting sqref="FH73">
    <cfRule type="expression" dxfId="402" priority="398">
      <formula>OR(IF(FH73&lt;FI73,TRUE),IF(AND(FI73="",FH73&lt;&gt;""),TRUE))</formula>
    </cfRule>
    <cfRule type="expression" dxfId="401" priority="399">
      <formula>IF(FH73&gt;=FI73,IF(FH73="",FALSE,TRUE))</formula>
    </cfRule>
  </conditionalFormatting>
  <conditionalFormatting sqref="FF73">
    <cfRule type="expression" dxfId="400" priority="400">
      <formula>OR(IF(FF73&lt;FG73,TRUE),IF(AND(FG73="",FF73&lt;&gt;""),TRUE))</formula>
    </cfRule>
    <cfRule type="expression" dxfId="399" priority="401">
      <formula>IF(FF73&gt;=FG73,IF(FF73="",FALSE,TRUE))</formula>
    </cfRule>
  </conditionalFormatting>
  <conditionalFormatting sqref="FH74">
    <cfRule type="expression" dxfId="398" priority="394">
      <formula>OR(IF(FH74&lt;FI74,TRUE),IF(AND(FI74="",FH74&lt;&gt;""),TRUE))</formula>
    </cfRule>
    <cfRule type="expression" dxfId="397" priority="395">
      <formula>IF(FH74&gt;=FI74,IF(FH74="",FALSE,TRUE))</formula>
    </cfRule>
  </conditionalFormatting>
  <conditionalFormatting sqref="FF74">
    <cfRule type="expression" dxfId="396" priority="396">
      <formula>OR(IF(FF74&lt;FG74,TRUE),IF(AND(FG74="",FF74&lt;&gt;""),TRUE))</formula>
    </cfRule>
    <cfRule type="expression" dxfId="395" priority="397">
      <formula>IF(FF74&gt;=FG74,IF(FF74="",FALSE,TRUE))</formula>
    </cfRule>
  </conditionalFormatting>
  <conditionalFormatting sqref="FH75">
    <cfRule type="expression" dxfId="394" priority="390">
      <formula>OR(IF(FH75&lt;FI75,TRUE),IF(AND(FI75="",FH75&lt;&gt;""),TRUE))</formula>
    </cfRule>
    <cfRule type="expression" dxfId="393" priority="391">
      <formula>IF(FH75&gt;=FI75,IF(FH75="",FALSE,TRUE))</formula>
    </cfRule>
  </conditionalFormatting>
  <conditionalFormatting sqref="FF75">
    <cfRule type="expression" dxfId="392" priority="392">
      <formula>OR(IF(FF75&lt;FG75,TRUE),IF(AND(FG75="",FF75&lt;&gt;""),TRUE))</formula>
    </cfRule>
    <cfRule type="expression" dxfId="391" priority="393">
      <formula>IF(FF75&gt;=FG75,IF(FF75="",FALSE,TRUE))</formula>
    </cfRule>
  </conditionalFormatting>
  <conditionalFormatting sqref="FH76">
    <cfRule type="expression" dxfId="390" priority="386">
      <formula>OR(IF(FH76&lt;FI76,TRUE),IF(AND(FI76="",FH76&lt;&gt;""),TRUE))</formula>
    </cfRule>
    <cfRule type="expression" dxfId="389" priority="387">
      <formula>IF(FH76&gt;=FI76,IF(FH76="",FALSE,TRUE))</formula>
    </cfRule>
  </conditionalFormatting>
  <conditionalFormatting sqref="FF76">
    <cfRule type="expression" dxfId="388" priority="388">
      <formula>OR(IF(FF76&lt;FG76,TRUE),IF(AND(FG76="",FF76&lt;&gt;""),TRUE))</formula>
    </cfRule>
    <cfRule type="expression" dxfId="387" priority="389">
      <formula>IF(FF76&gt;=FG76,IF(FF76="",FALSE,TRUE))</formula>
    </cfRule>
  </conditionalFormatting>
  <conditionalFormatting sqref="FH80 FF80">
    <cfRule type="expression" dxfId="386" priority="384">
      <formula>OR(IF(FF80&lt;FG80,TRUE),IF(AND(FG80="",FF80&lt;&gt;""),TRUE))</formula>
    </cfRule>
    <cfRule type="expression" dxfId="385" priority="385">
      <formula>IF(FF80&gt;=FG80,IF(FF80="",FALSE,TRUE))</formula>
    </cfRule>
  </conditionalFormatting>
  <conditionalFormatting sqref="FF81:FF82">
    <cfRule type="expression" dxfId="384" priority="382">
      <formula>OR(IF(FF81&lt;FG81,TRUE),IF(AND(FG81="",FF81&lt;&gt;""),TRUE))</formula>
    </cfRule>
    <cfRule type="expression" dxfId="383" priority="383">
      <formula>IF(FF81&gt;=FG81,IF(FF81="",FALSE,TRUE))</formula>
    </cfRule>
  </conditionalFormatting>
  <conditionalFormatting sqref="FH83:FH93">
    <cfRule type="expression" dxfId="382" priority="376">
      <formula>OR(IF(FH83&lt;FI83,TRUE),IF(AND(FI83="",FH83&lt;&gt;""),TRUE))</formula>
    </cfRule>
    <cfRule type="expression" dxfId="381" priority="377">
      <formula>IF(FH83&gt;=FI83,IF(FH83="",FALSE,TRUE))</formula>
    </cfRule>
  </conditionalFormatting>
  <conditionalFormatting sqref="FH81:FH82">
    <cfRule type="expression" dxfId="380" priority="380">
      <formula>OR(IF(FH81&lt;FI81,TRUE),IF(AND(FI81="",FH81&lt;&gt;""),TRUE))</formula>
    </cfRule>
    <cfRule type="expression" dxfId="379" priority="381">
      <formula>IF(FH81&gt;=FI81,IF(FH81="",FALSE,TRUE))</formula>
    </cfRule>
  </conditionalFormatting>
  <conditionalFormatting sqref="FF83:FF93">
    <cfRule type="expression" dxfId="378" priority="378">
      <formula>OR(IF(FF83&lt;FG83,TRUE),IF(AND(FG83="",FF83&lt;&gt;""),TRUE))</formula>
    </cfRule>
    <cfRule type="expression" dxfId="377" priority="379">
      <formula>IF(FF83&gt;=FG83,IF(FF83="",FALSE,TRUE))</formula>
    </cfRule>
  </conditionalFormatting>
  <conditionalFormatting sqref="FO47 FO51 FM47 FM51">
    <cfRule type="expression" dxfId="376" priority="374">
      <formula>OR(IF(FM47&lt;FN47,TRUE),IF(AND(FN47="",FM47&lt;&gt;""),TRUE))</formula>
    </cfRule>
    <cfRule type="expression" dxfId="375" priority="375">
      <formula>IF(FM47&gt;=FN47,IF(FM47="",FALSE,TRUE))</formula>
    </cfRule>
  </conditionalFormatting>
  <conditionalFormatting sqref="FM5:FM19 FO5:FO19 FO24:FO32 FM24:FM32 FO37:FO46 FM37:FM46">
    <cfRule type="expression" dxfId="374" priority="372">
      <formula>OR(IF(FM5&lt;FN5,TRUE),IF(AND(FN5="",FM5&lt;&gt;""),TRUE))</formula>
    </cfRule>
    <cfRule type="expression" dxfId="373" priority="373">
      <formula>IF(FM5&gt;=FN5,IF(FM5="",FALSE,TRUE))</formula>
    </cfRule>
  </conditionalFormatting>
  <conditionalFormatting sqref="FM22:FM23">
    <cfRule type="expression" dxfId="372" priority="370">
      <formula>OR(IF(FM22&lt;FN22,TRUE),IF(AND(FN22="",FM22&lt;&gt;""),TRUE))</formula>
    </cfRule>
    <cfRule type="expression" dxfId="371" priority="371">
      <formula>IF(FM22&gt;=FN22,IF(FM22="",FALSE,TRUE))</formula>
    </cfRule>
  </conditionalFormatting>
  <conditionalFormatting sqref="FO22:FO23">
    <cfRule type="expression" dxfId="370" priority="368">
      <formula>OR(IF(FO22&lt;FP22,TRUE),IF(AND(FP22="",FO22&lt;&gt;""),TRUE))</formula>
    </cfRule>
    <cfRule type="expression" dxfId="369" priority="369">
      <formula>IF(FO22&gt;=FP22,IF(FO22="",FALSE,TRUE))</formula>
    </cfRule>
  </conditionalFormatting>
  <conditionalFormatting sqref="FM35:FM36">
    <cfRule type="expression" dxfId="368" priority="366">
      <formula>OR(IF(FM35&lt;FN35,TRUE),IF(AND(FN35="",FM35&lt;&gt;""),TRUE))</formula>
    </cfRule>
    <cfRule type="expression" dxfId="367" priority="367">
      <formula>IF(FM35&gt;=FN35,IF(FM35="",FALSE,TRUE))</formula>
    </cfRule>
  </conditionalFormatting>
  <conditionalFormatting sqref="FO35:FO36">
    <cfRule type="expression" dxfId="366" priority="364">
      <formula>OR(IF(FO35&lt;FP35,TRUE),IF(AND(FP35="",FO35&lt;&gt;""),TRUE))</formula>
    </cfRule>
    <cfRule type="expression" dxfId="365" priority="365">
      <formula>IF(FO35&gt;=FP35,IF(FO35="",FALSE,TRUE))</formula>
    </cfRule>
  </conditionalFormatting>
  <conditionalFormatting sqref="FM52:FM53">
    <cfRule type="expression" dxfId="364" priority="362">
      <formula>OR(IF(FM52&lt;FN52,TRUE),IF(AND(FN52="",FM52&lt;&gt;""),TRUE))</formula>
    </cfRule>
    <cfRule type="expression" dxfId="363" priority="363">
      <formula>IF(FM52&gt;=FN52,IF(FM52="",FALSE,TRUE))</formula>
    </cfRule>
  </conditionalFormatting>
  <conditionalFormatting sqref="FO54:FO63">
    <cfRule type="expression" dxfId="362" priority="356">
      <formula>OR(IF(FO54&lt;FP54,TRUE),IF(AND(FP54="",FO54&lt;&gt;""),TRUE))</formula>
    </cfRule>
    <cfRule type="expression" dxfId="361" priority="357">
      <formula>IF(FO54&gt;=FP54,IF(FO54="",FALSE,TRUE))</formula>
    </cfRule>
  </conditionalFormatting>
  <conditionalFormatting sqref="FO52:FO53">
    <cfRule type="expression" dxfId="360" priority="360">
      <formula>OR(IF(FO52&lt;FP52,TRUE),IF(AND(FP52="",FO52&lt;&gt;""),TRUE))</formula>
    </cfRule>
    <cfRule type="expression" dxfId="359" priority="361">
      <formula>IF(FO52&gt;=FP52,IF(FO52="",FALSE,TRUE))</formula>
    </cfRule>
  </conditionalFormatting>
  <conditionalFormatting sqref="FM54:FM63">
    <cfRule type="expression" dxfId="358" priority="358">
      <formula>OR(IF(FM54&lt;FN54,TRUE),IF(AND(FN54="",FM54&lt;&gt;""),TRUE))</formula>
    </cfRule>
    <cfRule type="expression" dxfId="357" priority="359">
      <formula>IF(FM54&gt;=FN54,IF(FM54="",FALSE,TRUE))</formula>
    </cfRule>
  </conditionalFormatting>
  <conditionalFormatting sqref="FO64">
    <cfRule type="expression" dxfId="356" priority="352">
      <formula>OR(IF(FO64&lt;FP64,TRUE),IF(AND(FP64="",FO64&lt;&gt;""),TRUE))</formula>
    </cfRule>
    <cfRule type="expression" dxfId="355" priority="353">
      <formula>IF(FO64&gt;=FP64,IF(FO64="",FALSE,TRUE))</formula>
    </cfRule>
  </conditionalFormatting>
  <conditionalFormatting sqref="FM64">
    <cfRule type="expression" dxfId="354" priority="354">
      <formula>OR(IF(FM64&lt;FN64,TRUE),IF(AND(FN64="",FM64&lt;&gt;""),TRUE))</formula>
    </cfRule>
    <cfRule type="expression" dxfId="353" priority="355">
      <formula>IF(FM64&gt;=FN64,IF(FM64="",FALSE,TRUE))</formula>
    </cfRule>
  </conditionalFormatting>
  <conditionalFormatting sqref="FO65">
    <cfRule type="expression" dxfId="352" priority="348">
      <formula>OR(IF(FO65&lt;FP65,TRUE),IF(AND(FP65="",FO65&lt;&gt;""),TRUE))</formula>
    </cfRule>
    <cfRule type="expression" dxfId="351" priority="349">
      <formula>IF(FO65&gt;=FP65,IF(FO65="",FALSE,TRUE))</formula>
    </cfRule>
  </conditionalFormatting>
  <conditionalFormatting sqref="FM65">
    <cfRule type="expression" dxfId="350" priority="350">
      <formula>OR(IF(FM65&lt;FN65,TRUE),IF(AND(FN65="",FM65&lt;&gt;""),TRUE))</formula>
    </cfRule>
    <cfRule type="expression" dxfId="349" priority="351">
      <formula>IF(FM65&gt;=FN65,IF(FM65="",FALSE,TRUE))</formula>
    </cfRule>
  </conditionalFormatting>
  <conditionalFormatting sqref="FO66">
    <cfRule type="expression" dxfId="348" priority="344">
      <formula>OR(IF(FO66&lt;FP66,TRUE),IF(AND(FP66="",FO66&lt;&gt;""),TRUE))</formula>
    </cfRule>
    <cfRule type="expression" dxfId="347" priority="345">
      <formula>IF(FO66&gt;=FP66,IF(FO66="",FALSE,TRUE))</formula>
    </cfRule>
  </conditionalFormatting>
  <conditionalFormatting sqref="FM66">
    <cfRule type="expression" dxfId="346" priority="346">
      <formula>OR(IF(FM66&lt;FN66,TRUE),IF(AND(FN66="",FM66&lt;&gt;""),TRUE))</formula>
    </cfRule>
    <cfRule type="expression" dxfId="345" priority="347">
      <formula>IF(FM66&gt;=FN66,IF(FM66="",FALSE,TRUE))</formula>
    </cfRule>
  </conditionalFormatting>
  <conditionalFormatting sqref="FO67">
    <cfRule type="expression" dxfId="344" priority="340">
      <formula>OR(IF(FO67&lt;FP67,TRUE),IF(AND(FP67="",FO67&lt;&gt;""),TRUE))</formula>
    </cfRule>
    <cfRule type="expression" dxfId="343" priority="341">
      <formula>IF(FO67&gt;=FP67,IF(FO67="",FALSE,TRUE))</formula>
    </cfRule>
  </conditionalFormatting>
  <conditionalFormatting sqref="FM67">
    <cfRule type="expression" dxfId="342" priority="342">
      <formula>OR(IF(FM67&lt;FN67,TRUE),IF(AND(FN67="",FM67&lt;&gt;""),TRUE))</formula>
    </cfRule>
    <cfRule type="expression" dxfId="341" priority="343">
      <formula>IF(FM67&gt;=FN67,IF(FM67="",FALSE,TRUE))</formula>
    </cfRule>
  </conditionalFormatting>
  <conditionalFormatting sqref="FO68">
    <cfRule type="expression" dxfId="340" priority="336">
      <formula>OR(IF(FO68&lt;FP68,TRUE),IF(AND(FP68="",FO68&lt;&gt;""),TRUE))</formula>
    </cfRule>
    <cfRule type="expression" dxfId="339" priority="337">
      <formula>IF(FO68&gt;=FP68,IF(FO68="",FALSE,TRUE))</formula>
    </cfRule>
  </conditionalFormatting>
  <conditionalFormatting sqref="FM68">
    <cfRule type="expression" dxfId="338" priority="338">
      <formula>OR(IF(FM68&lt;FN68,TRUE),IF(AND(FN68="",FM68&lt;&gt;""),TRUE))</formula>
    </cfRule>
    <cfRule type="expression" dxfId="337" priority="339">
      <formula>IF(FM68&gt;=FN68,IF(FM68="",FALSE,TRUE))</formula>
    </cfRule>
  </conditionalFormatting>
  <conditionalFormatting sqref="FO69">
    <cfRule type="expression" dxfId="336" priority="332">
      <formula>OR(IF(FO69&lt;FP69,TRUE),IF(AND(FP69="",FO69&lt;&gt;""),TRUE))</formula>
    </cfRule>
    <cfRule type="expression" dxfId="335" priority="333">
      <formula>IF(FO69&gt;=FP69,IF(FO69="",FALSE,TRUE))</formula>
    </cfRule>
  </conditionalFormatting>
  <conditionalFormatting sqref="FM69">
    <cfRule type="expression" dxfId="334" priority="334">
      <formula>OR(IF(FM69&lt;FN69,TRUE),IF(AND(FN69="",FM69&lt;&gt;""),TRUE))</formula>
    </cfRule>
    <cfRule type="expression" dxfId="333" priority="335">
      <formula>IF(FM69&gt;=FN69,IF(FM69="",FALSE,TRUE))</formula>
    </cfRule>
  </conditionalFormatting>
  <conditionalFormatting sqref="FO70">
    <cfRule type="expression" dxfId="332" priority="328">
      <formula>OR(IF(FO70&lt;FP70,TRUE),IF(AND(FP70="",FO70&lt;&gt;""),TRUE))</formula>
    </cfRule>
    <cfRule type="expression" dxfId="331" priority="329">
      <formula>IF(FO70&gt;=FP70,IF(FO70="",FALSE,TRUE))</formula>
    </cfRule>
  </conditionalFormatting>
  <conditionalFormatting sqref="FM70">
    <cfRule type="expression" dxfId="330" priority="330">
      <formula>OR(IF(FM70&lt;FN70,TRUE),IF(AND(FN70="",FM70&lt;&gt;""),TRUE))</formula>
    </cfRule>
    <cfRule type="expression" dxfId="329" priority="331">
      <formula>IF(FM70&gt;=FN70,IF(FM70="",FALSE,TRUE))</formula>
    </cfRule>
  </conditionalFormatting>
  <conditionalFormatting sqref="FO71">
    <cfRule type="expression" dxfId="328" priority="324">
      <formula>OR(IF(FO71&lt;FP71,TRUE),IF(AND(FP71="",FO71&lt;&gt;""),TRUE))</formula>
    </cfRule>
    <cfRule type="expression" dxfId="327" priority="325">
      <formula>IF(FO71&gt;=FP71,IF(FO71="",FALSE,TRUE))</formula>
    </cfRule>
  </conditionalFormatting>
  <conditionalFormatting sqref="FM71">
    <cfRule type="expression" dxfId="326" priority="326">
      <formula>OR(IF(FM71&lt;FN71,TRUE),IF(AND(FN71="",FM71&lt;&gt;""),TRUE))</formula>
    </cfRule>
    <cfRule type="expression" dxfId="325" priority="327">
      <formula>IF(FM71&gt;=FN71,IF(FM71="",FALSE,TRUE))</formula>
    </cfRule>
  </conditionalFormatting>
  <conditionalFormatting sqref="FO72">
    <cfRule type="expression" dxfId="324" priority="320">
      <formula>OR(IF(FO72&lt;FP72,TRUE),IF(AND(FP72="",FO72&lt;&gt;""),TRUE))</formula>
    </cfRule>
    <cfRule type="expression" dxfId="323" priority="321">
      <formula>IF(FO72&gt;=FP72,IF(FO72="",FALSE,TRUE))</formula>
    </cfRule>
  </conditionalFormatting>
  <conditionalFormatting sqref="FM72">
    <cfRule type="expression" dxfId="322" priority="322">
      <formula>OR(IF(FM72&lt;FN72,TRUE),IF(AND(FN72="",FM72&lt;&gt;""),TRUE))</formula>
    </cfRule>
    <cfRule type="expression" dxfId="321" priority="323">
      <formula>IF(FM72&gt;=FN72,IF(FM72="",FALSE,TRUE))</formula>
    </cfRule>
  </conditionalFormatting>
  <conditionalFormatting sqref="FO73">
    <cfRule type="expression" dxfId="320" priority="316">
      <formula>OR(IF(FO73&lt;FP73,TRUE),IF(AND(FP73="",FO73&lt;&gt;""),TRUE))</formula>
    </cfRule>
    <cfRule type="expression" dxfId="319" priority="317">
      <formula>IF(FO73&gt;=FP73,IF(FO73="",FALSE,TRUE))</formula>
    </cfRule>
  </conditionalFormatting>
  <conditionalFormatting sqref="FM73">
    <cfRule type="expression" dxfId="318" priority="318">
      <formula>OR(IF(FM73&lt;FN73,TRUE),IF(AND(FN73="",FM73&lt;&gt;""),TRUE))</formula>
    </cfRule>
    <cfRule type="expression" dxfId="317" priority="319">
      <formula>IF(FM73&gt;=FN73,IF(FM73="",FALSE,TRUE))</formula>
    </cfRule>
  </conditionalFormatting>
  <conditionalFormatting sqref="FO74">
    <cfRule type="expression" dxfId="316" priority="312">
      <formula>OR(IF(FO74&lt;FP74,TRUE),IF(AND(FP74="",FO74&lt;&gt;""),TRUE))</formula>
    </cfRule>
    <cfRule type="expression" dxfId="315" priority="313">
      <formula>IF(FO74&gt;=FP74,IF(FO74="",FALSE,TRUE))</formula>
    </cfRule>
  </conditionalFormatting>
  <conditionalFormatting sqref="FM74">
    <cfRule type="expression" dxfId="314" priority="314">
      <formula>OR(IF(FM74&lt;FN74,TRUE),IF(AND(FN74="",FM74&lt;&gt;""),TRUE))</formula>
    </cfRule>
    <cfRule type="expression" dxfId="313" priority="315">
      <formula>IF(FM74&gt;=FN74,IF(FM74="",FALSE,TRUE))</formula>
    </cfRule>
  </conditionalFormatting>
  <conditionalFormatting sqref="FO75">
    <cfRule type="expression" dxfId="312" priority="308">
      <formula>OR(IF(FO75&lt;FP75,TRUE),IF(AND(FP75="",FO75&lt;&gt;""),TRUE))</formula>
    </cfRule>
    <cfRule type="expression" dxfId="311" priority="309">
      <formula>IF(FO75&gt;=FP75,IF(FO75="",FALSE,TRUE))</formula>
    </cfRule>
  </conditionalFormatting>
  <conditionalFormatting sqref="FM75">
    <cfRule type="expression" dxfId="310" priority="310">
      <formula>OR(IF(FM75&lt;FN75,TRUE),IF(AND(FN75="",FM75&lt;&gt;""),TRUE))</formula>
    </cfRule>
    <cfRule type="expression" dxfId="309" priority="311">
      <formula>IF(FM75&gt;=FN75,IF(FM75="",FALSE,TRUE))</formula>
    </cfRule>
  </conditionalFormatting>
  <conditionalFormatting sqref="FO76">
    <cfRule type="expression" dxfId="308" priority="304">
      <formula>OR(IF(FO76&lt;FP76,TRUE),IF(AND(FP76="",FO76&lt;&gt;""),TRUE))</formula>
    </cfRule>
    <cfRule type="expression" dxfId="307" priority="305">
      <formula>IF(FO76&gt;=FP76,IF(FO76="",FALSE,TRUE))</formula>
    </cfRule>
  </conditionalFormatting>
  <conditionalFormatting sqref="FM76">
    <cfRule type="expression" dxfId="306" priority="306">
      <formula>OR(IF(FM76&lt;FN76,TRUE),IF(AND(FN76="",FM76&lt;&gt;""),TRUE))</formula>
    </cfRule>
    <cfRule type="expression" dxfId="305" priority="307">
      <formula>IF(FM76&gt;=FN76,IF(FM76="",FALSE,TRUE))</formula>
    </cfRule>
  </conditionalFormatting>
  <conditionalFormatting sqref="FO80 FM80">
    <cfRule type="expression" dxfId="304" priority="302">
      <formula>OR(IF(FM80&lt;FN80,TRUE),IF(AND(FN80="",FM80&lt;&gt;""),TRUE))</formula>
    </cfRule>
    <cfRule type="expression" dxfId="303" priority="303">
      <formula>IF(FM80&gt;=FN80,IF(FM80="",FALSE,TRUE))</formula>
    </cfRule>
  </conditionalFormatting>
  <conditionalFormatting sqref="FM81:FM82">
    <cfRule type="expression" dxfId="302" priority="300">
      <formula>OR(IF(FM81&lt;FN81,TRUE),IF(AND(FN81="",FM81&lt;&gt;""),TRUE))</formula>
    </cfRule>
    <cfRule type="expression" dxfId="301" priority="301">
      <formula>IF(FM81&gt;=FN81,IF(FM81="",FALSE,TRUE))</formula>
    </cfRule>
  </conditionalFormatting>
  <conditionalFormatting sqref="FO83:FO93">
    <cfRule type="expression" dxfId="300" priority="294">
      <formula>OR(IF(FO83&lt;FP83,TRUE),IF(AND(FP83="",FO83&lt;&gt;""),TRUE))</formula>
    </cfRule>
    <cfRule type="expression" dxfId="299" priority="295">
      <formula>IF(FO83&gt;=FP83,IF(FO83="",FALSE,TRUE))</formula>
    </cfRule>
  </conditionalFormatting>
  <conditionalFormatting sqref="FO81:FO82">
    <cfRule type="expression" dxfId="298" priority="298">
      <formula>OR(IF(FO81&lt;FP81,TRUE),IF(AND(FP81="",FO81&lt;&gt;""),TRUE))</formula>
    </cfRule>
    <cfRule type="expression" dxfId="297" priority="299">
      <formula>IF(FO81&gt;=FP81,IF(FO81="",FALSE,TRUE))</formula>
    </cfRule>
  </conditionalFormatting>
  <conditionalFormatting sqref="FM83:FM93">
    <cfRule type="expression" dxfId="296" priority="296">
      <formula>OR(IF(FM83&lt;FN83,TRUE),IF(AND(FN83="",FM83&lt;&gt;""),TRUE))</formula>
    </cfRule>
    <cfRule type="expression" dxfId="295" priority="297">
      <formula>IF(FM83&gt;=FN83,IF(FM83="",FALSE,TRUE))</formula>
    </cfRule>
  </conditionalFormatting>
  <conditionalFormatting sqref="FV47 FV51 FT47 FT51">
    <cfRule type="expression" dxfId="294" priority="292">
      <formula>OR(IF(FT47&lt;FU47,TRUE),IF(AND(FU47="",FT47&lt;&gt;""),TRUE))</formula>
    </cfRule>
    <cfRule type="expression" dxfId="293" priority="293">
      <formula>IF(FT47&gt;=FU47,IF(FT47="",FALSE,TRUE))</formula>
    </cfRule>
  </conditionalFormatting>
  <conditionalFormatting sqref="FT5:FT19 FV5:FV19 FV24:FV32 FT24:FT32 FV37:FV46 FT37:FT46">
    <cfRule type="expression" dxfId="292" priority="290">
      <formula>OR(IF(FT5&lt;FU5,TRUE),IF(AND(FU5="",FT5&lt;&gt;""),TRUE))</formula>
    </cfRule>
    <cfRule type="expression" dxfId="291" priority="291">
      <formula>IF(FT5&gt;=FU5,IF(FT5="",FALSE,TRUE))</formula>
    </cfRule>
  </conditionalFormatting>
  <conditionalFormatting sqref="FT22:FT23">
    <cfRule type="expression" dxfId="290" priority="288">
      <formula>OR(IF(FT22&lt;FU22,TRUE),IF(AND(FU22="",FT22&lt;&gt;""),TRUE))</formula>
    </cfRule>
    <cfRule type="expression" dxfId="289" priority="289">
      <formula>IF(FT22&gt;=FU22,IF(FT22="",FALSE,TRUE))</formula>
    </cfRule>
  </conditionalFormatting>
  <conditionalFormatting sqref="FV22:FV23">
    <cfRule type="expression" dxfId="288" priority="286">
      <formula>OR(IF(FV22&lt;FW22,TRUE),IF(AND(FW22="",FV22&lt;&gt;""),TRUE))</formula>
    </cfRule>
    <cfRule type="expression" dxfId="287" priority="287">
      <formula>IF(FV22&gt;=FW22,IF(FV22="",FALSE,TRUE))</formula>
    </cfRule>
  </conditionalFormatting>
  <conditionalFormatting sqref="FT35:FT36">
    <cfRule type="expression" dxfId="286" priority="284">
      <formula>OR(IF(FT35&lt;FU35,TRUE),IF(AND(FU35="",FT35&lt;&gt;""),TRUE))</formula>
    </cfRule>
    <cfRule type="expression" dxfId="285" priority="285">
      <formula>IF(FT35&gt;=FU35,IF(FT35="",FALSE,TRUE))</formula>
    </cfRule>
  </conditionalFormatting>
  <conditionalFormatting sqref="FV35:FV36">
    <cfRule type="expression" dxfId="284" priority="282">
      <formula>OR(IF(FV35&lt;FW35,TRUE),IF(AND(FW35="",FV35&lt;&gt;""),TRUE))</formula>
    </cfRule>
    <cfRule type="expression" dxfId="283" priority="283">
      <formula>IF(FV35&gt;=FW35,IF(FV35="",FALSE,TRUE))</formula>
    </cfRule>
  </conditionalFormatting>
  <conditionalFormatting sqref="FT52:FT53">
    <cfRule type="expression" dxfId="282" priority="280">
      <formula>OR(IF(FT52&lt;FU52,TRUE),IF(AND(FU52="",FT52&lt;&gt;""),TRUE))</formula>
    </cfRule>
    <cfRule type="expression" dxfId="281" priority="281">
      <formula>IF(FT52&gt;=FU52,IF(FT52="",FALSE,TRUE))</formula>
    </cfRule>
  </conditionalFormatting>
  <conditionalFormatting sqref="FV54:FV63">
    <cfRule type="expression" dxfId="280" priority="274">
      <formula>OR(IF(FV54&lt;FW54,TRUE),IF(AND(FW54="",FV54&lt;&gt;""),TRUE))</formula>
    </cfRule>
    <cfRule type="expression" dxfId="279" priority="275">
      <formula>IF(FV54&gt;=FW54,IF(FV54="",FALSE,TRUE))</formula>
    </cfRule>
  </conditionalFormatting>
  <conditionalFormatting sqref="FV52:FV53">
    <cfRule type="expression" dxfId="278" priority="278">
      <formula>OR(IF(FV52&lt;FW52,TRUE),IF(AND(FW52="",FV52&lt;&gt;""),TRUE))</formula>
    </cfRule>
    <cfRule type="expression" dxfId="277" priority="279">
      <formula>IF(FV52&gt;=FW52,IF(FV52="",FALSE,TRUE))</formula>
    </cfRule>
  </conditionalFormatting>
  <conditionalFormatting sqref="FT54:FT63">
    <cfRule type="expression" dxfId="276" priority="276">
      <formula>OR(IF(FT54&lt;FU54,TRUE),IF(AND(FU54="",FT54&lt;&gt;""),TRUE))</formula>
    </cfRule>
    <cfRule type="expression" dxfId="275" priority="277">
      <formula>IF(FT54&gt;=FU54,IF(FT54="",FALSE,TRUE))</formula>
    </cfRule>
  </conditionalFormatting>
  <conditionalFormatting sqref="FV64">
    <cfRule type="expression" dxfId="274" priority="270">
      <formula>OR(IF(FV64&lt;FW64,TRUE),IF(AND(FW64="",FV64&lt;&gt;""),TRUE))</formula>
    </cfRule>
    <cfRule type="expression" dxfId="273" priority="271">
      <formula>IF(FV64&gt;=FW64,IF(FV64="",FALSE,TRUE))</formula>
    </cfRule>
  </conditionalFormatting>
  <conditionalFormatting sqref="FT64">
    <cfRule type="expression" dxfId="272" priority="272">
      <formula>OR(IF(FT64&lt;FU64,TRUE),IF(AND(FU64="",FT64&lt;&gt;""),TRUE))</formula>
    </cfRule>
    <cfRule type="expression" dxfId="271" priority="273">
      <formula>IF(FT64&gt;=FU64,IF(FT64="",FALSE,TRUE))</formula>
    </cfRule>
  </conditionalFormatting>
  <conditionalFormatting sqref="FV65">
    <cfRule type="expression" dxfId="270" priority="266">
      <formula>OR(IF(FV65&lt;FW65,TRUE),IF(AND(FW65="",FV65&lt;&gt;""),TRUE))</formula>
    </cfRule>
    <cfRule type="expression" dxfId="269" priority="267">
      <formula>IF(FV65&gt;=FW65,IF(FV65="",FALSE,TRUE))</formula>
    </cfRule>
  </conditionalFormatting>
  <conditionalFormatting sqref="FT65">
    <cfRule type="expression" dxfId="268" priority="268">
      <formula>OR(IF(FT65&lt;FU65,TRUE),IF(AND(FU65="",FT65&lt;&gt;""),TRUE))</formula>
    </cfRule>
    <cfRule type="expression" dxfId="267" priority="269">
      <formula>IF(FT65&gt;=FU65,IF(FT65="",FALSE,TRUE))</formula>
    </cfRule>
  </conditionalFormatting>
  <conditionalFormatting sqref="FV66">
    <cfRule type="expression" dxfId="266" priority="262">
      <formula>OR(IF(FV66&lt;FW66,TRUE),IF(AND(FW66="",FV66&lt;&gt;""),TRUE))</formula>
    </cfRule>
    <cfRule type="expression" dxfId="265" priority="263">
      <formula>IF(FV66&gt;=FW66,IF(FV66="",FALSE,TRUE))</formula>
    </cfRule>
  </conditionalFormatting>
  <conditionalFormatting sqref="FT66">
    <cfRule type="expression" dxfId="264" priority="264">
      <formula>OR(IF(FT66&lt;FU66,TRUE),IF(AND(FU66="",FT66&lt;&gt;""),TRUE))</formula>
    </cfRule>
    <cfRule type="expression" dxfId="263" priority="265">
      <formula>IF(FT66&gt;=FU66,IF(FT66="",FALSE,TRUE))</formula>
    </cfRule>
  </conditionalFormatting>
  <conditionalFormatting sqref="FV67">
    <cfRule type="expression" dxfId="262" priority="258">
      <formula>OR(IF(FV67&lt;FW67,TRUE),IF(AND(FW67="",FV67&lt;&gt;""),TRUE))</formula>
    </cfRule>
    <cfRule type="expression" dxfId="261" priority="259">
      <formula>IF(FV67&gt;=FW67,IF(FV67="",FALSE,TRUE))</formula>
    </cfRule>
  </conditionalFormatting>
  <conditionalFormatting sqref="FT67">
    <cfRule type="expression" dxfId="260" priority="260">
      <formula>OR(IF(FT67&lt;FU67,TRUE),IF(AND(FU67="",FT67&lt;&gt;""),TRUE))</formula>
    </cfRule>
    <cfRule type="expression" dxfId="259" priority="261">
      <formula>IF(FT67&gt;=FU67,IF(FT67="",FALSE,TRUE))</formula>
    </cfRule>
  </conditionalFormatting>
  <conditionalFormatting sqref="FV68">
    <cfRule type="expression" dxfId="258" priority="254">
      <formula>OR(IF(FV68&lt;FW68,TRUE),IF(AND(FW68="",FV68&lt;&gt;""),TRUE))</formula>
    </cfRule>
    <cfRule type="expression" dxfId="257" priority="255">
      <formula>IF(FV68&gt;=FW68,IF(FV68="",FALSE,TRUE))</formula>
    </cfRule>
  </conditionalFormatting>
  <conditionalFormatting sqref="FT68">
    <cfRule type="expression" dxfId="256" priority="256">
      <formula>OR(IF(FT68&lt;FU68,TRUE),IF(AND(FU68="",FT68&lt;&gt;""),TRUE))</formula>
    </cfRule>
    <cfRule type="expression" dxfId="255" priority="257">
      <formula>IF(FT68&gt;=FU68,IF(FT68="",FALSE,TRUE))</formula>
    </cfRule>
  </conditionalFormatting>
  <conditionalFormatting sqref="FV69">
    <cfRule type="expression" dxfId="254" priority="250">
      <formula>OR(IF(FV69&lt;FW69,TRUE),IF(AND(FW69="",FV69&lt;&gt;""),TRUE))</formula>
    </cfRule>
    <cfRule type="expression" dxfId="253" priority="251">
      <formula>IF(FV69&gt;=FW69,IF(FV69="",FALSE,TRUE))</formula>
    </cfRule>
  </conditionalFormatting>
  <conditionalFormatting sqref="FT69">
    <cfRule type="expression" dxfId="252" priority="252">
      <formula>OR(IF(FT69&lt;FU69,TRUE),IF(AND(FU69="",FT69&lt;&gt;""),TRUE))</formula>
    </cfRule>
    <cfRule type="expression" dxfId="251" priority="253">
      <formula>IF(FT69&gt;=FU69,IF(FT69="",FALSE,TRUE))</formula>
    </cfRule>
  </conditionalFormatting>
  <conditionalFormatting sqref="FV70">
    <cfRule type="expression" dxfId="250" priority="246">
      <formula>OR(IF(FV70&lt;FW70,TRUE),IF(AND(FW70="",FV70&lt;&gt;""),TRUE))</formula>
    </cfRule>
    <cfRule type="expression" dxfId="249" priority="247">
      <formula>IF(FV70&gt;=FW70,IF(FV70="",FALSE,TRUE))</formula>
    </cfRule>
  </conditionalFormatting>
  <conditionalFormatting sqref="FT70">
    <cfRule type="expression" dxfId="248" priority="248">
      <formula>OR(IF(FT70&lt;FU70,TRUE),IF(AND(FU70="",FT70&lt;&gt;""),TRUE))</formula>
    </cfRule>
    <cfRule type="expression" dxfId="247" priority="249">
      <formula>IF(FT70&gt;=FU70,IF(FT70="",FALSE,TRUE))</formula>
    </cfRule>
  </conditionalFormatting>
  <conditionalFormatting sqref="FV71">
    <cfRule type="expression" dxfId="246" priority="242">
      <formula>OR(IF(FV71&lt;FW71,TRUE),IF(AND(FW71="",FV71&lt;&gt;""),TRUE))</formula>
    </cfRule>
    <cfRule type="expression" dxfId="245" priority="243">
      <formula>IF(FV71&gt;=FW71,IF(FV71="",FALSE,TRUE))</formula>
    </cfRule>
  </conditionalFormatting>
  <conditionalFormatting sqref="FT71">
    <cfRule type="expression" dxfId="244" priority="244">
      <formula>OR(IF(FT71&lt;FU71,TRUE),IF(AND(FU71="",FT71&lt;&gt;""),TRUE))</formula>
    </cfRule>
    <cfRule type="expression" dxfId="243" priority="245">
      <formula>IF(FT71&gt;=FU71,IF(FT71="",FALSE,TRUE))</formula>
    </cfRule>
  </conditionalFormatting>
  <conditionalFormatting sqref="FV72">
    <cfRule type="expression" dxfId="242" priority="238">
      <formula>OR(IF(FV72&lt;FW72,TRUE),IF(AND(FW72="",FV72&lt;&gt;""),TRUE))</formula>
    </cfRule>
    <cfRule type="expression" dxfId="241" priority="239">
      <formula>IF(FV72&gt;=FW72,IF(FV72="",FALSE,TRUE))</formula>
    </cfRule>
  </conditionalFormatting>
  <conditionalFormatting sqref="FT72">
    <cfRule type="expression" dxfId="240" priority="240">
      <formula>OR(IF(FT72&lt;FU72,TRUE),IF(AND(FU72="",FT72&lt;&gt;""),TRUE))</formula>
    </cfRule>
    <cfRule type="expression" dxfId="239" priority="241">
      <formula>IF(FT72&gt;=FU72,IF(FT72="",FALSE,TRUE))</formula>
    </cfRule>
  </conditionalFormatting>
  <conditionalFormatting sqref="FV73">
    <cfRule type="expression" dxfId="238" priority="234">
      <formula>OR(IF(FV73&lt;FW73,TRUE),IF(AND(FW73="",FV73&lt;&gt;""),TRUE))</formula>
    </cfRule>
    <cfRule type="expression" dxfId="237" priority="235">
      <formula>IF(FV73&gt;=FW73,IF(FV73="",FALSE,TRUE))</formula>
    </cfRule>
  </conditionalFormatting>
  <conditionalFormatting sqref="FT73">
    <cfRule type="expression" dxfId="236" priority="236">
      <formula>OR(IF(FT73&lt;FU73,TRUE),IF(AND(FU73="",FT73&lt;&gt;""),TRUE))</formula>
    </cfRule>
    <cfRule type="expression" dxfId="235" priority="237">
      <formula>IF(FT73&gt;=FU73,IF(FT73="",FALSE,TRUE))</formula>
    </cfRule>
  </conditionalFormatting>
  <conditionalFormatting sqref="FV74">
    <cfRule type="expression" dxfId="234" priority="230">
      <formula>OR(IF(FV74&lt;FW74,TRUE),IF(AND(FW74="",FV74&lt;&gt;""),TRUE))</formula>
    </cfRule>
    <cfRule type="expression" dxfId="233" priority="231">
      <formula>IF(FV74&gt;=FW74,IF(FV74="",FALSE,TRUE))</formula>
    </cfRule>
  </conditionalFormatting>
  <conditionalFormatting sqref="FT74">
    <cfRule type="expression" dxfId="232" priority="232">
      <formula>OR(IF(FT74&lt;FU74,TRUE),IF(AND(FU74="",FT74&lt;&gt;""),TRUE))</formula>
    </cfRule>
    <cfRule type="expression" dxfId="231" priority="233">
      <formula>IF(FT74&gt;=FU74,IF(FT74="",FALSE,TRUE))</formula>
    </cfRule>
  </conditionalFormatting>
  <conditionalFormatting sqref="FV75">
    <cfRule type="expression" dxfId="230" priority="226">
      <formula>OR(IF(FV75&lt;FW75,TRUE),IF(AND(FW75="",FV75&lt;&gt;""),TRUE))</formula>
    </cfRule>
    <cfRule type="expression" dxfId="229" priority="227">
      <formula>IF(FV75&gt;=FW75,IF(FV75="",FALSE,TRUE))</formula>
    </cfRule>
  </conditionalFormatting>
  <conditionalFormatting sqref="FT75">
    <cfRule type="expression" dxfId="228" priority="228">
      <formula>OR(IF(FT75&lt;FU75,TRUE),IF(AND(FU75="",FT75&lt;&gt;""),TRUE))</formula>
    </cfRule>
    <cfRule type="expression" dxfId="227" priority="229">
      <formula>IF(FT75&gt;=FU75,IF(FT75="",FALSE,TRUE))</formula>
    </cfRule>
  </conditionalFormatting>
  <conditionalFormatting sqref="FV76">
    <cfRule type="expression" dxfId="226" priority="222">
      <formula>OR(IF(FV76&lt;FW76,TRUE),IF(AND(FW76="",FV76&lt;&gt;""),TRUE))</formula>
    </cfRule>
    <cfRule type="expression" dxfId="225" priority="223">
      <formula>IF(FV76&gt;=FW76,IF(FV76="",FALSE,TRUE))</formula>
    </cfRule>
  </conditionalFormatting>
  <conditionalFormatting sqref="FT76">
    <cfRule type="expression" dxfId="224" priority="224">
      <formula>OR(IF(FT76&lt;FU76,TRUE),IF(AND(FU76="",FT76&lt;&gt;""),TRUE))</formula>
    </cfRule>
    <cfRule type="expression" dxfId="223" priority="225">
      <formula>IF(FT76&gt;=FU76,IF(FT76="",FALSE,TRUE))</formula>
    </cfRule>
  </conditionalFormatting>
  <conditionalFormatting sqref="FV80 FT80">
    <cfRule type="expression" dxfId="222" priority="220">
      <formula>OR(IF(FT80&lt;FU80,TRUE),IF(AND(FU80="",FT80&lt;&gt;""),TRUE))</formula>
    </cfRule>
    <cfRule type="expression" dxfId="221" priority="221">
      <formula>IF(FT80&gt;=FU80,IF(FT80="",FALSE,TRUE))</formula>
    </cfRule>
  </conditionalFormatting>
  <conditionalFormatting sqref="FT81:FT82">
    <cfRule type="expression" dxfId="220" priority="218">
      <formula>OR(IF(FT81&lt;FU81,TRUE),IF(AND(FU81="",FT81&lt;&gt;""),TRUE))</formula>
    </cfRule>
    <cfRule type="expression" dxfId="219" priority="219">
      <formula>IF(FT81&gt;=FU81,IF(FT81="",FALSE,TRUE))</formula>
    </cfRule>
  </conditionalFormatting>
  <conditionalFormatting sqref="FV83:FV93">
    <cfRule type="expression" dxfId="218" priority="212">
      <formula>OR(IF(FV83&lt;FW83,TRUE),IF(AND(FW83="",FV83&lt;&gt;""),TRUE))</formula>
    </cfRule>
    <cfRule type="expression" dxfId="217" priority="213">
      <formula>IF(FV83&gt;=FW83,IF(FV83="",FALSE,TRUE))</formula>
    </cfRule>
  </conditionalFormatting>
  <conditionalFormatting sqref="FV81:FV82">
    <cfRule type="expression" dxfId="216" priority="216">
      <formula>OR(IF(FV81&lt;FW81,TRUE),IF(AND(FW81="",FV81&lt;&gt;""),TRUE))</formula>
    </cfRule>
    <cfRule type="expression" dxfId="215" priority="217">
      <formula>IF(FV81&gt;=FW81,IF(FV81="",FALSE,TRUE))</formula>
    </cfRule>
  </conditionalFormatting>
  <conditionalFormatting sqref="FT83:FT93">
    <cfRule type="expression" dxfId="214" priority="214">
      <formula>OR(IF(FT83&lt;FU83,TRUE),IF(AND(FU83="",FT83&lt;&gt;""),TRUE))</formula>
    </cfRule>
    <cfRule type="expression" dxfId="213" priority="215">
      <formula>IF(FT83&gt;=FU83,IF(FT83="",FALSE,TRUE))</formula>
    </cfRule>
  </conditionalFormatting>
  <conditionalFormatting sqref="J95:K95">
    <cfRule type="colorScale" priority="209">
      <colorScale>
        <cfvo type="percent" val="0"/>
        <cfvo type="percent" val="100"/>
        <color rgb="FFFF231B"/>
        <color rgb="FF10FF07"/>
      </colorScale>
    </cfRule>
  </conditionalFormatting>
  <conditionalFormatting sqref="J95">
    <cfRule type="colorScale" priority="210">
      <colorScale>
        <cfvo type="percent" val="0"/>
        <cfvo type="percent" val="100"/>
        <color rgb="FFFF231B"/>
        <color rgb="FF10FF07"/>
      </colorScale>
    </cfRule>
  </conditionalFormatting>
  <conditionalFormatting sqref="K95">
    <cfRule type="colorScale" priority="211">
      <colorScale>
        <cfvo type="percent" val="0"/>
        <cfvo type="percent" val="100"/>
        <color rgb="FFFF231B"/>
        <color rgb="FF10FF07"/>
      </colorScale>
    </cfRule>
  </conditionalFormatting>
  <conditionalFormatting sqref="J96">
    <cfRule type="colorScale" priority="207">
      <colorScale>
        <cfvo type="percent" val="0"/>
        <cfvo type="percent" val="100"/>
        <color rgb="FFFF231B"/>
        <color rgb="FF10FF07"/>
      </colorScale>
    </cfRule>
  </conditionalFormatting>
  <conditionalFormatting sqref="K96">
    <cfRule type="colorScale" priority="206">
      <colorScale>
        <cfvo type="percent" val="0"/>
        <cfvo type="percent" val="100"/>
        <color rgb="FFFF231B"/>
        <color rgb="FF10FF07"/>
      </colorScale>
    </cfRule>
  </conditionalFormatting>
  <conditionalFormatting sqref="J204:K204">
    <cfRule type="colorScale" priority="203">
      <colorScale>
        <cfvo type="percent" val="0"/>
        <cfvo type="percent" val="100"/>
        <color rgb="FFFF231B"/>
        <color rgb="FF10FF07"/>
      </colorScale>
    </cfRule>
  </conditionalFormatting>
  <conditionalFormatting sqref="J204">
    <cfRule type="colorScale" priority="204">
      <colorScale>
        <cfvo type="percent" val="0"/>
        <cfvo type="percent" val="100"/>
        <color rgb="FFFF231B"/>
        <color rgb="FF10FF07"/>
      </colorScale>
    </cfRule>
  </conditionalFormatting>
  <conditionalFormatting sqref="K204">
    <cfRule type="colorScale" priority="205">
      <colorScale>
        <cfvo type="percent" val="0"/>
        <cfvo type="percent" val="100"/>
        <color rgb="FFFF231B"/>
        <color rgb="FF10FF07"/>
      </colorScale>
    </cfRule>
  </conditionalFormatting>
  <conditionalFormatting sqref="J206:K216">
    <cfRule type="colorScale" priority="202">
      <colorScale>
        <cfvo type="percent" val="0"/>
        <cfvo type="percent" val="100"/>
        <color rgb="FFFF231B"/>
        <color rgb="FF10FF07"/>
      </colorScale>
    </cfRule>
  </conditionalFormatting>
  <conditionalFormatting sqref="J205:J216">
    <cfRule type="colorScale" priority="201">
      <colorScale>
        <cfvo type="percent" val="0"/>
        <cfvo type="percent" val="100"/>
        <color rgb="FFFF231B"/>
        <color rgb="FF10FF07"/>
      </colorScale>
    </cfRule>
  </conditionalFormatting>
  <conditionalFormatting sqref="K205:K216">
    <cfRule type="colorScale" priority="200">
      <colorScale>
        <cfvo type="percent" val="0"/>
        <cfvo type="percent" val="100"/>
        <color rgb="FFFF231B"/>
        <color rgb="FF10FF07"/>
      </colorScale>
    </cfRule>
  </conditionalFormatting>
  <conditionalFormatting sqref="AJ99:AJ108">
    <cfRule type="expression" dxfId="212" priority="170">
      <formula>OR(IF(AJ99&lt;AK99,TRUE),IF(AND(AK99="",AJ99&lt;&gt;""),TRUE))</formula>
    </cfRule>
    <cfRule type="expression" dxfId="211" priority="171">
      <formula>IF(AJ99&gt;=AK99,IF(AJ99="",FALSE,TRUE))</formula>
    </cfRule>
  </conditionalFormatting>
  <conditionalFormatting sqref="AL99:AL108">
    <cfRule type="expression" dxfId="210" priority="168">
      <formula>OR(IF(AL99&lt;AM99,TRUE),IF(AND(AM99="",AL99&lt;&gt;""),TRUE))</formula>
    </cfRule>
    <cfRule type="expression" dxfId="209" priority="169">
      <formula>IF(AL99&gt;=AM99,IF(AL99="",FALSE,TRUE))</formula>
    </cfRule>
  </conditionalFormatting>
  <conditionalFormatting sqref="O97:O98">
    <cfRule type="expression" dxfId="208" priority="198">
      <formula>OR(IF(O97&lt;P97,TRUE),IF(AND(P97="",O97&lt;&gt;""),TRUE))</formula>
    </cfRule>
    <cfRule type="expression" dxfId="207" priority="199">
      <formula>IF(O97&gt;=P97,IF(O97="",FALSE,TRUE))</formula>
    </cfRule>
  </conditionalFormatting>
  <conditionalFormatting sqref="Q97:Q98">
    <cfRule type="expression" dxfId="206" priority="196">
      <formula>OR(IF(Q97&lt;R97,TRUE),IF(AND(R97="",Q97&lt;&gt;""),TRUE))</formula>
    </cfRule>
    <cfRule type="expression" dxfId="205" priority="197">
      <formula>IF(Q97&gt;=R97,IF(Q97="",FALSE,TRUE))</formula>
    </cfRule>
  </conditionalFormatting>
  <conditionalFormatting sqref="Q99:Q108">
    <cfRule type="expression" dxfId="204" priority="192">
      <formula>OR(IF(Q99&lt;R99,TRUE),IF(AND(R99="",Q99&lt;&gt;""),TRUE))</formula>
    </cfRule>
    <cfRule type="expression" dxfId="203" priority="193">
      <formula>IF(Q99&gt;=R99,IF(Q99="",FALSE,TRUE))</formula>
    </cfRule>
  </conditionalFormatting>
  <conditionalFormatting sqref="O99:O108">
    <cfRule type="expression" dxfId="202" priority="194">
      <formula>OR(IF(O99&lt;P99,TRUE),IF(AND(P99="",O99&lt;&gt;""),TRUE))</formula>
    </cfRule>
    <cfRule type="expression" dxfId="201" priority="195">
      <formula>IF(O99&gt;=P99,IF(O99="",FALSE,TRUE))</formula>
    </cfRule>
  </conditionalFormatting>
  <conditionalFormatting sqref="V97:V98">
    <cfRule type="expression" dxfId="200" priority="190">
      <formula>OR(IF(V97&lt;W97,TRUE),IF(AND(W97="",V97&lt;&gt;""),TRUE))</formula>
    </cfRule>
    <cfRule type="expression" dxfId="199" priority="191">
      <formula>IF(V97&gt;=W97,IF(V97="",FALSE,TRUE))</formula>
    </cfRule>
  </conditionalFormatting>
  <conditionalFormatting sqref="X97:X98">
    <cfRule type="expression" dxfId="198" priority="188">
      <formula>OR(IF(X97&lt;Y97,TRUE),IF(AND(Y97="",X97&lt;&gt;""),TRUE))</formula>
    </cfRule>
    <cfRule type="expression" dxfId="197" priority="189">
      <formula>IF(X97&gt;=Y97,IF(X97="",FALSE,TRUE))</formula>
    </cfRule>
  </conditionalFormatting>
  <conditionalFormatting sqref="X99:X108">
    <cfRule type="expression" dxfId="196" priority="184">
      <formula>OR(IF(X99&lt;Y99,TRUE),IF(AND(Y99="",X99&lt;&gt;""),TRUE))</formula>
    </cfRule>
    <cfRule type="expression" dxfId="195" priority="185">
      <formula>IF(X99&gt;=Y99,IF(X99="",FALSE,TRUE))</formula>
    </cfRule>
  </conditionalFormatting>
  <conditionalFormatting sqref="V99:V108">
    <cfRule type="expression" dxfId="194" priority="186">
      <formula>OR(IF(V99&lt;W99,TRUE),IF(AND(W99="",V99&lt;&gt;""),TRUE))</formula>
    </cfRule>
    <cfRule type="expression" dxfId="193" priority="187">
      <formula>IF(V99&gt;=W99,IF(V99="",FALSE,TRUE))</formula>
    </cfRule>
  </conditionalFormatting>
  <conditionalFormatting sqref="AC97:AC98">
    <cfRule type="expression" dxfId="192" priority="182">
      <formula>OR(IF(AC97&lt;AD97,TRUE),IF(AND(AD97="",AC97&lt;&gt;""),TRUE))</formula>
    </cfRule>
    <cfRule type="expression" dxfId="191" priority="183">
      <formula>IF(AC97&gt;=AD97,IF(AC97="",FALSE,TRUE))</formula>
    </cfRule>
  </conditionalFormatting>
  <conditionalFormatting sqref="AE97:AE98">
    <cfRule type="expression" dxfId="190" priority="180">
      <formula>OR(IF(AE97&lt;AF97,TRUE),IF(AND(AF97="",AE97&lt;&gt;""),TRUE))</formula>
    </cfRule>
    <cfRule type="expression" dxfId="189" priority="181">
      <formula>IF(AE97&gt;=AF97,IF(AE97="",FALSE,TRUE))</formula>
    </cfRule>
  </conditionalFormatting>
  <conditionalFormatting sqref="AE99:AE108">
    <cfRule type="expression" dxfId="188" priority="176">
      <formula>OR(IF(AE99&lt;AF99,TRUE),IF(AND(AF99="",AE99&lt;&gt;""),TRUE))</formula>
    </cfRule>
    <cfRule type="expression" dxfId="187" priority="177">
      <formula>IF(AE99&gt;=AF99,IF(AE99="",FALSE,TRUE))</formula>
    </cfRule>
  </conditionalFormatting>
  <conditionalFormatting sqref="AC99:AC108">
    <cfRule type="expression" dxfId="186" priority="178">
      <formula>OR(IF(AC99&lt;AD99,TRUE),IF(AND(AD99="",AC99&lt;&gt;""),TRUE))</formula>
    </cfRule>
    <cfRule type="expression" dxfId="185" priority="179">
      <formula>IF(AC99&gt;=AD99,IF(AC99="",FALSE,TRUE))</formula>
    </cfRule>
  </conditionalFormatting>
  <conditionalFormatting sqref="AJ97:AJ98">
    <cfRule type="expression" dxfId="184" priority="174">
      <formula>OR(IF(AJ97&lt;AK97,TRUE),IF(AND(AK97="",AJ97&lt;&gt;""),TRUE))</formula>
    </cfRule>
    <cfRule type="expression" dxfId="183" priority="175">
      <formula>IF(AJ97&gt;=AK97,IF(AJ97="",FALSE,TRUE))</formula>
    </cfRule>
  </conditionalFormatting>
  <conditionalFormatting sqref="AL97:AL98">
    <cfRule type="expression" dxfId="182" priority="172">
      <formula>OR(IF(AL97&lt;AM97,TRUE),IF(AND(AM97="",AL97&lt;&gt;""),TRUE))</formula>
    </cfRule>
    <cfRule type="expression" dxfId="181" priority="173">
      <formula>IF(AL97&gt;=AM97,IF(AL97="",FALSE,TRUE))</formula>
    </cfRule>
  </conditionalFormatting>
  <conditionalFormatting sqref="AQ97:AQ98">
    <cfRule type="expression" dxfId="180" priority="166">
      <formula>OR(IF(AQ97&lt;AR97,TRUE),IF(AND(AR97="",AQ97&lt;&gt;""),TRUE))</formula>
    </cfRule>
    <cfRule type="expression" dxfId="179" priority="167">
      <formula>IF(AQ97&gt;=AR97,IF(AQ97="",FALSE,TRUE))</formula>
    </cfRule>
  </conditionalFormatting>
  <conditionalFormatting sqref="AS97:AS98">
    <cfRule type="expression" dxfId="178" priority="164">
      <formula>OR(IF(AS97&lt;AT97,TRUE),IF(AND(AT97="",AS97&lt;&gt;""),TRUE))</formula>
    </cfRule>
    <cfRule type="expression" dxfId="177" priority="165">
      <formula>IF(AS97&gt;=AT97,IF(AS97="",FALSE,TRUE))</formula>
    </cfRule>
  </conditionalFormatting>
  <conditionalFormatting sqref="AS99:AS108">
    <cfRule type="expression" dxfId="176" priority="160">
      <formula>OR(IF(AS99&lt;AT99,TRUE),IF(AND(AT99="",AS99&lt;&gt;""),TRUE))</formula>
    </cfRule>
    <cfRule type="expression" dxfId="175" priority="161">
      <formula>IF(AS99&gt;=AT99,IF(AS99="",FALSE,TRUE))</formula>
    </cfRule>
  </conditionalFormatting>
  <conditionalFormatting sqref="AQ99:AQ108">
    <cfRule type="expression" dxfId="174" priority="162">
      <formula>OR(IF(AQ99&lt;AR99,TRUE),IF(AND(AR99="",AQ99&lt;&gt;""),TRUE))</formula>
    </cfRule>
    <cfRule type="expression" dxfId="173" priority="163">
      <formula>IF(AQ99&gt;=AR99,IF(AQ99="",FALSE,TRUE))</formula>
    </cfRule>
  </conditionalFormatting>
  <conditionalFormatting sqref="J98:K108">
    <cfRule type="colorScale" priority="159">
      <colorScale>
        <cfvo type="percent" val="0"/>
        <cfvo type="percent" val="100"/>
        <color rgb="FFFF231B"/>
        <color rgb="FF10FF07"/>
      </colorScale>
    </cfRule>
  </conditionalFormatting>
  <conditionalFormatting sqref="J97:J108">
    <cfRule type="colorScale" priority="158">
      <colorScale>
        <cfvo type="percent" val="0"/>
        <cfvo type="percent" val="100"/>
        <color rgb="FFFF231B"/>
        <color rgb="FF10FF07"/>
      </colorScale>
    </cfRule>
  </conditionalFormatting>
  <conditionalFormatting sqref="K97:K108">
    <cfRule type="colorScale" priority="157">
      <colorScale>
        <cfvo type="percent" val="0"/>
        <cfvo type="percent" val="100"/>
        <color rgb="FFFF231B"/>
        <color rgb="FF10FF07"/>
      </colorScale>
    </cfRule>
  </conditionalFormatting>
  <conditionalFormatting sqref="BZ97:BZ98">
    <cfRule type="expression" dxfId="172" priority="155">
      <formula>OR(IF(BZ97&lt;CA97,TRUE),IF(AND(CA97="",BZ97&lt;&gt;""),TRUE))</formula>
    </cfRule>
    <cfRule type="expression" dxfId="171" priority="156">
      <formula>IF(BZ97&gt;=CA97,IF(BZ97="",FALSE,TRUE))</formula>
    </cfRule>
  </conditionalFormatting>
  <conditionalFormatting sqref="CB99:CB108">
    <cfRule type="expression" dxfId="170" priority="149">
      <formula>OR(IF(CB99&lt;CC99,TRUE),IF(AND(CC99="",CB99&lt;&gt;""),TRUE))</formula>
    </cfRule>
    <cfRule type="expression" dxfId="169" priority="150">
      <formula>IF(CB99&gt;=CC99,IF(CB99="",FALSE,TRUE))</formula>
    </cfRule>
  </conditionalFormatting>
  <conditionalFormatting sqref="CB97:CB98">
    <cfRule type="expression" dxfId="168" priority="153">
      <formula>OR(IF(CB97&lt;CC97,TRUE),IF(AND(CC97="",CB97&lt;&gt;""),TRUE))</formula>
    </cfRule>
    <cfRule type="expression" dxfId="167" priority="154">
      <formula>IF(CB97&gt;=CC97,IF(CB97="",FALSE,TRUE))</formula>
    </cfRule>
  </conditionalFormatting>
  <conditionalFormatting sqref="BZ99:BZ108">
    <cfRule type="expression" dxfId="166" priority="151">
      <formula>OR(IF(BZ99&lt;CA99,TRUE),IF(AND(CA99="",BZ99&lt;&gt;""),TRUE))</formula>
    </cfRule>
    <cfRule type="expression" dxfId="165" priority="152">
      <formula>IF(BZ99&gt;=CA99,IF(BZ99="",FALSE,TRUE))</formula>
    </cfRule>
  </conditionalFormatting>
  <conditionalFormatting sqref="CG97:CG98">
    <cfRule type="expression" dxfId="164" priority="147">
      <formula>OR(IF(CG97&lt;CH97,TRUE),IF(AND(CH97="",CG97&lt;&gt;""),TRUE))</formula>
    </cfRule>
    <cfRule type="expression" dxfId="163" priority="148">
      <formula>IF(CG97&gt;=CH97,IF(CG97="",FALSE,TRUE))</formula>
    </cfRule>
  </conditionalFormatting>
  <conditionalFormatting sqref="CI99:CI108">
    <cfRule type="expression" dxfId="162" priority="141">
      <formula>OR(IF(CI99&lt;CJ99,TRUE),IF(AND(CJ99="",CI99&lt;&gt;""),TRUE))</formula>
    </cfRule>
    <cfRule type="expression" dxfId="161" priority="142">
      <formula>IF(CI99&gt;=CJ99,IF(CI99="",FALSE,TRUE))</formula>
    </cfRule>
  </conditionalFormatting>
  <conditionalFormatting sqref="CI97:CI98">
    <cfRule type="expression" dxfId="160" priority="145">
      <formula>OR(IF(CI97&lt;CJ97,TRUE),IF(AND(CJ97="",CI97&lt;&gt;""),TRUE))</formula>
    </cfRule>
    <cfRule type="expression" dxfId="159" priority="146">
      <formula>IF(CI97&gt;=CJ97,IF(CI97="",FALSE,TRUE))</formula>
    </cfRule>
  </conditionalFormatting>
  <conditionalFormatting sqref="CG99:CG108">
    <cfRule type="expression" dxfId="158" priority="143">
      <formula>OR(IF(CG99&lt;CH99,TRUE),IF(AND(CH99="",CG99&lt;&gt;""),TRUE))</formula>
    </cfRule>
    <cfRule type="expression" dxfId="157" priority="144">
      <formula>IF(CG99&gt;=CH99,IF(CG99="",FALSE,TRUE))</formula>
    </cfRule>
  </conditionalFormatting>
  <conditionalFormatting sqref="CN97:CN98">
    <cfRule type="expression" dxfId="156" priority="139">
      <formula>OR(IF(CN97&lt;CO97,TRUE),IF(AND(CO97="",CN97&lt;&gt;""),TRUE))</formula>
    </cfRule>
    <cfRule type="expression" dxfId="155" priority="140">
      <formula>IF(CN97&gt;=CO97,IF(CN97="",FALSE,TRUE))</formula>
    </cfRule>
  </conditionalFormatting>
  <conditionalFormatting sqref="CP99:CP108">
    <cfRule type="expression" dxfId="154" priority="133">
      <formula>OR(IF(CP99&lt;CQ99,TRUE),IF(AND(CQ99="",CP99&lt;&gt;""),TRUE))</formula>
    </cfRule>
    <cfRule type="expression" dxfId="153" priority="134">
      <formula>IF(CP99&gt;=CQ99,IF(CP99="",FALSE,TRUE))</formula>
    </cfRule>
  </conditionalFormatting>
  <conditionalFormatting sqref="CP97:CP98">
    <cfRule type="expression" dxfId="152" priority="137">
      <formula>OR(IF(CP97&lt;CQ97,TRUE),IF(AND(CQ97="",CP97&lt;&gt;""),TRUE))</formula>
    </cfRule>
    <cfRule type="expression" dxfId="151" priority="138">
      <formula>IF(CP97&gt;=CQ97,IF(CP97="",FALSE,TRUE))</formula>
    </cfRule>
  </conditionalFormatting>
  <conditionalFormatting sqref="CN99:CN108">
    <cfRule type="expression" dxfId="150" priority="135">
      <formula>OR(IF(CN99&lt;CO99,TRUE),IF(AND(CO99="",CN99&lt;&gt;""),TRUE))</formula>
    </cfRule>
    <cfRule type="expression" dxfId="149" priority="136">
      <formula>IF(CN99&gt;=CO99,IF(CN99="",FALSE,TRUE))</formula>
    </cfRule>
  </conditionalFormatting>
  <conditionalFormatting sqref="CU97:CU98">
    <cfRule type="expression" dxfId="148" priority="131">
      <formula>OR(IF(CU97&lt;CV97,TRUE),IF(AND(CV97="",CU97&lt;&gt;""),TRUE))</formula>
    </cfRule>
    <cfRule type="expression" dxfId="147" priority="132">
      <formula>IF(CU97&gt;=CV97,IF(CU97="",FALSE,TRUE))</formula>
    </cfRule>
  </conditionalFormatting>
  <conditionalFormatting sqref="CW99:CW108">
    <cfRule type="expression" dxfId="146" priority="125">
      <formula>OR(IF(CW99&lt;CX99,TRUE),IF(AND(CX99="",CW99&lt;&gt;""),TRUE))</formula>
    </cfRule>
    <cfRule type="expression" dxfId="145" priority="126">
      <formula>IF(CW99&gt;=CX99,IF(CW99="",FALSE,TRUE))</formula>
    </cfRule>
  </conditionalFormatting>
  <conditionalFormatting sqref="CW97:CW98">
    <cfRule type="expression" dxfId="144" priority="129">
      <formula>OR(IF(CW97&lt;CX97,TRUE),IF(AND(CX97="",CW97&lt;&gt;""),TRUE))</formula>
    </cfRule>
    <cfRule type="expression" dxfId="143" priority="130">
      <formula>IF(CW97&gt;=CX97,IF(CW97="",FALSE,TRUE))</formula>
    </cfRule>
  </conditionalFormatting>
  <conditionalFormatting sqref="CU99:CU108">
    <cfRule type="expression" dxfId="142" priority="127">
      <formula>OR(IF(CU99&lt;CV99,TRUE),IF(AND(CV99="",CU99&lt;&gt;""),TRUE))</formula>
    </cfRule>
    <cfRule type="expression" dxfId="141" priority="128">
      <formula>IF(CU99&gt;=CV99,IF(CU99="",FALSE,TRUE))</formula>
    </cfRule>
  </conditionalFormatting>
  <conditionalFormatting sqref="DB97:DB98">
    <cfRule type="expression" dxfId="140" priority="123">
      <formula>OR(IF(DB97&lt;DC97,TRUE),IF(AND(DC97="",DB97&lt;&gt;""),TRUE))</formula>
    </cfRule>
    <cfRule type="expression" dxfId="139" priority="124">
      <formula>IF(DB97&gt;=DC97,IF(DB97="",FALSE,TRUE))</formula>
    </cfRule>
  </conditionalFormatting>
  <conditionalFormatting sqref="DD99:DD108">
    <cfRule type="expression" dxfId="138" priority="117">
      <formula>OR(IF(DD99&lt;DE99,TRUE),IF(AND(DE99="",DD99&lt;&gt;""),TRUE))</formula>
    </cfRule>
    <cfRule type="expression" dxfId="137" priority="118">
      <formula>IF(DD99&gt;=DE99,IF(DD99="",FALSE,TRUE))</formula>
    </cfRule>
  </conditionalFormatting>
  <conditionalFormatting sqref="DD97:DD98">
    <cfRule type="expression" dxfId="136" priority="121">
      <formula>OR(IF(DD97&lt;DE97,TRUE),IF(AND(DE97="",DD97&lt;&gt;""),TRUE))</formula>
    </cfRule>
    <cfRule type="expression" dxfId="135" priority="122">
      <formula>IF(DD97&gt;=DE97,IF(DD97="",FALSE,TRUE))</formula>
    </cfRule>
  </conditionalFormatting>
  <conditionalFormatting sqref="DB99:DB108">
    <cfRule type="expression" dxfId="134" priority="119">
      <formula>OR(IF(DB99&lt;DC99,TRUE),IF(AND(DC99="",DB99&lt;&gt;""),TRUE))</formula>
    </cfRule>
    <cfRule type="expression" dxfId="133" priority="120">
      <formula>IF(DB99&gt;=DC99,IF(DB99="",FALSE,TRUE))</formula>
    </cfRule>
  </conditionalFormatting>
  <conditionalFormatting sqref="AX97:AX98">
    <cfRule type="expression" dxfId="132" priority="115">
      <formula>OR(IF(AX97&lt;AY97,TRUE),IF(AND(AY97="",AX97&lt;&gt;""),TRUE))</formula>
    </cfRule>
    <cfRule type="expression" dxfId="131" priority="116">
      <formula>IF(AX97&gt;=AY97,IF(AX97="",FALSE,TRUE))</formula>
    </cfRule>
  </conditionalFormatting>
  <conditionalFormatting sqref="AZ97:AZ98">
    <cfRule type="expression" dxfId="130" priority="113">
      <formula>OR(IF(AZ97&lt;BA97,TRUE),IF(AND(BA97="",AZ97&lt;&gt;""),TRUE))</formula>
    </cfRule>
    <cfRule type="expression" dxfId="129" priority="114">
      <formula>IF(AZ97&gt;=BA97,IF(AZ97="",FALSE,TRUE))</formula>
    </cfRule>
  </conditionalFormatting>
  <conditionalFormatting sqref="AZ99:AZ108">
    <cfRule type="expression" dxfId="128" priority="109">
      <formula>OR(IF(AZ99&lt;BA99,TRUE),IF(AND(BA99="",AZ99&lt;&gt;""),TRUE))</formula>
    </cfRule>
    <cfRule type="expression" dxfId="127" priority="110">
      <formula>IF(AZ99&gt;=BA99,IF(AZ99="",FALSE,TRUE))</formula>
    </cfRule>
  </conditionalFormatting>
  <conditionalFormatting sqref="AX99:AX108">
    <cfRule type="expression" dxfId="126" priority="111">
      <formula>OR(IF(AX99&lt;AY99,TRUE),IF(AND(AY99="",AX99&lt;&gt;""),TRUE))</formula>
    </cfRule>
    <cfRule type="expression" dxfId="125" priority="112">
      <formula>IF(AX99&gt;=AY99,IF(AX99="",FALSE,TRUE))</formula>
    </cfRule>
  </conditionalFormatting>
  <conditionalFormatting sqref="BE97:BE98">
    <cfRule type="expression" dxfId="124" priority="107">
      <formula>OR(IF(BE97&lt;BF97,TRUE),IF(AND(BF97="",BE97&lt;&gt;""),TRUE))</formula>
    </cfRule>
    <cfRule type="expression" dxfId="123" priority="108">
      <formula>IF(BE97&gt;=BF97,IF(BE97="",FALSE,TRUE))</formula>
    </cfRule>
  </conditionalFormatting>
  <conditionalFormatting sqref="BG97:BG98">
    <cfRule type="expression" dxfId="122" priority="105">
      <formula>OR(IF(BG97&lt;BH97,TRUE),IF(AND(BH97="",BG97&lt;&gt;""),TRUE))</formula>
    </cfRule>
    <cfRule type="expression" dxfId="121" priority="106">
      <formula>IF(BG97&gt;=BH97,IF(BG97="",FALSE,TRUE))</formula>
    </cfRule>
  </conditionalFormatting>
  <conditionalFormatting sqref="BG99:BG108">
    <cfRule type="expression" dxfId="120" priority="101">
      <formula>OR(IF(BG99&lt;BH99,TRUE),IF(AND(BH99="",BG99&lt;&gt;""),TRUE))</formula>
    </cfRule>
    <cfRule type="expression" dxfId="119" priority="102">
      <formula>IF(BG99&gt;=BH99,IF(BG99="",FALSE,TRUE))</formula>
    </cfRule>
  </conditionalFormatting>
  <conditionalFormatting sqref="BE99:BE108">
    <cfRule type="expression" dxfId="118" priority="103">
      <formula>OR(IF(BE99&lt;BF99,TRUE),IF(AND(BF99="",BE99&lt;&gt;""),TRUE))</formula>
    </cfRule>
    <cfRule type="expression" dxfId="117" priority="104">
      <formula>IF(BE99&gt;=BF99,IF(BE99="",FALSE,TRUE))</formula>
    </cfRule>
  </conditionalFormatting>
  <conditionalFormatting sqref="BL97:BL98">
    <cfRule type="expression" dxfId="116" priority="99">
      <formula>OR(IF(BL97&lt;BM97,TRUE),IF(AND(BM97="",BL97&lt;&gt;""),TRUE))</formula>
    </cfRule>
    <cfRule type="expression" dxfId="115" priority="100">
      <formula>IF(BL97&gt;=BM97,IF(BL97="",FALSE,TRUE))</formula>
    </cfRule>
  </conditionalFormatting>
  <conditionalFormatting sqref="BN97:BN98">
    <cfRule type="expression" dxfId="114" priority="97">
      <formula>OR(IF(BN97&lt;BO97,TRUE),IF(AND(BO97="",BN97&lt;&gt;""),TRUE))</formula>
    </cfRule>
    <cfRule type="expression" dxfId="113" priority="98">
      <formula>IF(BN97&gt;=BO97,IF(BN97="",FALSE,TRUE))</formula>
    </cfRule>
  </conditionalFormatting>
  <conditionalFormatting sqref="BN99:BN108">
    <cfRule type="expression" dxfId="112" priority="93">
      <formula>OR(IF(BN99&lt;BO99,TRUE),IF(AND(BO99="",BN99&lt;&gt;""),TRUE))</formula>
    </cfRule>
    <cfRule type="expression" dxfId="111" priority="94">
      <formula>IF(BN99&gt;=BO99,IF(BN99="",FALSE,TRUE))</formula>
    </cfRule>
  </conditionalFormatting>
  <conditionalFormatting sqref="BL99:BL108">
    <cfRule type="expression" dxfId="110" priority="95">
      <formula>OR(IF(BL99&lt;BM99,TRUE),IF(AND(BM99="",BL99&lt;&gt;""),TRUE))</formula>
    </cfRule>
    <cfRule type="expression" dxfId="109" priority="96">
      <formula>IF(BL99&gt;=BM99,IF(BL99="",FALSE,TRUE))</formula>
    </cfRule>
  </conditionalFormatting>
  <conditionalFormatting sqref="BS97:BS98">
    <cfRule type="expression" dxfId="108" priority="91">
      <formula>OR(IF(BS97&lt;BT97,TRUE),IF(AND(BT97="",BS97&lt;&gt;""),TRUE))</formula>
    </cfRule>
    <cfRule type="expression" dxfId="107" priority="92">
      <formula>IF(BS97&gt;=BT97,IF(BS97="",FALSE,TRUE))</formula>
    </cfRule>
  </conditionalFormatting>
  <conditionalFormatting sqref="BU97:BU98">
    <cfRule type="expression" dxfId="106" priority="89">
      <formula>OR(IF(BU97&lt;BV97,TRUE),IF(AND(BV97="",BU97&lt;&gt;""),TRUE))</formula>
    </cfRule>
    <cfRule type="expression" dxfId="105" priority="90">
      <formula>IF(BU97&gt;=BV97,IF(BU97="",FALSE,TRUE))</formula>
    </cfRule>
  </conditionalFormatting>
  <conditionalFormatting sqref="BU99:BU108">
    <cfRule type="expression" dxfId="104" priority="85">
      <formula>OR(IF(BU99&lt;BV99,TRUE),IF(AND(BV99="",BU99&lt;&gt;""),TRUE))</formula>
    </cfRule>
    <cfRule type="expression" dxfId="103" priority="86">
      <formula>IF(BU99&gt;=BV99,IF(BU99="",FALSE,TRUE))</formula>
    </cfRule>
  </conditionalFormatting>
  <conditionalFormatting sqref="BS99:BS108">
    <cfRule type="expression" dxfId="102" priority="87">
      <formula>OR(IF(BS99&lt;BT99,TRUE),IF(AND(BT99="",BS99&lt;&gt;""),TRUE))</formula>
    </cfRule>
    <cfRule type="expression" dxfId="101" priority="88">
      <formula>IF(BS99&gt;=BT99,IF(BS99="",FALSE,TRUE))</formula>
    </cfRule>
  </conditionalFormatting>
  <conditionalFormatting sqref="DI97:DI98">
    <cfRule type="expression" dxfId="100" priority="83">
      <formula>OR(IF(DI97&lt;DJ97,TRUE),IF(AND(DJ97="",DI97&lt;&gt;""),TRUE))</formula>
    </cfRule>
    <cfRule type="expression" dxfId="99" priority="84">
      <formula>IF(DI97&gt;=DJ97,IF(DI97="",FALSE,TRUE))</formula>
    </cfRule>
  </conditionalFormatting>
  <conditionalFormatting sqref="DK99:DK108">
    <cfRule type="expression" dxfId="98" priority="77">
      <formula>OR(IF(DK99&lt;DL99,TRUE),IF(AND(DL99="",DK99&lt;&gt;""),TRUE))</formula>
    </cfRule>
    <cfRule type="expression" dxfId="97" priority="78">
      <formula>IF(DK99&gt;=DL99,IF(DK99="",FALSE,TRUE))</formula>
    </cfRule>
  </conditionalFormatting>
  <conditionalFormatting sqref="DK97:DK98">
    <cfRule type="expression" dxfId="96" priority="81">
      <formula>OR(IF(DK97&lt;DL97,TRUE),IF(AND(DL97="",DK97&lt;&gt;""),TRUE))</formula>
    </cfRule>
    <cfRule type="expression" dxfId="95" priority="82">
      <formula>IF(DK97&gt;=DL97,IF(DK97="",FALSE,TRUE))</formula>
    </cfRule>
  </conditionalFormatting>
  <conditionalFormatting sqref="DI99:DI108">
    <cfRule type="expression" dxfId="94" priority="79">
      <formula>OR(IF(DI99&lt;DJ99,TRUE),IF(AND(DJ99="",DI99&lt;&gt;""),TRUE))</formula>
    </cfRule>
    <cfRule type="expression" dxfId="93" priority="80">
      <formula>IF(DI99&gt;=DJ99,IF(DI99="",FALSE,TRUE))</formula>
    </cfRule>
  </conditionalFormatting>
  <conditionalFormatting sqref="DP97:DP98">
    <cfRule type="expression" dxfId="92" priority="75">
      <formula>OR(IF(DP97&lt;DQ97,TRUE),IF(AND(DQ97="",DP97&lt;&gt;""),TRUE))</formula>
    </cfRule>
    <cfRule type="expression" dxfId="91" priority="76">
      <formula>IF(DP97&gt;=DQ97,IF(DP97="",FALSE,TRUE))</formula>
    </cfRule>
  </conditionalFormatting>
  <conditionalFormatting sqref="DR99:DR108">
    <cfRule type="expression" dxfId="90" priority="69">
      <formula>OR(IF(DR99&lt;DS99,TRUE),IF(AND(DS99="",DR99&lt;&gt;""),TRUE))</formula>
    </cfRule>
    <cfRule type="expression" dxfId="89" priority="70">
      <formula>IF(DR99&gt;=DS99,IF(DR99="",FALSE,TRUE))</formula>
    </cfRule>
  </conditionalFormatting>
  <conditionalFormatting sqref="DR97:DR98">
    <cfRule type="expression" dxfId="88" priority="73">
      <formula>OR(IF(DR97&lt;DS97,TRUE),IF(AND(DS97="",DR97&lt;&gt;""),TRUE))</formula>
    </cfRule>
    <cfRule type="expression" dxfId="87" priority="74">
      <formula>IF(DR97&gt;=DS97,IF(DR97="",FALSE,TRUE))</formula>
    </cfRule>
  </conditionalFormatting>
  <conditionalFormatting sqref="DP99:DP108">
    <cfRule type="expression" dxfId="86" priority="71">
      <formula>OR(IF(DP99&lt;DQ99,TRUE),IF(AND(DQ99="",DP99&lt;&gt;""),TRUE))</formula>
    </cfRule>
    <cfRule type="expression" dxfId="85" priority="72">
      <formula>IF(DP99&gt;=DQ99,IF(DP99="",FALSE,TRUE))</formula>
    </cfRule>
  </conditionalFormatting>
  <conditionalFormatting sqref="DW97:DW98">
    <cfRule type="expression" dxfId="84" priority="67">
      <formula>OR(IF(DW97&lt;DX97,TRUE),IF(AND(DX97="",DW97&lt;&gt;""),TRUE))</formula>
    </cfRule>
    <cfRule type="expression" dxfId="83" priority="68">
      <formula>IF(DW97&gt;=DX97,IF(DW97="",FALSE,TRUE))</formula>
    </cfRule>
  </conditionalFormatting>
  <conditionalFormatting sqref="DY99:DY108">
    <cfRule type="expression" dxfId="82" priority="61">
      <formula>OR(IF(DY99&lt;DZ99,TRUE),IF(AND(DZ99="",DY99&lt;&gt;""),TRUE))</formula>
    </cfRule>
    <cfRule type="expression" dxfId="81" priority="62">
      <formula>IF(DY99&gt;=DZ99,IF(DY99="",FALSE,TRUE))</formula>
    </cfRule>
  </conditionalFormatting>
  <conditionalFormatting sqref="DY97:DY98">
    <cfRule type="expression" dxfId="80" priority="65">
      <formula>OR(IF(DY97&lt;DZ97,TRUE),IF(AND(DZ97="",DY97&lt;&gt;""),TRUE))</formula>
    </cfRule>
    <cfRule type="expression" dxfId="79" priority="66">
      <formula>IF(DY97&gt;=DZ97,IF(DY97="",FALSE,TRUE))</formula>
    </cfRule>
  </conditionalFormatting>
  <conditionalFormatting sqref="DW99:DW108">
    <cfRule type="expression" dxfId="78" priority="63">
      <formula>OR(IF(DW99&lt;DX99,TRUE),IF(AND(DX99="",DW99&lt;&gt;""),TRUE))</formula>
    </cfRule>
    <cfRule type="expression" dxfId="77" priority="64">
      <formula>IF(DW99&gt;=DX99,IF(DW99="",FALSE,TRUE))</formula>
    </cfRule>
  </conditionalFormatting>
  <conditionalFormatting sqref="ED97:ED98">
    <cfRule type="expression" dxfId="76" priority="59">
      <formula>OR(IF(ED97&lt;EE97,TRUE),IF(AND(EE97="",ED97&lt;&gt;""),TRUE))</formula>
    </cfRule>
    <cfRule type="expression" dxfId="75" priority="60">
      <formula>IF(ED97&gt;=EE97,IF(ED97="",FALSE,TRUE))</formula>
    </cfRule>
  </conditionalFormatting>
  <conditionalFormatting sqref="EF99:EF108">
    <cfRule type="expression" dxfId="74" priority="53">
      <formula>OR(IF(EF99&lt;EG99,TRUE),IF(AND(EG99="",EF99&lt;&gt;""),TRUE))</formula>
    </cfRule>
    <cfRule type="expression" dxfId="73" priority="54">
      <formula>IF(EF99&gt;=EG99,IF(EF99="",FALSE,TRUE))</formula>
    </cfRule>
  </conditionalFormatting>
  <conditionalFormatting sqref="EF97:EF98">
    <cfRule type="expression" dxfId="72" priority="57">
      <formula>OR(IF(EF97&lt;EG97,TRUE),IF(AND(EG97="",EF97&lt;&gt;""),TRUE))</formula>
    </cfRule>
    <cfRule type="expression" dxfId="71" priority="58">
      <formula>IF(EF97&gt;=EG97,IF(EF97="",FALSE,TRUE))</formula>
    </cfRule>
  </conditionalFormatting>
  <conditionalFormatting sqref="ED99:ED108">
    <cfRule type="expression" dxfId="70" priority="55">
      <formula>OR(IF(ED99&lt;EE99,TRUE),IF(AND(EE99="",ED99&lt;&gt;""),TRUE))</formula>
    </cfRule>
    <cfRule type="expression" dxfId="69" priority="56">
      <formula>IF(ED99&gt;=EE99,IF(ED99="",FALSE,TRUE))</formula>
    </cfRule>
  </conditionalFormatting>
  <conditionalFormatting sqref="EK97:EK98">
    <cfRule type="expression" dxfId="68" priority="51">
      <formula>OR(IF(EK97&lt;EL97,TRUE),IF(AND(EL97="",EK97&lt;&gt;""),TRUE))</formula>
    </cfRule>
    <cfRule type="expression" dxfId="67" priority="52">
      <formula>IF(EK97&gt;=EL97,IF(EK97="",FALSE,TRUE))</formula>
    </cfRule>
  </conditionalFormatting>
  <conditionalFormatting sqref="EM99:EM108">
    <cfRule type="expression" dxfId="66" priority="45">
      <formula>OR(IF(EM99&lt;EN99,TRUE),IF(AND(EN99="",EM99&lt;&gt;""),TRUE))</formula>
    </cfRule>
    <cfRule type="expression" dxfId="65" priority="46">
      <formula>IF(EM99&gt;=EN99,IF(EM99="",FALSE,TRUE))</formula>
    </cfRule>
  </conditionalFormatting>
  <conditionalFormatting sqref="EM97:EM98">
    <cfRule type="expression" dxfId="64" priority="49">
      <formula>OR(IF(EM97&lt;EN97,TRUE),IF(AND(EN97="",EM97&lt;&gt;""),TRUE))</formula>
    </cfRule>
    <cfRule type="expression" dxfId="63" priority="50">
      <formula>IF(EM97&gt;=EN97,IF(EM97="",FALSE,TRUE))</formula>
    </cfRule>
  </conditionalFormatting>
  <conditionalFormatting sqref="EK99:EK108">
    <cfRule type="expression" dxfId="62" priority="47">
      <formula>OR(IF(EK99&lt;EL99,TRUE),IF(AND(EL99="",EK99&lt;&gt;""),TRUE))</formula>
    </cfRule>
    <cfRule type="expression" dxfId="61" priority="48">
      <formula>IF(EK99&gt;=EL99,IF(EK99="",FALSE,TRUE))</formula>
    </cfRule>
  </conditionalFormatting>
  <conditionalFormatting sqref="ER97:ER98">
    <cfRule type="expression" dxfId="60" priority="43">
      <formula>OR(IF(ER97&lt;ES97,TRUE),IF(AND(ES97="",ER97&lt;&gt;""),TRUE))</formula>
    </cfRule>
    <cfRule type="expression" dxfId="59" priority="44">
      <formula>IF(ER97&gt;=ES97,IF(ER97="",FALSE,TRUE))</formula>
    </cfRule>
  </conditionalFormatting>
  <conditionalFormatting sqref="ET99:ET108">
    <cfRule type="expression" dxfId="58" priority="37">
      <formula>OR(IF(ET99&lt;EU99,TRUE),IF(AND(EU99="",ET99&lt;&gt;""),TRUE))</formula>
    </cfRule>
    <cfRule type="expression" dxfId="57" priority="38">
      <formula>IF(ET99&gt;=EU99,IF(ET99="",FALSE,TRUE))</formula>
    </cfRule>
  </conditionalFormatting>
  <conditionalFormatting sqref="ET97:ET98">
    <cfRule type="expression" dxfId="56" priority="41">
      <formula>OR(IF(ET97&lt;EU97,TRUE),IF(AND(EU97="",ET97&lt;&gt;""),TRUE))</formula>
    </cfRule>
    <cfRule type="expression" dxfId="55" priority="42">
      <formula>IF(ET97&gt;=EU97,IF(ET97="",FALSE,TRUE))</formula>
    </cfRule>
  </conditionalFormatting>
  <conditionalFormatting sqref="ER99:ER108">
    <cfRule type="expression" dxfId="54" priority="39">
      <formula>OR(IF(ER99&lt;ES99,TRUE),IF(AND(ES99="",ER99&lt;&gt;""),TRUE))</formula>
    </cfRule>
    <cfRule type="expression" dxfId="53" priority="40">
      <formula>IF(ER99&gt;=ES99,IF(ER99="",FALSE,TRUE))</formula>
    </cfRule>
  </conditionalFormatting>
  <conditionalFormatting sqref="EY97:EY98">
    <cfRule type="expression" dxfId="52" priority="35">
      <formula>OR(IF(EY97&lt;EZ97,TRUE),IF(AND(EZ97="",EY97&lt;&gt;""),TRUE))</formula>
    </cfRule>
    <cfRule type="expression" dxfId="51" priority="36">
      <formula>IF(EY97&gt;=EZ97,IF(EY97="",FALSE,TRUE))</formula>
    </cfRule>
  </conditionalFormatting>
  <conditionalFormatting sqref="FA99:FA108">
    <cfRule type="expression" dxfId="50" priority="29">
      <formula>OR(IF(FA99&lt;FB99,TRUE),IF(AND(FB99="",FA99&lt;&gt;""),TRUE))</formula>
    </cfRule>
    <cfRule type="expression" dxfId="49" priority="30">
      <formula>IF(FA99&gt;=FB99,IF(FA99="",FALSE,TRUE))</formula>
    </cfRule>
  </conditionalFormatting>
  <conditionalFormatting sqref="FA97:FA98">
    <cfRule type="expression" dxfId="48" priority="33">
      <formula>OR(IF(FA97&lt;FB97,TRUE),IF(AND(FB97="",FA97&lt;&gt;""),TRUE))</formula>
    </cfRule>
    <cfRule type="expression" dxfId="47" priority="34">
      <formula>IF(FA97&gt;=FB97,IF(FA97="",FALSE,TRUE))</formula>
    </cfRule>
  </conditionalFormatting>
  <conditionalFormatting sqref="EY99:EY108">
    <cfRule type="expression" dxfId="46" priority="31">
      <formula>OR(IF(EY99&lt;EZ99,TRUE),IF(AND(EZ99="",EY99&lt;&gt;""),TRUE))</formula>
    </cfRule>
    <cfRule type="expression" dxfId="45" priority="32">
      <formula>IF(EY99&gt;=EZ99,IF(EY99="",FALSE,TRUE))</formula>
    </cfRule>
  </conditionalFormatting>
  <conditionalFormatting sqref="FF97:FF98">
    <cfRule type="expression" dxfId="44" priority="27">
      <formula>OR(IF(FF97&lt;FG97,TRUE),IF(AND(FG97="",FF97&lt;&gt;""),TRUE))</formula>
    </cfRule>
    <cfRule type="expression" dxfId="43" priority="28">
      <formula>IF(FF97&gt;=FG97,IF(FF97="",FALSE,TRUE))</formula>
    </cfRule>
  </conditionalFormatting>
  <conditionalFormatting sqref="FH99:FH108">
    <cfRule type="expression" dxfId="42" priority="21">
      <formula>OR(IF(FH99&lt;FI99,TRUE),IF(AND(FI99="",FH99&lt;&gt;""),TRUE))</formula>
    </cfRule>
    <cfRule type="expression" dxfId="41" priority="22">
      <formula>IF(FH99&gt;=FI99,IF(FH99="",FALSE,TRUE))</formula>
    </cfRule>
  </conditionalFormatting>
  <conditionalFormatting sqref="FH97:FH98">
    <cfRule type="expression" dxfId="40" priority="25">
      <formula>OR(IF(FH97&lt;FI97,TRUE),IF(AND(FI97="",FH97&lt;&gt;""),TRUE))</formula>
    </cfRule>
    <cfRule type="expression" dxfId="39" priority="26">
      <formula>IF(FH97&gt;=FI97,IF(FH97="",FALSE,TRUE))</formula>
    </cfRule>
  </conditionalFormatting>
  <conditionalFormatting sqref="FF99:FF108">
    <cfRule type="expression" dxfId="38" priority="23">
      <formula>OR(IF(FF99&lt;FG99,TRUE),IF(AND(FG99="",FF99&lt;&gt;""),TRUE))</formula>
    </cfRule>
    <cfRule type="expression" dxfId="37" priority="24">
      <formula>IF(FF99&gt;=FG99,IF(FF99="",FALSE,TRUE))</formula>
    </cfRule>
  </conditionalFormatting>
  <conditionalFormatting sqref="FM97:FM98">
    <cfRule type="expression" dxfId="36" priority="19">
      <formula>OR(IF(FM97&lt;FN97,TRUE),IF(AND(FN97="",FM97&lt;&gt;""),TRUE))</formula>
    </cfRule>
    <cfRule type="expression" dxfId="35" priority="20">
      <formula>IF(FM97&gt;=FN97,IF(FM97="",FALSE,TRUE))</formula>
    </cfRule>
  </conditionalFormatting>
  <conditionalFormatting sqref="FO99:FO108">
    <cfRule type="expression" dxfId="34" priority="13">
      <formula>OR(IF(FO99&lt;FP99,TRUE),IF(AND(FP99="",FO99&lt;&gt;""),TRUE))</formula>
    </cfRule>
    <cfRule type="expression" dxfId="33" priority="14">
      <formula>IF(FO99&gt;=FP99,IF(FO99="",FALSE,TRUE))</formula>
    </cfRule>
  </conditionalFormatting>
  <conditionalFormatting sqref="FO97:FO98">
    <cfRule type="expression" dxfId="32" priority="17">
      <formula>OR(IF(FO97&lt;FP97,TRUE),IF(AND(FP97="",FO97&lt;&gt;""),TRUE))</formula>
    </cfRule>
    <cfRule type="expression" dxfId="31" priority="18">
      <formula>IF(FO97&gt;=FP97,IF(FO97="",FALSE,TRUE))</formula>
    </cfRule>
  </conditionalFormatting>
  <conditionalFormatting sqref="FM99:FM108">
    <cfRule type="expression" dxfId="30" priority="15">
      <formula>OR(IF(FM99&lt;FN99,TRUE),IF(AND(FN99="",FM99&lt;&gt;""),TRUE))</formula>
    </cfRule>
    <cfRule type="expression" dxfId="29" priority="16">
      <formula>IF(FM99&gt;=FN99,IF(FM99="",FALSE,TRUE))</formula>
    </cfRule>
  </conditionalFormatting>
  <conditionalFormatting sqref="FT97:FT98">
    <cfRule type="expression" dxfId="28" priority="11">
      <formula>OR(IF(FT97&lt;FU97,TRUE),IF(AND(FU97="",FT97&lt;&gt;""),TRUE))</formula>
    </cfRule>
    <cfRule type="expression" dxfId="27" priority="12">
      <formula>IF(FT97&gt;=FU97,IF(FT97="",FALSE,TRUE))</formula>
    </cfRule>
  </conditionalFormatting>
  <conditionalFormatting sqref="FV99:FV108">
    <cfRule type="expression" dxfId="26" priority="5">
      <formula>OR(IF(FV99&lt;FW99,TRUE),IF(AND(FW99="",FV99&lt;&gt;""),TRUE))</formula>
    </cfRule>
    <cfRule type="expression" dxfId="25" priority="6">
      <formula>IF(FV99&gt;=FW99,IF(FV99="",FALSE,TRUE))</formula>
    </cfRule>
  </conditionalFormatting>
  <conditionalFormatting sqref="FV97:FV98">
    <cfRule type="expression" dxfId="24" priority="9">
      <formula>OR(IF(FV97&lt;FW97,TRUE),IF(AND(FW97="",FV97&lt;&gt;""),TRUE))</formula>
    </cfRule>
    <cfRule type="expression" dxfId="23" priority="10">
      <formula>IF(FV97&gt;=FW97,IF(FV97="",FALSE,TRUE))</formula>
    </cfRule>
  </conditionalFormatting>
  <conditionalFormatting sqref="FT99:FT108">
    <cfRule type="expression" dxfId="22" priority="7">
      <formula>OR(IF(FT99&lt;FU99,TRUE),IF(AND(FU99="",FT99&lt;&gt;""),TRUE))</formula>
    </cfRule>
    <cfRule type="expression" dxfId="21" priority="8">
      <formula>IF(FT99&gt;=FU99,IF(FT99="",FALSE,TRUE))</formula>
    </cfRule>
  </conditionalFormatting>
  <conditionalFormatting sqref="FF5:FF17 FH5:FH17">
    <cfRule type="expression" dxfId="3" priority="3">
      <formula>OR(IF(FF5&lt;FG5,TRUE),IF(AND(FG5="",FF5&lt;&gt;""),TRUE))</formula>
    </cfRule>
    <cfRule type="expression" dxfId="2" priority="4">
      <formula>IF(FF5&gt;=FG5,IF(FF5="",FALSE,TRUE))</formula>
    </cfRule>
  </conditionalFormatting>
  <conditionalFormatting sqref="EY5:EY17 FA5:FA17">
    <cfRule type="expression" dxfId="1" priority="1">
      <formula>OR(IF(EY5&lt;EZ5,TRUE),IF(AND(EZ5="",EY5&lt;&gt;""),TRUE))</formula>
    </cfRule>
    <cfRule type="expression" dxfId="0" priority="2">
      <formula>IF(EY5&gt;=EZ5,IF(EY5="",FALSE,TRUE))</formula>
    </cfRule>
  </conditionalFormatting>
  <dataValidations count="1">
    <dataValidation type="list" allowBlank="1" showInputMessage="1" showErrorMessage="1" sqref="V5:Y19 AC5:AF19 AJ5:AM19 AQ5:AT19 AX5:BA19 BE5:BH19 BL5:BO19 FF80:FI93 BL22:BO32 O35:R47 AX22:BA32 AQ22:AT32 AJ22:AM32 AC22:AF32 V22:Y32 BZ5:CC19 BS5:BV19 BS22:BV32 BZ22:CC32 BE22:BH32 CG5:CJ19 CG22:CJ32 CN5:CQ19 CN22:CQ32 CU5:CX19 CU22:CX32 DB5:DE19 DB22:DE32 AJ51:AM76 AJ35:AM47 CG51:CJ76 CG35:CJ47 BL51:BO76 BL35:BO47 AX51:BA76 AX35:BA47 BE51:BH76 BE35:BH47 AQ51:AT76 AQ35:AT47 AC51:AF76 AC35:AF47 V51:Y76 V35:Y47 O51:R76 FT51:FW76 BS51:BV76 BS35:BV47 BZ51:CC76 BZ35:CC47 CU51:CX76 DB35:DE47 FT97:FW108 CN35:CQ47 CN97:CQ108 CU35:CX47 DW35:DZ47 DI35:DL47 DI80:DL93 DP35:DS47 AJ80:AM93 CG80:CJ93 BL80:BO93 AX80:BA93 BE80:BH93 AQ80:AT93 AC80:AF93 V80:Y93 O80:R93 BS80:BV93 BZ80:CC93 DB80:DE93 CN51:CQ76 CU80:CX93 DW80:DZ93 DP80:DS93 DI5:DL19 DI22:DL32 DB51:DE76 DP5:DS19 DP22:DS32 DP51:DS76 DW5:DZ19 DW22:DZ32 DW51:DZ76 ED5:EG19 ED22:EG32 ED51:EG76 ED35:EG47 ED80:EG93 EK5:EN19 EK22:EN32 EK51:EN76 EK35:EN47 EK80:EN93 ER5:EU19 ER22:EU32 ER51:EU76 ER35:EU47 ER80:EU93 FF5:FI19 EY22:FB32 EY51:FB76 EY35:FB47 EY80:FB93 FO80:FP93 FF51:FI76 FF22:FI32 DI51:DL76 FF35:FI47 FT80:FW93 FN80:FN94 FM22:FP32 FM5:FP19 FM35:FP47 O22:R32 FT35:FW47 FT22:FW32 FT5:FW19 FM80:FM93 FM51:FP76 O5:R19 FF97:FI108 DI97:DL108 AJ97:AM108 CG97:CJ108 BL97:BO108 AX97:BA108 BE97:BH108 AQ97:AT108 AC97:AF108 V97:Y108 O97:R108 BS97:BV108 BZ97:CC108 DB97:DE108 CN80:CQ93 CU97:CX108 DW97:DZ108 DP97:DS108 ED97:EG108 EK97:EN108 ER97:EU108 EY97:FB108 FM97:FP108 EY5:FB19"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 workbookViewId="0">
      <selection activeCell="B18" sqref="B17:B18"/>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38</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37</v>
      </c>
    </row>
    <row r="19" spans="2:2" ht="153" x14ac:dyDescent="0.2">
      <c r="B19" s="1" t="s">
        <v>39</v>
      </c>
    </row>
    <row r="21" spans="2:2" x14ac:dyDescent="0.2">
      <c r="B21" s="3" t="s">
        <v>21</v>
      </c>
    </row>
    <row r="22" spans="2:2" ht="136" x14ac:dyDescent="0.2">
      <c r="B22" s="1" t="s">
        <v>40</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36" sqref="D36"/>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44</v>
      </c>
      <c r="B1" s="17" t="s">
        <v>41</v>
      </c>
      <c r="C1" s="17" t="s">
        <v>42</v>
      </c>
      <c r="D1" s="17" t="s">
        <v>43</v>
      </c>
      <c r="E1" s="1" t="s">
        <v>45</v>
      </c>
      <c r="F1" s="1" t="s">
        <v>46</v>
      </c>
      <c r="G1" s="1" t="s">
        <v>47</v>
      </c>
      <c r="H1" s="1" t="s">
        <v>48</v>
      </c>
      <c r="I1" s="1" t="s">
        <v>49</v>
      </c>
      <c r="J1" s="1" t="s">
        <v>50</v>
      </c>
      <c r="K1" s="1" t="s">
        <v>51</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20" priority="14" operator="equal">
      <formula>"Ja"</formula>
    </cfRule>
    <cfRule type="cellIs" dxfId="19" priority="15" operator="equal">
      <formula>"Nein"</formula>
    </cfRule>
  </conditionalFormatting>
  <conditionalFormatting sqref="D2">
    <cfRule type="cellIs" dxfId="18" priority="6" operator="equal">
      <formula>1</formula>
    </cfRule>
    <cfRule type="cellIs" dxfId="17" priority="7" operator="equal">
      <formula>0.8</formula>
    </cfRule>
    <cfRule type="cellIs" dxfId="16" priority="8" operator="equal">
      <formula>0.6</formula>
    </cfRule>
    <cfRule type="cellIs" dxfId="15" priority="9" operator="equal">
      <formula>0.4</formula>
    </cfRule>
    <cfRule type="cellIs" dxfId="14" priority="10" operator="equal">
      <formula>0.2</formula>
    </cfRule>
    <cfRule type="cellIs" dxfId="13" priority="11" operator="equal">
      <formula>0</formula>
    </cfRule>
  </conditionalFormatting>
  <conditionalFormatting sqref="B2:B46">
    <cfRule type="cellIs" dxfId="12" priority="4" operator="equal">
      <formula>"Ja"</formula>
    </cfRule>
  </conditionalFormatting>
  <conditionalFormatting sqref="C2:C46">
    <cfRule type="cellIs" dxfId="11" priority="2" operator="equal">
      <formula>"Ja"</formula>
    </cfRule>
    <cfRule type="cellIs" dxfId="10" priority="3" operator="equal">
      <formula>"Nein"</formula>
    </cfRule>
  </conditionalFormatting>
  <conditionalFormatting sqref="C2:C46">
    <cfRule type="cellIs" dxfId="9"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58C9FD-BC48-42A9-8F0A-1B33CCFC6DCC}">
  <ds:schemaRefs>
    <ds:schemaRef ds:uri="http://www.w3.org/2001/XMLSchema"/>
    <ds:schemaRef ds:uri="http://bilanza.com/cachedValue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2022-08-04T17:30:57Z</dcterms:modified>
</cp:coreProperties>
</file>