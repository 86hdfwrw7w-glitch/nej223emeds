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tomas\Desktop\"/>
    </mc:Choice>
  </mc:AlternateContent>
  <xr:revisionPtr revIDLastSave="0" documentId="13_ncr:1_{7E8476F4-5AF4-43C7-BE05-6FC38AADEAB3}" xr6:coauthVersionLast="45" xr6:coauthVersionMax="45" xr10:uidLastSave="{00000000-0000-0000-0000-000000000000}"/>
  <bookViews>
    <workbookView xWindow="-120" yWindow="-120" windowWidth="29040" windowHeight="15840" firstSheet="2" activeTab="2" xr2:uid="{50F29292-BE80-0C47-A0D2-DD086CB3D310}"/>
  </bookViews>
  <sheets>
    <sheet name="Anleitung" sheetId="2" r:id="rId1"/>
    <sheet name="COMMITTMENT" sheetId="9" r:id="rId2"/>
    <sheet name="Semesterplan" sheetId="7" r:id="rId3"/>
    <sheet name="Wochenplan KW 16" sheetId="17" state="hidden" r:id="rId4"/>
    <sheet name="Wochenplan KW 17" sheetId="3" r:id="rId5"/>
    <sheet name="Wochenplan KW 18" sheetId="8" r:id="rId6"/>
    <sheet name="Wochenplan KW 19" sheetId="10" r:id="rId7"/>
    <sheet name="Wochenplan KW 20" sheetId="11" r:id="rId8"/>
    <sheet name="Wochenplan KW 21" sheetId="12" r:id="rId9"/>
    <sheet name="Wochenplan KW 22" sheetId="13" r:id="rId10"/>
    <sheet name="Wochenplan KW 23" sheetId="14" r:id="rId11"/>
    <sheet name="Wochenplan KW 24" sheetId="15" r:id="rId12"/>
    <sheet name="Wochenplan KW 25" sheetId="16" r:id="rId13"/>
    <sheet name="Wochenplan KW 26" sheetId="18" r:id="rId14"/>
    <sheet name="Wochenplan KW 27" sheetId="19" r:id="rId15"/>
    <sheet name="Wochenplan KW 28" sheetId="20"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F83" i="7" l="1"/>
  <c r="BY83" i="7"/>
  <c r="BR83" i="7"/>
  <c r="BK83" i="7"/>
  <c r="BD83" i="7"/>
  <c r="AW83" i="7"/>
  <c r="AP83" i="7"/>
  <c r="AI83" i="7"/>
  <c r="CF62" i="7"/>
  <c r="BY62" i="7"/>
  <c r="BR62" i="7"/>
  <c r="BK62" i="7"/>
  <c r="BD62" i="7"/>
  <c r="AW62" i="7"/>
  <c r="AI62" i="7"/>
  <c r="J50" i="7"/>
  <c r="CF49" i="7"/>
  <c r="BY49" i="7"/>
  <c r="BR49" i="7"/>
  <c r="BK49" i="7"/>
  <c r="BD49" i="7"/>
  <c r="AW49" i="7"/>
  <c r="CF38" i="7"/>
  <c r="BY38" i="7"/>
  <c r="BR38" i="7"/>
  <c r="BK38" i="7"/>
  <c r="BD38" i="7"/>
  <c r="AW38" i="7"/>
  <c r="AB4" i="7"/>
  <c r="J44" i="7"/>
  <c r="K44" i="7"/>
  <c r="J45" i="7"/>
  <c r="K45" i="7"/>
  <c r="J46" i="7"/>
  <c r="K46" i="7"/>
  <c r="J47" i="7"/>
  <c r="K47" i="7"/>
  <c r="I44" i="7"/>
  <c r="I45" i="7"/>
  <c r="I46" i="7"/>
  <c r="I47" i="7"/>
  <c r="DH16" i="7" l="1"/>
  <c r="DH11" i="7"/>
  <c r="DH4" i="7"/>
  <c r="DH83" i="7"/>
  <c r="DH69" i="7"/>
  <c r="DH62" i="7"/>
  <c r="DH24" i="7"/>
  <c r="DA16" i="7"/>
  <c r="DA11" i="7"/>
  <c r="DA4" i="7"/>
  <c r="DA83" i="7"/>
  <c r="DA69" i="7"/>
  <c r="DA62" i="7"/>
  <c r="DA24" i="7"/>
  <c r="CT16" i="7"/>
  <c r="CT11" i="7"/>
  <c r="CT4" i="7"/>
  <c r="CT83" i="7"/>
  <c r="CT69" i="7"/>
  <c r="CT62" i="7"/>
  <c r="CT24" i="7"/>
  <c r="CM16" i="7"/>
  <c r="CM11" i="7"/>
  <c r="CM4" i="7"/>
  <c r="CM83" i="7"/>
  <c r="CM69" i="7"/>
  <c r="CM62" i="7"/>
  <c r="CM24" i="7"/>
  <c r="CF16" i="7"/>
  <c r="CF11" i="7"/>
  <c r="CF4" i="7"/>
  <c r="CF69" i="7"/>
  <c r="CF24" i="7"/>
  <c r="BY16" i="7"/>
  <c r="BY11" i="7"/>
  <c r="BY4" i="7"/>
  <c r="BY69" i="7"/>
  <c r="BY24" i="7"/>
  <c r="BR16" i="7"/>
  <c r="BR11" i="7"/>
  <c r="BR4" i="7"/>
  <c r="BR69" i="7"/>
  <c r="BR24" i="7"/>
  <c r="BK16" i="7"/>
  <c r="BK11" i="7"/>
  <c r="BK4" i="7"/>
  <c r="BK69" i="7"/>
  <c r="BK24" i="7"/>
  <c r="K22" i="7"/>
  <c r="J22" i="7"/>
  <c r="I22" i="7"/>
  <c r="K21" i="7"/>
  <c r="J21" i="7"/>
  <c r="I21" i="7"/>
  <c r="K20" i="7"/>
  <c r="J20" i="7"/>
  <c r="I20" i="7"/>
  <c r="K19" i="7"/>
  <c r="J19" i="7"/>
  <c r="I19" i="7"/>
  <c r="K18" i="7"/>
  <c r="J18" i="7"/>
  <c r="I18" i="7"/>
  <c r="K17" i="7"/>
  <c r="J17" i="7"/>
  <c r="I17" i="7"/>
  <c r="BD16" i="7"/>
  <c r="AW16" i="7"/>
  <c r="AP16" i="7"/>
  <c r="AI16" i="7"/>
  <c r="AB16" i="7"/>
  <c r="U16" i="7"/>
  <c r="N16" i="7"/>
  <c r="G16" i="7"/>
  <c r="K14" i="7"/>
  <c r="J14" i="7"/>
  <c r="I14" i="7"/>
  <c r="K13" i="7"/>
  <c r="J13" i="7"/>
  <c r="I13" i="7"/>
  <c r="K12" i="7"/>
  <c r="J12" i="7"/>
  <c r="I12" i="7"/>
  <c r="BD11" i="7"/>
  <c r="AW11" i="7"/>
  <c r="AP11" i="7"/>
  <c r="AI11" i="7"/>
  <c r="AB11" i="7"/>
  <c r="U11" i="7"/>
  <c r="N11" i="7"/>
  <c r="G11" i="7"/>
  <c r="K9" i="7"/>
  <c r="J9" i="7"/>
  <c r="I9" i="7"/>
  <c r="K8" i="7"/>
  <c r="J8" i="7"/>
  <c r="I8" i="7"/>
  <c r="K7" i="7"/>
  <c r="J7" i="7"/>
  <c r="I7" i="7"/>
  <c r="K6" i="7"/>
  <c r="J6" i="7"/>
  <c r="I6" i="7"/>
  <c r="K5" i="7"/>
  <c r="J5" i="7"/>
  <c r="I5" i="7"/>
  <c r="BD4" i="7"/>
  <c r="AW4" i="7"/>
  <c r="AP4" i="7"/>
  <c r="AI4" i="7"/>
  <c r="U4" i="7"/>
  <c r="N4" i="7"/>
  <c r="G4" i="7"/>
  <c r="K93" i="7"/>
  <c r="J93" i="7"/>
  <c r="I93" i="7"/>
  <c r="K92" i="7"/>
  <c r="J92" i="7"/>
  <c r="I92" i="7"/>
  <c r="K91" i="7"/>
  <c r="J91" i="7"/>
  <c r="I91" i="7"/>
  <c r="K90" i="7"/>
  <c r="J90" i="7"/>
  <c r="I90" i="7"/>
  <c r="K89" i="7"/>
  <c r="J89" i="7"/>
  <c r="I89" i="7"/>
  <c r="K88" i="7"/>
  <c r="J88" i="7"/>
  <c r="I88" i="7"/>
  <c r="K87" i="7"/>
  <c r="J87" i="7"/>
  <c r="I87" i="7"/>
  <c r="K86" i="7"/>
  <c r="J86" i="7"/>
  <c r="I86" i="7"/>
  <c r="K85" i="7"/>
  <c r="J85" i="7"/>
  <c r="I85" i="7"/>
  <c r="K84" i="7"/>
  <c r="J84" i="7"/>
  <c r="I84" i="7"/>
  <c r="AB83" i="7"/>
  <c r="U83" i="7"/>
  <c r="N83" i="7"/>
  <c r="G83" i="7"/>
  <c r="K81" i="7"/>
  <c r="J81" i="7"/>
  <c r="I81" i="7"/>
  <c r="K80" i="7"/>
  <c r="J80" i="7"/>
  <c r="I80" i="7"/>
  <c r="K79" i="7"/>
  <c r="J79" i="7"/>
  <c r="I79" i="7"/>
  <c r="K78" i="7"/>
  <c r="J78" i="7"/>
  <c r="I78" i="7"/>
  <c r="K77" i="7"/>
  <c r="J77" i="7"/>
  <c r="I77" i="7"/>
  <c r="K76" i="7"/>
  <c r="J76" i="7"/>
  <c r="I76" i="7"/>
  <c r="K75" i="7"/>
  <c r="J75" i="7"/>
  <c r="I75" i="7"/>
  <c r="K74" i="7"/>
  <c r="J74" i="7"/>
  <c r="I74" i="7"/>
  <c r="K73" i="7"/>
  <c r="J73" i="7"/>
  <c r="I73" i="7"/>
  <c r="K72" i="7"/>
  <c r="J72" i="7"/>
  <c r="I72" i="7"/>
  <c r="K71" i="7"/>
  <c r="J71" i="7"/>
  <c r="I71" i="7"/>
  <c r="K70" i="7"/>
  <c r="J70" i="7"/>
  <c r="I70" i="7"/>
  <c r="BD69" i="7"/>
  <c r="AW69" i="7"/>
  <c r="AP69" i="7"/>
  <c r="AI69" i="7"/>
  <c r="AB69" i="7"/>
  <c r="U69" i="7"/>
  <c r="N69" i="7"/>
  <c r="G69" i="7"/>
  <c r="K67" i="7"/>
  <c r="J67" i="7"/>
  <c r="I67" i="7"/>
  <c r="K66" i="7"/>
  <c r="J66" i="7"/>
  <c r="I66" i="7"/>
  <c r="K65" i="7"/>
  <c r="J65" i="7"/>
  <c r="I65" i="7"/>
  <c r="K64" i="7"/>
  <c r="J64" i="7"/>
  <c r="I64" i="7"/>
  <c r="K63" i="7"/>
  <c r="J63" i="7"/>
  <c r="I63" i="7"/>
  <c r="AP62" i="7"/>
  <c r="AB62" i="7"/>
  <c r="U62" i="7"/>
  <c r="N62" i="7"/>
  <c r="G62" i="7"/>
  <c r="K62" i="7" l="1"/>
  <c r="K4" i="7"/>
  <c r="J83" i="7"/>
  <c r="I4" i="7"/>
  <c r="J4" i="7"/>
  <c r="I11" i="7"/>
  <c r="J11" i="7"/>
  <c r="I83" i="7"/>
  <c r="K16" i="7"/>
  <c r="J62" i="7"/>
  <c r="I69" i="7"/>
  <c r="K83" i="7"/>
  <c r="I16" i="7"/>
  <c r="J16" i="7"/>
  <c r="I62" i="7"/>
  <c r="J69" i="7"/>
  <c r="K11" i="7"/>
  <c r="K69" i="7"/>
  <c r="AP38" i="7"/>
  <c r="AI38" i="7"/>
  <c r="AB38" i="7"/>
  <c r="U38" i="7"/>
  <c r="BD24" i="7"/>
  <c r="AW24" i="7"/>
  <c r="AP24" i="7"/>
  <c r="AI24" i="7"/>
  <c r="AB24" i="7"/>
  <c r="U24" i="7"/>
  <c r="N24" i="7"/>
  <c r="N38" i="7"/>
  <c r="G24" i="7"/>
  <c r="AP49" i="7"/>
  <c r="AI49" i="7"/>
  <c r="AB49" i="7"/>
  <c r="U49" i="7"/>
  <c r="I60" i="7"/>
  <c r="I59" i="7"/>
  <c r="I58" i="7"/>
  <c r="I57" i="7"/>
  <c r="I56" i="7"/>
  <c r="I55" i="7"/>
  <c r="I54" i="7"/>
  <c r="I53" i="7"/>
  <c r="I52" i="7"/>
  <c r="I51" i="7"/>
  <c r="I50" i="7"/>
  <c r="I43" i="7"/>
  <c r="I42" i="7"/>
  <c r="I41" i="7"/>
  <c r="I40" i="7"/>
  <c r="I39" i="7"/>
  <c r="I36" i="7"/>
  <c r="I26" i="7"/>
  <c r="I27" i="7"/>
  <c r="I28" i="7"/>
  <c r="I29" i="7"/>
  <c r="I30" i="7"/>
  <c r="I31" i="7"/>
  <c r="I32" i="7"/>
  <c r="I33" i="7"/>
  <c r="I34" i="7"/>
  <c r="I35" i="7"/>
  <c r="I25" i="7"/>
  <c r="N49" i="7"/>
  <c r="K60" i="7"/>
  <c r="J60" i="7"/>
  <c r="K59" i="7"/>
  <c r="J59" i="7"/>
  <c r="K58" i="7"/>
  <c r="J58" i="7"/>
  <c r="K57" i="7"/>
  <c r="J57" i="7"/>
  <c r="K56" i="7"/>
  <c r="J56" i="7"/>
  <c r="K55" i="7"/>
  <c r="J55" i="7"/>
  <c r="K54" i="7"/>
  <c r="J54" i="7"/>
  <c r="K53" i="7"/>
  <c r="J53" i="7"/>
  <c r="K52" i="7"/>
  <c r="J52" i="7"/>
  <c r="K51" i="7"/>
  <c r="J51" i="7"/>
  <c r="K50" i="7"/>
  <c r="G49" i="7"/>
  <c r="J25" i="7"/>
  <c r="G38" i="7"/>
  <c r="K43" i="7"/>
  <c r="J43" i="7"/>
  <c r="K42" i="7"/>
  <c r="J42" i="7"/>
  <c r="K41" i="7"/>
  <c r="J41" i="7"/>
  <c r="K40" i="7"/>
  <c r="J40" i="7"/>
  <c r="K39" i="7"/>
  <c r="J39" i="7"/>
  <c r="K26" i="7"/>
  <c r="K27" i="7"/>
  <c r="K28" i="7"/>
  <c r="K29" i="7"/>
  <c r="K30" i="7"/>
  <c r="K31" i="7"/>
  <c r="K32" i="7"/>
  <c r="K33" i="7"/>
  <c r="K34" i="7"/>
  <c r="K35" i="7"/>
  <c r="K36" i="7"/>
  <c r="J26" i="7"/>
  <c r="J27" i="7"/>
  <c r="J28" i="7"/>
  <c r="J29" i="7"/>
  <c r="J30" i="7"/>
  <c r="J31" i="7"/>
  <c r="J32" i="7"/>
  <c r="J33" i="7"/>
  <c r="J34" i="7"/>
  <c r="J35" i="7"/>
  <c r="J36" i="7"/>
  <c r="K25" i="7"/>
  <c r="I49" i="7" l="1"/>
  <c r="J49" i="7"/>
  <c r="K49" i="7"/>
  <c r="I38" i="7"/>
  <c r="J38" i="7"/>
  <c r="K38" i="7"/>
  <c r="K24" i="7"/>
  <c r="I24" i="7" l="1"/>
  <c r="J24" i="7"/>
</calcChain>
</file>

<file path=xl/sharedStrings.xml><?xml version="1.0" encoding="utf-8"?>
<sst xmlns="http://schemas.openxmlformats.org/spreadsheetml/2006/main" count="468" uniqueCount="158">
  <si>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</si>
  <si>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</si>
  <si>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</si>
  <si>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</si>
  <si>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</si>
  <si>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</si>
  <si>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</si>
  <si>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</si>
  <si>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</si>
  <si>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</si>
  <si>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</si>
  <si>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</si>
  <si>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</si>
  <si>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</si>
  <si>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</si>
  <si>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</si>
  <si>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</si>
  <si>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</si>
  <si>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</si>
  <si>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</si>
  <si>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</si>
  <si>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</si>
  <si>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</si>
  <si>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</si>
  <si>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</si>
  <si>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</si>
  <si>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</si>
  <si>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</si>
  <si>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</si>
  <si>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</si>
  <si>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</si>
  <si>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</si>
  <si>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</si>
  <si>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</si>
  <si>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</si>
  <si>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</si>
  <si>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</si>
  <si>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</si>
  <si>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</si>
  <si>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</si>
  <si>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</si>
  <si>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</si>
  <si>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</si>
  <si>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</si>
  <si>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</si>
  <si>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</si>
  <si>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</si>
  <si>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</si>
  <si>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</si>
  <si>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</si>
  <si>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</si>
  <si>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</si>
  <si>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Lerneinheiten durchgezogen</t>
  </si>
  <si>
    <t>Tagesplan erstellt</t>
  </si>
  <si>
    <t>Konzentrationslevel</t>
  </si>
  <si>
    <t>Datum</t>
  </si>
  <si>
    <t>Kcal</t>
  </si>
  <si>
    <t>Fette</t>
  </si>
  <si>
    <t>Eiweiss</t>
  </si>
  <si>
    <t>Kohlenhydrate</t>
  </si>
  <si>
    <t>Gewicht</t>
  </si>
  <si>
    <t>Sonstiges Gefühl</t>
  </si>
  <si>
    <t>Optimierungen</t>
  </si>
  <si>
    <t>Competition&amp;Strategy</t>
  </si>
  <si>
    <t>Digitale Unternehmung</t>
  </si>
  <si>
    <t>International Management</t>
  </si>
  <si>
    <t>People&amp;Organization</t>
  </si>
  <si>
    <t xml:space="preserve">Privat und Handelsrecht </t>
  </si>
  <si>
    <t>Statistik 2</t>
  </si>
  <si>
    <t>Etragssteuern</t>
  </si>
  <si>
    <t>12 (6)</t>
  </si>
  <si>
    <t>Hauptseminar</t>
  </si>
  <si>
    <t>Trends in Corporate Governance</t>
  </si>
  <si>
    <t>KW 15</t>
  </si>
  <si>
    <t>KW 16</t>
  </si>
  <si>
    <t>KW 17</t>
  </si>
  <si>
    <t>KW 18</t>
  </si>
  <si>
    <t>KW 26</t>
  </si>
  <si>
    <t>KW 27</t>
  </si>
  <si>
    <t>KW 28</t>
  </si>
  <si>
    <t>KW 29 - Klausuren</t>
  </si>
  <si>
    <t>KW 25 - 75% des Studiums Fertig mit allem Stoff</t>
  </si>
  <si>
    <t>KW 22 - Klausur Ertragssteuern</t>
  </si>
  <si>
    <t xml:space="preserve">KW 21 - Einreichung Seminararbeit </t>
  </si>
  <si>
    <t>1) Kickoff</t>
  </si>
  <si>
    <t>2) Game Theory</t>
  </si>
  <si>
    <t>3) Competition and Coopetition</t>
  </si>
  <si>
    <t>4) Product Differentiation</t>
  </si>
  <si>
    <t>5) Price Discrimination</t>
  </si>
  <si>
    <t>6) Complements and Lock in</t>
  </si>
  <si>
    <t>7) Networks &amp; Standards</t>
  </si>
  <si>
    <t>8) Market entry</t>
  </si>
  <si>
    <t>10) Horizontal and Vertical Boundaries</t>
  </si>
  <si>
    <t>11) Mergers and Acquisitions</t>
  </si>
  <si>
    <t>12) Competition policy</t>
  </si>
  <si>
    <t>Gesamter Stoff vorhanden</t>
  </si>
  <si>
    <t>Tutorien werden langsam hochgeladen</t>
  </si>
  <si>
    <t>2) Wissensmanagement</t>
  </si>
  <si>
    <t>3) DTIM</t>
  </si>
  <si>
    <t xml:space="preserve">4) </t>
  </si>
  <si>
    <t xml:space="preserve">5) </t>
  </si>
  <si>
    <t>Vorlesungen und Tutorien werden langsam hochgeladen</t>
  </si>
  <si>
    <t>1) Introduction to International Management</t>
  </si>
  <si>
    <t>2) The Internationalization of Companies</t>
  </si>
  <si>
    <t>3) Theories of International Management</t>
  </si>
  <si>
    <t>4)The External Environment</t>
  </si>
  <si>
    <t>5) Foreign Entry and Operation Modes</t>
  </si>
  <si>
    <t>6) Standardization vs. Differentiation</t>
  </si>
  <si>
    <t>7) Cross-Cultural Management</t>
  </si>
  <si>
    <t>8) Case Study Amazon</t>
  </si>
  <si>
    <t>9) Organizational Structures</t>
  </si>
  <si>
    <t>10) Selected Value Chain Activities</t>
  </si>
  <si>
    <t>11) Case Study Roche &amp; Tamiflu</t>
  </si>
  <si>
    <t>1) Motivation Concepts</t>
  </si>
  <si>
    <t>2) Job Design</t>
  </si>
  <si>
    <t>3) Teams</t>
  </si>
  <si>
    <t>4) Emotions and Moods</t>
  </si>
  <si>
    <t>5) Leadership</t>
  </si>
  <si>
    <t>1) Kombinatorik</t>
  </si>
  <si>
    <t>2) Wahrscheinlichkeitsrechnung</t>
  </si>
  <si>
    <t>3) Zufallsvariablen</t>
  </si>
  <si>
    <t>4) Spezielle Verteilungen</t>
  </si>
  <si>
    <t>5) Grenzwertsätze &amp; Approximationen</t>
  </si>
  <si>
    <t>6) Schätzen</t>
  </si>
  <si>
    <t>7) Schätzen</t>
  </si>
  <si>
    <t>8) Testen</t>
  </si>
  <si>
    <t>9) Testen</t>
  </si>
  <si>
    <t>10) Lineare Regression</t>
  </si>
  <si>
    <t xml:space="preserve">1) Woche 1 </t>
  </si>
  <si>
    <t>2) Woche 2</t>
  </si>
  <si>
    <t>3) Woche 3</t>
  </si>
  <si>
    <t>4) Woche 4</t>
  </si>
  <si>
    <t>5) Woche 5</t>
  </si>
  <si>
    <t>Seminararbeit schreiben</t>
  </si>
  <si>
    <t>Voller Stoff und Übungen verfügbar</t>
  </si>
  <si>
    <t xml:space="preserve">6) </t>
  </si>
  <si>
    <t>7)</t>
  </si>
  <si>
    <t>8)</t>
  </si>
  <si>
    <t>9)</t>
  </si>
  <si>
    <t>1) Termin 1</t>
  </si>
  <si>
    <t>2) Termin 2</t>
  </si>
  <si>
    <t>3) Termin 3</t>
  </si>
  <si>
    <t>4) Termin 4</t>
  </si>
  <si>
    <t>5) Termin 5</t>
  </si>
  <si>
    <t>6) Termin 6</t>
  </si>
  <si>
    <t>KW 20 - Ertragssteuern fertig</t>
  </si>
  <si>
    <t>KW 19 - Seminararbeit fertig</t>
  </si>
  <si>
    <t>1) Woche 1</t>
  </si>
  <si>
    <t>Abgabe Expose</t>
  </si>
  <si>
    <t>Sitzung</t>
  </si>
  <si>
    <t>Ertragssteuern</t>
  </si>
  <si>
    <t>Competition and Strategy</t>
  </si>
  <si>
    <t>P&amp;O</t>
  </si>
  <si>
    <t xml:space="preserve">Privatrecht </t>
  </si>
  <si>
    <t>Privatrecht</t>
  </si>
  <si>
    <t>Termin Vorlesung</t>
  </si>
  <si>
    <t>Termin Übung</t>
  </si>
  <si>
    <t>Workshop PwC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</si>
</sst>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4">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4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0" borderId="0" xfId="0" applyAlignment="1">
      <alignment horizontal="left"/>
    </xf>
    <xf numFmtId="0" fontId="0" fillId="3" borderId="0" xfId="0" applyFill="1"/>
    <xf numFmtId="0" fontId="0" fillId="5" borderId="0" xfId="0" applyFill="1"/>
    <xf numFmtId="0" fontId="0" fillId="6" borderId="0" xfId="0" applyFill="1"/>
    <xf numFmtId="0" fontId="0" fillId="4" borderId="0" xfId="0" applyFill="1"/>
    <xf numFmtId="0" fontId="0" fillId="4" borderId="0" xfId="0" applyFill="1" applyAlignment="1">
      <alignment horizontal="left" vertical="top"/>
    </xf>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2" borderId="0" xfId="0" applyFill="1" applyAlignment="1">
      <alignment horizontal="left" vertical="top" wrapText="1"/>
    </xf>
    <xf numFmtId="0" fontId="0" fillId="9" borderId="0" xfId="0" applyFill="1" applyAlignment="1">
      <alignment vertical="top" wrapText="1"/>
    </xf>
    <xf numFmtId="0" fontId="0" fillId="13" borderId="0" xfId="0" applyFill="1" applyAlignment="1">
      <alignment wrapText="1"/>
    </xf>
    <xf numFmtId="0" fontId="1" fillId="2" borderId="0" xfId="0" applyFont="1" applyFill="1" applyAlignment="1">
      <alignment horizontal="center"/>
    </xf>
    <xf numFmtId="0" fontId="0" fillId="4" borderId="0" xfId="0" applyFill="1" applyAlignment="1">
      <alignment horizontal="center" vertical="top" wrapText="1"/>
    </xf>
    <xf numFmtId="0" fontId="0" fillId="11" borderId="0" xfId="0" applyFill="1" applyAlignment="1">
      <alignment horizontal="left" vertical="top" wrapText="1"/>
    </xf>
    <xf numFmtId="0" fontId="0" fillId="12" borderId="0" xfId="0" applyFill="1" applyAlignment="1">
      <alignment horizontal="left" vertical="top" wrapText="1"/>
    </xf>
    <xf numFmtId="0" fontId="0" fillId="9" borderId="0" xfId="0" applyFill="1" applyAlignment="1">
      <alignment horizontal="left" vertical="top" wrapText="1"/>
    </xf>
    <xf numFmtId="0" fontId="0" fillId="10" borderId="0" xfId="0" applyFill="1" applyAlignment="1">
      <alignment horizontal="left" vertical="top" wrapText="1"/>
    </xf>
  </cellXfs>
  <cellStyles count="1">
    <cellStyle name="Standard" xfId="0" builtinId="0"/>
  </cellStyles>
  <dxfs count="42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12">
  <autoFilter ref="A1:K46" xr:uid="{6E266E34-2786-2747-BCE7-51B74867A564}"/>
  <tableColumns count="11">
    <tableColumn id="1" xr3:uid="{95FD92F7-3DC8-704D-A103-A7EDDAB255AB}" name="Datum" dataDxfId="411"/>
    <tableColumn id="2" xr3:uid="{F464D510-8166-E740-A343-FB84BDEF877F}" name="Lerneinheiten durchgezogen" dataDxfId="410"/>
    <tableColumn id="3" xr3:uid="{75F52B08-1A00-0848-BBE6-1EDF7B31B1AD}" name="Tagesplan erstellt" dataDxfId="409"/>
    <tableColumn id="4" xr3:uid="{E6B18D89-E799-AD48-9DAA-37AEE1D29011}" name="Konzentrationslevel" dataDxfId="40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47</v>
      </c>
    </row>
    <row r="12" spans="2:2">
      <c r="B12" s="3" t="s">
        <v>17</v>
      </c>
    </row>
    <row r="13" spans="2:2" ht="126">
      <c r="B13" s="1" t="s">
        <v>18</v>
      </c>
    </row>
    <row r="15" spans="2:2">
      <c r="B15" s="3" t="s">
        <v>19</v>
      </c>
    </row>
    <row r="16" spans="2:2" ht="110.25">
      <c r="B16" s="1" t="s">
        <v>20</v>
      </c>
    </row>
    <row r="17" spans="2:2">
      <c r="B17" s="1"/>
    </row>
    <row r="18" spans="2:2">
      <c r="B18" s="3" t="s">
        <v>46</v>
      </c>
    </row>
    <row r="19" spans="2:2" ht="141.75">
      <c r="B19" s="1" t="s">
        <v>48</v>
      </c>
    </row>
    <row r="21" spans="2:2">
      <c r="B21" s="3" t="s">
        <v>21</v>
      </c>
    </row>
    <row r="22" spans="2:2" ht="110.25">
      <c r="B22" s="1" t="s">
        <v>49</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55</v>
      </c>
      <c r="B1" s="16" t="s">
        <v>52</v>
      </c>
      <c r="C1" s="16" t="s">
        <v>53</v>
      </c>
      <c r="D1" s="16" t="s">
        <v>54</v>
      </c>
      <c r="E1" s="1" t="s">
        <v>56</v>
      </c>
      <c r="F1" s="1" t="s">
        <v>57</v>
      </c>
      <c r="G1" s="1" t="s">
        <v>58</v>
      </c>
      <c r="H1" s="1" t="s">
        <v>59</v>
      </c>
      <c r="I1" s="1" t="s">
        <v>60</v>
      </c>
      <c r="J1" s="1" t="s">
        <v>61</v>
      </c>
      <c r="K1" s="1" t="s">
        <v>62</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424" priority="14" operator="equal">
      <formula>"Ja"</formula>
    </cfRule>
    <cfRule type="cellIs" dxfId="423" priority="15" operator="equal">
      <formula>"Nein"</formula>
    </cfRule>
  </conditionalFormatting>
  <conditionalFormatting sqref="D2">
    <cfRule type="cellIs" dxfId="422" priority="6" operator="equal">
      <formula>1</formula>
    </cfRule>
    <cfRule type="cellIs" dxfId="421" priority="7" operator="equal">
      <formula>0.8</formula>
    </cfRule>
    <cfRule type="cellIs" dxfId="420" priority="8" operator="equal">
      <formula>0.6</formula>
    </cfRule>
    <cfRule type="cellIs" dxfId="419" priority="9" operator="equal">
      <formula>0.4</formula>
    </cfRule>
    <cfRule type="cellIs" dxfId="418" priority="10" operator="equal">
      <formula>0.2</formula>
    </cfRule>
    <cfRule type="cellIs" dxfId="417" priority="11" operator="equal">
      <formula>0</formula>
    </cfRule>
  </conditionalFormatting>
  <conditionalFormatting sqref="B2:B46">
    <cfRule type="cellIs" dxfId="416" priority="4" operator="equal">
      <formula>"Ja"</formula>
    </cfRule>
  </conditionalFormatting>
  <conditionalFormatting sqref="C2:C46">
    <cfRule type="cellIs" dxfId="415" priority="2" operator="equal">
      <formula>"Ja"</formula>
    </cfRule>
    <cfRule type="cellIs" dxfId="414" priority="3" operator="equal">
      <formula>"Nein"</formula>
    </cfRule>
  </conditionalFormatting>
  <conditionalFormatting sqref="C2:C46">
    <cfRule type="cellIs" dxfId="413"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4"/>
  <sheetViews>
    <sheetView showGridLines="0" tabSelected="1" zoomScaleNormal="100" workbookViewId="0">
      <selection activeCell="AB4" sqref="AB4:AB86"/>
    </sheetView>
  </sheetViews>
  <sheetFormatPr baseColWidth="10" defaultColWidth="8.875" defaultRowHeight="15.75" outlineLevelRow="1"/>
  <cols>
    <col min="3" max="3" width="22" customWidth="1"/>
    <col min="4" max="4" width="25.625"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4" max="14" width="0" hidden="1" customWidth="1"/>
    <col min="15" max="15" width="12.5" hidden="1" customWidth="1"/>
    <col min="16" max="16" width="6.375" hidden="1" customWidth="1"/>
    <col min="17" max="17" width="14.875" hidden="1" customWidth="1"/>
    <col min="18" max="18" width="6" hidden="1" customWidth="1"/>
    <col min="19" max="19" width="12.625" hidden="1" customWidth="1"/>
    <col min="20" max="20" width="2.5" customWidth="1"/>
    <col min="21" max="21" width="0" hidden="1" customWidth="1"/>
    <col min="22" max="22" width="12.5" hidden="1" customWidth="1"/>
    <col min="23" max="23" width="6.375" hidden="1" customWidth="1"/>
    <col min="24" max="24" width="14.875" hidden="1" customWidth="1"/>
    <col min="25" max="25" width="6" hidden="1" customWidth="1"/>
    <col min="26" max="26" width="12.625" hidden="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1" max="91" width="0" hidden="1" customWidth="1"/>
    <col min="92" max="92" width="12.5" hidden="1" customWidth="1"/>
    <col min="93" max="93" width="6.375" hidden="1" customWidth="1"/>
    <col min="94" max="94" width="14.875" hidden="1" customWidth="1"/>
    <col min="95" max="95" width="6" hidden="1" customWidth="1"/>
    <col min="96" max="96" width="12.625" hidden="1" customWidth="1"/>
    <col min="97" max="97" width="2.5" customWidth="1"/>
    <col min="98" max="98" width="0" hidden="1" customWidth="1"/>
    <col min="99" max="99" width="12.5" hidden="1" customWidth="1"/>
    <col min="100" max="100" width="6.375" hidden="1" customWidth="1"/>
    <col min="101" max="101" width="14.875" hidden="1" customWidth="1"/>
    <col min="102" max="102" width="6" hidden="1" customWidth="1"/>
    <col min="103" max="103" width="12.625" hidden="1" customWidth="1"/>
    <col min="104" max="104" width="2.5" customWidth="1"/>
    <col min="105" max="105" width="0" hidden="1" customWidth="1"/>
    <col min="106" max="106" width="12.5" hidden="1" customWidth="1"/>
    <col min="107" max="107" width="6.375" hidden="1" customWidth="1"/>
    <col min="108" max="108" width="14.875" hidden="1" customWidth="1"/>
    <col min="109" max="109" width="6" hidden="1" customWidth="1"/>
    <col min="110" max="110" width="12.625" hidden="1" customWidth="1"/>
    <col min="111" max="111" width="2.5" customWidth="1"/>
    <col min="112" max="112" width="0" hidden="1" customWidth="1"/>
    <col min="113" max="113" width="12.5" hidden="1" customWidth="1"/>
    <col min="114" max="114" width="6.375" hidden="1" customWidth="1"/>
    <col min="115" max="115" width="14.875" hidden="1" customWidth="1"/>
    <col min="116" max="116" width="6" hidden="1" customWidth="1"/>
    <col min="117" max="117" width="12.625" hidden="1" customWidth="1"/>
  </cols>
  <sheetData>
    <row r="1" spans="2:117" ht="33.75">
      <c r="B1" s="5" t="s">
        <v>0</v>
      </c>
      <c r="D1" s="5"/>
      <c r="G1" t="s">
        <v>45</v>
      </c>
      <c r="I1" t="s">
        <v>45</v>
      </c>
      <c r="J1" t="s">
        <v>45</v>
      </c>
      <c r="K1" t="s">
        <v>45</v>
      </c>
    </row>
    <row r="2" spans="2:117">
      <c r="I2" s="34" t="s">
        <v>27</v>
      </c>
      <c r="J2" s="34"/>
      <c r="K2" s="34"/>
      <c r="L2" s="34"/>
      <c r="N2" s="34" t="s">
        <v>73</v>
      </c>
      <c r="O2" s="34"/>
      <c r="P2" s="34"/>
      <c r="Q2" s="34"/>
      <c r="R2" s="34"/>
      <c r="S2" s="34"/>
      <c r="U2" s="34" t="s">
        <v>74</v>
      </c>
      <c r="V2" s="34"/>
      <c r="W2" s="34"/>
      <c r="X2" s="34"/>
      <c r="Y2" s="34"/>
      <c r="Z2" s="34"/>
      <c r="AB2" s="34" t="s">
        <v>75</v>
      </c>
      <c r="AC2" s="34"/>
      <c r="AD2" s="34"/>
      <c r="AE2" s="34"/>
      <c r="AF2" s="34"/>
      <c r="AG2" s="34"/>
      <c r="AI2" s="34" t="s">
        <v>76</v>
      </c>
      <c r="AJ2" s="34"/>
      <c r="AK2" s="34"/>
      <c r="AL2" s="34"/>
      <c r="AM2" s="34"/>
      <c r="AN2" s="34"/>
      <c r="AP2" s="34" t="s">
        <v>146</v>
      </c>
      <c r="AQ2" s="34"/>
      <c r="AR2" s="34"/>
      <c r="AS2" s="34"/>
      <c r="AT2" s="34"/>
      <c r="AU2" s="34"/>
      <c r="AW2" s="34" t="s">
        <v>145</v>
      </c>
      <c r="AX2" s="34"/>
      <c r="AY2" s="34"/>
      <c r="AZ2" s="34"/>
      <c r="BA2" s="34"/>
      <c r="BB2" s="34"/>
      <c r="BD2" s="34" t="s">
        <v>83</v>
      </c>
      <c r="BE2" s="34"/>
      <c r="BF2" s="34"/>
      <c r="BG2" s="34"/>
      <c r="BH2" s="34"/>
      <c r="BI2" s="34"/>
      <c r="BK2" s="34" t="s">
        <v>82</v>
      </c>
      <c r="BL2" s="34"/>
      <c r="BM2" s="34"/>
      <c r="BN2" s="34"/>
      <c r="BO2" s="34"/>
      <c r="BP2" s="34"/>
      <c r="BR2" s="34" t="s">
        <v>50</v>
      </c>
      <c r="BS2" s="34"/>
      <c r="BT2" s="34"/>
      <c r="BU2" s="34"/>
      <c r="BV2" s="34"/>
      <c r="BW2" s="34"/>
      <c r="BY2" s="34" t="s">
        <v>51</v>
      </c>
      <c r="BZ2" s="34"/>
      <c r="CA2" s="34"/>
      <c r="CB2" s="34"/>
      <c r="CC2" s="34"/>
      <c r="CD2" s="34"/>
      <c r="CF2" s="34" t="s">
        <v>81</v>
      </c>
      <c r="CG2" s="34"/>
      <c r="CH2" s="34"/>
      <c r="CI2" s="34"/>
      <c r="CJ2" s="34"/>
      <c r="CK2" s="34"/>
      <c r="CM2" s="34" t="s">
        <v>77</v>
      </c>
      <c r="CN2" s="34"/>
      <c r="CO2" s="34"/>
      <c r="CP2" s="34"/>
      <c r="CQ2" s="34"/>
      <c r="CR2" s="34"/>
      <c r="CT2" s="34" t="s">
        <v>78</v>
      </c>
      <c r="CU2" s="34"/>
      <c r="CV2" s="34"/>
      <c r="CW2" s="34"/>
      <c r="CX2" s="34"/>
      <c r="CY2" s="34"/>
      <c r="DA2" s="34" t="s">
        <v>79</v>
      </c>
      <c r="DB2" s="34"/>
      <c r="DC2" s="34"/>
      <c r="DD2" s="34"/>
      <c r="DE2" s="34"/>
      <c r="DF2" s="34"/>
      <c r="DH2" s="34" t="s">
        <v>80</v>
      </c>
      <c r="DI2" s="34"/>
      <c r="DJ2" s="34"/>
      <c r="DK2" s="34"/>
      <c r="DL2" s="34"/>
      <c r="DM2" s="34"/>
    </row>
    <row r="3" spans="2:117">
      <c r="B3" s="6" t="s">
        <v>26</v>
      </c>
      <c r="C3" s="6" t="s">
        <v>1</v>
      </c>
      <c r="D3" s="6" t="s">
        <v>24</v>
      </c>
      <c r="E3" s="7" t="s">
        <v>42</v>
      </c>
      <c r="F3" s="6" t="s">
        <v>29</v>
      </c>
      <c r="G3" s="6" t="s">
        <v>43</v>
      </c>
      <c r="I3" s="7" t="s">
        <v>11</v>
      </c>
      <c r="J3" s="7" t="s">
        <v>2</v>
      </c>
      <c r="K3" s="7" t="s">
        <v>3</v>
      </c>
      <c r="L3" s="7" t="s">
        <v>12</v>
      </c>
      <c r="N3" s="6" t="s">
        <v>11</v>
      </c>
      <c r="O3" s="6" t="s">
        <v>2</v>
      </c>
      <c r="P3" s="6" t="s">
        <v>44</v>
      </c>
      <c r="Q3" s="6" t="s">
        <v>3</v>
      </c>
      <c r="R3" s="6" t="s">
        <v>44</v>
      </c>
      <c r="S3" s="6" t="s">
        <v>12</v>
      </c>
      <c r="U3" s="6" t="s">
        <v>11</v>
      </c>
      <c r="V3" s="6" t="s">
        <v>2</v>
      </c>
      <c r="W3" s="6" t="s">
        <v>44</v>
      </c>
      <c r="X3" s="6" t="s">
        <v>3</v>
      </c>
      <c r="Y3" s="6" t="s">
        <v>44</v>
      </c>
      <c r="Z3" s="6" t="s">
        <v>12</v>
      </c>
      <c r="AB3" s="6" t="s">
        <v>11</v>
      </c>
      <c r="AC3" s="6" t="s">
        <v>2</v>
      </c>
      <c r="AD3" s="6" t="s">
        <v>44</v>
      </c>
      <c r="AE3" s="6" t="s">
        <v>3</v>
      </c>
      <c r="AF3" s="6" t="s">
        <v>44</v>
      </c>
      <c r="AG3" s="6" t="s">
        <v>12</v>
      </c>
      <c r="AI3" s="6" t="s">
        <v>11</v>
      </c>
      <c r="AJ3" s="6" t="s">
        <v>2</v>
      </c>
      <c r="AK3" s="6" t="s">
        <v>44</v>
      </c>
      <c r="AL3" s="6" t="s">
        <v>3</v>
      </c>
      <c r="AM3" s="6" t="s">
        <v>44</v>
      </c>
      <c r="AN3" s="6" t="s">
        <v>12</v>
      </c>
      <c r="AP3" s="6" t="s">
        <v>11</v>
      </c>
      <c r="AQ3" s="6" t="s">
        <v>2</v>
      </c>
      <c r="AR3" s="6" t="s">
        <v>44</v>
      </c>
      <c r="AS3" s="6" t="s">
        <v>3</v>
      </c>
      <c r="AT3" s="6" t="s">
        <v>44</v>
      </c>
      <c r="AU3" s="6" t="s">
        <v>12</v>
      </c>
      <c r="AW3" s="6" t="s">
        <v>11</v>
      </c>
      <c r="AX3" s="6" t="s">
        <v>2</v>
      </c>
      <c r="AY3" s="6" t="s">
        <v>44</v>
      </c>
      <c r="AZ3" s="6" t="s">
        <v>3</v>
      </c>
      <c r="BA3" s="6" t="s">
        <v>44</v>
      </c>
      <c r="BB3" s="6" t="s">
        <v>12</v>
      </c>
      <c r="BD3" s="6" t="s">
        <v>11</v>
      </c>
      <c r="BE3" s="6" t="s">
        <v>2</v>
      </c>
      <c r="BF3" s="6" t="s">
        <v>44</v>
      </c>
      <c r="BG3" s="6" t="s">
        <v>3</v>
      </c>
      <c r="BH3" s="6" t="s">
        <v>44</v>
      </c>
      <c r="BI3" s="6" t="s">
        <v>12</v>
      </c>
      <c r="BK3" s="6" t="s">
        <v>11</v>
      </c>
      <c r="BL3" s="6" t="s">
        <v>2</v>
      </c>
      <c r="BM3" s="6" t="s">
        <v>44</v>
      </c>
      <c r="BN3" s="6" t="s">
        <v>3</v>
      </c>
      <c r="BO3" s="6" t="s">
        <v>44</v>
      </c>
      <c r="BP3" s="6" t="s">
        <v>12</v>
      </c>
      <c r="BR3" s="6" t="s">
        <v>11</v>
      </c>
      <c r="BS3" s="6" t="s">
        <v>2</v>
      </c>
      <c r="BT3" s="6" t="s">
        <v>44</v>
      </c>
      <c r="BU3" s="6" t="s">
        <v>3</v>
      </c>
      <c r="BV3" s="6" t="s">
        <v>44</v>
      </c>
      <c r="BW3" s="6" t="s">
        <v>12</v>
      </c>
      <c r="BY3" s="6" t="s">
        <v>11</v>
      </c>
      <c r="BZ3" s="6" t="s">
        <v>2</v>
      </c>
      <c r="CA3" s="6" t="s">
        <v>44</v>
      </c>
      <c r="CB3" s="6" t="s">
        <v>3</v>
      </c>
      <c r="CC3" s="6" t="s">
        <v>44</v>
      </c>
      <c r="CD3" s="6" t="s">
        <v>12</v>
      </c>
      <c r="CF3" s="6" t="s">
        <v>11</v>
      </c>
      <c r="CG3" s="6" t="s">
        <v>2</v>
      </c>
      <c r="CH3" s="6" t="s">
        <v>44</v>
      </c>
      <c r="CI3" s="6" t="s">
        <v>3</v>
      </c>
      <c r="CJ3" s="6" t="s">
        <v>44</v>
      </c>
      <c r="CK3" s="6" t="s">
        <v>12</v>
      </c>
      <c r="CM3" s="6" t="s">
        <v>11</v>
      </c>
      <c r="CN3" s="6" t="s">
        <v>2</v>
      </c>
      <c r="CO3" s="6" t="s">
        <v>44</v>
      </c>
      <c r="CP3" s="6" t="s">
        <v>3</v>
      </c>
      <c r="CQ3" s="6" t="s">
        <v>44</v>
      </c>
      <c r="CR3" s="6" t="s">
        <v>12</v>
      </c>
      <c r="CT3" s="6" t="s">
        <v>11</v>
      </c>
      <c r="CU3" s="6" t="s">
        <v>2</v>
      </c>
      <c r="CV3" s="6" t="s">
        <v>44</v>
      </c>
      <c r="CW3" s="6" t="s">
        <v>3</v>
      </c>
      <c r="CX3" s="6" t="s">
        <v>44</v>
      </c>
      <c r="CY3" s="6" t="s">
        <v>12</v>
      </c>
      <c r="DA3" s="6" t="s">
        <v>11</v>
      </c>
      <c r="DB3" s="6" t="s">
        <v>2</v>
      </c>
      <c r="DC3" s="6" t="s">
        <v>44</v>
      </c>
      <c r="DD3" s="6" t="s">
        <v>3</v>
      </c>
      <c r="DE3" s="6" t="s">
        <v>44</v>
      </c>
      <c r="DF3" s="6" t="s">
        <v>12</v>
      </c>
      <c r="DH3" s="6" t="s">
        <v>11</v>
      </c>
      <c r="DI3" s="6" t="s">
        <v>2</v>
      </c>
      <c r="DJ3" s="6" t="s">
        <v>44</v>
      </c>
      <c r="DK3" s="6" t="s">
        <v>3</v>
      </c>
      <c r="DL3" s="6" t="s">
        <v>44</v>
      </c>
      <c r="DM3" s="6" t="s">
        <v>12</v>
      </c>
    </row>
    <row r="4" spans="2:117">
      <c r="B4" t="s">
        <v>27</v>
      </c>
      <c r="C4" t="s">
        <v>69</v>
      </c>
      <c r="E4" s="11" t="s">
        <v>70</v>
      </c>
      <c r="G4" s="12">
        <f>+SUM(G5:G9)</f>
        <v>1</v>
      </c>
      <c r="I4" s="14">
        <f>+SUM(I5:I9)</f>
        <v>67.5</v>
      </c>
      <c r="J4" s="13">
        <f>+SUMPRODUCT(G5:G9,J5:J9)</f>
        <v>0</v>
      </c>
      <c r="K4" s="13">
        <f>+SUMPRODUCT(G5:G9,K5:K9)</f>
        <v>0</v>
      </c>
      <c r="L4" s="11"/>
      <c r="N4" s="14">
        <f>+SUM(N5:N9)</f>
        <v>0</v>
      </c>
      <c r="U4" s="14">
        <f>+SUM(U5:U9)</f>
        <v>0</v>
      </c>
      <c r="AB4" s="14">
        <f>+SUM(AB5:AB9)</f>
        <v>18</v>
      </c>
      <c r="AI4" s="14">
        <f>+SUM(AI5:AI9)</f>
        <v>18</v>
      </c>
      <c r="AP4" s="14">
        <f>+SUM(AP5:AP9)</f>
        <v>18</v>
      </c>
      <c r="AW4" s="14">
        <f>+SUM(AW5:AW9)</f>
        <v>13.5</v>
      </c>
      <c r="BD4" s="14">
        <f>+SUM(BD5:BD9)</f>
        <v>0</v>
      </c>
      <c r="BK4" s="14">
        <f>+SUM(BK5:BK9)</f>
        <v>0</v>
      </c>
      <c r="BR4" s="14">
        <f>+SUM(BR5:BR9)</f>
        <v>0</v>
      </c>
      <c r="BY4" s="14">
        <f>+SUM(BY5:BY9)</f>
        <v>0</v>
      </c>
      <c r="CF4" s="14">
        <f>+SUM(CF5:CF9)</f>
        <v>0</v>
      </c>
      <c r="CM4" s="14">
        <f>+SUM(CM5:CM9)</f>
        <v>0</v>
      </c>
      <c r="CT4" s="14">
        <f>+SUM(CT5:CT9)</f>
        <v>0</v>
      </c>
      <c r="DA4" s="14">
        <f>+SUM(DA5:DA9)</f>
        <v>0</v>
      </c>
      <c r="DH4" s="14">
        <f>+SUM(DH5:DH9)</f>
        <v>0</v>
      </c>
    </row>
    <row r="5" spans="2:117" outlineLevel="1">
      <c r="B5" t="s">
        <v>28</v>
      </c>
      <c r="C5" t="s">
        <v>134</v>
      </c>
      <c r="E5" s="11"/>
      <c r="F5" t="s">
        <v>128</v>
      </c>
      <c r="G5" s="12">
        <v>0.2</v>
      </c>
      <c r="I5" s="11">
        <f>+SUMIF($N$3:$ZZ$3,I$3,$N5:$ZZ5)</f>
        <v>13.5</v>
      </c>
      <c r="J5" s="13">
        <f t="shared" ref="J5:K9" si="0">+_xlfn.MAXIFS($N5:$ZF5,$N$3:$ZF$3,J$3)</f>
        <v>0</v>
      </c>
      <c r="K5" s="13">
        <f t="shared" si="0"/>
        <v>0</v>
      </c>
      <c r="L5" s="11"/>
      <c r="O5" s="12"/>
      <c r="P5" s="12"/>
      <c r="Q5" s="12"/>
      <c r="R5" s="12"/>
      <c r="V5" s="12"/>
      <c r="W5" s="12"/>
      <c r="X5" s="12"/>
      <c r="Y5" s="12"/>
      <c r="AB5">
        <v>9</v>
      </c>
      <c r="AC5" s="12"/>
      <c r="AD5" s="12">
        <v>0.7</v>
      </c>
      <c r="AE5" s="12"/>
      <c r="AF5" s="12">
        <v>0.7</v>
      </c>
      <c r="AI5">
        <v>4.5</v>
      </c>
      <c r="AJ5" s="12"/>
      <c r="AK5" s="12">
        <v>1</v>
      </c>
      <c r="AL5" s="12"/>
      <c r="AM5" s="12">
        <v>1</v>
      </c>
      <c r="AQ5" s="12"/>
      <c r="AR5" s="12">
        <v>1</v>
      </c>
      <c r="AS5" s="12"/>
      <c r="AT5" s="12">
        <v>1</v>
      </c>
      <c r="AX5" s="12"/>
      <c r="AY5" s="12">
        <v>1</v>
      </c>
      <c r="AZ5" s="12"/>
      <c r="BA5" s="12">
        <v>1</v>
      </c>
      <c r="BE5" s="12"/>
      <c r="BF5" s="12"/>
      <c r="BG5" s="12"/>
      <c r="BH5" s="12"/>
      <c r="BL5" s="12"/>
      <c r="BM5" s="12"/>
      <c r="BN5" s="12"/>
      <c r="BO5" s="12"/>
      <c r="BS5" s="12"/>
      <c r="BT5" s="12"/>
      <c r="BU5" s="12"/>
      <c r="BV5" s="12"/>
      <c r="BZ5" s="12"/>
      <c r="CA5" s="12"/>
      <c r="CB5" s="12"/>
      <c r="CC5" s="12"/>
      <c r="CG5" s="12"/>
      <c r="CH5" s="12"/>
      <c r="CI5" s="12"/>
      <c r="CJ5" s="12"/>
      <c r="CN5" s="12"/>
      <c r="CO5" s="12"/>
      <c r="CP5" s="12"/>
      <c r="CQ5" s="12"/>
      <c r="CU5" s="12"/>
      <c r="CV5" s="12"/>
      <c r="CW5" s="12"/>
      <c r="CX5" s="12"/>
      <c r="DB5" s="12"/>
      <c r="DC5" s="12"/>
      <c r="DD5" s="12"/>
      <c r="DE5" s="12"/>
      <c r="DI5" s="12"/>
      <c r="DJ5" s="12"/>
      <c r="DK5" s="12"/>
      <c r="DL5" s="12"/>
    </row>
    <row r="6" spans="2:117" outlineLevel="1">
      <c r="B6" t="s">
        <v>28</v>
      </c>
      <c r="E6" s="11"/>
      <c r="F6" t="s">
        <v>129</v>
      </c>
      <c r="G6" s="12">
        <v>0.2</v>
      </c>
      <c r="I6" s="11">
        <f>+SUMIF($N$3:$ZZ$3,I$3,$N6:$ZZ6)</f>
        <v>13.5</v>
      </c>
      <c r="J6" s="13">
        <f t="shared" si="0"/>
        <v>0</v>
      </c>
      <c r="K6" s="13">
        <f t="shared" si="0"/>
        <v>0</v>
      </c>
      <c r="L6" s="11"/>
      <c r="O6" s="12"/>
      <c r="P6" s="12"/>
      <c r="Q6" s="12"/>
      <c r="R6" s="12"/>
      <c r="V6" s="12"/>
      <c r="W6" s="12"/>
      <c r="X6" s="12"/>
      <c r="Y6" s="12"/>
      <c r="AB6">
        <v>9</v>
      </c>
      <c r="AC6" s="12"/>
      <c r="AD6" s="12">
        <v>0.7</v>
      </c>
      <c r="AE6" s="12"/>
      <c r="AF6" s="12">
        <v>0.7</v>
      </c>
      <c r="AI6">
        <v>4.5</v>
      </c>
      <c r="AJ6" s="12"/>
      <c r="AK6" s="12">
        <v>1</v>
      </c>
      <c r="AL6" s="12"/>
      <c r="AM6" s="12">
        <v>1</v>
      </c>
      <c r="AQ6" s="12"/>
      <c r="AR6" s="12">
        <v>1</v>
      </c>
      <c r="AS6" s="12"/>
      <c r="AT6" s="12">
        <v>1</v>
      </c>
      <c r="AX6" s="12"/>
      <c r="AY6" s="12">
        <v>1</v>
      </c>
      <c r="AZ6" s="12"/>
      <c r="BA6" s="12">
        <v>1</v>
      </c>
      <c r="BE6" s="12"/>
      <c r="BF6" s="12"/>
      <c r="BG6" s="12"/>
      <c r="BH6" s="12"/>
      <c r="BL6" s="12"/>
      <c r="BM6" s="12"/>
      <c r="BN6" s="12"/>
      <c r="BO6" s="12"/>
      <c r="BS6" s="12"/>
      <c r="BT6" s="12"/>
      <c r="BU6" s="12"/>
      <c r="BV6" s="12"/>
      <c r="BZ6" s="12"/>
      <c r="CA6" s="12"/>
      <c r="CB6" s="12"/>
      <c r="CC6" s="12"/>
      <c r="CG6" s="12"/>
      <c r="CH6" s="12"/>
      <c r="CI6" s="12"/>
      <c r="CJ6" s="12"/>
      <c r="CN6" s="12"/>
      <c r="CO6" s="12"/>
      <c r="CP6" s="12"/>
      <c r="CQ6" s="12"/>
      <c r="CU6" s="12"/>
      <c r="CV6" s="12"/>
      <c r="CW6" s="12"/>
      <c r="CX6" s="12"/>
      <c r="DB6" s="12"/>
      <c r="DC6" s="12"/>
      <c r="DD6" s="12"/>
      <c r="DE6" s="12"/>
      <c r="DI6" s="12"/>
      <c r="DJ6" s="12"/>
      <c r="DK6" s="12"/>
      <c r="DL6" s="12"/>
    </row>
    <row r="7" spans="2:117" outlineLevel="1">
      <c r="B7" t="s">
        <v>28</v>
      </c>
      <c r="E7" s="11"/>
      <c r="F7" t="s">
        <v>130</v>
      </c>
      <c r="G7" s="12">
        <v>0.2</v>
      </c>
      <c r="I7" s="11">
        <f>+SUMIF($N$3:$ZZ$3,I$3,$N7:$ZZ7)</f>
        <v>13.5</v>
      </c>
      <c r="J7" s="13">
        <f t="shared" si="0"/>
        <v>0</v>
      </c>
      <c r="K7" s="13">
        <f t="shared" si="0"/>
        <v>0</v>
      </c>
      <c r="L7" s="11"/>
      <c r="O7" s="12"/>
      <c r="P7" s="12"/>
      <c r="Q7" s="12"/>
      <c r="R7" s="12"/>
      <c r="V7" s="12"/>
      <c r="W7" s="12"/>
      <c r="X7" s="12"/>
      <c r="Y7" s="12"/>
      <c r="AI7">
        <v>4.5</v>
      </c>
      <c r="AJ7" s="12"/>
      <c r="AK7" s="12">
        <v>0.5</v>
      </c>
      <c r="AL7" s="12"/>
      <c r="AM7" s="12">
        <v>0.3</v>
      </c>
      <c r="AP7">
        <v>9</v>
      </c>
      <c r="AQ7" s="12"/>
      <c r="AR7" s="12">
        <v>1</v>
      </c>
      <c r="AS7" s="12"/>
      <c r="AT7" s="12">
        <v>1</v>
      </c>
      <c r="AX7" s="12"/>
      <c r="AY7" s="12">
        <v>1</v>
      </c>
      <c r="AZ7" s="12"/>
      <c r="BA7" s="12">
        <v>1</v>
      </c>
      <c r="BE7" s="12"/>
      <c r="BF7" s="12"/>
      <c r="BG7" s="12"/>
      <c r="BH7" s="12"/>
      <c r="BL7" s="12"/>
      <c r="BM7" s="12"/>
      <c r="BN7" s="12"/>
      <c r="BO7" s="12"/>
      <c r="BS7" s="12"/>
      <c r="BT7" s="12"/>
      <c r="BU7" s="12"/>
      <c r="BV7" s="12"/>
      <c r="BZ7" s="12"/>
      <c r="CA7" s="12"/>
      <c r="CB7" s="12"/>
      <c r="CC7" s="12"/>
      <c r="CG7" s="12"/>
      <c r="CH7" s="12"/>
      <c r="CI7" s="12"/>
      <c r="CJ7" s="12"/>
      <c r="CN7" s="12"/>
      <c r="CO7" s="12"/>
      <c r="CP7" s="12"/>
      <c r="CQ7" s="12"/>
      <c r="CU7" s="12"/>
      <c r="CV7" s="12"/>
      <c r="CW7" s="12"/>
      <c r="CX7" s="12"/>
      <c r="DB7" s="12"/>
      <c r="DC7" s="12"/>
      <c r="DD7" s="12"/>
      <c r="DE7" s="12"/>
      <c r="DI7" s="12"/>
      <c r="DJ7" s="12"/>
      <c r="DK7" s="12"/>
      <c r="DL7" s="12"/>
    </row>
    <row r="8" spans="2:117" ht="14.25" customHeight="1" outlineLevel="1">
      <c r="B8" t="s">
        <v>28</v>
      </c>
      <c r="E8" s="11"/>
      <c r="F8" t="s">
        <v>131</v>
      </c>
      <c r="G8" s="12">
        <v>0.2</v>
      </c>
      <c r="I8" s="11">
        <f>+SUMIF($N$3:$ZZ$3,I$3,$N8:$ZZ8)</f>
        <v>13.5</v>
      </c>
      <c r="J8" s="13">
        <f t="shared" si="0"/>
        <v>0</v>
      </c>
      <c r="K8" s="13">
        <f t="shared" si="0"/>
        <v>0</v>
      </c>
      <c r="L8" s="11"/>
      <c r="O8" s="12"/>
      <c r="P8" s="12"/>
      <c r="Q8" s="12"/>
      <c r="R8" s="12"/>
      <c r="V8" s="12"/>
      <c r="W8" s="12"/>
      <c r="X8" s="12"/>
      <c r="Y8" s="12"/>
      <c r="AC8" s="12"/>
      <c r="AD8" s="12"/>
      <c r="AE8" s="12"/>
      <c r="AF8" s="12"/>
      <c r="AI8">
        <v>4.5</v>
      </c>
      <c r="AJ8" s="12"/>
      <c r="AK8" s="12">
        <v>0.5</v>
      </c>
      <c r="AL8" s="12"/>
      <c r="AM8" s="12">
        <v>0.3</v>
      </c>
      <c r="AP8">
        <v>4.5</v>
      </c>
      <c r="AQ8" s="12"/>
      <c r="AR8" s="12">
        <v>0.7</v>
      </c>
      <c r="AS8" s="12"/>
      <c r="AT8" s="12">
        <v>1</v>
      </c>
      <c r="AW8">
        <v>4.5</v>
      </c>
      <c r="AX8" s="12"/>
      <c r="AY8" s="12">
        <v>1</v>
      </c>
      <c r="AZ8" s="12"/>
      <c r="BA8" s="12">
        <v>1</v>
      </c>
      <c r="BE8" s="12"/>
      <c r="BF8" s="12"/>
      <c r="BG8" s="12"/>
      <c r="BH8" s="12"/>
      <c r="BL8" s="12"/>
      <c r="BM8" s="12"/>
      <c r="BN8" s="12"/>
      <c r="BO8" s="12"/>
      <c r="BS8" s="12"/>
      <c r="BT8" s="12"/>
      <c r="BU8" s="12"/>
      <c r="BV8" s="12"/>
      <c r="BZ8" s="12"/>
      <c r="CA8" s="12"/>
      <c r="CB8" s="12"/>
      <c r="CC8" s="12"/>
      <c r="CG8" s="12"/>
      <c r="CH8" s="12"/>
      <c r="CI8" s="12"/>
      <c r="CJ8" s="12"/>
      <c r="CN8" s="12"/>
      <c r="CO8" s="12"/>
      <c r="CP8" s="12"/>
      <c r="CQ8" s="12"/>
      <c r="CU8" s="12"/>
      <c r="CV8" s="12"/>
      <c r="CW8" s="12"/>
      <c r="CX8" s="12"/>
      <c r="DB8" s="12"/>
      <c r="DC8" s="12"/>
      <c r="DD8" s="12"/>
      <c r="DE8" s="12"/>
      <c r="DI8" s="12"/>
      <c r="DJ8" s="12"/>
      <c r="DK8" s="12"/>
      <c r="DL8" s="12"/>
    </row>
    <row r="9" spans="2:117" ht="14.25" customHeight="1" outlineLevel="1">
      <c r="B9" t="s">
        <v>28</v>
      </c>
      <c r="E9" s="11"/>
      <c r="F9" t="s">
        <v>132</v>
      </c>
      <c r="G9" s="12">
        <v>0.2</v>
      </c>
      <c r="I9" s="11">
        <f>+SUMIF($N$3:$ZZ$3,I$3,$N9:$ZZ9)</f>
        <v>13.5</v>
      </c>
      <c r="J9" s="13">
        <f t="shared" si="0"/>
        <v>0</v>
      </c>
      <c r="K9" s="13">
        <f t="shared" si="0"/>
        <v>0</v>
      </c>
      <c r="L9" s="11"/>
      <c r="O9" s="12"/>
      <c r="P9" s="12"/>
      <c r="Q9" s="12"/>
      <c r="R9" s="12"/>
      <c r="V9" s="12"/>
      <c r="W9" s="12"/>
      <c r="X9" s="12"/>
      <c r="Y9" s="12"/>
      <c r="AC9" s="12"/>
      <c r="AD9" s="12"/>
      <c r="AE9" s="12"/>
      <c r="AF9" s="12"/>
      <c r="AJ9" s="12"/>
      <c r="AK9" s="12"/>
      <c r="AL9" s="12"/>
      <c r="AM9" s="12"/>
      <c r="AP9">
        <v>4.5</v>
      </c>
      <c r="AQ9" s="12"/>
      <c r="AR9" s="12">
        <v>0.5</v>
      </c>
      <c r="AS9" s="12"/>
      <c r="AT9" s="12">
        <v>1</v>
      </c>
      <c r="AW9">
        <v>9</v>
      </c>
      <c r="AX9" s="12"/>
      <c r="AY9" s="12">
        <v>1</v>
      </c>
      <c r="AZ9" s="12"/>
      <c r="BA9" s="12">
        <v>1</v>
      </c>
      <c r="BE9" s="12"/>
      <c r="BF9" s="12"/>
      <c r="BG9" s="12"/>
      <c r="BH9" s="12"/>
      <c r="BL9" s="12"/>
      <c r="BM9" s="12"/>
      <c r="BN9" s="12"/>
      <c r="BO9" s="12"/>
      <c r="BS9" s="12"/>
      <c r="BT9" s="12"/>
      <c r="BU9" s="12"/>
      <c r="BV9" s="12"/>
      <c r="BZ9" s="12"/>
      <c r="CA9" s="12"/>
      <c r="CB9" s="12"/>
      <c r="CC9" s="12"/>
      <c r="CG9" s="12"/>
      <c r="CH9" s="12"/>
      <c r="CI9" s="12"/>
      <c r="CJ9" s="12"/>
      <c r="CN9" s="12"/>
      <c r="CO9" s="12"/>
      <c r="CP9" s="12"/>
      <c r="CQ9" s="12"/>
      <c r="CU9" s="12"/>
      <c r="CV9" s="12"/>
      <c r="CW9" s="12"/>
      <c r="CX9" s="12"/>
      <c r="DB9" s="12"/>
      <c r="DC9" s="12"/>
      <c r="DD9" s="12"/>
      <c r="DE9" s="12"/>
      <c r="DI9" s="12"/>
      <c r="DJ9" s="12"/>
      <c r="DK9" s="12"/>
      <c r="DL9" s="12"/>
    </row>
    <row r="10" spans="2:117">
      <c r="O10" s="9"/>
      <c r="V10" s="9"/>
      <c r="AC10" s="9"/>
      <c r="AJ10" s="9"/>
      <c r="AQ10" s="9"/>
      <c r="AX10" s="9"/>
      <c r="BE10" s="9"/>
      <c r="BL10" s="9"/>
      <c r="BS10" s="9"/>
      <c r="BZ10" s="9"/>
      <c r="CG10" s="9"/>
      <c r="CN10" s="9"/>
      <c r="CU10" s="9"/>
      <c r="DB10" s="9"/>
      <c r="DI10" s="9"/>
    </row>
    <row r="11" spans="2:117">
      <c r="B11" t="s">
        <v>27</v>
      </c>
      <c r="C11" t="s">
        <v>71</v>
      </c>
      <c r="E11" s="11" t="s">
        <v>70</v>
      </c>
      <c r="G11" s="12">
        <f>+SUM(G12:G14)</f>
        <v>0.99</v>
      </c>
      <c r="I11" s="14">
        <f>+SUM(I12:I14)</f>
        <v>30</v>
      </c>
      <c r="J11" s="13">
        <f>+SUMPRODUCT(G12:G14,J12:J14)</f>
        <v>0</v>
      </c>
      <c r="K11" s="13">
        <f>+SUMPRODUCT(G12:G14,K12:K14)</f>
        <v>0</v>
      </c>
      <c r="L11" s="11"/>
      <c r="N11" s="14">
        <f>+SUM(N12:N14)</f>
        <v>0</v>
      </c>
      <c r="U11" s="14">
        <f>+SUM(U12:U14)</f>
        <v>0</v>
      </c>
      <c r="AB11" s="14">
        <f>+SUM(AB12:AB14)</f>
        <v>10</v>
      </c>
      <c r="AI11" s="14">
        <f>+SUM(AI12:AI14)</f>
        <v>10</v>
      </c>
      <c r="AP11" s="14">
        <f>+SUM(AP12:AP14)</f>
        <v>10</v>
      </c>
      <c r="AW11" s="14">
        <f>+SUM(AW12:AW14)</f>
        <v>0</v>
      </c>
      <c r="BD11" s="14">
        <f>+SUM(BD12:BD14)</f>
        <v>0</v>
      </c>
      <c r="BK11" s="14">
        <f>+SUM(BK12:BK14)</f>
        <v>0</v>
      </c>
      <c r="BR11" s="14">
        <f>+SUM(BR12:BR14)</f>
        <v>0</v>
      </c>
      <c r="BY11" s="14">
        <f>+SUM(BY12:BY14)</f>
        <v>0</v>
      </c>
      <c r="CF11" s="14">
        <f>+SUM(CF12:CF14)</f>
        <v>0</v>
      </c>
      <c r="CM11" s="14">
        <f>+SUM(CM12:CM14)</f>
        <v>0</v>
      </c>
      <c r="CT11" s="14">
        <f>+SUM(CT12:CT14)</f>
        <v>0</v>
      </c>
      <c r="DA11" s="14">
        <f>+SUM(DA12:DA14)</f>
        <v>0</v>
      </c>
      <c r="DH11" s="14">
        <f>+SUM(DH12:DH14)</f>
        <v>0</v>
      </c>
    </row>
    <row r="12" spans="2:117" outlineLevel="1">
      <c r="B12" t="s">
        <v>28</v>
      </c>
      <c r="C12" t="s">
        <v>133</v>
      </c>
      <c r="E12" s="11"/>
      <c r="F12" t="s">
        <v>147</v>
      </c>
      <c r="G12" s="12">
        <v>0.33</v>
      </c>
      <c r="I12" s="11">
        <f>+SUMIF($N$3:$ZZ$3,I$3,$N12:$ZZ12)</f>
        <v>10</v>
      </c>
      <c r="J12" s="13">
        <f t="shared" ref="J12:K14" si="1">+_xlfn.MAXIFS($N12:$ZF12,$N$3:$ZF$3,J$3)</f>
        <v>0</v>
      </c>
      <c r="K12" s="13">
        <f t="shared" si="1"/>
        <v>0</v>
      </c>
      <c r="L12" s="11"/>
      <c r="O12" s="12"/>
      <c r="P12" s="12"/>
      <c r="Q12" s="12"/>
      <c r="R12" s="12"/>
      <c r="V12" s="12"/>
      <c r="W12" s="12"/>
      <c r="X12" s="12"/>
      <c r="Y12" s="12"/>
      <c r="AB12">
        <v>10</v>
      </c>
      <c r="AC12" s="12"/>
      <c r="AD12" s="12">
        <v>1</v>
      </c>
      <c r="AE12" s="12"/>
      <c r="AF12" s="12">
        <v>1</v>
      </c>
      <c r="AJ12" s="12"/>
      <c r="AK12" s="12">
        <v>1</v>
      </c>
      <c r="AL12" s="12"/>
      <c r="AM12" s="12">
        <v>1</v>
      </c>
      <c r="AQ12" s="12"/>
      <c r="AR12" s="12">
        <v>1</v>
      </c>
      <c r="AS12" s="12"/>
      <c r="AT12" s="12">
        <v>1</v>
      </c>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row>
    <row r="13" spans="2:117" outlineLevel="1">
      <c r="B13" t="s">
        <v>28</v>
      </c>
      <c r="E13" s="11"/>
      <c r="F13" t="s">
        <v>129</v>
      </c>
      <c r="G13" s="12">
        <v>0.33</v>
      </c>
      <c r="I13" s="11">
        <f>+SUMIF($N$3:$ZZ$3,I$3,$N13:$ZZ13)</f>
        <v>10</v>
      </c>
      <c r="J13" s="13">
        <f t="shared" si="1"/>
        <v>0</v>
      </c>
      <c r="K13" s="13">
        <f t="shared" si="1"/>
        <v>0</v>
      </c>
      <c r="L13" s="11"/>
      <c r="O13" s="12"/>
      <c r="P13" s="12"/>
      <c r="Q13" s="12"/>
      <c r="R13" s="12"/>
      <c r="V13" s="12"/>
      <c r="W13" s="12"/>
      <c r="X13" s="12"/>
      <c r="Y13" s="12"/>
      <c r="AC13" s="12"/>
      <c r="AD13" s="12"/>
      <c r="AE13" s="12"/>
      <c r="AF13" s="12"/>
      <c r="AI13">
        <v>10</v>
      </c>
      <c r="AJ13" s="12"/>
      <c r="AK13" s="12">
        <v>1</v>
      </c>
      <c r="AL13" s="12"/>
      <c r="AM13" s="12">
        <v>1</v>
      </c>
      <c r="AQ13" s="12"/>
      <c r="AR13" s="12">
        <v>1</v>
      </c>
      <c r="AS13" s="12"/>
      <c r="AT13" s="12">
        <v>1</v>
      </c>
      <c r="AX13" s="12"/>
      <c r="AY13" s="12"/>
      <c r="AZ13" s="12"/>
      <c r="BA13" s="12"/>
      <c r="BE13" s="12"/>
      <c r="BF13" s="12"/>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row>
    <row r="14" spans="2:117" outlineLevel="1">
      <c r="B14" t="s">
        <v>28</v>
      </c>
      <c r="E14" s="11"/>
      <c r="F14" t="s">
        <v>130</v>
      </c>
      <c r="G14" s="12">
        <v>0.33</v>
      </c>
      <c r="I14" s="11">
        <f>+SUMIF($N$3:$ZZ$3,I$3,$N14:$ZZ14)</f>
        <v>10</v>
      </c>
      <c r="J14" s="13">
        <f t="shared" si="1"/>
        <v>0</v>
      </c>
      <c r="K14" s="13">
        <f t="shared" si="1"/>
        <v>0</v>
      </c>
      <c r="L14" s="11"/>
      <c r="O14" s="12"/>
      <c r="P14" s="12"/>
      <c r="Q14" s="12"/>
      <c r="R14" s="12"/>
      <c r="V14" s="12"/>
      <c r="W14" s="12"/>
      <c r="X14" s="12"/>
      <c r="Y14" s="12"/>
      <c r="AC14" s="12"/>
      <c r="AD14" s="12"/>
      <c r="AE14" s="12"/>
      <c r="AF14" s="12"/>
      <c r="AJ14" s="12"/>
      <c r="AK14" s="12"/>
      <c r="AL14" s="12"/>
      <c r="AM14" s="12"/>
      <c r="AP14">
        <v>10</v>
      </c>
      <c r="AQ14" s="12"/>
      <c r="AR14" s="12">
        <v>1</v>
      </c>
      <c r="AS14" s="12"/>
      <c r="AT14" s="12">
        <v>1</v>
      </c>
      <c r="AX14" s="12"/>
      <c r="AY14" s="12"/>
      <c r="AZ14" s="12"/>
      <c r="BA14" s="12"/>
      <c r="BE14" s="12"/>
      <c r="BF14" s="12"/>
      <c r="BG14" s="12"/>
      <c r="BH14" s="12"/>
      <c r="BL14" s="12"/>
      <c r="BM14" s="12"/>
      <c r="BN14" s="12"/>
      <c r="BO14" s="12"/>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row>
    <row r="15" spans="2:117">
      <c r="O15" s="9"/>
      <c r="V15" s="9"/>
      <c r="AC15" s="9"/>
      <c r="AJ15" s="9"/>
      <c r="AQ15" s="9"/>
      <c r="AX15" s="9"/>
      <c r="BE15" s="9"/>
      <c r="BL15" s="9"/>
      <c r="BS15" s="9"/>
      <c r="BZ15" s="9"/>
      <c r="CG15" s="9"/>
      <c r="CN15" s="9"/>
      <c r="CU15" s="9"/>
      <c r="DB15" s="9"/>
      <c r="DI15" s="9"/>
    </row>
    <row r="16" spans="2:117">
      <c r="B16" t="s">
        <v>27</v>
      </c>
      <c r="C16" t="s">
        <v>72</v>
      </c>
      <c r="E16" s="11" t="s">
        <v>70</v>
      </c>
      <c r="G16" s="12">
        <f>+SUM(G17:G22)</f>
        <v>1.02</v>
      </c>
      <c r="I16" s="14">
        <f>+SUM(I17:I22)</f>
        <v>80</v>
      </c>
      <c r="J16" s="13">
        <f>+SUMPRODUCT(G17:G22,J17:J22)</f>
        <v>0</v>
      </c>
      <c r="K16" s="13">
        <f>+SUMPRODUCT(G17:G22,K17:K22)</f>
        <v>0</v>
      </c>
      <c r="L16" s="11"/>
      <c r="N16" s="14">
        <f>+SUM(N17:N22)</f>
        <v>0</v>
      </c>
      <c r="U16" s="14">
        <f>+SUM(U17:U22)</f>
        <v>0</v>
      </c>
      <c r="AB16" s="14">
        <f>+SUM(AB17:AB22)</f>
        <v>10</v>
      </c>
      <c r="AI16" s="14">
        <f>+SUM(AI17:AI22)</f>
        <v>10</v>
      </c>
      <c r="AP16" s="14">
        <f>+SUM(AP17:AP22)</f>
        <v>10</v>
      </c>
      <c r="AW16" s="14">
        <f>+SUM(AW17:AW22)</f>
        <v>10</v>
      </c>
      <c r="BD16" s="14">
        <f>+SUM(BD17:BD22)</f>
        <v>10</v>
      </c>
      <c r="BK16" s="14">
        <f>+SUM(BK17:BK22)</f>
        <v>10</v>
      </c>
      <c r="BR16" s="14">
        <f>+SUM(BR17:BR22)</f>
        <v>10</v>
      </c>
      <c r="BY16" s="14">
        <f>+SUM(BY17:BY22)</f>
        <v>10</v>
      </c>
      <c r="CF16" s="14">
        <f>+SUM(CF17:CF22)</f>
        <v>0</v>
      </c>
      <c r="CM16" s="14">
        <f>+SUM(CM17:CM22)</f>
        <v>0</v>
      </c>
      <c r="CT16" s="14">
        <f>+SUM(CT17:CT22)</f>
        <v>0</v>
      </c>
      <c r="DA16" s="14">
        <f>+SUM(DA17:DA22)</f>
        <v>0</v>
      </c>
      <c r="DH16" s="14">
        <f>+SUM(DH17:DH22)</f>
        <v>0</v>
      </c>
    </row>
    <row r="17" spans="2:116" outlineLevel="1">
      <c r="B17" t="s">
        <v>28</v>
      </c>
      <c r="C17" t="s">
        <v>95</v>
      </c>
      <c r="E17" s="11"/>
      <c r="F17" t="s">
        <v>139</v>
      </c>
      <c r="G17" s="12">
        <v>0.17</v>
      </c>
      <c r="I17" s="11">
        <f t="shared" ref="I17:I22" si="2">+SUMIF($N$3:$ZZ$3,I$3,$N17:$ZZ17)</f>
        <v>15</v>
      </c>
      <c r="J17" s="13">
        <f t="shared" ref="J17:K22" si="3">+_xlfn.MAXIFS($N17:$ZF17,$N$3:$ZF$3,J$3)</f>
        <v>0</v>
      </c>
      <c r="K17" s="13">
        <f t="shared" si="3"/>
        <v>0</v>
      </c>
      <c r="L17" s="11"/>
      <c r="O17" s="12"/>
      <c r="P17" s="12"/>
      <c r="Q17" s="12"/>
      <c r="R17" s="12"/>
      <c r="V17" s="12"/>
      <c r="W17" s="12"/>
      <c r="X17" s="12"/>
      <c r="Y17" s="12"/>
      <c r="AB17">
        <v>5</v>
      </c>
      <c r="AC17" s="12"/>
      <c r="AD17" s="12">
        <v>0.5</v>
      </c>
      <c r="AE17" s="12"/>
      <c r="AF17" s="12">
        <v>0.5</v>
      </c>
      <c r="AI17">
        <v>5</v>
      </c>
      <c r="AJ17" s="12"/>
      <c r="AK17" s="12">
        <v>0.7</v>
      </c>
      <c r="AL17" s="12"/>
      <c r="AM17" s="12">
        <v>0.7</v>
      </c>
      <c r="AQ17" s="12"/>
      <c r="AR17" s="12">
        <v>0.7</v>
      </c>
      <c r="AS17" s="12"/>
      <c r="AT17" s="12">
        <v>0.7</v>
      </c>
      <c r="AW17">
        <v>5</v>
      </c>
      <c r="AX17" s="12"/>
      <c r="AY17" s="12">
        <v>1</v>
      </c>
      <c r="AZ17" s="12"/>
      <c r="BA17" s="12">
        <v>1</v>
      </c>
      <c r="BE17" s="12"/>
      <c r="BF17" s="12">
        <v>1</v>
      </c>
      <c r="BG17" s="12"/>
      <c r="BH17" s="12">
        <v>1</v>
      </c>
      <c r="BL17" s="12"/>
      <c r="BM17" s="12">
        <v>1</v>
      </c>
      <c r="BN17" s="12"/>
      <c r="BO17" s="12">
        <v>1</v>
      </c>
      <c r="BS17" s="12"/>
      <c r="BT17" s="12">
        <v>1</v>
      </c>
      <c r="BU17" s="12"/>
      <c r="BV17" s="12">
        <v>1</v>
      </c>
      <c r="BZ17" s="12"/>
      <c r="CA17" s="12">
        <v>1</v>
      </c>
      <c r="CB17" s="12"/>
      <c r="CC17" s="12">
        <v>1</v>
      </c>
      <c r="CG17" s="12"/>
      <c r="CH17" s="12"/>
      <c r="CI17" s="12"/>
      <c r="CJ17" s="12"/>
      <c r="CN17" s="12"/>
      <c r="CO17" s="12"/>
      <c r="CP17" s="12"/>
      <c r="CQ17" s="12"/>
      <c r="CU17" s="12"/>
      <c r="CV17" s="12"/>
      <c r="CW17" s="12"/>
      <c r="CX17" s="12"/>
      <c r="DB17" s="12"/>
      <c r="DC17" s="12"/>
      <c r="DD17" s="12"/>
      <c r="DE17" s="12"/>
      <c r="DI17" s="12"/>
      <c r="DJ17" s="12"/>
      <c r="DK17" s="12"/>
      <c r="DL17" s="12"/>
    </row>
    <row r="18" spans="2:116" outlineLevel="1">
      <c r="B18" t="s">
        <v>28</v>
      </c>
      <c r="E18" s="11"/>
      <c r="F18" t="s">
        <v>140</v>
      </c>
      <c r="G18" s="12">
        <v>0.17</v>
      </c>
      <c r="I18" s="11">
        <f t="shared" si="2"/>
        <v>15</v>
      </c>
      <c r="J18" s="13">
        <f t="shared" si="3"/>
        <v>0</v>
      </c>
      <c r="K18" s="13">
        <f t="shared" si="3"/>
        <v>0</v>
      </c>
      <c r="L18" s="11"/>
      <c r="O18" s="12"/>
      <c r="P18" s="12"/>
      <c r="Q18" s="12"/>
      <c r="R18" s="12"/>
      <c r="V18" s="12"/>
      <c r="W18" s="12"/>
      <c r="X18" s="12"/>
      <c r="Y18" s="12"/>
      <c r="AB18">
        <v>5</v>
      </c>
      <c r="AC18" s="12"/>
      <c r="AD18" s="12">
        <v>0.5</v>
      </c>
      <c r="AE18" s="12"/>
      <c r="AF18" s="12">
        <v>0.5</v>
      </c>
      <c r="AJ18" s="12"/>
      <c r="AK18" s="12">
        <v>0.5</v>
      </c>
      <c r="AL18" s="12"/>
      <c r="AM18" s="12">
        <v>0.5</v>
      </c>
      <c r="AP18">
        <v>5</v>
      </c>
      <c r="AQ18" s="12"/>
      <c r="AR18" s="12">
        <v>0.7</v>
      </c>
      <c r="AS18" s="12"/>
      <c r="AT18" s="12">
        <v>0.7</v>
      </c>
      <c r="AX18" s="12"/>
      <c r="AY18" s="12">
        <v>0.7</v>
      </c>
      <c r="AZ18" s="12"/>
      <c r="BA18" s="12">
        <v>0.7</v>
      </c>
      <c r="BD18">
        <v>5</v>
      </c>
      <c r="BE18" s="12"/>
      <c r="BF18" s="12">
        <v>1</v>
      </c>
      <c r="BG18" s="12"/>
      <c r="BH18" s="12">
        <v>1</v>
      </c>
      <c r="BL18" s="12"/>
      <c r="BM18" s="12">
        <v>1</v>
      </c>
      <c r="BN18" s="12"/>
      <c r="BO18" s="12">
        <v>1</v>
      </c>
      <c r="BS18" s="12"/>
      <c r="BT18" s="12">
        <v>1</v>
      </c>
      <c r="BU18" s="12"/>
      <c r="BV18" s="12">
        <v>1</v>
      </c>
      <c r="BZ18" s="12"/>
      <c r="CA18" s="12">
        <v>1</v>
      </c>
      <c r="CB18" s="12"/>
      <c r="CC18" s="12">
        <v>1</v>
      </c>
      <c r="CG18" s="12"/>
      <c r="CH18" s="12"/>
      <c r="CI18" s="12"/>
      <c r="CJ18" s="12"/>
      <c r="CN18" s="12"/>
      <c r="CO18" s="12"/>
      <c r="CP18" s="12"/>
      <c r="CQ18" s="12"/>
      <c r="CU18" s="12"/>
      <c r="CV18" s="12"/>
      <c r="CW18" s="12"/>
      <c r="CX18" s="12"/>
      <c r="DB18" s="12"/>
      <c r="DC18" s="12"/>
      <c r="DD18" s="12"/>
      <c r="DE18" s="12"/>
      <c r="DI18" s="12"/>
      <c r="DJ18" s="12"/>
      <c r="DK18" s="12"/>
      <c r="DL18" s="12"/>
    </row>
    <row r="19" spans="2:116" outlineLevel="1">
      <c r="B19" t="s">
        <v>28</v>
      </c>
      <c r="E19" s="11"/>
      <c r="F19" t="s">
        <v>141</v>
      </c>
      <c r="G19" s="12">
        <v>0.17</v>
      </c>
      <c r="I19" s="11">
        <f t="shared" si="2"/>
        <v>5</v>
      </c>
      <c r="J19" s="13">
        <f t="shared" si="3"/>
        <v>0</v>
      </c>
      <c r="K19" s="13">
        <f t="shared" si="3"/>
        <v>0</v>
      </c>
      <c r="L19" s="11"/>
      <c r="O19" s="12"/>
      <c r="P19" s="12"/>
      <c r="Q19" s="12"/>
      <c r="R19" s="12"/>
      <c r="V19" s="12"/>
      <c r="W19" s="12"/>
      <c r="X19" s="12"/>
      <c r="Y19" s="12"/>
      <c r="AC19" s="12"/>
      <c r="AD19" s="12"/>
      <c r="AE19" s="12"/>
      <c r="AF19" s="12"/>
      <c r="AI19">
        <v>5</v>
      </c>
      <c r="AJ19" s="12"/>
      <c r="AK19" s="12">
        <v>0.5</v>
      </c>
      <c r="AL19" s="12"/>
      <c r="AM19" s="12">
        <v>0.5</v>
      </c>
      <c r="AQ19" s="12"/>
      <c r="AR19" s="12">
        <v>0.5</v>
      </c>
      <c r="AS19" s="12"/>
      <c r="AT19" s="12">
        <v>0.5</v>
      </c>
      <c r="AX19" s="12"/>
      <c r="AY19" s="12">
        <v>0.5</v>
      </c>
      <c r="AZ19" s="12"/>
      <c r="BA19" s="12">
        <v>0.5</v>
      </c>
      <c r="BE19" s="12"/>
      <c r="BF19" s="12">
        <v>0.7</v>
      </c>
      <c r="BG19" s="12"/>
      <c r="BH19" s="12">
        <v>0.7</v>
      </c>
      <c r="BL19" s="12"/>
      <c r="BM19" s="12">
        <v>1</v>
      </c>
      <c r="BN19" s="12"/>
      <c r="BO19" s="12">
        <v>1</v>
      </c>
      <c r="BS19" s="12"/>
      <c r="BT19" s="12">
        <v>1</v>
      </c>
      <c r="BU19" s="12"/>
      <c r="BV19" s="12">
        <v>1</v>
      </c>
      <c r="BZ19" s="12"/>
      <c r="CA19" s="12">
        <v>1</v>
      </c>
      <c r="CB19" s="12"/>
      <c r="CC19" s="12">
        <v>1</v>
      </c>
      <c r="CG19" s="12"/>
      <c r="CH19" s="12"/>
      <c r="CI19" s="12"/>
      <c r="CJ19" s="12"/>
      <c r="CN19" s="12"/>
      <c r="CO19" s="12"/>
      <c r="CP19" s="12"/>
      <c r="CQ19" s="12"/>
      <c r="CU19" s="12"/>
      <c r="CV19" s="12"/>
      <c r="CW19" s="12"/>
      <c r="CX19" s="12"/>
      <c r="DB19" s="12"/>
      <c r="DC19" s="12"/>
      <c r="DD19" s="12"/>
      <c r="DE19" s="12"/>
      <c r="DI19" s="12"/>
      <c r="DJ19" s="12"/>
      <c r="DK19" s="12"/>
      <c r="DL19" s="12"/>
    </row>
    <row r="20" spans="2:116" outlineLevel="1">
      <c r="B20" t="s">
        <v>28</v>
      </c>
      <c r="E20" s="11"/>
      <c r="F20" t="s">
        <v>142</v>
      </c>
      <c r="G20" s="12">
        <v>0.17</v>
      </c>
      <c r="I20" s="11">
        <f t="shared" si="2"/>
        <v>15</v>
      </c>
      <c r="J20" s="13">
        <f t="shared" si="3"/>
        <v>0</v>
      </c>
      <c r="K20" s="13">
        <f t="shared" si="3"/>
        <v>0</v>
      </c>
      <c r="L20" s="11"/>
      <c r="O20" s="12"/>
      <c r="P20" s="12"/>
      <c r="Q20" s="12"/>
      <c r="R20" s="12"/>
      <c r="V20" s="12"/>
      <c r="W20" s="12"/>
      <c r="X20" s="12"/>
      <c r="Y20" s="12"/>
      <c r="AC20" s="12"/>
      <c r="AD20" s="12"/>
      <c r="AE20" s="12"/>
      <c r="AF20" s="12"/>
      <c r="AJ20" s="12"/>
      <c r="AK20" s="12"/>
      <c r="AL20" s="12"/>
      <c r="AM20" s="12"/>
      <c r="AP20">
        <v>5</v>
      </c>
      <c r="AQ20" s="12"/>
      <c r="AR20" s="12">
        <v>0.5</v>
      </c>
      <c r="AS20" s="12"/>
      <c r="AT20" s="12">
        <v>0.5</v>
      </c>
      <c r="AX20" s="12"/>
      <c r="AY20" s="12">
        <v>0.5</v>
      </c>
      <c r="AZ20" s="12"/>
      <c r="BA20" s="12">
        <v>0.5</v>
      </c>
      <c r="BE20" s="12"/>
      <c r="BF20" s="12">
        <v>0.5</v>
      </c>
      <c r="BG20" s="12"/>
      <c r="BH20" s="12">
        <v>0.5</v>
      </c>
      <c r="BK20">
        <v>5</v>
      </c>
      <c r="BL20" s="12"/>
      <c r="BM20" s="12">
        <v>0.7</v>
      </c>
      <c r="BN20" s="12"/>
      <c r="BO20" s="12">
        <v>0.7</v>
      </c>
      <c r="BR20">
        <v>5</v>
      </c>
      <c r="BS20" s="12"/>
      <c r="BT20" s="12">
        <v>1</v>
      </c>
      <c r="BU20" s="12"/>
      <c r="BV20" s="12">
        <v>1</v>
      </c>
      <c r="BZ20" s="12"/>
      <c r="CA20" s="12">
        <v>1</v>
      </c>
      <c r="CB20" s="12"/>
      <c r="CC20" s="12">
        <v>1</v>
      </c>
      <c r="CG20" s="12"/>
      <c r="CH20" s="12"/>
      <c r="CI20" s="12"/>
      <c r="CJ20" s="12"/>
      <c r="CN20" s="12"/>
      <c r="CO20" s="12"/>
      <c r="CP20" s="12"/>
      <c r="CQ20" s="12"/>
      <c r="CU20" s="12"/>
      <c r="CV20" s="12"/>
      <c r="CW20" s="12"/>
      <c r="CX20" s="12"/>
      <c r="DB20" s="12"/>
      <c r="DC20" s="12"/>
      <c r="DD20" s="12"/>
      <c r="DE20" s="12"/>
      <c r="DI20" s="12"/>
      <c r="DJ20" s="12"/>
      <c r="DK20" s="12"/>
      <c r="DL20" s="12"/>
    </row>
    <row r="21" spans="2:116" outlineLevel="1">
      <c r="B21" t="s">
        <v>28</v>
      </c>
      <c r="E21" s="11"/>
      <c r="F21" t="s">
        <v>143</v>
      </c>
      <c r="G21" s="12">
        <v>0.17</v>
      </c>
      <c r="I21" s="11">
        <f t="shared" si="2"/>
        <v>15</v>
      </c>
      <c r="J21" s="13">
        <f t="shared" si="3"/>
        <v>0</v>
      </c>
      <c r="K21" s="13">
        <f t="shared" si="3"/>
        <v>0</v>
      </c>
      <c r="L21" s="11"/>
      <c r="O21" s="12"/>
      <c r="P21" s="12"/>
      <c r="Q21" s="12"/>
      <c r="R21" s="12"/>
      <c r="V21" s="12"/>
      <c r="W21" s="12"/>
      <c r="X21" s="12"/>
      <c r="Y21" s="12"/>
      <c r="AC21" s="12"/>
      <c r="AD21" s="12"/>
      <c r="AE21" s="12"/>
      <c r="AF21" s="12"/>
      <c r="AJ21" s="12"/>
      <c r="AK21" s="12"/>
      <c r="AL21" s="12"/>
      <c r="AM21" s="12"/>
      <c r="AQ21" s="12"/>
      <c r="AR21" s="12"/>
      <c r="AS21" s="12"/>
      <c r="AT21" s="12"/>
      <c r="AW21">
        <v>5</v>
      </c>
      <c r="AX21" s="12"/>
      <c r="AY21" s="12">
        <v>0.5</v>
      </c>
      <c r="AZ21" s="12"/>
      <c r="BA21" s="12">
        <v>0.5</v>
      </c>
      <c r="BE21" s="12"/>
      <c r="BF21" s="12">
        <v>0.5</v>
      </c>
      <c r="BG21" s="12"/>
      <c r="BH21" s="12">
        <v>0.5</v>
      </c>
      <c r="BK21">
        <v>5</v>
      </c>
      <c r="BL21" s="12"/>
      <c r="BM21" s="12">
        <v>0.7</v>
      </c>
      <c r="BN21" s="12"/>
      <c r="BO21" s="12">
        <v>0.7</v>
      </c>
      <c r="BS21" s="12"/>
      <c r="BT21" s="12">
        <v>0.7</v>
      </c>
      <c r="BU21" s="12"/>
      <c r="BV21" s="12">
        <v>0.7</v>
      </c>
      <c r="BY21">
        <v>5</v>
      </c>
      <c r="BZ21" s="12"/>
      <c r="CA21" s="12">
        <v>1</v>
      </c>
      <c r="CB21" s="12"/>
      <c r="CC21" s="12">
        <v>1</v>
      </c>
      <c r="CG21" s="12"/>
      <c r="CH21" s="12"/>
      <c r="CI21" s="12"/>
      <c r="CJ21" s="12"/>
      <c r="CN21" s="12"/>
      <c r="CO21" s="12"/>
      <c r="CP21" s="12"/>
      <c r="CQ21" s="12"/>
      <c r="CU21" s="12"/>
      <c r="CV21" s="12"/>
      <c r="CW21" s="12"/>
      <c r="CX21" s="12"/>
      <c r="DB21" s="12"/>
      <c r="DC21" s="12"/>
      <c r="DD21" s="12"/>
      <c r="DE21" s="12"/>
      <c r="DI21" s="12"/>
      <c r="DJ21" s="12"/>
      <c r="DK21" s="12"/>
      <c r="DL21" s="12"/>
    </row>
    <row r="22" spans="2:116" outlineLevel="1">
      <c r="B22" t="s">
        <v>28</v>
      </c>
      <c r="E22" s="11"/>
      <c r="F22" t="s">
        <v>144</v>
      </c>
      <c r="G22" s="12">
        <v>0.17</v>
      </c>
      <c r="I22" s="11">
        <f t="shared" si="2"/>
        <v>15</v>
      </c>
      <c r="J22" s="13">
        <f t="shared" si="3"/>
        <v>0</v>
      </c>
      <c r="K22" s="13">
        <f t="shared" si="3"/>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D22">
        <v>5</v>
      </c>
      <c r="BE22" s="12"/>
      <c r="BF22" s="12">
        <v>0.5</v>
      </c>
      <c r="BG22" s="12"/>
      <c r="BH22" s="12">
        <v>0.5</v>
      </c>
      <c r="BL22" s="12"/>
      <c r="BM22" s="12">
        <v>0.5</v>
      </c>
      <c r="BN22" s="12"/>
      <c r="BO22" s="12">
        <v>0.5</v>
      </c>
      <c r="BR22">
        <v>5</v>
      </c>
      <c r="BS22" s="12"/>
      <c r="BT22" s="12">
        <v>0.7</v>
      </c>
      <c r="BU22" s="12"/>
      <c r="BV22" s="12">
        <v>0.7</v>
      </c>
      <c r="BY22">
        <v>5</v>
      </c>
      <c r="BZ22" s="12"/>
      <c r="CA22" s="12">
        <v>1</v>
      </c>
      <c r="CB22" s="12"/>
      <c r="CC22" s="12">
        <v>1</v>
      </c>
      <c r="CG22" s="12"/>
      <c r="CH22" s="12"/>
      <c r="CI22" s="12"/>
      <c r="CJ22" s="12"/>
      <c r="CN22" s="12"/>
      <c r="CO22" s="12"/>
      <c r="CP22" s="12"/>
      <c r="CQ22" s="12"/>
      <c r="CU22" s="12"/>
      <c r="CV22" s="12"/>
      <c r="CW22" s="12"/>
      <c r="CX22" s="12"/>
      <c r="DB22" s="12"/>
      <c r="DC22" s="12"/>
      <c r="DD22" s="12"/>
      <c r="DE22" s="12"/>
      <c r="DI22" s="12"/>
      <c r="DJ22" s="12"/>
      <c r="DK22" s="12"/>
      <c r="DL22" s="12"/>
    </row>
    <row r="23" spans="2:116">
      <c r="O23" s="9"/>
      <c r="V23" s="9"/>
      <c r="AC23" s="9"/>
      <c r="AJ23" s="9"/>
      <c r="AQ23" s="9"/>
      <c r="AX23" s="9"/>
      <c r="BE23" s="9"/>
      <c r="BL23" s="9"/>
      <c r="BS23" s="9"/>
      <c r="BZ23" s="9"/>
      <c r="CG23" s="9"/>
      <c r="CN23" s="9"/>
      <c r="CU23" s="9"/>
      <c r="DB23" s="9"/>
      <c r="DI23" s="9"/>
    </row>
    <row r="24" spans="2:116">
      <c r="B24" t="s">
        <v>27</v>
      </c>
      <c r="C24" t="s">
        <v>63</v>
      </c>
      <c r="E24" s="11">
        <v>3</v>
      </c>
      <c r="G24" s="12">
        <f>+SUM(G25:G36)</f>
        <v>0.99999999999999978</v>
      </c>
      <c r="I24" s="14">
        <f>+SUM(I25:I36)</f>
        <v>24.120000000000008</v>
      </c>
      <c r="J24" s="13">
        <f>+SUMPRODUCT(G25:G36,J25:J36)</f>
        <v>0</v>
      </c>
      <c r="K24" s="13">
        <f>+SUMPRODUCT(G25:G36,K25:K36)</f>
        <v>0</v>
      </c>
      <c r="L24" s="11"/>
      <c r="N24" s="14">
        <f>+SUM(N25:N36)</f>
        <v>0</v>
      </c>
      <c r="U24" s="14">
        <f>+SUM(U25:U36)</f>
        <v>0</v>
      </c>
      <c r="AB24" s="14">
        <f>+SUM(AB25:AB36)</f>
        <v>2.68</v>
      </c>
      <c r="AI24" s="14">
        <f>+SUM(AI25:AI36)</f>
        <v>2.68</v>
      </c>
      <c r="AP24" s="14">
        <f>+SUM(AP25:AP36)</f>
        <v>2.68</v>
      </c>
      <c r="AW24" s="14">
        <f>+SUM(AW25:AW36)</f>
        <v>2.68</v>
      </c>
      <c r="BD24" s="14">
        <f>+SUM(BD25:BD36)</f>
        <v>2.68</v>
      </c>
      <c r="BK24" s="14">
        <f>+SUM(BK25:BK34)</f>
        <v>2.68</v>
      </c>
      <c r="BR24" s="14">
        <f>+SUM(BR27:BR36)</f>
        <v>2.68</v>
      </c>
      <c r="BY24" s="14">
        <f>+SUM(BY25:BY34)</f>
        <v>2.68</v>
      </c>
      <c r="CF24" s="14">
        <f>+SUM(CF25:CF36)</f>
        <v>2.68</v>
      </c>
      <c r="CM24" s="14">
        <f>+SUM(CM25:CM36)</f>
        <v>0</v>
      </c>
      <c r="CT24" s="14">
        <f>+SUM(CT25:CT36)</f>
        <v>0</v>
      </c>
      <c r="DA24" s="14">
        <f>+SUM(DA25:DA36)</f>
        <v>0</v>
      </c>
      <c r="DH24" s="14">
        <f>+SUM(DH25:DH36)</f>
        <v>0</v>
      </c>
    </row>
    <row r="25" spans="2:116" outlineLevel="1">
      <c r="B25" t="s">
        <v>28</v>
      </c>
      <c r="C25" t="s">
        <v>95</v>
      </c>
      <c r="E25" s="11"/>
      <c r="F25" t="s">
        <v>84</v>
      </c>
      <c r="G25" s="12">
        <v>0.12</v>
      </c>
      <c r="I25" s="11">
        <f>+SUMIF($N$3:$ZZ$3,I$3,$N25:$ZZ25)</f>
        <v>2.0100000000000002</v>
      </c>
      <c r="J25" s="13">
        <f t="shared" ref="J25:K36" si="4">+_xlfn.MAXIFS($N25:$ZF25,$N$3:$ZF$3,J$3)</f>
        <v>0</v>
      </c>
      <c r="K25" s="13">
        <f t="shared" si="4"/>
        <v>0</v>
      </c>
      <c r="L25" s="11"/>
      <c r="O25" s="12"/>
      <c r="P25" s="12"/>
      <c r="Q25" s="12"/>
      <c r="R25" s="12"/>
      <c r="V25" s="12"/>
      <c r="W25" s="12"/>
      <c r="X25" s="12"/>
      <c r="Y25" s="12"/>
      <c r="AB25">
        <v>0.67</v>
      </c>
      <c r="AC25" s="12"/>
      <c r="AD25" s="12">
        <v>0.5</v>
      </c>
      <c r="AE25" s="12"/>
      <c r="AF25" s="12">
        <v>0.5</v>
      </c>
      <c r="AI25">
        <v>0.67</v>
      </c>
      <c r="AJ25" s="12"/>
      <c r="AK25" s="12">
        <v>0.7</v>
      </c>
      <c r="AL25" s="12"/>
      <c r="AM25" s="12">
        <v>0.7</v>
      </c>
      <c r="AQ25" s="12"/>
      <c r="AR25" s="12">
        <v>0.7</v>
      </c>
      <c r="AS25" s="12"/>
      <c r="AT25" s="12">
        <v>0.7</v>
      </c>
      <c r="AX25" s="12"/>
      <c r="AY25" s="12">
        <v>0.7</v>
      </c>
      <c r="AZ25" s="12"/>
      <c r="BA25" s="12">
        <v>0.7</v>
      </c>
      <c r="BE25" s="12"/>
      <c r="BF25" s="12">
        <v>0.7</v>
      </c>
      <c r="BG25" s="12"/>
      <c r="BH25" s="12">
        <v>0.7</v>
      </c>
      <c r="BK25">
        <v>0.67</v>
      </c>
      <c r="BL25" s="12"/>
      <c r="BM25" s="12">
        <v>1</v>
      </c>
      <c r="BN25" s="12"/>
      <c r="BO25" s="12">
        <v>1</v>
      </c>
      <c r="BS25" s="12"/>
      <c r="BT25" s="12">
        <v>1</v>
      </c>
      <c r="BU25" s="12"/>
      <c r="BV25" s="12">
        <v>1</v>
      </c>
      <c r="BZ25" s="12"/>
      <c r="CA25" s="12">
        <v>1</v>
      </c>
      <c r="CB25" s="12"/>
      <c r="CC25" s="12">
        <v>1</v>
      </c>
      <c r="CG25" s="12"/>
      <c r="CH25" s="12">
        <v>1</v>
      </c>
      <c r="CI25" s="12"/>
      <c r="CJ25" s="12">
        <v>1</v>
      </c>
      <c r="CN25" s="12"/>
      <c r="CO25" s="12"/>
      <c r="CP25" s="12"/>
      <c r="CQ25" s="12"/>
      <c r="CU25" s="12"/>
      <c r="CV25" s="12"/>
      <c r="CW25" s="12"/>
      <c r="CX25" s="12"/>
      <c r="DB25" s="12"/>
      <c r="DC25" s="12"/>
      <c r="DD25" s="12"/>
      <c r="DE25" s="12"/>
      <c r="DI25" s="12"/>
      <c r="DJ25" s="12"/>
      <c r="DK25" s="12"/>
      <c r="DL25" s="12"/>
    </row>
    <row r="26" spans="2:116" outlineLevel="1">
      <c r="B26" t="s">
        <v>28</v>
      </c>
      <c r="C26" s="18" t="s">
        <v>96</v>
      </c>
      <c r="E26" s="11"/>
      <c r="F26" t="s">
        <v>85</v>
      </c>
      <c r="G26" s="12">
        <v>0.08</v>
      </c>
      <c r="I26" s="11">
        <f t="shared" ref="I26:I35" si="5">+SUMIF($N$3:$ZZ$3,I$3,$N26:$ZZ26)</f>
        <v>2.0100000000000002</v>
      </c>
      <c r="J26" s="13">
        <f t="shared" si="4"/>
        <v>0</v>
      </c>
      <c r="K26" s="13">
        <f t="shared" si="4"/>
        <v>0</v>
      </c>
      <c r="L26" s="11"/>
      <c r="O26" s="12"/>
      <c r="P26" s="12"/>
      <c r="Q26" s="12"/>
      <c r="R26" s="12"/>
      <c r="V26" s="12"/>
      <c r="W26" s="12"/>
      <c r="X26" s="12"/>
      <c r="Y26" s="12"/>
      <c r="AB26">
        <v>0.67</v>
      </c>
      <c r="AC26" s="12"/>
      <c r="AD26" s="12">
        <v>0.5</v>
      </c>
      <c r="AE26" s="12"/>
      <c r="AF26" s="12">
        <v>0.5</v>
      </c>
      <c r="AI26">
        <v>0.67</v>
      </c>
      <c r="AJ26" s="12"/>
      <c r="AK26" s="12">
        <v>0.7</v>
      </c>
      <c r="AL26" s="12"/>
      <c r="AM26" s="12">
        <v>0.7</v>
      </c>
      <c r="AQ26" s="12"/>
      <c r="AR26" s="12">
        <v>0.7</v>
      </c>
      <c r="AS26" s="12"/>
      <c r="AT26" s="12">
        <v>0.7</v>
      </c>
      <c r="AX26" s="12"/>
      <c r="AY26" s="12">
        <v>0.7</v>
      </c>
      <c r="AZ26" s="12"/>
      <c r="BA26" s="12">
        <v>0.7</v>
      </c>
      <c r="BE26" s="12"/>
      <c r="BF26" s="12">
        <v>0.7</v>
      </c>
      <c r="BG26" s="12"/>
      <c r="BH26" s="12">
        <v>0.7</v>
      </c>
      <c r="BK26">
        <v>0.67</v>
      </c>
      <c r="BL26" s="12"/>
      <c r="BM26" s="12">
        <v>1</v>
      </c>
      <c r="BN26" s="12"/>
      <c r="BO26" s="12">
        <v>1</v>
      </c>
      <c r="BS26" s="12"/>
      <c r="BT26" s="12">
        <v>1</v>
      </c>
      <c r="BU26" s="12"/>
      <c r="BV26" s="12">
        <v>1</v>
      </c>
      <c r="BZ26" s="12"/>
      <c r="CA26" s="12">
        <v>1</v>
      </c>
      <c r="CB26" s="12"/>
      <c r="CC26" s="12">
        <v>1</v>
      </c>
      <c r="CG26" s="12"/>
      <c r="CH26" s="12">
        <v>1</v>
      </c>
      <c r="CI26" s="12"/>
      <c r="CJ26" s="12">
        <v>1</v>
      </c>
      <c r="CN26" s="12"/>
      <c r="CO26" s="12"/>
      <c r="CP26" s="12"/>
      <c r="CQ26" s="12"/>
      <c r="CU26" s="12"/>
      <c r="CV26" s="12"/>
      <c r="CW26" s="12"/>
      <c r="CX26" s="12"/>
      <c r="DB26" s="12"/>
      <c r="DC26" s="12"/>
      <c r="DD26" s="12"/>
      <c r="DE26" s="12"/>
      <c r="DI26" s="12"/>
      <c r="DJ26" s="12"/>
      <c r="DK26" s="12"/>
      <c r="DL26" s="12"/>
    </row>
    <row r="27" spans="2:116" outlineLevel="1">
      <c r="B27" t="s">
        <v>28</v>
      </c>
      <c r="E27" s="11"/>
      <c r="F27" t="s">
        <v>86</v>
      </c>
      <c r="G27" s="12">
        <v>0.08</v>
      </c>
      <c r="I27" s="11">
        <f t="shared" si="5"/>
        <v>2.0100000000000002</v>
      </c>
      <c r="J27" s="13">
        <f t="shared" si="4"/>
        <v>0</v>
      </c>
      <c r="K27" s="13">
        <f t="shared" si="4"/>
        <v>0</v>
      </c>
      <c r="L27" s="11"/>
      <c r="O27" s="12"/>
      <c r="P27" s="12"/>
      <c r="Q27" s="12"/>
      <c r="R27" s="12"/>
      <c r="V27" s="12"/>
      <c r="W27" s="12"/>
      <c r="X27" s="12"/>
      <c r="Y27" s="12"/>
      <c r="AB27">
        <v>0.67</v>
      </c>
      <c r="AC27" s="12"/>
      <c r="AD27" s="12">
        <v>0.5</v>
      </c>
      <c r="AE27" s="12"/>
      <c r="AF27" s="12">
        <v>0.5</v>
      </c>
      <c r="AJ27" s="12"/>
      <c r="AK27" s="12">
        <v>0.5</v>
      </c>
      <c r="AL27" s="12"/>
      <c r="AM27" s="12">
        <v>0.5</v>
      </c>
      <c r="AP27">
        <v>0.67</v>
      </c>
      <c r="AQ27" s="12"/>
      <c r="AR27" s="12">
        <v>0.7</v>
      </c>
      <c r="AS27" s="12"/>
      <c r="AT27" s="12">
        <v>0.7</v>
      </c>
      <c r="AX27" s="12"/>
      <c r="AY27" s="12">
        <v>0.7</v>
      </c>
      <c r="AZ27" s="12"/>
      <c r="BA27" s="12">
        <v>0.7</v>
      </c>
      <c r="BE27" s="12"/>
      <c r="BF27" s="12">
        <v>0.7</v>
      </c>
      <c r="BG27" s="12"/>
      <c r="BH27" s="12">
        <v>0.7</v>
      </c>
      <c r="BL27" s="12"/>
      <c r="BM27" s="12">
        <v>0.7</v>
      </c>
      <c r="BN27" s="12"/>
      <c r="BO27" s="12">
        <v>0.7</v>
      </c>
      <c r="BR27">
        <v>0.67</v>
      </c>
      <c r="BS27" s="12"/>
      <c r="BT27" s="12">
        <v>1</v>
      </c>
      <c r="BU27" s="12"/>
      <c r="BV27" s="12">
        <v>1</v>
      </c>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row>
    <row r="28" spans="2:116" outlineLevel="1">
      <c r="B28" t="s">
        <v>28</v>
      </c>
      <c r="E28" s="11"/>
      <c r="F28" t="s">
        <v>87</v>
      </c>
      <c r="G28" s="12">
        <v>0.08</v>
      </c>
      <c r="I28" s="11">
        <f t="shared" si="5"/>
        <v>2.0100000000000002</v>
      </c>
      <c r="J28" s="13">
        <f t="shared" si="4"/>
        <v>0</v>
      </c>
      <c r="K28" s="13">
        <f t="shared" si="4"/>
        <v>0</v>
      </c>
      <c r="L28" s="11"/>
      <c r="O28" s="12"/>
      <c r="P28" s="12"/>
      <c r="Q28" s="12"/>
      <c r="R28" s="12"/>
      <c r="V28" s="12"/>
      <c r="W28" s="12"/>
      <c r="X28" s="12"/>
      <c r="Y28" s="12"/>
      <c r="AB28">
        <v>0.67</v>
      </c>
      <c r="AC28" s="12"/>
      <c r="AD28" s="12">
        <v>0.5</v>
      </c>
      <c r="AE28" s="12"/>
      <c r="AF28" s="12">
        <v>0.5</v>
      </c>
      <c r="AJ28" s="12"/>
      <c r="AK28" s="12">
        <v>0.5</v>
      </c>
      <c r="AL28" s="12"/>
      <c r="AM28" s="12">
        <v>0.5</v>
      </c>
      <c r="AP28">
        <v>0.67</v>
      </c>
      <c r="AQ28" s="12"/>
      <c r="AR28" s="12">
        <v>0.7</v>
      </c>
      <c r="AS28" s="12"/>
      <c r="AT28" s="12">
        <v>0.7</v>
      </c>
      <c r="AX28" s="12"/>
      <c r="AY28" s="12">
        <v>0.7</v>
      </c>
      <c r="AZ28" s="12"/>
      <c r="BA28" s="12">
        <v>0.7</v>
      </c>
      <c r="BE28" s="12"/>
      <c r="BF28" s="12">
        <v>0.7</v>
      </c>
      <c r="BG28" s="12"/>
      <c r="BH28" s="12">
        <v>0.7</v>
      </c>
      <c r="BL28" s="12"/>
      <c r="BM28" s="12">
        <v>0.7</v>
      </c>
      <c r="BN28" s="12"/>
      <c r="BO28" s="12">
        <v>0.7</v>
      </c>
      <c r="BR28">
        <v>0.67</v>
      </c>
      <c r="BS28" s="12"/>
      <c r="BT28" s="12">
        <v>1</v>
      </c>
      <c r="BU28" s="12"/>
      <c r="BV28" s="12">
        <v>1</v>
      </c>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row>
    <row r="29" spans="2:116" outlineLevel="1">
      <c r="B29" t="s">
        <v>28</v>
      </c>
      <c r="E29" s="11"/>
      <c r="F29" t="s">
        <v>88</v>
      </c>
      <c r="G29" s="12">
        <v>0.08</v>
      </c>
      <c r="I29" s="11">
        <f t="shared" si="5"/>
        <v>2.0100000000000002</v>
      </c>
      <c r="J29" s="13">
        <f t="shared" si="4"/>
        <v>0</v>
      </c>
      <c r="K29" s="13">
        <f t="shared" si="4"/>
        <v>0</v>
      </c>
      <c r="L29" s="11"/>
      <c r="O29" s="12"/>
      <c r="P29" s="12"/>
      <c r="Q29" s="12"/>
      <c r="R29" s="12"/>
      <c r="V29" s="12"/>
      <c r="W29" s="12"/>
      <c r="X29" s="12"/>
      <c r="Y29" s="12"/>
      <c r="AC29" s="12"/>
      <c r="AD29" s="12"/>
      <c r="AE29" s="12"/>
      <c r="AF29" s="12"/>
      <c r="AI29">
        <v>0.67</v>
      </c>
      <c r="AJ29" s="12"/>
      <c r="AK29" s="12">
        <v>0.5</v>
      </c>
      <c r="AL29" s="12"/>
      <c r="AM29" s="12">
        <v>0.5</v>
      </c>
      <c r="AQ29" s="12"/>
      <c r="AR29" s="12">
        <v>0.5</v>
      </c>
      <c r="AS29" s="12"/>
      <c r="AT29" s="12">
        <v>0.5</v>
      </c>
      <c r="AW29">
        <v>0.67</v>
      </c>
      <c r="AX29" s="12"/>
      <c r="AY29" s="12">
        <v>0.7</v>
      </c>
      <c r="AZ29" s="12"/>
      <c r="BA29" s="12">
        <v>0.7</v>
      </c>
      <c r="BE29" s="12"/>
      <c r="BF29" s="12">
        <v>0.7</v>
      </c>
      <c r="BG29" s="12"/>
      <c r="BH29" s="12">
        <v>0.7</v>
      </c>
      <c r="BL29" s="12"/>
      <c r="BM29" s="12">
        <v>0.7</v>
      </c>
      <c r="BN29" s="12"/>
      <c r="BO29" s="12">
        <v>0.7</v>
      </c>
      <c r="BS29" s="12"/>
      <c r="BT29" s="12">
        <v>0.7</v>
      </c>
      <c r="BU29" s="12"/>
      <c r="BV29" s="12">
        <v>0.7</v>
      </c>
      <c r="BY29">
        <v>0.67</v>
      </c>
      <c r="BZ29" s="12"/>
      <c r="CA29" s="12">
        <v>1</v>
      </c>
      <c r="CB29" s="12"/>
      <c r="CC29" s="12">
        <v>1</v>
      </c>
      <c r="CG29" s="12"/>
      <c r="CH29" s="12">
        <v>1</v>
      </c>
      <c r="CI29" s="12"/>
      <c r="CJ29" s="12">
        <v>1</v>
      </c>
      <c r="CN29" s="12"/>
      <c r="CO29" s="12"/>
      <c r="CP29" s="12"/>
      <c r="CQ29" s="12"/>
      <c r="CU29" s="12"/>
      <c r="CV29" s="12"/>
      <c r="CW29" s="12"/>
      <c r="CX29" s="12"/>
      <c r="DB29" s="12"/>
      <c r="DC29" s="12"/>
      <c r="DD29" s="12"/>
      <c r="DE29" s="12"/>
      <c r="DI29" s="12"/>
      <c r="DJ29" s="12"/>
      <c r="DK29" s="12"/>
      <c r="DL29" s="12"/>
    </row>
    <row r="30" spans="2:116" outlineLevel="1">
      <c r="B30" t="s">
        <v>28</v>
      </c>
      <c r="E30" s="11"/>
      <c r="F30" t="s">
        <v>89</v>
      </c>
      <c r="G30" s="12">
        <v>0.08</v>
      </c>
      <c r="I30" s="11">
        <f t="shared" si="5"/>
        <v>2.0100000000000002</v>
      </c>
      <c r="J30" s="13">
        <f t="shared" si="4"/>
        <v>0</v>
      </c>
      <c r="K30" s="13">
        <f t="shared" si="4"/>
        <v>0</v>
      </c>
      <c r="L30" s="11"/>
      <c r="O30" s="12"/>
      <c r="P30" s="12"/>
      <c r="Q30" s="12"/>
      <c r="R30" s="12"/>
      <c r="V30" s="12"/>
      <c r="W30" s="12"/>
      <c r="X30" s="12"/>
      <c r="Y30" s="12"/>
      <c r="AC30" s="12"/>
      <c r="AD30" s="12"/>
      <c r="AE30" s="12"/>
      <c r="AF30" s="12"/>
      <c r="AI30">
        <v>0.67</v>
      </c>
      <c r="AJ30" s="12"/>
      <c r="AK30" s="12">
        <v>0.5</v>
      </c>
      <c r="AL30" s="12"/>
      <c r="AM30" s="12">
        <v>0.5</v>
      </c>
      <c r="AQ30" s="12"/>
      <c r="AR30" s="12">
        <v>0.5</v>
      </c>
      <c r="AS30" s="12"/>
      <c r="AT30" s="12">
        <v>0.5</v>
      </c>
      <c r="AW30">
        <v>0.67</v>
      </c>
      <c r="AX30" s="12"/>
      <c r="AY30" s="12">
        <v>0.7</v>
      </c>
      <c r="AZ30" s="12"/>
      <c r="BA30" s="12">
        <v>0.7</v>
      </c>
      <c r="BE30" s="12"/>
      <c r="BF30" s="12">
        <v>0.7</v>
      </c>
      <c r="BG30" s="12"/>
      <c r="BH30" s="12">
        <v>0.7</v>
      </c>
      <c r="BL30" s="12"/>
      <c r="BM30" s="12">
        <v>0.7</v>
      </c>
      <c r="BN30" s="12"/>
      <c r="BO30" s="12">
        <v>0.7</v>
      </c>
      <c r="BS30" s="12"/>
      <c r="BT30" s="12">
        <v>0.7</v>
      </c>
      <c r="BU30" s="12"/>
      <c r="BV30" s="12">
        <v>0.7</v>
      </c>
      <c r="BY30">
        <v>0.67</v>
      </c>
      <c r="BZ30" s="12"/>
      <c r="CA30" s="12">
        <v>1</v>
      </c>
      <c r="CB30" s="12"/>
      <c r="CC30" s="12">
        <v>1</v>
      </c>
      <c r="CG30" s="12"/>
      <c r="CH30" s="12">
        <v>1</v>
      </c>
      <c r="CI30" s="12"/>
      <c r="CJ30" s="12">
        <v>1</v>
      </c>
      <c r="CN30" s="12"/>
      <c r="CO30" s="12"/>
      <c r="CP30" s="12"/>
      <c r="CQ30" s="12"/>
      <c r="CU30" s="12"/>
      <c r="CV30" s="12"/>
      <c r="CW30" s="12"/>
      <c r="CX30" s="12"/>
      <c r="DB30" s="12"/>
      <c r="DC30" s="12"/>
      <c r="DD30" s="12"/>
      <c r="DE30" s="12"/>
      <c r="DI30" s="12"/>
      <c r="DJ30" s="12"/>
      <c r="DK30" s="12"/>
      <c r="DL30" s="12"/>
    </row>
    <row r="31" spans="2:116" outlineLevel="1">
      <c r="B31" t="s">
        <v>28</v>
      </c>
      <c r="E31" s="11"/>
      <c r="F31" t="s">
        <v>90</v>
      </c>
      <c r="G31" s="12">
        <v>0.08</v>
      </c>
      <c r="I31" s="11">
        <f t="shared" si="5"/>
        <v>2.0100000000000002</v>
      </c>
      <c r="J31" s="13">
        <f t="shared" si="4"/>
        <v>0</v>
      </c>
      <c r="K31" s="13">
        <f t="shared" si="4"/>
        <v>0</v>
      </c>
      <c r="L31" s="11"/>
      <c r="O31" s="12"/>
      <c r="P31" s="12"/>
      <c r="Q31" s="12"/>
      <c r="R31" s="12"/>
      <c r="V31" s="12"/>
      <c r="W31" s="12"/>
      <c r="X31" s="12"/>
      <c r="Y31" s="12"/>
      <c r="AC31" s="12"/>
      <c r="AD31" s="12"/>
      <c r="AE31" s="12"/>
      <c r="AF31" s="12"/>
      <c r="AJ31" s="12"/>
      <c r="AK31" s="12"/>
      <c r="AL31" s="12"/>
      <c r="AM31" s="12"/>
      <c r="AP31">
        <v>0.67</v>
      </c>
      <c r="AQ31" s="12"/>
      <c r="AR31" s="12">
        <v>0.5</v>
      </c>
      <c r="AS31" s="12"/>
      <c r="AT31" s="12">
        <v>0.5</v>
      </c>
      <c r="AX31" s="12"/>
      <c r="AY31" s="12">
        <v>0.5</v>
      </c>
      <c r="AZ31" s="12"/>
      <c r="BA31" s="12">
        <v>0.5</v>
      </c>
      <c r="BD31">
        <v>0.67</v>
      </c>
      <c r="BE31" s="12"/>
      <c r="BF31" s="12">
        <v>0.7</v>
      </c>
      <c r="BG31" s="12"/>
      <c r="BH31" s="12">
        <v>0.7</v>
      </c>
      <c r="BL31" s="12"/>
      <c r="BM31" s="12">
        <v>0.7</v>
      </c>
      <c r="BN31" s="12"/>
      <c r="BO31" s="12">
        <v>0.7</v>
      </c>
      <c r="BS31" s="12"/>
      <c r="BT31" s="12">
        <v>0.7</v>
      </c>
      <c r="BU31" s="12"/>
      <c r="BV31" s="12">
        <v>0.7</v>
      </c>
      <c r="BY31">
        <v>0.67</v>
      </c>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row>
    <row r="32" spans="2:116" outlineLevel="1">
      <c r="B32" t="s">
        <v>28</v>
      </c>
      <c r="E32" s="11"/>
      <c r="F32" t="s">
        <v>91</v>
      </c>
      <c r="G32" s="12">
        <v>0.08</v>
      </c>
      <c r="I32" s="11">
        <f t="shared" si="5"/>
        <v>2.0100000000000002</v>
      </c>
      <c r="J32" s="13">
        <f t="shared" si="4"/>
        <v>0</v>
      </c>
      <c r="K32" s="13">
        <f t="shared" si="4"/>
        <v>0</v>
      </c>
      <c r="L32" s="11"/>
      <c r="O32" s="12"/>
      <c r="P32" s="12"/>
      <c r="Q32" s="12"/>
      <c r="R32" s="12"/>
      <c r="V32" s="12"/>
      <c r="W32" s="12"/>
      <c r="X32" s="12"/>
      <c r="Y32" s="12"/>
      <c r="AC32" s="12"/>
      <c r="AD32" s="12"/>
      <c r="AE32" s="12"/>
      <c r="AF32" s="12"/>
      <c r="AJ32" s="12"/>
      <c r="AK32" s="12"/>
      <c r="AL32" s="12"/>
      <c r="AM32" s="12"/>
      <c r="AP32">
        <v>0.67</v>
      </c>
      <c r="AQ32" s="12"/>
      <c r="AR32" s="12">
        <v>0.5</v>
      </c>
      <c r="AS32" s="12"/>
      <c r="AT32" s="12">
        <v>0.5</v>
      </c>
      <c r="AX32" s="12"/>
      <c r="AY32" s="12">
        <v>0.5</v>
      </c>
      <c r="AZ32" s="12"/>
      <c r="BA32" s="12">
        <v>0.5</v>
      </c>
      <c r="BD32">
        <v>0.67</v>
      </c>
      <c r="BE32" s="12"/>
      <c r="BF32" s="12">
        <v>0.7</v>
      </c>
      <c r="BG32" s="12"/>
      <c r="BH32" s="12">
        <v>0.7</v>
      </c>
      <c r="BL32" s="12"/>
      <c r="BM32" s="12">
        <v>0.7</v>
      </c>
      <c r="BN32" s="12"/>
      <c r="BO32" s="12">
        <v>0.7</v>
      </c>
      <c r="BS32" s="12"/>
      <c r="BT32" s="12">
        <v>0.7</v>
      </c>
      <c r="BU32" s="12"/>
      <c r="BV32" s="12">
        <v>0.7</v>
      </c>
      <c r="BY32">
        <v>0.67</v>
      </c>
      <c r="BZ32" s="12"/>
      <c r="CA32" s="12">
        <v>1</v>
      </c>
      <c r="CB32" s="12"/>
      <c r="CC32" s="12">
        <v>1</v>
      </c>
      <c r="CG32" s="12"/>
      <c r="CH32" s="12">
        <v>1</v>
      </c>
      <c r="CI32" s="12"/>
      <c r="CJ32" s="12">
        <v>1</v>
      </c>
      <c r="CN32" s="12"/>
      <c r="CO32" s="12"/>
      <c r="CP32" s="12"/>
      <c r="CQ32" s="12"/>
      <c r="CU32" s="12"/>
      <c r="CV32" s="12"/>
      <c r="CW32" s="12"/>
      <c r="CX32" s="12"/>
      <c r="DB32" s="12"/>
      <c r="DC32" s="12"/>
      <c r="DD32" s="12"/>
      <c r="DE32" s="12"/>
      <c r="DI32" s="12"/>
      <c r="DJ32" s="12"/>
      <c r="DK32" s="12"/>
      <c r="DL32" s="12"/>
    </row>
    <row r="33" spans="2:116" outlineLevel="1">
      <c r="B33" t="s">
        <v>28</v>
      </c>
      <c r="E33" s="11"/>
      <c r="F33" t="s">
        <v>38</v>
      </c>
      <c r="G33" s="12">
        <v>0.08</v>
      </c>
      <c r="I33" s="11">
        <f t="shared" si="5"/>
        <v>2.0100000000000002</v>
      </c>
      <c r="J33" s="13">
        <f t="shared" si="4"/>
        <v>0</v>
      </c>
      <c r="K33" s="13">
        <f t="shared" si="4"/>
        <v>0</v>
      </c>
      <c r="L33" s="11"/>
      <c r="O33" s="12"/>
      <c r="P33" s="12"/>
      <c r="Q33" s="12"/>
      <c r="R33" s="12"/>
      <c r="V33" s="12"/>
      <c r="W33" s="12"/>
      <c r="X33" s="12"/>
      <c r="Y33" s="12"/>
      <c r="AC33" s="12"/>
      <c r="AD33" s="12"/>
      <c r="AE33" s="12"/>
      <c r="AF33" s="12"/>
      <c r="AJ33" s="12"/>
      <c r="AK33" s="12"/>
      <c r="AL33" s="12"/>
      <c r="AM33" s="12"/>
      <c r="AQ33" s="12"/>
      <c r="AR33" s="12"/>
      <c r="AS33" s="12"/>
      <c r="AT33" s="12"/>
      <c r="AW33">
        <v>0.67</v>
      </c>
      <c r="AX33" s="12"/>
      <c r="AY33" s="12">
        <v>0.5</v>
      </c>
      <c r="AZ33" s="12"/>
      <c r="BA33" s="12">
        <v>0.5</v>
      </c>
      <c r="BE33" s="12"/>
      <c r="BF33" s="12">
        <v>0.5</v>
      </c>
      <c r="BG33" s="12"/>
      <c r="BH33" s="12">
        <v>0.5</v>
      </c>
      <c r="BK33">
        <v>0.67</v>
      </c>
      <c r="BL33" s="12"/>
      <c r="BM33" s="12">
        <v>0.7</v>
      </c>
      <c r="BN33" s="12"/>
      <c r="BO33" s="12">
        <v>0.7</v>
      </c>
      <c r="BS33" s="12"/>
      <c r="BT33" s="12">
        <v>0.7</v>
      </c>
      <c r="BU33" s="12"/>
      <c r="BV33" s="12">
        <v>0.7</v>
      </c>
      <c r="BZ33" s="12"/>
      <c r="CA33" s="12">
        <v>0.7</v>
      </c>
      <c r="CB33" s="12"/>
      <c r="CC33" s="12">
        <v>0.7</v>
      </c>
      <c r="CF33">
        <v>0.67</v>
      </c>
      <c r="CG33" s="12"/>
      <c r="CH33" s="12">
        <v>1</v>
      </c>
      <c r="CI33" s="12"/>
      <c r="CJ33" s="12">
        <v>1</v>
      </c>
      <c r="CN33" s="12"/>
      <c r="CO33" s="12"/>
      <c r="CP33" s="12"/>
      <c r="CQ33" s="12"/>
      <c r="CU33" s="12"/>
      <c r="CV33" s="12"/>
      <c r="CW33" s="12"/>
      <c r="CX33" s="12"/>
      <c r="DB33" s="12"/>
      <c r="DC33" s="12"/>
      <c r="DD33" s="12"/>
      <c r="DE33" s="12"/>
      <c r="DI33" s="12"/>
      <c r="DJ33" s="12"/>
      <c r="DK33" s="12"/>
      <c r="DL33" s="12"/>
    </row>
    <row r="34" spans="2:116" outlineLevel="1">
      <c r="B34" t="s">
        <v>28</v>
      </c>
      <c r="E34" s="11"/>
      <c r="F34" t="s">
        <v>92</v>
      </c>
      <c r="G34" s="12">
        <v>0.08</v>
      </c>
      <c r="I34" s="11">
        <f t="shared" si="5"/>
        <v>2.0100000000000002</v>
      </c>
      <c r="J34" s="13">
        <f t="shared" si="4"/>
        <v>0</v>
      </c>
      <c r="K34" s="13">
        <f t="shared" si="4"/>
        <v>0</v>
      </c>
      <c r="L34" s="11"/>
      <c r="O34" s="12"/>
      <c r="P34" s="12"/>
      <c r="Q34" s="12"/>
      <c r="R34" s="12"/>
      <c r="V34" s="12"/>
      <c r="W34" s="12"/>
      <c r="X34" s="12"/>
      <c r="Y34" s="12"/>
      <c r="AC34" s="12"/>
      <c r="AD34" s="12"/>
      <c r="AE34" s="12"/>
      <c r="AF34" s="12"/>
      <c r="AJ34" s="12"/>
      <c r="AK34" s="12"/>
      <c r="AL34" s="12"/>
      <c r="AM34" s="12"/>
      <c r="AQ34" s="12"/>
      <c r="AR34" s="12"/>
      <c r="AS34" s="12"/>
      <c r="AT34" s="12"/>
      <c r="AW34">
        <v>0.67</v>
      </c>
      <c r="AX34" s="12"/>
      <c r="AY34" s="12">
        <v>0.5</v>
      </c>
      <c r="AZ34" s="12"/>
      <c r="BA34" s="12">
        <v>0.5</v>
      </c>
      <c r="BE34" s="12"/>
      <c r="BF34" s="12">
        <v>0.5</v>
      </c>
      <c r="BG34" s="12"/>
      <c r="BH34" s="12">
        <v>0.5</v>
      </c>
      <c r="BK34">
        <v>0.67</v>
      </c>
      <c r="BL34" s="12"/>
      <c r="BM34" s="12">
        <v>0.7</v>
      </c>
      <c r="BN34" s="12"/>
      <c r="BO34" s="12">
        <v>0.7</v>
      </c>
      <c r="BS34" s="12"/>
      <c r="BT34" s="12">
        <v>0.7</v>
      </c>
      <c r="BU34" s="12"/>
      <c r="BV34" s="12">
        <v>0.7</v>
      </c>
      <c r="BZ34" s="12"/>
      <c r="CA34" s="12">
        <v>0.7</v>
      </c>
      <c r="CB34" s="12"/>
      <c r="CC34" s="12">
        <v>0.7</v>
      </c>
      <c r="CF34">
        <v>0.67</v>
      </c>
      <c r="CG34" s="12"/>
      <c r="CH34" s="12">
        <v>1</v>
      </c>
      <c r="CI34" s="12"/>
      <c r="CJ34" s="12">
        <v>1</v>
      </c>
      <c r="CN34" s="12"/>
      <c r="CO34" s="12"/>
      <c r="CP34" s="12"/>
      <c r="CQ34" s="12"/>
      <c r="CU34" s="12"/>
      <c r="CV34" s="12"/>
      <c r="CW34" s="12"/>
      <c r="CX34" s="12"/>
      <c r="DB34" s="12"/>
      <c r="DC34" s="12"/>
      <c r="DD34" s="12"/>
      <c r="DE34" s="12"/>
      <c r="DI34" s="12"/>
      <c r="DJ34" s="12"/>
      <c r="DK34" s="12"/>
      <c r="DL34" s="12"/>
    </row>
    <row r="35" spans="2:116" outlineLevel="1">
      <c r="B35" t="s">
        <v>28</v>
      </c>
      <c r="E35" s="11"/>
      <c r="F35" t="s">
        <v>93</v>
      </c>
      <c r="G35" s="12">
        <v>0.08</v>
      </c>
      <c r="I35" s="11">
        <f t="shared" si="5"/>
        <v>2.0100000000000002</v>
      </c>
      <c r="J35" s="13">
        <f t="shared" si="4"/>
        <v>0</v>
      </c>
      <c r="K35" s="13">
        <f t="shared" si="4"/>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D35">
        <v>0.67</v>
      </c>
      <c r="BE35" s="12"/>
      <c r="BF35" s="12">
        <v>0.5</v>
      </c>
      <c r="BG35" s="12"/>
      <c r="BH35" s="12">
        <v>0.5</v>
      </c>
      <c r="BL35" s="12"/>
      <c r="BM35" s="12">
        <v>0.5</v>
      </c>
      <c r="BN35" s="12"/>
      <c r="BO35" s="12">
        <v>0.5</v>
      </c>
      <c r="BR35">
        <v>0.67</v>
      </c>
      <c r="BS35" s="12"/>
      <c r="BT35" s="12">
        <v>0.7</v>
      </c>
      <c r="BU35" s="12"/>
      <c r="BV35" s="12">
        <v>0.7</v>
      </c>
      <c r="BZ35" s="12"/>
      <c r="CA35" s="12">
        <v>0.7</v>
      </c>
      <c r="CB35" s="12"/>
      <c r="CC35" s="12">
        <v>0.7</v>
      </c>
      <c r="CF35">
        <v>0.67</v>
      </c>
      <c r="CG35" s="12"/>
      <c r="CH35" s="12">
        <v>1</v>
      </c>
      <c r="CI35" s="12"/>
      <c r="CJ35" s="12">
        <v>1</v>
      </c>
      <c r="CN35" s="12"/>
      <c r="CO35" s="12"/>
      <c r="CP35" s="12"/>
      <c r="CQ35" s="12"/>
      <c r="CU35" s="12"/>
      <c r="CV35" s="12"/>
      <c r="CW35" s="12"/>
      <c r="CX35" s="12"/>
      <c r="DB35" s="12"/>
      <c r="DC35" s="12"/>
      <c r="DD35" s="12"/>
      <c r="DE35" s="12"/>
      <c r="DI35" s="12"/>
      <c r="DJ35" s="12"/>
      <c r="DK35" s="12"/>
      <c r="DL35" s="12"/>
    </row>
    <row r="36" spans="2:116" outlineLevel="1">
      <c r="B36" t="s">
        <v>28</v>
      </c>
      <c r="E36" s="11"/>
      <c r="F36" t="s">
        <v>94</v>
      </c>
      <c r="G36" s="12">
        <v>0.08</v>
      </c>
      <c r="I36" s="11">
        <f>+SUMIF($N$3:$ZZ$3,I$3,$N36:$ZZ36)</f>
        <v>2.0100000000000002</v>
      </c>
      <c r="J36" s="13">
        <f t="shared" si="4"/>
        <v>0</v>
      </c>
      <c r="K36" s="13">
        <f t="shared" si="4"/>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D36">
        <v>0.67</v>
      </c>
      <c r="BE36" s="12"/>
      <c r="BF36" s="12">
        <v>0.5</v>
      </c>
      <c r="BG36" s="12"/>
      <c r="BH36" s="12">
        <v>0.5</v>
      </c>
      <c r="BL36" s="12"/>
      <c r="BM36" s="12">
        <v>0.5</v>
      </c>
      <c r="BN36" s="12"/>
      <c r="BO36" s="12">
        <v>0.5</v>
      </c>
      <c r="BR36">
        <v>0.67</v>
      </c>
      <c r="BS36" s="12"/>
      <c r="BT36" s="12">
        <v>0.7</v>
      </c>
      <c r="BU36" s="12"/>
      <c r="BV36" s="12">
        <v>0.7</v>
      </c>
      <c r="BZ36" s="12"/>
      <c r="CA36" s="12">
        <v>0.7</v>
      </c>
      <c r="CB36" s="12"/>
      <c r="CC36" s="12">
        <v>0.7</v>
      </c>
      <c r="CF36">
        <v>0.67</v>
      </c>
      <c r="CG36" s="12"/>
      <c r="CH36" s="12">
        <v>1</v>
      </c>
      <c r="CI36" s="12"/>
      <c r="CJ36" s="12">
        <v>1</v>
      </c>
      <c r="CN36" s="12"/>
      <c r="CO36" s="12"/>
      <c r="CP36" s="12"/>
      <c r="CQ36" s="12"/>
      <c r="CU36" s="12"/>
      <c r="CV36" s="12"/>
      <c r="CW36" s="12"/>
      <c r="CX36" s="12"/>
      <c r="DB36" s="12"/>
      <c r="DC36" s="12"/>
      <c r="DD36" s="12"/>
      <c r="DE36" s="12"/>
      <c r="DI36" s="12"/>
      <c r="DJ36" s="12"/>
      <c r="DK36" s="12"/>
      <c r="DL36" s="12"/>
    </row>
    <row r="37" spans="2:116">
      <c r="O37" s="9"/>
      <c r="V37" s="9"/>
      <c r="AC37" s="9"/>
      <c r="AJ37" s="9"/>
      <c r="AQ37" s="9"/>
      <c r="AX37" s="9"/>
      <c r="BE37" s="9"/>
      <c r="BL37" s="9"/>
      <c r="BS37" s="9"/>
      <c r="BZ37" s="9"/>
      <c r="CG37" s="9"/>
      <c r="CN37" s="9"/>
      <c r="CU37" s="9"/>
      <c r="DB37" s="9"/>
      <c r="DI37" s="9"/>
    </row>
    <row r="38" spans="2:116">
      <c r="B38" t="s">
        <v>27</v>
      </c>
      <c r="C38" t="s">
        <v>64</v>
      </c>
      <c r="E38" s="11">
        <v>3</v>
      </c>
      <c r="G38" s="12">
        <f>+SUM(G39:G47)</f>
        <v>0.89999999999999991</v>
      </c>
      <c r="I38" s="14">
        <f>+SUM(I39:I47)</f>
        <v>27</v>
      </c>
      <c r="J38" s="13">
        <f>+SUMPRODUCT(G39:G47,J39:J47)</f>
        <v>0</v>
      </c>
      <c r="K38" s="13">
        <f>+SUMPRODUCT(G39:G47,K39:K47)</f>
        <v>0</v>
      </c>
      <c r="L38" s="11"/>
      <c r="N38" s="14">
        <f>+SUM(N39:N47)</f>
        <v>0</v>
      </c>
      <c r="U38" s="14">
        <f>+SUM(U39:U47)</f>
        <v>0</v>
      </c>
      <c r="AB38" s="14">
        <f>+SUM(AB39:AB47)</f>
        <v>3</v>
      </c>
      <c r="AI38" s="14">
        <f>+SUM(AI39:AI47)</f>
        <v>3</v>
      </c>
      <c r="AP38" s="14">
        <f>+SUM(AP40:AP47)</f>
        <v>3</v>
      </c>
      <c r="AW38" s="14">
        <f>+SUM(AW39:AW47)</f>
        <v>3</v>
      </c>
      <c r="BD38" s="14">
        <f>+SUM(BD39:BD45)</f>
        <v>3</v>
      </c>
      <c r="BK38" s="14">
        <f>+SUM(BK40:BK45)</f>
        <v>3</v>
      </c>
      <c r="BR38" s="14">
        <f>+SUM(BR41:BR47)</f>
        <v>3</v>
      </c>
      <c r="BY38" s="14">
        <f>+SUM(BY41:BY45)</f>
        <v>3</v>
      </c>
      <c r="CF38" s="14">
        <f>+SUM(CF39:CF47)</f>
        <v>3</v>
      </c>
    </row>
    <row r="39" spans="2:116" outlineLevel="1">
      <c r="B39" t="s">
        <v>28</v>
      </c>
      <c r="C39" t="s">
        <v>101</v>
      </c>
      <c r="E39" s="11"/>
      <c r="F39" t="s">
        <v>30</v>
      </c>
      <c r="G39" s="12">
        <v>0.1</v>
      </c>
      <c r="I39" s="11">
        <f t="shared" ref="I39:I47" si="6">+SUMIF($N$3:$ZZ$3,I$3,$N39:$ZZ39)</f>
        <v>3</v>
      </c>
      <c r="J39" s="13">
        <f t="shared" ref="J39:K47" si="7">+_xlfn.MAXIFS($N39:$ZF39,$N$3:$ZF$3,J$3)</f>
        <v>0</v>
      </c>
      <c r="K39" s="13">
        <f t="shared" si="7"/>
        <v>0</v>
      </c>
      <c r="L39" s="11"/>
      <c r="O39" s="12"/>
      <c r="P39" s="12"/>
      <c r="Q39" s="12"/>
      <c r="R39" s="12"/>
      <c r="V39" s="12"/>
      <c r="W39" s="12"/>
      <c r="X39" s="12"/>
      <c r="Y39" s="12"/>
      <c r="AB39">
        <v>1</v>
      </c>
      <c r="AC39" s="12"/>
      <c r="AD39" s="12">
        <v>0.3</v>
      </c>
      <c r="AE39" s="12"/>
      <c r="AF39" s="12">
        <v>0.3</v>
      </c>
      <c r="AI39">
        <v>1</v>
      </c>
      <c r="AJ39" s="12"/>
      <c r="AK39" s="12">
        <v>0.7</v>
      </c>
      <c r="AL39" s="12"/>
      <c r="AM39" s="12">
        <v>0.7</v>
      </c>
      <c r="AQ39" s="12"/>
      <c r="AR39" s="12">
        <v>0.7</v>
      </c>
      <c r="AS39" s="12"/>
      <c r="AT39" s="12">
        <v>0.7</v>
      </c>
      <c r="AX39" s="12"/>
      <c r="AY39" s="12">
        <v>0.7</v>
      </c>
      <c r="AZ39" s="12"/>
      <c r="BA39" s="12">
        <v>0.7</v>
      </c>
      <c r="BD39">
        <v>1</v>
      </c>
      <c r="BE39" s="12"/>
      <c r="BF39" s="12">
        <v>1</v>
      </c>
      <c r="BG39" s="12"/>
      <c r="BH39" s="12">
        <v>1</v>
      </c>
      <c r="BL39" s="12"/>
      <c r="BM39" s="12">
        <v>1</v>
      </c>
      <c r="BN39" s="12"/>
      <c r="BO39" s="12">
        <v>1</v>
      </c>
      <c r="BS39" s="12"/>
      <c r="BT39" s="12">
        <v>1</v>
      </c>
      <c r="BU39" s="12"/>
      <c r="BV39" s="12">
        <v>1</v>
      </c>
      <c r="BZ39" s="12"/>
      <c r="CA39" s="12">
        <v>1</v>
      </c>
      <c r="CB39" s="12"/>
      <c r="CC39" s="12">
        <v>1</v>
      </c>
      <c r="CG39" s="12"/>
      <c r="CH39" s="12">
        <v>1</v>
      </c>
      <c r="CI39" s="12"/>
      <c r="CJ39" s="12">
        <v>1</v>
      </c>
      <c r="CN39" s="12"/>
      <c r="CO39" s="12"/>
      <c r="CP39" s="12"/>
      <c r="CQ39" s="12"/>
      <c r="CU39" s="12"/>
      <c r="CV39" s="12"/>
      <c r="CW39" s="12"/>
      <c r="CX39" s="12"/>
      <c r="DB39" s="12"/>
      <c r="DC39" s="12"/>
      <c r="DD39" s="12"/>
      <c r="DE39" s="12"/>
      <c r="DI39" s="12"/>
      <c r="DJ39" s="12"/>
      <c r="DK39" s="12"/>
      <c r="DL39" s="12"/>
    </row>
    <row r="40" spans="2:116" outlineLevel="1">
      <c r="B40" t="s">
        <v>28</v>
      </c>
      <c r="E40" s="11"/>
      <c r="F40" t="s">
        <v>97</v>
      </c>
      <c r="G40" s="12">
        <v>0.1</v>
      </c>
      <c r="I40" s="11">
        <f t="shared" si="6"/>
        <v>3</v>
      </c>
      <c r="J40" s="13">
        <f t="shared" si="7"/>
        <v>0</v>
      </c>
      <c r="K40" s="13">
        <f t="shared" si="7"/>
        <v>0</v>
      </c>
      <c r="L40" s="11"/>
      <c r="O40" s="12"/>
      <c r="P40" s="12"/>
      <c r="Q40" s="12"/>
      <c r="R40" s="12"/>
      <c r="V40" s="12"/>
      <c r="W40" s="12"/>
      <c r="X40" s="12"/>
      <c r="Y40" s="12"/>
      <c r="AB40">
        <v>1</v>
      </c>
      <c r="AC40" s="12"/>
      <c r="AD40" s="12">
        <v>0.3</v>
      </c>
      <c r="AE40" s="12"/>
      <c r="AF40" s="12">
        <v>0.3</v>
      </c>
      <c r="AJ40" s="12"/>
      <c r="AK40" s="12">
        <v>0.3</v>
      </c>
      <c r="AL40" s="12"/>
      <c r="AM40" s="12">
        <v>0.3</v>
      </c>
      <c r="AP40">
        <v>1</v>
      </c>
      <c r="AQ40" s="12"/>
      <c r="AR40" s="12">
        <v>0.7</v>
      </c>
      <c r="AS40" s="12"/>
      <c r="AT40" s="12">
        <v>0.7</v>
      </c>
      <c r="AX40" s="12"/>
      <c r="AY40" s="12">
        <v>0.7</v>
      </c>
      <c r="AZ40" s="12"/>
      <c r="BA40" s="12">
        <v>0.7</v>
      </c>
      <c r="BE40" s="12"/>
      <c r="BF40" s="12">
        <v>0.7</v>
      </c>
      <c r="BG40" s="12"/>
      <c r="BH40" s="12">
        <v>0.7</v>
      </c>
      <c r="BK40">
        <v>1</v>
      </c>
      <c r="BL40" s="12"/>
      <c r="BM40" s="12">
        <v>1</v>
      </c>
      <c r="BN40" s="12"/>
      <c r="BO40" s="12">
        <v>1</v>
      </c>
      <c r="BS40" s="12"/>
      <c r="BT40" s="12">
        <v>1</v>
      </c>
      <c r="BU40" s="12"/>
      <c r="BV40" s="12">
        <v>1</v>
      </c>
      <c r="BZ40" s="12"/>
      <c r="CA40" s="12">
        <v>1</v>
      </c>
      <c r="CB40" s="12"/>
      <c r="CC40" s="12">
        <v>1</v>
      </c>
      <c r="CG40" s="12"/>
      <c r="CH40" s="12">
        <v>1</v>
      </c>
      <c r="CI40" s="12"/>
      <c r="CJ40" s="12">
        <v>1</v>
      </c>
      <c r="CN40" s="12"/>
      <c r="CO40" s="12"/>
      <c r="CP40" s="12"/>
      <c r="CQ40" s="12"/>
      <c r="CU40" s="12"/>
      <c r="CV40" s="12"/>
      <c r="CW40" s="12"/>
      <c r="CX40" s="12"/>
      <c r="DB40" s="12"/>
      <c r="DC40" s="12"/>
      <c r="DD40" s="12"/>
      <c r="DE40" s="12"/>
      <c r="DI40" s="12"/>
      <c r="DJ40" s="12"/>
      <c r="DK40" s="12"/>
      <c r="DL40" s="12"/>
    </row>
    <row r="41" spans="2:116" outlineLevel="1">
      <c r="B41" t="s">
        <v>28</v>
      </c>
      <c r="E41" s="11"/>
      <c r="F41" t="s">
        <v>98</v>
      </c>
      <c r="G41" s="12">
        <v>0.1</v>
      </c>
      <c r="I41" s="11">
        <f t="shared" si="6"/>
        <v>3</v>
      </c>
      <c r="J41" s="13">
        <f t="shared" si="7"/>
        <v>0</v>
      </c>
      <c r="K41" s="13">
        <f t="shared" si="7"/>
        <v>0</v>
      </c>
      <c r="L41" s="11"/>
      <c r="O41" s="12"/>
      <c r="P41" s="12"/>
      <c r="Q41" s="12"/>
      <c r="R41" s="12"/>
      <c r="V41" s="12"/>
      <c r="W41" s="12"/>
      <c r="X41" s="12"/>
      <c r="Y41" s="12"/>
      <c r="AB41">
        <v>1</v>
      </c>
      <c r="AC41" s="12"/>
      <c r="AD41" s="12">
        <v>0.3</v>
      </c>
      <c r="AE41" s="12"/>
      <c r="AF41" s="12">
        <v>0.3</v>
      </c>
      <c r="AJ41" s="12"/>
      <c r="AK41" s="12">
        <v>0.3</v>
      </c>
      <c r="AL41" s="12"/>
      <c r="AM41" s="12">
        <v>0.3</v>
      </c>
      <c r="AQ41" s="12"/>
      <c r="AR41" s="12">
        <v>0.3</v>
      </c>
      <c r="AS41" s="12"/>
      <c r="AT41" s="12">
        <v>0.3</v>
      </c>
      <c r="AW41">
        <v>1</v>
      </c>
      <c r="AX41" s="12"/>
      <c r="AY41" s="12">
        <v>0.7</v>
      </c>
      <c r="AZ41" s="12"/>
      <c r="BA41" s="12">
        <v>0.7</v>
      </c>
      <c r="BE41" s="12"/>
      <c r="BF41" s="12">
        <v>0.7</v>
      </c>
      <c r="BG41" s="12"/>
      <c r="BH41" s="12">
        <v>0.7</v>
      </c>
      <c r="BL41" s="12"/>
      <c r="BM41" s="12">
        <v>0.7</v>
      </c>
      <c r="BN41" s="12"/>
      <c r="BO41" s="12">
        <v>0.7</v>
      </c>
      <c r="BR41">
        <v>1</v>
      </c>
      <c r="BS41" s="12"/>
      <c r="BT41" s="12">
        <v>1</v>
      </c>
      <c r="BU41" s="12"/>
      <c r="BV41" s="12">
        <v>1</v>
      </c>
      <c r="BZ41" s="12"/>
      <c r="CA41" s="12">
        <v>1</v>
      </c>
      <c r="CB41" s="12"/>
      <c r="CC41" s="12">
        <v>1</v>
      </c>
      <c r="CG41" s="12"/>
      <c r="CH41" s="12">
        <v>1</v>
      </c>
      <c r="CI41" s="12"/>
      <c r="CJ41" s="12">
        <v>1</v>
      </c>
      <c r="CN41" s="12"/>
      <c r="CO41" s="12"/>
      <c r="CP41" s="12"/>
      <c r="CQ41" s="12"/>
      <c r="CU41" s="12"/>
      <c r="CV41" s="12"/>
      <c r="CW41" s="12"/>
      <c r="CX41" s="12"/>
      <c r="DB41" s="12"/>
      <c r="DC41" s="12"/>
      <c r="DD41" s="12"/>
      <c r="DE41" s="12"/>
      <c r="DI41" s="12"/>
      <c r="DJ41" s="12"/>
      <c r="DK41" s="12"/>
      <c r="DL41" s="12"/>
    </row>
    <row r="42" spans="2:116" outlineLevel="1">
      <c r="B42" t="s">
        <v>28</v>
      </c>
      <c r="E42" s="11"/>
      <c r="F42" s="19" t="s">
        <v>99</v>
      </c>
      <c r="G42" s="12">
        <v>0.1</v>
      </c>
      <c r="I42" s="11">
        <f t="shared" si="6"/>
        <v>3</v>
      </c>
      <c r="J42" s="13">
        <f t="shared" si="7"/>
        <v>0</v>
      </c>
      <c r="K42" s="13">
        <f t="shared" si="7"/>
        <v>0</v>
      </c>
      <c r="L42" s="11"/>
      <c r="O42" s="12"/>
      <c r="P42" s="12"/>
      <c r="Q42" s="12"/>
      <c r="R42" s="12"/>
      <c r="V42" s="12"/>
      <c r="W42" s="12"/>
      <c r="X42" s="12"/>
      <c r="Y42" s="12"/>
      <c r="AC42" s="12"/>
      <c r="AD42" s="12"/>
      <c r="AE42" s="12"/>
      <c r="AF42" s="12"/>
      <c r="AI42">
        <v>1</v>
      </c>
      <c r="AJ42" s="12"/>
      <c r="AK42" s="12">
        <v>0.3</v>
      </c>
      <c r="AL42" s="12"/>
      <c r="AM42" s="12">
        <v>0.3</v>
      </c>
      <c r="AQ42" s="12"/>
      <c r="AR42" s="12">
        <v>0.3</v>
      </c>
      <c r="AS42" s="12"/>
      <c r="AT42" s="12">
        <v>0.3</v>
      </c>
      <c r="AX42" s="12"/>
      <c r="AY42" s="12">
        <v>0.3</v>
      </c>
      <c r="AZ42" s="12"/>
      <c r="BA42" s="12">
        <v>0.3</v>
      </c>
      <c r="BD42">
        <v>1</v>
      </c>
      <c r="BE42" s="12"/>
      <c r="BF42" s="12">
        <v>0.7</v>
      </c>
      <c r="BG42" s="12"/>
      <c r="BH42" s="12">
        <v>0.7</v>
      </c>
      <c r="BL42" s="12"/>
      <c r="BM42" s="12">
        <v>0.7</v>
      </c>
      <c r="BN42" s="12"/>
      <c r="BO42" s="12">
        <v>0.7</v>
      </c>
      <c r="BS42" s="12"/>
      <c r="BT42" s="12">
        <v>0.7</v>
      </c>
      <c r="BU42" s="12"/>
      <c r="BV42" s="12">
        <v>0.7</v>
      </c>
      <c r="BY42">
        <v>1</v>
      </c>
      <c r="BZ42" s="12"/>
      <c r="CA42" s="12">
        <v>1</v>
      </c>
      <c r="CB42" s="12"/>
      <c r="CC42" s="12">
        <v>1</v>
      </c>
      <c r="CG42" s="12"/>
      <c r="CH42" s="12">
        <v>1</v>
      </c>
      <c r="CI42" s="12"/>
      <c r="CJ42" s="12">
        <v>1</v>
      </c>
      <c r="CN42" s="12"/>
      <c r="CO42" s="12"/>
      <c r="CP42" s="12"/>
      <c r="CQ42" s="12"/>
      <c r="CU42" s="12"/>
      <c r="CV42" s="12"/>
      <c r="CW42" s="12"/>
      <c r="CX42" s="12"/>
      <c r="DB42" s="12"/>
      <c r="DC42" s="12"/>
      <c r="DD42" s="12"/>
      <c r="DE42" s="12"/>
      <c r="DI42" s="12"/>
      <c r="DJ42" s="12"/>
      <c r="DK42" s="12"/>
      <c r="DL42" s="12"/>
    </row>
    <row r="43" spans="2:116" outlineLevel="1">
      <c r="B43" t="s">
        <v>28</v>
      </c>
      <c r="E43" s="11"/>
      <c r="F43" s="19" t="s">
        <v>100</v>
      </c>
      <c r="G43" s="12">
        <v>0.1</v>
      </c>
      <c r="I43" s="11">
        <f t="shared" si="6"/>
        <v>3</v>
      </c>
      <c r="J43" s="13">
        <f t="shared" si="7"/>
        <v>0</v>
      </c>
      <c r="K43" s="13">
        <f t="shared" si="7"/>
        <v>0</v>
      </c>
      <c r="L43" s="11"/>
      <c r="O43" s="12"/>
      <c r="P43" s="12"/>
      <c r="Q43" s="12"/>
      <c r="R43" s="12"/>
      <c r="V43" s="12"/>
      <c r="W43" s="12"/>
      <c r="X43" s="12"/>
      <c r="Y43" s="12"/>
      <c r="AC43" s="12"/>
      <c r="AD43" s="12"/>
      <c r="AE43" s="12"/>
      <c r="AF43" s="12"/>
      <c r="AI43">
        <v>1</v>
      </c>
      <c r="AJ43" s="12"/>
      <c r="AK43" s="12">
        <v>0.3</v>
      </c>
      <c r="AL43" s="12"/>
      <c r="AM43" s="12">
        <v>0.3</v>
      </c>
      <c r="AQ43" s="12"/>
      <c r="AR43" s="12">
        <v>0.3</v>
      </c>
      <c r="AS43" s="12"/>
      <c r="AT43" s="12">
        <v>0.3</v>
      </c>
      <c r="AX43" s="12"/>
      <c r="AY43" s="12">
        <v>0.3</v>
      </c>
      <c r="AZ43" s="12"/>
      <c r="BA43" s="12">
        <v>0.3</v>
      </c>
      <c r="BD43">
        <v>1</v>
      </c>
      <c r="BE43" s="12"/>
      <c r="BF43" s="12">
        <v>0.7</v>
      </c>
      <c r="BG43" s="12"/>
      <c r="BH43" s="12">
        <v>0.7</v>
      </c>
      <c r="BL43" s="12"/>
      <c r="BM43" s="12">
        <v>0.7</v>
      </c>
      <c r="BN43" s="12"/>
      <c r="BO43" s="12">
        <v>0.7</v>
      </c>
      <c r="BS43" s="12"/>
      <c r="BT43" s="12">
        <v>0.7</v>
      </c>
      <c r="BU43" s="12"/>
      <c r="BV43" s="12">
        <v>0.7</v>
      </c>
      <c r="BY43">
        <v>1</v>
      </c>
      <c r="BZ43" s="12"/>
      <c r="CA43" s="12">
        <v>1</v>
      </c>
      <c r="CB43" s="12"/>
      <c r="CC43" s="12">
        <v>1</v>
      </c>
      <c r="CG43" s="12"/>
      <c r="CH43" s="12">
        <v>1</v>
      </c>
      <c r="CI43" s="12"/>
      <c r="CJ43" s="12">
        <v>1</v>
      </c>
      <c r="CN43" s="12"/>
      <c r="CO43" s="12"/>
      <c r="CP43" s="12"/>
      <c r="CQ43" s="12"/>
      <c r="CU43" s="12"/>
      <c r="CV43" s="12"/>
      <c r="CW43" s="12"/>
      <c r="CX43" s="12"/>
      <c r="DB43" s="12"/>
      <c r="DC43" s="12"/>
      <c r="DD43" s="12"/>
      <c r="DE43" s="12"/>
      <c r="DI43" s="12"/>
      <c r="DJ43" s="12"/>
      <c r="DK43" s="12"/>
      <c r="DL43" s="12"/>
    </row>
    <row r="44" spans="2:116" outlineLevel="1">
      <c r="B44" t="s">
        <v>28</v>
      </c>
      <c r="E44" s="11"/>
      <c r="F44" s="19" t="s">
        <v>135</v>
      </c>
      <c r="G44" s="12">
        <v>0.1</v>
      </c>
      <c r="I44" s="11">
        <f t="shared" si="6"/>
        <v>3</v>
      </c>
      <c r="J44" s="13">
        <f t="shared" si="7"/>
        <v>0</v>
      </c>
      <c r="K44" s="13">
        <f t="shared" si="7"/>
        <v>0</v>
      </c>
      <c r="L44" s="11"/>
      <c r="O44" s="12"/>
      <c r="P44" s="12"/>
      <c r="Q44" s="12"/>
      <c r="R44" s="12"/>
      <c r="V44" s="12"/>
      <c r="W44" s="12"/>
      <c r="X44" s="12"/>
      <c r="Y44" s="12"/>
      <c r="AC44" s="12"/>
      <c r="AD44" s="12"/>
      <c r="AE44" s="12"/>
      <c r="AF44" s="12"/>
      <c r="AJ44" s="12"/>
      <c r="AK44" s="12"/>
      <c r="AL44" s="12"/>
      <c r="AM44" s="12"/>
      <c r="AP44">
        <v>1</v>
      </c>
      <c r="AQ44" s="12"/>
      <c r="AR44" s="12">
        <v>0.3</v>
      </c>
      <c r="AS44" s="12"/>
      <c r="AT44" s="12">
        <v>0.3</v>
      </c>
      <c r="AX44" s="12"/>
      <c r="AY44" s="12">
        <v>0.3</v>
      </c>
      <c r="AZ44" s="12"/>
      <c r="BA44" s="12">
        <v>0.3</v>
      </c>
      <c r="BE44" s="12"/>
      <c r="BF44" s="12">
        <v>0.3</v>
      </c>
      <c r="BG44" s="12"/>
      <c r="BH44" s="12">
        <v>0.3</v>
      </c>
      <c r="BK44">
        <v>1</v>
      </c>
      <c r="BL44" s="12"/>
      <c r="BM44" s="12">
        <v>0.7</v>
      </c>
      <c r="BN44" s="12"/>
      <c r="BO44" s="12">
        <v>0.7</v>
      </c>
      <c r="BS44" s="12"/>
      <c r="BT44" s="12">
        <v>0.7</v>
      </c>
      <c r="BU44" s="12"/>
      <c r="BV44" s="12">
        <v>0.7</v>
      </c>
      <c r="BY44">
        <v>1</v>
      </c>
      <c r="BZ44" s="12"/>
      <c r="CA44" s="12">
        <v>1</v>
      </c>
      <c r="CB44" s="12"/>
      <c r="CC44" s="12">
        <v>1</v>
      </c>
      <c r="CG44" s="12"/>
      <c r="CH44" s="12">
        <v>1</v>
      </c>
      <c r="CI44" s="12"/>
      <c r="CJ44" s="12">
        <v>1</v>
      </c>
      <c r="CN44" s="12"/>
      <c r="CO44" s="12"/>
      <c r="CP44" s="12"/>
      <c r="CQ44" s="12"/>
      <c r="CU44" s="12"/>
      <c r="CV44" s="12"/>
      <c r="CW44" s="12"/>
      <c r="CX44" s="12"/>
      <c r="DB44" s="12"/>
      <c r="DC44" s="12"/>
      <c r="DD44" s="12"/>
      <c r="DE44" s="12"/>
      <c r="DI44" s="12"/>
      <c r="DJ44" s="12"/>
      <c r="DK44" s="12"/>
      <c r="DL44" s="12"/>
    </row>
    <row r="45" spans="2:116" outlineLevel="1">
      <c r="B45" t="s">
        <v>28</v>
      </c>
      <c r="E45" s="11"/>
      <c r="F45" s="19" t="s">
        <v>136</v>
      </c>
      <c r="G45" s="12">
        <v>0.1</v>
      </c>
      <c r="I45" s="11">
        <f t="shared" si="6"/>
        <v>3</v>
      </c>
      <c r="J45" s="13">
        <f t="shared" si="7"/>
        <v>0</v>
      </c>
      <c r="K45" s="13">
        <f t="shared" si="7"/>
        <v>0</v>
      </c>
      <c r="L45" s="11"/>
      <c r="O45" s="12"/>
      <c r="P45" s="12"/>
      <c r="Q45" s="12"/>
      <c r="R45" s="12"/>
      <c r="V45" s="12"/>
      <c r="W45" s="12"/>
      <c r="X45" s="12"/>
      <c r="Y45" s="12"/>
      <c r="AC45" s="12"/>
      <c r="AD45" s="12"/>
      <c r="AE45" s="12"/>
      <c r="AF45" s="12"/>
      <c r="AJ45" s="12"/>
      <c r="AK45" s="12"/>
      <c r="AL45" s="12"/>
      <c r="AM45" s="12"/>
      <c r="AP45">
        <v>1</v>
      </c>
      <c r="AQ45" s="12"/>
      <c r="AR45" s="12">
        <v>0.3</v>
      </c>
      <c r="AS45" s="12"/>
      <c r="AT45" s="12">
        <v>0.3</v>
      </c>
      <c r="AX45" s="12"/>
      <c r="AY45" s="12">
        <v>0.3</v>
      </c>
      <c r="AZ45" s="12"/>
      <c r="BA45" s="12">
        <v>0.3</v>
      </c>
      <c r="BE45" s="12"/>
      <c r="BF45" s="12">
        <v>0.3</v>
      </c>
      <c r="BG45" s="12"/>
      <c r="BH45" s="12">
        <v>0.3</v>
      </c>
      <c r="BK45">
        <v>1</v>
      </c>
      <c r="BL45" s="12"/>
      <c r="BM45" s="12">
        <v>0.7</v>
      </c>
      <c r="BN45" s="12"/>
      <c r="BO45" s="12">
        <v>0.7</v>
      </c>
      <c r="BS45" s="12"/>
      <c r="BT45" s="12">
        <v>0.7</v>
      </c>
      <c r="BU45" s="12"/>
      <c r="BV45" s="12">
        <v>0.7</v>
      </c>
      <c r="BZ45" s="12"/>
      <c r="CA45" s="12">
        <v>0.7</v>
      </c>
      <c r="CB45" s="12"/>
      <c r="CC45" s="12">
        <v>0.7</v>
      </c>
      <c r="CF45">
        <v>1</v>
      </c>
      <c r="CG45" s="12"/>
      <c r="CH45" s="12">
        <v>1</v>
      </c>
      <c r="CI45" s="12"/>
      <c r="CJ45" s="12">
        <v>1</v>
      </c>
      <c r="CN45" s="12"/>
      <c r="CO45" s="12"/>
      <c r="CP45" s="12"/>
      <c r="CQ45" s="12"/>
      <c r="CU45" s="12"/>
      <c r="CV45" s="12"/>
      <c r="CW45" s="12"/>
      <c r="CX45" s="12"/>
      <c r="DB45" s="12"/>
      <c r="DC45" s="12"/>
      <c r="DD45" s="12"/>
      <c r="DE45" s="12"/>
      <c r="DI45" s="12"/>
      <c r="DJ45" s="12"/>
      <c r="DK45" s="12"/>
      <c r="DL45" s="12"/>
    </row>
    <row r="46" spans="2:116" outlineLevel="1">
      <c r="B46" t="s">
        <v>28</v>
      </c>
      <c r="E46" s="11"/>
      <c r="F46" s="19" t="s">
        <v>137</v>
      </c>
      <c r="G46" s="12">
        <v>0.1</v>
      </c>
      <c r="I46" s="11">
        <f t="shared" si="6"/>
        <v>3</v>
      </c>
      <c r="J46" s="13">
        <f t="shared" si="7"/>
        <v>0</v>
      </c>
      <c r="K46" s="13">
        <f t="shared" si="7"/>
        <v>0</v>
      </c>
      <c r="L46" s="11"/>
      <c r="O46" s="12"/>
      <c r="P46" s="12"/>
      <c r="Q46" s="12"/>
      <c r="R46" s="12"/>
      <c r="V46" s="12"/>
      <c r="W46" s="12"/>
      <c r="X46" s="12"/>
      <c r="Y46" s="12"/>
      <c r="AC46" s="12"/>
      <c r="AD46" s="12"/>
      <c r="AE46" s="12"/>
      <c r="AF46" s="12"/>
      <c r="AJ46" s="12"/>
      <c r="AK46" s="12"/>
      <c r="AL46" s="12"/>
      <c r="AM46" s="12"/>
      <c r="AQ46" s="12"/>
      <c r="AR46" s="12"/>
      <c r="AS46" s="12"/>
      <c r="AT46" s="12"/>
      <c r="AW46">
        <v>1</v>
      </c>
      <c r="AX46" s="12"/>
      <c r="AY46" s="12">
        <v>0.3</v>
      </c>
      <c r="AZ46" s="12"/>
      <c r="BA46" s="12">
        <v>0.3</v>
      </c>
      <c r="BE46" s="12"/>
      <c r="BF46" s="12">
        <v>0.3</v>
      </c>
      <c r="BG46" s="12"/>
      <c r="BH46" s="12">
        <v>0.3</v>
      </c>
      <c r="BL46" s="12"/>
      <c r="BM46" s="12">
        <v>0.3</v>
      </c>
      <c r="BN46" s="12"/>
      <c r="BO46" s="12">
        <v>0.3</v>
      </c>
      <c r="BR46">
        <v>1</v>
      </c>
      <c r="BS46" s="12"/>
      <c r="BT46" s="12">
        <v>0.7</v>
      </c>
      <c r="BU46" s="12"/>
      <c r="BV46" s="12">
        <v>0.7</v>
      </c>
      <c r="BZ46" s="12"/>
      <c r="CA46" s="12">
        <v>0.7</v>
      </c>
      <c r="CB46" s="12"/>
      <c r="CC46" s="12">
        <v>0.7</v>
      </c>
      <c r="CF46">
        <v>1</v>
      </c>
      <c r="CG46" s="12"/>
      <c r="CH46" s="12">
        <v>1</v>
      </c>
      <c r="CI46" s="12"/>
      <c r="CJ46" s="12">
        <v>1</v>
      </c>
      <c r="CN46" s="12"/>
      <c r="CO46" s="12"/>
      <c r="CP46" s="12"/>
      <c r="CQ46" s="12"/>
      <c r="CU46" s="12"/>
      <c r="CV46" s="12"/>
      <c r="CW46" s="12"/>
      <c r="CX46" s="12"/>
      <c r="DB46" s="12"/>
      <c r="DC46" s="12"/>
      <c r="DD46" s="12"/>
      <c r="DE46" s="12"/>
      <c r="DI46" s="12"/>
      <c r="DJ46" s="12"/>
      <c r="DK46" s="12"/>
      <c r="DL46" s="12"/>
    </row>
    <row r="47" spans="2:116" outlineLevel="1">
      <c r="B47" t="s">
        <v>28</v>
      </c>
      <c r="E47" s="11"/>
      <c r="F47" s="19" t="s">
        <v>138</v>
      </c>
      <c r="G47" s="12">
        <v>0.1</v>
      </c>
      <c r="I47" s="11">
        <f t="shared" si="6"/>
        <v>3</v>
      </c>
      <c r="J47" s="13">
        <f t="shared" si="7"/>
        <v>0</v>
      </c>
      <c r="K47" s="13">
        <f t="shared" si="7"/>
        <v>0</v>
      </c>
      <c r="L47" s="11"/>
      <c r="O47" s="12"/>
      <c r="P47" s="12"/>
      <c r="Q47" s="12"/>
      <c r="R47" s="12"/>
      <c r="V47" s="12"/>
      <c r="W47" s="12"/>
      <c r="X47" s="12"/>
      <c r="Y47" s="12"/>
      <c r="AC47" s="12"/>
      <c r="AD47" s="12"/>
      <c r="AE47" s="12"/>
      <c r="AF47" s="12"/>
      <c r="AJ47" s="12"/>
      <c r="AK47" s="12"/>
      <c r="AL47" s="12"/>
      <c r="AM47" s="12"/>
      <c r="AQ47" s="12"/>
      <c r="AR47" s="12"/>
      <c r="AS47" s="12"/>
      <c r="AT47" s="12"/>
      <c r="AW47">
        <v>1</v>
      </c>
      <c r="AX47" s="12"/>
      <c r="AY47" s="12">
        <v>0.3</v>
      </c>
      <c r="AZ47" s="12"/>
      <c r="BA47" s="12">
        <v>0.3</v>
      </c>
      <c r="BE47" s="12"/>
      <c r="BF47" s="12">
        <v>0.3</v>
      </c>
      <c r="BG47" s="12"/>
      <c r="BH47" s="12">
        <v>0.3</v>
      </c>
      <c r="BL47" s="12"/>
      <c r="BM47" s="12">
        <v>0.3</v>
      </c>
      <c r="BN47" s="12"/>
      <c r="BO47" s="12">
        <v>0.3</v>
      </c>
      <c r="BR47">
        <v>1</v>
      </c>
      <c r="BS47" s="12"/>
      <c r="BT47" s="12">
        <v>0.7</v>
      </c>
      <c r="BU47" s="12"/>
      <c r="BV47" s="12">
        <v>0.7</v>
      </c>
      <c r="BZ47" s="12"/>
      <c r="CA47" s="12">
        <v>0.7</v>
      </c>
      <c r="CB47" s="12"/>
      <c r="CC47" s="12">
        <v>0.7</v>
      </c>
      <c r="CF47">
        <v>1</v>
      </c>
      <c r="CG47" s="12"/>
      <c r="CH47" s="12">
        <v>1</v>
      </c>
      <c r="CI47" s="12"/>
      <c r="CJ47" s="12">
        <v>1</v>
      </c>
      <c r="CN47" s="12"/>
      <c r="CO47" s="12"/>
      <c r="CP47" s="12"/>
      <c r="CQ47" s="12"/>
      <c r="CU47" s="12"/>
      <c r="CV47" s="12"/>
      <c r="CW47" s="12"/>
      <c r="CX47" s="12"/>
      <c r="DB47" s="12"/>
      <c r="DC47" s="12"/>
      <c r="DD47" s="12"/>
      <c r="DE47" s="12"/>
      <c r="DI47" s="12"/>
      <c r="DJ47" s="12"/>
      <c r="DK47" s="12"/>
      <c r="DL47" s="12"/>
    </row>
    <row r="49" spans="2:116">
      <c r="B49" t="s">
        <v>27</v>
      </c>
      <c r="C49" t="s">
        <v>65</v>
      </c>
      <c r="E49" s="11">
        <v>3</v>
      </c>
      <c r="G49" s="12">
        <f>+SUM(G50:G60)</f>
        <v>0.99999999999999978</v>
      </c>
      <c r="I49" s="14">
        <f>+SUM(I50:I60)</f>
        <v>50</v>
      </c>
      <c r="J49" s="13">
        <f>+SUMPRODUCT(G50:G60,J50:J60)</f>
        <v>0.19599999999999998</v>
      </c>
      <c r="K49" s="13">
        <f>+SUMPRODUCT(G50:G60,K50:K60)</f>
        <v>0.13999999999999999</v>
      </c>
      <c r="L49" s="11"/>
      <c r="N49" s="14">
        <f>+SUM(N50:N60)</f>
        <v>20</v>
      </c>
      <c r="U49" s="14">
        <f>+SUM(U50:U60)</f>
        <v>2</v>
      </c>
      <c r="AB49" s="14">
        <f>+SUM(AB50:AB60)</f>
        <v>4</v>
      </c>
      <c r="AI49" s="14">
        <f>+SUM(AI50:AI60)</f>
        <v>3</v>
      </c>
      <c r="AP49" s="14">
        <f>+SUM(AP51:AP60)</f>
        <v>3</v>
      </c>
      <c r="AW49" s="14">
        <f>+SUM(AW52:AW60)</f>
        <v>3</v>
      </c>
      <c r="BD49" s="14">
        <f>+SUM(BD50:BD60)</f>
        <v>3</v>
      </c>
      <c r="BK49" s="14">
        <f>+SUM(BK51:BK59)</f>
        <v>3</v>
      </c>
      <c r="BR49" s="14">
        <f>+SUM(BR52:BR59)</f>
        <v>3</v>
      </c>
      <c r="BY49" s="14">
        <f>+SUM(BY53:BY59)</f>
        <v>3</v>
      </c>
      <c r="CF49" s="14">
        <f>+SUM(CF54:CF60)</f>
        <v>3</v>
      </c>
    </row>
    <row r="50" spans="2:116" outlineLevel="1">
      <c r="B50" t="s">
        <v>28</v>
      </c>
      <c r="E50" s="11"/>
      <c r="F50" t="s">
        <v>102</v>
      </c>
      <c r="G50" s="12">
        <v>0.1</v>
      </c>
      <c r="I50" s="11">
        <f t="shared" ref="I50:I60" si="8">+SUMIF($N$3:$ZZ$3,I$3,$N50:$ZZ50)</f>
        <v>15</v>
      </c>
      <c r="J50" s="13">
        <f>+_xlfn.MAXIFS($N50:$ZF50,$N$3:$ZF$3,J$3)</f>
        <v>0.7</v>
      </c>
      <c r="K50" s="13">
        <f t="shared" ref="J50:K60" si="9">+_xlfn.MAXIFS($N50:$ZF50,$N$3:$ZF$3,K$3)</f>
        <v>0.5</v>
      </c>
      <c r="L50" s="11"/>
      <c r="N50">
        <v>10</v>
      </c>
      <c r="O50" s="12">
        <v>0.7</v>
      </c>
      <c r="P50" s="12">
        <v>0.8</v>
      </c>
      <c r="Q50" s="12">
        <v>0.5</v>
      </c>
      <c r="R50" s="12">
        <v>0.8</v>
      </c>
      <c r="U50">
        <v>2</v>
      </c>
      <c r="V50" s="12"/>
      <c r="W50" s="12">
        <v>0.8</v>
      </c>
      <c r="X50" s="12"/>
      <c r="Y50" s="12">
        <v>0.8</v>
      </c>
      <c r="AB50">
        <v>1</v>
      </c>
      <c r="AC50" s="12"/>
      <c r="AD50" s="12">
        <v>0.5</v>
      </c>
      <c r="AE50" s="12"/>
      <c r="AF50" s="12">
        <v>0.5</v>
      </c>
      <c r="AI50">
        <v>1</v>
      </c>
      <c r="AJ50" s="12"/>
      <c r="AK50" s="12">
        <v>0.7</v>
      </c>
      <c r="AL50" s="12"/>
      <c r="AM50" s="12">
        <v>0.7</v>
      </c>
      <c r="AQ50" s="12"/>
      <c r="AR50" s="12">
        <v>0.7</v>
      </c>
      <c r="AS50" s="12"/>
      <c r="AT50" s="12">
        <v>0.7</v>
      </c>
      <c r="AX50" s="12"/>
      <c r="AY50" s="12">
        <v>0.7</v>
      </c>
      <c r="AZ50" s="12"/>
      <c r="BA50" s="12">
        <v>0.7</v>
      </c>
      <c r="BD50">
        <v>1</v>
      </c>
      <c r="BE50" s="12"/>
      <c r="BF50" s="12">
        <v>1</v>
      </c>
      <c r="BG50" s="12"/>
      <c r="BH50" s="12">
        <v>1</v>
      </c>
      <c r="BL50" s="12"/>
      <c r="BM50" s="12">
        <v>1</v>
      </c>
      <c r="BN50" s="12"/>
      <c r="BO50" s="12">
        <v>1</v>
      </c>
      <c r="BS50" s="12"/>
      <c r="BT50" s="12">
        <v>1</v>
      </c>
      <c r="BU50" s="12"/>
      <c r="BV50" s="12">
        <v>1</v>
      </c>
      <c r="BZ50" s="12"/>
      <c r="CA50" s="12">
        <v>1</v>
      </c>
      <c r="CB50" s="12"/>
      <c r="CC50" s="12">
        <v>1</v>
      </c>
      <c r="CG50" s="12"/>
      <c r="CH50" s="12">
        <v>1</v>
      </c>
      <c r="CI50" s="12"/>
      <c r="CJ50" s="12">
        <v>1</v>
      </c>
      <c r="CN50" s="12"/>
      <c r="CO50" s="12"/>
      <c r="CP50" s="12"/>
      <c r="CQ50" s="12"/>
      <c r="CU50" s="12"/>
      <c r="CV50" s="12"/>
      <c r="CW50" s="12"/>
      <c r="CX50" s="12"/>
      <c r="DB50" s="12"/>
      <c r="DC50" s="12"/>
      <c r="DD50" s="12"/>
      <c r="DE50" s="12"/>
      <c r="DI50" s="12"/>
      <c r="DJ50" s="12"/>
      <c r="DK50" s="12"/>
      <c r="DL50" s="12"/>
    </row>
    <row r="51" spans="2:116" outlineLevel="1">
      <c r="B51" t="s">
        <v>28</v>
      </c>
      <c r="E51" s="11"/>
      <c r="F51" t="s">
        <v>103</v>
      </c>
      <c r="G51" s="12">
        <v>0.09</v>
      </c>
      <c r="I51" s="11">
        <f t="shared" si="8"/>
        <v>6</v>
      </c>
      <c r="J51" s="13">
        <f t="shared" si="9"/>
        <v>0.5</v>
      </c>
      <c r="K51" s="13">
        <f t="shared" si="9"/>
        <v>0.5</v>
      </c>
      <c r="L51" s="11"/>
      <c r="N51">
        <v>3</v>
      </c>
      <c r="O51" s="12">
        <v>0.5</v>
      </c>
      <c r="P51" s="12">
        <v>0.5</v>
      </c>
      <c r="Q51" s="12">
        <v>0.5</v>
      </c>
      <c r="R51" s="12">
        <v>0.5</v>
      </c>
      <c r="V51" s="12"/>
      <c r="W51" s="12">
        <v>0.8</v>
      </c>
      <c r="X51" s="12"/>
      <c r="Y51" s="12">
        <v>0.8</v>
      </c>
      <c r="AB51">
        <v>1</v>
      </c>
      <c r="AC51" s="12"/>
      <c r="AD51" s="12">
        <v>0.5</v>
      </c>
      <c r="AE51" s="12"/>
      <c r="AF51" s="12">
        <v>0.5</v>
      </c>
      <c r="AJ51" s="12"/>
      <c r="AK51" s="12">
        <v>0.5</v>
      </c>
      <c r="AL51" s="12"/>
      <c r="AM51" s="12">
        <v>0.5</v>
      </c>
      <c r="AP51">
        <v>1</v>
      </c>
      <c r="AQ51" s="12"/>
      <c r="AR51" s="12">
        <v>0.7</v>
      </c>
      <c r="AS51" s="12"/>
      <c r="AT51" s="12">
        <v>0.7</v>
      </c>
      <c r="AX51" s="12"/>
      <c r="AY51" s="12">
        <v>0.7</v>
      </c>
      <c r="AZ51" s="12"/>
      <c r="BA51" s="12">
        <v>0.7</v>
      </c>
      <c r="BE51" s="12"/>
      <c r="BF51" s="12">
        <v>0.7</v>
      </c>
      <c r="BG51" s="12"/>
      <c r="BH51" s="12">
        <v>0.7</v>
      </c>
      <c r="BK51">
        <v>1</v>
      </c>
      <c r="BL51" s="12"/>
      <c r="BM51" s="12">
        <v>1</v>
      </c>
      <c r="BN51" s="12"/>
      <c r="BO51" s="12">
        <v>1</v>
      </c>
      <c r="BS51" s="12"/>
      <c r="BT51" s="12">
        <v>1</v>
      </c>
      <c r="BU51" s="12"/>
      <c r="BV51" s="12">
        <v>1</v>
      </c>
      <c r="BZ51" s="12"/>
      <c r="CA51" s="12">
        <v>1</v>
      </c>
      <c r="CB51" s="12"/>
      <c r="CC51" s="12">
        <v>1</v>
      </c>
      <c r="CG51" s="12"/>
      <c r="CH51" s="12">
        <v>1</v>
      </c>
      <c r="CI51" s="12"/>
      <c r="CJ51" s="12">
        <v>1</v>
      </c>
      <c r="CN51" s="12"/>
      <c r="CO51" s="12"/>
      <c r="CP51" s="12"/>
      <c r="CQ51" s="12"/>
      <c r="CU51" s="12"/>
      <c r="CV51" s="12"/>
      <c r="CW51" s="12"/>
      <c r="CX51" s="12"/>
      <c r="DB51" s="12"/>
      <c r="DC51" s="12"/>
      <c r="DD51" s="12"/>
      <c r="DE51" s="12"/>
      <c r="DI51" s="12"/>
      <c r="DJ51" s="12"/>
      <c r="DK51" s="12"/>
      <c r="DL51" s="12"/>
    </row>
    <row r="52" spans="2:116" outlineLevel="1">
      <c r="B52" t="s">
        <v>28</v>
      </c>
      <c r="E52" s="11"/>
      <c r="F52" t="s">
        <v>104</v>
      </c>
      <c r="G52" s="12">
        <v>0.09</v>
      </c>
      <c r="I52" s="11">
        <f t="shared" si="8"/>
        <v>5</v>
      </c>
      <c r="J52" s="13">
        <f t="shared" si="9"/>
        <v>0.3</v>
      </c>
      <c r="K52" s="13">
        <f t="shared" si="9"/>
        <v>0.3</v>
      </c>
      <c r="L52" s="11"/>
      <c r="N52">
        <v>2</v>
      </c>
      <c r="O52" s="12">
        <v>0.3</v>
      </c>
      <c r="P52" s="12">
        <v>0.3</v>
      </c>
      <c r="Q52" s="12">
        <v>0.3</v>
      </c>
      <c r="R52" s="12">
        <v>0.3</v>
      </c>
      <c r="V52" s="12"/>
      <c r="W52" s="12">
        <v>0.5</v>
      </c>
      <c r="X52" s="12"/>
      <c r="Y52" s="12">
        <v>0.5</v>
      </c>
      <c r="AB52">
        <v>1</v>
      </c>
      <c r="AC52" s="12"/>
      <c r="AD52" s="12">
        <v>0.5</v>
      </c>
      <c r="AE52" s="12"/>
      <c r="AF52" s="12">
        <v>0.5</v>
      </c>
      <c r="AJ52" s="12"/>
      <c r="AK52" s="12">
        <v>0.5</v>
      </c>
      <c r="AL52" s="12"/>
      <c r="AM52" s="12">
        <v>0.5</v>
      </c>
      <c r="AQ52" s="12"/>
      <c r="AR52" s="12">
        <v>0.5</v>
      </c>
      <c r="AS52" s="12"/>
      <c r="AT52" s="12">
        <v>0.5</v>
      </c>
      <c r="AW52">
        <v>1</v>
      </c>
      <c r="AX52" s="12"/>
      <c r="AY52" s="12">
        <v>0.7</v>
      </c>
      <c r="AZ52" s="12"/>
      <c r="BA52" s="12">
        <v>0.5</v>
      </c>
      <c r="BE52" s="12"/>
      <c r="BF52" s="12">
        <v>0.7</v>
      </c>
      <c r="BG52" s="12"/>
      <c r="BH52" s="12">
        <v>0.7</v>
      </c>
      <c r="BL52" s="12"/>
      <c r="BM52" s="12">
        <v>0.7</v>
      </c>
      <c r="BN52" s="12"/>
      <c r="BO52" s="12">
        <v>0.7</v>
      </c>
      <c r="BR52">
        <v>1</v>
      </c>
      <c r="BS52" s="12"/>
      <c r="BT52" s="12">
        <v>1</v>
      </c>
      <c r="BU52" s="12"/>
      <c r="BV52" s="12">
        <v>1</v>
      </c>
      <c r="BZ52" s="12"/>
      <c r="CA52" s="12">
        <v>1</v>
      </c>
      <c r="CB52" s="12"/>
      <c r="CC52" s="12">
        <v>1</v>
      </c>
      <c r="CG52" s="12"/>
      <c r="CH52" s="12">
        <v>1</v>
      </c>
      <c r="CI52" s="12"/>
      <c r="CJ52" s="12">
        <v>1</v>
      </c>
      <c r="CN52" s="12"/>
      <c r="CO52" s="12"/>
      <c r="CP52" s="12"/>
      <c r="CQ52" s="12"/>
      <c r="CU52" s="12"/>
      <c r="CV52" s="12"/>
      <c r="CW52" s="12"/>
      <c r="CX52" s="12"/>
      <c r="DB52" s="12"/>
      <c r="DC52" s="12"/>
      <c r="DD52" s="12"/>
      <c r="DE52" s="12"/>
      <c r="DI52" s="12"/>
      <c r="DJ52" s="12"/>
      <c r="DK52" s="12"/>
      <c r="DL52" s="12"/>
    </row>
    <row r="53" spans="2:116" outlineLevel="1">
      <c r="B53" t="s">
        <v>28</v>
      </c>
      <c r="E53" s="11"/>
      <c r="F53" t="s">
        <v>105</v>
      </c>
      <c r="G53" s="12">
        <v>0.09</v>
      </c>
      <c r="I53" s="11">
        <f t="shared" si="8"/>
        <v>5</v>
      </c>
      <c r="J53" s="13">
        <f t="shared" si="9"/>
        <v>0.3</v>
      </c>
      <c r="K53" s="13">
        <f t="shared" si="9"/>
        <v>0.2</v>
      </c>
      <c r="L53" s="11"/>
      <c r="N53">
        <v>2</v>
      </c>
      <c r="O53" s="12">
        <v>0.3</v>
      </c>
      <c r="P53" s="12">
        <v>0.3</v>
      </c>
      <c r="Q53" s="12">
        <v>0.2</v>
      </c>
      <c r="R53" s="12">
        <v>0.3</v>
      </c>
      <c r="V53" s="12"/>
      <c r="W53" s="12">
        <v>0.5</v>
      </c>
      <c r="X53" s="12"/>
      <c r="Y53" s="12">
        <v>0.5</v>
      </c>
      <c r="AB53">
        <v>1</v>
      </c>
      <c r="AC53" s="12"/>
      <c r="AD53" s="12">
        <v>0.5</v>
      </c>
      <c r="AE53" s="12"/>
      <c r="AF53" s="12">
        <v>0.5</v>
      </c>
      <c r="AJ53" s="12"/>
      <c r="AK53" s="12">
        <v>0.5</v>
      </c>
      <c r="AL53" s="12"/>
      <c r="AM53" s="12">
        <v>0.5</v>
      </c>
      <c r="AQ53" s="12"/>
      <c r="AR53" s="12">
        <v>0.5</v>
      </c>
      <c r="AS53" s="12"/>
      <c r="AT53" s="12">
        <v>0.5</v>
      </c>
      <c r="AX53" s="12"/>
      <c r="AY53" s="12">
        <v>0.5</v>
      </c>
      <c r="AZ53" s="12"/>
      <c r="BA53" s="12">
        <v>0.5</v>
      </c>
      <c r="BD53">
        <v>1</v>
      </c>
      <c r="BE53" s="12"/>
      <c r="BF53" s="12">
        <v>0.7</v>
      </c>
      <c r="BG53" s="12"/>
      <c r="BH53" s="12">
        <v>0.7</v>
      </c>
      <c r="BL53" s="12"/>
      <c r="BM53" s="12">
        <v>0.7</v>
      </c>
      <c r="BN53" s="12"/>
      <c r="BO53" s="12">
        <v>0.7</v>
      </c>
      <c r="BS53" s="12"/>
      <c r="BT53" s="12">
        <v>0.7</v>
      </c>
      <c r="BU53" s="12"/>
      <c r="BV53" s="12">
        <v>0.7</v>
      </c>
      <c r="BY53">
        <v>1</v>
      </c>
      <c r="BZ53" s="12"/>
      <c r="CA53" s="12">
        <v>1</v>
      </c>
      <c r="CB53" s="12"/>
      <c r="CC53" s="12">
        <v>1</v>
      </c>
      <c r="CG53" s="12"/>
      <c r="CH53" s="12">
        <v>1</v>
      </c>
      <c r="CI53" s="12"/>
      <c r="CJ53" s="12">
        <v>1</v>
      </c>
      <c r="CN53" s="12"/>
      <c r="CO53" s="12"/>
      <c r="CP53" s="12"/>
      <c r="CQ53" s="12"/>
      <c r="CU53" s="12"/>
      <c r="CV53" s="12"/>
      <c r="CW53" s="12"/>
      <c r="CX53" s="12"/>
      <c r="DB53" s="12"/>
      <c r="DC53" s="12"/>
      <c r="DD53" s="12"/>
      <c r="DE53" s="12"/>
      <c r="DI53" s="12"/>
      <c r="DJ53" s="12"/>
      <c r="DK53" s="12"/>
      <c r="DL53" s="12"/>
    </row>
    <row r="54" spans="2:116" outlineLevel="1">
      <c r="B54" t="s">
        <v>28</v>
      </c>
      <c r="E54" s="11"/>
      <c r="F54" t="s">
        <v>106</v>
      </c>
      <c r="G54" s="12">
        <v>0.09</v>
      </c>
      <c r="I54" s="11">
        <f t="shared" si="8"/>
        <v>6</v>
      </c>
      <c r="J54" s="13">
        <f t="shared" si="9"/>
        <v>0.3</v>
      </c>
      <c r="K54" s="13">
        <f t="shared" si="9"/>
        <v>0</v>
      </c>
      <c r="L54" s="11"/>
      <c r="N54">
        <v>3</v>
      </c>
      <c r="O54" s="12">
        <v>0.3</v>
      </c>
      <c r="P54" s="12">
        <v>0.3</v>
      </c>
      <c r="Q54" s="12"/>
      <c r="R54" s="12">
        <v>0.3</v>
      </c>
      <c r="V54" s="12"/>
      <c r="W54" s="12">
        <v>0.5</v>
      </c>
      <c r="X54" s="12"/>
      <c r="Y54" s="12">
        <v>0.5</v>
      </c>
      <c r="AC54" s="12"/>
      <c r="AD54" s="12"/>
      <c r="AE54" s="12"/>
      <c r="AF54" s="12"/>
      <c r="AI54">
        <v>1</v>
      </c>
      <c r="AJ54" s="12"/>
      <c r="AK54" s="12">
        <v>0.5</v>
      </c>
      <c r="AL54" s="12"/>
      <c r="AM54" s="12">
        <v>0.5</v>
      </c>
      <c r="AQ54" s="12"/>
      <c r="AR54" s="12">
        <v>0.5</v>
      </c>
      <c r="AS54" s="12"/>
      <c r="AT54" s="12">
        <v>0.5</v>
      </c>
      <c r="AX54" s="12"/>
      <c r="AY54" s="12">
        <v>0.5</v>
      </c>
      <c r="AZ54" s="12"/>
      <c r="BA54" s="12">
        <v>0.5</v>
      </c>
      <c r="BE54" s="12"/>
      <c r="BF54" s="12">
        <v>0.5</v>
      </c>
      <c r="BG54" s="12"/>
      <c r="BH54" s="12">
        <v>0.5</v>
      </c>
      <c r="BK54">
        <v>1</v>
      </c>
      <c r="BL54" s="12"/>
      <c r="BM54" s="12">
        <v>0.7</v>
      </c>
      <c r="BN54" s="12"/>
      <c r="BO54" s="12">
        <v>0.7</v>
      </c>
      <c r="BS54" s="12"/>
      <c r="BT54" s="12">
        <v>0.7</v>
      </c>
      <c r="BU54" s="12"/>
      <c r="BV54" s="12">
        <v>0.7</v>
      </c>
      <c r="BZ54" s="12"/>
      <c r="CA54" s="12">
        <v>0.7</v>
      </c>
      <c r="CB54" s="12"/>
      <c r="CC54" s="12">
        <v>0.7</v>
      </c>
      <c r="CF54">
        <v>1</v>
      </c>
      <c r="CG54" s="12"/>
      <c r="CH54" s="12">
        <v>1</v>
      </c>
      <c r="CI54" s="12"/>
      <c r="CJ54" s="12">
        <v>1</v>
      </c>
      <c r="CN54" s="12"/>
      <c r="CO54" s="12"/>
      <c r="CP54" s="12"/>
      <c r="CQ54" s="12"/>
      <c r="CU54" s="12"/>
      <c r="CV54" s="12"/>
      <c r="CW54" s="12"/>
      <c r="CX54" s="12"/>
      <c r="DB54" s="12"/>
      <c r="DC54" s="12"/>
      <c r="DD54" s="12"/>
      <c r="DE54" s="12"/>
      <c r="DI54" s="12"/>
      <c r="DJ54" s="12"/>
      <c r="DK54" s="12"/>
      <c r="DL54" s="12"/>
    </row>
    <row r="55" spans="2:116" outlineLevel="1">
      <c r="B55" t="s">
        <v>28</v>
      </c>
      <c r="E55" s="11"/>
      <c r="F55" t="s">
        <v>107</v>
      </c>
      <c r="G55" s="12">
        <v>0.09</v>
      </c>
      <c r="I55" s="11">
        <f t="shared" si="8"/>
        <v>3</v>
      </c>
      <c r="J55" s="13">
        <f t="shared" si="9"/>
        <v>0</v>
      </c>
      <c r="K55" s="13">
        <f t="shared" si="9"/>
        <v>0</v>
      </c>
      <c r="L55" s="11"/>
      <c r="O55" s="12"/>
      <c r="P55" s="12"/>
      <c r="Q55" s="12"/>
      <c r="R55" s="12"/>
      <c r="V55" s="12"/>
      <c r="W55" s="12">
        <v>0.3</v>
      </c>
      <c r="X55" s="12"/>
      <c r="Y55" s="12">
        <v>0.3</v>
      </c>
      <c r="AC55" s="12"/>
      <c r="AD55" s="12"/>
      <c r="AE55" s="12"/>
      <c r="AF55" s="12"/>
      <c r="AI55">
        <v>1</v>
      </c>
      <c r="AJ55" s="12"/>
      <c r="AK55" s="12">
        <v>0.5</v>
      </c>
      <c r="AL55" s="12"/>
      <c r="AM55" s="12">
        <v>0.5</v>
      </c>
      <c r="AQ55" s="12"/>
      <c r="AR55" s="12">
        <v>0.5</v>
      </c>
      <c r="AS55" s="12"/>
      <c r="AT55" s="12">
        <v>0.5</v>
      </c>
      <c r="AX55" s="12"/>
      <c r="AY55" s="12">
        <v>0.5</v>
      </c>
      <c r="AZ55" s="12"/>
      <c r="BA55" s="12">
        <v>0.5</v>
      </c>
      <c r="BE55" s="12"/>
      <c r="BF55" s="12">
        <v>0.5</v>
      </c>
      <c r="BG55" s="12"/>
      <c r="BH55" s="12">
        <v>0.5</v>
      </c>
      <c r="BK55">
        <v>1</v>
      </c>
      <c r="BL55" s="12"/>
      <c r="BM55" s="12">
        <v>0.7</v>
      </c>
      <c r="BN55" s="12"/>
      <c r="BO55" s="12">
        <v>0.7</v>
      </c>
      <c r="BS55" s="12"/>
      <c r="BT55" s="12">
        <v>0.7</v>
      </c>
      <c r="BU55" s="12"/>
      <c r="BV55" s="12">
        <v>0.7</v>
      </c>
      <c r="BZ55" s="12"/>
      <c r="CA55" s="12">
        <v>0.7</v>
      </c>
      <c r="CB55" s="12"/>
      <c r="CC55" s="12">
        <v>0.7</v>
      </c>
      <c r="CF55">
        <v>1</v>
      </c>
      <c r="CG55" s="12"/>
      <c r="CH55" s="12">
        <v>1</v>
      </c>
      <c r="CI55" s="12"/>
      <c r="CJ55" s="12">
        <v>1</v>
      </c>
      <c r="CN55" s="12"/>
      <c r="CO55" s="12"/>
      <c r="CP55" s="12"/>
      <c r="CQ55" s="12"/>
      <c r="CU55" s="12"/>
      <c r="CV55" s="12"/>
      <c r="CW55" s="12"/>
      <c r="CX55" s="12"/>
      <c r="DB55" s="12"/>
      <c r="DC55" s="12"/>
      <c r="DD55" s="12"/>
      <c r="DE55" s="12"/>
      <c r="DI55" s="12"/>
      <c r="DJ55" s="12"/>
      <c r="DK55" s="12"/>
      <c r="DL55" s="12"/>
    </row>
    <row r="56" spans="2:116" outlineLevel="1">
      <c r="B56" t="s">
        <v>28</v>
      </c>
      <c r="E56" s="11"/>
      <c r="F56" t="s">
        <v>108</v>
      </c>
      <c r="G56" s="12">
        <v>0.09</v>
      </c>
      <c r="I56" s="11">
        <f t="shared" si="8"/>
        <v>2</v>
      </c>
      <c r="J56" s="13">
        <f t="shared" si="9"/>
        <v>0</v>
      </c>
      <c r="K56" s="13">
        <f t="shared" si="9"/>
        <v>0</v>
      </c>
      <c r="L56" s="11"/>
      <c r="O56" s="12"/>
      <c r="P56" s="12"/>
      <c r="Q56" s="12"/>
      <c r="R56" s="12"/>
      <c r="V56" s="12"/>
      <c r="W56" s="12">
        <v>0.3</v>
      </c>
      <c r="X56" s="12"/>
      <c r="Y56" s="12">
        <v>0.3</v>
      </c>
      <c r="AC56" s="12"/>
      <c r="AD56" s="12"/>
      <c r="AE56" s="12"/>
      <c r="AF56" s="12"/>
      <c r="AJ56" s="12"/>
      <c r="AK56" s="12"/>
      <c r="AL56" s="12"/>
      <c r="AM56" s="12"/>
      <c r="AP56">
        <v>1</v>
      </c>
      <c r="AQ56" s="12"/>
      <c r="AR56" s="12">
        <v>0.5</v>
      </c>
      <c r="AS56" s="12"/>
      <c r="AT56" s="12">
        <v>0.5</v>
      </c>
      <c r="AX56" s="12"/>
      <c r="AY56" s="12">
        <v>0.5</v>
      </c>
      <c r="AZ56" s="12"/>
      <c r="BA56" s="12">
        <v>0.5</v>
      </c>
      <c r="BE56" s="12"/>
      <c r="BF56" s="12">
        <v>0.5</v>
      </c>
      <c r="BG56" s="12"/>
      <c r="BH56" s="12">
        <v>0.5</v>
      </c>
      <c r="BL56" s="12"/>
      <c r="BM56" s="12">
        <v>0.5</v>
      </c>
      <c r="BN56" s="12"/>
      <c r="BO56" s="12">
        <v>0.5</v>
      </c>
      <c r="BR56">
        <v>1</v>
      </c>
      <c r="BS56" s="12"/>
      <c r="BT56" s="12">
        <v>0.7</v>
      </c>
      <c r="BU56" s="12"/>
      <c r="BV56" s="12">
        <v>0.7</v>
      </c>
      <c r="BZ56" s="12"/>
      <c r="CA56" s="12">
        <v>0.7</v>
      </c>
      <c r="CB56" s="12"/>
      <c r="CC56" s="12">
        <v>0.7</v>
      </c>
      <c r="CG56" s="12"/>
      <c r="CH56" s="12">
        <v>0.7</v>
      </c>
      <c r="CI56" s="12"/>
      <c r="CJ56" s="12">
        <v>0.7</v>
      </c>
      <c r="CN56" s="12"/>
      <c r="CO56" s="12"/>
      <c r="CP56" s="12"/>
      <c r="CQ56" s="12"/>
      <c r="CU56" s="12"/>
      <c r="CV56" s="12"/>
      <c r="CW56" s="12"/>
      <c r="CX56" s="12"/>
      <c r="DB56" s="12"/>
      <c r="DC56" s="12"/>
      <c r="DD56" s="12"/>
      <c r="DE56" s="12"/>
      <c r="DI56" s="12"/>
      <c r="DJ56" s="12"/>
      <c r="DK56" s="12"/>
      <c r="DL56" s="12"/>
    </row>
    <row r="57" spans="2:116" outlineLevel="1">
      <c r="B57" t="s">
        <v>28</v>
      </c>
      <c r="E57" s="11"/>
      <c r="F57" t="s">
        <v>109</v>
      </c>
      <c r="G57" s="12">
        <v>0.09</v>
      </c>
      <c r="I57" s="11">
        <f t="shared" si="8"/>
        <v>2</v>
      </c>
      <c r="J57" s="13">
        <f t="shared" si="9"/>
        <v>0</v>
      </c>
      <c r="K57" s="13">
        <f t="shared" si="9"/>
        <v>0</v>
      </c>
      <c r="L57" s="11"/>
      <c r="O57" s="12"/>
      <c r="P57" s="12"/>
      <c r="Q57" s="12"/>
      <c r="R57" s="12"/>
      <c r="V57" s="12"/>
      <c r="W57" s="12"/>
      <c r="X57" s="12"/>
      <c r="Y57" s="12"/>
      <c r="AC57" s="12"/>
      <c r="AD57" s="12"/>
      <c r="AE57" s="12"/>
      <c r="AF57" s="12"/>
      <c r="AJ57" s="12"/>
      <c r="AK57" s="12"/>
      <c r="AL57" s="12"/>
      <c r="AM57" s="12"/>
      <c r="AP57">
        <v>1</v>
      </c>
      <c r="AQ57" s="12"/>
      <c r="AR57" s="12">
        <v>0.5</v>
      </c>
      <c r="AS57" s="12"/>
      <c r="AT57" s="12">
        <v>0.5</v>
      </c>
      <c r="AX57" s="12"/>
      <c r="AY57" s="12">
        <v>0.5</v>
      </c>
      <c r="AZ57" s="12"/>
      <c r="BA57" s="12">
        <v>0.5</v>
      </c>
      <c r="BE57" s="12"/>
      <c r="BF57" s="12">
        <v>0.5</v>
      </c>
      <c r="BG57" s="12"/>
      <c r="BH57" s="12">
        <v>0.5</v>
      </c>
      <c r="BL57" s="12"/>
      <c r="BM57" s="12">
        <v>0.5</v>
      </c>
      <c r="BN57" s="12"/>
      <c r="BO57" s="12">
        <v>0.5</v>
      </c>
      <c r="BR57">
        <v>1</v>
      </c>
      <c r="BS57" s="12"/>
      <c r="BT57" s="12">
        <v>0.7</v>
      </c>
      <c r="BU57" s="12"/>
      <c r="BV57" s="12">
        <v>0.7</v>
      </c>
      <c r="BZ57" s="12"/>
      <c r="CA57" s="12">
        <v>0.7</v>
      </c>
      <c r="CB57" s="12"/>
      <c r="CC57" s="12">
        <v>0.7</v>
      </c>
      <c r="CG57" s="12"/>
      <c r="CH57" s="12">
        <v>0.7</v>
      </c>
      <c r="CI57" s="12"/>
      <c r="CJ57" s="12">
        <v>0.7</v>
      </c>
      <c r="CN57" s="12"/>
      <c r="CO57" s="12"/>
      <c r="CP57" s="12"/>
      <c r="CQ57" s="12"/>
      <c r="CU57" s="12"/>
      <c r="CV57" s="12"/>
      <c r="CW57" s="12"/>
      <c r="CX57" s="12"/>
      <c r="DB57" s="12"/>
      <c r="DC57" s="12"/>
      <c r="DD57" s="12"/>
      <c r="DE57" s="12"/>
      <c r="DI57" s="12"/>
      <c r="DJ57" s="12"/>
      <c r="DK57" s="12"/>
      <c r="DL57" s="12"/>
    </row>
    <row r="58" spans="2:116" outlineLevel="1">
      <c r="B58" t="s">
        <v>28</v>
      </c>
      <c r="E58" s="11"/>
      <c r="F58" t="s">
        <v>110</v>
      </c>
      <c r="G58" s="12">
        <v>0.09</v>
      </c>
      <c r="I58" s="11">
        <f t="shared" si="8"/>
        <v>2</v>
      </c>
      <c r="J58" s="13">
        <f t="shared" si="9"/>
        <v>0</v>
      </c>
      <c r="K58" s="13">
        <f t="shared" si="9"/>
        <v>0</v>
      </c>
      <c r="L58" s="11"/>
      <c r="O58" s="12"/>
      <c r="P58" s="12"/>
      <c r="Q58" s="12"/>
      <c r="R58" s="12"/>
      <c r="V58" s="12"/>
      <c r="W58" s="12"/>
      <c r="X58" s="12"/>
      <c r="Y58" s="12"/>
      <c r="AC58" s="12"/>
      <c r="AD58" s="12"/>
      <c r="AE58" s="12"/>
      <c r="AF58" s="12"/>
      <c r="AJ58" s="12"/>
      <c r="AK58" s="12"/>
      <c r="AL58" s="12"/>
      <c r="AM58" s="12"/>
      <c r="AQ58" s="12"/>
      <c r="AR58" s="12"/>
      <c r="AS58" s="12"/>
      <c r="AT58" s="12"/>
      <c r="AW58">
        <v>1</v>
      </c>
      <c r="AX58" s="12"/>
      <c r="AY58" s="12">
        <v>0.5</v>
      </c>
      <c r="AZ58" s="12"/>
      <c r="BA58" s="12">
        <v>0.5</v>
      </c>
      <c r="BE58" s="12"/>
      <c r="BF58" s="12">
        <v>0.5</v>
      </c>
      <c r="BG58" s="12"/>
      <c r="BH58" s="12">
        <v>0.5</v>
      </c>
      <c r="BL58" s="12"/>
      <c r="BM58" s="12">
        <v>0.5</v>
      </c>
      <c r="BN58" s="12"/>
      <c r="BO58" s="12">
        <v>0.5</v>
      </c>
      <c r="BS58" s="12"/>
      <c r="BT58" s="12">
        <v>0.5</v>
      </c>
      <c r="BU58" s="12"/>
      <c r="BV58" s="12">
        <v>0.5</v>
      </c>
      <c r="BY58">
        <v>1</v>
      </c>
      <c r="BZ58" s="12"/>
      <c r="CA58" s="12">
        <v>0.7</v>
      </c>
      <c r="CB58" s="12"/>
      <c r="CC58" s="12">
        <v>0.7</v>
      </c>
      <c r="CG58" s="12"/>
      <c r="CH58" s="12">
        <v>0.7</v>
      </c>
      <c r="CI58" s="12"/>
      <c r="CJ58" s="12">
        <v>0.7</v>
      </c>
      <c r="CN58" s="12"/>
      <c r="CO58" s="12"/>
      <c r="CP58" s="12"/>
      <c r="CQ58" s="12"/>
      <c r="CU58" s="12"/>
      <c r="CV58" s="12"/>
      <c r="CW58" s="12"/>
      <c r="CX58" s="12"/>
      <c r="DB58" s="12"/>
      <c r="DC58" s="12"/>
      <c r="DD58" s="12"/>
      <c r="DE58" s="12"/>
      <c r="DI58" s="12"/>
      <c r="DJ58" s="12"/>
      <c r="DK58" s="12"/>
      <c r="DL58" s="12"/>
    </row>
    <row r="59" spans="2:116" outlineLevel="1">
      <c r="B59" t="s">
        <v>28</v>
      </c>
      <c r="E59" s="11"/>
      <c r="F59" t="s">
        <v>111</v>
      </c>
      <c r="G59" s="12">
        <v>0.09</v>
      </c>
      <c r="I59" s="11">
        <f t="shared" si="8"/>
        <v>2</v>
      </c>
      <c r="J59" s="13">
        <f t="shared" si="9"/>
        <v>0</v>
      </c>
      <c r="K59" s="13">
        <f t="shared" si="9"/>
        <v>0</v>
      </c>
      <c r="L59" s="11"/>
      <c r="O59" s="12"/>
      <c r="P59" s="12"/>
      <c r="Q59" s="12"/>
      <c r="R59" s="12"/>
      <c r="V59" s="12"/>
      <c r="W59" s="12"/>
      <c r="X59" s="12"/>
      <c r="Y59" s="12"/>
      <c r="AC59" s="12"/>
      <c r="AD59" s="12"/>
      <c r="AE59" s="12"/>
      <c r="AF59" s="12"/>
      <c r="AJ59" s="12"/>
      <c r="AK59" s="12"/>
      <c r="AL59" s="12"/>
      <c r="AM59" s="12"/>
      <c r="AQ59" s="12"/>
      <c r="AR59" s="12"/>
      <c r="AS59" s="12"/>
      <c r="AT59" s="12"/>
      <c r="AW59">
        <v>1</v>
      </c>
      <c r="AX59" s="12"/>
      <c r="AY59" s="12">
        <v>0.5</v>
      </c>
      <c r="AZ59" s="12"/>
      <c r="BA59" s="12">
        <v>0.5</v>
      </c>
      <c r="BE59" s="12"/>
      <c r="BF59" s="12">
        <v>0.5</v>
      </c>
      <c r="BG59" s="12"/>
      <c r="BH59" s="12">
        <v>0.5</v>
      </c>
      <c r="BL59" s="12"/>
      <c r="BM59" s="12">
        <v>0.5</v>
      </c>
      <c r="BN59" s="12"/>
      <c r="BO59" s="12">
        <v>0.5</v>
      </c>
      <c r="BS59" s="12"/>
      <c r="BT59" s="12">
        <v>0.5</v>
      </c>
      <c r="BU59" s="12"/>
      <c r="BV59" s="12">
        <v>0.5</v>
      </c>
      <c r="BY59">
        <v>1</v>
      </c>
      <c r="BZ59" s="12"/>
      <c r="CA59" s="12">
        <v>0.7</v>
      </c>
      <c r="CB59" s="12"/>
      <c r="CC59" s="12">
        <v>0.7</v>
      </c>
      <c r="CG59" s="12"/>
      <c r="CH59" s="12">
        <v>0.7</v>
      </c>
      <c r="CI59" s="12"/>
      <c r="CJ59" s="12">
        <v>0.7</v>
      </c>
      <c r="CN59" s="12"/>
      <c r="CO59" s="12"/>
      <c r="CP59" s="12"/>
      <c r="CQ59" s="12"/>
      <c r="CU59" s="12"/>
      <c r="CV59" s="12"/>
      <c r="CW59" s="12"/>
      <c r="CX59" s="12"/>
      <c r="DB59" s="12"/>
      <c r="DC59" s="12"/>
      <c r="DD59" s="12"/>
      <c r="DE59" s="12"/>
      <c r="DI59" s="12"/>
      <c r="DJ59" s="12"/>
      <c r="DK59" s="12"/>
      <c r="DL59" s="12"/>
    </row>
    <row r="60" spans="2:116" outlineLevel="1">
      <c r="B60" t="s">
        <v>28</v>
      </c>
      <c r="E60" s="11"/>
      <c r="F60" t="s">
        <v>112</v>
      </c>
      <c r="G60" s="12">
        <v>0.09</v>
      </c>
      <c r="I60" s="11">
        <f t="shared" si="8"/>
        <v>2</v>
      </c>
      <c r="J60" s="13">
        <f t="shared" si="9"/>
        <v>0</v>
      </c>
      <c r="K60" s="13">
        <f t="shared" si="9"/>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D60">
        <v>1</v>
      </c>
      <c r="BE60" s="12"/>
      <c r="BF60" s="12">
        <v>0.5</v>
      </c>
      <c r="BG60" s="12"/>
      <c r="BH60" s="12">
        <v>0.5</v>
      </c>
      <c r="BL60" s="12"/>
      <c r="BM60" s="12">
        <v>0.5</v>
      </c>
      <c r="BN60" s="12"/>
      <c r="BO60" s="12">
        <v>0.5</v>
      </c>
      <c r="BS60" s="12"/>
      <c r="BT60" s="12">
        <v>0.5</v>
      </c>
      <c r="BU60" s="12"/>
      <c r="BV60" s="12">
        <v>0.5</v>
      </c>
      <c r="BZ60" s="12"/>
      <c r="CA60" s="12">
        <v>0.5</v>
      </c>
      <c r="CB60" s="12"/>
      <c r="CC60" s="12">
        <v>0.5</v>
      </c>
      <c r="CF60">
        <v>1</v>
      </c>
      <c r="CG60" s="12"/>
      <c r="CH60" s="12">
        <v>0.7</v>
      </c>
      <c r="CI60" s="12"/>
      <c r="CJ60" s="12">
        <v>0.7</v>
      </c>
      <c r="CN60" s="12"/>
      <c r="CO60" s="12"/>
      <c r="CP60" s="12"/>
      <c r="CQ60" s="12"/>
      <c r="CU60" s="12"/>
      <c r="CV60" s="12"/>
      <c r="CW60" s="12"/>
      <c r="CX60" s="12"/>
      <c r="DB60" s="12"/>
      <c r="DC60" s="12"/>
      <c r="DD60" s="12"/>
      <c r="DE60" s="12"/>
      <c r="DI60" s="12"/>
      <c r="DJ60" s="12"/>
      <c r="DK60" s="12"/>
      <c r="DL60" s="12"/>
    </row>
    <row r="62" spans="2:116">
      <c r="B62" t="s">
        <v>27</v>
      </c>
      <c r="C62" t="s">
        <v>66</v>
      </c>
      <c r="E62" s="11">
        <v>3</v>
      </c>
      <c r="G62" s="12">
        <f>+SUM(G63:G67)</f>
        <v>1</v>
      </c>
      <c r="I62" s="14">
        <f>+SUM(I63:I67)</f>
        <v>27</v>
      </c>
      <c r="J62" s="13">
        <f>+SUMPRODUCT(G63:G67,J63:J67)</f>
        <v>0</v>
      </c>
      <c r="K62" s="13">
        <f>+SUMPRODUCT(G63:G67,K63:K67)</f>
        <v>0</v>
      </c>
      <c r="L62" s="11"/>
      <c r="N62" s="14">
        <f>+SUM(N63:N67)</f>
        <v>0</v>
      </c>
      <c r="U62" s="14">
        <f>+SUM(U63:U67)</f>
        <v>0</v>
      </c>
      <c r="AB62" s="14">
        <f>+SUM(AB63:AB67)</f>
        <v>3</v>
      </c>
      <c r="AI62" s="14">
        <f>+SUM(AI63:AI67)</f>
        <v>3</v>
      </c>
      <c r="AP62" s="14">
        <f>+SUM(AP63:AP67)</f>
        <v>3</v>
      </c>
      <c r="AW62" s="14">
        <f>+SUM(AW63:AW67)</f>
        <v>3</v>
      </c>
      <c r="BD62" s="14">
        <f>+SUM(BD63:BD67)</f>
        <v>3</v>
      </c>
      <c r="BK62" s="14">
        <f>+SUM(BK63:BK67)</f>
        <v>3</v>
      </c>
      <c r="BR62" s="14">
        <f>+SUM(BR63:BR67)</f>
        <v>3</v>
      </c>
      <c r="BY62" s="14">
        <f>+SUM(BY63:BY65)</f>
        <v>3</v>
      </c>
      <c r="CF62" s="14">
        <f>+SUM(CF63:CF67)</f>
        <v>3</v>
      </c>
      <c r="CM62" s="14">
        <f>+SUM(CM63:CM67)</f>
        <v>0</v>
      </c>
      <c r="CT62" s="14">
        <f>+SUM(CT63:CT67)</f>
        <v>0</v>
      </c>
      <c r="DA62" s="14">
        <f>+SUM(DA63:DA67)</f>
        <v>0</v>
      </c>
      <c r="DH62" s="14">
        <f>+SUM(DH63:DH67)</f>
        <v>0</v>
      </c>
    </row>
    <row r="63" spans="2:116" outlineLevel="1">
      <c r="B63" t="s">
        <v>28</v>
      </c>
      <c r="E63" s="11"/>
      <c r="F63" t="s">
        <v>113</v>
      </c>
      <c r="G63" s="12">
        <v>0.2</v>
      </c>
      <c r="I63" s="11">
        <f>+SUMIF($N$3:$ZZ$3,I$3,$N63:$ZZ63)</f>
        <v>6</v>
      </c>
      <c r="J63" s="13">
        <f t="shared" ref="J63:K67" si="10">+_xlfn.MAXIFS($N63:$ZF63,$N$3:$ZF$3,J$3)</f>
        <v>0</v>
      </c>
      <c r="K63" s="13">
        <f t="shared" si="10"/>
        <v>0</v>
      </c>
      <c r="L63" s="11"/>
      <c r="O63" s="12"/>
      <c r="P63" s="12"/>
      <c r="Q63" s="12"/>
      <c r="R63" s="12"/>
      <c r="V63" s="12"/>
      <c r="W63" s="12"/>
      <c r="X63" s="12"/>
      <c r="Y63" s="12"/>
      <c r="AB63">
        <v>1.5</v>
      </c>
      <c r="AC63" s="12"/>
      <c r="AD63" s="12">
        <v>0.5</v>
      </c>
      <c r="AE63" s="12"/>
      <c r="AF63" s="12">
        <v>0.5</v>
      </c>
      <c r="AJ63" s="12"/>
      <c r="AK63" s="12">
        <v>0.5</v>
      </c>
      <c r="AL63" s="12"/>
      <c r="AM63" s="12">
        <v>0.5</v>
      </c>
      <c r="AP63">
        <v>1.5</v>
      </c>
      <c r="AQ63" s="12"/>
      <c r="AR63" s="12">
        <v>0.7</v>
      </c>
      <c r="AS63" s="12"/>
      <c r="AT63" s="12">
        <v>0.7</v>
      </c>
      <c r="AX63" s="12"/>
      <c r="AY63" s="12">
        <v>0.7</v>
      </c>
      <c r="AZ63" s="12"/>
      <c r="BA63" s="12">
        <v>0.7</v>
      </c>
      <c r="BE63" s="12"/>
      <c r="BF63" s="12">
        <v>0.7</v>
      </c>
      <c r="BG63" s="12"/>
      <c r="BH63" s="12">
        <v>0.7</v>
      </c>
      <c r="BK63">
        <v>3</v>
      </c>
      <c r="BL63" s="12"/>
      <c r="BM63" s="12">
        <v>1</v>
      </c>
      <c r="BN63" s="12"/>
      <c r="BO63" s="12">
        <v>1</v>
      </c>
      <c r="BS63" s="12"/>
      <c r="BT63" s="12">
        <v>1</v>
      </c>
      <c r="BU63" s="12"/>
      <c r="BV63" s="12">
        <v>1</v>
      </c>
      <c r="BZ63" s="12"/>
      <c r="CA63" s="12">
        <v>1</v>
      </c>
      <c r="CB63" s="12"/>
      <c r="CC63" s="12">
        <v>1</v>
      </c>
      <c r="CG63" s="12"/>
      <c r="CH63" s="12">
        <v>1</v>
      </c>
      <c r="CI63" s="12"/>
      <c r="CJ63" s="12">
        <v>1</v>
      </c>
      <c r="CN63" s="12"/>
      <c r="CO63" s="12"/>
      <c r="CP63" s="12"/>
      <c r="CQ63" s="12"/>
      <c r="CU63" s="12"/>
      <c r="CV63" s="12"/>
      <c r="CW63" s="12"/>
      <c r="CX63" s="12"/>
      <c r="DB63" s="12"/>
      <c r="DC63" s="12"/>
      <c r="DD63" s="12"/>
      <c r="DE63" s="12"/>
      <c r="DI63" s="12"/>
      <c r="DJ63" s="12"/>
      <c r="DK63" s="12"/>
      <c r="DL63" s="12"/>
    </row>
    <row r="64" spans="2:116" outlineLevel="1">
      <c r="B64" t="s">
        <v>28</v>
      </c>
      <c r="E64" s="11"/>
      <c r="F64" t="s">
        <v>114</v>
      </c>
      <c r="G64" s="12">
        <v>0.2</v>
      </c>
      <c r="I64" s="11">
        <f t="shared" ref="I64:I67" si="11">+SUMIF($N$3:$ZZ$3,I$3,$N64:$ZZ64)</f>
        <v>4.5</v>
      </c>
      <c r="J64" s="13">
        <f t="shared" si="10"/>
        <v>0</v>
      </c>
      <c r="K64" s="13">
        <f t="shared" si="10"/>
        <v>0</v>
      </c>
      <c r="L64" s="11"/>
      <c r="O64" s="12"/>
      <c r="P64" s="12"/>
      <c r="Q64" s="12"/>
      <c r="R64" s="12"/>
      <c r="V64" s="12"/>
      <c r="W64" s="12"/>
      <c r="X64" s="12"/>
      <c r="Y64" s="12"/>
      <c r="AB64">
        <v>1.5</v>
      </c>
      <c r="AC64" s="12"/>
      <c r="AD64" s="12">
        <v>0.5</v>
      </c>
      <c r="AE64" s="12"/>
      <c r="AF64" s="12">
        <v>0.5</v>
      </c>
      <c r="AJ64" s="12"/>
      <c r="AK64" s="12">
        <v>0.5</v>
      </c>
      <c r="AL64" s="12"/>
      <c r="AM64" s="12">
        <v>0.5</v>
      </c>
      <c r="AQ64" s="12"/>
      <c r="AR64" s="12">
        <v>0.5</v>
      </c>
      <c r="AS64" s="12"/>
      <c r="AT64" s="12">
        <v>0.5</v>
      </c>
      <c r="AX64" s="12"/>
      <c r="AY64" s="12">
        <v>0.5</v>
      </c>
      <c r="AZ64" s="12"/>
      <c r="BA64" s="12">
        <v>0.5</v>
      </c>
      <c r="BD64">
        <v>1.5</v>
      </c>
      <c r="BE64" s="12"/>
      <c r="BF64" s="12">
        <v>0.7</v>
      </c>
      <c r="BG64" s="12"/>
      <c r="BH64" s="12">
        <v>0.7</v>
      </c>
      <c r="BL64" s="12"/>
      <c r="BM64" s="12">
        <v>0.7</v>
      </c>
      <c r="BN64" s="12"/>
      <c r="BO64" s="12">
        <v>0.7</v>
      </c>
      <c r="BS64" s="12"/>
      <c r="BT64" s="12">
        <v>0.7</v>
      </c>
      <c r="BU64" s="12"/>
      <c r="BV64" s="12">
        <v>0.7</v>
      </c>
      <c r="BY64">
        <v>1.5</v>
      </c>
      <c r="BZ64" s="12"/>
      <c r="CA64" s="12">
        <v>1</v>
      </c>
      <c r="CB64" s="12"/>
      <c r="CC64" s="12">
        <v>1</v>
      </c>
      <c r="CG64" s="12"/>
      <c r="CH64" s="12">
        <v>1</v>
      </c>
      <c r="CI64" s="12"/>
      <c r="CJ64" s="12">
        <v>1</v>
      </c>
      <c r="CN64" s="12"/>
      <c r="CO64" s="12"/>
      <c r="CP64" s="12"/>
      <c r="CQ64" s="12"/>
      <c r="CU64" s="12"/>
      <c r="CV64" s="12"/>
      <c r="CW64" s="12"/>
      <c r="CX64" s="12"/>
      <c r="DB64" s="12"/>
      <c r="DC64" s="12"/>
      <c r="DD64" s="12"/>
      <c r="DE64" s="12"/>
      <c r="DI64" s="12"/>
      <c r="DJ64" s="12"/>
      <c r="DK64" s="12"/>
      <c r="DL64" s="12"/>
    </row>
    <row r="65" spans="2:116" outlineLevel="1">
      <c r="B65" t="s">
        <v>28</v>
      </c>
      <c r="E65" s="11"/>
      <c r="F65" t="s">
        <v>115</v>
      </c>
      <c r="G65" s="12">
        <v>0.2</v>
      </c>
      <c r="I65" s="11">
        <f t="shared" si="11"/>
        <v>6</v>
      </c>
      <c r="J65" s="13">
        <f t="shared" si="10"/>
        <v>0</v>
      </c>
      <c r="K65" s="13">
        <f t="shared" si="10"/>
        <v>0</v>
      </c>
      <c r="L65" s="11"/>
      <c r="O65" s="12"/>
      <c r="P65" s="12"/>
      <c r="Q65" s="12"/>
      <c r="R65" s="12"/>
      <c r="V65" s="12"/>
      <c r="W65" s="12"/>
      <c r="X65" s="12"/>
      <c r="Y65" s="12"/>
      <c r="AC65" s="12"/>
      <c r="AD65" s="12"/>
      <c r="AE65" s="12"/>
      <c r="AF65" s="12"/>
      <c r="AI65">
        <v>3</v>
      </c>
      <c r="AJ65" s="12"/>
      <c r="AK65" s="12">
        <v>0.5</v>
      </c>
      <c r="AL65" s="12"/>
      <c r="AM65" s="12">
        <v>0.5</v>
      </c>
      <c r="AQ65" s="12"/>
      <c r="AR65" s="12">
        <v>0.5</v>
      </c>
      <c r="AS65" s="12"/>
      <c r="AT65" s="12">
        <v>0.5</v>
      </c>
      <c r="AX65" s="12"/>
      <c r="AY65" s="12">
        <v>0.5</v>
      </c>
      <c r="AZ65" s="12"/>
      <c r="BA65" s="12">
        <v>0.5</v>
      </c>
      <c r="BD65">
        <v>1.5</v>
      </c>
      <c r="BE65" s="12"/>
      <c r="BF65" s="12">
        <v>0.7</v>
      </c>
      <c r="BG65" s="12"/>
      <c r="BH65" s="12">
        <v>0.7</v>
      </c>
      <c r="BL65" s="12"/>
      <c r="BM65" s="12">
        <v>0.7</v>
      </c>
      <c r="BN65" s="12"/>
      <c r="BO65" s="12">
        <v>0.7</v>
      </c>
      <c r="BS65" s="12"/>
      <c r="BT65" s="12">
        <v>0.7</v>
      </c>
      <c r="BU65" s="12"/>
      <c r="BV65" s="12">
        <v>0.7</v>
      </c>
      <c r="BY65">
        <v>1.5</v>
      </c>
      <c r="BZ65" s="12"/>
      <c r="CA65" s="12">
        <v>1</v>
      </c>
      <c r="CB65" s="12"/>
      <c r="CC65" s="12">
        <v>1</v>
      </c>
      <c r="CG65" s="12"/>
      <c r="CH65" s="12">
        <v>1</v>
      </c>
      <c r="CI65" s="12"/>
      <c r="CJ65" s="12">
        <v>1</v>
      </c>
      <c r="CN65" s="12"/>
      <c r="CO65" s="12"/>
      <c r="CP65" s="12"/>
      <c r="CQ65" s="12"/>
      <c r="CU65" s="12"/>
      <c r="CV65" s="12"/>
      <c r="CW65" s="12"/>
      <c r="CX65" s="12"/>
      <c r="DB65" s="12"/>
      <c r="DC65" s="12"/>
      <c r="DD65" s="12"/>
      <c r="DE65" s="12"/>
      <c r="DI65" s="12"/>
      <c r="DJ65" s="12"/>
      <c r="DK65" s="12"/>
      <c r="DL65" s="12"/>
    </row>
    <row r="66" spans="2:116" outlineLevel="1">
      <c r="B66" t="s">
        <v>28</v>
      </c>
      <c r="E66" s="11"/>
      <c r="F66" t="s">
        <v>116</v>
      </c>
      <c r="G66" s="12">
        <v>0.2</v>
      </c>
      <c r="I66" s="11">
        <f t="shared" si="11"/>
        <v>4.5</v>
      </c>
      <c r="J66" s="13">
        <f t="shared" si="10"/>
        <v>0</v>
      </c>
      <c r="K66" s="13">
        <f t="shared" si="10"/>
        <v>0</v>
      </c>
      <c r="L66" s="11"/>
      <c r="O66" s="12"/>
      <c r="P66" s="12"/>
      <c r="Q66" s="12"/>
      <c r="R66" s="12"/>
      <c r="V66" s="12"/>
      <c r="W66" s="12"/>
      <c r="X66" s="12"/>
      <c r="Y66" s="12"/>
      <c r="AC66" s="12"/>
      <c r="AD66" s="12"/>
      <c r="AE66" s="12"/>
      <c r="AF66" s="12"/>
      <c r="AJ66" s="12"/>
      <c r="AK66" s="12"/>
      <c r="AL66" s="12"/>
      <c r="AM66" s="12"/>
      <c r="AP66">
        <v>1.5</v>
      </c>
      <c r="AQ66" s="12"/>
      <c r="AR66" s="12">
        <v>0.5</v>
      </c>
      <c r="AS66" s="12"/>
      <c r="AT66" s="12">
        <v>0.5</v>
      </c>
      <c r="AX66" s="12"/>
      <c r="AY66" s="12">
        <v>0.5</v>
      </c>
      <c r="AZ66" s="12"/>
      <c r="BA66" s="12">
        <v>0.5</v>
      </c>
      <c r="BE66" s="12"/>
      <c r="BF66" s="12">
        <v>0.5</v>
      </c>
      <c r="BG66" s="12"/>
      <c r="BH66" s="12">
        <v>0.5</v>
      </c>
      <c r="BL66" s="12"/>
      <c r="BM66" s="12">
        <v>0.5</v>
      </c>
      <c r="BN66" s="12"/>
      <c r="BO66" s="12">
        <v>0.5</v>
      </c>
      <c r="BR66">
        <v>1.5</v>
      </c>
      <c r="BS66" s="12"/>
      <c r="BT66" s="12">
        <v>0.7</v>
      </c>
      <c r="BU66" s="12"/>
      <c r="BV66" s="12">
        <v>0.7</v>
      </c>
      <c r="BZ66" s="12"/>
      <c r="CA66" s="12">
        <v>0.7</v>
      </c>
      <c r="CB66" s="12"/>
      <c r="CC66" s="12">
        <v>0.7</v>
      </c>
      <c r="CF66">
        <v>1.5</v>
      </c>
      <c r="CG66" s="12"/>
      <c r="CH66" s="12">
        <v>1</v>
      </c>
      <c r="CI66" s="12"/>
      <c r="CJ66" s="12">
        <v>1</v>
      </c>
      <c r="CN66" s="12"/>
      <c r="CO66" s="12"/>
      <c r="CP66" s="12"/>
      <c r="CQ66" s="12"/>
      <c r="CU66" s="12"/>
      <c r="CV66" s="12"/>
      <c r="CW66" s="12"/>
      <c r="CX66" s="12"/>
      <c r="DB66" s="12"/>
      <c r="DC66" s="12"/>
      <c r="DD66" s="12"/>
      <c r="DE66" s="12"/>
      <c r="DI66" s="12"/>
      <c r="DJ66" s="12"/>
      <c r="DK66" s="12"/>
      <c r="DL66" s="12"/>
    </row>
    <row r="67" spans="2:116" outlineLevel="1">
      <c r="B67" t="s">
        <v>28</v>
      </c>
      <c r="E67" s="11"/>
      <c r="F67" t="s">
        <v>117</v>
      </c>
      <c r="G67" s="12">
        <v>0.2</v>
      </c>
      <c r="I67" s="11">
        <f t="shared" si="11"/>
        <v>6</v>
      </c>
      <c r="J67" s="13">
        <f t="shared" si="10"/>
        <v>0</v>
      </c>
      <c r="K67" s="13">
        <f t="shared" si="10"/>
        <v>0</v>
      </c>
      <c r="L67" s="11"/>
      <c r="O67" s="12"/>
      <c r="P67" s="12"/>
      <c r="Q67" s="12"/>
      <c r="R67" s="12"/>
      <c r="V67" s="12"/>
      <c r="W67" s="12"/>
      <c r="X67" s="12"/>
      <c r="Y67" s="12"/>
      <c r="AC67" s="12"/>
      <c r="AD67" s="12"/>
      <c r="AE67" s="12"/>
      <c r="AF67" s="12"/>
      <c r="AJ67" s="12"/>
      <c r="AK67" s="12"/>
      <c r="AL67" s="12"/>
      <c r="AM67" s="12"/>
      <c r="AQ67" s="12"/>
      <c r="AR67" s="12"/>
      <c r="AS67" s="12"/>
      <c r="AT67" s="12"/>
      <c r="AW67">
        <v>3</v>
      </c>
      <c r="AX67" s="12"/>
      <c r="AY67" s="12">
        <v>0.5</v>
      </c>
      <c r="AZ67" s="12"/>
      <c r="BA67" s="12">
        <v>0.5</v>
      </c>
      <c r="BE67" s="12"/>
      <c r="BF67" s="12">
        <v>0.5</v>
      </c>
      <c r="BG67" s="12"/>
      <c r="BH67" s="12">
        <v>0.5</v>
      </c>
      <c r="BL67" s="12"/>
      <c r="BM67" s="12">
        <v>0.5</v>
      </c>
      <c r="BN67" s="12"/>
      <c r="BO67" s="12">
        <v>0.5</v>
      </c>
      <c r="BR67">
        <v>1.5</v>
      </c>
      <c r="BS67" s="12"/>
      <c r="BT67" s="12">
        <v>0.7</v>
      </c>
      <c r="BU67" s="12"/>
      <c r="BV67" s="12">
        <v>0.7</v>
      </c>
      <c r="BZ67" s="12"/>
      <c r="CA67" s="12">
        <v>0.7</v>
      </c>
      <c r="CB67" s="12"/>
      <c r="CC67" s="12">
        <v>0.7</v>
      </c>
      <c r="CF67">
        <v>1.5</v>
      </c>
      <c r="CG67" s="12"/>
      <c r="CH67" s="12">
        <v>1</v>
      </c>
      <c r="CI67" s="12"/>
      <c r="CJ67" s="12">
        <v>1</v>
      </c>
      <c r="CN67" s="12"/>
      <c r="CO67" s="12"/>
      <c r="CP67" s="12"/>
      <c r="CQ67" s="12"/>
      <c r="CU67" s="12"/>
      <c r="CV67" s="12"/>
      <c r="CW67" s="12"/>
      <c r="CX67" s="12"/>
      <c r="DB67" s="12"/>
      <c r="DC67" s="12"/>
      <c r="DD67" s="12"/>
      <c r="DE67" s="12"/>
      <c r="DI67" s="12"/>
      <c r="DJ67" s="12"/>
      <c r="DK67" s="12"/>
      <c r="DL67" s="12"/>
    </row>
    <row r="68" spans="2:116">
      <c r="O68" s="9"/>
      <c r="V68" s="9"/>
      <c r="AC68" s="9"/>
      <c r="AJ68" s="9"/>
      <c r="AQ68" s="9"/>
      <c r="AX68" s="9"/>
      <c r="BE68" s="9"/>
      <c r="BL68" s="9"/>
      <c r="BS68" s="9"/>
      <c r="BZ68" s="9"/>
      <c r="CG68" s="9"/>
      <c r="CN68" s="9"/>
      <c r="CU68" s="9"/>
      <c r="DB68" s="9"/>
      <c r="DI68" s="9"/>
    </row>
    <row r="69" spans="2:116">
      <c r="B69" t="s">
        <v>27</v>
      </c>
      <c r="C69" t="s">
        <v>67</v>
      </c>
      <c r="E69" s="11">
        <v>6</v>
      </c>
      <c r="G69" s="12">
        <f>+SUM(G70:G81)</f>
        <v>0.95999999999999985</v>
      </c>
      <c r="I69" s="14">
        <f>+SUM(I70:I81)</f>
        <v>0</v>
      </c>
      <c r="J69" s="13">
        <f>+SUMPRODUCT(G70:G81,J70:J81)</f>
        <v>0</v>
      </c>
      <c r="K69" s="13">
        <f>+SUMPRODUCT(G70:G81,K70:K81)</f>
        <v>0</v>
      </c>
      <c r="L69" s="11"/>
      <c r="N69" s="14">
        <f>+SUM(N70:N81)</f>
        <v>0</v>
      </c>
      <c r="U69" s="14">
        <f>+SUM(U70:U81)</f>
        <v>0</v>
      </c>
      <c r="AB69" s="14">
        <f>+SUM(AB70:AB81)</f>
        <v>0</v>
      </c>
      <c r="AI69" s="14">
        <f>+SUM(AI70:AI81)</f>
        <v>0</v>
      </c>
      <c r="AP69" s="14">
        <f>+SUM(AP70:AP81)</f>
        <v>0</v>
      </c>
      <c r="AW69" s="14">
        <f>+SUM(AW70:AW81)</f>
        <v>0</v>
      </c>
      <c r="BD69" s="14">
        <f>+SUM(BD70:BD81)</f>
        <v>0</v>
      </c>
      <c r="BK69" s="14">
        <f>+SUM(BK70:BK81)</f>
        <v>0</v>
      </c>
      <c r="BR69" s="14">
        <f>+SUM(BR70:BR81)</f>
        <v>0</v>
      </c>
      <c r="BY69" s="14">
        <f>+SUM(BY70:BY81)</f>
        <v>0</v>
      </c>
      <c r="CF69" s="14">
        <f>+SUM(CF70:CF81)</f>
        <v>0</v>
      </c>
      <c r="CM69" s="14">
        <f>+SUM(CM70:CM81)</f>
        <v>0</v>
      </c>
      <c r="CT69" s="14">
        <f>+SUM(CT70:CT81)</f>
        <v>0</v>
      </c>
      <c r="DA69" s="14">
        <f>+SUM(DA70:DA81)</f>
        <v>0</v>
      </c>
      <c r="DH69" s="14">
        <f>+SUM(DH70:DH81)</f>
        <v>0</v>
      </c>
    </row>
    <row r="70" spans="2:116" outlineLevel="1">
      <c r="B70" t="s">
        <v>28</v>
      </c>
      <c r="E70" s="11"/>
      <c r="F70" s="19" t="s">
        <v>30</v>
      </c>
      <c r="G70" s="12">
        <v>0.08</v>
      </c>
      <c r="I70" s="11">
        <f>+SUMIF($N$3:$ZZ$3,I$3,$N70:$ZZ70)</f>
        <v>0</v>
      </c>
      <c r="J70" s="13">
        <f t="shared" ref="J70:K85" si="12">+_xlfn.MAXIFS($N70:$ZF70,$N$3:$ZF$3,J$3)</f>
        <v>0</v>
      </c>
      <c r="K70" s="13">
        <f t="shared" si="12"/>
        <v>0</v>
      </c>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row>
    <row r="71" spans="2:116" outlineLevel="1">
      <c r="B71" t="s">
        <v>28</v>
      </c>
      <c r="E71" s="11"/>
      <c r="F71" s="19" t="s">
        <v>31</v>
      </c>
      <c r="G71" s="12">
        <v>0.08</v>
      </c>
      <c r="I71" s="11">
        <f t="shared" ref="I71:I80" si="13">+SUMIF($N$3:$ZZ$3,I$3,$N71:$ZZ71)</f>
        <v>0</v>
      </c>
      <c r="J71" s="13">
        <f t="shared" si="12"/>
        <v>0</v>
      </c>
      <c r="K71" s="13">
        <f t="shared" si="12"/>
        <v>0</v>
      </c>
      <c r="L71" s="11"/>
      <c r="O71" s="12"/>
      <c r="P71" s="12"/>
      <c r="Q71" s="12"/>
      <c r="R71" s="12"/>
      <c r="V71" s="12"/>
      <c r="W71" s="12"/>
      <c r="X71" s="12"/>
      <c r="Y71" s="12"/>
      <c r="AC71" s="12"/>
      <c r="AD71" s="12"/>
      <c r="AE71" s="12"/>
      <c r="AF71" s="12"/>
      <c r="AJ71" s="12"/>
      <c r="AK71" s="12"/>
      <c r="AL71" s="12"/>
      <c r="AM71" s="12"/>
      <c r="AQ71" s="12"/>
      <c r="AR71" s="12"/>
      <c r="AS71" s="12"/>
      <c r="AT71" s="12"/>
      <c r="AX71" s="12"/>
      <c r="AY71" s="12"/>
      <c r="AZ71" s="12"/>
      <c r="BA71" s="12"/>
      <c r="BE71" s="12"/>
      <c r="BF71" s="12"/>
      <c r="BG71" s="12"/>
      <c r="BH71" s="12"/>
      <c r="BL71" s="12"/>
      <c r="BM71" s="12"/>
      <c r="BN71" s="12"/>
      <c r="BO71" s="12"/>
      <c r="BS71" s="12"/>
      <c r="BT71" s="12"/>
      <c r="BU71" s="12"/>
      <c r="BV71" s="12"/>
      <c r="BZ71" s="12"/>
      <c r="CA71" s="12"/>
      <c r="CB71" s="12"/>
      <c r="CC71" s="12"/>
      <c r="CG71" s="12"/>
      <c r="CH71" s="12"/>
      <c r="CI71" s="12"/>
      <c r="CJ71" s="12"/>
      <c r="CN71" s="12"/>
      <c r="CO71" s="12"/>
      <c r="CP71" s="12"/>
      <c r="CQ71" s="12"/>
      <c r="CU71" s="12"/>
      <c r="CV71" s="12"/>
      <c r="CW71" s="12"/>
      <c r="CX71" s="12"/>
      <c r="DB71" s="12"/>
      <c r="DC71" s="12"/>
      <c r="DD71" s="12"/>
      <c r="DE71" s="12"/>
      <c r="DI71" s="12"/>
      <c r="DJ71" s="12"/>
      <c r="DK71" s="12"/>
      <c r="DL71" s="12"/>
    </row>
    <row r="72" spans="2:116" outlineLevel="1">
      <c r="B72" t="s">
        <v>28</v>
      </c>
      <c r="E72" s="11"/>
      <c r="F72" s="19" t="s">
        <v>32</v>
      </c>
      <c r="G72" s="12">
        <v>0.08</v>
      </c>
      <c r="I72" s="11">
        <f t="shared" si="13"/>
        <v>0</v>
      </c>
      <c r="J72" s="13">
        <f t="shared" si="12"/>
        <v>0</v>
      </c>
      <c r="K72" s="13">
        <f t="shared" si="12"/>
        <v>0</v>
      </c>
      <c r="L72" s="11"/>
      <c r="O72" s="12"/>
      <c r="P72" s="12"/>
      <c r="Q72" s="12"/>
      <c r="R72" s="12"/>
      <c r="V72" s="12"/>
      <c r="W72" s="12"/>
      <c r="X72" s="12"/>
      <c r="Y72" s="12"/>
      <c r="AC72" s="12"/>
      <c r="AD72" s="12"/>
      <c r="AE72" s="12"/>
      <c r="AF72" s="12"/>
      <c r="AJ72" s="12"/>
      <c r="AK72" s="12"/>
      <c r="AL72" s="12"/>
      <c r="AM72" s="12"/>
      <c r="AQ72" s="12"/>
      <c r="AR72" s="12"/>
      <c r="AS72" s="12"/>
      <c r="AT72" s="12"/>
      <c r="AX72" s="12"/>
      <c r="AY72" s="12"/>
      <c r="AZ72" s="12"/>
      <c r="BA72" s="12"/>
      <c r="BE72" s="12"/>
      <c r="BF72" s="12"/>
      <c r="BG72" s="12"/>
      <c r="BH72" s="12"/>
      <c r="BL72" s="12"/>
      <c r="BM72" s="12"/>
      <c r="BN72" s="12"/>
      <c r="BO72" s="12"/>
      <c r="BS72" s="12"/>
      <c r="BT72" s="12"/>
      <c r="BU72" s="12"/>
      <c r="BV72" s="12"/>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row>
    <row r="73" spans="2:116" outlineLevel="1">
      <c r="B73" t="s">
        <v>28</v>
      </c>
      <c r="E73" s="11"/>
      <c r="F73" s="19" t="s">
        <v>33</v>
      </c>
      <c r="G73" s="12">
        <v>0.08</v>
      </c>
      <c r="I73" s="11">
        <f t="shared" si="13"/>
        <v>0</v>
      </c>
      <c r="J73" s="13">
        <f t="shared" si="12"/>
        <v>0</v>
      </c>
      <c r="K73" s="13">
        <f t="shared" si="12"/>
        <v>0</v>
      </c>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row>
    <row r="74" spans="2:116" outlineLevel="1">
      <c r="B74" t="s">
        <v>28</v>
      </c>
      <c r="E74" s="11"/>
      <c r="F74" s="19" t="s">
        <v>34</v>
      </c>
      <c r="G74" s="12">
        <v>0.08</v>
      </c>
      <c r="I74" s="11">
        <f t="shared" si="13"/>
        <v>0</v>
      </c>
      <c r="J74" s="13">
        <f t="shared" si="12"/>
        <v>0</v>
      </c>
      <c r="K74" s="13">
        <f t="shared" si="12"/>
        <v>0</v>
      </c>
      <c r="L74" s="11"/>
      <c r="O74" s="12"/>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row>
    <row r="75" spans="2:116" outlineLevel="1">
      <c r="B75" t="s">
        <v>28</v>
      </c>
      <c r="E75" s="11"/>
      <c r="F75" s="19" t="s">
        <v>35</v>
      </c>
      <c r="G75" s="12">
        <v>0.08</v>
      </c>
      <c r="I75" s="11">
        <f t="shared" si="13"/>
        <v>0</v>
      </c>
      <c r="J75" s="13">
        <f t="shared" si="12"/>
        <v>0</v>
      </c>
      <c r="K75" s="13">
        <f t="shared" si="12"/>
        <v>0</v>
      </c>
      <c r="L75" s="11"/>
      <c r="O75" s="12"/>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row>
    <row r="76" spans="2:116" outlineLevel="1">
      <c r="B76" t="s">
        <v>28</v>
      </c>
      <c r="E76" s="11"/>
      <c r="F76" s="19" t="s">
        <v>36</v>
      </c>
      <c r="G76" s="12">
        <v>0.08</v>
      </c>
      <c r="I76" s="11">
        <f t="shared" si="13"/>
        <v>0</v>
      </c>
      <c r="J76" s="13">
        <f t="shared" si="12"/>
        <v>0</v>
      </c>
      <c r="K76" s="13">
        <f t="shared" si="12"/>
        <v>0</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L76" s="12"/>
      <c r="BM76" s="12"/>
      <c r="BN76" s="12"/>
      <c r="BO76" s="12"/>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row>
    <row r="77" spans="2:116" outlineLevel="1">
      <c r="B77" t="s">
        <v>28</v>
      </c>
      <c r="E77" s="11"/>
      <c r="F77" s="19" t="s">
        <v>37</v>
      </c>
      <c r="G77" s="12">
        <v>0.08</v>
      </c>
      <c r="I77" s="11">
        <f t="shared" si="13"/>
        <v>0</v>
      </c>
      <c r="J77" s="13">
        <f t="shared" si="12"/>
        <v>0</v>
      </c>
      <c r="K77" s="13">
        <f t="shared" si="12"/>
        <v>0</v>
      </c>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E77" s="12"/>
      <c r="BF77" s="12"/>
      <c r="BG77" s="12"/>
      <c r="BH77" s="12"/>
      <c r="BL77" s="12"/>
      <c r="BM77" s="12"/>
      <c r="BN77" s="12"/>
      <c r="BO77" s="12"/>
      <c r="BS77" s="12"/>
      <c r="BT77" s="12"/>
      <c r="BU77" s="12"/>
      <c r="BV77" s="12"/>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row>
    <row r="78" spans="2:116" outlineLevel="1">
      <c r="B78" t="s">
        <v>28</v>
      </c>
      <c r="E78" s="11"/>
      <c r="F78" s="19" t="s">
        <v>38</v>
      </c>
      <c r="G78" s="12">
        <v>0.08</v>
      </c>
      <c r="I78" s="11">
        <f t="shared" si="13"/>
        <v>0</v>
      </c>
      <c r="J78" s="13">
        <f t="shared" si="12"/>
        <v>0</v>
      </c>
      <c r="K78" s="13">
        <f t="shared" si="12"/>
        <v>0</v>
      </c>
      <c r="L78" s="11"/>
      <c r="O78" s="12"/>
      <c r="P78" s="12"/>
      <c r="Q78" s="12"/>
      <c r="R78" s="12"/>
      <c r="V78" s="12"/>
      <c r="W78" s="12"/>
      <c r="X78" s="12"/>
      <c r="Y78" s="12"/>
      <c r="AC78" s="12"/>
      <c r="AD78" s="12"/>
      <c r="AE78" s="12"/>
      <c r="AF78" s="12"/>
      <c r="AJ78" s="12"/>
      <c r="AK78" s="12"/>
      <c r="AL78" s="12"/>
      <c r="AM78" s="12"/>
      <c r="AQ78" s="12"/>
      <c r="AR78" s="12"/>
      <c r="AS78" s="12"/>
      <c r="AT78" s="12"/>
      <c r="AX78" s="12"/>
      <c r="AY78" s="12"/>
      <c r="AZ78" s="12"/>
      <c r="BA78" s="12"/>
      <c r="BE78" s="12"/>
      <c r="BF78" s="12"/>
      <c r="BG78" s="12"/>
      <c r="BH78" s="12"/>
      <c r="BL78" s="12"/>
      <c r="BM78" s="12"/>
      <c r="BN78" s="12"/>
      <c r="BO78" s="12"/>
      <c r="BS78" s="12"/>
      <c r="BT78" s="12"/>
      <c r="BU78" s="12"/>
      <c r="BV78" s="12"/>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row>
    <row r="79" spans="2:116" outlineLevel="1">
      <c r="B79" t="s">
        <v>28</v>
      </c>
      <c r="E79" s="11"/>
      <c r="F79" s="19" t="s">
        <v>39</v>
      </c>
      <c r="G79" s="12">
        <v>0.08</v>
      </c>
      <c r="I79" s="11">
        <f t="shared" si="13"/>
        <v>0</v>
      </c>
      <c r="J79" s="13">
        <f t="shared" si="12"/>
        <v>0</v>
      </c>
      <c r="K79" s="13">
        <f t="shared" si="12"/>
        <v>0</v>
      </c>
      <c r="L79" s="11"/>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c r="BG79" s="12"/>
      <c r="BH79" s="12"/>
      <c r="BL79" s="12"/>
      <c r="BM79" s="12"/>
      <c r="BN79" s="12"/>
      <c r="BO79" s="12"/>
      <c r="BS79" s="12"/>
      <c r="BT79" s="12"/>
      <c r="BU79" s="12"/>
      <c r="BV79" s="12"/>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row>
    <row r="80" spans="2:116" outlineLevel="1">
      <c r="B80" t="s">
        <v>28</v>
      </c>
      <c r="E80" s="11"/>
      <c r="F80" s="19" t="s">
        <v>40</v>
      </c>
      <c r="G80" s="12">
        <v>0.08</v>
      </c>
      <c r="I80" s="11">
        <f t="shared" si="13"/>
        <v>0</v>
      </c>
      <c r="J80" s="13">
        <f t="shared" si="12"/>
        <v>0</v>
      </c>
      <c r="K80" s="13">
        <f t="shared" si="12"/>
        <v>0</v>
      </c>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row>
    <row r="81" spans="2:116" outlineLevel="1">
      <c r="B81" t="s">
        <v>28</v>
      </c>
      <c r="E81" s="11"/>
      <c r="F81" s="19" t="s">
        <v>41</v>
      </c>
      <c r="G81" s="12">
        <v>0.08</v>
      </c>
      <c r="I81" s="11">
        <f>+SUMIF($N$3:$ZZ$3,I$3,$N81:$ZZ81)</f>
        <v>0</v>
      </c>
      <c r="J81" s="13">
        <f t="shared" si="12"/>
        <v>0</v>
      </c>
      <c r="K81" s="13">
        <f t="shared" si="12"/>
        <v>0</v>
      </c>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row>
    <row r="82" spans="2:116">
      <c r="O82" s="9"/>
      <c r="V82" s="9"/>
      <c r="AC82" s="9"/>
      <c r="AJ82" s="9"/>
      <c r="AQ82" s="9"/>
      <c r="AX82" s="9"/>
      <c r="BE82" s="9"/>
      <c r="BL82" s="9"/>
      <c r="BS82" s="9"/>
      <c r="BZ82" s="9"/>
      <c r="CG82" s="9"/>
      <c r="CN82" s="9"/>
      <c r="CU82" s="9"/>
      <c r="DB82" s="9"/>
      <c r="DI82" s="9"/>
    </row>
    <row r="83" spans="2:116">
      <c r="B83" t="s">
        <v>27</v>
      </c>
      <c r="C83" t="s">
        <v>68</v>
      </c>
      <c r="E83" s="11">
        <v>6</v>
      </c>
      <c r="G83" s="12">
        <f>+SUM(G84:G93)</f>
        <v>0.99999999999999989</v>
      </c>
      <c r="I83" s="14">
        <f>+SUM(I84:I93)</f>
        <v>54</v>
      </c>
      <c r="J83" s="13">
        <f>+SUMPRODUCT(G84:G93,J84:J93)</f>
        <v>0</v>
      </c>
      <c r="K83" s="13">
        <f>+SUMPRODUCT(G84:G93,K84:K93)</f>
        <v>0</v>
      </c>
      <c r="L83" s="11"/>
      <c r="N83" s="14">
        <f>+SUM(N84:N93)</f>
        <v>0</v>
      </c>
      <c r="U83" s="14">
        <f>+SUM(U84:U93)</f>
        <v>0</v>
      </c>
      <c r="AB83" s="14">
        <f>+SUM(AB84:AB93)</f>
        <v>6</v>
      </c>
      <c r="AI83" s="14">
        <f>+SUM(AI84:AI93)</f>
        <v>6</v>
      </c>
      <c r="AP83" s="14">
        <f>+SUM(AP85:AP93)</f>
        <v>6</v>
      </c>
      <c r="AW83" s="14">
        <f>+SUM(AW86:AW93)</f>
        <v>6</v>
      </c>
      <c r="BD83" s="14">
        <f>+SUM(BD86:BD93)</f>
        <v>6</v>
      </c>
      <c r="BK83" s="14">
        <f>+SUM(BK84:BK93)</f>
        <v>6</v>
      </c>
      <c r="BR83" s="14">
        <f>+SUM(BR85:BR93)</f>
        <v>6</v>
      </c>
      <c r="BY83" s="14">
        <f>+SUM(BY87:BY93)</f>
        <v>6</v>
      </c>
      <c r="CF83" s="14">
        <f>+SUM(CF89:CF93)</f>
        <v>6</v>
      </c>
      <c r="CM83" s="14">
        <f>+SUM(CM84:CM93)</f>
        <v>0</v>
      </c>
      <c r="CT83" s="14">
        <f>+SUM(CT84:CT93)</f>
        <v>0</v>
      </c>
      <c r="DA83" s="14">
        <f>+SUM(DA84:DA93)</f>
        <v>0</v>
      </c>
      <c r="DH83" s="14">
        <f>+SUM(DH84:DH93)</f>
        <v>0</v>
      </c>
    </row>
    <row r="84" spans="2:116" outlineLevel="1">
      <c r="B84" t="s">
        <v>28</v>
      </c>
      <c r="E84" s="11"/>
      <c r="F84" t="s">
        <v>118</v>
      </c>
      <c r="G84" s="12">
        <v>0.1</v>
      </c>
      <c r="I84" s="11">
        <f>+SUMIF($N$3:$ZZ$3,I$3,$N84:$ZZ84)</f>
        <v>6</v>
      </c>
      <c r="J84" s="13">
        <f t="shared" si="12"/>
        <v>0</v>
      </c>
      <c r="K84" s="13">
        <f t="shared" si="12"/>
        <v>0</v>
      </c>
      <c r="L84" s="11"/>
      <c r="O84" s="12"/>
      <c r="P84" s="12"/>
      <c r="Q84" s="12"/>
      <c r="R84" s="12"/>
      <c r="V84" s="12"/>
      <c r="W84" s="12"/>
      <c r="X84" s="12"/>
      <c r="Y84" s="12"/>
      <c r="AB84">
        <v>2</v>
      </c>
      <c r="AC84" s="12"/>
      <c r="AD84" s="12">
        <v>0.5</v>
      </c>
      <c r="AE84" s="12"/>
      <c r="AF84" s="12">
        <v>0.5</v>
      </c>
      <c r="AI84">
        <v>2</v>
      </c>
      <c r="AJ84" s="12"/>
      <c r="AK84" s="12">
        <v>0.8</v>
      </c>
      <c r="AL84" s="12"/>
      <c r="AM84" s="12">
        <v>0.8</v>
      </c>
      <c r="AQ84" s="12"/>
      <c r="AR84" s="12">
        <v>0.8</v>
      </c>
      <c r="AS84" s="12"/>
      <c r="AT84" s="12">
        <v>0.8</v>
      </c>
      <c r="AX84" s="12"/>
      <c r="AY84" s="12">
        <v>0.8</v>
      </c>
      <c r="AZ84" s="12"/>
      <c r="BA84" s="12">
        <v>0.8</v>
      </c>
      <c r="BE84" s="12"/>
      <c r="BF84" s="12">
        <v>0.8</v>
      </c>
      <c r="BG84" s="12"/>
      <c r="BH84" s="12">
        <v>0.8</v>
      </c>
      <c r="BK84">
        <v>2</v>
      </c>
      <c r="BL84" s="12"/>
      <c r="BM84" s="12">
        <v>1</v>
      </c>
      <c r="BN84" s="12"/>
      <c r="BO84" s="12">
        <v>1</v>
      </c>
      <c r="BS84" s="12"/>
      <c r="BT84" s="12">
        <v>1</v>
      </c>
      <c r="BU84" s="12"/>
      <c r="BV84" s="12">
        <v>1</v>
      </c>
      <c r="BZ84" s="12"/>
      <c r="CA84" s="12">
        <v>1</v>
      </c>
      <c r="CB84" s="12"/>
      <c r="CC84" s="12">
        <v>1</v>
      </c>
      <c r="CG84" s="12"/>
      <c r="CH84" s="12">
        <v>1</v>
      </c>
      <c r="CI84" s="12"/>
      <c r="CJ84" s="12">
        <v>1</v>
      </c>
      <c r="CN84" s="12"/>
      <c r="CO84" s="12"/>
      <c r="CP84" s="12"/>
      <c r="CQ84" s="12"/>
      <c r="CU84" s="12"/>
      <c r="CV84" s="12"/>
      <c r="CW84" s="12"/>
      <c r="CX84" s="12"/>
      <c r="DB84" s="12"/>
      <c r="DC84" s="12"/>
      <c r="DD84" s="12"/>
      <c r="DE84" s="12"/>
      <c r="DI84" s="12"/>
      <c r="DJ84" s="12"/>
      <c r="DK84" s="12"/>
      <c r="DL84" s="12"/>
    </row>
    <row r="85" spans="2:116" outlineLevel="1">
      <c r="B85" t="s">
        <v>28</v>
      </c>
      <c r="E85" s="11"/>
      <c r="F85" t="s">
        <v>119</v>
      </c>
      <c r="G85" s="12">
        <v>0.1</v>
      </c>
      <c r="I85" s="11">
        <f t="shared" ref="I85:I93" si="14">+SUMIF($N$3:$ZZ$3,I$3,$N85:$ZZ85)</f>
        <v>6</v>
      </c>
      <c r="J85" s="13">
        <f t="shared" si="12"/>
        <v>0</v>
      </c>
      <c r="K85" s="13">
        <f t="shared" si="12"/>
        <v>0</v>
      </c>
      <c r="L85" s="11"/>
      <c r="O85" s="12"/>
      <c r="P85" s="12"/>
      <c r="Q85" s="12"/>
      <c r="R85" s="12"/>
      <c r="V85" s="12"/>
      <c r="W85" s="12"/>
      <c r="X85" s="12"/>
      <c r="Y85" s="12"/>
      <c r="AB85">
        <v>2</v>
      </c>
      <c r="AC85" s="12"/>
      <c r="AD85" s="12">
        <v>0.5</v>
      </c>
      <c r="AE85" s="12"/>
      <c r="AF85" s="12">
        <v>0.5</v>
      </c>
      <c r="AJ85" s="12"/>
      <c r="AK85" s="12">
        <v>0.5</v>
      </c>
      <c r="AL85" s="12"/>
      <c r="AM85" s="12">
        <v>0.5</v>
      </c>
      <c r="AP85">
        <v>2</v>
      </c>
      <c r="AQ85" s="12"/>
      <c r="AR85" s="12">
        <v>0.8</v>
      </c>
      <c r="AS85" s="12"/>
      <c r="AT85" s="12">
        <v>0.5</v>
      </c>
      <c r="AX85" s="12"/>
      <c r="AY85" s="12">
        <v>0.8</v>
      </c>
      <c r="AZ85" s="12"/>
      <c r="BA85" s="12">
        <v>0.5</v>
      </c>
      <c r="BE85" s="12"/>
      <c r="BF85" s="12">
        <v>0.8</v>
      </c>
      <c r="BG85" s="12"/>
      <c r="BH85" s="12">
        <v>0.8</v>
      </c>
      <c r="BL85" s="12"/>
      <c r="BM85" s="12">
        <v>0.8</v>
      </c>
      <c r="BN85" s="12"/>
      <c r="BO85" s="12">
        <v>0.8</v>
      </c>
      <c r="BR85">
        <v>2</v>
      </c>
      <c r="BS85" s="12"/>
      <c r="BT85" s="12">
        <v>1</v>
      </c>
      <c r="BU85" s="12"/>
      <c r="BV85" s="12">
        <v>1</v>
      </c>
      <c r="BZ85" s="12"/>
      <c r="CA85" s="12">
        <v>1</v>
      </c>
      <c r="CB85" s="12"/>
      <c r="CC85" s="12">
        <v>1</v>
      </c>
      <c r="CG85" s="12"/>
      <c r="CH85" s="12">
        <v>1</v>
      </c>
      <c r="CI85" s="12"/>
      <c r="CJ85" s="12">
        <v>1</v>
      </c>
      <c r="CN85" s="12"/>
      <c r="CO85" s="12"/>
      <c r="CP85" s="12"/>
      <c r="CQ85" s="12"/>
      <c r="CU85" s="12"/>
      <c r="CV85" s="12"/>
      <c r="CW85" s="12"/>
      <c r="CX85" s="12"/>
      <c r="DB85" s="12"/>
      <c r="DC85" s="12"/>
      <c r="DD85" s="12"/>
      <c r="DE85" s="12"/>
      <c r="DI85" s="12"/>
      <c r="DJ85" s="12"/>
      <c r="DK85" s="12"/>
      <c r="DL85" s="12"/>
    </row>
    <row r="86" spans="2:116" outlineLevel="1">
      <c r="B86" t="s">
        <v>28</v>
      </c>
      <c r="E86" s="11"/>
      <c r="F86" t="s">
        <v>120</v>
      </c>
      <c r="G86" s="12">
        <v>0.1</v>
      </c>
      <c r="I86" s="11">
        <f t="shared" si="14"/>
        <v>6</v>
      </c>
      <c r="J86" s="13">
        <f t="shared" ref="J86:K93" si="15">+_xlfn.MAXIFS($N86:$ZF86,$N$3:$ZF$3,J$3)</f>
        <v>0</v>
      </c>
      <c r="K86" s="13">
        <f t="shared" si="15"/>
        <v>0</v>
      </c>
      <c r="L86" s="11"/>
      <c r="O86" s="12"/>
      <c r="P86" s="12"/>
      <c r="Q86" s="12"/>
      <c r="R86" s="12"/>
      <c r="V86" s="12"/>
      <c r="W86" s="12"/>
      <c r="X86" s="12"/>
      <c r="Y86" s="12"/>
      <c r="AB86">
        <v>2</v>
      </c>
      <c r="AC86" s="12"/>
      <c r="AD86" s="12">
        <v>0.5</v>
      </c>
      <c r="AE86" s="12"/>
      <c r="AF86" s="12">
        <v>0.5</v>
      </c>
      <c r="AJ86" s="12"/>
      <c r="AK86" s="12">
        <v>0.5</v>
      </c>
      <c r="AL86" s="12"/>
      <c r="AM86" s="12">
        <v>0.5</v>
      </c>
      <c r="AQ86" s="12"/>
      <c r="AR86" s="12">
        <v>0.5</v>
      </c>
      <c r="AS86" s="12"/>
      <c r="AT86" s="12">
        <v>0.5</v>
      </c>
      <c r="AW86">
        <v>2</v>
      </c>
      <c r="AX86" s="12"/>
      <c r="AY86" s="12">
        <v>0.8</v>
      </c>
      <c r="AZ86" s="12"/>
      <c r="BA86" s="12">
        <v>0.5</v>
      </c>
      <c r="BE86" s="12"/>
      <c r="BF86" s="12">
        <v>0.8</v>
      </c>
      <c r="BG86" s="12"/>
      <c r="BH86" s="12">
        <v>0.8</v>
      </c>
      <c r="BL86" s="12"/>
      <c r="BM86" s="12">
        <v>0.8</v>
      </c>
      <c r="BN86" s="12"/>
      <c r="BO86" s="12">
        <v>0.8</v>
      </c>
      <c r="BR86">
        <v>2</v>
      </c>
      <c r="BS86" s="12"/>
      <c r="BT86" s="12">
        <v>1</v>
      </c>
      <c r="BU86" s="12"/>
      <c r="BV86" s="12">
        <v>1</v>
      </c>
      <c r="BZ86" s="12"/>
      <c r="CA86" s="12">
        <v>1</v>
      </c>
      <c r="CB86" s="12"/>
      <c r="CC86" s="12">
        <v>1</v>
      </c>
      <c r="CG86" s="12"/>
      <c r="CH86" s="12">
        <v>1</v>
      </c>
      <c r="CI86" s="12"/>
      <c r="CJ86" s="12">
        <v>1</v>
      </c>
      <c r="CN86" s="12"/>
      <c r="CO86" s="12"/>
      <c r="CP86" s="12"/>
      <c r="CQ86" s="12"/>
      <c r="CU86" s="12"/>
      <c r="CV86" s="12"/>
      <c r="CW86" s="12"/>
      <c r="CX86" s="12"/>
      <c r="DB86" s="12"/>
      <c r="DC86" s="12"/>
      <c r="DD86" s="12"/>
      <c r="DE86" s="12"/>
      <c r="DI86" s="12"/>
      <c r="DJ86" s="12"/>
      <c r="DK86" s="12"/>
      <c r="DL86" s="12"/>
    </row>
    <row r="87" spans="2:116" outlineLevel="1">
      <c r="B87" t="s">
        <v>28</v>
      </c>
      <c r="E87" s="11"/>
      <c r="F87" t="s">
        <v>121</v>
      </c>
      <c r="G87" s="12">
        <v>0.1</v>
      </c>
      <c r="I87" s="11">
        <f t="shared" si="14"/>
        <v>6</v>
      </c>
      <c r="J87" s="13">
        <f t="shared" si="15"/>
        <v>0</v>
      </c>
      <c r="K87" s="13">
        <f t="shared" si="15"/>
        <v>0</v>
      </c>
      <c r="L87" s="11"/>
      <c r="O87" s="12"/>
      <c r="P87" s="12"/>
      <c r="Q87" s="12"/>
      <c r="R87" s="12"/>
      <c r="V87" s="12"/>
      <c r="W87" s="12"/>
      <c r="X87" s="12"/>
      <c r="Y87" s="12"/>
      <c r="AC87" s="12"/>
      <c r="AD87" s="12"/>
      <c r="AE87" s="12"/>
      <c r="AF87" s="12"/>
      <c r="AI87">
        <v>2</v>
      </c>
      <c r="AJ87" s="12"/>
      <c r="AK87" s="12">
        <v>0.5</v>
      </c>
      <c r="AL87" s="12"/>
      <c r="AM87" s="12">
        <v>0.5</v>
      </c>
      <c r="AQ87" s="12"/>
      <c r="AR87" s="12">
        <v>0.5</v>
      </c>
      <c r="AS87" s="12"/>
      <c r="AT87" s="12">
        <v>0.5</v>
      </c>
      <c r="AX87" s="12"/>
      <c r="AY87" s="12">
        <v>0.5</v>
      </c>
      <c r="AZ87" s="12"/>
      <c r="BA87" s="12">
        <v>0.5</v>
      </c>
      <c r="BD87">
        <v>2</v>
      </c>
      <c r="BE87" s="12"/>
      <c r="BF87" s="12">
        <v>0.8</v>
      </c>
      <c r="BG87" s="12"/>
      <c r="BH87" s="12">
        <v>0.8</v>
      </c>
      <c r="BL87" s="12"/>
      <c r="BM87" s="12">
        <v>0.8</v>
      </c>
      <c r="BN87" s="12"/>
      <c r="BO87" s="12">
        <v>0.8</v>
      </c>
      <c r="BS87" s="12"/>
      <c r="BT87" s="12">
        <v>0.8</v>
      </c>
      <c r="BU87" s="12"/>
      <c r="BV87" s="12">
        <v>0.8</v>
      </c>
      <c r="BY87">
        <v>2</v>
      </c>
      <c r="BZ87" s="12"/>
      <c r="CA87" s="12">
        <v>1</v>
      </c>
      <c r="CB87" s="12"/>
      <c r="CC87" s="12">
        <v>1</v>
      </c>
      <c r="CG87" s="12"/>
      <c r="CH87" s="12">
        <v>1</v>
      </c>
      <c r="CI87" s="12"/>
      <c r="CJ87" s="12">
        <v>1</v>
      </c>
      <c r="CN87" s="12"/>
      <c r="CO87" s="12"/>
      <c r="CP87" s="12"/>
      <c r="CQ87" s="12"/>
      <c r="CU87" s="12"/>
      <c r="CV87" s="12"/>
      <c r="CW87" s="12"/>
      <c r="CX87" s="12"/>
      <c r="DB87" s="12"/>
      <c r="DC87" s="12"/>
      <c r="DD87" s="12"/>
      <c r="DE87" s="12"/>
      <c r="DI87" s="12"/>
      <c r="DJ87" s="12"/>
      <c r="DK87" s="12"/>
      <c r="DL87" s="12"/>
    </row>
    <row r="88" spans="2:116" outlineLevel="1">
      <c r="B88" t="s">
        <v>28</v>
      </c>
      <c r="E88" s="11"/>
      <c r="F88" t="s">
        <v>122</v>
      </c>
      <c r="G88" s="12">
        <v>0.1</v>
      </c>
      <c r="I88" s="11">
        <f t="shared" si="14"/>
        <v>6</v>
      </c>
      <c r="J88" s="13">
        <f t="shared" si="15"/>
        <v>0</v>
      </c>
      <c r="K88" s="13">
        <f t="shared" si="15"/>
        <v>0</v>
      </c>
      <c r="L88" s="11"/>
      <c r="O88" s="12"/>
      <c r="P88" s="12"/>
      <c r="Q88" s="12"/>
      <c r="R88" s="12"/>
      <c r="V88" s="12"/>
      <c r="W88" s="12"/>
      <c r="X88" s="12"/>
      <c r="Y88" s="12"/>
      <c r="AC88" s="12"/>
      <c r="AD88" s="12"/>
      <c r="AE88" s="12"/>
      <c r="AF88" s="12"/>
      <c r="AI88">
        <v>2</v>
      </c>
      <c r="AJ88" s="12"/>
      <c r="AK88" s="12">
        <v>0.5</v>
      </c>
      <c r="AL88" s="12"/>
      <c r="AM88" s="12">
        <v>0.5</v>
      </c>
      <c r="AQ88" s="12"/>
      <c r="AR88" s="12">
        <v>0.5</v>
      </c>
      <c r="AS88" s="12"/>
      <c r="AT88" s="12">
        <v>0.5</v>
      </c>
      <c r="AX88" s="12"/>
      <c r="AY88" s="12">
        <v>0.5</v>
      </c>
      <c r="AZ88" s="12"/>
      <c r="BA88" s="12">
        <v>0.5</v>
      </c>
      <c r="BD88">
        <v>2</v>
      </c>
      <c r="BE88" s="12"/>
      <c r="BF88" s="12">
        <v>0.8</v>
      </c>
      <c r="BG88" s="12"/>
      <c r="BH88" s="12">
        <v>0.8</v>
      </c>
      <c r="BL88" s="12"/>
      <c r="BM88" s="12">
        <v>0.8</v>
      </c>
      <c r="BN88" s="12"/>
      <c r="BO88" s="12">
        <v>0.8</v>
      </c>
      <c r="BS88" s="12"/>
      <c r="BT88" s="12">
        <v>0.8</v>
      </c>
      <c r="BU88" s="12"/>
      <c r="BV88" s="12">
        <v>0.8</v>
      </c>
      <c r="BY88">
        <v>2</v>
      </c>
      <c r="BZ88" s="12"/>
      <c r="CA88" s="12">
        <v>1</v>
      </c>
      <c r="CB88" s="12"/>
      <c r="CC88" s="12">
        <v>1</v>
      </c>
      <c r="CG88" s="12"/>
      <c r="CH88" s="12">
        <v>1</v>
      </c>
      <c r="CI88" s="12"/>
      <c r="CJ88" s="12">
        <v>1</v>
      </c>
      <c r="CN88" s="12"/>
      <c r="CO88" s="12"/>
      <c r="CP88" s="12"/>
      <c r="CQ88" s="12"/>
      <c r="CU88" s="12"/>
      <c r="CV88" s="12"/>
      <c r="CW88" s="12"/>
      <c r="CX88" s="12"/>
      <c r="DB88" s="12"/>
      <c r="DC88" s="12"/>
      <c r="DD88" s="12"/>
      <c r="DE88" s="12"/>
      <c r="DI88" s="12"/>
      <c r="DJ88" s="12"/>
      <c r="DK88" s="12"/>
      <c r="DL88" s="12"/>
    </row>
    <row r="89" spans="2:116" outlineLevel="1">
      <c r="B89" t="s">
        <v>28</v>
      </c>
      <c r="E89" s="11"/>
      <c r="F89" t="s">
        <v>123</v>
      </c>
      <c r="G89" s="12">
        <v>0.1</v>
      </c>
      <c r="I89" s="11">
        <f t="shared" si="14"/>
        <v>6</v>
      </c>
      <c r="J89" s="13">
        <f t="shared" si="15"/>
        <v>0</v>
      </c>
      <c r="K89" s="13">
        <f t="shared" si="15"/>
        <v>0</v>
      </c>
      <c r="L89" s="11"/>
      <c r="O89" s="12"/>
      <c r="P89" s="12"/>
      <c r="Q89" s="12"/>
      <c r="R89" s="12"/>
      <c r="V89" s="12"/>
      <c r="W89" s="12"/>
      <c r="X89" s="12"/>
      <c r="Y89" s="12"/>
      <c r="AC89" s="12"/>
      <c r="AD89" s="12"/>
      <c r="AE89" s="12"/>
      <c r="AF89" s="12"/>
      <c r="AJ89" s="12"/>
      <c r="AK89" s="12"/>
      <c r="AL89" s="12"/>
      <c r="AM89" s="12"/>
      <c r="AP89">
        <v>2</v>
      </c>
      <c r="AQ89" s="12"/>
      <c r="AR89" s="12">
        <v>0.5</v>
      </c>
      <c r="AS89" s="12"/>
      <c r="AT89" s="12">
        <v>0.5</v>
      </c>
      <c r="AX89" s="12"/>
      <c r="AY89" s="12">
        <v>0.5</v>
      </c>
      <c r="AZ89" s="12"/>
      <c r="BA89" s="12">
        <v>0.5</v>
      </c>
      <c r="BE89" s="12"/>
      <c r="BF89" s="12">
        <v>0.5</v>
      </c>
      <c r="BG89" s="12"/>
      <c r="BH89" s="12">
        <v>0.5</v>
      </c>
      <c r="BK89">
        <v>2</v>
      </c>
      <c r="BL89" s="12"/>
      <c r="BM89" s="12">
        <v>0.8</v>
      </c>
      <c r="BN89" s="12"/>
      <c r="BO89" s="12">
        <v>0.8</v>
      </c>
      <c r="BS89" s="12"/>
      <c r="BT89" s="12">
        <v>0.8</v>
      </c>
      <c r="BU89" s="12"/>
      <c r="BV89" s="12">
        <v>0.8</v>
      </c>
      <c r="BZ89" s="12"/>
      <c r="CA89" s="12">
        <v>0.8</v>
      </c>
      <c r="CB89" s="12"/>
      <c r="CC89" s="12">
        <v>0.8</v>
      </c>
      <c r="CF89">
        <v>2</v>
      </c>
      <c r="CG89" s="12"/>
      <c r="CH89" s="12">
        <v>1</v>
      </c>
      <c r="CI89" s="12"/>
      <c r="CJ89" s="12">
        <v>1</v>
      </c>
      <c r="CN89" s="12"/>
      <c r="CO89" s="12"/>
      <c r="CP89" s="12"/>
      <c r="CQ89" s="12"/>
      <c r="CU89" s="12"/>
      <c r="CV89" s="12"/>
      <c r="CW89" s="12"/>
      <c r="CX89" s="12"/>
      <c r="DB89" s="12"/>
      <c r="DC89" s="12"/>
      <c r="DD89" s="12"/>
      <c r="DE89" s="12"/>
      <c r="DI89" s="12"/>
      <c r="DJ89" s="12"/>
      <c r="DK89" s="12"/>
      <c r="DL89" s="12"/>
    </row>
    <row r="90" spans="2:116" outlineLevel="1">
      <c r="B90" t="s">
        <v>28</v>
      </c>
      <c r="E90" s="11"/>
      <c r="F90" t="s">
        <v>124</v>
      </c>
      <c r="G90" s="12">
        <v>0.1</v>
      </c>
      <c r="I90" s="11">
        <f t="shared" si="14"/>
        <v>6</v>
      </c>
      <c r="J90" s="13">
        <f t="shared" si="15"/>
        <v>0</v>
      </c>
      <c r="K90" s="13">
        <f t="shared" si="15"/>
        <v>0</v>
      </c>
      <c r="L90" s="11"/>
      <c r="O90" s="12"/>
      <c r="P90" s="12"/>
      <c r="Q90" s="12"/>
      <c r="R90" s="12"/>
      <c r="V90" s="12"/>
      <c r="W90" s="12"/>
      <c r="X90" s="12"/>
      <c r="Y90" s="12"/>
      <c r="AC90" s="12"/>
      <c r="AD90" s="12"/>
      <c r="AE90" s="12"/>
      <c r="AF90" s="12"/>
      <c r="AJ90" s="12"/>
      <c r="AK90" s="12"/>
      <c r="AL90" s="12"/>
      <c r="AM90" s="12"/>
      <c r="AP90">
        <v>2</v>
      </c>
      <c r="AQ90" s="12"/>
      <c r="AR90" s="12">
        <v>0.5</v>
      </c>
      <c r="AS90" s="12"/>
      <c r="AT90" s="12">
        <v>0.5</v>
      </c>
      <c r="AX90" s="12"/>
      <c r="AY90" s="12">
        <v>0.5</v>
      </c>
      <c r="AZ90" s="12"/>
      <c r="BA90" s="12">
        <v>0.5</v>
      </c>
      <c r="BE90" s="12"/>
      <c r="BF90" s="12">
        <v>0.5</v>
      </c>
      <c r="BG90" s="12"/>
      <c r="BH90" s="12">
        <v>0.5</v>
      </c>
      <c r="BK90">
        <v>2</v>
      </c>
      <c r="BL90" s="12"/>
      <c r="BM90" s="12">
        <v>0.8</v>
      </c>
      <c r="BN90" s="12"/>
      <c r="BO90" s="12">
        <v>0.8</v>
      </c>
      <c r="BS90" s="12"/>
      <c r="BT90" s="12">
        <v>0.8</v>
      </c>
      <c r="BU90" s="12"/>
      <c r="BV90" s="12">
        <v>0.8</v>
      </c>
      <c r="BZ90" s="12"/>
      <c r="CA90" s="12">
        <v>0.8</v>
      </c>
      <c r="CB90" s="12"/>
      <c r="CC90" s="12">
        <v>0.8</v>
      </c>
      <c r="CF90">
        <v>2</v>
      </c>
      <c r="CG90" s="12"/>
      <c r="CH90" s="12">
        <v>1</v>
      </c>
      <c r="CI90" s="12"/>
      <c r="CJ90" s="12">
        <v>1</v>
      </c>
      <c r="CN90" s="12"/>
      <c r="CO90" s="12"/>
      <c r="CP90" s="12"/>
      <c r="CQ90" s="12"/>
      <c r="CU90" s="12"/>
      <c r="CV90" s="12"/>
      <c r="CW90" s="12"/>
      <c r="CX90" s="12"/>
      <c r="DB90" s="12"/>
      <c r="DC90" s="12"/>
      <c r="DD90" s="12"/>
      <c r="DE90" s="12"/>
      <c r="DI90" s="12"/>
      <c r="DJ90" s="12"/>
      <c r="DK90" s="12"/>
      <c r="DL90" s="12"/>
    </row>
    <row r="91" spans="2:116" outlineLevel="1">
      <c r="B91" t="s">
        <v>28</v>
      </c>
      <c r="E91" s="11"/>
      <c r="F91" t="s">
        <v>125</v>
      </c>
      <c r="G91" s="12">
        <v>0.1</v>
      </c>
      <c r="I91" s="11">
        <f t="shared" si="14"/>
        <v>4</v>
      </c>
      <c r="J91" s="13">
        <f t="shared" si="15"/>
        <v>0</v>
      </c>
      <c r="K91" s="13">
        <f t="shared" si="15"/>
        <v>0</v>
      </c>
      <c r="L91" s="11"/>
      <c r="O91" s="12"/>
      <c r="P91" s="12"/>
      <c r="Q91" s="12"/>
      <c r="R91" s="12"/>
      <c r="V91" s="12"/>
      <c r="W91" s="12"/>
      <c r="X91" s="12"/>
      <c r="Y91" s="12"/>
      <c r="AC91" s="12"/>
      <c r="AD91" s="12"/>
      <c r="AE91" s="12"/>
      <c r="AF91" s="12"/>
      <c r="AJ91" s="12"/>
      <c r="AK91" s="12"/>
      <c r="AL91" s="12"/>
      <c r="AM91" s="12"/>
      <c r="AQ91" s="12"/>
      <c r="AR91" s="12"/>
      <c r="AS91" s="12"/>
      <c r="AT91" s="12"/>
      <c r="AW91">
        <v>2</v>
      </c>
      <c r="AX91" s="12"/>
      <c r="AY91" s="12">
        <v>0.5</v>
      </c>
      <c r="AZ91" s="12"/>
      <c r="BA91" s="12">
        <v>0.5</v>
      </c>
      <c r="BE91" s="12"/>
      <c r="BF91" s="12">
        <v>0.5</v>
      </c>
      <c r="BG91" s="12"/>
      <c r="BH91" s="12">
        <v>0.5</v>
      </c>
      <c r="BL91" s="12"/>
      <c r="BM91" s="12">
        <v>0.5</v>
      </c>
      <c r="BN91" s="12"/>
      <c r="BO91" s="12">
        <v>0.5</v>
      </c>
      <c r="BR91">
        <v>2</v>
      </c>
      <c r="BS91" s="12"/>
      <c r="BT91" s="12">
        <v>0.8</v>
      </c>
      <c r="BU91" s="12"/>
      <c r="BV91" s="12">
        <v>0.8</v>
      </c>
      <c r="BZ91" s="12"/>
      <c r="CA91" s="12">
        <v>0.8</v>
      </c>
      <c r="CB91" s="12"/>
      <c r="CC91" s="12">
        <v>0.8</v>
      </c>
      <c r="CG91" s="12"/>
      <c r="CH91" s="12">
        <v>0.8</v>
      </c>
      <c r="CI91" s="12"/>
      <c r="CJ91" s="12">
        <v>0.8</v>
      </c>
      <c r="CN91" s="12"/>
      <c r="CO91" s="12"/>
      <c r="CP91" s="12"/>
      <c r="CQ91" s="12"/>
      <c r="CU91" s="12"/>
      <c r="CV91" s="12"/>
      <c r="CW91" s="12"/>
      <c r="CX91" s="12"/>
      <c r="DB91" s="12"/>
      <c r="DC91" s="12"/>
      <c r="DD91" s="12"/>
      <c r="DE91" s="12"/>
      <c r="DI91" s="12"/>
      <c r="DJ91" s="12"/>
      <c r="DK91" s="12"/>
      <c r="DL91" s="12"/>
    </row>
    <row r="92" spans="2:116" outlineLevel="1">
      <c r="B92" t="s">
        <v>28</v>
      </c>
      <c r="E92" s="11"/>
      <c r="F92" t="s">
        <v>126</v>
      </c>
      <c r="G92" s="12">
        <v>0.1</v>
      </c>
      <c r="I92" s="11">
        <f t="shared" si="14"/>
        <v>4</v>
      </c>
      <c r="J92" s="13">
        <f t="shared" si="15"/>
        <v>0</v>
      </c>
      <c r="K92" s="13">
        <f t="shared" si="15"/>
        <v>0</v>
      </c>
      <c r="L92" s="11"/>
      <c r="O92" s="12"/>
      <c r="P92" s="12"/>
      <c r="Q92" s="12"/>
      <c r="R92" s="12"/>
      <c r="V92" s="12"/>
      <c r="W92" s="12"/>
      <c r="X92" s="12"/>
      <c r="Y92" s="12"/>
      <c r="AC92" s="12"/>
      <c r="AD92" s="12"/>
      <c r="AE92" s="12"/>
      <c r="AF92" s="12"/>
      <c r="AJ92" s="12"/>
      <c r="AK92" s="12"/>
      <c r="AL92" s="12"/>
      <c r="AM92" s="12"/>
      <c r="AQ92" s="12"/>
      <c r="AR92" s="12"/>
      <c r="AS92" s="12"/>
      <c r="AT92" s="12"/>
      <c r="AW92">
        <v>2</v>
      </c>
      <c r="AX92" s="12"/>
      <c r="AY92" s="12">
        <v>0.5</v>
      </c>
      <c r="AZ92" s="12"/>
      <c r="BA92" s="12">
        <v>0.5</v>
      </c>
      <c r="BE92" s="12"/>
      <c r="BF92" s="12">
        <v>0.5</v>
      </c>
      <c r="BG92" s="12"/>
      <c r="BH92" s="12">
        <v>0.5</v>
      </c>
      <c r="BL92" s="12"/>
      <c r="BM92" s="12">
        <v>0.5</v>
      </c>
      <c r="BN92" s="12"/>
      <c r="BO92" s="12">
        <v>0.5</v>
      </c>
      <c r="BS92" s="12"/>
      <c r="BT92" s="12">
        <v>0.5</v>
      </c>
      <c r="BU92" s="12"/>
      <c r="BV92" s="12">
        <v>0.5</v>
      </c>
      <c r="BY92">
        <v>2</v>
      </c>
      <c r="BZ92" s="12"/>
      <c r="CA92" s="12">
        <v>0.8</v>
      </c>
      <c r="CB92" s="12"/>
      <c r="CC92" s="12">
        <v>0.8</v>
      </c>
      <c r="CG92" s="12"/>
      <c r="CH92" s="12">
        <v>0.8</v>
      </c>
      <c r="CI92" s="12"/>
      <c r="CJ92" s="12">
        <v>0.8</v>
      </c>
      <c r="CN92" s="12"/>
      <c r="CO92" s="12"/>
      <c r="CP92" s="12"/>
      <c r="CQ92" s="12"/>
      <c r="CU92" s="12"/>
      <c r="CV92" s="12"/>
      <c r="CW92" s="12"/>
      <c r="CX92" s="12"/>
      <c r="DB92" s="12"/>
      <c r="DC92" s="12"/>
      <c r="DD92" s="12"/>
      <c r="DE92" s="12"/>
      <c r="DI92" s="12"/>
      <c r="DJ92" s="12"/>
      <c r="DK92" s="12"/>
      <c r="DL92" s="12"/>
    </row>
    <row r="93" spans="2:116" outlineLevel="1">
      <c r="B93" t="s">
        <v>28</v>
      </c>
      <c r="E93" s="11"/>
      <c r="F93" t="s">
        <v>127</v>
      </c>
      <c r="G93" s="12">
        <v>0.1</v>
      </c>
      <c r="I93" s="11">
        <f t="shared" si="14"/>
        <v>4</v>
      </c>
      <c r="J93" s="13">
        <f t="shared" si="15"/>
        <v>0</v>
      </c>
      <c r="K93" s="13">
        <f t="shared" si="15"/>
        <v>0</v>
      </c>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D93">
        <v>2</v>
      </c>
      <c r="BE93" s="12"/>
      <c r="BF93" s="12">
        <v>0.5</v>
      </c>
      <c r="BG93" s="12"/>
      <c r="BH93" s="12">
        <v>0.5</v>
      </c>
      <c r="BL93" s="12"/>
      <c r="BM93" s="12">
        <v>0.5</v>
      </c>
      <c r="BN93" s="12"/>
      <c r="BO93" s="12">
        <v>0.5</v>
      </c>
      <c r="BS93" s="12"/>
      <c r="BT93" s="12">
        <v>0.5</v>
      </c>
      <c r="BU93" s="12"/>
      <c r="BV93" s="12">
        <v>0.5</v>
      </c>
      <c r="BZ93" s="12"/>
      <c r="CA93" s="12">
        <v>0.5</v>
      </c>
      <c r="CB93" s="12"/>
      <c r="CC93" s="12">
        <v>0.5</v>
      </c>
      <c r="CF93">
        <v>2</v>
      </c>
      <c r="CG93" s="12"/>
      <c r="CH93" s="12">
        <v>0.8</v>
      </c>
      <c r="CI93" s="12"/>
      <c r="CJ93" s="12">
        <v>0.8</v>
      </c>
      <c r="CN93" s="12"/>
      <c r="CO93" s="12"/>
      <c r="CP93" s="12"/>
      <c r="CQ93" s="12"/>
      <c r="CU93" s="12"/>
      <c r="CV93" s="12"/>
      <c r="CW93" s="12"/>
      <c r="CX93" s="12"/>
      <c r="DB93" s="12"/>
      <c r="DC93" s="12"/>
      <c r="DD93" s="12"/>
      <c r="DE93" s="12"/>
      <c r="DI93" s="12"/>
      <c r="DJ93" s="12"/>
      <c r="DK93" s="12"/>
      <c r="DL93" s="12"/>
    </row>
    <row r="94" spans="2:116">
      <c r="O94" s="9"/>
      <c r="V94" s="9"/>
      <c r="AC94" s="9"/>
      <c r="AJ94" s="9"/>
      <c r="AQ94" s="9"/>
      <c r="AX94" s="9"/>
      <c r="BE94" s="9"/>
      <c r="BL94" s="9"/>
      <c r="BS94" s="9"/>
      <c r="BZ94" s="9"/>
      <c r="CG94" s="9"/>
      <c r="CN94" s="9"/>
      <c r="CU94" s="9"/>
      <c r="DB94" s="9"/>
      <c r="DI94" s="9"/>
    </row>
  </sheetData>
  <mergeCells count="16">
    <mergeCell ref="CT2:CY2"/>
    <mergeCell ref="DA2:DF2"/>
    <mergeCell ref="DH2:DM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25:K36">
    <cfRule type="colorScale" priority="1076">
      <colorScale>
        <cfvo type="percent" val="0"/>
        <cfvo type="percent" val="100"/>
        <color rgb="FFFF231B"/>
        <color rgb="FF10FF07"/>
      </colorScale>
    </cfRule>
  </conditionalFormatting>
  <conditionalFormatting sqref="O39:O47 Q39:Q47 O25:O36 AJ52:AJ60 AL52:AL60 AX58:AX60 AZ58:AZ60 Q52:Q60 O52:O60 BG60 X52:X60 V52:V60 AE52:AE60 AC52:AC60 AS56:AS60 AQ56:AQ60 BE60 CP52:CP60 CN52:CN60 CW52:CW60 CU52:CU60 DD52:DD60 DB52:DB60 DK52:DK60 DI52:DI60 O63:O67 Q63:Q67 AQ63:AQ67 AS63:AS67 V63:V67 X63:X67 AC63:AC67 AE63:AE67 AJ65:AJ67 AL65:AL67 AX67 AZ67 CN63:CN67 CP63:CP67 CU63:CU67 CW63:CW67 DB63:DB67 DD63:DD67 DI63:DI67 DK63:DK67 O84:O93 Q84:Q93 AQ89:AQ93 AS89:AS93 BE93 BG93 V84:V93 X84:X93 AC84:AC93 AE84:AE93 AJ87:AJ93 AL87:AL93 AX91:AX93 AZ91:AZ93 CN84:CN93 CP84:CP93 CU84:CU93 CW84:CW93 DB84:DB93 DD84:DD93 DI84:DI93 DK84:DK93 O5:O9 Q5:Q9 AQ5:AQ9 AS5:AS9 BE5:BE9 BG5:BG9 V5:V9 X5:X9 AC5:AC6 AE5:AE6 AJ5:AJ9 AL5:AL9 AX5:AX9 AZ5:AZ9 BL5:BL9 BN5:BN9 BS5:BS9 BU5:BU9 BZ5:BZ9 CB5:CB9 CG5:CG9 CI5:CI9 CN5:CN9 CP5:CP9 CU5:CU9 CW5:CW9 DB5:DB9 DD5:DD9 DI5:DI9 DK5:DK9 O17:O22 Q17:Q22 AQ17:AQ20 AS17:AS20 BE17:BE22 BG17:BG22 V17:V22 X17:X22 AC17:AC22 AE17:AE22 AJ17:AJ22 AL17:AL22 AX17:AX22 AZ17:AZ22 BL17:BL22 BN17:BN22 BS17:BS22 BU17:BU22 BZ17:BZ22 CB17:CB22 CG17:CG22 CI17:CI22 CN17:CN22 CP17:CP22 CU17:CU22 CW17:CW22 DB17:DB22 DD17:DD22 DI17:DI22 DK17:DK22 AC8:AC9 AE8:AE9 O12:O14 Q12:Q14 AQ12:AQ14 AS12:AS14 BE12:BE14 BG12:BG14 V12:V14 X12:X14 AC12:AC14 AE12:AE14 AJ12:AJ14 AL12:AL14 AX12:AX14 AZ12:AZ14 BL12:BL14 BN12:BN14 BS12:BS14 BU12:BU14 BZ12:BZ14 CB12:CB14 CG12:CG14 CI12:CI14 CN12:CN14 CP12:CP14 CU12:CU14 CW12:CW14 DB12:DB14 DD12:DD14 DI12:DI14 DK12:DK14">
    <cfRule type="expression" dxfId="407" priority="1074">
      <formula>OR(IF(O5&lt;P5,TRUE),IF(AND(P5="",O5&lt;&gt;""),TRUE))</formula>
    </cfRule>
    <cfRule type="expression" dxfId="406" priority="1075">
      <formula>IF(O5&gt;=P5,IF(O5="",FALSE,TRUE))</formula>
    </cfRule>
  </conditionalFormatting>
  <conditionalFormatting sqref="Q25:Q36">
    <cfRule type="expression" dxfId="405" priority="1072">
      <formula>OR(IF(Q25&lt;R25,TRUE),IF(AND(R25="",Q25&lt;&gt;""),TRUE))</formula>
    </cfRule>
    <cfRule type="expression" dxfId="404" priority="1073">
      <formula>IF(Q25&gt;=R25,IF(Q25="",FALSE,TRUE))</formula>
    </cfRule>
  </conditionalFormatting>
  <conditionalFormatting sqref="AQ44:AQ47 AS44:AS47 AQ25:AQ36">
    <cfRule type="expression" dxfId="403" priority="941">
      <formula>OR(IF(AQ25&lt;AR25,TRUE),IF(AND(AR25="",AQ25&lt;&gt;""),TRUE))</formula>
    </cfRule>
    <cfRule type="expression" dxfId="402" priority="942">
      <formula>IF(AQ25&gt;=AR25,IF(AQ25="",FALSE,TRUE))</formula>
    </cfRule>
  </conditionalFormatting>
  <conditionalFormatting sqref="AS25:AS36">
    <cfRule type="expression" dxfId="401" priority="939">
      <formula>OR(IF(AS25&lt;AT25,TRUE),IF(AND(AT25="",AS25&lt;&gt;""),TRUE))</formula>
    </cfRule>
    <cfRule type="expression" dxfId="400" priority="940">
      <formula>IF(AS25&gt;=AT25,IF(AS25="",FALSE,TRUE))</formula>
    </cfRule>
  </conditionalFormatting>
  <conditionalFormatting sqref="O50:O51">
    <cfRule type="expression" dxfId="399" priority="1015">
      <formula>OR(IF(O50&lt;P50,TRUE),IF(AND(P50="",O50&lt;&gt;""),TRUE))</formula>
    </cfRule>
    <cfRule type="expression" dxfId="398" priority="1016">
      <formula>IF(O50&gt;=P50,IF(O50="",FALSE,TRUE))</formula>
    </cfRule>
  </conditionalFormatting>
  <conditionalFormatting sqref="Q50:Q51">
    <cfRule type="expression" dxfId="397" priority="1013">
      <formula>OR(IF(Q50&lt;R50,TRUE),IF(AND(R50="",Q50&lt;&gt;""),TRUE))</formula>
    </cfRule>
    <cfRule type="expression" dxfId="396" priority="1014">
      <formula>IF(Q50&gt;=R50,IF(Q50="",FALSE,TRUE))</formula>
    </cfRule>
  </conditionalFormatting>
  <conditionalFormatting sqref="BE35:BE36">
    <cfRule type="expression" dxfId="395" priority="909">
      <formula>OR(IF(BE35&lt;BF35,TRUE),IF(AND(BF35="",BE35&lt;&gt;""),TRUE))</formula>
    </cfRule>
    <cfRule type="expression" dxfId="394" priority="910">
      <formula>IF(BE35&gt;=BF35,IF(BE35="",FALSE,TRUE))</formula>
    </cfRule>
  </conditionalFormatting>
  <conditionalFormatting sqref="BG35:BG36">
    <cfRule type="expression" dxfId="393" priority="907">
      <formula>OR(IF(BG35&lt;BH35,TRUE),IF(AND(BH35="",BG35&lt;&gt;""),TRUE))</formula>
    </cfRule>
    <cfRule type="expression" dxfId="392" priority="908">
      <formula>IF(BG35&gt;=BH35,IF(BG35="",FALSE,TRUE))</formula>
    </cfRule>
  </conditionalFormatting>
  <conditionalFormatting sqref="V70:V81">
    <cfRule type="expression" dxfId="391" priority="859">
      <formula>OR(IF(V70&lt;W70,TRUE),IF(AND(W70="",V70&lt;&gt;""),TRUE))</formula>
    </cfRule>
    <cfRule type="expression" dxfId="390" priority="860">
      <formula>IF(V70&gt;=W70,IF(V70="",FALSE,TRUE))</formula>
    </cfRule>
  </conditionalFormatting>
  <conditionalFormatting sqref="V39:V47 X39:X47 V25:V36">
    <cfRule type="expression" dxfId="389" priority="989">
      <formula>OR(IF(V25&lt;W25,TRUE),IF(AND(W25="",V25&lt;&gt;""),TRUE))</formula>
    </cfRule>
    <cfRule type="expression" dxfId="388" priority="990">
      <formula>IF(V25&gt;=W25,IF(V25="",FALSE,TRUE))</formula>
    </cfRule>
  </conditionalFormatting>
  <conditionalFormatting sqref="X25:X36">
    <cfRule type="expression" dxfId="387" priority="987">
      <formula>OR(IF(X25&lt;Y25,TRUE),IF(AND(Y25="",X25&lt;&gt;""),TRUE))</formula>
    </cfRule>
    <cfRule type="expression" dxfId="386" priority="988">
      <formula>IF(X25&gt;=Y25,IF(X25="",FALSE,TRUE))</formula>
    </cfRule>
  </conditionalFormatting>
  <conditionalFormatting sqref="V50:V51">
    <cfRule type="expression" dxfId="385" priority="985">
      <formula>OR(IF(V50&lt;W50,TRUE),IF(AND(W50="",V50&lt;&gt;""),TRUE))</formula>
    </cfRule>
    <cfRule type="expression" dxfId="384" priority="986">
      <formula>IF(V50&gt;=W50,IF(V50="",FALSE,TRUE))</formula>
    </cfRule>
  </conditionalFormatting>
  <conditionalFormatting sqref="X50:X51">
    <cfRule type="expression" dxfId="383" priority="983">
      <formula>OR(IF(X50&lt;Y50,TRUE),IF(AND(Y50="",X50&lt;&gt;""),TRUE))</formula>
    </cfRule>
    <cfRule type="expression" dxfId="382" priority="984">
      <formula>IF(X50&gt;=Y50,IF(X50="",FALSE,TRUE))</formula>
    </cfRule>
  </conditionalFormatting>
  <conditionalFormatting sqref="AC39:AC47 AE39:AE47 AC25:AC36">
    <cfRule type="expression" dxfId="381" priority="973">
      <formula>OR(IF(AC25&lt;AD25,TRUE),IF(AND(AD25="",AC25&lt;&gt;""),TRUE))</formula>
    </cfRule>
    <cfRule type="expression" dxfId="380" priority="974">
      <formula>IF(AC25&gt;=AD25,IF(AC25="",FALSE,TRUE))</formula>
    </cfRule>
  </conditionalFormatting>
  <conditionalFormatting sqref="AE25:AE36">
    <cfRule type="expression" dxfId="379" priority="971">
      <formula>OR(IF(AE25&lt;AF25,TRUE),IF(AND(AF25="",AE25&lt;&gt;""),TRUE))</formula>
    </cfRule>
    <cfRule type="expression" dxfId="378" priority="972">
      <formula>IF(AE25&gt;=AF25,IF(AE25="",FALSE,TRUE))</formula>
    </cfRule>
  </conditionalFormatting>
  <conditionalFormatting sqref="AC50:AC51">
    <cfRule type="expression" dxfId="377" priority="969">
      <formula>OR(IF(AC50&lt;AD50,TRUE),IF(AND(AD50="",AC50&lt;&gt;""),TRUE))</formula>
    </cfRule>
    <cfRule type="expression" dxfId="376" priority="970">
      <formula>IF(AC50&gt;=AD50,IF(AC50="",FALSE,TRUE))</formula>
    </cfRule>
  </conditionalFormatting>
  <conditionalFormatting sqref="AE50:AE51">
    <cfRule type="expression" dxfId="375" priority="967">
      <formula>OR(IF(AE50&lt;AF50,TRUE),IF(AND(AF50="",AE50&lt;&gt;""),TRUE))</formula>
    </cfRule>
    <cfRule type="expression" dxfId="374" priority="968">
      <formula>IF(AE50&gt;=AF50,IF(AE50="",FALSE,TRUE))</formula>
    </cfRule>
  </conditionalFormatting>
  <conditionalFormatting sqref="AJ42:AJ47 AL42:AL47 AJ25:AJ36">
    <cfRule type="expression" dxfId="373" priority="957">
      <formula>OR(IF(AJ25&lt;AK25,TRUE),IF(AND(AK25="",AJ25&lt;&gt;""),TRUE))</formula>
    </cfRule>
    <cfRule type="expression" dxfId="372" priority="958">
      <formula>IF(AJ25&gt;=AK25,IF(AJ25="",FALSE,TRUE))</formula>
    </cfRule>
  </conditionalFormatting>
  <conditionalFormatting sqref="AL25:AL36">
    <cfRule type="expression" dxfId="371" priority="955">
      <formula>OR(IF(AL25&lt;AM25,TRUE),IF(AND(AM25="",AL25&lt;&gt;""),TRUE))</formula>
    </cfRule>
    <cfRule type="expression" dxfId="370" priority="956">
      <formula>IF(AL25&gt;=AM25,IF(AL25="",FALSE,TRUE))</formula>
    </cfRule>
  </conditionalFormatting>
  <conditionalFormatting sqref="AJ50:AJ51">
    <cfRule type="expression" dxfId="369" priority="953">
      <formula>OR(IF(AJ50&lt;AK50,TRUE),IF(AND(AK50="",AJ50&lt;&gt;""),TRUE))</formula>
    </cfRule>
    <cfRule type="expression" dxfId="368" priority="954">
      <formula>IF(AJ50&gt;=AK50,IF(AJ50="",FALSE,TRUE))</formula>
    </cfRule>
  </conditionalFormatting>
  <conditionalFormatting sqref="AL50:AL51">
    <cfRule type="expression" dxfId="367" priority="951">
      <formula>OR(IF(AL50&lt;AM50,TRUE),IF(AND(AM50="",AL50&lt;&gt;""),TRUE))</formula>
    </cfRule>
    <cfRule type="expression" dxfId="366" priority="952">
      <formula>IF(AL50&gt;=AM50,IF(AL50="",FALSE,TRUE))</formula>
    </cfRule>
  </conditionalFormatting>
  <conditionalFormatting sqref="AX46:AX47 AZ46:AZ47 AX33:AX36">
    <cfRule type="expression" dxfId="365" priority="925">
      <formula>OR(IF(AX33&lt;AY33,TRUE),IF(AND(AY33="",AX33&lt;&gt;""),TRUE))</formula>
    </cfRule>
    <cfRule type="expression" dxfId="364" priority="926">
      <formula>IF(AX33&gt;=AY33,IF(AX33="",FALSE,TRUE))</formula>
    </cfRule>
  </conditionalFormatting>
  <conditionalFormatting sqref="AZ33:AZ36">
    <cfRule type="expression" dxfId="363" priority="923">
      <formula>OR(IF(AZ33&lt;BA33,TRUE),IF(AND(BA33="",AZ33&lt;&gt;""),TRUE))</formula>
    </cfRule>
    <cfRule type="expression" dxfId="362" priority="924">
      <formula>IF(AZ33&gt;=BA33,IF(AZ33="",FALSE,TRUE))</formula>
    </cfRule>
  </conditionalFormatting>
  <conditionalFormatting sqref="X70:X81">
    <cfRule type="expression" dxfId="361" priority="857">
      <formula>OR(IF(X70&lt;Y70,TRUE),IF(AND(Y70="",X70&lt;&gt;""),TRUE))</formula>
    </cfRule>
    <cfRule type="expression" dxfId="360" priority="858">
      <formula>IF(X70&gt;=Y70,IF(X70="",FALSE,TRUE))</formula>
    </cfRule>
  </conditionalFormatting>
  <conditionalFormatting sqref="J70:K81">
    <cfRule type="colorScale" priority="865">
      <colorScale>
        <cfvo type="percent" val="0"/>
        <cfvo type="percent" val="100"/>
        <color rgb="FFFF231B"/>
        <color rgb="FF10FF07"/>
      </colorScale>
    </cfRule>
  </conditionalFormatting>
  <conditionalFormatting sqref="O70:O81">
    <cfRule type="expression" dxfId="359" priority="863">
      <formula>OR(IF(O70&lt;P70,TRUE),IF(AND(P70="",O70&lt;&gt;""),TRUE))</formula>
    </cfRule>
    <cfRule type="expression" dxfId="358" priority="864">
      <formula>IF(O70&gt;=P70,IF(O70="",FALSE,TRUE))</formula>
    </cfRule>
  </conditionalFormatting>
  <conditionalFormatting sqref="Q70:Q81">
    <cfRule type="expression" dxfId="357" priority="861">
      <formula>OR(IF(Q70&lt;R70,TRUE),IF(AND(R70="",Q70&lt;&gt;""),TRUE))</formula>
    </cfRule>
    <cfRule type="expression" dxfId="356" priority="862">
      <formula>IF(Q70&gt;=R70,IF(Q70="",FALSE,TRUE))</formula>
    </cfRule>
  </conditionalFormatting>
  <conditionalFormatting sqref="AQ70:AQ81">
    <cfRule type="expression" dxfId="355" priority="847">
      <formula>OR(IF(AQ70&lt;AR70,TRUE),IF(AND(AR70="",AQ70&lt;&gt;""),TRUE))</formula>
    </cfRule>
    <cfRule type="expression" dxfId="354" priority="848">
      <formula>IF(AQ70&gt;=AR70,IF(AQ70="",FALSE,TRUE))</formula>
    </cfRule>
  </conditionalFormatting>
  <conditionalFormatting sqref="AS70:AS81">
    <cfRule type="expression" dxfId="353" priority="845">
      <formula>OR(IF(AS70&lt;AT70,TRUE),IF(AND(AT70="",AS70&lt;&gt;""),TRUE))</formula>
    </cfRule>
    <cfRule type="expression" dxfId="352" priority="846">
      <formula>IF(AS70&gt;=AT70,IF(AS70="",FALSE,TRUE))</formula>
    </cfRule>
  </conditionalFormatting>
  <conditionalFormatting sqref="BE70:BE81">
    <cfRule type="expression" dxfId="351" priority="839">
      <formula>OR(IF(BE70&lt;BF70,TRUE),IF(AND(BF70="",BE70&lt;&gt;""),TRUE))</formula>
    </cfRule>
    <cfRule type="expression" dxfId="350" priority="840">
      <formula>IF(BE70&gt;=BF70,IF(BE70="",FALSE,TRUE))</formula>
    </cfRule>
  </conditionalFormatting>
  <conditionalFormatting sqref="BG70:BG81">
    <cfRule type="expression" dxfId="349" priority="837">
      <formula>OR(IF(BG70&lt;BH70,TRUE),IF(AND(BH70="",BG70&lt;&gt;""),TRUE))</formula>
    </cfRule>
    <cfRule type="expression" dxfId="348" priority="838">
      <formula>IF(BG70&gt;=BH70,IF(BG70="",FALSE,TRUE))</formula>
    </cfRule>
  </conditionalFormatting>
  <conditionalFormatting sqref="AC70:AC81">
    <cfRule type="expression" dxfId="347" priority="855">
      <formula>OR(IF(AC70&lt;AD70,TRUE),IF(AND(AD70="",AC70&lt;&gt;""),TRUE))</formula>
    </cfRule>
    <cfRule type="expression" dxfId="346" priority="856">
      <formula>IF(AC70&gt;=AD70,IF(AC70="",FALSE,TRUE))</formula>
    </cfRule>
  </conditionalFormatting>
  <conditionalFormatting sqref="AE70:AE81">
    <cfRule type="expression" dxfId="345" priority="853">
      <formula>OR(IF(AE70&lt;AF70,TRUE),IF(AND(AF70="",AE70&lt;&gt;""),TRUE))</formula>
    </cfRule>
    <cfRule type="expression" dxfId="344" priority="854">
      <formula>IF(AE70&gt;=AF70,IF(AE70="",FALSE,TRUE))</formula>
    </cfRule>
  </conditionalFormatting>
  <conditionalFormatting sqref="AJ70:AJ81">
    <cfRule type="expression" dxfId="343" priority="851">
      <formula>OR(IF(AJ70&lt;AK70,TRUE),IF(AND(AK70="",AJ70&lt;&gt;""),TRUE))</formula>
    </cfRule>
    <cfRule type="expression" dxfId="342" priority="852">
      <formula>IF(AJ70&gt;=AK70,IF(AJ70="",FALSE,TRUE))</formula>
    </cfRule>
  </conditionalFormatting>
  <conditionalFormatting sqref="AL70:AL81">
    <cfRule type="expression" dxfId="341" priority="849">
      <formula>OR(IF(AL70&lt;AM70,TRUE),IF(AND(AM70="",AL70&lt;&gt;""),TRUE))</formula>
    </cfRule>
    <cfRule type="expression" dxfId="340" priority="850">
      <formula>IF(AL70&gt;=AM70,IF(AL70="",FALSE,TRUE))</formula>
    </cfRule>
  </conditionalFormatting>
  <conditionalFormatting sqref="AX70:AX81">
    <cfRule type="expression" dxfId="339" priority="843">
      <formula>OR(IF(AX70&lt;AY70,TRUE),IF(AND(AY70="",AX70&lt;&gt;""),TRUE))</formula>
    </cfRule>
    <cfRule type="expression" dxfId="338" priority="844">
      <formula>IF(AX70&gt;=AY70,IF(AX70="",FALSE,TRUE))</formula>
    </cfRule>
  </conditionalFormatting>
  <conditionalFormatting sqref="AZ70:AZ81">
    <cfRule type="expression" dxfId="337" priority="841">
      <formula>OR(IF(AZ70&lt;BA70,TRUE),IF(AND(BA70="",AZ70&lt;&gt;""),TRUE))</formula>
    </cfRule>
    <cfRule type="expression" dxfId="336" priority="842">
      <formula>IF(AZ70&gt;=BA70,IF(AZ70="",FALSE,TRUE))</formula>
    </cfRule>
  </conditionalFormatting>
  <conditionalFormatting sqref="BL70:BL81">
    <cfRule type="expression" dxfId="335" priority="641">
      <formula>OR(IF(BL70&lt;BM70,TRUE),IF(AND(BM70="",BL70&lt;&gt;""),TRUE))</formula>
    </cfRule>
    <cfRule type="expression" dxfId="334" priority="642">
      <formula>IF(BL70&gt;=BM70,IF(BL70="",FALSE,TRUE))</formula>
    </cfRule>
  </conditionalFormatting>
  <conditionalFormatting sqref="BN70:BN81">
    <cfRule type="expression" dxfId="333" priority="639">
      <formula>OR(IF(BN70&lt;BO70,TRUE),IF(AND(BO70="",BN70&lt;&gt;""),TRUE))</formula>
    </cfRule>
    <cfRule type="expression" dxfId="332" priority="640">
      <formula>IF(BN70&gt;=BO70,IF(BN70="",FALSE,TRUE))</formula>
    </cfRule>
  </conditionalFormatting>
  <conditionalFormatting sqref="BS70:BS81">
    <cfRule type="expression" dxfId="331" priority="593">
      <formula>OR(IF(BS70&lt;BT70,TRUE),IF(AND(BT70="",BS70&lt;&gt;""),TRUE))</formula>
    </cfRule>
    <cfRule type="expression" dxfId="330" priority="594">
      <formula>IF(BS70&gt;=BT70,IF(BS70="",FALSE,TRUE))</formula>
    </cfRule>
  </conditionalFormatting>
  <conditionalFormatting sqref="BU70:BU81">
    <cfRule type="expression" dxfId="329" priority="591">
      <formula>OR(IF(BU70&lt;BV70,TRUE),IF(AND(BV70="",BU70&lt;&gt;""),TRUE))</formula>
    </cfRule>
    <cfRule type="expression" dxfId="328" priority="592">
      <formula>IF(BU70&gt;=BV70,IF(BU70="",FALSE,TRUE))</formula>
    </cfRule>
  </conditionalFormatting>
  <conditionalFormatting sqref="CB70:CB81">
    <cfRule type="expression" dxfId="327" priority="543">
      <formula>OR(IF(CB70&lt;CC70,TRUE),IF(AND(CC70="",CB70&lt;&gt;""),TRUE))</formula>
    </cfRule>
    <cfRule type="expression" dxfId="326" priority="544">
      <formula>IF(CB70&gt;=CC70,IF(CB70="",FALSE,TRUE))</formula>
    </cfRule>
  </conditionalFormatting>
  <conditionalFormatting sqref="BZ70:BZ81">
    <cfRule type="expression" dxfId="325" priority="545">
      <formula>OR(IF(BZ70&lt;CA70,TRUE),IF(AND(CA70="",BZ70&lt;&gt;""),TRUE))</formula>
    </cfRule>
    <cfRule type="expression" dxfId="324" priority="546">
      <formula>IF(BZ70&gt;=CA70,IF(BZ70="",FALSE,TRUE))</formula>
    </cfRule>
  </conditionalFormatting>
  <conditionalFormatting sqref="CN39:CN47 CP39:CP47 CN25:CN36">
    <cfRule type="expression" dxfId="323" priority="469">
      <formula>OR(IF(CN25&lt;CO25,TRUE),IF(AND(CO25="",CN25&lt;&gt;""),TRUE))</formula>
    </cfRule>
    <cfRule type="expression" dxfId="322" priority="470">
      <formula>IF(CN25&gt;=CO25,IF(CN25="",FALSE,TRUE))</formula>
    </cfRule>
  </conditionalFormatting>
  <conditionalFormatting sqref="CG70:CG81">
    <cfRule type="expression" dxfId="321" priority="497">
      <formula>OR(IF(CG70&lt;CH70,TRUE),IF(AND(CH70="",CG70&lt;&gt;""),TRUE))</formula>
    </cfRule>
    <cfRule type="expression" dxfId="320" priority="498">
      <formula>IF(CG70&gt;=CH70,IF(CG70="",FALSE,TRUE))</formula>
    </cfRule>
  </conditionalFormatting>
  <conditionalFormatting sqref="CI70:CI81">
    <cfRule type="expression" dxfId="319" priority="495">
      <formula>OR(IF(CI70&lt;CJ70,TRUE),IF(AND(CJ70="",CI70&lt;&gt;""),TRUE))</formula>
    </cfRule>
    <cfRule type="expression" dxfId="318" priority="496">
      <formula>IF(CI70&gt;=CJ70,IF(CI70="",FALSE,TRUE))</formula>
    </cfRule>
  </conditionalFormatting>
  <conditionalFormatting sqref="CP25:CP36">
    <cfRule type="expression" dxfId="317" priority="467">
      <formula>OR(IF(CP25&lt;CQ25,TRUE),IF(AND(CQ25="",CP25&lt;&gt;""),TRUE))</formula>
    </cfRule>
    <cfRule type="expression" dxfId="316" priority="468">
      <formula>IF(CP25&gt;=CQ25,IF(CP25="",FALSE,TRUE))</formula>
    </cfRule>
  </conditionalFormatting>
  <conditionalFormatting sqref="CN50:CN51">
    <cfRule type="expression" dxfId="315" priority="465">
      <formula>OR(IF(CN50&lt;CO50,TRUE),IF(AND(CO50="",CN50&lt;&gt;""),TRUE))</formula>
    </cfRule>
    <cfRule type="expression" dxfId="314" priority="466">
      <formula>IF(CN50&gt;=CO50,IF(CN50="",FALSE,TRUE))</formula>
    </cfRule>
  </conditionalFormatting>
  <conditionalFormatting sqref="CP50:CP51">
    <cfRule type="expression" dxfId="313" priority="463">
      <formula>OR(IF(CP50&lt;CQ50,TRUE),IF(AND(CQ50="",CP50&lt;&gt;""),TRUE))</formula>
    </cfRule>
    <cfRule type="expression" dxfId="312" priority="464">
      <formula>IF(CP50&gt;=CQ50,IF(CP50="",FALSE,TRUE))</formula>
    </cfRule>
  </conditionalFormatting>
  <conditionalFormatting sqref="CN70:CN81">
    <cfRule type="expression" dxfId="311" priority="449">
      <formula>OR(IF(CN70&lt;CO70,TRUE),IF(AND(CO70="",CN70&lt;&gt;""),TRUE))</formula>
    </cfRule>
    <cfRule type="expression" dxfId="310" priority="450">
      <formula>IF(CN70&gt;=CO70,IF(CN70="",FALSE,TRUE))</formula>
    </cfRule>
  </conditionalFormatting>
  <conditionalFormatting sqref="CP70:CP81">
    <cfRule type="expression" dxfId="309" priority="447">
      <formula>OR(IF(CP70&lt;CQ70,TRUE),IF(AND(CQ70="",CP70&lt;&gt;""),TRUE))</formula>
    </cfRule>
    <cfRule type="expression" dxfId="308" priority="448">
      <formula>IF(CP70&gt;=CQ70,IF(CP70="",FALSE,TRUE))</formula>
    </cfRule>
  </conditionalFormatting>
  <conditionalFormatting sqref="CU39:CU47 CW39:CW47 CU25:CU36">
    <cfRule type="expression" dxfId="307" priority="421">
      <formula>OR(IF(CU25&lt;CV25,TRUE),IF(AND(CV25="",CU25&lt;&gt;""),TRUE))</formula>
    </cfRule>
    <cfRule type="expression" dxfId="306" priority="422">
      <formula>IF(CU25&gt;=CV25,IF(CU25="",FALSE,TRUE))</formula>
    </cfRule>
  </conditionalFormatting>
  <conditionalFormatting sqref="CW25:CW36">
    <cfRule type="expression" dxfId="305" priority="419">
      <formula>OR(IF(CW25&lt;CX25,TRUE),IF(AND(CX25="",CW25&lt;&gt;""),TRUE))</formula>
    </cfRule>
    <cfRule type="expression" dxfId="304" priority="420">
      <formula>IF(CW25&gt;=CX25,IF(CW25="",FALSE,TRUE))</formula>
    </cfRule>
  </conditionalFormatting>
  <conditionalFormatting sqref="CU50:CU51">
    <cfRule type="expression" dxfId="303" priority="417">
      <formula>OR(IF(CU50&lt;CV50,TRUE),IF(AND(CV50="",CU50&lt;&gt;""),TRUE))</formula>
    </cfRule>
    <cfRule type="expression" dxfId="302" priority="418">
      <formula>IF(CU50&gt;=CV50,IF(CU50="",FALSE,TRUE))</formula>
    </cfRule>
  </conditionalFormatting>
  <conditionalFormatting sqref="CW50:CW51">
    <cfRule type="expression" dxfId="301" priority="415">
      <formula>OR(IF(CW50&lt;CX50,TRUE),IF(AND(CX50="",CW50&lt;&gt;""),TRUE))</formula>
    </cfRule>
    <cfRule type="expression" dxfId="300" priority="416">
      <formula>IF(CW50&gt;=CX50,IF(CW50="",FALSE,TRUE))</formula>
    </cfRule>
  </conditionalFormatting>
  <conditionalFormatting sqref="CU70:CU81">
    <cfRule type="expression" dxfId="299" priority="401">
      <formula>OR(IF(CU70&lt;CV70,TRUE),IF(AND(CV70="",CU70&lt;&gt;""),TRUE))</formula>
    </cfRule>
    <cfRule type="expression" dxfId="298" priority="402">
      <formula>IF(CU70&gt;=CV70,IF(CU70="",FALSE,TRUE))</formula>
    </cfRule>
  </conditionalFormatting>
  <conditionalFormatting sqref="CW70:CW81">
    <cfRule type="expression" dxfId="297" priority="399">
      <formula>OR(IF(CW70&lt;CX70,TRUE),IF(AND(CX70="",CW70&lt;&gt;""),TRUE))</formula>
    </cfRule>
    <cfRule type="expression" dxfId="296" priority="400">
      <formula>IF(CW70&gt;=CX70,IF(CW70="",FALSE,TRUE))</formula>
    </cfRule>
  </conditionalFormatting>
  <conditionalFormatting sqref="DB39:DB47 DD39:DD47 DB25:DB36">
    <cfRule type="expression" dxfId="295" priority="373">
      <formula>OR(IF(DB25&lt;DC25,TRUE),IF(AND(DC25="",DB25&lt;&gt;""),TRUE))</formula>
    </cfRule>
    <cfRule type="expression" dxfId="294" priority="374">
      <formula>IF(DB25&gt;=DC25,IF(DB25="",FALSE,TRUE))</formula>
    </cfRule>
  </conditionalFormatting>
  <conditionalFormatting sqref="DD25:DD36">
    <cfRule type="expression" dxfId="293" priority="371">
      <formula>OR(IF(DD25&lt;DE25,TRUE),IF(AND(DE25="",DD25&lt;&gt;""),TRUE))</formula>
    </cfRule>
    <cfRule type="expression" dxfId="292" priority="372">
      <formula>IF(DD25&gt;=DE25,IF(DD25="",FALSE,TRUE))</formula>
    </cfRule>
  </conditionalFormatting>
  <conditionalFormatting sqref="DB50:DB51">
    <cfRule type="expression" dxfId="291" priority="369">
      <formula>OR(IF(DB50&lt;DC50,TRUE),IF(AND(DC50="",DB50&lt;&gt;""),TRUE))</formula>
    </cfRule>
    <cfRule type="expression" dxfId="290" priority="370">
      <formula>IF(DB50&gt;=DC50,IF(DB50="",FALSE,TRUE))</formula>
    </cfRule>
  </conditionalFormatting>
  <conditionalFormatting sqref="DD50:DD51">
    <cfRule type="expression" dxfId="289" priority="367">
      <formula>OR(IF(DD50&lt;DE50,TRUE),IF(AND(DE50="",DD50&lt;&gt;""),TRUE))</formula>
    </cfRule>
    <cfRule type="expression" dxfId="288" priority="368">
      <formula>IF(DD50&gt;=DE50,IF(DD50="",FALSE,TRUE))</formula>
    </cfRule>
  </conditionalFormatting>
  <conditionalFormatting sqref="DB70:DB81">
    <cfRule type="expression" dxfId="287" priority="353">
      <formula>OR(IF(DB70&lt;DC70,TRUE),IF(AND(DC70="",DB70&lt;&gt;""),TRUE))</formula>
    </cfRule>
    <cfRule type="expression" dxfId="286" priority="354">
      <formula>IF(DB70&gt;=DC70,IF(DB70="",FALSE,TRUE))</formula>
    </cfRule>
  </conditionalFormatting>
  <conditionalFormatting sqref="DD70:DD81">
    <cfRule type="expression" dxfId="285" priority="351">
      <formula>OR(IF(DD70&lt;DE70,TRUE),IF(AND(DE70="",DD70&lt;&gt;""),TRUE))</formula>
    </cfRule>
    <cfRule type="expression" dxfId="284" priority="352">
      <formula>IF(DD70&gt;=DE70,IF(DD70="",FALSE,TRUE))</formula>
    </cfRule>
  </conditionalFormatting>
  <conditionalFormatting sqref="DI39:DI47 DK39:DK47 DI25:DI36">
    <cfRule type="expression" dxfId="283" priority="325">
      <formula>OR(IF(DI25&lt;DJ25,TRUE),IF(AND(DJ25="",DI25&lt;&gt;""),TRUE))</formula>
    </cfRule>
    <cfRule type="expression" dxfId="282" priority="326">
      <formula>IF(DI25&gt;=DJ25,IF(DI25="",FALSE,TRUE))</formula>
    </cfRule>
  </conditionalFormatting>
  <conditionalFormatting sqref="DK25:DK36">
    <cfRule type="expression" dxfId="281" priority="323">
      <formula>OR(IF(DK25&lt;DL25,TRUE),IF(AND(DL25="",DK25&lt;&gt;""),TRUE))</formula>
    </cfRule>
    <cfRule type="expression" dxfId="280" priority="324">
      <formula>IF(DK25&gt;=DL25,IF(DK25="",FALSE,TRUE))</formula>
    </cfRule>
  </conditionalFormatting>
  <conditionalFormatting sqref="DI50:DI51">
    <cfRule type="expression" dxfId="279" priority="321">
      <formula>OR(IF(DI50&lt;DJ50,TRUE),IF(AND(DJ50="",DI50&lt;&gt;""),TRUE))</formula>
    </cfRule>
    <cfRule type="expression" dxfId="278" priority="322">
      <formula>IF(DI50&gt;=DJ50,IF(DI50="",FALSE,TRUE))</formula>
    </cfRule>
  </conditionalFormatting>
  <conditionalFormatting sqref="DK50:DK51">
    <cfRule type="expression" dxfId="277" priority="319">
      <formula>OR(IF(DK50&lt;DL50,TRUE),IF(AND(DL50="",DK50&lt;&gt;""),TRUE))</formula>
    </cfRule>
    <cfRule type="expression" dxfId="276" priority="320">
      <formula>IF(DK50&gt;=DL50,IF(DK50="",FALSE,TRUE))</formula>
    </cfRule>
  </conditionalFormatting>
  <conditionalFormatting sqref="DI70:DI81">
    <cfRule type="expression" dxfId="275" priority="305">
      <formula>OR(IF(DI70&lt;DJ70,TRUE),IF(AND(DJ70="",DI70&lt;&gt;""),TRUE))</formula>
    </cfRule>
    <cfRule type="expression" dxfId="274" priority="306">
      <formula>IF(DI70&gt;=DJ70,IF(DI70="",FALSE,TRUE))</formula>
    </cfRule>
  </conditionalFormatting>
  <conditionalFormatting sqref="DK70:DK81">
    <cfRule type="expression" dxfId="273" priority="303">
      <formula>OR(IF(DK70&lt;DL70,TRUE),IF(AND(DL70="",DK70&lt;&gt;""),TRUE))</formula>
    </cfRule>
    <cfRule type="expression" dxfId="272" priority="304">
      <formula>IF(DK70&gt;=DL70,IF(DK70="",FALSE,TRUE))</formula>
    </cfRule>
  </conditionalFormatting>
  <conditionalFormatting sqref="J50:K60">
    <cfRule type="colorScale" priority="1082">
      <colorScale>
        <cfvo type="percent" val="0"/>
        <cfvo type="percent" val="100"/>
        <color rgb="FFFF231B"/>
        <color rgb="FF10FF07"/>
      </colorScale>
    </cfRule>
  </conditionalFormatting>
  <conditionalFormatting sqref="J63:K67">
    <cfRule type="colorScale" priority="1083">
      <colorScale>
        <cfvo type="percent" val="0"/>
        <cfvo type="percent" val="100"/>
        <color rgb="FFFF231B"/>
        <color rgb="FF10FF07"/>
      </colorScale>
    </cfRule>
  </conditionalFormatting>
  <conditionalFormatting sqref="J84:K93">
    <cfRule type="colorScale" priority="1084">
      <colorScale>
        <cfvo type="percent" val="0"/>
        <cfvo type="percent" val="100"/>
        <color rgb="FFFF231B"/>
        <color rgb="FF10FF07"/>
      </colorScale>
    </cfRule>
  </conditionalFormatting>
  <conditionalFormatting sqref="J5:K9">
    <cfRule type="colorScale" priority="1146">
      <colorScale>
        <cfvo type="percent" val="0"/>
        <cfvo type="percent" val="100"/>
        <color rgb="FFFF231B"/>
        <color rgb="FF10FF07"/>
      </colorScale>
    </cfRule>
  </conditionalFormatting>
  <conditionalFormatting sqref="J17:K22">
    <cfRule type="colorScale" priority="1147">
      <colorScale>
        <cfvo type="percent" val="0"/>
        <cfvo type="percent" val="100"/>
        <color rgb="FFFF231B"/>
        <color rgb="FF10FF07"/>
      </colorScale>
    </cfRule>
  </conditionalFormatting>
  <conditionalFormatting sqref="J12:K14">
    <cfRule type="colorScale" priority="1148">
      <colorScale>
        <cfvo type="percent" val="0"/>
        <cfvo type="percent" val="100"/>
        <color rgb="FFFF231B"/>
        <color rgb="FF10FF07"/>
      </colorScale>
    </cfRule>
  </conditionalFormatting>
  <conditionalFormatting sqref="AX25:AX32">
    <cfRule type="expression" dxfId="271" priority="267">
      <formula>OR(IF(AX25&lt;AY25,TRUE),IF(AND(AY25="",AX25&lt;&gt;""),TRUE))</formula>
    </cfRule>
    <cfRule type="expression" dxfId="270" priority="268">
      <formula>IF(AX25&gt;=AY25,IF(AX25="",FALSE,TRUE))</formula>
    </cfRule>
  </conditionalFormatting>
  <conditionalFormatting sqref="AZ25:AZ32">
    <cfRule type="expression" dxfId="269" priority="265">
      <formula>OR(IF(AZ25&lt;BA25,TRUE),IF(AND(BA25="",AZ25&lt;&gt;""),TRUE))</formula>
    </cfRule>
    <cfRule type="expression" dxfId="268" priority="266">
      <formula>IF(AZ25&gt;=BA25,IF(AZ25="",FALSE,TRUE))</formula>
    </cfRule>
  </conditionalFormatting>
  <conditionalFormatting sqref="AQ21:AQ22">
    <cfRule type="expression" dxfId="267" priority="271">
      <formula>OR(IF(AQ21&lt;AR21,TRUE),IF(AND(AR21="",AQ21&lt;&gt;""),TRUE))</formula>
    </cfRule>
    <cfRule type="expression" dxfId="266" priority="272">
      <formula>IF(AQ21&gt;=AR21,IF(AQ21="",FALSE,TRUE))</formula>
    </cfRule>
  </conditionalFormatting>
  <conditionalFormatting sqref="AS21:AS22">
    <cfRule type="expression" dxfId="265" priority="269">
      <formula>OR(IF(AS21&lt;AT21,TRUE),IF(AND(AT21="",AS21&lt;&gt;""),TRUE))</formula>
    </cfRule>
    <cfRule type="expression" dxfId="264" priority="270">
      <formula>IF(AS21&gt;=AT21,IF(AS21="",FALSE,TRUE))</formula>
    </cfRule>
  </conditionalFormatting>
  <conditionalFormatting sqref="BE25:BE32">
    <cfRule type="expression" dxfId="263" priority="259">
      <formula>OR(IF(BE25&lt;BF25,TRUE),IF(AND(BF25="",BE25&lt;&gt;""),TRUE))</formula>
    </cfRule>
    <cfRule type="expression" dxfId="262" priority="260">
      <formula>IF(BE25&gt;=BF25,IF(BE25="",FALSE,TRUE))</formula>
    </cfRule>
  </conditionalFormatting>
  <conditionalFormatting sqref="BG25:BG32">
    <cfRule type="expression" dxfId="261" priority="257">
      <formula>OR(IF(BG25&lt;BH25,TRUE),IF(AND(BH25="",BG25&lt;&gt;""),TRUE))</formula>
    </cfRule>
    <cfRule type="expression" dxfId="260" priority="258">
      <formula>IF(BG25&gt;=BH25,IF(BG25="",FALSE,TRUE))</formula>
    </cfRule>
  </conditionalFormatting>
  <conditionalFormatting sqref="BE33:BE34">
    <cfRule type="expression" dxfId="259" priority="263">
      <formula>OR(IF(BE33&lt;BF33,TRUE),IF(AND(BF33="",BE33&lt;&gt;""),TRUE))</formula>
    </cfRule>
    <cfRule type="expression" dxfId="258" priority="264">
      <formula>IF(BE33&gt;=BF33,IF(BE33="",FALSE,TRUE))</formula>
    </cfRule>
  </conditionalFormatting>
  <conditionalFormatting sqref="BG33:BG34">
    <cfRule type="expression" dxfId="257" priority="261">
      <formula>OR(IF(BG33&lt;BH33,TRUE),IF(AND(BH33="",BG33&lt;&gt;""),TRUE))</formula>
    </cfRule>
    <cfRule type="expression" dxfId="256" priority="262">
      <formula>IF(BG33&gt;=BH33,IF(BG33="",FALSE,TRUE))</formula>
    </cfRule>
  </conditionalFormatting>
  <conditionalFormatting sqref="BL25:BL32">
    <cfRule type="expression" dxfId="255" priority="247">
      <formula>OR(IF(BL25&lt;BM25,TRUE),IF(AND(BM25="",BL25&lt;&gt;""),TRUE))</formula>
    </cfRule>
    <cfRule type="expression" dxfId="254" priority="248">
      <formula>IF(BL25&gt;=BM25,IF(BL25="",FALSE,TRUE))</formula>
    </cfRule>
  </conditionalFormatting>
  <conditionalFormatting sqref="BN25:BN32">
    <cfRule type="expression" dxfId="253" priority="245">
      <formula>OR(IF(BN25&lt;BO25,TRUE),IF(AND(BO25="",BN25&lt;&gt;""),TRUE))</formula>
    </cfRule>
    <cfRule type="expression" dxfId="252" priority="246">
      <formula>IF(BN25&gt;=BO25,IF(BN25="",FALSE,TRUE))</formula>
    </cfRule>
  </conditionalFormatting>
  <conditionalFormatting sqref="BL35:BL36">
    <cfRule type="expression" dxfId="251" priority="255">
      <formula>OR(IF(BL35&lt;BM35,TRUE),IF(AND(BM35="",BL35&lt;&gt;""),TRUE))</formula>
    </cfRule>
    <cfRule type="expression" dxfId="250" priority="256">
      <formula>IF(BL35&gt;=BM35,IF(BL35="",FALSE,TRUE))</formula>
    </cfRule>
  </conditionalFormatting>
  <conditionalFormatting sqref="BN35:BN36">
    <cfRule type="expression" dxfId="249" priority="253">
      <formula>OR(IF(BN35&lt;BO35,TRUE),IF(AND(BO35="",BN35&lt;&gt;""),TRUE))</formula>
    </cfRule>
    <cfRule type="expression" dxfId="248" priority="254">
      <formula>IF(BN35&gt;=BO35,IF(BN35="",FALSE,TRUE))</formula>
    </cfRule>
  </conditionalFormatting>
  <conditionalFormatting sqref="BL33:BL34">
    <cfRule type="expression" dxfId="247" priority="251">
      <formula>OR(IF(BL33&lt;BM33,TRUE),IF(AND(BM33="",BL33&lt;&gt;""),TRUE))</formula>
    </cfRule>
    <cfRule type="expression" dxfId="246" priority="252">
      <formula>IF(BL33&gt;=BM33,IF(BL33="",FALSE,TRUE))</formula>
    </cfRule>
  </conditionalFormatting>
  <conditionalFormatting sqref="BN33:BN34">
    <cfRule type="expression" dxfId="245" priority="249">
      <formula>OR(IF(BN33&lt;BO33,TRUE),IF(AND(BO33="",BN33&lt;&gt;""),TRUE))</formula>
    </cfRule>
    <cfRule type="expression" dxfId="244" priority="250">
      <formula>IF(BN33&gt;=BO33,IF(BN33="",FALSE,TRUE))</formula>
    </cfRule>
  </conditionalFormatting>
  <conditionalFormatting sqref="BS25:BS32">
    <cfRule type="expression" dxfId="243" priority="235">
      <formula>OR(IF(BS25&lt;BT25,TRUE),IF(AND(BT25="",BS25&lt;&gt;""),TRUE))</formula>
    </cfRule>
    <cfRule type="expression" dxfId="242" priority="236">
      <formula>IF(BS25&gt;=BT25,IF(BS25="",FALSE,TRUE))</formula>
    </cfRule>
  </conditionalFormatting>
  <conditionalFormatting sqref="BU25:BU32">
    <cfRule type="expression" dxfId="241" priority="233">
      <formula>OR(IF(BU25&lt;BV25,TRUE),IF(AND(BV25="",BU25&lt;&gt;""),TRUE))</formula>
    </cfRule>
    <cfRule type="expression" dxfId="240" priority="234">
      <formula>IF(BU25&gt;=BV25,IF(BU25="",FALSE,TRUE))</formula>
    </cfRule>
  </conditionalFormatting>
  <conditionalFormatting sqref="BS35:BS36">
    <cfRule type="expression" dxfId="239" priority="243">
      <formula>OR(IF(BS35&lt;BT35,TRUE),IF(AND(BT35="",BS35&lt;&gt;""),TRUE))</formula>
    </cfRule>
    <cfRule type="expression" dxfId="238" priority="244">
      <formula>IF(BS35&gt;=BT35,IF(BS35="",FALSE,TRUE))</formula>
    </cfRule>
  </conditionalFormatting>
  <conditionalFormatting sqref="BU35:BU36">
    <cfRule type="expression" dxfId="237" priority="241">
      <formula>OR(IF(BU35&lt;BV35,TRUE),IF(AND(BV35="",BU35&lt;&gt;""),TRUE))</formula>
    </cfRule>
    <cfRule type="expression" dxfId="236" priority="242">
      <formula>IF(BU35&gt;=BV35,IF(BU35="",FALSE,TRUE))</formula>
    </cfRule>
  </conditionalFormatting>
  <conditionalFormatting sqref="BS33:BS34">
    <cfRule type="expression" dxfId="235" priority="239">
      <formula>OR(IF(BS33&lt;BT33,TRUE),IF(AND(BT33="",BS33&lt;&gt;""),TRUE))</formula>
    </cfRule>
    <cfRule type="expression" dxfId="234" priority="240">
      <formula>IF(BS33&gt;=BT33,IF(BS33="",FALSE,TRUE))</formula>
    </cfRule>
  </conditionalFormatting>
  <conditionalFormatting sqref="BU33:BU34">
    <cfRule type="expression" dxfId="233" priority="237">
      <formula>OR(IF(BU33&lt;BV33,TRUE),IF(AND(BV33="",BU33&lt;&gt;""),TRUE))</formula>
    </cfRule>
    <cfRule type="expression" dxfId="232" priority="238">
      <formula>IF(BU33&gt;=BV33,IF(BU33="",FALSE,TRUE))</formula>
    </cfRule>
  </conditionalFormatting>
  <conditionalFormatting sqref="BZ25:BZ32">
    <cfRule type="expression" dxfId="231" priority="223">
      <formula>OR(IF(BZ25&lt;CA25,TRUE),IF(AND(CA25="",BZ25&lt;&gt;""),TRUE))</formula>
    </cfRule>
    <cfRule type="expression" dxfId="230" priority="224">
      <formula>IF(BZ25&gt;=CA25,IF(BZ25="",FALSE,TRUE))</formula>
    </cfRule>
  </conditionalFormatting>
  <conditionalFormatting sqref="CB25:CB32">
    <cfRule type="expression" dxfId="229" priority="221">
      <formula>OR(IF(CB25&lt;CC25,TRUE),IF(AND(CC25="",CB25&lt;&gt;""),TRUE))</formula>
    </cfRule>
    <cfRule type="expression" dxfId="228" priority="222">
      <formula>IF(CB25&gt;=CC25,IF(CB25="",FALSE,TRUE))</formula>
    </cfRule>
  </conditionalFormatting>
  <conditionalFormatting sqref="BZ35:BZ36">
    <cfRule type="expression" dxfId="227" priority="231">
      <formula>OR(IF(BZ35&lt;CA35,TRUE),IF(AND(CA35="",BZ35&lt;&gt;""),TRUE))</formula>
    </cfRule>
    <cfRule type="expression" dxfId="226" priority="232">
      <formula>IF(BZ35&gt;=CA35,IF(BZ35="",FALSE,TRUE))</formula>
    </cfRule>
  </conditionalFormatting>
  <conditionalFormatting sqref="CB35:CB36">
    <cfRule type="expression" dxfId="225" priority="229">
      <formula>OR(IF(CB35&lt;CC35,TRUE),IF(AND(CC35="",CB35&lt;&gt;""),TRUE))</formula>
    </cfRule>
    <cfRule type="expression" dxfId="224" priority="230">
      <formula>IF(CB35&gt;=CC35,IF(CB35="",FALSE,TRUE))</formula>
    </cfRule>
  </conditionalFormatting>
  <conditionalFormatting sqref="BZ33:BZ34">
    <cfRule type="expression" dxfId="223" priority="227">
      <formula>OR(IF(BZ33&lt;CA33,TRUE),IF(AND(CA33="",BZ33&lt;&gt;""),TRUE))</formula>
    </cfRule>
    <cfRule type="expression" dxfId="222" priority="228">
      <formula>IF(BZ33&gt;=CA33,IF(BZ33="",FALSE,TRUE))</formula>
    </cfRule>
  </conditionalFormatting>
  <conditionalFormatting sqref="CB33:CB34">
    <cfRule type="expression" dxfId="221" priority="225">
      <formula>OR(IF(CB33&lt;CC33,TRUE),IF(AND(CC33="",CB33&lt;&gt;""),TRUE))</formula>
    </cfRule>
    <cfRule type="expression" dxfId="220" priority="226">
      <formula>IF(CB33&gt;=CC33,IF(CB33="",FALSE,TRUE))</formula>
    </cfRule>
  </conditionalFormatting>
  <conditionalFormatting sqref="CG25:CG32">
    <cfRule type="expression" dxfId="219" priority="211">
      <formula>OR(IF(CG25&lt;CH25,TRUE),IF(AND(CH25="",CG25&lt;&gt;""),TRUE))</formula>
    </cfRule>
    <cfRule type="expression" dxfId="218" priority="212">
      <formula>IF(CG25&gt;=CH25,IF(CG25="",FALSE,TRUE))</formula>
    </cfRule>
  </conditionalFormatting>
  <conditionalFormatting sqref="CI25:CI32">
    <cfRule type="expression" dxfId="217" priority="209">
      <formula>OR(IF(CI25&lt;CJ25,TRUE),IF(AND(CJ25="",CI25&lt;&gt;""),TRUE))</formula>
    </cfRule>
    <cfRule type="expression" dxfId="216" priority="210">
      <formula>IF(CI25&gt;=CJ25,IF(CI25="",FALSE,TRUE))</formula>
    </cfRule>
  </conditionalFormatting>
  <conditionalFormatting sqref="CG35:CG36">
    <cfRule type="expression" dxfId="215" priority="219">
      <formula>OR(IF(CG35&lt;CH35,TRUE),IF(AND(CH35="",CG35&lt;&gt;""),TRUE))</formula>
    </cfRule>
    <cfRule type="expression" dxfId="214" priority="220">
      <formula>IF(CG35&gt;=CH35,IF(CG35="",FALSE,TRUE))</formula>
    </cfRule>
  </conditionalFormatting>
  <conditionalFormatting sqref="CI35:CI36">
    <cfRule type="expression" dxfId="213" priority="217">
      <formula>OR(IF(CI35&lt;CJ35,TRUE),IF(AND(CJ35="",CI35&lt;&gt;""),TRUE))</formula>
    </cfRule>
    <cfRule type="expression" dxfId="212" priority="218">
      <formula>IF(CI35&gt;=CJ35,IF(CI35="",FALSE,TRUE))</formula>
    </cfRule>
  </conditionalFormatting>
  <conditionalFormatting sqref="CG33:CG34">
    <cfRule type="expression" dxfId="211" priority="215">
      <formula>OR(IF(CG33&lt;CH33,TRUE),IF(AND(CH33="",CG33&lt;&gt;""),TRUE))</formula>
    </cfRule>
    <cfRule type="expression" dxfId="210" priority="216">
      <formula>IF(CG33&gt;=CH33,IF(CG33="",FALSE,TRUE))</formula>
    </cfRule>
  </conditionalFormatting>
  <conditionalFormatting sqref="CI33:CI34">
    <cfRule type="expression" dxfId="209" priority="213">
      <formula>OR(IF(CI33&lt;CJ33,TRUE),IF(AND(CJ33="",CI33&lt;&gt;""),TRUE))</formula>
    </cfRule>
    <cfRule type="expression" dxfId="208" priority="214">
      <formula>IF(CI33&gt;=CJ33,IF(CI33="",FALSE,TRUE))</formula>
    </cfRule>
  </conditionalFormatting>
  <conditionalFormatting sqref="J39:K47">
    <cfRule type="colorScale" priority="1149">
      <colorScale>
        <cfvo type="percent" val="0"/>
        <cfvo type="percent" val="100"/>
        <color rgb="FFFF231B"/>
        <color rgb="FF10FF07"/>
      </colorScale>
    </cfRule>
  </conditionalFormatting>
  <conditionalFormatting sqref="AJ39:AJ41 AL39:AL41">
    <cfRule type="expression" dxfId="207" priority="207">
      <formula>OR(IF(AJ39&lt;AK39,TRUE),IF(AND(AK39="",AJ39&lt;&gt;""),TRUE))</formula>
    </cfRule>
    <cfRule type="expression" dxfId="206" priority="208">
      <formula>IF(AJ39&gt;=AK39,IF(AJ39="",FALSE,TRUE))</formula>
    </cfRule>
  </conditionalFormatting>
  <conditionalFormatting sqref="AQ42:AQ43 AS42:AS43">
    <cfRule type="expression" dxfId="205" priority="205">
      <formula>OR(IF(AQ42&lt;AR42,TRUE),IF(AND(AR42="",AQ42&lt;&gt;""),TRUE))</formula>
    </cfRule>
    <cfRule type="expression" dxfId="204" priority="206">
      <formula>IF(AQ42&gt;=AR42,IF(AQ42="",FALSE,TRUE))</formula>
    </cfRule>
  </conditionalFormatting>
  <conditionalFormatting sqref="AQ39:AQ41 AS39:AS41">
    <cfRule type="expression" dxfId="203" priority="203">
      <formula>OR(IF(AQ39&lt;AR39,TRUE),IF(AND(AR39="",AQ39&lt;&gt;""),TRUE))</formula>
    </cfRule>
    <cfRule type="expression" dxfId="202" priority="204">
      <formula>IF(AQ39&gt;=AR39,IF(AQ39="",FALSE,TRUE))</formula>
    </cfRule>
  </conditionalFormatting>
  <conditionalFormatting sqref="AX44:AX45 AZ44:AZ45">
    <cfRule type="expression" dxfId="201" priority="201">
      <formula>OR(IF(AX44&lt;AY44,TRUE),IF(AND(AY44="",AX44&lt;&gt;""),TRUE))</formula>
    </cfRule>
    <cfRule type="expression" dxfId="200" priority="202">
      <formula>IF(AX44&gt;=AY44,IF(AX44="",FALSE,TRUE))</formula>
    </cfRule>
  </conditionalFormatting>
  <conditionalFormatting sqref="AX42:AX43 AZ42:AZ43">
    <cfRule type="expression" dxfId="199" priority="199">
      <formula>OR(IF(AX42&lt;AY42,TRUE),IF(AND(AY42="",AX42&lt;&gt;""),TRUE))</formula>
    </cfRule>
    <cfRule type="expression" dxfId="198" priority="200">
      <formula>IF(AX42&gt;=AY42,IF(AX42="",FALSE,TRUE))</formula>
    </cfRule>
  </conditionalFormatting>
  <conditionalFormatting sqref="AX39:AX41 AZ39:AZ41">
    <cfRule type="expression" dxfId="197" priority="197">
      <formula>OR(IF(AX39&lt;AY39,TRUE),IF(AND(AY39="",AX39&lt;&gt;""),TRUE))</formula>
    </cfRule>
    <cfRule type="expression" dxfId="196" priority="198">
      <formula>IF(AX39&gt;=AY39,IF(AX39="",FALSE,TRUE))</formula>
    </cfRule>
  </conditionalFormatting>
  <conditionalFormatting sqref="BE46:BE47 BG46:BG47">
    <cfRule type="expression" dxfId="195" priority="195">
      <formula>OR(IF(BE46&lt;BF46,TRUE),IF(AND(BF46="",BE46&lt;&gt;""),TRUE))</formula>
    </cfRule>
    <cfRule type="expression" dxfId="194" priority="196">
      <formula>IF(BE46&gt;=BF46,IF(BE46="",FALSE,TRUE))</formula>
    </cfRule>
  </conditionalFormatting>
  <conditionalFormatting sqref="BE44:BE45 BG44:BG45">
    <cfRule type="expression" dxfId="193" priority="193">
      <formula>OR(IF(BE44&lt;BF44,TRUE),IF(AND(BF44="",BE44&lt;&gt;""),TRUE))</formula>
    </cfRule>
    <cfRule type="expression" dxfId="192" priority="194">
      <formula>IF(BE44&gt;=BF44,IF(BE44="",FALSE,TRUE))</formula>
    </cfRule>
  </conditionalFormatting>
  <conditionalFormatting sqref="BE42:BE43 BG42:BG43">
    <cfRule type="expression" dxfId="191" priority="191">
      <formula>OR(IF(BE42&lt;BF42,TRUE),IF(AND(BF42="",BE42&lt;&gt;""),TRUE))</formula>
    </cfRule>
    <cfRule type="expression" dxfId="190" priority="192">
      <formula>IF(BE42&gt;=BF42,IF(BE42="",FALSE,TRUE))</formula>
    </cfRule>
  </conditionalFormatting>
  <conditionalFormatting sqref="BE39:BE41 BG39:BG41">
    <cfRule type="expression" dxfId="189" priority="189">
      <formula>OR(IF(BE39&lt;BF39,TRUE),IF(AND(BF39="",BE39&lt;&gt;""),TRUE))</formula>
    </cfRule>
    <cfRule type="expression" dxfId="188" priority="190">
      <formula>IF(BE39&gt;=BF39,IF(BE39="",FALSE,TRUE))</formula>
    </cfRule>
  </conditionalFormatting>
  <conditionalFormatting sqref="BL46:BL47 BN46:BN47">
    <cfRule type="expression" dxfId="187" priority="187">
      <formula>OR(IF(BL46&lt;BM46,TRUE),IF(AND(BM46="",BL46&lt;&gt;""),TRUE))</formula>
    </cfRule>
    <cfRule type="expression" dxfId="186" priority="188">
      <formula>IF(BL46&gt;=BM46,IF(BL46="",FALSE,TRUE))</formula>
    </cfRule>
  </conditionalFormatting>
  <conditionalFormatting sqref="BL44:BL45 BN44:BN45">
    <cfRule type="expression" dxfId="185" priority="185">
      <formula>OR(IF(BL44&lt;BM44,TRUE),IF(AND(BM44="",BL44&lt;&gt;""),TRUE))</formula>
    </cfRule>
    <cfRule type="expression" dxfId="184" priority="186">
      <formula>IF(BL44&gt;=BM44,IF(BL44="",FALSE,TRUE))</formula>
    </cfRule>
  </conditionalFormatting>
  <conditionalFormatting sqref="BL42:BL43 BN42:BN43">
    <cfRule type="expression" dxfId="183" priority="183">
      <formula>OR(IF(BL42&lt;BM42,TRUE),IF(AND(BM42="",BL42&lt;&gt;""),TRUE))</formula>
    </cfRule>
    <cfRule type="expression" dxfId="182" priority="184">
      <formula>IF(BL42&gt;=BM42,IF(BL42="",FALSE,TRUE))</formula>
    </cfRule>
  </conditionalFormatting>
  <conditionalFormatting sqref="BL39:BL41 BN39:BN41">
    <cfRule type="expression" dxfId="181" priority="181">
      <formula>OR(IF(BL39&lt;BM39,TRUE),IF(AND(BM39="",BL39&lt;&gt;""),TRUE))</formula>
    </cfRule>
    <cfRule type="expression" dxfId="180" priority="182">
      <formula>IF(BL39&gt;=BM39,IF(BL39="",FALSE,TRUE))</formula>
    </cfRule>
  </conditionalFormatting>
  <conditionalFormatting sqref="BS46:BS47 BU46:BU47">
    <cfRule type="expression" dxfId="179" priority="179">
      <formula>OR(IF(BS46&lt;BT46,TRUE),IF(AND(BT46="",BS46&lt;&gt;""),TRUE))</formula>
    </cfRule>
    <cfRule type="expression" dxfId="178" priority="180">
      <formula>IF(BS46&gt;=BT46,IF(BS46="",FALSE,TRUE))</formula>
    </cfRule>
  </conditionalFormatting>
  <conditionalFormatting sqref="BS44:BS45 BU44:BU45">
    <cfRule type="expression" dxfId="177" priority="177">
      <formula>OR(IF(BS44&lt;BT44,TRUE),IF(AND(BT44="",BS44&lt;&gt;""),TRUE))</formula>
    </cfRule>
    <cfRule type="expression" dxfId="176" priority="178">
      <formula>IF(BS44&gt;=BT44,IF(BS44="",FALSE,TRUE))</formula>
    </cfRule>
  </conditionalFormatting>
  <conditionalFormatting sqref="BS42:BS43 BU42:BU43">
    <cfRule type="expression" dxfId="175" priority="175">
      <formula>OR(IF(BS42&lt;BT42,TRUE),IF(AND(BT42="",BS42&lt;&gt;""),TRUE))</formula>
    </cfRule>
    <cfRule type="expression" dxfId="174" priority="176">
      <formula>IF(BS42&gt;=BT42,IF(BS42="",FALSE,TRUE))</formula>
    </cfRule>
  </conditionalFormatting>
  <conditionalFormatting sqref="BS39:BS41 BU39:BU41">
    <cfRule type="expression" dxfId="173" priority="173">
      <formula>OR(IF(BS39&lt;BT39,TRUE),IF(AND(BT39="",BS39&lt;&gt;""),TRUE))</formula>
    </cfRule>
    <cfRule type="expression" dxfId="172" priority="174">
      <formula>IF(BS39&gt;=BT39,IF(BS39="",FALSE,TRUE))</formula>
    </cfRule>
  </conditionalFormatting>
  <conditionalFormatting sqref="BZ46:BZ47 CB46:CB47">
    <cfRule type="expression" dxfId="171" priority="171">
      <formula>OR(IF(BZ46&lt;CA46,TRUE),IF(AND(CA46="",BZ46&lt;&gt;""),TRUE))</formula>
    </cfRule>
    <cfRule type="expression" dxfId="170" priority="172">
      <formula>IF(BZ46&gt;=CA46,IF(BZ46="",FALSE,TRUE))</formula>
    </cfRule>
  </conditionalFormatting>
  <conditionalFormatting sqref="BZ44:BZ45 CB44:CB45">
    <cfRule type="expression" dxfId="169" priority="169">
      <formula>OR(IF(BZ44&lt;CA44,TRUE),IF(AND(CA44="",BZ44&lt;&gt;""),TRUE))</formula>
    </cfRule>
    <cfRule type="expression" dxfId="168" priority="170">
      <formula>IF(BZ44&gt;=CA44,IF(BZ44="",FALSE,TRUE))</formula>
    </cfRule>
  </conditionalFormatting>
  <conditionalFormatting sqref="BZ42:BZ43 CB42:CB43">
    <cfRule type="expression" dxfId="167" priority="167">
      <formula>OR(IF(BZ42&lt;CA42,TRUE),IF(AND(CA42="",BZ42&lt;&gt;""),TRUE))</formula>
    </cfRule>
    <cfRule type="expression" dxfId="166" priority="168">
      <formula>IF(BZ42&gt;=CA42,IF(BZ42="",FALSE,TRUE))</formula>
    </cfRule>
  </conditionalFormatting>
  <conditionalFormatting sqref="BZ39:BZ41 CB39:CB41">
    <cfRule type="expression" dxfId="165" priority="165">
      <formula>OR(IF(BZ39&lt;CA39,TRUE),IF(AND(CA39="",BZ39&lt;&gt;""),TRUE))</formula>
    </cfRule>
    <cfRule type="expression" dxfId="164" priority="166">
      <formula>IF(BZ39&gt;=CA39,IF(BZ39="",FALSE,TRUE))</formula>
    </cfRule>
  </conditionalFormatting>
  <conditionalFormatting sqref="CG46:CG47 CI46:CI47">
    <cfRule type="expression" dxfId="163" priority="163">
      <formula>OR(IF(CG46&lt;CH46,TRUE),IF(AND(CH46="",CG46&lt;&gt;""),TRUE))</formula>
    </cfRule>
    <cfRule type="expression" dxfId="162" priority="164">
      <formula>IF(CG46&gt;=CH46,IF(CG46="",FALSE,TRUE))</formula>
    </cfRule>
  </conditionalFormatting>
  <conditionalFormatting sqref="CG44:CG45 CI44:CI45">
    <cfRule type="expression" dxfId="161" priority="161">
      <formula>OR(IF(CG44&lt;CH44,TRUE),IF(AND(CH44="",CG44&lt;&gt;""),TRUE))</formula>
    </cfRule>
    <cfRule type="expression" dxfId="160" priority="162">
      <formula>IF(CG44&gt;=CH44,IF(CG44="",FALSE,TRUE))</formula>
    </cfRule>
  </conditionalFormatting>
  <conditionalFormatting sqref="CG42:CG43 CI42:CI43">
    <cfRule type="expression" dxfId="159" priority="159">
      <formula>OR(IF(CG42&lt;CH42,TRUE),IF(AND(CH42="",CG42&lt;&gt;""),TRUE))</formula>
    </cfRule>
    <cfRule type="expression" dxfId="158" priority="160">
      <formula>IF(CG42&gt;=CH42,IF(CG42="",FALSE,TRUE))</formula>
    </cfRule>
  </conditionalFormatting>
  <conditionalFormatting sqref="CG39:CG41 CI39:CI41">
    <cfRule type="expression" dxfId="157" priority="157">
      <formula>OR(IF(CG39&lt;CH39,TRUE),IF(AND(CH39="",CG39&lt;&gt;""),TRUE))</formula>
    </cfRule>
    <cfRule type="expression" dxfId="156" priority="158">
      <formula>IF(CG39&gt;=CH39,IF(CG39="",FALSE,TRUE))</formula>
    </cfRule>
  </conditionalFormatting>
  <conditionalFormatting sqref="AQ52:AQ55 AS52:AS55">
    <cfRule type="expression" dxfId="155" priority="155">
      <formula>OR(IF(AQ52&lt;AR52,TRUE),IF(AND(AR52="",AQ52&lt;&gt;""),TRUE))</formula>
    </cfRule>
    <cfRule type="expression" dxfId="154" priority="156">
      <formula>IF(AQ52&gt;=AR52,IF(AQ52="",FALSE,TRUE))</formula>
    </cfRule>
  </conditionalFormatting>
  <conditionalFormatting sqref="AQ50:AQ51">
    <cfRule type="expression" dxfId="153" priority="153">
      <formula>OR(IF(AQ50&lt;AR50,TRUE),IF(AND(AR50="",AQ50&lt;&gt;""),TRUE))</formula>
    </cfRule>
    <cfRule type="expression" dxfId="152" priority="154">
      <formula>IF(AQ50&gt;=AR50,IF(AQ50="",FALSE,TRUE))</formula>
    </cfRule>
  </conditionalFormatting>
  <conditionalFormatting sqref="AS50:AS51">
    <cfRule type="expression" dxfId="151" priority="151">
      <formula>OR(IF(AS50&lt;AT50,TRUE),IF(AND(AT50="",AS50&lt;&gt;""),TRUE))</formula>
    </cfRule>
    <cfRule type="expression" dxfId="150" priority="152">
      <formula>IF(AS50&gt;=AT50,IF(AS50="",FALSE,TRUE))</formula>
    </cfRule>
  </conditionalFormatting>
  <conditionalFormatting sqref="AZ56:AZ57 AX56:AX57">
    <cfRule type="expression" dxfId="149" priority="149">
      <formula>OR(IF(AX56&lt;AY56,TRUE),IF(AND(AY56="",AX56&lt;&gt;""),TRUE))</formula>
    </cfRule>
    <cfRule type="expression" dxfId="148" priority="150">
      <formula>IF(AX56&gt;=AY56,IF(AX56="",FALSE,TRUE))</formula>
    </cfRule>
  </conditionalFormatting>
  <conditionalFormatting sqref="AX52:AX55 AZ52:AZ55">
    <cfRule type="expression" dxfId="147" priority="147">
      <formula>OR(IF(AX52&lt;AY52,TRUE),IF(AND(AY52="",AX52&lt;&gt;""),TRUE))</formula>
    </cfRule>
    <cfRule type="expression" dxfId="146" priority="148">
      <formula>IF(AX52&gt;=AY52,IF(AX52="",FALSE,TRUE))</formula>
    </cfRule>
  </conditionalFormatting>
  <conditionalFormatting sqref="AX50:AX51">
    <cfRule type="expression" dxfId="145" priority="145">
      <formula>OR(IF(AX50&lt;AY50,TRUE),IF(AND(AY50="",AX50&lt;&gt;""),TRUE))</formula>
    </cfRule>
    <cfRule type="expression" dxfId="144" priority="146">
      <formula>IF(AX50&gt;=AY50,IF(AX50="",FALSE,TRUE))</formula>
    </cfRule>
  </conditionalFormatting>
  <conditionalFormatting sqref="AZ50:AZ51">
    <cfRule type="expression" dxfId="143" priority="143">
      <formula>OR(IF(AZ50&lt;BA50,TRUE),IF(AND(BA50="",AZ50&lt;&gt;""),TRUE))</formula>
    </cfRule>
    <cfRule type="expression" dxfId="142" priority="144">
      <formula>IF(AZ50&gt;=BA50,IF(AZ50="",FALSE,TRUE))</formula>
    </cfRule>
  </conditionalFormatting>
  <conditionalFormatting sqref="BE58:BE59 BG58:BG59">
    <cfRule type="expression" dxfId="141" priority="141">
      <formula>OR(IF(BE58&lt;BF58,TRUE),IF(AND(BF58="",BE58&lt;&gt;""),TRUE))</formula>
    </cfRule>
    <cfRule type="expression" dxfId="140" priority="142">
      <formula>IF(BE58&gt;=BF58,IF(BE58="",FALSE,TRUE))</formula>
    </cfRule>
  </conditionalFormatting>
  <conditionalFormatting sqref="BG56:BG57 BE56:BE57">
    <cfRule type="expression" dxfId="139" priority="139">
      <formula>OR(IF(BE56&lt;BF56,TRUE),IF(AND(BF56="",BE56&lt;&gt;""),TRUE))</formula>
    </cfRule>
    <cfRule type="expression" dxfId="138" priority="140">
      <formula>IF(BE56&gt;=BF56,IF(BE56="",FALSE,TRUE))</formula>
    </cfRule>
  </conditionalFormatting>
  <conditionalFormatting sqref="BE52:BE55 BG52:BG55">
    <cfRule type="expression" dxfId="137" priority="137">
      <formula>OR(IF(BE52&lt;BF52,TRUE),IF(AND(BF52="",BE52&lt;&gt;""),TRUE))</formula>
    </cfRule>
    <cfRule type="expression" dxfId="136" priority="138">
      <formula>IF(BE52&gt;=BF52,IF(BE52="",FALSE,TRUE))</formula>
    </cfRule>
  </conditionalFormatting>
  <conditionalFormatting sqref="BE50:BE51">
    <cfRule type="expression" dxfId="135" priority="135">
      <formula>OR(IF(BE50&lt;BF50,TRUE),IF(AND(BF50="",BE50&lt;&gt;""),TRUE))</formula>
    </cfRule>
    <cfRule type="expression" dxfId="134" priority="136">
      <formula>IF(BE50&gt;=BF50,IF(BE50="",FALSE,TRUE))</formula>
    </cfRule>
  </conditionalFormatting>
  <conditionalFormatting sqref="BG50:BG51">
    <cfRule type="expression" dxfId="133" priority="133">
      <formula>OR(IF(BG50&lt;BH50,TRUE),IF(AND(BH50="",BG50&lt;&gt;""),TRUE))</formula>
    </cfRule>
    <cfRule type="expression" dxfId="132" priority="134">
      <formula>IF(BG50&gt;=BH50,IF(BG50="",FALSE,TRUE))</formula>
    </cfRule>
  </conditionalFormatting>
  <conditionalFormatting sqref="BN60 BL60">
    <cfRule type="expression" dxfId="131" priority="131">
      <formula>OR(IF(BL60&lt;BM60,TRUE),IF(AND(BM60="",BL60&lt;&gt;""),TRUE))</formula>
    </cfRule>
    <cfRule type="expression" dxfId="130" priority="132">
      <formula>IF(BL60&gt;=BM60,IF(BL60="",FALSE,TRUE))</formula>
    </cfRule>
  </conditionalFormatting>
  <conditionalFormatting sqref="BL58:BL59 BN58:BN59">
    <cfRule type="expression" dxfId="129" priority="129">
      <formula>OR(IF(BL58&lt;BM58,TRUE),IF(AND(BM58="",BL58&lt;&gt;""),TRUE))</formula>
    </cfRule>
    <cfRule type="expression" dxfId="128" priority="130">
      <formula>IF(BL58&gt;=BM58,IF(BL58="",FALSE,TRUE))</formula>
    </cfRule>
  </conditionalFormatting>
  <conditionalFormatting sqref="BN56:BN57 BL56:BL57">
    <cfRule type="expression" dxfId="127" priority="127">
      <formula>OR(IF(BL56&lt;BM56,TRUE),IF(AND(BM56="",BL56&lt;&gt;""),TRUE))</formula>
    </cfRule>
    <cfRule type="expression" dxfId="126" priority="128">
      <formula>IF(BL56&gt;=BM56,IF(BL56="",FALSE,TRUE))</formula>
    </cfRule>
  </conditionalFormatting>
  <conditionalFormatting sqref="BL52:BL55 BN52:BN55">
    <cfRule type="expression" dxfId="125" priority="125">
      <formula>OR(IF(BL52&lt;BM52,TRUE),IF(AND(BM52="",BL52&lt;&gt;""),TRUE))</formula>
    </cfRule>
    <cfRule type="expression" dxfId="124" priority="126">
      <formula>IF(BL52&gt;=BM52,IF(BL52="",FALSE,TRUE))</formula>
    </cfRule>
  </conditionalFormatting>
  <conditionalFormatting sqref="BL50:BL51">
    <cfRule type="expression" dxfId="123" priority="123">
      <formula>OR(IF(BL50&lt;BM50,TRUE),IF(AND(BM50="",BL50&lt;&gt;""),TRUE))</formula>
    </cfRule>
    <cfRule type="expression" dxfId="122" priority="124">
      <formula>IF(BL50&gt;=BM50,IF(BL50="",FALSE,TRUE))</formula>
    </cfRule>
  </conditionalFormatting>
  <conditionalFormatting sqref="BN50:BN51">
    <cfRule type="expression" dxfId="121" priority="121">
      <formula>OR(IF(BN50&lt;BO50,TRUE),IF(AND(BO50="",BN50&lt;&gt;""),TRUE))</formula>
    </cfRule>
    <cfRule type="expression" dxfId="120" priority="122">
      <formula>IF(BN50&gt;=BO50,IF(BN50="",FALSE,TRUE))</formula>
    </cfRule>
  </conditionalFormatting>
  <conditionalFormatting sqref="BU60 BS60">
    <cfRule type="expression" dxfId="119" priority="119">
      <formula>OR(IF(BS60&lt;BT60,TRUE),IF(AND(BT60="",BS60&lt;&gt;""),TRUE))</formula>
    </cfRule>
    <cfRule type="expression" dxfId="118" priority="120">
      <formula>IF(BS60&gt;=BT60,IF(BS60="",FALSE,TRUE))</formula>
    </cfRule>
  </conditionalFormatting>
  <conditionalFormatting sqref="BS58:BS59 BU58:BU59">
    <cfRule type="expression" dxfId="117" priority="117">
      <formula>OR(IF(BS58&lt;BT58,TRUE),IF(AND(BT58="",BS58&lt;&gt;""),TRUE))</formula>
    </cfRule>
    <cfRule type="expression" dxfId="116" priority="118">
      <formula>IF(BS58&gt;=BT58,IF(BS58="",FALSE,TRUE))</formula>
    </cfRule>
  </conditionalFormatting>
  <conditionalFormatting sqref="BU56:BU57 BS56:BS57">
    <cfRule type="expression" dxfId="115" priority="115">
      <formula>OR(IF(BS56&lt;BT56,TRUE),IF(AND(BT56="",BS56&lt;&gt;""),TRUE))</formula>
    </cfRule>
    <cfRule type="expression" dxfId="114" priority="116">
      <formula>IF(BS56&gt;=BT56,IF(BS56="",FALSE,TRUE))</formula>
    </cfRule>
  </conditionalFormatting>
  <conditionalFormatting sqref="BS52:BS55 BU52:BU55">
    <cfRule type="expression" dxfId="113" priority="113">
      <formula>OR(IF(BS52&lt;BT52,TRUE),IF(AND(BT52="",BS52&lt;&gt;""),TRUE))</formula>
    </cfRule>
    <cfRule type="expression" dxfId="112" priority="114">
      <formula>IF(BS52&gt;=BT52,IF(BS52="",FALSE,TRUE))</formula>
    </cfRule>
  </conditionalFormatting>
  <conditionalFormatting sqref="BS50:BS51">
    <cfRule type="expression" dxfId="111" priority="111">
      <formula>OR(IF(BS50&lt;BT50,TRUE),IF(AND(BT50="",BS50&lt;&gt;""),TRUE))</formula>
    </cfRule>
    <cfRule type="expression" dxfId="110" priority="112">
      <formula>IF(BS50&gt;=BT50,IF(BS50="",FALSE,TRUE))</formula>
    </cfRule>
  </conditionalFormatting>
  <conditionalFormatting sqref="BU50:BU51">
    <cfRule type="expression" dxfId="109" priority="109">
      <formula>OR(IF(BU50&lt;BV50,TRUE),IF(AND(BV50="",BU50&lt;&gt;""),TRUE))</formula>
    </cfRule>
    <cfRule type="expression" dxfId="108" priority="110">
      <formula>IF(BU50&gt;=BV50,IF(BU50="",FALSE,TRUE))</formula>
    </cfRule>
  </conditionalFormatting>
  <conditionalFormatting sqref="CB60 BZ60">
    <cfRule type="expression" dxfId="107" priority="107">
      <formula>OR(IF(BZ60&lt;CA60,TRUE),IF(AND(CA60="",BZ60&lt;&gt;""),TRUE))</formula>
    </cfRule>
    <cfRule type="expression" dxfId="106" priority="108">
      <formula>IF(BZ60&gt;=CA60,IF(BZ60="",FALSE,TRUE))</formula>
    </cfRule>
  </conditionalFormatting>
  <conditionalFormatting sqref="BZ58:BZ59 CB58:CB59">
    <cfRule type="expression" dxfId="105" priority="105">
      <formula>OR(IF(BZ58&lt;CA58,TRUE),IF(AND(CA58="",BZ58&lt;&gt;""),TRUE))</formula>
    </cfRule>
    <cfRule type="expression" dxfId="104" priority="106">
      <formula>IF(BZ58&gt;=CA58,IF(BZ58="",FALSE,TRUE))</formula>
    </cfRule>
  </conditionalFormatting>
  <conditionalFormatting sqref="CB56:CB57 BZ56:BZ57">
    <cfRule type="expression" dxfId="103" priority="103">
      <formula>OR(IF(BZ56&lt;CA56,TRUE),IF(AND(CA56="",BZ56&lt;&gt;""),TRUE))</formula>
    </cfRule>
    <cfRule type="expression" dxfId="102" priority="104">
      <formula>IF(BZ56&gt;=CA56,IF(BZ56="",FALSE,TRUE))</formula>
    </cfRule>
  </conditionalFormatting>
  <conditionalFormatting sqref="BZ52:BZ55 CB52:CB55">
    <cfRule type="expression" dxfId="101" priority="101">
      <formula>OR(IF(BZ52&lt;CA52,TRUE),IF(AND(CA52="",BZ52&lt;&gt;""),TRUE))</formula>
    </cfRule>
    <cfRule type="expression" dxfId="100" priority="102">
      <formula>IF(BZ52&gt;=CA52,IF(BZ52="",FALSE,TRUE))</formula>
    </cfRule>
  </conditionalFormatting>
  <conditionalFormatting sqref="BZ50:BZ51">
    <cfRule type="expression" dxfId="99" priority="99">
      <formula>OR(IF(BZ50&lt;CA50,TRUE),IF(AND(CA50="",BZ50&lt;&gt;""),TRUE))</formula>
    </cfRule>
    <cfRule type="expression" dxfId="98" priority="100">
      <formula>IF(BZ50&gt;=CA50,IF(BZ50="",FALSE,TRUE))</formula>
    </cfRule>
  </conditionalFormatting>
  <conditionalFormatting sqref="CB50:CB51">
    <cfRule type="expression" dxfId="97" priority="97">
      <formula>OR(IF(CB50&lt;CC50,TRUE),IF(AND(CC50="",CB50&lt;&gt;""),TRUE))</formula>
    </cfRule>
    <cfRule type="expression" dxfId="96" priority="98">
      <formula>IF(CB50&gt;=CC50,IF(CB50="",FALSE,TRUE))</formula>
    </cfRule>
  </conditionalFormatting>
  <conditionalFormatting sqref="CI60 CG60">
    <cfRule type="expression" dxfId="95" priority="95">
      <formula>OR(IF(CG60&lt;CH60,TRUE),IF(AND(CH60="",CG60&lt;&gt;""),TRUE))</formula>
    </cfRule>
    <cfRule type="expression" dxfId="94" priority="96">
      <formula>IF(CG60&gt;=CH60,IF(CG60="",FALSE,TRUE))</formula>
    </cfRule>
  </conditionalFormatting>
  <conditionalFormatting sqref="CG58:CG59 CI58:CI59">
    <cfRule type="expression" dxfId="93" priority="93">
      <formula>OR(IF(CG58&lt;CH58,TRUE),IF(AND(CH58="",CG58&lt;&gt;""),TRUE))</formula>
    </cfRule>
    <cfRule type="expression" dxfId="92" priority="94">
      <formula>IF(CG58&gt;=CH58,IF(CG58="",FALSE,TRUE))</formula>
    </cfRule>
  </conditionalFormatting>
  <conditionalFormatting sqref="CI56:CI57 CG56:CG57">
    <cfRule type="expression" dxfId="91" priority="91">
      <formula>OR(IF(CG56&lt;CH56,TRUE),IF(AND(CH56="",CG56&lt;&gt;""),TRUE))</formula>
    </cfRule>
    <cfRule type="expression" dxfId="90" priority="92">
      <formula>IF(CG56&gt;=CH56,IF(CG56="",FALSE,TRUE))</formula>
    </cfRule>
  </conditionalFormatting>
  <conditionalFormatting sqref="CG52:CG55 CI52:CI55">
    <cfRule type="expression" dxfId="89" priority="89">
      <formula>OR(IF(CG52&lt;CH52,TRUE),IF(AND(CH52="",CG52&lt;&gt;""),TRUE))</formula>
    </cfRule>
    <cfRule type="expression" dxfId="88" priority="90">
      <formula>IF(CG52&gt;=CH52,IF(CG52="",FALSE,TRUE))</formula>
    </cfRule>
  </conditionalFormatting>
  <conditionalFormatting sqref="CG50:CG51">
    <cfRule type="expression" dxfId="87" priority="87">
      <formula>OR(IF(CG50&lt;CH50,TRUE),IF(AND(CH50="",CG50&lt;&gt;""),TRUE))</formula>
    </cfRule>
    <cfRule type="expression" dxfId="86" priority="88">
      <formula>IF(CG50&gt;=CH50,IF(CG50="",FALSE,TRUE))</formula>
    </cfRule>
  </conditionalFormatting>
  <conditionalFormatting sqref="CI50:CI51">
    <cfRule type="expression" dxfId="85" priority="85">
      <formula>OR(IF(CI50&lt;CJ50,TRUE),IF(AND(CJ50="",CI50&lt;&gt;""),TRUE))</formula>
    </cfRule>
    <cfRule type="expression" dxfId="84" priority="86">
      <formula>IF(CI50&gt;=CJ50,IF(CI50="",FALSE,TRUE))</formula>
    </cfRule>
  </conditionalFormatting>
  <conditionalFormatting sqref="AJ63:AJ64 AL63:AL64">
    <cfRule type="expression" dxfId="83" priority="83">
      <formula>OR(IF(AJ63&lt;AK63,TRUE),IF(AND(AK63="",AJ63&lt;&gt;""),TRUE))</formula>
    </cfRule>
    <cfRule type="expression" dxfId="82" priority="84">
      <formula>IF(AJ63&gt;=AK63,IF(AJ63="",FALSE,TRUE))</formula>
    </cfRule>
  </conditionalFormatting>
  <conditionalFormatting sqref="AX63:AX66 AZ63:AZ66">
    <cfRule type="expression" dxfId="81" priority="81">
      <formula>OR(IF(AX63&lt;AY63,TRUE),IF(AND(AY63="",AX63&lt;&gt;""),TRUE))</formula>
    </cfRule>
    <cfRule type="expression" dxfId="80" priority="82">
      <formula>IF(AX63&gt;=AY63,IF(AX63="",FALSE,TRUE))</formula>
    </cfRule>
  </conditionalFormatting>
  <conditionalFormatting sqref="BE67 BG67">
    <cfRule type="expression" dxfId="79" priority="79">
      <formula>OR(IF(BE67&lt;BF67,TRUE),IF(AND(BF67="",BE67&lt;&gt;""),TRUE))</formula>
    </cfRule>
    <cfRule type="expression" dxfId="78" priority="80">
      <formula>IF(BE67&gt;=BF67,IF(BE67="",FALSE,TRUE))</formula>
    </cfRule>
  </conditionalFormatting>
  <conditionalFormatting sqref="BE63:BE66 BG63:BG66">
    <cfRule type="expression" dxfId="77" priority="77">
      <formula>OR(IF(BE63&lt;BF63,TRUE),IF(AND(BF63="",BE63&lt;&gt;""),TRUE))</formula>
    </cfRule>
    <cfRule type="expression" dxfId="76" priority="78">
      <formula>IF(BE63&gt;=BF63,IF(BE63="",FALSE,TRUE))</formula>
    </cfRule>
  </conditionalFormatting>
  <conditionalFormatting sqref="BL67 BN67">
    <cfRule type="expression" dxfId="75" priority="75">
      <formula>OR(IF(BL67&lt;BM67,TRUE),IF(AND(BM67="",BL67&lt;&gt;""),TRUE))</formula>
    </cfRule>
    <cfRule type="expression" dxfId="74" priority="76">
      <formula>IF(BL67&gt;=BM67,IF(BL67="",FALSE,TRUE))</formula>
    </cfRule>
  </conditionalFormatting>
  <conditionalFormatting sqref="BL63:BL66 BN63:BN66">
    <cfRule type="expression" dxfId="73" priority="73">
      <formula>OR(IF(BL63&lt;BM63,TRUE),IF(AND(BM63="",BL63&lt;&gt;""),TRUE))</formula>
    </cfRule>
    <cfRule type="expression" dxfId="72" priority="74">
      <formula>IF(BL63&gt;=BM63,IF(BL63="",FALSE,TRUE))</formula>
    </cfRule>
  </conditionalFormatting>
  <conditionalFormatting sqref="BS67 BU67">
    <cfRule type="expression" dxfId="71" priority="71">
      <formula>OR(IF(BS67&lt;BT67,TRUE),IF(AND(BT67="",BS67&lt;&gt;""),TRUE))</formula>
    </cfRule>
    <cfRule type="expression" dxfId="70" priority="72">
      <formula>IF(BS67&gt;=BT67,IF(BS67="",FALSE,TRUE))</formula>
    </cfRule>
  </conditionalFormatting>
  <conditionalFormatting sqref="BS63:BS66 BU63:BU66">
    <cfRule type="expression" dxfId="69" priority="69">
      <formula>OR(IF(BS63&lt;BT63,TRUE),IF(AND(BT63="",BS63&lt;&gt;""),TRUE))</formula>
    </cfRule>
    <cfRule type="expression" dxfId="68" priority="70">
      <formula>IF(BS63&gt;=BT63,IF(BS63="",FALSE,TRUE))</formula>
    </cfRule>
  </conditionalFormatting>
  <conditionalFormatting sqref="BZ67 CB67">
    <cfRule type="expression" dxfId="67" priority="67">
      <formula>OR(IF(BZ67&lt;CA67,TRUE),IF(AND(CA67="",BZ67&lt;&gt;""),TRUE))</formula>
    </cfRule>
    <cfRule type="expression" dxfId="66" priority="68">
      <formula>IF(BZ67&gt;=CA67,IF(BZ67="",FALSE,TRUE))</formula>
    </cfRule>
  </conditionalFormatting>
  <conditionalFormatting sqref="BZ63:BZ66 CB63:CB66">
    <cfRule type="expression" dxfId="65" priority="65">
      <formula>OR(IF(BZ63&lt;CA63,TRUE),IF(AND(CA63="",BZ63&lt;&gt;""),TRUE))</formula>
    </cfRule>
    <cfRule type="expression" dxfId="64" priority="66">
      <formula>IF(BZ63&gt;=CA63,IF(BZ63="",FALSE,TRUE))</formula>
    </cfRule>
  </conditionalFormatting>
  <conditionalFormatting sqref="CG67 CI67">
    <cfRule type="expression" dxfId="63" priority="63">
      <formula>OR(IF(CG67&lt;CH67,TRUE),IF(AND(CH67="",CG67&lt;&gt;""),TRUE))</formula>
    </cfRule>
    <cfRule type="expression" dxfId="62" priority="64">
      <formula>IF(CG67&gt;=CH67,IF(CG67="",FALSE,TRUE))</formula>
    </cfRule>
  </conditionalFormatting>
  <conditionalFormatting sqref="CG63:CG66 CI63:CI66">
    <cfRule type="expression" dxfId="61" priority="61">
      <formula>OR(IF(CG63&lt;CH63,TRUE),IF(AND(CH63="",CG63&lt;&gt;""),TRUE))</formula>
    </cfRule>
    <cfRule type="expression" dxfId="60" priority="62">
      <formula>IF(CG63&gt;=CH63,IF(CG63="",FALSE,TRUE))</formula>
    </cfRule>
  </conditionalFormatting>
  <conditionalFormatting sqref="AJ84:AJ86 AL84:AL86">
    <cfRule type="expression" dxfId="59" priority="59">
      <formula>OR(IF(AJ84&lt;AK84,TRUE),IF(AND(AK84="",AJ84&lt;&gt;""),TRUE))</formula>
    </cfRule>
    <cfRule type="expression" dxfId="58" priority="60">
      <formula>IF(AJ84&gt;=AK84,IF(AJ84="",FALSE,TRUE))</formula>
    </cfRule>
  </conditionalFormatting>
  <conditionalFormatting sqref="AQ84:AQ86 AS84:AS86">
    <cfRule type="expression" dxfId="57" priority="55">
      <formula>OR(IF(AQ84&lt;AR84,TRUE),IF(AND(AR84="",AQ84&lt;&gt;""),TRUE))</formula>
    </cfRule>
    <cfRule type="expression" dxfId="56" priority="56">
      <formula>IF(AQ84&gt;=AR84,IF(AQ84="",FALSE,TRUE))</formula>
    </cfRule>
  </conditionalFormatting>
  <conditionalFormatting sqref="AQ87:AQ88 AS87:AS88">
    <cfRule type="expression" dxfId="55" priority="57">
      <formula>OR(IF(AQ87&lt;AR87,TRUE),IF(AND(AR87="",AQ87&lt;&gt;""),TRUE))</formula>
    </cfRule>
    <cfRule type="expression" dxfId="54" priority="58">
      <formula>IF(AQ87&gt;=AR87,IF(AQ87="",FALSE,TRUE))</formula>
    </cfRule>
  </conditionalFormatting>
  <conditionalFormatting sqref="AX89:AX90 AZ89:AZ90">
    <cfRule type="expression" dxfId="53" priority="53">
      <formula>OR(IF(AX89&lt;AY89,TRUE),IF(AND(AY89="",AX89&lt;&gt;""),TRUE))</formula>
    </cfRule>
    <cfRule type="expression" dxfId="52" priority="54">
      <formula>IF(AX89&gt;=AY89,IF(AX89="",FALSE,TRUE))</formula>
    </cfRule>
  </conditionalFormatting>
  <conditionalFormatting sqref="AX84:AX86 AZ84:AZ86">
    <cfRule type="expression" dxfId="51" priority="49">
      <formula>OR(IF(AX84&lt;AY84,TRUE),IF(AND(AY84="",AX84&lt;&gt;""),TRUE))</formula>
    </cfRule>
    <cfRule type="expression" dxfId="50" priority="50">
      <formula>IF(AX84&gt;=AY84,IF(AX84="",FALSE,TRUE))</formula>
    </cfRule>
  </conditionalFormatting>
  <conditionalFormatting sqref="AX87:AX88 AZ87:AZ88">
    <cfRule type="expression" dxfId="49" priority="51">
      <formula>OR(IF(AX87&lt;AY87,TRUE),IF(AND(AY87="",AX87&lt;&gt;""),TRUE))</formula>
    </cfRule>
    <cfRule type="expression" dxfId="48" priority="52">
      <formula>IF(AX87&gt;=AY87,IF(AX87="",FALSE,TRUE))</formula>
    </cfRule>
  </conditionalFormatting>
  <conditionalFormatting sqref="BE91:BE92 BG91:BG92">
    <cfRule type="expression" dxfId="47" priority="47">
      <formula>OR(IF(BE91&lt;BF91,TRUE),IF(AND(BF91="",BE91&lt;&gt;""),TRUE))</formula>
    </cfRule>
    <cfRule type="expression" dxfId="46" priority="48">
      <formula>IF(BE91&gt;=BF91,IF(BE91="",FALSE,TRUE))</formula>
    </cfRule>
  </conditionalFormatting>
  <conditionalFormatting sqref="BE89:BE90 BG89:BG90">
    <cfRule type="expression" dxfId="45" priority="45">
      <formula>OR(IF(BE89&lt;BF89,TRUE),IF(AND(BF89="",BE89&lt;&gt;""),TRUE))</formula>
    </cfRule>
    <cfRule type="expression" dxfId="44" priority="46">
      <formula>IF(BE89&gt;=BF89,IF(BE89="",FALSE,TRUE))</formula>
    </cfRule>
  </conditionalFormatting>
  <conditionalFormatting sqref="BE84:BE86 BG84:BG86">
    <cfRule type="expression" dxfId="43" priority="41">
      <formula>OR(IF(BE84&lt;BF84,TRUE),IF(AND(BF84="",BE84&lt;&gt;""),TRUE))</formula>
    </cfRule>
    <cfRule type="expression" dxfId="42" priority="42">
      <formula>IF(BE84&gt;=BF84,IF(BE84="",FALSE,TRUE))</formula>
    </cfRule>
  </conditionalFormatting>
  <conditionalFormatting sqref="BE87:BE88 BG87:BG88">
    <cfRule type="expression" dxfId="41" priority="43">
      <formula>OR(IF(BE87&lt;BF87,TRUE),IF(AND(BF87="",BE87&lt;&gt;""),TRUE))</formula>
    </cfRule>
    <cfRule type="expression" dxfId="40" priority="44">
      <formula>IF(BE87&gt;=BF87,IF(BE87="",FALSE,TRUE))</formula>
    </cfRule>
  </conditionalFormatting>
  <conditionalFormatting sqref="BL93 BN93">
    <cfRule type="expression" dxfId="39" priority="39">
      <formula>OR(IF(BL93&lt;BM93,TRUE),IF(AND(BM93="",BL93&lt;&gt;""),TRUE))</formula>
    </cfRule>
    <cfRule type="expression" dxfId="38" priority="40">
      <formula>IF(BL93&gt;=BM93,IF(BL93="",FALSE,TRUE))</formula>
    </cfRule>
  </conditionalFormatting>
  <conditionalFormatting sqref="BL91:BL92 BN91:BN92">
    <cfRule type="expression" dxfId="37" priority="37">
      <formula>OR(IF(BL91&lt;BM91,TRUE),IF(AND(BM91="",BL91&lt;&gt;""),TRUE))</formula>
    </cfRule>
    <cfRule type="expression" dxfId="36" priority="38">
      <formula>IF(BL91&gt;=BM91,IF(BL91="",FALSE,TRUE))</formula>
    </cfRule>
  </conditionalFormatting>
  <conditionalFormatting sqref="BL89:BL90 BN89:BN90">
    <cfRule type="expression" dxfId="35" priority="35">
      <formula>OR(IF(BL89&lt;BM89,TRUE),IF(AND(BM89="",BL89&lt;&gt;""),TRUE))</formula>
    </cfRule>
    <cfRule type="expression" dxfId="34" priority="36">
      <formula>IF(BL89&gt;=BM89,IF(BL89="",FALSE,TRUE))</formula>
    </cfRule>
  </conditionalFormatting>
  <conditionalFormatting sqref="BL84:BL86 BN84:BN86">
    <cfRule type="expression" dxfId="33" priority="31">
      <formula>OR(IF(BL84&lt;BM84,TRUE),IF(AND(BM84="",BL84&lt;&gt;""),TRUE))</formula>
    </cfRule>
    <cfRule type="expression" dxfId="32" priority="32">
      <formula>IF(BL84&gt;=BM84,IF(BL84="",FALSE,TRUE))</formula>
    </cfRule>
  </conditionalFormatting>
  <conditionalFormatting sqref="BL87:BL88 BN87:BN88">
    <cfRule type="expression" dxfId="31" priority="33">
      <formula>OR(IF(BL87&lt;BM87,TRUE),IF(AND(BM87="",BL87&lt;&gt;""),TRUE))</formula>
    </cfRule>
    <cfRule type="expression" dxfId="30" priority="34">
      <formula>IF(BL87&gt;=BM87,IF(BL87="",FALSE,TRUE))</formula>
    </cfRule>
  </conditionalFormatting>
  <conditionalFormatting sqref="BS93 BU93">
    <cfRule type="expression" dxfId="29" priority="29">
      <formula>OR(IF(BS93&lt;BT93,TRUE),IF(AND(BT93="",BS93&lt;&gt;""),TRUE))</formula>
    </cfRule>
    <cfRule type="expression" dxfId="28" priority="30">
      <formula>IF(BS93&gt;=BT93,IF(BS93="",FALSE,TRUE))</formula>
    </cfRule>
  </conditionalFormatting>
  <conditionalFormatting sqref="BS91:BS92 BU91:BU92">
    <cfRule type="expression" dxfId="27" priority="27">
      <formula>OR(IF(BS91&lt;BT91,TRUE),IF(AND(BT91="",BS91&lt;&gt;""),TRUE))</formula>
    </cfRule>
    <cfRule type="expression" dxfId="26" priority="28">
      <formula>IF(BS91&gt;=BT91,IF(BS91="",FALSE,TRUE))</formula>
    </cfRule>
  </conditionalFormatting>
  <conditionalFormatting sqref="BS89:BS90 BU89:BU90">
    <cfRule type="expression" dxfId="25" priority="25">
      <formula>OR(IF(BS89&lt;BT89,TRUE),IF(AND(BT89="",BS89&lt;&gt;""),TRUE))</formula>
    </cfRule>
    <cfRule type="expression" dxfId="24" priority="26">
      <formula>IF(BS89&gt;=BT89,IF(BS89="",FALSE,TRUE))</formula>
    </cfRule>
  </conditionalFormatting>
  <conditionalFormatting sqref="BS84:BS86 BU84:BU86">
    <cfRule type="expression" dxfId="23" priority="21">
      <formula>OR(IF(BS84&lt;BT84,TRUE),IF(AND(BT84="",BS84&lt;&gt;""),TRUE))</formula>
    </cfRule>
    <cfRule type="expression" dxfId="22" priority="22">
      <formula>IF(BS84&gt;=BT84,IF(BS84="",FALSE,TRUE))</formula>
    </cfRule>
  </conditionalFormatting>
  <conditionalFormatting sqref="BS87:BS88 BU87:BU88">
    <cfRule type="expression" dxfId="21" priority="23">
      <formula>OR(IF(BS87&lt;BT87,TRUE),IF(AND(BT87="",BS87&lt;&gt;""),TRUE))</formula>
    </cfRule>
    <cfRule type="expression" dxfId="20" priority="24">
      <formula>IF(BS87&gt;=BT87,IF(BS87="",FALSE,TRUE))</formula>
    </cfRule>
  </conditionalFormatting>
  <conditionalFormatting sqref="BZ93 CB93">
    <cfRule type="expression" dxfId="19" priority="19">
      <formula>OR(IF(BZ93&lt;CA93,TRUE),IF(AND(CA93="",BZ93&lt;&gt;""),TRUE))</formula>
    </cfRule>
    <cfRule type="expression" dxfId="18" priority="20">
      <formula>IF(BZ93&gt;=CA93,IF(BZ93="",FALSE,TRUE))</formula>
    </cfRule>
  </conditionalFormatting>
  <conditionalFormatting sqref="BZ91:BZ92 CB91:CB92">
    <cfRule type="expression" dxfId="17" priority="17">
      <formula>OR(IF(BZ91&lt;CA91,TRUE),IF(AND(CA91="",BZ91&lt;&gt;""),TRUE))</formula>
    </cfRule>
    <cfRule type="expression" dxfId="16" priority="18">
      <formula>IF(BZ91&gt;=CA91,IF(BZ91="",FALSE,TRUE))</formula>
    </cfRule>
  </conditionalFormatting>
  <conditionalFormatting sqref="BZ89:BZ90 CB89:CB90">
    <cfRule type="expression" dxfId="15" priority="15">
      <formula>OR(IF(BZ89&lt;CA89,TRUE),IF(AND(CA89="",BZ89&lt;&gt;""),TRUE))</formula>
    </cfRule>
    <cfRule type="expression" dxfId="14" priority="16">
      <formula>IF(BZ89&gt;=CA89,IF(BZ89="",FALSE,TRUE))</formula>
    </cfRule>
  </conditionalFormatting>
  <conditionalFormatting sqref="BZ84:BZ86 CB84:CB86">
    <cfRule type="expression" dxfId="13" priority="11">
      <formula>OR(IF(BZ84&lt;CA84,TRUE),IF(AND(CA84="",BZ84&lt;&gt;""),TRUE))</formula>
    </cfRule>
    <cfRule type="expression" dxfId="12" priority="12">
      <formula>IF(BZ84&gt;=CA84,IF(BZ84="",FALSE,TRUE))</formula>
    </cfRule>
  </conditionalFormatting>
  <conditionalFormatting sqref="BZ87:BZ88 CB87:CB88">
    <cfRule type="expression" dxfId="11" priority="13">
      <formula>OR(IF(BZ87&lt;CA87,TRUE),IF(AND(CA87="",BZ87&lt;&gt;""),TRUE))</formula>
    </cfRule>
    <cfRule type="expression" dxfId="10" priority="14">
      <formula>IF(BZ87&gt;=CA87,IF(BZ87="",FALSE,TRUE))</formula>
    </cfRule>
  </conditionalFormatting>
  <conditionalFormatting sqref="CG93 CI93">
    <cfRule type="expression" dxfId="9" priority="9">
      <formula>OR(IF(CG93&lt;CH93,TRUE),IF(AND(CH93="",CG93&lt;&gt;""),TRUE))</formula>
    </cfRule>
    <cfRule type="expression" dxfId="8" priority="10">
      <formula>IF(CG93&gt;=CH93,IF(CG93="",FALSE,TRUE))</formula>
    </cfRule>
  </conditionalFormatting>
  <conditionalFormatting sqref="CG91:CG92 CI91:CI92">
    <cfRule type="expression" dxfId="7" priority="7">
      <formula>OR(IF(CG91&lt;CH91,TRUE),IF(AND(CH91="",CG91&lt;&gt;""),TRUE))</formula>
    </cfRule>
    <cfRule type="expression" dxfId="6" priority="8">
      <formula>IF(CG91&gt;=CH91,IF(CG91="",FALSE,TRUE))</formula>
    </cfRule>
  </conditionalFormatting>
  <conditionalFormatting sqref="CG89:CG90 CI89:CI90">
    <cfRule type="expression" dxfId="5" priority="5">
      <formula>OR(IF(CG89&lt;CH89,TRUE),IF(AND(CH89="",CG89&lt;&gt;""),TRUE))</formula>
    </cfRule>
    <cfRule type="expression" dxfId="4" priority="6">
      <formula>IF(CG89&gt;=CH89,IF(CG89="",FALSE,TRUE))</formula>
    </cfRule>
  </conditionalFormatting>
  <conditionalFormatting sqref="CG84:CG86 CI84:CI86">
    <cfRule type="expression" dxfId="3" priority="1">
      <formula>OR(IF(CG84&lt;CH84,TRUE),IF(AND(CH84="",CG84&lt;&gt;""),TRUE))</formula>
    </cfRule>
    <cfRule type="expression" dxfId="2" priority="2">
      <formula>IF(CG84&gt;=CH84,IF(CG84="",FALSE,TRUE))</formula>
    </cfRule>
  </conditionalFormatting>
  <conditionalFormatting sqref="CG87:CG88 CI87:CI88">
    <cfRule type="expression" dxfId="1" priority="3">
      <formula>OR(IF(CG87&lt;CH87,TRUE),IF(AND(CH87="",CG87&lt;&gt;""),TRUE))</formula>
    </cfRule>
    <cfRule type="expression" dxfId="0" priority="4">
      <formula>IF(CG87&gt;=CH87,IF(CG87="",FALSE,TRUE))</formula>
    </cfRule>
  </conditionalFormatting>
  <dataValidations count="1">
    <dataValidation type="list" allowBlank="1" showInputMessage="1" showErrorMessage="1" sqref="O39:R47 O25:R36 V50:Y60 V39:Y47 V25:Y36 CG39:CJ47 CG25:CJ36 AC25:AF36 AC50:AF60 AC39:AF47 AJ25:AM36 AJ50:AM60 BZ17:CC22 AX50:BA60 AJ39:AM47 AQ39:AT47 AQ25:AT36 AQ50:AT60 AX39:BA47 AX25:BA36 O50:R60 O63:R67 V63:Y67 CG50:CJ60 AC63:AF67 AJ63:AM67 AQ63:AT67 AX63:BA67 O70:R81 V70:Y81 AC70:AF81 AJ70:AM81 CG84:CJ93 AX70:BA81 BE70:BH81 O84:R93 V84:Y93 BE63:BH67 AC84:AF93 AJ84:AM93 AQ84:AT93 AX84:BA93 DB63:DE67 DB70:DE81 DB84:DE93 DI12:DL14 DB12:DE14 DB17:DE22 DI50:DL60 O12:R14 V12:Y14 AC12:AF14 AJ12:AM14 AQ12:AT14 AX12:BA14 BE12:BH14 O17:R22 V17:Y22 AC17:AF22 AJ17:AM22 AQ17:AT22 AX17:BA22 BE17:BH22 BE50:BH60 BE39:BH47 BE25:BH36 BL63:BO67 BL70:BO81 BE84:BH93 DI39:DL47 BL12:BO14 BL17:BO22 BL50:BO60 BL39:BO47 BL25:BO36 BS63:BV67 BS70:BV81 BL84:BO93 DI25:DL36 BS12:BV14 BS17:BV22 BS50:BV60 BS39:BV47 BS25:BV36 BZ63:CC67 BZ70:CC81 BS84:BV93 DI63:DL67 BZ12:CC14 DI5:DL9 BZ50:CC60 BZ39:CC47 BZ25:CC36 CG63:CJ67 CG70:CJ81 BZ84:CC93 DI70:DL81 CG12:CJ14 CG17:CJ22 CN50:CQ60 CN39:CQ47 CN25:CQ36 CN63:CQ67 CN70:CQ81 CN84:CQ93 DI84:DL93 CN12:CQ14 CN17:CQ22 CU50:CX60 CU39:CX47 CU25:CX36 CU63:CX67 CU70:CX81 CU84:CX93 DI17:DL22 CU12:CX14 CU17:CX22 DB50:DE60 DB39:DE47 DB25:DE36 O5:R9 V5:Y9 AC5:AF9 AJ5:AM9 AQ5:AT9 AX5:BA9 BE5:BH9 BL5:BO9 BS5:BV9 BZ5:CC9 CG5:CJ9 CN5:CQ9 CU5:CX9 DB5:DE9 AQ70:AT81"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0385-A3FA-4D66-B98C-39446E4BE545}">
  <dimension ref="A1:H47"/>
  <sheetViews>
    <sheetView topLeftCell="A18" zoomScale="117" workbookViewId="0">
      <selection activeCell="C38" sqref="C3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6">
      <c r="A17" s="10">
        <v>0.41666666666666702</v>
      </c>
    </row>
    <row r="18" spans="1:6">
      <c r="A18" s="10">
        <v>0.4375</v>
      </c>
    </row>
    <row r="19" spans="1:6">
      <c r="A19" s="10">
        <v>0.45833333333333398</v>
      </c>
    </row>
    <row r="20" spans="1:6">
      <c r="A20" s="10">
        <v>0.47916666666666702</v>
      </c>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c r="A29" s="10">
        <v>0.66666666666666696</v>
      </c>
      <c r="F29" s="35" t="s">
        <v>148</v>
      </c>
    </row>
    <row r="30" spans="1:6">
      <c r="A30" s="10">
        <v>0.687500000000001</v>
      </c>
      <c r="F30" s="35"/>
    </row>
    <row r="31" spans="1:6">
      <c r="A31" s="10">
        <v>0.70833333333333404</v>
      </c>
      <c r="F31" s="35"/>
    </row>
    <row r="32" spans="1:6">
      <c r="A32" s="10">
        <v>0.72916666666666696</v>
      </c>
      <c r="F32" s="35"/>
    </row>
    <row r="33" spans="1:6">
      <c r="A33" s="10">
        <v>0.750000000000001</v>
      </c>
      <c r="F33" s="35"/>
    </row>
    <row r="34" spans="1:6">
      <c r="A34" s="10">
        <v>0.77083333333333404</v>
      </c>
      <c r="F34" s="35"/>
    </row>
    <row r="35" spans="1:6">
      <c r="A35" s="10">
        <v>0.79166666666666696</v>
      </c>
      <c r="F35" s="35"/>
    </row>
    <row r="36" spans="1:6">
      <c r="A36" s="10">
        <v>0.812500000000001</v>
      </c>
      <c r="F36" s="35"/>
    </row>
    <row r="37" spans="1:6">
      <c r="A37" s="10">
        <v>0.83333333333333404</v>
      </c>
      <c r="C37" s="20" t="s">
        <v>149</v>
      </c>
      <c r="F37" s="35"/>
    </row>
    <row r="38" spans="1:6">
      <c r="A38" s="10">
        <v>0.85416666666666696</v>
      </c>
      <c r="C38" s="20"/>
      <c r="F38" s="35"/>
    </row>
    <row r="39" spans="1:6">
      <c r="A39" s="10">
        <v>0.875000000000001</v>
      </c>
      <c r="C39" s="20"/>
      <c r="F39" s="35"/>
    </row>
    <row r="40" spans="1:6">
      <c r="A40" s="10">
        <v>0.89583333333333404</v>
      </c>
      <c r="F40" s="35"/>
    </row>
    <row r="41" spans="1:6">
      <c r="A41" s="10">
        <v>0.91666666666666696</v>
      </c>
      <c r="F41" s="35"/>
    </row>
    <row r="42" spans="1:6">
      <c r="A42" s="10">
        <v>0.937500000000001</v>
      </c>
      <c r="F42" s="35"/>
    </row>
    <row r="43" spans="1:6">
      <c r="A43" s="10">
        <v>0.95833333333333404</v>
      </c>
      <c r="F43" s="35"/>
    </row>
    <row r="44" spans="1:6">
      <c r="A44" s="10">
        <v>0.97916666666666696</v>
      </c>
      <c r="F44" s="35"/>
    </row>
    <row r="45" spans="1:6">
      <c r="A45" s="10">
        <v>1</v>
      </c>
      <c r="F45" s="35"/>
    </row>
    <row r="46" spans="1:6">
      <c r="A46" s="10">
        <v>1.0208333333333299</v>
      </c>
    </row>
    <row r="47" spans="1:6">
      <c r="A47" s="10">
        <v>1.0416666666666701</v>
      </c>
    </row>
  </sheetData>
  <mergeCells count="1">
    <mergeCell ref="F29:F45"/>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Normal="100" workbookViewId="0">
      <pane ySplit="4" topLeftCell="A12" activePane="bottomLeft" state="frozen"/>
      <selection pane="bottomLeft" activeCell="G41" sqref="G41"/>
    </sheetView>
  </sheetViews>
  <sheetFormatPr baseColWidth="10" defaultColWidth="10.625" defaultRowHeight="15.75"/>
  <cols>
    <col min="2" max="2" width="16.625" customWidth="1"/>
    <col min="3" max="3" width="14.25" customWidth="1"/>
    <col min="4" max="6" width="13.125" bestFit="1"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B13" s="21" t="s">
        <v>150</v>
      </c>
      <c r="C13" s="21" t="s">
        <v>150</v>
      </c>
      <c r="D13" s="21" t="s">
        <v>150</v>
      </c>
      <c r="E13" s="21" t="s">
        <v>150</v>
      </c>
      <c r="F13" s="38" t="s">
        <v>72</v>
      </c>
    </row>
    <row r="14" spans="1:8">
      <c r="A14" s="10">
        <v>0.35416666666666702</v>
      </c>
      <c r="B14" s="21"/>
      <c r="C14" s="21"/>
      <c r="D14" s="21"/>
      <c r="E14" s="21"/>
      <c r="F14" s="38"/>
    </row>
    <row r="15" spans="1:8">
      <c r="A15" s="10">
        <v>0.375</v>
      </c>
      <c r="B15" s="21"/>
      <c r="C15" s="21"/>
      <c r="D15" s="21"/>
      <c r="E15" s="21"/>
      <c r="F15" s="38"/>
    </row>
    <row r="16" spans="1:8">
      <c r="A16" s="10">
        <v>0.39583333333333398</v>
      </c>
      <c r="B16" s="21"/>
      <c r="C16" s="21"/>
      <c r="D16" s="21"/>
      <c r="E16" s="21"/>
      <c r="F16" s="26"/>
    </row>
    <row r="17" spans="1:6">
      <c r="A17" s="10">
        <v>0.41666666666666702</v>
      </c>
      <c r="B17" s="21" t="s">
        <v>150</v>
      </c>
      <c r="C17" s="21" t="s">
        <v>150</v>
      </c>
      <c r="D17" s="21" t="s">
        <v>150</v>
      </c>
      <c r="E17" s="21" t="s">
        <v>150</v>
      </c>
      <c r="F17" s="38" t="s">
        <v>72</v>
      </c>
    </row>
    <row r="18" spans="1:6" ht="15.75" customHeight="1">
      <c r="A18" s="10">
        <v>0.4375</v>
      </c>
      <c r="B18" s="21"/>
      <c r="C18" s="21"/>
      <c r="D18" s="21"/>
      <c r="E18" s="21"/>
      <c r="F18" s="38"/>
    </row>
    <row r="19" spans="1:6">
      <c r="A19" s="10">
        <v>0.45833333333333398</v>
      </c>
      <c r="B19" s="21"/>
      <c r="C19" s="21"/>
      <c r="D19" s="21"/>
      <c r="E19" s="21"/>
      <c r="F19" s="38"/>
    </row>
    <row r="20" spans="1:6">
      <c r="A20" s="10">
        <v>0.47916666666666702</v>
      </c>
      <c r="B20" s="21"/>
      <c r="C20" s="21"/>
      <c r="D20" s="21"/>
      <c r="E20" s="21"/>
      <c r="F20" s="26"/>
    </row>
    <row r="21" spans="1:6">
      <c r="A21" s="10">
        <v>0.5</v>
      </c>
      <c r="F21" s="38" t="s">
        <v>72</v>
      </c>
    </row>
    <row r="22" spans="1:6">
      <c r="A22" s="10">
        <v>0.52083333333333404</v>
      </c>
      <c r="F22" s="38"/>
    </row>
    <row r="23" spans="1:6">
      <c r="A23" s="10">
        <v>0.54166666666666696</v>
      </c>
      <c r="F23" s="38"/>
    </row>
    <row r="24" spans="1:6">
      <c r="A24" s="10">
        <v>0.5625</v>
      </c>
      <c r="B24" s="21" t="s">
        <v>150</v>
      </c>
      <c r="D24" s="21" t="s">
        <v>150</v>
      </c>
    </row>
    <row r="25" spans="1:6">
      <c r="A25" s="10">
        <v>0.58333333333333404</v>
      </c>
      <c r="B25" s="21" t="s">
        <v>155</v>
      </c>
      <c r="C25" s="23" t="s">
        <v>154</v>
      </c>
      <c r="D25" s="21" t="s">
        <v>156</v>
      </c>
      <c r="E25" s="24" t="s">
        <v>71</v>
      </c>
      <c r="F25" s="24" t="s">
        <v>71</v>
      </c>
    </row>
    <row r="26" spans="1:6">
      <c r="A26" s="10">
        <v>0.60416666666666696</v>
      </c>
      <c r="B26" s="21"/>
      <c r="C26" s="22"/>
      <c r="D26" s="21"/>
      <c r="E26" s="24"/>
      <c r="F26" s="24"/>
    </row>
    <row r="27" spans="1:6">
      <c r="A27" s="10">
        <v>0.625000000000001</v>
      </c>
      <c r="B27" s="21"/>
      <c r="C27" s="22"/>
      <c r="D27" s="21"/>
      <c r="E27" s="24"/>
      <c r="F27" s="24"/>
    </row>
    <row r="28" spans="1:6" ht="15.75" customHeight="1">
      <c r="A28" s="10">
        <v>0.64583333333333404</v>
      </c>
      <c r="C28" s="22"/>
      <c r="E28" s="24"/>
      <c r="F28" s="24"/>
    </row>
    <row r="29" spans="1:6">
      <c r="A29" s="10">
        <v>0.66666666666666696</v>
      </c>
      <c r="C29" s="22" t="s">
        <v>154</v>
      </c>
      <c r="E29" s="24" t="s">
        <v>71</v>
      </c>
      <c r="F29" s="24" t="s">
        <v>71</v>
      </c>
    </row>
    <row r="30" spans="1:6">
      <c r="A30" s="10">
        <v>0.687500000000001</v>
      </c>
      <c r="B30" s="36" t="s">
        <v>151</v>
      </c>
      <c r="C30" s="22"/>
      <c r="D30" s="25" t="s">
        <v>68</v>
      </c>
      <c r="E30" s="24"/>
      <c r="F30" s="24"/>
    </row>
    <row r="31" spans="1:6">
      <c r="A31" s="10">
        <v>0.70833333333333404</v>
      </c>
      <c r="B31" s="36"/>
      <c r="C31" s="22"/>
      <c r="D31" s="25"/>
      <c r="E31" s="24"/>
      <c r="F31" s="24"/>
    </row>
    <row r="32" spans="1:6">
      <c r="A32" s="10">
        <v>0.72916666666666696</v>
      </c>
      <c r="B32" s="28"/>
      <c r="C32" s="22"/>
      <c r="D32" s="25"/>
      <c r="E32" s="24"/>
      <c r="F32" s="24"/>
    </row>
    <row r="33" spans="1:6" ht="15.75" customHeight="1">
      <c r="A33" s="10">
        <v>0.750000000000001</v>
      </c>
      <c r="B33" s="28"/>
      <c r="C33" s="22" t="s">
        <v>153</v>
      </c>
      <c r="D33" s="25"/>
      <c r="F33" s="24" t="s">
        <v>71</v>
      </c>
    </row>
    <row r="34" spans="1:6">
      <c r="A34" s="10">
        <v>0.77083333333333404</v>
      </c>
      <c r="B34" s="37" t="s">
        <v>64</v>
      </c>
      <c r="C34" s="22"/>
      <c r="D34" s="25" t="s">
        <v>68</v>
      </c>
      <c r="F34" s="24"/>
    </row>
    <row r="35" spans="1:6" ht="15.75" customHeight="1">
      <c r="A35" s="10">
        <v>0.79166666666666696</v>
      </c>
      <c r="B35" s="37"/>
      <c r="C35" s="22"/>
      <c r="D35" s="25"/>
      <c r="E35" s="39" t="s">
        <v>65</v>
      </c>
      <c r="F35" s="24"/>
    </row>
    <row r="36" spans="1:6">
      <c r="A36" s="10">
        <v>0.812500000000001</v>
      </c>
      <c r="B36" s="31"/>
      <c r="C36" s="22"/>
      <c r="D36" s="25"/>
      <c r="E36" s="39"/>
      <c r="F36" s="24"/>
    </row>
    <row r="37" spans="1:6">
      <c r="A37" s="10">
        <v>0.83333333333333404</v>
      </c>
      <c r="B37" s="29"/>
      <c r="D37" s="25"/>
      <c r="E37" s="27"/>
    </row>
    <row r="38" spans="1:6" ht="15.75" customHeight="1">
      <c r="A38" s="10">
        <v>0.85416666666666696</v>
      </c>
      <c r="D38" s="25" t="s">
        <v>68</v>
      </c>
      <c r="E38" s="27"/>
    </row>
    <row r="39" spans="1:6" ht="15.75" customHeight="1">
      <c r="A39" s="10">
        <v>0.875000000000001</v>
      </c>
      <c r="C39" s="38" t="s">
        <v>72</v>
      </c>
      <c r="D39" s="25"/>
      <c r="E39" s="30" t="s">
        <v>152</v>
      </c>
    </row>
    <row r="40" spans="1:6">
      <c r="A40" s="10">
        <v>0.89583333333333404</v>
      </c>
      <c r="C40" s="38"/>
      <c r="D40" s="25"/>
      <c r="E40" s="30"/>
    </row>
    <row r="41" spans="1:6">
      <c r="A41" s="10">
        <v>0.91666666666666696</v>
      </c>
      <c r="C41" s="32"/>
      <c r="D41" s="25"/>
      <c r="E41" s="30"/>
    </row>
    <row r="42" spans="1:6">
      <c r="A42" s="10">
        <v>0.937500000000001</v>
      </c>
      <c r="C42" s="32"/>
      <c r="E42" s="30"/>
    </row>
    <row r="43" spans="1:6">
      <c r="A43" s="10">
        <v>0.95833333333333404</v>
      </c>
    </row>
    <row r="44" spans="1:6">
      <c r="A44" s="10">
        <v>0.97916666666666696</v>
      </c>
    </row>
    <row r="45" spans="1:6">
      <c r="A45" s="10">
        <v>1</v>
      </c>
    </row>
    <row r="46" spans="1:6">
      <c r="A46" s="10">
        <v>1.0208333333333299</v>
      </c>
    </row>
    <row r="47" spans="1:6">
      <c r="A47" s="10">
        <v>1.0416666666666701</v>
      </c>
    </row>
  </sheetData>
  <mergeCells count="7">
    <mergeCell ref="B30:B31"/>
    <mergeCell ref="B34:B35"/>
    <mergeCell ref="F13:F15"/>
    <mergeCell ref="F21:F23"/>
    <mergeCell ref="C39:C40"/>
    <mergeCell ref="F17:F19"/>
    <mergeCell ref="E35:E36"/>
  </mergeCell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G36" sqref="G3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F13" s="38" t="s">
        <v>72</v>
      </c>
    </row>
    <row r="14" spans="1:8">
      <c r="A14" s="10">
        <v>0.35416666666666702</v>
      </c>
      <c r="F14" s="38"/>
    </row>
    <row r="15" spans="1:8">
      <c r="A15" s="10">
        <v>0.375</v>
      </c>
      <c r="F15" s="38"/>
    </row>
    <row r="16" spans="1:8">
      <c r="A16" s="10">
        <v>0.39583333333333398</v>
      </c>
      <c r="F16" s="26"/>
    </row>
    <row r="17" spans="1:6">
      <c r="A17" s="10">
        <v>0.41666666666666702</v>
      </c>
      <c r="F17" s="38" t="s">
        <v>72</v>
      </c>
    </row>
    <row r="18" spans="1:6">
      <c r="A18" s="10">
        <v>0.4375</v>
      </c>
      <c r="F18" s="38"/>
    </row>
    <row r="19" spans="1:6">
      <c r="A19" s="10">
        <v>0.45833333333333398</v>
      </c>
      <c r="F19" s="38"/>
    </row>
    <row r="20" spans="1:6">
      <c r="A20" s="10">
        <v>0.47916666666666702</v>
      </c>
      <c r="F20" s="26"/>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ht="31.5">
      <c r="A29" s="10">
        <v>0.66666666666666696</v>
      </c>
      <c r="B29" s="33" t="s">
        <v>157</v>
      </c>
    </row>
    <row r="30" spans="1:6">
      <c r="A30" s="10">
        <v>0.687500000000001</v>
      </c>
      <c r="B30" s="30"/>
    </row>
    <row r="31" spans="1:6">
      <c r="A31" s="10">
        <v>0.70833333333333404</v>
      </c>
      <c r="B31" s="30"/>
    </row>
    <row r="32" spans="1:6">
      <c r="A32" s="10">
        <v>0.72916666666666696</v>
      </c>
      <c r="B32" s="30"/>
    </row>
    <row r="33" spans="1:2">
      <c r="A33" s="10">
        <v>0.750000000000001</v>
      </c>
      <c r="B33" s="30"/>
    </row>
    <row r="34" spans="1:2">
      <c r="A34" s="10">
        <v>0.77083333333333404</v>
      </c>
    </row>
    <row r="35" spans="1:2">
      <c r="A35" s="10">
        <v>0.79166666666666696</v>
      </c>
    </row>
    <row r="36" spans="1:2">
      <c r="A36" s="10">
        <v>0.812500000000001</v>
      </c>
    </row>
    <row r="37" spans="1:2">
      <c r="A37" s="10">
        <v>0.83333333333333404</v>
      </c>
    </row>
    <row r="38" spans="1:2">
      <c r="A38" s="10">
        <v>0.85416666666666696</v>
      </c>
    </row>
    <row r="39" spans="1:2">
      <c r="A39" s="10">
        <v>0.875000000000001</v>
      </c>
    </row>
    <row r="40" spans="1:2">
      <c r="A40" s="10">
        <v>0.89583333333333404</v>
      </c>
    </row>
    <row r="41" spans="1:2">
      <c r="A41" s="10">
        <v>0.91666666666666696</v>
      </c>
    </row>
    <row r="42" spans="1:2">
      <c r="A42" s="10">
        <v>0.937500000000001</v>
      </c>
    </row>
    <row r="43" spans="1:2">
      <c r="A43" s="10">
        <v>0.95833333333333404</v>
      </c>
    </row>
    <row r="44" spans="1:2">
      <c r="A44" s="10">
        <v>0.97916666666666696</v>
      </c>
    </row>
    <row r="45" spans="1:2">
      <c r="A45" s="10">
        <v>1</v>
      </c>
    </row>
    <row r="46" spans="1:2">
      <c r="A46" s="10">
        <v>1.0208333333333299</v>
      </c>
    </row>
    <row r="47" spans="1:2">
      <c r="A47" s="10">
        <v>1.0416666666666701</v>
      </c>
    </row>
  </sheetData>
  <mergeCells count="2">
    <mergeCell ref="F13:F15"/>
    <mergeCell ref="F17:F19"/>
  </mergeCells>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5831-0A4D-43AE-993E-A869585D9B67}">
  <dimension ref="A1:H47"/>
  <sheetViews>
    <sheetView zoomScale="117" workbookViewId="0">
      <selection activeCell="F13" sqref="F13:F2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8108-84AD-4701-A421-AB2620673EB6}">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D219-AF2B-4761-BDD4-83D2231C3C06}">
  <dimension ref="A1:H47"/>
  <sheetViews>
    <sheetView zoomScale="117" workbookViewId="0">
      <selection activeCell="I14" sqref="I14"/>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41D5-847A-405D-A843-96A366BE1963}">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0FDC-2234-4BB7-A202-F1B6C0CF1D1E}">
  <dimension ref="A1:H47"/>
  <sheetViews>
    <sheetView zoomScale="117" workbookViewId="0">
      <selection activeCell="F13" sqref="F13:F2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F13" s="38" t="s">
        <v>72</v>
      </c>
    </row>
    <row r="14" spans="1:8">
      <c r="A14" s="10">
        <v>0.35416666666666702</v>
      </c>
      <c r="F14" s="38"/>
    </row>
    <row r="15" spans="1:8">
      <c r="A15" s="10">
        <v>0.375</v>
      </c>
      <c r="F15" s="38"/>
    </row>
    <row r="16" spans="1:8">
      <c r="A16" s="10">
        <v>0.39583333333333398</v>
      </c>
      <c r="F16" s="26"/>
    </row>
    <row r="17" spans="1:6">
      <c r="A17" s="10">
        <v>0.41666666666666702</v>
      </c>
      <c r="F17" s="38" t="s">
        <v>72</v>
      </c>
    </row>
    <row r="18" spans="1:6">
      <c r="A18" s="10">
        <v>0.4375</v>
      </c>
      <c r="F18" s="38"/>
    </row>
    <row r="19" spans="1:6">
      <c r="A19" s="10">
        <v>0.45833333333333398</v>
      </c>
      <c r="F19" s="38"/>
    </row>
    <row r="20" spans="1:6">
      <c r="A20" s="10">
        <v>0.47916666666666702</v>
      </c>
      <c r="F20" s="26"/>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c r="A29" s="10">
        <v>0.66666666666666696</v>
      </c>
    </row>
    <row r="30" spans="1:6">
      <c r="A30" s="10">
        <v>0.687500000000001</v>
      </c>
    </row>
    <row r="31" spans="1:6">
      <c r="A31" s="10">
        <v>0.70833333333333404</v>
      </c>
    </row>
    <row r="32" spans="1:6">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mergeCells count="2">
    <mergeCell ref="F13:F15"/>
    <mergeCell ref="F17:F19"/>
  </mergeCell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5A23-2892-4453-9F3A-D019D77654E5}">
  <dimension ref="A1:H47"/>
  <sheetViews>
    <sheetView zoomScale="117" workbookViewId="0">
      <selection activeCell="G19" sqref="G19"/>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0F51-608F-43DA-92ED-9D68C3710CE0}">
  <dimension ref="A1:H47"/>
  <sheetViews>
    <sheetView zoomScale="117" workbookViewId="0">
      <selection activeCell="F13" sqref="F13:F2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F13" s="38" t="s">
        <v>72</v>
      </c>
    </row>
    <row r="14" spans="1:8">
      <c r="A14" s="10">
        <v>0.35416666666666702</v>
      </c>
      <c r="F14" s="38"/>
    </row>
    <row r="15" spans="1:8">
      <c r="A15" s="10">
        <v>0.375</v>
      </c>
      <c r="F15" s="38"/>
    </row>
    <row r="16" spans="1:8">
      <c r="A16" s="10">
        <v>0.39583333333333398</v>
      </c>
      <c r="F16" s="26"/>
    </row>
    <row r="17" spans="1:6">
      <c r="A17" s="10">
        <v>0.41666666666666702</v>
      </c>
      <c r="F17" s="38" t="s">
        <v>72</v>
      </c>
    </row>
    <row r="18" spans="1:6">
      <c r="A18" s="10">
        <v>0.4375</v>
      </c>
      <c r="F18" s="38"/>
    </row>
    <row r="19" spans="1:6">
      <c r="A19" s="10">
        <v>0.45833333333333398</v>
      </c>
      <c r="F19" s="38"/>
    </row>
    <row r="20" spans="1:6">
      <c r="A20" s="10">
        <v>0.47916666666666702</v>
      </c>
      <c r="F20" s="26"/>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c r="A29" s="10">
        <v>0.66666666666666696</v>
      </c>
    </row>
    <row r="30" spans="1:6">
      <c r="A30" s="10">
        <v>0.687500000000001</v>
      </c>
    </row>
    <row r="31" spans="1:6">
      <c r="A31" s="10">
        <v>0.70833333333333404</v>
      </c>
    </row>
    <row r="32" spans="1:6">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mergeCells count="2">
    <mergeCell ref="F13:F15"/>
    <mergeCell ref="F17:F19"/>
  </mergeCells>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43A6-1F11-4E2C-A438-C623D23EFC3B}">
  <dimension ref="A1:H47"/>
  <sheetViews>
    <sheetView zoomScale="117" workbookViewId="0">
      <selection activeCell="F13" sqref="F13:F2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F13" s="38" t="s">
        <v>72</v>
      </c>
    </row>
    <row r="14" spans="1:8">
      <c r="A14" s="10">
        <v>0.35416666666666702</v>
      </c>
      <c r="F14" s="38"/>
    </row>
    <row r="15" spans="1:8">
      <c r="A15" s="10">
        <v>0.375</v>
      </c>
      <c r="F15" s="38"/>
    </row>
    <row r="16" spans="1:8">
      <c r="A16" s="10">
        <v>0.39583333333333398</v>
      </c>
      <c r="F16" s="26"/>
    </row>
    <row r="17" spans="1:6">
      <c r="A17" s="10">
        <v>0.41666666666666702</v>
      </c>
      <c r="F17" s="38" t="s">
        <v>72</v>
      </c>
    </row>
    <row r="18" spans="1:6">
      <c r="A18" s="10">
        <v>0.4375</v>
      </c>
      <c r="F18" s="38"/>
    </row>
    <row r="19" spans="1:6">
      <c r="A19" s="10">
        <v>0.45833333333333398</v>
      </c>
      <c r="F19" s="38"/>
    </row>
    <row r="20" spans="1:6">
      <c r="A20" s="10">
        <v>0.47916666666666702</v>
      </c>
      <c r="F20" s="26"/>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c r="A29" s="10">
        <v>0.66666666666666696</v>
      </c>
    </row>
    <row r="30" spans="1:6">
      <c r="A30" s="10">
        <v>0.687500000000001</v>
      </c>
    </row>
    <row r="31" spans="1:6">
      <c r="A31" s="10">
        <v>0.70833333333333404</v>
      </c>
    </row>
    <row r="32" spans="1:6">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mergeCells count="2">
    <mergeCell ref="F13:F15"/>
    <mergeCell ref="F17:F19"/>
  </mergeCells>
  <pageMargins left="0.7" right="0.7" top="0.75" bottom="0.75" header="0.3" footer="0.3"/>
  <pageSetup paperSize="9" orientation="portrait" horizontalDpi="4294967293" vertic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388A-A643-47AE-B7C9-0A100D8C9A5C}">
  <dimension ref="A1:H47"/>
  <sheetViews>
    <sheetView zoomScale="117" workbookViewId="0">
      <selection activeCell="F13" sqref="F13:F2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F13" s="38" t="s">
        <v>72</v>
      </c>
    </row>
    <row r="14" spans="1:8">
      <c r="A14" s="10">
        <v>0.35416666666666702</v>
      </c>
      <c r="F14" s="38"/>
    </row>
    <row r="15" spans="1:8">
      <c r="A15" s="10">
        <v>0.375</v>
      </c>
      <c r="F15" s="38"/>
    </row>
    <row r="16" spans="1:8">
      <c r="A16" s="10">
        <v>0.39583333333333398</v>
      </c>
      <c r="F16" s="26"/>
    </row>
    <row r="17" spans="1:6">
      <c r="A17" s="10">
        <v>0.41666666666666702</v>
      </c>
      <c r="F17" s="38" t="s">
        <v>72</v>
      </c>
    </row>
    <row r="18" spans="1:6">
      <c r="A18" s="10">
        <v>0.4375</v>
      </c>
      <c r="F18" s="38"/>
    </row>
    <row r="19" spans="1:6">
      <c r="A19" s="10">
        <v>0.45833333333333398</v>
      </c>
      <c r="F19" s="38"/>
    </row>
    <row r="20" spans="1:6">
      <c r="A20" s="10">
        <v>0.47916666666666702</v>
      </c>
      <c r="F20" s="26"/>
    </row>
    <row r="21" spans="1:6">
      <c r="A21" s="10">
        <v>0.5</v>
      </c>
    </row>
    <row r="22" spans="1:6">
      <c r="A22" s="10">
        <v>0.52083333333333404</v>
      </c>
    </row>
    <row r="23" spans="1:6">
      <c r="A23" s="10">
        <v>0.54166666666666696</v>
      </c>
    </row>
    <row r="24" spans="1:6">
      <c r="A24" s="10">
        <v>0.5625</v>
      </c>
    </row>
    <row r="25" spans="1:6">
      <c r="A25" s="10">
        <v>0.58333333333333404</v>
      </c>
    </row>
    <row r="26" spans="1:6">
      <c r="A26" s="10">
        <v>0.60416666666666696</v>
      </c>
    </row>
    <row r="27" spans="1:6">
      <c r="A27" s="10">
        <v>0.625000000000001</v>
      </c>
    </row>
    <row r="28" spans="1:6">
      <c r="A28" s="10">
        <v>0.64583333333333404</v>
      </c>
    </row>
    <row r="29" spans="1:6">
      <c r="A29" s="10">
        <v>0.66666666666666696</v>
      </c>
    </row>
    <row r="30" spans="1:6">
      <c r="A30" s="10">
        <v>0.687500000000001</v>
      </c>
    </row>
    <row r="31" spans="1:6">
      <c r="A31" s="10">
        <v>0.70833333333333404</v>
      </c>
    </row>
    <row r="32" spans="1:6">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mergeCells count="2">
    <mergeCell ref="F13:F15"/>
    <mergeCell ref="F17:F19"/>
  </mergeCells>
  <pageMargins left="0.7" right="0.7" top="0.75" bottom="0.75" header="0.3" footer="0.3"/>
  <pageSetup paperSize="9" orientation="portrait"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BB0D-E063-4D39-AEBC-7737359C86FD}">
  <dimension ref="A1:H47"/>
  <sheetViews>
    <sheetView zoomScale="117" workbookViewId="0">
      <selection activeCell="C9" sqref="C9"/>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Anleitung</vt:lpstr>
      <vt:lpstr>COMMITTMENT</vt:lpstr>
      <vt:lpstr>Semesterplan</vt:lpstr>
      <vt:lpstr>Wochenplan KW 16</vt:lpstr>
      <vt:lpstr>Wochenplan KW 17</vt:lpstr>
      <vt:lpstr>Wochenplan KW 18</vt:lpstr>
      <vt:lpstr>Wochenplan KW 19</vt:lpstr>
      <vt:lpstr>Wochenplan KW 20</vt:lpstr>
      <vt:lpstr>Wochenplan KW 21</vt:lpstr>
      <vt:lpstr>Wochenplan KW 22</vt:lpstr>
      <vt:lpstr>Wochenplan KW 23</vt:lpstr>
      <vt:lpstr>Wochenplan KW 24</vt:lpstr>
      <vt:lpstr>Wochenplan KW 25</vt:lpstr>
      <vt:lpstr>Wochenplan KW 26</vt:lpstr>
      <vt:lpstr>Wochenplan KW 27</vt:lpstr>
      <vt:lpstr>Wochenplan KW 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tomas</cp:lastModifiedBy>
  <dcterms:created xsi:type="dcterms:W3CDTF">2020-04-19T13:33:28Z</dcterms:created>
  <dcterms:modified xsi:type="dcterms:W3CDTF">2021-05-02T14:35:54Z</dcterms:modified>
</cp:coreProperties>
</file>