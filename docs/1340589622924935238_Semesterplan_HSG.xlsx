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https://universitaetstgallen-my.sharepoint.com/personal/michel_stauffacher_student_unisg_ch/Documents/HSG/Misc/"/>
    </mc:Choice>
  </mc:AlternateContent>
  <xr:revisionPtr revIDLastSave="1168" documentId="8_{B4CD05C8-7BFB-2A4D-871D-45B8002038F7}" xr6:coauthVersionLast="47" xr6:coauthVersionMax="47" xr10:uidLastSave="{048CF347-32E4-F647-99A4-D91B6AC539C3}"/>
  <bookViews>
    <workbookView xWindow="0" yWindow="760" windowWidth="30240" windowHeight="174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4" i="7" l="1"/>
  <c r="G13" i="7"/>
  <c r="G12" i="7"/>
  <c r="G11" i="7"/>
  <c r="G10" i="7"/>
  <c r="G9" i="7"/>
  <c r="G8" i="7"/>
  <c r="G7" i="7"/>
  <c r="G6" i="7"/>
  <c r="G5" i="7"/>
  <c r="K40" i="7" a="1"/>
  <c r="K40" i="7" s="1"/>
  <c r="J40" i="7" a="1"/>
  <c r="J40" i="7" s="1"/>
  <c r="I40" i="7"/>
  <c r="C11" i="10"/>
  <c r="C12" i="10" s="1"/>
  <c r="EC4" i="7"/>
  <c r="DV4" i="7"/>
  <c r="DO4" i="7"/>
  <c r="DH4" i="7"/>
  <c r="DA4" i="7"/>
  <c r="U2" i="7"/>
  <c r="AB2" i="7" s="1"/>
  <c r="AI2" i="7" s="1"/>
  <c r="AP2" i="7" s="1"/>
  <c r="AW2" i="7" s="1"/>
  <c r="BD2" i="7" s="1"/>
  <c r="BK2" i="7" s="1"/>
  <c r="BR2" i="7" s="1"/>
  <c r="BY2" i="7" s="1"/>
  <c r="CF2" i="7" s="1"/>
  <c r="CM2" i="7" s="1"/>
  <c r="CT2" i="7" s="1"/>
  <c r="DA2" i="7" s="1"/>
  <c r="DH2" i="7" s="1"/>
  <c r="DO2" i="7" s="1"/>
  <c r="DV2" i="7" s="1"/>
  <c r="EC2" i="7" s="1"/>
  <c r="EJ2" i="7" s="1"/>
  <c r="J13" i="7" a="1"/>
  <c r="J13" i="7" s="1"/>
  <c r="G40" i="7"/>
  <c r="G39" i="7"/>
  <c r="G38" i="7"/>
  <c r="G37" i="7"/>
  <c r="G36" i="7"/>
  <c r="G35" i="7"/>
  <c r="G34" i="7"/>
  <c r="G33" i="7"/>
  <c r="G32" i="7"/>
  <c r="G31" i="7"/>
  <c r="G30" i="7"/>
  <c r="J6" i="7" a="1"/>
  <c r="J6" i="7" s="1"/>
  <c r="G53" i="7"/>
  <c r="G52" i="7"/>
  <c r="G51" i="7"/>
  <c r="G50" i="7"/>
  <c r="G49" i="7"/>
  <c r="G48" i="7"/>
  <c r="G47" i="7"/>
  <c r="G46" i="7"/>
  <c r="G45" i="7"/>
  <c r="G44" i="7"/>
  <c r="G43" i="7"/>
  <c r="G67" i="7"/>
  <c r="G66" i="7"/>
  <c r="G65" i="7"/>
  <c r="G64" i="7"/>
  <c r="G63" i="7"/>
  <c r="G62" i="7"/>
  <c r="G61" i="7"/>
  <c r="G60" i="7"/>
  <c r="G59" i="7"/>
  <c r="G58" i="7"/>
  <c r="G57" i="7"/>
  <c r="G56" i="7"/>
  <c r="K66" i="7" a="1"/>
  <c r="K66" i="7" s="1"/>
  <c r="J66" i="7" a="1"/>
  <c r="J66" i="7" s="1"/>
  <c r="I66" i="7"/>
  <c r="K65" i="7" a="1"/>
  <c r="K65" i="7" s="1"/>
  <c r="J65" i="7" a="1"/>
  <c r="J65" i="7" s="1"/>
  <c r="I65" i="7"/>
  <c r="K23" i="7" a="1"/>
  <c r="K23" i="7" s="1"/>
  <c r="J23" i="7" a="1"/>
  <c r="J23" i="7" s="1"/>
  <c r="I23" i="7"/>
  <c r="K22" i="7" a="1"/>
  <c r="K22" i="7" s="1"/>
  <c r="J22" i="7" a="1"/>
  <c r="J22" i="7" s="1"/>
  <c r="I22" i="7"/>
  <c r="K21" i="7" a="1"/>
  <c r="K21" i="7" s="1"/>
  <c r="J21" i="7" a="1"/>
  <c r="J21" i="7" s="1"/>
  <c r="I21" i="7"/>
  <c r="K20" i="7" a="1"/>
  <c r="K20" i="7" s="1"/>
  <c r="J20" i="7" a="1"/>
  <c r="J20" i="7" s="1"/>
  <c r="I20" i="7"/>
  <c r="K19" i="7" a="1"/>
  <c r="K19" i="7" s="1"/>
  <c r="J19" i="7" a="1"/>
  <c r="J19" i="7" s="1"/>
  <c r="I19" i="7"/>
  <c r="K14" i="7" a="1"/>
  <c r="K14" i="7" s="1"/>
  <c r="J14" i="7" a="1"/>
  <c r="J14" i="7" s="1"/>
  <c r="I14" i="7"/>
  <c r="I13" i="7"/>
  <c r="K12" i="7" a="1"/>
  <c r="K12" i="7" s="1"/>
  <c r="J12" i="7" a="1"/>
  <c r="J12" i="7" s="1"/>
  <c r="I12" i="7"/>
  <c r="K11" i="7" a="1"/>
  <c r="K11" i="7" s="1"/>
  <c r="J11" i="7" a="1"/>
  <c r="J11" i="7" s="1"/>
  <c r="I11" i="7"/>
  <c r="K10" i="7" a="1"/>
  <c r="K10" i="7" s="1"/>
  <c r="J10" i="7" a="1"/>
  <c r="J10" i="7" s="1"/>
  <c r="I10" i="7"/>
  <c r="K9" i="7" a="1"/>
  <c r="K9" i="7" s="1"/>
  <c r="J9" i="7" a="1"/>
  <c r="J9" i="7" s="1"/>
  <c r="I9" i="7"/>
  <c r="K8" i="7" a="1"/>
  <c r="K8" i="7" s="1"/>
  <c r="J8" i="7" a="1"/>
  <c r="J8" i="7" s="1"/>
  <c r="I8"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G27" i="7"/>
  <c r="G26" i="7"/>
  <c r="G25" i="7"/>
  <c r="G24" i="7"/>
  <c r="G23" i="7"/>
  <c r="G22" i="7"/>
  <c r="G21" i="7"/>
  <c r="G20" i="7"/>
  <c r="G19" i="7"/>
  <c r="G18" i="7"/>
  <c r="G17" i="7"/>
  <c r="CT4" i="7"/>
  <c r="CM4" i="7"/>
  <c r="CF4" i="7"/>
  <c r="BY4" i="7"/>
  <c r="BR4" i="7"/>
  <c r="K18" i="7" a="1"/>
  <c r="K18" i="7" s="1"/>
  <c r="J18" i="7" a="1"/>
  <c r="J18" i="7" s="1"/>
  <c r="I18" i="7"/>
  <c r="K67" i="7" a="1"/>
  <c r="K67" i="7" s="1"/>
  <c r="J67" i="7" a="1"/>
  <c r="J67" i="7" s="1"/>
  <c r="I67"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BK4" i="7"/>
  <c r="K27" i="7" a="1"/>
  <c r="K27" i="7" s="1"/>
  <c r="J27" i="7" a="1"/>
  <c r="J27" i="7" s="1"/>
  <c r="K26" i="7" a="1"/>
  <c r="K26" i="7" s="1"/>
  <c r="J26" i="7" a="1"/>
  <c r="J26" i="7" s="1"/>
  <c r="K25" i="7" a="1"/>
  <c r="K25" i="7" s="1"/>
  <c r="J25" i="7" a="1"/>
  <c r="J25" i="7" s="1"/>
  <c r="K24" i="7" a="1"/>
  <c r="K24" i="7" s="1"/>
  <c r="J24" i="7" a="1"/>
  <c r="J24" i="7" s="1"/>
  <c r="K17" i="7" a="1"/>
  <c r="K17" i="7" s="1"/>
  <c r="J17" i="7" a="1"/>
  <c r="J17"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7" i="7" a="1"/>
  <c r="K7" i="7" s="1"/>
  <c r="J7" i="7" a="1"/>
  <c r="J7" i="7" s="1"/>
  <c r="K6" i="7" a="1"/>
  <c r="K6" i="7" s="1"/>
  <c r="K5" i="7" a="1"/>
  <c r="K5" i="7" s="1"/>
  <c r="J5" i="7" a="1"/>
  <c r="J5" i="7" s="1"/>
  <c r="BD4" i="7"/>
  <c r="AW4" i="7"/>
  <c r="AP4" i="7"/>
  <c r="AI4" i="7"/>
  <c r="AB4" i="7"/>
  <c r="U4" i="7"/>
  <c r="N4" i="7"/>
  <c r="I39" i="7"/>
  <c r="I38" i="7"/>
  <c r="I37" i="7"/>
  <c r="I36" i="7"/>
  <c r="I35" i="7"/>
  <c r="I34" i="7"/>
  <c r="I33" i="7"/>
  <c r="I32" i="7"/>
  <c r="I31" i="7"/>
  <c r="I30" i="7"/>
  <c r="I27" i="7"/>
  <c r="I26" i="7"/>
  <c r="I25" i="7"/>
  <c r="I24" i="7"/>
  <c r="I17" i="7"/>
  <c r="I6" i="7"/>
  <c r="I7" i="7"/>
  <c r="I5" i="7"/>
  <c r="K13" i="7" l="1" a="1"/>
  <c r="K13" i="7" s="1"/>
  <c r="K4" i="7" s="1"/>
  <c r="G29" i="7"/>
  <c r="G42" i="7"/>
  <c r="G55" i="7"/>
  <c r="G16" i="7"/>
  <c r="G4" i="7"/>
  <c r="I55" i="7"/>
  <c r="I42" i="7"/>
  <c r="J55" i="7"/>
  <c r="K55" i="7"/>
  <c r="K42" i="7"/>
  <c r="J42" i="7"/>
  <c r="I29" i="7"/>
  <c r="J29" i="7"/>
  <c r="K29" i="7"/>
  <c r="I16" i="7"/>
  <c r="J16" i="7"/>
  <c r="K16"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<sst xmlns="http://schemas.openxmlformats.org/spreadsheetml/2006/main" count="391" uniqueCount="162">
  <si>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</si>
  <si>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</si>
  <si>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</si>
  <si>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</si>
  <si>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</si>
  <si>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</si>
  <si>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</si>
  <si>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</si>
  <si>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</si>
  <si>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</si>
  <si>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</si>
  <si>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</si>
  <si>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</si>
  <si>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</si>
  <si>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</si>
  <si>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</si>
  <si>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</si>
  <si>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</si>
  <si>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</si>
  <si>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</si>
  <si>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</si>
  <si>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</si>
  <si>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</si>
  <si>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</si>
  <si>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</si>
  <si>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</si>
  <si>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</si>
  <si>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</si>
  <si>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</si>
  <si>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</si>
  <si>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</si>
  <si>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</si>
  <si>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</si>
  <si>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</si>
  <si>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</si>
  <si>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</si>
  <si>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</si>
  <si>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</si>
  <si>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</si>
  <si>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</si>
  <si>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</si>
  <si>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</si>
  <si>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</si>
  <si>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</si>
  <si>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</si>
  <si>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</si>
  <si>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</si>
  <si>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</si>
  <si>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</si>
  <si>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</si>
  <si>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</si>
  <si>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</si>
  <si>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</si>
  <si>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</si>
  <si>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</si>
  <si>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</si>
  <si>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</si>
  <si>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</si>
  <si>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</si>
  <si>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</si>
  <si>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</si>
  <si>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</si>
  <si>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</si>
  <si>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</si>
  <si>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</si>
  <si>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</si>
  <si>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</si>
  <si>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</si>
  <si>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</si>
  <si>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</si>
  <si>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</si>
  <si>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</si>
  <si>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</si>
  <si>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</si>
  <si>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</si>
  <si>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</si>
  <si>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</si>
  <si>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</si>
  <si>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</si>
  <si>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</si>
  <si>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</si>
  <si>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</si>
  <si>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</si>
  <si>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</si>
  <si>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</si>
  <si>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</si>
  <si>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BA</t>
  </si>
  <si>
    <t>Financial Management</t>
  </si>
  <si>
    <t>Business Ethics</t>
  </si>
  <si>
    <t>1) Basics</t>
  </si>
  <si>
    <t>2) Sustainability</t>
  </si>
  <si>
    <t>3) Responsibility</t>
  </si>
  <si>
    <t>4)</t>
  </si>
  <si>
    <t>5)</t>
  </si>
  <si>
    <t>6)</t>
  </si>
  <si>
    <t>7)</t>
  </si>
  <si>
    <t>8)</t>
  </si>
  <si>
    <t>9)</t>
  </si>
  <si>
    <t>10)</t>
  </si>
  <si>
    <t>11)</t>
  </si>
  <si>
    <t>12)</t>
  </si>
  <si>
    <t>Econ</t>
  </si>
  <si>
    <t>Macroeconomics</t>
  </si>
  <si>
    <t>1) Introduction and National Accounts</t>
  </si>
  <si>
    <t>2) The Goods Market</t>
  </si>
  <si>
    <t>3) Financial Markets</t>
  </si>
  <si>
    <t>4) The IS-LM Model</t>
  </si>
  <si>
    <t>5) The Labor Market</t>
  </si>
  <si>
    <t>6) Inflation</t>
  </si>
  <si>
    <t>7) The Economy in the Medium-Run</t>
  </si>
  <si>
    <t>8) The Open Economy</t>
  </si>
  <si>
    <t>9) International Macroeconomics</t>
  </si>
  <si>
    <t>10) Long-Run Economic Growth</t>
  </si>
  <si>
    <t>11) Innovation and Institutions</t>
  </si>
  <si>
    <t>Mathematics</t>
  </si>
  <si>
    <t>Maths B</t>
  </si>
  <si>
    <t>1) Integration</t>
  </si>
  <si>
    <t>2) Application of integration</t>
  </si>
  <si>
    <t>3) Matrices</t>
  </si>
  <si>
    <t>4) Inverse matrix, determinants</t>
  </si>
  <si>
    <t>5) Vectors</t>
  </si>
  <si>
    <t>6) Linear dependence and independence, rank of a matrix</t>
  </si>
  <si>
    <t>7) Systems of linear equations</t>
  </si>
  <si>
    <t>8) Gauss' algorithm</t>
  </si>
  <si>
    <t>9) Eigenvalues and eigenvectors</t>
  </si>
  <si>
    <t>10) Difference equations</t>
  </si>
  <si>
    <t>11) Linear regression</t>
  </si>
  <si>
    <t>Law B</t>
  </si>
  <si>
    <t>Constitutional Law</t>
  </si>
  <si>
    <t>Public International Law</t>
  </si>
  <si>
    <t>Sociology Power Culture</t>
  </si>
  <si>
    <t>2)</t>
  </si>
  <si>
    <t>3)</t>
  </si>
  <si>
    <t>1) Introduction</t>
  </si>
  <si>
    <t>2) Rechtsstaat</t>
  </si>
  <si>
    <t>3) Federalism</t>
  </si>
  <si>
    <t>4) Democracy</t>
  </si>
  <si>
    <t>5) Fundamental Rights</t>
  </si>
  <si>
    <t>6) Freedom</t>
  </si>
  <si>
    <t>7) International Legal System</t>
  </si>
  <si>
    <t>8) Sources of Public International Law</t>
  </si>
  <si>
    <t>9) Subjects of Public International Law</t>
  </si>
  <si>
    <t>10) Human Rights Law</t>
  </si>
  <si>
    <t>11) International Laws (economic, environmental, …)</t>
  </si>
  <si>
    <t xml:space="preserve">1) </t>
  </si>
  <si>
    <t>CuSo</t>
  </si>
  <si>
    <t>X</t>
  </si>
  <si>
    <t>KW 8</t>
  </si>
  <si>
    <t>Mittwoch, BA Prüfung</t>
  </si>
  <si>
    <t>Mittwoch, Econ Prüfung</t>
  </si>
  <si>
    <t> </t>
  </si>
  <si>
    <t xml:space="preserve"> </t>
  </si>
  <si>
    <t>Freitag, CuSo Prüfung</t>
  </si>
  <si>
    <t>Freitag, Law Prüfung</t>
  </si>
  <si>
    <t>Montag, Maths Prüfung</t>
  </si>
  <si>
    <t>4) Introduction</t>
  </si>
  <si>
    <t>5) Statement of Financial Positions</t>
  </si>
  <si>
    <t>6) Statement of Profit or Loss and Statement of CashFlows</t>
  </si>
  <si>
    <t>7) Management Accounting</t>
  </si>
  <si>
    <t>8) Performance Measurement</t>
  </si>
  <si>
    <t>9) Financing</t>
  </si>
  <si>
    <t>10) Mergers &amp; Acquisitions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</si>
</sst>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
      <sz val="14"/>
      <color rgb="FF000000"/>
      <name val="-webkit-standard"/>
    </font>
  </fonts>
  <fills count="8">
    <fill>
      <patternFill patternType="none"/>
    </fill>
    <fill>
      <patternFill patternType="gray125"/>
    </fill>
    <fill>
      <patternFill patternType="solid">
        <fgColor rgb="FFE0E0E0"/>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rgb="FF000000"/>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8">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0" fontId="0" fillId="3" borderId="0" xfId="0" applyFill="1"/>
    <xf numFmtId="0" fontId="0" fillId="4" borderId="0" xfId="0" applyFill="1"/>
    <xf numFmtId="0" fontId="0" fillId="5" borderId="0" xfId="0" applyFill="1"/>
    <xf numFmtId="14" fontId="0" fillId="0" borderId="0" xfId="0" applyNumberFormat="1"/>
    <xf numFmtId="0" fontId="5" fillId="0" borderId="0" xfId="0" applyFont="1"/>
    <xf numFmtId="10" fontId="0" fillId="0" borderId="0" xfId="0" applyNumberFormat="1"/>
    <xf numFmtId="164" fontId="0" fillId="0" borderId="0" xfId="0" applyNumberFormat="1"/>
    <xf numFmtId="0" fontId="6" fillId="0" borderId="0" xfId="0" applyFont="1"/>
    <xf numFmtId="1" fontId="0" fillId="3" borderId="0" xfId="0" applyNumberFormat="1" applyFill="1" applyAlignment="1">
      <alignment horizontal="left"/>
    </xf>
    <xf numFmtId="0" fontId="0" fillId="6" borderId="0" xfId="0" applyFill="1"/>
    <xf numFmtId="9" fontId="0" fillId="3" borderId="0" xfId="0" applyNumberFormat="1" applyFill="1"/>
    <xf numFmtId="9" fontId="5" fillId="0" borderId="0" xfId="0" applyNumberFormat="1" applyFont="1"/>
    <xf numFmtId="9" fontId="5" fillId="3" borderId="0" xfId="0" applyNumberFormat="1" applyFont="1" applyFill="1"/>
    <xf numFmtId="9" fontId="0" fillId="0" borderId="1" xfId="0" applyNumberFormat="1" applyBorder="1"/>
    <xf numFmtId="9" fontId="0" fillId="0" borderId="2" xfId="0" applyNumberFormat="1" applyBorder="1"/>
    <xf numFmtId="9" fontId="0" fillId="0" borderId="3" xfId="0" applyNumberFormat="1" applyBorder="1"/>
    <xf numFmtId="9" fontId="0" fillId="0" borderId="4" xfId="0" applyNumberFormat="1" applyBorder="1"/>
    <xf numFmtId="9" fontId="0" fillId="0" borderId="5" xfId="0" applyNumberFormat="1" applyBorder="1"/>
    <xf numFmtId="9" fontId="0" fillId="0" borderId="6" xfId="0" applyNumberFormat="1" applyBorder="1"/>
    <xf numFmtId="9" fontId="0" fillId="0" borderId="7" xfId="0" applyNumberFormat="1" applyBorder="1"/>
    <xf numFmtId="9" fontId="0" fillId="0" borderId="8" xfId="0" applyNumberFormat="1" applyBorder="1"/>
    <xf numFmtId="0" fontId="1" fillId="2" borderId="0" xfId="0" applyFont="1" applyFill="1" applyAlignment="1">
      <alignment horizontal="center"/>
    </xf>
    <xf numFmtId="9" fontId="0" fillId="0" borderId="0" xfId="0" applyNumberFormat="1" applyFill="1"/>
    <xf numFmtId="9" fontId="5" fillId="7" borderId="0" xfId="0" applyNumberFormat="1" applyFont="1" applyFill="1"/>
    <xf numFmtId="9" fontId="5" fillId="0" borderId="0" xfId="0" applyNumberFormat="1" applyFont="1" applyFill="1"/>
    <xf numFmtId="9" fontId="0" fillId="3" borderId="0" xfId="0" applyNumberFormat="1" applyFont="1" applyFill="1"/>
    <xf numFmtId="0" fontId="0" fillId="0" borderId="0" xfId="0" applyBorder="1"/>
    <xf numFmtId="0" fontId="0" fillId="0" borderId="0" xfId="0" applyBorder="1" applyAlignment="1">
      <alignment horizontal="center"/>
    </xf>
    <xf numFmtId="9" fontId="0" fillId="0" borderId="0" xfId="0" applyNumberFormat="1" applyBorder="1"/>
    <xf numFmtId="9" fontId="0" fillId="0" borderId="0" xfId="0" applyNumberFormat="1" applyBorder="1" applyAlignment="1">
      <alignment horizontal="center"/>
    </xf>
    <xf numFmtId="9" fontId="0" fillId="3" borderId="0" xfId="0" applyNumberFormat="1" applyFill="1" applyBorder="1"/>
    <xf numFmtId="9" fontId="0" fillId="0" borderId="0" xfId="0" applyNumberFormat="1" applyFill="1" applyBorder="1"/>
    <xf numFmtId="9" fontId="5" fillId="0" borderId="0" xfId="0" applyNumberFormat="1" applyFont="1" applyFill="1" applyBorder="1"/>
  </cellXfs>
  <cellStyles count="1">
    <cellStyle name="Normal" xfId="0" builtinId="0"/>
  </cellStyles>
  <dxfs count="73">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72">
  <autoFilter ref="A1:K46" xr:uid="{6E266E34-2786-2747-BCE7-51B74867A564}"/>
  <tableColumns count="11">
    <tableColumn id="1" xr3:uid="{95FD92F7-3DC8-704D-A103-A7EDDAB255AB}" name="Datum" dataDxfId="71"/>
    <tableColumn id="2" xr3:uid="{F464D510-8166-E740-A343-FB84BDEF877F}" name="Lerneinheiten durchgezogen" dataDxfId="70"/>
    <tableColumn id="3" xr3:uid="{75F52B08-1A00-0848-BBE6-1EDF7B31B1AD}" name="Tagesplan erstellt" dataDxfId="69"/>
    <tableColumn id="4" xr3:uid="{E6B18D89-E799-AD48-9DAA-37AEE1D29011}" name="Konzentrationslevel" dataDxfId="6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2" sqref="C12"/>
    </sheetView>
  </sheetViews>
  <sheetFormatPr baseColWidth="10" defaultRowHeight="16"/>
  <cols>
    <col min="1" max="1" width="11.83203125" customWidth="1"/>
    <col min="2" max="2" width="62.6640625" customWidth="1"/>
  </cols>
  <sheetData>
    <row r="2" spans="1:4">
      <c r="C2" s="17" t="s">
        <v>70</v>
      </c>
    </row>
    <row r="3" spans="1:4">
      <c r="C3" s="16" t="s">
        <v>55</v>
      </c>
    </row>
    <row r="4" spans="1:4">
      <c r="C4" s="15" t="s">
        <v>69</v>
      </c>
    </row>
    <row r="5" spans="1:4">
      <c r="A5" s="2" t="s">
        <v>52</v>
      </c>
      <c r="B5" s="2" t="s">
        <v>53</v>
      </c>
      <c r="C5" s="2" t="s">
        <v>54</v>
      </c>
      <c r="D5" s="2" t="s">
        <v>56</v>
      </c>
    </row>
    <row r="6" spans="1:4">
      <c r="A6" t="s">
        <v>48</v>
      </c>
      <c r="B6" s="17" t="s">
        <v>51</v>
      </c>
      <c r="C6" t="s">
        <v>146</v>
      </c>
      <c r="D6" t="s">
        <v>85</v>
      </c>
    </row>
    <row r="7" spans="1:4">
      <c r="A7" t="s">
        <v>59</v>
      </c>
      <c r="B7" t="s">
        <v>60</v>
      </c>
      <c r="C7" s="15">
        <v>55</v>
      </c>
    </row>
    <row r="8" spans="1:4">
      <c r="A8" t="s">
        <v>50</v>
      </c>
      <c r="B8" s="17" t="s">
        <v>49</v>
      </c>
      <c r="C8" t="s">
        <v>146</v>
      </c>
      <c r="D8" t="s">
        <v>73</v>
      </c>
    </row>
    <row r="9" spans="1:4">
      <c r="A9" t="s">
        <v>58</v>
      </c>
      <c r="B9" s="17" t="s">
        <v>71</v>
      </c>
      <c r="D9" t="s">
        <v>74</v>
      </c>
    </row>
    <row r="10" spans="1:4">
      <c r="A10" t="s">
        <v>62</v>
      </c>
      <c r="B10" t="s">
        <v>61</v>
      </c>
      <c r="C10" s="15">
        <v>15</v>
      </c>
      <c r="D10" t="s">
        <v>57</v>
      </c>
    </row>
    <row r="11" spans="1:4">
      <c r="A11" t="s">
        <v>63</v>
      </c>
      <c r="B11" t="s">
        <v>65</v>
      </c>
      <c r="C11" s="15">
        <f>C7*3</f>
        <v>165</v>
      </c>
      <c r="D11" t="s">
        <v>64</v>
      </c>
    </row>
    <row r="12" spans="1:4">
      <c r="A12" t="s">
        <v>67</v>
      </c>
      <c r="B12" t="s">
        <v>66</v>
      </c>
      <c r="C12" s="16">
        <f>C11/C10</f>
        <v>11</v>
      </c>
    </row>
    <row r="13" spans="1:4">
      <c r="A13" t="s">
        <v>72</v>
      </c>
      <c r="B13" t="s">
        <v>68</v>
      </c>
      <c r="D13" t="s">
        <v>75</v>
      </c>
    </row>
    <row r="14" spans="1:4">
      <c r="A14" t="s">
        <v>76</v>
      </c>
      <c r="B14" t="s">
        <v>77</v>
      </c>
      <c r="D14" t="s">
        <v>78</v>
      </c>
    </row>
    <row r="15" spans="1:4">
      <c r="A15" t="s">
        <v>79</v>
      </c>
      <c r="B15" s="17" t="s">
        <v>80</v>
      </c>
    </row>
    <row r="16" spans="1:4">
      <c r="A16" t="s">
        <v>83</v>
      </c>
      <c r="B16" s="17" t="s">
        <v>81</v>
      </c>
    </row>
    <row r="17" spans="1:2">
      <c r="A17" t="s">
        <v>84</v>
      </c>
      <c r="B17" t="s">
        <v>82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67"/>
  <sheetViews>
    <sheetView showGridLines="0" tabSelected="1" topLeftCell="A30" zoomScale="68" zoomScaleNormal="100" workbookViewId="0">
      <pane xSplit="12" topLeftCell="BG1" activePane="topRight" state="frozen"/>
      <selection pane="topRight" activeCell="O56" sqref="A56:XFD67"/>
    </sheetView>
  </sheetViews>
  <sheetFormatPr baseColWidth="10" defaultColWidth="8.83203125" defaultRowHeight="16" outlineLevelRow="1"/>
  <cols>
    <col min="3" max="3" width="20.1640625" bestFit="1" customWidth="1"/>
    <col min="4" max="4" width="13" bestFit="1" customWidth="1"/>
    <col min="5" max="5" width="4.83203125" bestFit="1" customWidth="1"/>
    <col min="6" max="6" width="49.1640625" bestFit="1" customWidth="1"/>
    <col min="7" max="7" width="15.1640625" bestFit="1" customWidth="1"/>
    <col min="8" max="8" width="2.5" customWidth="1"/>
    <col min="9" max="9" width="7.83203125" bestFit="1" customWidth="1"/>
    <col min="10" max="10" width="12.33203125" bestFit="1" customWidth="1"/>
    <col min="11" max="11" width="14.5" bestFit="1" customWidth="1"/>
    <col min="12" max="12" width="0.1640625"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45" ht="34">
      <c r="B1" s="4" t="s">
        <v>0</v>
      </c>
      <c r="D1" s="4"/>
      <c r="G1" s="24"/>
      <c r="H1" s="24"/>
      <c r="I1" s="24"/>
      <c r="J1" s="24"/>
      <c r="K1" s="24"/>
      <c r="L1" s="24"/>
      <c r="N1">
        <v>11</v>
      </c>
      <c r="U1">
        <v>11</v>
      </c>
      <c r="V1" s="22"/>
      <c r="AB1">
        <v>11</v>
      </c>
      <c r="AI1">
        <v>11</v>
      </c>
      <c r="AP1">
        <v>11</v>
      </c>
      <c r="AW1">
        <v>11</v>
      </c>
      <c r="BD1">
        <v>11</v>
      </c>
      <c r="BK1">
        <v>11</v>
      </c>
      <c r="BR1">
        <v>11</v>
      </c>
      <c r="BY1">
        <v>11</v>
      </c>
      <c r="CF1">
        <v>11</v>
      </c>
      <c r="CM1">
        <v>11</v>
      </c>
      <c r="CT1">
        <v>11</v>
      </c>
      <c r="DA1">
        <v>11</v>
      </c>
    </row>
    <row r="2" spans="2:145">
      <c r="I2" s="36" t="s">
        <v>27</v>
      </c>
      <c r="J2" s="36"/>
      <c r="K2" s="36"/>
      <c r="L2" s="36"/>
      <c r="N2" s="36" t="s">
        <v>147</v>
      </c>
      <c r="O2" s="36"/>
      <c r="P2" s="36"/>
      <c r="Q2" s="36"/>
      <c r="R2" s="36"/>
      <c r="S2" s="36"/>
      <c r="U2" s="36" t="str">
        <f>"KW "&amp;(RIGHT(N2,LEN(N2)-3)+1)</f>
        <v>KW 9</v>
      </c>
      <c r="V2" s="36"/>
      <c r="W2" s="36"/>
      <c r="X2" s="36"/>
      <c r="Y2" s="36"/>
      <c r="Z2" s="36"/>
      <c r="AB2" s="36" t="str">
        <f>"KW "&amp;(RIGHT(U2,LEN(U2)-3)+1)</f>
        <v>KW 10</v>
      </c>
      <c r="AC2" s="36"/>
      <c r="AD2" s="36"/>
      <c r="AE2" s="36"/>
      <c r="AF2" s="36"/>
      <c r="AG2" s="36"/>
      <c r="AI2" s="36" t="str">
        <f>"KW "&amp;(RIGHT(AB2,LEN(AB2)-3)+1)</f>
        <v>KW 11</v>
      </c>
      <c r="AJ2" s="36"/>
      <c r="AK2" s="36"/>
      <c r="AL2" s="36"/>
      <c r="AM2" s="36"/>
      <c r="AN2" s="36"/>
      <c r="AP2" s="36" t="str">
        <f>"KW "&amp;(RIGHT(AI2,LEN(AI2)-3)+1)</f>
        <v>KW 12</v>
      </c>
      <c r="AQ2" s="36"/>
      <c r="AR2" s="36"/>
      <c r="AS2" s="36"/>
      <c r="AT2" s="36"/>
      <c r="AU2" s="36"/>
      <c r="AW2" s="36" t="str">
        <f>"KW "&amp;(RIGHT(AP2,LEN(AP2)-3)+1)</f>
        <v>KW 13</v>
      </c>
      <c r="AX2" s="36"/>
      <c r="AY2" s="36"/>
      <c r="AZ2" s="36"/>
      <c r="BA2" s="36"/>
      <c r="BB2" s="36"/>
      <c r="BD2" s="36" t="str">
        <f>"KW "&amp;(RIGHT(AW2,LEN(AW2)-3)+1)</f>
        <v>KW 14</v>
      </c>
      <c r="BE2" s="36"/>
      <c r="BF2" s="36"/>
      <c r="BG2" s="36"/>
      <c r="BH2" s="36"/>
      <c r="BI2" s="36"/>
      <c r="BK2" s="36" t="str">
        <f>"KW "&amp;(RIGHT(BD2,LEN(BD2)-3)+1)</f>
        <v>KW 15</v>
      </c>
      <c r="BL2" s="36"/>
      <c r="BM2" s="36"/>
      <c r="BN2" s="36"/>
      <c r="BO2" s="36"/>
      <c r="BP2" s="36"/>
      <c r="BR2" s="36" t="str">
        <f>"KW "&amp;(RIGHT(BK2,LEN(BK2)-3)+1)</f>
        <v>KW 16</v>
      </c>
      <c r="BS2" s="36"/>
      <c r="BT2" s="36"/>
      <c r="BU2" s="36"/>
      <c r="BV2" s="36"/>
      <c r="BW2" s="36"/>
      <c r="BY2" s="36" t="str">
        <f>"KW "&amp;(RIGHT(BR2,LEN(BR2)-3)+1)</f>
        <v>KW 17</v>
      </c>
      <c r="BZ2" s="36"/>
      <c r="CA2" s="36"/>
      <c r="CB2" s="36"/>
      <c r="CC2" s="36"/>
      <c r="CD2" s="36"/>
      <c r="CF2" s="36" t="str">
        <f>"KW "&amp;(RIGHT(BY2,LEN(BY2)-3)+1)</f>
        <v>KW 18</v>
      </c>
      <c r="CG2" s="36"/>
      <c r="CH2" s="36"/>
      <c r="CI2" s="36"/>
      <c r="CJ2" s="36"/>
      <c r="CK2" s="36"/>
      <c r="CM2" s="36" t="str">
        <f>"KW "&amp;(RIGHT(CF2,LEN(CF2)-3)+1)</f>
        <v>KW 19</v>
      </c>
      <c r="CN2" s="36"/>
      <c r="CO2" s="36"/>
      <c r="CP2" s="36"/>
      <c r="CQ2" s="36"/>
      <c r="CR2" s="36"/>
      <c r="CT2" s="36" t="str">
        <f>"KW "&amp;(RIGHT(CM2,LEN(CM2)-3)+1)</f>
        <v>KW 20</v>
      </c>
      <c r="CU2" s="36"/>
      <c r="CV2" s="36"/>
      <c r="CW2" s="36"/>
      <c r="CX2" s="36"/>
      <c r="CY2" s="36"/>
      <c r="DA2" s="36" t="str">
        <f>"KW "&amp;(RIGHT(CT2,LEN(CT2)-3)+1)</f>
        <v>KW 21</v>
      </c>
      <c r="DB2" s="36"/>
      <c r="DC2" s="36"/>
      <c r="DD2" s="36"/>
      <c r="DE2" s="36"/>
      <c r="DF2" s="36"/>
      <c r="DH2" s="36" t="str">
        <f>"KW "&amp;(RIGHT(DA2,LEN(DA2)-3)+1)</f>
        <v>KW 22</v>
      </c>
      <c r="DI2" s="36"/>
      <c r="DJ2" s="36"/>
      <c r="DK2" s="36"/>
      <c r="DL2" s="36"/>
      <c r="DM2" s="36"/>
      <c r="DO2" s="36" t="str">
        <f>"KW "&amp;(RIGHT(DH2,LEN(DH2)-3)+1)</f>
        <v>KW 23</v>
      </c>
      <c r="DP2" s="36"/>
      <c r="DQ2" s="36"/>
      <c r="DR2" s="36"/>
      <c r="DS2" s="36"/>
      <c r="DT2" s="36"/>
      <c r="DV2" s="36" t="str">
        <f>"KW "&amp;(RIGHT(DO2,LEN(DO2)-3)+1)</f>
        <v>KW 24</v>
      </c>
      <c r="DW2" s="36"/>
      <c r="DX2" s="36"/>
      <c r="DY2" s="36"/>
      <c r="DZ2" s="36"/>
      <c r="EA2" s="36"/>
      <c r="EC2" s="36" t="str">
        <f>"KW "&amp;(RIGHT(DV2,LEN(DV2)-3)+1)</f>
        <v>KW 25</v>
      </c>
      <c r="ED2" s="36"/>
      <c r="EE2" s="36"/>
      <c r="EF2" s="36"/>
      <c r="EG2" s="36"/>
      <c r="EH2" s="36"/>
      <c r="EJ2" s="36" t="str">
        <f>"KW "&amp;(RIGHT(EC2,LEN(EC2)-3)+1)</f>
        <v>KW 26</v>
      </c>
      <c r="EK2" s="36"/>
      <c r="EL2" s="36"/>
      <c r="EM2" s="36"/>
      <c r="EN2" s="36"/>
      <c r="EO2" s="36"/>
    </row>
    <row r="3" spans="2:145">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row>
    <row r="4" spans="2:145">
      <c r="B4" t="s">
        <v>27</v>
      </c>
      <c r="C4" t="s">
        <v>86</v>
      </c>
      <c r="D4" s="18">
        <v>45833</v>
      </c>
      <c r="E4" s="9">
        <v>5.5</v>
      </c>
      <c r="G4" s="10">
        <f>+SUM(G5:G14)</f>
        <v>0.99999999999999989</v>
      </c>
      <c r="I4" s="12">
        <f>+SUM(I5:I14)</f>
        <v>0</v>
      </c>
      <c r="J4" s="11">
        <v>0</v>
      </c>
      <c r="K4" s="11">
        <f>+SUMPRODUCT(G5:G14,K5:K14)</f>
        <v>0</v>
      </c>
      <c r="L4" s="9"/>
      <c r="N4" s="12">
        <f>+SUM(N5:N14)</f>
        <v>0</v>
      </c>
      <c r="U4" s="12">
        <f>+SUM(U5:U14)</f>
        <v>0</v>
      </c>
      <c r="AB4" s="12">
        <f>+SUM(AB5:AB14)</f>
        <v>0</v>
      </c>
      <c r="AI4" s="12">
        <f>+SUM(AI5:AI14)</f>
        <v>0</v>
      </c>
      <c r="AP4" s="12">
        <f>+SUM(AP5:AP14)</f>
        <v>0</v>
      </c>
      <c r="AW4" s="12">
        <f>+SUM(AW5:AW14)</f>
        <v>0</v>
      </c>
      <c r="BD4" s="12">
        <f>+SUM(BD5:BD14)</f>
        <v>0</v>
      </c>
      <c r="BK4" s="12">
        <f>+SUM(BK5:BK14)</f>
        <v>0</v>
      </c>
      <c r="BR4" s="12">
        <f>+SUM(BR5:BR14)</f>
        <v>0</v>
      </c>
      <c r="BY4" s="12">
        <f>+SUM(BY5:BY14)</f>
        <v>0</v>
      </c>
      <c r="CF4" s="12">
        <f>+SUM(CF5:CF14)</f>
        <v>0</v>
      </c>
      <c r="CM4" s="12">
        <f>+SUM(CM5:CM14)</f>
        <v>0</v>
      </c>
      <c r="CT4" s="12">
        <f>+SUM(CT5:CT14)</f>
        <v>0</v>
      </c>
      <c r="DA4" s="12">
        <f>+SUM(DA5:DA14)</f>
        <v>0</v>
      </c>
      <c r="DH4" s="12">
        <f>+SUM(DH5:DH14)</f>
        <v>0</v>
      </c>
      <c r="DO4" s="12">
        <f>+SUM(DO5:DO14)</f>
        <v>0</v>
      </c>
      <c r="DV4" s="12">
        <f>+SUM(DV5:DV14)</f>
        <v>0</v>
      </c>
      <c r="EC4" s="12">
        <f>+SUM(EC5:EC14)</f>
        <v>0</v>
      </c>
      <c r="EJ4" s="23" t="s">
        <v>148</v>
      </c>
      <c r="EK4" s="15"/>
    </row>
    <row r="5" spans="2:145" outlineLevel="1">
      <c r="B5" t="s">
        <v>28</v>
      </c>
      <c r="C5" t="s">
        <v>88</v>
      </c>
      <c r="E5" s="9"/>
      <c r="F5" t="s">
        <v>89</v>
      </c>
      <c r="G5" s="10">
        <f>100/10/100</f>
        <v>0.1</v>
      </c>
      <c r="I5" s="9">
        <f t="shared" ref="I5:I14" si="0">+SUMIF($N$3:$ZT$3,I$3,$N5:$ZT5)</f>
        <v>0</v>
      </c>
      <c r="J5" s="11" cm="1">
        <f t="array" ref="J5">MAX(IF($N$3:$EH$3=$J$3,N5:EH5))</f>
        <v>0</v>
      </c>
      <c r="K5" s="11" cm="1">
        <f t="array" ref="K5">MAX(IF($N$3:$EH$3=$J$3,N5:EH5))</f>
        <v>0</v>
      </c>
      <c r="L5" s="9"/>
      <c r="O5" s="10"/>
      <c r="P5" s="25"/>
      <c r="Q5" s="10"/>
      <c r="R5" s="25"/>
      <c r="V5" s="10"/>
      <c r="W5" s="10">
        <v>0.5</v>
      </c>
      <c r="X5" s="10"/>
      <c r="Y5" s="10">
        <v>0.5</v>
      </c>
      <c r="AC5" s="10"/>
      <c r="AD5" s="25">
        <v>0.5</v>
      </c>
      <c r="AE5" s="10"/>
      <c r="AF5" s="25">
        <v>0.5</v>
      </c>
      <c r="AJ5" s="10"/>
      <c r="AK5" s="10">
        <v>0.8</v>
      </c>
      <c r="AL5" s="10"/>
      <c r="AM5" s="10">
        <v>0.8</v>
      </c>
      <c r="AQ5" s="10"/>
      <c r="AR5" s="10">
        <v>0.8</v>
      </c>
      <c r="AS5" s="10"/>
      <c r="AT5" s="10">
        <v>0.8</v>
      </c>
      <c r="AX5" s="10"/>
      <c r="AY5" s="10">
        <v>0.8</v>
      </c>
      <c r="AZ5" s="10"/>
      <c r="BA5" s="10">
        <v>0.8</v>
      </c>
      <c r="BE5" s="10"/>
      <c r="BF5" s="10">
        <v>0.8</v>
      </c>
      <c r="BG5" s="10"/>
      <c r="BH5" s="10">
        <v>0.8</v>
      </c>
      <c r="BL5" s="10"/>
      <c r="BM5" s="25">
        <v>0.8</v>
      </c>
      <c r="BN5" s="10"/>
      <c r="BO5" s="25">
        <v>0.8</v>
      </c>
      <c r="BS5" s="10"/>
      <c r="BT5" s="37">
        <v>1</v>
      </c>
      <c r="BU5" s="10"/>
      <c r="BV5" s="37">
        <v>1</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I5" s="10"/>
      <c r="DJ5" s="10">
        <v>1</v>
      </c>
      <c r="DK5" s="10"/>
      <c r="DL5" s="10">
        <v>1</v>
      </c>
      <c r="DP5" s="10"/>
      <c r="DQ5" s="10">
        <v>1</v>
      </c>
      <c r="DR5" s="10"/>
      <c r="DS5" s="10">
        <v>1</v>
      </c>
      <c r="DW5" s="10"/>
      <c r="DX5" s="10"/>
      <c r="DY5" s="10"/>
      <c r="DZ5" s="10"/>
      <c r="ED5" s="10"/>
      <c r="EE5" s="10"/>
      <c r="EF5" s="10"/>
      <c r="EG5" s="10"/>
      <c r="EK5" s="10"/>
      <c r="EL5" s="10"/>
      <c r="EM5" s="10"/>
      <c r="EN5" s="10"/>
    </row>
    <row r="6" spans="2:145" outlineLevel="1">
      <c r="B6" t="s">
        <v>28</v>
      </c>
      <c r="C6" t="s">
        <v>88</v>
      </c>
      <c r="E6" s="9"/>
      <c r="F6" t="s">
        <v>90</v>
      </c>
      <c r="G6" s="10">
        <f t="shared" ref="G6:G14" si="1">100/10/100</f>
        <v>0.1</v>
      </c>
      <c r="I6" s="9">
        <f t="shared" si="0"/>
        <v>0</v>
      </c>
      <c r="J6" s="11" cm="1">
        <f t="array" ref="J6">MAX(IF($N$3:$EH$3=$J$3,N6:EH6))</f>
        <v>0</v>
      </c>
      <c r="K6" s="11" cm="1">
        <f t="array" ref="K6">MAX(IF($N$3:$EH$3=$J$3,N6:EH6))</f>
        <v>0</v>
      </c>
      <c r="L6" s="9"/>
      <c r="O6" s="10"/>
      <c r="P6" s="25"/>
      <c r="Q6" s="10"/>
      <c r="R6" s="25"/>
      <c r="V6" s="10"/>
      <c r="W6" s="10">
        <v>0.5</v>
      </c>
      <c r="X6" s="10"/>
      <c r="Y6" s="10">
        <v>0.5</v>
      </c>
      <c r="AC6" s="10"/>
      <c r="AD6" s="10">
        <v>0.5</v>
      </c>
      <c r="AE6" s="10"/>
      <c r="AF6" s="10">
        <v>0.5</v>
      </c>
      <c r="AJ6" s="10"/>
      <c r="AK6" s="25">
        <v>0.5</v>
      </c>
      <c r="AL6" s="10"/>
      <c r="AM6" s="25">
        <v>0.5</v>
      </c>
      <c r="AQ6" s="10"/>
      <c r="AR6" s="10">
        <v>0.8</v>
      </c>
      <c r="AS6" s="10"/>
      <c r="AT6" s="10">
        <v>0.8</v>
      </c>
      <c r="AX6" s="10"/>
      <c r="AY6" s="10">
        <v>0.8</v>
      </c>
      <c r="AZ6" s="10"/>
      <c r="BA6" s="10">
        <v>0.8</v>
      </c>
      <c r="BE6" s="10"/>
      <c r="BF6" s="10">
        <v>0.8</v>
      </c>
      <c r="BG6" s="10"/>
      <c r="BH6" s="10">
        <v>0.8</v>
      </c>
      <c r="BL6" s="10"/>
      <c r="BM6" s="10">
        <v>0.8</v>
      </c>
      <c r="BN6" s="10"/>
      <c r="BO6" s="10">
        <v>0.8</v>
      </c>
      <c r="BS6" s="10"/>
      <c r="BT6" s="25">
        <v>0.8</v>
      </c>
      <c r="BU6" s="10"/>
      <c r="BV6" s="25">
        <v>0.8</v>
      </c>
      <c r="BZ6" s="10"/>
      <c r="CA6" s="10">
        <v>1</v>
      </c>
      <c r="CB6" s="10"/>
      <c r="CC6" s="10">
        <v>1</v>
      </c>
      <c r="CG6" s="10"/>
      <c r="CH6" s="10">
        <v>1</v>
      </c>
      <c r="CI6" s="10"/>
      <c r="CJ6" s="10">
        <v>1</v>
      </c>
      <c r="CN6" s="10"/>
      <c r="CO6" s="10">
        <v>1</v>
      </c>
      <c r="CP6" s="10"/>
      <c r="CQ6" s="10">
        <v>1</v>
      </c>
      <c r="CU6" s="10"/>
      <c r="CV6" s="10">
        <v>1</v>
      </c>
      <c r="CW6" s="10"/>
      <c r="CX6" s="10">
        <v>1</v>
      </c>
      <c r="DB6" s="10"/>
      <c r="DC6" s="10">
        <v>1</v>
      </c>
      <c r="DD6" s="10"/>
      <c r="DE6" s="10">
        <v>1</v>
      </c>
      <c r="DI6" s="10"/>
      <c r="DJ6" s="10">
        <v>1</v>
      </c>
      <c r="DK6" s="10"/>
      <c r="DL6" s="10">
        <v>1</v>
      </c>
      <c r="DP6" s="10"/>
      <c r="DQ6" s="10">
        <v>1</v>
      </c>
      <c r="DR6" s="10"/>
      <c r="DS6" s="10">
        <v>1</v>
      </c>
      <c r="DW6" s="10"/>
      <c r="DX6" s="10"/>
      <c r="DY6" s="10"/>
      <c r="DZ6" s="10"/>
      <c r="ED6" s="10"/>
      <c r="EE6" s="10"/>
      <c r="EF6" s="10"/>
      <c r="EG6" s="10"/>
      <c r="EK6" s="10"/>
      <c r="EL6" s="10"/>
      <c r="EM6" s="10"/>
      <c r="EN6" s="10"/>
    </row>
    <row r="7" spans="2:145" outlineLevel="1">
      <c r="B7" t="s">
        <v>28</v>
      </c>
      <c r="C7" t="s">
        <v>88</v>
      </c>
      <c r="E7" s="9"/>
      <c r="F7" t="s">
        <v>91</v>
      </c>
      <c r="G7" s="10">
        <f t="shared" si="1"/>
        <v>0.1</v>
      </c>
      <c r="I7" s="9">
        <f t="shared" si="0"/>
        <v>0</v>
      </c>
      <c r="J7" s="11" cm="1">
        <f t="array" ref="J7">MAX(IF($N$3:$EH$3=$J$3,N7:EH7))</f>
        <v>0</v>
      </c>
      <c r="K7" s="11" cm="1">
        <f t="array" ref="K7">MAX(IF($N$3:$EH$3=$J$3,N7:EH7))</f>
        <v>0</v>
      </c>
      <c r="L7" s="9"/>
      <c r="O7" s="10"/>
      <c r="P7" s="10"/>
      <c r="Q7" s="10"/>
      <c r="R7" s="10"/>
      <c r="V7" s="10"/>
      <c r="W7" s="25"/>
      <c r="X7" s="10"/>
      <c r="Y7" s="25"/>
      <c r="AC7" s="10"/>
      <c r="AD7" s="10">
        <v>0.5</v>
      </c>
      <c r="AE7" s="10"/>
      <c r="AF7" s="10">
        <v>0.5</v>
      </c>
      <c r="AJ7" s="10"/>
      <c r="AK7" s="10">
        <v>0.5</v>
      </c>
      <c r="AL7" s="10"/>
      <c r="AM7" s="10">
        <v>0.5</v>
      </c>
      <c r="AQ7" s="10"/>
      <c r="AR7" s="25">
        <v>0.5</v>
      </c>
      <c r="AS7" s="10"/>
      <c r="AT7" s="25">
        <v>0.5</v>
      </c>
      <c r="AX7" s="10"/>
      <c r="AY7" s="10">
        <v>0.8</v>
      </c>
      <c r="AZ7" s="10"/>
      <c r="BA7" s="10">
        <v>0.8</v>
      </c>
      <c r="BE7" s="10"/>
      <c r="BF7" s="10">
        <v>0.8</v>
      </c>
      <c r="BG7" s="10"/>
      <c r="BH7" s="10">
        <v>0.8</v>
      </c>
      <c r="BL7" s="10"/>
      <c r="BM7" s="10">
        <v>0.8</v>
      </c>
      <c r="BN7" s="10"/>
      <c r="BO7" s="10">
        <v>0.8</v>
      </c>
      <c r="BS7" s="10"/>
      <c r="BT7" s="10">
        <v>0.8</v>
      </c>
      <c r="BU7" s="10"/>
      <c r="BV7" s="10">
        <v>0.8</v>
      </c>
      <c r="BZ7" s="10"/>
      <c r="CA7" s="25">
        <v>0.8</v>
      </c>
      <c r="CB7" s="10"/>
      <c r="CC7" s="25">
        <v>0.8</v>
      </c>
      <c r="CG7" s="10"/>
      <c r="CH7" s="10">
        <v>1</v>
      </c>
      <c r="CI7" s="10"/>
      <c r="CJ7" s="10">
        <v>1</v>
      </c>
      <c r="CN7" s="10"/>
      <c r="CO7" s="10">
        <v>1</v>
      </c>
      <c r="CP7" s="10"/>
      <c r="CQ7" s="10">
        <v>1</v>
      </c>
      <c r="CU7" s="10"/>
      <c r="CV7" s="10">
        <v>1</v>
      </c>
      <c r="CW7" s="10"/>
      <c r="CX7" s="10">
        <v>1</v>
      </c>
      <c r="DB7" s="10"/>
      <c r="DC7" s="10">
        <v>1</v>
      </c>
      <c r="DD7" s="10"/>
      <c r="DE7" s="10">
        <v>1</v>
      </c>
      <c r="DI7" s="10"/>
      <c r="DJ7" s="10">
        <v>1</v>
      </c>
      <c r="DK7" s="10"/>
      <c r="DL7" s="10">
        <v>1</v>
      </c>
      <c r="DP7" s="10"/>
      <c r="DQ7" s="10">
        <v>1</v>
      </c>
      <c r="DR7" s="10"/>
      <c r="DS7" s="10">
        <v>1</v>
      </c>
      <c r="DW7" s="10"/>
      <c r="DX7" s="10"/>
      <c r="DY7" s="10"/>
      <c r="DZ7" s="10"/>
      <c r="ED7" s="10"/>
      <c r="EE7" s="10"/>
      <c r="EF7" s="10"/>
      <c r="EG7" s="10"/>
      <c r="EK7" s="10"/>
      <c r="EL7" s="10"/>
      <c r="EM7" s="10"/>
      <c r="EN7" s="10"/>
    </row>
    <row r="8" spans="2:145" outlineLevel="1">
      <c r="B8" t="s">
        <v>28</v>
      </c>
      <c r="C8" t="s">
        <v>87</v>
      </c>
      <c r="E8" s="9"/>
      <c r="F8" t="s">
        <v>155</v>
      </c>
      <c r="G8" s="10">
        <f t="shared" si="1"/>
        <v>0.1</v>
      </c>
      <c r="I8" s="9">
        <f t="shared" si="0"/>
        <v>0</v>
      </c>
      <c r="J8" s="11" cm="1">
        <f t="array" ref="J8">MAX(IF($N$3:$EH$3=$J$3,N8:EH8))</f>
        <v>0</v>
      </c>
      <c r="K8" s="11" cm="1">
        <f t="array" ref="K8">MAX(IF($N$3:$EH$3=$J$3,N8:EH8))</f>
        <v>0</v>
      </c>
      <c r="L8" s="9"/>
      <c r="O8" s="10"/>
      <c r="P8" s="10"/>
      <c r="Q8" s="10"/>
      <c r="R8" s="10"/>
      <c r="V8" s="10"/>
      <c r="W8" s="25"/>
      <c r="X8" s="10"/>
      <c r="Y8" s="25"/>
      <c r="AC8" s="10"/>
      <c r="AD8" s="10">
        <v>0.5</v>
      </c>
      <c r="AE8" s="10"/>
      <c r="AF8" s="10">
        <v>0.5</v>
      </c>
      <c r="AJ8" s="10"/>
      <c r="AK8" s="10">
        <v>0.5</v>
      </c>
      <c r="AL8" s="10"/>
      <c r="AM8" s="10">
        <v>0.5</v>
      </c>
      <c r="AQ8" s="10"/>
      <c r="AR8" s="10">
        <v>0.5</v>
      </c>
      <c r="AS8" s="10"/>
      <c r="AT8" s="10">
        <v>0.5</v>
      </c>
      <c r="AX8" s="10"/>
      <c r="AY8" s="25">
        <v>0.5</v>
      </c>
      <c r="AZ8" s="10"/>
      <c r="BA8" s="25">
        <v>0.5</v>
      </c>
      <c r="BE8" s="10"/>
      <c r="BF8" s="10">
        <v>0.8</v>
      </c>
      <c r="BG8" s="10"/>
      <c r="BH8" s="10">
        <v>0.8</v>
      </c>
      <c r="BL8" s="10"/>
      <c r="BM8" s="10">
        <v>0.8</v>
      </c>
      <c r="BN8" s="10"/>
      <c r="BO8" s="10">
        <v>0.8</v>
      </c>
      <c r="BS8" s="10"/>
      <c r="BT8" s="10">
        <v>0.8</v>
      </c>
      <c r="BU8" s="10"/>
      <c r="BV8" s="10">
        <v>0.8</v>
      </c>
      <c r="BZ8" s="10"/>
      <c r="CA8" s="10">
        <v>0.8</v>
      </c>
      <c r="CB8" s="10"/>
      <c r="CC8" s="10">
        <v>0.8</v>
      </c>
      <c r="CG8" s="10"/>
      <c r="CH8" s="25">
        <v>0.8</v>
      </c>
      <c r="CI8" s="10"/>
      <c r="CJ8" s="25">
        <v>0.8</v>
      </c>
      <c r="CN8" s="10"/>
      <c r="CO8" s="10">
        <v>1</v>
      </c>
      <c r="CP8" s="10"/>
      <c r="CQ8" s="10">
        <v>1</v>
      </c>
      <c r="CU8" s="10"/>
      <c r="CV8" s="10">
        <v>1</v>
      </c>
      <c r="CW8" s="10"/>
      <c r="CX8" s="10">
        <v>1</v>
      </c>
      <c r="DB8" s="10"/>
      <c r="DC8" s="10">
        <v>1</v>
      </c>
      <c r="DD8" s="10"/>
      <c r="DE8" s="10">
        <v>1</v>
      </c>
      <c r="DI8" s="10"/>
      <c r="DJ8" s="10">
        <v>1</v>
      </c>
      <c r="DK8" s="10"/>
      <c r="DL8" s="10">
        <v>1</v>
      </c>
      <c r="DP8" s="10"/>
      <c r="DQ8" s="10">
        <v>1</v>
      </c>
      <c r="DR8" s="10"/>
      <c r="DS8" s="10">
        <v>1</v>
      </c>
      <c r="DW8" s="10"/>
      <c r="DX8" s="10"/>
      <c r="DY8" s="10"/>
      <c r="DZ8" s="10"/>
      <c r="ED8" s="10"/>
      <c r="EE8" s="10"/>
      <c r="EF8" s="10"/>
      <c r="EG8" s="10"/>
      <c r="EK8" s="10"/>
      <c r="EL8" s="10"/>
      <c r="EM8" s="10"/>
      <c r="EN8" s="10"/>
    </row>
    <row r="9" spans="2:145" ht="17" outlineLevel="1">
      <c r="B9" t="s">
        <v>28</v>
      </c>
      <c r="C9" t="s">
        <v>87</v>
      </c>
      <c r="E9" s="9"/>
      <c r="F9" s="1" t="s">
        <v>156</v>
      </c>
      <c r="G9" s="10">
        <f t="shared" si="1"/>
        <v>0.1</v>
      </c>
      <c r="I9" s="9">
        <f t="shared" si="0"/>
        <v>0</v>
      </c>
      <c r="J9" s="11" cm="1">
        <f t="array" ref="J9">MAX(IF($N$3:$EH$3=$J$3,N9:EH9))</f>
        <v>0</v>
      </c>
      <c r="K9" s="11" cm="1">
        <f t="array" ref="K9">MAX(IF($N$3:$EH$3=$J$3,N9:EH9))</f>
        <v>0</v>
      </c>
      <c r="L9" s="9"/>
      <c r="O9" s="10"/>
      <c r="P9" s="10"/>
      <c r="Q9" s="10"/>
      <c r="R9" s="10"/>
      <c r="V9" s="10"/>
      <c r="W9" s="10"/>
      <c r="X9" s="10"/>
      <c r="Y9" s="10"/>
      <c r="AC9" s="10"/>
      <c r="AD9" s="25"/>
      <c r="AE9" s="10"/>
      <c r="AF9" s="38"/>
      <c r="AJ9" s="10"/>
      <c r="AK9" s="10">
        <v>0.5</v>
      </c>
      <c r="AL9" s="10"/>
      <c r="AM9" s="10">
        <v>0.5</v>
      </c>
      <c r="AQ9" s="10"/>
      <c r="AR9" s="10">
        <v>0.5</v>
      </c>
      <c r="AS9" s="10"/>
      <c r="AT9" s="10">
        <v>0.5</v>
      </c>
      <c r="AX9" s="10"/>
      <c r="AY9" s="10">
        <v>0.5</v>
      </c>
      <c r="AZ9" s="10"/>
      <c r="BA9" s="10">
        <v>0.5</v>
      </c>
      <c r="BE9" s="10"/>
      <c r="BF9" s="25">
        <v>0.5</v>
      </c>
      <c r="BG9" s="10"/>
      <c r="BH9" s="25">
        <v>0.5</v>
      </c>
      <c r="BL9" s="10"/>
      <c r="BM9" s="10">
        <v>0.8</v>
      </c>
      <c r="BN9" s="10"/>
      <c r="BO9" s="10">
        <v>0.8</v>
      </c>
      <c r="BS9" s="10"/>
      <c r="BT9" s="10">
        <v>0.8</v>
      </c>
      <c r="BU9" s="10"/>
      <c r="BV9" s="10">
        <v>0.8</v>
      </c>
      <c r="BZ9" s="10"/>
      <c r="CA9" s="10">
        <v>0.8</v>
      </c>
      <c r="CB9" s="10"/>
      <c r="CC9" s="10">
        <v>0.8</v>
      </c>
      <c r="CG9" s="10"/>
      <c r="CH9" s="10">
        <v>0.8</v>
      </c>
      <c r="CI9" s="10"/>
      <c r="CJ9" s="10">
        <v>0.8</v>
      </c>
      <c r="CN9" s="10"/>
      <c r="CO9" s="25">
        <v>0.8</v>
      </c>
      <c r="CP9" s="10"/>
      <c r="CQ9" s="25">
        <v>0.8</v>
      </c>
      <c r="CU9" s="10"/>
      <c r="CV9" s="10">
        <v>1</v>
      </c>
      <c r="CW9" s="10"/>
      <c r="CX9" s="10">
        <v>1</v>
      </c>
      <c r="DB9" s="10"/>
      <c r="DC9" s="10">
        <v>1</v>
      </c>
      <c r="DD9" s="10"/>
      <c r="DE9" s="10">
        <v>1</v>
      </c>
      <c r="DI9" s="10"/>
      <c r="DJ9" s="10">
        <v>1</v>
      </c>
      <c r="DK9" s="10"/>
      <c r="DL9" s="10">
        <v>1</v>
      </c>
      <c r="DP9" s="10"/>
      <c r="DQ9" s="10">
        <v>1</v>
      </c>
      <c r="DR9" s="10"/>
      <c r="DS9" s="10">
        <v>1</v>
      </c>
      <c r="DW9" s="10"/>
      <c r="DX9" s="10"/>
      <c r="DY9" s="10"/>
      <c r="DZ9" s="10"/>
      <c r="ED9" s="10"/>
      <c r="EE9" s="10"/>
      <c r="EF9" s="10"/>
      <c r="EG9" s="10"/>
      <c r="EK9" s="10"/>
      <c r="EL9" s="10"/>
      <c r="EM9" s="10"/>
      <c r="EN9" s="10"/>
    </row>
    <row r="10" spans="2:145" outlineLevel="1">
      <c r="B10" t="s">
        <v>28</v>
      </c>
      <c r="C10" t="s">
        <v>87</v>
      </c>
      <c r="E10" s="9"/>
      <c r="F10" t="s">
        <v>157</v>
      </c>
      <c r="G10" s="10">
        <f t="shared" si="1"/>
        <v>0.1</v>
      </c>
      <c r="I10" s="9">
        <f t="shared" si="0"/>
        <v>0</v>
      </c>
      <c r="J10" s="11" cm="1">
        <f t="array" ref="J10">MAX(IF($N$3:$EH$3=$J$3,N10:EH10))</f>
        <v>0</v>
      </c>
      <c r="K10" s="11" cm="1">
        <f t="array" ref="K10">MAX(IF($N$3:$EH$3=$J$3,N10:EH10))</f>
        <v>0</v>
      </c>
      <c r="L10" s="9"/>
      <c r="O10" s="10"/>
      <c r="P10" s="10"/>
      <c r="Q10" s="10"/>
      <c r="R10" s="10"/>
      <c r="V10" s="10"/>
      <c r="X10" s="10"/>
      <c r="Y10" s="10"/>
      <c r="AC10" s="10"/>
      <c r="AD10" s="25"/>
      <c r="AE10" s="10"/>
      <c r="AF10" s="25"/>
      <c r="AJ10" s="10"/>
      <c r="AK10" s="10">
        <v>0.5</v>
      </c>
      <c r="AL10" s="10"/>
      <c r="AM10" s="10">
        <v>0.5</v>
      </c>
      <c r="AQ10" s="10"/>
      <c r="AR10" s="10">
        <v>0.5</v>
      </c>
      <c r="AS10" s="10"/>
      <c r="AT10" s="10">
        <v>0.5</v>
      </c>
      <c r="AX10" s="10"/>
      <c r="AY10" s="10">
        <v>0.5</v>
      </c>
      <c r="AZ10" s="10"/>
      <c r="BA10" s="10">
        <v>0.5</v>
      </c>
      <c r="BE10" s="10"/>
      <c r="BF10" s="10">
        <v>0.5</v>
      </c>
      <c r="BG10" s="10"/>
      <c r="BH10" s="10">
        <v>0.5</v>
      </c>
      <c r="BL10" s="10"/>
      <c r="BM10" s="25">
        <v>0.5</v>
      </c>
      <c r="BN10" s="10"/>
      <c r="BO10" s="25">
        <v>0.5</v>
      </c>
      <c r="BS10" s="10"/>
      <c r="BT10" s="10">
        <v>0.8</v>
      </c>
      <c r="BU10" s="10"/>
      <c r="BV10" s="10">
        <v>0.8</v>
      </c>
      <c r="BZ10" s="10"/>
      <c r="CA10" s="10">
        <v>0.8</v>
      </c>
      <c r="CB10" s="10"/>
      <c r="CC10" s="10">
        <v>0.8</v>
      </c>
      <c r="CG10" s="10"/>
      <c r="CH10" s="10">
        <v>0.8</v>
      </c>
      <c r="CI10" s="10"/>
      <c r="CJ10" s="10">
        <v>0.8</v>
      </c>
      <c r="CN10" s="10"/>
      <c r="CO10" s="37">
        <v>0.8</v>
      </c>
      <c r="CP10" s="37"/>
      <c r="CQ10" s="37">
        <v>0.8</v>
      </c>
      <c r="CU10" s="10"/>
      <c r="CV10" s="25">
        <v>0.8</v>
      </c>
      <c r="CW10" s="10"/>
      <c r="CX10" s="25">
        <v>0.8</v>
      </c>
      <c r="DB10" s="10"/>
      <c r="DC10" s="10">
        <v>1</v>
      </c>
      <c r="DD10" s="10"/>
      <c r="DE10" s="10">
        <v>1</v>
      </c>
      <c r="DI10" s="10"/>
      <c r="DJ10" s="10">
        <v>1</v>
      </c>
      <c r="DK10" s="10"/>
      <c r="DL10" s="10">
        <v>1</v>
      </c>
      <c r="DP10" s="10"/>
      <c r="DQ10" s="10">
        <v>1</v>
      </c>
      <c r="DR10" s="10"/>
      <c r="DS10" s="10">
        <v>1</v>
      </c>
      <c r="DW10" s="10"/>
      <c r="DX10" s="10"/>
      <c r="DY10" s="10"/>
      <c r="DZ10" s="10"/>
      <c r="ED10" s="10"/>
      <c r="EE10" s="10"/>
      <c r="EF10" s="10"/>
      <c r="EG10" s="10"/>
      <c r="EK10" s="10"/>
      <c r="EL10" s="10"/>
      <c r="EM10" s="10"/>
      <c r="EN10" s="10"/>
    </row>
    <row r="11" spans="2:145" outlineLevel="1">
      <c r="B11" t="s">
        <v>28</v>
      </c>
      <c r="C11" t="s">
        <v>87</v>
      </c>
      <c r="E11" s="9"/>
      <c r="F11" t="s">
        <v>158</v>
      </c>
      <c r="G11" s="10">
        <f t="shared" si="1"/>
        <v>0.1</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25"/>
      <c r="AL11" s="10"/>
      <c r="AM11" s="25"/>
      <c r="AQ11" s="10"/>
      <c r="AR11" s="10">
        <v>0.5</v>
      </c>
      <c r="AS11" s="10"/>
      <c r="AT11" s="10">
        <v>0.5</v>
      </c>
      <c r="AX11" s="10"/>
      <c r="AY11" s="10">
        <v>0.5</v>
      </c>
      <c r="AZ11" s="10"/>
      <c r="BA11" s="10">
        <v>0.5</v>
      </c>
      <c r="BE11" s="10"/>
      <c r="BF11" s="10">
        <v>0.5</v>
      </c>
      <c r="BG11" s="10"/>
      <c r="BH11" s="10">
        <v>0.5</v>
      </c>
      <c r="BL11" s="10"/>
      <c r="BM11" s="10">
        <v>0.5</v>
      </c>
      <c r="BN11" s="10"/>
      <c r="BO11" s="10">
        <v>0.5</v>
      </c>
      <c r="BS11" s="10"/>
      <c r="BT11" s="25">
        <v>0.5</v>
      </c>
      <c r="BU11" s="10"/>
      <c r="BV11" s="25">
        <v>0.5</v>
      </c>
      <c r="BZ11" s="10"/>
      <c r="CA11" s="10">
        <v>0.8</v>
      </c>
      <c r="CB11" s="10"/>
      <c r="CC11" s="10">
        <v>0.8</v>
      </c>
      <c r="CG11" s="10"/>
      <c r="CH11" s="10">
        <v>0.8</v>
      </c>
      <c r="CI11" s="10"/>
      <c r="CJ11" s="10">
        <v>0.8</v>
      </c>
      <c r="CN11" s="10"/>
      <c r="CO11" s="10">
        <v>0.8</v>
      </c>
      <c r="CP11" s="10"/>
      <c r="CQ11" s="10">
        <v>0.8</v>
      </c>
      <c r="CU11" s="10"/>
      <c r="CV11" s="25">
        <v>0.8</v>
      </c>
      <c r="CW11" s="10"/>
      <c r="CX11" s="25">
        <v>0.8</v>
      </c>
      <c r="DB11" s="10"/>
      <c r="DC11" s="10">
        <v>1</v>
      </c>
      <c r="DD11" s="10"/>
      <c r="DE11" s="10">
        <v>1</v>
      </c>
      <c r="DI11" s="10"/>
      <c r="DJ11" s="10">
        <v>1</v>
      </c>
      <c r="DK11" s="10"/>
      <c r="DL11" s="10">
        <v>1</v>
      </c>
      <c r="DP11" s="10"/>
      <c r="DQ11" s="10">
        <v>1</v>
      </c>
      <c r="DR11" s="10"/>
      <c r="DS11" s="10">
        <v>1</v>
      </c>
      <c r="DW11" s="10"/>
      <c r="DX11" s="10"/>
      <c r="DY11" s="10"/>
      <c r="DZ11" s="10"/>
      <c r="ED11" s="10"/>
      <c r="EE11" s="10"/>
      <c r="EF11" s="10"/>
      <c r="EG11" s="10"/>
      <c r="EK11" s="10"/>
      <c r="EL11" s="10"/>
      <c r="EM11" s="10"/>
      <c r="EN11" s="10"/>
    </row>
    <row r="12" spans="2:145" outlineLevel="1">
      <c r="B12" t="s">
        <v>28</v>
      </c>
      <c r="C12" t="s">
        <v>87</v>
      </c>
      <c r="E12" s="9"/>
      <c r="F12" t="s">
        <v>159</v>
      </c>
      <c r="G12" s="10">
        <f t="shared" si="1"/>
        <v>0.1</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37"/>
      <c r="AK12" s="37"/>
      <c r="AL12" s="37"/>
      <c r="AM12" s="37"/>
      <c r="AQ12" s="10"/>
      <c r="AR12" s="25"/>
      <c r="AS12" s="10"/>
      <c r="AT12" s="25"/>
      <c r="AX12" s="10"/>
      <c r="AY12" s="10">
        <v>0.5</v>
      </c>
      <c r="AZ12" s="10"/>
      <c r="BA12" s="10">
        <v>0.5</v>
      </c>
      <c r="BE12" s="10"/>
      <c r="BF12" s="10">
        <v>0.5</v>
      </c>
      <c r="BG12" s="10"/>
      <c r="BH12" s="10">
        <v>0.5</v>
      </c>
      <c r="BL12" s="10"/>
      <c r="BM12" s="10">
        <v>0.5</v>
      </c>
      <c r="BN12" s="10"/>
      <c r="BO12" s="10">
        <v>0.5</v>
      </c>
      <c r="BS12" s="10"/>
      <c r="BT12" s="37">
        <v>0.5</v>
      </c>
      <c r="BU12" s="10"/>
      <c r="BV12" s="37">
        <v>0.5</v>
      </c>
      <c r="BZ12" s="10"/>
      <c r="CA12" s="25">
        <v>0.5</v>
      </c>
      <c r="CB12" s="10"/>
      <c r="CC12" s="25">
        <v>0.5</v>
      </c>
      <c r="CG12" s="10"/>
      <c r="CH12" s="10">
        <v>0.8</v>
      </c>
      <c r="CI12" s="10"/>
      <c r="CJ12" s="10">
        <v>0.8</v>
      </c>
      <c r="CN12" s="10"/>
      <c r="CO12" s="10">
        <v>0.8</v>
      </c>
      <c r="CP12" s="10"/>
      <c r="CQ12" s="10">
        <v>0.8</v>
      </c>
      <c r="CU12" s="10"/>
      <c r="CV12" s="10">
        <v>0.8</v>
      </c>
      <c r="CW12" s="10"/>
      <c r="CX12" s="10">
        <v>0.8</v>
      </c>
      <c r="DB12" s="10"/>
      <c r="DC12" s="37">
        <v>0.8</v>
      </c>
      <c r="DD12" s="10"/>
      <c r="DE12" s="37">
        <v>0.8</v>
      </c>
      <c r="DI12" s="10"/>
      <c r="DJ12" s="25">
        <v>0.8</v>
      </c>
      <c r="DK12" s="10"/>
      <c r="DL12" s="25">
        <v>0.8</v>
      </c>
      <c r="DP12" s="10"/>
      <c r="DQ12" s="10">
        <v>1</v>
      </c>
      <c r="DR12" s="10"/>
      <c r="DS12" s="10">
        <v>1</v>
      </c>
      <c r="DW12" s="10"/>
      <c r="DX12" s="10"/>
      <c r="DY12" s="10"/>
      <c r="DZ12" s="10"/>
      <c r="ED12" s="10"/>
      <c r="EE12" s="10"/>
      <c r="EF12" s="10"/>
      <c r="EG12" s="10"/>
      <c r="EK12" s="10"/>
      <c r="EL12" s="10"/>
      <c r="EM12" s="10"/>
      <c r="EN12" s="10"/>
    </row>
    <row r="13" spans="2:145" outlineLevel="1">
      <c r="B13" t="s">
        <v>28</v>
      </c>
      <c r="C13" t="s">
        <v>87</v>
      </c>
      <c r="E13" s="9"/>
      <c r="F13" t="s">
        <v>160</v>
      </c>
      <c r="G13" s="10">
        <f t="shared" si="1"/>
        <v>0.1</v>
      </c>
      <c r="I13" s="9">
        <f t="shared" si="0"/>
        <v>0</v>
      </c>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37"/>
      <c r="AL13" s="37"/>
      <c r="AM13" s="37"/>
      <c r="AQ13" s="10"/>
      <c r="AR13" s="37"/>
      <c r="AS13" s="10"/>
      <c r="AT13" s="37"/>
      <c r="AX13" s="10"/>
      <c r="AY13" s="25"/>
      <c r="AZ13" s="10"/>
      <c r="BA13" s="25"/>
      <c r="BE13" s="10"/>
      <c r="BF13" s="10">
        <v>0.5</v>
      </c>
      <c r="BG13" s="10"/>
      <c r="BH13" s="10">
        <v>0.5</v>
      </c>
      <c r="BL13" s="10"/>
      <c r="BM13" s="10">
        <v>0.5</v>
      </c>
      <c r="BN13" s="10"/>
      <c r="BO13" s="10">
        <v>0.5</v>
      </c>
      <c r="BS13" s="37"/>
      <c r="BT13" s="37">
        <v>0.5</v>
      </c>
      <c r="BU13" s="37"/>
      <c r="BV13" s="37">
        <v>0.5</v>
      </c>
      <c r="BZ13" s="10"/>
      <c r="CA13" s="10">
        <v>0.5</v>
      </c>
      <c r="CB13" s="37"/>
      <c r="CC13" s="10">
        <v>0.5</v>
      </c>
      <c r="CG13" s="10"/>
      <c r="CH13" s="25">
        <v>0.5</v>
      </c>
      <c r="CI13" s="10"/>
      <c r="CJ13" s="25">
        <v>0.5</v>
      </c>
      <c r="CN13" s="10"/>
      <c r="CO13" s="10">
        <v>0.8</v>
      </c>
      <c r="CP13" s="10"/>
      <c r="CQ13" s="10">
        <v>0.8</v>
      </c>
      <c r="CU13" s="10"/>
      <c r="CV13" s="10">
        <v>0.8</v>
      </c>
      <c r="CW13" s="10"/>
      <c r="CX13" s="10">
        <v>0.8</v>
      </c>
      <c r="DB13" s="10"/>
      <c r="DC13" s="37">
        <v>0.8</v>
      </c>
      <c r="DD13" s="10"/>
      <c r="DE13" s="37">
        <v>0.8</v>
      </c>
      <c r="DI13" s="10"/>
      <c r="DJ13" s="25">
        <v>0.8</v>
      </c>
      <c r="DK13" s="10"/>
      <c r="DL13" s="25">
        <v>0.8</v>
      </c>
      <c r="DP13" s="10"/>
      <c r="DQ13" s="10">
        <v>1</v>
      </c>
      <c r="DR13" s="10"/>
      <c r="DS13" s="10">
        <v>1</v>
      </c>
      <c r="DW13" s="10"/>
      <c r="DX13" s="10"/>
      <c r="DY13" s="10"/>
      <c r="DZ13" s="10"/>
      <c r="ED13" s="10"/>
      <c r="EE13" s="10"/>
      <c r="EF13" s="10"/>
      <c r="EG13" s="10"/>
      <c r="EK13" s="10"/>
      <c r="EL13" s="10"/>
      <c r="EM13" s="10"/>
      <c r="EN13" s="10"/>
    </row>
    <row r="14" spans="2:145" outlineLevel="1">
      <c r="B14" t="s">
        <v>28</v>
      </c>
      <c r="C14" t="s">
        <v>87</v>
      </c>
      <c r="E14" s="9"/>
      <c r="F14" t="s">
        <v>161</v>
      </c>
      <c r="G14" s="10">
        <f t="shared" si="1"/>
        <v>0.1</v>
      </c>
      <c r="I14" s="9">
        <f t="shared" si="0"/>
        <v>0</v>
      </c>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25"/>
      <c r="BG14" s="10"/>
      <c r="BH14" s="25"/>
      <c r="BL14" s="10"/>
      <c r="BM14" s="10">
        <v>0.5</v>
      </c>
      <c r="BN14" s="10"/>
      <c r="BO14" s="10">
        <v>0.5</v>
      </c>
      <c r="BS14" s="10"/>
      <c r="BT14" s="10">
        <v>0.5</v>
      </c>
      <c r="BU14" s="10"/>
      <c r="BV14" s="10">
        <v>0.5</v>
      </c>
      <c r="BZ14" s="10"/>
      <c r="CA14" s="10">
        <v>0.5</v>
      </c>
      <c r="CB14" s="10"/>
      <c r="CC14" s="10">
        <v>0.5</v>
      </c>
      <c r="CG14" s="10"/>
      <c r="CH14" s="10">
        <v>0.5</v>
      </c>
      <c r="CI14" s="10"/>
      <c r="CJ14" s="10">
        <v>0.5</v>
      </c>
      <c r="CN14" s="10"/>
      <c r="CO14" s="25">
        <v>0.5</v>
      </c>
      <c r="CP14" s="10"/>
      <c r="CQ14" s="25">
        <v>0.5</v>
      </c>
      <c r="CU14" s="10"/>
      <c r="CV14" s="10">
        <v>0.8</v>
      </c>
      <c r="CW14" s="10"/>
      <c r="CX14" s="10">
        <v>0.8</v>
      </c>
      <c r="DB14" s="10"/>
      <c r="DC14" s="37">
        <v>0.8</v>
      </c>
      <c r="DD14" s="10"/>
      <c r="DE14" s="37">
        <v>0.8</v>
      </c>
      <c r="DI14" s="10"/>
      <c r="DJ14" s="25">
        <v>0.8</v>
      </c>
      <c r="DK14" s="10"/>
      <c r="DL14" s="25">
        <v>0.8</v>
      </c>
      <c r="DP14" s="10"/>
      <c r="DQ14" s="10">
        <v>1</v>
      </c>
      <c r="DR14" s="10"/>
      <c r="DS14" s="10">
        <v>1</v>
      </c>
      <c r="DW14" s="10"/>
      <c r="DX14" s="10"/>
      <c r="DY14" s="10"/>
      <c r="DZ14" s="10"/>
      <c r="ED14" s="10"/>
      <c r="EE14" s="10"/>
      <c r="EF14" s="10"/>
      <c r="EG14" s="10"/>
      <c r="EK14" s="10"/>
      <c r="EL14" s="10"/>
      <c r="EM14" s="10"/>
      <c r="EN14" s="10"/>
    </row>
    <row r="16" spans="2:145">
      <c r="B16" t="s">
        <v>27</v>
      </c>
      <c r="C16" t="s">
        <v>101</v>
      </c>
      <c r="D16" s="18">
        <v>45826</v>
      </c>
      <c r="E16" s="9">
        <v>5.5</v>
      </c>
      <c r="G16" s="20">
        <f>SUM(G17:G27)</f>
        <v>1.0000000000000002</v>
      </c>
      <c r="I16" s="12">
        <f>+SUM(I17:I27)</f>
        <v>0</v>
      </c>
      <c r="J16" s="11">
        <f>+SUMPRODUCT(G17:G27,J17:J27)</f>
        <v>0</v>
      </c>
      <c r="K16" s="11">
        <f>+SUMPRODUCT(G17:G27,K17:K27)</f>
        <v>0</v>
      </c>
      <c r="L16" s="9"/>
      <c r="N16" s="12"/>
      <c r="U16" s="12"/>
      <c r="AB16" s="12"/>
      <c r="AI16" s="12"/>
      <c r="AP16" s="12"/>
      <c r="EC16" s="15" t="s">
        <v>149</v>
      </c>
      <c r="ED16" s="15"/>
      <c r="EE16" s="15"/>
    </row>
    <row r="17" spans="2:144" outlineLevel="1">
      <c r="B17" s="19" t="s">
        <v>28</v>
      </c>
      <c r="C17" s="19" t="s">
        <v>102</v>
      </c>
      <c r="E17" s="9"/>
      <c r="F17" t="s">
        <v>103</v>
      </c>
      <c r="G17" s="21">
        <f>(100/11)/100</f>
        <v>9.0909090909090912E-2</v>
      </c>
      <c r="I17" s="9">
        <f t="shared" ref="I17:I27" si="2">+SUMIF($N$3:$ZT$3,I$3,$N17:$ZT17)</f>
        <v>0</v>
      </c>
      <c r="J17" s="11" cm="1">
        <f t="array" ref="J17">MAX(IF($N$3:$EH$3=$J$3,N17:EH17))</f>
        <v>0</v>
      </c>
      <c r="K17" s="11" cm="1">
        <f t="array" ref="K17">MAX(IF($N$3:$EH$3=$J$3,N17:EH17))</f>
        <v>0</v>
      </c>
      <c r="L17" s="9"/>
      <c r="O17" s="10"/>
      <c r="P17" s="25"/>
      <c r="Q17" s="10"/>
      <c r="R17" s="25"/>
      <c r="V17" s="10"/>
      <c r="W17" s="10">
        <v>0.5</v>
      </c>
      <c r="X17" s="10"/>
      <c r="Y17" s="10">
        <v>0.5</v>
      </c>
      <c r="AC17" s="10"/>
      <c r="AD17" s="25">
        <v>0.5</v>
      </c>
      <c r="AE17" s="10"/>
      <c r="AF17" s="25">
        <v>0.5</v>
      </c>
      <c r="AJ17" s="10"/>
      <c r="AK17" s="10">
        <v>0.8</v>
      </c>
      <c r="AL17" s="10"/>
      <c r="AM17" s="10">
        <v>0.8</v>
      </c>
      <c r="AQ17" s="10"/>
      <c r="AR17" s="10">
        <v>0.8</v>
      </c>
      <c r="AS17" s="10"/>
      <c r="AT17" s="10">
        <v>0.8</v>
      </c>
      <c r="AX17" s="10"/>
      <c r="AY17" s="10">
        <v>0.8</v>
      </c>
      <c r="AZ17" s="10"/>
      <c r="BA17" s="10">
        <v>0.8</v>
      </c>
      <c r="BE17" s="10"/>
      <c r="BF17" s="10">
        <v>0.8</v>
      </c>
      <c r="BG17" s="10"/>
      <c r="BH17" s="26">
        <v>0.8</v>
      </c>
      <c r="BL17" s="10"/>
      <c r="BM17" s="10">
        <v>0.8</v>
      </c>
      <c r="BN17" s="10"/>
      <c r="BO17" s="10">
        <v>0.8</v>
      </c>
      <c r="BS17" s="10"/>
      <c r="BT17" s="25">
        <v>0.8</v>
      </c>
      <c r="BU17" s="10"/>
      <c r="BV17" s="25">
        <v>0.8</v>
      </c>
      <c r="BZ17" s="10"/>
      <c r="CA17" s="10">
        <v>1</v>
      </c>
      <c r="CB17" s="10"/>
      <c r="CC17" s="10">
        <v>1</v>
      </c>
      <c r="CG17" s="10"/>
      <c r="CH17" s="10">
        <v>1</v>
      </c>
      <c r="CI17" s="10"/>
      <c r="CJ17" s="10">
        <v>1</v>
      </c>
      <c r="CN17" s="10"/>
      <c r="CO17" s="10">
        <v>1</v>
      </c>
      <c r="CP17" s="10"/>
      <c r="CQ17" s="10">
        <v>1</v>
      </c>
      <c r="CU17" s="10"/>
      <c r="CV17" s="10">
        <v>1</v>
      </c>
      <c r="CW17" s="10"/>
      <c r="CX17" s="10">
        <v>1</v>
      </c>
      <c r="DB17" s="10"/>
      <c r="DC17" s="10">
        <v>1</v>
      </c>
      <c r="DD17" s="10"/>
      <c r="DE17" s="10">
        <v>1</v>
      </c>
      <c r="DI17" s="28"/>
      <c r="DJ17" s="29">
        <v>1</v>
      </c>
      <c r="DK17" s="29"/>
      <c r="DL17" s="30">
        <v>1</v>
      </c>
      <c r="DP17" s="10"/>
      <c r="DQ17" s="10"/>
      <c r="DR17" s="10"/>
      <c r="DS17" s="10"/>
      <c r="DW17" s="10"/>
      <c r="DX17" s="10"/>
      <c r="DY17" s="10"/>
      <c r="DZ17" s="10"/>
      <c r="ED17" s="10"/>
      <c r="EE17" s="10"/>
      <c r="EF17" s="10"/>
      <c r="EG17" s="10"/>
      <c r="EK17" s="10"/>
      <c r="EL17" s="10"/>
      <c r="EM17" s="10"/>
      <c r="EN17" s="10"/>
    </row>
    <row r="18" spans="2:144" outlineLevel="1">
      <c r="B18" s="19" t="s">
        <v>28</v>
      </c>
      <c r="C18" s="19" t="s">
        <v>102</v>
      </c>
      <c r="E18" s="9"/>
      <c r="F18" t="s">
        <v>104</v>
      </c>
      <c r="G18" s="21">
        <f t="shared" ref="G18:G27" si="3">(100/11)/100</f>
        <v>9.0909090909090912E-2</v>
      </c>
      <c r="I18" s="9">
        <f t="shared" si="2"/>
        <v>0</v>
      </c>
      <c r="J18" s="11" cm="1">
        <f t="array" ref="J18">MAX(IF($N$3:$EH$3=$J$3,N18:EH18))</f>
        <v>0</v>
      </c>
      <c r="K18" s="11" cm="1">
        <f t="array" ref="K18">MAX(IF($N$3:$EH$3=$J$3,N18:EH18))</f>
        <v>0</v>
      </c>
      <c r="L18" s="9"/>
      <c r="O18" s="10"/>
      <c r="P18" s="25"/>
      <c r="Q18" s="10"/>
      <c r="R18" s="25"/>
      <c r="V18" s="10"/>
      <c r="W18" s="10">
        <v>0.5</v>
      </c>
      <c r="X18" s="10"/>
      <c r="Y18" s="10">
        <v>0.5</v>
      </c>
      <c r="AC18" s="10"/>
      <c r="AD18" s="10">
        <v>0.5</v>
      </c>
      <c r="AE18" s="10"/>
      <c r="AF18" s="10">
        <v>0.5</v>
      </c>
      <c r="AJ18" s="10"/>
      <c r="AK18" s="25">
        <v>0.5</v>
      </c>
      <c r="AL18" s="10"/>
      <c r="AM18" s="25">
        <v>0.5</v>
      </c>
      <c r="AQ18" s="10"/>
      <c r="AR18" s="10">
        <v>0.8</v>
      </c>
      <c r="AS18" s="10"/>
      <c r="AT18" s="10">
        <v>0.8</v>
      </c>
      <c r="AX18" s="10"/>
      <c r="AY18" s="10">
        <v>0.8</v>
      </c>
      <c r="AZ18" s="10"/>
      <c r="BA18" s="10">
        <v>0.8</v>
      </c>
      <c r="BE18" s="10"/>
      <c r="BF18" s="10">
        <v>0.8</v>
      </c>
      <c r="BG18" s="10"/>
      <c r="BH18" s="26">
        <v>0.8</v>
      </c>
      <c r="BL18" s="10"/>
      <c r="BM18" s="10">
        <v>0.8</v>
      </c>
      <c r="BN18" s="10"/>
      <c r="BO18" s="10">
        <v>0.8</v>
      </c>
      <c r="BS18" s="10"/>
      <c r="BT18" s="10">
        <v>0.8</v>
      </c>
      <c r="BU18" s="10"/>
      <c r="BV18" s="10">
        <v>0.8</v>
      </c>
      <c r="BZ18" s="10"/>
      <c r="CA18" s="25">
        <v>0.8</v>
      </c>
      <c r="CB18" s="10"/>
      <c r="CC18" s="25">
        <v>0.8</v>
      </c>
      <c r="CG18" s="10"/>
      <c r="CH18" s="10">
        <v>1</v>
      </c>
      <c r="CI18" s="10"/>
      <c r="CJ18" s="10">
        <v>1</v>
      </c>
      <c r="CN18" s="10"/>
      <c r="CO18" s="10">
        <v>1</v>
      </c>
      <c r="CP18" s="10"/>
      <c r="CQ18" s="10">
        <v>1</v>
      </c>
      <c r="CU18" s="10"/>
      <c r="CV18" s="10">
        <v>1</v>
      </c>
      <c r="CW18" s="10"/>
      <c r="CX18" s="10">
        <v>1</v>
      </c>
      <c r="DB18" s="10"/>
      <c r="DC18" s="10">
        <v>1</v>
      </c>
      <c r="DD18" s="10"/>
      <c r="DE18" s="10">
        <v>1</v>
      </c>
      <c r="DI18" s="31"/>
      <c r="DJ18" s="10">
        <v>1</v>
      </c>
      <c r="DK18" s="10"/>
      <c r="DL18" s="32">
        <v>1</v>
      </c>
      <c r="DP18" s="10"/>
      <c r="DQ18" s="10"/>
      <c r="DR18" s="10"/>
      <c r="DS18" s="10"/>
      <c r="DW18" s="10"/>
      <c r="DX18" s="10"/>
      <c r="DY18" s="10"/>
      <c r="DZ18" s="10"/>
      <c r="ED18" s="10"/>
      <c r="EE18" s="10"/>
      <c r="EF18" s="10"/>
      <c r="EG18" s="10"/>
      <c r="EK18" s="10"/>
      <c r="EL18" s="10"/>
      <c r="EM18" s="10"/>
      <c r="EN18" s="10"/>
    </row>
    <row r="19" spans="2:144" outlineLevel="1">
      <c r="B19" s="19" t="s">
        <v>28</v>
      </c>
      <c r="C19" s="19" t="s">
        <v>102</v>
      </c>
      <c r="E19" s="9"/>
      <c r="F19" t="s">
        <v>105</v>
      </c>
      <c r="G19" s="21">
        <f t="shared" si="3"/>
        <v>9.0909090909090912E-2</v>
      </c>
      <c r="I19" s="9">
        <f t="shared" si="2"/>
        <v>0</v>
      </c>
      <c r="J19" s="11" cm="1">
        <f t="array" ref="J19">MAX(IF($N$3:$EH$3=$J$3,N19:EH19))</f>
        <v>0</v>
      </c>
      <c r="K19" s="11" cm="1">
        <f t="array" ref="K19">MAX(IF($N$3:$EH$3=$J$3,N19:EH19))</f>
        <v>0</v>
      </c>
      <c r="L19" s="9"/>
      <c r="O19" s="10"/>
      <c r="P19" s="25"/>
      <c r="Q19" s="10"/>
      <c r="R19" s="25"/>
      <c r="V19" s="10"/>
      <c r="W19" s="37">
        <v>0.5</v>
      </c>
      <c r="X19" s="37"/>
      <c r="Y19" s="37">
        <v>0.5</v>
      </c>
      <c r="AC19" s="10"/>
      <c r="AD19" s="10">
        <v>0.5</v>
      </c>
      <c r="AE19" s="10"/>
      <c r="AF19" s="10">
        <v>0.5</v>
      </c>
      <c r="AJ19" s="10"/>
      <c r="AK19" s="10">
        <v>0.5</v>
      </c>
      <c r="AL19" s="10"/>
      <c r="AM19" s="10">
        <v>0.5</v>
      </c>
      <c r="AQ19" s="10"/>
      <c r="AR19" s="25">
        <v>0.5</v>
      </c>
      <c r="AS19" s="10"/>
      <c r="AT19" s="25">
        <v>0.5</v>
      </c>
      <c r="AX19" s="10"/>
      <c r="AY19" s="10">
        <v>0.8</v>
      </c>
      <c r="AZ19" s="10"/>
      <c r="BA19" s="10">
        <v>0.8</v>
      </c>
      <c r="BE19" s="10"/>
      <c r="BF19" s="10">
        <v>0.8</v>
      </c>
      <c r="BG19" s="10"/>
      <c r="BH19" s="26">
        <v>0.8</v>
      </c>
      <c r="BL19" s="10"/>
      <c r="BM19" s="10">
        <v>0.8</v>
      </c>
      <c r="BN19" s="10"/>
      <c r="BO19" s="10">
        <v>0.8</v>
      </c>
      <c r="BS19" s="10"/>
      <c r="BT19" s="10">
        <v>0.8</v>
      </c>
      <c r="BU19" s="10"/>
      <c r="BV19" s="10">
        <v>0.8</v>
      </c>
      <c r="BZ19" s="10"/>
      <c r="CA19" s="10">
        <v>0.8</v>
      </c>
      <c r="CB19" s="10"/>
      <c r="CC19" s="10">
        <v>0.8</v>
      </c>
      <c r="CG19" s="10"/>
      <c r="CH19" s="25">
        <v>0.8</v>
      </c>
      <c r="CI19" s="10"/>
      <c r="CJ19" s="25">
        <v>0.8</v>
      </c>
      <c r="CN19" s="10"/>
      <c r="CO19" s="10">
        <v>1</v>
      </c>
      <c r="CP19" s="10"/>
      <c r="CQ19" s="10">
        <v>1</v>
      </c>
      <c r="CU19" s="10"/>
      <c r="CV19" s="10">
        <v>1</v>
      </c>
      <c r="CW19" s="10"/>
      <c r="CX19" s="10">
        <v>1</v>
      </c>
      <c r="DB19" s="10"/>
      <c r="DC19" s="10">
        <v>1</v>
      </c>
      <c r="DD19" s="10"/>
      <c r="DE19" s="10">
        <v>1</v>
      </c>
      <c r="DI19" s="31"/>
      <c r="DJ19" s="10">
        <v>1</v>
      </c>
      <c r="DK19" s="10"/>
      <c r="DL19" s="32">
        <v>1</v>
      </c>
      <c r="DP19" s="10"/>
      <c r="DQ19" s="10"/>
      <c r="DR19" s="10"/>
      <c r="DS19" s="10"/>
      <c r="DW19" s="10"/>
      <c r="DX19" s="10"/>
      <c r="DY19" s="10"/>
      <c r="DZ19" s="10"/>
      <c r="ED19" s="10"/>
      <c r="EE19" s="10"/>
      <c r="EF19" s="10"/>
      <c r="EG19" s="10"/>
      <c r="EK19" s="10"/>
      <c r="EL19" s="10"/>
      <c r="EM19" s="10"/>
      <c r="EN19" s="10"/>
    </row>
    <row r="20" spans="2:144" outlineLevel="1">
      <c r="B20" s="19" t="s">
        <v>28</v>
      </c>
      <c r="C20" s="19" t="s">
        <v>102</v>
      </c>
      <c r="E20" s="9"/>
      <c r="F20" t="s">
        <v>106</v>
      </c>
      <c r="G20" s="21">
        <f t="shared" si="3"/>
        <v>9.0909090909090912E-2</v>
      </c>
      <c r="I20" s="9">
        <f t="shared" si="2"/>
        <v>0</v>
      </c>
      <c r="J20" s="11" cm="1">
        <f t="array" ref="J20">MAX(IF($N$3:$EH$3=$J$3,N20:EH20))</f>
        <v>0</v>
      </c>
      <c r="K20" s="11" cm="1">
        <f t="array" ref="K20">MAX(IF($N$3:$EH$3=$J$3,N20:EH20))</f>
        <v>0</v>
      </c>
      <c r="L20" s="9"/>
      <c r="O20" s="10"/>
      <c r="P20" s="10"/>
      <c r="Q20" s="10"/>
      <c r="R20" s="10"/>
      <c r="V20" s="10"/>
      <c r="W20" s="25"/>
      <c r="X20" s="10"/>
      <c r="Y20" s="25"/>
      <c r="AC20" s="10"/>
      <c r="AD20" s="10">
        <v>0.5</v>
      </c>
      <c r="AE20" s="10"/>
      <c r="AF20" s="10">
        <v>0.5</v>
      </c>
      <c r="AJ20" s="10"/>
      <c r="AK20" s="10">
        <v>0.5</v>
      </c>
      <c r="AL20" s="10"/>
      <c r="AM20" s="10">
        <v>0.5</v>
      </c>
      <c r="AQ20" s="10"/>
      <c r="AR20" s="10">
        <v>0.5</v>
      </c>
      <c r="AS20" s="10"/>
      <c r="AT20" s="10">
        <v>0.5</v>
      </c>
      <c r="AX20" s="10"/>
      <c r="AY20" s="25">
        <v>0.5</v>
      </c>
      <c r="AZ20" s="10"/>
      <c r="BA20" s="25">
        <v>0.5</v>
      </c>
      <c r="BE20" s="10"/>
      <c r="BF20" s="10">
        <v>0.8</v>
      </c>
      <c r="BG20" s="10"/>
      <c r="BH20" s="26">
        <v>0.8</v>
      </c>
      <c r="BL20" s="10"/>
      <c r="BM20" s="10">
        <v>0.8</v>
      </c>
      <c r="BN20" s="10"/>
      <c r="BO20" s="10">
        <v>0.8</v>
      </c>
      <c r="BS20" s="10"/>
      <c r="BT20" s="10">
        <v>0.8</v>
      </c>
      <c r="BU20" s="10"/>
      <c r="BV20" s="10">
        <v>0.8</v>
      </c>
      <c r="BZ20" s="10"/>
      <c r="CA20" s="10">
        <v>0.8</v>
      </c>
      <c r="CB20" s="10"/>
      <c r="CC20" s="10">
        <v>0.8</v>
      </c>
      <c r="CG20" s="10"/>
      <c r="CH20" s="10">
        <v>0.8</v>
      </c>
      <c r="CI20" s="10"/>
      <c r="CJ20" s="10">
        <v>0.8</v>
      </c>
      <c r="CN20" s="10"/>
      <c r="CO20" s="25">
        <v>0.8</v>
      </c>
      <c r="CP20" s="10"/>
      <c r="CQ20" s="25">
        <v>0.8</v>
      </c>
      <c r="CU20" s="10"/>
      <c r="CV20" s="10">
        <v>1</v>
      </c>
      <c r="CW20" s="10"/>
      <c r="CX20" s="10">
        <v>1</v>
      </c>
      <c r="DB20" s="10"/>
      <c r="DC20" s="10">
        <v>1</v>
      </c>
      <c r="DD20" s="10"/>
      <c r="DE20" s="10">
        <v>1</v>
      </c>
      <c r="DI20" s="31"/>
      <c r="DJ20" s="10">
        <v>1</v>
      </c>
      <c r="DK20" s="10"/>
      <c r="DL20" s="32">
        <v>1</v>
      </c>
      <c r="DP20" s="10"/>
      <c r="DQ20" s="10"/>
      <c r="DR20" s="10"/>
      <c r="DS20" s="10"/>
      <c r="DW20" s="10"/>
      <c r="DX20" s="10"/>
      <c r="DY20" s="10"/>
      <c r="DZ20" s="10"/>
      <c r="ED20" s="10"/>
      <c r="EE20" s="10"/>
      <c r="EF20" s="10"/>
      <c r="EG20" s="10"/>
      <c r="EK20" s="10"/>
      <c r="EL20" s="10"/>
      <c r="EM20" s="10"/>
      <c r="EN20" s="10"/>
    </row>
    <row r="21" spans="2:144" outlineLevel="1">
      <c r="B21" s="19" t="s">
        <v>28</v>
      </c>
      <c r="C21" s="19" t="s">
        <v>102</v>
      </c>
      <c r="E21" s="9"/>
      <c r="F21" t="s">
        <v>107</v>
      </c>
      <c r="G21" s="21">
        <f t="shared" si="3"/>
        <v>9.0909090909090912E-2</v>
      </c>
      <c r="I21" s="9">
        <f t="shared" si="2"/>
        <v>0</v>
      </c>
      <c r="J21" s="11" cm="1">
        <f t="array" ref="J21">MAX(IF($N$3:$EH$3=$J$3,N21:EH21))</f>
        <v>0</v>
      </c>
      <c r="K21" s="11" cm="1">
        <f t="array" ref="K21">MAX(IF($N$3:$EH$3=$J$3,N21:EH21))</f>
        <v>0</v>
      </c>
      <c r="L21" s="9"/>
      <c r="O21" s="10"/>
      <c r="P21" s="10"/>
      <c r="Q21" s="10"/>
      <c r="R21" s="10"/>
      <c r="V21" s="10"/>
      <c r="W21" s="25"/>
      <c r="X21" s="10"/>
      <c r="Y21" s="25"/>
      <c r="AC21" s="10"/>
      <c r="AD21" s="10">
        <v>0.5</v>
      </c>
      <c r="AE21" s="10"/>
      <c r="AF21" s="10">
        <v>0.5</v>
      </c>
      <c r="AJ21" s="10"/>
      <c r="AK21" s="10">
        <v>0.5</v>
      </c>
      <c r="AL21" s="10"/>
      <c r="AM21" s="10">
        <v>0.5</v>
      </c>
      <c r="AQ21" s="10"/>
      <c r="AR21" s="10">
        <v>0.5</v>
      </c>
      <c r="AS21" s="10"/>
      <c r="AT21" s="10">
        <v>0.5</v>
      </c>
      <c r="AX21" s="10"/>
      <c r="AY21" s="10">
        <v>0.5</v>
      </c>
      <c r="AZ21" s="10"/>
      <c r="BA21" s="10">
        <v>0.5</v>
      </c>
      <c r="BE21" s="10"/>
      <c r="BF21" s="25">
        <v>0.5</v>
      </c>
      <c r="BG21" s="10"/>
      <c r="BH21" s="27">
        <v>0.5</v>
      </c>
      <c r="BL21" s="10"/>
      <c r="BM21" s="10">
        <v>0.8</v>
      </c>
      <c r="BN21" s="10"/>
      <c r="BO21" s="10">
        <v>0.8</v>
      </c>
      <c r="BS21" s="10"/>
      <c r="BT21" s="10">
        <v>0.8</v>
      </c>
      <c r="BU21" s="10"/>
      <c r="BV21" s="10">
        <v>0.8</v>
      </c>
      <c r="BZ21" s="10"/>
      <c r="CA21" s="10">
        <v>0.8</v>
      </c>
      <c r="CB21" s="10"/>
      <c r="CC21" s="10">
        <v>0.8</v>
      </c>
      <c r="CG21" s="10"/>
      <c r="CH21" s="10">
        <v>0.8</v>
      </c>
      <c r="CI21" s="10"/>
      <c r="CJ21" s="10">
        <v>0.8</v>
      </c>
      <c r="CN21" s="10"/>
      <c r="CO21" s="37">
        <v>0.8</v>
      </c>
      <c r="CP21" s="37"/>
      <c r="CQ21" s="37">
        <v>0.8</v>
      </c>
      <c r="CU21" s="10"/>
      <c r="CV21" s="25">
        <v>0.8</v>
      </c>
      <c r="CW21" s="10"/>
      <c r="CX21" s="25">
        <v>0.8</v>
      </c>
      <c r="DB21" s="10"/>
      <c r="DC21" s="10">
        <v>1</v>
      </c>
      <c r="DD21" s="10"/>
      <c r="DE21" s="10">
        <v>1</v>
      </c>
      <c r="DI21" s="31"/>
      <c r="DJ21" s="10">
        <v>1</v>
      </c>
      <c r="DK21" s="10"/>
      <c r="DL21" s="32">
        <v>1</v>
      </c>
      <c r="DP21" s="10"/>
      <c r="DQ21" s="10"/>
      <c r="DR21" s="10"/>
      <c r="DS21" s="10"/>
      <c r="DW21" s="10"/>
      <c r="DX21" s="10"/>
      <c r="DY21" s="10"/>
      <c r="DZ21" s="10"/>
      <c r="ED21" s="10"/>
      <c r="EE21" s="10"/>
      <c r="EF21" s="10"/>
      <c r="EG21" s="10"/>
      <c r="EK21" s="10"/>
      <c r="EL21" s="10"/>
      <c r="EM21" s="10"/>
      <c r="EN21" s="10"/>
    </row>
    <row r="22" spans="2:144" outlineLevel="1">
      <c r="B22" s="19" t="s">
        <v>28</v>
      </c>
      <c r="C22" s="19" t="s">
        <v>102</v>
      </c>
      <c r="E22" s="9"/>
      <c r="F22" t="s">
        <v>108</v>
      </c>
      <c r="G22" s="21">
        <f t="shared" si="3"/>
        <v>9.0909090909090912E-2</v>
      </c>
      <c r="I22" s="9">
        <f t="shared" si="2"/>
        <v>0</v>
      </c>
      <c r="J22" s="11" cm="1">
        <f t="array" ref="J22">MAX(IF($N$3:$EH$3=$J$3,N22:EH22))</f>
        <v>0</v>
      </c>
      <c r="K22" s="11" cm="1">
        <f t="array" ref="K22">MAX(IF($N$3:$EH$3=$J$3,N22:EH22))</f>
        <v>0</v>
      </c>
      <c r="L22" s="9"/>
      <c r="O22" s="10"/>
      <c r="P22" s="10"/>
      <c r="Q22" s="10"/>
      <c r="R22" s="10"/>
      <c r="V22" s="10"/>
      <c r="W22" s="25"/>
      <c r="X22" s="10"/>
      <c r="Y22" s="25"/>
      <c r="AC22" s="10"/>
      <c r="AD22" s="10">
        <v>0.5</v>
      </c>
      <c r="AE22" s="10"/>
      <c r="AF22" s="10">
        <v>0.5</v>
      </c>
      <c r="AJ22" s="10"/>
      <c r="AK22" s="10">
        <v>0.5</v>
      </c>
      <c r="AL22" s="10"/>
      <c r="AM22" s="10">
        <v>0.5</v>
      </c>
      <c r="AQ22" s="10"/>
      <c r="AR22" s="10">
        <v>0.5</v>
      </c>
      <c r="AS22" s="10"/>
      <c r="AT22" s="10">
        <v>0.5</v>
      </c>
      <c r="AX22" s="10"/>
      <c r="AY22" s="10">
        <v>0.5</v>
      </c>
      <c r="AZ22" s="10"/>
      <c r="BA22" s="10">
        <v>0.5</v>
      </c>
      <c r="BE22" s="10"/>
      <c r="BF22" s="25">
        <v>0.5</v>
      </c>
      <c r="BG22" s="10"/>
      <c r="BH22" s="27">
        <v>0.5</v>
      </c>
      <c r="BL22" s="10"/>
      <c r="BM22" s="10">
        <v>0.8</v>
      </c>
      <c r="BN22" s="10"/>
      <c r="BO22" s="10">
        <v>0.8</v>
      </c>
      <c r="BS22" s="10"/>
      <c r="BT22" s="10">
        <v>0.8</v>
      </c>
      <c r="BU22" s="10"/>
      <c r="BV22" s="10">
        <v>0.8</v>
      </c>
      <c r="BZ22" s="10"/>
      <c r="CA22" s="10">
        <v>0.8</v>
      </c>
      <c r="CB22" s="10"/>
      <c r="CC22" s="10">
        <v>0.8</v>
      </c>
      <c r="CG22" s="10"/>
      <c r="CH22" s="10">
        <v>0.8</v>
      </c>
      <c r="CI22" s="10"/>
      <c r="CJ22" s="10">
        <v>0.8</v>
      </c>
      <c r="CN22" s="10"/>
      <c r="CO22" s="10">
        <v>0.8</v>
      </c>
      <c r="CP22" s="10"/>
      <c r="CQ22" s="10">
        <v>0.8</v>
      </c>
      <c r="CU22" s="10"/>
      <c r="CV22" s="25">
        <v>0.8</v>
      </c>
      <c r="CW22" s="10"/>
      <c r="CX22" s="25">
        <v>0.8</v>
      </c>
      <c r="DB22" s="10"/>
      <c r="DC22" s="10">
        <v>1</v>
      </c>
      <c r="DD22" s="10"/>
      <c r="DE22" s="10">
        <v>1</v>
      </c>
      <c r="DI22" s="31"/>
      <c r="DJ22" s="10">
        <v>1</v>
      </c>
      <c r="DK22" s="10"/>
      <c r="DL22" s="32">
        <v>1</v>
      </c>
      <c r="DP22" s="10"/>
      <c r="DQ22" s="10"/>
      <c r="DR22" s="10"/>
      <c r="DS22" s="10"/>
      <c r="DW22" s="10"/>
      <c r="DX22" s="10"/>
      <c r="DY22" s="10"/>
      <c r="DZ22" s="10"/>
      <c r="ED22" s="10"/>
      <c r="EE22" s="10"/>
      <c r="EF22" s="10"/>
      <c r="EG22" s="10"/>
      <c r="EK22" s="10"/>
      <c r="EL22" s="10"/>
      <c r="EM22" s="10"/>
      <c r="EN22" s="10"/>
    </row>
    <row r="23" spans="2:144" outlineLevel="1">
      <c r="B23" s="19" t="s">
        <v>28</v>
      </c>
      <c r="C23" s="19" t="s">
        <v>102</v>
      </c>
      <c r="E23" s="9"/>
      <c r="F23" t="s">
        <v>109</v>
      </c>
      <c r="G23" s="21">
        <f t="shared" si="3"/>
        <v>9.0909090909090912E-2</v>
      </c>
      <c r="I23" s="9">
        <f t="shared" si="2"/>
        <v>0</v>
      </c>
      <c r="J23" s="11" cm="1">
        <f t="array" ref="J23">MAX(IF($N$3:$EH$3=$J$3,N23:EH23))</f>
        <v>0</v>
      </c>
      <c r="K23" s="11" cm="1">
        <f t="array" ref="K23">MAX(IF($N$3:$EH$3=$J$3,N23:EH23))</f>
        <v>0</v>
      </c>
      <c r="L23" s="9"/>
      <c r="O23" s="10"/>
      <c r="P23" s="10"/>
      <c r="Q23" s="10"/>
      <c r="R23" s="10"/>
      <c r="V23" s="10"/>
      <c r="W23" s="10"/>
      <c r="X23" s="10"/>
      <c r="Y23" s="10"/>
      <c r="AC23" s="10"/>
      <c r="AD23" s="25"/>
      <c r="AE23" s="10"/>
      <c r="AF23" s="25"/>
      <c r="AJ23" s="10"/>
      <c r="AK23" s="10">
        <v>0.5</v>
      </c>
      <c r="AL23" s="10"/>
      <c r="AM23" s="10">
        <v>0.5</v>
      </c>
      <c r="AQ23" s="10"/>
      <c r="AR23" s="10">
        <v>0.5</v>
      </c>
      <c r="AS23" s="10"/>
      <c r="AT23" s="10">
        <v>0.5</v>
      </c>
      <c r="AX23" s="10"/>
      <c r="AY23" s="10">
        <v>0.5</v>
      </c>
      <c r="AZ23" s="10"/>
      <c r="BA23" s="10">
        <v>0.5</v>
      </c>
      <c r="BE23" s="10"/>
      <c r="BF23" s="10">
        <v>0.5</v>
      </c>
      <c r="BG23" s="10"/>
      <c r="BH23" s="26">
        <v>0.5</v>
      </c>
      <c r="BL23" s="10"/>
      <c r="BM23" s="25">
        <v>0.5</v>
      </c>
      <c r="BN23" s="10"/>
      <c r="BO23" s="25">
        <v>0.5</v>
      </c>
      <c r="BS23" s="10"/>
      <c r="BT23" s="10">
        <v>0.8</v>
      </c>
      <c r="BU23" s="10"/>
      <c r="BV23" s="10">
        <v>0.8</v>
      </c>
      <c r="BZ23" s="10"/>
      <c r="CA23" s="10">
        <v>0.8</v>
      </c>
      <c r="CB23" s="10"/>
      <c r="CC23" s="10">
        <v>0.8</v>
      </c>
      <c r="CG23" s="10"/>
      <c r="CH23" s="10">
        <v>0.8</v>
      </c>
      <c r="CI23" s="10"/>
      <c r="CJ23" s="10">
        <v>0.8</v>
      </c>
      <c r="CN23" s="10"/>
      <c r="CO23" s="10">
        <v>0.8</v>
      </c>
      <c r="CP23" s="10"/>
      <c r="CQ23" s="10">
        <v>0.8</v>
      </c>
      <c r="CU23" s="10"/>
      <c r="CV23" s="25">
        <v>0.8</v>
      </c>
      <c r="CW23" s="10"/>
      <c r="CX23" s="25">
        <v>0.8</v>
      </c>
      <c r="DB23" s="10"/>
      <c r="DC23" s="10">
        <v>1</v>
      </c>
      <c r="DD23" s="10"/>
      <c r="DE23" s="10">
        <v>1</v>
      </c>
      <c r="DI23" s="31"/>
      <c r="DJ23" s="10">
        <v>1</v>
      </c>
      <c r="DK23" s="10"/>
      <c r="DL23" s="32">
        <v>1</v>
      </c>
      <c r="DP23" s="10"/>
      <c r="DQ23" s="10"/>
      <c r="DR23" s="10"/>
      <c r="DS23" s="10"/>
      <c r="DW23" s="10"/>
      <c r="DX23" s="10"/>
      <c r="DY23" s="10"/>
      <c r="DZ23" s="10"/>
      <c r="ED23" s="10"/>
      <c r="EE23" s="10"/>
      <c r="EF23" s="10"/>
      <c r="EG23" s="10"/>
      <c r="EK23" s="10"/>
      <c r="EL23" s="10"/>
      <c r="EM23" s="10"/>
      <c r="EN23" s="10"/>
    </row>
    <row r="24" spans="2:144" outlineLevel="1">
      <c r="B24" s="19" t="s">
        <v>28</v>
      </c>
      <c r="C24" s="19" t="s">
        <v>102</v>
      </c>
      <c r="E24" s="9"/>
      <c r="F24" t="s">
        <v>110</v>
      </c>
      <c r="G24" s="21">
        <f t="shared" si="3"/>
        <v>9.0909090909090912E-2</v>
      </c>
      <c r="I24" s="9">
        <f t="shared" si="2"/>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25"/>
      <c r="AL24" s="10"/>
      <c r="AM24" s="25"/>
      <c r="AQ24" s="10"/>
      <c r="AR24" s="10">
        <v>0.5</v>
      </c>
      <c r="AS24" s="10"/>
      <c r="AT24" s="10">
        <v>0.5</v>
      </c>
      <c r="AX24" s="10"/>
      <c r="AY24" s="10">
        <v>0.5</v>
      </c>
      <c r="AZ24" s="10"/>
      <c r="BA24" s="10">
        <v>0.5</v>
      </c>
      <c r="BE24" s="10"/>
      <c r="BF24" s="10">
        <v>0.5</v>
      </c>
      <c r="BG24" s="10"/>
      <c r="BH24" s="26">
        <v>0.5</v>
      </c>
      <c r="BL24" s="10"/>
      <c r="BM24" s="10">
        <v>0.5</v>
      </c>
      <c r="BN24" s="10"/>
      <c r="BO24" s="10">
        <v>0.5</v>
      </c>
      <c r="BS24" s="10"/>
      <c r="BT24" s="25">
        <v>0.5</v>
      </c>
      <c r="BU24" s="10"/>
      <c r="BV24" s="25">
        <v>0.5</v>
      </c>
      <c r="BZ24" s="10"/>
      <c r="CA24" s="10">
        <v>0.8</v>
      </c>
      <c r="CB24" s="10"/>
      <c r="CC24" s="10">
        <v>0.8</v>
      </c>
      <c r="CG24" s="10"/>
      <c r="CH24" s="10">
        <v>0.8</v>
      </c>
      <c r="CI24" s="10"/>
      <c r="CJ24" s="10">
        <v>0.8</v>
      </c>
      <c r="CN24" s="10"/>
      <c r="CO24" s="10">
        <v>0.8</v>
      </c>
      <c r="CP24" s="10"/>
      <c r="CQ24" s="10">
        <v>0.8</v>
      </c>
      <c r="CU24" s="10"/>
      <c r="CV24" s="10">
        <v>0.8</v>
      </c>
      <c r="CW24" s="10"/>
      <c r="CX24" s="10">
        <v>0.8</v>
      </c>
      <c r="DB24" s="10"/>
      <c r="DC24" s="25">
        <v>0.8</v>
      </c>
      <c r="DD24" s="10"/>
      <c r="DE24" s="25">
        <v>0.8</v>
      </c>
      <c r="DI24" s="31"/>
      <c r="DJ24" s="10">
        <v>1</v>
      </c>
      <c r="DK24" s="10"/>
      <c r="DL24" s="32">
        <v>1</v>
      </c>
      <c r="DP24" s="10"/>
      <c r="DQ24" s="10"/>
      <c r="DR24" s="10"/>
      <c r="DS24" s="10"/>
      <c r="DW24" s="10"/>
      <c r="DX24" s="10"/>
      <c r="DY24" s="10"/>
      <c r="DZ24" s="10"/>
      <c r="ED24" s="10"/>
      <c r="EE24" s="10"/>
      <c r="EF24" s="10"/>
      <c r="EG24" s="10"/>
      <c r="EK24" s="10"/>
      <c r="EL24" s="10"/>
      <c r="EM24" s="10"/>
      <c r="EN24" s="10"/>
    </row>
    <row r="25" spans="2:144" outlineLevel="1">
      <c r="B25" s="19" t="s">
        <v>28</v>
      </c>
      <c r="C25" s="19" t="s">
        <v>102</v>
      </c>
      <c r="E25" s="9"/>
      <c r="F25" t="s">
        <v>111</v>
      </c>
      <c r="G25" s="21">
        <f t="shared" si="3"/>
        <v>9.0909090909090912E-2</v>
      </c>
      <c r="I25" s="9">
        <f t="shared" si="2"/>
        <v>0</v>
      </c>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c r="AL25" s="10"/>
      <c r="AM25" s="10"/>
      <c r="AQ25" s="10"/>
      <c r="AR25" s="25"/>
      <c r="AS25" s="10"/>
      <c r="AT25" s="25"/>
      <c r="AX25" s="10"/>
      <c r="AY25" s="10">
        <v>0.5</v>
      </c>
      <c r="AZ25" s="10"/>
      <c r="BA25" s="10">
        <v>0.5</v>
      </c>
      <c r="BE25" s="10"/>
      <c r="BF25" s="10">
        <v>0.5</v>
      </c>
      <c r="BG25" s="10"/>
      <c r="BH25" s="26">
        <v>0.5</v>
      </c>
      <c r="BL25" s="10"/>
      <c r="BM25" s="10">
        <v>0.5</v>
      </c>
      <c r="BN25" s="10"/>
      <c r="BO25" s="10">
        <v>0.5</v>
      </c>
      <c r="BS25" s="10"/>
      <c r="BT25" s="10">
        <v>0.5</v>
      </c>
      <c r="BU25" s="10"/>
      <c r="BV25" s="10">
        <v>0.5</v>
      </c>
      <c r="BZ25" s="10"/>
      <c r="CA25" s="25">
        <v>0.5</v>
      </c>
      <c r="CB25" s="10"/>
      <c r="CC25" s="25">
        <v>0.5</v>
      </c>
      <c r="CG25" s="10"/>
      <c r="CH25" s="10">
        <v>0.8</v>
      </c>
      <c r="CI25" s="10"/>
      <c r="CJ25" s="10">
        <v>0.8</v>
      </c>
      <c r="CN25" s="10"/>
      <c r="CO25" s="10">
        <v>0.8</v>
      </c>
      <c r="CP25" s="10"/>
      <c r="CQ25" s="10">
        <v>0.8</v>
      </c>
      <c r="CU25" s="10"/>
      <c r="CV25" s="10">
        <v>0.8</v>
      </c>
      <c r="CW25" s="10"/>
      <c r="CX25" s="10">
        <v>0.8</v>
      </c>
      <c r="DB25" s="10"/>
      <c r="DC25" s="25">
        <v>0.8</v>
      </c>
      <c r="DD25" s="10"/>
      <c r="DE25" s="25">
        <v>0.8</v>
      </c>
      <c r="DI25" s="31"/>
      <c r="DJ25" s="10">
        <v>1</v>
      </c>
      <c r="DK25" s="10"/>
      <c r="DL25" s="32">
        <v>1</v>
      </c>
      <c r="DP25" s="10"/>
      <c r="DQ25" s="10"/>
      <c r="DR25" s="10"/>
      <c r="DS25" s="10"/>
      <c r="DW25" s="10"/>
      <c r="DX25" s="10"/>
      <c r="DY25" s="10"/>
      <c r="DZ25" s="10"/>
      <c r="ED25" s="10"/>
      <c r="EE25" s="10"/>
      <c r="EF25" s="10"/>
      <c r="EG25" s="10"/>
      <c r="EK25" s="10"/>
      <c r="EL25" s="10"/>
      <c r="EM25" s="10"/>
      <c r="EN25" s="10"/>
    </row>
    <row r="26" spans="2:144" outlineLevel="1">
      <c r="B26" s="19" t="s">
        <v>28</v>
      </c>
      <c r="C26" s="19" t="s">
        <v>102</v>
      </c>
      <c r="E26" s="9"/>
      <c r="F26" t="s">
        <v>112</v>
      </c>
      <c r="G26" s="21">
        <f t="shared" si="3"/>
        <v>9.0909090909090912E-2</v>
      </c>
      <c r="I26" s="9">
        <f t="shared" si="2"/>
        <v>0</v>
      </c>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c r="AS26" s="10"/>
      <c r="AT26" s="10"/>
      <c r="AX26" s="10"/>
      <c r="AY26" s="25"/>
      <c r="AZ26" s="37"/>
      <c r="BA26" s="25"/>
      <c r="BE26" s="10"/>
      <c r="BF26" s="10">
        <v>0.5</v>
      </c>
      <c r="BG26" s="10"/>
      <c r="BH26" s="10">
        <v>0.5</v>
      </c>
      <c r="BL26" s="10"/>
      <c r="BM26" s="10">
        <v>0.5</v>
      </c>
      <c r="BN26" s="10"/>
      <c r="BO26" s="10">
        <v>0.5</v>
      </c>
      <c r="BS26" s="10"/>
      <c r="BT26" s="10">
        <v>0.5</v>
      </c>
      <c r="BU26" s="10"/>
      <c r="BV26" s="10">
        <v>0.5</v>
      </c>
      <c r="BZ26" s="10"/>
      <c r="CA26" s="10">
        <v>0.5</v>
      </c>
      <c r="CB26" s="10"/>
      <c r="CC26" s="10">
        <v>0.5</v>
      </c>
      <c r="CG26" s="10"/>
      <c r="CH26" s="25">
        <v>0.5</v>
      </c>
      <c r="CI26" s="10"/>
      <c r="CJ26" s="25">
        <v>0.5</v>
      </c>
      <c r="CN26" s="10"/>
      <c r="CO26" s="10">
        <v>0.8</v>
      </c>
      <c r="CP26" s="10"/>
      <c r="CQ26" s="10">
        <v>0.8</v>
      </c>
      <c r="CU26" s="10"/>
      <c r="CV26" s="10">
        <v>0.8</v>
      </c>
      <c r="CW26" s="10"/>
      <c r="CX26" s="10">
        <v>0.8</v>
      </c>
      <c r="DB26" s="10"/>
      <c r="DC26" s="25">
        <v>0.8</v>
      </c>
      <c r="DD26" s="10"/>
      <c r="DE26" s="25">
        <v>0.8</v>
      </c>
      <c r="DI26" s="31"/>
      <c r="DJ26" s="10">
        <v>1</v>
      </c>
      <c r="DK26" s="10"/>
      <c r="DL26" s="32">
        <v>1</v>
      </c>
      <c r="DP26" s="10"/>
      <c r="DQ26" s="10"/>
      <c r="DR26" s="10"/>
      <c r="DS26" s="10"/>
      <c r="DW26" s="10"/>
      <c r="DX26" s="10"/>
      <c r="DY26" s="10"/>
      <c r="DZ26" s="10"/>
      <c r="ED26" s="10"/>
      <c r="EE26" s="10"/>
      <c r="EF26" s="10"/>
      <c r="EG26" s="10"/>
      <c r="EK26" s="10"/>
      <c r="EL26" s="10"/>
      <c r="EM26" s="10"/>
      <c r="EN26" s="10"/>
    </row>
    <row r="27" spans="2:144" outlineLevel="1">
      <c r="B27" s="19" t="s">
        <v>28</v>
      </c>
      <c r="C27" s="19" t="s">
        <v>102</v>
      </c>
      <c r="E27" s="9"/>
      <c r="F27" t="s">
        <v>113</v>
      </c>
      <c r="G27" s="21">
        <f t="shared" si="3"/>
        <v>9.0909090909090912E-2</v>
      </c>
      <c r="I27" s="9">
        <f t="shared" si="2"/>
        <v>0</v>
      </c>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M27" s="25"/>
      <c r="BN27" s="10"/>
      <c r="BO27" s="25"/>
      <c r="BS27" s="10"/>
      <c r="BT27" s="10">
        <v>0.5</v>
      </c>
      <c r="BU27" s="10"/>
      <c r="BV27" s="10">
        <v>0.5</v>
      </c>
      <c r="BZ27" s="10"/>
      <c r="CA27" s="10">
        <v>0.5</v>
      </c>
      <c r="CB27" s="10"/>
      <c r="CC27" s="10">
        <v>0.5</v>
      </c>
      <c r="CG27" s="10"/>
      <c r="CH27" s="10">
        <v>0.5</v>
      </c>
      <c r="CI27" s="10"/>
      <c r="CJ27" s="10">
        <v>0.5</v>
      </c>
      <c r="CN27" s="10"/>
      <c r="CO27" s="25">
        <v>0.5</v>
      </c>
      <c r="CP27" s="10"/>
      <c r="CQ27" s="25">
        <v>0.5</v>
      </c>
      <c r="CU27" s="10"/>
      <c r="CV27" s="10">
        <v>0.8</v>
      </c>
      <c r="CW27" s="10"/>
      <c r="CX27" s="10">
        <v>0.8</v>
      </c>
      <c r="DB27" s="10"/>
      <c r="DC27" s="25">
        <v>0.8</v>
      </c>
      <c r="DD27" s="10"/>
      <c r="DE27" s="25">
        <v>0.8</v>
      </c>
      <c r="DI27" s="33"/>
      <c r="DJ27" s="34">
        <v>1</v>
      </c>
      <c r="DK27" s="34"/>
      <c r="DL27" s="35">
        <v>1</v>
      </c>
      <c r="DP27" s="10"/>
      <c r="DQ27" s="10"/>
      <c r="DR27" s="10"/>
      <c r="DS27" s="10"/>
      <c r="DW27" s="10"/>
      <c r="DX27" s="10"/>
      <c r="DY27" s="10"/>
      <c r="DZ27" s="10"/>
      <c r="ED27" s="10"/>
      <c r="EE27" s="10"/>
      <c r="EF27" s="10"/>
      <c r="EG27" s="10"/>
      <c r="EK27" s="10"/>
      <c r="EL27" s="10"/>
      <c r="EM27" s="10"/>
      <c r="EN27" s="10"/>
    </row>
    <row r="28" spans="2:144">
      <c r="BG28" s="10"/>
    </row>
    <row r="29" spans="2:144">
      <c r="B29" t="s">
        <v>27</v>
      </c>
      <c r="C29" t="s">
        <v>115</v>
      </c>
      <c r="D29" s="18">
        <v>45831</v>
      </c>
      <c r="E29" s="9">
        <v>3.5</v>
      </c>
      <c r="G29" s="10">
        <f>SUM(G30:G40)</f>
        <v>1.0000000000000002</v>
      </c>
      <c r="I29" s="12">
        <f>+SUM(I30:I39)</f>
        <v>0</v>
      </c>
      <c r="J29" s="11">
        <f>+SUMPRODUCT(G30:G39,J30:J39)</f>
        <v>0</v>
      </c>
      <c r="K29" s="11">
        <f>+SUMPRODUCT(G30:G39,K30:K39)</f>
        <v>0</v>
      </c>
      <c r="L29" s="9"/>
      <c r="N29" s="12"/>
      <c r="U29" s="12"/>
      <c r="AB29" s="12"/>
      <c r="AI29" s="12"/>
      <c r="AP29" s="12"/>
      <c r="BG29" s="10"/>
      <c r="EJ29" s="15" t="s">
        <v>154</v>
      </c>
      <c r="EK29" s="15"/>
      <c r="EL29" s="15"/>
    </row>
    <row r="30" spans="2:144" outlineLevel="1">
      <c r="B30" t="s">
        <v>28</v>
      </c>
      <c r="C30" t="s">
        <v>114</v>
      </c>
      <c r="E30" s="9"/>
      <c r="F30" t="s">
        <v>116</v>
      </c>
      <c r="G30" s="10">
        <f>100/11/100</f>
        <v>9.0909090909090912E-2</v>
      </c>
      <c r="I30" s="9">
        <f t="shared" ref="I30:I40" si="4">+SUMIF($N$3:$ZT$3,I$3,$N30:$ZT30)</f>
        <v>0</v>
      </c>
      <c r="J30" s="11" cm="1">
        <f t="array" ref="J30">MAX(IF($N$3:$EH$3=$J$3,N30:EH30))</f>
        <v>0</v>
      </c>
      <c r="K30" s="11" cm="1">
        <f t="array" ref="K30">MAX(IF($N$3:$EH$3=$J$3,N30:EH30))</f>
        <v>0</v>
      </c>
      <c r="L30" s="9"/>
      <c r="O30" s="10"/>
      <c r="P30" s="25"/>
      <c r="Q30" s="10"/>
      <c r="R30" s="25"/>
      <c r="V30" s="10"/>
      <c r="W30" s="10">
        <v>0.5</v>
      </c>
      <c r="X30" s="10"/>
      <c r="Y30" s="10">
        <v>0.5</v>
      </c>
      <c r="AC30" s="10"/>
      <c r="AD30" s="25">
        <v>0.5</v>
      </c>
      <c r="AE30" s="10"/>
      <c r="AF30" s="25">
        <v>0.5</v>
      </c>
      <c r="AJ30" s="10"/>
      <c r="AK30" s="10">
        <v>0.8</v>
      </c>
      <c r="AL30" s="10"/>
      <c r="AM30" s="10">
        <v>0.8</v>
      </c>
      <c r="AQ30" s="10"/>
      <c r="AR30" s="10">
        <v>0.8</v>
      </c>
      <c r="AS30" s="10"/>
      <c r="AT30" s="10">
        <v>0.8</v>
      </c>
      <c r="AX30" s="10"/>
      <c r="AY30" s="10">
        <v>0.8</v>
      </c>
      <c r="AZ30" s="10"/>
      <c r="BA30" s="10">
        <v>0.8</v>
      </c>
      <c r="BE30" s="10"/>
      <c r="BF30" s="10">
        <v>0.8</v>
      </c>
      <c r="BG30" s="10"/>
      <c r="BH30" s="10">
        <v>0.8</v>
      </c>
      <c r="BL30" s="10"/>
      <c r="BM30" s="10">
        <v>0.8</v>
      </c>
      <c r="BN30" s="10"/>
      <c r="BO30" s="10">
        <v>0.8</v>
      </c>
      <c r="BS30" s="10"/>
      <c r="BT30" s="25">
        <v>0.8</v>
      </c>
      <c r="BU30" s="10"/>
      <c r="BV30" s="25">
        <v>0.8</v>
      </c>
      <c r="BZ30" s="10"/>
      <c r="CA30" s="10">
        <v>1</v>
      </c>
      <c r="CB30" s="10"/>
      <c r="CC30" s="10">
        <v>1</v>
      </c>
      <c r="CG30" s="10"/>
      <c r="CH30" s="10">
        <v>1</v>
      </c>
      <c r="CI30" s="10"/>
      <c r="CJ30" s="10">
        <v>1</v>
      </c>
      <c r="CN30" s="10"/>
      <c r="CO30" s="10">
        <v>1</v>
      </c>
      <c r="CP30" s="10"/>
      <c r="CQ30" s="10">
        <v>1</v>
      </c>
      <c r="CU30" s="10"/>
      <c r="CV30" s="10">
        <v>1</v>
      </c>
      <c r="CW30" s="10"/>
      <c r="CX30" s="10">
        <v>1</v>
      </c>
      <c r="DB30" s="10"/>
      <c r="DC30" s="10">
        <v>1</v>
      </c>
      <c r="DD30" s="10"/>
      <c r="DE30" s="10">
        <v>1</v>
      </c>
      <c r="DI30" s="10"/>
      <c r="DJ30" s="10">
        <v>1</v>
      </c>
      <c r="DK30" s="10"/>
      <c r="DL30" s="10">
        <v>1</v>
      </c>
      <c r="DP30" s="10"/>
      <c r="DQ30" s="10">
        <v>1</v>
      </c>
      <c r="DR30" s="10"/>
      <c r="DS30" s="10">
        <v>1</v>
      </c>
      <c r="DW30" s="10"/>
      <c r="DX30" s="10"/>
      <c r="DY30" s="10"/>
      <c r="DZ30" s="10"/>
      <c r="ED30" s="10"/>
      <c r="EE30" s="10"/>
      <c r="EF30" s="10"/>
      <c r="EG30" s="10"/>
      <c r="EK30" s="10"/>
      <c r="EL30" s="10"/>
      <c r="EM30" s="10"/>
      <c r="EN30" s="10"/>
    </row>
    <row r="31" spans="2:144" outlineLevel="1">
      <c r="B31" t="s">
        <v>28</v>
      </c>
      <c r="C31" t="s">
        <v>114</v>
      </c>
      <c r="E31" s="9"/>
      <c r="F31" t="s">
        <v>117</v>
      </c>
      <c r="G31" s="10">
        <f t="shared" ref="G31:G40" si="5">100/11/100</f>
        <v>9.0909090909090912E-2</v>
      </c>
      <c r="I31" s="9">
        <f t="shared" si="4"/>
        <v>0</v>
      </c>
      <c r="J31" s="11" cm="1">
        <f t="array" ref="J31">MAX(IF($N$3:$EH$3=$J$3,N31:EH31))</f>
        <v>0</v>
      </c>
      <c r="K31" s="11" cm="1">
        <f t="array" ref="K31">MAX(IF($N$3:$EH$3=$J$3,N31:EH31))</f>
        <v>0</v>
      </c>
      <c r="L31" s="9"/>
      <c r="O31" s="10"/>
      <c r="P31" s="25"/>
      <c r="Q31" s="10"/>
      <c r="R31" s="25"/>
      <c r="V31" s="10"/>
      <c r="W31" s="10">
        <v>0.5</v>
      </c>
      <c r="X31" s="10"/>
      <c r="Y31" s="10">
        <v>0.5</v>
      </c>
      <c r="AC31" s="10"/>
      <c r="AD31" s="10">
        <v>0.5</v>
      </c>
      <c r="AE31" s="10"/>
      <c r="AF31" s="10">
        <v>0.5</v>
      </c>
      <c r="AJ31" s="10"/>
      <c r="AK31" s="25">
        <v>0.5</v>
      </c>
      <c r="AL31" s="10"/>
      <c r="AM31" s="25">
        <v>0.5</v>
      </c>
      <c r="AQ31" s="10"/>
      <c r="AR31" s="10">
        <v>0.8</v>
      </c>
      <c r="AS31" s="10"/>
      <c r="AT31" s="10">
        <v>0.8</v>
      </c>
      <c r="AX31" s="10"/>
      <c r="AY31" s="10">
        <v>0.8</v>
      </c>
      <c r="AZ31" s="10"/>
      <c r="BA31" s="10">
        <v>0.8</v>
      </c>
      <c r="BE31" s="10"/>
      <c r="BF31" s="10">
        <v>0.8</v>
      </c>
      <c r="BG31" s="10"/>
      <c r="BH31" s="10">
        <v>0.8</v>
      </c>
      <c r="BL31" s="10"/>
      <c r="BM31" s="10">
        <v>0.8</v>
      </c>
      <c r="BN31" s="10"/>
      <c r="BO31" s="10">
        <v>0.8</v>
      </c>
      <c r="BS31" s="10"/>
      <c r="BT31" s="10">
        <v>0.8</v>
      </c>
      <c r="BU31" s="10"/>
      <c r="BV31" s="10">
        <v>0.8</v>
      </c>
      <c r="BZ31" s="10"/>
      <c r="CA31" s="25">
        <v>0.8</v>
      </c>
      <c r="CB31" s="10"/>
      <c r="CC31" s="25">
        <v>0.8</v>
      </c>
      <c r="CG31" s="10"/>
      <c r="CH31" s="10">
        <v>1</v>
      </c>
      <c r="CI31" s="10"/>
      <c r="CJ31" s="10">
        <v>1</v>
      </c>
      <c r="CN31" s="10"/>
      <c r="CO31" s="10">
        <v>1</v>
      </c>
      <c r="CP31" s="10"/>
      <c r="CQ31" s="10">
        <v>1</v>
      </c>
      <c r="CU31" s="10"/>
      <c r="CV31" s="10">
        <v>1</v>
      </c>
      <c r="CW31" s="10"/>
      <c r="CX31" s="10">
        <v>1</v>
      </c>
      <c r="DB31" s="10"/>
      <c r="DC31" s="10">
        <v>1</v>
      </c>
      <c r="DD31" s="25"/>
      <c r="DE31" s="10">
        <v>1</v>
      </c>
      <c r="DI31" s="10"/>
      <c r="DJ31" s="10">
        <v>1</v>
      </c>
      <c r="DK31" s="10"/>
      <c r="DL31" s="10">
        <v>1</v>
      </c>
      <c r="DP31" s="10"/>
      <c r="DQ31" s="10">
        <v>1</v>
      </c>
      <c r="DR31" s="10"/>
      <c r="DS31" s="10">
        <v>1</v>
      </c>
      <c r="DW31" s="10"/>
      <c r="DX31" s="10"/>
      <c r="DY31" s="10"/>
      <c r="DZ31" s="10"/>
      <c r="ED31" s="10"/>
      <c r="EE31" s="10"/>
      <c r="EF31" s="10"/>
      <c r="EG31" s="10"/>
      <c r="EK31" s="10"/>
      <c r="EL31" s="10"/>
      <c r="EM31" s="10"/>
      <c r="EN31" s="10"/>
    </row>
    <row r="32" spans="2:144" outlineLevel="1">
      <c r="B32" t="s">
        <v>28</v>
      </c>
      <c r="C32" t="s">
        <v>114</v>
      </c>
      <c r="E32" s="9"/>
      <c r="F32" t="s">
        <v>118</v>
      </c>
      <c r="G32" s="10">
        <f t="shared" si="5"/>
        <v>9.0909090909090912E-2</v>
      </c>
      <c r="I32" s="9">
        <f t="shared" si="4"/>
        <v>0</v>
      </c>
      <c r="J32" s="11" cm="1">
        <f t="array" ref="J32">MAX(IF($N$3:$EH$3=$J$3,N32:EH32))</f>
        <v>0</v>
      </c>
      <c r="K32" s="11" cm="1">
        <f t="array" ref="K32">MAX(IF($N$3:$EH$3=$J$3,N32:EH32))</f>
        <v>0</v>
      </c>
      <c r="L32" s="9"/>
      <c r="O32" s="10"/>
      <c r="P32" s="10"/>
      <c r="Q32" s="10"/>
      <c r="R32" s="10"/>
      <c r="V32" s="10"/>
      <c r="W32" s="25"/>
      <c r="X32" s="10"/>
      <c r="Y32" s="25"/>
      <c r="AC32" s="10"/>
      <c r="AD32" s="10">
        <v>0.5</v>
      </c>
      <c r="AE32" s="10"/>
      <c r="AF32" s="10">
        <v>0.5</v>
      </c>
      <c r="AJ32" s="10"/>
      <c r="AK32" s="10">
        <v>0.5</v>
      </c>
      <c r="AL32" s="10"/>
      <c r="AM32" s="10">
        <v>0.5</v>
      </c>
      <c r="AQ32" s="10"/>
      <c r="AR32" s="25">
        <v>0.5</v>
      </c>
      <c r="AS32" s="10"/>
      <c r="AT32" s="25">
        <v>0.5</v>
      </c>
      <c r="AX32" s="10"/>
      <c r="AY32" s="10">
        <v>0.8</v>
      </c>
      <c r="AZ32" s="10"/>
      <c r="BA32" s="10">
        <v>0.8</v>
      </c>
      <c r="BE32" s="10"/>
      <c r="BF32" s="10">
        <v>0.8</v>
      </c>
      <c r="BG32" s="10"/>
      <c r="BH32" s="10">
        <v>0.8</v>
      </c>
      <c r="BL32" s="10"/>
      <c r="BM32" s="10">
        <v>0.8</v>
      </c>
      <c r="BN32" s="10"/>
      <c r="BO32" s="10">
        <v>0.8</v>
      </c>
      <c r="BS32" s="10"/>
      <c r="BT32" s="10">
        <v>0.8</v>
      </c>
      <c r="BU32" s="10"/>
      <c r="BV32" s="10">
        <v>0.8</v>
      </c>
      <c r="BZ32" s="10"/>
      <c r="CA32" s="10">
        <v>0.8</v>
      </c>
      <c r="CB32" s="10"/>
      <c r="CC32" s="10">
        <v>0.8</v>
      </c>
      <c r="CG32" s="10"/>
      <c r="CH32" s="25">
        <v>0.8</v>
      </c>
      <c r="CI32" s="10"/>
      <c r="CJ32" s="25">
        <v>0.8</v>
      </c>
      <c r="CN32" s="10"/>
      <c r="CO32" s="10">
        <v>1</v>
      </c>
      <c r="CP32" s="10"/>
      <c r="CQ32" s="10">
        <v>1</v>
      </c>
      <c r="CU32" s="10"/>
      <c r="CV32" s="10">
        <v>1</v>
      </c>
      <c r="CW32" s="10"/>
      <c r="CX32" s="10">
        <v>1</v>
      </c>
      <c r="DB32" s="10"/>
      <c r="DC32" s="10">
        <v>1</v>
      </c>
      <c r="DD32" s="10"/>
      <c r="DE32" s="10">
        <v>1</v>
      </c>
      <c r="DI32" s="10"/>
      <c r="DJ32" s="10">
        <v>1</v>
      </c>
      <c r="DK32" s="10"/>
      <c r="DL32" s="10">
        <v>1</v>
      </c>
      <c r="DP32" s="10"/>
      <c r="DQ32" s="10">
        <v>1</v>
      </c>
      <c r="DR32" s="10"/>
      <c r="DS32" s="10">
        <v>1</v>
      </c>
      <c r="DW32" s="10"/>
      <c r="DX32" s="10"/>
      <c r="DY32" s="10"/>
      <c r="DZ32" s="10"/>
      <c r="ED32" s="10"/>
      <c r="EE32" s="10"/>
      <c r="EF32" s="10"/>
      <c r="EG32" s="10"/>
      <c r="EK32" s="10"/>
      <c r="EL32" s="10"/>
      <c r="EM32" s="10"/>
      <c r="EN32" s="10"/>
    </row>
    <row r="33" spans="2:144" outlineLevel="1">
      <c r="B33" t="s">
        <v>28</v>
      </c>
      <c r="C33" t="s">
        <v>114</v>
      </c>
      <c r="E33" s="9"/>
      <c r="F33" t="s">
        <v>119</v>
      </c>
      <c r="G33" s="10">
        <f t="shared" si="5"/>
        <v>9.0909090909090912E-2</v>
      </c>
      <c r="I33" s="9">
        <f t="shared" si="4"/>
        <v>0</v>
      </c>
      <c r="J33" s="11" cm="1">
        <f t="array" ref="J33">MAX(IF($N$3:$EH$3=$J$3,N33:EH33))</f>
        <v>0</v>
      </c>
      <c r="K33" s="11" cm="1">
        <f t="array" ref="K33">MAX(IF($N$3:$EH$3=$J$3,N33:EH33))</f>
        <v>0</v>
      </c>
      <c r="L33" s="9"/>
      <c r="O33" s="10"/>
      <c r="P33" s="10"/>
      <c r="Q33" s="10"/>
      <c r="R33" s="10"/>
      <c r="V33" s="10"/>
      <c r="W33" s="25"/>
      <c r="X33" s="10"/>
      <c r="Y33" s="25"/>
      <c r="AC33" s="10"/>
      <c r="AD33" s="10">
        <v>0.5</v>
      </c>
      <c r="AE33" s="10"/>
      <c r="AF33" s="10">
        <v>0.5</v>
      </c>
      <c r="AJ33" s="10"/>
      <c r="AK33" s="10">
        <v>0.5</v>
      </c>
      <c r="AL33" s="10"/>
      <c r="AM33" s="10">
        <v>0.5</v>
      </c>
      <c r="AQ33" s="10"/>
      <c r="AR33" s="10">
        <v>0.5</v>
      </c>
      <c r="AS33" s="10"/>
      <c r="AT33" s="10">
        <v>0.5</v>
      </c>
      <c r="AX33" s="10"/>
      <c r="AY33" s="25">
        <v>0.5</v>
      </c>
      <c r="AZ33" s="10"/>
      <c r="BA33" s="25">
        <v>0.5</v>
      </c>
      <c r="BE33" s="10"/>
      <c r="BF33" s="10">
        <v>0.8</v>
      </c>
      <c r="BG33" s="10"/>
      <c r="BH33" s="10">
        <v>0.8</v>
      </c>
      <c r="BL33" s="10"/>
      <c r="BM33" s="10">
        <v>0.8</v>
      </c>
      <c r="BN33" s="10"/>
      <c r="BO33" s="10">
        <v>0.8</v>
      </c>
      <c r="BS33" s="10"/>
      <c r="BT33" s="10">
        <v>0.8</v>
      </c>
      <c r="BU33" s="10"/>
      <c r="BV33" s="10">
        <v>0.8</v>
      </c>
      <c r="BZ33" s="10"/>
      <c r="CA33" s="10">
        <v>0.8</v>
      </c>
      <c r="CB33" s="10"/>
      <c r="CC33" s="10">
        <v>0.8</v>
      </c>
      <c r="CG33" s="10"/>
      <c r="CH33" s="10">
        <v>0.8</v>
      </c>
      <c r="CI33" s="10"/>
      <c r="CJ33" s="10">
        <v>0.8</v>
      </c>
      <c r="CN33" s="10"/>
      <c r="CO33" s="25">
        <v>0.8</v>
      </c>
      <c r="CP33" s="10"/>
      <c r="CQ33" s="25">
        <v>0.8</v>
      </c>
      <c r="CU33" s="10"/>
      <c r="CV33" s="10">
        <v>1</v>
      </c>
      <c r="CW33" s="10"/>
      <c r="CX33" s="10">
        <v>1</v>
      </c>
      <c r="DB33" s="10"/>
      <c r="DC33" s="10">
        <v>1</v>
      </c>
      <c r="DD33" s="10"/>
      <c r="DE33" s="10">
        <v>1</v>
      </c>
      <c r="DI33" s="10"/>
      <c r="DJ33" s="10">
        <v>1</v>
      </c>
      <c r="DK33" s="10"/>
      <c r="DL33" s="10">
        <v>1</v>
      </c>
      <c r="DP33" s="10"/>
      <c r="DQ33" s="10">
        <v>1</v>
      </c>
      <c r="DR33" s="10"/>
      <c r="DS33" s="10">
        <v>1</v>
      </c>
      <c r="DW33" s="10"/>
      <c r="DX33" s="10"/>
      <c r="DY33" s="10"/>
      <c r="DZ33" s="10"/>
      <c r="ED33" s="10"/>
      <c r="EE33" s="10"/>
      <c r="EF33" s="10"/>
      <c r="EG33" s="10"/>
      <c r="EK33" s="10"/>
      <c r="EL33" s="10"/>
      <c r="EM33" s="10"/>
      <c r="EN33" s="10"/>
    </row>
    <row r="34" spans="2:144" outlineLevel="1">
      <c r="B34" t="s">
        <v>28</v>
      </c>
      <c r="C34" t="s">
        <v>114</v>
      </c>
      <c r="E34" s="9"/>
      <c r="F34" t="s">
        <v>120</v>
      </c>
      <c r="G34" s="10">
        <f t="shared" si="5"/>
        <v>9.0909090909090912E-2</v>
      </c>
      <c r="I34" s="9">
        <f t="shared" si="4"/>
        <v>0</v>
      </c>
      <c r="J34" s="11" cm="1">
        <f t="array" ref="J34">MAX(IF($N$3:$EH$3=$J$3,N34:EH34))</f>
        <v>0</v>
      </c>
      <c r="K34" s="11" cm="1">
        <f t="array" ref="K34">MAX(IF($N$3:$EH$3=$J$3,N34:EH34))</f>
        <v>0</v>
      </c>
      <c r="L34" s="9"/>
      <c r="O34" s="10"/>
      <c r="P34" s="10"/>
      <c r="Q34" s="10"/>
      <c r="R34" s="10"/>
      <c r="V34" s="10"/>
      <c r="W34" s="37"/>
      <c r="X34" s="37"/>
      <c r="Y34" s="37"/>
      <c r="AC34" s="10"/>
      <c r="AD34" s="25"/>
      <c r="AE34" s="10"/>
      <c r="AF34" s="25"/>
      <c r="AJ34" s="10"/>
      <c r="AK34" s="10">
        <v>0.5</v>
      </c>
      <c r="AL34" s="10"/>
      <c r="AM34" s="10">
        <v>0.5</v>
      </c>
      <c r="AQ34" s="10"/>
      <c r="AR34" s="10">
        <v>0.5</v>
      </c>
      <c r="AS34" s="10"/>
      <c r="AT34" s="10">
        <v>0.5</v>
      </c>
      <c r="AX34" s="10"/>
      <c r="AY34" s="10">
        <v>0.5</v>
      </c>
      <c r="AZ34" s="10"/>
      <c r="BA34" s="10">
        <v>0.5</v>
      </c>
      <c r="BE34" s="10"/>
      <c r="BF34" s="25">
        <v>0.5</v>
      </c>
      <c r="BG34" s="10"/>
      <c r="BH34" s="25">
        <v>0.5</v>
      </c>
      <c r="BL34" s="10"/>
      <c r="BM34" s="10">
        <v>0.8</v>
      </c>
      <c r="BN34" s="10"/>
      <c r="BO34" s="10">
        <v>0.8</v>
      </c>
      <c r="BS34" s="10"/>
      <c r="BT34" s="10">
        <v>0.8</v>
      </c>
      <c r="BU34" s="10"/>
      <c r="BV34" s="10">
        <v>0.8</v>
      </c>
      <c r="BZ34" s="10"/>
      <c r="CA34" s="10">
        <v>0.8</v>
      </c>
      <c r="CB34" s="10"/>
      <c r="CC34" s="10">
        <v>0.8</v>
      </c>
      <c r="CG34" s="10"/>
      <c r="CH34" s="10">
        <v>0.8</v>
      </c>
      <c r="CI34" s="10"/>
      <c r="CJ34" s="10">
        <v>0.8</v>
      </c>
      <c r="CN34" s="10"/>
      <c r="CO34" s="10">
        <v>0.8</v>
      </c>
      <c r="CP34" s="10"/>
      <c r="CQ34" s="10">
        <v>0.8</v>
      </c>
      <c r="CU34" s="10"/>
      <c r="CV34" s="25">
        <v>0.8</v>
      </c>
      <c r="CW34" s="10"/>
      <c r="CX34" s="25">
        <v>0.8</v>
      </c>
      <c r="DB34" s="10"/>
      <c r="DC34" s="10">
        <v>1</v>
      </c>
      <c r="DD34" s="10"/>
      <c r="DE34" s="10">
        <v>1</v>
      </c>
      <c r="DI34" s="10"/>
      <c r="DJ34" s="10">
        <v>1</v>
      </c>
      <c r="DK34" s="10"/>
      <c r="DL34" s="10">
        <v>1</v>
      </c>
      <c r="DP34" s="10"/>
      <c r="DQ34" s="10">
        <v>1</v>
      </c>
      <c r="DR34" s="10"/>
      <c r="DS34" s="10">
        <v>1</v>
      </c>
      <c r="DW34" s="10"/>
      <c r="DX34" s="10"/>
      <c r="DY34" s="10"/>
      <c r="DZ34" s="10"/>
      <c r="ED34" s="10"/>
      <c r="EE34" s="10"/>
      <c r="EF34" s="10"/>
      <c r="EG34" s="10"/>
      <c r="EK34" s="10"/>
      <c r="EL34" s="10"/>
      <c r="EM34" s="10"/>
      <c r="EN34" s="10"/>
    </row>
    <row r="35" spans="2:144" outlineLevel="1">
      <c r="B35" t="s">
        <v>28</v>
      </c>
      <c r="C35" t="s">
        <v>114</v>
      </c>
      <c r="E35" s="9"/>
      <c r="F35" t="s">
        <v>121</v>
      </c>
      <c r="G35" s="10">
        <f t="shared" si="5"/>
        <v>9.0909090909090912E-2</v>
      </c>
      <c r="I35" s="9">
        <f t="shared" si="4"/>
        <v>0</v>
      </c>
      <c r="J35" s="11" cm="1">
        <f t="array" ref="J35">MAX(IF($N$3:$EH$3=$J$3,N35:EH35))</f>
        <v>0</v>
      </c>
      <c r="K35" s="11" cm="1">
        <f t="array" ref="K35">MAX(IF($N$3:$EH$3=$J$3,N35:EH35))</f>
        <v>0</v>
      </c>
      <c r="L35" s="9"/>
      <c r="O35" s="10"/>
      <c r="P35" s="10"/>
      <c r="Q35" s="10"/>
      <c r="R35" s="10"/>
      <c r="V35" s="10"/>
      <c r="W35" s="10"/>
      <c r="X35" s="10"/>
      <c r="Y35" s="10"/>
      <c r="AC35" s="10"/>
      <c r="AD35" s="10"/>
      <c r="AE35" s="10"/>
      <c r="AF35" s="10"/>
      <c r="AJ35" s="10"/>
      <c r="AK35" s="25"/>
      <c r="AL35" s="10"/>
      <c r="AM35" s="25"/>
      <c r="AQ35" s="10"/>
      <c r="AR35" s="10">
        <v>0.5</v>
      </c>
      <c r="AS35" s="10"/>
      <c r="AT35" s="10">
        <v>0.5</v>
      </c>
      <c r="AX35" s="10"/>
      <c r="AY35" s="10">
        <v>0.5</v>
      </c>
      <c r="AZ35" s="10"/>
      <c r="BA35" s="10">
        <v>0.5</v>
      </c>
      <c r="BE35" s="10"/>
      <c r="BF35" s="37">
        <v>0.5</v>
      </c>
      <c r="BG35" s="10"/>
      <c r="BH35" s="37">
        <v>0.5</v>
      </c>
      <c r="BL35" s="10"/>
      <c r="BM35" s="25">
        <v>0.5</v>
      </c>
      <c r="BN35" s="10"/>
      <c r="BO35" s="25">
        <v>0.5</v>
      </c>
      <c r="BS35" s="10"/>
      <c r="BT35" s="10">
        <v>0.8</v>
      </c>
      <c r="BU35" s="10"/>
      <c r="BV35" s="10">
        <v>0.8</v>
      </c>
      <c r="BZ35" s="10"/>
      <c r="CA35" s="10">
        <v>0.8</v>
      </c>
      <c r="CB35" s="10"/>
      <c r="CC35" s="10">
        <v>0.8</v>
      </c>
      <c r="CG35" s="10"/>
      <c r="CH35" s="10">
        <v>0.8</v>
      </c>
      <c r="CI35" s="10"/>
      <c r="CJ35" s="10">
        <v>0.8</v>
      </c>
      <c r="CN35" s="10"/>
      <c r="CO35" s="10">
        <v>0.8</v>
      </c>
      <c r="CP35" s="10"/>
      <c r="CQ35" s="10">
        <v>0.8</v>
      </c>
      <c r="CU35" s="10"/>
      <c r="CV35" s="25">
        <v>0.8</v>
      </c>
      <c r="CW35" s="10"/>
      <c r="CX35" s="25">
        <v>0.8</v>
      </c>
      <c r="DB35" s="10"/>
      <c r="DC35" s="10">
        <v>1</v>
      </c>
      <c r="DD35" s="10"/>
      <c r="DE35" s="10">
        <v>1</v>
      </c>
      <c r="DI35" s="10"/>
      <c r="DJ35" s="10">
        <v>1</v>
      </c>
      <c r="DK35" s="10"/>
      <c r="DL35" s="10">
        <v>1</v>
      </c>
      <c r="DP35" s="10"/>
      <c r="DQ35" s="10">
        <v>1</v>
      </c>
      <c r="DR35" s="10"/>
      <c r="DS35" s="10">
        <v>1</v>
      </c>
      <c r="DW35" s="10"/>
      <c r="DX35" s="10"/>
      <c r="DY35" s="10"/>
      <c r="DZ35" s="10"/>
      <c r="ED35" s="10"/>
      <c r="EE35" s="10"/>
      <c r="EF35" s="10"/>
      <c r="EG35" s="10"/>
      <c r="EK35" s="10"/>
      <c r="EL35" s="10"/>
      <c r="EM35" s="10"/>
      <c r="EN35" s="10"/>
    </row>
    <row r="36" spans="2:144" outlineLevel="1">
      <c r="B36" t="s">
        <v>28</v>
      </c>
      <c r="C36" t="s">
        <v>114</v>
      </c>
      <c r="E36" s="9"/>
      <c r="F36" t="s">
        <v>122</v>
      </c>
      <c r="G36" s="10">
        <f t="shared" si="5"/>
        <v>9.0909090909090912E-2</v>
      </c>
      <c r="I36" s="9">
        <f t="shared" si="4"/>
        <v>0</v>
      </c>
      <c r="J36" s="11" cm="1">
        <f t="array" ref="J36">MAX(IF($N$3:$EH$3=$J$3,N36:EH36))</f>
        <v>0</v>
      </c>
      <c r="K36" s="11" cm="1">
        <f t="array" ref="K36">MAX(IF($N$3:$EH$3=$J$3,N36:EH36))</f>
        <v>0</v>
      </c>
      <c r="L36" s="9"/>
      <c r="O36" s="10"/>
      <c r="P36" s="10"/>
      <c r="Q36" s="10"/>
      <c r="R36" s="10"/>
      <c r="V36" s="10"/>
      <c r="W36" s="10"/>
      <c r="X36" s="10"/>
      <c r="Y36" s="10"/>
      <c r="AC36" s="10"/>
      <c r="AD36" s="10"/>
      <c r="AE36" s="10"/>
      <c r="AF36" s="10"/>
      <c r="AJ36" s="10"/>
      <c r="AK36" s="10"/>
      <c r="AL36" s="10"/>
      <c r="AM36" s="10"/>
      <c r="AQ36" s="10"/>
      <c r="AR36" s="25"/>
      <c r="AS36" s="10"/>
      <c r="AT36" s="25"/>
      <c r="AX36" s="10"/>
      <c r="AY36" s="10">
        <v>0.5</v>
      </c>
      <c r="AZ36" s="10"/>
      <c r="BA36" s="10">
        <v>0.5</v>
      </c>
      <c r="BE36" s="10"/>
      <c r="BF36" s="10">
        <v>0.5</v>
      </c>
      <c r="BG36" s="10"/>
      <c r="BH36" s="10">
        <v>0.5</v>
      </c>
      <c r="BL36" s="10"/>
      <c r="BM36" s="10">
        <v>0.5</v>
      </c>
      <c r="BN36" s="10"/>
      <c r="BO36" s="10">
        <v>0.5</v>
      </c>
      <c r="BS36" s="10"/>
      <c r="BT36" s="25">
        <v>0.5</v>
      </c>
      <c r="BU36" s="10"/>
      <c r="BV36" s="25">
        <v>0.5</v>
      </c>
      <c r="BZ36" s="10"/>
      <c r="CA36" s="10">
        <v>0.8</v>
      </c>
      <c r="CB36" s="10"/>
      <c r="CC36" s="10">
        <v>0.8</v>
      </c>
      <c r="CG36" s="10"/>
      <c r="CH36" s="10">
        <v>0.8</v>
      </c>
      <c r="CI36" s="10"/>
      <c r="CJ36" s="10">
        <v>0.8</v>
      </c>
      <c r="CN36" s="10"/>
      <c r="CO36" s="10">
        <v>0.8</v>
      </c>
      <c r="CP36" s="10"/>
      <c r="CQ36" s="10">
        <v>0.8</v>
      </c>
      <c r="CU36" s="10"/>
      <c r="CV36" s="10">
        <v>0.8</v>
      </c>
      <c r="CW36" s="10"/>
      <c r="CX36" s="10">
        <v>0.8</v>
      </c>
      <c r="DB36" s="10"/>
      <c r="DC36" s="25">
        <v>0.8</v>
      </c>
      <c r="DD36" s="10"/>
      <c r="DE36" s="25">
        <v>0.8</v>
      </c>
      <c r="DI36" s="10"/>
      <c r="DJ36" s="10">
        <v>1</v>
      </c>
      <c r="DK36" s="10"/>
      <c r="DL36" s="10">
        <v>1</v>
      </c>
      <c r="DP36" s="10"/>
      <c r="DQ36" s="10">
        <v>1</v>
      </c>
      <c r="DR36" s="10"/>
      <c r="DS36" s="10">
        <v>1</v>
      </c>
      <c r="DW36" s="10"/>
      <c r="DX36" s="10"/>
      <c r="DY36" s="10"/>
      <c r="DZ36" s="10"/>
      <c r="ED36" s="10"/>
      <c r="EE36" s="10"/>
      <c r="EF36" s="10"/>
      <c r="EG36" s="10"/>
      <c r="EK36" s="10"/>
      <c r="EL36" s="10"/>
      <c r="EM36" s="10"/>
      <c r="EN36" s="10"/>
    </row>
    <row r="37" spans="2:144" outlineLevel="1">
      <c r="B37" t="s">
        <v>28</v>
      </c>
      <c r="C37" t="s">
        <v>114</v>
      </c>
      <c r="E37" s="9"/>
      <c r="F37" t="s">
        <v>123</v>
      </c>
      <c r="G37" s="10">
        <f t="shared" si="5"/>
        <v>9.0909090909090912E-2</v>
      </c>
      <c r="I37" s="9">
        <f t="shared" si="4"/>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c r="AL37" s="10"/>
      <c r="AM37" s="10"/>
      <c r="AQ37" s="10"/>
      <c r="AR37" s="10"/>
      <c r="AS37" s="10"/>
      <c r="AT37" s="10"/>
      <c r="AX37" s="10"/>
      <c r="AY37" s="25"/>
      <c r="AZ37" s="10"/>
      <c r="BA37" s="25"/>
      <c r="BE37" s="10"/>
      <c r="BF37" s="10">
        <v>0.5</v>
      </c>
      <c r="BG37" s="10"/>
      <c r="BH37" s="10">
        <v>0.5</v>
      </c>
      <c r="BL37" s="10"/>
      <c r="BM37" s="10">
        <v>0.5</v>
      </c>
      <c r="BN37" s="10"/>
      <c r="BO37" s="10">
        <v>0.5</v>
      </c>
      <c r="BS37" s="10"/>
      <c r="BT37" s="25">
        <v>0.5</v>
      </c>
      <c r="BU37" s="10"/>
      <c r="BV37" s="25">
        <v>0.5</v>
      </c>
      <c r="BZ37" s="10"/>
      <c r="CA37" s="10">
        <v>0.8</v>
      </c>
      <c r="CB37" s="10"/>
      <c r="CC37" s="10">
        <v>0.8</v>
      </c>
      <c r="CG37" s="10"/>
      <c r="CH37" s="10">
        <v>0.8</v>
      </c>
      <c r="CI37" s="10"/>
      <c r="CJ37" s="10">
        <v>0.8</v>
      </c>
      <c r="CN37" s="10"/>
      <c r="CO37" s="10">
        <v>0.8</v>
      </c>
      <c r="CP37" s="10"/>
      <c r="CQ37" s="10">
        <v>0.8</v>
      </c>
      <c r="CU37" s="10"/>
      <c r="CV37" s="10">
        <v>0.8</v>
      </c>
      <c r="CW37" s="10"/>
      <c r="CX37" s="10">
        <v>0.8</v>
      </c>
      <c r="DB37" s="10"/>
      <c r="DC37" s="25">
        <v>0.8</v>
      </c>
      <c r="DD37" s="10"/>
      <c r="DE37" s="25">
        <v>0.8</v>
      </c>
      <c r="DI37" s="10"/>
      <c r="DJ37" s="10">
        <v>1</v>
      </c>
      <c r="DK37" s="10"/>
      <c r="DL37" s="10">
        <v>1</v>
      </c>
      <c r="DP37" s="10"/>
      <c r="DQ37" s="10">
        <v>1</v>
      </c>
      <c r="DR37" s="10"/>
      <c r="DS37" s="10">
        <v>1</v>
      </c>
      <c r="DW37" s="10"/>
      <c r="DX37" s="10"/>
      <c r="DY37" s="10"/>
      <c r="DZ37" s="10"/>
      <c r="ED37" s="10"/>
      <c r="EE37" s="10"/>
      <c r="EF37" s="10"/>
      <c r="EG37" s="10"/>
      <c r="EK37" s="10"/>
      <c r="EL37" s="10"/>
      <c r="EM37" s="10"/>
      <c r="EN37" s="10"/>
    </row>
    <row r="38" spans="2:144" outlineLevel="1">
      <c r="B38" t="s">
        <v>28</v>
      </c>
      <c r="C38" t="s">
        <v>114</v>
      </c>
      <c r="E38" s="9"/>
      <c r="F38" t="s">
        <v>124</v>
      </c>
      <c r="G38" s="10">
        <f t="shared" si="5"/>
        <v>9.0909090909090912E-2</v>
      </c>
      <c r="I38" s="9">
        <f t="shared" si="4"/>
        <v>0</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c r="AL38" s="10"/>
      <c r="AM38" s="10"/>
      <c r="AQ38" s="10"/>
      <c r="AR38" s="10"/>
      <c r="AS38" s="10"/>
      <c r="AT38" s="10"/>
      <c r="AX38" s="10"/>
      <c r="AY38" s="15"/>
      <c r="AZ38" s="10"/>
      <c r="BA38" s="25"/>
      <c r="BE38" s="10"/>
      <c r="BF38" s="10">
        <v>0.5</v>
      </c>
      <c r="BG38" s="10"/>
      <c r="BH38" s="10">
        <v>0.5</v>
      </c>
      <c r="BL38" s="10"/>
      <c r="BM38" s="10">
        <v>0.5</v>
      </c>
      <c r="BN38" s="10"/>
      <c r="BO38" s="10">
        <v>0.5</v>
      </c>
      <c r="BS38" s="10"/>
      <c r="BT38" s="10">
        <v>0.5</v>
      </c>
      <c r="BU38" s="10"/>
      <c r="BV38" s="10">
        <v>0.5</v>
      </c>
      <c r="BZ38" s="10"/>
      <c r="CA38" s="25">
        <v>0.5</v>
      </c>
      <c r="CB38" s="10"/>
      <c r="CC38" s="25">
        <v>0.5</v>
      </c>
      <c r="CG38" s="10"/>
      <c r="CH38" s="10">
        <v>0.8</v>
      </c>
      <c r="CI38" s="10"/>
      <c r="CJ38" s="10">
        <v>0.8</v>
      </c>
      <c r="CN38" s="10"/>
      <c r="CO38" s="10">
        <v>0.8</v>
      </c>
      <c r="CP38" s="10"/>
      <c r="CQ38" s="10">
        <v>0.8</v>
      </c>
      <c r="CU38" s="10"/>
      <c r="CV38" s="10">
        <v>0.8</v>
      </c>
      <c r="CW38" s="10"/>
      <c r="CX38" s="10">
        <v>0.8</v>
      </c>
      <c r="DB38" s="10"/>
      <c r="DC38" s="37">
        <v>0.8</v>
      </c>
      <c r="DD38" s="10"/>
      <c r="DE38" s="37">
        <v>0.8</v>
      </c>
      <c r="DI38" s="10"/>
      <c r="DJ38" s="25">
        <v>0.8</v>
      </c>
      <c r="DK38" s="10"/>
      <c r="DL38" s="25">
        <v>0.8</v>
      </c>
      <c r="DP38" s="10"/>
      <c r="DQ38" s="10">
        <v>1</v>
      </c>
      <c r="DR38" s="10"/>
      <c r="DS38" s="10">
        <v>1</v>
      </c>
      <c r="DW38" s="10"/>
      <c r="DX38" s="10"/>
      <c r="DY38" s="10"/>
      <c r="DZ38" s="10"/>
      <c r="ED38" s="10"/>
      <c r="EE38" s="10"/>
      <c r="EF38" s="10"/>
      <c r="EG38" s="10"/>
      <c r="EK38" s="10"/>
      <c r="EL38" s="10"/>
      <c r="EM38" s="10"/>
      <c r="EN38" s="10"/>
    </row>
    <row r="39" spans="2:144" outlineLevel="1">
      <c r="B39" t="s">
        <v>28</v>
      </c>
      <c r="C39" t="s">
        <v>114</v>
      </c>
      <c r="E39" s="9"/>
      <c r="F39" t="s">
        <v>125</v>
      </c>
      <c r="G39" s="10">
        <f t="shared" si="5"/>
        <v>9.0909090909090912E-2</v>
      </c>
      <c r="I39" s="9">
        <f t="shared" si="4"/>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c r="AL39" s="10"/>
      <c r="AM39" s="10"/>
      <c r="AQ39" s="10"/>
      <c r="AS39" s="10"/>
      <c r="AT39" s="10"/>
      <c r="AX39" s="10"/>
      <c r="AZ39" s="10"/>
      <c r="BE39" s="10"/>
      <c r="BF39" s="40"/>
      <c r="BG39" s="10"/>
      <c r="BH39" s="40"/>
      <c r="BL39" s="10"/>
      <c r="BM39" s="10">
        <v>0.5</v>
      </c>
      <c r="BN39" s="10"/>
      <c r="BO39" s="10">
        <v>0.5</v>
      </c>
      <c r="BS39" s="10"/>
      <c r="BT39" s="10">
        <v>0.5</v>
      </c>
      <c r="BU39" s="10"/>
      <c r="BV39" s="10">
        <v>0.5</v>
      </c>
      <c r="BZ39" s="10"/>
      <c r="CA39" s="10">
        <v>0.5</v>
      </c>
      <c r="CB39" s="10"/>
      <c r="CC39" s="10">
        <v>0.5</v>
      </c>
      <c r="CG39" s="10"/>
      <c r="CH39" s="25">
        <v>0.5</v>
      </c>
      <c r="CI39" s="10"/>
      <c r="CJ39" s="25">
        <v>0.5</v>
      </c>
      <c r="CN39" s="10"/>
      <c r="CO39" s="10">
        <v>0.8</v>
      </c>
      <c r="CP39" s="10"/>
      <c r="CQ39" s="10">
        <v>0.8</v>
      </c>
      <c r="CU39" s="10"/>
      <c r="CV39" s="10">
        <v>0.8</v>
      </c>
      <c r="CW39" s="10"/>
      <c r="CX39" s="10">
        <v>0.8</v>
      </c>
      <c r="DB39" s="10"/>
      <c r="DC39" s="10">
        <v>0.8</v>
      </c>
      <c r="DD39" s="10"/>
      <c r="DE39" s="10">
        <v>0.8</v>
      </c>
      <c r="DI39" s="10"/>
      <c r="DJ39" s="25">
        <v>0.8</v>
      </c>
      <c r="DK39" s="10"/>
      <c r="DL39" s="25">
        <v>0.8</v>
      </c>
      <c r="DP39" s="10"/>
      <c r="DQ39" s="10">
        <v>1</v>
      </c>
      <c r="DR39" s="10"/>
      <c r="DS39" s="10">
        <v>1</v>
      </c>
      <c r="DW39" s="10"/>
      <c r="DX39" s="10"/>
      <c r="DY39" s="10"/>
      <c r="DZ39" s="10"/>
      <c r="ED39" s="10"/>
      <c r="EE39" s="10"/>
      <c r="EF39" s="10"/>
      <c r="EG39" s="10"/>
      <c r="EK39" s="10"/>
      <c r="EL39" s="10"/>
      <c r="EM39" s="10"/>
      <c r="EN39" s="10"/>
    </row>
    <row r="40" spans="2:144">
      <c r="B40" t="s">
        <v>28</v>
      </c>
      <c r="C40" t="s">
        <v>114</v>
      </c>
      <c r="F40" t="s">
        <v>126</v>
      </c>
      <c r="G40" s="10">
        <f t="shared" si="5"/>
        <v>9.0909090909090912E-2</v>
      </c>
      <c r="I40" s="9">
        <f t="shared" si="4"/>
        <v>0</v>
      </c>
      <c r="J40" s="11" cm="1">
        <f t="array" ref="J40">MAX(IF($N$3:$EH$3=$J$3,N40:EH40))</f>
        <v>0</v>
      </c>
      <c r="K40" s="11" cm="1">
        <f t="array" ref="K40">MAX(IF($N$3:$EH$3=$J$3,N40:EH40))</f>
        <v>0</v>
      </c>
      <c r="BM40" s="15"/>
      <c r="BO40" s="15"/>
      <c r="BS40" s="10"/>
      <c r="BT40" s="10">
        <v>0.5</v>
      </c>
      <c r="BU40" s="10"/>
      <c r="BV40" s="10">
        <v>0.5</v>
      </c>
      <c r="BZ40" s="10"/>
      <c r="CA40" s="10">
        <v>0.5</v>
      </c>
      <c r="CB40" s="10"/>
      <c r="CC40" s="10">
        <v>0.5</v>
      </c>
      <c r="CG40" s="10"/>
      <c r="CH40" s="10">
        <v>0.5</v>
      </c>
      <c r="CI40" s="10"/>
      <c r="CJ40" s="10">
        <v>0.5</v>
      </c>
      <c r="CN40" s="10"/>
      <c r="CO40" s="25">
        <v>0.5</v>
      </c>
      <c r="CP40" s="10"/>
      <c r="CQ40" s="25">
        <v>0.5</v>
      </c>
      <c r="CU40" s="10"/>
      <c r="CV40" s="10">
        <v>0.8</v>
      </c>
      <c r="CW40" s="10"/>
      <c r="CX40" s="10">
        <v>0.8</v>
      </c>
      <c r="DB40" s="10"/>
      <c r="DC40" s="10">
        <v>0.8</v>
      </c>
      <c r="DD40" s="10"/>
      <c r="DE40" s="10">
        <v>0.8</v>
      </c>
      <c r="DI40" s="10"/>
      <c r="DJ40" s="25">
        <v>0.8</v>
      </c>
      <c r="DK40" s="10"/>
      <c r="DL40" s="25">
        <v>0.8</v>
      </c>
      <c r="DP40" s="10"/>
      <c r="DQ40" s="10">
        <v>1</v>
      </c>
      <c r="DR40" s="10"/>
      <c r="DS40" s="10">
        <v>1</v>
      </c>
    </row>
    <row r="41" spans="2:144">
      <c r="G41" s="10"/>
    </row>
    <row r="42" spans="2:144">
      <c r="B42" t="s">
        <v>27</v>
      </c>
      <c r="C42" t="s">
        <v>127</v>
      </c>
      <c r="D42" s="18">
        <v>45828</v>
      </c>
      <c r="E42" s="9">
        <v>5.5</v>
      </c>
      <c r="G42" s="10">
        <f>+SUM(G43:G53)</f>
        <v>1.0000000000000002</v>
      </c>
      <c r="I42" s="12">
        <f>+SUM(I43:I53)</f>
        <v>0</v>
      </c>
      <c r="J42" s="11">
        <f>+SUMPRODUCT(G43:G53,J43:J53)</f>
        <v>0</v>
      </c>
      <c r="K42" s="11">
        <f>+SUMPRODUCT(G43:G53,K43:K53)</f>
        <v>0</v>
      </c>
      <c r="L42" s="9"/>
      <c r="N42" s="12"/>
      <c r="U42" s="12"/>
      <c r="AB42" s="12"/>
      <c r="AI42" s="12"/>
      <c r="AP42" s="12"/>
      <c r="EC42" s="15" t="s">
        <v>153</v>
      </c>
      <c r="ED42" s="15"/>
    </row>
    <row r="43" spans="2:144" outlineLevel="1">
      <c r="B43" t="s">
        <v>28</v>
      </c>
      <c r="C43" t="s">
        <v>128</v>
      </c>
      <c r="E43" s="9"/>
      <c r="F43" t="s">
        <v>133</v>
      </c>
      <c r="G43" s="10">
        <f>100/11/100</f>
        <v>9.0909090909090912E-2</v>
      </c>
      <c r="I43" s="9">
        <f t="shared" ref="I43:I53" si="6">+SUMIF($N$3:$ZT$3,I$3,$N43:$ZT43)</f>
        <v>0</v>
      </c>
      <c r="J43" s="11" cm="1">
        <f t="array" ref="J43">MAX(IF($N$3:$EH$3=$J$3,N43:EH43))</f>
        <v>0</v>
      </c>
      <c r="K43" s="11" cm="1">
        <f t="array" ref="K43">MAX(IF($N$3:$EH$3=$J$3,N43:EH43))</f>
        <v>0</v>
      </c>
      <c r="L43" s="9"/>
      <c r="O43" s="10"/>
      <c r="P43" s="25"/>
      <c r="Q43" s="10"/>
      <c r="R43" s="25"/>
      <c r="V43" s="10"/>
      <c r="W43" s="10">
        <v>0.5</v>
      </c>
      <c r="X43" s="10"/>
      <c r="Y43" s="10">
        <v>0.5</v>
      </c>
      <c r="AC43" s="10"/>
      <c r="AD43" s="10">
        <v>0.5</v>
      </c>
      <c r="AE43" s="10"/>
      <c r="AF43" s="10">
        <v>0.5</v>
      </c>
      <c r="AJ43" s="10"/>
      <c r="AK43" s="25">
        <v>0.5</v>
      </c>
      <c r="AL43" s="10"/>
      <c r="AM43" s="25">
        <v>0.5</v>
      </c>
      <c r="AQ43" s="10"/>
      <c r="AR43" s="10">
        <v>0.8</v>
      </c>
      <c r="AS43" s="10"/>
      <c r="AT43" s="10">
        <v>0.8</v>
      </c>
      <c r="AX43" s="10"/>
      <c r="AY43" s="10">
        <v>0.8</v>
      </c>
      <c r="AZ43" s="10"/>
      <c r="BA43" s="10">
        <v>0.8</v>
      </c>
      <c r="BE43" s="10"/>
      <c r="BF43" s="10">
        <v>0.8</v>
      </c>
      <c r="BG43" s="10"/>
      <c r="BH43" s="26">
        <v>0.8</v>
      </c>
      <c r="BL43" s="10"/>
      <c r="BM43" s="25">
        <v>0.8</v>
      </c>
      <c r="BN43" s="10"/>
      <c r="BO43" s="25">
        <v>0.8</v>
      </c>
      <c r="BS43" s="10"/>
      <c r="BT43" s="10">
        <v>1</v>
      </c>
      <c r="BU43" s="10"/>
      <c r="BV43" s="10">
        <v>1</v>
      </c>
      <c r="BZ43" s="10"/>
      <c r="CA43" s="10">
        <v>1</v>
      </c>
      <c r="CB43" s="10"/>
      <c r="CC43" s="10">
        <v>1</v>
      </c>
      <c r="CG43" s="10"/>
      <c r="CH43" s="10">
        <v>1</v>
      </c>
      <c r="CI43" s="10"/>
      <c r="CJ43" s="10">
        <v>1</v>
      </c>
      <c r="CN43" s="10"/>
      <c r="CO43" s="10">
        <v>1</v>
      </c>
      <c r="CP43" s="10"/>
      <c r="CQ43" s="10">
        <v>1</v>
      </c>
      <c r="CU43" s="10"/>
      <c r="CV43" s="10">
        <v>1</v>
      </c>
      <c r="CW43" s="10"/>
      <c r="CX43" s="10">
        <v>1</v>
      </c>
      <c r="DB43" s="10"/>
      <c r="DC43" s="10">
        <v>1</v>
      </c>
      <c r="DD43" s="10"/>
      <c r="DE43" s="10">
        <v>1</v>
      </c>
      <c r="DI43" s="28"/>
      <c r="DJ43" s="29">
        <v>1</v>
      </c>
      <c r="DK43" s="29"/>
      <c r="DL43" s="30">
        <v>1</v>
      </c>
      <c r="DP43" s="10"/>
      <c r="DQ43" s="10"/>
      <c r="DR43" s="10"/>
      <c r="DS43" s="10"/>
      <c r="DW43" s="10"/>
      <c r="DX43" s="10"/>
      <c r="DY43" s="10"/>
      <c r="DZ43" s="10"/>
      <c r="ED43" s="10"/>
      <c r="EE43" s="10"/>
      <c r="EF43" s="10"/>
      <c r="EG43" s="10"/>
      <c r="EK43" s="10"/>
      <c r="EL43" s="10"/>
      <c r="EM43" s="10"/>
      <c r="EN43" s="10"/>
    </row>
    <row r="44" spans="2:144" outlineLevel="1">
      <c r="B44" t="s">
        <v>28</v>
      </c>
      <c r="C44" t="s">
        <v>128</v>
      </c>
      <c r="E44" s="9"/>
      <c r="F44" t="s">
        <v>134</v>
      </c>
      <c r="G44" s="10">
        <f t="shared" ref="G44:G53" si="7">100/11/100</f>
        <v>9.0909090909090912E-2</v>
      </c>
      <c r="I44" s="9">
        <f t="shared" si="6"/>
        <v>0</v>
      </c>
      <c r="J44" s="11" cm="1">
        <f t="array" ref="J44">MAX(IF($N$3:$EH$3=$J$3,N44:EH44))</f>
        <v>0</v>
      </c>
      <c r="K44" s="11" cm="1">
        <f t="array" ref="K44">MAX(IF($N$3:$EH$3=$J$3,N44:EH44))</f>
        <v>0</v>
      </c>
      <c r="L44" s="9"/>
      <c r="O44" s="10"/>
      <c r="P44" s="25"/>
      <c r="Q44" s="10"/>
      <c r="R44" s="25"/>
      <c r="V44" s="10"/>
      <c r="W44" s="10">
        <v>0.5</v>
      </c>
      <c r="X44" s="10"/>
      <c r="Y44" s="10">
        <v>0.5</v>
      </c>
      <c r="AC44" s="10"/>
      <c r="AD44" s="10">
        <v>0.5</v>
      </c>
      <c r="AE44" s="10"/>
      <c r="AF44" s="10">
        <v>0.5</v>
      </c>
      <c r="AJ44" s="10"/>
      <c r="AK44" s="25">
        <v>0.5</v>
      </c>
      <c r="AL44" s="10"/>
      <c r="AM44" s="25">
        <v>0.5</v>
      </c>
      <c r="AQ44" s="10"/>
      <c r="AR44" s="10">
        <v>0.8</v>
      </c>
      <c r="AS44" s="10"/>
      <c r="AT44" s="10">
        <v>0.8</v>
      </c>
      <c r="AX44" s="10"/>
      <c r="AY44" s="10">
        <v>0.8</v>
      </c>
      <c r="AZ44" s="10"/>
      <c r="BA44" s="10">
        <v>0.8</v>
      </c>
      <c r="BE44" s="10"/>
      <c r="BF44" s="10">
        <v>0.8</v>
      </c>
      <c r="BG44" s="10"/>
      <c r="BH44" s="26">
        <v>0.8</v>
      </c>
      <c r="BL44" s="10"/>
      <c r="BM44" s="10">
        <v>0.8</v>
      </c>
      <c r="BN44" s="10"/>
      <c r="BO44" s="10">
        <v>0.8</v>
      </c>
      <c r="BS44" s="10"/>
      <c r="BT44" s="25">
        <v>0.8</v>
      </c>
      <c r="BU44" s="10"/>
      <c r="BV44" s="25">
        <v>0.8</v>
      </c>
      <c r="BZ44" s="10"/>
      <c r="CA44" s="10">
        <v>1</v>
      </c>
      <c r="CB44" s="10"/>
      <c r="CC44" s="10">
        <v>1</v>
      </c>
      <c r="CG44" s="10"/>
      <c r="CH44" s="10">
        <v>1</v>
      </c>
      <c r="CI44" s="10"/>
      <c r="CJ44" s="10">
        <v>1</v>
      </c>
      <c r="CN44" s="10"/>
      <c r="CO44" s="10">
        <v>1</v>
      </c>
      <c r="CP44" s="10"/>
      <c r="CQ44" s="10">
        <v>1</v>
      </c>
      <c r="CU44" s="10"/>
      <c r="CV44" s="10">
        <v>1</v>
      </c>
      <c r="CW44" s="10"/>
      <c r="CX44" s="10">
        <v>1</v>
      </c>
      <c r="DB44" s="10"/>
      <c r="DC44" s="10">
        <v>1</v>
      </c>
      <c r="DD44" s="10"/>
      <c r="DE44" s="10">
        <v>1</v>
      </c>
      <c r="DI44" s="31"/>
      <c r="DJ44" s="10">
        <v>1</v>
      </c>
      <c r="DK44" s="10"/>
      <c r="DL44" s="32">
        <v>1</v>
      </c>
      <c r="DP44" s="10"/>
      <c r="DQ44" s="10"/>
      <c r="DR44" s="10"/>
      <c r="DS44" s="10"/>
      <c r="DW44" s="10"/>
      <c r="DX44" s="10"/>
      <c r="DY44" s="10"/>
      <c r="DZ44" s="10"/>
      <c r="ED44" s="10"/>
      <c r="EE44" s="10"/>
      <c r="EF44" s="10"/>
      <c r="EG44" s="10"/>
      <c r="EK44" s="10"/>
      <c r="EL44" s="10"/>
      <c r="EM44" s="10"/>
      <c r="EN44" s="10"/>
    </row>
    <row r="45" spans="2:144" outlineLevel="1">
      <c r="B45" t="s">
        <v>28</v>
      </c>
      <c r="C45" t="s">
        <v>128</v>
      </c>
      <c r="E45" s="9"/>
      <c r="F45" t="s">
        <v>135</v>
      </c>
      <c r="G45" s="10">
        <f t="shared" si="7"/>
        <v>9.0909090909090912E-2</v>
      </c>
      <c r="I45" s="9">
        <f t="shared" si="6"/>
        <v>0</v>
      </c>
      <c r="J45" s="11" cm="1">
        <f t="array" ref="J45">MAX(IF($N$3:$EH$3=$J$3,N45:EH45))</f>
        <v>0</v>
      </c>
      <c r="K45" s="11" cm="1">
        <f t="array" ref="K45">MAX(IF($N$3:$EH$3=$J$3,N45:EH45))</f>
        <v>0</v>
      </c>
      <c r="L45" s="9"/>
      <c r="O45" s="10"/>
      <c r="P45" s="10"/>
      <c r="Q45" s="10"/>
      <c r="R45" s="10"/>
      <c r="V45" s="10"/>
      <c r="W45" s="25"/>
      <c r="X45" s="10"/>
      <c r="Y45" s="25"/>
      <c r="AC45" s="10"/>
      <c r="AD45" s="10">
        <v>0.5</v>
      </c>
      <c r="AE45" s="10"/>
      <c r="AF45" s="10">
        <v>0.5</v>
      </c>
      <c r="AJ45" s="10"/>
      <c r="AK45" s="10">
        <v>0.5</v>
      </c>
      <c r="AL45" s="10"/>
      <c r="AM45" s="10">
        <v>0.5</v>
      </c>
      <c r="AQ45" s="10"/>
      <c r="AR45" s="25">
        <v>0.5</v>
      </c>
      <c r="AS45" s="10"/>
      <c r="AT45" s="25">
        <v>0.5</v>
      </c>
      <c r="AX45" s="10"/>
      <c r="AY45" s="10">
        <v>0.8</v>
      </c>
      <c r="AZ45" s="10"/>
      <c r="BA45" s="10">
        <v>0.8</v>
      </c>
      <c r="BE45" s="10"/>
      <c r="BF45" s="10">
        <v>0.8</v>
      </c>
      <c r="BG45" s="10"/>
      <c r="BH45" s="26">
        <v>0.8</v>
      </c>
      <c r="BL45" s="10"/>
      <c r="BM45" s="10">
        <v>0.8</v>
      </c>
      <c r="BN45" s="10"/>
      <c r="BO45" s="10">
        <v>0.8</v>
      </c>
      <c r="BS45" s="10"/>
      <c r="BT45" s="10">
        <v>0.8</v>
      </c>
      <c r="BU45" s="10"/>
      <c r="BV45" s="10">
        <v>0.8</v>
      </c>
      <c r="BZ45" s="10"/>
      <c r="CA45" s="25">
        <v>0.8</v>
      </c>
      <c r="CB45" s="10"/>
      <c r="CC45" s="25">
        <v>0.8</v>
      </c>
      <c r="CG45" s="10"/>
      <c r="CH45" s="10">
        <v>1</v>
      </c>
      <c r="CI45" s="10"/>
      <c r="CJ45" s="10">
        <v>1</v>
      </c>
      <c r="CN45" s="10"/>
      <c r="CO45" s="10">
        <v>1</v>
      </c>
      <c r="CP45" s="10"/>
      <c r="CQ45" s="10">
        <v>1</v>
      </c>
      <c r="CU45" s="10"/>
      <c r="CV45" s="10">
        <v>1</v>
      </c>
      <c r="CW45" s="10"/>
      <c r="CX45" s="10">
        <v>1</v>
      </c>
      <c r="DB45" s="10"/>
      <c r="DC45" s="10">
        <v>1</v>
      </c>
      <c r="DD45" s="10"/>
      <c r="DE45" s="10">
        <v>1</v>
      </c>
      <c r="DI45" s="31"/>
      <c r="DJ45" s="10">
        <v>1</v>
      </c>
      <c r="DK45" s="10"/>
      <c r="DL45" s="32">
        <v>1</v>
      </c>
      <c r="DP45" s="10"/>
      <c r="DQ45" s="10"/>
      <c r="DR45" s="10"/>
      <c r="DS45" s="10"/>
      <c r="DW45" s="10"/>
      <c r="DX45" s="10"/>
      <c r="DY45" s="10"/>
      <c r="DZ45" s="10"/>
      <c r="ED45" s="10"/>
      <c r="EE45" s="10"/>
      <c r="EF45" s="10"/>
      <c r="EG45" s="10"/>
      <c r="EK45" s="10"/>
      <c r="EL45" s="10"/>
      <c r="EM45" s="10"/>
      <c r="EN45" s="10"/>
    </row>
    <row r="46" spans="2:144" outlineLevel="1">
      <c r="B46" t="s">
        <v>28</v>
      </c>
      <c r="C46" t="s">
        <v>128</v>
      </c>
      <c r="E46" s="9"/>
      <c r="F46" t="s">
        <v>136</v>
      </c>
      <c r="G46" s="10">
        <f t="shared" si="7"/>
        <v>9.0909090909090912E-2</v>
      </c>
      <c r="I46" s="9">
        <f t="shared" si="6"/>
        <v>0</v>
      </c>
      <c r="J46" s="11" cm="1">
        <f t="array" ref="J46">MAX(IF($N$3:$EH$3=$J$3,N46:EH46))</f>
        <v>0</v>
      </c>
      <c r="K46" s="11" cm="1">
        <f t="array" ref="K46">MAX(IF($N$3:$EH$3=$J$3,N46:EH46))</f>
        <v>0</v>
      </c>
      <c r="L46" s="9"/>
      <c r="O46" s="10"/>
      <c r="P46" s="10"/>
      <c r="Q46" s="10"/>
      <c r="R46" s="10"/>
      <c r="V46" s="10"/>
      <c r="W46" s="25"/>
      <c r="X46" s="10"/>
      <c r="Y46" s="25"/>
      <c r="AC46" s="10"/>
      <c r="AD46" s="10">
        <v>0.5</v>
      </c>
      <c r="AE46" s="10"/>
      <c r="AF46" s="10">
        <v>0.5</v>
      </c>
      <c r="AJ46" s="10"/>
      <c r="AK46" s="10">
        <v>0.5</v>
      </c>
      <c r="AL46" s="10"/>
      <c r="AM46" s="10">
        <v>0.5</v>
      </c>
      <c r="AQ46" s="10"/>
      <c r="AR46" s="10">
        <v>0.5</v>
      </c>
      <c r="AS46" s="10"/>
      <c r="AT46" s="10">
        <v>0.5</v>
      </c>
      <c r="AX46" s="10"/>
      <c r="AY46" s="25">
        <v>0.5</v>
      </c>
      <c r="AZ46" s="10"/>
      <c r="BA46" s="25">
        <v>0.5</v>
      </c>
      <c r="BE46" s="10"/>
      <c r="BF46" s="10">
        <v>0.8</v>
      </c>
      <c r="BG46" s="10"/>
      <c r="BH46" s="10">
        <v>0.8</v>
      </c>
      <c r="BL46" s="10"/>
      <c r="BM46" s="10">
        <v>0.8</v>
      </c>
      <c r="BN46" s="10"/>
      <c r="BO46" s="10">
        <v>0.8</v>
      </c>
      <c r="BS46" s="10"/>
      <c r="BT46" s="10">
        <v>0.8</v>
      </c>
      <c r="BU46" s="10"/>
      <c r="BV46" s="10">
        <v>0.8</v>
      </c>
      <c r="BZ46" s="10"/>
      <c r="CA46" s="10">
        <v>0.8</v>
      </c>
      <c r="CB46" s="10"/>
      <c r="CC46" s="10">
        <v>0.8</v>
      </c>
      <c r="CG46" s="10"/>
      <c r="CH46" s="25">
        <v>0.8</v>
      </c>
      <c r="CI46" s="10"/>
      <c r="CJ46" s="25">
        <v>0.8</v>
      </c>
      <c r="CN46" s="10"/>
      <c r="CO46" s="10">
        <v>1</v>
      </c>
      <c r="CP46" s="10"/>
      <c r="CQ46" s="10">
        <v>1</v>
      </c>
      <c r="CU46" s="10"/>
      <c r="CV46" s="10">
        <v>1</v>
      </c>
      <c r="CW46" s="10"/>
      <c r="CX46" s="10">
        <v>1</v>
      </c>
      <c r="DB46" s="10"/>
      <c r="DC46" s="10">
        <v>1</v>
      </c>
      <c r="DD46" s="10"/>
      <c r="DE46" s="10">
        <v>1</v>
      </c>
      <c r="DI46" s="31"/>
      <c r="DJ46" s="10">
        <v>1</v>
      </c>
      <c r="DK46" s="10"/>
      <c r="DL46" s="32">
        <v>1</v>
      </c>
      <c r="DP46" s="10"/>
      <c r="DQ46" s="10"/>
      <c r="DR46" s="10"/>
      <c r="DS46" s="10"/>
      <c r="DW46" s="10"/>
      <c r="DX46" s="10"/>
      <c r="DY46" s="10"/>
      <c r="DZ46" s="10"/>
      <c r="ED46" s="10"/>
      <c r="EE46" s="10"/>
      <c r="EF46" s="10"/>
      <c r="EG46" s="10"/>
      <c r="EK46" s="10"/>
      <c r="EL46" s="10"/>
      <c r="EM46" s="10"/>
      <c r="EN46" s="10"/>
    </row>
    <row r="47" spans="2:144" outlineLevel="1">
      <c r="B47" t="s">
        <v>28</v>
      </c>
      <c r="C47" t="s">
        <v>128</v>
      </c>
      <c r="E47" s="9"/>
      <c r="F47" t="s">
        <v>137</v>
      </c>
      <c r="G47" s="10">
        <f t="shared" si="7"/>
        <v>9.0909090909090912E-2</v>
      </c>
      <c r="I47" s="9">
        <f t="shared" si="6"/>
        <v>0</v>
      </c>
      <c r="J47" s="11" cm="1">
        <f t="array" ref="J47">MAX(IF($N$3:$EH$3=$J$3,N47:EH47))</f>
        <v>0</v>
      </c>
      <c r="K47" s="11" cm="1">
        <f t="array" ref="K47">MAX(IF($N$3:$EH$3=$J$3,N47:EH47))</f>
        <v>0</v>
      </c>
      <c r="L47" s="9"/>
      <c r="O47" s="10"/>
      <c r="P47" s="10"/>
      <c r="Q47" s="10"/>
      <c r="R47" s="10"/>
      <c r="V47" s="10"/>
      <c r="W47" s="10"/>
      <c r="X47" s="10"/>
      <c r="Y47" s="10"/>
      <c r="AC47" s="10"/>
      <c r="AD47" s="25"/>
      <c r="AE47" s="10"/>
      <c r="AF47" s="25"/>
      <c r="AJ47" s="10"/>
      <c r="AK47" s="10">
        <v>0.5</v>
      </c>
      <c r="AL47" s="10"/>
      <c r="AM47" s="10">
        <v>0.5</v>
      </c>
      <c r="AQ47" s="10"/>
      <c r="AR47" s="10">
        <v>0.5</v>
      </c>
      <c r="AS47" s="10"/>
      <c r="AT47" s="10">
        <v>0.5</v>
      </c>
      <c r="AX47" s="10"/>
      <c r="AY47" s="10">
        <v>0.5</v>
      </c>
      <c r="AZ47" s="10"/>
      <c r="BA47" s="10">
        <v>0.5</v>
      </c>
      <c r="BE47" s="10"/>
      <c r="BF47" s="25">
        <v>0.5</v>
      </c>
      <c r="BG47" s="10"/>
      <c r="BH47" s="27">
        <v>0.5</v>
      </c>
      <c r="BL47" s="10"/>
      <c r="BM47" s="10">
        <v>0.8</v>
      </c>
      <c r="BN47" s="10"/>
      <c r="BO47" s="10">
        <v>0.8</v>
      </c>
      <c r="BS47" s="10"/>
      <c r="BT47" s="10">
        <v>0.8</v>
      </c>
      <c r="BU47" s="10"/>
      <c r="BV47" s="10">
        <v>0.8</v>
      </c>
      <c r="BZ47" s="10"/>
      <c r="CA47" s="10">
        <v>0.8</v>
      </c>
      <c r="CB47" s="10"/>
      <c r="CC47" s="10">
        <v>0.8</v>
      </c>
      <c r="CG47" s="10"/>
      <c r="CH47" s="10">
        <v>0.8</v>
      </c>
      <c r="CI47" s="10"/>
      <c r="CJ47" s="10">
        <v>0.8</v>
      </c>
      <c r="CN47" s="10"/>
      <c r="CO47" s="25">
        <v>0.8</v>
      </c>
      <c r="CP47" s="10"/>
      <c r="CQ47" s="25">
        <v>0.8</v>
      </c>
      <c r="CU47" s="10"/>
      <c r="CV47" s="10">
        <v>1</v>
      </c>
      <c r="CW47" s="10"/>
      <c r="CX47" s="10">
        <v>1</v>
      </c>
      <c r="DB47" s="10"/>
      <c r="DC47" s="10">
        <v>1</v>
      </c>
      <c r="DD47" s="10"/>
      <c r="DE47" s="10">
        <v>1</v>
      </c>
      <c r="DI47" s="31"/>
      <c r="DJ47" s="10">
        <v>1</v>
      </c>
      <c r="DK47" s="10"/>
      <c r="DL47" s="32">
        <v>1</v>
      </c>
      <c r="DP47" s="10"/>
      <c r="DQ47" s="10"/>
      <c r="DR47" s="10"/>
      <c r="DS47" s="10"/>
      <c r="DW47" s="10"/>
      <c r="DX47" s="10"/>
      <c r="DY47" s="10"/>
      <c r="DZ47" s="10"/>
      <c r="ED47" s="10"/>
      <c r="EE47" s="10"/>
      <c r="EF47" s="10"/>
      <c r="EG47" s="10"/>
      <c r="EK47" s="10"/>
      <c r="EL47" s="10"/>
      <c r="EM47" s="10"/>
      <c r="EN47" s="10"/>
    </row>
    <row r="48" spans="2:144" s="41" customFormat="1" outlineLevel="1">
      <c r="B48" s="41" t="s">
        <v>28</v>
      </c>
      <c r="C48" s="41" t="s">
        <v>128</v>
      </c>
      <c r="E48" s="42"/>
      <c r="F48" s="41" t="s">
        <v>138</v>
      </c>
      <c r="G48" s="43">
        <f t="shared" si="7"/>
        <v>9.0909090909090912E-2</v>
      </c>
      <c r="I48" s="42">
        <f t="shared" si="6"/>
        <v>0</v>
      </c>
      <c r="J48" s="44" cm="1">
        <f t="array" ref="J48">MAX(IF($N$3:$EH$3=$J$3,N48:EH48))</f>
        <v>0</v>
      </c>
      <c r="K48" s="44" cm="1">
        <f t="array" ref="K48">MAX(IF($N$3:$EH$3=$J$3,N48:EH48))</f>
        <v>0</v>
      </c>
      <c r="L48" s="42"/>
      <c r="O48" s="43"/>
      <c r="P48" s="43"/>
      <c r="Q48" s="43"/>
      <c r="R48" s="43"/>
      <c r="V48" s="43"/>
      <c r="W48" s="43"/>
      <c r="X48" s="43"/>
      <c r="Y48" s="43"/>
      <c r="AC48" s="43"/>
      <c r="AD48" s="45"/>
      <c r="AE48" s="43"/>
      <c r="AF48" s="45"/>
      <c r="AJ48" s="43"/>
      <c r="AK48" s="43">
        <v>0.5</v>
      </c>
      <c r="AL48" s="43"/>
      <c r="AM48" s="43">
        <v>0.5</v>
      </c>
      <c r="AQ48" s="43"/>
      <c r="AR48" s="43">
        <v>0.5</v>
      </c>
      <c r="AS48" s="43"/>
      <c r="AT48" s="43">
        <v>0.5</v>
      </c>
      <c r="AX48" s="43"/>
      <c r="AY48" s="43">
        <v>0.5</v>
      </c>
      <c r="AZ48" s="43"/>
      <c r="BA48" s="43">
        <v>0.5</v>
      </c>
      <c r="BE48" s="43"/>
      <c r="BF48" s="46">
        <v>0.5</v>
      </c>
      <c r="BG48" s="43"/>
      <c r="BH48" s="47">
        <v>0.5</v>
      </c>
      <c r="BL48" s="43"/>
      <c r="BM48" s="45">
        <v>0.5</v>
      </c>
      <c r="BN48" s="43"/>
      <c r="BO48" s="45">
        <v>0.5</v>
      </c>
      <c r="BS48" s="43"/>
      <c r="BT48" s="43">
        <v>0.8</v>
      </c>
      <c r="BU48" s="43"/>
      <c r="BV48" s="43">
        <v>0.8</v>
      </c>
      <c r="BZ48" s="43"/>
      <c r="CA48" s="43">
        <v>0.8</v>
      </c>
      <c r="CB48" s="43"/>
      <c r="CC48" s="43">
        <v>0.8</v>
      </c>
      <c r="CG48" s="43"/>
      <c r="CH48" s="43">
        <v>0.8</v>
      </c>
      <c r="CI48" s="43"/>
      <c r="CJ48" s="43">
        <v>0.8</v>
      </c>
      <c r="CN48" s="43"/>
      <c r="CO48" s="45">
        <v>0.8</v>
      </c>
      <c r="CP48" s="43"/>
      <c r="CQ48" s="45">
        <v>0.8</v>
      </c>
      <c r="CU48" s="43"/>
      <c r="CV48" s="43">
        <v>1</v>
      </c>
      <c r="CW48" s="43"/>
      <c r="CX48" s="43">
        <v>1</v>
      </c>
      <c r="DB48" s="43"/>
      <c r="DC48" s="43">
        <v>1</v>
      </c>
      <c r="DD48" s="43"/>
      <c r="DE48" s="43">
        <v>1</v>
      </c>
      <c r="DI48" s="43"/>
      <c r="DJ48" s="43">
        <v>1</v>
      </c>
      <c r="DK48" s="43"/>
      <c r="DL48" s="43">
        <v>1</v>
      </c>
      <c r="DP48" s="43"/>
      <c r="DQ48" s="43"/>
      <c r="DR48" s="43"/>
      <c r="DS48" s="43"/>
      <c r="DW48" s="43"/>
      <c r="DX48" s="43"/>
      <c r="DY48" s="43"/>
      <c r="DZ48" s="43"/>
      <c r="ED48" s="43"/>
      <c r="EE48" s="43"/>
      <c r="EF48" s="43"/>
      <c r="EG48" s="43"/>
      <c r="EK48" s="43"/>
      <c r="EL48" s="43"/>
      <c r="EM48" s="43"/>
      <c r="EN48" s="43"/>
    </row>
    <row r="49" spans="2:144" outlineLevel="1">
      <c r="B49" t="s">
        <v>28</v>
      </c>
      <c r="C49" t="s">
        <v>129</v>
      </c>
      <c r="E49" s="9"/>
      <c r="F49" t="s">
        <v>139</v>
      </c>
      <c r="G49" s="10">
        <f t="shared" si="7"/>
        <v>9.0909090909090912E-2</v>
      </c>
      <c r="I49" s="9">
        <f t="shared" si="6"/>
        <v>0</v>
      </c>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25"/>
      <c r="AL49" s="10"/>
      <c r="AM49" s="25"/>
      <c r="AQ49" s="10"/>
      <c r="AR49" s="10">
        <v>0.5</v>
      </c>
      <c r="AS49" s="10"/>
      <c r="AT49" s="10">
        <v>0.5</v>
      </c>
      <c r="AX49" s="10"/>
      <c r="AY49" s="10">
        <v>0.5</v>
      </c>
      <c r="AZ49" s="10"/>
      <c r="BA49" s="10">
        <v>0.5</v>
      </c>
      <c r="BE49" s="10"/>
      <c r="BF49" s="10">
        <v>0.5</v>
      </c>
      <c r="BG49" s="10"/>
      <c r="BH49" s="26">
        <v>0.5</v>
      </c>
      <c r="BL49" s="10"/>
      <c r="BM49" s="10">
        <v>0.5</v>
      </c>
      <c r="BN49" s="10"/>
      <c r="BO49" s="10">
        <v>0.5</v>
      </c>
      <c r="BS49" s="10"/>
      <c r="BT49" s="37">
        <v>0.5</v>
      </c>
      <c r="BU49" s="37"/>
      <c r="BV49" s="37">
        <v>0.5</v>
      </c>
      <c r="BZ49" s="10"/>
      <c r="CA49" s="27">
        <v>0.5</v>
      </c>
      <c r="CB49" s="10"/>
      <c r="CC49" s="27">
        <v>0.5</v>
      </c>
      <c r="CG49" s="10"/>
      <c r="CH49" s="10">
        <v>0.8</v>
      </c>
      <c r="CI49" s="10"/>
      <c r="CJ49" s="10">
        <v>0.8</v>
      </c>
      <c r="CN49" s="10"/>
      <c r="CO49" s="10">
        <v>0.8</v>
      </c>
      <c r="CP49" s="10"/>
      <c r="CQ49" s="10">
        <v>0.8</v>
      </c>
      <c r="CU49" s="10"/>
      <c r="CV49" s="25">
        <v>0.8</v>
      </c>
      <c r="CW49" s="10"/>
      <c r="CX49" s="25">
        <v>0.8</v>
      </c>
      <c r="DB49" s="10"/>
      <c r="DC49" s="10">
        <v>1</v>
      </c>
      <c r="DD49" s="10"/>
      <c r="DE49" s="10">
        <v>1</v>
      </c>
      <c r="DI49" s="31"/>
      <c r="DJ49" s="10">
        <v>1</v>
      </c>
      <c r="DK49" s="10"/>
      <c r="DL49" s="32">
        <v>1</v>
      </c>
      <c r="DP49" s="10"/>
      <c r="DQ49" s="10"/>
      <c r="DR49" s="10"/>
      <c r="DS49" s="10"/>
      <c r="DW49" s="10"/>
      <c r="DX49" s="10"/>
      <c r="DY49" s="10"/>
      <c r="DZ49" s="10"/>
      <c r="ED49" s="10"/>
      <c r="EE49" s="10"/>
      <c r="EF49" s="10"/>
      <c r="EG49" s="10"/>
      <c r="EK49" s="10"/>
      <c r="EL49" s="10"/>
      <c r="EM49" s="10"/>
      <c r="EN49" s="10"/>
    </row>
    <row r="50" spans="2:144" outlineLevel="1">
      <c r="B50" t="s">
        <v>28</v>
      </c>
      <c r="C50" t="s">
        <v>129</v>
      </c>
      <c r="E50" s="9"/>
      <c r="F50" t="s">
        <v>140</v>
      </c>
      <c r="G50" s="10">
        <f t="shared" si="7"/>
        <v>9.0909090909090912E-2</v>
      </c>
      <c r="I50" s="9">
        <f t="shared" si="6"/>
        <v>0</v>
      </c>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c r="AL50" s="10"/>
      <c r="AM50" s="10"/>
      <c r="AQ50" s="10"/>
      <c r="AR50" s="25"/>
      <c r="AS50" s="10"/>
      <c r="AT50" s="25"/>
      <c r="AX50" s="10"/>
      <c r="AY50" s="10">
        <v>0.5</v>
      </c>
      <c r="AZ50" s="10"/>
      <c r="BA50" s="10">
        <v>0.5</v>
      </c>
      <c r="BE50" s="10"/>
      <c r="BF50" s="10">
        <v>0.5</v>
      </c>
      <c r="BG50" s="10"/>
      <c r="BH50" s="26">
        <v>0.5</v>
      </c>
      <c r="BL50" s="10"/>
      <c r="BM50" s="10">
        <v>0.5</v>
      </c>
      <c r="BN50" s="10"/>
      <c r="BO50" s="10">
        <v>0.5</v>
      </c>
      <c r="BS50" s="10"/>
      <c r="BT50" s="10">
        <v>0.5</v>
      </c>
      <c r="BU50" s="10"/>
      <c r="BV50" s="10">
        <v>0.5</v>
      </c>
      <c r="BZ50" s="10"/>
      <c r="CA50" s="25">
        <v>0.5</v>
      </c>
      <c r="CB50" s="10"/>
      <c r="CC50" s="25">
        <v>0.5</v>
      </c>
      <c r="CG50" s="10"/>
      <c r="CH50" s="10">
        <v>0.8</v>
      </c>
      <c r="CI50" s="10"/>
      <c r="CJ50" s="10">
        <v>0.8</v>
      </c>
      <c r="CN50" s="10"/>
      <c r="CO50" s="10">
        <v>0.8</v>
      </c>
      <c r="CP50" s="10"/>
      <c r="CQ50" s="10">
        <v>0.8</v>
      </c>
      <c r="CU50" s="10"/>
      <c r="CV50" s="37">
        <v>0.8</v>
      </c>
      <c r="CW50" s="10"/>
      <c r="CX50" s="37">
        <v>0.8</v>
      </c>
      <c r="DB50" s="10"/>
      <c r="DC50" s="25">
        <v>0.8</v>
      </c>
      <c r="DD50" s="10"/>
      <c r="DE50" s="25">
        <v>0.8</v>
      </c>
      <c r="DI50" s="31"/>
      <c r="DJ50" s="10">
        <v>1</v>
      </c>
      <c r="DK50" s="10"/>
      <c r="DL50" s="32">
        <v>1</v>
      </c>
      <c r="DP50" s="10"/>
      <c r="DQ50" s="10"/>
      <c r="DR50" s="10"/>
      <c r="DS50" s="10"/>
      <c r="DW50" s="10"/>
      <c r="DX50" s="10"/>
      <c r="DY50" s="10"/>
      <c r="DZ50" s="10"/>
      <c r="ED50" s="10"/>
      <c r="EE50" s="10"/>
      <c r="EF50" s="10"/>
      <c r="EG50" s="10"/>
      <c r="EK50" s="10"/>
      <c r="EL50" s="10"/>
      <c r="EM50" s="10"/>
      <c r="EN50" s="10"/>
    </row>
    <row r="51" spans="2:144" outlineLevel="1">
      <c r="B51" t="s">
        <v>28</v>
      </c>
      <c r="C51" t="s">
        <v>129</v>
      </c>
      <c r="E51" s="9"/>
      <c r="F51" t="s">
        <v>141</v>
      </c>
      <c r="G51" s="10">
        <f t="shared" si="7"/>
        <v>9.0909090909090912E-2</v>
      </c>
      <c r="I51" s="9">
        <f t="shared" si="6"/>
        <v>0</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c r="AS51" s="10"/>
      <c r="AT51" s="10"/>
      <c r="AX51" s="10"/>
      <c r="AY51" s="25"/>
      <c r="AZ51" s="10"/>
      <c r="BA51" s="25"/>
      <c r="BE51" s="10"/>
      <c r="BF51" s="26">
        <v>0.5</v>
      </c>
      <c r="BG51" s="10"/>
      <c r="BH51" s="26">
        <v>0.5</v>
      </c>
      <c r="BL51" s="10"/>
      <c r="BM51" s="26">
        <v>0.5</v>
      </c>
      <c r="BN51" s="10"/>
      <c r="BO51" s="26">
        <v>0.5</v>
      </c>
      <c r="BS51" s="10"/>
      <c r="BT51" s="26">
        <v>0.5</v>
      </c>
      <c r="BU51" s="10"/>
      <c r="BV51" s="26">
        <v>0.5</v>
      </c>
      <c r="BZ51" s="10"/>
      <c r="CA51" s="26">
        <v>0.5</v>
      </c>
      <c r="CB51" s="10"/>
      <c r="CC51" s="26">
        <v>0.5</v>
      </c>
      <c r="CG51" s="10"/>
      <c r="CH51" s="27">
        <v>0.5</v>
      </c>
      <c r="CI51" s="10"/>
      <c r="CJ51" s="27">
        <v>0.5</v>
      </c>
      <c r="CN51" s="10"/>
      <c r="CO51" s="10">
        <v>0.8</v>
      </c>
      <c r="CP51" s="10"/>
      <c r="CQ51" s="10">
        <v>0.8</v>
      </c>
      <c r="CU51" s="10"/>
      <c r="CV51" s="10">
        <v>0.8</v>
      </c>
      <c r="CW51" s="10"/>
      <c r="CX51" s="10">
        <v>0.8</v>
      </c>
      <c r="DB51" s="10"/>
      <c r="DC51" s="25">
        <v>0.8</v>
      </c>
      <c r="DD51" s="10"/>
      <c r="DE51" s="25">
        <v>0.8</v>
      </c>
      <c r="DI51" s="31"/>
      <c r="DJ51" s="10">
        <v>1</v>
      </c>
      <c r="DK51" s="10"/>
      <c r="DL51" s="32">
        <v>1</v>
      </c>
      <c r="DP51" s="10"/>
      <c r="DQ51" s="10"/>
      <c r="DR51" s="10"/>
      <c r="DS51" s="10"/>
      <c r="DW51" s="10"/>
      <c r="DX51" s="10"/>
      <c r="DY51" s="10"/>
      <c r="DZ51" s="10"/>
      <c r="ED51" s="10"/>
      <c r="EE51" s="10"/>
      <c r="EF51" s="10"/>
      <c r="EG51" s="10"/>
      <c r="EK51" s="10"/>
      <c r="EL51" s="10"/>
      <c r="EM51" s="10"/>
      <c r="EN51" s="10"/>
    </row>
    <row r="52" spans="2:144" outlineLevel="1">
      <c r="B52" t="s">
        <v>28</v>
      </c>
      <c r="C52" t="s">
        <v>129</v>
      </c>
      <c r="E52" s="9"/>
      <c r="F52" t="s">
        <v>142</v>
      </c>
      <c r="G52" s="10">
        <f t="shared" si="7"/>
        <v>9.0909090909090912E-2</v>
      </c>
      <c r="I52" s="9">
        <f t="shared" si="6"/>
        <v>0</v>
      </c>
      <c r="J52" s="11" cm="1">
        <f t="array" ref="J52">MAX(IF($N$3:$EH$3=$J$3,N52:EH52))</f>
        <v>0</v>
      </c>
      <c r="K52" s="11" cm="1">
        <f t="array" ref="K52">MAX(IF($N$3:$EH$3=$J$3,N52:EH52))</f>
        <v>0</v>
      </c>
      <c r="L52" s="9"/>
      <c r="O52" s="10"/>
      <c r="P52" s="10"/>
      <c r="Q52" s="10"/>
      <c r="R52" s="10"/>
      <c r="V52" s="10"/>
      <c r="W52" s="10"/>
      <c r="X52" s="10"/>
      <c r="Y52" s="10"/>
      <c r="AC52" s="10"/>
      <c r="AD52" s="10"/>
      <c r="AE52" s="10"/>
      <c r="AF52" s="10"/>
      <c r="AJ52" s="10"/>
      <c r="AK52" s="10"/>
      <c r="AL52" s="10"/>
      <c r="AM52" s="10"/>
      <c r="AQ52" s="10"/>
      <c r="AR52" s="10"/>
      <c r="AS52" s="10"/>
      <c r="AT52" s="10"/>
      <c r="AX52" s="10"/>
      <c r="AY52" s="10"/>
      <c r="AZ52" s="10"/>
      <c r="BA52" s="10"/>
      <c r="BE52" s="10"/>
      <c r="BF52" s="25"/>
      <c r="BG52" s="10"/>
      <c r="BH52" s="25"/>
      <c r="BL52" s="10"/>
      <c r="BM52" s="37">
        <v>0.5</v>
      </c>
      <c r="BN52" s="10"/>
      <c r="BO52" s="37">
        <v>0.5</v>
      </c>
      <c r="BS52" s="10"/>
      <c r="BT52" s="26">
        <v>0.5</v>
      </c>
      <c r="BU52" s="10"/>
      <c r="BV52" s="26">
        <v>0.5</v>
      </c>
      <c r="BZ52" s="10"/>
      <c r="CA52" s="26">
        <v>0.5</v>
      </c>
      <c r="CB52" s="10"/>
      <c r="CC52" s="26">
        <v>0.5</v>
      </c>
      <c r="CG52" s="10"/>
      <c r="CH52" s="26">
        <v>0.5</v>
      </c>
      <c r="CI52" s="10"/>
      <c r="CJ52" s="26">
        <v>0.5</v>
      </c>
      <c r="CN52" s="10"/>
      <c r="CO52" s="27">
        <v>0.5</v>
      </c>
      <c r="CP52" s="10"/>
      <c r="CQ52" s="27">
        <v>0.5</v>
      </c>
      <c r="CU52" s="10"/>
      <c r="CV52" s="10">
        <v>0.8</v>
      </c>
      <c r="CW52" s="10"/>
      <c r="CX52" s="10">
        <v>0.8</v>
      </c>
      <c r="DB52" s="10"/>
      <c r="DC52" s="25">
        <v>0.8</v>
      </c>
      <c r="DD52" s="10"/>
      <c r="DE52" s="25">
        <v>0.8</v>
      </c>
      <c r="DI52" s="31"/>
      <c r="DJ52" s="10">
        <v>1</v>
      </c>
      <c r="DK52" s="10"/>
      <c r="DL52" s="32">
        <v>1</v>
      </c>
      <c r="DP52" s="10"/>
      <c r="DQ52" s="10"/>
      <c r="DR52" s="10"/>
      <c r="DS52" s="10"/>
      <c r="DW52" s="10"/>
      <c r="DX52" s="10"/>
      <c r="DY52" s="10"/>
      <c r="DZ52" s="10"/>
      <c r="ED52" s="10"/>
      <c r="EE52" s="10"/>
      <c r="EF52" s="10"/>
      <c r="EG52" s="10"/>
      <c r="EK52" s="10"/>
      <c r="EL52" s="10"/>
      <c r="EM52" s="10"/>
      <c r="EN52" s="10"/>
    </row>
    <row r="53" spans="2:144" outlineLevel="1">
      <c r="B53" t="s">
        <v>28</v>
      </c>
      <c r="C53" t="s">
        <v>129</v>
      </c>
      <c r="E53" s="9"/>
      <c r="F53" t="s">
        <v>143</v>
      </c>
      <c r="G53" s="10">
        <f t="shared" si="7"/>
        <v>9.0909090909090912E-2</v>
      </c>
      <c r="I53" s="9">
        <f t="shared" si="6"/>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c r="BG53" s="10"/>
      <c r="BH53" s="10"/>
      <c r="BL53" s="10"/>
      <c r="BM53" s="37"/>
      <c r="BN53" s="37"/>
      <c r="BO53" s="37"/>
      <c r="BS53" s="10"/>
      <c r="BT53" s="27"/>
      <c r="BU53" s="10"/>
      <c r="BV53" s="27"/>
      <c r="BZ53" s="10"/>
      <c r="CA53" s="26">
        <v>0.5</v>
      </c>
      <c r="CB53" s="10"/>
      <c r="CC53" s="26">
        <v>0.5</v>
      </c>
      <c r="CG53" s="10"/>
      <c r="CH53" s="26">
        <v>0.5</v>
      </c>
      <c r="CI53" s="10"/>
      <c r="CJ53" s="26">
        <v>0.5</v>
      </c>
      <c r="CN53" s="10"/>
      <c r="CO53" s="39">
        <v>0.5</v>
      </c>
      <c r="CP53" s="10"/>
      <c r="CQ53" s="39">
        <v>0.5</v>
      </c>
      <c r="CU53" s="10"/>
      <c r="CV53" s="27">
        <v>0.5</v>
      </c>
      <c r="CW53" s="10"/>
      <c r="CX53" s="27">
        <v>0.5</v>
      </c>
      <c r="DB53" s="10"/>
      <c r="DC53" s="25">
        <v>0.8</v>
      </c>
      <c r="DD53" s="10"/>
      <c r="DE53" s="25">
        <v>0.8</v>
      </c>
      <c r="DI53" s="33"/>
      <c r="DJ53" s="34">
        <v>1</v>
      </c>
      <c r="DK53" s="34"/>
      <c r="DL53" s="35">
        <v>1</v>
      </c>
      <c r="DP53" s="10"/>
      <c r="DQ53" s="10"/>
      <c r="DR53" s="10"/>
      <c r="DS53" s="10"/>
      <c r="DW53" s="10"/>
      <c r="DX53" s="10"/>
      <c r="DY53" s="10"/>
      <c r="DZ53" s="10"/>
      <c r="ED53" s="10"/>
      <c r="EE53" s="10"/>
      <c r="EF53" s="10"/>
      <c r="EG53" s="10"/>
      <c r="EJ53" t="s">
        <v>151</v>
      </c>
      <c r="EK53" s="10"/>
      <c r="EL53" s="10"/>
      <c r="EM53" s="10"/>
      <c r="EN53" s="10"/>
    </row>
    <row r="54" spans="2:144">
      <c r="EJ54" t="s">
        <v>150</v>
      </c>
    </row>
    <row r="55" spans="2:144">
      <c r="B55" t="s">
        <v>27</v>
      </c>
      <c r="C55" t="s">
        <v>145</v>
      </c>
      <c r="D55" s="18">
        <v>45834</v>
      </c>
      <c r="E55" s="9">
        <v>2</v>
      </c>
      <c r="G55" s="10">
        <f>+SUM(G56:G67)</f>
        <v>1.0000000000000002</v>
      </c>
      <c r="I55" s="12">
        <f>+SUM(I56:I67)</f>
        <v>0</v>
      </c>
      <c r="J55" s="11">
        <f>+SUMPRODUCT(G56:G67,J56:J67)</f>
        <v>0</v>
      </c>
      <c r="K55" s="11">
        <f>+SUMPRODUCT(G56:G67,K56:K67)</f>
        <v>0</v>
      </c>
      <c r="L55" s="9"/>
      <c r="N55" s="12"/>
      <c r="U55" s="12"/>
      <c r="AB55" s="12"/>
      <c r="AI55" s="12"/>
      <c r="AP55" s="12"/>
      <c r="DP55" s="10"/>
      <c r="DQ55" s="10">
        <v>1</v>
      </c>
      <c r="DR55" s="10"/>
      <c r="DS55" s="10">
        <v>1</v>
      </c>
      <c r="EJ55" s="15" t="s">
        <v>152</v>
      </c>
      <c r="EK55" s="15"/>
    </row>
    <row r="56" spans="2:144" outlineLevel="1">
      <c r="B56" t="s">
        <v>28</v>
      </c>
      <c r="C56" t="s">
        <v>130</v>
      </c>
      <c r="E56" s="9"/>
      <c r="F56" t="s">
        <v>144</v>
      </c>
      <c r="G56" s="10">
        <f>100/12/100</f>
        <v>8.3333333333333343E-2</v>
      </c>
      <c r="I56" s="9">
        <f t="shared" ref="I56:I67" si="8">+SUMIF($N$3:$ZT$3,I$3,$N56:$ZT56)</f>
        <v>0</v>
      </c>
      <c r="J56" s="11" cm="1">
        <f t="array" ref="J56">MAX(IF($N$3:$EH$3=$J$3,N56:EH56))</f>
        <v>0</v>
      </c>
      <c r="K56" s="11" cm="1">
        <f t="array" ref="K56">MAX(IF($N$3:$EH$3=$J$3,N56:EH56))</f>
        <v>0</v>
      </c>
      <c r="L56" s="9"/>
      <c r="O56" s="10"/>
      <c r="P56" s="25"/>
      <c r="Q56" s="10"/>
      <c r="R56" s="25"/>
      <c r="V56" s="10"/>
      <c r="W56" s="10">
        <v>0.5</v>
      </c>
      <c r="X56" s="10"/>
      <c r="Y56" s="10">
        <v>0.5</v>
      </c>
      <c r="AC56" s="10"/>
      <c r="AD56" s="10">
        <v>0.5</v>
      </c>
      <c r="AE56" s="10"/>
      <c r="AF56" s="10">
        <v>0.5</v>
      </c>
      <c r="AJ56" s="10"/>
      <c r="AK56" s="25">
        <v>0.5</v>
      </c>
      <c r="AL56" s="10"/>
      <c r="AM56" s="25">
        <v>0.5</v>
      </c>
      <c r="AQ56" s="10"/>
      <c r="AR56" s="10">
        <v>0.8</v>
      </c>
      <c r="AS56" s="10"/>
      <c r="AT56" s="10">
        <v>0.8</v>
      </c>
      <c r="AX56" s="10"/>
      <c r="AY56" s="10">
        <v>0.8</v>
      </c>
      <c r="AZ56" s="10"/>
      <c r="BA56" s="10">
        <v>0.8</v>
      </c>
      <c r="BE56" s="10"/>
      <c r="BF56" s="10">
        <v>0.8</v>
      </c>
      <c r="BG56" s="10"/>
      <c r="BH56" s="10">
        <v>0.8</v>
      </c>
      <c r="BL56" s="10"/>
      <c r="BM56" s="10">
        <v>0.8</v>
      </c>
      <c r="BN56" s="10"/>
      <c r="BO56" s="10">
        <v>0.8</v>
      </c>
      <c r="BS56" s="10"/>
      <c r="BT56" s="25">
        <v>0.8</v>
      </c>
      <c r="BU56" s="10"/>
      <c r="BV56" s="25">
        <v>0.8</v>
      </c>
      <c r="BZ56" s="10"/>
      <c r="CA56" s="10">
        <v>1</v>
      </c>
      <c r="CB56" s="10"/>
      <c r="CC56" s="10">
        <v>1</v>
      </c>
      <c r="CG56" s="10"/>
      <c r="CH56" s="10">
        <v>1</v>
      </c>
      <c r="CI56" s="10"/>
      <c r="CJ56" s="10">
        <v>1</v>
      </c>
      <c r="CN56" s="10"/>
      <c r="CO56" s="10">
        <v>1</v>
      </c>
      <c r="CP56" s="10"/>
      <c r="CQ56" s="10">
        <v>1</v>
      </c>
      <c r="CU56" s="10"/>
      <c r="CV56" s="10">
        <v>1</v>
      </c>
      <c r="CW56" s="10"/>
      <c r="CX56" s="10">
        <v>1</v>
      </c>
      <c r="DB56" s="10"/>
      <c r="DC56" s="10">
        <v>1</v>
      </c>
      <c r="DD56" s="10"/>
      <c r="DE56" s="10">
        <v>1</v>
      </c>
      <c r="DI56" s="10"/>
      <c r="DJ56" s="10">
        <v>1</v>
      </c>
      <c r="DK56" s="10"/>
      <c r="DL56" s="10">
        <v>1</v>
      </c>
      <c r="DP56" s="10"/>
      <c r="DQ56" s="10">
        <v>1</v>
      </c>
      <c r="DR56" s="10"/>
      <c r="DS56" s="10">
        <v>1</v>
      </c>
      <c r="DW56" s="10"/>
      <c r="DX56" s="10"/>
      <c r="DY56" s="10"/>
      <c r="DZ56" s="10"/>
      <c r="ED56" s="10"/>
      <c r="EE56" s="10"/>
      <c r="EF56" s="10"/>
      <c r="EG56" s="10"/>
      <c r="EK56" s="10"/>
      <c r="EL56" s="10"/>
      <c r="EM56" s="10"/>
      <c r="EN56" s="10"/>
    </row>
    <row r="57" spans="2:144" outlineLevel="1">
      <c r="B57" t="s">
        <v>28</v>
      </c>
      <c r="C57" t="s">
        <v>130</v>
      </c>
      <c r="E57" s="9"/>
      <c r="F57" t="s">
        <v>131</v>
      </c>
      <c r="G57" s="10">
        <f t="shared" ref="G57:G67" si="9">100/12/100</f>
        <v>8.3333333333333343E-2</v>
      </c>
      <c r="I57" s="9">
        <f t="shared" si="8"/>
        <v>0</v>
      </c>
      <c r="J57" s="11" cm="1">
        <f t="array" ref="J57">MAX(IF($N$3:$EH$3=$J$3,N57:EH57))</f>
        <v>0</v>
      </c>
      <c r="K57" s="11" cm="1">
        <f t="array" ref="K57">MAX(IF($N$3:$EH$3=$J$3,N57:EH57))</f>
        <v>0</v>
      </c>
      <c r="L57" s="9"/>
      <c r="O57" s="10"/>
      <c r="P57" s="25"/>
      <c r="Q57" s="10"/>
      <c r="R57" s="25"/>
      <c r="V57" s="10"/>
      <c r="W57" s="10">
        <v>0.5</v>
      </c>
      <c r="X57" s="10"/>
      <c r="Y57" s="10">
        <v>0.5</v>
      </c>
      <c r="AC57" s="10"/>
      <c r="AD57" s="10">
        <v>0.5</v>
      </c>
      <c r="AE57" s="10"/>
      <c r="AF57" s="10">
        <v>0.5</v>
      </c>
      <c r="AJ57" s="10"/>
      <c r="AK57" s="10">
        <v>0.5</v>
      </c>
      <c r="AL57" s="10"/>
      <c r="AM57" s="10">
        <v>0.5</v>
      </c>
      <c r="AQ57" s="10"/>
      <c r="AR57" s="25">
        <v>0.5</v>
      </c>
      <c r="AS57" s="10"/>
      <c r="AT57" s="25">
        <v>0.5</v>
      </c>
      <c r="AX57" s="10"/>
      <c r="AY57" s="10">
        <v>0.8</v>
      </c>
      <c r="AZ57" s="10"/>
      <c r="BA57" s="10">
        <v>0.8</v>
      </c>
      <c r="BE57" s="10"/>
      <c r="BF57" s="10">
        <v>0.8</v>
      </c>
      <c r="BG57" s="10"/>
      <c r="BH57" s="10">
        <v>0.8</v>
      </c>
      <c r="BL57" s="10"/>
      <c r="BM57" s="10">
        <v>0.8</v>
      </c>
      <c r="BN57" s="10"/>
      <c r="BO57" s="10">
        <v>0.8</v>
      </c>
      <c r="BS57" s="10"/>
      <c r="BT57" s="10">
        <v>0.8</v>
      </c>
      <c r="BU57" s="10"/>
      <c r="BV57" s="10">
        <v>0.8</v>
      </c>
      <c r="BZ57" s="10"/>
      <c r="CA57" s="25">
        <v>0.8</v>
      </c>
      <c r="CB57" s="10"/>
      <c r="CC57" s="25">
        <v>0.8</v>
      </c>
      <c r="CG57" s="10"/>
      <c r="CH57" s="10">
        <v>1</v>
      </c>
      <c r="CI57" s="10"/>
      <c r="CJ57" s="10">
        <v>1</v>
      </c>
      <c r="CN57" s="10"/>
      <c r="CO57" s="10">
        <v>1</v>
      </c>
      <c r="CP57" s="10"/>
      <c r="CQ57" s="10">
        <v>1</v>
      </c>
      <c r="CU57" s="10"/>
      <c r="CV57" s="10">
        <v>1</v>
      </c>
      <c r="CW57" s="10"/>
      <c r="CX57" s="10">
        <v>1</v>
      </c>
      <c r="DB57" s="10"/>
      <c r="DC57" s="10">
        <v>1</v>
      </c>
      <c r="DD57" s="10"/>
      <c r="DE57" s="10">
        <v>1</v>
      </c>
      <c r="DI57" s="10"/>
      <c r="DJ57" s="10">
        <v>1</v>
      </c>
      <c r="DK57" s="10"/>
      <c r="DL57" s="10">
        <v>1</v>
      </c>
      <c r="DP57" s="10"/>
      <c r="DQ57" s="10">
        <v>1</v>
      </c>
      <c r="DR57" s="10"/>
      <c r="DS57" s="10">
        <v>1</v>
      </c>
      <c r="DW57" s="10"/>
      <c r="DX57" s="10"/>
      <c r="DY57" s="10"/>
      <c r="DZ57" s="10"/>
      <c r="ED57" s="10"/>
      <c r="EE57" s="10"/>
      <c r="EF57" s="10"/>
      <c r="EG57" s="10"/>
      <c r="EK57" s="10"/>
      <c r="EL57" s="10"/>
      <c r="EM57" s="10"/>
      <c r="EN57" s="10"/>
    </row>
    <row r="58" spans="2:144" outlineLevel="1">
      <c r="B58" t="s">
        <v>28</v>
      </c>
      <c r="C58" t="s">
        <v>130</v>
      </c>
      <c r="E58" s="9"/>
      <c r="F58" t="s">
        <v>132</v>
      </c>
      <c r="G58" s="10">
        <f t="shared" si="9"/>
        <v>8.3333333333333343E-2</v>
      </c>
      <c r="I58" s="9">
        <f t="shared" si="8"/>
        <v>0</v>
      </c>
      <c r="J58" s="11" cm="1">
        <f t="array" ref="J58">MAX(IF($N$3:$EH$3=$J$3,N58:EH58))</f>
        <v>0</v>
      </c>
      <c r="K58" s="11" cm="1">
        <f t="array" ref="K58">MAX(IF($N$3:$EH$3=$J$3,N58:EH58))</f>
        <v>0</v>
      </c>
      <c r="L58" s="9"/>
      <c r="O58" s="10"/>
      <c r="P58" s="10"/>
      <c r="Q58" s="10"/>
      <c r="R58" s="10"/>
      <c r="V58" s="10"/>
      <c r="W58" s="25"/>
      <c r="X58" s="10"/>
      <c r="Y58" s="25"/>
      <c r="AC58" s="10"/>
      <c r="AD58" s="10">
        <v>0.5</v>
      </c>
      <c r="AE58" s="10"/>
      <c r="AF58" s="10">
        <v>0.5</v>
      </c>
      <c r="AJ58" s="10"/>
      <c r="AK58" s="10">
        <v>0.5</v>
      </c>
      <c r="AL58" s="10"/>
      <c r="AM58" s="10">
        <v>0.5</v>
      </c>
      <c r="AQ58" s="10"/>
      <c r="AR58" s="25">
        <v>0.5</v>
      </c>
      <c r="AS58" s="10"/>
      <c r="AT58" s="25">
        <v>0.5</v>
      </c>
      <c r="AX58" s="10"/>
      <c r="AY58" s="10">
        <v>0.8</v>
      </c>
      <c r="AZ58" s="10"/>
      <c r="BA58" s="10">
        <v>0.8</v>
      </c>
      <c r="BE58" s="10"/>
      <c r="BF58" s="10">
        <v>0.8</v>
      </c>
      <c r="BG58" s="10"/>
      <c r="BH58" s="10">
        <v>0.8</v>
      </c>
      <c r="BL58" s="10"/>
      <c r="BM58" s="10">
        <v>0.8</v>
      </c>
      <c r="BN58" s="10"/>
      <c r="BO58" s="10">
        <v>0.8</v>
      </c>
      <c r="BS58" s="10"/>
      <c r="BT58" s="10">
        <v>0.8</v>
      </c>
      <c r="BU58" s="10"/>
      <c r="BV58" s="10">
        <v>0.8</v>
      </c>
      <c r="BZ58" s="10"/>
      <c r="CA58" s="10">
        <v>0.8</v>
      </c>
      <c r="CB58" s="10"/>
      <c r="CC58" s="10">
        <v>0.8</v>
      </c>
      <c r="CG58" s="10"/>
      <c r="CH58" s="25">
        <v>0.8</v>
      </c>
      <c r="CI58" s="10"/>
      <c r="CJ58" s="25">
        <v>0.8</v>
      </c>
      <c r="CN58" s="10"/>
      <c r="CO58" s="10">
        <v>1</v>
      </c>
      <c r="CP58" s="10"/>
      <c r="CQ58" s="10">
        <v>1</v>
      </c>
      <c r="CU58" s="10"/>
      <c r="CV58" s="10">
        <v>1</v>
      </c>
      <c r="CW58" s="10"/>
      <c r="CX58" s="10">
        <v>1</v>
      </c>
      <c r="DB58" s="10"/>
      <c r="DC58" s="10">
        <v>1</v>
      </c>
      <c r="DD58" s="10"/>
      <c r="DE58" s="10">
        <v>1</v>
      </c>
      <c r="DI58" s="10"/>
      <c r="DJ58" s="10">
        <v>1</v>
      </c>
      <c r="DK58" s="10"/>
      <c r="DL58" s="10">
        <v>1</v>
      </c>
      <c r="DP58" s="10"/>
      <c r="DQ58" s="10">
        <v>1</v>
      </c>
      <c r="DR58" s="10"/>
      <c r="DS58" s="10">
        <v>1</v>
      </c>
      <c r="DW58" s="10"/>
      <c r="DX58" s="10"/>
      <c r="DY58" s="10"/>
      <c r="DZ58" s="10"/>
      <c r="ED58" s="10"/>
      <c r="EE58" s="10"/>
      <c r="EF58" s="10"/>
      <c r="EG58" s="10"/>
      <c r="EK58" s="10"/>
      <c r="EL58" s="10"/>
      <c r="EM58" s="10"/>
      <c r="EN58" s="10"/>
    </row>
    <row r="59" spans="2:144" outlineLevel="1">
      <c r="B59" t="s">
        <v>28</v>
      </c>
      <c r="C59" t="s">
        <v>130</v>
      </c>
      <c r="E59" s="9"/>
      <c r="F59" t="s">
        <v>92</v>
      </c>
      <c r="G59" s="10">
        <f t="shared" si="9"/>
        <v>8.3333333333333343E-2</v>
      </c>
      <c r="I59" s="9">
        <f t="shared" si="8"/>
        <v>0</v>
      </c>
      <c r="J59" s="11" cm="1">
        <f t="array" ref="J59">MAX(IF($N$3:$EH$3=$J$3,N59:EH59))</f>
        <v>0</v>
      </c>
      <c r="K59" s="11" cm="1">
        <f t="array" ref="K59">MAX(IF($N$3:$EH$3=$J$3,N59:EH59))</f>
        <v>0</v>
      </c>
      <c r="L59" s="9"/>
      <c r="O59" s="10"/>
      <c r="P59" s="10"/>
      <c r="Q59" s="10"/>
      <c r="R59" s="10"/>
      <c r="V59" s="10"/>
      <c r="W59" s="25"/>
      <c r="X59" s="10"/>
      <c r="Y59" s="25"/>
      <c r="AC59" s="10"/>
      <c r="AD59" s="10">
        <v>0.5</v>
      </c>
      <c r="AE59" s="10"/>
      <c r="AF59" s="10">
        <v>0.5</v>
      </c>
      <c r="AJ59" s="10"/>
      <c r="AK59" s="10">
        <v>0.5</v>
      </c>
      <c r="AL59" s="10"/>
      <c r="AM59" s="10">
        <v>0.5</v>
      </c>
      <c r="AQ59" s="10"/>
      <c r="AR59" s="10">
        <v>0.5</v>
      </c>
      <c r="AS59" s="10"/>
      <c r="AT59" s="10">
        <v>0.5</v>
      </c>
      <c r="AX59" s="10"/>
      <c r="AY59" s="25">
        <v>0.5</v>
      </c>
      <c r="AZ59" s="10"/>
      <c r="BA59" s="25">
        <v>0.5</v>
      </c>
      <c r="BE59" s="10"/>
      <c r="BF59" s="10">
        <v>0.8</v>
      </c>
      <c r="BG59" s="10"/>
      <c r="BH59" s="10">
        <v>0.8</v>
      </c>
      <c r="BL59" s="10"/>
      <c r="BM59" s="10">
        <v>0.8</v>
      </c>
      <c r="BN59" s="10"/>
      <c r="BO59" s="10">
        <v>0.8</v>
      </c>
      <c r="BS59" s="10"/>
      <c r="BT59" s="10">
        <v>0.8</v>
      </c>
      <c r="BU59" s="10"/>
      <c r="BV59" s="10">
        <v>0.8</v>
      </c>
      <c r="BZ59" s="10"/>
      <c r="CA59" s="10">
        <v>0.8</v>
      </c>
      <c r="CB59" s="10"/>
      <c r="CC59" s="10">
        <v>0.8</v>
      </c>
      <c r="CG59" s="10"/>
      <c r="CH59" s="10">
        <v>0.8</v>
      </c>
      <c r="CI59" s="10"/>
      <c r="CJ59" s="10">
        <v>0.8</v>
      </c>
      <c r="CN59" s="10"/>
      <c r="CO59" s="25">
        <v>0.8</v>
      </c>
      <c r="CP59" s="10"/>
      <c r="CQ59" s="25">
        <v>0.8</v>
      </c>
      <c r="CU59" s="10"/>
      <c r="CV59" s="10">
        <v>1</v>
      </c>
      <c r="CW59" s="10"/>
      <c r="CX59" s="10">
        <v>1</v>
      </c>
      <c r="DB59" s="10"/>
      <c r="DC59" s="10">
        <v>1</v>
      </c>
      <c r="DD59" s="10"/>
      <c r="DE59" s="10">
        <v>1</v>
      </c>
      <c r="DI59" s="10"/>
      <c r="DJ59" s="10">
        <v>1</v>
      </c>
      <c r="DK59" s="10"/>
      <c r="DL59" s="10">
        <v>1</v>
      </c>
      <c r="DP59" s="10"/>
      <c r="DQ59" s="10">
        <v>1</v>
      </c>
      <c r="DR59" s="10"/>
      <c r="DS59" s="10">
        <v>1</v>
      </c>
      <c r="DW59" s="10"/>
      <c r="DX59" s="10"/>
      <c r="DY59" s="10"/>
      <c r="DZ59" s="10"/>
      <c r="ED59" s="10"/>
      <c r="EE59" s="10"/>
      <c r="EF59" s="10"/>
      <c r="EG59" s="10"/>
      <c r="EK59" s="10"/>
      <c r="EL59" s="10"/>
      <c r="EM59" s="10"/>
      <c r="EN59" s="10"/>
    </row>
    <row r="60" spans="2:144" outlineLevel="1">
      <c r="B60" t="s">
        <v>28</v>
      </c>
      <c r="C60" t="s">
        <v>130</v>
      </c>
      <c r="E60" s="9"/>
      <c r="F60" t="s">
        <v>93</v>
      </c>
      <c r="G60" s="10">
        <f t="shared" si="9"/>
        <v>8.3333333333333343E-2</v>
      </c>
      <c r="I60" s="9">
        <f t="shared" si="8"/>
        <v>0</v>
      </c>
      <c r="J60" s="11" cm="1">
        <f t="array" ref="J60">MAX(IF($N$3:$EH$3=$J$3,N60:EH60))</f>
        <v>0</v>
      </c>
      <c r="K60" s="11" cm="1">
        <f t="array" ref="K60">MAX(IF($N$3:$EH$3=$J$3,N60:EH60))</f>
        <v>0</v>
      </c>
      <c r="L60" s="9"/>
      <c r="O60" s="10"/>
      <c r="P60" s="10"/>
      <c r="Q60" s="10"/>
      <c r="R60" s="10"/>
      <c r="V60" s="10"/>
      <c r="W60" s="10"/>
      <c r="X60" s="10"/>
      <c r="Y60" s="10"/>
      <c r="AC60" s="10"/>
      <c r="AD60" s="25"/>
      <c r="AE60" s="10"/>
      <c r="AF60" s="25"/>
      <c r="AJ60" s="10"/>
      <c r="AK60" s="10">
        <v>0.5</v>
      </c>
      <c r="AL60" s="10"/>
      <c r="AM60" s="10">
        <v>0.5</v>
      </c>
      <c r="AQ60" s="10"/>
      <c r="AR60" s="10">
        <v>0.5</v>
      </c>
      <c r="AS60" s="10"/>
      <c r="AT60" s="10">
        <v>0.5</v>
      </c>
      <c r="AX60" s="10"/>
      <c r="AY60" s="10">
        <v>0.5</v>
      </c>
      <c r="AZ60" s="10"/>
      <c r="BA60" s="10">
        <v>0.5</v>
      </c>
      <c r="BE60" s="10"/>
      <c r="BF60" s="25">
        <v>0.5</v>
      </c>
      <c r="BG60" s="10"/>
      <c r="BH60" s="25">
        <v>0.5</v>
      </c>
      <c r="BL60" s="10"/>
      <c r="BM60" s="10">
        <v>0.8</v>
      </c>
      <c r="BN60" s="10"/>
      <c r="BO60" s="10">
        <v>0.8</v>
      </c>
      <c r="BS60" s="10"/>
      <c r="BT60" s="10">
        <v>0.8</v>
      </c>
      <c r="BU60" s="10"/>
      <c r="BV60" s="10">
        <v>0.8</v>
      </c>
      <c r="BZ60" s="10"/>
      <c r="CA60" s="10">
        <v>0.8</v>
      </c>
      <c r="CB60" s="10"/>
      <c r="CC60" s="10">
        <v>0.8</v>
      </c>
      <c r="CG60" s="10"/>
      <c r="CH60" s="10">
        <v>0.8</v>
      </c>
      <c r="CI60" s="10"/>
      <c r="CJ60" s="10">
        <v>0.8</v>
      </c>
      <c r="CN60" s="10"/>
      <c r="CO60" s="10">
        <v>0.8</v>
      </c>
      <c r="CP60" s="10"/>
      <c r="CQ60" s="10">
        <v>0.8</v>
      </c>
      <c r="CU60" s="10"/>
      <c r="CV60" s="25">
        <v>0.8</v>
      </c>
      <c r="CW60" s="10"/>
      <c r="CX60" s="25">
        <v>0.8</v>
      </c>
      <c r="DB60" s="10"/>
      <c r="DC60" s="10">
        <v>1</v>
      </c>
      <c r="DD60" s="10"/>
      <c r="DE60" s="10">
        <v>1</v>
      </c>
      <c r="DI60" s="10"/>
      <c r="DJ60" s="10">
        <v>1</v>
      </c>
      <c r="DK60" s="10"/>
      <c r="DL60" s="10">
        <v>1</v>
      </c>
      <c r="DP60" s="10"/>
      <c r="DQ60" s="10">
        <v>1</v>
      </c>
      <c r="DR60" s="10"/>
      <c r="DS60" s="10">
        <v>1</v>
      </c>
      <c r="DW60" s="10"/>
      <c r="DX60" s="10"/>
      <c r="DY60" s="10"/>
      <c r="DZ60" s="10"/>
      <c r="ED60" s="10"/>
      <c r="EE60" s="10"/>
      <c r="EF60" s="10"/>
      <c r="EG60" s="10"/>
      <c r="EK60" s="10"/>
      <c r="EL60" s="10"/>
      <c r="EM60" s="10"/>
      <c r="EN60" s="10"/>
    </row>
    <row r="61" spans="2:144" outlineLevel="1">
      <c r="B61" t="s">
        <v>28</v>
      </c>
      <c r="C61" t="s">
        <v>130</v>
      </c>
      <c r="E61" s="9"/>
      <c r="F61" t="s">
        <v>94</v>
      </c>
      <c r="G61" s="10">
        <f t="shared" si="9"/>
        <v>8.3333333333333343E-2</v>
      </c>
      <c r="I61" s="9">
        <f t="shared" si="8"/>
        <v>0</v>
      </c>
      <c r="J61" s="11" cm="1">
        <f t="array" ref="J61">MAX(IF($N$3:$EH$3=$J$3,N61:EH61))</f>
        <v>0</v>
      </c>
      <c r="K61" s="11" cm="1">
        <f t="array" ref="K61">MAX(IF($N$3:$EH$3=$J$3,N61:EH61))</f>
        <v>0</v>
      </c>
      <c r="L61" s="9"/>
      <c r="O61" s="10"/>
      <c r="P61" s="10"/>
      <c r="Q61" s="10"/>
      <c r="R61" s="10"/>
      <c r="V61" s="10"/>
      <c r="W61" s="10"/>
      <c r="X61" s="10"/>
      <c r="Y61" s="10"/>
      <c r="AC61" s="10"/>
      <c r="AD61" s="25"/>
      <c r="AE61" s="10"/>
      <c r="AF61" s="25"/>
      <c r="AJ61" s="10"/>
      <c r="AK61" s="10">
        <v>0.5</v>
      </c>
      <c r="AL61" s="10"/>
      <c r="AM61" s="10">
        <v>0.5</v>
      </c>
      <c r="AQ61" s="10"/>
      <c r="AR61" s="10">
        <v>0.5</v>
      </c>
      <c r="AS61" s="10"/>
      <c r="AT61" s="10">
        <v>0.5</v>
      </c>
      <c r="AX61" s="10"/>
      <c r="AY61" s="10">
        <v>0.5</v>
      </c>
      <c r="AZ61" s="10"/>
      <c r="BA61" s="10">
        <v>0.5</v>
      </c>
      <c r="BE61" s="10"/>
      <c r="BF61" s="10">
        <v>0.5</v>
      </c>
      <c r="BG61" s="10"/>
      <c r="BH61" s="10">
        <v>0.5</v>
      </c>
      <c r="BL61" s="10"/>
      <c r="BM61" s="25">
        <v>0.5</v>
      </c>
      <c r="BN61" s="10"/>
      <c r="BO61" s="25">
        <v>0.5</v>
      </c>
      <c r="BS61" s="10"/>
      <c r="BT61" s="10">
        <v>0.8</v>
      </c>
      <c r="BU61" s="10"/>
      <c r="BV61" s="10">
        <v>0.8</v>
      </c>
      <c r="BZ61" s="10"/>
      <c r="CA61" s="10">
        <v>0.8</v>
      </c>
      <c r="CB61" s="10"/>
      <c r="CC61" s="10">
        <v>0.8</v>
      </c>
      <c r="CG61" s="10"/>
      <c r="CH61" s="10">
        <v>0.8</v>
      </c>
      <c r="CI61" s="10"/>
      <c r="CJ61" s="10">
        <v>0.8</v>
      </c>
      <c r="CN61" s="10"/>
      <c r="CO61" s="10">
        <v>0.8</v>
      </c>
      <c r="CP61" s="10"/>
      <c r="CQ61" s="10">
        <v>0.8</v>
      </c>
      <c r="CU61" s="10"/>
      <c r="CV61" s="25">
        <v>0.8</v>
      </c>
      <c r="CW61" s="10"/>
      <c r="CX61" s="25">
        <v>0.8</v>
      </c>
      <c r="DB61" s="10"/>
      <c r="DC61" s="10">
        <v>1</v>
      </c>
      <c r="DD61" s="10"/>
      <c r="DE61" s="10">
        <v>1</v>
      </c>
      <c r="DI61" s="10"/>
      <c r="DJ61" s="10">
        <v>1</v>
      </c>
      <c r="DK61" s="10"/>
      <c r="DL61" s="10">
        <v>1</v>
      </c>
      <c r="DP61" s="10"/>
      <c r="DQ61" s="10">
        <v>1</v>
      </c>
      <c r="DR61" s="10"/>
      <c r="DS61" s="10">
        <v>1</v>
      </c>
      <c r="DW61" s="10"/>
      <c r="DX61" s="10"/>
      <c r="DY61" s="10"/>
      <c r="DZ61" s="10"/>
      <c r="ED61" s="10"/>
      <c r="EE61" s="10"/>
      <c r="EF61" s="10"/>
      <c r="EG61" s="10"/>
      <c r="EK61" s="10"/>
      <c r="EL61" s="10"/>
      <c r="EM61" s="10"/>
      <c r="EN61" s="10"/>
    </row>
    <row r="62" spans="2:144" outlineLevel="1">
      <c r="B62" t="s">
        <v>28</v>
      </c>
      <c r="C62" t="s">
        <v>130</v>
      </c>
      <c r="E62" s="9"/>
      <c r="F62" t="s">
        <v>95</v>
      </c>
      <c r="G62" s="10">
        <f t="shared" si="9"/>
        <v>8.3333333333333343E-2</v>
      </c>
      <c r="I62" s="9">
        <f t="shared" si="8"/>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25"/>
      <c r="AL62" s="10"/>
      <c r="AM62" s="25"/>
      <c r="AQ62" s="10"/>
      <c r="AR62" s="10">
        <v>0.5</v>
      </c>
      <c r="AS62" s="10"/>
      <c r="AT62" s="10">
        <v>0.5</v>
      </c>
      <c r="AX62" s="10"/>
      <c r="AY62" s="10">
        <v>0.5</v>
      </c>
      <c r="AZ62" s="10"/>
      <c r="BA62" s="10">
        <v>0.5</v>
      </c>
      <c r="BE62" s="10"/>
      <c r="BF62" s="10">
        <v>0.5</v>
      </c>
      <c r="BG62" s="10"/>
      <c r="BH62" s="10">
        <v>0.5</v>
      </c>
      <c r="BL62" s="10"/>
      <c r="BM62" s="25">
        <v>0.5</v>
      </c>
      <c r="BN62" s="10"/>
      <c r="BO62" s="25">
        <v>0.5</v>
      </c>
      <c r="BS62" s="10"/>
      <c r="BT62" s="10">
        <v>0.8</v>
      </c>
      <c r="BU62" s="10"/>
      <c r="BV62" s="10">
        <v>0.8</v>
      </c>
      <c r="BZ62" s="10"/>
      <c r="CA62" s="10">
        <v>0.8</v>
      </c>
      <c r="CB62" s="10"/>
      <c r="CC62" s="10">
        <v>0.8</v>
      </c>
      <c r="CG62" s="10"/>
      <c r="CH62" s="10">
        <v>0.8</v>
      </c>
      <c r="CI62" s="10"/>
      <c r="CJ62" s="10">
        <v>0.8</v>
      </c>
      <c r="CN62" s="10"/>
      <c r="CO62" s="10">
        <v>0.8</v>
      </c>
      <c r="CP62" s="10"/>
      <c r="CQ62" s="10">
        <v>0.8</v>
      </c>
      <c r="CU62" s="10"/>
      <c r="CV62" s="10">
        <v>0.8</v>
      </c>
      <c r="CW62" s="10"/>
      <c r="CX62" s="10">
        <v>0.8</v>
      </c>
      <c r="DB62" s="10"/>
      <c r="DC62" s="25">
        <v>0.8</v>
      </c>
      <c r="DD62" s="10"/>
      <c r="DE62" s="25">
        <v>0.8</v>
      </c>
      <c r="DI62" s="10"/>
      <c r="DJ62" s="10">
        <v>1</v>
      </c>
      <c r="DK62" s="10"/>
      <c r="DL62" s="10">
        <v>1</v>
      </c>
      <c r="DP62" s="10"/>
      <c r="DQ62" s="10">
        <v>1</v>
      </c>
      <c r="DR62" s="10"/>
      <c r="DS62" s="10">
        <v>1</v>
      </c>
      <c r="DW62" s="10"/>
      <c r="DX62" s="10"/>
      <c r="DY62" s="10"/>
      <c r="DZ62" s="10"/>
      <c r="ED62" s="10"/>
      <c r="EE62" s="10"/>
      <c r="EF62" s="10"/>
      <c r="EG62" s="10"/>
      <c r="EK62" s="10"/>
      <c r="EL62" s="10"/>
      <c r="EM62" s="10"/>
      <c r="EN62" s="10"/>
    </row>
    <row r="63" spans="2:144" outlineLevel="1">
      <c r="B63" t="s">
        <v>28</v>
      </c>
      <c r="C63" t="s">
        <v>130</v>
      </c>
      <c r="E63" s="9"/>
      <c r="F63" t="s">
        <v>96</v>
      </c>
      <c r="G63" s="10">
        <f t="shared" si="9"/>
        <v>8.3333333333333343E-2</v>
      </c>
      <c r="I63" s="9">
        <f t="shared" si="8"/>
        <v>0</v>
      </c>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25"/>
      <c r="AS63" s="10"/>
      <c r="AT63" s="25"/>
      <c r="AX63" s="10"/>
      <c r="AY63" s="10">
        <v>0.5</v>
      </c>
      <c r="AZ63" s="10"/>
      <c r="BA63" s="10">
        <v>0.5</v>
      </c>
      <c r="BE63" s="10"/>
      <c r="BF63" s="10">
        <v>0.5</v>
      </c>
      <c r="BG63" s="10"/>
      <c r="BH63" s="10">
        <v>0.5</v>
      </c>
      <c r="BL63" s="10"/>
      <c r="BM63" s="10">
        <v>0.5</v>
      </c>
      <c r="BN63" s="10"/>
      <c r="BO63" s="10">
        <v>0.5</v>
      </c>
      <c r="BS63" s="10"/>
      <c r="BT63" s="25">
        <v>0.5</v>
      </c>
      <c r="BU63" s="10"/>
      <c r="BV63" s="25">
        <v>0.5</v>
      </c>
      <c r="BZ63" s="10"/>
      <c r="CA63" s="10">
        <v>0.8</v>
      </c>
      <c r="CB63" s="10"/>
      <c r="CC63" s="10">
        <v>0.8</v>
      </c>
      <c r="CG63" s="10"/>
      <c r="CH63" s="10">
        <v>0.8</v>
      </c>
      <c r="CI63" s="10"/>
      <c r="CJ63" s="10">
        <v>0.8</v>
      </c>
      <c r="CN63" s="10"/>
      <c r="CO63" s="10">
        <v>0.8</v>
      </c>
      <c r="CP63" s="10"/>
      <c r="CQ63" s="10">
        <v>0.8</v>
      </c>
      <c r="CU63" s="10"/>
      <c r="CV63" s="10">
        <v>0.8</v>
      </c>
      <c r="CW63" s="10"/>
      <c r="CX63" s="10">
        <v>0.8</v>
      </c>
      <c r="DB63" s="10"/>
      <c r="DC63" s="37">
        <v>0.8</v>
      </c>
      <c r="DD63" s="10"/>
      <c r="DE63" s="37">
        <v>0.8</v>
      </c>
      <c r="DI63" s="10"/>
      <c r="DJ63" s="25">
        <v>0.8</v>
      </c>
      <c r="DK63" s="10"/>
      <c r="DL63" s="25">
        <v>0.8</v>
      </c>
      <c r="DP63" s="10"/>
      <c r="DQ63" s="10">
        <v>1</v>
      </c>
      <c r="DR63" s="10"/>
      <c r="DS63" s="10">
        <v>1</v>
      </c>
      <c r="DW63" s="10"/>
      <c r="DX63" s="10"/>
      <c r="DY63" s="10"/>
      <c r="DZ63" s="10"/>
      <c r="ED63" s="10"/>
      <c r="EE63" s="10"/>
      <c r="EF63" s="10"/>
      <c r="EG63" s="10"/>
      <c r="EK63" s="10"/>
      <c r="EL63" s="10"/>
      <c r="EM63" s="10"/>
      <c r="EN63" s="10"/>
    </row>
    <row r="64" spans="2:144" outlineLevel="1">
      <c r="B64" t="s">
        <v>28</v>
      </c>
      <c r="C64" t="s">
        <v>130</v>
      </c>
      <c r="E64" s="9"/>
      <c r="F64" t="s">
        <v>97</v>
      </c>
      <c r="G64" s="10">
        <f t="shared" si="9"/>
        <v>8.3333333333333343E-2</v>
      </c>
      <c r="I64" s="9">
        <f t="shared" si="8"/>
        <v>0</v>
      </c>
      <c r="J64" s="11" cm="1">
        <f t="array" ref="J64">MAX(IF($N$3:$EH$3=$J$3,N64:EH64))</f>
        <v>0</v>
      </c>
      <c r="K64" s="11" cm="1">
        <f t="array" ref="K64">MAX(IF($N$3:$EH$3=$J$3,N64:EH64))</f>
        <v>0</v>
      </c>
      <c r="L64" s="9"/>
      <c r="O64" s="10"/>
      <c r="P64" s="10"/>
      <c r="Q64" s="10"/>
      <c r="R64" s="10"/>
      <c r="V64" s="10"/>
      <c r="W64" s="10"/>
      <c r="X64" s="10"/>
      <c r="Y64" s="10"/>
      <c r="AC64" s="10"/>
      <c r="AD64" s="10"/>
      <c r="AE64" s="10"/>
      <c r="AF64" s="10"/>
      <c r="AJ64" s="10"/>
      <c r="AK64" s="10"/>
      <c r="AL64" s="10"/>
      <c r="AM64" s="10"/>
      <c r="AQ64" s="10"/>
      <c r="AR64" s="10"/>
      <c r="AS64" s="10"/>
      <c r="AT64" s="10"/>
      <c r="AX64" s="10"/>
      <c r="AY64" s="25"/>
      <c r="AZ64" s="10"/>
      <c r="BA64" s="25"/>
      <c r="BE64" s="10"/>
      <c r="BF64" s="10">
        <v>0.5</v>
      </c>
      <c r="BG64" s="10"/>
      <c r="BH64" s="10">
        <v>0.5</v>
      </c>
      <c r="BL64" s="10"/>
      <c r="BM64" s="10">
        <v>0.5</v>
      </c>
      <c r="BN64" s="10"/>
      <c r="BO64" s="10">
        <v>0.5</v>
      </c>
      <c r="BS64" s="10"/>
      <c r="BT64" s="10">
        <v>0.5</v>
      </c>
      <c r="BU64" s="10"/>
      <c r="BV64" s="10">
        <v>0.5</v>
      </c>
      <c r="BZ64" s="10"/>
      <c r="CA64" s="25">
        <v>0.5</v>
      </c>
      <c r="CB64" s="10"/>
      <c r="CC64" s="25">
        <v>0.5</v>
      </c>
      <c r="CG64" s="10"/>
      <c r="CH64" s="10">
        <v>0.8</v>
      </c>
      <c r="CI64" s="10"/>
      <c r="CJ64" s="10">
        <v>0.8</v>
      </c>
      <c r="CN64" s="10"/>
      <c r="CO64" s="10">
        <v>0.8</v>
      </c>
      <c r="CP64" s="10"/>
      <c r="CQ64" s="10">
        <v>0.8</v>
      </c>
      <c r="CU64" s="10"/>
      <c r="CV64" s="10">
        <v>0.8</v>
      </c>
      <c r="CW64" s="10"/>
      <c r="CX64" s="10">
        <v>0.8</v>
      </c>
      <c r="DB64" s="10"/>
      <c r="DC64" s="10">
        <v>0.8</v>
      </c>
      <c r="DD64" s="10"/>
      <c r="DE64" s="10">
        <v>0.8</v>
      </c>
      <c r="DI64" s="10"/>
      <c r="DJ64" s="25">
        <v>0.8</v>
      </c>
      <c r="DK64" s="10"/>
      <c r="DL64" s="25">
        <v>0.8</v>
      </c>
      <c r="DP64" s="10"/>
      <c r="DQ64" s="10">
        <v>1</v>
      </c>
      <c r="DR64" s="10"/>
      <c r="DS64" s="10">
        <v>1</v>
      </c>
      <c r="DW64" s="10"/>
      <c r="DX64" s="10"/>
      <c r="DY64" s="10"/>
      <c r="DZ64" s="10"/>
      <c r="ED64" s="10"/>
      <c r="EE64" s="10"/>
      <c r="EF64" s="10"/>
      <c r="EG64" s="10"/>
      <c r="EK64" s="10"/>
      <c r="EL64" s="10"/>
      <c r="EM64" s="10"/>
      <c r="EN64" s="10"/>
    </row>
    <row r="65" spans="2:144" outlineLevel="1">
      <c r="B65" t="s">
        <v>28</v>
      </c>
      <c r="C65" t="s">
        <v>130</v>
      </c>
      <c r="E65" s="9"/>
      <c r="F65" t="s">
        <v>98</v>
      </c>
      <c r="G65" s="10">
        <f t="shared" si="9"/>
        <v>8.3333333333333343E-2</v>
      </c>
      <c r="I65" s="9">
        <f t="shared" si="8"/>
        <v>0</v>
      </c>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c r="AL65" s="10"/>
      <c r="AM65" s="10"/>
      <c r="AQ65" s="10"/>
      <c r="AR65" s="10"/>
      <c r="AS65" s="10"/>
      <c r="AT65" s="10"/>
      <c r="AX65" s="10"/>
      <c r="AY65" s="10"/>
      <c r="AZ65" s="10"/>
      <c r="BA65" s="10"/>
      <c r="BE65" s="10"/>
      <c r="BF65" s="25"/>
      <c r="BG65" s="10"/>
      <c r="BH65" s="25"/>
      <c r="BL65" s="10"/>
      <c r="BM65" s="10">
        <v>0.5</v>
      </c>
      <c r="BN65" s="10"/>
      <c r="BO65" s="10">
        <v>0.5</v>
      </c>
      <c r="BS65" s="10"/>
      <c r="BT65" s="10">
        <v>0.5</v>
      </c>
      <c r="BU65" s="10"/>
      <c r="BV65" s="10">
        <v>0.5</v>
      </c>
      <c r="BZ65" s="10"/>
      <c r="CA65" s="10">
        <v>0.5</v>
      </c>
      <c r="CB65" s="10"/>
      <c r="CC65" s="10">
        <v>0.5</v>
      </c>
      <c r="CG65" s="10"/>
      <c r="CH65" s="25">
        <v>0.5</v>
      </c>
      <c r="CI65" s="10"/>
      <c r="CJ65" s="25">
        <v>0.5</v>
      </c>
      <c r="CN65" s="10"/>
      <c r="CO65" s="10">
        <v>0.8</v>
      </c>
      <c r="CP65" s="10"/>
      <c r="CQ65" s="10">
        <v>0.8</v>
      </c>
      <c r="CU65" s="10"/>
      <c r="CV65" s="10">
        <v>0.8</v>
      </c>
      <c r="CW65" s="10"/>
      <c r="CX65" s="10">
        <v>0.8</v>
      </c>
      <c r="DB65" s="10"/>
      <c r="DC65" s="10">
        <v>0.8</v>
      </c>
      <c r="DD65" s="10"/>
      <c r="DE65" s="10">
        <v>0.8</v>
      </c>
      <c r="DI65" s="10"/>
      <c r="DJ65" s="25">
        <v>0.8</v>
      </c>
      <c r="DK65" s="10"/>
      <c r="DL65" s="25">
        <v>0.8</v>
      </c>
      <c r="DP65" s="10"/>
      <c r="DQ65" s="10">
        <v>1</v>
      </c>
      <c r="DR65" s="10"/>
      <c r="DS65" s="10">
        <v>1</v>
      </c>
      <c r="DW65" s="10"/>
      <c r="DX65" s="10"/>
      <c r="DY65" s="10"/>
      <c r="DZ65" s="10"/>
      <c r="ED65" s="10"/>
      <c r="EE65" s="10"/>
      <c r="EF65" s="10"/>
      <c r="EG65" s="10"/>
      <c r="EK65" s="10"/>
      <c r="EL65" s="10"/>
      <c r="EM65" s="10"/>
      <c r="EN65" s="10"/>
    </row>
    <row r="66" spans="2:144" outlineLevel="1">
      <c r="B66" t="s">
        <v>28</v>
      </c>
      <c r="C66" t="s">
        <v>130</v>
      </c>
      <c r="E66" s="9"/>
      <c r="F66" t="s">
        <v>99</v>
      </c>
      <c r="G66" s="10">
        <f t="shared" si="9"/>
        <v>8.3333333333333343E-2</v>
      </c>
      <c r="I66" s="9">
        <f t="shared" si="8"/>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c r="AL66" s="10"/>
      <c r="AM66" s="10"/>
      <c r="AQ66" s="10"/>
      <c r="AR66" s="10"/>
      <c r="AS66" s="10"/>
      <c r="AT66" s="10"/>
      <c r="AX66" s="10"/>
      <c r="AY66" s="10"/>
      <c r="AZ66" s="10"/>
      <c r="BA66" s="10"/>
      <c r="BE66" s="10"/>
      <c r="BF66" s="25"/>
      <c r="BG66" s="10"/>
      <c r="BH66" s="25"/>
      <c r="BL66" s="10"/>
      <c r="BM66" s="10">
        <v>0.5</v>
      </c>
      <c r="BN66" s="10"/>
      <c r="BO66" s="10">
        <v>0.5</v>
      </c>
      <c r="BS66" s="10"/>
      <c r="BT66" s="10">
        <v>0.5</v>
      </c>
      <c r="BU66" s="10"/>
      <c r="BV66" s="10">
        <v>0.5</v>
      </c>
      <c r="BZ66" s="10"/>
      <c r="CA66" s="10">
        <v>0.5</v>
      </c>
      <c r="CB66" s="10"/>
      <c r="CC66" s="10">
        <v>0.5</v>
      </c>
      <c r="CG66" s="10"/>
      <c r="CH66" s="25">
        <v>0.5</v>
      </c>
      <c r="CI66" s="10"/>
      <c r="CJ66" s="25">
        <v>0.5</v>
      </c>
      <c r="CN66" s="10"/>
      <c r="CO66" s="10">
        <v>0.8</v>
      </c>
      <c r="CP66" s="10"/>
      <c r="CQ66" s="10">
        <v>0.8</v>
      </c>
      <c r="CU66" s="10"/>
      <c r="CV66" s="10">
        <v>0.8</v>
      </c>
      <c r="CW66" s="10"/>
      <c r="CX66" s="10">
        <v>0.8</v>
      </c>
      <c r="DB66" s="10"/>
      <c r="DC66" s="10">
        <v>0.8</v>
      </c>
      <c r="DD66" s="10"/>
      <c r="DE66" s="10">
        <v>0.8</v>
      </c>
      <c r="DI66" s="10"/>
      <c r="DJ66" s="25">
        <v>0.8</v>
      </c>
      <c r="DK66" s="10"/>
      <c r="DL66" s="25">
        <v>0.8</v>
      </c>
      <c r="DP66" s="10"/>
      <c r="DQ66" s="10">
        <v>1</v>
      </c>
      <c r="DR66" s="10"/>
      <c r="DS66" s="10">
        <v>1</v>
      </c>
      <c r="DW66" s="10"/>
      <c r="DX66" s="10"/>
      <c r="DY66" s="10"/>
      <c r="DZ66" s="10"/>
      <c r="ED66" s="10"/>
      <c r="EE66" s="10"/>
      <c r="EF66" s="10"/>
      <c r="EG66" s="10"/>
      <c r="EK66" s="10"/>
      <c r="EL66" s="10"/>
      <c r="EM66" s="10"/>
      <c r="EN66" s="10"/>
    </row>
    <row r="67" spans="2:144" outlineLevel="1">
      <c r="B67" t="s">
        <v>28</v>
      </c>
      <c r="C67" t="s">
        <v>130</v>
      </c>
      <c r="E67" s="9"/>
      <c r="F67" t="s">
        <v>100</v>
      </c>
      <c r="G67" s="10">
        <f t="shared" si="9"/>
        <v>8.3333333333333343E-2</v>
      </c>
      <c r="I67" s="9">
        <f t="shared" si="8"/>
        <v>0</v>
      </c>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c r="AL67" s="10"/>
      <c r="AM67" s="10"/>
      <c r="AQ67" s="10"/>
      <c r="AR67" s="10"/>
      <c r="AS67" s="10"/>
      <c r="AT67" s="10"/>
      <c r="AX67" s="10"/>
      <c r="AY67" s="10"/>
      <c r="AZ67" s="10"/>
      <c r="BA67" s="10"/>
      <c r="BE67" s="10"/>
      <c r="BF67" s="10"/>
      <c r="BG67" s="10"/>
      <c r="BH67" s="10"/>
      <c r="BL67" s="10"/>
      <c r="BM67" s="25"/>
      <c r="BN67" s="10"/>
      <c r="BO67" s="25"/>
      <c r="BS67" s="10"/>
      <c r="BT67" s="10">
        <v>0.5</v>
      </c>
      <c r="BU67" s="10"/>
      <c r="BV67" s="10">
        <v>0.5</v>
      </c>
      <c r="BZ67" s="10"/>
      <c r="CA67" s="10">
        <v>0.5</v>
      </c>
      <c r="CB67" s="10"/>
      <c r="CC67" s="10">
        <v>0.5</v>
      </c>
      <c r="CG67" s="10"/>
      <c r="CH67" s="10">
        <v>0.5</v>
      </c>
      <c r="CI67" s="10"/>
      <c r="CJ67" s="10">
        <v>0.5</v>
      </c>
      <c r="CN67" s="10"/>
      <c r="CO67" s="25">
        <v>0.5</v>
      </c>
      <c r="CP67" s="10"/>
      <c r="CQ67" s="25">
        <v>0.5</v>
      </c>
      <c r="CU67" s="10"/>
      <c r="CV67" s="10">
        <v>0.8</v>
      </c>
      <c r="CW67" s="10"/>
      <c r="CX67" s="10">
        <v>0.8</v>
      </c>
      <c r="DB67" s="10"/>
      <c r="DC67" s="10">
        <v>0.8</v>
      </c>
      <c r="DD67" s="10"/>
      <c r="DE67" s="10">
        <v>0.8</v>
      </c>
      <c r="DI67" s="10"/>
      <c r="DJ67" s="25">
        <v>0.8</v>
      </c>
      <c r="DK67" s="10"/>
      <c r="DL67" s="25">
        <v>0.8</v>
      </c>
      <c r="DP67" s="10"/>
      <c r="DQ67" s="10">
        <v>1</v>
      </c>
      <c r="DR67" s="10"/>
      <c r="DS67" s="10">
        <v>1</v>
      </c>
      <c r="DW67" s="10"/>
      <c r="DX67" s="10"/>
      <c r="DY67" s="10"/>
      <c r="DZ67" s="10"/>
      <c r="ED67" s="10"/>
      <c r="EE67" s="10"/>
      <c r="EF67" s="10"/>
      <c r="EG67" s="10"/>
      <c r="EK67" s="10"/>
      <c r="EL67" s="10"/>
      <c r="EM67" s="10"/>
      <c r="EN67" s="10"/>
    </row>
  </sheetData>
  <mergeCells count="20">
    <mergeCell ref="DH2:DM2"/>
    <mergeCell ref="DO2:DT2"/>
    <mergeCell ref="DV2:EA2"/>
    <mergeCell ref="EC2:EH2"/>
    <mergeCell ref="EJ2:EO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conditionalFormatting sqref="J18:J23">
    <cfRule type="colorScale" priority="198">
      <colorScale>
        <cfvo type="percent" val="0"/>
        <cfvo type="percent" val="100"/>
        <color rgb="FFFF231B"/>
        <color rgb="FF10FF07"/>
      </colorScale>
    </cfRule>
  </conditionalFormatting>
  <conditionalFormatting sqref="J19">
    <cfRule type="colorScale" priority="179">
      <colorScale>
        <cfvo type="percent" val="0"/>
        <cfvo type="percent" val="100"/>
        <color rgb="FFFF231B"/>
        <color rgb="FF10FF07"/>
      </colorScale>
    </cfRule>
  </conditionalFormatting>
  <conditionalFormatting sqref="J20:J27 J17">
    <cfRule type="colorScale" priority="922">
      <colorScale>
        <cfvo type="percent" val="0"/>
        <cfvo type="percent" val="100"/>
        <color rgb="FFFF231B"/>
        <color rgb="FF10FF07"/>
      </colorScale>
    </cfRule>
  </conditionalFormatting>
  <conditionalFormatting sqref="J30:J40">
    <cfRule type="colorScale" priority="926">
      <colorScale>
        <cfvo type="percent" val="0"/>
        <cfvo type="percent" val="100"/>
        <color rgb="FFFF231B"/>
        <color rgb="FF10FF07"/>
      </colorScale>
    </cfRule>
  </conditionalFormatting>
  <conditionalFormatting sqref="J43:J53">
    <cfRule type="colorScale" priority="929">
      <colorScale>
        <cfvo type="percent" val="0"/>
        <cfvo type="percent" val="100"/>
        <color rgb="FFFF231B"/>
        <color rgb="FF10FF07"/>
      </colorScale>
    </cfRule>
  </conditionalFormatting>
  <conditionalFormatting sqref="J56:J67">
    <cfRule type="colorScale" priority="803">
      <colorScale>
        <cfvo type="percent" val="0"/>
        <cfvo type="percent" val="100"/>
        <color rgb="FFFF231B"/>
        <color rgb="FF10FF07"/>
      </colorScale>
    </cfRule>
  </conditionalFormatting>
  <conditionalFormatting sqref="J18:K23">
    <cfRule type="colorScale" priority="199">
      <colorScale>
        <cfvo type="percent" val="0"/>
        <cfvo type="percent" val="100"/>
        <color rgb="FFFF231B"/>
        <color rgb="FF10FF07"/>
      </colorScale>
    </cfRule>
  </conditionalFormatting>
  <conditionalFormatting sqref="J19:K19">
    <cfRule type="colorScale" priority="180">
      <colorScale>
        <cfvo type="percent" val="0"/>
        <cfvo type="percent" val="100"/>
        <color rgb="FFFF231B"/>
        <color rgb="FF10FF07"/>
      </colorScale>
    </cfRule>
  </conditionalFormatting>
  <conditionalFormatting sqref="J20:K27">
    <cfRule type="colorScale" priority="924">
      <colorScale>
        <cfvo type="percent" val="0"/>
        <cfvo type="percent" val="100"/>
        <color rgb="FFFF231B"/>
        <color rgb="FF10FF07"/>
      </colorScale>
    </cfRule>
  </conditionalFormatting>
  <conditionalFormatting sqref="J31:K39">
    <cfRule type="colorScale" priority="927">
      <colorScale>
        <cfvo type="percent" val="0"/>
        <cfvo type="percent" val="100"/>
        <color rgb="FFFF231B"/>
        <color rgb="FF10FF07"/>
      </colorScale>
    </cfRule>
  </conditionalFormatting>
  <conditionalFormatting sqref="J40:K40">
    <cfRule type="colorScale" priority="15">
      <colorScale>
        <cfvo type="percent" val="0"/>
        <cfvo type="percent" val="100"/>
        <color rgb="FFFF231B"/>
        <color rgb="FF10FF07"/>
      </colorScale>
    </cfRule>
  </conditionalFormatting>
  <conditionalFormatting sqref="J44:K53">
    <cfRule type="colorScale" priority="930">
      <colorScale>
        <cfvo type="percent" val="0"/>
        <cfvo type="percent" val="100"/>
        <color rgb="FFFF231B"/>
        <color rgb="FF10FF07"/>
      </colorScale>
    </cfRule>
  </conditionalFormatting>
  <conditionalFormatting sqref="J57:K67">
    <cfRule type="colorScale" priority="802">
      <colorScale>
        <cfvo type="percent" val="0"/>
        <cfvo type="percent" val="100"/>
        <color rgb="FFFF231B"/>
        <color rgb="FF10FF07"/>
      </colorScale>
    </cfRule>
  </conditionalFormatting>
  <conditionalFormatting sqref="K18:K23">
    <cfRule type="colorScale" priority="197">
      <colorScale>
        <cfvo type="percent" val="0"/>
        <cfvo type="percent" val="100"/>
        <color rgb="FFFF231B"/>
        <color rgb="FF10FF07"/>
      </colorScale>
    </cfRule>
  </conditionalFormatting>
  <conditionalFormatting sqref="K19">
    <cfRule type="colorScale" priority="178">
      <colorScale>
        <cfvo type="percent" val="0"/>
        <cfvo type="percent" val="100"/>
        <color rgb="FFFF231B"/>
        <color rgb="FF10FF07"/>
      </colorScale>
    </cfRule>
  </conditionalFormatting>
  <conditionalFormatting sqref="K20:K27 K17">
    <cfRule type="colorScale" priority="925">
      <colorScale>
        <cfvo type="percent" val="0"/>
        <cfvo type="percent" val="100"/>
        <color rgb="FFFF231B"/>
        <color rgb="FF10FF07"/>
      </colorScale>
    </cfRule>
  </conditionalFormatting>
  <conditionalFormatting sqref="K30:K40">
    <cfRule type="colorScale" priority="928">
      <colorScale>
        <cfvo type="percent" val="0"/>
        <cfvo type="percent" val="100"/>
        <color rgb="FFFF231B"/>
        <color rgb="FF10FF07"/>
      </colorScale>
    </cfRule>
  </conditionalFormatting>
  <conditionalFormatting sqref="K43:K53">
    <cfRule type="colorScale" priority="931">
      <colorScale>
        <cfvo type="percent" val="0"/>
        <cfvo type="percent" val="100"/>
        <color rgb="FFFF231B"/>
        <color rgb="FF10FF07"/>
      </colorScale>
    </cfRule>
  </conditionalFormatting>
  <conditionalFormatting sqref="K56:K67">
    <cfRule type="colorScale" priority="805">
      <colorScale>
        <cfvo type="percent" val="0"/>
        <cfvo type="percent" val="100"/>
        <color rgb="FFFF231B"/>
        <color rgb="FF10FF07"/>
      </colorScale>
    </cfRule>
  </conditionalFormatting>
  <conditionalFormatting sqref="BG17:BG26 O17:O27 Q17:Q27 V17:V27 X17:X27 AC17:AC27 AE17:AE27 AJ17:AJ27 AL17:AL27 AQ17:AQ27 AS17:AS27 AX17:AX27 AZ17:AZ27 BE17:BE27 BL17:BL27 BN17:BN27 BS17:BS27 BU17:BU27 BZ17:BZ27 CB17:CB27 CG17:CG27 CI17:CI27 CN17:CN27 CP17:CP27 CU17:CU27 CW17:CW27 DB17:DB27 AX30:AX37 O30:O39 Q30:Q39 V30:V39 X30:X39 AC30:AC39 AE30:AE39 AJ30:AJ39 AL30:AL39 AS30:AS39 BE30:BE39 BG30:BG39 BL30:BL39 BN30:BN39 BS30:BS40 BU30:BU40 BZ30:BZ40 CB30:CB40 CG30:CG40 CI30:CI40 CN30:CN40 CP30:CP40 CU30:CU40 CW30:CW40 DB30:DB40 DD30:DD40 O43:O53 V43:V53 X43:X53 AC43:AC53 AE43:AE53 AJ43:AJ53 AL43:AL53 AQ43:AQ53 AS43:AS53 AX43:AX53 AZ43:AZ53 BE43:BE53 BG43:BG53 BL43:BL53 BN43:BN53 BS43:BS53 BU43:BU53 BZ43:BZ53 CB43:CB53 CG43:CG53 CI43:CI53 CN43:CN53 CP43:CP53 CU43:CU53 CW43:CW53 O56:O67 Q56:Q67 V56:V67 X56:X67 AC56:AC67 AE56:AE67 AJ56:AJ67 AL56:AL67 AQ56:AQ67 AS56:AS67 AX56:AX67 AZ56:AZ67 BE56:BE67 BG56:BG67 BL56:BL67 BN56:BN67 DD56:DD67 V5:V8 O5:O14 Q5:Q14 X5:X14 AC5:AC14 AE5:AE14 AJ5:AJ14 AL5:AL14 AQ5:AQ14 AS5:AS14 AX5:AX14 AZ5:AZ14 BE5:BE14 BG5:BG14 BL5:BL14 BN5:BN14 DI7:DI14 V11:V14 BS5:BS14 BU5:BU14 BZ5:BZ14 CB5:CB14 CG5:CG14 CI5:CI14 CN5:CN14 CP5:CP14 CU5:CU14 CW5:CW14 DB5:DB14 DD5:DD14 DK5:DK14 DP5:DP14 DR5:DR14 DW5:DW14 DY5:DY14 ED5:ED14 EF5:EF14 EK5:EK14 EM5:EM14 AQ30:AQ37 AZ30:AZ38">
    <cfRule type="expression" dxfId="67" priority="618">
      <formula>OR(IF(O5&lt;P5,TRUE),IF(AND(P5="",O5&lt;&gt;""),TRUE))</formula>
    </cfRule>
    <cfRule type="expression" dxfId="66" priority="619">
      <formula>IF(O5&gt;=P5,IF(O5="",FALSE,TRUE))</formula>
    </cfRule>
  </conditionalFormatting>
  <conditionalFormatting sqref="Q43:Q53">
    <cfRule type="expression" dxfId="65" priority="13">
      <formula>OR(IF(Q43&lt;R43,TRUE),IF(AND(R43="",Q43&lt;&gt;""),TRUE))</formula>
    </cfRule>
    <cfRule type="expression" dxfId="64" priority="14">
      <formula>IF(Q43&gt;=R43,IF(Q43="",FALSE,TRUE))</formula>
    </cfRule>
  </conditionalFormatting>
  <conditionalFormatting sqref="AX39">
    <cfRule type="expression" dxfId="63" priority="936">
      <formula>OR(IF(AX39&lt;#REF!,TRUE),IF(AND(#REF!="",AX39&lt;&gt;""),TRUE))</formula>
    </cfRule>
    <cfRule type="expression" dxfId="62" priority="937">
      <formula>IF(AX39&gt;=#REF!,IF(AX39="",FALSE,TRUE))</formula>
    </cfRule>
  </conditionalFormatting>
  <conditionalFormatting sqref="BS56:BS67 BU56:BU67">
    <cfRule type="expression" dxfId="61" priority="174">
      <formula>OR(IF(BS56&lt;BT56,TRUE),IF(AND(BT56="",BS56&lt;&gt;""),TRUE))</formula>
    </cfRule>
    <cfRule type="expression" dxfId="60" priority="175">
      <formula>IF(BS56&gt;=BT56,IF(BS56="",FALSE,TRUE))</formula>
    </cfRule>
  </conditionalFormatting>
  <conditionalFormatting sqref="BZ56:BZ67 CB56:CB67">
    <cfRule type="expression" dxfId="59" priority="154">
      <formula>OR(IF(BZ56&lt;CA56,TRUE),IF(AND(CA56="",BZ56&lt;&gt;""),TRUE))</formula>
    </cfRule>
    <cfRule type="expression" dxfId="58" priority="155">
      <formula>IF(BZ56&gt;=CA56,IF(BZ56="",FALSE,TRUE))</formula>
    </cfRule>
  </conditionalFormatting>
  <conditionalFormatting sqref="CG56:CG67 CI56:CI67">
    <cfRule type="expression" dxfId="57" priority="134">
      <formula>OR(IF(CG56&lt;CH56,TRUE),IF(AND(CH56="",CG56&lt;&gt;""),TRUE))</formula>
    </cfRule>
    <cfRule type="expression" dxfId="56" priority="135">
      <formula>IF(CG56&gt;=CH56,IF(CG56="",FALSE,TRUE))</formula>
    </cfRule>
  </conditionalFormatting>
  <conditionalFormatting sqref="CN56:CN67 CP56:CP67">
    <cfRule type="expression" dxfId="55" priority="114">
      <formula>OR(IF(CN56&lt;CO56,TRUE),IF(AND(CO56="",CN56&lt;&gt;""),TRUE))</formula>
    </cfRule>
    <cfRule type="expression" dxfId="54" priority="115">
      <formula>IF(CN56&gt;=CO56,IF(CN56="",FALSE,TRUE))</formula>
    </cfRule>
  </conditionalFormatting>
  <conditionalFormatting sqref="CU56:CU67 CW56:CW67">
    <cfRule type="expression" dxfId="53" priority="94">
      <formula>OR(IF(CU56&lt;CV56,TRUE),IF(AND(CV56="",CU56&lt;&gt;""),TRUE))</formula>
    </cfRule>
    <cfRule type="expression" dxfId="52" priority="95">
      <formula>IF(CU56&gt;=CV56,IF(CU56="",FALSE,TRUE))</formula>
    </cfRule>
  </conditionalFormatting>
  <conditionalFormatting sqref="DB56:DB67">
    <cfRule type="expression" dxfId="51" priority="52">
      <formula>OR(IF(DB56&lt;DC56,TRUE),IF(AND(DC56="",DB56&lt;&gt;""),TRUE))</formula>
    </cfRule>
    <cfRule type="expression" dxfId="50" priority="53">
      <formula>IF(DB56&gt;=DC56,IF(DB56="",FALSE,TRUE))</formula>
    </cfRule>
  </conditionalFormatting>
  <conditionalFormatting sqref="DB43:DB53 DD43:DD53">
    <cfRule type="expression" dxfId="49" priority="16">
      <formula>OR(IF(DB43&lt;DC43,TRUE),IF(AND(DC43="",DB43&lt;&gt;""),TRUE))</formula>
    </cfRule>
    <cfRule type="expression" dxfId="48" priority="17">
      <formula>IF(DB43&gt;=DC43,IF(DB43="",FALSE,TRUE))</formula>
    </cfRule>
  </conditionalFormatting>
  <conditionalFormatting sqref="DD17:DD27">
    <cfRule type="expression" dxfId="47" priority="18">
      <formula>OR(IF(DD17&lt;DE17,TRUE),IF(AND(DE17="",DD17&lt;&gt;""),TRUE))</formula>
    </cfRule>
    <cfRule type="expression" dxfId="46" priority="19">
      <formula>IF(DD17&gt;=DE17,IF(DD17="",FALSE,TRUE))</formula>
    </cfRule>
  </conditionalFormatting>
  <conditionalFormatting sqref="DI5:DI6">
    <cfRule type="expression" dxfId="45" priority="934">
      <formula>OR(IF(DI5&lt;DJ6,TRUE),IF(AND(DJ6="",DI5&lt;&gt;""),TRUE))</formula>
    </cfRule>
    <cfRule type="expression" dxfId="44" priority="935">
      <formula>IF(DI5&gt;=DJ6,IF(DI5="",FALSE,TRUE))</formula>
    </cfRule>
  </conditionalFormatting>
  <conditionalFormatting sqref="DI17:DI27">
    <cfRule type="expression" dxfId="43" priority="11">
      <formula>OR(IF(DI17&lt;DJ17,TRUE),IF(AND(DJ17="",DI17&lt;&gt;""),TRUE))</formula>
    </cfRule>
    <cfRule type="expression" dxfId="42" priority="12">
      <formula>IF(DI17&gt;=DJ17,IF(DI17="",FALSE,TRUE))</formula>
    </cfRule>
  </conditionalFormatting>
  <conditionalFormatting sqref="DI30:DI40 DK30:DK40">
    <cfRule type="expression" dxfId="41" priority="24">
      <formula>OR(IF(DI30&lt;DJ30,TRUE),IF(AND(DJ30="",DI30&lt;&gt;""),TRUE))</formula>
    </cfRule>
    <cfRule type="expression" dxfId="40" priority="25">
      <formula>IF(DI30&gt;=DJ30,IF(DI30="",FALSE,TRUE))</formula>
    </cfRule>
  </conditionalFormatting>
  <conditionalFormatting sqref="DI43:DI53 DK43:DK53">
    <cfRule type="expression" dxfId="39" priority="3">
      <formula>OR(IF(DI43&lt;DJ43,TRUE),IF(AND(DJ43="",DI43&lt;&gt;""),TRUE))</formula>
    </cfRule>
    <cfRule type="expression" dxfId="38" priority="4">
      <formula>IF(DI43&gt;=DJ43,IF(DI43="",FALSE,TRUE))</formula>
    </cfRule>
  </conditionalFormatting>
  <conditionalFormatting sqref="DI56:DI67 DK56:DK67">
    <cfRule type="expression" dxfId="37" priority="48">
      <formula>OR(IF(DI56&lt;DJ56,TRUE),IF(AND(DJ56="",DI56&lt;&gt;""),TRUE))</formula>
    </cfRule>
    <cfRule type="expression" dxfId="36" priority="49">
      <formula>IF(DI56&gt;=DJ56,IF(DI56="",FALSE,TRUE))</formula>
    </cfRule>
  </conditionalFormatting>
  <conditionalFormatting sqref="DK17:DK27">
    <cfRule type="expression" dxfId="35" priority="9">
      <formula>OR(IF(DK17&lt;DL17,TRUE),IF(AND(DL17="",DK17&lt;&gt;""),TRUE))</formula>
    </cfRule>
    <cfRule type="expression" dxfId="34" priority="10">
      <formula>IF(DK17&gt;=DL17,IF(DK17="",FALSE,TRUE))</formula>
    </cfRule>
  </conditionalFormatting>
  <conditionalFormatting sqref="DP17:DP27 DR17:DR27 DP43:DP53 DR43:DR53">
    <cfRule type="expression" dxfId="33" priority="46">
      <formula>OR(IF(DP17&lt;DQ17,TRUE),IF(AND(DQ17="",DP17&lt;&gt;""),TRUE))</formula>
    </cfRule>
    <cfRule type="expression" dxfId="32" priority="47">
      <formula>IF(DP17&gt;=DQ17,IF(DP17="",FALSE,TRUE))</formula>
    </cfRule>
  </conditionalFormatting>
  <conditionalFormatting sqref="DP30:DP40 DR30:DR40">
    <cfRule type="expression" dxfId="31" priority="5">
      <formula>OR(IF(DP30&lt;DQ30,TRUE),IF(AND(DQ30="",DP30&lt;&gt;""),TRUE))</formula>
    </cfRule>
    <cfRule type="expression" dxfId="30" priority="6">
      <formula>IF(DP30&gt;=DQ30,IF(DP30="",FALSE,TRUE))</formula>
    </cfRule>
  </conditionalFormatting>
  <conditionalFormatting sqref="DP55:DP67 DR55:DR67">
    <cfRule type="expression" dxfId="29" priority="1">
      <formula>OR(IF(DP55&lt;DQ55,TRUE),IF(AND(DQ55="",DP55&lt;&gt;""),TRUE))</formula>
    </cfRule>
    <cfRule type="expression" dxfId="28" priority="2">
      <formula>IF(DP55&gt;=DQ55,IF(DP55="",FALSE,TRUE))</formula>
    </cfRule>
  </conditionalFormatting>
  <conditionalFormatting sqref="DW56:DW67 DY56:DY67">
    <cfRule type="expression" dxfId="27" priority="40">
      <formula>OR(IF(DW56&lt;DX56,TRUE),IF(AND(DX56="",DW56&lt;&gt;""),TRUE))</formula>
    </cfRule>
    <cfRule type="expression" dxfId="26" priority="41">
      <formula>IF(DW56&gt;=DX56,IF(DW56="",FALSE,TRUE))</formula>
    </cfRule>
  </conditionalFormatting>
  <conditionalFormatting sqref="DW17:DW27 DY17:DY27 DW30:DW39 DY30:DY39 DW43:DW53 DY43:DY53">
    <cfRule type="expression" dxfId="25" priority="42">
      <formula>OR(IF(DW17&lt;DX17,TRUE),IF(AND(DX17="",DW17&lt;&gt;""),TRUE))</formula>
    </cfRule>
    <cfRule type="expression" dxfId="24" priority="43">
      <formula>IF(DW17&gt;=DX17,IF(DW17="",FALSE,TRUE))</formula>
    </cfRule>
  </conditionalFormatting>
  <conditionalFormatting sqref="ED56:ED67 EF56:EF67">
    <cfRule type="expression" dxfId="23" priority="36">
      <formula>OR(IF(ED56&lt;EE56,TRUE),IF(AND(EE56="",ED56&lt;&gt;""),TRUE))</formula>
    </cfRule>
    <cfRule type="expression" dxfId="22" priority="37">
      <formula>IF(ED56&gt;=EE56,IF(ED56="",FALSE,TRUE))</formula>
    </cfRule>
  </conditionalFormatting>
  <conditionalFormatting sqref="ED17:ED27 EF17:EF27 ED30:ED39 EF30:EF39 ED43:ED53 EF43:EF53">
    <cfRule type="expression" dxfId="21" priority="38">
      <formula>OR(IF(ED17&lt;EE17,TRUE),IF(AND(EE17="",ED17&lt;&gt;""),TRUE))</formula>
    </cfRule>
    <cfRule type="expression" dxfId="20" priority="39">
      <formula>IF(ED17&gt;=EE17,IF(ED17="",FALSE,TRUE))</formula>
    </cfRule>
  </conditionalFormatting>
  <conditionalFormatting sqref="EK56:EK67 EM56:EM67">
    <cfRule type="expression" dxfId="19" priority="32">
      <formula>OR(IF(EK56&lt;EL56,TRUE),IF(AND(EL56="",EK56&lt;&gt;""),TRUE))</formula>
    </cfRule>
    <cfRule type="expression" dxfId="18" priority="33">
      <formula>IF(EK56&gt;=EL56,IF(EK56="",FALSE,TRUE))</formula>
    </cfRule>
  </conditionalFormatting>
  <conditionalFormatting sqref="EK17:EK27 EM17:EM27 EK30:EK39 EM30:EM39 EK43:EK53 EM43:EM53">
    <cfRule type="expression" dxfId="17" priority="34">
      <formula>OR(IF(EK17&lt;EL17,TRUE),IF(AND(EL17="",EK17&lt;&gt;""),TRUE))</formula>
    </cfRule>
    <cfRule type="expression" dxfId="16" priority="35">
      <formula>IF(EK17&gt;=EL17,IF(EK17="",FALSE,TRUE))</formula>
    </cfRule>
  </conditionalFormatting>
  <conditionalFormatting sqref="V10 AQ39">
    <cfRule type="expression" dxfId="15" priority="940">
      <formula>OR(IF(V10&lt;W9,TRUE),IF(AND(W9="",V10&lt;&gt;""),TRUE))</formula>
    </cfRule>
    <cfRule type="expression" dxfId="14" priority="941">
      <formula>IF(V10&gt;=W9,IF(V10="",FALSE,TRUE))</formula>
    </cfRule>
  </conditionalFormatting>
  <conditionalFormatting sqref="V9 AQ38 AX38 AZ39">
    <cfRule type="expression" dxfId="13" priority="942">
      <formula>OR(IF(V9&lt;#REF!,TRUE),IF(AND(#REF!="",V9&lt;&gt;""),TRUE))</formula>
    </cfRule>
    <cfRule type="expression" dxfId="12" priority="943">
      <formula>IF(V9&gt;=#REF!,IF(V9="",FALSE,TRUE))</formula>
    </cfRule>
  </conditionalFormatting>
  <conditionalFormatting sqref="J5:J14">
    <cfRule type="colorScale" priority="944">
      <colorScale>
        <cfvo type="percent" val="0"/>
        <cfvo type="percent" val="100"/>
        <color rgb="FFFF231B"/>
        <color rgb="FF10FF07"/>
      </colorScale>
    </cfRule>
  </conditionalFormatting>
  <conditionalFormatting sqref="J6:K14">
    <cfRule type="colorScale" priority="946">
      <colorScale>
        <cfvo type="percent" val="0"/>
        <cfvo type="percent" val="100"/>
        <color rgb="FFFF231B"/>
        <color rgb="FF10FF07"/>
      </colorScale>
    </cfRule>
  </conditionalFormatting>
  <conditionalFormatting sqref="K5:K14">
    <cfRule type="colorScale" priority="947">
      <colorScale>
        <cfvo type="percent" val="0"/>
        <cfvo type="percent" val="100"/>
        <color rgb="FFFF231B"/>
        <color rgb="FF10FF07"/>
      </colorScale>
    </cfRule>
  </conditionalFormatting>
  <dataValidations count="1">
    <dataValidation type="list" allowBlank="1" showInputMessage="1" showErrorMessage="1" sqref="V17:Y27 AC56:AF67 AJ56:AM67 AQ56:AT67 AZ38:BA39 O30:R39 AQ17:AT27 BE5:BH14 AJ17:AM27 AC17:AF27 V30:Y39 DB43:DE53 O56:R67 BE30:BH39 AJ30:AM39 AC30:AF39 X9:Y10 V56:Y67 AX43:BA53 BF52:BF53 AQ43:AT53 AC43:AF53 DB5:DE14 O43:R53 AJ5:AM14 BZ5:CC14 AF10:AF14 AX17:BA27 CN17:CQ27 DI5:DL14 DP55:DS67 O17:R27 V43:Y53 O5:R14 BL5:BO14 AJ43:AM53 CA50 BL56:BO67 BE56:BH67 AX5:BA14 AQ5:AT14 EK17:EN27 CU5:CX14 EK56:EN67 BE17:BG27 DR40 EK30:EN39 DI56:DL67 DI17:DL27 DP43:DS53 DI43:DL53 DP17:DS27 DW5:DZ14 DW43:DZ53 DW56:DZ67 DW30:DZ39 DW17:DZ27 ED5:EG14 ED43:EG53 ED56:EG67 ED30:EG39 ED17:EG27 EK5:EN14 EK43:EN53 CO43:CO51 CH43:CH50 CU56:CX67 AX56:BA67 AX38 AX39:AY39 AQ30:AT37 BH26:BH27 BH52:BH53 BH46 BE43:BE53 BG43:BG53 BF43:BF50 BL43:BL53 BL17:BO27 DB30:DE40 AX30:BA37 BM52:BM53 BM43:BM50 BN43:BN53 BO52:BO53 BS56:BV67 BS17:BV27 BT43:BT50 BU43:BU53 BS43:BS53 BZ30:CC40 BV43:BV50 BZ17:CC27 BZ43:BZ53 DI30:DL40 BZ56:CC67 CB43:CB53 CG56:CJ67 CG43:CG53 CG17:CJ27 CC50 CI43:CI53 BS30:BV40 CN43:CN53 CN56:CQ67 CJ43:CJ50 CG5:CJ14 CP43:CP53 CG30:CJ40 DP5:DS14 CU17:CX27 DP30:DS39 DP40 CQ43:CQ51 BS5:BV14 CN5:CQ14 CN30:CQ40 CU30:CX40 DB17:DE27 DB56:DE67 CX43:CX52 V10 V9:W9 V5:Y8 V11:Y14 AC5:AE14 AF5:AF8 AQ39 AQ38:AR38 AS38:AT39 BL30:BO39 CA43:CA48 CC43:CC48 CU43:CU53 CV43:CV52 CW43:CW53 BO43:BO50"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cols>
    <col min="2" max="2" width="161" customWidth="1"/>
    <col min="3" max="3" width="10.83203125"/>
  </cols>
  <sheetData>
    <row r="4" spans="2:2" ht="21">
      <c r="B4" s="3" t="s">
        <v>16</v>
      </c>
    </row>
    <row r="6" spans="2:2">
      <c r="B6" s="2" t="s">
        <v>13</v>
      </c>
    </row>
    <row r="7" spans="2:2" ht="51">
      <c r="B7" s="1" t="s">
        <v>14</v>
      </c>
    </row>
    <row r="9" spans="2:2">
      <c r="B9" s="2" t="s">
        <v>15</v>
      </c>
    </row>
    <row r="10" spans="2:2" ht="68">
      <c r="B10" s="1" t="s">
        <v>34</v>
      </c>
    </row>
    <row r="12" spans="2:2">
      <c r="B12" s="2" t="s">
        <v>17</v>
      </c>
    </row>
    <row r="13" spans="2:2" ht="153">
      <c r="B13" s="1" t="s">
        <v>18</v>
      </c>
    </row>
    <row r="15" spans="2:2">
      <c r="B15" s="2" t="s">
        <v>19</v>
      </c>
    </row>
    <row r="16" spans="2:2" ht="119">
      <c r="B16" s="1" t="s">
        <v>20</v>
      </c>
    </row>
    <row r="17" spans="2:2">
      <c r="B17" s="1"/>
    </row>
    <row r="18" spans="2:2">
      <c r="B18" s="2" t="s">
        <v>33</v>
      </c>
    </row>
    <row r="19" spans="2:2" ht="153">
      <c r="B19" s="1" t="s">
        <v>35</v>
      </c>
    </row>
    <row r="21" spans="2:2">
      <c r="B21" s="2" t="s">
        <v>21</v>
      </c>
    </row>
    <row r="22" spans="2:2" ht="136">
      <c r="B22" s="1" t="s">
        <v>36</v>
      </c>
    </row>
    <row r="24" spans="2:2">
      <c r="B24" s="2" t="s">
        <v>22</v>
      </c>
    </row>
    <row r="25" spans="2:2" ht="136">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c r="A1" s="9" t="s">
        <v>40</v>
      </c>
      <c r="B1" s="14" t="s">
        <v>37</v>
      </c>
      <c r="C1" s="14" t="s">
        <v>38</v>
      </c>
      <c r="D1" s="14" t="s">
        <v>39</v>
      </c>
      <c r="E1" s="1" t="s">
        <v>41</v>
      </c>
      <c r="F1" s="1" t="s">
        <v>42</v>
      </c>
      <c r="G1" s="1" t="s">
        <v>43</v>
      </c>
      <c r="H1" s="1" t="s">
        <v>44</v>
      </c>
      <c r="I1" s="1" t="s">
        <v>45</v>
      </c>
      <c r="J1" s="1" t="s">
        <v>46</v>
      </c>
      <c r="K1" s="1" t="s">
        <v>47</v>
      </c>
    </row>
    <row r="2" spans="1:11">
      <c r="A2" s="13">
        <v>44118</v>
      </c>
      <c r="D2" s="11">
        <v>1</v>
      </c>
    </row>
    <row r="3" spans="1:11">
      <c r="A3" s="13">
        <v>44119</v>
      </c>
    </row>
    <row r="4" spans="1:11">
      <c r="A4" s="13">
        <v>44120</v>
      </c>
    </row>
    <row r="5" spans="1:11">
      <c r="A5" s="13">
        <v>44121</v>
      </c>
    </row>
    <row r="6" spans="1:11">
      <c r="A6" s="13">
        <v>44122</v>
      </c>
    </row>
    <row r="7" spans="1:11">
      <c r="A7" s="13">
        <v>44123</v>
      </c>
    </row>
    <row r="8" spans="1:11">
      <c r="A8" s="13">
        <v>44124</v>
      </c>
    </row>
    <row r="9" spans="1:11">
      <c r="A9" s="13">
        <v>44125</v>
      </c>
    </row>
    <row r="10" spans="1:11">
      <c r="A10" s="13">
        <v>44126</v>
      </c>
    </row>
    <row r="11" spans="1:11">
      <c r="A11" s="13">
        <v>44127</v>
      </c>
    </row>
    <row r="12" spans="1:11">
      <c r="A12" s="13">
        <v>44128</v>
      </c>
    </row>
    <row r="13" spans="1:11">
      <c r="A13" s="13">
        <v>44129</v>
      </c>
    </row>
    <row r="14" spans="1:11">
      <c r="A14" s="13">
        <v>44130</v>
      </c>
    </row>
    <row r="15" spans="1:11">
      <c r="A15" s="13">
        <v>44131</v>
      </c>
    </row>
    <row r="16" spans="1:11">
      <c r="A16" s="13">
        <v>44132</v>
      </c>
    </row>
    <row r="17" spans="1:1">
      <c r="A17" s="13">
        <v>44133</v>
      </c>
    </row>
    <row r="18" spans="1:1">
      <c r="A18" s="13">
        <v>44134</v>
      </c>
    </row>
    <row r="19" spans="1:1">
      <c r="A19" s="13">
        <v>44135</v>
      </c>
    </row>
    <row r="20" spans="1:1">
      <c r="A20" s="13">
        <v>44136</v>
      </c>
    </row>
    <row r="21" spans="1:1">
      <c r="A21" s="13">
        <v>44137</v>
      </c>
    </row>
    <row r="22" spans="1:1">
      <c r="A22" s="13">
        <v>44138</v>
      </c>
    </row>
    <row r="23" spans="1:1">
      <c r="A23" s="13">
        <v>44139</v>
      </c>
    </row>
    <row r="24" spans="1:1">
      <c r="A24" s="13">
        <v>44140</v>
      </c>
    </row>
    <row r="25" spans="1:1">
      <c r="A25" s="13">
        <v>44141</v>
      </c>
    </row>
    <row r="26" spans="1:1">
      <c r="A26" s="13">
        <v>44142</v>
      </c>
    </row>
    <row r="27" spans="1:1">
      <c r="A27" s="13">
        <v>44143</v>
      </c>
    </row>
    <row r="28" spans="1:1">
      <c r="A28" s="13">
        <v>44144</v>
      </c>
    </row>
    <row r="29" spans="1:1">
      <c r="A29" s="13">
        <v>44145</v>
      </c>
    </row>
    <row r="30" spans="1:1">
      <c r="A30" s="13">
        <v>44146</v>
      </c>
    </row>
    <row r="31" spans="1:1">
      <c r="A31" s="13">
        <v>44147</v>
      </c>
    </row>
    <row r="32" spans="1:1">
      <c r="A32" s="13">
        <v>44148</v>
      </c>
    </row>
    <row r="33" spans="1:1">
      <c r="A33" s="13">
        <v>44149</v>
      </c>
    </row>
    <row r="34" spans="1:1">
      <c r="A34" s="13">
        <v>44150</v>
      </c>
    </row>
    <row r="35" spans="1:1">
      <c r="A35" s="13">
        <v>44151</v>
      </c>
    </row>
    <row r="36" spans="1:1">
      <c r="A36" s="13">
        <v>44152</v>
      </c>
    </row>
    <row r="37" spans="1:1">
      <c r="A37" s="13">
        <v>44153</v>
      </c>
    </row>
    <row r="38" spans="1:1">
      <c r="A38" s="13">
        <v>44154</v>
      </c>
    </row>
    <row r="39" spans="1:1">
      <c r="A39" s="13">
        <v>44155</v>
      </c>
    </row>
    <row r="40" spans="1:1">
      <c r="A40" s="13">
        <v>44156</v>
      </c>
    </row>
    <row r="41" spans="1:1">
      <c r="A41" s="13">
        <v>44157</v>
      </c>
    </row>
    <row r="42" spans="1:1">
      <c r="A42" s="13">
        <v>44158</v>
      </c>
    </row>
    <row r="43" spans="1:1">
      <c r="A43" s="13">
        <v>44159</v>
      </c>
    </row>
    <row r="44" spans="1:1">
      <c r="A44" s="13">
        <v>44160</v>
      </c>
    </row>
    <row r="45" spans="1:1">
      <c r="A45" s="13">
        <v>44161</v>
      </c>
    </row>
    <row r="46" spans="1:1">
      <c r="A46" s="13">
        <v>44162</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sheetData>
    <row r="1" spans="1:8" ht="2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sheetData>
    <row r="1" spans="1:8" ht="2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Stauffacher, Michel</cp:lastModifiedBy>
  <dcterms:created xsi:type="dcterms:W3CDTF">2020-04-19T13:33:28Z</dcterms:created>
  <dcterms:modified xsi:type="dcterms:W3CDTF">2025-02-16T07:43:40Z</dcterms:modified>
</cp:coreProperties>
</file>