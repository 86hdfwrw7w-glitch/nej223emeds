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C:\Users\arman\Documents\Studium\6. FS\"/>
    </mc:Choice>
  </mc:AlternateContent>
  <xr:revisionPtr revIDLastSave="0" documentId="13_ncr:1_{FEA3280E-018D-47F5-BEBB-B12BD4BA1ED0}" xr6:coauthVersionLast="36" xr6:coauthVersionMax="47" xr10:uidLastSave="{00000000-0000-0000-0000-000000000000}"/>
  <bookViews>
    <workbookView xWindow="0" yWindow="0" windowWidth="23040" windowHeight="8940" activeTab="1" xr2:uid="{50F29292-BE80-0C47-A0D2-DD086CB3D310}"/>
  </bookViews>
  <sheets>
    <sheet name="ANLEITUNG" sheetId="10" r:id="rId1"/>
    <sheet name="Semesterplan" sheetId="7" r:id="rId2"/>
    <sheet name="Best-Practices" sheetId="2" r:id="rId3"/>
    <sheet name="COMMITTMENT" sheetId="9" r:id="rId4"/>
    <sheet name="Wochenplan KW 14" sheetId="11" r:id="rId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54" i="7" l="1"/>
  <c r="U54" i="7"/>
  <c r="AB54" i="7"/>
  <c r="AI54" i="7"/>
  <c r="AP54" i="7"/>
  <c r="I55" i="7"/>
  <c r="J55" i="7" a="1"/>
  <c r="J55" i="7" s="1"/>
  <c r="K55" i="7" a="1"/>
  <c r="K55" i="7" s="1"/>
  <c r="I56" i="7"/>
  <c r="J56" i="7" a="1"/>
  <c r="J56" i="7" s="1"/>
  <c r="K56" i="7" a="1"/>
  <c r="K56" i="7" s="1"/>
  <c r="I57" i="7"/>
  <c r="J57" i="7" a="1"/>
  <c r="J57" i="7" s="1"/>
  <c r="K57" i="7" a="1"/>
  <c r="K57" i="7" s="1"/>
  <c r="I58" i="7"/>
  <c r="J58" i="7" a="1"/>
  <c r="J58" i="7" s="1"/>
  <c r="K58" i="7" a="1"/>
  <c r="K58" i="7" s="1"/>
  <c r="I59" i="7"/>
  <c r="J59" i="7" a="1"/>
  <c r="J59" i="7" s="1"/>
  <c r="K59" i="7" a="1"/>
  <c r="K59" i="7" s="1"/>
  <c r="I60" i="7"/>
  <c r="J60" i="7" a="1"/>
  <c r="J60" i="7" s="1"/>
  <c r="K60" i="7" a="1"/>
  <c r="K60" i="7" s="1"/>
  <c r="I61" i="7"/>
  <c r="J61" i="7" a="1"/>
  <c r="J61" i="7" s="1"/>
  <c r="K61" i="7" a="1"/>
  <c r="K61" i="7" s="1"/>
  <c r="K54" i="7" l="1"/>
  <c r="I54" i="7"/>
  <c r="J54" i="7"/>
  <c r="C12" i="10"/>
  <c r="C11" i="10"/>
  <c r="K12" i="7" a="1"/>
  <c r="K12" i="7" s="1"/>
  <c r="J12" i="7" a="1"/>
  <c r="J12" i="7" s="1"/>
  <c r="I12" i="7"/>
  <c r="I10" i="7"/>
  <c r="J10" i="7" a="1"/>
  <c r="J10" i="7" s="1"/>
  <c r="K10" i="7" a="1"/>
  <c r="K10" i="7" s="1"/>
  <c r="K11" i="7" a="1"/>
  <c r="K11" i="7" s="1"/>
  <c r="J11" i="7" a="1"/>
  <c r="J11" i="7" s="1"/>
  <c r="I11" i="7"/>
  <c r="EC4" i="7" l="1"/>
  <c r="DV4" i="7"/>
  <c r="DO4" i="7"/>
  <c r="DH4" i="7"/>
  <c r="DA4" i="7"/>
  <c r="CT4" i="7"/>
  <c r="CM4" i="7"/>
  <c r="I33" i="7" l="1"/>
  <c r="J33" i="7" a="1"/>
  <c r="J33" i="7" s="1"/>
  <c r="K33" i="7" a="1"/>
  <c r="K33" i="7" s="1"/>
  <c r="K42" i="7" l="1" a="1"/>
  <c r="K42" i="7" s="1"/>
  <c r="J42" i="7" a="1"/>
  <c r="J42" i="7" s="1"/>
  <c r="I42" i="7"/>
  <c r="CF4" i="7" l="1"/>
  <c r="BY4" i="7"/>
  <c r="BR4" i="7"/>
  <c r="K18" i="7" a="1"/>
  <c r="K18" i="7" s="1"/>
  <c r="J18" i="7" a="1"/>
  <c r="J18" i="7" s="1"/>
  <c r="I18" i="7"/>
  <c r="K17" i="7" a="1"/>
  <c r="K17" i="7" s="1"/>
  <c r="J17" i="7" a="1"/>
  <c r="J17" i="7" s="1"/>
  <c r="I17"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K47" i="7" a="1"/>
  <c r="K47" i="7" s="1"/>
  <c r="J47" i="7" a="1"/>
  <c r="J47" i="7" s="1"/>
  <c r="I47" i="7"/>
  <c r="K46" i="7" a="1"/>
  <c r="K46" i="7" s="1"/>
  <c r="J46" i="7" a="1"/>
  <c r="J46" i="7" s="1"/>
  <c r="I46" i="7"/>
  <c r="AP45" i="7"/>
  <c r="AI45" i="7"/>
  <c r="AB45" i="7"/>
  <c r="U45" i="7"/>
  <c r="N45" i="7"/>
  <c r="K43" i="7" a="1"/>
  <c r="K43" i="7" s="1"/>
  <c r="J43" i="7" a="1"/>
  <c r="J43" i="7" s="1"/>
  <c r="I43" i="7"/>
  <c r="K41" i="7" a="1"/>
  <c r="K41" i="7" s="1"/>
  <c r="J41" i="7" a="1"/>
  <c r="J41" i="7" s="1"/>
  <c r="I41" i="7"/>
  <c r="K40" i="7" a="1"/>
  <c r="K40" i="7" s="1"/>
  <c r="J40" i="7" a="1"/>
  <c r="J40" i="7" s="1"/>
  <c r="I40" i="7"/>
  <c r="K39" i="7" a="1"/>
  <c r="K39" i="7" s="1"/>
  <c r="J39" i="7" a="1"/>
  <c r="J39" i="7" s="1"/>
  <c r="I39" i="7"/>
  <c r="K38" i="7" a="1"/>
  <c r="K38" i="7" s="1"/>
  <c r="J38" i="7" a="1"/>
  <c r="J38" i="7" s="1"/>
  <c r="I38" i="7"/>
  <c r="K37" i="7" a="1"/>
  <c r="K37" i="7" s="1"/>
  <c r="J37" i="7" a="1"/>
  <c r="J37" i="7" s="1"/>
  <c r="I37" i="7"/>
  <c r="K36" i="7" a="1"/>
  <c r="K36" i="7" s="1"/>
  <c r="J36" i="7" a="1"/>
  <c r="J36" i="7" s="1"/>
  <c r="I36" i="7"/>
  <c r="AP35" i="7"/>
  <c r="AI35" i="7"/>
  <c r="AB35" i="7"/>
  <c r="U35" i="7"/>
  <c r="N35" i="7"/>
  <c r="BK4" i="7"/>
  <c r="K21" i="7" a="1"/>
  <c r="K21" i="7" s="1"/>
  <c r="J21" i="7" a="1"/>
  <c r="J21" i="7" s="1"/>
  <c r="K20" i="7" a="1"/>
  <c r="K20" i="7" s="1"/>
  <c r="J20" i="7" a="1"/>
  <c r="J20" i="7" s="1"/>
  <c r="K19" i="7" a="1"/>
  <c r="K19" i="7" s="1"/>
  <c r="J19" i="7" a="1"/>
  <c r="J19" i="7" s="1"/>
  <c r="K16" i="7" a="1"/>
  <c r="K16" i="7" s="1"/>
  <c r="J16" i="7" a="1"/>
  <c r="J16" i="7" s="1"/>
  <c r="K32" i="7" a="1"/>
  <c r="K32" i="7" s="1"/>
  <c r="J32" i="7" a="1"/>
  <c r="J32" i="7" s="1"/>
  <c r="K31" i="7" a="1"/>
  <c r="K31" i="7" s="1"/>
  <c r="J31" i="7" a="1"/>
  <c r="J31" i="7" s="1"/>
  <c r="K30" i="7" a="1"/>
  <c r="K30" i="7" s="1"/>
  <c r="J30" i="7" a="1"/>
  <c r="J30" i="7" s="1"/>
  <c r="K29" i="7" a="1"/>
  <c r="K29" i="7" s="1"/>
  <c r="J29" i="7" a="1"/>
  <c r="J29" i="7" s="1"/>
  <c r="K28" i="7" a="1"/>
  <c r="K28" i="7" s="1"/>
  <c r="J28" i="7" a="1"/>
  <c r="J28" i="7" s="1"/>
  <c r="K27" i="7" a="1"/>
  <c r="K27" i="7" s="1"/>
  <c r="J27" i="7" a="1"/>
  <c r="J27" i="7" s="1"/>
  <c r="K26" i="7" a="1"/>
  <c r="K26" i="7" s="1"/>
  <c r="J26" i="7" a="1"/>
  <c r="J26" i="7" s="1"/>
  <c r="K25" i="7" a="1"/>
  <c r="K25" i="7" s="1"/>
  <c r="J25" i="7" a="1"/>
  <c r="J25" i="7" s="1"/>
  <c r="K24" i="7" a="1"/>
  <c r="K24" i="7" s="1"/>
  <c r="J24" i="7" a="1"/>
  <c r="J24" i="7" s="1"/>
  <c r="K13" i="7" a="1"/>
  <c r="K13" i="7" s="1"/>
  <c r="J13" i="7" a="1"/>
  <c r="J13" i="7" s="1"/>
  <c r="K9" i="7" a="1"/>
  <c r="K9" i="7" s="1"/>
  <c r="J9" i="7" a="1"/>
  <c r="J9" i="7" s="1"/>
  <c r="K8" i="7" a="1"/>
  <c r="K8" i="7" s="1"/>
  <c r="J8" i="7" a="1"/>
  <c r="J8" i="7" s="1"/>
  <c r="K7" i="7" a="1"/>
  <c r="K7" i="7" s="1"/>
  <c r="J7" i="7" a="1"/>
  <c r="J7" i="7" s="1"/>
  <c r="K6" i="7" a="1"/>
  <c r="K6" i="7" s="1"/>
  <c r="J6" i="7" a="1"/>
  <c r="J6" i="7" s="1"/>
  <c r="K5" i="7" a="1"/>
  <c r="K5" i="7" s="1"/>
  <c r="J5" i="7" a="1"/>
  <c r="J5" i="7" s="1"/>
  <c r="AP15" i="7"/>
  <c r="AI15" i="7"/>
  <c r="AB15" i="7"/>
  <c r="U15" i="7"/>
  <c r="BD4" i="7"/>
  <c r="AW4" i="7"/>
  <c r="AP4" i="7"/>
  <c r="AI4" i="7"/>
  <c r="AB4" i="7"/>
  <c r="U4" i="7"/>
  <c r="N4" i="7"/>
  <c r="N15" i="7"/>
  <c r="AP23" i="7"/>
  <c r="AI23" i="7"/>
  <c r="AB23" i="7"/>
  <c r="U23" i="7"/>
  <c r="I32" i="7"/>
  <c r="I31" i="7"/>
  <c r="I30" i="7"/>
  <c r="I29" i="7"/>
  <c r="I28" i="7"/>
  <c r="I27" i="7"/>
  <c r="I26" i="7"/>
  <c r="I25" i="7"/>
  <c r="I24" i="7"/>
  <c r="I21" i="7"/>
  <c r="I20" i="7"/>
  <c r="I19" i="7"/>
  <c r="I16" i="7"/>
  <c r="I6" i="7"/>
  <c r="I7" i="7"/>
  <c r="I8" i="7"/>
  <c r="I9" i="7"/>
  <c r="I13" i="7"/>
  <c r="I5" i="7"/>
  <c r="N23" i="7"/>
  <c r="I4" i="7" l="1"/>
  <c r="I45" i="7"/>
  <c r="I35" i="7"/>
  <c r="J45" i="7"/>
  <c r="K45" i="7"/>
  <c r="K35" i="7"/>
  <c r="J35" i="7"/>
  <c r="I23" i="7"/>
  <c r="J23" i="7"/>
  <c r="K23" i="7"/>
  <c r="I15" i="7"/>
  <c r="J15" i="7"/>
  <c r="K15" i="7"/>
  <c r="K4" i="7"/>
  <c r="J4"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arman zahedi</author>
  </authors>
  <commentList>
    <comment ref="C54" authorId="0" shapeId="0" xr:uid="{0324ECC7-E4DF-4563-AB5C-8198BE9846A2}">
      <text>
        <r>
          <rPr>
            <b/>
            <sz val="9"/>
            <color indexed="81"/>
            <rFont val="Segoe UI"/>
            <charset val="1"/>
          </rPr>
          <t>arman zahedi:</t>
        </r>
        <r>
          <rPr>
            <sz val="9"/>
            <color indexed="81"/>
            <rFont val="Segoe UI"/>
            <charset val="1"/>
          </rPr>
          <t xml:space="preserve">
Nicht berücksichtigen</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<sst xmlns="http://schemas.openxmlformats.org/spreadsheetml/2006/main" count="372" uniqueCount="161">
  <si>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</si>
  <si>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</si>
  <si>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</si>
  <si>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</si>
  <si>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</si>
  <si>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</si>
  <si>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</si>
  <si>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</si>
  <si>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</si>
  <si>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</si>
  <si>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</si>
  <si>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</si>
  <si>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</si>
  <si>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</si>
  <si>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</si>
  <si>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</si>
  <si>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</si>
  <si>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</si>
  <si>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</si>
  <si>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</si>
  <si>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</si>
  <si>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</si>
  <si>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</si>
  <si>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</si>
  <si>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</si>
  <si>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</si>
  <si>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</si>
  <si>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</si>
  <si>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</si>
  <si>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</si>
  <si>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</si>
  <si>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</si>
  <si>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</si>
  <si>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KW 19</t>
  </si>
  <si>
    <t>KW 20</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</si>
  <si>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</si>
  <si>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</si>
  <si>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</si>
  <si>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</si>
  <si>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</si>
  <si>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</si>
  <si>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23</t>
  </si>
  <si>
    <t>KW 24</t>
  </si>
  <si>
    <t>KW 25</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</si>
  <si>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</si>
  <si>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</si>
  <si>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</si>
  <si>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</si>
  <si>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</si>
  <si>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</si>
  <si>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</si>
  <si>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</si>
  <si>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</si>
  <si>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</si>
  <si>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</si>
  <si>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</si>
  <si>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</si>
  <si>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</si>
  <si>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</si>
  <si>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</si>
  <si>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</si>
  <si>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</si>
  <si>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</si>
  <si>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</si>
  <si>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</si>
  <si>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</si>
  <si>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</si>
  <si>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</si>
  <si>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</si>
  <si>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</si>
  <si>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</si>
  <si>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</si>
  <si>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</si>
  <si>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</si>
  <si>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</si>
  <si>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</si>
  <si>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</si>
  <si>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</si>
  <si>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</si>
  <si>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</si>
  <si>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</si>
  <si>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</si>
  <si>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</si>
  <si>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</si>
  <si>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</si>
  <si>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</si>
  <si>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</si>
  <si>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</si>
  <si>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</si>
  <si>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</si>
  <si>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</si>
  <si>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</si>
  <si>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</si>
  <si>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KW 26</t>
  </si>
  <si>
    <t>Unternehmenssteuerung Controlling</t>
  </si>
  <si>
    <t>Seminar M&amp;A</t>
  </si>
  <si>
    <t>Nachhaltigkeistcontrolling</t>
  </si>
  <si>
    <t>1) Unternhemensverfassung</t>
  </si>
  <si>
    <t>2) Grundlagen strategischer Management</t>
  </si>
  <si>
    <t>3) 3.1-3.2 Ebnen Strategieformulierung</t>
  </si>
  <si>
    <t>4) 3.3-3.4 Ebnen Strategieformulierung</t>
  </si>
  <si>
    <t>5) Strategie implementierung</t>
  </si>
  <si>
    <t>6) Grundlagen Organisationsgestaltung</t>
  </si>
  <si>
    <t>7) 6.1-6.2 Stellhebel der Organisationsgestaltung</t>
  </si>
  <si>
    <t>8) 6.3-6.4 Stellhebel der Organisationsgestaltung</t>
  </si>
  <si>
    <t>Unternhemnsführung</t>
  </si>
  <si>
    <t>1. Einführung</t>
  </si>
  <si>
    <t>2. Nachhaltikgeit</t>
  </si>
  <si>
    <t>3. Nachhaltigkeitsmanagement</t>
  </si>
  <si>
    <t>4. CG und Ethik</t>
  </si>
  <si>
    <t>5. Handlungsfelder</t>
  </si>
  <si>
    <t>6. Entscheidungstheorie</t>
  </si>
  <si>
    <t>7. Nachhaltigkeitscontrolling</t>
  </si>
  <si>
    <t>10. Umweltkostenrechnung</t>
  </si>
  <si>
    <t>8. DCF-Verfahren</t>
  </si>
  <si>
    <t>9. Wertschöpfungsrechnung</t>
  </si>
  <si>
    <t>1) Einführung</t>
  </si>
  <si>
    <t>2) Produktion und Kostentheorie</t>
  </si>
  <si>
    <t>3) Produktionsprogrammplanung mit Linearer Optimierung</t>
  </si>
  <si>
    <t>4) Bereitstellungsplanung/ Beschaffungslogistik</t>
  </si>
  <si>
    <t>5) Durchführungsplanung/ Produktionslogistik</t>
  </si>
  <si>
    <t>6) Distributionslogistik</t>
  </si>
  <si>
    <t>7) Simulation und Visualisierung von Produktions- und Logistikprozessen</t>
  </si>
  <si>
    <t>Produktion Logisitk</t>
  </si>
  <si>
    <t>24.06/27.06</t>
  </si>
  <si>
    <t>KW 14</t>
  </si>
  <si>
    <t>KW 15</t>
  </si>
  <si>
    <t>KW 16</t>
  </si>
  <si>
    <t>KW 17</t>
  </si>
  <si>
    <t>KW 18</t>
  </si>
  <si>
    <t>KW 27</t>
  </si>
  <si>
    <t>KW 28</t>
  </si>
  <si>
    <t>Kw 29</t>
  </si>
  <si>
    <t>KW 30</t>
  </si>
  <si>
    <t>KW 31</t>
  </si>
  <si>
    <t>Präsentation</t>
  </si>
  <si>
    <t>Abgabe</t>
  </si>
  <si>
    <t>Konzernrechnungslegung</t>
  </si>
  <si>
    <t>4) Grundsatz Einheitlichkeit</t>
  </si>
  <si>
    <t>5a) Vollkonsolidierung</t>
  </si>
  <si>
    <t>Klausur</t>
  </si>
  <si>
    <t>1) Grundlagen Konzernabschluss</t>
  </si>
  <si>
    <t>2) Aufstellung Konzernabschluss</t>
  </si>
  <si>
    <t>3) Abgrenzung Konsolidierungskreis</t>
  </si>
  <si>
    <t>5b) Vollkonsolidierung</t>
  </si>
  <si>
    <t>6) Kapitalflussrechnung</t>
  </si>
  <si>
    <t>1) 1. Grundlagen des Controllings</t>
  </si>
  <si>
    <t>2) 2.1 - 2.2 Informationsversorgung</t>
  </si>
  <si>
    <t>3) 2.3 - 2.4 Informationsversorgung</t>
  </si>
  <si>
    <t>4) 3.1 - 3.2 Planung und Controlle</t>
  </si>
  <si>
    <t>5) 3.3 - 3.4 Planung und Kontrolle</t>
  </si>
  <si>
    <t>6) 4. Controllung und Unternhemensführung</t>
  </si>
  <si>
    <t>Literatur-Recherche</t>
  </si>
  <si>
    <t>Struktur überlegen</t>
  </si>
  <si>
    <t>Einleitungen schreiben</t>
  </si>
  <si>
    <t>Methodiken vorstellen</t>
  </si>
  <si>
    <t>Erster Test</t>
  </si>
  <si>
    <t>Zweiter Test</t>
  </si>
  <si>
    <t>Weitere Ideen</t>
  </si>
  <si>
    <t>Fazit</t>
  </si>
  <si>
    <t>Feedback einholen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</si>
</sst>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9"/>
      <color indexed="81"/>
      <name val="Segoe UI"/>
      <charset val="1"/>
    </font>
    <font>
      <b/>
      <sz val="9"/>
      <color indexed="81"/>
      <name val="Segoe UI"/>
      <charset val="1"/>
    </font>
  </fonts>
  <fills count="8">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theme="5"/>
        <bgColor indexed="64"/>
      </patternFill>
    </fill>
  </fills>
  <borders count="1">
    <border>
      <left/>
      <right/>
      <top/>
      <bottom/>
      <diagonal/>
    </border>
  </borders>
  <cellStyleXfs count="1">
    <xf numFmtId="0" fontId="0" fillId="0" borderId="0"/>
  </cellStyleXfs>
  <cellXfs count="27">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0" fontId="0" fillId="0" borderId="0" xfId="0" applyBorder="1"/>
    <xf numFmtId="0" fontId="0" fillId="0" borderId="0" xfId="0" applyFill="1" applyBorder="1"/>
    <xf numFmtId="0" fontId="0" fillId="7" borderId="0" xfId="0" applyFill="1"/>
    <xf numFmtId="0" fontId="1" fillId="2" borderId="0" xfId="0" applyFont="1" applyFill="1" applyAlignment="1">
      <alignment horizontal="center"/>
    </xf>
  </cellXfs>
  <cellStyles count="1">
    <cellStyle name="Standard" xfId="0" builtinId="0"/>
  </cellStyles>
  <dxfs count="759">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758">
  <autoFilter ref="A1:K46" xr:uid="{6E266E34-2786-2747-BCE7-51B74867A564}"/>
  <tableColumns count="11">
    <tableColumn id="1" xr3:uid="{95FD92F7-3DC8-704D-A103-A7EDDAB255AB}" name="Datum" dataDxfId="757"/>
    <tableColumn id="2" xr3:uid="{F464D510-8166-E740-A343-FB84BDEF877F}" name="Lerneinheiten durchgezogen" dataDxfId="756"/>
    <tableColumn id="3" xr3:uid="{75F52B08-1A00-0848-BBE6-1EDF7B31B1AD}" name="Tagesplan erstellt" dataDxfId="755"/>
    <tableColumn id="4" xr3:uid="{E6B18D89-E799-AD48-9DAA-37AEE1D29011}" name="Konzentrationslevel" dataDxfId="754"/>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zoomScale="85" zoomScaleNormal="85" workbookViewId="0">
      <selection activeCell="C11" sqref="C11"/>
    </sheetView>
  </sheetViews>
  <sheetFormatPr baseColWidth="10" defaultRowHeight="15.6"/>
  <cols>
    <col min="1" max="1" width="11.796875" customWidth="1"/>
    <col min="2" max="2" width="62.69921875" customWidth="1"/>
  </cols>
  <sheetData>
    <row r="2" spans="1:4">
      <c r="C2" s="21" t="s">
        <v>77</v>
      </c>
    </row>
    <row r="3" spans="1:4">
      <c r="C3" s="20" t="s">
        <v>62</v>
      </c>
    </row>
    <row r="4" spans="1:4">
      <c r="C4" s="19" t="s">
        <v>76</v>
      </c>
    </row>
    <row r="5" spans="1:4">
      <c r="A5" s="3" t="s">
        <v>59</v>
      </c>
      <c r="B5" s="3" t="s">
        <v>60</v>
      </c>
      <c r="C5" s="3" t="s">
        <v>61</v>
      </c>
      <c r="D5" s="3" t="s">
        <v>63</v>
      </c>
    </row>
    <row r="6" spans="1:4">
      <c r="A6" t="s">
        <v>55</v>
      </c>
      <c r="B6" s="21" t="s">
        <v>58</v>
      </c>
      <c r="D6" t="s">
        <v>92</v>
      </c>
    </row>
    <row r="7" spans="1:4">
      <c r="A7" t="s">
        <v>66</v>
      </c>
      <c r="B7" t="s">
        <v>67</v>
      </c>
      <c r="C7" s="19">
        <v>40</v>
      </c>
    </row>
    <row r="8" spans="1:4">
      <c r="A8" t="s">
        <v>57</v>
      </c>
      <c r="B8" s="21" t="s">
        <v>56</v>
      </c>
      <c r="C8" s="9"/>
      <c r="D8" t="s">
        <v>80</v>
      </c>
    </row>
    <row r="9" spans="1:4">
      <c r="A9" t="s">
        <v>65</v>
      </c>
      <c r="B9" s="21" t="s">
        <v>78</v>
      </c>
      <c r="D9" t="s">
        <v>81</v>
      </c>
    </row>
    <row r="10" spans="1:4">
      <c r="A10" t="s">
        <v>69</v>
      </c>
      <c r="B10" t="s">
        <v>68</v>
      </c>
      <c r="C10" s="19">
        <v>12</v>
      </c>
      <c r="D10" t="s">
        <v>64</v>
      </c>
    </row>
    <row r="11" spans="1:4">
      <c r="A11" t="s">
        <v>70</v>
      </c>
      <c r="B11" t="s">
        <v>72</v>
      </c>
      <c r="C11" s="19">
        <f>40*3</f>
        <v>120</v>
      </c>
      <c r="D11" t="s">
        <v>71</v>
      </c>
    </row>
    <row r="12" spans="1:4">
      <c r="A12" t="s">
        <v>74</v>
      </c>
      <c r="B12" t="s">
        <v>73</v>
      </c>
      <c r="C12" s="20">
        <f>+C11/C10</f>
        <v>10</v>
      </c>
    </row>
    <row r="13" spans="1:4">
      <c r="A13" t="s">
        <v>79</v>
      </c>
      <c r="B13" t="s">
        <v>75</v>
      </c>
      <c r="D13" t="s">
        <v>82</v>
      </c>
    </row>
    <row r="14" spans="1:4">
      <c r="A14" t="s">
        <v>83</v>
      </c>
      <c r="B14" t="s">
        <v>84</v>
      </c>
      <c r="D14" t="s">
        <v>85</v>
      </c>
    </row>
    <row r="15" spans="1:4">
      <c r="A15" t="s">
        <v>86</v>
      </c>
      <c r="B15" s="21" t="s">
        <v>87</v>
      </c>
    </row>
    <row r="16" spans="1:4">
      <c r="A16" t="s">
        <v>90</v>
      </c>
      <c r="B16" s="21" t="s">
        <v>88</v>
      </c>
    </row>
    <row r="17" spans="1:2">
      <c r="A17" t="s">
        <v>91</v>
      </c>
      <c r="B17" t="s">
        <v>89</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H62"/>
  <sheetViews>
    <sheetView tabSelected="1" topLeftCell="A43" zoomScale="85" zoomScaleNormal="85" workbookViewId="0">
      <pane xSplit="6" topLeftCell="U1" activePane="topRight" state="frozen"/>
      <selection activeCell="A15" sqref="A15"/>
      <selection pane="topRight" activeCell="F69" sqref="F69"/>
    </sheetView>
  </sheetViews>
  <sheetFormatPr baseColWidth="10" defaultColWidth="8.796875" defaultRowHeight="15.6" outlineLevelRow="1"/>
  <cols>
    <col min="3" max="3" width="18.5" customWidth="1"/>
    <col min="4" max="4" width="13" bestFit="1" customWidth="1"/>
    <col min="5" max="5" width="4.796875" bestFit="1" customWidth="1"/>
    <col min="6" max="6" width="42.796875" customWidth="1"/>
    <col min="7" max="7" width="15.5" bestFit="1" customWidth="1"/>
    <col min="8" max="8" width="1.296875" customWidth="1"/>
    <col min="10" max="10" width="12.5" bestFit="1" customWidth="1"/>
    <col min="11" max="11" width="14.796875" bestFit="1" customWidth="1"/>
    <col min="12" max="12" width="12.69921875" bestFit="1"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bestFit="1" customWidth="1"/>
    <col min="60" max="60" width="6" customWidth="1"/>
    <col min="61" max="61" width="12.69921875" bestFit="1" customWidth="1"/>
    <col min="62" max="62" width="2.5" customWidth="1"/>
    <col min="64" max="64" width="12.5" bestFit="1" customWidth="1"/>
    <col min="65" max="65" width="6.296875" customWidth="1"/>
    <col min="66" max="66" width="14.796875" bestFit="1" customWidth="1"/>
    <col min="67" max="67" width="6" customWidth="1"/>
    <col min="68" max="68" width="12.69921875" bestFit="1" customWidth="1"/>
    <col min="69" max="69" width="2.5" customWidth="1"/>
    <col min="71" max="71" width="12.5" bestFit="1" customWidth="1"/>
    <col min="72" max="72" width="6.296875" customWidth="1"/>
    <col min="73" max="73" width="14.796875" bestFit="1" customWidth="1"/>
    <col min="74" max="74" width="6" customWidth="1"/>
    <col min="75" max="75" width="12.69921875" bestFit="1" customWidth="1"/>
    <col min="76" max="76" width="2.5" customWidth="1"/>
    <col min="78" max="78" width="12.5" bestFit="1" customWidth="1"/>
    <col min="79" max="79" width="6.296875" customWidth="1"/>
    <col min="80" max="80" width="14.796875" bestFit="1" customWidth="1"/>
    <col min="81" max="81" width="6" customWidth="1"/>
    <col min="82" max="82" width="12.69921875" bestFit="1" customWidth="1"/>
    <col min="83" max="83" width="2.5" customWidth="1"/>
    <col min="85" max="85" width="12.5" bestFit="1" customWidth="1"/>
    <col min="86" max="86" width="6.296875" customWidth="1"/>
    <col min="87" max="87" width="14.796875" bestFit="1" customWidth="1"/>
    <col min="88" max="88" width="6" customWidth="1"/>
    <col min="89" max="89" width="12.69921875" bestFit="1" customWidth="1"/>
    <col min="90" max="90" width="2.5" customWidth="1"/>
    <col min="92" max="92" width="12.5" bestFit="1" customWidth="1"/>
    <col min="93" max="93" width="6.296875" customWidth="1"/>
    <col min="94" max="94" width="14.796875" bestFit="1" customWidth="1"/>
    <col min="95" max="95" width="6" customWidth="1"/>
    <col min="96" max="96" width="12.69921875" bestFit="1" customWidth="1"/>
    <col min="97" max="97" width="2.5" customWidth="1"/>
    <col min="99" max="99" width="12.5" bestFit="1" customWidth="1"/>
    <col min="100" max="100" width="6.296875" customWidth="1"/>
    <col min="101" max="101" width="14.796875" bestFit="1" customWidth="1"/>
    <col min="102" max="102" width="6" customWidth="1"/>
    <col min="103" max="103" width="12.69921875" bestFit="1" customWidth="1"/>
    <col min="104" max="104" width="2.5" customWidth="1"/>
    <col min="106" max="106" width="12.5" bestFit="1" customWidth="1"/>
    <col min="107" max="107" width="6.296875" customWidth="1"/>
    <col min="108" max="108" width="14.796875" bestFit="1" customWidth="1"/>
    <col min="109" max="109" width="6" customWidth="1"/>
    <col min="110" max="110" width="12.69921875" bestFit="1" customWidth="1"/>
    <col min="111" max="111" width="2.5" customWidth="1"/>
    <col min="113" max="113" width="12.5" bestFit="1" customWidth="1"/>
    <col min="114" max="114" width="6.296875" customWidth="1"/>
    <col min="115" max="115" width="14.796875" bestFit="1" customWidth="1"/>
    <col min="116" max="116" width="6" customWidth="1"/>
    <col min="117" max="117" width="12.69921875" bestFit="1" customWidth="1"/>
    <col min="118" max="118" width="2.5" customWidth="1"/>
    <col min="120" max="120" width="12.5" bestFit="1" customWidth="1"/>
    <col min="121" max="121" width="6.296875" customWidth="1"/>
    <col min="122" max="122" width="14.796875" bestFit="1" customWidth="1"/>
    <col min="123" max="123" width="6" customWidth="1"/>
    <col min="124" max="124" width="12.69921875" bestFit="1" customWidth="1"/>
    <col min="125" max="125" width="2.5" customWidth="1"/>
    <col min="127" max="127" width="12.5" bestFit="1" customWidth="1"/>
    <col min="128" max="128" width="6.296875" customWidth="1"/>
    <col min="129" max="129" width="14.796875" bestFit="1" customWidth="1"/>
    <col min="130" max="130" width="6" customWidth="1"/>
    <col min="131" max="131" width="12.69921875" bestFit="1" customWidth="1"/>
    <col min="132" max="132" width="2.5" customWidth="1"/>
    <col min="134" max="134" width="12.5" bestFit="1" customWidth="1"/>
    <col min="135" max="135" width="6.296875" customWidth="1"/>
    <col min="136" max="136" width="14.796875" bestFit="1" customWidth="1"/>
    <col min="137" max="137" width="6" customWidth="1"/>
    <col min="138" max="138" width="12.69921875" bestFit="1" customWidth="1"/>
    <col min="139" max="139" width="4.3984375" customWidth="1"/>
  </cols>
  <sheetData>
    <row r="1" spans="2:138" ht="33.6">
      <c r="B1" s="5" t="s">
        <v>0</v>
      </c>
      <c r="D1" s="5"/>
      <c r="G1" s="15"/>
      <c r="I1" s="15"/>
      <c r="J1" s="15"/>
      <c r="K1" s="15"/>
    </row>
    <row r="2" spans="2:138">
      <c r="I2" s="26" t="s">
        <v>27</v>
      </c>
      <c r="J2" s="26"/>
      <c r="K2" s="26"/>
      <c r="L2" s="26"/>
      <c r="N2" s="26" t="s">
        <v>125</v>
      </c>
      <c r="O2" s="26"/>
      <c r="P2" s="26"/>
      <c r="Q2" s="26"/>
      <c r="R2" s="26"/>
      <c r="S2" s="26"/>
      <c r="U2" s="26" t="s">
        <v>126</v>
      </c>
      <c r="V2" s="26"/>
      <c r="W2" s="26"/>
      <c r="X2" s="26"/>
      <c r="Y2" s="26"/>
      <c r="Z2" s="26"/>
      <c r="AB2" s="26" t="s">
        <v>127</v>
      </c>
      <c r="AC2" s="26"/>
      <c r="AD2" s="26"/>
      <c r="AE2" s="26"/>
      <c r="AF2" s="26"/>
      <c r="AG2" s="26"/>
      <c r="AI2" s="26" t="s">
        <v>128</v>
      </c>
      <c r="AJ2" s="26"/>
      <c r="AK2" s="26"/>
      <c r="AL2" s="26"/>
      <c r="AM2" s="26"/>
      <c r="AN2" s="26"/>
      <c r="AP2" s="26" t="s">
        <v>129</v>
      </c>
      <c r="AQ2" s="26"/>
      <c r="AR2" s="26"/>
      <c r="AS2" s="26"/>
      <c r="AT2" s="26"/>
      <c r="AU2" s="26"/>
      <c r="AW2" s="26" t="s">
        <v>33</v>
      </c>
      <c r="AX2" s="26"/>
      <c r="AY2" s="26"/>
      <c r="AZ2" s="26"/>
      <c r="BA2" s="26"/>
      <c r="BB2" s="26"/>
      <c r="BD2" s="26" t="s">
        <v>34</v>
      </c>
      <c r="BE2" s="26"/>
      <c r="BF2" s="26"/>
      <c r="BG2" s="26"/>
      <c r="BH2" s="26"/>
      <c r="BI2" s="26"/>
      <c r="BK2" s="26" t="s">
        <v>35</v>
      </c>
      <c r="BL2" s="26"/>
      <c r="BM2" s="26"/>
      <c r="BN2" s="26"/>
      <c r="BO2" s="26"/>
      <c r="BP2" s="26"/>
      <c r="BR2" s="26" t="s">
        <v>36</v>
      </c>
      <c r="BS2" s="26"/>
      <c r="BT2" s="26"/>
      <c r="BU2" s="26"/>
      <c r="BV2" s="26"/>
      <c r="BW2" s="26"/>
      <c r="BY2" s="26" t="s">
        <v>41</v>
      </c>
      <c r="BZ2" s="26"/>
      <c r="CA2" s="26"/>
      <c r="CB2" s="26"/>
      <c r="CC2" s="26"/>
      <c r="CD2" s="26"/>
      <c r="CF2" s="26" t="s">
        <v>42</v>
      </c>
      <c r="CG2" s="26"/>
      <c r="CH2" s="26"/>
      <c r="CI2" s="26"/>
      <c r="CJ2" s="26"/>
      <c r="CK2" s="26"/>
      <c r="CM2" s="26" t="s">
        <v>43</v>
      </c>
      <c r="CN2" s="26"/>
      <c r="CO2" s="26"/>
      <c r="CP2" s="26"/>
      <c r="CQ2" s="26"/>
      <c r="CR2" s="26"/>
      <c r="CT2" s="26" t="s">
        <v>93</v>
      </c>
      <c r="CU2" s="26"/>
      <c r="CV2" s="26"/>
      <c r="CW2" s="26"/>
      <c r="CX2" s="26"/>
      <c r="CY2" s="26"/>
      <c r="DA2" s="26" t="s">
        <v>130</v>
      </c>
      <c r="DB2" s="26"/>
      <c r="DC2" s="26"/>
      <c r="DD2" s="26"/>
      <c r="DE2" s="26"/>
      <c r="DF2" s="26"/>
      <c r="DH2" s="26" t="s">
        <v>131</v>
      </c>
      <c r="DI2" s="26"/>
      <c r="DJ2" s="26"/>
      <c r="DK2" s="26"/>
      <c r="DL2" s="26"/>
      <c r="DM2" s="26"/>
      <c r="DO2" s="26" t="s">
        <v>132</v>
      </c>
      <c r="DP2" s="26"/>
      <c r="DQ2" s="26"/>
      <c r="DR2" s="26"/>
      <c r="DS2" s="26"/>
      <c r="DT2" s="26"/>
      <c r="DV2" s="26" t="s">
        <v>133</v>
      </c>
      <c r="DW2" s="26"/>
      <c r="DX2" s="26"/>
      <c r="DY2" s="26"/>
      <c r="DZ2" s="26"/>
      <c r="EA2" s="26"/>
      <c r="EC2" s="26" t="s">
        <v>134</v>
      </c>
      <c r="ED2" s="26"/>
      <c r="EE2" s="26"/>
      <c r="EF2" s="26"/>
      <c r="EG2" s="26"/>
      <c r="EH2" s="26"/>
    </row>
    <row r="3" spans="2:138">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c r="DH3" s="6" t="s">
        <v>11</v>
      </c>
      <c r="DI3" s="6" t="s">
        <v>2</v>
      </c>
      <c r="DJ3" s="6" t="s">
        <v>32</v>
      </c>
      <c r="DK3" s="6" t="s">
        <v>3</v>
      </c>
      <c r="DL3" s="6" t="s">
        <v>32</v>
      </c>
      <c r="DM3" s="6" t="s">
        <v>12</v>
      </c>
      <c r="DO3" s="6" t="s">
        <v>11</v>
      </c>
      <c r="DP3" s="6" t="s">
        <v>2</v>
      </c>
      <c r="DQ3" s="6" t="s">
        <v>32</v>
      </c>
      <c r="DR3" s="6" t="s">
        <v>3</v>
      </c>
      <c r="DS3" s="6" t="s">
        <v>32</v>
      </c>
      <c r="DT3" s="6" t="s">
        <v>12</v>
      </c>
      <c r="DV3" s="6" t="s">
        <v>11</v>
      </c>
      <c r="DW3" s="6" t="s">
        <v>2</v>
      </c>
      <c r="DX3" s="6" t="s">
        <v>32</v>
      </c>
      <c r="DY3" s="6" t="s">
        <v>3</v>
      </c>
      <c r="DZ3" s="6" t="s">
        <v>32</v>
      </c>
      <c r="EA3" s="6" t="s">
        <v>12</v>
      </c>
      <c r="EC3" s="6" t="s">
        <v>11</v>
      </c>
      <c r="ED3" s="6" t="s">
        <v>2</v>
      </c>
      <c r="EE3" s="6" t="s">
        <v>32</v>
      </c>
      <c r="EF3" s="6" t="s">
        <v>3</v>
      </c>
      <c r="EG3" s="6" t="s">
        <v>32</v>
      </c>
      <c r="EH3" s="6" t="s">
        <v>12</v>
      </c>
    </row>
    <row r="4" spans="2:138">
      <c r="B4" t="s">
        <v>27</v>
      </c>
      <c r="C4" t="s">
        <v>95</v>
      </c>
      <c r="D4" s="22" t="s">
        <v>124</v>
      </c>
      <c r="E4" s="11">
        <v>6</v>
      </c>
      <c r="G4" s="12"/>
      <c r="I4" s="14">
        <f>+SUM(I5:I13)</f>
        <v>0</v>
      </c>
      <c r="J4" s="13">
        <f>+SUMPRODUCT(G5:G13,J5:J13)</f>
        <v>0</v>
      </c>
      <c r="K4" s="13">
        <f>+SUMPRODUCT(G5:G13,K5:K13)</f>
        <v>0</v>
      </c>
      <c r="L4" s="11"/>
      <c r="N4" s="14">
        <f>+SUM(N5:N13)</f>
        <v>0</v>
      </c>
      <c r="U4" s="14">
        <f>+SUM(U5:U13)</f>
        <v>0</v>
      </c>
      <c r="AB4" s="14">
        <f>+SUM(AB5:AB13)</f>
        <v>0</v>
      </c>
      <c r="AI4" s="14">
        <f>+SUM(AI5:AI13)</f>
        <v>0</v>
      </c>
      <c r="AP4" s="14">
        <f>+SUM(AP5:AP13)</f>
        <v>0</v>
      </c>
      <c r="AW4" s="14">
        <f>+SUM(AW5:AW13)</f>
        <v>0</v>
      </c>
      <c r="BD4" s="14">
        <f>+SUM(BD5:BD13)</f>
        <v>0</v>
      </c>
      <c r="BK4" s="14">
        <f>+SUM(BK5:BK13)</f>
        <v>0</v>
      </c>
      <c r="BR4" s="14">
        <f>+SUM(BR5:BR13)</f>
        <v>0</v>
      </c>
      <c r="BY4" s="14">
        <f>+SUM(BY5:BY13)</f>
        <v>0</v>
      </c>
      <c r="CF4" s="14">
        <f>+SUM(CF5:CF13)</f>
        <v>0</v>
      </c>
      <c r="CM4" s="14">
        <f>+SUM(CM5:CM13)</f>
        <v>0</v>
      </c>
      <c r="CT4" s="14">
        <f>+SUM(CT5:CT13)</f>
        <v>0</v>
      </c>
      <c r="DA4" s="14">
        <f>+SUM(DA5:DA13)</f>
        <v>0</v>
      </c>
      <c r="DH4" s="14">
        <f>+SUM(DH5:DH13)</f>
        <v>0</v>
      </c>
      <c r="DO4" s="14">
        <f>+SUM(DO5:DO13)</f>
        <v>0</v>
      </c>
      <c r="DV4" s="14">
        <f>+SUM(DV5:DV13)</f>
        <v>0</v>
      </c>
      <c r="EC4" s="14">
        <f>+SUM(EC5:EC13)</f>
        <v>0</v>
      </c>
    </row>
    <row r="5" spans="2:138" outlineLevel="1">
      <c r="B5" t="s">
        <v>28</v>
      </c>
      <c r="C5" t="s">
        <v>95</v>
      </c>
      <c r="E5" s="11"/>
      <c r="F5" t="s">
        <v>152</v>
      </c>
      <c r="G5" s="12"/>
      <c r="I5" s="11">
        <f t="shared" ref="I5:I13" si="0">+SUMIF($N$3:$ZW$3,I$3,$N5:$ZW5)</f>
        <v>0</v>
      </c>
      <c r="J5" s="13" cm="1">
        <f t="array" ref="J5">MAX(IF($N$3:$EE$3=$J$3,N5:EE5))</f>
        <v>0</v>
      </c>
      <c r="K5" s="13" cm="1">
        <f t="array" ref="K5">MAX(IF($N$3:$EE$3=$J$3,N5:EE5))</f>
        <v>0</v>
      </c>
      <c r="L5" s="11"/>
      <c r="O5" s="12"/>
      <c r="P5" s="12">
        <v>0.5</v>
      </c>
      <c r="Q5" s="12"/>
      <c r="R5" s="12">
        <v>0.5</v>
      </c>
      <c r="V5" s="12"/>
      <c r="W5" s="12">
        <v>0.8</v>
      </c>
      <c r="X5" s="12"/>
      <c r="Y5" s="12">
        <v>0.8</v>
      </c>
      <c r="AC5" s="12"/>
      <c r="AD5" s="12">
        <v>0.8</v>
      </c>
      <c r="AE5" s="12"/>
      <c r="AF5" s="12">
        <v>0.8</v>
      </c>
      <c r="AJ5" s="12"/>
      <c r="AK5" s="12">
        <v>0.8</v>
      </c>
      <c r="AL5" s="12"/>
      <c r="AM5" s="12">
        <v>0.8</v>
      </c>
      <c r="AQ5" s="12"/>
      <c r="AR5" s="12">
        <v>1</v>
      </c>
      <c r="AS5" s="12"/>
      <c r="AT5" s="12">
        <v>1</v>
      </c>
      <c r="AX5" s="12"/>
      <c r="AY5" s="12">
        <v>1</v>
      </c>
      <c r="AZ5" s="12"/>
      <c r="BA5" s="12">
        <v>1</v>
      </c>
      <c r="BE5" s="12"/>
      <c r="BF5" s="12">
        <v>1</v>
      </c>
      <c r="BG5" s="12"/>
      <c r="BH5" s="12">
        <v>1</v>
      </c>
      <c r="BL5" s="12"/>
      <c r="BM5" s="12">
        <v>1</v>
      </c>
      <c r="BN5" s="12"/>
      <c r="BO5" s="12">
        <v>1</v>
      </c>
      <c r="BS5" s="12"/>
      <c r="BT5" s="12">
        <v>1</v>
      </c>
      <c r="BU5" s="12"/>
      <c r="BV5" s="12">
        <v>1</v>
      </c>
      <c r="BW5" s="25" t="s">
        <v>135</v>
      </c>
      <c r="BZ5" s="12"/>
      <c r="CA5" s="12">
        <v>1</v>
      </c>
      <c r="CB5" s="12"/>
      <c r="CC5" s="12">
        <v>1</v>
      </c>
      <c r="CG5" s="12"/>
      <c r="CH5" s="12">
        <v>1</v>
      </c>
      <c r="CI5" s="12"/>
      <c r="CJ5" s="12">
        <v>1</v>
      </c>
      <c r="CN5" s="12"/>
      <c r="CO5" s="12">
        <v>1</v>
      </c>
      <c r="CP5" s="12"/>
      <c r="CQ5" s="12">
        <v>1</v>
      </c>
      <c r="CU5" s="12"/>
      <c r="CV5" s="12">
        <v>1</v>
      </c>
      <c r="CW5" s="12"/>
      <c r="CX5" s="12">
        <v>1</v>
      </c>
      <c r="DB5" s="12"/>
      <c r="DC5" s="12">
        <v>1</v>
      </c>
      <c r="DD5" s="12"/>
      <c r="DE5" s="12">
        <v>1</v>
      </c>
      <c r="DI5" s="12"/>
      <c r="DJ5" s="12">
        <v>1</v>
      </c>
      <c r="DK5" s="12"/>
      <c r="DL5" s="12">
        <v>1</v>
      </c>
      <c r="DP5" s="12"/>
      <c r="DQ5" s="12">
        <v>1</v>
      </c>
      <c r="DR5" s="12"/>
      <c r="DS5" s="12">
        <v>1</v>
      </c>
      <c r="DW5" s="12"/>
      <c r="DX5" s="12">
        <v>1</v>
      </c>
      <c r="DY5" s="12"/>
      <c r="DZ5" s="12">
        <v>1</v>
      </c>
      <c r="ED5" s="12"/>
      <c r="EE5" s="12">
        <v>1</v>
      </c>
      <c r="EF5" s="12"/>
      <c r="EG5" s="12">
        <v>1</v>
      </c>
    </row>
    <row r="6" spans="2:138" outlineLevel="1">
      <c r="B6" t="s">
        <v>28</v>
      </c>
      <c r="C6" t="s">
        <v>95</v>
      </c>
      <c r="E6" s="11"/>
      <c r="F6" t="s">
        <v>153</v>
      </c>
      <c r="G6" s="12"/>
      <c r="I6" s="11">
        <f t="shared" si="0"/>
        <v>0</v>
      </c>
      <c r="J6" s="13" cm="1">
        <f t="array" ref="J6">MAX(IF($N$3:$EE$3=$J$3,N6:EE6))</f>
        <v>0</v>
      </c>
      <c r="K6" s="13" cm="1">
        <f t="array" ref="K6">MAX(IF($N$3:$EE$3=$J$3,N6:EE6))</f>
        <v>0</v>
      </c>
      <c r="L6" s="11"/>
      <c r="O6" s="12"/>
      <c r="P6" s="12">
        <v>0.5</v>
      </c>
      <c r="Q6" s="12"/>
      <c r="R6" s="12">
        <v>0.5</v>
      </c>
      <c r="V6" s="12"/>
      <c r="W6" s="12">
        <v>0.5</v>
      </c>
      <c r="X6" s="12"/>
      <c r="Y6" s="12">
        <v>0.5</v>
      </c>
      <c r="AC6" s="12"/>
      <c r="AD6" s="12">
        <v>0.8</v>
      </c>
      <c r="AE6" s="12"/>
      <c r="AF6" s="12">
        <v>0.8</v>
      </c>
      <c r="AJ6" s="12"/>
      <c r="AK6" s="12">
        <v>0.8</v>
      </c>
      <c r="AL6" s="12"/>
      <c r="AM6" s="12">
        <v>0.8</v>
      </c>
      <c r="AQ6" s="12"/>
      <c r="AR6" s="12">
        <v>1</v>
      </c>
      <c r="AS6" s="12"/>
      <c r="AT6" s="12">
        <v>1</v>
      </c>
      <c r="AX6" s="12"/>
      <c r="AY6" s="12">
        <v>1</v>
      </c>
      <c r="AZ6" s="12"/>
      <c r="BA6" s="12">
        <v>1</v>
      </c>
      <c r="BE6" s="12"/>
      <c r="BF6" s="12">
        <v>1</v>
      </c>
      <c r="BG6" s="12"/>
      <c r="BH6" s="12">
        <v>1</v>
      </c>
      <c r="BL6" s="12"/>
      <c r="BM6" s="12">
        <v>1</v>
      </c>
      <c r="BN6" s="12"/>
      <c r="BO6" s="12">
        <v>1</v>
      </c>
      <c r="BS6" s="12"/>
      <c r="BT6" s="12">
        <v>1</v>
      </c>
      <c r="BU6" s="12"/>
      <c r="BV6" s="12">
        <v>1</v>
      </c>
      <c r="BW6" s="25" t="s">
        <v>136</v>
      </c>
      <c r="BZ6" s="12"/>
      <c r="CA6" s="12">
        <v>1</v>
      </c>
      <c r="CB6" s="12"/>
      <c r="CC6" s="12">
        <v>1</v>
      </c>
      <c r="CG6" s="12"/>
      <c r="CH6" s="12">
        <v>1</v>
      </c>
      <c r="CI6" s="12"/>
      <c r="CJ6" s="12">
        <v>1</v>
      </c>
      <c r="CN6" s="12"/>
      <c r="CO6" s="12">
        <v>1</v>
      </c>
      <c r="CP6" s="12"/>
      <c r="CQ6" s="12">
        <v>1</v>
      </c>
      <c r="CU6" s="12"/>
      <c r="CV6" s="12">
        <v>1</v>
      </c>
      <c r="CW6" s="12"/>
      <c r="CX6" s="12">
        <v>1</v>
      </c>
      <c r="DB6" s="12"/>
      <c r="DC6" s="12">
        <v>1</v>
      </c>
      <c r="DD6" s="12"/>
      <c r="DE6" s="12">
        <v>1</v>
      </c>
      <c r="DI6" s="12"/>
      <c r="DJ6" s="12">
        <v>1</v>
      </c>
      <c r="DK6" s="12"/>
      <c r="DL6" s="12">
        <v>1</v>
      </c>
      <c r="DP6" s="12"/>
      <c r="DQ6" s="12">
        <v>1</v>
      </c>
      <c r="DR6" s="12"/>
      <c r="DS6" s="12">
        <v>1</v>
      </c>
      <c r="DW6" s="12"/>
      <c r="DX6" s="12">
        <v>1</v>
      </c>
      <c r="DY6" s="12"/>
      <c r="DZ6" s="12">
        <v>1</v>
      </c>
      <c r="ED6" s="12"/>
      <c r="EE6" s="12">
        <v>1</v>
      </c>
      <c r="EF6" s="12"/>
      <c r="EG6" s="12">
        <v>1</v>
      </c>
    </row>
    <row r="7" spans="2:138" outlineLevel="1">
      <c r="B7" t="s">
        <v>28</v>
      </c>
      <c r="C7" t="s">
        <v>95</v>
      </c>
      <c r="E7" s="11"/>
      <c r="F7" t="s">
        <v>154</v>
      </c>
      <c r="G7" s="12"/>
      <c r="I7" s="11">
        <f t="shared" si="0"/>
        <v>0</v>
      </c>
      <c r="J7" s="13" cm="1">
        <f t="array" ref="J7">MAX(IF($N$3:$EE$3=$J$3,N7:EE7))</f>
        <v>0</v>
      </c>
      <c r="K7" s="13" cm="1">
        <f t="array" ref="K7">MAX(IF($N$3:$EE$3=$J$3,N7:EE7))</f>
        <v>0</v>
      </c>
      <c r="L7" s="11"/>
      <c r="O7" s="12"/>
      <c r="P7" s="12"/>
      <c r="Q7" s="12"/>
      <c r="R7" s="12"/>
      <c r="V7" s="12"/>
      <c r="W7" s="12"/>
      <c r="X7" s="12"/>
      <c r="Y7" s="12"/>
      <c r="Z7">
        <v>4</v>
      </c>
      <c r="AC7" s="12"/>
      <c r="AD7" s="12">
        <v>0.5</v>
      </c>
      <c r="AE7" s="12"/>
      <c r="AF7" s="12">
        <v>0.5</v>
      </c>
      <c r="AG7">
        <v>4</v>
      </c>
      <c r="AJ7" s="12"/>
      <c r="AK7" s="12">
        <v>0.8</v>
      </c>
      <c r="AL7" s="12"/>
      <c r="AM7" s="12">
        <v>0.8</v>
      </c>
      <c r="AQ7" s="12"/>
      <c r="AR7" s="12">
        <v>0.8</v>
      </c>
      <c r="AS7" s="12"/>
      <c r="AT7" s="12">
        <v>0.8</v>
      </c>
      <c r="AX7" s="12"/>
      <c r="AY7" s="12">
        <v>1</v>
      </c>
      <c r="AZ7" s="12"/>
      <c r="BA7" s="12">
        <v>1</v>
      </c>
      <c r="BE7" s="12"/>
      <c r="BF7" s="12">
        <v>1</v>
      </c>
      <c r="BG7" s="12"/>
      <c r="BH7" s="12">
        <v>1</v>
      </c>
      <c r="BL7" s="12"/>
      <c r="BM7" s="12">
        <v>1</v>
      </c>
      <c r="BN7" s="12"/>
      <c r="BO7" s="12">
        <v>1</v>
      </c>
      <c r="BS7" s="12"/>
      <c r="BT7" s="12">
        <v>1</v>
      </c>
      <c r="BU7" s="12"/>
      <c r="BV7" s="12">
        <v>1</v>
      </c>
      <c r="BZ7" s="12"/>
      <c r="CA7" s="12">
        <v>1</v>
      </c>
      <c r="CB7" s="12"/>
      <c r="CC7" s="12">
        <v>1</v>
      </c>
      <c r="CG7" s="12"/>
      <c r="CH7" s="12">
        <v>1</v>
      </c>
      <c r="CI7" s="12"/>
      <c r="CJ7" s="12">
        <v>1</v>
      </c>
      <c r="CN7" s="12"/>
      <c r="CO7" s="12">
        <v>1</v>
      </c>
      <c r="CP7" s="12"/>
      <c r="CQ7" s="12">
        <v>1</v>
      </c>
      <c r="CU7" s="12"/>
      <c r="CV7" s="12">
        <v>1</v>
      </c>
      <c r="CW7" s="12"/>
      <c r="CX7" s="12">
        <v>1</v>
      </c>
      <c r="DB7" s="12"/>
      <c r="DC7" s="12">
        <v>1</v>
      </c>
      <c r="DD7" s="12"/>
      <c r="DE7" s="12">
        <v>1</v>
      </c>
      <c r="DI7" s="12"/>
      <c r="DJ7" s="12">
        <v>1</v>
      </c>
      <c r="DK7" s="12"/>
      <c r="DL7" s="12">
        <v>1</v>
      </c>
      <c r="DP7" s="12"/>
      <c r="DQ7" s="12">
        <v>1</v>
      </c>
      <c r="DR7" s="12"/>
      <c r="DS7" s="12">
        <v>1</v>
      </c>
      <c r="DW7" s="12"/>
      <c r="DX7" s="12">
        <v>1</v>
      </c>
      <c r="DY7" s="12"/>
      <c r="DZ7" s="12">
        <v>1</v>
      </c>
      <c r="ED7" s="12"/>
      <c r="EE7" s="12">
        <v>1</v>
      </c>
      <c r="EF7" s="12"/>
      <c r="EG7" s="12">
        <v>1</v>
      </c>
    </row>
    <row r="8" spans="2:138" outlineLevel="1">
      <c r="B8" t="s">
        <v>28</v>
      </c>
      <c r="C8" t="s">
        <v>95</v>
      </c>
      <c r="E8" s="11"/>
      <c r="F8" t="s">
        <v>155</v>
      </c>
      <c r="G8" s="12"/>
      <c r="I8" s="11">
        <f t="shared" si="0"/>
        <v>0</v>
      </c>
      <c r="J8" s="13" cm="1">
        <f t="array" ref="J8">MAX(IF($N$3:$EE$3=$J$3,N8:EE8))</f>
        <v>0</v>
      </c>
      <c r="K8" s="13" cm="1">
        <f t="array" ref="K8">MAX(IF($N$3:$EE$3=$J$3,N8:EE8))</f>
        <v>0</v>
      </c>
      <c r="L8" s="11"/>
      <c r="O8" s="12"/>
      <c r="P8" s="12"/>
      <c r="Q8" s="12"/>
      <c r="R8" s="12"/>
      <c r="V8" s="12"/>
      <c r="W8" s="12"/>
      <c r="X8" s="12"/>
      <c r="Y8" s="12"/>
      <c r="AC8" s="12"/>
      <c r="AD8" s="12">
        <v>0.5</v>
      </c>
      <c r="AE8" s="12"/>
      <c r="AF8" s="12">
        <v>0.5</v>
      </c>
      <c r="AJ8" s="12"/>
      <c r="AK8" s="12">
        <v>0.8</v>
      </c>
      <c r="AL8" s="12"/>
      <c r="AM8" s="12">
        <v>0.8</v>
      </c>
      <c r="AQ8" s="12"/>
      <c r="AR8" s="12">
        <v>0.8</v>
      </c>
      <c r="AS8" s="12"/>
      <c r="AT8" s="12">
        <v>0.8</v>
      </c>
      <c r="AX8" s="12"/>
      <c r="AY8" s="12">
        <v>0.8</v>
      </c>
      <c r="AZ8" s="12"/>
      <c r="BA8" s="12">
        <v>0.8</v>
      </c>
      <c r="BE8" s="12"/>
      <c r="BF8" s="12">
        <v>0.8</v>
      </c>
      <c r="BG8" s="12"/>
      <c r="BH8" s="12">
        <v>0.8</v>
      </c>
      <c r="BI8">
        <v>3</v>
      </c>
      <c r="BL8" s="12"/>
      <c r="BM8" s="12">
        <v>1</v>
      </c>
      <c r="BN8" s="12"/>
      <c r="BO8" s="12">
        <v>1</v>
      </c>
      <c r="BS8" s="12"/>
      <c r="BT8" s="12">
        <v>1</v>
      </c>
      <c r="BU8" s="12"/>
      <c r="BV8" s="12">
        <v>1</v>
      </c>
      <c r="BZ8" s="12"/>
      <c r="CA8" s="12">
        <v>1</v>
      </c>
      <c r="CB8" s="12"/>
      <c r="CC8" s="12">
        <v>1</v>
      </c>
      <c r="CG8" s="12"/>
      <c r="CH8" s="12">
        <v>1</v>
      </c>
      <c r="CI8" s="12"/>
      <c r="CJ8" s="12">
        <v>1</v>
      </c>
      <c r="CN8" s="12"/>
      <c r="CO8" s="12">
        <v>1</v>
      </c>
      <c r="CP8" s="12"/>
      <c r="CQ8" s="12">
        <v>1</v>
      </c>
      <c r="CU8" s="12"/>
      <c r="CV8" s="12">
        <v>1</v>
      </c>
      <c r="CW8" s="12"/>
      <c r="CX8" s="12">
        <v>1</v>
      </c>
      <c r="DB8" s="12"/>
      <c r="DC8" s="12">
        <v>1</v>
      </c>
      <c r="DD8" s="12"/>
      <c r="DE8" s="12">
        <v>1</v>
      </c>
      <c r="DI8" s="12"/>
      <c r="DJ8" s="12">
        <v>1</v>
      </c>
      <c r="DK8" s="12"/>
      <c r="DL8" s="12">
        <v>1</v>
      </c>
      <c r="DP8" s="12"/>
      <c r="DQ8" s="12">
        <v>1</v>
      </c>
      <c r="DR8" s="12"/>
      <c r="DS8" s="12">
        <v>1</v>
      </c>
      <c r="DW8" s="12"/>
      <c r="DX8" s="12">
        <v>1</v>
      </c>
      <c r="DY8" s="12"/>
      <c r="DZ8" s="12">
        <v>1</v>
      </c>
      <c r="ED8" s="12"/>
      <c r="EE8" s="12">
        <v>1</v>
      </c>
      <c r="EF8" s="12"/>
      <c r="EG8" s="12">
        <v>1</v>
      </c>
    </row>
    <row r="9" spans="2:138" outlineLevel="1">
      <c r="B9" t="s">
        <v>28</v>
      </c>
      <c r="C9" t="s">
        <v>95</v>
      </c>
      <c r="E9" s="11"/>
      <c r="F9" t="s">
        <v>156</v>
      </c>
      <c r="G9" s="12"/>
      <c r="I9" s="11">
        <f t="shared" si="0"/>
        <v>0</v>
      </c>
      <c r="J9" s="13" cm="1">
        <f t="array" ref="J9">MAX(IF($N$3:$EE$3=$J$3,N9:EE9))</f>
        <v>0</v>
      </c>
      <c r="K9" s="13" cm="1">
        <f t="array" ref="K9">MAX(IF($N$3:$EE$3=$J$3,N9:EE9))</f>
        <v>0</v>
      </c>
      <c r="L9" s="11"/>
      <c r="O9" s="12"/>
      <c r="P9" s="12"/>
      <c r="Q9" s="12"/>
      <c r="R9" s="12"/>
      <c r="V9" s="12"/>
      <c r="W9" s="12"/>
      <c r="X9" s="12"/>
      <c r="Y9" s="12"/>
      <c r="AC9" s="12"/>
      <c r="AD9" s="12">
        <v>0.5</v>
      </c>
      <c r="AE9" s="12"/>
      <c r="AF9" s="12">
        <v>0.5</v>
      </c>
      <c r="AJ9" s="12"/>
      <c r="AK9" s="12">
        <v>0.5</v>
      </c>
      <c r="AL9" s="12"/>
      <c r="AM9" s="12">
        <v>0.5</v>
      </c>
      <c r="AN9">
        <v>3</v>
      </c>
      <c r="AQ9" s="12"/>
      <c r="AR9" s="12">
        <v>0.8</v>
      </c>
      <c r="AS9" s="12"/>
      <c r="AT9" s="12">
        <v>0.8</v>
      </c>
      <c r="AX9" s="12"/>
      <c r="AY9" s="12">
        <v>0.8</v>
      </c>
      <c r="AZ9" s="12"/>
      <c r="BA9" s="12">
        <v>0.8</v>
      </c>
      <c r="BE9" s="12"/>
      <c r="BF9" s="12">
        <v>0.8</v>
      </c>
      <c r="BG9" s="12"/>
      <c r="BH9" s="12">
        <v>0.8</v>
      </c>
      <c r="BL9" s="12"/>
      <c r="BM9" s="12">
        <v>1</v>
      </c>
      <c r="BN9" s="12"/>
      <c r="BO9" s="12">
        <v>1</v>
      </c>
      <c r="BS9" s="12"/>
      <c r="BT9" s="12">
        <v>1</v>
      </c>
      <c r="BU9" s="12"/>
      <c r="BV9" s="12">
        <v>1</v>
      </c>
      <c r="BZ9" s="12"/>
      <c r="CA9" s="12">
        <v>1</v>
      </c>
      <c r="CB9" s="12"/>
      <c r="CC9" s="12">
        <v>1</v>
      </c>
      <c r="CG9" s="12"/>
      <c r="CH9" s="12">
        <v>1</v>
      </c>
      <c r="CI9" s="12"/>
      <c r="CJ9" s="12">
        <v>1</v>
      </c>
      <c r="CN9" s="12"/>
      <c r="CO9" s="12">
        <v>1</v>
      </c>
      <c r="CP9" s="12"/>
      <c r="CQ9" s="12">
        <v>1</v>
      </c>
      <c r="CU9" s="12"/>
      <c r="CV9" s="12">
        <v>1</v>
      </c>
      <c r="CW9" s="12"/>
      <c r="CX9" s="12">
        <v>1</v>
      </c>
      <c r="DB9" s="12"/>
      <c r="DC9" s="12">
        <v>1</v>
      </c>
      <c r="DD9" s="12"/>
      <c r="DE9" s="12">
        <v>1</v>
      </c>
      <c r="DI9" s="12"/>
      <c r="DJ9" s="12">
        <v>1</v>
      </c>
      <c r="DK9" s="12"/>
      <c r="DL9" s="12">
        <v>1</v>
      </c>
      <c r="DP9" s="12"/>
      <c r="DQ9" s="12">
        <v>1</v>
      </c>
      <c r="DR9" s="12"/>
      <c r="DS9" s="12">
        <v>1</v>
      </c>
      <c r="DW9" s="12"/>
      <c r="DX9" s="12">
        <v>1</v>
      </c>
      <c r="DY9" s="12"/>
      <c r="DZ9" s="12">
        <v>1</v>
      </c>
      <c r="ED9" s="12"/>
      <c r="EE9" s="12">
        <v>1</v>
      </c>
      <c r="EF9" s="12"/>
      <c r="EG9" s="12">
        <v>1</v>
      </c>
    </row>
    <row r="10" spans="2:138" outlineLevel="1">
      <c r="B10" t="s">
        <v>28</v>
      </c>
      <c r="C10" t="s">
        <v>95</v>
      </c>
      <c r="E10" s="11"/>
      <c r="F10" t="s">
        <v>157</v>
      </c>
      <c r="G10" s="12"/>
      <c r="I10" s="11">
        <f t="shared" si="0"/>
        <v>0</v>
      </c>
      <c r="J10" s="13" cm="1">
        <f t="array" ref="J10">MAX(IF($N$3:$EE$3=$J$3,N10:EE10))</f>
        <v>0</v>
      </c>
      <c r="K10" s="13" cm="1">
        <f t="array" ref="K10">MAX(IF($N$3:$EE$3=$J$3,N10:EE10))</f>
        <v>0</v>
      </c>
      <c r="L10" s="11"/>
      <c r="O10" s="12"/>
      <c r="P10" s="12"/>
      <c r="Q10" s="12"/>
      <c r="R10" s="12"/>
      <c r="V10" s="12"/>
      <c r="W10" s="12"/>
      <c r="X10" s="12"/>
      <c r="Y10" s="12"/>
      <c r="AC10" s="12"/>
      <c r="AD10" s="12"/>
      <c r="AE10" s="12"/>
      <c r="AF10" s="12"/>
      <c r="AJ10" s="12"/>
      <c r="AK10" s="12">
        <v>0.5</v>
      </c>
      <c r="AL10" s="12"/>
      <c r="AM10" s="12">
        <v>0.5</v>
      </c>
      <c r="AQ10" s="12"/>
      <c r="AR10" s="12">
        <v>0.5</v>
      </c>
      <c r="AS10" s="12"/>
      <c r="AT10" s="12">
        <v>0.5</v>
      </c>
      <c r="AX10" s="12"/>
      <c r="AY10" s="12">
        <v>0.8</v>
      </c>
      <c r="AZ10" s="12"/>
      <c r="BA10" s="12">
        <v>0.8</v>
      </c>
      <c r="BE10" s="12"/>
      <c r="BF10" s="12">
        <v>0.8</v>
      </c>
      <c r="BG10" s="12"/>
      <c r="BH10" s="12">
        <v>0.8</v>
      </c>
      <c r="BL10" s="12"/>
      <c r="BM10" s="12">
        <v>1</v>
      </c>
      <c r="BN10" s="12"/>
      <c r="BO10" s="12">
        <v>1</v>
      </c>
      <c r="BS10" s="12"/>
      <c r="BT10" s="12">
        <v>1</v>
      </c>
      <c r="BU10" s="12"/>
      <c r="BV10" s="12">
        <v>1</v>
      </c>
      <c r="BZ10" s="12"/>
      <c r="CA10" s="12">
        <v>1</v>
      </c>
      <c r="CB10" s="12"/>
      <c r="CC10" s="12">
        <v>1</v>
      </c>
      <c r="CG10" s="12"/>
      <c r="CH10" s="12">
        <v>1</v>
      </c>
      <c r="CI10" s="12"/>
      <c r="CJ10" s="12">
        <v>1</v>
      </c>
      <c r="CN10" s="12"/>
      <c r="CO10" s="12">
        <v>1</v>
      </c>
      <c r="CP10" s="12"/>
      <c r="CQ10" s="12">
        <v>1</v>
      </c>
      <c r="CU10" s="12"/>
      <c r="CV10" s="12">
        <v>1</v>
      </c>
      <c r="CW10" s="12"/>
      <c r="CX10" s="12">
        <v>1</v>
      </c>
      <c r="DB10" s="12"/>
      <c r="DC10" s="12">
        <v>1</v>
      </c>
      <c r="DD10" s="12"/>
      <c r="DE10" s="12">
        <v>1</v>
      </c>
      <c r="DI10" s="12"/>
      <c r="DJ10" s="12">
        <v>1</v>
      </c>
      <c r="DK10" s="12"/>
      <c r="DL10" s="12">
        <v>1</v>
      </c>
      <c r="DP10" s="12"/>
      <c r="DQ10" s="12">
        <v>1</v>
      </c>
      <c r="DR10" s="12"/>
      <c r="DS10" s="12">
        <v>1</v>
      </c>
      <c r="DW10" s="12"/>
      <c r="DX10" s="12">
        <v>1</v>
      </c>
      <c r="DY10" s="12"/>
      <c r="DZ10" s="12">
        <v>1</v>
      </c>
      <c r="ED10" s="12"/>
      <c r="EE10" s="12">
        <v>1</v>
      </c>
      <c r="EF10" s="12"/>
      <c r="EG10" s="12">
        <v>1</v>
      </c>
    </row>
    <row r="11" spans="2:138" outlineLevel="1">
      <c r="B11" t="s">
        <v>28</v>
      </c>
      <c r="C11" t="s">
        <v>95</v>
      </c>
      <c r="E11" s="11"/>
      <c r="F11" t="s">
        <v>158</v>
      </c>
      <c r="G11" s="12"/>
      <c r="I11" s="11">
        <f t="shared" si="0"/>
        <v>0</v>
      </c>
      <c r="J11" s="13" cm="1">
        <f t="array" ref="J11">MAX(IF($N$3:$EE$3=$J$3,N11:EE11))</f>
        <v>0</v>
      </c>
      <c r="K11" s="13" cm="1">
        <f t="array" ref="K11">MAX(IF($N$3:$EE$3=$J$3,N11:EE11))</f>
        <v>0</v>
      </c>
      <c r="L11" s="11"/>
      <c r="O11" s="12"/>
      <c r="P11" s="12"/>
      <c r="Q11" s="12"/>
      <c r="R11" s="12"/>
      <c r="V11" s="12"/>
      <c r="W11" s="12"/>
      <c r="X11" s="12"/>
      <c r="Y11" s="12"/>
      <c r="AC11" s="12"/>
      <c r="AD11" s="12"/>
      <c r="AE11" s="12"/>
      <c r="AF11" s="12"/>
      <c r="AJ11" s="12"/>
      <c r="AK11" s="12">
        <v>0.5</v>
      </c>
      <c r="AL11" s="12"/>
      <c r="AM11" s="12">
        <v>0.5</v>
      </c>
      <c r="AQ11" s="12"/>
      <c r="AR11" s="12">
        <v>0.5</v>
      </c>
      <c r="AS11" s="12"/>
      <c r="AT11" s="12">
        <v>0.5</v>
      </c>
      <c r="AU11">
        <v>3</v>
      </c>
      <c r="AX11" s="12"/>
      <c r="AY11" s="12">
        <v>0.5</v>
      </c>
      <c r="AZ11" s="12"/>
      <c r="BA11" s="12">
        <v>0.5</v>
      </c>
      <c r="BB11">
        <v>3</v>
      </c>
      <c r="BE11" s="12"/>
      <c r="BF11" s="12">
        <v>0.8</v>
      </c>
      <c r="BG11" s="12"/>
      <c r="BH11" s="12">
        <v>0.8</v>
      </c>
      <c r="BL11" s="12"/>
      <c r="BM11" s="12">
        <v>0.8</v>
      </c>
      <c r="BN11" s="12"/>
      <c r="BO11" s="12">
        <v>0.8</v>
      </c>
      <c r="BP11">
        <v>3</v>
      </c>
      <c r="BS11" s="12"/>
      <c r="BT11" s="12">
        <v>1</v>
      </c>
      <c r="BU11" s="12"/>
      <c r="BV11" s="12">
        <v>1</v>
      </c>
      <c r="BZ11" s="12"/>
      <c r="CA11" s="12">
        <v>1</v>
      </c>
      <c r="CB11" s="12"/>
      <c r="CC11" s="12">
        <v>1</v>
      </c>
      <c r="CG11" s="12"/>
      <c r="CH11" s="12">
        <v>1</v>
      </c>
      <c r="CI11" s="12"/>
      <c r="CJ11" s="12">
        <v>1</v>
      </c>
      <c r="CN11" s="12"/>
      <c r="CO11" s="12">
        <v>1</v>
      </c>
      <c r="CP11" s="12"/>
      <c r="CQ11" s="12">
        <v>1</v>
      </c>
      <c r="CU11" s="12"/>
      <c r="CV11" s="12">
        <v>1</v>
      </c>
      <c r="CW11" s="12"/>
      <c r="CX11" s="12">
        <v>1</v>
      </c>
      <c r="DB11" s="12"/>
      <c r="DC11" s="12">
        <v>1</v>
      </c>
      <c r="DD11" s="12"/>
      <c r="DE11" s="12">
        <v>1</v>
      </c>
      <c r="DI11" s="12"/>
      <c r="DJ11" s="12">
        <v>1</v>
      </c>
      <c r="DK11" s="12"/>
      <c r="DL11" s="12">
        <v>1</v>
      </c>
      <c r="DP11" s="12"/>
      <c r="DQ11" s="12">
        <v>1</v>
      </c>
      <c r="DR11" s="12"/>
      <c r="DS11" s="12">
        <v>1</v>
      </c>
      <c r="DW11" s="12"/>
      <c r="DX11" s="12">
        <v>1</v>
      </c>
      <c r="DY11" s="12"/>
      <c r="DZ11" s="12">
        <v>1</v>
      </c>
      <c r="ED11" s="12"/>
      <c r="EE11" s="12">
        <v>1</v>
      </c>
      <c r="EF11" s="12"/>
      <c r="EG11" s="12">
        <v>1</v>
      </c>
    </row>
    <row r="12" spans="2:138" outlineLevel="1">
      <c r="B12" t="s">
        <v>28</v>
      </c>
      <c r="C12" t="s">
        <v>95</v>
      </c>
      <c r="E12" s="11"/>
      <c r="F12" t="s">
        <v>159</v>
      </c>
      <c r="G12" s="12"/>
      <c r="I12" s="11">
        <f t="shared" si="0"/>
        <v>0</v>
      </c>
      <c r="J12" s="13" cm="1">
        <f t="array" ref="J12">MAX(IF($N$3:$EE$3=$J$3,N12:EE12))</f>
        <v>0</v>
      </c>
      <c r="K12" s="13" cm="1">
        <f t="array" ref="K12">MAX(IF($N$3:$EE$3=$J$3,N12:EE12))</f>
        <v>0</v>
      </c>
      <c r="L12" s="11"/>
      <c r="O12" s="12"/>
      <c r="P12" s="12"/>
      <c r="Q12" s="12"/>
      <c r="R12" s="12"/>
      <c r="V12" s="12"/>
      <c r="W12" s="12"/>
      <c r="X12" s="12"/>
      <c r="Y12" s="12"/>
      <c r="AC12" s="12"/>
      <c r="AD12" s="12"/>
      <c r="AE12" s="12"/>
      <c r="AF12" s="12"/>
      <c r="AJ12" s="12"/>
      <c r="AK12" s="12">
        <v>0.5</v>
      </c>
      <c r="AL12" s="12"/>
      <c r="AM12" s="12">
        <v>0.5</v>
      </c>
      <c r="AQ12" s="12"/>
      <c r="AR12" s="12">
        <v>0.5</v>
      </c>
      <c r="AS12" s="12"/>
      <c r="AT12" s="12">
        <v>0.5</v>
      </c>
      <c r="AX12" s="12"/>
      <c r="AY12" s="12">
        <v>0.5</v>
      </c>
      <c r="AZ12" s="12"/>
      <c r="BA12" s="12">
        <v>0.5</v>
      </c>
      <c r="BE12" s="12"/>
      <c r="BF12" s="12">
        <v>0.8</v>
      </c>
      <c r="BG12" s="12"/>
      <c r="BH12" s="12">
        <v>0.8</v>
      </c>
      <c r="BL12" s="12"/>
      <c r="BM12" s="12">
        <v>0.8</v>
      </c>
      <c r="BN12" s="12"/>
      <c r="BO12" s="12">
        <v>0.8</v>
      </c>
      <c r="BS12" s="12"/>
      <c r="BT12" s="12">
        <v>1</v>
      </c>
      <c r="BU12" s="12"/>
      <c r="BV12" s="12">
        <v>1</v>
      </c>
      <c r="BZ12" s="12"/>
      <c r="CA12" s="12">
        <v>1</v>
      </c>
      <c r="CB12" s="12"/>
      <c r="CC12" s="12">
        <v>1</v>
      </c>
      <c r="CG12" s="12"/>
      <c r="CH12" s="12">
        <v>1</v>
      </c>
      <c r="CI12" s="12"/>
      <c r="CJ12" s="12">
        <v>1</v>
      </c>
      <c r="CN12" s="12"/>
      <c r="CO12" s="12">
        <v>1</v>
      </c>
      <c r="CP12" s="12"/>
      <c r="CQ12" s="12">
        <v>1</v>
      </c>
      <c r="CU12" s="12"/>
      <c r="CV12" s="12">
        <v>1</v>
      </c>
      <c r="CW12" s="12"/>
      <c r="CX12" s="12">
        <v>1</v>
      </c>
      <c r="DB12" s="12"/>
      <c r="DC12" s="12">
        <v>1</v>
      </c>
      <c r="DD12" s="12"/>
      <c r="DE12" s="12">
        <v>1</v>
      </c>
      <c r="DI12" s="12"/>
      <c r="DJ12" s="12">
        <v>1</v>
      </c>
      <c r="DK12" s="12"/>
      <c r="DL12" s="12">
        <v>1</v>
      </c>
      <c r="DP12" s="12"/>
      <c r="DQ12" s="12">
        <v>1</v>
      </c>
      <c r="DR12" s="12"/>
      <c r="DS12" s="12">
        <v>1</v>
      </c>
      <c r="DW12" s="12"/>
      <c r="DX12" s="12">
        <v>1</v>
      </c>
      <c r="DY12" s="12"/>
      <c r="DZ12" s="12">
        <v>1</v>
      </c>
      <c r="ED12" s="12"/>
      <c r="EE12" s="12">
        <v>1</v>
      </c>
      <c r="EF12" s="12"/>
      <c r="EG12" s="12">
        <v>1</v>
      </c>
    </row>
    <row r="13" spans="2:138" outlineLevel="1">
      <c r="B13" t="s">
        <v>28</v>
      </c>
      <c r="C13" t="s">
        <v>95</v>
      </c>
      <c r="E13" s="11"/>
      <c r="F13" t="s">
        <v>160</v>
      </c>
      <c r="G13" s="12"/>
      <c r="I13" s="11">
        <f t="shared" si="0"/>
        <v>0</v>
      </c>
      <c r="J13" s="13" cm="1">
        <f t="array" ref="J13">MAX(IF($N$3:$EE$3=$J$3,N13:EE13))</f>
        <v>0</v>
      </c>
      <c r="K13" s="13" cm="1">
        <f t="array" ref="K13">MAX(IF($N$3:$EE$3=$J$3,N13:EE13))</f>
        <v>0</v>
      </c>
      <c r="L13" s="11"/>
      <c r="O13" s="12"/>
      <c r="P13" s="12"/>
      <c r="Q13" s="12"/>
      <c r="R13" s="12"/>
      <c r="V13" s="12"/>
      <c r="W13" s="12"/>
      <c r="X13" s="12"/>
      <c r="Y13" s="12"/>
      <c r="AC13" s="12"/>
      <c r="AD13" s="12"/>
      <c r="AE13" s="12"/>
      <c r="AF13" s="12"/>
      <c r="AJ13" s="12"/>
      <c r="AK13" s="12"/>
      <c r="AL13" s="12"/>
      <c r="AM13" s="12"/>
      <c r="AQ13" s="12"/>
      <c r="AR13" s="12"/>
      <c r="AS13" s="12"/>
      <c r="AT13" s="12"/>
      <c r="AX13" s="12"/>
      <c r="AY13" s="12">
        <v>0.5</v>
      </c>
      <c r="AZ13" s="12"/>
      <c r="BA13" s="12">
        <v>0.5</v>
      </c>
      <c r="BE13" s="12"/>
      <c r="BF13" s="12">
        <v>0.8</v>
      </c>
      <c r="BG13" s="12"/>
      <c r="BH13" s="12">
        <v>0.8</v>
      </c>
      <c r="BL13" s="12"/>
      <c r="BM13" s="12">
        <v>0.8</v>
      </c>
      <c r="BN13" s="12"/>
      <c r="BO13" s="12">
        <v>0.8</v>
      </c>
      <c r="BS13" s="12"/>
      <c r="BT13" s="12">
        <v>1</v>
      </c>
      <c r="BU13" s="12"/>
      <c r="BV13" s="12">
        <v>1</v>
      </c>
      <c r="BZ13" s="12"/>
      <c r="CA13" s="12">
        <v>1</v>
      </c>
      <c r="CB13" s="12"/>
      <c r="CC13" s="12">
        <v>1</v>
      </c>
      <c r="CG13" s="12"/>
      <c r="CH13" s="12">
        <v>1</v>
      </c>
      <c r="CI13" s="12"/>
      <c r="CJ13" s="12">
        <v>1</v>
      </c>
      <c r="CN13" s="12"/>
      <c r="CO13" s="12">
        <v>1</v>
      </c>
      <c r="CP13" s="12"/>
      <c r="CQ13" s="12">
        <v>1</v>
      </c>
      <c r="CU13" s="12"/>
      <c r="CV13" s="12">
        <v>1</v>
      </c>
      <c r="CW13" s="12"/>
      <c r="CX13" s="12">
        <v>1</v>
      </c>
      <c r="DB13" s="12"/>
      <c r="DC13" s="12">
        <v>1</v>
      </c>
      <c r="DD13" s="12"/>
      <c r="DE13" s="12">
        <v>1</v>
      </c>
      <c r="DI13" s="12"/>
      <c r="DJ13" s="12">
        <v>1</v>
      </c>
      <c r="DK13" s="12"/>
      <c r="DL13" s="12">
        <v>1</v>
      </c>
      <c r="DP13" s="12"/>
      <c r="DQ13" s="12">
        <v>1</v>
      </c>
      <c r="DR13" s="12"/>
      <c r="DS13" s="12">
        <v>1</v>
      </c>
      <c r="DW13" s="12"/>
      <c r="DX13" s="12">
        <v>1</v>
      </c>
      <c r="DY13" s="12"/>
      <c r="DZ13" s="12">
        <v>1</v>
      </c>
      <c r="ED13" s="12"/>
      <c r="EE13" s="12">
        <v>1</v>
      </c>
      <c r="EF13" s="12"/>
      <c r="EG13" s="12">
        <v>1</v>
      </c>
    </row>
    <row r="14" spans="2:138">
      <c r="O14" s="9"/>
      <c r="V14" s="9"/>
      <c r="AC14" s="9"/>
      <c r="AJ14" s="9"/>
      <c r="AQ14" s="9"/>
      <c r="AX14" s="9"/>
      <c r="BE14" s="9"/>
      <c r="BL14" s="9"/>
      <c r="BS14" s="9"/>
      <c r="BZ14" s="9"/>
      <c r="CG14" s="9"/>
      <c r="CN14" s="9"/>
      <c r="CU14" s="9"/>
      <c r="DB14" s="9"/>
      <c r="DI14" s="9"/>
      <c r="DP14" s="9"/>
      <c r="DW14" s="9"/>
      <c r="ED14" s="9"/>
    </row>
    <row r="15" spans="2:138">
      <c r="B15" t="s">
        <v>27</v>
      </c>
      <c r="C15" t="s">
        <v>94</v>
      </c>
      <c r="D15" s="22">
        <v>45496</v>
      </c>
      <c r="E15" s="11">
        <v>6</v>
      </c>
      <c r="G15" s="12"/>
      <c r="I15" s="14">
        <f>+SUM(I16:I21)</f>
        <v>0</v>
      </c>
      <c r="J15" s="13">
        <f>+SUMPRODUCT(G16:G21,J16:J21)</f>
        <v>0</v>
      </c>
      <c r="K15" s="13">
        <f>+SUMPRODUCT(G16:G21,K16:K21)</f>
        <v>0</v>
      </c>
      <c r="L15" s="11"/>
      <c r="N15" s="14">
        <f>+SUM(N16:N21)</f>
        <v>0</v>
      </c>
      <c r="U15" s="14">
        <f>+SUM(U16:U21)</f>
        <v>0</v>
      </c>
      <c r="AB15" s="14">
        <f>+SUM(AB16:AB21)</f>
        <v>0</v>
      </c>
      <c r="AI15" s="14">
        <f>+SUM(AI16:AI21)</f>
        <v>0</v>
      </c>
      <c r="AP15" s="14">
        <f>+SUM(AP16:AP21)</f>
        <v>0</v>
      </c>
    </row>
    <row r="16" spans="2:138" outlineLevel="1">
      <c r="B16" t="s">
        <v>28</v>
      </c>
      <c r="C16" t="s">
        <v>94</v>
      </c>
      <c r="E16" s="11"/>
      <c r="F16" t="s">
        <v>146</v>
      </c>
      <c r="G16" s="12"/>
      <c r="I16" s="11">
        <f t="shared" ref="I16:I21" si="1">+SUMIF($N$3:$ZW$3,I$3,$N16:$ZW16)</f>
        <v>0</v>
      </c>
      <c r="J16" s="13" cm="1">
        <f t="array" ref="J16">MAX(IF($N$3:$EE$3=$J$3,N16:EE16))</f>
        <v>0</v>
      </c>
      <c r="K16" s="13" cm="1">
        <f t="array" ref="K16">MAX(IF($N$3:$EE$3=$J$3,N16:EE16))</f>
        <v>0</v>
      </c>
      <c r="L16" s="11"/>
      <c r="O16" s="12"/>
      <c r="P16" s="12">
        <v>0.5</v>
      </c>
      <c r="Q16" s="12"/>
      <c r="R16" s="12">
        <v>0.5</v>
      </c>
      <c r="V16" s="12"/>
      <c r="W16" s="12">
        <v>0.5</v>
      </c>
      <c r="X16" s="12"/>
      <c r="Y16" s="12">
        <v>0.5</v>
      </c>
      <c r="AC16" s="12"/>
      <c r="AD16" s="12">
        <v>0.8</v>
      </c>
      <c r="AE16" s="12"/>
      <c r="AF16" s="12">
        <v>0.8</v>
      </c>
      <c r="AJ16" s="12"/>
      <c r="AK16" s="12">
        <v>0.8</v>
      </c>
      <c r="AL16" s="12"/>
      <c r="AM16" s="12">
        <v>0.8</v>
      </c>
      <c r="AQ16" s="12"/>
      <c r="AR16" s="12">
        <v>0.8</v>
      </c>
      <c r="AS16" s="12"/>
      <c r="AT16" s="12">
        <v>0.8</v>
      </c>
      <c r="AX16" s="12"/>
      <c r="AY16" s="12">
        <v>0.8</v>
      </c>
      <c r="AZ16" s="12"/>
      <c r="BA16" s="12">
        <v>0.8</v>
      </c>
      <c r="BE16" s="12"/>
      <c r="BF16" s="12">
        <v>0.8</v>
      </c>
      <c r="BG16" s="12"/>
      <c r="BH16" s="12">
        <v>0.8</v>
      </c>
      <c r="BL16" s="12"/>
      <c r="BM16" s="12">
        <v>0.8</v>
      </c>
      <c r="BN16" s="12"/>
      <c r="BO16" s="12">
        <v>0.8</v>
      </c>
      <c r="BS16" s="12"/>
      <c r="BT16" s="12">
        <v>0.8</v>
      </c>
      <c r="BU16" s="12"/>
      <c r="BV16" s="12">
        <v>0.8</v>
      </c>
      <c r="BZ16" s="12"/>
      <c r="CA16" s="12">
        <v>1</v>
      </c>
      <c r="CB16" s="12"/>
      <c r="CC16" s="12">
        <v>1</v>
      </c>
      <c r="CG16" s="12"/>
      <c r="CH16" s="12">
        <v>1</v>
      </c>
      <c r="CI16" s="12"/>
      <c r="CJ16" s="12">
        <v>1</v>
      </c>
      <c r="CN16" s="12"/>
      <c r="CO16" s="12">
        <v>1</v>
      </c>
      <c r="CP16" s="12"/>
      <c r="CQ16" s="12">
        <v>1</v>
      </c>
      <c r="CU16" s="12"/>
      <c r="CV16" s="12">
        <v>1</v>
      </c>
      <c r="CW16" s="12"/>
      <c r="CX16" s="12">
        <v>1</v>
      </c>
      <c r="CY16" s="12">
        <v>1</v>
      </c>
      <c r="DB16" s="12"/>
      <c r="DC16" s="12">
        <v>1</v>
      </c>
      <c r="DD16" s="12"/>
      <c r="DE16" s="12">
        <v>1</v>
      </c>
      <c r="DI16" s="12"/>
      <c r="DJ16" s="12">
        <v>1</v>
      </c>
      <c r="DK16" s="12"/>
      <c r="DL16" s="12">
        <v>1</v>
      </c>
      <c r="DP16" s="12"/>
      <c r="DQ16" s="12">
        <v>1</v>
      </c>
      <c r="DR16" s="12"/>
      <c r="DS16" s="12">
        <v>1</v>
      </c>
      <c r="DW16" s="12"/>
      <c r="DX16" s="12">
        <v>1</v>
      </c>
      <c r="DY16" s="12"/>
      <c r="DZ16" s="12">
        <v>1</v>
      </c>
      <c r="EA16" t="s">
        <v>140</v>
      </c>
      <c r="ED16" s="12"/>
      <c r="EE16" s="12">
        <v>1</v>
      </c>
      <c r="EF16" s="12"/>
      <c r="EG16" s="12">
        <v>1</v>
      </c>
    </row>
    <row r="17" spans="2:137" outlineLevel="1">
      <c r="B17" t="s">
        <v>28</v>
      </c>
      <c r="C17" t="s">
        <v>94</v>
      </c>
      <c r="E17" s="11"/>
      <c r="F17" t="s">
        <v>147</v>
      </c>
      <c r="G17" s="12"/>
      <c r="I17" s="11">
        <f t="shared" si="1"/>
        <v>0</v>
      </c>
      <c r="J17" s="13" cm="1">
        <f t="array" ref="J17">MAX(IF($N$3:$EE$3=$J$3,N17:EE17))</f>
        <v>0</v>
      </c>
      <c r="K17" s="13" cm="1">
        <f t="array" ref="K17">MAX(IF($N$3:$EE$3=$J$3,N17:EE17))</f>
        <v>0</v>
      </c>
      <c r="L17" s="11"/>
      <c r="O17" s="12"/>
      <c r="P17" s="12"/>
      <c r="Q17" s="12"/>
      <c r="R17" s="12"/>
      <c r="V17" s="12"/>
      <c r="W17" s="12">
        <v>0.5</v>
      </c>
      <c r="X17" s="12"/>
      <c r="Y17" s="12">
        <v>0.5</v>
      </c>
      <c r="Z17">
        <v>1</v>
      </c>
      <c r="AC17" s="12"/>
      <c r="AD17" s="12">
        <v>0.5</v>
      </c>
      <c r="AE17" s="12"/>
      <c r="AF17" s="12">
        <v>0.5</v>
      </c>
      <c r="AJ17" s="12"/>
      <c r="AK17" s="12">
        <v>0.5</v>
      </c>
      <c r="AL17" s="12"/>
      <c r="AM17" s="12">
        <v>0.5</v>
      </c>
      <c r="AQ17" s="12"/>
      <c r="AR17" s="12">
        <v>0.8</v>
      </c>
      <c r="AS17" s="12"/>
      <c r="AT17" s="12">
        <v>0.8</v>
      </c>
      <c r="AX17" s="12"/>
      <c r="AY17" s="12">
        <v>0.8</v>
      </c>
      <c r="AZ17" s="12"/>
      <c r="BA17" s="12">
        <v>0.8</v>
      </c>
      <c r="BE17" s="12"/>
      <c r="BF17" s="12">
        <v>0.8</v>
      </c>
      <c r="BG17" s="12"/>
      <c r="BH17" s="12">
        <v>0.8</v>
      </c>
      <c r="BI17">
        <v>1</v>
      </c>
      <c r="BL17" s="12"/>
      <c r="BM17" s="12">
        <v>0.8</v>
      </c>
      <c r="BN17" s="12"/>
      <c r="BO17" s="12">
        <v>0.8</v>
      </c>
      <c r="BS17" s="12"/>
      <c r="BT17" s="12">
        <v>0.8</v>
      </c>
      <c r="BU17" s="12"/>
      <c r="BV17" s="12">
        <v>0.8</v>
      </c>
      <c r="BZ17" s="12"/>
      <c r="CA17" s="12">
        <v>0.8</v>
      </c>
      <c r="CB17" s="12"/>
      <c r="CC17" s="12">
        <v>0.8</v>
      </c>
      <c r="CG17" s="12"/>
      <c r="CH17" s="12">
        <v>1</v>
      </c>
      <c r="CI17" s="12"/>
      <c r="CJ17" s="12">
        <v>1</v>
      </c>
      <c r="CN17" s="12"/>
      <c r="CO17" s="12">
        <v>1</v>
      </c>
      <c r="CP17" s="12"/>
      <c r="CQ17" s="12">
        <v>1</v>
      </c>
      <c r="CU17" s="12"/>
      <c r="CV17" s="12">
        <v>1</v>
      </c>
      <c r="CW17" s="12"/>
      <c r="CX17" s="12">
        <v>1</v>
      </c>
      <c r="DB17" s="12"/>
      <c r="DC17" s="12">
        <v>1</v>
      </c>
      <c r="DD17" s="12"/>
      <c r="DE17" s="12">
        <v>1</v>
      </c>
      <c r="DI17" s="12"/>
      <c r="DJ17" s="12">
        <v>1</v>
      </c>
      <c r="DK17" s="12"/>
      <c r="DL17" s="12">
        <v>1</v>
      </c>
      <c r="DP17" s="12"/>
      <c r="DQ17" s="12">
        <v>1</v>
      </c>
      <c r="DR17" s="12"/>
      <c r="DS17" s="12">
        <v>1</v>
      </c>
      <c r="DW17" s="12"/>
      <c r="DX17" s="12">
        <v>1</v>
      </c>
      <c r="DY17" s="12"/>
      <c r="DZ17" s="12">
        <v>1</v>
      </c>
      <c r="ED17" s="12"/>
      <c r="EE17" s="12">
        <v>1</v>
      </c>
      <c r="EF17" s="12"/>
      <c r="EG17" s="12">
        <v>1</v>
      </c>
    </row>
    <row r="18" spans="2:137" outlineLevel="1">
      <c r="B18" t="s">
        <v>28</v>
      </c>
      <c r="C18" t="s">
        <v>94</v>
      </c>
      <c r="E18" s="11"/>
      <c r="F18" t="s">
        <v>148</v>
      </c>
      <c r="G18" s="12"/>
      <c r="I18" s="11">
        <f t="shared" si="1"/>
        <v>0</v>
      </c>
      <c r="J18" s="13" cm="1">
        <f t="array" ref="J18">MAX(IF($N$3:$EE$3=$J$3,N18:EE18))</f>
        <v>0</v>
      </c>
      <c r="K18" s="13" cm="1">
        <f t="array" ref="K18">MAX(IF($N$3:$EE$3=$J$3,N18:EE18))</f>
        <v>0</v>
      </c>
      <c r="L18" s="11"/>
      <c r="O18" s="12"/>
      <c r="P18" s="12"/>
      <c r="Q18" s="12"/>
      <c r="R18" s="12"/>
      <c r="V18" s="12"/>
      <c r="W18" s="12"/>
      <c r="X18" s="12"/>
      <c r="Y18" s="12"/>
      <c r="AC18" s="12"/>
      <c r="AD18" s="12"/>
      <c r="AE18" s="12"/>
      <c r="AF18" s="12"/>
      <c r="AG18">
        <v>1</v>
      </c>
      <c r="AJ18" s="12"/>
      <c r="AK18" s="12">
        <v>0.5</v>
      </c>
      <c r="AL18" s="12"/>
      <c r="AM18" s="12">
        <v>0.5</v>
      </c>
      <c r="AN18">
        <v>1</v>
      </c>
      <c r="AQ18" s="12"/>
      <c r="AR18" s="12">
        <v>0.5</v>
      </c>
      <c r="AS18" s="12"/>
      <c r="AT18" s="12">
        <v>0.5</v>
      </c>
      <c r="AU18">
        <v>1</v>
      </c>
      <c r="AX18" s="12"/>
      <c r="AY18" s="12">
        <v>0.5</v>
      </c>
      <c r="AZ18" s="12"/>
      <c r="BA18" s="12">
        <v>0.5</v>
      </c>
      <c r="BE18" s="12"/>
      <c r="BF18" s="12">
        <v>0.5</v>
      </c>
      <c r="BG18" s="12"/>
      <c r="BH18" s="12">
        <v>0.5</v>
      </c>
      <c r="BL18" s="12"/>
      <c r="BM18" s="12">
        <v>0.8</v>
      </c>
      <c r="BN18" s="12"/>
      <c r="BO18" s="12">
        <v>0.8</v>
      </c>
      <c r="BS18" s="12"/>
      <c r="BT18" s="12">
        <v>0.8</v>
      </c>
      <c r="BU18" s="12"/>
      <c r="BV18" s="12">
        <v>0.8</v>
      </c>
      <c r="BZ18" s="12"/>
      <c r="CA18" s="12">
        <v>0.8</v>
      </c>
      <c r="CB18" s="12"/>
      <c r="CC18" s="12">
        <v>0.8</v>
      </c>
      <c r="CG18" s="12"/>
      <c r="CH18" s="12">
        <v>0.8</v>
      </c>
      <c r="CI18" s="12"/>
      <c r="CJ18" s="12">
        <v>0.8</v>
      </c>
      <c r="CN18" s="12"/>
      <c r="CO18" s="12">
        <v>1</v>
      </c>
      <c r="CP18" s="12"/>
      <c r="CQ18" s="12">
        <v>1</v>
      </c>
      <c r="CU18" s="12"/>
      <c r="CV18" s="12">
        <v>1</v>
      </c>
      <c r="CW18" s="12"/>
      <c r="CX18" s="12">
        <v>1</v>
      </c>
      <c r="DB18" s="12"/>
      <c r="DC18" s="12">
        <v>1</v>
      </c>
      <c r="DD18" s="12"/>
      <c r="DE18" s="12">
        <v>1</v>
      </c>
      <c r="DI18" s="12"/>
      <c r="DJ18" s="12">
        <v>1</v>
      </c>
      <c r="DK18" s="12"/>
      <c r="DL18" s="12">
        <v>1</v>
      </c>
      <c r="DP18" s="12"/>
      <c r="DQ18" s="12">
        <v>1</v>
      </c>
      <c r="DR18" s="12"/>
      <c r="DS18" s="12">
        <v>1</v>
      </c>
      <c r="DW18" s="12"/>
      <c r="DX18" s="12">
        <v>1</v>
      </c>
      <c r="DY18" s="12"/>
      <c r="DZ18" s="12">
        <v>1</v>
      </c>
      <c r="ED18" s="12"/>
      <c r="EE18" s="12">
        <v>1</v>
      </c>
      <c r="EF18" s="12"/>
      <c r="EG18" s="12">
        <v>1</v>
      </c>
    </row>
    <row r="19" spans="2:137" outlineLevel="1">
      <c r="B19" t="s">
        <v>28</v>
      </c>
      <c r="C19" t="s">
        <v>94</v>
      </c>
      <c r="E19" s="11"/>
      <c r="F19" t="s">
        <v>149</v>
      </c>
      <c r="G19" s="12"/>
      <c r="I19" s="11">
        <f t="shared" si="1"/>
        <v>0</v>
      </c>
      <c r="J19" s="13" cm="1">
        <f t="array" ref="J19">MAX(IF($N$3:$EE$3=$J$3,N19:EE19))</f>
        <v>0</v>
      </c>
      <c r="K19" s="13" cm="1">
        <f t="array" ref="K19">MAX(IF($N$3:$EE$3=$J$3,N19:EE19))</f>
        <v>0</v>
      </c>
      <c r="L19" s="11"/>
      <c r="O19" s="12"/>
      <c r="P19" s="12"/>
      <c r="Q19" s="12"/>
      <c r="R19" s="12"/>
      <c r="V19" s="12"/>
      <c r="W19" s="12"/>
      <c r="X19" s="12"/>
      <c r="Y19" s="12"/>
      <c r="AC19" s="12"/>
      <c r="AD19" s="12"/>
      <c r="AE19" s="12"/>
      <c r="AF19" s="12"/>
      <c r="AJ19" s="12"/>
      <c r="AK19" s="12"/>
      <c r="AL19" s="12"/>
      <c r="AM19" s="12"/>
      <c r="AQ19" s="12"/>
      <c r="AR19" s="12"/>
      <c r="AS19" s="12"/>
      <c r="AT19" s="12"/>
      <c r="AX19" s="12"/>
      <c r="AY19" s="12">
        <v>0.5</v>
      </c>
      <c r="AZ19" s="12"/>
      <c r="BA19" s="12">
        <v>0.5</v>
      </c>
      <c r="BB19">
        <v>1</v>
      </c>
      <c r="BE19" s="12"/>
      <c r="BF19" s="12">
        <v>0.5</v>
      </c>
      <c r="BG19" s="12"/>
      <c r="BH19" s="12">
        <v>0.5</v>
      </c>
      <c r="BL19" s="12"/>
      <c r="BM19" s="12">
        <v>0.5</v>
      </c>
      <c r="BN19" s="12"/>
      <c r="BO19" s="12">
        <v>0.5</v>
      </c>
      <c r="BP19">
        <v>1</v>
      </c>
      <c r="BS19" s="12"/>
      <c r="BT19" s="12">
        <v>0.5</v>
      </c>
      <c r="BU19" s="12"/>
      <c r="BV19" s="12">
        <v>0.5</v>
      </c>
      <c r="BW19">
        <v>2</v>
      </c>
      <c r="BZ19" s="12"/>
      <c r="CA19" s="12">
        <v>0.8</v>
      </c>
      <c r="CB19" s="12"/>
      <c r="CC19" s="12">
        <v>0.8</v>
      </c>
      <c r="CD19">
        <v>2</v>
      </c>
      <c r="CG19" s="12"/>
      <c r="CH19" s="12">
        <v>0.8</v>
      </c>
      <c r="CI19" s="12"/>
      <c r="CJ19" s="12">
        <v>0.8</v>
      </c>
      <c r="CK19">
        <v>2</v>
      </c>
      <c r="CN19" s="12"/>
      <c r="CO19" s="12">
        <v>0.8</v>
      </c>
      <c r="CP19" s="12"/>
      <c r="CQ19" s="12">
        <v>0.8</v>
      </c>
      <c r="CR19">
        <v>3</v>
      </c>
      <c r="CU19" s="12"/>
      <c r="CV19" s="12">
        <v>1</v>
      </c>
      <c r="CW19" s="12"/>
      <c r="CX19" s="12">
        <v>1</v>
      </c>
      <c r="DB19" s="12"/>
      <c r="DC19" s="12">
        <v>1</v>
      </c>
      <c r="DD19" s="12"/>
      <c r="DE19" s="12">
        <v>1</v>
      </c>
      <c r="DI19" s="12"/>
      <c r="DJ19" s="12">
        <v>1</v>
      </c>
      <c r="DK19" s="12"/>
      <c r="DL19" s="12">
        <v>1</v>
      </c>
      <c r="DP19" s="12"/>
      <c r="DQ19" s="12">
        <v>1</v>
      </c>
      <c r="DR19" s="12"/>
      <c r="DS19" s="12">
        <v>1</v>
      </c>
      <c r="DW19" s="12"/>
      <c r="DX19" s="12">
        <v>1</v>
      </c>
      <c r="DY19" s="12"/>
      <c r="DZ19" s="12">
        <v>1</v>
      </c>
      <c r="ED19" s="12"/>
      <c r="EE19" s="12">
        <v>1</v>
      </c>
      <c r="EF19" s="12"/>
      <c r="EG19" s="12">
        <v>1</v>
      </c>
    </row>
    <row r="20" spans="2:137" outlineLevel="1">
      <c r="B20" t="s">
        <v>28</v>
      </c>
      <c r="C20" t="s">
        <v>94</v>
      </c>
      <c r="E20" s="11"/>
      <c r="F20" t="s">
        <v>150</v>
      </c>
      <c r="G20" s="12"/>
      <c r="I20" s="11">
        <f t="shared" si="1"/>
        <v>0</v>
      </c>
      <c r="J20" s="13" cm="1">
        <f t="array" ref="J20">MAX(IF($N$3:$EE$3=$J$3,N20:EE20))</f>
        <v>0</v>
      </c>
      <c r="K20" s="13" cm="1">
        <f t="array" ref="K20">MAX(IF($N$3:$EE$3=$J$3,N20:EE20))</f>
        <v>0</v>
      </c>
      <c r="L20" s="11"/>
      <c r="O20" s="12"/>
      <c r="P20" s="12"/>
      <c r="Q20" s="12"/>
      <c r="R20" s="12"/>
      <c r="V20" s="12"/>
      <c r="W20" s="12"/>
      <c r="X20" s="12"/>
      <c r="Y20" s="12"/>
      <c r="AC20" s="12"/>
      <c r="AD20" s="12"/>
      <c r="AE20" s="12"/>
      <c r="AF20" s="12"/>
      <c r="AJ20" s="12"/>
      <c r="AK20" s="12"/>
      <c r="AL20" s="12"/>
      <c r="AM20" s="12"/>
      <c r="AQ20" s="12"/>
      <c r="AR20" s="12"/>
      <c r="AS20" s="12"/>
      <c r="AT20" s="12"/>
      <c r="AX20" s="12"/>
      <c r="AY20" s="12"/>
      <c r="AZ20" s="12"/>
      <c r="BA20" s="12"/>
      <c r="BE20" s="12"/>
      <c r="BF20" s="12">
        <v>0.5</v>
      </c>
      <c r="BG20" s="12"/>
      <c r="BH20" s="12">
        <v>0.5</v>
      </c>
      <c r="BL20" s="12"/>
      <c r="BM20" s="12">
        <v>0.5</v>
      </c>
      <c r="BN20" s="12"/>
      <c r="BO20" s="12">
        <v>0.5</v>
      </c>
      <c r="BS20" s="12"/>
      <c r="BT20" s="12">
        <v>0.5</v>
      </c>
      <c r="BU20" s="12"/>
      <c r="BV20" s="12">
        <v>0.5</v>
      </c>
      <c r="BZ20" s="12"/>
      <c r="CA20" s="12">
        <v>0.5</v>
      </c>
      <c r="CB20" s="12"/>
      <c r="CC20" s="12">
        <v>0.5</v>
      </c>
      <c r="CG20" s="12"/>
      <c r="CH20" s="12">
        <v>0.8</v>
      </c>
      <c r="CI20" s="12"/>
      <c r="CJ20" s="12">
        <v>0.8</v>
      </c>
      <c r="CN20" s="12"/>
      <c r="CO20" s="12">
        <v>0.8</v>
      </c>
      <c r="CP20" s="12"/>
      <c r="CQ20" s="12">
        <v>0.8</v>
      </c>
      <c r="CU20" s="12"/>
      <c r="CV20" s="12">
        <v>1</v>
      </c>
      <c r="CW20" s="12"/>
      <c r="CX20" s="12">
        <v>1</v>
      </c>
      <c r="DB20" s="12"/>
      <c r="DC20" s="12">
        <v>1</v>
      </c>
      <c r="DD20" s="12"/>
      <c r="DE20" s="12">
        <v>1</v>
      </c>
      <c r="DI20" s="12"/>
      <c r="DJ20" s="12">
        <v>1</v>
      </c>
      <c r="DK20" s="12"/>
      <c r="DL20" s="12">
        <v>1</v>
      </c>
      <c r="DP20" s="12"/>
      <c r="DQ20" s="12">
        <v>1</v>
      </c>
      <c r="DR20" s="12"/>
      <c r="DS20" s="12">
        <v>1</v>
      </c>
      <c r="DW20" s="12"/>
      <c r="DX20" s="12">
        <v>1</v>
      </c>
      <c r="DY20" s="12"/>
      <c r="DZ20" s="12">
        <v>1</v>
      </c>
      <c r="ED20" s="12"/>
      <c r="EE20" s="12">
        <v>1</v>
      </c>
      <c r="EF20" s="12"/>
      <c r="EG20" s="12">
        <v>1</v>
      </c>
    </row>
    <row r="21" spans="2:137" ht="16.8" customHeight="1" outlineLevel="1">
      <c r="B21" t="s">
        <v>28</v>
      </c>
      <c r="C21" t="s">
        <v>94</v>
      </c>
      <c r="E21" s="11"/>
      <c r="F21" t="s">
        <v>151</v>
      </c>
      <c r="G21" s="12"/>
      <c r="I21" s="11">
        <f t="shared" si="1"/>
        <v>0</v>
      </c>
      <c r="J21" s="13" cm="1">
        <f t="array" ref="J21">MAX(IF($N$3:$EE$3=$J$3,N21:EE21))</f>
        <v>0</v>
      </c>
      <c r="K21" s="13" cm="1">
        <f t="array" ref="K21">MAX(IF($N$3:$EE$3=$J$3,N21:EE21))</f>
        <v>0</v>
      </c>
      <c r="L21" s="11"/>
      <c r="O21" s="12"/>
      <c r="P21" s="12"/>
      <c r="Q21" s="12"/>
      <c r="R21" s="12"/>
      <c r="V21" s="12"/>
      <c r="W21" s="12"/>
      <c r="X21" s="12"/>
      <c r="Y21" s="12"/>
      <c r="AC21" s="12"/>
      <c r="AD21" s="12"/>
      <c r="AE21" s="12"/>
      <c r="AF21" s="12"/>
      <c r="AJ21" s="12"/>
      <c r="AK21" s="12"/>
      <c r="AL21" s="12"/>
      <c r="AM21" s="12"/>
      <c r="AQ21" s="12"/>
      <c r="AR21" s="12"/>
      <c r="AS21" s="12"/>
      <c r="AT21" s="12"/>
      <c r="AX21" s="12"/>
      <c r="AY21" s="12"/>
      <c r="AZ21" s="12"/>
      <c r="BA21" s="12"/>
      <c r="BE21" s="12"/>
      <c r="BF21" s="12"/>
      <c r="BG21" s="12"/>
      <c r="BH21" s="12"/>
      <c r="BL21" s="12"/>
      <c r="BM21" s="12"/>
      <c r="BN21" s="12"/>
      <c r="BO21" s="12"/>
      <c r="BS21" s="12"/>
      <c r="BT21" s="12">
        <v>0.5</v>
      </c>
      <c r="BU21" s="12"/>
      <c r="BV21" s="12">
        <v>0.5</v>
      </c>
      <c r="BZ21" s="12"/>
      <c r="CA21" s="12">
        <v>0.5</v>
      </c>
      <c r="CB21" s="12"/>
      <c r="CC21" s="12">
        <v>0.5</v>
      </c>
      <c r="CG21" s="12"/>
      <c r="CH21" s="12">
        <v>0.5</v>
      </c>
      <c r="CI21" s="12"/>
      <c r="CJ21" s="12">
        <v>0.5</v>
      </c>
      <c r="CN21" s="12"/>
      <c r="CO21" s="12">
        <v>0.8</v>
      </c>
      <c r="CP21" s="12"/>
      <c r="CQ21" s="12">
        <v>0.8</v>
      </c>
      <c r="CU21" s="12"/>
      <c r="CV21" s="12">
        <v>1</v>
      </c>
      <c r="CW21" s="12"/>
      <c r="CX21" s="12">
        <v>1</v>
      </c>
      <c r="DB21" s="12"/>
      <c r="DC21" s="12">
        <v>1</v>
      </c>
      <c r="DD21" s="12"/>
      <c r="DE21" s="12">
        <v>1</v>
      </c>
      <c r="DI21" s="12"/>
      <c r="DJ21" s="12">
        <v>1</v>
      </c>
      <c r="DK21" s="12"/>
      <c r="DL21" s="12">
        <v>1</v>
      </c>
      <c r="DP21" s="12"/>
      <c r="DQ21" s="12">
        <v>1</v>
      </c>
      <c r="DR21" s="12"/>
      <c r="DS21" s="12">
        <v>1</v>
      </c>
      <c r="DW21" s="12"/>
      <c r="DX21" s="12">
        <v>1</v>
      </c>
      <c r="DY21" s="12"/>
      <c r="DZ21" s="12">
        <v>1</v>
      </c>
      <c r="ED21" s="12"/>
      <c r="EE21" s="12">
        <v>1</v>
      </c>
      <c r="EF21" s="12"/>
      <c r="EG21" s="12">
        <v>1</v>
      </c>
    </row>
    <row r="23" spans="2:137">
      <c r="B23" t="s">
        <v>27</v>
      </c>
      <c r="C23" t="s">
        <v>96</v>
      </c>
      <c r="D23" s="22">
        <v>45498</v>
      </c>
      <c r="E23" s="11">
        <v>6</v>
      </c>
      <c r="G23" s="12"/>
      <c r="I23" s="14">
        <f>+SUM(I24:I33)</f>
        <v>0</v>
      </c>
      <c r="J23" s="13">
        <f>+SUMPRODUCT(G24:G33,J24:J33)</f>
        <v>0</v>
      </c>
      <c r="K23" s="13">
        <f>+SUMPRODUCT(G24:G33,K24:K33)</f>
        <v>0</v>
      </c>
      <c r="L23" s="11"/>
      <c r="N23" s="14">
        <f>+SUM(N24:N33)</f>
        <v>0</v>
      </c>
      <c r="U23" s="14">
        <f>+SUM(U24:U33)</f>
        <v>0</v>
      </c>
      <c r="AB23" s="14">
        <f>+SUM(AB24:AB33)</f>
        <v>0</v>
      </c>
      <c r="AI23" s="14">
        <f>+SUM(AI24:AI33)</f>
        <v>0</v>
      </c>
      <c r="AP23" s="14">
        <f>+SUM(AP24:AP33)</f>
        <v>0</v>
      </c>
    </row>
    <row r="24" spans="2:137" outlineLevel="1">
      <c r="B24" t="s">
        <v>28</v>
      </c>
      <c r="C24" t="s">
        <v>96</v>
      </c>
      <c r="E24" s="11"/>
      <c r="F24" t="s">
        <v>106</v>
      </c>
      <c r="G24" s="12"/>
      <c r="I24" s="11">
        <f t="shared" ref="I24:I33" si="2">+SUMIF($N$3:$ZW$3,I$3,$N24:$ZW24)</f>
        <v>0</v>
      </c>
      <c r="J24" s="13" cm="1">
        <f t="array" ref="J24">MAX(IF($N$3:$EE$3=$J$3,N24:EE24))</f>
        <v>0</v>
      </c>
      <c r="K24" s="13" cm="1">
        <f t="array" ref="K24">MAX(IF($N$3:$EE$3=$J$3,N24:EE24))</f>
        <v>0</v>
      </c>
      <c r="L24" s="11"/>
      <c r="O24" s="12"/>
      <c r="P24" s="12">
        <v>0.5</v>
      </c>
      <c r="Q24" s="12"/>
      <c r="R24" s="12">
        <v>0.5</v>
      </c>
      <c r="V24" s="12"/>
      <c r="W24" s="12">
        <v>0.5</v>
      </c>
      <c r="X24" s="12"/>
      <c r="Y24" s="12">
        <v>0.5</v>
      </c>
      <c r="AC24" s="12"/>
      <c r="AD24" s="12">
        <v>0.5</v>
      </c>
      <c r="AE24" s="12"/>
      <c r="AF24" s="12">
        <v>0.5</v>
      </c>
      <c r="AJ24" s="12"/>
      <c r="AK24" s="12">
        <v>0.5</v>
      </c>
      <c r="AL24" s="12"/>
      <c r="AM24" s="12">
        <v>0.5</v>
      </c>
      <c r="AQ24" s="12"/>
      <c r="AR24" s="12">
        <v>0.8</v>
      </c>
      <c r="AS24" s="12"/>
      <c r="AT24" s="12">
        <v>0.8</v>
      </c>
      <c r="AX24" s="12"/>
      <c r="AY24" s="12">
        <v>0.8</v>
      </c>
      <c r="AZ24" s="12"/>
      <c r="BA24" s="12">
        <v>0.8</v>
      </c>
      <c r="BE24" s="12"/>
      <c r="BF24" s="12">
        <v>0.8</v>
      </c>
      <c r="BG24" s="12"/>
      <c r="BH24" s="12">
        <v>0.8</v>
      </c>
      <c r="BL24" s="12"/>
      <c r="BM24" s="12">
        <v>1</v>
      </c>
      <c r="BN24" s="12"/>
      <c r="BO24" s="12">
        <v>1</v>
      </c>
      <c r="BS24" s="12"/>
      <c r="BT24" s="12">
        <v>1</v>
      </c>
      <c r="BU24" s="12"/>
      <c r="BV24" s="12">
        <v>1</v>
      </c>
      <c r="BZ24" s="12"/>
      <c r="CA24" s="12">
        <v>1</v>
      </c>
      <c r="CB24" s="12"/>
      <c r="CC24" s="12">
        <v>1</v>
      </c>
      <c r="CG24" s="12"/>
      <c r="CH24" s="12">
        <v>1</v>
      </c>
      <c r="CI24" s="12"/>
      <c r="CJ24" s="12">
        <v>1</v>
      </c>
      <c r="CN24" s="12"/>
      <c r="CO24" s="12">
        <v>1</v>
      </c>
      <c r="CP24" s="12"/>
      <c r="CQ24" s="12">
        <v>1</v>
      </c>
      <c r="CU24" s="12"/>
      <c r="CV24" s="12">
        <v>1</v>
      </c>
      <c r="CW24" s="12"/>
      <c r="CX24" s="12">
        <v>1</v>
      </c>
      <c r="CY24" s="12">
        <v>1</v>
      </c>
      <c r="DB24" s="12"/>
      <c r="DC24" s="12">
        <v>1</v>
      </c>
      <c r="DD24" s="12"/>
      <c r="DE24" s="12">
        <v>1</v>
      </c>
      <c r="DI24" s="12"/>
      <c r="DJ24" s="12">
        <v>1</v>
      </c>
      <c r="DK24" s="12"/>
      <c r="DL24" s="12">
        <v>1</v>
      </c>
      <c r="DP24" s="12"/>
      <c r="DQ24" s="12">
        <v>1</v>
      </c>
      <c r="DR24" s="12"/>
      <c r="DS24" s="12">
        <v>1</v>
      </c>
      <c r="DW24" s="12"/>
      <c r="DX24" s="12">
        <v>1</v>
      </c>
      <c r="DY24" s="12"/>
      <c r="DZ24" s="12">
        <v>1</v>
      </c>
      <c r="EA24" t="s">
        <v>140</v>
      </c>
      <c r="ED24" s="12"/>
      <c r="EE24" s="12">
        <v>1</v>
      </c>
      <c r="EF24" s="12"/>
      <c r="EG24" s="12">
        <v>1</v>
      </c>
    </row>
    <row r="25" spans="2:137" outlineLevel="1">
      <c r="B25" t="s">
        <v>28</v>
      </c>
      <c r="C25" t="s">
        <v>96</v>
      </c>
      <c r="E25" s="11"/>
      <c r="F25" t="s">
        <v>107</v>
      </c>
      <c r="G25" s="12"/>
      <c r="I25" s="11">
        <f t="shared" si="2"/>
        <v>0</v>
      </c>
      <c r="J25" s="13" cm="1">
        <f t="array" ref="J25">MAX(IF($N$3:$EE$3=$J$3,N25:EE25))</f>
        <v>0</v>
      </c>
      <c r="K25" s="13" cm="1">
        <f t="array" ref="K25">MAX(IF($N$3:$EE$3=$J$3,N25:EE25))</f>
        <v>0</v>
      </c>
      <c r="L25" s="11"/>
      <c r="O25" s="12"/>
      <c r="P25" s="12"/>
      <c r="Q25" s="12"/>
      <c r="R25" s="12"/>
      <c r="V25" s="12"/>
      <c r="W25" s="12">
        <v>0.5</v>
      </c>
      <c r="X25" s="12"/>
      <c r="Y25" s="12">
        <v>0.5</v>
      </c>
      <c r="Z25">
        <v>2</v>
      </c>
      <c r="AC25" s="12"/>
      <c r="AD25" s="12">
        <v>0.5</v>
      </c>
      <c r="AE25" s="12"/>
      <c r="AF25" s="12">
        <v>0.5</v>
      </c>
      <c r="AJ25" s="12"/>
      <c r="AK25" s="12">
        <v>0.5</v>
      </c>
      <c r="AL25" s="12"/>
      <c r="AM25" s="12">
        <v>0.5</v>
      </c>
      <c r="AN25">
        <v>3</v>
      </c>
      <c r="AQ25" s="12"/>
      <c r="AR25" s="12">
        <v>0.8</v>
      </c>
      <c r="AS25" s="12"/>
      <c r="AT25" s="12">
        <v>0.8</v>
      </c>
      <c r="AX25" s="12"/>
      <c r="AY25" s="12">
        <v>0.8</v>
      </c>
      <c r="AZ25" s="12"/>
      <c r="BA25" s="12">
        <v>0.8</v>
      </c>
      <c r="BE25" s="12"/>
      <c r="BF25" s="12">
        <v>0.8</v>
      </c>
      <c r="BG25" s="12"/>
      <c r="BH25" s="12">
        <v>0.8</v>
      </c>
      <c r="BL25" s="12"/>
      <c r="BM25" s="12">
        <v>0.8</v>
      </c>
      <c r="BN25" s="12"/>
      <c r="BO25" s="12">
        <v>0.8</v>
      </c>
      <c r="BS25" s="12"/>
      <c r="BT25" s="12">
        <v>1</v>
      </c>
      <c r="BU25" s="12"/>
      <c r="BV25" s="12">
        <v>1</v>
      </c>
      <c r="BZ25" s="12"/>
      <c r="CA25" s="12">
        <v>1</v>
      </c>
      <c r="CB25" s="12"/>
      <c r="CC25" s="12">
        <v>1</v>
      </c>
      <c r="CG25" s="12"/>
      <c r="CH25" s="12">
        <v>1</v>
      </c>
      <c r="CI25" s="12"/>
      <c r="CJ25" s="12">
        <v>1</v>
      </c>
      <c r="CN25" s="12"/>
      <c r="CO25" s="12">
        <v>1</v>
      </c>
      <c r="CP25" s="12"/>
      <c r="CQ25" s="12">
        <v>1</v>
      </c>
      <c r="CU25" s="12"/>
      <c r="CV25" s="12">
        <v>1</v>
      </c>
      <c r="CW25" s="12"/>
      <c r="CX25" s="12">
        <v>1</v>
      </c>
      <c r="DB25" s="12"/>
      <c r="DC25" s="12">
        <v>1</v>
      </c>
      <c r="DD25" s="12"/>
      <c r="DE25" s="12">
        <v>1</v>
      </c>
      <c r="DI25" s="12"/>
      <c r="DJ25" s="12">
        <v>1</v>
      </c>
      <c r="DK25" s="12"/>
      <c r="DL25" s="12">
        <v>1</v>
      </c>
      <c r="DP25" s="12"/>
      <c r="DQ25" s="12">
        <v>1</v>
      </c>
      <c r="DR25" s="12"/>
      <c r="DS25" s="12">
        <v>1</v>
      </c>
      <c r="DW25" s="12"/>
      <c r="DX25" s="12">
        <v>1</v>
      </c>
      <c r="DY25" s="12"/>
      <c r="DZ25" s="12">
        <v>1</v>
      </c>
      <c r="ED25" s="12"/>
      <c r="EE25" s="12">
        <v>1</v>
      </c>
      <c r="EF25" s="12"/>
      <c r="EG25" s="12">
        <v>1</v>
      </c>
    </row>
    <row r="26" spans="2:137" outlineLevel="1">
      <c r="B26" t="s">
        <v>28</v>
      </c>
      <c r="C26" t="s">
        <v>96</v>
      </c>
      <c r="E26" s="11"/>
      <c r="F26" t="s">
        <v>108</v>
      </c>
      <c r="G26" s="12"/>
      <c r="I26" s="11">
        <f t="shared" si="2"/>
        <v>0</v>
      </c>
      <c r="J26" s="13" cm="1">
        <f t="array" ref="J26">MAX(IF($N$3:$EE$3=$J$3,N26:EE26))</f>
        <v>0</v>
      </c>
      <c r="K26" s="13" cm="1">
        <f t="array" ref="K26">MAX(IF($N$3:$EE$3=$J$3,N26:EE26))</f>
        <v>0</v>
      </c>
      <c r="L26" s="11"/>
      <c r="O26" s="12"/>
      <c r="P26" s="12"/>
      <c r="Q26" s="12"/>
      <c r="R26" s="12"/>
      <c r="V26" s="12"/>
      <c r="W26" s="12"/>
      <c r="X26" s="12"/>
      <c r="Y26" s="12"/>
      <c r="AC26" s="12"/>
      <c r="AD26" s="12">
        <v>0.5</v>
      </c>
      <c r="AE26" s="12"/>
      <c r="AF26" s="12">
        <v>0.5</v>
      </c>
      <c r="AG26">
        <v>3</v>
      </c>
      <c r="AJ26" s="12"/>
      <c r="AK26" s="12">
        <v>0.5</v>
      </c>
      <c r="AL26" s="12"/>
      <c r="AM26" s="12">
        <v>0.5</v>
      </c>
      <c r="AQ26" s="12"/>
      <c r="AR26" s="12">
        <v>0.5</v>
      </c>
      <c r="AS26" s="12"/>
      <c r="AT26" s="12">
        <v>0.5</v>
      </c>
      <c r="AX26" s="12"/>
      <c r="AY26" s="12">
        <v>0.8</v>
      </c>
      <c r="AZ26" s="12"/>
      <c r="BA26" s="12">
        <v>0.8</v>
      </c>
      <c r="BE26" s="12"/>
      <c r="BF26" s="12">
        <v>0.8</v>
      </c>
      <c r="BG26" s="12"/>
      <c r="BH26" s="12">
        <v>0.8</v>
      </c>
      <c r="BL26" s="12"/>
      <c r="BM26" s="12">
        <v>0.8</v>
      </c>
      <c r="BN26" s="12"/>
      <c r="BO26" s="12">
        <v>0.8</v>
      </c>
      <c r="BS26" s="12"/>
      <c r="BT26" s="12">
        <v>0.8</v>
      </c>
      <c r="BU26" s="12"/>
      <c r="BV26" s="12">
        <v>0.8</v>
      </c>
      <c r="BZ26" s="12"/>
      <c r="CA26" s="12">
        <v>1</v>
      </c>
      <c r="CB26" s="12"/>
      <c r="CC26" s="12">
        <v>1</v>
      </c>
      <c r="CG26" s="12"/>
      <c r="CH26" s="12">
        <v>1</v>
      </c>
      <c r="CI26" s="12"/>
      <c r="CJ26" s="12">
        <v>1</v>
      </c>
      <c r="CN26" s="12"/>
      <c r="CO26" s="12">
        <v>1</v>
      </c>
      <c r="CP26" s="12"/>
      <c r="CQ26" s="12">
        <v>1</v>
      </c>
      <c r="CU26" s="12"/>
      <c r="CV26" s="12">
        <v>1</v>
      </c>
      <c r="CW26" s="12"/>
      <c r="CX26" s="12">
        <v>1</v>
      </c>
      <c r="DB26" s="12"/>
      <c r="DC26" s="12">
        <v>1</v>
      </c>
      <c r="DD26" s="12"/>
      <c r="DE26" s="12">
        <v>1</v>
      </c>
      <c r="DI26" s="12"/>
      <c r="DJ26" s="12">
        <v>1</v>
      </c>
      <c r="DK26" s="12"/>
      <c r="DL26" s="12">
        <v>1</v>
      </c>
      <c r="DP26" s="12"/>
      <c r="DQ26" s="12">
        <v>1</v>
      </c>
      <c r="DR26" s="12"/>
      <c r="DS26" s="12">
        <v>1</v>
      </c>
      <c r="DW26" s="12"/>
      <c r="DX26" s="12">
        <v>1</v>
      </c>
      <c r="DY26" s="12"/>
      <c r="DZ26" s="12">
        <v>1</v>
      </c>
      <c r="ED26" s="12"/>
      <c r="EE26" s="12">
        <v>1</v>
      </c>
      <c r="EF26" s="12"/>
      <c r="EG26" s="12">
        <v>1</v>
      </c>
    </row>
    <row r="27" spans="2:137" outlineLevel="1">
      <c r="B27" t="s">
        <v>28</v>
      </c>
      <c r="C27" t="s">
        <v>96</v>
      </c>
      <c r="E27" s="11"/>
      <c r="F27" t="s">
        <v>109</v>
      </c>
      <c r="G27" s="12"/>
      <c r="I27" s="11">
        <f t="shared" si="2"/>
        <v>0</v>
      </c>
      <c r="J27" s="13" cm="1">
        <f t="array" ref="J27">MAX(IF($N$3:$EE$3=$J$3,N27:EE27))</f>
        <v>0</v>
      </c>
      <c r="K27" s="13" cm="1">
        <f t="array" ref="K27">MAX(IF($N$3:$EE$3=$J$3,N27:EE27))</f>
        <v>0</v>
      </c>
      <c r="L27" s="11"/>
      <c r="O27" s="12"/>
      <c r="P27" s="12"/>
      <c r="Q27" s="12"/>
      <c r="R27" s="12"/>
      <c r="V27" s="12"/>
      <c r="W27" s="12"/>
      <c r="X27" s="12"/>
      <c r="Y27" s="12"/>
      <c r="AC27" s="12"/>
      <c r="AD27" s="12"/>
      <c r="AE27" s="12"/>
      <c r="AF27" s="12"/>
      <c r="AJ27" s="12"/>
      <c r="AK27" s="12">
        <v>0.5</v>
      </c>
      <c r="AL27" s="12"/>
      <c r="AM27" s="12">
        <v>0.5</v>
      </c>
      <c r="AQ27" s="12"/>
      <c r="AR27" s="12">
        <v>0.5</v>
      </c>
      <c r="AS27" s="12"/>
      <c r="AT27" s="12">
        <v>0.5</v>
      </c>
      <c r="AX27" s="12"/>
      <c r="AY27" s="12">
        <v>0.8</v>
      </c>
      <c r="AZ27" s="12"/>
      <c r="BA27" s="12">
        <v>0.8</v>
      </c>
      <c r="BE27" s="12"/>
      <c r="BF27" s="12">
        <v>0.8</v>
      </c>
      <c r="BG27" s="12"/>
      <c r="BH27" s="12">
        <v>0.8</v>
      </c>
      <c r="BL27" s="12"/>
      <c r="BM27" s="12">
        <v>0.8</v>
      </c>
      <c r="BN27" s="12"/>
      <c r="BO27" s="12">
        <v>0.8</v>
      </c>
      <c r="BS27" s="12"/>
      <c r="BT27" s="12">
        <v>0.8</v>
      </c>
      <c r="BU27" s="12"/>
      <c r="BV27" s="12">
        <v>0.8</v>
      </c>
      <c r="BZ27" s="12"/>
      <c r="CA27" s="12">
        <v>1</v>
      </c>
      <c r="CB27" s="12"/>
      <c r="CC27" s="12">
        <v>1</v>
      </c>
      <c r="CG27" s="12"/>
      <c r="CH27" s="12">
        <v>1</v>
      </c>
      <c r="CI27" s="12"/>
      <c r="CJ27" s="12">
        <v>1</v>
      </c>
      <c r="CN27" s="12"/>
      <c r="CO27" s="12">
        <v>1</v>
      </c>
      <c r="CP27" s="12"/>
      <c r="CQ27" s="12">
        <v>1</v>
      </c>
      <c r="CU27" s="12"/>
      <c r="CV27" s="12">
        <v>1</v>
      </c>
      <c r="CW27" s="12"/>
      <c r="CX27" s="12">
        <v>1</v>
      </c>
      <c r="DB27" s="12"/>
      <c r="DC27" s="12">
        <v>1</v>
      </c>
      <c r="DD27" s="12"/>
      <c r="DE27" s="12">
        <v>1</v>
      </c>
      <c r="DI27" s="12"/>
      <c r="DJ27" s="12">
        <v>1</v>
      </c>
      <c r="DK27" s="12"/>
      <c r="DL27" s="12">
        <v>1</v>
      </c>
      <c r="DP27" s="12"/>
      <c r="DQ27" s="12">
        <v>1</v>
      </c>
      <c r="DR27" s="12"/>
      <c r="DS27" s="12">
        <v>1</v>
      </c>
      <c r="DW27" s="12"/>
      <c r="DX27" s="12">
        <v>1</v>
      </c>
      <c r="DY27" s="12"/>
      <c r="DZ27" s="12">
        <v>1</v>
      </c>
      <c r="ED27" s="12"/>
      <c r="EE27" s="12">
        <v>1</v>
      </c>
      <c r="EF27" s="12"/>
      <c r="EG27" s="12">
        <v>1</v>
      </c>
    </row>
    <row r="28" spans="2:137" outlineLevel="1">
      <c r="B28" t="s">
        <v>28</v>
      </c>
      <c r="C28" t="s">
        <v>96</v>
      </c>
      <c r="E28" s="11"/>
      <c r="F28" t="s">
        <v>110</v>
      </c>
      <c r="G28" s="12"/>
      <c r="I28" s="11">
        <f t="shared" si="2"/>
        <v>0</v>
      </c>
      <c r="J28" s="13" cm="1">
        <f t="array" ref="J28">MAX(IF($N$3:$EE$3=$J$3,N28:EE28))</f>
        <v>0</v>
      </c>
      <c r="K28" s="13" cm="1">
        <f t="array" ref="K28">MAX(IF($N$3:$EE$3=$J$3,N28:EE28))</f>
        <v>0</v>
      </c>
      <c r="L28" s="11"/>
      <c r="O28" s="12"/>
      <c r="P28" s="12"/>
      <c r="Q28" s="12"/>
      <c r="R28" s="12"/>
      <c r="V28" s="12"/>
      <c r="W28" s="12"/>
      <c r="X28" s="12"/>
      <c r="Y28" s="12"/>
      <c r="AC28" s="12"/>
      <c r="AD28" s="12"/>
      <c r="AE28" s="12"/>
      <c r="AF28" s="12"/>
      <c r="AJ28" s="12"/>
      <c r="AK28" s="12">
        <v>0.5</v>
      </c>
      <c r="AL28" s="12"/>
      <c r="AM28" s="12">
        <v>0.5</v>
      </c>
      <c r="AQ28" s="12"/>
      <c r="AR28" s="12">
        <v>0.5</v>
      </c>
      <c r="AS28" s="12"/>
      <c r="AT28" s="12">
        <v>0.5</v>
      </c>
      <c r="AX28" s="12"/>
      <c r="AY28" s="12">
        <v>0.5</v>
      </c>
      <c r="AZ28" s="12"/>
      <c r="BA28" s="12">
        <v>0.5</v>
      </c>
      <c r="BB28">
        <v>2</v>
      </c>
      <c r="BE28" s="12"/>
      <c r="BF28" s="12">
        <v>0.8</v>
      </c>
      <c r="BG28" s="12"/>
      <c r="BH28" s="12">
        <v>0.8</v>
      </c>
      <c r="BL28" s="12"/>
      <c r="BM28" s="12">
        <v>0.8</v>
      </c>
      <c r="BN28" s="12"/>
      <c r="BO28" s="12">
        <v>0.8</v>
      </c>
      <c r="BS28" s="12"/>
      <c r="BT28" s="12">
        <v>0.8</v>
      </c>
      <c r="BU28" s="12"/>
      <c r="BV28" s="12">
        <v>0.8</v>
      </c>
      <c r="BZ28" s="12"/>
      <c r="CA28" s="12">
        <v>0.8</v>
      </c>
      <c r="CB28" s="12"/>
      <c r="CC28" s="12">
        <v>0.8</v>
      </c>
      <c r="CG28" s="12"/>
      <c r="CH28" s="12">
        <v>1</v>
      </c>
      <c r="CI28" s="12"/>
      <c r="CJ28" s="12">
        <v>1</v>
      </c>
      <c r="CN28" s="12"/>
      <c r="CO28" s="12">
        <v>1</v>
      </c>
      <c r="CP28" s="12"/>
      <c r="CQ28" s="12">
        <v>1</v>
      </c>
      <c r="CU28" s="12"/>
      <c r="CV28" s="12">
        <v>1</v>
      </c>
      <c r="CW28" s="12"/>
      <c r="CX28" s="12">
        <v>1</v>
      </c>
      <c r="DB28" s="12"/>
      <c r="DC28" s="12">
        <v>1</v>
      </c>
      <c r="DD28" s="12"/>
      <c r="DE28" s="12">
        <v>1</v>
      </c>
      <c r="DI28" s="12"/>
      <c r="DJ28" s="12">
        <v>1</v>
      </c>
      <c r="DK28" s="12"/>
      <c r="DL28" s="12">
        <v>1</v>
      </c>
      <c r="DP28" s="12"/>
      <c r="DQ28" s="12">
        <v>1</v>
      </c>
      <c r="DR28" s="12"/>
      <c r="DS28" s="12">
        <v>1</v>
      </c>
      <c r="DW28" s="12"/>
      <c r="DX28" s="12">
        <v>1</v>
      </c>
      <c r="DY28" s="12"/>
      <c r="DZ28" s="12">
        <v>1</v>
      </c>
      <c r="ED28" s="12"/>
      <c r="EE28" s="12">
        <v>1</v>
      </c>
      <c r="EF28" s="12"/>
      <c r="EG28" s="12">
        <v>1</v>
      </c>
    </row>
    <row r="29" spans="2:137" outlineLevel="1">
      <c r="B29" t="s">
        <v>28</v>
      </c>
      <c r="C29" t="s">
        <v>96</v>
      </c>
      <c r="E29" s="11"/>
      <c r="F29" t="s">
        <v>111</v>
      </c>
      <c r="G29" s="12"/>
      <c r="I29" s="11">
        <f t="shared" si="2"/>
        <v>0</v>
      </c>
      <c r="J29" s="13" cm="1">
        <f t="array" ref="J29">MAX(IF($N$3:$EE$3=$J$3,N29:EE29))</f>
        <v>0</v>
      </c>
      <c r="K29" s="13" cm="1">
        <f t="array" ref="K29">MAX(IF($N$3:$EE$3=$J$3,N29:EE29))</f>
        <v>0</v>
      </c>
      <c r="L29" s="11"/>
      <c r="O29" s="12"/>
      <c r="P29" s="12"/>
      <c r="Q29" s="12"/>
      <c r="R29" s="12"/>
      <c r="V29" s="12"/>
      <c r="W29" s="12"/>
      <c r="X29" s="12"/>
      <c r="Y29" s="12"/>
      <c r="AC29" s="12"/>
      <c r="AD29" s="12"/>
      <c r="AE29" s="12"/>
      <c r="AF29" s="12"/>
      <c r="AJ29" s="12"/>
      <c r="AK29" s="12"/>
      <c r="AL29" s="12"/>
      <c r="AM29" s="12"/>
      <c r="AQ29" s="12"/>
      <c r="AR29" s="12">
        <v>0.5</v>
      </c>
      <c r="AS29" s="12"/>
      <c r="AT29" s="12">
        <v>0.5</v>
      </c>
      <c r="AX29" s="12"/>
      <c r="AY29" s="12">
        <v>0.5</v>
      </c>
      <c r="AZ29" s="12"/>
      <c r="BA29" s="12">
        <v>0.5</v>
      </c>
      <c r="BE29" s="12"/>
      <c r="BF29" s="12">
        <v>0.5</v>
      </c>
      <c r="BG29" s="12"/>
      <c r="BH29" s="12">
        <v>0.5</v>
      </c>
      <c r="BL29" s="12"/>
      <c r="BM29" s="12">
        <v>0.8</v>
      </c>
      <c r="BN29" s="12"/>
      <c r="BO29" s="12">
        <v>0.8</v>
      </c>
      <c r="BS29" s="12"/>
      <c r="BT29" s="12">
        <v>0.8</v>
      </c>
      <c r="BU29" s="12"/>
      <c r="BV29" s="12">
        <v>0.8</v>
      </c>
      <c r="BZ29" s="12"/>
      <c r="CA29" s="12">
        <v>0.8</v>
      </c>
      <c r="CB29" s="12"/>
      <c r="CC29" s="12">
        <v>0.8</v>
      </c>
      <c r="CG29" s="12"/>
      <c r="CH29" s="12">
        <v>0.8</v>
      </c>
      <c r="CI29" s="12"/>
      <c r="CJ29" s="12">
        <v>0.8</v>
      </c>
      <c r="CN29" s="12"/>
      <c r="CO29" s="12">
        <v>1</v>
      </c>
      <c r="CP29" s="12"/>
      <c r="CQ29" s="12">
        <v>1</v>
      </c>
      <c r="CU29" s="12"/>
      <c r="CV29" s="12">
        <v>1</v>
      </c>
      <c r="CW29" s="12"/>
      <c r="CX29" s="12">
        <v>1</v>
      </c>
      <c r="DB29" s="12"/>
      <c r="DC29" s="12">
        <v>1</v>
      </c>
      <c r="DD29" s="12"/>
      <c r="DE29" s="12">
        <v>1</v>
      </c>
      <c r="DI29" s="12"/>
      <c r="DJ29" s="12">
        <v>1</v>
      </c>
      <c r="DK29" s="12"/>
      <c r="DL29" s="12">
        <v>1</v>
      </c>
      <c r="DP29" s="12"/>
      <c r="DQ29" s="12">
        <v>1</v>
      </c>
      <c r="DR29" s="12"/>
      <c r="DS29" s="12">
        <v>1</v>
      </c>
      <c r="DW29" s="12"/>
      <c r="DX29" s="12">
        <v>1</v>
      </c>
      <c r="DY29" s="12"/>
      <c r="DZ29" s="12">
        <v>1</v>
      </c>
      <c r="ED29" s="12"/>
      <c r="EE29" s="12">
        <v>1</v>
      </c>
      <c r="EF29" s="12"/>
      <c r="EG29" s="12">
        <v>1</v>
      </c>
    </row>
    <row r="30" spans="2:137" outlineLevel="1">
      <c r="B30" t="s">
        <v>28</v>
      </c>
      <c r="C30" t="s">
        <v>96</v>
      </c>
      <c r="E30" s="11"/>
      <c r="F30" t="s">
        <v>112</v>
      </c>
      <c r="G30" s="12"/>
      <c r="I30" s="11">
        <f t="shared" si="2"/>
        <v>0</v>
      </c>
      <c r="J30" s="13" cm="1">
        <f t="array" ref="J30">MAX(IF($N$3:$EE$3=$J$3,N30:EE30))</f>
        <v>0</v>
      </c>
      <c r="K30" s="13" cm="1">
        <f t="array" ref="K30">MAX(IF($N$3:$EE$3=$J$3,N30:EE30))</f>
        <v>0</v>
      </c>
      <c r="L30" s="11"/>
      <c r="O30" s="12"/>
      <c r="P30" s="12"/>
      <c r="Q30" s="12"/>
      <c r="R30" s="12"/>
      <c r="V30" s="12"/>
      <c r="W30" s="12"/>
      <c r="X30" s="12"/>
      <c r="Y30" s="12"/>
      <c r="AC30" s="12"/>
      <c r="AD30" s="12"/>
      <c r="AE30" s="12"/>
      <c r="AF30" s="12"/>
      <c r="AJ30" s="12"/>
      <c r="AK30" s="12"/>
      <c r="AL30" s="12"/>
      <c r="AM30" s="12"/>
      <c r="AQ30" s="12"/>
      <c r="AR30" s="12"/>
      <c r="AS30" s="12"/>
      <c r="AT30" s="12"/>
      <c r="AU30">
        <v>3</v>
      </c>
      <c r="AX30" s="12"/>
      <c r="AY30" s="12">
        <v>0.5</v>
      </c>
      <c r="AZ30" s="12"/>
      <c r="BA30" s="12">
        <v>0.5</v>
      </c>
      <c r="BE30" s="12"/>
      <c r="BF30" s="12">
        <v>0.5</v>
      </c>
      <c r="BG30" s="12"/>
      <c r="BH30" s="12">
        <v>0.5</v>
      </c>
      <c r="BI30">
        <v>2</v>
      </c>
      <c r="BL30" s="12"/>
      <c r="BM30" s="12">
        <v>0.5</v>
      </c>
      <c r="BN30" s="12"/>
      <c r="BO30" s="12">
        <v>0.5</v>
      </c>
      <c r="BS30" s="12"/>
      <c r="BT30" s="12">
        <v>0.5</v>
      </c>
      <c r="BU30" s="12"/>
      <c r="BV30" s="12">
        <v>0.5</v>
      </c>
      <c r="BZ30" s="12"/>
      <c r="CA30" s="12">
        <v>0.8</v>
      </c>
      <c r="CB30" s="12"/>
      <c r="CC30" s="12">
        <v>0.8</v>
      </c>
      <c r="CD30">
        <v>3</v>
      </c>
      <c r="CG30" s="12"/>
      <c r="CH30" s="12">
        <v>0.8</v>
      </c>
      <c r="CI30" s="12"/>
      <c r="CJ30" s="12">
        <v>0.8</v>
      </c>
      <c r="CK30">
        <v>3</v>
      </c>
      <c r="CN30" s="12"/>
      <c r="CO30" s="12">
        <v>1</v>
      </c>
      <c r="CP30" s="12"/>
      <c r="CQ30" s="12">
        <v>1</v>
      </c>
      <c r="CU30" s="12"/>
      <c r="CV30" s="12">
        <v>1</v>
      </c>
      <c r="CW30" s="12"/>
      <c r="CX30" s="12">
        <v>1</v>
      </c>
      <c r="DB30" s="12"/>
      <c r="DC30" s="12">
        <v>1</v>
      </c>
      <c r="DD30" s="12"/>
      <c r="DE30" s="12">
        <v>1</v>
      </c>
      <c r="DI30" s="12"/>
      <c r="DJ30" s="12">
        <v>1</v>
      </c>
      <c r="DK30" s="12"/>
      <c r="DL30" s="12">
        <v>1</v>
      </c>
      <c r="DP30" s="12"/>
      <c r="DQ30" s="12">
        <v>1</v>
      </c>
      <c r="DR30" s="12"/>
      <c r="DS30" s="12">
        <v>1</v>
      </c>
      <c r="DW30" s="12"/>
      <c r="DX30" s="12">
        <v>1</v>
      </c>
      <c r="DY30" s="12"/>
      <c r="DZ30" s="12">
        <v>1</v>
      </c>
      <c r="ED30" s="12"/>
      <c r="EE30" s="12">
        <v>1</v>
      </c>
      <c r="EF30" s="12"/>
      <c r="EG30" s="12">
        <v>1</v>
      </c>
    </row>
    <row r="31" spans="2:137" outlineLevel="1">
      <c r="B31" t="s">
        <v>28</v>
      </c>
      <c r="C31" t="s">
        <v>96</v>
      </c>
      <c r="E31" s="11"/>
      <c r="F31" t="s">
        <v>114</v>
      </c>
      <c r="G31" s="12"/>
      <c r="I31" s="11">
        <f t="shared" si="2"/>
        <v>0</v>
      </c>
      <c r="J31" s="13" cm="1">
        <f t="array" ref="J31">MAX(IF($N$3:$EE$3=$J$3,N31:EE31))</f>
        <v>0</v>
      </c>
      <c r="K31" s="13" cm="1">
        <f t="array" ref="K31">MAX(IF($N$3:$EE$3=$J$3,N31:EE31))</f>
        <v>0</v>
      </c>
      <c r="L31" s="11"/>
      <c r="O31" s="12"/>
      <c r="P31" s="12"/>
      <c r="Q31" s="12"/>
      <c r="R31" s="12"/>
      <c r="V31" s="12"/>
      <c r="W31" s="12"/>
      <c r="X31" s="12"/>
      <c r="Y31" s="12"/>
      <c r="AC31" s="12"/>
      <c r="AD31" s="12"/>
      <c r="AE31" s="12"/>
      <c r="AF31" s="12"/>
      <c r="AJ31" s="12"/>
      <c r="AK31" s="12"/>
      <c r="AL31" s="12"/>
      <c r="AM31" s="12"/>
      <c r="AQ31" s="12"/>
      <c r="AR31" s="12"/>
      <c r="AS31" s="12"/>
      <c r="AT31" s="12"/>
      <c r="AX31" s="12"/>
      <c r="AY31" s="12"/>
      <c r="AZ31" s="12"/>
      <c r="BA31" s="12"/>
      <c r="BE31" s="12"/>
      <c r="BF31" s="12">
        <v>0.5</v>
      </c>
      <c r="BG31" s="12"/>
      <c r="BH31" s="12">
        <v>0.5</v>
      </c>
      <c r="BL31" s="12"/>
      <c r="BM31" s="12">
        <v>0.5</v>
      </c>
      <c r="BN31" s="12"/>
      <c r="BO31" s="12">
        <v>0.5</v>
      </c>
      <c r="BP31">
        <v>2</v>
      </c>
      <c r="BS31" s="12"/>
      <c r="BT31" s="12">
        <v>0.5</v>
      </c>
      <c r="BU31" s="12"/>
      <c r="BV31" s="12">
        <v>0.5</v>
      </c>
      <c r="BW31">
        <v>3</v>
      </c>
      <c r="BZ31" s="12"/>
      <c r="CA31" s="12">
        <v>0.5</v>
      </c>
      <c r="CB31" s="12"/>
      <c r="CC31" s="12">
        <v>0.5</v>
      </c>
      <c r="CG31" s="12"/>
      <c r="CH31" s="12">
        <v>0.8</v>
      </c>
      <c r="CI31" s="12"/>
      <c r="CJ31" s="12">
        <v>0.8</v>
      </c>
      <c r="CN31" s="12"/>
      <c r="CO31" s="12">
        <v>0.8</v>
      </c>
      <c r="CP31" s="12"/>
      <c r="CQ31" s="12">
        <v>0.8</v>
      </c>
      <c r="CR31">
        <v>3</v>
      </c>
      <c r="CU31" s="12"/>
      <c r="CV31" s="12">
        <v>1</v>
      </c>
      <c r="CW31" s="12"/>
      <c r="CX31" s="12">
        <v>1</v>
      </c>
      <c r="DB31" s="12"/>
      <c r="DC31" s="12">
        <v>1</v>
      </c>
      <c r="DD31" s="12"/>
      <c r="DE31" s="12">
        <v>1</v>
      </c>
      <c r="DI31" s="12"/>
      <c r="DJ31" s="12">
        <v>1</v>
      </c>
      <c r="DK31" s="12"/>
      <c r="DL31" s="12">
        <v>1</v>
      </c>
      <c r="DP31" s="12"/>
      <c r="DQ31" s="12">
        <v>1</v>
      </c>
      <c r="DR31" s="12"/>
      <c r="DS31" s="12">
        <v>1</v>
      </c>
      <c r="DW31" s="12"/>
      <c r="DX31" s="12">
        <v>1</v>
      </c>
      <c r="DY31" s="12"/>
      <c r="DZ31" s="12">
        <v>1</v>
      </c>
      <c r="ED31" s="12"/>
      <c r="EE31" s="12">
        <v>1</v>
      </c>
      <c r="EF31" s="12"/>
      <c r="EG31" s="12">
        <v>1</v>
      </c>
    </row>
    <row r="32" spans="2:137" outlineLevel="1">
      <c r="B32" t="s">
        <v>28</v>
      </c>
      <c r="C32" t="s">
        <v>96</v>
      </c>
      <c r="E32" s="11"/>
      <c r="F32" t="s">
        <v>115</v>
      </c>
      <c r="G32" s="12"/>
      <c r="I32" s="11">
        <f t="shared" si="2"/>
        <v>0</v>
      </c>
      <c r="J32" s="13" cm="1">
        <f t="array" ref="J32">MAX(IF($N$3:$EE$3=$J$3,N32:EE32))</f>
        <v>0</v>
      </c>
      <c r="K32" s="13" cm="1">
        <f t="array" ref="K32">MAX(IF($N$3:$EE$3=$J$3,N32:EE32))</f>
        <v>0</v>
      </c>
      <c r="L32" s="11"/>
      <c r="O32" s="12"/>
      <c r="P32" s="12"/>
      <c r="Q32" s="12"/>
      <c r="R32" s="12"/>
      <c r="V32" s="12"/>
      <c r="W32" s="12"/>
      <c r="X32" s="12"/>
      <c r="Y32" s="12"/>
      <c r="AC32" s="12"/>
      <c r="AD32" s="12"/>
      <c r="AE32" s="12"/>
      <c r="AF32" s="12"/>
      <c r="AJ32" s="12"/>
      <c r="AK32" s="12"/>
      <c r="AL32" s="12"/>
      <c r="AM32" s="12"/>
      <c r="AQ32" s="12"/>
      <c r="AR32" s="12"/>
      <c r="AS32" s="12"/>
      <c r="AT32" s="12"/>
      <c r="AX32" s="12"/>
      <c r="AY32" s="12"/>
      <c r="AZ32" s="12"/>
      <c r="BA32" s="12"/>
      <c r="BE32" s="12"/>
      <c r="BF32" s="12"/>
      <c r="BG32" s="12"/>
      <c r="BH32" s="12"/>
      <c r="BL32" s="12"/>
      <c r="BM32" s="12">
        <v>0.5</v>
      </c>
      <c r="BN32" s="12"/>
      <c r="BO32" s="12">
        <v>0.5</v>
      </c>
      <c r="BS32" s="12"/>
      <c r="BT32" s="12">
        <v>0.5</v>
      </c>
      <c r="BU32" s="12"/>
      <c r="BV32" s="12">
        <v>0.5</v>
      </c>
      <c r="BZ32" s="12"/>
      <c r="CA32" s="12">
        <v>0.5</v>
      </c>
      <c r="CB32" s="12"/>
      <c r="CC32" s="12">
        <v>0.5</v>
      </c>
      <c r="CG32" s="12"/>
      <c r="CH32" s="12">
        <v>0.8</v>
      </c>
      <c r="CI32" s="12"/>
      <c r="CJ32" s="12">
        <v>0.8</v>
      </c>
      <c r="CN32" s="12"/>
      <c r="CO32" s="12">
        <v>0.8</v>
      </c>
      <c r="CP32" s="12"/>
      <c r="CQ32" s="12">
        <v>0.8</v>
      </c>
      <c r="CU32" s="12"/>
      <c r="CV32" s="12">
        <v>1</v>
      </c>
      <c r="CW32" s="12"/>
      <c r="CX32" s="12">
        <v>1</v>
      </c>
      <c r="DB32" s="12"/>
      <c r="DC32" s="12">
        <v>1</v>
      </c>
      <c r="DD32" s="12"/>
      <c r="DE32" s="12">
        <v>1</v>
      </c>
      <c r="DI32" s="12"/>
      <c r="DJ32" s="12">
        <v>1</v>
      </c>
      <c r="DK32" s="12"/>
      <c r="DL32" s="12">
        <v>1</v>
      </c>
      <c r="DP32" s="12"/>
      <c r="DQ32" s="12">
        <v>1</v>
      </c>
      <c r="DR32" s="12"/>
      <c r="DS32" s="12">
        <v>1</v>
      </c>
      <c r="DW32" s="12"/>
      <c r="DX32" s="12">
        <v>1</v>
      </c>
      <c r="DY32" s="12"/>
      <c r="DZ32" s="12">
        <v>1</v>
      </c>
      <c r="ED32" s="12"/>
      <c r="EE32" s="12">
        <v>1</v>
      </c>
      <c r="EF32" s="12"/>
      <c r="EG32" s="12">
        <v>1</v>
      </c>
    </row>
    <row r="33" spans="2:137" outlineLevel="1">
      <c r="B33" t="s">
        <v>28</v>
      </c>
      <c r="C33" t="s">
        <v>96</v>
      </c>
      <c r="E33" s="11"/>
      <c r="F33" t="s">
        <v>113</v>
      </c>
      <c r="G33" s="12"/>
      <c r="I33" s="11">
        <f t="shared" si="2"/>
        <v>0</v>
      </c>
      <c r="J33" s="13" cm="1">
        <f t="array" ref="J33">MAX(IF($N$3:$EE$3=$J$3,N33:EE33))</f>
        <v>0</v>
      </c>
      <c r="K33" s="13" cm="1">
        <f t="array" ref="K33">MAX(IF($N$3:$EE$3=$J$3,N33:EE33))</f>
        <v>0</v>
      </c>
      <c r="L33" s="11"/>
      <c r="O33" s="12"/>
      <c r="P33" s="12"/>
      <c r="Q33" s="12"/>
      <c r="R33" s="12"/>
      <c r="V33" s="12"/>
      <c r="W33" s="12"/>
      <c r="X33" s="12"/>
      <c r="Y33" s="12"/>
      <c r="AC33" s="12"/>
      <c r="AD33" s="12"/>
      <c r="AE33" s="12"/>
      <c r="AF33" s="12"/>
      <c r="AJ33" s="12"/>
      <c r="AK33" s="12"/>
      <c r="AL33" s="12"/>
      <c r="AM33" s="12"/>
      <c r="AQ33" s="12"/>
      <c r="AR33" s="12"/>
      <c r="AS33" s="12"/>
      <c r="AT33" s="12"/>
      <c r="AX33" s="12"/>
      <c r="AY33" s="12"/>
      <c r="AZ33" s="12"/>
      <c r="BA33" s="12"/>
      <c r="BE33" s="12"/>
      <c r="BF33" s="12"/>
      <c r="BG33" s="12"/>
      <c r="BH33" s="12"/>
      <c r="BL33" s="12"/>
      <c r="BM33" s="12"/>
      <c r="BN33" s="12"/>
      <c r="BO33" s="12"/>
      <c r="BS33" s="12"/>
      <c r="BT33" s="12">
        <v>0.5</v>
      </c>
      <c r="BU33" s="12"/>
      <c r="BV33" s="12">
        <v>0.5</v>
      </c>
      <c r="BZ33" s="12"/>
      <c r="CA33" s="12">
        <v>0.5</v>
      </c>
      <c r="CB33" s="12"/>
      <c r="CC33" s="12">
        <v>0.5</v>
      </c>
      <c r="CG33" s="12"/>
      <c r="CH33" s="12">
        <v>0.5</v>
      </c>
      <c r="CI33" s="12"/>
      <c r="CJ33" s="12">
        <v>0.5</v>
      </c>
      <c r="CN33" s="12"/>
      <c r="CO33" s="12">
        <v>0.8</v>
      </c>
      <c r="CP33" s="12"/>
      <c r="CQ33" s="12">
        <v>0.8</v>
      </c>
      <c r="CU33" s="12"/>
      <c r="CV33" s="12">
        <v>1</v>
      </c>
      <c r="CW33" s="12"/>
      <c r="CX33" s="12">
        <v>1</v>
      </c>
      <c r="DB33" s="12"/>
      <c r="DC33" s="12">
        <v>1</v>
      </c>
      <c r="DD33" s="12"/>
      <c r="DE33" s="12">
        <v>1</v>
      </c>
      <c r="DI33" s="12"/>
      <c r="DJ33" s="12">
        <v>1</v>
      </c>
      <c r="DK33" s="12"/>
      <c r="DL33" s="12">
        <v>1</v>
      </c>
      <c r="DP33" s="12"/>
      <c r="DQ33" s="12">
        <v>1</v>
      </c>
      <c r="DR33" s="12"/>
      <c r="DS33" s="12">
        <v>1</v>
      </c>
      <c r="DW33" s="12"/>
      <c r="DX33" s="12">
        <v>1</v>
      </c>
      <c r="DY33" s="12"/>
      <c r="DZ33" s="12">
        <v>1</v>
      </c>
      <c r="ED33" s="12"/>
      <c r="EE33" s="12">
        <v>1</v>
      </c>
      <c r="EF33" s="12"/>
      <c r="EG33" s="12">
        <v>1</v>
      </c>
    </row>
    <row r="35" spans="2:137">
      <c r="B35" t="s">
        <v>27</v>
      </c>
      <c r="C35" t="s">
        <v>105</v>
      </c>
      <c r="D35" s="22">
        <v>45123</v>
      </c>
      <c r="E35" s="11">
        <v>6</v>
      </c>
      <c r="G35" s="12"/>
      <c r="I35" s="14">
        <f>+SUM(I36:I43)</f>
        <v>0</v>
      </c>
      <c r="J35" s="13">
        <f>+SUMPRODUCT(G36:G43,J36:J43)</f>
        <v>0</v>
      </c>
      <c r="K35" s="13">
        <f>+SUMPRODUCT(G36:G43,K36:K43)</f>
        <v>0</v>
      </c>
      <c r="L35" s="11"/>
      <c r="N35" s="14">
        <f>+SUM(N36:N43)</f>
        <v>0</v>
      </c>
      <c r="U35" s="14">
        <f>+SUM(U36:U43)</f>
        <v>0</v>
      </c>
      <c r="AB35" s="14">
        <f>+SUM(AB36:AB43)</f>
        <v>0</v>
      </c>
      <c r="AI35" s="14">
        <f>+SUM(AI36:AI43)</f>
        <v>0</v>
      </c>
      <c r="AP35" s="14">
        <f>+SUM(AP36:AP43)</f>
        <v>0</v>
      </c>
    </row>
    <row r="36" spans="2:137" outlineLevel="1">
      <c r="B36" t="s">
        <v>28</v>
      </c>
      <c r="C36" t="s">
        <v>105</v>
      </c>
      <c r="E36" s="11"/>
      <c r="F36" s="23" t="s">
        <v>97</v>
      </c>
      <c r="G36" s="12"/>
      <c r="I36" s="11">
        <f t="shared" ref="I36:I43" si="3">+SUMIF($N$3:$ZW$3,I$3,$N36:$ZW36)</f>
        <v>0</v>
      </c>
      <c r="J36" s="13" cm="1">
        <f t="array" ref="J36">MAX(IF($N$3:$EE$3=$J$3,N36:EE36))</f>
        <v>0</v>
      </c>
      <c r="K36" s="13" cm="1">
        <f t="array" ref="K36">MAX(IF($N$3:$EE$3=$J$3,N36:EE36))</f>
        <v>0</v>
      </c>
      <c r="L36" s="11"/>
      <c r="O36" s="12"/>
      <c r="P36" s="12">
        <v>0.5</v>
      </c>
      <c r="Q36" s="12"/>
      <c r="R36" s="12">
        <v>0.5</v>
      </c>
      <c r="V36" s="12"/>
      <c r="W36" s="12">
        <v>0.5</v>
      </c>
      <c r="X36" s="12"/>
      <c r="Y36" s="12">
        <v>0.5</v>
      </c>
      <c r="AC36" s="12"/>
      <c r="AD36" s="12">
        <v>0.5</v>
      </c>
      <c r="AE36" s="12"/>
      <c r="AF36" s="12">
        <v>0.5</v>
      </c>
      <c r="AJ36" s="12"/>
      <c r="AK36" s="12">
        <v>0.8</v>
      </c>
      <c r="AL36" s="12"/>
      <c r="AM36" s="12">
        <v>0.8</v>
      </c>
      <c r="AQ36" s="12"/>
      <c r="AR36" s="12">
        <v>0.8</v>
      </c>
      <c r="AS36" s="12"/>
      <c r="AT36" s="12">
        <v>0.8</v>
      </c>
      <c r="AX36" s="12"/>
      <c r="AY36" s="12">
        <v>0.8</v>
      </c>
      <c r="AZ36" s="12"/>
      <c r="BA36" s="12">
        <v>0.8</v>
      </c>
      <c r="BE36" s="12"/>
      <c r="BF36" s="12">
        <v>1</v>
      </c>
      <c r="BG36" s="12"/>
      <c r="BH36" s="12">
        <v>1</v>
      </c>
      <c r="BL36" s="12"/>
      <c r="BM36" s="12">
        <v>1</v>
      </c>
      <c r="BN36" s="12"/>
      <c r="BO36" s="12">
        <v>1</v>
      </c>
      <c r="BS36" s="12"/>
      <c r="BT36" s="12">
        <v>1</v>
      </c>
      <c r="BU36" s="12"/>
      <c r="BV36" s="12">
        <v>1</v>
      </c>
      <c r="BZ36" s="12"/>
      <c r="CA36" s="12">
        <v>1</v>
      </c>
      <c r="CB36" s="12"/>
      <c r="CC36" s="12">
        <v>1</v>
      </c>
      <c r="CG36" s="12"/>
      <c r="CH36" s="12">
        <v>1</v>
      </c>
      <c r="CI36" s="12"/>
      <c r="CJ36" s="12">
        <v>1</v>
      </c>
      <c r="CN36" s="12"/>
      <c r="CO36" s="12">
        <v>1</v>
      </c>
      <c r="CP36" s="12"/>
      <c r="CQ36" s="12">
        <v>1</v>
      </c>
      <c r="CR36" s="12">
        <v>1</v>
      </c>
      <c r="CU36" s="12"/>
      <c r="CV36" s="12">
        <v>1</v>
      </c>
      <c r="CW36" s="12"/>
      <c r="CX36" s="12">
        <v>1</v>
      </c>
      <c r="DB36" s="12"/>
      <c r="DC36" s="12">
        <v>1</v>
      </c>
      <c r="DD36" s="12"/>
      <c r="DE36" s="12">
        <v>1</v>
      </c>
      <c r="DI36" s="12"/>
      <c r="DJ36" s="12">
        <v>1</v>
      </c>
      <c r="DK36" s="12"/>
      <c r="DL36" s="12">
        <v>1</v>
      </c>
      <c r="DP36" s="12"/>
      <c r="DQ36" s="12">
        <v>1</v>
      </c>
      <c r="DR36" s="12"/>
      <c r="DS36" s="12">
        <v>1</v>
      </c>
      <c r="DT36" t="s">
        <v>140</v>
      </c>
      <c r="DW36" s="12"/>
      <c r="DX36" s="12">
        <v>1</v>
      </c>
      <c r="DY36" s="12"/>
      <c r="DZ36" s="12">
        <v>1</v>
      </c>
      <c r="ED36" s="12"/>
      <c r="EE36" s="12">
        <v>1</v>
      </c>
      <c r="EF36" s="12"/>
      <c r="EG36" s="12">
        <v>1</v>
      </c>
    </row>
    <row r="37" spans="2:137" outlineLevel="1">
      <c r="B37" t="s">
        <v>28</v>
      </c>
      <c r="C37" t="s">
        <v>105</v>
      </c>
      <c r="E37" s="11"/>
      <c r="F37" s="23" t="s">
        <v>98</v>
      </c>
      <c r="G37" s="12"/>
      <c r="I37" s="11">
        <f t="shared" si="3"/>
        <v>0</v>
      </c>
      <c r="J37" s="13" cm="1">
        <f t="array" ref="J37">MAX(IF($N$3:$EE$3=$J$3,N37:EE37))</f>
        <v>0</v>
      </c>
      <c r="K37" s="13" cm="1">
        <f t="array" ref="K37">MAX(IF($N$3:$EE$3=$J$3,N37:EE37))</f>
        <v>0</v>
      </c>
      <c r="L37" s="11"/>
      <c r="O37" s="12"/>
      <c r="P37" s="12"/>
      <c r="Q37" s="12"/>
      <c r="R37" s="12"/>
      <c r="V37" s="12"/>
      <c r="W37" s="12"/>
      <c r="X37" s="12"/>
      <c r="Y37" s="12"/>
      <c r="Z37">
        <v>2</v>
      </c>
      <c r="AC37" s="12"/>
      <c r="AD37" s="12">
        <v>0.5</v>
      </c>
      <c r="AE37" s="12"/>
      <c r="AF37" s="12">
        <v>0.5</v>
      </c>
      <c r="AG37">
        <v>2</v>
      </c>
      <c r="AJ37" s="12"/>
      <c r="AK37" s="12">
        <v>0.5</v>
      </c>
      <c r="AL37" s="12"/>
      <c r="AM37" s="12">
        <v>0.5</v>
      </c>
      <c r="AQ37" s="12"/>
      <c r="AR37" s="12">
        <v>0.8</v>
      </c>
      <c r="AS37" s="12"/>
      <c r="AT37" s="12">
        <v>0.8</v>
      </c>
      <c r="AX37" s="12"/>
      <c r="AY37" s="12">
        <v>0.8</v>
      </c>
      <c r="AZ37" s="12"/>
      <c r="BA37" s="12">
        <v>0.8</v>
      </c>
      <c r="BE37" s="12"/>
      <c r="BF37" s="12">
        <v>0.8</v>
      </c>
      <c r="BG37" s="12"/>
      <c r="BH37" s="12">
        <v>0.8</v>
      </c>
      <c r="BL37" s="12"/>
      <c r="BM37" s="12">
        <v>0.8</v>
      </c>
      <c r="BN37" s="12"/>
      <c r="BO37" s="12">
        <v>0.8</v>
      </c>
      <c r="BS37" s="12"/>
      <c r="BT37" s="12">
        <v>1</v>
      </c>
      <c r="BU37" s="12"/>
      <c r="BV37" s="12">
        <v>1</v>
      </c>
      <c r="BZ37" s="12"/>
      <c r="CA37" s="12">
        <v>1</v>
      </c>
      <c r="CB37" s="12"/>
      <c r="CC37" s="12">
        <v>1</v>
      </c>
      <c r="CG37" s="12"/>
      <c r="CH37" s="12">
        <v>1</v>
      </c>
      <c r="CI37" s="12"/>
      <c r="CJ37" s="12">
        <v>1</v>
      </c>
      <c r="CN37" s="12"/>
      <c r="CO37" s="12">
        <v>1</v>
      </c>
      <c r="CP37" s="12"/>
      <c r="CQ37" s="12">
        <v>1</v>
      </c>
      <c r="CU37" s="12"/>
      <c r="CV37" s="12">
        <v>1</v>
      </c>
      <c r="CW37" s="12"/>
      <c r="CX37" s="12">
        <v>1</v>
      </c>
      <c r="DB37" s="12"/>
      <c r="DC37" s="12">
        <v>1</v>
      </c>
      <c r="DD37" s="12"/>
      <c r="DE37" s="12">
        <v>1</v>
      </c>
      <c r="DI37" s="12"/>
      <c r="DJ37" s="12">
        <v>1</v>
      </c>
      <c r="DK37" s="12"/>
      <c r="DL37" s="12">
        <v>1</v>
      </c>
      <c r="DP37" s="12"/>
      <c r="DQ37" s="12">
        <v>1</v>
      </c>
      <c r="DR37" s="12"/>
      <c r="DS37" s="12">
        <v>1</v>
      </c>
      <c r="DT37" t="s">
        <v>140</v>
      </c>
      <c r="DW37" s="12"/>
      <c r="DX37" s="12">
        <v>1</v>
      </c>
      <c r="DY37" s="12"/>
      <c r="DZ37" s="12">
        <v>1</v>
      </c>
      <c r="ED37" s="12"/>
      <c r="EE37" s="12">
        <v>1</v>
      </c>
      <c r="EF37" s="12"/>
      <c r="EG37" s="12">
        <v>1</v>
      </c>
    </row>
    <row r="38" spans="2:137" outlineLevel="1">
      <c r="B38" t="s">
        <v>28</v>
      </c>
      <c r="C38" t="s">
        <v>105</v>
      </c>
      <c r="E38" s="11"/>
      <c r="F38" s="23" t="s">
        <v>99</v>
      </c>
      <c r="G38" s="12"/>
      <c r="I38" s="11">
        <f t="shared" si="3"/>
        <v>0</v>
      </c>
      <c r="J38" s="13" cm="1">
        <f t="array" ref="J38">MAX(IF($N$3:$EE$3=$J$3,N38:EE38))</f>
        <v>0</v>
      </c>
      <c r="K38" s="13" cm="1">
        <f t="array" ref="K38">MAX(IF($N$3:$EE$3=$J$3,N38:EE38))</f>
        <v>0</v>
      </c>
      <c r="L38" s="11"/>
      <c r="O38" s="12"/>
      <c r="P38" s="12"/>
      <c r="Q38" s="12"/>
      <c r="R38" s="12"/>
      <c r="V38" s="12"/>
      <c r="W38" s="12"/>
      <c r="X38" s="12"/>
      <c r="Y38" s="12"/>
      <c r="AC38" s="12"/>
      <c r="AD38" s="12">
        <v>0.5</v>
      </c>
      <c r="AE38" s="12"/>
      <c r="AF38" s="12">
        <v>0.5</v>
      </c>
      <c r="AJ38" s="12"/>
      <c r="AK38" s="12">
        <v>0.5</v>
      </c>
      <c r="AL38" s="12"/>
      <c r="AM38" s="12">
        <v>0.5</v>
      </c>
      <c r="AN38">
        <v>2</v>
      </c>
      <c r="AQ38" s="12"/>
      <c r="AR38" s="12">
        <v>0.5</v>
      </c>
      <c r="AS38" s="12"/>
      <c r="AT38" s="12">
        <v>0.5</v>
      </c>
      <c r="AU38">
        <v>2</v>
      </c>
      <c r="AX38" s="12"/>
      <c r="AY38" s="12">
        <v>0.8</v>
      </c>
      <c r="AZ38" s="12"/>
      <c r="BA38" s="12">
        <v>0.8</v>
      </c>
      <c r="BB38">
        <v>2</v>
      </c>
      <c r="BE38" s="12"/>
      <c r="BF38" s="12">
        <v>0.8</v>
      </c>
      <c r="BG38" s="12"/>
      <c r="BH38" s="12">
        <v>0.8</v>
      </c>
      <c r="BI38">
        <v>2</v>
      </c>
      <c r="BL38" s="12"/>
      <c r="BM38" s="12">
        <v>0.8</v>
      </c>
      <c r="BN38" s="12"/>
      <c r="BO38" s="12">
        <v>0.8</v>
      </c>
      <c r="BS38" s="12"/>
      <c r="BT38" s="12">
        <v>0.8</v>
      </c>
      <c r="BU38" s="12"/>
      <c r="BV38" s="12">
        <v>0.8</v>
      </c>
      <c r="BZ38" s="12"/>
      <c r="CA38" s="12">
        <v>1</v>
      </c>
      <c r="CB38" s="12"/>
      <c r="CC38" s="12">
        <v>1</v>
      </c>
      <c r="CG38" s="12"/>
      <c r="CH38" s="12">
        <v>1</v>
      </c>
      <c r="CI38" s="12"/>
      <c r="CJ38" s="12">
        <v>1</v>
      </c>
      <c r="CN38" s="12"/>
      <c r="CO38" s="12">
        <v>1</v>
      </c>
      <c r="CP38" s="12"/>
      <c r="CQ38" s="12">
        <v>1</v>
      </c>
      <c r="CU38" s="12"/>
      <c r="CV38" s="12">
        <v>1</v>
      </c>
      <c r="CW38" s="12"/>
      <c r="CX38" s="12">
        <v>1</v>
      </c>
      <c r="DB38" s="12"/>
      <c r="DC38" s="12">
        <v>1</v>
      </c>
      <c r="DD38" s="12"/>
      <c r="DE38" s="12">
        <v>1</v>
      </c>
      <c r="DI38" s="12"/>
      <c r="DJ38" s="12">
        <v>1</v>
      </c>
      <c r="DK38" s="12"/>
      <c r="DL38" s="12">
        <v>1</v>
      </c>
      <c r="DP38" s="12"/>
      <c r="DQ38" s="12">
        <v>1</v>
      </c>
      <c r="DR38" s="12"/>
      <c r="DS38" s="12">
        <v>1</v>
      </c>
      <c r="DW38" s="12"/>
      <c r="DX38" s="12">
        <v>1</v>
      </c>
      <c r="DY38" s="12"/>
      <c r="DZ38" s="12">
        <v>1</v>
      </c>
      <c r="ED38" s="12"/>
      <c r="EE38" s="12">
        <v>1</v>
      </c>
      <c r="EF38" s="12"/>
      <c r="EG38" s="12">
        <v>1</v>
      </c>
    </row>
    <row r="39" spans="2:137" outlineLevel="1">
      <c r="B39" t="s">
        <v>28</v>
      </c>
      <c r="C39" t="s">
        <v>105</v>
      </c>
      <c r="E39" s="11"/>
      <c r="F39" s="24" t="s">
        <v>100</v>
      </c>
      <c r="G39" s="12"/>
      <c r="I39" s="11">
        <f t="shared" si="3"/>
        <v>0</v>
      </c>
      <c r="J39" s="13" cm="1">
        <f t="array" ref="J39">MAX(IF($N$3:$EE$3=$J$3,N39:EE39))</f>
        <v>0</v>
      </c>
      <c r="K39" s="13" cm="1">
        <f t="array" ref="K39">MAX(IF($N$3:$EE$3=$J$3,N39:EE39))</f>
        <v>0</v>
      </c>
      <c r="L39" s="11"/>
      <c r="O39" s="12"/>
      <c r="P39" s="12"/>
      <c r="Q39" s="12"/>
      <c r="R39" s="12"/>
      <c r="V39" s="12"/>
      <c r="W39" s="12"/>
      <c r="X39" s="12"/>
      <c r="Y39" s="12"/>
      <c r="AC39" s="12"/>
      <c r="AD39" s="12"/>
      <c r="AE39" s="12"/>
      <c r="AF39" s="12"/>
      <c r="AJ39" s="12"/>
      <c r="AK39" s="12">
        <v>0.5</v>
      </c>
      <c r="AL39" s="12"/>
      <c r="AM39" s="12">
        <v>0.5</v>
      </c>
      <c r="AQ39" s="12"/>
      <c r="AR39" s="12">
        <v>0.5</v>
      </c>
      <c r="AS39" s="12"/>
      <c r="AT39" s="12">
        <v>0.5</v>
      </c>
      <c r="AX39" s="12"/>
      <c r="AY39" s="12">
        <v>0.8</v>
      </c>
      <c r="AZ39" s="12"/>
      <c r="BA39" s="12">
        <v>0.8</v>
      </c>
      <c r="BE39" s="12"/>
      <c r="BF39" s="12">
        <v>0.8</v>
      </c>
      <c r="BG39" s="12"/>
      <c r="BH39" s="12">
        <v>0.8</v>
      </c>
      <c r="BL39" s="12"/>
      <c r="BM39" s="12">
        <v>0.8</v>
      </c>
      <c r="BN39" s="12"/>
      <c r="BO39" s="12">
        <v>0.8</v>
      </c>
      <c r="BS39" s="12"/>
      <c r="BT39" s="12">
        <v>0.8</v>
      </c>
      <c r="BU39" s="12"/>
      <c r="BV39" s="12">
        <v>0.8</v>
      </c>
      <c r="BZ39" s="12"/>
      <c r="CA39" s="12">
        <v>1</v>
      </c>
      <c r="CB39" s="12"/>
      <c r="CC39" s="12">
        <v>1</v>
      </c>
      <c r="CG39" s="12"/>
      <c r="CH39" s="12">
        <v>1</v>
      </c>
      <c r="CI39" s="12"/>
      <c r="CJ39" s="12">
        <v>1</v>
      </c>
      <c r="CN39" s="12"/>
      <c r="CO39" s="12">
        <v>1</v>
      </c>
      <c r="CP39" s="12"/>
      <c r="CQ39" s="12">
        <v>1</v>
      </c>
      <c r="CU39" s="12"/>
      <c r="CV39" s="12">
        <v>1</v>
      </c>
      <c r="CW39" s="12"/>
      <c r="CX39" s="12">
        <v>1</v>
      </c>
      <c r="DB39" s="12"/>
      <c r="DC39" s="12">
        <v>1</v>
      </c>
      <c r="DD39" s="12"/>
      <c r="DE39" s="12">
        <v>1</v>
      </c>
      <c r="DI39" s="12"/>
      <c r="DJ39" s="12">
        <v>1</v>
      </c>
      <c r="DK39" s="12"/>
      <c r="DL39" s="12">
        <v>1</v>
      </c>
      <c r="DP39" s="12"/>
      <c r="DQ39" s="12">
        <v>1</v>
      </c>
      <c r="DR39" s="12"/>
      <c r="DS39" s="12">
        <v>1</v>
      </c>
      <c r="DW39" s="12"/>
      <c r="DX39" s="12">
        <v>1</v>
      </c>
      <c r="DY39" s="12"/>
      <c r="DZ39" s="12">
        <v>1</v>
      </c>
      <c r="ED39" s="12"/>
      <c r="EE39" s="12">
        <v>1</v>
      </c>
      <c r="EF39" s="12"/>
      <c r="EG39" s="12">
        <v>1</v>
      </c>
    </row>
    <row r="40" spans="2:137" outlineLevel="1">
      <c r="B40" t="s">
        <v>28</v>
      </c>
      <c r="C40" t="s">
        <v>105</v>
      </c>
      <c r="E40" s="11"/>
      <c r="F40" s="24" t="s">
        <v>101</v>
      </c>
      <c r="G40" s="12"/>
      <c r="I40" s="11">
        <f t="shared" si="3"/>
        <v>0</v>
      </c>
      <c r="J40" s="13" cm="1">
        <f t="array" ref="J40">MAX(IF($N$3:$EE$3=$J$3,N40:EE40))</f>
        <v>0</v>
      </c>
      <c r="K40" s="13" cm="1">
        <f t="array" ref="K40">MAX(IF($N$3:$EE$3=$J$3,N40:EE40))</f>
        <v>0</v>
      </c>
      <c r="L40" s="11"/>
      <c r="O40" s="12"/>
      <c r="P40" s="12"/>
      <c r="Q40" s="12"/>
      <c r="R40" s="12"/>
      <c r="V40" s="12"/>
      <c r="W40" s="12"/>
      <c r="X40" s="12"/>
      <c r="Y40" s="12"/>
      <c r="AC40" s="12"/>
      <c r="AD40" s="12"/>
      <c r="AE40" s="12"/>
      <c r="AF40" s="12"/>
      <c r="AJ40" s="12"/>
      <c r="AK40" s="12"/>
      <c r="AL40" s="12"/>
      <c r="AM40" s="12"/>
      <c r="AQ40" s="12"/>
      <c r="AR40" s="12">
        <v>0.5</v>
      </c>
      <c r="AS40" s="12"/>
      <c r="AT40" s="12">
        <v>0.5</v>
      </c>
      <c r="AX40" s="12"/>
      <c r="AY40" s="12">
        <v>0.5</v>
      </c>
      <c r="AZ40" s="12"/>
      <c r="BA40" s="12">
        <v>0.5</v>
      </c>
      <c r="BE40" s="12"/>
      <c r="BF40" s="12">
        <v>0.5</v>
      </c>
      <c r="BG40" s="12"/>
      <c r="BH40" s="12">
        <v>0.5</v>
      </c>
      <c r="BL40" s="12"/>
      <c r="BM40" s="12">
        <v>0.5</v>
      </c>
      <c r="BN40" s="12"/>
      <c r="BO40" s="12">
        <v>0.5</v>
      </c>
      <c r="BP40">
        <v>2</v>
      </c>
      <c r="BS40" s="12"/>
      <c r="BT40" s="12">
        <v>0.8</v>
      </c>
      <c r="BU40" s="12"/>
      <c r="BV40" s="12">
        <v>0.8</v>
      </c>
      <c r="BW40">
        <v>3</v>
      </c>
      <c r="BZ40" s="12"/>
      <c r="CA40" s="12">
        <v>0.8</v>
      </c>
      <c r="CB40" s="12"/>
      <c r="CC40" s="12">
        <v>0.8</v>
      </c>
      <c r="CG40" s="12"/>
      <c r="CH40" s="12">
        <v>1</v>
      </c>
      <c r="CI40" s="12"/>
      <c r="CJ40" s="12">
        <v>1</v>
      </c>
      <c r="CN40" s="12"/>
      <c r="CO40" s="12">
        <v>1</v>
      </c>
      <c r="CP40" s="12"/>
      <c r="CQ40" s="12">
        <v>1</v>
      </c>
      <c r="CU40" s="12"/>
      <c r="CV40" s="12">
        <v>1</v>
      </c>
      <c r="CW40" s="12"/>
      <c r="CX40" s="12">
        <v>1</v>
      </c>
      <c r="DB40" s="12"/>
      <c r="DC40" s="12">
        <v>1</v>
      </c>
      <c r="DD40" s="12"/>
      <c r="DE40" s="12">
        <v>1</v>
      </c>
      <c r="DI40" s="12"/>
      <c r="DJ40" s="12">
        <v>1</v>
      </c>
      <c r="DK40" s="12"/>
      <c r="DL40" s="12">
        <v>1</v>
      </c>
      <c r="DP40" s="12"/>
      <c r="DQ40" s="12">
        <v>1</v>
      </c>
      <c r="DR40" s="12"/>
      <c r="DS40" s="12">
        <v>1</v>
      </c>
      <c r="DW40" s="12"/>
      <c r="DX40" s="12">
        <v>1</v>
      </c>
      <c r="DY40" s="12"/>
      <c r="DZ40" s="12">
        <v>1</v>
      </c>
      <c r="ED40" s="12"/>
      <c r="EE40" s="12">
        <v>1</v>
      </c>
      <c r="EF40" s="12"/>
      <c r="EG40" s="12">
        <v>1</v>
      </c>
    </row>
    <row r="41" spans="2:137" outlineLevel="1">
      <c r="B41" t="s">
        <v>28</v>
      </c>
      <c r="C41" t="s">
        <v>105</v>
      </c>
      <c r="E41" s="11"/>
      <c r="F41" s="23" t="s">
        <v>102</v>
      </c>
      <c r="G41" s="12"/>
      <c r="I41" s="11">
        <f t="shared" si="3"/>
        <v>0</v>
      </c>
      <c r="J41" s="13" cm="1">
        <f t="array" ref="J41">MAX(IF($N$3:$EE$3=$J$3,N41:EE41))</f>
        <v>0</v>
      </c>
      <c r="K41" s="13" cm="1">
        <f t="array" ref="K41">MAX(IF($N$3:$EE$3=$J$3,N41:EE41))</f>
        <v>0</v>
      </c>
      <c r="L41" s="11"/>
      <c r="O41" s="12"/>
      <c r="P41" s="12"/>
      <c r="Q41" s="12"/>
      <c r="R41" s="12"/>
      <c r="V41" s="12"/>
      <c r="W41" s="12"/>
      <c r="X41" s="12"/>
      <c r="Y41" s="12"/>
      <c r="AC41" s="12"/>
      <c r="AD41" s="12"/>
      <c r="AE41" s="12"/>
      <c r="AF41" s="12"/>
      <c r="AJ41" s="12"/>
      <c r="AK41" s="12"/>
      <c r="AL41" s="12"/>
      <c r="AM41" s="12"/>
      <c r="AQ41" s="12"/>
      <c r="AR41" s="12"/>
      <c r="AS41" s="12"/>
      <c r="AT41" s="12"/>
      <c r="AX41" s="12"/>
      <c r="AY41" s="12"/>
      <c r="AZ41" s="12"/>
      <c r="BA41" s="12"/>
      <c r="BE41" s="12"/>
      <c r="BF41" s="12">
        <v>0.5</v>
      </c>
      <c r="BG41" s="12"/>
      <c r="BH41" s="12">
        <v>0.5</v>
      </c>
      <c r="BL41" s="12"/>
      <c r="BM41" s="12">
        <v>0.5</v>
      </c>
      <c r="BN41" s="12"/>
      <c r="BO41" s="12">
        <v>0.5</v>
      </c>
      <c r="BS41" s="12"/>
      <c r="BT41" s="12">
        <v>0.5</v>
      </c>
      <c r="BU41" s="12"/>
      <c r="BV41" s="12">
        <v>0.5</v>
      </c>
      <c r="BZ41" s="12"/>
      <c r="CA41" s="12">
        <v>0.8</v>
      </c>
      <c r="CB41" s="12"/>
      <c r="CC41" s="12">
        <v>0.8</v>
      </c>
      <c r="CD41">
        <v>3</v>
      </c>
      <c r="CG41" s="12"/>
      <c r="CH41" s="12">
        <v>0.8</v>
      </c>
      <c r="CI41" s="12"/>
      <c r="CJ41" s="12">
        <v>0.8</v>
      </c>
      <c r="CK41">
        <v>3</v>
      </c>
      <c r="CN41" s="12"/>
      <c r="CO41" s="12">
        <v>1</v>
      </c>
      <c r="CP41" s="12"/>
      <c r="CQ41" s="12">
        <v>1</v>
      </c>
      <c r="CU41" s="12"/>
      <c r="CV41" s="12">
        <v>1</v>
      </c>
      <c r="CW41" s="12"/>
      <c r="CX41" s="12">
        <v>1</v>
      </c>
      <c r="DB41" s="12"/>
      <c r="DC41" s="12">
        <v>1</v>
      </c>
      <c r="DD41" s="12"/>
      <c r="DE41" s="12">
        <v>1</v>
      </c>
      <c r="DI41" s="12"/>
      <c r="DJ41" s="12">
        <v>1</v>
      </c>
      <c r="DK41" s="12"/>
      <c r="DL41" s="12">
        <v>1</v>
      </c>
      <c r="DP41" s="12"/>
      <c r="DQ41" s="12">
        <v>1</v>
      </c>
      <c r="DR41" s="12"/>
      <c r="DS41" s="12">
        <v>1</v>
      </c>
      <c r="DW41" s="12"/>
      <c r="DX41" s="12">
        <v>1</v>
      </c>
      <c r="DY41" s="12"/>
      <c r="DZ41" s="12">
        <v>1</v>
      </c>
      <c r="ED41" s="12"/>
      <c r="EE41" s="12">
        <v>1</v>
      </c>
      <c r="EF41" s="12"/>
      <c r="EG41" s="12">
        <v>1</v>
      </c>
    </row>
    <row r="42" spans="2:137" outlineLevel="1">
      <c r="B42" t="s">
        <v>28</v>
      </c>
      <c r="C42" t="s">
        <v>105</v>
      </c>
      <c r="E42" s="11"/>
      <c r="F42" s="24" t="s">
        <v>103</v>
      </c>
      <c r="G42" s="12"/>
      <c r="I42" s="11">
        <f t="shared" si="3"/>
        <v>0</v>
      </c>
      <c r="J42" s="13" cm="1">
        <f t="array" ref="J42">MAX(IF($N$3:$EE$3=$J$3,N42:EE42))</f>
        <v>0</v>
      </c>
      <c r="K42" s="13" cm="1">
        <f t="array" ref="K42">MAX(IF($N$3:$EE$3=$J$3,N42:EE42))</f>
        <v>0</v>
      </c>
      <c r="L42" s="11"/>
      <c r="O42" s="12"/>
      <c r="P42" s="12"/>
      <c r="Q42" s="12"/>
      <c r="R42" s="12"/>
      <c r="V42" s="12"/>
      <c r="W42" s="12"/>
      <c r="X42" s="12"/>
      <c r="Y42" s="12"/>
      <c r="AC42" s="12"/>
      <c r="AD42" s="12"/>
      <c r="AE42" s="12"/>
      <c r="AF42" s="12"/>
      <c r="AJ42" s="12"/>
      <c r="AK42" s="12"/>
      <c r="AL42" s="12"/>
      <c r="AM42" s="12"/>
      <c r="AQ42" s="12"/>
      <c r="AR42" s="12"/>
      <c r="AS42" s="12"/>
      <c r="AT42" s="12"/>
      <c r="AX42" s="12"/>
      <c r="AY42" s="12"/>
      <c r="AZ42" s="12"/>
      <c r="BA42" s="12"/>
      <c r="BE42" s="12"/>
      <c r="BF42" s="12"/>
      <c r="BG42" s="12"/>
      <c r="BH42" s="12"/>
      <c r="BL42" s="12"/>
      <c r="BM42" s="12">
        <v>0.5</v>
      </c>
      <c r="BN42" s="12"/>
      <c r="BO42" s="12">
        <v>0.5</v>
      </c>
      <c r="BS42" s="12"/>
      <c r="BT42" s="12">
        <v>0.5</v>
      </c>
      <c r="BU42" s="12"/>
      <c r="BV42" s="12">
        <v>0.5</v>
      </c>
      <c r="BZ42" s="12"/>
      <c r="CA42" s="12">
        <v>0.5</v>
      </c>
      <c r="CB42" s="12"/>
      <c r="CC42" s="12">
        <v>0.5</v>
      </c>
      <c r="CG42" s="12"/>
      <c r="CH42" s="12">
        <v>0.8</v>
      </c>
      <c r="CI42" s="12"/>
      <c r="CJ42" s="12">
        <v>0.8</v>
      </c>
      <c r="CN42" s="12"/>
      <c r="CO42" s="12">
        <v>1</v>
      </c>
      <c r="CP42" s="12"/>
      <c r="CQ42" s="12">
        <v>1</v>
      </c>
      <c r="CU42" s="12"/>
      <c r="CV42" s="12">
        <v>1</v>
      </c>
      <c r="CW42" s="12"/>
      <c r="CX42" s="12">
        <v>1</v>
      </c>
      <c r="DB42" s="12"/>
      <c r="DC42" s="12">
        <v>1</v>
      </c>
      <c r="DD42" s="12"/>
      <c r="DE42" s="12">
        <v>1</v>
      </c>
      <c r="DI42" s="12"/>
      <c r="DJ42" s="12">
        <v>1</v>
      </c>
      <c r="DK42" s="12"/>
      <c r="DL42" s="12">
        <v>1</v>
      </c>
      <c r="DP42" s="12"/>
      <c r="DQ42" s="12">
        <v>1</v>
      </c>
      <c r="DR42" s="12"/>
      <c r="DS42" s="12">
        <v>1</v>
      </c>
      <c r="DW42" s="12"/>
      <c r="DX42" s="12">
        <v>1</v>
      </c>
      <c r="DY42" s="12"/>
      <c r="DZ42" s="12">
        <v>1</v>
      </c>
      <c r="ED42" s="12"/>
      <c r="EE42" s="12">
        <v>1</v>
      </c>
      <c r="EF42" s="12"/>
      <c r="EG42" s="12">
        <v>1</v>
      </c>
    </row>
    <row r="43" spans="2:137" outlineLevel="1">
      <c r="B43" t="s">
        <v>28</v>
      </c>
      <c r="C43" t="s">
        <v>105</v>
      </c>
      <c r="E43" s="11"/>
      <c r="F43" s="23" t="s">
        <v>104</v>
      </c>
      <c r="G43" s="12"/>
      <c r="I43" s="11">
        <f t="shared" si="3"/>
        <v>0</v>
      </c>
      <c r="J43" s="13" cm="1">
        <f t="array" ref="J43">MAX(IF($N$3:$EE$3=$J$3,N43:EE43))</f>
        <v>0</v>
      </c>
      <c r="K43" s="13" cm="1">
        <f t="array" ref="K43">MAX(IF($N$3:$EE$3=$J$3,N43:EE43))</f>
        <v>0</v>
      </c>
      <c r="L43" s="11"/>
      <c r="O43" s="12"/>
      <c r="P43" s="12"/>
      <c r="Q43" s="12"/>
      <c r="R43" s="12"/>
      <c r="V43" s="12"/>
      <c r="W43" s="12"/>
      <c r="X43" s="12"/>
      <c r="Y43" s="12"/>
      <c r="AC43" s="12"/>
      <c r="AD43" s="12"/>
      <c r="AE43" s="12"/>
      <c r="AF43" s="12"/>
      <c r="AJ43" s="12"/>
      <c r="AK43" s="12"/>
      <c r="AL43" s="12"/>
      <c r="AM43" s="12"/>
      <c r="AQ43" s="12"/>
      <c r="AR43" s="12"/>
      <c r="AS43" s="12"/>
      <c r="AT43" s="12"/>
      <c r="AX43" s="12"/>
      <c r="AY43" s="12"/>
      <c r="AZ43" s="12"/>
      <c r="BA43" s="12"/>
      <c r="BE43" s="12"/>
      <c r="BF43" s="12"/>
      <c r="BG43" s="12"/>
      <c r="BH43" s="12"/>
      <c r="BL43" s="12"/>
      <c r="BM43" s="12">
        <v>0.5</v>
      </c>
      <c r="BN43" s="12"/>
      <c r="BO43" s="12">
        <v>0.5</v>
      </c>
      <c r="BS43" s="12"/>
      <c r="BT43" s="12">
        <v>0.5</v>
      </c>
      <c r="BU43" s="12"/>
      <c r="BV43" s="12">
        <v>0.5</v>
      </c>
      <c r="BZ43" s="12"/>
      <c r="CA43" s="12">
        <v>0.5</v>
      </c>
      <c r="CB43" s="12"/>
      <c r="CC43" s="12">
        <v>0.5</v>
      </c>
      <c r="CG43" s="12"/>
      <c r="CH43" s="12">
        <v>0.8</v>
      </c>
      <c r="CI43" s="12"/>
      <c r="CJ43" s="12">
        <v>0.8</v>
      </c>
      <c r="CN43" s="12"/>
      <c r="CO43" s="12">
        <v>1</v>
      </c>
      <c r="CP43" s="12"/>
      <c r="CQ43" s="12">
        <v>1</v>
      </c>
      <c r="CU43" s="12"/>
      <c r="CV43" s="12">
        <v>1</v>
      </c>
      <c r="CW43" s="12"/>
      <c r="CX43" s="12">
        <v>1</v>
      </c>
      <c r="DB43" s="12"/>
      <c r="DC43" s="12">
        <v>1</v>
      </c>
      <c r="DD43" s="12"/>
      <c r="DE43" s="12">
        <v>1</v>
      </c>
      <c r="DI43" s="12"/>
      <c r="DJ43" s="12">
        <v>1</v>
      </c>
      <c r="DK43" s="12"/>
      <c r="DL43" s="12">
        <v>1</v>
      </c>
      <c r="DP43" s="12"/>
      <c r="DQ43" s="12">
        <v>1</v>
      </c>
      <c r="DR43" s="12"/>
      <c r="DS43" s="12">
        <v>1</v>
      </c>
      <c r="DW43" s="12"/>
      <c r="DX43" s="12">
        <v>1</v>
      </c>
      <c r="DY43" s="12"/>
      <c r="DZ43" s="12">
        <v>1</v>
      </c>
      <c r="ED43" s="12"/>
      <c r="EE43" s="12">
        <v>1</v>
      </c>
      <c r="EF43" s="12"/>
      <c r="EG43" s="12">
        <v>1</v>
      </c>
    </row>
    <row r="45" spans="2:137">
      <c r="B45" t="s">
        <v>27</v>
      </c>
      <c r="C45" t="s">
        <v>137</v>
      </c>
      <c r="D45" s="22">
        <v>45497</v>
      </c>
      <c r="E45" s="11">
        <v>6</v>
      </c>
      <c r="G45" s="12"/>
      <c r="I45" s="14">
        <f>+SUM(I46:I52)</f>
        <v>0</v>
      </c>
      <c r="J45" s="13">
        <f>+SUMPRODUCT(G46:G52,J46:J52)</f>
        <v>0</v>
      </c>
      <c r="K45" s="13">
        <f>+SUMPRODUCT(G46:G52,K46:K52)</f>
        <v>0</v>
      </c>
      <c r="L45" s="11"/>
      <c r="N45" s="14">
        <f>+SUM(N46:N52)</f>
        <v>0</v>
      </c>
      <c r="U45" s="14">
        <f>+SUM(U46:U52)</f>
        <v>0</v>
      </c>
      <c r="AB45" s="14">
        <f>+SUM(AB46:AB52)</f>
        <v>0</v>
      </c>
      <c r="AI45" s="14">
        <f>+SUM(AI46:AI52)</f>
        <v>0</v>
      </c>
      <c r="AP45" s="14">
        <f>+SUM(AP46:AP52)</f>
        <v>0</v>
      </c>
    </row>
    <row r="46" spans="2:137" outlineLevel="1">
      <c r="B46" t="s">
        <v>28</v>
      </c>
      <c r="C46" t="s">
        <v>137</v>
      </c>
      <c r="E46" s="11"/>
      <c r="F46" t="s">
        <v>141</v>
      </c>
      <c r="G46" s="12"/>
      <c r="I46" s="11">
        <f t="shared" ref="I46:I52" si="4">+SUMIF($N$3:$ZW$3,I$3,$N46:$ZW46)</f>
        <v>0</v>
      </c>
      <c r="J46" s="13" cm="1">
        <f t="array" ref="J46">MAX(IF($N$3:$EE$3=$J$3,N46:EE46))</f>
        <v>0</v>
      </c>
      <c r="K46" s="13" cm="1">
        <f t="array" ref="K46">MAX(IF($N$3:$EE$3=$J$3,N46:EE46))</f>
        <v>0</v>
      </c>
      <c r="L46" s="11"/>
      <c r="O46" s="12"/>
      <c r="P46" s="12">
        <v>0.5</v>
      </c>
      <c r="Q46" s="12"/>
      <c r="R46" s="12">
        <v>0.5</v>
      </c>
      <c r="V46" s="12"/>
      <c r="W46" s="12">
        <v>0.5</v>
      </c>
      <c r="X46" s="12"/>
      <c r="Y46" s="12">
        <v>0.5</v>
      </c>
      <c r="Z46">
        <v>1</v>
      </c>
      <c r="AC46" s="12"/>
      <c r="AD46" s="12">
        <v>0.5</v>
      </c>
      <c r="AE46" s="12"/>
      <c r="AF46" s="12">
        <v>0.5</v>
      </c>
      <c r="AJ46" s="12"/>
      <c r="AK46" s="12">
        <v>0.5</v>
      </c>
      <c r="AL46" s="12"/>
      <c r="AM46" s="12">
        <v>0.5</v>
      </c>
      <c r="AQ46" s="12"/>
      <c r="AR46" s="12">
        <v>0.5</v>
      </c>
      <c r="AS46" s="12"/>
      <c r="AT46" s="12">
        <v>0.5</v>
      </c>
      <c r="AX46" s="12"/>
      <c r="AY46" s="12">
        <v>0.5</v>
      </c>
      <c r="AZ46" s="12"/>
      <c r="BA46" s="12">
        <v>0.5</v>
      </c>
      <c r="BE46" s="12"/>
      <c r="BF46" s="12">
        <v>0.8</v>
      </c>
      <c r="BG46" s="12"/>
      <c r="BH46" s="12">
        <v>0.8</v>
      </c>
      <c r="BL46" s="12"/>
      <c r="BM46" s="12">
        <v>0.8</v>
      </c>
      <c r="BN46" s="12"/>
      <c r="BO46" s="12">
        <v>0.8</v>
      </c>
      <c r="BS46" s="12"/>
      <c r="BT46" s="12">
        <v>0.8</v>
      </c>
      <c r="BU46" s="12"/>
      <c r="BV46" s="12">
        <v>0.8</v>
      </c>
      <c r="BZ46" s="12"/>
      <c r="CA46" s="12">
        <v>1</v>
      </c>
      <c r="CB46" s="12"/>
      <c r="CC46" s="12">
        <v>1</v>
      </c>
      <c r="CG46" s="12"/>
      <c r="CH46" s="12">
        <v>1</v>
      </c>
      <c r="CI46" s="12"/>
      <c r="CJ46" s="12">
        <v>1</v>
      </c>
      <c r="CN46" s="12"/>
      <c r="CO46" s="12">
        <v>1</v>
      </c>
      <c r="CP46" s="12"/>
      <c r="CQ46" s="12">
        <v>1</v>
      </c>
      <c r="CU46" s="12"/>
      <c r="CV46" s="12">
        <v>1</v>
      </c>
      <c r="CW46" s="12"/>
      <c r="CX46" s="12">
        <v>1</v>
      </c>
      <c r="CY46" s="12">
        <v>1</v>
      </c>
      <c r="DB46" s="12"/>
      <c r="DC46" s="12">
        <v>1</v>
      </c>
      <c r="DD46" s="12"/>
      <c r="DE46" s="12">
        <v>1</v>
      </c>
      <c r="DI46" s="12"/>
      <c r="DJ46" s="12">
        <v>1</v>
      </c>
      <c r="DK46" s="12"/>
      <c r="DL46" s="12">
        <v>1</v>
      </c>
      <c r="DP46" s="12"/>
      <c r="DQ46" s="12">
        <v>1</v>
      </c>
      <c r="DR46" s="12"/>
      <c r="DS46" s="12">
        <v>1</v>
      </c>
      <c r="DW46" s="12"/>
      <c r="DX46" s="12">
        <v>1</v>
      </c>
      <c r="DY46" s="12"/>
      <c r="DZ46" s="12">
        <v>1</v>
      </c>
      <c r="EA46" t="s">
        <v>140</v>
      </c>
      <c r="ED46" s="12"/>
      <c r="EE46" s="12">
        <v>1</v>
      </c>
      <c r="EF46" s="12"/>
      <c r="EG46" s="12">
        <v>1</v>
      </c>
    </row>
    <row r="47" spans="2:137" outlineLevel="1">
      <c r="B47" t="s">
        <v>28</v>
      </c>
      <c r="C47" t="s">
        <v>137</v>
      </c>
      <c r="E47" s="11"/>
      <c r="F47" t="s">
        <v>142</v>
      </c>
      <c r="G47" s="12"/>
      <c r="I47" s="11">
        <f t="shared" si="4"/>
        <v>0</v>
      </c>
      <c r="J47" s="13" cm="1">
        <f t="array" ref="J47">MAX(IF($N$3:$EE$3=$J$3,N47:EE47))</f>
        <v>0</v>
      </c>
      <c r="K47" s="13" cm="1">
        <f t="array" ref="K47">MAX(IF($N$3:$EE$3=$J$3,N47:EE47))</f>
        <v>0</v>
      </c>
      <c r="L47" s="11"/>
      <c r="O47" s="12"/>
      <c r="P47" s="12"/>
      <c r="Q47" s="12"/>
      <c r="R47" s="12"/>
      <c r="V47" s="12"/>
      <c r="W47" s="12"/>
      <c r="X47" s="12"/>
      <c r="Y47" s="12"/>
      <c r="AC47" s="12"/>
      <c r="AD47" s="12"/>
      <c r="AE47" s="12"/>
      <c r="AF47" s="12"/>
      <c r="AJ47" s="12"/>
      <c r="AK47" s="12">
        <v>0.5</v>
      </c>
      <c r="AL47" s="12"/>
      <c r="AM47" s="12">
        <v>0.5</v>
      </c>
      <c r="AN47">
        <v>1</v>
      </c>
      <c r="AQ47" s="12"/>
      <c r="AR47" s="12">
        <v>0.5</v>
      </c>
      <c r="AS47" s="12"/>
      <c r="AT47" s="12">
        <v>0.5</v>
      </c>
      <c r="AX47" s="12"/>
      <c r="AY47" s="12">
        <v>0.5</v>
      </c>
      <c r="AZ47" s="12"/>
      <c r="BA47" s="12">
        <v>0.5</v>
      </c>
      <c r="BB47">
        <v>2</v>
      </c>
      <c r="BE47" s="12"/>
      <c r="BF47" s="12">
        <v>0.5</v>
      </c>
      <c r="BG47" s="12"/>
      <c r="BH47" s="12">
        <v>0.5</v>
      </c>
      <c r="BL47" s="12"/>
      <c r="BM47" s="12">
        <v>0.8</v>
      </c>
      <c r="BN47" s="12"/>
      <c r="BO47" s="12">
        <v>0.8</v>
      </c>
      <c r="BS47" s="12"/>
      <c r="BT47" s="12">
        <v>0.8</v>
      </c>
      <c r="BU47" s="12"/>
      <c r="BV47" s="12">
        <v>0.8</v>
      </c>
      <c r="BZ47" s="12"/>
      <c r="CA47" s="12">
        <v>1</v>
      </c>
      <c r="CB47" s="12"/>
      <c r="CC47" s="12">
        <v>1</v>
      </c>
      <c r="CG47" s="12"/>
      <c r="CH47" s="12">
        <v>1</v>
      </c>
      <c r="CI47" s="12"/>
      <c r="CJ47" s="12">
        <v>1</v>
      </c>
      <c r="CN47" s="12"/>
      <c r="CO47" s="12">
        <v>1</v>
      </c>
      <c r="CP47" s="12"/>
      <c r="CQ47" s="12">
        <v>1</v>
      </c>
      <c r="CU47" s="12"/>
      <c r="CV47" s="12">
        <v>1</v>
      </c>
      <c r="CW47" s="12"/>
      <c r="CX47" s="12">
        <v>1</v>
      </c>
      <c r="DB47" s="12"/>
      <c r="DC47" s="12">
        <v>1</v>
      </c>
      <c r="DD47" s="12"/>
      <c r="DE47" s="12">
        <v>1</v>
      </c>
      <c r="DI47" s="12"/>
      <c r="DJ47" s="12">
        <v>1</v>
      </c>
      <c r="DK47" s="12"/>
      <c r="DL47" s="12">
        <v>1</v>
      </c>
      <c r="DP47" s="12"/>
      <c r="DQ47" s="12">
        <v>1</v>
      </c>
      <c r="DR47" s="12"/>
      <c r="DS47" s="12">
        <v>1</v>
      </c>
      <c r="DW47" s="12"/>
      <c r="DX47" s="12">
        <v>1</v>
      </c>
      <c r="DY47" s="12"/>
      <c r="DZ47" s="12">
        <v>1</v>
      </c>
      <c r="ED47" s="12"/>
      <c r="EE47" s="12">
        <v>1</v>
      </c>
      <c r="EF47" s="12"/>
      <c r="EG47" s="12">
        <v>1</v>
      </c>
    </row>
    <row r="48" spans="2:137" outlineLevel="1">
      <c r="B48" t="s">
        <v>28</v>
      </c>
      <c r="C48" t="s">
        <v>137</v>
      </c>
      <c r="E48" s="11"/>
      <c r="F48" t="s">
        <v>143</v>
      </c>
      <c r="G48" s="12"/>
      <c r="I48" s="11">
        <f t="shared" si="4"/>
        <v>0</v>
      </c>
      <c r="J48" s="13" cm="1">
        <f t="array" ref="J48">MAX(IF($N$3:$EE$3=$J$3,N48:EE48))</f>
        <v>0</v>
      </c>
      <c r="K48" s="13" cm="1">
        <f t="array" ref="K48">MAX(IF($N$3:$EE$3=$J$3,N48:EE48))</f>
        <v>0</v>
      </c>
      <c r="L48" s="11"/>
      <c r="O48" s="12"/>
      <c r="P48" s="12"/>
      <c r="Q48" s="12"/>
      <c r="R48" s="12"/>
      <c r="V48" s="12"/>
      <c r="W48" s="12"/>
      <c r="X48" s="12"/>
      <c r="Y48" s="12"/>
      <c r="AC48" s="12"/>
      <c r="AD48" s="12"/>
      <c r="AE48" s="12"/>
      <c r="AF48" s="12"/>
      <c r="AJ48" s="12"/>
      <c r="AK48" s="12"/>
      <c r="AL48" s="12"/>
      <c r="AM48" s="12"/>
      <c r="AQ48" s="12"/>
      <c r="AR48" s="12">
        <v>0.5</v>
      </c>
      <c r="AS48" s="12"/>
      <c r="AT48" s="12">
        <v>0.5</v>
      </c>
      <c r="AU48">
        <v>1</v>
      </c>
      <c r="AX48" s="12"/>
      <c r="AY48" s="12">
        <v>0.5</v>
      </c>
      <c r="AZ48" s="12"/>
      <c r="BA48" s="12">
        <v>0.5</v>
      </c>
      <c r="BE48" s="12"/>
      <c r="BF48" s="12">
        <v>0.5</v>
      </c>
      <c r="BG48" s="12"/>
      <c r="BH48" s="12">
        <v>0.5</v>
      </c>
      <c r="BL48" s="12"/>
      <c r="BM48" s="12">
        <v>0.5</v>
      </c>
      <c r="BN48" s="12"/>
      <c r="BO48" s="12">
        <v>0.5</v>
      </c>
      <c r="BS48" s="12"/>
      <c r="BT48" s="12">
        <v>0.8</v>
      </c>
      <c r="BU48" s="12"/>
      <c r="BV48" s="12">
        <v>0.8</v>
      </c>
      <c r="BZ48" s="12"/>
      <c r="CA48" s="12">
        <v>0.8</v>
      </c>
      <c r="CB48" s="12"/>
      <c r="CC48" s="12">
        <v>0.8</v>
      </c>
      <c r="CG48" s="12"/>
      <c r="CH48" s="12">
        <v>1</v>
      </c>
      <c r="CI48" s="12"/>
      <c r="CJ48" s="12">
        <v>1</v>
      </c>
      <c r="CN48" s="12"/>
      <c r="CO48" s="12">
        <v>1</v>
      </c>
      <c r="CP48" s="12"/>
      <c r="CQ48" s="12">
        <v>1</v>
      </c>
      <c r="CU48" s="12"/>
      <c r="CV48" s="12">
        <v>1</v>
      </c>
      <c r="CW48" s="12"/>
      <c r="CX48" s="12">
        <v>1</v>
      </c>
      <c r="DB48" s="12"/>
      <c r="DC48" s="12">
        <v>1</v>
      </c>
      <c r="DD48" s="12"/>
      <c r="DE48" s="12">
        <v>1</v>
      </c>
      <c r="DI48" s="12"/>
      <c r="DJ48" s="12">
        <v>1</v>
      </c>
      <c r="DK48" s="12"/>
      <c r="DL48" s="12">
        <v>1</v>
      </c>
      <c r="DP48" s="12"/>
      <c r="DQ48" s="12">
        <v>1</v>
      </c>
      <c r="DR48" s="12"/>
      <c r="DS48" s="12">
        <v>1</v>
      </c>
      <c r="DW48" s="12"/>
      <c r="DX48" s="12">
        <v>1</v>
      </c>
      <c r="DY48" s="12"/>
      <c r="DZ48" s="12">
        <v>1</v>
      </c>
      <c r="ED48" s="12"/>
      <c r="EE48" s="12">
        <v>1</v>
      </c>
      <c r="EF48" s="12"/>
      <c r="EG48" s="12">
        <v>1</v>
      </c>
    </row>
    <row r="49" spans="2:137" outlineLevel="1">
      <c r="B49" t="s">
        <v>28</v>
      </c>
      <c r="C49" t="s">
        <v>137</v>
      </c>
      <c r="E49" s="11"/>
      <c r="F49" t="s">
        <v>138</v>
      </c>
      <c r="G49" s="12"/>
      <c r="I49" s="11">
        <f t="shared" si="4"/>
        <v>0</v>
      </c>
      <c r="J49" s="13" cm="1">
        <f t="array" ref="J49">MAX(IF($N$3:$EE$3=$J$3,N49:EE49))</f>
        <v>0</v>
      </c>
      <c r="K49" s="13" cm="1">
        <f t="array" ref="K49">MAX(IF($N$3:$EE$3=$J$3,N49:EE49))</f>
        <v>0</v>
      </c>
      <c r="L49" s="11"/>
      <c r="O49" s="12"/>
      <c r="P49" s="12"/>
      <c r="Q49" s="12"/>
      <c r="R49" s="12"/>
      <c r="V49" s="12"/>
      <c r="W49" s="12"/>
      <c r="X49" s="12"/>
      <c r="Y49" s="12"/>
      <c r="AC49" s="12"/>
      <c r="AD49" s="12"/>
      <c r="AE49" s="12"/>
      <c r="AF49" s="12"/>
      <c r="AJ49" s="12"/>
      <c r="AK49" s="12"/>
      <c r="AL49" s="12"/>
      <c r="AM49" s="12"/>
      <c r="AQ49" s="12"/>
      <c r="AR49" s="12"/>
      <c r="AS49" s="12"/>
      <c r="AT49" s="12"/>
      <c r="AX49" s="12"/>
      <c r="AY49" s="12">
        <v>0.5</v>
      </c>
      <c r="AZ49" s="12"/>
      <c r="BA49" s="12">
        <v>0.5</v>
      </c>
      <c r="BE49" s="12"/>
      <c r="BF49" s="12">
        <v>0.5</v>
      </c>
      <c r="BG49" s="12"/>
      <c r="BH49" s="12">
        <v>0.5</v>
      </c>
      <c r="BI49">
        <v>2</v>
      </c>
      <c r="BL49" s="12"/>
      <c r="BM49" s="12">
        <v>0.5</v>
      </c>
      <c r="BN49" s="12"/>
      <c r="BO49" s="12">
        <v>0.5</v>
      </c>
      <c r="BP49">
        <v>2</v>
      </c>
      <c r="BS49" s="12"/>
      <c r="BT49" s="12">
        <v>0.8</v>
      </c>
      <c r="BU49" s="12"/>
      <c r="BV49" s="12">
        <v>0.8</v>
      </c>
      <c r="BZ49" s="12"/>
      <c r="CA49" s="12">
        <v>0.8</v>
      </c>
      <c r="CB49" s="12"/>
      <c r="CC49" s="12">
        <v>0.8</v>
      </c>
      <c r="CG49" s="12"/>
      <c r="CH49" s="12">
        <v>0.8</v>
      </c>
      <c r="CI49" s="12"/>
      <c r="CJ49" s="12">
        <v>0.8</v>
      </c>
      <c r="CN49" s="12"/>
      <c r="CO49" s="12">
        <v>1</v>
      </c>
      <c r="CP49" s="12"/>
      <c r="CQ49" s="12">
        <v>1</v>
      </c>
      <c r="CU49" s="12"/>
      <c r="CV49" s="12">
        <v>1</v>
      </c>
      <c r="CW49" s="12"/>
      <c r="CX49" s="12">
        <v>1</v>
      </c>
      <c r="DB49" s="12"/>
      <c r="DC49" s="12">
        <v>1</v>
      </c>
      <c r="DD49" s="12"/>
      <c r="DE49" s="12">
        <v>1</v>
      </c>
      <c r="DI49" s="12"/>
      <c r="DJ49" s="12">
        <v>1</v>
      </c>
      <c r="DK49" s="12"/>
      <c r="DL49" s="12">
        <v>1</v>
      </c>
      <c r="DP49" s="12"/>
      <c r="DQ49" s="12">
        <v>1</v>
      </c>
      <c r="DR49" s="12"/>
      <c r="DS49" s="12">
        <v>1</v>
      </c>
      <c r="DW49" s="12"/>
      <c r="DX49" s="12">
        <v>1</v>
      </c>
      <c r="DY49" s="12"/>
      <c r="DZ49" s="12">
        <v>1</v>
      </c>
      <c r="ED49" s="12"/>
      <c r="EE49" s="12">
        <v>1</v>
      </c>
      <c r="EF49" s="12"/>
      <c r="EG49" s="12">
        <v>1</v>
      </c>
    </row>
    <row r="50" spans="2:137" outlineLevel="1">
      <c r="B50" t="s">
        <v>28</v>
      </c>
      <c r="C50" t="s">
        <v>137</v>
      </c>
      <c r="E50" s="11"/>
      <c r="F50" t="s">
        <v>139</v>
      </c>
      <c r="G50" s="12"/>
      <c r="I50" s="11">
        <f t="shared" si="4"/>
        <v>0</v>
      </c>
      <c r="J50" s="13" cm="1">
        <f t="array" ref="J50">MAX(IF($N$3:$EE$3=$J$3,N50:EE50))</f>
        <v>0</v>
      </c>
      <c r="K50" s="13" cm="1">
        <f t="array" ref="K50">MAX(IF($N$3:$EE$3=$J$3,N50:EE50))</f>
        <v>0</v>
      </c>
      <c r="L50" s="11"/>
      <c r="O50" s="12"/>
      <c r="P50" s="12"/>
      <c r="Q50" s="12"/>
      <c r="R50" s="12"/>
      <c r="V50" s="12"/>
      <c r="W50" s="12"/>
      <c r="X50" s="12"/>
      <c r="Y50" s="12"/>
      <c r="AC50" s="12"/>
      <c r="AD50" s="12"/>
      <c r="AE50" s="12"/>
      <c r="AF50" s="12"/>
      <c r="AJ50" s="12"/>
      <c r="AK50" s="12"/>
      <c r="AL50" s="12"/>
      <c r="AM50" s="12"/>
      <c r="AQ50" s="12"/>
      <c r="AR50" s="12"/>
      <c r="AS50" s="12"/>
      <c r="AT50" s="12"/>
      <c r="AX50" s="12"/>
      <c r="AY50" s="12"/>
      <c r="AZ50" s="12"/>
      <c r="BA50" s="12"/>
      <c r="BE50" s="12"/>
      <c r="BF50" s="12">
        <v>0.5</v>
      </c>
      <c r="BG50" s="12"/>
      <c r="BH50" s="12">
        <v>0.5</v>
      </c>
      <c r="BL50" s="12"/>
      <c r="BM50" s="12">
        <v>0.5</v>
      </c>
      <c r="BN50" s="12"/>
      <c r="BO50" s="12">
        <v>0.5</v>
      </c>
      <c r="BS50" s="12"/>
      <c r="BT50" s="12">
        <v>0.5</v>
      </c>
      <c r="BU50" s="12"/>
      <c r="BV50" s="12">
        <v>0.5</v>
      </c>
      <c r="BW50">
        <v>2</v>
      </c>
      <c r="BZ50" s="12"/>
      <c r="CA50" s="12">
        <v>0.8</v>
      </c>
      <c r="CB50" s="12"/>
      <c r="CC50" s="12">
        <v>0.8</v>
      </c>
      <c r="CD50">
        <v>2</v>
      </c>
      <c r="CG50" s="12"/>
      <c r="CH50" s="12">
        <v>0.8</v>
      </c>
      <c r="CI50" s="12"/>
      <c r="CJ50" s="12">
        <v>0.8</v>
      </c>
      <c r="CK50">
        <v>2</v>
      </c>
      <c r="CN50" s="12"/>
      <c r="CO50" s="12">
        <v>0.8</v>
      </c>
      <c r="CP50" s="12"/>
      <c r="CQ50" s="12">
        <v>0.8</v>
      </c>
      <c r="CU50" s="12"/>
      <c r="CV50" s="12">
        <v>1</v>
      </c>
      <c r="CW50" s="12"/>
      <c r="CX50" s="12">
        <v>1</v>
      </c>
      <c r="DB50" s="12"/>
      <c r="DC50" s="12">
        <v>1</v>
      </c>
      <c r="DD50" s="12"/>
      <c r="DE50" s="12">
        <v>1</v>
      </c>
      <c r="DI50" s="12"/>
      <c r="DJ50" s="12">
        <v>1</v>
      </c>
      <c r="DK50" s="12"/>
      <c r="DL50" s="12">
        <v>1</v>
      </c>
      <c r="DP50" s="12"/>
      <c r="DQ50" s="12">
        <v>1</v>
      </c>
      <c r="DR50" s="12"/>
      <c r="DS50" s="12">
        <v>1</v>
      </c>
      <c r="DW50" s="12"/>
      <c r="DX50" s="12">
        <v>1</v>
      </c>
      <c r="DY50" s="12"/>
      <c r="DZ50" s="12">
        <v>1</v>
      </c>
      <c r="ED50" s="12"/>
      <c r="EE50" s="12">
        <v>1</v>
      </c>
      <c r="EF50" s="12"/>
      <c r="EG50" s="12">
        <v>1</v>
      </c>
    </row>
    <row r="51" spans="2:137" outlineLevel="1">
      <c r="B51" t="s">
        <v>28</v>
      </c>
      <c r="C51" t="s">
        <v>137</v>
      </c>
      <c r="E51" s="11"/>
      <c r="F51" t="s">
        <v>144</v>
      </c>
      <c r="G51" s="12"/>
      <c r="I51" s="11">
        <f t="shared" si="4"/>
        <v>0</v>
      </c>
      <c r="J51" s="13" cm="1">
        <f t="array" ref="J51">MAX(IF($N$3:$EE$3=$J$3,N51:EE51))</f>
        <v>0</v>
      </c>
      <c r="K51" s="13" cm="1">
        <f t="array" ref="K51">MAX(IF($N$3:$EE$3=$J$3,N51:EE51))</f>
        <v>0</v>
      </c>
      <c r="L51" s="11"/>
      <c r="O51" s="12"/>
      <c r="P51" s="12"/>
      <c r="Q51" s="12"/>
      <c r="R51" s="12"/>
      <c r="V51" s="12"/>
      <c r="W51" s="12"/>
      <c r="X51" s="12"/>
      <c r="Y51" s="12"/>
      <c r="AC51" s="12"/>
      <c r="AD51" s="12"/>
      <c r="AE51" s="12"/>
      <c r="AF51" s="12"/>
      <c r="AJ51" s="12"/>
      <c r="AK51" s="12"/>
      <c r="AL51" s="12"/>
      <c r="AM51" s="12"/>
      <c r="AQ51" s="12"/>
      <c r="AR51" s="12"/>
      <c r="AS51" s="12"/>
      <c r="AT51" s="12"/>
      <c r="AX51" s="12"/>
      <c r="AY51" s="12"/>
      <c r="AZ51" s="12"/>
      <c r="BA51" s="12"/>
      <c r="BE51" s="12"/>
      <c r="BF51" s="12"/>
      <c r="BG51" s="12"/>
      <c r="BH51" s="12"/>
      <c r="BL51" s="12"/>
      <c r="BM51" s="12">
        <v>0.5</v>
      </c>
      <c r="BN51" s="12"/>
      <c r="BO51" s="12">
        <v>0.5</v>
      </c>
      <c r="BS51" s="12"/>
      <c r="BT51" s="12">
        <v>0.5</v>
      </c>
      <c r="BU51" s="12"/>
      <c r="BV51" s="12">
        <v>0.5</v>
      </c>
      <c r="BZ51" s="12"/>
      <c r="CA51" s="12">
        <v>0.5</v>
      </c>
      <c r="CB51" s="12"/>
      <c r="CC51" s="12">
        <v>0.5</v>
      </c>
      <c r="CG51" s="12"/>
      <c r="CH51" s="12">
        <v>0.8</v>
      </c>
      <c r="CI51" s="12"/>
      <c r="CJ51" s="12">
        <v>0.8</v>
      </c>
      <c r="CN51" s="12"/>
      <c r="CO51" s="12">
        <v>0.8</v>
      </c>
      <c r="CP51" s="12"/>
      <c r="CQ51" s="12">
        <v>0.8</v>
      </c>
      <c r="CR51">
        <v>3</v>
      </c>
      <c r="CU51" s="12"/>
      <c r="CV51" s="12">
        <v>1</v>
      </c>
      <c r="CW51" s="12"/>
      <c r="CX51" s="12">
        <v>1</v>
      </c>
      <c r="DB51" s="12"/>
      <c r="DC51" s="12">
        <v>1</v>
      </c>
      <c r="DD51" s="12"/>
      <c r="DE51" s="12">
        <v>1</v>
      </c>
      <c r="DI51" s="12"/>
      <c r="DJ51" s="12">
        <v>1</v>
      </c>
      <c r="DK51" s="12"/>
      <c r="DL51" s="12">
        <v>1</v>
      </c>
      <c r="DP51" s="12"/>
      <c r="DQ51" s="12">
        <v>1</v>
      </c>
      <c r="DR51" s="12"/>
      <c r="DS51" s="12">
        <v>1</v>
      </c>
      <c r="DW51" s="12"/>
      <c r="DX51" s="12">
        <v>1</v>
      </c>
      <c r="DY51" s="12"/>
      <c r="DZ51" s="12">
        <v>1</v>
      </c>
      <c r="ED51" s="12"/>
      <c r="EE51" s="12">
        <v>1</v>
      </c>
      <c r="EF51" s="12"/>
      <c r="EG51" s="12">
        <v>1</v>
      </c>
    </row>
    <row r="52" spans="2:137" outlineLevel="1">
      <c r="B52" t="s">
        <v>28</v>
      </c>
      <c r="C52" t="s">
        <v>137</v>
      </c>
      <c r="E52" s="11"/>
      <c r="F52" t="s">
        <v>145</v>
      </c>
      <c r="G52" s="12"/>
      <c r="I52" s="11">
        <f t="shared" si="4"/>
        <v>0</v>
      </c>
      <c r="J52" s="13" cm="1">
        <f t="array" ref="J52">MAX(IF($N$3:$EE$3=$J$3,N52:EE52))</f>
        <v>0</v>
      </c>
      <c r="K52" s="13" cm="1">
        <f t="array" ref="K52">MAX(IF($N$3:$EE$3=$J$3,N52:EE52))</f>
        <v>0</v>
      </c>
      <c r="L52" s="11"/>
      <c r="O52" s="12"/>
      <c r="P52" s="12"/>
      <c r="Q52" s="12"/>
      <c r="R52" s="12"/>
      <c r="V52" s="12"/>
      <c r="W52" s="12"/>
      <c r="X52" s="12"/>
      <c r="Y52" s="12"/>
      <c r="AC52" s="12"/>
      <c r="AD52" s="12"/>
      <c r="AE52" s="12"/>
      <c r="AF52" s="12"/>
      <c r="AJ52" s="12"/>
      <c r="AK52" s="12"/>
      <c r="AL52" s="12"/>
      <c r="AM52" s="12"/>
      <c r="AQ52" s="12"/>
      <c r="AR52" s="12"/>
      <c r="AS52" s="12"/>
      <c r="AT52" s="12"/>
      <c r="AX52" s="12"/>
      <c r="AY52" s="12"/>
      <c r="AZ52" s="12"/>
      <c r="BA52" s="12"/>
      <c r="BE52" s="12"/>
      <c r="BF52" s="12"/>
      <c r="BG52" s="12"/>
      <c r="BH52" s="12"/>
      <c r="BL52" s="12"/>
      <c r="BM52" s="12"/>
      <c r="BN52" s="12"/>
      <c r="BO52" s="12"/>
      <c r="BS52" s="12"/>
      <c r="BT52" s="12">
        <v>0.5</v>
      </c>
      <c r="BU52" s="12"/>
      <c r="BV52" s="12">
        <v>0.5</v>
      </c>
      <c r="BZ52" s="12"/>
      <c r="CA52" s="12">
        <v>0.5</v>
      </c>
      <c r="CB52" s="12"/>
      <c r="CC52" s="12">
        <v>0.5</v>
      </c>
      <c r="CG52" s="12"/>
      <c r="CH52" s="12">
        <v>0.5</v>
      </c>
      <c r="CI52" s="12"/>
      <c r="CJ52" s="12">
        <v>0.5</v>
      </c>
      <c r="CN52" s="12"/>
      <c r="CO52" s="12">
        <v>0.8</v>
      </c>
      <c r="CP52" s="12"/>
      <c r="CQ52" s="12">
        <v>0.8</v>
      </c>
      <c r="CU52" s="12"/>
      <c r="CV52" s="12">
        <v>1</v>
      </c>
      <c r="CW52" s="12"/>
      <c r="CX52" s="12">
        <v>1</v>
      </c>
      <c r="DB52" s="12"/>
      <c r="DC52" s="12">
        <v>1</v>
      </c>
      <c r="DD52" s="12"/>
      <c r="DE52" s="12">
        <v>1</v>
      </c>
      <c r="DI52" s="12"/>
      <c r="DJ52" s="12">
        <v>1</v>
      </c>
      <c r="DK52" s="12"/>
      <c r="DL52" s="12">
        <v>1</v>
      </c>
      <c r="DP52" s="12"/>
      <c r="DQ52" s="12">
        <v>1</v>
      </c>
      <c r="DR52" s="12"/>
      <c r="DS52" s="12">
        <v>1</v>
      </c>
      <c r="DW52" s="12"/>
      <c r="DX52" s="12">
        <v>1</v>
      </c>
      <c r="DY52" s="12"/>
      <c r="DZ52" s="12">
        <v>1</v>
      </c>
      <c r="ED52" s="12"/>
      <c r="EE52" s="12">
        <v>1</v>
      </c>
      <c r="EF52" s="12"/>
      <c r="EG52" s="12">
        <v>1</v>
      </c>
    </row>
    <row r="54" spans="2:137">
      <c r="B54" t="s">
        <v>27</v>
      </c>
      <c r="C54" t="s">
        <v>123</v>
      </c>
      <c r="D54" s="22">
        <v>45496</v>
      </c>
      <c r="E54" s="11">
        <v>6</v>
      </c>
      <c r="G54" s="12"/>
      <c r="I54" s="14">
        <f>+SUM(I55:I61)</f>
        <v>0</v>
      </c>
      <c r="J54" s="13">
        <f>+SUMPRODUCT(G55:G61,J55:J61)</f>
        <v>0</v>
      </c>
      <c r="K54" s="13">
        <f>+SUMPRODUCT(G55:G61,K55:K61)</f>
        <v>0</v>
      </c>
      <c r="L54" s="11"/>
      <c r="N54" s="14">
        <f>+SUM(N55:N61)</f>
        <v>0</v>
      </c>
      <c r="U54" s="14">
        <f>+SUM(U55:U61)</f>
        <v>0</v>
      </c>
      <c r="AB54" s="14">
        <f>+SUM(AB55:AB61)</f>
        <v>0</v>
      </c>
      <c r="AI54" s="14">
        <f>+SUM(AI55:AI61)</f>
        <v>0</v>
      </c>
      <c r="AP54" s="14">
        <f>+SUM(AP55:AP61)</f>
        <v>0</v>
      </c>
    </row>
    <row r="55" spans="2:137" hidden="1" outlineLevel="1">
      <c r="B55" t="s">
        <v>28</v>
      </c>
      <c r="C55" t="s">
        <v>123</v>
      </c>
      <c r="E55" s="11"/>
      <c r="F55" t="s">
        <v>116</v>
      </c>
      <c r="G55" s="12"/>
      <c r="I55" s="11">
        <f t="shared" ref="I55:I61" si="5">+SUMIF($N$3:$ZW$3,I$3,$N55:$ZW55)</f>
        <v>0</v>
      </c>
      <c r="J55" s="13" cm="1">
        <f t="array" ref="J55">MAX(IF($N$3:$EE$3=$J$3,N55:EE55))</f>
        <v>0</v>
      </c>
      <c r="K55" s="13" cm="1">
        <f t="array" ref="K55">MAX(IF($N$3:$EE$3=$J$3,N55:EE55))</f>
        <v>0</v>
      </c>
      <c r="L55" s="11"/>
      <c r="O55" s="12"/>
      <c r="P55" s="12">
        <v>0.5</v>
      </c>
      <c r="Q55" s="12"/>
      <c r="R55" s="12">
        <v>0.5</v>
      </c>
      <c r="V55" s="12"/>
      <c r="W55" s="12">
        <v>0.5</v>
      </c>
      <c r="X55" s="12"/>
      <c r="Y55" s="12">
        <v>0.5</v>
      </c>
      <c r="AC55" s="12"/>
      <c r="AD55" s="12">
        <v>0.5</v>
      </c>
      <c r="AE55" s="12"/>
      <c r="AF55" s="12">
        <v>0.5</v>
      </c>
      <c r="AJ55" s="12"/>
      <c r="AK55" s="12">
        <v>0.5</v>
      </c>
      <c r="AL55" s="12"/>
      <c r="AM55" s="12">
        <v>0.5</v>
      </c>
      <c r="AQ55" s="12"/>
      <c r="AR55" s="12">
        <v>0.8</v>
      </c>
      <c r="AS55" s="12"/>
      <c r="AT55" s="12">
        <v>0.8</v>
      </c>
      <c r="AX55" s="12"/>
      <c r="AY55" s="12">
        <v>0.8</v>
      </c>
      <c r="AZ55" s="12"/>
      <c r="BA55" s="12">
        <v>0.8</v>
      </c>
      <c r="BE55" s="12"/>
      <c r="BF55" s="12">
        <v>0.8</v>
      </c>
      <c r="BG55" s="12"/>
      <c r="BH55" s="12">
        <v>0.8</v>
      </c>
      <c r="BL55" s="12"/>
      <c r="BM55" s="12">
        <v>0.8</v>
      </c>
      <c r="BN55" s="12"/>
      <c r="BO55" s="12">
        <v>0.8</v>
      </c>
      <c r="BS55" s="12"/>
      <c r="BT55" s="12">
        <v>1</v>
      </c>
      <c r="BU55" s="12"/>
      <c r="BV55" s="12">
        <v>1</v>
      </c>
      <c r="BZ55" s="12"/>
      <c r="CA55" s="12">
        <v>1</v>
      </c>
      <c r="CB55" s="12"/>
      <c r="CC55" s="12">
        <v>1</v>
      </c>
      <c r="CG55" s="12"/>
      <c r="CH55" s="12">
        <v>1</v>
      </c>
      <c r="CI55" s="12"/>
      <c r="CJ55" s="12">
        <v>1</v>
      </c>
      <c r="CN55" s="12"/>
      <c r="CO55" s="12">
        <v>1</v>
      </c>
      <c r="CP55" s="12"/>
      <c r="CQ55" s="12">
        <v>1</v>
      </c>
      <c r="CU55" s="12"/>
      <c r="CV55" s="12">
        <v>1</v>
      </c>
      <c r="CW55" s="12"/>
      <c r="CX55" s="12">
        <v>1</v>
      </c>
      <c r="CY55" s="12">
        <v>1</v>
      </c>
      <c r="DB55" s="12"/>
      <c r="DC55" s="12">
        <v>1</v>
      </c>
      <c r="DD55" s="12"/>
      <c r="DE55" s="12">
        <v>1</v>
      </c>
      <c r="DI55" s="12"/>
      <c r="DJ55" s="12">
        <v>1</v>
      </c>
      <c r="DK55" s="12"/>
      <c r="DL55" s="12">
        <v>1</v>
      </c>
      <c r="DP55" s="12"/>
      <c r="DQ55" s="12">
        <v>1</v>
      </c>
      <c r="DR55" s="12"/>
      <c r="DS55" s="12">
        <v>1</v>
      </c>
      <c r="DW55" s="12"/>
      <c r="DX55" s="12">
        <v>1</v>
      </c>
      <c r="DY55" s="12"/>
      <c r="DZ55" s="12">
        <v>1</v>
      </c>
      <c r="EA55" t="s">
        <v>140</v>
      </c>
      <c r="ED55" s="12"/>
      <c r="EE55" s="12">
        <v>1</v>
      </c>
      <c r="EF55" s="12"/>
      <c r="EG55" s="12">
        <v>1</v>
      </c>
    </row>
    <row r="56" spans="2:137" hidden="1" outlineLevel="1">
      <c r="B56" t="s">
        <v>28</v>
      </c>
      <c r="C56" t="s">
        <v>123</v>
      </c>
      <c r="E56" s="11"/>
      <c r="F56" t="s">
        <v>117</v>
      </c>
      <c r="G56" s="12"/>
      <c r="I56" s="11">
        <f t="shared" si="5"/>
        <v>0</v>
      </c>
      <c r="J56" s="13" cm="1">
        <f t="array" ref="J56">MAX(IF($N$3:$EE$3=$J$3,N56:EE56))</f>
        <v>0</v>
      </c>
      <c r="K56" s="13" cm="1">
        <f t="array" ref="K56">MAX(IF($N$3:$EE$3=$J$3,N56:EE56))</f>
        <v>0</v>
      </c>
      <c r="L56" s="11"/>
      <c r="O56" s="12"/>
      <c r="P56" s="12"/>
      <c r="Q56" s="12"/>
      <c r="R56" s="12"/>
      <c r="V56" s="12"/>
      <c r="W56" s="12"/>
      <c r="X56" s="12"/>
      <c r="Y56" s="12"/>
      <c r="AC56" s="12"/>
      <c r="AD56" s="12">
        <v>0.5</v>
      </c>
      <c r="AE56" s="12"/>
      <c r="AF56" s="12">
        <v>0.5</v>
      </c>
      <c r="AJ56" s="12"/>
      <c r="AK56" s="12">
        <v>0.5</v>
      </c>
      <c r="AL56" s="12"/>
      <c r="AM56" s="12">
        <v>0.5</v>
      </c>
      <c r="AQ56" s="12"/>
      <c r="AR56" s="12">
        <v>0.5</v>
      </c>
      <c r="AS56" s="12"/>
      <c r="AT56" s="12">
        <v>0.5</v>
      </c>
      <c r="AX56" s="12"/>
      <c r="AY56" s="12">
        <v>0.8</v>
      </c>
      <c r="AZ56" s="12"/>
      <c r="BA56" s="12">
        <v>0.8</v>
      </c>
      <c r="BE56" s="12"/>
      <c r="BF56" s="12">
        <v>0.8</v>
      </c>
      <c r="BG56" s="12"/>
      <c r="BH56" s="12">
        <v>0.8</v>
      </c>
      <c r="BL56" s="12"/>
      <c r="BM56" s="12">
        <v>0.8</v>
      </c>
      <c r="BN56" s="12"/>
      <c r="BO56" s="12">
        <v>0.8</v>
      </c>
      <c r="BS56" s="12"/>
      <c r="BT56" s="12">
        <v>1</v>
      </c>
      <c r="BU56" s="12"/>
      <c r="BV56" s="12">
        <v>1</v>
      </c>
      <c r="BZ56" s="12"/>
      <c r="CA56" s="12">
        <v>1</v>
      </c>
      <c r="CB56" s="12"/>
      <c r="CC56" s="12">
        <v>1</v>
      </c>
      <c r="CG56" s="12"/>
      <c r="CH56" s="12">
        <v>1</v>
      </c>
      <c r="CI56" s="12"/>
      <c r="CJ56" s="12">
        <v>1</v>
      </c>
      <c r="CN56" s="12"/>
      <c r="CO56" s="12">
        <v>1</v>
      </c>
      <c r="CP56" s="12"/>
      <c r="CQ56" s="12">
        <v>1</v>
      </c>
      <c r="CU56" s="12"/>
      <c r="CV56" s="12">
        <v>1</v>
      </c>
      <c r="CW56" s="12"/>
      <c r="CX56" s="12">
        <v>1</v>
      </c>
      <c r="DB56" s="12"/>
      <c r="DC56" s="12">
        <v>1</v>
      </c>
      <c r="DD56" s="12"/>
      <c r="DE56" s="12">
        <v>1</v>
      </c>
      <c r="DI56" s="12"/>
      <c r="DJ56" s="12">
        <v>1</v>
      </c>
      <c r="DK56" s="12"/>
      <c r="DL56" s="12">
        <v>1</v>
      </c>
      <c r="DP56" s="12"/>
      <c r="DQ56" s="12">
        <v>1</v>
      </c>
      <c r="DR56" s="12"/>
      <c r="DS56" s="12">
        <v>1</v>
      </c>
      <c r="DW56" s="12"/>
      <c r="DX56" s="12">
        <v>1</v>
      </c>
      <c r="DY56" s="12"/>
      <c r="DZ56" s="12">
        <v>1</v>
      </c>
      <c r="ED56" s="12"/>
      <c r="EE56" s="12">
        <v>1</v>
      </c>
      <c r="EF56" s="12"/>
      <c r="EG56" s="12">
        <v>1</v>
      </c>
    </row>
    <row r="57" spans="2:137" hidden="1" outlineLevel="1">
      <c r="B57" t="s">
        <v>28</v>
      </c>
      <c r="C57" t="s">
        <v>123</v>
      </c>
      <c r="E57" s="11"/>
      <c r="F57" t="s">
        <v>118</v>
      </c>
      <c r="G57" s="12"/>
      <c r="I57" s="11">
        <f t="shared" si="5"/>
        <v>0</v>
      </c>
      <c r="J57" s="13" cm="1">
        <f t="array" ref="J57">MAX(IF($N$3:$EE$3=$J$3,N57:EE57))</f>
        <v>0</v>
      </c>
      <c r="K57" s="13" cm="1">
        <f t="array" ref="K57">MAX(IF($N$3:$EE$3=$J$3,N57:EE57))</f>
        <v>0</v>
      </c>
      <c r="L57" s="11"/>
      <c r="O57" s="12"/>
      <c r="P57" s="12"/>
      <c r="Q57" s="12"/>
      <c r="R57" s="12"/>
      <c r="V57" s="12"/>
      <c r="W57" s="12"/>
      <c r="X57" s="12"/>
      <c r="Y57" s="12"/>
      <c r="AC57" s="12"/>
      <c r="AD57" s="12"/>
      <c r="AE57" s="12"/>
      <c r="AF57" s="12"/>
      <c r="AJ57" s="12"/>
      <c r="AK57" s="12">
        <v>0.5</v>
      </c>
      <c r="AL57" s="12"/>
      <c r="AM57" s="12">
        <v>0.5</v>
      </c>
      <c r="AQ57" s="12"/>
      <c r="AR57" s="12">
        <v>0.5</v>
      </c>
      <c r="AS57" s="12"/>
      <c r="AT57" s="12">
        <v>0.5</v>
      </c>
      <c r="AX57" s="12"/>
      <c r="AY57" s="12">
        <v>0.5</v>
      </c>
      <c r="AZ57" s="12"/>
      <c r="BA57" s="12">
        <v>0.5</v>
      </c>
      <c r="BE57" s="12"/>
      <c r="BF57" s="12">
        <v>0.8</v>
      </c>
      <c r="BG57" s="12"/>
      <c r="BH57" s="12">
        <v>0.8</v>
      </c>
      <c r="BL57" s="12"/>
      <c r="BM57" s="12">
        <v>0.8</v>
      </c>
      <c r="BN57" s="12"/>
      <c r="BO57" s="12">
        <v>0.8</v>
      </c>
      <c r="BS57" s="12"/>
      <c r="BT57" s="12">
        <v>0.8</v>
      </c>
      <c r="BU57" s="12"/>
      <c r="BV57" s="12">
        <v>0.8</v>
      </c>
      <c r="BZ57" s="12"/>
      <c r="CA57" s="12">
        <v>1</v>
      </c>
      <c r="CB57" s="12"/>
      <c r="CC57" s="12">
        <v>1</v>
      </c>
      <c r="CG57" s="12"/>
      <c r="CH57" s="12">
        <v>1</v>
      </c>
      <c r="CI57" s="12"/>
      <c r="CJ57" s="12">
        <v>1</v>
      </c>
      <c r="CN57" s="12"/>
      <c r="CO57" s="12">
        <v>1</v>
      </c>
      <c r="CP57" s="12"/>
      <c r="CQ57" s="12">
        <v>1</v>
      </c>
      <c r="CU57" s="12"/>
      <c r="CV57" s="12">
        <v>1</v>
      </c>
      <c r="CW57" s="12"/>
      <c r="CX57" s="12">
        <v>1</v>
      </c>
      <c r="DB57" s="12"/>
      <c r="DC57" s="12">
        <v>1</v>
      </c>
      <c r="DD57" s="12"/>
      <c r="DE57" s="12">
        <v>1</v>
      </c>
      <c r="DI57" s="12"/>
      <c r="DJ57" s="12">
        <v>1</v>
      </c>
      <c r="DK57" s="12"/>
      <c r="DL57" s="12">
        <v>1</v>
      </c>
      <c r="DP57" s="12"/>
      <c r="DQ57" s="12">
        <v>1</v>
      </c>
      <c r="DR57" s="12"/>
      <c r="DS57" s="12">
        <v>1</v>
      </c>
      <c r="DW57" s="12"/>
      <c r="DX57" s="12">
        <v>1</v>
      </c>
      <c r="DY57" s="12"/>
      <c r="DZ57" s="12">
        <v>1</v>
      </c>
      <c r="ED57" s="12"/>
      <c r="EE57" s="12">
        <v>1</v>
      </c>
      <c r="EF57" s="12"/>
      <c r="EG57" s="12">
        <v>1</v>
      </c>
    </row>
    <row r="58" spans="2:137" hidden="1" outlineLevel="1">
      <c r="B58" t="s">
        <v>28</v>
      </c>
      <c r="C58" t="s">
        <v>123</v>
      </c>
      <c r="E58" s="11"/>
      <c r="F58" t="s">
        <v>119</v>
      </c>
      <c r="G58" s="12"/>
      <c r="I58" s="11">
        <f t="shared" si="5"/>
        <v>0</v>
      </c>
      <c r="J58" s="13" cm="1">
        <f t="array" ref="J58">MAX(IF($N$3:$EE$3=$J$3,N58:EE58))</f>
        <v>0</v>
      </c>
      <c r="K58" s="13" cm="1">
        <f t="array" ref="K58">MAX(IF($N$3:$EE$3=$J$3,N58:EE58))</f>
        <v>0</v>
      </c>
      <c r="L58" s="11"/>
      <c r="O58" s="12"/>
      <c r="P58" s="12"/>
      <c r="Q58" s="12"/>
      <c r="R58" s="12"/>
      <c r="V58" s="12"/>
      <c r="W58" s="12"/>
      <c r="X58" s="12"/>
      <c r="Y58" s="12"/>
      <c r="AC58" s="12"/>
      <c r="AD58" s="12"/>
      <c r="AE58" s="12"/>
      <c r="AF58" s="12"/>
      <c r="AJ58" s="12"/>
      <c r="AK58" s="12"/>
      <c r="AL58" s="12"/>
      <c r="AM58" s="12"/>
      <c r="AQ58" s="12"/>
      <c r="AR58" s="12">
        <v>0.5</v>
      </c>
      <c r="AS58" s="12"/>
      <c r="AT58" s="12">
        <v>0.5</v>
      </c>
      <c r="AX58" s="12"/>
      <c r="AY58" s="12">
        <v>0.5</v>
      </c>
      <c r="AZ58" s="12"/>
      <c r="BA58" s="12">
        <v>0.5</v>
      </c>
      <c r="BE58" s="12"/>
      <c r="BF58" s="12">
        <v>0.5</v>
      </c>
      <c r="BG58" s="12"/>
      <c r="BH58" s="12">
        <v>0.5</v>
      </c>
      <c r="BL58" s="12"/>
      <c r="BM58" s="12">
        <v>0.8</v>
      </c>
      <c r="BN58" s="12"/>
      <c r="BO58" s="12">
        <v>0.8</v>
      </c>
      <c r="BS58" s="12"/>
      <c r="BT58" s="12">
        <v>0.8</v>
      </c>
      <c r="BU58" s="12"/>
      <c r="BV58" s="12">
        <v>0.8</v>
      </c>
      <c r="BZ58" s="12"/>
      <c r="CA58" s="12">
        <v>0.8</v>
      </c>
      <c r="CB58" s="12"/>
      <c r="CC58" s="12">
        <v>0.8</v>
      </c>
      <c r="CG58" s="12"/>
      <c r="CH58" s="12">
        <v>0.8</v>
      </c>
      <c r="CI58" s="12"/>
      <c r="CJ58" s="12">
        <v>0.8</v>
      </c>
      <c r="CN58" s="12"/>
      <c r="CO58" s="12">
        <v>1</v>
      </c>
      <c r="CP58" s="12"/>
      <c r="CQ58" s="12">
        <v>1</v>
      </c>
      <c r="CU58" s="12"/>
      <c r="CV58" s="12">
        <v>1</v>
      </c>
      <c r="CW58" s="12"/>
      <c r="CX58" s="12">
        <v>1</v>
      </c>
      <c r="DB58" s="12"/>
      <c r="DC58" s="12">
        <v>1</v>
      </c>
      <c r="DD58" s="12"/>
      <c r="DE58" s="12">
        <v>1</v>
      </c>
      <c r="DI58" s="12"/>
      <c r="DJ58" s="12">
        <v>1</v>
      </c>
      <c r="DK58" s="12"/>
      <c r="DL58" s="12">
        <v>1</v>
      </c>
      <c r="DP58" s="12"/>
      <c r="DQ58" s="12">
        <v>1</v>
      </c>
      <c r="DR58" s="12"/>
      <c r="DS58" s="12">
        <v>1</v>
      </c>
      <c r="DW58" s="12"/>
      <c r="DX58" s="12">
        <v>1</v>
      </c>
      <c r="DY58" s="12"/>
      <c r="DZ58" s="12">
        <v>1</v>
      </c>
      <c r="ED58" s="12"/>
      <c r="EE58" s="12">
        <v>1</v>
      </c>
      <c r="EF58" s="12"/>
      <c r="EG58" s="12">
        <v>1</v>
      </c>
    </row>
    <row r="59" spans="2:137" hidden="1" outlineLevel="1">
      <c r="B59" t="s">
        <v>28</v>
      </c>
      <c r="C59" t="s">
        <v>123</v>
      </c>
      <c r="E59" s="11"/>
      <c r="F59" t="s">
        <v>120</v>
      </c>
      <c r="G59" s="12"/>
      <c r="I59" s="11">
        <f t="shared" si="5"/>
        <v>0</v>
      </c>
      <c r="J59" s="13" cm="1">
        <f t="array" ref="J59">MAX(IF($N$3:$EE$3=$J$3,N59:EE59))</f>
        <v>0</v>
      </c>
      <c r="K59" s="13" cm="1">
        <f t="array" ref="K59">MAX(IF($N$3:$EE$3=$J$3,N59:EE59))</f>
        <v>0</v>
      </c>
      <c r="L59" s="11"/>
      <c r="O59" s="12"/>
      <c r="P59" s="12"/>
      <c r="Q59" s="12"/>
      <c r="R59" s="12"/>
      <c r="V59" s="12"/>
      <c r="W59" s="12"/>
      <c r="X59" s="12"/>
      <c r="Y59" s="12"/>
      <c r="AC59" s="12"/>
      <c r="AD59" s="12"/>
      <c r="AE59" s="12"/>
      <c r="AF59" s="12"/>
      <c r="AJ59" s="12"/>
      <c r="AK59" s="12"/>
      <c r="AL59" s="12"/>
      <c r="AM59" s="12"/>
      <c r="AQ59" s="12"/>
      <c r="AR59" s="12"/>
      <c r="AS59" s="12"/>
      <c r="AT59" s="12"/>
      <c r="AX59" s="12"/>
      <c r="AY59" s="12">
        <v>0.5</v>
      </c>
      <c r="AZ59" s="12"/>
      <c r="BA59" s="12">
        <v>0.5</v>
      </c>
      <c r="BE59" s="12"/>
      <c r="BF59" s="12">
        <v>0.5</v>
      </c>
      <c r="BG59" s="12"/>
      <c r="BH59" s="12">
        <v>0.5</v>
      </c>
      <c r="BL59" s="12"/>
      <c r="BM59" s="12">
        <v>0.5</v>
      </c>
      <c r="BN59" s="12"/>
      <c r="BO59" s="12">
        <v>0.5</v>
      </c>
      <c r="BS59" s="12"/>
      <c r="BT59" s="12">
        <v>0.5</v>
      </c>
      <c r="BU59" s="12"/>
      <c r="BV59" s="12">
        <v>0.5</v>
      </c>
      <c r="BZ59" s="12"/>
      <c r="CA59" s="12">
        <v>0.8</v>
      </c>
      <c r="CB59" s="12"/>
      <c r="CC59" s="12">
        <v>0.8</v>
      </c>
      <c r="CG59" s="12"/>
      <c r="CH59" s="12">
        <v>0.8</v>
      </c>
      <c r="CI59" s="12"/>
      <c r="CJ59" s="12">
        <v>0.8</v>
      </c>
      <c r="CN59" s="12"/>
      <c r="CO59" s="12">
        <v>1</v>
      </c>
      <c r="CP59" s="12"/>
      <c r="CQ59" s="12">
        <v>1</v>
      </c>
      <c r="CU59" s="12"/>
      <c r="CV59" s="12">
        <v>1</v>
      </c>
      <c r="CW59" s="12"/>
      <c r="CX59" s="12">
        <v>1</v>
      </c>
      <c r="DB59" s="12"/>
      <c r="DC59" s="12">
        <v>1</v>
      </c>
      <c r="DD59" s="12"/>
      <c r="DE59" s="12">
        <v>1</v>
      </c>
      <c r="DI59" s="12"/>
      <c r="DJ59" s="12">
        <v>1</v>
      </c>
      <c r="DK59" s="12"/>
      <c r="DL59" s="12">
        <v>1</v>
      </c>
      <c r="DP59" s="12"/>
      <c r="DQ59" s="12">
        <v>1</v>
      </c>
      <c r="DR59" s="12"/>
      <c r="DS59" s="12">
        <v>1</v>
      </c>
      <c r="DW59" s="12"/>
      <c r="DX59" s="12">
        <v>1</v>
      </c>
      <c r="DY59" s="12"/>
      <c r="DZ59" s="12">
        <v>1</v>
      </c>
      <c r="ED59" s="12"/>
      <c r="EE59" s="12">
        <v>1</v>
      </c>
      <c r="EF59" s="12"/>
      <c r="EG59" s="12">
        <v>1</v>
      </c>
    </row>
    <row r="60" spans="2:137" hidden="1" outlineLevel="1">
      <c r="B60" t="s">
        <v>28</v>
      </c>
      <c r="C60" t="s">
        <v>123</v>
      </c>
      <c r="E60" s="11"/>
      <c r="F60" t="s">
        <v>121</v>
      </c>
      <c r="G60" s="12"/>
      <c r="I60" s="11">
        <f t="shared" si="5"/>
        <v>0</v>
      </c>
      <c r="J60" s="13" cm="1">
        <f t="array" ref="J60">MAX(IF($N$3:$EE$3=$J$3,N60:EE60))</f>
        <v>0</v>
      </c>
      <c r="K60" s="13" cm="1">
        <f t="array" ref="K60">MAX(IF($N$3:$EE$3=$J$3,N60:EE60))</f>
        <v>0</v>
      </c>
      <c r="L60" s="11"/>
      <c r="O60" s="12"/>
      <c r="P60" s="12"/>
      <c r="Q60" s="12"/>
      <c r="R60" s="12"/>
      <c r="V60" s="12"/>
      <c r="W60" s="12"/>
      <c r="X60" s="12"/>
      <c r="Y60" s="12"/>
      <c r="AC60" s="12"/>
      <c r="AD60" s="12"/>
      <c r="AE60" s="12"/>
      <c r="AF60" s="12"/>
      <c r="AJ60" s="12"/>
      <c r="AK60" s="12"/>
      <c r="AL60" s="12"/>
      <c r="AM60" s="12"/>
      <c r="AQ60" s="12"/>
      <c r="AR60" s="12"/>
      <c r="AS60" s="12"/>
      <c r="AT60" s="12"/>
      <c r="AX60" s="12"/>
      <c r="AY60" s="12"/>
      <c r="AZ60" s="12"/>
      <c r="BA60" s="12"/>
      <c r="BE60" s="12"/>
      <c r="BF60" s="12">
        <v>0.5</v>
      </c>
      <c r="BG60" s="12"/>
      <c r="BH60" s="12">
        <v>0.5</v>
      </c>
      <c r="BL60" s="12"/>
      <c r="BM60" s="12">
        <v>0.5</v>
      </c>
      <c r="BN60" s="12"/>
      <c r="BO60" s="12">
        <v>0.5</v>
      </c>
      <c r="BS60" s="12"/>
      <c r="BT60" s="12">
        <v>0.5</v>
      </c>
      <c r="BU60" s="12"/>
      <c r="BV60" s="12">
        <v>0.5</v>
      </c>
      <c r="BZ60" s="12"/>
      <c r="CA60" s="12">
        <v>0.5</v>
      </c>
      <c r="CB60" s="12"/>
      <c r="CC60" s="12">
        <v>0.5</v>
      </c>
      <c r="CG60" s="12"/>
      <c r="CH60" s="12">
        <v>0.8</v>
      </c>
      <c r="CI60" s="12"/>
      <c r="CJ60" s="12">
        <v>0.8</v>
      </c>
      <c r="CN60" s="12"/>
      <c r="CO60" s="12">
        <v>0.8</v>
      </c>
      <c r="CP60" s="12"/>
      <c r="CQ60" s="12">
        <v>0.8</v>
      </c>
      <c r="CU60" s="12"/>
      <c r="CV60" s="12">
        <v>1</v>
      </c>
      <c r="CW60" s="12"/>
      <c r="CX60" s="12">
        <v>1</v>
      </c>
      <c r="DB60" s="12"/>
      <c r="DC60" s="12">
        <v>1</v>
      </c>
      <c r="DD60" s="12"/>
      <c r="DE60" s="12">
        <v>1</v>
      </c>
      <c r="DI60" s="12"/>
      <c r="DJ60" s="12">
        <v>1</v>
      </c>
      <c r="DK60" s="12"/>
      <c r="DL60" s="12">
        <v>1</v>
      </c>
      <c r="DP60" s="12"/>
      <c r="DQ60" s="12">
        <v>1</v>
      </c>
      <c r="DR60" s="12"/>
      <c r="DS60" s="12">
        <v>1</v>
      </c>
      <c r="DW60" s="12"/>
      <c r="DX60" s="12">
        <v>1</v>
      </c>
      <c r="DY60" s="12"/>
      <c r="DZ60" s="12">
        <v>1</v>
      </c>
      <c r="ED60" s="12"/>
      <c r="EE60" s="12">
        <v>1</v>
      </c>
      <c r="EF60" s="12"/>
      <c r="EG60" s="12">
        <v>1</v>
      </c>
    </row>
    <row r="61" spans="2:137" hidden="1" outlineLevel="1">
      <c r="B61" t="s">
        <v>28</v>
      </c>
      <c r="C61" t="s">
        <v>123</v>
      </c>
      <c r="E61" s="11"/>
      <c r="F61" t="s">
        <v>122</v>
      </c>
      <c r="G61" s="12"/>
      <c r="I61" s="11">
        <f t="shared" si="5"/>
        <v>0</v>
      </c>
      <c r="J61" s="13" cm="1">
        <f t="array" ref="J61">MAX(IF($N$3:$EE$3=$J$3,N61:EE61))</f>
        <v>0</v>
      </c>
      <c r="K61" s="13" cm="1">
        <f t="array" ref="K61">MAX(IF($N$3:$EE$3=$J$3,N61:EE61))</f>
        <v>0</v>
      </c>
      <c r="L61" s="11"/>
      <c r="O61" s="12"/>
      <c r="P61" s="12"/>
      <c r="Q61" s="12"/>
      <c r="R61" s="12"/>
      <c r="V61" s="12"/>
      <c r="W61" s="12"/>
      <c r="X61" s="12"/>
      <c r="Y61" s="12"/>
      <c r="AC61" s="12"/>
      <c r="AD61" s="12"/>
      <c r="AE61" s="12"/>
      <c r="AF61" s="12"/>
      <c r="AJ61" s="12"/>
      <c r="AK61" s="12"/>
      <c r="AL61" s="12"/>
      <c r="AM61" s="12"/>
      <c r="AQ61" s="12"/>
      <c r="AR61" s="12"/>
      <c r="AS61" s="12"/>
      <c r="AT61" s="12"/>
      <c r="AX61" s="12"/>
      <c r="AY61" s="12"/>
      <c r="AZ61" s="12"/>
      <c r="BA61" s="12"/>
      <c r="BE61" s="12"/>
      <c r="BF61" s="12"/>
      <c r="BG61" s="12"/>
      <c r="BH61" s="12"/>
      <c r="BL61" s="12"/>
      <c r="BM61" s="12">
        <v>0.5</v>
      </c>
      <c r="BN61" s="12"/>
      <c r="BO61" s="12">
        <v>0.5</v>
      </c>
      <c r="BS61" s="12"/>
      <c r="BT61" s="12">
        <v>0.5</v>
      </c>
      <c r="BU61" s="12"/>
      <c r="BV61" s="12">
        <v>0.5</v>
      </c>
      <c r="BZ61" s="12"/>
      <c r="CA61" s="12">
        <v>0.5</v>
      </c>
      <c r="CB61" s="12"/>
      <c r="CC61" s="12">
        <v>0.5</v>
      </c>
      <c r="CG61" s="12"/>
      <c r="CH61" s="12">
        <v>0.8</v>
      </c>
      <c r="CI61" s="12"/>
      <c r="CJ61" s="12">
        <v>0.8</v>
      </c>
      <c r="CN61" s="12"/>
      <c r="CO61" s="12">
        <v>0.8</v>
      </c>
      <c r="CP61" s="12"/>
      <c r="CQ61" s="12">
        <v>0.8</v>
      </c>
      <c r="CU61" s="12"/>
      <c r="CV61" s="12">
        <v>1</v>
      </c>
      <c r="CW61" s="12"/>
      <c r="CX61" s="12">
        <v>1</v>
      </c>
      <c r="DB61" s="12"/>
      <c r="DC61" s="12">
        <v>1</v>
      </c>
      <c r="DD61" s="12"/>
      <c r="DE61" s="12">
        <v>1</v>
      </c>
      <c r="DI61" s="12"/>
      <c r="DJ61" s="12">
        <v>1</v>
      </c>
      <c r="DK61" s="12"/>
      <c r="DL61" s="12">
        <v>1</v>
      </c>
      <c r="DP61" s="12"/>
      <c r="DQ61" s="12">
        <v>1</v>
      </c>
      <c r="DR61" s="12"/>
      <c r="DS61" s="12">
        <v>1</v>
      </c>
      <c r="DW61" s="12"/>
      <c r="DX61" s="12">
        <v>1</v>
      </c>
      <c r="DY61" s="12"/>
      <c r="DZ61" s="12">
        <v>1</v>
      </c>
      <c r="ED61" s="12"/>
      <c r="EE61" s="12">
        <v>1</v>
      </c>
      <c r="EF61" s="12"/>
      <c r="EG61" s="12">
        <v>1</v>
      </c>
    </row>
    <row r="62" spans="2:137" collapsed="1"/>
  </sheetData>
  <mergeCells count="19">
    <mergeCell ref="BK2:BP2"/>
    <mergeCell ref="BR2:BW2"/>
    <mergeCell ref="BY2:CD2"/>
    <mergeCell ref="CF2:CK2"/>
    <mergeCell ref="I2:L2"/>
    <mergeCell ref="N2:S2"/>
    <mergeCell ref="BD2:BI2"/>
    <mergeCell ref="U2:Z2"/>
    <mergeCell ref="AB2:AG2"/>
    <mergeCell ref="AI2:AN2"/>
    <mergeCell ref="AP2:AU2"/>
    <mergeCell ref="AW2:BB2"/>
    <mergeCell ref="CM2:CR2"/>
    <mergeCell ref="DH2:DM2"/>
    <mergeCell ref="DO2:DT2"/>
    <mergeCell ref="DV2:EA2"/>
    <mergeCell ref="EC2:EH2"/>
    <mergeCell ref="CT2:CY2"/>
    <mergeCell ref="DA2:DF2"/>
  </mergeCells>
  <conditionalFormatting sqref="Q39:Q41 O39:O41 X40:X41 V40:V41 AE41 AC41 Q19:Q21 O19:O21 AS21 AQ21 X19:X21 V19:V21 AE20:AE21 AC20:AC21 AL21 AJ21 AQ43 AS43 AC43 AE43 V43 X43 O43 Q43 AL43 AJ43 AJ31:AJ33 AL31:AL33 AX33 AZ33 Q27:Q33 O27:O33 X29:X33 V29:V33 AE30:AE33 AC30:AC33 AS32:AS33 AQ32:AQ33 Q47:Q52 O47:O52 X48:X52 V48:V52 AE49:AE52 AC49:AC52 AJ50:AJ52 AL50:AL52 AS51:AS52 AQ51:AQ52 AX52 AZ52 AL13 AJ13 AE13 AC13 X13 V13 Q13 O13 O7:O10 Q7:Q10 V10 X10">
    <cfRule type="expression" dxfId="753" priority="2012">
      <formula>OR(IF(O7&lt;P7,TRUE),IF(AND(P7="",O7&lt;&gt;""),TRUE))</formula>
    </cfRule>
    <cfRule type="expression" dxfId="752" priority="2013">
      <formula>IF(O7&gt;=P7,IF(O7="",FALSE,TRUE))</formula>
    </cfRule>
  </conditionalFormatting>
  <conditionalFormatting sqref="J13:K13 J6:K10">
    <cfRule type="colorScale" priority="2015">
      <colorScale>
        <cfvo type="percent" val="0"/>
        <cfvo type="percent" val="100"/>
        <color rgb="FFFF231B"/>
        <color rgb="FF10FF07"/>
      </colorScale>
    </cfRule>
  </conditionalFormatting>
  <conditionalFormatting sqref="J5:J10 J13">
    <cfRule type="colorScale" priority="2044">
      <colorScale>
        <cfvo type="percent" val="0"/>
        <cfvo type="percent" val="100"/>
        <color rgb="FFFF231B"/>
        <color rgb="FF10FF07"/>
      </colorScale>
    </cfRule>
  </conditionalFormatting>
  <conditionalFormatting sqref="K5:K10 K13">
    <cfRule type="colorScale" priority="2045">
      <colorScale>
        <cfvo type="percent" val="0"/>
        <cfvo type="percent" val="100"/>
        <color rgb="FFFF231B"/>
        <color rgb="FF10FF07"/>
      </colorScale>
    </cfRule>
  </conditionalFormatting>
  <conditionalFormatting sqref="J17:K17">
    <cfRule type="colorScale" priority="1593">
      <colorScale>
        <cfvo type="percent" val="0"/>
        <cfvo type="percent" val="100"/>
        <color rgb="FFFF231B"/>
        <color rgb="FF10FF07"/>
      </colorScale>
    </cfRule>
  </conditionalFormatting>
  <conditionalFormatting sqref="J17">
    <cfRule type="colorScale" priority="1592">
      <colorScale>
        <cfvo type="percent" val="0"/>
        <cfvo type="percent" val="100"/>
        <color rgb="FFFF231B"/>
        <color rgb="FF10FF07"/>
      </colorScale>
    </cfRule>
  </conditionalFormatting>
  <conditionalFormatting sqref="K17">
    <cfRule type="colorScale" priority="1591">
      <colorScale>
        <cfvo type="percent" val="0"/>
        <cfvo type="percent" val="100"/>
        <color rgb="FFFF231B"/>
        <color rgb="FF10FF07"/>
      </colorScale>
    </cfRule>
  </conditionalFormatting>
  <conditionalFormatting sqref="Q18 O18">
    <cfRule type="expression" dxfId="751" priority="1587">
      <formula>OR(IF(O18&lt;P18,TRUE),IF(AND(P18="",O18&lt;&gt;""),TRUE))</formula>
    </cfRule>
    <cfRule type="expression" dxfId="750" priority="1588">
      <formula>IF(O18&gt;=P18,IF(O18="",FALSE,TRUE))</formula>
    </cfRule>
  </conditionalFormatting>
  <conditionalFormatting sqref="J18:K18">
    <cfRule type="colorScale" priority="1574">
      <colorScale>
        <cfvo type="percent" val="0"/>
        <cfvo type="percent" val="100"/>
        <color rgb="FFFF231B"/>
        <color rgb="FF10FF07"/>
      </colorScale>
    </cfRule>
  </conditionalFormatting>
  <conditionalFormatting sqref="J18">
    <cfRule type="colorScale" priority="1573">
      <colorScale>
        <cfvo type="percent" val="0"/>
        <cfvo type="percent" val="100"/>
        <color rgb="FFFF231B"/>
        <color rgb="FF10FF07"/>
      </colorScale>
    </cfRule>
  </conditionalFormatting>
  <conditionalFormatting sqref="K18">
    <cfRule type="colorScale" priority="1572">
      <colorScale>
        <cfvo type="percent" val="0"/>
        <cfvo type="percent" val="100"/>
        <color rgb="FFFF231B"/>
        <color rgb="FF10FF07"/>
      </colorScale>
    </cfRule>
  </conditionalFormatting>
  <conditionalFormatting sqref="J37:K41 J43:K43">
    <cfRule type="colorScale" priority="2135">
      <colorScale>
        <cfvo type="percent" val="0"/>
        <cfvo type="percent" val="100"/>
        <color rgb="FFFF231B"/>
        <color rgb="FF10FF07"/>
      </colorScale>
    </cfRule>
  </conditionalFormatting>
  <conditionalFormatting sqref="J36:J41 J43">
    <cfRule type="colorScale" priority="2137">
      <colorScale>
        <cfvo type="percent" val="0"/>
        <cfvo type="percent" val="100"/>
        <color rgb="FFFF231B"/>
        <color rgb="FF10FF07"/>
      </colorScale>
    </cfRule>
  </conditionalFormatting>
  <conditionalFormatting sqref="K36:K41 K43">
    <cfRule type="colorScale" priority="2139">
      <colorScale>
        <cfvo type="percent" val="0"/>
        <cfvo type="percent" val="100"/>
        <color rgb="FFFF231B"/>
        <color rgb="FF10FF07"/>
      </colorScale>
    </cfRule>
  </conditionalFormatting>
  <conditionalFormatting sqref="DB16 DD16">
    <cfRule type="expression" dxfId="749" priority="1228">
      <formula>OR(IF(DB16&lt;DC16,TRUE),IF(AND(DC16="",DB16&lt;&gt;""),TRUE))</formula>
    </cfRule>
    <cfRule type="expression" dxfId="748" priority="1229">
      <formula>IF(DB16&gt;=DC16,IF(DB16="",FALSE,TRUE))</formula>
    </cfRule>
  </conditionalFormatting>
  <conditionalFormatting sqref="DB36:DB37">
    <cfRule type="expression" dxfId="747" priority="1222">
      <formula>OR(IF(DB36&lt;DC36,TRUE),IF(AND(DC36="",DB36&lt;&gt;""),TRUE))</formula>
    </cfRule>
    <cfRule type="expression" dxfId="746" priority="1223">
      <formula>IF(DB36&gt;=DC36,IF(DB36="",FALSE,TRUE))</formula>
    </cfRule>
  </conditionalFormatting>
  <conditionalFormatting sqref="DD18 DB18">
    <cfRule type="expression" dxfId="745" priority="1216">
      <formula>OR(IF(DB18&lt;DC18,TRUE),IF(AND(DC18="",DB18&lt;&gt;""),TRUE))</formula>
    </cfRule>
    <cfRule type="expression" dxfId="744" priority="1217">
      <formula>IF(DB18&gt;=DC18,IF(DB18="",FALSE,TRUE))</formula>
    </cfRule>
  </conditionalFormatting>
  <conditionalFormatting sqref="DB42 DD42">
    <cfRule type="expression" dxfId="743" priority="1214">
      <formula>OR(IF(DB42&lt;DC42,TRUE),IF(AND(DC42="",DB42&lt;&gt;""),TRUE))</formula>
    </cfRule>
    <cfRule type="expression" dxfId="742" priority="1215">
      <formula>IF(DB42&gt;=DC42,IF(DB42="",FALSE,TRUE))</formula>
    </cfRule>
  </conditionalFormatting>
  <conditionalFormatting sqref="DK19:DK21 DI19:DI21 DK46:DK52 DI46:DI52">
    <cfRule type="expression" dxfId="741" priority="1212">
      <formula>OR(IF(DI19&lt;DJ19,TRUE),IF(AND(DJ19="",DI19&lt;&gt;""),TRUE))</formula>
    </cfRule>
    <cfRule type="expression" dxfId="740" priority="1213">
      <formula>IF(DI19&gt;=DJ19,IF(DI19="",FALSE,TRUE))</formula>
    </cfRule>
  </conditionalFormatting>
  <conditionalFormatting sqref="DK38:DK41 DI38:DI41 DI43 DK43 DK13 DI13 DI5:DI10 DK5:DK10">
    <cfRule type="expression" dxfId="739" priority="1210">
      <formula>OR(IF(DI5&lt;DJ5,TRUE),IF(AND(DJ5="",DI5&lt;&gt;""),TRUE))</formula>
    </cfRule>
    <cfRule type="expression" dxfId="738" priority="1211">
      <formula>IF(DI5&gt;=DJ5,IF(DI5="",FALSE,TRUE))</formula>
    </cfRule>
  </conditionalFormatting>
  <conditionalFormatting sqref="J19:K21">
    <cfRule type="colorScale" priority="2232">
      <colorScale>
        <cfvo type="percent" val="0"/>
        <cfvo type="percent" val="100"/>
        <color rgb="FFFF231B"/>
        <color rgb="FF10FF07"/>
      </colorScale>
    </cfRule>
  </conditionalFormatting>
  <conditionalFormatting sqref="J19:J21 J16">
    <cfRule type="colorScale" priority="2233">
      <colorScale>
        <cfvo type="percent" val="0"/>
        <cfvo type="percent" val="100"/>
        <color rgb="FFFF231B"/>
        <color rgb="FF10FF07"/>
      </colorScale>
    </cfRule>
  </conditionalFormatting>
  <conditionalFormatting sqref="K19:K21 K16">
    <cfRule type="colorScale" priority="2235">
      <colorScale>
        <cfvo type="percent" val="0"/>
        <cfvo type="percent" val="100"/>
        <color rgb="FFFF231B"/>
        <color rgb="FF10FF07"/>
      </colorScale>
    </cfRule>
  </conditionalFormatting>
  <conditionalFormatting sqref="AC42 AE42 V42 X42 O42 Q42 AL42 AJ42">
    <cfRule type="expression" dxfId="737" priority="1426">
      <formula>OR(IF(O42&lt;P42,TRUE),IF(AND(P42="",O42&lt;&gt;""),TRUE))</formula>
    </cfRule>
    <cfRule type="expression" dxfId="736" priority="1427">
      <formula>IF(O42&gt;=P42,IF(O42="",FALSE,TRUE))</formula>
    </cfRule>
  </conditionalFormatting>
  <conditionalFormatting sqref="J42:K42">
    <cfRule type="colorScale" priority="1428">
      <colorScale>
        <cfvo type="percent" val="0"/>
        <cfvo type="percent" val="100"/>
        <color rgb="FFFF231B"/>
        <color rgb="FF10FF07"/>
      </colorScale>
    </cfRule>
  </conditionalFormatting>
  <conditionalFormatting sqref="J42">
    <cfRule type="colorScale" priority="1429">
      <colorScale>
        <cfvo type="percent" val="0"/>
        <cfvo type="percent" val="100"/>
        <color rgb="FFFF231B"/>
        <color rgb="FF10FF07"/>
      </colorScale>
    </cfRule>
  </conditionalFormatting>
  <conditionalFormatting sqref="K42">
    <cfRule type="colorScale" priority="1430">
      <colorScale>
        <cfvo type="percent" val="0"/>
        <cfvo type="percent" val="100"/>
        <color rgb="FFFF231B"/>
        <color rgb="FF10FF07"/>
      </colorScale>
    </cfRule>
  </conditionalFormatting>
  <conditionalFormatting sqref="CN42 CP42">
    <cfRule type="expression" dxfId="735" priority="1254">
      <formula>OR(IF(CN42&lt;CO42,TRUE),IF(AND(CO42="",CN42&lt;&gt;""),TRUE))</formula>
    </cfRule>
    <cfRule type="expression" dxfId="734" priority="1255">
      <formula>IF(CN42&gt;=CO42,IF(CN42="",FALSE,TRUE))</formula>
    </cfRule>
  </conditionalFormatting>
  <conditionalFormatting sqref="J25:K33">
    <cfRule type="colorScale" priority="2268">
      <colorScale>
        <cfvo type="percent" val="0"/>
        <cfvo type="percent" val="100"/>
        <color rgb="FFFF231B"/>
        <color rgb="FF10FF07"/>
      </colorScale>
    </cfRule>
  </conditionalFormatting>
  <conditionalFormatting sqref="J24:J33">
    <cfRule type="colorScale" priority="2269">
      <colorScale>
        <cfvo type="percent" val="0"/>
        <cfvo type="percent" val="100"/>
        <color rgb="FFFF231B"/>
        <color rgb="FF10FF07"/>
      </colorScale>
    </cfRule>
  </conditionalFormatting>
  <conditionalFormatting sqref="K24:K33">
    <cfRule type="colorScale" priority="2270">
      <colorScale>
        <cfvo type="percent" val="0"/>
        <cfvo type="percent" val="100"/>
        <color rgb="FFFF231B"/>
        <color rgb="FF10FF07"/>
      </colorScale>
    </cfRule>
  </conditionalFormatting>
  <conditionalFormatting sqref="J47:K52">
    <cfRule type="colorScale" priority="2303">
      <colorScale>
        <cfvo type="percent" val="0"/>
        <cfvo type="percent" val="100"/>
        <color rgb="FFFF231B"/>
        <color rgb="FF10FF07"/>
      </colorScale>
    </cfRule>
  </conditionalFormatting>
  <conditionalFormatting sqref="J46:J52">
    <cfRule type="colorScale" priority="2304">
      <colorScale>
        <cfvo type="percent" val="0"/>
        <cfvo type="percent" val="100"/>
        <color rgb="FFFF231B"/>
        <color rgb="FF10FF07"/>
      </colorScale>
    </cfRule>
  </conditionalFormatting>
  <conditionalFormatting sqref="K46:K52">
    <cfRule type="colorScale" priority="2305">
      <colorScale>
        <cfvo type="percent" val="0"/>
        <cfvo type="percent" val="100"/>
        <color rgb="FFFF231B"/>
        <color rgb="FF10FF07"/>
      </colorScale>
    </cfRule>
  </conditionalFormatting>
  <conditionalFormatting sqref="DP42 DR42">
    <cfRule type="expression" dxfId="733" priority="1174">
      <formula>OR(IF(DP42&lt;DQ42,TRUE),IF(AND(DQ42="",DP42&lt;&gt;""),TRUE))</formula>
    </cfRule>
    <cfRule type="expression" dxfId="732" priority="1175">
      <formula>IF(DP42&gt;=DQ42,IF(DP42="",FALSE,TRUE))</formula>
    </cfRule>
  </conditionalFormatting>
  <conditionalFormatting sqref="ED42 EF42">
    <cfRule type="expression" dxfId="731" priority="1134">
      <formula>OR(IF(ED42&lt;EE42,TRUE),IF(AND(EE42="",ED42&lt;&gt;""),TRUE))</formula>
    </cfRule>
    <cfRule type="expression" dxfId="730" priority="1135">
      <formula>IF(ED42&gt;=EE42,IF(ED42="",FALSE,TRUE))</formula>
    </cfRule>
  </conditionalFormatting>
  <conditionalFormatting sqref="CP38:CP41 CN38:CN41 CN43 CP43">
    <cfRule type="expression" dxfId="729" priority="1270">
      <formula>OR(IF(CN38&lt;CO38,TRUE),IF(AND(CO38="",CN38&lt;&gt;""),TRUE))</formula>
    </cfRule>
    <cfRule type="expression" dxfId="728" priority="1271">
      <formula>IF(CN38&gt;=CO38,IF(CN38="",FALSE,TRUE))</formula>
    </cfRule>
  </conditionalFormatting>
  <conditionalFormatting sqref="CN36:CN37">
    <cfRule type="expression" dxfId="727" priority="1262">
      <formula>OR(IF(CN36&lt;CO36,TRUE),IF(AND(CO36="",CN36&lt;&gt;""),TRUE))</formula>
    </cfRule>
    <cfRule type="expression" dxfId="726" priority="1263">
      <formula>IF(CN36&gt;=CO36,IF(CN36="",FALSE,TRUE))</formula>
    </cfRule>
  </conditionalFormatting>
  <conditionalFormatting sqref="CP36:CP37">
    <cfRule type="expression" dxfId="725" priority="1260">
      <formula>OR(IF(CP36&lt;CQ36,TRUE),IF(AND(CQ36="",CP36&lt;&gt;""),TRUE))</formula>
    </cfRule>
    <cfRule type="expression" dxfId="724" priority="1261">
      <formula>IF(CP36&gt;=CQ36,IF(CP36="",FALSE,TRUE))</formula>
    </cfRule>
  </conditionalFormatting>
  <conditionalFormatting sqref="DR19:DR21 DP19:DP21 DR46:DR52 DP46:DP52">
    <cfRule type="expression" dxfId="723" priority="1192">
      <formula>OR(IF(DP19&lt;DQ19,TRUE),IF(AND(DQ19="",DP19&lt;&gt;""),TRUE))</formula>
    </cfRule>
    <cfRule type="expression" dxfId="722" priority="1193">
      <formula>IF(DP19&gt;=DQ19,IF(DP19="",FALSE,TRUE))</formula>
    </cfRule>
  </conditionalFormatting>
  <conditionalFormatting sqref="DR38:DR41 DP38:DP41 DP43 DR43 DR13 DP13 DP5:DP10 DR5:DR10">
    <cfRule type="expression" dxfId="721" priority="1190">
      <formula>OR(IF(DP5&lt;DQ5,TRUE),IF(AND(DQ5="",DP5&lt;&gt;""),TRUE))</formula>
    </cfRule>
    <cfRule type="expression" dxfId="720" priority="1191">
      <formula>IF(DP5&gt;=DQ5,IF(DP5="",FALSE,TRUE))</formula>
    </cfRule>
  </conditionalFormatting>
  <conditionalFormatting sqref="DP16 DR16">
    <cfRule type="expression" dxfId="719" priority="1188">
      <formula>OR(IF(DP16&lt;DQ16,TRUE),IF(AND(DQ16="",DP16&lt;&gt;""),TRUE))</formula>
    </cfRule>
    <cfRule type="expression" dxfId="718" priority="1189">
      <formula>IF(DP16&gt;=DQ16,IF(DP16="",FALSE,TRUE))</formula>
    </cfRule>
  </conditionalFormatting>
  <conditionalFormatting sqref="DP36:DP37">
    <cfRule type="expression" dxfId="717" priority="1182">
      <formula>OR(IF(DP36&lt;DQ36,TRUE),IF(AND(DQ36="",DP36&lt;&gt;""),TRUE))</formula>
    </cfRule>
    <cfRule type="expression" dxfId="716" priority="1183">
      <formula>IF(DP36&gt;=DQ36,IF(DP36="",FALSE,TRUE))</formula>
    </cfRule>
  </conditionalFormatting>
  <conditionalFormatting sqref="DR36:DR37">
    <cfRule type="expression" dxfId="715" priority="1180">
      <formula>OR(IF(DR36&lt;DS36,TRUE),IF(AND(DS36="",DR36&lt;&gt;""),TRUE))</formula>
    </cfRule>
    <cfRule type="expression" dxfId="714" priority="1181">
      <formula>IF(DR36&gt;=DS36,IF(DR36="",FALSE,TRUE))</formula>
    </cfRule>
  </conditionalFormatting>
  <conditionalFormatting sqref="DP17 DR17">
    <cfRule type="expression" dxfId="713" priority="1178">
      <formula>OR(IF(DP17&lt;DQ17,TRUE),IF(AND(DQ17="",DP17&lt;&gt;""),TRUE))</formula>
    </cfRule>
    <cfRule type="expression" dxfId="712" priority="1179">
      <formula>IF(DP17&gt;=DQ17,IF(DP17="",FALSE,TRUE))</formula>
    </cfRule>
  </conditionalFormatting>
  <conditionalFormatting sqref="DR18 DP18">
    <cfRule type="expression" dxfId="711" priority="1176">
      <formula>OR(IF(DP18&lt;DQ18,TRUE),IF(AND(DQ18="",DP18&lt;&gt;""),TRUE))</formula>
    </cfRule>
    <cfRule type="expression" dxfId="710" priority="1177">
      <formula>IF(DP18&gt;=DQ18,IF(DP18="",FALSE,TRUE))</formula>
    </cfRule>
  </conditionalFormatting>
  <conditionalFormatting sqref="EF19:EF21 ED19:ED21 EF46:EF52 ED46:ED52">
    <cfRule type="expression" dxfId="709" priority="1152">
      <formula>OR(IF(ED19&lt;EE19,TRUE),IF(AND(EE19="",ED19&lt;&gt;""),TRUE))</formula>
    </cfRule>
    <cfRule type="expression" dxfId="708" priority="1153">
      <formula>IF(ED19&gt;=EE19,IF(ED19="",FALSE,TRUE))</formula>
    </cfRule>
  </conditionalFormatting>
  <conditionalFormatting sqref="EF38:EF41 ED38:ED41 ED43 EF43 EF13 ED13 ED5:ED10 EF5:EF10">
    <cfRule type="expression" dxfId="707" priority="1150">
      <formula>OR(IF(ED5&lt;EE5,TRUE),IF(AND(EE5="",ED5&lt;&gt;""),TRUE))</formula>
    </cfRule>
    <cfRule type="expression" dxfId="706" priority="1151">
      <formula>IF(ED5&gt;=EE5,IF(ED5="",FALSE,TRUE))</formula>
    </cfRule>
  </conditionalFormatting>
  <conditionalFormatting sqref="ED16 EF16">
    <cfRule type="expression" dxfId="705" priority="1148">
      <formula>OR(IF(ED16&lt;EE16,TRUE),IF(AND(EE16="",ED16&lt;&gt;""),TRUE))</formula>
    </cfRule>
    <cfRule type="expression" dxfId="704" priority="1149">
      <formula>IF(ED16&gt;=EE16,IF(ED16="",FALSE,TRUE))</formula>
    </cfRule>
  </conditionalFormatting>
  <conditionalFormatting sqref="ED36:ED37">
    <cfRule type="expression" dxfId="703" priority="1142">
      <formula>OR(IF(ED36&lt;EE36,TRUE),IF(AND(EE36="",ED36&lt;&gt;""),TRUE))</formula>
    </cfRule>
    <cfRule type="expression" dxfId="702" priority="1143">
      <formula>IF(ED36&gt;=EE36,IF(ED36="",FALSE,TRUE))</formula>
    </cfRule>
  </conditionalFormatting>
  <conditionalFormatting sqref="EF36:EF37">
    <cfRule type="expression" dxfId="701" priority="1140">
      <formula>OR(IF(EF36&lt;EG36,TRUE),IF(AND(EG36="",EF36&lt;&gt;""),TRUE))</formula>
    </cfRule>
    <cfRule type="expression" dxfId="700" priority="1141">
      <formula>IF(EF36&gt;=EG36,IF(EF36="",FALSE,TRUE))</formula>
    </cfRule>
  </conditionalFormatting>
  <conditionalFormatting sqref="ED17 EF17">
    <cfRule type="expression" dxfId="699" priority="1138">
      <formula>OR(IF(ED17&lt;EE17,TRUE),IF(AND(EE17="",ED17&lt;&gt;""),TRUE))</formula>
    </cfRule>
    <cfRule type="expression" dxfId="698" priority="1139">
      <formula>IF(ED17&gt;=EE17,IF(ED17="",FALSE,TRUE))</formula>
    </cfRule>
  </conditionalFormatting>
  <conditionalFormatting sqref="EF18 ED18">
    <cfRule type="expression" dxfId="697" priority="1136">
      <formula>OR(IF(ED18&lt;EE18,TRUE),IF(AND(EE18="",ED18&lt;&gt;""),TRUE))</formula>
    </cfRule>
    <cfRule type="expression" dxfId="696" priority="1137">
      <formula>IF(ED18&gt;=EE18,IF(ED18="",FALSE,TRUE))</formula>
    </cfRule>
  </conditionalFormatting>
  <conditionalFormatting sqref="CW19:CW21 CU19:CU21 CW46:CW52 CU46:CU52">
    <cfRule type="expression" dxfId="695" priority="1252">
      <formula>OR(IF(CU19&lt;CV19,TRUE),IF(AND(CV19="",CU19&lt;&gt;""),TRUE))</formula>
    </cfRule>
    <cfRule type="expression" dxfId="694" priority="1253">
      <formula>IF(CU19&gt;=CV19,IF(CU19="",FALSE,TRUE))</formula>
    </cfRule>
  </conditionalFormatting>
  <conditionalFormatting sqref="CW38:CW41 CU38:CU41 CU43 CW43 CW13 CU13 CU5:CU10 CW5:CW10">
    <cfRule type="expression" dxfId="693" priority="1250">
      <formula>OR(IF(CU5&lt;CV5,TRUE),IF(AND(CV5="",CU5&lt;&gt;""),TRUE))</formula>
    </cfRule>
    <cfRule type="expression" dxfId="692" priority="1251">
      <formula>IF(CU5&gt;=CV5,IF(CU5="",FALSE,TRUE))</formula>
    </cfRule>
  </conditionalFormatting>
  <conditionalFormatting sqref="CU16 CW16">
    <cfRule type="expression" dxfId="691" priority="1248">
      <formula>OR(IF(CU16&lt;CV16,TRUE),IF(AND(CV16="",CU16&lt;&gt;""),TRUE))</formula>
    </cfRule>
    <cfRule type="expression" dxfId="690" priority="1249">
      <formula>IF(CU16&gt;=CV16,IF(CU16="",FALSE,TRUE))</formula>
    </cfRule>
  </conditionalFormatting>
  <conditionalFormatting sqref="CU36:CU37">
    <cfRule type="expression" dxfId="689" priority="1242">
      <formula>OR(IF(CU36&lt;CV36,TRUE),IF(AND(CV36="",CU36&lt;&gt;""),TRUE))</formula>
    </cfRule>
    <cfRule type="expression" dxfId="688" priority="1243">
      <formula>IF(CU36&gt;=CV36,IF(CU36="",FALSE,TRUE))</formula>
    </cfRule>
  </conditionalFormatting>
  <conditionalFormatting sqref="CW36:CW37">
    <cfRule type="expression" dxfId="687" priority="1240">
      <formula>OR(IF(CW36&lt;CX36,TRUE),IF(AND(CX36="",CW36&lt;&gt;""),TRUE))</formula>
    </cfRule>
    <cfRule type="expression" dxfId="686" priority="1241">
      <formula>IF(CW36&gt;=CX36,IF(CW36="",FALSE,TRUE))</formula>
    </cfRule>
  </conditionalFormatting>
  <conditionalFormatting sqref="CU17 CW17">
    <cfRule type="expression" dxfId="685" priority="1238">
      <formula>OR(IF(CU17&lt;CV17,TRUE),IF(AND(CV17="",CU17&lt;&gt;""),TRUE))</formula>
    </cfRule>
    <cfRule type="expression" dxfId="684" priority="1239">
      <formula>IF(CU17&gt;=CV17,IF(CU17="",FALSE,TRUE))</formula>
    </cfRule>
  </conditionalFormatting>
  <conditionalFormatting sqref="CW18 CU18">
    <cfRule type="expression" dxfId="683" priority="1236">
      <formula>OR(IF(CU18&lt;CV18,TRUE),IF(AND(CV18="",CU18&lt;&gt;""),TRUE))</formula>
    </cfRule>
    <cfRule type="expression" dxfId="682" priority="1237">
      <formula>IF(CU18&gt;=CV18,IF(CU18="",FALSE,TRUE))</formula>
    </cfRule>
  </conditionalFormatting>
  <conditionalFormatting sqref="CU42 CW42">
    <cfRule type="expression" dxfId="681" priority="1234">
      <formula>OR(IF(CU42&lt;CV42,TRUE),IF(AND(CV42="",CU42&lt;&gt;""),TRUE))</formula>
    </cfRule>
    <cfRule type="expression" dxfId="680" priority="1235">
      <formula>IF(CU42&gt;=CV42,IF(CU42="",FALSE,TRUE))</formula>
    </cfRule>
  </conditionalFormatting>
  <conditionalFormatting sqref="DD19:DD21 DB19:DB21 DD46:DD52 DB46:DB52">
    <cfRule type="expression" dxfId="679" priority="1232">
      <formula>OR(IF(DB19&lt;DC19,TRUE),IF(AND(DC19="",DB19&lt;&gt;""),TRUE))</formula>
    </cfRule>
    <cfRule type="expression" dxfId="678" priority="1233">
      <formula>IF(DB19&gt;=DC19,IF(DB19="",FALSE,TRUE))</formula>
    </cfRule>
  </conditionalFormatting>
  <conditionalFormatting sqref="DD38:DD41 DB38:DB41 DB43 DD43 DD13 DB13 DB5:DB10 DD5:DD10">
    <cfRule type="expression" dxfId="677" priority="1230">
      <formula>OR(IF(DB5&lt;DC5,TRUE),IF(AND(DC5="",DB5&lt;&gt;""),TRUE))</formula>
    </cfRule>
    <cfRule type="expression" dxfId="676" priority="1231">
      <formula>IF(DB5&gt;=DC5,IF(DB5="",FALSE,TRUE))</formula>
    </cfRule>
  </conditionalFormatting>
  <conditionalFormatting sqref="DD36:DD37">
    <cfRule type="expression" dxfId="675" priority="1220">
      <formula>OR(IF(DD36&lt;DE36,TRUE),IF(AND(DE36="",DD36&lt;&gt;""),TRUE))</formula>
    </cfRule>
    <cfRule type="expression" dxfId="674" priority="1221">
      <formula>IF(DD36&gt;=DE36,IF(DD36="",FALSE,TRUE))</formula>
    </cfRule>
  </conditionalFormatting>
  <conditionalFormatting sqref="DB17 DD17">
    <cfRule type="expression" dxfId="673" priority="1218">
      <formula>OR(IF(DB17&lt;DC17,TRUE),IF(AND(DC17="",DB17&lt;&gt;""),TRUE))</formula>
    </cfRule>
    <cfRule type="expression" dxfId="672" priority="1219">
      <formula>IF(DB17&gt;=DC17,IF(DB17="",FALSE,TRUE))</formula>
    </cfRule>
  </conditionalFormatting>
  <conditionalFormatting sqref="DY19:DY21 DW19:DW21 DY46:DY52 DW46:DW52">
    <cfRule type="expression" dxfId="671" priority="1172">
      <formula>OR(IF(DW19&lt;DX19,TRUE),IF(AND(DX19="",DW19&lt;&gt;""),TRUE))</formula>
    </cfRule>
    <cfRule type="expression" dxfId="670" priority="1173">
      <formula>IF(DW19&gt;=DX19,IF(DW19="",FALSE,TRUE))</formula>
    </cfRule>
  </conditionalFormatting>
  <conditionalFormatting sqref="DY38:DY41 DW38:DW41 DW43 DY43 DY13 DW13 DW5:DW10 DY5:DY10">
    <cfRule type="expression" dxfId="669" priority="1170">
      <formula>OR(IF(DW5&lt;DX5,TRUE),IF(AND(DX5="",DW5&lt;&gt;""),TRUE))</formula>
    </cfRule>
    <cfRule type="expression" dxfId="668" priority="1171">
      <formula>IF(DW5&gt;=DX5,IF(DW5="",FALSE,TRUE))</formula>
    </cfRule>
  </conditionalFormatting>
  <conditionalFormatting sqref="DI16 DK16">
    <cfRule type="expression" dxfId="667" priority="1208">
      <formula>OR(IF(DI16&lt;DJ16,TRUE),IF(AND(DJ16="",DI16&lt;&gt;""),TRUE))</formula>
    </cfRule>
    <cfRule type="expression" dxfId="666" priority="1209">
      <formula>IF(DI16&gt;=DJ16,IF(DI16="",FALSE,TRUE))</formula>
    </cfRule>
  </conditionalFormatting>
  <conditionalFormatting sqref="DI36:DI37">
    <cfRule type="expression" dxfId="665" priority="1202">
      <formula>OR(IF(DI36&lt;DJ36,TRUE),IF(AND(DJ36="",DI36&lt;&gt;""),TRUE))</formula>
    </cfRule>
    <cfRule type="expression" dxfId="664" priority="1203">
      <formula>IF(DI36&gt;=DJ36,IF(DI36="",FALSE,TRUE))</formula>
    </cfRule>
  </conditionalFormatting>
  <conditionalFormatting sqref="DK36:DK37">
    <cfRule type="expression" dxfId="663" priority="1200">
      <formula>OR(IF(DK36&lt;DL36,TRUE),IF(AND(DL36="",DK36&lt;&gt;""),TRUE))</formula>
    </cfRule>
    <cfRule type="expression" dxfId="662" priority="1201">
      <formula>IF(DK36&gt;=DL36,IF(DK36="",FALSE,TRUE))</formula>
    </cfRule>
  </conditionalFormatting>
  <conditionalFormatting sqref="DI17 DK17">
    <cfRule type="expression" dxfId="661" priority="1198">
      <formula>OR(IF(DI17&lt;DJ17,TRUE),IF(AND(DJ17="",DI17&lt;&gt;""),TRUE))</formula>
    </cfRule>
    <cfRule type="expression" dxfId="660" priority="1199">
      <formula>IF(DI17&gt;=DJ17,IF(DI17="",FALSE,TRUE))</formula>
    </cfRule>
  </conditionalFormatting>
  <conditionalFormatting sqref="DK18 DI18">
    <cfRule type="expression" dxfId="659" priority="1196">
      <formula>OR(IF(DI18&lt;DJ18,TRUE),IF(AND(DJ18="",DI18&lt;&gt;""),TRUE))</formula>
    </cfRule>
    <cfRule type="expression" dxfId="658" priority="1197">
      <formula>IF(DI18&gt;=DJ18,IF(DI18="",FALSE,TRUE))</formula>
    </cfRule>
  </conditionalFormatting>
  <conditionalFormatting sqref="DI42 DK42">
    <cfRule type="expression" dxfId="657" priority="1194">
      <formula>OR(IF(DI42&lt;DJ42,TRUE),IF(AND(DJ42="",DI42&lt;&gt;""),TRUE))</formula>
    </cfRule>
    <cfRule type="expression" dxfId="656" priority="1195">
      <formula>IF(DI42&gt;=DJ42,IF(DI42="",FALSE,TRUE))</formula>
    </cfRule>
  </conditionalFormatting>
  <conditionalFormatting sqref="DW42 DY42">
    <cfRule type="expression" dxfId="655" priority="1154">
      <formula>OR(IF(DW42&lt;DX42,TRUE),IF(AND(DX42="",DW42&lt;&gt;""),TRUE))</formula>
    </cfRule>
    <cfRule type="expression" dxfId="654" priority="1155">
      <formula>IF(DW42&gt;=DX42,IF(DW42="",FALSE,TRUE))</formula>
    </cfRule>
  </conditionalFormatting>
  <conditionalFormatting sqref="DW16 DY16">
    <cfRule type="expression" dxfId="653" priority="1168">
      <formula>OR(IF(DW16&lt;DX16,TRUE),IF(AND(DX16="",DW16&lt;&gt;""),TRUE))</formula>
    </cfRule>
    <cfRule type="expression" dxfId="652" priority="1169">
      <formula>IF(DW16&gt;=DX16,IF(DW16="",FALSE,TRUE))</formula>
    </cfRule>
  </conditionalFormatting>
  <conditionalFormatting sqref="DW36:DW37">
    <cfRule type="expression" dxfId="651" priority="1162">
      <formula>OR(IF(DW36&lt;DX36,TRUE),IF(AND(DX36="",DW36&lt;&gt;""),TRUE))</formula>
    </cfRule>
    <cfRule type="expression" dxfId="650" priority="1163">
      <formula>IF(DW36&gt;=DX36,IF(DW36="",FALSE,TRUE))</formula>
    </cfRule>
  </conditionalFormatting>
  <conditionalFormatting sqref="DY36:DY37">
    <cfRule type="expression" dxfId="649" priority="1160">
      <formula>OR(IF(DY36&lt;DZ36,TRUE),IF(AND(DZ36="",DY36&lt;&gt;""),TRUE))</formula>
    </cfRule>
    <cfRule type="expression" dxfId="648" priority="1161">
      <formula>IF(DY36&gt;=DZ36,IF(DY36="",FALSE,TRUE))</formula>
    </cfRule>
  </conditionalFormatting>
  <conditionalFormatting sqref="DW17 DY17">
    <cfRule type="expression" dxfId="647" priority="1158">
      <formula>OR(IF(DW17&lt;DX17,TRUE),IF(AND(DX17="",DW17&lt;&gt;""),TRUE))</formula>
    </cfRule>
    <cfRule type="expression" dxfId="646" priority="1159">
      <formula>IF(DW17&gt;=DX17,IF(DW17="",FALSE,TRUE))</formula>
    </cfRule>
  </conditionalFormatting>
  <conditionalFormatting sqref="DY18 DW18">
    <cfRule type="expression" dxfId="645" priority="1156">
      <formula>OR(IF(DW18&lt;DX18,TRUE),IF(AND(DX18="",DW18&lt;&gt;""),TRUE))</formula>
    </cfRule>
    <cfRule type="expression" dxfId="644" priority="1157">
      <formula>IF(DW18&gt;=DX18,IF(DW18="",FALSE,TRUE))</formula>
    </cfRule>
  </conditionalFormatting>
  <conditionalFormatting sqref="CW27:CW29 CU27:CU29">
    <cfRule type="expression" dxfId="643" priority="1132">
      <formula>OR(IF(CU27&lt;CV27,TRUE),IF(AND(CV27="",CU27&lt;&gt;""),TRUE))</formula>
    </cfRule>
    <cfRule type="expression" dxfId="642" priority="1133">
      <formula>IF(CU27&gt;=CV27,IF(CU27="",FALSE,TRUE))</formula>
    </cfRule>
  </conditionalFormatting>
  <conditionalFormatting sqref="CU24 CW24">
    <cfRule type="expression" dxfId="641" priority="1130">
      <formula>OR(IF(CU24&lt;CV24,TRUE),IF(AND(CV24="",CU24&lt;&gt;""),TRUE))</formula>
    </cfRule>
    <cfRule type="expression" dxfId="640" priority="1131">
      <formula>IF(CU24&gt;=CV24,IF(CU24="",FALSE,TRUE))</formula>
    </cfRule>
  </conditionalFormatting>
  <conditionalFormatting sqref="CU25 CW25">
    <cfRule type="expression" dxfId="639" priority="1128">
      <formula>OR(IF(CU25&lt;CV25,TRUE),IF(AND(CV25="",CU25&lt;&gt;""),TRUE))</formula>
    </cfRule>
    <cfRule type="expression" dxfId="638" priority="1129">
      <formula>IF(CU25&gt;=CV25,IF(CU25="",FALSE,TRUE))</formula>
    </cfRule>
  </conditionalFormatting>
  <conditionalFormatting sqref="CW26 CU26">
    <cfRule type="expression" dxfId="637" priority="1126">
      <formula>OR(IF(CU26&lt;CV26,TRUE),IF(AND(CV26="",CU26&lt;&gt;""),TRUE))</formula>
    </cfRule>
    <cfRule type="expression" dxfId="636" priority="1127">
      <formula>IF(CU26&gt;=CV26,IF(CU26="",FALSE,TRUE))</formula>
    </cfRule>
  </conditionalFormatting>
  <conditionalFormatting sqref="CW30:CW33 CU30:CU33">
    <cfRule type="expression" dxfId="635" priority="1124">
      <formula>OR(IF(CU30&lt;CV30,TRUE),IF(AND(CV30="",CU30&lt;&gt;""),TRUE))</formula>
    </cfRule>
    <cfRule type="expression" dxfId="634" priority="1125">
      <formula>IF(CU30&gt;=CV30,IF(CU30="",FALSE,TRUE))</formula>
    </cfRule>
  </conditionalFormatting>
  <conditionalFormatting sqref="DD27:DD29 DB27:DB29">
    <cfRule type="expression" dxfId="633" priority="1122">
      <formula>OR(IF(DB27&lt;DC27,TRUE),IF(AND(DC27="",DB27&lt;&gt;""),TRUE))</formula>
    </cfRule>
    <cfRule type="expression" dxfId="632" priority="1123">
      <formula>IF(DB27&gt;=DC27,IF(DB27="",FALSE,TRUE))</formula>
    </cfRule>
  </conditionalFormatting>
  <conditionalFormatting sqref="DB24 DD24">
    <cfRule type="expression" dxfId="631" priority="1120">
      <formula>OR(IF(DB24&lt;DC24,TRUE),IF(AND(DC24="",DB24&lt;&gt;""),TRUE))</formula>
    </cfRule>
    <cfRule type="expression" dxfId="630" priority="1121">
      <formula>IF(DB24&gt;=DC24,IF(DB24="",FALSE,TRUE))</formula>
    </cfRule>
  </conditionalFormatting>
  <conditionalFormatting sqref="DB25 DD25">
    <cfRule type="expression" dxfId="629" priority="1118">
      <formula>OR(IF(DB25&lt;DC25,TRUE),IF(AND(DC25="",DB25&lt;&gt;""),TRUE))</formula>
    </cfRule>
    <cfRule type="expression" dxfId="628" priority="1119">
      <formula>IF(DB25&gt;=DC25,IF(DB25="",FALSE,TRUE))</formula>
    </cfRule>
  </conditionalFormatting>
  <conditionalFormatting sqref="DD26 DB26">
    <cfRule type="expression" dxfId="627" priority="1116">
      <formula>OR(IF(DB26&lt;DC26,TRUE),IF(AND(DC26="",DB26&lt;&gt;""),TRUE))</formula>
    </cfRule>
    <cfRule type="expression" dxfId="626" priority="1117">
      <formula>IF(DB26&gt;=DC26,IF(DB26="",FALSE,TRUE))</formula>
    </cfRule>
  </conditionalFormatting>
  <conditionalFormatting sqref="DD30:DD33 DB30:DB33">
    <cfRule type="expression" dxfId="625" priority="1114">
      <formula>OR(IF(DB30&lt;DC30,TRUE),IF(AND(DC30="",DB30&lt;&gt;""),TRUE))</formula>
    </cfRule>
    <cfRule type="expression" dxfId="624" priority="1115">
      <formula>IF(DB30&gt;=DC30,IF(DB30="",FALSE,TRUE))</formula>
    </cfRule>
  </conditionalFormatting>
  <conditionalFormatting sqref="DK27:DK29 DI27:DI29">
    <cfRule type="expression" dxfId="623" priority="1112">
      <formula>OR(IF(DI27&lt;DJ27,TRUE),IF(AND(DJ27="",DI27&lt;&gt;""),TRUE))</formula>
    </cfRule>
    <cfRule type="expression" dxfId="622" priority="1113">
      <formula>IF(DI27&gt;=DJ27,IF(DI27="",FALSE,TRUE))</formula>
    </cfRule>
  </conditionalFormatting>
  <conditionalFormatting sqref="DI24 DK24">
    <cfRule type="expression" dxfId="621" priority="1110">
      <formula>OR(IF(DI24&lt;DJ24,TRUE),IF(AND(DJ24="",DI24&lt;&gt;""),TRUE))</formula>
    </cfRule>
    <cfRule type="expression" dxfId="620" priority="1111">
      <formula>IF(DI24&gt;=DJ24,IF(DI24="",FALSE,TRUE))</formula>
    </cfRule>
  </conditionalFormatting>
  <conditionalFormatting sqref="DI25 DK25">
    <cfRule type="expression" dxfId="619" priority="1108">
      <formula>OR(IF(DI25&lt;DJ25,TRUE),IF(AND(DJ25="",DI25&lt;&gt;""),TRUE))</formula>
    </cfRule>
    <cfRule type="expression" dxfId="618" priority="1109">
      <formula>IF(DI25&gt;=DJ25,IF(DI25="",FALSE,TRUE))</formula>
    </cfRule>
  </conditionalFormatting>
  <conditionalFormatting sqref="DK26 DI26">
    <cfRule type="expression" dxfId="617" priority="1106">
      <formula>OR(IF(DI26&lt;DJ26,TRUE),IF(AND(DJ26="",DI26&lt;&gt;""),TRUE))</formula>
    </cfRule>
    <cfRule type="expression" dxfId="616" priority="1107">
      <formula>IF(DI26&gt;=DJ26,IF(DI26="",FALSE,TRUE))</formula>
    </cfRule>
  </conditionalFormatting>
  <conditionalFormatting sqref="DK30:DK33 DI30:DI33">
    <cfRule type="expression" dxfId="615" priority="1104">
      <formula>OR(IF(DI30&lt;DJ30,TRUE),IF(AND(DJ30="",DI30&lt;&gt;""),TRUE))</formula>
    </cfRule>
    <cfRule type="expression" dxfId="614" priority="1105">
      <formula>IF(DI30&gt;=DJ30,IF(DI30="",FALSE,TRUE))</formula>
    </cfRule>
  </conditionalFormatting>
  <conditionalFormatting sqref="DR27:DR29 DP27:DP29">
    <cfRule type="expression" dxfId="613" priority="1102">
      <formula>OR(IF(DP27&lt;DQ27,TRUE),IF(AND(DQ27="",DP27&lt;&gt;""),TRUE))</formula>
    </cfRule>
    <cfRule type="expression" dxfId="612" priority="1103">
      <formula>IF(DP27&gt;=DQ27,IF(DP27="",FALSE,TRUE))</formula>
    </cfRule>
  </conditionalFormatting>
  <conditionalFormatting sqref="DP24 DR24">
    <cfRule type="expression" dxfId="611" priority="1100">
      <formula>OR(IF(DP24&lt;DQ24,TRUE),IF(AND(DQ24="",DP24&lt;&gt;""),TRUE))</formula>
    </cfRule>
    <cfRule type="expression" dxfId="610" priority="1101">
      <formula>IF(DP24&gt;=DQ24,IF(DP24="",FALSE,TRUE))</formula>
    </cfRule>
  </conditionalFormatting>
  <conditionalFormatting sqref="DP25 DR25">
    <cfRule type="expression" dxfId="609" priority="1098">
      <formula>OR(IF(DP25&lt;DQ25,TRUE),IF(AND(DQ25="",DP25&lt;&gt;""),TRUE))</formula>
    </cfRule>
    <cfRule type="expression" dxfId="608" priority="1099">
      <formula>IF(DP25&gt;=DQ25,IF(DP25="",FALSE,TRUE))</formula>
    </cfRule>
  </conditionalFormatting>
  <conditionalFormatting sqref="DR26 DP26">
    <cfRule type="expression" dxfId="607" priority="1096">
      <formula>OR(IF(DP26&lt;DQ26,TRUE),IF(AND(DQ26="",DP26&lt;&gt;""),TRUE))</formula>
    </cfRule>
    <cfRule type="expression" dxfId="606" priority="1097">
      <formula>IF(DP26&gt;=DQ26,IF(DP26="",FALSE,TRUE))</formula>
    </cfRule>
  </conditionalFormatting>
  <conditionalFormatting sqref="DR30:DR33 DP30:DP33">
    <cfRule type="expression" dxfId="605" priority="1094">
      <formula>OR(IF(DP30&lt;DQ30,TRUE),IF(AND(DQ30="",DP30&lt;&gt;""),TRUE))</formula>
    </cfRule>
    <cfRule type="expression" dxfId="604" priority="1095">
      <formula>IF(DP30&gt;=DQ30,IF(DP30="",FALSE,TRUE))</formula>
    </cfRule>
  </conditionalFormatting>
  <conditionalFormatting sqref="DY27:DY29 DW27:DW29">
    <cfRule type="expression" dxfId="603" priority="1092">
      <formula>OR(IF(DW27&lt;DX27,TRUE),IF(AND(DX27="",DW27&lt;&gt;""),TRUE))</formula>
    </cfRule>
    <cfRule type="expression" dxfId="602" priority="1093">
      <formula>IF(DW27&gt;=DX27,IF(DW27="",FALSE,TRUE))</formula>
    </cfRule>
  </conditionalFormatting>
  <conditionalFormatting sqref="DW24 DY24">
    <cfRule type="expression" dxfId="601" priority="1090">
      <formula>OR(IF(DW24&lt;DX24,TRUE),IF(AND(DX24="",DW24&lt;&gt;""),TRUE))</formula>
    </cfRule>
    <cfRule type="expression" dxfId="600" priority="1091">
      <formula>IF(DW24&gt;=DX24,IF(DW24="",FALSE,TRUE))</formula>
    </cfRule>
  </conditionalFormatting>
  <conditionalFormatting sqref="DW25 DY25">
    <cfRule type="expression" dxfId="599" priority="1088">
      <formula>OR(IF(DW25&lt;DX25,TRUE),IF(AND(DX25="",DW25&lt;&gt;""),TRUE))</formula>
    </cfRule>
    <cfRule type="expression" dxfId="598" priority="1089">
      <formula>IF(DW25&gt;=DX25,IF(DW25="",FALSE,TRUE))</formula>
    </cfRule>
  </conditionalFormatting>
  <conditionalFormatting sqref="DY26 DW26">
    <cfRule type="expression" dxfId="597" priority="1086">
      <formula>OR(IF(DW26&lt;DX26,TRUE),IF(AND(DX26="",DW26&lt;&gt;""),TRUE))</formula>
    </cfRule>
    <cfRule type="expression" dxfId="596" priority="1087">
      <formula>IF(DW26&gt;=DX26,IF(DW26="",FALSE,TRUE))</formula>
    </cfRule>
  </conditionalFormatting>
  <conditionalFormatting sqref="DY30:DY33 DW30:DW33">
    <cfRule type="expression" dxfId="595" priority="1084">
      <formula>OR(IF(DW30&lt;DX30,TRUE),IF(AND(DX30="",DW30&lt;&gt;""),TRUE))</formula>
    </cfRule>
    <cfRule type="expression" dxfId="594" priority="1085">
      <formula>IF(DW30&gt;=DX30,IF(DW30="",FALSE,TRUE))</formula>
    </cfRule>
  </conditionalFormatting>
  <conditionalFormatting sqref="EF27:EF29 ED27:ED29">
    <cfRule type="expression" dxfId="593" priority="1082">
      <formula>OR(IF(ED27&lt;EE27,TRUE),IF(AND(EE27="",ED27&lt;&gt;""),TRUE))</formula>
    </cfRule>
    <cfRule type="expression" dxfId="592" priority="1083">
      <formula>IF(ED27&gt;=EE27,IF(ED27="",FALSE,TRUE))</formula>
    </cfRule>
  </conditionalFormatting>
  <conditionalFormatting sqref="ED24 EF24">
    <cfRule type="expression" dxfId="591" priority="1080">
      <formula>OR(IF(ED24&lt;EE24,TRUE),IF(AND(EE24="",ED24&lt;&gt;""),TRUE))</formula>
    </cfRule>
    <cfRule type="expression" dxfId="590" priority="1081">
      <formula>IF(ED24&gt;=EE24,IF(ED24="",FALSE,TRUE))</formula>
    </cfRule>
  </conditionalFormatting>
  <conditionalFormatting sqref="ED25 EF25">
    <cfRule type="expression" dxfId="589" priority="1078">
      <formula>OR(IF(ED25&lt;EE25,TRUE),IF(AND(EE25="",ED25&lt;&gt;""),TRUE))</formula>
    </cfRule>
    <cfRule type="expression" dxfId="588" priority="1079">
      <formula>IF(ED25&gt;=EE25,IF(ED25="",FALSE,TRUE))</formula>
    </cfRule>
  </conditionalFormatting>
  <conditionalFormatting sqref="EF26 ED26">
    <cfRule type="expression" dxfId="587" priority="1076">
      <formula>OR(IF(ED26&lt;EE26,TRUE),IF(AND(EE26="",ED26&lt;&gt;""),TRUE))</formula>
    </cfRule>
    <cfRule type="expression" dxfId="586" priority="1077">
      <formula>IF(ED26&gt;=EE26,IF(ED26="",FALSE,TRUE))</formula>
    </cfRule>
  </conditionalFormatting>
  <conditionalFormatting sqref="EF30:EF33 ED30:ED33">
    <cfRule type="expression" dxfId="585" priority="1074">
      <formula>OR(IF(ED30&lt;EE30,TRUE),IF(AND(EE30="",ED30&lt;&gt;""),TRUE))</formula>
    </cfRule>
    <cfRule type="expression" dxfId="584" priority="1075">
      <formula>IF(ED30&gt;=EE30,IF(ED30="",FALSE,TRUE))</formula>
    </cfRule>
  </conditionalFormatting>
  <conditionalFormatting sqref="CP19:CP21 CN19:CN21">
    <cfRule type="expression" dxfId="583" priority="1072">
      <formula>OR(IF(CN19&lt;CO19,TRUE),IF(AND(CO19="",CN19&lt;&gt;""),TRUE))</formula>
    </cfRule>
    <cfRule type="expression" dxfId="582" priority="1073">
      <formula>IF(CN19&gt;=CO19,IF(CN19="",FALSE,TRUE))</formula>
    </cfRule>
  </conditionalFormatting>
  <conditionalFormatting sqref="CN16 CP16">
    <cfRule type="expression" dxfId="581" priority="1070">
      <formula>OR(IF(CN16&lt;CO16,TRUE),IF(AND(CO16="",CN16&lt;&gt;""),TRUE))</formula>
    </cfRule>
    <cfRule type="expression" dxfId="580" priority="1071">
      <formula>IF(CN16&gt;=CO16,IF(CN16="",FALSE,TRUE))</formula>
    </cfRule>
  </conditionalFormatting>
  <conditionalFormatting sqref="CN17 CP17">
    <cfRule type="expression" dxfId="579" priority="1068">
      <formula>OR(IF(CN17&lt;CO17,TRUE),IF(AND(CO17="",CN17&lt;&gt;""),TRUE))</formula>
    </cfRule>
    <cfRule type="expression" dxfId="578" priority="1069">
      <formula>IF(CN17&gt;=CO17,IF(CN17="",FALSE,TRUE))</formula>
    </cfRule>
  </conditionalFormatting>
  <conditionalFormatting sqref="CP18 CN18">
    <cfRule type="expression" dxfId="577" priority="1066">
      <formula>OR(IF(CN18&lt;CO18,TRUE),IF(AND(CO18="",CN18&lt;&gt;""),TRUE))</formula>
    </cfRule>
    <cfRule type="expression" dxfId="576" priority="1067">
      <formula>IF(CN18&gt;=CO18,IF(CN18="",FALSE,TRUE))</formula>
    </cfRule>
  </conditionalFormatting>
  <conditionalFormatting sqref="BG21 BE21">
    <cfRule type="expression" dxfId="575" priority="1032">
      <formula>OR(IF(BE21&lt;BF21,TRUE),IF(AND(BF21="",BE21&lt;&gt;""),TRUE))</formula>
    </cfRule>
    <cfRule type="expression" dxfId="574" priority="1033">
      <formula>IF(BE21&gt;=BF21,IF(BE21="",FALSE,TRUE))</formula>
    </cfRule>
  </conditionalFormatting>
  <conditionalFormatting sqref="AZ21 AX21">
    <cfRule type="expression" dxfId="573" priority="1024">
      <formula>OR(IF(AX21&lt;AY21,TRUE),IF(AND(AY21="",AX21&lt;&gt;""),TRUE))</formula>
    </cfRule>
    <cfRule type="expression" dxfId="572" priority="1025">
      <formula>IF(AX21&gt;=AY21,IF(AX21="",FALSE,TRUE))</formula>
    </cfRule>
  </conditionalFormatting>
  <conditionalFormatting sqref="AS20 AQ20">
    <cfRule type="expression" dxfId="571" priority="1016">
      <formula>OR(IF(AQ20&lt;AR20,TRUE),IF(AND(AR20="",AQ20&lt;&gt;""),TRUE))</formula>
    </cfRule>
    <cfRule type="expression" dxfId="570" priority="1017">
      <formula>IF(AQ20&gt;=AR20,IF(AQ20="",FALSE,TRUE))</formula>
    </cfRule>
  </conditionalFormatting>
  <conditionalFormatting sqref="AL19:AL20 AJ19:AJ20">
    <cfRule type="expression" dxfId="569" priority="1008">
      <formula>OR(IF(AJ19&lt;AK19,TRUE),IF(AND(AK19="",AJ19&lt;&gt;""),TRUE))</formula>
    </cfRule>
    <cfRule type="expression" dxfId="568" priority="1009">
      <formula>IF(AJ19&gt;=AK19,IF(AJ19="",FALSE,TRUE))</formula>
    </cfRule>
  </conditionalFormatting>
  <conditionalFormatting sqref="AE19 AC19">
    <cfRule type="expression" dxfId="567" priority="1000">
      <formula>OR(IF(AC19&lt;AD19,TRUE),IF(AND(AD19="",AC19&lt;&gt;""),TRUE))</formula>
    </cfRule>
    <cfRule type="expression" dxfId="566" priority="1001">
      <formula>IF(AC19&gt;=AD19,IF(AC19="",FALSE,TRUE))</formula>
    </cfRule>
  </conditionalFormatting>
  <conditionalFormatting sqref="X18 V18">
    <cfRule type="expression" dxfId="565" priority="988">
      <formula>OR(IF(V18&lt;W18,TRUE),IF(AND(W18="",V18&lt;&gt;""),TRUE))</formula>
    </cfRule>
    <cfRule type="expression" dxfId="564" priority="989">
      <formula>IF(V18&gt;=W18,IF(V18="",FALSE,TRUE))</formula>
    </cfRule>
  </conditionalFormatting>
  <conditionalFormatting sqref="CP13 CN13 CN5:CN10 CP5:CP10">
    <cfRule type="expression" dxfId="563" priority="982">
      <formula>OR(IF(CN5&lt;CO5,TRUE),IF(AND(CO5="",CN5&lt;&gt;""),TRUE))</formula>
    </cfRule>
    <cfRule type="expression" dxfId="562" priority="983">
      <formula>IF(CN5&gt;=CO5,IF(CN5="",FALSE,TRUE))</formula>
    </cfRule>
  </conditionalFormatting>
  <conditionalFormatting sqref="CI13 CG13 CG5:CG10 CI5:CI10">
    <cfRule type="expression" dxfId="561" priority="980">
      <formula>OR(IF(CG5&lt;CH5,TRUE),IF(AND(CH5="",CG5&lt;&gt;""),TRUE))</formula>
    </cfRule>
    <cfRule type="expression" dxfId="560" priority="981">
      <formula>IF(CG5&gt;=CH5,IF(CG5="",FALSE,TRUE))</formula>
    </cfRule>
  </conditionalFormatting>
  <conditionalFormatting sqref="CB13 BZ13 BZ5:BZ10 CB5:CB10">
    <cfRule type="expression" dxfId="559" priority="978">
      <formula>OR(IF(BZ5&lt;CA5,TRUE),IF(AND(CA5="",BZ5&lt;&gt;""),TRUE))</formula>
    </cfRule>
    <cfRule type="expression" dxfId="558" priority="979">
      <formula>IF(BZ5&gt;=CA5,IF(BZ5="",FALSE,TRUE))</formula>
    </cfRule>
  </conditionalFormatting>
  <conditionalFormatting sqref="BU13 BS13 BS5:BS10 BU5:BU10">
    <cfRule type="expression" dxfId="557" priority="976">
      <formula>OR(IF(BS5&lt;BT5,TRUE),IF(AND(BT5="",BS5&lt;&gt;""),TRUE))</formula>
    </cfRule>
    <cfRule type="expression" dxfId="556" priority="977">
      <formula>IF(BS5&gt;=BT5,IF(BS5="",FALSE,TRUE))</formula>
    </cfRule>
  </conditionalFormatting>
  <conditionalFormatting sqref="BN13 BL13 BL5:BL10 BN5:BN10">
    <cfRule type="expression" dxfId="555" priority="974">
      <formula>OR(IF(BL5&lt;BM5,TRUE),IF(AND(BM5="",BL5&lt;&gt;""),TRUE))</formula>
    </cfRule>
    <cfRule type="expression" dxfId="554" priority="975">
      <formula>IF(BL5&gt;=BM5,IF(BL5="",FALSE,TRUE))</formula>
    </cfRule>
  </conditionalFormatting>
  <conditionalFormatting sqref="CP27:CP29 CN27:CN29">
    <cfRule type="expression" dxfId="553" priority="972">
      <formula>OR(IF(CN27&lt;CO27,TRUE),IF(AND(CO27="",CN27&lt;&gt;""),TRUE))</formula>
    </cfRule>
    <cfRule type="expression" dxfId="552" priority="973">
      <formula>IF(CN27&gt;=CO27,IF(CN27="",FALSE,TRUE))</formula>
    </cfRule>
  </conditionalFormatting>
  <conditionalFormatting sqref="CN24 CP24">
    <cfRule type="expression" dxfId="551" priority="970">
      <formula>OR(IF(CN24&lt;CO24,TRUE),IF(AND(CO24="",CN24&lt;&gt;""),TRUE))</formula>
    </cfRule>
    <cfRule type="expression" dxfId="550" priority="971">
      <formula>IF(CN24&gt;=CO24,IF(CN24="",FALSE,TRUE))</formula>
    </cfRule>
  </conditionalFormatting>
  <conditionalFormatting sqref="CN25 CP25">
    <cfRule type="expression" dxfId="549" priority="968">
      <formula>OR(IF(CN25&lt;CO25,TRUE),IF(AND(CO25="",CN25&lt;&gt;""),TRUE))</formula>
    </cfRule>
    <cfRule type="expression" dxfId="548" priority="969">
      <formula>IF(CN25&gt;=CO25,IF(CN25="",FALSE,TRUE))</formula>
    </cfRule>
  </conditionalFormatting>
  <conditionalFormatting sqref="CP26 CN26">
    <cfRule type="expression" dxfId="547" priority="966">
      <formula>OR(IF(CN26&lt;CO26,TRUE),IF(AND(CO26="",CN26&lt;&gt;""),TRUE))</formula>
    </cfRule>
    <cfRule type="expression" dxfId="546" priority="967">
      <formula>IF(CN26&gt;=CO26,IF(CN26="",FALSE,TRUE))</formula>
    </cfRule>
  </conditionalFormatting>
  <conditionalFormatting sqref="CP30:CP33 CN30:CN33">
    <cfRule type="expression" dxfId="545" priority="964">
      <formula>OR(IF(CN30&lt;CO30,TRUE),IF(AND(CO30="",CN30&lt;&gt;""),TRUE))</formula>
    </cfRule>
    <cfRule type="expression" dxfId="544" priority="965">
      <formula>IF(CN30&gt;=CO30,IF(CN30="",FALSE,TRUE))</formula>
    </cfRule>
  </conditionalFormatting>
  <conditionalFormatting sqref="BG33 BE33">
    <cfRule type="expression" dxfId="543" priority="864">
      <formula>OR(IF(BE33&lt;BF33,TRUE),IF(AND(BF33="",BE33&lt;&gt;""),TRUE))</formula>
    </cfRule>
    <cfRule type="expression" dxfId="542" priority="865">
      <formula>IF(BE33&gt;=BF33,IF(BE33="",FALSE,TRUE))</formula>
    </cfRule>
  </conditionalFormatting>
  <conditionalFormatting sqref="AL30 AJ30">
    <cfRule type="expression" dxfId="541" priority="834">
      <formula>OR(IF(AJ30&lt;AK30,TRUE),IF(AND(AK30="",AJ30&lt;&gt;""),TRUE))</formula>
    </cfRule>
    <cfRule type="expression" dxfId="540" priority="835">
      <formula>IF(AJ30&gt;=AK30,IF(AJ30="",FALSE,TRUE))</formula>
    </cfRule>
  </conditionalFormatting>
  <conditionalFormatting sqref="AE29 AC29">
    <cfRule type="expression" dxfId="539" priority="832">
      <formula>OR(IF(AC29&lt;AD29,TRUE),IF(AND(AD29="",AC29&lt;&gt;""),TRUE))</formula>
    </cfRule>
    <cfRule type="expression" dxfId="538" priority="833">
      <formula>IF(AC29&gt;=AD29,IF(AC29="",FALSE,TRUE))</formula>
    </cfRule>
  </conditionalFormatting>
  <conditionalFormatting sqref="X27:X28 V27:V28">
    <cfRule type="expression" dxfId="537" priority="824">
      <formula>OR(IF(V27&lt;W27,TRUE),IF(AND(W27="",V27&lt;&gt;""),TRUE))</formula>
    </cfRule>
    <cfRule type="expression" dxfId="536" priority="825">
      <formula>IF(V27&gt;=W27,IF(V27="",FALSE,TRUE))</formula>
    </cfRule>
  </conditionalFormatting>
  <conditionalFormatting sqref="O24 Q24">
    <cfRule type="expression" dxfId="535" priority="816">
      <formula>OR(IF(O24&lt;P24,TRUE),IF(AND(P24="",O24&lt;&gt;""),TRUE))</formula>
    </cfRule>
    <cfRule type="expression" dxfId="534" priority="817">
      <formula>IF(O24&gt;=P24,IF(O24="",FALSE,TRUE))</formula>
    </cfRule>
  </conditionalFormatting>
  <conditionalFormatting sqref="O25 Q25">
    <cfRule type="expression" dxfId="533" priority="814">
      <formula>OR(IF(O25&lt;P25,TRUE),IF(AND(P25="",O25&lt;&gt;""),TRUE))</formula>
    </cfRule>
    <cfRule type="expression" dxfId="532" priority="815">
      <formula>IF(O25&gt;=P25,IF(O25="",FALSE,TRUE))</formula>
    </cfRule>
  </conditionalFormatting>
  <conditionalFormatting sqref="Q26 O26">
    <cfRule type="expression" dxfId="531" priority="812">
      <formula>OR(IF(O26&lt;P26,TRUE),IF(AND(P26="",O26&lt;&gt;""),TRUE))</formula>
    </cfRule>
    <cfRule type="expression" dxfId="530" priority="813">
      <formula>IF(O26&gt;=P26,IF(O26="",FALSE,TRUE))</formula>
    </cfRule>
  </conditionalFormatting>
  <conditionalFormatting sqref="CN52 CP52">
    <cfRule type="expression" dxfId="529" priority="708">
      <formula>OR(IF(CN52&lt;CO52,TRUE),IF(AND(CO52="",CN52&lt;&gt;""),TRUE))</formula>
    </cfRule>
    <cfRule type="expression" dxfId="528" priority="709">
      <formula>IF(CN52&gt;=CO52,IF(CN52="",FALSE,TRUE))</formula>
    </cfRule>
  </conditionalFormatting>
  <conditionalFormatting sqref="X39 V39">
    <cfRule type="expression" dxfId="527" priority="726">
      <formula>OR(IF(V39&lt;W39,TRUE),IF(AND(W39="",V39&lt;&gt;""),TRUE))</formula>
    </cfRule>
    <cfRule type="expression" dxfId="526" priority="727">
      <formula>IF(V39&gt;=W39,IF(V39="",FALSE,TRUE))</formula>
    </cfRule>
  </conditionalFormatting>
  <conditionalFormatting sqref="AX43 AZ43">
    <cfRule type="expression" dxfId="525" priority="754">
      <formula>OR(IF(AX43&lt;AY43,TRUE),IF(AND(AY43="",AX43&lt;&gt;""),TRUE))</formula>
    </cfRule>
    <cfRule type="expression" dxfId="524" priority="755">
      <formula>IF(AX43&gt;=AY43,IF(AX43="",FALSE,TRUE))</formula>
    </cfRule>
  </conditionalFormatting>
  <conditionalFormatting sqref="AX42 AZ42">
    <cfRule type="expression" dxfId="523" priority="748">
      <formula>OR(IF(AX42&lt;AY42,TRUE),IF(AND(AY42="",AX42&lt;&gt;""),TRUE))</formula>
    </cfRule>
    <cfRule type="expression" dxfId="522" priority="749">
      <formula>IF(AX42&gt;=AY42,IF(AX42="",FALSE,TRUE))</formula>
    </cfRule>
  </conditionalFormatting>
  <conditionalFormatting sqref="AS41 AQ41">
    <cfRule type="expression" dxfId="521" priority="746">
      <formula>OR(IF(AQ41&lt;AR41,TRUE),IF(AND(AR41="",AQ41&lt;&gt;""),TRUE))</formula>
    </cfRule>
    <cfRule type="expression" dxfId="520" priority="747">
      <formula>IF(AQ41&gt;=AR41,IF(AQ41="",FALSE,TRUE))</formula>
    </cfRule>
  </conditionalFormatting>
  <conditionalFormatting sqref="AQ42 AS42">
    <cfRule type="expression" dxfId="519" priority="740">
      <formula>OR(IF(AQ42&lt;AR42,TRUE),IF(AND(AR42="",AQ42&lt;&gt;""),TRUE))</formula>
    </cfRule>
    <cfRule type="expression" dxfId="518" priority="741">
      <formula>IF(AQ42&gt;=AR42,IF(AQ42="",FALSE,TRUE))</formula>
    </cfRule>
  </conditionalFormatting>
  <conditionalFormatting sqref="AL41 AJ41">
    <cfRule type="expression" dxfId="517" priority="738">
      <formula>OR(IF(AJ41&lt;AK41,TRUE),IF(AND(AK41="",AJ41&lt;&gt;""),TRUE))</formula>
    </cfRule>
    <cfRule type="expression" dxfId="516" priority="739">
      <formula>IF(AJ41&gt;=AK41,IF(AJ41="",FALSE,TRUE))</formula>
    </cfRule>
  </conditionalFormatting>
  <conditionalFormatting sqref="AE40 AC40">
    <cfRule type="expression" dxfId="515" priority="732">
      <formula>OR(IF(AC40&lt;AD40,TRUE),IF(AND(AD40="",AC40&lt;&gt;""),TRUE))</formula>
    </cfRule>
    <cfRule type="expression" dxfId="514" priority="733">
      <formula>IF(AC40&gt;=AD40,IF(AC40="",FALSE,TRUE))</formula>
    </cfRule>
  </conditionalFormatting>
  <conditionalFormatting sqref="Q38 O38">
    <cfRule type="expression" dxfId="513" priority="720">
      <formula>OR(IF(O38&lt;P38,TRUE),IF(AND(P38="",O38&lt;&gt;""),TRUE))</formula>
    </cfRule>
    <cfRule type="expression" dxfId="512" priority="721">
      <formula>IF(O38&gt;=P38,IF(O38="",FALSE,TRUE))</formula>
    </cfRule>
  </conditionalFormatting>
  <conditionalFormatting sqref="O36:O37">
    <cfRule type="expression" dxfId="511" priority="718">
      <formula>OR(IF(O36&lt;P36,TRUE),IF(AND(P36="",O36&lt;&gt;""),TRUE))</formula>
    </cfRule>
    <cfRule type="expression" dxfId="510" priority="719">
      <formula>IF(O36&gt;=P36,IF(O36="",FALSE,TRUE))</formula>
    </cfRule>
  </conditionalFormatting>
  <conditionalFormatting sqref="Q36:Q37">
    <cfRule type="expression" dxfId="509" priority="716">
      <formula>OR(IF(Q36&lt;R36,TRUE),IF(AND(R36="",Q36&lt;&gt;""),TRUE))</formula>
    </cfRule>
    <cfRule type="expression" dxfId="508" priority="717">
      <formula>IF(Q36&gt;=R36,IF(Q36="",FALSE,TRUE))</formula>
    </cfRule>
  </conditionalFormatting>
  <conditionalFormatting sqref="CP48:CP51 CN48:CN51">
    <cfRule type="expression" dxfId="507" priority="714">
      <formula>OR(IF(CN48&lt;CO48,TRUE),IF(AND(CO48="",CN48&lt;&gt;""),TRUE))</formula>
    </cfRule>
    <cfRule type="expression" dxfId="506" priority="715">
      <formula>IF(CN48&gt;=CO48,IF(CN48="",FALSE,TRUE))</formula>
    </cfRule>
  </conditionalFormatting>
  <conditionalFormatting sqref="CN46:CN47">
    <cfRule type="expression" dxfId="505" priority="712">
      <formula>OR(IF(CN46&lt;CO46,TRUE),IF(AND(CO46="",CN46&lt;&gt;""),TRUE))</formula>
    </cfRule>
    <cfRule type="expression" dxfId="504" priority="713">
      <formula>IF(CN46&gt;=CO46,IF(CN46="",FALSE,TRUE))</formula>
    </cfRule>
  </conditionalFormatting>
  <conditionalFormatting sqref="CP46:CP47">
    <cfRule type="expression" dxfId="503" priority="710">
      <formula>OR(IF(CP46&lt;CQ46,TRUE),IF(AND(CQ46="",CP46&lt;&gt;""),TRUE))</formula>
    </cfRule>
    <cfRule type="expression" dxfId="502" priority="711">
      <formula>IF(CP46&gt;=CQ46,IF(CP46="",FALSE,TRUE))</formula>
    </cfRule>
  </conditionalFormatting>
  <conditionalFormatting sqref="BZ52 CB52">
    <cfRule type="expression" dxfId="501" priority="692">
      <formula>OR(IF(BZ52&lt;CA52,TRUE),IF(AND(CA52="",BZ52&lt;&gt;""),TRUE))</formula>
    </cfRule>
    <cfRule type="expression" dxfId="500" priority="693">
      <formula>IF(BZ52&gt;=CA52,IF(BZ52="",FALSE,TRUE))</formula>
    </cfRule>
  </conditionalFormatting>
  <conditionalFormatting sqref="CB48:CB51 BZ48:BZ51">
    <cfRule type="expression" dxfId="499" priority="698">
      <formula>OR(IF(BZ48&lt;CA48,TRUE),IF(AND(CA48="",BZ48&lt;&gt;""),TRUE))</formula>
    </cfRule>
    <cfRule type="expression" dxfId="498" priority="699">
      <formula>IF(BZ48&gt;=CA48,IF(BZ48="",FALSE,TRUE))</formula>
    </cfRule>
  </conditionalFormatting>
  <conditionalFormatting sqref="BZ46:BZ47">
    <cfRule type="expression" dxfId="497" priority="696">
      <formula>OR(IF(BZ46&lt;CA46,TRUE),IF(AND(CA46="",BZ46&lt;&gt;""),TRUE))</formula>
    </cfRule>
    <cfRule type="expression" dxfId="496" priority="697">
      <formula>IF(BZ46&gt;=CA46,IF(BZ46="",FALSE,TRUE))</formula>
    </cfRule>
  </conditionalFormatting>
  <conditionalFormatting sqref="CB46:CB47">
    <cfRule type="expression" dxfId="495" priority="694">
      <formula>OR(IF(CB46&lt;CC46,TRUE),IF(AND(CC46="",CB46&lt;&gt;""),TRUE))</formula>
    </cfRule>
    <cfRule type="expression" dxfId="494" priority="695">
      <formula>IF(CB46&gt;=CC46,IF(CB46="",FALSE,TRUE))</formula>
    </cfRule>
  </conditionalFormatting>
  <conditionalFormatting sqref="BL52 BN52">
    <cfRule type="expression" dxfId="493" priority="676">
      <formula>OR(IF(BL52&lt;BM52,TRUE),IF(AND(BM52="",BL52&lt;&gt;""),TRUE))</formula>
    </cfRule>
    <cfRule type="expression" dxfId="492" priority="677">
      <formula>IF(BL52&gt;=BM52,IF(BL52="",FALSE,TRUE))</formula>
    </cfRule>
  </conditionalFormatting>
  <conditionalFormatting sqref="BN48:BN51 BL48:BL51">
    <cfRule type="expression" dxfId="491" priority="682">
      <formula>OR(IF(BL48&lt;BM48,TRUE),IF(AND(BM48="",BL48&lt;&gt;""),TRUE))</formula>
    </cfRule>
    <cfRule type="expression" dxfId="490" priority="683">
      <formula>IF(BL48&gt;=BM48,IF(BL48="",FALSE,TRUE))</formula>
    </cfRule>
  </conditionalFormatting>
  <conditionalFormatting sqref="BL46:BL47">
    <cfRule type="expression" dxfId="489" priority="680">
      <formula>OR(IF(BL46&lt;BM46,TRUE),IF(AND(BM46="",BL46&lt;&gt;""),TRUE))</formula>
    </cfRule>
    <cfRule type="expression" dxfId="488" priority="681">
      <formula>IF(BL46&gt;=BM46,IF(BL46="",FALSE,TRUE))</formula>
    </cfRule>
  </conditionalFormatting>
  <conditionalFormatting sqref="BN46:BN47">
    <cfRule type="expression" dxfId="487" priority="678">
      <formula>OR(IF(BN46&lt;BO46,TRUE),IF(AND(BO46="",BN46&lt;&gt;""),TRUE))</formula>
    </cfRule>
    <cfRule type="expression" dxfId="486" priority="679">
      <formula>IF(BN46&gt;=BO46,IF(BN46="",FALSE,TRUE))</formula>
    </cfRule>
  </conditionalFormatting>
  <conditionalFormatting sqref="BE52 BG52">
    <cfRule type="expression" dxfId="485" priority="668">
      <formula>OR(IF(BE52&lt;BF52,TRUE),IF(AND(BF52="",BE52&lt;&gt;""),TRUE))</formula>
    </cfRule>
    <cfRule type="expression" dxfId="484" priority="669">
      <formula>IF(BE52&gt;=BF52,IF(BE52="",FALSE,TRUE))</formula>
    </cfRule>
  </conditionalFormatting>
  <conditionalFormatting sqref="BG48:BG51 BE48:BE51">
    <cfRule type="expression" dxfId="483" priority="674">
      <formula>OR(IF(BE48&lt;BF48,TRUE),IF(AND(BF48="",BE48&lt;&gt;""),TRUE))</formula>
    </cfRule>
    <cfRule type="expression" dxfId="482" priority="675">
      <formula>IF(BE48&gt;=BF48,IF(BE48="",FALSE,TRUE))</formula>
    </cfRule>
  </conditionalFormatting>
  <conditionalFormatting sqref="BE46:BE47">
    <cfRule type="expression" dxfId="481" priority="672">
      <formula>OR(IF(BE46&lt;BF46,TRUE),IF(AND(BF46="",BE46&lt;&gt;""),TRUE))</formula>
    </cfRule>
    <cfRule type="expression" dxfId="480" priority="673">
      <formula>IF(BE46&gt;=BF46,IF(BE46="",FALSE,TRUE))</formula>
    </cfRule>
  </conditionalFormatting>
  <conditionalFormatting sqref="BG46:BG47">
    <cfRule type="expression" dxfId="479" priority="670">
      <formula>OR(IF(BG46&lt;BH46,TRUE),IF(AND(BH46="",BG46&lt;&gt;""),TRUE))</formula>
    </cfRule>
    <cfRule type="expression" dxfId="478" priority="671">
      <formula>IF(BG46&gt;=BH46,IF(BG46="",FALSE,TRUE))</formula>
    </cfRule>
  </conditionalFormatting>
  <conditionalFormatting sqref="AZ51 AX51">
    <cfRule type="expression" dxfId="477" priority="666">
      <formula>OR(IF(AX51&lt;AY51,TRUE),IF(AND(AY51="",AX51&lt;&gt;""),TRUE))</formula>
    </cfRule>
    <cfRule type="expression" dxfId="476" priority="667">
      <formula>IF(AX51&gt;=AY51,IF(AX51="",FALSE,TRUE))</formula>
    </cfRule>
  </conditionalFormatting>
  <conditionalFormatting sqref="AS50 AQ50">
    <cfRule type="expression" dxfId="475" priority="660">
      <formula>OR(IF(AQ50&lt;AR50,TRUE),IF(AND(AR50="",AQ50&lt;&gt;""),TRUE))</formula>
    </cfRule>
    <cfRule type="expression" dxfId="474" priority="661">
      <formula>IF(AQ50&gt;=AR50,IF(AQ50="",FALSE,TRUE))</formula>
    </cfRule>
  </conditionalFormatting>
  <conditionalFormatting sqref="AL48:AL49 AJ48:AJ49">
    <cfRule type="expression" dxfId="473" priority="654">
      <formula>OR(IF(AJ48&lt;AK48,TRUE),IF(AND(AK48="",AJ48&lt;&gt;""),TRUE))</formula>
    </cfRule>
    <cfRule type="expression" dxfId="472" priority="655">
      <formula>IF(AJ48&gt;=AK48,IF(AJ48="",FALSE,TRUE))</formula>
    </cfRule>
  </conditionalFormatting>
  <conditionalFormatting sqref="AJ46:AJ47">
    <cfRule type="expression" dxfId="471" priority="652">
      <formula>OR(IF(AJ46&lt;AK46,TRUE),IF(AND(AK46="",AJ46&lt;&gt;""),TRUE))</formula>
    </cfRule>
    <cfRule type="expression" dxfId="470" priority="653">
      <formula>IF(AJ46&gt;=AK46,IF(AJ46="",FALSE,TRUE))</formula>
    </cfRule>
  </conditionalFormatting>
  <conditionalFormatting sqref="AL46:AL47">
    <cfRule type="expression" dxfId="469" priority="650">
      <formula>OR(IF(AL46&lt;AM46,TRUE),IF(AND(AM46="",AL46&lt;&gt;""),TRUE))</formula>
    </cfRule>
    <cfRule type="expression" dxfId="468" priority="651">
      <formula>IF(AL46&gt;=AM46,IF(AL46="",FALSE,TRUE))</formula>
    </cfRule>
  </conditionalFormatting>
  <conditionalFormatting sqref="AE48 AC48">
    <cfRule type="expression" dxfId="467" priority="648">
      <formula>OR(IF(AC48&lt;AD48,TRUE),IF(AND(AD48="",AC48&lt;&gt;""),TRUE))</formula>
    </cfRule>
    <cfRule type="expression" dxfId="466" priority="649">
      <formula>IF(AC48&gt;=AD48,IF(AC48="",FALSE,TRUE))</formula>
    </cfRule>
  </conditionalFormatting>
  <conditionalFormatting sqref="AC46:AC47">
    <cfRule type="expression" dxfId="465" priority="646">
      <formula>OR(IF(AC46&lt;AD46,TRUE),IF(AND(AD46="",AC46&lt;&gt;""),TRUE))</formula>
    </cfRule>
    <cfRule type="expression" dxfId="464" priority="647">
      <formula>IF(AC46&gt;=AD46,IF(AC46="",FALSE,TRUE))</formula>
    </cfRule>
  </conditionalFormatting>
  <conditionalFormatting sqref="AE46:AE47">
    <cfRule type="expression" dxfId="463" priority="644">
      <formula>OR(IF(AE46&lt;AF46,TRUE),IF(AND(AF46="",AE46&lt;&gt;""),TRUE))</formula>
    </cfRule>
    <cfRule type="expression" dxfId="462" priority="645">
      <formula>IF(AE46&gt;=AF46,IF(AE46="",FALSE,TRUE))</formula>
    </cfRule>
  </conditionalFormatting>
  <conditionalFormatting sqref="O46">
    <cfRule type="expression" dxfId="461" priority="638">
      <formula>OR(IF(O46&lt;P46,TRUE),IF(AND(P46="",O46&lt;&gt;""),TRUE))</formula>
    </cfRule>
    <cfRule type="expression" dxfId="460" priority="639">
      <formula>IF(O46&gt;=P46,IF(O46="",FALSE,TRUE))</formula>
    </cfRule>
  </conditionalFormatting>
  <conditionalFormatting sqref="Q46">
    <cfRule type="expression" dxfId="459" priority="636">
      <formula>OR(IF(Q46&lt;R46,TRUE),IF(AND(R46="",Q46&lt;&gt;""),TRUE))</formula>
    </cfRule>
    <cfRule type="expression" dxfId="458" priority="637">
      <formula>IF(Q46&gt;=R46,IF(Q46="",FALSE,TRUE))</formula>
    </cfRule>
  </conditionalFormatting>
  <conditionalFormatting sqref="Q56:Q61 O56:O61 X57:X61 V57:V61 AE58:AE61 AC58:AC61 AJ59:AJ61 AL59:AL61 AS60:AS61 AQ60:AQ61 AX61 AZ61">
    <cfRule type="expression" dxfId="457" priority="631">
      <formula>OR(IF(O56&lt;P56,TRUE),IF(AND(P56="",O56&lt;&gt;""),TRUE))</formula>
    </cfRule>
    <cfRule type="expression" dxfId="456" priority="632">
      <formula>IF(O56&gt;=P56,IF(O56="",FALSE,TRUE))</formula>
    </cfRule>
  </conditionalFormatting>
  <conditionalFormatting sqref="DK55:DK61 DI55:DI61">
    <cfRule type="expression" dxfId="455" priority="625">
      <formula>OR(IF(DI55&lt;DJ55,TRUE),IF(AND(DJ55="",DI55&lt;&gt;""),TRUE))</formula>
    </cfRule>
    <cfRule type="expression" dxfId="454" priority="626">
      <formula>IF(DI55&gt;=DJ55,IF(DI55="",FALSE,TRUE))</formula>
    </cfRule>
  </conditionalFormatting>
  <conditionalFormatting sqref="J56:K61">
    <cfRule type="colorScale" priority="633">
      <colorScale>
        <cfvo type="percent" val="0"/>
        <cfvo type="percent" val="100"/>
        <color rgb="FFFF231B"/>
        <color rgb="FF10FF07"/>
      </colorScale>
    </cfRule>
  </conditionalFormatting>
  <conditionalFormatting sqref="J55:J61">
    <cfRule type="colorScale" priority="634">
      <colorScale>
        <cfvo type="percent" val="0"/>
        <cfvo type="percent" val="100"/>
        <color rgb="FFFF231B"/>
        <color rgb="FF10FF07"/>
      </colorScale>
    </cfRule>
  </conditionalFormatting>
  <conditionalFormatting sqref="K55:K61">
    <cfRule type="colorScale" priority="635">
      <colorScale>
        <cfvo type="percent" val="0"/>
        <cfvo type="percent" val="100"/>
        <color rgb="FFFF231B"/>
        <color rgb="FF10FF07"/>
      </colorScale>
    </cfRule>
  </conditionalFormatting>
  <conditionalFormatting sqref="DR55:DR61 DP55:DP61">
    <cfRule type="expression" dxfId="453" priority="623">
      <formula>OR(IF(DP55&lt;DQ55,TRUE),IF(AND(DQ55="",DP55&lt;&gt;""),TRUE))</formula>
    </cfRule>
    <cfRule type="expression" dxfId="452" priority="624">
      <formula>IF(DP55&gt;=DQ55,IF(DP55="",FALSE,TRUE))</formula>
    </cfRule>
  </conditionalFormatting>
  <conditionalFormatting sqref="EF55:EF61 ED55:ED61">
    <cfRule type="expression" dxfId="451" priority="619">
      <formula>OR(IF(ED55&lt;EE55,TRUE),IF(AND(EE55="",ED55&lt;&gt;""),TRUE))</formula>
    </cfRule>
    <cfRule type="expression" dxfId="450" priority="620">
      <formula>IF(ED55&gt;=EE55,IF(ED55="",FALSE,TRUE))</formula>
    </cfRule>
  </conditionalFormatting>
  <conditionalFormatting sqref="CW55:CW61 CU55:CU61">
    <cfRule type="expression" dxfId="449" priority="629">
      <formula>OR(IF(CU55&lt;CV55,TRUE),IF(AND(CV55="",CU55&lt;&gt;""),TRUE))</formula>
    </cfRule>
    <cfRule type="expression" dxfId="448" priority="630">
      <formula>IF(CU55&gt;=CV55,IF(CU55="",FALSE,TRUE))</formula>
    </cfRule>
  </conditionalFormatting>
  <conditionalFormatting sqref="DD55:DD61 DB55:DB61">
    <cfRule type="expression" dxfId="447" priority="627">
      <formula>OR(IF(DB55&lt;DC55,TRUE),IF(AND(DC55="",DB55&lt;&gt;""),TRUE))</formula>
    </cfRule>
    <cfRule type="expression" dxfId="446" priority="628">
      <formula>IF(DB55&gt;=DC55,IF(DB55="",FALSE,TRUE))</formula>
    </cfRule>
  </conditionalFormatting>
  <conditionalFormatting sqref="DY55:DY61 DW55:DW61">
    <cfRule type="expression" dxfId="445" priority="621">
      <formula>OR(IF(DW55&lt;DX55,TRUE),IF(AND(DX55="",DW55&lt;&gt;""),TRUE))</formula>
    </cfRule>
    <cfRule type="expression" dxfId="444" priority="622">
      <formula>IF(DW55&gt;=DX55,IF(DW55="",FALSE,TRUE))</formula>
    </cfRule>
  </conditionalFormatting>
  <conditionalFormatting sqref="CN61 CP61">
    <cfRule type="expression" dxfId="443" priority="611">
      <formula>OR(IF(CN61&lt;CO61,TRUE),IF(AND(CO61="",CN61&lt;&gt;""),TRUE))</formula>
    </cfRule>
    <cfRule type="expression" dxfId="442" priority="612">
      <formula>IF(CN61&gt;=CO61,IF(CN61="",FALSE,TRUE))</formula>
    </cfRule>
  </conditionalFormatting>
  <conditionalFormatting sqref="CP57:CP60 CN57:CN60">
    <cfRule type="expression" dxfId="441" priority="617">
      <formula>OR(IF(CN57&lt;CO57,TRUE),IF(AND(CO57="",CN57&lt;&gt;""),TRUE))</formula>
    </cfRule>
    <cfRule type="expression" dxfId="440" priority="618">
      <formula>IF(CN57&gt;=CO57,IF(CN57="",FALSE,TRUE))</formula>
    </cfRule>
  </conditionalFormatting>
  <conditionalFormatting sqref="CN55:CN56">
    <cfRule type="expression" dxfId="439" priority="615">
      <formula>OR(IF(CN55&lt;CO55,TRUE),IF(AND(CO55="",CN55&lt;&gt;""),TRUE))</formula>
    </cfRule>
    <cfRule type="expression" dxfId="438" priority="616">
      <formula>IF(CN55&gt;=CO55,IF(CN55="",FALSE,TRUE))</formula>
    </cfRule>
  </conditionalFormatting>
  <conditionalFormatting sqref="CP55:CP56">
    <cfRule type="expression" dxfId="437" priority="613">
      <formula>OR(IF(CP55&lt;CQ55,TRUE),IF(AND(CQ55="",CP55&lt;&gt;""),TRUE))</formula>
    </cfRule>
    <cfRule type="expression" dxfId="436" priority="614">
      <formula>IF(CP55&gt;=CQ55,IF(CP55="",FALSE,TRUE))</formula>
    </cfRule>
  </conditionalFormatting>
  <conditionalFormatting sqref="CG61 CI61">
    <cfRule type="expression" dxfId="435" priority="603">
      <formula>OR(IF(CG61&lt;CH61,TRUE),IF(AND(CH61="",CG61&lt;&gt;""),TRUE))</formula>
    </cfRule>
    <cfRule type="expression" dxfId="434" priority="604">
      <formula>IF(CG61&gt;=CH61,IF(CG61="",FALSE,TRUE))</formula>
    </cfRule>
  </conditionalFormatting>
  <conditionalFormatting sqref="CI57:CI60 CG57:CG60">
    <cfRule type="expression" dxfId="433" priority="609">
      <formula>OR(IF(CG57&lt;CH57,TRUE),IF(AND(CH57="",CG57&lt;&gt;""),TRUE))</formula>
    </cfRule>
    <cfRule type="expression" dxfId="432" priority="610">
      <formula>IF(CG57&gt;=CH57,IF(CG57="",FALSE,TRUE))</formula>
    </cfRule>
  </conditionalFormatting>
  <conditionalFormatting sqref="CG55:CG56">
    <cfRule type="expression" dxfId="431" priority="607">
      <formula>OR(IF(CG55&lt;CH55,TRUE),IF(AND(CH55="",CG55&lt;&gt;""),TRUE))</formula>
    </cfRule>
    <cfRule type="expression" dxfId="430" priority="608">
      <formula>IF(CG55&gt;=CH55,IF(CG55="",FALSE,TRUE))</formula>
    </cfRule>
  </conditionalFormatting>
  <conditionalFormatting sqref="CI55:CI56">
    <cfRule type="expression" dxfId="429" priority="605">
      <formula>OR(IF(CI55&lt;CJ55,TRUE),IF(AND(CJ55="",CI55&lt;&gt;""),TRUE))</formula>
    </cfRule>
    <cfRule type="expression" dxfId="428" priority="606">
      <formula>IF(CI55&gt;=CJ55,IF(CI55="",FALSE,TRUE))</formula>
    </cfRule>
  </conditionalFormatting>
  <conditionalFormatting sqref="BZ61 CB61">
    <cfRule type="expression" dxfId="427" priority="595">
      <formula>OR(IF(BZ61&lt;CA61,TRUE),IF(AND(CA61="",BZ61&lt;&gt;""),TRUE))</formula>
    </cfRule>
    <cfRule type="expression" dxfId="426" priority="596">
      <formula>IF(BZ61&gt;=CA61,IF(BZ61="",FALSE,TRUE))</formula>
    </cfRule>
  </conditionalFormatting>
  <conditionalFormatting sqref="CB57:CB60 BZ57:BZ60">
    <cfRule type="expression" dxfId="425" priority="601">
      <formula>OR(IF(BZ57&lt;CA57,TRUE),IF(AND(CA57="",BZ57&lt;&gt;""),TRUE))</formula>
    </cfRule>
    <cfRule type="expression" dxfId="424" priority="602">
      <formula>IF(BZ57&gt;=CA57,IF(BZ57="",FALSE,TRUE))</formula>
    </cfRule>
  </conditionalFormatting>
  <conditionalFormatting sqref="BZ55:BZ56">
    <cfRule type="expression" dxfId="423" priority="599">
      <formula>OR(IF(BZ55&lt;CA55,TRUE),IF(AND(CA55="",BZ55&lt;&gt;""),TRUE))</formula>
    </cfRule>
    <cfRule type="expression" dxfId="422" priority="600">
      <formula>IF(BZ55&gt;=CA55,IF(BZ55="",FALSE,TRUE))</formula>
    </cfRule>
  </conditionalFormatting>
  <conditionalFormatting sqref="CB55:CB56">
    <cfRule type="expression" dxfId="421" priority="597">
      <formula>OR(IF(CB55&lt;CC55,TRUE),IF(AND(CC55="",CB55&lt;&gt;""),TRUE))</formula>
    </cfRule>
    <cfRule type="expression" dxfId="420" priority="598">
      <formula>IF(CB55&gt;=CC55,IF(CB55="",FALSE,TRUE))</formula>
    </cfRule>
  </conditionalFormatting>
  <conditionalFormatting sqref="BS61 BU61">
    <cfRule type="expression" dxfId="419" priority="587">
      <formula>OR(IF(BS61&lt;BT61,TRUE),IF(AND(BT61="",BS61&lt;&gt;""),TRUE))</formula>
    </cfRule>
    <cfRule type="expression" dxfId="418" priority="588">
      <formula>IF(BS61&gt;=BT61,IF(BS61="",FALSE,TRUE))</formula>
    </cfRule>
  </conditionalFormatting>
  <conditionalFormatting sqref="BU57:BU60 BS57:BS60">
    <cfRule type="expression" dxfId="417" priority="593">
      <formula>OR(IF(BS57&lt;BT57,TRUE),IF(AND(BT57="",BS57&lt;&gt;""),TRUE))</formula>
    </cfRule>
    <cfRule type="expression" dxfId="416" priority="594">
      <formula>IF(BS57&gt;=BT57,IF(BS57="",FALSE,TRUE))</formula>
    </cfRule>
  </conditionalFormatting>
  <conditionalFormatting sqref="BS55:BS56">
    <cfRule type="expression" dxfId="415" priority="591">
      <formula>OR(IF(BS55&lt;BT55,TRUE),IF(AND(BT55="",BS55&lt;&gt;""),TRUE))</formula>
    </cfRule>
    <cfRule type="expression" dxfId="414" priority="592">
      <formula>IF(BS55&gt;=BT55,IF(BS55="",FALSE,TRUE))</formula>
    </cfRule>
  </conditionalFormatting>
  <conditionalFormatting sqref="BU55:BU56">
    <cfRule type="expression" dxfId="413" priority="589">
      <formula>OR(IF(BU55&lt;BV55,TRUE),IF(AND(BV55="",BU55&lt;&gt;""),TRUE))</formula>
    </cfRule>
    <cfRule type="expression" dxfId="412" priority="590">
      <formula>IF(BU55&gt;=BV55,IF(BU55="",FALSE,TRUE))</formula>
    </cfRule>
  </conditionalFormatting>
  <conditionalFormatting sqref="BL61 BN61">
    <cfRule type="expression" dxfId="411" priority="579">
      <formula>OR(IF(BL61&lt;BM61,TRUE),IF(AND(BM61="",BL61&lt;&gt;""),TRUE))</formula>
    </cfRule>
    <cfRule type="expression" dxfId="410" priority="580">
      <formula>IF(BL61&gt;=BM61,IF(BL61="",FALSE,TRUE))</formula>
    </cfRule>
  </conditionalFormatting>
  <conditionalFormatting sqref="BN57:BN60 BL57:BL60">
    <cfRule type="expression" dxfId="409" priority="585">
      <formula>OR(IF(BL57&lt;BM57,TRUE),IF(AND(BM57="",BL57&lt;&gt;""),TRUE))</formula>
    </cfRule>
    <cfRule type="expression" dxfId="408" priority="586">
      <formula>IF(BL57&gt;=BM57,IF(BL57="",FALSE,TRUE))</formula>
    </cfRule>
  </conditionalFormatting>
  <conditionalFormatting sqref="BL55:BL56">
    <cfRule type="expression" dxfId="407" priority="583">
      <formula>OR(IF(BL55&lt;BM55,TRUE),IF(AND(BM55="",BL55&lt;&gt;""),TRUE))</formula>
    </cfRule>
    <cfRule type="expression" dxfId="406" priority="584">
      <formula>IF(BL55&gt;=BM55,IF(BL55="",FALSE,TRUE))</formula>
    </cfRule>
  </conditionalFormatting>
  <conditionalFormatting sqref="BN55:BN56">
    <cfRule type="expression" dxfId="405" priority="581">
      <formula>OR(IF(BN55&lt;BO55,TRUE),IF(AND(BO55="",BN55&lt;&gt;""),TRUE))</formula>
    </cfRule>
    <cfRule type="expression" dxfId="404" priority="582">
      <formula>IF(BN55&gt;=BO55,IF(BN55="",FALSE,TRUE))</formula>
    </cfRule>
  </conditionalFormatting>
  <conditionalFormatting sqref="BE61 BG61">
    <cfRule type="expression" dxfId="403" priority="571">
      <formula>OR(IF(BE61&lt;BF61,TRUE),IF(AND(BF61="",BE61&lt;&gt;""),TRUE))</formula>
    </cfRule>
    <cfRule type="expression" dxfId="402" priority="572">
      <formula>IF(BE61&gt;=BF61,IF(BE61="",FALSE,TRUE))</formula>
    </cfRule>
  </conditionalFormatting>
  <conditionalFormatting sqref="BG57:BG60 BE57:BE60">
    <cfRule type="expression" dxfId="401" priority="577">
      <formula>OR(IF(BE57&lt;BF57,TRUE),IF(AND(BF57="",BE57&lt;&gt;""),TRUE))</formula>
    </cfRule>
    <cfRule type="expression" dxfId="400" priority="578">
      <formula>IF(BE57&gt;=BF57,IF(BE57="",FALSE,TRUE))</formula>
    </cfRule>
  </conditionalFormatting>
  <conditionalFormatting sqref="BE55:BE56">
    <cfRule type="expression" dxfId="399" priority="575">
      <formula>OR(IF(BE55&lt;BF55,TRUE),IF(AND(BF55="",BE55&lt;&gt;""),TRUE))</formula>
    </cfRule>
    <cfRule type="expression" dxfId="398" priority="576">
      <formula>IF(BE55&gt;=BF55,IF(BE55="",FALSE,TRUE))</formula>
    </cfRule>
  </conditionalFormatting>
  <conditionalFormatting sqref="BG55:BG56">
    <cfRule type="expression" dxfId="397" priority="573">
      <formula>OR(IF(BG55&lt;BH55,TRUE),IF(AND(BH55="",BG55&lt;&gt;""),TRUE))</formula>
    </cfRule>
    <cfRule type="expression" dxfId="396" priority="574">
      <formula>IF(BG55&gt;=BH55,IF(BG55="",FALSE,TRUE))</formula>
    </cfRule>
  </conditionalFormatting>
  <conditionalFormatting sqref="AZ57:AZ60 AX57:AX60">
    <cfRule type="expression" dxfId="395" priority="569">
      <formula>OR(IF(AX57&lt;AY57,TRUE),IF(AND(AY57="",AX57&lt;&gt;""),TRUE))</formula>
    </cfRule>
    <cfRule type="expression" dxfId="394" priority="570">
      <formula>IF(AX57&gt;=AY57,IF(AX57="",FALSE,TRUE))</formula>
    </cfRule>
  </conditionalFormatting>
  <conditionalFormatting sqref="AX55:AX56">
    <cfRule type="expression" dxfId="393" priority="567">
      <formula>OR(IF(AX55&lt;AY55,TRUE),IF(AND(AY55="",AX55&lt;&gt;""),TRUE))</formula>
    </cfRule>
    <cfRule type="expression" dxfId="392" priority="568">
      <formula>IF(AX55&gt;=AY55,IF(AX55="",FALSE,TRUE))</formula>
    </cfRule>
  </conditionalFormatting>
  <conditionalFormatting sqref="AZ55:AZ56">
    <cfRule type="expression" dxfId="391" priority="565">
      <formula>OR(IF(AZ55&lt;BA55,TRUE),IF(AND(BA55="",AZ55&lt;&gt;""),TRUE))</formula>
    </cfRule>
    <cfRule type="expression" dxfId="390" priority="566">
      <formula>IF(AZ55&gt;=BA55,IF(AZ55="",FALSE,TRUE))</formula>
    </cfRule>
  </conditionalFormatting>
  <conditionalFormatting sqref="AS57:AS59 AQ57:AQ59">
    <cfRule type="expression" dxfId="389" priority="563">
      <formula>OR(IF(AQ57&lt;AR57,TRUE),IF(AND(AR57="",AQ57&lt;&gt;""),TRUE))</formula>
    </cfRule>
    <cfRule type="expression" dxfId="388" priority="564">
      <formula>IF(AQ57&gt;=AR57,IF(AQ57="",FALSE,TRUE))</formula>
    </cfRule>
  </conditionalFormatting>
  <conditionalFormatting sqref="AQ55:AQ56">
    <cfRule type="expression" dxfId="387" priority="561">
      <formula>OR(IF(AQ55&lt;AR55,TRUE),IF(AND(AR55="",AQ55&lt;&gt;""),TRUE))</formula>
    </cfRule>
    <cfRule type="expression" dxfId="386" priority="562">
      <formula>IF(AQ55&gt;=AR55,IF(AQ55="",FALSE,TRUE))</formula>
    </cfRule>
  </conditionalFormatting>
  <conditionalFormatting sqref="AS55:AS56">
    <cfRule type="expression" dxfId="385" priority="559">
      <formula>OR(IF(AS55&lt;AT55,TRUE),IF(AND(AT55="",AS55&lt;&gt;""),TRUE))</formula>
    </cfRule>
    <cfRule type="expression" dxfId="384" priority="560">
      <formula>IF(AS55&gt;=AT55,IF(AS55="",FALSE,TRUE))</formula>
    </cfRule>
  </conditionalFormatting>
  <conditionalFormatting sqref="AL57:AL58 AJ57:AJ58">
    <cfRule type="expression" dxfId="383" priority="557">
      <formula>OR(IF(AJ57&lt;AK57,TRUE),IF(AND(AK57="",AJ57&lt;&gt;""),TRUE))</formula>
    </cfRule>
    <cfRule type="expression" dxfId="382" priority="558">
      <formula>IF(AJ57&gt;=AK57,IF(AJ57="",FALSE,TRUE))</formula>
    </cfRule>
  </conditionalFormatting>
  <conditionalFormatting sqref="AJ55:AJ56">
    <cfRule type="expression" dxfId="381" priority="555">
      <formula>OR(IF(AJ55&lt;AK55,TRUE),IF(AND(AK55="",AJ55&lt;&gt;""),TRUE))</formula>
    </cfRule>
    <cfRule type="expression" dxfId="380" priority="556">
      <formula>IF(AJ55&gt;=AK55,IF(AJ55="",FALSE,TRUE))</formula>
    </cfRule>
  </conditionalFormatting>
  <conditionalFormatting sqref="AL55:AL56">
    <cfRule type="expression" dxfId="379" priority="553">
      <formula>OR(IF(AL55&lt;AM55,TRUE),IF(AND(AM55="",AL55&lt;&gt;""),TRUE))</formula>
    </cfRule>
    <cfRule type="expression" dxfId="378" priority="554">
      <formula>IF(AL55&gt;=AM55,IF(AL55="",FALSE,TRUE))</formula>
    </cfRule>
  </conditionalFormatting>
  <conditionalFormatting sqref="AE57 AC57">
    <cfRule type="expression" dxfId="377" priority="551">
      <formula>OR(IF(AC57&lt;AD57,TRUE),IF(AND(AD57="",AC57&lt;&gt;""),TRUE))</formula>
    </cfRule>
    <cfRule type="expression" dxfId="376" priority="552">
      <formula>IF(AC57&gt;=AD57,IF(AC57="",FALSE,TRUE))</formula>
    </cfRule>
  </conditionalFormatting>
  <conditionalFormatting sqref="AC55:AC56">
    <cfRule type="expression" dxfId="375" priority="549">
      <formula>OR(IF(AC55&lt;AD55,TRUE),IF(AND(AD55="",AC55&lt;&gt;""),TRUE))</formula>
    </cfRule>
    <cfRule type="expression" dxfId="374" priority="550">
      <formula>IF(AC55&gt;=AD55,IF(AC55="",FALSE,TRUE))</formula>
    </cfRule>
  </conditionalFormatting>
  <conditionalFormatting sqref="AE55:AE56">
    <cfRule type="expression" dxfId="373" priority="547">
      <formula>OR(IF(AE55&lt;AF55,TRUE),IF(AND(AF55="",AE55&lt;&gt;""),TRUE))</formula>
    </cfRule>
    <cfRule type="expression" dxfId="372" priority="548">
      <formula>IF(AE55&gt;=AF55,IF(AE55="",FALSE,TRUE))</formula>
    </cfRule>
  </conditionalFormatting>
  <conditionalFormatting sqref="V55:V56">
    <cfRule type="expression" dxfId="371" priority="545">
      <formula>OR(IF(V55&lt;W55,TRUE),IF(AND(W55="",V55&lt;&gt;""),TRUE))</formula>
    </cfRule>
    <cfRule type="expression" dxfId="370" priority="546">
      <formula>IF(V55&gt;=W55,IF(V55="",FALSE,TRUE))</formula>
    </cfRule>
  </conditionalFormatting>
  <conditionalFormatting sqref="X55:X56">
    <cfRule type="expression" dxfId="369" priority="543">
      <formula>OR(IF(X55&lt;Y55,TRUE),IF(AND(Y55="",X55&lt;&gt;""),TRUE))</formula>
    </cfRule>
    <cfRule type="expression" dxfId="368" priority="544">
      <formula>IF(X55&gt;=Y55,IF(X55="",FALSE,TRUE))</formula>
    </cfRule>
  </conditionalFormatting>
  <conditionalFormatting sqref="O55">
    <cfRule type="expression" dxfId="367" priority="541">
      <formula>OR(IF(O55&lt;P55,TRUE),IF(AND(P55="",O55&lt;&gt;""),TRUE))</formula>
    </cfRule>
    <cfRule type="expression" dxfId="366" priority="542">
      <formula>IF(O55&gt;=P55,IF(O55="",FALSE,TRUE))</formula>
    </cfRule>
  </conditionalFormatting>
  <conditionalFormatting sqref="Q55">
    <cfRule type="expression" dxfId="365" priority="539">
      <formula>OR(IF(Q55&lt;R55,TRUE),IF(AND(R55="",Q55&lt;&gt;""),TRUE))</formula>
    </cfRule>
    <cfRule type="expression" dxfId="364" priority="540">
      <formula>IF(Q55&gt;=R55,IF(Q55="",FALSE,TRUE))</formula>
    </cfRule>
  </conditionalFormatting>
  <conditionalFormatting sqref="V46:V47">
    <cfRule type="expression" dxfId="363" priority="537">
      <formula>OR(IF(V46&lt;W46,TRUE),IF(AND(W46="",V46&lt;&gt;""),TRUE))</formula>
    </cfRule>
    <cfRule type="expression" dxfId="362" priority="538">
      <formula>IF(V46&gt;=W46,IF(V46="",FALSE,TRUE))</formula>
    </cfRule>
  </conditionalFormatting>
  <conditionalFormatting sqref="X46:X47">
    <cfRule type="expression" dxfId="361" priority="535">
      <formula>OR(IF(X46&lt;Y46,TRUE),IF(AND(Y46="",X46&lt;&gt;""),TRUE))</formula>
    </cfRule>
    <cfRule type="expression" dxfId="360" priority="536">
      <formula>IF(X46&gt;=Y46,IF(X46="",FALSE,TRUE))</formula>
    </cfRule>
  </conditionalFormatting>
  <conditionalFormatting sqref="V16 X16">
    <cfRule type="expression" dxfId="359" priority="439">
      <formula>OR(IF(V16&lt;W16,TRUE),IF(AND(W16="",V16&lt;&gt;""),TRUE))</formula>
    </cfRule>
    <cfRule type="expression" dxfId="358" priority="440">
      <formula>IF(V16&gt;=W16,IF(V16="",FALSE,TRUE))</formula>
    </cfRule>
  </conditionalFormatting>
  <conditionalFormatting sqref="V17 X17">
    <cfRule type="expression" dxfId="357" priority="437">
      <formula>OR(IF(V17&lt;W17,TRUE),IF(AND(W17="",V17&lt;&gt;""),TRUE))</formula>
    </cfRule>
    <cfRule type="expression" dxfId="356" priority="438">
      <formula>IF(V17&gt;=W17,IF(V17="",FALSE,TRUE))</formula>
    </cfRule>
  </conditionalFormatting>
  <conditionalFormatting sqref="O16 Q16">
    <cfRule type="expression" dxfId="355" priority="435">
      <formula>OR(IF(O16&lt;P16,TRUE),IF(AND(P16="",O16&lt;&gt;""),TRUE))</formula>
    </cfRule>
    <cfRule type="expression" dxfId="354" priority="436">
      <formula>IF(O16&gt;=P16,IF(O16="",FALSE,TRUE))</formula>
    </cfRule>
  </conditionalFormatting>
  <conditionalFormatting sqref="O17 Q17">
    <cfRule type="expression" dxfId="353" priority="433">
      <formula>OR(IF(O17&lt;P17,TRUE),IF(AND(P17="",O17&lt;&gt;""),TRUE))</formula>
    </cfRule>
    <cfRule type="expression" dxfId="352" priority="434">
      <formula>IF(O17&gt;=P17,IF(O17="",FALSE,TRUE))</formula>
    </cfRule>
  </conditionalFormatting>
  <conditionalFormatting sqref="X11 V11 Q11 O11">
    <cfRule type="expression" dxfId="351" priority="428">
      <formula>OR(IF(O11&lt;P11,TRUE),IF(AND(P11="",O11&lt;&gt;""),TRUE))</formula>
    </cfRule>
    <cfRule type="expression" dxfId="350" priority="429">
      <formula>IF(O11&gt;=P11,IF(O11="",FALSE,TRUE))</formula>
    </cfRule>
  </conditionalFormatting>
  <conditionalFormatting sqref="J11:K11">
    <cfRule type="colorScale" priority="430">
      <colorScale>
        <cfvo type="percent" val="0"/>
        <cfvo type="percent" val="100"/>
        <color rgb="FFFF231B"/>
        <color rgb="FF10FF07"/>
      </colorScale>
    </cfRule>
  </conditionalFormatting>
  <conditionalFormatting sqref="J11">
    <cfRule type="colorScale" priority="431">
      <colorScale>
        <cfvo type="percent" val="0"/>
        <cfvo type="percent" val="100"/>
        <color rgb="FFFF231B"/>
        <color rgb="FF10FF07"/>
      </colorScale>
    </cfRule>
  </conditionalFormatting>
  <conditionalFormatting sqref="K11">
    <cfRule type="colorScale" priority="432">
      <colorScale>
        <cfvo type="percent" val="0"/>
        <cfvo type="percent" val="100"/>
        <color rgb="FFFF231B"/>
        <color rgb="FF10FF07"/>
      </colorScale>
    </cfRule>
  </conditionalFormatting>
  <conditionalFormatting sqref="DK11 DI11">
    <cfRule type="expression" dxfId="349" priority="422">
      <formula>OR(IF(DI11&lt;DJ11,TRUE),IF(AND(DJ11="",DI11&lt;&gt;""),TRUE))</formula>
    </cfRule>
    <cfRule type="expression" dxfId="348" priority="423">
      <formula>IF(DI11&gt;=DJ11,IF(DI11="",FALSE,TRUE))</formula>
    </cfRule>
  </conditionalFormatting>
  <conditionalFormatting sqref="DR11 DP11">
    <cfRule type="expression" dxfId="347" priority="420">
      <formula>OR(IF(DP11&lt;DQ11,TRUE),IF(AND(DQ11="",DP11&lt;&gt;""),TRUE))</formula>
    </cfRule>
    <cfRule type="expression" dxfId="346" priority="421">
      <formula>IF(DP11&gt;=DQ11,IF(DP11="",FALSE,TRUE))</formula>
    </cfRule>
  </conditionalFormatting>
  <conditionalFormatting sqref="EF11 ED11">
    <cfRule type="expression" dxfId="345" priority="416">
      <formula>OR(IF(ED11&lt;EE11,TRUE),IF(AND(EE11="",ED11&lt;&gt;""),TRUE))</formula>
    </cfRule>
    <cfRule type="expression" dxfId="344" priority="417">
      <formula>IF(ED11&gt;=EE11,IF(ED11="",FALSE,TRUE))</formula>
    </cfRule>
  </conditionalFormatting>
  <conditionalFormatting sqref="CW11 CU11">
    <cfRule type="expression" dxfId="343" priority="426">
      <formula>OR(IF(CU11&lt;CV11,TRUE),IF(AND(CV11="",CU11&lt;&gt;""),TRUE))</formula>
    </cfRule>
    <cfRule type="expression" dxfId="342" priority="427">
      <formula>IF(CU11&gt;=CV11,IF(CU11="",FALSE,TRUE))</formula>
    </cfRule>
  </conditionalFormatting>
  <conditionalFormatting sqref="DD11 DB11">
    <cfRule type="expression" dxfId="341" priority="424">
      <formula>OR(IF(DB11&lt;DC11,TRUE),IF(AND(DC11="",DB11&lt;&gt;""),TRUE))</formula>
    </cfRule>
    <cfRule type="expression" dxfId="340" priority="425">
      <formula>IF(DB11&gt;=DC11,IF(DB11="",FALSE,TRUE))</formula>
    </cfRule>
  </conditionalFormatting>
  <conditionalFormatting sqref="DY11 DW11">
    <cfRule type="expression" dxfId="339" priority="418">
      <formula>OR(IF(DW11&lt;DX11,TRUE),IF(AND(DX11="",DW11&lt;&gt;""),TRUE))</formula>
    </cfRule>
    <cfRule type="expression" dxfId="338" priority="419">
      <formula>IF(DW11&gt;=DX11,IF(DW11="",FALSE,TRUE))</formula>
    </cfRule>
  </conditionalFormatting>
  <conditionalFormatting sqref="CP11 CN11">
    <cfRule type="expression" dxfId="337" priority="414">
      <formula>OR(IF(CN11&lt;CO11,TRUE),IF(AND(CO11="",CN11&lt;&gt;""),TRUE))</formula>
    </cfRule>
    <cfRule type="expression" dxfId="336" priority="415">
      <formula>IF(CN11&gt;=CO11,IF(CN11="",FALSE,TRUE))</formula>
    </cfRule>
  </conditionalFormatting>
  <conditionalFormatting sqref="CI11 CG11">
    <cfRule type="expression" dxfId="335" priority="412">
      <formula>OR(IF(CG11&lt;CH11,TRUE),IF(AND(CH11="",CG11&lt;&gt;""),TRUE))</formula>
    </cfRule>
    <cfRule type="expression" dxfId="334" priority="413">
      <formula>IF(CG11&gt;=CH11,IF(CG11="",FALSE,TRUE))</formula>
    </cfRule>
  </conditionalFormatting>
  <conditionalFormatting sqref="CB11 BZ11">
    <cfRule type="expression" dxfId="333" priority="410">
      <formula>OR(IF(BZ11&lt;CA11,TRUE),IF(AND(CA11="",BZ11&lt;&gt;""),TRUE))</formula>
    </cfRule>
    <cfRule type="expression" dxfId="332" priority="411">
      <formula>IF(BZ11&gt;=CA11,IF(BZ11="",FALSE,TRUE))</formula>
    </cfRule>
  </conditionalFormatting>
  <conditionalFormatting sqref="BU11 BS11">
    <cfRule type="expression" dxfId="331" priority="408">
      <formula>OR(IF(BS11&lt;BT11,TRUE),IF(AND(BT11="",BS11&lt;&gt;""),TRUE))</formula>
    </cfRule>
    <cfRule type="expression" dxfId="330" priority="409">
      <formula>IF(BS11&gt;=BT11,IF(BS11="",FALSE,TRUE))</formula>
    </cfRule>
  </conditionalFormatting>
  <conditionalFormatting sqref="BN11 BL11">
    <cfRule type="expression" dxfId="329" priority="406">
      <formula>OR(IF(BL11&lt;BM11,TRUE),IF(AND(BM11="",BL11&lt;&gt;""),TRUE))</formula>
    </cfRule>
    <cfRule type="expression" dxfId="328" priority="407">
      <formula>IF(BL11&gt;=BM11,IF(BL11="",FALSE,TRUE))</formula>
    </cfRule>
  </conditionalFormatting>
  <conditionalFormatting sqref="X12 V12 Q12 O12">
    <cfRule type="expression" dxfId="327" priority="401">
      <formula>OR(IF(O12&lt;P12,TRUE),IF(AND(P12="",O12&lt;&gt;""),TRUE))</formula>
    </cfRule>
    <cfRule type="expression" dxfId="326" priority="402">
      <formula>IF(O12&gt;=P12,IF(O12="",FALSE,TRUE))</formula>
    </cfRule>
  </conditionalFormatting>
  <conditionalFormatting sqref="J12:K12">
    <cfRule type="colorScale" priority="403">
      <colorScale>
        <cfvo type="percent" val="0"/>
        <cfvo type="percent" val="100"/>
        <color rgb="FFFF231B"/>
        <color rgb="FF10FF07"/>
      </colorScale>
    </cfRule>
  </conditionalFormatting>
  <conditionalFormatting sqref="J12">
    <cfRule type="colorScale" priority="404">
      <colorScale>
        <cfvo type="percent" val="0"/>
        <cfvo type="percent" val="100"/>
        <color rgb="FFFF231B"/>
        <color rgb="FF10FF07"/>
      </colorScale>
    </cfRule>
  </conditionalFormatting>
  <conditionalFormatting sqref="K12">
    <cfRule type="colorScale" priority="405">
      <colorScale>
        <cfvo type="percent" val="0"/>
        <cfvo type="percent" val="100"/>
        <color rgb="FFFF231B"/>
        <color rgb="FF10FF07"/>
      </colorScale>
    </cfRule>
  </conditionalFormatting>
  <conditionalFormatting sqref="DK12 DI12">
    <cfRule type="expression" dxfId="325" priority="395">
      <formula>OR(IF(DI12&lt;DJ12,TRUE),IF(AND(DJ12="",DI12&lt;&gt;""),TRUE))</formula>
    </cfRule>
    <cfRule type="expression" dxfId="324" priority="396">
      <formula>IF(DI12&gt;=DJ12,IF(DI12="",FALSE,TRUE))</formula>
    </cfRule>
  </conditionalFormatting>
  <conditionalFormatting sqref="DR12 DP12">
    <cfRule type="expression" dxfId="323" priority="393">
      <formula>OR(IF(DP12&lt;DQ12,TRUE),IF(AND(DQ12="",DP12&lt;&gt;""),TRUE))</formula>
    </cfRule>
    <cfRule type="expression" dxfId="322" priority="394">
      <formula>IF(DP12&gt;=DQ12,IF(DP12="",FALSE,TRUE))</formula>
    </cfRule>
  </conditionalFormatting>
  <conditionalFormatting sqref="EF12 ED12">
    <cfRule type="expression" dxfId="321" priority="389">
      <formula>OR(IF(ED12&lt;EE12,TRUE),IF(AND(EE12="",ED12&lt;&gt;""),TRUE))</formula>
    </cfRule>
    <cfRule type="expression" dxfId="320" priority="390">
      <formula>IF(ED12&gt;=EE12,IF(ED12="",FALSE,TRUE))</formula>
    </cfRule>
  </conditionalFormatting>
  <conditionalFormatting sqref="CW12 CU12">
    <cfRule type="expression" dxfId="319" priority="399">
      <formula>OR(IF(CU12&lt;CV12,TRUE),IF(AND(CV12="",CU12&lt;&gt;""),TRUE))</formula>
    </cfRule>
    <cfRule type="expression" dxfId="318" priority="400">
      <formula>IF(CU12&gt;=CV12,IF(CU12="",FALSE,TRUE))</formula>
    </cfRule>
  </conditionalFormatting>
  <conditionalFormatting sqref="DD12 DB12">
    <cfRule type="expression" dxfId="317" priority="397">
      <formula>OR(IF(DB12&lt;DC12,TRUE),IF(AND(DC12="",DB12&lt;&gt;""),TRUE))</formula>
    </cfRule>
    <cfRule type="expression" dxfId="316" priority="398">
      <formula>IF(DB12&gt;=DC12,IF(DB12="",FALSE,TRUE))</formula>
    </cfRule>
  </conditionalFormatting>
  <conditionalFormatting sqref="DY12 DW12">
    <cfRule type="expression" dxfId="315" priority="391">
      <formula>OR(IF(DW12&lt;DX12,TRUE),IF(AND(DX12="",DW12&lt;&gt;""),TRUE))</formula>
    </cfRule>
    <cfRule type="expression" dxfId="314" priority="392">
      <formula>IF(DW12&gt;=DX12,IF(DW12="",FALSE,TRUE))</formula>
    </cfRule>
  </conditionalFormatting>
  <conditionalFormatting sqref="CP12 CN12">
    <cfRule type="expression" dxfId="313" priority="387">
      <formula>OR(IF(CN12&lt;CO12,TRUE),IF(AND(CO12="",CN12&lt;&gt;""),TRUE))</formula>
    </cfRule>
    <cfRule type="expression" dxfId="312" priority="388">
      <formula>IF(CN12&gt;=CO12,IF(CN12="",FALSE,TRUE))</formula>
    </cfRule>
  </conditionalFormatting>
  <conditionalFormatting sqref="CI12 CG12">
    <cfRule type="expression" dxfId="311" priority="385">
      <formula>OR(IF(CG12&lt;CH12,TRUE),IF(AND(CH12="",CG12&lt;&gt;""),TRUE))</formula>
    </cfRule>
    <cfRule type="expression" dxfId="310" priority="386">
      <formula>IF(CG12&gt;=CH12,IF(CG12="",FALSE,TRUE))</formula>
    </cfRule>
  </conditionalFormatting>
  <conditionalFormatting sqref="CB12 BZ12">
    <cfRule type="expression" dxfId="309" priority="383">
      <formula>OR(IF(BZ12&lt;CA12,TRUE),IF(AND(CA12="",BZ12&lt;&gt;""),TRUE))</formula>
    </cfRule>
    <cfRule type="expression" dxfId="308" priority="384">
      <formula>IF(BZ12&gt;=CA12,IF(BZ12="",FALSE,TRUE))</formula>
    </cfRule>
  </conditionalFormatting>
  <conditionalFormatting sqref="BU12 BS12">
    <cfRule type="expression" dxfId="307" priority="381">
      <formula>OR(IF(BS12&lt;BT12,TRUE),IF(AND(BT12="",BS12&lt;&gt;""),TRUE))</formula>
    </cfRule>
    <cfRule type="expression" dxfId="306" priority="382">
      <formula>IF(BS12&gt;=BT12,IF(BS12="",FALSE,TRUE))</formula>
    </cfRule>
  </conditionalFormatting>
  <conditionalFormatting sqref="BN12 BL12">
    <cfRule type="expression" dxfId="305" priority="379">
      <formula>OR(IF(BL12&lt;BM12,TRUE),IF(AND(BM12="",BL12&lt;&gt;""),TRUE))</formula>
    </cfRule>
    <cfRule type="expression" dxfId="304" priority="380">
      <formula>IF(BL12&gt;=BM12,IF(BL12="",FALSE,TRUE))</formula>
    </cfRule>
  </conditionalFormatting>
  <conditionalFormatting sqref="CG42 CI42">
    <cfRule type="expression" dxfId="303" priority="353">
      <formula>OR(IF(CG42&lt;CH42,TRUE),IF(AND(CH42="",CG42&lt;&gt;""),TRUE))</formula>
    </cfRule>
    <cfRule type="expression" dxfId="302" priority="354">
      <formula>IF(CG42&gt;=CH42,IF(CG42="",FALSE,TRUE))</formula>
    </cfRule>
  </conditionalFormatting>
  <conditionalFormatting sqref="CI38:CI41 CG38:CG41 CG43 CI43">
    <cfRule type="expression" dxfId="301" priority="359">
      <formula>OR(IF(CG38&lt;CH38,TRUE),IF(AND(CH38="",CG38&lt;&gt;""),TRUE))</formula>
    </cfRule>
    <cfRule type="expression" dxfId="300" priority="360">
      <formula>IF(CG38&gt;=CH38,IF(CG38="",FALSE,TRUE))</formula>
    </cfRule>
  </conditionalFormatting>
  <conditionalFormatting sqref="CG36:CG37">
    <cfRule type="expression" dxfId="299" priority="357">
      <formula>OR(IF(CG36&lt;CH36,TRUE),IF(AND(CH36="",CG36&lt;&gt;""),TRUE))</formula>
    </cfRule>
    <cfRule type="expression" dxfId="298" priority="358">
      <formula>IF(CG36&gt;=CH36,IF(CG36="",FALSE,TRUE))</formula>
    </cfRule>
  </conditionalFormatting>
  <conditionalFormatting sqref="CI36:CI37">
    <cfRule type="expression" dxfId="297" priority="355">
      <formula>OR(IF(CI36&lt;CJ36,TRUE),IF(AND(CJ36="",CI36&lt;&gt;""),TRUE))</formula>
    </cfRule>
    <cfRule type="expression" dxfId="296" priority="356">
      <formula>IF(CI36&gt;=CJ36,IF(CI36="",FALSE,TRUE))</formula>
    </cfRule>
  </conditionalFormatting>
  <conditionalFormatting sqref="CG52 CI52">
    <cfRule type="expression" dxfId="295" priority="345">
      <formula>OR(IF(CG52&lt;CH52,TRUE),IF(AND(CH52="",CG52&lt;&gt;""),TRUE))</formula>
    </cfRule>
    <cfRule type="expression" dxfId="294" priority="346">
      <formula>IF(CG52&gt;=CH52,IF(CG52="",FALSE,TRUE))</formula>
    </cfRule>
  </conditionalFormatting>
  <conditionalFormatting sqref="CI48:CI51 CG48:CG51">
    <cfRule type="expression" dxfId="293" priority="351">
      <formula>OR(IF(CG48&lt;CH48,TRUE),IF(AND(CH48="",CG48&lt;&gt;""),TRUE))</formula>
    </cfRule>
    <cfRule type="expression" dxfId="292" priority="352">
      <formula>IF(CG48&gt;=CH48,IF(CG48="",FALSE,TRUE))</formula>
    </cfRule>
  </conditionalFormatting>
  <conditionalFormatting sqref="CG46:CG47">
    <cfRule type="expression" dxfId="291" priority="349">
      <formula>OR(IF(CG46&lt;CH46,TRUE),IF(AND(CH46="",CG46&lt;&gt;""),TRUE))</formula>
    </cfRule>
    <cfRule type="expression" dxfId="290" priority="350">
      <formula>IF(CG46&gt;=CH46,IF(CG46="",FALSE,TRUE))</formula>
    </cfRule>
  </conditionalFormatting>
  <conditionalFormatting sqref="CI46:CI47">
    <cfRule type="expression" dxfId="289" priority="347">
      <formula>OR(IF(CI46&lt;CJ46,TRUE),IF(AND(CJ46="",CI46&lt;&gt;""),TRUE))</formula>
    </cfRule>
    <cfRule type="expression" dxfId="288" priority="348">
      <formula>IF(CI46&gt;=CJ46,IF(CI46="",FALSE,TRUE))</formula>
    </cfRule>
  </conditionalFormatting>
  <conditionalFormatting sqref="CI19:CI21 CG19:CG21">
    <cfRule type="expression" dxfId="287" priority="335">
      <formula>OR(IF(CG19&lt;CH19,TRUE),IF(AND(CH19="",CG19&lt;&gt;""),TRUE))</formula>
    </cfRule>
    <cfRule type="expression" dxfId="286" priority="336">
      <formula>IF(CG19&gt;=CH19,IF(CG19="",FALSE,TRUE))</formula>
    </cfRule>
  </conditionalFormatting>
  <conditionalFormatting sqref="CG16 CI16">
    <cfRule type="expression" dxfId="285" priority="333">
      <formula>OR(IF(CG16&lt;CH16,TRUE),IF(AND(CH16="",CG16&lt;&gt;""),TRUE))</formula>
    </cfRule>
    <cfRule type="expression" dxfId="284" priority="334">
      <formula>IF(CG16&gt;=CH16,IF(CG16="",FALSE,TRUE))</formula>
    </cfRule>
  </conditionalFormatting>
  <conditionalFormatting sqref="CG17 CI17">
    <cfRule type="expression" dxfId="283" priority="331">
      <formula>OR(IF(CG17&lt;CH17,TRUE),IF(AND(CH17="",CG17&lt;&gt;""),TRUE))</formula>
    </cfRule>
    <cfRule type="expression" dxfId="282" priority="332">
      <formula>IF(CG17&gt;=CH17,IF(CG17="",FALSE,TRUE))</formula>
    </cfRule>
  </conditionalFormatting>
  <conditionalFormatting sqref="CI18 CG18">
    <cfRule type="expression" dxfId="281" priority="329">
      <formula>OR(IF(CG18&lt;CH18,TRUE),IF(AND(CH18="",CG18&lt;&gt;""),TRUE))</formula>
    </cfRule>
    <cfRule type="expression" dxfId="280" priority="330">
      <formula>IF(CG18&gt;=CH18,IF(CG18="",FALSE,TRUE))</formula>
    </cfRule>
  </conditionalFormatting>
  <conditionalFormatting sqref="CI27:CI29 CG27:CG29">
    <cfRule type="expression" dxfId="279" priority="327">
      <formula>OR(IF(CG27&lt;CH27,TRUE),IF(AND(CH27="",CG27&lt;&gt;""),TRUE))</formula>
    </cfRule>
    <cfRule type="expression" dxfId="278" priority="328">
      <formula>IF(CG27&gt;=CH27,IF(CG27="",FALSE,TRUE))</formula>
    </cfRule>
  </conditionalFormatting>
  <conditionalFormatting sqref="CG24 CI24">
    <cfRule type="expression" dxfId="277" priority="325">
      <formula>OR(IF(CG24&lt;CH24,TRUE),IF(AND(CH24="",CG24&lt;&gt;""),TRUE))</formula>
    </cfRule>
    <cfRule type="expression" dxfId="276" priority="326">
      <formula>IF(CG24&gt;=CH24,IF(CG24="",FALSE,TRUE))</formula>
    </cfRule>
  </conditionalFormatting>
  <conditionalFormatting sqref="CG25 CI25">
    <cfRule type="expression" dxfId="275" priority="323">
      <formula>OR(IF(CG25&lt;CH25,TRUE),IF(AND(CH25="",CG25&lt;&gt;""),TRUE))</formula>
    </cfRule>
    <cfRule type="expression" dxfId="274" priority="324">
      <formula>IF(CG25&gt;=CH25,IF(CG25="",FALSE,TRUE))</formula>
    </cfRule>
  </conditionalFormatting>
  <conditionalFormatting sqref="CI26 CG26">
    <cfRule type="expression" dxfId="273" priority="321">
      <formula>OR(IF(CG26&lt;CH26,TRUE),IF(AND(CH26="",CG26&lt;&gt;""),TRUE))</formula>
    </cfRule>
    <cfRule type="expression" dxfId="272" priority="322">
      <formula>IF(CG26&gt;=CH26,IF(CG26="",FALSE,TRUE))</formula>
    </cfRule>
  </conditionalFormatting>
  <conditionalFormatting sqref="CI30:CI33 CG30:CG33">
    <cfRule type="expression" dxfId="271" priority="319">
      <formula>OR(IF(CG30&lt;CH30,TRUE),IF(AND(CH30="",CG30&lt;&gt;""),TRUE))</formula>
    </cfRule>
    <cfRule type="expression" dxfId="270" priority="320">
      <formula>IF(CG30&gt;=CH30,IF(CG30="",FALSE,TRUE))</formula>
    </cfRule>
  </conditionalFormatting>
  <conditionalFormatting sqref="CB19:CB21 BZ19:BZ21">
    <cfRule type="expression" dxfId="269" priority="317">
      <formula>OR(IF(BZ19&lt;CA19,TRUE),IF(AND(CA19="",BZ19&lt;&gt;""),TRUE))</formula>
    </cfRule>
    <cfRule type="expression" dxfId="268" priority="318">
      <formula>IF(BZ19&gt;=CA19,IF(BZ19="",FALSE,TRUE))</formula>
    </cfRule>
  </conditionalFormatting>
  <conditionalFormatting sqref="BZ16 CB16">
    <cfRule type="expression" dxfId="267" priority="315">
      <formula>OR(IF(BZ16&lt;CA16,TRUE),IF(AND(CA16="",BZ16&lt;&gt;""),TRUE))</formula>
    </cfRule>
    <cfRule type="expression" dxfId="266" priority="316">
      <formula>IF(BZ16&gt;=CA16,IF(BZ16="",FALSE,TRUE))</formula>
    </cfRule>
  </conditionalFormatting>
  <conditionalFormatting sqref="BZ17 CB17">
    <cfRule type="expression" dxfId="265" priority="313">
      <formula>OR(IF(BZ17&lt;CA17,TRUE),IF(AND(CA17="",BZ17&lt;&gt;""),TRUE))</formula>
    </cfRule>
    <cfRule type="expression" dxfId="264" priority="314">
      <formula>IF(BZ17&gt;=CA17,IF(BZ17="",FALSE,TRUE))</formula>
    </cfRule>
  </conditionalFormatting>
  <conditionalFormatting sqref="CB18 BZ18">
    <cfRule type="expression" dxfId="263" priority="311">
      <formula>OR(IF(BZ18&lt;CA18,TRUE),IF(AND(CA18="",BZ18&lt;&gt;""),TRUE))</formula>
    </cfRule>
    <cfRule type="expression" dxfId="262" priority="312">
      <formula>IF(BZ18&gt;=CA18,IF(BZ18="",FALSE,TRUE))</formula>
    </cfRule>
  </conditionalFormatting>
  <conditionalFormatting sqref="BU19:BU21 BS19:BS21">
    <cfRule type="expression" dxfId="261" priority="309">
      <formula>OR(IF(BS19&lt;BT19,TRUE),IF(AND(BT19="",BS19&lt;&gt;""),TRUE))</formula>
    </cfRule>
    <cfRule type="expression" dxfId="260" priority="310">
      <formula>IF(BS19&gt;=BT19,IF(BS19="",FALSE,TRUE))</formula>
    </cfRule>
  </conditionalFormatting>
  <conditionalFormatting sqref="BS16 BU16">
    <cfRule type="expression" dxfId="259" priority="307">
      <formula>OR(IF(BS16&lt;BT16,TRUE),IF(AND(BT16="",BS16&lt;&gt;""),TRUE))</formula>
    </cfRule>
    <cfRule type="expression" dxfId="258" priority="308">
      <formula>IF(BS16&gt;=BT16,IF(BS16="",FALSE,TRUE))</formula>
    </cfRule>
  </conditionalFormatting>
  <conditionalFormatting sqref="BS17 BU17">
    <cfRule type="expression" dxfId="257" priority="305">
      <formula>OR(IF(BS17&lt;BT17,TRUE),IF(AND(BT17="",BS17&lt;&gt;""),TRUE))</formula>
    </cfRule>
    <cfRule type="expression" dxfId="256" priority="306">
      <formula>IF(BS17&gt;=BT17,IF(BS17="",FALSE,TRUE))</formula>
    </cfRule>
  </conditionalFormatting>
  <conditionalFormatting sqref="BU18 BS18">
    <cfRule type="expression" dxfId="255" priority="303">
      <formula>OR(IF(BS18&lt;BT18,TRUE),IF(AND(BT18="",BS18&lt;&gt;""),TRUE))</formula>
    </cfRule>
    <cfRule type="expression" dxfId="254" priority="304">
      <formula>IF(BS18&gt;=BT18,IF(BS18="",FALSE,TRUE))</formula>
    </cfRule>
  </conditionalFormatting>
  <conditionalFormatting sqref="BU27:BU29 BS27:BS29">
    <cfRule type="expression" dxfId="253" priority="301">
      <formula>OR(IF(BS27&lt;BT27,TRUE),IF(AND(BT27="",BS27&lt;&gt;""),TRUE))</formula>
    </cfRule>
    <cfRule type="expression" dxfId="252" priority="302">
      <formula>IF(BS27&gt;=BT27,IF(BS27="",FALSE,TRUE))</formula>
    </cfRule>
  </conditionalFormatting>
  <conditionalFormatting sqref="BS24 BU24">
    <cfRule type="expression" dxfId="251" priority="299">
      <formula>OR(IF(BS24&lt;BT24,TRUE),IF(AND(BT24="",BS24&lt;&gt;""),TRUE))</formula>
    </cfRule>
    <cfRule type="expression" dxfId="250" priority="300">
      <formula>IF(BS24&gt;=BT24,IF(BS24="",FALSE,TRUE))</formula>
    </cfRule>
  </conditionalFormatting>
  <conditionalFormatting sqref="BS25 BU25">
    <cfRule type="expression" dxfId="249" priority="297">
      <formula>OR(IF(BS25&lt;BT25,TRUE),IF(AND(BT25="",BS25&lt;&gt;""),TRUE))</formula>
    </cfRule>
    <cfRule type="expression" dxfId="248" priority="298">
      <formula>IF(BS25&gt;=BT25,IF(BS25="",FALSE,TRUE))</formula>
    </cfRule>
  </conditionalFormatting>
  <conditionalFormatting sqref="BU26 BS26">
    <cfRule type="expression" dxfId="247" priority="295">
      <formula>OR(IF(BS26&lt;BT26,TRUE),IF(AND(BT26="",BS26&lt;&gt;""),TRUE))</formula>
    </cfRule>
    <cfRule type="expression" dxfId="246" priority="296">
      <formula>IF(BS26&gt;=BT26,IF(BS26="",FALSE,TRUE))</formula>
    </cfRule>
  </conditionalFormatting>
  <conditionalFormatting sqref="BU30:BU33 BS30:BS33">
    <cfRule type="expression" dxfId="245" priority="293">
      <formula>OR(IF(BS30&lt;BT30,TRUE),IF(AND(BT30="",BS30&lt;&gt;""),TRUE))</formula>
    </cfRule>
    <cfRule type="expression" dxfId="244" priority="294">
      <formula>IF(BS30&gt;=BT30,IF(BS30="",FALSE,TRUE))</formula>
    </cfRule>
  </conditionalFormatting>
  <conditionalFormatting sqref="BS52 BU52">
    <cfRule type="expression" dxfId="243" priority="285">
      <formula>OR(IF(BS52&lt;BT52,TRUE),IF(AND(BT52="",BS52&lt;&gt;""),TRUE))</formula>
    </cfRule>
    <cfRule type="expression" dxfId="242" priority="286">
      <formula>IF(BS52&gt;=BT52,IF(BS52="",FALSE,TRUE))</formula>
    </cfRule>
  </conditionalFormatting>
  <conditionalFormatting sqref="BU48:BU51 BS48:BS51">
    <cfRule type="expression" dxfId="241" priority="291">
      <formula>OR(IF(BS48&lt;BT48,TRUE),IF(AND(BT48="",BS48&lt;&gt;""),TRUE))</formula>
    </cfRule>
    <cfRule type="expression" dxfId="240" priority="292">
      <formula>IF(BS48&gt;=BT48,IF(BS48="",FALSE,TRUE))</formula>
    </cfRule>
  </conditionalFormatting>
  <conditionalFormatting sqref="BS46:BS47">
    <cfRule type="expression" dxfId="239" priority="289">
      <formula>OR(IF(BS46&lt;BT46,TRUE),IF(AND(BT46="",BS46&lt;&gt;""),TRUE))</formula>
    </cfRule>
    <cfRule type="expression" dxfId="238" priority="290">
      <formula>IF(BS46&gt;=BT46,IF(BS46="",FALSE,TRUE))</formula>
    </cfRule>
  </conditionalFormatting>
  <conditionalFormatting sqref="BU46:BU47">
    <cfRule type="expression" dxfId="237" priority="287">
      <formula>OR(IF(BU46&lt;BV46,TRUE),IF(AND(BV46="",BU46&lt;&gt;""),TRUE))</formula>
    </cfRule>
    <cfRule type="expression" dxfId="236" priority="288">
      <formula>IF(BU46&gt;=BV46,IF(BU46="",FALSE,TRUE))</formula>
    </cfRule>
  </conditionalFormatting>
  <conditionalFormatting sqref="BN19:BN21 BL19:BL21">
    <cfRule type="expression" dxfId="235" priority="275">
      <formula>OR(IF(BL19&lt;BM19,TRUE),IF(AND(BM19="",BL19&lt;&gt;""),TRUE))</formula>
    </cfRule>
    <cfRule type="expression" dxfId="234" priority="276">
      <formula>IF(BL19&gt;=BM19,IF(BL19="",FALSE,TRUE))</formula>
    </cfRule>
  </conditionalFormatting>
  <conditionalFormatting sqref="BL16 BN16">
    <cfRule type="expression" dxfId="233" priority="273">
      <formula>OR(IF(BL16&lt;BM16,TRUE),IF(AND(BM16="",BL16&lt;&gt;""),TRUE))</formula>
    </cfRule>
    <cfRule type="expression" dxfId="232" priority="274">
      <formula>IF(BL16&gt;=BM16,IF(BL16="",FALSE,TRUE))</formula>
    </cfRule>
  </conditionalFormatting>
  <conditionalFormatting sqref="BL17 BN17">
    <cfRule type="expression" dxfId="231" priority="271">
      <formula>OR(IF(BL17&lt;BM17,TRUE),IF(AND(BM17="",BL17&lt;&gt;""),TRUE))</formula>
    </cfRule>
    <cfRule type="expression" dxfId="230" priority="272">
      <formula>IF(BL17&gt;=BM17,IF(BL17="",FALSE,TRUE))</formula>
    </cfRule>
  </conditionalFormatting>
  <conditionalFormatting sqref="BN18 BL18">
    <cfRule type="expression" dxfId="229" priority="269">
      <formula>OR(IF(BL18&lt;BM18,TRUE),IF(AND(BM18="",BL18&lt;&gt;""),TRUE))</formula>
    </cfRule>
    <cfRule type="expression" dxfId="228" priority="270">
      <formula>IF(BL18&gt;=BM18,IF(BL18="",FALSE,TRUE))</formula>
    </cfRule>
  </conditionalFormatting>
  <conditionalFormatting sqref="BN27:BN29 BL27:BL29">
    <cfRule type="expression" dxfId="227" priority="267">
      <formula>OR(IF(BL27&lt;BM27,TRUE),IF(AND(BM27="",BL27&lt;&gt;""),TRUE))</formula>
    </cfRule>
    <cfRule type="expression" dxfId="226" priority="268">
      <formula>IF(BL27&gt;=BM27,IF(BL27="",FALSE,TRUE))</formula>
    </cfRule>
  </conditionalFormatting>
  <conditionalFormatting sqref="BL24 BN24">
    <cfRule type="expression" dxfId="225" priority="265">
      <formula>OR(IF(BL24&lt;BM24,TRUE),IF(AND(BM24="",BL24&lt;&gt;""),TRUE))</formula>
    </cfRule>
    <cfRule type="expression" dxfId="224" priority="266">
      <formula>IF(BL24&gt;=BM24,IF(BL24="",FALSE,TRUE))</formula>
    </cfRule>
  </conditionalFormatting>
  <conditionalFormatting sqref="BL25 BN25">
    <cfRule type="expression" dxfId="223" priority="263">
      <formula>OR(IF(BL25&lt;BM25,TRUE),IF(AND(BM25="",BL25&lt;&gt;""),TRUE))</formula>
    </cfRule>
    <cfRule type="expression" dxfId="222" priority="264">
      <formula>IF(BL25&gt;=BM25,IF(BL25="",FALSE,TRUE))</formula>
    </cfRule>
  </conditionalFormatting>
  <conditionalFormatting sqref="BN26 BL26">
    <cfRule type="expression" dxfId="221" priority="261">
      <formula>OR(IF(BL26&lt;BM26,TRUE),IF(AND(BM26="",BL26&lt;&gt;""),TRUE))</formula>
    </cfRule>
    <cfRule type="expression" dxfId="220" priority="262">
      <formula>IF(BL26&gt;=BM26,IF(BL26="",FALSE,TRUE))</formula>
    </cfRule>
  </conditionalFormatting>
  <conditionalFormatting sqref="BN30:BN33 BL30:BL33">
    <cfRule type="expression" dxfId="219" priority="259">
      <formula>OR(IF(BL30&lt;BM30,TRUE),IF(AND(BM30="",BL30&lt;&gt;""),TRUE))</formula>
    </cfRule>
    <cfRule type="expression" dxfId="218" priority="260">
      <formula>IF(BL30&gt;=BM30,IF(BL30="",FALSE,TRUE))</formula>
    </cfRule>
  </conditionalFormatting>
  <conditionalFormatting sqref="BN38:BN41 BL38:BL41 BL43 BN43">
    <cfRule type="expression" dxfId="217" priority="257">
      <formula>OR(IF(BL38&lt;BM38,TRUE),IF(AND(BM38="",BL38&lt;&gt;""),TRUE))</formula>
    </cfRule>
    <cfRule type="expression" dxfId="216" priority="258">
      <formula>IF(BL38&gt;=BM38,IF(BL38="",FALSE,TRUE))</formula>
    </cfRule>
  </conditionalFormatting>
  <conditionalFormatting sqref="BL36:BL37">
    <cfRule type="expression" dxfId="215" priority="255">
      <formula>OR(IF(BL36&lt;BM36,TRUE),IF(AND(BM36="",BL36&lt;&gt;""),TRUE))</formula>
    </cfRule>
    <cfRule type="expression" dxfId="214" priority="256">
      <formula>IF(BL36&gt;=BM36,IF(BL36="",FALSE,TRUE))</formula>
    </cfRule>
  </conditionalFormatting>
  <conditionalFormatting sqref="BN36:BN37">
    <cfRule type="expression" dxfId="213" priority="253">
      <formula>OR(IF(BN36&lt;BO36,TRUE),IF(AND(BO36="",BN36&lt;&gt;""),TRUE))</formula>
    </cfRule>
    <cfRule type="expression" dxfId="212" priority="254">
      <formula>IF(BN36&gt;=BO36,IF(BN36="",FALSE,TRUE))</formula>
    </cfRule>
  </conditionalFormatting>
  <conditionalFormatting sqref="BL42 BN42">
    <cfRule type="expression" dxfId="211" priority="251">
      <formula>OR(IF(BL42&lt;BM42,TRUE),IF(AND(BM42="",BL42&lt;&gt;""),TRUE))</formula>
    </cfRule>
    <cfRule type="expression" dxfId="210" priority="252">
      <formula>IF(BL42&gt;=BM42,IF(BL42="",FALSE,TRUE))</formula>
    </cfRule>
  </conditionalFormatting>
  <conditionalFormatting sqref="BG13 BE13 BE5:BE10 BG5:BG10">
    <cfRule type="expression" dxfId="209" priority="249">
      <formula>OR(IF(BE5&lt;BF5,TRUE),IF(AND(BF5="",BE5&lt;&gt;""),TRUE))</formula>
    </cfRule>
    <cfRule type="expression" dxfId="208" priority="250">
      <formula>IF(BE5&gt;=BF5,IF(BE5="",FALSE,TRUE))</formula>
    </cfRule>
  </conditionalFormatting>
  <conditionalFormatting sqref="BG11 BE11">
    <cfRule type="expression" dxfId="207" priority="247">
      <formula>OR(IF(BE11&lt;BF11,TRUE),IF(AND(BF11="",BE11&lt;&gt;""),TRUE))</formula>
    </cfRule>
    <cfRule type="expression" dxfId="206" priority="248">
      <formula>IF(BE11&gt;=BF11,IF(BE11="",FALSE,TRUE))</formula>
    </cfRule>
  </conditionalFormatting>
  <conditionalFormatting sqref="BG12 BE12">
    <cfRule type="expression" dxfId="205" priority="245">
      <formula>OR(IF(BE12&lt;BF12,TRUE),IF(AND(BF12="",BE12&lt;&gt;""),TRUE))</formula>
    </cfRule>
    <cfRule type="expression" dxfId="204" priority="246">
      <formula>IF(BE12&gt;=BF12,IF(BE12="",FALSE,TRUE))</formula>
    </cfRule>
  </conditionalFormatting>
  <conditionalFormatting sqref="BG19:BG20 BE19:BE20">
    <cfRule type="expression" dxfId="203" priority="243">
      <formula>OR(IF(BE19&lt;BF19,TRUE),IF(AND(BF19="",BE19&lt;&gt;""),TRUE))</formula>
    </cfRule>
    <cfRule type="expression" dxfId="202" priority="244">
      <formula>IF(BE19&gt;=BF19,IF(BE19="",FALSE,TRUE))</formula>
    </cfRule>
  </conditionalFormatting>
  <conditionalFormatting sqref="BE16 BG16">
    <cfRule type="expression" dxfId="201" priority="241">
      <formula>OR(IF(BE16&lt;BF16,TRUE),IF(AND(BF16="",BE16&lt;&gt;""),TRUE))</formula>
    </cfRule>
    <cfRule type="expression" dxfId="200" priority="242">
      <formula>IF(BE16&gt;=BF16,IF(BE16="",FALSE,TRUE))</formula>
    </cfRule>
  </conditionalFormatting>
  <conditionalFormatting sqref="BE17 BG17">
    <cfRule type="expression" dxfId="199" priority="239">
      <formula>OR(IF(BE17&lt;BF17,TRUE),IF(AND(BF17="",BE17&lt;&gt;""),TRUE))</formula>
    </cfRule>
    <cfRule type="expression" dxfId="198" priority="240">
      <formula>IF(BE17&gt;=BF17,IF(BE17="",FALSE,TRUE))</formula>
    </cfRule>
  </conditionalFormatting>
  <conditionalFormatting sqref="BG18 BE18">
    <cfRule type="expression" dxfId="197" priority="237">
      <formula>OR(IF(BE18&lt;BF18,TRUE),IF(AND(BF18="",BE18&lt;&gt;""),TRUE))</formula>
    </cfRule>
    <cfRule type="expression" dxfId="196" priority="238">
      <formula>IF(BE18&gt;=BF18,IF(BE18="",FALSE,TRUE))</formula>
    </cfRule>
  </conditionalFormatting>
  <conditionalFormatting sqref="BG27:BG29 BE27:BE29">
    <cfRule type="expression" dxfId="195" priority="235">
      <formula>OR(IF(BE27&lt;BF27,TRUE),IF(AND(BF27="",BE27&lt;&gt;""),TRUE))</formula>
    </cfRule>
    <cfRule type="expression" dxfId="194" priority="236">
      <formula>IF(BE27&gt;=BF27,IF(BE27="",FALSE,TRUE))</formula>
    </cfRule>
  </conditionalFormatting>
  <conditionalFormatting sqref="BE24 BG24">
    <cfRule type="expression" dxfId="193" priority="233">
      <formula>OR(IF(BE24&lt;BF24,TRUE),IF(AND(BF24="",BE24&lt;&gt;""),TRUE))</formula>
    </cfRule>
    <cfRule type="expression" dxfId="192" priority="234">
      <formula>IF(BE24&gt;=BF24,IF(BE24="",FALSE,TRUE))</formula>
    </cfRule>
  </conditionalFormatting>
  <conditionalFormatting sqref="BE25 BG25">
    <cfRule type="expression" dxfId="191" priority="231">
      <formula>OR(IF(BE25&lt;BF25,TRUE),IF(AND(BF25="",BE25&lt;&gt;""),TRUE))</formula>
    </cfRule>
    <cfRule type="expression" dxfId="190" priority="232">
      <formula>IF(BE25&gt;=BF25,IF(BE25="",FALSE,TRUE))</formula>
    </cfRule>
  </conditionalFormatting>
  <conditionalFormatting sqref="BG26 BE26">
    <cfRule type="expression" dxfId="189" priority="229">
      <formula>OR(IF(BE26&lt;BF26,TRUE),IF(AND(BF26="",BE26&lt;&gt;""),TRUE))</formula>
    </cfRule>
    <cfRule type="expression" dxfId="188" priority="230">
      <formula>IF(BE26&gt;=BF26,IF(BE26="",FALSE,TRUE))</formula>
    </cfRule>
  </conditionalFormatting>
  <conditionalFormatting sqref="BG30:BG32 BE30:BE32">
    <cfRule type="expression" dxfId="187" priority="227">
      <formula>OR(IF(BE30&lt;BF30,TRUE),IF(AND(BF30="",BE30&lt;&gt;""),TRUE))</formula>
    </cfRule>
    <cfRule type="expression" dxfId="186" priority="228">
      <formula>IF(BE30&gt;=BF30,IF(BE30="",FALSE,TRUE))</formula>
    </cfRule>
  </conditionalFormatting>
  <conditionalFormatting sqref="AZ13 AX13 AX5:AX10 AZ5:AZ10">
    <cfRule type="expression" dxfId="185" priority="217">
      <formula>OR(IF(AX5&lt;AY5,TRUE),IF(AND(AY5="",AX5&lt;&gt;""),TRUE))</formula>
    </cfRule>
    <cfRule type="expression" dxfId="184" priority="218">
      <formula>IF(AX5&gt;=AY5,IF(AX5="",FALSE,TRUE))</formula>
    </cfRule>
  </conditionalFormatting>
  <conditionalFormatting sqref="AZ11 AX11">
    <cfRule type="expression" dxfId="183" priority="215">
      <formula>OR(IF(AX11&lt;AY11,TRUE),IF(AND(AY11="",AX11&lt;&gt;""),TRUE))</formula>
    </cfRule>
    <cfRule type="expression" dxfId="182" priority="216">
      <formula>IF(AX11&gt;=AY11,IF(AX11="",FALSE,TRUE))</formula>
    </cfRule>
  </conditionalFormatting>
  <conditionalFormatting sqref="AZ12 AX12">
    <cfRule type="expression" dxfId="181" priority="213">
      <formula>OR(IF(AX12&lt;AY12,TRUE),IF(AND(AY12="",AX12&lt;&gt;""),TRUE))</formula>
    </cfRule>
    <cfRule type="expression" dxfId="180" priority="214">
      <formula>IF(AX12&gt;=AY12,IF(AX12="",FALSE,TRUE))</formula>
    </cfRule>
  </conditionalFormatting>
  <conditionalFormatting sqref="AZ19:AZ20 AX19:AX20">
    <cfRule type="expression" dxfId="179" priority="203">
      <formula>OR(IF(AX19&lt;AY19,TRUE),IF(AND(AY19="",AX19&lt;&gt;""),TRUE))</formula>
    </cfRule>
    <cfRule type="expression" dxfId="178" priority="204">
      <formula>IF(AX19&gt;=AY19,IF(AX19="",FALSE,TRUE))</formula>
    </cfRule>
  </conditionalFormatting>
  <conditionalFormatting sqref="AX16 AZ16">
    <cfRule type="expression" dxfId="177" priority="201">
      <formula>OR(IF(AX16&lt;AY16,TRUE),IF(AND(AY16="",AX16&lt;&gt;""),TRUE))</formula>
    </cfRule>
    <cfRule type="expression" dxfId="176" priority="202">
      <formula>IF(AX16&gt;=AY16,IF(AX16="",FALSE,TRUE))</formula>
    </cfRule>
  </conditionalFormatting>
  <conditionalFormatting sqref="AX17 AZ17">
    <cfRule type="expression" dxfId="175" priority="199">
      <formula>OR(IF(AX17&lt;AY17,TRUE),IF(AND(AY17="",AX17&lt;&gt;""),TRUE))</formula>
    </cfRule>
    <cfRule type="expression" dxfId="174" priority="200">
      <formula>IF(AX17&gt;=AY17,IF(AX17="",FALSE,TRUE))</formula>
    </cfRule>
  </conditionalFormatting>
  <conditionalFormatting sqref="AZ18 AX18">
    <cfRule type="expression" dxfId="173" priority="197">
      <formula>OR(IF(AX18&lt;AY18,TRUE),IF(AND(AY18="",AX18&lt;&gt;""),TRUE))</formula>
    </cfRule>
    <cfRule type="expression" dxfId="172" priority="198">
      <formula>IF(AX18&gt;=AY18,IF(AX18="",FALSE,TRUE))</formula>
    </cfRule>
  </conditionalFormatting>
  <conditionalFormatting sqref="AZ27:AZ29 AX27:AX29">
    <cfRule type="expression" dxfId="171" priority="195">
      <formula>OR(IF(AX27&lt;AY27,TRUE),IF(AND(AY27="",AX27&lt;&gt;""),TRUE))</formula>
    </cfRule>
    <cfRule type="expression" dxfId="170" priority="196">
      <formula>IF(AX27&gt;=AY27,IF(AX27="",FALSE,TRUE))</formula>
    </cfRule>
  </conditionalFormatting>
  <conditionalFormatting sqref="AX24 AZ24">
    <cfRule type="expression" dxfId="169" priority="193">
      <formula>OR(IF(AX24&lt;AY24,TRUE),IF(AND(AY24="",AX24&lt;&gt;""),TRUE))</formula>
    </cfRule>
    <cfRule type="expression" dxfId="168" priority="194">
      <formula>IF(AX24&gt;=AY24,IF(AX24="",FALSE,TRUE))</formula>
    </cfRule>
  </conditionalFormatting>
  <conditionalFormatting sqref="AX25 AZ25">
    <cfRule type="expression" dxfId="167" priority="191">
      <formula>OR(IF(AX25&lt;AY25,TRUE),IF(AND(AY25="",AX25&lt;&gt;""),TRUE))</formula>
    </cfRule>
    <cfRule type="expression" dxfId="166" priority="192">
      <formula>IF(AX25&gt;=AY25,IF(AX25="",FALSE,TRUE))</formula>
    </cfRule>
  </conditionalFormatting>
  <conditionalFormatting sqref="AZ26 AX26">
    <cfRule type="expression" dxfId="165" priority="189">
      <formula>OR(IF(AX26&lt;AY26,TRUE),IF(AND(AY26="",AX26&lt;&gt;""),TRUE))</formula>
    </cfRule>
    <cfRule type="expression" dxfId="164" priority="190">
      <formula>IF(AX26&gt;=AY26,IF(AX26="",FALSE,TRUE))</formula>
    </cfRule>
  </conditionalFormatting>
  <conditionalFormatting sqref="AZ30:AZ32 AX30:AX32">
    <cfRule type="expression" dxfId="163" priority="187">
      <formula>OR(IF(AX30&lt;AY30,TRUE),IF(AND(AY30="",AX30&lt;&gt;""),TRUE))</formula>
    </cfRule>
    <cfRule type="expression" dxfId="162" priority="188">
      <formula>IF(AX30&gt;=AY30,IF(AX30="",FALSE,TRUE))</formula>
    </cfRule>
  </conditionalFormatting>
  <conditionalFormatting sqref="AZ48:AZ50 AX48:AX50">
    <cfRule type="expression" dxfId="161" priority="179">
      <formula>OR(IF(AX48&lt;AY48,TRUE),IF(AND(AY48="",AX48&lt;&gt;""),TRUE))</formula>
    </cfRule>
    <cfRule type="expression" dxfId="160" priority="180">
      <formula>IF(AX48&gt;=AY48,IF(AX48="",FALSE,TRUE))</formula>
    </cfRule>
  </conditionalFormatting>
  <conditionalFormatting sqref="AX46:AX47">
    <cfRule type="expression" dxfId="159" priority="177">
      <formula>OR(IF(AX46&lt;AY46,TRUE),IF(AND(AY46="",AX46&lt;&gt;""),TRUE))</formula>
    </cfRule>
    <cfRule type="expression" dxfId="158" priority="178">
      <formula>IF(AX46&gt;=AY46,IF(AX46="",FALSE,TRUE))</formula>
    </cfRule>
  </conditionalFormatting>
  <conditionalFormatting sqref="AZ46:AZ47">
    <cfRule type="expression" dxfId="157" priority="175">
      <formula>OR(IF(AZ46&lt;BA46,TRUE),IF(AND(BA46="",AZ46&lt;&gt;""),TRUE))</formula>
    </cfRule>
    <cfRule type="expression" dxfId="156" priority="176">
      <formula>IF(AZ46&gt;=BA46,IF(AZ46="",FALSE,TRUE))</formula>
    </cfRule>
  </conditionalFormatting>
  <conditionalFormatting sqref="AS13 AQ13 AQ5:AQ10 AS5:AS10">
    <cfRule type="expression" dxfId="155" priority="173">
      <formula>OR(IF(AQ5&lt;AR5,TRUE),IF(AND(AR5="",AQ5&lt;&gt;""),TRUE))</formula>
    </cfRule>
    <cfRule type="expression" dxfId="154" priority="174">
      <formula>IF(AQ5&gt;=AR5,IF(AQ5="",FALSE,TRUE))</formula>
    </cfRule>
  </conditionalFormatting>
  <conditionalFormatting sqref="AS11 AQ11">
    <cfRule type="expression" dxfId="153" priority="171">
      <formula>OR(IF(AQ11&lt;AR11,TRUE),IF(AND(AR11="",AQ11&lt;&gt;""),TRUE))</formula>
    </cfRule>
    <cfRule type="expression" dxfId="152" priority="172">
      <formula>IF(AQ11&gt;=AR11,IF(AQ11="",FALSE,TRUE))</formula>
    </cfRule>
  </conditionalFormatting>
  <conditionalFormatting sqref="AS12 AQ12">
    <cfRule type="expression" dxfId="151" priority="169">
      <formula>OR(IF(AQ12&lt;AR12,TRUE),IF(AND(AR12="",AQ12&lt;&gt;""),TRUE))</formula>
    </cfRule>
    <cfRule type="expression" dxfId="150" priority="170">
      <formula>IF(AQ12&gt;=AR12,IF(AQ12="",FALSE,TRUE))</formula>
    </cfRule>
  </conditionalFormatting>
  <conditionalFormatting sqref="AS19 AQ19">
    <cfRule type="expression" dxfId="149" priority="167">
      <formula>OR(IF(AQ19&lt;AR19,TRUE),IF(AND(AR19="",AQ19&lt;&gt;""),TRUE))</formula>
    </cfRule>
    <cfRule type="expression" dxfId="148" priority="168">
      <formula>IF(AQ19&gt;=AR19,IF(AQ19="",FALSE,TRUE))</formula>
    </cfRule>
  </conditionalFormatting>
  <conditionalFormatting sqref="AQ16 AS16">
    <cfRule type="expression" dxfId="147" priority="165">
      <formula>OR(IF(AQ16&lt;AR16,TRUE),IF(AND(AR16="",AQ16&lt;&gt;""),TRUE))</formula>
    </cfRule>
    <cfRule type="expression" dxfId="146" priority="166">
      <formula>IF(AQ16&gt;=AR16,IF(AQ16="",FALSE,TRUE))</formula>
    </cfRule>
  </conditionalFormatting>
  <conditionalFormatting sqref="AQ17 AS17">
    <cfRule type="expression" dxfId="145" priority="163">
      <formula>OR(IF(AQ17&lt;AR17,TRUE),IF(AND(AR17="",AQ17&lt;&gt;""),TRUE))</formula>
    </cfRule>
    <cfRule type="expression" dxfId="144" priority="164">
      <formula>IF(AQ17&gt;=AR17,IF(AQ17="",FALSE,TRUE))</formula>
    </cfRule>
  </conditionalFormatting>
  <conditionalFormatting sqref="AS18 AQ18">
    <cfRule type="expression" dxfId="143" priority="161">
      <formula>OR(IF(AQ18&lt;AR18,TRUE),IF(AND(AR18="",AQ18&lt;&gt;""),TRUE))</formula>
    </cfRule>
    <cfRule type="expression" dxfId="142" priority="162">
      <formula>IF(AQ18&gt;=AR18,IF(AQ18="",FALSE,TRUE))</formula>
    </cfRule>
  </conditionalFormatting>
  <conditionalFormatting sqref="AS27:AS29 AQ27:AQ29">
    <cfRule type="expression" dxfId="141" priority="159">
      <formula>OR(IF(AQ27&lt;AR27,TRUE),IF(AND(AR27="",AQ27&lt;&gt;""),TRUE))</formula>
    </cfRule>
    <cfRule type="expression" dxfId="140" priority="160">
      <formula>IF(AQ27&gt;=AR27,IF(AQ27="",FALSE,TRUE))</formula>
    </cfRule>
  </conditionalFormatting>
  <conditionalFormatting sqref="AQ24 AS24">
    <cfRule type="expression" dxfId="139" priority="157">
      <formula>OR(IF(AQ24&lt;AR24,TRUE),IF(AND(AR24="",AQ24&lt;&gt;""),TRUE))</formula>
    </cfRule>
    <cfRule type="expression" dxfId="138" priority="158">
      <formula>IF(AQ24&gt;=AR24,IF(AQ24="",FALSE,TRUE))</formula>
    </cfRule>
  </conditionalFormatting>
  <conditionalFormatting sqref="AQ25 AS25">
    <cfRule type="expression" dxfId="137" priority="155">
      <formula>OR(IF(AQ25&lt;AR25,TRUE),IF(AND(AR25="",AQ25&lt;&gt;""),TRUE))</formula>
    </cfRule>
    <cfRule type="expression" dxfId="136" priority="156">
      <formula>IF(AQ25&gt;=AR25,IF(AQ25="",FALSE,TRUE))</formula>
    </cfRule>
  </conditionalFormatting>
  <conditionalFormatting sqref="AS26 AQ26">
    <cfRule type="expression" dxfId="135" priority="153">
      <formula>OR(IF(AQ26&lt;AR26,TRUE),IF(AND(AR26="",AQ26&lt;&gt;""),TRUE))</formula>
    </cfRule>
    <cfRule type="expression" dxfId="134" priority="154">
      <formula>IF(AQ26&gt;=AR26,IF(AQ26="",FALSE,TRUE))</formula>
    </cfRule>
  </conditionalFormatting>
  <conditionalFormatting sqref="AS30:AS31 AQ30:AQ31">
    <cfRule type="expression" dxfId="133" priority="151">
      <formula>OR(IF(AQ30&lt;AR30,TRUE),IF(AND(AR30="",AQ30&lt;&gt;""),TRUE))</formula>
    </cfRule>
    <cfRule type="expression" dxfId="132" priority="152">
      <formula>IF(AQ30&gt;=AR30,IF(AQ30="",FALSE,TRUE))</formula>
    </cfRule>
  </conditionalFormatting>
  <conditionalFormatting sqref="AS48:AS49 AQ48:AQ49">
    <cfRule type="expression" dxfId="131" priority="143">
      <formula>OR(IF(AQ48&lt;AR48,TRUE),IF(AND(AR48="",AQ48&lt;&gt;""),TRUE))</formula>
    </cfRule>
    <cfRule type="expression" dxfId="130" priority="144">
      <formula>IF(AQ48&gt;=AR48,IF(AQ48="",FALSE,TRUE))</formula>
    </cfRule>
  </conditionalFormatting>
  <conditionalFormatting sqref="AQ46:AQ47">
    <cfRule type="expression" dxfId="129" priority="141">
      <formula>OR(IF(AQ46&lt;AR46,TRUE),IF(AND(AR46="",AQ46&lt;&gt;""),TRUE))</formula>
    </cfRule>
    <cfRule type="expression" dxfId="128" priority="142">
      <formula>IF(AQ46&gt;=AR46,IF(AQ46="",FALSE,TRUE))</formula>
    </cfRule>
  </conditionalFormatting>
  <conditionalFormatting sqref="AS46:AS47">
    <cfRule type="expression" dxfId="127" priority="139">
      <formula>OR(IF(AS46&lt;AT46,TRUE),IF(AND(AT46="",AS46&lt;&gt;""),TRUE))</formula>
    </cfRule>
    <cfRule type="expression" dxfId="126" priority="140">
      <formula>IF(AS46&gt;=AT46,IF(AS46="",FALSE,TRUE))</formula>
    </cfRule>
  </conditionalFormatting>
  <conditionalFormatting sqref="AJ5:AJ10 AL5:AL10">
    <cfRule type="expression" dxfId="125" priority="137">
      <formula>OR(IF(AJ5&lt;AK5,TRUE),IF(AND(AK5="",AJ5&lt;&gt;""),TRUE))</formula>
    </cfRule>
    <cfRule type="expression" dxfId="124" priority="138">
      <formula>IF(AJ5&gt;=AK5,IF(AJ5="",FALSE,TRUE))</formula>
    </cfRule>
  </conditionalFormatting>
  <conditionalFormatting sqref="AL11 AJ11">
    <cfRule type="expression" dxfId="123" priority="135">
      <formula>OR(IF(AJ11&lt;AK11,TRUE),IF(AND(AK11="",AJ11&lt;&gt;""),TRUE))</formula>
    </cfRule>
    <cfRule type="expression" dxfId="122" priority="136">
      <formula>IF(AJ11&gt;=AK11,IF(AJ11="",FALSE,TRUE))</formula>
    </cfRule>
  </conditionalFormatting>
  <conditionalFormatting sqref="AL12 AJ12">
    <cfRule type="expression" dxfId="121" priority="133">
      <formula>OR(IF(AJ12&lt;AK12,TRUE),IF(AND(AK12="",AJ12&lt;&gt;""),TRUE))</formula>
    </cfRule>
    <cfRule type="expression" dxfId="120" priority="134">
      <formula>IF(AJ12&gt;=AK12,IF(AJ12="",FALSE,TRUE))</formula>
    </cfRule>
  </conditionalFormatting>
  <conditionalFormatting sqref="AJ16 AL16">
    <cfRule type="expression" dxfId="119" priority="131">
      <formula>OR(IF(AJ16&lt;AK16,TRUE),IF(AND(AK16="",AJ16&lt;&gt;""),TRUE))</formula>
    </cfRule>
    <cfRule type="expression" dxfId="118" priority="132">
      <formula>IF(AJ16&gt;=AK16,IF(AJ16="",FALSE,TRUE))</formula>
    </cfRule>
  </conditionalFormatting>
  <conditionalFormatting sqref="AJ17 AL17">
    <cfRule type="expression" dxfId="117" priority="129">
      <formula>OR(IF(AJ17&lt;AK17,TRUE),IF(AND(AK17="",AJ17&lt;&gt;""),TRUE))</formula>
    </cfRule>
    <cfRule type="expression" dxfId="116" priority="130">
      <formula>IF(AJ17&gt;=AK17,IF(AJ17="",FALSE,TRUE))</formula>
    </cfRule>
  </conditionalFormatting>
  <conditionalFormatting sqref="AL18 AJ18">
    <cfRule type="expression" dxfId="115" priority="127">
      <formula>OR(IF(AJ18&lt;AK18,TRUE),IF(AND(AK18="",AJ18&lt;&gt;""),TRUE))</formula>
    </cfRule>
    <cfRule type="expression" dxfId="114" priority="128">
      <formula>IF(AJ18&gt;=AK18,IF(AJ18="",FALSE,TRUE))</formula>
    </cfRule>
  </conditionalFormatting>
  <conditionalFormatting sqref="AL27:AL29 AJ27:AJ29">
    <cfRule type="expression" dxfId="113" priority="117">
      <formula>OR(IF(AJ27&lt;AK27,TRUE),IF(AND(AK27="",AJ27&lt;&gt;""),TRUE))</formula>
    </cfRule>
    <cfRule type="expression" dxfId="112" priority="118">
      <formula>IF(AJ27&gt;=AK27,IF(AJ27="",FALSE,TRUE))</formula>
    </cfRule>
  </conditionalFormatting>
  <conditionalFormatting sqref="AJ24 AL24">
    <cfRule type="expression" dxfId="111" priority="115">
      <formula>OR(IF(AJ24&lt;AK24,TRUE),IF(AND(AK24="",AJ24&lt;&gt;""),TRUE))</formula>
    </cfRule>
    <cfRule type="expression" dxfId="110" priority="116">
      <formula>IF(AJ24&gt;=AK24,IF(AJ24="",FALSE,TRUE))</formula>
    </cfRule>
  </conditionalFormatting>
  <conditionalFormatting sqref="AJ25 AL25">
    <cfRule type="expression" dxfId="109" priority="113">
      <formula>OR(IF(AJ25&lt;AK25,TRUE),IF(AND(AK25="",AJ25&lt;&gt;""),TRUE))</formula>
    </cfRule>
    <cfRule type="expression" dxfId="108" priority="114">
      <formula>IF(AJ25&gt;=AK25,IF(AJ25="",FALSE,TRUE))</formula>
    </cfRule>
  </conditionalFormatting>
  <conditionalFormatting sqref="AL26 AJ26">
    <cfRule type="expression" dxfId="107" priority="111">
      <formula>OR(IF(AJ26&lt;AK26,TRUE),IF(AND(AK26="",AJ26&lt;&gt;""),TRUE))</formula>
    </cfRule>
    <cfRule type="expression" dxfId="106" priority="112">
      <formula>IF(AJ26&gt;=AK26,IF(AJ26="",FALSE,TRUE))</formula>
    </cfRule>
  </conditionalFormatting>
  <conditionalFormatting sqref="AC16 AE16">
    <cfRule type="expression" dxfId="105" priority="103">
      <formula>OR(IF(AC16&lt;AD16,TRUE),IF(AND(AD16="",AC16&lt;&gt;""),TRUE))</formula>
    </cfRule>
    <cfRule type="expression" dxfId="104" priority="104">
      <formula>IF(AC16&gt;=AD16,IF(AC16="",FALSE,TRUE))</formula>
    </cfRule>
  </conditionalFormatting>
  <conditionalFormatting sqref="AC17 AE17">
    <cfRule type="expression" dxfId="103" priority="101">
      <formula>OR(IF(AC17&lt;AD17,TRUE),IF(AND(AD17="",AC17&lt;&gt;""),TRUE))</formula>
    </cfRule>
    <cfRule type="expression" dxfId="102" priority="102">
      <formula>IF(AC17&gt;=AD17,IF(AC17="",FALSE,TRUE))</formula>
    </cfRule>
  </conditionalFormatting>
  <conditionalFormatting sqref="AE18 AC18">
    <cfRule type="expression" dxfId="101" priority="99">
      <formula>OR(IF(AC18&lt;AD18,TRUE),IF(AND(AD18="",AC18&lt;&gt;""),TRUE))</formula>
    </cfRule>
    <cfRule type="expression" dxfId="100" priority="100">
      <formula>IF(AC18&gt;=AD18,IF(AC18="",FALSE,TRUE))</formula>
    </cfRule>
  </conditionalFormatting>
  <conditionalFormatting sqref="AE27:AE28 AC27:AC28">
    <cfRule type="expression" dxfId="99" priority="97">
      <formula>OR(IF(AC27&lt;AD27,TRUE),IF(AND(AD27="",AC27&lt;&gt;""),TRUE))</formula>
    </cfRule>
    <cfRule type="expression" dxfId="98" priority="98">
      <formula>IF(AC27&gt;=AD27,IF(AC27="",FALSE,TRUE))</formula>
    </cfRule>
  </conditionalFormatting>
  <conditionalFormatting sqref="AC24 AE24">
    <cfRule type="expression" dxfId="97" priority="95">
      <formula>OR(IF(AC24&lt;AD24,TRUE),IF(AND(AD24="",AC24&lt;&gt;""),TRUE))</formula>
    </cfRule>
    <cfRule type="expression" dxfId="96" priority="96">
      <formula>IF(AC24&gt;=AD24,IF(AC24="",FALSE,TRUE))</formula>
    </cfRule>
  </conditionalFormatting>
  <conditionalFormatting sqref="AC25 AE25">
    <cfRule type="expression" dxfId="95" priority="93">
      <formula>OR(IF(AC25&lt;AD25,TRUE),IF(AND(AD25="",AC25&lt;&gt;""),TRUE))</formula>
    </cfRule>
    <cfRule type="expression" dxfId="94" priority="94">
      <formula>IF(AC25&gt;=AD25,IF(AC25="",FALSE,TRUE))</formula>
    </cfRule>
  </conditionalFormatting>
  <conditionalFormatting sqref="AE26 AC26">
    <cfRule type="expression" dxfId="93" priority="91">
      <formula>OR(IF(AC26&lt;AD26,TRUE),IF(AND(AD26="",AC26&lt;&gt;""),TRUE))</formula>
    </cfRule>
    <cfRule type="expression" dxfId="92" priority="92">
      <formula>IF(AC26&gt;=AD26,IF(AC26="",FALSE,TRUE))</formula>
    </cfRule>
  </conditionalFormatting>
  <conditionalFormatting sqref="AC5:AC10 AE5:AE10">
    <cfRule type="expression" dxfId="91" priority="83">
      <formula>OR(IF(AC5&lt;AD5,TRUE),IF(AND(AD5="",AC5&lt;&gt;""),TRUE))</formula>
    </cfRule>
    <cfRule type="expression" dxfId="90" priority="84">
      <formula>IF(AC5&gt;=AD5,IF(AC5="",FALSE,TRUE))</formula>
    </cfRule>
  </conditionalFormatting>
  <conditionalFormatting sqref="AE11 AC11">
    <cfRule type="expression" dxfId="89" priority="81">
      <formula>OR(IF(AC11&lt;AD11,TRUE),IF(AND(AD11="",AC11&lt;&gt;""),TRUE))</formula>
    </cfRule>
    <cfRule type="expression" dxfId="88" priority="82">
      <formula>IF(AC11&gt;=AD11,IF(AC11="",FALSE,TRUE))</formula>
    </cfRule>
  </conditionalFormatting>
  <conditionalFormatting sqref="AE12 AC12">
    <cfRule type="expression" dxfId="87" priority="79">
      <formula>OR(IF(AC12&lt;AD12,TRUE),IF(AND(AD12="",AC12&lt;&gt;""),TRUE))</formula>
    </cfRule>
    <cfRule type="expression" dxfId="86" priority="80">
      <formula>IF(AC12&gt;=AD12,IF(AC12="",FALSE,TRUE))</formula>
    </cfRule>
  </conditionalFormatting>
  <conditionalFormatting sqref="V24 X24">
    <cfRule type="expression" dxfId="85" priority="77">
      <formula>OR(IF(V24&lt;W24,TRUE),IF(AND(W24="",V24&lt;&gt;""),TRUE))</formula>
    </cfRule>
    <cfRule type="expression" dxfId="84" priority="78">
      <formula>IF(V24&gt;=W24,IF(V24="",FALSE,TRUE))</formula>
    </cfRule>
  </conditionalFormatting>
  <conditionalFormatting sqref="V25 X25">
    <cfRule type="expression" dxfId="83" priority="75">
      <formula>OR(IF(V25&lt;W25,TRUE),IF(AND(W25="",V25&lt;&gt;""),TRUE))</formula>
    </cfRule>
    <cfRule type="expression" dxfId="82" priority="76">
      <formula>IF(V25&gt;=W25,IF(V25="",FALSE,TRUE))</formula>
    </cfRule>
  </conditionalFormatting>
  <conditionalFormatting sqref="X26 V26">
    <cfRule type="expression" dxfId="81" priority="73">
      <formula>OR(IF(V26&lt;W26,TRUE),IF(AND(W26="",V26&lt;&gt;""),TRUE))</formula>
    </cfRule>
    <cfRule type="expression" dxfId="80" priority="74">
      <formula>IF(V26&gt;=W26,IF(V26="",FALSE,TRUE))</formula>
    </cfRule>
  </conditionalFormatting>
  <conditionalFormatting sqref="V5:V9 X5:X9">
    <cfRule type="expression" dxfId="79" priority="67">
      <formula>OR(IF(V5&lt;W5,TRUE),IF(AND(W5="",V5&lt;&gt;""),TRUE))</formula>
    </cfRule>
    <cfRule type="expression" dxfId="78" priority="68">
      <formula>IF(V5&gt;=W5,IF(V5="",FALSE,TRUE))</formula>
    </cfRule>
  </conditionalFormatting>
  <conditionalFormatting sqref="O5:O6 Q5:Q6">
    <cfRule type="expression" dxfId="77" priority="65">
      <formula>OR(IF(O5&lt;P5,TRUE),IF(AND(P5="",O5&lt;&gt;""),TRUE))</formula>
    </cfRule>
    <cfRule type="expression" dxfId="76" priority="66">
      <formula>IF(O5&gt;=P5,IF(O5="",FALSE,TRUE))</formula>
    </cfRule>
  </conditionalFormatting>
  <conditionalFormatting sqref="CB27:CB29 BZ27:BZ29">
    <cfRule type="expression" dxfId="75" priority="63">
      <formula>OR(IF(BZ27&lt;CA27,TRUE),IF(AND(CA27="",BZ27&lt;&gt;""),TRUE))</formula>
    </cfRule>
    <cfRule type="expression" dxfId="74" priority="64">
      <formula>IF(BZ27&gt;=CA27,IF(BZ27="",FALSE,TRUE))</formula>
    </cfRule>
  </conditionalFormatting>
  <conditionalFormatting sqref="BZ24 CB24">
    <cfRule type="expression" dxfId="73" priority="61">
      <formula>OR(IF(BZ24&lt;CA24,TRUE),IF(AND(CA24="",BZ24&lt;&gt;""),TRUE))</formula>
    </cfRule>
    <cfRule type="expression" dxfId="72" priority="62">
      <formula>IF(BZ24&gt;=CA24,IF(BZ24="",FALSE,TRUE))</formula>
    </cfRule>
  </conditionalFormatting>
  <conditionalFormatting sqref="BZ25 CB25">
    <cfRule type="expression" dxfId="71" priority="59">
      <formula>OR(IF(BZ25&lt;CA25,TRUE),IF(AND(CA25="",BZ25&lt;&gt;""),TRUE))</formula>
    </cfRule>
    <cfRule type="expression" dxfId="70" priority="60">
      <formula>IF(BZ25&gt;=CA25,IF(BZ25="",FALSE,TRUE))</formula>
    </cfRule>
  </conditionalFormatting>
  <conditionalFormatting sqref="CB26 BZ26">
    <cfRule type="expression" dxfId="69" priority="57">
      <formula>OR(IF(BZ26&lt;CA26,TRUE),IF(AND(CA26="",BZ26&lt;&gt;""),TRUE))</formula>
    </cfRule>
    <cfRule type="expression" dxfId="68" priority="58">
      <formula>IF(BZ26&gt;=CA26,IF(BZ26="",FALSE,TRUE))</formula>
    </cfRule>
  </conditionalFormatting>
  <conditionalFormatting sqref="CB30:CB33 BZ30:BZ33">
    <cfRule type="expression" dxfId="67" priority="55">
      <formula>OR(IF(BZ30&lt;CA30,TRUE),IF(AND(CA30="",BZ30&lt;&gt;""),TRUE))</formula>
    </cfRule>
    <cfRule type="expression" dxfId="66" priority="56">
      <formula>IF(BZ30&gt;=CA30,IF(BZ30="",FALSE,TRUE))</formula>
    </cfRule>
  </conditionalFormatting>
  <conditionalFormatting sqref="BZ42 CB42">
    <cfRule type="expression" dxfId="65" priority="47">
      <formula>OR(IF(BZ42&lt;CA42,TRUE),IF(AND(CA42="",BZ42&lt;&gt;""),TRUE))</formula>
    </cfRule>
    <cfRule type="expression" dxfId="64" priority="48">
      <formula>IF(BZ42&gt;=CA42,IF(BZ42="",FALSE,TRUE))</formula>
    </cfRule>
  </conditionalFormatting>
  <conditionalFormatting sqref="CB38:CB41 BZ38:BZ41 BZ43 CB43">
    <cfRule type="expression" dxfId="63" priority="53">
      <formula>OR(IF(BZ38&lt;CA38,TRUE),IF(AND(CA38="",BZ38&lt;&gt;""),TRUE))</formula>
    </cfRule>
    <cfRule type="expression" dxfId="62" priority="54">
      <formula>IF(BZ38&gt;=CA38,IF(BZ38="",FALSE,TRUE))</formula>
    </cfRule>
  </conditionalFormatting>
  <conditionalFormatting sqref="BZ36:BZ37">
    <cfRule type="expression" dxfId="61" priority="51">
      <formula>OR(IF(BZ36&lt;CA36,TRUE),IF(AND(CA36="",BZ36&lt;&gt;""),TRUE))</formula>
    </cfRule>
    <cfRule type="expression" dxfId="60" priority="52">
      <formula>IF(BZ36&gt;=CA36,IF(BZ36="",FALSE,TRUE))</formula>
    </cfRule>
  </conditionalFormatting>
  <conditionalFormatting sqref="CB36:CB37">
    <cfRule type="expression" dxfId="59" priority="49">
      <formula>OR(IF(CB36&lt;CC36,TRUE),IF(AND(CC36="",CB36&lt;&gt;""),TRUE))</formula>
    </cfRule>
    <cfRule type="expression" dxfId="58" priority="50">
      <formula>IF(CB36&gt;=CC36,IF(CB36="",FALSE,TRUE))</formula>
    </cfRule>
  </conditionalFormatting>
  <conditionalFormatting sqref="BS42 BU42">
    <cfRule type="expression" dxfId="57" priority="39">
      <formula>OR(IF(BS42&lt;BT42,TRUE),IF(AND(BT42="",BS42&lt;&gt;""),TRUE))</formula>
    </cfRule>
    <cfRule type="expression" dxfId="56" priority="40">
      <formula>IF(BS42&gt;=BT42,IF(BS42="",FALSE,TRUE))</formula>
    </cfRule>
  </conditionalFormatting>
  <conditionalFormatting sqref="BU38:BU41 BS38:BS41 BS43 BU43">
    <cfRule type="expression" dxfId="55" priority="45">
      <formula>OR(IF(BS38&lt;BT38,TRUE),IF(AND(BT38="",BS38&lt;&gt;""),TRUE))</formula>
    </cfRule>
    <cfRule type="expression" dxfId="54" priority="46">
      <formula>IF(BS38&gt;=BT38,IF(BS38="",FALSE,TRUE))</formula>
    </cfRule>
  </conditionalFormatting>
  <conditionalFormatting sqref="BS36:BS37">
    <cfRule type="expression" dxfId="53" priority="43">
      <formula>OR(IF(BS36&lt;BT36,TRUE),IF(AND(BT36="",BS36&lt;&gt;""),TRUE))</formula>
    </cfRule>
    <cfRule type="expression" dxfId="52" priority="44">
      <formula>IF(BS36&gt;=BT36,IF(BS36="",FALSE,TRUE))</formula>
    </cfRule>
  </conditionalFormatting>
  <conditionalFormatting sqref="BU36:BU37">
    <cfRule type="expression" dxfId="51" priority="41">
      <formula>OR(IF(BU36&lt;BV36,TRUE),IF(AND(BV36="",BU36&lt;&gt;""),TRUE))</formula>
    </cfRule>
    <cfRule type="expression" dxfId="50" priority="42">
      <formula>IF(BU36&gt;=BV36,IF(BU36="",FALSE,TRUE))</formula>
    </cfRule>
  </conditionalFormatting>
  <conditionalFormatting sqref="BG38:BG41 BE38:BE41 BE43 BG43">
    <cfRule type="expression" dxfId="49" priority="37">
      <formula>OR(IF(BE38&lt;BF38,TRUE),IF(AND(BF38="",BE38&lt;&gt;""),TRUE))</formula>
    </cfRule>
    <cfRule type="expression" dxfId="48" priority="38">
      <formula>IF(BE38&gt;=BF38,IF(BE38="",FALSE,TRUE))</formula>
    </cfRule>
  </conditionalFormatting>
  <conditionalFormatting sqref="BE36:BE37">
    <cfRule type="expression" dxfId="47" priority="35">
      <formula>OR(IF(BE36&lt;BF36,TRUE),IF(AND(BF36="",BE36&lt;&gt;""),TRUE))</formula>
    </cfRule>
    <cfRule type="expression" dxfId="46" priority="36">
      <formula>IF(BE36&gt;=BF36,IF(BE36="",FALSE,TRUE))</formula>
    </cfRule>
  </conditionalFormatting>
  <conditionalFormatting sqref="BG36:BG37">
    <cfRule type="expression" dxfId="45" priority="33">
      <formula>OR(IF(BG36&lt;BH36,TRUE),IF(AND(BH36="",BG36&lt;&gt;""),TRUE))</formula>
    </cfRule>
    <cfRule type="expression" dxfId="44" priority="34">
      <formula>IF(BG36&gt;=BH36,IF(BG36="",FALSE,TRUE))</formula>
    </cfRule>
  </conditionalFormatting>
  <conditionalFormatting sqref="BE42 BG42">
    <cfRule type="expression" dxfId="43" priority="31">
      <formula>OR(IF(BE42&lt;BF42,TRUE),IF(AND(BF42="",BE42&lt;&gt;""),TRUE))</formula>
    </cfRule>
    <cfRule type="expression" dxfId="42" priority="32">
      <formula>IF(BE42&gt;=BF42,IF(BE42="",FALSE,TRUE))</formula>
    </cfRule>
  </conditionalFormatting>
  <conditionalFormatting sqref="AZ38:AZ41 AX38:AX41">
    <cfRule type="expression" dxfId="41" priority="29">
      <formula>OR(IF(AX38&lt;AY38,TRUE),IF(AND(AY38="",AX38&lt;&gt;""),TRUE))</formula>
    </cfRule>
    <cfRule type="expression" dxfId="40" priority="30">
      <formula>IF(AX38&gt;=AY38,IF(AX38="",FALSE,TRUE))</formula>
    </cfRule>
  </conditionalFormatting>
  <conditionalFormatting sqref="AX36:AX37">
    <cfRule type="expression" dxfId="39" priority="27">
      <formula>OR(IF(AX36&lt;AY36,TRUE),IF(AND(AY36="",AX36&lt;&gt;""),TRUE))</formula>
    </cfRule>
    <cfRule type="expression" dxfId="38" priority="28">
      <formula>IF(AX36&gt;=AY36,IF(AX36="",FALSE,TRUE))</formula>
    </cfRule>
  </conditionalFormatting>
  <conditionalFormatting sqref="AZ36:AZ37">
    <cfRule type="expression" dxfId="37" priority="25">
      <formula>OR(IF(AZ36&lt;BA36,TRUE),IF(AND(BA36="",AZ36&lt;&gt;""),TRUE))</formula>
    </cfRule>
    <cfRule type="expression" dxfId="36" priority="26">
      <formula>IF(AZ36&gt;=BA36,IF(AZ36="",FALSE,TRUE))</formula>
    </cfRule>
  </conditionalFormatting>
  <conditionalFormatting sqref="AS38:AS40 AQ38:AQ40">
    <cfRule type="expression" dxfId="35" priority="23">
      <formula>OR(IF(AQ38&lt;AR38,TRUE),IF(AND(AR38="",AQ38&lt;&gt;""),TRUE))</formula>
    </cfRule>
    <cfRule type="expression" dxfId="34" priority="24">
      <formula>IF(AQ38&gt;=AR38,IF(AQ38="",FALSE,TRUE))</formula>
    </cfRule>
  </conditionalFormatting>
  <conditionalFormatting sqref="AQ36:AQ37">
    <cfRule type="expression" dxfId="33" priority="21">
      <formula>OR(IF(AQ36&lt;AR36,TRUE),IF(AND(AR36="",AQ36&lt;&gt;""),TRUE))</formula>
    </cfRule>
    <cfRule type="expression" dxfId="32" priority="22">
      <formula>IF(AQ36&gt;=AR36,IF(AQ36="",FALSE,TRUE))</formula>
    </cfRule>
  </conditionalFormatting>
  <conditionalFormatting sqref="AS36:AS37">
    <cfRule type="expression" dxfId="31" priority="19">
      <formula>OR(IF(AS36&lt;AT36,TRUE),IF(AND(AT36="",AS36&lt;&gt;""),TRUE))</formula>
    </cfRule>
    <cfRule type="expression" dxfId="30" priority="20">
      <formula>IF(AS36&gt;=AT36,IF(AS36="",FALSE,TRUE))</formula>
    </cfRule>
  </conditionalFormatting>
  <conditionalFormatting sqref="AL38:AL40 AJ38:AJ40">
    <cfRule type="expression" dxfId="29" priority="17">
      <formula>OR(IF(AJ38&lt;AK38,TRUE),IF(AND(AK38="",AJ38&lt;&gt;""),TRUE))</formula>
    </cfRule>
    <cfRule type="expression" dxfId="28" priority="18">
      <formula>IF(AJ38&gt;=AK38,IF(AJ38="",FALSE,TRUE))</formula>
    </cfRule>
  </conditionalFormatting>
  <conditionalFormatting sqref="AJ36:AJ37">
    <cfRule type="expression" dxfId="27" priority="15">
      <formula>OR(IF(AJ36&lt;AK36,TRUE),IF(AND(AK36="",AJ36&lt;&gt;""),TRUE))</formula>
    </cfRule>
    <cfRule type="expression" dxfId="26" priority="16">
      <formula>IF(AJ36&gt;=AK36,IF(AJ36="",FALSE,TRUE))</formula>
    </cfRule>
  </conditionalFormatting>
  <conditionalFormatting sqref="AL36:AL37">
    <cfRule type="expression" dxfId="25" priority="13">
      <formula>OR(IF(AL36&lt;AM36,TRUE),IF(AND(AM36="",AL36&lt;&gt;""),TRUE))</formula>
    </cfRule>
    <cfRule type="expression" dxfId="24" priority="14">
      <formula>IF(AL36&gt;=AM36,IF(AL36="",FALSE,TRUE))</formula>
    </cfRule>
  </conditionalFormatting>
  <conditionalFormatting sqref="AE38:AE39 AC38:AC39">
    <cfRule type="expression" dxfId="23" priority="11">
      <formula>OR(IF(AC38&lt;AD38,TRUE),IF(AND(AD38="",AC38&lt;&gt;""),TRUE))</formula>
    </cfRule>
    <cfRule type="expression" dxfId="22" priority="12">
      <formula>IF(AC38&gt;=AD38,IF(AC38="",FALSE,TRUE))</formula>
    </cfRule>
  </conditionalFormatting>
  <conditionalFormatting sqref="AC36:AC37">
    <cfRule type="expression" dxfId="21" priority="9">
      <formula>OR(IF(AC36&lt;AD36,TRUE),IF(AND(AD36="",AC36&lt;&gt;""),TRUE))</formula>
    </cfRule>
    <cfRule type="expression" dxfId="20" priority="10">
      <formula>IF(AC36&gt;=AD36,IF(AC36="",FALSE,TRUE))</formula>
    </cfRule>
  </conditionalFormatting>
  <conditionalFormatting sqref="AE36:AE37">
    <cfRule type="expression" dxfId="19" priority="7">
      <formula>OR(IF(AE36&lt;AF36,TRUE),IF(AND(AF36="",AE36&lt;&gt;""),TRUE))</formula>
    </cfRule>
    <cfRule type="expression" dxfId="18" priority="8">
      <formula>IF(AE36&gt;=AF36,IF(AE36="",FALSE,TRUE))</formula>
    </cfRule>
  </conditionalFormatting>
  <conditionalFormatting sqref="X38 V38">
    <cfRule type="expression" dxfId="17" priority="5">
      <formula>OR(IF(V38&lt;W38,TRUE),IF(AND(W38="",V38&lt;&gt;""),TRUE))</formula>
    </cfRule>
    <cfRule type="expression" dxfId="16" priority="6">
      <formula>IF(V38&gt;=W38,IF(V38="",FALSE,TRUE))</formula>
    </cfRule>
  </conditionalFormatting>
  <conditionalFormatting sqref="V36:V37">
    <cfRule type="expression" dxfId="15" priority="3">
      <formula>OR(IF(V36&lt;W36,TRUE),IF(AND(W36="",V36&lt;&gt;""),TRUE))</formula>
    </cfRule>
    <cfRule type="expression" dxfId="14" priority="4">
      <formula>IF(V36&gt;=W36,IF(V36="",FALSE,TRUE))</formula>
    </cfRule>
  </conditionalFormatting>
  <conditionalFormatting sqref="X36:X37">
    <cfRule type="expression" dxfId="13" priority="1">
      <formula>OR(IF(X36&lt;Y36,TRUE),IF(AND(Y36="",X36&lt;&gt;""),TRUE))</formula>
    </cfRule>
    <cfRule type="expression" dxfId="12" priority="2">
      <formula>IF(X36&gt;=Y36,IF(X36="",FALSE,TRUE))</formula>
    </cfRule>
  </conditionalFormatting>
  <dataValidations count="1">
    <dataValidation type="list" allowBlank="1" showInputMessage="1" showErrorMessage="1" sqref="AX36:BA43 AJ5:AM13 AX5:BA13 AQ5:AT13 BE5:BH13 BS46:BV52 BZ16:CC21 CN46:CQ52 BL16:BO21 AC5:AF13 BE16:BH21 CG46:CJ52 AX16:BA21 AQ16:AT21 AJ16:AM21 AC16:AF21 BS24:BV33 BE46:BH52 BL46:BO52 BE36:BH43 AJ46:AM52 AC46:AF52 O55:R61 BZ46:CC52 O5:R13 AC36:AF43 O24:R33 CG36:CJ43 BS16:BV21 CG24:CJ33 CN24:CQ33 CN16:CQ21 DW46:DZ52 DP24:DS33 DW16:DZ21 O36:R43 V16:Y21 ED24:EG33 CG16:CJ21 DW36:DZ43 CN36:CQ43 AQ36:AT43 V46:Y52 BZ36:CC43 V24:Y33 BL24:BO33 BE24:BH33 AX24:BA33 AQ24:AT33 AJ24:AM33 AC24:AF33 V36:Y43 CU46:CX52 ED36:EG43 CU16:CX21 CU36:CX43 DB46:DE52 CU24:CX33 DB16:DE21 DB36:DE43 DI46:DL52 DB24:DE33 DI16:DL21 DI36:DL43 DP46:DS52 DI24:DL33 DP16:DS21 DP36:DS43 ED46:EG52 O16:R21 DW24:DZ33 ED16:EG21 O46:R52 AQ55:AT61 CN55:CQ61 BS55:BV61 BE55:BH61 BL55:BO61 AX55:BA61 AJ55:AM61 AC55:AF61 V55:Y61 BZ55:CC61 CG55:CJ61 DW55:DZ61 CU55:CX61 DB55:DE61 DI55:DL61 DP55:DS61 ED55:EG61 ED5:EG13 DP5:DS13 DI5:DL13 DB5:DE13 CU5:CX13 BL5:BO13 DW5:DZ13 CN5:CQ13 BZ5:CC13 CG5:CJ13 V5:Y13 BS5:BV13 BL36:BO43 BS36:BV43 AX46:BA52 AQ46:AT52 AJ36:AM43 BZ24:CC33" xr:uid="{DF46768B-76BD-4AD1-BDD9-05E5E50A35C8}">
      <formula1>"10%,20%,30%,40%,50%,60%,70%,80%,90%,100%"</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A10" zoomScale="85" zoomScaleNormal="85" workbookViewId="0">
      <selection activeCell="B2" sqref="B2"/>
    </sheetView>
  </sheetViews>
  <sheetFormatPr baseColWidth="10" defaultColWidth="10.69921875" defaultRowHeight="15.6"/>
  <cols>
    <col min="2" max="2" width="161" customWidth="1"/>
    <col min="3" max="3" width="10.796875" style="2"/>
  </cols>
  <sheetData>
    <row r="4" spans="2:2" ht="21">
      <c r="B4" s="4" t="s">
        <v>16</v>
      </c>
    </row>
    <row r="6" spans="2:2">
      <c r="B6" s="3" t="s">
        <v>13</v>
      </c>
    </row>
    <row r="7" spans="2:2" ht="46.8">
      <c r="B7" s="1" t="s">
        <v>14</v>
      </c>
    </row>
    <row r="9" spans="2:2">
      <c r="B9" s="3" t="s">
        <v>15</v>
      </c>
    </row>
    <row r="10" spans="2:2" ht="62.4">
      <c r="B10" s="1" t="s">
        <v>38</v>
      </c>
    </row>
    <row r="12" spans="2:2">
      <c r="B12" s="3" t="s">
        <v>17</v>
      </c>
    </row>
    <row r="13" spans="2:2" ht="140.4">
      <c r="B13" s="1" t="s">
        <v>18</v>
      </c>
    </row>
    <row r="15" spans="2:2">
      <c r="B15" s="3" t="s">
        <v>19</v>
      </c>
    </row>
    <row r="16" spans="2:2" ht="109.2">
      <c r="B16" s="1" t="s">
        <v>20</v>
      </c>
    </row>
    <row r="17" spans="2:2">
      <c r="B17" s="1"/>
    </row>
    <row r="18" spans="2:2">
      <c r="B18" s="3" t="s">
        <v>37</v>
      </c>
    </row>
    <row r="19" spans="2:2" ht="140.4">
      <c r="B19" s="1" t="s">
        <v>39</v>
      </c>
    </row>
    <row r="21" spans="2:2">
      <c r="B21" s="3" t="s">
        <v>21</v>
      </c>
    </row>
    <row r="22" spans="2:2" ht="124.8">
      <c r="B22" s="1" t="s">
        <v>40</v>
      </c>
    </row>
    <row r="24" spans="2:2">
      <c r="B24" s="3" t="s">
        <v>22</v>
      </c>
    </row>
    <row r="25" spans="2:2" ht="124.8">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zoomScale="85" zoomScaleNormal="85" workbookViewId="0">
      <selection activeCell="A2" sqref="A2"/>
    </sheetView>
  </sheetViews>
  <sheetFormatPr baseColWidth="10" defaultColWidth="10.69921875" defaultRowHeight="15.6"/>
  <cols>
    <col min="1" max="1" width="16.796875" style="11" customWidth="1"/>
    <col min="2" max="2" width="19.19921875" style="11" customWidth="1"/>
    <col min="3" max="3" width="18.19921875" style="11" customWidth="1"/>
    <col min="4" max="4" width="19.5" style="11" customWidth="1"/>
    <col min="8" max="8" width="15.19921875" customWidth="1"/>
    <col min="10" max="10" width="42" customWidth="1"/>
    <col min="11" max="11" width="28.5" customWidth="1"/>
  </cols>
  <sheetData>
    <row r="1" spans="1:11" ht="31.2">
      <c r="A1" s="11" t="s">
        <v>47</v>
      </c>
      <c r="B1" s="17" t="s">
        <v>44</v>
      </c>
      <c r="C1" s="17" t="s">
        <v>45</v>
      </c>
      <c r="D1" s="17" t="s">
        <v>46</v>
      </c>
      <c r="E1" s="1" t="s">
        <v>48</v>
      </c>
      <c r="F1" s="1" t="s">
        <v>49</v>
      </c>
      <c r="G1" s="1" t="s">
        <v>50</v>
      </c>
      <c r="H1" s="1" t="s">
        <v>51</v>
      </c>
      <c r="I1" s="1" t="s">
        <v>52</v>
      </c>
      <c r="J1" s="1" t="s">
        <v>53</v>
      </c>
      <c r="K1" s="1" t="s">
        <v>54</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25F08-16D7-40B1-9105-96B9D8CC082E}">
  <dimension ref="A1:H47"/>
  <sheetViews>
    <sheetView zoomScale="70" zoomScaleNormal="70" workbookViewId="0">
      <selection activeCell="F39" sqref="F39"/>
    </sheetView>
  </sheetViews>
  <sheetFormatPr baseColWidth="10" defaultColWidth="10.69921875" defaultRowHeight="15.6"/>
  <cols>
    <col min="3" max="3" width="11.796875" bestFit="1" customWidth="1"/>
    <col min="5" max="5" width="13.3984375" bestFit="1" customWidth="1"/>
  </cols>
  <sheetData>
    <row r="1" spans="1:8" ht="24.6">
      <c r="B1" s="8" t="s">
        <v>25</v>
      </c>
    </row>
    <row r="4" spans="1:8">
      <c r="B4" s="3" t="s">
        <v>4</v>
      </c>
      <c r="C4" s="3" t="s">
        <v>5</v>
      </c>
      <c r="D4" s="3" t="s">
        <v>6</v>
      </c>
      <c r="E4" s="3" t="s">
        <v>7</v>
      </c>
      <c r="F4" s="3" t="s">
        <v>10</v>
      </c>
      <c r="G4" s="3" t="s">
        <v>8</v>
      </c>
      <c r="H4" s="3" t="s">
        <v>9</v>
      </c>
    </row>
    <row r="5" spans="1:8">
      <c r="A5" s="10">
        <v>0.33333333333333398</v>
      </c>
    </row>
    <row r="6" spans="1:8">
      <c r="A6" s="10">
        <v>0.35416666666666702</v>
      </c>
    </row>
    <row r="7" spans="1:8">
      <c r="A7" s="10">
        <v>0.375</v>
      </c>
    </row>
    <row r="8" spans="1:8">
      <c r="A8" s="10">
        <v>0.39583333333333398</v>
      </c>
    </row>
    <row r="9" spans="1:8">
      <c r="A9" s="10">
        <v>0.41666666666666702</v>
      </c>
    </row>
    <row r="10" spans="1:8">
      <c r="A10" s="10">
        <v>0.42708333333333331</v>
      </c>
    </row>
    <row r="11" spans="1:8">
      <c r="A11" s="10">
        <v>0.4375</v>
      </c>
    </row>
    <row r="12" spans="1:8">
      <c r="A12" s="10">
        <v>0.45833333333333398</v>
      </c>
    </row>
    <row r="13" spans="1:8">
      <c r="A13" s="10">
        <v>0.47916666666666702</v>
      </c>
    </row>
    <row r="14" spans="1:8">
      <c r="A14" s="10">
        <v>0.48958333333333331</v>
      </c>
    </row>
    <row r="15" spans="1:8">
      <c r="A15" s="10">
        <v>0.5</v>
      </c>
    </row>
    <row r="16" spans="1:8">
      <c r="A16" s="10">
        <v>0.51041666666666663</v>
      </c>
    </row>
    <row r="17" spans="1:1">
      <c r="A17" s="10">
        <v>0.52083333333333404</v>
      </c>
    </row>
    <row r="18" spans="1:1">
      <c r="A18" s="10">
        <v>0.54166666666666696</v>
      </c>
    </row>
    <row r="19" spans="1:1">
      <c r="A19" s="10">
        <v>0.5625</v>
      </c>
    </row>
    <row r="20" spans="1:1">
      <c r="A20" s="10">
        <v>0.57291666666666663</v>
      </c>
    </row>
    <row r="21" spans="1:1">
      <c r="A21" s="10">
        <v>0.58333333333333404</v>
      </c>
    </row>
    <row r="22" spans="1:1">
      <c r="A22" s="10">
        <v>0.59375</v>
      </c>
    </row>
    <row r="23" spans="1:1">
      <c r="A23" s="10">
        <v>0.60416666666666696</v>
      </c>
    </row>
    <row r="24" spans="1:1">
      <c r="A24" s="10">
        <v>0.61458333333333337</v>
      </c>
    </row>
    <row r="25" spans="1:1">
      <c r="A25" s="10">
        <v>0.625000000000001</v>
      </c>
    </row>
    <row r="26" spans="1:1">
      <c r="A26" s="10">
        <v>0.64583333333333404</v>
      </c>
    </row>
    <row r="27" spans="1:1">
      <c r="A27" s="10">
        <v>0.65625</v>
      </c>
    </row>
    <row r="28" spans="1:1">
      <c r="A28" s="10">
        <v>0.66666666666666696</v>
      </c>
    </row>
    <row r="29" spans="1:1">
      <c r="A29" s="10">
        <v>0.67708333333333337</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Best-Practices</vt:lpstr>
      <vt:lpstr>COMMITTMENT</vt:lpstr>
      <vt:lpstr>Wochenplan KW 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Zahedi, Arman</cp:lastModifiedBy>
  <dcterms:created xsi:type="dcterms:W3CDTF">2020-04-19T13:33:28Z</dcterms:created>
  <dcterms:modified xsi:type="dcterms:W3CDTF">2024-04-03T15:34:56Z</dcterms:modified>
</cp:coreProperties>
</file>