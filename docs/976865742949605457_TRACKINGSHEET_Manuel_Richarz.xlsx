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7"/>
  <workbookPr defaultThemeVersion="166925"/>
  <mc:AlternateContent xmlns:mc="http://schemas.openxmlformats.org/markup-compatibility/2006">
    <mc:Choice Requires="x15">
      <x15ac:absPath xmlns:x15ac="http://schemas.microsoft.com/office/spreadsheetml/2010/11/ac" url="/Users/manuelmiez/Desktop/"/>
    </mc:Choice>
  </mc:AlternateContent>
  <xr:revisionPtr revIDLastSave="0" documentId="13_ncr:1_{7A717D0C-A9D8-CD4F-B004-6C346E871F82}" xr6:coauthVersionLast="47" xr6:coauthVersionMax="47" xr10:uidLastSave="{00000000-0000-0000-0000-000000000000}"/>
  <bookViews>
    <workbookView xWindow="0" yWindow="0" windowWidth="68800" windowHeight="28800" activeTab="1" xr2:uid="{50F29292-BE80-0C47-A0D2-DD086CB3D310}"/>
  </bookViews>
  <sheets>
    <sheet name="Anleitung" sheetId="2" r:id="rId1"/>
    <sheet name="Semesterplan" sheetId="7" r:id="rId2"/>
    <sheet name="COMMITTMENT" sheetId="9" r:id="rId3"/>
    <sheet name="WP 20" sheetId="8" r:id="rId4"/>
    <sheet name="WP 21" sheetId="11" r:id="rId5"/>
    <sheet name="WP 22" sheetId="10"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I5" i="7" l="1"/>
  <c r="AW26" i="7"/>
  <c r="BD26" i="7"/>
  <c r="AW33" i="7"/>
  <c r="BD33" i="7"/>
  <c r="BK33" i="7"/>
  <c r="BK1" i="7" s="1"/>
  <c r="N4" i="7"/>
  <c r="N26" i="7"/>
  <c r="N33" i="7"/>
  <c r="U4" i="7"/>
  <c r="G33" i="7"/>
  <c r="G26" i="7"/>
  <c r="G4" i="7"/>
  <c r="BR4" i="7"/>
  <c r="BK4" i="7"/>
  <c r="K22" i="7" a="1"/>
  <c r="K22" i="7" s="1"/>
  <c r="J22" i="7" a="1"/>
  <c r="J22" i="7" s="1"/>
  <c r="I22" i="7"/>
  <c r="K21" i="7" a="1"/>
  <c r="K21" i="7" s="1"/>
  <c r="J21" i="7" a="1"/>
  <c r="J21" i="7" s="1"/>
  <c r="I21" i="7"/>
  <c r="K20" i="7" a="1"/>
  <c r="K20" i="7" s="1"/>
  <c r="J20" i="7" a="1"/>
  <c r="J20" i="7" s="1"/>
  <c r="I20" i="7"/>
  <c r="K19" i="7" a="1"/>
  <c r="K19" i="7" s="1"/>
  <c r="J19" i="7" a="1"/>
  <c r="J19" i="7" s="1"/>
  <c r="I19" i="7"/>
  <c r="K18" i="7" a="1"/>
  <c r="K18" i="7" s="1"/>
  <c r="J18" i="7" a="1"/>
  <c r="J18" i="7" s="1"/>
  <c r="I18" i="7"/>
  <c r="K17" i="7" a="1"/>
  <c r="K17" i="7" s="1"/>
  <c r="J17" i="7" a="1"/>
  <c r="J17" i="7" s="1"/>
  <c r="I17" i="7"/>
  <c r="K16" i="7" a="1"/>
  <c r="K16" i="7" s="1"/>
  <c r="J16" i="7" a="1"/>
  <c r="J16" i="7" s="1"/>
  <c r="I16" i="7"/>
  <c r="K23" i="7" a="1"/>
  <c r="K23" i="7" s="1"/>
  <c r="J23" i="7" a="1"/>
  <c r="J23" i="7" s="1"/>
  <c r="I23" i="7"/>
  <c r="K31" i="7" a="1"/>
  <c r="K31" i="7" s="1"/>
  <c r="J31" i="7" a="1"/>
  <c r="J31" i="7" s="1"/>
  <c r="K30" i="7" a="1"/>
  <c r="K30" i="7" s="1"/>
  <c r="J30" i="7" a="1"/>
  <c r="J30" i="7" s="1"/>
  <c r="K29" i="7" a="1"/>
  <c r="K29" i="7" s="1"/>
  <c r="J29" i="7" a="1"/>
  <c r="J29" i="7" s="1"/>
  <c r="K28" i="7" a="1"/>
  <c r="K28" i="7" s="1"/>
  <c r="J28" i="7" a="1"/>
  <c r="J28" i="7" s="1"/>
  <c r="K27" i="7" a="1"/>
  <c r="K27" i="7" s="1"/>
  <c r="J27" i="7" a="1"/>
  <c r="J27" i="7" s="1"/>
  <c r="K44" i="7" a="1"/>
  <c r="K44" i="7" s="1"/>
  <c r="J44" i="7" a="1"/>
  <c r="J44" i="7" s="1"/>
  <c r="K43" i="7" a="1"/>
  <c r="K43" i="7" s="1"/>
  <c r="J43" i="7" a="1"/>
  <c r="J43" i="7" s="1"/>
  <c r="K42" i="7" a="1"/>
  <c r="K42" i="7" s="1"/>
  <c r="J42" i="7" a="1"/>
  <c r="J42" i="7" s="1"/>
  <c r="K41" i="7" a="1"/>
  <c r="K41" i="7" s="1"/>
  <c r="J41" i="7" a="1"/>
  <c r="J41" i="7" s="1"/>
  <c r="K40" i="7" a="1"/>
  <c r="K40" i="7" s="1"/>
  <c r="J40" i="7" a="1"/>
  <c r="J40" i="7" s="1"/>
  <c r="K39" i="7" a="1"/>
  <c r="K39" i="7" s="1"/>
  <c r="J39" i="7" a="1"/>
  <c r="J39" i="7" s="1"/>
  <c r="K38" i="7" a="1"/>
  <c r="K38" i="7" s="1"/>
  <c r="J38" i="7" a="1"/>
  <c r="J38" i="7" s="1"/>
  <c r="K37" i="7" a="1"/>
  <c r="K37" i="7" s="1"/>
  <c r="J37" i="7" a="1"/>
  <c r="J37" i="7" s="1"/>
  <c r="K36" i="7" a="1"/>
  <c r="K36" i="7" s="1"/>
  <c r="J36" i="7" a="1"/>
  <c r="J36" i="7" s="1"/>
  <c r="K35" i="7" a="1"/>
  <c r="K35" i="7" s="1"/>
  <c r="J35" i="7" a="1"/>
  <c r="J35" i="7" s="1"/>
  <c r="K34" i="7" a="1"/>
  <c r="K34" i="7" s="1"/>
  <c r="J34" i="7" a="1"/>
  <c r="J34" i="7" s="1"/>
  <c r="K24" i="7" a="1"/>
  <c r="K24" i="7" s="1"/>
  <c r="J24" i="7" a="1"/>
  <c r="J24" i="7" s="1"/>
  <c r="K15" i="7" a="1"/>
  <c r="K15" i="7" s="1"/>
  <c r="J15" i="7" a="1"/>
  <c r="J15" i="7" s="1"/>
  <c r="K14" i="7" a="1"/>
  <c r="K14" i="7" s="1"/>
  <c r="J14" i="7" a="1"/>
  <c r="J14" i="7" s="1"/>
  <c r="K13" i="7" a="1"/>
  <c r="K13" i="7" s="1"/>
  <c r="J13" i="7" a="1"/>
  <c r="J13" i="7" s="1"/>
  <c r="K12" i="7" a="1"/>
  <c r="K12" i="7" s="1"/>
  <c r="J12" i="7" a="1"/>
  <c r="J12" i="7" s="1"/>
  <c r="K11" i="7" a="1"/>
  <c r="K11" i="7" s="1"/>
  <c r="J11" i="7" a="1"/>
  <c r="J11" i="7" s="1"/>
  <c r="K10" i="7" a="1"/>
  <c r="K10" i="7" s="1"/>
  <c r="J10" i="7" a="1"/>
  <c r="J10" i="7" s="1"/>
  <c r="K9" i="7" a="1"/>
  <c r="K9" i="7" s="1"/>
  <c r="J9" i="7" a="1"/>
  <c r="J9" i="7" s="1"/>
  <c r="K8" i="7" a="1"/>
  <c r="K8" i="7" s="1"/>
  <c r="J8" i="7" a="1"/>
  <c r="J8" i="7" s="1"/>
  <c r="K7" i="7" a="1"/>
  <c r="K7" i="7" s="1"/>
  <c r="J7" i="7" a="1"/>
  <c r="J7" i="7" s="1"/>
  <c r="K6" i="7" a="1"/>
  <c r="K6" i="7" s="1"/>
  <c r="J6" i="7" a="1"/>
  <c r="J6" i="7" s="1"/>
  <c r="K5" i="7" a="1"/>
  <c r="K5" i="7" s="1"/>
  <c r="J5" i="7" a="1"/>
  <c r="J5" i="7" s="1"/>
  <c r="AP26" i="7"/>
  <c r="AI26" i="7"/>
  <c r="AB26" i="7"/>
  <c r="U26" i="7"/>
  <c r="BD4" i="7"/>
  <c r="AW4" i="7"/>
  <c r="AP4" i="7"/>
  <c r="AI4" i="7"/>
  <c r="AB4" i="7"/>
  <c r="AP33" i="7"/>
  <c r="AI33" i="7"/>
  <c r="AB33" i="7"/>
  <c r="U33" i="7"/>
  <c r="U1" i="7" s="1"/>
  <c r="I44" i="7"/>
  <c r="I43" i="7"/>
  <c r="I42" i="7"/>
  <c r="I41" i="7"/>
  <c r="I40" i="7"/>
  <c r="I39" i="7"/>
  <c r="I38" i="7"/>
  <c r="I37" i="7"/>
  <c r="I36" i="7"/>
  <c r="I35" i="7"/>
  <c r="I34" i="7"/>
  <c r="I31" i="7"/>
  <c r="I30" i="7"/>
  <c r="I29" i="7"/>
  <c r="I28" i="7"/>
  <c r="I27" i="7"/>
  <c r="I24" i="7"/>
  <c r="I6" i="7"/>
  <c r="I7" i="7"/>
  <c r="I8" i="7"/>
  <c r="I9" i="7"/>
  <c r="I10" i="7"/>
  <c r="I11" i="7"/>
  <c r="I12" i="7"/>
  <c r="I13" i="7"/>
  <c r="I14" i="7"/>
  <c r="I15" i="7"/>
  <c r="BD1" i="7" l="1"/>
  <c r="AW1" i="7"/>
  <c r="AB1" i="7"/>
  <c r="AI1" i="7"/>
  <c r="AP1" i="7"/>
  <c r="I4" i="7"/>
  <c r="I26" i="7"/>
  <c r="I33" i="7"/>
  <c r="J33" i="7"/>
  <c r="K33" i="7"/>
  <c r="J26" i="7"/>
  <c r="K26" i="7"/>
  <c r="K4" i="7"/>
  <c r="J4" i="7"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<sst xmlns="http://schemas.openxmlformats.org/spreadsheetml/2006/main" count="258" uniqueCount="110">
  <si>
    <t>Semesterplan</t>
  </si>
  <si>
    <t>Fach</t>
  </si>
  <si>
    <t>Skript Niveau</t>
  </si>
  <si>
    <t>Rechnen Niveau</t>
  </si>
  <si>
    <t>Montag</t>
  </si>
  <si>
    <t>Dienstag</t>
  </si>
  <si>
    <t>Mittwoch</t>
  </si>
  <si>
    <t>Donnerstag</t>
  </si>
  <si>
    <t>Samstag</t>
  </si>
  <si>
    <t>Sonntag</t>
  </si>
  <si>
    <t>Freitag</t>
  </si>
  <si>
    <t>Stunden</t>
  </si>
  <si>
    <t>Bemerkungen</t>
  </si>
  <si>
    <t>Enge Deadlines</t>
  </si>
  <si>
    <t>Wir setzen uns für jede Woche klare Deadlines für die einzelnen Inhalte des Semesters, sodass wir nach 70% der Semesterdauer den kompletten Stoff bereits perfekt beherrschen.
Dafür ist es notwendig, dass wir definieren, welchen Stoff wir am Ende (also nach 70% des Semesters) beherrschen müssen. Diesen Stoff teilen wir dann in Wochenziele ein.
So können wir jede Woche auf ein klares Ziel hinarbeiten (den "Wochenstoff" am Ende der Woche perfekt zu beherrschen), wodurch wir vermeiden, planlos umherzulernen.</t>
  </si>
  <si>
    <t>Lernen mit der Klausur im Blick</t>
  </si>
  <si>
    <t>Best Practices für die optimale Semesterplanung</t>
  </si>
  <si>
    <t>Aufteilung des Lernstoffs für passende Wochenziele</t>
  </si>
  <si>
    <t>Es ist sehr wichtig, dass wir die Wochenziele möglichst gleichmäßig über die ersten 70% des Semesters verteilen. So kannst du für jedes Themengebiet initial gleich viel Zeit aufwenden und dann in der heißen Klausurenphase nochmals verstärkten Fokus auf die Fächer legen, wo bei dir noch Verbesserungspotential besteht. Tendenziell können wir für die Wocheneinteilung relativ simpel vorgehen. Wenn dein Skript z.B. 100 Slides hat und 70% des Semesters in 10 Wochen ist, kannst du dir für Woche 1 Slides 1-10, für Woche 2 Slides 11-20, ... als Ziel setzen. 
WICHTIG: Das Wochenziel bezieht sich NICHT ausschließlich auf das Skript, sondern ebenfalls auf die dazugehörigen Aufgaben/Übungen/Tutorien etc. 
Außerdem solltest du die Ziele auch nicht "stumpf" nach der Slide-Anzahl aufteilen, sondern am besten auch grob nach Themen. So kann es sein, dass du für ein bestimmtes Fach in der einen Woche etwas mehr lernen musst als in der folgenden Woche - langfristig wird sich das jedoch relativieren. 
WICHTIG 2.0: Versuche dir tendenziell in den ersten Wochen minimalst zu viel Inhalte reinzupacken, da der Lernstoff am Ende des Semesters meistens am komplexesten wird und man dafür tendenziell länger benötigt als für die Inhalte am Anfang. Bei unserem Beispiel wäre eine etwas bessere Verteilung z.B. Woche 1 Slides 1-15, Woche 2 Slides 16-28, ... Woche 10 Slides 95-100</t>
  </si>
  <si>
    <t>Unnötigen Perfektionismus ablegen</t>
  </si>
  <si>
    <t>Ein weiterer Vorteil unserer Lerntechnik ist, dass wir ziemlich schnell den kompletten Stoff auf einem guten Niveau beherrschen und uns dann am Ende des Semesters den Problemthemen widmen können. Viele Studierende machen den Fehler, sich viel zu lange an einzelnen Themen aufzuhängen und gar nicht mit anderen Themen weitermachen, bis sie dieses eine Thema perfekt beherrschen. Das darf dir nicht passieren! Es ist deutlich besser, wenn du nach den 70% des Semesters 80% des Stoffs auf einem sehr guten Niveau und 20% auf einem mittelmäßigen Niveau beherrscht, anstatt dass du z.B. 40% absolut perfekt kannst, die restlichen 60% aber noch absolut gar nicht sitzen. Halte dich daher jede Woche an deine am Anfang festgelegten Wochenziele. Du darfst gerne vorarbeiten (also bereits den Stoff von der folgenden Woche beginnen), aber du MUSST unbedingt mindestens bis zu deinem geplanten Lernziel kommen - ansonsten musst du später zu viel aufholen. Wenn der Stoff aus Woche 1 am Ende der Woche 1 also noch nicht perfekt sitzt, markierst du dir das in der entsprechenden Zelle und schreibst eine eventuelle Bemerkung, sodass du es zu einem späteren Zeitpunkt wiederholen kannst - aber dann machst du mit der nächsten Woche weiter.</t>
  </si>
  <si>
    <t>Wiederholungen einbauen</t>
  </si>
  <si>
    <t>Wochen- und Tagesplanung perfektionieren</t>
  </si>
  <si>
    <t xml:space="preserve">Du solltest dir pro Woche mindestens 40 Stunden zum Lernen (inkl. Uni-Besuche, wenn es sein muss) einplanen. Das ist die minimale Zeit, die du auch später im Beruf arbeiten wirst, und diese 40 Stunden sollte jeder einbringen können. Gerne kann es auf bis zu 60 Stunden erhöht werden, solange Schlaf und Privatleben nicht zu sehr darunter leiden, um langfristig durchzuziehen. Ich würde dir empfehlen, pro Woche 6 Tage zum Lernen einzuplanen und pro Tag möglichst zu den gleichen Zeiten zu lernen. Mit 7 Stunden Lernen pro Tag kommst du damit auf 42 Stunden pro Woche. Nun gilt es daran, diese 42 Stunden so effektiv wie möglich aufzuteilen. Insbesondere in den ersten Wochen des Semesters würde ich dir empfehlen, deine Stundenaufteilung ganz klar nach der Anzahl der ECTS zu gewichten (im späteren Verlauf des Semester kannst du das dann anpassen, wenn du merkst, dass dir gewisse Fächer deutlich leichter/schwerer fallen). Wenn du also z.B. in einem Semester mit 5 Fächern insgesamt 30 ECTS schreibst (Fach 1-4 je 5 ECTS, Fach 5 mit 10 ECTS), dann solltest du für Fach 5 doppelt so viel Zeit einplanen wie für die anderen Fächer. Hier wäre die Aufteilung also pro ECTS-Punkt 42/30 = 1,4h pro ECTS-Punkt. Für Fach 1-4 also jeweils 7 Stunden pro Woche (z.B. Montag 3h und Donnerstag 4h) und für Fach 5 14 Stunden pro Woche. </t>
  </si>
  <si>
    <t>Klausurdatum</t>
  </si>
  <si>
    <t>Wochenplan</t>
  </si>
  <si>
    <t>Typ</t>
  </si>
  <si>
    <t>Übersicht</t>
  </si>
  <si>
    <t>Thema</t>
  </si>
  <si>
    <t>Fachgebiet</t>
  </si>
  <si>
    <t>ECTS</t>
  </si>
  <si>
    <t>Anteil an Klausur</t>
  </si>
  <si>
    <t>Ziel</t>
  </si>
  <si>
    <t>(Übersicht-Zelle muss angepasst werden)</t>
  </si>
  <si>
    <t>Ziele setzen und Zeiten abschätzen</t>
  </si>
  <si>
    <t>Um den Stoff für das Semester gut verteilen zu können, müssen wir uns am Start des Semesters für jedes Fach einen klaren Überblick darüber verschaffen, was am Ende in der Klausur verlangt wird. Liegt der Fokus beispielsweise v.a. auf Rechenaufgaben oder eher auf Auswendiglernen? Wieviele Kapitel / Slides umfasst das komplette Skript? Hat ein Themenbereich deutlich mehr Anteil als andere Bereiche? Versuche, bereits am Anfang für jeden Themenblock eine möglichst gute Abschätzung über den Anteil an der finalen Klausur abzugeben, sodass du dann im weiteren Verlauf mehr Zeit für die Bereiche einplanen kannst, die ein höheres Gewicht haben.</t>
  </si>
  <si>
    <t>Unser Endziel ist es, nach 70% des Semesters das Skript sowie die Übungsaufgaben zu 100% zu beherrschen, sodass wir uns dann einzig und alleine den Altklausuren, weiteren Übungsaufgaben sowie der Wiederholung des bereits bekannten Stoffes widmen können. Dieses Endziel ist extrem ambitioniert, aber realisierbar. Der Weg zu 100% führt uns über 3 grobe Etappen - für jede von ihnen benötigst du in etwa gleich viel Zeit. Auf einem Level von ca. 50% bist du meistens relativ schnell. Für die nächsten 30% benötigst dann nochmals so lange. Ganz am Ende holst du noch die letzten 15-20% heraus - auch dafür benötigst du in etwa gleich viel Zeit. Für deine Planung solltest du dir deine Zielsetzung also so setzen, dass du von der insgesamten Zeit, die du für jedes Fach zur Verfügung hast, die 1/3 dafür verwendest, den Stoff auf 50% zu beherrschen, 1/3, um den Stoff auf 80% zu pushen, und dann noch 1/3 der Zeit für den Rest benutzen kannst. Ganz genau lässt sich das natürlich nicht immer mit genau dieser Einteilung festlegen, aber grundsätzlich kannst du es dir so vorstellen: Für Themenblock 1 aus Fach A legst du dir für die erste Woche 10 Stunden Lernzeit fest, mit dem Ziel, diesen Themenblock am Ende der Woche zu 50% zu beherrschen. Nun könntest du dir in den vier Folgewochen jeweils 2,5 Stunden (also insgesamt nochmals 10 Stunden) für ebenfalls dieses Thema blocken (Wiederholung), und wirst es dann vermutlich zu 80% drauf haben. Wenn du dann nochmals 2 Wochen mit je 5 Stunden für diesen Themenblock lernst, wirst du es vermutlich nahezu perfekt beherrschen.</t>
  </si>
  <si>
    <t>Am Ende jeder Woche resümierst du für jedes Fach, wie sicher du den Stoff beherrscht. 100% bedeutet, dass du jede Aufgabenvariation perfekt rechnen kannst und jedes einzelne Wort im Skript perfekt beherrscht - 20% bedeutet z.B., dass dies nur bei 1/5 der Inhalte der Fall ist. Je weiter das Semester voranschreitet, desto eher kannst du deinen Fokus auf die Fächer setzen, die du tendenziell schlechter beherrscht. Baue also z.B. in Woche 3 einen dreistündigen Block für die Wiederholung der Woche1-Inhalte von Fach A ein (angenommen, du hast den Woche1-Stoff von Fach A noch nicht perfekt beherrscht) anstelle von einem Lernblock für Fach B (angenommen, dass du Fach B sowieso ziemlich gut beherrscht. Spätestens nach 2-3 Wochen im Semester solltest du ein Gefühl dafür bekommen haben, welche Fächer von dir mehr Wiederholungen/Zeit benötigen und welche weniger. Achte dann darauf, dass alle Inhalte immer besser sitzen und verwende etwas mehr Zeit mit den Fächern, für die du eben mehr lernen musst. Deinen Fortschritt kannst du dann ganz genau tracken, indem du für die nächste Woche wieder einbaust, wie gut du dort vorangekommen bist. Du solltest pro Fach ab Woche 3 des Semesters mindestens eine Lernsession (also 60-90 Minuten) pro Woche für Wiederholungen einplanen, tendenziell sogar mehr.</t>
  </si>
  <si>
    <t>Lerneinheiten durchgezogen</t>
  </si>
  <si>
    <t>Tagesplan erstellt</t>
  </si>
  <si>
    <t>Konzentrationslevel</t>
  </si>
  <si>
    <t>Datum</t>
  </si>
  <si>
    <t>Kcal</t>
  </si>
  <si>
    <t>Fette</t>
  </si>
  <si>
    <t>Eiweiss</t>
  </si>
  <si>
    <t>Kohlenhydrate</t>
  </si>
  <si>
    <t>Gewicht</t>
  </si>
  <si>
    <t>Sonstiges Gefühl</t>
  </si>
  <si>
    <t>Optimierungen</t>
  </si>
  <si>
    <t>Operationsmanagement</t>
  </si>
  <si>
    <t>Wirtschafts- &amp; Steuerrecht</t>
  </si>
  <si>
    <t>Computer Science</t>
  </si>
  <si>
    <t>1) Forecasting</t>
  </si>
  <si>
    <t>2) Inventory Management</t>
  </si>
  <si>
    <t>3) Production Management</t>
  </si>
  <si>
    <t>4) Supply Chain Management</t>
  </si>
  <si>
    <t>5) Revenue Management</t>
  </si>
  <si>
    <t>Wirtschaftsrecht</t>
  </si>
  <si>
    <t>Steuerrecht</t>
  </si>
  <si>
    <t>Teil A: Haftungsrecht</t>
  </si>
  <si>
    <t>Teil B: Kaufrecht</t>
  </si>
  <si>
    <t>Teil C: Gesellschaftsrecht</t>
  </si>
  <si>
    <t>Teil D: Konzernrecht</t>
  </si>
  <si>
    <t>Teil E: Unternehmensrisiken und Sanierung</t>
  </si>
  <si>
    <t>Teil F: Verantwortung des Managements</t>
  </si>
  <si>
    <t>Teil G: Kartellrecht</t>
  </si>
  <si>
    <t>Teil H: Produktregulierung</t>
  </si>
  <si>
    <t>Teil I: Immaterialgüterrecht</t>
  </si>
  <si>
    <t>Teil J: Lauterkeitsrecht</t>
  </si>
  <si>
    <t>VL 1: Grundlagen und Rechtsquellen (1)</t>
  </si>
  <si>
    <t>VL 2: Grundlagen und Rechtsquellen (2)/ Einkommens- und Vermögenssteuer (1)</t>
  </si>
  <si>
    <t>VL 3: Einkommens- und Vermögenssteuer (2)</t>
  </si>
  <si>
    <t>VL 4: Einkommens- und Vermögenssteuer (3)</t>
  </si>
  <si>
    <t>VL 5: Gewinn- und Kapitalsteuer (1)</t>
  </si>
  <si>
    <t>VL 6: Gewinn- und Kapitalsteuer (2)</t>
  </si>
  <si>
    <t>VL 7: Verrechnungs- und Stempelsteuer</t>
  </si>
  <si>
    <t>VL 8: Besondere Fragen des Unternehmenssteuerrechts (1)</t>
  </si>
  <si>
    <t>VL 9: Besondere Fragen des Unternehmenssteuerrechts (2)</t>
  </si>
  <si>
    <t>VL 10: Mehrwertsteuer</t>
  </si>
  <si>
    <t>Modul 1: Computing Basics</t>
  </si>
  <si>
    <t>Modul 3: Programming: More Control Statements and Functions, Sequences</t>
  </si>
  <si>
    <t>Modul 2: Programming: Python Basics, Control Statements, Functions</t>
  </si>
  <si>
    <t>Modul 4: Programming: Recursion, more Sequences, Dictionaries and Sets</t>
  </si>
  <si>
    <t>Modul 5: Programming: Object Orientation</t>
  </si>
  <si>
    <t>Modul 6: Computer Networks and Distributed Systems</t>
  </si>
  <si>
    <t>Modul 7: Databases, SQL</t>
  </si>
  <si>
    <t>Modul 8: Data Science: Intro, Pandas Basics</t>
  </si>
  <si>
    <t>Modul 9: Data Science: Data Wrangling, Advanced Pandas</t>
  </si>
  <si>
    <t>Modul 10: Data Visualization</t>
  </si>
  <si>
    <t>Modul 11: Machine Learning</t>
  </si>
  <si>
    <r>
      <t xml:space="preserve">KW 24: </t>
    </r>
    <r>
      <rPr>
        <sz val="12"/>
        <color theme="1"/>
        <rFont val="Calibri"/>
        <family val="2"/>
        <scheme val="minor"/>
      </rPr>
      <t>13.06. - 19.06.</t>
    </r>
  </si>
  <si>
    <r>
      <t xml:space="preserve">KW 23: </t>
    </r>
    <r>
      <rPr>
        <sz val="12"/>
        <color theme="1"/>
        <rFont val="Calibri"/>
        <family val="2"/>
        <scheme val="minor"/>
      </rPr>
      <t>06.06. - 12.06.</t>
    </r>
  </si>
  <si>
    <r>
      <t xml:space="preserve">KW 22: </t>
    </r>
    <r>
      <rPr>
        <sz val="12"/>
        <color theme="1"/>
        <rFont val="Calibri"/>
        <family val="2"/>
        <scheme val="minor"/>
      </rPr>
      <t>30.05. - 05.06.</t>
    </r>
  </si>
  <si>
    <r>
      <t xml:space="preserve">KW 21: </t>
    </r>
    <r>
      <rPr>
        <sz val="12"/>
        <color theme="1"/>
        <rFont val="Calibri"/>
        <family val="2"/>
        <scheme val="minor"/>
      </rPr>
      <t>23.05. - 29.05.</t>
    </r>
  </si>
  <si>
    <r>
      <t xml:space="preserve">KW 20: </t>
    </r>
    <r>
      <rPr>
        <sz val="12"/>
        <color theme="1"/>
        <rFont val="Calibri"/>
        <family val="2"/>
        <scheme val="minor"/>
      </rPr>
      <t>16.05. - 22.05.</t>
    </r>
  </si>
  <si>
    <r>
      <t xml:space="preserve">KW 19: </t>
    </r>
    <r>
      <rPr>
        <sz val="12"/>
        <color theme="1"/>
        <rFont val="Calibri"/>
        <family val="2"/>
        <scheme val="minor"/>
      </rPr>
      <t>09.05. - 15.05.</t>
    </r>
  </si>
  <si>
    <r>
      <t xml:space="preserve">KW 25: </t>
    </r>
    <r>
      <rPr>
        <sz val="12"/>
        <color theme="1"/>
        <rFont val="Calibri"/>
        <family val="2"/>
        <scheme val="minor"/>
      </rPr>
      <t>20.06.- 26.06.</t>
    </r>
    <r>
      <rPr>
        <b/>
        <sz val="12"/>
        <color theme="1"/>
        <rFont val="Calibri"/>
        <family val="2"/>
        <scheme val="minor"/>
      </rPr>
      <t xml:space="preserve"> (Recht: 21.06.)</t>
    </r>
  </si>
  <si>
    <r>
      <t xml:space="preserve">KW 26: </t>
    </r>
    <r>
      <rPr>
        <sz val="12"/>
        <color theme="1"/>
        <rFont val="Calibri"/>
        <family val="2"/>
        <scheme val="minor"/>
      </rPr>
      <t>27.06. - 03.07.</t>
    </r>
    <r>
      <rPr>
        <b/>
        <sz val="12"/>
        <color theme="1"/>
        <rFont val="Calibri"/>
        <family val="2"/>
        <scheme val="minor"/>
      </rPr>
      <t xml:space="preserve"> (Operations.: 30.06.)</t>
    </r>
  </si>
  <si>
    <r>
      <t xml:space="preserve">KW 27: </t>
    </r>
    <r>
      <rPr>
        <sz val="12"/>
        <color theme="1"/>
        <rFont val="Calibri"/>
        <family val="2"/>
        <scheme val="minor"/>
      </rPr>
      <t>04.07. - 10.07.</t>
    </r>
    <r>
      <rPr>
        <b/>
        <sz val="12"/>
        <color theme="1"/>
        <rFont val="Calibri"/>
        <family val="2"/>
        <scheme val="minor"/>
      </rPr>
      <t xml:space="preserve"> (CS: 04.07.)</t>
    </r>
  </si>
  <si>
    <t>letzte Semesterwoche</t>
  </si>
  <si>
    <t>Paper Kontextstudium</t>
  </si>
  <si>
    <t>Literaturrecherche Paper + Vorlesungen</t>
  </si>
  <si>
    <t>Mimo Python Programming</t>
  </si>
  <si>
    <t>Paper schreiben + Vorlesungen</t>
  </si>
  <si>
    <t>Paper schreiben</t>
  </si>
  <si>
    <t>Wirtschaftsrecht Modul 1-5 wiederholen + Mimo</t>
  </si>
  <si>
    <t>Prüfungsphase</t>
  </si>
  <si>
    <t>KK + Übungen Recht intensiv</t>
  </si>
  <si>
    <t>OM Intensiv</t>
  </si>
  <si>
    <t>CS intensiv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</si>
</sst>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2"/>
      <color theme="1"/>
      <name val="Calibri"/>
      <family val="2"/>
      <scheme val="minor"/>
    </font>
    <font>
      <b/>
      <sz val="12"/>
      <color theme="1"/>
      <name val="Calibri"/>
      <family val="2"/>
      <scheme val="minor"/>
    </font>
    <font>
      <b/>
      <i/>
      <u/>
      <sz val="16"/>
      <color theme="1"/>
      <name val="Calibri"/>
      <family val="2"/>
      <scheme val="minor"/>
    </font>
    <font>
      <b/>
      <sz val="26"/>
      <color theme="1"/>
      <name val="Calibri"/>
      <family val="2"/>
      <scheme val="minor"/>
    </font>
    <font>
      <b/>
      <sz val="20"/>
      <color theme="1"/>
      <name val="Calibri (Body)"/>
    </font>
    <font>
      <sz val="14"/>
      <color theme="1"/>
      <name val="Calibri"/>
      <family val="2"/>
      <scheme val="minor"/>
    </font>
    <font>
      <sz val="18"/>
      <color theme="1"/>
      <name val="Calibri"/>
      <family val="2"/>
      <scheme val="minor"/>
    </font>
    <font>
      <sz val="20"/>
      <color theme="1"/>
      <name val="Calibri"/>
      <family val="2"/>
      <scheme val="minor"/>
    </font>
    <font>
      <sz val="22"/>
      <color theme="1"/>
      <name val="Calibri"/>
      <family val="2"/>
      <scheme val="minor"/>
    </font>
    <font>
      <sz val="26"/>
      <color theme="1"/>
      <name val="Calibri"/>
      <family val="2"/>
      <scheme val="minor"/>
    </font>
    <font>
      <sz val="28"/>
      <color theme="1"/>
      <name val="Calibri"/>
      <family val="2"/>
      <scheme val="minor"/>
    </font>
    <font>
      <sz val="8"/>
      <color theme="1"/>
      <name val="Calibri"/>
      <family val="2"/>
      <scheme val="minor"/>
    </font>
  </fonts>
  <fills count="6">
    <fill>
      <patternFill patternType="none"/>
    </fill>
    <fill>
      <patternFill patternType="gray125"/>
    </fill>
    <fill>
      <patternFill patternType="solid">
        <fgColor rgb="FFE0E0E0"/>
        <bgColor indexed="64"/>
      </patternFill>
    </fill>
    <fill>
      <patternFill patternType="solid">
        <fgColor rgb="FFFDFF05"/>
        <bgColor indexed="64"/>
      </patternFill>
    </fill>
    <fill>
      <patternFill patternType="solid">
        <fgColor theme="8" tint="0.39997558519241921"/>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35">
    <xf numFmtId="0" fontId="0" fillId="0" borderId="0" xfId="0"/>
    <xf numFmtId="0" fontId="0" fillId="0" borderId="0" xfId="0" applyAlignment="1">
      <alignment wrapText="1"/>
    </xf>
    <xf numFmtId="0" fontId="0" fillId="0" borderId="0" xfId="0" applyAlignment="1"/>
    <xf numFmtId="0" fontId="1" fillId="0" borderId="0" xfId="0" applyFont="1"/>
    <xf numFmtId="0" fontId="2" fillId="0" borderId="0" xfId="0" applyFont="1"/>
    <xf numFmtId="0" fontId="3" fillId="0" borderId="0" xfId="0" applyFont="1"/>
    <xf numFmtId="0" fontId="1" fillId="2" borderId="0" xfId="0" applyFont="1" applyFill="1"/>
    <xf numFmtId="0" fontId="1" fillId="2" borderId="0" xfId="0" applyFont="1" applyFill="1" applyAlignment="1">
      <alignment horizontal="center"/>
    </xf>
    <xf numFmtId="0" fontId="4" fillId="0" borderId="0" xfId="0" applyFont="1"/>
    <xf numFmtId="0" fontId="0" fillId="0" borderId="0" xfId="0" applyFill="1"/>
    <xf numFmtId="20" fontId="0" fillId="0" borderId="0" xfId="0" applyNumberFormat="1" applyFont="1"/>
    <xf numFmtId="0" fontId="0" fillId="0" borderId="0" xfId="0" applyAlignment="1">
      <alignment horizontal="center"/>
    </xf>
    <xf numFmtId="9" fontId="0" fillId="0" borderId="0" xfId="0" applyNumberFormat="1"/>
    <xf numFmtId="9" fontId="0" fillId="0" borderId="0" xfId="0" applyNumberFormat="1" applyAlignment="1">
      <alignment horizontal="center"/>
    </xf>
    <xf numFmtId="0" fontId="0" fillId="3" borderId="0" xfId="0" applyFill="1"/>
    <xf numFmtId="14" fontId="0" fillId="0" borderId="0" xfId="0" applyNumberFormat="1" applyAlignment="1">
      <alignment horizontal="center"/>
    </xf>
    <xf numFmtId="0" fontId="0" fillId="0" borderId="0" xfId="0" applyAlignment="1">
      <alignment horizontal="center" wrapText="1"/>
    </xf>
    <xf numFmtId="0" fontId="0" fillId="4" borderId="0" xfId="0" applyFill="1"/>
    <xf numFmtId="14" fontId="0" fillId="4" borderId="0" xfId="0" applyNumberFormat="1" applyFill="1"/>
    <xf numFmtId="0" fontId="0" fillId="4" borderId="0" xfId="0" applyFill="1" applyAlignment="1">
      <alignment horizontal="center"/>
    </xf>
    <xf numFmtId="9" fontId="0" fillId="4" borderId="0" xfId="0" applyNumberFormat="1" applyFill="1"/>
    <xf numFmtId="1" fontId="0" fillId="4" borderId="0" xfId="0" applyNumberFormat="1" applyFill="1" applyAlignment="1">
      <alignment horizontal="center"/>
    </xf>
    <xf numFmtId="9" fontId="0" fillId="4" borderId="0" xfId="0" applyNumberFormat="1" applyFill="1" applyAlignment="1">
      <alignment horizontal="center"/>
    </xf>
    <xf numFmtId="1" fontId="0" fillId="0" borderId="0" xfId="0" applyNumberFormat="1"/>
    <xf numFmtId="0" fontId="1" fillId="2" borderId="0" xfId="0" applyFont="1" applyFill="1" applyAlignment="1">
      <alignment horizontal="center"/>
    </xf>
    <xf numFmtId="0" fontId="5" fillId="0" borderId="0" xfId="0" applyFont="1" applyAlignment="1">
      <alignment horizontal="center" vertical="center" textRotation="90"/>
    </xf>
    <xf numFmtId="0" fontId="6" fillId="0" borderId="0" xfId="0" applyFont="1" applyAlignment="1">
      <alignment horizontal="center" vertical="center" textRotation="90"/>
    </xf>
    <xf numFmtId="0" fontId="7" fillId="0" borderId="0" xfId="0" applyFont="1" applyAlignment="1">
      <alignment horizontal="center" vertical="center" textRotation="90"/>
    </xf>
    <xf numFmtId="0" fontId="8" fillId="0" borderId="0" xfId="0" applyFont="1" applyAlignment="1">
      <alignment horizontal="center" vertical="center" textRotation="90"/>
    </xf>
    <xf numFmtId="0" fontId="10" fillId="5" borderId="0" xfId="0" applyFont="1" applyFill="1" applyAlignment="1">
      <alignment horizontal="center" vertical="center" textRotation="90"/>
    </xf>
    <xf numFmtId="0" fontId="6" fillId="5" borderId="0" xfId="0" applyFont="1" applyFill="1" applyAlignment="1">
      <alignment horizontal="center" vertical="center" textRotation="90"/>
    </xf>
    <xf numFmtId="0" fontId="11" fillId="5" borderId="0" xfId="0" applyFont="1" applyFill="1" applyAlignment="1">
      <alignment horizontal="center" vertical="center" textRotation="90"/>
    </xf>
    <xf numFmtId="0" fontId="0" fillId="0" borderId="0" xfId="0" applyAlignment="1">
      <alignment horizontal="center" vertical="center"/>
    </xf>
    <xf numFmtId="0" fontId="9" fillId="5" borderId="0" xfId="0" applyFont="1" applyFill="1" applyAlignment="1">
      <alignment horizontal="center" vertical="center"/>
    </xf>
    <xf numFmtId="0" fontId="0" fillId="0" borderId="0" xfId="0" applyAlignment="1">
      <alignment vertical="center" textRotation="90"/>
    </xf>
  </cellXfs>
  <cellStyles count="1">
    <cellStyle name="Standard" xfId="0" builtinId="0"/>
  </cellStyles>
  <dxfs count="161">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alignment horizontal="center" vertical="bottom" textRotation="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
      <alignment horizontal="center" vertical="bottom" textRotation="0" wrapText="0" indent="0" justifyLastLine="0" shrinkToFit="0" readingOrder="0"/>
    </dxf>
    <dxf>
      <alignment horizontal="general" vertical="bottom" textRotation="0" wrapText="1" indent="0" justifyLastLine="0" shrinkToFit="0" readingOrder="0"/>
    </dxf>
  </dxfs>
  <tableStyles count="0" defaultTableStyle="TableStyleMedium2" defaultPivotStyle="PivotStyleLight16"/>
  <colors>
    <mruColors>
      <color rgb="FF00FF29"/>
      <color rgb="FF56FF5E"/>
      <color rgb="FFC4FF87"/>
      <color rgb="FFFFDE7F"/>
      <color rgb="FFFF755A"/>
      <color rgb="FFFDFF05"/>
      <color rgb="FF10FF07"/>
      <color rgb="FFFF231B"/>
      <color rgb="FFE0E0E0"/>
      <color rgb="FF4A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321BF3-0CFB-EC45-B68D-D7DDE2C6EBFA}" name="Table1" displayName="Table1" ref="A1:K46" totalsRowShown="0" headerRowDxfId="160">
  <autoFilter ref="A1:K46" xr:uid="{6E266E34-2786-2747-BCE7-51B74867A564}"/>
  <tableColumns count="11">
    <tableColumn id="1" xr3:uid="{95FD92F7-3DC8-704D-A103-A7EDDAB255AB}" name="Datum" dataDxfId="159"/>
    <tableColumn id="2" xr3:uid="{F464D510-8166-E740-A343-FB84BDEF877F}" name="Lerneinheiten durchgezogen" dataDxfId="158"/>
    <tableColumn id="3" xr3:uid="{75F52B08-1A00-0848-BBE6-1EDF7B31B1AD}" name="Tagesplan erstellt" dataDxfId="157"/>
    <tableColumn id="4" xr3:uid="{E6B18D89-E799-AD48-9DAA-37AEE1D29011}" name="Konzentrationslevel" dataDxfId="156"/>
    <tableColumn id="5" xr3:uid="{7038951F-EF31-2A4C-8291-6B3B984C5954}" name="Kcal"/>
    <tableColumn id="6" xr3:uid="{024A2E22-9FF9-5042-BCC0-8443A00A1A16}" name="Fette"/>
    <tableColumn id="7" xr3:uid="{FAD520C6-BB43-8B4B-A9FA-C5AEE0F8CD08}" name="Eiweiss"/>
    <tableColumn id="8" xr3:uid="{3816DA9B-3A76-FE4F-B985-3635CF939135}" name="Kohlenhydrate"/>
    <tableColumn id="9" xr3:uid="{1C987FBB-D4BA-7C4F-A887-190E64CF58FE}" name="Gewicht"/>
    <tableColumn id="10" xr3:uid="{823BE59B-AFBA-DB43-8C06-25B0D163DC42}" name="Sonstiges Gefühl"/>
    <tableColumn id="11" xr3:uid="{BB7DF43F-1783-D944-883B-7754E3407C95}" name="Optimierungen"/>
  </tableColumns>
  <tableStyleInfo name="TableStyleLight10"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3550-30B9-8F48-8345-10C51C6D0FC3}">
  <dimension ref="B4:C25"/>
  <sheetViews>
    <sheetView workbookViewId="0">
      <selection activeCell="A2" sqref="A2"/>
    </sheetView>
  </sheetViews>
  <sheetFormatPr baseColWidth="10" defaultColWidth="10.6640625" defaultRowHeight="16" x14ac:dyDescent="0.2"/>
  <cols>
    <col min="2" max="2" width="161" customWidth="1"/>
    <col min="3" max="3" width="10.83203125" style="2"/>
  </cols>
  <sheetData>
    <row r="4" spans="2:2" ht="21" x14ac:dyDescent="0.25">
      <c r="B4" s="4" t="s">
        <v>16</v>
      </c>
    </row>
    <row r="6" spans="2:2" x14ac:dyDescent="0.2">
      <c r="B6" s="3" t="s">
        <v>13</v>
      </c>
    </row>
    <row r="7" spans="2:2" ht="51" x14ac:dyDescent="0.2">
      <c r="B7" s="1" t="s">
        <v>14</v>
      </c>
    </row>
    <row r="9" spans="2:2" x14ac:dyDescent="0.2">
      <c r="B9" s="3" t="s">
        <v>15</v>
      </c>
    </row>
    <row r="10" spans="2:2" ht="68" x14ac:dyDescent="0.2">
      <c r="B10" s="1" t="s">
        <v>35</v>
      </c>
    </row>
    <row r="12" spans="2:2" x14ac:dyDescent="0.2">
      <c r="B12" s="3" t="s">
        <v>17</v>
      </c>
    </row>
    <row r="13" spans="2:2" ht="153" x14ac:dyDescent="0.2">
      <c r="B13" s="1" t="s">
        <v>18</v>
      </c>
    </row>
    <row r="15" spans="2:2" x14ac:dyDescent="0.2">
      <c r="B15" s="3" t="s">
        <v>19</v>
      </c>
    </row>
    <row r="16" spans="2:2" ht="119" x14ac:dyDescent="0.2">
      <c r="B16" s="1" t="s">
        <v>20</v>
      </c>
    </row>
    <row r="17" spans="2:2" x14ac:dyDescent="0.2">
      <c r="B17" s="1"/>
    </row>
    <row r="18" spans="2:2" x14ac:dyDescent="0.2">
      <c r="B18" s="3" t="s">
        <v>34</v>
      </c>
    </row>
    <row r="19" spans="2:2" ht="153" x14ac:dyDescent="0.2">
      <c r="B19" s="1" t="s">
        <v>36</v>
      </c>
    </row>
    <row r="21" spans="2:2" x14ac:dyDescent="0.2">
      <c r="B21" s="3" t="s">
        <v>21</v>
      </c>
    </row>
    <row r="22" spans="2:2" ht="136" x14ac:dyDescent="0.2">
      <c r="B22" s="1" t="s">
        <v>37</v>
      </c>
    </row>
    <row r="24" spans="2:2" x14ac:dyDescent="0.2">
      <c r="B24" s="3" t="s">
        <v>22</v>
      </c>
    </row>
    <row r="25" spans="2:2" ht="136" x14ac:dyDescent="0.2">
      <c r="B25" s="1" t="s">
        <v>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02FF6-E0D3-4829-9993-E7D2C4D02E9E}">
  <dimension ref="B1:BW55"/>
  <sheetViews>
    <sheetView showGridLines="0" tabSelected="1" topLeftCell="L1" zoomScaleNormal="83" workbookViewId="0">
      <selection activeCell="BE65" sqref="BE65"/>
    </sheetView>
  </sheetViews>
  <sheetFormatPr baseColWidth="10" defaultColWidth="8.83203125" defaultRowHeight="16" outlineLevelRow="1" x14ac:dyDescent="0.2"/>
  <cols>
    <col min="3" max="3" width="23.5" bestFit="1" customWidth="1"/>
    <col min="4" max="4" width="13" bestFit="1" customWidth="1"/>
    <col min="5" max="5" width="4.83203125" bestFit="1" customWidth="1"/>
    <col min="6" max="6" width="68.6640625" bestFit="1" customWidth="1"/>
    <col min="7" max="7" width="35.33203125" bestFit="1" customWidth="1"/>
    <col min="8" max="8" width="2.5" customWidth="1"/>
    <col min="10" max="11" width="35.33203125" bestFit="1" customWidth="1"/>
    <col min="12" max="12" width="12.6640625" bestFit="1" customWidth="1"/>
    <col min="13" max="13" width="2.5" customWidth="1"/>
    <col min="15" max="15" width="12.5" bestFit="1" customWidth="1"/>
    <col min="16" max="16" width="6.33203125" customWidth="1"/>
    <col min="17" max="17" width="14.83203125" bestFit="1" customWidth="1"/>
    <col min="18" max="18" width="6" customWidth="1"/>
    <col min="19" max="19" width="12.6640625" bestFit="1" customWidth="1"/>
    <col min="20" max="20" width="2.5" customWidth="1"/>
    <col min="22" max="22" width="12.5" bestFit="1" customWidth="1"/>
    <col min="23" max="23" width="6.33203125" customWidth="1"/>
    <col min="24" max="24" width="14.83203125" bestFit="1" customWidth="1"/>
    <col min="25" max="25" width="6" customWidth="1"/>
    <col min="26" max="26" width="12.6640625" bestFit="1" customWidth="1"/>
    <col min="27" max="27" width="2.5" customWidth="1"/>
    <col min="29" max="29" width="12.5" bestFit="1" customWidth="1"/>
    <col min="30" max="30" width="6.33203125" customWidth="1"/>
    <col min="31" max="31" width="14.83203125" bestFit="1" customWidth="1"/>
    <col min="32" max="32" width="6" customWidth="1"/>
    <col min="33" max="33" width="12.6640625" bestFit="1" customWidth="1"/>
    <col min="34" max="34" width="2.5" customWidth="1"/>
    <col min="36" max="36" width="12.5" bestFit="1" customWidth="1"/>
    <col min="37" max="37" width="6.33203125" customWidth="1"/>
    <col min="38" max="38" width="14.83203125" bestFit="1" customWidth="1"/>
    <col min="39" max="39" width="6" customWidth="1"/>
    <col min="40" max="40" width="12.6640625" bestFit="1" customWidth="1"/>
    <col min="41" max="41" width="2.5" customWidth="1"/>
    <col min="43" max="43" width="12.5" bestFit="1" customWidth="1"/>
    <col min="44" max="44" width="6.33203125" customWidth="1"/>
    <col min="45" max="45" width="14.83203125" bestFit="1" customWidth="1"/>
    <col min="46" max="46" width="6" customWidth="1"/>
    <col min="47" max="47" width="12.6640625" bestFit="1" customWidth="1"/>
    <col min="48" max="48" width="2.5" customWidth="1"/>
    <col min="50" max="50" width="12.5" bestFit="1" customWidth="1"/>
    <col min="51" max="51" width="6.33203125" customWidth="1"/>
    <col min="52" max="52" width="14.83203125" bestFit="1" customWidth="1"/>
    <col min="53" max="53" width="6" customWidth="1"/>
    <col min="54" max="54" width="12.6640625" bestFit="1" customWidth="1"/>
    <col min="55" max="55" width="2.5" customWidth="1"/>
    <col min="57" max="57" width="12.5" bestFit="1" customWidth="1"/>
    <col min="58" max="58" width="6.33203125" customWidth="1"/>
    <col min="59" max="59" width="14.83203125" bestFit="1" customWidth="1"/>
    <col min="60" max="60" width="6" customWidth="1"/>
    <col min="61" max="61" width="12.6640625" bestFit="1" customWidth="1"/>
    <col min="62" max="62" width="2.5" customWidth="1"/>
    <col min="64" max="64" width="12.5" bestFit="1" customWidth="1"/>
    <col min="65" max="65" width="6.33203125" customWidth="1"/>
    <col min="66" max="66" width="14.83203125" bestFit="1" customWidth="1"/>
    <col min="67" max="67" width="6" customWidth="1"/>
    <col min="68" max="68" width="12.6640625" bestFit="1" customWidth="1"/>
    <col min="69" max="69" width="2.5" customWidth="1"/>
    <col min="71" max="71" width="12.5" bestFit="1" customWidth="1"/>
    <col min="72" max="72" width="6.33203125" customWidth="1"/>
    <col min="73" max="73" width="14.83203125" bestFit="1" customWidth="1"/>
    <col min="74" max="74" width="6" customWidth="1"/>
    <col min="75" max="75" width="12.6640625" bestFit="1" customWidth="1"/>
  </cols>
  <sheetData>
    <row r="1" spans="2:75" ht="34" x14ac:dyDescent="0.4">
      <c r="B1" s="5" t="s">
        <v>0</v>
      </c>
      <c r="D1" s="5"/>
      <c r="G1" s="14" t="s">
        <v>33</v>
      </c>
      <c r="I1" s="14" t="s">
        <v>33</v>
      </c>
      <c r="J1" s="14" t="s">
        <v>33</v>
      </c>
      <c r="K1" s="14" t="s">
        <v>33</v>
      </c>
      <c r="U1" s="23">
        <f>SUM(U4,U26,U33)</f>
        <v>18</v>
      </c>
      <c r="AB1" s="23">
        <f>SUM(AB4,AB26,AB33)</f>
        <v>41</v>
      </c>
      <c r="AI1" s="23">
        <f>SUM(AI4,AI26,AI33)</f>
        <v>49</v>
      </c>
      <c r="AP1" s="23">
        <f>SUM(AP4,AP26,AP33)</f>
        <v>51</v>
      </c>
      <c r="AW1" s="23">
        <f>SUM(AW4,AW26,AW33)</f>
        <v>48</v>
      </c>
      <c r="BD1" s="23">
        <f>SUM(BD4,BD26,BD33)</f>
        <v>12</v>
      </c>
      <c r="BK1" s="23">
        <f>SUM(BK4,BK26,BK33)</f>
        <v>6</v>
      </c>
    </row>
    <row r="2" spans="2:75" x14ac:dyDescent="0.2">
      <c r="I2" s="24" t="s">
        <v>27</v>
      </c>
      <c r="J2" s="24"/>
      <c r="K2" s="24"/>
      <c r="L2" s="24"/>
      <c r="N2" s="24" t="s">
        <v>95</v>
      </c>
      <c r="O2" s="24"/>
      <c r="P2" s="24"/>
      <c r="Q2" s="24"/>
      <c r="R2" s="24"/>
      <c r="S2" s="24"/>
      <c r="U2" s="24" t="s">
        <v>94</v>
      </c>
      <c r="V2" s="24"/>
      <c r="W2" s="24"/>
      <c r="X2" s="24"/>
      <c r="Y2" s="24"/>
      <c r="Z2" s="24"/>
      <c r="AB2" s="24" t="s">
        <v>93</v>
      </c>
      <c r="AC2" s="24"/>
      <c r="AD2" s="24"/>
      <c r="AE2" s="24"/>
      <c r="AF2" s="24"/>
      <c r="AG2" s="24"/>
      <c r="AI2" s="24" t="s">
        <v>92</v>
      </c>
      <c r="AJ2" s="24"/>
      <c r="AK2" s="24"/>
      <c r="AL2" s="24"/>
      <c r="AM2" s="24"/>
      <c r="AN2" s="24"/>
      <c r="AP2" s="24" t="s">
        <v>91</v>
      </c>
      <c r="AQ2" s="24"/>
      <c r="AR2" s="24"/>
      <c r="AS2" s="24"/>
      <c r="AT2" s="24"/>
      <c r="AU2" s="24"/>
      <c r="AW2" s="24" t="s">
        <v>90</v>
      </c>
      <c r="AX2" s="24"/>
      <c r="AY2" s="24"/>
      <c r="AZ2" s="24"/>
      <c r="BA2" s="24"/>
      <c r="BB2" s="24"/>
      <c r="BD2" s="24" t="s">
        <v>96</v>
      </c>
      <c r="BE2" s="24"/>
      <c r="BF2" s="24"/>
      <c r="BG2" s="24"/>
      <c r="BH2" s="24"/>
      <c r="BI2" s="24"/>
      <c r="BK2" s="24" t="s">
        <v>97</v>
      </c>
      <c r="BL2" s="24"/>
      <c r="BM2" s="24"/>
      <c r="BN2" s="24"/>
      <c r="BO2" s="24"/>
      <c r="BP2" s="24"/>
      <c r="BR2" s="24" t="s">
        <v>98</v>
      </c>
      <c r="BS2" s="24"/>
      <c r="BT2" s="24"/>
      <c r="BU2" s="24"/>
      <c r="BV2" s="24"/>
      <c r="BW2" s="24"/>
    </row>
    <row r="3" spans="2:75" x14ac:dyDescent="0.2">
      <c r="B3" s="6" t="s">
        <v>26</v>
      </c>
      <c r="C3" s="6" t="s">
        <v>1</v>
      </c>
      <c r="D3" s="6" t="s">
        <v>24</v>
      </c>
      <c r="E3" s="7" t="s">
        <v>30</v>
      </c>
      <c r="F3" s="6" t="s">
        <v>29</v>
      </c>
      <c r="G3" s="6" t="s">
        <v>31</v>
      </c>
      <c r="I3" s="7" t="s">
        <v>11</v>
      </c>
      <c r="J3" s="7" t="s">
        <v>2</v>
      </c>
      <c r="K3" s="7" t="s">
        <v>3</v>
      </c>
      <c r="L3" s="7" t="s">
        <v>12</v>
      </c>
      <c r="N3" s="6" t="s">
        <v>11</v>
      </c>
      <c r="O3" s="6" t="s">
        <v>2</v>
      </c>
      <c r="P3" s="6" t="s">
        <v>32</v>
      </c>
      <c r="Q3" s="6" t="s">
        <v>3</v>
      </c>
      <c r="R3" s="6" t="s">
        <v>32</v>
      </c>
      <c r="S3" s="6" t="s">
        <v>12</v>
      </c>
      <c r="U3" s="6" t="s">
        <v>11</v>
      </c>
      <c r="V3" s="6" t="s">
        <v>2</v>
      </c>
      <c r="W3" s="6" t="s">
        <v>32</v>
      </c>
      <c r="X3" s="6" t="s">
        <v>3</v>
      </c>
      <c r="Y3" s="6" t="s">
        <v>32</v>
      </c>
      <c r="Z3" s="6" t="s">
        <v>12</v>
      </c>
      <c r="AB3" s="6" t="s">
        <v>11</v>
      </c>
      <c r="AC3" s="6" t="s">
        <v>2</v>
      </c>
      <c r="AD3" s="6" t="s">
        <v>32</v>
      </c>
      <c r="AE3" s="6" t="s">
        <v>3</v>
      </c>
      <c r="AF3" s="6" t="s">
        <v>32</v>
      </c>
      <c r="AG3" s="6" t="s">
        <v>12</v>
      </c>
      <c r="AI3" s="6" t="s">
        <v>11</v>
      </c>
      <c r="AJ3" s="6" t="s">
        <v>2</v>
      </c>
      <c r="AK3" s="6" t="s">
        <v>32</v>
      </c>
      <c r="AL3" s="6" t="s">
        <v>3</v>
      </c>
      <c r="AM3" s="6" t="s">
        <v>32</v>
      </c>
      <c r="AN3" s="6" t="s">
        <v>12</v>
      </c>
      <c r="AP3" s="6" t="s">
        <v>11</v>
      </c>
      <c r="AQ3" s="6" t="s">
        <v>2</v>
      </c>
      <c r="AR3" s="6" t="s">
        <v>32</v>
      </c>
      <c r="AS3" s="6" t="s">
        <v>3</v>
      </c>
      <c r="AT3" s="6" t="s">
        <v>32</v>
      </c>
      <c r="AU3" s="6" t="s">
        <v>12</v>
      </c>
      <c r="AW3" s="6" t="s">
        <v>11</v>
      </c>
      <c r="AX3" s="6" t="s">
        <v>2</v>
      </c>
      <c r="AY3" s="6" t="s">
        <v>32</v>
      </c>
      <c r="AZ3" s="6" t="s">
        <v>3</v>
      </c>
      <c r="BA3" s="6" t="s">
        <v>32</v>
      </c>
      <c r="BB3" s="6" t="s">
        <v>12</v>
      </c>
      <c r="BD3" s="6" t="s">
        <v>11</v>
      </c>
      <c r="BE3" s="6" t="s">
        <v>2</v>
      </c>
      <c r="BF3" s="6" t="s">
        <v>32</v>
      </c>
      <c r="BG3" s="6" t="s">
        <v>3</v>
      </c>
      <c r="BH3" s="6" t="s">
        <v>32</v>
      </c>
      <c r="BI3" s="6" t="s">
        <v>12</v>
      </c>
      <c r="BK3" s="6" t="s">
        <v>11</v>
      </c>
      <c r="BL3" s="6" t="s">
        <v>2</v>
      </c>
      <c r="BM3" s="6" t="s">
        <v>32</v>
      </c>
      <c r="BN3" s="6" t="s">
        <v>3</v>
      </c>
      <c r="BO3" s="6" t="s">
        <v>32</v>
      </c>
      <c r="BP3" s="6" t="s">
        <v>12</v>
      </c>
      <c r="BR3" s="6" t="s">
        <v>11</v>
      </c>
      <c r="BS3" s="6" t="s">
        <v>2</v>
      </c>
      <c r="BT3" s="6" t="s">
        <v>32</v>
      </c>
      <c r="BU3" s="6" t="s">
        <v>3</v>
      </c>
      <c r="BV3" s="6" t="s">
        <v>32</v>
      </c>
      <c r="BW3" s="6" t="s">
        <v>12</v>
      </c>
    </row>
    <row r="4" spans="2:75" s="17" customFormat="1" x14ac:dyDescent="0.2">
      <c r="B4" s="17" t="s">
        <v>27</v>
      </c>
      <c r="C4" s="17" t="s">
        <v>50</v>
      </c>
      <c r="D4" s="18">
        <v>44733</v>
      </c>
      <c r="E4" s="19">
        <v>8</v>
      </c>
      <c r="G4" s="20">
        <f>+SUM(G5:G24)</f>
        <v>1.0000000000000002</v>
      </c>
      <c r="I4" s="21">
        <f>+SUM(I5:I24)</f>
        <v>130</v>
      </c>
      <c r="J4" s="22">
        <f>+SUMPRODUCT(G5:G24,J5:J24)</f>
        <v>7.4999999999999997E-2</v>
      </c>
      <c r="K4" s="22">
        <f>+SUMPRODUCT(G5:G24,K5:K24)</f>
        <v>7.4999999999999997E-2</v>
      </c>
      <c r="L4" s="19"/>
      <c r="N4" s="21">
        <f>+SUM(N5:N24)</f>
        <v>0</v>
      </c>
      <c r="U4" s="21">
        <f>+SUM(U5:U24)</f>
        <v>10</v>
      </c>
      <c r="AB4" s="21">
        <f>+SUM(AB5:AB24)</f>
        <v>15</v>
      </c>
      <c r="AI4" s="21">
        <f>+SUM(AI5:AI24)</f>
        <v>35</v>
      </c>
      <c r="AP4" s="21">
        <f>+SUM(AP5:AP24)</f>
        <v>40</v>
      </c>
      <c r="AW4" s="21">
        <f>+SUM(AW5:AW24)</f>
        <v>30</v>
      </c>
      <c r="BD4" s="21">
        <f>+SUM(BD5:BD24)</f>
        <v>0</v>
      </c>
      <c r="BK4" s="21">
        <f>+SUM(BK5:BK24)</f>
        <v>0</v>
      </c>
      <c r="BR4" s="21">
        <f>+SUM(BR5:BR24)</f>
        <v>0</v>
      </c>
    </row>
    <row r="5" spans="2:75" ht="16" customHeight="1" outlineLevel="1" x14ac:dyDescent="0.2">
      <c r="B5" t="s">
        <v>28</v>
      </c>
      <c r="C5" t="s">
        <v>57</v>
      </c>
      <c r="E5" s="11"/>
      <c r="F5" t="s">
        <v>59</v>
      </c>
      <c r="G5" s="12">
        <v>0.05</v>
      </c>
      <c r="I5" s="11">
        <f>+SUMIF($N$3:$ZZ$3,I$3,$N5:$ZZ5)</f>
        <v>6</v>
      </c>
      <c r="J5" s="13" cm="1">
        <f t="array" ref="J5">MAX(IF($N$3:$EH$3=$J$3,N5:EH5))</f>
        <v>0.3</v>
      </c>
      <c r="K5" s="13" cm="1">
        <f t="array" ref="K5">MAX(IF($N$3:$EH$3=$J$3,N5:EH5))</f>
        <v>0.3</v>
      </c>
      <c r="L5" s="11"/>
      <c r="O5" s="12"/>
      <c r="P5" s="12"/>
      <c r="Q5" s="12"/>
      <c r="R5" s="12"/>
      <c r="U5">
        <v>1</v>
      </c>
      <c r="V5" s="12">
        <v>0.3</v>
      </c>
      <c r="W5" s="12">
        <v>0.3</v>
      </c>
      <c r="X5" s="12"/>
      <c r="Y5" s="12"/>
      <c r="Z5" s="29" t="s">
        <v>100</v>
      </c>
      <c r="AB5">
        <v>1</v>
      </c>
      <c r="AC5" s="12"/>
      <c r="AD5" s="12">
        <v>0.5</v>
      </c>
      <c r="AE5" s="12"/>
      <c r="AF5" s="12"/>
      <c r="AG5" s="29" t="s">
        <v>99</v>
      </c>
      <c r="AI5">
        <v>2</v>
      </c>
      <c r="AJ5" s="12"/>
      <c r="AK5" s="12">
        <v>0.8</v>
      </c>
      <c r="AL5" s="12"/>
      <c r="AM5" s="12"/>
      <c r="AP5">
        <v>2</v>
      </c>
      <c r="AQ5" s="12"/>
      <c r="AR5" s="12">
        <v>1</v>
      </c>
      <c r="AS5" s="12"/>
      <c r="AT5" s="12"/>
      <c r="AX5" s="12"/>
      <c r="AY5" s="12">
        <v>1</v>
      </c>
      <c r="AZ5" s="12"/>
      <c r="BA5" s="12"/>
      <c r="BB5" s="26" t="s">
        <v>107</v>
      </c>
      <c r="BE5" s="12"/>
      <c r="BF5" s="12"/>
      <c r="BG5" s="12"/>
      <c r="BL5" s="12"/>
      <c r="BM5" s="12"/>
      <c r="BN5" s="12"/>
      <c r="BO5" s="12"/>
      <c r="BS5" s="12"/>
      <c r="BT5" s="12"/>
      <c r="BU5" s="12"/>
      <c r="BV5" s="12"/>
    </row>
    <row r="6" spans="2:75" outlineLevel="1" x14ac:dyDescent="0.2">
      <c r="B6" t="s">
        <v>28</v>
      </c>
      <c r="C6" t="s">
        <v>57</v>
      </c>
      <c r="E6" s="11"/>
      <c r="F6" t="s">
        <v>60</v>
      </c>
      <c r="G6" s="12">
        <v>0.05</v>
      </c>
      <c r="I6" s="11">
        <f t="shared" ref="I6:I22" si="0">+SUMIF($N$3:$ZZ$3,I$3,$N6:$ZZ6)</f>
        <v>6</v>
      </c>
      <c r="J6" s="13" cm="1">
        <f t="array" ref="J6">MAX(IF($N$3:$EH$3=$J$3,N6:EH6))</f>
        <v>0.3</v>
      </c>
      <c r="K6" s="13" cm="1">
        <f t="array" ref="K6">MAX(IF($N$3:$EH$3=$J$3,N6:EH6))</f>
        <v>0.3</v>
      </c>
      <c r="L6" s="11"/>
      <c r="O6" s="12"/>
      <c r="P6" s="12"/>
      <c r="Q6" s="12"/>
      <c r="R6" s="12"/>
      <c r="U6">
        <v>1</v>
      </c>
      <c r="V6" s="12">
        <v>0.3</v>
      </c>
      <c r="W6" s="12">
        <v>0.3</v>
      </c>
      <c r="X6" s="12"/>
      <c r="Y6" s="12"/>
      <c r="Z6" s="29"/>
      <c r="AB6">
        <v>1</v>
      </c>
      <c r="AC6" s="12"/>
      <c r="AD6" s="12">
        <v>0.5</v>
      </c>
      <c r="AE6" s="12"/>
      <c r="AF6" s="12"/>
      <c r="AG6" s="29"/>
      <c r="AI6">
        <v>2</v>
      </c>
      <c r="AJ6" s="12"/>
      <c r="AK6" s="12">
        <v>0.8</v>
      </c>
      <c r="AL6" s="12"/>
      <c r="AM6" s="12"/>
      <c r="AP6">
        <v>2</v>
      </c>
      <c r="AQ6" s="12"/>
      <c r="AR6" s="12">
        <v>1</v>
      </c>
      <c r="AS6" s="12"/>
      <c r="AT6" s="12"/>
      <c r="AX6" s="12"/>
      <c r="AY6" s="12">
        <v>1</v>
      </c>
      <c r="AZ6" s="12"/>
      <c r="BA6" s="12"/>
      <c r="BB6" s="26"/>
      <c r="BE6" s="12"/>
      <c r="BF6" s="12"/>
      <c r="BG6" s="12"/>
      <c r="BH6" s="12"/>
      <c r="BI6" s="34"/>
      <c r="BL6" s="12"/>
      <c r="BM6" s="12"/>
      <c r="BN6" s="12"/>
      <c r="BO6" s="12"/>
      <c r="BS6" s="12"/>
      <c r="BT6" s="12"/>
      <c r="BU6" s="12"/>
      <c r="BV6" s="12"/>
    </row>
    <row r="7" spans="2:75" outlineLevel="1" x14ac:dyDescent="0.2">
      <c r="B7" t="s">
        <v>28</v>
      </c>
      <c r="C7" t="s">
        <v>57</v>
      </c>
      <c r="E7" s="11"/>
      <c r="F7" t="s">
        <v>61</v>
      </c>
      <c r="G7" s="12">
        <v>0.05</v>
      </c>
      <c r="I7" s="11">
        <f t="shared" si="0"/>
        <v>6</v>
      </c>
      <c r="J7" s="13" cm="1">
        <f t="array" ref="J7">MAX(IF($N$3:$EH$3=$J$3,N7:EH7))</f>
        <v>0.3</v>
      </c>
      <c r="K7" s="13" cm="1">
        <f t="array" ref="K7">MAX(IF($N$3:$EH$3=$J$3,N7:EH7))</f>
        <v>0.3</v>
      </c>
      <c r="L7" s="11"/>
      <c r="O7" s="12"/>
      <c r="P7" s="12"/>
      <c r="Q7" s="12"/>
      <c r="R7" s="12"/>
      <c r="U7">
        <v>1</v>
      </c>
      <c r="V7" s="12">
        <v>0.3</v>
      </c>
      <c r="W7" s="12">
        <v>0.3</v>
      </c>
      <c r="X7" s="12"/>
      <c r="Y7" s="12"/>
      <c r="Z7" s="29"/>
      <c r="AB7">
        <v>1</v>
      </c>
      <c r="AC7" s="12"/>
      <c r="AD7" s="12">
        <v>0.5</v>
      </c>
      <c r="AE7" s="12"/>
      <c r="AF7" s="12"/>
      <c r="AG7" s="29"/>
      <c r="AI7">
        <v>2</v>
      </c>
      <c r="AJ7" s="12"/>
      <c r="AK7" s="12">
        <v>0.8</v>
      </c>
      <c r="AL7" s="12"/>
      <c r="AM7" s="12"/>
      <c r="AP7">
        <v>2</v>
      </c>
      <c r="AQ7" s="12"/>
      <c r="AR7" s="12">
        <v>1</v>
      </c>
      <c r="AS7" s="12"/>
      <c r="AT7" s="12"/>
      <c r="AX7" s="12"/>
      <c r="AY7" s="12">
        <v>1</v>
      </c>
      <c r="AZ7" s="12"/>
      <c r="BA7" s="12"/>
      <c r="BB7" s="26"/>
      <c r="BE7" s="12"/>
      <c r="BF7" s="12"/>
      <c r="BG7" s="12"/>
      <c r="BH7" s="12"/>
      <c r="BI7" s="34"/>
      <c r="BL7" s="12"/>
      <c r="BM7" s="12"/>
      <c r="BN7" s="12"/>
      <c r="BO7" s="12"/>
      <c r="BS7" s="12"/>
      <c r="BT7" s="12"/>
      <c r="BU7" s="12"/>
      <c r="BV7" s="12"/>
    </row>
    <row r="8" spans="2:75" outlineLevel="1" x14ac:dyDescent="0.2">
      <c r="B8" t="s">
        <v>28</v>
      </c>
      <c r="C8" t="s">
        <v>57</v>
      </c>
      <c r="E8" s="11"/>
      <c r="F8" t="s">
        <v>62</v>
      </c>
      <c r="G8" s="12">
        <v>0.05</v>
      </c>
      <c r="I8" s="11">
        <f t="shared" si="0"/>
        <v>6</v>
      </c>
      <c r="J8" s="13" cm="1">
        <f t="array" ref="J8">MAX(IF($N$3:$EH$3=$J$3,N8:EH8))</f>
        <v>0.3</v>
      </c>
      <c r="K8" s="13" cm="1">
        <f t="array" ref="K8">MAX(IF($N$3:$EH$3=$J$3,N8:EH8))</f>
        <v>0.3</v>
      </c>
      <c r="L8" s="11"/>
      <c r="O8" s="12"/>
      <c r="P8" s="12"/>
      <c r="Q8" s="12"/>
      <c r="R8" s="12"/>
      <c r="U8">
        <v>1</v>
      </c>
      <c r="V8" s="12">
        <v>0.3</v>
      </c>
      <c r="W8" s="12">
        <v>0.3</v>
      </c>
      <c r="X8" s="12"/>
      <c r="Y8" s="12"/>
      <c r="Z8" s="29"/>
      <c r="AB8">
        <v>1</v>
      </c>
      <c r="AC8" s="12"/>
      <c r="AD8" s="12">
        <v>0.5</v>
      </c>
      <c r="AE8" s="12"/>
      <c r="AF8" s="12"/>
      <c r="AG8" s="29"/>
      <c r="AI8">
        <v>2</v>
      </c>
      <c r="AJ8" s="12"/>
      <c r="AK8" s="12">
        <v>0.8</v>
      </c>
      <c r="AL8" s="12"/>
      <c r="AM8" s="12"/>
      <c r="AP8">
        <v>2</v>
      </c>
      <c r="AQ8" s="12"/>
      <c r="AR8" s="12">
        <v>1</v>
      </c>
      <c r="AS8" s="12"/>
      <c r="AT8" s="12"/>
      <c r="AX8" s="12"/>
      <c r="AY8" s="12">
        <v>1</v>
      </c>
      <c r="AZ8" s="12"/>
      <c r="BA8" s="12"/>
      <c r="BB8" s="26"/>
      <c r="BE8" s="12"/>
      <c r="BF8" s="12"/>
      <c r="BG8" s="12"/>
      <c r="BH8" s="12"/>
      <c r="BI8" s="34"/>
      <c r="BL8" s="12"/>
      <c r="BM8" s="12"/>
      <c r="BN8" s="12"/>
      <c r="BO8" s="12"/>
      <c r="BS8" s="12"/>
      <c r="BT8" s="12"/>
      <c r="BU8" s="12"/>
      <c r="BV8" s="12"/>
    </row>
    <row r="9" spans="2:75" outlineLevel="1" x14ac:dyDescent="0.2">
      <c r="B9" t="s">
        <v>28</v>
      </c>
      <c r="C9" t="s">
        <v>57</v>
      </c>
      <c r="E9" s="11"/>
      <c r="F9" t="s">
        <v>63</v>
      </c>
      <c r="G9" s="12">
        <v>0.05</v>
      </c>
      <c r="I9" s="11">
        <f t="shared" si="0"/>
        <v>6</v>
      </c>
      <c r="J9" s="13" cm="1">
        <f t="array" ref="J9">MAX(IF($N$3:$EH$3=$J$3,N9:EH9))</f>
        <v>0.3</v>
      </c>
      <c r="K9" s="13" cm="1">
        <f t="array" ref="K9">MAX(IF($N$3:$EH$3=$J$3,N9:EH9))</f>
        <v>0.3</v>
      </c>
      <c r="L9" s="11"/>
      <c r="O9" s="12"/>
      <c r="P9" s="12"/>
      <c r="Q9" s="12"/>
      <c r="R9" s="12"/>
      <c r="U9">
        <v>1</v>
      </c>
      <c r="V9" s="12">
        <v>0.3</v>
      </c>
      <c r="W9" s="12">
        <v>0.3</v>
      </c>
      <c r="X9" s="12"/>
      <c r="Y9" s="12"/>
      <c r="Z9" s="29"/>
      <c r="AB9">
        <v>1</v>
      </c>
      <c r="AC9" s="12"/>
      <c r="AD9" s="12">
        <v>0.5</v>
      </c>
      <c r="AE9" s="12"/>
      <c r="AF9" s="12"/>
      <c r="AG9" s="29"/>
      <c r="AI9">
        <v>2</v>
      </c>
      <c r="AJ9" s="12"/>
      <c r="AK9" s="12">
        <v>0.8</v>
      </c>
      <c r="AL9" s="12"/>
      <c r="AM9" s="12"/>
      <c r="AP9">
        <v>2</v>
      </c>
      <c r="AQ9" s="12"/>
      <c r="AR9" s="12">
        <v>1</v>
      </c>
      <c r="AS9" s="12"/>
      <c r="AT9" s="12"/>
      <c r="AX9" s="12"/>
      <c r="AY9" s="12">
        <v>1</v>
      </c>
      <c r="AZ9" s="12"/>
      <c r="BA9" s="12"/>
      <c r="BB9" s="26"/>
      <c r="BE9" s="12"/>
      <c r="BF9" s="12"/>
      <c r="BG9" s="12"/>
      <c r="BH9" s="12"/>
      <c r="BI9" s="34"/>
      <c r="BL9" s="12"/>
      <c r="BM9" s="12"/>
      <c r="BN9" s="12"/>
      <c r="BO9" s="12"/>
      <c r="BS9" s="12"/>
      <c r="BT9" s="12"/>
      <c r="BU9" s="12"/>
      <c r="BV9" s="12"/>
    </row>
    <row r="10" spans="2:75" outlineLevel="1" x14ac:dyDescent="0.2">
      <c r="B10" t="s">
        <v>28</v>
      </c>
      <c r="C10" t="s">
        <v>57</v>
      </c>
      <c r="E10" s="11"/>
      <c r="F10" t="s">
        <v>64</v>
      </c>
      <c r="G10" s="12">
        <v>0.05</v>
      </c>
      <c r="I10" s="11">
        <f t="shared" si="0"/>
        <v>6</v>
      </c>
      <c r="J10" s="13" cm="1">
        <f t="array" ref="J10">MAX(IF($N$3:$EH$3=$J$3,N10:EH10))</f>
        <v>0</v>
      </c>
      <c r="K10" s="13" cm="1">
        <f t="array" ref="K10">MAX(IF($N$3:$EH$3=$J$3,N10:EH10))</f>
        <v>0</v>
      </c>
      <c r="L10" s="11"/>
      <c r="O10" s="12"/>
      <c r="P10" s="12"/>
      <c r="Q10" s="12"/>
      <c r="R10" s="12"/>
      <c r="U10">
        <v>1</v>
      </c>
      <c r="V10" s="12"/>
      <c r="W10" s="12">
        <v>0.3</v>
      </c>
      <c r="X10" s="12"/>
      <c r="Y10" s="12"/>
      <c r="Z10" s="29"/>
      <c r="AB10">
        <v>1</v>
      </c>
      <c r="AC10" s="12"/>
      <c r="AD10" s="12">
        <v>0.5</v>
      </c>
      <c r="AE10" s="12"/>
      <c r="AF10" s="12"/>
      <c r="AG10" s="29"/>
      <c r="AI10">
        <v>2</v>
      </c>
      <c r="AJ10" s="12"/>
      <c r="AK10" s="12">
        <v>0.8</v>
      </c>
      <c r="AL10" s="12"/>
      <c r="AM10" s="12"/>
      <c r="AP10">
        <v>2</v>
      </c>
      <c r="AQ10" s="12"/>
      <c r="AR10" s="12">
        <v>1</v>
      </c>
      <c r="AS10" s="12"/>
      <c r="AT10" s="12"/>
      <c r="AX10" s="12"/>
      <c r="AY10" s="12">
        <v>1</v>
      </c>
      <c r="AZ10" s="12"/>
      <c r="BA10" s="12"/>
      <c r="BB10" s="26"/>
      <c r="BE10" s="12"/>
      <c r="BF10" s="12"/>
      <c r="BG10" s="12"/>
      <c r="BH10" s="12"/>
      <c r="BI10" s="34"/>
      <c r="BL10" s="12"/>
      <c r="BM10" s="12"/>
      <c r="BN10" s="12"/>
      <c r="BO10" s="12"/>
      <c r="BS10" s="12"/>
      <c r="BT10" s="12"/>
      <c r="BU10" s="12"/>
      <c r="BV10" s="12"/>
    </row>
    <row r="11" spans="2:75" outlineLevel="1" x14ac:dyDescent="0.2">
      <c r="B11" t="s">
        <v>28</v>
      </c>
      <c r="C11" t="s">
        <v>57</v>
      </c>
      <c r="E11" s="11"/>
      <c r="F11" t="s">
        <v>65</v>
      </c>
      <c r="G11" s="12">
        <v>0.05</v>
      </c>
      <c r="I11" s="11">
        <f t="shared" si="0"/>
        <v>6</v>
      </c>
      <c r="J11" s="13" cm="1">
        <f t="array" ref="J11">MAX(IF($N$3:$EH$3=$J$3,N11:EH11))</f>
        <v>0</v>
      </c>
      <c r="K11" s="13" cm="1">
        <f t="array" ref="K11">MAX(IF($N$3:$EH$3=$J$3,N11:EH11))</f>
        <v>0</v>
      </c>
      <c r="L11" s="11"/>
      <c r="O11" s="12"/>
      <c r="P11" s="12"/>
      <c r="Q11" s="12"/>
      <c r="R11" s="12"/>
      <c r="U11">
        <v>1</v>
      </c>
      <c r="V11" s="12"/>
      <c r="W11" s="12">
        <v>0.3</v>
      </c>
      <c r="X11" s="12"/>
      <c r="Y11" s="12"/>
      <c r="Z11" s="29"/>
      <c r="AB11">
        <v>1</v>
      </c>
      <c r="AC11" s="12"/>
      <c r="AD11" s="12">
        <v>0.5</v>
      </c>
      <c r="AE11" s="12"/>
      <c r="AF11" s="12"/>
      <c r="AG11" s="29"/>
      <c r="AI11">
        <v>2</v>
      </c>
      <c r="AJ11" s="12"/>
      <c r="AK11" s="12">
        <v>0.8</v>
      </c>
      <c r="AL11" s="12"/>
      <c r="AM11" s="12"/>
      <c r="AP11">
        <v>2</v>
      </c>
      <c r="AQ11" s="12"/>
      <c r="AR11" s="12">
        <v>1</v>
      </c>
      <c r="AS11" s="12"/>
      <c r="AT11" s="12"/>
      <c r="AX11" s="12"/>
      <c r="AY11" s="12">
        <v>1</v>
      </c>
      <c r="AZ11" s="12"/>
      <c r="BA11" s="12"/>
      <c r="BB11" s="26"/>
      <c r="BE11" s="12"/>
      <c r="BF11" s="12"/>
      <c r="BG11" s="12"/>
      <c r="BH11" s="12"/>
      <c r="BI11" s="34"/>
      <c r="BL11" s="12"/>
      <c r="BM11" s="12"/>
      <c r="BN11" s="12"/>
      <c r="BO11" s="12"/>
      <c r="BS11" s="12"/>
      <c r="BT11" s="12"/>
      <c r="BU11" s="12"/>
      <c r="BV11" s="12"/>
    </row>
    <row r="12" spans="2:75" outlineLevel="1" x14ac:dyDescent="0.2">
      <c r="B12" t="s">
        <v>28</v>
      </c>
      <c r="C12" t="s">
        <v>57</v>
      </c>
      <c r="E12" s="11"/>
      <c r="F12" t="s">
        <v>66</v>
      </c>
      <c r="G12" s="12">
        <v>0.05</v>
      </c>
      <c r="I12" s="11">
        <f t="shared" si="0"/>
        <v>6</v>
      </c>
      <c r="J12" s="13" cm="1">
        <f t="array" ref="J12">MAX(IF($N$3:$EH$3=$J$3,N12:EH12))</f>
        <v>0</v>
      </c>
      <c r="K12" s="13" cm="1">
        <f t="array" ref="K12">MAX(IF($N$3:$EH$3=$J$3,N12:EH12))</f>
        <v>0</v>
      </c>
      <c r="L12" s="11"/>
      <c r="O12" s="12"/>
      <c r="P12" s="12"/>
      <c r="Q12" s="12"/>
      <c r="R12" s="12"/>
      <c r="U12">
        <v>1</v>
      </c>
      <c r="V12" s="12"/>
      <c r="W12" s="12">
        <v>0.3</v>
      </c>
      <c r="X12" s="12"/>
      <c r="Y12" s="12"/>
      <c r="Z12" s="29"/>
      <c r="AB12">
        <v>1</v>
      </c>
      <c r="AC12" s="12"/>
      <c r="AD12" s="12">
        <v>0.5</v>
      </c>
      <c r="AE12" s="12"/>
      <c r="AF12" s="12"/>
      <c r="AG12" s="29"/>
      <c r="AI12">
        <v>2</v>
      </c>
      <c r="AJ12" s="12"/>
      <c r="AK12" s="12">
        <v>0.8</v>
      </c>
      <c r="AL12" s="12"/>
      <c r="AM12" s="12"/>
      <c r="AP12">
        <v>2</v>
      </c>
      <c r="AQ12" s="12"/>
      <c r="AR12" s="12">
        <v>1</v>
      </c>
      <c r="AS12" s="12"/>
      <c r="AT12" s="12"/>
      <c r="AX12" s="12"/>
      <c r="AY12" s="12">
        <v>1</v>
      </c>
      <c r="AZ12" s="12"/>
      <c r="BA12" s="12"/>
      <c r="BB12" s="26"/>
      <c r="BE12" s="12"/>
      <c r="BF12" s="12"/>
      <c r="BG12" s="12"/>
      <c r="BH12" s="12"/>
      <c r="BI12" s="34"/>
      <c r="BL12" s="12"/>
      <c r="BM12" s="12"/>
      <c r="BN12" s="12"/>
      <c r="BO12" s="12"/>
      <c r="BS12" s="12"/>
      <c r="BT12" s="12"/>
      <c r="BU12" s="12"/>
      <c r="BV12" s="12"/>
    </row>
    <row r="13" spans="2:75" outlineLevel="1" x14ac:dyDescent="0.2">
      <c r="B13" t="s">
        <v>28</v>
      </c>
      <c r="C13" t="s">
        <v>57</v>
      </c>
      <c r="E13" s="11"/>
      <c r="F13" t="s">
        <v>67</v>
      </c>
      <c r="G13" s="12">
        <v>0.05</v>
      </c>
      <c r="I13" s="11">
        <f t="shared" si="0"/>
        <v>6</v>
      </c>
      <c r="J13" s="13" cm="1">
        <f t="array" ref="J13">MAX(IF($N$3:$EH$3=$J$3,N13:EH13))</f>
        <v>0</v>
      </c>
      <c r="K13" s="13" cm="1">
        <f t="array" ref="K13">MAX(IF($N$3:$EH$3=$J$3,N13:EH13))</f>
        <v>0</v>
      </c>
      <c r="L13" s="11"/>
      <c r="O13" s="12"/>
      <c r="P13" s="12"/>
      <c r="Q13" s="12"/>
      <c r="R13" s="12"/>
      <c r="U13">
        <v>1</v>
      </c>
      <c r="V13" s="12"/>
      <c r="W13" s="12">
        <v>0.3</v>
      </c>
      <c r="X13" s="12"/>
      <c r="Y13" s="12"/>
      <c r="Z13" s="29"/>
      <c r="AB13">
        <v>1</v>
      </c>
      <c r="AC13" s="12"/>
      <c r="AD13" s="12">
        <v>0.5</v>
      </c>
      <c r="AE13" s="12"/>
      <c r="AF13" s="12"/>
      <c r="AG13" s="29"/>
      <c r="AI13">
        <v>2</v>
      </c>
      <c r="AJ13" s="12"/>
      <c r="AK13" s="12">
        <v>0.8</v>
      </c>
      <c r="AL13" s="12"/>
      <c r="AM13" s="12"/>
      <c r="AP13">
        <v>2</v>
      </c>
      <c r="AQ13" s="12"/>
      <c r="AR13" s="12">
        <v>1</v>
      </c>
      <c r="AS13" s="12"/>
      <c r="AT13" s="12"/>
      <c r="AX13" s="12"/>
      <c r="AY13" s="12">
        <v>1</v>
      </c>
      <c r="AZ13" s="12"/>
      <c r="BA13" s="12"/>
      <c r="BB13" s="26"/>
      <c r="BE13" s="12"/>
      <c r="BF13" s="12"/>
      <c r="BG13" s="12"/>
      <c r="BH13" s="12"/>
      <c r="BI13" s="34"/>
      <c r="BL13" s="12"/>
      <c r="BM13" s="12"/>
      <c r="BN13" s="12"/>
      <c r="BO13" s="12"/>
      <c r="BS13" s="12"/>
      <c r="BT13" s="12"/>
      <c r="BU13" s="12"/>
      <c r="BV13" s="12"/>
    </row>
    <row r="14" spans="2:75" outlineLevel="1" x14ac:dyDescent="0.2">
      <c r="B14" t="s">
        <v>28</v>
      </c>
      <c r="C14" t="s">
        <v>57</v>
      </c>
      <c r="E14" s="11"/>
      <c r="F14" t="s">
        <v>68</v>
      </c>
      <c r="G14" s="12">
        <v>0.05</v>
      </c>
      <c r="I14" s="11">
        <f t="shared" si="0"/>
        <v>6</v>
      </c>
      <c r="J14" s="13" cm="1">
        <f t="array" ref="J14">MAX(IF($N$3:$EH$3=$J$3,N14:EH14))</f>
        <v>0</v>
      </c>
      <c r="K14" s="13" cm="1">
        <f t="array" ref="K14">MAX(IF($N$3:$EH$3=$J$3,N14:EH14))</f>
        <v>0</v>
      </c>
      <c r="L14" s="11"/>
      <c r="O14" s="12"/>
      <c r="P14" s="12"/>
      <c r="Q14" s="12"/>
      <c r="R14" s="12"/>
      <c r="U14">
        <v>1</v>
      </c>
      <c r="V14" s="12"/>
      <c r="W14" s="12">
        <v>0.3</v>
      </c>
      <c r="X14" s="12"/>
      <c r="Y14" s="12"/>
      <c r="Z14" s="29"/>
      <c r="AB14">
        <v>1</v>
      </c>
      <c r="AC14" s="12"/>
      <c r="AD14" s="12">
        <v>0.5</v>
      </c>
      <c r="AE14" s="12"/>
      <c r="AF14" s="12"/>
      <c r="AG14" s="29"/>
      <c r="AI14">
        <v>2</v>
      </c>
      <c r="AJ14" s="12"/>
      <c r="AK14" s="12">
        <v>0.8</v>
      </c>
      <c r="AL14" s="12"/>
      <c r="AM14" s="12"/>
      <c r="AP14">
        <v>2</v>
      </c>
      <c r="AQ14" s="12"/>
      <c r="AR14" s="12">
        <v>1</v>
      </c>
      <c r="AS14" s="12"/>
      <c r="AT14" s="12"/>
      <c r="AX14" s="12"/>
      <c r="AY14" s="12">
        <v>1</v>
      </c>
      <c r="AZ14" s="12"/>
      <c r="BA14" s="12"/>
      <c r="BB14" s="26"/>
      <c r="BE14" s="12"/>
      <c r="BF14" s="12"/>
      <c r="BG14" s="12"/>
      <c r="BH14" s="12"/>
      <c r="BI14" s="34"/>
      <c r="BL14" s="12"/>
      <c r="BM14" s="12"/>
      <c r="BN14" s="12"/>
      <c r="BO14" s="12"/>
      <c r="BS14" s="12"/>
      <c r="BT14" s="12"/>
      <c r="BU14" s="12"/>
      <c r="BV14" s="12"/>
    </row>
    <row r="15" spans="2:75" outlineLevel="1" x14ac:dyDescent="0.2">
      <c r="B15" t="s">
        <v>28</v>
      </c>
      <c r="C15" t="s">
        <v>58</v>
      </c>
      <c r="E15" s="11"/>
      <c r="F15" t="s">
        <v>69</v>
      </c>
      <c r="G15" s="12">
        <v>0.05</v>
      </c>
      <c r="I15" s="11">
        <f t="shared" si="0"/>
        <v>6</v>
      </c>
      <c r="J15" s="13" cm="1">
        <f t="array" ref="J15">MAX(IF($N$3:$EH$3=$J$3,N15:EH15))</f>
        <v>0</v>
      </c>
      <c r="K15" s="13" cm="1">
        <f t="array" ref="K15">MAX(IF($N$3:$EH$3=$J$3,N15:EH15))</f>
        <v>0</v>
      </c>
      <c r="L15" s="11"/>
      <c r="O15" s="12"/>
      <c r="P15" s="12"/>
      <c r="Q15" s="12"/>
      <c r="R15" s="12"/>
      <c r="V15" s="12"/>
      <c r="W15" s="12"/>
      <c r="X15" s="12"/>
      <c r="Y15" s="12"/>
      <c r="Z15" s="29"/>
      <c r="AB15">
        <v>1</v>
      </c>
      <c r="AC15" s="12"/>
      <c r="AD15" s="12">
        <v>0.3</v>
      </c>
      <c r="AE15" s="12"/>
      <c r="AF15" s="12"/>
      <c r="AG15" s="29"/>
      <c r="AI15">
        <v>1</v>
      </c>
      <c r="AJ15" s="12"/>
      <c r="AK15" s="12">
        <v>0.5</v>
      </c>
      <c r="AL15" s="12"/>
      <c r="AM15" s="12"/>
      <c r="AP15">
        <v>2</v>
      </c>
      <c r="AQ15" s="12"/>
      <c r="AR15" s="12">
        <v>0.8</v>
      </c>
      <c r="AS15" s="12"/>
      <c r="AT15" s="12"/>
      <c r="AW15">
        <v>2</v>
      </c>
      <c r="AX15" s="12"/>
      <c r="AY15" s="12">
        <v>1</v>
      </c>
      <c r="AZ15" s="12"/>
      <c r="BA15" s="12"/>
      <c r="BB15" s="26"/>
      <c r="BE15" s="12"/>
      <c r="BF15" s="12"/>
      <c r="BG15" s="12"/>
      <c r="BH15" s="12"/>
      <c r="BI15" s="34"/>
      <c r="BL15" s="12"/>
      <c r="BM15" s="12"/>
      <c r="BN15" s="12"/>
      <c r="BO15" s="12"/>
      <c r="BS15" s="12"/>
      <c r="BT15" s="12"/>
      <c r="BU15" s="12"/>
      <c r="BV15" s="12"/>
    </row>
    <row r="16" spans="2:75" outlineLevel="1" x14ac:dyDescent="0.2">
      <c r="B16" t="s">
        <v>28</v>
      </c>
      <c r="C16" t="s">
        <v>58</v>
      </c>
      <c r="E16" s="11"/>
      <c r="F16" t="s">
        <v>70</v>
      </c>
      <c r="G16" s="12">
        <v>0.05</v>
      </c>
      <c r="I16" s="11">
        <f t="shared" si="0"/>
        <v>6</v>
      </c>
      <c r="J16" s="13" cm="1">
        <f t="array" ref="J16">MAX(IF($N$3:$EH$3=$J$3,N16:EH16))</f>
        <v>0</v>
      </c>
      <c r="K16" s="13" cm="1">
        <f t="array" ref="K16">MAX(IF($N$3:$EH$3=$J$3,N16:EH16))</f>
        <v>0</v>
      </c>
      <c r="L16" s="11"/>
      <c r="O16" s="12"/>
      <c r="P16" s="12"/>
      <c r="Q16" s="12"/>
      <c r="R16" s="12"/>
      <c r="V16" s="12"/>
      <c r="W16" s="12"/>
      <c r="X16" s="12"/>
      <c r="Y16" s="12"/>
      <c r="Z16" s="29"/>
      <c r="AB16">
        <v>1</v>
      </c>
      <c r="AC16" s="12"/>
      <c r="AD16" s="12">
        <v>0.3</v>
      </c>
      <c r="AE16" s="12"/>
      <c r="AF16" s="12"/>
      <c r="AG16" s="29"/>
      <c r="AI16">
        <v>1</v>
      </c>
      <c r="AJ16" s="12"/>
      <c r="AK16" s="12">
        <v>0.5</v>
      </c>
      <c r="AL16" s="12"/>
      <c r="AM16" s="12"/>
      <c r="AP16">
        <v>2</v>
      </c>
      <c r="AQ16" s="12"/>
      <c r="AR16" s="12">
        <v>0.8</v>
      </c>
      <c r="AS16" s="12"/>
      <c r="AT16" s="12"/>
      <c r="AW16">
        <v>2</v>
      </c>
      <c r="AX16" s="12"/>
      <c r="AY16" s="12">
        <v>1</v>
      </c>
      <c r="AZ16" s="12"/>
      <c r="BA16" s="12"/>
      <c r="BB16" s="26"/>
      <c r="BE16" s="12"/>
      <c r="BF16" s="12"/>
      <c r="BG16" s="12"/>
      <c r="BH16" s="12"/>
      <c r="BI16" s="34"/>
      <c r="BL16" s="12"/>
      <c r="BM16" s="12"/>
      <c r="BN16" s="12"/>
      <c r="BO16" s="12"/>
      <c r="BS16" s="12"/>
      <c r="BT16" s="12"/>
      <c r="BU16" s="12"/>
      <c r="BV16" s="12"/>
    </row>
    <row r="17" spans="2:74" outlineLevel="1" x14ac:dyDescent="0.2">
      <c r="B17" t="s">
        <v>28</v>
      </c>
      <c r="C17" t="s">
        <v>58</v>
      </c>
      <c r="E17" s="11"/>
      <c r="F17" t="s">
        <v>71</v>
      </c>
      <c r="G17" s="12">
        <v>0.05</v>
      </c>
      <c r="I17" s="11">
        <f t="shared" si="0"/>
        <v>6</v>
      </c>
      <c r="J17" s="13" cm="1">
        <f t="array" ref="J17">MAX(IF($N$3:$EH$3=$J$3,N17:EH17))</f>
        <v>0</v>
      </c>
      <c r="K17" s="13" cm="1">
        <f t="array" ref="K17">MAX(IF($N$3:$EH$3=$J$3,N17:EH17))</f>
        <v>0</v>
      </c>
      <c r="L17" s="11"/>
      <c r="O17" s="12"/>
      <c r="P17" s="12"/>
      <c r="Q17" s="12"/>
      <c r="R17" s="12"/>
      <c r="V17" s="12"/>
      <c r="W17" s="12"/>
      <c r="X17" s="12"/>
      <c r="Y17" s="12"/>
      <c r="Z17" s="29"/>
      <c r="AB17">
        <v>1</v>
      </c>
      <c r="AC17" s="12"/>
      <c r="AD17" s="12">
        <v>0.3</v>
      </c>
      <c r="AE17" s="12"/>
      <c r="AF17" s="12"/>
      <c r="AG17" s="29"/>
      <c r="AI17">
        <v>1</v>
      </c>
      <c r="AJ17" s="12"/>
      <c r="AK17" s="12">
        <v>0.5</v>
      </c>
      <c r="AL17" s="12"/>
      <c r="AM17" s="12"/>
      <c r="AP17">
        <v>2</v>
      </c>
      <c r="AQ17" s="12"/>
      <c r="AR17" s="12">
        <v>0.8</v>
      </c>
      <c r="AS17" s="12"/>
      <c r="AT17" s="12"/>
      <c r="AW17">
        <v>2</v>
      </c>
      <c r="AX17" s="12"/>
      <c r="AY17" s="12">
        <v>1</v>
      </c>
      <c r="AZ17" s="12"/>
      <c r="BA17" s="12"/>
      <c r="BB17" s="26"/>
      <c r="BE17" s="12"/>
      <c r="BF17" s="12"/>
      <c r="BG17" s="12"/>
      <c r="BH17" s="12"/>
      <c r="BI17" s="34"/>
      <c r="BL17" s="12"/>
      <c r="BM17" s="12"/>
      <c r="BN17" s="12"/>
      <c r="BO17" s="12"/>
      <c r="BS17" s="12"/>
      <c r="BT17" s="12"/>
      <c r="BU17" s="12"/>
      <c r="BV17" s="12"/>
    </row>
    <row r="18" spans="2:74" outlineLevel="1" x14ac:dyDescent="0.2">
      <c r="B18" t="s">
        <v>28</v>
      </c>
      <c r="C18" t="s">
        <v>58</v>
      </c>
      <c r="E18" s="11"/>
      <c r="F18" t="s">
        <v>72</v>
      </c>
      <c r="G18" s="12">
        <v>0.05</v>
      </c>
      <c r="I18" s="11">
        <f t="shared" si="0"/>
        <v>6</v>
      </c>
      <c r="J18" s="13" cm="1">
        <f t="array" ref="J18">MAX(IF($N$3:$EH$3=$J$3,N18:EH18))</f>
        <v>0</v>
      </c>
      <c r="K18" s="13" cm="1">
        <f t="array" ref="K18">MAX(IF($N$3:$EH$3=$J$3,N18:EH18))</f>
        <v>0</v>
      </c>
      <c r="L18" s="11"/>
      <c r="O18" s="12"/>
      <c r="P18" s="12"/>
      <c r="Q18" s="12"/>
      <c r="R18" s="12"/>
      <c r="V18" s="12"/>
      <c r="W18" s="12"/>
      <c r="X18" s="12"/>
      <c r="Y18" s="12"/>
      <c r="Z18" s="29"/>
      <c r="AB18">
        <v>1</v>
      </c>
      <c r="AC18" s="12"/>
      <c r="AD18" s="12">
        <v>0.3</v>
      </c>
      <c r="AE18" s="12"/>
      <c r="AF18" s="12"/>
      <c r="AG18" s="29"/>
      <c r="AI18">
        <v>1</v>
      </c>
      <c r="AJ18" s="12"/>
      <c r="AK18" s="12">
        <v>0.5</v>
      </c>
      <c r="AL18" s="12"/>
      <c r="AM18" s="12"/>
      <c r="AP18">
        <v>2</v>
      </c>
      <c r="AQ18" s="12"/>
      <c r="AR18" s="12">
        <v>0.8</v>
      </c>
      <c r="AS18" s="12"/>
      <c r="AT18" s="12"/>
      <c r="AW18">
        <v>2</v>
      </c>
      <c r="AX18" s="12"/>
      <c r="AY18" s="12">
        <v>1</v>
      </c>
      <c r="AZ18" s="12"/>
      <c r="BA18" s="12"/>
      <c r="BB18" s="26"/>
      <c r="BE18" s="12"/>
      <c r="BF18" s="12"/>
      <c r="BG18" s="12"/>
      <c r="BH18" s="12"/>
      <c r="BI18" s="34"/>
      <c r="BL18" s="12"/>
      <c r="BM18" s="12"/>
      <c r="BN18" s="12"/>
      <c r="BO18" s="12"/>
      <c r="BS18" s="12"/>
      <c r="BT18" s="12"/>
      <c r="BU18" s="12"/>
      <c r="BV18" s="12"/>
    </row>
    <row r="19" spans="2:74" outlineLevel="1" x14ac:dyDescent="0.2">
      <c r="B19" t="s">
        <v>28</v>
      </c>
      <c r="C19" t="s">
        <v>58</v>
      </c>
      <c r="E19" s="11"/>
      <c r="F19" t="s">
        <v>73</v>
      </c>
      <c r="G19" s="12">
        <v>0.05</v>
      </c>
      <c r="I19" s="11">
        <f t="shared" si="0"/>
        <v>6</v>
      </c>
      <c r="J19" s="13" cm="1">
        <f t="array" ref="J19">MAX(IF($N$3:$EH$3=$J$3,N19:EH19))</f>
        <v>0</v>
      </c>
      <c r="K19" s="13" cm="1">
        <f t="array" ref="K19">MAX(IF($N$3:$EH$3=$J$3,N19:EH19))</f>
        <v>0</v>
      </c>
      <c r="L19" s="11"/>
      <c r="O19" s="12"/>
      <c r="P19" s="12"/>
      <c r="Q19" s="12"/>
      <c r="R19" s="12"/>
      <c r="V19" s="12"/>
      <c r="W19" s="12"/>
      <c r="X19" s="12"/>
      <c r="Y19" s="12"/>
      <c r="Z19" s="29"/>
      <c r="AB19">
        <v>1</v>
      </c>
      <c r="AC19" s="12"/>
      <c r="AD19" s="12">
        <v>0.3</v>
      </c>
      <c r="AE19" s="12"/>
      <c r="AF19" s="12"/>
      <c r="AG19" s="29"/>
      <c r="AI19">
        <v>1</v>
      </c>
      <c r="AJ19" s="12"/>
      <c r="AK19" s="12">
        <v>0.5</v>
      </c>
      <c r="AL19" s="12"/>
      <c r="AM19" s="12"/>
      <c r="AP19">
        <v>2</v>
      </c>
      <c r="AQ19" s="12"/>
      <c r="AR19" s="12">
        <v>0.8</v>
      </c>
      <c r="AS19" s="12"/>
      <c r="AT19" s="12"/>
      <c r="AW19">
        <v>2</v>
      </c>
      <c r="AX19" s="12"/>
      <c r="AY19" s="12">
        <v>1</v>
      </c>
      <c r="AZ19" s="12"/>
      <c r="BA19" s="12"/>
      <c r="BB19" s="26"/>
      <c r="BE19" s="12"/>
      <c r="BF19" s="12"/>
      <c r="BG19" s="12"/>
      <c r="BH19" s="12"/>
      <c r="BI19" s="34"/>
      <c r="BL19" s="12"/>
      <c r="BM19" s="12"/>
      <c r="BN19" s="12"/>
      <c r="BO19" s="12"/>
      <c r="BS19" s="12"/>
      <c r="BT19" s="12"/>
      <c r="BU19" s="12"/>
      <c r="BV19" s="12"/>
    </row>
    <row r="20" spans="2:74" outlineLevel="1" x14ac:dyDescent="0.2">
      <c r="B20" t="s">
        <v>28</v>
      </c>
      <c r="C20" t="s">
        <v>58</v>
      </c>
      <c r="E20" s="11"/>
      <c r="F20" t="s">
        <v>74</v>
      </c>
      <c r="G20" s="12">
        <v>0.05</v>
      </c>
      <c r="I20" s="11">
        <f t="shared" si="0"/>
        <v>8</v>
      </c>
      <c r="J20" s="13" cm="1">
        <f t="array" ref="J20">MAX(IF($N$3:$EH$3=$J$3,N20:EH20))</f>
        <v>0</v>
      </c>
      <c r="K20" s="13" cm="1">
        <f t="array" ref="K20">MAX(IF($N$3:$EH$3=$J$3,N20:EH20))</f>
        <v>0</v>
      </c>
      <c r="L20" s="11"/>
      <c r="O20" s="12"/>
      <c r="P20" s="12"/>
      <c r="Q20" s="12"/>
      <c r="R20" s="12"/>
      <c r="V20" s="12"/>
      <c r="W20" s="12"/>
      <c r="X20" s="12"/>
      <c r="Y20" s="12"/>
      <c r="Z20" s="29"/>
      <c r="AC20" s="12"/>
      <c r="AD20" s="12"/>
      <c r="AE20" s="12"/>
      <c r="AF20" s="12"/>
      <c r="AG20" s="29"/>
      <c r="AI20">
        <v>2</v>
      </c>
      <c r="AJ20" s="12"/>
      <c r="AK20" s="12">
        <v>0.5</v>
      </c>
      <c r="AL20" s="12"/>
      <c r="AM20" s="12"/>
      <c r="AP20">
        <v>2</v>
      </c>
      <c r="AQ20" s="12"/>
      <c r="AR20" s="12">
        <v>0.8</v>
      </c>
      <c r="AS20" s="12"/>
      <c r="AT20" s="12"/>
      <c r="AW20">
        <v>4</v>
      </c>
      <c r="AX20" s="12"/>
      <c r="AY20" s="12">
        <v>1</v>
      </c>
      <c r="AZ20" s="12"/>
      <c r="BA20" s="12"/>
      <c r="BB20" s="26"/>
      <c r="BE20" s="12"/>
      <c r="BF20" s="12"/>
      <c r="BG20" s="12"/>
      <c r="BH20" s="12"/>
      <c r="BI20" s="34"/>
      <c r="BL20" s="12"/>
      <c r="BM20" s="12"/>
      <c r="BN20" s="12"/>
      <c r="BO20" s="12"/>
      <c r="BS20" s="12"/>
      <c r="BT20" s="12"/>
      <c r="BU20" s="12"/>
      <c r="BV20" s="12"/>
    </row>
    <row r="21" spans="2:74" outlineLevel="1" x14ac:dyDescent="0.2">
      <c r="B21" t="s">
        <v>28</v>
      </c>
      <c r="C21" t="s">
        <v>58</v>
      </c>
      <c r="E21" s="11"/>
      <c r="F21" t="s">
        <v>75</v>
      </c>
      <c r="G21" s="12">
        <v>0.05</v>
      </c>
      <c r="I21" s="11">
        <f t="shared" si="0"/>
        <v>8</v>
      </c>
      <c r="J21" s="13" cm="1">
        <f t="array" ref="J21">MAX(IF($N$3:$EH$3=$J$3,N21:EH21))</f>
        <v>0</v>
      </c>
      <c r="K21" s="13" cm="1">
        <f t="array" ref="K21">MAX(IF($N$3:$EH$3=$J$3,N21:EH21))</f>
        <v>0</v>
      </c>
      <c r="L21" s="11"/>
      <c r="O21" s="12"/>
      <c r="P21" s="12"/>
      <c r="Q21" s="12"/>
      <c r="R21" s="12"/>
      <c r="V21" s="12"/>
      <c r="W21" s="12"/>
      <c r="X21" s="12"/>
      <c r="Y21" s="12"/>
      <c r="Z21" s="29"/>
      <c r="AC21" s="12"/>
      <c r="AD21" s="12"/>
      <c r="AE21" s="12"/>
      <c r="AF21" s="12"/>
      <c r="AG21" s="29"/>
      <c r="AI21">
        <v>2</v>
      </c>
      <c r="AJ21" s="12"/>
      <c r="AK21" s="12">
        <v>0.5</v>
      </c>
      <c r="AL21" s="12"/>
      <c r="AM21" s="12"/>
      <c r="AP21">
        <v>2</v>
      </c>
      <c r="AQ21" s="12"/>
      <c r="AR21" s="12">
        <v>0.8</v>
      </c>
      <c r="AS21" s="12"/>
      <c r="AT21" s="12"/>
      <c r="AW21">
        <v>4</v>
      </c>
      <c r="AX21" s="12"/>
      <c r="AY21" s="12">
        <v>1</v>
      </c>
      <c r="AZ21" s="12"/>
      <c r="BA21" s="12"/>
      <c r="BB21" s="26"/>
      <c r="BE21" s="12"/>
      <c r="BF21" s="12"/>
      <c r="BG21" s="12"/>
      <c r="BH21" s="12"/>
      <c r="BI21" s="34"/>
      <c r="BL21" s="12"/>
      <c r="BM21" s="12"/>
      <c r="BN21" s="12"/>
      <c r="BO21" s="12"/>
      <c r="BS21" s="12"/>
      <c r="BT21" s="12"/>
      <c r="BU21" s="12"/>
      <c r="BV21" s="12"/>
    </row>
    <row r="22" spans="2:74" outlineLevel="1" x14ac:dyDescent="0.2">
      <c r="B22" t="s">
        <v>28</v>
      </c>
      <c r="C22" t="s">
        <v>58</v>
      </c>
      <c r="E22" s="11"/>
      <c r="F22" t="s">
        <v>76</v>
      </c>
      <c r="G22" s="12">
        <v>0.05</v>
      </c>
      <c r="I22" s="11">
        <f t="shared" si="0"/>
        <v>8</v>
      </c>
      <c r="J22" s="13" cm="1">
        <f t="array" ref="J22">MAX(IF($N$3:$EH$3=$J$3,N22:EH22))</f>
        <v>0</v>
      </c>
      <c r="K22" s="13" cm="1">
        <f t="array" ref="K22">MAX(IF($N$3:$EH$3=$J$3,N22:EH22))</f>
        <v>0</v>
      </c>
      <c r="L22" s="11"/>
      <c r="O22" s="12"/>
      <c r="P22" s="12"/>
      <c r="Q22" s="12"/>
      <c r="R22" s="12"/>
      <c r="V22" s="12"/>
      <c r="W22" s="12"/>
      <c r="X22" s="12"/>
      <c r="Y22" s="12"/>
      <c r="Z22" s="29"/>
      <c r="AC22" s="12"/>
      <c r="AD22" s="12"/>
      <c r="AE22" s="12"/>
      <c r="AF22" s="12"/>
      <c r="AG22" s="29"/>
      <c r="AI22">
        <v>2</v>
      </c>
      <c r="AJ22" s="12"/>
      <c r="AK22" s="12">
        <v>0.5</v>
      </c>
      <c r="AL22" s="12"/>
      <c r="AM22" s="12"/>
      <c r="AP22">
        <v>2</v>
      </c>
      <c r="AQ22" s="12"/>
      <c r="AR22" s="12">
        <v>0.8</v>
      </c>
      <c r="AS22" s="12"/>
      <c r="AT22" s="12"/>
      <c r="AW22">
        <v>4</v>
      </c>
      <c r="AX22" s="12"/>
      <c r="AY22" s="12">
        <v>1</v>
      </c>
      <c r="AZ22" s="12"/>
      <c r="BA22" s="12"/>
      <c r="BB22" s="26"/>
      <c r="BE22" s="12"/>
      <c r="BF22" s="12"/>
      <c r="BG22" s="12"/>
      <c r="BH22" s="12"/>
      <c r="BI22" s="34"/>
      <c r="BL22" s="12"/>
      <c r="BM22" s="12"/>
      <c r="BN22" s="12"/>
      <c r="BO22" s="12"/>
      <c r="BS22" s="12"/>
      <c r="BT22" s="12"/>
      <c r="BU22" s="12"/>
      <c r="BV22" s="12"/>
    </row>
    <row r="23" spans="2:74" outlineLevel="1" x14ac:dyDescent="0.2">
      <c r="B23" t="s">
        <v>28</v>
      </c>
      <c r="C23" t="s">
        <v>58</v>
      </c>
      <c r="E23" s="11"/>
      <c r="F23" t="s">
        <v>77</v>
      </c>
      <c r="G23" s="12">
        <v>0.05</v>
      </c>
      <c r="I23" s="11">
        <f>+SUMIF($N$3:$ZZ$3,I$3,$N23:$ZZ23)</f>
        <v>8</v>
      </c>
      <c r="J23" s="13" cm="1">
        <f t="array" ref="J23">MAX(IF($N$3:$EH$3=$J$3,N23:EH23))</f>
        <v>0</v>
      </c>
      <c r="K23" s="13" cm="1">
        <f t="array" ref="K23">MAX(IF($N$3:$EH$3=$J$3,N23:EH23))</f>
        <v>0</v>
      </c>
      <c r="L23" s="11"/>
      <c r="O23" s="12"/>
      <c r="P23" s="12"/>
      <c r="Q23" s="12"/>
      <c r="R23" s="12"/>
      <c r="V23" s="12"/>
      <c r="W23" s="12"/>
      <c r="X23" s="12"/>
      <c r="Y23" s="12"/>
      <c r="Z23" s="29"/>
      <c r="AC23" s="12"/>
      <c r="AD23" s="12"/>
      <c r="AE23" s="12"/>
      <c r="AF23" s="12"/>
      <c r="AG23" s="29"/>
      <c r="AI23">
        <v>2</v>
      </c>
      <c r="AJ23" s="12"/>
      <c r="AK23" s="12">
        <v>0.5</v>
      </c>
      <c r="AL23" s="12"/>
      <c r="AM23" s="12"/>
      <c r="AP23">
        <v>2</v>
      </c>
      <c r="AQ23" s="12"/>
      <c r="AR23" s="12">
        <v>0.8</v>
      </c>
      <c r="AS23" s="12"/>
      <c r="AT23" s="12"/>
      <c r="AW23">
        <v>4</v>
      </c>
      <c r="AX23" s="12"/>
      <c r="AY23" s="12">
        <v>1</v>
      </c>
      <c r="AZ23" s="12"/>
      <c r="BA23" s="12"/>
      <c r="BB23" s="26"/>
      <c r="BE23" s="12"/>
      <c r="BF23" s="12"/>
      <c r="BG23" s="12"/>
      <c r="BH23" s="12"/>
      <c r="BI23" s="34"/>
      <c r="BL23" s="12"/>
      <c r="BM23" s="12"/>
      <c r="BN23" s="12"/>
      <c r="BO23" s="12"/>
      <c r="BS23" s="12"/>
      <c r="BT23" s="12"/>
      <c r="BU23" s="12"/>
      <c r="BV23" s="12"/>
    </row>
    <row r="24" spans="2:74" outlineLevel="1" x14ac:dyDescent="0.2">
      <c r="B24" t="s">
        <v>28</v>
      </c>
      <c r="C24" t="s">
        <v>58</v>
      </c>
      <c r="E24" s="11"/>
      <c r="F24" t="s">
        <v>78</v>
      </c>
      <c r="G24" s="12">
        <v>0.05</v>
      </c>
      <c r="I24" s="11">
        <f>+SUMIF($N$3:$ZZ$3,I$3,$N24:$ZZ24)</f>
        <v>8</v>
      </c>
      <c r="J24" s="13" cm="1">
        <f t="array" ref="J24">MAX(IF($N$3:$EH$3=$J$3,N24:EH24))</f>
        <v>0</v>
      </c>
      <c r="K24" s="13" cm="1">
        <f t="array" ref="K24">MAX(IF($N$3:$EH$3=$J$3,N24:EH24))</f>
        <v>0</v>
      </c>
      <c r="L24" s="11"/>
      <c r="O24" s="12"/>
      <c r="P24" s="12"/>
      <c r="Q24" s="12"/>
      <c r="R24" s="12"/>
      <c r="V24" s="12"/>
      <c r="W24" s="12"/>
      <c r="X24" s="12"/>
      <c r="Y24" s="12"/>
      <c r="Z24" s="29"/>
      <c r="AC24" s="12"/>
      <c r="AD24" s="12"/>
      <c r="AE24" s="12"/>
      <c r="AF24" s="12"/>
      <c r="AG24" s="29"/>
      <c r="AI24">
        <v>2</v>
      </c>
      <c r="AJ24" s="12"/>
      <c r="AK24" s="12">
        <v>0.5</v>
      </c>
      <c r="AL24" s="12"/>
      <c r="AM24" s="12"/>
      <c r="AP24">
        <v>2</v>
      </c>
      <c r="AQ24" s="12"/>
      <c r="AR24" s="12">
        <v>0.8</v>
      </c>
      <c r="AS24" s="12"/>
      <c r="AT24" s="12"/>
      <c r="AW24">
        <v>4</v>
      </c>
      <c r="AX24" s="12"/>
      <c r="AY24" s="12">
        <v>1</v>
      </c>
      <c r="AZ24" s="12"/>
      <c r="BA24" s="12"/>
      <c r="BE24" s="12"/>
      <c r="BF24" s="12"/>
      <c r="BG24" s="12"/>
      <c r="BH24" s="12"/>
      <c r="BI24" s="34"/>
      <c r="BL24" s="12"/>
      <c r="BM24" s="12"/>
      <c r="BN24" s="12"/>
      <c r="BO24" s="12"/>
      <c r="BS24" s="12"/>
      <c r="BT24" s="12"/>
      <c r="BU24" s="12"/>
      <c r="BV24" s="12"/>
    </row>
    <row r="25" spans="2:74" x14ac:dyDescent="0.2">
      <c r="O25" s="9"/>
      <c r="V25" s="9"/>
      <c r="AC25" s="9"/>
      <c r="AJ25" s="9"/>
      <c r="AQ25" s="9"/>
      <c r="AX25" s="9"/>
      <c r="BE25" s="9"/>
      <c r="BL25" s="9"/>
      <c r="BS25" s="9"/>
    </row>
    <row r="26" spans="2:74" s="17" customFormat="1" x14ac:dyDescent="0.2">
      <c r="B26" s="17" t="s">
        <v>27</v>
      </c>
      <c r="C26" s="17" t="s">
        <v>49</v>
      </c>
      <c r="D26" s="18">
        <v>44742</v>
      </c>
      <c r="E26" s="19">
        <v>4</v>
      </c>
      <c r="G26" s="20">
        <f>SUM(G27:G31)</f>
        <v>1</v>
      </c>
      <c r="I26" s="21">
        <f>+SUM(I27:I31)</f>
        <v>34</v>
      </c>
      <c r="J26" s="22">
        <f>+SUMPRODUCT(G27:G31,J27:J31)</f>
        <v>0</v>
      </c>
      <c r="K26" s="22">
        <f>+SUMPRODUCT(G27:G31,K27:K31)</f>
        <v>0</v>
      </c>
      <c r="L26" s="19"/>
      <c r="N26" s="21">
        <f>+SUM(N27:N31)</f>
        <v>0</v>
      </c>
      <c r="U26" s="21">
        <f>+SUM(U27:U31)</f>
        <v>2</v>
      </c>
      <c r="AB26" s="21">
        <f>+SUM(AB27:AB31)</f>
        <v>3</v>
      </c>
      <c r="AI26" s="21">
        <f>+SUM(AI27:AI31)</f>
        <v>4</v>
      </c>
      <c r="AP26" s="21">
        <f>+SUM(AP27:AP31)</f>
        <v>9</v>
      </c>
      <c r="AW26" s="17">
        <f>SUM(AW27:AW31)</f>
        <v>12</v>
      </c>
      <c r="BD26" s="17">
        <f>SUM(BD27:BD31)</f>
        <v>4</v>
      </c>
    </row>
    <row r="27" spans="2:74" ht="16" customHeight="1" outlineLevel="1" x14ac:dyDescent="0.2">
      <c r="B27" t="s">
        <v>28</v>
      </c>
      <c r="C27" t="s">
        <v>49</v>
      </c>
      <c r="E27" s="11"/>
      <c r="F27" t="s">
        <v>52</v>
      </c>
      <c r="G27" s="12">
        <v>0.2</v>
      </c>
      <c r="I27" s="11">
        <f t="shared" ref="I27:I31" si="1">+SUMIF($N$3:$ZZ$3,I$3,$N27:$ZZ27)</f>
        <v>7</v>
      </c>
      <c r="J27" s="13" cm="1">
        <f t="array" ref="J27">MAX(IF($N$3:$EH$3=$J$3,N27:EH27))</f>
        <v>0</v>
      </c>
      <c r="K27" s="13" cm="1">
        <f t="array" ref="K27">MAX(IF($N$3:$EH$3=$J$3,N27:EH27))</f>
        <v>0</v>
      </c>
      <c r="L27" s="11"/>
      <c r="O27" s="12"/>
      <c r="P27" s="12"/>
      <c r="Q27" s="12"/>
      <c r="R27" s="12"/>
      <c r="U27">
        <v>1</v>
      </c>
      <c r="V27" s="12"/>
      <c r="W27" s="12">
        <v>0.1</v>
      </c>
      <c r="X27" s="12"/>
      <c r="Y27" s="12">
        <v>0.1</v>
      </c>
      <c r="Z27" s="31" t="s">
        <v>100</v>
      </c>
      <c r="AB27">
        <v>1</v>
      </c>
      <c r="AC27" s="12"/>
      <c r="AD27" s="12">
        <v>0.3</v>
      </c>
      <c r="AE27" s="12"/>
      <c r="AF27" s="12">
        <v>0.3</v>
      </c>
      <c r="AG27" s="31" t="s">
        <v>99</v>
      </c>
      <c r="AI27">
        <v>1</v>
      </c>
      <c r="AJ27" s="12"/>
      <c r="AK27" s="12">
        <v>0.5</v>
      </c>
      <c r="AL27" s="12"/>
      <c r="AM27" s="12">
        <v>0.5</v>
      </c>
      <c r="AP27">
        <v>2</v>
      </c>
      <c r="AQ27" s="12"/>
      <c r="AR27" s="12">
        <v>0.8</v>
      </c>
      <c r="AS27" s="12"/>
      <c r="AT27" s="12">
        <v>0.8</v>
      </c>
      <c r="AW27">
        <v>2</v>
      </c>
      <c r="AX27" s="12"/>
      <c r="AY27" s="12">
        <v>1</v>
      </c>
      <c r="AZ27" s="12"/>
      <c r="BA27" s="12">
        <v>1</v>
      </c>
      <c r="BE27" s="12"/>
      <c r="BF27" s="12">
        <v>1</v>
      </c>
      <c r="BG27" s="12"/>
      <c r="BH27" s="12">
        <v>1</v>
      </c>
      <c r="BI27" s="25" t="s">
        <v>108</v>
      </c>
      <c r="BL27" s="12"/>
      <c r="BM27" s="12"/>
      <c r="BN27" s="12"/>
      <c r="BO27" s="12"/>
      <c r="BS27" s="12"/>
      <c r="BT27" s="12"/>
      <c r="BU27" s="12"/>
      <c r="BV27" s="12"/>
    </row>
    <row r="28" spans="2:74" outlineLevel="1" x14ac:dyDescent="0.2">
      <c r="B28" t="s">
        <v>28</v>
      </c>
      <c r="C28" t="s">
        <v>49</v>
      </c>
      <c r="E28" s="11"/>
      <c r="F28" t="s">
        <v>53</v>
      </c>
      <c r="G28" s="12">
        <v>0.2</v>
      </c>
      <c r="I28" s="11">
        <f t="shared" si="1"/>
        <v>7</v>
      </c>
      <c r="J28" s="13" cm="1">
        <f t="array" ref="J28">MAX(IF($N$3:$EH$3=$J$3,N28:EH28))</f>
        <v>0</v>
      </c>
      <c r="K28" s="13" cm="1">
        <f t="array" ref="K28">MAX(IF($N$3:$EH$3=$J$3,N28:EH28))</f>
        <v>0</v>
      </c>
      <c r="L28" s="11"/>
      <c r="O28" s="12"/>
      <c r="P28" s="12"/>
      <c r="Q28" s="12"/>
      <c r="R28" s="12"/>
      <c r="U28">
        <v>1</v>
      </c>
      <c r="V28" s="12"/>
      <c r="W28" s="12">
        <v>0.1</v>
      </c>
      <c r="X28" s="12"/>
      <c r="Y28" s="12">
        <v>0.1</v>
      </c>
      <c r="Z28" s="31"/>
      <c r="AB28">
        <v>1</v>
      </c>
      <c r="AC28" s="12"/>
      <c r="AD28" s="12">
        <v>0.3</v>
      </c>
      <c r="AE28" s="12"/>
      <c r="AF28" s="12">
        <v>0.3</v>
      </c>
      <c r="AG28" s="31"/>
      <c r="AI28">
        <v>1</v>
      </c>
      <c r="AJ28" s="12"/>
      <c r="AK28" s="12">
        <v>0.5</v>
      </c>
      <c r="AL28" s="12"/>
      <c r="AM28" s="12">
        <v>0.5</v>
      </c>
      <c r="AP28">
        <v>2</v>
      </c>
      <c r="AQ28" s="12"/>
      <c r="AR28" s="12">
        <v>0.8</v>
      </c>
      <c r="AS28" s="12"/>
      <c r="AT28" s="12">
        <v>0.8</v>
      </c>
      <c r="AW28">
        <v>2</v>
      </c>
      <c r="AX28" s="12"/>
      <c r="AY28" s="12">
        <v>1</v>
      </c>
      <c r="AZ28" s="12"/>
      <c r="BA28" s="12">
        <v>1</v>
      </c>
      <c r="BE28" s="12"/>
      <c r="BF28" s="12">
        <v>1</v>
      </c>
      <c r="BG28" s="12"/>
      <c r="BH28" s="12">
        <v>1</v>
      </c>
      <c r="BI28" s="25"/>
      <c r="BL28" s="12"/>
      <c r="BM28" s="12"/>
      <c r="BN28" s="12"/>
      <c r="BO28" s="12"/>
      <c r="BS28" s="12"/>
      <c r="BT28" s="12"/>
      <c r="BU28" s="12"/>
      <c r="BV28" s="12"/>
    </row>
    <row r="29" spans="2:74" outlineLevel="1" x14ac:dyDescent="0.2">
      <c r="B29" t="s">
        <v>28</v>
      </c>
      <c r="C29" t="s">
        <v>49</v>
      </c>
      <c r="E29" s="11"/>
      <c r="F29" t="s">
        <v>54</v>
      </c>
      <c r="G29" s="12">
        <v>0.2</v>
      </c>
      <c r="I29" s="11">
        <f t="shared" si="1"/>
        <v>8</v>
      </c>
      <c r="J29" s="13" cm="1">
        <f t="array" ref="J29">MAX(IF($N$3:$EH$3=$J$3,N29:EH29))</f>
        <v>0</v>
      </c>
      <c r="K29" s="13" cm="1">
        <f t="array" ref="K29">MAX(IF($N$3:$EH$3=$J$3,N29:EH29))</f>
        <v>0</v>
      </c>
      <c r="L29" s="11"/>
      <c r="O29" s="12"/>
      <c r="P29" s="12"/>
      <c r="Q29" s="12"/>
      <c r="R29" s="12"/>
      <c r="V29" s="12"/>
      <c r="W29" s="12"/>
      <c r="X29" s="12"/>
      <c r="Y29" s="12"/>
      <c r="Z29" s="31"/>
      <c r="AB29">
        <v>1</v>
      </c>
      <c r="AC29" s="12"/>
      <c r="AD29" s="12">
        <v>0.1</v>
      </c>
      <c r="AE29" s="12"/>
      <c r="AF29" s="12">
        <v>0.1</v>
      </c>
      <c r="AG29" s="31"/>
      <c r="AI29">
        <v>1</v>
      </c>
      <c r="AJ29" s="12"/>
      <c r="AK29" s="12">
        <v>0.3</v>
      </c>
      <c r="AL29" s="12"/>
      <c r="AM29" s="12">
        <v>0.3</v>
      </c>
      <c r="AP29">
        <v>2</v>
      </c>
      <c r="AQ29" s="12"/>
      <c r="AR29" s="12">
        <v>0.5</v>
      </c>
      <c r="AS29" s="12"/>
      <c r="AT29" s="12">
        <v>0.5</v>
      </c>
      <c r="AW29">
        <v>4</v>
      </c>
      <c r="AX29" s="12"/>
      <c r="AY29" s="12">
        <v>1</v>
      </c>
      <c r="AZ29" s="12"/>
      <c r="BA29" s="12">
        <v>1</v>
      </c>
      <c r="BE29" s="12"/>
      <c r="BF29" s="12">
        <v>1</v>
      </c>
      <c r="BG29" s="12"/>
      <c r="BH29" s="12">
        <v>1</v>
      </c>
      <c r="BI29" s="25"/>
      <c r="BL29" s="12"/>
      <c r="BM29" s="12"/>
      <c r="BN29" s="12"/>
      <c r="BO29" s="12"/>
      <c r="BS29" s="12"/>
      <c r="BT29" s="12"/>
      <c r="BU29" s="12"/>
      <c r="BV29" s="12"/>
    </row>
    <row r="30" spans="2:74" outlineLevel="1" x14ac:dyDescent="0.2">
      <c r="B30" t="s">
        <v>28</v>
      </c>
      <c r="C30" t="s">
        <v>49</v>
      </c>
      <c r="E30" s="11"/>
      <c r="F30" t="s">
        <v>55</v>
      </c>
      <c r="G30" s="12">
        <v>0.2</v>
      </c>
      <c r="I30" s="11">
        <f t="shared" si="1"/>
        <v>6</v>
      </c>
      <c r="J30" s="13" cm="1">
        <f t="array" ref="J30">MAX(IF($N$3:$EH$3=$J$3,N30:EH30))</f>
        <v>0</v>
      </c>
      <c r="K30" s="13" cm="1">
        <f t="array" ref="K30">MAX(IF($N$3:$EH$3=$J$3,N30:EH30))</f>
        <v>0</v>
      </c>
      <c r="L30" s="11"/>
      <c r="O30" s="12"/>
      <c r="P30" s="12"/>
      <c r="Q30" s="12"/>
      <c r="R30" s="12"/>
      <c r="V30" s="12"/>
      <c r="W30" s="12"/>
      <c r="X30" s="12"/>
      <c r="Y30" s="12"/>
      <c r="Z30" s="31"/>
      <c r="AC30" s="12"/>
      <c r="AD30" s="12"/>
      <c r="AE30" s="12"/>
      <c r="AF30" s="12"/>
      <c r="AG30" s="31"/>
      <c r="AI30">
        <v>1</v>
      </c>
      <c r="AJ30" s="12"/>
      <c r="AK30" s="12">
        <v>0.3</v>
      </c>
      <c r="AL30" s="12"/>
      <c r="AM30" s="12">
        <v>0.3</v>
      </c>
      <c r="AP30">
        <v>1</v>
      </c>
      <c r="AQ30" s="12"/>
      <c r="AR30" s="12">
        <v>0.5</v>
      </c>
      <c r="AS30" s="12"/>
      <c r="AT30" s="12">
        <v>0.5</v>
      </c>
      <c r="AW30">
        <v>2</v>
      </c>
      <c r="AX30" s="12"/>
      <c r="AY30" s="12">
        <v>0.8</v>
      </c>
      <c r="AZ30" s="12"/>
      <c r="BA30" s="12">
        <v>0.8</v>
      </c>
      <c r="BD30">
        <v>2</v>
      </c>
      <c r="BE30" s="12"/>
      <c r="BF30" s="12">
        <v>1</v>
      </c>
      <c r="BG30" s="12"/>
      <c r="BH30" s="12">
        <v>1</v>
      </c>
      <c r="BI30" s="25"/>
      <c r="BL30" s="12"/>
      <c r="BM30" s="12"/>
      <c r="BN30" s="12"/>
      <c r="BO30" s="12"/>
      <c r="BS30" s="12"/>
      <c r="BT30" s="12"/>
      <c r="BU30" s="12"/>
      <c r="BV30" s="12"/>
    </row>
    <row r="31" spans="2:74" outlineLevel="1" x14ac:dyDescent="0.2">
      <c r="B31" t="s">
        <v>28</v>
      </c>
      <c r="C31" t="s">
        <v>49</v>
      </c>
      <c r="E31" s="11"/>
      <c r="F31" t="s">
        <v>56</v>
      </c>
      <c r="G31" s="12">
        <v>0.2</v>
      </c>
      <c r="I31" s="11">
        <f t="shared" si="1"/>
        <v>6</v>
      </c>
      <c r="J31" s="13" cm="1">
        <f t="array" ref="J31">MAX(IF($N$3:$EH$3=$J$3,N31:EH31))</f>
        <v>0</v>
      </c>
      <c r="K31" s="13" cm="1">
        <f t="array" ref="K31">MAX(IF($N$3:$EH$3=$J$3,N31:EH31))</f>
        <v>0</v>
      </c>
      <c r="L31" s="11"/>
      <c r="O31" s="12"/>
      <c r="P31" s="12"/>
      <c r="Q31" s="12"/>
      <c r="R31" s="12"/>
      <c r="V31" s="12"/>
      <c r="W31" s="12"/>
      <c r="X31" s="12"/>
      <c r="Y31" s="12"/>
      <c r="Z31" s="31"/>
      <c r="AC31" s="12"/>
      <c r="AD31" s="12"/>
      <c r="AE31" s="12"/>
      <c r="AF31" s="12"/>
      <c r="AG31" s="31"/>
      <c r="AJ31" s="12"/>
      <c r="AK31" s="12"/>
      <c r="AL31" s="12"/>
      <c r="AM31" s="12"/>
      <c r="AP31">
        <v>2</v>
      </c>
      <c r="AQ31" s="12"/>
      <c r="AR31" s="12">
        <v>0.5</v>
      </c>
      <c r="AS31" s="12"/>
      <c r="AT31" s="12">
        <v>0.5</v>
      </c>
      <c r="AW31">
        <v>2</v>
      </c>
      <c r="AX31" s="12"/>
      <c r="AY31" s="12">
        <v>0.8</v>
      </c>
      <c r="AZ31" s="12"/>
      <c r="BA31" s="12">
        <v>0.8</v>
      </c>
      <c r="BD31">
        <v>2</v>
      </c>
      <c r="BE31" s="12"/>
      <c r="BF31" s="12">
        <v>1</v>
      </c>
      <c r="BG31" s="12"/>
      <c r="BH31" s="12">
        <v>1</v>
      </c>
      <c r="BI31" s="25"/>
      <c r="BL31" s="12"/>
      <c r="BM31" s="12"/>
      <c r="BN31" s="12"/>
      <c r="BO31" s="12"/>
      <c r="BS31" s="12"/>
      <c r="BT31" s="12"/>
      <c r="BU31" s="12"/>
      <c r="BV31" s="12"/>
    </row>
    <row r="33" spans="2:75" s="17" customFormat="1" x14ac:dyDescent="0.2">
      <c r="B33" s="17" t="s">
        <v>27</v>
      </c>
      <c r="C33" s="17" t="s">
        <v>51</v>
      </c>
      <c r="D33" s="18">
        <v>44746</v>
      </c>
      <c r="E33" s="19">
        <v>8</v>
      </c>
      <c r="G33" s="20">
        <f>SUM(G34:G44)</f>
        <v>0.99999999999999989</v>
      </c>
      <c r="I33" s="21">
        <f>+SUM(I34:I44)</f>
        <v>61</v>
      </c>
      <c r="J33" s="22">
        <f>+SUMPRODUCT(G34:G44,J34:J44)</f>
        <v>0.19000000000000003</v>
      </c>
      <c r="K33" s="22">
        <f>+SUMPRODUCT(G34:G44,K34:K44)</f>
        <v>0.19000000000000003</v>
      </c>
      <c r="L33" s="19"/>
      <c r="N33" s="21">
        <f>+SUM(N34:N44)</f>
        <v>0</v>
      </c>
      <c r="U33" s="21">
        <f>+SUM(U34:U44)</f>
        <v>6</v>
      </c>
      <c r="AB33" s="21">
        <f>+SUM(AB34:AB44)</f>
        <v>23</v>
      </c>
      <c r="AI33" s="21">
        <f>+SUM(AI34:AI44)</f>
        <v>10</v>
      </c>
      <c r="AP33" s="21">
        <f>+SUM(AP34:AP44)</f>
        <v>2</v>
      </c>
      <c r="AW33" s="17">
        <f>SUM(AW34:AW44)</f>
        <v>6</v>
      </c>
      <c r="BD33" s="17">
        <f>SUM(BD34:BD44)</f>
        <v>8</v>
      </c>
      <c r="BK33" s="17">
        <f>SUM(BK34:BK44)</f>
        <v>6</v>
      </c>
    </row>
    <row r="34" spans="2:75" ht="16" customHeight="1" outlineLevel="1" x14ac:dyDescent="0.2">
      <c r="B34" t="s">
        <v>28</v>
      </c>
      <c r="C34" t="s">
        <v>51</v>
      </c>
      <c r="E34" s="11"/>
      <c r="F34" t="s">
        <v>79</v>
      </c>
      <c r="G34" s="12">
        <v>0.05</v>
      </c>
      <c r="I34" s="11">
        <f t="shared" ref="I34:I44" si="2">+SUMIF($N$3:$ZZ$3,I$3,$N34:$ZZ34)</f>
        <v>5</v>
      </c>
      <c r="J34" s="13" cm="1">
        <f t="array" ref="J34">MAX(IF($N$3:$EH$3=$J$3,N34:EH34))</f>
        <v>0.5</v>
      </c>
      <c r="K34" s="13" cm="1">
        <f t="array" ref="K34">MAX(IF($N$3:$EH$3=$J$3,N34:EH34))</f>
        <v>0.5</v>
      </c>
      <c r="L34" s="11"/>
      <c r="O34" s="12"/>
      <c r="P34" s="12"/>
      <c r="Q34" s="12"/>
      <c r="R34" s="12"/>
      <c r="U34">
        <v>1</v>
      </c>
      <c r="V34" s="12">
        <v>0.5</v>
      </c>
      <c r="W34" s="12">
        <v>0.5</v>
      </c>
      <c r="X34" s="12"/>
      <c r="Y34" s="12"/>
      <c r="Z34" s="30" t="s">
        <v>100</v>
      </c>
      <c r="AB34">
        <v>4</v>
      </c>
      <c r="AC34" s="12"/>
      <c r="AD34" s="12">
        <v>1</v>
      </c>
      <c r="AE34" s="12"/>
      <c r="AF34" s="12"/>
      <c r="AG34" s="30" t="s">
        <v>99</v>
      </c>
      <c r="AJ34" s="12"/>
      <c r="AK34" s="12">
        <v>1</v>
      </c>
      <c r="AL34" s="12"/>
      <c r="AM34" s="12"/>
      <c r="AQ34" s="12"/>
      <c r="AR34" s="12">
        <v>1</v>
      </c>
      <c r="AS34" s="12"/>
      <c r="AT34" s="12"/>
      <c r="AX34" s="12"/>
      <c r="AY34" s="12">
        <v>1</v>
      </c>
      <c r="AZ34" s="12"/>
      <c r="BA34" s="12"/>
      <c r="BE34" s="12"/>
      <c r="BF34" s="12">
        <v>1</v>
      </c>
      <c r="BG34" s="12"/>
      <c r="BH34" s="12"/>
      <c r="BL34" s="12"/>
      <c r="BM34" s="12">
        <v>1</v>
      </c>
      <c r="BN34" s="12"/>
      <c r="BO34" s="12"/>
      <c r="BP34" s="28" t="s">
        <v>109</v>
      </c>
      <c r="BS34" s="12"/>
      <c r="BT34" s="12"/>
      <c r="BU34" s="12"/>
      <c r="BV34" s="12"/>
    </row>
    <row r="35" spans="2:75" outlineLevel="1" x14ac:dyDescent="0.2">
      <c r="B35" t="s">
        <v>28</v>
      </c>
      <c r="C35" t="s">
        <v>51</v>
      </c>
      <c r="E35" s="11"/>
      <c r="F35" t="s">
        <v>81</v>
      </c>
      <c r="G35" s="12">
        <v>0.05</v>
      </c>
      <c r="I35" s="11">
        <f t="shared" si="2"/>
        <v>5</v>
      </c>
      <c r="J35" s="13" cm="1">
        <f t="array" ref="J35">MAX(IF($N$3:$EH$3=$J$3,N35:EH35))</f>
        <v>0.5</v>
      </c>
      <c r="K35" s="13" cm="1">
        <f t="array" ref="K35">MAX(IF($N$3:$EH$3=$J$3,N35:EH35))</f>
        <v>0.5</v>
      </c>
      <c r="L35" s="11"/>
      <c r="O35" s="12"/>
      <c r="P35" s="12"/>
      <c r="Q35" s="12"/>
      <c r="R35" s="12"/>
      <c r="U35">
        <v>1</v>
      </c>
      <c r="V35" s="12">
        <v>0.5</v>
      </c>
      <c r="W35" s="12">
        <v>0.5</v>
      </c>
      <c r="X35" s="12"/>
      <c r="Y35" s="12"/>
      <c r="Z35" s="30"/>
      <c r="AB35">
        <v>4</v>
      </c>
      <c r="AC35" s="12"/>
      <c r="AD35" s="12">
        <v>1</v>
      </c>
      <c r="AE35" s="12"/>
      <c r="AF35" s="12"/>
      <c r="AG35" s="30"/>
      <c r="AJ35" s="12"/>
      <c r="AK35" s="12">
        <v>1</v>
      </c>
      <c r="AL35" s="12"/>
      <c r="AM35" s="12"/>
      <c r="AQ35" s="12"/>
      <c r="AR35" s="12">
        <v>1</v>
      </c>
      <c r="AS35" s="12"/>
      <c r="AT35" s="12"/>
      <c r="AX35" s="12"/>
      <c r="AY35" s="12">
        <v>1</v>
      </c>
      <c r="AZ35" s="12"/>
      <c r="BA35" s="12"/>
      <c r="BE35" s="12"/>
      <c r="BF35" s="12">
        <v>1</v>
      </c>
      <c r="BG35" s="12"/>
      <c r="BH35" s="12"/>
      <c r="BL35" s="12"/>
      <c r="BM35" s="12">
        <v>1</v>
      </c>
      <c r="BN35" s="12"/>
      <c r="BO35" s="12"/>
      <c r="BP35" s="28"/>
      <c r="BS35" s="12"/>
      <c r="BT35" s="12"/>
      <c r="BU35" s="12"/>
      <c r="BV35" s="12"/>
    </row>
    <row r="36" spans="2:75" outlineLevel="1" x14ac:dyDescent="0.2">
      <c r="B36" t="s">
        <v>28</v>
      </c>
      <c r="C36" t="s">
        <v>51</v>
      </c>
      <c r="E36" s="11"/>
      <c r="F36" t="s">
        <v>80</v>
      </c>
      <c r="G36" s="12">
        <v>0.1</v>
      </c>
      <c r="I36" s="11">
        <f t="shared" si="2"/>
        <v>5</v>
      </c>
      <c r="J36" s="13" cm="1">
        <f t="array" ref="J36">MAX(IF($N$3:$EH$3=$J$3,N36:EH36))</f>
        <v>0.5</v>
      </c>
      <c r="K36" s="13" cm="1">
        <f t="array" ref="K36">MAX(IF($N$3:$EH$3=$J$3,N36:EH36))</f>
        <v>0.5</v>
      </c>
      <c r="L36" s="11"/>
      <c r="O36" s="12"/>
      <c r="P36" s="12"/>
      <c r="Q36" s="12"/>
      <c r="R36" s="12"/>
      <c r="U36">
        <v>1</v>
      </c>
      <c r="V36" s="12">
        <v>0.5</v>
      </c>
      <c r="W36" s="12">
        <v>0.5</v>
      </c>
      <c r="X36" s="12"/>
      <c r="Y36" s="12"/>
      <c r="Z36" s="30"/>
      <c r="AB36">
        <v>4</v>
      </c>
      <c r="AC36" s="12"/>
      <c r="AD36" s="12">
        <v>1</v>
      </c>
      <c r="AE36" s="12"/>
      <c r="AF36" s="12"/>
      <c r="AG36" s="30"/>
      <c r="AJ36" s="12"/>
      <c r="AK36" s="12">
        <v>1</v>
      </c>
      <c r="AL36" s="12"/>
      <c r="AM36" s="12"/>
      <c r="AQ36" s="12"/>
      <c r="AR36" s="12">
        <v>1</v>
      </c>
      <c r="AS36" s="12"/>
      <c r="AT36" s="12"/>
      <c r="AX36" s="12"/>
      <c r="AY36" s="12">
        <v>1</v>
      </c>
      <c r="AZ36" s="12"/>
      <c r="BA36" s="12"/>
      <c r="BE36" s="12"/>
      <c r="BF36" s="12">
        <v>1</v>
      </c>
      <c r="BG36" s="12"/>
      <c r="BH36" s="12"/>
      <c r="BL36" s="12"/>
      <c r="BM36" s="12">
        <v>1</v>
      </c>
      <c r="BN36" s="12"/>
      <c r="BO36" s="12"/>
      <c r="BP36" s="28"/>
      <c r="BS36" s="12"/>
      <c r="BT36" s="12"/>
      <c r="BU36" s="12"/>
      <c r="BV36" s="12"/>
    </row>
    <row r="37" spans="2:75" outlineLevel="1" x14ac:dyDescent="0.2">
      <c r="B37" t="s">
        <v>28</v>
      </c>
      <c r="C37" t="s">
        <v>51</v>
      </c>
      <c r="E37" s="11"/>
      <c r="F37" t="s">
        <v>82</v>
      </c>
      <c r="G37" s="12">
        <v>0.1</v>
      </c>
      <c r="I37" s="11">
        <f t="shared" si="2"/>
        <v>5</v>
      </c>
      <c r="J37" s="13" cm="1">
        <f t="array" ref="J37">MAX(IF($N$3:$EH$3=$J$3,N37:EH37))</f>
        <v>0.5</v>
      </c>
      <c r="K37" s="13" cm="1">
        <f t="array" ref="K37">MAX(IF($N$3:$EH$3=$J$3,N37:EH37))</f>
        <v>0.5</v>
      </c>
      <c r="L37" s="11"/>
      <c r="O37" s="12"/>
      <c r="P37" s="12"/>
      <c r="Q37" s="12"/>
      <c r="R37" s="12"/>
      <c r="U37">
        <v>1</v>
      </c>
      <c r="V37" s="12">
        <v>0.5</v>
      </c>
      <c r="W37" s="12">
        <v>0.5</v>
      </c>
      <c r="X37" s="12"/>
      <c r="Y37" s="12"/>
      <c r="Z37" s="30"/>
      <c r="AB37">
        <v>4</v>
      </c>
      <c r="AC37" s="12"/>
      <c r="AD37" s="12">
        <v>1</v>
      </c>
      <c r="AE37" s="12"/>
      <c r="AF37" s="12"/>
      <c r="AG37" s="30"/>
      <c r="AJ37" s="12"/>
      <c r="AK37" s="12">
        <v>1</v>
      </c>
      <c r="AL37" s="12"/>
      <c r="AM37" s="12"/>
      <c r="AQ37" s="12"/>
      <c r="AR37" s="12">
        <v>1</v>
      </c>
      <c r="AS37" s="12"/>
      <c r="AT37" s="12"/>
      <c r="AX37" s="12"/>
      <c r="AY37" s="12">
        <v>1</v>
      </c>
      <c r="AZ37" s="12"/>
      <c r="BA37" s="12"/>
      <c r="BE37" s="12"/>
      <c r="BF37" s="12">
        <v>1</v>
      </c>
      <c r="BG37" s="12"/>
      <c r="BH37" s="12"/>
      <c r="BL37" s="12"/>
      <c r="BM37" s="12">
        <v>1</v>
      </c>
      <c r="BN37" s="12"/>
      <c r="BO37" s="12"/>
      <c r="BP37" s="28"/>
      <c r="BS37" s="12"/>
      <c r="BT37" s="12"/>
      <c r="BU37" s="12"/>
      <c r="BV37" s="12"/>
    </row>
    <row r="38" spans="2:75" outlineLevel="1" x14ac:dyDescent="0.2">
      <c r="B38" t="s">
        <v>28</v>
      </c>
      <c r="C38" t="s">
        <v>51</v>
      </c>
      <c r="E38" s="11"/>
      <c r="F38" t="s">
        <v>83</v>
      </c>
      <c r="G38" s="12">
        <v>0.1</v>
      </c>
      <c r="I38" s="11">
        <f t="shared" si="2"/>
        <v>6</v>
      </c>
      <c r="J38" s="13" cm="1">
        <f t="array" ref="J38">MAX(IF($N$3:$EH$3=$J$3,N38:EH38))</f>
        <v>0.3</v>
      </c>
      <c r="K38" s="13" cm="1">
        <f t="array" ref="K38">MAX(IF($N$3:$EH$3=$J$3,N38:EH38))</f>
        <v>0.3</v>
      </c>
      <c r="L38" s="11"/>
      <c r="O38" s="12"/>
      <c r="P38" s="12"/>
      <c r="Q38" s="12"/>
      <c r="R38" s="12"/>
      <c r="U38">
        <v>1</v>
      </c>
      <c r="V38" s="12">
        <v>0.3</v>
      </c>
      <c r="W38" s="12">
        <v>0.3</v>
      </c>
      <c r="X38" s="12"/>
      <c r="Y38" s="12"/>
      <c r="Z38" s="30"/>
      <c r="AB38">
        <v>1</v>
      </c>
      <c r="AC38" s="12"/>
      <c r="AD38" s="12">
        <v>0.5</v>
      </c>
      <c r="AE38" s="12"/>
      <c r="AF38" s="12"/>
      <c r="AG38" s="30"/>
      <c r="AI38">
        <v>2</v>
      </c>
      <c r="AJ38" s="12"/>
      <c r="AK38" s="12">
        <v>0.8</v>
      </c>
      <c r="AL38" s="12"/>
      <c r="AM38" s="12"/>
      <c r="AQ38" s="12"/>
      <c r="AR38" s="12">
        <v>0.8</v>
      </c>
      <c r="AS38" s="12"/>
      <c r="AT38" s="12"/>
      <c r="AX38" s="12"/>
      <c r="AY38" s="12">
        <v>0.8</v>
      </c>
      <c r="AZ38" s="12"/>
      <c r="BA38" s="12"/>
      <c r="BD38">
        <v>2</v>
      </c>
      <c r="BE38" s="12"/>
      <c r="BF38" s="12">
        <v>1</v>
      </c>
      <c r="BG38" s="12"/>
      <c r="BH38" s="12"/>
      <c r="BL38" s="12"/>
      <c r="BM38" s="12">
        <v>1</v>
      </c>
      <c r="BN38" s="12"/>
      <c r="BO38" s="12"/>
      <c r="BP38" s="28"/>
      <c r="BS38" s="12"/>
      <c r="BT38" s="12"/>
      <c r="BU38" s="12"/>
      <c r="BV38" s="12"/>
    </row>
    <row r="39" spans="2:75" outlineLevel="1" x14ac:dyDescent="0.2">
      <c r="B39" t="s">
        <v>28</v>
      </c>
      <c r="C39" t="s">
        <v>51</v>
      </c>
      <c r="E39" s="11"/>
      <c r="F39" t="s">
        <v>84</v>
      </c>
      <c r="G39" s="12">
        <v>0.1</v>
      </c>
      <c r="I39" s="11">
        <f t="shared" si="2"/>
        <v>7</v>
      </c>
      <c r="J39" s="13" cm="1">
        <f t="array" ref="J39">MAX(IF($N$3:$EH$3=$J$3,N39:EH39))</f>
        <v>0.1</v>
      </c>
      <c r="K39" s="13" cm="1">
        <f t="array" ref="K39">MAX(IF($N$3:$EH$3=$J$3,N39:EH39))</f>
        <v>0.1</v>
      </c>
      <c r="L39" s="11"/>
      <c r="O39" s="12"/>
      <c r="P39" s="12"/>
      <c r="Q39" s="12"/>
      <c r="R39" s="12"/>
      <c r="U39">
        <v>1</v>
      </c>
      <c r="V39" s="12">
        <v>0.1</v>
      </c>
      <c r="W39" s="12">
        <v>0.1</v>
      </c>
      <c r="X39" s="12"/>
      <c r="Y39" s="12"/>
      <c r="Z39" s="30"/>
      <c r="AB39">
        <v>2</v>
      </c>
      <c r="AC39" s="12"/>
      <c r="AD39" s="12">
        <v>0.5</v>
      </c>
      <c r="AE39" s="12"/>
      <c r="AF39" s="12"/>
      <c r="AG39" s="30"/>
      <c r="AI39">
        <v>2</v>
      </c>
      <c r="AJ39" s="12"/>
      <c r="AK39" s="12">
        <v>0.8</v>
      </c>
      <c r="AL39" s="12"/>
      <c r="AM39" s="12"/>
      <c r="AQ39" s="12"/>
      <c r="AR39" s="12">
        <v>0.8</v>
      </c>
      <c r="AS39" s="12"/>
      <c r="AT39" s="12"/>
      <c r="AX39" s="12"/>
      <c r="AY39" s="12">
        <v>0.8</v>
      </c>
      <c r="AZ39" s="12"/>
      <c r="BA39" s="12"/>
      <c r="BD39">
        <v>2</v>
      </c>
      <c r="BE39" s="12"/>
      <c r="BF39" s="12">
        <v>1</v>
      </c>
      <c r="BG39" s="12"/>
      <c r="BH39" s="12"/>
      <c r="BL39" s="12"/>
      <c r="BM39" s="12">
        <v>1</v>
      </c>
      <c r="BN39" s="12"/>
      <c r="BO39" s="12"/>
      <c r="BP39" s="28"/>
      <c r="BS39" s="12"/>
      <c r="BT39" s="12"/>
      <c r="BU39" s="12"/>
      <c r="BV39" s="12"/>
    </row>
    <row r="40" spans="2:75" outlineLevel="1" x14ac:dyDescent="0.2">
      <c r="B40" t="s">
        <v>28</v>
      </c>
      <c r="C40" t="s">
        <v>51</v>
      </c>
      <c r="E40" s="11"/>
      <c r="F40" t="s">
        <v>85</v>
      </c>
      <c r="G40" s="12">
        <v>0.1</v>
      </c>
      <c r="I40" s="11">
        <f t="shared" si="2"/>
        <v>6</v>
      </c>
      <c r="J40" s="13" cm="1">
        <f t="array" ref="J40">MAX(IF($N$3:$EH$3=$J$3,N40:EH40))</f>
        <v>0</v>
      </c>
      <c r="K40" s="13" cm="1">
        <f t="array" ref="K40">MAX(IF($N$3:$EH$3=$J$3,N40:EH40))</f>
        <v>0</v>
      </c>
      <c r="L40" s="11"/>
      <c r="O40" s="12"/>
      <c r="P40" s="12"/>
      <c r="Q40" s="12"/>
      <c r="R40" s="12"/>
      <c r="V40" s="12"/>
      <c r="W40" s="12"/>
      <c r="X40" s="12"/>
      <c r="Y40" s="12"/>
      <c r="Z40" s="30"/>
      <c r="AB40">
        <v>2</v>
      </c>
      <c r="AC40" s="12"/>
      <c r="AD40" s="12">
        <v>0.5</v>
      </c>
      <c r="AE40" s="12"/>
      <c r="AF40" s="12"/>
      <c r="AG40" s="30"/>
      <c r="AI40">
        <v>2</v>
      </c>
      <c r="AJ40" s="12"/>
      <c r="AK40" s="12">
        <v>0.8</v>
      </c>
      <c r="AL40" s="12"/>
      <c r="AM40" s="12"/>
      <c r="AQ40" s="12"/>
      <c r="AR40" s="12">
        <v>0.8</v>
      </c>
      <c r="AS40" s="12"/>
      <c r="AT40" s="12"/>
      <c r="AX40" s="12"/>
      <c r="AY40" s="12">
        <v>0.8</v>
      </c>
      <c r="AZ40" s="12"/>
      <c r="BA40" s="12"/>
      <c r="BD40">
        <v>2</v>
      </c>
      <c r="BE40" s="12"/>
      <c r="BF40" s="12">
        <v>1</v>
      </c>
      <c r="BG40" s="12"/>
      <c r="BH40" s="12"/>
      <c r="BL40" s="12"/>
      <c r="BM40" s="12">
        <v>1</v>
      </c>
      <c r="BN40" s="12"/>
      <c r="BO40" s="12"/>
      <c r="BP40" s="28"/>
      <c r="BS40" s="12"/>
      <c r="BT40" s="12"/>
      <c r="BU40" s="12"/>
      <c r="BV40" s="12"/>
    </row>
    <row r="41" spans="2:75" outlineLevel="1" x14ac:dyDescent="0.2">
      <c r="B41" t="s">
        <v>28</v>
      </c>
      <c r="C41" t="s">
        <v>51</v>
      </c>
      <c r="E41" s="11"/>
      <c r="F41" t="s">
        <v>86</v>
      </c>
      <c r="G41" s="12">
        <v>0.1</v>
      </c>
      <c r="I41" s="11">
        <f t="shared" si="2"/>
        <v>6</v>
      </c>
      <c r="J41" s="13" cm="1">
        <f t="array" ref="J41">MAX(IF($N$3:$EH$3=$J$3,N41:EH41))</f>
        <v>0</v>
      </c>
      <c r="K41" s="13" cm="1">
        <f t="array" ref="K41">MAX(IF($N$3:$EH$3=$J$3,N41:EH41))</f>
        <v>0</v>
      </c>
      <c r="L41" s="11"/>
      <c r="O41" s="12"/>
      <c r="P41" s="12"/>
      <c r="Q41" s="12"/>
      <c r="R41" s="12"/>
      <c r="V41" s="12"/>
      <c r="W41" s="12"/>
      <c r="X41" s="12"/>
      <c r="Y41" s="12"/>
      <c r="Z41" s="30"/>
      <c r="AB41">
        <v>2</v>
      </c>
      <c r="AC41" s="12"/>
      <c r="AD41" s="12">
        <v>0.5</v>
      </c>
      <c r="AE41" s="12"/>
      <c r="AF41" s="12"/>
      <c r="AG41" s="30"/>
      <c r="AI41">
        <v>2</v>
      </c>
      <c r="AJ41" s="12"/>
      <c r="AK41" s="12">
        <v>0.8</v>
      </c>
      <c r="AL41" s="12"/>
      <c r="AM41" s="12"/>
      <c r="AQ41" s="12"/>
      <c r="AR41" s="12">
        <v>0.8</v>
      </c>
      <c r="AS41" s="12"/>
      <c r="AT41" s="12"/>
      <c r="AX41" s="12"/>
      <c r="AY41" s="12">
        <v>0.8</v>
      </c>
      <c r="AZ41" s="12"/>
      <c r="BA41" s="12"/>
      <c r="BD41">
        <v>2</v>
      </c>
      <c r="BE41" s="12"/>
      <c r="BF41" s="12">
        <v>1</v>
      </c>
      <c r="BG41" s="12"/>
      <c r="BH41" s="12"/>
      <c r="BL41" s="12"/>
      <c r="BM41" s="12">
        <v>1</v>
      </c>
      <c r="BN41" s="12"/>
      <c r="BO41" s="12"/>
      <c r="BP41" s="28"/>
      <c r="BS41" s="12"/>
      <c r="BT41" s="12"/>
      <c r="BU41" s="12"/>
      <c r="BV41" s="12"/>
    </row>
    <row r="42" spans="2:75" outlineLevel="1" x14ac:dyDescent="0.2">
      <c r="B42" t="s">
        <v>28</v>
      </c>
      <c r="C42" t="s">
        <v>51</v>
      </c>
      <c r="E42" s="11"/>
      <c r="F42" t="s">
        <v>87</v>
      </c>
      <c r="G42" s="12">
        <v>0.1</v>
      </c>
      <c r="I42" s="11">
        <f t="shared" si="2"/>
        <v>6</v>
      </c>
      <c r="J42" s="13" cm="1">
        <f t="array" ref="J42">MAX(IF($N$3:$EH$3=$J$3,N42:EH42))</f>
        <v>0</v>
      </c>
      <c r="K42" s="13" cm="1">
        <f t="array" ref="K42">MAX(IF($N$3:$EH$3=$J$3,N42:EH42))</f>
        <v>0</v>
      </c>
      <c r="L42" s="11"/>
      <c r="O42" s="12"/>
      <c r="P42" s="12"/>
      <c r="Q42" s="12"/>
      <c r="R42" s="12"/>
      <c r="V42" s="12"/>
      <c r="W42" s="12"/>
      <c r="X42" s="12"/>
      <c r="Y42" s="12"/>
      <c r="Z42" s="30"/>
      <c r="AC42" s="12"/>
      <c r="AD42" s="12"/>
      <c r="AE42" s="12"/>
      <c r="AF42" s="12"/>
      <c r="AG42" s="30"/>
      <c r="AI42">
        <v>2</v>
      </c>
      <c r="AJ42" s="12"/>
      <c r="AK42" s="12">
        <v>0.5</v>
      </c>
      <c r="AL42" s="12"/>
      <c r="AM42" s="12"/>
      <c r="AQ42" s="12"/>
      <c r="AR42" s="12">
        <v>0.5</v>
      </c>
      <c r="AS42" s="12"/>
      <c r="AT42" s="12"/>
      <c r="AW42">
        <v>2</v>
      </c>
      <c r="AX42" s="12"/>
      <c r="AY42" s="12">
        <v>0.8</v>
      </c>
      <c r="AZ42" s="12"/>
      <c r="BA42" s="12"/>
      <c r="BE42" s="12"/>
      <c r="BF42" s="12">
        <v>0.8</v>
      </c>
      <c r="BG42" s="12"/>
      <c r="BH42" s="12"/>
      <c r="BK42">
        <v>2</v>
      </c>
      <c r="BL42" s="12"/>
      <c r="BM42" s="12">
        <v>1</v>
      </c>
      <c r="BN42" s="12"/>
      <c r="BO42" s="12"/>
      <c r="BP42" s="28"/>
      <c r="BS42" s="12"/>
      <c r="BT42" s="12"/>
      <c r="BU42" s="12"/>
      <c r="BV42" s="12"/>
    </row>
    <row r="43" spans="2:75" outlineLevel="1" x14ac:dyDescent="0.2">
      <c r="B43" t="s">
        <v>28</v>
      </c>
      <c r="C43" t="s">
        <v>51</v>
      </c>
      <c r="E43" s="11"/>
      <c r="F43" t="s">
        <v>88</v>
      </c>
      <c r="G43" s="12">
        <v>0.1</v>
      </c>
      <c r="I43" s="11">
        <f t="shared" si="2"/>
        <v>6</v>
      </c>
      <c r="J43" s="13" cm="1">
        <f t="array" ref="J43">MAX(IF($N$3:$EH$3=$J$3,N43:EH43))</f>
        <v>0</v>
      </c>
      <c r="K43" s="13" cm="1">
        <f t="array" ref="K43">MAX(IF($N$3:$EH$3=$J$3,N43:EH43))</f>
        <v>0</v>
      </c>
      <c r="L43" s="11"/>
      <c r="O43" s="12"/>
      <c r="P43" s="12"/>
      <c r="Q43" s="12"/>
      <c r="R43" s="12"/>
      <c r="V43" s="12"/>
      <c r="W43" s="12"/>
      <c r="X43" s="12"/>
      <c r="Y43" s="12"/>
      <c r="Z43" s="30"/>
      <c r="AC43" s="12"/>
      <c r="AD43" s="12"/>
      <c r="AE43" s="12"/>
      <c r="AF43" s="12"/>
      <c r="AG43" s="30"/>
      <c r="AJ43" s="12"/>
      <c r="AK43" s="12"/>
      <c r="AL43" s="12"/>
      <c r="AM43" s="12"/>
      <c r="AP43">
        <v>2</v>
      </c>
      <c r="AQ43" s="12"/>
      <c r="AR43" s="12">
        <v>0.5</v>
      </c>
      <c r="AS43" s="12"/>
      <c r="AT43" s="12"/>
      <c r="AW43">
        <v>2</v>
      </c>
      <c r="AX43" s="12"/>
      <c r="AY43" s="12">
        <v>0.8</v>
      </c>
      <c r="AZ43" s="12"/>
      <c r="BA43" s="12"/>
      <c r="BE43" s="12"/>
      <c r="BF43" s="12">
        <v>0.8</v>
      </c>
      <c r="BG43" s="12"/>
      <c r="BH43" s="12"/>
      <c r="BK43">
        <v>2</v>
      </c>
      <c r="BL43" s="12"/>
      <c r="BM43" s="12">
        <v>1</v>
      </c>
      <c r="BN43" s="12"/>
      <c r="BO43" s="12"/>
      <c r="BP43" s="28"/>
      <c r="BS43" s="12"/>
      <c r="BT43" s="12"/>
      <c r="BU43" s="12"/>
      <c r="BV43" s="12"/>
    </row>
    <row r="44" spans="2:75" outlineLevel="1" x14ac:dyDescent="0.2">
      <c r="B44" t="s">
        <v>28</v>
      </c>
      <c r="C44" t="s">
        <v>51</v>
      </c>
      <c r="E44" s="11"/>
      <c r="F44" t="s">
        <v>89</v>
      </c>
      <c r="G44" s="12">
        <v>0.1</v>
      </c>
      <c r="I44" s="11">
        <f t="shared" si="2"/>
        <v>4</v>
      </c>
      <c r="J44" s="13" cm="1">
        <f t="array" ref="J44">MAX(IF($N$3:$EH$3=$J$3,N44:EH44))</f>
        <v>0</v>
      </c>
      <c r="K44" s="13" cm="1">
        <f t="array" ref="K44">MAX(IF($N$3:$EH$3=$J$3,N44:EH44))</f>
        <v>0</v>
      </c>
      <c r="L44" s="11"/>
      <c r="O44" s="12"/>
      <c r="P44" s="12"/>
      <c r="Q44" s="12"/>
      <c r="R44" s="12"/>
      <c r="V44" s="12"/>
      <c r="W44" s="12"/>
      <c r="X44" s="12"/>
      <c r="Y44" s="12"/>
      <c r="Z44" s="30"/>
      <c r="AC44" s="12"/>
      <c r="AD44" s="12"/>
      <c r="AE44" s="12"/>
      <c r="AF44" s="12"/>
      <c r="AG44" s="30"/>
      <c r="AJ44" s="12"/>
      <c r="AK44" s="12"/>
      <c r="AL44" s="12"/>
      <c r="AM44" s="12"/>
      <c r="AQ44" s="12"/>
      <c r="AR44" s="12"/>
      <c r="AS44" s="12"/>
      <c r="AT44" s="12"/>
      <c r="AW44">
        <v>2</v>
      </c>
      <c r="AX44" s="12"/>
      <c r="AY44" s="12">
        <v>0.5</v>
      </c>
      <c r="AZ44" s="12"/>
      <c r="BA44" s="12"/>
      <c r="BE44" s="12"/>
      <c r="BF44" s="12">
        <v>0.8</v>
      </c>
      <c r="BG44" s="12"/>
      <c r="BH44" s="12"/>
      <c r="BK44">
        <v>2</v>
      </c>
      <c r="BL44" s="12"/>
      <c r="BM44" s="12">
        <v>1</v>
      </c>
      <c r="BN44" s="12"/>
      <c r="BO44" s="12"/>
      <c r="BP44" s="28"/>
      <c r="BS44" s="12"/>
      <c r="BT44" s="12"/>
      <c r="BU44" s="12"/>
      <c r="BV44" s="12"/>
    </row>
    <row r="45" spans="2:75" x14ac:dyDescent="0.2">
      <c r="AJ45" s="33" t="s">
        <v>106</v>
      </c>
      <c r="AK45" s="33"/>
      <c r="AL45" s="33"/>
      <c r="AM45" s="33"/>
      <c r="AN45" s="33"/>
      <c r="AO45" s="33"/>
      <c r="AP45" s="33"/>
      <c r="AQ45" s="33"/>
      <c r="AR45" s="33"/>
      <c r="AS45" s="33"/>
      <c r="AT45" s="33"/>
      <c r="AU45" s="33"/>
      <c r="AV45" s="33"/>
      <c r="AW45" s="33"/>
      <c r="AX45" s="33"/>
      <c r="AY45" s="33"/>
      <c r="AZ45" s="33"/>
      <c r="BA45" s="33"/>
      <c r="BB45" s="33"/>
      <c r="BC45" s="33"/>
      <c r="BD45" s="33"/>
      <c r="BE45" s="33"/>
      <c r="BF45" s="33"/>
      <c r="BG45" s="33"/>
      <c r="BH45" s="33"/>
      <c r="BI45" s="33"/>
      <c r="BJ45" s="33"/>
      <c r="BK45" s="33"/>
      <c r="BL45" s="33"/>
      <c r="BM45" s="33"/>
      <c r="BN45" s="33"/>
      <c r="BO45" s="33"/>
      <c r="BP45" s="33"/>
      <c r="BQ45" s="33"/>
      <c r="BR45" s="33"/>
      <c r="BS45" s="33"/>
      <c r="BT45" s="33"/>
      <c r="BU45" s="33"/>
      <c r="BV45" s="33"/>
      <c r="BW45" s="33"/>
    </row>
    <row r="46" spans="2:75" x14ac:dyDescent="0.2">
      <c r="AJ46" s="33"/>
      <c r="AK46" s="33"/>
      <c r="AL46" s="33"/>
      <c r="AM46" s="33"/>
      <c r="AN46" s="33"/>
      <c r="AO46" s="33"/>
      <c r="AP46" s="33"/>
      <c r="AQ46" s="33"/>
      <c r="AR46" s="33"/>
      <c r="AS46" s="33"/>
      <c r="AT46" s="33"/>
      <c r="AU46" s="33"/>
      <c r="AV46" s="33"/>
      <c r="AW46" s="33"/>
      <c r="AX46" s="33"/>
      <c r="AY46" s="33"/>
      <c r="AZ46" s="33"/>
      <c r="BA46" s="33"/>
      <c r="BB46" s="33"/>
      <c r="BC46" s="33"/>
      <c r="BD46" s="33"/>
      <c r="BE46" s="33"/>
      <c r="BF46" s="33"/>
      <c r="BG46" s="33"/>
      <c r="BH46" s="33"/>
      <c r="BI46" s="33"/>
      <c r="BJ46" s="33"/>
      <c r="BK46" s="33"/>
      <c r="BL46" s="33"/>
      <c r="BM46" s="33"/>
      <c r="BN46" s="33"/>
      <c r="BO46" s="33"/>
      <c r="BP46" s="33"/>
      <c r="BQ46" s="33"/>
      <c r="BR46" s="33"/>
      <c r="BS46" s="33"/>
      <c r="BT46" s="33"/>
      <c r="BU46" s="33"/>
      <c r="BV46" s="33"/>
      <c r="BW46" s="33"/>
    </row>
    <row r="47" spans="2:75" x14ac:dyDescent="0.2">
      <c r="AJ47" s="33"/>
      <c r="AK47" s="33"/>
      <c r="AL47" s="33"/>
      <c r="AM47" s="33"/>
      <c r="AN47" s="33"/>
      <c r="AO47" s="33"/>
      <c r="AP47" s="33"/>
      <c r="AQ47" s="33"/>
      <c r="AR47" s="33"/>
      <c r="AS47" s="33"/>
      <c r="AT47" s="33"/>
      <c r="AU47" s="33"/>
      <c r="AV47" s="33"/>
      <c r="AW47" s="33"/>
      <c r="AX47" s="33"/>
      <c r="AY47" s="33"/>
      <c r="AZ47" s="33"/>
      <c r="BA47" s="33"/>
      <c r="BB47" s="33"/>
      <c r="BC47" s="33"/>
      <c r="BD47" s="33"/>
      <c r="BE47" s="33"/>
      <c r="BF47" s="33"/>
      <c r="BG47" s="33"/>
      <c r="BH47" s="33"/>
      <c r="BI47" s="33"/>
      <c r="BJ47" s="33"/>
      <c r="BK47" s="33"/>
      <c r="BL47" s="33"/>
      <c r="BM47" s="33"/>
      <c r="BN47" s="33"/>
      <c r="BO47" s="33"/>
      <c r="BP47" s="33"/>
      <c r="BQ47" s="33"/>
      <c r="BR47" s="33"/>
      <c r="BS47" s="33"/>
      <c r="BT47" s="33"/>
      <c r="BU47" s="33"/>
      <c r="BV47" s="33"/>
      <c r="BW47" s="33"/>
    </row>
    <row r="48" spans="2:75" x14ac:dyDescent="0.2">
      <c r="AJ48" s="33"/>
      <c r="AK48" s="33"/>
      <c r="AL48" s="33"/>
      <c r="AM48" s="33"/>
      <c r="AN48" s="33"/>
      <c r="AO48" s="33"/>
      <c r="AP48" s="33"/>
      <c r="AQ48" s="33"/>
      <c r="AR48" s="33"/>
      <c r="AS48" s="33"/>
      <c r="AT48" s="33"/>
      <c r="AU48" s="33"/>
      <c r="AV48" s="33"/>
      <c r="AW48" s="33"/>
      <c r="AX48" s="33"/>
      <c r="AY48" s="33"/>
      <c r="AZ48" s="33"/>
      <c r="BA48" s="33"/>
      <c r="BB48" s="33"/>
      <c r="BC48" s="33"/>
      <c r="BD48" s="33"/>
      <c r="BE48" s="33"/>
      <c r="BF48" s="33"/>
      <c r="BG48" s="33"/>
      <c r="BH48" s="33"/>
      <c r="BI48" s="33"/>
      <c r="BJ48" s="33"/>
      <c r="BK48" s="33"/>
      <c r="BL48" s="33"/>
      <c r="BM48" s="33"/>
      <c r="BN48" s="33"/>
      <c r="BO48" s="33"/>
      <c r="BP48" s="33"/>
      <c r="BQ48" s="33"/>
      <c r="BR48" s="33"/>
      <c r="BS48" s="33"/>
      <c r="BT48" s="33"/>
      <c r="BU48" s="33"/>
      <c r="BV48" s="33"/>
      <c r="BW48" s="33"/>
    </row>
    <row r="49" spans="36:75" x14ac:dyDescent="0.2">
      <c r="AJ49" s="33"/>
      <c r="AK49" s="33"/>
      <c r="AL49" s="33"/>
      <c r="AM49" s="33"/>
      <c r="AN49" s="33"/>
      <c r="AO49" s="33"/>
      <c r="AP49" s="33"/>
      <c r="AQ49" s="33"/>
      <c r="AR49" s="33"/>
      <c r="AS49" s="33"/>
      <c r="AT49" s="33"/>
      <c r="AU49" s="33"/>
      <c r="AV49" s="33"/>
      <c r="AW49" s="33"/>
      <c r="AX49" s="33"/>
      <c r="AY49" s="33"/>
      <c r="AZ49" s="33"/>
      <c r="BA49" s="33"/>
      <c r="BB49" s="33"/>
      <c r="BC49" s="33"/>
      <c r="BD49" s="33"/>
      <c r="BE49" s="33"/>
      <c r="BF49" s="33"/>
      <c r="BG49" s="33"/>
      <c r="BH49" s="33"/>
      <c r="BI49" s="33"/>
      <c r="BJ49" s="33"/>
      <c r="BK49" s="33"/>
      <c r="BL49" s="33"/>
      <c r="BM49" s="33"/>
      <c r="BN49" s="33"/>
      <c r="BO49" s="33"/>
      <c r="BP49" s="33"/>
      <c r="BQ49" s="33"/>
      <c r="BR49" s="33"/>
      <c r="BS49" s="33"/>
      <c r="BT49" s="33"/>
      <c r="BU49" s="33"/>
      <c r="BV49" s="33"/>
      <c r="BW49" s="33"/>
    </row>
    <row r="50" spans="36:75" x14ac:dyDescent="0.2">
      <c r="AJ50" s="33"/>
      <c r="AK50" s="33"/>
      <c r="AL50" s="33"/>
      <c r="AM50" s="33"/>
      <c r="AN50" s="33"/>
      <c r="AO50" s="33"/>
      <c r="AP50" s="33"/>
      <c r="AQ50" s="33"/>
      <c r="AR50" s="33"/>
      <c r="AS50" s="33"/>
      <c r="AT50" s="33"/>
      <c r="AU50" s="33"/>
      <c r="AV50" s="33"/>
      <c r="AW50" s="33"/>
      <c r="AX50" s="33"/>
      <c r="AY50" s="33"/>
      <c r="AZ50" s="33"/>
      <c r="BA50" s="33"/>
      <c r="BB50" s="33"/>
      <c r="BC50" s="33"/>
      <c r="BD50" s="33"/>
      <c r="BE50" s="33"/>
      <c r="BF50" s="33"/>
      <c r="BG50" s="33"/>
      <c r="BH50" s="33"/>
      <c r="BI50" s="33"/>
      <c r="BJ50" s="33"/>
      <c r="BK50" s="33"/>
      <c r="BL50" s="33"/>
      <c r="BM50" s="33"/>
      <c r="BN50" s="33"/>
      <c r="BO50" s="33"/>
      <c r="BP50" s="33"/>
      <c r="BQ50" s="33"/>
      <c r="BR50" s="33"/>
      <c r="BS50" s="33"/>
      <c r="BT50" s="33"/>
      <c r="BU50" s="33"/>
      <c r="BV50" s="33"/>
      <c r="BW50" s="33"/>
    </row>
    <row r="51" spans="36:75" x14ac:dyDescent="0.2">
      <c r="AJ51" s="33"/>
      <c r="AK51" s="33"/>
      <c r="AL51" s="33"/>
      <c r="AM51" s="33"/>
      <c r="AN51" s="33"/>
      <c r="AO51" s="33"/>
      <c r="AP51" s="33"/>
      <c r="AQ51" s="33"/>
      <c r="AR51" s="33"/>
      <c r="AS51" s="33"/>
      <c r="AT51" s="33"/>
      <c r="AU51" s="33"/>
      <c r="AV51" s="33"/>
      <c r="AW51" s="33"/>
      <c r="AX51" s="33"/>
      <c r="AY51" s="33"/>
      <c r="AZ51" s="33"/>
      <c r="BA51" s="33"/>
      <c r="BB51" s="33"/>
      <c r="BC51" s="33"/>
      <c r="BD51" s="33"/>
      <c r="BE51" s="33"/>
      <c r="BF51" s="33"/>
      <c r="BG51" s="33"/>
      <c r="BH51" s="33"/>
      <c r="BI51" s="33"/>
      <c r="BJ51" s="33"/>
      <c r="BK51" s="33"/>
      <c r="BL51" s="33"/>
      <c r="BM51" s="33"/>
      <c r="BN51" s="33"/>
      <c r="BO51" s="33"/>
      <c r="BP51" s="33"/>
      <c r="BQ51" s="33"/>
      <c r="BR51" s="33"/>
      <c r="BS51" s="33"/>
      <c r="BT51" s="33"/>
      <c r="BU51" s="33"/>
      <c r="BV51" s="33"/>
      <c r="BW51" s="33"/>
    </row>
    <row r="52" spans="36:75" x14ac:dyDescent="0.2">
      <c r="AJ52" s="33"/>
      <c r="AK52" s="33"/>
      <c r="AL52" s="33"/>
      <c r="AM52" s="33"/>
      <c r="AN52" s="33"/>
      <c r="AO52" s="33"/>
      <c r="AP52" s="33"/>
      <c r="AQ52" s="33"/>
      <c r="AR52" s="33"/>
      <c r="AS52" s="33"/>
      <c r="AT52" s="33"/>
      <c r="AU52" s="33"/>
      <c r="AV52" s="33"/>
      <c r="AW52" s="33"/>
      <c r="AX52" s="33"/>
      <c r="AY52" s="33"/>
      <c r="AZ52" s="33"/>
      <c r="BA52" s="33"/>
      <c r="BB52" s="33"/>
      <c r="BC52" s="33"/>
      <c r="BD52" s="33"/>
      <c r="BE52" s="33"/>
      <c r="BF52" s="33"/>
      <c r="BG52" s="33"/>
      <c r="BH52" s="33"/>
      <c r="BI52" s="33"/>
      <c r="BJ52" s="33"/>
      <c r="BK52" s="33"/>
      <c r="BL52" s="33"/>
      <c r="BM52" s="33"/>
      <c r="BN52" s="33"/>
      <c r="BO52" s="33"/>
      <c r="BP52" s="33"/>
      <c r="BQ52" s="33"/>
      <c r="BR52" s="33"/>
      <c r="BS52" s="33"/>
      <c r="BT52" s="33"/>
      <c r="BU52" s="33"/>
      <c r="BV52" s="33"/>
      <c r="BW52" s="33"/>
    </row>
    <row r="53" spans="36:75" x14ac:dyDescent="0.2">
      <c r="AJ53" s="33"/>
      <c r="AK53" s="33"/>
      <c r="AL53" s="33"/>
      <c r="AM53" s="33"/>
      <c r="AN53" s="33"/>
      <c r="AO53" s="33"/>
      <c r="AP53" s="33"/>
      <c r="AQ53" s="33"/>
      <c r="AR53" s="33"/>
      <c r="AS53" s="33"/>
      <c r="AT53" s="33"/>
      <c r="AU53" s="33"/>
      <c r="AV53" s="33"/>
      <c r="AW53" s="33"/>
      <c r="AX53" s="33"/>
      <c r="AY53" s="33"/>
      <c r="AZ53" s="33"/>
      <c r="BA53" s="33"/>
      <c r="BB53" s="33"/>
      <c r="BC53" s="33"/>
      <c r="BD53" s="33"/>
      <c r="BE53" s="33"/>
      <c r="BF53" s="33"/>
      <c r="BG53" s="33"/>
      <c r="BH53" s="33"/>
      <c r="BI53" s="33"/>
      <c r="BJ53" s="33"/>
      <c r="BK53" s="33"/>
      <c r="BL53" s="33"/>
      <c r="BM53" s="33"/>
      <c r="BN53" s="33"/>
      <c r="BO53" s="33"/>
      <c r="BP53" s="33"/>
      <c r="BQ53" s="33"/>
      <c r="BR53" s="33"/>
      <c r="BS53" s="33"/>
      <c r="BT53" s="33"/>
      <c r="BU53" s="33"/>
      <c r="BV53" s="33"/>
      <c r="BW53" s="33"/>
    </row>
    <row r="54" spans="36:75" x14ac:dyDescent="0.2">
      <c r="AJ54" s="33"/>
      <c r="AK54" s="33"/>
      <c r="AL54" s="33"/>
      <c r="AM54" s="33"/>
      <c r="AN54" s="33"/>
      <c r="AO54" s="33"/>
      <c r="AP54" s="33"/>
      <c r="AQ54" s="33"/>
      <c r="AR54" s="33"/>
      <c r="AS54" s="33"/>
      <c r="AT54" s="33"/>
      <c r="AU54" s="33"/>
      <c r="AV54" s="33"/>
      <c r="AW54" s="33"/>
      <c r="AX54" s="33"/>
      <c r="AY54" s="33"/>
      <c r="AZ54" s="33"/>
      <c r="BA54" s="33"/>
      <c r="BB54" s="33"/>
      <c r="BC54" s="33"/>
      <c r="BD54" s="33"/>
      <c r="BE54" s="33"/>
      <c r="BF54" s="33"/>
      <c r="BG54" s="33"/>
      <c r="BH54" s="33"/>
      <c r="BI54" s="33"/>
      <c r="BJ54" s="33"/>
      <c r="BK54" s="33"/>
      <c r="BL54" s="33"/>
      <c r="BM54" s="33"/>
      <c r="BN54" s="33"/>
      <c r="BO54" s="33"/>
      <c r="BP54" s="33"/>
      <c r="BQ54" s="33"/>
      <c r="BR54" s="33"/>
      <c r="BS54" s="33"/>
      <c r="BT54" s="33"/>
      <c r="BU54" s="33"/>
      <c r="BV54" s="33"/>
      <c r="BW54" s="33"/>
    </row>
    <row r="55" spans="36:75" x14ac:dyDescent="0.2">
      <c r="AJ55" s="33"/>
      <c r="AK55" s="33"/>
      <c r="AL55" s="33"/>
      <c r="AM55" s="33"/>
      <c r="AN55" s="33"/>
      <c r="AO55" s="33"/>
      <c r="AP55" s="33"/>
      <c r="AQ55" s="33"/>
      <c r="AR55" s="33"/>
      <c r="AS55" s="33"/>
      <c r="AT55" s="33"/>
      <c r="AU55" s="33"/>
      <c r="AV55" s="33"/>
      <c r="AW55" s="33"/>
      <c r="AX55" s="33"/>
      <c r="AY55" s="33"/>
      <c r="AZ55" s="33"/>
      <c r="BA55" s="33"/>
      <c r="BB55" s="33"/>
      <c r="BC55" s="33"/>
      <c r="BD55" s="33"/>
      <c r="BE55" s="33"/>
      <c r="BF55" s="33"/>
      <c r="BG55" s="33"/>
      <c r="BH55" s="33"/>
      <c r="BI55" s="33"/>
      <c r="BJ55" s="33"/>
      <c r="BK55" s="33"/>
      <c r="BL55" s="33"/>
      <c r="BM55" s="33"/>
      <c r="BN55" s="33"/>
      <c r="BO55" s="33"/>
      <c r="BP55" s="33"/>
      <c r="BQ55" s="33"/>
      <c r="BR55" s="33"/>
      <c r="BS55" s="33"/>
      <c r="BT55" s="33"/>
      <c r="BU55" s="33"/>
      <c r="BV55" s="33"/>
      <c r="BW55" s="33"/>
    </row>
  </sheetData>
  <mergeCells count="20">
    <mergeCell ref="AJ45:BW55"/>
    <mergeCell ref="BB5:BB23"/>
    <mergeCell ref="BI27:BI31"/>
    <mergeCell ref="BP34:BP44"/>
    <mergeCell ref="AG5:AG24"/>
    <mergeCell ref="Z5:Z24"/>
    <mergeCell ref="Z27:Z31"/>
    <mergeCell ref="Z34:Z44"/>
    <mergeCell ref="AG34:AG44"/>
    <mergeCell ref="AG27:AG31"/>
    <mergeCell ref="BK2:BP2"/>
    <mergeCell ref="BR2:BW2"/>
    <mergeCell ref="I2:L2"/>
    <mergeCell ref="N2:S2"/>
    <mergeCell ref="BD2:BI2"/>
    <mergeCell ref="U2:Z2"/>
    <mergeCell ref="AB2:AG2"/>
    <mergeCell ref="AI2:AN2"/>
    <mergeCell ref="AP2:AU2"/>
    <mergeCell ref="AW2:BB2"/>
  </mergeCells>
  <conditionalFormatting sqref="J6:K15 J24:K24">
    <cfRule type="colorScale" priority="288">
      <colorScale>
        <cfvo type="percent" val="0"/>
        <cfvo type="percent" val="100"/>
        <color rgb="FFFF231B"/>
        <color rgb="FF10FF07"/>
      </colorScale>
    </cfRule>
  </conditionalFormatting>
  <conditionalFormatting sqref="O27:O31 Q27:Q31 O5:O15 O24 AJ36:AJ44 AL36:AL44 AX36:AX44 AZ36:AZ44 Q40:Q44 O39:O44 BG36:BG44 X36:X44 V36:V44 AE36:AE44 AC36:AC44 AS36:AS44 AQ36:AQ44 BE36:BE44 BG6:BG15">
    <cfRule type="expression" dxfId="155" priority="286">
      <formula>OR(IF(O5&lt;P5,TRUE),IF(AND(P5="",O5&lt;&gt;""),TRUE))</formula>
    </cfRule>
    <cfRule type="expression" dxfId="154" priority="287">
      <formula>IF(O5&gt;=P5,IF(O5="",FALSE,TRUE))</formula>
    </cfRule>
  </conditionalFormatting>
  <conditionalFormatting sqref="Q5:Q15 Q24">
    <cfRule type="expression" dxfId="153" priority="284">
      <formula>OR(IF(Q5&lt;R5,TRUE),IF(AND(R5="",Q5&lt;&gt;""),TRUE))</formula>
    </cfRule>
    <cfRule type="expression" dxfId="152" priority="285">
      <formula>IF(Q5&gt;=R5,IF(Q5="",FALSE,TRUE))</formula>
    </cfRule>
  </conditionalFormatting>
  <conditionalFormatting sqref="AQ27:AQ31 AS27:AS31 AQ5:AQ15 AQ24">
    <cfRule type="expression" dxfId="151" priority="153">
      <formula>OR(IF(AQ5&lt;AR5,TRUE),IF(AND(AR5="",AQ5&lt;&gt;""),TRUE))</formula>
    </cfRule>
    <cfRule type="expression" dxfId="150" priority="154">
      <formula>IF(AQ5&gt;=AR5,IF(AQ5="",FALSE,TRUE))</formula>
    </cfRule>
  </conditionalFormatting>
  <conditionalFormatting sqref="AS5:AS15 AS24">
    <cfRule type="expression" dxfId="149" priority="151">
      <formula>OR(IF(AS5&lt;AT5,TRUE),IF(AND(AT5="",AS5&lt;&gt;""),TRUE))</formula>
    </cfRule>
    <cfRule type="expression" dxfId="148" priority="152">
      <formula>IF(AS5&gt;=AT5,IF(AS5="",FALSE,TRUE))</formula>
    </cfRule>
  </conditionalFormatting>
  <conditionalFormatting sqref="O34:O38">
    <cfRule type="expression" dxfId="147" priority="227">
      <formula>OR(IF(O34&lt;P34,TRUE),IF(AND(P34="",O34&lt;&gt;""),TRUE))</formula>
    </cfRule>
    <cfRule type="expression" dxfId="146" priority="228">
      <formula>IF(O34&gt;=P34,IF(O34="",FALSE,TRUE))</formula>
    </cfRule>
  </conditionalFormatting>
  <conditionalFormatting sqref="Q34:Q39">
    <cfRule type="expression" dxfId="145" priority="225">
      <formula>OR(IF(Q34&lt;R34,TRUE),IF(AND(R34="",Q34&lt;&gt;""),TRUE))</formula>
    </cfRule>
    <cfRule type="expression" dxfId="144" priority="226">
      <formula>IF(Q34&gt;=R34,IF(Q34="",FALSE,TRUE))</formula>
    </cfRule>
  </conditionalFormatting>
  <conditionalFormatting sqref="BE27:BE31 BG27:BG31 BE5:BE15 BE24">
    <cfRule type="expression" dxfId="143" priority="121">
      <formula>OR(IF(BE5&lt;BF5,TRUE),IF(AND(BF5="",BE5&lt;&gt;""),TRUE))</formula>
    </cfRule>
    <cfRule type="expression" dxfId="142" priority="122">
      <formula>IF(BE5&gt;=BF5,IF(BE5="",FALSE,TRUE))</formula>
    </cfRule>
  </conditionalFormatting>
  <conditionalFormatting sqref="BG24">
    <cfRule type="expression" dxfId="141" priority="119">
      <formula>OR(IF(BG24&lt;BH24,TRUE),IF(AND(BH24="",BG24&lt;&gt;""),TRUE))</formula>
    </cfRule>
    <cfRule type="expression" dxfId="140" priority="120">
      <formula>IF(BG24&gt;=BH24,IF(BG24="",FALSE,TRUE))</formula>
    </cfRule>
  </conditionalFormatting>
  <conditionalFormatting sqref="BE34:BE35">
    <cfRule type="expression" dxfId="139" priority="117">
      <formula>OR(IF(BE34&lt;BF34,TRUE),IF(AND(BF34="",BE34&lt;&gt;""),TRUE))</formula>
    </cfRule>
    <cfRule type="expression" dxfId="138" priority="118">
      <formula>IF(BE34&gt;=BF34,IF(BE34="",FALSE,TRUE))</formula>
    </cfRule>
  </conditionalFormatting>
  <conditionalFormatting sqref="V27:V31 X27:X31 V5:V15 V24">
    <cfRule type="expression" dxfId="137" priority="201">
      <formula>OR(IF(V5&lt;W5,TRUE),IF(AND(W5="",V5&lt;&gt;""),TRUE))</formula>
    </cfRule>
    <cfRule type="expression" dxfId="136" priority="202">
      <formula>IF(V5&gt;=W5,IF(V5="",FALSE,TRUE))</formula>
    </cfRule>
  </conditionalFormatting>
  <conditionalFormatting sqref="X5:X15 X24">
    <cfRule type="expression" dxfId="135" priority="199">
      <formula>OR(IF(X5&lt;Y5,TRUE),IF(AND(Y5="",X5&lt;&gt;""),TRUE))</formula>
    </cfRule>
    <cfRule type="expression" dxfId="134" priority="200">
      <formula>IF(X5&gt;=Y5,IF(X5="",FALSE,TRUE))</formula>
    </cfRule>
  </conditionalFormatting>
  <conditionalFormatting sqref="V34:V35">
    <cfRule type="expression" dxfId="133" priority="197">
      <formula>OR(IF(V34&lt;W34,TRUE),IF(AND(W34="",V34&lt;&gt;""),TRUE))</formula>
    </cfRule>
    <cfRule type="expression" dxfId="132" priority="198">
      <formula>IF(V34&gt;=W34,IF(V34="",FALSE,TRUE))</formula>
    </cfRule>
  </conditionalFormatting>
  <conditionalFormatting sqref="X34:X35">
    <cfRule type="expression" dxfId="131" priority="195">
      <formula>OR(IF(X34&lt;Y34,TRUE),IF(AND(Y34="",X34&lt;&gt;""),TRUE))</formula>
    </cfRule>
    <cfRule type="expression" dxfId="130" priority="196">
      <formula>IF(X34&gt;=Y34,IF(X34="",FALSE,TRUE))</formula>
    </cfRule>
  </conditionalFormatting>
  <conditionalFormatting sqref="AC27:AC31 AE27:AE31 AC5:AC15 AC24">
    <cfRule type="expression" dxfId="129" priority="185">
      <formula>OR(IF(AC5&lt;AD5,TRUE),IF(AND(AD5="",AC5&lt;&gt;""),TRUE))</formula>
    </cfRule>
    <cfRule type="expression" dxfId="128" priority="186">
      <formula>IF(AC5&gt;=AD5,IF(AC5="",FALSE,TRUE))</formula>
    </cfRule>
  </conditionalFormatting>
  <conditionalFormatting sqref="AE5:AE15 AE24">
    <cfRule type="expression" dxfId="127" priority="183">
      <formula>OR(IF(AE5&lt;AF5,TRUE),IF(AND(AF5="",AE5&lt;&gt;""),TRUE))</formula>
    </cfRule>
    <cfRule type="expression" dxfId="126" priority="184">
      <formula>IF(AE5&gt;=AF5,IF(AE5="",FALSE,TRUE))</formula>
    </cfRule>
  </conditionalFormatting>
  <conditionalFormatting sqref="AC34:AC35">
    <cfRule type="expression" dxfId="125" priority="181">
      <formula>OR(IF(AC34&lt;AD34,TRUE),IF(AND(AD34="",AC34&lt;&gt;""),TRUE))</formula>
    </cfRule>
    <cfRule type="expression" dxfId="124" priority="182">
      <formula>IF(AC34&gt;=AD34,IF(AC34="",FALSE,TRUE))</formula>
    </cfRule>
  </conditionalFormatting>
  <conditionalFormatting sqref="AE34:AE35">
    <cfRule type="expression" dxfId="123" priority="179">
      <formula>OR(IF(AE34&lt;AF34,TRUE),IF(AND(AF34="",AE34&lt;&gt;""),TRUE))</formula>
    </cfRule>
    <cfRule type="expression" dxfId="122" priority="180">
      <formula>IF(AE34&gt;=AF34,IF(AE34="",FALSE,TRUE))</formula>
    </cfRule>
  </conditionalFormatting>
  <conditionalFormatting sqref="AJ27:AJ31 AL27:AL31 AJ5:AJ15 AJ24">
    <cfRule type="expression" dxfId="121" priority="169">
      <formula>OR(IF(AJ5&lt;AK5,TRUE),IF(AND(AK5="",AJ5&lt;&gt;""),TRUE))</formula>
    </cfRule>
    <cfRule type="expression" dxfId="120" priority="170">
      <formula>IF(AJ5&gt;=AK5,IF(AJ5="",FALSE,TRUE))</formula>
    </cfRule>
  </conditionalFormatting>
  <conditionalFormatting sqref="AL5:AL15 AL24">
    <cfRule type="expression" dxfId="119" priority="167">
      <formula>OR(IF(AL5&lt;AM5,TRUE),IF(AND(AM5="",AL5&lt;&gt;""),TRUE))</formula>
    </cfRule>
    <cfRule type="expression" dxfId="118" priority="168">
      <formula>IF(AL5&gt;=AM5,IF(AL5="",FALSE,TRUE))</formula>
    </cfRule>
  </conditionalFormatting>
  <conditionalFormatting sqref="AJ34:AJ35">
    <cfRule type="expression" dxfId="117" priority="165">
      <formula>OR(IF(AJ34&lt;AK34,TRUE),IF(AND(AK34="",AJ34&lt;&gt;""),TRUE))</formula>
    </cfRule>
    <cfRule type="expression" dxfId="116" priority="166">
      <formula>IF(AJ34&gt;=AK34,IF(AJ34="",FALSE,TRUE))</formula>
    </cfRule>
  </conditionalFormatting>
  <conditionalFormatting sqref="AL34:AL35">
    <cfRule type="expression" dxfId="115" priority="163">
      <formula>OR(IF(AL34&lt;AM34,TRUE),IF(AND(AM34="",AL34&lt;&gt;""),TRUE))</formula>
    </cfRule>
    <cfRule type="expression" dxfId="114" priority="164">
      <formula>IF(AL34&gt;=AM34,IF(AL34="",FALSE,TRUE))</formula>
    </cfRule>
  </conditionalFormatting>
  <conditionalFormatting sqref="AQ34:AQ35">
    <cfRule type="expression" dxfId="113" priority="149">
      <formula>OR(IF(AQ34&lt;AR34,TRUE),IF(AND(AR34="",AQ34&lt;&gt;""),TRUE))</formula>
    </cfRule>
    <cfRule type="expression" dxfId="112" priority="150">
      <formula>IF(AQ34&gt;=AR34,IF(AQ34="",FALSE,TRUE))</formula>
    </cfRule>
  </conditionalFormatting>
  <conditionalFormatting sqref="AS34:AS35">
    <cfRule type="expression" dxfId="111" priority="147">
      <formula>OR(IF(AS34&lt;AT34,TRUE),IF(AND(AT34="",AS34&lt;&gt;""),TRUE))</formula>
    </cfRule>
    <cfRule type="expression" dxfId="110" priority="148">
      <formula>IF(AS34&gt;=AT34,IF(AS34="",FALSE,TRUE))</formula>
    </cfRule>
  </conditionalFormatting>
  <conditionalFormatting sqref="AX27:AX31 AZ27:AZ31 AX5:AX15 AX24">
    <cfRule type="expression" dxfId="109" priority="137">
      <formula>OR(IF(AX5&lt;AY5,TRUE),IF(AND(AY5="",AX5&lt;&gt;""),TRUE))</formula>
    </cfRule>
    <cfRule type="expression" dxfId="108" priority="138">
      <formula>IF(AX5&gt;=AY5,IF(AX5="",FALSE,TRUE))</formula>
    </cfRule>
  </conditionalFormatting>
  <conditionalFormatting sqref="AZ5:AZ15 AZ24">
    <cfRule type="expression" dxfId="107" priority="135">
      <formula>OR(IF(AZ5&lt;BA5,TRUE),IF(AND(BA5="",AZ5&lt;&gt;""),TRUE))</formula>
    </cfRule>
    <cfRule type="expression" dxfId="106" priority="136">
      <formula>IF(AZ5&gt;=BA5,IF(AZ5="",FALSE,TRUE))</formula>
    </cfRule>
  </conditionalFormatting>
  <conditionalFormatting sqref="AX34:AX35">
    <cfRule type="expression" dxfId="105" priority="133">
      <formula>OR(IF(AX34&lt;AY34,TRUE),IF(AND(AY34="",AX34&lt;&gt;""),TRUE))</formula>
    </cfRule>
    <cfRule type="expression" dxfId="104" priority="134">
      <formula>IF(AX34&gt;=AY34,IF(AX34="",FALSE,TRUE))</formula>
    </cfRule>
  </conditionalFormatting>
  <conditionalFormatting sqref="AZ34:AZ35">
    <cfRule type="expression" dxfId="103" priority="131">
      <formula>OR(IF(AZ34&lt;BA34,TRUE),IF(AND(BA34="",AZ34&lt;&gt;""),TRUE))</formula>
    </cfRule>
    <cfRule type="expression" dxfId="102" priority="132">
      <formula>IF(AZ34&gt;=BA34,IF(AZ34="",FALSE,TRUE))</formula>
    </cfRule>
  </conditionalFormatting>
  <conditionalFormatting sqref="BG34:BG35">
    <cfRule type="expression" dxfId="101" priority="115">
      <formula>OR(IF(BG34&lt;BH34,TRUE),IF(AND(BH34="",BG34&lt;&gt;""),TRUE))</formula>
    </cfRule>
    <cfRule type="expression" dxfId="100" priority="116">
      <formula>IF(BG34&gt;=BH34,IF(BG34="",FALSE,TRUE))</formula>
    </cfRule>
  </conditionalFormatting>
  <conditionalFormatting sqref="J5:J15 J24">
    <cfRule type="colorScale" priority="106">
      <colorScale>
        <cfvo type="percent" val="0"/>
        <cfvo type="percent" val="100"/>
        <color rgb="FFFF231B"/>
        <color rgb="FF10FF07"/>
      </colorScale>
    </cfRule>
  </conditionalFormatting>
  <conditionalFormatting sqref="K5:K15 K24">
    <cfRule type="colorScale" priority="105">
      <colorScale>
        <cfvo type="percent" val="0"/>
        <cfvo type="percent" val="100"/>
        <color rgb="FFFF231B"/>
        <color rgb="FF10FF07"/>
      </colorScale>
    </cfRule>
  </conditionalFormatting>
  <conditionalFormatting sqref="J28:K31">
    <cfRule type="colorScale" priority="289">
      <colorScale>
        <cfvo type="percent" val="0"/>
        <cfvo type="percent" val="100"/>
        <color rgb="FFFF231B"/>
        <color rgb="FF10FF07"/>
      </colorScale>
    </cfRule>
  </conditionalFormatting>
  <conditionalFormatting sqref="J27:J31">
    <cfRule type="colorScale" priority="290">
      <colorScale>
        <cfvo type="percent" val="0"/>
        <cfvo type="percent" val="100"/>
        <color rgb="FFFF231B"/>
        <color rgb="FF10FF07"/>
      </colorScale>
    </cfRule>
  </conditionalFormatting>
  <conditionalFormatting sqref="K27:K31">
    <cfRule type="colorScale" priority="291">
      <colorScale>
        <cfvo type="percent" val="0"/>
        <cfvo type="percent" val="100"/>
        <color rgb="FFFF231B"/>
        <color rgb="FF10FF07"/>
      </colorScale>
    </cfRule>
  </conditionalFormatting>
  <conditionalFormatting sqref="J23:K23">
    <cfRule type="colorScale" priority="98">
      <colorScale>
        <cfvo type="percent" val="0"/>
        <cfvo type="percent" val="100"/>
        <color rgb="FFFF231B"/>
        <color rgb="FF10FF07"/>
      </colorScale>
    </cfRule>
  </conditionalFormatting>
  <conditionalFormatting sqref="O23">
    <cfRule type="expression" dxfId="99" priority="96">
      <formula>OR(IF(O23&lt;P23,TRUE),IF(AND(P23="",O23&lt;&gt;""),TRUE))</formula>
    </cfRule>
    <cfRule type="expression" dxfId="98" priority="97">
      <formula>IF(O23&gt;=P23,IF(O23="",FALSE,TRUE))</formula>
    </cfRule>
  </conditionalFormatting>
  <conditionalFormatting sqref="Q23">
    <cfRule type="expression" dxfId="97" priority="94">
      <formula>OR(IF(Q23&lt;R23,TRUE),IF(AND(R23="",Q23&lt;&gt;""),TRUE))</formula>
    </cfRule>
    <cfRule type="expression" dxfId="96" priority="95">
      <formula>IF(Q23&gt;=R23,IF(Q23="",FALSE,TRUE))</formula>
    </cfRule>
  </conditionalFormatting>
  <conditionalFormatting sqref="AQ23">
    <cfRule type="expression" dxfId="95" priority="80">
      <formula>OR(IF(AQ23&lt;AR23,TRUE),IF(AND(AR23="",AQ23&lt;&gt;""),TRUE))</formula>
    </cfRule>
    <cfRule type="expression" dxfId="94" priority="81">
      <formula>IF(AQ23&gt;=AR23,IF(AQ23="",FALSE,TRUE))</formula>
    </cfRule>
  </conditionalFormatting>
  <conditionalFormatting sqref="AS23">
    <cfRule type="expression" dxfId="93" priority="78">
      <formula>OR(IF(AS23&lt;AT23,TRUE),IF(AND(AT23="",AS23&lt;&gt;""),TRUE))</formula>
    </cfRule>
    <cfRule type="expression" dxfId="92" priority="79">
      <formula>IF(AS23&gt;=AT23,IF(AS23="",FALSE,TRUE))</formula>
    </cfRule>
  </conditionalFormatting>
  <conditionalFormatting sqref="BE23">
    <cfRule type="expression" dxfId="91" priority="72">
      <formula>OR(IF(BE23&lt;BF23,TRUE),IF(AND(BF23="",BE23&lt;&gt;""),TRUE))</formula>
    </cfRule>
    <cfRule type="expression" dxfId="90" priority="73">
      <formula>IF(BE23&gt;=BF23,IF(BE23="",FALSE,TRUE))</formula>
    </cfRule>
  </conditionalFormatting>
  <conditionalFormatting sqref="BG23">
    <cfRule type="expression" dxfId="89" priority="70">
      <formula>OR(IF(BG23&lt;BH23,TRUE),IF(AND(BH23="",BG23&lt;&gt;""),TRUE))</formula>
    </cfRule>
    <cfRule type="expression" dxfId="88" priority="71">
      <formula>IF(BG23&gt;=BH23,IF(BG23="",FALSE,TRUE))</formula>
    </cfRule>
  </conditionalFormatting>
  <conditionalFormatting sqref="V23">
    <cfRule type="expression" dxfId="87" priority="92">
      <formula>OR(IF(V23&lt;W23,TRUE),IF(AND(W23="",V23&lt;&gt;""),TRUE))</formula>
    </cfRule>
    <cfRule type="expression" dxfId="86" priority="93">
      <formula>IF(V23&gt;=W23,IF(V23="",FALSE,TRUE))</formula>
    </cfRule>
  </conditionalFormatting>
  <conditionalFormatting sqref="X23">
    <cfRule type="expression" dxfId="85" priority="90">
      <formula>OR(IF(X23&lt;Y23,TRUE),IF(AND(Y23="",X23&lt;&gt;""),TRUE))</formula>
    </cfRule>
    <cfRule type="expression" dxfId="84" priority="91">
      <formula>IF(X23&gt;=Y23,IF(X23="",FALSE,TRUE))</formula>
    </cfRule>
  </conditionalFormatting>
  <conditionalFormatting sqref="AC23">
    <cfRule type="expression" dxfId="83" priority="88">
      <formula>OR(IF(AC23&lt;AD23,TRUE),IF(AND(AD23="",AC23&lt;&gt;""),TRUE))</formula>
    </cfRule>
    <cfRule type="expression" dxfId="82" priority="89">
      <formula>IF(AC23&gt;=AD23,IF(AC23="",FALSE,TRUE))</formula>
    </cfRule>
  </conditionalFormatting>
  <conditionalFormatting sqref="AE23">
    <cfRule type="expression" dxfId="81" priority="86">
      <formula>OR(IF(AE23&lt;AF23,TRUE),IF(AND(AF23="",AE23&lt;&gt;""),TRUE))</formula>
    </cfRule>
    <cfRule type="expression" dxfId="80" priority="87">
      <formula>IF(AE23&gt;=AF23,IF(AE23="",FALSE,TRUE))</formula>
    </cfRule>
  </conditionalFormatting>
  <conditionalFormatting sqref="AJ23">
    <cfRule type="expression" dxfId="79" priority="84">
      <formula>OR(IF(AJ23&lt;AK23,TRUE),IF(AND(AK23="",AJ23&lt;&gt;""),TRUE))</formula>
    </cfRule>
    <cfRule type="expression" dxfId="78" priority="85">
      <formula>IF(AJ23&gt;=AK23,IF(AJ23="",FALSE,TRUE))</formula>
    </cfRule>
  </conditionalFormatting>
  <conditionalFormatting sqref="AL23">
    <cfRule type="expression" dxfId="77" priority="82">
      <formula>OR(IF(AL23&lt;AM23,TRUE),IF(AND(AM23="",AL23&lt;&gt;""),TRUE))</formula>
    </cfRule>
    <cfRule type="expression" dxfId="76" priority="83">
      <formula>IF(AL23&gt;=AM23,IF(AL23="",FALSE,TRUE))</formula>
    </cfRule>
  </conditionalFormatting>
  <conditionalFormatting sqref="AX23">
    <cfRule type="expression" dxfId="75" priority="76">
      <formula>OR(IF(AX23&lt;AY23,TRUE),IF(AND(AY23="",AX23&lt;&gt;""),TRUE))</formula>
    </cfRule>
    <cfRule type="expression" dxfId="74" priority="77">
      <formula>IF(AX23&gt;=AY23,IF(AX23="",FALSE,TRUE))</formula>
    </cfRule>
  </conditionalFormatting>
  <conditionalFormatting sqref="AZ23">
    <cfRule type="expression" dxfId="73" priority="74">
      <formula>OR(IF(AZ23&lt;BA23,TRUE),IF(AND(BA23="",AZ23&lt;&gt;""),TRUE))</formula>
    </cfRule>
    <cfRule type="expression" dxfId="72" priority="75">
      <formula>IF(AZ23&gt;=BA23,IF(AZ23="",FALSE,TRUE))</formula>
    </cfRule>
  </conditionalFormatting>
  <conditionalFormatting sqref="J23">
    <cfRule type="colorScale" priority="69">
      <colorScale>
        <cfvo type="percent" val="0"/>
        <cfvo type="percent" val="100"/>
        <color rgb="FFFF231B"/>
        <color rgb="FF10FF07"/>
      </colorScale>
    </cfRule>
  </conditionalFormatting>
  <conditionalFormatting sqref="K23">
    <cfRule type="colorScale" priority="68">
      <colorScale>
        <cfvo type="percent" val="0"/>
        <cfvo type="percent" val="100"/>
        <color rgb="FFFF231B"/>
        <color rgb="FF10FF07"/>
      </colorScale>
    </cfRule>
  </conditionalFormatting>
  <conditionalFormatting sqref="J16:K22">
    <cfRule type="colorScale" priority="67">
      <colorScale>
        <cfvo type="percent" val="0"/>
        <cfvo type="percent" val="100"/>
        <color rgb="FFFF231B"/>
        <color rgb="FF10FF07"/>
      </colorScale>
    </cfRule>
  </conditionalFormatting>
  <conditionalFormatting sqref="O16:O22">
    <cfRule type="expression" dxfId="71" priority="65">
      <formula>OR(IF(O16&lt;P16,TRUE),IF(AND(P16="",O16&lt;&gt;""),TRUE))</formula>
    </cfRule>
    <cfRule type="expression" dxfId="70" priority="66">
      <formula>IF(O16&gt;=P16,IF(O16="",FALSE,TRUE))</formula>
    </cfRule>
  </conditionalFormatting>
  <conditionalFormatting sqref="Q16:Q22">
    <cfRule type="expression" dxfId="69" priority="63">
      <formula>OR(IF(Q16&lt;R16,TRUE),IF(AND(R16="",Q16&lt;&gt;""),TRUE))</formula>
    </cfRule>
    <cfRule type="expression" dxfId="68" priority="64">
      <formula>IF(Q16&gt;=R16,IF(Q16="",FALSE,TRUE))</formula>
    </cfRule>
  </conditionalFormatting>
  <conditionalFormatting sqref="AQ16:AQ22">
    <cfRule type="expression" dxfId="67" priority="49">
      <formula>OR(IF(AQ16&lt;AR16,TRUE),IF(AND(AR16="",AQ16&lt;&gt;""),TRUE))</formula>
    </cfRule>
    <cfRule type="expression" dxfId="66" priority="50">
      <formula>IF(AQ16&gt;=AR16,IF(AQ16="",FALSE,TRUE))</formula>
    </cfRule>
  </conditionalFormatting>
  <conditionalFormatting sqref="AS16:AS22">
    <cfRule type="expression" dxfId="65" priority="47">
      <formula>OR(IF(AS16&lt;AT16,TRUE),IF(AND(AT16="",AS16&lt;&gt;""),TRUE))</formula>
    </cfRule>
    <cfRule type="expression" dxfId="64" priority="48">
      <formula>IF(AS16&gt;=AT16,IF(AS16="",FALSE,TRUE))</formula>
    </cfRule>
  </conditionalFormatting>
  <conditionalFormatting sqref="BE16:BE22">
    <cfRule type="expression" dxfId="63" priority="41">
      <formula>OR(IF(BE16&lt;BF16,TRUE),IF(AND(BF16="",BE16&lt;&gt;""),TRUE))</formula>
    </cfRule>
    <cfRule type="expression" dxfId="62" priority="42">
      <formula>IF(BE16&gt;=BF16,IF(BE16="",FALSE,TRUE))</formula>
    </cfRule>
  </conditionalFormatting>
  <conditionalFormatting sqref="BG16:BG22">
    <cfRule type="expression" dxfId="61" priority="39">
      <formula>OR(IF(BG16&lt;BH16,TRUE),IF(AND(BH16="",BG16&lt;&gt;""),TRUE))</formula>
    </cfRule>
    <cfRule type="expression" dxfId="60" priority="40">
      <formula>IF(BG16&gt;=BH16,IF(BG16="",FALSE,TRUE))</formula>
    </cfRule>
  </conditionalFormatting>
  <conditionalFormatting sqref="V16:V22">
    <cfRule type="expression" dxfId="59" priority="61">
      <formula>OR(IF(V16&lt;W16,TRUE),IF(AND(W16="",V16&lt;&gt;""),TRUE))</formula>
    </cfRule>
    <cfRule type="expression" dxfId="58" priority="62">
      <formula>IF(V16&gt;=W16,IF(V16="",FALSE,TRUE))</formula>
    </cfRule>
  </conditionalFormatting>
  <conditionalFormatting sqref="X16:X22">
    <cfRule type="expression" dxfId="57" priority="59">
      <formula>OR(IF(X16&lt;Y16,TRUE),IF(AND(Y16="",X16&lt;&gt;""),TRUE))</formula>
    </cfRule>
    <cfRule type="expression" dxfId="56" priority="60">
      <formula>IF(X16&gt;=Y16,IF(X16="",FALSE,TRUE))</formula>
    </cfRule>
  </conditionalFormatting>
  <conditionalFormatting sqref="AC16:AC22">
    <cfRule type="expression" dxfId="55" priority="57">
      <formula>OR(IF(AC16&lt;AD16,TRUE),IF(AND(AD16="",AC16&lt;&gt;""),TRUE))</formula>
    </cfRule>
    <cfRule type="expression" dxfId="54" priority="58">
      <formula>IF(AC16&gt;=AD16,IF(AC16="",FALSE,TRUE))</formula>
    </cfRule>
  </conditionalFormatting>
  <conditionalFormatting sqref="AE16:AE22">
    <cfRule type="expression" dxfId="53" priority="55">
      <formula>OR(IF(AE16&lt;AF16,TRUE),IF(AND(AF16="",AE16&lt;&gt;""),TRUE))</formula>
    </cfRule>
    <cfRule type="expression" dxfId="52" priority="56">
      <formula>IF(AE16&gt;=AF16,IF(AE16="",FALSE,TRUE))</formula>
    </cfRule>
  </conditionalFormatting>
  <conditionalFormatting sqref="AJ16:AJ22">
    <cfRule type="expression" dxfId="51" priority="53">
      <formula>OR(IF(AJ16&lt;AK16,TRUE),IF(AND(AK16="",AJ16&lt;&gt;""),TRUE))</formula>
    </cfRule>
    <cfRule type="expression" dxfId="50" priority="54">
      <formula>IF(AJ16&gt;=AK16,IF(AJ16="",FALSE,TRUE))</formula>
    </cfRule>
  </conditionalFormatting>
  <conditionalFormatting sqref="AL16:AL22">
    <cfRule type="expression" dxfId="49" priority="51">
      <formula>OR(IF(AL16&lt;AM16,TRUE),IF(AND(AM16="",AL16&lt;&gt;""),TRUE))</formula>
    </cfRule>
    <cfRule type="expression" dxfId="48" priority="52">
      <formula>IF(AL16&gt;=AM16,IF(AL16="",FALSE,TRUE))</formula>
    </cfRule>
  </conditionalFormatting>
  <conditionalFormatting sqref="AX16:AX22">
    <cfRule type="expression" dxfId="47" priority="45">
      <formula>OR(IF(AX16&lt;AY16,TRUE),IF(AND(AY16="",AX16&lt;&gt;""),TRUE))</formula>
    </cfRule>
    <cfRule type="expression" dxfId="46" priority="46">
      <formula>IF(AX16&gt;=AY16,IF(AX16="",FALSE,TRUE))</formula>
    </cfRule>
  </conditionalFormatting>
  <conditionalFormatting sqref="AZ16:AZ22">
    <cfRule type="expression" dxfId="45" priority="43">
      <formula>OR(IF(AZ16&lt;BA16,TRUE),IF(AND(BA16="",AZ16&lt;&gt;""),TRUE))</formula>
    </cfRule>
    <cfRule type="expression" dxfId="44" priority="44">
      <formula>IF(AZ16&gt;=BA16,IF(AZ16="",FALSE,TRUE))</formula>
    </cfRule>
  </conditionalFormatting>
  <conditionalFormatting sqref="J16:J22">
    <cfRule type="colorScale" priority="38">
      <colorScale>
        <cfvo type="percent" val="0"/>
        <cfvo type="percent" val="100"/>
        <color rgb="FFFF231B"/>
        <color rgb="FF10FF07"/>
      </colorScale>
    </cfRule>
  </conditionalFormatting>
  <conditionalFormatting sqref="K16:K22">
    <cfRule type="colorScale" priority="37">
      <colorScale>
        <cfvo type="percent" val="0"/>
        <cfvo type="percent" val="100"/>
        <color rgb="FFFF231B"/>
        <color rgb="FF10FF07"/>
      </colorScale>
    </cfRule>
  </conditionalFormatting>
  <conditionalFormatting sqref="J35:K44">
    <cfRule type="colorScale" priority="320">
      <colorScale>
        <cfvo type="percent" val="0"/>
        <cfvo type="percent" val="100"/>
        <color rgb="FFFF231B"/>
        <color rgb="FF10FF07"/>
      </colorScale>
    </cfRule>
  </conditionalFormatting>
  <conditionalFormatting sqref="J34:J44">
    <cfRule type="colorScale" priority="321">
      <colorScale>
        <cfvo type="percent" val="0"/>
        <cfvo type="percent" val="100"/>
        <color rgb="FFFF231B"/>
        <color rgb="FF10FF07"/>
      </colorScale>
    </cfRule>
  </conditionalFormatting>
  <conditionalFormatting sqref="K34:K44">
    <cfRule type="colorScale" priority="322">
      <colorScale>
        <cfvo type="percent" val="0"/>
        <cfvo type="percent" val="100"/>
        <color rgb="FFFF231B"/>
        <color rgb="FF10FF07"/>
      </colorScale>
    </cfRule>
  </conditionalFormatting>
  <conditionalFormatting sqref="BN36:BN44 BL36:BL44">
    <cfRule type="expression" dxfId="43" priority="35">
      <formula>OR(IF(BL36&lt;BM36,TRUE),IF(AND(BM36="",BL36&lt;&gt;""),TRUE))</formula>
    </cfRule>
    <cfRule type="expression" dxfId="42" priority="36">
      <formula>IF(BL36&gt;=BM36,IF(BL36="",FALSE,TRUE))</formula>
    </cfRule>
  </conditionalFormatting>
  <conditionalFormatting sqref="BL27:BL31 BN27:BN31 BL5:BL15 BL24">
    <cfRule type="expression" dxfId="41" priority="33">
      <formula>OR(IF(BL5&lt;BM5,TRUE),IF(AND(BM5="",BL5&lt;&gt;""),TRUE))</formula>
    </cfRule>
    <cfRule type="expression" dxfId="40" priority="34">
      <formula>IF(BL5&gt;=BM5,IF(BL5="",FALSE,TRUE))</formula>
    </cfRule>
  </conditionalFormatting>
  <conditionalFormatting sqref="BN5:BN15 BN24">
    <cfRule type="expression" dxfId="39" priority="31">
      <formula>OR(IF(BN5&lt;BO5,TRUE),IF(AND(BO5="",BN5&lt;&gt;""),TRUE))</formula>
    </cfRule>
    <cfRule type="expression" dxfId="38" priority="32">
      <formula>IF(BN5&gt;=BO5,IF(BN5="",FALSE,TRUE))</formula>
    </cfRule>
  </conditionalFormatting>
  <conditionalFormatting sqref="BL34:BL35">
    <cfRule type="expression" dxfId="37" priority="29">
      <formula>OR(IF(BL34&lt;BM34,TRUE),IF(AND(BM34="",BL34&lt;&gt;""),TRUE))</formula>
    </cfRule>
    <cfRule type="expression" dxfId="36" priority="30">
      <formula>IF(BL34&gt;=BM34,IF(BL34="",FALSE,TRUE))</formula>
    </cfRule>
  </conditionalFormatting>
  <conditionalFormatting sqref="BN34:BN35">
    <cfRule type="expression" dxfId="35" priority="27">
      <formula>OR(IF(BN34&lt;BO34,TRUE),IF(AND(BO34="",BN34&lt;&gt;""),TRUE))</formula>
    </cfRule>
    <cfRule type="expression" dxfId="34" priority="28">
      <formula>IF(BN34&gt;=BO34,IF(BN34="",FALSE,TRUE))</formula>
    </cfRule>
  </conditionalFormatting>
  <conditionalFormatting sqref="BL23">
    <cfRule type="expression" dxfId="33" priority="25">
      <formula>OR(IF(BL23&lt;BM23,TRUE),IF(AND(BM23="",BL23&lt;&gt;""),TRUE))</formula>
    </cfRule>
    <cfRule type="expression" dxfId="32" priority="26">
      <formula>IF(BL23&gt;=BM23,IF(BL23="",FALSE,TRUE))</formula>
    </cfRule>
  </conditionalFormatting>
  <conditionalFormatting sqref="BN23">
    <cfRule type="expression" dxfId="31" priority="23">
      <formula>OR(IF(BN23&lt;BO23,TRUE),IF(AND(BO23="",BN23&lt;&gt;""),TRUE))</formula>
    </cfRule>
    <cfRule type="expression" dxfId="30" priority="24">
      <formula>IF(BN23&gt;=BO23,IF(BN23="",FALSE,TRUE))</formula>
    </cfRule>
  </conditionalFormatting>
  <conditionalFormatting sqref="BL16:BL22">
    <cfRule type="expression" dxfId="29" priority="21">
      <formula>OR(IF(BL16&lt;BM16,TRUE),IF(AND(BM16="",BL16&lt;&gt;""),TRUE))</formula>
    </cfRule>
    <cfRule type="expression" dxfId="28" priority="22">
      <formula>IF(BL16&gt;=BM16,IF(BL16="",FALSE,TRUE))</formula>
    </cfRule>
  </conditionalFormatting>
  <conditionalFormatting sqref="BN16:BN22">
    <cfRule type="expression" dxfId="27" priority="19">
      <formula>OR(IF(BN16&lt;BO16,TRUE),IF(AND(BO16="",BN16&lt;&gt;""),TRUE))</formula>
    </cfRule>
    <cfRule type="expression" dxfId="26" priority="20">
      <formula>IF(BN16&gt;=BO16,IF(BN16="",FALSE,TRUE))</formula>
    </cfRule>
  </conditionalFormatting>
  <conditionalFormatting sqref="BU36:BU44 BS36:BS44">
    <cfRule type="expression" dxfId="25" priority="17">
      <formula>OR(IF(BS36&lt;BT36,TRUE),IF(AND(BT36="",BS36&lt;&gt;""),TRUE))</formula>
    </cfRule>
    <cfRule type="expression" dxfId="24" priority="18">
      <formula>IF(BS36&gt;=BT36,IF(BS36="",FALSE,TRUE))</formula>
    </cfRule>
  </conditionalFormatting>
  <conditionalFormatting sqref="BS27:BS31 BU27:BU31 BS5:BS15 BS24">
    <cfRule type="expression" dxfId="23" priority="15">
      <formula>OR(IF(BS5&lt;BT5,TRUE),IF(AND(BT5="",BS5&lt;&gt;""),TRUE))</formula>
    </cfRule>
    <cfRule type="expression" dxfId="22" priority="16">
      <formula>IF(BS5&gt;=BT5,IF(BS5="",FALSE,TRUE))</formula>
    </cfRule>
  </conditionalFormatting>
  <conditionalFormatting sqref="BU5:BU15 BU24">
    <cfRule type="expression" dxfId="21" priority="13">
      <formula>OR(IF(BU5&lt;BV5,TRUE),IF(AND(BV5="",BU5&lt;&gt;""),TRUE))</formula>
    </cfRule>
    <cfRule type="expression" dxfId="20" priority="14">
      <formula>IF(BU5&gt;=BV5,IF(BU5="",FALSE,TRUE))</formula>
    </cfRule>
  </conditionalFormatting>
  <conditionalFormatting sqref="BS34:BS35">
    <cfRule type="expression" dxfId="19" priority="11">
      <formula>OR(IF(BS34&lt;BT34,TRUE),IF(AND(BT34="",BS34&lt;&gt;""),TRUE))</formula>
    </cfRule>
    <cfRule type="expression" dxfId="18" priority="12">
      <formula>IF(BS34&gt;=BT34,IF(BS34="",FALSE,TRUE))</formula>
    </cfRule>
  </conditionalFormatting>
  <conditionalFormatting sqref="BU34:BU35">
    <cfRule type="expression" dxfId="17" priority="9">
      <formula>OR(IF(BU34&lt;BV34,TRUE),IF(AND(BV34="",BU34&lt;&gt;""),TRUE))</formula>
    </cfRule>
    <cfRule type="expression" dxfId="16" priority="10">
      <formula>IF(BU34&gt;=BV34,IF(BU34="",FALSE,TRUE))</formula>
    </cfRule>
  </conditionalFormatting>
  <conditionalFormatting sqref="BS23">
    <cfRule type="expression" dxfId="15" priority="7">
      <formula>OR(IF(BS23&lt;BT23,TRUE),IF(AND(BT23="",BS23&lt;&gt;""),TRUE))</formula>
    </cfRule>
    <cfRule type="expression" dxfId="14" priority="8">
      <formula>IF(BS23&gt;=BT23,IF(BS23="",FALSE,TRUE))</formula>
    </cfRule>
  </conditionalFormatting>
  <conditionalFormatting sqref="BU23">
    <cfRule type="expression" dxfId="13" priority="5">
      <formula>OR(IF(BU23&lt;BV23,TRUE),IF(AND(BV23="",BU23&lt;&gt;""),TRUE))</formula>
    </cfRule>
    <cfRule type="expression" dxfId="12" priority="6">
      <formula>IF(BU23&gt;=BV23,IF(BU23="",FALSE,TRUE))</formula>
    </cfRule>
  </conditionalFormatting>
  <conditionalFormatting sqref="BS16:BS22">
    <cfRule type="expression" dxfId="11" priority="3">
      <formula>OR(IF(BS16&lt;BT16,TRUE),IF(AND(BT16="",BS16&lt;&gt;""),TRUE))</formula>
    </cfRule>
    <cfRule type="expression" dxfId="10" priority="4">
      <formula>IF(BS16&gt;=BT16,IF(BS16="",FALSE,TRUE))</formula>
    </cfRule>
  </conditionalFormatting>
  <conditionalFormatting sqref="BU16:BU22">
    <cfRule type="expression" dxfId="9" priority="1">
      <formula>OR(IF(BU16&lt;BV16,TRUE),IF(AND(BV16="",BU16&lt;&gt;""),TRUE))</formula>
    </cfRule>
    <cfRule type="expression" dxfId="8" priority="2">
      <formula>IF(BU16&gt;=BV16,IF(BU16="",FALSE,TRUE))</formula>
    </cfRule>
  </conditionalFormatting>
  <conditionalFormatting sqref="BG5">
    <cfRule type="expression" dxfId="7" priority="325">
      <formula>OR(IF(BG5&lt;#REF!,TRUE),IF(AND(#REF!="",BG5&lt;&gt;""),TRUE))</formula>
    </cfRule>
    <cfRule type="expression" dxfId="6" priority="326">
      <formula>IF(BG5&gt;=#REF!,IF(BG5="",FALSE,TRUE))</formula>
    </cfRule>
  </conditionalFormatting>
  <dataValidations count="1">
    <dataValidation type="list" allowBlank="1" showInputMessage="1" showErrorMessage="1" sqref="O27:R31 AJ34:AM44 AC5:AF24 AQ34:AT44 AQ27:AT31 AX34:BA44 AX27:BA31 BE34:BH44 AC27:AF31 BE27:BH31 AJ5:AM24 BL34:BO44 V5:Y24 AC34:AF44 O5:R24 AX5:BA24 O34:R44 BS5:BV24 V34:Y44 AQ5:AT24 AJ27:AM31 V27:Y31 BL27:BO31 BL5:BO24 BS34:BV44 BS27:BV31 BB5 BE6:BH24 BE5:BG5" xr:uid="{DF46768B-76BD-4AD1-BDD9-05E5E50A35C8}">
      <formula1>"10%,20%,30%,40%,50%,60%,70%,80%,90%,100%"</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DC74A-41FF-564E-9985-F60E7FCAF3B0}">
  <dimension ref="A1:K46"/>
  <sheetViews>
    <sheetView workbookViewId="0">
      <selection activeCell="N27" sqref="N27"/>
    </sheetView>
  </sheetViews>
  <sheetFormatPr baseColWidth="10" defaultColWidth="10.6640625" defaultRowHeight="16" x14ac:dyDescent="0.2"/>
  <cols>
    <col min="1" max="1" width="16.83203125" style="11" customWidth="1"/>
    <col min="2" max="2" width="19.1640625" style="11" customWidth="1"/>
    <col min="3" max="3" width="18.1640625" style="11" customWidth="1"/>
    <col min="4" max="4" width="19.5" style="11" customWidth="1"/>
    <col min="8" max="8" width="15.1640625" customWidth="1"/>
    <col min="10" max="10" width="42" customWidth="1"/>
    <col min="11" max="11" width="28.5" customWidth="1"/>
  </cols>
  <sheetData>
    <row r="1" spans="1:11" ht="34" x14ac:dyDescent="0.2">
      <c r="A1" s="11" t="s">
        <v>41</v>
      </c>
      <c r="B1" s="16" t="s">
        <v>38</v>
      </c>
      <c r="C1" s="16" t="s">
        <v>39</v>
      </c>
      <c r="D1" s="16" t="s">
        <v>40</v>
      </c>
      <c r="E1" s="1" t="s">
        <v>42</v>
      </c>
      <c r="F1" s="1" t="s">
        <v>43</v>
      </c>
      <c r="G1" s="1" t="s">
        <v>44</v>
      </c>
      <c r="H1" s="1" t="s">
        <v>45</v>
      </c>
      <c r="I1" s="1" t="s">
        <v>46</v>
      </c>
      <c r="J1" s="1" t="s">
        <v>47</v>
      </c>
      <c r="K1" s="1" t="s">
        <v>48</v>
      </c>
    </row>
    <row r="2" spans="1:11" x14ac:dyDescent="0.2">
      <c r="A2" s="15">
        <v>44118</v>
      </c>
    </row>
    <row r="3" spans="1:11" x14ac:dyDescent="0.2">
      <c r="A3" s="15">
        <v>44119</v>
      </c>
    </row>
    <row r="4" spans="1:11" x14ac:dyDescent="0.2">
      <c r="A4" s="15">
        <v>44120</v>
      </c>
    </row>
    <row r="5" spans="1:11" x14ac:dyDescent="0.2">
      <c r="A5" s="15">
        <v>44121</v>
      </c>
    </row>
    <row r="6" spans="1:11" x14ac:dyDescent="0.2">
      <c r="A6" s="15">
        <v>44122</v>
      </c>
    </row>
    <row r="7" spans="1:11" x14ac:dyDescent="0.2">
      <c r="A7" s="15">
        <v>44123</v>
      </c>
    </row>
    <row r="8" spans="1:11" x14ac:dyDescent="0.2">
      <c r="A8" s="15">
        <v>44124</v>
      </c>
    </row>
    <row r="9" spans="1:11" x14ac:dyDescent="0.2">
      <c r="A9" s="15">
        <v>44125</v>
      </c>
    </row>
    <row r="10" spans="1:11" x14ac:dyDescent="0.2">
      <c r="A10" s="15">
        <v>44126</v>
      </c>
    </row>
    <row r="11" spans="1:11" x14ac:dyDescent="0.2">
      <c r="A11" s="15">
        <v>44127</v>
      </c>
    </row>
    <row r="12" spans="1:11" x14ac:dyDescent="0.2">
      <c r="A12" s="15">
        <v>44128</v>
      </c>
    </row>
    <row r="13" spans="1:11" x14ac:dyDescent="0.2">
      <c r="A13" s="15">
        <v>44129</v>
      </c>
    </row>
    <row r="14" spans="1:11" x14ac:dyDescent="0.2">
      <c r="A14" s="15">
        <v>44130</v>
      </c>
    </row>
    <row r="15" spans="1:11" x14ac:dyDescent="0.2">
      <c r="A15" s="15">
        <v>44131</v>
      </c>
    </row>
    <row r="16" spans="1:11" x14ac:dyDescent="0.2">
      <c r="A16" s="15">
        <v>44132</v>
      </c>
    </row>
    <row r="17" spans="1:1" x14ac:dyDescent="0.2">
      <c r="A17" s="15">
        <v>44133</v>
      </c>
    </row>
    <row r="18" spans="1:1" x14ac:dyDescent="0.2">
      <c r="A18" s="15">
        <v>44134</v>
      </c>
    </row>
    <row r="19" spans="1:1" x14ac:dyDescent="0.2">
      <c r="A19" s="15">
        <v>44135</v>
      </c>
    </row>
    <row r="20" spans="1:1" x14ac:dyDescent="0.2">
      <c r="A20" s="15">
        <v>44136</v>
      </c>
    </row>
    <row r="21" spans="1:1" x14ac:dyDescent="0.2">
      <c r="A21" s="15">
        <v>44137</v>
      </c>
    </row>
    <row r="22" spans="1:1" x14ac:dyDescent="0.2">
      <c r="A22" s="15">
        <v>44138</v>
      </c>
    </row>
    <row r="23" spans="1:1" x14ac:dyDescent="0.2">
      <c r="A23" s="15">
        <v>44139</v>
      </c>
    </row>
    <row r="24" spans="1:1" x14ac:dyDescent="0.2">
      <c r="A24" s="15">
        <v>44140</v>
      </c>
    </row>
    <row r="25" spans="1:1" x14ac:dyDescent="0.2">
      <c r="A25" s="15">
        <v>44141</v>
      </c>
    </row>
    <row r="26" spans="1:1" x14ac:dyDescent="0.2">
      <c r="A26" s="15">
        <v>44142</v>
      </c>
    </row>
    <row r="27" spans="1:1" x14ac:dyDescent="0.2">
      <c r="A27" s="15">
        <v>44143</v>
      </c>
    </row>
    <row r="28" spans="1:1" x14ac:dyDescent="0.2">
      <c r="A28" s="15">
        <v>44144</v>
      </c>
    </row>
    <row r="29" spans="1:1" x14ac:dyDescent="0.2">
      <c r="A29" s="15">
        <v>44145</v>
      </c>
    </row>
    <row r="30" spans="1:1" x14ac:dyDescent="0.2">
      <c r="A30" s="15">
        <v>44146</v>
      </c>
    </row>
    <row r="31" spans="1:1" x14ac:dyDescent="0.2">
      <c r="A31" s="15">
        <v>44147</v>
      </c>
    </row>
    <row r="32" spans="1:1" x14ac:dyDescent="0.2">
      <c r="A32" s="15">
        <v>44148</v>
      </c>
    </row>
    <row r="33" spans="1:1" x14ac:dyDescent="0.2">
      <c r="A33" s="15">
        <v>44149</v>
      </c>
    </row>
    <row r="34" spans="1:1" x14ac:dyDescent="0.2">
      <c r="A34" s="15">
        <v>44150</v>
      </c>
    </row>
    <row r="35" spans="1:1" x14ac:dyDescent="0.2">
      <c r="A35" s="15">
        <v>44151</v>
      </c>
    </row>
    <row r="36" spans="1:1" x14ac:dyDescent="0.2">
      <c r="A36" s="15">
        <v>44152</v>
      </c>
    </row>
    <row r="37" spans="1:1" x14ac:dyDescent="0.2">
      <c r="A37" s="15">
        <v>44153</v>
      </c>
    </row>
    <row r="38" spans="1:1" x14ac:dyDescent="0.2">
      <c r="A38" s="15">
        <v>44154</v>
      </c>
    </row>
    <row r="39" spans="1:1" x14ac:dyDescent="0.2">
      <c r="A39" s="15">
        <v>44155</v>
      </c>
    </row>
    <row r="40" spans="1:1" x14ac:dyDescent="0.2">
      <c r="A40" s="15">
        <v>44156</v>
      </c>
    </row>
    <row r="41" spans="1:1" x14ac:dyDescent="0.2">
      <c r="A41" s="15">
        <v>44157</v>
      </c>
    </row>
    <row r="42" spans="1:1" x14ac:dyDescent="0.2">
      <c r="A42" s="15">
        <v>44158</v>
      </c>
    </row>
    <row r="43" spans="1:1" x14ac:dyDescent="0.2">
      <c r="A43" s="15">
        <v>44159</v>
      </c>
    </row>
    <row r="44" spans="1:1" x14ac:dyDescent="0.2">
      <c r="A44" s="15">
        <v>44160</v>
      </c>
    </row>
    <row r="45" spans="1:1" x14ac:dyDescent="0.2">
      <c r="A45" s="15">
        <v>44161</v>
      </c>
    </row>
    <row r="46" spans="1:1" x14ac:dyDescent="0.2">
      <c r="A46" s="15">
        <v>44162</v>
      </c>
    </row>
  </sheetData>
  <conditionalFormatting sqref="B2:B46">
    <cfRule type="cellIs" dxfId="5" priority="14" operator="equal">
      <formula>"Ja"</formula>
    </cfRule>
    <cfRule type="cellIs" dxfId="4" priority="15" operator="equal">
      <formula>"Nein"</formula>
    </cfRule>
  </conditionalFormatting>
  <conditionalFormatting sqref="B2:B46">
    <cfRule type="cellIs" dxfId="3" priority="4" operator="equal">
      <formula>"Ja"</formula>
    </cfRule>
  </conditionalFormatting>
  <conditionalFormatting sqref="C2:C46">
    <cfRule type="cellIs" dxfId="2" priority="2" operator="equal">
      <formula>"Ja"</formula>
    </cfRule>
    <cfRule type="cellIs" dxfId="1" priority="3" operator="equal">
      <formula>"Nein"</formula>
    </cfRule>
  </conditionalFormatting>
  <conditionalFormatting sqref="C2:C46">
    <cfRule type="cellIs" dxfId="0" priority="1" operator="equal">
      <formula>"Ja"</formula>
    </cfRule>
  </conditionalFormatting>
  <dataValidations count="1">
    <dataValidation type="list" allowBlank="1" showInputMessage="1" showErrorMessage="1" sqref="B2:C46" xr:uid="{7FDD2772-70A7-4C43-8D43-0112E4DB6845}">
      <formula1>"Ja,Nein"</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6C276-AAA2-A74B-8FD8-936D641BB4F1}">
  <dimension ref="A1:H47"/>
  <sheetViews>
    <sheetView zoomScale="117" workbookViewId="0">
      <selection activeCell="B44" sqref="B44:H45"/>
    </sheetView>
  </sheetViews>
  <sheetFormatPr baseColWidth="10" defaultColWidth="10.6640625" defaultRowHeight="16" x14ac:dyDescent="0.2"/>
  <sheetData>
    <row r="1" spans="1:8" ht="26" x14ac:dyDescent="0.3">
      <c r="B1" s="8" t="s">
        <v>25</v>
      </c>
    </row>
    <row r="4" spans="1:8" x14ac:dyDescent="0.2">
      <c r="B4" s="3" t="s">
        <v>4</v>
      </c>
      <c r="C4" s="3" t="s">
        <v>5</v>
      </c>
      <c r="D4" s="3" t="s">
        <v>6</v>
      </c>
      <c r="E4" s="3" t="s">
        <v>7</v>
      </c>
      <c r="F4" s="3" t="s">
        <v>10</v>
      </c>
      <c r="G4" s="3" t="s">
        <v>8</v>
      </c>
      <c r="H4" s="3" t="s">
        <v>9</v>
      </c>
    </row>
    <row r="5" spans="1:8" x14ac:dyDescent="0.2">
      <c r="A5" s="10">
        <v>0.16666666666666666</v>
      </c>
    </row>
    <row r="6" spans="1:8" x14ac:dyDescent="0.2">
      <c r="A6" s="10">
        <v>0.1875</v>
      </c>
    </row>
    <row r="7" spans="1:8" x14ac:dyDescent="0.2">
      <c r="A7" s="10">
        <v>0.20833333333333301</v>
      </c>
    </row>
    <row r="8" spans="1:8" x14ac:dyDescent="0.2">
      <c r="A8" s="10">
        <v>0.22916666666666699</v>
      </c>
    </row>
    <row r="9" spans="1:8" x14ac:dyDescent="0.2">
      <c r="A9" s="10">
        <v>0.25</v>
      </c>
    </row>
    <row r="10" spans="1:8" x14ac:dyDescent="0.2">
      <c r="A10" s="10">
        <v>0.27083333333333398</v>
      </c>
    </row>
    <row r="11" spans="1:8" x14ac:dyDescent="0.2">
      <c r="A11" s="10">
        <v>0.29166666666666702</v>
      </c>
    </row>
    <row r="12" spans="1:8" x14ac:dyDescent="0.2">
      <c r="A12" s="10">
        <v>0.3125</v>
      </c>
    </row>
    <row r="13" spans="1:8" x14ac:dyDescent="0.2">
      <c r="A13" s="10">
        <v>0.33333333333333398</v>
      </c>
      <c r="B13" s="27" t="s">
        <v>105</v>
      </c>
      <c r="C13" s="27" t="s">
        <v>101</v>
      </c>
      <c r="D13" s="27"/>
      <c r="E13" s="27" t="s">
        <v>103</v>
      </c>
      <c r="F13" s="27"/>
      <c r="G13" s="27" t="s">
        <v>104</v>
      </c>
      <c r="H13" s="27"/>
    </row>
    <row r="14" spans="1:8" x14ac:dyDescent="0.2">
      <c r="A14" s="10">
        <v>0.35416666666666702</v>
      </c>
      <c r="B14" s="27"/>
      <c r="C14" s="27"/>
      <c r="D14" s="27"/>
      <c r="E14" s="27"/>
      <c r="F14" s="27"/>
      <c r="G14" s="27"/>
      <c r="H14" s="27"/>
    </row>
    <row r="15" spans="1:8" x14ac:dyDescent="0.2">
      <c r="A15" s="10">
        <v>0.375</v>
      </c>
      <c r="B15" s="27"/>
      <c r="C15" s="27"/>
      <c r="D15" s="27"/>
      <c r="E15" s="27"/>
      <c r="F15" s="27"/>
      <c r="G15" s="27"/>
      <c r="H15" s="27"/>
    </row>
    <row r="16" spans="1:8" x14ac:dyDescent="0.2">
      <c r="A16" s="10">
        <v>0.39583333333333398</v>
      </c>
      <c r="B16" s="27"/>
      <c r="C16" s="27"/>
      <c r="D16" s="27"/>
      <c r="E16" s="27"/>
      <c r="F16" s="27"/>
      <c r="G16" s="27"/>
      <c r="H16" s="27"/>
    </row>
    <row r="17" spans="1:8" x14ac:dyDescent="0.2">
      <c r="A17" s="10">
        <v>0.41666666666666702</v>
      </c>
      <c r="B17" s="27"/>
      <c r="C17" s="27"/>
      <c r="D17" s="27"/>
      <c r="E17" s="27"/>
      <c r="F17" s="27"/>
      <c r="G17" s="27"/>
      <c r="H17" s="27"/>
    </row>
    <row r="18" spans="1:8" x14ac:dyDescent="0.2">
      <c r="A18" s="10">
        <v>0.4375</v>
      </c>
      <c r="B18" s="27"/>
      <c r="C18" s="27"/>
      <c r="D18" s="27"/>
      <c r="E18" s="27"/>
      <c r="F18" s="27"/>
      <c r="G18" s="27"/>
      <c r="H18" s="27"/>
    </row>
    <row r="19" spans="1:8" x14ac:dyDescent="0.2">
      <c r="A19" s="10">
        <v>0.45833333333333398</v>
      </c>
      <c r="B19" s="27"/>
      <c r="C19" s="27"/>
      <c r="D19" s="27"/>
      <c r="E19" s="27"/>
      <c r="F19" s="27"/>
      <c r="G19" s="27"/>
      <c r="H19" s="27"/>
    </row>
    <row r="20" spans="1:8" x14ac:dyDescent="0.2">
      <c r="A20" s="10">
        <v>0.47916666666666702</v>
      </c>
      <c r="B20" s="27"/>
      <c r="C20" s="27"/>
      <c r="D20" s="27"/>
      <c r="E20" s="27"/>
      <c r="F20" s="27"/>
      <c r="G20" s="27"/>
      <c r="H20" s="27"/>
    </row>
    <row r="21" spans="1:8" x14ac:dyDescent="0.2">
      <c r="A21" s="10">
        <v>0.5</v>
      </c>
      <c r="B21" s="27"/>
      <c r="C21" s="27"/>
      <c r="D21" s="27"/>
      <c r="E21" s="27"/>
      <c r="F21" s="27"/>
      <c r="G21" s="27"/>
      <c r="H21" s="27"/>
    </row>
    <row r="22" spans="1:8" x14ac:dyDescent="0.2">
      <c r="A22" s="10">
        <v>0.52083333333333404</v>
      </c>
      <c r="B22" s="27"/>
      <c r="C22" s="27"/>
      <c r="D22" s="27"/>
      <c r="E22" s="27"/>
      <c r="F22" s="27"/>
      <c r="G22" s="27"/>
      <c r="H22" s="27"/>
    </row>
    <row r="23" spans="1:8" x14ac:dyDescent="0.2">
      <c r="A23" s="10">
        <v>0.54166666666666696</v>
      </c>
      <c r="B23" s="27"/>
      <c r="C23" s="27"/>
      <c r="D23" s="27"/>
      <c r="E23" s="27"/>
      <c r="F23" s="27"/>
      <c r="G23" s="27"/>
      <c r="H23" s="27"/>
    </row>
    <row r="24" spans="1:8" x14ac:dyDescent="0.2">
      <c r="A24" s="10">
        <v>0.5625</v>
      </c>
      <c r="B24" s="27"/>
      <c r="C24" s="27"/>
      <c r="D24" s="27"/>
      <c r="E24" s="27"/>
      <c r="F24" s="27"/>
      <c r="G24" s="27"/>
      <c r="H24" s="27"/>
    </row>
    <row r="25" spans="1:8" x14ac:dyDescent="0.2">
      <c r="A25" s="10">
        <v>0.58333333333333404</v>
      </c>
      <c r="B25" s="27"/>
      <c r="C25" s="27"/>
      <c r="D25" s="27"/>
      <c r="E25" s="27"/>
      <c r="F25" s="27"/>
      <c r="G25" s="27"/>
      <c r="H25" s="27"/>
    </row>
    <row r="26" spans="1:8" x14ac:dyDescent="0.2">
      <c r="A26" s="10">
        <v>0.60416666666666696</v>
      </c>
      <c r="B26" s="27"/>
      <c r="C26" s="27"/>
      <c r="D26" s="27"/>
      <c r="E26" s="27"/>
      <c r="F26" s="27"/>
      <c r="G26" s="27"/>
      <c r="H26" s="27"/>
    </row>
    <row r="27" spans="1:8" x14ac:dyDescent="0.2">
      <c r="A27" s="10">
        <v>0.625000000000001</v>
      </c>
      <c r="B27" s="27"/>
      <c r="C27" s="27"/>
      <c r="D27" s="27"/>
      <c r="E27" s="27"/>
      <c r="F27" s="27"/>
      <c r="G27" s="27"/>
      <c r="H27" s="27"/>
    </row>
    <row r="28" spans="1:8" x14ac:dyDescent="0.2">
      <c r="A28" s="10">
        <v>0.64583333333333404</v>
      </c>
      <c r="B28" s="27"/>
      <c r="C28" s="27"/>
      <c r="D28" s="27"/>
      <c r="E28" s="27"/>
      <c r="F28" s="27"/>
      <c r="G28" s="27"/>
      <c r="H28" s="27"/>
    </row>
    <row r="29" spans="1:8" x14ac:dyDescent="0.2">
      <c r="A29" s="10">
        <v>0.66666666666666696</v>
      </c>
      <c r="B29" s="27"/>
      <c r="C29" s="27"/>
      <c r="D29" s="27"/>
      <c r="E29" s="27"/>
      <c r="F29" s="27"/>
      <c r="G29" s="27"/>
      <c r="H29" s="27"/>
    </row>
    <row r="30" spans="1:8" x14ac:dyDescent="0.2">
      <c r="A30" s="10">
        <v>0.687500000000001</v>
      </c>
      <c r="B30" s="27"/>
      <c r="C30" s="27"/>
      <c r="D30" s="27"/>
      <c r="E30" s="27"/>
      <c r="F30" s="27"/>
      <c r="G30" s="27"/>
      <c r="H30" s="27"/>
    </row>
    <row r="31" spans="1:8" x14ac:dyDescent="0.2">
      <c r="A31" s="10">
        <v>0.70833333333333404</v>
      </c>
      <c r="B31" s="27"/>
      <c r="C31" s="27"/>
      <c r="D31" s="27"/>
      <c r="E31" s="27"/>
      <c r="F31" s="27"/>
      <c r="G31" s="27"/>
      <c r="H31" s="27"/>
    </row>
    <row r="32" spans="1:8" x14ac:dyDescent="0.2">
      <c r="A32" s="10">
        <v>0.72916666666666696</v>
      </c>
      <c r="B32" s="27"/>
      <c r="C32" s="27"/>
      <c r="D32" s="27"/>
      <c r="E32" s="27"/>
      <c r="F32" s="27"/>
      <c r="G32" s="27"/>
      <c r="H32" s="27"/>
    </row>
    <row r="33" spans="1:8" x14ac:dyDescent="0.2">
      <c r="A33" s="10">
        <v>0.750000000000001</v>
      </c>
      <c r="B33" s="27"/>
      <c r="C33" s="27"/>
      <c r="D33" s="27"/>
      <c r="E33" s="27"/>
      <c r="F33" s="27"/>
      <c r="G33" s="27"/>
      <c r="H33" s="27"/>
    </row>
    <row r="34" spans="1:8" x14ac:dyDescent="0.2">
      <c r="A34" s="10">
        <v>0.77083333333333404</v>
      </c>
      <c r="B34" s="27"/>
      <c r="C34" s="27"/>
      <c r="D34" s="27"/>
      <c r="E34" s="27"/>
      <c r="F34" s="27"/>
      <c r="G34" s="27"/>
      <c r="H34" s="27"/>
    </row>
    <row r="35" spans="1:8" x14ac:dyDescent="0.2">
      <c r="A35" s="10">
        <v>0.79166666666666696</v>
      </c>
      <c r="B35" s="27"/>
      <c r="C35" s="27"/>
      <c r="D35" s="27"/>
      <c r="E35" s="27"/>
      <c r="F35" s="27"/>
      <c r="G35" s="27"/>
      <c r="H35" s="27"/>
    </row>
    <row r="36" spans="1:8" x14ac:dyDescent="0.2">
      <c r="A36" s="10">
        <v>0.812500000000001</v>
      </c>
      <c r="B36" s="27"/>
      <c r="C36" s="27"/>
      <c r="D36" s="27"/>
      <c r="E36" s="27"/>
      <c r="F36" s="27"/>
      <c r="G36" s="27"/>
      <c r="H36" s="27"/>
    </row>
    <row r="37" spans="1:8" x14ac:dyDescent="0.2">
      <c r="A37" s="10">
        <v>0.83333333333333404</v>
      </c>
      <c r="B37" s="27"/>
      <c r="C37" s="27"/>
      <c r="D37" s="27"/>
      <c r="E37" s="27"/>
      <c r="F37" s="27"/>
      <c r="G37" s="27"/>
      <c r="H37" s="27"/>
    </row>
    <row r="38" spans="1:8" x14ac:dyDescent="0.2">
      <c r="A38" s="10">
        <v>0.85416666666666696</v>
      </c>
      <c r="B38" s="27"/>
      <c r="C38" s="27"/>
      <c r="D38" s="27"/>
      <c r="E38" s="27"/>
      <c r="F38" s="27"/>
      <c r="G38" s="27"/>
      <c r="H38" s="27"/>
    </row>
    <row r="39" spans="1:8" x14ac:dyDescent="0.2">
      <c r="A39" s="10">
        <v>0.875000000000001</v>
      </c>
      <c r="B39" s="27"/>
      <c r="C39" s="27"/>
      <c r="D39" s="27"/>
      <c r="E39" s="27"/>
      <c r="F39" s="27"/>
      <c r="G39" s="27"/>
      <c r="H39" s="27"/>
    </row>
    <row r="40" spans="1:8" x14ac:dyDescent="0.2">
      <c r="A40" s="10">
        <v>0.89583333333333404</v>
      </c>
      <c r="B40" s="27"/>
      <c r="C40" s="27"/>
      <c r="D40" s="27"/>
      <c r="E40" s="27"/>
      <c r="F40" s="27"/>
      <c r="G40" s="27"/>
      <c r="H40" s="27"/>
    </row>
    <row r="41" spans="1:8" x14ac:dyDescent="0.2">
      <c r="A41" s="10">
        <v>0.91666666666666696</v>
      </c>
      <c r="B41" s="27"/>
      <c r="C41" s="27"/>
      <c r="D41" s="27"/>
      <c r="E41" s="27"/>
      <c r="F41" s="27"/>
      <c r="G41" s="27"/>
      <c r="H41" s="27"/>
    </row>
    <row r="42" spans="1:8" x14ac:dyDescent="0.2">
      <c r="A42" s="10">
        <v>0.937500000000001</v>
      </c>
      <c r="B42" s="27"/>
      <c r="C42" s="27"/>
      <c r="D42" s="27"/>
      <c r="E42" s="27"/>
      <c r="F42" s="27"/>
      <c r="G42" s="27"/>
      <c r="H42" s="27"/>
    </row>
    <row r="43" spans="1:8" x14ac:dyDescent="0.2">
      <c r="A43" s="10">
        <v>0.95833333333333404</v>
      </c>
      <c r="B43" s="27"/>
      <c r="C43" s="27"/>
      <c r="D43" s="27"/>
      <c r="E43" s="27"/>
      <c r="F43" s="27"/>
      <c r="G43" s="27"/>
      <c r="H43" s="27"/>
    </row>
    <row r="44" spans="1:8" x14ac:dyDescent="0.2">
      <c r="A44" s="10">
        <v>0.97916666666666696</v>
      </c>
      <c r="B44" s="32" t="s">
        <v>102</v>
      </c>
      <c r="C44" s="32"/>
      <c r="D44" s="32"/>
      <c r="E44" s="32"/>
      <c r="F44" s="32"/>
      <c r="G44" s="32"/>
      <c r="H44" s="32"/>
    </row>
    <row r="45" spans="1:8" x14ac:dyDescent="0.2">
      <c r="A45" s="10">
        <v>1</v>
      </c>
      <c r="B45" s="32"/>
      <c r="C45" s="32"/>
      <c r="D45" s="32"/>
      <c r="E45" s="32"/>
      <c r="F45" s="32"/>
      <c r="G45" s="32"/>
      <c r="H45" s="32"/>
    </row>
    <row r="46" spans="1:8" x14ac:dyDescent="0.2">
      <c r="A46" s="10">
        <v>1.0208333333333299</v>
      </c>
    </row>
    <row r="47" spans="1:8" x14ac:dyDescent="0.2">
      <c r="A47" s="10">
        <v>1.0416666666666701</v>
      </c>
    </row>
  </sheetData>
  <mergeCells count="5">
    <mergeCell ref="B13:B43"/>
    <mergeCell ref="C13:D43"/>
    <mergeCell ref="B44:H45"/>
    <mergeCell ref="E13:F43"/>
    <mergeCell ref="G13:H43"/>
  </mergeCells>
  <pageMargins left="0.7" right="0.7" top="0.75" bottom="0.75" header="0.3" footer="0.3"/>
  <pageSetup paperSize="9" orientation="portrait" horizontalDpi="4294967293" verticalDpi="4294967293"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1AB736-1F52-D544-A226-2BC422D25A20}">
  <dimension ref="A1:H47"/>
  <sheetViews>
    <sheetView workbookViewId="0">
      <selection activeCell="M45" sqref="M45"/>
    </sheetView>
  </sheetViews>
  <sheetFormatPr baseColWidth="10" defaultRowHeight="16" x14ac:dyDescent="0.2"/>
  <sheetData>
    <row r="1" spans="1:8" ht="26" x14ac:dyDescent="0.3">
      <c r="B1" s="8" t="s">
        <v>25</v>
      </c>
    </row>
    <row r="4" spans="1:8" x14ac:dyDescent="0.2">
      <c r="B4" s="3" t="s">
        <v>4</v>
      </c>
      <c r="C4" s="3" t="s">
        <v>5</v>
      </c>
      <c r="D4" s="3" t="s">
        <v>6</v>
      </c>
      <c r="E4" s="3" t="s">
        <v>7</v>
      </c>
      <c r="F4" s="3" t="s">
        <v>10</v>
      </c>
      <c r="G4" s="3" t="s">
        <v>8</v>
      </c>
      <c r="H4" s="3" t="s">
        <v>9</v>
      </c>
    </row>
    <row r="5" spans="1:8" x14ac:dyDescent="0.2">
      <c r="A5" s="10">
        <v>0.16666666666666666</v>
      </c>
    </row>
    <row r="6" spans="1:8" x14ac:dyDescent="0.2">
      <c r="A6" s="10">
        <v>0.1875</v>
      </c>
    </row>
    <row r="7" spans="1:8" x14ac:dyDescent="0.2">
      <c r="A7" s="10">
        <v>0.20833333333333301</v>
      </c>
    </row>
    <row r="8" spans="1:8" x14ac:dyDescent="0.2">
      <c r="A8" s="10">
        <v>0.22916666666666699</v>
      </c>
    </row>
    <row r="9" spans="1:8" x14ac:dyDescent="0.2">
      <c r="A9" s="10">
        <v>0.25</v>
      </c>
    </row>
    <row r="10" spans="1:8" x14ac:dyDescent="0.2">
      <c r="A10" s="10">
        <v>0.27083333333333398</v>
      </c>
    </row>
    <row r="11" spans="1:8" x14ac:dyDescent="0.2">
      <c r="A11" s="10">
        <v>0.29166666666666702</v>
      </c>
    </row>
    <row r="12" spans="1:8" x14ac:dyDescent="0.2">
      <c r="A12" s="10">
        <v>0.3125</v>
      </c>
    </row>
    <row r="13" spans="1:8" x14ac:dyDescent="0.2">
      <c r="A13" s="10">
        <v>0.33333333333333398</v>
      </c>
      <c r="B13" s="2"/>
    </row>
    <row r="14" spans="1:8" x14ac:dyDescent="0.2">
      <c r="A14" s="10">
        <v>0.35416666666666702</v>
      </c>
      <c r="B14" s="2"/>
    </row>
    <row r="15" spans="1:8" x14ac:dyDescent="0.2">
      <c r="A15" s="10">
        <v>0.375</v>
      </c>
      <c r="B15" s="2"/>
    </row>
    <row r="16" spans="1:8" x14ac:dyDescent="0.2">
      <c r="A16" s="10">
        <v>0.39583333333333398</v>
      </c>
      <c r="B16" s="2"/>
    </row>
    <row r="17" spans="1:2" x14ac:dyDescent="0.2">
      <c r="A17" s="10">
        <v>0.41666666666666702</v>
      </c>
      <c r="B17" s="2"/>
    </row>
    <row r="18" spans="1:2" x14ac:dyDescent="0.2">
      <c r="A18" s="10">
        <v>0.4375</v>
      </c>
      <c r="B18" s="2"/>
    </row>
    <row r="19" spans="1:2" x14ac:dyDescent="0.2">
      <c r="A19" s="10">
        <v>0.45833333333333398</v>
      </c>
      <c r="B19" s="2"/>
    </row>
    <row r="20" spans="1:2" x14ac:dyDescent="0.2">
      <c r="A20" s="10">
        <v>0.47916666666666702</v>
      </c>
      <c r="B20" s="2"/>
    </row>
    <row r="21" spans="1:2" x14ac:dyDescent="0.2">
      <c r="A21" s="10">
        <v>0.5</v>
      </c>
      <c r="B21" s="2"/>
    </row>
    <row r="22" spans="1:2" x14ac:dyDescent="0.2">
      <c r="A22" s="10">
        <v>0.52083333333333404</v>
      </c>
      <c r="B22" s="2"/>
    </row>
    <row r="23" spans="1:2" x14ac:dyDescent="0.2">
      <c r="A23" s="10">
        <v>0.54166666666666696</v>
      </c>
      <c r="B23" s="2"/>
    </row>
    <row r="24" spans="1:2" x14ac:dyDescent="0.2">
      <c r="A24" s="10">
        <v>0.5625</v>
      </c>
      <c r="B24" s="2"/>
    </row>
    <row r="25" spans="1:2" x14ac:dyDescent="0.2">
      <c r="A25" s="10">
        <v>0.58333333333333404</v>
      </c>
      <c r="B25" s="2"/>
    </row>
    <row r="26" spans="1:2" x14ac:dyDescent="0.2">
      <c r="A26" s="10">
        <v>0.60416666666666696</v>
      </c>
      <c r="B26" s="2"/>
    </row>
    <row r="27" spans="1:2" x14ac:dyDescent="0.2">
      <c r="A27" s="10">
        <v>0.625000000000001</v>
      </c>
      <c r="B27" s="2"/>
    </row>
    <row r="28" spans="1:2" x14ac:dyDescent="0.2">
      <c r="A28" s="10">
        <v>0.64583333333333404</v>
      </c>
      <c r="B28" s="2"/>
    </row>
    <row r="29" spans="1:2" x14ac:dyDescent="0.2">
      <c r="A29" s="10">
        <v>0.66666666666666696</v>
      </c>
      <c r="B29" s="2"/>
    </row>
    <row r="30" spans="1:2" x14ac:dyDescent="0.2">
      <c r="A30" s="10">
        <v>0.687500000000001</v>
      </c>
      <c r="B30" s="2"/>
    </row>
    <row r="31" spans="1:2" x14ac:dyDescent="0.2">
      <c r="A31" s="10">
        <v>0.70833333333333404</v>
      </c>
      <c r="B31" s="2"/>
    </row>
    <row r="32" spans="1:2" x14ac:dyDescent="0.2">
      <c r="A32" s="10">
        <v>0.72916666666666696</v>
      </c>
      <c r="B32" s="2"/>
    </row>
    <row r="33" spans="1:2" x14ac:dyDescent="0.2">
      <c r="A33" s="10">
        <v>0.750000000000001</v>
      </c>
      <c r="B33" s="2"/>
    </row>
    <row r="34" spans="1:2" x14ac:dyDescent="0.2">
      <c r="A34" s="10">
        <v>0.77083333333333404</v>
      </c>
      <c r="B34" s="2"/>
    </row>
    <row r="35" spans="1:2" x14ac:dyDescent="0.2">
      <c r="A35" s="10">
        <v>0.79166666666666696</v>
      </c>
      <c r="B35" s="2"/>
    </row>
    <row r="36" spans="1:2" x14ac:dyDescent="0.2">
      <c r="A36" s="10">
        <v>0.812500000000001</v>
      </c>
      <c r="B36" s="2"/>
    </row>
    <row r="37" spans="1:2" x14ac:dyDescent="0.2">
      <c r="A37" s="10">
        <v>0.83333333333333404</v>
      </c>
      <c r="B37" s="2"/>
    </row>
    <row r="38" spans="1:2" x14ac:dyDescent="0.2">
      <c r="A38" s="10">
        <v>0.85416666666666696</v>
      </c>
      <c r="B38" s="2"/>
    </row>
    <row r="39" spans="1:2" x14ac:dyDescent="0.2">
      <c r="A39" s="10">
        <v>0.875000000000001</v>
      </c>
      <c r="B39" s="2"/>
    </row>
    <row r="40" spans="1:2" x14ac:dyDescent="0.2">
      <c r="A40" s="10">
        <v>0.89583333333333404</v>
      </c>
      <c r="B40" s="2"/>
    </row>
    <row r="41" spans="1:2" x14ac:dyDescent="0.2">
      <c r="A41" s="10">
        <v>0.91666666666666696</v>
      </c>
      <c r="B41" s="2"/>
    </row>
    <row r="42" spans="1:2" x14ac:dyDescent="0.2">
      <c r="A42" s="10">
        <v>0.937500000000001</v>
      </c>
      <c r="B42" s="2"/>
    </row>
    <row r="43" spans="1:2" x14ac:dyDescent="0.2">
      <c r="A43" s="10">
        <v>0.95833333333333404</v>
      </c>
      <c r="B43" s="2"/>
    </row>
    <row r="44" spans="1:2" x14ac:dyDescent="0.2">
      <c r="A44" s="10">
        <v>0.97916666666666696</v>
      </c>
    </row>
    <row r="45" spans="1:2" x14ac:dyDescent="0.2">
      <c r="A45" s="10">
        <v>1</v>
      </c>
    </row>
    <row r="46" spans="1:2" x14ac:dyDescent="0.2">
      <c r="A46" s="10">
        <v>1.0208333333333299</v>
      </c>
    </row>
    <row r="47" spans="1:2" x14ac:dyDescent="0.2">
      <c r="A47" s="10">
        <v>1.0416666666666701</v>
      </c>
    </row>
  </sheetData>
  <pageMargins left="0.7" right="0.7" top="0.78740157499999996" bottom="0.78740157499999996"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0BE04-314B-A54D-941D-352BB87AF1E9}">
  <dimension ref="A1:H47"/>
  <sheetViews>
    <sheetView workbookViewId="0">
      <selection activeCell="H67" sqref="H67"/>
    </sheetView>
  </sheetViews>
  <sheetFormatPr baseColWidth="10" defaultRowHeight="16" x14ac:dyDescent="0.2"/>
  <sheetData>
    <row r="1" spans="1:8" ht="26" x14ac:dyDescent="0.3">
      <c r="B1" s="8" t="s">
        <v>25</v>
      </c>
    </row>
    <row r="4" spans="1:8" x14ac:dyDescent="0.2">
      <c r="B4" s="3" t="s">
        <v>4</v>
      </c>
      <c r="C4" s="3" t="s">
        <v>5</v>
      </c>
      <c r="D4" s="3" t="s">
        <v>6</v>
      </c>
      <c r="E4" s="3" t="s">
        <v>7</v>
      </c>
      <c r="F4" s="3" t="s">
        <v>10</v>
      </c>
      <c r="G4" s="3" t="s">
        <v>8</v>
      </c>
      <c r="H4" s="3" t="s">
        <v>9</v>
      </c>
    </row>
    <row r="5" spans="1:8" x14ac:dyDescent="0.2">
      <c r="A5" s="10">
        <v>0.16666666666666666</v>
      </c>
    </row>
    <row r="6" spans="1:8" x14ac:dyDescent="0.2">
      <c r="A6" s="10">
        <v>0.1875</v>
      </c>
    </row>
    <row r="7" spans="1:8" x14ac:dyDescent="0.2">
      <c r="A7" s="10">
        <v>0.20833333333333301</v>
      </c>
    </row>
    <row r="8" spans="1:8" x14ac:dyDescent="0.2">
      <c r="A8" s="10">
        <v>0.22916666666666699</v>
      </c>
    </row>
    <row r="9" spans="1:8" x14ac:dyDescent="0.2">
      <c r="A9" s="10">
        <v>0.25</v>
      </c>
    </row>
    <row r="10" spans="1:8" x14ac:dyDescent="0.2">
      <c r="A10" s="10">
        <v>0.27083333333333398</v>
      </c>
    </row>
    <row r="11" spans="1:8" x14ac:dyDescent="0.2">
      <c r="A11" s="10">
        <v>0.29166666666666702</v>
      </c>
    </row>
    <row r="12" spans="1:8" x14ac:dyDescent="0.2">
      <c r="A12" s="10">
        <v>0.3125</v>
      </c>
    </row>
    <row r="13" spans="1:8" x14ac:dyDescent="0.2">
      <c r="A13" s="10">
        <v>0.33333333333333398</v>
      </c>
      <c r="B13" s="2"/>
    </row>
    <row r="14" spans="1:8" x14ac:dyDescent="0.2">
      <c r="A14" s="10">
        <v>0.35416666666666702</v>
      </c>
      <c r="B14" s="2"/>
    </row>
    <row r="15" spans="1:8" x14ac:dyDescent="0.2">
      <c r="A15" s="10">
        <v>0.375</v>
      </c>
      <c r="B15" s="2"/>
    </row>
    <row r="16" spans="1:8" x14ac:dyDescent="0.2">
      <c r="A16" s="10">
        <v>0.39583333333333398</v>
      </c>
      <c r="B16" s="2"/>
    </row>
    <row r="17" spans="1:2" x14ac:dyDescent="0.2">
      <c r="A17" s="10">
        <v>0.41666666666666702</v>
      </c>
      <c r="B17" s="2"/>
    </row>
    <row r="18" spans="1:2" x14ac:dyDescent="0.2">
      <c r="A18" s="10">
        <v>0.4375</v>
      </c>
      <c r="B18" s="2"/>
    </row>
    <row r="19" spans="1:2" x14ac:dyDescent="0.2">
      <c r="A19" s="10">
        <v>0.45833333333333398</v>
      </c>
      <c r="B19" s="2"/>
    </row>
    <row r="20" spans="1:2" x14ac:dyDescent="0.2">
      <c r="A20" s="10">
        <v>0.47916666666666702</v>
      </c>
      <c r="B20" s="2"/>
    </row>
    <row r="21" spans="1:2" x14ac:dyDescent="0.2">
      <c r="A21" s="10">
        <v>0.5</v>
      </c>
      <c r="B21" s="2"/>
    </row>
    <row r="22" spans="1:2" x14ac:dyDescent="0.2">
      <c r="A22" s="10">
        <v>0.52083333333333404</v>
      </c>
      <c r="B22" s="2"/>
    </row>
    <row r="23" spans="1:2" x14ac:dyDescent="0.2">
      <c r="A23" s="10">
        <v>0.54166666666666696</v>
      </c>
      <c r="B23" s="2"/>
    </row>
    <row r="24" spans="1:2" x14ac:dyDescent="0.2">
      <c r="A24" s="10">
        <v>0.5625</v>
      </c>
      <c r="B24" s="2"/>
    </row>
    <row r="25" spans="1:2" x14ac:dyDescent="0.2">
      <c r="A25" s="10">
        <v>0.58333333333333404</v>
      </c>
      <c r="B25" s="2"/>
    </row>
    <row r="26" spans="1:2" x14ac:dyDescent="0.2">
      <c r="A26" s="10">
        <v>0.60416666666666696</v>
      </c>
      <c r="B26" s="2"/>
    </row>
    <row r="27" spans="1:2" x14ac:dyDescent="0.2">
      <c r="A27" s="10">
        <v>0.625000000000001</v>
      </c>
      <c r="B27" s="2"/>
    </row>
    <row r="28" spans="1:2" x14ac:dyDescent="0.2">
      <c r="A28" s="10">
        <v>0.64583333333333404</v>
      </c>
      <c r="B28" s="2"/>
    </row>
    <row r="29" spans="1:2" x14ac:dyDescent="0.2">
      <c r="A29" s="10">
        <v>0.66666666666666696</v>
      </c>
      <c r="B29" s="2"/>
    </row>
    <row r="30" spans="1:2" x14ac:dyDescent="0.2">
      <c r="A30" s="10">
        <v>0.687500000000001</v>
      </c>
      <c r="B30" s="2"/>
    </row>
    <row r="31" spans="1:2" x14ac:dyDescent="0.2">
      <c r="A31" s="10">
        <v>0.70833333333333404</v>
      </c>
      <c r="B31" s="2"/>
    </row>
    <row r="32" spans="1:2" x14ac:dyDescent="0.2">
      <c r="A32" s="10">
        <v>0.72916666666666696</v>
      </c>
      <c r="B32" s="2"/>
    </row>
    <row r="33" spans="1:2" x14ac:dyDescent="0.2">
      <c r="A33" s="10">
        <v>0.750000000000001</v>
      </c>
      <c r="B33" s="2"/>
    </row>
    <row r="34" spans="1:2" x14ac:dyDescent="0.2">
      <c r="A34" s="10">
        <v>0.77083333333333404</v>
      </c>
      <c r="B34" s="2"/>
    </row>
    <row r="35" spans="1:2" x14ac:dyDescent="0.2">
      <c r="A35" s="10">
        <v>0.79166666666666696</v>
      </c>
      <c r="B35" s="2"/>
    </row>
    <row r="36" spans="1:2" x14ac:dyDescent="0.2">
      <c r="A36" s="10">
        <v>0.812500000000001</v>
      </c>
      <c r="B36" s="2"/>
    </row>
    <row r="37" spans="1:2" x14ac:dyDescent="0.2">
      <c r="A37" s="10">
        <v>0.83333333333333404</v>
      </c>
      <c r="B37" s="2"/>
    </row>
    <row r="38" spans="1:2" x14ac:dyDescent="0.2">
      <c r="A38" s="10">
        <v>0.85416666666666696</v>
      </c>
      <c r="B38" s="2"/>
    </row>
    <row r="39" spans="1:2" x14ac:dyDescent="0.2">
      <c r="A39" s="10">
        <v>0.875000000000001</v>
      </c>
      <c r="B39" s="2"/>
    </row>
    <row r="40" spans="1:2" x14ac:dyDescent="0.2">
      <c r="A40" s="10">
        <v>0.89583333333333404</v>
      </c>
      <c r="B40" s="2"/>
    </row>
    <row r="41" spans="1:2" x14ac:dyDescent="0.2">
      <c r="A41" s="10">
        <v>0.91666666666666696</v>
      </c>
      <c r="B41" s="2"/>
    </row>
    <row r="42" spans="1:2" x14ac:dyDescent="0.2">
      <c r="A42" s="10">
        <v>0.937500000000001</v>
      </c>
      <c r="B42" s="2"/>
    </row>
    <row r="43" spans="1:2" x14ac:dyDescent="0.2">
      <c r="A43" s="10">
        <v>0.95833333333333404</v>
      </c>
      <c r="B43" s="2"/>
    </row>
    <row r="44" spans="1:2" x14ac:dyDescent="0.2">
      <c r="A44" s="10">
        <v>0.97916666666666696</v>
      </c>
    </row>
    <row r="45" spans="1:2" x14ac:dyDescent="0.2">
      <c r="A45" s="10">
        <v>1</v>
      </c>
    </row>
    <row r="46" spans="1:2" x14ac:dyDescent="0.2">
      <c r="A46" s="10">
        <v>1.0208333333333299</v>
      </c>
    </row>
    <row r="47" spans="1:2" x14ac:dyDescent="0.2">
      <c r="A47" s="10">
        <v>1.0416666666666701</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Arbeitsblätter</vt:lpstr>
      </vt:variant>
      <vt:variant>
        <vt:i4>6</vt:i4>
      </vt:variant>
    </vt:vector>
  </HeadingPairs>
  <TitlesOfParts>
    <vt:vector size="6" baseType="lpstr">
      <vt:lpstr>Anleitung</vt:lpstr>
      <vt:lpstr>Semesterplan</vt:lpstr>
      <vt:lpstr>COMMITTMENT</vt:lpstr>
      <vt:lpstr>WP 20</vt:lpstr>
      <vt:lpstr>WP 21</vt:lpstr>
      <vt:lpstr>WP 22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Office-Benutzer</dc:creator>
  <cp:lastModifiedBy>Manuel Richarz</cp:lastModifiedBy>
  <dcterms:created xsi:type="dcterms:W3CDTF">2020-04-19T13:33:28Z</dcterms:created>
  <dcterms:modified xsi:type="dcterms:W3CDTF">2022-05-19T14:46:34Z</dcterms:modified>
</cp:coreProperties>
</file>