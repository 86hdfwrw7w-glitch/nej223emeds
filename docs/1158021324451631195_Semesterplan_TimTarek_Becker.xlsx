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DieseArbeitsmappe" defaultThemeVersion="166925"/>
  <mc:AlternateContent xmlns:mc="http://schemas.openxmlformats.org/markup-compatibility/2006">
    <mc:Choice Requires="x15">
      <x15ac:absPath xmlns:x15ac="http://schemas.microsoft.com/office/spreadsheetml/2010/11/ac" url="C:\Users\timta\Desktop\"/>
    </mc:Choice>
  </mc:AlternateContent>
  <xr:revisionPtr revIDLastSave="0" documentId="13_ncr:1_{13FE500F-D707-4067-966A-5A121A63EB90}" xr6:coauthVersionLast="47" xr6:coauthVersionMax="47" xr10:uidLastSave="{00000000-0000-0000-0000-000000000000}"/>
  <bookViews>
    <workbookView xWindow="28680" yWindow="-120" windowWidth="29040" windowHeight="15720" tabRatio="602" activeTab="1" xr2:uid="{50F29292-BE80-0C47-A0D2-DD086CB3D310}"/>
  </bookViews>
  <sheets>
    <sheet name="ANLEITUNG" sheetId="10" r:id="rId1"/>
    <sheet name="Semesterplan" sheetId="7" r:id="rId2"/>
    <sheet name="Best-Practices" sheetId="2" r:id="rId3"/>
    <sheet name="COMMITTMENT" sheetId="9" r:id="rId4"/>
    <sheet name="Wochenplan KW 40" sheetId="8" r:id="rId5"/>
    <sheet name="Wochenplan KW 41" sheetId="12" r:id="rId6"/>
    <sheet name="Wochenplan KW 42" sheetId="27" r:id="rId7"/>
    <sheet name="Wochenplan KW 43" sheetId="29" r:id="rId8"/>
    <sheet name="Wochenplan KW 44" sheetId="33" r:id="rId9"/>
    <sheet name="Wochenplan KW 45" sheetId="32" r:id="rId10"/>
    <sheet name="Wochenplan KW 46 " sheetId="31" r:id="rId11"/>
    <sheet name="Wochenplan KW 47" sheetId="30" r:id="rId12"/>
    <sheet name="Wochenplan KW 48" sheetId="25" r:id="rId13"/>
    <sheet name="Wochenplan KW 49" sheetId="28" r:id="rId14"/>
    <sheet name="Wochenplan KW 50" sheetId="26" r:id="rId15"/>
    <sheet name="Wochenplan KW 51" sheetId="23" r:id="rId16"/>
    <sheet name="Wochenplan KW 52" sheetId="24" r:id="rId17"/>
    <sheet name="Wochenplan KW 1" sheetId="22" r:id="rId18"/>
    <sheet name="Wochenplan KW 2" sheetId="21" r:id="rId19"/>
    <sheet name="Wochenplan KW 3" sheetId="20" r:id="rId20"/>
    <sheet name="Wochenplan KW 4" sheetId="18" r:id="rId21"/>
    <sheet name="Wochenplan KW 5" sheetId="17" r:id="rId22"/>
    <sheet name="Wochenplan KW 6" sheetId="19" r:id="rId23"/>
    <sheet name="Wochenplan KW 7" sheetId="15" r:id="rId24"/>
    <sheet name="Wochenplan KW 8" sheetId="16" r:id="rId25"/>
    <sheet name="Wochenplan KW 9" sheetId="14" r:id="rId26"/>
    <sheet name="Wochenplan KW 10" sheetId="13" r:id="rId27"/>
    <sheet name="Wochenplan KW 11" sheetId="34" r:id="rId28"/>
    <sheet name="Wochenplan KW 12" sheetId="35" r:id="rId29"/>
    <sheet name="Wochenplan KW 13" sheetId="36" r:id="rId30"/>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5" i="7" l="1" a="1"/>
  <c r="K5" i="7" s="1"/>
  <c r="C11" i="10"/>
  <c r="C7" i="10"/>
  <c r="I14" i="7"/>
  <c r="I15" i="7"/>
  <c r="I16" i="7"/>
  <c r="I17" i="7"/>
  <c r="I18" i="7"/>
  <c r="I19" i="7"/>
  <c r="I20" i="7"/>
  <c r="I21" i="7"/>
  <c r="I22" i="7"/>
  <c r="K14" i="7" a="1"/>
  <c r="K14" i="7" s="1"/>
  <c r="K15" i="7" a="1"/>
  <c r="K15" i="7" s="1"/>
  <c r="K16" i="7" a="1"/>
  <c r="K16" i="7" s="1"/>
  <c r="K17" i="7" a="1"/>
  <c r="K17" i="7" s="1"/>
  <c r="K18" i="7" a="1"/>
  <c r="K18" i="7" s="1"/>
  <c r="K19" i="7" a="1"/>
  <c r="K19" i="7" s="1"/>
  <c r="K20" i="7" a="1"/>
  <c r="K20" i="7" s="1"/>
  <c r="K21" i="7" a="1"/>
  <c r="K21" i="7" s="1"/>
  <c r="K22" i="7" a="1"/>
  <c r="K22" i="7" s="1"/>
  <c r="G4" i="7"/>
  <c r="J14" i="7" a="1"/>
  <c r="J14" i="7" s="1"/>
  <c r="J15" i="7" a="1"/>
  <c r="J15" i="7" s="1"/>
  <c r="J16" i="7" a="1"/>
  <c r="J16" i="7" s="1"/>
  <c r="J17" i="7" a="1"/>
  <c r="J17" i="7" s="1"/>
  <c r="J18" i="7" a="1"/>
  <c r="J18" i="7" s="1"/>
  <c r="J19" i="7" a="1"/>
  <c r="J19" i="7" s="1"/>
  <c r="J20" i="7" a="1"/>
  <c r="J20" i="7" s="1"/>
  <c r="J21" i="7" a="1"/>
  <c r="J21" i="7" s="1"/>
  <c r="J22" i="7" a="1"/>
  <c r="J22" i="7" s="1"/>
  <c r="G25" i="7"/>
  <c r="J26" i="7" a="1"/>
  <c r="J26" i="7" s="1"/>
  <c r="K26" i="7" a="1"/>
  <c r="K26" i="7" s="1"/>
  <c r="I34" i="7"/>
  <c r="I35" i="7"/>
  <c r="I36" i="7"/>
  <c r="I37" i="7"/>
  <c r="I38" i="7"/>
  <c r="I39" i="7"/>
  <c r="I40" i="7"/>
  <c r="I41" i="7"/>
  <c r="I42" i="7"/>
  <c r="I43" i="7"/>
  <c r="K34" i="7" a="1"/>
  <c r="K34" i="7" s="1"/>
  <c r="K35" i="7" a="1"/>
  <c r="K35" i="7" s="1"/>
  <c r="K36" i="7" a="1"/>
  <c r="K36" i="7" s="1"/>
  <c r="K37" i="7" a="1"/>
  <c r="K37" i="7" s="1"/>
  <c r="K38" i="7" a="1"/>
  <c r="K38" i="7" s="1"/>
  <c r="K39" i="7" a="1"/>
  <c r="K39" i="7" s="1"/>
  <c r="K40" i="7" a="1"/>
  <c r="K40" i="7" s="1"/>
  <c r="K41" i="7" a="1"/>
  <c r="K41" i="7" s="1"/>
  <c r="K42" i="7" a="1"/>
  <c r="K42" i="7" s="1"/>
  <c r="K43" i="7" a="1"/>
  <c r="K43" i="7" s="1"/>
  <c r="J34" i="7" a="1"/>
  <c r="J34" i="7" s="1"/>
  <c r="J35" i="7" a="1"/>
  <c r="J35" i="7" s="1"/>
  <c r="J36" i="7" a="1"/>
  <c r="J36" i="7" s="1"/>
  <c r="J37" i="7" a="1"/>
  <c r="J37" i="7" s="1"/>
  <c r="J38" i="7" a="1"/>
  <c r="J38" i="7" s="1"/>
  <c r="J39" i="7" a="1"/>
  <c r="J39" i="7" s="1"/>
  <c r="J40" i="7" a="1"/>
  <c r="J40" i="7" s="1"/>
  <c r="J41" i="7" a="1"/>
  <c r="J41" i="7" s="1"/>
  <c r="J42" i="7" a="1"/>
  <c r="J42" i="7" s="1"/>
  <c r="J43" i="7" a="1"/>
  <c r="J43" i="7" s="1"/>
  <c r="J47" i="7" a="1"/>
  <c r="J47" i="7" s="1"/>
  <c r="G46"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GF4" i="7"/>
  <c r="FZ4" i="7"/>
  <c r="FT4" i="7"/>
  <c r="FM4" i="7"/>
  <c r="FF4" i="7"/>
  <c r="EY4" i="7"/>
  <c r="ER4" i="7"/>
  <c r="EK4" i="7"/>
  <c r="ED4" i="7"/>
  <c r="DP4" i="7"/>
  <c r="DI4" i="7"/>
  <c r="J10" i="7" a="1"/>
  <c r="J10" i="7" s="1"/>
  <c r="J5" i="7" a="1"/>
  <c r="J5" i="7" s="1"/>
  <c r="K13" i="7" a="1"/>
  <c r="K13" i="7" s="1"/>
  <c r="J13" i="7" a="1"/>
  <c r="J13" i="7" s="1"/>
  <c r="I13" i="7"/>
  <c r="K12" i="7" a="1"/>
  <c r="K12" i="7" s="1"/>
  <c r="J12" i="7" a="1"/>
  <c r="J12" i="7" s="1"/>
  <c r="I12" i="7"/>
  <c r="K11" i="7" a="1"/>
  <c r="K11" i="7" s="1"/>
  <c r="J11" i="7" a="1"/>
  <c r="J11" i="7" s="1"/>
  <c r="N25" i="7"/>
  <c r="U25" i="7"/>
  <c r="AB25" i="7"/>
  <c r="AI25" i="7"/>
  <c r="AP25" i="7"/>
  <c r="I9" i="7"/>
  <c r="J9" i="7" a="1"/>
  <c r="J9" i="7" s="1"/>
  <c r="K9" i="7" a="1"/>
  <c r="K9" i="7" s="1"/>
  <c r="I10" i="7"/>
  <c r="K10" i="7" a="1"/>
  <c r="K10" i="7" s="1"/>
  <c r="DA4" i="7"/>
  <c r="CT4" i="7"/>
  <c r="CM4" i="7"/>
  <c r="CF4" i="7"/>
  <c r="BY4" i="7"/>
  <c r="BR4" i="7"/>
  <c r="K28" i="7" a="1"/>
  <c r="K28" i="7" s="1"/>
  <c r="J28" i="7" a="1"/>
  <c r="J28" i="7" s="1"/>
  <c r="I28" i="7"/>
  <c r="K27" i="7" a="1"/>
  <c r="K27" i="7" s="1"/>
  <c r="J27" i="7" a="1"/>
  <c r="J27" i="7" s="1"/>
  <c r="BK4" i="7"/>
  <c r="C12" i="10"/>
  <c r="K33" i="7" a="1"/>
  <c r="K33" i="7" s="1"/>
  <c r="J33" i="7" a="1"/>
  <c r="J33" i="7" s="1"/>
  <c r="K32" i="7" a="1"/>
  <c r="K32" i="7" s="1"/>
  <c r="J32" i="7" a="1"/>
  <c r="J32" i="7" s="1"/>
  <c r="K31" i="7" a="1"/>
  <c r="K31" i="7" s="1"/>
  <c r="J31" i="7" a="1"/>
  <c r="J31" i="7" s="1"/>
  <c r="K30" i="7" a="1"/>
  <c r="K30" i="7" s="1"/>
  <c r="J30" i="7" a="1"/>
  <c r="J30" i="7" s="1"/>
  <c r="K29" i="7" a="1"/>
  <c r="K29" i="7" s="1"/>
  <c r="J29" i="7" a="1"/>
  <c r="J29" i="7" s="1"/>
  <c r="K57" i="7" a="1"/>
  <c r="K57" i="7" s="1"/>
  <c r="J57" i="7" a="1"/>
  <c r="J57" i="7" s="1"/>
  <c r="K56" i="7" a="1"/>
  <c r="K56" i="7" s="1"/>
  <c r="J56" i="7" a="1"/>
  <c r="J56" i="7" s="1"/>
  <c r="K55" i="7" a="1"/>
  <c r="K55" i="7" s="1"/>
  <c r="J55" i="7" a="1"/>
  <c r="J55" i="7" s="1"/>
  <c r="K54" i="7" a="1"/>
  <c r="K54" i="7" s="1"/>
  <c r="J54" i="7" a="1"/>
  <c r="J54" i="7" s="1"/>
  <c r="K53" i="7" a="1"/>
  <c r="K53" i="7" s="1"/>
  <c r="J53" i="7" a="1"/>
  <c r="J53" i="7" s="1"/>
  <c r="K52" i="7" a="1"/>
  <c r="K52" i="7" s="1"/>
  <c r="J52" i="7" a="1"/>
  <c r="J52" i="7" s="1"/>
  <c r="K51" i="7" a="1"/>
  <c r="K51" i="7" s="1"/>
  <c r="J51" i="7" a="1"/>
  <c r="J51" i="7" s="1"/>
  <c r="K50" i="7" a="1"/>
  <c r="K50" i="7" s="1"/>
  <c r="J50" i="7" a="1"/>
  <c r="J50" i="7" s="1"/>
  <c r="K49" i="7" a="1"/>
  <c r="K49" i="7" s="1"/>
  <c r="J49" i="7" a="1"/>
  <c r="J49" i="7" s="1"/>
  <c r="K48" i="7" a="1"/>
  <c r="K48" i="7" s="1"/>
  <c r="J48" i="7" a="1"/>
  <c r="J48" i="7" s="1"/>
  <c r="K47" i="7" a="1"/>
  <c r="K47" i="7" s="1"/>
  <c r="K8" i="7" a="1"/>
  <c r="K8" i="7" s="1"/>
  <c r="J8" i="7" a="1"/>
  <c r="J8" i="7" s="1"/>
  <c r="K7" i="7" a="1"/>
  <c r="K7" i="7" s="1"/>
  <c r="J7" i="7" a="1"/>
  <c r="J7" i="7" s="1"/>
  <c r="K6" i="7" a="1"/>
  <c r="K6" i="7" s="1"/>
  <c r="J6" i="7" a="1"/>
  <c r="J6" i="7" s="1"/>
  <c r="BD4" i="7"/>
  <c r="AW4" i="7"/>
  <c r="AP4" i="7"/>
  <c r="AI4" i="7"/>
  <c r="AB4" i="7"/>
  <c r="U4" i="7"/>
  <c r="N4" i="7"/>
  <c r="AP46" i="7"/>
  <c r="AI46" i="7"/>
  <c r="AB46" i="7"/>
  <c r="U46" i="7"/>
  <c r="I57" i="7"/>
  <c r="I56" i="7"/>
  <c r="I55" i="7"/>
  <c r="I54" i="7"/>
  <c r="I53" i="7"/>
  <c r="I52" i="7"/>
  <c r="I51" i="7"/>
  <c r="I50" i="7"/>
  <c r="I49" i="7"/>
  <c r="I48" i="7"/>
  <c r="I47" i="7"/>
  <c r="I33" i="7"/>
  <c r="I32" i="7"/>
  <c r="I31" i="7"/>
  <c r="I30" i="7"/>
  <c r="I29" i="7"/>
  <c r="N46" i="7"/>
  <c r="J4" i="7" l="1"/>
  <c r="K4" i="7"/>
  <c r="J25" i="7"/>
  <c r="K25" i="7"/>
  <c r="I25" i="7"/>
  <c r="I46" i="7"/>
  <c r="J46" i="7"/>
  <c r="K46"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<sst xmlns="http://schemas.openxmlformats.org/spreadsheetml/2006/main" count="736" uniqueCount="218">
  <si>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</si>
  <si>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</si>
  <si>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</si>
  <si>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</si>
  <si>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</si>
  <si>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</si>
  <si>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</si>
  <si>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</si>
  <si>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</si>
  <si>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</si>
  <si>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</si>
  <si>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</si>
  <si>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</si>
  <si>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</si>
  <si>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</si>
  <si>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</si>
  <si>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</si>
  <si>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</si>
  <si>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</si>
  <si>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</si>
  <si>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</si>
  <si>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</si>
  <si>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</si>
  <si>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</si>
  <si>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</si>
  <si>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</si>
  <si>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</si>
  <si>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</si>
  <si>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</si>
  <si>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</si>
  <si>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</si>
  <si>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</si>
  <si>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</si>
  <si>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</si>
  <si>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</si>
  <si>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</si>
  <si>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</si>
  <si>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</si>
  <si>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</si>
  <si>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</si>
  <si>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</si>
  <si>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</si>
  <si>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</si>
  <si>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</si>
  <si>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</si>
  <si>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</si>
  <si>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</si>
  <si>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</si>
  <si>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</si>
  <si>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</si>
  <si>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</si>
  <si>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</si>
  <si>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</si>
  <si>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</si>
  <si>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</si>
  <si>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</si>
  <si>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</si>
  <si>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</si>
  <si>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</si>
  <si>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</si>
  <si>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</si>
  <si>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</si>
  <si>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</si>
  <si>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</si>
  <si>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</si>
  <si>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</si>
  <si>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</si>
  <si>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</si>
  <si>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</si>
  <si>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</si>
  <si>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</si>
  <si>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</si>
  <si>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</si>
  <si>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</si>
  <si>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</si>
  <si>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</si>
  <si>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</si>
  <si>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</si>
  <si>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</si>
  <si>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</si>
  <si>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</si>
  <si>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</si>
  <si>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</si>
  <si>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</si>
  <si>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</si>
  <si>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</si>
  <si>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</si>
  <si>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</si>
  <si>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Zukunftweisende Führung</t>
  </si>
  <si>
    <t>Rechnungslegung</t>
  </si>
  <si>
    <t>KW 40</t>
  </si>
  <si>
    <t>KW 41</t>
  </si>
  <si>
    <t>KW 42</t>
  </si>
  <si>
    <t>KW 43</t>
  </si>
  <si>
    <t>KW 44</t>
  </si>
  <si>
    <t>KW 45</t>
  </si>
  <si>
    <t>KW 46</t>
  </si>
  <si>
    <t>KW 47</t>
  </si>
  <si>
    <t>KW 48</t>
  </si>
  <si>
    <t>KW 49</t>
  </si>
  <si>
    <t>KW 50</t>
  </si>
  <si>
    <t>KW 51</t>
  </si>
  <si>
    <t>KW 52</t>
  </si>
  <si>
    <t>KW 1</t>
  </si>
  <si>
    <t>KW 2</t>
  </si>
  <si>
    <t>KW 3</t>
  </si>
  <si>
    <t>KW 4</t>
  </si>
  <si>
    <t>KW 5</t>
  </si>
  <si>
    <t>KW 6</t>
  </si>
  <si>
    <t>KW 7</t>
  </si>
  <si>
    <t>KW 8</t>
  </si>
  <si>
    <t>KW 9</t>
  </si>
  <si>
    <t>KW 10</t>
  </si>
  <si>
    <t>KW 11 Klausuren</t>
  </si>
  <si>
    <t>Ja</t>
  </si>
  <si>
    <t>Gut</t>
  </si>
  <si>
    <t>Mehr Fokus</t>
  </si>
  <si>
    <t>Wetter Gut</t>
  </si>
  <si>
    <t>Sämtliche Tagesziele erreicht</t>
  </si>
  <si>
    <t>Sport</t>
  </si>
  <si>
    <t>Nein</t>
  </si>
  <si>
    <t>Schritte</t>
  </si>
  <si>
    <t>Bettzeit</t>
  </si>
  <si>
    <t>Gebrechen</t>
  </si>
  <si>
    <t>Stimme + Husten</t>
  </si>
  <si>
    <t>Dankbarkeit</t>
  </si>
  <si>
    <t>Morgenroutine</t>
  </si>
  <si>
    <t>Sofort aufgestanden</t>
  </si>
  <si>
    <t>Koffein</t>
  </si>
  <si>
    <t>Stimme +Husten</t>
  </si>
  <si>
    <t>Müde</t>
  </si>
  <si>
    <t>5:41/7:05</t>
  </si>
  <si>
    <t>Schlafzeit Zeit im Bett</t>
  </si>
  <si>
    <t>Schlafqualität</t>
  </si>
  <si>
    <t>12.00/13:00</t>
  </si>
  <si>
    <t>Ausgelaugt</t>
  </si>
  <si>
    <t>Mehr Fokus bessere Systeme</t>
  </si>
  <si>
    <t>JA</t>
  </si>
  <si>
    <t>Husten in der Nacht</t>
  </si>
  <si>
    <t>Spaziergang</t>
  </si>
  <si>
    <t>Schnarchen</t>
  </si>
  <si>
    <t>Einschlafzeit</t>
  </si>
  <si>
    <t>7:18/8:01</t>
  </si>
  <si>
    <t>Anfangs müde später wach</t>
  </si>
  <si>
    <t>Weniger ablenkung</t>
  </si>
  <si>
    <t>Laufen = Husten</t>
  </si>
  <si>
    <t>Spaziergang Meditation</t>
  </si>
  <si>
    <t>5:17/6:30</t>
  </si>
  <si>
    <t>Husten</t>
  </si>
  <si>
    <t>Bruder weggerannt ausgelaugt</t>
  </si>
  <si>
    <t>Wochenende</t>
  </si>
  <si>
    <t>Bessere Planung</t>
  </si>
  <si>
    <t>Mehr Strucktur</t>
  </si>
  <si>
    <t>NEIN</t>
  </si>
  <si>
    <t>Keine</t>
  </si>
  <si>
    <t>4:32/6:04</t>
  </si>
  <si>
    <t>8:55/9:16</t>
  </si>
  <si>
    <t>5:10/6:28</t>
  </si>
  <si>
    <t>0,2 Std</t>
  </si>
  <si>
    <t>1 Std</t>
  </si>
  <si>
    <t>0,3 Std</t>
  </si>
  <si>
    <t>3,4 Std</t>
  </si>
  <si>
    <t>3,2 Std</t>
  </si>
  <si>
    <t xml:space="preserve">KW 12 </t>
  </si>
  <si>
    <t>KW 13 Klausur</t>
  </si>
  <si>
    <t>ZUkunftweisendeFührung</t>
  </si>
  <si>
    <t>Mathematik und Statistik</t>
  </si>
  <si>
    <t>1) Einführung (1)</t>
  </si>
  <si>
    <t>3) Vermögens, Schulden und GewinnbegriffPeriodisierungsbegriff</t>
  </si>
  <si>
    <t>7) Grundlagen der Bilanzanalyse (2)</t>
  </si>
  <si>
    <t>9) Analyse der Vermögens, Finanz und Ertragslage (3)</t>
  </si>
  <si>
    <t>15) Analyse der Investitions und der Innovationspolitik(3)</t>
  </si>
  <si>
    <t>2) Führung im Umbruch</t>
  </si>
  <si>
    <t>3) Pradigmatischer Hintergrund und Methodologie</t>
  </si>
  <si>
    <t>4) Prozessperspecktiven Überblick und Grundlagen</t>
  </si>
  <si>
    <t>5) Führung als gruppenbezogener Prozess</t>
  </si>
  <si>
    <t>6) Führung als gemeinschaftlicher Einflussprozess</t>
  </si>
  <si>
    <t>7) Ästhetische Perspektiven</t>
  </si>
  <si>
    <t>8) Schlussbetrachtung</t>
  </si>
  <si>
    <t>10) Organisation als Orte zukunftsweisender Führung</t>
  </si>
  <si>
    <t>11) Grundlagen und Kernelemente eines Modells der integralen Führung</t>
  </si>
  <si>
    <t>12) Integral-organisationale Führung</t>
  </si>
  <si>
    <t>13) Fallstudien zum integralen Denken</t>
  </si>
  <si>
    <t>15) Unterschiede der Geschlechter in Führungspositionen</t>
  </si>
  <si>
    <t>16) Kapital der Geschlechter</t>
  </si>
  <si>
    <t>17) Verkörperung und soziale Interaktion</t>
  </si>
  <si>
    <t>18) Sprache und Diskurs</t>
  </si>
  <si>
    <t>14) Gender und Leadership (3)</t>
  </si>
  <si>
    <t>9) Einführung (2)</t>
  </si>
  <si>
    <t xml:space="preserve">6) Bilanzrechtstheorien </t>
  </si>
  <si>
    <t xml:space="preserve">5) Die moderne Bilanztheorie </t>
  </si>
  <si>
    <t xml:space="preserve">4) Die klassischen Bilanztheorien </t>
  </si>
  <si>
    <t xml:space="preserve">2) Der Begriff der Bilanz </t>
  </si>
  <si>
    <t>8) Vorbereitung der Bilanzanalyse</t>
  </si>
  <si>
    <t xml:space="preserve">10) Analyse der Erfolgslage </t>
  </si>
  <si>
    <t xml:space="preserve">11) Analyse Vermögenslage </t>
  </si>
  <si>
    <t xml:space="preserve">12) Analyse der Kreditwürdigkeit </t>
  </si>
  <si>
    <t xml:space="preserve">13) Analyse der Personalpolitik </t>
  </si>
  <si>
    <t xml:space="preserve">14) Analyse der Umweltpolitik </t>
  </si>
  <si>
    <t>16) Analyse Unternehmenszielerreichung</t>
  </si>
  <si>
    <t>1) Lineare Algebra</t>
  </si>
  <si>
    <t>2) Lineare Optimierung</t>
  </si>
  <si>
    <t>3) Differentialrechnung für Funktionen mehrer Variablen</t>
  </si>
  <si>
    <t>4) Nicht lineare Optimierung</t>
  </si>
  <si>
    <t>5) Einführung Differential und Differenzengleichungen</t>
  </si>
  <si>
    <t>6) Grundlagen der Induktiven Statistik</t>
  </si>
  <si>
    <t>7) Punkt und Hypothesentests, Intervallschätzung</t>
  </si>
  <si>
    <t>8) Tests bei speziellen Parametern</t>
  </si>
  <si>
    <t>9) Zusammenhangsanalyse</t>
  </si>
  <si>
    <t>10) Regressionsanalyse</t>
  </si>
  <si>
    <t>11) Varianz- Analyse</t>
  </si>
  <si>
    <t>12) Empirische Forschung + Qualitative/Quantitativ +Der Forschungsprozeß</t>
  </si>
  <si>
    <t>13) Falsifikation und statistische Hypothesenprüfung nit prädikationsregeln</t>
  </si>
  <si>
    <t>14) Fallstudien</t>
  </si>
  <si>
    <t>15) Erste Auswertungsschritte</t>
  </si>
  <si>
    <t>16) Gesichtspunkte bei statistischen Analysen</t>
  </si>
  <si>
    <t>17) Fallstudie</t>
  </si>
  <si>
    <t>18) Anhang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</si>
</sst>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3" fontId="0" fillId="0" borderId="0" xfId="0" applyNumberFormat="1"/>
    <xf numFmtId="0" fontId="0" fillId="7" borderId="0" xfId="0" applyFill="1"/>
    <xf numFmtId="0" fontId="1" fillId="2" borderId="0" xfId="0" applyFont="1" applyFill="1" applyAlignment="1">
      <alignment horizontal="center"/>
    </xf>
    <xf numFmtId="9" fontId="0" fillId="0" borderId="0" xfId="0" applyNumberFormat="1" applyAlignment="1">
      <alignment horizontal="right"/>
    </xf>
  </cellXfs>
  <cellStyles count="1">
    <cellStyle name="Standard" xfId="0" builtinId="0"/>
  </cellStyles>
  <dxfs count="72">
    <dxf>
      <fill>
        <patternFill>
          <bgColor rgb="FF10FF07"/>
        </patternFill>
      </fill>
    </dxf>
    <dxf>
      <fill>
        <patternFill>
          <bgColor rgb="FFFF0000"/>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U1113" totalsRowShown="0" headerRowDxfId="71">
  <autoFilter ref="A1:U1113" xr:uid="{6E266E34-2786-2747-BCE7-51B74867A564}"/>
  <tableColumns count="21">
    <tableColumn id="1" xr3:uid="{95FD92F7-3DC8-704D-A103-A7EDDAB255AB}" name="Datum" dataDxfId="70"/>
    <tableColumn id="2" xr3:uid="{F464D510-8166-E740-A343-FB84BDEF877F}" name="Lerneinheiten durchgezogen" dataDxfId="69"/>
    <tableColumn id="3" xr3:uid="{75F52B08-1A00-0848-BBE6-1EDF7B31B1AD}" name="Tagesplan erstellt" dataDxfId="68"/>
    <tableColumn id="4" xr3:uid="{E6B18D89-E799-AD48-9DAA-37AEE1D29011}" name="Konzentrationslevel" dataDxfId="67"/>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 id="12" xr3:uid="{3A641B47-C64C-43C0-A282-976C95A2D95C}" name="Wetter Gut"/>
    <tableColumn id="13" xr3:uid="{6A83A196-508C-4F5D-BA21-AB69042EB1EA}" name="Sport"/>
    <tableColumn id="14" xr3:uid="{ACC5614E-7432-4478-AF4F-B8EE3FD4E4B4}" name="Sämtliche Tagesziele erreicht"/>
    <tableColumn id="15" xr3:uid="{17424C2A-D5FA-4CEB-847A-1C83757674BB}" name="Schritte"/>
    <tableColumn id="16" xr3:uid="{4DB13250-076D-4425-ABE6-0440F93FC2A6}" name="Bettzeit"/>
    <tableColumn id="17" xr3:uid="{1C6F44CD-4F62-4DEC-A41D-650205DE47C2}" name="Schlafzeit Zeit im Bett"/>
    <tableColumn id="18" xr3:uid="{EA584B02-A919-432A-98CA-C0BFC756499A}" name="Dankbarkeit"/>
    <tableColumn id="19" xr3:uid="{E7E1F165-01B5-48C6-B9AA-9CB477D8523B}" name="Gebrechen"/>
    <tableColumn id="20" xr3:uid="{D935CF73-2756-4934-AF1B-75AD3A62F447}" name="Morgenroutine"/>
    <tableColumn id="21" xr3:uid="{75558D50-932A-4DB6-A228-410D0398870B}" name="Sofort aufgestand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sheetPr codeName="Tabelle1"/>
  <dimension ref="A2:D17"/>
  <sheetViews>
    <sheetView workbookViewId="0">
      <selection activeCell="C10" sqref="C10"/>
    </sheetView>
  </sheetViews>
  <sheetFormatPr baseColWidth="10" defaultRowHeight="15.6"/>
  <cols>
    <col min="1" max="1" width="11.796875" customWidth="1"/>
    <col min="2" max="2" width="62.69921875" customWidth="1"/>
  </cols>
  <sheetData>
    <row r="2" spans="1:4">
      <c r="C2" s="18" t="s">
        <v>72</v>
      </c>
    </row>
    <row r="3" spans="1:4">
      <c r="C3" s="17" t="s">
        <v>57</v>
      </c>
    </row>
    <row r="4" spans="1:4">
      <c r="C4" s="16" t="s">
        <v>71</v>
      </c>
    </row>
    <row r="5" spans="1:4">
      <c r="A5" s="2" t="s">
        <v>54</v>
      </c>
      <c r="B5" s="2" t="s">
        <v>55</v>
      </c>
      <c r="C5" s="2" t="s">
        <v>56</v>
      </c>
      <c r="D5" s="2" t="s">
        <v>58</v>
      </c>
    </row>
    <row r="6" spans="1:4">
      <c r="A6" t="s">
        <v>50</v>
      </c>
      <c r="B6" s="18" t="s">
        <v>53</v>
      </c>
      <c r="D6" t="s">
        <v>87</v>
      </c>
    </row>
    <row r="7" spans="1:4">
      <c r="A7" t="s">
        <v>61</v>
      </c>
      <c r="B7" t="s">
        <v>62</v>
      </c>
      <c r="C7" s="16">
        <f>18+18+16</f>
        <v>52</v>
      </c>
    </row>
    <row r="8" spans="1:4">
      <c r="A8" t="s">
        <v>52</v>
      </c>
      <c r="B8" s="18" t="s">
        <v>51</v>
      </c>
      <c r="D8" t="s">
        <v>75</v>
      </c>
    </row>
    <row r="9" spans="1:4">
      <c r="A9" t="s">
        <v>60</v>
      </c>
      <c r="B9" s="18" t="s">
        <v>73</v>
      </c>
      <c r="D9" t="s">
        <v>76</v>
      </c>
    </row>
    <row r="10" spans="1:4">
      <c r="A10" t="s">
        <v>64</v>
      </c>
      <c r="B10" t="s">
        <v>63</v>
      </c>
      <c r="C10" s="16">
        <v>10.5</v>
      </c>
      <c r="D10" t="s">
        <v>59</v>
      </c>
    </row>
    <row r="11" spans="1:4">
      <c r="A11" t="s">
        <v>65</v>
      </c>
      <c r="B11" t="s">
        <v>67</v>
      </c>
      <c r="C11" s="16">
        <f>C7*3</f>
        <v>156</v>
      </c>
      <c r="D11" t="s">
        <v>66</v>
      </c>
    </row>
    <row r="12" spans="1:4">
      <c r="A12" t="s">
        <v>69</v>
      </c>
      <c r="B12" t="s">
        <v>68</v>
      </c>
      <c r="C12" s="17">
        <f>C11/C10</f>
        <v>14.857142857142858</v>
      </c>
    </row>
    <row r="13" spans="1:4">
      <c r="A13" t="s">
        <v>74</v>
      </c>
      <c r="B13" t="s">
        <v>70</v>
      </c>
      <c r="D13" t="s">
        <v>77</v>
      </c>
    </row>
    <row r="14" spans="1:4">
      <c r="A14" t="s">
        <v>78</v>
      </c>
      <c r="B14" t="s">
        <v>79</v>
      </c>
      <c r="D14" t="s">
        <v>80</v>
      </c>
    </row>
    <row r="15" spans="1:4">
      <c r="A15" t="s">
        <v>81</v>
      </c>
      <c r="B15" s="18" t="s">
        <v>82</v>
      </c>
    </row>
    <row r="16" spans="1:4">
      <c r="A16" t="s">
        <v>85</v>
      </c>
      <c r="B16" s="18" t="s">
        <v>83</v>
      </c>
    </row>
    <row r="17" spans="1: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sheetPr codeName="Tabelle2"/>
  <dimension ref="B1:GQ75"/>
  <sheetViews>
    <sheetView showGridLines="0" tabSelected="1" zoomScale="70" zoomScaleNormal="70" workbookViewId="0">
      <pane xSplit="12" topLeftCell="M1" activePane="topRight" state="frozen"/>
      <selection pane="topRight" activeCell="J31" sqref="J31"/>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6" max="106" width="12.5" bestFit="1" customWidth="1"/>
    <col min="107" max="107" width="6.296875" customWidth="1"/>
    <col min="108" max="108" width="14.796875" bestFit="1" customWidth="1"/>
    <col min="109" max="109" width="6" customWidth="1"/>
    <col min="110" max="110" width="12.69921875" bestFit="1" customWidth="1"/>
    <col min="112" max="112" width="2.5" customWidth="1"/>
    <col min="114" max="114" width="12.5" bestFit="1" customWidth="1"/>
    <col min="115" max="115" width="6.296875" customWidth="1"/>
    <col min="116" max="116" width="14.796875" bestFit="1" customWidth="1"/>
    <col min="117" max="117" width="6" customWidth="1"/>
    <col min="118" max="118" width="12.69921875" bestFit="1" customWidth="1"/>
    <col min="119" max="119" width="2.5" customWidth="1"/>
    <col min="121" max="121" width="12.5" bestFit="1" customWidth="1"/>
    <col min="122" max="122" width="6.296875" customWidth="1"/>
    <col min="123" max="123" width="14.796875" bestFit="1" customWidth="1"/>
    <col min="124" max="124" width="6" customWidth="1"/>
    <col min="125" max="125" width="12.69921875" bestFit="1" customWidth="1"/>
    <col min="126" max="126" width="2.5" customWidth="1"/>
    <col min="128" max="128" width="12.5" bestFit="1" customWidth="1"/>
    <col min="129" max="129" width="6.296875" customWidth="1"/>
    <col min="130" max="130" width="14.796875" bestFit="1" customWidth="1"/>
    <col min="131" max="131" width="6" customWidth="1"/>
    <col min="132" max="132" width="12.69921875" customWidth="1"/>
    <col min="133" max="133" width="2.5" customWidth="1"/>
    <col min="135" max="135" width="12.5" bestFit="1" customWidth="1"/>
    <col min="136" max="136" width="6.296875" customWidth="1"/>
    <col min="137" max="137" width="14.796875" bestFit="1" customWidth="1"/>
    <col min="138" max="138" width="6" customWidth="1"/>
    <col min="139" max="139" width="12.69921875" bestFit="1" customWidth="1"/>
    <col min="140" max="140" width="2.5" customWidth="1"/>
    <col min="142" max="142" width="12.5" bestFit="1" customWidth="1"/>
    <col min="143" max="143" width="6.296875" customWidth="1"/>
    <col min="144" max="144" width="14.796875" bestFit="1" customWidth="1"/>
    <col min="145" max="145" width="6" customWidth="1"/>
    <col min="146" max="146" width="12.69921875" bestFit="1" customWidth="1"/>
    <col min="147" max="147" width="2.5" customWidth="1"/>
    <col min="149" max="149" width="12.5" bestFit="1" customWidth="1"/>
    <col min="150" max="150" width="6.296875" customWidth="1"/>
    <col min="151" max="151" width="14.796875" bestFit="1" customWidth="1"/>
    <col min="152" max="152" width="6" customWidth="1"/>
    <col min="153" max="153" width="12.69921875" bestFit="1" customWidth="1"/>
    <col min="154" max="154" width="2.5" customWidth="1"/>
    <col min="156" max="156" width="12.5" bestFit="1" customWidth="1"/>
    <col min="157" max="157" width="6.296875" customWidth="1"/>
    <col min="158" max="158" width="14.796875" bestFit="1" customWidth="1"/>
    <col min="159" max="159" width="6" customWidth="1"/>
    <col min="160" max="160" width="12.69921875" bestFit="1" customWidth="1"/>
    <col min="161" max="161" width="2.5" customWidth="1"/>
    <col min="163" max="163" width="12.5" bestFit="1" customWidth="1"/>
    <col min="164" max="164" width="6.296875" customWidth="1"/>
    <col min="165" max="165" width="14.796875" bestFit="1" customWidth="1"/>
    <col min="166" max="166" width="6" customWidth="1"/>
    <col min="167" max="167" width="12.69921875" bestFit="1" customWidth="1"/>
    <col min="168" max="168" width="2.5" customWidth="1"/>
    <col min="170" max="170" width="12.5" bestFit="1" customWidth="1"/>
    <col min="171" max="171" width="6.296875" customWidth="1"/>
    <col min="172" max="172" width="14.796875" bestFit="1" customWidth="1"/>
    <col min="173" max="173" width="6" customWidth="1"/>
    <col min="174" max="174" width="12.69921875" bestFit="1" customWidth="1"/>
    <col min="175" max="175" width="2.5" customWidth="1"/>
    <col min="177" max="177" width="12.5" bestFit="1" customWidth="1"/>
    <col min="178" max="178" width="6.296875" customWidth="1"/>
    <col min="179" max="179" width="14.796875" bestFit="1" customWidth="1"/>
    <col min="180" max="180" width="6" customWidth="1"/>
    <col min="181" max="181" width="12.69921875" bestFit="1" customWidth="1"/>
    <col min="183" max="183" width="12.5" bestFit="1" customWidth="1"/>
    <col min="184" max="184" width="6.296875" customWidth="1"/>
    <col min="185" max="185" width="14.796875" bestFit="1" customWidth="1"/>
    <col min="186" max="186" width="6" customWidth="1"/>
    <col min="187" max="187" width="12.69921875" bestFit="1" customWidth="1"/>
    <col min="188" max="188" width="8.796875" customWidth="1"/>
    <col min="189" max="189" width="12.5" bestFit="1" customWidth="1"/>
    <col min="190" max="190" width="6.296875" customWidth="1"/>
    <col min="191" max="191" width="14.796875" bestFit="1" customWidth="1"/>
    <col min="192" max="192" width="6" customWidth="1"/>
    <col min="193" max="193" width="12.69921875" customWidth="1"/>
    <col min="194" max="194" width="8.796875" customWidth="1"/>
    <col min="195" max="195" width="12.5" bestFit="1" customWidth="1"/>
    <col min="196" max="196" width="6.296875" customWidth="1"/>
    <col min="197" max="197" width="14.796875" bestFit="1" customWidth="1"/>
    <col min="198" max="198" width="6" customWidth="1"/>
    <col min="199" max="199" width="12.69921875" customWidth="1"/>
  </cols>
  <sheetData>
    <row r="1" spans="2:199" ht="33.6">
      <c r="B1" s="4" t="s">
        <v>0</v>
      </c>
      <c r="D1" s="4"/>
      <c r="G1" s="13" t="s">
        <v>34</v>
      </c>
      <c r="I1" s="13" t="s">
        <v>34</v>
      </c>
      <c r="J1" s="13" t="s">
        <v>34</v>
      </c>
      <c r="K1" s="13" t="s">
        <v>34</v>
      </c>
    </row>
    <row r="2" spans="2:199">
      <c r="I2" s="22" t="s">
        <v>27</v>
      </c>
      <c r="J2" s="22"/>
      <c r="K2" s="22"/>
      <c r="L2" s="22"/>
      <c r="N2" s="22" t="s">
        <v>90</v>
      </c>
      <c r="O2" s="22"/>
      <c r="P2" s="22"/>
      <c r="Q2" s="22"/>
      <c r="R2" s="22"/>
      <c r="S2" s="22"/>
      <c r="U2" s="22" t="s">
        <v>91</v>
      </c>
      <c r="V2" s="22"/>
      <c r="W2" s="22"/>
      <c r="X2" s="22"/>
      <c r="Y2" s="22"/>
      <c r="Z2" s="22"/>
      <c r="AB2" s="22" t="s">
        <v>92</v>
      </c>
      <c r="AC2" s="22"/>
      <c r="AD2" s="22"/>
      <c r="AE2" s="22"/>
      <c r="AF2" s="22"/>
      <c r="AG2" s="22"/>
      <c r="AI2" s="22" t="s">
        <v>93</v>
      </c>
      <c r="AJ2" s="22"/>
      <c r="AK2" s="22"/>
      <c r="AL2" s="22"/>
      <c r="AM2" s="22"/>
      <c r="AN2" s="22"/>
      <c r="AP2" s="22" t="s">
        <v>94</v>
      </c>
      <c r="AQ2" s="22"/>
      <c r="AR2" s="22"/>
      <c r="AS2" s="22"/>
      <c r="AT2" s="22"/>
      <c r="AU2" s="22"/>
      <c r="AW2" s="22" t="s">
        <v>95</v>
      </c>
      <c r="AX2" s="22"/>
      <c r="AY2" s="22"/>
      <c r="AZ2" s="22"/>
      <c r="BA2" s="22"/>
      <c r="BB2" s="22"/>
      <c r="BD2" s="22" t="s">
        <v>96</v>
      </c>
      <c r="BE2" s="22"/>
      <c r="BF2" s="22"/>
      <c r="BG2" s="22"/>
      <c r="BH2" s="22"/>
      <c r="BI2" s="22"/>
      <c r="BK2" s="22" t="s">
        <v>97</v>
      </c>
      <c r="BL2" s="22"/>
      <c r="BM2" s="22"/>
      <c r="BN2" s="22"/>
      <c r="BO2" s="22"/>
      <c r="BP2" s="22"/>
      <c r="BR2" s="22" t="s">
        <v>98</v>
      </c>
      <c r="BS2" s="22"/>
      <c r="BT2" s="22"/>
      <c r="BU2" s="22"/>
      <c r="BV2" s="22"/>
      <c r="BW2" s="22"/>
      <c r="BY2" s="22" t="s">
        <v>99</v>
      </c>
      <c r="BZ2" s="22"/>
      <c r="CA2" s="22"/>
      <c r="CB2" s="22"/>
      <c r="CC2" s="22"/>
      <c r="CD2" s="22"/>
      <c r="CF2" s="22" t="s">
        <v>100</v>
      </c>
      <c r="CG2" s="22"/>
      <c r="CH2" s="22"/>
      <c r="CI2" s="22"/>
      <c r="CJ2" s="22"/>
      <c r="CK2" s="22"/>
      <c r="CM2" s="22" t="s">
        <v>101</v>
      </c>
      <c r="CN2" s="22"/>
      <c r="CO2" s="22"/>
      <c r="CP2" s="22"/>
      <c r="CQ2" s="22"/>
      <c r="CR2" s="22"/>
      <c r="CT2" s="22" t="s">
        <v>102</v>
      </c>
      <c r="CU2" s="22"/>
      <c r="CV2" s="22"/>
      <c r="CW2" s="22"/>
      <c r="CX2" s="22"/>
      <c r="CY2" s="22"/>
      <c r="DA2" s="22" t="s">
        <v>103</v>
      </c>
      <c r="DB2" s="22"/>
      <c r="DC2" s="22"/>
      <c r="DD2" s="22"/>
      <c r="DE2" s="22"/>
      <c r="DF2" s="22"/>
      <c r="DI2" s="22" t="s">
        <v>104</v>
      </c>
      <c r="DJ2" s="22"/>
      <c r="DK2" s="22"/>
      <c r="DL2" s="22"/>
      <c r="DM2" s="22"/>
      <c r="DN2" s="22"/>
      <c r="DP2" s="22" t="s">
        <v>105</v>
      </c>
      <c r="DQ2" s="22"/>
      <c r="DR2" s="22"/>
      <c r="DS2" s="22"/>
      <c r="DT2" s="22"/>
      <c r="DU2" s="22"/>
      <c r="DW2" s="22" t="s">
        <v>106</v>
      </c>
      <c r="DX2" s="22"/>
      <c r="DY2" s="22"/>
      <c r="DZ2" s="22"/>
      <c r="EA2" s="22"/>
      <c r="EB2" s="22"/>
      <c r="ED2" s="22" t="s">
        <v>107</v>
      </c>
      <c r="EE2" s="22"/>
      <c r="EF2" s="22"/>
      <c r="EG2" s="22"/>
      <c r="EH2" s="22"/>
      <c r="EI2" s="22"/>
      <c r="EK2" s="22" t="s">
        <v>108</v>
      </c>
      <c r="EL2" s="22"/>
      <c r="EM2" s="22"/>
      <c r="EN2" s="22"/>
      <c r="EO2" s="22"/>
      <c r="EP2" s="22"/>
      <c r="ER2" s="22" t="s">
        <v>109</v>
      </c>
      <c r="ES2" s="22"/>
      <c r="ET2" s="22"/>
      <c r="EU2" s="22"/>
      <c r="EV2" s="22"/>
      <c r="EW2" s="22"/>
      <c r="EY2" s="22" t="s">
        <v>110</v>
      </c>
      <c r="EZ2" s="22"/>
      <c r="FA2" s="22"/>
      <c r="FB2" s="22"/>
      <c r="FC2" s="22"/>
      <c r="FD2" s="22"/>
      <c r="FF2" s="22" t="s">
        <v>111</v>
      </c>
      <c r="FG2" s="22"/>
      <c r="FH2" s="22"/>
      <c r="FI2" s="22"/>
      <c r="FJ2" s="22"/>
      <c r="FK2" s="22"/>
      <c r="FM2" s="22" t="s">
        <v>112</v>
      </c>
      <c r="FN2" s="22"/>
      <c r="FO2" s="22"/>
      <c r="FP2" s="22"/>
      <c r="FQ2" s="22"/>
      <c r="FR2" s="22"/>
      <c r="FT2" s="22" t="s">
        <v>113</v>
      </c>
      <c r="FU2" s="22"/>
      <c r="FV2" s="22"/>
      <c r="FW2" s="22"/>
      <c r="FX2" s="22"/>
      <c r="FY2" s="22"/>
      <c r="FZ2" s="22" t="s">
        <v>163</v>
      </c>
      <c r="GA2" s="22"/>
      <c r="GB2" s="22"/>
      <c r="GC2" s="22"/>
      <c r="GD2" s="22"/>
      <c r="GE2" s="22"/>
      <c r="GF2" s="22" t="s">
        <v>164</v>
      </c>
      <c r="GG2" s="22"/>
      <c r="GH2" s="22"/>
      <c r="GI2" s="22"/>
      <c r="GJ2" s="22"/>
      <c r="GK2" s="22"/>
      <c r="GL2" s="21"/>
      <c r="GM2" s="21"/>
      <c r="GN2" s="21"/>
      <c r="GO2" s="21"/>
      <c r="GP2" s="21"/>
      <c r="GQ2" s="21"/>
    </row>
    <row r="3" spans="2:199">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I3" s="5" t="s">
        <v>11</v>
      </c>
      <c r="DJ3" s="5" t="s">
        <v>2</v>
      </c>
      <c r="DK3" s="5" t="s">
        <v>33</v>
      </c>
      <c r="DL3" s="5" t="s">
        <v>3</v>
      </c>
      <c r="DM3" s="5" t="s">
        <v>33</v>
      </c>
      <c r="DN3" s="5" t="s">
        <v>12</v>
      </c>
      <c r="DP3" s="5" t="s">
        <v>11</v>
      </c>
      <c r="DQ3" s="5" t="s">
        <v>2</v>
      </c>
      <c r="DR3" s="5" t="s">
        <v>33</v>
      </c>
      <c r="DS3" s="5" t="s">
        <v>3</v>
      </c>
      <c r="DT3" s="5" t="s">
        <v>33</v>
      </c>
      <c r="DU3" s="5" t="s">
        <v>12</v>
      </c>
      <c r="DW3" s="5" t="s">
        <v>11</v>
      </c>
      <c r="DX3" s="5" t="s">
        <v>2</v>
      </c>
      <c r="DY3" s="5" t="s">
        <v>33</v>
      </c>
      <c r="DZ3" s="5" t="s">
        <v>3</v>
      </c>
      <c r="EA3" s="5" t="s">
        <v>33</v>
      </c>
      <c r="EB3" s="5" t="s">
        <v>12</v>
      </c>
      <c r="ED3" s="5" t="s">
        <v>11</v>
      </c>
      <c r="EE3" s="5" t="s">
        <v>2</v>
      </c>
      <c r="EF3" s="5" t="s">
        <v>33</v>
      </c>
      <c r="EG3" s="5" t="s">
        <v>3</v>
      </c>
      <c r="EH3" s="5" t="s">
        <v>33</v>
      </c>
      <c r="EI3" s="5" t="s">
        <v>12</v>
      </c>
      <c r="EK3" s="5" t="s">
        <v>11</v>
      </c>
      <c r="EL3" s="5" t="s">
        <v>2</v>
      </c>
      <c r="EM3" s="5" t="s">
        <v>33</v>
      </c>
      <c r="EN3" s="5" t="s">
        <v>3</v>
      </c>
      <c r="EO3" s="5" t="s">
        <v>33</v>
      </c>
      <c r="EP3" s="5" t="s">
        <v>12</v>
      </c>
      <c r="ER3" s="5" t="s">
        <v>11</v>
      </c>
      <c r="ES3" s="5" t="s">
        <v>2</v>
      </c>
      <c r="ET3" s="5" t="s">
        <v>33</v>
      </c>
      <c r="EU3" s="5" t="s">
        <v>3</v>
      </c>
      <c r="EV3" s="5" t="s">
        <v>33</v>
      </c>
      <c r="EW3" s="5" t="s">
        <v>12</v>
      </c>
      <c r="EY3" s="5" t="s">
        <v>11</v>
      </c>
      <c r="EZ3" s="5" t="s">
        <v>2</v>
      </c>
      <c r="FA3" s="5" t="s">
        <v>33</v>
      </c>
      <c r="FB3" s="5" t="s">
        <v>3</v>
      </c>
      <c r="FC3" s="5" t="s">
        <v>33</v>
      </c>
      <c r="FD3" s="5" t="s">
        <v>12</v>
      </c>
      <c r="FF3" s="5" t="s">
        <v>11</v>
      </c>
      <c r="FG3" s="5" t="s">
        <v>2</v>
      </c>
      <c r="FH3" s="5" t="s">
        <v>33</v>
      </c>
      <c r="FI3" s="5" t="s">
        <v>3</v>
      </c>
      <c r="FJ3" s="5" t="s">
        <v>33</v>
      </c>
      <c r="FK3" s="5" t="s">
        <v>12</v>
      </c>
      <c r="FM3" s="5" t="s">
        <v>11</v>
      </c>
      <c r="FN3" s="5" t="s">
        <v>2</v>
      </c>
      <c r="FO3" s="5" t="s">
        <v>33</v>
      </c>
      <c r="FP3" s="5" t="s">
        <v>3</v>
      </c>
      <c r="FQ3" s="5" t="s">
        <v>33</v>
      </c>
      <c r="FR3" s="5" t="s">
        <v>12</v>
      </c>
      <c r="FT3" s="5" t="s">
        <v>11</v>
      </c>
      <c r="FU3" s="5" t="s">
        <v>2</v>
      </c>
      <c r="FV3" s="5" t="s">
        <v>33</v>
      </c>
      <c r="FW3" s="5" t="s">
        <v>3</v>
      </c>
      <c r="FX3" s="5" t="s">
        <v>33</v>
      </c>
      <c r="FY3" s="5" t="s">
        <v>12</v>
      </c>
      <c r="FZ3" s="5" t="s">
        <v>11</v>
      </c>
      <c r="GA3" s="5" t="s">
        <v>2</v>
      </c>
      <c r="GB3" s="5" t="s">
        <v>33</v>
      </c>
      <c r="GC3" s="5" t="s">
        <v>3</v>
      </c>
      <c r="GD3" s="5" t="s">
        <v>33</v>
      </c>
      <c r="GE3" s="5" t="s">
        <v>12</v>
      </c>
      <c r="GF3" s="5" t="s">
        <v>11</v>
      </c>
      <c r="GG3" s="5" t="s">
        <v>2</v>
      </c>
      <c r="GH3" s="5" t="s">
        <v>33</v>
      </c>
      <c r="GI3" s="5" t="s">
        <v>3</v>
      </c>
      <c r="GJ3" s="5" t="s">
        <v>33</v>
      </c>
      <c r="GK3" s="5" t="s">
        <v>12</v>
      </c>
      <c r="GL3" s="21"/>
      <c r="GM3" s="21"/>
      <c r="GN3" s="21"/>
      <c r="GO3" s="21"/>
      <c r="GP3" s="21"/>
      <c r="GQ3" s="21"/>
    </row>
    <row r="4" spans="2:199">
      <c r="B4" t="s">
        <v>27</v>
      </c>
      <c r="C4" t="s">
        <v>166</v>
      </c>
      <c r="D4" s="19">
        <v>45363</v>
      </c>
      <c r="E4" s="9">
        <v>10</v>
      </c>
      <c r="G4" s="10">
        <f>+SUM(G5:G22)</f>
        <v>0.99619027123323611</v>
      </c>
      <c r="I4" s="12">
        <f>+SUM(I5:I10)</f>
        <v>0</v>
      </c>
      <c r="J4" s="11">
        <f>+SUMPRODUCT(G5:G22,J5:J22)</f>
        <v>0</v>
      </c>
      <c r="K4" s="11">
        <f>+SUMPRODUCT(G5:G22,K5:K22)</f>
        <v>0</v>
      </c>
      <c r="L4" s="9"/>
      <c r="N4" s="12">
        <f>+SUM(N5:N10)</f>
        <v>0</v>
      </c>
      <c r="U4" s="12">
        <f>+SUM(U5:U10)</f>
        <v>0</v>
      </c>
      <c r="AB4" s="12">
        <f>+SUM(AB5:AB10)</f>
        <v>0</v>
      </c>
      <c r="AI4" s="12">
        <f>+SUM(AI5:AI10)</f>
        <v>0</v>
      </c>
      <c r="AP4" s="12">
        <f>+SUM(AP5:AP10)</f>
        <v>0</v>
      </c>
      <c r="AW4" s="12">
        <f>+SUM(AW5:AW10)</f>
        <v>0</v>
      </c>
      <c r="BD4" s="12">
        <f>+SUM(BD5:BD10)</f>
        <v>0</v>
      </c>
      <c r="BK4" s="12">
        <f>+SUM(BK5:BK10)</f>
        <v>0</v>
      </c>
      <c r="BR4" s="12">
        <f>+SUM(BR5:BR10)</f>
        <v>0</v>
      </c>
      <c r="BY4" s="12">
        <f>+SUM(BY5:BY10)</f>
        <v>0</v>
      </c>
      <c r="CF4" s="12">
        <f>+SUM(CF5:CF10)</f>
        <v>0</v>
      </c>
      <c r="CM4" s="12">
        <f>+SUM(CM5:CM10)</f>
        <v>0</v>
      </c>
      <c r="CT4" s="12">
        <f>+SUM(CT5:CT10)</f>
        <v>0</v>
      </c>
      <c r="DA4" s="12">
        <f>+SUM(DA5:DA10)</f>
        <v>0</v>
      </c>
      <c r="DI4" s="12">
        <f>+SUM(DI5:DI10)</f>
        <v>0</v>
      </c>
      <c r="DP4" s="12">
        <f>+SUM(DP5:DP10)</f>
        <v>0</v>
      </c>
      <c r="DW4" s="12"/>
      <c r="ED4" s="12">
        <f>+SUM(ED5:ED10)</f>
        <v>0</v>
      </c>
      <c r="EK4" s="12">
        <f>+SUM(EK5:EK10)</f>
        <v>0</v>
      </c>
      <c r="ER4" s="12">
        <f>+SUM(ER5:ER10)</f>
        <v>0</v>
      </c>
      <c r="EY4" s="12">
        <f>+SUM(EY5:EY10)</f>
        <v>0</v>
      </c>
      <c r="FF4" s="12">
        <f>+SUM(FF5:FF10)</f>
        <v>0</v>
      </c>
      <c r="FM4" s="12">
        <f>+SUM(FM5:FM10)</f>
        <v>0</v>
      </c>
      <c r="FT4" s="12">
        <f>+SUM(FT5:FT10)</f>
        <v>0</v>
      </c>
      <c r="FZ4" s="12">
        <f>+SUM(FZ5:FZ10)</f>
        <v>0</v>
      </c>
      <c r="GF4" s="12">
        <f>+SUM(GF5:GF10)</f>
        <v>0</v>
      </c>
      <c r="GL4" s="12"/>
    </row>
    <row r="5" spans="2:199" outlineLevel="1">
      <c r="B5" t="s">
        <v>28</v>
      </c>
      <c r="C5" t="s">
        <v>166</v>
      </c>
      <c r="E5" s="9"/>
      <c r="F5" t="s">
        <v>200</v>
      </c>
      <c r="G5" s="10">
        <v>7.4999999999999997E-2</v>
      </c>
      <c r="I5" s="9">
        <v>0</v>
      </c>
      <c r="J5" s="11" cm="1">
        <f t="array" ref="J5">MAX(IF($N$3:$EH$3=$J$3,N5:EH5))</f>
        <v>0</v>
      </c>
      <c r="K5" s="11" cm="1">
        <f t="array" ref="K5">MAX(IF($N$3:$EH$3=$J$3,N5:EH5))</f>
        <v>0</v>
      </c>
      <c r="L5" s="9"/>
      <c r="N5">
        <v>0</v>
      </c>
      <c r="O5" s="10"/>
      <c r="P5" s="10">
        <v>0.5</v>
      </c>
      <c r="Q5" s="10"/>
      <c r="R5" s="10">
        <v>0.5</v>
      </c>
      <c r="V5" s="10"/>
      <c r="W5" s="10">
        <v>0.8</v>
      </c>
      <c r="X5" s="10"/>
      <c r="Y5" s="10">
        <v>0.8</v>
      </c>
      <c r="AC5" s="10"/>
      <c r="AD5" s="10">
        <v>0.8</v>
      </c>
      <c r="AE5" s="10"/>
      <c r="AF5" s="10">
        <v>0.8</v>
      </c>
      <c r="AJ5" s="10"/>
      <c r="AK5" s="10">
        <v>0.8</v>
      </c>
      <c r="AL5" s="10"/>
      <c r="AM5" s="10">
        <v>0.8</v>
      </c>
      <c r="AQ5" s="10"/>
      <c r="AR5" s="10">
        <v>0.8</v>
      </c>
      <c r="AS5" s="10"/>
      <c r="AT5" s="10">
        <v>0.8</v>
      </c>
      <c r="AX5" s="10"/>
      <c r="AY5" s="10">
        <v>1</v>
      </c>
      <c r="AZ5" s="10"/>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v>1</v>
      </c>
      <c r="DD5" s="10"/>
      <c r="DE5" s="10">
        <v>1</v>
      </c>
      <c r="DJ5" s="10"/>
      <c r="DK5" s="10">
        <v>1</v>
      </c>
      <c r="DL5" s="10"/>
      <c r="DM5" s="10">
        <v>1</v>
      </c>
      <c r="DQ5" s="10"/>
      <c r="DR5" s="10">
        <v>1</v>
      </c>
      <c r="DS5" s="10"/>
      <c r="DT5" s="10">
        <v>1</v>
      </c>
      <c r="DX5" s="10"/>
      <c r="DY5" s="10"/>
      <c r="DZ5" s="10"/>
      <c r="EA5" s="10"/>
      <c r="EE5" s="10"/>
      <c r="EF5" s="10"/>
      <c r="EG5" s="10"/>
      <c r="EH5" s="10"/>
      <c r="EL5" s="10"/>
      <c r="EM5" s="10"/>
      <c r="EN5" s="10"/>
      <c r="EO5" s="10"/>
      <c r="ES5" s="10"/>
      <c r="ET5" s="10"/>
      <c r="EU5" s="10"/>
      <c r="EV5" s="10"/>
      <c r="EZ5" s="10"/>
      <c r="FA5" s="10"/>
      <c r="FB5" s="10"/>
      <c r="FC5" s="10"/>
      <c r="FG5" s="10"/>
      <c r="FH5" s="10"/>
      <c r="FI5" s="10"/>
      <c r="FJ5" s="10"/>
      <c r="FN5" s="10"/>
      <c r="FO5" s="10"/>
      <c r="FP5" s="10"/>
      <c r="FQ5" s="10"/>
      <c r="FU5" s="10"/>
      <c r="FV5" s="10"/>
      <c r="FW5" s="10"/>
      <c r="FX5" s="10"/>
      <c r="GA5" s="10"/>
      <c r="GB5" s="10"/>
      <c r="GC5" s="10"/>
      <c r="GD5" s="10"/>
      <c r="GG5" s="10"/>
      <c r="GH5" s="10"/>
      <c r="GI5" s="10"/>
      <c r="GJ5" s="10"/>
      <c r="GM5" s="10"/>
      <c r="GN5" s="10"/>
      <c r="GO5" s="10"/>
      <c r="GP5" s="10"/>
    </row>
    <row r="6" spans="2:199" outlineLevel="1">
      <c r="B6" t="s">
        <v>28</v>
      </c>
      <c r="C6" t="s">
        <v>166</v>
      </c>
      <c r="E6" s="9"/>
      <c r="F6" t="s">
        <v>201</v>
      </c>
      <c r="G6" s="10">
        <v>5.8354999999999997E-2</v>
      </c>
      <c r="I6" s="9">
        <v>0</v>
      </c>
      <c r="J6" s="11" cm="1">
        <f t="array" ref="J6">MAX(IF($N$3:$EH$3=$J$3,N6:EH6))</f>
        <v>0</v>
      </c>
      <c r="K6" s="11" cm="1">
        <f t="array" ref="K6">MAX(IF($N$3:$EH$3=$J$3,N6:EH6))</f>
        <v>0</v>
      </c>
      <c r="L6" s="9"/>
      <c r="N6">
        <v>0</v>
      </c>
      <c r="O6" s="10"/>
      <c r="P6" s="10">
        <v>0.5</v>
      </c>
      <c r="Q6" s="10"/>
      <c r="R6" s="10">
        <v>0.5</v>
      </c>
      <c r="V6" s="10"/>
      <c r="W6" s="10">
        <v>0.8</v>
      </c>
      <c r="X6" s="10"/>
      <c r="Y6" s="10">
        <v>0.8</v>
      </c>
      <c r="AC6" s="10"/>
      <c r="AD6" s="10">
        <v>0.8</v>
      </c>
      <c r="AE6" s="10"/>
      <c r="AF6" s="10">
        <v>0.8</v>
      </c>
      <c r="AJ6" s="10"/>
      <c r="AK6" s="10">
        <v>0.8</v>
      </c>
      <c r="AL6" s="10"/>
      <c r="AM6" s="10">
        <v>0.8</v>
      </c>
      <c r="AQ6" s="10"/>
      <c r="AR6" s="10">
        <v>0.8</v>
      </c>
      <c r="AS6" s="10"/>
      <c r="AT6" s="10">
        <v>0.8</v>
      </c>
      <c r="AX6" s="10"/>
      <c r="AY6" s="10">
        <v>0.8</v>
      </c>
      <c r="AZ6" s="10"/>
      <c r="BA6" s="10">
        <v>0.8</v>
      </c>
      <c r="BE6" s="10"/>
      <c r="BF6" s="10">
        <v>1</v>
      </c>
      <c r="BG6" s="10"/>
      <c r="BH6" s="10">
        <v>1</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v>1</v>
      </c>
      <c r="DD6" s="10"/>
      <c r="DE6" s="10">
        <v>1</v>
      </c>
      <c r="DJ6" s="10"/>
      <c r="DK6" s="10">
        <v>1</v>
      </c>
      <c r="DL6" s="10"/>
      <c r="DM6" s="10">
        <v>1</v>
      </c>
      <c r="DQ6" s="10"/>
      <c r="DR6" s="10">
        <v>1</v>
      </c>
      <c r="DS6" s="10"/>
      <c r="DT6" s="10">
        <v>1</v>
      </c>
      <c r="DX6" s="10"/>
      <c r="DY6" s="10"/>
      <c r="DZ6" s="10"/>
      <c r="EA6" s="10"/>
      <c r="EE6" s="10"/>
      <c r="EF6" s="10"/>
      <c r="EG6" s="10"/>
      <c r="EH6" s="10"/>
      <c r="EL6" s="10"/>
      <c r="EM6" s="10"/>
      <c r="EN6" s="10"/>
      <c r="EO6" s="10"/>
      <c r="ES6" s="10"/>
      <c r="ET6" s="10"/>
      <c r="EU6" s="10"/>
      <c r="EV6" s="10"/>
      <c r="EZ6" s="10"/>
      <c r="FA6" s="10"/>
      <c r="FB6" s="10"/>
      <c r="FC6" s="10"/>
      <c r="FG6" s="10"/>
      <c r="FH6" s="10"/>
      <c r="FI6" s="10"/>
      <c r="FJ6" s="10"/>
      <c r="FN6" s="10"/>
      <c r="FO6" s="10"/>
      <c r="FP6" s="10"/>
      <c r="FQ6" s="10"/>
      <c r="FU6" s="10"/>
      <c r="FV6" s="10"/>
      <c r="FW6" s="10"/>
      <c r="FX6" s="10"/>
      <c r="GA6" s="10"/>
      <c r="GB6" s="10"/>
      <c r="GC6" s="10"/>
      <c r="GD6" s="10"/>
      <c r="GG6" s="10"/>
      <c r="GH6" s="10"/>
      <c r="GI6" s="10"/>
      <c r="GJ6" s="10"/>
      <c r="GM6" s="10"/>
      <c r="GN6" s="10"/>
      <c r="GO6" s="10"/>
      <c r="GP6" s="10"/>
    </row>
    <row r="7" spans="2:199" outlineLevel="1">
      <c r="B7" t="s">
        <v>28</v>
      </c>
      <c r="C7" t="s">
        <v>166</v>
      </c>
      <c r="E7" s="9"/>
      <c r="F7" t="s">
        <v>202</v>
      </c>
      <c r="G7" s="10">
        <v>0.05</v>
      </c>
      <c r="I7" s="9">
        <v>0</v>
      </c>
      <c r="J7" s="11" cm="1">
        <f t="array" ref="J7">MAX(IF($N$3:$EH$3=$J$3,N7:EH7))</f>
        <v>0</v>
      </c>
      <c r="K7" s="11" cm="1">
        <f t="array" ref="K7">MAX(IF($N$3:$EH$3=$J$3,N7:EH7))</f>
        <v>0</v>
      </c>
      <c r="L7" s="9"/>
      <c r="N7">
        <v>0</v>
      </c>
      <c r="O7" s="10"/>
      <c r="P7" s="10">
        <v>0.5</v>
      </c>
      <c r="Q7" s="10"/>
      <c r="R7" s="10">
        <v>0.5</v>
      </c>
      <c r="V7" s="10"/>
      <c r="W7" s="10">
        <v>0.5</v>
      </c>
      <c r="X7" s="10"/>
      <c r="Y7" s="10">
        <v>0.5</v>
      </c>
      <c r="AC7" s="10"/>
      <c r="AD7" s="10">
        <v>0.8</v>
      </c>
      <c r="AE7" s="10"/>
      <c r="AF7" s="10">
        <v>0.8</v>
      </c>
      <c r="AJ7" s="10"/>
      <c r="AK7" s="10">
        <v>0.8</v>
      </c>
      <c r="AL7" s="10"/>
      <c r="AM7" s="10">
        <v>0.8</v>
      </c>
      <c r="AQ7" s="10"/>
      <c r="AR7" s="10">
        <v>0.8</v>
      </c>
      <c r="AS7" s="10"/>
      <c r="AT7" s="10">
        <v>0.8</v>
      </c>
      <c r="AX7" s="10"/>
      <c r="AY7" s="10">
        <v>0.8</v>
      </c>
      <c r="AZ7" s="10"/>
      <c r="BA7" s="10">
        <v>0.8</v>
      </c>
      <c r="BE7" s="10"/>
      <c r="BF7" s="10">
        <v>1</v>
      </c>
      <c r="BG7" s="10"/>
      <c r="BH7" s="10">
        <v>1</v>
      </c>
      <c r="BL7" s="10"/>
      <c r="BM7" s="10">
        <v>1</v>
      </c>
      <c r="BN7" s="10"/>
      <c r="BO7" s="10">
        <v>1</v>
      </c>
      <c r="BS7" s="10"/>
      <c r="BT7" s="10">
        <v>1</v>
      </c>
      <c r="BU7" s="10"/>
      <c r="BV7" s="10">
        <v>1</v>
      </c>
      <c r="BZ7" s="10"/>
      <c r="CA7" s="10">
        <v>1</v>
      </c>
      <c r="CB7" s="10"/>
      <c r="CC7" s="10">
        <v>1</v>
      </c>
      <c r="CG7" s="10"/>
      <c r="CH7" s="10">
        <v>1</v>
      </c>
      <c r="CI7" s="10"/>
      <c r="CJ7" s="10">
        <v>1</v>
      </c>
      <c r="CN7" s="10"/>
      <c r="CO7" s="10">
        <v>1</v>
      </c>
      <c r="CP7" s="10"/>
      <c r="CQ7" s="10">
        <v>1</v>
      </c>
      <c r="CU7" s="10"/>
      <c r="CV7" s="10">
        <v>1</v>
      </c>
      <c r="CW7" s="10"/>
      <c r="CX7" s="10">
        <v>1</v>
      </c>
      <c r="DB7" s="10"/>
      <c r="DC7" s="10">
        <v>1</v>
      </c>
      <c r="DD7" s="10"/>
      <c r="DE7" s="10">
        <v>1</v>
      </c>
      <c r="DJ7" s="10"/>
      <c r="DK7" s="10">
        <v>1</v>
      </c>
      <c r="DL7" s="10"/>
      <c r="DM7" s="10">
        <v>1</v>
      </c>
      <c r="DQ7" s="10"/>
      <c r="DR7" s="10">
        <v>1</v>
      </c>
      <c r="DS7" s="10"/>
      <c r="DT7" s="10">
        <v>1</v>
      </c>
      <c r="DX7" s="10"/>
      <c r="DY7" s="10"/>
      <c r="DZ7" s="10"/>
      <c r="EA7" s="10"/>
      <c r="EE7" s="10"/>
      <c r="EF7" s="10"/>
      <c r="EG7" s="10"/>
      <c r="EH7" s="10"/>
      <c r="EL7" s="10"/>
      <c r="EM7" s="10"/>
      <c r="EN7" s="10"/>
      <c r="EO7" s="10"/>
      <c r="ES7" s="10"/>
      <c r="ET7" s="10"/>
      <c r="EU7" s="10"/>
      <c r="EV7" s="10"/>
      <c r="EZ7" s="10"/>
      <c r="FA7" s="10"/>
      <c r="FB7" s="10"/>
      <c r="FC7" s="10"/>
      <c r="FG7" s="10"/>
      <c r="FH7" s="10"/>
      <c r="FI7" s="10"/>
      <c r="FJ7" s="10"/>
      <c r="FN7" s="10"/>
      <c r="FO7" s="10"/>
      <c r="FP7" s="10"/>
      <c r="FQ7" s="10"/>
      <c r="FU7" s="10"/>
      <c r="FV7" s="10"/>
      <c r="FW7" s="10"/>
      <c r="FX7" s="10"/>
      <c r="GA7" s="10"/>
      <c r="GB7" s="10"/>
      <c r="GC7" s="10"/>
      <c r="GD7" s="10"/>
      <c r="GG7" s="10"/>
      <c r="GH7" s="10"/>
      <c r="GI7" s="10"/>
      <c r="GJ7" s="10"/>
      <c r="GM7" s="10"/>
      <c r="GN7" s="10"/>
      <c r="GO7" s="10"/>
      <c r="GP7" s="10"/>
    </row>
    <row r="8" spans="2:199" outlineLevel="1">
      <c r="B8" t="s">
        <v>28</v>
      </c>
      <c r="C8" t="s">
        <v>166</v>
      </c>
      <c r="E8" s="9"/>
      <c r="F8" t="s">
        <v>203</v>
      </c>
      <c r="G8" s="10">
        <v>5.1720000000000002E-2</v>
      </c>
      <c r="I8" s="9">
        <v>0</v>
      </c>
      <c r="J8" s="11" cm="1">
        <f t="array" ref="J8">MAX(IF($N$3:$EH$3=$J$3,N8:EH8))</f>
        <v>0</v>
      </c>
      <c r="K8" s="11" cm="1">
        <f t="array" ref="K8">MAX(IF($N$3:$EH$3=$J$3,N8:EH8))</f>
        <v>0</v>
      </c>
      <c r="L8" s="9"/>
      <c r="N8">
        <v>0</v>
      </c>
      <c r="O8" s="10"/>
      <c r="P8" s="10">
        <v>0.5</v>
      </c>
      <c r="Q8" s="10"/>
      <c r="R8" s="10">
        <v>0.5</v>
      </c>
      <c r="V8" s="10"/>
      <c r="W8" s="10">
        <v>0.5</v>
      </c>
      <c r="X8" s="10"/>
      <c r="Y8" s="10">
        <v>0.5</v>
      </c>
      <c r="AC8" s="10"/>
      <c r="AD8" s="10">
        <v>0.8</v>
      </c>
      <c r="AE8" s="10"/>
      <c r="AF8" s="10">
        <v>0.8</v>
      </c>
      <c r="AJ8" s="10"/>
      <c r="AK8" s="10">
        <v>0.8</v>
      </c>
      <c r="AL8" s="10"/>
      <c r="AM8" s="10">
        <v>0.8</v>
      </c>
      <c r="AQ8" s="10"/>
      <c r="AR8" s="10">
        <v>0.8</v>
      </c>
      <c r="AS8" s="10"/>
      <c r="AT8" s="10">
        <v>0.8</v>
      </c>
      <c r="AX8" s="10"/>
      <c r="AY8" s="10">
        <v>0.8</v>
      </c>
      <c r="AZ8" s="10"/>
      <c r="BA8" s="10">
        <v>0.8</v>
      </c>
      <c r="BE8" s="10"/>
      <c r="BF8" s="10">
        <v>0.8</v>
      </c>
      <c r="BG8" s="10"/>
      <c r="BH8" s="10">
        <v>0.8</v>
      </c>
      <c r="BL8" s="10"/>
      <c r="BM8" s="10">
        <v>1</v>
      </c>
      <c r="BN8" s="10"/>
      <c r="BO8" s="10">
        <v>1</v>
      </c>
      <c r="BS8" s="10"/>
      <c r="BT8" s="10">
        <v>1</v>
      </c>
      <c r="BU8" s="10"/>
      <c r="BV8" s="10">
        <v>1</v>
      </c>
      <c r="BZ8" s="10"/>
      <c r="CA8" s="10">
        <v>1</v>
      </c>
      <c r="CB8" s="10"/>
      <c r="CC8" s="10">
        <v>1</v>
      </c>
      <c r="CG8" s="10"/>
      <c r="CH8" s="10">
        <v>1</v>
      </c>
      <c r="CI8" s="10"/>
      <c r="CJ8" s="10">
        <v>1</v>
      </c>
      <c r="CN8" s="10"/>
      <c r="CO8" s="10">
        <v>1</v>
      </c>
      <c r="CP8" s="10"/>
      <c r="CQ8" s="10">
        <v>1</v>
      </c>
      <c r="CU8" s="10"/>
      <c r="CV8" s="10">
        <v>1</v>
      </c>
      <c r="CW8" s="10"/>
      <c r="CX8" s="10">
        <v>1</v>
      </c>
      <c r="DB8" s="10"/>
      <c r="DC8" s="10">
        <v>1</v>
      </c>
      <c r="DD8" s="10"/>
      <c r="DE8" s="10">
        <v>1</v>
      </c>
      <c r="DJ8" s="10"/>
      <c r="DK8" s="10">
        <v>1</v>
      </c>
      <c r="DL8" s="10"/>
      <c r="DM8" s="10">
        <v>1</v>
      </c>
      <c r="DQ8" s="10"/>
      <c r="DR8" s="10">
        <v>1</v>
      </c>
      <c r="DS8" s="10"/>
      <c r="DT8" s="10">
        <v>1</v>
      </c>
      <c r="DX8" s="10"/>
      <c r="DY8" s="10"/>
      <c r="DZ8" s="10"/>
      <c r="EA8" s="10"/>
      <c r="EE8" s="10"/>
      <c r="EF8" s="10"/>
      <c r="EG8" s="10"/>
      <c r="EH8" s="10"/>
      <c r="EL8" s="10"/>
      <c r="EM8" s="10"/>
      <c r="EN8" s="10"/>
      <c r="EO8" s="10"/>
      <c r="ES8" s="10"/>
      <c r="ET8" s="10"/>
      <c r="EU8" s="10"/>
      <c r="EV8" s="10"/>
      <c r="EZ8" s="10"/>
      <c r="FA8" s="10"/>
      <c r="FB8" s="10"/>
      <c r="FC8" s="10"/>
      <c r="FG8" s="10"/>
      <c r="FH8" s="10"/>
      <c r="FI8" s="10"/>
      <c r="FJ8" s="10"/>
      <c r="FN8" s="10"/>
      <c r="FO8" s="10"/>
      <c r="FP8" s="10"/>
      <c r="FQ8" s="10"/>
      <c r="FU8" s="10"/>
      <c r="FV8" s="10"/>
      <c r="FW8" s="10"/>
      <c r="FX8" s="10"/>
      <c r="GA8" s="10"/>
      <c r="GB8" s="10"/>
      <c r="GC8" s="10"/>
      <c r="GD8" s="10"/>
      <c r="GG8" s="10"/>
      <c r="GH8" s="10"/>
      <c r="GI8" s="10"/>
      <c r="GJ8" s="10"/>
      <c r="GM8" s="10"/>
      <c r="GN8" s="10"/>
      <c r="GO8" s="10"/>
      <c r="GP8" s="10"/>
    </row>
    <row r="9" spans="2:199" outlineLevel="1">
      <c r="B9" t="s">
        <v>28</v>
      </c>
      <c r="C9" t="s">
        <v>166</v>
      </c>
      <c r="E9" s="9"/>
      <c r="F9" t="s">
        <v>204</v>
      </c>
      <c r="G9" s="10">
        <v>6.4986699999999994E-2</v>
      </c>
      <c r="I9" s="9">
        <f>+SUMIF($N$3:$ZT$3,I$3,$N9:$ZZ9)</f>
        <v>0</v>
      </c>
      <c r="J9" s="11" cm="1">
        <f t="array" ref="J9">MAX(IF($N$3:$EH$3=$J$3,N9:EH9))</f>
        <v>0</v>
      </c>
      <c r="K9" s="11" cm="1">
        <f t="array" ref="K9">MAX(IF($N$3:$EH$3=$J$3,N9:EH9))</f>
        <v>0</v>
      </c>
      <c r="L9" s="9"/>
      <c r="O9" s="10"/>
      <c r="P9" s="10">
        <v>0.5</v>
      </c>
      <c r="Q9" s="10"/>
      <c r="R9" s="10">
        <v>0.5</v>
      </c>
      <c r="V9" s="10"/>
      <c r="W9" s="10">
        <v>0.5</v>
      </c>
      <c r="X9" s="10"/>
      <c r="Y9" s="10">
        <v>0.5</v>
      </c>
      <c r="AC9" s="10"/>
      <c r="AD9" s="10">
        <v>0.8</v>
      </c>
      <c r="AE9" s="10"/>
      <c r="AF9" s="10">
        <v>0.8</v>
      </c>
      <c r="AJ9" s="10"/>
      <c r="AK9" s="10">
        <v>0.8</v>
      </c>
      <c r="AL9" s="10"/>
      <c r="AM9" s="10">
        <v>0.8</v>
      </c>
      <c r="AQ9" s="10"/>
      <c r="AR9" s="10">
        <v>0.8</v>
      </c>
      <c r="AS9" s="10"/>
      <c r="AT9" s="10">
        <v>0.8</v>
      </c>
      <c r="AX9" s="10"/>
      <c r="AY9" s="10">
        <v>0.8</v>
      </c>
      <c r="AZ9" s="10"/>
      <c r="BA9" s="10">
        <v>0.8</v>
      </c>
      <c r="BE9" s="10"/>
      <c r="BF9" s="10">
        <v>0.8</v>
      </c>
      <c r="BG9" s="10"/>
      <c r="BH9" s="10">
        <v>0.8</v>
      </c>
      <c r="BL9" s="10"/>
      <c r="BM9" s="10">
        <v>0.8</v>
      </c>
      <c r="BN9" s="10"/>
      <c r="BO9" s="10">
        <v>0.8</v>
      </c>
      <c r="BS9" s="10"/>
      <c r="BT9" s="10">
        <v>1</v>
      </c>
      <c r="BU9" s="10"/>
      <c r="BV9" s="10">
        <v>1</v>
      </c>
      <c r="BZ9" s="10"/>
      <c r="CA9" s="10">
        <v>1</v>
      </c>
      <c r="CB9" s="10"/>
      <c r="CC9" s="10">
        <v>1</v>
      </c>
      <c r="CG9" s="10"/>
      <c r="CH9" s="10">
        <v>1</v>
      </c>
      <c r="CI9" s="10"/>
      <c r="CJ9" s="10">
        <v>1</v>
      </c>
      <c r="CN9" s="10"/>
      <c r="CO9" s="10">
        <v>1</v>
      </c>
      <c r="CP9" s="10"/>
      <c r="CQ9" s="10">
        <v>1</v>
      </c>
      <c r="CU9" s="10"/>
      <c r="CV9" s="10">
        <v>1</v>
      </c>
      <c r="CW9" s="10"/>
      <c r="CX9" s="10">
        <v>1</v>
      </c>
      <c r="DB9" s="10"/>
      <c r="DC9" s="10">
        <v>1</v>
      </c>
      <c r="DD9" s="10"/>
      <c r="DE9" s="10">
        <v>1</v>
      </c>
      <c r="DJ9" s="10"/>
      <c r="DK9" s="10">
        <v>1</v>
      </c>
      <c r="DL9" s="10"/>
      <c r="DM9" s="10">
        <v>1</v>
      </c>
      <c r="DQ9" s="10"/>
      <c r="DR9" s="10">
        <v>1</v>
      </c>
      <c r="DS9" s="10"/>
      <c r="DT9" s="10">
        <v>1</v>
      </c>
      <c r="DX9" s="10"/>
      <c r="DY9" s="10"/>
      <c r="DZ9" s="10"/>
      <c r="EA9" s="10"/>
      <c r="EE9" s="10"/>
      <c r="EF9" s="10"/>
      <c r="EG9" s="10"/>
      <c r="EH9" s="10"/>
      <c r="EL9" s="10"/>
      <c r="EM9" s="10"/>
      <c r="EN9" s="10"/>
      <c r="EO9" s="10"/>
      <c r="ES9" s="10"/>
      <c r="ET9" s="10"/>
      <c r="EU9" s="10"/>
      <c r="EV9" s="10"/>
      <c r="EZ9" s="10"/>
      <c r="FA9" s="10"/>
      <c r="FB9" s="10"/>
      <c r="FC9" s="10"/>
      <c r="FG9" s="10"/>
      <c r="FH9" s="10"/>
      <c r="FI9" s="10"/>
      <c r="FJ9" s="10"/>
      <c r="FN9" s="10"/>
      <c r="FO9" s="10"/>
      <c r="FP9" s="10"/>
      <c r="FQ9" s="10"/>
      <c r="FU9" s="10"/>
      <c r="FV9" s="10"/>
      <c r="FW9" s="10"/>
      <c r="FX9" s="10"/>
      <c r="GA9" s="10"/>
      <c r="GB9" s="10"/>
      <c r="GC9" s="10"/>
      <c r="GD9" s="10"/>
      <c r="GG9" s="10"/>
      <c r="GH9" s="10"/>
      <c r="GI9" s="10"/>
      <c r="GJ9" s="10"/>
      <c r="GM9" s="10"/>
      <c r="GN9" s="10"/>
      <c r="GO9" s="10"/>
      <c r="GP9" s="10"/>
    </row>
    <row r="10" spans="2:199" outlineLevel="1">
      <c r="B10" t="s">
        <v>28</v>
      </c>
      <c r="C10" t="s">
        <v>166</v>
      </c>
      <c r="E10" s="9"/>
      <c r="F10" t="s">
        <v>205</v>
      </c>
      <c r="G10" s="10">
        <v>5.305E-2</v>
      </c>
      <c r="I10" s="9">
        <f>+SUMIF($N$3:$ZT$3,I$3,$N10:$ZZ10)</f>
        <v>0</v>
      </c>
      <c r="J10" s="11" cm="1">
        <f t="array" ref="J10">MAX(IF($N$3:$EH$3=$J$3,N10:EH10))</f>
        <v>0</v>
      </c>
      <c r="K10" s="11" cm="1">
        <f t="array" ref="K10">MAX(IF($N$3:$EH$3=$J$3,N10:EH10))</f>
        <v>0</v>
      </c>
      <c r="L10" s="9"/>
      <c r="O10" s="10"/>
      <c r="P10" s="10"/>
      <c r="Q10" s="10"/>
      <c r="R10" s="10"/>
      <c r="V10" s="10"/>
      <c r="W10" s="10">
        <v>0.5</v>
      </c>
      <c r="X10" s="10"/>
      <c r="Y10" s="10">
        <v>0.5</v>
      </c>
      <c r="AC10" s="10"/>
      <c r="AD10" s="10">
        <v>0.8</v>
      </c>
      <c r="AE10" s="10"/>
      <c r="AF10" s="10">
        <v>0.8</v>
      </c>
      <c r="AJ10" s="10"/>
      <c r="AK10" s="10">
        <v>0.8</v>
      </c>
      <c r="AL10" s="10"/>
      <c r="AM10" s="10">
        <v>0.8</v>
      </c>
      <c r="AQ10" s="10"/>
      <c r="AR10" s="10">
        <v>0.8</v>
      </c>
      <c r="AS10" s="10"/>
      <c r="AT10" s="10">
        <v>0.8</v>
      </c>
      <c r="AX10" s="10"/>
      <c r="AY10" s="10">
        <v>0.8</v>
      </c>
      <c r="AZ10" s="10"/>
      <c r="BA10" s="10">
        <v>0.8</v>
      </c>
      <c r="BE10" s="10"/>
      <c r="BF10" s="10">
        <v>0.8</v>
      </c>
      <c r="BG10" s="10"/>
      <c r="BH10" s="10">
        <v>0.8</v>
      </c>
      <c r="BL10" s="10"/>
      <c r="BM10" s="10">
        <v>0.8</v>
      </c>
      <c r="BN10" s="10"/>
      <c r="BO10" s="10">
        <v>0.8</v>
      </c>
      <c r="BS10" s="10"/>
      <c r="BT10" s="10">
        <v>1</v>
      </c>
      <c r="BU10" s="10"/>
      <c r="BV10" s="10">
        <v>1</v>
      </c>
      <c r="BZ10" s="10"/>
      <c r="CA10" s="10">
        <v>1</v>
      </c>
      <c r="CB10" s="10"/>
      <c r="CC10" s="10">
        <v>1</v>
      </c>
      <c r="CG10" s="10"/>
      <c r="CH10" s="10">
        <v>1</v>
      </c>
      <c r="CI10" s="10"/>
      <c r="CJ10" s="10">
        <v>1</v>
      </c>
      <c r="CN10" s="10"/>
      <c r="CO10" s="10">
        <v>1</v>
      </c>
      <c r="CP10" s="10"/>
      <c r="CQ10" s="10">
        <v>1</v>
      </c>
      <c r="CU10" s="10"/>
      <c r="CV10" s="10">
        <v>1</v>
      </c>
      <c r="CW10" s="10"/>
      <c r="CX10" s="10">
        <v>1</v>
      </c>
      <c r="DB10" s="10"/>
      <c r="DC10" s="10">
        <v>1</v>
      </c>
      <c r="DD10" s="10"/>
      <c r="DE10" s="10">
        <v>1</v>
      </c>
      <c r="DJ10" s="10"/>
      <c r="DK10" s="10">
        <v>1</v>
      </c>
      <c r="DL10" s="10"/>
      <c r="DM10" s="10">
        <v>1</v>
      </c>
      <c r="DQ10" s="10"/>
      <c r="DR10" s="10">
        <v>1</v>
      </c>
      <c r="DS10" s="10"/>
      <c r="DT10" s="10">
        <v>1</v>
      </c>
      <c r="DX10" s="10"/>
      <c r="DY10" s="10"/>
      <c r="DZ10" s="10"/>
      <c r="EA10" s="10"/>
      <c r="EE10" s="10"/>
      <c r="EF10" s="10"/>
      <c r="EG10" s="10"/>
      <c r="EH10" s="10"/>
      <c r="EL10" s="10"/>
      <c r="EM10" s="10"/>
      <c r="EN10" s="10"/>
      <c r="EO10" s="10"/>
      <c r="ES10" s="10"/>
      <c r="ET10" s="10"/>
      <c r="EU10" s="10"/>
      <c r="EV10" s="10"/>
      <c r="EZ10" s="10"/>
      <c r="FA10" s="10"/>
      <c r="FB10" s="10"/>
      <c r="FC10" s="10"/>
      <c r="FG10" s="10"/>
      <c r="FH10" s="10"/>
      <c r="FI10" s="10"/>
      <c r="FJ10" s="10"/>
      <c r="FN10" s="10"/>
      <c r="FO10" s="10"/>
      <c r="FP10" s="10"/>
      <c r="FQ10" s="10"/>
      <c r="FU10" s="10"/>
      <c r="FV10" s="10"/>
      <c r="FW10" s="10"/>
      <c r="FX10" s="10"/>
      <c r="GA10" s="10"/>
      <c r="GB10" s="10"/>
      <c r="GC10" s="10"/>
      <c r="GD10" s="10"/>
      <c r="GG10" s="10"/>
      <c r="GH10" s="10"/>
      <c r="GI10" s="10"/>
      <c r="GJ10" s="10"/>
      <c r="GM10" s="10"/>
      <c r="GN10" s="10"/>
      <c r="GO10" s="10"/>
      <c r="GP10" s="10"/>
    </row>
    <row r="11" spans="2:199" outlineLevel="1">
      <c r="B11" t="s">
        <v>28</v>
      </c>
      <c r="C11" t="s">
        <v>166</v>
      </c>
      <c r="E11" s="9"/>
      <c r="F11" t="s">
        <v>206</v>
      </c>
      <c r="G11" s="10">
        <v>5.8354999999999997E-2</v>
      </c>
      <c r="I11" s="9">
        <v>0</v>
      </c>
      <c r="J11" s="11" cm="1">
        <f t="array" ref="J11">MAX(IF($N$3:$EH$3=$J$3,N11:EH11))</f>
        <v>0</v>
      </c>
      <c r="K11" s="11" cm="1">
        <f t="array" ref="K11">MAX(IF($N$3:$EH$3=$J$3,N11:EH11))</f>
        <v>0</v>
      </c>
      <c r="L11" s="9"/>
      <c r="O11" s="10"/>
      <c r="P11" s="10"/>
      <c r="Q11" s="10"/>
      <c r="R11" s="10"/>
      <c r="V11" s="10"/>
      <c r="W11" s="10">
        <v>0.5</v>
      </c>
      <c r="X11" s="10"/>
      <c r="Y11" s="10">
        <v>0.5</v>
      </c>
      <c r="AC11" s="10"/>
      <c r="AD11" s="10">
        <v>0.5</v>
      </c>
      <c r="AE11" s="10"/>
      <c r="AF11" s="10">
        <v>0.5</v>
      </c>
      <c r="AJ11" s="10"/>
      <c r="AK11" s="10">
        <v>0.8</v>
      </c>
      <c r="AL11" s="10"/>
      <c r="AM11" s="10">
        <v>0.8</v>
      </c>
      <c r="AQ11" s="10"/>
      <c r="AR11" s="10">
        <v>0.8</v>
      </c>
      <c r="AS11" s="10"/>
      <c r="AT11" s="10">
        <v>0.8</v>
      </c>
      <c r="AX11" s="10"/>
      <c r="AY11" s="10">
        <v>0.8</v>
      </c>
      <c r="AZ11" s="10"/>
      <c r="BA11" s="10">
        <v>0.8</v>
      </c>
      <c r="BE11" s="10"/>
      <c r="BF11" s="10">
        <v>0.8</v>
      </c>
      <c r="BG11" s="10"/>
      <c r="BH11" s="10">
        <v>0.8</v>
      </c>
      <c r="BL11" s="10"/>
      <c r="BM11" s="10">
        <v>0.8</v>
      </c>
      <c r="BN11" s="10"/>
      <c r="BO11" s="10">
        <v>0.8</v>
      </c>
      <c r="BS11" s="10"/>
      <c r="BT11" s="10">
        <v>0.8</v>
      </c>
      <c r="BU11" s="10"/>
      <c r="BV11" s="10">
        <v>0.8</v>
      </c>
      <c r="BZ11" s="10"/>
      <c r="CA11" s="10">
        <v>1</v>
      </c>
      <c r="CB11" s="10"/>
      <c r="CC11" s="10">
        <v>1</v>
      </c>
      <c r="CG11" s="10"/>
      <c r="CH11" s="10">
        <v>1</v>
      </c>
      <c r="CI11" s="10"/>
      <c r="CJ11" s="10">
        <v>1</v>
      </c>
      <c r="CN11" s="10"/>
      <c r="CO11" s="10">
        <v>1</v>
      </c>
      <c r="CP11" s="10"/>
      <c r="CQ11" s="10">
        <v>1</v>
      </c>
      <c r="CU11" s="10"/>
      <c r="CV11" s="10">
        <v>1</v>
      </c>
      <c r="CW11" s="10"/>
      <c r="CX11" s="10">
        <v>1</v>
      </c>
      <c r="DB11" s="10"/>
      <c r="DC11" s="10">
        <v>1</v>
      </c>
      <c r="DD11" s="10"/>
      <c r="DE11" s="10">
        <v>1</v>
      </c>
      <c r="DJ11" s="10"/>
      <c r="DK11" s="10">
        <v>1</v>
      </c>
      <c r="DL11" s="10"/>
      <c r="DM11" s="10">
        <v>1</v>
      </c>
      <c r="DQ11" s="10"/>
      <c r="DR11" s="10">
        <v>1</v>
      </c>
      <c r="DS11" s="10"/>
      <c r="DT11" s="10">
        <v>1</v>
      </c>
      <c r="DX11" s="10"/>
      <c r="DY11" s="10"/>
      <c r="DZ11" s="10"/>
      <c r="EA11" s="10"/>
      <c r="EE11" s="10"/>
      <c r="EF11" s="10"/>
      <c r="EG11" s="10"/>
      <c r="EH11" s="10"/>
      <c r="EL11" s="10"/>
      <c r="EM11" s="10"/>
      <c r="EN11" s="10"/>
      <c r="EO11" s="10"/>
      <c r="ES11" s="10"/>
      <c r="ET11" s="10"/>
      <c r="EU11" s="10"/>
      <c r="EV11" s="10"/>
      <c r="EZ11" s="10"/>
      <c r="FA11" s="10"/>
      <c r="FB11" s="10"/>
      <c r="FC11" s="10"/>
      <c r="FG11" s="10"/>
      <c r="FH11" s="10"/>
      <c r="FI11" s="10"/>
      <c r="FJ11" s="10"/>
      <c r="FN11" s="10"/>
      <c r="FO11" s="10"/>
      <c r="FP11" s="10"/>
      <c r="FQ11" s="10"/>
      <c r="FU11" s="10"/>
      <c r="FV11" s="10"/>
      <c r="FW11" s="10"/>
      <c r="FX11" s="10"/>
      <c r="GA11" s="10"/>
      <c r="GB11" s="10"/>
      <c r="GC11" s="10"/>
      <c r="GD11" s="10"/>
      <c r="GG11" s="10"/>
      <c r="GH11" s="10"/>
      <c r="GI11" s="10"/>
      <c r="GJ11" s="10"/>
      <c r="GM11" s="10"/>
      <c r="GN11" s="10"/>
      <c r="GO11" s="10"/>
      <c r="GP11" s="10"/>
    </row>
    <row r="12" spans="2:199" outlineLevel="1">
      <c r="B12" t="s">
        <v>28</v>
      </c>
      <c r="C12" t="s">
        <v>166</v>
      </c>
      <c r="E12" s="9"/>
      <c r="F12" t="s">
        <v>207</v>
      </c>
      <c r="G12" s="10">
        <v>5.4376657799999999E-2</v>
      </c>
      <c r="I12" s="9">
        <f>+SUMIF($N$3:$ZT$3,I$3,$N12:$ZZ12)</f>
        <v>0</v>
      </c>
      <c r="J12" s="11" cm="1">
        <f t="array" ref="J12">MAX(IF($N$3:$EH$3=$J$3,N12:EH12))</f>
        <v>0</v>
      </c>
      <c r="K12" s="11" cm="1">
        <f t="array" ref="K12">MAX(IF($N$3:$EH$3=$J$3,N12:EH12))</f>
        <v>0</v>
      </c>
      <c r="L12" s="9"/>
      <c r="O12" s="10"/>
      <c r="P12" s="10"/>
      <c r="Q12" s="10"/>
      <c r="R12" s="10"/>
      <c r="V12" s="10"/>
      <c r="W12" s="10">
        <v>0.5</v>
      </c>
      <c r="X12" s="10"/>
      <c r="Y12" s="10">
        <v>0.5</v>
      </c>
      <c r="AC12" s="10"/>
      <c r="AD12" s="10">
        <v>0.5</v>
      </c>
      <c r="AE12" s="10"/>
      <c r="AF12" s="10">
        <v>0.5</v>
      </c>
      <c r="AJ12" s="10"/>
      <c r="AK12" s="10">
        <v>0.8</v>
      </c>
      <c r="AL12" s="10"/>
      <c r="AM12" s="10">
        <v>0.8</v>
      </c>
      <c r="AQ12" s="10"/>
      <c r="AR12" s="10">
        <v>0.8</v>
      </c>
      <c r="AS12" s="10"/>
      <c r="AT12" s="10">
        <v>0.8</v>
      </c>
      <c r="AX12" s="10"/>
      <c r="AY12" s="10">
        <v>0.8</v>
      </c>
      <c r="AZ12" s="10"/>
      <c r="BA12" s="10">
        <v>0.8</v>
      </c>
      <c r="BE12" s="10"/>
      <c r="BF12" s="10">
        <v>0.8</v>
      </c>
      <c r="BG12" s="10"/>
      <c r="BH12" s="10">
        <v>0.8</v>
      </c>
      <c r="BL12" s="10"/>
      <c r="BM12" s="10">
        <v>0.8</v>
      </c>
      <c r="BN12" s="10"/>
      <c r="BO12" s="10">
        <v>0.8</v>
      </c>
      <c r="BS12" s="10"/>
      <c r="BT12" s="10">
        <v>0.8</v>
      </c>
      <c r="BU12" s="10"/>
      <c r="BV12" s="10">
        <v>0.8</v>
      </c>
      <c r="BZ12" s="10"/>
      <c r="CA12" s="10">
        <v>0.8</v>
      </c>
      <c r="CB12" s="10"/>
      <c r="CC12" s="10">
        <v>0.8</v>
      </c>
      <c r="CG12" s="10"/>
      <c r="CH12" s="10">
        <v>1</v>
      </c>
      <c r="CI12" s="10"/>
      <c r="CJ12" s="10">
        <v>1</v>
      </c>
      <c r="CN12" s="10"/>
      <c r="CO12" s="10">
        <v>1</v>
      </c>
      <c r="CP12" s="10"/>
      <c r="CQ12" s="10">
        <v>1</v>
      </c>
      <c r="CU12" s="10"/>
      <c r="CV12" s="10">
        <v>1</v>
      </c>
      <c r="CW12" s="10"/>
      <c r="CX12" s="10">
        <v>1</v>
      </c>
      <c r="DB12" s="10"/>
      <c r="DC12" s="10">
        <v>1</v>
      </c>
      <c r="DD12" s="10"/>
      <c r="DE12" s="10">
        <v>1</v>
      </c>
      <c r="DJ12" s="10"/>
      <c r="DK12" s="10">
        <v>1</v>
      </c>
      <c r="DL12" s="10"/>
      <c r="DM12" s="10">
        <v>1</v>
      </c>
      <c r="DQ12" s="10"/>
      <c r="DR12" s="10">
        <v>1</v>
      </c>
      <c r="DS12" s="10"/>
      <c r="DT12" s="10">
        <v>1</v>
      </c>
      <c r="DX12" s="10"/>
      <c r="DY12" s="10"/>
      <c r="DZ12" s="10"/>
      <c r="EA12" s="10"/>
      <c r="EE12" s="10"/>
      <c r="EF12" s="10"/>
      <c r="EG12" s="10"/>
      <c r="EH12" s="10"/>
      <c r="EL12" s="10"/>
      <c r="EM12" s="10"/>
      <c r="EN12" s="10"/>
      <c r="EO12" s="10"/>
      <c r="ES12" s="10"/>
      <c r="ET12" s="10"/>
      <c r="EU12" s="10"/>
      <c r="EV12" s="10"/>
      <c r="EZ12" s="10"/>
      <c r="FA12" s="10"/>
      <c r="FB12" s="10"/>
      <c r="FC12" s="10"/>
      <c r="FG12" s="10"/>
      <c r="FH12" s="10"/>
      <c r="FI12" s="10"/>
      <c r="FJ12" s="10"/>
      <c r="FN12" s="10"/>
      <c r="FO12" s="10"/>
      <c r="FP12" s="10"/>
      <c r="FQ12" s="10"/>
      <c r="FU12" s="10"/>
      <c r="FV12" s="10"/>
      <c r="FW12" s="10"/>
      <c r="FX12" s="10"/>
      <c r="GA12" s="10"/>
      <c r="GB12" s="10"/>
      <c r="GC12" s="10"/>
      <c r="GD12" s="10"/>
      <c r="GG12" s="10"/>
      <c r="GH12" s="10"/>
      <c r="GI12" s="10"/>
      <c r="GJ12" s="10"/>
      <c r="GM12" s="10"/>
      <c r="GN12" s="10"/>
      <c r="GO12" s="10"/>
      <c r="GP12" s="10"/>
    </row>
    <row r="13" spans="2:199" ht="18" customHeight="1" outlineLevel="1">
      <c r="B13" t="s">
        <v>28</v>
      </c>
      <c r="C13" t="s">
        <v>166</v>
      </c>
      <c r="E13" s="9"/>
      <c r="F13" t="s">
        <v>208</v>
      </c>
      <c r="G13" s="10">
        <v>1.7241379300000002E-2</v>
      </c>
      <c r="I13" s="9">
        <f>+SUMIF($N$3:$ZT$3,I$3,$N13:$ZZ13)</f>
        <v>0</v>
      </c>
      <c r="J13" s="11" cm="1">
        <f t="array" ref="J13">MAX(IF($N$3:$EH$3=$J$3,N13:EH13))</f>
        <v>0</v>
      </c>
      <c r="K13" s="11" cm="1">
        <f t="array" ref="K13">MAX(IF($N$3:$EH$3=$J$3,N13:EH13))</f>
        <v>0</v>
      </c>
      <c r="L13" s="9"/>
      <c r="O13" s="10"/>
      <c r="P13" s="10"/>
      <c r="Q13" s="10"/>
      <c r="R13" s="10"/>
      <c r="V13" s="10"/>
      <c r="W13" s="10">
        <v>0.5</v>
      </c>
      <c r="X13" s="10"/>
      <c r="Y13" s="10">
        <v>0.5</v>
      </c>
      <c r="AC13" s="10"/>
      <c r="AD13" s="10">
        <v>0.5</v>
      </c>
      <c r="AE13" s="10"/>
      <c r="AF13" s="10">
        <v>0.5</v>
      </c>
      <c r="AJ13" s="10"/>
      <c r="AK13" s="10">
        <v>0.5</v>
      </c>
      <c r="AL13" s="10"/>
      <c r="AM13" s="10">
        <v>0.5</v>
      </c>
      <c r="AQ13" s="10"/>
      <c r="AR13" s="10">
        <v>0.8</v>
      </c>
      <c r="AS13" s="10"/>
      <c r="AT13" s="10">
        <v>0.8</v>
      </c>
      <c r="AX13" s="10"/>
      <c r="AY13" s="10">
        <v>0.8</v>
      </c>
      <c r="AZ13" s="10"/>
      <c r="BA13" s="10">
        <v>0.8</v>
      </c>
      <c r="BE13" s="10"/>
      <c r="BF13" s="10">
        <v>0.8</v>
      </c>
      <c r="BG13" s="10"/>
      <c r="BH13" s="10">
        <v>0.8</v>
      </c>
      <c r="BL13" s="10"/>
      <c r="BM13" s="10">
        <v>0.8</v>
      </c>
      <c r="BN13" s="10"/>
      <c r="BO13" s="10">
        <v>0.8</v>
      </c>
      <c r="BS13" s="10"/>
      <c r="BT13" s="10">
        <v>0.8</v>
      </c>
      <c r="BU13" s="10"/>
      <c r="BV13" s="10">
        <v>0.8</v>
      </c>
      <c r="BZ13" s="10"/>
      <c r="CA13" s="10">
        <v>0.8</v>
      </c>
      <c r="CB13" s="10"/>
      <c r="CC13" s="10">
        <v>0.8</v>
      </c>
      <c r="CG13" s="10"/>
      <c r="CH13" s="10">
        <v>0.8</v>
      </c>
      <c r="CI13" s="10"/>
      <c r="CJ13" s="10">
        <v>0.8</v>
      </c>
      <c r="CN13" s="10"/>
      <c r="CO13" s="10">
        <v>1</v>
      </c>
      <c r="CP13" s="10"/>
      <c r="CQ13" s="10">
        <v>1</v>
      </c>
      <c r="CU13" s="10"/>
      <c r="CV13" s="10">
        <v>1</v>
      </c>
      <c r="CW13" s="10"/>
      <c r="CX13" s="10">
        <v>1</v>
      </c>
      <c r="DB13" s="10"/>
      <c r="DC13" s="10">
        <v>1</v>
      </c>
      <c r="DD13" s="10"/>
      <c r="DE13" s="10">
        <v>1</v>
      </c>
      <c r="DJ13" s="10"/>
      <c r="DK13" s="10">
        <v>1</v>
      </c>
      <c r="DL13" s="10"/>
      <c r="DM13" s="10">
        <v>1</v>
      </c>
      <c r="DQ13" s="10"/>
      <c r="DR13" s="10">
        <v>1</v>
      </c>
      <c r="DS13" s="10"/>
      <c r="DT13" s="10">
        <v>1</v>
      </c>
      <c r="DX13" s="10"/>
      <c r="DY13" s="10"/>
      <c r="DZ13" s="10"/>
      <c r="EA13" s="10"/>
      <c r="EE13" s="10"/>
      <c r="EF13" s="10"/>
      <c r="EG13" s="10"/>
      <c r="EH13" s="10"/>
      <c r="EL13" s="10"/>
      <c r="EM13" s="10"/>
      <c r="EN13" s="10"/>
      <c r="EO13" s="10"/>
      <c r="ES13" s="10"/>
      <c r="ET13" s="10"/>
      <c r="EU13" s="10"/>
      <c r="EV13" s="10"/>
      <c r="EZ13" s="10"/>
      <c r="FA13" s="10"/>
      <c r="FB13" s="10"/>
      <c r="FC13" s="10"/>
      <c r="FG13" s="10"/>
      <c r="FH13" s="10"/>
      <c r="FI13" s="10"/>
      <c r="FJ13" s="10"/>
      <c r="FN13" s="10"/>
      <c r="FO13" s="10"/>
      <c r="FP13" s="10"/>
      <c r="FQ13" s="10"/>
      <c r="FU13" s="10"/>
      <c r="FV13" s="10"/>
      <c r="FW13" s="10"/>
      <c r="FX13" s="10"/>
      <c r="GA13" s="10"/>
      <c r="GB13" s="10"/>
      <c r="GC13" s="10"/>
      <c r="GD13" s="10"/>
      <c r="GG13" s="10"/>
      <c r="GH13" s="10"/>
      <c r="GI13" s="10"/>
      <c r="GJ13" s="10"/>
      <c r="GM13" s="10"/>
      <c r="GN13" s="10"/>
      <c r="GO13" s="10"/>
      <c r="GP13" s="10"/>
    </row>
    <row r="14" spans="2:199" outlineLevel="1">
      <c r="B14" t="s">
        <v>28</v>
      </c>
      <c r="C14" t="s">
        <v>166</v>
      </c>
      <c r="E14" s="9"/>
      <c r="F14" t="s">
        <v>209</v>
      </c>
      <c r="G14" s="10">
        <v>3.5809000000000001E-2</v>
      </c>
      <c r="I14" s="9">
        <f t="shared" ref="I14:I22" si="0">+SUMIF($N$3:$ZT$3,I$3,$N14:$ZZ14)</f>
        <v>0</v>
      </c>
      <c r="J14" s="11" cm="1">
        <f t="array" ref="J14">MAX(IF($N$3:$EH$3=$J$3,N14:EH14))</f>
        <v>0</v>
      </c>
      <c r="K14" s="11" cm="1">
        <f t="array" ref="K14">MAX(IF($N$3:$EH$3=$J$3,N14:EH14))</f>
        <v>0</v>
      </c>
      <c r="L14" s="9"/>
      <c r="O14" s="10"/>
      <c r="P14" s="10"/>
      <c r="Q14" s="10"/>
      <c r="R14" s="10"/>
      <c r="V14" s="10"/>
      <c r="W14" s="10">
        <v>0.5</v>
      </c>
      <c r="X14" s="10"/>
      <c r="Y14" s="10">
        <v>0.5</v>
      </c>
      <c r="AC14" s="10"/>
      <c r="AD14" s="10">
        <v>0.5</v>
      </c>
      <c r="AE14" s="10"/>
      <c r="AF14" s="10">
        <v>0.5</v>
      </c>
      <c r="AJ14" s="10"/>
      <c r="AK14" s="10">
        <v>0.5</v>
      </c>
      <c r="AL14" s="10"/>
      <c r="AM14" s="10">
        <v>0.5</v>
      </c>
      <c r="AQ14" s="10"/>
      <c r="AR14" s="10">
        <v>0.5</v>
      </c>
      <c r="AS14" s="10"/>
      <c r="AT14" s="10">
        <v>0.5</v>
      </c>
      <c r="AX14" s="10"/>
      <c r="AY14" s="10">
        <v>0.6</v>
      </c>
      <c r="AZ14" s="10"/>
      <c r="BA14" s="10">
        <v>0.6</v>
      </c>
      <c r="BE14" s="10"/>
      <c r="BF14" s="10">
        <v>0.8</v>
      </c>
      <c r="BG14" s="10"/>
      <c r="BH14" s="10">
        <v>0.8</v>
      </c>
      <c r="BL14" s="10"/>
      <c r="BM14" s="10">
        <v>0.8</v>
      </c>
      <c r="BN14" s="10"/>
      <c r="BO14" s="10">
        <v>0.8</v>
      </c>
      <c r="BS14" s="10"/>
      <c r="BT14" s="10">
        <v>0.8</v>
      </c>
      <c r="BU14" s="10"/>
      <c r="BV14" s="10">
        <v>0.8</v>
      </c>
      <c r="BZ14" s="10"/>
      <c r="CA14" s="10">
        <v>0.8</v>
      </c>
      <c r="CB14" s="10"/>
      <c r="CC14" s="10">
        <v>0.8</v>
      </c>
      <c r="CG14" s="10"/>
      <c r="CH14" s="10">
        <v>0.8</v>
      </c>
      <c r="CI14" s="10"/>
      <c r="CJ14" s="10">
        <v>0.8</v>
      </c>
      <c r="CN14" s="10"/>
      <c r="CO14" s="10">
        <v>0.8</v>
      </c>
      <c r="CP14" s="10"/>
      <c r="CQ14" s="10">
        <v>0.8</v>
      </c>
      <c r="CU14" s="10"/>
      <c r="CV14" s="10">
        <v>1</v>
      </c>
      <c r="CW14" s="10"/>
      <c r="CX14" s="10">
        <v>1</v>
      </c>
      <c r="DB14" s="10"/>
      <c r="DC14" s="10">
        <v>1</v>
      </c>
      <c r="DD14" s="10"/>
      <c r="DE14" s="10">
        <v>1</v>
      </c>
      <c r="DJ14" s="10"/>
      <c r="DK14" s="10">
        <v>1</v>
      </c>
      <c r="DL14" s="10"/>
      <c r="DM14" s="10">
        <v>1</v>
      </c>
      <c r="DQ14" s="10"/>
      <c r="DR14" s="10">
        <v>1</v>
      </c>
      <c r="DS14" s="10"/>
      <c r="DT14" s="10">
        <v>1</v>
      </c>
      <c r="DX14" s="10"/>
      <c r="DY14" s="10"/>
      <c r="DZ14" s="10"/>
      <c r="EA14" s="10"/>
      <c r="EE14" s="10"/>
      <c r="EF14" s="10"/>
      <c r="EG14" s="10"/>
      <c r="EH14" s="10"/>
      <c r="EL14" s="10"/>
      <c r="EM14" s="10"/>
      <c r="EN14" s="10"/>
      <c r="EO14" s="10"/>
      <c r="ES14" s="10"/>
      <c r="ET14" s="10"/>
      <c r="EU14" s="10"/>
      <c r="EV14" s="10"/>
      <c r="EZ14" s="10"/>
      <c r="FA14" s="10"/>
      <c r="FB14" s="10"/>
      <c r="FC14" s="10"/>
      <c r="FG14" s="10"/>
      <c r="FH14" s="10"/>
      <c r="FI14" s="10"/>
      <c r="FJ14" s="10"/>
      <c r="FN14" s="10"/>
      <c r="FO14" s="10"/>
      <c r="FP14" s="10"/>
      <c r="FQ14" s="10"/>
      <c r="FU14" s="10"/>
      <c r="FV14" s="10"/>
      <c r="FW14" s="10"/>
      <c r="FX14" s="10"/>
      <c r="GA14" s="10"/>
      <c r="GB14" s="10"/>
      <c r="GC14" s="10"/>
      <c r="GD14" s="10"/>
      <c r="GG14" s="10"/>
      <c r="GH14" s="10"/>
      <c r="GI14" s="10"/>
      <c r="GJ14" s="10"/>
      <c r="GM14" s="10"/>
      <c r="GN14" s="10"/>
      <c r="GO14" s="10"/>
      <c r="GP14" s="10"/>
    </row>
    <row r="15" spans="2:199" outlineLevel="1">
      <c r="B15" t="s">
        <v>28</v>
      </c>
      <c r="C15" t="s">
        <v>166</v>
      </c>
      <c r="E15" s="9"/>
      <c r="F15" t="s">
        <v>210</v>
      </c>
      <c r="G15" s="10">
        <v>1.9893899E-2</v>
      </c>
      <c r="I15" s="9">
        <f t="shared" si="0"/>
        <v>0</v>
      </c>
      <c r="J15" s="11" cm="1">
        <f t="array" ref="J15">MAX(IF($N$3:$EH$3=$J$3,N15:EH15))</f>
        <v>0</v>
      </c>
      <c r="K15" s="11" cm="1">
        <f t="array" ref="K15">MAX(IF($N$3:$EH$3=$J$3,N15:EH15))</f>
        <v>0</v>
      </c>
      <c r="L15" s="9"/>
      <c r="O15" s="10"/>
      <c r="P15" s="10"/>
      <c r="Q15" s="10"/>
      <c r="R15" s="10"/>
      <c r="V15" s="10"/>
      <c r="W15" s="10"/>
      <c r="X15" s="10"/>
      <c r="Y15" s="10"/>
      <c r="AC15" s="10"/>
      <c r="AD15" s="10">
        <v>0.5</v>
      </c>
      <c r="AE15" s="10"/>
      <c r="AF15" s="10">
        <v>0.5</v>
      </c>
      <c r="AJ15" s="10"/>
      <c r="AK15" s="10">
        <v>0.5</v>
      </c>
      <c r="AL15" s="10"/>
      <c r="AM15" s="10">
        <v>0.5</v>
      </c>
      <c r="AQ15" s="10"/>
      <c r="AR15" s="10">
        <v>0.5</v>
      </c>
      <c r="AS15" s="10"/>
      <c r="AT15" s="10">
        <v>0.5</v>
      </c>
      <c r="AX15" s="10"/>
      <c r="AY15" s="10">
        <v>0.5</v>
      </c>
      <c r="AZ15" s="10"/>
      <c r="BA15" s="10">
        <v>0.5</v>
      </c>
      <c r="BE15" s="10"/>
      <c r="BF15" s="10">
        <v>0.8</v>
      </c>
      <c r="BG15" s="10"/>
      <c r="BH15" s="10">
        <v>0.8</v>
      </c>
      <c r="BL15" s="10"/>
      <c r="BM15" s="10">
        <v>0.8</v>
      </c>
      <c r="BN15" s="10"/>
      <c r="BO15" s="10">
        <v>0.8</v>
      </c>
      <c r="BS15" s="10"/>
      <c r="BT15" s="10">
        <v>0.8</v>
      </c>
      <c r="BU15" s="10"/>
      <c r="BV15" s="10">
        <v>0.8</v>
      </c>
      <c r="BZ15" s="10"/>
      <c r="CA15" s="10">
        <v>0.8</v>
      </c>
      <c r="CB15" s="10"/>
      <c r="CC15" s="10">
        <v>0.8</v>
      </c>
      <c r="CG15" s="10"/>
      <c r="CH15" s="10">
        <v>0.8</v>
      </c>
      <c r="CI15" s="10"/>
      <c r="CJ15" s="10">
        <v>0.8</v>
      </c>
      <c r="CN15" s="10"/>
      <c r="CO15" s="10">
        <v>0.8</v>
      </c>
      <c r="CP15" s="10"/>
      <c r="CQ15" s="10">
        <v>0.8</v>
      </c>
      <c r="CU15" s="10"/>
      <c r="CV15" s="10">
        <v>1</v>
      </c>
      <c r="CW15" s="10"/>
      <c r="CX15" s="10">
        <v>1</v>
      </c>
      <c r="DB15" s="10"/>
      <c r="DC15" s="10">
        <v>1</v>
      </c>
      <c r="DD15" s="10"/>
      <c r="DE15" s="10">
        <v>1</v>
      </c>
      <c r="DJ15" s="10"/>
      <c r="DK15" s="10">
        <v>1</v>
      </c>
      <c r="DL15" s="10"/>
      <c r="DM15" s="10">
        <v>1</v>
      </c>
      <c r="DQ15" s="10"/>
      <c r="DR15" s="10">
        <v>1</v>
      </c>
      <c r="DS15" s="10"/>
      <c r="DT15" s="10">
        <v>1</v>
      </c>
      <c r="DX15" s="10"/>
      <c r="DY15" s="10"/>
      <c r="DZ15" s="10"/>
      <c r="EA15" s="10"/>
      <c r="EE15" s="10"/>
      <c r="EF15" s="10"/>
      <c r="EG15" s="10"/>
      <c r="EH15" s="10"/>
      <c r="EL15" s="10"/>
      <c r="EM15" s="10"/>
      <c r="EN15" s="10"/>
      <c r="EO15" s="10"/>
      <c r="ES15" s="10"/>
      <c r="ET15" s="10"/>
      <c r="EU15" s="10"/>
      <c r="EV15" s="10"/>
      <c r="EZ15" s="10"/>
      <c r="FA15" s="10"/>
      <c r="FB15" s="10"/>
      <c r="FC15" s="10"/>
      <c r="FG15" s="10"/>
      <c r="FH15" s="10"/>
      <c r="FI15" s="10"/>
      <c r="FJ15" s="10"/>
      <c r="FN15" s="10"/>
      <c r="FO15" s="10"/>
      <c r="FP15" s="10"/>
      <c r="FQ15" s="10"/>
      <c r="FU15" s="10"/>
      <c r="FV15" s="10"/>
      <c r="FW15" s="10"/>
      <c r="FX15" s="10"/>
      <c r="GA15" s="10"/>
      <c r="GB15" s="10"/>
      <c r="GC15" s="10"/>
      <c r="GD15" s="10"/>
      <c r="GG15" s="10"/>
      <c r="GH15" s="10"/>
      <c r="GI15" s="10"/>
      <c r="GJ15" s="10"/>
      <c r="GM15" s="10"/>
      <c r="GN15" s="10"/>
      <c r="GO15" s="10"/>
      <c r="GP15" s="10"/>
    </row>
    <row r="16" spans="2:199" outlineLevel="1">
      <c r="B16" t="s">
        <v>28</v>
      </c>
      <c r="C16" t="s">
        <v>166</v>
      </c>
      <c r="E16" s="9"/>
      <c r="F16" t="s">
        <v>211</v>
      </c>
      <c r="G16" s="10">
        <v>4.6419098143236102E-2</v>
      </c>
      <c r="I16" s="9">
        <f t="shared" si="0"/>
        <v>0</v>
      </c>
      <c r="J16" s="11" cm="1">
        <f t="array" ref="J16">MAX(IF($N$3:$EH$3=$J$3,N16:EH16))</f>
        <v>0</v>
      </c>
      <c r="K16" s="11" cm="1">
        <f t="array" ref="K16">MAX(IF($N$3:$EH$3=$J$3,N16:EH16))</f>
        <v>0</v>
      </c>
      <c r="L16" s="9"/>
      <c r="O16" s="10"/>
      <c r="P16" s="10"/>
      <c r="Q16" s="10"/>
      <c r="R16" s="10"/>
      <c r="V16" s="10"/>
      <c r="W16" s="10"/>
      <c r="X16" s="10"/>
      <c r="Y16" s="10"/>
      <c r="AC16" s="10"/>
      <c r="AD16" s="10">
        <v>0.5</v>
      </c>
      <c r="AE16" s="10"/>
      <c r="AF16" s="10">
        <v>0.5</v>
      </c>
      <c r="AJ16" s="10"/>
      <c r="AK16" s="10">
        <v>0.5</v>
      </c>
      <c r="AL16" s="10"/>
      <c r="AM16" s="10">
        <v>0.5</v>
      </c>
      <c r="AQ16" s="10"/>
      <c r="AR16" s="10">
        <v>0.5</v>
      </c>
      <c r="AS16" s="10"/>
      <c r="AT16" s="10">
        <v>0.5</v>
      </c>
      <c r="AX16" s="10"/>
      <c r="AY16" s="10">
        <v>0.5</v>
      </c>
      <c r="AZ16" s="10"/>
      <c r="BA16" s="10">
        <v>0.5</v>
      </c>
      <c r="BE16" s="10"/>
      <c r="BF16" s="10">
        <v>0.5</v>
      </c>
      <c r="BG16" s="10"/>
      <c r="BH16" s="10">
        <v>0.5</v>
      </c>
      <c r="BL16" s="10"/>
      <c r="BM16" s="10">
        <v>0.8</v>
      </c>
      <c r="BN16" s="10"/>
      <c r="BO16" s="10">
        <v>0.8</v>
      </c>
      <c r="BS16" s="10"/>
      <c r="BT16" s="10">
        <v>0.8</v>
      </c>
      <c r="BU16" s="10"/>
      <c r="BV16" s="10">
        <v>0.8</v>
      </c>
      <c r="BZ16" s="10"/>
      <c r="CA16" s="10">
        <v>0.8</v>
      </c>
      <c r="CB16" s="10"/>
      <c r="CC16" s="10">
        <v>0.8</v>
      </c>
      <c r="CG16" s="10"/>
      <c r="CH16" s="10">
        <v>0.8</v>
      </c>
      <c r="CI16" s="10"/>
      <c r="CJ16" s="10">
        <v>0.8</v>
      </c>
      <c r="CN16" s="10"/>
      <c r="CO16" s="10">
        <v>0.8</v>
      </c>
      <c r="CP16" s="10"/>
      <c r="CQ16" s="10">
        <v>0.8</v>
      </c>
      <c r="CU16" s="10"/>
      <c r="CV16" s="10">
        <v>1</v>
      </c>
      <c r="CW16" s="10"/>
      <c r="CX16" s="10">
        <v>1</v>
      </c>
      <c r="DB16" s="10"/>
      <c r="DC16" s="10">
        <v>1</v>
      </c>
      <c r="DD16" s="10"/>
      <c r="DE16" s="10">
        <v>1</v>
      </c>
      <c r="DJ16" s="10"/>
      <c r="DK16" s="10">
        <v>1</v>
      </c>
      <c r="DL16" s="10"/>
      <c r="DM16" s="10">
        <v>1</v>
      </c>
      <c r="DQ16" s="10"/>
      <c r="DR16" s="10">
        <v>1</v>
      </c>
      <c r="DS16" s="10"/>
      <c r="DT16" s="10">
        <v>1</v>
      </c>
      <c r="DX16" s="10"/>
      <c r="DY16" s="10"/>
      <c r="DZ16" s="10"/>
      <c r="EA16" s="10"/>
      <c r="EE16" s="10"/>
      <c r="EF16" s="10"/>
      <c r="EG16" s="10"/>
      <c r="EH16" s="10"/>
      <c r="EL16" s="10"/>
      <c r="EM16" s="10"/>
      <c r="EN16" s="10"/>
      <c r="EO16" s="10"/>
      <c r="ES16" s="10"/>
      <c r="ET16" s="10"/>
      <c r="EU16" s="10"/>
      <c r="EV16" s="10"/>
      <c r="EZ16" s="10"/>
      <c r="FA16" s="10"/>
      <c r="FB16" s="10"/>
      <c r="FC16" s="10"/>
      <c r="FG16" s="10"/>
      <c r="FH16" s="10"/>
      <c r="FI16" s="10"/>
      <c r="FJ16" s="10"/>
      <c r="FN16" s="10"/>
      <c r="FO16" s="10"/>
      <c r="FP16" s="10"/>
      <c r="FQ16" s="10"/>
      <c r="FU16" s="10"/>
      <c r="FV16" s="10"/>
      <c r="FW16" s="10"/>
      <c r="FX16" s="10"/>
      <c r="GA16" s="10"/>
      <c r="GB16" s="10"/>
      <c r="GC16" s="10"/>
      <c r="GD16" s="10"/>
      <c r="GG16" s="10"/>
      <c r="GH16" s="10"/>
      <c r="GI16" s="10"/>
      <c r="GJ16" s="10"/>
      <c r="GM16" s="10"/>
      <c r="GN16" s="10"/>
      <c r="GO16" s="10"/>
      <c r="GP16" s="10"/>
    </row>
    <row r="17" spans="2:198" outlineLevel="1">
      <c r="B17" t="s">
        <v>28</v>
      </c>
      <c r="C17" t="s">
        <v>166</v>
      </c>
      <c r="E17" s="9"/>
      <c r="F17" t="s">
        <v>212</v>
      </c>
      <c r="G17" s="10">
        <v>2.5198938989999999E-2</v>
      </c>
      <c r="I17" s="9">
        <f t="shared" si="0"/>
        <v>0</v>
      </c>
      <c r="J17" s="11" cm="1">
        <f t="array" ref="J17">MAX(IF($N$3:$EH$3=$J$3,N17:EH17))</f>
        <v>0</v>
      </c>
      <c r="K17" s="11" cm="1">
        <f t="array" ref="K17">MAX(IF($N$3:$EH$3=$J$3,N17:EH17))</f>
        <v>0</v>
      </c>
      <c r="L17" s="9"/>
      <c r="O17" s="10"/>
      <c r="P17" s="10"/>
      <c r="Q17" s="10"/>
      <c r="R17" s="10"/>
      <c r="V17" s="10"/>
      <c r="W17" s="10"/>
      <c r="X17" s="10"/>
      <c r="Y17" s="10"/>
      <c r="AC17" s="10"/>
      <c r="AD17" s="10">
        <v>0.5</v>
      </c>
      <c r="AE17" s="10"/>
      <c r="AF17" s="10">
        <v>0.5</v>
      </c>
      <c r="AJ17" s="10"/>
      <c r="AK17" s="10">
        <v>0.5</v>
      </c>
      <c r="AL17" s="10"/>
      <c r="AM17" s="10">
        <v>0.5</v>
      </c>
      <c r="AQ17" s="10"/>
      <c r="AR17" s="10">
        <v>0.5</v>
      </c>
      <c r="AS17" s="10"/>
      <c r="AT17" s="10">
        <v>0.5</v>
      </c>
      <c r="AX17" s="10"/>
      <c r="AY17" s="10">
        <v>0.5</v>
      </c>
      <c r="AZ17" s="10"/>
      <c r="BA17" s="10">
        <v>0.5</v>
      </c>
      <c r="BE17" s="10"/>
      <c r="BF17" s="10">
        <v>0.5</v>
      </c>
      <c r="BG17" s="10"/>
      <c r="BH17" s="10">
        <v>0.5</v>
      </c>
      <c r="BL17" s="10"/>
      <c r="BM17" s="10">
        <v>0.8</v>
      </c>
      <c r="BN17" s="10"/>
      <c r="BO17" s="10">
        <v>0.8</v>
      </c>
      <c r="BS17" s="10"/>
      <c r="BT17" s="10">
        <v>0.8</v>
      </c>
      <c r="BU17" s="10"/>
      <c r="BV17" s="10">
        <v>0.8</v>
      </c>
      <c r="BZ17" s="10"/>
      <c r="CA17" s="10">
        <v>0.8</v>
      </c>
      <c r="CB17" s="10"/>
      <c r="CC17" s="10">
        <v>0.8</v>
      </c>
      <c r="CG17" s="10"/>
      <c r="CH17" s="10">
        <v>0.8</v>
      </c>
      <c r="CI17" s="10"/>
      <c r="CJ17" s="10">
        <v>0.8</v>
      </c>
      <c r="CN17" s="10"/>
      <c r="CO17" s="10">
        <v>0.8</v>
      </c>
      <c r="CP17" s="10"/>
      <c r="CQ17" s="10">
        <v>0.8</v>
      </c>
      <c r="CU17" s="10"/>
      <c r="CV17" s="10">
        <v>1</v>
      </c>
      <c r="CW17" s="10"/>
      <c r="CX17" s="10">
        <v>1</v>
      </c>
      <c r="DB17" s="10"/>
      <c r="DC17" s="10">
        <v>1</v>
      </c>
      <c r="DD17" s="10"/>
      <c r="DE17" s="10">
        <v>1</v>
      </c>
      <c r="DJ17" s="10"/>
      <c r="DK17" s="10">
        <v>1</v>
      </c>
      <c r="DL17" s="10"/>
      <c r="DM17" s="10">
        <v>1</v>
      </c>
      <c r="DQ17" s="10"/>
      <c r="DR17" s="10">
        <v>1</v>
      </c>
      <c r="DS17" s="10"/>
      <c r="DT17" s="10">
        <v>1</v>
      </c>
      <c r="DX17" s="10"/>
      <c r="DY17" s="10"/>
      <c r="DZ17" s="10"/>
      <c r="EA17" s="10"/>
      <c r="EE17" s="10"/>
      <c r="EF17" s="10"/>
      <c r="EG17" s="10"/>
      <c r="EH17" s="10"/>
      <c r="EL17" s="10"/>
      <c r="EM17" s="10"/>
      <c r="EN17" s="10"/>
      <c r="EO17" s="10"/>
      <c r="ES17" s="10"/>
      <c r="ET17" s="10"/>
      <c r="EU17" s="10"/>
      <c r="EV17" s="10"/>
      <c r="EZ17" s="10"/>
      <c r="FA17" s="10"/>
      <c r="FB17" s="10"/>
      <c r="FC17" s="10"/>
      <c r="FG17" s="10"/>
      <c r="FH17" s="10"/>
      <c r="FI17" s="10"/>
      <c r="FJ17" s="10"/>
      <c r="FN17" s="10"/>
      <c r="FO17" s="10"/>
      <c r="FP17" s="10"/>
      <c r="FQ17" s="10"/>
      <c r="FU17" s="10"/>
      <c r="FV17" s="10"/>
      <c r="FW17" s="10"/>
      <c r="FX17" s="10"/>
      <c r="GA17" s="10"/>
      <c r="GB17" s="10"/>
      <c r="GC17" s="10"/>
      <c r="GD17" s="10"/>
      <c r="GG17" s="10"/>
      <c r="GH17" s="10"/>
      <c r="GI17" s="10"/>
      <c r="GJ17" s="10"/>
      <c r="GM17" s="10"/>
      <c r="GN17" s="10"/>
      <c r="GO17" s="10"/>
      <c r="GP17" s="10"/>
    </row>
    <row r="18" spans="2:198" outlineLevel="1">
      <c r="B18" t="s">
        <v>28</v>
      </c>
      <c r="C18" t="s">
        <v>166</v>
      </c>
      <c r="E18" s="9"/>
      <c r="F18" t="s">
        <v>213</v>
      </c>
      <c r="G18" s="10">
        <v>3.9787797999999999E-2</v>
      </c>
      <c r="I18" s="9">
        <f t="shared" si="0"/>
        <v>0</v>
      </c>
      <c r="J18" s="11" cm="1">
        <f t="array" ref="J18">MAX(IF($N$3:$EH$3=$J$3,N18:EH18))</f>
        <v>0</v>
      </c>
      <c r="K18" s="11" cm="1">
        <f t="array" ref="K18">MAX(IF($N$3:$EH$3=$J$3,N18:EH18))</f>
        <v>0</v>
      </c>
      <c r="L18" s="9"/>
      <c r="O18" s="10"/>
      <c r="P18" s="10"/>
      <c r="Q18" s="10"/>
      <c r="R18" s="10"/>
      <c r="V18" s="10"/>
      <c r="W18" s="10"/>
      <c r="X18" s="10"/>
      <c r="Y18" s="10"/>
      <c r="AC18" s="10"/>
      <c r="AD18" s="10">
        <v>0.5</v>
      </c>
      <c r="AE18" s="10"/>
      <c r="AF18" s="10">
        <v>0.5</v>
      </c>
      <c r="AJ18" s="10"/>
      <c r="AK18" s="10">
        <v>0.5</v>
      </c>
      <c r="AL18" s="10"/>
      <c r="AM18" s="10">
        <v>0.5</v>
      </c>
      <c r="AQ18" s="10"/>
      <c r="AR18" s="10">
        <v>0.5</v>
      </c>
      <c r="AS18" s="10"/>
      <c r="AT18" s="10">
        <v>0.5</v>
      </c>
      <c r="AX18" s="10"/>
      <c r="AY18" s="10">
        <v>0.5</v>
      </c>
      <c r="AZ18" s="10"/>
      <c r="BA18" s="10">
        <v>0.5</v>
      </c>
      <c r="BE18" s="10"/>
      <c r="BF18" s="10">
        <v>0.5</v>
      </c>
      <c r="BG18" s="10"/>
      <c r="BH18" s="10">
        <v>0.5</v>
      </c>
      <c r="BL18" s="10"/>
      <c r="BM18" s="10">
        <v>0.5</v>
      </c>
      <c r="BN18" s="10"/>
      <c r="BO18" s="10">
        <v>0.5</v>
      </c>
      <c r="BS18" s="10"/>
      <c r="BT18" s="10">
        <v>0.8</v>
      </c>
      <c r="BU18" s="10"/>
      <c r="BV18" s="10">
        <v>0.8</v>
      </c>
      <c r="BZ18" s="10"/>
      <c r="CA18" s="10">
        <v>0.8</v>
      </c>
      <c r="CB18" s="10"/>
      <c r="CC18" s="10">
        <v>0.8</v>
      </c>
      <c r="CG18" s="10"/>
      <c r="CH18" s="10">
        <v>0.8</v>
      </c>
      <c r="CI18" s="10"/>
      <c r="CJ18" s="10">
        <v>0.8</v>
      </c>
      <c r="CN18" s="10"/>
      <c r="CO18" s="10">
        <v>0.8</v>
      </c>
      <c r="CP18" s="10"/>
      <c r="CQ18" s="10">
        <v>0.8</v>
      </c>
      <c r="CU18" s="10"/>
      <c r="CV18" s="10">
        <v>0.8</v>
      </c>
      <c r="CW18" s="10"/>
      <c r="CX18" s="10">
        <v>0.8</v>
      </c>
      <c r="DB18" s="10"/>
      <c r="DC18" s="10">
        <v>1</v>
      </c>
      <c r="DD18" s="10"/>
      <c r="DE18" s="10">
        <v>1</v>
      </c>
      <c r="DJ18" s="10"/>
      <c r="DK18" s="10">
        <v>1</v>
      </c>
      <c r="DL18" s="10"/>
      <c r="DM18" s="10">
        <v>1</v>
      </c>
      <c r="DQ18" s="10"/>
      <c r="DR18" s="10">
        <v>1</v>
      </c>
      <c r="DS18" s="10"/>
      <c r="DT18" s="10">
        <v>1</v>
      </c>
      <c r="DX18" s="10"/>
      <c r="DY18" s="10"/>
      <c r="DZ18" s="10"/>
      <c r="EA18" s="10"/>
      <c r="EE18" s="10"/>
      <c r="EF18" s="10"/>
      <c r="EG18" s="10"/>
      <c r="EH18" s="10"/>
      <c r="EL18" s="10"/>
      <c r="EM18" s="10"/>
      <c r="EN18" s="10"/>
      <c r="EO18" s="10"/>
      <c r="ES18" s="10"/>
      <c r="ET18" s="10"/>
      <c r="EU18" s="10"/>
      <c r="EV18" s="10"/>
      <c r="EZ18" s="10"/>
      <c r="FA18" s="10"/>
      <c r="FB18" s="10"/>
      <c r="FC18" s="10"/>
      <c r="FG18" s="10"/>
      <c r="FH18" s="10"/>
      <c r="FI18" s="10"/>
      <c r="FJ18" s="10"/>
      <c r="FN18" s="10"/>
      <c r="FO18" s="10"/>
      <c r="FP18" s="10"/>
      <c r="FQ18" s="10"/>
      <c r="FU18" s="10"/>
      <c r="FV18" s="10"/>
      <c r="FW18" s="10"/>
      <c r="FX18" s="10"/>
      <c r="GA18" s="10"/>
      <c r="GB18" s="10"/>
      <c r="GC18" s="10"/>
      <c r="GD18" s="10"/>
      <c r="GG18" s="10"/>
      <c r="GH18" s="10"/>
      <c r="GI18" s="10"/>
      <c r="GJ18" s="10"/>
      <c r="GM18" s="10"/>
      <c r="GN18" s="10"/>
      <c r="GO18" s="10"/>
      <c r="GP18" s="10"/>
    </row>
    <row r="19" spans="2:198" outlineLevel="1">
      <c r="B19" t="s">
        <v>28</v>
      </c>
      <c r="C19" t="s">
        <v>166</v>
      </c>
      <c r="E19" s="9"/>
      <c r="F19" t="s">
        <v>214</v>
      </c>
      <c r="G19" s="10">
        <v>3.1800000000000002E-2</v>
      </c>
      <c r="I19" s="9">
        <f t="shared" si="0"/>
        <v>0</v>
      </c>
      <c r="J19" s="11" cm="1">
        <f t="array" ref="J19">MAX(IF($N$3:$EH$3=$J$3,N19:EH19))</f>
        <v>0</v>
      </c>
      <c r="K19" s="11" cm="1">
        <f t="array" ref="K19">MAX(IF($N$3:$EH$3=$J$3,N19:EH19))</f>
        <v>0</v>
      </c>
      <c r="L19" s="9"/>
      <c r="O19" s="10"/>
      <c r="P19" s="10"/>
      <c r="Q19" s="10"/>
      <c r="R19" s="10"/>
      <c r="V19" s="10"/>
      <c r="W19" s="10"/>
      <c r="X19" s="10"/>
      <c r="Y19" s="10"/>
      <c r="AC19" s="10"/>
      <c r="AD19" s="10">
        <v>0.5</v>
      </c>
      <c r="AE19" s="10"/>
      <c r="AF19" s="10">
        <v>0.5</v>
      </c>
      <c r="AJ19" s="10"/>
      <c r="AK19" s="10">
        <v>0.5</v>
      </c>
      <c r="AL19" s="10"/>
      <c r="AM19" s="10">
        <v>0.5</v>
      </c>
      <c r="AQ19" s="10"/>
      <c r="AR19" s="10">
        <v>0.5</v>
      </c>
      <c r="AS19" s="10"/>
      <c r="AT19" s="10">
        <v>0.5</v>
      </c>
      <c r="AX19" s="10"/>
      <c r="AY19" s="10">
        <v>0.5</v>
      </c>
      <c r="AZ19" s="10"/>
      <c r="BA19" s="10">
        <v>0.5</v>
      </c>
      <c r="BE19" s="10"/>
      <c r="BF19" s="10">
        <v>0.5</v>
      </c>
      <c r="BG19" s="10"/>
      <c r="BH19" s="10">
        <v>0.5</v>
      </c>
      <c r="BL19" s="10"/>
      <c r="BM19" s="10">
        <v>0.5</v>
      </c>
      <c r="BN19" s="10"/>
      <c r="BO19" s="10">
        <v>0.5</v>
      </c>
      <c r="BS19" s="10"/>
      <c r="BT19" s="10">
        <v>0.5</v>
      </c>
      <c r="BU19" s="10"/>
      <c r="BV19" s="10">
        <v>0.5</v>
      </c>
      <c r="BZ19" s="10"/>
      <c r="CA19" s="10">
        <v>0.8</v>
      </c>
      <c r="CB19" s="10"/>
      <c r="CC19" s="10">
        <v>0.8</v>
      </c>
      <c r="CG19" s="10"/>
      <c r="CH19" s="10">
        <v>0.8</v>
      </c>
      <c r="CI19" s="10"/>
      <c r="CJ19" s="10">
        <v>0.8</v>
      </c>
      <c r="CN19" s="10"/>
      <c r="CO19" s="10">
        <v>0.8</v>
      </c>
      <c r="CP19" s="10"/>
      <c r="CQ19" s="10">
        <v>0.8</v>
      </c>
      <c r="CU19" s="10"/>
      <c r="CV19" s="10">
        <v>0.8</v>
      </c>
      <c r="CW19" s="10"/>
      <c r="CX19" s="10">
        <v>0.8</v>
      </c>
      <c r="DB19" s="10"/>
      <c r="DC19" s="10">
        <v>1</v>
      </c>
      <c r="DD19" s="10"/>
      <c r="DE19" s="10">
        <v>1</v>
      </c>
      <c r="DJ19" s="10"/>
      <c r="DK19" s="10">
        <v>1</v>
      </c>
      <c r="DL19" s="10"/>
      <c r="DM19" s="10">
        <v>1</v>
      </c>
      <c r="DQ19" s="10"/>
      <c r="DR19" s="10">
        <v>1</v>
      </c>
      <c r="DS19" s="10"/>
      <c r="DT19" s="10">
        <v>1</v>
      </c>
      <c r="DX19" s="10"/>
      <c r="DY19" s="10"/>
      <c r="DZ19" s="10"/>
      <c r="EA19" s="10"/>
      <c r="EE19" s="10"/>
      <c r="EF19" s="10"/>
      <c r="EG19" s="10"/>
      <c r="EH19" s="10"/>
      <c r="EL19" s="10"/>
      <c r="EM19" s="10"/>
      <c r="EN19" s="10"/>
      <c r="EO19" s="10"/>
      <c r="ES19" s="10"/>
      <c r="ET19" s="10"/>
      <c r="EU19" s="10"/>
      <c r="EV19" s="10"/>
      <c r="EZ19" s="10"/>
      <c r="FA19" s="10"/>
      <c r="FB19" s="10"/>
      <c r="FC19" s="10"/>
      <c r="FG19" s="10"/>
      <c r="FH19" s="10"/>
      <c r="FI19" s="10"/>
      <c r="FJ19" s="10"/>
      <c r="FN19" s="10"/>
      <c r="FO19" s="10"/>
      <c r="FP19" s="10"/>
      <c r="FQ19" s="10"/>
      <c r="FU19" s="10"/>
      <c r="FV19" s="10"/>
      <c r="FW19" s="10"/>
      <c r="FX19" s="10"/>
      <c r="GA19" s="10"/>
      <c r="GB19" s="10"/>
      <c r="GC19" s="10"/>
      <c r="GD19" s="10"/>
      <c r="GG19" s="10"/>
      <c r="GH19" s="10"/>
      <c r="GI19" s="10"/>
      <c r="GJ19" s="10"/>
      <c r="GM19" s="10"/>
      <c r="GN19" s="10"/>
      <c r="GO19" s="10"/>
      <c r="GP19" s="10"/>
    </row>
    <row r="20" spans="2:198" outlineLevel="1">
      <c r="B20" t="s">
        <v>28</v>
      </c>
      <c r="C20" t="s">
        <v>166</v>
      </c>
      <c r="E20" s="9"/>
      <c r="F20" t="s">
        <v>215</v>
      </c>
      <c r="G20" s="10">
        <v>0.1366</v>
      </c>
      <c r="I20" s="9">
        <f t="shared" si="0"/>
        <v>0</v>
      </c>
      <c r="J20" s="11" cm="1">
        <f t="array" ref="J20">MAX(IF($N$3:$EH$3=$J$3,N20:EH20))</f>
        <v>0</v>
      </c>
      <c r="K20" s="11" cm="1">
        <f t="array" ref="K20">MAX(IF($N$3:$EH$3=$J$3,N20:EH20))</f>
        <v>0</v>
      </c>
      <c r="L20" s="9"/>
      <c r="O20" s="10"/>
      <c r="P20" s="10"/>
      <c r="Q20" s="10"/>
      <c r="R20" s="10"/>
      <c r="V20" s="10"/>
      <c r="W20" s="10"/>
      <c r="X20" s="10"/>
      <c r="Y20" s="10"/>
      <c r="AC20" s="10"/>
      <c r="AD20" s="10"/>
      <c r="AE20" s="10"/>
      <c r="AF20" s="10"/>
      <c r="AJ20" s="10"/>
      <c r="AK20" s="10">
        <v>0.5</v>
      </c>
      <c r="AL20" s="10"/>
      <c r="AM20" s="10">
        <v>0.5</v>
      </c>
      <c r="AQ20" s="10"/>
      <c r="AR20" s="10">
        <v>0.5</v>
      </c>
      <c r="AS20" s="10"/>
      <c r="AT20" s="10">
        <v>0.5</v>
      </c>
      <c r="AX20" s="10"/>
      <c r="AY20" s="10">
        <v>0.5</v>
      </c>
      <c r="AZ20" s="10"/>
      <c r="BA20" s="10">
        <v>0.5</v>
      </c>
      <c r="BE20" s="10"/>
      <c r="BF20" s="10">
        <v>0.5</v>
      </c>
      <c r="BG20" s="10"/>
      <c r="BH20" s="10">
        <v>0.5</v>
      </c>
      <c r="BL20" s="10"/>
      <c r="BM20" s="10">
        <v>0.5</v>
      </c>
      <c r="BN20" s="10"/>
      <c r="BO20" s="10">
        <v>0.5</v>
      </c>
      <c r="BS20" s="10"/>
      <c r="BT20" s="10">
        <v>0.5</v>
      </c>
      <c r="BU20" s="10"/>
      <c r="BV20" s="10">
        <v>0.5</v>
      </c>
      <c r="BZ20" s="10"/>
      <c r="CA20" s="10">
        <v>0.6</v>
      </c>
      <c r="CB20" s="10"/>
      <c r="CC20" s="10">
        <v>0.6</v>
      </c>
      <c r="CG20" s="10"/>
      <c r="CH20" s="10">
        <v>0.8</v>
      </c>
      <c r="CI20" s="10"/>
      <c r="CJ20" s="10">
        <v>0.8</v>
      </c>
      <c r="CN20" s="10"/>
      <c r="CO20" s="10">
        <v>0.8</v>
      </c>
      <c r="CP20" s="10"/>
      <c r="CQ20" s="10">
        <v>0.8</v>
      </c>
      <c r="CU20" s="10"/>
      <c r="CV20" s="10">
        <v>0.8</v>
      </c>
      <c r="CW20" s="10"/>
      <c r="CX20" s="10">
        <v>0.8</v>
      </c>
      <c r="DB20" s="10"/>
      <c r="DC20" s="10">
        <v>0.9</v>
      </c>
      <c r="DD20" s="10"/>
      <c r="DE20" s="10">
        <v>0.9</v>
      </c>
      <c r="DJ20" s="10"/>
      <c r="DK20" s="10">
        <v>1</v>
      </c>
      <c r="DL20" s="10"/>
      <c r="DM20" s="10">
        <v>1</v>
      </c>
      <c r="DQ20" s="10"/>
      <c r="DR20" s="10">
        <v>1</v>
      </c>
      <c r="DS20" s="10"/>
      <c r="DT20" s="10">
        <v>1</v>
      </c>
      <c r="DX20" s="10"/>
      <c r="DY20" s="10"/>
      <c r="DZ20" s="10"/>
      <c r="EA20" s="10"/>
      <c r="EE20" s="10"/>
      <c r="EF20" s="10"/>
      <c r="EG20" s="10"/>
      <c r="EH20" s="10"/>
      <c r="EL20" s="10"/>
      <c r="EM20" s="10"/>
      <c r="EN20" s="10"/>
      <c r="EO20" s="10"/>
      <c r="ES20" s="10"/>
      <c r="ET20" s="10"/>
      <c r="EU20" s="10"/>
      <c r="EV20" s="10"/>
      <c r="EZ20" s="10"/>
      <c r="FA20" s="10"/>
      <c r="FB20" s="10"/>
      <c r="FC20" s="10"/>
      <c r="FG20" s="10"/>
      <c r="FH20" s="10"/>
      <c r="FI20" s="10"/>
      <c r="FJ20" s="10"/>
      <c r="FN20" s="10"/>
      <c r="FO20" s="10"/>
      <c r="FP20" s="10"/>
      <c r="FQ20" s="10"/>
      <c r="FU20" s="10"/>
      <c r="FV20" s="10"/>
      <c r="FW20" s="10"/>
      <c r="FX20" s="10"/>
      <c r="GA20" s="10"/>
      <c r="GB20" s="10"/>
      <c r="GC20" s="10"/>
      <c r="GD20" s="10"/>
      <c r="GG20" s="10"/>
      <c r="GH20" s="10"/>
      <c r="GI20" s="10"/>
      <c r="GJ20" s="10"/>
      <c r="GM20" s="10"/>
      <c r="GN20" s="10"/>
      <c r="GO20" s="10"/>
      <c r="GP20" s="10"/>
    </row>
    <row r="21" spans="2:198" outlineLevel="1">
      <c r="B21" t="s">
        <v>28</v>
      </c>
      <c r="C21" t="s">
        <v>166</v>
      </c>
      <c r="E21" s="9"/>
      <c r="F21" t="s">
        <v>216</v>
      </c>
      <c r="G21" s="10">
        <v>7.5596800000000006E-2</v>
      </c>
      <c r="I21" s="9">
        <f t="shared" si="0"/>
        <v>0</v>
      </c>
      <c r="J21" s="11" cm="1">
        <f t="array" ref="J21">MAX(IF($N$3:$EH$3=$J$3,N21:EH21))</f>
        <v>0</v>
      </c>
      <c r="K21" s="11" cm="1">
        <f t="array" ref="K21">MAX(IF($N$3:$EH$3=$J$3,N21:EH21))</f>
        <v>0</v>
      </c>
      <c r="L21" s="9"/>
      <c r="O21" s="10"/>
      <c r="P21" s="10"/>
      <c r="Q21" s="10"/>
      <c r="R21" s="10"/>
      <c r="V21" s="10"/>
      <c r="W21" s="10"/>
      <c r="X21" s="10"/>
      <c r="Y21" s="10"/>
      <c r="AC21" s="10"/>
      <c r="AD21" s="10"/>
      <c r="AE21" s="10"/>
      <c r="AF21" s="10"/>
      <c r="AJ21" s="10"/>
      <c r="AK21" s="10"/>
      <c r="AL21" s="10"/>
      <c r="AM21" s="10"/>
      <c r="AQ21" s="10"/>
      <c r="AR21" s="10">
        <v>0.5</v>
      </c>
      <c r="AS21" s="10"/>
      <c r="AT21" s="10">
        <v>0.5</v>
      </c>
      <c r="AX21" s="10"/>
      <c r="AY21" s="10">
        <v>0.5</v>
      </c>
      <c r="AZ21" s="10"/>
      <c r="BA21" s="10">
        <v>0.5</v>
      </c>
      <c r="BE21" s="10"/>
      <c r="BF21" s="10">
        <v>0.5</v>
      </c>
      <c r="BG21" s="10"/>
      <c r="BH21" s="10">
        <v>0.5</v>
      </c>
      <c r="BL21" s="10"/>
      <c r="BM21" s="10">
        <v>0.5</v>
      </c>
      <c r="BN21" s="10"/>
      <c r="BO21" s="10">
        <v>0.5</v>
      </c>
      <c r="BS21" s="10"/>
      <c r="BT21" s="10">
        <v>0.5</v>
      </c>
      <c r="BU21" s="10"/>
      <c r="BV21" s="10">
        <v>0.5</v>
      </c>
      <c r="BZ21" s="10"/>
      <c r="CA21" s="10">
        <v>0.5</v>
      </c>
      <c r="CB21" s="10"/>
      <c r="CC21" s="10">
        <v>0.5</v>
      </c>
      <c r="CG21" s="10"/>
      <c r="CH21" s="10">
        <v>0.6</v>
      </c>
      <c r="CI21" s="10"/>
      <c r="CJ21" s="10">
        <v>0.6</v>
      </c>
      <c r="CN21" s="10"/>
      <c r="CO21" s="10">
        <v>0.8</v>
      </c>
      <c r="CP21" s="10"/>
      <c r="CQ21" s="10">
        <v>0.8</v>
      </c>
      <c r="CU21" s="10"/>
      <c r="CV21" s="10">
        <v>0.8</v>
      </c>
      <c r="CW21" s="10"/>
      <c r="CX21" s="10">
        <v>0.8</v>
      </c>
      <c r="DB21" s="10"/>
      <c r="DC21" s="10">
        <v>0.8</v>
      </c>
      <c r="DD21" s="10"/>
      <c r="DE21" s="10">
        <v>0.8</v>
      </c>
      <c r="DJ21" s="10"/>
      <c r="DK21" s="10">
        <v>1</v>
      </c>
      <c r="DL21" s="10"/>
      <c r="DM21" s="10">
        <v>1</v>
      </c>
      <c r="DQ21" s="10"/>
      <c r="DR21" s="10">
        <v>1</v>
      </c>
      <c r="DS21" s="10"/>
      <c r="DT21" s="10">
        <v>1</v>
      </c>
      <c r="DX21" s="10"/>
      <c r="DY21" s="10"/>
      <c r="DZ21" s="10"/>
      <c r="EA21" s="10"/>
      <c r="EE21" s="10"/>
      <c r="EF21" s="10"/>
      <c r="EG21" s="10"/>
      <c r="EH21" s="10"/>
      <c r="EL21" s="10"/>
      <c r="EM21" s="10"/>
      <c r="EN21" s="10"/>
      <c r="EO21" s="10"/>
      <c r="ES21" s="10"/>
      <c r="ET21" s="10"/>
      <c r="EU21" s="10"/>
      <c r="EV21" s="10"/>
      <c r="EZ21" s="10"/>
      <c r="FA21" s="10"/>
      <c r="FB21" s="10"/>
      <c r="FC21" s="10"/>
      <c r="FG21" s="10"/>
      <c r="FH21" s="10"/>
      <c r="FI21" s="10"/>
      <c r="FJ21" s="10"/>
      <c r="FN21" s="10"/>
      <c r="FO21" s="10"/>
      <c r="FP21" s="10"/>
      <c r="FQ21" s="10"/>
      <c r="FU21" s="10"/>
      <c r="FV21" s="10"/>
      <c r="FW21" s="10"/>
      <c r="FX21" s="10"/>
      <c r="GA21" s="10"/>
      <c r="GB21" s="10"/>
      <c r="GC21" s="10"/>
      <c r="GD21" s="10"/>
      <c r="GG21" s="10"/>
      <c r="GH21" s="10"/>
      <c r="GI21" s="10"/>
      <c r="GJ21" s="10"/>
      <c r="GM21" s="10"/>
      <c r="GN21" s="10"/>
      <c r="GO21" s="10"/>
      <c r="GP21" s="10"/>
    </row>
    <row r="22" spans="2:198" outlineLevel="1">
      <c r="B22" t="s">
        <v>28</v>
      </c>
      <c r="C22" t="s">
        <v>166</v>
      </c>
      <c r="E22" s="9"/>
      <c r="F22" t="s">
        <v>217</v>
      </c>
      <c r="G22" s="10">
        <v>0.10199999999999999</v>
      </c>
      <c r="I22" s="9">
        <f t="shared" si="0"/>
        <v>0</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c r="AL22" s="10"/>
      <c r="AM22" s="10"/>
      <c r="AQ22" s="10"/>
      <c r="AR22" s="10">
        <v>0.3</v>
      </c>
      <c r="AS22" s="10"/>
      <c r="AT22" s="10">
        <v>0.3</v>
      </c>
      <c r="AX22" s="10"/>
      <c r="AY22" s="10">
        <v>0.5</v>
      </c>
      <c r="AZ22" s="10"/>
      <c r="BA22" s="10">
        <v>0.5</v>
      </c>
      <c r="BE22" s="10"/>
      <c r="BF22" s="10">
        <v>0.5</v>
      </c>
      <c r="BG22" s="10"/>
      <c r="BH22" s="10">
        <v>0.5</v>
      </c>
      <c r="BL22" s="10"/>
      <c r="BM22" s="10">
        <v>0.5</v>
      </c>
      <c r="BN22" s="10"/>
      <c r="BO22" s="10">
        <v>0.5</v>
      </c>
      <c r="BS22" s="10"/>
      <c r="BT22" s="10">
        <v>0.5</v>
      </c>
      <c r="BU22" s="10"/>
      <c r="BV22" s="10">
        <v>0.5</v>
      </c>
      <c r="BZ22" s="10"/>
      <c r="CA22" s="10">
        <v>0.5</v>
      </c>
      <c r="CB22" s="10"/>
      <c r="CC22" s="10">
        <v>0.5</v>
      </c>
      <c r="CG22" s="10"/>
      <c r="CH22" s="10">
        <v>0.5</v>
      </c>
      <c r="CI22" s="10"/>
      <c r="CJ22" s="10">
        <v>0.5</v>
      </c>
      <c r="CN22" s="10"/>
      <c r="CO22" s="10">
        <v>0.8</v>
      </c>
      <c r="CP22" s="10"/>
      <c r="CQ22" s="10">
        <v>0.8</v>
      </c>
      <c r="CU22" s="10"/>
      <c r="CV22" s="10">
        <v>0.8</v>
      </c>
      <c r="CW22" s="10"/>
      <c r="CX22" s="10">
        <v>0.8</v>
      </c>
      <c r="DB22" s="10"/>
      <c r="DC22" s="10">
        <v>0.8</v>
      </c>
      <c r="DD22" s="10"/>
      <c r="DE22" s="10">
        <v>0.8</v>
      </c>
      <c r="DJ22" s="10"/>
      <c r="DK22" s="10">
        <v>0.8</v>
      </c>
      <c r="DL22" s="10"/>
      <c r="DM22" s="10">
        <v>0.8</v>
      </c>
      <c r="DQ22" s="10"/>
      <c r="DR22" s="10">
        <v>1</v>
      </c>
      <c r="DS22" s="10"/>
      <c r="DT22" s="10">
        <v>1</v>
      </c>
      <c r="DX22" s="10"/>
      <c r="DY22" s="10"/>
      <c r="DZ22" s="10"/>
      <c r="EA22" s="10"/>
      <c r="EE22" s="10"/>
      <c r="EF22" s="10"/>
      <c r="EG22" s="10"/>
      <c r="EH22" s="10"/>
      <c r="EL22" s="10"/>
      <c r="EM22" s="10"/>
      <c r="EN22" s="10"/>
      <c r="EO22" s="10"/>
      <c r="ES22" s="10"/>
      <c r="ET22" s="10"/>
      <c r="EU22" s="10"/>
      <c r="EV22" s="10"/>
      <c r="EZ22" s="10"/>
      <c r="FA22" s="10"/>
      <c r="FB22" s="10"/>
      <c r="FC22" s="10"/>
      <c r="FG22" s="10"/>
      <c r="FH22" s="10"/>
      <c r="FI22" s="10"/>
      <c r="FJ22" s="10"/>
      <c r="FN22" s="10"/>
      <c r="FO22" s="10"/>
      <c r="FP22" s="10"/>
      <c r="FQ22" s="10"/>
      <c r="FU22" s="10"/>
      <c r="FV22" s="10"/>
      <c r="FW22" s="10"/>
      <c r="FX22" s="10"/>
      <c r="GA22" s="10"/>
      <c r="GB22" s="10"/>
      <c r="GC22" s="10"/>
      <c r="GD22" s="10"/>
      <c r="GG22" s="10"/>
      <c r="GH22" s="10"/>
      <c r="GI22" s="10"/>
      <c r="GJ22" s="10"/>
      <c r="GM22" s="10"/>
      <c r="GN22" s="10"/>
      <c r="GO22" s="10"/>
      <c r="GP22" s="10"/>
    </row>
    <row r="23" spans="2:198" outlineLevel="1">
      <c r="E23" s="9"/>
      <c r="G23" s="10"/>
      <c r="I23" s="9"/>
      <c r="J23" s="11"/>
      <c r="K23" s="11"/>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c r="BG23" s="10"/>
      <c r="BH23" s="10"/>
      <c r="BL23" s="10"/>
      <c r="BM23" s="10"/>
      <c r="BN23" s="10"/>
      <c r="BO23" s="10"/>
      <c r="BS23" s="10"/>
      <c r="BT23" s="10"/>
      <c r="BU23" s="10"/>
      <c r="BV23" s="10"/>
      <c r="BZ23" s="10"/>
      <c r="CA23" s="10"/>
      <c r="CB23" s="10"/>
      <c r="CC23" s="10"/>
      <c r="CG23" s="10"/>
      <c r="CH23" s="10"/>
      <c r="CI23" s="10"/>
      <c r="CJ23" s="10"/>
      <c r="CN23" s="10"/>
      <c r="CO23" s="10"/>
      <c r="CP23" s="10"/>
      <c r="CQ23" s="10"/>
      <c r="CU23" s="10"/>
      <c r="CV23" s="10"/>
      <c r="CW23" s="10"/>
      <c r="CX23" s="10"/>
      <c r="DB23" s="10"/>
      <c r="DC23" s="10"/>
      <c r="DD23" s="10"/>
      <c r="DE23" s="10"/>
      <c r="DJ23" s="10"/>
      <c r="DK23" s="10"/>
      <c r="DL23" s="10"/>
      <c r="DM23" s="10"/>
      <c r="DQ23" s="10"/>
      <c r="DR23" s="10"/>
      <c r="DS23" s="10"/>
      <c r="DT23" s="10"/>
      <c r="DX23" s="10"/>
      <c r="DY23" s="10"/>
      <c r="DZ23" s="10"/>
      <c r="EA23" s="10"/>
      <c r="EE23" s="10"/>
      <c r="EF23" s="10"/>
      <c r="EG23" s="10"/>
      <c r="EH23" s="10"/>
      <c r="EL23" s="10"/>
      <c r="EM23" s="10"/>
      <c r="EN23" s="10"/>
      <c r="EO23" s="10"/>
      <c r="ES23" s="10"/>
      <c r="ET23" s="10"/>
      <c r="EU23" s="10"/>
      <c r="EV23" s="10"/>
      <c r="EZ23" s="10"/>
      <c r="FA23" s="10"/>
      <c r="FB23" s="10"/>
      <c r="FC23" s="10"/>
      <c r="FG23" s="10"/>
      <c r="FH23" s="10"/>
      <c r="FI23" s="10"/>
      <c r="FJ23" s="10"/>
      <c r="FN23" s="10"/>
      <c r="FO23" s="10"/>
      <c r="FP23" s="10"/>
      <c r="FQ23" s="10"/>
      <c r="FU23" s="10"/>
      <c r="FV23" s="10"/>
      <c r="FW23" s="10"/>
      <c r="FX23" s="10"/>
      <c r="GA23" s="10"/>
      <c r="GB23" s="10"/>
      <c r="GC23" s="10"/>
      <c r="GD23" s="10"/>
      <c r="GG23" s="10"/>
      <c r="GH23" s="10"/>
      <c r="GI23" s="10"/>
      <c r="GJ23" s="10"/>
      <c r="GM23" s="10"/>
      <c r="GN23" s="10"/>
      <c r="GO23" s="10"/>
      <c r="GP23" s="10"/>
    </row>
    <row r="25" spans="2:198">
      <c r="B25" t="s">
        <v>27</v>
      </c>
      <c r="C25" t="s">
        <v>165</v>
      </c>
      <c r="D25" s="19">
        <v>45364</v>
      </c>
      <c r="E25" s="9">
        <v>10</v>
      </c>
      <c r="G25" s="10">
        <f>+SUM(G26:G43)</f>
        <v>0.99506799999999973</v>
      </c>
      <c r="I25" s="12">
        <f>+SUM(I26:I33)</f>
        <v>0</v>
      </c>
      <c r="J25" s="11">
        <f>+SUMPRODUCT(G26:G43,J26:J43)</f>
        <v>0</v>
      </c>
      <c r="K25" s="11">
        <f>+SUMPRODUCT(G26:G43,K26:K43)</f>
        <v>0</v>
      </c>
      <c r="L25" s="9"/>
      <c r="N25" s="12">
        <f>+SUM(N26:N33)</f>
        <v>0</v>
      </c>
      <c r="U25" s="12">
        <f>+SUM(U26:U33)</f>
        <v>0</v>
      </c>
      <c r="AB25" s="12">
        <f>+SUM(AB26:AB33)</f>
        <v>0</v>
      </c>
      <c r="AI25" s="12">
        <f>+SUM(AI26:AI33)</f>
        <v>0</v>
      </c>
      <c r="AP25" s="12">
        <f>+SUM(AP26:AP33)</f>
        <v>0</v>
      </c>
    </row>
    <row r="26" spans="2:198" outlineLevel="1">
      <c r="B26" t="s">
        <v>28</v>
      </c>
      <c r="C26" t="s">
        <v>88</v>
      </c>
      <c r="E26" s="9"/>
      <c r="F26" t="s">
        <v>30</v>
      </c>
      <c r="G26" s="23">
        <v>3.0699999999999998E-3</v>
      </c>
      <c r="I26" s="9">
        <v>0</v>
      </c>
      <c r="J26" s="11" cm="1">
        <f t="array" ref="J26">MAX(IF($N$3:$EH$3=$J$3,N26:EH26))</f>
        <v>0</v>
      </c>
      <c r="K26" s="11" cm="1">
        <f t="array" ref="K26">MAX(IF($N$3:$EH$3=$J$3,N26:EH26))</f>
        <v>0</v>
      </c>
      <c r="L26" s="9"/>
      <c r="N26">
        <v>0</v>
      </c>
      <c r="O26" s="10"/>
      <c r="P26" s="10">
        <v>0.5</v>
      </c>
      <c r="Q26" s="10"/>
      <c r="R26" s="10">
        <v>0.5</v>
      </c>
      <c r="V26" s="10"/>
      <c r="W26" s="10">
        <v>0.8</v>
      </c>
      <c r="X26" s="10"/>
      <c r="Y26" s="10">
        <v>0.8</v>
      </c>
      <c r="AC26" s="10"/>
      <c r="AD26" s="10">
        <v>0.8</v>
      </c>
      <c r="AE26" s="10"/>
      <c r="AF26" s="10">
        <v>0.8</v>
      </c>
      <c r="AJ26" s="10"/>
      <c r="AK26" s="10">
        <v>0.8</v>
      </c>
      <c r="AL26" s="10"/>
      <c r="AM26" s="10">
        <v>0.8</v>
      </c>
      <c r="AQ26" s="10"/>
      <c r="AR26" s="10">
        <v>1</v>
      </c>
      <c r="AS26" s="10"/>
      <c r="AT26" s="10">
        <v>1</v>
      </c>
      <c r="AX26" s="10"/>
      <c r="AY26" s="10">
        <v>1</v>
      </c>
      <c r="AZ26" s="10"/>
      <c r="BA26" s="10">
        <v>1</v>
      </c>
      <c r="BE26" s="10"/>
      <c r="BF26" s="10">
        <v>1</v>
      </c>
      <c r="BG26" s="10"/>
      <c r="BH26" s="10">
        <v>1</v>
      </c>
      <c r="BL26" s="10"/>
      <c r="BM26" s="10">
        <v>1</v>
      </c>
      <c r="BN26" s="10"/>
      <c r="BO26" s="10">
        <v>1</v>
      </c>
      <c r="BS26" s="10"/>
      <c r="BT26" s="10">
        <v>1</v>
      </c>
      <c r="BU26" s="10"/>
      <c r="BV26" s="10">
        <v>1</v>
      </c>
      <c r="BZ26" s="10"/>
      <c r="CA26" s="10">
        <v>1</v>
      </c>
      <c r="CB26" s="10"/>
      <c r="CC26" s="10">
        <v>1</v>
      </c>
      <c r="CG26" s="10"/>
      <c r="CH26" s="10">
        <v>1</v>
      </c>
      <c r="CI26" s="10"/>
      <c r="CJ26" s="10">
        <v>1</v>
      </c>
      <c r="CN26" s="10"/>
      <c r="CO26" s="10">
        <v>1</v>
      </c>
      <c r="CP26" s="10"/>
      <c r="CQ26" s="10">
        <v>1</v>
      </c>
      <c r="CU26" s="10"/>
      <c r="CV26" s="10">
        <v>1</v>
      </c>
      <c r="CW26" s="10"/>
      <c r="CX26" s="10">
        <v>1</v>
      </c>
      <c r="DB26" s="10"/>
      <c r="DC26" s="10">
        <v>1</v>
      </c>
      <c r="DD26" s="10"/>
      <c r="DE26" s="10">
        <v>1</v>
      </c>
      <c r="DJ26" s="10"/>
      <c r="DK26" s="10">
        <v>1</v>
      </c>
      <c r="DL26" s="10"/>
      <c r="DM26" s="10">
        <v>1</v>
      </c>
      <c r="DQ26" s="10"/>
      <c r="DR26" s="10">
        <v>1</v>
      </c>
      <c r="DS26" s="10"/>
      <c r="DT26" s="10">
        <v>1</v>
      </c>
      <c r="DX26" s="10"/>
      <c r="DY26" s="10"/>
      <c r="DZ26" s="10"/>
      <c r="EA26" s="10"/>
      <c r="EE26" s="10"/>
      <c r="EF26" s="10"/>
      <c r="EG26" s="10"/>
      <c r="EH26" s="10"/>
      <c r="EL26" s="10"/>
      <c r="EM26" s="10"/>
      <c r="EN26" s="10"/>
      <c r="EO26" s="10"/>
      <c r="ES26" s="10"/>
      <c r="ET26" s="10"/>
      <c r="EU26" s="10"/>
      <c r="EV26" s="10"/>
      <c r="EZ26" s="10"/>
      <c r="FA26" s="10"/>
      <c r="FB26" s="10"/>
      <c r="FC26" s="10"/>
      <c r="FG26" s="10"/>
      <c r="FH26" s="10"/>
      <c r="FI26" s="10"/>
      <c r="FJ26" s="10"/>
      <c r="FN26" s="10"/>
      <c r="FO26" s="10"/>
      <c r="FP26" s="10"/>
      <c r="FQ26" s="10"/>
      <c r="FU26" s="10"/>
      <c r="FV26" s="10"/>
      <c r="FW26" s="10"/>
      <c r="FX26" s="10"/>
      <c r="GA26" s="10"/>
      <c r="GB26" s="10"/>
      <c r="GC26" s="10"/>
      <c r="GD26" s="10"/>
      <c r="GG26" s="10"/>
      <c r="GH26" s="10"/>
      <c r="GI26" s="10"/>
      <c r="GJ26" s="10"/>
      <c r="GM26" s="10"/>
      <c r="GN26" s="10"/>
      <c r="GO26" s="10"/>
      <c r="GP26" s="10"/>
    </row>
    <row r="27" spans="2:198" outlineLevel="1">
      <c r="B27" t="s">
        <v>28</v>
      </c>
      <c r="C27" t="s">
        <v>88</v>
      </c>
      <c r="E27" s="9"/>
      <c r="F27" t="s">
        <v>172</v>
      </c>
      <c r="G27" s="10">
        <v>5.1970000000000002E-2</v>
      </c>
      <c r="I27" s="9">
        <v>0</v>
      </c>
      <c r="J27" s="11" cm="1">
        <f t="array" ref="J27">MAX(IF($N$3:$EH$3=$J$3,N27:EH27))</f>
        <v>0</v>
      </c>
      <c r="K27" s="11" cm="1">
        <f t="array" ref="K27">MAX(IF($N$3:$EH$3=$J$3,N27:EH27))</f>
        <v>0</v>
      </c>
      <c r="L27" s="9"/>
      <c r="N27">
        <v>0</v>
      </c>
      <c r="O27" s="10"/>
      <c r="P27" s="10">
        <v>0.5</v>
      </c>
      <c r="Q27" s="10"/>
      <c r="R27" s="10">
        <v>0.5</v>
      </c>
      <c r="V27" s="10"/>
      <c r="W27" s="10">
        <v>0.8</v>
      </c>
      <c r="X27" s="10"/>
      <c r="Y27" s="10">
        <v>0.8</v>
      </c>
      <c r="AC27" s="10"/>
      <c r="AD27" s="10">
        <v>0.8</v>
      </c>
      <c r="AE27" s="10"/>
      <c r="AF27" s="10">
        <v>0.8</v>
      </c>
      <c r="AJ27" s="10"/>
      <c r="AK27" s="10">
        <v>0.8</v>
      </c>
      <c r="AL27" s="10"/>
      <c r="AM27" s="10">
        <v>0.8</v>
      </c>
      <c r="AQ27" s="10"/>
      <c r="AR27" s="10">
        <v>0.8</v>
      </c>
      <c r="AS27" s="10"/>
      <c r="AT27" s="10">
        <v>0.8</v>
      </c>
      <c r="AX27" s="10"/>
      <c r="AY27" s="10">
        <v>1</v>
      </c>
      <c r="AZ27" s="10"/>
      <c r="BA27" s="10">
        <v>1</v>
      </c>
      <c r="BE27" s="10"/>
      <c r="BF27" s="10">
        <v>1</v>
      </c>
      <c r="BG27" s="10"/>
      <c r="BH27" s="10">
        <v>1</v>
      </c>
      <c r="BL27" s="10"/>
      <c r="BM27" s="10">
        <v>1</v>
      </c>
      <c r="BN27" s="10"/>
      <c r="BO27" s="10">
        <v>1</v>
      </c>
      <c r="BS27" s="10"/>
      <c r="BT27" s="10">
        <v>1</v>
      </c>
      <c r="BU27" s="10"/>
      <c r="BV27" s="10">
        <v>1</v>
      </c>
      <c r="BZ27" s="10"/>
      <c r="CA27" s="10">
        <v>1</v>
      </c>
      <c r="CB27" s="10"/>
      <c r="CC27" s="10">
        <v>1</v>
      </c>
      <c r="CG27" s="10"/>
      <c r="CH27" s="10">
        <v>1</v>
      </c>
      <c r="CI27" s="10"/>
      <c r="CJ27" s="10">
        <v>1</v>
      </c>
      <c r="CN27" s="10"/>
      <c r="CO27" s="10">
        <v>1</v>
      </c>
      <c r="CP27" s="10"/>
      <c r="CQ27" s="10">
        <v>1</v>
      </c>
      <c r="CU27" s="10"/>
      <c r="CV27" s="10">
        <v>1</v>
      </c>
      <c r="CW27" s="10"/>
      <c r="CX27" s="10">
        <v>1</v>
      </c>
      <c r="DB27" s="10"/>
      <c r="DC27" s="10">
        <v>1</v>
      </c>
      <c r="DD27" s="10"/>
      <c r="DE27" s="10">
        <v>1</v>
      </c>
      <c r="DJ27" s="10"/>
      <c r="DK27" s="10">
        <v>1</v>
      </c>
      <c r="DL27" s="10"/>
      <c r="DM27" s="10">
        <v>1</v>
      </c>
      <c r="DQ27" s="10"/>
      <c r="DR27" s="10">
        <v>1</v>
      </c>
      <c r="DS27" s="10"/>
      <c r="DT27" s="10">
        <v>1</v>
      </c>
      <c r="DX27" s="10"/>
      <c r="DY27" s="10"/>
      <c r="DZ27" s="10"/>
      <c r="EA27" s="10"/>
      <c r="EE27" s="10"/>
      <c r="EF27" s="10"/>
      <c r="EG27" s="10"/>
      <c r="EH27" s="10"/>
      <c r="EL27" s="10"/>
      <c r="EM27" s="10"/>
      <c r="EN27" s="10"/>
      <c r="EO27" s="10"/>
      <c r="ES27" s="10"/>
      <c r="ET27" s="10"/>
      <c r="EU27" s="10"/>
      <c r="EV27" s="10"/>
      <c r="EZ27" s="10"/>
      <c r="FA27" s="10"/>
      <c r="FB27" s="10"/>
      <c r="FC27" s="10"/>
      <c r="FG27" s="10"/>
      <c r="FH27" s="10"/>
      <c r="FI27" s="10"/>
      <c r="FJ27" s="10"/>
      <c r="FN27" s="10"/>
      <c r="FO27" s="10"/>
      <c r="FP27" s="10"/>
      <c r="FQ27" s="10"/>
      <c r="FU27" s="10"/>
      <c r="FV27" s="10"/>
      <c r="FW27" s="10"/>
      <c r="FX27" s="10"/>
      <c r="GA27" s="10"/>
      <c r="GB27" s="10"/>
      <c r="GC27" s="10"/>
      <c r="GD27" s="10"/>
      <c r="GG27" s="10"/>
      <c r="GH27" s="10"/>
      <c r="GI27" s="10"/>
      <c r="GJ27" s="10"/>
      <c r="GM27" s="10"/>
      <c r="GN27" s="10"/>
      <c r="GO27" s="10"/>
      <c r="GP27" s="10"/>
    </row>
    <row r="28" spans="2:198" outlineLevel="1">
      <c r="B28" t="s">
        <v>28</v>
      </c>
      <c r="C28" t="s">
        <v>88</v>
      </c>
      <c r="E28" s="9"/>
      <c r="F28" t="s">
        <v>173</v>
      </c>
      <c r="G28" s="23">
        <v>4.1200000000000001E-2</v>
      </c>
      <c r="I28" s="9">
        <f t="shared" ref="I28:I43" si="1">+SUMIF($N$3:$ZT$3,I$3,$N28:$ZZ28)</f>
        <v>0</v>
      </c>
      <c r="J28" s="11" cm="1">
        <f t="array" ref="J28">MAX(IF($N$3:$EH$3=$J$3,N28:EH28))</f>
        <v>0</v>
      </c>
      <c r="K28" s="11" cm="1">
        <f t="array" ref="K28">MAX(IF($N$3:$EH$3=$J$3,N28:EH28))</f>
        <v>0</v>
      </c>
      <c r="L28" s="9"/>
      <c r="O28" s="10"/>
      <c r="P28" s="10">
        <v>0.5</v>
      </c>
      <c r="Q28" s="10"/>
      <c r="R28" s="10">
        <v>0.5</v>
      </c>
      <c r="V28" s="10"/>
      <c r="W28" s="10">
        <v>0.5</v>
      </c>
      <c r="X28" s="10"/>
      <c r="Y28" s="10">
        <v>0.5</v>
      </c>
      <c r="AC28" s="10"/>
      <c r="AD28" s="10">
        <v>0.8</v>
      </c>
      <c r="AE28" s="10"/>
      <c r="AF28" s="10">
        <v>0.8</v>
      </c>
      <c r="AJ28" s="10"/>
      <c r="AK28" s="10">
        <v>0.8</v>
      </c>
      <c r="AL28" s="10"/>
      <c r="AM28" s="10">
        <v>0.8</v>
      </c>
      <c r="AQ28" s="10"/>
      <c r="AR28" s="10">
        <v>0.8</v>
      </c>
      <c r="AS28" s="10"/>
      <c r="AT28" s="10">
        <v>0.8</v>
      </c>
      <c r="AX28" s="10"/>
      <c r="AY28" s="10">
        <v>0.8</v>
      </c>
      <c r="AZ28" s="10"/>
      <c r="BA28" s="10">
        <v>0.8</v>
      </c>
      <c r="BE28" s="10"/>
      <c r="BF28" s="10">
        <v>1</v>
      </c>
      <c r="BG28" s="10"/>
      <c r="BH28" s="10">
        <v>1</v>
      </c>
      <c r="BL28" s="10"/>
      <c r="BM28" s="10">
        <v>1</v>
      </c>
      <c r="BN28" s="10"/>
      <c r="BO28" s="10">
        <v>1</v>
      </c>
      <c r="BS28" s="10"/>
      <c r="BT28" s="10">
        <v>1</v>
      </c>
      <c r="BU28" s="10"/>
      <c r="BV28" s="10">
        <v>1</v>
      </c>
      <c r="BZ28" s="10"/>
      <c r="CA28" s="10">
        <v>1</v>
      </c>
      <c r="CB28" s="10"/>
      <c r="CC28" s="10">
        <v>1</v>
      </c>
      <c r="CG28" s="10"/>
      <c r="CH28" s="10">
        <v>1</v>
      </c>
      <c r="CI28" s="10"/>
      <c r="CJ28" s="10">
        <v>1</v>
      </c>
      <c r="CN28" s="10"/>
      <c r="CO28" s="10">
        <v>1</v>
      </c>
      <c r="CP28" s="10"/>
      <c r="CQ28" s="10">
        <v>1</v>
      </c>
      <c r="CU28" s="10"/>
      <c r="CV28" s="10">
        <v>1</v>
      </c>
      <c r="CW28" s="10"/>
      <c r="CX28" s="10">
        <v>1</v>
      </c>
      <c r="DB28" s="10"/>
      <c r="DC28" s="10">
        <v>1</v>
      </c>
      <c r="DD28" s="10"/>
      <c r="DE28" s="10">
        <v>1</v>
      </c>
      <c r="DJ28" s="10"/>
      <c r="DK28" s="10">
        <v>1</v>
      </c>
      <c r="DL28" s="10"/>
      <c r="DM28" s="10">
        <v>1</v>
      </c>
      <c r="DQ28" s="10"/>
      <c r="DR28" s="10">
        <v>1</v>
      </c>
      <c r="DS28" s="10"/>
      <c r="DT28" s="10">
        <v>1</v>
      </c>
      <c r="DX28" s="10"/>
      <c r="DY28" s="10"/>
      <c r="DZ28" s="10"/>
      <c r="EA28" s="10"/>
      <c r="EE28" s="10"/>
      <c r="EF28" s="10"/>
      <c r="EG28" s="10"/>
      <c r="EH28" s="10"/>
      <c r="EL28" s="10"/>
      <c r="EM28" s="10"/>
      <c r="EN28" s="10"/>
      <c r="EO28" s="10"/>
      <c r="ES28" s="10"/>
      <c r="ET28" s="10"/>
      <c r="EU28" s="10"/>
      <c r="EV28" s="10"/>
      <c r="EZ28" s="10"/>
      <c r="FA28" s="10"/>
      <c r="FB28" s="10"/>
      <c r="FC28" s="10"/>
      <c r="FG28" s="10"/>
      <c r="FH28" s="10"/>
      <c r="FI28" s="10"/>
      <c r="FJ28" s="10"/>
      <c r="FN28" s="10"/>
      <c r="FO28" s="10"/>
      <c r="FP28" s="10"/>
      <c r="FQ28" s="10"/>
      <c r="FU28" s="10"/>
      <c r="FV28" s="10"/>
      <c r="FW28" s="10"/>
      <c r="FX28" s="10"/>
      <c r="GA28" s="10"/>
      <c r="GB28" s="10"/>
      <c r="GC28" s="10"/>
      <c r="GD28" s="10"/>
      <c r="GG28" s="10"/>
      <c r="GH28" s="10"/>
      <c r="GI28" s="10"/>
      <c r="GJ28" s="10"/>
      <c r="GM28" s="10"/>
      <c r="GN28" s="10"/>
      <c r="GO28" s="10"/>
      <c r="GP28" s="10"/>
    </row>
    <row r="29" spans="2:198" outlineLevel="1">
      <c r="B29" t="s">
        <v>28</v>
      </c>
      <c r="C29" t="s">
        <v>88</v>
      </c>
      <c r="E29" s="9"/>
      <c r="F29" t="s">
        <v>174</v>
      </c>
      <c r="G29" s="23">
        <v>4.48E-2</v>
      </c>
      <c r="I29" s="9">
        <f t="shared" si="1"/>
        <v>0</v>
      </c>
      <c r="J29" s="11" cm="1">
        <f t="array" ref="J29">MAX(IF($N$3:$EH$3=$J$3,N29:EH29))</f>
        <v>0</v>
      </c>
      <c r="K29" s="11" cm="1">
        <f t="array" ref="K29">MAX(IF($N$3:$EH$3=$J$3,N29:EH29))</f>
        <v>0</v>
      </c>
      <c r="L29" s="9"/>
      <c r="O29" s="10"/>
      <c r="P29" s="10">
        <v>0.5</v>
      </c>
      <c r="Q29" s="10"/>
      <c r="R29" s="10">
        <v>0.5</v>
      </c>
      <c r="V29" s="10"/>
      <c r="W29" s="10">
        <v>0.5</v>
      </c>
      <c r="X29" s="10"/>
      <c r="Y29" s="10">
        <v>0.5</v>
      </c>
      <c r="AC29" s="10"/>
      <c r="AD29" s="10">
        <v>0.8</v>
      </c>
      <c r="AE29" s="10"/>
      <c r="AF29" s="10">
        <v>0.8</v>
      </c>
      <c r="AJ29" s="10"/>
      <c r="AK29" s="10">
        <v>0.8</v>
      </c>
      <c r="AL29" s="10"/>
      <c r="AM29" s="10">
        <v>0.8</v>
      </c>
      <c r="AQ29" s="10"/>
      <c r="AR29" s="10">
        <v>0.8</v>
      </c>
      <c r="AS29" s="10"/>
      <c r="AT29" s="10">
        <v>0.8</v>
      </c>
      <c r="AX29" s="10"/>
      <c r="AY29" s="10">
        <v>0.8</v>
      </c>
      <c r="AZ29" s="10"/>
      <c r="BA29" s="10">
        <v>0.8</v>
      </c>
      <c r="BE29" s="10"/>
      <c r="BF29" s="10">
        <v>0.8</v>
      </c>
      <c r="BG29" s="10"/>
      <c r="BH29" s="10">
        <v>0.8</v>
      </c>
      <c r="BL29" s="10"/>
      <c r="BM29" s="10">
        <v>1</v>
      </c>
      <c r="BN29" s="10"/>
      <c r="BO29" s="10">
        <v>1</v>
      </c>
      <c r="BS29" s="10"/>
      <c r="BT29" s="10">
        <v>1</v>
      </c>
      <c r="BU29" s="10"/>
      <c r="BV29" s="10">
        <v>1</v>
      </c>
      <c r="BZ29" s="10"/>
      <c r="CA29" s="10">
        <v>1</v>
      </c>
      <c r="CB29" s="10"/>
      <c r="CC29" s="10">
        <v>1</v>
      </c>
      <c r="CG29" s="10"/>
      <c r="CH29" s="10">
        <v>1</v>
      </c>
      <c r="CI29" s="10"/>
      <c r="CJ29" s="10">
        <v>1</v>
      </c>
      <c r="CN29" s="10"/>
      <c r="CO29" s="10">
        <v>1</v>
      </c>
      <c r="CP29" s="10"/>
      <c r="CQ29" s="10">
        <v>1</v>
      </c>
      <c r="CU29" s="10"/>
      <c r="CV29" s="10">
        <v>1</v>
      </c>
      <c r="CW29" s="10"/>
      <c r="CX29" s="10">
        <v>1</v>
      </c>
      <c r="DB29" s="10"/>
      <c r="DC29" s="10">
        <v>1</v>
      </c>
      <c r="DD29" s="10"/>
      <c r="DE29" s="10">
        <v>1</v>
      </c>
      <c r="DJ29" s="10"/>
      <c r="DK29" s="10">
        <v>1</v>
      </c>
      <c r="DL29" s="10"/>
      <c r="DM29" s="10">
        <v>1</v>
      </c>
      <c r="DQ29" s="10"/>
      <c r="DR29" s="10">
        <v>1</v>
      </c>
      <c r="DS29" s="10"/>
      <c r="DT29" s="10">
        <v>1</v>
      </c>
      <c r="DX29" s="10"/>
      <c r="DY29" s="10"/>
      <c r="DZ29" s="10"/>
      <c r="EA29" s="10"/>
      <c r="EE29" s="10"/>
      <c r="EF29" s="10"/>
      <c r="EG29" s="10"/>
      <c r="EH29" s="10"/>
      <c r="EL29" s="10"/>
      <c r="EM29" s="10"/>
      <c r="EN29" s="10"/>
      <c r="EO29" s="10"/>
      <c r="ES29" s="10"/>
      <c r="ET29" s="10"/>
      <c r="EU29" s="10"/>
      <c r="EV29" s="10"/>
      <c r="EZ29" s="10"/>
      <c r="FA29" s="10"/>
      <c r="FB29" s="10"/>
      <c r="FC29" s="10"/>
      <c r="FG29" s="10"/>
      <c r="FH29" s="10"/>
      <c r="FI29" s="10"/>
      <c r="FJ29" s="10"/>
      <c r="FN29" s="10"/>
      <c r="FO29" s="10"/>
      <c r="FP29" s="10"/>
      <c r="FQ29" s="10"/>
      <c r="FU29" s="10"/>
      <c r="FV29" s="10"/>
      <c r="FW29" s="10"/>
      <c r="FX29" s="10"/>
      <c r="GA29" s="10"/>
      <c r="GB29" s="10"/>
      <c r="GC29" s="10"/>
      <c r="GD29" s="10"/>
      <c r="GG29" s="10"/>
      <c r="GH29" s="10"/>
      <c r="GI29" s="10"/>
      <c r="GJ29" s="10"/>
      <c r="GM29" s="10"/>
      <c r="GN29" s="10"/>
      <c r="GO29" s="10"/>
      <c r="GP29" s="10"/>
    </row>
    <row r="30" spans="2:198" outlineLevel="1">
      <c r="B30" t="s">
        <v>28</v>
      </c>
      <c r="C30" t="s">
        <v>88</v>
      </c>
      <c r="E30" s="9"/>
      <c r="F30" t="s">
        <v>175</v>
      </c>
      <c r="G30" s="23">
        <v>4.48E-2</v>
      </c>
      <c r="I30" s="9">
        <f t="shared" si="1"/>
        <v>0</v>
      </c>
      <c r="J30" s="11" cm="1">
        <f t="array" ref="J30">MAX(IF($N$3:$EH$3=$J$3,N30:EH30))</f>
        <v>0</v>
      </c>
      <c r="K30" s="11" cm="1">
        <f t="array" ref="K30">MAX(IF($N$3:$EH$3=$J$3,N30:EH30))</f>
        <v>0</v>
      </c>
      <c r="L30" s="9"/>
      <c r="O30" s="10"/>
      <c r="P30" s="10">
        <v>0.5</v>
      </c>
      <c r="Q30" s="10"/>
      <c r="R30" s="10">
        <v>0.5</v>
      </c>
      <c r="V30" s="10"/>
      <c r="W30" s="10">
        <v>0.5</v>
      </c>
      <c r="X30" s="10"/>
      <c r="Y30" s="10">
        <v>0.5</v>
      </c>
      <c r="AC30" s="10"/>
      <c r="AD30" s="10">
        <v>0.5</v>
      </c>
      <c r="AE30" s="10"/>
      <c r="AF30" s="10">
        <v>0.5</v>
      </c>
      <c r="AJ30" s="10"/>
      <c r="AK30" s="10">
        <v>0.8</v>
      </c>
      <c r="AL30" s="10"/>
      <c r="AM30" s="10">
        <v>0.8</v>
      </c>
      <c r="AQ30" s="10"/>
      <c r="AR30" s="10">
        <v>0.8</v>
      </c>
      <c r="AS30" s="10"/>
      <c r="AT30" s="10">
        <v>0.8</v>
      </c>
      <c r="AX30" s="10"/>
      <c r="AY30" s="10">
        <v>0.8</v>
      </c>
      <c r="AZ30" s="10"/>
      <c r="BA30" s="10">
        <v>0.8</v>
      </c>
      <c r="BE30" s="10"/>
      <c r="BF30" s="10">
        <v>0.8</v>
      </c>
      <c r="BG30" s="10"/>
      <c r="BH30" s="10">
        <v>0.8</v>
      </c>
      <c r="BL30" s="10"/>
      <c r="BM30" s="10">
        <v>0.8</v>
      </c>
      <c r="BN30" s="10"/>
      <c r="BO30" s="10">
        <v>0.8</v>
      </c>
      <c r="BS30" s="10"/>
      <c r="BT30" s="10">
        <v>1</v>
      </c>
      <c r="BU30" s="10"/>
      <c r="BV30" s="10">
        <v>1</v>
      </c>
      <c r="BZ30" s="10"/>
      <c r="CA30" s="10">
        <v>1</v>
      </c>
      <c r="CB30" s="10"/>
      <c r="CC30" s="10">
        <v>1</v>
      </c>
      <c r="CG30" s="10"/>
      <c r="CH30" s="10">
        <v>1</v>
      </c>
      <c r="CI30" s="10"/>
      <c r="CJ30" s="10">
        <v>1</v>
      </c>
      <c r="CN30" s="10"/>
      <c r="CO30" s="10">
        <v>1</v>
      </c>
      <c r="CP30" s="10"/>
      <c r="CQ30" s="10">
        <v>1</v>
      </c>
      <c r="CU30" s="10"/>
      <c r="CV30" s="10">
        <v>1</v>
      </c>
      <c r="CW30" s="10"/>
      <c r="CX30" s="10">
        <v>1</v>
      </c>
      <c r="DB30" s="10"/>
      <c r="DC30" s="10">
        <v>1</v>
      </c>
      <c r="DD30" s="10"/>
      <c r="DE30" s="10">
        <v>1</v>
      </c>
      <c r="DJ30" s="10"/>
      <c r="DK30" s="10">
        <v>1</v>
      </c>
      <c r="DL30" s="10"/>
      <c r="DM30" s="10">
        <v>1</v>
      </c>
      <c r="DQ30" s="10"/>
      <c r="DR30" s="10">
        <v>1</v>
      </c>
      <c r="DS30" s="10"/>
      <c r="DT30" s="10">
        <v>1</v>
      </c>
      <c r="DX30" s="10"/>
      <c r="DY30" s="10"/>
      <c r="DZ30" s="10"/>
      <c r="EA30" s="10"/>
      <c r="EE30" s="10"/>
      <c r="EF30" s="10"/>
      <c r="EG30" s="10"/>
      <c r="EH30" s="10"/>
      <c r="EL30" s="10"/>
      <c r="EM30" s="10"/>
      <c r="EN30" s="10"/>
      <c r="EO30" s="10"/>
      <c r="ES30" s="10"/>
      <c r="ET30" s="10"/>
      <c r="EU30" s="10"/>
      <c r="EV30" s="10"/>
      <c r="EZ30" s="10"/>
      <c r="FA30" s="10"/>
      <c r="FB30" s="10"/>
      <c r="FC30" s="10"/>
      <c r="FG30" s="10"/>
      <c r="FH30" s="10"/>
      <c r="FI30" s="10"/>
      <c r="FJ30" s="10"/>
      <c r="FN30" s="10"/>
      <c r="FO30" s="10"/>
      <c r="FP30" s="10"/>
      <c r="FQ30" s="10"/>
      <c r="FU30" s="10"/>
      <c r="FV30" s="10"/>
      <c r="FW30" s="10"/>
      <c r="FX30" s="10"/>
      <c r="GA30" s="10"/>
      <c r="GB30" s="10"/>
      <c r="GC30" s="10"/>
      <c r="GD30" s="10"/>
      <c r="GG30" s="10"/>
      <c r="GH30" s="10"/>
      <c r="GI30" s="10"/>
      <c r="GJ30" s="10"/>
      <c r="GM30" s="10"/>
      <c r="GN30" s="10"/>
      <c r="GO30" s="10"/>
      <c r="GP30" s="10"/>
    </row>
    <row r="31" spans="2:198" outlineLevel="1">
      <c r="B31" t="s">
        <v>28</v>
      </c>
      <c r="C31" t="s">
        <v>88</v>
      </c>
      <c r="E31" s="9"/>
      <c r="F31" t="s">
        <v>176</v>
      </c>
      <c r="G31" s="10">
        <v>7.1679999999999994E-2</v>
      </c>
      <c r="I31" s="9">
        <f t="shared" si="1"/>
        <v>0</v>
      </c>
      <c r="J31" s="11" cm="1">
        <f t="array" ref="J31">MAX(IF($N$3:$EH$3=$J$3,N31:EH31))</f>
        <v>0</v>
      </c>
      <c r="K31" s="11" cm="1">
        <f t="array" ref="K31">MAX(IF($N$3:$EH$3=$J$3,N31:EH31))</f>
        <v>0</v>
      </c>
      <c r="L31" s="9"/>
      <c r="O31" s="10"/>
      <c r="P31" s="10">
        <v>0.5</v>
      </c>
      <c r="Q31" s="10"/>
      <c r="R31" s="10">
        <v>0.5</v>
      </c>
      <c r="V31" s="10"/>
      <c r="W31" s="10">
        <v>0.5</v>
      </c>
      <c r="X31" s="10"/>
      <c r="Y31" s="10">
        <v>0.5</v>
      </c>
      <c r="AC31" s="10"/>
      <c r="AD31" s="10">
        <v>0.5</v>
      </c>
      <c r="AE31" s="10"/>
      <c r="AF31" s="10">
        <v>0.5</v>
      </c>
      <c r="AJ31" s="10"/>
      <c r="AK31" s="10">
        <v>0.8</v>
      </c>
      <c r="AL31" s="10"/>
      <c r="AM31" s="10">
        <v>0.8</v>
      </c>
      <c r="AQ31" s="10"/>
      <c r="AR31" s="10">
        <v>0.8</v>
      </c>
      <c r="AS31" s="10"/>
      <c r="AT31" s="10">
        <v>0.8</v>
      </c>
      <c r="AX31" s="10"/>
      <c r="AY31" s="10">
        <v>0.8</v>
      </c>
      <c r="AZ31" s="10"/>
      <c r="BA31" s="10">
        <v>0.8</v>
      </c>
      <c r="BE31" s="10"/>
      <c r="BF31" s="10">
        <v>0.8</v>
      </c>
      <c r="BG31" s="10"/>
      <c r="BH31" s="10">
        <v>0.8</v>
      </c>
      <c r="BL31" s="10"/>
      <c r="BM31" s="10">
        <v>0.8</v>
      </c>
      <c r="BN31" s="10"/>
      <c r="BO31" s="10">
        <v>0.8</v>
      </c>
      <c r="BS31" s="10"/>
      <c r="BT31" s="10">
        <v>1</v>
      </c>
      <c r="BU31" s="10"/>
      <c r="BV31" s="10">
        <v>1</v>
      </c>
      <c r="BZ31" s="10"/>
      <c r="CA31" s="10">
        <v>1</v>
      </c>
      <c r="CB31" s="10"/>
      <c r="CC31" s="10">
        <v>1</v>
      </c>
      <c r="CG31" s="10"/>
      <c r="CH31" s="10">
        <v>1</v>
      </c>
      <c r="CI31" s="10"/>
      <c r="CJ31" s="10">
        <v>1</v>
      </c>
      <c r="CN31" s="10"/>
      <c r="CO31" s="10">
        <v>1</v>
      </c>
      <c r="CP31" s="10"/>
      <c r="CQ31" s="10">
        <v>1</v>
      </c>
      <c r="CU31" s="10"/>
      <c r="CV31" s="10">
        <v>1</v>
      </c>
      <c r="CW31" s="10"/>
      <c r="CX31" s="10">
        <v>1</v>
      </c>
      <c r="DB31" s="10"/>
      <c r="DC31" s="10">
        <v>1</v>
      </c>
      <c r="DD31" s="10"/>
      <c r="DE31" s="10">
        <v>1</v>
      </c>
      <c r="DJ31" s="10"/>
      <c r="DK31" s="10">
        <v>1</v>
      </c>
      <c r="DL31" s="10"/>
      <c r="DM31" s="10">
        <v>1</v>
      </c>
      <c r="DQ31" s="10"/>
      <c r="DR31" s="10">
        <v>1</v>
      </c>
      <c r="DS31" s="10"/>
      <c r="DT31" s="10">
        <v>1</v>
      </c>
      <c r="DX31" s="10"/>
      <c r="DY31" s="10"/>
      <c r="DZ31" s="10"/>
      <c r="EA31" s="10"/>
      <c r="EE31" s="10"/>
      <c r="EF31" s="10"/>
      <c r="EG31" s="10"/>
      <c r="EH31" s="10"/>
      <c r="EL31" s="10"/>
      <c r="EM31" s="10"/>
      <c r="EN31" s="10"/>
      <c r="EO31" s="10"/>
      <c r="ES31" s="10"/>
      <c r="ET31" s="10"/>
      <c r="EU31" s="10"/>
      <c r="EV31" s="10"/>
      <c r="EZ31" s="10"/>
      <c r="FA31" s="10"/>
      <c r="FB31" s="10"/>
      <c r="FC31" s="10"/>
      <c r="FG31" s="10"/>
      <c r="FH31" s="10"/>
      <c r="FI31" s="10"/>
      <c r="FJ31" s="10"/>
      <c r="FN31" s="10"/>
      <c r="FO31" s="10"/>
      <c r="FP31" s="10"/>
      <c r="FQ31" s="10"/>
      <c r="FU31" s="10"/>
      <c r="FV31" s="10"/>
      <c r="FW31" s="10"/>
      <c r="FX31" s="10"/>
      <c r="GA31" s="10"/>
      <c r="GB31" s="10"/>
      <c r="GC31" s="10"/>
      <c r="GD31" s="10"/>
      <c r="GG31" s="10"/>
      <c r="GH31" s="10"/>
      <c r="GI31" s="10"/>
      <c r="GJ31" s="10"/>
      <c r="GM31" s="10"/>
      <c r="GN31" s="10"/>
      <c r="GO31" s="10"/>
      <c r="GP31" s="10"/>
    </row>
    <row r="32" spans="2:198" outlineLevel="1">
      <c r="B32" t="s">
        <v>28</v>
      </c>
      <c r="C32" t="s">
        <v>88</v>
      </c>
      <c r="E32" s="9"/>
      <c r="F32" t="s">
        <v>177</v>
      </c>
      <c r="G32" s="23">
        <v>0.16128999999999999</v>
      </c>
      <c r="I32" s="9">
        <f t="shared" si="1"/>
        <v>0</v>
      </c>
      <c r="J32" s="11" cm="1">
        <f t="array" ref="J32">MAX(IF($N$3:$EH$3=$J$3,N32:EH32))</f>
        <v>0</v>
      </c>
      <c r="K32" s="11" cm="1">
        <f t="array" ref="K32">MAX(IF($N$3:$EH$3=$J$3,N32:EH32))</f>
        <v>0</v>
      </c>
      <c r="L32" s="9"/>
      <c r="O32" s="10"/>
      <c r="P32" s="10">
        <v>0.3</v>
      </c>
      <c r="Q32" s="10"/>
      <c r="R32" s="10">
        <v>0.3</v>
      </c>
      <c r="V32" s="10"/>
      <c r="W32" s="10">
        <v>0.5</v>
      </c>
      <c r="X32" s="10"/>
      <c r="Y32" s="10">
        <v>0.5</v>
      </c>
      <c r="AC32" s="10"/>
      <c r="AD32" s="10">
        <v>0.5</v>
      </c>
      <c r="AE32" s="10"/>
      <c r="AF32" s="10">
        <v>0.5</v>
      </c>
      <c r="AJ32" s="10"/>
      <c r="AK32" s="10">
        <v>0.8</v>
      </c>
      <c r="AL32" s="10"/>
      <c r="AM32" s="10">
        <v>0.8</v>
      </c>
      <c r="AQ32" s="10"/>
      <c r="AR32" s="10">
        <v>0.8</v>
      </c>
      <c r="AS32" s="10"/>
      <c r="AT32" s="10">
        <v>0.8</v>
      </c>
      <c r="AX32" s="10"/>
      <c r="AY32" s="10">
        <v>0.8</v>
      </c>
      <c r="AZ32" s="10"/>
      <c r="BA32" s="10">
        <v>0.8</v>
      </c>
      <c r="BE32" s="10"/>
      <c r="BF32" s="10">
        <v>0.8</v>
      </c>
      <c r="BG32" s="10"/>
      <c r="BH32" s="10">
        <v>0.8</v>
      </c>
      <c r="BL32" s="10"/>
      <c r="BM32" s="10">
        <v>0.8</v>
      </c>
      <c r="BN32" s="10"/>
      <c r="BO32" s="10">
        <v>0.8</v>
      </c>
      <c r="BS32" s="10"/>
      <c r="BT32" s="10">
        <v>0.8</v>
      </c>
      <c r="BU32" s="10"/>
      <c r="BV32" s="10">
        <v>0.8</v>
      </c>
      <c r="BZ32" s="10"/>
      <c r="CA32" s="10">
        <v>0.9</v>
      </c>
      <c r="CB32" s="10"/>
      <c r="CC32" s="10">
        <v>0.9</v>
      </c>
      <c r="CG32" s="10"/>
      <c r="CH32" s="10">
        <v>1</v>
      </c>
      <c r="CI32" s="10"/>
      <c r="CJ32" s="10">
        <v>1</v>
      </c>
      <c r="CN32" s="10"/>
      <c r="CO32" s="10">
        <v>1</v>
      </c>
      <c r="CP32" s="10"/>
      <c r="CQ32" s="10">
        <v>1</v>
      </c>
      <c r="CU32" s="10"/>
      <c r="CV32" s="10">
        <v>1</v>
      </c>
      <c r="CW32" s="10"/>
      <c r="CX32" s="10">
        <v>1</v>
      </c>
      <c r="DB32" s="10"/>
      <c r="DC32" s="10">
        <v>1</v>
      </c>
      <c r="DD32" s="10"/>
      <c r="DE32" s="10">
        <v>1</v>
      </c>
      <c r="DJ32" s="10"/>
      <c r="DK32" s="10">
        <v>1</v>
      </c>
      <c r="DL32" s="10"/>
      <c r="DM32" s="10">
        <v>1</v>
      </c>
      <c r="DQ32" s="10"/>
      <c r="DR32" s="10">
        <v>1</v>
      </c>
      <c r="DS32" s="10"/>
      <c r="DT32" s="10">
        <v>1</v>
      </c>
      <c r="DX32" s="10"/>
      <c r="DY32" s="10"/>
      <c r="DZ32" s="10"/>
      <c r="EA32" s="10"/>
      <c r="EE32" s="10"/>
      <c r="EF32" s="10"/>
      <c r="EG32" s="10"/>
      <c r="EH32" s="10"/>
      <c r="EL32" s="10"/>
      <c r="EM32" s="10"/>
      <c r="EN32" s="10"/>
      <c r="EO32" s="10"/>
      <c r="ES32" s="10"/>
      <c r="ET32" s="10"/>
      <c r="EU32" s="10"/>
      <c r="EV32" s="10"/>
      <c r="EZ32" s="10"/>
      <c r="FA32" s="10"/>
      <c r="FB32" s="10"/>
      <c r="FC32" s="10"/>
      <c r="FG32" s="10"/>
      <c r="FH32" s="10"/>
      <c r="FI32" s="10"/>
      <c r="FJ32" s="10"/>
      <c r="FN32" s="10"/>
      <c r="FO32" s="10"/>
      <c r="FP32" s="10"/>
      <c r="FQ32" s="10"/>
      <c r="FU32" s="10"/>
      <c r="FV32" s="10"/>
      <c r="FW32" s="10"/>
      <c r="FX32" s="10"/>
      <c r="GA32" s="10"/>
      <c r="GB32" s="10"/>
      <c r="GC32" s="10"/>
      <c r="GD32" s="10"/>
      <c r="GG32" s="10"/>
      <c r="GH32" s="10"/>
      <c r="GI32" s="10"/>
      <c r="GJ32" s="10"/>
      <c r="GM32" s="10"/>
      <c r="GN32" s="10"/>
      <c r="GO32" s="10"/>
      <c r="GP32" s="10"/>
    </row>
    <row r="33" spans="2:198" outlineLevel="1">
      <c r="B33" t="s">
        <v>28</v>
      </c>
      <c r="C33" t="s">
        <v>88</v>
      </c>
      <c r="E33" s="9"/>
      <c r="F33" t="s">
        <v>178</v>
      </c>
      <c r="G33" s="23">
        <v>0.01</v>
      </c>
      <c r="I33" s="9">
        <f t="shared" si="1"/>
        <v>0</v>
      </c>
      <c r="J33" s="11" cm="1">
        <f t="array" ref="J33">MAX(IF($N$3:$EH$3=$J$3,N33:EH33))</f>
        <v>0</v>
      </c>
      <c r="K33" s="11" cm="1">
        <f t="array" ref="K33">MAX(IF($N$3:$EH$3=$J$3,N33:EH33))</f>
        <v>0</v>
      </c>
      <c r="L33" s="9"/>
      <c r="O33" s="10"/>
      <c r="P33" s="10"/>
      <c r="Q33" s="10"/>
      <c r="R33" s="10"/>
      <c r="V33" s="10"/>
      <c r="W33" s="10">
        <v>0.5</v>
      </c>
      <c r="X33" s="10"/>
      <c r="Y33" s="10">
        <v>0.5</v>
      </c>
      <c r="AC33" s="10"/>
      <c r="AD33" s="10">
        <v>0.5</v>
      </c>
      <c r="AE33" s="10"/>
      <c r="AF33" s="10">
        <v>0.5</v>
      </c>
      <c r="AJ33" s="10"/>
      <c r="AK33" s="10">
        <v>0.5</v>
      </c>
      <c r="AL33" s="10"/>
      <c r="AM33" s="10">
        <v>0.5</v>
      </c>
      <c r="AQ33" s="10"/>
      <c r="AR33" s="10">
        <v>0.8</v>
      </c>
      <c r="AS33" s="10"/>
      <c r="AT33" s="10">
        <v>0.8</v>
      </c>
      <c r="AX33" s="10"/>
      <c r="AY33" s="10">
        <v>0.8</v>
      </c>
      <c r="AZ33" s="10"/>
      <c r="BA33" s="10">
        <v>0.8</v>
      </c>
      <c r="BE33" s="10"/>
      <c r="BF33" s="10">
        <v>0.8</v>
      </c>
      <c r="BG33" s="10"/>
      <c r="BH33" s="10">
        <v>0.8</v>
      </c>
      <c r="BL33" s="10"/>
      <c r="BM33" s="10">
        <v>0.8</v>
      </c>
      <c r="BN33" s="10"/>
      <c r="BO33" s="10">
        <v>0.8</v>
      </c>
      <c r="BS33" s="10"/>
      <c r="BT33" s="10">
        <v>0.8</v>
      </c>
      <c r="BU33" s="10"/>
      <c r="BV33" s="10">
        <v>0.8</v>
      </c>
      <c r="BZ33" s="10"/>
      <c r="CA33" s="10">
        <v>0.8</v>
      </c>
      <c r="CB33" s="10"/>
      <c r="CC33" s="10">
        <v>0.8</v>
      </c>
      <c r="CG33" s="10"/>
      <c r="CH33" s="10">
        <v>1</v>
      </c>
      <c r="CI33" s="10"/>
      <c r="CJ33" s="10">
        <v>1</v>
      </c>
      <c r="CN33" s="10"/>
      <c r="CO33" s="10">
        <v>1</v>
      </c>
      <c r="CP33" s="10"/>
      <c r="CQ33" s="10">
        <v>1</v>
      </c>
      <c r="CU33" s="10"/>
      <c r="CV33" s="10">
        <v>1</v>
      </c>
      <c r="CW33" s="10"/>
      <c r="CX33" s="10">
        <v>1</v>
      </c>
      <c r="DB33" s="10"/>
      <c r="DC33" s="10">
        <v>1</v>
      </c>
      <c r="DD33" s="10"/>
      <c r="DE33" s="10">
        <v>1</v>
      </c>
      <c r="DJ33" s="10"/>
      <c r="DK33" s="10">
        <v>1</v>
      </c>
      <c r="DL33" s="10"/>
      <c r="DM33" s="10">
        <v>1</v>
      </c>
      <c r="DQ33" s="10"/>
      <c r="DR33" s="10">
        <v>1</v>
      </c>
      <c r="DS33" s="10"/>
      <c r="DT33" s="10">
        <v>1</v>
      </c>
      <c r="DX33" s="10"/>
      <c r="DY33" s="10"/>
      <c r="DZ33" s="10"/>
      <c r="EA33" s="10"/>
      <c r="EE33" s="10"/>
      <c r="EF33" s="10"/>
      <c r="EG33" s="10"/>
      <c r="EH33" s="10"/>
      <c r="EL33" s="10"/>
      <c r="EM33" s="10"/>
      <c r="EN33" s="10"/>
      <c r="EO33" s="10"/>
      <c r="ES33" s="10"/>
      <c r="ET33" s="10"/>
      <c r="EU33" s="10"/>
      <c r="EV33" s="10"/>
      <c r="EZ33" s="10"/>
      <c r="FA33" s="10"/>
      <c r="FB33" s="10"/>
      <c r="FC33" s="10"/>
      <c r="FG33" s="10"/>
      <c r="FH33" s="10"/>
      <c r="FI33" s="10"/>
      <c r="FJ33" s="10"/>
      <c r="FN33" s="10"/>
      <c r="FO33" s="10"/>
      <c r="FP33" s="10"/>
      <c r="FQ33" s="10"/>
      <c r="FU33" s="10"/>
      <c r="FV33" s="10"/>
      <c r="FW33" s="10"/>
      <c r="FX33" s="10"/>
      <c r="GA33" s="10"/>
      <c r="GB33" s="10"/>
      <c r="GC33" s="10"/>
      <c r="GD33" s="10"/>
      <c r="GG33" s="10"/>
      <c r="GH33" s="10"/>
      <c r="GI33" s="10"/>
      <c r="GJ33" s="10"/>
      <c r="GM33" s="10"/>
      <c r="GN33" s="10"/>
      <c r="GO33" s="10"/>
      <c r="GP33" s="10"/>
    </row>
    <row r="34" spans="2:198" outlineLevel="1">
      <c r="B34" t="s">
        <v>28</v>
      </c>
      <c r="C34" t="s">
        <v>88</v>
      </c>
      <c r="E34" s="9"/>
      <c r="F34" t="s">
        <v>188</v>
      </c>
      <c r="G34" s="10">
        <v>1.0699999999999999E-2</v>
      </c>
      <c r="I34" s="9">
        <f t="shared" si="1"/>
        <v>0</v>
      </c>
      <c r="J34" s="11" cm="1">
        <f t="array" ref="J34">MAX(IF($N$3:$EH$3=$J$3,N34:EH34))</f>
        <v>0</v>
      </c>
      <c r="K34" s="11" cm="1">
        <f t="array" ref="K34">MAX(IF($N$3:$EH$3=$J$3,N34:EH34))</f>
        <v>0</v>
      </c>
      <c r="L34" s="9"/>
      <c r="O34" s="10"/>
      <c r="P34" s="10"/>
      <c r="Q34" s="10"/>
      <c r="R34" s="10"/>
      <c r="V34" s="10"/>
      <c r="W34" s="10">
        <v>0.5</v>
      </c>
      <c r="X34" s="10"/>
      <c r="Y34" s="10">
        <v>0.5</v>
      </c>
      <c r="AC34" s="10"/>
      <c r="AD34" s="10">
        <v>0.5</v>
      </c>
      <c r="AE34" s="10"/>
      <c r="AF34" s="10">
        <v>0.5</v>
      </c>
      <c r="AJ34" s="10"/>
      <c r="AK34" s="10">
        <v>0.5</v>
      </c>
      <c r="AL34" s="10"/>
      <c r="AM34" s="10">
        <v>0.5</v>
      </c>
      <c r="AQ34" s="10"/>
      <c r="AR34" s="10">
        <v>0.8</v>
      </c>
      <c r="AS34" s="10"/>
      <c r="AT34" s="10">
        <v>0.8</v>
      </c>
      <c r="AX34" s="10"/>
      <c r="AY34" s="10">
        <v>0.8</v>
      </c>
      <c r="AZ34" s="10"/>
      <c r="BA34" s="10">
        <v>0.8</v>
      </c>
      <c r="BE34" s="10"/>
      <c r="BF34" s="10">
        <v>0.8</v>
      </c>
      <c r="BG34" s="10"/>
      <c r="BH34" s="10">
        <v>0.8</v>
      </c>
      <c r="BL34" s="10"/>
      <c r="BM34" s="10">
        <v>0.8</v>
      </c>
      <c r="BN34" s="10"/>
      <c r="BO34" s="10">
        <v>0.8</v>
      </c>
      <c r="BS34" s="10"/>
      <c r="BT34" s="10">
        <v>0.8</v>
      </c>
      <c r="BU34" s="10"/>
      <c r="BV34" s="10">
        <v>0.8</v>
      </c>
      <c r="BZ34" s="10"/>
      <c r="CA34" s="10">
        <v>0.8</v>
      </c>
      <c r="CB34" s="10"/>
      <c r="CC34" s="10">
        <v>0.8</v>
      </c>
      <c r="CG34" s="10"/>
      <c r="CH34" s="10">
        <v>0.8</v>
      </c>
      <c r="CI34" s="10"/>
      <c r="CJ34" s="10">
        <v>0.8</v>
      </c>
      <c r="CN34" s="10"/>
      <c r="CO34" s="10">
        <v>1</v>
      </c>
      <c r="CP34" s="10"/>
      <c r="CQ34" s="10">
        <v>1</v>
      </c>
      <c r="CU34" s="10"/>
      <c r="CV34" s="10">
        <v>1</v>
      </c>
      <c r="CW34" s="10"/>
      <c r="CX34" s="10">
        <v>1</v>
      </c>
      <c r="DB34" s="10"/>
      <c r="DC34" s="10">
        <v>1</v>
      </c>
      <c r="DD34" s="10"/>
      <c r="DE34" s="10">
        <v>1</v>
      </c>
      <c r="DJ34" s="10"/>
      <c r="DK34" s="10">
        <v>1</v>
      </c>
      <c r="DL34" s="10"/>
      <c r="DM34" s="10">
        <v>1</v>
      </c>
      <c r="DQ34" s="10"/>
      <c r="DR34" s="10">
        <v>1</v>
      </c>
      <c r="DS34" s="10"/>
      <c r="DT34" s="10">
        <v>1</v>
      </c>
      <c r="DX34" s="10"/>
      <c r="DY34" s="10"/>
      <c r="DZ34" s="10"/>
      <c r="EA34" s="10"/>
      <c r="EE34" s="10"/>
      <c r="EF34" s="10"/>
      <c r="EG34" s="10"/>
      <c r="EH34" s="10"/>
      <c r="EL34" s="10"/>
      <c r="EM34" s="10"/>
      <c r="EN34" s="10"/>
      <c r="EO34" s="10"/>
      <c r="ES34" s="10"/>
      <c r="ET34" s="10"/>
      <c r="EU34" s="10"/>
      <c r="EV34" s="10"/>
      <c r="EZ34" s="10"/>
      <c r="FA34" s="10"/>
      <c r="FB34" s="10"/>
      <c r="FC34" s="10"/>
      <c r="FG34" s="10"/>
      <c r="FH34" s="10"/>
      <c r="FI34" s="10"/>
      <c r="FJ34" s="10"/>
      <c r="FN34" s="10"/>
      <c r="FO34" s="10"/>
      <c r="FP34" s="10"/>
      <c r="FQ34" s="10"/>
      <c r="FU34" s="10"/>
      <c r="FV34" s="10"/>
      <c r="FW34" s="10"/>
      <c r="FX34" s="10"/>
      <c r="GA34" s="10"/>
      <c r="GB34" s="10"/>
      <c r="GC34" s="10"/>
      <c r="GD34" s="10"/>
      <c r="GG34" s="10"/>
      <c r="GH34" s="10"/>
      <c r="GI34" s="10"/>
      <c r="GJ34" s="10"/>
      <c r="GM34" s="10"/>
      <c r="GN34" s="10"/>
      <c r="GO34" s="10"/>
      <c r="GP34" s="10"/>
    </row>
    <row r="35" spans="2:198" outlineLevel="1">
      <c r="B35" t="s">
        <v>28</v>
      </c>
      <c r="C35" t="s">
        <v>88</v>
      </c>
      <c r="E35" s="9"/>
      <c r="F35" t="s">
        <v>179</v>
      </c>
      <c r="G35" s="23">
        <v>9.4979999999999995E-2</v>
      </c>
      <c r="I35" s="9">
        <f t="shared" si="1"/>
        <v>0</v>
      </c>
      <c r="J35" s="11" cm="1">
        <f t="array" ref="J35">MAX(IF($N$3:$EH$3=$J$3,N35:EH35))</f>
        <v>0</v>
      </c>
      <c r="K35" s="11" cm="1">
        <f t="array" ref="K35">MAX(IF($N$3:$EH$3=$J$3,N35:EH35))</f>
        <v>0</v>
      </c>
      <c r="L35" s="9"/>
      <c r="O35" s="10"/>
      <c r="P35" s="10"/>
      <c r="Q35" s="10"/>
      <c r="R35" s="10"/>
      <c r="V35" s="10"/>
      <c r="W35" s="10">
        <v>0.5</v>
      </c>
      <c r="X35" s="10"/>
      <c r="Y35" s="10">
        <v>0.5</v>
      </c>
      <c r="AC35" s="10"/>
      <c r="AD35" s="10">
        <v>0.5</v>
      </c>
      <c r="AE35" s="10"/>
      <c r="AF35" s="10">
        <v>0.5</v>
      </c>
      <c r="AJ35" s="10"/>
      <c r="AK35" s="10">
        <v>0.5</v>
      </c>
      <c r="AL35" s="10"/>
      <c r="AM35" s="10">
        <v>0.5</v>
      </c>
      <c r="AQ35" s="10"/>
      <c r="AR35" s="10">
        <v>0.8</v>
      </c>
      <c r="AS35" s="10"/>
      <c r="AT35" s="10">
        <v>0.8</v>
      </c>
      <c r="AX35" s="10"/>
      <c r="AY35" s="10">
        <v>0.8</v>
      </c>
      <c r="AZ35" s="10"/>
      <c r="BA35" s="10">
        <v>0.8</v>
      </c>
      <c r="BE35" s="10"/>
      <c r="BF35" s="10">
        <v>0.8</v>
      </c>
      <c r="BG35" s="10"/>
      <c r="BH35" s="10">
        <v>0.8</v>
      </c>
      <c r="BL35" s="10"/>
      <c r="BM35" s="10">
        <v>0.8</v>
      </c>
      <c r="BN35" s="10"/>
      <c r="BO35" s="10">
        <v>0.8</v>
      </c>
      <c r="BS35" s="10"/>
      <c r="BT35" s="10">
        <v>0.8</v>
      </c>
      <c r="BU35" s="10"/>
      <c r="BV35" s="10">
        <v>0.8</v>
      </c>
      <c r="BZ35" s="10"/>
      <c r="CA35" s="10">
        <v>0.8</v>
      </c>
      <c r="CB35" s="10"/>
      <c r="CC35" s="10">
        <v>0.8</v>
      </c>
      <c r="CG35" s="10"/>
      <c r="CH35" s="10">
        <v>0.8</v>
      </c>
      <c r="CI35" s="10"/>
      <c r="CJ35" s="10">
        <v>0.8</v>
      </c>
      <c r="CN35" s="10"/>
      <c r="CO35" s="10">
        <v>1</v>
      </c>
      <c r="CP35" s="10"/>
      <c r="CQ35" s="10">
        <v>1</v>
      </c>
      <c r="CU35" s="10"/>
      <c r="CV35" s="10">
        <v>1</v>
      </c>
      <c r="CW35" s="10"/>
      <c r="CX35" s="10">
        <v>1</v>
      </c>
      <c r="DB35" s="10"/>
      <c r="DC35" s="10">
        <v>1</v>
      </c>
      <c r="DD35" s="10"/>
      <c r="DE35" s="10">
        <v>1</v>
      </c>
      <c r="DJ35" s="10"/>
      <c r="DK35" s="10">
        <v>1</v>
      </c>
      <c r="DL35" s="10"/>
      <c r="DM35" s="10">
        <v>1</v>
      </c>
      <c r="DQ35" s="10"/>
      <c r="DR35" s="10">
        <v>1</v>
      </c>
      <c r="DS35" s="10"/>
      <c r="DT35" s="10">
        <v>1</v>
      </c>
      <c r="DX35" s="10"/>
      <c r="DY35" s="10"/>
      <c r="DZ35" s="10"/>
      <c r="EA35" s="10"/>
      <c r="EE35" s="10"/>
      <c r="EF35" s="10"/>
      <c r="EG35" s="10"/>
      <c r="EH35" s="10"/>
      <c r="EL35" s="10"/>
      <c r="EM35" s="10"/>
      <c r="EN35" s="10"/>
      <c r="EO35" s="10"/>
      <c r="ES35" s="10"/>
      <c r="ET35" s="10"/>
      <c r="EU35" s="10"/>
      <c r="EV35" s="10"/>
      <c r="EZ35" s="10"/>
      <c r="FA35" s="10"/>
      <c r="FB35" s="10"/>
      <c r="FC35" s="10"/>
      <c r="FG35" s="10"/>
      <c r="FH35" s="10"/>
      <c r="FI35" s="10"/>
      <c r="FJ35" s="10"/>
      <c r="FN35" s="10"/>
      <c r="FO35" s="10"/>
      <c r="FP35" s="10"/>
      <c r="FQ35" s="10"/>
      <c r="FU35" s="10"/>
      <c r="FV35" s="10"/>
      <c r="FW35" s="10"/>
      <c r="FX35" s="10"/>
      <c r="GA35" s="10"/>
      <c r="GB35" s="10"/>
      <c r="GC35" s="10"/>
      <c r="GD35" s="10"/>
      <c r="GG35" s="10"/>
      <c r="GH35" s="10"/>
      <c r="GI35" s="10"/>
      <c r="GJ35" s="10"/>
      <c r="GM35" s="10"/>
      <c r="GN35" s="10"/>
      <c r="GO35" s="10"/>
      <c r="GP35" s="10"/>
    </row>
    <row r="36" spans="2:198" outlineLevel="1">
      <c r="B36" t="s">
        <v>28</v>
      </c>
      <c r="C36" t="s">
        <v>88</v>
      </c>
      <c r="E36" s="9"/>
      <c r="F36" t="s">
        <v>180</v>
      </c>
      <c r="G36" s="23">
        <v>8.0644999999999994E-2</v>
      </c>
      <c r="I36" s="9">
        <f t="shared" si="1"/>
        <v>0</v>
      </c>
      <c r="J36" s="11" cm="1">
        <f t="array" ref="J36">MAX(IF($N$3:$EH$3=$J$3,N36:EH36))</f>
        <v>0</v>
      </c>
      <c r="K36" s="11" cm="1">
        <f t="array" ref="K36">MAX(IF($N$3:$EH$3=$J$3,N36:EH36))</f>
        <v>0</v>
      </c>
      <c r="L36" s="9"/>
      <c r="O36" s="10"/>
      <c r="P36" s="10"/>
      <c r="Q36" s="10"/>
      <c r="R36" s="10"/>
      <c r="V36" s="10"/>
      <c r="W36" s="10">
        <v>0.5</v>
      </c>
      <c r="X36" s="10"/>
      <c r="Y36" s="10">
        <v>0.5</v>
      </c>
      <c r="AC36" s="10"/>
      <c r="AD36" s="10">
        <v>0.5</v>
      </c>
      <c r="AE36" s="10"/>
      <c r="AF36" s="10">
        <v>0.5</v>
      </c>
      <c r="AJ36" s="10"/>
      <c r="AK36" s="10">
        <v>0.5</v>
      </c>
      <c r="AL36" s="10"/>
      <c r="AM36" s="10">
        <v>0.5</v>
      </c>
      <c r="AQ36" s="10"/>
      <c r="AR36" s="10">
        <v>0.5</v>
      </c>
      <c r="AS36" s="10"/>
      <c r="AT36" s="10">
        <v>0.5</v>
      </c>
      <c r="AX36" s="10"/>
      <c r="AY36" s="10">
        <v>0.8</v>
      </c>
      <c r="AZ36" s="10"/>
      <c r="BA36" s="10">
        <v>0.8</v>
      </c>
      <c r="BE36" s="10"/>
      <c r="BF36" s="10">
        <v>0.8</v>
      </c>
      <c r="BG36" s="10"/>
      <c r="BH36" s="10">
        <v>0.8</v>
      </c>
      <c r="BL36" s="10"/>
      <c r="BM36" s="10">
        <v>0.8</v>
      </c>
      <c r="BN36" s="10"/>
      <c r="BO36" s="10">
        <v>0.8</v>
      </c>
      <c r="BS36" s="10"/>
      <c r="BT36" s="10">
        <v>0.8</v>
      </c>
      <c r="BU36" s="10"/>
      <c r="BV36" s="10">
        <v>0.8</v>
      </c>
      <c r="BZ36" s="10"/>
      <c r="CA36" s="10">
        <v>0.8</v>
      </c>
      <c r="CB36" s="10"/>
      <c r="CC36" s="10">
        <v>0.8</v>
      </c>
      <c r="CG36" s="10"/>
      <c r="CH36" s="10">
        <v>0.8</v>
      </c>
      <c r="CI36" s="10"/>
      <c r="CJ36" s="10">
        <v>0.8</v>
      </c>
      <c r="CN36" s="10"/>
      <c r="CO36" s="10">
        <v>1</v>
      </c>
      <c r="CP36" s="10"/>
      <c r="CQ36" s="10">
        <v>1</v>
      </c>
      <c r="CU36" s="10"/>
      <c r="CV36" s="10">
        <v>1</v>
      </c>
      <c r="CW36" s="10"/>
      <c r="CX36" s="10">
        <v>1</v>
      </c>
      <c r="DB36" s="10"/>
      <c r="DC36" s="10">
        <v>1</v>
      </c>
      <c r="DD36" s="10"/>
      <c r="DE36" s="10">
        <v>1</v>
      </c>
      <c r="DJ36" s="10"/>
      <c r="DK36" s="10">
        <v>1</v>
      </c>
      <c r="DL36" s="10"/>
      <c r="DM36" s="10">
        <v>1</v>
      </c>
      <c r="DQ36" s="10"/>
      <c r="DR36" s="10">
        <v>1</v>
      </c>
      <c r="DS36" s="10"/>
      <c r="DT36" s="10">
        <v>1</v>
      </c>
      <c r="DX36" s="10"/>
      <c r="DY36" s="10"/>
      <c r="DZ36" s="10"/>
      <c r="EA36" s="10"/>
      <c r="EE36" s="10"/>
      <c r="EF36" s="10"/>
      <c r="EG36" s="10"/>
      <c r="EH36" s="10"/>
      <c r="EL36" s="10"/>
      <c r="EM36" s="10"/>
      <c r="EN36" s="10"/>
      <c r="EO36" s="10"/>
      <c r="ES36" s="10"/>
      <c r="ET36" s="10"/>
      <c r="EU36" s="10"/>
      <c r="EV36" s="10"/>
      <c r="EZ36" s="10"/>
      <c r="FA36" s="10"/>
      <c r="FB36" s="10"/>
      <c r="FC36" s="10"/>
      <c r="FG36" s="10"/>
      <c r="FH36" s="10"/>
      <c r="FI36" s="10"/>
      <c r="FJ36" s="10"/>
      <c r="FN36" s="10"/>
      <c r="FO36" s="10"/>
      <c r="FP36" s="10"/>
      <c r="FQ36" s="10"/>
      <c r="FU36" s="10"/>
      <c r="FV36" s="10"/>
      <c r="FW36" s="10"/>
      <c r="FX36" s="10"/>
      <c r="GA36" s="10"/>
      <c r="GB36" s="10"/>
      <c r="GC36" s="10"/>
      <c r="GD36" s="10"/>
      <c r="GG36" s="10"/>
      <c r="GH36" s="10"/>
      <c r="GI36" s="10"/>
      <c r="GJ36" s="10"/>
      <c r="GM36" s="10"/>
      <c r="GN36" s="10"/>
      <c r="GO36" s="10"/>
      <c r="GP36" s="10"/>
    </row>
    <row r="37" spans="2:198" outlineLevel="1">
      <c r="B37" t="s">
        <v>28</v>
      </c>
      <c r="C37" t="s">
        <v>88</v>
      </c>
      <c r="E37" s="9"/>
      <c r="F37" t="s">
        <v>181</v>
      </c>
      <c r="G37" s="23">
        <v>8.2436999999999996E-2</v>
      </c>
      <c r="I37" s="9">
        <f t="shared" si="1"/>
        <v>0</v>
      </c>
      <c r="J37" s="11" cm="1">
        <f t="array" ref="J37">MAX(IF($N$3:$EH$3=$J$3,N37:EH37))</f>
        <v>0</v>
      </c>
      <c r="K37" s="11" cm="1">
        <f t="array" ref="K37">MAX(IF($N$3:$EH$3=$J$3,N37:EH37))</f>
        <v>0</v>
      </c>
      <c r="L37" s="9"/>
      <c r="O37" s="10"/>
      <c r="P37" s="10"/>
      <c r="Q37" s="10"/>
      <c r="R37" s="10"/>
      <c r="V37" s="10"/>
      <c r="W37" s="10"/>
      <c r="X37" s="10"/>
      <c r="Y37" s="10"/>
      <c r="AC37" s="10"/>
      <c r="AD37" s="10">
        <v>0.5</v>
      </c>
      <c r="AE37" s="10"/>
      <c r="AF37" s="10">
        <v>0.5</v>
      </c>
      <c r="AJ37" s="10"/>
      <c r="AK37" s="10">
        <v>0.5</v>
      </c>
      <c r="AL37" s="10"/>
      <c r="AM37" s="10">
        <v>0.5</v>
      </c>
      <c r="AQ37" s="10"/>
      <c r="AR37" s="10">
        <v>0.5</v>
      </c>
      <c r="AS37" s="10"/>
      <c r="AT37" s="10">
        <v>0.5</v>
      </c>
      <c r="AX37" s="10"/>
      <c r="AY37" s="10">
        <v>0.5</v>
      </c>
      <c r="AZ37" s="10"/>
      <c r="BA37" s="10">
        <v>0.5</v>
      </c>
      <c r="BE37" s="10"/>
      <c r="BF37" s="10">
        <v>0.8</v>
      </c>
      <c r="BG37" s="10"/>
      <c r="BH37" s="10">
        <v>0.8</v>
      </c>
      <c r="BL37" s="10"/>
      <c r="BM37" s="10">
        <v>0.8</v>
      </c>
      <c r="BN37" s="10"/>
      <c r="BO37" s="10">
        <v>0.8</v>
      </c>
      <c r="BS37" s="10"/>
      <c r="BT37" s="10">
        <v>0.8</v>
      </c>
      <c r="BU37" s="10"/>
      <c r="BV37" s="10">
        <v>0.8</v>
      </c>
      <c r="BZ37" s="10"/>
      <c r="CA37" s="10">
        <v>0.8</v>
      </c>
      <c r="CB37" s="10"/>
      <c r="CC37" s="10">
        <v>0.8</v>
      </c>
      <c r="CG37" s="10"/>
      <c r="CH37" s="10">
        <v>0.8</v>
      </c>
      <c r="CI37" s="10"/>
      <c r="CJ37" s="10">
        <v>0.8</v>
      </c>
      <c r="CN37" s="10"/>
      <c r="CO37" s="10">
        <v>0.8</v>
      </c>
      <c r="CP37" s="10"/>
      <c r="CQ37" s="10">
        <v>0.8</v>
      </c>
      <c r="CU37" s="10"/>
      <c r="CV37" s="10">
        <v>1</v>
      </c>
      <c r="CW37" s="10"/>
      <c r="CX37" s="10">
        <v>1</v>
      </c>
      <c r="DB37" s="10"/>
      <c r="DC37" s="10">
        <v>1</v>
      </c>
      <c r="DD37" s="10"/>
      <c r="DE37" s="10">
        <v>1</v>
      </c>
      <c r="DJ37" s="10"/>
      <c r="DK37" s="10">
        <v>1</v>
      </c>
      <c r="DL37" s="10"/>
      <c r="DM37" s="10">
        <v>1</v>
      </c>
      <c r="DQ37" s="10"/>
      <c r="DR37" s="10">
        <v>1</v>
      </c>
      <c r="DS37" s="10"/>
      <c r="DT37" s="10">
        <v>1</v>
      </c>
      <c r="DX37" s="10"/>
      <c r="DY37" s="10"/>
      <c r="DZ37" s="10"/>
      <c r="EA37" s="10"/>
      <c r="EE37" s="10"/>
      <c r="EF37" s="10"/>
      <c r="EG37" s="10"/>
      <c r="EH37" s="10"/>
      <c r="EL37" s="10"/>
      <c r="EM37" s="10"/>
      <c r="EN37" s="10"/>
      <c r="EO37" s="10"/>
      <c r="ES37" s="10"/>
      <c r="ET37" s="10"/>
      <c r="EU37" s="10"/>
      <c r="EV37" s="10"/>
      <c r="EZ37" s="10"/>
      <c r="FA37" s="10"/>
      <c r="FB37" s="10"/>
      <c r="FC37" s="10"/>
      <c r="FG37" s="10"/>
      <c r="FH37" s="10"/>
      <c r="FI37" s="10"/>
      <c r="FJ37" s="10"/>
      <c r="FN37" s="10"/>
      <c r="FO37" s="10"/>
      <c r="FP37" s="10"/>
      <c r="FQ37" s="10"/>
      <c r="FU37" s="10"/>
      <c r="FV37" s="10"/>
      <c r="FW37" s="10"/>
      <c r="FX37" s="10"/>
      <c r="GA37" s="10"/>
      <c r="GB37" s="10"/>
      <c r="GC37" s="10"/>
      <c r="GD37" s="10"/>
      <c r="GG37" s="10"/>
      <c r="GH37" s="10"/>
      <c r="GI37" s="10"/>
      <c r="GJ37" s="10"/>
      <c r="GM37" s="10"/>
      <c r="GN37" s="10"/>
      <c r="GO37" s="10"/>
      <c r="GP37" s="10"/>
    </row>
    <row r="38" spans="2:198" outlineLevel="1">
      <c r="B38" t="s">
        <v>28</v>
      </c>
      <c r="C38" t="s">
        <v>88</v>
      </c>
      <c r="E38" s="9"/>
      <c r="F38" t="s">
        <v>182</v>
      </c>
      <c r="G38" s="23">
        <v>0.143369</v>
      </c>
      <c r="I38" s="9">
        <f t="shared" si="1"/>
        <v>0</v>
      </c>
      <c r="J38" s="11" cm="1">
        <f t="array" ref="J38">MAX(IF($N$3:$EH$3=$J$3,N38:EH38))</f>
        <v>0</v>
      </c>
      <c r="K38" s="11" cm="1">
        <f t="array" ref="K38">MAX(IF($N$3:$EH$3=$J$3,N38:EH38))</f>
        <v>0</v>
      </c>
      <c r="L38" s="9"/>
      <c r="O38" s="10"/>
      <c r="P38" s="10"/>
      <c r="Q38" s="10"/>
      <c r="R38" s="10"/>
      <c r="V38" s="10"/>
      <c r="W38" s="10"/>
      <c r="X38" s="10"/>
      <c r="Y38" s="10"/>
      <c r="AC38" s="10"/>
      <c r="AD38" s="10">
        <v>0.5</v>
      </c>
      <c r="AE38" s="10"/>
      <c r="AF38" s="10">
        <v>0.5</v>
      </c>
      <c r="AJ38" s="10"/>
      <c r="AK38" s="10">
        <v>0.5</v>
      </c>
      <c r="AL38" s="10"/>
      <c r="AM38" s="10">
        <v>0.5</v>
      </c>
      <c r="AQ38" s="10"/>
      <c r="AR38" s="10">
        <v>0.5</v>
      </c>
      <c r="AS38" s="10"/>
      <c r="AT38" s="10">
        <v>0.5</v>
      </c>
      <c r="AX38" s="10"/>
      <c r="AY38" s="10">
        <v>0.5</v>
      </c>
      <c r="AZ38" s="10"/>
      <c r="BA38" s="10">
        <v>0.5</v>
      </c>
      <c r="BE38" s="10"/>
      <c r="BF38" s="10">
        <v>0.5</v>
      </c>
      <c r="BG38" s="10"/>
      <c r="BH38" s="10">
        <v>0.5</v>
      </c>
      <c r="BL38" s="10"/>
      <c r="BM38" s="10">
        <v>0.8</v>
      </c>
      <c r="BN38" s="10"/>
      <c r="BO38" s="10">
        <v>0.8</v>
      </c>
      <c r="BS38" s="10"/>
      <c r="BT38" s="10">
        <v>0.8</v>
      </c>
      <c r="BU38" s="10"/>
      <c r="BV38" s="10">
        <v>0.8</v>
      </c>
      <c r="BZ38" s="10"/>
      <c r="CA38" s="10">
        <v>0.8</v>
      </c>
      <c r="CB38" s="10"/>
      <c r="CC38" s="10">
        <v>0.8</v>
      </c>
      <c r="CG38" s="10"/>
      <c r="CH38" s="10">
        <v>0.8</v>
      </c>
      <c r="CI38" s="10"/>
      <c r="CJ38" s="10">
        <v>0.8</v>
      </c>
      <c r="CN38" s="10"/>
      <c r="CO38" s="10">
        <v>0.8</v>
      </c>
      <c r="CP38" s="10"/>
      <c r="CQ38" s="10">
        <v>0.8</v>
      </c>
      <c r="CU38" s="10"/>
      <c r="CV38" s="10">
        <v>0.9</v>
      </c>
      <c r="CW38" s="10"/>
      <c r="CX38" s="10">
        <v>0.9</v>
      </c>
      <c r="DB38" s="10"/>
      <c r="DC38" s="10">
        <v>1</v>
      </c>
      <c r="DD38" s="10"/>
      <c r="DE38" s="10">
        <v>1</v>
      </c>
      <c r="DJ38" s="10"/>
      <c r="DK38" s="10">
        <v>1</v>
      </c>
      <c r="DL38" s="10"/>
      <c r="DM38" s="10">
        <v>1</v>
      </c>
      <c r="DQ38" s="10"/>
      <c r="DR38" s="10">
        <v>1</v>
      </c>
      <c r="DS38" s="10"/>
      <c r="DT38" s="10">
        <v>1</v>
      </c>
      <c r="DX38" s="10"/>
      <c r="DY38" s="10"/>
      <c r="DZ38" s="10"/>
      <c r="EA38" s="10"/>
      <c r="EE38" s="10"/>
      <c r="EF38" s="10"/>
      <c r="EG38" s="10"/>
      <c r="EH38" s="10"/>
      <c r="EL38" s="10"/>
      <c r="EM38" s="10"/>
      <c r="EN38" s="10"/>
      <c r="EO38" s="10"/>
      <c r="ES38" s="10"/>
      <c r="ET38" s="10"/>
      <c r="EU38" s="10"/>
      <c r="EV38" s="10"/>
      <c r="EZ38" s="10"/>
      <c r="FA38" s="10"/>
      <c r="FB38" s="10"/>
      <c r="FC38" s="10"/>
      <c r="FG38" s="10"/>
      <c r="FH38" s="10"/>
      <c r="FI38" s="10"/>
      <c r="FJ38" s="10"/>
      <c r="FN38" s="10"/>
      <c r="FO38" s="10"/>
      <c r="FP38" s="10"/>
      <c r="FQ38" s="10"/>
      <c r="FU38" s="10"/>
      <c r="FV38" s="10"/>
      <c r="FW38" s="10"/>
      <c r="FX38" s="10"/>
      <c r="GA38" s="10"/>
      <c r="GB38" s="10"/>
      <c r="GC38" s="10"/>
      <c r="GD38" s="10"/>
      <c r="GG38" s="10"/>
      <c r="GH38" s="10"/>
      <c r="GI38" s="10"/>
      <c r="GJ38" s="10"/>
      <c r="GM38" s="10"/>
      <c r="GN38" s="10"/>
      <c r="GO38" s="10"/>
      <c r="GP38" s="10"/>
    </row>
    <row r="39" spans="2:198" outlineLevel="1">
      <c r="B39" t="s">
        <v>28</v>
      </c>
      <c r="C39" t="s">
        <v>88</v>
      </c>
      <c r="E39" s="9"/>
      <c r="F39" t="s">
        <v>187</v>
      </c>
      <c r="G39" s="23">
        <v>8.9599999999999992E-3</v>
      </c>
      <c r="I39" s="9">
        <f t="shared" si="1"/>
        <v>0</v>
      </c>
      <c r="J39" s="11" cm="1">
        <f t="array" ref="J39">MAX(IF($N$3:$EH$3=$J$3,N39:EH39))</f>
        <v>0</v>
      </c>
      <c r="K39" s="11" cm="1">
        <f t="array" ref="K39">MAX(IF($N$3:$EH$3=$J$3,N39:EH39))</f>
        <v>0</v>
      </c>
      <c r="L39" s="9"/>
      <c r="O39" s="10"/>
      <c r="P39" s="10"/>
      <c r="Q39" s="10"/>
      <c r="R39" s="10"/>
      <c r="V39" s="10"/>
      <c r="W39" s="10"/>
      <c r="X39" s="10"/>
      <c r="Y39" s="10"/>
      <c r="AC39" s="10"/>
      <c r="AD39" s="10"/>
      <c r="AE39" s="10"/>
      <c r="AF39" s="10"/>
      <c r="AJ39" s="10"/>
      <c r="AK39" s="10">
        <v>0.5</v>
      </c>
      <c r="AL39" s="10"/>
      <c r="AM39" s="10">
        <v>0.5</v>
      </c>
      <c r="AQ39" s="10"/>
      <c r="AR39" s="10">
        <v>0.5</v>
      </c>
      <c r="AS39" s="10"/>
      <c r="AT39" s="10">
        <v>0.5</v>
      </c>
      <c r="AX39" s="10"/>
      <c r="AY39" s="10">
        <v>0.5</v>
      </c>
      <c r="AZ39" s="10"/>
      <c r="BA39" s="10">
        <v>0.5</v>
      </c>
      <c r="BE39" s="10"/>
      <c r="BF39" s="10">
        <v>0.5</v>
      </c>
      <c r="BG39" s="10"/>
      <c r="BH39" s="10">
        <v>0.5</v>
      </c>
      <c r="BL39" s="10"/>
      <c r="BM39" s="10">
        <v>0.5</v>
      </c>
      <c r="BN39" s="10"/>
      <c r="BO39" s="10">
        <v>0.5</v>
      </c>
      <c r="BS39" s="10"/>
      <c r="BT39" s="10">
        <v>0.8</v>
      </c>
      <c r="BU39" s="10"/>
      <c r="BV39" s="10">
        <v>0.8</v>
      </c>
      <c r="BZ39" s="10"/>
      <c r="CA39" s="10">
        <v>0.8</v>
      </c>
      <c r="CB39" s="10"/>
      <c r="CC39" s="10">
        <v>0.8</v>
      </c>
      <c r="CG39" s="10"/>
      <c r="CH39" s="10">
        <v>0.8</v>
      </c>
      <c r="CI39" s="10"/>
      <c r="CJ39" s="10">
        <v>0.8</v>
      </c>
      <c r="CN39" s="10"/>
      <c r="CO39" s="10">
        <v>0.8</v>
      </c>
      <c r="CP39" s="10"/>
      <c r="CQ39" s="10">
        <v>0.8</v>
      </c>
      <c r="CU39" s="10"/>
      <c r="CV39" s="10">
        <v>0.8</v>
      </c>
      <c r="CW39" s="10"/>
      <c r="CX39" s="10">
        <v>0.8</v>
      </c>
      <c r="DB39" s="10"/>
      <c r="DC39" s="10">
        <v>1</v>
      </c>
      <c r="DD39" s="10"/>
      <c r="DE39" s="10">
        <v>1</v>
      </c>
      <c r="DJ39" s="10"/>
      <c r="DK39" s="10">
        <v>1</v>
      </c>
      <c r="DL39" s="10"/>
      <c r="DM39" s="10">
        <v>1</v>
      </c>
      <c r="DQ39" s="10"/>
      <c r="DR39" s="10">
        <v>1</v>
      </c>
      <c r="DS39" s="10"/>
      <c r="DT39" s="10">
        <v>1</v>
      </c>
      <c r="DX39" s="10"/>
      <c r="DY39" s="10"/>
      <c r="DZ39" s="10"/>
      <c r="EA39" s="10"/>
      <c r="EE39" s="10"/>
      <c r="EF39" s="10"/>
      <c r="EG39" s="10"/>
      <c r="EH39" s="10"/>
      <c r="EL39" s="10"/>
      <c r="EM39" s="10"/>
      <c r="EN39" s="10"/>
      <c r="EO39" s="10"/>
      <c r="ES39" s="10"/>
      <c r="ET39" s="10"/>
      <c r="EU39" s="10"/>
      <c r="EV39" s="10"/>
      <c r="EZ39" s="10"/>
      <c r="FA39" s="10"/>
      <c r="FB39" s="10"/>
      <c r="FC39" s="10"/>
      <c r="FG39" s="10"/>
      <c r="FH39" s="10"/>
      <c r="FI39" s="10"/>
      <c r="FJ39" s="10"/>
      <c r="FN39" s="10"/>
      <c r="FO39" s="10"/>
      <c r="FP39" s="10"/>
      <c r="FQ39" s="10"/>
      <c r="FU39" s="10"/>
      <c r="FV39" s="10"/>
      <c r="FW39" s="10"/>
      <c r="FX39" s="10"/>
      <c r="GA39" s="10"/>
      <c r="GB39" s="10"/>
      <c r="GC39" s="10"/>
      <c r="GD39" s="10"/>
      <c r="GG39" s="10"/>
      <c r="GH39" s="10"/>
      <c r="GI39" s="10"/>
      <c r="GJ39" s="10"/>
      <c r="GM39" s="10"/>
      <c r="GN39" s="10"/>
      <c r="GO39" s="10"/>
      <c r="GP39" s="10"/>
    </row>
    <row r="40" spans="2:198" outlineLevel="1">
      <c r="B40" t="s">
        <v>28</v>
      </c>
      <c r="C40" t="s">
        <v>88</v>
      </c>
      <c r="E40" s="9"/>
      <c r="F40" t="s">
        <v>183</v>
      </c>
      <c r="G40" s="10">
        <v>4.48E-2</v>
      </c>
      <c r="I40" s="9">
        <f t="shared" si="1"/>
        <v>0</v>
      </c>
      <c r="J40" s="11" cm="1">
        <f t="array" ref="J40">MAX(IF($N$3:$EH$3=$J$3,N40:EH40))</f>
        <v>0</v>
      </c>
      <c r="K40" s="11" cm="1">
        <f t="array" ref="K40">MAX(IF($N$3:$EH$3=$J$3,N40:EH40))</f>
        <v>0</v>
      </c>
      <c r="L40" s="9"/>
      <c r="O40" s="10"/>
      <c r="P40" s="10"/>
      <c r="Q40" s="10"/>
      <c r="R40" s="10"/>
      <c r="V40" s="10"/>
      <c r="W40" s="10"/>
      <c r="X40" s="10"/>
      <c r="Y40" s="10"/>
      <c r="AC40" s="10"/>
      <c r="AD40" s="10"/>
      <c r="AE40" s="10"/>
      <c r="AF40" s="10"/>
      <c r="AJ40" s="10"/>
      <c r="AK40" s="10">
        <v>0.5</v>
      </c>
      <c r="AL40" s="10"/>
      <c r="AM40" s="10">
        <v>0.5</v>
      </c>
      <c r="AQ40" s="10"/>
      <c r="AR40" s="10">
        <v>0.5</v>
      </c>
      <c r="AS40" s="10"/>
      <c r="AT40" s="10">
        <v>0.5</v>
      </c>
      <c r="AX40" s="10"/>
      <c r="AY40" s="10">
        <v>0.5</v>
      </c>
      <c r="AZ40" s="10"/>
      <c r="BA40" s="10">
        <v>0.5</v>
      </c>
      <c r="BE40" s="10"/>
      <c r="BF40" s="10">
        <v>0.5</v>
      </c>
      <c r="BG40" s="10"/>
      <c r="BH40" s="10">
        <v>0.5</v>
      </c>
      <c r="BL40" s="10"/>
      <c r="BM40" s="10">
        <v>0.5</v>
      </c>
      <c r="BN40" s="10"/>
      <c r="BO40" s="10">
        <v>0.5</v>
      </c>
      <c r="BS40" s="10"/>
      <c r="BT40" s="10">
        <v>0.5</v>
      </c>
      <c r="BU40" s="10"/>
      <c r="BV40" s="10">
        <v>0.5</v>
      </c>
      <c r="BZ40" s="10"/>
      <c r="CA40" s="10">
        <v>0.8</v>
      </c>
      <c r="CB40" s="10"/>
      <c r="CC40" s="10">
        <v>0.8</v>
      </c>
      <c r="CG40" s="10"/>
      <c r="CH40" s="10">
        <v>0.8</v>
      </c>
      <c r="CI40" s="10"/>
      <c r="CJ40" s="10">
        <v>0.8</v>
      </c>
      <c r="CN40" s="10"/>
      <c r="CO40" s="10">
        <v>0.8</v>
      </c>
      <c r="CP40" s="10"/>
      <c r="CQ40" s="10">
        <v>0.8</v>
      </c>
      <c r="CU40" s="10"/>
      <c r="CV40" s="10">
        <v>0.8</v>
      </c>
      <c r="CW40" s="10"/>
      <c r="CX40" s="10">
        <v>0.8</v>
      </c>
      <c r="DB40" s="10"/>
      <c r="DC40" s="10">
        <v>0.9</v>
      </c>
      <c r="DD40" s="10"/>
      <c r="DE40" s="10">
        <v>0.9</v>
      </c>
      <c r="DJ40" s="10"/>
      <c r="DK40" s="10">
        <v>1</v>
      </c>
      <c r="DL40" s="10"/>
      <c r="DM40" s="10">
        <v>1</v>
      </c>
      <c r="DQ40" s="10"/>
      <c r="DR40" s="10">
        <v>1</v>
      </c>
      <c r="DS40" s="10"/>
      <c r="DT40" s="10">
        <v>1</v>
      </c>
      <c r="DX40" s="10"/>
      <c r="DY40" s="10"/>
      <c r="DZ40" s="10"/>
      <c r="EA40" s="10"/>
      <c r="EE40" s="10"/>
      <c r="EF40" s="10"/>
      <c r="EG40" s="10"/>
      <c r="EH40" s="10"/>
      <c r="EL40" s="10"/>
      <c r="EM40" s="10"/>
      <c r="EN40" s="10"/>
      <c r="EO40" s="10"/>
      <c r="ES40" s="10"/>
      <c r="ET40" s="10"/>
      <c r="EU40" s="10"/>
      <c r="EV40" s="10"/>
      <c r="EZ40" s="10"/>
      <c r="FA40" s="10"/>
      <c r="FB40" s="10"/>
      <c r="FC40" s="10"/>
      <c r="FG40" s="10"/>
      <c r="FH40" s="10"/>
      <c r="FI40" s="10"/>
      <c r="FJ40" s="10"/>
      <c r="FN40" s="10"/>
      <c r="FO40" s="10"/>
      <c r="FP40" s="10"/>
      <c r="FQ40" s="10"/>
      <c r="FU40" s="10"/>
      <c r="FV40" s="10"/>
      <c r="FW40" s="10"/>
      <c r="FX40" s="10"/>
      <c r="GA40" s="10"/>
      <c r="GB40" s="10"/>
      <c r="GC40" s="10"/>
      <c r="GD40" s="10"/>
      <c r="GG40" s="10"/>
      <c r="GH40" s="10"/>
      <c r="GI40" s="10"/>
      <c r="GJ40" s="10"/>
      <c r="GM40" s="10"/>
      <c r="GN40" s="10"/>
      <c r="GO40" s="10"/>
      <c r="GP40" s="10"/>
    </row>
    <row r="41" spans="2:198" outlineLevel="1">
      <c r="B41" t="s">
        <v>28</v>
      </c>
      <c r="C41" t="s">
        <v>88</v>
      </c>
      <c r="E41" s="9"/>
      <c r="F41" t="s">
        <v>184</v>
      </c>
      <c r="G41" s="10">
        <v>0.04</v>
      </c>
      <c r="I41" s="9">
        <f t="shared" si="1"/>
        <v>0</v>
      </c>
      <c r="J41" s="11" cm="1">
        <f t="array" ref="J41">MAX(IF($N$3:$EH$3=$J$3,N41:EH41))</f>
        <v>0</v>
      </c>
      <c r="K41" s="11" cm="1">
        <f t="array" ref="K41">MAX(IF($N$3:$EH$3=$J$3,N41:EH41))</f>
        <v>0</v>
      </c>
      <c r="L41" s="9"/>
      <c r="O41" s="10"/>
      <c r="P41" s="10"/>
      <c r="Q41" s="10"/>
      <c r="R41" s="10"/>
      <c r="V41" s="10"/>
      <c r="W41" s="10"/>
      <c r="X41" s="10"/>
      <c r="Y41" s="10"/>
      <c r="AC41" s="10"/>
      <c r="AD41" s="10"/>
      <c r="AE41" s="10"/>
      <c r="AF41" s="10"/>
      <c r="AJ41" s="10"/>
      <c r="AK41" s="10">
        <v>0.5</v>
      </c>
      <c r="AL41" s="10"/>
      <c r="AM41" s="10">
        <v>0.4</v>
      </c>
      <c r="AQ41" s="10"/>
      <c r="AR41" s="10">
        <v>0.5</v>
      </c>
      <c r="AS41" s="10"/>
      <c r="AT41" s="10">
        <v>0.5</v>
      </c>
      <c r="AX41" s="10"/>
      <c r="AY41" s="10">
        <v>0.5</v>
      </c>
      <c r="AZ41" s="10"/>
      <c r="BA41" s="10">
        <v>0.5</v>
      </c>
      <c r="BE41" s="10"/>
      <c r="BF41" s="10">
        <v>0.5</v>
      </c>
      <c r="BG41" s="10"/>
      <c r="BH41" s="10">
        <v>0.5</v>
      </c>
      <c r="BL41" s="10"/>
      <c r="BM41" s="10">
        <v>0.5</v>
      </c>
      <c r="BN41" s="10"/>
      <c r="BO41" s="10">
        <v>0.5</v>
      </c>
      <c r="BS41" s="10"/>
      <c r="BT41" s="10">
        <v>0.5</v>
      </c>
      <c r="BU41" s="10"/>
      <c r="BV41" s="10">
        <v>0.5</v>
      </c>
      <c r="BZ41" s="10"/>
      <c r="CA41" s="10">
        <v>0.5</v>
      </c>
      <c r="CB41" s="10"/>
      <c r="CC41" s="10">
        <v>0.5</v>
      </c>
      <c r="CG41" s="10"/>
      <c r="CH41" s="10">
        <v>0.8</v>
      </c>
      <c r="CI41" s="10"/>
      <c r="CJ41" s="10">
        <v>0.8</v>
      </c>
      <c r="CN41" s="10"/>
      <c r="CO41" s="10">
        <v>0.8</v>
      </c>
      <c r="CP41" s="10"/>
      <c r="CQ41" s="10">
        <v>0.8</v>
      </c>
      <c r="CU41" s="10"/>
      <c r="CV41" s="10">
        <v>0.8</v>
      </c>
      <c r="CW41" s="10"/>
      <c r="CX41" s="10">
        <v>0.8</v>
      </c>
      <c r="DB41" s="10"/>
      <c r="DC41" s="10">
        <v>0.8</v>
      </c>
      <c r="DD41" s="10"/>
      <c r="DE41" s="10">
        <v>0.8</v>
      </c>
      <c r="DJ41" s="10"/>
      <c r="DK41" s="10">
        <v>1</v>
      </c>
      <c r="DL41" s="10"/>
      <c r="DM41" s="10">
        <v>1</v>
      </c>
      <c r="DQ41" s="10"/>
      <c r="DR41" s="10">
        <v>1</v>
      </c>
      <c r="DS41" s="10"/>
      <c r="DT41" s="10">
        <v>1</v>
      </c>
      <c r="DX41" s="10"/>
      <c r="DY41" s="10"/>
      <c r="DZ41" s="10"/>
      <c r="EA41" s="10"/>
      <c r="EE41" s="10"/>
      <c r="EF41" s="10"/>
      <c r="EG41" s="10"/>
      <c r="EH41" s="10"/>
      <c r="EL41" s="10"/>
      <c r="EM41" s="10"/>
      <c r="EN41" s="10"/>
      <c r="EO41" s="10"/>
      <c r="ES41" s="10"/>
      <c r="ET41" s="10"/>
      <c r="EU41" s="10"/>
      <c r="EV41" s="10"/>
      <c r="EZ41" s="10"/>
      <c r="FA41" s="10"/>
      <c r="FB41" s="10"/>
      <c r="FC41" s="10"/>
      <c r="FG41" s="10"/>
      <c r="FH41" s="10"/>
      <c r="FI41" s="10"/>
      <c r="FJ41" s="10"/>
      <c r="FN41" s="10"/>
      <c r="FO41" s="10"/>
      <c r="FP41" s="10"/>
      <c r="FQ41" s="10"/>
      <c r="FU41" s="10"/>
      <c r="FV41" s="10"/>
      <c r="FW41" s="10"/>
      <c r="FX41" s="10"/>
      <c r="GA41" s="10"/>
      <c r="GB41" s="10"/>
      <c r="GC41" s="10"/>
      <c r="GD41" s="10"/>
      <c r="GG41" s="10"/>
      <c r="GH41" s="10"/>
      <c r="GI41" s="10"/>
      <c r="GJ41" s="10"/>
      <c r="GM41" s="10"/>
      <c r="GN41" s="10"/>
      <c r="GO41" s="10"/>
      <c r="GP41" s="10"/>
    </row>
    <row r="42" spans="2:198" outlineLevel="1">
      <c r="B42" t="s">
        <v>28</v>
      </c>
      <c r="C42" t="s">
        <v>88</v>
      </c>
      <c r="E42" s="9"/>
      <c r="F42" t="s">
        <v>185</v>
      </c>
      <c r="G42" s="10">
        <v>5.5500000000000001E-2</v>
      </c>
      <c r="I42" s="9">
        <f t="shared" si="1"/>
        <v>0</v>
      </c>
      <c r="J42" s="11" cm="1">
        <f t="array" ref="J42">MAX(IF($N$3:$EH$3=$J$3,N42:EH42))</f>
        <v>0</v>
      </c>
      <c r="K42" s="11" cm="1">
        <f t="array" ref="K42">MAX(IF($N$3:$EH$3=$J$3,N42:EH42))</f>
        <v>0</v>
      </c>
      <c r="L42" s="9"/>
      <c r="O42" s="10"/>
      <c r="P42" s="10"/>
      <c r="Q42" s="10"/>
      <c r="R42" s="10"/>
      <c r="V42" s="10"/>
      <c r="W42" s="10"/>
      <c r="X42" s="10"/>
      <c r="Y42" s="10"/>
      <c r="AC42" s="10"/>
      <c r="AD42" s="10"/>
      <c r="AE42" s="10"/>
      <c r="AF42" s="10"/>
      <c r="AJ42" s="10"/>
      <c r="AK42" s="10"/>
      <c r="AL42" s="10"/>
      <c r="AM42" s="10"/>
      <c r="AQ42" s="10"/>
      <c r="AR42" s="10">
        <v>0.5</v>
      </c>
      <c r="AS42" s="10"/>
      <c r="AT42" s="10">
        <v>0.5</v>
      </c>
      <c r="AX42" s="10"/>
      <c r="AY42" s="10">
        <v>0.5</v>
      </c>
      <c r="AZ42" s="10"/>
      <c r="BA42" s="10">
        <v>0.5</v>
      </c>
      <c r="BE42" s="10"/>
      <c r="BF42" s="10">
        <v>0.5</v>
      </c>
      <c r="BG42" s="10"/>
      <c r="BH42" s="10">
        <v>0.5</v>
      </c>
      <c r="BL42" s="10"/>
      <c r="BM42" s="10">
        <v>0.5</v>
      </c>
      <c r="BN42" s="10"/>
      <c r="BO42" s="10">
        <v>0.5</v>
      </c>
      <c r="BS42" s="10"/>
      <c r="BT42" s="10">
        <v>0.5</v>
      </c>
      <c r="BU42" s="10"/>
      <c r="BV42" s="10">
        <v>0.5</v>
      </c>
      <c r="BZ42" s="10"/>
      <c r="CA42" s="10">
        <v>0.5</v>
      </c>
      <c r="CB42" s="10"/>
      <c r="CC42" s="10">
        <v>0.5</v>
      </c>
      <c r="CG42" s="10"/>
      <c r="CH42" s="10">
        <v>0.6</v>
      </c>
      <c r="CI42" s="10"/>
      <c r="CJ42" s="10">
        <v>0.6</v>
      </c>
      <c r="CN42" s="10"/>
      <c r="CO42" s="10">
        <v>0.8</v>
      </c>
      <c r="CP42" s="10"/>
      <c r="CQ42" s="10">
        <v>0.8</v>
      </c>
      <c r="CU42" s="10"/>
      <c r="CV42" s="10">
        <v>0.8</v>
      </c>
      <c r="CW42" s="10"/>
      <c r="CX42" s="10">
        <v>0.8</v>
      </c>
      <c r="DB42" s="10"/>
      <c r="DC42" s="10">
        <v>0.8</v>
      </c>
      <c r="DD42" s="10"/>
      <c r="DE42" s="10">
        <v>0.8</v>
      </c>
      <c r="DJ42" s="10"/>
      <c r="DK42" s="10">
        <v>0.8</v>
      </c>
      <c r="DL42" s="10"/>
      <c r="DM42" s="10">
        <v>0.8</v>
      </c>
      <c r="DQ42" s="10"/>
      <c r="DR42" s="10">
        <v>1</v>
      </c>
      <c r="DS42" s="10"/>
      <c r="DT42" s="10">
        <v>1</v>
      </c>
      <c r="DX42" s="10"/>
      <c r="DY42" s="10"/>
      <c r="DZ42" s="10"/>
      <c r="EA42" s="10"/>
      <c r="EE42" s="10"/>
      <c r="EF42" s="10"/>
      <c r="EG42" s="10"/>
      <c r="EH42" s="10"/>
      <c r="EL42" s="10"/>
      <c r="EM42" s="10"/>
      <c r="EN42" s="10"/>
      <c r="EO42" s="10"/>
      <c r="ES42" s="10"/>
      <c r="ET42" s="10"/>
      <c r="EU42" s="10"/>
      <c r="EV42" s="10"/>
      <c r="EZ42" s="10"/>
      <c r="FA42" s="10"/>
      <c r="FB42" s="10"/>
      <c r="FC42" s="10"/>
      <c r="FG42" s="10"/>
      <c r="FH42" s="10"/>
      <c r="FI42" s="10"/>
      <c r="FJ42" s="10"/>
      <c r="FN42" s="10"/>
      <c r="FO42" s="10"/>
      <c r="FP42" s="10"/>
      <c r="FQ42" s="10"/>
      <c r="FU42" s="10"/>
      <c r="FV42" s="10"/>
      <c r="FW42" s="10"/>
      <c r="FX42" s="10"/>
      <c r="GA42" s="10"/>
      <c r="GB42" s="10"/>
      <c r="GC42" s="10"/>
      <c r="GD42" s="10"/>
      <c r="GG42" s="10"/>
      <c r="GH42" s="10"/>
      <c r="GI42" s="10"/>
      <c r="GJ42" s="10"/>
      <c r="GM42" s="10"/>
      <c r="GN42" s="10"/>
      <c r="GO42" s="10"/>
      <c r="GP42" s="10"/>
    </row>
    <row r="43" spans="2:198" outlineLevel="1">
      <c r="B43" t="s">
        <v>28</v>
      </c>
      <c r="C43" t="s">
        <v>88</v>
      </c>
      <c r="E43" s="9"/>
      <c r="F43" t="s">
        <v>186</v>
      </c>
      <c r="G43" s="10">
        <v>4.8669999999999998E-3</v>
      </c>
      <c r="I43" s="9">
        <f t="shared" si="1"/>
        <v>0</v>
      </c>
      <c r="J43" s="11" cm="1">
        <f t="array" ref="J43">MAX(IF($N$3:$EH$3=$J$3,N43:EH43))</f>
        <v>0</v>
      </c>
      <c r="K43" s="11" cm="1">
        <f t="array" ref="K43">MAX(IF($N$3:$EH$3=$J$3,N43:EH43))</f>
        <v>0</v>
      </c>
      <c r="L43" s="9"/>
      <c r="O43" s="10"/>
      <c r="P43" s="10"/>
      <c r="Q43" s="10"/>
      <c r="R43" s="10"/>
      <c r="V43" s="10"/>
      <c r="W43" s="10"/>
      <c r="X43" s="10"/>
      <c r="Y43" s="10"/>
      <c r="AC43" s="10"/>
      <c r="AD43" s="10"/>
      <c r="AE43" s="10"/>
      <c r="AF43" s="10"/>
      <c r="AJ43" s="10"/>
      <c r="AK43" s="10"/>
      <c r="AL43" s="10"/>
      <c r="AM43" s="10"/>
      <c r="AQ43" s="10"/>
      <c r="AR43" s="10">
        <v>0.5</v>
      </c>
      <c r="AS43" s="10"/>
      <c r="AT43" s="10">
        <v>0.5</v>
      </c>
      <c r="AX43" s="10"/>
      <c r="AY43" s="10">
        <v>0.5</v>
      </c>
      <c r="AZ43" s="10"/>
      <c r="BA43" s="10">
        <v>0.5</v>
      </c>
      <c r="BE43" s="10"/>
      <c r="BF43" s="10">
        <v>0.5</v>
      </c>
      <c r="BG43" s="10"/>
      <c r="BH43" s="10">
        <v>0.5</v>
      </c>
      <c r="BL43" s="10"/>
      <c r="BM43" s="10">
        <v>0.5</v>
      </c>
      <c r="BN43" s="10"/>
      <c r="BO43" s="10">
        <v>0.5</v>
      </c>
      <c r="BS43" s="10"/>
      <c r="BT43" s="10">
        <v>0.5</v>
      </c>
      <c r="BU43" s="10"/>
      <c r="BV43" s="10">
        <v>0.5</v>
      </c>
      <c r="BZ43" s="10"/>
      <c r="CA43" s="10">
        <v>0.5</v>
      </c>
      <c r="CB43" s="10"/>
      <c r="CC43" s="10">
        <v>0.5</v>
      </c>
      <c r="CG43" s="10"/>
      <c r="CH43" s="10">
        <v>0.5</v>
      </c>
      <c r="CI43" s="10"/>
      <c r="CJ43" s="10">
        <v>0.5</v>
      </c>
      <c r="CN43" s="10"/>
      <c r="CO43" s="10">
        <v>0.8</v>
      </c>
      <c r="CP43" s="10"/>
      <c r="CQ43" s="10">
        <v>0.8</v>
      </c>
      <c r="CU43" s="10"/>
      <c r="CV43" s="10">
        <v>0.8</v>
      </c>
      <c r="CW43" s="10"/>
      <c r="CX43" s="10">
        <v>0.8</v>
      </c>
      <c r="DB43" s="10"/>
      <c r="DC43" s="10">
        <v>0.8</v>
      </c>
      <c r="DD43" s="10"/>
      <c r="DE43" s="10">
        <v>0.8</v>
      </c>
      <c r="DJ43" s="10"/>
      <c r="DK43" s="10">
        <v>0.8</v>
      </c>
      <c r="DL43" s="10"/>
      <c r="DM43" s="10">
        <v>0.8</v>
      </c>
      <c r="DQ43" s="10"/>
      <c r="DR43" s="10">
        <v>1</v>
      </c>
      <c r="DS43" s="10"/>
      <c r="DT43" s="10">
        <v>1</v>
      </c>
      <c r="DX43" s="10"/>
      <c r="DY43" s="10"/>
      <c r="DZ43" s="10"/>
      <c r="EA43" s="10"/>
      <c r="EE43" s="10"/>
      <c r="EF43" s="10"/>
      <c r="EG43" s="10"/>
      <c r="EH43" s="10"/>
      <c r="EL43" s="10"/>
      <c r="EM43" s="10"/>
      <c r="EN43" s="10"/>
      <c r="EO43" s="10"/>
      <c r="ES43" s="10"/>
      <c r="ET43" s="10"/>
      <c r="EU43" s="10"/>
      <c r="EV43" s="10"/>
      <c r="EZ43" s="10"/>
      <c r="FA43" s="10"/>
      <c r="FB43" s="10"/>
      <c r="FC43" s="10"/>
      <c r="FG43" s="10"/>
      <c r="FH43" s="10"/>
      <c r="FI43" s="10"/>
      <c r="FJ43" s="10"/>
      <c r="FN43" s="10"/>
      <c r="FO43" s="10"/>
      <c r="FP43" s="10"/>
      <c r="FQ43" s="10"/>
      <c r="FU43" s="10"/>
      <c r="FV43" s="10"/>
      <c r="FW43" s="10"/>
      <c r="FX43" s="10"/>
      <c r="GA43" s="10"/>
      <c r="GB43" s="10"/>
      <c r="GC43" s="10"/>
      <c r="GD43" s="10"/>
      <c r="GG43" s="10"/>
      <c r="GH43" s="10"/>
      <c r="GI43" s="10"/>
      <c r="GJ43" s="10"/>
      <c r="GM43" s="10"/>
      <c r="GN43" s="10"/>
      <c r="GO43" s="10"/>
      <c r="GP43" s="10"/>
    </row>
    <row r="44" spans="2:198" outlineLevel="1">
      <c r="E44" s="9"/>
      <c r="G44" s="10"/>
      <c r="I44" s="9"/>
      <c r="J44" s="11"/>
      <c r="K44" s="11"/>
      <c r="L44" s="9"/>
      <c r="O44" s="10"/>
      <c r="P44" s="10"/>
      <c r="Q44" s="10"/>
      <c r="R44" s="10"/>
      <c r="V44" s="10"/>
      <c r="W44" s="10"/>
      <c r="X44" s="10"/>
      <c r="Y44" s="10"/>
      <c r="AC44" s="10"/>
      <c r="AD44" s="10"/>
      <c r="AE44" s="10"/>
      <c r="AF44" s="10"/>
      <c r="AJ44" s="10"/>
      <c r="AK44" s="10"/>
      <c r="AL44" s="10"/>
      <c r="AM44" s="10"/>
      <c r="AQ44" s="10"/>
      <c r="AR44" s="10"/>
      <c r="AS44" s="10"/>
      <c r="AT44" s="10"/>
      <c r="AX44" s="10"/>
      <c r="AY44" s="10"/>
      <c r="AZ44" s="10"/>
      <c r="BA44" s="10"/>
      <c r="BE44" s="10"/>
      <c r="BF44" s="10"/>
      <c r="BG44" s="10"/>
      <c r="BH44" s="10"/>
      <c r="BL44" s="10"/>
      <c r="BM44" s="10"/>
      <c r="BN44" s="10"/>
      <c r="BO44" s="10"/>
      <c r="BS44" s="10"/>
      <c r="BT44" s="10"/>
      <c r="BU44" s="10"/>
      <c r="BV44" s="10"/>
      <c r="BZ44" s="10"/>
      <c r="CA44" s="10"/>
      <c r="CB44" s="10"/>
      <c r="CC44" s="10"/>
      <c r="CG44" s="10"/>
      <c r="CH44" s="10"/>
      <c r="CI44" s="10"/>
      <c r="CJ44" s="10"/>
      <c r="CN44" s="10"/>
      <c r="CO44" s="10"/>
      <c r="CP44" s="10"/>
      <c r="CQ44" s="10"/>
      <c r="CU44" s="10"/>
      <c r="CV44" s="10"/>
      <c r="CW44" s="10"/>
      <c r="CX44" s="10"/>
      <c r="DB44" s="10"/>
      <c r="DC44" s="10"/>
      <c r="DD44" s="10"/>
      <c r="DE44" s="10"/>
      <c r="DJ44" s="10"/>
      <c r="DK44" s="10"/>
      <c r="DL44" s="10"/>
      <c r="DM44" s="10"/>
      <c r="DQ44" s="10"/>
      <c r="DR44" s="10"/>
      <c r="DS44" s="10"/>
      <c r="DT44" s="10"/>
      <c r="DX44" s="10"/>
      <c r="DY44" s="10"/>
      <c r="DZ44" s="10"/>
      <c r="EA44" s="10"/>
      <c r="EE44" s="10"/>
      <c r="EF44" s="10"/>
      <c r="EG44" s="10"/>
      <c r="EH44" s="10"/>
      <c r="EL44" s="10"/>
      <c r="EM44" s="10"/>
      <c r="EN44" s="10"/>
      <c r="EO44" s="10"/>
      <c r="ES44" s="10"/>
      <c r="ET44" s="10"/>
      <c r="EU44" s="10"/>
      <c r="EV44" s="10"/>
      <c r="EZ44" s="10"/>
      <c r="FA44" s="10"/>
      <c r="FB44" s="10"/>
      <c r="FC44" s="10"/>
      <c r="FG44" s="10"/>
      <c r="FH44" s="10"/>
      <c r="FI44" s="10"/>
      <c r="FJ44" s="10"/>
      <c r="FN44" s="10"/>
      <c r="FO44" s="10"/>
      <c r="FP44" s="10"/>
      <c r="FQ44" s="10"/>
      <c r="FU44" s="10"/>
      <c r="FV44" s="10"/>
      <c r="FW44" s="10"/>
      <c r="FX44" s="10"/>
      <c r="GA44" s="10"/>
      <c r="GB44" s="10"/>
      <c r="GC44" s="10"/>
      <c r="GD44" s="10"/>
      <c r="GG44" s="10"/>
      <c r="GH44" s="10"/>
      <c r="GI44" s="10"/>
      <c r="GJ44" s="10"/>
      <c r="GM44" s="10"/>
      <c r="GN44" s="10"/>
      <c r="GO44" s="10"/>
      <c r="GP44" s="10"/>
    </row>
    <row r="46" spans="2:198">
      <c r="B46" t="s">
        <v>27</v>
      </c>
      <c r="C46" t="s">
        <v>89</v>
      </c>
      <c r="D46" s="19">
        <v>45376</v>
      </c>
      <c r="E46" s="9">
        <v>10</v>
      </c>
      <c r="G46" s="10">
        <f>+SUM(G47:G62)</f>
        <v>1.0027999999999999</v>
      </c>
      <c r="I46" s="12">
        <f>+SUM(I47:I57)</f>
        <v>0</v>
      </c>
      <c r="J46" s="11">
        <f>+SUMPRODUCT(G47:G57,J47:J57)</f>
        <v>0</v>
      </c>
      <c r="K46" s="11">
        <f>+SUMPRODUCT(G47:G57,K47:K57)</f>
        <v>0</v>
      </c>
      <c r="L46" s="9"/>
      <c r="N46" s="12">
        <f>+SUM(N47:N57)</f>
        <v>0</v>
      </c>
      <c r="U46" s="12">
        <f>+SUM(U47:U57)</f>
        <v>0</v>
      </c>
      <c r="AB46" s="12">
        <f>+SUM(AB47:AB57)</f>
        <v>0</v>
      </c>
      <c r="AI46" s="12">
        <f>+SUM(AI47:AI57)</f>
        <v>0</v>
      </c>
      <c r="AP46" s="12">
        <f>+SUM(AP47:AP57)</f>
        <v>0</v>
      </c>
    </row>
    <row r="47" spans="2:198" outlineLevel="1">
      <c r="B47" t="s">
        <v>28</v>
      </c>
      <c r="C47" t="s">
        <v>89</v>
      </c>
      <c r="E47" s="9"/>
      <c r="F47" t="s">
        <v>167</v>
      </c>
      <c r="G47" s="10">
        <v>1E-3</v>
      </c>
      <c r="I47" s="9">
        <f t="shared" ref="I47:I62" si="2">+SUMIF($N$3:$ZT$3,I$3,$N47:$ZZ47)</f>
        <v>0</v>
      </c>
      <c r="J47" s="11" cm="1">
        <f t="array" ref="J47">MAX(IF($N$3:$EH$3=$J$3,N47:EH47))</f>
        <v>0</v>
      </c>
      <c r="K47" s="11" cm="1">
        <f t="array" ref="K47">MAX(IF($N$3:$EH$3=$J$3,N47:EH47))</f>
        <v>0</v>
      </c>
      <c r="L47" s="9"/>
      <c r="O47" s="10"/>
      <c r="P47" s="10">
        <v>0.5</v>
      </c>
      <c r="Q47" s="10"/>
      <c r="R47" s="10">
        <v>0.5</v>
      </c>
      <c r="V47" s="10"/>
      <c r="W47" s="10">
        <v>0.8</v>
      </c>
      <c r="X47" s="10"/>
      <c r="Y47" s="10">
        <v>0.8</v>
      </c>
      <c r="AC47" s="10"/>
      <c r="AD47" s="10">
        <v>0.8</v>
      </c>
      <c r="AE47" s="10"/>
      <c r="AF47" s="10">
        <v>0.8</v>
      </c>
      <c r="AJ47" s="10"/>
      <c r="AK47" s="10">
        <v>0.8</v>
      </c>
      <c r="AL47" s="10"/>
      <c r="AM47" s="10">
        <v>0.8</v>
      </c>
      <c r="AQ47" s="10"/>
      <c r="AR47" s="10">
        <v>0.8</v>
      </c>
      <c r="AS47" s="10"/>
      <c r="AT47" s="10">
        <v>0.8</v>
      </c>
      <c r="AX47" s="10"/>
      <c r="AY47" s="10">
        <v>0.8</v>
      </c>
      <c r="AZ47" s="10"/>
      <c r="BA47" s="10">
        <v>0.8</v>
      </c>
      <c r="BE47" s="10"/>
      <c r="BF47" s="10">
        <v>1</v>
      </c>
      <c r="BG47" s="10"/>
      <c r="BH47" s="10">
        <v>1</v>
      </c>
      <c r="BL47" s="10"/>
      <c r="BM47" s="10">
        <v>1</v>
      </c>
      <c r="BN47" s="10"/>
      <c r="BO47" s="10">
        <v>1</v>
      </c>
      <c r="BS47" s="10"/>
      <c r="BT47" s="10">
        <v>1</v>
      </c>
      <c r="BU47" s="10"/>
      <c r="BV47" s="10">
        <v>1</v>
      </c>
      <c r="BZ47" s="10"/>
      <c r="CA47" s="10">
        <v>1</v>
      </c>
      <c r="CB47" s="10"/>
      <c r="CC47" s="10">
        <v>1</v>
      </c>
      <c r="CG47" s="10"/>
      <c r="CH47" s="10">
        <v>1</v>
      </c>
      <c r="CI47" s="10"/>
      <c r="CJ47" s="10">
        <v>1</v>
      </c>
      <c r="CN47" s="10"/>
      <c r="CO47" s="10">
        <v>1</v>
      </c>
      <c r="CP47" s="10"/>
      <c r="CQ47" s="10">
        <v>1</v>
      </c>
      <c r="CU47" s="10"/>
      <c r="CV47" s="10">
        <v>1</v>
      </c>
      <c r="CW47" s="10"/>
      <c r="CX47" s="10">
        <v>1</v>
      </c>
      <c r="DB47" s="10"/>
      <c r="DC47" s="10">
        <v>1</v>
      </c>
      <c r="DD47" s="10"/>
      <c r="DE47" s="10">
        <v>1</v>
      </c>
      <c r="DJ47" s="10"/>
      <c r="DK47" s="10">
        <v>1</v>
      </c>
      <c r="DL47" s="10"/>
      <c r="DM47" s="10">
        <v>1</v>
      </c>
      <c r="DQ47" s="10"/>
      <c r="DR47" s="10">
        <v>1</v>
      </c>
      <c r="DS47" s="10"/>
      <c r="DT47" s="10">
        <v>1</v>
      </c>
      <c r="DX47" s="10"/>
      <c r="DY47" s="10"/>
      <c r="DZ47" s="10"/>
      <c r="EA47" s="10"/>
      <c r="EE47" s="10"/>
      <c r="EF47" s="10"/>
      <c r="EG47" s="10"/>
      <c r="EH47" s="10"/>
      <c r="EL47" s="10"/>
      <c r="EM47" s="10"/>
      <c r="EN47" s="10"/>
      <c r="EO47" s="10"/>
      <c r="ES47" s="10"/>
      <c r="ET47" s="10"/>
      <c r="EU47" s="10"/>
      <c r="EV47" s="10"/>
      <c r="EZ47" s="10"/>
      <c r="FA47" s="10"/>
      <c r="FB47" s="10"/>
      <c r="FC47" s="10"/>
      <c r="FG47" s="10"/>
      <c r="FH47" s="10"/>
      <c r="FI47" s="10"/>
      <c r="FJ47" s="10"/>
      <c r="FN47" s="10"/>
      <c r="FO47" s="10"/>
      <c r="FP47" s="10"/>
      <c r="FQ47" s="10"/>
      <c r="FU47" s="10"/>
      <c r="FV47" s="10"/>
      <c r="FW47" s="10"/>
      <c r="FX47" s="10"/>
      <c r="GA47" s="10"/>
      <c r="GB47" s="10"/>
      <c r="GC47" s="10"/>
      <c r="GD47" s="10"/>
      <c r="GG47" s="10"/>
      <c r="GH47" s="10"/>
      <c r="GI47" s="10"/>
      <c r="GJ47" s="10"/>
      <c r="GM47" s="10"/>
      <c r="GN47" s="10"/>
      <c r="GO47" s="10"/>
      <c r="GP47" s="10"/>
    </row>
    <row r="48" spans="2:198" outlineLevel="1">
      <c r="B48" t="s">
        <v>28</v>
      </c>
      <c r="C48" t="s">
        <v>89</v>
      </c>
      <c r="E48" s="9"/>
      <c r="F48" t="s">
        <v>192</v>
      </c>
      <c r="G48" s="10">
        <v>0.13500000000000001</v>
      </c>
      <c r="I48" s="9">
        <f t="shared" si="2"/>
        <v>0</v>
      </c>
      <c r="J48" s="11" cm="1">
        <f t="array" ref="J48">MAX(IF($N$3:$EH$3=$J$3,N48:EH48))</f>
        <v>0</v>
      </c>
      <c r="K48" s="11" cm="1">
        <f t="array" ref="K48">MAX(IF($N$3:$EH$3=$J$3,N48:EH48))</f>
        <v>0</v>
      </c>
      <c r="L48" s="9"/>
      <c r="O48" s="10"/>
      <c r="P48" s="10">
        <v>0.5</v>
      </c>
      <c r="Q48" s="10"/>
      <c r="R48" s="10">
        <v>0.5</v>
      </c>
      <c r="V48" s="10"/>
      <c r="W48" s="10">
        <v>0.5</v>
      </c>
      <c r="X48" s="10"/>
      <c r="Y48" s="10">
        <v>0.5</v>
      </c>
      <c r="AC48" s="10"/>
      <c r="AD48" s="10">
        <v>0.8</v>
      </c>
      <c r="AE48" s="10"/>
      <c r="AF48" s="10">
        <v>0.8</v>
      </c>
      <c r="AJ48" s="10"/>
      <c r="AK48" s="10">
        <v>0.8</v>
      </c>
      <c r="AL48" s="10"/>
      <c r="AM48" s="10">
        <v>0.8</v>
      </c>
      <c r="AQ48" s="10"/>
      <c r="AR48" s="10">
        <v>0.8</v>
      </c>
      <c r="AS48" s="10"/>
      <c r="AT48" s="10">
        <v>0.8</v>
      </c>
      <c r="AX48" s="10"/>
      <c r="AY48" s="10">
        <v>0.8</v>
      </c>
      <c r="AZ48" s="10"/>
      <c r="BA48" s="10">
        <v>0.8</v>
      </c>
      <c r="BE48" s="10"/>
      <c r="BF48" s="10">
        <v>0.9</v>
      </c>
      <c r="BG48" s="10"/>
      <c r="BH48" s="10">
        <v>0.9</v>
      </c>
      <c r="BL48" s="10"/>
      <c r="BM48" s="10">
        <v>1</v>
      </c>
      <c r="BN48" s="10"/>
      <c r="BO48" s="10">
        <v>1</v>
      </c>
      <c r="BS48" s="10"/>
      <c r="BT48" s="10">
        <v>1</v>
      </c>
      <c r="BU48" s="10"/>
      <c r="BV48" s="10">
        <v>1</v>
      </c>
      <c r="BZ48" s="10"/>
      <c r="CA48" s="10">
        <v>1</v>
      </c>
      <c r="CB48" s="10"/>
      <c r="CC48" s="10">
        <v>1</v>
      </c>
      <c r="CG48" s="10"/>
      <c r="CH48" s="10">
        <v>1</v>
      </c>
      <c r="CI48" s="10"/>
      <c r="CJ48" s="10">
        <v>1</v>
      </c>
      <c r="CN48" s="10"/>
      <c r="CO48" s="10">
        <v>1</v>
      </c>
      <c r="CP48" s="10"/>
      <c r="CQ48" s="10">
        <v>1</v>
      </c>
      <c r="CU48" s="10"/>
      <c r="CV48" s="10">
        <v>1</v>
      </c>
      <c r="CW48" s="10"/>
      <c r="CX48" s="10">
        <v>1</v>
      </c>
      <c r="DB48" s="10"/>
      <c r="DC48" s="10">
        <v>1</v>
      </c>
      <c r="DD48" s="10"/>
      <c r="DE48" s="10">
        <v>1</v>
      </c>
      <c r="DJ48" s="10"/>
      <c r="DK48" s="10">
        <v>1</v>
      </c>
      <c r="DL48" s="10"/>
      <c r="DM48" s="10">
        <v>1</v>
      </c>
      <c r="DQ48" s="10"/>
      <c r="DR48" s="10">
        <v>1</v>
      </c>
      <c r="DS48" s="10"/>
      <c r="DT48" s="10">
        <v>1</v>
      </c>
      <c r="DX48" s="10"/>
      <c r="DY48" s="10"/>
      <c r="DZ48" s="10"/>
      <c r="EA48" s="10"/>
      <c r="EE48" s="10"/>
      <c r="EF48" s="10"/>
      <c r="EG48" s="10"/>
      <c r="EH48" s="10"/>
      <c r="EL48" s="10"/>
      <c r="EM48" s="10"/>
      <c r="EN48" s="10"/>
      <c r="EO48" s="10"/>
      <c r="ES48" s="10"/>
      <c r="ET48" s="10"/>
      <c r="EU48" s="10"/>
      <c r="EV48" s="10"/>
      <c r="EZ48" s="10"/>
      <c r="FA48" s="10"/>
      <c r="FB48" s="10"/>
      <c r="FC48" s="10"/>
      <c r="FG48" s="10"/>
      <c r="FH48" s="10"/>
      <c r="FI48" s="10"/>
      <c r="FJ48" s="10"/>
      <c r="FN48" s="10"/>
      <c r="FO48" s="10"/>
      <c r="FP48" s="10"/>
      <c r="FQ48" s="10"/>
      <c r="FU48" s="10"/>
      <c r="FV48" s="10"/>
      <c r="FW48" s="10"/>
      <c r="FX48" s="10"/>
      <c r="GA48" s="10"/>
      <c r="GB48" s="10"/>
      <c r="GC48" s="10"/>
      <c r="GD48" s="10"/>
      <c r="GG48" s="10"/>
      <c r="GH48" s="10"/>
      <c r="GI48" s="10"/>
      <c r="GJ48" s="10"/>
      <c r="GM48" s="10"/>
      <c r="GN48" s="10"/>
      <c r="GO48" s="10"/>
      <c r="GP48" s="10"/>
    </row>
    <row r="49" spans="2:198" outlineLevel="1">
      <c r="B49" t="s">
        <v>28</v>
      </c>
      <c r="C49" t="s">
        <v>89</v>
      </c>
      <c r="E49" s="9"/>
      <c r="F49" t="s">
        <v>168</v>
      </c>
      <c r="G49" s="10">
        <v>4.6699999999999998E-2</v>
      </c>
      <c r="I49" s="9">
        <f t="shared" si="2"/>
        <v>0</v>
      </c>
      <c r="J49" s="11" cm="1">
        <f t="array" ref="J49">MAX(IF($N$3:$EH$3=$J$3,N49:EH49))</f>
        <v>0</v>
      </c>
      <c r="K49" s="11" cm="1">
        <f t="array" ref="K49">MAX(IF($N$3:$EH$3=$J$3,N49:EH49))</f>
        <v>0</v>
      </c>
      <c r="L49" s="9"/>
      <c r="O49" s="10"/>
      <c r="P49" s="10">
        <v>0.5</v>
      </c>
      <c r="Q49" s="10"/>
      <c r="R49" s="10">
        <v>0.5</v>
      </c>
      <c r="V49" s="10"/>
      <c r="W49" s="10">
        <v>0.5</v>
      </c>
      <c r="X49" s="10"/>
      <c r="Y49" s="10">
        <v>0.5</v>
      </c>
      <c r="AC49" s="10"/>
      <c r="AD49" s="10">
        <v>0.5</v>
      </c>
      <c r="AE49" s="10"/>
      <c r="AF49" s="10">
        <v>0.5</v>
      </c>
      <c r="AJ49" s="10"/>
      <c r="AK49" s="10">
        <v>0.8</v>
      </c>
      <c r="AL49" s="10"/>
      <c r="AM49" s="10">
        <v>0.8</v>
      </c>
      <c r="AQ49" s="10"/>
      <c r="AR49" s="10">
        <v>0.8</v>
      </c>
      <c r="AS49" s="10"/>
      <c r="AT49" s="10">
        <v>0.8</v>
      </c>
      <c r="AX49" s="10"/>
      <c r="AY49" s="10">
        <v>0.8</v>
      </c>
      <c r="AZ49" s="10"/>
      <c r="BA49" s="10">
        <v>0.8</v>
      </c>
      <c r="BE49" s="10"/>
      <c r="BF49" s="10">
        <v>0.8</v>
      </c>
      <c r="BG49" s="10"/>
      <c r="BH49" s="10">
        <v>0.8</v>
      </c>
      <c r="BL49" s="10"/>
      <c r="BM49" s="10">
        <v>0.8</v>
      </c>
      <c r="BN49" s="10"/>
      <c r="BO49" s="10">
        <v>0.8</v>
      </c>
      <c r="BS49" s="10"/>
      <c r="BT49" s="10">
        <v>1</v>
      </c>
      <c r="BU49" s="10"/>
      <c r="BV49" s="10">
        <v>1</v>
      </c>
      <c r="BZ49" s="10"/>
      <c r="CA49" s="10">
        <v>1</v>
      </c>
      <c r="CB49" s="10"/>
      <c r="CC49" s="10">
        <v>1</v>
      </c>
      <c r="CG49" s="10"/>
      <c r="CH49" s="10">
        <v>1</v>
      </c>
      <c r="CI49" s="10"/>
      <c r="CJ49" s="10">
        <v>1</v>
      </c>
      <c r="CN49" s="10"/>
      <c r="CO49" s="10">
        <v>1</v>
      </c>
      <c r="CP49" s="10"/>
      <c r="CQ49" s="10">
        <v>1</v>
      </c>
      <c r="CU49" s="10"/>
      <c r="CV49" s="10">
        <v>1</v>
      </c>
      <c r="CW49" s="10"/>
      <c r="CX49" s="10">
        <v>1</v>
      </c>
      <c r="DB49" s="10"/>
      <c r="DC49" s="10">
        <v>1</v>
      </c>
      <c r="DD49" s="10"/>
      <c r="DE49" s="10">
        <v>1</v>
      </c>
      <c r="DJ49" s="10"/>
      <c r="DK49" s="10">
        <v>1</v>
      </c>
      <c r="DL49" s="10"/>
      <c r="DM49" s="10">
        <v>1</v>
      </c>
      <c r="DQ49" s="10"/>
      <c r="DR49" s="10">
        <v>1</v>
      </c>
      <c r="DS49" s="10"/>
      <c r="DT49" s="10">
        <v>1</v>
      </c>
      <c r="DX49" s="10"/>
      <c r="DY49" s="10"/>
      <c r="DZ49" s="10"/>
      <c r="EA49" s="10"/>
      <c r="EE49" s="10"/>
      <c r="EF49" s="10"/>
      <c r="EG49" s="10"/>
      <c r="EH49" s="10"/>
      <c r="EL49" s="10"/>
      <c r="EM49" s="10"/>
      <c r="EN49" s="10"/>
      <c r="EO49" s="10"/>
      <c r="ES49" s="10"/>
      <c r="ET49" s="10"/>
      <c r="EU49" s="10"/>
      <c r="EV49" s="10"/>
      <c r="EZ49" s="10"/>
      <c r="FA49" s="10"/>
      <c r="FB49" s="10"/>
      <c r="FC49" s="10"/>
      <c r="FG49" s="10"/>
      <c r="FH49" s="10"/>
      <c r="FI49" s="10"/>
      <c r="FJ49" s="10"/>
      <c r="FN49" s="10"/>
      <c r="FO49" s="10"/>
      <c r="FP49" s="10"/>
      <c r="FQ49" s="10"/>
      <c r="FU49" s="10"/>
      <c r="FV49" s="10"/>
      <c r="FW49" s="10"/>
      <c r="FX49" s="10"/>
      <c r="GA49" s="10"/>
      <c r="GB49" s="10"/>
      <c r="GC49" s="10"/>
      <c r="GD49" s="10"/>
      <c r="GG49" s="10"/>
      <c r="GH49" s="10"/>
      <c r="GI49" s="10"/>
      <c r="GJ49" s="10"/>
      <c r="GM49" s="10"/>
      <c r="GN49" s="10"/>
      <c r="GO49" s="10"/>
      <c r="GP49" s="10"/>
    </row>
    <row r="50" spans="2:198" outlineLevel="1">
      <c r="B50" t="s">
        <v>28</v>
      </c>
      <c r="C50" t="s">
        <v>89</v>
      </c>
      <c r="E50" s="9"/>
      <c r="F50" t="s">
        <v>191</v>
      </c>
      <c r="G50" s="10">
        <v>0.16300000000000001</v>
      </c>
      <c r="I50" s="9">
        <f t="shared" si="2"/>
        <v>0</v>
      </c>
      <c r="J50" s="11" cm="1">
        <f t="array" ref="J50">MAX(IF($N$3:$EH$3=$J$3,N50:EH50))</f>
        <v>0</v>
      </c>
      <c r="K50" s="11" cm="1">
        <f t="array" ref="K50">MAX(IF($N$3:$EH$3=$J$3,N50:EH50))</f>
        <v>0</v>
      </c>
      <c r="L50" s="9"/>
      <c r="O50" s="10"/>
      <c r="P50" s="10">
        <v>0.5</v>
      </c>
      <c r="Q50" s="10"/>
      <c r="R50" s="10">
        <v>0.5</v>
      </c>
      <c r="V50" s="10"/>
      <c r="W50" s="10">
        <v>0.5</v>
      </c>
      <c r="X50" s="10"/>
      <c r="Y50" s="10">
        <v>0.5</v>
      </c>
      <c r="AC50" s="10"/>
      <c r="AD50" s="10">
        <v>0.5</v>
      </c>
      <c r="AE50" s="10"/>
      <c r="AF50" s="10">
        <v>0.5</v>
      </c>
      <c r="AJ50" s="10"/>
      <c r="AK50" s="10">
        <v>0.8</v>
      </c>
      <c r="AL50" s="10"/>
      <c r="AM50" s="10">
        <v>0.8</v>
      </c>
      <c r="AQ50" s="10"/>
      <c r="AR50" s="10">
        <v>0.8</v>
      </c>
      <c r="AS50" s="10"/>
      <c r="AT50" s="10">
        <v>0.8</v>
      </c>
      <c r="AX50" s="10"/>
      <c r="AY50" s="10">
        <v>0.8</v>
      </c>
      <c r="AZ50" s="10"/>
      <c r="BA50" s="10">
        <v>0.8</v>
      </c>
      <c r="BE50" s="10"/>
      <c r="BF50" s="10">
        <v>0.8</v>
      </c>
      <c r="BG50" s="10"/>
      <c r="BH50" s="10">
        <v>0.8</v>
      </c>
      <c r="BL50" s="10"/>
      <c r="BM50" s="10">
        <v>0.8</v>
      </c>
      <c r="BN50" s="10"/>
      <c r="BO50" s="10">
        <v>0.8</v>
      </c>
      <c r="BS50" s="10"/>
      <c r="BT50" s="10">
        <v>0.9</v>
      </c>
      <c r="BU50" s="10"/>
      <c r="BV50" s="10">
        <v>0.9</v>
      </c>
      <c r="BZ50" s="10"/>
      <c r="CA50" s="10">
        <v>1</v>
      </c>
      <c r="CB50" s="10"/>
      <c r="CC50" s="10">
        <v>1</v>
      </c>
      <c r="CG50" s="10"/>
      <c r="CH50" s="10">
        <v>1</v>
      </c>
      <c r="CI50" s="10"/>
      <c r="CJ50" s="10">
        <v>1</v>
      </c>
      <c r="CN50" s="10"/>
      <c r="CO50" s="10">
        <v>1</v>
      </c>
      <c r="CP50" s="10"/>
      <c r="CQ50" s="10">
        <v>1</v>
      </c>
      <c r="CU50" s="10"/>
      <c r="CV50" s="10">
        <v>1</v>
      </c>
      <c r="CW50" s="10"/>
      <c r="CX50" s="10">
        <v>1</v>
      </c>
      <c r="DB50" s="10"/>
      <c r="DC50" s="10">
        <v>1</v>
      </c>
      <c r="DD50" s="10"/>
      <c r="DE50" s="10">
        <v>1</v>
      </c>
      <c r="DJ50" s="10"/>
      <c r="DK50" s="10">
        <v>1</v>
      </c>
      <c r="DL50" s="10"/>
      <c r="DM50" s="10">
        <v>1</v>
      </c>
      <c r="DQ50" s="10"/>
      <c r="DR50" s="10">
        <v>1</v>
      </c>
      <c r="DS50" s="10"/>
      <c r="DT50" s="10">
        <v>1</v>
      </c>
      <c r="DX50" s="10"/>
      <c r="DY50" s="10"/>
      <c r="DZ50" s="10"/>
      <c r="EA50" s="10"/>
      <c r="EE50" s="10"/>
      <c r="EF50" s="10"/>
      <c r="EG50" s="10"/>
      <c r="EH50" s="10"/>
      <c r="EL50" s="10"/>
      <c r="EM50" s="10"/>
      <c r="EN50" s="10"/>
      <c r="EO50" s="10"/>
      <c r="ES50" s="10"/>
      <c r="ET50" s="10"/>
      <c r="EU50" s="10"/>
      <c r="EV50" s="10"/>
      <c r="EZ50" s="10"/>
      <c r="FA50" s="10"/>
      <c r="FB50" s="10"/>
      <c r="FC50" s="10"/>
      <c r="FG50" s="10"/>
      <c r="FH50" s="10"/>
      <c r="FI50" s="10"/>
      <c r="FJ50" s="10"/>
      <c r="FN50" s="10"/>
      <c r="FO50" s="10"/>
      <c r="FP50" s="10"/>
      <c r="FQ50" s="10"/>
      <c r="FU50" s="10"/>
      <c r="FV50" s="10"/>
      <c r="FW50" s="10"/>
      <c r="FX50" s="10"/>
      <c r="GA50" s="10"/>
      <c r="GB50" s="10"/>
      <c r="GC50" s="10"/>
      <c r="GD50" s="10"/>
      <c r="GG50" s="10"/>
      <c r="GH50" s="10"/>
      <c r="GI50" s="10"/>
      <c r="GJ50" s="10"/>
      <c r="GM50" s="10"/>
      <c r="GN50" s="10"/>
      <c r="GO50" s="10"/>
      <c r="GP50" s="10"/>
    </row>
    <row r="51" spans="2:198" outlineLevel="1">
      <c r="B51" t="s">
        <v>28</v>
      </c>
      <c r="C51" t="s">
        <v>89</v>
      </c>
      <c r="E51" s="9"/>
      <c r="F51" t="s">
        <v>190</v>
      </c>
      <c r="G51" s="10">
        <v>4.6699999999999998E-2</v>
      </c>
      <c r="I51" s="9">
        <f t="shared" si="2"/>
        <v>0</v>
      </c>
      <c r="J51" s="11" cm="1">
        <f t="array" ref="J51">MAX(IF($N$3:$EH$3=$J$3,N51:EH51))</f>
        <v>0</v>
      </c>
      <c r="K51" s="11" cm="1">
        <f t="array" ref="K51">MAX(IF($N$3:$EH$3=$J$3,N51:EH51))</f>
        <v>0</v>
      </c>
      <c r="L51" s="9"/>
      <c r="O51" s="10"/>
      <c r="P51" s="10">
        <v>0.5</v>
      </c>
      <c r="Q51" s="10"/>
      <c r="R51" s="10">
        <v>0.5</v>
      </c>
      <c r="V51" s="10"/>
      <c r="W51" s="10">
        <v>0.5</v>
      </c>
      <c r="X51" s="10"/>
      <c r="Y51" s="10">
        <v>0.5</v>
      </c>
      <c r="AC51" s="10"/>
      <c r="AD51" s="10">
        <v>0.5</v>
      </c>
      <c r="AE51" s="10"/>
      <c r="AF51" s="10">
        <v>0.5</v>
      </c>
      <c r="AJ51" s="10"/>
      <c r="AK51" s="10">
        <v>0.8</v>
      </c>
      <c r="AL51" s="10"/>
      <c r="AM51" s="10">
        <v>0.8</v>
      </c>
      <c r="AQ51" s="10"/>
      <c r="AR51" s="10">
        <v>0.8</v>
      </c>
      <c r="AS51" s="10"/>
      <c r="AT51" s="10">
        <v>0.8</v>
      </c>
      <c r="AX51" s="10"/>
      <c r="AY51" s="10">
        <v>0.8</v>
      </c>
      <c r="AZ51" s="10"/>
      <c r="BA51" s="10">
        <v>0.8</v>
      </c>
      <c r="BE51" s="10"/>
      <c r="BF51" s="10">
        <v>0.8</v>
      </c>
      <c r="BG51" s="10"/>
      <c r="BH51" s="10">
        <v>0.8</v>
      </c>
      <c r="BL51" s="10"/>
      <c r="BM51" s="10">
        <v>0.8</v>
      </c>
      <c r="BN51" s="10"/>
      <c r="BO51" s="10">
        <v>0.8</v>
      </c>
      <c r="BS51" s="10"/>
      <c r="BT51" s="10">
        <v>0.8</v>
      </c>
      <c r="BU51" s="10"/>
      <c r="BV51" s="10">
        <v>0.8</v>
      </c>
      <c r="BZ51" s="10"/>
      <c r="CA51" s="10">
        <v>0.9</v>
      </c>
      <c r="CB51" s="10"/>
      <c r="CC51" s="10">
        <v>0.9</v>
      </c>
      <c r="CG51" s="10"/>
      <c r="CH51" s="10">
        <v>1</v>
      </c>
      <c r="CI51" s="10"/>
      <c r="CJ51" s="10">
        <v>1</v>
      </c>
      <c r="CN51" s="10"/>
      <c r="CO51" s="10">
        <v>1</v>
      </c>
      <c r="CP51" s="10"/>
      <c r="CQ51" s="10">
        <v>1</v>
      </c>
      <c r="CU51" s="10"/>
      <c r="CV51" s="10">
        <v>1</v>
      </c>
      <c r="CW51" s="10"/>
      <c r="CX51" s="10">
        <v>1</v>
      </c>
      <c r="DB51" s="10"/>
      <c r="DC51" s="10">
        <v>1</v>
      </c>
      <c r="DD51" s="10"/>
      <c r="DE51" s="10">
        <v>1</v>
      </c>
      <c r="DJ51" s="10"/>
      <c r="DK51" s="10">
        <v>1</v>
      </c>
      <c r="DL51" s="10"/>
      <c r="DM51" s="10">
        <v>1</v>
      </c>
      <c r="DQ51" s="10"/>
      <c r="DR51" s="10">
        <v>1</v>
      </c>
      <c r="DS51" s="10"/>
      <c r="DT51" s="10">
        <v>1</v>
      </c>
      <c r="DX51" s="10"/>
      <c r="DY51" s="10"/>
      <c r="DZ51" s="10"/>
      <c r="EA51" s="10"/>
      <c r="EE51" s="10"/>
      <c r="EF51" s="10"/>
      <c r="EG51" s="10"/>
      <c r="EH51" s="10"/>
      <c r="EL51" s="10"/>
      <c r="EM51" s="10"/>
      <c r="EN51" s="10"/>
      <c r="EO51" s="10"/>
      <c r="ES51" s="10"/>
      <c r="ET51" s="10"/>
      <c r="EU51" s="10"/>
      <c r="EV51" s="10"/>
      <c r="EZ51" s="10"/>
      <c r="FA51" s="10"/>
      <c r="FB51" s="10"/>
      <c r="FC51" s="10"/>
      <c r="FG51" s="10"/>
      <c r="FH51" s="10"/>
      <c r="FI51" s="10"/>
      <c r="FJ51" s="10"/>
      <c r="FN51" s="10"/>
      <c r="FO51" s="10"/>
      <c r="FP51" s="10"/>
      <c r="FQ51" s="10"/>
      <c r="FU51" s="10"/>
      <c r="FV51" s="10"/>
      <c r="FW51" s="10"/>
      <c r="FX51" s="10"/>
      <c r="GA51" s="10"/>
      <c r="GB51" s="10"/>
      <c r="GC51" s="10"/>
      <c r="GD51" s="10"/>
      <c r="GG51" s="10"/>
      <c r="GH51" s="10"/>
      <c r="GI51" s="10"/>
      <c r="GJ51" s="10"/>
      <c r="GM51" s="10"/>
      <c r="GN51" s="10"/>
      <c r="GO51" s="10"/>
      <c r="GP51" s="10"/>
    </row>
    <row r="52" spans="2:198" outlineLevel="1">
      <c r="B52" t="s">
        <v>28</v>
      </c>
      <c r="C52" t="s">
        <v>89</v>
      </c>
      <c r="E52" s="9"/>
      <c r="F52" t="s">
        <v>189</v>
      </c>
      <c r="G52" s="10">
        <v>3.3700000000000001E-2</v>
      </c>
      <c r="I52" s="9">
        <f t="shared" si="2"/>
        <v>0</v>
      </c>
      <c r="J52" s="11" cm="1">
        <f t="array" ref="J52">MAX(IF($N$3:$EH$3=$J$3,N52:EH52))</f>
        <v>0</v>
      </c>
      <c r="K52" s="11" cm="1">
        <f t="array" ref="K52">MAX(IF($N$3:$EH$3=$J$3,N52:EH52))</f>
        <v>0</v>
      </c>
      <c r="L52" s="9"/>
      <c r="O52" s="10"/>
      <c r="P52" s="10"/>
      <c r="Q52" s="10"/>
      <c r="R52" s="10"/>
      <c r="V52" s="10"/>
      <c r="W52" s="10">
        <v>0.5</v>
      </c>
      <c r="X52" s="10"/>
      <c r="Y52" s="10">
        <v>0.5</v>
      </c>
      <c r="AC52" s="10"/>
      <c r="AD52" s="10">
        <v>0.5</v>
      </c>
      <c r="AE52" s="10"/>
      <c r="AF52" s="10">
        <v>0.5</v>
      </c>
      <c r="AJ52" s="10"/>
      <c r="AK52" s="10">
        <v>0.5</v>
      </c>
      <c r="AL52" s="10"/>
      <c r="AM52" s="10">
        <v>0.5</v>
      </c>
      <c r="AQ52" s="10"/>
      <c r="AR52" s="10">
        <v>0.8</v>
      </c>
      <c r="AS52" s="10"/>
      <c r="AT52" s="10">
        <v>0.8</v>
      </c>
      <c r="AX52" s="10"/>
      <c r="AY52" s="10">
        <v>0.8</v>
      </c>
      <c r="AZ52" s="10"/>
      <c r="BA52" s="10">
        <v>0.8</v>
      </c>
      <c r="BE52" s="10"/>
      <c r="BF52" s="10">
        <v>0.8</v>
      </c>
      <c r="BG52" s="10"/>
      <c r="BH52" s="10">
        <v>0.8</v>
      </c>
      <c r="BL52" s="10"/>
      <c r="BM52" s="10">
        <v>0.8</v>
      </c>
      <c r="BN52" s="10"/>
      <c r="BO52" s="10">
        <v>0.8</v>
      </c>
      <c r="BS52" s="10"/>
      <c r="BT52" s="10">
        <v>0.8</v>
      </c>
      <c r="BU52" s="10"/>
      <c r="BV52" s="10">
        <v>0.8</v>
      </c>
      <c r="BZ52" s="10"/>
      <c r="CA52" s="10">
        <v>0.8</v>
      </c>
      <c r="CB52" s="10"/>
      <c r="CC52" s="10">
        <v>0.8</v>
      </c>
      <c r="CG52" s="10"/>
      <c r="CH52" s="10">
        <v>1</v>
      </c>
      <c r="CI52" s="10"/>
      <c r="CJ52" s="10">
        <v>1</v>
      </c>
      <c r="CN52" s="10"/>
      <c r="CO52" s="10">
        <v>1</v>
      </c>
      <c r="CP52" s="10"/>
      <c r="CQ52" s="10">
        <v>1</v>
      </c>
      <c r="CU52" s="10"/>
      <c r="CV52" s="10">
        <v>1</v>
      </c>
      <c r="CW52" s="10"/>
      <c r="CX52" s="10">
        <v>1</v>
      </c>
      <c r="DB52" s="10"/>
      <c r="DC52" s="10">
        <v>1</v>
      </c>
      <c r="DD52" s="10"/>
      <c r="DE52" s="10">
        <v>1</v>
      </c>
      <c r="DJ52" s="10"/>
      <c r="DK52" s="10">
        <v>1</v>
      </c>
      <c r="DL52" s="10"/>
      <c r="DM52" s="10">
        <v>1</v>
      </c>
      <c r="DQ52" s="10"/>
      <c r="DR52" s="10">
        <v>1</v>
      </c>
      <c r="DS52" s="10"/>
      <c r="DT52" s="10">
        <v>1</v>
      </c>
      <c r="DX52" s="10"/>
      <c r="DY52" s="10"/>
      <c r="DZ52" s="10"/>
      <c r="EA52" s="10"/>
      <c r="EE52" s="10"/>
      <c r="EF52" s="10"/>
      <c r="EG52" s="10"/>
      <c r="EH52" s="10"/>
      <c r="EL52" s="10"/>
      <c r="EM52" s="10"/>
      <c r="EN52" s="10"/>
      <c r="EO52" s="10"/>
      <c r="ES52" s="10"/>
      <c r="ET52" s="10"/>
      <c r="EU52" s="10"/>
      <c r="EV52" s="10"/>
      <c r="EZ52" s="10"/>
      <c r="FA52" s="10"/>
      <c r="FB52" s="10"/>
      <c r="FC52" s="10"/>
      <c r="FG52" s="10"/>
      <c r="FH52" s="10"/>
      <c r="FI52" s="10"/>
      <c r="FJ52" s="10"/>
      <c r="FN52" s="10"/>
      <c r="FO52" s="10"/>
      <c r="FP52" s="10"/>
      <c r="FQ52" s="10"/>
      <c r="FU52" s="10"/>
      <c r="FV52" s="10"/>
      <c r="FW52" s="10"/>
      <c r="FX52" s="10"/>
      <c r="GA52" s="10"/>
      <c r="GB52" s="10"/>
      <c r="GC52" s="10"/>
      <c r="GD52" s="10"/>
      <c r="GG52" s="10"/>
      <c r="GH52" s="10"/>
      <c r="GI52" s="10"/>
      <c r="GJ52" s="10"/>
      <c r="GM52" s="10"/>
      <c r="GN52" s="10"/>
      <c r="GO52" s="10"/>
      <c r="GP52" s="10"/>
    </row>
    <row r="53" spans="2:198" outlineLevel="1">
      <c r="B53" t="s">
        <v>28</v>
      </c>
      <c r="C53" t="s">
        <v>89</v>
      </c>
      <c r="E53" s="9"/>
      <c r="F53" t="s">
        <v>169</v>
      </c>
      <c r="G53" s="10">
        <v>8.7999999999999995E-2</v>
      </c>
      <c r="I53" s="9">
        <f t="shared" si="2"/>
        <v>0</v>
      </c>
      <c r="J53" s="11" cm="1">
        <f t="array" ref="J53">MAX(IF($N$3:$EH$3=$J$3,N53:EH53))</f>
        <v>0</v>
      </c>
      <c r="K53" s="11" cm="1">
        <f t="array" ref="K53">MAX(IF($N$3:$EH$3=$J$3,N53:EH53))</f>
        <v>0</v>
      </c>
      <c r="L53" s="9"/>
      <c r="O53" s="10"/>
      <c r="P53" s="10"/>
      <c r="Q53" s="10"/>
      <c r="R53" s="10"/>
      <c r="V53" s="10"/>
      <c r="W53" s="10">
        <v>0.5</v>
      </c>
      <c r="X53" s="10"/>
      <c r="Y53" s="10">
        <v>0.5</v>
      </c>
      <c r="AC53" s="10"/>
      <c r="AD53" s="10">
        <v>0.5</v>
      </c>
      <c r="AE53" s="10"/>
      <c r="AF53" s="10">
        <v>0.5</v>
      </c>
      <c r="AJ53" s="10"/>
      <c r="AK53" s="10">
        <v>0.5</v>
      </c>
      <c r="AL53" s="10"/>
      <c r="AM53" s="10">
        <v>0.5</v>
      </c>
      <c r="AQ53" s="10"/>
      <c r="AR53" s="10">
        <v>0.7</v>
      </c>
      <c r="AS53" s="10"/>
      <c r="AT53" s="10">
        <v>0.7</v>
      </c>
      <c r="AX53" s="10"/>
      <c r="AY53" s="10">
        <v>0.8</v>
      </c>
      <c r="AZ53" s="10"/>
      <c r="BA53" s="10">
        <v>0.8</v>
      </c>
      <c r="BE53" s="10"/>
      <c r="BF53" s="10">
        <v>0.8</v>
      </c>
      <c r="BG53" s="10"/>
      <c r="BH53" s="10">
        <v>0.8</v>
      </c>
      <c r="BL53" s="10"/>
      <c r="BM53" s="10">
        <v>0.8</v>
      </c>
      <c r="BN53" s="10"/>
      <c r="BO53" s="10">
        <v>0.8</v>
      </c>
      <c r="BS53" s="10"/>
      <c r="BT53" s="10">
        <v>0.8</v>
      </c>
      <c r="BU53" s="10"/>
      <c r="BV53" s="10">
        <v>0.8</v>
      </c>
      <c r="BZ53" s="10"/>
      <c r="CA53" s="10">
        <v>0.8</v>
      </c>
      <c r="CB53" s="10"/>
      <c r="CC53" s="10">
        <v>0.8</v>
      </c>
      <c r="CG53" s="10"/>
      <c r="CH53" s="10">
        <v>0.9</v>
      </c>
      <c r="CI53" s="10"/>
      <c r="CJ53" s="10">
        <v>0.9</v>
      </c>
      <c r="CN53" s="10"/>
      <c r="CO53" s="10">
        <v>1</v>
      </c>
      <c r="CP53" s="10"/>
      <c r="CQ53" s="10">
        <v>1</v>
      </c>
      <c r="CU53" s="10"/>
      <c r="CV53" s="10">
        <v>1</v>
      </c>
      <c r="CW53" s="10"/>
      <c r="CX53" s="10">
        <v>1</v>
      </c>
      <c r="DB53" s="10"/>
      <c r="DC53" s="10">
        <v>1</v>
      </c>
      <c r="DD53" s="10"/>
      <c r="DE53" s="10">
        <v>1</v>
      </c>
      <c r="DJ53" s="10"/>
      <c r="DK53" s="10">
        <v>1</v>
      </c>
      <c r="DL53" s="10"/>
      <c r="DM53" s="10">
        <v>1</v>
      </c>
      <c r="DQ53" s="10"/>
      <c r="DR53" s="10">
        <v>1</v>
      </c>
      <c r="DS53" s="10"/>
      <c r="DT53" s="10">
        <v>1</v>
      </c>
      <c r="DX53" s="10"/>
      <c r="DY53" s="10"/>
      <c r="DZ53" s="10"/>
      <c r="EA53" s="10"/>
      <c r="EE53" s="10"/>
      <c r="EF53" s="10"/>
      <c r="EG53" s="10"/>
      <c r="EH53" s="10"/>
      <c r="EL53" s="10"/>
      <c r="EM53" s="10"/>
      <c r="EN53" s="10"/>
      <c r="EO53" s="10"/>
      <c r="ES53" s="10"/>
      <c r="ET53" s="10"/>
      <c r="EU53" s="10"/>
      <c r="EV53" s="10"/>
      <c r="EZ53" s="10"/>
      <c r="FA53" s="10"/>
      <c r="FB53" s="10"/>
      <c r="FC53" s="10"/>
      <c r="FG53" s="10"/>
      <c r="FH53" s="10"/>
      <c r="FI53" s="10"/>
      <c r="FJ53" s="10"/>
      <c r="FN53" s="10"/>
      <c r="FO53" s="10"/>
      <c r="FP53" s="10"/>
      <c r="FQ53" s="10"/>
      <c r="FU53" s="10"/>
      <c r="FV53" s="10"/>
      <c r="FW53" s="10"/>
      <c r="FX53" s="10"/>
      <c r="GA53" s="10"/>
      <c r="GB53" s="10"/>
      <c r="GC53" s="10"/>
      <c r="GD53" s="10"/>
      <c r="GG53" s="10"/>
      <c r="GH53" s="10"/>
      <c r="GI53" s="10"/>
      <c r="GJ53" s="10"/>
      <c r="GM53" s="10"/>
      <c r="GN53" s="10"/>
      <c r="GO53" s="10"/>
      <c r="GP53" s="10"/>
    </row>
    <row r="54" spans="2:198" outlineLevel="1">
      <c r="B54" t="s">
        <v>28</v>
      </c>
      <c r="C54" t="s">
        <v>89</v>
      </c>
      <c r="E54" s="9"/>
      <c r="F54" t="s">
        <v>193</v>
      </c>
      <c r="G54" s="10">
        <v>0.14199999999999999</v>
      </c>
      <c r="I54" s="9">
        <f t="shared" si="2"/>
        <v>0</v>
      </c>
      <c r="J54" s="11" cm="1">
        <f t="array" ref="J54">MAX(IF($N$3:$EH$3=$J$3,N54:EH54))</f>
        <v>0</v>
      </c>
      <c r="K54" s="11" cm="1">
        <f t="array" ref="K54">MAX(IF($N$3:$EH$3=$J$3,N54:EH54))</f>
        <v>0</v>
      </c>
      <c r="L54" s="9"/>
      <c r="O54" s="10"/>
      <c r="P54" s="10"/>
      <c r="Q54" s="10"/>
      <c r="R54" s="10"/>
      <c r="V54" s="10"/>
      <c r="W54" s="10">
        <v>0.5</v>
      </c>
      <c r="X54" s="10"/>
      <c r="Y54" s="10">
        <v>0.5</v>
      </c>
      <c r="AC54" s="10"/>
      <c r="AD54" s="10">
        <v>0.5</v>
      </c>
      <c r="AE54" s="10"/>
      <c r="AF54" s="10">
        <v>0.5</v>
      </c>
      <c r="AJ54" s="10"/>
      <c r="AK54" s="10">
        <v>0.5</v>
      </c>
      <c r="AL54" s="10"/>
      <c r="AM54" s="10">
        <v>0.5</v>
      </c>
      <c r="AQ54" s="10"/>
      <c r="AR54" s="10">
        <v>0.5</v>
      </c>
      <c r="AS54" s="10"/>
      <c r="AT54" s="10">
        <v>0.5</v>
      </c>
      <c r="AX54" s="10"/>
      <c r="AY54" s="10">
        <v>0.8</v>
      </c>
      <c r="AZ54" s="10"/>
      <c r="BA54" s="10">
        <v>0.8</v>
      </c>
      <c r="BE54" s="10"/>
      <c r="BF54" s="10">
        <v>0.8</v>
      </c>
      <c r="BG54" s="10"/>
      <c r="BH54" s="10">
        <v>0.8</v>
      </c>
      <c r="BL54" s="10"/>
      <c r="BM54" s="10">
        <v>0.8</v>
      </c>
      <c r="BN54" s="10"/>
      <c r="BO54" s="10">
        <v>0.8</v>
      </c>
      <c r="BS54" s="10"/>
      <c r="BT54" s="10">
        <v>0.8</v>
      </c>
      <c r="BU54" s="10"/>
      <c r="BV54" s="10">
        <v>0.8</v>
      </c>
      <c r="BZ54" s="10"/>
      <c r="CA54" s="10">
        <v>0.8</v>
      </c>
      <c r="CB54" s="10"/>
      <c r="CC54" s="10">
        <v>0.8</v>
      </c>
      <c r="CG54" s="10"/>
      <c r="CH54" s="10">
        <v>0.8</v>
      </c>
      <c r="CI54" s="10"/>
      <c r="CJ54" s="10">
        <v>0.8</v>
      </c>
      <c r="CN54" s="10"/>
      <c r="CO54" s="10">
        <v>0.9</v>
      </c>
      <c r="CP54" s="10"/>
      <c r="CQ54" s="10">
        <v>0.9</v>
      </c>
      <c r="CU54" s="10"/>
      <c r="CV54" s="10">
        <v>1</v>
      </c>
      <c r="CW54" s="10"/>
      <c r="CX54" s="10">
        <v>1</v>
      </c>
      <c r="DB54" s="10"/>
      <c r="DC54" s="10">
        <v>1</v>
      </c>
      <c r="DD54" s="10"/>
      <c r="DE54" s="10">
        <v>1</v>
      </c>
      <c r="DJ54" s="10"/>
      <c r="DK54" s="10">
        <v>1</v>
      </c>
      <c r="DL54" s="10"/>
      <c r="DM54" s="10">
        <v>1</v>
      </c>
      <c r="DQ54" s="10"/>
      <c r="DR54" s="10">
        <v>1</v>
      </c>
      <c r="DS54" s="10"/>
      <c r="DT54" s="10">
        <v>1</v>
      </c>
      <c r="DX54" s="10"/>
      <c r="DY54" s="10"/>
      <c r="DZ54" s="10"/>
      <c r="EA54" s="10"/>
      <c r="EE54" s="10"/>
      <c r="EF54" s="10"/>
      <c r="EG54" s="10"/>
      <c r="EH54" s="10"/>
      <c r="EL54" s="10"/>
      <c r="EM54" s="10"/>
      <c r="EN54" s="10"/>
      <c r="EO54" s="10"/>
      <c r="ES54" s="10"/>
      <c r="ET54" s="10"/>
      <c r="EU54" s="10"/>
      <c r="EV54" s="10"/>
      <c r="EZ54" s="10"/>
      <c r="FA54" s="10"/>
      <c r="FB54" s="10"/>
      <c r="FC54" s="10"/>
      <c r="FG54" s="10"/>
      <c r="FH54" s="10"/>
      <c r="FI54" s="10"/>
      <c r="FJ54" s="10"/>
      <c r="FN54" s="10"/>
      <c r="FO54" s="10"/>
      <c r="FP54" s="10"/>
      <c r="FQ54" s="10"/>
      <c r="FU54" s="10"/>
      <c r="FV54" s="10"/>
      <c r="FW54" s="10"/>
      <c r="FX54" s="10"/>
      <c r="GA54" s="10"/>
      <c r="GB54" s="10"/>
      <c r="GC54" s="10"/>
      <c r="GD54" s="10"/>
      <c r="GG54" s="10"/>
      <c r="GH54" s="10"/>
      <c r="GI54" s="10"/>
      <c r="GJ54" s="10"/>
      <c r="GM54" s="10"/>
      <c r="GN54" s="10"/>
      <c r="GO54" s="10"/>
      <c r="GP54" s="10"/>
    </row>
    <row r="55" spans="2:198" outlineLevel="1">
      <c r="B55" t="s">
        <v>28</v>
      </c>
      <c r="C55" t="s">
        <v>89</v>
      </c>
      <c r="E55" s="9"/>
      <c r="F55" t="s">
        <v>170</v>
      </c>
      <c r="G55" s="10">
        <v>0.10299999999999999</v>
      </c>
      <c r="I55" s="9">
        <f t="shared" si="2"/>
        <v>0</v>
      </c>
      <c r="J55" s="11" cm="1">
        <f t="array" ref="J55">MAX(IF($N$3:$EH$3=$J$3,N55:EH55))</f>
        <v>0</v>
      </c>
      <c r="K55" s="11" cm="1">
        <f t="array" ref="K55">MAX(IF($N$3:$EH$3=$J$3,N55:EH55))</f>
        <v>0</v>
      </c>
      <c r="L55" s="9"/>
      <c r="O55" s="10"/>
      <c r="P55" s="10"/>
      <c r="Q55" s="10"/>
      <c r="R55" s="10"/>
      <c r="V55" s="10"/>
      <c r="W55" s="10">
        <v>0.1</v>
      </c>
      <c r="X55" s="10"/>
      <c r="Y55" s="10">
        <v>0.1</v>
      </c>
      <c r="AC55" s="10"/>
      <c r="AD55" s="10">
        <v>0.5</v>
      </c>
      <c r="AE55" s="10"/>
      <c r="AF55" s="10">
        <v>0.5</v>
      </c>
      <c r="AJ55" s="10"/>
      <c r="AK55" s="10">
        <v>0.5</v>
      </c>
      <c r="AL55" s="10"/>
      <c r="AM55" s="10">
        <v>0.5</v>
      </c>
      <c r="AQ55" s="10"/>
      <c r="AR55" s="10">
        <v>0.5</v>
      </c>
      <c r="AS55" s="10"/>
      <c r="AT55" s="10">
        <v>0.5</v>
      </c>
      <c r="AX55" s="10"/>
      <c r="AY55" s="10">
        <v>0.5</v>
      </c>
      <c r="AZ55" s="10"/>
      <c r="BA55" s="10">
        <v>0.5</v>
      </c>
      <c r="BE55" s="10"/>
      <c r="BF55" s="10">
        <v>0.8</v>
      </c>
      <c r="BG55" s="10"/>
      <c r="BH55" s="10">
        <v>0.8</v>
      </c>
      <c r="BL55" s="10"/>
      <c r="BM55" s="10">
        <v>0.8</v>
      </c>
      <c r="BN55" s="10"/>
      <c r="BO55" s="10">
        <v>0.8</v>
      </c>
      <c r="BS55" s="10"/>
      <c r="BT55" s="10">
        <v>0.8</v>
      </c>
      <c r="BU55" s="10"/>
      <c r="BV55" s="10">
        <v>0.8</v>
      </c>
      <c r="BZ55" s="10"/>
      <c r="CA55" s="10">
        <v>0.8</v>
      </c>
      <c r="CB55" s="10"/>
      <c r="CC55" s="10">
        <v>0.8</v>
      </c>
      <c r="CG55" s="10"/>
      <c r="CH55" s="10">
        <v>0.8</v>
      </c>
      <c r="CI55" s="10"/>
      <c r="CJ55" s="10">
        <v>0.8</v>
      </c>
      <c r="CN55" s="10"/>
      <c r="CO55" s="10">
        <v>0.8</v>
      </c>
      <c r="CP55" s="10"/>
      <c r="CQ55" s="10">
        <v>0.8</v>
      </c>
      <c r="CU55" s="10"/>
      <c r="CV55" s="10">
        <v>1</v>
      </c>
      <c r="CW55" s="10"/>
      <c r="CX55" s="10">
        <v>1</v>
      </c>
      <c r="DB55" s="10"/>
      <c r="DC55" s="10">
        <v>1</v>
      </c>
      <c r="DD55" s="10"/>
      <c r="DE55" s="10">
        <v>1</v>
      </c>
      <c r="DJ55" s="10"/>
      <c r="DK55" s="10">
        <v>1</v>
      </c>
      <c r="DL55" s="10"/>
      <c r="DM55" s="10">
        <v>1</v>
      </c>
      <c r="DQ55" s="10"/>
      <c r="DR55" s="10">
        <v>1</v>
      </c>
      <c r="DS55" s="10"/>
      <c r="DT55" s="10">
        <v>1</v>
      </c>
      <c r="DX55" s="10"/>
      <c r="DY55" s="10"/>
      <c r="DZ55" s="10"/>
      <c r="EA55" s="10"/>
      <c r="EE55" s="10"/>
      <c r="EF55" s="10"/>
      <c r="EG55" s="10"/>
      <c r="EH55" s="10"/>
      <c r="EL55" s="10"/>
      <c r="EM55" s="10"/>
      <c r="EN55" s="10"/>
      <c r="EO55" s="10"/>
      <c r="ES55" s="10"/>
      <c r="ET55" s="10"/>
      <c r="EU55" s="10"/>
      <c r="EV55" s="10"/>
      <c r="EZ55" s="10"/>
      <c r="FA55" s="10"/>
      <c r="FB55" s="10"/>
      <c r="FC55" s="10"/>
      <c r="FG55" s="10"/>
      <c r="FH55" s="10"/>
      <c r="FI55" s="10"/>
      <c r="FJ55" s="10"/>
      <c r="FN55" s="10"/>
      <c r="FO55" s="10"/>
      <c r="FP55" s="10"/>
      <c r="FQ55" s="10"/>
      <c r="FU55" s="10"/>
      <c r="FV55" s="10"/>
      <c r="FW55" s="10"/>
      <c r="FX55" s="10"/>
      <c r="GA55" s="10"/>
      <c r="GB55" s="10"/>
      <c r="GC55" s="10"/>
      <c r="GD55" s="10"/>
      <c r="GG55" s="10"/>
      <c r="GH55" s="10"/>
      <c r="GI55" s="10"/>
      <c r="GJ55" s="10"/>
      <c r="GM55" s="10"/>
      <c r="GN55" s="10"/>
      <c r="GO55" s="10"/>
      <c r="GP55" s="10"/>
    </row>
    <row r="56" spans="2:198" outlineLevel="1">
      <c r="B56" t="s">
        <v>28</v>
      </c>
      <c r="C56" t="s">
        <v>89</v>
      </c>
      <c r="E56" s="9"/>
      <c r="F56" t="s">
        <v>194</v>
      </c>
      <c r="G56" s="10">
        <v>6.2E-2</v>
      </c>
      <c r="I56" s="9">
        <f t="shared" si="2"/>
        <v>0</v>
      </c>
      <c r="J56" s="11" cm="1">
        <f t="array" ref="J56">MAX(IF($N$3:$EH$3=$J$3,N56:EH56))</f>
        <v>0</v>
      </c>
      <c r="K56" s="11" cm="1">
        <f t="array" ref="K56">MAX(IF($N$3:$EH$3=$J$3,N56:EH56))</f>
        <v>0</v>
      </c>
      <c r="L56" s="9"/>
      <c r="O56" s="10"/>
      <c r="P56" s="10"/>
      <c r="Q56" s="10"/>
      <c r="R56" s="10"/>
      <c r="V56" s="10"/>
      <c r="W56" s="10"/>
      <c r="X56" s="10"/>
      <c r="Y56" s="10"/>
      <c r="AC56" s="10"/>
      <c r="AD56" s="10">
        <v>0.5</v>
      </c>
      <c r="AE56" s="10"/>
      <c r="AF56" s="10">
        <v>0.5</v>
      </c>
      <c r="AJ56" s="10"/>
      <c r="AK56" s="10">
        <v>0.5</v>
      </c>
      <c r="AL56" s="10"/>
      <c r="AM56" s="10">
        <v>0.5</v>
      </c>
      <c r="AQ56" s="10"/>
      <c r="AR56" s="10">
        <v>0.5</v>
      </c>
      <c r="AS56" s="10"/>
      <c r="AT56" s="10">
        <v>0.5</v>
      </c>
      <c r="AX56" s="10"/>
      <c r="AY56" s="10">
        <v>0.5</v>
      </c>
      <c r="AZ56" s="10"/>
      <c r="BA56" s="10">
        <v>0.5</v>
      </c>
      <c r="BE56" s="10"/>
      <c r="BF56" s="10">
        <v>0.5</v>
      </c>
      <c r="BG56" s="10"/>
      <c r="BH56" s="10">
        <v>0.5</v>
      </c>
      <c r="BL56" s="10"/>
      <c r="BM56" s="10">
        <v>0.8</v>
      </c>
      <c r="BN56" s="10"/>
      <c r="BO56" s="10">
        <v>0.8</v>
      </c>
      <c r="BS56" s="10"/>
      <c r="BT56" s="10">
        <v>0.8</v>
      </c>
      <c r="BU56" s="10"/>
      <c r="BV56" s="10">
        <v>0.8</v>
      </c>
      <c r="BZ56" s="10"/>
      <c r="CA56" s="10">
        <v>0.8</v>
      </c>
      <c r="CB56" s="10"/>
      <c r="CC56" s="10">
        <v>0.8</v>
      </c>
      <c r="CG56" s="10"/>
      <c r="CH56" s="10">
        <v>0.8</v>
      </c>
      <c r="CI56" s="10"/>
      <c r="CJ56" s="10">
        <v>0.8</v>
      </c>
      <c r="CN56" s="10"/>
      <c r="CO56" s="10">
        <v>0.8</v>
      </c>
      <c r="CP56" s="10"/>
      <c r="CQ56" s="10">
        <v>0.8</v>
      </c>
      <c r="CU56" s="10"/>
      <c r="CV56" s="10">
        <v>0.8</v>
      </c>
      <c r="CW56" s="10"/>
      <c r="CX56" s="10">
        <v>0.8</v>
      </c>
      <c r="DB56" s="10"/>
      <c r="DC56" s="10">
        <v>1</v>
      </c>
      <c r="DD56" s="10"/>
      <c r="DE56" s="10">
        <v>1</v>
      </c>
      <c r="DJ56" s="10"/>
      <c r="DK56" s="10">
        <v>1</v>
      </c>
      <c r="DL56" s="10"/>
      <c r="DM56" s="10">
        <v>1</v>
      </c>
      <c r="DQ56" s="10"/>
      <c r="DR56" s="10">
        <v>1</v>
      </c>
      <c r="DS56" s="10"/>
      <c r="DT56" s="10">
        <v>1</v>
      </c>
      <c r="DX56" s="10"/>
      <c r="DY56" s="10"/>
      <c r="DZ56" s="10"/>
      <c r="EA56" s="10"/>
      <c r="EE56" s="10"/>
      <c r="EF56" s="10"/>
      <c r="EG56" s="10"/>
      <c r="EH56" s="10"/>
      <c r="EL56" s="10"/>
      <c r="EM56" s="10"/>
      <c r="EN56" s="10"/>
      <c r="EO56" s="10"/>
      <c r="ES56" s="10"/>
      <c r="ET56" s="10"/>
      <c r="EU56" s="10"/>
      <c r="EV56" s="10"/>
      <c r="EZ56" s="10"/>
      <c r="FA56" s="10"/>
      <c r="FB56" s="10"/>
      <c r="FC56" s="10"/>
      <c r="FG56" s="10"/>
      <c r="FH56" s="10"/>
      <c r="FI56" s="10"/>
      <c r="FJ56" s="10"/>
      <c r="FN56" s="10"/>
      <c r="FO56" s="10"/>
      <c r="FP56" s="10"/>
      <c r="FQ56" s="10"/>
      <c r="FU56" s="10"/>
      <c r="FV56" s="10"/>
      <c r="FW56" s="10"/>
      <c r="FX56" s="10"/>
      <c r="GA56" s="10"/>
      <c r="GB56" s="10"/>
      <c r="GC56" s="10"/>
      <c r="GD56" s="10"/>
      <c r="GG56" s="10"/>
      <c r="GH56" s="10"/>
      <c r="GI56" s="10"/>
      <c r="GJ56" s="10"/>
      <c r="GM56" s="10"/>
      <c r="GN56" s="10"/>
      <c r="GO56" s="10"/>
      <c r="GP56" s="10"/>
    </row>
    <row r="57" spans="2:198" outlineLevel="1">
      <c r="B57" t="s">
        <v>28</v>
      </c>
      <c r="C57" t="s">
        <v>89</v>
      </c>
      <c r="E57" s="9"/>
      <c r="F57" t="s">
        <v>195</v>
      </c>
      <c r="G57" s="10">
        <v>6.2E-2</v>
      </c>
      <c r="I57" s="9">
        <f t="shared" si="2"/>
        <v>0</v>
      </c>
      <c r="J57" s="11" cm="1">
        <f t="array" ref="J57">MAX(IF($N$3:$EH$3=$J$3,N57:EH57))</f>
        <v>0</v>
      </c>
      <c r="K57" s="11" cm="1">
        <f t="array" ref="K57">MAX(IF($N$3:$EH$3=$J$3,N57:EH57))</f>
        <v>0</v>
      </c>
      <c r="L57" s="9"/>
      <c r="O57" s="10"/>
      <c r="P57" s="10"/>
      <c r="Q57" s="10"/>
      <c r="R57" s="10"/>
      <c r="V57" s="10"/>
      <c r="W57" s="10"/>
      <c r="X57" s="10"/>
      <c r="Y57" s="10"/>
      <c r="AC57" s="10"/>
      <c r="AD57" s="10"/>
      <c r="AE57" s="10"/>
      <c r="AF57" s="10"/>
      <c r="AJ57" s="10"/>
      <c r="AK57" s="10">
        <v>0.5</v>
      </c>
      <c r="AL57" s="10"/>
      <c r="AM57" s="10">
        <v>0.5</v>
      </c>
      <c r="AQ57" s="10"/>
      <c r="AR57" s="10">
        <v>0.5</v>
      </c>
      <c r="AS57" s="10"/>
      <c r="AT57" s="10">
        <v>0.5</v>
      </c>
      <c r="AX57" s="10"/>
      <c r="AY57" s="10">
        <v>0.5</v>
      </c>
      <c r="AZ57" s="10"/>
      <c r="BA57" s="10">
        <v>0.5</v>
      </c>
      <c r="BE57" s="10"/>
      <c r="BF57" s="10">
        <v>0.5</v>
      </c>
      <c r="BG57" s="10"/>
      <c r="BH57" s="10">
        <v>0.5</v>
      </c>
      <c r="BL57" s="10"/>
      <c r="BM57" s="10">
        <v>0.5</v>
      </c>
      <c r="BN57" s="10"/>
      <c r="BO57" s="10">
        <v>0.5</v>
      </c>
      <c r="BS57" s="10"/>
      <c r="BT57" s="10">
        <v>0.8</v>
      </c>
      <c r="BU57" s="10"/>
      <c r="BV57" s="10">
        <v>0.8</v>
      </c>
      <c r="BZ57" s="10"/>
      <c r="CA57" s="10">
        <v>0.8</v>
      </c>
      <c r="CB57" s="10"/>
      <c r="CC57" s="10">
        <v>0.8</v>
      </c>
      <c r="CG57" s="10"/>
      <c r="CH57" s="10">
        <v>0.8</v>
      </c>
      <c r="CI57" s="10"/>
      <c r="CJ57" s="10">
        <v>0.8</v>
      </c>
      <c r="CN57" s="10"/>
      <c r="CO57" s="10">
        <v>0.8</v>
      </c>
      <c r="CP57" s="10"/>
      <c r="CQ57" s="10">
        <v>0.8</v>
      </c>
      <c r="CU57" s="10"/>
      <c r="CV57" s="10">
        <v>0.8</v>
      </c>
      <c r="CW57" s="10"/>
      <c r="CX57" s="10">
        <v>0.8</v>
      </c>
      <c r="DB57" s="10"/>
      <c r="DC57" s="10">
        <v>1</v>
      </c>
      <c r="DD57" s="10"/>
      <c r="DE57" s="10">
        <v>1</v>
      </c>
      <c r="DJ57" s="10"/>
      <c r="DK57" s="10">
        <v>1</v>
      </c>
      <c r="DL57" s="10"/>
      <c r="DM57" s="10">
        <v>1</v>
      </c>
      <c r="DQ57" s="10"/>
      <c r="DR57" s="10">
        <v>1</v>
      </c>
      <c r="DS57" s="10"/>
      <c r="DT57" s="10">
        <v>1</v>
      </c>
      <c r="DX57" s="10"/>
      <c r="DY57" s="10"/>
      <c r="DZ57" s="10"/>
      <c r="EA57" s="10"/>
      <c r="EE57" s="10"/>
      <c r="EF57" s="10"/>
      <c r="EG57" s="10"/>
      <c r="EH57" s="10"/>
      <c r="EL57" s="10"/>
      <c r="EM57" s="10"/>
      <c r="EN57" s="10"/>
      <c r="EO57" s="10"/>
      <c r="ES57" s="10"/>
      <c r="ET57" s="10"/>
      <c r="EU57" s="10"/>
      <c r="EV57" s="10"/>
      <c r="EZ57" s="10"/>
      <c r="FA57" s="10"/>
      <c r="FB57" s="10"/>
      <c r="FC57" s="10"/>
      <c r="FG57" s="10"/>
      <c r="FH57" s="10"/>
      <c r="FI57" s="10"/>
      <c r="FJ57" s="10"/>
      <c r="FN57" s="10"/>
      <c r="FO57" s="10"/>
      <c r="FP57" s="10"/>
      <c r="FQ57" s="10"/>
      <c r="FU57" s="10"/>
      <c r="FV57" s="10"/>
      <c r="FW57" s="10"/>
      <c r="FX57" s="10"/>
      <c r="GA57" s="10"/>
      <c r="GB57" s="10"/>
      <c r="GC57" s="10"/>
      <c r="GD57" s="10"/>
      <c r="GG57" s="10"/>
      <c r="GH57" s="10"/>
      <c r="GI57" s="10"/>
      <c r="GJ57" s="10"/>
      <c r="GM57" s="10"/>
      <c r="GN57" s="10"/>
      <c r="GO57" s="10"/>
      <c r="GP57" s="10"/>
    </row>
    <row r="58" spans="2:198" outlineLevel="1">
      <c r="B58" t="s">
        <v>28</v>
      </c>
      <c r="C58" t="s">
        <v>89</v>
      </c>
      <c r="E58" s="9"/>
      <c r="F58" t="s">
        <v>196</v>
      </c>
      <c r="G58" s="10">
        <v>3.5999999999999997E-2</v>
      </c>
      <c r="I58" s="9">
        <f t="shared" si="2"/>
        <v>0</v>
      </c>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v>0.5</v>
      </c>
      <c r="AL58" s="10"/>
      <c r="AM58" s="10">
        <v>0.5</v>
      </c>
      <c r="AQ58" s="10"/>
      <c r="AR58" s="10">
        <v>0.5</v>
      </c>
      <c r="AS58" s="10"/>
      <c r="AT58" s="10">
        <v>0.5</v>
      </c>
      <c r="AX58" s="10"/>
      <c r="AY58" s="10">
        <v>0.5</v>
      </c>
      <c r="AZ58" s="10"/>
      <c r="BA58" s="10">
        <v>0.5</v>
      </c>
      <c r="BE58" s="10"/>
      <c r="BF58" s="10">
        <v>0.5</v>
      </c>
      <c r="BG58" s="10"/>
      <c r="BH58" s="10">
        <v>0.5</v>
      </c>
      <c r="BL58" s="10"/>
      <c r="BM58" s="10">
        <v>0.5</v>
      </c>
      <c r="BN58" s="10"/>
      <c r="BO58" s="10">
        <v>0.5</v>
      </c>
      <c r="BS58" s="10"/>
      <c r="BT58" s="10">
        <v>0.5</v>
      </c>
      <c r="BU58" s="10"/>
      <c r="BV58" s="10">
        <v>0.5</v>
      </c>
      <c r="BZ58" s="10"/>
      <c r="CA58" s="10">
        <v>0.8</v>
      </c>
      <c r="CB58" s="10"/>
      <c r="CC58" s="10">
        <v>0.8</v>
      </c>
      <c r="CG58" s="10"/>
      <c r="CH58" s="10">
        <v>0.8</v>
      </c>
      <c r="CI58" s="10"/>
      <c r="CJ58" s="10">
        <v>0.8</v>
      </c>
      <c r="CN58" s="10"/>
      <c r="CO58" s="10">
        <v>0.8</v>
      </c>
      <c r="CP58" s="10"/>
      <c r="CQ58" s="10">
        <v>0.8</v>
      </c>
      <c r="CU58" s="10"/>
      <c r="CV58" s="10">
        <v>0.8</v>
      </c>
      <c r="CW58" s="10"/>
      <c r="CX58" s="10">
        <v>0.8</v>
      </c>
      <c r="DB58" s="10"/>
      <c r="DC58" s="10">
        <v>1</v>
      </c>
      <c r="DD58" s="10"/>
      <c r="DE58" s="10">
        <v>1</v>
      </c>
      <c r="DJ58" s="10"/>
      <c r="DK58" s="10">
        <v>1</v>
      </c>
      <c r="DL58" s="10"/>
      <c r="DM58" s="10">
        <v>1</v>
      </c>
      <c r="DQ58" s="10"/>
      <c r="DR58" s="10">
        <v>1</v>
      </c>
      <c r="DS58" s="10"/>
      <c r="DT58" s="10">
        <v>1</v>
      </c>
      <c r="DX58" s="10"/>
      <c r="DY58" s="10"/>
      <c r="DZ58" s="10"/>
      <c r="EA58" s="10"/>
      <c r="EE58" s="10"/>
      <c r="EF58" s="10"/>
      <c r="EG58" s="10"/>
      <c r="EH58" s="10"/>
      <c r="EL58" s="10"/>
      <c r="EM58" s="10"/>
      <c r="EN58" s="10"/>
      <c r="EO58" s="10"/>
      <c r="ES58" s="10"/>
      <c r="ET58" s="10"/>
      <c r="EU58" s="10"/>
      <c r="EV58" s="10"/>
      <c r="EZ58" s="10"/>
      <c r="FA58" s="10"/>
      <c r="FB58" s="10"/>
      <c r="FC58" s="10"/>
      <c r="FG58" s="10"/>
      <c r="FH58" s="10"/>
      <c r="FI58" s="10"/>
      <c r="FJ58" s="10"/>
      <c r="FN58" s="10"/>
      <c r="FO58" s="10"/>
      <c r="FP58" s="10"/>
      <c r="FQ58" s="10"/>
      <c r="FU58" s="10"/>
      <c r="FV58" s="10"/>
      <c r="FW58" s="10"/>
      <c r="FX58" s="10"/>
      <c r="GA58" s="10"/>
      <c r="GB58" s="10"/>
      <c r="GC58" s="10"/>
      <c r="GD58" s="10"/>
      <c r="GG58" s="10"/>
      <c r="GH58" s="10"/>
      <c r="GI58" s="10"/>
      <c r="GJ58" s="10"/>
      <c r="GM58" s="10"/>
      <c r="GN58" s="10"/>
      <c r="GO58" s="10"/>
      <c r="GP58" s="10"/>
    </row>
    <row r="59" spans="2:198" outlineLevel="1">
      <c r="B59" t="s">
        <v>28</v>
      </c>
      <c r="C59" t="s">
        <v>89</v>
      </c>
      <c r="E59" s="9"/>
      <c r="F59" t="s">
        <v>197</v>
      </c>
      <c r="G59" s="10">
        <v>2.07E-2</v>
      </c>
      <c r="I59" s="9">
        <f t="shared" si="2"/>
        <v>0</v>
      </c>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c r="AL59" s="10"/>
      <c r="AM59" s="10"/>
      <c r="AQ59" s="10"/>
      <c r="AR59" s="10">
        <v>0.5</v>
      </c>
      <c r="AS59" s="10"/>
      <c r="AT59" s="10">
        <v>0.5</v>
      </c>
      <c r="AX59" s="10"/>
      <c r="AY59" s="10">
        <v>0.5</v>
      </c>
      <c r="AZ59" s="10"/>
      <c r="BA59" s="10">
        <v>0.5</v>
      </c>
      <c r="BE59" s="10"/>
      <c r="BF59" s="10">
        <v>0.5</v>
      </c>
      <c r="BG59" s="10"/>
      <c r="BH59" s="10">
        <v>0.5</v>
      </c>
      <c r="BL59" s="10"/>
      <c r="BM59" s="10">
        <v>0.5</v>
      </c>
      <c r="BN59" s="10"/>
      <c r="BO59" s="10">
        <v>0.5</v>
      </c>
      <c r="BS59" s="10"/>
      <c r="BT59" s="10">
        <v>0.5</v>
      </c>
      <c r="BU59" s="10"/>
      <c r="BV59" s="10">
        <v>0.5</v>
      </c>
      <c r="BZ59" s="10"/>
      <c r="CA59" s="10">
        <v>0.5</v>
      </c>
      <c r="CB59" s="10"/>
      <c r="CC59" s="10">
        <v>0.5</v>
      </c>
      <c r="CG59" s="10"/>
      <c r="CH59" s="10">
        <v>0.8</v>
      </c>
      <c r="CI59" s="10"/>
      <c r="CJ59" s="10">
        <v>0.8</v>
      </c>
      <c r="CN59" s="10"/>
      <c r="CO59" s="10">
        <v>0.8</v>
      </c>
      <c r="CP59" s="10"/>
      <c r="CQ59" s="10">
        <v>0.8</v>
      </c>
      <c r="CU59" s="10"/>
      <c r="CV59" s="10">
        <v>0.8</v>
      </c>
      <c r="CW59" s="10"/>
      <c r="CX59" s="10">
        <v>0.8</v>
      </c>
      <c r="DB59" s="10"/>
      <c r="DC59" s="10">
        <v>0.8</v>
      </c>
      <c r="DD59" s="10"/>
      <c r="DE59" s="10">
        <v>0.8</v>
      </c>
      <c r="DJ59" s="10"/>
      <c r="DK59" s="10">
        <v>1</v>
      </c>
      <c r="DL59" s="10"/>
      <c r="DM59" s="10">
        <v>1</v>
      </c>
      <c r="DQ59" s="10"/>
      <c r="DR59" s="10">
        <v>1</v>
      </c>
      <c r="DS59" s="10"/>
      <c r="DT59" s="10">
        <v>1</v>
      </c>
      <c r="DX59" s="10"/>
      <c r="DY59" s="10"/>
      <c r="DZ59" s="10"/>
      <c r="EA59" s="10"/>
      <c r="EE59" s="10"/>
      <c r="EF59" s="10"/>
      <c r="EG59" s="10"/>
      <c r="EH59" s="10"/>
      <c r="EL59" s="10"/>
      <c r="EM59" s="10"/>
      <c r="EN59" s="10"/>
      <c r="EO59" s="10"/>
      <c r="ES59" s="10"/>
      <c r="ET59" s="10"/>
      <c r="EU59" s="10"/>
      <c r="EV59" s="10"/>
      <c r="EZ59" s="10"/>
      <c r="FA59" s="10"/>
      <c r="FB59" s="10"/>
      <c r="FC59" s="10"/>
      <c r="FG59" s="10"/>
      <c r="FH59" s="10"/>
      <c r="FI59" s="10"/>
      <c r="FJ59" s="10"/>
      <c r="FN59" s="10"/>
      <c r="FO59" s="10"/>
      <c r="FP59" s="10"/>
      <c r="FQ59" s="10"/>
      <c r="FU59" s="10"/>
      <c r="FV59" s="10"/>
      <c r="FW59" s="10"/>
      <c r="FX59" s="10"/>
      <c r="GA59" s="10"/>
      <c r="GB59" s="10"/>
      <c r="GC59" s="10"/>
      <c r="GD59" s="10"/>
      <c r="GG59" s="10"/>
      <c r="GH59" s="10"/>
      <c r="GI59" s="10"/>
      <c r="GJ59" s="10"/>
      <c r="GM59" s="10"/>
      <c r="GN59" s="10"/>
      <c r="GO59" s="10"/>
      <c r="GP59" s="10"/>
    </row>
    <row r="60" spans="2:198" outlineLevel="1">
      <c r="B60" t="s">
        <v>28</v>
      </c>
      <c r="C60" t="s">
        <v>89</v>
      </c>
      <c r="E60" s="9"/>
      <c r="F60" t="s">
        <v>198</v>
      </c>
      <c r="G60" s="10">
        <v>3.1E-2</v>
      </c>
      <c r="I60" s="9">
        <f t="shared" si="2"/>
        <v>0</v>
      </c>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c r="AL60" s="10"/>
      <c r="AM60" s="10"/>
      <c r="AQ60" s="10"/>
      <c r="AR60" s="10">
        <v>0.5</v>
      </c>
      <c r="AS60" s="10"/>
      <c r="AT60" s="10">
        <v>0.5</v>
      </c>
      <c r="AX60" s="10"/>
      <c r="AY60" s="10">
        <v>0.5</v>
      </c>
      <c r="AZ60" s="10"/>
      <c r="BA60" s="10">
        <v>0.5</v>
      </c>
      <c r="BE60" s="10"/>
      <c r="BF60" s="10">
        <v>0.5</v>
      </c>
      <c r="BG60" s="10"/>
      <c r="BH60" s="10">
        <v>0.5</v>
      </c>
      <c r="BL60" s="10"/>
      <c r="BM60" s="10">
        <v>0.5</v>
      </c>
      <c r="BN60" s="10"/>
      <c r="BO60" s="10">
        <v>0.5</v>
      </c>
      <c r="BS60" s="10"/>
      <c r="BT60" s="10">
        <v>0.5</v>
      </c>
      <c r="BU60" s="10"/>
      <c r="BV60" s="10">
        <v>0.5</v>
      </c>
      <c r="BZ60" s="10"/>
      <c r="CA60" s="10">
        <v>0.5</v>
      </c>
      <c r="CB60" s="10"/>
      <c r="CC60" s="10">
        <v>0.5</v>
      </c>
      <c r="CG60" s="10"/>
      <c r="CH60" s="10">
        <v>0.8</v>
      </c>
      <c r="CI60" s="10"/>
      <c r="CJ60" s="10">
        <v>0.8</v>
      </c>
      <c r="CN60" s="10"/>
      <c r="CO60" s="10">
        <v>0.8</v>
      </c>
      <c r="CP60" s="10"/>
      <c r="CQ60" s="10">
        <v>0.8</v>
      </c>
      <c r="CU60" s="10"/>
      <c r="CV60" s="10">
        <v>0.8</v>
      </c>
      <c r="CW60" s="10"/>
      <c r="CX60" s="10">
        <v>0.8</v>
      </c>
      <c r="DB60" s="10"/>
      <c r="DC60" s="10">
        <v>0.8</v>
      </c>
      <c r="DD60" s="10"/>
      <c r="DE60" s="10">
        <v>0.8</v>
      </c>
      <c r="DJ60" s="10"/>
      <c r="DK60" s="10">
        <v>1</v>
      </c>
      <c r="DL60" s="10"/>
      <c r="DM60" s="10">
        <v>1</v>
      </c>
      <c r="DQ60" s="10"/>
      <c r="DR60" s="10">
        <v>1</v>
      </c>
      <c r="DS60" s="10"/>
      <c r="DT60" s="10">
        <v>1</v>
      </c>
      <c r="DX60" s="10"/>
      <c r="DY60" s="10"/>
      <c r="DZ60" s="10"/>
      <c r="EA60" s="10"/>
      <c r="EE60" s="10"/>
      <c r="EF60" s="10"/>
      <c r="EG60" s="10"/>
      <c r="EH60" s="10"/>
      <c r="EL60" s="10"/>
      <c r="EM60" s="10"/>
      <c r="EN60" s="10"/>
      <c r="EO60" s="10"/>
      <c r="ES60" s="10"/>
      <c r="ET60" s="10"/>
      <c r="EU60" s="10"/>
      <c r="EV60" s="10"/>
      <c r="EZ60" s="10"/>
      <c r="FA60" s="10"/>
      <c r="FB60" s="10"/>
      <c r="FC60" s="10"/>
      <c r="FG60" s="10"/>
      <c r="FH60" s="10"/>
      <c r="FI60" s="10"/>
      <c r="FJ60" s="10"/>
      <c r="FN60" s="10"/>
      <c r="FO60" s="10"/>
      <c r="FP60" s="10"/>
      <c r="FQ60" s="10"/>
      <c r="FU60" s="10"/>
      <c r="FV60" s="10"/>
      <c r="FW60" s="10"/>
      <c r="FX60" s="10"/>
      <c r="GA60" s="10"/>
      <c r="GB60" s="10"/>
      <c r="GC60" s="10"/>
      <c r="GD60" s="10"/>
      <c r="GG60" s="10"/>
      <c r="GH60" s="10"/>
      <c r="GI60" s="10"/>
      <c r="GJ60" s="10"/>
      <c r="GM60" s="10"/>
      <c r="GN60" s="10"/>
      <c r="GO60" s="10"/>
      <c r="GP60" s="10"/>
    </row>
    <row r="61" spans="2:198" outlineLevel="1">
      <c r="B61" t="s">
        <v>28</v>
      </c>
      <c r="C61" t="s">
        <v>89</v>
      </c>
      <c r="E61" s="9"/>
      <c r="F61" t="s">
        <v>171</v>
      </c>
      <c r="G61" s="10">
        <v>3.1E-2</v>
      </c>
      <c r="I61" s="9">
        <f t="shared" si="2"/>
        <v>0</v>
      </c>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Q61" s="10"/>
      <c r="AR61" s="10"/>
      <c r="AS61" s="10"/>
      <c r="AT61" s="10"/>
      <c r="AX61" s="10"/>
      <c r="AY61" s="10">
        <v>0.5</v>
      </c>
      <c r="AZ61" s="10"/>
      <c r="BA61" s="10">
        <v>0.5</v>
      </c>
      <c r="BE61" s="10"/>
      <c r="BF61" s="10">
        <v>0.5</v>
      </c>
      <c r="BG61" s="10"/>
      <c r="BH61" s="10">
        <v>0.5</v>
      </c>
      <c r="BL61" s="10"/>
      <c r="BM61" s="10">
        <v>0.5</v>
      </c>
      <c r="BN61" s="10"/>
      <c r="BO61" s="10">
        <v>0.5</v>
      </c>
      <c r="BS61" s="10"/>
      <c r="BT61" s="10">
        <v>0.5</v>
      </c>
      <c r="BU61" s="10"/>
      <c r="BV61" s="10">
        <v>0.5</v>
      </c>
      <c r="BZ61" s="10"/>
      <c r="CA61" s="10">
        <v>0.5</v>
      </c>
      <c r="CB61" s="10"/>
      <c r="CC61" s="10">
        <v>0.5</v>
      </c>
      <c r="CG61" s="10"/>
      <c r="CH61" s="10">
        <v>0.5</v>
      </c>
      <c r="CI61" s="10"/>
      <c r="CJ61" s="10">
        <v>0.5</v>
      </c>
      <c r="CN61" s="10"/>
      <c r="CO61" s="10">
        <v>0.8</v>
      </c>
      <c r="CP61" s="10"/>
      <c r="CQ61" s="10">
        <v>0.8</v>
      </c>
      <c r="CU61" s="10"/>
      <c r="CV61" s="10">
        <v>0.8</v>
      </c>
      <c r="CW61" s="10"/>
      <c r="CX61" s="10">
        <v>0.8</v>
      </c>
      <c r="DB61" s="10"/>
      <c r="DC61" s="10">
        <v>0.8</v>
      </c>
      <c r="DD61" s="10"/>
      <c r="DE61" s="10">
        <v>0.8</v>
      </c>
      <c r="DJ61" s="10"/>
      <c r="DK61" s="10">
        <v>0.8</v>
      </c>
      <c r="DL61" s="10"/>
      <c r="DM61" s="10">
        <v>0.8</v>
      </c>
      <c r="DQ61" s="10"/>
      <c r="DR61" s="10">
        <v>1</v>
      </c>
      <c r="DS61" s="10"/>
      <c r="DT61" s="10">
        <v>1</v>
      </c>
      <c r="DX61" s="10"/>
      <c r="DY61" s="10"/>
      <c r="DZ61" s="10"/>
      <c r="EA61" s="10"/>
      <c r="EE61" s="10"/>
      <c r="EF61" s="10"/>
      <c r="EG61" s="10"/>
      <c r="EH61" s="10"/>
      <c r="EL61" s="10"/>
      <c r="EM61" s="10"/>
      <c r="EN61" s="10"/>
      <c r="EO61" s="10"/>
      <c r="ES61" s="10"/>
      <c r="ET61" s="10"/>
      <c r="EU61" s="10"/>
      <c r="EV61" s="10"/>
      <c r="EZ61" s="10"/>
      <c r="FA61" s="10"/>
      <c r="FB61" s="10"/>
      <c r="FC61" s="10"/>
      <c r="FG61" s="10"/>
      <c r="FH61" s="10"/>
      <c r="FI61" s="10"/>
      <c r="FJ61" s="10"/>
      <c r="FN61" s="10"/>
      <c r="FO61" s="10"/>
      <c r="FP61" s="10"/>
      <c r="FQ61" s="10"/>
      <c r="FU61" s="10"/>
      <c r="FV61" s="10"/>
      <c r="FW61" s="10"/>
      <c r="FX61" s="10"/>
      <c r="GA61" s="10"/>
      <c r="GB61" s="10"/>
      <c r="GC61" s="10"/>
      <c r="GD61" s="10"/>
      <c r="GG61" s="10"/>
      <c r="GH61" s="10"/>
      <c r="GI61" s="10"/>
      <c r="GJ61" s="10"/>
      <c r="GM61" s="10"/>
      <c r="GN61" s="10"/>
      <c r="GO61" s="10"/>
      <c r="GP61" s="10"/>
    </row>
    <row r="62" spans="2:198" outlineLevel="1">
      <c r="B62" t="s">
        <v>28</v>
      </c>
      <c r="C62" t="s">
        <v>89</v>
      </c>
      <c r="E62" s="9"/>
      <c r="F62" t="s">
        <v>199</v>
      </c>
      <c r="G62" s="10">
        <v>1E-3</v>
      </c>
      <c r="I62" s="9">
        <f t="shared" si="2"/>
        <v>0</v>
      </c>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Q62" s="10"/>
      <c r="AR62" s="10"/>
      <c r="AS62" s="10"/>
      <c r="AT62" s="10"/>
      <c r="AX62" s="10"/>
      <c r="AY62" s="10">
        <v>0.5</v>
      </c>
      <c r="AZ62" s="10"/>
      <c r="BA62" s="10">
        <v>0.5</v>
      </c>
      <c r="BE62" s="10"/>
      <c r="BF62" s="10">
        <v>0.5</v>
      </c>
      <c r="BG62" s="10"/>
      <c r="BH62" s="10">
        <v>0.5</v>
      </c>
      <c r="BL62" s="10"/>
      <c r="BM62" s="10">
        <v>0.5</v>
      </c>
      <c r="BN62" s="10"/>
      <c r="BO62" s="10">
        <v>0.5</v>
      </c>
      <c r="BS62" s="10"/>
      <c r="BT62" s="10">
        <v>0.5</v>
      </c>
      <c r="BU62" s="10"/>
      <c r="BV62" s="10">
        <v>0.5</v>
      </c>
      <c r="BZ62" s="10"/>
      <c r="CA62" s="10">
        <v>0.5</v>
      </c>
      <c r="CB62" s="10"/>
      <c r="CC62" s="10">
        <v>0.5</v>
      </c>
      <c r="CG62" s="10"/>
      <c r="CH62" s="10">
        <v>0.5</v>
      </c>
      <c r="CI62" s="10"/>
      <c r="CJ62" s="10">
        <v>0.5</v>
      </c>
      <c r="CN62" s="10"/>
      <c r="CO62" s="10">
        <v>0.5</v>
      </c>
      <c r="CP62" s="10"/>
      <c r="CQ62" s="10">
        <v>0.5</v>
      </c>
      <c r="CU62" s="10"/>
      <c r="CV62" s="10">
        <v>0.8</v>
      </c>
      <c r="CW62" s="10"/>
      <c r="CX62" s="10">
        <v>0.8</v>
      </c>
      <c r="DB62" s="10"/>
      <c r="DC62" s="10">
        <v>0.8</v>
      </c>
      <c r="DD62" s="10"/>
      <c r="DE62" s="10">
        <v>0.8</v>
      </c>
      <c r="DJ62" s="10"/>
      <c r="DK62" s="10">
        <v>0.8</v>
      </c>
      <c r="DL62" s="10"/>
      <c r="DM62" s="10">
        <v>0.8</v>
      </c>
      <c r="DQ62" s="10"/>
      <c r="DR62" s="10">
        <v>1</v>
      </c>
      <c r="DS62" s="10"/>
      <c r="DT62" s="10">
        <v>1</v>
      </c>
      <c r="DX62" s="10"/>
      <c r="DY62" s="10"/>
      <c r="DZ62" s="10"/>
      <c r="EA62" s="10"/>
      <c r="EE62" s="10"/>
      <c r="EF62" s="10"/>
      <c r="EG62" s="10"/>
      <c r="EH62" s="10"/>
      <c r="EL62" s="10"/>
      <c r="EM62" s="10"/>
      <c r="EN62" s="10"/>
      <c r="EO62" s="10"/>
      <c r="ES62" s="10"/>
      <c r="ET62" s="10"/>
      <c r="EU62" s="10"/>
      <c r="EV62" s="10"/>
      <c r="EZ62" s="10"/>
      <c r="FA62" s="10"/>
      <c r="FB62" s="10"/>
      <c r="FC62" s="10"/>
      <c r="FG62" s="10"/>
      <c r="FH62" s="10"/>
      <c r="FI62" s="10"/>
      <c r="FJ62" s="10"/>
      <c r="FN62" s="10"/>
      <c r="FO62" s="10"/>
      <c r="FP62" s="10"/>
      <c r="FQ62" s="10"/>
      <c r="FU62" s="10"/>
      <c r="FV62" s="10"/>
      <c r="FW62" s="10"/>
      <c r="FX62" s="10"/>
      <c r="GA62" s="10"/>
      <c r="GB62" s="10"/>
      <c r="GC62" s="10"/>
      <c r="GD62" s="10"/>
      <c r="GG62" s="10"/>
      <c r="GH62" s="10"/>
      <c r="GI62" s="10"/>
      <c r="GJ62" s="10"/>
      <c r="GM62" s="10"/>
      <c r="GN62" s="10"/>
      <c r="GO62" s="10"/>
      <c r="GP62" s="10"/>
    </row>
    <row r="63" spans="2:198">
      <c r="DY63" s="10"/>
    </row>
    <row r="64" spans="2:198">
      <c r="D64" s="19"/>
      <c r="E64" s="9"/>
      <c r="G64" s="10"/>
      <c r="I64" s="12"/>
      <c r="J64" s="11"/>
      <c r="K64" s="11"/>
      <c r="L64" s="9"/>
      <c r="N64" s="12"/>
      <c r="U64" s="12"/>
      <c r="AB64" s="12"/>
      <c r="AI64" s="12"/>
      <c r="AP64" s="12"/>
    </row>
    <row r="65" spans="5:198" hidden="1" outlineLevel="1">
      <c r="E65" s="9"/>
      <c r="G65" s="10"/>
      <c r="I65" s="9"/>
      <c r="J65" s="11"/>
      <c r="K65" s="11"/>
      <c r="L65" s="9"/>
      <c r="O65" s="10"/>
      <c r="P65" s="10"/>
      <c r="Q65" s="10"/>
      <c r="R65" s="10"/>
      <c r="V65" s="10"/>
      <c r="W65" s="10"/>
      <c r="X65" s="10"/>
      <c r="Y65" s="10"/>
      <c r="AC65" s="10"/>
      <c r="AD65" s="10"/>
      <c r="AE65" s="10"/>
      <c r="AF65" s="10"/>
      <c r="AJ65" s="10"/>
      <c r="AK65" s="10"/>
      <c r="AL65" s="10"/>
      <c r="AM65" s="10"/>
      <c r="AQ65" s="10"/>
      <c r="AR65" s="10"/>
      <c r="AS65" s="10"/>
      <c r="AT65" s="10"/>
      <c r="AX65" s="10"/>
      <c r="AY65" s="10"/>
      <c r="AZ65" s="10"/>
      <c r="BA65" s="10"/>
      <c r="BE65" s="10"/>
      <c r="BF65" s="10"/>
      <c r="BG65" s="10"/>
      <c r="BH65" s="10"/>
      <c r="BL65" s="10"/>
      <c r="BM65" s="10"/>
      <c r="BN65" s="10"/>
      <c r="BO65" s="10"/>
      <c r="BS65" s="10"/>
      <c r="BT65" s="10"/>
      <c r="BU65" s="10"/>
      <c r="BV65" s="10"/>
      <c r="BZ65" s="10"/>
      <c r="CA65" s="10"/>
      <c r="CB65" s="10"/>
      <c r="CC65" s="10"/>
      <c r="CG65" s="10"/>
      <c r="CH65" s="10"/>
      <c r="CI65" s="10"/>
      <c r="CJ65" s="10"/>
      <c r="CN65" s="10"/>
      <c r="CO65" s="10"/>
      <c r="CP65" s="10"/>
      <c r="CQ65" s="10"/>
      <c r="CU65" s="10"/>
      <c r="CV65" s="10"/>
      <c r="CW65" s="10"/>
      <c r="CX65" s="10"/>
      <c r="DB65" s="10"/>
      <c r="DC65" s="10"/>
      <c r="DD65" s="10"/>
      <c r="DE65" s="10"/>
      <c r="DJ65" s="10"/>
      <c r="DK65" s="10"/>
      <c r="DL65" s="10"/>
      <c r="DM65" s="10"/>
      <c r="DQ65" s="10"/>
      <c r="DR65" s="10"/>
      <c r="DS65" s="10"/>
      <c r="DT65" s="10"/>
      <c r="DX65" s="10"/>
      <c r="DY65" s="10"/>
      <c r="DZ65" s="10"/>
      <c r="EA65" s="10"/>
      <c r="EE65" s="10"/>
      <c r="EF65" s="10"/>
      <c r="EG65" s="10"/>
      <c r="EH65" s="10"/>
      <c r="EL65" s="10"/>
      <c r="EM65" s="10"/>
      <c r="EN65" s="10"/>
      <c r="EO65" s="10"/>
      <c r="ES65" s="10"/>
      <c r="ET65" s="10"/>
      <c r="EU65" s="10"/>
      <c r="EV65" s="10"/>
      <c r="EZ65" s="10"/>
      <c r="FA65" s="10"/>
      <c r="FB65" s="10"/>
      <c r="FC65" s="10"/>
      <c r="FG65" s="10"/>
      <c r="FH65" s="10"/>
      <c r="FI65" s="10"/>
      <c r="FJ65" s="10"/>
      <c r="FN65" s="10"/>
      <c r="FO65" s="10"/>
      <c r="FP65" s="10"/>
      <c r="FQ65" s="10"/>
      <c r="FU65" s="10"/>
      <c r="FV65" s="10"/>
      <c r="FW65" s="10"/>
      <c r="FX65" s="10"/>
      <c r="GA65" s="10"/>
      <c r="GB65" s="10"/>
      <c r="GC65" s="10"/>
      <c r="GD65" s="10"/>
      <c r="GG65" s="10"/>
      <c r="GH65" s="10"/>
      <c r="GI65" s="10"/>
      <c r="GJ65" s="10"/>
      <c r="GM65" s="10"/>
      <c r="GN65" s="10"/>
      <c r="GO65" s="10"/>
      <c r="GP65" s="10"/>
    </row>
    <row r="66" spans="5:198" hidden="1" outlineLevel="1">
      <c r="E66" s="9"/>
      <c r="G66" s="10"/>
      <c r="I66" s="9"/>
      <c r="J66" s="11"/>
      <c r="K66" s="11"/>
      <c r="L66" s="9"/>
      <c r="O66" s="10"/>
      <c r="P66" s="10"/>
      <c r="Q66" s="10"/>
      <c r="R66" s="10"/>
      <c r="V66" s="10"/>
      <c r="W66" s="10"/>
      <c r="X66" s="10"/>
      <c r="Y66" s="10"/>
      <c r="AC66" s="10"/>
      <c r="AD66" s="10"/>
      <c r="AE66" s="10"/>
      <c r="AF66" s="10"/>
      <c r="AJ66" s="10"/>
      <c r="AK66" s="10"/>
      <c r="AL66" s="10"/>
      <c r="AM66" s="10"/>
      <c r="AQ66" s="10"/>
      <c r="AR66" s="10"/>
      <c r="AS66" s="10"/>
      <c r="AT66" s="10"/>
      <c r="AX66" s="10"/>
      <c r="AY66" s="10"/>
      <c r="AZ66" s="10"/>
      <c r="BA66" s="10"/>
      <c r="BE66" s="10"/>
      <c r="BF66" s="10"/>
      <c r="BG66" s="10"/>
      <c r="BH66" s="10"/>
      <c r="BL66" s="10"/>
      <c r="BM66" s="10"/>
      <c r="BN66" s="10"/>
      <c r="BO66" s="10"/>
      <c r="BS66" s="10"/>
      <c r="BT66" s="10"/>
      <c r="BU66" s="10"/>
      <c r="BV66" s="10"/>
      <c r="BZ66" s="10"/>
      <c r="CA66" s="10"/>
      <c r="CB66" s="10"/>
      <c r="CC66" s="10"/>
      <c r="CG66" s="10"/>
      <c r="CH66" s="10"/>
      <c r="CI66" s="10"/>
      <c r="CJ66" s="10"/>
      <c r="CN66" s="10"/>
      <c r="CO66" s="10"/>
      <c r="CP66" s="10"/>
      <c r="CQ66" s="10"/>
      <c r="CU66" s="10"/>
      <c r="CV66" s="10"/>
      <c r="CW66" s="10"/>
      <c r="CX66" s="10"/>
      <c r="DB66" s="10"/>
      <c r="DC66" s="10"/>
      <c r="DD66" s="10"/>
      <c r="DE66" s="10"/>
      <c r="DJ66" s="10"/>
      <c r="DK66" s="10"/>
      <c r="DL66" s="10"/>
      <c r="DM66" s="10"/>
      <c r="DQ66" s="10"/>
      <c r="DR66" s="10"/>
      <c r="DS66" s="10"/>
      <c r="DT66" s="10"/>
      <c r="DX66" s="10"/>
      <c r="DY66" s="10"/>
      <c r="DZ66" s="10"/>
      <c r="EA66" s="10"/>
      <c r="EE66" s="10"/>
      <c r="EF66" s="10"/>
      <c r="EG66" s="10"/>
      <c r="EH66" s="10"/>
      <c r="EL66" s="10"/>
      <c r="EM66" s="10"/>
      <c r="EN66" s="10"/>
      <c r="EO66" s="10"/>
      <c r="ES66" s="10"/>
      <c r="ET66" s="10"/>
      <c r="EU66" s="10"/>
      <c r="EV66" s="10"/>
      <c r="EZ66" s="10"/>
      <c r="FA66" s="10"/>
      <c r="FB66" s="10"/>
      <c r="FC66" s="10"/>
      <c r="FG66" s="10"/>
      <c r="FH66" s="10"/>
      <c r="FI66" s="10"/>
      <c r="FJ66" s="10"/>
      <c r="FN66" s="10"/>
      <c r="FO66" s="10"/>
      <c r="FP66" s="10"/>
      <c r="FQ66" s="10"/>
      <c r="FU66" s="10"/>
      <c r="FV66" s="10"/>
      <c r="FW66" s="10"/>
      <c r="FX66" s="10"/>
      <c r="GA66" s="10"/>
      <c r="GB66" s="10"/>
      <c r="GC66" s="10"/>
      <c r="GD66" s="10"/>
      <c r="GG66" s="10"/>
      <c r="GH66" s="10"/>
      <c r="GI66" s="10"/>
      <c r="GJ66" s="10"/>
      <c r="GM66" s="10"/>
      <c r="GN66" s="10"/>
      <c r="GO66" s="10"/>
      <c r="GP66" s="10"/>
    </row>
    <row r="67" spans="5:198" hidden="1" outlineLevel="1">
      <c r="E67" s="9"/>
      <c r="G67" s="10"/>
      <c r="I67" s="9"/>
      <c r="J67" s="11"/>
      <c r="K67" s="11"/>
      <c r="L67" s="9"/>
      <c r="O67" s="10"/>
      <c r="P67" s="10"/>
      <c r="Q67" s="10"/>
      <c r="R67" s="10"/>
      <c r="V67" s="10"/>
      <c r="W67" s="10"/>
      <c r="X67" s="10"/>
      <c r="Y67" s="10"/>
      <c r="AC67" s="10"/>
      <c r="AD67" s="10"/>
      <c r="AE67" s="10"/>
      <c r="AF67" s="10"/>
      <c r="AJ67" s="10"/>
      <c r="AK67" s="10"/>
      <c r="AL67" s="10"/>
      <c r="AM67" s="10"/>
      <c r="AQ67" s="10"/>
      <c r="AR67" s="10"/>
      <c r="AS67" s="10"/>
      <c r="AT67" s="10"/>
      <c r="AX67" s="10"/>
      <c r="AY67" s="10"/>
      <c r="AZ67" s="10"/>
      <c r="BA67" s="10"/>
      <c r="BE67" s="10"/>
      <c r="BF67" s="10"/>
      <c r="BG67" s="10"/>
      <c r="BH67" s="10"/>
      <c r="BL67" s="10"/>
      <c r="BM67" s="10"/>
      <c r="BN67" s="10"/>
      <c r="BO67" s="10"/>
      <c r="BS67" s="10"/>
      <c r="BT67" s="10"/>
      <c r="BU67" s="10"/>
      <c r="BV67" s="10"/>
      <c r="BZ67" s="10"/>
      <c r="CA67" s="10"/>
      <c r="CB67" s="10"/>
      <c r="CC67" s="10"/>
      <c r="CG67" s="10"/>
      <c r="CH67" s="10"/>
      <c r="CI67" s="10"/>
      <c r="CJ67" s="10"/>
      <c r="CN67" s="10"/>
      <c r="CO67" s="10"/>
      <c r="CP67" s="10"/>
      <c r="CQ67" s="10"/>
      <c r="CU67" s="10"/>
      <c r="CV67" s="10"/>
      <c r="CW67" s="10"/>
      <c r="CX67" s="10"/>
      <c r="DB67" s="10"/>
      <c r="DC67" s="10"/>
      <c r="DD67" s="10"/>
      <c r="DE67" s="10"/>
      <c r="DJ67" s="10"/>
      <c r="DK67" s="10"/>
      <c r="DL67" s="10"/>
      <c r="DM67" s="10"/>
      <c r="DQ67" s="10"/>
      <c r="DR67" s="10"/>
      <c r="DS67" s="10"/>
      <c r="DT67" s="10"/>
      <c r="DX67" s="10"/>
      <c r="DY67" s="10"/>
      <c r="DZ67" s="10"/>
      <c r="EA67" s="10"/>
      <c r="EE67" s="10"/>
      <c r="EF67" s="10"/>
      <c r="EG67" s="10"/>
      <c r="EH67" s="10"/>
      <c r="EL67" s="10"/>
      <c r="EM67" s="10"/>
      <c r="EN67" s="10"/>
      <c r="EO67" s="10"/>
      <c r="ES67" s="10"/>
      <c r="ET67" s="10"/>
      <c r="EU67" s="10"/>
      <c r="EV67" s="10"/>
      <c r="EZ67" s="10"/>
      <c r="FA67" s="10"/>
      <c r="FB67" s="10"/>
      <c r="FC67" s="10"/>
      <c r="FG67" s="10"/>
      <c r="FH67" s="10"/>
      <c r="FI67" s="10"/>
      <c r="FJ67" s="10"/>
      <c r="FN67" s="10"/>
      <c r="FO67" s="10"/>
      <c r="FP67" s="10"/>
      <c r="FQ67" s="10"/>
      <c r="FU67" s="10"/>
      <c r="FV67" s="10"/>
      <c r="FW67" s="10"/>
      <c r="FX67" s="10"/>
      <c r="GA67" s="10"/>
      <c r="GB67" s="10"/>
      <c r="GC67" s="10"/>
      <c r="GD67" s="10"/>
      <c r="GG67" s="10"/>
      <c r="GH67" s="10"/>
      <c r="GI67" s="10"/>
      <c r="GJ67" s="10"/>
      <c r="GM67" s="10"/>
      <c r="GN67" s="10"/>
      <c r="GO67" s="10"/>
      <c r="GP67" s="10"/>
    </row>
    <row r="68" spans="5:198" hidden="1" outlineLevel="1">
      <c r="E68" s="9"/>
      <c r="G68" s="10"/>
      <c r="I68" s="9"/>
      <c r="J68" s="11"/>
      <c r="K68" s="11"/>
      <c r="L68" s="9"/>
      <c r="O68" s="10"/>
      <c r="P68" s="10"/>
      <c r="Q68" s="10"/>
      <c r="R68" s="10"/>
      <c r="V68" s="10"/>
      <c r="W68" s="10"/>
      <c r="X68" s="10"/>
      <c r="Y68" s="10"/>
      <c r="AC68" s="10"/>
      <c r="AD68" s="10"/>
      <c r="AE68" s="10"/>
      <c r="AF68" s="10"/>
      <c r="AJ68" s="10"/>
      <c r="AK68" s="10"/>
      <c r="AL68" s="10"/>
      <c r="AM68" s="10"/>
      <c r="AQ68" s="10"/>
      <c r="AR68" s="10"/>
      <c r="AS68" s="10"/>
      <c r="AT68" s="10"/>
      <c r="AX68" s="10"/>
      <c r="AY68" s="10"/>
      <c r="AZ68" s="10"/>
      <c r="BA68" s="10"/>
      <c r="BE68" s="10"/>
      <c r="BF68" s="10"/>
      <c r="BG68" s="10"/>
      <c r="BH68" s="10"/>
      <c r="BL68" s="10"/>
      <c r="BM68" s="10"/>
      <c r="BN68" s="10"/>
      <c r="BO68" s="10"/>
      <c r="BS68" s="10"/>
      <c r="BT68" s="10"/>
      <c r="BU68" s="10"/>
      <c r="BV68" s="10"/>
      <c r="BZ68" s="10"/>
      <c r="CA68" s="10"/>
      <c r="CB68" s="10"/>
      <c r="CC68" s="10"/>
      <c r="CG68" s="10"/>
      <c r="CH68" s="10"/>
      <c r="CI68" s="10"/>
      <c r="CJ68" s="10"/>
      <c r="CN68" s="10"/>
      <c r="CO68" s="10"/>
      <c r="CP68" s="10"/>
      <c r="CQ68" s="10"/>
      <c r="CU68" s="10"/>
      <c r="CV68" s="10"/>
      <c r="CW68" s="10"/>
      <c r="CX68" s="10"/>
      <c r="DB68" s="10"/>
      <c r="DC68" s="10"/>
      <c r="DD68" s="10"/>
      <c r="DE68" s="10"/>
      <c r="DJ68" s="10"/>
      <c r="DK68" s="10"/>
      <c r="DL68" s="10"/>
      <c r="DM68" s="10"/>
      <c r="DQ68" s="10"/>
      <c r="DR68" s="10"/>
      <c r="DS68" s="10"/>
      <c r="DT68" s="10"/>
      <c r="DX68" s="10"/>
      <c r="DY68" s="10"/>
      <c r="DZ68" s="10"/>
      <c r="EA68" s="10"/>
      <c r="EE68" s="10"/>
      <c r="EF68" s="10"/>
      <c r="EG68" s="10"/>
      <c r="EH68" s="10"/>
      <c r="EL68" s="10"/>
      <c r="EM68" s="10"/>
      <c r="EN68" s="10"/>
      <c r="EO68" s="10"/>
      <c r="ES68" s="10"/>
      <c r="ET68" s="10"/>
      <c r="EU68" s="10"/>
      <c r="EV68" s="10"/>
      <c r="EZ68" s="10"/>
      <c r="FA68" s="10"/>
      <c r="FB68" s="10"/>
      <c r="FC68" s="10"/>
      <c r="FG68" s="10"/>
      <c r="FH68" s="10"/>
      <c r="FI68" s="10"/>
      <c r="FJ68" s="10"/>
      <c r="FN68" s="10"/>
      <c r="FO68" s="10"/>
      <c r="FP68" s="10"/>
      <c r="FQ68" s="10"/>
      <c r="FU68" s="10"/>
      <c r="FV68" s="10"/>
      <c r="FW68" s="10"/>
      <c r="FX68" s="10"/>
      <c r="GA68" s="10"/>
      <c r="GB68" s="10"/>
      <c r="GC68" s="10"/>
      <c r="GD68" s="10"/>
      <c r="GG68" s="10"/>
      <c r="GH68" s="10"/>
      <c r="GI68" s="10"/>
      <c r="GJ68" s="10"/>
      <c r="GM68" s="10"/>
      <c r="GN68" s="10"/>
      <c r="GO68" s="10"/>
      <c r="GP68" s="10"/>
    </row>
    <row r="69" spans="5:198" hidden="1" outlineLevel="1">
      <c r="E69" s="9"/>
      <c r="G69" s="10"/>
      <c r="I69" s="9"/>
      <c r="J69" s="11"/>
      <c r="K69" s="11"/>
      <c r="L69" s="9"/>
      <c r="O69" s="10"/>
      <c r="P69" s="10"/>
      <c r="Q69" s="10"/>
      <c r="R69" s="10"/>
      <c r="V69" s="10"/>
      <c r="W69" s="10"/>
      <c r="X69" s="10"/>
      <c r="Y69" s="10"/>
      <c r="AC69" s="10"/>
      <c r="AD69" s="10"/>
      <c r="AE69" s="10"/>
      <c r="AF69" s="10"/>
      <c r="AJ69" s="10"/>
      <c r="AK69" s="10"/>
      <c r="AL69" s="10"/>
      <c r="AM69" s="10"/>
      <c r="AQ69" s="10"/>
      <c r="AR69" s="10"/>
      <c r="AS69" s="10"/>
      <c r="AT69" s="10"/>
      <c r="AX69" s="10"/>
      <c r="AY69" s="10"/>
      <c r="AZ69" s="10"/>
      <c r="BA69" s="10"/>
      <c r="BE69" s="10"/>
      <c r="BF69" s="10"/>
      <c r="BG69" s="10"/>
      <c r="BH69" s="10"/>
      <c r="BL69" s="10"/>
      <c r="BM69" s="10"/>
      <c r="BN69" s="10"/>
      <c r="BO69" s="10"/>
      <c r="BS69" s="10"/>
      <c r="BT69" s="10"/>
      <c r="BU69" s="10"/>
      <c r="BV69" s="10"/>
      <c r="BZ69" s="10"/>
      <c r="CA69" s="10"/>
      <c r="CB69" s="10"/>
      <c r="CC69" s="10"/>
      <c r="CG69" s="10"/>
      <c r="CH69" s="10"/>
      <c r="CI69" s="10"/>
      <c r="CJ69" s="10"/>
      <c r="CN69" s="10"/>
      <c r="CO69" s="10"/>
      <c r="CP69" s="10"/>
      <c r="CQ69" s="10"/>
      <c r="CU69" s="10"/>
      <c r="CV69" s="10"/>
      <c r="CW69" s="10"/>
      <c r="CX69" s="10"/>
      <c r="DB69" s="10"/>
      <c r="DC69" s="10"/>
      <c r="DD69" s="10"/>
      <c r="DE69" s="10"/>
      <c r="DJ69" s="10"/>
      <c r="DK69" s="10"/>
      <c r="DL69" s="10"/>
      <c r="DM69" s="10"/>
      <c r="DQ69" s="10"/>
      <c r="DR69" s="10"/>
      <c r="DS69" s="10"/>
      <c r="DT69" s="10"/>
      <c r="DX69" s="10"/>
      <c r="DY69" s="10"/>
      <c r="DZ69" s="10"/>
      <c r="EA69" s="10"/>
      <c r="EE69" s="10"/>
      <c r="EF69" s="10"/>
      <c r="EG69" s="10"/>
      <c r="EH69" s="10"/>
      <c r="EL69" s="10"/>
      <c r="EM69" s="10"/>
      <c r="EN69" s="10"/>
      <c r="EO69" s="10"/>
      <c r="ES69" s="10"/>
      <c r="ET69" s="10"/>
      <c r="EU69" s="10"/>
      <c r="EV69" s="10"/>
      <c r="EZ69" s="10"/>
      <c r="FA69" s="10"/>
      <c r="FB69" s="10"/>
      <c r="FC69" s="10"/>
      <c r="FG69" s="10"/>
      <c r="FH69" s="10"/>
      <c r="FI69" s="10"/>
      <c r="FJ69" s="10"/>
      <c r="FN69" s="10"/>
      <c r="FO69" s="10"/>
      <c r="FP69" s="10"/>
      <c r="FQ69" s="10"/>
      <c r="FU69" s="10"/>
      <c r="FV69" s="10"/>
      <c r="FW69" s="10"/>
      <c r="FX69" s="10"/>
      <c r="GA69" s="10"/>
      <c r="GB69" s="10"/>
      <c r="GC69" s="10"/>
      <c r="GD69" s="10"/>
      <c r="GG69" s="10"/>
      <c r="GH69" s="10"/>
      <c r="GI69" s="10"/>
      <c r="GJ69" s="10"/>
      <c r="GM69" s="10"/>
      <c r="GN69" s="10"/>
      <c r="GO69" s="10"/>
      <c r="GP69" s="10"/>
    </row>
    <row r="70" spans="5:198" hidden="1" outlineLevel="1">
      <c r="E70" s="9"/>
      <c r="G70" s="10"/>
      <c r="I70" s="9"/>
      <c r="J70" s="11"/>
      <c r="K70" s="11"/>
      <c r="L70" s="9"/>
      <c r="O70" s="10"/>
      <c r="P70" s="10"/>
      <c r="Q70" s="10"/>
      <c r="R70" s="10"/>
      <c r="V70" s="10"/>
      <c r="W70" s="10"/>
      <c r="X70" s="10"/>
      <c r="Y70" s="10"/>
      <c r="AC70" s="10"/>
      <c r="AD70" s="10"/>
      <c r="AE70" s="10"/>
      <c r="AF70" s="10"/>
      <c r="AJ70" s="10"/>
      <c r="AK70" s="10"/>
      <c r="AL70" s="10"/>
      <c r="AM70" s="10"/>
      <c r="AQ70" s="10"/>
      <c r="AR70" s="10"/>
      <c r="AS70" s="10"/>
      <c r="AT70" s="10"/>
      <c r="AX70" s="10"/>
      <c r="AY70" s="10"/>
      <c r="AZ70" s="10"/>
      <c r="BA70" s="10"/>
      <c r="BE70" s="10"/>
      <c r="BF70" s="10"/>
      <c r="BG70" s="10"/>
      <c r="BH70" s="10"/>
      <c r="BL70" s="10"/>
      <c r="BM70" s="10"/>
      <c r="BN70" s="10"/>
      <c r="BO70" s="10"/>
      <c r="BS70" s="10"/>
      <c r="BT70" s="10"/>
      <c r="BU70" s="10"/>
      <c r="BV70" s="10"/>
      <c r="BZ70" s="10"/>
      <c r="CA70" s="10"/>
      <c r="CB70" s="10"/>
      <c r="CC70" s="10"/>
      <c r="CG70" s="10"/>
      <c r="CH70" s="10"/>
      <c r="CI70" s="10"/>
      <c r="CJ70" s="10"/>
      <c r="CN70" s="10"/>
      <c r="CO70" s="10"/>
      <c r="CP70" s="10"/>
      <c r="CQ70" s="10"/>
      <c r="CU70" s="10"/>
      <c r="CV70" s="10"/>
      <c r="CW70" s="10"/>
      <c r="CX70" s="10"/>
      <c r="DB70" s="10"/>
      <c r="DC70" s="10"/>
      <c r="DD70" s="10"/>
      <c r="DE70" s="10"/>
      <c r="DJ70" s="10"/>
      <c r="DK70" s="10"/>
      <c r="DL70" s="10"/>
      <c r="DM70" s="10"/>
      <c r="DQ70" s="10"/>
      <c r="DR70" s="10"/>
      <c r="DS70" s="10"/>
      <c r="DT70" s="10"/>
      <c r="DX70" s="10"/>
      <c r="DY70" s="10"/>
      <c r="DZ70" s="10"/>
      <c r="EA70" s="10"/>
      <c r="EE70" s="10"/>
      <c r="EF70" s="10"/>
      <c r="EG70" s="10"/>
      <c r="EH70" s="10"/>
      <c r="EL70" s="10"/>
      <c r="EM70" s="10"/>
      <c r="EN70" s="10"/>
      <c r="EO70" s="10"/>
      <c r="ES70" s="10"/>
      <c r="ET70" s="10"/>
      <c r="EU70" s="10"/>
      <c r="EV70" s="10"/>
      <c r="EZ70" s="10"/>
      <c r="FA70" s="10"/>
      <c r="FB70" s="10"/>
      <c r="FC70" s="10"/>
      <c r="FG70" s="10"/>
      <c r="FH70" s="10"/>
      <c r="FI70" s="10"/>
      <c r="FJ70" s="10"/>
      <c r="FN70" s="10"/>
      <c r="FO70" s="10"/>
      <c r="FP70" s="10"/>
      <c r="FQ70" s="10"/>
      <c r="FU70" s="10"/>
      <c r="FV70" s="10"/>
      <c r="FW70" s="10"/>
      <c r="FX70" s="10"/>
      <c r="GA70" s="10"/>
      <c r="GB70" s="10"/>
      <c r="GC70" s="10"/>
      <c r="GD70" s="10"/>
      <c r="GG70" s="10"/>
      <c r="GH70" s="10"/>
      <c r="GI70" s="10"/>
      <c r="GJ70" s="10"/>
      <c r="GM70" s="10"/>
      <c r="GN70" s="10"/>
      <c r="GO70" s="10"/>
      <c r="GP70" s="10"/>
    </row>
    <row r="71" spans="5:198" hidden="1" outlineLevel="1">
      <c r="E71" s="9"/>
      <c r="G71" s="10"/>
      <c r="I71" s="9"/>
      <c r="J71" s="11"/>
      <c r="K71" s="11"/>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c r="BN71" s="10"/>
      <c r="BO71" s="10"/>
      <c r="BS71" s="10"/>
      <c r="BT71" s="10"/>
      <c r="BU71" s="10"/>
      <c r="BV71" s="10"/>
      <c r="BZ71" s="10"/>
      <c r="CA71" s="10"/>
      <c r="CB71" s="10"/>
      <c r="CC71" s="10"/>
      <c r="CG71" s="10"/>
      <c r="CH71" s="10"/>
      <c r="CI71" s="10"/>
      <c r="CJ71" s="10"/>
      <c r="CN71" s="10"/>
      <c r="CO71" s="10"/>
      <c r="CP71" s="10"/>
      <c r="CQ71" s="10"/>
      <c r="CU71" s="10"/>
      <c r="CV71" s="10"/>
      <c r="CW71" s="10"/>
      <c r="CX71" s="10"/>
      <c r="DB71" s="10"/>
      <c r="DC71" s="10"/>
      <c r="DD71" s="10"/>
      <c r="DE71" s="10"/>
      <c r="DJ71" s="10"/>
      <c r="DK71" s="10"/>
      <c r="DL71" s="10"/>
      <c r="DM71" s="10"/>
      <c r="DQ71" s="10"/>
      <c r="DR71" s="10"/>
      <c r="DS71" s="10"/>
      <c r="DT71" s="10"/>
      <c r="DX71" s="10"/>
      <c r="DY71" s="10"/>
      <c r="DZ71" s="10"/>
      <c r="EA71" s="10"/>
      <c r="EE71" s="10"/>
      <c r="EF71" s="10"/>
      <c r="EG71" s="10"/>
      <c r="EH71" s="10"/>
      <c r="EL71" s="10"/>
      <c r="EM71" s="10"/>
      <c r="EN71" s="10"/>
      <c r="EO71" s="10"/>
      <c r="ES71" s="10"/>
      <c r="ET71" s="10"/>
      <c r="EU71" s="10"/>
      <c r="EV71" s="10"/>
      <c r="EZ71" s="10"/>
      <c r="FA71" s="10"/>
      <c r="FB71" s="10"/>
      <c r="FC71" s="10"/>
      <c r="FG71" s="10"/>
      <c r="FH71" s="10"/>
      <c r="FI71" s="10"/>
      <c r="FJ71" s="10"/>
      <c r="FN71" s="10"/>
      <c r="FO71" s="10"/>
      <c r="FP71" s="10"/>
      <c r="FQ71" s="10"/>
      <c r="FU71" s="10"/>
      <c r="FV71" s="10"/>
      <c r="FW71" s="10"/>
      <c r="FX71" s="10"/>
      <c r="GA71" s="10"/>
      <c r="GB71" s="10"/>
      <c r="GC71" s="10"/>
      <c r="GD71" s="10"/>
      <c r="GG71" s="10"/>
      <c r="GH71" s="10"/>
      <c r="GI71" s="10"/>
      <c r="GJ71" s="10"/>
      <c r="GM71" s="10"/>
      <c r="GN71" s="10"/>
      <c r="GO71" s="10"/>
      <c r="GP71" s="10"/>
    </row>
    <row r="72" spans="5:198" hidden="1" outlineLevel="1">
      <c r="E72" s="9"/>
      <c r="G72" s="10"/>
      <c r="I72" s="9"/>
      <c r="J72" s="11"/>
      <c r="K72" s="11"/>
      <c r="L72" s="9"/>
      <c r="O72" s="10"/>
      <c r="P72" s="10"/>
      <c r="Q72" s="10"/>
      <c r="R72" s="10"/>
      <c r="V72" s="10"/>
      <c r="W72" s="10"/>
      <c r="X72" s="10"/>
      <c r="Y72" s="10"/>
      <c r="AC72" s="10"/>
      <c r="AD72" s="10"/>
      <c r="AE72" s="10"/>
      <c r="AF72" s="10"/>
      <c r="AJ72" s="10"/>
      <c r="AK72" s="10"/>
      <c r="AL72" s="10"/>
      <c r="AM72" s="10"/>
      <c r="AQ72" s="10"/>
      <c r="AR72" s="10"/>
      <c r="AS72" s="10"/>
      <c r="AT72" s="10"/>
      <c r="AX72" s="10"/>
      <c r="AY72" s="10"/>
      <c r="AZ72" s="10"/>
      <c r="BA72" s="10"/>
      <c r="BE72" s="10"/>
      <c r="BF72" s="10"/>
      <c r="BG72" s="10"/>
      <c r="BH72" s="10"/>
      <c r="BL72" s="10"/>
      <c r="BM72" s="10"/>
      <c r="BN72" s="10"/>
      <c r="BO72" s="10"/>
      <c r="BS72" s="10"/>
      <c r="BT72" s="10"/>
      <c r="BU72" s="10"/>
      <c r="BV72" s="10"/>
      <c r="BZ72" s="10"/>
      <c r="CA72" s="10"/>
      <c r="CB72" s="10"/>
      <c r="CC72" s="10"/>
      <c r="CG72" s="10"/>
      <c r="CH72" s="10"/>
      <c r="CI72" s="10"/>
      <c r="CJ72" s="10"/>
      <c r="CN72" s="10"/>
      <c r="CO72" s="10"/>
      <c r="CP72" s="10"/>
      <c r="CQ72" s="10"/>
      <c r="CU72" s="10"/>
      <c r="CV72" s="10"/>
      <c r="CW72" s="10"/>
      <c r="CX72" s="10"/>
      <c r="DB72" s="10"/>
      <c r="DC72" s="10"/>
      <c r="DD72" s="10"/>
      <c r="DE72" s="10"/>
      <c r="DJ72" s="10"/>
      <c r="DK72" s="10"/>
      <c r="DL72" s="10"/>
      <c r="DM72" s="10"/>
      <c r="DQ72" s="10"/>
      <c r="DR72" s="10"/>
      <c r="DS72" s="10"/>
      <c r="DT72" s="10"/>
      <c r="DX72" s="10"/>
      <c r="DY72" s="10"/>
      <c r="DZ72" s="10"/>
      <c r="EA72" s="10"/>
      <c r="EE72" s="10"/>
      <c r="EF72" s="10"/>
      <c r="EG72" s="10"/>
      <c r="EH72" s="10"/>
      <c r="EL72" s="10"/>
      <c r="EM72" s="10"/>
      <c r="EN72" s="10"/>
      <c r="EO72" s="10"/>
      <c r="ES72" s="10"/>
      <c r="ET72" s="10"/>
      <c r="EU72" s="10"/>
      <c r="EV72" s="10"/>
      <c r="EZ72" s="10"/>
      <c r="FA72" s="10"/>
      <c r="FB72" s="10"/>
      <c r="FC72" s="10"/>
      <c r="FG72" s="10"/>
      <c r="FH72" s="10"/>
      <c r="FI72" s="10"/>
      <c r="FJ72" s="10"/>
      <c r="FN72" s="10"/>
      <c r="FO72" s="10"/>
      <c r="FP72" s="10"/>
      <c r="FQ72" s="10"/>
      <c r="FU72" s="10"/>
      <c r="FV72" s="10"/>
      <c r="FW72" s="10"/>
      <c r="FX72" s="10"/>
      <c r="GA72" s="10"/>
      <c r="GB72" s="10"/>
      <c r="GC72" s="10"/>
      <c r="GD72" s="10"/>
      <c r="GG72" s="10"/>
      <c r="GH72" s="10"/>
      <c r="GI72" s="10"/>
      <c r="GJ72" s="10"/>
      <c r="GM72" s="10"/>
      <c r="GN72" s="10"/>
      <c r="GO72" s="10"/>
      <c r="GP72" s="10"/>
    </row>
    <row r="73" spans="5:198" hidden="1" outlineLevel="1">
      <c r="E73" s="9"/>
      <c r="G73" s="10"/>
      <c r="I73" s="9"/>
      <c r="J73" s="11"/>
      <c r="K73" s="11"/>
      <c r="L73" s="9"/>
      <c r="O73" s="10"/>
      <c r="P73" s="10"/>
      <c r="Q73" s="10"/>
      <c r="R73" s="10"/>
      <c r="V73" s="10"/>
      <c r="W73" s="10"/>
      <c r="X73" s="10"/>
      <c r="Y73" s="10"/>
      <c r="AC73" s="10"/>
      <c r="AD73" s="10"/>
      <c r="AE73" s="10"/>
      <c r="AF73" s="10"/>
      <c r="AJ73" s="10"/>
      <c r="AK73" s="10"/>
      <c r="AL73" s="10"/>
      <c r="AM73" s="10"/>
      <c r="AQ73" s="10"/>
      <c r="AR73" s="10"/>
      <c r="AS73" s="10"/>
      <c r="AT73" s="10"/>
      <c r="AX73" s="10"/>
      <c r="AY73" s="10"/>
      <c r="AZ73" s="10"/>
      <c r="BA73" s="10"/>
      <c r="BE73" s="10"/>
      <c r="BF73" s="10"/>
      <c r="BG73" s="10"/>
      <c r="BH73" s="10"/>
      <c r="BL73" s="10"/>
      <c r="BM73" s="10"/>
      <c r="BN73" s="10"/>
      <c r="BO73" s="10"/>
      <c r="BS73" s="10"/>
      <c r="BT73" s="10"/>
      <c r="BU73" s="10"/>
      <c r="BV73" s="10"/>
      <c r="BZ73" s="10"/>
      <c r="CA73" s="10"/>
      <c r="CB73" s="10"/>
      <c r="CC73" s="10"/>
      <c r="CG73" s="10"/>
      <c r="CH73" s="10"/>
      <c r="CI73" s="10"/>
      <c r="CJ73" s="10"/>
      <c r="CN73" s="10"/>
      <c r="CO73" s="10"/>
      <c r="CP73" s="10"/>
      <c r="CQ73" s="10"/>
      <c r="CU73" s="10"/>
      <c r="CV73" s="10"/>
      <c r="CW73" s="10"/>
      <c r="CX73" s="10"/>
      <c r="DB73" s="10"/>
      <c r="DC73" s="10"/>
      <c r="DD73" s="10"/>
      <c r="DE73" s="10"/>
      <c r="DJ73" s="10"/>
      <c r="DK73" s="10"/>
      <c r="DL73" s="10"/>
      <c r="DM73" s="10"/>
      <c r="DQ73" s="10"/>
      <c r="DR73" s="10"/>
      <c r="DS73" s="10"/>
      <c r="DT73" s="10"/>
      <c r="DX73" s="10"/>
      <c r="DY73" s="10"/>
      <c r="DZ73" s="10"/>
      <c r="EA73" s="10"/>
      <c r="EE73" s="10"/>
      <c r="EF73" s="10"/>
      <c r="EG73" s="10"/>
      <c r="EH73" s="10"/>
      <c r="EL73" s="10"/>
      <c r="EM73" s="10"/>
      <c r="EN73" s="10"/>
      <c r="EO73" s="10"/>
      <c r="ES73" s="10"/>
      <c r="ET73" s="10"/>
      <c r="EU73" s="10"/>
      <c r="EV73" s="10"/>
      <c r="EZ73" s="10"/>
      <c r="FA73" s="10"/>
      <c r="FB73" s="10"/>
      <c r="FC73" s="10"/>
      <c r="FG73" s="10"/>
      <c r="FH73" s="10"/>
      <c r="FI73" s="10"/>
      <c r="FJ73" s="10"/>
      <c r="FN73" s="10"/>
      <c r="FO73" s="10"/>
      <c r="FP73" s="10"/>
      <c r="FQ73" s="10"/>
      <c r="FU73" s="10"/>
      <c r="FV73" s="10"/>
      <c r="FW73" s="10"/>
      <c r="FX73" s="10"/>
      <c r="GA73" s="10"/>
      <c r="GB73" s="10"/>
      <c r="GC73" s="10"/>
      <c r="GD73" s="10"/>
      <c r="GG73" s="10"/>
      <c r="GH73" s="10"/>
      <c r="GI73" s="10"/>
      <c r="GJ73" s="10"/>
      <c r="GM73" s="10"/>
      <c r="GN73" s="10"/>
      <c r="GO73" s="10"/>
      <c r="GP73" s="10"/>
    </row>
    <row r="74" spans="5:198" hidden="1" outlineLevel="1">
      <c r="E74" s="9"/>
      <c r="G74" s="10"/>
      <c r="I74" s="9"/>
      <c r="J74" s="11"/>
      <c r="K74" s="11"/>
      <c r="L74" s="9"/>
      <c r="O74" s="10"/>
      <c r="P74" s="10"/>
      <c r="Q74" s="10"/>
      <c r="R74" s="10"/>
      <c r="V74" s="10"/>
      <c r="W74" s="10"/>
      <c r="X74" s="10"/>
      <c r="Y74" s="10"/>
      <c r="AC74" s="10"/>
      <c r="AD74" s="10"/>
      <c r="AE74" s="10"/>
      <c r="AF74" s="10"/>
      <c r="AJ74" s="10"/>
      <c r="AK74" s="10"/>
      <c r="AL74" s="10"/>
      <c r="AM74" s="10"/>
      <c r="AQ74" s="10"/>
      <c r="AR74" s="10"/>
      <c r="AS74" s="10"/>
      <c r="AT74" s="10"/>
      <c r="AX74" s="10"/>
      <c r="AY74" s="10"/>
      <c r="AZ74" s="10"/>
      <c r="BA74" s="10"/>
      <c r="BE74" s="10"/>
      <c r="BF74" s="10"/>
      <c r="BG74" s="10"/>
      <c r="BH74" s="10"/>
      <c r="BL74" s="10"/>
      <c r="BM74" s="10"/>
      <c r="BN74" s="10"/>
      <c r="BO74" s="10"/>
      <c r="BS74" s="10"/>
      <c r="BT74" s="10"/>
      <c r="BU74" s="10"/>
      <c r="BV74" s="10"/>
      <c r="BZ74" s="10"/>
      <c r="CA74" s="10"/>
      <c r="CB74" s="10"/>
      <c r="CC74" s="10"/>
      <c r="CG74" s="10"/>
      <c r="CH74" s="10"/>
      <c r="CI74" s="10"/>
      <c r="CJ74" s="10"/>
      <c r="CN74" s="10"/>
      <c r="CO74" s="10"/>
      <c r="CP74" s="10"/>
      <c r="CQ74" s="10"/>
      <c r="CU74" s="10"/>
      <c r="CV74" s="10"/>
      <c r="CW74" s="10"/>
      <c r="CX74" s="10"/>
      <c r="DB74" s="10"/>
      <c r="DC74" s="10"/>
      <c r="DD74" s="10"/>
      <c r="DE74" s="10"/>
      <c r="DJ74" s="10"/>
      <c r="DK74" s="10"/>
      <c r="DL74" s="10"/>
      <c r="DM74" s="10"/>
      <c r="DQ74" s="10"/>
      <c r="DR74" s="10"/>
      <c r="DS74" s="10"/>
      <c r="DT74" s="10"/>
      <c r="DX74" s="10"/>
      <c r="DY74" s="10"/>
      <c r="DZ74" s="10"/>
      <c r="EA74" s="10"/>
      <c r="EE74" s="10"/>
      <c r="EF74" s="10"/>
      <c r="EG74" s="10"/>
      <c r="EH74" s="10"/>
      <c r="EL74" s="10"/>
      <c r="EM74" s="10"/>
      <c r="EN74" s="10"/>
      <c r="EO74" s="10"/>
      <c r="ES74" s="10"/>
      <c r="ET74" s="10"/>
      <c r="EU74" s="10"/>
      <c r="EV74" s="10"/>
      <c r="EZ74" s="10"/>
      <c r="FA74" s="10"/>
      <c r="FB74" s="10"/>
      <c r="FC74" s="10"/>
      <c r="FG74" s="10"/>
      <c r="FH74" s="10"/>
      <c r="FI74" s="10"/>
      <c r="FJ74" s="10"/>
      <c r="FN74" s="10"/>
      <c r="FO74" s="10"/>
      <c r="FP74" s="10"/>
      <c r="FQ74" s="10"/>
      <c r="FU74" s="10"/>
      <c r="FV74" s="10"/>
      <c r="FW74" s="10"/>
      <c r="FX74" s="10"/>
      <c r="GA74" s="10"/>
      <c r="GB74" s="10"/>
      <c r="GC74" s="10"/>
      <c r="GD74" s="10"/>
      <c r="GG74" s="10"/>
      <c r="GH74" s="10"/>
      <c r="GI74" s="10"/>
      <c r="GJ74" s="10"/>
      <c r="GM74" s="10"/>
      <c r="GN74" s="10"/>
      <c r="GO74" s="10"/>
      <c r="GP74" s="10"/>
    </row>
    <row r="75" spans="5:198" collapsed="1"/>
  </sheetData>
  <mergeCells count="27">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 ref="DI2:DN2"/>
    <mergeCell ref="DP2:DU2"/>
    <mergeCell ref="DW2:EB2"/>
    <mergeCell ref="ED2:EI2"/>
    <mergeCell ref="EK2:EP2"/>
    <mergeCell ref="FZ2:GE2"/>
    <mergeCell ref="GF2:GK2"/>
    <mergeCell ref="ER2:EW2"/>
    <mergeCell ref="EY2:FD2"/>
    <mergeCell ref="FF2:FK2"/>
    <mergeCell ref="FM2:FR2"/>
    <mergeCell ref="FT2:FY2"/>
  </mergeCells>
  <conditionalFormatting sqref="J27">
    <cfRule type="colorScale" priority="308">
      <colorScale>
        <cfvo type="percent" val="0"/>
        <cfvo type="percent" val="100"/>
        <color rgb="FFFF231B"/>
        <color rgb="FF10FF07"/>
      </colorScale>
    </cfRule>
  </conditionalFormatting>
  <conditionalFormatting sqref="J28">
    <cfRule type="colorScale" priority="289">
      <colorScale>
        <cfvo type="percent" val="0"/>
        <cfvo type="percent" val="100"/>
        <color rgb="FFFF231B"/>
        <color rgb="FF10FF07"/>
      </colorScale>
    </cfRule>
  </conditionalFormatting>
  <conditionalFormatting sqref="J47:J62">
    <cfRule type="colorScale" priority="1027">
      <colorScale>
        <cfvo type="percent" val="0"/>
        <cfvo type="percent" val="100"/>
        <color rgb="FFFF231B"/>
        <color rgb="FF10FF07"/>
      </colorScale>
    </cfRule>
  </conditionalFormatting>
  <conditionalFormatting sqref="J65:J74">
    <cfRule type="colorScale" priority="913">
      <colorScale>
        <cfvo type="percent" val="0"/>
        <cfvo type="percent" val="100"/>
        <color rgb="FFFF231B"/>
        <color rgb="FF10FF07"/>
      </colorScale>
    </cfRule>
  </conditionalFormatting>
  <conditionalFormatting sqref="J27:K27">
    <cfRule type="colorScale" priority="309">
      <colorScale>
        <cfvo type="percent" val="0"/>
        <cfvo type="percent" val="100"/>
        <color rgb="FFFF231B"/>
        <color rgb="FF10FF07"/>
      </colorScale>
    </cfRule>
  </conditionalFormatting>
  <conditionalFormatting sqref="J28:K28">
    <cfRule type="colorScale" priority="290">
      <colorScale>
        <cfvo type="percent" val="0"/>
        <cfvo type="percent" val="100"/>
        <color rgb="FFFF231B"/>
        <color rgb="FF10FF07"/>
      </colorScale>
    </cfRule>
  </conditionalFormatting>
  <conditionalFormatting sqref="J48:K57">
    <cfRule type="colorScale" priority="818">
      <colorScale>
        <cfvo type="percent" val="0"/>
        <cfvo type="percent" val="100"/>
        <color rgb="FFFF231B"/>
        <color rgb="FF10FF07"/>
      </colorScale>
    </cfRule>
  </conditionalFormatting>
  <conditionalFormatting sqref="J58:K58">
    <cfRule type="colorScale" priority="7">
      <colorScale>
        <cfvo type="percent" val="0"/>
        <cfvo type="percent" val="100"/>
        <color rgb="FFFF231B"/>
        <color rgb="FF10FF07"/>
      </colorScale>
    </cfRule>
  </conditionalFormatting>
  <conditionalFormatting sqref="J59:K59">
    <cfRule type="colorScale" priority="6">
      <colorScale>
        <cfvo type="percent" val="0"/>
        <cfvo type="percent" val="100"/>
        <color rgb="FFFF231B"/>
        <color rgb="FF10FF07"/>
      </colorScale>
    </cfRule>
  </conditionalFormatting>
  <conditionalFormatting sqref="J60:K60">
    <cfRule type="colorScale" priority="5">
      <colorScale>
        <cfvo type="percent" val="0"/>
        <cfvo type="percent" val="100"/>
        <color rgb="FFFF231B"/>
        <color rgb="FF10FF07"/>
      </colorScale>
    </cfRule>
  </conditionalFormatting>
  <conditionalFormatting sqref="J61:K61">
    <cfRule type="colorScale" priority="4">
      <colorScale>
        <cfvo type="percent" val="0"/>
        <cfvo type="percent" val="100"/>
        <color rgb="FFFF231B"/>
        <color rgb="FF10FF07"/>
      </colorScale>
    </cfRule>
  </conditionalFormatting>
  <conditionalFormatting sqref="J62:K62">
    <cfRule type="colorScale" priority="3">
      <colorScale>
        <cfvo type="percent" val="0"/>
        <cfvo type="percent" val="100"/>
        <color rgb="FFFF231B"/>
        <color rgb="FF10FF07"/>
      </colorScale>
    </cfRule>
  </conditionalFormatting>
  <conditionalFormatting sqref="J66:K74">
    <cfRule type="colorScale" priority="912">
      <colorScale>
        <cfvo type="percent" val="0"/>
        <cfvo type="percent" val="100"/>
        <color rgb="FFFF231B"/>
        <color rgb="FF10FF07"/>
      </colorScale>
    </cfRule>
  </conditionalFormatting>
  <conditionalFormatting sqref="K27">
    <cfRule type="colorScale" priority="307">
      <colorScale>
        <cfvo type="percent" val="0"/>
        <cfvo type="percent" val="100"/>
        <color rgb="FFFF231B"/>
        <color rgb="FF10FF07"/>
      </colorScale>
    </cfRule>
  </conditionalFormatting>
  <conditionalFormatting sqref="K28">
    <cfRule type="colorScale" priority="288">
      <colorScale>
        <cfvo type="percent" val="0"/>
        <cfvo type="percent" val="100"/>
        <color rgb="FFFF231B"/>
        <color rgb="FF10FF07"/>
      </colorScale>
    </cfRule>
  </conditionalFormatting>
  <conditionalFormatting sqref="K47:K62">
    <cfRule type="colorScale" priority="1028">
      <colorScale>
        <cfvo type="percent" val="0"/>
        <cfvo type="percent" val="100"/>
        <color rgb="FFFF231B"/>
        <color rgb="FF10FF07"/>
      </colorScale>
    </cfRule>
  </conditionalFormatting>
  <conditionalFormatting sqref="K65:K74">
    <cfRule type="colorScale" priority="915">
      <colorScale>
        <cfvo type="percent" val="0"/>
        <cfvo type="percent" val="100"/>
        <color rgb="FFFF231B"/>
        <color rgb="FF10FF07"/>
      </colorScale>
    </cfRule>
  </conditionalFormatting>
  <conditionalFormatting sqref="O65:O74 Q65:Q74 V65:V74 X65:X74 AC65:AC74 AE65:AE74 AJ65:AJ74 AL65:AL74 AQ65:AQ74 AS65:AS74 AX65:AX74 AZ65:AZ74 BE65:BE74 BG65:BG74 BL65:BL74 BN65:BN74 V47:V62 X47:X62 AC47:AC62 AE47:AE62 AJ47:AJ62 AL47:AL62 AQ47:AQ62 AS47:AS62 AX47:AX62 AZ47:AZ62 BE47:BE62 BG47:BG62 BL47:BL62 BN47:BN62 BS47:BS62 BU47:BU62 BZ47:BZ62 CB47:CB62 CG47:CG62 CI47:CI62 CN47:CN62 CP47:CP62 CU47:CU62 CW47:CW62 DB47:DB62 DD47:DD62 DJ47:DJ62 DL47:DL62 DQ47:DQ62 DS47:DS62 DX47:DX62 DZ47:DZ62 EE47:EE62 EG47:EG62 ES47:ES62 EU47:EU62 EZ47:EZ62 FB47:FB62 FG47:FG62 FI47:FI62 FN47:FN62 FP47:FP62 FU47:FU62 FW47:FW62 GA47:GA62 GC47:GC62 GG47:GG62 GI47:GI62 GM47:GM62 GO47:GO62 Q47:Q62 Q5:Q23 V5:V23 X5:X23 AC5:AC23 AE5:AE23 AJ5:AJ23 AL5:AL23 DQ5:DQ23 DS5:DS23 EE5:EE23 EG5:EG23 EN6:EN23 ES5:ES23 EU5:EU23 EZ5:EZ23 FB5:FB23 FG5:FG23 FI5:FI23 FN5:FN23 FP5:FP23 FU5:FU23 FW5:FW23 GA5:GA23 GC5:GC23 GG5:GG23 GI5:GI23 GM5:GM23 GO5:GO23 O26:O44 Q26:Q44 V26:V44 X26:X44 DQ26:DQ44 DS26:DS44 EE26:EE44 EG26:EG44 ES26:ES44 EU26:EU44 EZ26:EZ44 FB26:FB44 FG26:FG44 FI26:FI44 FN26:FN44 FP26:FP44 FU26:FU44 FW26:FW44 GA26:GA44 GC26:GC44 GG26:GG44 GI26:GI44 GM26:GM44 GO26:GO44 O5:O23 O47:O62 EL5:EL23 EM5:EO22 EL26:EL44 EN26:EN44 EL47:EL62 EN47:EN62 DX5:DX23 DX26:DX44 DZ5:DZ23 DZ26:DZ44 AQ5:AQ23 AS5:AS23 AX5:AX23 AZ5:AZ23 BE5:BE23 BG5:BG23 BL5:BL23 BN5:BN23 BS5:BS23 BU5:BU23 BZ5:BZ23 CB5:CB23 CG5:CG23 CI5:CI23 CN5:CN23 CP5:CP23 CU5:CU23 CW5:CW23 DB5:DB23 DD5:DD23 DJ5:DJ23 DL5:DL23 AC26:AC44 AE26:AE44 AJ26:AJ44 AL26:AL44 AQ26:AQ44 AS26:AS44 AX26:AX44 AZ26:AZ44 BE26:BE44 BG26:BG44 BL26:BL44 BN26:BN44 BS26:BS44 BU26:BU44 BZ26:BZ44 CB26:CB44 CG26:CG44 CI26:CI44 CN26:CN44 CP26:CP44 CU26:CU44 CW26:CW44 DB26:DB44 DD26:DD44 DJ26:DJ44 DL26:DL44">
    <cfRule type="expression" dxfId="1" priority="728">
      <formula>OR(IF(O5&lt;P5,TRUE),IF(AND(P5="",O5&lt;&gt;""),TRUE))</formula>
    </cfRule>
    <cfRule type="expression" dxfId="0" priority="729">
      <formula>IF(O5&gt;=P5,IF(O5="",FALSE,TRUE))</formula>
    </cfRule>
  </conditionalFormatting>
  <conditionalFormatting sqref="BS65:BS74 BU65:BU74">
    <cfRule type="expression" dxfId="66" priority="284">
      <formula>OR(IF(BS65&lt;BT65,TRUE),IF(AND(BT65="",BS65&lt;&gt;""),TRUE))</formula>
    </cfRule>
    <cfRule type="expression" dxfId="65" priority="285">
      <formula>IF(BS65&gt;=BT65,IF(BS65="",FALSE,TRUE))</formula>
    </cfRule>
  </conditionalFormatting>
  <conditionalFormatting sqref="BZ65:BZ74 CB65:CB74">
    <cfRule type="expression" dxfId="64" priority="264">
      <formula>OR(IF(BZ65&lt;CA65,TRUE),IF(AND(CA65="",BZ65&lt;&gt;""),TRUE))</formula>
    </cfRule>
    <cfRule type="expression" dxfId="63" priority="265">
      <formula>IF(BZ65&gt;=CA65,IF(BZ65="",FALSE,TRUE))</formula>
    </cfRule>
  </conditionalFormatting>
  <conditionalFormatting sqref="CG65:CG74 CI65:CI74">
    <cfRule type="expression" dxfId="62" priority="244">
      <formula>OR(IF(CG65&lt;CH65,TRUE),IF(AND(CH65="",CG65&lt;&gt;""),TRUE))</formula>
    </cfRule>
    <cfRule type="expression" dxfId="61" priority="245">
      <formula>IF(CG65&gt;=CH65,IF(CG65="",FALSE,TRUE))</formula>
    </cfRule>
  </conditionalFormatting>
  <conditionalFormatting sqref="CN65:CN74 CP65:CP74">
    <cfRule type="expression" dxfId="60" priority="224">
      <formula>OR(IF(CN65&lt;CO65,TRUE),IF(AND(CO65="",CN65&lt;&gt;""),TRUE))</formula>
    </cfRule>
    <cfRule type="expression" dxfId="59" priority="225">
      <formula>IF(CN65&gt;=CO65,IF(CN65="",FALSE,TRUE))</formula>
    </cfRule>
  </conditionalFormatting>
  <conditionalFormatting sqref="CU65:CU74 CW65:CW74">
    <cfRule type="expression" dxfId="58" priority="204">
      <formula>OR(IF(CU65&lt;CV65,TRUE),IF(AND(CV65="",CU65&lt;&gt;""),TRUE))</formula>
    </cfRule>
    <cfRule type="expression" dxfId="57" priority="205">
      <formula>IF(CU65&gt;=CV65,IF(CU65="",FALSE,TRUE))</formula>
    </cfRule>
  </conditionalFormatting>
  <conditionalFormatting sqref="DB65:DB74 DD65:DD74">
    <cfRule type="expression" dxfId="56" priority="184">
      <formula>OR(IF(DB65&lt;DC65,TRUE),IF(AND(DC65="",DB65&lt;&gt;""),TRUE))</formula>
    </cfRule>
    <cfRule type="expression" dxfId="55" priority="185">
      <formula>IF(DB65&gt;=DC65,IF(DB65="",FALSE,TRUE))</formula>
    </cfRule>
  </conditionalFormatting>
  <conditionalFormatting sqref="DJ65:DJ74 DL65:DL74">
    <cfRule type="expression" dxfId="54" priority="162">
      <formula>OR(IF(DJ65&lt;DK65,TRUE),IF(AND(DK65="",DJ65&lt;&gt;""),TRUE))</formula>
    </cfRule>
    <cfRule type="expression" dxfId="53" priority="163">
      <formula>IF(DJ65&gt;=DK65,IF(DJ65="",FALSE,TRUE))</formula>
    </cfRule>
  </conditionalFormatting>
  <conditionalFormatting sqref="DQ65:DQ74 DS65:DS74">
    <cfRule type="expression" dxfId="52" priority="150">
      <formula>OR(IF(DQ65&lt;DR65,TRUE),IF(AND(DR65="",DQ65&lt;&gt;""),TRUE))</formula>
    </cfRule>
    <cfRule type="expression" dxfId="51" priority="151">
      <formula>IF(DQ65&gt;=DR65,IF(DQ65="",FALSE,TRUE))</formula>
    </cfRule>
  </conditionalFormatting>
  <conditionalFormatting sqref="DX65:DX74 DZ65:DZ74">
    <cfRule type="expression" dxfId="50" priority="138">
      <formula>OR(IF(DX65&lt;DY65,TRUE),IF(AND(DY65="",DX65&lt;&gt;""),TRUE))</formula>
    </cfRule>
    <cfRule type="expression" dxfId="49" priority="139">
      <formula>IF(DX65&gt;=DY65,IF(DX65="",FALSE,TRUE))</formula>
    </cfRule>
  </conditionalFormatting>
  <conditionalFormatting sqref="EE65:EE74 EG65:EG74">
    <cfRule type="expression" dxfId="48" priority="126">
      <formula>OR(IF(EE65&lt;EF65,TRUE),IF(AND(EF65="",EE65&lt;&gt;""),TRUE))</formula>
    </cfRule>
    <cfRule type="expression" dxfId="47" priority="127">
      <formula>IF(EE65&gt;=EF65,IF(EE65="",FALSE,TRUE))</formula>
    </cfRule>
  </conditionalFormatting>
  <conditionalFormatting sqref="EL65:EL74 EN65:EN74">
    <cfRule type="expression" dxfId="46" priority="114">
      <formula>OR(IF(EL65&lt;EM65,TRUE),IF(AND(EM65="",EL65&lt;&gt;""),TRUE))</formula>
    </cfRule>
    <cfRule type="expression" dxfId="45" priority="115">
      <formula>IF(EL65&gt;=EM65,IF(EL65="",FALSE,TRUE))</formula>
    </cfRule>
  </conditionalFormatting>
  <conditionalFormatting sqref="ES65:ES74 EU65:EU74">
    <cfRule type="expression" dxfId="44" priority="102">
      <formula>OR(IF(ES65&lt;ET65,TRUE),IF(AND(ET65="",ES65&lt;&gt;""),TRUE))</formula>
    </cfRule>
    <cfRule type="expression" dxfId="43" priority="103">
      <formula>IF(ES65&gt;=ET65,IF(ES65="",FALSE,TRUE))</formula>
    </cfRule>
  </conditionalFormatting>
  <conditionalFormatting sqref="EZ65:EZ74 FB65:FB74">
    <cfRule type="expression" dxfId="42" priority="90">
      <formula>OR(IF(EZ65&lt;FA65,TRUE),IF(AND(FA65="",EZ65&lt;&gt;""),TRUE))</formula>
    </cfRule>
    <cfRule type="expression" dxfId="41" priority="91">
      <formula>IF(EZ65&gt;=FA65,IF(EZ65="",FALSE,TRUE))</formula>
    </cfRule>
  </conditionalFormatting>
  <conditionalFormatting sqref="FG65:FG74 FI65:FI74">
    <cfRule type="expression" dxfId="40" priority="78">
      <formula>OR(IF(FG65&lt;FH65,TRUE),IF(AND(FH65="",FG65&lt;&gt;""),TRUE))</formula>
    </cfRule>
    <cfRule type="expression" dxfId="39" priority="79">
      <formula>IF(FG65&gt;=FH65,IF(FG65="",FALSE,TRUE))</formula>
    </cfRule>
  </conditionalFormatting>
  <conditionalFormatting sqref="FN65:FN74 FP65:FP74">
    <cfRule type="expression" dxfId="38" priority="66">
      <formula>OR(IF(FN65&lt;FO65,TRUE),IF(AND(FO65="",FN65&lt;&gt;""),TRUE))</formula>
    </cfRule>
    <cfRule type="expression" dxfId="37" priority="67">
      <formula>IF(FN65&gt;=FO65,IF(FN65="",FALSE,TRUE))</formula>
    </cfRule>
  </conditionalFormatting>
  <conditionalFormatting sqref="FU65:FU74 FW65:FW74">
    <cfRule type="expression" dxfId="36" priority="54">
      <formula>OR(IF(FU65&lt;FV65,TRUE),IF(AND(FV65="",FU65&lt;&gt;""),TRUE))</formula>
    </cfRule>
    <cfRule type="expression" dxfId="35" priority="55">
      <formula>IF(FU65&gt;=FV65,IF(FU65="",FALSE,TRUE))</formula>
    </cfRule>
  </conditionalFormatting>
  <conditionalFormatting sqref="GA65:GA74 GC65:GC74">
    <cfRule type="expression" dxfId="34" priority="42">
      <formula>OR(IF(GA65&lt;GB65,TRUE),IF(AND(GB65="",GA65&lt;&gt;""),TRUE))</formula>
    </cfRule>
    <cfRule type="expression" dxfId="33" priority="43">
      <formula>IF(GA65&gt;=GB65,IF(GA65="",FALSE,TRUE))</formula>
    </cfRule>
  </conditionalFormatting>
  <conditionalFormatting sqref="GG65:GG74 GI65:GI74">
    <cfRule type="expression" dxfId="32" priority="30">
      <formula>OR(IF(GG65&lt;GH65,TRUE),IF(AND(GH65="",GG65&lt;&gt;""),TRUE))</formula>
    </cfRule>
    <cfRule type="expression" dxfId="31" priority="31">
      <formula>IF(GG65&gt;=GH65,IF(GG65="",FALSE,TRUE))</formula>
    </cfRule>
  </conditionalFormatting>
  <conditionalFormatting sqref="GM65:GM74 GO65:GO74">
    <cfRule type="expression" dxfId="30" priority="18">
      <formula>OR(IF(GM65&lt;GN65,TRUE),IF(AND(GN65="",GM65&lt;&gt;""),TRUE))</formula>
    </cfRule>
    <cfRule type="expression" dxfId="29" priority="19">
      <formula>IF(GM65&gt;=GN65,IF(GM65="",FALSE,TRUE))</formula>
    </cfRule>
  </conditionalFormatting>
  <conditionalFormatting sqref="J5:J23">
    <cfRule type="colorScale" priority="1029">
      <colorScale>
        <cfvo type="percent" val="0"/>
        <cfvo type="percent" val="100"/>
        <color rgb="FFFF231B"/>
        <color rgb="FF10FF07"/>
      </colorScale>
    </cfRule>
  </conditionalFormatting>
  <conditionalFormatting sqref="J6:K23">
    <cfRule type="colorScale" priority="1032">
      <colorScale>
        <cfvo type="percent" val="0"/>
        <cfvo type="percent" val="100"/>
        <color rgb="FFFF231B"/>
        <color rgb="FF10FF07"/>
      </colorScale>
    </cfRule>
  </conditionalFormatting>
  <conditionalFormatting sqref="K5:K23">
    <cfRule type="colorScale" priority="1033">
      <colorScale>
        <cfvo type="percent" val="0"/>
        <cfvo type="percent" val="100"/>
        <color rgb="FFFF231B"/>
        <color rgb="FF10FF07"/>
      </colorScale>
    </cfRule>
  </conditionalFormatting>
  <conditionalFormatting sqref="J26 K34 J29:J44">
    <cfRule type="colorScale" priority="1034">
      <colorScale>
        <cfvo type="percent" val="0"/>
        <cfvo type="percent" val="100"/>
        <color rgb="FFFF231B"/>
        <color rgb="FF10FF07"/>
      </colorScale>
    </cfRule>
  </conditionalFormatting>
  <conditionalFormatting sqref="J29:K44">
    <cfRule type="colorScale" priority="1038">
      <colorScale>
        <cfvo type="percent" val="0"/>
        <cfvo type="percent" val="100"/>
        <color rgb="FFFF231B"/>
        <color rgb="FF10FF07"/>
      </colorScale>
    </cfRule>
  </conditionalFormatting>
  <conditionalFormatting sqref="K29:K44 K26">
    <cfRule type="colorScale" priority="1040">
      <colorScale>
        <cfvo type="percent" val="0"/>
        <cfvo type="percent" val="100"/>
        <color rgb="FFFF231B"/>
        <color rgb="FF10FF07"/>
      </colorScale>
    </cfRule>
  </conditionalFormatting>
  <dataValidations count="1">
    <dataValidation type="list" allowBlank="1" showInputMessage="1" showErrorMessage="1" sqref="AJ65:AM74 DQ47:DT62 AC5:AF23 AJ5:AM23 AQ5:AT23 AX5:BA23 BE5:BH23 V47:Y62 BS5:BV23 CG65:CJ74 BL65:BO74 AX65:BA74 BE65:BH74 AQ65:AT74 AC65:AF74 V65:Y74 O65:R74 BL5:BO23 BZ5:CC23 BS65:BV74 BZ65:CC74 DB65:DE74 CG5:CJ23 CN5:CQ23 CN65:CQ74 CU5:CX23 CU65:CX74 V26:Y44 DJ65:DM74 DB5:DE23 DQ65:DT74 DZ47:EA62 DX65:EA74 EL47:EO62 EE65:EH74 EE5:EH23 EL65:EO74 O26:R44 ES65:EV74 ES5:EV23 EZ65:FC74 EZ5:FC23 FG65:FJ74 FG5:FJ23 FN65:FQ74 FN5:FQ23 FU65:FX74 FU5:FX23 GA65:GD74 GA5:GD23 GG65:GJ74 GG5:GJ23 GM65:GP74 GM5:GP23 BE47:BH62 GM47:GP62 AQ47:AT62 AJ47:AM62 O5:R23 AC47:AF62 O47:R62 BL47:BO62 BS47:BV62 AX47:BA62 BZ47:CC62 CG47:CJ62 CN47:CQ62 CU47:CX62 DB47:DE62 DJ47:DM62 DX26:EA44 EE47:EH62 EL26:EO44 ES47:EV62 EZ47:FC62 FG47:FJ62 FN47:FQ62 FU47:FX62 GA47:GD62 GG47:GJ62 DQ26:DT44 GM26:GP44 GG26:GJ44 GA26:GD44 FU26:FX44 FN26:FQ44 FG26:FJ44 EZ26:FC44 ES26:EV44 EL5:EO23 EE26:EH44 DX5:EA23 DJ5:DM23 DB26:DE44 BS26:BV44 CU26:CX44 V5:Y23 CN26:CQ44 CG26:CJ44 BZ26:CC44 BL26:BO44 BE26:BH44 AX26:BA44 AQ26:AT44 AJ26:AM44 AC26:AF44 DQ5:DT23 DX47:DX62 DY47:DY63 DJ26:DM44" xr:uid="{DF46768B-76BD-4AD1-BDD9-05E5E50A35C8}">
      <formula1>"10%,20%,30%,40%,50%,60%,70%,80%,90%,100%"</formula1>
    </dataValidation>
  </dataValidations>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sheetPr codeName="Tabelle3"/>
  <dimension ref="B4:B25"/>
  <sheetViews>
    <sheetView topLeftCell="A6" workbookViewId="0">
      <selection activeCell="B2" sqref="B2"/>
    </sheetView>
  </sheetViews>
  <sheetFormatPr baseColWidth="10" defaultColWidth="10.69921875" defaultRowHeight="15.6"/>
  <cols>
    <col min="2" max="2" width="161" customWidth="1"/>
    <col min="3" max="3" width="10.796875"/>
  </cols>
  <sheetData>
    <row r="4" spans="2:2" ht="21">
      <c r="B4" s="3" t="s">
        <v>16</v>
      </c>
    </row>
    <row r="6" spans="2:2">
      <c r="B6" s="2" t="s">
        <v>13</v>
      </c>
    </row>
    <row r="7" spans="2:2" ht="46.8">
      <c r="B7" s="1" t="s">
        <v>14</v>
      </c>
    </row>
    <row r="9" spans="2:2">
      <c r="B9" s="2" t="s">
        <v>15</v>
      </c>
    </row>
    <row r="10" spans="2:2" ht="62.4">
      <c r="B10" s="1" t="s">
        <v>36</v>
      </c>
    </row>
    <row r="12" spans="2:2">
      <c r="B12" s="2" t="s">
        <v>17</v>
      </c>
    </row>
    <row r="13" spans="2:2" ht="140.4">
      <c r="B13" s="1" t="s">
        <v>18</v>
      </c>
    </row>
    <row r="15" spans="2:2">
      <c r="B15" s="2" t="s">
        <v>19</v>
      </c>
    </row>
    <row r="16" spans="2:2" ht="109.2">
      <c r="B16" s="1" t="s">
        <v>20</v>
      </c>
    </row>
    <row r="17" spans="2:2">
      <c r="B17" s="1"/>
    </row>
    <row r="18" spans="2:2">
      <c r="B18" s="2" t="s">
        <v>35</v>
      </c>
    </row>
    <row r="19" spans="2:2" ht="140.4">
      <c r="B19" s="1" t="s">
        <v>37</v>
      </c>
    </row>
    <row r="21" spans="2:2">
      <c r="B21" s="2" t="s">
        <v>21</v>
      </c>
    </row>
    <row r="22" spans="2:2" ht="124.8">
      <c r="B22" s="1" t="s">
        <v>38</v>
      </c>
    </row>
    <row r="24" spans="2:2">
      <c r="B24" s="2"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sheetPr codeName="Tabelle4"/>
  <dimension ref="A1:Z1113"/>
  <sheetViews>
    <sheetView workbookViewId="0">
      <selection activeCell="C1" sqref="C1:C8"/>
    </sheetView>
  </sheetViews>
  <sheetFormatPr baseColWidth="10" defaultColWidth="10.69921875" defaultRowHeight="15.6"/>
  <cols>
    <col min="1" max="1" width="16.796875" style="9" customWidth="1"/>
    <col min="2" max="2" width="19.19921875" style="9" customWidth="1"/>
    <col min="3" max="3" width="18.19921875" style="9" customWidth="1"/>
    <col min="4" max="4" width="19.5" style="9" customWidth="1"/>
    <col min="8" max="8" width="15.19921875" customWidth="1"/>
    <col min="10" max="10" width="42" customWidth="1"/>
    <col min="11" max="11" width="28.5" customWidth="1"/>
    <col min="12" max="12" width="17.19921875" customWidth="1"/>
    <col min="14" max="14" width="23.296875" customWidth="1"/>
    <col min="17" max="17" width="20.5" customWidth="1"/>
    <col min="18" max="18" width="14.59765625" customWidth="1"/>
    <col min="19" max="19" width="15.5" customWidth="1"/>
    <col min="20" max="20" width="16.59765625" customWidth="1"/>
    <col min="21" max="21" width="24.59765625" customWidth="1"/>
    <col min="22" max="22" width="18.19921875" style="9" customWidth="1"/>
    <col min="23" max="23" width="20.5" customWidth="1"/>
  </cols>
  <sheetData>
    <row r="1" spans="1:26" ht="31.2">
      <c r="A1" s="9" t="s">
        <v>42</v>
      </c>
      <c r="B1" s="15" t="s">
        <v>39</v>
      </c>
      <c r="C1" s="15" t="s">
        <v>40</v>
      </c>
      <c r="D1" s="15" t="s">
        <v>41</v>
      </c>
      <c r="E1" s="1" t="s">
        <v>43</v>
      </c>
      <c r="F1" s="1" t="s">
        <v>44</v>
      </c>
      <c r="G1" s="1" t="s">
        <v>45</v>
      </c>
      <c r="H1" s="1" t="s">
        <v>46</v>
      </c>
      <c r="I1" s="1" t="s">
        <v>47</v>
      </c>
      <c r="J1" s="1" t="s">
        <v>48</v>
      </c>
      <c r="K1" s="1" t="s">
        <v>49</v>
      </c>
      <c r="L1" s="1" t="s">
        <v>117</v>
      </c>
      <c r="M1" s="1" t="s">
        <v>119</v>
      </c>
      <c r="N1" s="1" t="s">
        <v>118</v>
      </c>
      <c r="O1" s="1" t="s">
        <v>121</v>
      </c>
      <c r="P1" s="1" t="s">
        <v>122</v>
      </c>
      <c r="Q1" s="1" t="s">
        <v>132</v>
      </c>
      <c r="R1" s="1" t="s">
        <v>125</v>
      </c>
      <c r="S1" s="1" t="s">
        <v>123</v>
      </c>
      <c r="T1" s="1" t="s">
        <v>126</v>
      </c>
      <c r="U1" s="1" t="s">
        <v>127</v>
      </c>
      <c r="V1" s="15" t="s">
        <v>128</v>
      </c>
      <c r="W1" s="1" t="s">
        <v>133</v>
      </c>
      <c r="X1" t="s">
        <v>140</v>
      </c>
      <c r="Y1" t="s">
        <v>141</v>
      </c>
      <c r="Z1" t="s">
        <v>148</v>
      </c>
    </row>
    <row r="2" spans="1:26">
      <c r="A2" s="14">
        <v>45173</v>
      </c>
      <c r="B2" s="9" t="s">
        <v>114</v>
      </c>
      <c r="C2" s="9" t="s">
        <v>114</v>
      </c>
      <c r="D2" s="11">
        <v>0.6</v>
      </c>
      <c r="E2">
        <v>3000</v>
      </c>
      <c r="F2">
        <v>124</v>
      </c>
      <c r="G2">
        <v>138</v>
      </c>
      <c r="H2">
        <v>321</v>
      </c>
      <c r="I2">
        <v>84.8</v>
      </c>
      <c r="J2" t="s">
        <v>115</v>
      </c>
      <c r="K2" t="s">
        <v>116</v>
      </c>
      <c r="L2" s="9" t="s">
        <v>114</v>
      </c>
      <c r="M2" s="9" t="s">
        <v>120</v>
      </c>
      <c r="N2" s="11">
        <v>1</v>
      </c>
      <c r="O2" s="20">
        <v>10098</v>
      </c>
      <c r="P2" s="8">
        <v>2.0833333333333332E-2</v>
      </c>
      <c r="Q2" t="s">
        <v>131</v>
      </c>
      <c r="R2" t="s">
        <v>114</v>
      </c>
      <c r="S2" t="s">
        <v>124</v>
      </c>
      <c r="T2" t="s">
        <v>120</v>
      </c>
      <c r="U2" t="s">
        <v>120</v>
      </c>
      <c r="V2" s="9" t="s">
        <v>114</v>
      </c>
      <c r="W2" s="10">
        <v>0.78</v>
      </c>
      <c r="X2">
        <v>23</v>
      </c>
      <c r="Y2">
        <v>58</v>
      </c>
    </row>
    <row r="3" spans="1:26">
      <c r="A3" s="14">
        <v>45174</v>
      </c>
      <c r="B3" s="9" t="s">
        <v>120</v>
      </c>
      <c r="C3" s="9" t="s">
        <v>114</v>
      </c>
      <c r="D3" s="11">
        <v>0.4</v>
      </c>
      <c r="E3">
        <v>3280</v>
      </c>
      <c r="F3">
        <v>145</v>
      </c>
      <c r="G3">
        <v>168</v>
      </c>
      <c r="H3">
        <v>314</v>
      </c>
      <c r="I3">
        <v>83.4</v>
      </c>
      <c r="J3" t="s">
        <v>130</v>
      </c>
      <c r="K3" t="s">
        <v>116</v>
      </c>
      <c r="L3" s="9" t="s">
        <v>114</v>
      </c>
      <c r="M3" s="9" t="s">
        <v>120</v>
      </c>
      <c r="N3" s="11">
        <v>0.6</v>
      </c>
      <c r="O3" s="20">
        <v>9335</v>
      </c>
      <c r="P3" s="8">
        <v>2.0833333333333332E-2</v>
      </c>
      <c r="Q3" t="s">
        <v>134</v>
      </c>
      <c r="R3" t="s">
        <v>114</v>
      </c>
      <c r="S3" t="s">
        <v>129</v>
      </c>
      <c r="T3" t="s">
        <v>120</v>
      </c>
      <c r="U3" t="s">
        <v>120</v>
      </c>
      <c r="V3" s="9" t="s">
        <v>120</v>
      </c>
      <c r="W3" s="10">
        <v>0.93</v>
      </c>
      <c r="X3">
        <v>35</v>
      </c>
      <c r="Y3">
        <v>11</v>
      </c>
    </row>
    <row r="4" spans="1:26">
      <c r="A4" s="14">
        <v>45175</v>
      </c>
      <c r="B4" s="9" t="s">
        <v>120</v>
      </c>
      <c r="C4" s="9" t="s">
        <v>114</v>
      </c>
      <c r="D4" s="11">
        <v>0.8</v>
      </c>
      <c r="E4" s="20">
        <v>3121</v>
      </c>
      <c r="F4">
        <v>94</v>
      </c>
      <c r="G4">
        <v>144</v>
      </c>
      <c r="H4">
        <v>402</v>
      </c>
      <c r="I4">
        <v>84.5</v>
      </c>
      <c r="J4" t="s">
        <v>135</v>
      </c>
      <c r="K4" t="s">
        <v>136</v>
      </c>
      <c r="L4" s="9" t="s">
        <v>114</v>
      </c>
      <c r="M4" s="9" t="s">
        <v>114</v>
      </c>
      <c r="N4" s="11">
        <v>0.4</v>
      </c>
      <c r="O4" s="20">
        <v>6213</v>
      </c>
      <c r="P4" s="8">
        <v>3.4027777777777775E-2</v>
      </c>
      <c r="Q4" t="s">
        <v>142</v>
      </c>
      <c r="R4" t="s">
        <v>114</v>
      </c>
      <c r="S4" t="s">
        <v>138</v>
      </c>
      <c r="T4" t="s">
        <v>139</v>
      </c>
      <c r="U4" t="s">
        <v>120</v>
      </c>
      <c r="V4" s="9" t="s">
        <v>114</v>
      </c>
      <c r="W4" s="10">
        <v>0.62</v>
      </c>
      <c r="X4">
        <v>14</v>
      </c>
      <c r="Y4">
        <v>7</v>
      </c>
      <c r="Z4" t="s">
        <v>162</v>
      </c>
    </row>
    <row r="5" spans="1:26">
      <c r="A5" s="14">
        <v>45176</v>
      </c>
      <c r="B5" s="9" t="s">
        <v>120</v>
      </c>
      <c r="C5" s="9" t="s">
        <v>114</v>
      </c>
      <c r="D5" s="11">
        <v>0.8</v>
      </c>
      <c r="E5" s="20">
        <v>2813</v>
      </c>
      <c r="F5">
        <v>108</v>
      </c>
      <c r="G5">
        <v>88</v>
      </c>
      <c r="H5">
        <v>359</v>
      </c>
      <c r="I5">
        <v>85.2</v>
      </c>
      <c r="J5" t="s">
        <v>143</v>
      </c>
      <c r="K5" t="s">
        <v>144</v>
      </c>
      <c r="L5" s="9" t="s">
        <v>114</v>
      </c>
      <c r="M5" s="9" t="s">
        <v>114</v>
      </c>
      <c r="N5" s="11">
        <v>0.6</v>
      </c>
      <c r="O5" s="20">
        <v>21331</v>
      </c>
      <c r="P5" s="8">
        <v>2.0833333333333332E-2</v>
      </c>
      <c r="Q5" t="s">
        <v>147</v>
      </c>
      <c r="R5" t="s">
        <v>114</v>
      </c>
      <c r="S5" t="s">
        <v>145</v>
      </c>
      <c r="T5" t="s">
        <v>146</v>
      </c>
      <c r="U5" t="s">
        <v>137</v>
      </c>
      <c r="V5" s="9" t="s">
        <v>114</v>
      </c>
      <c r="W5" s="10">
        <v>0.67</v>
      </c>
      <c r="X5" s="8">
        <v>0.10625</v>
      </c>
      <c r="Y5">
        <v>44</v>
      </c>
      <c r="Z5" t="s">
        <v>161</v>
      </c>
    </row>
    <row r="6" spans="1:26">
      <c r="A6" s="14">
        <v>45177</v>
      </c>
      <c r="B6" s="9" t="s">
        <v>120</v>
      </c>
      <c r="C6" s="9" t="s">
        <v>114</v>
      </c>
      <c r="D6" s="11">
        <v>0.6</v>
      </c>
      <c r="E6">
        <v>3000</v>
      </c>
      <c r="F6">
        <v>124</v>
      </c>
      <c r="G6">
        <v>138</v>
      </c>
      <c r="H6">
        <v>321</v>
      </c>
      <c r="I6">
        <v>85</v>
      </c>
      <c r="J6" t="s">
        <v>150</v>
      </c>
      <c r="K6" t="s">
        <v>116</v>
      </c>
      <c r="L6" s="9" t="s">
        <v>114</v>
      </c>
      <c r="M6" s="9" t="s">
        <v>114</v>
      </c>
      <c r="N6" s="11">
        <v>0.4</v>
      </c>
      <c r="O6" s="20">
        <v>11870</v>
      </c>
      <c r="P6" s="8">
        <v>3.2638888888888891E-2</v>
      </c>
      <c r="Q6" t="s">
        <v>155</v>
      </c>
      <c r="R6" t="s">
        <v>114</v>
      </c>
      <c r="S6" t="s">
        <v>154</v>
      </c>
      <c r="T6" t="s">
        <v>137</v>
      </c>
      <c r="U6" t="s">
        <v>137</v>
      </c>
      <c r="V6" s="9" t="s">
        <v>114</v>
      </c>
      <c r="W6" s="10">
        <v>0.71</v>
      </c>
      <c r="X6">
        <v>18</v>
      </c>
      <c r="Y6">
        <v>57</v>
      </c>
      <c r="Z6" t="s">
        <v>160</v>
      </c>
    </row>
    <row r="7" spans="1:26">
      <c r="A7" s="14">
        <v>45178</v>
      </c>
      <c r="B7" s="9" t="s">
        <v>120</v>
      </c>
      <c r="C7" s="9" t="s">
        <v>114</v>
      </c>
      <c r="D7" s="11">
        <v>0.6</v>
      </c>
      <c r="E7">
        <v>3000</v>
      </c>
      <c r="F7">
        <v>124</v>
      </c>
      <c r="G7">
        <v>168</v>
      </c>
      <c r="H7">
        <v>321</v>
      </c>
      <c r="I7">
        <v>85</v>
      </c>
      <c r="J7" t="s">
        <v>149</v>
      </c>
      <c r="K7" t="s">
        <v>151</v>
      </c>
      <c r="L7" s="9" t="s">
        <v>114</v>
      </c>
      <c r="M7" s="9" t="s">
        <v>114</v>
      </c>
      <c r="N7" s="11">
        <v>0</v>
      </c>
      <c r="O7" s="20">
        <v>5638</v>
      </c>
      <c r="P7" s="8">
        <v>0.24166666666666667</v>
      </c>
      <c r="Q7" t="s">
        <v>156</v>
      </c>
      <c r="R7" t="s">
        <v>114</v>
      </c>
      <c r="S7" t="s">
        <v>154</v>
      </c>
      <c r="T7" t="s">
        <v>153</v>
      </c>
      <c r="U7" t="s">
        <v>153</v>
      </c>
      <c r="V7" s="9" t="s">
        <v>114</v>
      </c>
      <c r="W7" s="10">
        <v>0.56000000000000005</v>
      </c>
      <c r="X7" s="8">
        <v>4.8611111111111112E-2</v>
      </c>
      <c r="Y7">
        <v>39</v>
      </c>
      <c r="Z7" t="s">
        <v>159</v>
      </c>
    </row>
    <row r="8" spans="1:26">
      <c r="A8" s="14">
        <v>45179</v>
      </c>
      <c r="B8" s="9" t="s">
        <v>120</v>
      </c>
      <c r="C8" s="9" t="s">
        <v>120</v>
      </c>
      <c r="D8" s="11">
        <v>0.6</v>
      </c>
      <c r="E8">
        <v>1761</v>
      </c>
      <c r="F8">
        <v>150</v>
      </c>
      <c r="G8">
        <v>60</v>
      </c>
      <c r="H8">
        <v>105</v>
      </c>
      <c r="I8">
        <v>85</v>
      </c>
      <c r="J8" t="s">
        <v>115</v>
      </c>
      <c r="K8" t="s">
        <v>152</v>
      </c>
      <c r="L8" s="9" t="s">
        <v>114</v>
      </c>
      <c r="M8" s="9" t="s">
        <v>114</v>
      </c>
      <c r="N8" s="11">
        <v>1</v>
      </c>
      <c r="O8" s="20">
        <v>4767</v>
      </c>
      <c r="P8" s="8">
        <v>0.1763888888888889</v>
      </c>
      <c r="Q8" t="s">
        <v>157</v>
      </c>
      <c r="R8" t="s">
        <v>114</v>
      </c>
      <c r="S8" t="s">
        <v>154</v>
      </c>
      <c r="T8" t="s">
        <v>153</v>
      </c>
      <c r="U8" t="s">
        <v>153</v>
      </c>
      <c r="V8" s="9" t="s">
        <v>114</v>
      </c>
      <c r="W8" s="10">
        <v>0.68</v>
      </c>
      <c r="X8" s="8">
        <v>6.0416666666666667E-2</v>
      </c>
      <c r="Y8">
        <v>55</v>
      </c>
      <c r="Z8" t="s">
        <v>158</v>
      </c>
    </row>
    <row r="9" spans="1:26">
      <c r="A9" s="14">
        <v>45180</v>
      </c>
      <c r="D9" s="11">
        <v>0.6</v>
      </c>
      <c r="L9" s="9"/>
      <c r="M9" s="9"/>
      <c r="N9" s="11">
        <v>1</v>
      </c>
    </row>
    <row r="10" spans="1:26">
      <c r="A10" s="14">
        <v>45181</v>
      </c>
      <c r="D10" s="11">
        <v>0.6</v>
      </c>
      <c r="L10" s="9"/>
      <c r="M10" s="9"/>
      <c r="N10" s="11">
        <v>1</v>
      </c>
    </row>
    <row r="11" spans="1:26">
      <c r="A11" s="14">
        <v>45182</v>
      </c>
      <c r="D11" s="11">
        <v>0.6</v>
      </c>
      <c r="N11" s="11">
        <v>1</v>
      </c>
    </row>
    <row r="12" spans="1:26">
      <c r="A12" s="14">
        <v>45183</v>
      </c>
      <c r="D12" s="11">
        <v>0.6</v>
      </c>
      <c r="N12" s="11">
        <v>1</v>
      </c>
    </row>
    <row r="13" spans="1:26">
      <c r="A13" s="14">
        <v>45184</v>
      </c>
      <c r="D13" s="11">
        <v>0.6</v>
      </c>
      <c r="N13" s="11">
        <v>1</v>
      </c>
    </row>
    <row r="14" spans="1:26">
      <c r="A14" s="14">
        <v>45185</v>
      </c>
      <c r="D14" s="11">
        <v>0.6</v>
      </c>
      <c r="N14" s="11">
        <v>1</v>
      </c>
    </row>
    <row r="15" spans="1:26">
      <c r="A15" s="14">
        <v>45186</v>
      </c>
      <c r="D15" s="11">
        <v>0.6</v>
      </c>
      <c r="N15" s="11">
        <v>1</v>
      </c>
    </row>
    <row r="16" spans="1:26">
      <c r="A16" s="14">
        <v>45187</v>
      </c>
      <c r="D16" s="11">
        <v>0.6</v>
      </c>
      <c r="N16" s="11">
        <v>1</v>
      </c>
    </row>
    <row r="17" spans="1:14">
      <c r="A17" s="14">
        <v>45188</v>
      </c>
      <c r="D17" s="11">
        <v>0.6</v>
      </c>
      <c r="N17" s="11">
        <v>1</v>
      </c>
    </row>
    <row r="18" spans="1:14">
      <c r="A18" s="14">
        <v>45189</v>
      </c>
      <c r="D18" s="11">
        <v>0.6</v>
      </c>
      <c r="N18" s="11">
        <v>1</v>
      </c>
    </row>
    <row r="19" spans="1:14">
      <c r="A19" s="14">
        <v>45190</v>
      </c>
      <c r="D19" s="11">
        <v>0.6</v>
      </c>
      <c r="N19" s="11">
        <v>1</v>
      </c>
    </row>
    <row r="20" spans="1:14">
      <c r="A20" s="14">
        <v>45191</v>
      </c>
      <c r="D20" s="11">
        <v>0.6</v>
      </c>
      <c r="N20" s="11">
        <v>1</v>
      </c>
    </row>
    <row r="21" spans="1:14">
      <c r="A21" s="14">
        <v>45192</v>
      </c>
      <c r="D21" s="11">
        <v>0.6</v>
      </c>
      <c r="N21" s="11">
        <v>1</v>
      </c>
    </row>
    <row r="22" spans="1:14">
      <c r="A22" s="14">
        <v>45193</v>
      </c>
      <c r="D22" s="11">
        <v>0.6</v>
      </c>
      <c r="N22" s="11">
        <v>1</v>
      </c>
    </row>
    <row r="23" spans="1:14">
      <c r="A23" s="14">
        <v>45194</v>
      </c>
      <c r="D23" s="11">
        <v>0.6</v>
      </c>
      <c r="N23" s="11">
        <v>1</v>
      </c>
    </row>
    <row r="24" spans="1:14">
      <c r="A24" s="14">
        <v>45195</v>
      </c>
      <c r="D24" s="11">
        <v>0.6</v>
      </c>
      <c r="N24" s="11">
        <v>1</v>
      </c>
    </row>
    <row r="25" spans="1:14">
      <c r="A25" s="14">
        <v>45196</v>
      </c>
      <c r="D25" s="11">
        <v>0.6</v>
      </c>
      <c r="N25" s="11">
        <v>1</v>
      </c>
    </row>
    <row r="26" spans="1:14">
      <c r="A26" s="14">
        <v>45197</v>
      </c>
      <c r="D26" s="11">
        <v>0.6</v>
      </c>
      <c r="N26" s="11">
        <v>1</v>
      </c>
    </row>
    <row r="27" spans="1:14">
      <c r="A27" s="14">
        <v>45198</v>
      </c>
      <c r="D27" s="11">
        <v>0.6</v>
      </c>
      <c r="N27" s="11">
        <v>1</v>
      </c>
    </row>
    <row r="28" spans="1:14">
      <c r="A28" s="14">
        <v>45199</v>
      </c>
      <c r="D28" s="11">
        <v>0.6</v>
      </c>
      <c r="N28" s="11">
        <v>1</v>
      </c>
    </row>
    <row r="29" spans="1:14">
      <c r="A29" s="14">
        <v>45200</v>
      </c>
      <c r="D29" s="11">
        <v>0.6</v>
      </c>
      <c r="N29" s="11">
        <v>1</v>
      </c>
    </row>
    <row r="30" spans="1:14">
      <c r="A30" s="14">
        <v>45201</v>
      </c>
      <c r="D30" s="11">
        <v>0.6</v>
      </c>
      <c r="N30" s="11">
        <v>1</v>
      </c>
    </row>
    <row r="31" spans="1:14">
      <c r="A31" s="14">
        <v>45202</v>
      </c>
      <c r="D31" s="11">
        <v>0.6</v>
      </c>
      <c r="N31" s="11">
        <v>1</v>
      </c>
    </row>
    <row r="32" spans="1:14">
      <c r="A32" s="14">
        <v>45203</v>
      </c>
      <c r="D32" s="11">
        <v>0.6</v>
      </c>
      <c r="N32" s="11">
        <v>1</v>
      </c>
    </row>
    <row r="33" spans="1:14">
      <c r="A33" s="14">
        <v>45204</v>
      </c>
      <c r="D33" s="11">
        <v>0.6</v>
      </c>
      <c r="N33" s="11">
        <v>1</v>
      </c>
    </row>
    <row r="34" spans="1:14">
      <c r="A34" s="14">
        <v>45205</v>
      </c>
      <c r="D34" s="11">
        <v>0.6</v>
      </c>
      <c r="N34" s="11">
        <v>1</v>
      </c>
    </row>
    <row r="35" spans="1:14">
      <c r="A35" s="14">
        <v>45206</v>
      </c>
      <c r="D35" s="11">
        <v>0.6</v>
      </c>
      <c r="N35" s="11">
        <v>1</v>
      </c>
    </row>
    <row r="36" spans="1:14">
      <c r="A36" s="14">
        <v>45207</v>
      </c>
      <c r="D36" s="11">
        <v>0.6</v>
      </c>
      <c r="N36" s="11">
        <v>1</v>
      </c>
    </row>
    <row r="37" spans="1:14">
      <c r="A37" s="14">
        <v>45208</v>
      </c>
      <c r="D37" s="11">
        <v>0.6</v>
      </c>
      <c r="N37" s="11">
        <v>1</v>
      </c>
    </row>
    <row r="38" spans="1:14">
      <c r="A38" s="14">
        <v>45209</v>
      </c>
      <c r="D38" s="11">
        <v>0.6</v>
      </c>
      <c r="N38" s="11">
        <v>1</v>
      </c>
    </row>
    <row r="39" spans="1:14">
      <c r="A39" s="14">
        <v>45210</v>
      </c>
      <c r="D39" s="11">
        <v>0.6</v>
      </c>
      <c r="N39" s="11">
        <v>1</v>
      </c>
    </row>
    <row r="40" spans="1:14">
      <c r="A40" s="14">
        <v>45211</v>
      </c>
      <c r="D40" s="11">
        <v>0.6</v>
      </c>
      <c r="N40" s="11">
        <v>1</v>
      </c>
    </row>
    <row r="41" spans="1:14">
      <c r="A41" s="14">
        <v>45212</v>
      </c>
      <c r="D41" s="11">
        <v>0.6</v>
      </c>
      <c r="N41" s="11">
        <v>1</v>
      </c>
    </row>
    <row r="42" spans="1:14">
      <c r="A42" s="14">
        <v>45213</v>
      </c>
      <c r="D42" s="11">
        <v>0.6</v>
      </c>
    </row>
    <row r="43" spans="1:14">
      <c r="A43" s="14">
        <v>45214</v>
      </c>
      <c r="D43" s="11">
        <v>0.6</v>
      </c>
    </row>
    <row r="44" spans="1:14">
      <c r="A44" s="14">
        <v>45215</v>
      </c>
      <c r="D44" s="11">
        <v>0.6</v>
      </c>
    </row>
    <row r="45" spans="1:14">
      <c r="A45" s="14">
        <v>45216</v>
      </c>
      <c r="D45" s="11">
        <v>0.6</v>
      </c>
    </row>
    <row r="46" spans="1:14">
      <c r="A46" s="14">
        <v>45217</v>
      </c>
      <c r="D46" s="11">
        <v>0.6</v>
      </c>
    </row>
    <row r="47" spans="1:14">
      <c r="A47" s="14">
        <v>45218</v>
      </c>
      <c r="D47" s="11">
        <v>0.6</v>
      </c>
    </row>
    <row r="48" spans="1:14">
      <c r="A48" s="14">
        <v>45219</v>
      </c>
      <c r="D48" s="11">
        <v>0.6</v>
      </c>
    </row>
    <row r="49" spans="1:4">
      <c r="A49" s="14">
        <v>45220</v>
      </c>
      <c r="D49" s="11">
        <v>0.6</v>
      </c>
    </row>
    <row r="50" spans="1:4">
      <c r="A50" s="14">
        <v>45221</v>
      </c>
      <c r="D50" s="11">
        <v>0.6</v>
      </c>
    </row>
    <row r="51" spans="1:4">
      <c r="A51" s="14">
        <v>45222</v>
      </c>
      <c r="D51" s="11">
        <v>0.6</v>
      </c>
    </row>
    <row r="52" spans="1:4">
      <c r="A52" s="14">
        <v>45223</v>
      </c>
      <c r="D52" s="11">
        <v>0.6</v>
      </c>
    </row>
    <row r="53" spans="1:4">
      <c r="A53" s="14">
        <v>45224</v>
      </c>
      <c r="D53" s="11">
        <v>0.6</v>
      </c>
    </row>
    <row r="54" spans="1:4">
      <c r="A54" s="14">
        <v>45225</v>
      </c>
      <c r="D54" s="11">
        <v>0.6</v>
      </c>
    </row>
    <row r="55" spans="1:4">
      <c r="A55" s="14">
        <v>45226</v>
      </c>
      <c r="D55" s="11">
        <v>0.6</v>
      </c>
    </row>
    <row r="56" spans="1:4">
      <c r="A56" s="14">
        <v>45227</v>
      </c>
      <c r="D56" s="11">
        <v>0.6</v>
      </c>
    </row>
    <row r="57" spans="1:4">
      <c r="A57" s="14">
        <v>45228</v>
      </c>
      <c r="D57" s="11">
        <v>0.6</v>
      </c>
    </row>
    <row r="58" spans="1:4">
      <c r="A58" s="14">
        <v>45229</v>
      </c>
      <c r="D58" s="11">
        <v>0.6</v>
      </c>
    </row>
    <row r="59" spans="1:4">
      <c r="A59" s="14">
        <v>45230</v>
      </c>
      <c r="D59" s="11">
        <v>0.6</v>
      </c>
    </row>
    <row r="60" spans="1:4">
      <c r="A60" s="14">
        <v>45231</v>
      </c>
      <c r="D60" s="11">
        <v>0.6</v>
      </c>
    </row>
    <row r="61" spans="1:4">
      <c r="A61" s="14">
        <v>45232</v>
      </c>
      <c r="D61" s="11">
        <v>0.6</v>
      </c>
    </row>
    <row r="62" spans="1:4">
      <c r="A62" s="14">
        <v>45233</v>
      </c>
      <c r="D62" s="11">
        <v>0.6</v>
      </c>
    </row>
    <row r="63" spans="1:4">
      <c r="A63" s="14">
        <v>45234</v>
      </c>
      <c r="D63" s="11">
        <v>0.6</v>
      </c>
    </row>
    <row r="64" spans="1:4">
      <c r="A64" s="14">
        <v>45235</v>
      </c>
      <c r="D64" s="11">
        <v>0.6</v>
      </c>
    </row>
    <row r="65" spans="1:4">
      <c r="A65" s="14">
        <v>45236</v>
      </c>
      <c r="D65" s="11">
        <v>0.6</v>
      </c>
    </row>
    <row r="66" spans="1:4">
      <c r="A66" s="14">
        <v>45237</v>
      </c>
      <c r="D66" s="11">
        <v>0.6</v>
      </c>
    </row>
    <row r="67" spans="1:4">
      <c r="A67" s="14">
        <v>45238</v>
      </c>
      <c r="D67" s="11">
        <v>0.6</v>
      </c>
    </row>
    <row r="68" spans="1:4">
      <c r="A68" s="14">
        <v>45239</v>
      </c>
      <c r="D68" s="11">
        <v>0.6</v>
      </c>
    </row>
    <row r="69" spans="1:4">
      <c r="A69" s="14">
        <v>45240</v>
      </c>
      <c r="D69" s="11">
        <v>0.6</v>
      </c>
    </row>
    <row r="70" spans="1:4">
      <c r="A70" s="14">
        <v>45241</v>
      </c>
      <c r="D70" s="11">
        <v>0.6</v>
      </c>
    </row>
    <row r="71" spans="1:4">
      <c r="A71" s="14">
        <v>45242</v>
      </c>
      <c r="D71" s="11">
        <v>0.6</v>
      </c>
    </row>
    <row r="72" spans="1:4">
      <c r="A72" s="14">
        <v>45243</v>
      </c>
      <c r="D72" s="11">
        <v>0.6</v>
      </c>
    </row>
    <row r="73" spans="1:4">
      <c r="A73" s="14">
        <v>45244</v>
      </c>
      <c r="D73" s="11">
        <v>0.6</v>
      </c>
    </row>
    <row r="74" spans="1:4">
      <c r="A74" s="14">
        <v>45245</v>
      </c>
      <c r="D74" s="11">
        <v>0.6</v>
      </c>
    </row>
    <row r="75" spans="1:4">
      <c r="A75" s="14">
        <v>45246</v>
      </c>
      <c r="D75" s="11">
        <v>0.6</v>
      </c>
    </row>
    <row r="76" spans="1:4">
      <c r="A76" s="14">
        <v>45247</v>
      </c>
      <c r="D76" s="11">
        <v>0.6</v>
      </c>
    </row>
    <row r="77" spans="1:4">
      <c r="A77" s="14">
        <v>45248</v>
      </c>
      <c r="D77" s="11">
        <v>0.6</v>
      </c>
    </row>
    <row r="78" spans="1:4">
      <c r="A78" s="14">
        <v>45249</v>
      </c>
      <c r="D78" s="11">
        <v>0.6</v>
      </c>
    </row>
    <row r="79" spans="1:4">
      <c r="A79" s="14">
        <v>45250</v>
      </c>
      <c r="D79" s="11">
        <v>0.6</v>
      </c>
    </row>
    <row r="80" spans="1:4">
      <c r="A80" s="14">
        <v>45251</v>
      </c>
      <c r="D80" s="11">
        <v>0.6</v>
      </c>
    </row>
    <row r="81" spans="1:4">
      <c r="A81" s="14">
        <v>45252</v>
      </c>
      <c r="D81" s="11">
        <v>0.6</v>
      </c>
    </row>
    <row r="82" spans="1:4">
      <c r="A82" s="14">
        <v>45253</v>
      </c>
      <c r="D82" s="11">
        <v>0.6</v>
      </c>
    </row>
    <row r="83" spans="1:4">
      <c r="A83" s="14">
        <v>45254</v>
      </c>
      <c r="D83" s="11">
        <v>0.6</v>
      </c>
    </row>
    <row r="84" spans="1:4">
      <c r="A84" s="14">
        <v>45255</v>
      </c>
    </row>
    <row r="85" spans="1:4">
      <c r="A85" s="14">
        <v>45256</v>
      </c>
    </row>
    <row r="86" spans="1:4">
      <c r="A86" s="14">
        <v>45257</v>
      </c>
    </row>
    <row r="87" spans="1:4">
      <c r="A87" s="14">
        <v>45258</v>
      </c>
    </row>
    <row r="88" spans="1:4">
      <c r="A88" s="14">
        <v>45259</v>
      </c>
    </row>
    <row r="89" spans="1:4">
      <c r="A89" s="14">
        <v>45260</v>
      </c>
    </row>
    <row r="90" spans="1:4">
      <c r="A90" s="14">
        <v>45261</v>
      </c>
    </row>
    <row r="91" spans="1:4">
      <c r="A91" s="14">
        <v>45262</v>
      </c>
    </row>
    <row r="92" spans="1:4">
      <c r="A92" s="14">
        <v>45263</v>
      </c>
    </row>
    <row r="93" spans="1:4">
      <c r="A93" s="14">
        <v>45264</v>
      </c>
    </row>
    <row r="94" spans="1:4">
      <c r="A94" s="14">
        <v>45265</v>
      </c>
    </row>
    <row r="95" spans="1:4">
      <c r="A95" s="14">
        <v>45266</v>
      </c>
    </row>
    <row r="96" spans="1:4">
      <c r="A96" s="14">
        <v>45267</v>
      </c>
    </row>
    <row r="97" spans="1:1">
      <c r="A97" s="14">
        <v>45268</v>
      </c>
    </row>
    <row r="98" spans="1:1">
      <c r="A98" s="14">
        <v>45269</v>
      </c>
    </row>
    <row r="99" spans="1:1">
      <c r="A99" s="14">
        <v>45270</v>
      </c>
    </row>
    <row r="100" spans="1:1">
      <c r="A100" s="14">
        <v>45271</v>
      </c>
    </row>
    <row r="101" spans="1:1">
      <c r="A101" s="14">
        <v>45272</v>
      </c>
    </row>
    <row r="102" spans="1:1">
      <c r="A102" s="14">
        <v>45273</v>
      </c>
    </row>
    <row r="103" spans="1:1">
      <c r="A103" s="14">
        <v>45274</v>
      </c>
    </row>
    <row r="104" spans="1:1">
      <c r="A104" s="14">
        <v>45275</v>
      </c>
    </row>
    <row r="105" spans="1:1">
      <c r="A105" s="14">
        <v>45276</v>
      </c>
    </row>
    <row r="106" spans="1:1">
      <c r="A106" s="14">
        <v>45277</v>
      </c>
    </row>
    <row r="107" spans="1:1">
      <c r="A107" s="14">
        <v>45278</v>
      </c>
    </row>
    <row r="108" spans="1:1">
      <c r="A108" s="14">
        <v>45279</v>
      </c>
    </row>
    <row r="109" spans="1:1">
      <c r="A109" s="14">
        <v>45280</v>
      </c>
    </row>
    <row r="110" spans="1:1">
      <c r="A110" s="14">
        <v>45281</v>
      </c>
    </row>
    <row r="111" spans="1:1">
      <c r="A111" s="14">
        <v>45282</v>
      </c>
    </row>
    <row r="112" spans="1:1">
      <c r="A112" s="14">
        <v>45283</v>
      </c>
    </row>
    <row r="113" spans="1:1">
      <c r="A113" s="14">
        <v>45284</v>
      </c>
    </row>
    <row r="114" spans="1:1">
      <c r="A114" s="14">
        <v>45285</v>
      </c>
    </row>
    <row r="115" spans="1:1">
      <c r="A115" s="14">
        <v>45286</v>
      </c>
    </row>
    <row r="116" spans="1:1">
      <c r="A116" s="14">
        <v>45287</v>
      </c>
    </row>
    <row r="117" spans="1:1">
      <c r="A117" s="14">
        <v>45288</v>
      </c>
    </row>
    <row r="118" spans="1:1">
      <c r="A118" s="14">
        <v>45289</v>
      </c>
    </row>
    <row r="119" spans="1:1">
      <c r="A119" s="14">
        <v>45290</v>
      </c>
    </row>
    <row r="120" spans="1:1">
      <c r="A120" s="14">
        <v>45291</v>
      </c>
    </row>
    <row r="121" spans="1:1">
      <c r="A121" s="14">
        <v>45292</v>
      </c>
    </row>
    <row r="122" spans="1:1">
      <c r="A122" s="14">
        <v>45293</v>
      </c>
    </row>
    <row r="123" spans="1:1">
      <c r="A123" s="14">
        <v>45294</v>
      </c>
    </row>
    <row r="124" spans="1:1">
      <c r="A124" s="14">
        <v>45295</v>
      </c>
    </row>
    <row r="125" spans="1:1">
      <c r="A125" s="14">
        <v>45296</v>
      </c>
    </row>
    <row r="126" spans="1:1">
      <c r="A126" s="14">
        <v>45297</v>
      </c>
    </row>
    <row r="127" spans="1:1">
      <c r="A127" s="14">
        <v>45298</v>
      </c>
    </row>
    <row r="128" spans="1:1">
      <c r="A128" s="14">
        <v>45299</v>
      </c>
    </row>
    <row r="129" spans="1:1">
      <c r="A129" s="14">
        <v>45300</v>
      </c>
    </row>
    <row r="130" spans="1:1">
      <c r="A130" s="14">
        <v>45301</v>
      </c>
    </row>
    <row r="131" spans="1:1">
      <c r="A131" s="14">
        <v>45302</v>
      </c>
    </row>
    <row r="132" spans="1:1">
      <c r="A132" s="14">
        <v>45303</v>
      </c>
    </row>
    <row r="133" spans="1:1">
      <c r="A133" s="14">
        <v>45304</v>
      </c>
    </row>
    <row r="134" spans="1:1">
      <c r="A134" s="14">
        <v>45305</v>
      </c>
    </row>
    <row r="135" spans="1:1">
      <c r="A135" s="14">
        <v>45306</v>
      </c>
    </row>
    <row r="136" spans="1:1">
      <c r="A136" s="14">
        <v>45307</v>
      </c>
    </row>
    <row r="137" spans="1:1">
      <c r="A137" s="14">
        <v>45308</v>
      </c>
    </row>
    <row r="138" spans="1:1">
      <c r="A138" s="14">
        <v>45309</v>
      </c>
    </row>
    <row r="139" spans="1:1">
      <c r="A139" s="14">
        <v>45310</v>
      </c>
    </row>
    <row r="140" spans="1:1">
      <c r="A140" s="14">
        <v>45311</v>
      </c>
    </row>
    <row r="141" spans="1:1">
      <c r="A141" s="14">
        <v>45312</v>
      </c>
    </row>
    <row r="142" spans="1:1">
      <c r="A142" s="14">
        <v>45313</v>
      </c>
    </row>
    <row r="143" spans="1:1">
      <c r="A143" s="14">
        <v>45314</v>
      </c>
    </row>
    <row r="144" spans="1:1">
      <c r="A144" s="14">
        <v>45315</v>
      </c>
    </row>
    <row r="145" spans="1:1">
      <c r="A145" s="14">
        <v>45316</v>
      </c>
    </row>
    <row r="146" spans="1:1">
      <c r="A146" s="14">
        <v>45317</v>
      </c>
    </row>
    <row r="147" spans="1:1">
      <c r="A147" s="14">
        <v>45318</v>
      </c>
    </row>
    <row r="148" spans="1:1">
      <c r="A148" s="14">
        <v>45319</v>
      </c>
    </row>
    <row r="149" spans="1:1">
      <c r="A149" s="14">
        <v>45320</v>
      </c>
    </row>
    <row r="150" spans="1:1">
      <c r="A150" s="14">
        <v>45321</v>
      </c>
    </row>
    <row r="151" spans="1:1">
      <c r="A151" s="14">
        <v>45322</v>
      </c>
    </row>
    <row r="152" spans="1:1">
      <c r="A152" s="14">
        <v>45323</v>
      </c>
    </row>
    <row r="153" spans="1:1">
      <c r="A153" s="14">
        <v>45324</v>
      </c>
    </row>
    <row r="154" spans="1:1">
      <c r="A154" s="14">
        <v>45325</v>
      </c>
    </row>
    <row r="155" spans="1:1">
      <c r="A155" s="14">
        <v>45326</v>
      </c>
    </row>
    <row r="156" spans="1:1">
      <c r="A156" s="14">
        <v>45327</v>
      </c>
    </row>
    <row r="157" spans="1:1">
      <c r="A157" s="14">
        <v>45328</v>
      </c>
    </row>
    <row r="158" spans="1:1">
      <c r="A158" s="14">
        <v>45329</v>
      </c>
    </row>
    <row r="159" spans="1:1">
      <c r="A159" s="14">
        <v>45330</v>
      </c>
    </row>
    <row r="160" spans="1:1">
      <c r="A160" s="14">
        <v>45331</v>
      </c>
    </row>
    <row r="161" spans="1:1">
      <c r="A161" s="14">
        <v>45332</v>
      </c>
    </row>
    <row r="162" spans="1:1">
      <c r="A162" s="14">
        <v>45333</v>
      </c>
    </row>
    <row r="163" spans="1:1">
      <c r="A163" s="14">
        <v>45334</v>
      </c>
    </row>
    <row r="164" spans="1:1">
      <c r="A164" s="14">
        <v>45335</v>
      </c>
    </row>
    <row r="165" spans="1:1">
      <c r="A165" s="14">
        <v>45336</v>
      </c>
    </row>
    <row r="166" spans="1:1">
      <c r="A166" s="14">
        <v>45337</v>
      </c>
    </row>
    <row r="167" spans="1:1">
      <c r="A167" s="14">
        <v>45338</v>
      </c>
    </row>
    <row r="168" spans="1:1">
      <c r="A168" s="14">
        <v>45339</v>
      </c>
    </row>
    <row r="169" spans="1:1">
      <c r="A169" s="14">
        <v>45340</v>
      </c>
    </row>
    <row r="170" spans="1:1">
      <c r="A170" s="14">
        <v>45341</v>
      </c>
    </row>
    <row r="171" spans="1:1">
      <c r="A171" s="14">
        <v>45342</v>
      </c>
    </row>
    <row r="172" spans="1:1">
      <c r="A172" s="14">
        <v>45343</v>
      </c>
    </row>
    <row r="173" spans="1:1">
      <c r="A173" s="14">
        <v>45344</v>
      </c>
    </row>
    <row r="174" spans="1:1">
      <c r="A174" s="14">
        <v>45345</v>
      </c>
    </row>
    <row r="175" spans="1:1">
      <c r="A175" s="14">
        <v>45346</v>
      </c>
    </row>
    <row r="176" spans="1:1">
      <c r="A176" s="14">
        <v>45347</v>
      </c>
    </row>
    <row r="177" spans="1:1">
      <c r="A177" s="14">
        <v>45348</v>
      </c>
    </row>
    <row r="178" spans="1:1">
      <c r="A178" s="14">
        <v>45349</v>
      </c>
    </row>
    <row r="179" spans="1:1">
      <c r="A179" s="14">
        <v>45350</v>
      </c>
    </row>
    <row r="180" spans="1:1">
      <c r="A180" s="14">
        <v>45351</v>
      </c>
    </row>
    <row r="181" spans="1:1">
      <c r="A181" s="14">
        <v>45352</v>
      </c>
    </row>
    <row r="182" spans="1:1">
      <c r="A182" s="14">
        <v>45353</v>
      </c>
    </row>
    <row r="183" spans="1:1">
      <c r="A183" s="14">
        <v>45354</v>
      </c>
    </row>
    <row r="184" spans="1:1">
      <c r="A184" s="14">
        <v>45355</v>
      </c>
    </row>
    <row r="185" spans="1:1">
      <c r="A185" s="14">
        <v>45356</v>
      </c>
    </row>
    <row r="186" spans="1:1">
      <c r="A186" s="14">
        <v>45357</v>
      </c>
    </row>
    <row r="187" spans="1:1">
      <c r="A187" s="14">
        <v>45358</v>
      </c>
    </row>
    <row r="188" spans="1:1">
      <c r="A188" s="14">
        <v>45359</v>
      </c>
    </row>
    <row r="189" spans="1:1">
      <c r="A189" s="14">
        <v>45360</v>
      </c>
    </row>
    <row r="190" spans="1:1">
      <c r="A190" s="14">
        <v>45361</v>
      </c>
    </row>
    <row r="191" spans="1:1">
      <c r="A191" s="14">
        <v>45362</v>
      </c>
    </row>
    <row r="192" spans="1:1">
      <c r="A192" s="14">
        <v>45363</v>
      </c>
    </row>
    <row r="193" spans="1:1">
      <c r="A193" s="14">
        <v>45364</v>
      </c>
    </row>
    <row r="194" spans="1:1">
      <c r="A194" s="14">
        <v>45365</v>
      </c>
    </row>
    <row r="195" spans="1:1">
      <c r="A195" s="14">
        <v>45366</v>
      </c>
    </row>
    <row r="196" spans="1:1">
      <c r="A196" s="14">
        <v>45367</v>
      </c>
    </row>
    <row r="197" spans="1:1">
      <c r="A197" s="14">
        <v>45368</v>
      </c>
    </row>
    <row r="198" spans="1:1">
      <c r="A198" s="14">
        <v>45369</v>
      </c>
    </row>
    <row r="199" spans="1:1">
      <c r="A199" s="14">
        <v>45370</v>
      </c>
    </row>
    <row r="200" spans="1:1">
      <c r="A200" s="14">
        <v>45371</v>
      </c>
    </row>
    <row r="201" spans="1:1">
      <c r="A201" s="14">
        <v>45372</v>
      </c>
    </row>
    <row r="202" spans="1:1">
      <c r="A202" s="14">
        <v>45373</v>
      </c>
    </row>
    <row r="203" spans="1:1">
      <c r="A203" s="14">
        <v>45374</v>
      </c>
    </row>
    <row r="204" spans="1:1">
      <c r="A204" s="14">
        <v>45375</v>
      </c>
    </row>
    <row r="205" spans="1:1">
      <c r="A205" s="14">
        <v>45376</v>
      </c>
    </row>
    <row r="206" spans="1:1">
      <c r="A206" s="14">
        <v>45377</v>
      </c>
    </row>
    <row r="207" spans="1:1">
      <c r="A207" s="14">
        <v>45378</v>
      </c>
    </row>
    <row r="208" spans="1:1">
      <c r="A208" s="14">
        <v>45379</v>
      </c>
    </row>
    <row r="209" spans="1:1">
      <c r="A209" s="14">
        <v>45380</v>
      </c>
    </row>
    <row r="210" spans="1:1">
      <c r="A210" s="14">
        <v>45381</v>
      </c>
    </row>
    <row r="211" spans="1:1">
      <c r="A211" s="14">
        <v>45382</v>
      </c>
    </row>
    <row r="212" spans="1:1">
      <c r="A212" s="14">
        <v>45383</v>
      </c>
    </row>
    <row r="213" spans="1:1">
      <c r="A213" s="14">
        <v>45384</v>
      </c>
    </row>
    <row r="214" spans="1:1">
      <c r="A214" s="14">
        <v>45385</v>
      </c>
    </row>
    <row r="215" spans="1:1">
      <c r="A215" s="14">
        <v>45386</v>
      </c>
    </row>
    <row r="216" spans="1:1">
      <c r="A216" s="14">
        <v>45387</v>
      </c>
    </row>
    <row r="217" spans="1:1">
      <c r="A217" s="14">
        <v>45388</v>
      </c>
    </row>
    <row r="218" spans="1:1">
      <c r="A218" s="14">
        <v>45389</v>
      </c>
    </row>
    <row r="219" spans="1:1">
      <c r="A219" s="14">
        <v>45390</v>
      </c>
    </row>
    <row r="220" spans="1:1">
      <c r="A220" s="14">
        <v>45391</v>
      </c>
    </row>
    <row r="221" spans="1:1">
      <c r="A221" s="14">
        <v>45392</v>
      </c>
    </row>
    <row r="222" spans="1:1">
      <c r="A222" s="14">
        <v>45393</v>
      </c>
    </row>
    <row r="223" spans="1:1">
      <c r="A223" s="14">
        <v>45394</v>
      </c>
    </row>
    <row r="224" spans="1:1">
      <c r="A224" s="14">
        <v>45395</v>
      </c>
    </row>
    <row r="225" spans="1:1">
      <c r="A225" s="14">
        <v>45396</v>
      </c>
    </row>
    <row r="226" spans="1:1">
      <c r="A226" s="14">
        <v>45397</v>
      </c>
    </row>
    <row r="227" spans="1:1">
      <c r="A227" s="14">
        <v>45398</v>
      </c>
    </row>
    <row r="228" spans="1:1">
      <c r="A228" s="14">
        <v>45399</v>
      </c>
    </row>
    <row r="229" spans="1:1">
      <c r="A229" s="14">
        <v>45400</v>
      </c>
    </row>
    <row r="230" spans="1:1">
      <c r="A230" s="14">
        <v>45401</v>
      </c>
    </row>
    <row r="231" spans="1:1">
      <c r="A231" s="14">
        <v>45402</v>
      </c>
    </row>
    <row r="232" spans="1:1">
      <c r="A232" s="14">
        <v>45403</v>
      </c>
    </row>
    <row r="233" spans="1:1">
      <c r="A233" s="14">
        <v>45404</v>
      </c>
    </row>
    <row r="234" spans="1:1">
      <c r="A234" s="14">
        <v>45405</v>
      </c>
    </row>
    <row r="235" spans="1:1">
      <c r="A235" s="14">
        <v>45406</v>
      </c>
    </row>
    <row r="236" spans="1:1">
      <c r="A236" s="14">
        <v>45407</v>
      </c>
    </row>
    <row r="237" spans="1:1">
      <c r="A237" s="14">
        <v>45408</v>
      </c>
    </row>
    <row r="238" spans="1:1">
      <c r="A238" s="14">
        <v>45409</v>
      </c>
    </row>
    <row r="239" spans="1:1">
      <c r="A239" s="14">
        <v>45410</v>
      </c>
    </row>
    <row r="240" spans="1:1">
      <c r="A240" s="14">
        <v>45411</v>
      </c>
    </row>
    <row r="241" spans="1:1">
      <c r="A241" s="14">
        <v>45412</v>
      </c>
    </row>
    <row r="242" spans="1:1">
      <c r="A242" s="14">
        <v>45413</v>
      </c>
    </row>
    <row r="243" spans="1:1">
      <c r="A243" s="14">
        <v>45414</v>
      </c>
    </row>
    <row r="244" spans="1:1">
      <c r="A244" s="14">
        <v>45415</v>
      </c>
    </row>
    <row r="245" spans="1:1">
      <c r="A245" s="14">
        <v>45416</v>
      </c>
    </row>
    <row r="246" spans="1:1">
      <c r="A246" s="14">
        <v>45417</v>
      </c>
    </row>
    <row r="247" spans="1:1">
      <c r="A247" s="14">
        <v>45418</v>
      </c>
    </row>
    <row r="248" spans="1:1">
      <c r="A248" s="14">
        <v>45419</v>
      </c>
    </row>
    <row r="249" spans="1:1">
      <c r="A249" s="14">
        <v>45420</v>
      </c>
    </row>
    <row r="250" spans="1:1">
      <c r="A250" s="14">
        <v>45421</v>
      </c>
    </row>
    <row r="251" spans="1:1">
      <c r="A251" s="14">
        <v>45422</v>
      </c>
    </row>
    <row r="252" spans="1:1">
      <c r="A252" s="14">
        <v>45423</v>
      </c>
    </row>
    <row r="253" spans="1:1">
      <c r="A253" s="14">
        <v>45424</v>
      </c>
    </row>
    <row r="254" spans="1:1">
      <c r="A254" s="14">
        <v>45425</v>
      </c>
    </row>
    <row r="255" spans="1:1">
      <c r="A255" s="14">
        <v>45426</v>
      </c>
    </row>
    <row r="256" spans="1:1">
      <c r="A256" s="14">
        <v>45427</v>
      </c>
    </row>
    <row r="257" spans="1:1">
      <c r="A257" s="14">
        <v>45428</v>
      </c>
    </row>
    <row r="258" spans="1:1">
      <c r="A258" s="14">
        <v>45429</v>
      </c>
    </row>
    <row r="259" spans="1:1">
      <c r="A259" s="14">
        <v>45430</v>
      </c>
    </row>
    <row r="260" spans="1:1">
      <c r="A260" s="14">
        <v>45431</v>
      </c>
    </row>
    <row r="261" spans="1:1">
      <c r="A261" s="14">
        <v>45432</v>
      </c>
    </row>
    <row r="262" spans="1:1">
      <c r="A262" s="14">
        <v>45433</v>
      </c>
    </row>
    <row r="263" spans="1:1">
      <c r="A263" s="14">
        <v>45434</v>
      </c>
    </row>
    <row r="264" spans="1:1">
      <c r="A264" s="14">
        <v>45435</v>
      </c>
    </row>
    <row r="265" spans="1:1">
      <c r="A265" s="14">
        <v>45436</v>
      </c>
    </row>
    <row r="266" spans="1:1">
      <c r="A266" s="14">
        <v>45437</v>
      </c>
    </row>
    <row r="267" spans="1:1">
      <c r="A267" s="14">
        <v>45438</v>
      </c>
    </row>
    <row r="268" spans="1:1">
      <c r="A268" s="14">
        <v>45439</v>
      </c>
    </row>
    <row r="269" spans="1:1">
      <c r="A269" s="14">
        <v>45440</v>
      </c>
    </row>
    <row r="270" spans="1:1">
      <c r="A270" s="14">
        <v>45441</v>
      </c>
    </row>
    <row r="271" spans="1:1">
      <c r="A271" s="14">
        <v>45442</v>
      </c>
    </row>
    <row r="272" spans="1:1">
      <c r="A272" s="14">
        <v>45443</v>
      </c>
    </row>
    <row r="273" spans="1:1">
      <c r="A273" s="14">
        <v>45444</v>
      </c>
    </row>
    <row r="274" spans="1:1">
      <c r="A274" s="14">
        <v>45445</v>
      </c>
    </row>
    <row r="275" spans="1:1">
      <c r="A275" s="14">
        <v>45446</v>
      </c>
    </row>
    <row r="276" spans="1:1">
      <c r="A276" s="14">
        <v>45447</v>
      </c>
    </row>
    <row r="277" spans="1:1">
      <c r="A277" s="14">
        <v>45448</v>
      </c>
    </row>
    <row r="278" spans="1:1">
      <c r="A278" s="14">
        <v>45449</v>
      </c>
    </row>
    <row r="279" spans="1:1">
      <c r="A279" s="14">
        <v>45450</v>
      </c>
    </row>
    <row r="280" spans="1:1">
      <c r="A280" s="14">
        <v>45451</v>
      </c>
    </row>
    <row r="281" spans="1:1">
      <c r="A281" s="14">
        <v>45452</v>
      </c>
    </row>
    <row r="282" spans="1:1">
      <c r="A282" s="14">
        <v>45453</v>
      </c>
    </row>
    <row r="283" spans="1:1">
      <c r="A283" s="14">
        <v>45454</v>
      </c>
    </row>
    <row r="284" spans="1:1">
      <c r="A284" s="14">
        <v>45455</v>
      </c>
    </row>
    <row r="285" spans="1:1">
      <c r="A285" s="14">
        <v>45456</v>
      </c>
    </row>
    <row r="286" spans="1:1">
      <c r="A286" s="14">
        <v>45457</v>
      </c>
    </row>
    <row r="287" spans="1:1">
      <c r="A287" s="14">
        <v>45458</v>
      </c>
    </row>
    <row r="288" spans="1:1">
      <c r="A288" s="14">
        <v>45459</v>
      </c>
    </row>
    <row r="289" spans="1:1">
      <c r="A289" s="14">
        <v>45460</v>
      </c>
    </row>
    <row r="290" spans="1:1">
      <c r="A290" s="14">
        <v>45461</v>
      </c>
    </row>
    <row r="291" spans="1:1">
      <c r="A291" s="14">
        <v>45462</v>
      </c>
    </row>
    <row r="292" spans="1:1">
      <c r="A292" s="14">
        <v>45463</v>
      </c>
    </row>
    <row r="293" spans="1:1">
      <c r="A293" s="14">
        <v>45464</v>
      </c>
    </row>
    <row r="294" spans="1:1">
      <c r="A294" s="14">
        <v>45465</v>
      </c>
    </row>
    <row r="295" spans="1:1">
      <c r="A295" s="14">
        <v>45466</v>
      </c>
    </row>
    <row r="296" spans="1:1">
      <c r="A296" s="14">
        <v>45467</v>
      </c>
    </row>
    <row r="297" spans="1:1">
      <c r="A297" s="14">
        <v>45468</v>
      </c>
    </row>
    <row r="298" spans="1:1">
      <c r="A298" s="14">
        <v>45469</v>
      </c>
    </row>
    <row r="299" spans="1:1">
      <c r="A299" s="14">
        <v>45470</v>
      </c>
    </row>
    <row r="300" spans="1:1">
      <c r="A300" s="14">
        <v>45471</v>
      </c>
    </row>
    <row r="301" spans="1:1">
      <c r="A301" s="14">
        <v>45472</v>
      </c>
    </row>
    <row r="302" spans="1:1">
      <c r="A302" s="14">
        <v>45473</v>
      </c>
    </row>
    <row r="303" spans="1:1">
      <c r="A303" s="14">
        <v>45474</v>
      </c>
    </row>
    <row r="304" spans="1:1">
      <c r="A304" s="14">
        <v>45475</v>
      </c>
    </row>
    <row r="305" spans="1:1">
      <c r="A305" s="14">
        <v>45476</v>
      </c>
    </row>
    <row r="306" spans="1:1">
      <c r="A306" s="14">
        <v>45477</v>
      </c>
    </row>
    <row r="307" spans="1:1">
      <c r="A307" s="14">
        <v>45478</v>
      </c>
    </row>
    <row r="308" spans="1:1">
      <c r="A308" s="14">
        <v>45479</v>
      </c>
    </row>
    <row r="309" spans="1:1">
      <c r="A309" s="14">
        <v>45480</v>
      </c>
    </row>
    <row r="310" spans="1:1">
      <c r="A310" s="14">
        <v>45481</v>
      </c>
    </row>
    <row r="311" spans="1:1">
      <c r="A311" s="14">
        <v>45482</v>
      </c>
    </row>
    <row r="312" spans="1:1">
      <c r="A312" s="14">
        <v>45483</v>
      </c>
    </row>
    <row r="313" spans="1:1">
      <c r="A313" s="14">
        <v>45484</v>
      </c>
    </row>
    <row r="314" spans="1:1">
      <c r="A314" s="14">
        <v>45485</v>
      </c>
    </row>
    <row r="315" spans="1:1">
      <c r="A315" s="14">
        <v>45486</v>
      </c>
    </row>
    <row r="316" spans="1:1">
      <c r="A316" s="14">
        <v>45487</v>
      </c>
    </row>
    <row r="317" spans="1:1">
      <c r="A317" s="14">
        <v>45488</v>
      </c>
    </row>
    <row r="318" spans="1:1">
      <c r="A318" s="14">
        <v>45489</v>
      </c>
    </row>
    <row r="319" spans="1:1">
      <c r="A319" s="14">
        <v>45490</v>
      </c>
    </row>
    <row r="320" spans="1:1">
      <c r="A320" s="14">
        <v>45491</v>
      </c>
    </row>
    <row r="321" spans="1:1">
      <c r="A321" s="14">
        <v>45492</v>
      </c>
    </row>
    <row r="322" spans="1:1">
      <c r="A322" s="14">
        <v>45493</v>
      </c>
    </row>
    <row r="323" spans="1:1">
      <c r="A323" s="14">
        <v>45494</v>
      </c>
    </row>
    <row r="324" spans="1:1">
      <c r="A324" s="14">
        <v>45495</v>
      </c>
    </row>
    <row r="325" spans="1:1">
      <c r="A325" s="14">
        <v>45496</v>
      </c>
    </row>
    <row r="326" spans="1:1">
      <c r="A326" s="14">
        <v>45497</v>
      </c>
    </row>
    <row r="327" spans="1:1">
      <c r="A327" s="14">
        <v>45498</v>
      </c>
    </row>
    <row r="328" spans="1:1">
      <c r="A328" s="14">
        <v>45499</v>
      </c>
    </row>
    <row r="329" spans="1:1">
      <c r="A329" s="14">
        <v>45500</v>
      </c>
    </row>
    <row r="330" spans="1:1">
      <c r="A330" s="14">
        <v>45501</v>
      </c>
    </row>
    <row r="331" spans="1:1">
      <c r="A331" s="14">
        <v>45502</v>
      </c>
    </row>
    <row r="332" spans="1:1">
      <c r="A332" s="14">
        <v>45503</v>
      </c>
    </row>
    <row r="333" spans="1:1">
      <c r="A333" s="14">
        <v>45504</v>
      </c>
    </row>
    <row r="334" spans="1:1">
      <c r="A334" s="14">
        <v>45505</v>
      </c>
    </row>
    <row r="335" spans="1:1">
      <c r="A335" s="14">
        <v>45506</v>
      </c>
    </row>
    <row r="336" spans="1:1">
      <c r="A336" s="14">
        <v>45507</v>
      </c>
    </row>
    <row r="337" spans="1:1">
      <c r="A337" s="14">
        <v>45508</v>
      </c>
    </row>
    <row r="338" spans="1:1">
      <c r="A338" s="14">
        <v>45509</v>
      </c>
    </row>
    <row r="339" spans="1:1">
      <c r="A339" s="14">
        <v>45510</v>
      </c>
    </row>
    <row r="340" spans="1:1">
      <c r="A340" s="14">
        <v>45511</v>
      </c>
    </row>
    <row r="341" spans="1:1">
      <c r="A341" s="14">
        <v>45512</v>
      </c>
    </row>
    <row r="342" spans="1:1">
      <c r="A342" s="14">
        <v>45513</v>
      </c>
    </row>
    <row r="343" spans="1:1">
      <c r="A343" s="14">
        <v>45514</v>
      </c>
    </row>
    <row r="344" spans="1:1">
      <c r="A344" s="14">
        <v>45515</v>
      </c>
    </row>
    <row r="345" spans="1:1">
      <c r="A345" s="14">
        <v>45516</v>
      </c>
    </row>
    <row r="346" spans="1:1">
      <c r="A346" s="14">
        <v>45517</v>
      </c>
    </row>
    <row r="347" spans="1:1">
      <c r="A347" s="14">
        <v>45518</v>
      </c>
    </row>
    <row r="348" spans="1:1">
      <c r="A348" s="14">
        <v>45519</v>
      </c>
    </row>
    <row r="349" spans="1:1">
      <c r="A349" s="14">
        <v>45520</v>
      </c>
    </row>
    <row r="350" spans="1:1">
      <c r="A350" s="14">
        <v>45521</v>
      </c>
    </row>
    <row r="351" spans="1:1">
      <c r="A351" s="14">
        <v>45522</v>
      </c>
    </row>
    <row r="352" spans="1:1">
      <c r="A352" s="14">
        <v>45523</v>
      </c>
    </row>
    <row r="353" spans="1:1">
      <c r="A353" s="14">
        <v>45524</v>
      </c>
    </row>
    <row r="354" spans="1:1">
      <c r="A354" s="14">
        <v>45525</v>
      </c>
    </row>
    <row r="355" spans="1:1">
      <c r="A355" s="14">
        <v>45526</v>
      </c>
    </row>
    <row r="356" spans="1:1">
      <c r="A356" s="14">
        <v>45527</v>
      </c>
    </row>
    <row r="357" spans="1:1">
      <c r="A357" s="14">
        <v>45528</v>
      </c>
    </row>
    <row r="358" spans="1:1">
      <c r="A358" s="14">
        <v>45529</v>
      </c>
    </row>
    <row r="359" spans="1:1">
      <c r="A359" s="14">
        <v>45530</v>
      </c>
    </row>
    <row r="360" spans="1:1">
      <c r="A360" s="14">
        <v>45531</v>
      </c>
    </row>
    <row r="361" spans="1:1">
      <c r="A361" s="14">
        <v>45532</v>
      </c>
    </row>
    <row r="362" spans="1:1">
      <c r="A362" s="14">
        <v>45533</v>
      </c>
    </row>
    <row r="363" spans="1:1">
      <c r="A363" s="14">
        <v>45534</v>
      </c>
    </row>
    <row r="364" spans="1:1">
      <c r="A364" s="14">
        <v>45535</v>
      </c>
    </row>
    <row r="365" spans="1:1">
      <c r="A365" s="14">
        <v>45536</v>
      </c>
    </row>
    <row r="366" spans="1:1">
      <c r="A366" s="14">
        <v>45537</v>
      </c>
    </row>
    <row r="367" spans="1:1">
      <c r="A367" s="14">
        <v>45538</v>
      </c>
    </row>
    <row r="368" spans="1:1">
      <c r="A368" s="14">
        <v>45539</v>
      </c>
    </row>
    <row r="369" spans="1:1">
      <c r="A369" s="14">
        <v>45540</v>
      </c>
    </row>
    <row r="370" spans="1:1">
      <c r="A370" s="14">
        <v>45541</v>
      </c>
    </row>
    <row r="371" spans="1:1">
      <c r="A371" s="14">
        <v>45542</v>
      </c>
    </row>
    <row r="372" spans="1:1">
      <c r="A372" s="14">
        <v>45543</v>
      </c>
    </row>
    <row r="373" spans="1:1">
      <c r="A373" s="14">
        <v>45544</v>
      </c>
    </row>
    <row r="374" spans="1:1">
      <c r="A374" s="14">
        <v>45545</v>
      </c>
    </row>
    <row r="375" spans="1:1">
      <c r="A375" s="14">
        <v>45546</v>
      </c>
    </row>
    <row r="376" spans="1:1">
      <c r="A376" s="14">
        <v>45547</v>
      </c>
    </row>
    <row r="377" spans="1:1">
      <c r="A377" s="14">
        <v>45548</v>
      </c>
    </row>
    <row r="378" spans="1:1">
      <c r="A378" s="14">
        <v>45549</v>
      </c>
    </row>
    <row r="379" spans="1:1">
      <c r="A379" s="14">
        <v>45550</v>
      </c>
    </row>
    <row r="380" spans="1:1">
      <c r="A380" s="14">
        <v>45551</v>
      </c>
    </row>
    <row r="381" spans="1:1">
      <c r="A381" s="14">
        <v>45552</v>
      </c>
    </row>
    <row r="382" spans="1:1">
      <c r="A382" s="14">
        <v>45553</v>
      </c>
    </row>
    <row r="383" spans="1:1">
      <c r="A383" s="14">
        <v>45554</v>
      </c>
    </row>
    <row r="384" spans="1:1">
      <c r="A384" s="14">
        <v>45555</v>
      </c>
    </row>
    <row r="385" spans="1:1">
      <c r="A385" s="14">
        <v>45556</v>
      </c>
    </row>
    <row r="386" spans="1:1">
      <c r="A386" s="14">
        <v>45557</v>
      </c>
    </row>
    <row r="387" spans="1:1">
      <c r="A387" s="14">
        <v>45558</v>
      </c>
    </row>
    <row r="388" spans="1:1">
      <c r="A388" s="14">
        <v>45559</v>
      </c>
    </row>
    <row r="389" spans="1:1">
      <c r="A389" s="14">
        <v>45560</v>
      </c>
    </row>
    <row r="390" spans="1:1">
      <c r="A390" s="14">
        <v>45561</v>
      </c>
    </row>
    <row r="391" spans="1:1">
      <c r="A391" s="14">
        <v>45562</v>
      </c>
    </row>
    <row r="392" spans="1:1">
      <c r="A392" s="14">
        <v>45563</v>
      </c>
    </row>
    <row r="393" spans="1:1">
      <c r="A393" s="14">
        <v>45564</v>
      </c>
    </row>
    <row r="394" spans="1:1">
      <c r="A394" s="14">
        <v>45565</v>
      </c>
    </row>
    <row r="395" spans="1:1">
      <c r="A395" s="14">
        <v>45566</v>
      </c>
    </row>
    <row r="396" spans="1:1">
      <c r="A396" s="14">
        <v>45567</v>
      </c>
    </row>
    <row r="397" spans="1:1">
      <c r="A397" s="14">
        <v>45568</v>
      </c>
    </row>
    <row r="398" spans="1:1">
      <c r="A398" s="14">
        <v>45569</v>
      </c>
    </row>
    <row r="399" spans="1:1">
      <c r="A399" s="14">
        <v>45570</v>
      </c>
    </row>
    <row r="400" spans="1:1">
      <c r="A400" s="14">
        <v>45571</v>
      </c>
    </row>
    <row r="401" spans="1:1">
      <c r="A401" s="14">
        <v>45572</v>
      </c>
    </row>
    <row r="402" spans="1:1">
      <c r="A402" s="14">
        <v>45573</v>
      </c>
    </row>
    <row r="403" spans="1:1">
      <c r="A403" s="14">
        <v>45574</v>
      </c>
    </row>
    <row r="404" spans="1:1">
      <c r="A404" s="14">
        <v>45575</v>
      </c>
    </row>
    <row r="405" spans="1:1">
      <c r="A405" s="14">
        <v>45576</v>
      </c>
    </row>
    <row r="406" spans="1:1">
      <c r="A406" s="14">
        <v>45577</v>
      </c>
    </row>
    <row r="407" spans="1:1">
      <c r="A407" s="14">
        <v>45578</v>
      </c>
    </row>
    <row r="408" spans="1:1">
      <c r="A408" s="14">
        <v>45579</v>
      </c>
    </row>
    <row r="409" spans="1:1">
      <c r="A409" s="14">
        <v>45580</v>
      </c>
    </row>
    <row r="410" spans="1:1">
      <c r="A410" s="14">
        <v>45581</v>
      </c>
    </row>
    <row r="411" spans="1:1">
      <c r="A411" s="14">
        <v>45582</v>
      </c>
    </row>
    <row r="412" spans="1:1">
      <c r="A412" s="14">
        <v>45583</v>
      </c>
    </row>
    <row r="413" spans="1:1">
      <c r="A413" s="14">
        <v>45584</v>
      </c>
    </row>
    <row r="414" spans="1:1">
      <c r="A414" s="14">
        <v>45585</v>
      </c>
    </row>
    <row r="415" spans="1:1">
      <c r="A415" s="14">
        <v>45586</v>
      </c>
    </row>
    <row r="416" spans="1:1">
      <c r="A416" s="14">
        <v>45587</v>
      </c>
    </row>
    <row r="417" spans="1:1">
      <c r="A417" s="14">
        <v>45588</v>
      </c>
    </row>
    <row r="418" spans="1:1">
      <c r="A418" s="14">
        <v>45589</v>
      </c>
    </row>
    <row r="419" spans="1:1">
      <c r="A419" s="14">
        <v>45590</v>
      </c>
    </row>
    <row r="420" spans="1:1">
      <c r="A420" s="14">
        <v>45591</v>
      </c>
    </row>
    <row r="421" spans="1:1">
      <c r="A421" s="14">
        <v>45592</v>
      </c>
    </row>
    <row r="422" spans="1:1">
      <c r="A422" s="14">
        <v>45593</v>
      </c>
    </row>
    <row r="423" spans="1:1">
      <c r="A423" s="14">
        <v>45594</v>
      </c>
    </row>
    <row r="424" spans="1:1">
      <c r="A424" s="14">
        <v>45595</v>
      </c>
    </row>
    <row r="425" spans="1:1">
      <c r="A425" s="14">
        <v>45596</v>
      </c>
    </row>
    <row r="426" spans="1:1">
      <c r="A426" s="14">
        <v>45597</v>
      </c>
    </row>
    <row r="427" spans="1:1">
      <c r="A427" s="14">
        <v>45598</v>
      </c>
    </row>
    <row r="428" spans="1:1">
      <c r="A428" s="14">
        <v>45599</v>
      </c>
    </row>
    <row r="429" spans="1:1">
      <c r="A429" s="14">
        <v>45600</v>
      </c>
    </row>
    <row r="430" spans="1:1">
      <c r="A430" s="14">
        <v>45601</v>
      </c>
    </row>
    <row r="431" spans="1:1">
      <c r="A431" s="14">
        <v>45602</v>
      </c>
    </row>
    <row r="432" spans="1:1">
      <c r="A432" s="14">
        <v>45603</v>
      </c>
    </row>
    <row r="433" spans="1:1">
      <c r="A433" s="14">
        <v>45604</v>
      </c>
    </row>
    <row r="434" spans="1:1">
      <c r="A434" s="14">
        <v>45605</v>
      </c>
    </row>
    <row r="435" spans="1:1">
      <c r="A435" s="14">
        <v>45606</v>
      </c>
    </row>
    <row r="436" spans="1:1">
      <c r="A436" s="14">
        <v>45607</v>
      </c>
    </row>
    <row r="437" spans="1:1">
      <c r="A437" s="14">
        <v>45608</v>
      </c>
    </row>
    <row r="438" spans="1:1">
      <c r="A438" s="14">
        <v>45609</v>
      </c>
    </row>
    <row r="439" spans="1:1">
      <c r="A439" s="14">
        <v>45610</v>
      </c>
    </row>
    <row r="440" spans="1:1">
      <c r="A440" s="14">
        <v>45611</v>
      </c>
    </row>
    <row r="441" spans="1:1">
      <c r="A441" s="14">
        <v>45612</v>
      </c>
    </row>
    <row r="442" spans="1:1">
      <c r="A442" s="14">
        <v>45613</v>
      </c>
    </row>
    <row r="443" spans="1:1">
      <c r="A443" s="14">
        <v>45614</v>
      </c>
    </row>
    <row r="444" spans="1:1">
      <c r="A444" s="14">
        <v>45615</v>
      </c>
    </row>
    <row r="445" spans="1:1">
      <c r="A445" s="14">
        <v>45616</v>
      </c>
    </row>
    <row r="446" spans="1:1">
      <c r="A446" s="14">
        <v>45617</v>
      </c>
    </row>
    <row r="447" spans="1:1">
      <c r="A447" s="14">
        <v>45618</v>
      </c>
    </row>
    <row r="448" spans="1:1">
      <c r="A448" s="14">
        <v>45619</v>
      </c>
    </row>
    <row r="449" spans="1:1">
      <c r="A449" s="14">
        <v>45620</v>
      </c>
    </row>
    <row r="450" spans="1:1">
      <c r="A450" s="14">
        <v>45621</v>
      </c>
    </row>
    <row r="451" spans="1:1">
      <c r="A451" s="14">
        <v>45622</v>
      </c>
    </row>
    <row r="452" spans="1:1">
      <c r="A452" s="14">
        <v>45623</v>
      </c>
    </row>
    <row r="453" spans="1:1">
      <c r="A453" s="14">
        <v>45624</v>
      </c>
    </row>
    <row r="454" spans="1:1">
      <c r="A454" s="14">
        <v>45625</v>
      </c>
    </row>
    <row r="455" spans="1:1">
      <c r="A455" s="14">
        <v>45626</v>
      </c>
    </row>
    <row r="456" spans="1:1">
      <c r="A456" s="14">
        <v>45627</v>
      </c>
    </row>
    <row r="457" spans="1:1">
      <c r="A457" s="14">
        <v>45628</v>
      </c>
    </row>
    <row r="458" spans="1:1">
      <c r="A458" s="14">
        <v>45629</v>
      </c>
    </row>
    <row r="459" spans="1:1">
      <c r="A459" s="14">
        <v>45630</v>
      </c>
    </row>
    <row r="460" spans="1:1">
      <c r="A460" s="14">
        <v>45631</v>
      </c>
    </row>
    <row r="461" spans="1:1">
      <c r="A461" s="14">
        <v>45632</v>
      </c>
    </row>
    <row r="462" spans="1:1">
      <c r="A462" s="14">
        <v>45633</v>
      </c>
    </row>
    <row r="463" spans="1:1">
      <c r="A463" s="14">
        <v>45634</v>
      </c>
    </row>
    <row r="464" spans="1:1">
      <c r="A464" s="14">
        <v>45635</v>
      </c>
    </row>
    <row r="465" spans="1:1">
      <c r="A465" s="14">
        <v>45636</v>
      </c>
    </row>
    <row r="466" spans="1:1">
      <c r="A466" s="14">
        <v>45637</v>
      </c>
    </row>
    <row r="467" spans="1:1">
      <c r="A467" s="14">
        <v>45638</v>
      </c>
    </row>
    <row r="468" spans="1:1">
      <c r="A468" s="14">
        <v>45639</v>
      </c>
    </row>
    <row r="469" spans="1:1">
      <c r="A469" s="14">
        <v>45640</v>
      </c>
    </row>
    <row r="470" spans="1:1">
      <c r="A470" s="14">
        <v>45641</v>
      </c>
    </row>
    <row r="471" spans="1:1">
      <c r="A471" s="14">
        <v>45642</v>
      </c>
    </row>
    <row r="472" spans="1:1">
      <c r="A472" s="14">
        <v>45643</v>
      </c>
    </row>
    <row r="473" spans="1:1">
      <c r="A473" s="14">
        <v>45644</v>
      </c>
    </row>
    <row r="474" spans="1:1">
      <c r="A474" s="14">
        <v>45645</v>
      </c>
    </row>
    <row r="475" spans="1:1">
      <c r="A475" s="14">
        <v>45646</v>
      </c>
    </row>
    <row r="476" spans="1:1">
      <c r="A476" s="14">
        <v>45647</v>
      </c>
    </row>
    <row r="477" spans="1:1">
      <c r="A477" s="14">
        <v>45648</v>
      </c>
    </row>
    <row r="478" spans="1:1">
      <c r="A478" s="14">
        <v>45649</v>
      </c>
    </row>
    <row r="479" spans="1:1">
      <c r="A479" s="14">
        <v>45650</v>
      </c>
    </row>
    <row r="480" spans="1:1">
      <c r="A480" s="14">
        <v>45651</v>
      </c>
    </row>
    <row r="481" spans="1:1">
      <c r="A481" s="14">
        <v>45652</v>
      </c>
    </row>
    <row r="482" spans="1:1">
      <c r="A482" s="14">
        <v>45653</v>
      </c>
    </row>
    <row r="483" spans="1:1">
      <c r="A483" s="14">
        <v>45654</v>
      </c>
    </row>
    <row r="484" spans="1:1">
      <c r="A484" s="14">
        <v>45655</v>
      </c>
    </row>
    <row r="485" spans="1:1">
      <c r="A485" s="14">
        <v>45656</v>
      </c>
    </row>
    <row r="486" spans="1:1">
      <c r="A486" s="14">
        <v>45657</v>
      </c>
    </row>
    <row r="487" spans="1:1">
      <c r="A487" s="14">
        <v>45658</v>
      </c>
    </row>
    <row r="488" spans="1:1">
      <c r="A488" s="14">
        <v>45659</v>
      </c>
    </row>
    <row r="489" spans="1:1">
      <c r="A489" s="14">
        <v>45660</v>
      </c>
    </row>
    <row r="490" spans="1:1">
      <c r="A490" s="14">
        <v>45661</v>
      </c>
    </row>
    <row r="491" spans="1:1">
      <c r="A491" s="14">
        <v>45662</v>
      </c>
    </row>
    <row r="492" spans="1:1">
      <c r="A492" s="14">
        <v>45663</v>
      </c>
    </row>
    <row r="493" spans="1:1">
      <c r="A493" s="14">
        <v>45664</v>
      </c>
    </row>
    <row r="494" spans="1:1">
      <c r="A494" s="14">
        <v>45665</v>
      </c>
    </row>
    <row r="495" spans="1:1">
      <c r="A495" s="14">
        <v>45666</v>
      </c>
    </row>
    <row r="496" spans="1:1">
      <c r="A496" s="14">
        <v>45667</v>
      </c>
    </row>
    <row r="497" spans="1:1">
      <c r="A497" s="14">
        <v>45668</v>
      </c>
    </row>
    <row r="498" spans="1:1">
      <c r="A498" s="14">
        <v>45669</v>
      </c>
    </row>
    <row r="499" spans="1:1">
      <c r="A499" s="14">
        <v>45670</v>
      </c>
    </row>
    <row r="500" spans="1:1">
      <c r="A500" s="14">
        <v>45671</v>
      </c>
    </row>
    <row r="501" spans="1:1">
      <c r="A501" s="14">
        <v>45672</v>
      </c>
    </row>
    <row r="502" spans="1:1">
      <c r="A502" s="14">
        <v>45673</v>
      </c>
    </row>
    <row r="503" spans="1:1">
      <c r="A503" s="14">
        <v>45674</v>
      </c>
    </row>
    <row r="504" spans="1:1">
      <c r="A504" s="14">
        <v>45675</v>
      </c>
    </row>
    <row r="505" spans="1:1">
      <c r="A505" s="14">
        <v>45676</v>
      </c>
    </row>
    <row r="506" spans="1:1">
      <c r="A506" s="14">
        <v>45677</v>
      </c>
    </row>
    <row r="507" spans="1:1">
      <c r="A507" s="14">
        <v>45678</v>
      </c>
    </row>
    <row r="508" spans="1:1">
      <c r="A508" s="14">
        <v>45679</v>
      </c>
    </row>
    <row r="509" spans="1:1">
      <c r="A509" s="14">
        <v>45680</v>
      </c>
    </row>
    <row r="510" spans="1:1">
      <c r="A510" s="14">
        <v>45681</v>
      </c>
    </row>
    <row r="511" spans="1:1">
      <c r="A511" s="14">
        <v>45682</v>
      </c>
    </row>
    <row r="512" spans="1:1">
      <c r="A512" s="14">
        <v>45683</v>
      </c>
    </row>
    <row r="513" spans="1:1">
      <c r="A513" s="14">
        <v>45684</v>
      </c>
    </row>
    <row r="514" spans="1:1">
      <c r="A514" s="14">
        <v>45685</v>
      </c>
    </row>
    <row r="515" spans="1:1">
      <c r="A515" s="14">
        <v>45686</v>
      </c>
    </row>
    <row r="516" spans="1:1">
      <c r="A516" s="14">
        <v>45687</v>
      </c>
    </row>
    <row r="517" spans="1:1">
      <c r="A517" s="14">
        <v>45688</v>
      </c>
    </row>
    <row r="518" spans="1:1">
      <c r="A518" s="14">
        <v>45689</v>
      </c>
    </row>
    <row r="519" spans="1:1">
      <c r="A519" s="14">
        <v>45690</v>
      </c>
    </row>
    <row r="520" spans="1:1">
      <c r="A520" s="14">
        <v>45691</v>
      </c>
    </row>
    <row r="521" spans="1:1">
      <c r="A521" s="14">
        <v>45692</v>
      </c>
    </row>
    <row r="522" spans="1:1">
      <c r="A522" s="14">
        <v>45693</v>
      </c>
    </row>
    <row r="523" spans="1:1">
      <c r="A523" s="14">
        <v>45694</v>
      </c>
    </row>
    <row r="524" spans="1:1">
      <c r="A524" s="14">
        <v>45695</v>
      </c>
    </row>
    <row r="525" spans="1:1">
      <c r="A525" s="14">
        <v>45696</v>
      </c>
    </row>
    <row r="526" spans="1:1">
      <c r="A526" s="14">
        <v>45697</v>
      </c>
    </row>
    <row r="527" spans="1:1">
      <c r="A527" s="14">
        <v>45698</v>
      </c>
    </row>
    <row r="528" spans="1:1">
      <c r="A528" s="14">
        <v>45699</v>
      </c>
    </row>
    <row r="529" spans="1:1">
      <c r="A529" s="14">
        <v>45700</v>
      </c>
    </row>
    <row r="530" spans="1:1">
      <c r="A530" s="14">
        <v>45701</v>
      </c>
    </row>
    <row r="531" spans="1:1">
      <c r="A531" s="14">
        <v>45702</v>
      </c>
    </row>
    <row r="532" spans="1:1">
      <c r="A532" s="14">
        <v>45703</v>
      </c>
    </row>
    <row r="533" spans="1:1">
      <c r="A533" s="14">
        <v>45704</v>
      </c>
    </row>
    <row r="534" spans="1:1">
      <c r="A534" s="14">
        <v>45705</v>
      </c>
    </row>
    <row r="535" spans="1:1">
      <c r="A535" s="14">
        <v>45706</v>
      </c>
    </row>
    <row r="536" spans="1:1">
      <c r="A536" s="14">
        <v>45707</v>
      </c>
    </row>
    <row r="537" spans="1:1">
      <c r="A537" s="14">
        <v>45708</v>
      </c>
    </row>
    <row r="538" spans="1:1">
      <c r="A538" s="14">
        <v>45709</v>
      </c>
    </row>
    <row r="539" spans="1:1">
      <c r="A539" s="14">
        <v>45710</v>
      </c>
    </row>
    <row r="540" spans="1:1">
      <c r="A540" s="14">
        <v>45711</v>
      </c>
    </row>
    <row r="541" spans="1:1">
      <c r="A541" s="14">
        <v>45712</v>
      </c>
    </row>
    <row r="542" spans="1:1">
      <c r="A542" s="14">
        <v>45713</v>
      </c>
    </row>
    <row r="543" spans="1:1">
      <c r="A543" s="14">
        <v>45714</v>
      </c>
    </row>
    <row r="544" spans="1:1">
      <c r="A544" s="14">
        <v>45715</v>
      </c>
    </row>
    <row r="545" spans="1:1">
      <c r="A545" s="14">
        <v>45716</v>
      </c>
    </row>
    <row r="546" spans="1:1">
      <c r="A546" s="14">
        <v>45717</v>
      </c>
    </row>
    <row r="547" spans="1:1">
      <c r="A547" s="14">
        <v>45718</v>
      </c>
    </row>
    <row r="548" spans="1:1">
      <c r="A548" s="14">
        <v>45719</v>
      </c>
    </row>
    <row r="549" spans="1:1">
      <c r="A549" s="14">
        <v>45720</v>
      </c>
    </row>
    <row r="550" spans="1:1">
      <c r="A550" s="14">
        <v>45721</v>
      </c>
    </row>
    <row r="551" spans="1:1">
      <c r="A551" s="14">
        <v>45722</v>
      </c>
    </row>
    <row r="552" spans="1:1">
      <c r="A552" s="14">
        <v>45723</v>
      </c>
    </row>
    <row r="553" spans="1:1">
      <c r="A553" s="14">
        <v>45724</v>
      </c>
    </row>
    <row r="554" spans="1:1">
      <c r="A554" s="14">
        <v>45725</v>
      </c>
    </row>
    <row r="555" spans="1:1">
      <c r="A555" s="14">
        <v>45726</v>
      </c>
    </row>
    <row r="556" spans="1:1">
      <c r="A556" s="14">
        <v>45727</v>
      </c>
    </row>
    <row r="557" spans="1:1">
      <c r="A557" s="14">
        <v>45728</v>
      </c>
    </row>
    <row r="558" spans="1:1">
      <c r="A558" s="14">
        <v>45729</v>
      </c>
    </row>
    <row r="559" spans="1:1">
      <c r="A559" s="14">
        <v>45730</v>
      </c>
    </row>
    <row r="560" spans="1:1">
      <c r="A560" s="14">
        <v>45731</v>
      </c>
    </row>
    <row r="561" spans="1:1">
      <c r="A561" s="14">
        <v>45732</v>
      </c>
    </row>
    <row r="562" spans="1:1">
      <c r="A562" s="14">
        <v>45733</v>
      </c>
    </row>
    <row r="563" spans="1:1">
      <c r="A563" s="14">
        <v>45734</v>
      </c>
    </row>
    <row r="564" spans="1:1">
      <c r="A564" s="14">
        <v>45735</v>
      </c>
    </row>
    <row r="565" spans="1:1">
      <c r="A565" s="14">
        <v>45736</v>
      </c>
    </row>
    <row r="566" spans="1:1">
      <c r="A566" s="14">
        <v>45737</v>
      </c>
    </row>
    <row r="567" spans="1:1">
      <c r="A567" s="14">
        <v>45738</v>
      </c>
    </row>
    <row r="568" spans="1:1">
      <c r="A568" s="14">
        <v>45739</v>
      </c>
    </row>
    <row r="569" spans="1:1">
      <c r="A569" s="14">
        <v>45740</v>
      </c>
    </row>
    <row r="570" spans="1:1">
      <c r="A570" s="14">
        <v>45741</v>
      </c>
    </row>
    <row r="571" spans="1:1">
      <c r="A571" s="14">
        <v>45742</v>
      </c>
    </row>
    <row r="572" spans="1:1">
      <c r="A572" s="14">
        <v>45743</v>
      </c>
    </row>
    <row r="573" spans="1:1">
      <c r="A573" s="14">
        <v>45744</v>
      </c>
    </row>
    <row r="574" spans="1:1">
      <c r="A574" s="14">
        <v>45745</v>
      </c>
    </row>
    <row r="575" spans="1:1">
      <c r="A575" s="14">
        <v>45746</v>
      </c>
    </row>
    <row r="576" spans="1:1">
      <c r="A576" s="14">
        <v>45747</v>
      </c>
    </row>
    <row r="577" spans="1:1">
      <c r="A577" s="14">
        <v>45748</v>
      </c>
    </row>
    <row r="578" spans="1:1">
      <c r="A578" s="14">
        <v>45749</v>
      </c>
    </row>
    <row r="579" spans="1:1">
      <c r="A579" s="14">
        <v>45750</v>
      </c>
    </row>
    <row r="580" spans="1:1">
      <c r="A580" s="14">
        <v>45751</v>
      </c>
    </row>
    <row r="581" spans="1:1">
      <c r="A581" s="14">
        <v>45752</v>
      </c>
    </row>
    <row r="582" spans="1:1">
      <c r="A582" s="14">
        <v>45753</v>
      </c>
    </row>
    <row r="583" spans="1:1">
      <c r="A583" s="14">
        <v>45754</v>
      </c>
    </row>
    <row r="584" spans="1:1">
      <c r="A584" s="14">
        <v>45755</v>
      </c>
    </row>
    <row r="585" spans="1:1">
      <c r="A585" s="14">
        <v>45756</v>
      </c>
    </row>
    <row r="586" spans="1:1">
      <c r="A586" s="14">
        <v>45757</v>
      </c>
    </row>
    <row r="587" spans="1:1">
      <c r="A587" s="14">
        <v>45758</v>
      </c>
    </row>
    <row r="588" spans="1:1">
      <c r="A588" s="14">
        <v>45759</v>
      </c>
    </row>
    <row r="589" spans="1:1">
      <c r="A589" s="14">
        <v>45760</v>
      </c>
    </row>
    <row r="590" spans="1:1">
      <c r="A590" s="14">
        <v>45761</v>
      </c>
    </row>
    <row r="591" spans="1:1">
      <c r="A591" s="14">
        <v>45762</v>
      </c>
    </row>
    <row r="592" spans="1:1">
      <c r="A592" s="14">
        <v>45763</v>
      </c>
    </row>
    <row r="593" spans="1:1">
      <c r="A593" s="14">
        <v>45764</v>
      </c>
    </row>
    <row r="594" spans="1:1">
      <c r="A594" s="14">
        <v>45765</v>
      </c>
    </row>
    <row r="595" spans="1:1">
      <c r="A595" s="14">
        <v>45766</v>
      </c>
    </row>
    <row r="596" spans="1:1">
      <c r="A596" s="14">
        <v>45767</v>
      </c>
    </row>
    <row r="597" spans="1:1">
      <c r="A597" s="14">
        <v>45768</v>
      </c>
    </row>
    <row r="598" spans="1:1">
      <c r="A598" s="14">
        <v>45769</v>
      </c>
    </row>
    <row r="599" spans="1:1">
      <c r="A599" s="14">
        <v>45770</v>
      </c>
    </row>
    <row r="600" spans="1:1">
      <c r="A600" s="14">
        <v>45771</v>
      </c>
    </row>
    <row r="601" spans="1:1">
      <c r="A601" s="14">
        <v>45772</v>
      </c>
    </row>
    <row r="602" spans="1:1">
      <c r="A602" s="14">
        <v>45773</v>
      </c>
    </row>
    <row r="603" spans="1:1">
      <c r="A603" s="14">
        <v>45774</v>
      </c>
    </row>
    <row r="604" spans="1:1">
      <c r="A604" s="14">
        <v>45775</v>
      </c>
    </row>
    <row r="605" spans="1:1">
      <c r="A605" s="14">
        <v>45776</v>
      </c>
    </row>
    <row r="606" spans="1:1">
      <c r="A606" s="14">
        <v>45777</v>
      </c>
    </row>
    <row r="607" spans="1:1">
      <c r="A607" s="14">
        <v>45778</v>
      </c>
    </row>
    <row r="608" spans="1:1">
      <c r="A608" s="14">
        <v>45779</v>
      </c>
    </row>
    <row r="609" spans="1:1">
      <c r="A609" s="14">
        <v>45780</v>
      </c>
    </row>
    <row r="610" spans="1:1">
      <c r="A610" s="14">
        <v>45781</v>
      </c>
    </row>
    <row r="611" spans="1:1">
      <c r="A611" s="14">
        <v>45782</v>
      </c>
    </row>
    <row r="612" spans="1:1">
      <c r="A612" s="14">
        <v>45783</v>
      </c>
    </row>
    <row r="613" spans="1:1">
      <c r="A613" s="14">
        <v>45784</v>
      </c>
    </row>
    <row r="614" spans="1:1">
      <c r="A614" s="14">
        <v>45785</v>
      </c>
    </row>
    <row r="615" spans="1:1">
      <c r="A615" s="14">
        <v>45786</v>
      </c>
    </row>
    <row r="616" spans="1:1">
      <c r="A616" s="14">
        <v>45787</v>
      </c>
    </row>
    <row r="617" spans="1:1">
      <c r="A617" s="14">
        <v>45788</v>
      </c>
    </row>
    <row r="618" spans="1:1">
      <c r="A618" s="14">
        <v>45789</v>
      </c>
    </row>
    <row r="619" spans="1:1">
      <c r="A619" s="14">
        <v>45790</v>
      </c>
    </row>
    <row r="620" spans="1:1">
      <c r="A620" s="14">
        <v>45791</v>
      </c>
    </row>
    <row r="621" spans="1:1">
      <c r="A621" s="14">
        <v>45792</v>
      </c>
    </row>
    <row r="622" spans="1:1">
      <c r="A622" s="14">
        <v>45793</v>
      </c>
    </row>
    <row r="623" spans="1:1">
      <c r="A623" s="14">
        <v>45794</v>
      </c>
    </row>
    <row r="624" spans="1:1">
      <c r="A624" s="14">
        <v>45795</v>
      </c>
    </row>
    <row r="625" spans="1:1">
      <c r="A625" s="14">
        <v>45796</v>
      </c>
    </row>
    <row r="626" spans="1:1">
      <c r="A626" s="14">
        <v>45797</v>
      </c>
    </row>
    <row r="627" spans="1:1">
      <c r="A627" s="14">
        <v>45798</v>
      </c>
    </row>
    <row r="628" spans="1:1">
      <c r="A628" s="14">
        <v>45799</v>
      </c>
    </row>
    <row r="629" spans="1:1">
      <c r="A629" s="14">
        <v>45800</v>
      </c>
    </row>
    <row r="630" spans="1:1">
      <c r="A630" s="14">
        <v>45801</v>
      </c>
    </row>
    <row r="631" spans="1:1">
      <c r="A631" s="14">
        <v>45802</v>
      </c>
    </row>
    <row r="632" spans="1:1">
      <c r="A632" s="14">
        <v>45803</v>
      </c>
    </row>
    <row r="633" spans="1:1">
      <c r="A633" s="14">
        <v>45804</v>
      </c>
    </row>
    <row r="634" spans="1:1">
      <c r="A634" s="14">
        <v>45805</v>
      </c>
    </row>
    <row r="635" spans="1:1">
      <c r="A635" s="14">
        <v>45806</v>
      </c>
    </row>
    <row r="636" spans="1:1">
      <c r="A636" s="14">
        <v>45807</v>
      </c>
    </row>
    <row r="637" spans="1:1">
      <c r="A637" s="14">
        <v>45808</v>
      </c>
    </row>
    <row r="638" spans="1:1">
      <c r="A638" s="14">
        <v>45809</v>
      </c>
    </row>
    <row r="639" spans="1:1">
      <c r="A639" s="14">
        <v>45810</v>
      </c>
    </row>
    <row r="640" spans="1:1">
      <c r="A640" s="14">
        <v>45811</v>
      </c>
    </row>
    <row r="641" spans="1:1">
      <c r="A641" s="14">
        <v>45812</v>
      </c>
    </row>
    <row r="642" spans="1:1">
      <c r="A642" s="14">
        <v>45813</v>
      </c>
    </row>
    <row r="643" spans="1:1">
      <c r="A643" s="14">
        <v>45814</v>
      </c>
    </row>
    <row r="644" spans="1:1">
      <c r="A644" s="14">
        <v>45815</v>
      </c>
    </row>
    <row r="645" spans="1:1">
      <c r="A645" s="14">
        <v>45816</v>
      </c>
    </row>
    <row r="646" spans="1:1">
      <c r="A646" s="14">
        <v>45817</v>
      </c>
    </row>
    <row r="647" spans="1:1">
      <c r="A647" s="14">
        <v>45818</v>
      </c>
    </row>
    <row r="648" spans="1:1">
      <c r="A648" s="14">
        <v>45819</v>
      </c>
    </row>
    <row r="649" spans="1:1">
      <c r="A649" s="14">
        <v>45820</v>
      </c>
    </row>
    <row r="650" spans="1:1">
      <c r="A650" s="14">
        <v>45821</v>
      </c>
    </row>
    <row r="651" spans="1:1">
      <c r="A651" s="14">
        <v>45822</v>
      </c>
    </row>
    <row r="652" spans="1:1">
      <c r="A652" s="14">
        <v>45823</v>
      </c>
    </row>
    <row r="653" spans="1:1">
      <c r="A653" s="14">
        <v>45824</v>
      </c>
    </row>
    <row r="654" spans="1:1">
      <c r="A654" s="14">
        <v>45825</v>
      </c>
    </row>
    <row r="655" spans="1:1">
      <c r="A655" s="14">
        <v>45826</v>
      </c>
    </row>
    <row r="656" spans="1:1">
      <c r="A656" s="14">
        <v>45827</v>
      </c>
    </row>
    <row r="657" spans="1:1">
      <c r="A657" s="14">
        <v>45828</v>
      </c>
    </row>
    <row r="658" spans="1:1">
      <c r="A658" s="14">
        <v>45829</v>
      </c>
    </row>
    <row r="659" spans="1:1">
      <c r="A659" s="14">
        <v>45830</v>
      </c>
    </row>
    <row r="660" spans="1:1">
      <c r="A660" s="14">
        <v>45831</v>
      </c>
    </row>
    <row r="661" spans="1:1">
      <c r="A661" s="14">
        <v>45832</v>
      </c>
    </row>
    <row r="662" spans="1:1">
      <c r="A662" s="14">
        <v>45833</v>
      </c>
    </row>
    <row r="663" spans="1:1">
      <c r="A663" s="14">
        <v>45834</v>
      </c>
    </row>
    <row r="664" spans="1:1">
      <c r="A664" s="14">
        <v>45835</v>
      </c>
    </row>
    <row r="665" spans="1:1">
      <c r="A665" s="14">
        <v>45836</v>
      </c>
    </row>
    <row r="666" spans="1:1">
      <c r="A666" s="14">
        <v>45837</v>
      </c>
    </row>
    <row r="667" spans="1:1">
      <c r="A667" s="14">
        <v>45838</v>
      </c>
    </row>
    <row r="668" spans="1:1">
      <c r="A668" s="14">
        <v>45839</v>
      </c>
    </row>
    <row r="669" spans="1:1">
      <c r="A669" s="14">
        <v>45840</v>
      </c>
    </row>
    <row r="670" spans="1:1">
      <c r="A670" s="14">
        <v>45841</v>
      </c>
    </row>
    <row r="671" spans="1:1">
      <c r="A671" s="14">
        <v>45842</v>
      </c>
    </row>
    <row r="672" spans="1:1">
      <c r="A672" s="14">
        <v>45843</v>
      </c>
    </row>
    <row r="673" spans="1:1">
      <c r="A673" s="14">
        <v>45844</v>
      </c>
    </row>
    <row r="674" spans="1:1">
      <c r="A674" s="14">
        <v>45845</v>
      </c>
    </row>
    <row r="675" spans="1:1">
      <c r="A675" s="14">
        <v>45846</v>
      </c>
    </row>
    <row r="676" spans="1:1">
      <c r="A676" s="14">
        <v>45847</v>
      </c>
    </row>
    <row r="677" spans="1:1">
      <c r="A677" s="14">
        <v>45848</v>
      </c>
    </row>
    <row r="678" spans="1:1">
      <c r="A678" s="14">
        <v>45849</v>
      </c>
    </row>
    <row r="679" spans="1:1">
      <c r="A679" s="14">
        <v>45850</v>
      </c>
    </row>
    <row r="680" spans="1:1">
      <c r="A680" s="14">
        <v>45851</v>
      </c>
    </row>
    <row r="681" spans="1:1">
      <c r="A681" s="14">
        <v>45852</v>
      </c>
    </row>
    <row r="682" spans="1:1">
      <c r="A682" s="14">
        <v>45853</v>
      </c>
    </row>
    <row r="683" spans="1:1">
      <c r="A683" s="14">
        <v>45854</v>
      </c>
    </row>
    <row r="684" spans="1:1">
      <c r="A684" s="14">
        <v>45855</v>
      </c>
    </row>
    <row r="685" spans="1:1">
      <c r="A685" s="14">
        <v>45856</v>
      </c>
    </row>
    <row r="686" spans="1:1">
      <c r="A686" s="14">
        <v>45857</v>
      </c>
    </row>
    <row r="687" spans="1:1">
      <c r="A687" s="14">
        <v>45858</v>
      </c>
    </row>
    <row r="688" spans="1:1">
      <c r="A688" s="14">
        <v>45859</v>
      </c>
    </row>
    <row r="689" spans="1:1">
      <c r="A689" s="14">
        <v>45860</v>
      </c>
    </row>
    <row r="690" spans="1:1">
      <c r="A690" s="14">
        <v>45861</v>
      </c>
    </row>
    <row r="691" spans="1:1">
      <c r="A691" s="14">
        <v>45862</v>
      </c>
    </row>
    <row r="692" spans="1:1">
      <c r="A692" s="14">
        <v>45863</v>
      </c>
    </row>
    <row r="693" spans="1:1">
      <c r="A693" s="14">
        <v>45864</v>
      </c>
    </row>
    <row r="694" spans="1:1">
      <c r="A694" s="14">
        <v>45865</v>
      </c>
    </row>
    <row r="695" spans="1:1">
      <c r="A695" s="14">
        <v>45866</v>
      </c>
    </row>
    <row r="696" spans="1:1">
      <c r="A696" s="14">
        <v>45867</v>
      </c>
    </row>
    <row r="697" spans="1:1">
      <c r="A697" s="14">
        <v>45868</v>
      </c>
    </row>
    <row r="698" spans="1:1">
      <c r="A698" s="14">
        <v>45869</v>
      </c>
    </row>
    <row r="699" spans="1:1">
      <c r="A699" s="14">
        <v>45870</v>
      </c>
    </row>
    <row r="700" spans="1:1">
      <c r="A700" s="14">
        <v>45871</v>
      </c>
    </row>
    <row r="701" spans="1:1">
      <c r="A701" s="14">
        <v>45872</v>
      </c>
    </row>
    <row r="702" spans="1:1">
      <c r="A702" s="14">
        <v>45873</v>
      </c>
    </row>
    <row r="703" spans="1:1">
      <c r="A703" s="14">
        <v>45874</v>
      </c>
    </row>
    <row r="704" spans="1:1">
      <c r="A704" s="14">
        <v>45875</v>
      </c>
    </row>
    <row r="705" spans="1:1">
      <c r="A705" s="14">
        <v>45876</v>
      </c>
    </row>
    <row r="706" spans="1:1">
      <c r="A706" s="14">
        <v>45877</v>
      </c>
    </row>
    <row r="707" spans="1:1">
      <c r="A707" s="14">
        <v>45878</v>
      </c>
    </row>
    <row r="708" spans="1:1">
      <c r="A708" s="14">
        <v>45879</v>
      </c>
    </row>
    <row r="709" spans="1:1">
      <c r="A709" s="14">
        <v>45880</v>
      </c>
    </row>
    <row r="710" spans="1:1">
      <c r="A710" s="14">
        <v>45881</v>
      </c>
    </row>
    <row r="711" spans="1:1">
      <c r="A711" s="14">
        <v>45882</v>
      </c>
    </row>
    <row r="712" spans="1:1">
      <c r="A712" s="14">
        <v>45883</v>
      </c>
    </row>
    <row r="713" spans="1:1">
      <c r="A713" s="14">
        <v>45884</v>
      </c>
    </row>
    <row r="714" spans="1:1">
      <c r="A714" s="14">
        <v>45885</v>
      </c>
    </row>
    <row r="715" spans="1:1">
      <c r="A715" s="14">
        <v>45886</v>
      </c>
    </row>
    <row r="716" spans="1:1">
      <c r="A716" s="14">
        <v>45887</v>
      </c>
    </row>
    <row r="717" spans="1:1">
      <c r="A717" s="14">
        <v>45888</v>
      </c>
    </row>
    <row r="718" spans="1:1">
      <c r="A718" s="14">
        <v>45889</v>
      </c>
    </row>
    <row r="719" spans="1:1">
      <c r="A719" s="14">
        <v>45890</v>
      </c>
    </row>
    <row r="720" spans="1:1">
      <c r="A720" s="14">
        <v>45891</v>
      </c>
    </row>
    <row r="721" spans="1:1">
      <c r="A721" s="14">
        <v>45892</v>
      </c>
    </row>
    <row r="722" spans="1:1">
      <c r="A722" s="14">
        <v>45893</v>
      </c>
    </row>
    <row r="723" spans="1:1">
      <c r="A723" s="14">
        <v>45894</v>
      </c>
    </row>
    <row r="724" spans="1:1">
      <c r="A724" s="14">
        <v>45895</v>
      </c>
    </row>
    <row r="725" spans="1:1">
      <c r="A725" s="14">
        <v>45896</v>
      </c>
    </row>
    <row r="726" spans="1:1">
      <c r="A726" s="14">
        <v>45897</v>
      </c>
    </row>
    <row r="727" spans="1:1">
      <c r="A727" s="14">
        <v>45898</v>
      </c>
    </row>
    <row r="728" spans="1:1">
      <c r="A728" s="14">
        <v>45899</v>
      </c>
    </row>
    <row r="729" spans="1:1">
      <c r="A729" s="14">
        <v>45900</v>
      </c>
    </row>
    <row r="730" spans="1:1">
      <c r="A730" s="14">
        <v>45901</v>
      </c>
    </row>
    <row r="731" spans="1:1">
      <c r="A731" s="14">
        <v>45902</v>
      </c>
    </row>
    <row r="732" spans="1:1">
      <c r="A732" s="14">
        <v>45903</v>
      </c>
    </row>
    <row r="733" spans="1:1">
      <c r="A733" s="14">
        <v>45904</v>
      </c>
    </row>
    <row r="734" spans="1:1">
      <c r="A734" s="14">
        <v>45905</v>
      </c>
    </row>
    <row r="735" spans="1:1">
      <c r="A735" s="14">
        <v>45906</v>
      </c>
    </row>
    <row r="736" spans="1:1">
      <c r="A736" s="14">
        <v>45907</v>
      </c>
    </row>
    <row r="737" spans="1:1">
      <c r="A737" s="14">
        <v>45908</v>
      </c>
    </row>
    <row r="738" spans="1:1">
      <c r="A738" s="14">
        <v>45909</v>
      </c>
    </row>
    <row r="739" spans="1:1">
      <c r="A739" s="14">
        <v>45910</v>
      </c>
    </row>
    <row r="740" spans="1:1">
      <c r="A740" s="14">
        <v>45911</v>
      </c>
    </row>
    <row r="741" spans="1:1">
      <c r="A741" s="14">
        <v>45912</v>
      </c>
    </row>
    <row r="742" spans="1:1">
      <c r="A742" s="14">
        <v>45913</v>
      </c>
    </row>
    <row r="743" spans="1:1">
      <c r="A743" s="14">
        <v>45914</v>
      </c>
    </row>
    <row r="744" spans="1:1">
      <c r="A744" s="14">
        <v>45915</v>
      </c>
    </row>
    <row r="745" spans="1:1">
      <c r="A745" s="14">
        <v>45916</v>
      </c>
    </row>
    <row r="746" spans="1:1">
      <c r="A746" s="14">
        <v>45917</v>
      </c>
    </row>
    <row r="747" spans="1:1">
      <c r="A747" s="14">
        <v>45918</v>
      </c>
    </row>
    <row r="748" spans="1:1">
      <c r="A748" s="14">
        <v>45919</v>
      </c>
    </row>
    <row r="749" spans="1:1">
      <c r="A749" s="14">
        <v>45920</v>
      </c>
    </row>
    <row r="750" spans="1:1">
      <c r="A750" s="14">
        <v>45921</v>
      </c>
    </row>
    <row r="751" spans="1:1">
      <c r="A751" s="14">
        <v>45922</v>
      </c>
    </row>
    <row r="752" spans="1:1">
      <c r="A752" s="14">
        <v>45923</v>
      </c>
    </row>
    <row r="753" spans="1:1">
      <c r="A753" s="14">
        <v>45924</v>
      </c>
    </row>
    <row r="754" spans="1:1">
      <c r="A754" s="14">
        <v>45925</v>
      </c>
    </row>
    <row r="755" spans="1:1">
      <c r="A755" s="14">
        <v>45926</v>
      </c>
    </row>
    <row r="756" spans="1:1">
      <c r="A756" s="14">
        <v>45927</v>
      </c>
    </row>
    <row r="757" spans="1:1">
      <c r="A757" s="14">
        <v>45928</v>
      </c>
    </row>
    <row r="758" spans="1:1">
      <c r="A758" s="14">
        <v>45929</v>
      </c>
    </row>
    <row r="759" spans="1:1">
      <c r="A759" s="14">
        <v>45930</v>
      </c>
    </row>
    <row r="760" spans="1:1">
      <c r="A760" s="14">
        <v>45931</v>
      </c>
    </row>
    <row r="761" spans="1:1">
      <c r="A761" s="14">
        <v>45932</v>
      </c>
    </row>
    <row r="762" spans="1:1">
      <c r="A762" s="14">
        <v>45933</v>
      </c>
    </row>
    <row r="763" spans="1:1">
      <c r="A763" s="14">
        <v>45934</v>
      </c>
    </row>
    <row r="764" spans="1:1">
      <c r="A764" s="14">
        <v>45935</v>
      </c>
    </row>
    <row r="765" spans="1:1">
      <c r="A765" s="14">
        <v>45936</v>
      </c>
    </row>
    <row r="766" spans="1:1">
      <c r="A766" s="14">
        <v>45937</v>
      </c>
    </row>
    <row r="767" spans="1:1">
      <c r="A767" s="14">
        <v>45938</v>
      </c>
    </row>
    <row r="768" spans="1:1">
      <c r="A768" s="14">
        <v>45939</v>
      </c>
    </row>
    <row r="769" spans="1:1">
      <c r="A769" s="14">
        <v>45940</v>
      </c>
    </row>
    <row r="770" spans="1:1">
      <c r="A770" s="14">
        <v>45941</v>
      </c>
    </row>
    <row r="771" spans="1:1">
      <c r="A771" s="14">
        <v>45942</v>
      </c>
    </row>
    <row r="772" spans="1:1">
      <c r="A772" s="14">
        <v>45943</v>
      </c>
    </row>
    <row r="773" spans="1:1">
      <c r="A773" s="14">
        <v>45944</v>
      </c>
    </row>
    <row r="774" spans="1:1">
      <c r="A774" s="14">
        <v>45945</v>
      </c>
    </row>
    <row r="775" spans="1:1">
      <c r="A775" s="14">
        <v>45946</v>
      </c>
    </row>
    <row r="776" spans="1:1">
      <c r="A776" s="14">
        <v>45947</v>
      </c>
    </row>
    <row r="777" spans="1:1">
      <c r="A777" s="14">
        <v>45948</v>
      </c>
    </row>
    <row r="778" spans="1:1">
      <c r="A778" s="14">
        <v>45949</v>
      </c>
    </row>
    <row r="779" spans="1:1">
      <c r="A779" s="14">
        <v>45950</v>
      </c>
    </row>
    <row r="780" spans="1:1">
      <c r="A780" s="14">
        <v>45951</v>
      </c>
    </row>
    <row r="781" spans="1:1">
      <c r="A781" s="14">
        <v>45952</v>
      </c>
    </row>
    <row r="782" spans="1:1">
      <c r="A782" s="14">
        <v>45953</v>
      </c>
    </row>
    <row r="783" spans="1:1">
      <c r="A783" s="14">
        <v>45954</v>
      </c>
    </row>
    <row r="784" spans="1:1">
      <c r="A784" s="14">
        <v>45955</v>
      </c>
    </row>
    <row r="785" spans="1:1">
      <c r="A785" s="14">
        <v>45956</v>
      </c>
    </row>
    <row r="786" spans="1:1">
      <c r="A786" s="14">
        <v>45957</v>
      </c>
    </row>
    <row r="787" spans="1:1">
      <c r="A787" s="14">
        <v>45958</v>
      </c>
    </row>
    <row r="788" spans="1:1">
      <c r="A788" s="14">
        <v>45959</v>
      </c>
    </row>
    <row r="789" spans="1:1">
      <c r="A789" s="14">
        <v>45960</v>
      </c>
    </row>
    <row r="790" spans="1:1">
      <c r="A790" s="14">
        <v>45961</v>
      </c>
    </row>
    <row r="791" spans="1:1">
      <c r="A791" s="14">
        <v>45962</v>
      </c>
    </row>
    <row r="792" spans="1:1">
      <c r="A792" s="14">
        <v>45963</v>
      </c>
    </row>
    <row r="793" spans="1:1">
      <c r="A793" s="14">
        <v>45964</v>
      </c>
    </row>
    <row r="794" spans="1:1">
      <c r="A794" s="14">
        <v>45965</v>
      </c>
    </row>
    <row r="795" spans="1:1">
      <c r="A795" s="14">
        <v>45966</v>
      </c>
    </row>
    <row r="796" spans="1:1">
      <c r="A796" s="14">
        <v>45967</v>
      </c>
    </row>
    <row r="797" spans="1:1">
      <c r="A797" s="14">
        <v>45968</v>
      </c>
    </row>
    <row r="798" spans="1:1">
      <c r="A798" s="14">
        <v>45969</v>
      </c>
    </row>
    <row r="799" spans="1:1">
      <c r="A799" s="14">
        <v>45970</v>
      </c>
    </row>
    <row r="800" spans="1:1">
      <c r="A800" s="14">
        <v>45971</v>
      </c>
    </row>
    <row r="801" spans="1:1">
      <c r="A801" s="14">
        <v>45972</v>
      </c>
    </row>
    <row r="802" spans="1:1">
      <c r="A802" s="14">
        <v>45973</v>
      </c>
    </row>
    <row r="803" spans="1:1">
      <c r="A803" s="14">
        <v>45974</v>
      </c>
    </row>
    <row r="804" spans="1:1">
      <c r="A804" s="14">
        <v>45975</v>
      </c>
    </row>
    <row r="805" spans="1:1">
      <c r="A805" s="14">
        <v>45976</v>
      </c>
    </row>
    <row r="806" spans="1:1">
      <c r="A806" s="14">
        <v>45977</v>
      </c>
    </row>
    <row r="807" spans="1:1">
      <c r="A807" s="14">
        <v>45978</v>
      </c>
    </row>
    <row r="808" spans="1:1">
      <c r="A808" s="14">
        <v>45979</v>
      </c>
    </row>
    <row r="809" spans="1:1">
      <c r="A809" s="14">
        <v>45980</v>
      </c>
    </row>
    <row r="810" spans="1:1">
      <c r="A810" s="14">
        <v>45981</v>
      </c>
    </row>
    <row r="811" spans="1:1">
      <c r="A811" s="14">
        <v>45982</v>
      </c>
    </row>
    <row r="812" spans="1:1">
      <c r="A812" s="14">
        <v>45983</v>
      </c>
    </row>
    <row r="813" spans="1:1">
      <c r="A813" s="14">
        <v>45984</v>
      </c>
    </row>
    <row r="814" spans="1:1">
      <c r="A814" s="14">
        <v>45985</v>
      </c>
    </row>
    <row r="815" spans="1:1">
      <c r="A815" s="14">
        <v>45986</v>
      </c>
    </row>
    <row r="816" spans="1:1">
      <c r="A816" s="14">
        <v>45987</v>
      </c>
    </row>
    <row r="817" spans="1:1">
      <c r="A817" s="14">
        <v>45988</v>
      </c>
    </row>
    <row r="818" spans="1:1">
      <c r="A818" s="14">
        <v>45989</v>
      </c>
    </row>
    <row r="819" spans="1:1">
      <c r="A819" s="14">
        <v>45990</v>
      </c>
    </row>
    <row r="820" spans="1:1">
      <c r="A820" s="14">
        <v>45991</v>
      </c>
    </row>
    <row r="821" spans="1:1">
      <c r="A821" s="14">
        <v>45992</v>
      </c>
    </row>
    <row r="822" spans="1:1">
      <c r="A822" s="14">
        <v>45993</v>
      </c>
    </row>
    <row r="823" spans="1:1">
      <c r="A823" s="14">
        <v>45994</v>
      </c>
    </row>
    <row r="824" spans="1:1">
      <c r="A824" s="14">
        <v>45995</v>
      </c>
    </row>
    <row r="825" spans="1:1">
      <c r="A825" s="14">
        <v>45996</v>
      </c>
    </row>
    <row r="826" spans="1:1">
      <c r="A826" s="14">
        <v>45997</v>
      </c>
    </row>
    <row r="827" spans="1:1">
      <c r="A827" s="14">
        <v>45998</v>
      </c>
    </row>
    <row r="828" spans="1:1">
      <c r="A828" s="14">
        <v>45999</v>
      </c>
    </row>
    <row r="829" spans="1:1">
      <c r="A829" s="14">
        <v>46000</v>
      </c>
    </row>
    <row r="830" spans="1:1">
      <c r="A830" s="14">
        <v>46001</v>
      </c>
    </row>
    <row r="831" spans="1:1">
      <c r="A831" s="14">
        <v>46002</v>
      </c>
    </row>
    <row r="832" spans="1:1">
      <c r="A832" s="14">
        <v>46003</v>
      </c>
    </row>
    <row r="833" spans="1:1">
      <c r="A833" s="14">
        <v>46004</v>
      </c>
    </row>
    <row r="834" spans="1:1">
      <c r="A834" s="14">
        <v>46005</v>
      </c>
    </row>
    <row r="835" spans="1:1">
      <c r="A835" s="14">
        <v>46006</v>
      </c>
    </row>
    <row r="836" spans="1:1">
      <c r="A836" s="14">
        <v>46007</v>
      </c>
    </row>
    <row r="837" spans="1:1">
      <c r="A837" s="14">
        <v>46008</v>
      </c>
    </row>
    <row r="838" spans="1:1">
      <c r="A838" s="14">
        <v>46009</v>
      </c>
    </row>
    <row r="839" spans="1:1">
      <c r="A839" s="14">
        <v>46010</v>
      </c>
    </row>
    <row r="840" spans="1:1">
      <c r="A840" s="14">
        <v>46011</v>
      </c>
    </row>
    <row r="841" spans="1:1">
      <c r="A841" s="14">
        <v>46012</v>
      </c>
    </row>
    <row r="842" spans="1:1">
      <c r="A842" s="14">
        <v>46013</v>
      </c>
    </row>
    <row r="843" spans="1:1">
      <c r="A843" s="14">
        <v>46014</v>
      </c>
    </row>
    <row r="844" spans="1:1">
      <c r="A844" s="14">
        <v>46015</v>
      </c>
    </row>
    <row r="845" spans="1:1">
      <c r="A845" s="14">
        <v>46016</v>
      </c>
    </row>
    <row r="846" spans="1:1">
      <c r="A846" s="14">
        <v>46017</v>
      </c>
    </row>
    <row r="847" spans="1:1">
      <c r="A847" s="14">
        <v>46018</v>
      </c>
    </row>
    <row r="848" spans="1:1">
      <c r="A848" s="14">
        <v>46019</v>
      </c>
    </row>
    <row r="849" spans="1:1">
      <c r="A849" s="14">
        <v>46020</v>
      </c>
    </row>
    <row r="850" spans="1:1">
      <c r="A850" s="14">
        <v>46021</v>
      </c>
    </row>
    <row r="851" spans="1:1">
      <c r="A851" s="14">
        <v>46022</v>
      </c>
    </row>
    <row r="852" spans="1:1">
      <c r="A852" s="14">
        <v>46023</v>
      </c>
    </row>
    <row r="853" spans="1:1">
      <c r="A853" s="14">
        <v>46024</v>
      </c>
    </row>
    <row r="854" spans="1:1">
      <c r="A854" s="14">
        <v>46025</v>
      </c>
    </row>
    <row r="855" spans="1:1">
      <c r="A855" s="14">
        <v>46026</v>
      </c>
    </row>
    <row r="856" spans="1:1">
      <c r="A856" s="14">
        <v>46027</v>
      </c>
    </row>
    <row r="857" spans="1:1">
      <c r="A857" s="14">
        <v>46028</v>
      </c>
    </row>
    <row r="858" spans="1:1">
      <c r="A858" s="14">
        <v>46029</v>
      </c>
    </row>
    <row r="859" spans="1:1">
      <c r="A859" s="14">
        <v>46030</v>
      </c>
    </row>
    <row r="860" spans="1:1">
      <c r="A860" s="14">
        <v>46031</v>
      </c>
    </row>
    <row r="861" spans="1:1">
      <c r="A861" s="14">
        <v>46032</v>
      </c>
    </row>
    <row r="862" spans="1:1">
      <c r="A862" s="14">
        <v>46033</v>
      </c>
    </row>
    <row r="863" spans="1:1">
      <c r="A863" s="14">
        <v>46034</v>
      </c>
    </row>
    <row r="864" spans="1:1">
      <c r="A864" s="14">
        <v>46035</v>
      </c>
    </row>
    <row r="865" spans="1:1">
      <c r="A865" s="14">
        <v>46036</v>
      </c>
    </row>
    <row r="866" spans="1:1">
      <c r="A866" s="14">
        <v>46037</v>
      </c>
    </row>
    <row r="867" spans="1:1">
      <c r="A867" s="14">
        <v>46038</v>
      </c>
    </row>
    <row r="868" spans="1:1">
      <c r="A868" s="14">
        <v>46039</v>
      </c>
    </row>
    <row r="869" spans="1:1">
      <c r="A869" s="14">
        <v>46040</v>
      </c>
    </row>
    <row r="870" spans="1:1">
      <c r="A870" s="14">
        <v>46041</v>
      </c>
    </row>
    <row r="871" spans="1:1">
      <c r="A871" s="14">
        <v>46042</v>
      </c>
    </row>
    <row r="872" spans="1:1">
      <c r="A872" s="14">
        <v>46043</v>
      </c>
    </row>
    <row r="873" spans="1:1">
      <c r="A873" s="14">
        <v>46044</v>
      </c>
    </row>
    <row r="874" spans="1:1">
      <c r="A874" s="14">
        <v>46045</v>
      </c>
    </row>
    <row r="875" spans="1:1">
      <c r="A875" s="14">
        <v>46046</v>
      </c>
    </row>
    <row r="876" spans="1:1">
      <c r="A876" s="14">
        <v>46047</v>
      </c>
    </row>
    <row r="877" spans="1:1">
      <c r="A877" s="14">
        <v>46048</v>
      </c>
    </row>
    <row r="878" spans="1:1">
      <c r="A878" s="14">
        <v>46049</v>
      </c>
    </row>
    <row r="879" spans="1:1">
      <c r="A879" s="14">
        <v>46050</v>
      </c>
    </row>
    <row r="880" spans="1:1">
      <c r="A880" s="14">
        <v>46051</v>
      </c>
    </row>
    <row r="881" spans="1:1">
      <c r="A881" s="14">
        <v>46052</v>
      </c>
    </row>
    <row r="882" spans="1:1">
      <c r="A882" s="14">
        <v>46053</v>
      </c>
    </row>
    <row r="883" spans="1:1">
      <c r="A883" s="14">
        <v>46054</v>
      </c>
    </row>
    <row r="884" spans="1:1">
      <c r="A884" s="14">
        <v>46055</v>
      </c>
    </row>
    <row r="885" spans="1:1">
      <c r="A885" s="14">
        <v>46056</v>
      </c>
    </row>
    <row r="886" spans="1:1">
      <c r="A886" s="14">
        <v>46057</v>
      </c>
    </row>
    <row r="887" spans="1:1">
      <c r="A887" s="14">
        <v>46058</v>
      </c>
    </row>
    <row r="888" spans="1:1">
      <c r="A888" s="14">
        <v>46059</v>
      </c>
    </row>
    <row r="889" spans="1:1">
      <c r="A889" s="14">
        <v>46060</v>
      </c>
    </row>
    <row r="890" spans="1:1">
      <c r="A890" s="14">
        <v>46061</v>
      </c>
    </row>
    <row r="891" spans="1:1">
      <c r="A891" s="14">
        <v>46062</v>
      </c>
    </row>
    <row r="892" spans="1:1">
      <c r="A892" s="14">
        <v>46063</v>
      </c>
    </row>
    <row r="893" spans="1:1">
      <c r="A893" s="14">
        <v>46064</v>
      </c>
    </row>
    <row r="894" spans="1:1">
      <c r="A894" s="14">
        <v>46065</v>
      </c>
    </row>
    <row r="895" spans="1:1">
      <c r="A895" s="14">
        <v>46066</v>
      </c>
    </row>
    <row r="896" spans="1:1">
      <c r="A896" s="14">
        <v>46067</v>
      </c>
    </row>
    <row r="897" spans="1:1">
      <c r="A897" s="14">
        <v>46068</v>
      </c>
    </row>
    <row r="898" spans="1:1">
      <c r="A898" s="14">
        <v>46069</v>
      </c>
    </row>
    <row r="899" spans="1:1">
      <c r="A899" s="14">
        <v>46070</v>
      </c>
    </row>
    <row r="900" spans="1:1">
      <c r="A900" s="14">
        <v>46071</v>
      </c>
    </row>
    <row r="901" spans="1:1">
      <c r="A901" s="14">
        <v>46072</v>
      </c>
    </row>
    <row r="902" spans="1:1">
      <c r="A902" s="14">
        <v>46073</v>
      </c>
    </row>
    <row r="903" spans="1:1">
      <c r="A903" s="14">
        <v>46074</v>
      </c>
    </row>
    <row r="904" spans="1:1">
      <c r="A904" s="14">
        <v>46075</v>
      </c>
    </row>
    <row r="905" spans="1:1">
      <c r="A905" s="14">
        <v>46076</v>
      </c>
    </row>
    <row r="906" spans="1:1">
      <c r="A906" s="14">
        <v>46077</v>
      </c>
    </row>
    <row r="907" spans="1:1">
      <c r="A907" s="14">
        <v>46078</v>
      </c>
    </row>
    <row r="908" spans="1:1">
      <c r="A908" s="14">
        <v>46079</v>
      </c>
    </row>
    <row r="909" spans="1:1">
      <c r="A909" s="14">
        <v>46080</v>
      </c>
    </row>
    <row r="910" spans="1:1">
      <c r="A910" s="14">
        <v>46081</v>
      </c>
    </row>
    <row r="911" spans="1:1">
      <c r="A911" s="14">
        <v>46082</v>
      </c>
    </row>
    <row r="912" spans="1:1">
      <c r="A912" s="14">
        <v>46083</v>
      </c>
    </row>
    <row r="913" spans="1:1">
      <c r="A913" s="14">
        <v>46084</v>
      </c>
    </row>
    <row r="914" spans="1:1">
      <c r="A914" s="14">
        <v>46085</v>
      </c>
    </row>
    <row r="915" spans="1:1">
      <c r="A915" s="14">
        <v>46086</v>
      </c>
    </row>
    <row r="916" spans="1:1">
      <c r="A916" s="14">
        <v>46087</v>
      </c>
    </row>
    <row r="917" spans="1:1">
      <c r="A917" s="14">
        <v>46088</v>
      </c>
    </row>
    <row r="918" spans="1:1">
      <c r="A918" s="14">
        <v>46089</v>
      </c>
    </row>
    <row r="919" spans="1:1">
      <c r="A919" s="14">
        <v>46090</v>
      </c>
    </row>
    <row r="920" spans="1:1">
      <c r="A920" s="14">
        <v>46091</v>
      </c>
    </row>
    <row r="921" spans="1:1">
      <c r="A921" s="14">
        <v>46092</v>
      </c>
    </row>
    <row r="922" spans="1:1">
      <c r="A922" s="14">
        <v>46093</v>
      </c>
    </row>
    <row r="923" spans="1:1">
      <c r="A923" s="14">
        <v>46094</v>
      </c>
    </row>
    <row r="924" spans="1:1">
      <c r="A924" s="14">
        <v>46095</v>
      </c>
    </row>
    <row r="925" spans="1:1">
      <c r="A925" s="14">
        <v>46096</v>
      </c>
    </row>
    <row r="926" spans="1:1">
      <c r="A926" s="14">
        <v>46097</v>
      </c>
    </row>
    <row r="927" spans="1:1">
      <c r="A927" s="14">
        <v>46098</v>
      </c>
    </row>
    <row r="928" spans="1:1">
      <c r="A928" s="14">
        <v>46099</v>
      </c>
    </row>
    <row r="929" spans="1:1">
      <c r="A929" s="14">
        <v>46100</v>
      </c>
    </row>
    <row r="930" spans="1:1">
      <c r="A930" s="14">
        <v>46101</v>
      </c>
    </row>
    <row r="931" spans="1:1">
      <c r="A931" s="14">
        <v>46102</v>
      </c>
    </row>
    <row r="932" spans="1:1">
      <c r="A932" s="14">
        <v>46103</v>
      </c>
    </row>
    <row r="933" spans="1:1">
      <c r="A933" s="14">
        <v>46104</v>
      </c>
    </row>
    <row r="934" spans="1:1">
      <c r="A934" s="14">
        <v>46105</v>
      </c>
    </row>
    <row r="935" spans="1:1">
      <c r="A935" s="14">
        <v>46106</v>
      </c>
    </row>
    <row r="936" spans="1:1">
      <c r="A936" s="14">
        <v>46107</v>
      </c>
    </row>
    <row r="937" spans="1:1">
      <c r="A937" s="14">
        <v>46108</v>
      </c>
    </row>
    <row r="938" spans="1:1">
      <c r="A938" s="14">
        <v>46109</v>
      </c>
    </row>
    <row r="939" spans="1:1">
      <c r="A939" s="14">
        <v>46110</v>
      </c>
    </row>
    <row r="940" spans="1:1">
      <c r="A940" s="14">
        <v>46111</v>
      </c>
    </row>
    <row r="941" spans="1:1">
      <c r="A941" s="14">
        <v>46112</v>
      </c>
    </row>
    <row r="942" spans="1:1">
      <c r="A942" s="14">
        <v>46113</v>
      </c>
    </row>
    <row r="943" spans="1:1">
      <c r="A943" s="14">
        <v>46114</v>
      </c>
    </row>
    <row r="944" spans="1:1">
      <c r="A944" s="14">
        <v>46115</v>
      </c>
    </row>
    <row r="945" spans="1:1">
      <c r="A945" s="14">
        <v>46116</v>
      </c>
    </row>
    <row r="946" spans="1:1">
      <c r="A946" s="14">
        <v>46117</v>
      </c>
    </row>
    <row r="947" spans="1:1">
      <c r="A947" s="14">
        <v>46118</v>
      </c>
    </row>
    <row r="948" spans="1:1">
      <c r="A948" s="14">
        <v>46119</v>
      </c>
    </row>
    <row r="949" spans="1:1">
      <c r="A949" s="14">
        <v>46120</v>
      </c>
    </row>
    <row r="950" spans="1:1">
      <c r="A950" s="14">
        <v>46121</v>
      </c>
    </row>
    <row r="951" spans="1:1">
      <c r="A951" s="14">
        <v>46122</v>
      </c>
    </row>
    <row r="952" spans="1:1">
      <c r="A952" s="14">
        <v>46123</v>
      </c>
    </row>
    <row r="953" spans="1:1">
      <c r="A953" s="14">
        <v>46124</v>
      </c>
    </row>
    <row r="954" spans="1:1">
      <c r="A954" s="14">
        <v>46125</v>
      </c>
    </row>
    <row r="955" spans="1:1">
      <c r="A955" s="14">
        <v>46126</v>
      </c>
    </row>
    <row r="956" spans="1:1">
      <c r="A956" s="14">
        <v>46127</v>
      </c>
    </row>
    <row r="957" spans="1:1">
      <c r="A957" s="14">
        <v>46128</v>
      </c>
    </row>
    <row r="958" spans="1:1">
      <c r="A958" s="14">
        <v>46129</v>
      </c>
    </row>
    <row r="959" spans="1:1">
      <c r="A959" s="14">
        <v>46130</v>
      </c>
    </row>
    <row r="960" spans="1:1">
      <c r="A960" s="14">
        <v>46131</v>
      </c>
    </row>
    <row r="961" spans="1:1">
      <c r="A961" s="14">
        <v>46132</v>
      </c>
    </row>
    <row r="962" spans="1:1">
      <c r="A962" s="14">
        <v>46133</v>
      </c>
    </row>
    <row r="963" spans="1:1">
      <c r="A963" s="14">
        <v>46134</v>
      </c>
    </row>
    <row r="964" spans="1:1">
      <c r="A964" s="14">
        <v>46135</v>
      </c>
    </row>
    <row r="965" spans="1:1">
      <c r="A965" s="14">
        <v>46136</v>
      </c>
    </row>
    <row r="966" spans="1:1">
      <c r="A966" s="14">
        <v>46137</v>
      </c>
    </row>
    <row r="967" spans="1:1">
      <c r="A967" s="14">
        <v>46138</v>
      </c>
    </row>
    <row r="968" spans="1:1">
      <c r="A968" s="14">
        <v>46139</v>
      </c>
    </row>
    <row r="969" spans="1:1">
      <c r="A969" s="14">
        <v>46140</v>
      </c>
    </row>
    <row r="970" spans="1:1">
      <c r="A970" s="14">
        <v>46141</v>
      </c>
    </row>
    <row r="971" spans="1:1">
      <c r="A971" s="14">
        <v>46142</v>
      </c>
    </row>
    <row r="972" spans="1:1">
      <c r="A972" s="14">
        <v>46143</v>
      </c>
    </row>
    <row r="973" spans="1:1">
      <c r="A973" s="14">
        <v>46144</v>
      </c>
    </row>
    <row r="974" spans="1:1">
      <c r="A974" s="14">
        <v>46145</v>
      </c>
    </row>
    <row r="975" spans="1:1">
      <c r="A975" s="14">
        <v>46146</v>
      </c>
    </row>
    <row r="976" spans="1:1">
      <c r="A976" s="14">
        <v>46147</v>
      </c>
    </row>
    <row r="977" spans="1:1">
      <c r="A977" s="14">
        <v>46148</v>
      </c>
    </row>
    <row r="978" spans="1:1">
      <c r="A978" s="14">
        <v>46149</v>
      </c>
    </row>
    <row r="979" spans="1:1">
      <c r="A979" s="14">
        <v>46150</v>
      </c>
    </row>
    <row r="980" spans="1:1">
      <c r="A980" s="14">
        <v>46151</v>
      </c>
    </row>
    <row r="981" spans="1:1">
      <c r="A981" s="14">
        <v>46152</v>
      </c>
    </row>
    <row r="982" spans="1:1">
      <c r="A982" s="14">
        <v>46153</v>
      </c>
    </row>
    <row r="983" spans="1:1">
      <c r="A983" s="14">
        <v>46154</v>
      </c>
    </row>
    <row r="984" spans="1:1">
      <c r="A984" s="14">
        <v>46155</v>
      </c>
    </row>
    <row r="985" spans="1:1">
      <c r="A985" s="14">
        <v>46156</v>
      </c>
    </row>
    <row r="986" spans="1:1">
      <c r="A986" s="14">
        <v>46157</v>
      </c>
    </row>
    <row r="987" spans="1:1">
      <c r="A987" s="14">
        <v>46158</v>
      </c>
    </row>
    <row r="988" spans="1:1">
      <c r="A988" s="14">
        <v>46159</v>
      </c>
    </row>
    <row r="989" spans="1:1">
      <c r="A989" s="14">
        <v>46160</v>
      </c>
    </row>
    <row r="990" spans="1:1">
      <c r="A990" s="14">
        <v>46161</v>
      </c>
    </row>
    <row r="991" spans="1:1">
      <c r="A991" s="14">
        <v>46162</v>
      </c>
    </row>
    <row r="992" spans="1:1">
      <c r="A992" s="14">
        <v>46163</v>
      </c>
    </row>
    <row r="993" spans="1:1">
      <c r="A993" s="14">
        <v>46164</v>
      </c>
    </row>
    <row r="994" spans="1:1">
      <c r="A994" s="14">
        <v>46165</v>
      </c>
    </row>
    <row r="995" spans="1:1">
      <c r="A995" s="14">
        <v>46166</v>
      </c>
    </row>
    <row r="996" spans="1:1">
      <c r="A996" s="14">
        <v>46167</v>
      </c>
    </row>
    <row r="997" spans="1:1">
      <c r="A997" s="14">
        <v>46168</v>
      </c>
    </row>
    <row r="998" spans="1:1">
      <c r="A998" s="14">
        <v>46169</v>
      </c>
    </row>
    <row r="999" spans="1:1">
      <c r="A999" s="14">
        <v>46170</v>
      </c>
    </row>
    <row r="1000" spans="1:1">
      <c r="A1000" s="14">
        <v>46171</v>
      </c>
    </row>
    <row r="1001" spans="1:1">
      <c r="A1001" s="14">
        <v>46172</v>
      </c>
    </row>
    <row r="1002" spans="1:1">
      <c r="A1002" s="14">
        <v>46173</v>
      </c>
    </row>
    <row r="1003" spans="1:1">
      <c r="A1003" s="14">
        <v>46174</v>
      </c>
    </row>
    <row r="1004" spans="1:1">
      <c r="A1004" s="14">
        <v>46175</v>
      </c>
    </row>
    <row r="1005" spans="1:1">
      <c r="A1005" s="14">
        <v>46176</v>
      </c>
    </row>
    <row r="1006" spans="1:1">
      <c r="A1006" s="14">
        <v>46177</v>
      </c>
    </row>
    <row r="1007" spans="1:1">
      <c r="A1007" s="14">
        <v>46178</v>
      </c>
    </row>
    <row r="1008" spans="1:1">
      <c r="A1008" s="14">
        <v>46179</v>
      </c>
    </row>
    <row r="1009" spans="1:1">
      <c r="A1009" s="14">
        <v>46180</v>
      </c>
    </row>
    <row r="1010" spans="1:1">
      <c r="A1010" s="14">
        <v>46181</v>
      </c>
    </row>
    <row r="1011" spans="1:1">
      <c r="A1011" s="14">
        <v>46182</v>
      </c>
    </row>
    <row r="1012" spans="1:1">
      <c r="A1012" s="14">
        <v>46183</v>
      </c>
    </row>
    <row r="1013" spans="1:1">
      <c r="A1013" s="14">
        <v>46184</v>
      </c>
    </row>
    <row r="1014" spans="1:1">
      <c r="A1014" s="14">
        <v>46185</v>
      </c>
    </row>
    <row r="1015" spans="1:1">
      <c r="A1015" s="14">
        <v>46186</v>
      </c>
    </row>
    <row r="1016" spans="1:1">
      <c r="A1016" s="14">
        <v>46187</v>
      </c>
    </row>
    <row r="1017" spans="1:1">
      <c r="A1017" s="14">
        <v>46188</v>
      </c>
    </row>
    <row r="1018" spans="1:1">
      <c r="A1018" s="14">
        <v>46189</v>
      </c>
    </row>
    <row r="1019" spans="1:1">
      <c r="A1019" s="14">
        <v>46190</v>
      </c>
    </row>
    <row r="1020" spans="1:1">
      <c r="A1020" s="14">
        <v>46191</v>
      </c>
    </row>
    <row r="1021" spans="1:1">
      <c r="A1021" s="14">
        <v>46192</v>
      </c>
    </row>
    <row r="1022" spans="1:1">
      <c r="A1022" s="14">
        <v>46193</v>
      </c>
    </row>
    <row r="1023" spans="1:1">
      <c r="A1023" s="14">
        <v>46194</v>
      </c>
    </row>
    <row r="1024" spans="1:1">
      <c r="A1024" s="14">
        <v>46195</v>
      </c>
    </row>
    <row r="1025" spans="1:1">
      <c r="A1025" s="14">
        <v>46196</v>
      </c>
    </row>
    <row r="1026" spans="1:1">
      <c r="A1026" s="14">
        <v>46197</v>
      </c>
    </row>
    <row r="1027" spans="1:1">
      <c r="A1027" s="14">
        <v>46198</v>
      </c>
    </row>
    <row r="1028" spans="1:1">
      <c r="A1028" s="14">
        <v>46199</v>
      </c>
    </row>
    <row r="1029" spans="1:1">
      <c r="A1029" s="14">
        <v>46200</v>
      </c>
    </row>
    <row r="1030" spans="1:1">
      <c r="A1030" s="14">
        <v>46201</v>
      </c>
    </row>
    <row r="1031" spans="1:1">
      <c r="A1031" s="14">
        <v>46202</v>
      </c>
    </row>
    <row r="1032" spans="1:1">
      <c r="A1032" s="14">
        <v>46203</v>
      </c>
    </row>
    <row r="1033" spans="1:1">
      <c r="A1033" s="14">
        <v>46204</v>
      </c>
    </row>
    <row r="1034" spans="1:1">
      <c r="A1034" s="14">
        <v>46205</v>
      </c>
    </row>
    <row r="1035" spans="1:1">
      <c r="A1035" s="14">
        <v>46206</v>
      </c>
    </row>
    <row r="1036" spans="1:1">
      <c r="A1036" s="14">
        <v>46207</v>
      </c>
    </row>
    <row r="1037" spans="1:1">
      <c r="A1037" s="14">
        <v>46208</v>
      </c>
    </row>
    <row r="1038" spans="1:1">
      <c r="A1038" s="14">
        <v>46209</v>
      </c>
    </row>
    <row r="1039" spans="1:1">
      <c r="A1039" s="14">
        <v>46210</v>
      </c>
    </row>
    <row r="1040" spans="1:1">
      <c r="A1040" s="14">
        <v>46211</v>
      </c>
    </row>
    <row r="1041" spans="1:1">
      <c r="A1041" s="14">
        <v>46212</v>
      </c>
    </row>
    <row r="1042" spans="1:1">
      <c r="A1042" s="14">
        <v>46213</v>
      </c>
    </row>
    <row r="1043" spans="1:1">
      <c r="A1043" s="14">
        <v>46214</v>
      </c>
    </row>
    <row r="1044" spans="1:1">
      <c r="A1044" s="14">
        <v>46215</v>
      </c>
    </row>
    <row r="1045" spans="1:1">
      <c r="A1045" s="14">
        <v>46216</v>
      </c>
    </row>
    <row r="1046" spans="1:1">
      <c r="A1046" s="14">
        <v>46217</v>
      </c>
    </row>
    <row r="1047" spans="1:1">
      <c r="A1047" s="14">
        <v>46218</v>
      </c>
    </row>
    <row r="1048" spans="1:1">
      <c r="A1048" s="14">
        <v>46219</v>
      </c>
    </row>
    <row r="1049" spans="1:1">
      <c r="A1049" s="14">
        <v>46220</v>
      </c>
    </row>
    <row r="1050" spans="1:1">
      <c r="A1050" s="14">
        <v>46221</v>
      </c>
    </row>
    <row r="1051" spans="1:1">
      <c r="A1051" s="14">
        <v>46222</v>
      </c>
    </row>
    <row r="1052" spans="1:1">
      <c r="A1052" s="14">
        <v>46223</v>
      </c>
    </row>
    <row r="1053" spans="1:1">
      <c r="A1053" s="14">
        <v>46224</v>
      </c>
    </row>
    <row r="1054" spans="1:1">
      <c r="A1054" s="14">
        <v>46225</v>
      </c>
    </row>
    <row r="1055" spans="1:1">
      <c r="A1055" s="14">
        <v>46226</v>
      </c>
    </row>
    <row r="1056" spans="1:1">
      <c r="A1056" s="14">
        <v>46227</v>
      </c>
    </row>
    <row r="1057" spans="1:1">
      <c r="A1057" s="14">
        <v>46228</v>
      </c>
    </row>
    <row r="1058" spans="1:1">
      <c r="A1058" s="14">
        <v>46229</v>
      </c>
    </row>
    <row r="1059" spans="1:1">
      <c r="A1059" s="14">
        <v>46230</v>
      </c>
    </row>
    <row r="1060" spans="1:1">
      <c r="A1060" s="14">
        <v>46231</v>
      </c>
    </row>
    <row r="1061" spans="1:1">
      <c r="A1061" s="14">
        <v>46232</v>
      </c>
    </row>
    <row r="1062" spans="1:1">
      <c r="A1062" s="14">
        <v>46233</v>
      </c>
    </row>
    <row r="1063" spans="1:1">
      <c r="A1063" s="14">
        <v>46234</v>
      </c>
    </row>
    <row r="1064" spans="1:1">
      <c r="A1064" s="14">
        <v>46235</v>
      </c>
    </row>
    <row r="1065" spans="1:1">
      <c r="A1065" s="14">
        <v>46236</v>
      </c>
    </row>
    <row r="1066" spans="1:1">
      <c r="A1066" s="14">
        <v>46237</v>
      </c>
    </row>
    <row r="1067" spans="1:1">
      <c r="A1067" s="14">
        <v>46238</v>
      </c>
    </row>
    <row r="1068" spans="1:1">
      <c r="A1068" s="14">
        <v>46239</v>
      </c>
    </row>
    <row r="1069" spans="1:1">
      <c r="A1069" s="14">
        <v>46240</v>
      </c>
    </row>
    <row r="1070" spans="1:1">
      <c r="A1070" s="14">
        <v>46241</v>
      </c>
    </row>
    <row r="1071" spans="1:1">
      <c r="A1071" s="14">
        <v>46242</v>
      </c>
    </row>
    <row r="1072" spans="1:1">
      <c r="A1072" s="14">
        <v>46243</v>
      </c>
    </row>
    <row r="1073" spans="1:1">
      <c r="A1073" s="14">
        <v>46244</v>
      </c>
    </row>
    <row r="1074" spans="1:1">
      <c r="A1074" s="14">
        <v>46245</v>
      </c>
    </row>
    <row r="1075" spans="1:1">
      <c r="A1075" s="14">
        <v>46246</v>
      </c>
    </row>
    <row r="1076" spans="1:1">
      <c r="A1076" s="14">
        <v>46247</v>
      </c>
    </row>
    <row r="1077" spans="1:1">
      <c r="A1077" s="14">
        <v>46248</v>
      </c>
    </row>
    <row r="1078" spans="1:1">
      <c r="A1078" s="14">
        <v>46249</v>
      </c>
    </row>
    <row r="1079" spans="1:1">
      <c r="A1079" s="14">
        <v>46250</v>
      </c>
    </row>
    <row r="1080" spans="1:1">
      <c r="A1080" s="14">
        <v>46251</v>
      </c>
    </row>
    <row r="1081" spans="1:1">
      <c r="A1081" s="14">
        <v>46252</v>
      </c>
    </row>
    <row r="1082" spans="1:1">
      <c r="A1082" s="14">
        <v>46253</v>
      </c>
    </row>
    <row r="1083" spans="1:1">
      <c r="A1083" s="14">
        <v>46254</v>
      </c>
    </row>
    <row r="1084" spans="1:1">
      <c r="A1084" s="14">
        <v>46255</v>
      </c>
    </row>
    <row r="1085" spans="1:1">
      <c r="A1085" s="14">
        <v>46256</v>
      </c>
    </row>
    <row r="1086" spans="1:1">
      <c r="A1086" s="14">
        <v>46257</v>
      </c>
    </row>
    <row r="1087" spans="1:1">
      <c r="A1087" s="14">
        <v>46258</v>
      </c>
    </row>
    <row r="1088" spans="1:1">
      <c r="A1088" s="14">
        <v>46259</v>
      </c>
    </row>
    <row r="1089" spans="1:1">
      <c r="A1089" s="14">
        <v>46260</v>
      </c>
    </row>
    <row r="1090" spans="1:1">
      <c r="A1090" s="14">
        <v>46261</v>
      </c>
    </row>
    <row r="1091" spans="1:1">
      <c r="A1091" s="14">
        <v>46262</v>
      </c>
    </row>
    <row r="1092" spans="1:1">
      <c r="A1092" s="14">
        <v>46263</v>
      </c>
    </row>
    <row r="1093" spans="1:1">
      <c r="A1093" s="14">
        <v>46264</v>
      </c>
    </row>
    <row r="1094" spans="1:1">
      <c r="A1094" s="14">
        <v>46265</v>
      </c>
    </row>
    <row r="1095" spans="1:1">
      <c r="A1095" s="14">
        <v>46266</v>
      </c>
    </row>
    <row r="1096" spans="1:1">
      <c r="A1096" s="14">
        <v>46267</v>
      </c>
    </row>
    <row r="1097" spans="1:1">
      <c r="A1097" s="14">
        <v>46268</v>
      </c>
    </row>
    <row r="1098" spans="1:1">
      <c r="A1098" s="14">
        <v>46269</v>
      </c>
    </row>
    <row r="1099" spans="1:1">
      <c r="A1099" s="14">
        <v>46270</v>
      </c>
    </row>
    <row r="1100" spans="1:1">
      <c r="A1100" s="14">
        <v>46271</v>
      </c>
    </row>
    <row r="1101" spans="1:1">
      <c r="A1101" s="14">
        <v>46272</v>
      </c>
    </row>
    <row r="1102" spans="1:1">
      <c r="A1102" s="14">
        <v>46273</v>
      </c>
    </row>
    <row r="1103" spans="1:1">
      <c r="A1103" s="14">
        <v>46274</v>
      </c>
    </row>
    <row r="1104" spans="1:1">
      <c r="A1104" s="14">
        <v>46275</v>
      </c>
    </row>
    <row r="1105" spans="1:1">
      <c r="A1105" s="14">
        <v>46276</v>
      </c>
    </row>
    <row r="1106" spans="1:1">
      <c r="A1106" s="14">
        <v>46277</v>
      </c>
    </row>
    <row r="1107" spans="1:1">
      <c r="A1107" s="14">
        <v>46278</v>
      </c>
    </row>
    <row r="1108" spans="1:1">
      <c r="A1108" s="14">
        <v>46279</v>
      </c>
    </row>
    <row r="1109" spans="1:1">
      <c r="A1109" s="14">
        <v>46280</v>
      </c>
    </row>
    <row r="1110" spans="1:1">
      <c r="A1110" s="14">
        <v>46281</v>
      </c>
    </row>
    <row r="1111" spans="1:1">
      <c r="A1111" s="14">
        <v>46282</v>
      </c>
    </row>
    <row r="1112" spans="1:1">
      <c r="A1112" s="14">
        <v>46283</v>
      </c>
    </row>
    <row r="1113" spans="1:1">
      <c r="A1113" s="14">
        <v>46284</v>
      </c>
    </row>
  </sheetData>
  <conditionalFormatting sqref="B2:B1113">
    <cfRule type="cellIs" dxfId="28" priority="19" operator="equal">
      <formula>"Ja"</formula>
    </cfRule>
    <cfRule type="cellIs" dxfId="27" priority="29" operator="equal">
      <formula>"Ja"</formula>
    </cfRule>
    <cfRule type="cellIs" dxfId="26" priority="30" operator="equal">
      <formula>"Nein"</formula>
    </cfRule>
  </conditionalFormatting>
  <conditionalFormatting sqref="C2:C1113">
    <cfRule type="cellIs" dxfId="25" priority="16" operator="equal">
      <formula>"Ja"</formula>
    </cfRule>
    <cfRule type="cellIs" dxfId="24" priority="17" operator="equal">
      <formula>"Ja"</formula>
    </cfRule>
    <cfRule type="cellIs" dxfId="23" priority="18" operator="equal">
      <formula>"Nein"</formula>
    </cfRule>
  </conditionalFormatting>
  <conditionalFormatting sqref="D2:D83">
    <cfRule type="cellIs" dxfId="22" priority="21" operator="equal">
      <formula>1</formula>
    </cfRule>
    <cfRule type="cellIs" dxfId="21" priority="22" operator="equal">
      <formula>0.8</formula>
    </cfRule>
    <cfRule type="cellIs" dxfId="20" priority="23" operator="equal">
      <formula>0.6</formula>
    </cfRule>
    <cfRule type="cellIs" dxfId="19" priority="24" operator="equal">
      <formula>0.4</formula>
    </cfRule>
    <cfRule type="cellIs" dxfId="18" priority="25" operator="equal">
      <formula>0.2</formula>
    </cfRule>
    <cfRule type="cellIs" dxfId="17" priority="26" operator="equal">
      <formula>0</formula>
    </cfRule>
  </conditionalFormatting>
  <conditionalFormatting sqref="L2:L10">
    <cfRule type="cellIs" dxfId="16" priority="7" operator="equal">
      <formula>"Ja"</formula>
    </cfRule>
    <cfRule type="cellIs" dxfId="15" priority="14" operator="equal">
      <formula>"Ja"</formula>
    </cfRule>
    <cfRule type="cellIs" dxfId="14" priority="15" operator="equal">
      <formula>"Nein"</formula>
    </cfRule>
  </conditionalFormatting>
  <conditionalFormatting sqref="M2:M10">
    <cfRule type="cellIs" dxfId="13" priority="4" operator="equal">
      <formula>"Ja"</formula>
    </cfRule>
    <cfRule type="cellIs" dxfId="12" priority="5" operator="equal">
      <formula>"Ja"</formula>
    </cfRule>
    <cfRule type="cellIs" dxfId="11" priority="6" operator="equal">
      <formula>"Nein"</formula>
    </cfRule>
  </conditionalFormatting>
  <conditionalFormatting sqref="N2:N41">
    <cfRule type="cellIs" dxfId="10" priority="8" operator="equal">
      <formula>1</formula>
    </cfRule>
    <cfRule type="cellIs" dxfId="9" priority="9" operator="equal">
      <formula>0.8</formula>
    </cfRule>
    <cfRule type="cellIs" dxfId="8" priority="10" operator="equal">
      <formula>0.6</formula>
    </cfRule>
    <cfRule type="cellIs" dxfId="7" priority="11" operator="equal">
      <formula>0.4</formula>
    </cfRule>
    <cfRule type="cellIs" dxfId="6" priority="12" operator="equal">
      <formula>0.2</formula>
    </cfRule>
    <cfRule type="cellIs" dxfId="5" priority="13" operator="equal">
      <formula>0</formula>
    </cfRule>
  </conditionalFormatting>
  <conditionalFormatting sqref="V2:V1113">
    <cfRule type="cellIs" dxfId="4" priority="1" operator="equal">
      <formula>"Ja"</formula>
    </cfRule>
    <cfRule type="cellIs" dxfId="3" priority="2" operator="equal">
      <formula>"Ja"</formula>
    </cfRule>
    <cfRule type="cellIs" dxfId="2" priority="3" operator="equal">
      <formula>"Nein"</formula>
    </cfRule>
  </conditionalFormatting>
  <dataValidations count="2">
    <dataValidation type="list" allowBlank="1" showInputMessage="1" showErrorMessage="1" sqref="B2:C1113 L2:M10 V2:V1113" xr:uid="{7FDD2772-70A7-4C43-8D43-0112E4DB6845}">
      <formula1>"Ja,Nein"</formula1>
    </dataValidation>
    <dataValidation type="list" allowBlank="1" showInputMessage="1" showErrorMessage="1" sqref="D2:D83 N2:N41"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sheetPr codeName="Tabelle21"/>
  <dimension ref="A1:H47"/>
  <sheetViews>
    <sheetView topLeftCell="B1"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6BE1-4627-45A3-A208-3CE62293E8B2}">
  <sheetPr codeName="Tabelle26"/>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0B67C-875F-4A0C-B9C6-7F477201E416}">
  <sheetPr codeName="Tabelle5"/>
  <dimension ref="A1:H47"/>
  <sheetViews>
    <sheetView zoomScale="117" workbookViewId="0">
      <selection activeCell="I22" sqref="I22"/>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F9741-A0F3-4BFB-81F1-8604B8B9226E}">
  <sheetPr codeName="Tabelle6"/>
  <dimension ref="A1:H47"/>
  <sheetViews>
    <sheetView zoomScale="117" workbookViewId="0">
      <selection activeCell="C8" sqref="C8"/>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F55B-D26F-4977-B199-579B0FB9C51A}">
  <sheetPr codeName="Tabelle28"/>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0BCB1-14F2-4F03-89B8-BD784CA25ECF}">
  <sheetPr codeName="Tabelle27"/>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A862A-B3AB-485D-ADC1-86B11E0B9B47}">
  <sheetPr codeName="Tabelle7"/>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85F-8701-4022-81C7-AEE86FFA43AA}">
  <sheetPr codeName="Tabelle8"/>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67980-12FD-406A-A750-355DCDEFF505}">
  <sheetPr codeName="Tabelle9"/>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66E74-1C79-40CB-94D2-589F8FCCCC1F}">
  <sheetPr codeName="Tabelle10"/>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51A1-E363-425D-A4A7-DD4DD5ECE424}">
  <sheetPr codeName="Tabelle12"/>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82075-44FA-401F-95D5-43E72330BF75}">
  <sheetPr codeName="Tabelle13"/>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781E7-8B05-45D4-86ED-9DA9128C1BB3}">
  <sheetPr codeName="Tabelle14"/>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0F07F-A00E-4DA1-B215-BFE21C0E8CAE}">
  <sheetPr codeName="Tabelle15"/>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BC1E-B290-4128-A8AA-C13D2462E5FF}">
  <sheetPr codeName="Tabelle16"/>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6DDEE-A760-479D-AFCD-A4DC7A7D6CC3}">
  <sheetPr codeName="Tabelle17"/>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D7F1-9CA2-4F59-A0E9-371CDDFC9492}">
  <sheetPr codeName="Tabelle18"/>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53FB8-51E6-4175-BF28-A2097CFD6F62}">
  <sheetPr codeName="Tabelle19"/>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30611-DF6C-4969-AFAD-A946BFFC697B}">
  <sheetPr codeName="Tabelle20"/>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AFA09-8975-4731-B4BC-ABCD975821F7}">
  <sheetPr codeName="Tabelle22"/>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A5F3-268E-4890-B3A2-2CADB65FD4D1}">
  <sheetPr codeName="Tabelle23"/>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66399-0800-4640-9B74-1CC0F7B0711C}">
  <sheetPr codeName="Tabelle24"/>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9B07-2413-4083-8A55-5ED6DEA6EC90}">
  <sheetPr codeName="Tabelle25"/>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7D30D-4407-4525-B2D0-B907074330DE}">
  <sheetPr codeName="Tabelle29"/>
  <dimension ref="A1:H47"/>
  <sheetViews>
    <sheetView zoomScale="117" workbookViewId="0">
      <selection activeCell="C9" sqref="C9:C16"/>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4EDD5-ED66-4107-8DC1-2599ED5B8B6B}">
  <sheetPr codeName="Tabelle30"/>
  <dimension ref="A1:H47"/>
  <sheetViews>
    <sheetView zoomScale="117" workbookViewId="0">
      <selection activeCell="C8" sqref="C8"/>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B7883-090A-48CB-BA4A-1CACCFF602C3}">
  <sheetPr codeName="Tabelle31"/>
  <dimension ref="A1:H47"/>
  <sheetViews>
    <sheetView zoomScale="117" workbookViewId="0">
      <selection activeCell="C8" sqref="C8"/>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30</vt:i4>
      </vt:variant>
    </vt:vector>
  </HeadingPairs>
  <TitlesOfParts>
    <vt:vector size="30" baseType="lpstr">
      <vt:lpstr>ANLEITUNG</vt:lpstr>
      <vt:lpstr>Semesterplan</vt:lpstr>
      <vt:lpstr>Best-Practices</vt:lpstr>
      <vt:lpstr>COMMITTMENT</vt:lpstr>
      <vt:lpstr>Wochenplan KW 40</vt:lpstr>
      <vt:lpstr>Wochenplan KW 41</vt:lpstr>
      <vt:lpstr>Wochenplan KW 42</vt:lpstr>
      <vt:lpstr>Wochenplan KW 43</vt:lpstr>
      <vt:lpstr>Wochenplan KW 44</vt:lpstr>
      <vt:lpstr>Wochenplan KW 45</vt:lpstr>
      <vt:lpstr>Wochenplan KW 46 </vt:lpstr>
      <vt:lpstr>Wochenplan KW 47</vt:lpstr>
      <vt:lpstr>Wochenplan KW 48</vt:lpstr>
      <vt:lpstr>Wochenplan KW 49</vt:lpstr>
      <vt:lpstr>Wochenplan KW 50</vt:lpstr>
      <vt:lpstr>Wochenplan KW 51</vt:lpstr>
      <vt:lpstr>Wochenplan KW 52</vt:lpstr>
      <vt:lpstr>Wochenplan KW 1</vt:lpstr>
      <vt:lpstr>Wochenplan KW 2</vt:lpstr>
      <vt:lpstr>Wochenplan KW 3</vt:lpstr>
      <vt:lpstr>Wochenplan KW 4</vt:lpstr>
      <vt:lpstr>Wochenplan KW 5</vt:lpstr>
      <vt:lpstr>Wochenplan KW 6</vt:lpstr>
      <vt:lpstr>Wochenplan KW 7</vt:lpstr>
      <vt:lpstr>Wochenplan KW 8</vt:lpstr>
      <vt:lpstr>Wochenplan KW 9</vt:lpstr>
      <vt:lpstr>Wochenplan KW 10</vt:lpstr>
      <vt:lpstr>Wochenplan KW 11</vt:lpstr>
      <vt:lpstr>Wochenplan KW 12</vt:lpstr>
      <vt:lpstr>Wochenplan KW 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Tim Becker</cp:lastModifiedBy>
  <dcterms:created xsi:type="dcterms:W3CDTF">2020-04-19T13:33:28Z</dcterms:created>
  <dcterms:modified xsi:type="dcterms:W3CDTF">2023-10-01T12:42:56Z</dcterms:modified>
</cp:coreProperties>
</file>