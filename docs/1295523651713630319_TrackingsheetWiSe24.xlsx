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zulue\Desktop\"/>
    </mc:Choice>
  </mc:AlternateContent>
  <xr:revisionPtr revIDLastSave="0" documentId="8_{6731A6E3-4BF4-4B44-A10A-102635447408}" xr6:coauthVersionLast="47" xr6:coauthVersionMax="47" xr10:uidLastSave="{00000000-0000-0000-0000-000000000000}"/>
  <bookViews>
    <workbookView xWindow="-120" yWindow="-120" windowWidth="29040" windowHeight="15840" xr2:uid="{50F29292-BE80-0C47-A0D2-DD086CB3D310}"/>
  </bookViews>
  <sheets>
    <sheet name="ANLEITUNG" sheetId="10" r:id="rId1"/>
    <sheet name="Semesterplan" sheetId="7" r:id="rId2"/>
    <sheet name="Best-Practices" sheetId="2" r:id="rId3"/>
    <sheet name="COMMITTMENT" sheetId="9" r:id="rId4"/>
    <sheet name="Wochenplan KW 42"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R4" i="7" l="1"/>
  <c r="K67" i="7" a="1"/>
  <c r="K67" i="7" s="1"/>
  <c r="J67" i="7" a="1"/>
  <c r="J67" i="7" s="1"/>
  <c r="I67" i="7"/>
  <c r="K66" i="7" a="1"/>
  <c r="K66" i="7" s="1"/>
  <c r="J66" i="7" a="1"/>
  <c r="J66" i="7" s="1"/>
  <c r="I66" i="7"/>
  <c r="K65" i="7" a="1"/>
  <c r="K65" i="7" s="1"/>
  <c r="J65" i="7" a="1"/>
  <c r="J65" i="7" s="1"/>
  <c r="I65" i="7"/>
  <c r="K64" i="7" a="1"/>
  <c r="K64" i="7" s="1"/>
  <c r="J64" i="7" a="1"/>
  <c r="J64" i="7" s="1"/>
  <c r="I64" i="7"/>
  <c r="K63" i="7" a="1"/>
  <c r="K63" i="7" s="1"/>
  <c r="J63" i="7" a="1"/>
  <c r="J63" i="7" s="1"/>
  <c r="I63" i="7"/>
  <c r="K49" i="7" a="1"/>
  <c r="K49" i="7" s="1"/>
  <c r="J49" i="7" a="1"/>
  <c r="J49" i="7" s="1"/>
  <c r="I49" i="7"/>
  <c r="K48" i="7" a="1"/>
  <c r="K48" i="7" s="1"/>
  <c r="J48" i="7" a="1"/>
  <c r="J48" i="7" s="1"/>
  <c r="I48" i="7"/>
  <c r="K47" i="7" a="1"/>
  <c r="K47" i="7" s="1"/>
  <c r="J47" i="7" a="1"/>
  <c r="J47" i="7" s="1"/>
  <c r="I47" i="7"/>
  <c r="K21" i="7" a="1"/>
  <c r="K21" i="7" s="1"/>
  <c r="J21" i="7" a="1"/>
  <c r="J21" i="7" s="1"/>
  <c r="I21" i="7"/>
  <c r="K20" i="7" a="1"/>
  <c r="K20" i="7" s="1"/>
  <c r="J20" i="7" a="1"/>
  <c r="J20" i="7" s="1"/>
  <c r="I20" i="7"/>
  <c r="K19" i="7" a="1"/>
  <c r="K19" i="7" s="1"/>
  <c r="J19" i="7" a="1"/>
  <c r="J19" i="7" s="1"/>
  <c r="I19" i="7"/>
  <c r="K18" i="7" a="1"/>
  <c r="K18" i="7" s="1"/>
  <c r="J18" i="7" a="1"/>
  <c r="J18" i="7" s="1"/>
  <c r="I18" i="7"/>
  <c r="K17" i="7" a="1"/>
  <c r="K17" i="7" s="1"/>
  <c r="J17" i="7" a="1"/>
  <c r="J17" i="7" s="1"/>
  <c r="I17" i="7"/>
  <c r="K16" i="7" a="1"/>
  <c r="K16" i="7" s="1"/>
  <c r="J16" i="7" a="1"/>
  <c r="J16" i="7" s="1"/>
  <c r="I16" i="7"/>
  <c r="K15" i="7" a="1"/>
  <c r="K15" i="7" s="1"/>
  <c r="J15" i="7" a="1"/>
  <c r="J15" i="7" s="1"/>
  <c r="I15" i="7"/>
  <c r="K14" i="7" a="1"/>
  <c r="K14" i="7" s="1"/>
  <c r="J14" i="7" a="1"/>
  <c r="J14" i="7" s="1"/>
  <c r="I14" i="7"/>
  <c r="K13" i="7" a="1"/>
  <c r="K13" i="7" s="1"/>
  <c r="J13" i="7" a="1"/>
  <c r="J13" i="7" s="1"/>
  <c r="I13" i="7"/>
  <c r="K12" i="7" a="1"/>
  <c r="K12" i="7" s="1"/>
  <c r="J12" i="7" a="1"/>
  <c r="J12" i="7" s="1"/>
  <c r="I12" i="7"/>
  <c r="K11" i="7" a="1"/>
  <c r="K11" i="7" s="1"/>
  <c r="J11" i="7" a="1"/>
  <c r="J11" i="7" s="1"/>
  <c r="I11" i="7"/>
  <c r="K10" i="7" a="1"/>
  <c r="K10" i="7" s="1"/>
  <c r="J10" i="7" a="1"/>
  <c r="J10" i="7" s="1"/>
  <c r="I10" i="7"/>
  <c r="K28" i="7" a="1"/>
  <c r="K28" i="7" s="1"/>
  <c r="J28" i="7" a="1"/>
  <c r="J28" i="7" s="1"/>
  <c r="I28" i="7"/>
  <c r="K27" i="7" a="1"/>
  <c r="K27" i="7" s="1"/>
  <c r="J27" i="7" a="1"/>
  <c r="J27" i="7" s="1"/>
  <c r="I27" i="7"/>
  <c r="K26" i="7" a="1"/>
  <c r="K26" i="7" s="1"/>
  <c r="J26" i="7" a="1"/>
  <c r="J26" i="7" s="1"/>
  <c r="I26" i="7"/>
  <c r="K25" i="7" a="1"/>
  <c r="K25" i="7" s="1"/>
  <c r="J25" i="7" a="1"/>
  <c r="J25" i="7" s="1"/>
  <c r="I25" i="7"/>
  <c r="G24" i="7"/>
  <c r="EQ4" i="7"/>
  <c r="EJ4" i="7"/>
  <c r="EC4" i="7"/>
  <c r="DV4" i="7"/>
  <c r="DO4" i="7"/>
  <c r="DH4" i="7"/>
  <c r="DA4" i="7"/>
  <c r="K76" i="7" a="1"/>
  <c r="K76" i="7" s="1"/>
  <c r="J76" i="7" a="1"/>
  <c r="J76" i="7" s="1"/>
  <c r="I76" i="7"/>
  <c r="K75" i="7" a="1"/>
  <c r="K75" i="7" s="1"/>
  <c r="J75" i="7" a="1"/>
  <c r="J75" i="7" s="1"/>
  <c r="I75" i="7"/>
  <c r="K74" i="7" a="1"/>
  <c r="K74" i="7" s="1"/>
  <c r="J74" i="7" a="1"/>
  <c r="J74" i="7" s="1"/>
  <c r="I74" i="7"/>
  <c r="K73" i="7" a="1"/>
  <c r="K73" i="7" s="1"/>
  <c r="J73" i="7" a="1"/>
  <c r="J73" i="7" s="1"/>
  <c r="I73" i="7"/>
  <c r="K72" i="7" a="1"/>
  <c r="K72" i="7" s="1"/>
  <c r="J72" i="7" a="1"/>
  <c r="J72" i="7" s="1"/>
  <c r="I72" i="7"/>
  <c r="K71" i="7" a="1"/>
  <c r="K71" i="7" s="1"/>
  <c r="J71" i="7" a="1"/>
  <c r="J71" i="7" s="1"/>
  <c r="I71" i="7"/>
  <c r="G70" i="7"/>
  <c r="CT4" i="7"/>
  <c r="CM4" i="7"/>
  <c r="CF4" i="7"/>
  <c r="BY4"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K57" i="7" a="1"/>
  <c r="K57" i="7" s="1"/>
  <c r="J57" i="7" a="1"/>
  <c r="J57" i="7" s="1"/>
  <c r="I57" i="7"/>
  <c r="K56" i="7" a="1"/>
  <c r="K56" i="7" s="1"/>
  <c r="J56" i="7" a="1"/>
  <c r="J56" i="7" s="1"/>
  <c r="I56" i="7"/>
  <c r="K55" i="7" a="1"/>
  <c r="K55" i="7" s="1"/>
  <c r="J55" i="7" a="1"/>
  <c r="J55" i="7" s="1"/>
  <c r="I55" i="7"/>
  <c r="K54" i="7" a="1"/>
  <c r="K54" i="7" s="1"/>
  <c r="J54" i="7" a="1"/>
  <c r="J54" i="7" s="1"/>
  <c r="I54" i="7"/>
  <c r="G53" i="7"/>
  <c r="K51" i="7" a="1"/>
  <c r="K51" i="7" s="1"/>
  <c r="J51" i="7" a="1"/>
  <c r="J51" i="7" s="1"/>
  <c r="I51" i="7"/>
  <c r="K50" i="7" a="1"/>
  <c r="K50" i="7" s="1"/>
  <c r="J50" i="7" a="1"/>
  <c r="J50" i="7" s="1"/>
  <c r="I50" i="7"/>
  <c r="K46" i="7" a="1"/>
  <c r="K46" i="7" s="1"/>
  <c r="J46" i="7" a="1"/>
  <c r="J46" i="7" s="1"/>
  <c r="I46" i="7"/>
  <c r="K45" i="7" a="1"/>
  <c r="K45" i="7" s="1"/>
  <c r="J45" i="7" a="1"/>
  <c r="J45" i="7" s="1"/>
  <c r="I45" i="7"/>
  <c r="K44" i="7" a="1"/>
  <c r="K44" i="7" s="1"/>
  <c r="J44" i="7" a="1"/>
  <c r="J44" i="7" s="1"/>
  <c r="I44" i="7"/>
  <c r="K43" i="7" a="1"/>
  <c r="K43" i="7" s="1"/>
  <c r="J43" i="7" a="1"/>
  <c r="J43" i="7" s="1"/>
  <c r="I43" i="7"/>
  <c r="K42" i="7" a="1"/>
  <c r="K42" i="7" s="1"/>
  <c r="J42" i="7" a="1"/>
  <c r="J42" i="7" s="1"/>
  <c r="I42" i="7"/>
  <c r="G41" i="7"/>
  <c r="BK4" i="7"/>
  <c r="C12" i="10"/>
  <c r="K30" i="7" a="1"/>
  <c r="K30" i="7" s="1"/>
  <c r="J30" i="7" a="1"/>
  <c r="J30" i="7" s="1"/>
  <c r="K29" i="7" a="1"/>
  <c r="K29" i="7" s="1"/>
  <c r="J29" i="7" a="1"/>
  <c r="J29" i="7" s="1"/>
  <c r="K39" i="7" a="1"/>
  <c r="K39" i="7" s="1"/>
  <c r="J39" i="7" a="1"/>
  <c r="J39" i="7" s="1"/>
  <c r="K38" i="7" a="1"/>
  <c r="K38" i="7" s="1"/>
  <c r="J38" i="7" a="1"/>
  <c r="J38" i="7" s="1"/>
  <c r="K37" i="7" a="1"/>
  <c r="K37" i="7" s="1"/>
  <c r="J37" i="7" a="1"/>
  <c r="J37" i="7" s="1"/>
  <c r="K36" i="7" a="1"/>
  <c r="K36" i="7" s="1"/>
  <c r="J36" i="7" a="1"/>
  <c r="J36" i="7" s="1"/>
  <c r="K35" i="7" a="1"/>
  <c r="K35" i="7" s="1"/>
  <c r="J35" i="7" a="1"/>
  <c r="J35" i="7" s="1"/>
  <c r="K34" i="7" a="1"/>
  <c r="K34" i="7" s="1"/>
  <c r="J34" i="7" a="1"/>
  <c r="J34" i="7" s="1"/>
  <c r="K33" i="7" a="1"/>
  <c r="K33" i="7" s="1"/>
  <c r="J33" i="7" a="1"/>
  <c r="J33" i="7" s="1"/>
  <c r="K22" i="7" a="1"/>
  <c r="K22" i="7" s="1"/>
  <c r="J22" i="7" a="1"/>
  <c r="J22" i="7" s="1"/>
  <c r="K9" i="7" a="1"/>
  <c r="K9" i="7" s="1"/>
  <c r="J9" i="7" a="1"/>
  <c r="J9" i="7" s="1"/>
  <c r="K8" i="7" a="1"/>
  <c r="K8" i="7" s="1"/>
  <c r="J8" i="7" a="1"/>
  <c r="J8" i="7" s="1"/>
  <c r="K7" i="7" a="1"/>
  <c r="K7" i="7" s="1"/>
  <c r="J7" i="7" a="1"/>
  <c r="J7" i="7" s="1"/>
  <c r="K6" i="7" a="1"/>
  <c r="K6" i="7" s="1"/>
  <c r="J6" i="7" a="1"/>
  <c r="J6" i="7" s="1"/>
  <c r="K5" i="7" a="1"/>
  <c r="K5" i="7" s="1"/>
  <c r="J5" i="7" a="1"/>
  <c r="J5" i="7" s="1"/>
  <c r="BD4" i="7"/>
  <c r="AW4" i="7"/>
  <c r="AP4" i="7"/>
  <c r="AI4" i="7"/>
  <c r="AB4" i="7"/>
  <c r="U4" i="7"/>
  <c r="N4" i="7"/>
  <c r="G4" i="7"/>
  <c r="I39" i="7"/>
  <c r="I38" i="7"/>
  <c r="I37" i="7"/>
  <c r="I36" i="7"/>
  <c r="I35" i="7"/>
  <c r="I34" i="7"/>
  <c r="I33" i="7"/>
  <c r="I30" i="7"/>
  <c r="I29" i="7"/>
  <c r="I6" i="7"/>
  <c r="I7" i="7"/>
  <c r="I8" i="7"/>
  <c r="I9" i="7"/>
  <c r="I22" i="7"/>
  <c r="I5" i="7"/>
  <c r="G32" i="7"/>
  <c r="I24" i="7" l="1"/>
  <c r="K24" i="7"/>
  <c r="J24" i="7"/>
  <c r="I70" i="7"/>
  <c r="J70" i="7"/>
  <c r="K70" i="7"/>
  <c r="I53" i="7"/>
  <c r="I41" i="7"/>
  <c r="J53" i="7"/>
  <c r="K53" i="7"/>
  <c r="K41" i="7"/>
  <c r="J41" i="7"/>
  <c r="I32" i="7"/>
  <c r="J32" i="7"/>
  <c r="K32"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<sst xmlns="http://schemas.openxmlformats.org/spreadsheetml/2006/main" count="434" uniqueCount="177">
  <si>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</si>
  <si>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</si>
  <si>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</si>
  <si>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</si>
  <si>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</si>
  <si>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</si>
  <si>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</si>
  <si>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</si>
  <si>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</si>
  <si>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</si>
  <si>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</si>
  <si>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</si>
  <si>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</si>
  <si>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</si>
  <si>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</si>
  <si>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</si>
  <si>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</si>
  <si>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</si>
  <si>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</si>
  <si>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</si>
  <si>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</si>
  <si>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</si>
  <si>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</si>
  <si>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</si>
  <si>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</si>
  <si>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</si>
  <si>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</si>
  <si>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</si>
  <si>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</si>
  <si>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</si>
  <si>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</si>
  <si>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</si>
  <si>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</si>
  <si>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</si>
  <si>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</si>
  <si>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</si>
  <si>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</si>
  <si>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</si>
  <si>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</si>
  <si>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</si>
  <si>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</si>
  <si>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</si>
  <si>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</si>
  <si>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</si>
  <si>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</si>
  <si>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</si>
  <si>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</si>
  <si>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</si>
  <si>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</si>
  <si>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</si>
  <si>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</si>
  <si>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</si>
  <si>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</si>
  <si>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</si>
  <si>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</si>
  <si>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</si>
  <si>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</si>
  <si>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</si>
  <si>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</si>
  <si>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</si>
  <si>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</si>
  <si>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</si>
  <si>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</si>
  <si>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</si>
  <si>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</si>
  <si>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</si>
  <si>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</si>
  <si>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</si>
  <si>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</si>
  <si>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</si>
  <si>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</si>
  <si>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</si>
  <si>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</si>
  <si>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</si>
  <si>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</si>
  <si>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</si>
  <si>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</si>
  <si>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</si>
  <si>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</si>
  <si>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</si>
  <si>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</si>
  <si>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</si>
  <si>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</si>
  <si>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</si>
  <si>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</si>
  <si>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</si>
  <si>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</si>
  <si>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</si>
  <si>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Mikroökonomie1</t>
  </si>
  <si>
    <t>Strategy&amp;Leadership 1</t>
  </si>
  <si>
    <t>Makroökonomie</t>
  </si>
  <si>
    <t>Accounting&amp;Finance</t>
  </si>
  <si>
    <t>Mathe 1</t>
  </si>
  <si>
    <t>Statistik 1</t>
  </si>
  <si>
    <t>KW 42</t>
  </si>
  <si>
    <t>KW 43</t>
  </si>
  <si>
    <t>KW 44</t>
  </si>
  <si>
    <t>KW 45</t>
  </si>
  <si>
    <t>KW 46</t>
  </si>
  <si>
    <t>KW 47</t>
  </si>
  <si>
    <t>KW 48</t>
  </si>
  <si>
    <t>KW 49</t>
  </si>
  <si>
    <t>KW 50</t>
  </si>
  <si>
    <t>KW 51</t>
  </si>
  <si>
    <t>KW 52</t>
  </si>
  <si>
    <t>KW 1</t>
  </si>
  <si>
    <t>KW 2</t>
  </si>
  <si>
    <t>KW 5</t>
  </si>
  <si>
    <t>KW 6</t>
  </si>
  <si>
    <t>KW 7</t>
  </si>
  <si>
    <t>Klausurenwoche 2</t>
  </si>
  <si>
    <t>Klausurenwoche 1</t>
  </si>
  <si>
    <t>70% Klausurenwoche 1</t>
  </si>
  <si>
    <t>70% Klausurenwoche 2</t>
  </si>
  <si>
    <t>2) Makroökonomische Daten und Volkswirtschaftliche
Gesamtrechnung</t>
  </si>
  <si>
    <t>3) Der Gütermarkt</t>
  </si>
  <si>
    <t>4) Finanzmärkte</t>
  </si>
  <si>
    <t xml:space="preserve">5) Gleichgewicht auf Güter- und Finanzmärkten:
das IS-LM-Modell </t>
  </si>
  <si>
    <t>6)  Makroökonomie einer offenen VW</t>
  </si>
  <si>
    <t>7) Unterschiedliche Wechselkursregime</t>
  </si>
  <si>
    <t>1) The Principles and Practices of Economics</t>
  </si>
  <si>
    <t>2) Economic Methods and Economic Questions</t>
  </si>
  <si>
    <t>3) Optimization: Doing the best you can</t>
  </si>
  <si>
    <t>4) Demand Supply and Equilibrium</t>
  </si>
  <si>
    <t>5) Consumers and Incentives</t>
  </si>
  <si>
    <t>6) Sellers Incentives</t>
  </si>
  <si>
    <t>7) Perfect Competition and the invisible hand</t>
  </si>
  <si>
    <t>8) Trade</t>
  </si>
  <si>
    <t>9) Externalities and Public Goods</t>
  </si>
  <si>
    <t>10) Government in Economy: Taxation and Regulation</t>
  </si>
  <si>
    <t>11) Markets for Factors of Production</t>
  </si>
  <si>
    <t>12) Monopoly</t>
  </si>
  <si>
    <t>13) Game Theory and Strategic Play</t>
  </si>
  <si>
    <t>14)Oligopoly and Monopolistic Competition</t>
  </si>
  <si>
    <t>15) Tradeoffs involving time and Risk</t>
  </si>
  <si>
    <t>16) Economics of Information</t>
  </si>
  <si>
    <t>17) Auctions and Bargaining</t>
  </si>
  <si>
    <t>18) Social Economics</t>
  </si>
  <si>
    <t>1) Gegenstand der BWL</t>
  </si>
  <si>
    <t>2) Unternehmensziele und Unternehmensführung</t>
  </si>
  <si>
    <t>3) Konstitutive Entscheidungen: insbesondere Rechtsformwahl, Standortentscheidungen,
Unternehmenszusammenschlüsse</t>
  </si>
  <si>
    <t>4) Grundlagen der Organisationsgestaltung</t>
  </si>
  <si>
    <t>5) Grundlagen der Personalführung</t>
  </si>
  <si>
    <t>6) Grundlagen des Personalmanagements</t>
  </si>
  <si>
    <t>Buchführung</t>
  </si>
  <si>
    <t>1) Die Gründung</t>
  </si>
  <si>
    <t>2) Der Wareneinkauf</t>
  </si>
  <si>
    <t>3) Die Eisherstellung</t>
  </si>
  <si>
    <t>4) Die Eröffnung</t>
  </si>
  <si>
    <t>5) Die Preisnachlässe</t>
  </si>
  <si>
    <t>6) Die Buchung zum Monatsende</t>
  </si>
  <si>
    <t>7) Die Privatentnahme und Privateinlage</t>
  </si>
  <si>
    <t>8) Die dunklen Wolken am Himmel (???)</t>
  </si>
  <si>
    <t>9) Die jahresabschlussbuchungen</t>
  </si>
  <si>
    <t>10) Das neue Geschäftsjahr</t>
  </si>
  <si>
    <t>1) Einleitung</t>
  </si>
  <si>
    <t>2) Mathe Basics</t>
  </si>
  <si>
    <t>3) Finanzmathe: Zins- und Prozentrechnung</t>
  </si>
  <si>
    <t>4) Finanzmathe: Renten- und Tilgungsrechnung</t>
  </si>
  <si>
    <t>5) Funktionen mit einer Variablen</t>
  </si>
  <si>
    <t>6) Spezielle Funktionen</t>
  </si>
  <si>
    <t>7) Differentialgleichungen (Ableitungen)</t>
  </si>
  <si>
    <t>8) Extremwerte (Funktionen mit einer Variabel)</t>
  </si>
  <si>
    <t>9) Funktionen mit mehreren Variablen</t>
  </si>
  <si>
    <t>10) Partielle und totale Ableitung</t>
  </si>
  <si>
    <t>11) Differential</t>
  </si>
  <si>
    <t>12) Homogenität und Elastizität</t>
  </si>
  <si>
    <t>13) Extremwerte und Sattelpunkte</t>
  </si>
  <si>
    <t>14) Lagrange-Optimierung</t>
  </si>
  <si>
    <t>1) Phasen einer statistischen Analyse</t>
  </si>
  <si>
    <t>2) Daten und Merkmale</t>
  </si>
  <si>
    <t>3) Empirische Verteilungen - Einzel- und gruppierte Daten</t>
  </si>
  <si>
    <t>4) Empirische Verteilungen - klassierte Daten</t>
  </si>
  <si>
    <t>5) Exkurs: Summen- und Produktzeichen, Mittelwerte</t>
  </si>
  <si>
    <t>6) Parameter: Lage, Streuung, Schiefe</t>
  </si>
  <si>
    <t>Nein</t>
  </si>
  <si>
    <t>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</si>
</sst>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9">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xf numFmtId="0" fontId="0" fillId="7" borderId="0" xfId="0" applyFill="1"/>
    <xf numFmtId="0" fontId="0" fillId="8" borderId="0" xfId="0" applyFill="1"/>
  </cellXfs>
  <cellStyles count="1">
    <cellStyle name="Standard" xfId="0" builtinId="0"/>
  </cellStyles>
  <dxfs count="175">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74">
  <autoFilter ref="A1:K46" xr:uid="{6E266E34-2786-2747-BCE7-51B74867A564}"/>
  <tableColumns count="11">
    <tableColumn id="1" xr3:uid="{95FD92F7-3DC8-704D-A103-A7EDDAB255AB}" name="Datum" dataDxfId="173"/>
    <tableColumn id="2" xr3:uid="{F464D510-8166-E740-A343-FB84BDEF877F}" name="Lerneinheiten durchgezogen" dataDxfId="172"/>
    <tableColumn id="3" xr3:uid="{75F52B08-1A00-0848-BBE6-1EDF7B31B1AD}" name="Tagesplan erstellt" dataDxfId="171"/>
    <tableColumn id="4" xr3:uid="{E6B18D89-E799-AD48-9DAA-37AEE1D29011}" name="Konzentrationslevel" dataDxfId="17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abSelected="1" zoomScale="75" zoomScaleNormal="75" workbookViewId="0">
      <selection activeCell="AL47" sqref="AL47"/>
    </sheetView>
  </sheetViews>
  <sheetFormatPr baseColWidth="10" defaultRowHeight="15.75"/>
  <cols>
    <col min="1" max="1" width="11.875" customWidth="1"/>
    <col min="2" max="2" width="62.625" customWidth="1"/>
  </cols>
  <sheetData>
    <row r="2" spans="1:4">
      <c r="C2" s="18" t="s">
        <v>72</v>
      </c>
    </row>
    <row r="3" spans="1:4">
      <c r="C3" s="17" t="s">
        <v>57</v>
      </c>
    </row>
    <row r="4" spans="1:4">
      <c r="C4" s="16" t="s">
        <v>71</v>
      </c>
    </row>
    <row r="5" spans="1:4">
      <c r="A5" s="2" t="s">
        <v>54</v>
      </c>
      <c r="B5" s="2" t="s">
        <v>55</v>
      </c>
      <c r="C5" s="2" t="s">
        <v>56</v>
      </c>
      <c r="D5" s="2" t="s">
        <v>58</v>
      </c>
    </row>
    <row r="6" spans="1:4">
      <c r="A6" t="s">
        <v>50</v>
      </c>
      <c r="B6" s="18" t="s">
        <v>53</v>
      </c>
      <c r="D6" t="s">
        <v>87</v>
      </c>
    </row>
    <row r="7" spans="1:4">
      <c r="A7" t="s">
        <v>61</v>
      </c>
      <c r="B7" t="s">
        <v>62</v>
      </c>
      <c r="C7" s="16">
        <v>61</v>
      </c>
    </row>
    <row r="8" spans="1:4">
      <c r="A8" t="s">
        <v>52</v>
      </c>
      <c r="B8" s="18" t="s">
        <v>51</v>
      </c>
      <c r="D8" t="s">
        <v>75</v>
      </c>
    </row>
    <row r="9" spans="1:4">
      <c r="A9" t="s">
        <v>60</v>
      </c>
      <c r="B9" s="18" t="s">
        <v>73</v>
      </c>
      <c r="D9" t="s">
        <v>76</v>
      </c>
    </row>
    <row r="10" spans="1:4">
      <c r="A10" t="s">
        <v>64</v>
      </c>
      <c r="B10" t="s">
        <v>63</v>
      </c>
      <c r="C10" s="16">
        <v>13.5</v>
      </c>
      <c r="D10" t="s">
        <v>59</v>
      </c>
    </row>
    <row r="11" spans="1:4">
      <c r="A11" t="s">
        <v>65</v>
      </c>
      <c r="B11" t="s">
        <v>67</v>
      </c>
      <c r="C11" s="16">
        <v>183</v>
      </c>
      <c r="D11" t="s">
        <v>66</v>
      </c>
    </row>
    <row r="12" spans="1:4">
      <c r="A12" t="s">
        <v>69</v>
      </c>
      <c r="B12" t="s">
        <v>68</v>
      </c>
      <c r="C12" s="17">
        <f>C11/C10</f>
        <v>13.555555555555555</v>
      </c>
    </row>
    <row r="13" spans="1:4">
      <c r="A13" t="s">
        <v>74</v>
      </c>
      <c r="B13" t="s">
        <v>70</v>
      </c>
      <c r="D13" t="s">
        <v>77</v>
      </c>
    </row>
    <row r="14" spans="1:4">
      <c r="A14" t="s">
        <v>78</v>
      </c>
      <c r="B14" t="s">
        <v>79</v>
      </c>
      <c r="D14" t="s">
        <v>80</v>
      </c>
    </row>
    <row r="15" spans="1:4">
      <c r="A15" t="s">
        <v>81</v>
      </c>
      <c r="B15" s="18" t="s">
        <v>82</v>
      </c>
    </row>
    <row r="16" spans="1:4">
      <c r="A16" t="s">
        <v>85</v>
      </c>
      <c r="B16" s="18" t="s">
        <v>83</v>
      </c>
    </row>
    <row r="17" spans="1: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V76"/>
  <sheetViews>
    <sheetView showGridLines="0" zoomScale="69" zoomScaleNormal="69" workbookViewId="0">
      <pane xSplit="12" topLeftCell="M1" activePane="topRight" state="frozen"/>
      <selection pane="topRight" activeCell="U7" sqref="U7"/>
    </sheetView>
  </sheetViews>
  <sheetFormatPr baseColWidth="10" defaultColWidth="8.875" defaultRowHeight="15.75" outlineLevelRow="1"/>
  <cols>
    <col min="3" max="3" width="9.5" bestFit="1"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 min="113" max="113" width="12.5" bestFit="1" customWidth="1"/>
    <col min="114" max="114" width="6.375" customWidth="1"/>
    <col min="115" max="115" width="14.875" bestFit="1" customWidth="1"/>
    <col min="116" max="116" width="6" customWidth="1"/>
    <col min="117" max="117" width="12.625" bestFit="1" customWidth="1"/>
    <col min="118" max="118" width="2.5" customWidth="1"/>
    <col min="120" max="120" width="12.5" bestFit="1" customWidth="1"/>
    <col min="121" max="121" width="6.375" customWidth="1"/>
    <col min="122" max="122" width="14.875" bestFit="1" customWidth="1"/>
    <col min="123" max="123" width="6" customWidth="1"/>
    <col min="124" max="124" width="12.625" bestFit="1" customWidth="1"/>
    <col min="125" max="125" width="2.5" customWidth="1"/>
    <col min="127" max="127" width="12.5" bestFit="1" customWidth="1"/>
    <col min="128" max="128" width="6.375" customWidth="1"/>
    <col min="129" max="129" width="14.875" bestFit="1" customWidth="1"/>
    <col min="130" max="130" width="6" customWidth="1"/>
    <col min="131" max="131" width="12.625" bestFit="1" customWidth="1"/>
    <col min="132" max="132" width="2.5" customWidth="1"/>
    <col min="134" max="134" width="12.5" bestFit="1" customWidth="1"/>
    <col min="135" max="135" width="6.375" customWidth="1"/>
    <col min="136" max="136" width="14.875" bestFit="1" customWidth="1"/>
    <col min="137" max="137" width="6" customWidth="1"/>
    <col min="138" max="138" width="12.625" bestFit="1" customWidth="1"/>
    <col min="139" max="139" width="2.5" customWidth="1"/>
    <col min="141" max="141" width="12.5" bestFit="1" customWidth="1"/>
    <col min="142" max="142" width="6.375" customWidth="1"/>
    <col min="143" max="143" width="14.875" bestFit="1" customWidth="1"/>
    <col min="144" max="144" width="6" customWidth="1"/>
    <col min="145" max="145" width="12.625" bestFit="1" customWidth="1"/>
    <col min="146" max="146" width="2.5" customWidth="1"/>
    <col min="148" max="148" width="12.5" bestFit="1" customWidth="1"/>
    <col min="149" max="149" width="6.375" customWidth="1"/>
    <col min="150" max="150" width="14.875" bestFit="1" customWidth="1"/>
    <col min="151" max="151" width="6" customWidth="1"/>
    <col min="152" max="152" width="12.625" bestFit="1" customWidth="1"/>
  </cols>
  <sheetData>
    <row r="1" spans="2:152" ht="33.75">
      <c r="B1" s="4" t="s">
        <v>0</v>
      </c>
      <c r="D1" s="4"/>
      <c r="G1" s="13" t="s">
        <v>34</v>
      </c>
      <c r="I1" s="13" t="s">
        <v>34</v>
      </c>
      <c r="J1" s="13" t="s">
        <v>34</v>
      </c>
      <c r="K1" s="13" t="s">
        <v>34</v>
      </c>
    </row>
    <row r="2" spans="2:152">
      <c r="I2" s="20" t="s">
        <v>27</v>
      </c>
      <c r="J2" s="20"/>
      <c r="K2" s="20"/>
      <c r="L2" s="20"/>
      <c r="N2" s="20" t="s">
        <v>94</v>
      </c>
      <c r="O2" s="20"/>
      <c r="P2" s="20"/>
      <c r="Q2" s="20"/>
      <c r="R2" s="20"/>
      <c r="S2" s="20"/>
      <c r="U2" s="20" t="s">
        <v>95</v>
      </c>
      <c r="V2" s="20"/>
      <c r="W2" s="20"/>
      <c r="X2" s="20"/>
      <c r="Y2" s="20"/>
      <c r="Z2" s="20"/>
      <c r="AB2" s="20" t="s">
        <v>96</v>
      </c>
      <c r="AC2" s="20"/>
      <c r="AD2" s="20"/>
      <c r="AE2" s="20"/>
      <c r="AF2" s="20"/>
      <c r="AG2" s="20"/>
      <c r="AI2" s="20" t="s">
        <v>97</v>
      </c>
      <c r="AJ2" s="20"/>
      <c r="AK2" s="20"/>
      <c r="AL2" s="20"/>
      <c r="AM2" s="20"/>
      <c r="AN2" s="20"/>
      <c r="AP2" s="20" t="s">
        <v>98</v>
      </c>
      <c r="AQ2" s="20"/>
      <c r="AR2" s="20"/>
      <c r="AS2" s="20"/>
      <c r="AT2" s="20"/>
      <c r="AU2" s="20"/>
      <c r="AW2" s="20" t="s">
        <v>99</v>
      </c>
      <c r="AX2" s="20"/>
      <c r="AY2" s="20"/>
      <c r="AZ2" s="20"/>
      <c r="BA2" s="20"/>
      <c r="BB2" s="20"/>
      <c r="BD2" s="20" t="s">
        <v>100</v>
      </c>
      <c r="BE2" s="20"/>
      <c r="BF2" s="20"/>
      <c r="BG2" s="20"/>
      <c r="BH2" s="20"/>
      <c r="BI2" s="20"/>
      <c r="BK2" s="20" t="s">
        <v>101</v>
      </c>
      <c r="BL2" s="20"/>
      <c r="BM2" s="20"/>
      <c r="BN2" s="20"/>
      <c r="BO2" s="20"/>
      <c r="BP2" s="20"/>
      <c r="BR2" s="20" t="s">
        <v>102</v>
      </c>
      <c r="BS2" s="20"/>
      <c r="BT2" s="20"/>
      <c r="BU2" s="20"/>
      <c r="BV2" s="20"/>
      <c r="BW2" s="20"/>
      <c r="BY2" s="20" t="s">
        <v>103</v>
      </c>
      <c r="BZ2" s="20"/>
      <c r="CA2" s="20"/>
      <c r="CB2" s="20"/>
      <c r="CC2" s="20"/>
      <c r="CD2" s="20"/>
      <c r="CF2" s="20" t="s">
        <v>104</v>
      </c>
      <c r="CG2" s="20"/>
      <c r="CH2" s="20"/>
      <c r="CI2" s="20"/>
      <c r="CJ2" s="20"/>
      <c r="CK2" s="20"/>
      <c r="CM2" s="20" t="s">
        <v>105</v>
      </c>
      <c r="CN2" s="20"/>
      <c r="CO2" s="20"/>
      <c r="CP2" s="20"/>
      <c r="CQ2" s="20"/>
      <c r="CR2" s="20"/>
      <c r="CT2" s="20" t="s">
        <v>106</v>
      </c>
      <c r="CU2" s="20"/>
      <c r="CV2" s="20"/>
      <c r="CW2" s="20"/>
      <c r="CX2" s="20"/>
      <c r="CY2" s="20"/>
      <c r="DA2" s="20" t="s">
        <v>112</v>
      </c>
      <c r="DB2" s="20"/>
      <c r="DC2" s="20"/>
      <c r="DD2" s="20"/>
      <c r="DE2" s="20"/>
      <c r="DF2" s="20"/>
      <c r="DH2" s="20" t="s">
        <v>113</v>
      </c>
      <c r="DI2" s="20"/>
      <c r="DJ2" s="20"/>
      <c r="DK2" s="20"/>
      <c r="DL2" s="20"/>
      <c r="DM2" s="20"/>
      <c r="DO2" s="20" t="s">
        <v>107</v>
      </c>
      <c r="DP2" s="20"/>
      <c r="DQ2" s="20"/>
      <c r="DR2" s="20"/>
      <c r="DS2" s="20"/>
      <c r="DT2" s="20"/>
      <c r="DV2" s="20" t="s">
        <v>108</v>
      </c>
      <c r="DW2" s="20"/>
      <c r="DX2" s="20"/>
      <c r="DY2" s="20"/>
      <c r="DZ2" s="20"/>
      <c r="EA2" s="20"/>
      <c r="EC2" s="20" t="s">
        <v>109</v>
      </c>
      <c r="ED2" s="20"/>
      <c r="EE2" s="20"/>
      <c r="EF2" s="20"/>
      <c r="EG2" s="20"/>
      <c r="EH2" s="20"/>
      <c r="EJ2" s="20" t="s">
        <v>111</v>
      </c>
      <c r="EK2" s="20"/>
      <c r="EL2" s="20"/>
      <c r="EM2" s="20"/>
      <c r="EN2" s="20"/>
      <c r="EO2" s="20"/>
      <c r="EQ2" s="20" t="s">
        <v>110</v>
      </c>
      <c r="ER2" s="20"/>
      <c r="ES2" s="20"/>
      <c r="ET2" s="20"/>
      <c r="EU2" s="20"/>
      <c r="EV2" s="20"/>
    </row>
    <row r="3" spans="2:15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c r="DO3" s="5" t="s">
        <v>11</v>
      </c>
      <c r="DP3" s="5" t="s">
        <v>2</v>
      </c>
      <c r="DQ3" s="5" t="s">
        <v>33</v>
      </c>
      <c r="DR3" s="5" t="s">
        <v>3</v>
      </c>
      <c r="DS3" s="5" t="s">
        <v>33</v>
      </c>
      <c r="DT3" s="5" t="s">
        <v>12</v>
      </c>
      <c r="DV3" s="5" t="s">
        <v>11</v>
      </c>
      <c r="DW3" s="5" t="s">
        <v>2</v>
      </c>
      <c r="DX3" s="5" t="s">
        <v>33</v>
      </c>
      <c r="DY3" s="5" t="s">
        <v>3</v>
      </c>
      <c r="DZ3" s="5" t="s">
        <v>33</v>
      </c>
      <c r="EA3" s="5" t="s">
        <v>12</v>
      </c>
      <c r="EC3" s="5" t="s">
        <v>11</v>
      </c>
      <c r="ED3" s="5" t="s">
        <v>2</v>
      </c>
      <c r="EE3" s="5" t="s">
        <v>33</v>
      </c>
      <c r="EF3" s="5" t="s">
        <v>3</v>
      </c>
      <c r="EG3" s="5" t="s">
        <v>33</v>
      </c>
      <c r="EH3" s="5" t="s">
        <v>12</v>
      </c>
      <c r="EJ3" s="5" t="s">
        <v>11</v>
      </c>
      <c r="EK3" s="5" t="s">
        <v>2</v>
      </c>
      <c r="EL3" s="5" t="s">
        <v>33</v>
      </c>
      <c r="EM3" s="5" t="s">
        <v>3</v>
      </c>
      <c r="EN3" s="5" t="s">
        <v>33</v>
      </c>
      <c r="EO3" s="5" t="s">
        <v>12</v>
      </c>
      <c r="EQ3" s="5" t="s">
        <v>11</v>
      </c>
      <c r="ER3" s="5" t="s">
        <v>2</v>
      </c>
      <c r="ES3" s="5" t="s">
        <v>33</v>
      </c>
      <c r="ET3" s="5" t="s">
        <v>3</v>
      </c>
      <c r="EU3" s="5" t="s">
        <v>33</v>
      </c>
      <c r="EV3" s="5" t="s">
        <v>12</v>
      </c>
    </row>
    <row r="4" spans="2:152">
      <c r="B4" t="s">
        <v>27</v>
      </c>
      <c r="C4" t="s">
        <v>88</v>
      </c>
      <c r="D4" s="19">
        <v>45705</v>
      </c>
      <c r="E4" s="9">
        <v>6</v>
      </c>
      <c r="G4" s="10">
        <f>+SUM(G5:G22)</f>
        <v>1.6000000000000003</v>
      </c>
      <c r="I4" s="12">
        <f>+SUM(I5:I22)</f>
        <v>42</v>
      </c>
      <c r="J4" s="11">
        <f>+SUMPRODUCT(G5:G22,J5:J22)</f>
        <v>0</v>
      </c>
      <c r="K4" s="11">
        <f>+SUMPRODUCT(G5:G22,K5:K22)</f>
        <v>0</v>
      </c>
      <c r="L4" s="9"/>
      <c r="N4" s="12">
        <f>+SUM(N5:N22)</f>
        <v>0</v>
      </c>
      <c r="U4" s="12">
        <f>+SUM(U5:U22)</f>
        <v>4</v>
      </c>
      <c r="AB4" s="12">
        <f>+SUM(AB5:AB22)</f>
        <v>4</v>
      </c>
      <c r="AI4" s="12">
        <f>+SUM(AI5:AI22)</f>
        <v>4</v>
      </c>
      <c r="AP4" s="12">
        <f>+SUM(AP5:AP22)</f>
        <v>4</v>
      </c>
      <c r="AW4" s="12">
        <f>+SUM(AW5:AW22)</f>
        <v>4</v>
      </c>
      <c r="BD4" s="12">
        <f>+SUM(BD5:BD22)</f>
        <v>4</v>
      </c>
      <c r="BK4" s="12">
        <f>+SUM(BK5:BK22)</f>
        <v>3</v>
      </c>
      <c r="BR4" s="12">
        <f>+SUM(BR5:BR22)</f>
        <v>4</v>
      </c>
      <c r="BY4" s="12">
        <f>+SUM(BY5:BY22)</f>
        <v>4</v>
      </c>
      <c r="CF4" s="12">
        <f>+SUM(CF5:CF22)</f>
        <v>4</v>
      </c>
      <c r="CM4" s="12">
        <f>+SUM(CM5:CM22)</f>
        <v>3</v>
      </c>
      <c r="CT4" s="12">
        <f>+SUM(CT5:CT22)</f>
        <v>0</v>
      </c>
      <c r="DA4" s="12">
        <f>+SUM(DA5:DA22)</f>
        <v>0</v>
      </c>
      <c r="DH4" s="12">
        <f>+SUM(DH5:DH22)</f>
        <v>0</v>
      </c>
      <c r="DO4" s="12">
        <f>+SUM(DO5:DO22)</f>
        <v>0</v>
      </c>
      <c r="DV4" s="12">
        <f>+SUM(DV5:DV22)</f>
        <v>0</v>
      </c>
      <c r="EC4" s="12">
        <f>+SUM(EC5:EC22)</f>
        <v>0</v>
      </c>
      <c r="EJ4" s="12">
        <f>+SUM(EJ5:EJ22)</f>
        <v>0</v>
      </c>
      <c r="EQ4" s="12">
        <f>+SUM(EQ5:EQ22)</f>
        <v>0</v>
      </c>
    </row>
    <row r="5" spans="2:152" ht="15.75" customHeight="1" outlineLevel="1">
      <c r="B5" t="s">
        <v>28</v>
      </c>
      <c r="C5" t="s">
        <v>88</v>
      </c>
      <c r="E5" s="9"/>
      <c r="F5" t="s">
        <v>120</v>
      </c>
      <c r="G5" s="10">
        <v>0.1</v>
      </c>
      <c r="I5" s="9">
        <f>+SUMIF($N$3:$ZZ$3,I$3,$N5:$ZZ5)</f>
        <v>2</v>
      </c>
      <c r="J5" s="11" cm="1">
        <f t="array" ref="J5">MAX(IF($N$3:$EH$3=$J$3,N5:EH5))</f>
        <v>0</v>
      </c>
      <c r="K5" s="11" cm="1">
        <f t="array" ref="K5">MAX(IF($N$3:$EH$3=$J$3,N5:EH5))</f>
        <v>0</v>
      </c>
      <c r="L5" s="9"/>
      <c r="O5" s="10"/>
      <c r="P5" s="10">
        <v>0.5</v>
      </c>
      <c r="Q5" s="10"/>
      <c r="R5" s="10">
        <v>0.5</v>
      </c>
      <c r="U5">
        <v>1</v>
      </c>
      <c r="V5" s="10"/>
      <c r="W5" s="10">
        <v>0.8</v>
      </c>
      <c r="X5" s="10"/>
      <c r="Y5" s="10">
        <v>0.8</v>
      </c>
      <c r="AC5" s="10"/>
      <c r="AD5" s="10">
        <v>0.8</v>
      </c>
      <c r="AE5" s="10"/>
      <c r="AF5" s="10">
        <v>0.8</v>
      </c>
      <c r="AJ5" s="10"/>
      <c r="AK5" s="10">
        <v>0.8</v>
      </c>
      <c r="AL5" s="10"/>
      <c r="AM5" s="10">
        <v>0.8</v>
      </c>
      <c r="AQ5" s="10"/>
      <c r="AR5" s="10">
        <v>0.8</v>
      </c>
      <c r="AS5" s="10"/>
      <c r="AT5" s="10">
        <v>0.8</v>
      </c>
      <c r="AX5" s="10"/>
      <c r="AY5" s="10">
        <v>0.8</v>
      </c>
      <c r="AZ5" s="10"/>
      <c r="BA5" s="10">
        <v>0.8</v>
      </c>
      <c r="BE5" s="10"/>
      <c r="BF5" s="10">
        <v>0.8</v>
      </c>
      <c r="BG5" s="10"/>
      <c r="BH5" s="10">
        <v>0.8</v>
      </c>
      <c r="BL5" s="10"/>
      <c r="BM5" s="10">
        <v>0.8</v>
      </c>
      <c r="BN5" s="10"/>
      <c r="BO5" s="10">
        <v>0.8</v>
      </c>
      <c r="BR5">
        <v>1</v>
      </c>
      <c r="BS5" s="10"/>
      <c r="BT5" s="10">
        <v>1</v>
      </c>
      <c r="BU5" s="10"/>
      <c r="BV5" s="10">
        <v>1</v>
      </c>
      <c r="BZ5" s="10"/>
      <c r="CA5" s="10">
        <v>1</v>
      </c>
      <c r="CB5" s="10"/>
      <c r="CC5" s="10">
        <v>1</v>
      </c>
      <c r="CG5" s="10"/>
      <c r="CH5" s="10">
        <v>1</v>
      </c>
      <c r="CI5" s="10"/>
      <c r="CJ5" s="10">
        <v>1</v>
      </c>
      <c r="CN5" s="10"/>
      <c r="CO5" s="10">
        <v>1</v>
      </c>
      <c r="CP5" s="10"/>
      <c r="CQ5" s="10">
        <v>1</v>
      </c>
      <c r="CU5" s="10"/>
      <c r="CV5" s="10">
        <v>1</v>
      </c>
      <c r="CW5" s="10"/>
      <c r="CX5" s="10">
        <v>1</v>
      </c>
      <c r="DB5" s="10"/>
      <c r="DC5" s="10">
        <v>1</v>
      </c>
      <c r="DD5" s="10"/>
      <c r="DE5" s="10">
        <v>1</v>
      </c>
      <c r="DI5" s="10"/>
      <c r="DJ5" s="10"/>
      <c r="DK5" s="10"/>
      <c r="DL5" s="10"/>
      <c r="DP5" s="10"/>
      <c r="DQ5" s="10"/>
      <c r="DR5" s="10"/>
      <c r="DS5" s="10"/>
      <c r="DW5" s="10"/>
      <c r="DX5" s="10"/>
      <c r="DY5" s="10"/>
      <c r="DZ5" s="10"/>
      <c r="ED5" s="10"/>
      <c r="EE5" s="10"/>
      <c r="EF5" s="10"/>
      <c r="EG5" s="10"/>
      <c r="EK5" s="10"/>
      <c r="EL5" s="10"/>
      <c r="EM5" s="10"/>
      <c r="EN5" s="10"/>
      <c r="ER5" s="10"/>
      <c r="ES5" s="10"/>
      <c r="ET5" s="10"/>
      <c r="EU5" s="10"/>
    </row>
    <row r="6" spans="2:152" ht="15.75" customHeight="1" outlineLevel="1">
      <c r="B6" t="s">
        <v>28</v>
      </c>
      <c r="C6" t="s">
        <v>88</v>
      </c>
      <c r="E6" s="9"/>
      <c r="F6" t="s">
        <v>121</v>
      </c>
      <c r="G6" s="10">
        <v>0.05</v>
      </c>
      <c r="I6" s="9">
        <f>+SUMIF($N$3:$ZZ$3,I$3,$N6:$ZZ6)</f>
        <v>2</v>
      </c>
      <c r="J6" s="11" cm="1">
        <f t="array" ref="J6">MAX(IF($N$3:$EH$3=$J$3,N6:EH6))</f>
        <v>0</v>
      </c>
      <c r="K6" s="11" cm="1">
        <f t="array" ref="K6">MAX(IF($N$3:$EH$3=$J$3,N6:EH6))</f>
        <v>0</v>
      </c>
      <c r="L6" s="9"/>
      <c r="O6" s="10"/>
      <c r="P6" s="10">
        <v>0.5</v>
      </c>
      <c r="Q6" s="10"/>
      <c r="R6" s="10">
        <v>0.5</v>
      </c>
      <c r="U6">
        <v>1</v>
      </c>
      <c r="V6" s="10"/>
      <c r="W6" s="10">
        <v>0.8</v>
      </c>
      <c r="X6" s="10"/>
      <c r="Y6" s="10">
        <v>0.8</v>
      </c>
      <c r="AC6" s="10"/>
      <c r="AD6" s="10">
        <v>0.8</v>
      </c>
      <c r="AE6" s="10"/>
      <c r="AF6" s="10">
        <v>0.8</v>
      </c>
      <c r="AJ6" s="10"/>
      <c r="AK6" s="10">
        <v>0.8</v>
      </c>
      <c r="AL6" s="10"/>
      <c r="AM6" s="10">
        <v>0.8</v>
      </c>
      <c r="AQ6" s="10"/>
      <c r="AR6" s="10">
        <v>0.8</v>
      </c>
      <c r="AS6" s="10"/>
      <c r="AT6" s="10">
        <v>0.8</v>
      </c>
      <c r="AX6" s="10"/>
      <c r="AY6" s="10">
        <v>0.8</v>
      </c>
      <c r="AZ6" s="10"/>
      <c r="BA6" s="10">
        <v>0.8</v>
      </c>
      <c r="BE6" s="10"/>
      <c r="BF6" s="10">
        <v>0.8</v>
      </c>
      <c r="BG6" s="10"/>
      <c r="BH6" s="10">
        <v>0.8</v>
      </c>
      <c r="BL6" s="10"/>
      <c r="BM6" s="10">
        <v>0.8</v>
      </c>
      <c r="BN6" s="10"/>
      <c r="BO6" s="10">
        <v>0.8</v>
      </c>
      <c r="BR6">
        <v>1</v>
      </c>
      <c r="BS6" s="10"/>
      <c r="BT6" s="10">
        <v>1</v>
      </c>
      <c r="BU6" s="10"/>
      <c r="BV6" s="10">
        <v>1</v>
      </c>
      <c r="BZ6" s="10"/>
      <c r="CA6" s="10">
        <v>1</v>
      </c>
      <c r="CB6" s="10"/>
      <c r="CC6" s="10">
        <v>1</v>
      </c>
      <c r="CG6" s="10"/>
      <c r="CH6" s="10">
        <v>1</v>
      </c>
      <c r="CI6" s="10"/>
      <c r="CJ6" s="10">
        <v>1</v>
      </c>
      <c r="CN6" s="10"/>
      <c r="CO6" s="10">
        <v>1</v>
      </c>
      <c r="CP6" s="10"/>
      <c r="CQ6" s="10">
        <v>1</v>
      </c>
      <c r="CU6" s="10"/>
      <c r="CV6" s="10">
        <v>1</v>
      </c>
      <c r="CW6" s="10"/>
      <c r="CX6" s="10">
        <v>1</v>
      </c>
      <c r="DB6" s="10"/>
      <c r="DC6" s="10">
        <v>1</v>
      </c>
      <c r="DD6" s="10"/>
      <c r="DE6" s="10">
        <v>1</v>
      </c>
      <c r="DI6" s="10"/>
      <c r="DJ6" s="10"/>
      <c r="DK6" s="10"/>
      <c r="DL6" s="10"/>
      <c r="DP6" s="10"/>
      <c r="DQ6" s="10"/>
      <c r="DR6" s="10"/>
      <c r="DS6" s="10"/>
      <c r="DW6" s="10"/>
      <c r="DX6" s="10"/>
      <c r="DY6" s="10"/>
      <c r="DZ6" s="10"/>
      <c r="ED6" s="10"/>
      <c r="EE6" s="10"/>
      <c r="EF6" s="10"/>
      <c r="EG6" s="10"/>
      <c r="EK6" s="10"/>
      <c r="EL6" s="10"/>
      <c r="EM6" s="10"/>
      <c r="EN6" s="10"/>
      <c r="ER6" s="10"/>
      <c r="ES6" s="10"/>
      <c r="ET6" s="10"/>
      <c r="EU6" s="10"/>
    </row>
    <row r="7" spans="2:152" ht="15.75" customHeight="1" outlineLevel="1">
      <c r="B7" t="s">
        <v>28</v>
      </c>
      <c r="C7" t="s">
        <v>88</v>
      </c>
      <c r="E7" s="9"/>
      <c r="F7" t="s">
        <v>122</v>
      </c>
      <c r="G7" s="10">
        <v>0.05</v>
      </c>
      <c r="I7" s="9">
        <f>+SUMIF($N$3:$ZZ$3,I$3,$N7:$ZZ7)</f>
        <v>2</v>
      </c>
      <c r="J7" s="11" cm="1">
        <f t="array" ref="J7">MAX(IF($N$3:$EH$3=$J$3,N7:EH7))</f>
        <v>0</v>
      </c>
      <c r="K7" s="11" cm="1">
        <f t="array" ref="K7">MAX(IF($N$3:$EH$3=$J$3,N7:EH7))</f>
        <v>0</v>
      </c>
      <c r="L7" s="9"/>
      <c r="O7" s="10"/>
      <c r="P7" s="10">
        <v>0.5</v>
      </c>
      <c r="Q7" s="10"/>
      <c r="R7" s="10">
        <v>0.5</v>
      </c>
      <c r="V7" s="10"/>
      <c r="W7" s="10">
        <v>0.5</v>
      </c>
      <c r="X7" s="10"/>
      <c r="Y7" s="10">
        <v>0.5</v>
      </c>
      <c r="AB7">
        <v>1</v>
      </c>
      <c r="AC7" s="10"/>
      <c r="AD7" s="10">
        <v>0.8</v>
      </c>
      <c r="AE7" s="10"/>
      <c r="AF7" s="10">
        <v>0.8</v>
      </c>
      <c r="AJ7" s="10"/>
      <c r="AK7" s="10">
        <v>0.8</v>
      </c>
      <c r="AL7" s="10"/>
      <c r="AM7" s="10">
        <v>0.8</v>
      </c>
      <c r="AQ7" s="10"/>
      <c r="AR7" s="10">
        <v>0.8</v>
      </c>
      <c r="AS7" s="10"/>
      <c r="AT7" s="10">
        <v>0.8</v>
      </c>
      <c r="AX7" s="10"/>
      <c r="AY7" s="10">
        <v>0.8</v>
      </c>
      <c r="AZ7" s="10"/>
      <c r="BA7" s="10">
        <v>0.8</v>
      </c>
      <c r="BE7" s="10"/>
      <c r="BF7" s="10">
        <v>0.8</v>
      </c>
      <c r="BG7" s="10"/>
      <c r="BH7" s="10">
        <v>0.8</v>
      </c>
      <c r="BL7" s="10"/>
      <c r="BM7" s="10">
        <v>0.8</v>
      </c>
      <c r="BN7" s="10"/>
      <c r="BO7" s="10">
        <v>0.8</v>
      </c>
      <c r="BS7" s="10"/>
      <c r="BT7" s="10">
        <v>0.8</v>
      </c>
      <c r="BU7" s="10"/>
      <c r="BV7" s="10">
        <v>0.8</v>
      </c>
      <c r="BY7">
        <v>1</v>
      </c>
      <c r="BZ7" s="10"/>
      <c r="CA7" s="10">
        <v>1</v>
      </c>
      <c r="CB7" s="10"/>
      <c r="CC7" s="10">
        <v>1</v>
      </c>
      <c r="CG7" s="10"/>
      <c r="CH7" s="10">
        <v>1</v>
      </c>
      <c r="CI7" s="10"/>
      <c r="CJ7" s="10">
        <v>1</v>
      </c>
      <c r="CN7" s="10"/>
      <c r="CO7" s="10">
        <v>1</v>
      </c>
      <c r="CP7" s="10"/>
      <c r="CQ7" s="10">
        <v>1</v>
      </c>
      <c r="CU7" s="10"/>
      <c r="CV7" s="10">
        <v>1</v>
      </c>
      <c r="CW7" s="10"/>
      <c r="CX7" s="10">
        <v>1</v>
      </c>
      <c r="DB7" s="10"/>
      <c r="DC7" s="10">
        <v>1</v>
      </c>
      <c r="DD7" s="10"/>
      <c r="DE7" s="10">
        <v>1</v>
      </c>
      <c r="DI7" s="10"/>
      <c r="DJ7" s="10"/>
      <c r="DK7" s="10"/>
      <c r="DL7" s="10"/>
      <c r="DP7" s="10"/>
      <c r="DQ7" s="10"/>
      <c r="DR7" s="10"/>
      <c r="DS7" s="10"/>
      <c r="DW7" s="10"/>
      <c r="DX7" s="10"/>
      <c r="DY7" s="10"/>
      <c r="DZ7" s="10"/>
      <c r="ED7" s="10"/>
      <c r="EE7" s="10"/>
      <c r="EF7" s="10"/>
      <c r="EG7" s="10"/>
      <c r="EK7" s="10"/>
      <c r="EL7" s="10"/>
      <c r="EM7" s="10"/>
      <c r="EN7" s="10"/>
      <c r="ER7" s="10"/>
      <c r="ES7" s="10"/>
      <c r="ET7" s="10"/>
      <c r="EU7" s="10"/>
    </row>
    <row r="8" spans="2:152" ht="15.75" customHeight="1" outlineLevel="1">
      <c r="B8" t="s">
        <v>28</v>
      </c>
      <c r="C8" t="s">
        <v>88</v>
      </c>
      <c r="E8" s="9"/>
      <c r="F8" t="s">
        <v>123</v>
      </c>
      <c r="G8" s="10">
        <v>0.05</v>
      </c>
      <c r="I8" s="9">
        <f>+SUMIF($N$3:$ZZ$3,I$3,$N8:$ZZ8)</f>
        <v>2</v>
      </c>
      <c r="J8" s="11" cm="1">
        <f t="array" ref="J8">MAX(IF($N$3:$EH$3=$J$3,N8:EH8))</f>
        <v>0</v>
      </c>
      <c r="K8" s="11" cm="1">
        <f t="array" ref="K8">MAX(IF($N$3:$EH$3=$J$3,N8:EH8))</f>
        <v>0</v>
      </c>
      <c r="L8" s="9"/>
      <c r="O8" s="10"/>
      <c r="P8" s="10">
        <v>0.5</v>
      </c>
      <c r="Q8" s="10"/>
      <c r="R8" s="10">
        <v>0.5</v>
      </c>
      <c r="V8" s="10"/>
      <c r="W8" s="10">
        <v>0.5</v>
      </c>
      <c r="X8" s="10"/>
      <c r="Y8" s="10">
        <v>0.5</v>
      </c>
      <c r="AB8">
        <v>1</v>
      </c>
      <c r="AC8" s="10"/>
      <c r="AD8" s="10">
        <v>0.8</v>
      </c>
      <c r="AE8" s="10"/>
      <c r="AF8" s="10">
        <v>0.8</v>
      </c>
      <c r="AJ8" s="10"/>
      <c r="AK8" s="10">
        <v>0.8</v>
      </c>
      <c r="AL8" s="10"/>
      <c r="AM8" s="10">
        <v>0.8</v>
      </c>
      <c r="AQ8" s="10"/>
      <c r="AR8" s="10">
        <v>0.8</v>
      </c>
      <c r="AS8" s="10"/>
      <c r="AT8" s="10">
        <v>0.8</v>
      </c>
      <c r="AX8" s="10"/>
      <c r="AY8" s="10">
        <v>0.8</v>
      </c>
      <c r="AZ8" s="10"/>
      <c r="BA8" s="10">
        <v>0.8</v>
      </c>
      <c r="BE8" s="10"/>
      <c r="BF8" s="10">
        <v>0.8</v>
      </c>
      <c r="BG8" s="10"/>
      <c r="BH8" s="10">
        <v>0.8</v>
      </c>
      <c r="BL8" s="10"/>
      <c r="BM8" s="10">
        <v>0.8</v>
      </c>
      <c r="BN8" s="10"/>
      <c r="BO8" s="10">
        <v>0.8</v>
      </c>
      <c r="BS8" s="10"/>
      <c r="BT8" s="10">
        <v>0.8</v>
      </c>
      <c r="BU8" s="10"/>
      <c r="BV8" s="10">
        <v>0.8</v>
      </c>
      <c r="BY8">
        <v>1</v>
      </c>
      <c r="BZ8" s="10"/>
      <c r="CA8" s="10">
        <v>1</v>
      </c>
      <c r="CB8" s="10"/>
      <c r="CC8" s="10">
        <v>1</v>
      </c>
      <c r="CG8" s="10"/>
      <c r="CH8" s="10">
        <v>1</v>
      </c>
      <c r="CI8" s="10"/>
      <c r="CJ8" s="10">
        <v>1</v>
      </c>
      <c r="CN8" s="10"/>
      <c r="CO8" s="10">
        <v>1</v>
      </c>
      <c r="CP8" s="10"/>
      <c r="CQ8" s="10">
        <v>1</v>
      </c>
      <c r="CU8" s="10"/>
      <c r="CV8" s="10">
        <v>1</v>
      </c>
      <c r="CW8" s="10"/>
      <c r="CX8" s="10">
        <v>1</v>
      </c>
      <c r="DB8" s="10"/>
      <c r="DC8" s="10">
        <v>1</v>
      </c>
      <c r="DD8" s="10"/>
      <c r="DE8" s="10">
        <v>1</v>
      </c>
      <c r="DI8" s="10"/>
      <c r="DJ8" s="10"/>
      <c r="DK8" s="10"/>
      <c r="DL8" s="10"/>
      <c r="DP8" s="10"/>
      <c r="DQ8" s="10"/>
      <c r="DR8" s="10"/>
      <c r="DS8" s="10"/>
      <c r="DW8" s="10"/>
      <c r="DX8" s="10"/>
      <c r="DY8" s="10"/>
      <c r="DZ8" s="10"/>
      <c r="ED8" s="10"/>
      <c r="EE8" s="10"/>
      <c r="EF8" s="10"/>
      <c r="EG8" s="10"/>
      <c r="EK8" s="10"/>
      <c r="EL8" s="10"/>
      <c r="EM8" s="10"/>
      <c r="EN8" s="10"/>
      <c r="ER8" s="10"/>
      <c r="ES8" s="10"/>
      <c r="ET8" s="10"/>
      <c r="EU8" s="10"/>
    </row>
    <row r="9" spans="2:152" ht="15.75" customHeight="1" outlineLevel="1">
      <c r="B9" t="s">
        <v>28</v>
      </c>
      <c r="C9" t="s">
        <v>88</v>
      </c>
      <c r="E9" s="9"/>
      <c r="F9" t="s">
        <v>124</v>
      </c>
      <c r="G9" s="10">
        <v>0.05</v>
      </c>
      <c r="I9" s="9">
        <f>+SUMIF($N$3:$ZZ$3,I$3,$N9:$ZZ9)</f>
        <v>3</v>
      </c>
      <c r="J9" s="11" cm="1">
        <f t="array" ref="J9">MAX(IF($N$3:$EH$3=$J$3,N9:EH9))</f>
        <v>0</v>
      </c>
      <c r="K9" s="11" cm="1">
        <f t="array" ref="K9">MAX(IF($N$3:$EH$3=$J$3,N9:EH9))</f>
        <v>0</v>
      </c>
      <c r="L9" s="9"/>
      <c r="O9" s="10"/>
      <c r="P9" s="10"/>
      <c r="Q9" s="10"/>
      <c r="R9" s="10"/>
      <c r="U9">
        <v>1</v>
      </c>
      <c r="V9" s="10"/>
      <c r="W9" s="10">
        <v>0.5</v>
      </c>
      <c r="X9" s="10"/>
      <c r="Y9" s="10">
        <v>0.5</v>
      </c>
      <c r="AB9">
        <v>1</v>
      </c>
      <c r="AC9" s="10"/>
      <c r="AD9" s="10">
        <v>0.8</v>
      </c>
      <c r="AE9" s="10"/>
      <c r="AF9" s="10">
        <v>0.8</v>
      </c>
      <c r="AJ9" s="10"/>
      <c r="AK9" s="10">
        <v>0.8</v>
      </c>
      <c r="AL9" s="10"/>
      <c r="AM9" s="10">
        <v>0.8</v>
      </c>
      <c r="AQ9" s="10"/>
      <c r="AR9" s="10">
        <v>0.8</v>
      </c>
      <c r="AS9" s="10"/>
      <c r="AT9" s="10">
        <v>0.8</v>
      </c>
      <c r="AX9" s="10"/>
      <c r="AY9" s="10">
        <v>0.8</v>
      </c>
      <c r="AZ9" s="10"/>
      <c r="BA9" s="10">
        <v>0.8</v>
      </c>
      <c r="BE9" s="10"/>
      <c r="BF9" s="10">
        <v>0.8</v>
      </c>
      <c r="BG9" s="10"/>
      <c r="BH9" s="10">
        <v>0.8</v>
      </c>
      <c r="BL9" s="10"/>
      <c r="BM9" s="10">
        <v>0.8</v>
      </c>
      <c r="BN9" s="10"/>
      <c r="BO9" s="10">
        <v>0.8</v>
      </c>
      <c r="BS9" s="10"/>
      <c r="BT9" s="10">
        <v>0.8</v>
      </c>
      <c r="BU9" s="10"/>
      <c r="BV9" s="10">
        <v>0.8</v>
      </c>
      <c r="BY9">
        <v>1</v>
      </c>
      <c r="BZ9" s="10"/>
      <c r="CA9" s="10">
        <v>1</v>
      </c>
      <c r="CB9" s="10"/>
      <c r="CC9" s="10">
        <v>1</v>
      </c>
      <c r="CG9" s="10"/>
      <c r="CH9" s="10">
        <v>1</v>
      </c>
      <c r="CI9" s="10"/>
      <c r="CJ9" s="10">
        <v>1</v>
      </c>
      <c r="CN9" s="10"/>
      <c r="CO9" s="10">
        <v>1</v>
      </c>
      <c r="CP9" s="10"/>
      <c r="CQ9" s="10">
        <v>1</v>
      </c>
      <c r="CU9" s="10"/>
      <c r="CV9" s="10">
        <v>1</v>
      </c>
      <c r="CW9" s="10"/>
      <c r="CX9" s="10">
        <v>1</v>
      </c>
      <c r="DB9" s="10"/>
      <c r="DC9" s="10">
        <v>1</v>
      </c>
      <c r="DD9" s="10"/>
      <c r="DE9" s="10">
        <v>1</v>
      </c>
      <c r="DI9" s="10"/>
      <c r="DJ9" s="10"/>
      <c r="DK9" s="10"/>
      <c r="DL9" s="10"/>
      <c r="DP9" s="10"/>
      <c r="DQ9" s="10"/>
      <c r="DR9" s="10"/>
      <c r="DS9" s="10"/>
      <c r="DW9" s="10"/>
      <c r="DX9" s="10"/>
      <c r="DY9" s="10"/>
      <c r="DZ9" s="10"/>
      <c r="ED9" s="10"/>
      <c r="EE9" s="10"/>
      <c r="EF9" s="10"/>
      <c r="EG9" s="10"/>
      <c r="EK9" s="10"/>
      <c r="EL9" s="10"/>
      <c r="EM9" s="10"/>
      <c r="EN9" s="10"/>
      <c r="ER9" s="10"/>
      <c r="ES9" s="10"/>
      <c r="ET9" s="10"/>
      <c r="EU9" s="10"/>
    </row>
    <row r="10" spans="2:152" ht="15.75" customHeight="1" outlineLevel="1">
      <c r="B10" t="s">
        <v>28</v>
      </c>
      <c r="C10" t="s">
        <v>88</v>
      </c>
      <c r="E10" s="9"/>
      <c r="F10" t="s">
        <v>125</v>
      </c>
      <c r="G10" s="10">
        <v>0.1</v>
      </c>
      <c r="I10" s="9">
        <f>+SUMIF($N$3:$ZZ$3,I$3,$N10:$ZZ10)</f>
        <v>3</v>
      </c>
      <c r="J10" s="11" cm="1">
        <f t="array" ref="J10">MAX(IF($N$3:$EH$3=$J$3,N10:EH10))</f>
        <v>0</v>
      </c>
      <c r="K10" s="11" cm="1">
        <f t="array" ref="K10">MAX(IF($N$3:$EH$3=$J$3,N10:EH10))</f>
        <v>0</v>
      </c>
      <c r="L10" s="9"/>
      <c r="O10" s="10"/>
      <c r="P10" s="10"/>
      <c r="Q10" s="10"/>
      <c r="R10" s="10"/>
      <c r="U10">
        <v>1</v>
      </c>
      <c r="V10" s="10"/>
      <c r="W10" s="10">
        <v>0.5</v>
      </c>
      <c r="X10" s="10"/>
      <c r="Y10" s="10">
        <v>0.5</v>
      </c>
      <c r="AC10" s="10"/>
      <c r="AD10" s="10">
        <v>0.5</v>
      </c>
      <c r="AE10" s="10"/>
      <c r="AF10" s="10">
        <v>0.5</v>
      </c>
      <c r="AI10">
        <v>1</v>
      </c>
      <c r="AJ10" s="10"/>
      <c r="AK10" s="10">
        <v>0.8</v>
      </c>
      <c r="AL10" s="10"/>
      <c r="AM10" s="10">
        <v>0.8</v>
      </c>
      <c r="AQ10" s="10"/>
      <c r="AR10" s="10">
        <v>0.8</v>
      </c>
      <c r="AS10" s="10"/>
      <c r="AT10" s="10">
        <v>0.8</v>
      </c>
      <c r="AX10" s="10"/>
      <c r="AY10" s="10">
        <v>0.8</v>
      </c>
      <c r="AZ10" s="10"/>
      <c r="BA10" s="10">
        <v>0.8</v>
      </c>
      <c r="BE10" s="10"/>
      <c r="BF10" s="10">
        <v>0.8</v>
      </c>
      <c r="BG10" s="10"/>
      <c r="BH10" s="10">
        <v>0.8</v>
      </c>
      <c r="BL10" s="10"/>
      <c r="BM10" s="10">
        <v>0.8</v>
      </c>
      <c r="BN10" s="10"/>
      <c r="BO10" s="10">
        <v>0.8</v>
      </c>
      <c r="BS10" s="10"/>
      <c r="BT10" s="10">
        <v>0.8</v>
      </c>
      <c r="BU10" s="10"/>
      <c r="BV10" s="10">
        <v>0.8</v>
      </c>
      <c r="BY10">
        <v>1</v>
      </c>
      <c r="BZ10" s="10"/>
      <c r="CA10" s="10">
        <v>1</v>
      </c>
      <c r="CB10" s="10"/>
      <c r="CC10" s="10">
        <v>1</v>
      </c>
      <c r="CG10" s="10"/>
      <c r="CH10" s="10">
        <v>1</v>
      </c>
      <c r="CI10" s="10"/>
      <c r="CJ10" s="10">
        <v>1</v>
      </c>
      <c r="CN10" s="10"/>
      <c r="CO10" s="10">
        <v>1</v>
      </c>
      <c r="CP10" s="10"/>
      <c r="CQ10" s="10">
        <v>1</v>
      </c>
      <c r="CU10" s="10"/>
      <c r="CV10" s="10">
        <v>1</v>
      </c>
      <c r="CW10" s="10"/>
      <c r="CX10" s="10">
        <v>1</v>
      </c>
      <c r="DB10" s="10"/>
      <c r="DC10" s="10">
        <v>1</v>
      </c>
      <c r="DD10" s="10"/>
      <c r="DE10" s="10">
        <v>1</v>
      </c>
      <c r="DI10" s="10"/>
      <c r="DJ10" s="10"/>
      <c r="DK10" s="10"/>
      <c r="DL10" s="10"/>
      <c r="DP10" s="10"/>
      <c r="DQ10" s="10"/>
      <c r="DR10" s="10"/>
      <c r="DS10" s="10"/>
      <c r="DW10" s="10"/>
      <c r="DX10" s="10"/>
      <c r="DY10" s="10"/>
      <c r="DZ10" s="10"/>
      <c r="ED10" s="10"/>
      <c r="EE10" s="10"/>
      <c r="EF10" s="10"/>
      <c r="EG10" s="10"/>
      <c r="EK10" s="10"/>
      <c r="EL10" s="10"/>
      <c r="EM10" s="10"/>
      <c r="EN10" s="10"/>
      <c r="ER10" s="10"/>
      <c r="ES10" s="10"/>
      <c r="ET10" s="10"/>
      <c r="EU10" s="10"/>
    </row>
    <row r="11" spans="2:152" ht="15.75" customHeight="1" outlineLevel="1">
      <c r="B11" t="s">
        <v>28</v>
      </c>
      <c r="C11" t="s">
        <v>88</v>
      </c>
      <c r="E11" s="9"/>
      <c r="F11" t="s">
        <v>126</v>
      </c>
      <c r="G11" s="10">
        <v>0.1</v>
      </c>
      <c r="I11" s="9">
        <f>+SUMIF($N$3:$ZZ$3,I$3,$N11:$ZZ11)</f>
        <v>3</v>
      </c>
      <c r="J11" s="11" cm="1">
        <f t="array" ref="J11">MAX(IF($N$3:$EH$3=$J$3,N11:EH11))</f>
        <v>0</v>
      </c>
      <c r="K11" s="11" cm="1">
        <f t="array" ref="K11">MAX(IF($N$3:$EH$3=$J$3,N11:EH11))</f>
        <v>0</v>
      </c>
      <c r="L11" s="9"/>
      <c r="O11" s="10"/>
      <c r="P11" s="10"/>
      <c r="Q11" s="10"/>
      <c r="R11" s="10"/>
      <c r="V11" s="10"/>
      <c r="W11" s="10"/>
      <c r="X11" s="10"/>
      <c r="Y11" s="10"/>
      <c r="AB11">
        <v>1</v>
      </c>
      <c r="AC11" s="10"/>
      <c r="AD11" s="10">
        <v>0.5</v>
      </c>
      <c r="AE11" s="10"/>
      <c r="AF11" s="10">
        <v>0.5</v>
      </c>
      <c r="AI11">
        <v>1</v>
      </c>
      <c r="AJ11" s="10"/>
      <c r="AK11" s="10">
        <v>0.8</v>
      </c>
      <c r="AL11" s="10"/>
      <c r="AM11" s="10">
        <v>0.8</v>
      </c>
      <c r="AQ11" s="10"/>
      <c r="AR11" s="10">
        <v>0.8</v>
      </c>
      <c r="AS11" s="10"/>
      <c r="AT11" s="10">
        <v>0.8</v>
      </c>
      <c r="AX11" s="10"/>
      <c r="AY11" s="10">
        <v>0.8</v>
      </c>
      <c r="AZ11" s="10"/>
      <c r="BA11" s="10">
        <v>0.8</v>
      </c>
      <c r="BE11" s="10"/>
      <c r="BF11" s="10">
        <v>0.8</v>
      </c>
      <c r="BG11" s="10"/>
      <c r="BH11" s="10">
        <v>0.8</v>
      </c>
      <c r="BL11" s="10"/>
      <c r="BM11" s="10">
        <v>0.8</v>
      </c>
      <c r="BN11" s="10"/>
      <c r="BO11" s="10">
        <v>0.8</v>
      </c>
      <c r="BS11" s="10"/>
      <c r="BT11" s="10">
        <v>0.8</v>
      </c>
      <c r="BU11" s="10"/>
      <c r="BV11" s="10">
        <v>0.8</v>
      </c>
      <c r="BZ11" s="10"/>
      <c r="CA11" s="10">
        <v>0.8</v>
      </c>
      <c r="CB11" s="10"/>
      <c r="CC11" s="10">
        <v>0.8</v>
      </c>
      <c r="CF11">
        <v>1</v>
      </c>
      <c r="CG11" s="10"/>
      <c r="CH11" s="10">
        <v>1</v>
      </c>
      <c r="CI11" s="10"/>
      <c r="CJ11" s="10">
        <v>1</v>
      </c>
      <c r="CN11" s="10"/>
      <c r="CO11" s="10">
        <v>1</v>
      </c>
      <c r="CP11" s="10"/>
      <c r="CQ11" s="10">
        <v>1</v>
      </c>
      <c r="CU11" s="10"/>
      <c r="CV11" s="10">
        <v>1</v>
      </c>
      <c r="CW11" s="10"/>
      <c r="CX11" s="10">
        <v>1</v>
      </c>
      <c r="DB11" s="10"/>
      <c r="DC11" s="10">
        <v>1</v>
      </c>
      <c r="DD11" s="10"/>
      <c r="DE11" s="10">
        <v>1</v>
      </c>
      <c r="DI11" s="10"/>
      <c r="DJ11" s="10"/>
      <c r="DK11" s="10"/>
      <c r="DL11" s="10"/>
      <c r="DP11" s="10"/>
      <c r="DQ11" s="10"/>
      <c r="DR11" s="10"/>
      <c r="DS11" s="10"/>
      <c r="DW11" s="10"/>
      <c r="DX11" s="10"/>
      <c r="DY11" s="10"/>
      <c r="DZ11" s="10"/>
      <c r="ED11" s="10"/>
      <c r="EE11" s="10"/>
      <c r="EF11" s="10"/>
      <c r="EG11" s="10"/>
      <c r="EK11" s="10"/>
      <c r="EL11" s="10"/>
      <c r="EM11" s="10"/>
      <c r="EN11" s="10"/>
      <c r="ER11" s="10"/>
      <c r="ES11" s="10"/>
      <c r="ET11" s="10"/>
      <c r="EU11" s="10"/>
    </row>
    <row r="12" spans="2:152" ht="15.75" customHeight="1" outlineLevel="1">
      <c r="B12" t="s">
        <v>28</v>
      </c>
      <c r="C12" t="s">
        <v>88</v>
      </c>
      <c r="E12" s="9"/>
      <c r="F12" t="s">
        <v>127</v>
      </c>
      <c r="G12" s="10">
        <v>0.1</v>
      </c>
      <c r="I12" s="9">
        <f>+SUMIF($N$3:$ZZ$3,I$3,$N12:$ZZ12)</f>
        <v>3</v>
      </c>
      <c r="J12" s="11" cm="1">
        <f t="array" ref="J12">MAX(IF($N$3:$EH$3=$J$3,N12:EH12))</f>
        <v>0</v>
      </c>
      <c r="K12" s="11" cm="1">
        <f t="array" ref="K12">MAX(IF($N$3:$EH$3=$J$3,N12:EH12))</f>
        <v>0</v>
      </c>
      <c r="L12" s="9"/>
      <c r="O12" s="10"/>
      <c r="P12" s="10"/>
      <c r="Q12" s="10"/>
      <c r="R12" s="10"/>
      <c r="V12" s="10"/>
      <c r="W12" s="10"/>
      <c r="X12" s="10"/>
      <c r="Y12" s="10"/>
      <c r="AC12" s="10"/>
      <c r="AD12" s="10"/>
      <c r="AE12" s="10"/>
      <c r="AF12" s="10"/>
      <c r="AI12">
        <v>1</v>
      </c>
      <c r="AJ12" s="10"/>
      <c r="AK12" s="10">
        <v>0.5</v>
      </c>
      <c r="AL12" s="10"/>
      <c r="AM12" s="10">
        <v>0.5</v>
      </c>
      <c r="AP12">
        <v>1</v>
      </c>
      <c r="AQ12" s="10"/>
      <c r="AR12" s="10">
        <v>0.8</v>
      </c>
      <c r="AS12" s="10"/>
      <c r="AT12" s="10">
        <v>0.8</v>
      </c>
      <c r="AX12" s="10"/>
      <c r="AY12" s="10">
        <v>0.8</v>
      </c>
      <c r="AZ12" s="10"/>
      <c r="BA12" s="10">
        <v>0.8</v>
      </c>
      <c r="BE12" s="10"/>
      <c r="BF12" s="10">
        <v>0.8</v>
      </c>
      <c r="BG12" s="10"/>
      <c r="BH12" s="10">
        <v>0.8</v>
      </c>
      <c r="BL12" s="10"/>
      <c r="BM12" s="10">
        <v>0.8</v>
      </c>
      <c r="BN12" s="10"/>
      <c r="BO12" s="10">
        <v>0.8</v>
      </c>
      <c r="BS12" s="10"/>
      <c r="BT12" s="10">
        <v>0.8</v>
      </c>
      <c r="BU12" s="10"/>
      <c r="BV12" s="10">
        <v>0.8</v>
      </c>
      <c r="BZ12" s="10"/>
      <c r="CA12" s="10">
        <v>0.8</v>
      </c>
      <c r="CB12" s="10"/>
      <c r="CC12" s="10">
        <v>0.8</v>
      </c>
      <c r="CF12">
        <v>1</v>
      </c>
      <c r="CG12" s="10"/>
      <c r="CH12" s="10">
        <v>1</v>
      </c>
      <c r="CI12" s="10"/>
      <c r="CJ12" s="10">
        <v>1</v>
      </c>
      <c r="CN12" s="10"/>
      <c r="CO12" s="10">
        <v>1</v>
      </c>
      <c r="CP12" s="10"/>
      <c r="CQ12" s="10">
        <v>1</v>
      </c>
      <c r="CU12" s="10"/>
      <c r="CV12" s="10">
        <v>1</v>
      </c>
      <c r="CW12" s="10"/>
      <c r="CX12" s="10">
        <v>1</v>
      </c>
      <c r="DB12" s="10"/>
      <c r="DC12" s="10">
        <v>1</v>
      </c>
      <c r="DD12" s="10"/>
      <c r="DE12" s="10">
        <v>1</v>
      </c>
      <c r="DI12" s="10"/>
      <c r="DJ12" s="10"/>
      <c r="DK12" s="10"/>
      <c r="DL12" s="10"/>
      <c r="DP12" s="10"/>
      <c r="DQ12" s="10"/>
      <c r="DR12" s="10"/>
      <c r="DS12" s="10"/>
      <c r="DW12" s="10"/>
      <c r="DX12" s="10"/>
      <c r="DY12" s="10"/>
      <c r="DZ12" s="10"/>
      <c r="ED12" s="10"/>
      <c r="EE12" s="10"/>
      <c r="EF12" s="10"/>
      <c r="EG12" s="10"/>
      <c r="EK12" s="10"/>
      <c r="EL12" s="10"/>
      <c r="EM12" s="10"/>
      <c r="EN12" s="10"/>
      <c r="ER12" s="10"/>
      <c r="ES12" s="10"/>
      <c r="ET12" s="10"/>
      <c r="EU12" s="10"/>
    </row>
    <row r="13" spans="2:152" ht="15.75" customHeight="1" outlineLevel="1">
      <c r="B13" t="s">
        <v>28</v>
      </c>
      <c r="C13" t="s">
        <v>88</v>
      </c>
      <c r="E13" s="9"/>
      <c r="F13" t="s">
        <v>128</v>
      </c>
      <c r="G13" s="10">
        <v>0.1</v>
      </c>
      <c r="I13" s="9">
        <f>+SUMIF($N$3:$ZZ$3,I$3,$N13:$ZZ13)</f>
        <v>2</v>
      </c>
      <c r="J13" s="11" cm="1">
        <f t="array" ref="J13">MAX(IF($N$3:$EH$3=$J$3,N13:EH13))</f>
        <v>0</v>
      </c>
      <c r="K13" s="11" cm="1">
        <f t="array" ref="K13">MAX(IF($N$3:$EH$3=$J$3,N13:EH13))</f>
        <v>0</v>
      </c>
      <c r="L13" s="9"/>
      <c r="O13" s="10"/>
      <c r="P13" s="10"/>
      <c r="Q13" s="10"/>
      <c r="R13" s="10"/>
      <c r="V13" s="10"/>
      <c r="W13" s="10"/>
      <c r="X13" s="10"/>
      <c r="Y13" s="10"/>
      <c r="AC13" s="10"/>
      <c r="AD13" s="10"/>
      <c r="AE13" s="10"/>
      <c r="AF13" s="10"/>
      <c r="AI13">
        <v>1</v>
      </c>
      <c r="AJ13" s="10"/>
      <c r="AK13" s="10">
        <v>0.5</v>
      </c>
      <c r="AL13" s="10"/>
      <c r="AM13" s="10">
        <v>0.5</v>
      </c>
      <c r="AQ13" s="10"/>
      <c r="AR13" s="10">
        <v>0.5</v>
      </c>
      <c r="AS13" s="10"/>
      <c r="AT13" s="10">
        <v>0.5</v>
      </c>
      <c r="AX13" s="10"/>
      <c r="AY13" s="10">
        <v>0.8</v>
      </c>
      <c r="AZ13" s="10"/>
      <c r="BA13" s="10">
        <v>0.8</v>
      </c>
      <c r="BE13" s="10"/>
      <c r="BF13" s="10">
        <v>0.8</v>
      </c>
      <c r="BG13" s="10"/>
      <c r="BH13" s="10">
        <v>0.8</v>
      </c>
      <c r="BL13" s="10"/>
      <c r="BM13" s="10">
        <v>0.8</v>
      </c>
      <c r="BN13" s="10"/>
      <c r="BO13" s="10">
        <v>0.8</v>
      </c>
      <c r="BS13" s="10"/>
      <c r="BT13" s="10">
        <v>0.8</v>
      </c>
      <c r="BU13" s="10"/>
      <c r="BV13" s="10">
        <v>0.8</v>
      </c>
      <c r="BZ13" s="10"/>
      <c r="CA13" s="10">
        <v>0.8</v>
      </c>
      <c r="CB13" s="10"/>
      <c r="CC13" s="10">
        <v>0.8</v>
      </c>
      <c r="CF13">
        <v>1</v>
      </c>
      <c r="CG13" s="10"/>
      <c r="CH13" s="10">
        <v>1</v>
      </c>
      <c r="CI13" s="10"/>
      <c r="CJ13" s="10">
        <v>1</v>
      </c>
      <c r="CN13" s="10"/>
      <c r="CO13" s="10">
        <v>1</v>
      </c>
      <c r="CP13" s="10"/>
      <c r="CQ13" s="10">
        <v>1</v>
      </c>
      <c r="CU13" s="10"/>
      <c r="CV13" s="10">
        <v>1</v>
      </c>
      <c r="CW13" s="10"/>
      <c r="CX13" s="10">
        <v>1</v>
      </c>
      <c r="DB13" s="10"/>
      <c r="DC13" s="10">
        <v>1</v>
      </c>
      <c r="DD13" s="10"/>
      <c r="DE13" s="10">
        <v>1</v>
      </c>
      <c r="DI13" s="10"/>
      <c r="DJ13" s="10"/>
      <c r="DK13" s="10"/>
      <c r="DL13" s="10"/>
      <c r="DP13" s="10"/>
      <c r="DQ13" s="10"/>
      <c r="DR13" s="10"/>
      <c r="DS13" s="10"/>
      <c r="DW13" s="10"/>
      <c r="DX13" s="10"/>
      <c r="DY13" s="10"/>
      <c r="DZ13" s="10"/>
      <c r="ED13" s="10"/>
      <c r="EE13" s="10"/>
      <c r="EF13" s="10"/>
      <c r="EG13" s="10"/>
      <c r="EK13" s="10"/>
      <c r="EL13" s="10"/>
      <c r="EM13" s="10"/>
      <c r="EN13" s="10"/>
      <c r="ER13" s="10"/>
      <c r="ES13" s="10"/>
      <c r="ET13" s="10"/>
      <c r="EU13" s="10"/>
    </row>
    <row r="14" spans="2:152" ht="15.75" customHeight="1" outlineLevel="1">
      <c r="B14" t="s">
        <v>28</v>
      </c>
      <c r="C14" t="s">
        <v>88</v>
      </c>
      <c r="E14" s="9"/>
      <c r="F14" t="s">
        <v>129</v>
      </c>
      <c r="G14" s="10">
        <v>0.1</v>
      </c>
      <c r="I14" s="9">
        <f>+SUMIF($N$3:$ZZ$3,I$3,$N14:$ZZ14)</f>
        <v>3</v>
      </c>
      <c r="J14" s="11" cm="1">
        <f t="array" ref="J14">MAX(IF($N$3:$EH$3=$J$3,N14:EH14))</f>
        <v>0</v>
      </c>
      <c r="K14" s="11" cm="1">
        <f t="array" ref="K14">MAX(IF($N$3:$EH$3=$J$3,N14:EH14))</f>
        <v>0</v>
      </c>
      <c r="L14" s="9"/>
      <c r="O14" s="10"/>
      <c r="P14" s="10"/>
      <c r="Q14" s="10"/>
      <c r="R14" s="10"/>
      <c r="V14" s="10"/>
      <c r="W14" s="10"/>
      <c r="X14" s="10"/>
      <c r="Y14" s="10"/>
      <c r="AJ14" s="10"/>
      <c r="AK14" s="10"/>
      <c r="AL14" s="10"/>
      <c r="AM14" s="10"/>
      <c r="AP14">
        <v>1</v>
      </c>
      <c r="AQ14" s="10"/>
      <c r="AR14" s="10">
        <v>0.5</v>
      </c>
      <c r="AS14" s="10"/>
      <c r="AT14" s="10">
        <v>0.5</v>
      </c>
      <c r="AW14">
        <v>1</v>
      </c>
      <c r="AX14" s="10"/>
      <c r="AY14" s="10">
        <v>0.8</v>
      </c>
      <c r="AZ14" s="10"/>
      <c r="BA14" s="10">
        <v>0.8</v>
      </c>
      <c r="BE14" s="10"/>
      <c r="BF14" s="10">
        <v>0.8</v>
      </c>
      <c r="BG14" s="10"/>
      <c r="BH14" s="10">
        <v>0.8</v>
      </c>
      <c r="BL14" s="10"/>
      <c r="BM14" s="10">
        <v>0.8</v>
      </c>
      <c r="BN14" s="10"/>
      <c r="BO14" s="10">
        <v>0.8</v>
      </c>
      <c r="BS14" s="10"/>
      <c r="BT14" s="10">
        <v>0.8</v>
      </c>
      <c r="BU14" s="10"/>
      <c r="BV14" s="10">
        <v>0.8</v>
      </c>
      <c r="BZ14" s="10"/>
      <c r="CA14" s="10">
        <v>0.8</v>
      </c>
      <c r="CB14" s="10"/>
      <c r="CC14" s="10">
        <v>0.8</v>
      </c>
      <c r="CG14" s="10"/>
      <c r="CH14" s="10">
        <v>0.8</v>
      </c>
      <c r="CI14" s="10"/>
      <c r="CJ14" s="10">
        <v>0.8</v>
      </c>
      <c r="CM14">
        <v>1</v>
      </c>
      <c r="CN14" s="10"/>
      <c r="CO14" s="10">
        <v>1</v>
      </c>
      <c r="CP14" s="10"/>
      <c r="CQ14" s="10">
        <v>1</v>
      </c>
      <c r="CU14" s="10"/>
      <c r="CV14" s="10">
        <v>1</v>
      </c>
      <c r="CW14" s="10"/>
      <c r="CX14" s="10">
        <v>1</v>
      </c>
      <c r="DB14" s="10"/>
      <c r="DC14" s="10">
        <v>1</v>
      </c>
      <c r="DD14" s="10"/>
      <c r="DE14" s="10">
        <v>1</v>
      </c>
      <c r="DI14" s="10"/>
      <c r="DJ14" s="10"/>
      <c r="DK14" s="10"/>
      <c r="DL14" s="10"/>
      <c r="DP14" s="10"/>
      <c r="DQ14" s="10"/>
      <c r="DR14" s="10"/>
      <c r="DS14" s="10"/>
      <c r="DW14" s="10"/>
      <c r="DX14" s="10"/>
      <c r="DY14" s="10"/>
      <c r="DZ14" s="10"/>
      <c r="ED14" s="10"/>
      <c r="EE14" s="10"/>
      <c r="EF14" s="10"/>
      <c r="EG14" s="10"/>
      <c r="EK14" s="10"/>
      <c r="EL14" s="10"/>
      <c r="EM14" s="10"/>
      <c r="EN14" s="10"/>
      <c r="ER14" s="10"/>
      <c r="ES14" s="10"/>
      <c r="ET14" s="10"/>
      <c r="EU14" s="10"/>
    </row>
    <row r="15" spans="2:152" ht="15.75" customHeight="1" outlineLevel="1">
      <c r="B15" t="s">
        <v>28</v>
      </c>
      <c r="C15" t="s">
        <v>88</v>
      </c>
      <c r="E15" s="9"/>
      <c r="F15" t="s">
        <v>130</v>
      </c>
      <c r="G15" s="10">
        <v>0.1</v>
      </c>
      <c r="I15" s="9">
        <f>+SUMIF($N$3:$ZZ$3,I$3,$N15:$ZZ15)</f>
        <v>3</v>
      </c>
      <c r="J15" s="11" cm="1">
        <f t="array" ref="J15">MAX(IF($N$3:$EH$3=$J$3,N15:EH15))</f>
        <v>0</v>
      </c>
      <c r="K15" s="11" cm="1">
        <f t="array" ref="K15">MAX(IF($N$3:$EH$3=$J$3,N15:EH15))</f>
        <v>0</v>
      </c>
      <c r="L15" s="9"/>
      <c r="O15" s="10"/>
      <c r="P15" s="10"/>
      <c r="Q15" s="10"/>
      <c r="R15" s="10"/>
      <c r="V15" s="10"/>
      <c r="W15" s="10"/>
      <c r="X15" s="10"/>
      <c r="Y15" s="10"/>
      <c r="AC15" s="10"/>
      <c r="AD15" s="10"/>
      <c r="AE15" s="10"/>
      <c r="AF15" s="10"/>
      <c r="AJ15" s="10"/>
      <c r="AK15" s="10"/>
      <c r="AL15" s="10"/>
      <c r="AM15" s="10"/>
      <c r="AP15">
        <v>1</v>
      </c>
      <c r="AQ15" s="10"/>
      <c r="AR15" s="10">
        <v>0.5</v>
      </c>
      <c r="AS15" s="10"/>
      <c r="AT15" s="10">
        <v>0.5</v>
      </c>
      <c r="AW15">
        <v>1</v>
      </c>
      <c r="AX15" s="10"/>
      <c r="AY15" s="10">
        <v>0.5</v>
      </c>
      <c r="AZ15" s="10"/>
      <c r="BA15" s="10">
        <v>0.5</v>
      </c>
      <c r="BD15">
        <v>1</v>
      </c>
      <c r="BE15" s="10"/>
      <c r="BF15" s="10">
        <v>0.8</v>
      </c>
      <c r="BG15" s="10"/>
      <c r="BH15" s="10">
        <v>0.8</v>
      </c>
      <c r="BL15" s="10"/>
      <c r="BM15" s="10">
        <v>0.8</v>
      </c>
      <c r="BN15" s="10"/>
      <c r="BO15" s="10">
        <v>0.8</v>
      </c>
      <c r="BS15" s="10"/>
      <c r="BT15" s="10">
        <v>0.8</v>
      </c>
      <c r="BU15" s="10"/>
      <c r="BV15" s="10">
        <v>0.8</v>
      </c>
      <c r="BZ15" s="10"/>
      <c r="CA15" s="10">
        <v>0.8</v>
      </c>
      <c r="CB15" s="10"/>
      <c r="CC15" s="10">
        <v>0.8</v>
      </c>
      <c r="CG15" s="10"/>
      <c r="CH15" s="10">
        <v>0.8</v>
      </c>
      <c r="CI15" s="10"/>
      <c r="CJ15" s="10">
        <v>0.8</v>
      </c>
      <c r="CN15" s="10"/>
      <c r="CO15" s="10">
        <v>0.8</v>
      </c>
      <c r="CP15" s="10"/>
      <c r="CQ15" s="10">
        <v>0.8</v>
      </c>
      <c r="CU15" s="10"/>
      <c r="CV15" s="10">
        <v>1</v>
      </c>
      <c r="CW15" s="10"/>
      <c r="CX15" s="10">
        <v>1</v>
      </c>
      <c r="DB15" s="10"/>
      <c r="DC15" s="10">
        <v>1</v>
      </c>
      <c r="DD15" s="10"/>
      <c r="DE15" s="10">
        <v>1</v>
      </c>
      <c r="DI15" s="10"/>
      <c r="DJ15" s="10"/>
      <c r="DK15" s="10"/>
      <c r="DL15" s="10"/>
      <c r="DP15" s="10"/>
      <c r="DQ15" s="10"/>
      <c r="DR15" s="10"/>
      <c r="DS15" s="10"/>
      <c r="DW15" s="10"/>
      <c r="DX15" s="10"/>
      <c r="DY15" s="10"/>
      <c r="DZ15" s="10"/>
      <c r="ED15" s="10"/>
      <c r="EE15" s="10"/>
      <c r="EF15" s="10"/>
      <c r="EG15" s="10"/>
      <c r="EK15" s="10"/>
      <c r="EL15" s="10"/>
      <c r="EM15" s="10"/>
      <c r="EN15" s="10"/>
      <c r="ER15" s="10"/>
      <c r="ES15" s="10"/>
      <c r="ET15" s="10"/>
      <c r="EU15" s="10"/>
    </row>
    <row r="16" spans="2:152" ht="15.75" customHeight="1" outlineLevel="1">
      <c r="B16" t="s">
        <v>28</v>
      </c>
      <c r="C16" t="s">
        <v>88</v>
      </c>
      <c r="E16" s="9"/>
      <c r="F16" t="s">
        <v>131</v>
      </c>
      <c r="G16" s="10">
        <v>0.1</v>
      </c>
      <c r="I16" s="9">
        <f>+SUMIF($N$3:$ZZ$3,I$3,$N16:$ZZ16)</f>
        <v>2</v>
      </c>
      <c r="J16" s="11" cm="1">
        <f t="array" ref="J16">MAX(IF($N$3:$EH$3=$J$3,N16:EH16))</f>
        <v>0</v>
      </c>
      <c r="K16" s="11" cm="1">
        <f t="array" ref="K16">MAX(IF($N$3:$EH$3=$J$3,N16:EH16))</f>
        <v>0</v>
      </c>
      <c r="L16" s="9"/>
      <c r="O16" s="10"/>
      <c r="P16" s="10"/>
      <c r="Q16" s="10"/>
      <c r="R16" s="10"/>
      <c r="V16" s="10"/>
      <c r="W16" s="10"/>
      <c r="X16" s="10"/>
      <c r="Y16" s="10"/>
      <c r="AC16" s="10"/>
      <c r="AD16" s="10"/>
      <c r="AE16" s="10"/>
      <c r="AF16" s="10"/>
      <c r="AJ16" s="10"/>
      <c r="AK16" s="10"/>
      <c r="AL16" s="10"/>
      <c r="AM16" s="10"/>
      <c r="AP16">
        <v>1</v>
      </c>
      <c r="AQ16" s="10"/>
      <c r="AR16" s="10">
        <v>0.5</v>
      </c>
      <c r="AS16" s="10"/>
      <c r="AT16" s="10">
        <v>0.5</v>
      </c>
      <c r="AX16" s="10"/>
      <c r="AY16" s="10">
        <v>0.5</v>
      </c>
      <c r="AZ16" s="10"/>
      <c r="BA16" s="10">
        <v>0.5</v>
      </c>
      <c r="BE16" s="10"/>
      <c r="BF16" s="10">
        <v>0.5</v>
      </c>
      <c r="BG16" s="10"/>
      <c r="BH16" s="10">
        <v>0.5</v>
      </c>
      <c r="BK16">
        <v>1</v>
      </c>
      <c r="BL16" s="10"/>
      <c r="BM16" s="10">
        <v>0.8</v>
      </c>
      <c r="BN16" s="10"/>
      <c r="BO16" s="10">
        <v>0.8</v>
      </c>
      <c r="BS16" s="10"/>
      <c r="BT16" s="10">
        <v>0.8</v>
      </c>
      <c r="BU16" s="10"/>
      <c r="BV16" s="10">
        <v>0.8</v>
      </c>
      <c r="BZ16" s="10"/>
      <c r="CA16" s="10">
        <v>0.8</v>
      </c>
      <c r="CB16" s="10"/>
      <c r="CC16" s="10">
        <v>0.8</v>
      </c>
      <c r="CG16" s="10"/>
      <c r="CH16" s="10">
        <v>0.8</v>
      </c>
      <c r="CI16" s="10"/>
      <c r="CJ16" s="10">
        <v>0.8</v>
      </c>
      <c r="CN16" s="10"/>
      <c r="CO16" s="10">
        <v>0.8</v>
      </c>
      <c r="CP16" s="10"/>
      <c r="CQ16" s="10">
        <v>0.8</v>
      </c>
      <c r="CU16" s="10"/>
      <c r="CV16" s="10">
        <v>1</v>
      </c>
      <c r="CW16" s="10"/>
      <c r="CX16" s="10">
        <v>1</v>
      </c>
      <c r="DB16" s="10"/>
      <c r="DC16" s="10">
        <v>1</v>
      </c>
      <c r="DD16" s="10"/>
      <c r="DE16" s="10">
        <v>1</v>
      </c>
      <c r="DI16" s="10"/>
      <c r="DJ16" s="10"/>
      <c r="DK16" s="10"/>
      <c r="DL16" s="10"/>
      <c r="DP16" s="10"/>
      <c r="DQ16" s="10"/>
      <c r="DR16" s="10"/>
      <c r="DS16" s="10"/>
      <c r="DW16" s="10"/>
      <c r="DX16" s="10"/>
      <c r="DY16" s="10"/>
      <c r="DZ16" s="10"/>
      <c r="ED16" s="10"/>
      <c r="EE16" s="10"/>
      <c r="EF16" s="10"/>
      <c r="EG16" s="10"/>
      <c r="EK16" s="10"/>
      <c r="EL16" s="10"/>
      <c r="EM16" s="10"/>
      <c r="EN16" s="10"/>
      <c r="ER16" s="10"/>
      <c r="ES16" s="10"/>
      <c r="ET16" s="10"/>
      <c r="EU16" s="10"/>
    </row>
    <row r="17" spans="2:151" ht="15.75" customHeight="1" outlineLevel="1">
      <c r="B17" t="s">
        <v>28</v>
      </c>
      <c r="C17" t="s">
        <v>88</v>
      </c>
      <c r="E17" s="9"/>
      <c r="F17" t="s">
        <v>132</v>
      </c>
      <c r="G17" s="10">
        <v>0.1</v>
      </c>
      <c r="I17" s="9">
        <f>+SUMIF($N$3:$ZZ$3,I$3,$N17:$ZZ17)</f>
        <v>2</v>
      </c>
      <c r="J17" s="11" cm="1">
        <f t="array" ref="J17">MAX(IF($N$3:$EH$3=$J$3,N17:EH17))</f>
        <v>0</v>
      </c>
      <c r="K17" s="11" cm="1">
        <f t="array" ref="K17">MAX(IF($N$3:$EH$3=$J$3,N17:EH17))</f>
        <v>0</v>
      </c>
      <c r="L17" s="9"/>
      <c r="O17" s="10"/>
      <c r="P17" s="10"/>
      <c r="Q17" s="10"/>
      <c r="R17" s="10"/>
      <c r="V17" s="10"/>
      <c r="W17" s="10"/>
      <c r="X17" s="10"/>
      <c r="Y17" s="10"/>
      <c r="AC17" s="10"/>
      <c r="AD17" s="10"/>
      <c r="AE17" s="10"/>
      <c r="AF17" s="10"/>
      <c r="AJ17" s="10"/>
      <c r="AK17" s="10"/>
      <c r="AL17" s="10"/>
      <c r="AM17" s="10"/>
      <c r="AQ17" s="10"/>
      <c r="AR17" s="10"/>
      <c r="AS17" s="10"/>
      <c r="AT17" s="10"/>
      <c r="AW17">
        <v>1</v>
      </c>
      <c r="AX17" s="10"/>
      <c r="AY17" s="10">
        <v>0.5</v>
      </c>
      <c r="AZ17" s="10"/>
      <c r="BA17" s="10">
        <v>0.5</v>
      </c>
      <c r="BE17" s="10"/>
      <c r="BF17" s="10">
        <v>0.5</v>
      </c>
      <c r="BG17" s="10"/>
      <c r="BH17" s="10">
        <v>0.5</v>
      </c>
      <c r="BK17">
        <v>1</v>
      </c>
      <c r="BL17" s="10"/>
      <c r="BM17" s="10">
        <v>0.8</v>
      </c>
      <c r="BN17" s="10"/>
      <c r="BO17" s="10">
        <v>0.8</v>
      </c>
      <c r="BS17" s="10"/>
      <c r="BT17" s="10">
        <v>0.8</v>
      </c>
      <c r="BU17" s="10"/>
      <c r="BV17" s="10">
        <v>0.8</v>
      </c>
      <c r="BZ17" s="10"/>
      <c r="CA17" s="10">
        <v>0.8</v>
      </c>
      <c r="CB17" s="10"/>
      <c r="CC17" s="10">
        <v>0.8</v>
      </c>
      <c r="CG17" s="10"/>
      <c r="CH17" s="10">
        <v>0.8</v>
      </c>
      <c r="CI17" s="10"/>
      <c r="CJ17" s="10">
        <v>0.8</v>
      </c>
      <c r="CN17" s="10"/>
      <c r="CO17" s="10">
        <v>0.8</v>
      </c>
      <c r="CP17" s="10"/>
      <c r="CQ17" s="10">
        <v>0.8</v>
      </c>
      <c r="CU17" s="10"/>
      <c r="CV17" s="10">
        <v>1</v>
      </c>
      <c r="CW17" s="10"/>
      <c r="CX17" s="10">
        <v>1</v>
      </c>
      <c r="DB17" s="10"/>
      <c r="DC17" s="10">
        <v>1</v>
      </c>
      <c r="DD17" s="10"/>
      <c r="DE17" s="10">
        <v>1</v>
      </c>
      <c r="DI17" s="10"/>
      <c r="DJ17" s="10"/>
      <c r="DK17" s="10"/>
      <c r="DL17" s="10"/>
      <c r="DP17" s="10"/>
      <c r="DQ17" s="10"/>
      <c r="DR17" s="10"/>
      <c r="DS17" s="10"/>
      <c r="DW17" s="10"/>
      <c r="DX17" s="10"/>
      <c r="DY17" s="10"/>
      <c r="DZ17" s="10"/>
      <c r="ED17" s="10"/>
      <c r="EE17" s="10"/>
      <c r="EF17" s="10"/>
      <c r="EG17" s="10"/>
      <c r="EK17" s="10"/>
      <c r="EL17" s="10"/>
      <c r="EM17" s="10"/>
      <c r="EN17" s="10"/>
      <c r="ER17" s="10"/>
      <c r="ES17" s="10"/>
      <c r="ET17" s="10"/>
      <c r="EU17" s="10"/>
    </row>
    <row r="18" spans="2:151" ht="15.75" customHeight="1" outlineLevel="1">
      <c r="B18" t="s">
        <v>28</v>
      </c>
      <c r="C18" t="s">
        <v>88</v>
      </c>
      <c r="E18" s="9"/>
      <c r="F18" t="s">
        <v>133</v>
      </c>
      <c r="G18" s="10">
        <v>0.1</v>
      </c>
      <c r="I18" s="9">
        <f>+SUMIF($N$3:$ZZ$3,I$3,$N18:$ZZ18)</f>
        <v>2</v>
      </c>
      <c r="J18" s="11" cm="1">
        <f t="array" ref="J18">MAX(IF($N$3:$EH$3=$J$3,N18:EH18))</f>
        <v>0</v>
      </c>
      <c r="K18" s="11" cm="1">
        <f t="array" ref="K18">MAX(IF($N$3:$EH$3=$J$3,N18:EH18))</f>
        <v>0</v>
      </c>
      <c r="L18" s="9"/>
      <c r="O18" s="10"/>
      <c r="P18" s="10"/>
      <c r="Q18" s="10"/>
      <c r="R18" s="10"/>
      <c r="V18" s="10"/>
      <c r="W18" s="10"/>
      <c r="X18" s="10"/>
      <c r="Y18" s="10"/>
      <c r="AC18" s="10"/>
      <c r="AD18" s="10"/>
      <c r="AE18" s="10"/>
      <c r="AF18" s="10"/>
      <c r="AJ18" s="10"/>
      <c r="AK18" s="10"/>
      <c r="AL18" s="10"/>
      <c r="AM18" s="10"/>
      <c r="AQ18" s="10"/>
      <c r="AR18" s="10"/>
      <c r="AS18" s="10"/>
      <c r="AT18" s="10"/>
      <c r="AW18">
        <v>1</v>
      </c>
      <c r="AX18" s="10"/>
      <c r="AY18" s="10">
        <v>0.5</v>
      </c>
      <c r="AZ18" s="10"/>
      <c r="BA18" s="10">
        <v>0.5</v>
      </c>
      <c r="BE18" s="10"/>
      <c r="BF18" s="10">
        <v>0.5</v>
      </c>
      <c r="BG18" s="10"/>
      <c r="BH18" s="10">
        <v>0.5</v>
      </c>
      <c r="BL18" s="10"/>
      <c r="BM18" s="10">
        <v>0.5</v>
      </c>
      <c r="BN18" s="10"/>
      <c r="BO18" s="10">
        <v>0.5</v>
      </c>
      <c r="BR18">
        <v>1</v>
      </c>
      <c r="BS18" s="10"/>
      <c r="BT18" s="10">
        <v>0.8</v>
      </c>
      <c r="BU18" s="10"/>
      <c r="BV18" s="10">
        <v>0.8</v>
      </c>
      <c r="BZ18" s="10"/>
      <c r="CA18" s="10">
        <v>0.8</v>
      </c>
      <c r="CB18" s="10"/>
      <c r="CC18" s="10">
        <v>0.8</v>
      </c>
      <c r="CG18" s="10"/>
      <c r="CH18" s="10">
        <v>0.8</v>
      </c>
      <c r="CI18" s="10"/>
      <c r="CJ18" s="10">
        <v>0.8</v>
      </c>
      <c r="CN18" s="10"/>
      <c r="CO18" s="10">
        <v>0.8</v>
      </c>
      <c r="CP18" s="10"/>
      <c r="CQ18" s="10">
        <v>0.8</v>
      </c>
      <c r="CU18" s="10"/>
      <c r="CV18" s="10">
        <v>1</v>
      </c>
      <c r="CW18" s="10"/>
      <c r="CX18" s="10">
        <v>1</v>
      </c>
      <c r="DB18" s="10"/>
      <c r="DC18" s="10">
        <v>1</v>
      </c>
      <c r="DD18" s="10"/>
      <c r="DE18" s="10">
        <v>1</v>
      </c>
      <c r="DI18" s="10"/>
      <c r="DJ18" s="10"/>
      <c r="DK18" s="10"/>
      <c r="DL18" s="10"/>
      <c r="DP18" s="10"/>
      <c r="DQ18" s="10"/>
      <c r="DR18" s="10"/>
      <c r="DS18" s="10"/>
      <c r="DW18" s="10"/>
      <c r="DX18" s="10"/>
      <c r="DY18" s="10"/>
      <c r="DZ18" s="10"/>
      <c r="ED18" s="10"/>
      <c r="EE18" s="10"/>
      <c r="EF18" s="10"/>
      <c r="EG18" s="10"/>
      <c r="EK18" s="10"/>
      <c r="EL18" s="10"/>
      <c r="EM18" s="10"/>
      <c r="EN18" s="10"/>
      <c r="ER18" s="10"/>
      <c r="ES18" s="10"/>
      <c r="ET18" s="10"/>
      <c r="EU18" s="10"/>
    </row>
    <row r="19" spans="2:151" ht="15.75" customHeight="1" outlineLevel="1">
      <c r="B19" t="s">
        <v>28</v>
      </c>
      <c r="C19" t="s">
        <v>88</v>
      </c>
      <c r="E19" s="9"/>
      <c r="F19" t="s">
        <v>134</v>
      </c>
      <c r="G19" s="10">
        <v>0.1</v>
      </c>
      <c r="I19" s="9">
        <f>+SUMIF($N$3:$ZZ$3,I$3,$N19:$ZZ19)</f>
        <v>2</v>
      </c>
      <c r="J19" s="11" cm="1">
        <f t="array" ref="J19">MAX(IF($N$3:$EH$3=$J$3,N19:EH19))</f>
        <v>0</v>
      </c>
      <c r="K19" s="11" cm="1">
        <f t="array" ref="K19">MAX(IF($N$3:$EH$3=$J$3,N19:EH19))</f>
        <v>0</v>
      </c>
      <c r="L19" s="9"/>
      <c r="O19" s="10"/>
      <c r="P19" s="10"/>
      <c r="Q19" s="10"/>
      <c r="R19" s="10"/>
      <c r="V19" s="10"/>
      <c r="W19" s="10"/>
      <c r="X19" s="10"/>
      <c r="Y19" s="10"/>
      <c r="AC19" s="10"/>
      <c r="AD19" s="10"/>
      <c r="AE19" s="10"/>
      <c r="AF19" s="10"/>
      <c r="AJ19" s="10"/>
      <c r="AK19" s="10"/>
      <c r="AL19" s="10"/>
      <c r="AM19" s="10"/>
      <c r="AQ19" s="10"/>
      <c r="AR19" s="10"/>
      <c r="AS19" s="10"/>
      <c r="AT19" s="10"/>
      <c r="AX19" s="10"/>
      <c r="AY19" s="10"/>
      <c r="AZ19" s="10"/>
      <c r="BA19" s="10"/>
      <c r="BD19">
        <v>1</v>
      </c>
      <c r="BE19" s="10"/>
      <c r="BF19" s="10">
        <v>0.5</v>
      </c>
      <c r="BG19" s="10"/>
      <c r="BH19" s="10">
        <v>0.5</v>
      </c>
      <c r="BL19" s="10"/>
      <c r="BM19" s="10">
        <v>0.5</v>
      </c>
      <c r="BN19" s="10"/>
      <c r="BO19" s="10">
        <v>0.5</v>
      </c>
      <c r="BR19">
        <v>1</v>
      </c>
      <c r="BS19" s="10"/>
      <c r="BT19" s="10">
        <v>0.8</v>
      </c>
      <c r="BU19" s="10"/>
      <c r="BV19" s="10">
        <v>0.8</v>
      </c>
      <c r="BZ19" s="10"/>
      <c r="CA19" s="10">
        <v>0.8</v>
      </c>
      <c r="CB19" s="10"/>
      <c r="CC19" s="10">
        <v>0.8</v>
      </c>
      <c r="CG19" s="10"/>
      <c r="CH19" s="10">
        <v>0.8</v>
      </c>
      <c r="CI19" s="10"/>
      <c r="CJ19" s="10">
        <v>0.8</v>
      </c>
      <c r="CN19" s="10"/>
      <c r="CO19" s="10">
        <v>0.8</v>
      </c>
      <c r="CP19" s="10"/>
      <c r="CQ19" s="10">
        <v>0.8</v>
      </c>
      <c r="CU19" s="10"/>
      <c r="CV19" s="10">
        <v>0.8</v>
      </c>
      <c r="CW19" s="10"/>
      <c r="CX19" s="10">
        <v>0.8</v>
      </c>
      <c r="DB19" s="10"/>
      <c r="DC19" s="10">
        <v>1</v>
      </c>
      <c r="DD19" s="10"/>
      <c r="DE19" s="10">
        <v>1</v>
      </c>
      <c r="DI19" s="10"/>
      <c r="DJ19" s="10"/>
      <c r="DK19" s="10"/>
      <c r="DL19" s="10"/>
      <c r="DP19" s="10"/>
      <c r="DQ19" s="10"/>
      <c r="DR19" s="10"/>
      <c r="DS19" s="10"/>
      <c r="DW19" s="10"/>
      <c r="DX19" s="10"/>
      <c r="DY19" s="10"/>
      <c r="DZ19" s="10"/>
      <c r="ED19" s="10"/>
      <c r="EE19" s="10"/>
      <c r="EF19" s="10"/>
      <c r="EG19" s="10"/>
      <c r="EK19" s="10"/>
      <c r="EL19" s="10"/>
      <c r="EM19" s="10"/>
      <c r="EN19" s="10"/>
      <c r="ER19" s="10"/>
      <c r="ES19" s="10"/>
      <c r="ET19" s="10"/>
      <c r="EU19" s="10"/>
    </row>
    <row r="20" spans="2:151" ht="15.75" customHeight="1" outlineLevel="1">
      <c r="B20" t="s">
        <v>28</v>
      </c>
      <c r="C20" t="s">
        <v>88</v>
      </c>
      <c r="E20" s="9"/>
      <c r="F20" t="s">
        <v>135</v>
      </c>
      <c r="G20" s="10">
        <v>0.1</v>
      </c>
      <c r="I20" s="9">
        <f>+SUMIF($N$3:$ZZ$3,I$3,$N20:$ZZ20)</f>
        <v>2</v>
      </c>
      <c r="J20" s="11" cm="1">
        <f t="array" ref="J20">MAX(IF($N$3:$EH$3=$J$3,N20:EH20))</f>
        <v>0</v>
      </c>
      <c r="K20" s="11" cm="1">
        <f t="array" ref="K20">MAX(IF($N$3:$EH$3=$J$3,N20:EH20))</f>
        <v>0</v>
      </c>
      <c r="L20" s="9"/>
      <c r="O20" s="10"/>
      <c r="P20" s="10"/>
      <c r="Q20" s="10"/>
      <c r="R20" s="10"/>
      <c r="V20" s="10"/>
      <c r="W20" s="10"/>
      <c r="X20" s="10"/>
      <c r="Y20" s="10"/>
      <c r="AC20" s="10"/>
      <c r="AD20" s="10"/>
      <c r="AE20" s="10"/>
      <c r="AF20" s="10"/>
      <c r="AJ20" s="10"/>
      <c r="AK20" s="10"/>
      <c r="AL20" s="10"/>
      <c r="AM20" s="10"/>
      <c r="AQ20" s="10"/>
      <c r="AR20" s="10"/>
      <c r="AS20" s="10"/>
      <c r="AT20" s="10"/>
      <c r="AX20" s="10"/>
      <c r="AY20" s="10"/>
      <c r="AZ20" s="10"/>
      <c r="BA20" s="10"/>
      <c r="BD20">
        <v>1</v>
      </c>
      <c r="BE20" s="10"/>
      <c r="BF20" s="10">
        <v>0.5</v>
      </c>
      <c r="BG20" s="10"/>
      <c r="BH20" s="10">
        <v>0.5</v>
      </c>
      <c r="BL20" s="10"/>
      <c r="BM20" s="10">
        <v>0.5</v>
      </c>
      <c r="BN20" s="10"/>
      <c r="BO20" s="10">
        <v>0.5</v>
      </c>
      <c r="BS20" s="10"/>
      <c r="BT20" s="10">
        <v>0.5</v>
      </c>
      <c r="BU20" s="10"/>
      <c r="BV20" s="10">
        <v>0.5</v>
      </c>
      <c r="BZ20" s="10"/>
      <c r="CA20" s="10">
        <v>0.5</v>
      </c>
      <c r="CB20" s="10"/>
      <c r="CC20" s="10">
        <v>0.5</v>
      </c>
      <c r="CF20">
        <v>1</v>
      </c>
      <c r="CG20" s="10"/>
      <c r="CH20" s="10">
        <v>0.8</v>
      </c>
      <c r="CI20" s="10"/>
      <c r="CJ20" s="10">
        <v>0.8</v>
      </c>
      <c r="CN20" s="10"/>
      <c r="CO20" s="10">
        <v>0.8</v>
      </c>
      <c r="CP20" s="10"/>
      <c r="CQ20" s="10">
        <v>0.8</v>
      </c>
      <c r="CU20" s="10"/>
      <c r="CV20" s="10">
        <v>0.8</v>
      </c>
      <c r="CW20" s="10"/>
      <c r="CX20" s="10">
        <v>0.8</v>
      </c>
      <c r="DB20" s="10"/>
      <c r="DC20" s="10">
        <v>1</v>
      </c>
      <c r="DD20" s="10"/>
      <c r="DE20" s="10">
        <v>1</v>
      </c>
      <c r="DI20" s="10"/>
      <c r="DJ20" s="10"/>
      <c r="DK20" s="10"/>
      <c r="DL20" s="10"/>
      <c r="DP20" s="10"/>
      <c r="DQ20" s="10"/>
      <c r="DR20" s="10"/>
      <c r="DS20" s="10"/>
      <c r="DW20" s="10"/>
      <c r="DX20" s="10"/>
      <c r="DY20" s="10"/>
      <c r="DZ20" s="10"/>
      <c r="ED20" s="10"/>
      <c r="EE20" s="10"/>
      <c r="EF20" s="10"/>
      <c r="EG20" s="10"/>
      <c r="EK20" s="10"/>
      <c r="EL20" s="10"/>
      <c r="EM20" s="10"/>
      <c r="EN20" s="10"/>
      <c r="ER20" s="10"/>
      <c r="ES20" s="10"/>
      <c r="ET20" s="10"/>
      <c r="EU20" s="10"/>
    </row>
    <row r="21" spans="2:151" ht="15.75" customHeight="1" outlineLevel="1">
      <c r="B21" t="s">
        <v>28</v>
      </c>
      <c r="C21" t="s">
        <v>88</v>
      </c>
      <c r="E21" s="9"/>
      <c r="F21" t="s">
        <v>136</v>
      </c>
      <c r="G21" s="10">
        <v>0.1</v>
      </c>
      <c r="I21" s="9">
        <f>+SUMIF($N$3:$ZZ$3,I$3,$N21:$ZZ21)</f>
        <v>2</v>
      </c>
      <c r="J21" s="11" cm="1">
        <f t="array" ref="J21">MAX(IF($N$3:$EH$3=$J$3,N21:EH21))</f>
        <v>0</v>
      </c>
      <c r="K21" s="11" cm="1">
        <f t="array" ref="K21">MAX(IF($N$3:$EH$3=$J$3,N21:EH21))</f>
        <v>0</v>
      </c>
      <c r="L21" s="9"/>
      <c r="O21" s="10"/>
      <c r="P21" s="10"/>
      <c r="Q21" s="10"/>
      <c r="R21" s="10"/>
      <c r="V21" s="10"/>
      <c r="W21" s="10"/>
      <c r="X21" s="10"/>
      <c r="Y21" s="10"/>
      <c r="AC21" s="10"/>
      <c r="AD21" s="10"/>
      <c r="AE21" s="10"/>
      <c r="AF21" s="10"/>
      <c r="AJ21" s="10"/>
      <c r="AK21" s="10"/>
      <c r="AL21" s="10"/>
      <c r="AM21" s="10"/>
      <c r="AQ21" s="10"/>
      <c r="AR21" s="10"/>
      <c r="AS21" s="10"/>
      <c r="AT21" s="10"/>
      <c r="AX21" s="10"/>
      <c r="AY21" s="10"/>
      <c r="AZ21" s="10"/>
      <c r="BA21" s="10"/>
      <c r="BD21">
        <v>1</v>
      </c>
      <c r="BE21" s="10"/>
      <c r="BF21" s="10">
        <v>0.5</v>
      </c>
      <c r="BG21" s="10"/>
      <c r="BH21" s="10">
        <v>0.5</v>
      </c>
      <c r="BL21" s="10"/>
      <c r="BM21" s="10">
        <v>0.5</v>
      </c>
      <c r="BN21" s="10"/>
      <c r="BO21" s="10">
        <v>0.5</v>
      </c>
      <c r="BS21" s="10"/>
      <c r="BT21" s="10">
        <v>0.5</v>
      </c>
      <c r="BU21" s="10"/>
      <c r="BV21" s="10">
        <v>0.5</v>
      </c>
      <c r="BZ21" s="10"/>
      <c r="CA21" s="10">
        <v>0.5</v>
      </c>
      <c r="CB21" s="10"/>
      <c r="CC21" s="10">
        <v>0.5</v>
      </c>
      <c r="CG21" s="10"/>
      <c r="CH21" s="10">
        <v>0.5</v>
      </c>
      <c r="CI21" s="10"/>
      <c r="CJ21" s="10">
        <v>0.5</v>
      </c>
      <c r="CM21">
        <v>1</v>
      </c>
      <c r="CN21" s="10"/>
      <c r="CO21" s="10">
        <v>0.8</v>
      </c>
      <c r="CP21" s="10"/>
      <c r="CQ21" s="10">
        <v>0.8</v>
      </c>
      <c r="CU21" s="10"/>
      <c r="CV21" s="10">
        <v>0.8</v>
      </c>
      <c r="CW21" s="10"/>
      <c r="CX21" s="10">
        <v>0.8</v>
      </c>
      <c r="DB21" s="10"/>
      <c r="DC21" s="10">
        <v>1</v>
      </c>
      <c r="DD21" s="10"/>
      <c r="DE21" s="10">
        <v>1</v>
      </c>
      <c r="DI21" s="10"/>
      <c r="DJ21" s="10"/>
      <c r="DK21" s="10"/>
      <c r="DL21" s="10"/>
      <c r="DP21" s="10"/>
      <c r="DQ21" s="10"/>
      <c r="DR21" s="10"/>
      <c r="DS21" s="10"/>
      <c r="DW21" s="10"/>
      <c r="DX21" s="10"/>
      <c r="DY21" s="10"/>
      <c r="DZ21" s="10"/>
      <c r="ED21" s="10"/>
      <c r="EE21" s="10"/>
      <c r="EF21" s="10"/>
      <c r="EG21" s="10"/>
      <c r="EK21" s="10"/>
      <c r="EL21" s="10"/>
      <c r="EM21" s="10"/>
      <c r="EN21" s="10"/>
      <c r="ER21" s="10"/>
      <c r="ES21" s="10"/>
      <c r="ET21" s="10"/>
      <c r="EU21" s="10"/>
    </row>
    <row r="22" spans="2:151" ht="15.75" customHeight="1" outlineLevel="1">
      <c r="B22" t="s">
        <v>28</v>
      </c>
      <c r="C22" t="s">
        <v>88</v>
      </c>
      <c r="E22" s="9"/>
      <c r="F22" t="s">
        <v>137</v>
      </c>
      <c r="G22" s="10">
        <v>0.1</v>
      </c>
      <c r="I22" s="9">
        <f>+SUMIF($N$3:$ZZ$3,I$3,$N22:$ZZ22)</f>
        <v>2</v>
      </c>
      <c r="J22" s="11" cm="1">
        <f t="array" ref="J22">MAX(IF($N$3:$EH$3=$J$3,N22:EH22))</f>
        <v>0</v>
      </c>
      <c r="K22" s="11" cm="1">
        <f t="array" ref="K22">MAX(IF($N$3:$EH$3=$J$3,N22:EH22))</f>
        <v>0</v>
      </c>
      <c r="L22" s="9"/>
      <c r="O22" s="10"/>
      <c r="P22" s="10"/>
      <c r="Q22" s="10"/>
      <c r="R22" s="10"/>
      <c r="V22" s="10"/>
      <c r="W22" s="10"/>
      <c r="X22" s="10"/>
      <c r="Y22" s="10"/>
      <c r="AC22" s="10"/>
      <c r="AD22" s="10"/>
      <c r="AE22" s="10"/>
      <c r="AF22" s="10"/>
      <c r="AJ22" s="10"/>
      <c r="AK22" s="10"/>
      <c r="AL22" s="10"/>
      <c r="AM22" s="10"/>
      <c r="AQ22" s="10"/>
      <c r="AR22" s="10"/>
      <c r="AS22" s="10"/>
      <c r="AT22" s="10"/>
      <c r="AX22" s="10"/>
      <c r="AY22" s="10"/>
      <c r="AZ22" s="10"/>
      <c r="BA22" s="10"/>
      <c r="BE22" s="10"/>
      <c r="BF22" s="10"/>
      <c r="BG22" s="10"/>
      <c r="BH22" s="10"/>
      <c r="BK22">
        <v>1</v>
      </c>
      <c r="BL22" s="10"/>
      <c r="BM22" s="10">
        <v>0.5</v>
      </c>
      <c r="BN22" s="10"/>
      <c r="BO22" s="10">
        <v>0.5</v>
      </c>
      <c r="BS22" s="10"/>
      <c r="BT22" s="10">
        <v>0.5</v>
      </c>
      <c r="BU22" s="10"/>
      <c r="BV22" s="10">
        <v>0.5</v>
      </c>
      <c r="BZ22" s="10"/>
      <c r="CA22" s="10">
        <v>0.5</v>
      </c>
      <c r="CB22" s="10"/>
      <c r="CC22" s="10">
        <v>0.5</v>
      </c>
      <c r="CG22" s="10"/>
      <c r="CH22" s="10">
        <v>0.5</v>
      </c>
      <c r="CI22" s="10"/>
      <c r="CJ22" s="10">
        <v>0.5</v>
      </c>
      <c r="CM22">
        <v>1</v>
      </c>
      <c r="CN22" s="10"/>
      <c r="CO22" s="10">
        <v>0.8</v>
      </c>
      <c r="CP22" s="10"/>
      <c r="CQ22" s="10">
        <v>0.8</v>
      </c>
      <c r="CU22" s="10"/>
      <c r="CV22" s="10">
        <v>0.8</v>
      </c>
      <c r="CW22" s="10"/>
      <c r="CX22" s="10">
        <v>0.8</v>
      </c>
      <c r="DB22" s="10"/>
      <c r="DC22" s="10">
        <v>1</v>
      </c>
      <c r="DD22" s="10"/>
      <c r="DE22" s="10">
        <v>1</v>
      </c>
      <c r="DI22" s="10"/>
      <c r="DJ22" s="10"/>
      <c r="DK22" s="10"/>
      <c r="DL22" s="10"/>
      <c r="DP22" s="10"/>
      <c r="DQ22" s="10"/>
      <c r="DR22" s="10"/>
      <c r="DS22" s="10"/>
      <c r="DW22" s="10"/>
      <c r="DX22" s="10"/>
      <c r="DY22" s="10"/>
      <c r="DZ22" s="10"/>
      <c r="ED22" s="10"/>
      <c r="EE22" s="10"/>
      <c r="EF22" s="10"/>
      <c r="EG22" s="10"/>
      <c r="EK22" s="10"/>
      <c r="EL22" s="10"/>
      <c r="EM22" s="10"/>
      <c r="EN22" s="10"/>
      <c r="ER22" s="10"/>
      <c r="ES22" s="10"/>
      <c r="ET22" s="10"/>
      <c r="EU22" s="10"/>
    </row>
    <row r="24" spans="2:151">
      <c r="B24" t="s">
        <v>27</v>
      </c>
      <c r="C24" t="s">
        <v>89</v>
      </c>
      <c r="D24" s="19">
        <v>45707</v>
      </c>
      <c r="E24" s="9">
        <v>6</v>
      </c>
      <c r="G24" s="10">
        <f>+SUM(G25:G30)</f>
        <v>1</v>
      </c>
      <c r="I24" s="12">
        <f>+SUM(I25:I30)</f>
        <v>16</v>
      </c>
      <c r="J24" s="11">
        <f>+SUMPRODUCT(G25:G30,J25:J30)</f>
        <v>0</v>
      </c>
      <c r="K24" s="11">
        <f>+SUMPRODUCT(G25:G30,K25:K30)</f>
        <v>0</v>
      </c>
      <c r="L24" s="9"/>
      <c r="N24" s="12"/>
      <c r="U24" s="12"/>
      <c r="AB24" s="12"/>
      <c r="AI24" s="12"/>
      <c r="AP24" s="12"/>
    </row>
    <row r="25" spans="2:151" ht="15.75" customHeight="1" outlineLevel="1">
      <c r="B25" t="s">
        <v>28</v>
      </c>
      <c r="C25" t="s">
        <v>89</v>
      </c>
      <c r="E25" s="9"/>
      <c r="F25" t="s">
        <v>138</v>
      </c>
      <c r="G25" s="10">
        <v>0.1</v>
      </c>
      <c r="I25" s="9">
        <f>+SUMIF($N$3:$ZZ$3,I$3,$N25:$ZZ25)</f>
        <v>2</v>
      </c>
      <c r="J25" s="11" cm="1">
        <f t="array" ref="J25">MAX(IF($N$3:$EH$3=$J$3,N25:EH25))</f>
        <v>0</v>
      </c>
      <c r="K25" s="11" cm="1">
        <f t="array" ref="K25">MAX(IF($N$3:$EH$3=$J$3,N25:EH25))</f>
        <v>0</v>
      </c>
      <c r="L25" s="9"/>
      <c r="O25" s="10"/>
      <c r="P25" s="10">
        <v>0.5</v>
      </c>
      <c r="Q25" s="10"/>
      <c r="R25" s="10">
        <v>0.5</v>
      </c>
      <c r="V25" s="10"/>
      <c r="W25" s="10">
        <v>0.5</v>
      </c>
      <c r="X25" s="10"/>
      <c r="Y25" s="10">
        <v>0.5</v>
      </c>
      <c r="AB25">
        <v>1</v>
      </c>
      <c r="AC25" s="10"/>
      <c r="AD25" s="10">
        <v>0.8</v>
      </c>
      <c r="AE25" s="10"/>
      <c r="AF25" s="10">
        <v>0.8</v>
      </c>
      <c r="AJ25" s="10"/>
      <c r="AK25" s="10">
        <v>0.8</v>
      </c>
      <c r="AL25" s="10"/>
      <c r="AM25" s="10">
        <v>0.8</v>
      </c>
      <c r="AQ25" s="10"/>
      <c r="AR25" s="10">
        <v>0.8</v>
      </c>
      <c r="AS25" s="10"/>
      <c r="AT25" s="10">
        <v>0.8</v>
      </c>
      <c r="AX25" s="10"/>
      <c r="AY25" s="10">
        <v>0.8</v>
      </c>
      <c r="AZ25" s="10"/>
      <c r="BA25" s="10">
        <v>0.8</v>
      </c>
      <c r="BE25" s="10"/>
      <c r="BF25" s="10">
        <v>0.8</v>
      </c>
      <c r="BG25" s="10"/>
      <c r="BH25" s="10">
        <v>0.8</v>
      </c>
      <c r="BL25" s="10"/>
      <c r="BM25" s="10">
        <v>0.8</v>
      </c>
      <c r="BN25" s="10"/>
      <c r="BO25" s="10">
        <v>0.8</v>
      </c>
      <c r="BR25">
        <v>1</v>
      </c>
      <c r="BS25" s="10"/>
      <c r="BT25" s="10">
        <v>1</v>
      </c>
      <c r="BU25" s="10"/>
      <c r="BV25" s="10">
        <v>1</v>
      </c>
      <c r="BZ25" s="10"/>
      <c r="CA25" s="10">
        <v>1</v>
      </c>
      <c r="CB25" s="10"/>
      <c r="CC25" s="10">
        <v>1</v>
      </c>
      <c r="CG25" s="10"/>
      <c r="CH25" s="10">
        <v>1</v>
      </c>
      <c r="CI25" s="10"/>
      <c r="CJ25" s="10">
        <v>1</v>
      </c>
      <c r="CN25" s="10"/>
      <c r="CO25" s="10">
        <v>1</v>
      </c>
      <c r="CP25" s="10"/>
      <c r="CQ25" s="10">
        <v>1</v>
      </c>
      <c r="CU25" s="10"/>
      <c r="CV25" s="10">
        <v>1</v>
      </c>
      <c r="CW25" s="10"/>
      <c r="CX25" s="10">
        <v>1</v>
      </c>
      <c r="DB25" s="10"/>
      <c r="DC25" s="10">
        <v>1</v>
      </c>
      <c r="DD25" s="10"/>
      <c r="DE25" s="10">
        <v>1</v>
      </c>
      <c r="DI25" s="10"/>
      <c r="DJ25" s="10"/>
      <c r="DK25" s="10"/>
      <c r="DL25" s="10"/>
      <c r="DP25" s="10"/>
      <c r="DQ25" s="10"/>
      <c r="DR25" s="10"/>
      <c r="DS25" s="10"/>
      <c r="DW25" s="10"/>
      <c r="DX25" s="10"/>
      <c r="DY25" s="10"/>
      <c r="DZ25" s="10"/>
      <c r="ED25" s="10"/>
      <c r="EE25" s="10"/>
      <c r="EF25" s="10"/>
      <c r="EG25" s="10"/>
      <c r="EK25" s="10"/>
      <c r="EL25" s="10"/>
      <c r="EM25" s="10"/>
      <c r="EN25" s="10"/>
      <c r="ER25" s="10"/>
      <c r="ES25" s="10"/>
      <c r="ET25" s="10"/>
      <c r="EU25" s="10"/>
    </row>
    <row r="26" spans="2:151" ht="15.75" customHeight="1" outlineLevel="1">
      <c r="B26" t="s">
        <v>28</v>
      </c>
      <c r="C26" t="s">
        <v>89</v>
      </c>
      <c r="E26" s="9"/>
      <c r="F26" t="s">
        <v>139</v>
      </c>
      <c r="G26" s="10">
        <v>0.2</v>
      </c>
      <c r="I26" s="9">
        <f>+SUMIF($N$3:$ZZ$3,I$3,$N26:$ZZ26)</f>
        <v>3</v>
      </c>
      <c r="J26" s="11" cm="1">
        <f t="array" ref="J26">MAX(IF($N$3:$EH$3=$J$3,N26:EH26))</f>
        <v>0</v>
      </c>
      <c r="K26" s="11" cm="1">
        <f t="array" ref="K26">MAX(IF($N$3:$EH$3=$J$3,N26:EH26))</f>
        <v>0</v>
      </c>
      <c r="L26" s="9"/>
      <c r="O26" s="10"/>
      <c r="P26" s="10"/>
      <c r="Q26" s="10"/>
      <c r="R26" s="10"/>
      <c r="U26">
        <v>1</v>
      </c>
      <c r="V26" s="10"/>
      <c r="W26" s="10">
        <v>0.5</v>
      </c>
      <c r="X26" s="10"/>
      <c r="Y26" s="10">
        <v>0.5</v>
      </c>
      <c r="AC26" s="10"/>
      <c r="AD26" s="10">
        <v>0.5</v>
      </c>
      <c r="AE26" s="10"/>
      <c r="AF26" s="10">
        <v>0.5</v>
      </c>
      <c r="AJ26" s="10"/>
      <c r="AK26" s="10">
        <v>0.5</v>
      </c>
      <c r="AL26" s="10"/>
      <c r="AM26" s="10">
        <v>0.5</v>
      </c>
      <c r="AP26">
        <v>1</v>
      </c>
      <c r="AQ26" s="10"/>
      <c r="AR26" s="10">
        <v>0.8</v>
      </c>
      <c r="AS26" s="10"/>
      <c r="AT26" s="10">
        <v>0.8</v>
      </c>
      <c r="AX26" s="10"/>
      <c r="AY26" s="10">
        <v>0.8</v>
      </c>
      <c r="AZ26" s="10"/>
      <c r="BA26" s="10">
        <v>0.8</v>
      </c>
      <c r="BE26" s="10"/>
      <c r="BF26" s="10">
        <v>0.8</v>
      </c>
      <c r="BG26" s="10"/>
      <c r="BH26" s="10">
        <v>0.8</v>
      </c>
      <c r="BL26" s="10"/>
      <c r="BM26" s="10">
        <v>0.8</v>
      </c>
      <c r="BN26" s="10"/>
      <c r="BO26" s="10">
        <v>0.8</v>
      </c>
      <c r="BS26" s="10"/>
      <c r="BT26" s="10">
        <v>0.8</v>
      </c>
      <c r="BU26" s="10"/>
      <c r="BV26" s="10">
        <v>0.8</v>
      </c>
      <c r="BZ26" s="10"/>
      <c r="CA26" s="10">
        <v>0.8</v>
      </c>
      <c r="CB26" s="10"/>
      <c r="CC26" s="10">
        <v>0.8</v>
      </c>
      <c r="CF26">
        <v>1</v>
      </c>
      <c r="CG26" s="10"/>
      <c r="CH26" s="10">
        <v>1</v>
      </c>
      <c r="CI26" s="10"/>
      <c r="CJ26" s="10">
        <v>1</v>
      </c>
      <c r="CN26" s="10"/>
      <c r="CO26" s="10">
        <v>1</v>
      </c>
      <c r="CP26" s="10"/>
      <c r="CQ26" s="10">
        <v>1</v>
      </c>
      <c r="CU26" s="10"/>
      <c r="CV26" s="10">
        <v>1</v>
      </c>
      <c r="CW26" s="10"/>
      <c r="CX26" s="10">
        <v>1</v>
      </c>
      <c r="DB26" s="10"/>
      <c r="DC26" s="10">
        <v>1</v>
      </c>
      <c r="DD26" s="10"/>
      <c r="DE26" s="10">
        <v>1</v>
      </c>
      <c r="DI26" s="10"/>
      <c r="DJ26" s="10"/>
      <c r="DK26" s="10"/>
      <c r="DL26" s="10"/>
      <c r="DP26" s="10"/>
      <c r="DQ26" s="10"/>
      <c r="DR26" s="10"/>
      <c r="DS26" s="10"/>
      <c r="DW26" s="10"/>
      <c r="DX26" s="10"/>
      <c r="DY26" s="10"/>
      <c r="DZ26" s="10"/>
      <c r="ED26" s="10"/>
      <c r="EE26" s="10"/>
      <c r="EF26" s="10"/>
      <c r="EG26" s="10"/>
      <c r="EK26" s="10"/>
      <c r="EL26" s="10"/>
      <c r="EM26" s="10"/>
      <c r="EN26" s="10"/>
      <c r="ER26" s="10"/>
      <c r="ES26" s="10"/>
      <c r="ET26" s="10"/>
      <c r="EU26" s="10"/>
    </row>
    <row r="27" spans="2:151" ht="15.75" customHeight="1" outlineLevel="1">
      <c r="B27" t="s">
        <v>28</v>
      </c>
      <c r="C27" t="s">
        <v>89</v>
      </c>
      <c r="E27" s="9"/>
      <c r="F27" s="1" t="s">
        <v>140</v>
      </c>
      <c r="G27" s="10">
        <v>0.2</v>
      </c>
      <c r="I27" s="9">
        <f>+SUMIF($N$3:$ZZ$3,I$3,$N27:$ZZ27)</f>
        <v>2</v>
      </c>
      <c r="J27" s="11" cm="1">
        <f t="array" ref="J27">MAX(IF($N$3:$EH$3=$J$3,N27:EH27))</f>
        <v>0</v>
      </c>
      <c r="K27" s="11" cm="1">
        <f t="array" ref="K27">MAX(IF($N$3:$EH$3=$J$3,N27:EH27))</f>
        <v>0</v>
      </c>
      <c r="L27" s="9"/>
      <c r="O27" s="10"/>
      <c r="P27" s="10"/>
      <c r="Q27" s="10"/>
      <c r="R27" s="10"/>
      <c r="V27" s="10"/>
      <c r="W27" s="10"/>
      <c r="X27" s="10"/>
      <c r="Y27" s="10"/>
      <c r="AC27" s="10"/>
      <c r="AD27" s="10"/>
      <c r="AE27" s="10"/>
      <c r="AF27" s="10"/>
      <c r="AI27">
        <v>1</v>
      </c>
      <c r="AJ27" s="10"/>
      <c r="AK27" s="10">
        <v>0.5</v>
      </c>
      <c r="AL27" s="10"/>
      <c r="AM27" s="10">
        <v>0.5</v>
      </c>
      <c r="AQ27" s="10"/>
      <c r="AR27" s="10">
        <v>0.5</v>
      </c>
      <c r="AS27" s="10"/>
      <c r="AT27" s="10">
        <v>0.5</v>
      </c>
      <c r="AX27" s="10"/>
      <c r="AY27" s="10">
        <v>0.5</v>
      </c>
      <c r="AZ27" s="10"/>
      <c r="BA27" s="10">
        <v>0.5</v>
      </c>
      <c r="BD27">
        <v>1</v>
      </c>
      <c r="BE27" s="10"/>
      <c r="BF27" s="10">
        <v>0.8</v>
      </c>
      <c r="BG27" s="10"/>
      <c r="BH27" s="10">
        <v>0.8</v>
      </c>
      <c r="BL27" s="10"/>
      <c r="BM27" s="10">
        <v>0.8</v>
      </c>
      <c r="BN27" s="10"/>
      <c r="BO27" s="10">
        <v>0.8</v>
      </c>
      <c r="BS27" s="10"/>
      <c r="BT27" s="10">
        <v>0.8</v>
      </c>
      <c r="BU27" s="10"/>
      <c r="BV27" s="10">
        <v>0.8</v>
      </c>
      <c r="BZ27" s="10"/>
      <c r="CA27" s="10">
        <v>0.8</v>
      </c>
      <c r="CB27" s="10"/>
      <c r="CC27" s="10">
        <v>0.8</v>
      </c>
      <c r="CG27" s="10"/>
      <c r="CH27" s="10">
        <v>0.8</v>
      </c>
      <c r="CI27" s="10"/>
      <c r="CJ27" s="10">
        <v>0.8</v>
      </c>
      <c r="CN27" s="10"/>
      <c r="CO27" s="10">
        <v>1</v>
      </c>
      <c r="CP27" s="10"/>
      <c r="CQ27" s="10">
        <v>1</v>
      </c>
      <c r="CU27" s="10"/>
      <c r="CV27" s="10">
        <v>1</v>
      </c>
      <c r="CW27" s="10"/>
      <c r="CX27" s="10">
        <v>1</v>
      </c>
      <c r="DB27" s="10"/>
      <c r="DC27" s="10">
        <v>1</v>
      </c>
      <c r="DD27" s="10"/>
      <c r="DE27" s="10">
        <v>1</v>
      </c>
      <c r="DI27" s="10"/>
      <c r="DJ27" s="10"/>
      <c r="DK27" s="10"/>
      <c r="DL27" s="10"/>
      <c r="DP27" s="10"/>
      <c r="DQ27" s="10"/>
      <c r="DR27" s="10"/>
      <c r="DS27" s="10"/>
      <c r="DW27" s="10"/>
      <c r="DX27" s="10"/>
      <c r="DY27" s="10"/>
      <c r="DZ27" s="10"/>
      <c r="ED27" s="10"/>
      <c r="EE27" s="10"/>
      <c r="EF27" s="10"/>
      <c r="EG27" s="10"/>
      <c r="EK27" s="10"/>
      <c r="EL27" s="10"/>
      <c r="EM27" s="10"/>
      <c r="EN27" s="10"/>
      <c r="ER27" s="10"/>
      <c r="ES27" s="10"/>
      <c r="ET27" s="10"/>
      <c r="EU27" s="10"/>
    </row>
    <row r="28" spans="2:151" ht="15.75" customHeight="1" outlineLevel="1">
      <c r="B28" t="s">
        <v>28</v>
      </c>
      <c r="C28" t="s">
        <v>89</v>
      </c>
      <c r="E28" s="9"/>
      <c r="F28" t="s">
        <v>141</v>
      </c>
      <c r="G28" s="10">
        <v>0.15</v>
      </c>
      <c r="I28" s="9">
        <f>+SUMIF($N$3:$ZZ$3,I$3,$N28:$ZZ28)</f>
        <v>3</v>
      </c>
      <c r="J28" s="11" cm="1">
        <f t="array" ref="J28">MAX(IF($N$3:$EH$3=$J$3,N28:EH28))</f>
        <v>0</v>
      </c>
      <c r="K28" s="11" cm="1">
        <f t="array" ref="K28">MAX(IF($N$3:$EH$3=$J$3,N28:EH28))</f>
        <v>0</v>
      </c>
      <c r="L28" s="9"/>
      <c r="O28" s="10"/>
      <c r="P28" s="10"/>
      <c r="Q28" s="10"/>
      <c r="R28" s="10"/>
      <c r="V28" s="10"/>
      <c r="W28" s="10"/>
      <c r="X28" s="10"/>
      <c r="Y28" s="10"/>
      <c r="AC28" s="10"/>
      <c r="AD28" s="10"/>
      <c r="AE28" s="10"/>
      <c r="AF28" s="10"/>
      <c r="AJ28" s="10"/>
      <c r="AK28" s="10"/>
      <c r="AL28" s="10"/>
      <c r="AM28" s="10"/>
      <c r="AQ28" s="10"/>
      <c r="AR28" s="10"/>
      <c r="AS28" s="10"/>
      <c r="AT28" s="10"/>
      <c r="AW28">
        <v>1</v>
      </c>
      <c r="AX28" s="10"/>
      <c r="AY28" s="10">
        <v>0.5</v>
      </c>
      <c r="AZ28" s="10"/>
      <c r="BA28" s="10">
        <v>0.5</v>
      </c>
      <c r="BE28" s="10"/>
      <c r="BF28" s="10">
        <v>0.5</v>
      </c>
      <c r="BG28" s="10"/>
      <c r="BH28" s="10">
        <v>0.5</v>
      </c>
      <c r="BL28" s="10"/>
      <c r="BM28" s="10">
        <v>0.5</v>
      </c>
      <c r="BN28" s="10"/>
      <c r="BO28" s="10">
        <v>0.5</v>
      </c>
      <c r="BR28">
        <v>1</v>
      </c>
      <c r="BS28" s="10"/>
      <c r="BT28" s="10">
        <v>0.8</v>
      </c>
      <c r="BU28" s="10"/>
      <c r="BV28" s="10">
        <v>0.8</v>
      </c>
      <c r="BZ28" s="10"/>
      <c r="CA28" s="10">
        <v>0.8</v>
      </c>
      <c r="CB28" s="10"/>
      <c r="CC28" s="10">
        <v>0.8</v>
      </c>
      <c r="CG28" s="10"/>
      <c r="CH28" s="10">
        <v>0.8</v>
      </c>
      <c r="CI28" s="10"/>
      <c r="CJ28" s="10">
        <v>0.8</v>
      </c>
      <c r="CN28" s="10"/>
      <c r="CO28" s="10">
        <v>0.8</v>
      </c>
      <c r="CP28" s="10"/>
      <c r="CQ28" s="10">
        <v>0.8</v>
      </c>
      <c r="CT28">
        <v>1</v>
      </c>
      <c r="CU28" s="10"/>
      <c r="CV28" s="10">
        <v>1</v>
      </c>
      <c r="CW28" s="10"/>
      <c r="CX28" s="10">
        <v>1</v>
      </c>
      <c r="DB28" s="10"/>
      <c r="DC28" s="10">
        <v>1</v>
      </c>
      <c r="DD28" s="10"/>
      <c r="DE28" s="10">
        <v>1</v>
      </c>
      <c r="DI28" s="10"/>
      <c r="DJ28" s="10"/>
      <c r="DK28" s="10"/>
      <c r="DL28" s="10"/>
      <c r="DP28" s="10"/>
      <c r="DQ28" s="10"/>
      <c r="DR28" s="10"/>
      <c r="DS28" s="10"/>
      <c r="DW28" s="10"/>
      <c r="DX28" s="10"/>
      <c r="DY28" s="10"/>
      <c r="DZ28" s="10"/>
      <c r="ED28" s="10"/>
      <c r="EE28" s="10"/>
      <c r="EF28" s="10"/>
      <c r="EG28" s="10"/>
      <c r="EK28" s="10"/>
      <c r="EL28" s="10"/>
      <c r="EM28" s="10"/>
      <c r="EN28" s="10"/>
      <c r="ER28" s="10"/>
      <c r="ES28" s="10"/>
      <c r="ET28" s="10"/>
      <c r="EU28" s="10"/>
    </row>
    <row r="29" spans="2:151" ht="15.75" customHeight="1" outlineLevel="1">
      <c r="B29" t="s">
        <v>28</v>
      </c>
      <c r="C29" t="s">
        <v>89</v>
      </c>
      <c r="E29" s="9"/>
      <c r="F29" t="s">
        <v>142</v>
      </c>
      <c r="G29" s="10">
        <v>0.15</v>
      </c>
      <c r="I29" s="9">
        <f>+SUMIF($N$3:$ZZ$3,I$3,$N29:$ZZ29)</f>
        <v>3</v>
      </c>
      <c r="J29" s="11" cm="1">
        <f t="array" ref="J29">MAX(IF($N$3:$EH$3=$J$3,N29:EH29))</f>
        <v>0</v>
      </c>
      <c r="K29" s="11" cm="1">
        <f t="array" ref="K29">MAX(IF($N$3:$EH$3=$J$3,N29:EH29))</f>
        <v>0</v>
      </c>
      <c r="L29" s="9"/>
      <c r="O29" s="10"/>
      <c r="P29" s="10"/>
      <c r="Q29" s="10"/>
      <c r="R29" s="10"/>
      <c r="V29" s="10"/>
      <c r="W29" s="10"/>
      <c r="X29" s="10"/>
      <c r="Y29" s="10"/>
      <c r="AC29" s="10"/>
      <c r="AD29" s="10"/>
      <c r="AE29" s="10"/>
      <c r="AF29" s="10"/>
      <c r="AJ29" s="10"/>
      <c r="AK29" s="10"/>
      <c r="AL29" s="10"/>
      <c r="AM29" s="10"/>
      <c r="AQ29" s="10"/>
      <c r="AR29" s="10"/>
      <c r="AS29" s="10"/>
      <c r="AT29" s="10"/>
      <c r="AX29" s="10"/>
      <c r="AY29" s="10"/>
      <c r="AZ29" s="10"/>
      <c r="BA29" s="10"/>
      <c r="BD29">
        <v>1</v>
      </c>
      <c r="BE29" s="10"/>
      <c r="BF29" s="10">
        <v>0.5</v>
      </c>
      <c r="BG29" s="10"/>
      <c r="BH29" s="10">
        <v>0.5</v>
      </c>
      <c r="BL29" s="10"/>
      <c r="BM29" s="10">
        <v>0.5</v>
      </c>
      <c r="BN29" s="10"/>
      <c r="BO29" s="10">
        <v>0.5</v>
      </c>
      <c r="BS29" s="10"/>
      <c r="BT29" s="10">
        <v>0.5</v>
      </c>
      <c r="BU29" s="10"/>
      <c r="BV29" s="10">
        <v>0.5</v>
      </c>
      <c r="BY29">
        <v>1</v>
      </c>
      <c r="BZ29" s="10"/>
      <c r="CA29" s="10">
        <v>0.8</v>
      </c>
      <c r="CB29" s="10"/>
      <c r="CC29" s="10">
        <v>0.8</v>
      </c>
      <c r="CG29" s="10"/>
      <c r="CH29" s="10">
        <v>0.8</v>
      </c>
      <c r="CI29" s="10"/>
      <c r="CJ29" s="10">
        <v>0.8</v>
      </c>
      <c r="CN29" s="10"/>
      <c r="CO29" s="10">
        <v>0.8</v>
      </c>
      <c r="CP29" s="10"/>
      <c r="CQ29" s="10">
        <v>0.8</v>
      </c>
      <c r="CT29">
        <v>1</v>
      </c>
      <c r="CU29" s="10"/>
      <c r="CV29" s="10">
        <v>1</v>
      </c>
      <c r="CW29" s="10"/>
      <c r="CX29" s="10">
        <v>1</v>
      </c>
      <c r="DB29" s="10"/>
      <c r="DC29" s="10">
        <v>1</v>
      </c>
      <c r="DD29" s="10"/>
      <c r="DE29" s="10">
        <v>1</v>
      </c>
      <c r="DI29" s="10"/>
      <c r="DJ29" s="10"/>
      <c r="DK29" s="10"/>
      <c r="DL29" s="10"/>
      <c r="DP29" s="10"/>
      <c r="DQ29" s="10"/>
      <c r="DR29" s="10"/>
      <c r="DS29" s="10"/>
      <c r="DW29" s="10"/>
      <c r="DX29" s="10"/>
      <c r="DY29" s="10"/>
      <c r="DZ29" s="10"/>
      <c r="ED29" s="10"/>
      <c r="EE29" s="10"/>
      <c r="EF29" s="10"/>
      <c r="EG29" s="10"/>
      <c r="EK29" s="10"/>
      <c r="EL29" s="10"/>
      <c r="EM29" s="10"/>
      <c r="EN29" s="10"/>
      <c r="ER29" s="10"/>
      <c r="ES29" s="10"/>
      <c r="ET29" s="10"/>
      <c r="EU29" s="10"/>
    </row>
    <row r="30" spans="2:151" ht="15.75" customHeight="1" outlineLevel="1">
      <c r="B30" t="s">
        <v>28</v>
      </c>
      <c r="C30" t="s">
        <v>89</v>
      </c>
      <c r="E30" s="9"/>
      <c r="F30" t="s">
        <v>143</v>
      </c>
      <c r="G30" s="10">
        <v>0.2</v>
      </c>
      <c r="I30" s="9">
        <f>+SUMIF($N$3:$ZZ$3,I$3,$N30:$ZZ30)</f>
        <v>3</v>
      </c>
      <c r="J30" s="11" cm="1">
        <f t="array" ref="J30">MAX(IF($N$3:$EH$3=$J$3,N30:EH30))</f>
        <v>0</v>
      </c>
      <c r="K30" s="11" cm="1">
        <f t="array" ref="K30">MAX(IF($N$3:$EH$3=$J$3,N30:EH30))</f>
        <v>0</v>
      </c>
      <c r="L30" s="9"/>
      <c r="O30" s="10"/>
      <c r="P30" s="10"/>
      <c r="Q30" s="10"/>
      <c r="R30" s="10"/>
      <c r="V30" s="10"/>
      <c r="W30" s="10"/>
      <c r="X30" s="10"/>
      <c r="Y30" s="10"/>
      <c r="AC30" s="10"/>
      <c r="AD30" s="10"/>
      <c r="AE30" s="10"/>
      <c r="AF30" s="10"/>
      <c r="AJ30" s="10"/>
      <c r="AK30" s="10"/>
      <c r="AL30" s="10"/>
      <c r="AM30" s="10"/>
      <c r="AQ30" s="10"/>
      <c r="AR30" s="10"/>
      <c r="AS30" s="10"/>
      <c r="AT30" s="10"/>
      <c r="AX30" s="10"/>
      <c r="AY30" s="10"/>
      <c r="AZ30" s="10"/>
      <c r="BA30" s="10"/>
      <c r="BE30" s="10"/>
      <c r="BF30" s="10"/>
      <c r="BG30" s="10"/>
      <c r="BH30" s="10"/>
      <c r="BK30">
        <v>1</v>
      </c>
      <c r="BL30" s="10"/>
      <c r="BM30" s="10">
        <v>0.5</v>
      </c>
      <c r="BN30" s="10"/>
      <c r="BO30" s="10">
        <v>0.5</v>
      </c>
      <c r="BS30" s="10"/>
      <c r="BT30" s="10">
        <v>0.5</v>
      </c>
      <c r="BU30" s="10"/>
      <c r="BV30" s="10">
        <v>0.5</v>
      </c>
      <c r="BZ30" s="10"/>
      <c r="CA30" s="10">
        <v>0.5</v>
      </c>
      <c r="CB30" s="10"/>
      <c r="CC30" s="10">
        <v>0.5</v>
      </c>
      <c r="CF30">
        <v>1</v>
      </c>
      <c r="CG30" s="10"/>
      <c r="CH30" s="10">
        <v>0.8</v>
      </c>
      <c r="CI30" s="10"/>
      <c r="CJ30" s="10">
        <v>0.8</v>
      </c>
      <c r="CM30">
        <v>1</v>
      </c>
      <c r="CN30" s="10"/>
      <c r="CO30" s="10">
        <v>0.8</v>
      </c>
      <c r="CP30" s="10"/>
      <c r="CQ30" s="10">
        <v>0.8</v>
      </c>
      <c r="CU30" s="10"/>
      <c r="CV30" s="10">
        <v>0.8</v>
      </c>
      <c r="CW30" s="10"/>
      <c r="CX30" s="10">
        <v>0.8</v>
      </c>
      <c r="DB30" s="10"/>
      <c r="DC30" s="10">
        <v>1</v>
      </c>
      <c r="DD30" s="10"/>
      <c r="DE30" s="10">
        <v>1</v>
      </c>
      <c r="DI30" s="10"/>
      <c r="DJ30" s="10"/>
      <c r="DK30" s="10"/>
      <c r="DL30" s="10"/>
      <c r="DP30" s="10"/>
      <c r="DQ30" s="10"/>
      <c r="DR30" s="10"/>
      <c r="DS30" s="10"/>
      <c r="DW30" s="10"/>
      <c r="DX30" s="10"/>
      <c r="DY30" s="10"/>
      <c r="DZ30" s="10"/>
      <c r="ED30" s="10"/>
      <c r="EE30" s="10"/>
      <c r="EF30" s="10"/>
      <c r="EG30" s="10"/>
      <c r="EK30" s="10"/>
      <c r="EL30" s="10"/>
      <c r="EM30" s="10"/>
      <c r="EN30" s="10"/>
      <c r="ER30" s="10"/>
      <c r="ES30" s="10"/>
      <c r="ET30" s="10"/>
      <c r="EU30" s="10"/>
    </row>
    <row r="32" spans="2:151">
      <c r="B32" t="s">
        <v>27</v>
      </c>
      <c r="C32" t="s">
        <v>90</v>
      </c>
      <c r="D32" s="19">
        <v>45712</v>
      </c>
      <c r="E32" s="9">
        <v>6</v>
      </c>
      <c r="G32" s="10">
        <f>+SUM(G33:G39)</f>
        <v>0.54999999999999993</v>
      </c>
      <c r="I32" s="12">
        <f>+SUM(I33:I39)</f>
        <v>18</v>
      </c>
      <c r="J32" s="11">
        <f>+SUMPRODUCT(G33:G39,J33:J39)</f>
        <v>0</v>
      </c>
      <c r="K32" s="11">
        <f>+SUMPRODUCT(G33:G39,K33:K39)</f>
        <v>0</v>
      </c>
      <c r="L32" s="9"/>
      <c r="N32" s="12"/>
      <c r="U32" s="12"/>
      <c r="AB32" s="12"/>
      <c r="AI32" s="12"/>
      <c r="AP32" s="12"/>
    </row>
    <row r="33" spans="2:151" ht="15.75" customHeight="1" outlineLevel="1">
      <c r="B33" t="s">
        <v>28</v>
      </c>
      <c r="C33" t="s">
        <v>90</v>
      </c>
      <c r="E33" s="9"/>
      <c r="F33" t="s">
        <v>30</v>
      </c>
      <c r="G33" s="10">
        <v>0.1</v>
      </c>
      <c r="I33" s="9">
        <f>+SUMIF($N$3:$ZZ$3,I$3,$N33:$ZZ33)</f>
        <v>2</v>
      </c>
      <c r="J33" s="11" cm="1">
        <f t="array" ref="J33">MAX(IF($N$3:$EH$3=$J$3,N33:EH33))</f>
        <v>0</v>
      </c>
      <c r="K33" s="11" cm="1">
        <f t="array" ref="K33">MAX(IF($N$3:$EH$3=$J$3,N33:EH33))</f>
        <v>0</v>
      </c>
      <c r="L33" s="9"/>
      <c r="O33" s="10"/>
      <c r="P33" s="10">
        <v>0.5</v>
      </c>
      <c r="Q33" s="10"/>
      <c r="R33" s="10">
        <v>0.5</v>
      </c>
      <c r="U33">
        <v>1</v>
      </c>
      <c r="V33" s="10"/>
      <c r="W33" s="10">
        <v>0.8</v>
      </c>
      <c r="X33" s="10"/>
      <c r="Y33" s="10">
        <v>0.8</v>
      </c>
      <c r="AC33" s="10"/>
      <c r="AD33" s="10">
        <v>0.8</v>
      </c>
      <c r="AE33" s="10"/>
      <c r="AF33" s="10">
        <v>0.8</v>
      </c>
      <c r="AJ33" s="10"/>
      <c r="AK33" s="10">
        <v>0.8</v>
      </c>
      <c r="AL33" s="10"/>
      <c r="AM33" s="10">
        <v>0.8</v>
      </c>
      <c r="AQ33" s="10"/>
      <c r="AR33" s="10">
        <v>0.8</v>
      </c>
      <c r="AS33" s="10"/>
      <c r="AT33" s="10">
        <v>0.8</v>
      </c>
      <c r="AX33" s="10"/>
      <c r="AY33" s="10">
        <v>0.8</v>
      </c>
      <c r="AZ33" s="10"/>
      <c r="BA33" s="10">
        <v>0.8</v>
      </c>
      <c r="BE33" s="10"/>
      <c r="BF33" s="10">
        <v>0.8</v>
      </c>
      <c r="BG33" s="10"/>
      <c r="BH33" s="10">
        <v>0.8</v>
      </c>
      <c r="BL33" s="10"/>
      <c r="BM33" s="10">
        <v>0.8</v>
      </c>
      <c r="BN33" s="10"/>
      <c r="BO33" s="10">
        <v>0.8</v>
      </c>
      <c r="BR33">
        <v>1</v>
      </c>
      <c r="BS33" s="10"/>
      <c r="BT33" s="10">
        <v>1</v>
      </c>
      <c r="BU33" s="10"/>
      <c r="BV33" s="10">
        <v>1</v>
      </c>
      <c r="BZ33" s="10"/>
      <c r="CA33" s="10">
        <v>1</v>
      </c>
      <c r="CB33" s="10"/>
      <c r="CC33" s="10">
        <v>1</v>
      </c>
      <c r="CG33" s="10"/>
      <c r="CH33" s="10">
        <v>1</v>
      </c>
      <c r="CI33" s="10"/>
      <c r="CJ33" s="10">
        <v>1</v>
      </c>
      <c r="CN33" s="10"/>
      <c r="CO33" s="10">
        <v>1</v>
      </c>
      <c r="CP33" s="10"/>
      <c r="CQ33" s="10">
        <v>1</v>
      </c>
      <c r="CU33" s="10"/>
      <c r="CV33" s="10">
        <v>1</v>
      </c>
      <c r="CW33" s="10"/>
      <c r="CX33" s="10">
        <v>1</v>
      </c>
      <c r="DB33" s="10"/>
      <c r="DC33" s="10">
        <v>1</v>
      </c>
      <c r="DD33" s="10"/>
      <c r="DE33" s="10">
        <v>1</v>
      </c>
      <c r="DI33" s="10"/>
      <c r="DJ33" s="10"/>
      <c r="DK33" s="10"/>
      <c r="DL33" s="10"/>
      <c r="DP33" s="10"/>
      <c r="DQ33" s="10"/>
      <c r="DR33" s="10"/>
      <c r="DS33" s="10"/>
      <c r="DW33" s="10"/>
      <c r="DX33" s="10"/>
      <c r="DY33" s="10"/>
      <c r="DZ33" s="10"/>
      <c r="ED33" s="10"/>
      <c r="EE33" s="10"/>
      <c r="EF33" s="10"/>
      <c r="EG33" s="10"/>
      <c r="EK33" s="10"/>
      <c r="EL33" s="10"/>
      <c r="EM33" s="10"/>
      <c r="EN33" s="10"/>
      <c r="ER33" s="10"/>
      <c r="ES33" s="10"/>
      <c r="ET33" s="10"/>
      <c r="EU33" s="10"/>
    </row>
    <row r="34" spans="2:151" ht="15.75" customHeight="1" outlineLevel="1">
      <c r="B34" t="s">
        <v>28</v>
      </c>
      <c r="C34" t="s">
        <v>90</v>
      </c>
      <c r="E34" s="9"/>
      <c r="F34" s="1" t="s">
        <v>114</v>
      </c>
      <c r="G34" s="10">
        <v>0.05</v>
      </c>
      <c r="I34" s="9">
        <f>+SUMIF($N$3:$ZZ$3,I$3,$N34:$ZZ34)</f>
        <v>3</v>
      </c>
      <c r="J34" s="11" cm="1">
        <f t="array" ref="J34">MAX(IF($N$3:$EH$3=$J$3,N34:EH34))</f>
        <v>0</v>
      </c>
      <c r="K34" s="11" cm="1">
        <f t="array" ref="K34">MAX(IF($N$3:$EH$3=$J$3,N34:EH34))</f>
        <v>0</v>
      </c>
      <c r="L34" s="9"/>
      <c r="O34" s="10"/>
      <c r="P34" s="10"/>
      <c r="Q34" s="10"/>
      <c r="R34" s="10"/>
      <c r="U34">
        <v>1</v>
      </c>
      <c r="V34" s="10"/>
      <c r="W34" s="10">
        <v>0.5</v>
      </c>
      <c r="X34" s="10"/>
      <c r="Y34" s="10">
        <v>0.5</v>
      </c>
      <c r="AB34">
        <v>1</v>
      </c>
      <c r="AC34" s="10"/>
      <c r="AD34" s="10">
        <v>0.8</v>
      </c>
      <c r="AE34" s="10"/>
      <c r="AF34" s="10">
        <v>0.8</v>
      </c>
      <c r="AJ34" s="10"/>
      <c r="AK34" s="10">
        <v>0.8</v>
      </c>
      <c r="AL34" s="10"/>
      <c r="AM34" s="10">
        <v>0.8</v>
      </c>
      <c r="AQ34" s="10"/>
      <c r="AR34" s="10">
        <v>0.8</v>
      </c>
      <c r="AS34" s="10"/>
      <c r="AT34" s="10">
        <v>0.8</v>
      </c>
      <c r="AX34" s="10"/>
      <c r="AY34" s="10">
        <v>0.8</v>
      </c>
      <c r="AZ34" s="10"/>
      <c r="BA34" s="10">
        <v>0.8</v>
      </c>
      <c r="BE34" s="10"/>
      <c r="BF34" s="10">
        <v>0.8</v>
      </c>
      <c r="BG34" s="10"/>
      <c r="BH34" s="10">
        <v>0.8</v>
      </c>
      <c r="BL34" s="10"/>
      <c r="BM34" s="10">
        <v>0.8</v>
      </c>
      <c r="BN34" s="10"/>
      <c r="BO34" s="10">
        <v>0.8</v>
      </c>
      <c r="BS34" s="10"/>
      <c r="BT34" s="10">
        <v>0.8</v>
      </c>
      <c r="BU34" s="10"/>
      <c r="BV34" s="10">
        <v>0.8</v>
      </c>
      <c r="BY34">
        <v>1</v>
      </c>
      <c r="BZ34" s="10"/>
      <c r="CA34" s="10">
        <v>1</v>
      </c>
      <c r="CB34" s="10"/>
      <c r="CC34" s="10">
        <v>1</v>
      </c>
      <c r="CG34" s="10"/>
      <c r="CH34" s="10">
        <v>1</v>
      </c>
      <c r="CI34" s="10"/>
      <c r="CJ34" s="10">
        <v>1</v>
      </c>
      <c r="CN34" s="10"/>
      <c r="CO34" s="10">
        <v>1</v>
      </c>
      <c r="CP34" s="10"/>
      <c r="CQ34" s="10">
        <v>1</v>
      </c>
      <c r="CU34" s="10"/>
      <c r="CV34" s="10">
        <v>1</v>
      </c>
      <c r="CW34" s="10"/>
      <c r="CX34" s="10">
        <v>1</v>
      </c>
      <c r="DB34" s="10"/>
      <c r="DC34" s="10">
        <v>1</v>
      </c>
      <c r="DD34" s="10"/>
      <c r="DE34" s="10">
        <v>1</v>
      </c>
      <c r="DI34" s="10"/>
      <c r="DJ34" s="10"/>
      <c r="DK34" s="10"/>
      <c r="DL34" s="10"/>
      <c r="DP34" s="10"/>
      <c r="DQ34" s="10"/>
      <c r="DR34" s="10"/>
      <c r="DS34" s="10"/>
      <c r="DW34" s="10"/>
      <c r="DX34" s="10"/>
      <c r="DY34" s="10"/>
      <c r="DZ34" s="10"/>
      <c r="ED34" s="10"/>
      <c r="EE34" s="10"/>
      <c r="EF34" s="10"/>
      <c r="EG34" s="10"/>
      <c r="EK34" s="10"/>
      <c r="EL34" s="10"/>
      <c r="EM34" s="10"/>
      <c r="EN34" s="10"/>
      <c r="ER34" s="10"/>
      <c r="ES34" s="10"/>
      <c r="ET34" s="10"/>
      <c r="EU34" s="10"/>
    </row>
    <row r="35" spans="2:151" ht="15.75" customHeight="1" outlineLevel="1">
      <c r="B35" t="s">
        <v>28</v>
      </c>
      <c r="C35" t="s">
        <v>90</v>
      </c>
      <c r="E35" s="9"/>
      <c r="F35" t="s">
        <v>115</v>
      </c>
      <c r="G35" s="10">
        <v>0.05</v>
      </c>
      <c r="I35" s="9">
        <f>+SUMIF($N$3:$ZZ$3,I$3,$N35:$ZZ35)</f>
        <v>3</v>
      </c>
      <c r="J35" s="11" cm="1">
        <f t="array" ref="J35">MAX(IF($N$3:$EH$3=$J$3,N35:EH35))</f>
        <v>0</v>
      </c>
      <c r="K35" s="11" cm="1">
        <f t="array" ref="K35">MAX(IF($N$3:$EH$3=$J$3,N35:EH35))</f>
        <v>0</v>
      </c>
      <c r="L35" s="9"/>
      <c r="O35" s="10"/>
      <c r="P35" s="10"/>
      <c r="Q35" s="10"/>
      <c r="R35" s="10"/>
      <c r="V35" s="10"/>
      <c r="W35" s="10"/>
      <c r="X35" s="10"/>
      <c r="Y35" s="10"/>
      <c r="AB35">
        <v>1</v>
      </c>
      <c r="AC35" s="10"/>
      <c r="AD35" s="10">
        <v>0.5</v>
      </c>
      <c r="AE35" s="10"/>
      <c r="AF35" s="10">
        <v>0.5</v>
      </c>
      <c r="AJ35" s="10"/>
      <c r="AK35" s="10">
        <v>0.5</v>
      </c>
      <c r="AL35" s="10"/>
      <c r="AM35" s="10">
        <v>0.5</v>
      </c>
      <c r="AP35">
        <v>1</v>
      </c>
      <c r="AQ35" s="10"/>
      <c r="AR35" s="10">
        <v>0.8</v>
      </c>
      <c r="AS35" s="10"/>
      <c r="AT35" s="10">
        <v>0.8</v>
      </c>
      <c r="AX35" s="10"/>
      <c r="AY35" s="10">
        <v>0.8</v>
      </c>
      <c r="AZ35" s="10"/>
      <c r="BA35" s="10">
        <v>0.8</v>
      </c>
      <c r="BE35" s="10"/>
      <c r="BF35" s="10">
        <v>0.8</v>
      </c>
      <c r="BG35" s="10"/>
      <c r="BH35" s="10">
        <v>0.8</v>
      </c>
      <c r="BL35" s="10"/>
      <c r="BM35" s="10">
        <v>0.8</v>
      </c>
      <c r="BN35" s="10"/>
      <c r="BO35" s="10">
        <v>0.8</v>
      </c>
      <c r="BS35" s="10"/>
      <c r="BT35" s="10">
        <v>0.8</v>
      </c>
      <c r="BU35" s="10"/>
      <c r="BV35" s="10">
        <v>0.8</v>
      </c>
      <c r="BZ35" s="10"/>
      <c r="CA35" s="10">
        <v>0.8</v>
      </c>
      <c r="CB35" s="10"/>
      <c r="CC35" s="10">
        <v>0.8</v>
      </c>
      <c r="CF35">
        <v>1</v>
      </c>
      <c r="CG35" s="10"/>
      <c r="CH35" s="10">
        <v>1</v>
      </c>
      <c r="CI35" s="10"/>
      <c r="CJ35" s="10">
        <v>1</v>
      </c>
      <c r="CN35" s="10"/>
      <c r="CO35" s="10">
        <v>1</v>
      </c>
      <c r="CP35" s="10"/>
      <c r="CQ35" s="10">
        <v>1</v>
      </c>
      <c r="CU35" s="10"/>
      <c r="CV35" s="10">
        <v>1</v>
      </c>
      <c r="CW35" s="10"/>
      <c r="CX35" s="10">
        <v>1</v>
      </c>
      <c r="DB35" s="10"/>
      <c r="DC35" s="10">
        <v>1</v>
      </c>
      <c r="DD35" s="10"/>
      <c r="DE35" s="10">
        <v>1</v>
      </c>
      <c r="DI35" s="10"/>
      <c r="DJ35" s="10"/>
      <c r="DK35" s="10"/>
      <c r="DL35" s="10"/>
      <c r="DP35" s="10"/>
      <c r="DQ35" s="10"/>
      <c r="DR35" s="10"/>
      <c r="DS35" s="10"/>
      <c r="DW35" s="10"/>
      <c r="DX35" s="10"/>
      <c r="DY35" s="10"/>
      <c r="DZ35" s="10"/>
      <c r="ED35" s="10"/>
      <c r="EE35" s="10"/>
      <c r="EF35" s="10"/>
      <c r="EG35" s="10"/>
      <c r="EK35" s="10"/>
      <c r="EL35" s="10"/>
      <c r="EM35" s="10"/>
      <c r="EN35" s="10"/>
      <c r="ER35" s="10"/>
      <c r="ES35" s="10"/>
      <c r="ET35" s="10"/>
      <c r="EU35" s="10"/>
    </row>
    <row r="36" spans="2:151" ht="15.75" customHeight="1" outlineLevel="1">
      <c r="B36" t="s">
        <v>28</v>
      </c>
      <c r="C36" t="s">
        <v>90</v>
      </c>
      <c r="E36" s="9"/>
      <c r="F36" t="s">
        <v>116</v>
      </c>
      <c r="G36" s="10">
        <v>0.05</v>
      </c>
      <c r="I36" s="9">
        <f>+SUMIF($N$3:$ZZ$3,I$3,$N36:$ZZ36)</f>
        <v>3</v>
      </c>
      <c r="J36" s="11" cm="1">
        <f t="array" ref="J36">MAX(IF($N$3:$EH$3=$J$3,N36:EH36))</f>
        <v>0</v>
      </c>
      <c r="K36" s="11" cm="1">
        <f t="array" ref="K36">MAX(IF($N$3:$EH$3=$J$3,N36:EH36))</f>
        <v>0</v>
      </c>
      <c r="L36" s="9"/>
      <c r="O36" s="10"/>
      <c r="P36" s="10"/>
      <c r="Q36" s="10"/>
      <c r="R36" s="10"/>
      <c r="V36" s="10"/>
      <c r="W36" s="10"/>
      <c r="X36" s="10"/>
      <c r="Y36" s="10"/>
      <c r="AC36" s="10"/>
      <c r="AD36" s="10"/>
      <c r="AE36" s="10"/>
      <c r="AF36" s="10"/>
      <c r="AI36">
        <v>1</v>
      </c>
      <c r="AJ36" s="10"/>
      <c r="AK36" s="10">
        <v>0.5</v>
      </c>
      <c r="AL36" s="10"/>
      <c r="AM36" s="10">
        <v>0.5</v>
      </c>
      <c r="AQ36" s="10"/>
      <c r="AR36" s="10">
        <v>0.5</v>
      </c>
      <c r="AS36" s="10"/>
      <c r="AT36" s="10">
        <v>0.5</v>
      </c>
      <c r="AW36">
        <v>1</v>
      </c>
      <c r="AX36" s="10"/>
      <c r="AY36" s="10">
        <v>0.8</v>
      </c>
      <c r="AZ36" s="10"/>
      <c r="BA36" s="10">
        <v>0.8</v>
      </c>
      <c r="BE36" s="10"/>
      <c r="BF36" s="10">
        <v>0.8</v>
      </c>
      <c r="BG36" s="10"/>
      <c r="BH36" s="10">
        <v>0.8</v>
      </c>
      <c r="BL36" s="10"/>
      <c r="BM36" s="10">
        <v>0.8</v>
      </c>
      <c r="BN36" s="10"/>
      <c r="BO36" s="10">
        <v>0.8</v>
      </c>
      <c r="BS36" s="10"/>
      <c r="BT36" s="10">
        <v>0.8</v>
      </c>
      <c r="BU36" s="10"/>
      <c r="BV36" s="10">
        <v>0.8</v>
      </c>
      <c r="BZ36" s="10"/>
      <c r="CA36" s="10">
        <v>0.8</v>
      </c>
      <c r="CB36" s="10"/>
      <c r="CC36" s="10">
        <v>0.8</v>
      </c>
      <c r="CG36" s="10"/>
      <c r="CH36" s="10">
        <v>0.8</v>
      </c>
      <c r="CI36" s="10"/>
      <c r="CJ36" s="10">
        <v>0.8</v>
      </c>
      <c r="CM36">
        <v>1</v>
      </c>
      <c r="CN36" s="10"/>
      <c r="CO36" s="10">
        <v>1</v>
      </c>
      <c r="CP36" s="10"/>
      <c r="CQ36" s="10">
        <v>1</v>
      </c>
      <c r="CU36" s="10"/>
      <c r="CV36" s="10">
        <v>1</v>
      </c>
      <c r="CW36" s="10"/>
      <c r="CX36" s="10">
        <v>1</v>
      </c>
      <c r="DB36" s="10"/>
      <c r="DC36" s="10">
        <v>1</v>
      </c>
      <c r="DD36" s="10"/>
      <c r="DE36" s="10">
        <v>1</v>
      </c>
      <c r="DI36" s="10"/>
      <c r="DJ36" s="10"/>
      <c r="DK36" s="10"/>
      <c r="DL36" s="10"/>
      <c r="DP36" s="10"/>
      <c r="DQ36" s="10"/>
      <c r="DR36" s="10"/>
      <c r="DS36" s="10"/>
      <c r="DW36" s="10"/>
      <c r="DX36" s="10"/>
      <c r="DY36" s="10"/>
      <c r="DZ36" s="10"/>
      <c r="ED36" s="10"/>
      <c r="EE36" s="10"/>
      <c r="EF36" s="10"/>
      <c r="EG36" s="10"/>
      <c r="EK36" s="10"/>
      <c r="EL36" s="10"/>
      <c r="EM36" s="10"/>
      <c r="EN36" s="10"/>
      <c r="ER36" s="10"/>
      <c r="ES36" s="10"/>
      <c r="ET36" s="10"/>
      <c r="EU36" s="10"/>
    </row>
    <row r="37" spans="2:151" ht="15.75" customHeight="1" outlineLevel="1">
      <c r="B37" t="s">
        <v>28</v>
      </c>
      <c r="C37" t="s">
        <v>90</v>
      </c>
      <c r="E37" s="9"/>
      <c r="F37" s="1" t="s">
        <v>117</v>
      </c>
      <c r="G37" s="10">
        <v>0.1</v>
      </c>
      <c r="I37" s="9">
        <f>+SUMIF($N$3:$ZZ$3,I$3,$N37:$ZZ37)</f>
        <v>3</v>
      </c>
      <c r="J37" s="11" cm="1">
        <f t="array" ref="J37">MAX(IF($N$3:$EH$3=$J$3,N37:EH37))</f>
        <v>0</v>
      </c>
      <c r="K37" s="11" cm="1">
        <f t="array" ref="K37">MAX(IF($N$3:$EH$3=$J$3,N37:EH37))</f>
        <v>0</v>
      </c>
      <c r="L37" s="9"/>
      <c r="O37" s="10"/>
      <c r="P37" s="10"/>
      <c r="Q37" s="10"/>
      <c r="R37" s="10"/>
      <c r="V37" s="10"/>
      <c r="W37" s="10"/>
      <c r="X37" s="10"/>
      <c r="Y37" s="10"/>
      <c r="AC37" s="10"/>
      <c r="AD37" s="10"/>
      <c r="AE37" s="10"/>
      <c r="AF37" s="10"/>
      <c r="AJ37" s="10"/>
      <c r="AK37" s="10"/>
      <c r="AL37" s="10"/>
      <c r="AM37" s="10"/>
      <c r="AQ37" s="10"/>
      <c r="AR37" s="10"/>
      <c r="AS37" s="10"/>
      <c r="AT37" s="10"/>
      <c r="AW37">
        <v>1</v>
      </c>
      <c r="AX37" s="10"/>
      <c r="AY37" s="10">
        <v>0.5</v>
      </c>
      <c r="AZ37" s="10"/>
      <c r="BA37" s="10">
        <v>0.5</v>
      </c>
      <c r="BE37" s="10"/>
      <c r="BF37" s="10">
        <v>0.5</v>
      </c>
      <c r="BG37" s="10"/>
      <c r="BH37" s="10">
        <v>0.5</v>
      </c>
      <c r="BK37">
        <v>1</v>
      </c>
      <c r="BL37" s="10"/>
      <c r="BM37" s="10">
        <v>0.8</v>
      </c>
      <c r="BN37" s="10"/>
      <c r="BO37" s="10">
        <v>0.8</v>
      </c>
      <c r="BS37" s="10"/>
      <c r="BT37" s="10">
        <v>0.8</v>
      </c>
      <c r="BU37" s="10"/>
      <c r="BV37" s="10">
        <v>0.8</v>
      </c>
      <c r="BZ37" s="10"/>
      <c r="CA37" s="10">
        <v>0.8</v>
      </c>
      <c r="CB37" s="10"/>
      <c r="CC37" s="10">
        <v>0.8</v>
      </c>
      <c r="CG37" s="10"/>
      <c r="CH37" s="10">
        <v>0.8</v>
      </c>
      <c r="CI37" s="10"/>
      <c r="CJ37" s="10">
        <v>0.8</v>
      </c>
      <c r="CN37" s="10"/>
      <c r="CO37" s="10">
        <v>0.8</v>
      </c>
      <c r="CP37" s="10"/>
      <c r="CQ37" s="10">
        <v>0.8</v>
      </c>
      <c r="CT37">
        <v>1</v>
      </c>
      <c r="CU37" s="10"/>
      <c r="CV37" s="10">
        <v>1</v>
      </c>
      <c r="CW37" s="10"/>
      <c r="CX37" s="10">
        <v>1</v>
      </c>
      <c r="DB37" s="10"/>
      <c r="DC37" s="10">
        <v>1</v>
      </c>
      <c r="DD37" s="10"/>
      <c r="DE37" s="10">
        <v>1</v>
      </c>
      <c r="DI37" s="10"/>
      <c r="DJ37" s="10"/>
      <c r="DK37" s="10"/>
      <c r="DL37" s="10"/>
      <c r="DP37" s="10"/>
      <c r="DQ37" s="10"/>
      <c r="DR37" s="10"/>
      <c r="DS37" s="10"/>
      <c r="DW37" s="10"/>
      <c r="DX37" s="10"/>
      <c r="DY37" s="10"/>
      <c r="DZ37" s="10"/>
      <c r="ED37" s="10"/>
      <c r="EE37" s="10"/>
      <c r="EF37" s="10"/>
      <c r="EG37" s="10"/>
      <c r="EK37" s="10"/>
      <c r="EL37" s="10"/>
      <c r="EM37" s="10"/>
      <c r="EN37" s="10"/>
      <c r="ER37" s="10"/>
      <c r="ES37" s="10"/>
      <c r="ET37" s="10"/>
      <c r="EU37" s="10"/>
    </row>
    <row r="38" spans="2:151" ht="15.75" customHeight="1" outlineLevel="1">
      <c r="B38" t="s">
        <v>28</v>
      </c>
      <c r="C38" t="s">
        <v>90</v>
      </c>
      <c r="E38" s="9"/>
      <c r="F38" t="s">
        <v>118</v>
      </c>
      <c r="G38" s="10">
        <v>0.1</v>
      </c>
      <c r="I38" s="9">
        <f>+SUMIF($N$3:$ZZ$3,I$3,$N38:$ZZ38)</f>
        <v>2</v>
      </c>
      <c r="J38" s="11" cm="1">
        <f t="array" ref="J38">MAX(IF($N$3:$EH$3=$J$3,N38:EH38))</f>
        <v>0</v>
      </c>
      <c r="K38" s="11" cm="1">
        <f t="array" ref="K38">MAX(IF($N$3:$EH$3=$J$3,N38:EH38))</f>
        <v>0</v>
      </c>
      <c r="L38" s="9"/>
      <c r="O38" s="10"/>
      <c r="P38" s="10"/>
      <c r="Q38" s="10"/>
      <c r="R38" s="10"/>
      <c r="V38" s="10"/>
      <c r="W38" s="10"/>
      <c r="X38" s="10"/>
      <c r="Y38" s="10"/>
      <c r="AC38" s="10"/>
      <c r="AD38" s="10"/>
      <c r="AE38" s="10"/>
      <c r="AF38" s="10"/>
      <c r="AJ38" s="10"/>
      <c r="AK38" s="10"/>
      <c r="AL38" s="10"/>
      <c r="AM38" s="10"/>
      <c r="AQ38" s="10"/>
      <c r="AR38" s="10"/>
      <c r="AS38" s="10"/>
      <c r="AT38" s="10"/>
      <c r="AX38" s="10"/>
      <c r="AY38" s="10"/>
      <c r="AZ38" s="10"/>
      <c r="BA38" s="10"/>
      <c r="BD38">
        <v>1</v>
      </c>
      <c r="BE38" s="10"/>
      <c r="BF38" s="10">
        <v>0.5</v>
      </c>
      <c r="BG38" s="10"/>
      <c r="BH38" s="10">
        <v>0.5</v>
      </c>
      <c r="BL38" s="10"/>
      <c r="BM38" s="10">
        <v>0.5</v>
      </c>
      <c r="BN38" s="10"/>
      <c r="BO38" s="10">
        <v>0.5</v>
      </c>
      <c r="BS38" s="10"/>
      <c r="BT38" s="10">
        <v>0.5</v>
      </c>
      <c r="BU38" s="10"/>
      <c r="BV38" s="10">
        <v>0.5</v>
      </c>
      <c r="BY38">
        <v>1</v>
      </c>
      <c r="BZ38" s="10"/>
      <c r="CA38" s="10">
        <v>0.8</v>
      </c>
      <c r="CB38" s="10"/>
      <c r="CC38" s="10">
        <v>0.8</v>
      </c>
      <c r="CG38" s="10"/>
      <c r="CH38" s="10">
        <v>0.8</v>
      </c>
      <c r="CI38" s="10"/>
      <c r="CJ38" s="10">
        <v>0.8</v>
      </c>
      <c r="CN38" s="10"/>
      <c r="CO38" s="10">
        <v>0.8</v>
      </c>
      <c r="CP38" s="10"/>
      <c r="CQ38" s="10">
        <v>0.8</v>
      </c>
      <c r="CU38" s="10"/>
      <c r="CV38" s="10">
        <v>0.8</v>
      </c>
      <c r="CW38" s="10"/>
      <c r="CX38" s="10">
        <v>0.8</v>
      </c>
      <c r="DB38" s="10"/>
      <c r="DC38" s="10">
        <v>1</v>
      </c>
      <c r="DD38" s="10"/>
      <c r="DE38" s="10">
        <v>1</v>
      </c>
      <c r="DI38" s="10"/>
      <c r="DJ38" s="10"/>
      <c r="DK38" s="10"/>
      <c r="DL38" s="10"/>
      <c r="DP38" s="10"/>
      <c r="DQ38" s="10"/>
      <c r="DR38" s="10"/>
      <c r="DS38" s="10"/>
      <c r="DW38" s="10"/>
      <c r="DX38" s="10"/>
      <c r="DY38" s="10"/>
      <c r="DZ38" s="10"/>
      <c r="ED38" s="10"/>
      <c r="EE38" s="10"/>
      <c r="EF38" s="10"/>
      <c r="EG38" s="10"/>
      <c r="EK38" s="10"/>
      <c r="EL38" s="10"/>
      <c r="EM38" s="10"/>
      <c r="EN38" s="10"/>
      <c r="ER38" s="10"/>
      <c r="ES38" s="10"/>
      <c r="ET38" s="10"/>
      <c r="EU38" s="10"/>
    </row>
    <row r="39" spans="2:151" ht="15.75" customHeight="1" outlineLevel="1">
      <c r="B39" t="s">
        <v>28</v>
      </c>
      <c r="C39" t="s">
        <v>90</v>
      </c>
      <c r="E39" s="9"/>
      <c r="F39" t="s">
        <v>119</v>
      </c>
      <c r="G39" s="10">
        <v>0.1</v>
      </c>
      <c r="I39" s="9">
        <f>+SUMIF($N$3:$ZZ$3,I$3,$N39:$ZZ39)</f>
        <v>2</v>
      </c>
      <c r="J39" s="11" cm="1">
        <f t="array" ref="J39">MAX(IF($N$3:$EH$3=$J$3,N39:EH39))</f>
        <v>0</v>
      </c>
      <c r="K39" s="11" cm="1">
        <f t="array" ref="K39">MAX(IF($N$3:$EH$3=$J$3,N39:EH39))</f>
        <v>0</v>
      </c>
      <c r="L39" s="9"/>
      <c r="O39" s="10"/>
      <c r="P39" s="10"/>
      <c r="Q39" s="10"/>
      <c r="R39" s="10"/>
      <c r="V39" s="10"/>
      <c r="W39" s="10"/>
      <c r="X39" s="10"/>
      <c r="Y39" s="10"/>
      <c r="AC39" s="10"/>
      <c r="AD39" s="10"/>
      <c r="AE39" s="10"/>
      <c r="AF39" s="10"/>
      <c r="AJ39" s="10"/>
      <c r="AK39" s="10"/>
      <c r="AL39" s="10"/>
      <c r="AM39" s="10"/>
      <c r="AQ39" s="10"/>
      <c r="AR39" s="10"/>
      <c r="AS39" s="10"/>
      <c r="AT39" s="10"/>
      <c r="AX39" s="10"/>
      <c r="AY39" s="10"/>
      <c r="AZ39" s="10"/>
      <c r="BA39" s="10"/>
      <c r="BE39" s="10"/>
      <c r="BF39" s="10"/>
      <c r="BG39" s="10"/>
      <c r="BH39" s="10"/>
      <c r="BK39">
        <v>1</v>
      </c>
      <c r="BL39" s="10"/>
      <c r="BM39" s="10">
        <v>0.5</v>
      </c>
      <c r="BN39" s="10"/>
      <c r="BO39" s="10">
        <v>0.5</v>
      </c>
      <c r="BS39" s="10"/>
      <c r="BT39" s="10">
        <v>0.5</v>
      </c>
      <c r="BU39" s="10"/>
      <c r="BV39" s="10">
        <v>0.5</v>
      </c>
      <c r="BZ39" s="10"/>
      <c r="CA39" s="10">
        <v>0.5</v>
      </c>
      <c r="CB39" s="10"/>
      <c r="CC39" s="10">
        <v>0.5</v>
      </c>
      <c r="CG39" s="10"/>
      <c r="CH39" s="10">
        <v>0.5</v>
      </c>
      <c r="CI39" s="10"/>
      <c r="CJ39" s="10">
        <v>0.5</v>
      </c>
      <c r="CM39">
        <v>1</v>
      </c>
      <c r="CN39" s="10"/>
      <c r="CO39" s="10">
        <v>0.8</v>
      </c>
      <c r="CP39" s="10"/>
      <c r="CQ39" s="10">
        <v>0.8</v>
      </c>
      <c r="CU39" s="10"/>
      <c r="CV39" s="10">
        <v>0.8</v>
      </c>
      <c r="CW39" s="10"/>
      <c r="CX39" s="10">
        <v>0.8</v>
      </c>
      <c r="DB39" s="10"/>
      <c r="DC39" s="10">
        <v>1</v>
      </c>
      <c r="DD39" s="10"/>
      <c r="DE39" s="10">
        <v>1</v>
      </c>
      <c r="DI39" s="10"/>
      <c r="DJ39" s="10"/>
      <c r="DK39" s="10"/>
      <c r="DL39" s="10"/>
      <c r="DP39" s="10"/>
      <c r="DQ39" s="10"/>
      <c r="DR39" s="10"/>
      <c r="DS39" s="10"/>
      <c r="DW39" s="10"/>
      <c r="DX39" s="10"/>
      <c r="DY39" s="10"/>
      <c r="DZ39" s="10"/>
      <c r="ED39" s="10"/>
      <c r="EE39" s="10"/>
      <c r="EF39" s="10"/>
      <c r="EG39" s="10"/>
      <c r="EK39" s="10"/>
      <c r="EL39" s="10"/>
      <c r="EM39" s="10"/>
      <c r="EN39" s="10"/>
      <c r="ER39" s="10"/>
      <c r="ES39" s="10"/>
      <c r="ET39" s="10"/>
      <c r="EU39" s="10"/>
    </row>
    <row r="41" spans="2:151">
      <c r="B41" t="s">
        <v>27</v>
      </c>
      <c r="C41" t="s">
        <v>91</v>
      </c>
      <c r="D41" s="19">
        <v>45709</v>
      </c>
      <c r="E41" s="9">
        <v>6</v>
      </c>
      <c r="G41" s="10">
        <f>+SUM(G42:G51)</f>
        <v>0.94999999999999984</v>
      </c>
      <c r="I41" s="12">
        <f>+SUM(I42:I51)</f>
        <v>26</v>
      </c>
      <c r="J41" s="11">
        <f>+SUMPRODUCT(G42:G51,J42:J51)</f>
        <v>0</v>
      </c>
      <c r="K41" s="11">
        <f>+SUMPRODUCT(G42:G51,K42:K51)</f>
        <v>0</v>
      </c>
      <c r="L41" s="9"/>
      <c r="N41" s="12"/>
      <c r="U41" s="12"/>
      <c r="AB41" s="12"/>
      <c r="AI41" s="12"/>
      <c r="AP41" s="12"/>
    </row>
    <row r="42" spans="2:151" ht="15.75" customHeight="1" outlineLevel="1">
      <c r="B42" t="s">
        <v>28</v>
      </c>
      <c r="C42" t="s">
        <v>144</v>
      </c>
      <c r="E42" s="9"/>
      <c r="F42" t="s">
        <v>145</v>
      </c>
      <c r="G42" s="10">
        <v>0.1</v>
      </c>
      <c r="I42" s="9">
        <f>+SUMIF($N$3:$ZZ$3,I$3,$N42:$ZZ42)</f>
        <v>2</v>
      </c>
      <c r="J42" s="11" cm="1">
        <f t="array" ref="J42">MAX(IF($N$3:$EH$3=$J$3,N42:EH42))</f>
        <v>0</v>
      </c>
      <c r="K42" s="11" cm="1">
        <f t="array" ref="K42">MAX(IF($N$3:$EH$3=$J$3,N42:EH42))</f>
        <v>0</v>
      </c>
      <c r="L42" s="9"/>
      <c r="O42" s="10"/>
      <c r="P42" s="10">
        <v>0.5</v>
      </c>
      <c r="Q42" s="10"/>
      <c r="R42" s="10">
        <v>0.5</v>
      </c>
      <c r="U42">
        <v>1</v>
      </c>
      <c r="V42" s="10"/>
      <c r="W42" s="10">
        <v>0.8</v>
      </c>
      <c r="X42" s="10"/>
      <c r="Y42" s="10">
        <v>0.8</v>
      </c>
      <c r="AC42" s="10"/>
      <c r="AD42" s="10">
        <v>0.8</v>
      </c>
      <c r="AE42" s="10"/>
      <c r="AF42" s="10">
        <v>0.8</v>
      </c>
      <c r="AJ42" s="10"/>
      <c r="AK42" s="10">
        <v>0.8</v>
      </c>
      <c r="AL42" s="10"/>
      <c r="AM42" s="10">
        <v>0.8</v>
      </c>
      <c r="AQ42" s="10"/>
      <c r="AR42" s="10">
        <v>0.8</v>
      </c>
      <c r="AS42" s="10"/>
      <c r="AT42" s="10">
        <v>0.8</v>
      </c>
      <c r="AX42" s="10"/>
      <c r="AY42" s="10">
        <v>0.8</v>
      </c>
      <c r="AZ42" s="10"/>
      <c r="BA42" s="10">
        <v>0.8</v>
      </c>
      <c r="BE42" s="10"/>
      <c r="BF42" s="10">
        <v>0.8</v>
      </c>
      <c r="BG42" s="10"/>
      <c r="BH42" s="10">
        <v>0.8</v>
      </c>
      <c r="BL42" s="10"/>
      <c r="BM42" s="10">
        <v>0.8</v>
      </c>
      <c r="BN42" s="10"/>
      <c r="BO42" s="10">
        <v>0.8</v>
      </c>
      <c r="BR42">
        <v>1</v>
      </c>
      <c r="BS42" s="10"/>
      <c r="BT42" s="10">
        <v>1</v>
      </c>
      <c r="BU42" s="10"/>
      <c r="BV42" s="10">
        <v>1</v>
      </c>
      <c r="BZ42" s="10"/>
      <c r="CA42" s="10">
        <v>1</v>
      </c>
      <c r="CB42" s="10"/>
      <c r="CC42" s="10">
        <v>1</v>
      </c>
      <c r="CG42" s="10"/>
      <c r="CH42" s="10">
        <v>1</v>
      </c>
      <c r="CI42" s="10"/>
      <c r="CJ42" s="10">
        <v>1</v>
      </c>
      <c r="CN42" s="10"/>
      <c r="CO42" s="10">
        <v>1</v>
      </c>
      <c r="CP42" s="10"/>
      <c r="CQ42" s="10">
        <v>1</v>
      </c>
      <c r="CU42" s="10"/>
      <c r="CV42" s="10">
        <v>1</v>
      </c>
      <c r="CW42" s="10"/>
      <c r="CX42" s="10">
        <v>1</v>
      </c>
      <c r="DB42" s="10"/>
      <c r="DC42" s="10">
        <v>1</v>
      </c>
      <c r="DD42" s="10"/>
      <c r="DE42" s="10">
        <v>1</v>
      </c>
      <c r="DI42" s="10"/>
      <c r="DJ42" s="10"/>
      <c r="DK42" s="10"/>
      <c r="DL42" s="10"/>
      <c r="DP42" s="10"/>
      <c r="DQ42" s="10"/>
      <c r="DR42" s="10"/>
      <c r="DS42" s="10"/>
      <c r="DW42" s="10"/>
      <c r="DX42" s="10"/>
      <c r="DY42" s="10"/>
      <c r="DZ42" s="10"/>
      <c r="ED42" s="10"/>
      <c r="EE42" s="10"/>
      <c r="EF42" s="10"/>
      <c r="EG42" s="10"/>
      <c r="EK42" s="10"/>
      <c r="EL42" s="10"/>
      <c r="EM42" s="10"/>
      <c r="EN42" s="10"/>
      <c r="ER42" s="10"/>
      <c r="ES42" s="10"/>
      <c r="ET42" s="10"/>
      <c r="EU42" s="10"/>
    </row>
    <row r="43" spans="2:151" ht="15.75" customHeight="1" outlineLevel="1">
      <c r="B43" t="s">
        <v>28</v>
      </c>
      <c r="C43" t="s">
        <v>144</v>
      </c>
      <c r="E43" s="9"/>
      <c r="F43" t="s">
        <v>146</v>
      </c>
      <c r="G43" s="10">
        <v>0.05</v>
      </c>
      <c r="I43" s="9">
        <f>+SUMIF($N$3:$ZZ$3,I$3,$N43:$ZZ43)</f>
        <v>2</v>
      </c>
      <c r="J43" s="11" cm="1">
        <f t="array" ref="J43">MAX(IF($N$3:$EH$3=$J$3,N43:EH43))</f>
        <v>0</v>
      </c>
      <c r="K43" s="11" cm="1">
        <f t="array" ref="K43">MAX(IF($N$3:$EH$3=$J$3,N43:EH43))</f>
        <v>0</v>
      </c>
      <c r="L43" s="9"/>
      <c r="O43" s="10"/>
      <c r="P43" s="10">
        <v>0.5</v>
      </c>
      <c r="Q43" s="10"/>
      <c r="R43" s="10">
        <v>0.5</v>
      </c>
      <c r="V43" s="10"/>
      <c r="W43" s="10">
        <v>0.5</v>
      </c>
      <c r="X43" s="10"/>
      <c r="Y43" s="10">
        <v>0.5</v>
      </c>
      <c r="AB43">
        <v>1</v>
      </c>
      <c r="AC43" s="10"/>
      <c r="AD43" s="10">
        <v>0.8</v>
      </c>
      <c r="AE43" s="10"/>
      <c r="AF43" s="10">
        <v>0.8</v>
      </c>
      <c r="AJ43" s="10"/>
      <c r="AK43" s="10">
        <v>0.8</v>
      </c>
      <c r="AL43" s="10"/>
      <c r="AM43" s="10">
        <v>0.8</v>
      </c>
      <c r="AQ43" s="10"/>
      <c r="AR43" s="10">
        <v>0.8</v>
      </c>
      <c r="AS43" s="10"/>
      <c r="AT43" s="10">
        <v>0.8</v>
      </c>
      <c r="AX43" s="10"/>
      <c r="AY43" s="10">
        <v>0.8</v>
      </c>
      <c r="AZ43" s="10"/>
      <c r="BA43" s="10">
        <v>0.8</v>
      </c>
      <c r="BE43" s="10"/>
      <c r="BF43" s="10">
        <v>0.8</v>
      </c>
      <c r="BG43" s="10"/>
      <c r="BH43" s="10">
        <v>0.8</v>
      </c>
      <c r="BL43" s="10"/>
      <c r="BM43" s="10">
        <v>0.8</v>
      </c>
      <c r="BN43" s="10"/>
      <c r="BO43" s="10">
        <v>0.8</v>
      </c>
      <c r="BR43">
        <v>1</v>
      </c>
      <c r="BS43" s="10"/>
      <c r="BT43" s="10">
        <v>1</v>
      </c>
      <c r="BU43" s="10"/>
      <c r="BV43" s="10">
        <v>1</v>
      </c>
      <c r="BZ43" s="10"/>
      <c r="CA43" s="10">
        <v>1</v>
      </c>
      <c r="CB43" s="10"/>
      <c r="CC43" s="10">
        <v>1</v>
      </c>
      <c r="CG43" s="10"/>
      <c r="CH43" s="10">
        <v>1</v>
      </c>
      <c r="CI43" s="10"/>
      <c r="CJ43" s="10">
        <v>1</v>
      </c>
      <c r="CN43" s="10"/>
      <c r="CO43" s="10">
        <v>1</v>
      </c>
      <c r="CP43" s="10"/>
      <c r="CQ43" s="10">
        <v>1</v>
      </c>
      <c r="CU43" s="10"/>
      <c r="CV43" s="10">
        <v>1</v>
      </c>
      <c r="CW43" s="10"/>
      <c r="CX43" s="10">
        <v>1</v>
      </c>
      <c r="DB43" s="10"/>
      <c r="DC43" s="10">
        <v>1</v>
      </c>
      <c r="DD43" s="10"/>
      <c r="DE43" s="10">
        <v>1</v>
      </c>
      <c r="DI43" s="10"/>
      <c r="DJ43" s="10"/>
      <c r="DK43" s="10"/>
      <c r="DL43" s="10"/>
      <c r="DP43" s="10"/>
      <c r="DQ43" s="10"/>
      <c r="DR43" s="10"/>
      <c r="DS43" s="10"/>
      <c r="DW43" s="10"/>
      <c r="DX43" s="10"/>
      <c r="DY43" s="10"/>
      <c r="DZ43" s="10"/>
      <c r="ED43" s="10"/>
      <c r="EE43" s="10"/>
      <c r="EF43" s="10"/>
      <c r="EG43" s="10"/>
      <c r="EK43" s="10"/>
      <c r="EL43" s="10"/>
      <c r="EM43" s="10"/>
      <c r="EN43" s="10"/>
      <c r="ER43" s="10"/>
      <c r="ES43" s="10"/>
      <c r="ET43" s="10"/>
      <c r="EU43" s="10"/>
    </row>
    <row r="44" spans="2:151" ht="15.75" customHeight="1" outlineLevel="1">
      <c r="B44" t="s">
        <v>28</v>
      </c>
      <c r="C44" t="s">
        <v>144</v>
      </c>
      <c r="E44" s="9"/>
      <c r="F44" t="s">
        <v>147</v>
      </c>
      <c r="G44" s="10">
        <v>0.1</v>
      </c>
      <c r="I44" s="9">
        <f>+SUMIF($N$3:$ZZ$3,I$3,$N44:$ZZ44)</f>
        <v>3</v>
      </c>
      <c r="J44" s="11" cm="1">
        <f t="array" ref="J44">MAX(IF($N$3:$EH$3=$J$3,N44:EH44))</f>
        <v>0</v>
      </c>
      <c r="K44" s="11" cm="1">
        <f t="array" ref="K44">MAX(IF($N$3:$EH$3=$J$3,N44:EH44))</f>
        <v>0</v>
      </c>
      <c r="L44" s="9"/>
      <c r="O44" s="10"/>
      <c r="P44" s="10"/>
      <c r="Q44" s="10"/>
      <c r="R44" s="10"/>
      <c r="U44">
        <v>1</v>
      </c>
      <c r="V44" s="10"/>
      <c r="W44" s="10">
        <v>0.5</v>
      </c>
      <c r="X44" s="10"/>
      <c r="Y44" s="10">
        <v>0.5</v>
      </c>
      <c r="AC44" s="10"/>
      <c r="AD44" s="10">
        <v>0.5</v>
      </c>
      <c r="AE44" s="10"/>
      <c r="AF44" s="10">
        <v>0.5</v>
      </c>
      <c r="AI44">
        <v>1</v>
      </c>
      <c r="AJ44" s="10"/>
      <c r="AK44" s="10">
        <v>0.8</v>
      </c>
      <c r="AL44" s="10"/>
      <c r="AM44" s="10">
        <v>0.8</v>
      </c>
      <c r="AQ44" s="10"/>
      <c r="AR44" s="10">
        <v>0.8</v>
      </c>
      <c r="AS44" s="10"/>
      <c r="AT44" s="10">
        <v>0.8</v>
      </c>
      <c r="AX44" s="10"/>
      <c r="AY44" s="10">
        <v>0.8</v>
      </c>
      <c r="AZ44" s="10"/>
      <c r="BA44" s="10">
        <v>0.8</v>
      </c>
      <c r="BE44" s="10"/>
      <c r="BF44" s="10">
        <v>0.8</v>
      </c>
      <c r="BG44" s="10"/>
      <c r="BH44" s="10">
        <v>0.8</v>
      </c>
      <c r="BL44" s="10"/>
      <c r="BM44" s="10">
        <v>0.8</v>
      </c>
      <c r="BN44" s="10"/>
      <c r="BO44" s="10">
        <v>0.8</v>
      </c>
      <c r="BR44">
        <v>1</v>
      </c>
      <c r="BS44" s="10"/>
      <c r="BT44" s="10">
        <v>1</v>
      </c>
      <c r="BU44" s="10"/>
      <c r="BV44" s="10">
        <v>1</v>
      </c>
      <c r="BZ44" s="10"/>
      <c r="CA44" s="10">
        <v>1</v>
      </c>
      <c r="CB44" s="10"/>
      <c r="CC44" s="10">
        <v>1</v>
      </c>
      <c r="CG44" s="10"/>
      <c r="CH44" s="10">
        <v>1</v>
      </c>
      <c r="CI44" s="10"/>
      <c r="CJ44" s="10">
        <v>1</v>
      </c>
      <c r="CN44" s="10"/>
      <c r="CO44" s="10">
        <v>1</v>
      </c>
      <c r="CP44" s="10"/>
      <c r="CQ44" s="10">
        <v>1</v>
      </c>
      <c r="CU44" s="10"/>
      <c r="CV44" s="10">
        <v>1</v>
      </c>
      <c r="CW44" s="10"/>
      <c r="CX44" s="10">
        <v>1</v>
      </c>
      <c r="DB44" s="10"/>
      <c r="DC44" s="10">
        <v>1</v>
      </c>
      <c r="DD44" s="10"/>
      <c r="DE44" s="10">
        <v>1</v>
      </c>
      <c r="DI44" s="10"/>
      <c r="DJ44" s="10"/>
      <c r="DK44" s="10"/>
      <c r="DL44" s="10"/>
      <c r="DP44" s="10"/>
      <c r="DQ44" s="10"/>
      <c r="DR44" s="10"/>
      <c r="DS44" s="10"/>
      <c r="DW44" s="10"/>
      <c r="DX44" s="10"/>
      <c r="DY44" s="10"/>
      <c r="DZ44" s="10"/>
      <c r="ED44" s="10"/>
      <c r="EE44" s="10"/>
      <c r="EF44" s="10"/>
      <c r="EG44" s="10"/>
      <c r="EK44" s="10"/>
      <c r="EL44" s="10"/>
      <c r="EM44" s="10"/>
      <c r="EN44" s="10"/>
      <c r="ER44" s="10"/>
      <c r="ES44" s="10"/>
      <c r="ET44" s="10"/>
      <c r="EU44" s="10"/>
    </row>
    <row r="45" spans="2:151" ht="15.75" customHeight="1" outlineLevel="1">
      <c r="B45" t="s">
        <v>28</v>
      </c>
      <c r="C45" t="s">
        <v>144</v>
      </c>
      <c r="E45" s="9"/>
      <c r="F45" t="s">
        <v>148</v>
      </c>
      <c r="G45" s="10">
        <v>0.1</v>
      </c>
      <c r="I45" s="9">
        <f>+SUMIF($N$3:$ZZ$3,I$3,$N45:$ZZ45)</f>
        <v>3</v>
      </c>
      <c r="J45" s="11" cm="1">
        <f t="array" ref="J45">MAX(IF($N$3:$EH$3=$J$3,N45:EH45))</f>
        <v>0</v>
      </c>
      <c r="K45" s="11" cm="1">
        <f t="array" ref="K45">MAX(IF($N$3:$EH$3=$J$3,N45:EH45))</f>
        <v>0</v>
      </c>
      <c r="L45" s="9"/>
      <c r="O45" s="10"/>
      <c r="P45" s="10"/>
      <c r="Q45" s="10"/>
      <c r="R45" s="10"/>
      <c r="V45" s="10"/>
      <c r="W45" s="10"/>
      <c r="X45" s="10"/>
      <c r="Y45" s="10"/>
      <c r="AB45">
        <v>1</v>
      </c>
      <c r="AC45" s="10"/>
      <c r="AD45" s="10">
        <v>0.5</v>
      </c>
      <c r="AE45" s="10"/>
      <c r="AF45" s="10">
        <v>0.5</v>
      </c>
      <c r="AI45">
        <v>1</v>
      </c>
      <c r="AJ45" s="10"/>
      <c r="AK45" s="10">
        <v>0.8</v>
      </c>
      <c r="AL45" s="10"/>
      <c r="AM45" s="10">
        <v>0.8</v>
      </c>
      <c r="AQ45" s="10"/>
      <c r="AR45" s="10">
        <v>0.8</v>
      </c>
      <c r="AS45" s="10"/>
      <c r="AT45" s="10">
        <v>0.8</v>
      </c>
      <c r="AX45" s="10"/>
      <c r="AY45" s="10">
        <v>0.8</v>
      </c>
      <c r="AZ45" s="10"/>
      <c r="BA45" s="10">
        <v>0.8</v>
      </c>
      <c r="BE45" s="10"/>
      <c r="BF45" s="10">
        <v>0.8</v>
      </c>
      <c r="BG45" s="10"/>
      <c r="BH45" s="10">
        <v>0.8</v>
      </c>
      <c r="BL45" s="10"/>
      <c r="BM45" s="10">
        <v>0.8</v>
      </c>
      <c r="BN45" s="10"/>
      <c r="BO45" s="10">
        <v>0.8</v>
      </c>
      <c r="BS45" s="10"/>
      <c r="BT45" s="10">
        <v>0.8</v>
      </c>
      <c r="BU45" s="10"/>
      <c r="BV45" s="10">
        <v>0.8</v>
      </c>
      <c r="BY45">
        <v>1</v>
      </c>
      <c r="BZ45" s="10"/>
      <c r="CA45" s="10">
        <v>1</v>
      </c>
      <c r="CB45" s="10"/>
      <c r="CC45" s="10">
        <v>1</v>
      </c>
      <c r="CG45" s="10"/>
      <c r="CH45" s="10">
        <v>1</v>
      </c>
      <c r="CI45" s="10"/>
      <c r="CJ45" s="10">
        <v>1</v>
      </c>
      <c r="CN45" s="10"/>
      <c r="CO45" s="10">
        <v>1</v>
      </c>
      <c r="CP45" s="10"/>
      <c r="CQ45" s="10">
        <v>1</v>
      </c>
      <c r="CU45" s="10"/>
      <c r="CV45" s="10">
        <v>1</v>
      </c>
      <c r="CW45" s="10"/>
      <c r="CX45" s="10">
        <v>1</v>
      </c>
      <c r="DB45" s="10"/>
      <c r="DC45" s="10">
        <v>1</v>
      </c>
      <c r="DD45" s="10"/>
      <c r="DE45" s="10">
        <v>1</v>
      </c>
      <c r="DI45" s="10"/>
      <c r="DJ45" s="10"/>
      <c r="DK45" s="10"/>
      <c r="DL45" s="10"/>
      <c r="DP45" s="10"/>
      <c r="DQ45" s="10"/>
      <c r="DR45" s="10"/>
      <c r="DS45" s="10"/>
      <c r="DW45" s="10"/>
      <c r="DX45" s="10"/>
      <c r="DY45" s="10"/>
      <c r="DZ45" s="10"/>
      <c r="ED45" s="10"/>
      <c r="EE45" s="10"/>
      <c r="EF45" s="10"/>
      <c r="EG45" s="10"/>
      <c r="EK45" s="10"/>
      <c r="EL45" s="10"/>
      <c r="EM45" s="10"/>
      <c r="EN45" s="10"/>
      <c r="ER45" s="10"/>
      <c r="ES45" s="10"/>
      <c r="ET45" s="10"/>
      <c r="EU45" s="10"/>
    </row>
    <row r="46" spans="2:151" ht="15.75" customHeight="1" outlineLevel="1">
      <c r="B46" t="s">
        <v>28</v>
      </c>
      <c r="C46" t="s">
        <v>144</v>
      </c>
      <c r="E46" s="9"/>
      <c r="F46" t="s">
        <v>149</v>
      </c>
      <c r="G46" s="10">
        <v>0.1</v>
      </c>
      <c r="I46" s="9">
        <f>+SUMIF($N$3:$ZZ$3,I$3,$N46:$ZZ46)</f>
        <v>3</v>
      </c>
      <c r="J46" s="11" cm="1">
        <f t="array" ref="J46">MAX(IF($N$3:$EH$3=$J$3,N46:EH46))</f>
        <v>0</v>
      </c>
      <c r="K46" s="11" cm="1">
        <f t="array" ref="K46">MAX(IF($N$3:$EH$3=$J$3,N46:EH46))</f>
        <v>0</v>
      </c>
      <c r="L46" s="9"/>
      <c r="O46" s="10"/>
      <c r="P46" s="10"/>
      <c r="Q46" s="10"/>
      <c r="R46" s="10"/>
      <c r="V46" s="10"/>
      <c r="W46" s="10"/>
      <c r="X46" s="10"/>
      <c r="Y46" s="10"/>
      <c r="AC46" s="10"/>
      <c r="AD46" s="10"/>
      <c r="AE46" s="10"/>
      <c r="AF46" s="10"/>
      <c r="AI46">
        <v>1</v>
      </c>
      <c r="AJ46" s="10"/>
      <c r="AK46" s="10">
        <v>0.5</v>
      </c>
      <c r="AL46" s="10"/>
      <c r="AM46" s="10">
        <v>0.5</v>
      </c>
      <c r="AP46">
        <v>1</v>
      </c>
      <c r="AQ46" s="10"/>
      <c r="AR46" s="10">
        <v>0.8</v>
      </c>
      <c r="AS46" s="10"/>
      <c r="AT46" s="10">
        <v>0.8</v>
      </c>
      <c r="AX46" s="10"/>
      <c r="AY46" s="10">
        <v>0.8</v>
      </c>
      <c r="AZ46" s="10"/>
      <c r="BA46" s="10">
        <v>0.8</v>
      </c>
      <c r="BE46" s="10"/>
      <c r="BF46" s="10">
        <v>0.8</v>
      </c>
      <c r="BG46" s="10"/>
      <c r="BH46" s="10">
        <v>0.8</v>
      </c>
      <c r="BL46" s="10"/>
      <c r="BM46" s="10">
        <v>0.8</v>
      </c>
      <c r="BN46" s="10"/>
      <c r="BO46" s="10">
        <v>0.8</v>
      </c>
      <c r="BS46" s="10"/>
      <c r="BT46" s="10">
        <v>0.8</v>
      </c>
      <c r="BU46" s="10"/>
      <c r="BV46" s="10">
        <v>0.8</v>
      </c>
      <c r="BZ46" s="10"/>
      <c r="CA46" s="10">
        <v>0.8</v>
      </c>
      <c r="CB46" s="10"/>
      <c r="CC46" s="10">
        <v>0.8</v>
      </c>
      <c r="CF46">
        <v>1</v>
      </c>
      <c r="CG46" s="10"/>
      <c r="CH46" s="10">
        <v>1</v>
      </c>
      <c r="CI46" s="10"/>
      <c r="CJ46" s="10">
        <v>1</v>
      </c>
      <c r="CN46" s="10"/>
      <c r="CO46" s="10">
        <v>1</v>
      </c>
      <c r="CP46" s="10"/>
      <c r="CQ46" s="10">
        <v>1</v>
      </c>
      <c r="CU46" s="10"/>
      <c r="CV46" s="10">
        <v>1</v>
      </c>
      <c r="CW46" s="10"/>
      <c r="CX46" s="10">
        <v>1</v>
      </c>
      <c r="DB46" s="10"/>
      <c r="DC46" s="10">
        <v>1</v>
      </c>
      <c r="DD46" s="10"/>
      <c r="DE46" s="10">
        <v>1</v>
      </c>
      <c r="DI46" s="10"/>
      <c r="DJ46" s="10"/>
      <c r="DK46" s="10"/>
      <c r="DL46" s="10"/>
      <c r="DP46" s="10"/>
      <c r="DQ46" s="10"/>
      <c r="DR46" s="10"/>
      <c r="DS46" s="10"/>
      <c r="DW46" s="10"/>
      <c r="DX46" s="10"/>
      <c r="DY46" s="10"/>
      <c r="DZ46" s="10"/>
      <c r="ED46" s="10"/>
      <c r="EE46" s="10"/>
      <c r="EF46" s="10"/>
      <c r="EG46" s="10"/>
      <c r="EK46" s="10"/>
      <c r="EL46" s="10"/>
      <c r="EM46" s="10"/>
      <c r="EN46" s="10"/>
      <c r="ER46" s="10"/>
      <c r="ES46" s="10"/>
      <c r="ET46" s="10"/>
      <c r="EU46" s="10"/>
    </row>
    <row r="47" spans="2:151" ht="15.75" customHeight="1" outlineLevel="1">
      <c r="B47" t="s">
        <v>28</v>
      </c>
      <c r="C47" t="s">
        <v>144</v>
      </c>
      <c r="E47" s="9"/>
      <c r="F47" t="s">
        <v>150</v>
      </c>
      <c r="G47" s="10">
        <v>0.1</v>
      </c>
      <c r="I47" s="9">
        <f>+SUMIF($N$3:$ZZ$3,I$3,$N47:$ZZ47)</f>
        <v>3</v>
      </c>
      <c r="J47" s="11" cm="1">
        <f t="array" ref="J47">MAX(IF($N$3:$EH$3=$J$3,N47:EH47))</f>
        <v>0</v>
      </c>
      <c r="K47" s="11" cm="1">
        <f t="array" ref="K47">MAX(IF($N$3:$EH$3=$J$3,N47:EH47))</f>
        <v>0</v>
      </c>
      <c r="L47" s="9"/>
      <c r="O47" s="10"/>
      <c r="P47" s="10"/>
      <c r="Q47" s="10"/>
      <c r="R47" s="10"/>
      <c r="V47" s="10"/>
      <c r="W47" s="10"/>
      <c r="X47" s="10"/>
      <c r="Y47" s="10"/>
      <c r="AC47" s="10"/>
      <c r="AD47" s="10"/>
      <c r="AE47" s="10"/>
      <c r="AF47" s="10"/>
      <c r="AJ47" s="10"/>
      <c r="AK47" s="10"/>
      <c r="AL47" s="10"/>
      <c r="AM47" s="10"/>
      <c r="AP47">
        <v>1</v>
      </c>
      <c r="AQ47" s="10"/>
      <c r="AR47" s="10">
        <v>0.5</v>
      </c>
      <c r="AS47" s="10"/>
      <c r="AT47" s="10">
        <v>0.5</v>
      </c>
      <c r="AW47">
        <v>1</v>
      </c>
      <c r="AX47" s="10"/>
      <c r="AY47" s="10">
        <v>0.8</v>
      </c>
      <c r="AZ47" s="10"/>
      <c r="BA47" s="10">
        <v>0.8</v>
      </c>
      <c r="BE47" s="10"/>
      <c r="BF47" s="10">
        <v>0.8</v>
      </c>
      <c r="BG47" s="10"/>
      <c r="BH47" s="10">
        <v>0.8</v>
      </c>
      <c r="BL47" s="10"/>
      <c r="BM47" s="10">
        <v>0.8</v>
      </c>
      <c r="BN47" s="10"/>
      <c r="BO47" s="10">
        <v>0.8</v>
      </c>
      <c r="BS47" s="10"/>
      <c r="BT47" s="10">
        <v>0.8</v>
      </c>
      <c r="BU47" s="10"/>
      <c r="BV47" s="10">
        <v>0.8</v>
      </c>
      <c r="BZ47" s="10"/>
      <c r="CA47" s="10">
        <v>0.8</v>
      </c>
      <c r="CB47" s="10"/>
      <c r="CC47" s="10">
        <v>0.8</v>
      </c>
      <c r="CF47">
        <v>1</v>
      </c>
      <c r="CG47" s="10"/>
      <c r="CH47" s="10">
        <v>1</v>
      </c>
      <c r="CI47" s="10"/>
      <c r="CJ47" s="10">
        <v>1</v>
      </c>
      <c r="CN47" s="10"/>
      <c r="CO47" s="10">
        <v>1</v>
      </c>
      <c r="CP47" s="10"/>
      <c r="CQ47" s="10">
        <v>1</v>
      </c>
      <c r="CU47" s="10"/>
      <c r="CV47" s="10">
        <v>1</v>
      </c>
      <c r="CW47" s="10"/>
      <c r="CX47" s="10">
        <v>1</v>
      </c>
      <c r="DB47" s="10"/>
      <c r="DC47" s="10">
        <v>1</v>
      </c>
      <c r="DD47" s="10"/>
      <c r="DE47" s="10">
        <v>1</v>
      </c>
      <c r="DI47" s="10"/>
      <c r="DJ47" s="10"/>
      <c r="DK47" s="10"/>
      <c r="DL47" s="10"/>
      <c r="DP47" s="10"/>
      <c r="DQ47" s="10"/>
      <c r="DR47" s="10"/>
      <c r="DS47" s="10"/>
      <c r="DW47" s="10"/>
      <c r="DX47" s="10"/>
      <c r="DY47" s="10"/>
      <c r="DZ47" s="10"/>
      <c r="ED47" s="10"/>
      <c r="EE47" s="10"/>
      <c r="EF47" s="10"/>
      <c r="EG47" s="10"/>
      <c r="EK47" s="10"/>
      <c r="EL47" s="10"/>
      <c r="EM47" s="10"/>
      <c r="EN47" s="10"/>
      <c r="ER47" s="10"/>
      <c r="ES47" s="10"/>
      <c r="ET47" s="10"/>
      <c r="EU47" s="10"/>
    </row>
    <row r="48" spans="2:151" ht="15.75" customHeight="1" outlineLevel="1">
      <c r="B48" t="s">
        <v>28</v>
      </c>
      <c r="C48" t="s">
        <v>144</v>
      </c>
      <c r="E48" s="9"/>
      <c r="F48" t="s">
        <v>151</v>
      </c>
      <c r="G48" s="10">
        <v>0.1</v>
      </c>
      <c r="I48" s="9">
        <f>+SUMIF($N$3:$ZZ$3,I$3,$N48:$ZZ48)</f>
        <v>3</v>
      </c>
      <c r="J48" s="11" cm="1">
        <f t="array" ref="J48">MAX(IF($N$3:$EH$3=$J$3,N48:EH48))</f>
        <v>0</v>
      </c>
      <c r="K48" s="11" cm="1">
        <f t="array" ref="K48">MAX(IF($N$3:$EH$3=$J$3,N48:EH48))</f>
        <v>0</v>
      </c>
      <c r="L48" s="9"/>
      <c r="O48" s="10"/>
      <c r="P48" s="10"/>
      <c r="Q48" s="10"/>
      <c r="R48" s="10"/>
      <c r="V48" s="10"/>
      <c r="W48" s="10"/>
      <c r="X48" s="10"/>
      <c r="Y48" s="10"/>
      <c r="AC48" s="10"/>
      <c r="AD48" s="10"/>
      <c r="AE48" s="10"/>
      <c r="AF48" s="10"/>
      <c r="AJ48" s="10"/>
      <c r="AK48" s="10"/>
      <c r="AL48" s="10"/>
      <c r="AM48" s="10"/>
      <c r="AP48">
        <v>1</v>
      </c>
      <c r="AQ48" s="10"/>
      <c r="AR48" s="10">
        <v>0.5</v>
      </c>
      <c r="AS48" s="10"/>
      <c r="AT48" s="10">
        <v>0.5</v>
      </c>
      <c r="AX48" s="10"/>
      <c r="AY48" s="10">
        <v>0.5</v>
      </c>
      <c r="AZ48" s="10"/>
      <c r="BA48" s="10">
        <v>0.5</v>
      </c>
      <c r="BD48">
        <v>1</v>
      </c>
      <c r="BE48" s="10"/>
      <c r="BF48" s="10">
        <v>0.8</v>
      </c>
      <c r="BG48" s="10"/>
      <c r="BH48" s="10">
        <v>0.8</v>
      </c>
      <c r="BL48" s="10"/>
      <c r="BM48" s="10">
        <v>0.8</v>
      </c>
      <c r="BN48" s="10"/>
      <c r="BO48" s="10">
        <v>0.8</v>
      </c>
      <c r="BS48" s="10"/>
      <c r="BT48" s="10">
        <v>0.8</v>
      </c>
      <c r="BU48" s="10"/>
      <c r="BV48" s="10">
        <v>0.8</v>
      </c>
      <c r="BZ48" s="10"/>
      <c r="CA48" s="10">
        <v>0.8</v>
      </c>
      <c r="CB48" s="10"/>
      <c r="CC48" s="10">
        <v>0.8</v>
      </c>
      <c r="CG48" s="10"/>
      <c r="CH48" s="10">
        <v>0.8</v>
      </c>
      <c r="CI48" s="10"/>
      <c r="CJ48" s="10">
        <v>0.8</v>
      </c>
      <c r="CM48">
        <v>1</v>
      </c>
      <c r="CN48" s="10"/>
      <c r="CO48" s="10">
        <v>1</v>
      </c>
      <c r="CP48" s="10"/>
      <c r="CQ48" s="10">
        <v>1</v>
      </c>
      <c r="CU48" s="10"/>
      <c r="CV48" s="10">
        <v>1</v>
      </c>
      <c r="CW48" s="10"/>
      <c r="CX48" s="10">
        <v>1</v>
      </c>
      <c r="DB48" s="10"/>
      <c r="DC48" s="10">
        <v>1</v>
      </c>
      <c r="DD48" s="10"/>
      <c r="DE48" s="10">
        <v>1</v>
      </c>
      <c r="DI48" s="10"/>
      <c r="DJ48" s="10"/>
      <c r="DK48" s="10"/>
      <c r="DL48" s="10"/>
      <c r="DP48" s="10"/>
      <c r="DQ48" s="10"/>
      <c r="DR48" s="10"/>
      <c r="DS48" s="10"/>
      <c r="DW48" s="10"/>
      <c r="DX48" s="10"/>
      <c r="DY48" s="10"/>
      <c r="DZ48" s="10"/>
      <c r="ED48" s="10"/>
      <c r="EE48" s="10"/>
      <c r="EF48" s="10"/>
      <c r="EG48" s="10"/>
      <c r="EK48" s="10"/>
      <c r="EL48" s="10"/>
      <c r="EM48" s="10"/>
      <c r="EN48" s="10"/>
      <c r="ER48" s="10"/>
      <c r="ES48" s="10"/>
      <c r="ET48" s="10"/>
      <c r="EU48" s="10"/>
    </row>
    <row r="49" spans="2:151" ht="15.75" customHeight="1" outlineLevel="1">
      <c r="B49" t="s">
        <v>28</v>
      </c>
      <c r="C49" t="s">
        <v>144</v>
      </c>
      <c r="E49" s="9"/>
      <c r="F49" t="s">
        <v>152</v>
      </c>
      <c r="G49" s="10">
        <v>0.1</v>
      </c>
      <c r="I49" s="9">
        <f>+SUMIF($N$3:$ZZ$3,I$3,$N49:$ZZ49)</f>
        <v>3</v>
      </c>
      <c r="J49" s="11" cm="1">
        <f t="array" ref="J49">MAX(IF($N$3:$EH$3=$J$3,N49:EH49))</f>
        <v>0</v>
      </c>
      <c r="K49" s="11" cm="1">
        <f t="array" ref="K49">MAX(IF($N$3:$EH$3=$J$3,N49:EH49))</f>
        <v>0</v>
      </c>
      <c r="L49" s="9"/>
      <c r="O49" s="10"/>
      <c r="P49" s="10"/>
      <c r="Q49" s="10"/>
      <c r="R49" s="10"/>
      <c r="V49" s="10"/>
      <c r="W49" s="10"/>
      <c r="X49" s="10"/>
      <c r="Y49" s="10"/>
      <c r="AC49" s="10"/>
      <c r="AD49" s="10"/>
      <c r="AE49" s="10"/>
      <c r="AF49" s="10"/>
      <c r="AJ49" s="10"/>
      <c r="AK49" s="10"/>
      <c r="AL49" s="10"/>
      <c r="AM49" s="10"/>
      <c r="AQ49" s="10"/>
      <c r="AR49" s="10"/>
      <c r="AS49" s="10"/>
      <c r="AT49" s="10"/>
      <c r="AW49">
        <v>1</v>
      </c>
      <c r="AX49" s="10"/>
      <c r="AY49" s="10">
        <v>0.5</v>
      </c>
      <c r="AZ49" s="10"/>
      <c r="BA49" s="10">
        <v>0.5</v>
      </c>
      <c r="BE49" s="10"/>
      <c r="BF49" s="10">
        <v>0.5</v>
      </c>
      <c r="BG49" s="10"/>
      <c r="BH49" s="10">
        <v>0.5</v>
      </c>
      <c r="BK49">
        <v>1</v>
      </c>
      <c r="BL49" s="10"/>
      <c r="BM49" s="10">
        <v>0.8</v>
      </c>
      <c r="BN49" s="10"/>
      <c r="BO49" s="10">
        <v>0.8</v>
      </c>
      <c r="BS49" s="10"/>
      <c r="BT49" s="10">
        <v>0.8</v>
      </c>
      <c r="BU49" s="10"/>
      <c r="BV49" s="10">
        <v>0.8</v>
      </c>
      <c r="BZ49" s="10"/>
      <c r="CA49" s="10">
        <v>0.8</v>
      </c>
      <c r="CB49" s="10"/>
      <c r="CC49" s="10">
        <v>0.8</v>
      </c>
      <c r="CG49" s="10"/>
      <c r="CH49" s="10">
        <v>0.8</v>
      </c>
      <c r="CI49" s="10"/>
      <c r="CJ49" s="10">
        <v>0.8</v>
      </c>
      <c r="CN49" s="10"/>
      <c r="CO49" s="10">
        <v>0.8</v>
      </c>
      <c r="CP49" s="10"/>
      <c r="CQ49" s="10">
        <v>0.8</v>
      </c>
      <c r="CT49">
        <v>1</v>
      </c>
      <c r="CU49" s="10"/>
      <c r="CV49" s="10">
        <v>1</v>
      </c>
      <c r="CW49" s="10"/>
      <c r="CX49" s="10">
        <v>1</v>
      </c>
      <c r="DB49" s="10"/>
      <c r="DC49" s="10">
        <v>1</v>
      </c>
      <c r="DD49" s="10"/>
      <c r="DE49" s="10">
        <v>1</v>
      </c>
      <c r="DI49" s="10"/>
      <c r="DJ49" s="10"/>
      <c r="DK49" s="10"/>
      <c r="DL49" s="10"/>
      <c r="DP49" s="10"/>
      <c r="DQ49" s="10"/>
      <c r="DR49" s="10"/>
      <c r="DS49" s="10"/>
      <c r="DW49" s="10"/>
      <c r="DX49" s="10"/>
      <c r="DY49" s="10"/>
      <c r="DZ49" s="10"/>
      <c r="ED49" s="10"/>
      <c r="EE49" s="10"/>
      <c r="EF49" s="10"/>
      <c r="EG49" s="10"/>
      <c r="EK49" s="10"/>
      <c r="EL49" s="10"/>
      <c r="EM49" s="10"/>
      <c r="EN49" s="10"/>
      <c r="ER49" s="10"/>
      <c r="ES49" s="10"/>
      <c r="ET49" s="10"/>
      <c r="EU49" s="10"/>
    </row>
    <row r="50" spans="2:151" ht="15.75" customHeight="1" outlineLevel="1">
      <c r="B50" t="s">
        <v>28</v>
      </c>
      <c r="C50" t="s">
        <v>144</v>
      </c>
      <c r="E50" s="9"/>
      <c r="F50" t="s">
        <v>153</v>
      </c>
      <c r="G50" s="10">
        <v>0.1</v>
      </c>
      <c r="I50" s="9">
        <f>+SUMIF($N$3:$ZZ$3,I$3,$N50:$ZZ50)</f>
        <v>2</v>
      </c>
      <c r="J50" s="11" cm="1">
        <f t="array" ref="J50">MAX(IF($N$3:$EH$3=$J$3,N50:EH50))</f>
        <v>0</v>
      </c>
      <c r="K50" s="11" cm="1">
        <f t="array" ref="K50">MAX(IF($N$3:$EH$3=$J$3,N50:EH50))</f>
        <v>0</v>
      </c>
      <c r="L50" s="9"/>
      <c r="O50" s="10"/>
      <c r="P50" s="10"/>
      <c r="Q50" s="10"/>
      <c r="R50" s="10"/>
      <c r="V50" s="10"/>
      <c r="W50" s="10"/>
      <c r="X50" s="10"/>
      <c r="Y50" s="10"/>
      <c r="AC50" s="10"/>
      <c r="AD50" s="10"/>
      <c r="AE50" s="10"/>
      <c r="AF50" s="10"/>
      <c r="AJ50" s="10"/>
      <c r="AK50" s="10"/>
      <c r="AL50" s="10"/>
      <c r="AM50" s="10"/>
      <c r="AQ50" s="10"/>
      <c r="AR50" s="10"/>
      <c r="AS50" s="10"/>
      <c r="AT50" s="10"/>
      <c r="AX50" s="10"/>
      <c r="AY50" s="10"/>
      <c r="AZ50" s="10"/>
      <c r="BA50" s="10"/>
      <c r="BD50">
        <v>1</v>
      </c>
      <c r="BE50" s="10"/>
      <c r="BF50" s="10">
        <v>0.5</v>
      </c>
      <c r="BG50" s="10"/>
      <c r="BH50" s="10">
        <v>0.5</v>
      </c>
      <c r="BL50" s="10"/>
      <c r="BM50" s="10">
        <v>0.5</v>
      </c>
      <c r="BN50" s="10"/>
      <c r="BO50" s="10">
        <v>0.5</v>
      </c>
      <c r="BS50" s="10"/>
      <c r="BT50" s="10">
        <v>0.5</v>
      </c>
      <c r="BU50" s="10"/>
      <c r="BV50" s="10">
        <v>0.5</v>
      </c>
      <c r="BY50">
        <v>1</v>
      </c>
      <c r="BZ50" s="10"/>
      <c r="CA50" s="10">
        <v>0.8</v>
      </c>
      <c r="CB50" s="10"/>
      <c r="CC50" s="10">
        <v>0.8</v>
      </c>
      <c r="CG50" s="10"/>
      <c r="CH50" s="10">
        <v>0.8</v>
      </c>
      <c r="CI50" s="10"/>
      <c r="CJ50" s="10">
        <v>0.8</v>
      </c>
      <c r="CN50" s="10"/>
      <c r="CO50" s="10">
        <v>0.8</v>
      </c>
      <c r="CP50" s="10"/>
      <c r="CQ50" s="10">
        <v>0.8</v>
      </c>
      <c r="CU50" s="10"/>
      <c r="CV50" s="10">
        <v>0.8</v>
      </c>
      <c r="CW50" s="10"/>
      <c r="CX50" s="10">
        <v>0.8</v>
      </c>
      <c r="DB50" s="10"/>
      <c r="DC50" s="10">
        <v>1</v>
      </c>
      <c r="DD50" s="10"/>
      <c r="DE50" s="10">
        <v>1</v>
      </c>
      <c r="DI50" s="10"/>
      <c r="DJ50" s="10"/>
      <c r="DK50" s="10"/>
      <c r="DL50" s="10"/>
      <c r="DP50" s="10"/>
      <c r="DQ50" s="10"/>
      <c r="DR50" s="10"/>
      <c r="DS50" s="10"/>
      <c r="DW50" s="10"/>
      <c r="DX50" s="10"/>
      <c r="DY50" s="10"/>
      <c r="DZ50" s="10"/>
      <c r="ED50" s="10"/>
      <c r="EE50" s="10"/>
      <c r="EF50" s="10"/>
      <c r="EG50" s="10"/>
      <c r="EK50" s="10"/>
      <c r="EL50" s="10"/>
      <c r="EM50" s="10"/>
      <c r="EN50" s="10"/>
      <c r="ER50" s="10"/>
      <c r="ES50" s="10"/>
      <c r="ET50" s="10"/>
      <c r="EU50" s="10"/>
    </row>
    <row r="51" spans="2:151" ht="15.75" customHeight="1" outlineLevel="1">
      <c r="B51" t="s">
        <v>28</v>
      </c>
      <c r="C51" t="s">
        <v>144</v>
      </c>
      <c r="E51" s="9"/>
      <c r="F51" t="s">
        <v>154</v>
      </c>
      <c r="G51" s="10">
        <v>0.1</v>
      </c>
      <c r="I51" s="9">
        <f>+SUMIF($N$3:$ZZ$3,I$3,$N51:$ZZ51)</f>
        <v>2</v>
      </c>
      <c r="J51" s="11" cm="1">
        <f t="array" ref="J51">MAX(IF($N$3:$EH$3=$J$3,N51:EH51))</f>
        <v>0</v>
      </c>
      <c r="K51" s="11" cm="1">
        <f t="array" ref="K51">MAX(IF($N$3:$EH$3=$J$3,N51:EH51))</f>
        <v>0</v>
      </c>
      <c r="L51" s="9"/>
      <c r="O51" s="10"/>
      <c r="P51" s="10"/>
      <c r="Q51" s="10"/>
      <c r="R51" s="10"/>
      <c r="V51" s="10"/>
      <c r="W51" s="10"/>
      <c r="X51" s="10"/>
      <c r="Y51" s="10"/>
      <c r="AC51" s="10"/>
      <c r="AD51" s="10"/>
      <c r="AE51" s="10"/>
      <c r="AF51" s="10"/>
      <c r="AJ51" s="10"/>
      <c r="AK51" s="10"/>
      <c r="AL51" s="10"/>
      <c r="AM51" s="10"/>
      <c r="AQ51" s="10"/>
      <c r="AR51" s="10"/>
      <c r="AS51" s="10"/>
      <c r="AT51" s="10"/>
      <c r="AX51" s="10"/>
      <c r="AY51" s="10"/>
      <c r="AZ51" s="10"/>
      <c r="BA51" s="10"/>
      <c r="BE51" s="10"/>
      <c r="BF51" s="10"/>
      <c r="BG51" s="10"/>
      <c r="BH51" s="10"/>
      <c r="BK51">
        <v>1</v>
      </c>
      <c r="BL51" s="10"/>
      <c r="BM51" s="10">
        <v>0.5</v>
      </c>
      <c r="BN51" s="10"/>
      <c r="BO51" s="10">
        <v>0.5</v>
      </c>
      <c r="BS51" s="10"/>
      <c r="BT51" s="10">
        <v>0.5</v>
      </c>
      <c r="BU51" s="10"/>
      <c r="BV51" s="10">
        <v>0.5</v>
      </c>
      <c r="BZ51" s="10"/>
      <c r="CA51" s="10">
        <v>0.5</v>
      </c>
      <c r="CB51" s="10"/>
      <c r="CC51" s="10">
        <v>0.5</v>
      </c>
      <c r="CG51" s="10"/>
      <c r="CH51" s="10">
        <v>0.5</v>
      </c>
      <c r="CI51" s="10"/>
      <c r="CJ51" s="10">
        <v>0.5</v>
      </c>
      <c r="CM51">
        <v>1</v>
      </c>
      <c r="CN51" s="10"/>
      <c r="CO51" s="10">
        <v>0.8</v>
      </c>
      <c r="CP51" s="10"/>
      <c r="CQ51" s="10">
        <v>0.8</v>
      </c>
      <c r="CU51" s="10"/>
      <c r="CV51" s="10">
        <v>0.8</v>
      </c>
      <c r="CW51" s="10"/>
      <c r="CX51" s="10">
        <v>0.8</v>
      </c>
      <c r="DB51" s="10"/>
      <c r="DC51" s="10">
        <v>1</v>
      </c>
      <c r="DD51" s="10"/>
      <c r="DE51" s="10">
        <v>1</v>
      </c>
      <c r="DI51" s="10"/>
      <c r="DJ51" s="10"/>
      <c r="DK51" s="10"/>
      <c r="DL51" s="10"/>
      <c r="DP51" s="10"/>
      <c r="DQ51" s="10"/>
      <c r="DR51" s="10"/>
      <c r="DS51" s="10"/>
      <c r="DW51" s="10"/>
      <c r="DX51" s="10"/>
      <c r="DY51" s="10"/>
      <c r="DZ51" s="10"/>
      <c r="ED51" s="10"/>
      <c r="EE51" s="10"/>
      <c r="EF51" s="10"/>
      <c r="EG51" s="10"/>
      <c r="EK51" s="10"/>
      <c r="EL51" s="10"/>
      <c r="EM51" s="10"/>
      <c r="EN51" s="10"/>
      <c r="ER51" s="10"/>
      <c r="ES51" s="10"/>
      <c r="ET51" s="10"/>
      <c r="EU51" s="10"/>
    </row>
    <row r="53" spans="2:151">
      <c r="B53" t="s">
        <v>27</v>
      </c>
      <c r="C53" t="s">
        <v>92</v>
      </c>
      <c r="D53" s="19">
        <v>45715</v>
      </c>
      <c r="E53" s="9">
        <v>6</v>
      </c>
      <c r="G53" s="10">
        <f>+SUM(G54:G67)</f>
        <v>1.3</v>
      </c>
      <c r="I53" s="12">
        <f>+SUM(I54:I67)</f>
        <v>36</v>
      </c>
      <c r="J53" s="11">
        <f>+SUMPRODUCT(G54:G67,J54:J67)</f>
        <v>0</v>
      </c>
      <c r="K53" s="11">
        <f>+SUMPRODUCT(G54:G67,K54:K67)</f>
        <v>0</v>
      </c>
      <c r="L53" s="9"/>
      <c r="N53" s="12"/>
      <c r="U53" s="12"/>
      <c r="AB53" s="12"/>
      <c r="AI53" s="12"/>
      <c r="AP53" s="12"/>
    </row>
    <row r="54" spans="2:151" ht="15.75" customHeight="1" outlineLevel="1">
      <c r="B54" t="s">
        <v>28</v>
      </c>
      <c r="C54" t="s">
        <v>92</v>
      </c>
      <c r="E54" s="9"/>
      <c r="F54" t="s">
        <v>155</v>
      </c>
      <c r="G54" s="10">
        <v>0.1</v>
      </c>
      <c r="I54" s="9">
        <f>+SUMIF($N$3:$ZZ$3,I$3,$N54:$ZZ54)</f>
        <v>2</v>
      </c>
      <c r="J54" s="11" cm="1">
        <f t="array" ref="J54">MAX(IF($N$3:$EH$3=$J$3,N54:EH54))</f>
        <v>0</v>
      </c>
      <c r="K54" s="11" cm="1">
        <f t="array" ref="K54">MAX(IF($N$3:$EH$3=$J$3,N54:EH54))</f>
        <v>0</v>
      </c>
      <c r="L54" s="9"/>
      <c r="O54" s="10"/>
      <c r="P54" s="10">
        <v>0.5</v>
      </c>
      <c r="Q54" s="10"/>
      <c r="R54" s="10">
        <v>0.5</v>
      </c>
      <c r="U54">
        <v>1</v>
      </c>
      <c r="V54" s="10"/>
      <c r="W54" s="10">
        <v>0.8</v>
      </c>
      <c r="X54" s="10"/>
      <c r="Y54" s="10">
        <v>0.8</v>
      </c>
      <c r="AC54" s="10"/>
      <c r="AD54" s="10">
        <v>0.8</v>
      </c>
      <c r="AE54" s="10"/>
      <c r="AF54" s="10">
        <v>0.8</v>
      </c>
      <c r="AJ54" s="10"/>
      <c r="AK54" s="10">
        <v>0.8</v>
      </c>
      <c r="AL54" s="10"/>
      <c r="AM54" s="10">
        <v>0.8</v>
      </c>
      <c r="AQ54" s="10"/>
      <c r="AR54" s="10">
        <v>0.8</v>
      </c>
      <c r="AS54" s="10"/>
      <c r="AT54" s="10">
        <v>0.8</v>
      </c>
      <c r="AX54" s="10"/>
      <c r="AY54" s="10">
        <v>0.8</v>
      </c>
      <c r="AZ54" s="10"/>
      <c r="BA54" s="10">
        <v>0.8</v>
      </c>
      <c r="BE54" s="10"/>
      <c r="BF54" s="10">
        <v>0.8</v>
      </c>
      <c r="BG54" s="10"/>
      <c r="BH54" s="10">
        <v>0.8</v>
      </c>
      <c r="BL54" s="10"/>
      <c r="BM54" s="10">
        <v>0.8</v>
      </c>
      <c r="BN54" s="10"/>
      <c r="BO54" s="10">
        <v>0.8</v>
      </c>
      <c r="BR54">
        <v>1</v>
      </c>
      <c r="BS54" s="10"/>
      <c r="BT54" s="10">
        <v>1</v>
      </c>
      <c r="BU54" s="10"/>
      <c r="BV54" s="10">
        <v>1</v>
      </c>
      <c r="BZ54" s="10"/>
      <c r="CA54" s="10">
        <v>1</v>
      </c>
      <c r="CB54" s="10"/>
      <c r="CC54" s="10">
        <v>1</v>
      </c>
      <c r="CG54" s="10"/>
      <c r="CH54" s="10">
        <v>1</v>
      </c>
      <c r="CI54" s="10"/>
      <c r="CJ54" s="10">
        <v>1</v>
      </c>
      <c r="CN54" s="10"/>
      <c r="CO54" s="10">
        <v>1</v>
      </c>
      <c r="CP54" s="10"/>
      <c r="CQ54" s="10">
        <v>1</v>
      </c>
      <c r="CU54" s="10"/>
      <c r="CV54" s="10">
        <v>1</v>
      </c>
      <c r="CW54" s="10"/>
      <c r="CX54" s="10">
        <v>1</v>
      </c>
      <c r="DB54" s="10"/>
      <c r="DC54" s="10">
        <v>1</v>
      </c>
      <c r="DD54" s="10"/>
      <c r="DE54" s="10">
        <v>1</v>
      </c>
      <c r="DI54" s="10"/>
      <c r="DJ54" s="10"/>
      <c r="DK54" s="10"/>
      <c r="DL54" s="10"/>
      <c r="DP54" s="10"/>
      <c r="DQ54" s="10"/>
      <c r="DR54" s="10"/>
      <c r="DS54" s="10"/>
      <c r="DW54" s="10"/>
      <c r="DX54" s="10"/>
      <c r="DY54" s="10"/>
      <c r="DZ54" s="10"/>
      <c r="ED54" s="10"/>
      <c r="EE54" s="10"/>
      <c r="EF54" s="10"/>
      <c r="EG54" s="10"/>
      <c r="EK54" s="10"/>
      <c r="EL54" s="10"/>
      <c r="EM54" s="10"/>
      <c r="EN54" s="10"/>
      <c r="ER54" s="10"/>
      <c r="ES54" s="10"/>
      <c r="ET54" s="10"/>
      <c r="EU54" s="10"/>
    </row>
    <row r="55" spans="2:151" ht="15.75" customHeight="1" outlineLevel="1">
      <c r="B55" t="s">
        <v>28</v>
      </c>
      <c r="C55" t="s">
        <v>92</v>
      </c>
      <c r="E55" s="9"/>
      <c r="F55" t="s">
        <v>156</v>
      </c>
      <c r="G55" s="10">
        <v>0.05</v>
      </c>
      <c r="I55" s="9">
        <f>+SUMIF($N$3:$ZZ$3,I$3,$N55:$ZZ55)</f>
        <v>2</v>
      </c>
      <c r="J55" s="11" cm="1">
        <f t="array" ref="J55">MAX(IF($N$3:$EH$3=$J$3,N55:EH55))</f>
        <v>0</v>
      </c>
      <c r="K55" s="11" cm="1">
        <f t="array" ref="K55">MAX(IF($N$3:$EH$3=$J$3,N55:EH55))</f>
        <v>0</v>
      </c>
      <c r="L55" s="9"/>
      <c r="O55" s="10"/>
      <c r="P55" s="10">
        <v>0.5</v>
      </c>
      <c r="Q55" s="10"/>
      <c r="R55" s="10">
        <v>0.5</v>
      </c>
      <c r="U55">
        <v>1</v>
      </c>
      <c r="V55" s="10"/>
      <c r="W55" s="10">
        <v>0.8</v>
      </c>
      <c r="X55" s="10"/>
      <c r="Y55" s="10">
        <v>0.8</v>
      </c>
      <c r="AC55" s="10"/>
      <c r="AD55" s="10">
        <v>0.8</v>
      </c>
      <c r="AE55" s="10"/>
      <c r="AF55" s="10">
        <v>0.8</v>
      </c>
      <c r="AJ55" s="10"/>
      <c r="AK55" s="10">
        <v>0.8</v>
      </c>
      <c r="AL55" s="10"/>
      <c r="AM55" s="10">
        <v>0.8</v>
      </c>
      <c r="AQ55" s="10"/>
      <c r="AR55" s="10">
        <v>0.8</v>
      </c>
      <c r="AS55" s="10"/>
      <c r="AT55" s="10">
        <v>0.8</v>
      </c>
      <c r="AX55" s="10"/>
      <c r="AY55" s="10">
        <v>0.8</v>
      </c>
      <c r="AZ55" s="10"/>
      <c r="BA55" s="10">
        <v>0.8</v>
      </c>
      <c r="BE55" s="10"/>
      <c r="BF55" s="10">
        <v>0.8</v>
      </c>
      <c r="BG55" s="10"/>
      <c r="BH55" s="10">
        <v>0.8</v>
      </c>
      <c r="BL55" s="10"/>
      <c r="BM55" s="10">
        <v>0.8</v>
      </c>
      <c r="BN55" s="10"/>
      <c r="BO55" s="10">
        <v>0.8</v>
      </c>
      <c r="BR55">
        <v>1</v>
      </c>
      <c r="BS55" s="10"/>
      <c r="BT55" s="10">
        <v>1</v>
      </c>
      <c r="BU55" s="10"/>
      <c r="BV55" s="10">
        <v>1</v>
      </c>
      <c r="BZ55" s="10"/>
      <c r="CA55" s="10">
        <v>1</v>
      </c>
      <c r="CB55" s="10"/>
      <c r="CC55" s="10">
        <v>1</v>
      </c>
      <c r="CG55" s="10"/>
      <c r="CH55" s="10">
        <v>1</v>
      </c>
      <c r="CI55" s="10"/>
      <c r="CJ55" s="10">
        <v>1</v>
      </c>
      <c r="CN55" s="10"/>
      <c r="CO55" s="10">
        <v>1</v>
      </c>
      <c r="CP55" s="10"/>
      <c r="CQ55" s="10">
        <v>1</v>
      </c>
      <c r="CU55" s="10"/>
      <c r="CV55" s="10">
        <v>1</v>
      </c>
      <c r="CW55" s="10"/>
      <c r="CX55" s="10">
        <v>1</v>
      </c>
      <c r="DB55" s="10"/>
      <c r="DC55" s="10">
        <v>1</v>
      </c>
      <c r="DD55" s="10"/>
      <c r="DE55" s="10">
        <v>1</v>
      </c>
      <c r="DI55" s="10"/>
      <c r="DJ55" s="10"/>
      <c r="DK55" s="10"/>
      <c r="DL55" s="10"/>
      <c r="DP55" s="10"/>
      <c r="DQ55" s="10"/>
      <c r="DR55" s="10"/>
      <c r="DS55" s="10"/>
      <c r="DW55" s="10"/>
      <c r="DX55" s="10"/>
      <c r="DY55" s="10"/>
      <c r="DZ55" s="10"/>
      <c r="ED55" s="10"/>
      <c r="EE55" s="10"/>
      <c r="EF55" s="10"/>
      <c r="EG55" s="10"/>
      <c r="EK55" s="10"/>
      <c r="EL55" s="10"/>
      <c r="EM55" s="10"/>
      <c r="EN55" s="10"/>
      <c r="ER55" s="10"/>
      <c r="ES55" s="10"/>
      <c r="ET55" s="10"/>
      <c r="EU55" s="10"/>
    </row>
    <row r="56" spans="2:151" ht="15.75" customHeight="1" outlineLevel="1">
      <c r="B56" t="s">
        <v>28</v>
      </c>
      <c r="C56" t="s">
        <v>92</v>
      </c>
      <c r="E56" s="9"/>
      <c r="F56" t="s">
        <v>157</v>
      </c>
      <c r="G56" s="10">
        <v>0.05</v>
      </c>
      <c r="I56" s="9">
        <f>+SUMIF($N$3:$ZZ$3,I$3,$N56:$ZZ56)</f>
        <v>2</v>
      </c>
      <c r="J56" s="11" cm="1">
        <f t="array" ref="J56">MAX(IF($N$3:$EH$3=$J$3,N56:EH56))</f>
        <v>0</v>
      </c>
      <c r="K56" s="11" cm="1">
        <f t="array" ref="K56">MAX(IF($N$3:$EH$3=$J$3,N56:EH56))</f>
        <v>0</v>
      </c>
      <c r="L56" s="9"/>
      <c r="O56" s="10"/>
      <c r="P56" s="10">
        <v>0.5</v>
      </c>
      <c r="Q56" s="10"/>
      <c r="R56" s="10">
        <v>0.5</v>
      </c>
      <c r="V56" s="10"/>
      <c r="W56" s="10">
        <v>0.5</v>
      </c>
      <c r="X56" s="10"/>
      <c r="Y56" s="10">
        <v>0.5</v>
      </c>
      <c r="AB56">
        <v>1</v>
      </c>
      <c r="AC56" s="10"/>
      <c r="AD56" s="10">
        <v>0.8</v>
      </c>
      <c r="AE56" s="10"/>
      <c r="AF56" s="10">
        <v>0.8</v>
      </c>
      <c r="AJ56" s="10"/>
      <c r="AK56" s="10">
        <v>0.8</v>
      </c>
      <c r="AL56" s="10"/>
      <c r="AM56" s="10">
        <v>0.8</v>
      </c>
      <c r="AQ56" s="10"/>
      <c r="AR56" s="10">
        <v>0.8</v>
      </c>
      <c r="AS56" s="10"/>
      <c r="AT56" s="10">
        <v>0.8</v>
      </c>
      <c r="AX56" s="10"/>
      <c r="AY56" s="10">
        <v>0.8</v>
      </c>
      <c r="AZ56" s="10"/>
      <c r="BA56" s="10">
        <v>0.8</v>
      </c>
      <c r="BE56" s="10"/>
      <c r="BF56" s="10">
        <v>0.8</v>
      </c>
      <c r="BG56" s="10"/>
      <c r="BH56" s="10">
        <v>0.8</v>
      </c>
      <c r="BL56" s="10"/>
      <c r="BM56" s="10">
        <v>0.8</v>
      </c>
      <c r="BN56" s="10"/>
      <c r="BO56" s="10">
        <v>0.8</v>
      </c>
      <c r="BS56" s="10"/>
      <c r="BT56" s="10">
        <v>0.8</v>
      </c>
      <c r="BU56" s="10"/>
      <c r="BV56" s="10">
        <v>0.8</v>
      </c>
      <c r="BY56">
        <v>1</v>
      </c>
      <c r="BZ56" s="10"/>
      <c r="CA56" s="10">
        <v>1</v>
      </c>
      <c r="CB56" s="10"/>
      <c r="CC56" s="10">
        <v>1</v>
      </c>
      <c r="CG56" s="10"/>
      <c r="CH56" s="10">
        <v>1</v>
      </c>
      <c r="CI56" s="10"/>
      <c r="CJ56" s="10">
        <v>1</v>
      </c>
      <c r="CN56" s="10"/>
      <c r="CO56" s="10">
        <v>1</v>
      </c>
      <c r="CP56" s="10"/>
      <c r="CQ56" s="10">
        <v>1</v>
      </c>
      <c r="CU56" s="10"/>
      <c r="CV56" s="10">
        <v>1</v>
      </c>
      <c r="CW56" s="10"/>
      <c r="CX56" s="10">
        <v>1</v>
      </c>
      <c r="DB56" s="10"/>
      <c r="DC56" s="10">
        <v>1</v>
      </c>
      <c r="DD56" s="10"/>
      <c r="DE56" s="10">
        <v>1</v>
      </c>
      <c r="DI56" s="10"/>
      <c r="DJ56" s="10"/>
      <c r="DK56" s="10"/>
      <c r="DL56" s="10"/>
      <c r="DP56" s="10"/>
      <c r="DQ56" s="10"/>
      <c r="DR56" s="10"/>
      <c r="DS56" s="10"/>
      <c r="DW56" s="10"/>
      <c r="DX56" s="10"/>
      <c r="DY56" s="10"/>
      <c r="DZ56" s="10"/>
      <c r="ED56" s="10"/>
      <c r="EE56" s="10"/>
      <c r="EF56" s="10"/>
      <c r="EG56" s="10"/>
      <c r="EK56" s="10"/>
      <c r="EL56" s="10"/>
      <c r="EM56" s="10"/>
      <c r="EN56" s="10"/>
      <c r="ER56" s="10"/>
      <c r="ES56" s="10"/>
      <c r="ET56" s="10"/>
      <c r="EU56" s="10"/>
    </row>
    <row r="57" spans="2:151" ht="15.75" customHeight="1" outlineLevel="1">
      <c r="B57" t="s">
        <v>28</v>
      </c>
      <c r="C57" t="s">
        <v>92</v>
      </c>
      <c r="E57" s="9"/>
      <c r="F57" t="s">
        <v>158</v>
      </c>
      <c r="G57" s="10">
        <v>0.1</v>
      </c>
      <c r="I57" s="9">
        <f>+SUMIF($N$3:$ZZ$3,I$3,$N57:$ZZ57)</f>
        <v>3</v>
      </c>
      <c r="J57" s="11" cm="1">
        <f t="array" ref="J57">MAX(IF($N$3:$EH$3=$J$3,N57:EH57))</f>
        <v>0</v>
      </c>
      <c r="K57" s="11" cm="1">
        <f t="array" ref="K57">MAX(IF($N$3:$EH$3=$J$3,N57:EH57))</f>
        <v>0</v>
      </c>
      <c r="L57" s="9"/>
      <c r="O57" s="10"/>
      <c r="P57" s="10"/>
      <c r="Q57" s="10"/>
      <c r="R57" s="10"/>
      <c r="U57">
        <v>1</v>
      </c>
      <c r="V57" s="10"/>
      <c r="W57" s="10">
        <v>0.5</v>
      </c>
      <c r="X57" s="10"/>
      <c r="Y57" s="10">
        <v>0.5</v>
      </c>
      <c r="AC57" s="10"/>
      <c r="AD57" s="10">
        <v>0.5</v>
      </c>
      <c r="AE57" s="10"/>
      <c r="AF57" s="10">
        <v>0.5</v>
      </c>
      <c r="AI57">
        <v>1</v>
      </c>
      <c r="AJ57" s="10"/>
      <c r="AK57" s="10">
        <v>0.8</v>
      </c>
      <c r="AL57" s="10"/>
      <c r="AM57" s="10">
        <v>0.8</v>
      </c>
      <c r="AQ57" s="10"/>
      <c r="AR57" s="10">
        <v>0.8</v>
      </c>
      <c r="AS57" s="10"/>
      <c r="AT57" s="10">
        <v>0.8</v>
      </c>
      <c r="AX57" s="10"/>
      <c r="AY57" s="10">
        <v>0.8</v>
      </c>
      <c r="AZ57" s="10"/>
      <c r="BA57" s="10">
        <v>0.8</v>
      </c>
      <c r="BE57" s="10"/>
      <c r="BF57" s="10">
        <v>0.8</v>
      </c>
      <c r="BG57" s="10"/>
      <c r="BH57" s="10">
        <v>0.8</v>
      </c>
      <c r="BL57" s="10"/>
      <c r="BM57" s="10">
        <v>0.8</v>
      </c>
      <c r="BN57" s="10"/>
      <c r="BO57" s="10">
        <v>0.8</v>
      </c>
      <c r="BS57" s="10"/>
      <c r="BT57" s="10">
        <v>0.8</v>
      </c>
      <c r="BU57" s="10"/>
      <c r="BV57" s="10">
        <v>0.8</v>
      </c>
      <c r="BY57">
        <v>1</v>
      </c>
      <c r="BZ57" s="10"/>
      <c r="CA57" s="10">
        <v>1</v>
      </c>
      <c r="CB57" s="10"/>
      <c r="CC57" s="10">
        <v>1</v>
      </c>
      <c r="CG57" s="10"/>
      <c r="CH57" s="10">
        <v>1</v>
      </c>
      <c r="CI57" s="10"/>
      <c r="CJ57" s="10">
        <v>1</v>
      </c>
      <c r="CN57" s="10"/>
      <c r="CO57" s="10">
        <v>1</v>
      </c>
      <c r="CP57" s="10"/>
      <c r="CQ57" s="10">
        <v>1</v>
      </c>
      <c r="CU57" s="10"/>
      <c r="CV57" s="10">
        <v>1</v>
      </c>
      <c r="CW57" s="10"/>
      <c r="CX57" s="10">
        <v>1</v>
      </c>
      <c r="DB57" s="10"/>
      <c r="DC57" s="10">
        <v>1</v>
      </c>
      <c r="DD57" s="10"/>
      <c r="DE57" s="10">
        <v>1</v>
      </c>
      <c r="DI57" s="10"/>
      <c r="DJ57" s="10"/>
      <c r="DK57" s="10"/>
      <c r="DL57" s="10"/>
      <c r="DP57" s="10"/>
      <c r="DQ57" s="10"/>
      <c r="DR57" s="10"/>
      <c r="DS57" s="10"/>
      <c r="DW57" s="10"/>
      <c r="DX57" s="10"/>
      <c r="DY57" s="10"/>
      <c r="DZ57" s="10"/>
      <c r="ED57" s="10"/>
      <c r="EE57" s="10"/>
      <c r="EF57" s="10"/>
      <c r="EG57" s="10"/>
      <c r="EK57" s="10"/>
      <c r="EL57" s="10"/>
      <c r="EM57" s="10"/>
      <c r="EN57" s="10"/>
      <c r="ER57" s="10"/>
      <c r="ES57" s="10"/>
      <c r="ET57" s="10"/>
      <c r="EU57" s="10"/>
    </row>
    <row r="58" spans="2:151" ht="15.75" customHeight="1" outlineLevel="1">
      <c r="B58" t="s">
        <v>28</v>
      </c>
      <c r="C58" t="s">
        <v>92</v>
      </c>
      <c r="E58" s="9"/>
      <c r="F58" t="s">
        <v>159</v>
      </c>
      <c r="G58" s="10">
        <v>0.1</v>
      </c>
      <c r="I58" s="9">
        <f>+SUMIF($N$3:$ZZ$3,I$3,$N58:$ZZ58)</f>
        <v>3</v>
      </c>
      <c r="J58" s="11" cm="1">
        <f t="array" ref="J58">MAX(IF($N$3:$EH$3=$J$3,N58:EH58))</f>
        <v>0</v>
      </c>
      <c r="K58" s="11" cm="1">
        <f t="array" ref="K58">MAX(IF($N$3:$EH$3=$J$3,N58:EH58))</f>
        <v>0</v>
      </c>
      <c r="L58" s="9"/>
      <c r="O58" s="10"/>
      <c r="P58" s="10"/>
      <c r="Q58" s="10"/>
      <c r="R58" s="10"/>
      <c r="V58" s="10"/>
      <c r="W58" s="10"/>
      <c r="X58" s="10"/>
      <c r="Y58" s="10"/>
      <c r="AB58">
        <v>1</v>
      </c>
      <c r="AC58" s="10"/>
      <c r="AD58" s="10">
        <v>0.5</v>
      </c>
      <c r="AE58" s="10"/>
      <c r="AF58" s="10">
        <v>0.5</v>
      </c>
      <c r="AI58">
        <v>1</v>
      </c>
      <c r="AJ58" s="10"/>
      <c r="AK58" s="10">
        <v>0.8</v>
      </c>
      <c r="AL58" s="10"/>
      <c r="AM58" s="10">
        <v>0.8</v>
      </c>
      <c r="AQ58" s="10"/>
      <c r="AR58" s="10">
        <v>0.8</v>
      </c>
      <c r="AS58" s="10"/>
      <c r="AT58" s="10">
        <v>0.8</v>
      </c>
      <c r="AX58" s="10"/>
      <c r="AY58" s="10">
        <v>0.8</v>
      </c>
      <c r="AZ58" s="10"/>
      <c r="BA58" s="10">
        <v>0.8</v>
      </c>
      <c r="BE58" s="10"/>
      <c r="BF58" s="10">
        <v>0.8</v>
      </c>
      <c r="BG58" s="10"/>
      <c r="BH58" s="10">
        <v>0.8</v>
      </c>
      <c r="BL58" s="10"/>
      <c r="BM58" s="10">
        <v>0.8</v>
      </c>
      <c r="BN58" s="10"/>
      <c r="BO58" s="10">
        <v>0.8</v>
      </c>
      <c r="BS58" s="10"/>
      <c r="BT58" s="10">
        <v>0.8</v>
      </c>
      <c r="BU58" s="10"/>
      <c r="BV58" s="10">
        <v>0.8</v>
      </c>
      <c r="BZ58" s="10"/>
      <c r="CA58" s="10">
        <v>0.8</v>
      </c>
      <c r="CB58" s="10"/>
      <c r="CC58" s="10">
        <v>0.8</v>
      </c>
      <c r="CF58">
        <v>1</v>
      </c>
      <c r="CG58" s="10"/>
      <c r="CH58" s="10">
        <v>1</v>
      </c>
      <c r="CI58" s="10"/>
      <c r="CJ58" s="10">
        <v>1</v>
      </c>
      <c r="CN58" s="10"/>
      <c r="CO58" s="10">
        <v>1</v>
      </c>
      <c r="CP58" s="10"/>
      <c r="CQ58" s="10">
        <v>1</v>
      </c>
      <c r="CU58" s="10"/>
      <c r="CV58" s="10">
        <v>1</v>
      </c>
      <c r="CW58" s="10"/>
      <c r="CX58" s="10">
        <v>1</v>
      </c>
      <c r="DB58" s="10"/>
      <c r="DC58" s="10">
        <v>1</v>
      </c>
      <c r="DD58" s="10"/>
      <c r="DE58" s="10">
        <v>1</v>
      </c>
      <c r="DI58" s="10"/>
      <c r="DJ58" s="10"/>
      <c r="DK58" s="10"/>
      <c r="DL58" s="10"/>
      <c r="DP58" s="10"/>
      <c r="DQ58" s="10"/>
      <c r="DR58" s="10"/>
      <c r="DS58" s="10"/>
      <c r="DW58" s="10"/>
      <c r="DX58" s="10"/>
      <c r="DY58" s="10"/>
      <c r="DZ58" s="10"/>
      <c r="ED58" s="10"/>
      <c r="EE58" s="10"/>
      <c r="EF58" s="10"/>
      <c r="EG58" s="10"/>
      <c r="EK58" s="10"/>
      <c r="EL58" s="10"/>
      <c r="EM58" s="10"/>
      <c r="EN58" s="10"/>
      <c r="ER58" s="10"/>
      <c r="ES58" s="10"/>
      <c r="ET58" s="10"/>
      <c r="EU58" s="10"/>
    </row>
    <row r="59" spans="2:151" ht="15.75" customHeight="1" outlineLevel="1">
      <c r="B59" t="s">
        <v>28</v>
      </c>
      <c r="C59" t="s">
        <v>92</v>
      </c>
      <c r="E59" s="9"/>
      <c r="F59" t="s">
        <v>160</v>
      </c>
      <c r="G59" s="10">
        <v>0.1</v>
      </c>
      <c r="I59" s="9">
        <f>+SUMIF($N$3:$ZZ$3,I$3,$N59:$ZZ59)</f>
        <v>3</v>
      </c>
      <c r="J59" s="11" cm="1">
        <f t="array" ref="J59">MAX(IF($N$3:$EH$3=$J$3,N59:EH59))</f>
        <v>0</v>
      </c>
      <c r="K59" s="11" cm="1">
        <f t="array" ref="K59">MAX(IF($N$3:$EH$3=$J$3,N59:EH59))</f>
        <v>0</v>
      </c>
      <c r="L59" s="9"/>
      <c r="O59" s="10"/>
      <c r="P59" s="10"/>
      <c r="Q59" s="10"/>
      <c r="R59" s="10"/>
      <c r="V59" s="10"/>
      <c r="W59" s="10"/>
      <c r="X59" s="10"/>
      <c r="Y59" s="10"/>
      <c r="AB59">
        <v>1</v>
      </c>
      <c r="AC59" s="10"/>
      <c r="AD59" s="10">
        <v>0.5</v>
      </c>
      <c r="AE59" s="10"/>
      <c r="AF59" s="10">
        <v>0.5</v>
      </c>
      <c r="AJ59" s="10"/>
      <c r="AK59" s="10">
        <v>0.5</v>
      </c>
      <c r="AL59" s="10"/>
      <c r="AM59" s="10">
        <v>0.5</v>
      </c>
      <c r="AP59">
        <v>1</v>
      </c>
      <c r="AQ59" s="10"/>
      <c r="AR59" s="10">
        <v>0.8</v>
      </c>
      <c r="AS59" s="10"/>
      <c r="AT59" s="10">
        <v>0.8</v>
      </c>
      <c r="AX59" s="10"/>
      <c r="AY59" s="10">
        <v>0.8</v>
      </c>
      <c r="AZ59" s="10"/>
      <c r="BA59" s="10">
        <v>0.8</v>
      </c>
      <c r="BE59" s="10"/>
      <c r="BF59" s="10">
        <v>0.8</v>
      </c>
      <c r="BG59" s="10"/>
      <c r="BH59" s="10">
        <v>0.8</v>
      </c>
      <c r="BL59" s="10"/>
      <c r="BM59" s="10">
        <v>0.8</v>
      </c>
      <c r="BN59" s="10"/>
      <c r="BO59" s="10">
        <v>0.8</v>
      </c>
      <c r="BS59" s="10"/>
      <c r="BT59" s="10">
        <v>0.8</v>
      </c>
      <c r="BU59" s="10"/>
      <c r="BV59" s="10">
        <v>0.8</v>
      </c>
      <c r="BZ59" s="10"/>
      <c r="CA59" s="10">
        <v>0.8</v>
      </c>
      <c r="CB59" s="10"/>
      <c r="CC59" s="10">
        <v>0.8</v>
      </c>
      <c r="CF59">
        <v>1</v>
      </c>
      <c r="CG59" s="10"/>
      <c r="CH59" s="10">
        <v>1</v>
      </c>
      <c r="CI59" s="10"/>
      <c r="CJ59" s="10">
        <v>1</v>
      </c>
      <c r="CN59" s="10"/>
      <c r="CO59" s="10">
        <v>1</v>
      </c>
      <c r="CP59" s="10"/>
      <c r="CQ59" s="10">
        <v>1</v>
      </c>
      <c r="CU59" s="10"/>
      <c r="CV59" s="10">
        <v>1</v>
      </c>
      <c r="CW59" s="10"/>
      <c r="CX59" s="10">
        <v>1</v>
      </c>
      <c r="DB59" s="10"/>
      <c r="DC59" s="10">
        <v>1</v>
      </c>
      <c r="DD59" s="10"/>
      <c r="DE59" s="10">
        <v>1</v>
      </c>
      <c r="DI59" s="10"/>
      <c r="DJ59" s="10"/>
      <c r="DK59" s="10"/>
      <c r="DL59" s="10"/>
      <c r="DP59" s="10"/>
      <c r="DQ59" s="10"/>
      <c r="DR59" s="10"/>
      <c r="DS59" s="10"/>
      <c r="DW59" s="10"/>
      <c r="DX59" s="10"/>
      <c r="DY59" s="10"/>
      <c r="DZ59" s="10"/>
      <c r="ED59" s="10"/>
      <c r="EE59" s="10"/>
      <c r="EF59" s="10"/>
      <c r="EG59" s="10"/>
      <c r="EK59" s="10"/>
      <c r="EL59" s="10"/>
      <c r="EM59" s="10"/>
      <c r="EN59" s="10"/>
      <c r="ER59" s="10"/>
      <c r="ES59" s="10"/>
      <c r="ET59" s="10"/>
      <c r="EU59" s="10"/>
    </row>
    <row r="60" spans="2:151" ht="15.75" customHeight="1" outlineLevel="1">
      <c r="B60" t="s">
        <v>28</v>
      </c>
      <c r="C60" t="s">
        <v>92</v>
      </c>
      <c r="E60" s="9"/>
      <c r="F60" t="s">
        <v>161</v>
      </c>
      <c r="G60" s="10">
        <v>0.1</v>
      </c>
      <c r="I60" s="9">
        <f>+SUMIF($N$3:$ZZ$3,I$3,$N60:$ZZ60)</f>
        <v>3</v>
      </c>
      <c r="J60" s="11" cm="1">
        <f t="array" ref="J60">MAX(IF($N$3:$EH$3=$J$3,N60:EH60))</f>
        <v>0</v>
      </c>
      <c r="K60" s="11" cm="1">
        <f t="array" ref="K60">MAX(IF($N$3:$EH$3=$J$3,N60:EH60))</f>
        <v>0</v>
      </c>
      <c r="L60" s="9"/>
      <c r="O60" s="10"/>
      <c r="P60" s="10"/>
      <c r="Q60" s="10"/>
      <c r="R60" s="10"/>
      <c r="V60" s="10"/>
      <c r="W60" s="10"/>
      <c r="X60" s="10"/>
      <c r="Y60" s="10"/>
      <c r="AC60" s="10"/>
      <c r="AD60" s="10"/>
      <c r="AE60" s="10"/>
      <c r="AF60" s="10"/>
      <c r="AI60">
        <v>1</v>
      </c>
      <c r="AJ60" s="10"/>
      <c r="AK60" s="10">
        <v>0.5</v>
      </c>
      <c r="AL60" s="10"/>
      <c r="AM60" s="10">
        <v>0.5</v>
      </c>
      <c r="AQ60" s="10"/>
      <c r="AR60" s="10">
        <v>0.5</v>
      </c>
      <c r="AS60" s="10"/>
      <c r="AT60" s="10">
        <v>0.5</v>
      </c>
      <c r="AW60">
        <v>1</v>
      </c>
      <c r="AX60" s="10"/>
      <c r="AY60" s="10">
        <v>0.8</v>
      </c>
      <c r="AZ60" s="10"/>
      <c r="BA60" s="10">
        <v>0.8</v>
      </c>
      <c r="BE60" s="10"/>
      <c r="BF60" s="10">
        <v>0.8</v>
      </c>
      <c r="BG60" s="10"/>
      <c r="BH60" s="10">
        <v>0.8</v>
      </c>
      <c r="BL60" s="10"/>
      <c r="BM60" s="10">
        <v>0.8</v>
      </c>
      <c r="BN60" s="10"/>
      <c r="BO60" s="10">
        <v>0.8</v>
      </c>
      <c r="BS60" s="10"/>
      <c r="BT60" s="10">
        <v>0.8</v>
      </c>
      <c r="BU60" s="10"/>
      <c r="BV60" s="10">
        <v>0.8</v>
      </c>
      <c r="BZ60" s="10"/>
      <c r="CA60" s="10">
        <v>0.8</v>
      </c>
      <c r="CB60" s="10"/>
      <c r="CC60" s="10">
        <v>0.8</v>
      </c>
      <c r="CG60" s="10"/>
      <c r="CH60" s="10">
        <v>0.8</v>
      </c>
      <c r="CI60" s="10"/>
      <c r="CJ60" s="10">
        <v>0.8</v>
      </c>
      <c r="CM60">
        <v>1</v>
      </c>
      <c r="CN60" s="10"/>
      <c r="CO60" s="10">
        <v>1</v>
      </c>
      <c r="CP60" s="10"/>
      <c r="CQ60" s="10">
        <v>1</v>
      </c>
      <c r="CU60" s="10"/>
      <c r="CV60" s="10">
        <v>1</v>
      </c>
      <c r="CW60" s="10"/>
      <c r="CX60" s="10">
        <v>1</v>
      </c>
      <c r="DB60" s="10"/>
      <c r="DC60" s="10">
        <v>1</v>
      </c>
      <c r="DD60" s="10"/>
      <c r="DE60" s="10">
        <v>1</v>
      </c>
      <c r="DI60" s="10"/>
      <c r="DJ60" s="10"/>
      <c r="DK60" s="10"/>
      <c r="DL60" s="10"/>
      <c r="DP60" s="10"/>
      <c r="DQ60" s="10"/>
      <c r="DR60" s="10"/>
      <c r="DS60" s="10"/>
      <c r="DW60" s="10"/>
      <c r="DX60" s="10"/>
      <c r="DY60" s="10"/>
      <c r="DZ60" s="10"/>
      <c r="ED60" s="10"/>
      <c r="EE60" s="10"/>
      <c r="EF60" s="10"/>
      <c r="EG60" s="10"/>
      <c r="EK60" s="10"/>
      <c r="EL60" s="10"/>
      <c r="EM60" s="10"/>
      <c r="EN60" s="10"/>
      <c r="ER60" s="10"/>
      <c r="ES60" s="10"/>
      <c r="ET60" s="10"/>
      <c r="EU60" s="10"/>
    </row>
    <row r="61" spans="2:151" ht="15.75" customHeight="1" outlineLevel="1">
      <c r="B61" t="s">
        <v>28</v>
      </c>
      <c r="C61" t="s">
        <v>92</v>
      </c>
      <c r="E61" s="9"/>
      <c r="F61" t="s">
        <v>162</v>
      </c>
      <c r="G61" s="10">
        <v>0.1</v>
      </c>
      <c r="I61" s="9">
        <f>+SUMIF($N$3:$ZZ$3,I$3,$N61:$ZZ61)</f>
        <v>3</v>
      </c>
      <c r="J61" s="11" cm="1">
        <f t="array" ref="J61">MAX(IF($N$3:$EH$3=$J$3,N61:EH61))</f>
        <v>0</v>
      </c>
      <c r="K61" s="11" cm="1">
        <f t="array" ref="K61">MAX(IF($N$3:$EH$3=$J$3,N61:EH61))</f>
        <v>0</v>
      </c>
      <c r="L61" s="9"/>
      <c r="O61" s="10"/>
      <c r="P61" s="10"/>
      <c r="Q61" s="10"/>
      <c r="R61" s="10"/>
      <c r="V61" s="10"/>
      <c r="W61" s="10"/>
      <c r="X61" s="10"/>
      <c r="Y61" s="10"/>
      <c r="AC61" s="10"/>
      <c r="AD61" s="10"/>
      <c r="AE61" s="10"/>
      <c r="AF61" s="10"/>
      <c r="AJ61" s="10"/>
      <c r="AK61" s="10"/>
      <c r="AL61" s="10"/>
      <c r="AM61" s="10"/>
      <c r="AP61">
        <v>1</v>
      </c>
      <c r="AQ61" s="10"/>
      <c r="AR61" s="10">
        <v>0.5</v>
      </c>
      <c r="AS61" s="10"/>
      <c r="AT61" s="10">
        <v>0.5</v>
      </c>
      <c r="AX61" s="10"/>
      <c r="AY61" s="10">
        <v>0.5</v>
      </c>
      <c r="AZ61" s="10"/>
      <c r="BA61" s="10">
        <v>0.5</v>
      </c>
      <c r="BD61">
        <v>1</v>
      </c>
      <c r="BE61" s="10"/>
      <c r="BF61" s="10">
        <v>0.8</v>
      </c>
      <c r="BG61" s="10"/>
      <c r="BH61" s="10">
        <v>0.8</v>
      </c>
      <c r="BL61" s="10"/>
      <c r="BM61" s="10">
        <v>0.8</v>
      </c>
      <c r="BN61" s="10"/>
      <c r="BO61" s="10">
        <v>0.8</v>
      </c>
      <c r="BS61" s="10"/>
      <c r="BT61" s="10">
        <v>0.8</v>
      </c>
      <c r="BU61" s="10"/>
      <c r="BV61" s="10">
        <v>0.8</v>
      </c>
      <c r="BZ61" s="10"/>
      <c r="CA61" s="10">
        <v>0.8</v>
      </c>
      <c r="CB61" s="10"/>
      <c r="CC61" s="10">
        <v>0.8</v>
      </c>
      <c r="CG61" s="10"/>
      <c r="CH61" s="10">
        <v>0.8</v>
      </c>
      <c r="CI61" s="10"/>
      <c r="CJ61" s="10">
        <v>0.8</v>
      </c>
      <c r="CM61">
        <v>1</v>
      </c>
      <c r="CN61" s="10"/>
      <c r="CO61" s="10">
        <v>1</v>
      </c>
      <c r="CP61" s="10"/>
      <c r="CQ61" s="10">
        <v>1</v>
      </c>
      <c r="CU61" s="10"/>
      <c r="CV61" s="10">
        <v>1</v>
      </c>
      <c r="CW61" s="10"/>
      <c r="CX61" s="10">
        <v>1</v>
      </c>
      <c r="DB61" s="10"/>
      <c r="DC61" s="10">
        <v>1</v>
      </c>
      <c r="DD61" s="10"/>
      <c r="DE61" s="10">
        <v>1</v>
      </c>
      <c r="DI61" s="10"/>
      <c r="DJ61" s="10"/>
      <c r="DK61" s="10"/>
      <c r="DL61" s="10"/>
      <c r="DP61" s="10"/>
      <c r="DQ61" s="10"/>
      <c r="DR61" s="10"/>
      <c r="DS61" s="10"/>
      <c r="DW61" s="10"/>
      <c r="DX61" s="10"/>
      <c r="DY61" s="10"/>
      <c r="DZ61" s="10"/>
      <c r="ED61" s="10"/>
      <c r="EE61" s="10"/>
      <c r="EF61" s="10"/>
      <c r="EG61" s="10"/>
      <c r="EK61" s="10"/>
      <c r="EL61" s="10"/>
      <c r="EM61" s="10"/>
      <c r="EN61" s="10"/>
      <c r="ER61" s="10"/>
      <c r="ES61" s="10"/>
      <c r="ET61" s="10"/>
      <c r="EU61" s="10"/>
    </row>
    <row r="62" spans="2:151" ht="15.75" customHeight="1" outlineLevel="1">
      <c r="B62" t="s">
        <v>28</v>
      </c>
      <c r="C62" t="s">
        <v>92</v>
      </c>
      <c r="E62" s="9"/>
      <c r="F62" t="s">
        <v>163</v>
      </c>
      <c r="G62" s="10">
        <v>0.1</v>
      </c>
      <c r="I62" s="9">
        <f>+SUMIF($N$3:$ZZ$3,I$3,$N62:$ZZ62)</f>
        <v>3</v>
      </c>
      <c r="J62" s="11" cm="1">
        <f t="array" ref="J62">MAX(IF($N$3:$EH$3=$J$3,N62:EH62))</f>
        <v>0</v>
      </c>
      <c r="K62" s="11" cm="1">
        <f t="array" ref="K62">MAX(IF($N$3:$EH$3=$J$3,N62:EH62))</f>
        <v>0</v>
      </c>
      <c r="L62" s="9"/>
      <c r="O62" s="10"/>
      <c r="P62" s="10"/>
      <c r="Q62" s="10"/>
      <c r="R62" s="10"/>
      <c r="V62" s="10"/>
      <c r="W62" s="10"/>
      <c r="X62" s="10"/>
      <c r="Y62" s="10"/>
      <c r="AC62" s="10"/>
      <c r="AD62" s="10"/>
      <c r="AE62" s="10"/>
      <c r="AF62" s="10"/>
      <c r="AJ62" s="10"/>
      <c r="AK62" s="10"/>
      <c r="AL62" s="10"/>
      <c r="AM62" s="10"/>
      <c r="AP62">
        <v>1</v>
      </c>
      <c r="AQ62" s="10"/>
      <c r="AR62" s="10">
        <v>0.5</v>
      </c>
      <c r="AS62" s="10"/>
      <c r="AT62" s="10">
        <v>0.5</v>
      </c>
      <c r="AX62" s="10"/>
      <c r="AY62" s="10">
        <v>0.5</v>
      </c>
      <c r="AZ62" s="10"/>
      <c r="BA62" s="10">
        <v>0.5</v>
      </c>
      <c r="BE62" s="10"/>
      <c r="BF62" s="10">
        <v>0.5</v>
      </c>
      <c r="BG62" s="10"/>
      <c r="BH62" s="10">
        <v>0.5</v>
      </c>
      <c r="BK62">
        <v>1</v>
      </c>
      <c r="BL62" s="10"/>
      <c r="BM62" s="10">
        <v>0.8</v>
      </c>
      <c r="BN62" s="10"/>
      <c r="BO62" s="10">
        <v>0.8</v>
      </c>
      <c r="BS62" s="10"/>
      <c r="BT62" s="10">
        <v>0.8</v>
      </c>
      <c r="BU62" s="10"/>
      <c r="BV62" s="10">
        <v>0.8</v>
      </c>
      <c r="BZ62" s="10"/>
      <c r="CA62" s="10">
        <v>0.8</v>
      </c>
      <c r="CB62" s="10"/>
      <c r="CC62" s="10">
        <v>0.8</v>
      </c>
      <c r="CG62" s="10"/>
      <c r="CH62" s="10">
        <v>0.8</v>
      </c>
      <c r="CI62" s="10"/>
      <c r="CJ62" s="10">
        <v>0.8</v>
      </c>
      <c r="CN62" s="10"/>
      <c r="CO62" s="10">
        <v>0.8</v>
      </c>
      <c r="CP62" s="10"/>
      <c r="CQ62" s="10">
        <v>0.8</v>
      </c>
      <c r="CT62">
        <v>1</v>
      </c>
      <c r="CU62" s="10"/>
      <c r="CV62" s="10">
        <v>1</v>
      </c>
      <c r="CW62" s="10"/>
      <c r="CX62" s="10">
        <v>1</v>
      </c>
      <c r="DB62" s="10"/>
      <c r="DC62" s="10">
        <v>1</v>
      </c>
      <c r="DD62" s="10"/>
      <c r="DE62" s="10">
        <v>1</v>
      </c>
      <c r="DI62" s="10"/>
      <c r="DJ62" s="10"/>
      <c r="DK62" s="10"/>
      <c r="DL62" s="10"/>
      <c r="DP62" s="10"/>
      <c r="DQ62" s="10"/>
      <c r="DR62" s="10"/>
      <c r="DS62" s="10"/>
      <c r="DW62" s="10"/>
      <c r="DX62" s="10"/>
      <c r="DY62" s="10"/>
      <c r="DZ62" s="10"/>
      <c r="ED62" s="10"/>
      <c r="EE62" s="10"/>
      <c r="EF62" s="10"/>
      <c r="EG62" s="10"/>
      <c r="EK62" s="10"/>
      <c r="EL62" s="10"/>
      <c r="EM62" s="10"/>
      <c r="EN62" s="10"/>
      <c r="ER62" s="10"/>
      <c r="ES62" s="10"/>
      <c r="ET62" s="10"/>
      <c r="EU62" s="10"/>
    </row>
    <row r="63" spans="2:151" ht="15.75" customHeight="1" outlineLevel="1">
      <c r="B63" t="s">
        <v>28</v>
      </c>
      <c r="C63" t="s">
        <v>92</v>
      </c>
      <c r="E63" s="9"/>
      <c r="F63" t="s">
        <v>164</v>
      </c>
      <c r="G63" s="10">
        <v>0.1</v>
      </c>
      <c r="I63" s="9">
        <f>+SUMIF($N$3:$ZZ$3,I$3,$N63:$ZZ63)</f>
        <v>3</v>
      </c>
      <c r="J63" s="11" cm="1">
        <f t="array" ref="J63">MAX(IF($N$3:$EH$3=$J$3,N63:EH63))</f>
        <v>0</v>
      </c>
      <c r="K63" s="11" cm="1">
        <f t="array" ref="K63">MAX(IF($N$3:$EH$3=$J$3,N63:EH63))</f>
        <v>0</v>
      </c>
      <c r="L63" s="9"/>
      <c r="O63" s="10"/>
      <c r="P63" s="10"/>
      <c r="Q63" s="10"/>
      <c r="R63" s="10"/>
      <c r="V63" s="10"/>
      <c r="W63" s="10"/>
      <c r="X63" s="10"/>
      <c r="Y63" s="10"/>
      <c r="AC63" s="10"/>
      <c r="AD63" s="10"/>
      <c r="AE63" s="10"/>
      <c r="AF63" s="10"/>
      <c r="AJ63" s="10"/>
      <c r="AK63" s="10"/>
      <c r="AL63" s="10"/>
      <c r="AM63" s="10"/>
      <c r="AQ63" s="10"/>
      <c r="AR63" s="10"/>
      <c r="AS63" s="10"/>
      <c r="AT63" s="10"/>
      <c r="AW63">
        <v>1</v>
      </c>
      <c r="AX63" s="10"/>
      <c r="AY63" s="10">
        <v>0.5</v>
      </c>
      <c r="AZ63" s="10"/>
      <c r="BA63" s="10">
        <v>0.5</v>
      </c>
      <c r="BE63" s="10"/>
      <c r="BF63" s="10">
        <v>0.5</v>
      </c>
      <c r="BG63" s="10"/>
      <c r="BH63" s="10">
        <v>0.5</v>
      </c>
      <c r="BK63">
        <v>1</v>
      </c>
      <c r="BL63" s="10"/>
      <c r="BM63" s="10">
        <v>0.8</v>
      </c>
      <c r="BN63" s="10"/>
      <c r="BO63" s="10">
        <v>0.8</v>
      </c>
      <c r="BS63" s="10"/>
      <c r="BT63" s="10">
        <v>0.8</v>
      </c>
      <c r="BU63" s="10"/>
      <c r="BV63" s="10">
        <v>0.8</v>
      </c>
      <c r="BZ63" s="10"/>
      <c r="CA63" s="10">
        <v>0.8</v>
      </c>
      <c r="CB63" s="10"/>
      <c r="CC63" s="10">
        <v>0.8</v>
      </c>
      <c r="CG63" s="10"/>
      <c r="CH63" s="10">
        <v>0.8</v>
      </c>
      <c r="CI63" s="10"/>
      <c r="CJ63" s="10">
        <v>0.8</v>
      </c>
      <c r="CN63" s="10"/>
      <c r="CO63" s="10">
        <v>0.8</v>
      </c>
      <c r="CP63" s="10"/>
      <c r="CQ63" s="10">
        <v>0.8</v>
      </c>
      <c r="CT63">
        <v>1</v>
      </c>
      <c r="CU63" s="10"/>
      <c r="CV63" s="10">
        <v>1</v>
      </c>
      <c r="CW63" s="10"/>
      <c r="CX63" s="10">
        <v>1</v>
      </c>
      <c r="DB63" s="10"/>
      <c r="DC63" s="10">
        <v>1</v>
      </c>
      <c r="DD63" s="10"/>
      <c r="DE63" s="10">
        <v>1</v>
      </c>
      <c r="DI63" s="10"/>
      <c r="DJ63" s="10"/>
      <c r="DK63" s="10"/>
      <c r="DL63" s="10"/>
      <c r="DP63" s="10"/>
      <c r="DQ63" s="10"/>
      <c r="DR63" s="10"/>
      <c r="DS63" s="10"/>
      <c r="DW63" s="10"/>
      <c r="DX63" s="10"/>
      <c r="DY63" s="10"/>
      <c r="DZ63" s="10"/>
      <c r="ED63" s="10"/>
      <c r="EE63" s="10"/>
      <c r="EF63" s="10"/>
      <c r="EG63" s="10"/>
      <c r="EK63" s="10"/>
      <c r="EL63" s="10"/>
      <c r="EM63" s="10"/>
      <c r="EN63" s="10"/>
      <c r="ER63" s="10"/>
      <c r="ES63" s="10"/>
      <c r="ET63" s="10"/>
      <c r="EU63" s="10"/>
    </row>
    <row r="64" spans="2:151" ht="15.75" customHeight="1" outlineLevel="1">
      <c r="B64" t="s">
        <v>28</v>
      </c>
      <c r="C64" t="s">
        <v>92</v>
      </c>
      <c r="E64" s="9"/>
      <c r="F64" t="s">
        <v>165</v>
      </c>
      <c r="G64" s="10">
        <v>0.1</v>
      </c>
      <c r="I64" s="9">
        <f>+SUMIF($N$3:$ZZ$3,I$3,$N64:$ZZ64)</f>
        <v>3</v>
      </c>
      <c r="J64" s="11" cm="1">
        <f t="array" ref="J64">MAX(IF($N$3:$EH$3=$J$3,N64:EH64))</f>
        <v>0</v>
      </c>
      <c r="K64" s="11" cm="1">
        <f t="array" ref="K64">MAX(IF($N$3:$EH$3=$J$3,N64:EH64))</f>
        <v>0</v>
      </c>
      <c r="L64" s="9"/>
      <c r="O64" s="10"/>
      <c r="P64" s="10"/>
      <c r="Q64" s="10"/>
      <c r="R64" s="10"/>
      <c r="V64" s="10"/>
      <c r="W64" s="10"/>
      <c r="X64" s="10"/>
      <c r="Y64" s="10"/>
      <c r="AC64" s="10"/>
      <c r="AD64" s="10"/>
      <c r="AE64" s="10"/>
      <c r="AF64" s="10"/>
      <c r="AJ64" s="10"/>
      <c r="AK64" s="10"/>
      <c r="AL64" s="10"/>
      <c r="AM64" s="10"/>
      <c r="AQ64" s="10"/>
      <c r="AR64" s="10"/>
      <c r="AS64" s="10"/>
      <c r="AT64" s="10"/>
      <c r="AW64">
        <v>1</v>
      </c>
      <c r="AX64" s="10"/>
      <c r="AY64" s="10">
        <v>0.5</v>
      </c>
      <c r="AZ64" s="10"/>
      <c r="BA64" s="10">
        <v>0.5</v>
      </c>
      <c r="BE64" s="10"/>
      <c r="BF64" s="10">
        <v>0.5</v>
      </c>
      <c r="BG64" s="10"/>
      <c r="BH64" s="10">
        <v>0.5</v>
      </c>
      <c r="BL64" s="10"/>
      <c r="BM64" s="10">
        <v>0.5</v>
      </c>
      <c r="BN64" s="10"/>
      <c r="BO64" s="10">
        <v>0.5</v>
      </c>
      <c r="BS64" s="10"/>
      <c r="BT64" s="10">
        <v>0.5</v>
      </c>
      <c r="BU64" s="10"/>
      <c r="BV64" s="10">
        <v>0.5</v>
      </c>
      <c r="BY64">
        <v>1</v>
      </c>
      <c r="BZ64" s="10"/>
      <c r="CA64" s="10">
        <v>0.8</v>
      </c>
      <c r="CB64" s="10"/>
      <c r="CC64" s="10">
        <v>0.8</v>
      </c>
      <c r="CG64" s="10"/>
      <c r="CH64" s="10">
        <v>0.8</v>
      </c>
      <c r="CI64" s="10"/>
      <c r="CJ64" s="10">
        <v>0.8</v>
      </c>
      <c r="CN64" s="10"/>
      <c r="CO64" s="10">
        <v>0.8</v>
      </c>
      <c r="CP64" s="10"/>
      <c r="CQ64" s="10">
        <v>0.8</v>
      </c>
      <c r="CT64">
        <v>1</v>
      </c>
      <c r="CU64" s="10"/>
      <c r="CV64" s="10">
        <v>1</v>
      </c>
      <c r="CW64" s="10"/>
      <c r="CX64" s="10">
        <v>1</v>
      </c>
      <c r="DB64" s="10"/>
      <c r="DC64" s="10">
        <v>1</v>
      </c>
      <c r="DD64" s="10"/>
      <c r="DE64" s="10">
        <v>1</v>
      </c>
      <c r="DI64" s="10"/>
      <c r="DJ64" s="10"/>
      <c r="DK64" s="10"/>
      <c r="DL64" s="10"/>
      <c r="DP64" s="10"/>
      <c r="DQ64" s="10"/>
      <c r="DR64" s="10"/>
      <c r="DS64" s="10"/>
      <c r="DW64" s="10"/>
      <c r="DX64" s="10"/>
      <c r="DY64" s="10"/>
      <c r="DZ64" s="10"/>
      <c r="ED64" s="10"/>
      <c r="EE64" s="10"/>
      <c r="EF64" s="10"/>
      <c r="EG64" s="10"/>
      <c r="EK64" s="10"/>
      <c r="EL64" s="10"/>
      <c r="EM64" s="10"/>
      <c r="EN64" s="10"/>
      <c r="ER64" s="10"/>
      <c r="ES64" s="10"/>
      <c r="ET64" s="10"/>
      <c r="EU64" s="10"/>
    </row>
    <row r="65" spans="2:151" ht="15.75" customHeight="1" outlineLevel="1">
      <c r="B65" t="s">
        <v>28</v>
      </c>
      <c r="C65" t="s">
        <v>92</v>
      </c>
      <c r="E65" s="9"/>
      <c r="F65" t="s">
        <v>166</v>
      </c>
      <c r="G65" s="10">
        <v>0.1</v>
      </c>
      <c r="I65" s="9">
        <f>+SUMIF($N$3:$ZZ$3,I$3,$N65:$ZZ65)</f>
        <v>2</v>
      </c>
      <c r="J65" s="11" cm="1">
        <f t="array" ref="J65">MAX(IF($N$3:$EH$3=$J$3,N65:EH65))</f>
        <v>0</v>
      </c>
      <c r="K65" s="11" cm="1">
        <f t="array" ref="K65">MAX(IF($N$3:$EH$3=$J$3,N65:EH65))</f>
        <v>0</v>
      </c>
      <c r="L65" s="9"/>
      <c r="O65" s="10"/>
      <c r="P65" s="10"/>
      <c r="Q65" s="10"/>
      <c r="R65" s="10"/>
      <c r="V65" s="10"/>
      <c r="W65" s="10"/>
      <c r="X65" s="10"/>
      <c r="Y65" s="10"/>
      <c r="AC65" s="10"/>
      <c r="AD65" s="10"/>
      <c r="AE65" s="10"/>
      <c r="AF65" s="10"/>
      <c r="AJ65" s="10"/>
      <c r="AK65" s="10"/>
      <c r="AL65" s="10"/>
      <c r="AM65" s="10"/>
      <c r="AQ65" s="10"/>
      <c r="AR65" s="10"/>
      <c r="AS65" s="10"/>
      <c r="AT65" s="10"/>
      <c r="AX65" s="10"/>
      <c r="AY65" s="10"/>
      <c r="AZ65" s="10"/>
      <c r="BA65" s="10"/>
      <c r="BD65">
        <v>1</v>
      </c>
      <c r="BE65" s="10"/>
      <c r="BF65" s="10">
        <v>0.5</v>
      </c>
      <c r="BG65" s="10"/>
      <c r="BH65" s="10">
        <v>0.5</v>
      </c>
      <c r="BL65" s="10"/>
      <c r="BM65" s="10">
        <v>0.5</v>
      </c>
      <c r="BN65" s="10"/>
      <c r="BO65" s="10">
        <v>0.5</v>
      </c>
      <c r="BS65" s="10"/>
      <c r="BT65" s="10">
        <v>0.5</v>
      </c>
      <c r="BU65" s="10"/>
      <c r="BV65" s="10">
        <v>0.5</v>
      </c>
      <c r="BZ65" s="10"/>
      <c r="CA65" s="10">
        <v>0.5</v>
      </c>
      <c r="CB65" s="10"/>
      <c r="CC65" s="10">
        <v>0.5</v>
      </c>
      <c r="CF65">
        <v>1</v>
      </c>
      <c r="CG65" s="10"/>
      <c r="CH65" s="10">
        <v>0.8</v>
      </c>
      <c r="CI65" s="10"/>
      <c r="CJ65" s="10">
        <v>0.8</v>
      </c>
      <c r="CN65" s="10"/>
      <c r="CO65" s="10">
        <v>0.8</v>
      </c>
      <c r="CP65" s="10"/>
      <c r="CQ65" s="10">
        <v>0.8</v>
      </c>
      <c r="CU65" s="10"/>
      <c r="CV65" s="10">
        <v>0.8</v>
      </c>
      <c r="CW65" s="10"/>
      <c r="CX65" s="10">
        <v>0.8</v>
      </c>
      <c r="DB65" s="10"/>
      <c r="DC65" s="10">
        <v>1</v>
      </c>
      <c r="DD65" s="10"/>
      <c r="DE65" s="10">
        <v>1</v>
      </c>
      <c r="DI65" s="10"/>
      <c r="DJ65" s="10"/>
      <c r="DK65" s="10"/>
      <c r="DL65" s="10"/>
      <c r="DP65" s="10"/>
      <c r="DQ65" s="10"/>
      <c r="DR65" s="10"/>
      <c r="DS65" s="10"/>
      <c r="DW65" s="10"/>
      <c r="DX65" s="10"/>
      <c r="DY65" s="10"/>
      <c r="DZ65" s="10"/>
      <c r="ED65" s="10"/>
      <c r="EE65" s="10"/>
      <c r="EF65" s="10"/>
      <c r="EG65" s="10"/>
      <c r="EK65" s="10"/>
      <c r="EL65" s="10"/>
      <c r="EM65" s="10"/>
      <c r="EN65" s="10"/>
      <c r="ER65" s="10"/>
      <c r="ES65" s="10"/>
      <c r="ET65" s="10"/>
      <c r="EU65" s="10"/>
    </row>
    <row r="66" spans="2:151" ht="15.75" customHeight="1" outlineLevel="1">
      <c r="B66" t="s">
        <v>28</v>
      </c>
      <c r="C66" t="s">
        <v>92</v>
      </c>
      <c r="E66" s="9"/>
      <c r="F66" t="s">
        <v>167</v>
      </c>
      <c r="G66" s="10">
        <v>0.1</v>
      </c>
      <c r="I66" s="9">
        <f>+SUMIF($N$3:$ZZ$3,I$3,$N66:$ZZ66)</f>
        <v>2</v>
      </c>
      <c r="J66" s="11" cm="1">
        <f t="array" ref="J66">MAX(IF($N$3:$EH$3=$J$3,N66:EH66))</f>
        <v>0</v>
      </c>
      <c r="K66" s="11" cm="1">
        <f t="array" ref="K66">MAX(IF($N$3:$EH$3=$J$3,N66:EH66))</f>
        <v>0</v>
      </c>
      <c r="L66" s="9"/>
      <c r="O66" s="10"/>
      <c r="P66" s="10"/>
      <c r="Q66" s="10"/>
      <c r="R66" s="10"/>
      <c r="V66" s="10"/>
      <c r="W66" s="10"/>
      <c r="X66" s="10"/>
      <c r="Y66" s="10"/>
      <c r="AC66" s="10"/>
      <c r="AD66" s="10"/>
      <c r="AE66" s="10"/>
      <c r="AF66" s="10"/>
      <c r="AJ66" s="10"/>
      <c r="AK66" s="10"/>
      <c r="AL66" s="10"/>
      <c r="AM66" s="10"/>
      <c r="AQ66" s="10"/>
      <c r="AR66" s="10"/>
      <c r="AS66" s="10"/>
      <c r="AT66" s="10"/>
      <c r="AX66" s="10"/>
      <c r="AY66" s="10"/>
      <c r="AZ66" s="10"/>
      <c r="BA66" s="10"/>
      <c r="BD66">
        <v>1</v>
      </c>
      <c r="BE66" s="10"/>
      <c r="BF66" s="10">
        <v>0.5</v>
      </c>
      <c r="BG66" s="10"/>
      <c r="BH66" s="10">
        <v>0.5</v>
      </c>
      <c r="BL66" s="10"/>
      <c r="BM66" s="10">
        <v>0.5</v>
      </c>
      <c r="BN66" s="10"/>
      <c r="BO66" s="10">
        <v>0.5</v>
      </c>
      <c r="BS66" s="10"/>
      <c r="BT66" s="10">
        <v>0.5</v>
      </c>
      <c r="BU66" s="10"/>
      <c r="BV66" s="10">
        <v>0.5</v>
      </c>
      <c r="BZ66" s="10"/>
      <c r="CA66" s="10">
        <v>0.5</v>
      </c>
      <c r="CB66" s="10"/>
      <c r="CC66" s="10">
        <v>0.5</v>
      </c>
      <c r="CG66" s="10"/>
      <c r="CH66" s="10">
        <v>0.5</v>
      </c>
      <c r="CI66" s="10"/>
      <c r="CJ66" s="10">
        <v>0.5</v>
      </c>
      <c r="CM66">
        <v>1</v>
      </c>
      <c r="CN66" s="10"/>
      <c r="CO66" s="10">
        <v>0.8</v>
      </c>
      <c r="CP66" s="10"/>
      <c r="CQ66" s="10">
        <v>0.8</v>
      </c>
      <c r="CU66" s="10"/>
      <c r="CV66" s="10">
        <v>0.8</v>
      </c>
      <c r="CW66" s="10"/>
      <c r="CX66" s="10">
        <v>0.8</v>
      </c>
      <c r="DB66" s="10"/>
      <c r="DC66" s="10">
        <v>1</v>
      </c>
      <c r="DD66" s="10"/>
      <c r="DE66" s="10">
        <v>1</v>
      </c>
      <c r="DI66" s="10"/>
      <c r="DJ66" s="10"/>
      <c r="DK66" s="10"/>
      <c r="DL66" s="10"/>
      <c r="DP66" s="10"/>
      <c r="DQ66" s="10"/>
      <c r="DR66" s="10"/>
      <c r="DS66" s="10"/>
      <c r="DW66" s="10"/>
      <c r="DX66" s="10"/>
      <c r="DY66" s="10"/>
      <c r="DZ66" s="10"/>
      <c r="ED66" s="10"/>
      <c r="EE66" s="10"/>
      <c r="EF66" s="10"/>
      <c r="EG66" s="10"/>
      <c r="EK66" s="10"/>
      <c r="EL66" s="10"/>
      <c r="EM66" s="10"/>
      <c r="EN66" s="10"/>
      <c r="ER66" s="10"/>
      <c r="ES66" s="10"/>
      <c r="ET66" s="10"/>
      <c r="EU66" s="10"/>
    </row>
    <row r="67" spans="2:151" ht="15.75" customHeight="1" outlineLevel="1">
      <c r="B67" t="s">
        <v>28</v>
      </c>
      <c r="C67" t="s">
        <v>92</v>
      </c>
      <c r="E67" s="9"/>
      <c r="F67" t="s">
        <v>168</v>
      </c>
      <c r="G67" s="10">
        <v>0.1</v>
      </c>
      <c r="I67" s="9">
        <f>+SUMIF($N$3:$ZZ$3,I$3,$N67:$ZZ67)</f>
        <v>2</v>
      </c>
      <c r="J67" s="11" cm="1">
        <f t="array" ref="J67">MAX(IF($N$3:$EH$3=$J$3,N67:EH67))</f>
        <v>0</v>
      </c>
      <c r="K67" s="11" cm="1">
        <f t="array" ref="K67">MAX(IF($N$3:$EH$3=$J$3,N67:EH67))</f>
        <v>0</v>
      </c>
      <c r="L67" s="9"/>
      <c r="O67" s="10"/>
      <c r="P67" s="10"/>
      <c r="Q67" s="10"/>
      <c r="R67" s="10"/>
      <c r="V67" s="10"/>
      <c r="W67" s="10"/>
      <c r="X67" s="10"/>
      <c r="Y67" s="10"/>
      <c r="AC67" s="10"/>
      <c r="AD67" s="10"/>
      <c r="AE67" s="10"/>
      <c r="AF67" s="10"/>
      <c r="AJ67" s="10"/>
      <c r="AK67" s="10"/>
      <c r="AL67" s="10"/>
      <c r="AM67" s="10"/>
      <c r="AQ67" s="10"/>
      <c r="AR67" s="10"/>
      <c r="AS67" s="10"/>
      <c r="AT67" s="10"/>
      <c r="AX67" s="10"/>
      <c r="AY67" s="10"/>
      <c r="AZ67" s="10"/>
      <c r="BA67" s="10"/>
      <c r="BE67" s="10"/>
      <c r="BF67" s="10"/>
      <c r="BG67" s="10"/>
      <c r="BH67" s="10"/>
      <c r="BK67">
        <v>1</v>
      </c>
      <c r="BL67" s="10"/>
      <c r="BM67" s="10">
        <v>0.5</v>
      </c>
      <c r="BN67" s="10"/>
      <c r="BO67" s="10">
        <v>0.5</v>
      </c>
      <c r="BS67" s="10"/>
      <c r="BT67" s="10">
        <v>0.5</v>
      </c>
      <c r="BU67" s="10"/>
      <c r="BV67" s="10">
        <v>0.5</v>
      </c>
      <c r="BZ67" s="10"/>
      <c r="CA67" s="10">
        <v>0.5</v>
      </c>
      <c r="CB67" s="10"/>
      <c r="CC67" s="10">
        <v>0.5</v>
      </c>
      <c r="CG67" s="10"/>
      <c r="CH67" s="10">
        <v>0.5</v>
      </c>
      <c r="CI67" s="10"/>
      <c r="CJ67" s="10">
        <v>0.5</v>
      </c>
      <c r="CM67">
        <v>1</v>
      </c>
      <c r="CN67" s="10"/>
      <c r="CO67" s="10">
        <v>0.8</v>
      </c>
      <c r="CP67" s="10"/>
      <c r="CQ67" s="10">
        <v>0.8</v>
      </c>
      <c r="CU67" s="10"/>
      <c r="CV67" s="10">
        <v>0.8</v>
      </c>
      <c r="CW67" s="10"/>
      <c r="CX67" s="10">
        <v>0.8</v>
      </c>
      <c r="DB67" s="10"/>
      <c r="DC67" s="10">
        <v>1</v>
      </c>
      <c r="DD67" s="10"/>
      <c r="DE67" s="10">
        <v>1</v>
      </c>
      <c r="DI67" s="10"/>
      <c r="DJ67" s="10"/>
      <c r="DK67" s="10"/>
      <c r="DL67" s="10"/>
      <c r="DP67" s="10"/>
      <c r="DQ67" s="10"/>
      <c r="DR67" s="10"/>
      <c r="DS67" s="10"/>
      <c r="DW67" s="10"/>
      <c r="DX67" s="10"/>
      <c r="DY67" s="10"/>
      <c r="DZ67" s="10"/>
      <c r="ED67" s="10"/>
      <c r="EE67" s="10"/>
      <c r="EF67" s="10"/>
      <c r="EG67" s="10"/>
      <c r="EK67" s="10"/>
      <c r="EL67" s="10"/>
      <c r="EM67" s="10"/>
      <c r="EN67" s="10"/>
      <c r="ER67" s="10"/>
      <c r="ES67" s="10"/>
      <c r="ET67" s="10"/>
      <c r="EU67" s="10"/>
    </row>
    <row r="70" spans="2:151">
      <c r="B70" t="s">
        <v>27</v>
      </c>
      <c r="C70" t="s">
        <v>93</v>
      </c>
      <c r="D70" s="19">
        <v>45716</v>
      </c>
      <c r="E70" s="9">
        <v>3</v>
      </c>
      <c r="G70" s="10">
        <f>+SUM(G71:G76)</f>
        <v>0.5</v>
      </c>
      <c r="I70" s="12">
        <f>+SUM(I71:I76)</f>
        <v>14</v>
      </c>
      <c r="J70" s="11">
        <f>+SUMPRODUCT(G71:G76,J71:J76)</f>
        <v>0</v>
      </c>
      <c r="K70" s="11">
        <f>+SUMPRODUCT(G71:G76,K71:K76)</f>
        <v>0</v>
      </c>
      <c r="L70" s="9"/>
      <c r="N70" s="12"/>
      <c r="U70" s="12"/>
      <c r="AB70" s="12"/>
      <c r="AI70" s="12"/>
      <c r="AP70" s="12"/>
    </row>
    <row r="71" spans="2:151" ht="15.75" customHeight="1" outlineLevel="1">
      <c r="B71" t="s">
        <v>28</v>
      </c>
      <c r="C71" t="s">
        <v>93</v>
      </c>
      <c r="E71" s="9"/>
      <c r="F71" t="s">
        <v>169</v>
      </c>
      <c r="G71" s="10">
        <v>0.1</v>
      </c>
      <c r="I71" s="9">
        <f>+SUMIF($N$3:$ZZ$3,I$3,$N71:$ZZ71)</f>
        <v>2</v>
      </c>
      <c r="J71" s="11" cm="1">
        <f t="array" ref="J71">MAX(IF($N$3:$EH$3=$J$3,N71:EH71))</f>
        <v>0</v>
      </c>
      <c r="K71" s="11" cm="1">
        <f t="array" ref="K71">MAX(IF($N$3:$EH$3=$J$3,N71:EH71))</f>
        <v>0</v>
      </c>
      <c r="L71" s="9"/>
      <c r="O71" s="10"/>
      <c r="P71" s="10">
        <v>0.5</v>
      </c>
      <c r="Q71" s="10"/>
      <c r="R71" s="10">
        <v>0.5</v>
      </c>
      <c r="U71">
        <v>1</v>
      </c>
      <c r="V71" s="10"/>
      <c r="W71" s="10">
        <v>0.8</v>
      </c>
      <c r="X71" s="10"/>
      <c r="Y71" s="10">
        <v>0.8</v>
      </c>
      <c r="AC71" s="10"/>
      <c r="AD71" s="10">
        <v>0.8</v>
      </c>
      <c r="AE71" s="10"/>
      <c r="AF71" s="10">
        <v>0.8</v>
      </c>
      <c r="AJ71" s="10"/>
      <c r="AK71" s="10">
        <v>0.8</v>
      </c>
      <c r="AL71" s="10"/>
      <c r="AM71" s="10">
        <v>0.8</v>
      </c>
      <c r="AQ71" s="10"/>
      <c r="AR71" s="10">
        <v>0.8</v>
      </c>
      <c r="AS71" s="10"/>
      <c r="AT71" s="10">
        <v>0.8</v>
      </c>
      <c r="AX71" s="10"/>
      <c r="AY71" s="10">
        <v>0.8</v>
      </c>
      <c r="AZ71" s="10"/>
      <c r="BA71" s="10">
        <v>0.8</v>
      </c>
      <c r="BE71" s="10"/>
      <c r="BF71" s="10">
        <v>0.8</v>
      </c>
      <c r="BG71" s="10"/>
      <c r="BH71" s="10">
        <v>0.8</v>
      </c>
      <c r="BL71" s="10"/>
      <c r="BM71" s="10">
        <v>0.8</v>
      </c>
      <c r="BN71" s="10"/>
      <c r="BO71" s="10">
        <v>0.8</v>
      </c>
      <c r="BR71">
        <v>1</v>
      </c>
      <c r="BS71" s="10"/>
      <c r="BT71" s="10">
        <v>1</v>
      </c>
      <c r="BU71" s="10"/>
      <c r="BV71" s="10">
        <v>1</v>
      </c>
      <c r="BZ71" s="10"/>
      <c r="CA71" s="10">
        <v>1</v>
      </c>
      <c r="CB71" s="10"/>
      <c r="CC71" s="10">
        <v>1</v>
      </c>
      <c r="CG71" s="10"/>
      <c r="CH71" s="10">
        <v>1</v>
      </c>
      <c r="CI71" s="10"/>
      <c r="CJ71" s="10">
        <v>1</v>
      </c>
      <c r="CN71" s="10"/>
      <c r="CO71" s="10">
        <v>1</v>
      </c>
      <c r="CP71" s="10"/>
      <c r="CQ71" s="10">
        <v>1</v>
      </c>
      <c r="CU71" s="10"/>
      <c r="CV71" s="10">
        <v>1</v>
      </c>
      <c r="CW71" s="10"/>
      <c r="CX71" s="10">
        <v>1</v>
      </c>
      <c r="DB71" s="10"/>
      <c r="DC71" s="10">
        <v>1</v>
      </c>
      <c r="DD71" s="10"/>
      <c r="DE71" s="10">
        <v>1</v>
      </c>
      <c r="DI71" s="10"/>
      <c r="DJ71" s="10"/>
      <c r="DK71" s="10"/>
      <c r="DL71" s="10"/>
      <c r="DP71" s="10"/>
      <c r="DQ71" s="10"/>
      <c r="DR71" s="10"/>
      <c r="DS71" s="10"/>
      <c r="DW71" s="10"/>
      <c r="DX71" s="10"/>
      <c r="DY71" s="10"/>
      <c r="DZ71" s="10"/>
      <c r="ED71" s="10"/>
      <c r="EE71" s="10"/>
      <c r="EF71" s="10"/>
      <c r="EG71" s="10"/>
      <c r="EK71" s="10"/>
      <c r="EL71" s="10"/>
      <c r="EM71" s="10"/>
      <c r="EN71" s="10"/>
      <c r="ER71" s="10"/>
      <c r="ES71" s="10"/>
      <c r="ET71" s="10"/>
      <c r="EU71" s="10"/>
    </row>
    <row r="72" spans="2:151" ht="15.75" customHeight="1" outlineLevel="1">
      <c r="B72" t="s">
        <v>28</v>
      </c>
      <c r="C72" t="s">
        <v>93</v>
      </c>
      <c r="E72" s="9"/>
      <c r="F72" t="s">
        <v>170</v>
      </c>
      <c r="G72" s="10">
        <v>0.05</v>
      </c>
      <c r="I72" s="9">
        <f>+SUMIF($N$3:$ZZ$3,I$3,$N72:$ZZ72)</f>
        <v>2</v>
      </c>
      <c r="J72" s="11" cm="1">
        <f t="array" ref="J72">MAX(IF($N$3:$EH$3=$J$3,N72:EH72))</f>
        <v>0</v>
      </c>
      <c r="K72" s="11" cm="1">
        <f t="array" ref="K72">MAX(IF($N$3:$EH$3=$J$3,N72:EH72))</f>
        <v>0</v>
      </c>
      <c r="L72" s="9"/>
      <c r="O72" s="10"/>
      <c r="P72" s="10">
        <v>0.5</v>
      </c>
      <c r="Q72" s="10"/>
      <c r="R72" s="10">
        <v>0.5</v>
      </c>
      <c r="V72" s="10"/>
      <c r="W72" s="10">
        <v>0.5</v>
      </c>
      <c r="X72" s="10"/>
      <c r="Y72" s="10">
        <v>0.5</v>
      </c>
      <c r="AC72" s="10"/>
      <c r="AD72" s="10">
        <v>0.5</v>
      </c>
      <c r="AE72" s="10"/>
      <c r="AF72" s="10">
        <v>0.5</v>
      </c>
      <c r="AI72">
        <v>1</v>
      </c>
      <c r="AJ72" s="10"/>
      <c r="AK72" s="10">
        <v>0.8</v>
      </c>
      <c r="AL72" s="10"/>
      <c r="AM72" s="10">
        <v>0.8</v>
      </c>
      <c r="AQ72" s="10"/>
      <c r="AR72" s="10">
        <v>0.8</v>
      </c>
      <c r="AS72" s="10"/>
      <c r="AT72" s="10">
        <v>0.8</v>
      </c>
      <c r="AX72" s="10"/>
      <c r="AY72" s="10">
        <v>0.8</v>
      </c>
      <c r="AZ72" s="10"/>
      <c r="BA72" s="10">
        <v>0.8</v>
      </c>
      <c r="BE72" s="10"/>
      <c r="BF72" s="10">
        <v>0.8</v>
      </c>
      <c r="BG72" s="10"/>
      <c r="BH72" s="10">
        <v>0.8</v>
      </c>
      <c r="BL72" s="10"/>
      <c r="BM72" s="10">
        <v>0.8</v>
      </c>
      <c r="BN72" s="10"/>
      <c r="BO72" s="10">
        <v>0.8</v>
      </c>
      <c r="BS72" s="10"/>
      <c r="BT72" s="10">
        <v>0.8</v>
      </c>
      <c r="BU72" s="10"/>
      <c r="BV72" s="10">
        <v>0.8</v>
      </c>
      <c r="BY72">
        <v>1</v>
      </c>
      <c r="BZ72" s="10"/>
      <c r="CA72" s="10">
        <v>1</v>
      </c>
      <c r="CB72" s="10"/>
      <c r="CC72" s="10">
        <v>1</v>
      </c>
      <c r="CG72" s="10"/>
      <c r="CH72" s="10">
        <v>1</v>
      </c>
      <c r="CI72" s="10"/>
      <c r="CJ72" s="10">
        <v>1</v>
      </c>
      <c r="CN72" s="10"/>
      <c r="CO72" s="10">
        <v>1</v>
      </c>
      <c r="CP72" s="10"/>
      <c r="CQ72" s="10">
        <v>1</v>
      </c>
      <c r="CU72" s="10"/>
      <c r="CV72" s="10">
        <v>1</v>
      </c>
      <c r="CW72" s="10"/>
      <c r="CX72" s="10">
        <v>1</v>
      </c>
      <c r="DB72" s="10"/>
      <c r="DC72" s="10">
        <v>1</v>
      </c>
      <c r="DD72" s="10"/>
      <c r="DE72" s="10">
        <v>1</v>
      </c>
      <c r="DI72" s="10"/>
      <c r="DJ72" s="10"/>
      <c r="DK72" s="10"/>
      <c r="DL72" s="10"/>
      <c r="DP72" s="10"/>
      <c r="DQ72" s="10"/>
      <c r="DR72" s="10"/>
      <c r="DS72" s="10"/>
      <c r="DW72" s="10"/>
      <c r="DX72" s="10"/>
      <c r="DY72" s="10"/>
      <c r="DZ72" s="10"/>
      <c r="ED72" s="10"/>
      <c r="EE72" s="10"/>
      <c r="EF72" s="10"/>
      <c r="EG72" s="10"/>
      <c r="EK72" s="10"/>
      <c r="EL72" s="10"/>
      <c r="EM72" s="10"/>
      <c r="EN72" s="10"/>
      <c r="ER72" s="10"/>
      <c r="ES72" s="10"/>
      <c r="ET72" s="10"/>
      <c r="EU72" s="10"/>
    </row>
    <row r="73" spans="2:151" ht="15.75" customHeight="1" outlineLevel="1">
      <c r="B73" t="s">
        <v>28</v>
      </c>
      <c r="C73" t="s">
        <v>93</v>
      </c>
      <c r="E73" s="9"/>
      <c r="F73" t="s">
        <v>171</v>
      </c>
      <c r="G73" s="10">
        <v>0.05</v>
      </c>
      <c r="I73" s="9">
        <f>+SUMIF($N$3:$ZZ$3,I$3,$N73:$ZZ73)</f>
        <v>2</v>
      </c>
      <c r="J73" s="11" cm="1">
        <f t="array" ref="J73">MAX(IF($N$3:$EH$3=$J$3,N73:EH73))</f>
        <v>0</v>
      </c>
      <c r="K73" s="11" cm="1">
        <f t="array" ref="K73">MAX(IF($N$3:$EH$3=$J$3,N73:EH73))</f>
        <v>0</v>
      </c>
      <c r="L73" s="9"/>
      <c r="O73" s="10"/>
      <c r="P73" s="10"/>
      <c r="Q73" s="10"/>
      <c r="R73" s="10"/>
      <c r="V73" s="10"/>
      <c r="W73" s="10"/>
      <c r="X73" s="10"/>
      <c r="Y73" s="10"/>
      <c r="AB73">
        <v>1</v>
      </c>
      <c r="AC73" s="10"/>
      <c r="AD73" s="10">
        <v>0.5</v>
      </c>
      <c r="AE73" s="10"/>
      <c r="AF73" s="10">
        <v>0.5</v>
      </c>
      <c r="AJ73" s="10"/>
      <c r="AK73" s="10">
        <v>0.5</v>
      </c>
      <c r="AL73" s="10"/>
      <c r="AM73" s="10">
        <v>0.5</v>
      </c>
      <c r="AQ73" s="10"/>
      <c r="AR73" s="10">
        <v>0.5</v>
      </c>
      <c r="AS73" s="10"/>
      <c r="AT73" s="10">
        <v>0.5</v>
      </c>
      <c r="AW73">
        <v>1</v>
      </c>
      <c r="AX73" s="10"/>
      <c r="AY73" s="10">
        <v>0.8</v>
      </c>
      <c r="AZ73" s="10"/>
      <c r="BA73" s="10">
        <v>0.8</v>
      </c>
      <c r="BE73" s="10"/>
      <c r="BF73" s="10">
        <v>0.8</v>
      </c>
      <c r="BG73" s="10"/>
      <c r="BH73" s="10">
        <v>0.8</v>
      </c>
      <c r="BL73" s="10"/>
      <c r="BM73" s="10">
        <v>0.8</v>
      </c>
      <c r="BN73" s="10"/>
      <c r="BO73" s="10">
        <v>0.8</v>
      </c>
      <c r="BS73" s="10"/>
      <c r="BT73" s="10">
        <v>0.8</v>
      </c>
      <c r="BU73" s="10"/>
      <c r="BV73" s="10">
        <v>0.8</v>
      </c>
      <c r="BZ73" s="10"/>
      <c r="CA73" s="10">
        <v>0.8</v>
      </c>
      <c r="CB73" s="10"/>
      <c r="CC73" s="10">
        <v>0.8</v>
      </c>
      <c r="CG73" s="10"/>
      <c r="CH73" s="10">
        <v>0.8</v>
      </c>
      <c r="CI73" s="10"/>
      <c r="CJ73" s="10">
        <v>0.8</v>
      </c>
      <c r="CN73" s="10"/>
      <c r="CO73" s="10">
        <v>1</v>
      </c>
      <c r="CP73" s="10"/>
      <c r="CQ73" s="10">
        <v>1</v>
      </c>
      <c r="CU73" s="10"/>
      <c r="CV73" s="10">
        <v>1</v>
      </c>
      <c r="CW73" s="10"/>
      <c r="CX73" s="10">
        <v>1</v>
      </c>
      <c r="DB73" s="10"/>
      <c r="DC73" s="10">
        <v>1</v>
      </c>
      <c r="DD73" s="10"/>
      <c r="DE73" s="10">
        <v>1</v>
      </c>
      <c r="DI73" s="10"/>
      <c r="DJ73" s="10"/>
      <c r="DK73" s="10"/>
      <c r="DL73" s="10"/>
      <c r="DP73" s="10"/>
      <c r="DQ73" s="10"/>
      <c r="DR73" s="10"/>
      <c r="DS73" s="10"/>
      <c r="DW73" s="10"/>
      <c r="DX73" s="10"/>
      <c r="DY73" s="10"/>
      <c r="DZ73" s="10"/>
      <c r="ED73" s="10"/>
      <c r="EE73" s="10"/>
      <c r="EF73" s="10"/>
      <c r="EG73" s="10"/>
      <c r="EK73" s="10"/>
      <c r="EL73" s="10"/>
      <c r="EM73" s="10"/>
      <c r="EN73" s="10"/>
      <c r="ER73" s="10"/>
      <c r="ES73" s="10"/>
      <c r="ET73" s="10"/>
      <c r="EU73" s="10"/>
    </row>
    <row r="74" spans="2:151" ht="15.75" customHeight="1" outlineLevel="1">
      <c r="B74" t="s">
        <v>28</v>
      </c>
      <c r="C74" t="s">
        <v>93</v>
      </c>
      <c r="E74" s="9"/>
      <c r="F74" t="s">
        <v>172</v>
      </c>
      <c r="G74" s="10">
        <v>0.1</v>
      </c>
      <c r="I74" s="9">
        <f>+SUMIF($N$3:$ZZ$3,I$3,$N74:$ZZ74)</f>
        <v>3</v>
      </c>
      <c r="J74" s="11" cm="1">
        <f t="array" ref="J74">MAX(IF($N$3:$EH$3=$J$3,N74:EH74))</f>
        <v>0</v>
      </c>
      <c r="K74" s="11" cm="1">
        <f t="array" ref="K74">MAX(IF($N$3:$EH$3=$J$3,N74:EH74))</f>
        <v>0</v>
      </c>
      <c r="L74" s="9"/>
      <c r="O74" s="10"/>
      <c r="P74" s="10"/>
      <c r="Q74" s="10"/>
      <c r="R74" s="10"/>
      <c r="V74" s="10"/>
      <c r="W74" s="10"/>
      <c r="X74" s="10"/>
      <c r="Y74" s="10"/>
      <c r="AC74" s="10"/>
      <c r="AD74" s="10"/>
      <c r="AE74" s="10"/>
      <c r="AF74" s="10"/>
      <c r="AJ74" s="10"/>
      <c r="AK74" s="10"/>
      <c r="AL74" s="10"/>
      <c r="AM74" s="10"/>
      <c r="AP74">
        <v>1</v>
      </c>
      <c r="AQ74" s="10"/>
      <c r="AR74" s="10">
        <v>0.5</v>
      </c>
      <c r="AS74" s="10"/>
      <c r="AT74" s="10">
        <v>0.5</v>
      </c>
      <c r="AX74" s="10"/>
      <c r="AY74" s="10">
        <v>0.5</v>
      </c>
      <c r="AZ74" s="10"/>
      <c r="BA74" s="10">
        <v>0.5</v>
      </c>
      <c r="BE74" s="10"/>
      <c r="BF74" s="10">
        <v>0.5</v>
      </c>
      <c r="BG74" s="10"/>
      <c r="BH74" s="10">
        <v>0.5</v>
      </c>
      <c r="BK74">
        <v>1</v>
      </c>
      <c r="BL74" s="10"/>
      <c r="BM74" s="10">
        <v>0.8</v>
      </c>
      <c r="BN74" s="10"/>
      <c r="BO74" s="10">
        <v>0.8</v>
      </c>
      <c r="BS74" s="10"/>
      <c r="BT74" s="10">
        <v>0.8</v>
      </c>
      <c r="BU74" s="10"/>
      <c r="BV74" s="10">
        <v>0.8</v>
      </c>
      <c r="BZ74" s="10"/>
      <c r="CA74" s="10">
        <v>0.8</v>
      </c>
      <c r="CB74" s="10"/>
      <c r="CC74" s="10">
        <v>0.8</v>
      </c>
      <c r="CG74" s="10"/>
      <c r="CH74" s="10">
        <v>0.8</v>
      </c>
      <c r="CI74" s="10"/>
      <c r="CJ74" s="10">
        <v>0.8</v>
      </c>
      <c r="CN74" s="10"/>
      <c r="CO74" s="10">
        <v>0.8</v>
      </c>
      <c r="CP74" s="10"/>
      <c r="CQ74" s="10">
        <v>0.8</v>
      </c>
      <c r="CT74">
        <v>1</v>
      </c>
      <c r="CU74" s="10"/>
      <c r="CV74" s="10">
        <v>1</v>
      </c>
      <c r="CW74" s="10"/>
      <c r="CX74" s="10">
        <v>1</v>
      </c>
      <c r="DB74" s="10"/>
      <c r="DC74" s="10">
        <v>1</v>
      </c>
      <c r="DD74" s="10"/>
      <c r="DE74" s="10">
        <v>1</v>
      </c>
      <c r="DI74" s="10"/>
      <c r="DJ74" s="10"/>
      <c r="DK74" s="10"/>
      <c r="DL74" s="10"/>
      <c r="DP74" s="10"/>
      <c r="DQ74" s="10"/>
      <c r="DR74" s="10"/>
      <c r="DS74" s="10"/>
      <c r="DW74" s="10"/>
      <c r="DX74" s="10"/>
      <c r="DY74" s="10"/>
      <c r="DZ74" s="10"/>
      <c r="ED74" s="10"/>
      <c r="EE74" s="10"/>
      <c r="EF74" s="10"/>
      <c r="EG74" s="10"/>
      <c r="EK74" s="10"/>
      <c r="EL74" s="10"/>
      <c r="EM74" s="10"/>
      <c r="EN74" s="10"/>
      <c r="ER74" s="10"/>
      <c r="ES74" s="10"/>
      <c r="ET74" s="10"/>
      <c r="EU74" s="10"/>
    </row>
    <row r="75" spans="2:151" ht="15.75" customHeight="1" outlineLevel="1">
      <c r="B75" t="s">
        <v>28</v>
      </c>
      <c r="C75" t="s">
        <v>93</v>
      </c>
      <c r="E75" s="9"/>
      <c r="F75" t="s">
        <v>173</v>
      </c>
      <c r="G75" s="10">
        <v>0.1</v>
      </c>
      <c r="I75" s="9">
        <f>+SUMIF($N$3:$ZZ$3,I$3,$N75:$ZZ75)</f>
        <v>3</v>
      </c>
      <c r="J75" s="11" cm="1">
        <f t="array" ref="J75">MAX(IF($N$3:$EH$3=$J$3,N75:EH75))</f>
        <v>0</v>
      </c>
      <c r="K75" s="11" cm="1">
        <f t="array" ref="K75">MAX(IF($N$3:$EH$3=$J$3,N75:EH75))</f>
        <v>0</v>
      </c>
      <c r="L75" s="9"/>
      <c r="O75" s="10"/>
      <c r="P75" s="10"/>
      <c r="Q75" s="10"/>
      <c r="R75" s="10"/>
      <c r="V75" s="10"/>
      <c r="W75" s="10"/>
      <c r="X75" s="10"/>
      <c r="Y75" s="10"/>
      <c r="AC75" s="10"/>
      <c r="AD75" s="10"/>
      <c r="AE75" s="10"/>
      <c r="AF75" s="10"/>
      <c r="AJ75" s="10"/>
      <c r="AK75" s="10"/>
      <c r="AL75" s="10"/>
      <c r="AM75" s="10"/>
      <c r="AQ75" s="10"/>
      <c r="AR75" s="10"/>
      <c r="AS75" s="10"/>
      <c r="AT75" s="10"/>
      <c r="AX75" s="10"/>
      <c r="AY75" s="10"/>
      <c r="AZ75" s="10"/>
      <c r="BA75" s="10"/>
      <c r="BD75">
        <v>1</v>
      </c>
      <c r="BE75" s="10"/>
      <c r="BF75" s="10">
        <v>0.5</v>
      </c>
      <c r="BG75" s="10"/>
      <c r="BH75" s="10">
        <v>0.5</v>
      </c>
      <c r="BL75" s="10"/>
      <c r="BM75" s="10">
        <v>0.5</v>
      </c>
      <c r="BN75" s="10"/>
      <c r="BO75" s="10">
        <v>0.5</v>
      </c>
      <c r="BS75" s="10"/>
      <c r="BT75" s="10">
        <v>0.5</v>
      </c>
      <c r="BU75" s="10"/>
      <c r="BV75" s="10">
        <v>0.5</v>
      </c>
      <c r="BY75">
        <v>1</v>
      </c>
      <c r="BZ75" s="10"/>
      <c r="CA75" s="10">
        <v>0.8</v>
      </c>
      <c r="CB75" s="10"/>
      <c r="CC75" s="10">
        <v>0.8</v>
      </c>
      <c r="CG75" s="10"/>
      <c r="CH75" s="10">
        <v>0.8</v>
      </c>
      <c r="CI75" s="10"/>
      <c r="CJ75" s="10">
        <v>0.8</v>
      </c>
      <c r="CN75" s="10"/>
      <c r="CO75" s="10">
        <v>0.8</v>
      </c>
      <c r="CP75" s="10"/>
      <c r="CQ75" s="10">
        <v>0.8</v>
      </c>
      <c r="CT75">
        <v>1</v>
      </c>
      <c r="CU75" s="10"/>
      <c r="CV75" s="10">
        <v>1</v>
      </c>
      <c r="CW75" s="10"/>
      <c r="CX75" s="10">
        <v>1</v>
      </c>
      <c r="DB75" s="10"/>
      <c r="DC75" s="10">
        <v>1</v>
      </c>
      <c r="DD75" s="10"/>
      <c r="DE75" s="10">
        <v>1</v>
      </c>
      <c r="DI75" s="10"/>
      <c r="DJ75" s="10"/>
      <c r="DK75" s="10"/>
      <c r="DL75" s="10"/>
      <c r="DP75" s="10"/>
      <c r="DQ75" s="10"/>
      <c r="DR75" s="10"/>
      <c r="DS75" s="10"/>
      <c r="DW75" s="10"/>
      <c r="DX75" s="10"/>
      <c r="DY75" s="10"/>
      <c r="DZ75" s="10"/>
      <c r="ED75" s="10"/>
      <c r="EE75" s="10"/>
      <c r="EF75" s="10"/>
      <c r="EG75" s="10"/>
      <c r="EK75" s="10"/>
      <c r="EL75" s="10"/>
      <c r="EM75" s="10"/>
      <c r="EN75" s="10"/>
      <c r="ER75" s="10"/>
      <c r="ES75" s="10"/>
      <c r="ET75" s="10"/>
      <c r="EU75" s="10"/>
    </row>
    <row r="76" spans="2:151" ht="15.75" customHeight="1" outlineLevel="1">
      <c r="B76" t="s">
        <v>28</v>
      </c>
      <c r="C76" t="s">
        <v>93</v>
      </c>
      <c r="E76" s="9"/>
      <c r="F76" t="s">
        <v>174</v>
      </c>
      <c r="G76" s="10">
        <v>0.1</v>
      </c>
      <c r="I76" s="9">
        <f>+SUMIF($N$3:$ZZ$3,I$3,$N76:$ZZ76)</f>
        <v>2</v>
      </c>
      <c r="J76" s="11" cm="1">
        <f t="array" ref="J76">MAX(IF($N$3:$EH$3=$J$3,N76:EH76))</f>
        <v>0</v>
      </c>
      <c r="K76" s="11" cm="1">
        <f t="array" ref="K76">MAX(IF($N$3:$EH$3=$J$3,N76:EH76))</f>
        <v>0</v>
      </c>
      <c r="L76" s="9"/>
      <c r="O76" s="10"/>
      <c r="P76" s="10"/>
      <c r="Q76" s="10"/>
      <c r="R76" s="10"/>
      <c r="V76" s="10"/>
      <c r="W76" s="10"/>
      <c r="X76" s="10"/>
      <c r="Y76" s="10"/>
      <c r="AC76" s="10"/>
      <c r="AD76" s="10"/>
      <c r="AE76" s="10"/>
      <c r="AF76" s="10"/>
      <c r="AJ76" s="10"/>
      <c r="AK76" s="10"/>
      <c r="AL76" s="10"/>
      <c r="AM76" s="10"/>
      <c r="AQ76" s="10"/>
      <c r="AR76" s="10"/>
      <c r="AS76" s="10"/>
      <c r="AT76" s="10"/>
      <c r="AX76" s="10"/>
      <c r="AY76" s="10"/>
      <c r="AZ76" s="10"/>
      <c r="BA76" s="10"/>
      <c r="BE76" s="10"/>
      <c r="BF76" s="10"/>
      <c r="BG76" s="10"/>
      <c r="BH76" s="10"/>
      <c r="BK76">
        <v>1</v>
      </c>
      <c r="BL76" s="10"/>
      <c r="BM76" s="10">
        <v>0.5</v>
      </c>
      <c r="BN76" s="10"/>
      <c r="BO76" s="10">
        <v>0.5</v>
      </c>
      <c r="BS76" s="10"/>
      <c r="BT76" s="10">
        <v>0.5</v>
      </c>
      <c r="BU76" s="10"/>
      <c r="BV76" s="10">
        <v>0.5</v>
      </c>
      <c r="BZ76" s="10"/>
      <c r="CA76" s="10">
        <v>0.5</v>
      </c>
      <c r="CB76" s="10"/>
      <c r="CC76" s="10">
        <v>0.5</v>
      </c>
      <c r="CF76">
        <v>1</v>
      </c>
      <c r="CG76" s="10"/>
      <c r="CH76" s="10">
        <v>0.8</v>
      </c>
      <c r="CI76" s="10"/>
      <c r="CJ76" s="10">
        <v>0.8</v>
      </c>
      <c r="CN76" s="10"/>
      <c r="CO76" s="10">
        <v>0.8</v>
      </c>
      <c r="CP76" s="10"/>
      <c r="CQ76" s="10">
        <v>0.8</v>
      </c>
      <c r="CU76" s="10"/>
      <c r="CV76" s="10">
        <v>0.8</v>
      </c>
      <c r="CW76" s="10"/>
      <c r="CX76" s="10">
        <v>0.8</v>
      </c>
      <c r="DB76" s="10"/>
      <c r="DC76" s="10">
        <v>1</v>
      </c>
      <c r="DD76" s="10"/>
      <c r="DE76" s="10">
        <v>1</v>
      </c>
      <c r="DI76" s="10"/>
      <c r="DJ76" s="10"/>
      <c r="DK76" s="10"/>
      <c r="DL76" s="10"/>
      <c r="DP76" s="10"/>
      <c r="DQ76" s="10"/>
      <c r="DR76" s="10"/>
      <c r="DS76" s="10"/>
      <c r="DW76" s="10"/>
      <c r="DX76" s="10"/>
      <c r="DY76" s="10"/>
      <c r="DZ76" s="10"/>
      <c r="ED76" s="10"/>
      <c r="EE76" s="10"/>
      <c r="EF76" s="10"/>
      <c r="EG76" s="10"/>
      <c r="EK76" s="10"/>
      <c r="EL76" s="10"/>
      <c r="EM76" s="10"/>
      <c r="EN76" s="10"/>
      <c r="ER76" s="10"/>
      <c r="ES76" s="10"/>
      <c r="ET76" s="10"/>
      <c r="EU76" s="10"/>
    </row>
  </sheetData>
  <mergeCells count="21">
    <mergeCell ref="EQ2:EV2"/>
    <mergeCell ref="DH2:DM2"/>
    <mergeCell ref="DO2:DT2"/>
    <mergeCell ref="DV2:EA2"/>
    <mergeCell ref="EC2:EH2"/>
    <mergeCell ref="EJ2:EO2"/>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s>
  <conditionalFormatting sqref="J5:J22">
    <cfRule type="colorScale" priority="885">
      <colorScale>
        <cfvo type="percent" val="0"/>
        <cfvo type="percent" val="100"/>
        <color rgb="FFFF231B"/>
        <color rgb="FF10FF07"/>
      </colorScale>
    </cfRule>
  </conditionalFormatting>
  <conditionalFormatting sqref="J26">
    <cfRule type="colorScale" priority="433">
      <colorScale>
        <cfvo type="percent" val="0"/>
        <cfvo type="percent" val="100"/>
        <color rgb="FFFF231B"/>
        <color rgb="FF10FF07"/>
      </colorScale>
    </cfRule>
  </conditionalFormatting>
  <conditionalFormatting sqref="J27">
    <cfRule type="colorScale" priority="414">
      <colorScale>
        <cfvo type="percent" val="0"/>
        <cfvo type="percent" val="100"/>
        <color rgb="FFFF231B"/>
        <color rgb="FF10FF07"/>
      </colorScale>
    </cfRule>
  </conditionalFormatting>
  <conditionalFormatting sqref="J28:J30 J25">
    <cfRule type="colorScale" priority="1212">
      <colorScale>
        <cfvo type="percent" val="0"/>
        <cfvo type="percent" val="100"/>
        <color rgb="FFFF231B"/>
        <color rgb="FF10FF07"/>
      </colorScale>
    </cfRule>
  </conditionalFormatting>
  <conditionalFormatting sqref="J33:J39">
    <cfRule type="colorScale" priority="1045">
      <colorScale>
        <cfvo type="percent" val="0"/>
        <cfvo type="percent" val="100"/>
        <color rgb="FFFF231B"/>
        <color rgb="FF10FF07"/>
      </colorScale>
    </cfRule>
  </conditionalFormatting>
  <conditionalFormatting sqref="J42:J51">
    <cfRule type="colorScale" priority="978">
      <colorScale>
        <cfvo type="percent" val="0"/>
        <cfvo type="percent" val="100"/>
        <color rgb="FFFF231B"/>
        <color rgb="FF10FF07"/>
      </colorScale>
    </cfRule>
  </conditionalFormatting>
  <conditionalFormatting sqref="J54:J67">
    <cfRule type="colorScale" priority="1216">
      <colorScale>
        <cfvo type="percent" val="0"/>
        <cfvo type="percent" val="100"/>
        <color rgb="FFFF231B"/>
        <color rgb="FF10FF07"/>
      </colorScale>
    </cfRule>
  </conditionalFormatting>
  <conditionalFormatting sqref="J71:J76">
    <cfRule type="colorScale" priority="1219">
      <colorScale>
        <cfvo type="percent" val="0"/>
        <cfvo type="percent" val="100"/>
        <color rgb="FFFF231B"/>
        <color rgb="FF10FF07"/>
      </colorScale>
    </cfRule>
  </conditionalFormatting>
  <conditionalFormatting sqref="J6:K9 J22:K22">
    <cfRule type="colorScale" priority="856">
      <colorScale>
        <cfvo type="percent" val="0"/>
        <cfvo type="percent" val="100"/>
        <color rgb="FFFF231B"/>
        <color rgb="FF10FF07"/>
      </colorScale>
    </cfRule>
  </conditionalFormatting>
  <conditionalFormatting sqref="J26:K26">
    <cfRule type="colorScale" priority="434">
      <colorScale>
        <cfvo type="percent" val="0"/>
        <cfvo type="percent" val="100"/>
        <color rgb="FFFF231B"/>
        <color rgb="FF10FF07"/>
      </colorScale>
    </cfRule>
  </conditionalFormatting>
  <conditionalFormatting sqref="J27:K27">
    <cfRule type="colorScale" priority="415">
      <colorScale>
        <cfvo type="percent" val="0"/>
        <cfvo type="percent" val="100"/>
        <color rgb="FFFF231B"/>
        <color rgb="FF10FF07"/>
      </colorScale>
    </cfRule>
  </conditionalFormatting>
  <conditionalFormatting sqref="J28:K30">
    <cfRule type="colorScale" priority="1214">
      <colorScale>
        <cfvo type="percent" val="0"/>
        <cfvo type="percent" val="100"/>
        <color rgb="FFFF231B"/>
        <color rgb="FF10FF07"/>
      </colorScale>
    </cfRule>
  </conditionalFormatting>
  <conditionalFormatting sqref="J34:K39">
    <cfRule type="colorScale" priority="1046">
      <colorScale>
        <cfvo type="percent" val="0"/>
        <cfvo type="percent" val="100"/>
        <color rgb="FFFF231B"/>
        <color rgb="FF10FF07"/>
      </colorScale>
    </cfRule>
  </conditionalFormatting>
  <conditionalFormatting sqref="J43:K51">
    <cfRule type="colorScale" priority="976">
      <colorScale>
        <cfvo type="percent" val="0"/>
        <cfvo type="percent" val="100"/>
        <color rgb="FFFF231B"/>
        <color rgb="FF10FF07"/>
      </colorScale>
    </cfRule>
  </conditionalFormatting>
  <conditionalFormatting sqref="J55:K67">
    <cfRule type="colorScale" priority="1217">
      <colorScale>
        <cfvo type="percent" val="0"/>
        <cfvo type="percent" val="100"/>
        <color rgb="FFFF231B"/>
        <color rgb="FF10FF07"/>
      </colorScale>
    </cfRule>
  </conditionalFormatting>
  <conditionalFormatting sqref="J72:K76">
    <cfRule type="colorScale" priority="1220">
      <colorScale>
        <cfvo type="percent" val="0"/>
        <cfvo type="percent" val="100"/>
        <color rgb="FFFF231B"/>
        <color rgb="FF10FF07"/>
      </colorScale>
    </cfRule>
  </conditionalFormatting>
  <conditionalFormatting sqref="K5:K22">
    <cfRule type="colorScale" priority="886">
      <colorScale>
        <cfvo type="percent" val="0"/>
        <cfvo type="percent" val="100"/>
        <color rgb="FFFF231B"/>
        <color rgb="FF10FF07"/>
      </colorScale>
    </cfRule>
  </conditionalFormatting>
  <conditionalFormatting sqref="K26">
    <cfRule type="colorScale" priority="432">
      <colorScale>
        <cfvo type="percent" val="0"/>
        <cfvo type="percent" val="100"/>
        <color rgb="FFFF231B"/>
        <color rgb="FF10FF07"/>
      </colorScale>
    </cfRule>
  </conditionalFormatting>
  <conditionalFormatting sqref="K27">
    <cfRule type="colorScale" priority="413">
      <colorScale>
        <cfvo type="percent" val="0"/>
        <cfvo type="percent" val="100"/>
        <color rgb="FFFF231B"/>
        <color rgb="FF10FF07"/>
      </colorScale>
    </cfRule>
  </conditionalFormatting>
  <conditionalFormatting sqref="K28:K30 K25">
    <cfRule type="colorScale" priority="1215">
      <colorScale>
        <cfvo type="percent" val="0"/>
        <cfvo type="percent" val="100"/>
        <color rgb="FFFF231B"/>
        <color rgb="FF10FF07"/>
      </colorScale>
    </cfRule>
  </conditionalFormatting>
  <conditionalFormatting sqref="K33:K39">
    <cfRule type="colorScale" priority="1047">
      <colorScale>
        <cfvo type="percent" val="0"/>
        <cfvo type="percent" val="100"/>
        <color rgb="FFFF231B"/>
        <color rgb="FF10FF07"/>
      </colorScale>
    </cfRule>
  </conditionalFormatting>
  <conditionalFormatting sqref="K42:K51">
    <cfRule type="colorScale" priority="980">
      <colorScale>
        <cfvo type="percent" val="0"/>
        <cfvo type="percent" val="100"/>
        <color rgb="FFFF231B"/>
        <color rgb="FF10FF07"/>
      </colorScale>
    </cfRule>
  </conditionalFormatting>
  <conditionalFormatting sqref="K54:K67">
    <cfRule type="colorScale" priority="1218">
      <colorScale>
        <cfvo type="percent" val="0"/>
        <cfvo type="percent" val="100"/>
        <color rgb="FFFF231B"/>
        <color rgb="FF10FF07"/>
      </colorScale>
    </cfRule>
  </conditionalFormatting>
  <conditionalFormatting sqref="K71:K76">
    <cfRule type="colorScale" priority="1221">
      <colorScale>
        <cfvo type="percent" val="0"/>
        <cfvo type="percent" val="100"/>
        <color rgb="FFFF231B"/>
        <color rgb="FF10FF07"/>
      </colorScale>
    </cfRule>
  </conditionalFormatting>
  <conditionalFormatting sqref="AQ19:AQ22 AS19:AS22 AX22 AZ22 DK6:DK9 DK22 CG25:CG30 CI25:CI30 CN25:CN30 CP25:CP30 DB25:DB30 DD25:DD30 DI25:DI30 DK25:DK30 DP25:DP30 DR25:DR30 DW25:DW30 DY25:DY30 ED25:ED30 EF25:EF30 EK25:EK30 EM25:EM30 ER25:ER30 ET25:ET30 CG33:CG39 CI33:CI39 CN33:CN39 CP33:CP39 CW33:CW39 DI33:DI39 DK33:DK39 DP33:DP39 DR33:DR39 DW33:DW39 DY33:DY39 ED33:ED39 EF33:EF39 EK33:EK39 EM33:EM39 ER33:ER39 ET33:ET39 CN54:CN67 CP54:CP67 CU54:CU67 CW54:CW67 DI54:DI67 DK54:DK67 DP54:DP67 DR54:DR67 DW54:DW67 DY54:DY67 ED54:ED67 EF54:EF67 EK54:EK67 EM54:EM67 ER54:ER67 ET54:ET67 CN71:CN76 CP71:CP76 CU71:CU76 CW71:CW76 DI71:DI76 DK71:DK76 DP71:DP76 DR71:DR76 DW71:DW76 DY71:DY76 ED71:ED76 EF71:EF76 EK71:EK76 EM71:EM76 ER71:ER76 ET71:ET76 CU33:CU39 O11:O22 Q11:Q22 V12:V22 X12:X22 AJ17:AJ22 AL17:AL22 DB33:DB39 DD33:DD39 DB54:DB67 DD54:DD67 DB71:DB76 DD71:DD76 CG54:CG67 CI54:CI67 CG71:CG76 CI71:CI76 BZ71:BZ76 CB71:CB76 BZ54:BZ67 CB54:CB67 BZ33:BZ39 CB33:CB39 BZ25:BZ30 CB25:CB30 BS71:BS76 BU71:BU76 BS54:BS67 BU54:BU67 BS33:BS39 BU33:BU39 BS25:BS30 BU25:BU30 BL71:BL76 BN71:BN76 BL54:BL67 BN54:BN67 BL33:BL39 BN33:BN39 BL25:BL30 BN25:BN30 BE71:BE76 BG71:BG76 BE54:BE67 BG54:BG67 BE33:BE39 BG33:BG39 BE25:BE30 BG25:BG30 AX71:AX76 AZ71:AZ76 AX54:AX67 AZ54:AZ67 AX33:AX39 AZ33:AZ39 AX25:AX30 AZ25:AZ30 AQ71:AQ76 AS71:AS76 AQ54:AQ67 AS54:AS67 AQ33:AQ39 AS33:AS39 AQ25:AQ30 AS25:AS30 AJ71:AJ76 AL71:AL76 AJ54:AJ67 AL54:AL67 AJ33:AJ39 AL33:AL39 AJ25:AJ30 AL25:AL30 AC71:AC76 AE71:AE76 AC54:AC67 AE54:AE67 AC33:AC39 AE33:AE39 AC25:AC30 AE25:AE30 AC15:AC22 AE15:AE22 V71:V76 X71:X76 V54:V67 X54:X67 V33:V39 X33:X39 V25:V30 X25:X30 O71:O76 Q71:Q76 O54:O67 Q54:Q67 O33:O39 Q33:Q39 O25:O30 Q25:Q30">
    <cfRule type="expression" dxfId="7" priority="853">
      <formula>OR(IF(O6&lt;P6,TRUE),IF(AND(P6="",O6&lt;&gt;""),TRUE))</formula>
    </cfRule>
    <cfRule type="expression" dxfId="6" priority="854">
      <formula>IF(O6&gt;=P6,IF(O6="",FALSE,TRUE))</formula>
    </cfRule>
  </conditionalFormatting>
  <conditionalFormatting sqref="O45:O51">
    <cfRule type="expression" dxfId="169" priority="581">
      <formula>OR(IF(O45&lt;P45,TRUE),IF(AND(P45="",O45&lt;&gt;""),TRUE))</formula>
    </cfRule>
    <cfRule type="expression" dxfId="168" priority="582">
      <formula>IF(O45&gt;=P45,IF(O45="",FALSE,TRUE))</formula>
    </cfRule>
  </conditionalFormatting>
  <conditionalFormatting sqref="Q45:Q51">
    <cfRule type="expression" dxfId="167" priority="579">
      <formula>OR(IF(Q45&lt;R45,TRUE),IF(AND(R45="",Q45&lt;&gt;""),TRUE))</formula>
    </cfRule>
    <cfRule type="expression" dxfId="166" priority="580">
      <formula>IF(Q45&gt;=R45,IF(Q45="",FALSE,TRUE))</formula>
    </cfRule>
  </conditionalFormatting>
  <conditionalFormatting sqref="V46:V51">
    <cfRule type="expression" dxfId="165" priority="573">
      <formula>OR(IF(V46&lt;W46,TRUE),IF(AND(W46="",V46&lt;&gt;""),TRUE))</formula>
    </cfRule>
    <cfRule type="expression" dxfId="164" priority="574">
      <formula>IF(V46&gt;=W46,IF(V46="",FALSE,TRUE))</formula>
    </cfRule>
  </conditionalFormatting>
  <conditionalFormatting sqref="X46:X51">
    <cfRule type="expression" dxfId="163" priority="571">
      <formula>OR(IF(X46&lt;Y46,TRUE),IF(AND(Y46="",X46&lt;&gt;""),TRUE))</formula>
    </cfRule>
    <cfRule type="expression" dxfId="162" priority="572">
      <formula>IF(X46&gt;=Y46,IF(X46="",FALSE,TRUE))</formula>
    </cfRule>
  </conditionalFormatting>
  <conditionalFormatting sqref="AC47:AC51">
    <cfRule type="expression" dxfId="161" priority="565">
      <formula>OR(IF(AC47&lt;AD47,TRUE),IF(AND(AD47="",AC47&lt;&gt;""),TRUE))</formula>
    </cfRule>
    <cfRule type="expression" dxfId="160" priority="566">
      <formula>IF(AC47&gt;=AD47,IF(AC47="",FALSE,TRUE))</formula>
    </cfRule>
  </conditionalFormatting>
  <conditionalFormatting sqref="AE47:AE51">
    <cfRule type="expression" dxfId="159" priority="563">
      <formula>OR(IF(AE47&lt;AF47,TRUE),IF(AND(AF47="",AE47&lt;&gt;""),TRUE))</formula>
    </cfRule>
    <cfRule type="expression" dxfId="158" priority="564">
      <formula>IF(AE47&gt;=AF47,IF(AE47="",FALSE,TRUE))</formula>
    </cfRule>
  </conditionalFormatting>
  <conditionalFormatting sqref="AJ49:AJ51">
    <cfRule type="expression" dxfId="157" priority="557">
      <formula>OR(IF(AJ49&lt;AK49,TRUE),IF(AND(AK49="",AJ49&lt;&gt;""),TRUE))</formula>
    </cfRule>
    <cfRule type="expression" dxfId="156" priority="558">
      <formula>IF(AJ49&gt;=AK49,IF(AJ49="",FALSE,TRUE))</formula>
    </cfRule>
  </conditionalFormatting>
  <conditionalFormatting sqref="AL49:AL51">
    <cfRule type="expression" dxfId="155" priority="555">
      <formula>OR(IF(AL49&lt;AM49,TRUE),IF(AND(AM49="",AL49&lt;&gt;""),TRUE))</formula>
    </cfRule>
    <cfRule type="expression" dxfId="154" priority="556">
      <formula>IF(AL49&gt;=AM49,IF(AL49="",FALSE,TRUE))</formula>
    </cfRule>
  </conditionalFormatting>
  <conditionalFormatting sqref="AQ50:AQ51">
    <cfRule type="expression" dxfId="153" priority="549">
      <formula>OR(IF(AQ50&lt;AR50,TRUE),IF(AND(AR50="",AQ50&lt;&gt;""),TRUE))</formula>
    </cfRule>
    <cfRule type="expression" dxfId="152" priority="550">
      <formula>IF(AQ50&gt;=AR50,IF(AQ50="",FALSE,TRUE))</formula>
    </cfRule>
  </conditionalFormatting>
  <conditionalFormatting sqref="AS50:AS51">
    <cfRule type="expression" dxfId="151" priority="547">
      <formula>OR(IF(AS50&lt;AT50,TRUE),IF(AND(AT50="",AS50&lt;&gt;""),TRUE))</formula>
    </cfRule>
    <cfRule type="expression" dxfId="150" priority="548">
      <formula>IF(AS50&gt;=AT50,IF(AS50="",FALSE,TRUE))</formula>
    </cfRule>
  </conditionalFormatting>
  <conditionalFormatting sqref="AX51">
    <cfRule type="expression" dxfId="149" priority="541">
      <formula>OR(IF(AX51&lt;AY51,TRUE),IF(AND(AY51="",AX51&lt;&gt;""),TRUE))</formula>
    </cfRule>
    <cfRule type="expression" dxfId="148" priority="542">
      <formula>IF(AX51&gt;=AY51,IF(AX51="",FALSE,TRUE))</formula>
    </cfRule>
  </conditionalFormatting>
  <conditionalFormatting sqref="AZ51">
    <cfRule type="expression" dxfId="147" priority="539">
      <formula>OR(IF(AZ51&lt;BA51,TRUE),IF(AND(BA51="",AZ51&lt;&gt;""),TRUE))</formula>
    </cfRule>
    <cfRule type="expression" dxfId="146" priority="540">
      <formula>IF(AZ51&gt;=BA51,IF(AZ51="",FALSE,TRUE))</formula>
    </cfRule>
  </conditionalFormatting>
  <conditionalFormatting sqref="CG5:CG22 CI5:CI22">
    <cfRule type="expression" dxfId="145" priority="369">
      <formula>OR(IF(CG5&lt;CH5,TRUE),IF(AND(CH5="",CG5&lt;&gt;""),TRUE))</formula>
    </cfRule>
    <cfRule type="expression" dxfId="144" priority="370">
      <formula>IF(CG5&gt;=CH5,IF(CG5="",FALSE,TRUE))</formula>
    </cfRule>
  </conditionalFormatting>
  <conditionalFormatting sqref="CN5:CN22 CP5:CP22">
    <cfRule type="expression" dxfId="143" priority="349">
      <formula>OR(IF(CN5&lt;CO5,TRUE),IF(AND(CO5="",CN5&lt;&gt;""),TRUE))</formula>
    </cfRule>
    <cfRule type="expression" dxfId="142" priority="350">
      <formula>IF(CN5&gt;=CO5,IF(CN5="",FALSE,TRUE))</formula>
    </cfRule>
  </conditionalFormatting>
  <conditionalFormatting sqref="CN42:CN51">
    <cfRule type="expression" dxfId="141" priority="337">
      <formula>OR(IF(CN42&lt;CO42,TRUE),IF(AND(CO42="",CN42&lt;&gt;""),TRUE))</formula>
    </cfRule>
    <cfRule type="expression" dxfId="140" priority="338">
      <formula>IF(CN42&gt;=CO42,IF(CN42="",FALSE,TRUE))</formula>
    </cfRule>
  </conditionalFormatting>
  <conditionalFormatting sqref="CP42:CP51">
    <cfRule type="expression" dxfId="139" priority="335">
      <formula>OR(IF(CP42&lt;CQ42,TRUE),IF(AND(CQ42="",CP42&lt;&gt;""),TRUE))</formula>
    </cfRule>
    <cfRule type="expression" dxfId="138" priority="336">
      <formula>IF(CP42&gt;=CQ42,IF(CP42="",FALSE,TRUE))</formula>
    </cfRule>
  </conditionalFormatting>
  <conditionalFormatting sqref="CU5:CU22 CW5:CW22">
    <cfRule type="expression" dxfId="137" priority="329">
      <formula>OR(IF(CU5&lt;CV5,TRUE),IF(AND(CV5="",CU5&lt;&gt;""),TRUE))</formula>
    </cfRule>
    <cfRule type="expression" dxfId="136" priority="330">
      <formula>IF(CU5&gt;=CV5,IF(CU5="",FALSE,TRUE))</formula>
    </cfRule>
  </conditionalFormatting>
  <conditionalFormatting sqref="CU25:CU30">
    <cfRule type="expression" dxfId="135" priority="67">
      <formula>OR(IF(CU25&lt;CV25,TRUE),IF(AND(CV25="",CU25&lt;&gt;""),TRUE))</formula>
    </cfRule>
    <cfRule type="expression" dxfId="134" priority="68">
      <formula>IF(CU25&gt;=CV25,IF(CU25="",FALSE,TRUE))</formula>
    </cfRule>
  </conditionalFormatting>
  <conditionalFormatting sqref="CU42:CU51">
    <cfRule type="expression" dxfId="133" priority="317">
      <formula>OR(IF(CU42&lt;CV42,TRUE),IF(AND(CV42="",CU42&lt;&gt;""),TRUE))</formula>
    </cfRule>
    <cfRule type="expression" dxfId="132" priority="318">
      <formula>IF(CU42&gt;=CV42,IF(CU42="",FALSE,TRUE))</formula>
    </cfRule>
  </conditionalFormatting>
  <conditionalFormatting sqref="CW25:CW30">
    <cfRule type="expression" dxfId="131" priority="65">
      <formula>OR(IF(CW25&lt;CX25,TRUE),IF(AND(CX25="",CW25&lt;&gt;""),TRUE))</formula>
    </cfRule>
    <cfRule type="expression" dxfId="130" priority="66">
      <formula>IF(CW25&gt;=CX25,IF(CW25="",FALSE,TRUE))</formula>
    </cfRule>
  </conditionalFormatting>
  <conditionalFormatting sqref="CW42:CW51">
    <cfRule type="expression" dxfId="129" priority="315">
      <formula>OR(IF(CW42&lt;CX42,TRUE),IF(AND(CX42="",CW42&lt;&gt;""),TRUE))</formula>
    </cfRule>
    <cfRule type="expression" dxfId="128" priority="316">
      <formula>IF(CW42&gt;=CX42,IF(CW42="",FALSE,TRUE))</formula>
    </cfRule>
  </conditionalFormatting>
  <conditionalFormatting sqref="DB5:DB22 DD5:DD22">
    <cfRule type="expression" dxfId="127" priority="189">
      <formula>OR(IF(DB5&lt;DC5,TRUE),IF(AND(DC5="",DB5&lt;&gt;""),TRUE))</formula>
    </cfRule>
    <cfRule type="expression" dxfId="126" priority="190">
      <formula>IF(DB5&gt;=DC5,IF(DB5="",FALSE,TRUE))</formula>
    </cfRule>
  </conditionalFormatting>
  <conditionalFormatting sqref="DB42:DB51">
    <cfRule type="expression" dxfId="125" priority="183">
      <formula>OR(IF(DB42&lt;DC42,TRUE),IF(AND(DC42="",DB42&lt;&gt;""),TRUE))</formula>
    </cfRule>
    <cfRule type="expression" dxfId="124" priority="184">
      <formula>IF(DB42&gt;=DC42,IF(DB42="",FALSE,TRUE))</formula>
    </cfRule>
  </conditionalFormatting>
  <conditionalFormatting sqref="DD42:DD51">
    <cfRule type="expression" dxfId="123" priority="181">
      <formula>OR(IF(DD42&lt;DE42,TRUE),IF(AND(DE42="",DD42&lt;&gt;""),TRUE))</formula>
    </cfRule>
    <cfRule type="expression" dxfId="122" priority="182">
      <formula>IF(DD42&gt;=DE42,IF(DD42="",FALSE,TRUE))</formula>
    </cfRule>
  </conditionalFormatting>
  <conditionalFormatting sqref="DI5:DI22">
    <cfRule type="expression" dxfId="121" priority="175">
      <formula>OR(IF(DI5&lt;DJ5,TRUE),IF(AND(DJ5="",DI5&lt;&gt;""),TRUE))</formula>
    </cfRule>
    <cfRule type="expression" dxfId="120" priority="176">
      <formula>IF(DI5&gt;=DJ5,IF(DI5="",FALSE,TRUE))</formula>
    </cfRule>
  </conditionalFormatting>
  <conditionalFormatting sqref="DI42:DI51">
    <cfRule type="expression" dxfId="119" priority="169">
      <formula>OR(IF(DI42&lt;DJ42,TRUE),IF(AND(DJ42="",DI42&lt;&gt;""),TRUE))</formula>
    </cfRule>
    <cfRule type="expression" dxfId="118" priority="170">
      <formula>IF(DI42&gt;=DJ42,IF(DI42="",FALSE,TRUE))</formula>
    </cfRule>
  </conditionalFormatting>
  <conditionalFormatting sqref="DK5">
    <cfRule type="expression" dxfId="117" priority="1043">
      <formula>OR(IF(DK5&lt;#REF!,TRUE),IF(AND(#REF!="",DK5&lt;&gt;""),TRUE))</formula>
    </cfRule>
    <cfRule type="expression" dxfId="116" priority="1044">
      <formula>IF(DK5&gt;=#REF!,IF(DK5="",FALSE,TRUE))</formula>
    </cfRule>
  </conditionalFormatting>
  <conditionalFormatting sqref="DK10">
    <cfRule type="expression" dxfId="115" priority="91">
      <formula>OR(IF(DK10&lt;#REF!,TRUE),IF(AND(#REF!="",DK10&lt;&gt;""),TRUE))</formula>
    </cfRule>
    <cfRule type="expression" dxfId="114" priority="92">
      <formula>IF(DK10&gt;=#REF!,IF(DK10="",FALSE,TRUE))</formula>
    </cfRule>
  </conditionalFormatting>
  <conditionalFormatting sqref="DK11:DK21">
    <cfRule type="expression" dxfId="113" priority="69">
      <formula>OR(IF(DK11&lt;#REF!,TRUE),IF(AND(#REF!="",DK11&lt;&gt;""),TRUE))</formula>
    </cfRule>
    <cfRule type="expression" dxfId="112" priority="70">
      <formula>IF(DK11&gt;=#REF!,IF(DK11="",FALSE,TRUE))</formula>
    </cfRule>
  </conditionalFormatting>
  <conditionalFormatting sqref="DK42:DK51">
    <cfRule type="expression" dxfId="111" priority="167">
      <formula>OR(IF(DK42&lt;DL42,TRUE),IF(AND(DL42="",DK42&lt;&gt;""),TRUE))</formula>
    </cfRule>
    <cfRule type="expression" dxfId="110" priority="168">
      <formula>IF(DK42&gt;=DL42,IF(DK42="",FALSE,TRUE))</formula>
    </cfRule>
  </conditionalFormatting>
  <conditionalFormatting sqref="DP5:DP22 DR5:DR22">
    <cfRule type="expression" dxfId="109" priority="161">
      <formula>OR(IF(DP5&lt;DQ5,TRUE),IF(AND(DQ5="",DP5&lt;&gt;""),TRUE))</formula>
    </cfRule>
    <cfRule type="expression" dxfId="108" priority="162">
      <formula>IF(DP5&gt;=DQ5,IF(DP5="",FALSE,TRUE))</formula>
    </cfRule>
  </conditionalFormatting>
  <conditionalFormatting sqref="DP42:DP51">
    <cfRule type="expression" dxfId="107" priority="155">
      <formula>OR(IF(DP42&lt;DQ42,TRUE),IF(AND(DQ42="",DP42&lt;&gt;""),TRUE))</formula>
    </cfRule>
    <cfRule type="expression" dxfId="106" priority="156">
      <formula>IF(DP42&gt;=DQ42,IF(DP42="",FALSE,TRUE))</formula>
    </cfRule>
  </conditionalFormatting>
  <conditionalFormatting sqref="DR42:DR51">
    <cfRule type="expression" dxfId="105" priority="153">
      <formula>OR(IF(DR42&lt;DS42,TRUE),IF(AND(DS42="",DR42&lt;&gt;""),TRUE))</formula>
    </cfRule>
    <cfRule type="expression" dxfId="104" priority="154">
      <formula>IF(DR42&gt;=DS42,IF(DR42="",FALSE,TRUE))</formula>
    </cfRule>
  </conditionalFormatting>
  <conditionalFormatting sqref="DW5:DW22 DY5:DY22">
    <cfRule type="expression" dxfId="103" priority="147">
      <formula>OR(IF(DW5&lt;DX5,TRUE),IF(AND(DX5="",DW5&lt;&gt;""),TRUE))</formula>
    </cfRule>
    <cfRule type="expression" dxfId="102" priority="148">
      <formula>IF(DW5&gt;=DX5,IF(DW5="",FALSE,TRUE))</formula>
    </cfRule>
  </conditionalFormatting>
  <conditionalFormatting sqref="DW42:DW51">
    <cfRule type="expression" dxfId="101" priority="141">
      <formula>OR(IF(DW42&lt;DX42,TRUE),IF(AND(DX42="",DW42&lt;&gt;""),TRUE))</formula>
    </cfRule>
    <cfRule type="expression" dxfId="100" priority="142">
      <formula>IF(DW42&gt;=DX42,IF(DW42="",FALSE,TRUE))</formula>
    </cfRule>
  </conditionalFormatting>
  <conditionalFormatting sqref="DY42:DY51">
    <cfRule type="expression" dxfId="99" priority="139">
      <formula>OR(IF(DY42&lt;DZ42,TRUE),IF(AND(DZ42="",DY42&lt;&gt;""),TRUE))</formula>
    </cfRule>
    <cfRule type="expression" dxfId="98" priority="140">
      <formula>IF(DY42&gt;=DZ42,IF(DY42="",FALSE,TRUE))</formula>
    </cfRule>
  </conditionalFormatting>
  <conditionalFormatting sqref="ED5:ED22 EF5:EF22">
    <cfRule type="expression" dxfId="97" priority="133">
      <formula>OR(IF(ED5&lt;EE5,TRUE),IF(AND(EE5="",ED5&lt;&gt;""),TRUE))</formula>
    </cfRule>
    <cfRule type="expression" dxfId="96" priority="134">
      <formula>IF(ED5&gt;=EE5,IF(ED5="",FALSE,TRUE))</formula>
    </cfRule>
  </conditionalFormatting>
  <conditionalFormatting sqref="ED42:ED51">
    <cfRule type="expression" dxfId="95" priority="127">
      <formula>OR(IF(ED42&lt;EE42,TRUE),IF(AND(EE42="",ED42&lt;&gt;""),TRUE))</formula>
    </cfRule>
    <cfRule type="expression" dxfId="94" priority="128">
      <formula>IF(ED42&gt;=EE42,IF(ED42="",FALSE,TRUE))</formula>
    </cfRule>
  </conditionalFormatting>
  <conditionalFormatting sqref="EF42:EF51">
    <cfRule type="expression" dxfId="93" priority="125">
      <formula>OR(IF(EF42&lt;EG42,TRUE),IF(AND(EG42="",EF42&lt;&gt;""),TRUE))</formula>
    </cfRule>
    <cfRule type="expression" dxfId="92" priority="126">
      <formula>IF(EF42&gt;=EG42,IF(EF42="",FALSE,TRUE))</formula>
    </cfRule>
  </conditionalFormatting>
  <conditionalFormatting sqref="EK5:EK22 EM5:EM22">
    <cfRule type="expression" dxfId="91" priority="119">
      <formula>OR(IF(EK5&lt;EL5,TRUE),IF(AND(EL5="",EK5&lt;&gt;""),TRUE))</formula>
    </cfRule>
    <cfRule type="expression" dxfId="90" priority="120">
      <formula>IF(EK5&gt;=EL5,IF(EK5="",FALSE,TRUE))</formula>
    </cfRule>
  </conditionalFormatting>
  <conditionalFormatting sqref="EK42:EK51">
    <cfRule type="expression" dxfId="89" priority="113">
      <formula>OR(IF(EK42&lt;EL42,TRUE),IF(AND(EL42="",EK42&lt;&gt;""),TRUE))</formula>
    </cfRule>
    <cfRule type="expression" dxfId="88" priority="114">
      <formula>IF(EK42&gt;=EL42,IF(EK42="",FALSE,TRUE))</formula>
    </cfRule>
  </conditionalFormatting>
  <conditionalFormatting sqref="EM42:EM51">
    <cfRule type="expression" dxfId="87" priority="111">
      <formula>OR(IF(EM42&lt;EN42,TRUE),IF(AND(EN42="",EM42&lt;&gt;""),TRUE))</formula>
    </cfRule>
    <cfRule type="expression" dxfId="86" priority="112">
      <formula>IF(EM42&gt;=EN42,IF(EM42="",FALSE,TRUE))</formula>
    </cfRule>
  </conditionalFormatting>
  <conditionalFormatting sqref="ER5:ER22 ET5:ET22">
    <cfRule type="expression" dxfId="85" priority="105">
      <formula>OR(IF(ER5&lt;ES5,TRUE),IF(AND(ES5="",ER5&lt;&gt;""),TRUE))</formula>
    </cfRule>
    <cfRule type="expression" dxfId="84" priority="106">
      <formula>IF(ER5&gt;=ES5,IF(ER5="",FALSE,TRUE))</formula>
    </cfRule>
  </conditionalFormatting>
  <conditionalFormatting sqref="ER42:ER51">
    <cfRule type="expression" dxfId="83" priority="99">
      <formula>OR(IF(ER42&lt;ES42,TRUE),IF(AND(ES42="",ER42&lt;&gt;""),TRUE))</formula>
    </cfRule>
    <cfRule type="expression" dxfId="82" priority="100">
      <formula>IF(ER42&gt;=ES42,IF(ER42="",FALSE,TRUE))</formula>
    </cfRule>
  </conditionalFormatting>
  <conditionalFormatting sqref="ET42:ET51">
    <cfRule type="expression" dxfId="81" priority="97">
      <formula>OR(IF(ET42&lt;EU42,TRUE),IF(AND(EU42="",ET42&lt;&gt;""),TRUE))</formula>
    </cfRule>
    <cfRule type="expression" dxfId="80" priority="98">
      <formula>IF(ET42&gt;=EU42,IF(ET42="",FALSE,TRUE))</formula>
    </cfRule>
  </conditionalFormatting>
  <conditionalFormatting sqref="CG42:CG51">
    <cfRule type="expression" dxfId="79" priority="63">
      <formula>OR(IF(CG42&lt;CH42,TRUE),IF(AND(CH42="",CG42&lt;&gt;""),TRUE))</formula>
    </cfRule>
    <cfRule type="expression" dxfId="78" priority="64">
      <formula>IF(CG42&gt;=CH42,IF(CG42="",FALSE,TRUE))</formula>
    </cfRule>
  </conditionalFormatting>
  <conditionalFormatting sqref="CI42:CI51">
    <cfRule type="expression" dxfId="77" priority="61">
      <formula>OR(IF(CI42&lt;CJ42,TRUE),IF(AND(CJ42="",CI42&lt;&gt;""),TRUE))</formula>
    </cfRule>
    <cfRule type="expression" dxfId="76" priority="62">
      <formula>IF(CI42&gt;=CJ42,IF(CI42="",FALSE,TRUE))</formula>
    </cfRule>
  </conditionalFormatting>
  <conditionalFormatting sqref="BZ42:BZ51">
    <cfRule type="expression" dxfId="75" priority="59">
      <formula>OR(IF(BZ42&lt;CA42,TRUE),IF(AND(CA42="",BZ42&lt;&gt;""),TRUE))</formula>
    </cfRule>
    <cfRule type="expression" dxfId="74" priority="60">
      <formula>IF(BZ42&gt;=CA42,IF(BZ42="",FALSE,TRUE))</formula>
    </cfRule>
  </conditionalFormatting>
  <conditionalFormatting sqref="CB42:CB51">
    <cfRule type="expression" dxfId="73" priority="57">
      <formula>OR(IF(CB42&lt;CC42,TRUE),IF(AND(CC42="",CB42&lt;&gt;""),TRUE))</formula>
    </cfRule>
    <cfRule type="expression" dxfId="72" priority="58">
      <formula>IF(CB42&gt;=CC42,IF(CB42="",FALSE,TRUE))</formula>
    </cfRule>
  </conditionalFormatting>
  <conditionalFormatting sqref="BZ5:BZ22 CB5:CB22">
    <cfRule type="expression" dxfId="71" priority="55">
      <formula>OR(IF(BZ5&lt;CA5,TRUE),IF(AND(CA5="",BZ5&lt;&gt;""),TRUE))</formula>
    </cfRule>
    <cfRule type="expression" dxfId="70" priority="56">
      <formula>IF(BZ5&gt;=CA5,IF(BZ5="",FALSE,TRUE))</formula>
    </cfRule>
  </conditionalFormatting>
  <conditionalFormatting sqref="BS42:BS51">
    <cfRule type="expression" dxfId="69" priority="53">
      <formula>OR(IF(BS42&lt;BT42,TRUE),IF(AND(BT42="",BS42&lt;&gt;""),TRUE))</formula>
    </cfRule>
    <cfRule type="expression" dxfId="68" priority="54">
      <formula>IF(BS42&gt;=BT42,IF(BS42="",FALSE,TRUE))</formula>
    </cfRule>
  </conditionalFormatting>
  <conditionalFormatting sqref="BU42:BU51">
    <cfRule type="expression" dxfId="67" priority="51">
      <formula>OR(IF(BU42&lt;BV42,TRUE),IF(AND(BV42="",BU42&lt;&gt;""),TRUE))</formula>
    </cfRule>
    <cfRule type="expression" dxfId="66" priority="52">
      <formula>IF(BU42&gt;=BV42,IF(BU42="",FALSE,TRUE))</formula>
    </cfRule>
  </conditionalFormatting>
  <conditionalFormatting sqref="BS5:BS22 BU5:BU22">
    <cfRule type="expression" dxfId="65" priority="49">
      <formula>OR(IF(BS5&lt;BT5,TRUE),IF(AND(BT5="",BS5&lt;&gt;""),TRUE))</formula>
    </cfRule>
    <cfRule type="expression" dxfId="64" priority="50">
      <formula>IF(BS5&gt;=BT5,IF(BS5="",FALSE,TRUE))</formula>
    </cfRule>
  </conditionalFormatting>
  <conditionalFormatting sqref="BL42:BL51">
    <cfRule type="expression" dxfId="63" priority="47">
      <formula>OR(IF(BL42&lt;BM42,TRUE),IF(AND(BM42="",BL42&lt;&gt;""),TRUE))</formula>
    </cfRule>
    <cfRule type="expression" dxfId="62" priority="48">
      <formula>IF(BL42&gt;=BM42,IF(BL42="",FALSE,TRUE))</formula>
    </cfRule>
  </conditionalFormatting>
  <conditionalFormatting sqref="BN42:BN51">
    <cfRule type="expression" dxfId="61" priority="45">
      <formula>OR(IF(BN42&lt;BO42,TRUE),IF(AND(BO42="",BN42&lt;&gt;""),TRUE))</formula>
    </cfRule>
    <cfRule type="expression" dxfId="60" priority="46">
      <formula>IF(BN42&gt;=BO42,IF(BN42="",FALSE,TRUE))</formula>
    </cfRule>
  </conditionalFormatting>
  <conditionalFormatting sqref="BL5:BL22 BN5:BN22">
    <cfRule type="expression" dxfId="59" priority="43">
      <formula>OR(IF(BL5&lt;BM5,TRUE),IF(AND(BM5="",BL5&lt;&gt;""),TRUE))</formula>
    </cfRule>
    <cfRule type="expression" dxfId="58" priority="44">
      <formula>IF(BL5&gt;=BM5,IF(BL5="",FALSE,TRUE))</formula>
    </cfRule>
  </conditionalFormatting>
  <conditionalFormatting sqref="BE42:BE51">
    <cfRule type="expression" dxfId="57" priority="41">
      <formula>OR(IF(BE42&lt;BF42,TRUE),IF(AND(BF42="",BE42&lt;&gt;""),TRUE))</formula>
    </cfRule>
    <cfRule type="expression" dxfId="56" priority="42">
      <formula>IF(BE42&gt;=BF42,IF(BE42="",FALSE,TRUE))</formula>
    </cfRule>
  </conditionalFormatting>
  <conditionalFormatting sqref="BG42:BG51">
    <cfRule type="expression" dxfId="55" priority="39">
      <formula>OR(IF(BG42&lt;BH42,TRUE),IF(AND(BH42="",BG42&lt;&gt;""),TRUE))</formula>
    </cfRule>
    <cfRule type="expression" dxfId="54" priority="40">
      <formula>IF(BG42&gt;=BH42,IF(BG42="",FALSE,TRUE))</formula>
    </cfRule>
  </conditionalFormatting>
  <conditionalFormatting sqref="BE5:BE22 BG5:BG22">
    <cfRule type="expression" dxfId="53" priority="37">
      <formula>OR(IF(BE5&lt;BF5,TRUE),IF(AND(BF5="",BE5&lt;&gt;""),TRUE))</formula>
    </cfRule>
    <cfRule type="expression" dxfId="52" priority="38">
      <formula>IF(BE5&gt;=BF5,IF(BE5="",FALSE,TRUE))</formula>
    </cfRule>
  </conditionalFormatting>
  <conditionalFormatting sqref="AX42:AX50">
    <cfRule type="expression" dxfId="51" priority="35">
      <formula>OR(IF(AX42&lt;AY42,TRUE),IF(AND(AY42="",AX42&lt;&gt;""),TRUE))</formula>
    </cfRule>
    <cfRule type="expression" dxfId="50" priority="36">
      <formula>IF(AX42&gt;=AY42,IF(AX42="",FALSE,TRUE))</formula>
    </cfRule>
  </conditionalFormatting>
  <conditionalFormatting sqref="AZ42:AZ50">
    <cfRule type="expression" dxfId="49" priority="33">
      <formula>OR(IF(AZ42&lt;BA42,TRUE),IF(AND(BA42="",AZ42&lt;&gt;""),TRUE))</formula>
    </cfRule>
    <cfRule type="expression" dxfId="48" priority="34">
      <formula>IF(AZ42&gt;=BA42,IF(AZ42="",FALSE,TRUE))</formula>
    </cfRule>
  </conditionalFormatting>
  <conditionalFormatting sqref="AX5:AX21 AZ5:AZ21">
    <cfRule type="expression" dxfId="47" priority="31">
      <formula>OR(IF(AX5&lt;AY5,TRUE),IF(AND(AY5="",AX5&lt;&gt;""),TRUE))</formula>
    </cfRule>
    <cfRule type="expression" dxfId="46" priority="32">
      <formula>IF(AX5&gt;=AY5,IF(AX5="",FALSE,TRUE))</formula>
    </cfRule>
  </conditionalFormatting>
  <conditionalFormatting sqref="AQ42:AQ49">
    <cfRule type="expression" dxfId="45" priority="29">
      <formula>OR(IF(AQ42&lt;AR42,TRUE),IF(AND(AR42="",AQ42&lt;&gt;""),TRUE))</formula>
    </cfRule>
    <cfRule type="expression" dxfId="44" priority="30">
      <formula>IF(AQ42&gt;=AR42,IF(AQ42="",FALSE,TRUE))</formula>
    </cfRule>
  </conditionalFormatting>
  <conditionalFormatting sqref="AS42:AS49">
    <cfRule type="expression" dxfId="43" priority="27">
      <formula>OR(IF(AS42&lt;AT42,TRUE),IF(AND(AT42="",AS42&lt;&gt;""),TRUE))</formula>
    </cfRule>
    <cfRule type="expression" dxfId="42" priority="28">
      <formula>IF(AS42&gt;=AT42,IF(AS42="",FALSE,TRUE))</formula>
    </cfRule>
  </conditionalFormatting>
  <conditionalFormatting sqref="AQ5:AQ18 AS5:AS18">
    <cfRule type="expression" dxfId="41" priority="25">
      <formula>OR(IF(AQ5&lt;AR5,TRUE),IF(AND(AR5="",AQ5&lt;&gt;""),TRUE))</formula>
    </cfRule>
    <cfRule type="expression" dxfId="40" priority="26">
      <formula>IF(AQ5&gt;=AR5,IF(AQ5="",FALSE,TRUE))</formula>
    </cfRule>
  </conditionalFormatting>
  <conditionalFormatting sqref="AJ42:AJ48">
    <cfRule type="expression" dxfId="39" priority="23">
      <formula>OR(IF(AJ42&lt;AK42,TRUE),IF(AND(AK42="",AJ42&lt;&gt;""),TRUE))</formula>
    </cfRule>
    <cfRule type="expression" dxfId="38" priority="24">
      <formula>IF(AJ42&gt;=AK42,IF(AJ42="",FALSE,TRUE))</formula>
    </cfRule>
  </conditionalFormatting>
  <conditionalFormatting sqref="AL42:AL48">
    <cfRule type="expression" dxfId="37" priority="21">
      <formula>OR(IF(AL42&lt;AM42,TRUE),IF(AND(AM42="",AL42&lt;&gt;""),TRUE))</formula>
    </cfRule>
    <cfRule type="expression" dxfId="36" priority="22">
      <formula>IF(AL42&gt;=AM42,IF(AL42="",FALSE,TRUE))</formula>
    </cfRule>
  </conditionalFormatting>
  <conditionalFormatting sqref="AJ5:AJ16 AL5:AL16">
    <cfRule type="expression" dxfId="35" priority="19">
      <formula>OR(IF(AJ5&lt;AK5,TRUE),IF(AND(AK5="",AJ5&lt;&gt;""),TRUE))</formula>
    </cfRule>
    <cfRule type="expression" dxfId="34" priority="20">
      <formula>IF(AJ5&gt;=AK5,IF(AJ5="",FALSE,TRUE))</formula>
    </cfRule>
  </conditionalFormatting>
  <conditionalFormatting sqref="AC42:AC46">
    <cfRule type="expression" dxfId="33" priority="17">
      <formula>OR(IF(AC42&lt;AD42,TRUE),IF(AND(AD42="",AC42&lt;&gt;""),TRUE))</formula>
    </cfRule>
    <cfRule type="expression" dxfId="32" priority="18">
      <formula>IF(AC42&gt;=AD42,IF(AC42="",FALSE,TRUE))</formula>
    </cfRule>
  </conditionalFormatting>
  <conditionalFormatting sqref="AE42:AE46">
    <cfRule type="expression" dxfId="31" priority="15">
      <formula>OR(IF(AE42&lt;AF42,TRUE),IF(AND(AF42="",AE42&lt;&gt;""),TRUE))</formula>
    </cfRule>
    <cfRule type="expression" dxfId="30" priority="16">
      <formula>IF(AE42&gt;=AF42,IF(AE42="",FALSE,TRUE))</formula>
    </cfRule>
  </conditionalFormatting>
  <conditionalFormatting sqref="AC5:AC13 AE5:AE13">
    <cfRule type="expression" dxfId="17" priority="13">
      <formula>OR(IF(AC5&lt;AD5,TRUE),IF(AND(AD5="",AC5&lt;&gt;""),TRUE))</formula>
    </cfRule>
    <cfRule type="expression" dxfId="16" priority="14">
      <formula>IF(AC5&gt;=AD5,IF(AC5="",FALSE,TRUE))</formula>
    </cfRule>
  </conditionalFormatting>
  <conditionalFormatting sqref="V42:V45">
    <cfRule type="expression" dxfId="15" priority="11">
      <formula>OR(IF(V42&lt;W42,TRUE),IF(AND(W42="",V42&lt;&gt;""),TRUE))</formula>
    </cfRule>
    <cfRule type="expression" dxfId="14" priority="12">
      <formula>IF(V42&gt;=W42,IF(V42="",FALSE,TRUE))</formula>
    </cfRule>
  </conditionalFormatting>
  <conditionalFormatting sqref="X42:X45">
    <cfRule type="expression" dxfId="13" priority="9">
      <formula>OR(IF(X42&lt;Y42,TRUE),IF(AND(Y42="",X42&lt;&gt;""),TRUE))</formula>
    </cfRule>
    <cfRule type="expression" dxfId="12" priority="10">
      <formula>IF(X42&gt;=Y42,IF(X42="",FALSE,TRUE))</formula>
    </cfRule>
  </conditionalFormatting>
  <conditionalFormatting sqref="V5:V11 X5:X11">
    <cfRule type="expression" dxfId="9" priority="7">
      <formula>OR(IF(V5&lt;W5,TRUE),IF(AND(W5="",V5&lt;&gt;""),TRUE))</formula>
    </cfRule>
    <cfRule type="expression" dxfId="8" priority="8">
      <formula>IF(V5&gt;=W5,IF(V5="",FALSE,TRUE))</formula>
    </cfRule>
  </conditionalFormatting>
  <conditionalFormatting sqref="O42:O44">
    <cfRule type="expression" dxfId="5" priority="5">
      <formula>OR(IF(O42&lt;P42,TRUE),IF(AND(P42="",O42&lt;&gt;""),TRUE))</formula>
    </cfRule>
    <cfRule type="expression" dxfId="4" priority="6">
      <formula>IF(O42&gt;=P42,IF(O42="",FALSE,TRUE))</formula>
    </cfRule>
  </conditionalFormatting>
  <conditionalFormatting sqref="Q42:Q44">
    <cfRule type="expression" dxfId="3" priority="3">
      <formula>OR(IF(Q42&lt;R42,TRUE),IF(AND(R42="",Q42&lt;&gt;""),TRUE))</formula>
    </cfRule>
    <cfRule type="expression" dxfId="2" priority="4">
      <formula>IF(Q42&gt;=R42,IF(Q42="",FALSE,TRUE))</formula>
    </cfRule>
  </conditionalFormatting>
  <conditionalFormatting sqref="O5:O10 Q5:Q10">
    <cfRule type="expression" dxfId="1" priority="1">
      <formula>OR(IF(O5&lt;P5,TRUE),IF(AND(P5="",O5&lt;&gt;""),TRUE))</formula>
    </cfRule>
    <cfRule type="expression" dxfId="0" priority="2">
      <formula>IF(O5&gt;=P5,IF(O5="",FALSE,TRUE))</formula>
    </cfRule>
  </conditionalFormatting>
  <dataValidations count="1">
    <dataValidation type="list" allowBlank="1" showInputMessage="1" showErrorMessage="1" sqref="BL25:BO30 O42:R51 BE42:BH51 AQ33:AT39 AQ42:AT51 AJ42:AM51 AC42:AF51 BZ5:CC22 CG25:CJ30 BE33:BH39 V5:Y22 CG54:CJ67 AJ71:AM76 CU33:CX39 BZ54:CC67 CG71:CJ76 CU54:CX67 CU42:CX51 AQ54:AT67 CG42:CJ51 CN54:CQ67 BL5:BO22 BS5:BV22 BE5:BH22 AJ5:AM22 AC5:AF13 DI71:DL76 AJ25:AM30 DB33:DE39 DI33:DL39 DP33:DS39 DP71:DS76 DW33:DZ39 DW71:DZ76 ED33:EG39 ED71:EG76 EK33:EN39 EK71:EN76 ER33:EU39 V33:Y39 ER42:EU51 ER71:EU76 V25:Y30 V42:Y51 AQ25:AT30 AX25:BA30 BE54:BH67 BL33:BO39 O25:R30 BZ25:CC30 BS33:BV39 CN33:CQ39 CN42:CQ51 CU5:CX22 DI5:DL22 DB5:DE22 DP5:DS22 DW5:DZ22 ED5:EG22 EK5:EN22 ER5:EU22 DI25:DL30 DB25:DE30 ER25:EU30 EK25:EN30 ED25:EG30 DW25:DZ30 DP25:DS30 O33:R39 BZ42:CC51 CN25:CQ30 CG5:CJ22 BS25:BV30 BS42:BV51 BL42:BO51 AX33:BA39 AX42:BA51 AJ33:AM39 AC33:AF39 BL54:BO67 O54:R67 AX54:BA67 BE71:BH76 AQ71:AT76 AJ54:AM67 AC54:AF67 V54:Y67 BS54:BV67 BZ71:CC76 CG33:CJ39 CN5:CQ22 DB54:DE67 DI42:DL51 DP42:DS51 DW42:DZ51 ED42:EG51 EK42:EN51 DB42:DE51 ER54:EU67 EK54:EN67 ED54:EG67 DW54:DZ67 DP54:DS67 DI54:DL67 AQ5:AT22 DB71:DE76 CU71:CX76 BZ33:CC39 BS71:BV76 O71:R76 V71:Y76 AC71:AF76 AX5:BA22 BE25:BH30 AX71:BA76 BL71:BO76 CN71:CQ76 CU25:CX30 AC25:AF30 AC15:AF22 O5:R22"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25" defaultRowHeight="15.75"/>
  <cols>
    <col min="2" max="2" width="161" customWidth="1"/>
    <col min="3" max="3" width="10.875"/>
  </cols>
  <sheetData>
    <row r="4" spans="2:2" ht="21">
      <c r="B4" s="3" t="s">
        <v>16</v>
      </c>
    </row>
    <row r="6" spans="2:2">
      <c r="B6" s="2" t="s">
        <v>13</v>
      </c>
    </row>
    <row r="7" spans="2:2" ht="47.25">
      <c r="B7" s="1" t="s">
        <v>14</v>
      </c>
    </row>
    <row r="9" spans="2:2">
      <c r="B9" s="2" t="s">
        <v>15</v>
      </c>
    </row>
    <row r="10" spans="2:2" ht="63">
      <c r="B10" s="1" t="s">
        <v>36</v>
      </c>
    </row>
    <row r="12" spans="2:2">
      <c r="B12" s="2" t="s">
        <v>17</v>
      </c>
    </row>
    <row r="13" spans="2:2" ht="126">
      <c r="B13" s="1" t="s">
        <v>18</v>
      </c>
    </row>
    <row r="15" spans="2:2">
      <c r="B15" s="2" t="s">
        <v>19</v>
      </c>
    </row>
    <row r="16" spans="2:2" ht="110.25">
      <c r="B16" s="1" t="s">
        <v>20</v>
      </c>
    </row>
    <row r="17" spans="2:2">
      <c r="B17" s="1"/>
    </row>
    <row r="18" spans="2:2">
      <c r="B18" s="2" t="s">
        <v>35</v>
      </c>
    </row>
    <row r="19" spans="2:2" ht="141.75">
      <c r="B19" s="1" t="s">
        <v>37</v>
      </c>
    </row>
    <row r="21" spans="2:2">
      <c r="B21" s="2" t="s">
        <v>21</v>
      </c>
    </row>
    <row r="22" spans="2:2" ht="110.25">
      <c r="B22" s="1" t="s">
        <v>38</v>
      </c>
    </row>
    <row r="24" spans="2:2">
      <c r="B24" s="2" t="s">
        <v>22</v>
      </c>
    </row>
    <row r="25" spans="2:2" ht="12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6" sqref="J6"/>
    </sheetView>
  </sheetViews>
  <sheetFormatPr baseColWidth="10" defaultColWidth="10.625" defaultRowHeight="15.75"/>
  <cols>
    <col min="1" max="1" width="16.875" style="9" customWidth="1"/>
    <col min="2" max="2" width="19.125" style="9" customWidth="1"/>
    <col min="3" max="3" width="18.125" style="9" customWidth="1"/>
    <col min="4" max="4" width="19.5" style="9" customWidth="1"/>
    <col min="8" max="8" width="15.125" customWidth="1"/>
    <col min="10" max="10" width="42" customWidth="1"/>
    <col min="11" max="11" width="28.5" customWidth="1"/>
  </cols>
  <sheetData>
    <row r="1" spans="1:11" ht="31.5">
      <c r="A1" s="9" t="s">
        <v>42</v>
      </c>
      <c r="B1" s="15" t="s">
        <v>39</v>
      </c>
      <c r="C1" s="15" t="s">
        <v>40</v>
      </c>
      <c r="D1" s="15" t="s">
        <v>41</v>
      </c>
      <c r="E1" s="1" t="s">
        <v>43</v>
      </c>
      <c r="F1" s="1" t="s">
        <v>44</v>
      </c>
      <c r="G1" s="1" t="s">
        <v>45</v>
      </c>
      <c r="H1" s="1" t="s">
        <v>46</v>
      </c>
      <c r="I1" s="1" t="s">
        <v>47</v>
      </c>
      <c r="J1" s="1" t="s">
        <v>48</v>
      </c>
      <c r="K1" s="1" t="s">
        <v>49</v>
      </c>
    </row>
    <row r="2" spans="1:11">
      <c r="A2" s="14">
        <v>45579</v>
      </c>
      <c r="B2" s="9" t="s">
        <v>175</v>
      </c>
      <c r="C2" s="9" t="s">
        <v>176</v>
      </c>
      <c r="D2" s="11">
        <v>0.8</v>
      </c>
    </row>
    <row r="3" spans="1:11">
      <c r="A3" s="14">
        <v>45580</v>
      </c>
      <c r="C3" s="9" t="s">
        <v>176</v>
      </c>
    </row>
    <row r="4" spans="1:11">
      <c r="A4" s="14">
        <v>45581</v>
      </c>
    </row>
    <row r="5" spans="1:11">
      <c r="A5" s="14">
        <v>45582</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29" priority="4" operator="equal">
      <formula>"Ja"</formula>
    </cfRule>
    <cfRule type="cellIs" dxfId="28" priority="14" operator="equal">
      <formula>"Ja"</formula>
    </cfRule>
    <cfRule type="cellIs" dxfId="27" priority="15" operator="equal">
      <formula>"Nein"</formula>
    </cfRule>
  </conditionalFormatting>
  <conditionalFormatting sqref="C2:C46">
    <cfRule type="cellIs" dxfId="26" priority="1" operator="equal">
      <formula>"Ja"</formula>
    </cfRule>
    <cfRule type="cellIs" dxfId="25" priority="2" operator="equal">
      <formula>"Ja"</formula>
    </cfRule>
    <cfRule type="cellIs" dxfId="24" priority="3" operator="equal">
      <formula>"Nein"</formula>
    </cfRule>
  </conditionalFormatting>
  <conditionalFormatting sqref="D2">
    <cfRule type="cellIs" dxfId="23" priority="6" operator="equal">
      <formula>1</formula>
    </cfRule>
    <cfRule type="cellIs" dxfId="22" priority="7" operator="equal">
      <formula>0.8</formula>
    </cfRule>
    <cfRule type="cellIs" dxfId="21" priority="8" operator="equal">
      <formula>0.6</formula>
    </cfRule>
    <cfRule type="cellIs" dxfId="20" priority="9" operator="equal">
      <formula>0.4</formula>
    </cfRule>
    <cfRule type="cellIs" dxfId="19" priority="10" operator="equal">
      <formula>0.2</formula>
    </cfRule>
    <cfRule type="cellIs" dxfId="18"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3" zoomScale="117" workbookViewId="0">
      <selection activeCell="C10" sqref="C9:C10"/>
    </sheetView>
  </sheetViews>
  <sheetFormatPr baseColWidth="10" defaultColWidth="10.625" defaultRowHeight="15.75"/>
  <sheetData>
    <row r="1" spans="1:8" ht="26.2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c r="B10" s="16"/>
    </row>
    <row r="11" spans="1:8">
      <c r="A11" s="8">
        <v>0.29166666666666702</v>
      </c>
      <c r="B11" s="16"/>
    </row>
    <row r="12" spans="1:8">
      <c r="A12" s="8">
        <v>0.3125</v>
      </c>
      <c r="B12" s="22"/>
    </row>
    <row r="13" spans="1:8">
      <c r="A13" s="8">
        <v>0.33333333333333398</v>
      </c>
      <c r="B13" s="22"/>
    </row>
    <row r="14" spans="1:8">
      <c r="A14" s="8">
        <v>0.35416666666666702</v>
      </c>
      <c r="B14" s="22"/>
    </row>
    <row r="15" spans="1:8">
      <c r="A15" s="8">
        <v>0.375</v>
      </c>
      <c r="B15" s="21"/>
    </row>
    <row r="16" spans="1:8">
      <c r="A16" s="8">
        <v>0.39583333333333398</v>
      </c>
      <c r="B16" s="21"/>
    </row>
    <row r="17" spans="1:2">
      <c r="A17" s="8">
        <v>0.41666666666666702</v>
      </c>
      <c r="B17" s="21"/>
    </row>
    <row r="18" spans="1:2">
      <c r="A18" s="8">
        <v>0.4375</v>
      </c>
      <c r="B18" s="21"/>
    </row>
    <row r="19" spans="1:2">
      <c r="A19" s="8">
        <v>0.45833333333333398</v>
      </c>
      <c r="B19" s="21"/>
    </row>
    <row r="20" spans="1:2">
      <c r="A20" s="8">
        <v>0.47916666666666702</v>
      </c>
      <c r="B20" s="21"/>
    </row>
    <row r="21" spans="1:2">
      <c r="A21" s="8">
        <v>0.5</v>
      </c>
      <c r="B21" s="21"/>
    </row>
    <row r="22" spans="1:2">
      <c r="A22" s="8">
        <v>0.52083333333333404</v>
      </c>
      <c r="B22" s="21"/>
    </row>
    <row r="23" spans="1:2">
      <c r="A23" s="8">
        <v>0.54166666666666696</v>
      </c>
      <c r="B23" s="21"/>
    </row>
    <row r="24" spans="1:2">
      <c r="A24" s="8">
        <v>0.5625</v>
      </c>
      <c r="B24" s="21"/>
    </row>
    <row r="25" spans="1:2">
      <c r="A25" s="8">
        <v>0.58333333333333404</v>
      </c>
      <c r="B25" s="21"/>
    </row>
    <row r="26" spans="1:2">
      <c r="A26" s="8">
        <v>0.60416666666666696</v>
      </c>
      <c r="B26" s="21"/>
    </row>
    <row r="27" spans="1:2">
      <c r="A27" s="8">
        <v>0.625000000000001</v>
      </c>
      <c r="B27" s="21"/>
    </row>
    <row r="28" spans="1:2">
      <c r="A28" s="8">
        <v>0.64583333333333404</v>
      </c>
      <c r="B28" s="21"/>
    </row>
    <row r="29" spans="1:2">
      <c r="A29" s="8">
        <v>0.66666666666666696</v>
      </c>
    </row>
    <row r="30" spans="1:2">
      <c r="A30" s="8">
        <v>0.687500000000001</v>
      </c>
    </row>
    <row r="31" spans="1:2">
      <c r="A31" s="8">
        <v>0.70833333333333404</v>
      </c>
    </row>
    <row r="32" spans="1:2">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25" defaultRowHeight="15.75"/>
  <sheetData>
    <row r="1" spans="1:8" ht="26.2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55EED7012CFED14A94766B5010E938D1" ma:contentTypeVersion="5" ma:contentTypeDescription="Ein neues Dokument erstellen." ma:contentTypeScope="" ma:versionID="92819cdac81c905d5f9bed14cb0398a2">
  <xsd:schema xmlns:xsd="http://www.w3.org/2001/XMLSchema" xmlns:xs="http://www.w3.org/2001/XMLSchema" xmlns:p="http://schemas.microsoft.com/office/2006/metadata/properties" xmlns:ns3="bbf32649-266f-4973-a21a-9480468235ce" targetNamespace="http://schemas.microsoft.com/office/2006/metadata/properties" ma:root="true" ma:fieldsID="16dc1a48bff010b55e97d8cc2c9ac0d0" ns3:_="">
    <xsd:import namespace="bbf32649-266f-4973-a21a-9480468235c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f32649-266f-4973-a21a-9480468235c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CC807B-B00B-44DB-8F65-5BFBDFA89E5A}">
  <ds:schemaRefs>
    <ds:schemaRef ds:uri="http://www.w3.org/XML/1998/namespace"/>
    <ds:schemaRef ds:uri="http://purl.org/dc/dcmitype/"/>
    <ds:schemaRef ds:uri="http://schemas.microsoft.com/office/2006/documentManagement/types"/>
    <ds:schemaRef ds:uri="bbf32649-266f-4973-a21a-9480468235ce"/>
    <ds:schemaRef ds:uri="http://purl.org/dc/elements/1.1/"/>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14B04503-561B-4A11-9AC8-32083A04BD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f32649-266f-4973-a21a-9480468235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47A0A1E-C9C0-4641-BFC2-06FC107706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42</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Adem Osman Bostanci</cp:lastModifiedBy>
  <dcterms:created xsi:type="dcterms:W3CDTF">2020-04-19T13:33:28Z</dcterms:created>
  <dcterms:modified xsi:type="dcterms:W3CDTF">2024-10-14T23:06:42Z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0x01010055EED7012CFED14A94766B5010E938D1</vt:lpwstr>
  </property>
</Properties>
</file>