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9"/>
  <workbookPr defaultThemeVersion="166925"/>
  <mc:AlternateContent xmlns:mc="http://schemas.openxmlformats.org/markup-compatibility/2006">
    <mc:Choice Requires="x15">
      <x15ac:absPath xmlns:x15ac="http://schemas.microsoft.com/office/spreadsheetml/2010/11/ac" url="/Users/niklas/Downloads/"/>
    </mc:Choice>
  </mc:AlternateContent>
  <xr:revisionPtr revIDLastSave="0" documentId="13_ncr:1_{7BC905E8-1147-EE40-99A7-48082566033D}" xr6:coauthVersionLast="47" xr6:coauthVersionMax="47" xr10:uidLastSave="{00000000-0000-0000-0000-000000000000}"/>
  <bookViews>
    <workbookView xWindow="0" yWindow="500" windowWidth="28800" windowHeight="16540" activeTab="1" xr2:uid="{50F29292-BE80-0C47-A0D2-DD086CB3D310}"/>
  </bookViews>
  <sheets>
    <sheet name="ANLEITUNG" sheetId="10" r:id="rId1"/>
    <sheet name="Semesterplan" sheetId="7" r:id="rId2"/>
    <sheet name="Best-Practices" sheetId="2" r:id="rId3"/>
    <sheet name="COMMITTMENT" sheetId="9" r:id="rId4"/>
    <sheet name="Wochenplan KW 19" sheetId="3" r:id="rId5"/>
    <sheet name="Wochenplan KW 20" sheetId="8" r:id="rId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C11" i="10" l="1"/>
  <c r="C7" i="10"/>
  <c r="G14" i="7"/>
  <c r="EJ4" i="7" l="1"/>
  <c r="EC4" i="7"/>
  <c r="DV4" i="7"/>
  <c r="DO4" i="7"/>
  <c r="DH4" i="7"/>
  <c r="K6" i="7" a="1"/>
  <c r="K6" i="7" s="1"/>
  <c r="J6" i="7" a="1"/>
  <c r="J6" i="7" s="1"/>
  <c r="I6" i="7"/>
  <c r="K7" i="7" a="1"/>
  <c r="K7" i="7" s="1"/>
  <c r="J7" i="7" a="1"/>
  <c r="J7" i="7" s="1"/>
  <c r="I7" i="7"/>
  <c r="K39" i="7" a="1"/>
  <c r="K39" i="7" s="1"/>
  <c r="J39" i="7" a="1"/>
  <c r="J39" i="7" s="1"/>
  <c r="I39" i="7"/>
  <c r="K40" i="7" a="1"/>
  <c r="K40" i="7" s="1"/>
  <c r="J40" i="7" a="1"/>
  <c r="J40" i="7" s="1"/>
  <c r="I40" i="7"/>
  <c r="K41" i="7" a="1"/>
  <c r="K41" i="7" s="1"/>
  <c r="J41" i="7" a="1"/>
  <c r="J41" i="7" s="1"/>
  <c r="I41" i="7"/>
  <c r="K42" i="7" a="1"/>
  <c r="K42" i="7" s="1"/>
  <c r="J42" i="7" a="1"/>
  <c r="J42" i="7" s="1"/>
  <c r="I42" i="7"/>
  <c r="K43" i="7" a="1"/>
  <c r="K43" i="7" s="1"/>
  <c r="J43" i="7" a="1"/>
  <c r="J43" i="7" s="1"/>
  <c r="I43" i="7"/>
  <c r="K44" i="7" a="1"/>
  <c r="K44" i="7" s="1"/>
  <c r="J44" i="7" a="1"/>
  <c r="J44" i="7" s="1"/>
  <c r="I44" i="7"/>
  <c r="K45" i="7" a="1"/>
  <c r="K45" i="7" s="1"/>
  <c r="J45" i="7" a="1"/>
  <c r="J45" i="7" s="1"/>
  <c r="I45" i="7"/>
  <c r="K46" i="7" a="1"/>
  <c r="K46" i="7" s="1"/>
  <c r="J46" i="7" a="1"/>
  <c r="J46" i="7" s="1"/>
  <c r="I46" i="7"/>
  <c r="K47" i="7" a="1"/>
  <c r="K47" i="7" s="1"/>
  <c r="J47" i="7" a="1"/>
  <c r="J47" i="7" s="1"/>
  <c r="I47" i="7"/>
  <c r="K48" i="7" a="1"/>
  <c r="K48" i="7" s="1"/>
  <c r="J48" i="7" a="1"/>
  <c r="J48" i="7" s="1"/>
  <c r="I48" i="7"/>
  <c r="K49" i="7" a="1"/>
  <c r="K49" i="7" s="1"/>
  <c r="J49" i="7" a="1"/>
  <c r="J49" i="7" s="1"/>
  <c r="I49" i="7"/>
  <c r="K23" i="7" a="1"/>
  <c r="K23" i="7" s="1"/>
  <c r="J23" i="7" a="1"/>
  <c r="J23" i="7" s="1"/>
  <c r="I23" i="7"/>
  <c r="K24" i="7" a="1"/>
  <c r="K24" i="7" s="1"/>
  <c r="J24" i="7" a="1"/>
  <c r="J24" i="7" s="1"/>
  <c r="I24" i="7"/>
  <c r="DA4" i="7" l="1"/>
  <c r="CT4" i="7"/>
  <c r="CM4" i="7"/>
  <c r="CF4" i="7"/>
  <c r="BY4" i="7"/>
  <c r="BR4" i="7"/>
  <c r="K16" i="7" a="1"/>
  <c r="K16" i="7" s="1"/>
  <c r="J16" i="7" a="1"/>
  <c r="J16" i="7" s="1"/>
  <c r="I16" i="7"/>
  <c r="K54" i="7" a="1"/>
  <c r="K54" i="7" s="1"/>
  <c r="J54" i="7" a="1"/>
  <c r="J54" i="7" s="1"/>
  <c r="I54" i="7"/>
  <c r="K53" i="7" a="1"/>
  <c r="K53" i="7" s="1"/>
  <c r="J53" i="7" a="1"/>
  <c r="J53" i="7" s="1"/>
  <c r="I53" i="7"/>
  <c r="K52" i="7" a="1"/>
  <c r="K52" i="7" s="1"/>
  <c r="J52" i="7" a="1"/>
  <c r="J52" i="7" s="1"/>
  <c r="I52" i="7"/>
  <c r="K51" i="7" a="1"/>
  <c r="K51" i="7" s="1"/>
  <c r="J51" i="7" a="1"/>
  <c r="J51" i="7" s="1"/>
  <c r="I51" i="7"/>
  <c r="K50" i="7" a="1"/>
  <c r="K50" i="7" s="1"/>
  <c r="J50" i="7" a="1"/>
  <c r="J50" i="7" s="1"/>
  <c r="I50" i="7"/>
  <c r="K38" i="7" a="1"/>
  <c r="K38" i="7" s="1"/>
  <c r="J38" i="7" a="1"/>
  <c r="J38" i="7" s="1"/>
  <c r="I38" i="7"/>
  <c r="K37" i="7" a="1"/>
  <c r="K37" i="7" s="1"/>
  <c r="J37" i="7" a="1"/>
  <c r="J37" i="7" s="1"/>
  <c r="I37" i="7"/>
  <c r="AP36" i="7"/>
  <c r="AI36" i="7"/>
  <c r="AB36" i="7"/>
  <c r="U36" i="7"/>
  <c r="G36" i="7"/>
  <c r="BK4" i="7"/>
  <c r="C12" i="10"/>
  <c r="K19" i="7" a="1"/>
  <c r="K19" i="7" s="1"/>
  <c r="J19" i="7" a="1"/>
  <c r="J19" i="7" s="1"/>
  <c r="K18" i="7" a="1"/>
  <c r="K18" i="7" s="1"/>
  <c r="J18" i="7" a="1"/>
  <c r="J18" i="7" s="1"/>
  <c r="K17" i="7" a="1"/>
  <c r="K17" i="7" s="1"/>
  <c r="J17" i="7" a="1"/>
  <c r="J17" i="7" s="1"/>
  <c r="K15" i="7" a="1"/>
  <c r="K15" i="7" s="1"/>
  <c r="J15" i="7" a="1"/>
  <c r="J15" i="7" s="1"/>
  <c r="K34" i="7" a="1"/>
  <c r="K34" i="7" s="1"/>
  <c r="J34" i="7" a="1"/>
  <c r="J34" i="7" s="1"/>
  <c r="K33" i="7" a="1"/>
  <c r="K33" i="7" s="1"/>
  <c r="J33" i="7" a="1"/>
  <c r="J33" i="7" s="1"/>
  <c r="K32" i="7" a="1"/>
  <c r="K32" i="7" s="1"/>
  <c r="J32" i="7" a="1"/>
  <c r="J32" i="7" s="1"/>
  <c r="K31" i="7" a="1"/>
  <c r="K31" i="7" s="1"/>
  <c r="J31" i="7" a="1"/>
  <c r="J31" i="7" s="1"/>
  <c r="K30" i="7" a="1"/>
  <c r="K30" i="7" s="1"/>
  <c r="J30" i="7" a="1"/>
  <c r="J30" i="7" s="1"/>
  <c r="K29" i="7" a="1"/>
  <c r="K29" i="7" s="1"/>
  <c r="J29" i="7" a="1"/>
  <c r="J29" i="7" s="1"/>
  <c r="K28" i="7" a="1"/>
  <c r="K28" i="7" s="1"/>
  <c r="J28" i="7" a="1"/>
  <c r="J28" i="7" s="1"/>
  <c r="K27" i="7" a="1"/>
  <c r="K27" i="7" s="1"/>
  <c r="J27" i="7" a="1"/>
  <c r="J27" i="7" s="1"/>
  <c r="K26" i="7" a="1"/>
  <c r="K26" i="7" s="1"/>
  <c r="J26" i="7" a="1"/>
  <c r="J26" i="7" s="1"/>
  <c r="K25" i="7" a="1"/>
  <c r="K25" i="7" s="1"/>
  <c r="J25" i="7" a="1"/>
  <c r="J25" i="7" s="1"/>
  <c r="K22" i="7" a="1"/>
  <c r="K22" i="7" s="1"/>
  <c r="J22" i="7" a="1"/>
  <c r="J22" i="7" s="1"/>
  <c r="K12" i="7" a="1"/>
  <c r="K12" i="7" s="1"/>
  <c r="J12" i="7" a="1"/>
  <c r="J12" i="7" s="1"/>
  <c r="K11" i="7" a="1"/>
  <c r="K11" i="7" s="1"/>
  <c r="J11" i="7" a="1"/>
  <c r="J11" i="7" s="1"/>
  <c r="K10" i="7" a="1"/>
  <c r="K10" i="7" s="1"/>
  <c r="J10" i="7" a="1"/>
  <c r="J10" i="7" s="1"/>
  <c r="K9" i="7" a="1"/>
  <c r="K9" i="7" s="1"/>
  <c r="J9" i="7" a="1"/>
  <c r="J9" i="7" s="1"/>
  <c r="K8" i="7" a="1"/>
  <c r="K8" i="7" s="1"/>
  <c r="J8" i="7" a="1"/>
  <c r="J8" i="7" s="1"/>
  <c r="K5" i="7" a="1"/>
  <c r="K5" i="7" s="1"/>
  <c r="J5" i="7" a="1"/>
  <c r="J5" i="7" s="1"/>
  <c r="AP14" i="7"/>
  <c r="AI14" i="7"/>
  <c r="AB14" i="7"/>
  <c r="U14" i="7"/>
  <c r="BD4" i="7"/>
  <c r="AW4" i="7"/>
  <c r="AP4" i="7"/>
  <c r="AI4" i="7"/>
  <c r="AB4" i="7"/>
  <c r="U4" i="7"/>
  <c r="G4" i="7"/>
  <c r="AP21" i="7"/>
  <c r="AI21" i="7"/>
  <c r="AB21" i="7"/>
  <c r="U21" i="7"/>
  <c r="I34" i="7"/>
  <c r="I33" i="7"/>
  <c r="I32" i="7"/>
  <c r="I31" i="7"/>
  <c r="I30" i="7"/>
  <c r="I29" i="7"/>
  <c r="I28" i="7"/>
  <c r="I27" i="7"/>
  <c r="I26" i="7"/>
  <c r="I25" i="7"/>
  <c r="I22" i="7"/>
  <c r="I19" i="7"/>
  <c r="I18" i="7"/>
  <c r="I17" i="7"/>
  <c r="I15" i="7"/>
  <c r="I8" i="7"/>
  <c r="I9" i="7"/>
  <c r="I10" i="7"/>
  <c r="I11" i="7"/>
  <c r="I12" i="7"/>
  <c r="I5" i="7"/>
  <c r="G21" i="7"/>
  <c r="I36" i="7" l="1"/>
  <c r="K36" i="7"/>
  <c r="J36" i="7"/>
  <c r="I21" i="7"/>
  <c r="J21" i="7"/>
  <c r="K21" i="7"/>
  <c r="I14" i="7"/>
  <c r="J14" i="7"/>
  <c r="K14" i="7"/>
  <c r="K4" i="7"/>
  <c r="I4" i="7" l="1"/>
  <c r="J4" i="7"/>
</calcChain>
</file>

<file path=xl/metadata.xml><?xml version="1.0" encoding="utf-8"?>
<metadata xmlns="http://schemas.openxmlformats.org/spreadsheetml/2006/main">
  <metadataTypes count="1">
    <metadataType name="XLDAPR" minSupportedVersion="120000" copy="1" pasteAll="1" pasteValues="1" merge="1" splitFirst="1" rowColShift="1" clearFormats="1" clearComments="1" assign="1" coerce="1" cellMeta="1"/>
  </metadataTypes>
  <futureMetadata name="XLDAPR" count="1">
    <bk>
      <extLst>
        <ext xmlns:xda="http://schemas.microsoft.com/office/spreadsheetml/2017/dynamicarray"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<sst xmlns="http://schemas.openxmlformats.org/spreadsheetml/2006/main" count="369" uniqueCount="153">
  <si>
    <t>Semesterplan</t>
  </si>
  <si>
    <t>Fach</t>
  </si>
  <si>
    <t>Skript Niveau</t>
  </si>
  <si>
    <t>Rechnen Niveau</t>
  </si>
  <si>
    <t>Montag</t>
  </si>
  <si>
    <t>Dienstag</t>
  </si>
  <si>
    <t>Mittwoch</t>
  </si>
  <si>
    <t>Donnerstag</t>
  </si>
  <si>
    <t>Samstag</t>
  </si>
  <si>
    <t>Sonntag</t>
  </si>
  <si>
    <t>Freitag</t>
  </si>
  <si>
    <t>Stunden</t>
  </si>
  <si>
    <t>Bemerkungen</t>
  </si>
  <si>
    <t>Enge Deadlines</t>
  </si>
  <si>
    <t>Wir setzen uns für jede Woche klare Deadlines für die einzelnen Inhalte des Semesters, sodass wir nach 70% der Semesterdauer den kompletten Stoff bereits perfekt beherrschen.
Dafür ist es notwendig, dass wir definieren, welchen Stoff wir am Ende (also nach 70% des Semesters) beherrschen müssen. Diesen Stoff teilen wir dann in Wochenziele ein.
So können wir jede Woche auf ein klares Ziel hinarbeiten (den "Wochenstoff" am Ende der Woche perfekt zu beherrschen), wodurch wir vermeiden, planlos umherzulernen.</t>
  </si>
  <si>
    <t>Lernen mit der Klausur im Blick</t>
  </si>
  <si>
    <t>Best Practices für die optimale Semesterplanung</t>
  </si>
  <si>
    <t>Aufteilung des Lernstoffs für passende Wochenziele</t>
  </si>
  <si>
    <t>Es ist sehr wichtig, dass wir die Wochenziele möglichst gleichmäßig über die ersten 70% des Semesters verteilen. So kannst du für jedes Themengebiet initial gleich viel Zeit aufwenden und dann in der heißen Klausurenphase nochmals verstärkten Fokus auf die Fächer legen, wo bei dir noch Verbesserungspotential besteht. Tendenziell können wir für die Wocheneinteilung relativ simpel vorgehen. Wenn dein Skript z.B. 100 Slides hat und 70% des Semesters in 10 Wochen ist, kannst du dir für Woche 1 Slides 1-10, für Woche 2 Slides 11-20, ... als Ziel setzen. 
WICHTIG: Das Wochenziel bezieht sich NICHT ausschließlich auf das Skript, sondern ebenfalls auf die dazugehörigen Aufgaben/Übungen/Tutorien etc. 
Außerdem solltest du die Ziele auch nicht "stumpf" nach der Slide-Anzahl aufteilen, sondern am besten auch grob nach Themen. So kann es sein, dass du für ein bestimmtes Fach in der einen Woche etwas mehr lernen musst als in der folgenden Woche - langfristig wird sich das jedoch relativieren. 
WICHTIG 2.0: Versuche dir tendenziell in den ersten Wochen minimalst zu viel Inhalte reinzupacken, da der Lernstoff am Ende des Semesters meistens am komplexesten wird und man dafür tendenziell länger benötigt als für die Inhalte am Anfang. Bei unserem Beispiel wäre eine etwas bessere Verteilung z.B. Woche 1 Slides 1-15, Woche 2 Slides 16-28, ... Woche 10 Slides 95-100</t>
  </si>
  <si>
    <t>Unnötigen Perfektionismus ablegen</t>
  </si>
  <si>
    <t>Ein weiterer Vorteil unserer Lerntechnik ist, dass wir ziemlich schnell den kompletten Stoff auf einem guten Niveau beherrschen und uns dann am Ende des Semesters den Problemthemen widmen können. Viele Studierende machen den Fehler, sich viel zu lange an einzelnen Themen aufzuhängen und gar nicht mit anderen Themen weitermachen, bis sie dieses eine Thema perfekt beherrschen. Das darf dir nicht passieren! Es ist deutlich besser, wenn du nach den 70% des Semesters 80% des Stoffs auf einem sehr guten Niveau und 20% auf einem mittelmäßigen Niveau beherrscht, anstatt dass du z.B. 40% absolut perfekt kannst, die restlichen 60% aber noch absolut gar nicht sitzen. Halte dich daher jede Woche an deine am Anfang festgelegten Wochenziele. Du darfst gerne vorarbeiten (also bereits den Stoff von der folgenden Woche beginnen), aber du MUSST unbedingt mindestens bis zu deinem geplanten Lernziel kommen - ansonsten musst du später zu viel aufholen. Wenn der Stoff aus Woche 1 am Ende der Woche 1 also noch nicht perfekt sitzt, markierst du dir das in der entsprechenden Zelle und schreibst eine eventuelle Bemerkung, sodass du es zu einem späteren Zeitpunkt wiederholen kannst - aber dann machst du mit der nächsten Woche weiter.</t>
  </si>
  <si>
    <t>Wiederholungen einbauen</t>
  </si>
  <si>
    <t>Wochen- und Tagesplanung perfektionieren</t>
  </si>
  <si>
    <t xml:space="preserve">Du solltest dir pro Woche mindestens 40 Stunden zum Lernen (inkl. Uni-Besuche, wenn es sein muss) einplanen. Das ist die minimale Zeit, die du auch später im Beruf arbeiten wirst, und diese 40 Stunden sollte jeder einbringen können. Gerne kann es auf bis zu 60 Stunden erhöht werden, solange Schlaf und Privatleben nicht zu sehr darunter leiden, um langfristig durchzuziehen. Ich würde dir empfehlen, pro Woche 6 Tage zum Lernen einzuplanen und pro Tag möglichst zu den gleichen Zeiten zu lernen. Mit 7 Stunden Lernen pro Tag kommst du damit auf 42 Stunden pro Woche. Nun gilt es daran, diese 42 Stunden so effektiv wie möglich aufzuteilen. Insbesondere in den ersten Wochen des Semesters würde ich dir empfehlen, deine Stundenaufteilung ganz klar nach der Anzahl der ECTS zu gewichten (im späteren Verlauf des Semester kannst du das dann anpassen, wenn du merkst, dass dir gewisse Fächer deutlich leichter/schwerer fallen). Wenn du also z.B. in einem Semester mit 5 Fächern insgesamt 30 ECTS schreibst (Fach 1-4 je 5 ECTS, Fach 5 mit 10 ECTS), dann solltest du für Fach 5 doppelt so viel Zeit einplanen wie für die anderen Fächer. Hier wäre die Aufteilung also pro ECTS-Punkt 42/30 = 1,4h pro ECTS-Punkt. Für Fach 1-4 also jeweils 7 Stunden pro Woche (z.B. Montag 3h und Donnerstag 4h) und für Fach 5 14 Stunden pro Woche. </t>
  </si>
  <si>
    <t>Klausurdatum</t>
  </si>
  <si>
    <t>Wochenplan</t>
  </si>
  <si>
    <t>Typ</t>
  </si>
  <si>
    <t>Übersicht</t>
  </si>
  <si>
    <t>Thema</t>
  </si>
  <si>
    <t>Fachgebiet</t>
  </si>
  <si>
    <t>1) Einführung</t>
  </si>
  <si>
    <t>ECTS</t>
  </si>
  <si>
    <t>Anteil an Klausur</t>
  </si>
  <si>
    <t>Ziel</t>
  </si>
  <si>
    <t>(Übersicht-Zelle muss angepasst werden)</t>
  </si>
  <si>
    <t>Ziele setzen und Zeiten abschätzen</t>
  </si>
  <si>
    <t>Um den Stoff für das Semester gut verteilen zu können, müssen wir uns am Start des Semesters für jedes Fach einen klaren Überblick darüber verschaffen, was am Ende in der Klausur verlangt wird. Liegt der Fokus beispielsweise v.a. auf Rechenaufgaben oder eher auf Auswendiglernen? Wieviele Kapitel / Slides umfasst das komplette Skript? Hat ein Themenbereich deutlich mehr Anteil als andere Bereiche? Versuche, bereits am Anfang für jeden Themenblock eine möglichst gute Abschätzung über den Anteil an der finalen Klausur abzugeben, sodass du dann im weiteren Verlauf mehr Zeit für die Bereiche einplanen kannst, die ein höheres Gewicht haben.</t>
  </si>
  <si>
    <t>Unser Endziel ist es, nach 70% des Semesters das Skript sowie die Übungsaufgaben zu 100% zu beherrschen, sodass wir uns dann einzig und alleine den Altklausuren, weiteren Übungsaufgaben sowie der Wiederholung des bereits bekannten Stoffes widmen können. Dieses Endziel ist extrem ambitioniert, aber realisierbar. Der Weg zu 100% führt uns über 3 grobe Etappen - für jede von ihnen benötigst du in etwa gleich viel Zeit. Auf einem Level von ca. 50% bist du meistens relativ schnell. Für die nächsten 30% benötigst dann nochmals so lange. Ganz am Ende holst du noch die letzten 15-20% heraus - auch dafür benötigst du in etwa gleich viel Zeit. Für deine Planung solltest du dir deine Zielsetzung also so setzen, dass du von der insgesamten Zeit, die du für jedes Fach zur Verfügung hast, die 1/3 dafür verwendest, den Stoff auf 50% zu beherrschen, 1/3, um den Stoff auf 80% zu pushen, und dann noch 1/3 der Zeit für den Rest benutzen kannst. Ganz genau lässt sich das natürlich nicht immer mit genau dieser Einteilung festlegen, aber grundsätzlich kannst du es dir so vorstellen: Für Themenblock 1 aus Fach A legst du dir für die erste Woche 10 Stunden Lernzeit fest, mit dem Ziel, diesen Themenblock am Ende der Woche zu 50% zu beherrschen. Nun könntest du dir in den vier Folgewochen jeweils 2,5 Stunden (also insgesamt nochmals 10 Stunden) für ebenfalls dieses Thema blocken (Wiederholung), und wirst es dann vermutlich zu 80% drauf haben. Wenn du dann nochmals 2 Wochen mit je 5 Stunden für diesen Themenblock lernst, wirst du es vermutlich nahezu perfekt beherrschen.</t>
  </si>
  <si>
    <t>Am Ende jeder Woche resümierst du für jedes Fach, wie sicher du den Stoff beherrscht. 100% bedeutet, dass du jede Aufgabenvariation perfekt rechnen kannst und jedes einzelne Wort im Skript perfekt beherrscht - 20% bedeutet z.B., dass dies nur bei 1/5 der Inhalte der Fall ist. Je weiter das Semester voranschreitet, desto eher kannst du deinen Fokus auf die Fächer setzen, die du tendenziell schlechter beherrscht. Baue also z.B. in Woche 3 einen dreistündigen Block für die Wiederholung der Woche1-Inhalte von Fach A ein (angenommen, du hast den Woche1-Stoff von Fach A noch nicht perfekt beherrscht) anstelle von einem Lernblock für Fach B (angenommen, dass du Fach B sowieso ziemlich gut beherrscht. Spätestens nach 2-3 Wochen im Semester solltest du ein Gefühl dafür bekommen haben, welche Fächer von dir mehr Wiederholungen/Zeit benötigen und welche weniger. Achte dann darauf, dass alle Inhalte immer besser sitzen und verwende etwas mehr Zeit mit den Fächern, für die du eben mehr lernen musst. Deinen Fortschritt kannst du dann ganz genau tracken, indem du für die nächste Woche wieder einbaust, wie gut du dort vorangekommen bist. Du solltest pro Fach ab Woche 3 des Semesters mindestens eine Lernsession (also 60-90 Minuten) pro Woche für Wiederholungen einplanen, tendenziell sogar mehr.</t>
  </si>
  <si>
    <t>Lerneinheiten durchgezogen</t>
  </si>
  <si>
    <t>Tagesplan erstellt</t>
  </si>
  <si>
    <t>Konzentrationslevel</t>
  </si>
  <si>
    <t>Datum</t>
  </si>
  <si>
    <t>Kcal</t>
  </si>
  <si>
    <t>Fette</t>
  </si>
  <si>
    <t>Eiweiss</t>
  </si>
  <si>
    <t>Kohlenhydrate</t>
  </si>
  <si>
    <t>Gewicht</t>
  </si>
  <si>
    <t>Sonstiges Gefühl</t>
  </si>
  <si>
    <t>Optimierungen</t>
  </si>
  <si>
    <t>Schritt 1:</t>
  </si>
  <si>
    <t>Klausurdatum hinterlegen</t>
  </si>
  <si>
    <t xml:space="preserve">Schritt 3: </t>
  </si>
  <si>
    <t>Alle Fächer des Semesters hinterlegen inkl. Kapitel (zur Not Platzhalter)</t>
  </si>
  <si>
    <t>Reihenfolge</t>
  </si>
  <si>
    <t>Task</t>
  </si>
  <si>
    <t>Zahl</t>
  </si>
  <si>
    <t>Formel</t>
  </si>
  <si>
    <t>Kommentare</t>
  </si>
  <si>
    <t>Beachte, dass du vor Klausuren nicht so viele / keine Levelups machen kannst, sondern nur Wiederholen solltest. Bei normalen Semesterzeiten solltest du ca. die letzten 20% des Semesters nur mit Wiederholungen beschäftigt sein. Bei Klausuren, die durch das Semester durchwegverteilt sind, solltest du bedenken, dass du in den 1-2 Wochen vor der jeweiligen Klausur für die anderen Fächer verhältnismäßig weniger lernen kannst.</t>
  </si>
  <si>
    <t xml:space="preserve">Schritt 4: </t>
  </si>
  <si>
    <t>Schritt 2:</t>
  </si>
  <si>
    <t>Gesamte Kapitelanzahl hinterlegen</t>
  </si>
  <si>
    <t>Anzahl verfügbarer "Lernwochen" ausrechnen und hinterlegen</t>
  </si>
  <si>
    <t xml:space="preserve">Schritt 5: </t>
  </si>
  <si>
    <t xml:space="preserve">Schritt 6: </t>
  </si>
  <si>
    <t>Falls du bei Kenntnisstand 0 in jedem Fach startest (also am Anfang des Semesters die Semesterplanung machst), rechnest du einfach Gesamt-Kapitelanzahl*3. Falls du während des Semesters startest und in einigen Kapiteln schon Fortschritte gemacht hast, wirst du dir erst über deinen aktuellen Status-Quo in jedem Kapitel klar und berechnest dann die insgesamt fehlenden Levelups (Stufen: 0/50/80/100%).</t>
  </si>
  <si>
    <t>Anzahl an Gesamt-Levelups ausrechnen und hinterlegen</t>
  </si>
  <si>
    <t>Anzahl an Levelups pro Woche ausrechnen</t>
  </si>
  <si>
    <t xml:space="preserve">Schritt 7: </t>
  </si>
  <si>
    <t>Levelups von hinten nach vorne verteilen</t>
  </si>
  <si>
    <t>Zahl hier hinterlegen</t>
  </si>
  <si>
    <t>Im Trackingsheet hinterlegen</t>
  </si>
  <si>
    <t>Gesamte benötigte Wochen hinterlegen</t>
  </si>
  <si>
    <t xml:space="preserve">Schritt 8: </t>
  </si>
  <si>
    <t>Falls du es schätzen musst, trage einfach eine Schätzung ein. Normalerweise sind die Klausuren 1-3 Wochen nach Vorlesungsschluss.</t>
  </si>
  <si>
    <t>Um eine neue Woche zu hinterlegen, markierst du einfach die Leerspalte neben der letzten Woche bis zur letzten Spalte der Woche, kopierst sie (strg. +C) und fügst sie in die leerzeile hinter der letzten Woche ein.</t>
  </si>
  <si>
    <t>Fange je nach Semesterdauer 1-4 Wochen vor dem Klausurdatum an, dir in jedem Kapitel 100% zu vergeben. Nun gehst du Rückwärts vor und nimmst am besten gleichmäßig/verhältnismäßig pro Woche über alle Fächer verteilt die Levelups weg, sodass du in der Gesamtsumme immer die Levelups hast, die du pro Woche zur Verfügung hast. Die optimale Verteilung (von Vorne) ist: 1. Hälfte 50% / 2. Hälfte 0% --&gt; 1. Hälfte 80% / 2. Hälfte 50% --&gt; 1. Hälfte 100% / 2. Hälfte 80%</t>
  </si>
  <si>
    <t xml:space="preserve">Schritt 9: </t>
  </si>
  <si>
    <t>Wochenplan erstellen und eine Woche mit Vollgas jedes Kapitel lernen</t>
  </si>
  <si>
    <t>Nur bis zu dem Zeitpunkt lernen, wo du in dem jeweiligen Kapitel den Kenntnisstand erreicht hast. Den dann eintragen und mit dem nächsten Kapitel weitermachen.</t>
  </si>
  <si>
    <t xml:space="preserve">Schritt 10: </t>
  </si>
  <si>
    <t>Ende der Woche: Lernzeiten pro Kapitel eintragen</t>
  </si>
  <si>
    <t>Ende der Woche: Kenntnisstand pro Kapitel eintragen</t>
  </si>
  <si>
    <t>Falls zu viel Zeit oder nicht genug Progress: In den Call kommen</t>
  </si>
  <si>
    <t xml:space="preserve">Schritt 11: </t>
  </si>
  <si>
    <t xml:space="preserve">Schritt 12: </t>
  </si>
  <si>
    <t>Um mehr Fächer zu hinterlegen, markiere die erste Zeile eines bestehenden Fachs bis zur Leerzeile unter dem letzten Kapitel, kopiere alle markierten Zeilen (Strg+C) und füge sie unter die Leerzeile unter dem untersten Fach ein (die Leerzeile sollte bestehen bleiben). Um neue Kapitel in einem Fach zu hinterlegen, gehe einfach auf "Zeile einfügen" und kopiere dann ein bestehendes Kapitel komplett hinein, indem du die gesamte Zeile markierst und einfügst. Um weniger Kapitel für ein Fach zu haben, markiere einfach die Kapitel-Zeilen, die du entfernen willst, und gehe auf "Löschen".</t>
  </si>
  <si>
    <t>OVWL</t>
  </si>
  <si>
    <t>OACC</t>
  </si>
  <si>
    <t>OSTA</t>
  </si>
  <si>
    <t>OMAT</t>
  </si>
  <si>
    <t>KW 42</t>
  </si>
  <si>
    <t>KW 43</t>
  </si>
  <si>
    <t>KW 44</t>
  </si>
  <si>
    <t>KW 45</t>
  </si>
  <si>
    <t>KW 46</t>
  </si>
  <si>
    <t>KW 47</t>
  </si>
  <si>
    <t>KW 48</t>
  </si>
  <si>
    <t>KW 49</t>
  </si>
  <si>
    <t>KW 50</t>
  </si>
  <si>
    <t>KW 51</t>
  </si>
  <si>
    <t>KW 52</t>
  </si>
  <si>
    <t>KW 01</t>
  </si>
  <si>
    <t>KW 02</t>
  </si>
  <si>
    <t>KW 03</t>
  </si>
  <si>
    <t>KW 04</t>
  </si>
  <si>
    <t>KW 05</t>
  </si>
  <si>
    <t>KW 06</t>
  </si>
  <si>
    <t>Klausuren</t>
  </si>
  <si>
    <t>2) Wettbewerbsmarkt (Vollkommene Konkurrenz)</t>
  </si>
  <si>
    <t>3) Elastizitäten</t>
  </si>
  <si>
    <t>4) Unternehmenstheorie</t>
  </si>
  <si>
    <t>5) Konsumententheorie</t>
  </si>
  <si>
    <t>6) Arbeitsmarkt</t>
  </si>
  <si>
    <t>8) Makroökonomische Daten</t>
  </si>
  <si>
    <t>7) Externalitäten und Gütergruppen</t>
  </si>
  <si>
    <t>1) Die Bedeutung der Buchführung</t>
  </si>
  <si>
    <t>2) Gesetzliche Anforderungen an die Buchführung</t>
  </si>
  <si>
    <t>3) Technik der doppelten Buchführung</t>
  </si>
  <si>
    <t>4) Ausgewählte Buchungsfälle</t>
  </si>
  <si>
    <t>5) Der handelsrechtliche Jahresabschluss</t>
  </si>
  <si>
    <t>1) Mit Rodaten arbeiten</t>
  </si>
  <si>
    <t>2) Arbeiten mit Häufigkeitstabelle</t>
  </si>
  <si>
    <t>3) Wachstumsraten</t>
  </si>
  <si>
    <t>4) Wahrscheinlichkeitsrechnung</t>
  </si>
  <si>
    <t>5) Stetige Zufallsvariablen</t>
  </si>
  <si>
    <t>6) Verteilungsmodelle</t>
  </si>
  <si>
    <t>7) Erwartungswert und Varianz</t>
  </si>
  <si>
    <t>8) Bivariate Zufallsvariablen</t>
  </si>
  <si>
    <t>9) Parameterschätzung</t>
  </si>
  <si>
    <t>10) Konfidenzintervalle</t>
  </si>
  <si>
    <t>11) Statistische Tests</t>
  </si>
  <si>
    <t>12) P-Werte</t>
  </si>
  <si>
    <t>13) Lineares Regressionsmodell</t>
  </si>
  <si>
    <t>1) Grundlagen</t>
  </si>
  <si>
    <t>2) Matrizen und Vektoren</t>
  </si>
  <si>
    <t>3) Lineare Gleichungssysteme</t>
  </si>
  <si>
    <t>4) Determinanten</t>
  </si>
  <si>
    <t>5) Inversen</t>
  </si>
  <si>
    <t>6) Vollständige Induktion</t>
  </si>
  <si>
    <t>7) Folgen</t>
  </si>
  <si>
    <t>8) Reihen</t>
  </si>
  <si>
    <t>9) Ableitungen</t>
  </si>
  <si>
    <t>10) Definitions- und Wertebereiche</t>
  </si>
  <si>
    <t>11) Monotonie</t>
  </si>
  <si>
    <t>12) Umkehrfunktion</t>
  </si>
  <si>
    <t>13) Taylorpolyom/ Approximation</t>
  </si>
  <si>
    <t>14) Totales Differential</t>
  </si>
  <si>
    <t>15) Implizites Differenzieren (implizites Ableiten)</t>
  </si>
  <si>
    <t>16) Maxima/Minima ohne Nebenbedingungen</t>
  </si>
  <si>
    <t>17) Quadratische Form und Definitheit</t>
  </si>
  <si>
    <t>18) Lagrange-Optimierung (Min/Max mit Nebenbedingung)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</si>
</sst>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2"/>
      <color theme="1"/>
      <name val="Calibri"/>
      <family val="2"/>
      <scheme val="minor"/>
    </font>
    <font>
      <b/>
      <sz val="12"/>
      <color theme="1"/>
      <name val="Calibri"/>
      <family val="2"/>
      <scheme val="minor"/>
    </font>
    <font>
      <b/>
      <i/>
      <u/>
      <sz val="16"/>
      <color theme="1"/>
      <name val="Calibri"/>
      <family val="2"/>
      <scheme val="minor"/>
    </font>
    <font>
      <b/>
      <sz val="26"/>
      <color theme="1"/>
      <name val="Calibri"/>
      <family val="2"/>
      <scheme val="minor"/>
    </font>
    <font>
      <b/>
      <sz val="20"/>
      <color theme="1"/>
      <name val="Calibri (Body)"/>
    </font>
  </fonts>
  <fills count="7">
    <fill>
      <patternFill patternType="none"/>
    </fill>
    <fill>
      <patternFill patternType="gray125"/>
    </fill>
    <fill>
      <patternFill patternType="solid">
        <fgColor rgb="FFE0E0E0"/>
        <bgColor indexed="64"/>
      </patternFill>
    </fill>
    <fill>
      <patternFill patternType="solid">
        <fgColor rgb="FFFDFF05"/>
        <bgColor indexed="64"/>
      </patternFill>
    </fill>
    <fill>
      <patternFill patternType="solid">
        <fgColor rgb="FFFFFF00"/>
        <bgColor indexed="64"/>
      </patternFill>
    </fill>
    <fill>
      <patternFill patternType="solid">
        <fgColor rgb="FF00FF29"/>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21">
    <xf numFmtId="0" fontId="0" fillId="0" borderId="0" xfId="0"/>
    <xf numFmtId="0" fontId="0" fillId="0" borderId="0" xfId="0" applyAlignment="1">
      <alignment wrapText="1"/>
    </xf>
    <xf numFmtId="0" fontId="1" fillId="0" borderId="0" xfId="0" applyFont="1"/>
    <xf numFmtId="0" fontId="2" fillId="0" borderId="0" xfId="0" applyFont="1"/>
    <xf numFmtId="0" fontId="3" fillId="0" borderId="0" xfId="0" applyFont="1"/>
    <xf numFmtId="0" fontId="1" fillId="2" borderId="0" xfId="0" applyFont="1" applyFill="1"/>
    <xf numFmtId="0" fontId="1" fillId="2" borderId="0" xfId="0" applyFont="1" applyFill="1" applyAlignment="1">
      <alignment horizontal="center"/>
    </xf>
    <xf numFmtId="0" fontId="4" fillId="0" borderId="0" xfId="0" applyFont="1"/>
    <xf numFmtId="20" fontId="0" fillId="0" borderId="0" xfId="0" applyNumberFormat="1"/>
    <xf numFmtId="0" fontId="0" fillId="0" borderId="0" xfId="0" applyAlignment="1">
      <alignment horizontal="center"/>
    </xf>
    <xf numFmtId="9" fontId="0" fillId="0" borderId="0" xfId="0" applyNumberFormat="1"/>
    <xf numFmtId="9" fontId="0" fillId="0" borderId="0" xfId="0" applyNumberFormat="1" applyAlignment="1">
      <alignment horizontal="center"/>
    </xf>
    <xf numFmtId="1" fontId="0" fillId="0" borderId="0" xfId="0" applyNumberFormat="1" applyAlignment="1">
      <alignment horizontal="center"/>
    </xf>
    <xf numFmtId="0" fontId="0" fillId="3" borderId="0" xfId="0" applyFill="1"/>
    <xf numFmtId="14" fontId="0" fillId="0" borderId="0" xfId="0" applyNumberFormat="1" applyAlignment="1">
      <alignment horizontal="center"/>
    </xf>
    <xf numFmtId="0" fontId="0" fillId="0" borderId="0" xfId="0" applyAlignment="1">
      <alignment horizontal="center" wrapText="1"/>
    </xf>
    <xf numFmtId="0" fontId="0" fillId="4" borderId="0" xfId="0" applyFill="1"/>
    <xf numFmtId="0" fontId="0" fillId="5" borderId="0" xfId="0" applyFill="1"/>
    <xf numFmtId="0" fontId="0" fillId="6" borderId="0" xfId="0" applyFill="1"/>
    <xf numFmtId="14" fontId="0" fillId="0" borderId="0" xfId="0" applyNumberFormat="1"/>
    <xf numFmtId="0" fontId="1" fillId="2" borderId="0" xfId="0" applyFont="1" applyFill="1" applyAlignment="1">
      <alignment horizontal="center"/>
    </xf>
  </cellXfs>
  <cellStyles count="1">
    <cellStyle name="Normal" xfId="0" builtinId="0"/>
  </cellStyles>
  <dxfs count="291">
    <dxf>
      <alignment horizontal="center" vertical="bottom" textRotation="0" indent="0" justifyLastLine="0" shrinkToFit="0" readingOrder="0"/>
    </dxf>
    <dxf>
      <alignment horizontal="center" vertical="bottom" textRotation="0" wrapText="0" indent="0" justifyLastLine="0" shrinkToFit="0" readingOrder="0"/>
    </dxf>
    <dxf>
      <alignment horizontal="center" vertical="bottom" textRotation="0" wrapText="0" indent="0" justifyLastLine="0" shrinkToFit="0" readingOrder="0"/>
    </dxf>
    <dxf>
      <numFmt numFmtId="19" formatCode="dd/mm/yy"/>
      <alignment horizontal="center" vertical="bottom" textRotation="0" wrapText="0" indent="0" justifyLastLine="0" shrinkToFit="0" readingOrder="0"/>
    </dxf>
    <dxf>
      <alignment horizontal="general" vertical="bottom" textRotation="0" wrapText="1" indent="0" justifyLastLine="0" shrinkToFit="0" readingOrder="0"/>
    </dxf>
    <dxf>
      <font>
        <b/>
        <i val="0"/>
        <u/>
      </font>
      <fill>
        <patternFill>
          <bgColor rgb="FF00FF29"/>
        </patternFill>
      </fill>
    </dxf>
    <dxf>
      <font>
        <color rgb="FF9C0006"/>
      </font>
      <fill>
        <patternFill>
          <bgColor rgb="FFFFC7CE"/>
        </patternFill>
      </fill>
    </dxf>
    <dxf>
      <font>
        <color rgb="FF006100"/>
      </font>
      <fill>
        <patternFill>
          <bgColor rgb="FFC6EFCE"/>
        </patternFill>
      </fill>
    </dxf>
    <dxf>
      <font>
        <b/>
        <i val="0"/>
        <u/>
      </font>
      <fill>
        <patternFill>
          <bgColor rgb="FF00FF29"/>
        </patternFill>
      </fill>
    </dxf>
    <dxf>
      <fill>
        <patternFill>
          <bgColor rgb="FFFF0000"/>
        </patternFill>
      </fill>
    </dxf>
    <dxf>
      <fill>
        <patternFill>
          <bgColor rgb="FFFF755A"/>
        </patternFill>
      </fill>
    </dxf>
    <dxf>
      <fill>
        <patternFill>
          <bgColor rgb="FFFFDE7F"/>
        </patternFill>
      </fill>
    </dxf>
    <dxf>
      <fill>
        <patternFill>
          <bgColor rgb="FFC4FF87"/>
        </patternFill>
      </fill>
    </dxf>
    <dxf>
      <fill>
        <patternFill>
          <bgColor rgb="FF56FF5E"/>
        </patternFill>
      </fill>
    </dxf>
    <dxf>
      <font>
        <b/>
        <i val="0"/>
        <u/>
      </font>
      <fill>
        <patternFill>
          <bgColor rgb="FF00FF29"/>
        </patternFill>
      </fill>
    </dxf>
    <dxf>
      <font>
        <color rgb="FF9C0006"/>
      </font>
      <fill>
        <patternFill>
          <bgColor rgb="FFFFC7CE"/>
        </patternFill>
      </fill>
    </dxf>
    <dxf>
      <font>
        <color rgb="FF006100"/>
      </font>
      <fill>
        <patternFill>
          <bgColor rgb="FFC6EFCE"/>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
      <fill>
        <patternFill>
          <bgColor rgb="FF10FF07"/>
        </patternFill>
      </fill>
    </dxf>
    <dxf>
      <fill>
        <patternFill>
          <bgColor rgb="FFFF0000"/>
        </patternFill>
      </fill>
    </dxf>
  </dxfs>
  <tableStyles count="0" defaultTableStyle="TableStyleMedium2" defaultPivotStyle="PivotStyleLight16"/>
  <colors>
    <mruColors>
      <color rgb="FF00FF29"/>
      <color rgb="FF56FF5E"/>
      <color rgb="FFC4FF87"/>
      <color rgb="FFFFDE7F"/>
      <color rgb="FFFF755A"/>
      <color rgb="FFFDFF05"/>
      <color rgb="FF10FF07"/>
      <color rgb="FFFF231B"/>
      <color rgb="FFE0E0E0"/>
      <color rgb="FF4AFF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5F321BF3-0CFB-EC45-B68D-D7DDE2C6EBFA}" name="Table1" displayName="Table1" ref="A1:K46" totalsRowShown="0" headerRowDxfId="4">
  <autoFilter ref="A1:K46" xr:uid="{6E266E34-2786-2747-BCE7-51B74867A564}"/>
  <tableColumns count="11">
    <tableColumn id="1" xr3:uid="{95FD92F7-3DC8-704D-A103-A7EDDAB255AB}" name="Datum" dataDxfId="3"/>
    <tableColumn id="2" xr3:uid="{F464D510-8166-E740-A343-FB84BDEF877F}" name="Lerneinheiten durchgezogen" dataDxfId="2"/>
    <tableColumn id="3" xr3:uid="{75F52B08-1A00-0848-BBE6-1EDF7B31B1AD}" name="Tagesplan erstellt" dataDxfId="1"/>
    <tableColumn id="4" xr3:uid="{E6B18D89-E799-AD48-9DAA-37AEE1D29011}" name="Konzentrationslevel" dataDxfId="0"/>
    <tableColumn id="5" xr3:uid="{7038951F-EF31-2A4C-8291-6B3B984C5954}" name="Kcal"/>
    <tableColumn id="6" xr3:uid="{024A2E22-9FF9-5042-BCC0-8443A00A1A16}" name="Fette"/>
    <tableColumn id="7" xr3:uid="{FAD520C6-BB43-8B4B-A9FA-C5AEE0F8CD08}" name="Eiweiss"/>
    <tableColumn id="8" xr3:uid="{3816DA9B-3A76-FE4F-B985-3635CF939135}" name="Kohlenhydrate"/>
    <tableColumn id="9" xr3:uid="{1C987FBB-D4BA-7C4F-A887-190E64CF58FE}" name="Gewicht"/>
    <tableColumn id="10" xr3:uid="{823BE59B-AFBA-DB43-8C06-25B0D163DC42}" name="Sonstiges Gefühl"/>
    <tableColumn id="11" xr3:uid="{BB7DF43F-1783-D944-883B-7754E3407C95}" name="Optimierungen"/>
  </tableColumns>
  <tableStyleInfo name="TableStyleLight10"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3EC7C4-9D9A-3748-96ED-5A7E2D9A7464}">
  <dimension ref="A2:D17"/>
  <sheetViews>
    <sheetView workbookViewId="0">
      <selection activeCell="D21" sqref="D21"/>
    </sheetView>
  </sheetViews>
  <sheetFormatPr baseColWidth="10" defaultRowHeight="16" x14ac:dyDescent="0.2"/>
  <cols>
    <col min="1" max="1" width="11.83203125" customWidth="1"/>
    <col min="2" max="2" width="62.6640625" customWidth="1"/>
  </cols>
  <sheetData>
    <row r="2" spans="1:4" x14ac:dyDescent="0.2">
      <c r="C2" s="18" t="s">
        <v>72</v>
      </c>
    </row>
    <row r="3" spans="1:4" x14ac:dyDescent="0.2">
      <c r="C3" s="17" t="s">
        <v>57</v>
      </c>
    </row>
    <row r="4" spans="1:4" x14ac:dyDescent="0.2">
      <c r="C4" s="16" t="s">
        <v>71</v>
      </c>
    </row>
    <row r="5" spans="1:4" x14ac:dyDescent="0.2">
      <c r="A5" s="2" t="s">
        <v>54</v>
      </c>
      <c r="B5" s="2" t="s">
        <v>55</v>
      </c>
      <c r="C5" s="2" t="s">
        <v>56</v>
      </c>
      <c r="D5" s="2" t="s">
        <v>58</v>
      </c>
    </row>
    <row r="6" spans="1:4" x14ac:dyDescent="0.2">
      <c r="A6" t="s">
        <v>50</v>
      </c>
      <c r="B6" s="18" t="s">
        <v>53</v>
      </c>
      <c r="D6" t="s">
        <v>87</v>
      </c>
    </row>
    <row r="7" spans="1:4" x14ac:dyDescent="0.2">
      <c r="A7" t="s">
        <v>61</v>
      </c>
      <c r="B7" t="s">
        <v>62</v>
      </c>
      <c r="C7" s="16">
        <f>8+5+13+18</f>
        <v>44</v>
      </c>
    </row>
    <row r="8" spans="1:4" x14ac:dyDescent="0.2">
      <c r="A8" t="s">
        <v>52</v>
      </c>
      <c r="B8" s="18" t="s">
        <v>51</v>
      </c>
      <c r="D8" t="s">
        <v>75</v>
      </c>
    </row>
    <row r="9" spans="1:4" x14ac:dyDescent="0.2">
      <c r="A9" t="s">
        <v>60</v>
      </c>
      <c r="B9" s="18" t="s">
        <v>73</v>
      </c>
      <c r="D9" t="s">
        <v>76</v>
      </c>
    </row>
    <row r="10" spans="1:4" x14ac:dyDescent="0.2">
      <c r="A10" t="s">
        <v>64</v>
      </c>
      <c r="B10" t="s">
        <v>63</v>
      </c>
      <c r="C10" s="16">
        <v>14.5</v>
      </c>
      <c r="D10" t="s">
        <v>59</v>
      </c>
    </row>
    <row r="11" spans="1:4" x14ac:dyDescent="0.2">
      <c r="A11" t="s">
        <v>65</v>
      </c>
      <c r="B11" t="s">
        <v>67</v>
      </c>
      <c r="C11" s="16">
        <f>44*3</f>
        <v>132</v>
      </c>
      <c r="D11" t="s">
        <v>66</v>
      </c>
    </row>
    <row r="12" spans="1:4" x14ac:dyDescent="0.2">
      <c r="A12" t="s">
        <v>69</v>
      </c>
      <c r="B12" t="s">
        <v>68</v>
      </c>
      <c r="C12" s="17">
        <f>C11/C10</f>
        <v>9.1034482758620694</v>
      </c>
    </row>
    <row r="13" spans="1:4" x14ac:dyDescent="0.2">
      <c r="A13" t="s">
        <v>74</v>
      </c>
      <c r="B13" t="s">
        <v>70</v>
      </c>
      <c r="D13" t="s">
        <v>77</v>
      </c>
    </row>
    <row r="14" spans="1:4" x14ac:dyDescent="0.2">
      <c r="A14" t="s">
        <v>78</v>
      </c>
      <c r="B14" t="s">
        <v>79</v>
      </c>
      <c r="D14" t="s">
        <v>80</v>
      </c>
    </row>
    <row r="15" spans="1:4" x14ac:dyDescent="0.2">
      <c r="A15" t="s">
        <v>81</v>
      </c>
      <c r="B15" s="18" t="s">
        <v>82</v>
      </c>
    </row>
    <row r="16" spans="1:4" x14ac:dyDescent="0.2">
      <c r="A16" t="s">
        <v>85</v>
      </c>
      <c r="B16" s="18" t="s">
        <v>83</v>
      </c>
    </row>
    <row r="17" spans="1:2" x14ac:dyDescent="0.2">
      <c r="A17" t="s">
        <v>86</v>
      </c>
      <c r="B17" t="s">
        <v>84</v>
      </c>
    </row>
  </sheetData>
  <pageMargins left="0.7" right="0.7" top="0.78740157499999996" bottom="0.78740157499999996"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702FF6-E0D3-4829-9993-E7D2C4D02E9E}">
  <dimension ref="B1:EO54"/>
  <sheetViews>
    <sheetView showGridLines="0" tabSelected="1" zoomScale="65" zoomScaleNormal="70" workbookViewId="0">
      <selection activeCell="BP53" sqref="BP53"/>
    </sheetView>
  </sheetViews>
  <sheetFormatPr baseColWidth="10" defaultColWidth="8.83203125" defaultRowHeight="16" outlineLevelRow="1" x14ac:dyDescent="0.2"/>
  <cols>
    <col min="3" max="3" width="9.5" bestFit="1" customWidth="1"/>
    <col min="4" max="4" width="13" bestFit="1" customWidth="1"/>
    <col min="5" max="5" width="4.83203125" bestFit="1" customWidth="1"/>
    <col min="6" max="6" width="41.1640625" bestFit="1" customWidth="1"/>
    <col min="7" max="7" width="15.5" bestFit="1" customWidth="1"/>
    <col min="8" max="8" width="2.5" customWidth="1"/>
    <col min="10" max="10" width="12.5" bestFit="1" customWidth="1"/>
    <col min="11" max="11" width="14.83203125" bestFit="1" customWidth="1"/>
    <col min="12" max="12" width="12.6640625" bestFit="1" customWidth="1"/>
    <col min="13" max="13" width="2.5" customWidth="1"/>
    <col min="15" max="15" width="12.5" bestFit="1" customWidth="1"/>
    <col min="16" max="16" width="6.33203125" customWidth="1"/>
    <col min="17" max="17" width="14.83203125" bestFit="1" customWidth="1"/>
    <col min="18" max="18" width="6" customWidth="1"/>
    <col min="19" max="19" width="12.6640625" bestFit="1" customWidth="1"/>
    <col min="20" max="20" width="2.5" customWidth="1"/>
    <col min="22" max="22" width="12.5" bestFit="1" customWidth="1"/>
    <col min="23" max="23" width="6.33203125" customWidth="1"/>
    <col min="24" max="24" width="14.83203125" bestFit="1" customWidth="1"/>
    <col min="25" max="25" width="6" customWidth="1"/>
    <col min="26" max="26" width="12.6640625" bestFit="1" customWidth="1"/>
    <col min="27" max="27" width="2.5" customWidth="1"/>
    <col min="29" max="29" width="12.5" bestFit="1" customWidth="1"/>
    <col min="30" max="30" width="6.33203125" customWidth="1"/>
    <col min="31" max="31" width="14.83203125" bestFit="1" customWidth="1"/>
    <col min="32" max="32" width="6" customWidth="1"/>
    <col min="33" max="33" width="12.6640625" bestFit="1" customWidth="1"/>
    <col min="34" max="34" width="2.5" customWidth="1"/>
    <col min="36" max="36" width="12.5" bestFit="1" customWidth="1"/>
    <col min="37" max="37" width="6.33203125" customWidth="1"/>
    <col min="38" max="38" width="14.83203125" bestFit="1" customWidth="1"/>
    <col min="39" max="39" width="6" customWidth="1"/>
    <col min="40" max="40" width="12.6640625" bestFit="1" customWidth="1"/>
    <col min="41" max="41" width="2.5" customWidth="1"/>
    <col min="43" max="43" width="12.5" bestFit="1" customWidth="1"/>
    <col min="44" max="44" width="6.33203125" customWidth="1"/>
    <col min="45" max="45" width="14.83203125" bestFit="1" customWidth="1"/>
    <col min="46" max="46" width="6" customWidth="1"/>
    <col min="47" max="47" width="12.6640625" bestFit="1" customWidth="1"/>
    <col min="48" max="48" width="2.5" customWidth="1"/>
    <col min="50" max="50" width="12.5" bestFit="1" customWidth="1"/>
    <col min="51" max="51" width="6.33203125" customWidth="1"/>
    <col min="52" max="52" width="14.83203125" bestFit="1" customWidth="1"/>
    <col min="53" max="53" width="6" customWidth="1"/>
    <col min="54" max="54" width="12.6640625" bestFit="1" customWidth="1"/>
    <col min="55" max="55" width="2.5" customWidth="1"/>
    <col min="57" max="57" width="12.5" bestFit="1" customWidth="1"/>
    <col min="58" max="58" width="6.33203125" customWidth="1"/>
    <col min="59" max="59" width="14.83203125" bestFit="1" customWidth="1"/>
    <col min="60" max="60" width="6" customWidth="1"/>
    <col min="61" max="61" width="12.6640625" bestFit="1" customWidth="1"/>
    <col min="62" max="62" width="2.5" customWidth="1"/>
    <col min="64" max="64" width="12.5" bestFit="1" customWidth="1"/>
    <col min="65" max="65" width="6.33203125" customWidth="1"/>
    <col min="66" max="66" width="14.83203125" bestFit="1" customWidth="1"/>
    <col min="67" max="67" width="6" customWidth="1"/>
    <col min="68" max="68" width="12.6640625" bestFit="1" customWidth="1"/>
    <col min="69" max="69" width="2.5" customWidth="1"/>
    <col min="71" max="71" width="12.5" bestFit="1" customWidth="1"/>
    <col min="72" max="72" width="6.33203125" customWidth="1"/>
    <col min="73" max="73" width="14.83203125" bestFit="1" customWidth="1"/>
    <col min="74" max="74" width="6" customWidth="1"/>
    <col min="75" max="75" width="12.6640625" bestFit="1" customWidth="1"/>
    <col min="76" max="76" width="2.5" customWidth="1"/>
    <col min="78" max="78" width="12.5" bestFit="1" customWidth="1"/>
    <col min="79" max="79" width="6.33203125" customWidth="1"/>
    <col min="80" max="80" width="14.83203125" bestFit="1" customWidth="1"/>
    <col min="81" max="81" width="6" customWidth="1"/>
    <col min="82" max="82" width="12.6640625" bestFit="1" customWidth="1"/>
    <col min="83" max="83" width="2.5" customWidth="1"/>
    <col min="85" max="85" width="12.5" bestFit="1" customWidth="1"/>
    <col min="86" max="86" width="6.33203125" customWidth="1"/>
    <col min="87" max="87" width="14.83203125" bestFit="1" customWidth="1"/>
    <col min="88" max="88" width="6" customWidth="1"/>
    <col min="89" max="89" width="12.6640625" bestFit="1" customWidth="1"/>
    <col min="90" max="90" width="2.5" customWidth="1"/>
    <col min="92" max="92" width="12.5" bestFit="1" customWidth="1"/>
    <col min="93" max="93" width="6.33203125" customWidth="1"/>
    <col min="94" max="94" width="14.83203125" bestFit="1" customWidth="1"/>
    <col min="95" max="95" width="6" customWidth="1"/>
    <col min="96" max="96" width="12.6640625" bestFit="1" customWidth="1"/>
    <col min="97" max="97" width="2.5" customWidth="1"/>
    <col min="99" max="99" width="12.5" bestFit="1" customWidth="1"/>
    <col min="100" max="100" width="6.33203125" customWidth="1"/>
    <col min="101" max="101" width="14.83203125" bestFit="1" customWidth="1"/>
    <col min="102" max="102" width="6" customWidth="1"/>
    <col min="103" max="103" width="12.6640625" bestFit="1" customWidth="1"/>
    <col min="104" max="104" width="2.5" customWidth="1"/>
    <col min="106" max="106" width="12.5" bestFit="1" customWidth="1"/>
    <col min="107" max="107" width="6.33203125" customWidth="1"/>
    <col min="108" max="108" width="14.83203125" bestFit="1" customWidth="1"/>
    <col min="109" max="109" width="6" customWidth="1"/>
    <col min="110" max="110" width="12.6640625" bestFit="1" customWidth="1"/>
    <col min="111" max="111" width="2.5" customWidth="1"/>
    <col min="113" max="113" width="12.5" bestFit="1" customWidth="1"/>
    <col min="114" max="114" width="6.33203125" customWidth="1"/>
    <col min="115" max="115" width="14.83203125" bestFit="1" customWidth="1"/>
    <col min="116" max="116" width="6" customWidth="1"/>
    <col min="117" max="117" width="12.6640625" bestFit="1" customWidth="1"/>
    <col min="118" max="118" width="2.5" customWidth="1"/>
    <col min="120" max="120" width="12.5" bestFit="1" customWidth="1"/>
    <col min="121" max="121" width="6.33203125" customWidth="1"/>
    <col min="122" max="122" width="14.83203125" bestFit="1" customWidth="1"/>
    <col min="123" max="123" width="6" customWidth="1"/>
    <col min="124" max="124" width="12.6640625" bestFit="1" customWidth="1"/>
    <col min="125" max="125" width="2.5" customWidth="1"/>
    <col min="127" max="127" width="12.5" bestFit="1" customWidth="1"/>
    <col min="128" max="128" width="6.33203125" customWidth="1"/>
    <col min="129" max="129" width="14.83203125" bestFit="1" customWidth="1"/>
    <col min="130" max="130" width="6" customWidth="1"/>
    <col min="131" max="131" width="12.6640625" bestFit="1" customWidth="1"/>
    <col min="132" max="132" width="2.5" customWidth="1"/>
    <col min="134" max="134" width="12.5" bestFit="1" customWidth="1"/>
    <col min="135" max="135" width="6.33203125" customWidth="1"/>
    <col min="136" max="136" width="14.83203125" bestFit="1" customWidth="1"/>
    <col min="137" max="137" width="6" customWidth="1"/>
    <col min="138" max="138" width="12.6640625" bestFit="1" customWidth="1"/>
    <col min="139" max="139" width="2.5" customWidth="1"/>
    <col min="141" max="141" width="12.5" bestFit="1" customWidth="1"/>
    <col min="142" max="142" width="6.33203125" customWidth="1"/>
    <col min="143" max="143" width="14.83203125" bestFit="1" customWidth="1"/>
    <col min="144" max="144" width="6" customWidth="1"/>
    <col min="145" max="145" width="12.6640625" bestFit="1" customWidth="1"/>
  </cols>
  <sheetData>
    <row r="1" spans="2:145" ht="34" x14ac:dyDescent="0.4">
      <c r="B1" s="4" t="s">
        <v>0</v>
      </c>
      <c r="D1" s="4"/>
      <c r="G1" s="13" t="s">
        <v>34</v>
      </c>
      <c r="I1" s="13" t="s">
        <v>34</v>
      </c>
      <c r="J1" s="13" t="s">
        <v>34</v>
      </c>
      <c r="K1" s="13" t="s">
        <v>34</v>
      </c>
    </row>
    <row r="2" spans="2:145" x14ac:dyDescent="0.2">
      <c r="I2" s="20" t="s">
        <v>27</v>
      </c>
      <c r="J2" s="20"/>
      <c r="K2" s="20"/>
      <c r="L2" s="20"/>
      <c r="N2" s="20" t="s">
        <v>92</v>
      </c>
      <c r="O2" s="20"/>
      <c r="P2" s="20"/>
      <c r="Q2" s="20"/>
      <c r="R2" s="20"/>
      <c r="S2" s="20"/>
      <c r="U2" s="20" t="s">
        <v>93</v>
      </c>
      <c r="V2" s="20"/>
      <c r="W2" s="20"/>
      <c r="X2" s="20"/>
      <c r="Y2" s="20"/>
      <c r="Z2" s="20"/>
      <c r="AB2" s="20" t="s">
        <v>94</v>
      </c>
      <c r="AC2" s="20"/>
      <c r="AD2" s="20"/>
      <c r="AE2" s="20"/>
      <c r="AF2" s="20"/>
      <c r="AG2" s="20"/>
      <c r="AI2" s="20" t="s">
        <v>95</v>
      </c>
      <c r="AJ2" s="20"/>
      <c r="AK2" s="20"/>
      <c r="AL2" s="20"/>
      <c r="AM2" s="20"/>
      <c r="AN2" s="20"/>
      <c r="AP2" s="20" t="s">
        <v>96</v>
      </c>
      <c r="AQ2" s="20"/>
      <c r="AR2" s="20"/>
      <c r="AS2" s="20"/>
      <c r="AT2" s="20"/>
      <c r="AU2" s="20"/>
      <c r="AW2" s="20" t="s">
        <v>97</v>
      </c>
      <c r="AX2" s="20"/>
      <c r="AY2" s="20"/>
      <c r="AZ2" s="20"/>
      <c r="BA2" s="20"/>
      <c r="BB2" s="20"/>
      <c r="BD2" s="20" t="s">
        <v>98</v>
      </c>
      <c r="BE2" s="20"/>
      <c r="BF2" s="20"/>
      <c r="BG2" s="20"/>
      <c r="BH2" s="20"/>
      <c r="BI2" s="20"/>
      <c r="BK2" s="20" t="s">
        <v>99</v>
      </c>
      <c r="BL2" s="20"/>
      <c r="BM2" s="20"/>
      <c r="BN2" s="20"/>
      <c r="BO2" s="20"/>
      <c r="BP2" s="20"/>
      <c r="BR2" s="20" t="s">
        <v>100</v>
      </c>
      <c r="BS2" s="20"/>
      <c r="BT2" s="20"/>
      <c r="BU2" s="20"/>
      <c r="BV2" s="20"/>
      <c r="BW2" s="20"/>
      <c r="BY2" s="20" t="s">
        <v>101</v>
      </c>
      <c r="BZ2" s="20"/>
      <c r="CA2" s="20"/>
      <c r="CB2" s="20"/>
      <c r="CC2" s="20"/>
      <c r="CD2" s="20"/>
      <c r="CF2" s="20" t="s">
        <v>102</v>
      </c>
      <c r="CG2" s="20"/>
      <c r="CH2" s="20"/>
      <c r="CI2" s="20"/>
      <c r="CJ2" s="20"/>
      <c r="CK2" s="20"/>
      <c r="CM2" s="20" t="s">
        <v>103</v>
      </c>
      <c r="CN2" s="20"/>
      <c r="CO2" s="20"/>
      <c r="CP2" s="20"/>
      <c r="CQ2" s="20"/>
      <c r="CR2" s="20"/>
      <c r="CT2" s="20" t="s">
        <v>104</v>
      </c>
      <c r="CU2" s="20"/>
      <c r="CV2" s="20"/>
      <c r="CW2" s="20"/>
      <c r="CX2" s="20"/>
      <c r="CY2" s="20"/>
      <c r="DA2" s="20" t="s">
        <v>105</v>
      </c>
      <c r="DB2" s="20"/>
      <c r="DC2" s="20"/>
      <c r="DD2" s="20"/>
      <c r="DE2" s="20"/>
      <c r="DF2" s="20"/>
      <c r="DH2" s="20" t="s">
        <v>106</v>
      </c>
      <c r="DI2" s="20"/>
      <c r="DJ2" s="20"/>
      <c r="DK2" s="20"/>
      <c r="DL2" s="20"/>
      <c r="DM2" s="20"/>
      <c r="DO2" s="20" t="s">
        <v>107</v>
      </c>
      <c r="DP2" s="20"/>
      <c r="DQ2" s="20"/>
      <c r="DR2" s="20"/>
      <c r="DS2" s="20"/>
      <c r="DT2" s="20"/>
      <c r="DV2" s="20" t="s">
        <v>108</v>
      </c>
      <c r="DW2" s="20"/>
      <c r="DX2" s="20"/>
      <c r="DY2" s="20"/>
      <c r="DZ2" s="20"/>
      <c r="EA2" s="20"/>
      <c r="EC2" s="20" t="s">
        <v>109</v>
      </c>
      <c r="ED2" s="20"/>
      <c r="EE2" s="20"/>
      <c r="EF2" s="20"/>
      <c r="EG2" s="20"/>
      <c r="EH2" s="20"/>
      <c r="EJ2" s="20" t="s">
        <v>109</v>
      </c>
      <c r="EK2" s="20"/>
      <c r="EL2" s="20"/>
      <c r="EM2" s="20"/>
      <c r="EN2" s="20"/>
      <c r="EO2" s="20"/>
    </row>
    <row r="3" spans="2:145" x14ac:dyDescent="0.2">
      <c r="B3" s="5" t="s">
        <v>26</v>
      </c>
      <c r="C3" s="5" t="s">
        <v>1</v>
      </c>
      <c r="D3" s="5" t="s">
        <v>24</v>
      </c>
      <c r="E3" s="6" t="s">
        <v>31</v>
      </c>
      <c r="F3" s="5" t="s">
        <v>29</v>
      </c>
      <c r="G3" s="5" t="s">
        <v>32</v>
      </c>
      <c r="I3" s="6" t="s">
        <v>11</v>
      </c>
      <c r="J3" s="6" t="s">
        <v>2</v>
      </c>
      <c r="K3" s="6" t="s">
        <v>3</v>
      </c>
      <c r="L3" s="6" t="s">
        <v>12</v>
      </c>
      <c r="N3" s="5" t="s">
        <v>11</v>
      </c>
      <c r="O3" s="5" t="s">
        <v>2</v>
      </c>
      <c r="P3" s="5" t="s">
        <v>33</v>
      </c>
      <c r="Q3" s="5" t="s">
        <v>3</v>
      </c>
      <c r="R3" s="5" t="s">
        <v>33</v>
      </c>
      <c r="S3" s="5" t="s">
        <v>12</v>
      </c>
      <c r="U3" s="5" t="s">
        <v>11</v>
      </c>
      <c r="V3" s="5" t="s">
        <v>2</v>
      </c>
      <c r="W3" s="5" t="s">
        <v>33</v>
      </c>
      <c r="X3" s="5" t="s">
        <v>3</v>
      </c>
      <c r="Y3" s="5" t="s">
        <v>33</v>
      </c>
      <c r="Z3" s="5" t="s">
        <v>12</v>
      </c>
      <c r="AB3" s="5" t="s">
        <v>11</v>
      </c>
      <c r="AC3" s="5" t="s">
        <v>2</v>
      </c>
      <c r="AD3" s="5" t="s">
        <v>33</v>
      </c>
      <c r="AE3" s="5" t="s">
        <v>3</v>
      </c>
      <c r="AF3" s="5" t="s">
        <v>33</v>
      </c>
      <c r="AG3" s="5" t="s">
        <v>12</v>
      </c>
      <c r="AI3" s="5" t="s">
        <v>11</v>
      </c>
      <c r="AJ3" s="5" t="s">
        <v>2</v>
      </c>
      <c r="AK3" s="5" t="s">
        <v>33</v>
      </c>
      <c r="AL3" s="5" t="s">
        <v>3</v>
      </c>
      <c r="AM3" s="5" t="s">
        <v>33</v>
      </c>
      <c r="AN3" s="5" t="s">
        <v>12</v>
      </c>
      <c r="AP3" s="5" t="s">
        <v>11</v>
      </c>
      <c r="AQ3" s="5" t="s">
        <v>2</v>
      </c>
      <c r="AR3" s="5" t="s">
        <v>33</v>
      </c>
      <c r="AS3" s="5" t="s">
        <v>3</v>
      </c>
      <c r="AT3" s="5" t="s">
        <v>33</v>
      </c>
      <c r="AU3" s="5" t="s">
        <v>12</v>
      </c>
      <c r="AW3" s="5" t="s">
        <v>11</v>
      </c>
      <c r="AX3" s="5" t="s">
        <v>2</v>
      </c>
      <c r="AY3" s="5" t="s">
        <v>33</v>
      </c>
      <c r="AZ3" s="5" t="s">
        <v>3</v>
      </c>
      <c r="BA3" s="5" t="s">
        <v>33</v>
      </c>
      <c r="BB3" s="5" t="s">
        <v>12</v>
      </c>
      <c r="BD3" s="5" t="s">
        <v>11</v>
      </c>
      <c r="BE3" s="5" t="s">
        <v>2</v>
      </c>
      <c r="BF3" s="5" t="s">
        <v>33</v>
      </c>
      <c r="BG3" s="5" t="s">
        <v>3</v>
      </c>
      <c r="BH3" s="5" t="s">
        <v>33</v>
      </c>
      <c r="BI3" s="5" t="s">
        <v>12</v>
      </c>
      <c r="BK3" s="5" t="s">
        <v>11</v>
      </c>
      <c r="BL3" s="5" t="s">
        <v>2</v>
      </c>
      <c r="BM3" s="5" t="s">
        <v>33</v>
      </c>
      <c r="BN3" s="5" t="s">
        <v>3</v>
      </c>
      <c r="BO3" s="5" t="s">
        <v>33</v>
      </c>
      <c r="BP3" s="5" t="s">
        <v>12</v>
      </c>
      <c r="BR3" s="5" t="s">
        <v>11</v>
      </c>
      <c r="BS3" s="5" t="s">
        <v>2</v>
      </c>
      <c r="BT3" s="5" t="s">
        <v>33</v>
      </c>
      <c r="BU3" s="5" t="s">
        <v>3</v>
      </c>
      <c r="BV3" s="5" t="s">
        <v>33</v>
      </c>
      <c r="BW3" s="5" t="s">
        <v>12</v>
      </c>
      <c r="BY3" s="5" t="s">
        <v>11</v>
      </c>
      <c r="BZ3" s="5" t="s">
        <v>2</v>
      </c>
      <c r="CA3" s="5" t="s">
        <v>33</v>
      </c>
      <c r="CB3" s="5" t="s">
        <v>3</v>
      </c>
      <c r="CC3" s="5" t="s">
        <v>33</v>
      </c>
      <c r="CD3" s="5" t="s">
        <v>12</v>
      </c>
      <c r="CF3" s="5" t="s">
        <v>11</v>
      </c>
      <c r="CG3" s="5" t="s">
        <v>2</v>
      </c>
      <c r="CH3" s="5" t="s">
        <v>33</v>
      </c>
      <c r="CI3" s="5" t="s">
        <v>3</v>
      </c>
      <c r="CJ3" s="5" t="s">
        <v>33</v>
      </c>
      <c r="CK3" s="5" t="s">
        <v>12</v>
      </c>
      <c r="CM3" s="5" t="s">
        <v>11</v>
      </c>
      <c r="CN3" s="5" t="s">
        <v>2</v>
      </c>
      <c r="CO3" s="5" t="s">
        <v>33</v>
      </c>
      <c r="CP3" s="5" t="s">
        <v>3</v>
      </c>
      <c r="CQ3" s="5" t="s">
        <v>33</v>
      </c>
      <c r="CR3" s="5" t="s">
        <v>12</v>
      </c>
      <c r="CT3" s="5" t="s">
        <v>11</v>
      </c>
      <c r="CU3" s="5" t="s">
        <v>2</v>
      </c>
      <c r="CV3" s="5" t="s">
        <v>33</v>
      </c>
      <c r="CW3" s="5" t="s">
        <v>3</v>
      </c>
      <c r="CX3" s="5" t="s">
        <v>33</v>
      </c>
      <c r="CY3" s="5" t="s">
        <v>12</v>
      </c>
      <c r="DA3" s="5" t="s">
        <v>11</v>
      </c>
      <c r="DB3" s="5" t="s">
        <v>2</v>
      </c>
      <c r="DC3" s="5" t="s">
        <v>33</v>
      </c>
      <c r="DD3" s="5" t="s">
        <v>3</v>
      </c>
      <c r="DE3" s="5" t="s">
        <v>33</v>
      </c>
      <c r="DF3" s="5" t="s">
        <v>12</v>
      </c>
      <c r="DH3" s="5" t="s">
        <v>11</v>
      </c>
      <c r="DI3" s="5" t="s">
        <v>2</v>
      </c>
      <c r="DJ3" s="5" t="s">
        <v>33</v>
      </c>
      <c r="DK3" s="5" t="s">
        <v>3</v>
      </c>
      <c r="DL3" s="5" t="s">
        <v>33</v>
      </c>
      <c r="DM3" s="5" t="s">
        <v>12</v>
      </c>
      <c r="DO3" s="5" t="s">
        <v>11</v>
      </c>
      <c r="DP3" s="5" t="s">
        <v>2</v>
      </c>
      <c r="DQ3" s="5" t="s">
        <v>33</v>
      </c>
      <c r="DR3" s="5" t="s">
        <v>3</v>
      </c>
      <c r="DS3" s="5" t="s">
        <v>33</v>
      </c>
      <c r="DT3" s="5" t="s">
        <v>12</v>
      </c>
      <c r="DV3" s="5" t="s">
        <v>11</v>
      </c>
      <c r="DW3" s="5" t="s">
        <v>2</v>
      </c>
      <c r="DX3" s="5" t="s">
        <v>33</v>
      </c>
      <c r="DY3" s="5" t="s">
        <v>3</v>
      </c>
      <c r="DZ3" s="5" t="s">
        <v>33</v>
      </c>
      <c r="EA3" s="5" t="s">
        <v>12</v>
      </c>
      <c r="EC3" s="5" t="s">
        <v>11</v>
      </c>
      <c r="ED3" s="5" t="s">
        <v>2</v>
      </c>
      <c r="EE3" s="5" t="s">
        <v>33</v>
      </c>
      <c r="EF3" s="5" t="s">
        <v>3</v>
      </c>
      <c r="EG3" s="5" t="s">
        <v>33</v>
      </c>
      <c r="EH3" s="5" t="s">
        <v>12</v>
      </c>
      <c r="EJ3" s="5" t="s">
        <v>11</v>
      </c>
      <c r="EK3" s="5" t="s">
        <v>2</v>
      </c>
      <c r="EL3" s="5" t="s">
        <v>33</v>
      </c>
      <c r="EM3" s="5" t="s">
        <v>3</v>
      </c>
      <c r="EN3" s="5" t="s">
        <v>33</v>
      </c>
      <c r="EO3" s="5" t="s">
        <v>12</v>
      </c>
    </row>
    <row r="4" spans="2:145" x14ac:dyDescent="0.2">
      <c r="B4" t="s">
        <v>27</v>
      </c>
      <c r="C4" t="s">
        <v>88</v>
      </c>
      <c r="D4" s="19">
        <v>44980</v>
      </c>
      <c r="E4" s="9">
        <v>5</v>
      </c>
      <c r="G4" s="10">
        <f>+SUM(G5:G12)</f>
        <v>1</v>
      </c>
      <c r="I4" s="12">
        <f>+SUM(I5:I12)</f>
        <v>0</v>
      </c>
      <c r="J4" s="11">
        <f>+SUMPRODUCT(G5:G12,J5:J12)</f>
        <v>0</v>
      </c>
      <c r="K4" s="11">
        <f>+SUMPRODUCT(G5:G12,K5:K12)</f>
        <v>0</v>
      </c>
      <c r="L4" s="9"/>
      <c r="N4" s="12">
        <v>0</v>
      </c>
      <c r="U4" s="12">
        <f>+SUM(U5:U12)</f>
        <v>0</v>
      </c>
      <c r="AB4" s="12">
        <f>+SUM(AB5:AB12)</f>
        <v>0</v>
      </c>
      <c r="AI4" s="12">
        <f>+SUM(AI5:AI12)</f>
        <v>0</v>
      </c>
      <c r="AP4" s="12">
        <f>+SUM(AP5:AP12)</f>
        <v>0</v>
      </c>
      <c r="AW4" s="12">
        <f>+SUM(AW5:AW12)</f>
        <v>0</v>
      </c>
      <c r="BD4" s="12">
        <f>+SUM(BD5:BD12)</f>
        <v>0</v>
      </c>
      <c r="BK4" s="12">
        <f>+SUM(BK5:BK12)</f>
        <v>0</v>
      </c>
      <c r="BR4" s="12">
        <f>+SUM(BR5:BR12)</f>
        <v>0</v>
      </c>
      <c r="BY4" s="12">
        <f>+SUM(BY5:BY12)</f>
        <v>0</v>
      </c>
      <c r="CF4" s="12">
        <f>+SUM(CF5:CF12)</f>
        <v>0</v>
      </c>
      <c r="CM4" s="12">
        <f>+SUM(CM5:CM12)</f>
        <v>0</v>
      </c>
      <c r="CT4" s="12">
        <f>+SUM(CT5:CT12)</f>
        <v>0</v>
      </c>
      <c r="DA4" s="12">
        <f>+SUM(DA5:DA12)</f>
        <v>0</v>
      </c>
      <c r="DH4" s="12">
        <f>+SUM(DH5:DH12)</f>
        <v>0</v>
      </c>
      <c r="DO4" s="12">
        <f>+SUM(DO5:DO12)</f>
        <v>0</v>
      </c>
      <c r="DV4" s="12">
        <f>+SUM(DV5:DV12)</f>
        <v>0</v>
      </c>
      <c r="EC4" s="12">
        <f>+SUM(EC5:EC12)</f>
        <v>0</v>
      </c>
      <c r="EJ4" s="12">
        <f>+SUM(EJ5:EJ12)</f>
        <v>0</v>
      </c>
    </row>
    <row r="5" spans="2:145" outlineLevel="1" x14ac:dyDescent="0.2">
      <c r="B5" t="s">
        <v>28</v>
      </c>
      <c r="C5" t="s">
        <v>88</v>
      </c>
      <c r="E5" s="9"/>
      <c r="F5" t="s">
        <v>30</v>
      </c>
      <c r="G5" s="10">
        <v>0.05</v>
      </c>
      <c r="I5" s="9">
        <f>+SUMIF($N$3:$ZZ$3,I$3,$N5:$ZZ5)</f>
        <v>0</v>
      </c>
      <c r="J5" s="11" cm="1">
        <f t="array" ref="J5">MAX(IF($N$3:$EH$3=$J$3,N5:EH5))</f>
        <v>0</v>
      </c>
      <c r="K5" s="11" cm="1">
        <f t="array" ref="K5">MAX(IF($N$3:$EH$3=$J$3,N5:EH5))</f>
        <v>0</v>
      </c>
      <c r="L5" s="9"/>
      <c r="O5" s="10"/>
      <c r="P5" s="10">
        <v>0.5</v>
      </c>
      <c r="Q5" s="10"/>
      <c r="R5" s="10">
        <v>0.5</v>
      </c>
      <c r="S5">
        <v>1</v>
      </c>
      <c r="V5" s="10"/>
      <c r="W5" s="10">
        <v>0.5</v>
      </c>
      <c r="X5" s="10"/>
      <c r="Y5" s="10">
        <v>0.5</v>
      </c>
      <c r="AC5" s="10"/>
      <c r="AD5" s="10">
        <v>0.5</v>
      </c>
      <c r="AE5" s="10"/>
      <c r="AF5" s="10">
        <v>0.5</v>
      </c>
      <c r="AJ5" s="10"/>
      <c r="AK5" s="10">
        <v>0.5</v>
      </c>
      <c r="AL5" s="10"/>
      <c r="AM5" s="10">
        <v>0.5</v>
      </c>
      <c r="AQ5" s="10"/>
      <c r="AR5" s="10">
        <v>0.8</v>
      </c>
      <c r="AS5" s="10"/>
      <c r="AT5" s="10">
        <v>0.8</v>
      </c>
      <c r="AX5" s="10"/>
      <c r="AY5" s="10">
        <v>0.8</v>
      </c>
      <c r="AZ5" s="10"/>
      <c r="BA5" s="10">
        <v>0.8</v>
      </c>
      <c r="BE5" s="10"/>
      <c r="BF5" s="10">
        <v>0.8</v>
      </c>
      <c r="BG5" s="10"/>
      <c r="BH5" s="10">
        <v>0.8</v>
      </c>
      <c r="BL5" s="10"/>
      <c r="BM5" s="10">
        <v>0.8</v>
      </c>
      <c r="BN5" s="10"/>
      <c r="BO5" s="10">
        <v>0.8</v>
      </c>
      <c r="BS5" s="10"/>
      <c r="BT5" s="10">
        <v>1</v>
      </c>
      <c r="BU5" s="10"/>
      <c r="BV5" s="10">
        <v>1</v>
      </c>
      <c r="BZ5" s="10"/>
      <c r="CA5" s="10">
        <v>1</v>
      </c>
      <c r="CB5" s="10"/>
      <c r="CC5" s="10">
        <v>1</v>
      </c>
      <c r="CG5" s="10"/>
      <c r="CH5" s="10">
        <v>1</v>
      </c>
      <c r="CI5" s="10"/>
      <c r="CJ5" s="10">
        <v>1</v>
      </c>
      <c r="CN5" s="10"/>
      <c r="CO5" s="10">
        <v>1</v>
      </c>
      <c r="CP5" s="10"/>
      <c r="CQ5" s="10">
        <v>1</v>
      </c>
      <c r="CU5" s="10"/>
      <c r="CV5" s="10">
        <v>1</v>
      </c>
      <c r="CW5" s="10"/>
      <c r="CX5" s="10">
        <v>1</v>
      </c>
      <c r="DB5" s="10"/>
      <c r="DC5" s="10">
        <v>1</v>
      </c>
      <c r="DD5" s="10"/>
      <c r="DE5" s="10">
        <v>1</v>
      </c>
      <c r="DI5" s="10"/>
      <c r="DJ5" s="10">
        <v>1</v>
      </c>
      <c r="DK5" s="10"/>
      <c r="DL5" s="10">
        <v>1</v>
      </c>
      <c r="DP5" s="10"/>
      <c r="DQ5" s="10"/>
      <c r="DR5" s="10"/>
      <c r="DS5" s="10"/>
      <c r="DW5" s="10"/>
      <c r="DX5" s="10"/>
      <c r="DY5" s="10"/>
      <c r="DZ5" s="10"/>
      <c r="ED5" s="10"/>
      <c r="EE5" s="10"/>
      <c r="EF5" s="10"/>
      <c r="EG5" s="10"/>
      <c r="EK5" s="10"/>
      <c r="EL5" s="10"/>
      <c r="EM5" s="10"/>
      <c r="EN5" s="10"/>
    </row>
    <row r="6" spans="2:145" outlineLevel="1" x14ac:dyDescent="0.2">
      <c r="B6" t="s">
        <v>28</v>
      </c>
      <c r="C6" t="s">
        <v>88</v>
      </c>
      <c r="E6" s="9"/>
      <c r="F6" t="s">
        <v>110</v>
      </c>
      <c r="G6" s="10">
        <v>0.1</v>
      </c>
      <c r="I6" s="9">
        <f t="shared" ref="I6:I12" si="0">+SUMIF($N$3:$ZZ$3,I$3,$N6:$ZZ6)</f>
        <v>0</v>
      </c>
      <c r="J6" s="11" cm="1">
        <f t="array" ref="J6">MAX(IF($N$3:$EH$3=$J$3,N6:EH6))</f>
        <v>0</v>
      </c>
      <c r="K6" s="11" cm="1">
        <f t="array" ref="K6">MAX(IF($N$3:$EH$3=$J$3,N6:EH6))</f>
        <v>0</v>
      </c>
      <c r="L6" s="9"/>
      <c r="O6" s="10"/>
      <c r="P6" s="10"/>
      <c r="Q6" s="10"/>
      <c r="R6" s="10"/>
      <c r="V6" s="10"/>
      <c r="W6" s="10">
        <v>0.5</v>
      </c>
      <c r="X6" s="10"/>
      <c r="Y6" s="10">
        <v>0.5</v>
      </c>
      <c r="Z6">
        <v>1</v>
      </c>
      <c r="AC6" s="10"/>
      <c r="AD6" s="10">
        <v>0.5</v>
      </c>
      <c r="AE6" s="10"/>
      <c r="AF6" s="10">
        <v>0.5</v>
      </c>
      <c r="AJ6" s="10"/>
      <c r="AK6" s="10">
        <v>0.5</v>
      </c>
      <c r="AL6" s="10"/>
      <c r="AM6" s="10">
        <v>0.5</v>
      </c>
      <c r="AQ6" s="10"/>
      <c r="AR6" s="10">
        <v>0.8</v>
      </c>
      <c r="AS6" s="10"/>
      <c r="AT6" s="10">
        <v>0.8</v>
      </c>
      <c r="AX6" s="10"/>
      <c r="AY6" s="10">
        <v>0.8</v>
      </c>
      <c r="AZ6" s="10"/>
      <c r="BA6" s="10">
        <v>0.8</v>
      </c>
      <c r="BE6" s="10"/>
      <c r="BF6" s="10">
        <v>0.8</v>
      </c>
      <c r="BG6" s="10"/>
      <c r="BH6" s="10">
        <v>0.8</v>
      </c>
      <c r="BL6" s="10"/>
      <c r="BM6" s="10">
        <v>0.8</v>
      </c>
      <c r="BN6" s="10"/>
      <c r="BO6" s="10">
        <v>0.8</v>
      </c>
      <c r="BS6" s="10"/>
      <c r="BT6" s="10">
        <v>0.8</v>
      </c>
      <c r="BU6" s="10"/>
      <c r="BV6" s="10">
        <v>0.8</v>
      </c>
      <c r="BZ6" s="10"/>
      <c r="CA6" s="10">
        <v>1</v>
      </c>
      <c r="CB6" s="10"/>
      <c r="CC6" s="10">
        <v>1</v>
      </c>
      <c r="CG6" s="10"/>
      <c r="CH6" s="10">
        <v>1</v>
      </c>
      <c r="CI6" s="10"/>
      <c r="CJ6" s="10">
        <v>1</v>
      </c>
      <c r="CN6" s="10"/>
      <c r="CO6" s="10">
        <v>1</v>
      </c>
      <c r="CP6" s="10"/>
      <c r="CQ6" s="10">
        <v>1</v>
      </c>
      <c r="CU6" s="10"/>
      <c r="CV6" s="10">
        <v>1</v>
      </c>
      <c r="CW6" s="10"/>
      <c r="CX6" s="10">
        <v>1</v>
      </c>
      <c r="DB6" s="10"/>
      <c r="DC6" s="10">
        <v>1</v>
      </c>
      <c r="DD6" s="10"/>
      <c r="DE6" s="10">
        <v>1</v>
      </c>
      <c r="DI6" s="10"/>
      <c r="DJ6" s="10">
        <v>1</v>
      </c>
      <c r="DK6" s="10"/>
      <c r="DL6" s="10">
        <v>1</v>
      </c>
      <c r="DP6" s="10"/>
      <c r="DQ6" s="10"/>
      <c r="DR6" s="10"/>
      <c r="DS6" s="10"/>
      <c r="DW6" s="10"/>
      <c r="DX6" s="10"/>
      <c r="DY6" s="10"/>
      <c r="DZ6" s="10"/>
      <c r="ED6" s="10"/>
      <c r="EE6" s="10"/>
      <c r="EF6" s="10"/>
      <c r="EG6" s="10"/>
      <c r="EK6" s="10"/>
      <c r="EL6" s="10"/>
      <c r="EM6" s="10"/>
      <c r="EN6" s="10"/>
    </row>
    <row r="7" spans="2:145" outlineLevel="1" x14ac:dyDescent="0.2">
      <c r="B7" t="s">
        <v>28</v>
      </c>
      <c r="C7" t="s">
        <v>88</v>
      </c>
      <c r="E7" s="9"/>
      <c r="F7" t="s">
        <v>111</v>
      </c>
      <c r="G7" s="10">
        <v>0.1</v>
      </c>
      <c r="I7" s="9">
        <f t="shared" si="0"/>
        <v>0</v>
      </c>
      <c r="J7" s="11" cm="1">
        <f t="array" ref="J7">MAX(IF($N$3:$EH$3=$J$3,N7:EH7))</f>
        <v>0</v>
      </c>
      <c r="K7" s="11" cm="1">
        <f t="array" ref="K7">MAX(IF($N$3:$EH$3=$J$3,N7:EH7))</f>
        <v>0</v>
      </c>
      <c r="L7" s="9"/>
      <c r="O7" s="10"/>
      <c r="P7" s="10"/>
      <c r="Q7" s="10"/>
      <c r="R7" s="10"/>
      <c r="V7" s="10"/>
      <c r="W7" s="10"/>
      <c r="X7" s="10"/>
      <c r="Y7" s="10"/>
      <c r="AC7" s="10"/>
      <c r="AD7" s="10">
        <v>0.5</v>
      </c>
      <c r="AE7" s="10"/>
      <c r="AF7" s="10">
        <v>0.5</v>
      </c>
      <c r="AG7">
        <v>1</v>
      </c>
      <c r="AJ7" s="10"/>
      <c r="AK7" s="10">
        <v>0.5</v>
      </c>
      <c r="AL7" s="10"/>
      <c r="AM7" s="10">
        <v>0.5</v>
      </c>
      <c r="AN7">
        <v>3</v>
      </c>
      <c r="AQ7" s="10"/>
      <c r="AR7" s="10">
        <v>0.5</v>
      </c>
      <c r="AS7" s="10"/>
      <c r="AT7" s="10">
        <v>0.5</v>
      </c>
      <c r="AX7" s="10"/>
      <c r="AY7" s="10">
        <v>0.8</v>
      </c>
      <c r="AZ7" s="10"/>
      <c r="BA7" s="10">
        <v>0.8</v>
      </c>
      <c r="BE7" s="10"/>
      <c r="BF7" s="10">
        <v>0.8</v>
      </c>
      <c r="BG7" s="10"/>
      <c r="BH7" s="10">
        <v>0.8</v>
      </c>
      <c r="BL7" s="10"/>
      <c r="BM7" s="10">
        <v>0.8</v>
      </c>
      <c r="BN7" s="10"/>
      <c r="BO7" s="10">
        <v>0.8</v>
      </c>
      <c r="BS7" s="10"/>
      <c r="BT7" s="10">
        <v>0.8</v>
      </c>
      <c r="BU7" s="10"/>
      <c r="BV7" s="10">
        <v>0.8</v>
      </c>
      <c r="BZ7" s="10"/>
      <c r="CA7" s="10">
        <v>0.8</v>
      </c>
      <c r="CB7" s="10"/>
      <c r="CC7" s="10">
        <v>0.8</v>
      </c>
      <c r="CG7" s="10"/>
      <c r="CH7" s="10">
        <v>1</v>
      </c>
      <c r="CI7" s="10"/>
      <c r="CJ7" s="10">
        <v>1</v>
      </c>
      <c r="CN7" s="10"/>
      <c r="CO7" s="10">
        <v>1</v>
      </c>
      <c r="CP7" s="10"/>
      <c r="CQ7" s="10">
        <v>1</v>
      </c>
      <c r="CU7" s="10"/>
      <c r="CV7" s="10">
        <v>1</v>
      </c>
      <c r="CW7" s="10"/>
      <c r="CX7" s="10">
        <v>1</v>
      </c>
      <c r="DB7" s="10"/>
      <c r="DC7" s="10">
        <v>1</v>
      </c>
      <c r="DD7" s="10"/>
      <c r="DE7" s="10">
        <v>1</v>
      </c>
      <c r="DI7" s="10"/>
      <c r="DJ7" s="10">
        <v>1</v>
      </c>
      <c r="DK7" s="10"/>
      <c r="DL7" s="10">
        <v>1</v>
      </c>
      <c r="DP7" s="10"/>
      <c r="DQ7" s="10"/>
      <c r="DS7" s="10"/>
      <c r="DW7" s="10"/>
      <c r="DX7" s="10"/>
      <c r="DY7" s="10"/>
      <c r="DZ7" s="10"/>
      <c r="ED7" s="10"/>
      <c r="EE7" s="10"/>
      <c r="EF7" s="10"/>
      <c r="EG7" s="10"/>
      <c r="EK7" s="10"/>
      <c r="EL7" s="10"/>
      <c r="EM7" s="10"/>
      <c r="EN7" s="10"/>
    </row>
    <row r="8" spans="2:145" outlineLevel="1" x14ac:dyDescent="0.2">
      <c r="B8" t="s">
        <v>28</v>
      </c>
      <c r="C8" t="s">
        <v>88</v>
      </c>
      <c r="E8" s="9"/>
      <c r="F8" t="s">
        <v>112</v>
      </c>
      <c r="G8" s="10">
        <v>0.1</v>
      </c>
      <c r="I8" s="9">
        <f t="shared" si="0"/>
        <v>0</v>
      </c>
      <c r="J8" s="11" cm="1">
        <f t="array" ref="J8">MAX(IF($N$3:$EH$3=$J$3,N8:EH8))</f>
        <v>0</v>
      </c>
      <c r="K8" s="11" cm="1">
        <f t="array" ref="K8">MAX(IF($N$3:$EH$3=$J$3,N8:EH8))</f>
        <v>0</v>
      </c>
      <c r="L8" s="9"/>
      <c r="O8" s="10"/>
      <c r="P8" s="10"/>
      <c r="Q8" s="10"/>
      <c r="R8" s="10"/>
      <c r="V8" s="10"/>
      <c r="W8" s="10"/>
      <c r="X8" s="10"/>
      <c r="Y8" s="10"/>
      <c r="AC8" s="10"/>
      <c r="AD8" s="10"/>
      <c r="AE8" s="10"/>
      <c r="AF8" s="10"/>
      <c r="AJ8" s="10"/>
      <c r="AK8" s="10">
        <v>0.5</v>
      </c>
      <c r="AL8" s="10"/>
      <c r="AM8" s="10">
        <v>0.5</v>
      </c>
      <c r="AQ8" s="10"/>
      <c r="AR8" s="10">
        <v>0.5</v>
      </c>
      <c r="AS8" s="10"/>
      <c r="AT8" s="10">
        <v>0.5</v>
      </c>
      <c r="AX8" s="10"/>
      <c r="AY8" s="10">
        <v>0.5</v>
      </c>
      <c r="AZ8" s="10"/>
      <c r="BA8" s="10">
        <v>0.5</v>
      </c>
      <c r="BE8" s="10"/>
      <c r="BF8" s="10">
        <v>0.8</v>
      </c>
      <c r="BG8" s="10"/>
      <c r="BH8" s="10">
        <v>0.8</v>
      </c>
      <c r="BI8">
        <v>2</v>
      </c>
      <c r="BL8" s="10"/>
      <c r="BM8" s="10">
        <v>0.8</v>
      </c>
      <c r="BN8" s="10"/>
      <c r="BO8" s="10">
        <v>0.8</v>
      </c>
      <c r="BP8">
        <v>1</v>
      </c>
      <c r="BS8" s="10"/>
      <c r="BT8" s="10">
        <v>0.8</v>
      </c>
      <c r="BU8" s="10"/>
      <c r="BV8" s="10">
        <v>0.8</v>
      </c>
      <c r="BZ8" s="10"/>
      <c r="CA8" s="10">
        <v>0.8</v>
      </c>
      <c r="CB8" s="10"/>
      <c r="CC8" s="10">
        <v>0.8</v>
      </c>
      <c r="CG8" s="10"/>
      <c r="CH8" s="10">
        <v>0.8</v>
      </c>
      <c r="CI8" s="10"/>
      <c r="CJ8" s="10">
        <v>0.8</v>
      </c>
      <c r="CN8" s="10"/>
      <c r="CO8" s="10">
        <v>1</v>
      </c>
      <c r="CP8" s="10"/>
      <c r="CQ8" s="10">
        <v>1</v>
      </c>
      <c r="CU8" s="10"/>
      <c r="CV8" s="10">
        <v>1</v>
      </c>
      <c r="CW8" s="10"/>
      <c r="CX8" s="10">
        <v>1</v>
      </c>
      <c r="DB8" s="10"/>
      <c r="DC8" s="10">
        <v>1</v>
      </c>
      <c r="DD8" s="10"/>
      <c r="DE8" s="10">
        <v>1</v>
      </c>
      <c r="DI8" s="10"/>
      <c r="DJ8" s="10">
        <v>1</v>
      </c>
      <c r="DK8" s="10"/>
      <c r="DL8" s="10">
        <v>1</v>
      </c>
      <c r="DP8" s="10"/>
      <c r="DQ8" s="10"/>
      <c r="DR8" s="10"/>
      <c r="DS8" s="10"/>
      <c r="DW8" s="10"/>
      <c r="DX8" s="10"/>
      <c r="DY8" s="10"/>
      <c r="DZ8" s="10"/>
      <c r="ED8" s="10"/>
      <c r="EE8" s="10"/>
      <c r="EF8" s="10"/>
      <c r="EG8" s="10"/>
      <c r="EK8" s="10"/>
      <c r="EL8" s="10"/>
      <c r="EM8" s="10"/>
      <c r="EN8" s="10"/>
    </row>
    <row r="9" spans="2:145" outlineLevel="1" x14ac:dyDescent="0.2">
      <c r="B9" t="s">
        <v>28</v>
      </c>
      <c r="C9" t="s">
        <v>88</v>
      </c>
      <c r="E9" s="9"/>
      <c r="F9" t="s">
        <v>113</v>
      </c>
      <c r="G9" s="10">
        <v>0.15</v>
      </c>
      <c r="I9" s="9">
        <f t="shared" si="0"/>
        <v>0</v>
      </c>
      <c r="J9" s="11" cm="1">
        <f t="array" ref="J9">MAX(IF($N$3:$EH$3=$J$3,N9:EH9))</f>
        <v>0</v>
      </c>
      <c r="K9" s="11" cm="1">
        <f t="array" ref="K9">MAX(IF($N$3:$EH$3=$J$3,N9:EH9))</f>
        <v>0</v>
      </c>
      <c r="L9" s="9"/>
      <c r="O9" s="10"/>
      <c r="P9" s="10"/>
      <c r="Q9" s="10"/>
      <c r="R9" s="10"/>
      <c r="V9" s="10"/>
      <c r="W9" s="10"/>
      <c r="X9" s="10"/>
      <c r="Y9" s="10"/>
      <c r="AC9" s="10"/>
      <c r="AD9" s="10"/>
      <c r="AE9" s="10"/>
      <c r="AF9" s="10"/>
      <c r="AJ9" s="10"/>
      <c r="AK9" s="10">
        <v>0.5</v>
      </c>
      <c r="AL9" s="10"/>
      <c r="AM9" s="10">
        <v>0.5</v>
      </c>
      <c r="AQ9" s="10"/>
      <c r="AR9" s="10">
        <v>0.5</v>
      </c>
      <c r="AS9" s="10"/>
      <c r="AT9" s="10">
        <v>0.5</v>
      </c>
      <c r="AU9">
        <v>2</v>
      </c>
      <c r="AX9" s="10"/>
      <c r="AY9" s="10">
        <v>0.5</v>
      </c>
      <c r="AZ9" s="10"/>
      <c r="BA9" s="10">
        <v>0.5</v>
      </c>
      <c r="BB9">
        <v>1</v>
      </c>
      <c r="BE9" s="10"/>
      <c r="BF9" s="10">
        <v>0.5</v>
      </c>
      <c r="BG9" s="10"/>
      <c r="BH9" s="10">
        <v>0.5</v>
      </c>
      <c r="BL9" s="10"/>
      <c r="BM9" s="10">
        <v>0.8</v>
      </c>
      <c r="BN9" s="10"/>
      <c r="BO9" s="10">
        <v>0.8</v>
      </c>
      <c r="BS9" s="10"/>
      <c r="BT9" s="10">
        <v>0.8</v>
      </c>
      <c r="BU9" s="10"/>
      <c r="BV9" s="10">
        <v>0.8</v>
      </c>
      <c r="BW9">
        <v>2</v>
      </c>
      <c r="BZ9" s="10"/>
      <c r="CA9" s="10">
        <v>0.8</v>
      </c>
      <c r="CB9" s="10"/>
      <c r="CC9" s="10">
        <v>0.8</v>
      </c>
      <c r="CG9" s="10"/>
      <c r="CH9" s="10">
        <v>0.8</v>
      </c>
      <c r="CI9" s="10"/>
      <c r="CJ9" s="10">
        <v>0.8</v>
      </c>
      <c r="CN9" s="10"/>
      <c r="CO9" s="10">
        <v>0.8</v>
      </c>
      <c r="CP9" s="10"/>
      <c r="CQ9" s="10">
        <v>0.8</v>
      </c>
      <c r="CU9" s="10"/>
      <c r="CV9" s="10">
        <v>1</v>
      </c>
      <c r="CW9" s="10"/>
      <c r="CX9" s="10">
        <v>1</v>
      </c>
      <c r="DB9" s="10"/>
      <c r="DC9" s="10">
        <v>1</v>
      </c>
      <c r="DD9" s="10"/>
      <c r="DE9" s="10">
        <v>1</v>
      </c>
      <c r="DI9" s="10"/>
      <c r="DJ9" s="10">
        <v>1</v>
      </c>
      <c r="DK9" s="10"/>
      <c r="DL9" s="10">
        <v>1</v>
      </c>
      <c r="DP9" s="10"/>
      <c r="DQ9" s="10"/>
      <c r="DR9" s="10"/>
      <c r="DS9" s="10"/>
      <c r="DW9" s="10"/>
      <c r="DX9" s="10"/>
      <c r="DY9" s="10"/>
      <c r="DZ9" s="10"/>
      <c r="ED9" s="10"/>
      <c r="EE9" s="10"/>
      <c r="EF9" s="10"/>
      <c r="EG9" s="10"/>
      <c r="EK9" s="10"/>
      <c r="EL9" s="10"/>
      <c r="EM9" s="10"/>
      <c r="EN9" s="10"/>
    </row>
    <row r="10" spans="2:145" outlineLevel="1" x14ac:dyDescent="0.2">
      <c r="B10" t="s">
        <v>28</v>
      </c>
      <c r="C10" t="s">
        <v>88</v>
      </c>
      <c r="E10" s="9"/>
      <c r="F10" t="s">
        <v>114</v>
      </c>
      <c r="G10" s="10">
        <v>0.15</v>
      </c>
      <c r="I10" s="9">
        <f t="shared" si="0"/>
        <v>0</v>
      </c>
      <c r="J10" s="11" cm="1">
        <f t="array" ref="J10">MAX(IF($N$3:$EH$3=$J$3,N10:EH10))</f>
        <v>0</v>
      </c>
      <c r="K10" s="11" cm="1">
        <f t="array" ref="K10">MAX(IF($N$3:$EH$3=$J$3,N10:EH10))</f>
        <v>0</v>
      </c>
      <c r="L10" s="9"/>
      <c r="O10" s="10"/>
      <c r="P10" s="10"/>
      <c r="Q10" s="10"/>
      <c r="R10" s="10"/>
      <c r="V10" s="10"/>
      <c r="W10" s="10"/>
      <c r="X10" s="10"/>
      <c r="Y10" s="10"/>
      <c r="AC10" s="10"/>
      <c r="AD10" s="10"/>
      <c r="AE10" s="10"/>
      <c r="AF10" s="10"/>
      <c r="AJ10" s="10"/>
      <c r="AK10" s="10"/>
      <c r="AL10" s="10"/>
      <c r="AM10" s="10"/>
      <c r="AQ10" s="10"/>
      <c r="AR10" s="10">
        <v>0.5</v>
      </c>
      <c r="AS10" s="10"/>
      <c r="AT10" s="10">
        <v>0.5</v>
      </c>
      <c r="AX10" s="10"/>
      <c r="AY10" s="10">
        <v>0.5</v>
      </c>
      <c r="AZ10" s="10"/>
      <c r="BA10" s="10">
        <v>0.5</v>
      </c>
      <c r="BE10" s="10"/>
      <c r="BF10" s="10">
        <v>0.5</v>
      </c>
      <c r="BG10" s="10"/>
      <c r="BH10" s="10">
        <v>0.5</v>
      </c>
      <c r="BL10" s="10"/>
      <c r="BM10" s="10">
        <v>0.5</v>
      </c>
      <c r="BN10" s="10"/>
      <c r="BO10" s="10">
        <v>0.5</v>
      </c>
      <c r="BS10" s="10"/>
      <c r="BT10" s="10">
        <v>0.5</v>
      </c>
      <c r="BU10" s="10"/>
      <c r="BV10" s="10">
        <v>0.5</v>
      </c>
      <c r="BZ10" s="10"/>
      <c r="CA10" s="10">
        <v>0.8</v>
      </c>
      <c r="CB10" s="10"/>
      <c r="CC10" s="10">
        <v>0.8</v>
      </c>
      <c r="CG10" s="10"/>
      <c r="CH10" s="10">
        <v>0.8</v>
      </c>
      <c r="CI10" s="10"/>
      <c r="CJ10" s="10">
        <v>0.8</v>
      </c>
      <c r="CN10" s="10"/>
      <c r="CO10" s="10">
        <v>0.8</v>
      </c>
      <c r="CP10" s="10"/>
      <c r="CQ10" s="10">
        <v>0.8</v>
      </c>
      <c r="CU10" s="10"/>
      <c r="CV10" s="10">
        <v>0.8</v>
      </c>
      <c r="CW10" s="10"/>
      <c r="CX10" s="10">
        <v>0.8</v>
      </c>
      <c r="DB10" s="10"/>
      <c r="DC10" s="10">
        <v>1</v>
      </c>
      <c r="DD10" s="10"/>
      <c r="DE10" s="10">
        <v>1</v>
      </c>
      <c r="DI10" s="10"/>
      <c r="DJ10" s="10">
        <v>1</v>
      </c>
      <c r="DK10" s="10"/>
      <c r="DL10" s="10">
        <v>1</v>
      </c>
      <c r="DP10" s="10"/>
      <c r="DQ10" s="10"/>
      <c r="DR10" s="10"/>
      <c r="DS10" s="10"/>
      <c r="DW10" s="10"/>
      <c r="DX10" s="10"/>
      <c r="DY10" s="10"/>
      <c r="DZ10" s="10"/>
      <c r="ED10" s="10"/>
      <c r="EE10" s="10"/>
      <c r="EF10" s="10"/>
      <c r="EG10" s="10"/>
      <c r="EK10" s="10"/>
      <c r="EL10" s="10"/>
      <c r="EM10" s="10"/>
      <c r="EN10" s="10"/>
    </row>
    <row r="11" spans="2:145" outlineLevel="1" x14ac:dyDescent="0.2">
      <c r="B11" t="s">
        <v>28</v>
      </c>
      <c r="C11" t="s">
        <v>88</v>
      </c>
      <c r="E11" s="9"/>
      <c r="F11" t="s">
        <v>116</v>
      </c>
      <c r="G11" s="10">
        <v>0.15</v>
      </c>
      <c r="I11" s="9">
        <f t="shared" si="0"/>
        <v>0</v>
      </c>
      <c r="J11" s="11" cm="1">
        <f t="array" ref="J11">MAX(IF($N$3:$EH$3=$J$3,N11:EH11))</f>
        <v>0</v>
      </c>
      <c r="K11" s="11" cm="1">
        <f t="array" ref="K11">MAX(IF($N$3:$EH$3=$J$3,N11:EH11))</f>
        <v>0</v>
      </c>
      <c r="L11" s="9"/>
      <c r="O11" s="10"/>
      <c r="P11" s="10"/>
      <c r="Q11" s="10"/>
      <c r="R11" s="10"/>
      <c r="V11" s="10"/>
      <c r="W11" s="10"/>
      <c r="X11" s="10"/>
      <c r="Y11" s="10"/>
      <c r="AC11" s="10"/>
      <c r="AD11" s="10"/>
      <c r="AE11" s="10"/>
      <c r="AF11" s="10"/>
      <c r="AJ11" s="10"/>
      <c r="AK11" s="10"/>
      <c r="AL11" s="10"/>
      <c r="AM11" s="10"/>
      <c r="AQ11" s="10"/>
      <c r="AR11" s="10"/>
      <c r="AS11" s="10"/>
      <c r="AT11" s="10"/>
      <c r="AX11" s="10"/>
      <c r="AY11" s="10">
        <v>0.5</v>
      </c>
      <c r="AZ11" s="10"/>
      <c r="BA11" s="10">
        <v>0.5</v>
      </c>
      <c r="BE11" s="10"/>
      <c r="BF11" s="10">
        <v>0.5</v>
      </c>
      <c r="BG11" s="10"/>
      <c r="BH11" s="10">
        <v>0.5</v>
      </c>
      <c r="BL11" s="10"/>
      <c r="BM11" s="10">
        <v>0.5</v>
      </c>
      <c r="BN11" s="10"/>
      <c r="BO11" s="10">
        <v>0.5</v>
      </c>
      <c r="BS11" s="10"/>
      <c r="BT11" s="10">
        <v>0.5</v>
      </c>
      <c r="BU11" s="10"/>
      <c r="BV11" s="10">
        <v>0.5</v>
      </c>
      <c r="BZ11" s="10"/>
      <c r="CA11" s="10">
        <v>0.5</v>
      </c>
      <c r="CB11" s="10"/>
      <c r="CC11" s="10">
        <v>0.5</v>
      </c>
      <c r="CD11">
        <v>2</v>
      </c>
      <c r="CG11" s="10"/>
      <c r="CH11" s="10">
        <v>0.8</v>
      </c>
      <c r="CI11" s="10"/>
      <c r="CJ11" s="10">
        <v>0.8</v>
      </c>
      <c r="CK11">
        <v>2</v>
      </c>
      <c r="CN11" s="10"/>
      <c r="CO11" s="10">
        <v>0.8</v>
      </c>
      <c r="CP11" s="10"/>
      <c r="CQ11" s="10">
        <v>0.8</v>
      </c>
      <c r="CU11" s="10"/>
      <c r="CV11" s="10">
        <v>0.8</v>
      </c>
      <c r="CW11" s="10"/>
      <c r="CX11" s="10">
        <v>0.8</v>
      </c>
      <c r="DB11" s="10"/>
      <c r="DC11" s="10">
        <v>1</v>
      </c>
      <c r="DD11" s="10"/>
      <c r="DE11" s="10">
        <v>1</v>
      </c>
      <c r="DF11">
        <v>1</v>
      </c>
      <c r="DI11" s="10"/>
      <c r="DJ11" s="10">
        <v>1</v>
      </c>
      <c r="DK11" s="10"/>
      <c r="DL11" s="10">
        <v>1</v>
      </c>
      <c r="DP11" s="10"/>
      <c r="DQ11" s="10"/>
      <c r="DR11" s="10"/>
      <c r="DS11" s="10"/>
      <c r="DW11" s="10"/>
      <c r="DX11" s="10"/>
      <c r="DY11" s="10"/>
      <c r="DZ11" s="10"/>
      <c r="ED11" s="10"/>
      <c r="EE11" s="10"/>
      <c r="EF11" s="10"/>
      <c r="EG11" s="10"/>
      <c r="EK11" s="10"/>
      <c r="EL11" s="10"/>
      <c r="EM11" s="10"/>
      <c r="EN11" s="10"/>
    </row>
    <row r="12" spans="2:145" outlineLevel="1" x14ac:dyDescent="0.2">
      <c r="B12" t="s">
        <v>28</v>
      </c>
      <c r="C12" t="s">
        <v>88</v>
      </c>
      <c r="E12" s="9"/>
      <c r="F12" t="s">
        <v>115</v>
      </c>
      <c r="G12" s="10">
        <v>0.2</v>
      </c>
      <c r="I12" s="9">
        <f t="shared" si="0"/>
        <v>0</v>
      </c>
      <c r="J12" s="11" cm="1">
        <f t="array" ref="J12">MAX(IF($N$3:$EH$3=$J$3,N12:EH12))</f>
        <v>0</v>
      </c>
      <c r="K12" s="11" cm="1">
        <f t="array" ref="K12">MAX(IF($N$3:$EH$3=$J$3,N12:EH12))</f>
        <v>0</v>
      </c>
      <c r="L12" s="9"/>
      <c r="O12" s="10"/>
      <c r="P12" s="10"/>
      <c r="Q12" s="10"/>
      <c r="R12" s="10"/>
      <c r="V12" s="10"/>
      <c r="W12" s="10"/>
      <c r="X12" s="10"/>
      <c r="Y12" s="10"/>
      <c r="AC12" s="10"/>
      <c r="AD12" s="10"/>
      <c r="AE12" s="10"/>
      <c r="AF12" s="10"/>
      <c r="AJ12" s="10"/>
      <c r="AK12" s="10"/>
      <c r="AL12" s="10"/>
      <c r="AM12" s="10"/>
      <c r="AQ12" s="10"/>
      <c r="AR12" s="10"/>
      <c r="AS12" s="10"/>
      <c r="AT12" s="10"/>
      <c r="AX12" s="10"/>
      <c r="AY12" s="10"/>
      <c r="AZ12" s="10"/>
      <c r="BA12" s="10"/>
      <c r="BE12" s="10"/>
      <c r="BF12" s="10"/>
      <c r="BG12" s="10"/>
      <c r="BH12" s="10"/>
      <c r="BL12" s="10"/>
      <c r="BM12" s="10">
        <v>0.5</v>
      </c>
      <c r="BN12" s="10"/>
      <c r="BO12" s="10">
        <v>0.5</v>
      </c>
      <c r="BS12" s="10"/>
      <c r="BT12" s="10">
        <v>0.5</v>
      </c>
      <c r="BU12" s="10"/>
      <c r="BV12" s="10">
        <v>0.5</v>
      </c>
      <c r="BZ12" s="10"/>
      <c r="CA12" s="10">
        <v>0.5</v>
      </c>
      <c r="CB12" s="10"/>
      <c r="CC12" s="10">
        <v>0.5</v>
      </c>
      <c r="CG12" s="10"/>
      <c r="CH12" s="10">
        <v>0.5</v>
      </c>
      <c r="CI12" s="10"/>
      <c r="CJ12" s="10">
        <v>0.5</v>
      </c>
      <c r="CN12" s="10"/>
      <c r="CO12" s="10">
        <v>0.8</v>
      </c>
      <c r="CP12" s="10"/>
      <c r="CQ12" s="10">
        <v>0.8</v>
      </c>
      <c r="CR12">
        <v>1</v>
      </c>
      <c r="CU12" s="10"/>
      <c r="CV12" s="10">
        <v>0.8</v>
      </c>
      <c r="CW12" s="10"/>
      <c r="CX12" s="10">
        <v>0.8</v>
      </c>
      <c r="CY12">
        <v>2</v>
      </c>
      <c r="DB12" s="10"/>
      <c r="DC12" s="10">
        <v>0.8</v>
      </c>
      <c r="DD12" s="10"/>
      <c r="DE12" s="10">
        <v>0.8</v>
      </c>
      <c r="DI12" s="10"/>
      <c r="DJ12" s="10">
        <v>1</v>
      </c>
      <c r="DK12" s="10"/>
      <c r="DL12" s="10">
        <v>1</v>
      </c>
      <c r="DP12" s="10"/>
      <c r="DQ12" s="10"/>
      <c r="DR12" s="10"/>
      <c r="DS12" s="10"/>
      <c r="DW12" s="10"/>
      <c r="DX12" s="10"/>
      <c r="DY12" s="10"/>
      <c r="DZ12" s="10"/>
      <c r="ED12" s="10"/>
      <c r="EE12" s="10"/>
      <c r="EF12" s="10"/>
      <c r="EG12" s="10"/>
      <c r="EK12" s="10"/>
      <c r="EL12" s="10"/>
      <c r="EM12" s="10"/>
      <c r="EN12" s="10"/>
    </row>
    <row r="14" spans="2:145" x14ac:dyDescent="0.2">
      <c r="B14" t="s">
        <v>27</v>
      </c>
      <c r="C14" t="s">
        <v>89</v>
      </c>
      <c r="D14" s="19">
        <v>44971</v>
      </c>
      <c r="E14" s="9">
        <v>5</v>
      </c>
      <c r="G14" s="10">
        <f>+SUM(G15:G19)</f>
        <v>1</v>
      </c>
      <c r="I14" s="12">
        <f>+SUM(I15:I19)</f>
        <v>0</v>
      </c>
      <c r="J14" s="11">
        <f>+SUMPRODUCT(G15:G19,J15:J19)</f>
        <v>0</v>
      </c>
      <c r="K14" s="11">
        <f>+SUMPRODUCT(G15:G19,K15:K19)</f>
        <v>0</v>
      </c>
      <c r="L14" s="9"/>
      <c r="N14" s="12">
        <v>0</v>
      </c>
      <c r="U14" s="12">
        <f>+SUM(U15:U19)</f>
        <v>0</v>
      </c>
      <c r="AB14" s="12">
        <f>+SUM(AB15:AB19)</f>
        <v>0</v>
      </c>
      <c r="AI14" s="12">
        <f>+SUM(AI15:AI19)</f>
        <v>0</v>
      </c>
      <c r="AP14" s="12">
        <f>+SUM(AP15:AP19)</f>
        <v>0</v>
      </c>
    </row>
    <row r="15" spans="2:145" outlineLevel="1" x14ac:dyDescent="0.2">
      <c r="B15" t="s">
        <v>28</v>
      </c>
      <c r="C15" t="s">
        <v>89</v>
      </c>
      <c r="E15" s="9"/>
      <c r="F15" t="s">
        <v>117</v>
      </c>
      <c r="G15" s="10">
        <v>0.1</v>
      </c>
      <c r="I15" s="9">
        <f t="shared" ref="I15:I19" si="1">+SUMIF($N$3:$ZZ$3,I$3,$N15:$ZZ15)</f>
        <v>0</v>
      </c>
      <c r="J15" s="11" cm="1">
        <f t="array" ref="J15">MAX(IF($N$3:$EH$3=$J$3,N15:EH15))</f>
        <v>0</v>
      </c>
      <c r="K15" s="11" cm="1">
        <f t="array" ref="K15">MAX(IF($N$3:$EH$3=$J$3,N15:EH15))</f>
        <v>0</v>
      </c>
      <c r="L15" s="9"/>
      <c r="O15" s="10"/>
      <c r="P15" s="10">
        <v>0.5</v>
      </c>
      <c r="Q15" s="10"/>
      <c r="R15" s="10">
        <v>0.5</v>
      </c>
      <c r="S15">
        <v>1</v>
      </c>
      <c r="V15" s="10"/>
      <c r="W15" s="10">
        <v>0.5</v>
      </c>
      <c r="X15" s="10"/>
      <c r="Y15" s="10">
        <v>0.5</v>
      </c>
      <c r="AC15" s="10"/>
      <c r="AD15" s="10">
        <v>0.8</v>
      </c>
      <c r="AE15" s="10"/>
      <c r="AF15" s="10">
        <v>0.8</v>
      </c>
      <c r="AJ15" s="10"/>
      <c r="AK15" s="10">
        <v>0.8</v>
      </c>
      <c r="AL15" s="10"/>
      <c r="AM15" s="10">
        <v>0.8</v>
      </c>
      <c r="AQ15" s="10"/>
      <c r="AR15" s="10">
        <v>0.8</v>
      </c>
      <c r="AS15" s="10"/>
      <c r="AT15" s="10">
        <v>0.8</v>
      </c>
      <c r="AX15" s="10"/>
      <c r="AY15" s="10">
        <v>0.8</v>
      </c>
      <c r="AZ15" s="10"/>
      <c r="BA15" s="10">
        <v>0.8</v>
      </c>
      <c r="BE15" s="10"/>
      <c r="BF15" s="10">
        <v>0.8</v>
      </c>
      <c r="BG15" s="10"/>
      <c r="BH15" s="10">
        <v>0.8</v>
      </c>
      <c r="BL15" s="10"/>
      <c r="BM15" s="10">
        <v>0.8</v>
      </c>
      <c r="BN15" s="10"/>
      <c r="BO15" s="10">
        <v>0.8</v>
      </c>
      <c r="BS15" s="10"/>
      <c r="BT15" s="10">
        <v>1</v>
      </c>
      <c r="BU15" s="10"/>
      <c r="BV15" s="10">
        <v>1</v>
      </c>
      <c r="BZ15" s="10"/>
      <c r="CA15" s="10">
        <v>1</v>
      </c>
      <c r="CB15" s="10"/>
      <c r="CC15" s="10">
        <v>1</v>
      </c>
      <c r="CG15" s="10"/>
      <c r="CH15" s="10">
        <v>1</v>
      </c>
      <c r="CI15" s="10"/>
      <c r="CJ15" s="10">
        <v>1</v>
      </c>
      <c r="CN15" s="10"/>
      <c r="CO15" s="10">
        <v>1</v>
      </c>
      <c r="CP15" s="10"/>
      <c r="CQ15" s="10">
        <v>1</v>
      </c>
      <c r="CU15" s="10"/>
      <c r="CV15" s="10">
        <v>1</v>
      </c>
      <c r="CW15" s="10"/>
      <c r="CX15" s="10">
        <v>1</v>
      </c>
      <c r="DB15" s="10"/>
      <c r="DC15" s="10">
        <v>1</v>
      </c>
      <c r="DD15" s="10"/>
      <c r="DE15" s="10">
        <v>1</v>
      </c>
      <c r="DI15" s="10"/>
      <c r="DJ15" s="10">
        <v>1</v>
      </c>
      <c r="DK15" s="10"/>
      <c r="DL15" s="10">
        <v>1</v>
      </c>
      <c r="DP15" s="10"/>
      <c r="DQ15" s="10"/>
      <c r="DR15" s="10"/>
      <c r="DS15" s="10"/>
      <c r="DW15" s="10"/>
      <c r="DX15" s="10"/>
      <c r="DY15" s="10"/>
      <c r="DZ15" s="10"/>
      <c r="ED15" s="10"/>
      <c r="EE15" s="10"/>
      <c r="EF15" s="10"/>
      <c r="EG15" s="10"/>
      <c r="EK15" s="10"/>
      <c r="EL15" s="10"/>
      <c r="EM15" s="10"/>
      <c r="EN15" s="10"/>
    </row>
    <row r="16" spans="2:145" outlineLevel="1" x14ac:dyDescent="0.2">
      <c r="B16" t="s">
        <v>28</v>
      </c>
      <c r="C16" t="s">
        <v>89</v>
      </c>
      <c r="E16" s="9"/>
      <c r="F16" t="s">
        <v>118</v>
      </c>
      <c r="G16" s="10">
        <v>0.2</v>
      </c>
      <c r="I16" s="9">
        <f t="shared" si="1"/>
        <v>0</v>
      </c>
      <c r="J16" s="11" cm="1">
        <f t="array" ref="J16">MAX(IF($N$3:$EH$3=$J$3,N16:EH16))</f>
        <v>0</v>
      </c>
      <c r="K16" s="11" cm="1">
        <f t="array" ref="K16">MAX(IF($N$3:$EH$3=$J$3,N16:EH16))</f>
        <v>0</v>
      </c>
      <c r="L16" s="9"/>
      <c r="O16" s="10"/>
      <c r="P16" s="10"/>
      <c r="Q16" s="10"/>
      <c r="R16" s="10"/>
      <c r="V16" s="10"/>
      <c r="W16" s="10">
        <v>0.5</v>
      </c>
      <c r="X16" s="10"/>
      <c r="Y16" s="10">
        <v>0.5</v>
      </c>
      <c r="Z16">
        <v>2</v>
      </c>
      <c r="AC16" s="10"/>
      <c r="AD16" s="10">
        <v>0.5</v>
      </c>
      <c r="AE16" s="10"/>
      <c r="AF16" s="10">
        <v>0.5</v>
      </c>
      <c r="AG16">
        <v>2</v>
      </c>
      <c r="AJ16" s="10"/>
      <c r="AK16" s="10">
        <v>0.5</v>
      </c>
      <c r="AL16" s="10"/>
      <c r="AM16" s="10">
        <v>0.5</v>
      </c>
      <c r="AQ16" s="10"/>
      <c r="AR16" s="10">
        <v>0.8</v>
      </c>
      <c r="AS16" s="10"/>
      <c r="AT16" s="10">
        <v>0.8</v>
      </c>
      <c r="AX16" s="10"/>
      <c r="AY16" s="10">
        <v>0.8</v>
      </c>
      <c r="AZ16" s="10"/>
      <c r="BA16" s="10">
        <v>0.8</v>
      </c>
      <c r="BE16" s="10"/>
      <c r="BF16" s="10">
        <v>0.8</v>
      </c>
      <c r="BG16" s="10"/>
      <c r="BH16" s="10">
        <v>0.8</v>
      </c>
      <c r="BI16">
        <v>1</v>
      </c>
      <c r="BL16" s="10"/>
      <c r="BM16" s="10">
        <v>0.8</v>
      </c>
      <c r="BN16" s="10"/>
      <c r="BO16" s="10">
        <v>0.8</v>
      </c>
      <c r="BS16" s="10"/>
      <c r="BT16" s="10">
        <v>0.8</v>
      </c>
      <c r="BU16" s="10"/>
      <c r="BV16" s="10">
        <v>0.8</v>
      </c>
      <c r="BZ16" s="10"/>
      <c r="CA16" s="10">
        <v>1</v>
      </c>
      <c r="CB16" s="10"/>
      <c r="CC16" s="10">
        <v>1</v>
      </c>
      <c r="CG16" s="10"/>
      <c r="CH16" s="10">
        <v>1</v>
      </c>
      <c r="CI16" s="10"/>
      <c r="CJ16" s="10">
        <v>1</v>
      </c>
      <c r="CN16" s="10"/>
      <c r="CO16" s="10">
        <v>1</v>
      </c>
      <c r="CP16" s="10"/>
      <c r="CQ16" s="10">
        <v>1</v>
      </c>
      <c r="CU16" s="10"/>
      <c r="CV16" s="10">
        <v>1</v>
      </c>
      <c r="CW16" s="10"/>
      <c r="CX16" s="10">
        <v>1</v>
      </c>
      <c r="DB16" s="10"/>
      <c r="DC16" s="10">
        <v>1</v>
      </c>
      <c r="DD16" s="10"/>
      <c r="DE16" s="10">
        <v>1</v>
      </c>
      <c r="DI16" s="10"/>
      <c r="DJ16" s="10">
        <v>1</v>
      </c>
      <c r="DK16" s="10"/>
      <c r="DL16" s="10">
        <v>1</v>
      </c>
      <c r="DP16" s="10"/>
      <c r="DQ16" s="10"/>
      <c r="DR16" s="10"/>
      <c r="DS16" s="10"/>
      <c r="DW16" s="10"/>
      <c r="DX16" s="10"/>
      <c r="DY16" s="10"/>
      <c r="DZ16" s="10"/>
      <c r="ED16" s="10"/>
      <c r="EE16" s="10"/>
      <c r="EF16" s="10"/>
      <c r="EG16" s="10"/>
      <c r="EK16" s="10"/>
      <c r="EL16" s="10"/>
      <c r="EM16" s="10"/>
      <c r="EN16" s="10"/>
    </row>
    <row r="17" spans="2:144" outlineLevel="1" x14ac:dyDescent="0.2">
      <c r="B17" t="s">
        <v>28</v>
      </c>
      <c r="C17" t="s">
        <v>89</v>
      </c>
      <c r="E17" s="9"/>
      <c r="F17" t="s">
        <v>119</v>
      </c>
      <c r="G17" s="10">
        <v>0.2</v>
      </c>
      <c r="I17" s="9">
        <f t="shared" si="1"/>
        <v>0</v>
      </c>
      <c r="J17" s="11" cm="1">
        <f t="array" ref="J17">MAX(IF($N$3:$EH$3=$J$3,N17:EH17))</f>
        <v>0</v>
      </c>
      <c r="K17" s="11" cm="1">
        <f t="array" ref="K17">MAX(IF($N$3:$EH$3=$J$3,N17:EH17))</f>
        <v>0</v>
      </c>
      <c r="L17" s="9"/>
      <c r="O17" s="10"/>
      <c r="P17" s="10"/>
      <c r="Q17" s="10"/>
      <c r="R17" s="10"/>
      <c r="V17" s="10"/>
      <c r="W17" s="10"/>
      <c r="X17" s="10"/>
      <c r="Y17" s="10"/>
      <c r="AC17" s="10"/>
      <c r="AD17" s="10">
        <v>0.5</v>
      </c>
      <c r="AE17" s="10"/>
      <c r="AF17" s="10">
        <v>0.5</v>
      </c>
      <c r="AJ17" s="10"/>
      <c r="AK17" s="10">
        <v>0.5</v>
      </c>
      <c r="AL17" s="10"/>
      <c r="AM17" s="10">
        <v>0.5</v>
      </c>
      <c r="AN17">
        <v>1</v>
      </c>
      <c r="AQ17" s="10"/>
      <c r="AR17" s="10">
        <v>0.5</v>
      </c>
      <c r="AS17" s="10"/>
      <c r="AT17" s="10">
        <v>0.5</v>
      </c>
      <c r="AU17">
        <v>0</v>
      </c>
      <c r="AX17" s="10"/>
      <c r="AY17" s="10">
        <v>0.5</v>
      </c>
      <c r="AZ17" s="10"/>
      <c r="BA17" s="10">
        <v>0.5</v>
      </c>
      <c r="BB17">
        <v>1</v>
      </c>
      <c r="BE17" s="10"/>
      <c r="BF17" s="10">
        <v>0.8</v>
      </c>
      <c r="BG17" s="10"/>
      <c r="BH17" s="10">
        <v>0.8</v>
      </c>
      <c r="BL17" s="10"/>
      <c r="BM17" s="10">
        <v>0.8</v>
      </c>
      <c r="BN17" s="10"/>
      <c r="BO17" s="10">
        <v>0.8</v>
      </c>
      <c r="BS17" s="10"/>
      <c r="BT17" s="10">
        <v>0.8</v>
      </c>
      <c r="BU17" s="10"/>
      <c r="BV17" s="10">
        <v>0.8</v>
      </c>
      <c r="BW17">
        <v>1</v>
      </c>
      <c r="BZ17" s="10"/>
      <c r="CA17" s="10">
        <v>0.8</v>
      </c>
      <c r="CB17" s="10"/>
      <c r="CC17" s="10">
        <v>0.8</v>
      </c>
      <c r="CG17" s="10"/>
      <c r="CH17" s="10">
        <v>0.8</v>
      </c>
      <c r="CI17" s="10"/>
      <c r="CJ17" s="10">
        <v>0.8</v>
      </c>
      <c r="CN17" s="10"/>
      <c r="CO17" s="10">
        <v>0.8</v>
      </c>
      <c r="CP17" s="10"/>
      <c r="CQ17" s="10">
        <v>0.8</v>
      </c>
      <c r="CU17" s="10"/>
      <c r="CV17" s="10">
        <v>1</v>
      </c>
      <c r="CW17" s="10"/>
      <c r="CX17" s="10">
        <v>1</v>
      </c>
      <c r="DB17" s="10"/>
      <c r="DC17" s="10">
        <v>1</v>
      </c>
      <c r="DD17" s="10"/>
      <c r="DE17" s="10">
        <v>1</v>
      </c>
      <c r="DI17" s="10"/>
      <c r="DJ17" s="10">
        <v>1</v>
      </c>
      <c r="DK17" s="10"/>
      <c r="DL17" s="10">
        <v>1</v>
      </c>
      <c r="DP17" s="10"/>
      <c r="DQ17" s="10"/>
      <c r="DR17" s="10"/>
      <c r="DS17" s="10"/>
      <c r="DW17" s="10"/>
      <c r="DX17" s="10"/>
      <c r="DY17" s="10"/>
      <c r="DZ17" s="10"/>
      <c r="ED17" s="10"/>
      <c r="EE17" s="10"/>
      <c r="EF17" s="10"/>
      <c r="EG17" s="10"/>
      <c r="EK17" s="10"/>
      <c r="EL17" s="10"/>
      <c r="EM17" s="10"/>
      <c r="EN17" s="10"/>
    </row>
    <row r="18" spans="2:144" outlineLevel="1" x14ac:dyDescent="0.2">
      <c r="B18" t="s">
        <v>28</v>
      </c>
      <c r="C18" t="s">
        <v>89</v>
      </c>
      <c r="E18" s="9"/>
      <c r="F18" t="s">
        <v>120</v>
      </c>
      <c r="G18" s="10">
        <v>0.25</v>
      </c>
      <c r="I18" s="9">
        <f t="shared" si="1"/>
        <v>0</v>
      </c>
      <c r="J18" s="11" cm="1">
        <f t="array" ref="J18">MAX(IF($N$3:$EH$3=$J$3,N18:EH18))</f>
        <v>0</v>
      </c>
      <c r="K18" s="11" cm="1">
        <f t="array" ref="K18">MAX(IF($N$3:$EH$3=$J$3,N18:EH18))</f>
        <v>0</v>
      </c>
      <c r="L18" s="9"/>
      <c r="O18" s="10"/>
      <c r="P18" s="10"/>
      <c r="Q18" s="10"/>
      <c r="R18" s="10"/>
      <c r="V18" s="10"/>
      <c r="W18" s="10"/>
      <c r="X18" s="10"/>
      <c r="Y18" s="10"/>
      <c r="AC18" s="10"/>
      <c r="AD18" s="10"/>
      <c r="AE18" s="10"/>
      <c r="AF18" s="10"/>
      <c r="AJ18" s="10"/>
      <c r="AK18" s="10">
        <v>0.5</v>
      </c>
      <c r="AL18" s="10"/>
      <c r="AM18" s="10">
        <v>0.5</v>
      </c>
      <c r="AQ18" s="10"/>
      <c r="AR18" s="10">
        <v>0.5</v>
      </c>
      <c r="AS18" s="10"/>
      <c r="AT18" s="10">
        <v>0.5</v>
      </c>
      <c r="AX18" s="10"/>
      <c r="AY18" s="10">
        <v>0.5</v>
      </c>
      <c r="AZ18" s="10"/>
      <c r="BA18" s="10">
        <v>0.5</v>
      </c>
      <c r="BE18" s="10"/>
      <c r="BF18" s="10">
        <v>0.5</v>
      </c>
      <c r="BG18" s="10"/>
      <c r="BH18" s="10">
        <v>0.5</v>
      </c>
      <c r="BL18" s="10"/>
      <c r="BM18" s="10">
        <v>0.5</v>
      </c>
      <c r="BN18" s="10"/>
      <c r="BO18" s="10">
        <v>0.5</v>
      </c>
      <c r="BP18">
        <v>1</v>
      </c>
      <c r="BS18" s="10"/>
      <c r="BT18" s="10">
        <v>0.5</v>
      </c>
      <c r="BU18" s="10"/>
      <c r="BV18" s="10">
        <v>0.5</v>
      </c>
      <c r="BZ18" s="10"/>
      <c r="CA18" s="10">
        <v>0.5</v>
      </c>
      <c r="CB18" s="10"/>
      <c r="CC18" s="10">
        <v>0.5</v>
      </c>
      <c r="CD18">
        <v>1</v>
      </c>
      <c r="CG18" s="10"/>
      <c r="CH18" s="10">
        <v>0.8</v>
      </c>
      <c r="CI18" s="10"/>
      <c r="CJ18" s="10">
        <v>0.8</v>
      </c>
      <c r="CK18">
        <v>1</v>
      </c>
      <c r="CN18" s="10"/>
      <c r="CO18" s="10">
        <v>0.8</v>
      </c>
      <c r="CP18" s="10"/>
      <c r="CQ18" s="10">
        <v>0.8</v>
      </c>
      <c r="CR18">
        <v>1</v>
      </c>
      <c r="CU18" s="10"/>
      <c r="CV18" s="10">
        <v>0.8</v>
      </c>
      <c r="CW18" s="10"/>
      <c r="CX18" s="10">
        <v>0.8</v>
      </c>
      <c r="CY18">
        <v>1</v>
      </c>
      <c r="DB18" s="10"/>
      <c r="DC18" s="10">
        <v>1</v>
      </c>
      <c r="DD18" s="10"/>
      <c r="DE18" s="10">
        <v>1</v>
      </c>
      <c r="DI18" s="10"/>
      <c r="DJ18" s="10">
        <v>1</v>
      </c>
      <c r="DK18" s="10"/>
      <c r="DL18" s="10">
        <v>1</v>
      </c>
      <c r="DP18" s="10"/>
      <c r="DQ18" s="10"/>
      <c r="DR18" s="10"/>
      <c r="DS18" s="10"/>
      <c r="DW18" s="10"/>
      <c r="DX18" s="10"/>
      <c r="DY18" s="10"/>
      <c r="DZ18" s="10"/>
      <c r="ED18" s="10"/>
      <c r="EE18" s="10"/>
      <c r="EF18" s="10"/>
      <c r="EG18" s="10"/>
      <c r="EK18" s="10"/>
      <c r="EL18" s="10"/>
      <c r="EM18" s="10"/>
      <c r="EN18" s="10"/>
    </row>
    <row r="19" spans="2:144" outlineLevel="1" x14ac:dyDescent="0.2">
      <c r="B19" t="s">
        <v>28</v>
      </c>
      <c r="C19" t="s">
        <v>89</v>
      </c>
      <c r="E19" s="9"/>
      <c r="F19" t="s">
        <v>121</v>
      </c>
      <c r="G19" s="10">
        <v>0.25</v>
      </c>
      <c r="I19" s="9">
        <f t="shared" si="1"/>
        <v>0</v>
      </c>
      <c r="J19" s="11" cm="1">
        <f t="array" ref="J19">MAX(IF($N$3:$EH$3=$J$3,N19:EH19))</f>
        <v>0</v>
      </c>
      <c r="K19" s="11" cm="1">
        <f t="array" ref="K19">MAX(IF($N$3:$EH$3=$J$3,N19:EH19))</f>
        <v>0</v>
      </c>
      <c r="L19" s="9"/>
      <c r="O19" s="10"/>
      <c r="P19" s="10"/>
      <c r="Q19" s="10"/>
      <c r="R19" s="10"/>
      <c r="V19" s="10"/>
      <c r="W19" s="10"/>
      <c r="X19" s="10"/>
      <c r="Y19" s="10"/>
      <c r="AC19" s="10"/>
      <c r="AD19" s="10"/>
      <c r="AE19" s="10"/>
      <c r="AF19" s="10"/>
      <c r="AJ19" s="10"/>
      <c r="AK19" s="10">
        <v>0.5</v>
      </c>
      <c r="AL19" s="10"/>
      <c r="AM19" s="10">
        <v>0.5</v>
      </c>
      <c r="AQ19" s="10"/>
      <c r="AR19" s="10">
        <v>0.5</v>
      </c>
      <c r="AS19" s="10"/>
      <c r="AT19" s="10">
        <v>0.5</v>
      </c>
      <c r="AX19" s="10"/>
      <c r="AY19" s="10">
        <v>0.5</v>
      </c>
      <c r="AZ19" s="10"/>
      <c r="BA19" s="10">
        <v>0.5</v>
      </c>
      <c r="BE19" s="10"/>
      <c r="BF19" s="10"/>
      <c r="BG19" s="10"/>
      <c r="BH19" s="10"/>
      <c r="BL19" s="10"/>
      <c r="BM19" s="10">
        <v>0.5</v>
      </c>
      <c r="BN19" s="10"/>
      <c r="BO19" s="10">
        <v>0.5</v>
      </c>
      <c r="BS19" s="10"/>
      <c r="BT19" s="10">
        <v>0.5</v>
      </c>
      <c r="BU19" s="10"/>
      <c r="BV19" s="10">
        <v>0.5</v>
      </c>
      <c r="BZ19" s="10"/>
      <c r="CA19" s="10">
        <v>0.5</v>
      </c>
      <c r="CB19" s="10"/>
      <c r="CC19" s="10">
        <v>0.5</v>
      </c>
      <c r="CG19" s="10"/>
      <c r="CH19" s="10">
        <v>0.5</v>
      </c>
      <c r="CI19" s="10"/>
      <c r="CJ19" s="10">
        <v>0.5</v>
      </c>
      <c r="CN19" s="10"/>
      <c r="CO19" s="10">
        <v>0.8</v>
      </c>
      <c r="CP19" s="10"/>
      <c r="CQ19" s="10">
        <v>0.8</v>
      </c>
      <c r="CU19" s="10"/>
      <c r="CV19" s="10">
        <v>0.8</v>
      </c>
      <c r="CW19" s="10"/>
      <c r="CX19" s="10">
        <v>0.8</v>
      </c>
      <c r="DB19" s="10"/>
      <c r="DC19" s="10">
        <v>0.8</v>
      </c>
      <c r="DD19" s="10"/>
      <c r="DE19" s="10">
        <v>0.8</v>
      </c>
      <c r="DF19">
        <v>1</v>
      </c>
      <c r="DI19" s="10"/>
      <c r="DJ19" s="10">
        <v>1</v>
      </c>
      <c r="DK19" s="10"/>
      <c r="DL19" s="10">
        <v>1</v>
      </c>
      <c r="DP19" s="10"/>
      <c r="DQ19" s="10"/>
      <c r="DR19" s="10"/>
      <c r="DS19" s="10"/>
      <c r="DW19" s="10"/>
      <c r="DX19" s="10"/>
      <c r="DY19" s="10"/>
      <c r="DZ19" s="10"/>
      <c r="ED19" s="10"/>
      <c r="EE19" s="10"/>
      <c r="EF19" s="10"/>
      <c r="EG19" s="10"/>
      <c r="EK19" s="10"/>
      <c r="EL19" s="10"/>
      <c r="EM19" s="10"/>
      <c r="EN19" s="10"/>
    </row>
    <row r="21" spans="2:144" x14ac:dyDescent="0.2">
      <c r="B21" t="s">
        <v>27</v>
      </c>
      <c r="C21" t="s">
        <v>90</v>
      </c>
      <c r="D21" s="19">
        <v>44978</v>
      </c>
      <c r="E21" s="9">
        <v>10</v>
      </c>
      <c r="G21" s="10">
        <f>+SUM(G22:G34)</f>
        <v>0.99999999999999989</v>
      </c>
      <c r="I21" s="12">
        <f>+SUM(I22:I34)</f>
        <v>0</v>
      </c>
      <c r="J21" s="11">
        <f>+SUMPRODUCT(G22:G34,J22:J34)</f>
        <v>0</v>
      </c>
      <c r="K21" s="11">
        <f>+SUMPRODUCT(G22:G34,K22:K34)</f>
        <v>0</v>
      </c>
      <c r="L21" s="9"/>
      <c r="N21" s="12">
        <v>0</v>
      </c>
      <c r="U21" s="12">
        <f>+SUM(U22:U34)</f>
        <v>0</v>
      </c>
      <c r="AB21" s="12">
        <f>+SUM(AB22:AB34)</f>
        <v>0</v>
      </c>
      <c r="AI21" s="12">
        <f>+SUM(AI22:AI34)</f>
        <v>0</v>
      </c>
      <c r="AP21" s="12">
        <f>+SUM(AP22:AP34)</f>
        <v>0</v>
      </c>
    </row>
    <row r="22" spans="2:144" outlineLevel="1" x14ac:dyDescent="0.2">
      <c r="B22" t="s">
        <v>28</v>
      </c>
      <c r="C22" t="s">
        <v>90</v>
      </c>
      <c r="E22" s="9"/>
      <c r="F22" t="s">
        <v>122</v>
      </c>
      <c r="G22" s="10">
        <v>0.1</v>
      </c>
      <c r="I22" s="9">
        <f t="shared" ref="I22:I34" si="2">+SUMIF($N$3:$ZZ$3,I$3,$N22:$ZZ22)</f>
        <v>0</v>
      </c>
      <c r="J22" s="11" cm="1">
        <f t="array" ref="J22">MAX(IF($N$3:$EH$3=$J$3,N22:EH22))</f>
        <v>0</v>
      </c>
      <c r="K22" s="11" cm="1">
        <f t="array" ref="K22">MAX(IF($N$3:$EH$3=$J$3,N22:EH22))</f>
        <v>0</v>
      </c>
      <c r="L22" s="9"/>
      <c r="O22" s="10"/>
      <c r="P22" s="10">
        <v>0.5</v>
      </c>
      <c r="Q22" s="10"/>
      <c r="R22" s="10">
        <v>0.5</v>
      </c>
      <c r="V22" s="10"/>
      <c r="W22" s="10">
        <v>0.5</v>
      </c>
      <c r="X22" s="10"/>
      <c r="Y22" s="10">
        <v>0.5</v>
      </c>
      <c r="AC22" s="10"/>
      <c r="AD22" s="10">
        <v>0.5</v>
      </c>
      <c r="AE22" s="10"/>
      <c r="AF22" s="10">
        <v>0.5</v>
      </c>
      <c r="AJ22" s="10"/>
      <c r="AK22" s="10">
        <v>0.8</v>
      </c>
      <c r="AL22" s="10"/>
      <c r="AM22" s="10">
        <v>0.8</v>
      </c>
      <c r="AQ22" s="10"/>
      <c r="AR22" s="10">
        <v>0.8</v>
      </c>
      <c r="AS22" s="10"/>
      <c r="AT22" s="10">
        <v>0.8</v>
      </c>
      <c r="AX22" s="10"/>
      <c r="AY22" s="10">
        <v>0.8</v>
      </c>
      <c r="AZ22" s="10"/>
      <c r="BA22" s="10">
        <v>0.8</v>
      </c>
      <c r="BE22" s="10"/>
      <c r="BF22" s="10">
        <v>0.8</v>
      </c>
      <c r="BG22" s="10"/>
      <c r="BH22" s="10">
        <v>0.8</v>
      </c>
      <c r="BL22" s="10"/>
      <c r="BM22" s="10">
        <v>0.8</v>
      </c>
      <c r="BN22" s="10"/>
      <c r="BO22" s="10">
        <v>0.8</v>
      </c>
      <c r="BS22" s="10"/>
      <c r="BT22" s="10">
        <v>0.8</v>
      </c>
      <c r="BU22" s="10"/>
      <c r="BV22" s="10">
        <v>0.8</v>
      </c>
      <c r="BZ22" s="10"/>
      <c r="CA22" s="10">
        <v>1</v>
      </c>
      <c r="CB22" s="10"/>
      <c r="CC22" s="10">
        <v>1</v>
      </c>
      <c r="CG22" s="10"/>
      <c r="CH22" s="10">
        <v>1</v>
      </c>
      <c r="CI22" s="10"/>
      <c r="CJ22" s="10">
        <v>1</v>
      </c>
      <c r="CN22" s="10"/>
      <c r="CO22" s="10">
        <v>1</v>
      </c>
      <c r="CP22" s="10"/>
      <c r="CQ22" s="10">
        <v>1</v>
      </c>
      <c r="CU22" s="10"/>
      <c r="CV22" s="10">
        <v>1</v>
      </c>
      <c r="CW22" s="10"/>
      <c r="CX22" s="10">
        <v>1</v>
      </c>
      <c r="DB22" s="10"/>
      <c r="DC22" s="10">
        <v>1</v>
      </c>
      <c r="DD22" s="10"/>
      <c r="DE22" s="10">
        <v>1</v>
      </c>
      <c r="DI22" s="10"/>
      <c r="DJ22" s="10">
        <v>1</v>
      </c>
      <c r="DK22" s="10"/>
      <c r="DL22" s="10">
        <v>1</v>
      </c>
      <c r="DP22" s="10"/>
      <c r="DQ22" s="10"/>
      <c r="DR22" s="10"/>
      <c r="DS22" s="10"/>
      <c r="DW22" s="10"/>
      <c r="DX22" s="10"/>
      <c r="DY22" s="10"/>
      <c r="DZ22" s="10"/>
      <c r="ED22" s="10"/>
      <c r="EE22" s="10"/>
      <c r="EF22" s="10"/>
      <c r="EG22" s="10"/>
      <c r="EK22" s="10"/>
      <c r="EL22" s="10"/>
      <c r="EM22" s="10"/>
      <c r="EN22" s="10"/>
    </row>
    <row r="23" spans="2:144" outlineLevel="1" x14ac:dyDescent="0.2">
      <c r="B23" t="s">
        <v>28</v>
      </c>
      <c r="C23" t="s">
        <v>90</v>
      </c>
      <c r="E23" s="9"/>
      <c r="F23" t="s">
        <v>123</v>
      </c>
      <c r="G23" s="10">
        <v>0.05</v>
      </c>
      <c r="I23" s="9">
        <f t="shared" si="2"/>
        <v>0</v>
      </c>
      <c r="J23" s="11" cm="1">
        <f t="array" ref="J23">MAX(IF($N$3:$EH$3=$J$3,N23:EH23))</f>
        <v>0</v>
      </c>
      <c r="K23" s="11" cm="1">
        <f t="array" ref="K23">MAX(IF($N$3:$EH$3=$J$3,N23:EH23))</f>
        <v>0</v>
      </c>
      <c r="L23" s="9"/>
      <c r="O23" s="10"/>
      <c r="P23" s="10">
        <v>0.5</v>
      </c>
      <c r="Q23" s="10"/>
      <c r="R23" s="10">
        <v>0.5</v>
      </c>
      <c r="S23">
        <v>2</v>
      </c>
      <c r="V23" s="10"/>
      <c r="W23" s="10">
        <v>0.5</v>
      </c>
      <c r="X23" s="10"/>
      <c r="Y23" s="10">
        <v>0.5</v>
      </c>
      <c r="AC23" s="10"/>
      <c r="AD23" s="10">
        <v>0.5</v>
      </c>
      <c r="AE23" s="10"/>
      <c r="AF23" s="10">
        <v>0.5</v>
      </c>
      <c r="AJ23" s="10"/>
      <c r="AK23" s="10">
        <v>0.5</v>
      </c>
      <c r="AL23" s="10"/>
      <c r="AM23" s="10">
        <v>0.5</v>
      </c>
      <c r="AQ23" s="10"/>
      <c r="AR23" s="10">
        <v>0.5</v>
      </c>
      <c r="AS23" s="10"/>
      <c r="AT23" s="10">
        <v>0.5</v>
      </c>
      <c r="AX23" s="10"/>
      <c r="AY23" s="10">
        <v>0.8</v>
      </c>
      <c r="AZ23" s="10"/>
      <c r="BA23" s="10">
        <v>0.8</v>
      </c>
      <c r="BE23" s="10"/>
      <c r="BF23" s="10">
        <v>0.8</v>
      </c>
      <c r="BG23" s="10"/>
      <c r="BH23" s="10">
        <v>0.8</v>
      </c>
      <c r="BL23" s="10"/>
      <c r="BM23" s="10">
        <v>0.8</v>
      </c>
      <c r="BN23" s="10"/>
      <c r="BO23" s="10">
        <v>0.8</v>
      </c>
      <c r="BS23" s="10"/>
      <c r="BT23" s="10">
        <v>0.8</v>
      </c>
      <c r="BU23" s="10"/>
      <c r="BV23" s="10">
        <v>0.8</v>
      </c>
      <c r="BZ23" s="10"/>
      <c r="CA23" s="10">
        <v>0.8</v>
      </c>
      <c r="CB23" s="10"/>
      <c r="CC23" s="10">
        <v>0.8</v>
      </c>
      <c r="CG23" s="10"/>
      <c r="CH23" s="10">
        <v>1</v>
      </c>
      <c r="CI23" s="10"/>
      <c r="CJ23" s="10">
        <v>1</v>
      </c>
      <c r="CN23" s="10"/>
      <c r="CO23" s="10">
        <v>1</v>
      </c>
      <c r="CP23" s="10"/>
      <c r="CQ23" s="10">
        <v>1</v>
      </c>
      <c r="CU23" s="10"/>
      <c r="CV23" s="10">
        <v>1</v>
      </c>
      <c r="CW23" s="10"/>
      <c r="CX23" s="10">
        <v>1</v>
      </c>
      <c r="DB23" s="10"/>
      <c r="DC23" s="10">
        <v>1</v>
      </c>
      <c r="DD23" s="10"/>
      <c r="DE23" s="10">
        <v>1</v>
      </c>
      <c r="DI23" s="10"/>
      <c r="DJ23" s="10">
        <v>1</v>
      </c>
      <c r="DK23" s="10"/>
      <c r="DL23" s="10">
        <v>1</v>
      </c>
      <c r="DP23" s="10"/>
      <c r="DQ23" s="10"/>
      <c r="DR23" s="10"/>
      <c r="DS23" s="10"/>
      <c r="DW23" s="10"/>
      <c r="DX23" s="10"/>
      <c r="DY23" s="10"/>
      <c r="DZ23" s="10"/>
      <c r="ED23" s="10"/>
      <c r="EE23" s="10"/>
      <c r="EF23" s="10"/>
      <c r="EG23" s="10"/>
      <c r="EK23" s="10"/>
      <c r="EL23" s="10"/>
      <c r="EM23" s="10"/>
      <c r="EN23" s="10"/>
    </row>
    <row r="24" spans="2:144" outlineLevel="1" x14ac:dyDescent="0.2">
      <c r="B24" t="s">
        <v>28</v>
      </c>
      <c r="C24" t="s">
        <v>90</v>
      </c>
      <c r="E24" s="9"/>
      <c r="F24" t="s">
        <v>124</v>
      </c>
      <c r="G24" s="10">
        <v>0.05</v>
      </c>
      <c r="I24" s="9">
        <f t="shared" si="2"/>
        <v>0</v>
      </c>
      <c r="J24" s="11" cm="1">
        <f t="array" ref="J24">MAX(IF($N$3:$EH$3=$J$3,N24:EH24))</f>
        <v>0</v>
      </c>
      <c r="K24" s="11" cm="1">
        <f t="array" ref="K24">MAX(IF($N$3:$EH$3=$J$3,N24:EH24))</f>
        <v>0</v>
      </c>
      <c r="L24" s="9"/>
      <c r="O24" s="10"/>
      <c r="P24" s="10">
        <v>0.5</v>
      </c>
      <c r="Q24" s="10"/>
      <c r="R24" s="10">
        <v>0.5</v>
      </c>
      <c r="V24" s="10"/>
      <c r="W24" s="10">
        <v>0.5</v>
      </c>
      <c r="X24" s="10"/>
      <c r="Y24" s="10">
        <v>0.5</v>
      </c>
      <c r="AC24" s="10"/>
      <c r="AD24" s="10">
        <v>0.5</v>
      </c>
      <c r="AE24" s="10"/>
      <c r="AF24" s="10">
        <v>0.5</v>
      </c>
      <c r="AJ24" s="10"/>
      <c r="AK24" s="10">
        <v>0.5</v>
      </c>
      <c r="AL24" s="10"/>
      <c r="AM24" s="10">
        <v>0.5</v>
      </c>
      <c r="AQ24" s="10"/>
      <c r="AR24" s="10">
        <v>0.5</v>
      </c>
      <c r="AS24" s="10"/>
      <c r="AT24" s="10">
        <v>0.5</v>
      </c>
      <c r="AX24" s="10"/>
      <c r="AY24" s="10">
        <v>0.8</v>
      </c>
      <c r="AZ24" s="10"/>
      <c r="BA24" s="10">
        <v>0.8</v>
      </c>
      <c r="BE24" s="10"/>
      <c r="BF24" s="10">
        <v>0.8</v>
      </c>
      <c r="BG24" s="10"/>
      <c r="BH24" s="10">
        <v>0.8</v>
      </c>
      <c r="BI24">
        <v>3</v>
      </c>
      <c r="BL24" s="10"/>
      <c r="BM24" s="10">
        <v>0.8</v>
      </c>
      <c r="BN24" s="10"/>
      <c r="BO24" s="10">
        <v>0.8</v>
      </c>
      <c r="BS24" s="10"/>
      <c r="BT24" s="10">
        <v>0.8</v>
      </c>
      <c r="BU24" s="10"/>
      <c r="BV24" s="10">
        <v>0.8</v>
      </c>
      <c r="BZ24" s="10"/>
      <c r="CA24" s="10">
        <v>0.8</v>
      </c>
      <c r="CB24" s="10"/>
      <c r="CC24" s="10">
        <v>0.8</v>
      </c>
      <c r="CG24" s="10"/>
      <c r="CH24" s="10">
        <v>1</v>
      </c>
      <c r="CI24" s="10"/>
      <c r="CJ24" s="10">
        <v>1</v>
      </c>
      <c r="CN24" s="10"/>
      <c r="CO24" s="10">
        <v>1</v>
      </c>
      <c r="CP24" s="10"/>
      <c r="CQ24" s="10">
        <v>1</v>
      </c>
      <c r="CU24" s="10"/>
      <c r="CV24" s="10">
        <v>1</v>
      </c>
      <c r="CW24" s="10"/>
      <c r="CX24" s="10">
        <v>1</v>
      </c>
      <c r="DB24" s="10"/>
      <c r="DC24" s="10">
        <v>1</v>
      </c>
      <c r="DD24" s="10"/>
      <c r="DE24" s="10">
        <v>1</v>
      </c>
      <c r="DI24" s="10"/>
      <c r="DJ24" s="10">
        <v>1</v>
      </c>
      <c r="DK24" s="10"/>
      <c r="DL24" s="10">
        <v>1</v>
      </c>
      <c r="DP24" s="10"/>
      <c r="DQ24" s="10"/>
      <c r="DR24" s="10"/>
      <c r="DS24" s="10"/>
      <c r="DW24" s="10"/>
      <c r="DX24" s="10"/>
      <c r="DY24" s="10"/>
      <c r="DZ24" s="10"/>
      <c r="ED24" s="10"/>
      <c r="EE24" s="10"/>
      <c r="EF24" s="10"/>
      <c r="EG24" s="10"/>
      <c r="EK24" s="10"/>
      <c r="EL24" s="10"/>
      <c r="EM24" s="10"/>
      <c r="EN24" s="10"/>
    </row>
    <row r="25" spans="2:144" outlineLevel="1" x14ac:dyDescent="0.2">
      <c r="B25" t="s">
        <v>28</v>
      </c>
      <c r="C25" t="s">
        <v>90</v>
      </c>
      <c r="E25" s="9"/>
      <c r="F25" t="s">
        <v>125</v>
      </c>
      <c r="G25" s="10">
        <v>0.05</v>
      </c>
      <c r="I25" s="9">
        <f t="shared" si="2"/>
        <v>0</v>
      </c>
      <c r="J25" s="11" cm="1">
        <f t="array" ref="J25">MAX(IF($N$3:$EH$3=$J$3,N25:EH25))</f>
        <v>0</v>
      </c>
      <c r="K25" s="11" cm="1">
        <f t="array" ref="K25">MAX(IF($N$3:$EH$3=$J$3,N25:EH25))</f>
        <v>0</v>
      </c>
      <c r="L25" s="9"/>
      <c r="O25" s="10"/>
      <c r="P25" s="10"/>
      <c r="Q25" s="10"/>
      <c r="R25" s="10"/>
      <c r="V25" s="10"/>
      <c r="W25" s="10">
        <v>0.5</v>
      </c>
      <c r="X25" s="10"/>
      <c r="Y25" s="10">
        <v>0.5</v>
      </c>
      <c r="Z25">
        <v>2</v>
      </c>
      <c r="AC25" s="10"/>
      <c r="AD25" s="10">
        <v>0.5</v>
      </c>
      <c r="AE25" s="10"/>
      <c r="AF25" s="10">
        <v>0.5</v>
      </c>
      <c r="AG25">
        <v>2</v>
      </c>
      <c r="AJ25" s="10"/>
      <c r="AK25" s="10">
        <v>0.5</v>
      </c>
      <c r="AL25" s="10"/>
      <c r="AM25" s="10">
        <v>0.5</v>
      </c>
      <c r="AQ25" s="10"/>
      <c r="AR25" s="10">
        <v>0.5</v>
      </c>
      <c r="AS25" s="10"/>
      <c r="AT25" s="10">
        <v>0.5</v>
      </c>
      <c r="AX25" s="10"/>
      <c r="AY25" s="10">
        <v>0.5</v>
      </c>
      <c r="AZ25" s="10"/>
      <c r="BA25" s="10">
        <v>0.5</v>
      </c>
      <c r="BE25" s="10"/>
      <c r="BF25" s="10">
        <v>0.8</v>
      </c>
      <c r="BG25" s="10"/>
      <c r="BH25" s="10">
        <v>0.8</v>
      </c>
      <c r="BL25" s="10"/>
      <c r="BM25" s="10">
        <v>0.8</v>
      </c>
      <c r="BN25" s="10"/>
      <c r="BO25" s="10">
        <v>0.8</v>
      </c>
      <c r="BS25" s="10"/>
      <c r="BT25" s="10">
        <v>0.8</v>
      </c>
      <c r="BU25" s="10"/>
      <c r="BV25" s="10">
        <v>0.8</v>
      </c>
      <c r="BZ25" s="10"/>
      <c r="CA25" s="10">
        <v>0.8</v>
      </c>
      <c r="CB25" s="10"/>
      <c r="CC25" s="10">
        <v>0.8</v>
      </c>
      <c r="CG25" s="10"/>
      <c r="CH25" s="10">
        <v>0.8</v>
      </c>
      <c r="CI25" s="10"/>
      <c r="CJ25" s="10">
        <v>0.8</v>
      </c>
      <c r="CN25" s="10"/>
      <c r="CO25" s="10">
        <v>1</v>
      </c>
      <c r="CP25" s="10"/>
      <c r="CQ25" s="10">
        <v>1</v>
      </c>
      <c r="CU25" s="10"/>
      <c r="CV25" s="10">
        <v>1</v>
      </c>
      <c r="CW25" s="10"/>
      <c r="CX25" s="10">
        <v>1</v>
      </c>
      <c r="DB25" s="10"/>
      <c r="DC25" s="10">
        <v>1</v>
      </c>
      <c r="DD25" s="10"/>
      <c r="DE25" s="10">
        <v>1</v>
      </c>
      <c r="DI25" s="10"/>
      <c r="DJ25" s="10">
        <v>1</v>
      </c>
      <c r="DK25" s="10"/>
      <c r="DL25" s="10">
        <v>1</v>
      </c>
      <c r="DP25" s="10"/>
      <c r="DQ25" s="10"/>
      <c r="DR25" s="10"/>
      <c r="DS25" s="10"/>
      <c r="DW25" s="10"/>
      <c r="DX25" s="10"/>
      <c r="DY25" s="10"/>
      <c r="DZ25" s="10"/>
      <c r="ED25" s="10"/>
      <c r="EE25" s="10"/>
      <c r="EF25" s="10"/>
      <c r="EG25" s="10"/>
      <c r="EK25" s="10"/>
      <c r="EL25" s="10"/>
      <c r="EM25" s="10"/>
      <c r="EN25" s="10"/>
    </row>
    <row r="26" spans="2:144" outlineLevel="1" x14ac:dyDescent="0.2">
      <c r="B26" t="s">
        <v>28</v>
      </c>
      <c r="C26" t="s">
        <v>90</v>
      </c>
      <c r="E26" s="9"/>
      <c r="F26" t="s">
        <v>126</v>
      </c>
      <c r="G26" s="10">
        <v>0.05</v>
      </c>
      <c r="I26" s="9">
        <f t="shared" si="2"/>
        <v>0</v>
      </c>
      <c r="J26" s="11" cm="1">
        <f t="array" ref="J26">MAX(IF($N$3:$EH$3=$J$3,N26:EH26))</f>
        <v>0</v>
      </c>
      <c r="K26" s="11" cm="1">
        <f t="array" ref="K26">MAX(IF($N$3:$EH$3=$J$3,N26:EH26))</f>
        <v>0</v>
      </c>
      <c r="L26" s="9"/>
      <c r="O26" s="10"/>
      <c r="P26" s="10"/>
      <c r="Q26" s="10"/>
      <c r="R26" s="10"/>
      <c r="V26" s="10"/>
      <c r="W26" s="10">
        <v>0.5</v>
      </c>
      <c r="X26" s="10"/>
      <c r="Y26" s="10">
        <v>0.5</v>
      </c>
      <c r="AC26" s="10"/>
      <c r="AD26" s="10">
        <v>0.5</v>
      </c>
      <c r="AE26" s="10"/>
      <c r="AF26" s="10">
        <v>0.5</v>
      </c>
      <c r="AJ26" s="10"/>
      <c r="AK26" s="10">
        <v>0.5</v>
      </c>
      <c r="AL26" s="10"/>
      <c r="AM26" s="10">
        <v>0.5</v>
      </c>
      <c r="AQ26" s="10"/>
      <c r="AR26" s="10">
        <v>0.5</v>
      </c>
      <c r="AS26" s="10"/>
      <c r="AT26" s="10">
        <v>0.5</v>
      </c>
      <c r="AU26">
        <v>3</v>
      </c>
      <c r="AX26" s="10"/>
      <c r="AY26" s="10">
        <v>0.5</v>
      </c>
      <c r="AZ26" s="10"/>
      <c r="BA26" s="10">
        <v>0.5</v>
      </c>
      <c r="BB26">
        <v>3</v>
      </c>
      <c r="BE26" s="10"/>
      <c r="BF26" s="10">
        <v>0.5</v>
      </c>
      <c r="BG26" s="10"/>
      <c r="BH26" s="10">
        <v>0.5</v>
      </c>
      <c r="BL26" s="10"/>
      <c r="BM26" s="10">
        <v>0.8</v>
      </c>
      <c r="BN26" s="10"/>
      <c r="BO26" s="10">
        <v>0.8</v>
      </c>
      <c r="BS26" s="10"/>
      <c r="BT26" s="10">
        <v>0.8</v>
      </c>
      <c r="BU26" s="10"/>
      <c r="BV26" s="10">
        <v>0.8</v>
      </c>
      <c r="BZ26" s="10"/>
      <c r="CA26" s="10">
        <v>0.8</v>
      </c>
      <c r="CB26" s="10"/>
      <c r="CC26" s="10">
        <v>0.8</v>
      </c>
      <c r="CG26" s="10"/>
      <c r="CH26" s="10">
        <v>0.8</v>
      </c>
      <c r="CI26" s="10"/>
      <c r="CJ26" s="10">
        <v>0.8</v>
      </c>
      <c r="CN26" s="10"/>
      <c r="CO26" s="10">
        <v>0.8</v>
      </c>
      <c r="CP26" s="10"/>
      <c r="CQ26" s="10">
        <v>0.8</v>
      </c>
      <c r="CU26" s="10"/>
      <c r="CV26" s="10">
        <v>1</v>
      </c>
      <c r="CW26" s="10"/>
      <c r="CX26" s="10">
        <v>1</v>
      </c>
      <c r="DB26" s="10"/>
      <c r="DC26" s="10">
        <v>1</v>
      </c>
      <c r="DD26" s="10"/>
      <c r="DE26" s="10">
        <v>1</v>
      </c>
      <c r="DI26" s="10"/>
      <c r="DJ26" s="10">
        <v>1</v>
      </c>
      <c r="DK26" s="10"/>
      <c r="DL26" s="10">
        <v>1</v>
      </c>
      <c r="DP26" s="10"/>
      <c r="DQ26" s="10"/>
      <c r="DR26" s="10"/>
      <c r="DS26" s="10"/>
      <c r="DW26" s="10"/>
      <c r="DX26" s="10"/>
      <c r="DY26" s="10"/>
      <c r="DZ26" s="10"/>
      <c r="ED26" s="10"/>
      <c r="EE26" s="10"/>
      <c r="EF26" s="10"/>
      <c r="EG26" s="10"/>
      <c r="EK26" s="10"/>
      <c r="EL26" s="10"/>
      <c r="EM26" s="10"/>
      <c r="EN26" s="10"/>
    </row>
    <row r="27" spans="2:144" outlineLevel="1" x14ac:dyDescent="0.2">
      <c r="B27" t="s">
        <v>28</v>
      </c>
      <c r="C27" t="s">
        <v>90</v>
      </c>
      <c r="E27" s="9"/>
      <c r="F27" t="s">
        <v>127</v>
      </c>
      <c r="G27" s="10">
        <v>0.05</v>
      </c>
      <c r="I27" s="9">
        <f t="shared" si="2"/>
        <v>0</v>
      </c>
      <c r="J27" s="11" cm="1">
        <f t="array" ref="J27">MAX(IF($N$3:$EH$3=$J$3,N27:EH27))</f>
        <v>0</v>
      </c>
      <c r="K27" s="11" cm="1">
        <f t="array" ref="K27">MAX(IF($N$3:$EH$3=$J$3,N27:EH27))</f>
        <v>0</v>
      </c>
      <c r="L27" s="9"/>
      <c r="O27" s="10"/>
      <c r="P27" s="10"/>
      <c r="Q27" s="10"/>
      <c r="R27" s="10"/>
      <c r="V27" s="10"/>
      <c r="W27" s="10"/>
      <c r="X27" s="10"/>
      <c r="Y27" s="10"/>
      <c r="AC27" s="10"/>
      <c r="AD27" s="10">
        <v>0.5</v>
      </c>
      <c r="AE27" s="10"/>
      <c r="AF27" s="10">
        <v>0.5</v>
      </c>
      <c r="AJ27" s="10"/>
      <c r="AK27" s="10">
        <v>0.5</v>
      </c>
      <c r="AL27" s="10"/>
      <c r="AM27" s="10">
        <v>0.5</v>
      </c>
      <c r="AQ27" s="10"/>
      <c r="AR27" s="10">
        <v>0.5</v>
      </c>
      <c r="AS27" s="10"/>
      <c r="AT27" s="10">
        <v>0.5</v>
      </c>
      <c r="AX27" s="10"/>
      <c r="AY27" s="10">
        <v>0.5</v>
      </c>
      <c r="AZ27" s="10"/>
      <c r="BA27" s="10">
        <v>0.5</v>
      </c>
      <c r="BE27" s="10"/>
      <c r="BF27" s="10">
        <v>0.5</v>
      </c>
      <c r="BG27" s="10"/>
      <c r="BH27" s="10">
        <v>0.5</v>
      </c>
      <c r="BL27" s="10"/>
      <c r="BM27" s="10">
        <v>0.8</v>
      </c>
      <c r="BN27" s="10"/>
      <c r="BO27" s="10">
        <v>0.8</v>
      </c>
      <c r="BP27">
        <v>3</v>
      </c>
      <c r="BS27" s="10"/>
      <c r="BT27" s="10">
        <v>0.8</v>
      </c>
      <c r="BU27" s="10"/>
      <c r="BV27" s="10">
        <v>0.8</v>
      </c>
      <c r="BZ27" s="10"/>
      <c r="CA27" s="10">
        <v>0.8</v>
      </c>
      <c r="CB27" s="10"/>
      <c r="CC27" s="10">
        <v>0.8</v>
      </c>
      <c r="CG27" s="10"/>
      <c r="CH27" s="10">
        <v>0.8</v>
      </c>
      <c r="CI27" s="10"/>
      <c r="CJ27" s="10">
        <v>0.8</v>
      </c>
      <c r="CN27" s="10"/>
      <c r="CO27" s="10">
        <v>0.8</v>
      </c>
      <c r="CP27" s="10"/>
      <c r="CQ27" s="10">
        <v>0.8</v>
      </c>
      <c r="CU27" s="10"/>
      <c r="CV27" s="10">
        <v>1</v>
      </c>
      <c r="CW27" s="10"/>
      <c r="CX27" s="10">
        <v>1</v>
      </c>
      <c r="DB27" s="10"/>
      <c r="DC27" s="10">
        <v>1</v>
      </c>
      <c r="DD27" s="10"/>
      <c r="DE27" s="10">
        <v>1</v>
      </c>
      <c r="DI27" s="10"/>
      <c r="DJ27" s="10">
        <v>1</v>
      </c>
      <c r="DK27" s="10"/>
      <c r="DL27" s="10">
        <v>1</v>
      </c>
      <c r="DP27" s="10"/>
      <c r="DQ27" s="10"/>
      <c r="DR27" s="10"/>
      <c r="DS27" s="10"/>
      <c r="DW27" s="10"/>
      <c r="DX27" s="10"/>
      <c r="DY27" s="10"/>
      <c r="DZ27" s="10"/>
      <c r="ED27" s="10"/>
      <c r="EE27" s="10"/>
      <c r="EF27" s="10"/>
      <c r="EG27" s="10"/>
      <c r="EK27" s="10"/>
      <c r="EL27" s="10"/>
      <c r="EM27" s="10"/>
      <c r="EN27" s="10"/>
    </row>
    <row r="28" spans="2:144" outlineLevel="1" x14ac:dyDescent="0.2">
      <c r="B28" t="s">
        <v>28</v>
      </c>
      <c r="C28" t="s">
        <v>90</v>
      </c>
      <c r="E28" s="9"/>
      <c r="F28" t="s">
        <v>128</v>
      </c>
      <c r="G28" s="10">
        <v>0.05</v>
      </c>
      <c r="I28" s="9">
        <f t="shared" si="2"/>
        <v>0</v>
      </c>
      <c r="J28" s="11" cm="1">
        <f t="array" ref="J28">MAX(IF($N$3:$EH$3=$J$3,N28:EH28))</f>
        <v>0</v>
      </c>
      <c r="K28" s="11" cm="1">
        <f t="array" ref="K28">MAX(IF($N$3:$EH$3=$J$3,N28:EH28))</f>
        <v>0</v>
      </c>
      <c r="L28" s="9"/>
      <c r="O28" s="10"/>
      <c r="P28" s="10"/>
      <c r="Q28" s="10"/>
      <c r="R28" s="10"/>
      <c r="V28" s="10"/>
      <c r="W28" s="10"/>
      <c r="X28" s="10"/>
      <c r="Y28" s="10"/>
      <c r="AC28" s="10"/>
      <c r="AD28" s="10">
        <v>0.5</v>
      </c>
      <c r="AE28" s="10"/>
      <c r="AF28" s="10">
        <v>0.5</v>
      </c>
      <c r="AJ28" s="10"/>
      <c r="AK28" s="10">
        <v>0.5</v>
      </c>
      <c r="AL28" s="10"/>
      <c r="AM28" s="10">
        <v>0.5</v>
      </c>
      <c r="AQ28" s="10"/>
      <c r="AR28" s="10">
        <v>0.5</v>
      </c>
      <c r="AS28" s="10"/>
      <c r="AT28" s="10">
        <v>0.5</v>
      </c>
      <c r="AX28" s="10"/>
      <c r="AY28" s="10">
        <v>0.5</v>
      </c>
      <c r="AZ28" s="10"/>
      <c r="BA28" s="10">
        <v>0.5</v>
      </c>
      <c r="BE28" s="10"/>
      <c r="BF28" s="10">
        <v>0.5</v>
      </c>
      <c r="BG28" s="10"/>
      <c r="BH28" s="10">
        <v>0.5</v>
      </c>
      <c r="BL28" s="10"/>
      <c r="BM28" s="10">
        <v>0.5</v>
      </c>
      <c r="BN28" s="10"/>
      <c r="BO28" s="10">
        <v>0.5</v>
      </c>
      <c r="BS28" s="10"/>
      <c r="BT28" s="10">
        <v>0.8</v>
      </c>
      <c r="BU28" s="10"/>
      <c r="BV28" s="10">
        <v>0.8</v>
      </c>
      <c r="BZ28" s="10"/>
      <c r="CA28" s="10">
        <v>0.8</v>
      </c>
      <c r="CB28" s="10"/>
      <c r="CC28" s="10">
        <v>0.8</v>
      </c>
      <c r="CG28" s="10"/>
      <c r="CH28" s="10">
        <v>0.8</v>
      </c>
      <c r="CI28" s="10"/>
      <c r="CJ28" s="10">
        <v>0.8</v>
      </c>
      <c r="CN28" s="10"/>
      <c r="CO28" s="10">
        <v>0.8</v>
      </c>
      <c r="CP28" s="10"/>
      <c r="CQ28" s="10">
        <v>0.8</v>
      </c>
      <c r="CR28">
        <v>3</v>
      </c>
      <c r="CU28" s="10"/>
      <c r="CV28" s="10">
        <v>1</v>
      </c>
      <c r="CW28" s="10"/>
      <c r="CX28" s="10">
        <v>1</v>
      </c>
      <c r="DB28" s="10"/>
      <c r="DC28" s="10">
        <v>1</v>
      </c>
      <c r="DD28" s="10"/>
      <c r="DE28" s="10">
        <v>1</v>
      </c>
      <c r="DI28" s="10"/>
      <c r="DJ28" s="10">
        <v>1</v>
      </c>
      <c r="DK28" s="10"/>
      <c r="DL28" s="10">
        <v>1</v>
      </c>
      <c r="DP28" s="10"/>
      <c r="DQ28" s="10"/>
      <c r="DR28" s="10"/>
      <c r="DS28" s="10"/>
      <c r="DW28" s="10"/>
      <c r="DX28" s="10"/>
      <c r="DY28" s="10"/>
      <c r="DZ28" s="10"/>
      <c r="ED28" s="10"/>
      <c r="EE28" s="10"/>
      <c r="EF28" s="10"/>
      <c r="EG28" s="10"/>
      <c r="EK28" s="10"/>
      <c r="EL28" s="10"/>
      <c r="EM28" s="10"/>
      <c r="EN28" s="10"/>
    </row>
    <row r="29" spans="2:144" outlineLevel="1" x14ac:dyDescent="0.2">
      <c r="B29" t="s">
        <v>28</v>
      </c>
      <c r="C29" t="s">
        <v>90</v>
      </c>
      <c r="E29" s="9"/>
      <c r="F29" t="s">
        <v>129</v>
      </c>
      <c r="G29" s="10">
        <v>0.1</v>
      </c>
      <c r="I29" s="9">
        <f t="shared" si="2"/>
        <v>0</v>
      </c>
      <c r="J29" s="11" cm="1">
        <f t="array" ref="J29">MAX(IF($N$3:$EH$3=$J$3,N29:EH29))</f>
        <v>0</v>
      </c>
      <c r="K29" s="11" cm="1">
        <f t="array" ref="K29">MAX(IF($N$3:$EH$3=$J$3,N29:EH29))</f>
        <v>0</v>
      </c>
      <c r="L29" s="9"/>
      <c r="O29" s="10"/>
      <c r="P29" s="10"/>
      <c r="Q29" s="10"/>
      <c r="R29" s="10"/>
      <c r="V29" s="10"/>
      <c r="W29" s="10"/>
      <c r="X29" s="10"/>
      <c r="Y29" s="10"/>
      <c r="AC29" s="10"/>
      <c r="AD29" s="10"/>
      <c r="AE29" s="10"/>
      <c r="AF29" s="10"/>
      <c r="AJ29" s="10"/>
      <c r="AK29" s="10">
        <v>0.5</v>
      </c>
      <c r="AL29" s="10"/>
      <c r="AM29" s="10">
        <v>0.5</v>
      </c>
      <c r="AQ29" s="10"/>
      <c r="AR29" s="10">
        <v>0.5</v>
      </c>
      <c r="AS29" s="10"/>
      <c r="AT29" s="10">
        <v>0.5</v>
      </c>
      <c r="AX29" s="10"/>
      <c r="AY29" s="10">
        <v>0.5</v>
      </c>
      <c r="AZ29" s="10"/>
      <c r="BA29" s="10">
        <v>0.5</v>
      </c>
      <c r="BE29" s="10"/>
      <c r="BF29" s="10">
        <v>0.5</v>
      </c>
      <c r="BG29" s="10"/>
      <c r="BH29" s="10">
        <v>0.5</v>
      </c>
      <c r="BL29" s="10"/>
      <c r="BM29" s="10">
        <v>0.5</v>
      </c>
      <c r="BN29" s="10"/>
      <c r="BO29" s="10">
        <v>0.5</v>
      </c>
      <c r="BS29" s="10"/>
      <c r="BT29" s="10">
        <v>0.8</v>
      </c>
      <c r="BU29" s="10"/>
      <c r="BV29" s="10">
        <v>0.8</v>
      </c>
      <c r="BZ29" s="10"/>
      <c r="CA29" s="10">
        <v>0.8</v>
      </c>
      <c r="CB29" s="10"/>
      <c r="CC29" s="10">
        <v>0.8</v>
      </c>
      <c r="CG29" s="10"/>
      <c r="CH29" s="10">
        <v>0.8</v>
      </c>
      <c r="CI29" s="10"/>
      <c r="CJ29" s="10">
        <v>0.8</v>
      </c>
      <c r="CK29">
        <v>3</v>
      </c>
      <c r="CN29" s="10"/>
      <c r="CO29" s="10">
        <v>0.8</v>
      </c>
      <c r="CP29" s="10"/>
      <c r="CQ29" s="10">
        <v>0.8</v>
      </c>
      <c r="CU29" s="10"/>
      <c r="CV29" s="10">
        <v>0.8</v>
      </c>
      <c r="CW29" s="10"/>
      <c r="CX29" s="10">
        <v>0.8</v>
      </c>
      <c r="DB29" s="10"/>
      <c r="DC29" s="10">
        <v>1</v>
      </c>
      <c r="DD29" s="10"/>
      <c r="DE29" s="10">
        <v>1</v>
      </c>
      <c r="DI29" s="10"/>
      <c r="DJ29" s="10">
        <v>1</v>
      </c>
      <c r="DK29" s="10"/>
      <c r="DL29" s="10">
        <v>1</v>
      </c>
      <c r="DP29" s="10"/>
      <c r="DQ29" s="10"/>
      <c r="DR29" s="10"/>
      <c r="DS29" s="10"/>
      <c r="DW29" s="10"/>
      <c r="DX29" s="10"/>
      <c r="DY29" s="10"/>
      <c r="DZ29" s="10"/>
      <c r="ED29" s="10"/>
      <c r="EE29" s="10"/>
      <c r="EF29" s="10"/>
      <c r="EG29" s="10"/>
      <c r="EK29" s="10"/>
      <c r="EL29" s="10"/>
      <c r="EM29" s="10"/>
      <c r="EN29" s="10"/>
    </row>
    <row r="30" spans="2:144" outlineLevel="1" x14ac:dyDescent="0.2">
      <c r="B30" t="s">
        <v>28</v>
      </c>
      <c r="C30" t="s">
        <v>90</v>
      </c>
      <c r="E30" s="9"/>
      <c r="F30" t="s">
        <v>130</v>
      </c>
      <c r="G30" s="10">
        <v>0.1</v>
      </c>
      <c r="I30" s="9">
        <f t="shared" si="2"/>
        <v>0</v>
      </c>
      <c r="J30" s="11" cm="1">
        <f t="array" ref="J30">MAX(IF($N$3:$EH$3=$J$3,N30:EH30))</f>
        <v>0</v>
      </c>
      <c r="K30" s="11" cm="1">
        <f t="array" ref="K30">MAX(IF($N$3:$EH$3=$J$3,N30:EH30))</f>
        <v>0</v>
      </c>
      <c r="L30" s="9"/>
      <c r="O30" s="10"/>
      <c r="P30" s="10"/>
      <c r="Q30" s="10"/>
      <c r="R30" s="10"/>
      <c r="V30" s="10"/>
      <c r="W30" s="10"/>
      <c r="X30" s="10"/>
      <c r="Y30" s="10"/>
      <c r="AC30" s="10"/>
      <c r="AD30" s="10"/>
      <c r="AE30" s="10"/>
      <c r="AF30" s="10"/>
      <c r="AJ30" s="10"/>
      <c r="AK30" s="10"/>
      <c r="AL30" s="10"/>
      <c r="AM30" s="10"/>
      <c r="AQ30" s="10"/>
      <c r="AR30" s="10"/>
      <c r="AS30" s="10"/>
      <c r="AT30" s="10"/>
      <c r="AX30" s="10"/>
      <c r="AY30" s="10">
        <v>0.5</v>
      </c>
      <c r="AZ30" s="10"/>
      <c r="BA30" s="10">
        <v>0.5</v>
      </c>
      <c r="BE30" s="10"/>
      <c r="BF30" s="10">
        <v>0.5</v>
      </c>
      <c r="BG30" s="10"/>
      <c r="BH30" s="10">
        <v>0.5</v>
      </c>
      <c r="BL30" s="10"/>
      <c r="BM30" s="10">
        <v>0.5</v>
      </c>
      <c r="BN30" s="10"/>
      <c r="BO30" s="10">
        <v>0.5</v>
      </c>
      <c r="BS30" s="10"/>
      <c r="BT30" s="10">
        <v>0.5</v>
      </c>
      <c r="BU30" s="10"/>
      <c r="BV30" s="10">
        <v>0.5</v>
      </c>
      <c r="BZ30" s="10"/>
      <c r="CA30" s="10">
        <v>0.8</v>
      </c>
      <c r="CB30" s="10"/>
      <c r="CC30" s="10">
        <v>0.8</v>
      </c>
      <c r="CD30">
        <v>3</v>
      </c>
      <c r="CG30" s="10"/>
      <c r="CH30" s="10">
        <v>0.8</v>
      </c>
      <c r="CI30" s="10"/>
      <c r="CJ30" s="10">
        <v>0.8</v>
      </c>
      <c r="CN30" s="10"/>
      <c r="CO30" s="10">
        <v>0.8</v>
      </c>
      <c r="CP30" s="10"/>
      <c r="CQ30" s="10">
        <v>0.8</v>
      </c>
      <c r="CU30" s="10"/>
      <c r="CV30" s="10">
        <v>0.8</v>
      </c>
      <c r="CW30" s="10"/>
      <c r="CX30" s="10">
        <v>0.8</v>
      </c>
      <c r="DB30" s="10"/>
      <c r="DC30" s="10">
        <v>1</v>
      </c>
      <c r="DD30" s="10"/>
      <c r="DE30" s="10">
        <v>1</v>
      </c>
      <c r="DI30" s="10"/>
      <c r="DJ30" s="10">
        <v>1</v>
      </c>
      <c r="DK30" s="10"/>
      <c r="DL30" s="10">
        <v>1</v>
      </c>
      <c r="DP30" s="10"/>
      <c r="DQ30" s="10"/>
      <c r="DR30" s="10"/>
      <c r="DS30" s="10"/>
      <c r="DW30" s="10"/>
      <c r="DX30" s="10"/>
      <c r="DY30" s="10"/>
      <c r="DZ30" s="10"/>
      <c r="ED30" s="10"/>
      <c r="EE30" s="10"/>
      <c r="EF30" s="10"/>
      <c r="EG30" s="10"/>
      <c r="EK30" s="10"/>
      <c r="EL30" s="10"/>
      <c r="EM30" s="10"/>
      <c r="EN30" s="10"/>
    </row>
    <row r="31" spans="2:144" outlineLevel="1" x14ac:dyDescent="0.2">
      <c r="B31" t="s">
        <v>28</v>
      </c>
      <c r="C31" t="s">
        <v>90</v>
      </c>
      <c r="E31" s="9"/>
      <c r="F31" t="s">
        <v>131</v>
      </c>
      <c r="G31" s="10">
        <v>0.1</v>
      </c>
      <c r="I31" s="9">
        <f t="shared" si="2"/>
        <v>0</v>
      </c>
      <c r="J31" s="11" cm="1">
        <f t="array" ref="J31">MAX(IF($N$3:$EH$3=$J$3,N31:EH31))</f>
        <v>0</v>
      </c>
      <c r="K31" s="11" cm="1">
        <f t="array" ref="K31">MAX(IF($N$3:$EH$3=$J$3,N31:EH31))</f>
        <v>0</v>
      </c>
      <c r="L31" s="9"/>
      <c r="O31" s="10"/>
      <c r="P31" s="10"/>
      <c r="Q31" s="10"/>
      <c r="R31" s="10"/>
      <c r="V31" s="10"/>
      <c r="W31" s="10"/>
      <c r="X31" s="10"/>
      <c r="Y31" s="10"/>
      <c r="AC31" s="10"/>
      <c r="AD31" s="10"/>
      <c r="AE31" s="10"/>
      <c r="AF31" s="10"/>
      <c r="AJ31" s="10"/>
      <c r="AK31" s="10"/>
      <c r="AL31" s="10"/>
      <c r="AM31" s="10"/>
      <c r="AQ31" s="10"/>
      <c r="AR31" s="10"/>
      <c r="AS31" s="10"/>
      <c r="AT31" s="10"/>
      <c r="AX31" s="10"/>
      <c r="AY31" s="10"/>
      <c r="AZ31" s="10"/>
      <c r="BA31" s="10"/>
      <c r="BE31" s="10"/>
      <c r="BF31" s="10">
        <v>0.5</v>
      </c>
      <c r="BG31" s="10"/>
      <c r="BH31" s="10">
        <v>0.5</v>
      </c>
      <c r="BL31" s="10"/>
      <c r="BM31" s="10">
        <v>0.5</v>
      </c>
      <c r="BN31" s="10"/>
      <c r="BO31" s="10">
        <v>0.5</v>
      </c>
      <c r="BS31" s="10"/>
      <c r="BT31" s="10">
        <v>0.5</v>
      </c>
      <c r="BU31" s="10"/>
      <c r="BV31" s="10">
        <v>0.5</v>
      </c>
      <c r="BZ31" s="10"/>
      <c r="CA31" s="10">
        <v>0.8</v>
      </c>
      <c r="CB31" s="10"/>
      <c r="CC31" s="10">
        <v>0.8</v>
      </c>
      <c r="CG31" s="10"/>
      <c r="CH31" s="10">
        <v>0.8</v>
      </c>
      <c r="CI31" s="10"/>
      <c r="CJ31" s="10">
        <v>0.8</v>
      </c>
      <c r="CN31" s="10"/>
      <c r="CO31" s="10">
        <v>0.8</v>
      </c>
      <c r="CP31" s="10"/>
      <c r="CQ31" s="10">
        <v>0.8</v>
      </c>
      <c r="CU31" s="10"/>
      <c r="CV31" s="10">
        <v>0.8</v>
      </c>
      <c r="CW31" s="10"/>
      <c r="CX31" s="10">
        <v>0.8</v>
      </c>
      <c r="CY31">
        <v>3</v>
      </c>
      <c r="DB31" s="10"/>
      <c r="DC31" s="10">
        <v>1</v>
      </c>
      <c r="DD31" s="10"/>
      <c r="DE31" s="10">
        <v>1</v>
      </c>
      <c r="DI31" s="10"/>
      <c r="DJ31" s="10">
        <v>1</v>
      </c>
      <c r="DK31" s="10"/>
      <c r="DL31" s="10">
        <v>1</v>
      </c>
      <c r="DP31" s="10"/>
      <c r="DQ31" s="10"/>
      <c r="DR31" s="10"/>
      <c r="DS31" s="10"/>
      <c r="DW31" s="10"/>
      <c r="DX31" s="10"/>
      <c r="DY31" s="10"/>
      <c r="DZ31" s="10"/>
      <c r="ED31" s="10"/>
      <c r="EE31" s="10"/>
      <c r="EF31" s="10"/>
      <c r="EG31" s="10"/>
      <c r="EK31" s="10"/>
      <c r="EL31" s="10"/>
      <c r="EM31" s="10"/>
      <c r="EN31" s="10"/>
    </row>
    <row r="32" spans="2:144" outlineLevel="1" x14ac:dyDescent="0.2">
      <c r="B32" t="s">
        <v>28</v>
      </c>
      <c r="C32" t="s">
        <v>90</v>
      </c>
      <c r="E32" s="9"/>
      <c r="F32" t="s">
        <v>132</v>
      </c>
      <c r="G32" s="10">
        <v>0.1</v>
      </c>
      <c r="I32" s="9">
        <f t="shared" si="2"/>
        <v>0</v>
      </c>
      <c r="J32" s="11" cm="1">
        <f t="array" ref="J32">MAX(IF($N$3:$EH$3=$J$3,N32:EH32))</f>
        <v>0</v>
      </c>
      <c r="K32" s="11" cm="1">
        <f t="array" ref="K32">MAX(IF($N$3:$EH$3=$J$3,N32:EH32))</f>
        <v>0</v>
      </c>
      <c r="L32" s="9"/>
      <c r="O32" s="10"/>
      <c r="P32" s="10"/>
      <c r="Q32" s="10"/>
      <c r="R32" s="10"/>
      <c r="V32" s="10"/>
      <c r="W32" s="10"/>
      <c r="X32" s="10"/>
      <c r="Y32" s="10"/>
      <c r="AC32" s="10"/>
      <c r="AD32" s="10"/>
      <c r="AE32" s="10"/>
      <c r="AF32" s="10"/>
      <c r="AJ32" s="10"/>
      <c r="AK32" s="10"/>
      <c r="AL32" s="10"/>
      <c r="AM32" s="10"/>
      <c r="AQ32" s="10"/>
      <c r="AR32" s="10"/>
      <c r="AS32" s="10"/>
      <c r="AT32" s="10"/>
      <c r="AX32" s="10"/>
      <c r="AY32" s="10"/>
      <c r="AZ32" s="10"/>
      <c r="BA32" s="10"/>
      <c r="BE32" s="10"/>
      <c r="BF32" s="10">
        <v>0.5</v>
      </c>
      <c r="BG32" s="10"/>
      <c r="BH32" s="10">
        <v>0.5</v>
      </c>
      <c r="BL32" s="10"/>
      <c r="BM32" s="10">
        <v>0.5</v>
      </c>
      <c r="BN32" s="10"/>
      <c r="BO32" s="10">
        <v>0.5</v>
      </c>
      <c r="BS32" s="10"/>
      <c r="BT32" s="10">
        <v>0.5</v>
      </c>
      <c r="BU32" s="10"/>
      <c r="BV32" s="10">
        <v>0.5</v>
      </c>
      <c r="BZ32" s="10"/>
      <c r="CA32" s="10">
        <v>0.5</v>
      </c>
      <c r="CB32" s="10"/>
      <c r="CC32" s="10">
        <v>0.5</v>
      </c>
      <c r="CG32" s="10"/>
      <c r="CH32" s="10">
        <v>0.8</v>
      </c>
      <c r="CI32" s="10"/>
      <c r="CJ32" s="10">
        <v>0.8</v>
      </c>
      <c r="CN32" s="10"/>
      <c r="CO32" s="10">
        <v>0.8</v>
      </c>
      <c r="CP32" s="10"/>
      <c r="CQ32" s="10">
        <v>0.8</v>
      </c>
      <c r="CU32" s="10"/>
      <c r="CV32" s="10">
        <v>0.8</v>
      </c>
      <c r="CW32" s="10"/>
      <c r="CX32" s="10">
        <v>0.8</v>
      </c>
      <c r="DB32" s="10"/>
      <c r="DC32" s="10">
        <v>0.8</v>
      </c>
      <c r="DD32" s="10"/>
      <c r="DE32" s="10">
        <v>0.8</v>
      </c>
      <c r="DI32" s="10"/>
      <c r="DJ32" s="10">
        <v>1</v>
      </c>
      <c r="DK32" s="10"/>
      <c r="DL32" s="10">
        <v>1</v>
      </c>
      <c r="DP32" s="10"/>
      <c r="DQ32" s="10"/>
      <c r="DR32" s="10"/>
      <c r="DS32" s="10"/>
      <c r="DW32" s="10"/>
      <c r="DX32" s="10"/>
      <c r="DY32" s="10"/>
      <c r="DZ32" s="10"/>
      <c r="ED32" s="10"/>
      <c r="EE32" s="10"/>
      <c r="EF32" s="10"/>
      <c r="EG32" s="10"/>
      <c r="EK32" s="10"/>
      <c r="EL32" s="10"/>
      <c r="EM32" s="10"/>
      <c r="EN32" s="10"/>
    </row>
    <row r="33" spans="2:144" outlineLevel="1" x14ac:dyDescent="0.2">
      <c r="B33" t="s">
        <v>28</v>
      </c>
      <c r="C33" t="s">
        <v>90</v>
      </c>
      <c r="E33" s="9"/>
      <c r="F33" t="s">
        <v>133</v>
      </c>
      <c r="G33" s="10">
        <v>0.1</v>
      </c>
      <c r="I33" s="9">
        <f t="shared" si="2"/>
        <v>0</v>
      </c>
      <c r="J33" s="11" cm="1">
        <f t="array" ref="J33">MAX(IF($N$3:$EH$3=$J$3,N33:EH33))</f>
        <v>0</v>
      </c>
      <c r="K33" s="11" cm="1">
        <f t="array" ref="K33">MAX(IF($N$3:$EH$3=$J$3,N33:EH33))</f>
        <v>0</v>
      </c>
      <c r="L33" s="9"/>
      <c r="O33" s="10"/>
      <c r="P33" s="10"/>
      <c r="Q33" s="10"/>
      <c r="R33" s="10"/>
      <c r="V33" s="10"/>
      <c r="W33" s="10"/>
      <c r="X33" s="10"/>
      <c r="Y33" s="10"/>
      <c r="AC33" s="10"/>
      <c r="AD33" s="10"/>
      <c r="AE33" s="10"/>
      <c r="AF33" s="10"/>
      <c r="AJ33" s="10"/>
      <c r="AK33" s="10"/>
      <c r="AL33" s="10"/>
      <c r="AM33" s="10"/>
      <c r="AQ33" s="10"/>
      <c r="AR33" s="10"/>
      <c r="AS33" s="10"/>
      <c r="AT33" s="10"/>
      <c r="AX33" s="10"/>
      <c r="AY33" s="10"/>
      <c r="AZ33" s="10"/>
      <c r="BA33" s="10"/>
      <c r="BE33" s="10"/>
      <c r="BF33" s="10"/>
      <c r="BG33" s="10"/>
      <c r="BH33" s="10"/>
      <c r="BL33" s="10"/>
      <c r="BM33" s="10">
        <v>0.5</v>
      </c>
      <c r="BN33" s="10"/>
      <c r="BO33" s="10">
        <v>0.5</v>
      </c>
      <c r="BS33" s="10"/>
      <c r="BT33" s="10">
        <v>0.5</v>
      </c>
      <c r="BU33" s="10"/>
      <c r="BV33" s="10">
        <v>0.5</v>
      </c>
      <c r="BW33">
        <v>3</v>
      </c>
      <c r="BZ33" s="10"/>
      <c r="CA33" s="10">
        <v>0.5</v>
      </c>
      <c r="CB33" s="10"/>
      <c r="CC33" s="10">
        <v>0.5</v>
      </c>
      <c r="CG33" s="10"/>
      <c r="CH33" s="10">
        <v>0.5</v>
      </c>
      <c r="CI33" s="10"/>
      <c r="CJ33" s="10">
        <v>0.5</v>
      </c>
      <c r="CN33" s="10"/>
      <c r="CO33" s="10">
        <v>0.8</v>
      </c>
      <c r="CP33" s="10"/>
      <c r="CQ33" s="10">
        <v>0.8</v>
      </c>
      <c r="CU33" s="10"/>
      <c r="CV33" s="10">
        <v>0.8</v>
      </c>
      <c r="CW33" s="10"/>
      <c r="CX33" s="10">
        <v>0.8</v>
      </c>
      <c r="DB33" s="10"/>
      <c r="DC33" s="10">
        <v>0.8</v>
      </c>
      <c r="DD33" s="10"/>
      <c r="DE33" s="10">
        <v>0.8</v>
      </c>
      <c r="DF33">
        <v>3</v>
      </c>
      <c r="DI33" s="10"/>
      <c r="DJ33" s="10">
        <v>1</v>
      </c>
      <c r="DK33" s="10"/>
      <c r="DL33" s="10">
        <v>1</v>
      </c>
      <c r="DP33" s="10"/>
      <c r="DQ33" s="10"/>
      <c r="DR33" s="10"/>
      <c r="DS33" s="10"/>
      <c r="DW33" s="10"/>
      <c r="DX33" s="10"/>
      <c r="DY33" s="10"/>
      <c r="DZ33" s="10"/>
      <c r="ED33" s="10"/>
      <c r="EE33" s="10"/>
      <c r="EF33" s="10"/>
      <c r="EG33" s="10"/>
      <c r="EK33" s="10"/>
      <c r="EL33" s="10"/>
      <c r="EM33" s="10"/>
      <c r="EN33" s="10"/>
    </row>
    <row r="34" spans="2:144" outlineLevel="1" x14ac:dyDescent="0.2">
      <c r="B34" t="s">
        <v>28</v>
      </c>
      <c r="C34" t="s">
        <v>90</v>
      </c>
      <c r="E34" s="9"/>
      <c r="F34" t="s">
        <v>134</v>
      </c>
      <c r="G34" s="10">
        <v>0.1</v>
      </c>
      <c r="I34" s="9">
        <f t="shared" si="2"/>
        <v>0</v>
      </c>
      <c r="J34" s="11" cm="1">
        <f t="array" ref="J34">MAX(IF($N$3:$EH$3=$J$3,N34:EH34))</f>
        <v>0</v>
      </c>
      <c r="K34" s="11" cm="1">
        <f t="array" ref="K34">MAX(IF($N$3:$EH$3=$J$3,N34:EH34))</f>
        <v>0</v>
      </c>
      <c r="L34" s="9"/>
      <c r="O34" s="10"/>
      <c r="P34" s="10"/>
      <c r="Q34" s="10"/>
      <c r="R34" s="10"/>
      <c r="V34" s="10"/>
      <c r="W34" s="10"/>
      <c r="X34" s="10"/>
      <c r="Y34" s="10"/>
      <c r="AC34" s="10"/>
      <c r="AD34" s="10"/>
      <c r="AE34" s="10"/>
      <c r="AF34" s="10"/>
      <c r="AJ34" s="10"/>
      <c r="AK34" s="10"/>
      <c r="AL34" s="10"/>
      <c r="AM34" s="10"/>
      <c r="AQ34" s="10"/>
      <c r="AR34" s="10"/>
      <c r="AS34" s="10"/>
      <c r="AT34" s="10"/>
      <c r="AX34" s="10"/>
      <c r="AY34" s="10"/>
      <c r="AZ34" s="10"/>
      <c r="BA34" s="10"/>
      <c r="BE34" s="10"/>
      <c r="BF34" s="10"/>
      <c r="BG34" s="10"/>
      <c r="BH34" s="10"/>
      <c r="BL34" s="10"/>
      <c r="BM34" s="10"/>
      <c r="BN34" s="10"/>
      <c r="BO34" s="10"/>
      <c r="BS34" s="10"/>
      <c r="BT34" s="10">
        <v>0.5</v>
      </c>
      <c r="BU34" s="10"/>
      <c r="BV34" s="10">
        <v>0.5</v>
      </c>
      <c r="BZ34" s="10"/>
      <c r="CA34" s="10">
        <v>0.5</v>
      </c>
      <c r="CB34" s="10"/>
      <c r="CC34" s="10">
        <v>0.5</v>
      </c>
      <c r="CG34" s="10"/>
      <c r="CH34" s="10">
        <v>0.5</v>
      </c>
      <c r="CI34" s="10"/>
      <c r="CJ34" s="10">
        <v>0.5</v>
      </c>
      <c r="CN34" s="10"/>
      <c r="CO34" s="10">
        <v>0.8</v>
      </c>
      <c r="CP34" s="10"/>
      <c r="CQ34" s="10">
        <v>0.8</v>
      </c>
      <c r="CU34" s="10"/>
      <c r="CV34" s="10">
        <v>0.8</v>
      </c>
      <c r="CW34" s="10"/>
      <c r="CX34" s="10">
        <v>0.8</v>
      </c>
      <c r="DB34" s="10"/>
      <c r="DC34" s="10">
        <v>0.8</v>
      </c>
      <c r="DD34" s="10"/>
      <c r="DE34" s="10">
        <v>0.8</v>
      </c>
      <c r="DI34" s="10"/>
      <c r="DJ34" s="10">
        <v>1</v>
      </c>
      <c r="DK34" s="10"/>
      <c r="DL34" s="10">
        <v>1</v>
      </c>
      <c r="DP34" s="10"/>
      <c r="DQ34" s="10"/>
      <c r="DR34" s="10"/>
      <c r="DS34" s="10"/>
      <c r="DW34" s="10"/>
      <c r="DX34" s="10"/>
      <c r="DY34" s="10"/>
      <c r="DZ34" s="10"/>
      <c r="ED34" s="10"/>
      <c r="EE34" s="10"/>
      <c r="EF34" s="10"/>
      <c r="EG34" s="10"/>
      <c r="EK34" s="10"/>
      <c r="EL34" s="10"/>
      <c r="EM34" s="10"/>
      <c r="EN34" s="10"/>
    </row>
    <row r="36" spans="2:144" x14ac:dyDescent="0.2">
      <c r="B36" t="s">
        <v>27</v>
      </c>
      <c r="C36" t="s">
        <v>91</v>
      </c>
      <c r="D36" s="19">
        <v>44974</v>
      </c>
      <c r="E36" s="9">
        <v>10</v>
      </c>
      <c r="G36" s="10">
        <f>+SUM(G37:G54)</f>
        <v>1.0000000000000002</v>
      </c>
      <c r="I36" s="12">
        <f>+SUM(I37:I54)</f>
        <v>0</v>
      </c>
      <c r="J36" s="11">
        <f>+SUMPRODUCT(G37:G54,J37:J54)</f>
        <v>0</v>
      </c>
      <c r="K36" s="11">
        <f>+SUMPRODUCT(G37:G54,K37:K54)</f>
        <v>0</v>
      </c>
      <c r="L36" s="9"/>
      <c r="N36" s="12">
        <v>0</v>
      </c>
      <c r="U36" s="12">
        <f>+SUM(U37:U54)</f>
        <v>0</v>
      </c>
      <c r="AB36" s="12">
        <f>+SUM(AB37:AB54)</f>
        <v>0</v>
      </c>
      <c r="AI36" s="12">
        <f>+SUM(AI37:AI54)</f>
        <v>0</v>
      </c>
      <c r="AP36" s="12">
        <f>+SUM(AP37:AP54)</f>
        <v>0</v>
      </c>
    </row>
    <row r="37" spans="2:144" outlineLevel="1" x14ac:dyDescent="0.2">
      <c r="B37" t="s">
        <v>28</v>
      </c>
      <c r="C37" t="s">
        <v>91</v>
      </c>
      <c r="E37" s="9"/>
      <c r="F37" t="s">
        <v>135</v>
      </c>
      <c r="G37" s="10">
        <v>0.05</v>
      </c>
      <c r="I37" s="9">
        <f t="shared" ref="I37:I54" si="3">+SUMIF($N$3:$ZZ$3,I$3,$N37:$ZZ37)</f>
        <v>0</v>
      </c>
      <c r="J37" s="11" cm="1">
        <f t="array" ref="J37">MAX(IF($N$3:$EH$3=$J$3,N37:EH37))</f>
        <v>0</v>
      </c>
      <c r="K37" s="11" cm="1">
        <f t="array" ref="K37">MAX(IF($N$3:$EH$3=$J$3,N37:EH37))</f>
        <v>0</v>
      </c>
      <c r="L37" s="9"/>
      <c r="O37" s="10"/>
      <c r="P37" s="10">
        <v>0.5</v>
      </c>
      <c r="Q37" s="10"/>
      <c r="R37" s="10">
        <v>0.5</v>
      </c>
      <c r="V37" s="10"/>
      <c r="W37" s="10">
        <v>0.8</v>
      </c>
      <c r="X37" s="10"/>
      <c r="Y37" s="10">
        <v>0.8</v>
      </c>
      <c r="AC37" s="10"/>
      <c r="AD37" s="10">
        <v>0.8</v>
      </c>
      <c r="AE37" s="10"/>
      <c r="AF37" s="10">
        <v>0.8</v>
      </c>
      <c r="AJ37" s="10"/>
      <c r="AK37" s="10">
        <v>0.8</v>
      </c>
      <c r="AL37" s="10"/>
      <c r="AM37" s="10">
        <v>0.8</v>
      </c>
      <c r="AQ37" s="10"/>
      <c r="AR37" s="10">
        <v>0.8</v>
      </c>
      <c r="AS37" s="10"/>
      <c r="AT37" s="10">
        <v>0.8</v>
      </c>
      <c r="AX37" s="10"/>
      <c r="AY37" s="10">
        <v>0.8</v>
      </c>
      <c r="AZ37" s="10"/>
      <c r="BA37" s="10">
        <v>0.8</v>
      </c>
      <c r="BE37" s="10"/>
      <c r="BF37" s="10">
        <v>0.8</v>
      </c>
      <c r="BG37" s="10"/>
      <c r="BH37" s="10">
        <v>0.8</v>
      </c>
      <c r="BL37" s="10"/>
      <c r="BM37" s="10">
        <v>1</v>
      </c>
      <c r="BN37" s="10"/>
      <c r="BO37" s="10">
        <v>1</v>
      </c>
      <c r="BS37" s="10"/>
      <c r="BT37" s="10">
        <v>1</v>
      </c>
      <c r="BU37" s="10"/>
      <c r="BV37" s="10">
        <v>1</v>
      </c>
      <c r="BZ37" s="10"/>
      <c r="CA37" s="10">
        <v>1</v>
      </c>
      <c r="CB37" s="10"/>
      <c r="CC37" s="10">
        <v>1</v>
      </c>
      <c r="CG37" s="10"/>
      <c r="CH37" s="10">
        <v>1</v>
      </c>
      <c r="CI37" s="10"/>
      <c r="CJ37" s="10">
        <v>1</v>
      </c>
      <c r="CN37" s="10"/>
      <c r="CO37" s="10">
        <v>1</v>
      </c>
      <c r="CP37" s="10"/>
      <c r="CQ37" s="10">
        <v>1</v>
      </c>
      <c r="CU37" s="10"/>
      <c r="CV37" s="10">
        <v>1</v>
      </c>
      <c r="CW37" s="10"/>
      <c r="CX37" s="10">
        <v>1</v>
      </c>
      <c r="DB37" s="10"/>
      <c r="DC37" s="10">
        <v>1</v>
      </c>
      <c r="DD37" s="10"/>
      <c r="DE37" s="10">
        <v>1</v>
      </c>
      <c r="DI37" s="10"/>
      <c r="DJ37" s="10">
        <v>1</v>
      </c>
      <c r="DK37" s="10"/>
      <c r="DL37" s="10">
        <v>1</v>
      </c>
      <c r="DP37" s="10"/>
      <c r="DQ37" s="10"/>
      <c r="DR37" s="10"/>
      <c r="DS37" s="10"/>
      <c r="DW37" s="10"/>
      <c r="DX37" s="10"/>
      <c r="DY37" s="10"/>
      <c r="DZ37" s="10"/>
      <c r="ED37" s="10"/>
      <c r="EE37" s="10"/>
      <c r="EF37" s="10"/>
      <c r="EG37" s="10"/>
      <c r="EK37" s="10"/>
      <c r="EL37" s="10"/>
      <c r="EM37" s="10"/>
      <c r="EN37" s="10"/>
    </row>
    <row r="38" spans="2:144" outlineLevel="1" x14ac:dyDescent="0.2">
      <c r="B38" t="s">
        <v>28</v>
      </c>
      <c r="C38" t="s">
        <v>91</v>
      </c>
      <c r="E38" s="9"/>
      <c r="F38" t="s">
        <v>136</v>
      </c>
      <c r="G38" s="10">
        <v>0.05</v>
      </c>
      <c r="I38" s="9">
        <f t="shared" si="3"/>
        <v>0</v>
      </c>
      <c r="J38" s="11" cm="1">
        <f t="array" ref="J38">MAX(IF($N$3:$EH$3=$J$3,N38:EH38))</f>
        <v>0</v>
      </c>
      <c r="K38" s="11" cm="1">
        <f t="array" ref="K38">MAX(IF($N$3:$EH$3=$J$3,N38:EH38))</f>
        <v>0</v>
      </c>
      <c r="L38" s="9"/>
      <c r="O38" s="10"/>
      <c r="P38" s="10">
        <v>0.5</v>
      </c>
      <c r="Q38" s="10"/>
      <c r="R38" s="10">
        <v>0.5</v>
      </c>
      <c r="V38" s="10"/>
      <c r="W38" s="10">
        <v>0.5</v>
      </c>
      <c r="X38" s="10"/>
      <c r="Y38" s="10">
        <v>0.5</v>
      </c>
      <c r="AC38" s="10"/>
      <c r="AD38" s="10">
        <v>0.8</v>
      </c>
      <c r="AE38" s="10"/>
      <c r="AF38" s="10">
        <v>0.8</v>
      </c>
      <c r="AJ38" s="10"/>
      <c r="AK38" s="10">
        <v>0.8</v>
      </c>
      <c r="AL38" s="10"/>
      <c r="AM38" s="10">
        <v>0.8</v>
      </c>
      <c r="AQ38" s="10"/>
      <c r="AR38" s="10">
        <v>0.8</v>
      </c>
      <c r="AS38" s="10"/>
      <c r="AT38" s="10">
        <v>0.8</v>
      </c>
      <c r="AX38" s="10"/>
      <c r="AY38" s="10">
        <v>0.8</v>
      </c>
      <c r="AZ38" s="10"/>
      <c r="BA38" s="10">
        <v>0.8</v>
      </c>
      <c r="BE38" s="10"/>
      <c r="BF38" s="10">
        <v>0.8</v>
      </c>
      <c r="BG38" s="10"/>
      <c r="BH38" s="10">
        <v>0.8</v>
      </c>
      <c r="BL38" s="10"/>
      <c r="BM38" s="10">
        <v>1</v>
      </c>
      <c r="BN38" s="10"/>
      <c r="BO38" s="10">
        <v>1</v>
      </c>
      <c r="BS38" s="10"/>
      <c r="BT38" s="10">
        <v>1</v>
      </c>
      <c r="BU38" s="10"/>
      <c r="BV38" s="10">
        <v>1</v>
      </c>
      <c r="BZ38" s="10"/>
      <c r="CA38" s="10">
        <v>1</v>
      </c>
      <c r="CB38" s="10"/>
      <c r="CC38" s="10">
        <v>1</v>
      </c>
      <c r="CG38" s="10"/>
      <c r="CH38" s="10">
        <v>1</v>
      </c>
      <c r="CI38" s="10"/>
      <c r="CJ38" s="10">
        <v>1</v>
      </c>
      <c r="CN38" s="10"/>
      <c r="CO38" s="10">
        <v>1</v>
      </c>
      <c r="CP38" s="10"/>
      <c r="CQ38" s="10">
        <v>1</v>
      </c>
      <c r="CU38" s="10"/>
      <c r="CV38" s="10">
        <v>1</v>
      </c>
      <c r="CW38" s="10"/>
      <c r="CX38" s="10">
        <v>1</v>
      </c>
      <c r="DB38" s="10"/>
      <c r="DC38" s="10">
        <v>1</v>
      </c>
      <c r="DD38" s="10"/>
      <c r="DE38" s="10">
        <v>1</v>
      </c>
      <c r="DI38" s="10"/>
      <c r="DJ38" s="10">
        <v>1</v>
      </c>
      <c r="DK38" s="10"/>
      <c r="DL38" s="10">
        <v>1</v>
      </c>
      <c r="DP38" s="10"/>
      <c r="DQ38" s="10"/>
      <c r="DR38" s="10"/>
      <c r="DS38" s="10"/>
      <c r="DW38" s="10"/>
      <c r="DX38" s="10"/>
      <c r="DY38" s="10"/>
      <c r="DZ38" s="10"/>
      <c r="ED38" s="10"/>
      <c r="EE38" s="10"/>
      <c r="EF38" s="10"/>
      <c r="EG38" s="10"/>
      <c r="EK38" s="10"/>
      <c r="EL38" s="10"/>
      <c r="EM38" s="10"/>
      <c r="EN38" s="10"/>
    </row>
    <row r="39" spans="2:144" outlineLevel="1" x14ac:dyDescent="0.2">
      <c r="B39" t="s">
        <v>28</v>
      </c>
      <c r="C39" t="s">
        <v>91</v>
      </c>
      <c r="E39" s="9"/>
      <c r="F39" t="s">
        <v>137</v>
      </c>
      <c r="G39" s="10">
        <v>0.05</v>
      </c>
      <c r="I39" s="9">
        <f t="shared" si="3"/>
        <v>0</v>
      </c>
      <c r="J39" s="11" cm="1">
        <f t="array" ref="J39">MAX(IF($N$3:$EH$3=$J$3,N39:EH39))</f>
        <v>0</v>
      </c>
      <c r="K39" s="11" cm="1">
        <f t="array" ref="K39">MAX(IF($N$3:$EH$3=$J$3,N39:EH39))</f>
        <v>0</v>
      </c>
      <c r="L39" s="9"/>
      <c r="O39" s="10"/>
      <c r="P39" s="10">
        <v>0.5</v>
      </c>
      <c r="Q39" s="10"/>
      <c r="R39" s="10">
        <v>0.5</v>
      </c>
      <c r="V39" s="10"/>
      <c r="W39" s="10">
        <v>0.5</v>
      </c>
      <c r="X39" s="10"/>
      <c r="Y39" s="10">
        <v>0.5</v>
      </c>
      <c r="AC39" s="10"/>
      <c r="AD39" s="10">
        <v>0.5</v>
      </c>
      <c r="AE39" s="10"/>
      <c r="AF39" s="10">
        <v>0.5</v>
      </c>
      <c r="AJ39" s="10"/>
      <c r="AK39" s="10">
        <v>0.8</v>
      </c>
      <c r="AL39" s="10"/>
      <c r="AM39" s="10">
        <v>0.8</v>
      </c>
      <c r="AQ39" s="10"/>
      <c r="AR39" s="10">
        <v>0.8</v>
      </c>
      <c r="AS39" s="10"/>
      <c r="AT39" s="10">
        <v>0.8</v>
      </c>
      <c r="AX39" s="10"/>
      <c r="AY39" s="10">
        <v>0.8</v>
      </c>
      <c r="AZ39" s="10"/>
      <c r="BA39" s="10">
        <v>0.8</v>
      </c>
      <c r="BE39" s="10"/>
      <c r="BF39" s="10">
        <v>0.8</v>
      </c>
      <c r="BG39" s="10"/>
      <c r="BH39" s="10">
        <v>0.8</v>
      </c>
      <c r="BL39" s="10"/>
      <c r="BM39" s="10">
        <v>0.8</v>
      </c>
      <c r="BN39" s="10"/>
      <c r="BO39" s="10">
        <v>0.8</v>
      </c>
      <c r="BS39" s="10"/>
      <c r="BT39" s="10">
        <v>1</v>
      </c>
      <c r="BU39" s="10"/>
      <c r="BV39" s="10">
        <v>1</v>
      </c>
      <c r="BZ39" s="10"/>
      <c r="CA39" s="10">
        <v>1</v>
      </c>
      <c r="CB39" s="10"/>
      <c r="CC39" s="10">
        <v>1</v>
      </c>
      <c r="CG39" s="10"/>
      <c r="CH39" s="10">
        <v>1</v>
      </c>
      <c r="CI39" s="10"/>
      <c r="CJ39" s="10">
        <v>1</v>
      </c>
      <c r="CN39" s="10"/>
      <c r="CO39" s="10">
        <v>1</v>
      </c>
      <c r="CP39" s="10"/>
      <c r="CQ39" s="10">
        <v>1</v>
      </c>
      <c r="CU39" s="10"/>
      <c r="CV39" s="10">
        <v>1</v>
      </c>
      <c r="CW39" s="10"/>
      <c r="CX39" s="10">
        <v>1</v>
      </c>
      <c r="DB39" s="10"/>
      <c r="DC39" s="10">
        <v>1</v>
      </c>
      <c r="DD39" s="10"/>
      <c r="DE39" s="10">
        <v>1</v>
      </c>
      <c r="DI39" s="10"/>
      <c r="DJ39" s="10">
        <v>1</v>
      </c>
      <c r="DK39" s="10"/>
      <c r="DL39" s="10">
        <v>1</v>
      </c>
      <c r="DP39" s="10"/>
      <c r="DQ39" s="10"/>
      <c r="DR39" s="10"/>
      <c r="DS39" s="10"/>
      <c r="DW39" s="10"/>
      <c r="DX39" s="10"/>
      <c r="DY39" s="10"/>
      <c r="DZ39" s="10"/>
      <c r="ED39" s="10"/>
      <c r="EE39" s="10"/>
      <c r="EF39" s="10"/>
      <c r="EG39" s="10"/>
      <c r="EK39" s="10"/>
      <c r="EL39" s="10"/>
      <c r="EM39" s="10"/>
      <c r="EN39" s="10"/>
    </row>
    <row r="40" spans="2:144" outlineLevel="1" x14ac:dyDescent="0.2">
      <c r="B40" t="s">
        <v>28</v>
      </c>
      <c r="C40" t="s">
        <v>91</v>
      </c>
      <c r="E40" s="9"/>
      <c r="F40" t="s">
        <v>138</v>
      </c>
      <c r="G40" s="10">
        <v>0.05</v>
      </c>
      <c r="I40" s="9">
        <f t="shared" si="3"/>
        <v>0</v>
      </c>
      <c r="J40" s="11" cm="1">
        <f t="array" ref="J40">MAX(IF($N$3:$EH$3=$J$3,N40:EH40))</f>
        <v>0</v>
      </c>
      <c r="K40" s="11" cm="1">
        <f t="array" ref="K40">MAX(IF($N$3:$EH$3=$J$3,N40:EH40))</f>
        <v>0</v>
      </c>
      <c r="L40" s="9"/>
      <c r="O40" s="10"/>
      <c r="P40" s="10">
        <v>0.5</v>
      </c>
      <c r="Q40" s="10"/>
      <c r="R40" s="10">
        <v>0.5</v>
      </c>
      <c r="V40" s="10"/>
      <c r="W40" s="10">
        <v>0.5</v>
      </c>
      <c r="X40" s="10"/>
      <c r="Y40" s="10">
        <v>0.5</v>
      </c>
      <c r="AC40" s="10"/>
      <c r="AD40" s="10">
        <v>0.5</v>
      </c>
      <c r="AE40" s="10"/>
      <c r="AF40" s="10">
        <v>0.5</v>
      </c>
      <c r="AJ40" s="10"/>
      <c r="AK40" s="10">
        <v>0.5</v>
      </c>
      <c r="AL40" s="10"/>
      <c r="AM40" s="10">
        <v>0.5</v>
      </c>
      <c r="AQ40" s="10"/>
      <c r="AR40" s="10">
        <v>0.8</v>
      </c>
      <c r="AS40" s="10"/>
      <c r="AT40" s="10">
        <v>0.8</v>
      </c>
      <c r="AX40" s="10"/>
      <c r="AY40" s="10">
        <v>0.8</v>
      </c>
      <c r="AZ40" s="10"/>
      <c r="BA40" s="10">
        <v>0.8</v>
      </c>
      <c r="BE40" s="10"/>
      <c r="BF40" s="10">
        <v>0.8</v>
      </c>
      <c r="BG40" s="10"/>
      <c r="BH40" s="10">
        <v>0.8</v>
      </c>
      <c r="BL40" s="10"/>
      <c r="BM40" s="10">
        <v>0.8</v>
      </c>
      <c r="BN40" s="10"/>
      <c r="BO40" s="10">
        <v>0.8</v>
      </c>
      <c r="BS40" s="10"/>
      <c r="BT40" s="10">
        <v>1</v>
      </c>
      <c r="BU40" s="10"/>
      <c r="BV40" s="10">
        <v>1</v>
      </c>
      <c r="BZ40" s="10"/>
      <c r="CA40" s="10">
        <v>1</v>
      </c>
      <c r="CB40" s="10"/>
      <c r="CC40" s="10">
        <v>1</v>
      </c>
      <c r="CG40" s="10"/>
      <c r="CH40" s="10">
        <v>1</v>
      </c>
      <c r="CI40" s="10"/>
      <c r="CJ40" s="10">
        <v>1</v>
      </c>
      <c r="CN40" s="10"/>
      <c r="CO40" s="10">
        <v>1</v>
      </c>
      <c r="CP40" s="10"/>
      <c r="CQ40" s="10">
        <v>1</v>
      </c>
      <c r="CU40" s="10"/>
      <c r="CV40" s="10">
        <v>1</v>
      </c>
      <c r="CW40" s="10"/>
      <c r="CX40" s="10">
        <v>1</v>
      </c>
      <c r="DB40" s="10"/>
      <c r="DC40" s="10">
        <v>1</v>
      </c>
      <c r="DD40" s="10"/>
      <c r="DE40" s="10">
        <v>1</v>
      </c>
      <c r="DI40" s="10"/>
      <c r="DJ40" s="10">
        <v>1</v>
      </c>
      <c r="DK40" s="10"/>
      <c r="DL40" s="10">
        <v>1</v>
      </c>
      <c r="DP40" s="10"/>
      <c r="DQ40" s="10"/>
      <c r="DR40" s="10"/>
      <c r="DS40" s="10"/>
      <c r="DW40" s="10"/>
      <c r="DX40" s="10"/>
      <c r="DY40" s="10"/>
      <c r="DZ40" s="10"/>
      <c r="ED40" s="10"/>
      <c r="EE40" s="10"/>
      <c r="EF40" s="10"/>
      <c r="EG40" s="10"/>
      <c r="EK40" s="10"/>
      <c r="EL40" s="10"/>
      <c r="EM40" s="10"/>
      <c r="EN40" s="10"/>
    </row>
    <row r="41" spans="2:144" outlineLevel="1" x14ac:dyDescent="0.2">
      <c r="B41" t="s">
        <v>28</v>
      </c>
      <c r="C41" t="s">
        <v>91</v>
      </c>
      <c r="E41" s="9"/>
      <c r="F41" t="s">
        <v>139</v>
      </c>
      <c r="G41" s="10">
        <v>0.05</v>
      </c>
      <c r="I41" s="9">
        <f t="shared" si="3"/>
        <v>0</v>
      </c>
      <c r="J41" s="11" cm="1">
        <f t="array" ref="J41">MAX(IF($N$3:$EH$3=$J$3,N41:EH41))</f>
        <v>0</v>
      </c>
      <c r="K41" s="11" cm="1">
        <f t="array" ref="K41">MAX(IF($N$3:$EH$3=$J$3,N41:EH41))</f>
        <v>0</v>
      </c>
      <c r="L41" s="9"/>
      <c r="O41" s="10"/>
      <c r="P41" s="10"/>
      <c r="Q41" s="10"/>
      <c r="R41" s="10"/>
      <c r="S41">
        <v>5</v>
      </c>
      <c r="V41" s="10"/>
      <c r="W41" s="10">
        <v>0.5</v>
      </c>
      <c r="X41" s="10"/>
      <c r="Y41" s="10">
        <v>0.5</v>
      </c>
      <c r="AC41" s="10"/>
      <c r="AD41" s="10">
        <v>0.5</v>
      </c>
      <c r="AE41" s="10"/>
      <c r="AF41" s="10">
        <v>0.5</v>
      </c>
      <c r="AJ41" s="10"/>
      <c r="AK41" s="10">
        <v>0.5</v>
      </c>
      <c r="AL41" s="10"/>
      <c r="AM41" s="10">
        <v>0.5</v>
      </c>
      <c r="AQ41" s="10"/>
      <c r="AR41" s="10">
        <v>0.8</v>
      </c>
      <c r="AS41" s="10"/>
      <c r="AT41" s="10">
        <v>0.8</v>
      </c>
      <c r="AX41" s="10"/>
      <c r="AY41" s="10">
        <v>0.8</v>
      </c>
      <c r="AZ41" s="10"/>
      <c r="BA41" s="10">
        <v>0.8</v>
      </c>
      <c r="BE41" s="10"/>
      <c r="BF41" s="10">
        <v>0.8</v>
      </c>
      <c r="BG41" s="10"/>
      <c r="BH41" s="10">
        <v>0.8</v>
      </c>
      <c r="BL41" s="10"/>
      <c r="BM41" s="10">
        <v>0.8</v>
      </c>
      <c r="BN41" s="10"/>
      <c r="BO41" s="10">
        <v>0.8</v>
      </c>
      <c r="BS41" s="10"/>
      <c r="BT41" s="10">
        <v>0.8</v>
      </c>
      <c r="BU41" s="10"/>
      <c r="BV41" s="10">
        <v>0.8</v>
      </c>
      <c r="BZ41" s="10"/>
      <c r="CA41" s="10">
        <v>1</v>
      </c>
      <c r="CB41" s="10"/>
      <c r="CC41" s="10">
        <v>1</v>
      </c>
      <c r="CG41" s="10"/>
      <c r="CH41" s="10">
        <v>1</v>
      </c>
      <c r="CI41" s="10"/>
      <c r="CJ41" s="10">
        <v>1</v>
      </c>
      <c r="CN41" s="10"/>
      <c r="CO41" s="10">
        <v>1</v>
      </c>
      <c r="CP41" s="10"/>
      <c r="CQ41" s="10">
        <v>1</v>
      </c>
      <c r="CU41" s="10"/>
      <c r="CV41" s="10">
        <v>1</v>
      </c>
      <c r="CW41" s="10"/>
      <c r="CX41" s="10">
        <v>1</v>
      </c>
      <c r="DB41" s="10"/>
      <c r="DC41" s="10">
        <v>1</v>
      </c>
      <c r="DD41" s="10"/>
      <c r="DE41" s="10">
        <v>1</v>
      </c>
      <c r="DI41" s="10"/>
      <c r="DJ41" s="10">
        <v>1</v>
      </c>
      <c r="DK41" s="10"/>
      <c r="DL41" s="10">
        <v>1</v>
      </c>
      <c r="DP41" s="10"/>
      <c r="DQ41" s="10"/>
      <c r="DR41" s="10"/>
      <c r="DS41" s="10"/>
      <c r="DW41" s="10"/>
      <c r="DX41" s="10"/>
      <c r="DY41" s="10"/>
      <c r="DZ41" s="10"/>
      <c r="ED41" s="10"/>
      <c r="EE41" s="10"/>
      <c r="EF41" s="10"/>
      <c r="EG41" s="10"/>
      <c r="EK41" s="10"/>
      <c r="EL41" s="10"/>
      <c r="EM41" s="10"/>
      <c r="EN41" s="10"/>
    </row>
    <row r="42" spans="2:144" outlineLevel="1" x14ac:dyDescent="0.2">
      <c r="B42" t="s">
        <v>28</v>
      </c>
      <c r="C42" t="s">
        <v>91</v>
      </c>
      <c r="E42" s="9"/>
      <c r="F42" t="s">
        <v>140</v>
      </c>
      <c r="G42" s="10">
        <v>0.05</v>
      </c>
      <c r="I42" s="9">
        <f t="shared" si="3"/>
        <v>0</v>
      </c>
      <c r="J42" s="11" cm="1">
        <f t="array" ref="J42">MAX(IF($N$3:$EH$3=$J$3,N42:EH42))</f>
        <v>0</v>
      </c>
      <c r="K42" s="11" cm="1">
        <f t="array" ref="K42">MAX(IF($N$3:$EH$3=$J$3,N42:EH42))</f>
        <v>0</v>
      </c>
      <c r="L42" s="9"/>
      <c r="O42" s="10"/>
      <c r="P42" s="10"/>
      <c r="Q42" s="10"/>
      <c r="R42" s="10"/>
      <c r="V42" s="10"/>
      <c r="W42" s="10">
        <v>0.5</v>
      </c>
      <c r="X42" s="10"/>
      <c r="Y42" s="10">
        <v>0.5</v>
      </c>
      <c r="AC42" s="10"/>
      <c r="AD42" s="10">
        <v>0.5</v>
      </c>
      <c r="AE42" s="10"/>
      <c r="AF42" s="10">
        <v>0.5</v>
      </c>
      <c r="AJ42" s="10"/>
      <c r="AK42" s="10">
        <v>0.5</v>
      </c>
      <c r="AL42" s="10"/>
      <c r="AM42" s="10">
        <v>0.5</v>
      </c>
      <c r="AQ42" s="10"/>
      <c r="AR42" s="10">
        <v>0.5</v>
      </c>
      <c r="AS42" s="10"/>
      <c r="AT42" s="10">
        <v>0.5</v>
      </c>
      <c r="AX42" s="10"/>
      <c r="AY42" s="10">
        <v>0.8</v>
      </c>
      <c r="AZ42" s="10"/>
      <c r="BA42" s="10">
        <v>0.8</v>
      </c>
      <c r="BE42" s="10"/>
      <c r="BF42" s="10">
        <v>0.8</v>
      </c>
      <c r="BG42" s="10"/>
      <c r="BH42" s="10">
        <v>0.8</v>
      </c>
      <c r="BL42" s="10"/>
      <c r="BM42" s="10">
        <v>0.8</v>
      </c>
      <c r="BN42" s="10"/>
      <c r="BO42" s="10">
        <v>0.8</v>
      </c>
      <c r="BS42" s="10"/>
      <c r="BT42" s="10">
        <v>0.8</v>
      </c>
      <c r="BU42" s="10"/>
      <c r="BV42" s="10">
        <v>0.8</v>
      </c>
      <c r="BZ42" s="10"/>
      <c r="CA42" s="10">
        <v>0.8</v>
      </c>
      <c r="CB42" s="10"/>
      <c r="CC42" s="10">
        <v>0.8</v>
      </c>
      <c r="CG42" s="10"/>
      <c r="CH42" s="10">
        <v>1</v>
      </c>
      <c r="CI42" s="10"/>
      <c r="CJ42" s="10">
        <v>1</v>
      </c>
      <c r="CN42" s="10"/>
      <c r="CO42" s="10">
        <v>1</v>
      </c>
      <c r="CP42" s="10"/>
      <c r="CQ42" s="10">
        <v>1</v>
      </c>
      <c r="CU42" s="10"/>
      <c r="CV42" s="10">
        <v>1</v>
      </c>
      <c r="CW42" s="10"/>
      <c r="CX42" s="10">
        <v>1</v>
      </c>
      <c r="DB42" s="10"/>
      <c r="DC42" s="10">
        <v>1</v>
      </c>
      <c r="DD42" s="10"/>
      <c r="DE42" s="10">
        <v>1</v>
      </c>
      <c r="DI42" s="10"/>
      <c r="DJ42" s="10">
        <v>1</v>
      </c>
      <c r="DK42" s="10"/>
      <c r="DL42" s="10">
        <v>1</v>
      </c>
      <c r="DP42" s="10"/>
      <c r="DQ42" s="10"/>
      <c r="DR42" s="10"/>
      <c r="DS42" s="10"/>
      <c r="DW42" s="10"/>
      <c r="DX42" s="10"/>
      <c r="DY42" s="10"/>
      <c r="DZ42" s="10"/>
      <c r="ED42" s="10"/>
      <c r="EE42" s="10"/>
      <c r="EF42" s="10"/>
      <c r="EG42" s="10"/>
      <c r="EK42" s="10"/>
      <c r="EL42" s="10"/>
      <c r="EM42" s="10"/>
      <c r="EN42" s="10"/>
    </row>
    <row r="43" spans="2:144" outlineLevel="1" x14ac:dyDescent="0.2">
      <c r="B43" t="s">
        <v>28</v>
      </c>
      <c r="C43" t="s">
        <v>91</v>
      </c>
      <c r="E43" s="9"/>
      <c r="F43" t="s">
        <v>141</v>
      </c>
      <c r="G43" s="10">
        <v>0.05</v>
      </c>
      <c r="I43" s="9">
        <f t="shared" si="3"/>
        <v>0</v>
      </c>
      <c r="J43" s="11" cm="1">
        <f t="array" ref="J43">MAX(IF($N$3:$EH$3=$J$3,N43:EH43))</f>
        <v>0</v>
      </c>
      <c r="K43" s="11" cm="1">
        <f t="array" ref="K43">MAX(IF($N$3:$EH$3=$J$3,N43:EH43))</f>
        <v>0</v>
      </c>
      <c r="L43" s="9"/>
      <c r="O43" s="10"/>
      <c r="P43" s="10"/>
      <c r="Q43" s="10"/>
      <c r="R43" s="10"/>
      <c r="V43" s="10"/>
      <c r="W43" s="10">
        <v>0.5</v>
      </c>
      <c r="X43" s="10"/>
      <c r="Y43" s="10">
        <v>0.5</v>
      </c>
      <c r="AC43" s="10"/>
      <c r="AD43" s="10">
        <v>0.5</v>
      </c>
      <c r="AE43" s="10"/>
      <c r="AF43" s="10">
        <v>0.5</v>
      </c>
      <c r="AG43">
        <v>3</v>
      </c>
      <c r="AJ43" s="10"/>
      <c r="AK43" s="10">
        <v>0.5</v>
      </c>
      <c r="AL43" s="10"/>
      <c r="AM43" s="10">
        <v>0.5</v>
      </c>
      <c r="AO43">
        <v>3</v>
      </c>
      <c r="AQ43" s="10"/>
      <c r="AR43" s="10">
        <v>0.5</v>
      </c>
      <c r="AS43" s="10"/>
      <c r="AT43" s="10">
        <v>0.5</v>
      </c>
      <c r="AX43" s="10"/>
      <c r="AY43" s="10">
        <v>0.5</v>
      </c>
      <c r="AZ43" s="10"/>
      <c r="BA43" s="10">
        <v>0.5</v>
      </c>
      <c r="BE43" s="10"/>
      <c r="BF43" s="10">
        <v>0.8</v>
      </c>
      <c r="BG43" s="10"/>
      <c r="BH43" s="10">
        <v>0.8</v>
      </c>
      <c r="BL43" s="10"/>
      <c r="BM43" s="10">
        <v>0.8</v>
      </c>
      <c r="BN43" s="10"/>
      <c r="BO43" s="10">
        <v>0.8</v>
      </c>
      <c r="BS43" s="10"/>
      <c r="BT43" s="10">
        <v>0.8</v>
      </c>
      <c r="BU43" s="10"/>
      <c r="BV43" s="10">
        <v>0.8</v>
      </c>
      <c r="BZ43" s="10"/>
      <c r="CA43" s="10">
        <v>0.8</v>
      </c>
      <c r="CB43" s="10"/>
      <c r="CC43" s="10">
        <v>0.8</v>
      </c>
      <c r="CG43" s="10"/>
      <c r="CH43" s="10">
        <v>1</v>
      </c>
      <c r="CI43" s="10"/>
      <c r="CJ43" s="10">
        <v>1</v>
      </c>
      <c r="CN43" s="10"/>
      <c r="CO43" s="10">
        <v>1</v>
      </c>
      <c r="CP43" s="10"/>
      <c r="CQ43" s="10">
        <v>1</v>
      </c>
      <c r="CU43" s="10"/>
      <c r="CV43" s="10">
        <v>1</v>
      </c>
      <c r="CW43" s="10"/>
      <c r="CX43" s="10">
        <v>1</v>
      </c>
      <c r="DB43" s="10"/>
      <c r="DC43" s="10">
        <v>1</v>
      </c>
      <c r="DD43" s="10"/>
      <c r="DE43" s="10">
        <v>1</v>
      </c>
      <c r="DI43" s="10"/>
      <c r="DJ43" s="10">
        <v>1</v>
      </c>
      <c r="DK43" s="10"/>
      <c r="DL43" s="10">
        <v>1</v>
      </c>
      <c r="DP43" s="10"/>
      <c r="DQ43" s="10"/>
      <c r="DR43" s="10"/>
      <c r="DS43" s="10"/>
      <c r="DW43" s="10"/>
      <c r="DX43" s="10"/>
      <c r="DY43" s="10"/>
      <c r="DZ43" s="10"/>
      <c r="ED43" s="10"/>
      <c r="EE43" s="10"/>
      <c r="EF43" s="10"/>
      <c r="EG43" s="10"/>
      <c r="EK43" s="10"/>
      <c r="EL43" s="10"/>
      <c r="EM43" s="10"/>
      <c r="EN43" s="10"/>
    </row>
    <row r="44" spans="2:144" outlineLevel="1" x14ac:dyDescent="0.2">
      <c r="B44" t="s">
        <v>28</v>
      </c>
      <c r="C44" t="s">
        <v>91</v>
      </c>
      <c r="E44" s="9"/>
      <c r="F44" t="s">
        <v>142</v>
      </c>
      <c r="G44" s="10">
        <v>0.05</v>
      </c>
      <c r="I44" s="9">
        <f t="shared" si="3"/>
        <v>0</v>
      </c>
      <c r="J44" s="11" cm="1">
        <f t="array" ref="J44">MAX(IF($N$3:$EH$3=$J$3,N44:EH44))</f>
        <v>0</v>
      </c>
      <c r="K44" s="11" cm="1">
        <f t="array" ref="K44">MAX(IF($N$3:$EH$3=$J$3,N44:EH44))</f>
        <v>0</v>
      </c>
      <c r="L44" s="9"/>
      <c r="O44" s="10"/>
      <c r="P44" s="10"/>
      <c r="Q44" s="10"/>
      <c r="R44" s="10"/>
      <c r="V44" s="10"/>
      <c r="W44" s="10">
        <v>0.5</v>
      </c>
      <c r="X44" s="10"/>
      <c r="Y44" s="10">
        <v>0.5</v>
      </c>
      <c r="Z44">
        <v>4</v>
      </c>
      <c r="AC44" s="10"/>
      <c r="AD44" s="10">
        <v>0.5</v>
      </c>
      <c r="AE44" s="10"/>
      <c r="AF44" s="10">
        <v>0.5</v>
      </c>
      <c r="AJ44" s="10"/>
      <c r="AK44" s="10">
        <v>0.5</v>
      </c>
      <c r="AL44" s="10"/>
      <c r="AM44" s="10">
        <v>0.5</v>
      </c>
      <c r="AQ44" s="10"/>
      <c r="AR44" s="10">
        <v>0.5</v>
      </c>
      <c r="AS44" s="10"/>
      <c r="AT44" s="10">
        <v>0.5</v>
      </c>
      <c r="AX44" s="10"/>
      <c r="AY44" s="10">
        <v>0.5</v>
      </c>
      <c r="AZ44" s="10"/>
      <c r="BA44" s="10">
        <v>0.5</v>
      </c>
      <c r="BE44" s="10"/>
      <c r="BF44" s="10">
        <v>0.8</v>
      </c>
      <c r="BG44" s="10"/>
      <c r="BH44" s="10">
        <v>0.8</v>
      </c>
      <c r="BL44" s="10"/>
      <c r="BM44" s="10">
        <v>0.8</v>
      </c>
      <c r="BN44" s="10"/>
      <c r="BO44" s="10">
        <v>0.8</v>
      </c>
      <c r="BP44">
        <v>4</v>
      </c>
      <c r="BS44" s="10"/>
      <c r="BT44" s="10">
        <v>0.8</v>
      </c>
      <c r="BU44" s="10"/>
      <c r="BV44" s="10">
        <v>0.8</v>
      </c>
      <c r="BZ44" s="10"/>
      <c r="CA44" s="10">
        <v>0.8</v>
      </c>
      <c r="CB44" s="10"/>
      <c r="CC44" s="10">
        <v>0.8</v>
      </c>
      <c r="CG44" s="10"/>
      <c r="CH44" s="10">
        <v>0.8</v>
      </c>
      <c r="CI44" s="10"/>
      <c r="CJ44" s="10">
        <v>0.8</v>
      </c>
      <c r="CN44" s="10"/>
      <c r="CO44" s="10">
        <v>1</v>
      </c>
      <c r="CP44" s="10"/>
      <c r="CQ44" s="10">
        <v>1</v>
      </c>
      <c r="CU44" s="10"/>
      <c r="CV44" s="10">
        <v>1</v>
      </c>
      <c r="CW44" s="10"/>
      <c r="CX44" s="10">
        <v>1</v>
      </c>
      <c r="DB44" s="10"/>
      <c r="DC44" s="10">
        <v>1</v>
      </c>
      <c r="DD44" s="10"/>
      <c r="DE44" s="10">
        <v>1</v>
      </c>
      <c r="DI44" s="10"/>
      <c r="DJ44" s="10">
        <v>1</v>
      </c>
      <c r="DK44" s="10"/>
      <c r="DL44" s="10">
        <v>1</v>
      </c>
      <c r="DP44" s="10"/>
      <c r="DQ44" s="10"/>
      <c r="DR44" s="10"/>
      <c r="DS44" s="10"/>
      <c r="DW44" s="10"/>
      <c r="DX44" s="10"/>
      <c r="DY44" s="10"/>
      <c r="DZ44" s="10"/>
      <c r="ED44" s="10"/>
      <c r="EE44" s="10"/>
      <c r="EF44" s="10"/>
      <c r="EG44" s="10"/>
      <c r="EK44" s="10"/>
      <c r="EL44" s="10"/>
      <c r="EM44" s="10"/>
      <c r="EN44" s="10"/>
    </row>
    <row r="45" spans="2:144" outlineLevel="1" x14ac:dyDescent="0.2">
      <c r="B45" t="s">
        <v>28</v>
      </c>
      <c r="C45" t="s">
        <v>91</v>
      </c>
      <c r="E45" s="9"/>
      <c r="F45" t="s">
        <v>143</v>
      </c>
      <c r="G45" s="10">
        <v>0.05</v>
      </c>
      <c r="I45" s="9">
        <f t="shared" si="3"/>
        <v>0</v>
      </c>
      <c r="J45" s="11" cm="1">
        <f t="array" ref="J45">MAX(IF($N$3:$EH$3=$J$3,N45:EH45))</f>
        <v>0</v>
      </c>
      <c r="K45" s="11" cm="1">
        <f t="array" ref="K45">MAX(IF($N$3:$EH$3=$J$3,N45:EH45))</f>
        <v>0</v>
      </c>
      <c r="L45" s="9"/>
      <c r="O45" s="10"/>
      <c r="P45" s="10"/>
      <c r="Q45" s="10"/>
      <c r="R45" s="10"/>
      <c r="V45" s="10"/>
      <c r="W45" s="10"/>
      <c r="X45" s="10"/>
      <c r="Y45" s="10"/>
      <c r="AC45" s="10"/>
      <c r="AD45" s="10">
        <v>0.5</v>
      </c>
      <c r="AE45" s="10"/>
      <c r="AF45" s="10">
        <v>0.5</v>
      </c>
      <c r="AJ45" s="10"/>
      <c r="AK45" s="10">
        <v>0.5</v>
      </c>
      <c r="AL45" s="10"/>
      <c r="AM45" s="10">
        <v>0.5</v>
      </c>
      <c r="AQ45" s="10"/>
      <c r="AR45" s="10">
        <v>0.5</v>
      </c>
      <c r="AS45" s="10"/>
      <c r="AT45" s="10">
        <v>0.5</v>
      </c>
      <c r="AU45">
        <v>3</v>
      </c>
      <c r="AX45" s="10"/>
      <c r="AY45" s="10">
        <v>0.5</v>
      </c>
      <c r="AZ45" s="10"/>
      <c r="BA45" s="10">
        <v>0.5</v>
      </c>
      <c r="BE45" s="10"/>
      <c r="BF45" s="10">
        <v>0.5</v>
      </c>
      <c r="BG45" s="10"/>
      <c r="BH45" s="10">
        <v>0.5</v>
      </c>
      <c r="BL45" s="10"/>
      <c r="BM45" s="10">
        <v>0.8</v>
      </c>
      <c r="BN45" s="10"/>
      <c r="BO45" s="10">
        <v>0.8</v>
      </c>
      <c r="BS45" s="10"/>
      <c r="BT45" s="10">
        <v>0.8</v>
      </c>
      <c r="BU45" s="10"/>
      <c r="BV45" s="10">
        <v>0.8</v>
      </c>
      <c r="BZ45" s="10"/>
      <c r="CA45" s="10">
        <v>0.8</v>
      </c>
      <c r="CB45" s="10"/>
      <c r="CC45" s="10">
        <v>0.8</v>
      </c>
      <c r="CG45" s="10"/>
      <c r="CH45" s="10">
        <v>0.8</v>
      </c>
      <c r="CI45" s="10"/>
      <c r="CJ45" s="10">
        <v>0.8</v>
      </c>
      <c r="CN45" s="10"/>
      <c r="CO45" s="10">
        <v>0.8</v>
      </c>
      <c r="CP45" s="10"/>
      <c r="CQ45" s="10">
        <v>0.8</v>
      </c>
      <c r="CU45" s="10"/>
      <c r="CV45" s="10">
        <v>1</v>
      </c>
      <c r="CW45" s="10"/>
      <c r="CX45" s="10">
        <v>1</v>
      </c>
      <c r="DB45" s="10"/>
      <c r="DC45" s="10">
        <v>1</v>
      </c>
      <c r="DD45" s="10"/>
      <c r="DE45" s="10">
        <v>1</v>
      </c>
      <c r="DI45" s="10"/>
      <c r="DJ45" s="10">
        <v>1</v>
      </c>
      <c r="DK45" s="10"/>
      <c r="DL45" s="10">
        <v>1</v>
      </c>
      <c r="DP45" s="10"/>
      <c r="DQ45" s="10"/>
      <c r="DR45" s="10"/>
      <c r="DS45" s="10"/>
      <c r="DW45" s="10"/>
      <c r="DX45" s="10"/>
      <c r="DY45" s="10"/>
      <c r="DZ45" s="10"/>
      <c r="ED45" s="10"/>
      <c r="EE45" s="10"/>
      <c r="EF45" s="10"/>
      <c r="EG45" s="10"/>
      <c r="EK45" s="10"/>
      <c r="EL45" s="10"/>
      <c r="EM45" s="10"/>
      <c r="EN45" s="10"/>
    </row>
    <row r="46" spans="2:144" outlineLevel="1" x14ac:dyDescent="0.2">
      <c r="B46" t="s">
        <v>28</v>
      </c>
      <c r="C46" t="s">
        <v>91</v>
      </c>
      <c r="E46" s="9"/>
      <c r="F46" t="s">
        <v>144</v>
      </c>
      <c r="G46" s="10">
        <v>0.05</v>
      </c>
      <c r="I46" s="9">
        <f t="shared" si="3"/>
        <v>0</v>
      </c>
      <c r="J46" s="11" cm="1">
        <f t="array" ref="J46">MAX(IF($N$3:$EH$3=$J$3,N46:EH46))</f>
        <v>0</v>
      </c>
      <c r="K46" s="11" cm="1">
        <f t="array" ref="K46">MAX(IF($N$3:$EH$3=$J$3,N46:EH46))</f>
        <v>0</v>
      </c>
      <c r="L46" s="9"/>
      <c r="O46" s="10"/>
      <c r="P46" s="10"/>
      <c r="Q46" s="10"/>
      <c r="R46" s="10"/>
      <c r="V46" s="10"/>
      <c r="W46" s="10"/>
      <c r="X46" s="10"/>
      <c r="Y46" s="10"/>
      <c r="AC46" s="10"/>
      <c r="AD46" s="10">
        <v>0.5</v>
      </c>
      <c r="AE46" s="10"/>
      <c r="AF46" s="10">
        <v>0.5</v>
      </c>
      <c r="AJ46" s="10"/>
      <c r="AK46" s="10">
        <v>0.5</v>
      </c>
      <c r="AL46" s="10"/>
      <c r="AM46" s="10">
        <v>0.5</v>
      </c>
      <c r="AQ46" s="10"/>
      <c r="AR46" s="10">
        <v>0.5</v>
      </c>
      <c r="AS46" s="10"/>
      <c r="AT46" s="10">
        <v>0.5</v>
      </c>
      <c r="AX46" s="10"/>
      <c r="AY46" s="10">
        <v>0.5</v>
      </c>
      <c r="AZ46" s="10"/>
      <c r="BA46" s="10">
        <v>0.5</v>
      </c>
      <c r="BB46">
        <v>4</v>
      </c>
      <c r="BE46" s="10"/>
      <c r="BF46" s="10">
        <v>0.5</v>
      </c>
      <c r="BG46" s="10"/>
      <c r="BH46" s="10">
        <v>0.5</v>
      </c>
      <c r="BL46" s="10"/>
      <c r="BM46" s="10">
        <v>0.5</v>
      </c>
      <c r="BN46" s="10"/>
      <c r="BO46" s="10">
        <v>0.5</v>
      </c>
      <c r="BS46" s="10"/>
      <c r="BT46" s="10">
        <v>0.8</v>
      </c>
      <c r="BU46" s="10"/>
      <c r="BV46" s="10">
        <v>0.8</v>
      </c>
      <c r="BZ46" s="10"/>
      <c r="CA46" s="10">
        <v>0.8</v>
      </c>
      <c r="CB46" s="10"/>
      <c r="CC46" s="10">
        <v>0.8</v>
      </c>
      <c r="CG46" s="10"/>
      <c r="CH46" s="10">
        <v>0.8</v>
      </c>
      <c r="CI46" s="10"/>
      <c r="CJ46" s="10">
        <v>0.8</v>
      </c>
      <c r="CN46" s="10"/>
      <c r="CO46" s="10">
        <v>0.8</v>
      </c>
      <c r="CP46" s="10"/>
      <c r="CQ46" s="10">
        <v>0.8</v>
      </c>
      <c r="CU46" s="10"/>
      <c r="CV46" s="10">
        <v>1</v>
      </c>
      <c r="CW46" s="10"/>
      <c r="CX46" s="10">
        <v>1</v>
      </c>
      <c r="DB46" s="10"/>
      <c r="DC46" s="10">
        <v>1</v>
      </c>
      <c r="DD46" s="10"/>
      <c r="DE46" s="10">
        <v>1</v>
      </c>
      <c r="DI46" s="10"/>
      <c r="DJ46" s="10">
        <v>1</v>
      </c>
      <c r="DK46" s="10"/>
      <c r="DL46" s="10">
        <v>1</v>
      </c>
      <c r="DP46" s="10"/>
      <c r="DQ46" s="10"/>
      <c r="DR46" s="10"/>
      <c r="DS46" s="10"/>
      <c r="DW46" s="10"/>
      <c r="DX46" s="10"/>
      <c r="DY46" s="10"/>
      <c r="DZ46" s="10"/>
      <c r="ED46" s="10"/>
      <c r="EE46" s="10"/>
      <c r="EF46" s="10"/>
      <c r="EG46" s="10"/>
      <c r="EK46" s="10"/>
      <c r="EL46" s="10"/>
      <c r="EM46" s="10"/>
      <c r="EN46" s="10"/>
    </row>
    <row r="47" spans="2:144" outlineLevel="1" x14ac:dyDescent="0.2">
      <c r="B47" t="s">
        <v>28</v>
      </c>
      <c r="C47" t="s">
        <v>91</v>
      </c>
      <c r="E47" s="9"/>
      <c r="F47" t="s">
        <v>145</v>
      </c>
      <c r="G47" s="10">
        <v>0.05</v>
      </c>
      <c r="I47" s="9">
        <f t="shared" si="3"/>
        <v>0</v>
      </c>
      <c r="J47" s="11" cm="1">
        <f t="array" ref="J47">MAX(IF($N$3:$EH$3=$J$3,N47:EH47))</f>
        <v>0</v>
      </c>
      <c r="K47" s="11" cm="1">
        <f t="array" ref="K47">MAX(IF($N$3:$EH$3=$J$3,N47:EH47))</f>
        <v>0</v>
      </c>
      <c r="L47" s="9"/>
      <c r="O47" s="10"/>
      <c r="P47" s="10"/>
      <c r="Q47" s="10"/>
      <c r="R47" s="10"/>
      <c r="V47" s="10"/>
      <c r="W47" s="10"/>
      <c r="X47" s="10"/>
      <c r="Y47" s="10"/>
      <c r="AC47" s="10"/>
      <c r="AD47" s="10">
        <v>0.5</v>
      </c>
      <c r="AE47" s="10"/>
      <c r="AF47" s="10">
        <v>0.5</v>
      </c>
      <c r="AJ47" s="10"/>
      <c r="AK47" s="10">
        <v>0.5</v>
      </c>
      <c r="AL47" s="10"/>
      <c r="AM47" s="10">
        <v>0.5</v>
      </c>
      <c r="AQ47" s="10"/>
      <c r="AR47" s="10">
        <v>0.5</v>
      </c>
      <c r="AS47" s="10"/>
      <c r="AT47" s="10">
        <v>0.5</v>
      </c>
      <c r="AX47" s="10"/>
      <c r="AY47" s="10">
        <v>0.5</v>
      </c>
      <c r="AZ47" s="10"/>
      <c r="BA47" s="10">
        <v>0.5</v>
      </c>
      <c r="BE47" s="10"/>
      <c r="BF47" s="10">
        <v>0.5</v>
      </c>
      <c r="BG47" s="10"/>
      <c r="BH47" s="10">
        <v>0.5</v>
      </c>
      <c r="BI47">
        <v>3</v>
      </c>
      <c r="BL47" s="10"/>
      <c r="BM47" s="10">
        <v>0.5</v>
      </c>
      <c r="BN47" s="10"/>
      <c r="BO47" s="10">
        <v>0.5</v>
      </c>
      <c r="BS47" s="10"/>
      <c r="BT47" s="10">
        <v>0.8</v>
      </c>
      <c r="BU47" s="10"/>
      <c r="BV47" s="10">
        <v>0.8</v>
      </c>
      <c r="BZ47" s="10"/>
      <c r="CA47" s="10">
        <v>0.8</v>
      </c>
      <c r="CB47" s="10"/>
      <c r="CC47" s="10">
        <v>0.8</v>
      </c>
      <c r="CG47" s="10"/>
      <c r="CH47" s="10">
        <v>0.8</v>
      </c>
      <c r="CI47" s="10"/>
      <c r="CJ47" s="10">
        <v>0.8</v>
      </c>
      <c r="CN47" s="10"/>
      <c r="CO47" s="10">
        <v>0.8</v>
      </c>
      <c r="CP47" s="10"/>
      <c r="CQ47" s="10">
        <v>0.8</v>
      </c>
      <c r="CU47" s="10"/>
      <c r="CV47" s="10">
        <v>1</v>
      </c>
      <c r="CW47" s="10"/>
      <c r="CX47" s="10">
        <v>1</v>
      </c>
      <c r="DB47" s="10"/>
      <c r="DC47" s="10">
        <v>1</v>
      </c>
      <c r="DD47" s="10"/>
      <c r="DE47" s="10">
        <v>1</v>
      </c>
      <c r="DI47" s="10"/>
      <c r="DJ47" s="10">
        <v>1</v>
      </c>
      <c r="DK47" s="10"/>
      <c r="DL47" s="10">
        <v>1</v>
      </c>
      <c r="DP47" s="10"/>
      <c r="DQ47" s="10"/>
      <c r="DR47" s="10"/>
      <c r="DS47" s="10"/>
      <c r="DW47" s="10"/>
      <c r="DX47" s="10"/>
      <c r="DY47" s="10"/>
      <c r="DZ47" s="10"/>
      <c r="ED47" s="10"/>
      <c r="EE47" s="10"/>
      <c r="EF47" s="10"/>
      <c r="EG47" s="10"/>
      <c r="EK47" s="10"/>
      <c r="EL47" s="10"/>
      <c r="EM47" s="10"/>
      <c r="EN47" s="10"/>
    </row>
    <row r="48" spans="2:144" outlineLevel="1" x14ac:dyDescent="0.2">
      <c r="B48" t="s">
        <v>28</v>
      </c>
      <c r="C48" t="s">
        <v>91</v>
      </c>
      <c r="E48" s="9"/>
      <c r="F48" t="s">
        <v>146</v>
      </c>
      <c r="G48" s="10">
        <v>0.05</v>
      </c>
      <c r="I48" s="9">
        <f t="shared" si="3"/>
        <v>0</v>
      </c>
      <c r="J48" s="11" cm="1">
        <f t="array" ref="J48">MAX(IF($N$3:$EH$3=$J$3,N48:EH48))</f>
        <v>0</v>
      </c>
      <c r="K48" s="11" cm="1">
        <f t="array" ref="K48">MAX(IF($N$3:$EH$3=$J$3,N48:EH48))</f>
        <v>0</v>
      </c>
      <c r="L48" s="9"/>
      <c r="O48" s="10"/>
      <c r="P48" s="10"/>
      <c r="Q48" s="10"/>
      <c r="R48" s="10"/>
      <c r="V48" s="10"/>
      <c r="W48" s="10"/>
      <c r="X48" s="10"/>
      <c r="Y48" s="10"/>
      <c r="AC48" s="10"/>
      <c r="AD48" s="10"/>
      <c r="AE48" s="10"/>
      <c r="AF48" s="10"/>
      <c r="AJ48" s="10"/>
      <c r="AK48" s="10">
        <v>0.5</v>
      </c>
      <c r="AL48" s="10"/>
      <c r="AM48" s="10">
        <v>0.5</v>
      </c>
      <c r="AQ48" s="10"/>
      <c r="AR48" s="10">
        <v>0.5</v>
      </c>
      <c r="AS48" s="10"/>
      <c r="AT48" s="10">
        <v>0.5</v>
      </c>
      <c r="AX48" s="10"/>
      <c r="AY48" s="10">
        <v>0.5</v>
      </c>
      <c r="AZ48" s="10"/>
      <c r="BA48" s="10">
        <v>0.5</v>
      </c>
      <c r="BE48" s="10"/>
      <c r="BF48" s="10">
        <v>0.5</v>
      </c>
      <c r="BG48" s="10"/>
      <c r="BH48" s="10">
        <v>0.5</v>
      </c>
      <c r="BL48" s="10"/>
      <c r="BM48" s="10">
        <v>0.5</v>
      </c>
      <c r="BN48" s="10"/>
      <c r="BO48" s="10">
        <v>0.5</v>
      </c>
      <c r="BS48" s="10"/>
      <c r="BT48" s="10">
        <v>0.5</v>
      </c>
      <c r="BU48" s="10"/>
      <c r="BV48" s="10">
        <v>0.5</v>
      </c>
      <c r="BZ48" s="10"/>
      <c r="CA48" s="10">
        <v>0.8</v>
      </c>
      <c r="CB48" s="10"/>
      <c r="CC48" s="10">
        <v>0.8</v>
      </c>
      <c r="CG48" s="10"/>
      <c r="CH48" s="10">
        <v>0.8</v>
      </c>
      <c r="CI48" s="10"/>
      <c r="CJ48" s="10">
        <v>0.8</v>
      </c>
      <c r="CK48">
        <v>3</v>
      </c>
      <c r="CN48" s="10"/>
      <c r="CO48" s="10">
        <v>0.8</v>
      </c>
      <c r="CP48" s="10"/>
      <c r="CQ48" s="10">
        <v>0.8</v>
      </c>
      <c r="CU48" s="10"/>
      <c r="CV48" s="10">
        <v>0.8</v>
      </c>
      <c r="CW48" s="10"/>
      <c r="CX48" s="10">
        <v>0.8</v>
      </c>
      <c r="DB48" s="10"/>
      <c r="DC48" s="10">
        <v>1</v>
      </c>
      <c r="DD48" s="10"/>
      <c r="DE48" s="10">
        <v>1</v>
      </c>
      <c r="DI48" s="10"/>
      <c r="DJ48" s="10">
        <v>1</v>
      </c>
      <c r="DK48" s="10"/>
      <c r="DL48" s="10">
        <v>1</v>
      </c>
      <c r="DP48" s="10"/>
      <c r="DQ48" s="10"/>
      <c r="DR48" s="10"/>
      <c r="DS48" s="10"/>
      <c r="DW48" s="10"/>
      <c r="DX48" s="10"/>
      <c r="DY48" s="10"/>
      <c r="DZ48" s="10"/>
      <c r="ED48" s="10"/>
      <c r="EE48" s="10"/>
      <c r="EF48" s="10"/>
      <c r="EG48" s="10"/>
      <c r="EK48" s="10"/>
      <c r="EL48" s="10"/>
      <c r="EM48" s="10"/>
      <c r="EN48" s="10"/>
    </row>
    <row r="49" spans="2:144" outlineLevel="1" x14ac:dyDescent="0.2">
      <c r="B49" t="s">
        <v>28</v>
      </c>
      <c r="C49" t="s">
        <v>91</v>
      </c>
      <c r="E49" s="9"/>
      <c r="F49" t="s">
        <v>147</v>
      </c>
      <c r="G49" s="10">
        <v>0.05</v>
      </c>
      <c r="I49" s="9">
        <f t="shared" si="3"/>
        <v>0</v>
      </c>
      <c r="J49" s="11" cm="1">
        <f t="array" ref="J49">MAX(IF($N$3:$EH$3=$J$3,N49:EH49))</f>
        <v>0</v>
      </c>
      <c r="K49" s="11" cm="1">
        <f t="array" ref="K49">MAX(IF($N$3:$EH$3=$J$3,N49:EH49))</f>
        <v>0</v>
      </c>
      <c r="L49" s="9"/>
      <c r="O49" s="10"/>
      <c r="P49" s="10"/>
      <c r="Q49" s="10"/>
      <c r="R49" s="10"/>
      <c r="V49" s="10"/>
      <c r="W49" s="10"/>
      <c r="X49" s="10"/>
      <c r="Y49" s="10"/>
      <c r="AC49" s="10"/>
      <c r="AD49" s="10"/>
      <c r="AE49" s="10"/>
      <c r="AF49" s="10"/>
      <c r="AJ49" s="10"/>
      <c r="AK49" s="10">
        <v>0.5</v>
      </c>
      <c r="AL49" s="10"/>
      <c r="AM49" s="10">
        <v>0.5</v>
      </c>
      <c r="AQ49" s="10"/>
      <c r="AR49" s="10">
        <v>0.5</v>
      </c>
      <c r="AS49" s="10"/>
      <c r="AT49" s="10">
        <v>0.5</v>
      </c>
      <c r="AX49" s="10"/>
      <c r="AY49" s="10">
        <v>0.5</v>
      </c>
      <c r="AZ49" s="10"/>
      <c r="BA49" s="10">
        <v>0.5</v>
      </c>
      <c r="BE49" s="10"/>
      <c r="BF49" s="10">
        <v>0.5</v>
      </c>
      <c r="BG49" s="10"/>
      <c r="BH49" s="10">
        <v>0.5</v>
      </c>
      <c r="BL49" s="10"/>
      <c r="BM49" s="10">
        <v>0.5</v>
      </c>
      <c r="BN49" s="10"/>
      <c r="BO49" s="10">
        <v>0.5</v>
      </c>
      <c r="BS49" s="10"/>
      <c r="BT49" s="10">
        <v>0.5</v>
      </c>
      <c r="BU49" s="10"/>
      <c r="BV49" s="10">
        <v>0.5</v>
      </c>
      <c r="BZ49" s="10"/>
      <c r="CA49" s="10">
        <v>0.8</v>
      </c>
      <c r="CB49" s="10"/>
      <c r="CC49" s="10">
        <v>0.8</v>
      </c>
      <c r="CD49">
        <v>4</v>
      </c>
      <c r="CG49" s="10"/>
      <c r="CH49" s="10">
        <v>0.8</v>
      </c>
      <c r="CI49" s="10"/>
      <c r="CJ49" s="10">
        <v>0.8</v>
      </c>
      <c r="CN49" s="10"/>
      <c r="CO49" s="10">
        <v>0.8</v>
      </c>
      <c r="CP49" s="10"/>
      <c r="CQ49" s="10">
        <v>0.8</v>
      </c>
      <c r="CU49" s="10"/>
      <c r="CV49" s="10">
        <v>0.8</v>
      </c>
      <c r="CW49" s="10"/>
      <c r="CX49" s="10">
        <v>0.8</v>
      </c>
      <c r="DB49" s="10"/>
      <c r="DC49" s="10">
        <v>1</v>
      </c>
      <c r="DD49" s="10"/>
      <c r="DE49" s="10">
        <v>1</v>
      </c>
      <c r="DI49" s="10"/>
      <c r="DJ49" s="10">
        <v>1</v>
      </c>
      <c r="DK49" s="10"/>
      <c r="DL49" s="10">
        <v>1</v>
      </c>
      <c r="DP49" s="10"/>
      <c r="DQ49" s="10"/>
      <c r="DR49" s="10"/>
      <c r="DS49" s="10"/>
      <c r="DW49" s="10"/>
      <c r="DX49" s="10"/>
      <c r="DY49" s="10"/>
      <c r="DZ49" s="10"/>
      <c r="ED49" s="10"/>
      <c r="EE49" s="10"/>
      <c r="EF49" s="10"/>
      <c r="EG49" s="10"/>
      <c r="EK49" s="10"/>
      <c r="EL49" s="10"/>
      <c r="EM49" s="10"/>
      <c r="EN49" s="10"/>
    </row>
    <row r="50" spans="2:144" outlineLevel="1" x14ac:dyDescent="0.2">
      <c r="B50" t="s">
        <v>28</v>
      </c>
      <c r="C50" t="s">
        <v>91</v>
      </c>
      <c r="E50" s="9"/>
      <c r="F50" t="s">
        <v>148</v>
      </c>
      <c r="G50" s="10">
        <v>0.05</v>
      </c>
      <c r="I50" s="9">
        <f t="shared" si="3"/>
        <v>0</v>
      </c>
      <c r="J50" s="11" cm="1">
        <f t="array" ref="J50">MAX(IF($N$3:$EH$3=$J$3,N50:EH50))</f>
        <v>0</v>
      </c>
      <c r="K50" s="11" cm="1">
        <f t="array" ref="K50">MAX(IF($N$3:$EH$3=$J$3,N50:EH50))</f>
        <v>0</v>
      </c>
      <c r="L50" s="9"/>
      <c r="O50" s="10"/>
      <c r="P50" s="10"/>
      <c r="Q50" s="10"/>
      <c r="R50" s="10"/>
      <c r="V50" s="10"/>
      <c r="W50" s="10"/>
      <c r="X50" s="10"/>
      <c r="Y50" s="10"/>
      <c r="AC50" s="10"/>
      <c r="AD50" s="10"/>
      <c r="AE50" s="10"/>
      <c r="AF50" s="10"/>
      <c r="AJ50" s="10"/>
      <c r="AK50" s="10"/>
      <c r="AL50" s="10"/>
      <c r="AM50" s="10"/>
      <c r="AQ50" s="10"/>
      <c r="AR50" s="10">
        <v>0.5</v>
      </c>
      <c r="AS50" s="10"/>
      <c r="AT50" s="10">
        <v>0.5</v>
      </c>
      <c r="AX50" s="10"/>
      <c r="AY50" s="10">
        <v>0.5</v>
      </c>
      <c r="AZ50" s="10"/>
      <c r="BA50" s="10">
        <v>0.5</v>
      </c>
      <c r="BE50" s="10"/>
      <c r="BF50" s="10">
        <v>0.5</v>
      </c>
      <c r="BG50" s="10"/>
      <c r="BH50" s="10">
        <v>0.5</v>
      </c>
      <c r="BL50" s="10"/>
      <c r="BM50" s="10">
        <v>0.5</v>
      </c>
      <c r="BN50" s="10"/>
      <c r="BO50" s="10">
        <v>0.5</v>
      </c>
      <c r="BS50" s="10"/>
      <c r="BT50" s="10">
        <v>0.5</v>
      </c>
      <c r="BU50" s="10"/>
      <c r="BV50" s="10">
        <v>0.5</v>
      </c>
      <c r="BZ50" s="10"/>
      <c r="CA50" s="10">
        <v>0.5</v>
      </c>
      <c r="CB50" s="10"/>
      <c r="CC50" s="10">
        <v>0.5</v>
      </c>
      <c r="CG50" s="10"/>
      <c r="CH50" s="10">
        <v>0.8</v>
      </c>
      <c r="CI50" s="10"/>
      <c r="CJ50" s="10">
        <v>0.8</v>
      </c>
      <c r="CN50" s="10"/>
      <c r="CO50" s="10">
        <v>0.8</v>
      </c>
      <c r="CP50" s="10"/>
      <c r="CQ50" s="10">
        <v>0.8</v>
      </c>
      <c r="CR50">
        <v>4</v>
      </c>
      <c r="CU50" s="10"/>
      <c r="CV50" s="10">
        <v>0.8</v>
      </c>
      <c r="CW50" s="10"/>
      <c r="CX50" s="10">
        <v>0.8</v>
      </c>
      <c r="DB50" s="10"/>
      <c r="DC50" s="10">
        <v>1</v>
      </c>
      <c r="DD50" s="10"/>
      <c r="DE50" s="10">
        <v>1</v>
      </c>
      <c r="DI50" s="10"/>
      <c r="DJ50" s="10">
        <v>1</v>
      </c>
      <c r="DK50" s="10"/>
      <c r="DL50" s="10">
        <v>1</v>
      </c>
      <c r="DP50" s="10"/>
      <c r="DQ50" s="10"/>
      <c r="DR50" s="10"/>
      <c r="DS50" s="10"/>
      <c r="DW50" s="10"/>
      <c r="DX50" s="10"/>
      <c r="DY50" s="10"/>
      <c r="DZ50" s="10"/>
      <c r="ED50" s="10"/>
      <c r="EE50" s="10"/>
      <c r="EF50" s="10"/>
      <c r="EG50" s="10"/>
      <c r="EK50" s="10"/>
      <c r="EL50" s="10"/>
      <c r="EM50" s="10"/>
      <c r="EN50" s="10"/>
    </row>
    <row r="51" spans="2:144" outlineLevel="1" x14ac:dyDescent="0.2">
      <c r="B51" t="s">
        <v>28</v>
      </c>
      <c r="C51" t="s">
        <v>91</v>
      </c>
      <c r="E51" s="9"/>
      <c r="F51" t="s">
        <v>149</v>
      </c>
      <c r="G51" s="10">
        <v>0.05</v>
      </c>
      <c r="I51" s="9">
        <f t="shared" si="3"/>
        <v>0</v>
      </c>
      <c r="J51" s="11" cm="1">
        <f t="array" ref="J51">MAX(IF($N$3:$EH$3=$J$3,N51:EH51))</f>
        <v>0</v>
      </c>
      <c r="K51" s="11" cm="1">
        <f t="array" ref="K51">MAX(IF($N$3:$EH$3=$J$3,N51:EH51))</f>
        <v>0</v>
      </c>
      <c r="L51" s="9"/>
      <c r="O51" s="10"/>
      <c r="P51" s="10"/>
      <c r="Q51" s="10"/>
      <c r="R51" s="10"/>
      <c r="V51" s="10"/>
      <c r="W51" s="10"/>
      <c r="X51" s="10"/>
      <c r="Y51" s="10"/>
      <c r="AC51" s="10"/>
      <c r="AD51" s="10"/>
      <c r="AE51" s="10"/>
      <c r="AF51" s="10"/>
      <c r="AJ51" s="10"/>
      <c r="AK51" s="10"/>
      <c r="AL51" s="10"/>
      <c r="AM51" s="10"/>
      <c r="AQ51" s="10"/>
      <c r="AR51" s="10"/>
      <c r="AS51" s="10"/>
      <c r="AT51" s="10"/>
      <c r="AX51" s="10"/>
      <c r="AY51" s="10">
        <v>0.5</v>
      </c>
      <c r="AZ51" s="10"/>
      <c r="BA51" s="10">
        <v>0.5</v>
      </c>
      <c r="BE51" s="10"/>
      <c r="BF51" s="10">
        <v>0.5</v>
      </c>
      <c r="BG51" s="10"/>
      <c r="BH51" s="10">
        <v>0.5</v>
      </c>
      <c r="BL51" s="10"/>
      <c r="BM51" s="10">
        <v>0.5</v>
      </c>
      <c r="BN51" s="10"/>
      <c r="BO51" s="10">
        <v>0.5</v>
      </c>
      <c r="BS51" s="10"/>
      <c r="BT51" s="10">
        <v>0.5</v>
      </c>
      <c r="BU51" s="10"/>
      <c r="BV51" s="10">
        <v>0.5</v>
      </c>
      <c r="BW51">
        <v>3</v>
      </c>
      <c r="BZ51" s="10"/>
      <c r="CA51" s="10">
        <v>0.5</v>
      </c>
      <c r="CB51" s="10"/>
      <c r="CC51" s="10">
        <v>0.5</v>
      </c>
      <c r="CG51" s="10"/>
      <c r="CH51" s="10">
        <v>0.8</v>
      </c>
      <c r="CI51" s="10"/>
      <c r="CJ51" s="10">
        <v>0.8</v>
      </c>
      <c r="CN51" s="10"/>
      <c r="CO51" s="10">
        <v>0.8</v>
      </c>
      <c r="CP51" s="10"/>
      <c r="CQ51" s="10">
        <v>0.8</v>
      </c>
      <c r="CU51" s="10"/>
      <c r="CV51" s="10">
        <v>0.8</v>
      </c>
      <c r="CW51" s="10"/>
      <c r="CX51" s="10">
        <v>0.8</v>
      </c>
      <c r="CY51">
        <v>3</v>
      </c>
      <c r="DB51" s="10"/>
      <c r="DC51" s="10">
        <v>0.8</v>
      </c>
      <c r="DD51" s="10"/>
      <c r="DE51" s="10">
        <v>0.8</v>
      </c>
      <c r="DF51">
        <v>4</v>
      </c>
      <c r="DI51" s="10"/>
      <c r="DJ51" s="10">
        <v>1</v>
      </c>
      <c r="DK51" s="10"/>
      <c r="DL51" s="10">
        <v>1</v>
      </c>
      <c r="DP51" s="10"/>
      <c r="DQ51" s="10"/>
      <c r="DR51" s="10"/>
      <c r="DS51" s="10"/>
      <c r="DW51" s="10"/>
      <c r="DX51" s="10"/>
      <c r="DY51" s="10"/>
      <c r="DZ51" s="10"/>
      <c r="ED51" s="10"/>
      <c r="EE51" s="10"/>
      <c r="EF51" s="10"/>
      <c r="EG51" s="10"/>
      <c r="EK51" s="10"/>
      <c r="EL51" s="10"/>
      <c r="EM51" s="10"/>
      <c r="EN51" s="10"/>
    </row>
    <row r="52" spans="2:144" outlineLevel="1" x14ac:dyDescent="0.2">
      <c r="B52" t="s">
        <v>28</v>
      </c>
      <c r="C52" t="s">
        <v>91</v>
      </c>
      <c r="E52" s="9"/>
      <c r="F52" t="s">
        <v>150</v>
      </c>
      <c r="G52" s="10">
        <v>0.05</v>
      </c>
      <c r="I52" s="9">
        <f t="shared" si="3"/>
        <v>0</v>
      </c>
      <c r="J52" s="11" cm="1">
        <f t="array" ref="J52">MAX(IF($N$3:$EH$3=$J$3,N52:EH52))</f>
        <v>0</v>
      </c>
      <c r="K52" s="11" cm="1">
        <f t="array" ref="K52">MAX(IF($N$3:$EH$3=$J$3,N52:EH52))</f>
        <v>0</v>
      </c>
      <c r="L52" s="9"/>
      <c r="O52" s="10"/>
      <c r="P52" s="10"/>
      <c r="Q52" s="10"/>
      <c r="R52" s="10"/>
      <c r="V52" s="10"/>
      <c r="W52" s="10"/>
      <c r="X52" s="10"/>
      <c r="Y52" s="10"/>
      <c r="AC52" s="10"/>
      <c r="AD52" s="10"/>
      <c r="AE52" s="10"/>
      <c r="AF52" s="10"/>
      <c r="AJ52" s="10"/>
      <c r="AK52" s="10"/>
      <c r="AL52" s="10"/>
      <c r="AM52" s="10"/>
      <c r="AQ52" s="10"/>
      <c r="AR52" s="10"/>
      <c r="AS52" s="10"/>
      <c r="AT52" s="10"/>
      <c r="AX52" s="10"/>
      <c r="AY52" s="10">
        <v>0.5</v>
      </c>
      <c r="AZ52" s="10"/>
      <c r="BA52" s="10">
        <v>0.5</v>
      </c>
      <c r="BE52" s="10"/>
      <c r="BF52" s="10">
        <v>0.5</v>
      </c>
      <c r="BG52" s="10"/>
      <c r="BH52" s="10">
        <v>0.5</v>
      </c>
      <c r="BL52" s="10"/>
      <c r="BM52" s="10">
        <v>0.5</v>
      </c>
      <c r="BN52" s="10"/>
      <c r="BO52" s="10">
        <v>0.5</v>
      </c>
      <c r="BS52" s="10"/>
      <c r="BT52" s="10">
        <v>0.5</v>
      </c>
      <c r="BU52" s="10"/>
      <c r="BV52" s="10">
        <v>0.5</v>
      </c>
      <c r="BZ52" s="10"/>
      <c r="CA52" s="10">
        <v>0.5</v>
      </c>
      <c r="CB52" s="10"/>
      <c r="CC52" s="10">
        <v>0.5</v>
      </c>
      <c r="CG52" s="10"/>
      <c r="CH52" s="10">
        <v>0.5</v>
      </c>
      <c r="CI52" s="10"/>
      <c r="CJ52" s="10">
        <v>0.5</v>
      </c>
      <c r="CN52" s="10"/>
      <c r="CO52" s="10">
        <v>0.8</v>
      </c>
      <c r="CP52" s="10"/>
      <c r="CQ52" s="10">
        <v>0.8</v>
      </c>
      <c r="CU52" s="10"/>
      <c r="CV52" s="10">
        <v>0.8</v>
      </c>
      <c r="CW52" s="10"/>
      <c r="CX52" s="10">
        <v>0.8</v>
      </c>
      <c r="DB52" s="10"/>
      <c r="DC52" s="10">
        <v>0.8</v>
      </c>
      <c r="DD52" s="10"/>
      <c r="DE52" s="10">
        <v>0.8</v>
      </c>
      <c r="DI52" s="10"/>
      <c r="DJ52" s="10">
        <v>1</v>
      </c>
      <c r="DK52" s="10"/>
      <c r="DL52" s="10">
        <v>1</v>
      </c>
      <c r="DP52" s="10"/>
      <c r="DQ52" s="10"/>
      <c r="DR52" s="10"/>
      <c r="DS52" s="10"/>
      <c r="DW52" s="10"/>
      <c r="DX52" s="10"/>
      <c r="DY52" s="10"/>
      <c r="DZ52" s="10"/>
      <c r="ED52" s="10"/>
      <c r="EE52" s="10"/>
      <c r="EF52" s="10"/>
      <c r="EG52" s="10"/>
      <c r="EK52" s="10"/>
      <c r="EL52" s="10"/>
      <c r="EM52" s="10"/>
      <c r="EN52" s="10"/>
    </row>
    <row r="53" spans="2:144" outlineLevel="1" x14ac:dyDescent="0.2">
      <c r="B53" t="s">
        <v>28</v>
      </c>
      <c r="C53" t="s">
        <v>91</v>
      </c>
      <c r="E53" s="9"/>
      <c r="F53" t="s">
        <v>151</v>
      </c>
      <c r="G53" s="10">
        <v>0.1</v>
      </c>
      <c r="I53" s="9">
        <f t="shared" si="3"/>
        <v>0</v>
      </c>
      <c r="J53" s="11" cm="1">
        <f t="array" ref="J53">MAX(IF($N$3:$EH$3=$J$3,N53:EH53))</f>
        <v>0</v>
      </c>
      <c r="K53" s="11" cm="1">
        <f t="array" ref="K53">MAX(IF($N$3:$EH$3=$J$3,N53:EH53))</f>
        <v>0</v>
      </c>
      <c r="L53" s="9"/>
      <c r="O53" s="10"/>
      <c r="P53" s="10"/>
      <c r="Q53" s="10"/>
      <c r="R53" s="10"/>
      <c r="V53" s="10"/>
      <c r="W53" s="10"/>
      <c r="X53" s="10"/>
      <c r="Y53" s="10"/>
      <c r="AC53" s="10"/>
      <c r="AD53" s="10"/>
      <c r="AE53" s="10"/>
      <c r="AF53" s="10"/>
      <c r="AJ53" s="10"/>
      <c r="AK53" s="10"/>
      <c r="AL53" s="10"/>
      <c r="AM53" s="10"/>
      <c r="AQ53" s="10"/>
      <c r="AR53" s="10"/>
      <c r="AS53" s="10"/>
      <c r="AT53" s="10"/>
      <c r="AX53" s="10"/>
      <c r="AY53" s="10"/>
      <c r="AZ53" s="10"/>
      <c r="BA53" s="10"/>
      <c r="BE53" s="10"/>
      <c r="BF53" s="10">
        <v>0.5</v>
      </c>
      <c r="BG53" s="10"/>
      <c r="BH53" s="10">
        <v>0.5</v>
      </c>
      <c r="BL53" s="10"/>
      <c r="BM53" s="10">
        <v>0.5</v>
      </c>
      <c r="BN53" s="10"/>
      <c r="BO53" s="10">
        <v>0.5</v>
      </c>
      <c r="BS53" s="10"/>
      <c r="BT53" s="10">
        <v>0.5</v>
      </c>
      <c r="BU53" s="10"/>
      <c r="BV53" s="10">
        <v>0.5</v>
      </c>
      <c r="BZ53" s="10"/>
      <c r="CA53" s="10">
        <v>0.5</v>
      </c>
      <c r="CB53" s="10"/>
      <c r="CC53" s="10">
        <v>0.5</v>
      </c>
      <c r="CG53" s="10"/>
      <c r="CH53" s="10">
        <v>0.5</v>
      </c>
      <c r="CI53" s="10"/>
      <c r="CJ53" s="10">
        <v>0.5</v>
      </c>
      <c r="CN53" s="10"/>
      <c r="CO53" s="10">
        <v>0.8</v>
      </c>
      <c r="CP53" s="10"/>
      <c r="CQ53" s="10">
        <v>0.8</v>
      </c>
      <c r="CU53" s="10"/>
      <c r="CV53" s="10">
        <v>0.8</v>
      </c>
      <c r="CW53" s="10"/>
      <c r="CX53" s="10">
        <v>0.8</v>
      </c>
      <c r="DB53" s="10"/>
      <c r="DC53" s="10">
        <v>0.8</v>
      </c>
      <c r="DD53" s="10"/>
      <c r="DE53" s="10">
        <v>0.8</v>
      </c>
      <c r="DI53" s="10"/>
      <c r="DJ53" s="10">
        <v>1</v>
      </c>
      <c r="DK53" s="10"/>
      <c r="DL53" s="10">
        <v>1</v>
      </c>
      <c r="DP53" s="10"/>
      <c r="DQ53" s="10"/>
      <c r="DR53" s="10"/>
      <c r="DS53" s="10"/>
      <c r="DW53" s="10"/>
      <c r="DX53" s="10"/>
      <c r="DY53" s="10"/>
      <c r="DZ53" s="10"/>
      <c r="ED53" s="10"/>
      <c r="EE53" s="10"/>
      <c r="EF53" s="10"/>
      <c r="EG53" s="10"/>
      <c r="EK53" s="10"/>
      <c r="EL53" s="10"/>
      <c r="EM53" s="10"/>
      <c r="EN53" s="10"/>
    </row>
    <row r="54" spans="2:144" outlineLevel="1" x14ac:dyDescent="0.2">
      <c r="B54" t="s">
        <v>28</v>
      </c>
      <c r="C54" t="s">
        <v>91</v>
      </c>
      <c r="E54" s="9"/>
      <c r="F54" t="s">
        <v>152</v>
      </c>
      <c r="G54" s="10">
        <v>0.1</v>
      </c>
      <c r="I54" s="9">
        <f t="shared" si="3"/>
        <v>0</v>
      </c>
      <c r="J54" s="11" cm="1">
        <f t="array" ref="J54">MAX(IF($N$3:$EH$3=$J$3,N54:EH54))</f>
        <v>0</v>
      </c>
      <c r="K54" s="11" cm="1">
        <f t="array" ref="K54">MAX(IF($N$3:$EH$3=$J$3,N54:EH54))</f>
        <v>0</v>
      </c>
      <c r="L54" s="9"/>
      <c r="O54" s="10"/>
      <c r="P54" s="10"/>
      <c r="Q54" s="10"/>
      <c r="R54" s="10"/>
      <c r="V54" s="10"/>
      <c r="W54" s="10"/>
      <c r="X54" s="10"/>
      <c r="Y54" s="10"/>
      <c r="AC54" s="10"/>
      <c r="AD54" s="10"/>
      <c r="AE54" s="10"/>
      <c r="AF54" s="10"/>
      <c r="AJ54" s="10"/>
      <c r="AK54" s="10"/>
      <c r="AL54" s="10"/>
      <c r="AM54" s="10"/>
      <c r="AQ54" s="10"/>
      <c r="AR54" s="10"/>
      <c r="AS54" s="10"/>
      <c r="AT54" s="10"/>
      <c r="AX54" s="10"/>
      <c r="AY54" s="10"/>
      <c r="AZ54" s="10"/>
      <c r="BA54" s="10"/>
      <c r="BE54" s="10"/>
      <c r="BF54" s="10">
        <v>0.5</v>
      </c>
      <c r="BG54" s="10"/>
      <c r="BH54" s="10">
        <v>0.5</v>
      </c>
      <c r="BL54" s="10"/>
      <c r="BM54" s="10">
        <v>0.5</v>
      </c>
      <c r="BN54" s="10"/>
      <c r="BO54" s="10">
        <v>0.5</v>
      </c>
      <c r="BS54" s="10"/>
      <c r="BT54" s="10">
        <v>0.5</v>
      </c>
      <c r="BU54" s="10"/>
      <c r="BV54" s="10">
        <v>0.5</v>
      </c>
      <c r="BZ54" s="10"/>
      <c r="CA54" s="10">
        <v>0.5</v>
      </c>
      <c r="CB54" s="10"/>
      <c r="CC54" s="10">
        <v>0.5</v>
      </c>
      <c r="CG54" s="10"/>
      <c r="CH54" s="10">
        <v>0.5</v>
      </c>
      <c r="CI54" s="10"/>
      <c r="CJ54" s="10">
        <v>0.5</v>
      </c>
      <c r="CN54" s="10"/>
      <c r="CO54" s="10">
        <v>0.5</v>
      </c>
      <c r="CP54" s="10"/>
      <c r="CQ54" s="10">
        <v>0.5</v>
      </c>
      <c r="CU54" s="10"/>
      <c r="CV54" s="10">
        <v>0.8</v>
      </c>
      <c r="CW54" s="10"/>
      <c r="CX54" s="10">
        <v>0.8</v>
      </c>
      <c r="DB54" s="10"/>
      <c r="DC54" s="10">
        <v>0.8</v>
      </c>
      <c r="DD54" s="10"/>
      <c r="DE54" s="10">
        <v>0.8</v>
      </c>
      <c r="DI54" s="10"/>
      <c r="DJ54" s="10">
        <v>1</v>
      </c>
      <c r="DK54" s="10"/>
      <c r="DL54" s="10">
        <v>1</v>
      </c>
      <c r="DP54" s="10"/>
      <c r="DQ54" s="10"/>
      <c r="DR54" s="10"/>
      <c r="DS54" s="10"/>
      <c r="DW54" s="10"/>
      <c r="DX54" s="10"/>
      <c r="DY54" s="10"/>
      <c r="DZ54" s="10"/>
      <c r="ED54" s="10"/>
      <c r="EE54" s="10"/>
      <c r="EF54" s="10"/>
      <c r="EG54" s="10"/>
      <c r="EK54" s="10"/>
      <c r="EL54" s="10"/>
      <c r="EM54" s="10"/>
      <c r="EN54" s="10"/>
    </row>
  </sheetData>
  <mergeCells count="20">
    <mergeCell ref="DH2:DM2"/>
    <mergeCell ref="DO2:DT2"/>
    <mergeCell ref="DV2:EA2"/>
    <mergeCell ref="EC2:EH2"/>
    <mergeCell ref="EJ2:EO2"/>
    <mergeCell ref="I2:L2"/>
    <mergeCell ref="N2:S2"/>
    <mergeCell ref="BD2:BI2"/>
    <mergeCell ref="U2:Z2"/>
    <mergeCell ref="AB2:AG2"/>
    <mergeCell ref="AI2:AN2"/>
    <mergeCell ref="AP2:AU2"/>
    <mergeCell ref="AW2:BB2"/>
    <mergeCell ref="CT2:CY2"/>
    <mergeCell ref="DA2:DF2"/>
    <mergeCell ref="BK2:BP2"/>
    <mergeCell ref="BR2:BW2"/>
    <mergeCell ref="BY2:CD2"/>
    <mergeCell ref="CF2:CK2"/>
    <mergeCell ref="CM2:CR2"/>
  </mergeCells>
  <conditionalFormatting sqref="O15 Q15 AJ26:AJ34 AX26:AX34 AZ26:AZ34 Q26:Q34 O26:O34 BG26:BG34 X26:X34 V26:V34 AE26:AE34 AC26:AC34 AS26:AS34 AQ26:AQ34 BE26:BE34 BN26:BN34 BL26:BL34 AJ39:AJ54 AL39:AL54 AX39:AX54 AZ39:AZ54 Q39:Q54 O39:O54 BG39:BG54 X39:X54 V39:V54 AE39:AE54 AC39:AC54 AS39:AS54 AQ39:AQ54 BE39:BE54 BN39:BN54 BL39:BL54 Q17:Q19 O17:O19 AS17:AS19 AQ17:AQ19 BG17:BG19 BE17:BE19 X17:X19 V17:V19 AE17:AE19 AC17:AC19 AL17:AL19 AJ17:AJ19 AZ17:AZ19 AX17:AX19 BN17:BN19 BL17:BL19 BU17:BU19 BS17:BS19 CB17:CB19 BZ17:BZ19 CI17:CI19 CG17:CG19 CP17:CP19 CN17:CN19 CW17:CW19 CU17:CU19 DD17:DD19 DB17:DB19 O5:O12 Q5:Q12 AQ5:AQ12 AS12 BE5:BE12 V5:V12 X5:X12 AC5:AC12 AE5:AE12 AJ5:AJ12 AL5:AL12 AX5:AX12 AZ12 BL5:BL12 CB5:CB10 DR5:DR6 DR9:DR12 DD5:DD12 AL27:AL34 AM30">
    <cfRule type="expression" dxfId="290" priority="704">
      <formula>OR(IF(O5&lt;P5,TRUE),IF(AND(P5="",O5&lt;&gt;""),TRUE))</formula>
    </cfRule>
    <cfRule type="expression" dxfId="289" priority="705">
      <formula>IF(O5&gt;=P5,IF(O5="",FALSE,TRUE))</formula>
    </cfRule>
  </conditionalFormatting>
  <conditionalFormatting sqref="AQ15 AS15">
    <cfRule type="expression" dxfId="288" priority="571">
      <formula>OR(IF(AQ15&lt;AR15,TRUE),IF(AND(AR15="",AQ15&lt;&gt;""),TRUE))</formula>
    </cfRule>
    <cfRule type="expression" dxfId="287" priority="572">
      <formula>IF(AQ15&gt;=AR15,IF(AQ15="",FALSE,TRUE))</formula>
    </cfRule>
  </conditionalFormatting>
  <conditionalFormatting sqref="O22:O25">
    <cfRule type="expression" dxfId="286" priority="645">
      <formula>OR(IF(O22&lt;P22,TRUE),IF(AND(P22="",O22&lt;&gt;""),TRUE))</formula>
    </cfRule>
    <cfRule type="expression" dxfId="285" priority="646">
      <formula>IF(O22&gt;=P22,IF(O22="",FALSE,TRUE))</formula>
    </cfRule>
  </conditionalFormatting>
  <conditionalFormatting sqref="Q22:Q25">
    <cfRule type="expression" dxfId="284" priority="643">
      <formula>OR(IF(Q22&lt;R22,TRUE),IF(AND(R22="",Q22&lt;&gt;""),TRUE))</formula>
    </cfRule>
    <cfRule type="expression" dxfId="283" priority="644">
      <formula>IF(Q22&gt;=R22,IF(Q22="",FALSE,TRUE))</formula>
    </cfRule>
  </conditionalFormatting>
  <conditionalFormatting sqref="BE15 BG15">
    <cfRule type="expression" dxfId="282" priority="539">
      <formula>OR(IF(BE15&lt;BF15,TRUE),IF(AND(BF15="",BE15&lt;&gt;""),TRUE))</formula>
    </cfRule>
    <cfRule type="expression" dxfId="281" priority="540">
      <formula>IF(BE15&gt;=BF15,IF(BE15="",FALSE,TRUE))</formula>
    </cfRule>
  </conditionalFormatting>
  <conditionalFormatting sqref="BE22:BE25">
    <cfRule type="expression" dxfId="280" priority="535">
      <formula>OR(IF(BE22&lt;BF22,TRUE),IF(AND(BF22="",BE22&lt;&gt;""),TRUE))</formula>
    </cfRule>
    <cfRule type="expression" dxfId="279" priority="536">
      <formula>IF(BE22&gt;=BF22,IF(BE22="",FALSE,TRUE))</formula>
    </cfRule>
  </conditionalFormatting>
  <conditionalFormatting sqref="V15 X15">
    <cfRule type="expression" dxfId="278" priority="619">
      <formula>OR(IF(V15&lt;W15,TRUE),IF(AND(W15="",V15&lt;&gt;""),TRUE))</formula>
    </cfRule>
    <cfRule type="expression" dxfId="277" priority="620">
      <formula>IF(V15&gt;=W15,IF(V15="",FALSE,TRUE))</formula>
    </cfRule>
  </conditionalFormatting>
  <conditionalFormatting sqref="V22:V25">
    <cfRule type="expression" dxfId="276" priority="615">
      <formula>OR(IF(V22&lt;W22,TRUE),IF(AND(W22="",V22&lt;&gt;""),TRUE))</formula>
    </cfRule>
    <cfRule type="expression" dxfId="275" priority="616">
      <formula>IF(V22&gt;=W22,IF(V22="",FALSE,TRUE))</formula>
    </cfRule>
  </conditionalFormatting>
  <conditionalFormatting sqref="X22:X25">
    <cfRule type="expression" dxfId="274" priority="613">
      <formula>OR(IF(X22&lt;Y22,TRUE),IF(AND(Y22="",X22&lt;&gt;""),TRUE))</formula>
    </cfRule>
    <cfRule type="expression" dxfId="273" priority="614">
      <formula>IF(X22&gt;=Y22,IF(X22="",FALSE,TRUE))</formula>
    </cfRule>
  </conditionalFormatting>
  <conditionalFormatting sqref="AC15 AE15">
    <cfRule type="expression" dxfId="272" priority="603">
      <formula>OR(IF(AC15&lt;AD15,TRUE),IF(AND(AD15="",AC15&lt;&gt;""),TRUE))</formula>
    </cfRule>
    <cfRule type="expression" dxfId="271" priority="604">
      <formula>IF(AC15&gt;=AD15,IF(AC15="",FALSE,TRUE))</formula>
    </cfRule>
  </conditionalFormatting>
  <conditionalFormatting sqref="AC22:AC25">
    <cfRule type="expression" dxfId="270" priority="599">
      <formula>OR(IF(AC22&lt;AD22,TRUE),IF(AND(AD22="",AC22&lt;&gt;""),TRUE))</formula>
    </cfRule>
    <cfRule type="expression" dxfId="269" priority="600">
      <formula>IF(AC22&gt;=AD22,IF(AC22="",FALSE,TRUE))</formula>
    </cfRule>
  </conditionalFormatting>
  <conditionalFormatting sqref="AE22:AE25">
    <cfRule type="expression" dxfId="268" priority="597">
      <formula>OR(IF(AE22&lt;AF22,TRUE),IF(AND(AF22="",AE22&lt;&gt;""),TRUE))</formula>
    </cfRule>
    <cfRule type="expression" dxfId="267" priority="598">
      <formula>IF(AE22&gt;=AF22,IF(AE22="",FALSE,TRUE))</formula>
    </cfRule>
  </conditionalFormatting>
  <conditionalFormatting sqref="AJ15 AL15">
    <cfRule type="expression" dxfId="266" priority="587">
      <formula>OR(IF(AJ15&lt;AK15,TRUE),IF(AND(AK15="",AJ15&lt;&gt;""),TRUE))</formula>
    </cfRule>
    <cfRule type="expression" dxfId="265" priority="588">
      <formula>IF(AJ15&gt;=AK15,IF(AJ15="",FALSE,TRUE))</formula>
    </cfRule>
  </conditionalFormatting>
  <conditionalFormatting sqref="AJ22:AJ25">
    <cfRule type="expression" dxfId="264" priority="583">
      <formula>OR(IF(AJ22&lt;AK22,TRUE),IF(AND(AK22="",AJ22&lt;&gt;""),TRUE))</formula>
    </cfRule>
    <cfRule type="expression" dxfId="263" priority="584">
      <formula>IF(AJ22&gt;=AK22,IF(AJ22="",FALSE,TRUE))</formula>
    </cfRule>
  </conditionalFormatting>
  <conditionalFormatting sqref="AL22:AL26">
    <cfRule type="expression" dxfId="262" priority="581">
      <formula>OR(IF(AL22&lt;AM22,TRUE),IF(AND(AM22="",AL22&lt;&gt;""),TRUE))</formula>
    </cfRule>
    <cfRule type="expression" dxfId="261" priority="582">
      <formula>IF(AL22&gt;=AM22,IF(AL22="",FALSE,TRUE))</formula>
    </cfRule>
  </conditionalFormatting>
  <conditionalFormatting sqref="AQ22:AQ25">
    <cfRule type="expression" dxfId="260" priority="567">
      <formula>OR(IF(AQ22&lt;AR22,TRUE),IF(AND(AR22="",AQ22&lt;&gt;""),TRUE))</formula>
    </cfRule>
    <cfRule type="expression" dxfId="259" priority="568">
      <formula>IF(AQ22&gt;=AR22,IF(AQ22="",FALSE,TRUE))</formula>
    </cfRule>
  </conditionalFormatting>
  <conditionalFormatting sqref="AS22:AS25">
    <cfRule type="expression" dxfId="258" priority="565">
      <formula>OR(IF(AS22&lt;AT22,TRUE),IF(AND(AT22="",AS22&lt;&gt;""),TRUE))</formula>
    </cfRule>
    <cfRule type="expression" dxfId="257" priority="566">
      <formula>IF(AS22&gt;=AT22,IF(AS22="",FALSE,TRUE))</formula>
    </cfRule>
  </conditionalFormatting>
  <conditionalFormatting sqref="AX15 AZ15">
    <cfRule type="expression" dxfId="256" priority="555">
      <formula>OR(IF(AX15&lt;AY15,TRUE),IF(AND(AY15="",AX15&lt;&gt;""),TRUE))</formula>
    </cfRule>
    <cfRule type="expression" dxfId="255" priority="556">
      <formula>IF(AX15&gt;=AY15,IF(AX15="",FALSE,TRUE))</formula>
    </cfRule>
  </conditionalFormatting>
  <conditionalFormatting sqref="AX22:AX25">
    <cfRule type="expression" dxfId="254" priority="551">
      <formula>OR(IF(AX22&lt;AY22,TRUE),IF(AND(AY22="",AX22&lt;&gt;""),TRUE))</formula>
    </cfRule>
    <cfRule type="expression" dxfId="253" priority="552">
      <formula>IF(AX22&gt;=AY22,IF(AX22="",FALSE,TRUE))</formula>
    </cfRule>
  </conditionalFormatting>
  <conditionalFormatting sqref="AZ22:AZ25">
    <cfRule type="expression" dxfId="252" priority="549">
      <formula>OR(IF(AZ22&lt;BA22,TRUE),IF(AND(BA22="",AZ22&lt;&gt;""),TRUE))</formula>
    </cfRule>
    <cfRule type="expression" dxfId="251" priority="550">
      <formula>IF(AZ22&gt;=BA22,IF(AZ22="",FALSE,TRUE))</formula>
    </cfRule>
  </conditionalFormatting>
  <conditionalFormatting sqref="BG22:BG25">
    <cfRule type="expression" dxfId="250" priority="533">
      <formula>OR(IF(BG22&lt;BH22,TRUE),IF(AND(BH22="",BG22&lt;&gt;""),TRUE))</formula>
    </cfRule>
    <cfRule type="expression" dxfId="249" priority="534">
      <formula>IF(BG22&gt;=BH22,IF(BG22="",FALSE,TRUE))</formula>
    </cfRule>
  </conditionalFormatting>
  <conditionalFormatting sqref="BL15 BN15">
    <cfRule type="expression" dxfId="248" priority="515">
      <formula>OR(IF(BL15&lt;BM15,TRUE),IF(AND(BM15="",BL15&lt;&gt;""),TRUE))</formula>
    </cfRule>
    <cfRule type="expression" dxfId="247" priority="516">
      <formula>IF(BL15&gt;=BM15,IF(BL15="",FALSE,TRUE))</formula>
    </cfRule>
  </conditionalFormatting>
  <conditionalFormatting sqref="BL22:BL25">
    <cfRule type="expression" dxfId="246" priority="511">
      <formula>OR(IF(BL22&lt;BM22,TRUE),IF(AND(BM22="",BL22&lt;&gt;""),TRUE))</formula>
    </cfRule>
    <cfRule type="expression" dxfId="245" priority="512">
      <formula>IF(BL22&gt;=BM22,IF(BL22="",FALSE,TRUE))</formula>
    </cfRule>
  </conditionalFormatting>
  <conditionalFormatting sqref="BN22:BN25">
    <cfRule type="expression" dxfId="244" priority="509">
      <formula>OR(IF(BN22&lt;BO22,TRUE),IF(AND(BO22="",BN22&lt;&gt;""),TRUE))</formula>
    </cfRule>
    <cfRule type="expression" dxfId="243" priority="510">
      <formula>IF(BN22&gt;=BO22,IF(BN22="",FALSE,TRUE))</formula>
    </cfRule>
  </conditionalFormatting>
  <conditionalFormatting sqref="O37:O38">
    <cfRule type="expression" dxfId="242" priority="432">
      <formula>OR(IF(O37&lt;P37,TRUE),IF(AND(P37="",O37&lt;&gt;""),TRUE))</formula>
    </cfRule>
    <cfRule type="expression" dxfId="241" priority="433">
      <formula>IF(O37&gt;=P37,IF(O37="",FALSE,TRUE))</formula>
    </cfRule>
  </conditionalFormatting>
  <conditionalFormatting sqref="Q37:Q38">
    <cfRule type="expression" dxfId="240" priority="430">
      <formula>OR(IF(Q37&lt;R37,TRUE),IF(AND(R37="",Q37&lt;&gt;""),TRUE))</formula>
    </cfRule>
    <cfRule type="expression" dxfId="239" priority="431">
      <formula>IF(Q37&gt;=R37,IF(Q37="",FALSE,TRUE))</formula>
    </cfRule>
  </conditionalFormatting>
  <conditionalFormatting sqref="BE37:BE38">
    <cfRule type="expression" dxfId="238" priority="384">
      <formula>OR(IF(BE37&lt;BF37,TRUE),IF(AND(BF37="",BE37&lt;&gt;""),TRUE))</formula>
    </cfRule>
    <cfRule type="expression" dxfId="237" priority="385">
      <formula>IF(BE37&gt;=BF37,IF(BE37="",FALSE,TRUE))</formula>
    </cfRule>
  </conditionalFormatting>
  <conditionalFormatting sqref="V37:V38">
    <cfRule type="expression" dxfId="236" priority="424">
      <formula>OR(IF(V37&lt;W37,TRUE),IF(AND(W37="",V37&lt;&gt;""),TRUE))</formula>
    </cfRule>
    <cfRule type="expression" dxfId="235" priority="425">
      <formula>IF(V37&gt;=W37,IF(V37="",FALSE,TRUE))</formula>
    </cfRule>
  </conditionalFormatting>
  <conditionalFormatting sqref="X37:X38">
    <cfRule type="expression" dxfId="234" priority="422">
      <formula>OR(IF(X37&lt;Y37,TRUE),IF(AND(Y37="",X37&lt;&gt;""),TRUE))</formula>
    </cfRule>
    <cfRule type="expression" dxfId="233" priority="423">
      <formula>IF(X37&gt;=Y37,IF(X37="",FALSE,TRUE))</formula>
    </cfRule>
  </conditionalFormatting>
  <conditionalFormatting sqref="AC37:AC38">
    <cfRule type="expression" dxfId="232" priority="416">
      <formula>OR(IF(AC37&lt;AD37,TRUE),IF(AND(AD37="",AC37&lt;&gt;""),TRUE))</formula>
    </cfRule>
    <cfRule type="expression" dxfId="231" priority="417">
      <formula>IF(AC37&gt;=AD37,IF(AC37="",FALSE,TRUE))</formula>
    </cfRule>
  </conditionalFormatting>
  <conditionalFormatting sqref="AE37:AE38">
    <cfRule type="expression" dxfId="230" priority="414">
      <formula>OR(IF(AE37&lt;AF37,TRUE),IF(AND(AF37="",AE37&lt;&gt;""),TRUE))</formula>
    </cfRule>
    <cfRule type="expression" dxfId="229" priority="415">
      <formula>IF(AE37&gt;=AF37,IF(AE37="",FALSE,TRUE))</formula>
    </cfRule>
  </conditionalFormatting>
  <conditionalFormatting sqref="AJ37:AJ38">
    <cfRule type="expression" dxfId="228" priority="408">
      <formula>OR(IF(AJ37&lt;AK37,TRUE),IF(AND(AK37="",AJ37&lt;&gt;""),TRUE))</formula>
    </cfRule>
    <cfRule type="expression" dxfId="227" priority="409">
      <formula>IF(AJ37&gt;=AK37,IF(AJ37="",FALSE,TRUE))</formula>
    </cfRule>
  </conditionalFormatting>
  <conditionalFormatting sqref="AL37:AL38">
    <cfRule type="expression" dxfId="226" priority="406">
      <formula>OR(IF(AL37&lt;AM37,TRUE),IF(AND(AM37="",AL37&lt;&gt;""),TRUE))</formula>
    </cfRule>
    <cfRule type="expression" dxfId="225" priority="407">
      <formula>IF(AL37&gt;=AM37,IF(AL37="",FALSE,TRUE))</formula>
    </cfRule>
  </conditionalFormatting>
  <conditionalFormatting sqref="AQ37:AQ38">
    <cfRule type="expression" dxfId="224" priority="400">
      <formula>OR(IF(AQ37&lt;AR37,TRUE),IF(AND(AR37="",AQ37&lt;&gt;""),TRUE))</formula>
    </cfRule>
    <cfRule type="expression" dxfId="223" priority="401">
      <formula>IF(AQ37&gt;=AR37,IF(AQ37="",FALSE,TRUE))</formula>
    </cfRule>
  </conditionalFormatting>
  <conditionalFormatting sqref="AS37:AS38">
    <cfRule type="expression" dxfId="222" priority="398">
      <formula>OR(IF(AS37&lt;AT37,TRUE),IF(AND(AT37="",AS37&lt;&gt;""),TRUE))</formula>
    </cfRule>
    <cfRule type="expression" dxfId="221" priority="399">
      <formula>IF(AS37&gt;=AT37,IF(AS37="",FALSE,TRUE))</formula>
    </cfRule>
  </conditionalFormatting>
  <conditionalFormatting sqref="AX37:AX38">
    <cfRule type="expression" dxfId="220" priority="392">
      <formula>OR(IF(AX37&lt;AY37,TRUE),IF(AND(AY37="",AX37&lt;&gt;""),TRUE))</formula>
    </cfRule>
    <cfRule type="expression" dxfId="219" priority="393">
      <formula>IF(AX37&gt;=AY37,IF(AX37="",FALSE,TRUE))</formula>
    </cfRule>
  </conditionalFormatting>
  <conditionalFormatting sqref="AZ37:AZ38">
    <cfRule type="expression" dxfId="218" priority="390">
      <formula>OR(IF(AZ37&lt;BA37,TRUE),IF(AND(BA37="",AZ37&lt;&gt;""),TRUE))</formula>
    </cfRule>
    <cfRule type="expression" dxfId="217" priority="391">
      <formula>IF(AZ37&gt;=BA37,IF(AZ37="",FALSE,TRUE))</formula>
    </cfRule>
  </conditionalFormatting>
  <conditionalFormatting sqref="BG37:BG38">
    <cfRule type="expression" dxfId="216" priority="382">
      <formula>OR(IF(BG37&lt;BH37,TRUE),IF(AND(BH37="",BG37&lt;&gt;""),TRUE))</formula>
    </cfRule>
    <cfRule type="expression" dxfId="215" priority="383">
      <formula>IF(BG37&gt;=BH37,IF(BG37="",FALSE,TRUE))</formula>
    </cfRule>
  </conditionalFormatting>
  <conditionalFormatting sqref="BL37:BL38">
    <cfRule type="expression" dxfId="214" priority="373">
      <formula>OR(IF(BL37&lt;BM37,TRUE),IF(AND(BM37="",BL37&lt;&gt;""),TRUE))</formula>
    </cfRule>
    <cfRule type="expression" dxfId="213" priority="374">
      <formula>IF(BL37&gt;=BM37,IF(BL37="",FALSE,TRUE))</formula>
    </cfRule>
  </conditionalFormatting>
  <conditionalFormatting sqref="BN37:BN38">
    <cfRule type="expression" dxfId="212" priority="371">
      <formula>OR(IF(BN37&lt;BO37,TRUE),IF(AND(BO37="",BN37&lt;&gt;""),TRUE))</formula>
    </cfRule>
    <cfRule type="expression" dxfId="211" priority="372">
      <formula>IF(BN37&gt;=BO37,IF(BN37="",FALSE,TRUE))</formula>
    </cfRule>
  </conditionalFormatting>
  <conditionalFormatting sqref="J8:K12">
    <cfRule type="colorScale" priority="707">
      <colorScale>
        <cfvo type="percent" val="0"/>
        <cfvo type="percent" val="100"/>
        <color rgb="FFFF231B"/>
        <color rgb="FF10FF07"/>
      </colorScale>
    </cfRule>
  </conditionalFormatting>
  <conditionalFormatting sqref="J5:J12">
    <cfRule type="colorScale" priority="736">
      <colorScale>
        <cfvo type="percent" val="0"/>
        <cfvo type="percent" val="100"/>
        <color rgb="FFFF231B"/>
        <color rgb="FF10FF07"/>
      </colorScale>
    </cfRule>
  </conditionalFormatting>
  <conditionalFormatting sqref="K5:K12">
    <cfRule type="colorScale" priority="737">
      <colorScale>
        <cfvo type="percent" val="0"/>
        <cfvo type="percent" val="100"/>
        <color rgb="FFFF231B"/>
        <color rgb="FF10FF07"/>
      </colorScale>
    </cfRule>
  </conditionalFormatting>
  <conditionalFormatting sqref="O16 Q16">
    <cfRule type="expression" dxfId="210" priority="298">
      <formula>OR(IF(O16&lt;P16,TRUE),IF(AND(P16="",O16&lt;&gt;""),TRUE))</formula>
    </cfRule>
    <cfRule type="expression" dxfId="209" priority="299">
      <formula>IF(O16&gt;=P16,IF(O16="",FALSE,TRUE))</formula>
    </cfRule>
  </conditionalFormatting>
  <conditionalFormatting sqref="AQ16 AS16">
    <cfRule type="expression" dxfId="208" priority="290">
      <formula>OR(IF(AQ16&lt;AR16,TRUE),IF(AND(AR16="",AQ16&lt;&gt;""),TRUE))</formula>
    </cfRule>
    <cfRule type="expression" dxfId="207" priority="291">
      <formula>IF(AQ16&gt;=AR16,IF(AQ16="",FALSE,TRUE))</formula>
    </cfRule>
  </conditionalFormatting>
  <conditionalFormatting sqref="BE16 BG16">
    <cfRule type="expression" dxfId="206" priority="286">
      <formula>OR(IF(BE16&lt;BF16,TRUE),IF(AND(BF16="",BE16&lt;&gt;""),TRUE))</formula>
    </cfRule>
    <cfRule type="expression" dxfId="205" priority="287">
      <formula>IF(BE16&gt;=BF16,IF(BE16="",FALSE,TRUE))</formula>
    </cfRule>
  </conditionalFormatting>
  <conditionalFormatting sqref="V16 X16">
    <cfRule type="expression" dxfId="204" priority="296">
      <formula>OR(IF(V16&lt;W16,TRUE),IF(AND(W16="",V16&lt;&gt;""),TRUE))</formula>
    </cfRule>
    <cfRule type="expression" dxfId="203" priority="297">
      <formula>IF(V16&gt;=W16,IF(V16="",FALSE,TRUE))</formula>
    </cfRule>
  </conditionalFormatting>
  <conditionalFormatting sqref="AC16 AE16">
    <cfRule type="expression" dxfId="202" priority="294">
      <formula>OR(IF(AC16&lt;AD16,TRUE),IF(AND(AD16="",AC16&lt;&gt;""),TRUE))</formula>
    </cfRule>
    <cfRule type="expression" dxfId="201" priority="295">
      <formula>IF(AC16&gt;=AD16,IF(AC16="",FALSE,TRUE))</formula>
    </cfRule>
  </conditionalFormatting>
  <conditionalFormatting sqref="AJ16 AL16">
    <cfRule type="expression" dxfId="200" priority="292">
      <formula>OR(IF(AJ16&lt;AK16,TRUE),IF(AND(AK16="",AJ16&lt;&gt;""),TRUE))</formula>
    </cfRule>
    <cfRule type="expression" dxfId="199" priority="293">
      <formula>IF(AJ16&gt;=AK16,IF(AJ16="",FALSE,TRUE))</formula>
    </cfRule>
  </conditionalFormatting>
  <conditionalFormatting sqref="AX16 AZ16">
    <cfRule type="expression" dxfId="198" priority="288">
      <formula>OR(IF(AX16&lt;AY16,TRUE),IF(AND(AY16="",AX16&lt;&gt;""),TRUE))</formula>
    </cfRule>
    <cfRule type="expression" dxfId="197" priority="289">
      <formula>IF(AX16&gt;=AY16,IF(AX16="",FALSE,TRUE))</formula>
    </cfRule>
  </conditionalFormatting>
  <conditionalFormatting sqref="J16:K16">
    <cfRule type="colorScale" priority="285">
      <colorScale>
        <cfvo type="percent" val="0"/>
        <cfvo type="percent" val="100"/>
        <color rgb="FFFF231B"/>
        <color rgb="FF10FF07"/>
      </colorScale>
    </cfRule>
  </conditionalFormatting>
  <conditionalFormatting sqref="J16">
    <cfRule type="colorScale" priority="284">
      <colorScale>
        <cfvo type="percent" val="0"/>
        <cfvo type="percent" val="100"/>
        <color rgb="FFFF231B"/>
        <color rgb="FF10FF07"/>
      </colorScale>
    </cfRule>
  </conditionalFormatting>
  <conditionalFormatting sqref="K16">
    <cfRule type="colorScale" priority="283">
      <colorScale>
        <cfvo type="percent" val="0"/>
        <cfvo type="percent" val="100"/>
        <color rgb="FFFF231B"/>
        <color rgb="FF10FF07"/>
      </colorScale>
    </cfRule>
  </conditionalFormatting>
  <conditionalFormatting sqref="BL16 BN16">
    <cfRule type="expression" dxfId="196" priority="281">
      <formula>OR(IF(BL16&lt;BM16,TRUE),IF(AND(BM16="",BL16&lt;&gt;""),TRUE))</formula>
    </cfRule>
    <cfRule type="expression" dxfId="195" priority="282">
      <formula>IF(BL16&gt;=BM16,IF(BL16="",FALSE,TRUE))</formula>
    </cfRule>
  </conditionalFormatting>
  <conditionalFormatting sqref="J25:K34">
    <cfRule type="colorScale" priority="794">
      <colorScale>
        <cfvo type="percent" val="0"/>
        <cfvo type="percent" val="100"/>
        <color rgb="FFFF231B"/>
        <color rgb="FF10FF07"/>
      </colorScale>
    </cfRule>
  </conditionalFormatting>
  <conditionalFormatting sqref="J22:J34">
    <cfRule type="colorScale" priority="796">
      <colorScale>
        <cfvo type="percent" val="0"/>
        <cfvo type="percent" val="100"/>
        <color rgb="FFFF231B"/>
        <color rgb="FF10FF07"/>
      </colorScale>
    </cfRule>
  </conditionalFormatting>
  <conditionalFormatting sqref="K22:K34">
    <cfRule type="colorScale" priority="798">
      <colorScale>
        <cfvo type="percent" val="0"/>
        <cfvo type="percent" val="100"/>
        <color rgb="FFFF231B"/>
        <color rgb="FF10FF07"/>
      </colorScale>
    </cfRule>
  </conditionalFormatting>
  <conditionalFormatting sqref="J38:K54">
    <cfRule type="colorScale" priority="827">
      <colorScale>
        <cfvo type="percent" val="0"/>
        <cfvo type="percent" val="100"/>
        <color rgb="FFFF231B"/>
        <color rgb="FF10FF07"/>
      </colorScale>
    </cfRule>
  </conditionalFormatting>
  <conditionalFormatting sqref="J37:J54">
    <cfRule type="colorScale" priority="829">
      <colorScale>
        <cfvo type="percent" val="0"/>
        <cfvo type="percent" val="100"/>
        <color rgb="FFFF231B"/>
        <color rgb="FF10FF07"/>
      </colorScale>
    </cfRule>
  </conditionalFormatting>
  <conditionalFormatting sqref="K37:K54">
    <cfRule type="colorScale" priority="831">
      <colorScale>
        <cfvo type="percent" val="0"/>
        <cfvo type="percent" val="100"/>
        <color rgb="FFFF231B"/>
        <color rgb="FF10FF07"/>
      </colorScale>
    </cfRule>
  </conditionalFormatting>
  <conditionalFormatting sqref="BU26:BU34 BS26:BS34 BU39:BU54 BS39:BS54 BS5:BS12 BU5:BU12">
    <cfRule type="expression" dxfId="194" priority="260">
      <formula>OR(IF(BS5&lt;BT5,TRUE),IF(AND(BT5="",BS5&lt;&gt;""),TRUE))</formula>
    </cfRule>
    <cfRule type="expression" dxfId="193" priority="261">
      <formula>IF(BS5&gt;=BT5,IF(BS5="",FALSE,TRUE))</formula>
    </cfRule>
  </conditionalFormatting>
  <conditionalFormatting sqref="BS15 BU15">
    <cfRule type="expression" dxfId="192" priority="258">
      <formula>OR(IF(BS15&lt;BT15,TRUE),IF(AND(BT15="",BS15&lt;&gt;""),TRUE))</formula>
    </cfRule>
    <cfRule type="expression" dxfId="191" priority="259">
      <formula>IF(BS15&gt;=BT15,IF(BS15="",FALSE,TRUE))</formula>
    </cfRule>
  </conditionalFormatting>
  <conditionalFormatting sqref="BS22:BS25">
    <cfRule type="expression" dxfId="190" priority="256">
      <formula>OR(IF(BS22&lt;BT22,TRUE),IF(AND(BT22="",BS22&lt;&gt;""),TRUE))</formula>
    </cfRule>
    <cfRule type="expression" dxfId="189" priority="257">
      <formula>IF(BS22&gt;=BT22,IF(BS22="",FALSE,TRUE))</formula>
    </cfRule>
  </conditionalFormatting>
  <conditionalFormatting sqref="BU22:BU25">
    <cfRule type="expression" dxfId="188" priority="254">
      <formula>OR(IF(BU22&lt;BV22,TRUE),IF(AND(BV22="",BU22&lt;&gt;""),TRUE))</formula>
    </cfRule>
    <cfRule type="expression" dxfId="187" priority="255">
      <formula>IF(BU22&gt;=BV22,IF(BU22="",FALSE,TRUE))</formula>
    </cfRule>
  </conditionalFormatting>
  <conditionalFormatting sqref="BS37:BS38">
    <cfRule type="expression" dxfId="186" priority="248">
      <formula>OR(IF(BS37&lt;BT37,TRUE),IF(AND(BT37="",BS37&lt;&gt;""),TRUE))</formula>
    </cfRule>
    <cfRule type="expression" dxfId="185" priority="249">
      <formula>IF(BS37&gt;=BT37,IF(BS37="",FALSE,TRUE))</formula>
    </cfRule>
  </conditionalFormatting>
  <conditionalFormatting sqref="BU37:BU38">
    <cfRule type="expression" dxfId="184" priority="246">
      <formula>OR(IF(BU37&lt;BV37,TRUE),IF(AND(BV37="",BU37&lt;&gt;""),TRUE))</formula>
    </cfRule>
    <cfRule type="expression" dxfId="183" priority="247">
      <formula>IF(BU37&gt;=BV37,IF(BU37="",FALSE,TRUE))</formula>
    </cfRule>
  </conditionalFormatting>
  <conditionalFormatting sqref="BS16 BU16">
    <cfRule type="expression" dxfId="182" priority="244">
      <formula>OR(IF(BS16&lt;BT16,TRUE),IF(AND(BT16="",BS16&lt;&gt;""),TRUE))</formula>
    </cfRule>
    <cfRule type="expression" dxfId="181" priority="245">
      <formula>IF(BS16&gt;=BT16,IF(BS16="",FALSE,TRUE))</formula>
    </cfRule>
  </conditionalFormatting>
  <conditionalFormatting sqref="CB26:CB34 BZ26:BZ34 CB39:CB54 BZ39:BZ54 BZ5:BZ12">
    <cfRule type="expression" dxfId="180" priority="240">
      <formula>OR(IF(BZ5&lt;CA5,TRUE),IF(AND(CA5="",BZ5&lt;&gt;""),TRUE))</formula>
    </cfRule>
    <cfRule type="expression" dxfId="179" priority="241">
      <formula>IF(BZ5&gt;=CA5,IF(BZ5="",FALSE,TRUE))</formula>
    </cfRule>
  </conditionalFormatting>
  <conditionalFormatting sqref="BZ15 CB15">
    <cfRule type="expression" dxfId="178" priority="238">
      <formula>OR(IF(BZ15&lt;CA15,TRUE),IF(AND(CA15="",BZ15&lt;&gt;""),TRUE))</formula>
    </cfRule>
    <cfRule type="expression" dxfId="177" priority="239">
      <formula>IF(BZ15&gt;=CA15,IF(BZ15="",FALSE,TRUE))</formula>
    </cfRule>
  </conditionalFormatting>
  <conditionalFormatting sqref="BZ22:BZ25">
    <cfRule type="expression" dxfId="176" priority="236">
      <formula>OR(IF(BZ22&lt;CA22,TRUE),IF(AND(CA22="",BZ22&lt;&gt;""),TRUE))</formula>
    </cfRule>
    <cfRule type="expression" dxfId="175" priority="237">
      <formula>IF(BZ22&gt;=CA22,IF(BZ22="",FALSE,TRUE))</formula>
    </cfRule>
  </conditionalFormatting>
  <conditionalFormatting sqref="CB22:CB25">
    <cfRule type="expression" dxfId="174" priority="234">
      <formula>OR(IF(CB22&lt;CC22,TRUE),IF(AND(CC22="",CB22&lt;&gt;""),TRUE))</formula>
    </cfRule>
    <cfRule type="expression" dxfId="173" priority="235">
      <formula>IF(CB22&gt;=CC22,IF(CB22="",FALSE,TRUE))</formula>
    </cfRule>
  </conditionalFormatting>
  <conditionalFormatting sqref="BZ37:BZ38">
    <cfRule type="expression" dxfId="172" priority="228">
      <formula>OR(IF(BZ37&lt;CA37,TRUE),IF(AND(CA37="",BZ37&lt;&gt;""),TRUE))</formula>
    </cfRule>
    <cfRule type="expression" dxfId="171" priority="229">
      <formula>IF(BZ37&gt;=CA37,IF(BZ37="",FALSE,TRUE))</formula>
    </cfRule>
  </conditionalFormatting>
  <conditionalFormatting sqref="CB37:CB38">
    <cfRule type="expression" dxfId="170" priority="226">
      <formula>OR(IF(CB37&lt;CC37,TRUE),IF(AND(CC37="",CB37&lt;&gt;""),TRUE))</formula>
    </cfRule>
    <cfRule type="expression" dxfId="169" priority="227">
      <formula>IF(CB37&gt;=CC37,IF(CB37="",FALSE,TRUE))</formula>
    </cfRule>
  </conditionalFormatting>
  <conditionalFormatting sqref="BZ16 CB16">
    <cfRule type="expression" dxfId="168" priority="224">
      <formula>OR(IF(BZ16&lt;CA16,TRUE),IF(AND(CA16="",BZ16&lt;&gt;""),TRUE))</formula>
    </cfRule>
    <cfRule type="expression" dxfId="167" priority="225">
      <formula>IF(BZ16&gt;=CA16,IF(BZ16="",FALSE,TRUE))</formula>
    </cfRule>
  </conditionalFormatting>
  <conditionalFormatting sqref="CI26:CI34 CG26:CG34 CI39:CI54 CG39:CG54 CG5:CG12 CI5:CI12">
    <cfRule type="expression" dxfId="166" priority="220">
      <formula>OR(IF(CG5&lt;CH5,TRUE),IF(AND(CH5="",CG5&lt;&gt;""),TRUE))</formula>
    </cfRule>
    <cfRule type="expression" dxfId="165" priority="221">
      <formula>IF(CG5&gt;=CH5,IF(CG5="",FALSE,TRUE))</formula>
    </cfRule>
  </conditionalFormatting>
  <conditionalFormatting sqref="CG15 CI15">
    <cfRule type="expression" dxfId="164" priority="218">
      <formula>OR(IF(CG15&lt;CH15,TRUE),IF(AND(CH15="",CG15&lt;&gt;""),TRUE))</formula>
    </cfRule>
    <cfRule type="expression" dxfId="163" priority="219">
      <formula>IF(CG15&gt;=CH15,IF(CG15="",FALSE,TRUE))</formula>
    </cfRule>
  </conditionalFormatting>
  <conditionalFormatting sqref="CG22:CG25">
    <cfRule type="expression" dxfId="162" priority="216">
      <formula>OR(IF(CG22&lt;CH22,TRUE),IF(AND(CH22="",CG22&lt;&gt;""),TRUE))</formula>
    </cfRule>
    <cfRule type="expression" dxfId="161" priority="217">
      <formula>IF(CG22&gt;=CH22,IF(CG22="",FALSE,TRUE))</formula>
    </cfRule>
  </conditionalFormatting>
  <conditionalFormatting sqref="CI22:CI25">
    <cfRule type="expression" dxfId="160" priority="214">
      <formula>OR(IF(CI22&lt;CJ22,TRUE),IF(AND(CJ22="",CI22&lt;&gt;""),TRUE))</formula>
    </cfRule>
    <cfRule type="expression" dxfId="159" priority="215">
      <formula>IF(CI22&gt;=CJ22,IF(CI22="",FALSE,TRUE))</formula>
    </cfRule>
  </conditionalFormatting>
  <conditionalFormatting sqref="CG37:CG38">
    <cfRule type="expression" dxfId="158" priority="208">
      <formula>OR(IF(CG37&lt;CH37,TRUE),IF(AND(CH37="",CG37&lt;&gt;""),TRUE))</formula>
    </cfRule>
    <cfRule type="expression" dxfId="157" priority="209">
      <formula>IF(CG37&gt;=CH37,IF(CG37="",FALSE,TRUE))</formula>
    </cfRule>
  </conditionalFormatting>
  <conditionalFormatting sqref="CI37:CI38">
    <cfRule type="expression" dxfId="156" priority="206">
      <formula>OR(IF(CI37&lt;CJ37,TRUE),IF(AND(CJ37="",CI37&lt;&gt;""),TRUE))</formula>
    </cfRule>
    <cfRule type="expression" dxfId="155" priority="207">
      <formula>IF(CI37&gt;=CJ37,IF(CI37="",FALSE,TRUE))</formula>
    </cfRule>
  </conditionalFormatting>
  <conditionalFormatting sqref="CG16 CI16">
    <cfRule type="expression" dxfId="154" priority="204">
      <formula>OR(IF(CG16&lt;CH16,TRUE),IF(AND(CH16="",CG16&lt;&gt;""),TRUE))</formula>
    </cfRule>
    <cfRule type="expression" dxfId="153" priority="205">
      <formula>IF(CG16&gt;=CH16,IF(CG16="",FALSE,TRUE))</formula>
    </cfRule>
  </conditionalFormatting>
  <conditionalFormatting sqref="CP26:CP34 CN26:CN34 CP39:CP54 CN39:CN54 CN5:CN12 CP5:CP12">
    <cfRule type="expression" dxfId="152" priority="200">
      <formula>OR(IF(CN5&lt;CO5,TRUE),IF(AND(CO5="",CN5&lt;&gt;""),TRUE))</formula>
    </cfRule>
    <cfRule type="expression" dxfId="151" priority="201">
      <formula>IF(CN5&gt;=CO5,IF(CN5="",FALSE,TRUE))</formula>
    </cfRule>
  </conditionalFormatting>
  <conditionalFormatting sqref="CN15 CP15">
    <cfRule type="expression" dxfId="150" priority="198">
      <formula>OR(IF(CN15&lt;CO15,TRUE),IF(AND(CO15="",CN15&lt;&gt;""),TRUE))</formula>
    </cfRule>
    <cfRule type="expression" dxfId="149" priority="199">
      <formula>IF(CN15&gt;=CO15,IF(CN15="",FALSE,TRUE))</formula>
    </cfRule>
  </conditionalFormatting>
  <conditionalFormatting sqref="CN22:CN25">
    <cfRule type="expression" dxfId="148" priority="196">
      <formula>OR(IF(CN22&lt;CO22,TRUE),IF(AND(CO22="",CN22&lt;&gt;""),TRUE))</formula>
    </cfRule>
    <cfRule type="expression" dxfId="147" priority="197">
      <formula>IF(CN22&gt;=CO22,IF(CN22="",FALSE,TRUE))</formula>
    </cfRule>
  </conditionalFormatting>
  <conditionalFormatting sqref="CP22:CP25">
    <cfRule type="expression" dxfId="146" priority="194">
      <formula>OR(IF(CP22&lt;CQ22,TRUE),IF(AND(CQ22="",CP22&lt;&gt;""),TRUE))</formula>
    </cfRule>
    <cfRule type="expression" dxfId="145" priority="195">
      <formula>IF(CP22&gt;=CQ22,IF(CP22="",FALSE,TRUE))</formula>
    </cfRule>
  </conditionalFormatting>
  <conditionalFormatting sqref="CN37:CN38">
    <cfRule type="expression" dxfId="144" priority="188">
      <formula>OR(IF(CN37&lt;CO37,TRUE),IF(AND(CO37="",CN37&lt;&gt;""),TRUE))</formula>
    </cfRule>
    <cfRule type="expression" dxfId="143" priority="189">
      <formula>IF(CN37&gt;=CO37,IF(CN37="",FALSE,TRUE))</formula>
    </cfRule>
  </conditionalFormatting>
  <conditionalFormatting sqref="CP37:CP38">
    <cfRule type="expression" dxfId="142" priority="186">
      <formula>OR(IF(CP37&lt;CQ37,TRUE),IF(AND(CQ37="",CP37&lt;&gt;""),TRUE))</formula>
    </cfRule>
    <cfRule type="expression" dxfId="141" priority="187">
      <formula>IF(CP37&gt;=CQ37,IF(CP37="",FALSE,TRUE))</formula>
    </cfRule>
  </conditionalFormatting>
  <conditionalFormatting sqref="CN16 CP16">
    <cfRule type="expression" dxfId="140" priority="184">
      <formula>OR(IF(CN16&lt;CO16,TRUE),IF(AND(CO16="",CN16&lt;&gt;""),TRUE))</formula>
    </cfRule>
    <cfRule type="expression" dxfId="139" priority="185">
      <formula>IF(CN16&gt;=CO16,IF(CN16="",FALSE,TRUE))</formula>
    </cfRule>
  </conditionalFormatting>
  <conditionalFormatting sqref="CW26:CW34 CU26:CU34 CW39:CW54 CU39:CU54 CU5:CU12 CW5:CW12">
    <cfRule type="expression" dxfId="138" priority="180">
      <formula>OR(IF(CU5&lt;CV5,TRUE),IF(AND(CV5="",CU5&lt;&gt;""),TRUE))</formula>
    </cfRule>
    <cfRule type="expression" dxfId="137" priority="181">
      <formula>IF(CU5&gt;=CV5,IF(CU5="",FALSE,TRUE))</formula>
    </cfRule>
  </conditionalFormatting>
  <conditionalFormatting sqref="CU15 CW15">
    <cfRule type="expression" dxfId="136" priority="178">
      <formula>OR(IF(CU15&lt;CV15,TRUE),IF(AND(CV15="",CU15&lt;&gt;""),TRUE))</formula>
    </cfRule>
    <cfRule type="expression" dxfId="135" priority="179">
      <formula>IF(CU15&gt;=CV15,IF(CU15="",FALSE,TRUE))</formula>
    </cfRule>
  </conditionalFormatting>
  <conditionalFormatting sqref="CU22:CU25">
    <cfRule type="expression" dxfId="134" priority="176">
      <formula>OR(IF(CU22&lt;CV22,TRUE),IF(AND(CV22="",CU22&lt;&gt;""),TRUE))</formula>
    </cfRule>
    <cfRule type="expression" dxfId="133" priority="177">
      <formula>IF(CU22&gt;=CV22,IF(CU22="",FALSE,TRUE))</formula>
    </cfRule>
  </conditionalFormatting>
  <conditionalFormatting sqref="CW22:CW25">
    <cfRule type="expression" dxfId="132" priority="174">
      <formula>OR(IF(CW22&lt;CX22,TRUE),IF(AND(CX22="",CW22&lt;&gt;""),TRUE))</formula>
    </cfRule>
    <cfRule type="expression" dxfId="131" priority="175">
      <formula>IF(CW22&gt;=CX22,IF(CW22="",FALSE,TRUE))</formula>
    </cfRule>
  </conditionalFormatting>
  <conditionalFormatting sqref="CU37:CU38">
    <cfRule type="expression" dxfId="130" priority="168">
      <formula>OR(IF(CU37&lt;CV37,TRUE),IF(AND(CV37="",CU37&lt;&gt;""),TRUE))</formula>
    </cfRule>
    <cfRule type="expression" dxfId="129" priority="169">
      <formula>IF(CU37&gt;=CV37,IF(CU37="",FALSE,TRUE))</formula>
    </cfRule>
  </conditionalFormatting>
  <conditionalFormatting sqref="CW37:CW38">
    <cfRule type="expression" dxfId="128" priority="166">
      <formula>OR(IF(CW37&lt;CX37,TRUE),IF(AND(CX37="",CW37&lt;&gt;""),TRUE))</formula>
    </cfRule>
    <cfRule type="expression" dxfId="127" priority="167">
      <formula>IF(CW37&gt;=CX37,IF(CW37="",FALSE,TRUE))</formula>
    </cfRule>
  </conditionalFormatting>
  <conditionalFormatting sqref="CU16 CW16">
    <cfRule type="expression" dxfId="126" priority="164">
      <formula>OR(IF(CU16&lt;CV16,TRUE),IF(AND(CV16="",CU16&lt;&gt;""),TRUE))</formula>
    </cfRule>
    <cfRule type="expression" dxfId="125" priority="165">
      <formula>IF(CU16&gt;=CV16,IF(CU16="",FALSE,TRUE))</formula>
    </cfRule>
  </conditionalFormatting>
  <conditionalFormatting sqref="DD26:DD34 DB26:DB34 DD39:DD54 DB39:DB54 DB5:DB12">
    <cfRule type="expression" dxfId="124" priority="160">
      <formula>OR(IF(DB5&lt;DC5,TRUE),IF(AND(DC5="",DB5&lt;&gt;""),TRUE))</formula>
    </cfRule>
    <cfRule type="expression" dxfId="123" priority="161">
      <formula>IF(DB5&gt;=DC5,IF(DB5="",FALSE,TRUE))</formula>
    </cfRule>
  </conditionalFormatting>
  <conditionalFormatting sqref="DB15 DD15">
    <cfRule type="expression" dxfId="122" priority="158">
      <formula>OR(IF(DB15&lt;DC15,TRUE),IF(AND(DC15="",DB15&lt;&gt;""),TRUE))</formula>
    </cfRule>
    <cfRule type="expression" dxfId="121" priority="159">
      <formula>IF(DB15&gt;=DC15,IF(DB15="",FALSE,TRUE))</formula>
    </cfRule>
  </conditionalFormatting>
  <conditionalFormatting sqref="DB22:DB25">
    <cfRule type="expression" dxfId="120" priority="156">
      <formula>OR(IF(DB22&lt;DC22,TRUE),IF(AND(DC22="",DB22&lt;&gt;""),TRUE))</formula>
    </cfRule>
    <cfRule type="expression" dxfId="119" priority="157">
      <formula>IF(DB22&gt;=DC22,IF(DB22="",FALSE,TRUE))</formula>
    </cfRule>
  </conditionalFormatting>
  <conditionalFormatting sqref="DD22:DD25">
    <cfRule type="expression" dxfId="118" priority="154">
      <formula>OR(IF(DD22&lt;DE22,TRUE),IF(AND(DE22="",DD22&lt;&gt;""),TRUE))</formula>
    </cfRule>
    <cfRule type="expression" dxfId="117" priority="155">
      <formula>IF(DD22&gt;=DE22,IF(DD22="",FALSE,TRUE))</formula>
    </cfRule>
  </conditionalFormatting>
  <conditionalFormatting sqref="DB37:DB38">
    <cfRule type="expression" dxfId="116" priority="148">
      <formula>OR(IF(DB37&lt;DC37,TRUE),IF(AND(DC37="",DB37&lt;&gt;""),TRUE))</formula>
    </cfRule>
    <cfRule type="expression" dxfId="115" priority="149">
      <formula>IF(DB37&gt;=DC37,IF(DB37="",FALSE,TRUE))</formula>
    </cfRule>
  </conditionalFormatting>
  <conditionalFormatting sqref="DD37:DD38">
    <cfRule type="expression" dxfId="114" priority="146">
      <formula>OR(IF(DD37&lt;DE37,TRUE),IF(AND(DE37="",DD37&lt;&gt;""),TRUE))</formula>
    </cfRule>
    <cfRule type="expression" dxfId="113" priority="147">
      <formula>IF(DD37&gt;=DE37,IF(DD37="",FALSE,TRUE))</formula>
    </cfRule>
  </conditionalFormatting>
  <conditionalFormatting sqref="DB16 DD16">
    <cfRule type="expression" dxfId="112" priority="144">
      <formula>OR(IF(DB16&lt;DC16,TRUE),IF(AND(DC16="",DB16&lt;&gt;""),TRUE))</formula>
    </cfRule>
    <cfRule type="expression" dxfId="111" priority="145">
      <formula>IF(DB16&gt;=DC16,IF(DB16="",FALSE,TRUE))</formula>
    </cfRule>
  </conditionalFormatting>
  <conditionalFormatting sqref="CB12">
    <cfRule type="expression" dxfId="110" priority="894">
      <formula>OR(IF(CB12&lt;CC12,TRUE),IF(AND(CC12="",CB12&lt;&gt;""),TRUE))</formula>
    </cfRule>
    <cfRule type="expression" dxfId="109" priority="895">
      <formula>IF(CB12&gt;=CC12,IF(CB12="",FALSE,TRUE))</formula>
    </cfRule>
  </conditionalFormatting>
  <conditionalFormatting sqref="CB11">
    <cfRule type="expression" dxfId="108" priority="140">
      <formula>OR(IF(CB11&lt;CC11,TRUE),IF(AND(CC11="",CB11&lt;&gt;""),TRUE))</formula>
    </cfRule>
    <cfRule type="expression" dxfId="107" priority="141">
      <formula>IF(CB11&gt;=CC11,IF(CB11="",FALSE,TRUE))</formula>
    </cfRule>
  </conditionalFormatting>
  <conditionalFormatting sqref="J24:K24">
    <cfRule type="colorScale" priority="122">
      <colorScale>
        <cfvo type="percent" val="0"/>
        <cfvo type="percent" val="100"/>
        <color rgb="FFFF231B"/>
        <color rgb="FF10FF07"/>
      </colorScale>
    </cfRule>
  </conditionalFormatting>
  <conditionalFormatting sqref="J23:K23">
    <cfRule type="colorScale" priority="121">
      <colorScale>
        <cfvo type="percent" val="0"/>
        <cfvo type="percent" val="100"/>
        <color rgb="FFFF231B"/>
        <color rgb="FF10FF07"/>
      </colorScale>
    </cfRule>
  </conditionalFormatting>
  <conditionalFormatting sqref="J7:K7">
    <cfRule type="colorScale" priority="120">
      <colorScale>
        <cfvo type="percent" val="0"/>
        <cfvo type="percent" val="100"/>
        <color rgb="FFFF231B"/>
        <color rgb="FF10FF07"/>
      </colorScale>
    </cfRule>
  </conditionalFormatting>
  <conditionalFormatting sqref="J6:K6">
    <cfRule type="colorScale" priority="119">
      <colorScale>
        <cfvo type="percent" val="0"/>
        <cfvo type="percent" val="100"/>
        <color rgb="FFFF231B"/>
        <color rgb="FF10FF07"/>
      </colorScale>
    </cfRule>
  </conditionalFormatting>
  <conditionalFormatting sqref="DK17:DK19 DI17:DI19">
    <cfRule type="expression" dxfId="106" priority="117">
      <formula>OR(IF(DI17&lt;DJ17,TRUE),IF(AND(DJ17="",DI17&lt;&gt;""),TRUE))</formula>
    </cfRule>
    <cfRule type="expression" dxfId="105" priority="118">
      <formula>IF(DI17&gt;=DJ17,IF(DI17="",FALSE,TRUE))</formula>
    </cfRule>
  </conditionalFormatting>
  <conditionalFormatting sqref="DK26:DK34 DI26:DI34 DK39:DK54 DI39:DI54 DK5:DK12 DI5:DI12">
    <cfRule type="expression" dxfId="104" priority="115">
      <formula>OR(IF(DI5&lt;DJ5,TRUE),IF(AND(DJ5="",DI5&lt;&gt;""),TRUE))</formula>
    </cfRule>
    <cfRule type="expression" dxfId="103" priority="116">
      <formula>IF(DI5&gt;=DJ5,IF(DI5="",FALSE,TRUE))</formula>
    </cfRule>
  </conditionalFormatting>
  <conditionalFormatting sqref="DI15 DK15">
    <cfRule type="expression" dxfId="102" priority="113">
      <formula>OR(IF(DI15&lt;DJ15,TRUE),IF(AND(DJ15="",DI15&lt;&gt;""),TRUE))</formula>
    </cfRule>
    <cfRule type="expression" dxfId="101" priority="114">
      <formula>IF(DI15&gt;=DJ15,IF(DI15="",FALSE,TRUE))</formula>
    </cfRule>
  </conditionalFormatting>
  <conditionalFormatting sqref="DI22:DI25">
    <cfRule type="expression" dxfId="100" priority="111">
      <formula>OR(IF(DI22&lt;DJ22,TRUE),IF(AND(DJ22="",DI22&lt;&gt;""),TRUE))</formula>
    </cfRule>
    <cfRule type="expression" dxfId="99" priority="112">
      <formula>IF(DI22&gt;=DJ22,IF(DI22="",FALSE,TRUE))</formula>
    </cfRule>
  </conditionalFormatting>
  <conditionalFormatting sqref="DK22:DK25">
    <cfRule type="expression" dxfId="98" priority="109">
      <formula>OR(IF(DK22&lt;DL22,TRUE),IF(AND(DL22="",DK22&lt;&gt;""),TRUE))</formula>
    </cfRule>
    <cfRule type="expression" dxfId="97" priority="110">
      <formula>IF(DK22&gt;=DL22,IF(DK22="",FALSE,TRUE))</formula>
    </cfRule>
  </conditionalFormatting>
  <conditionalFormatting sqref="DI37:DI38">
    <cfRule type="expression" dxfId="96" priority="103">
      <formula>OR(IF(DI37&lt;DJ37,TRUE),IF(AND(DJ37="",DI37&lt;&gt;""),TRUE))</formula>
    </cfRule>
    <cfRule type="expression" dxfId="95" priority="104">
      <formula>IF(DI37&gt;=DJ37,IF(DI37="",FALSE,TRUE))</formula>
    </cfRule>
  </conditionalFormatting>
  <conditionalFormatting sqref="DK37:DK38">
    <cfRule type="expression" dxfId="94" priority="101">
      <formula>OR(IF(DK37&lt;DL37,TRUE),IF(AND(DL37="",DK37&lt;&gt;""),TRUE))</formula>
    </cfRule>
    <cfRule type="expression" dxfId="93" priority="102">
      <formula>IF(DK37&gt;=DL37,IF(DK37="",FALSE,TRUE))</formula>
    </cfRule>
  </conditionalFormatting>
  <conditionalFormatting sqref="DI16 DK16">
    <cfRule type="expression" dxfId="92" priority="99">
      <formula>OR(IF(DI16&lt;DJ16,TRUE),IF(AND(DJ16="",DI16&lt;&gt;""),TRUE))</formula>
    </cfRule>
    <cfRule type="expression" dxfId="91" priority="100">
      <formula>IF(DI16&gt;=DJ16,IF(DI16="",FALSE,TRUE))</formula>
    </cfRule>
  </conditionalFormatting>
  <conditionalFormatting sqref="DR17:DR19 DP17:DP19">
    <cfRule type="expression" dxfId="90" priority="95">
      <formula>OR(IF(DP17&lt;DQ17,TRUE),IF(AND(DQ17="",DP17&lt;&gt;""),TRUE))</formula>
    </cfRule>
    <cfRule type="expression" dxfId="89" priority="96">
      <formula>IF(DP17&gt;=DQ17,IF(DP17="",FALSE,TRUE))</formula>
    </cfRule>
  </conditionalFormatting>
  <conditionalFormatting sqref="DR26:DR34 DP26:DP34 DR39:DR54 DP39:DP54 DP5:DP12">
    <cfRule type="expression" dxfId="88" priority="93">
      <formula>OR(IF(DP5&lt;DQ5,TRUE),IF(AND(DQ5="",DP5&lt;&gt;""),TRUE))</formula>
    </cfRule>
    <cfRule type="expression" dxfId="87" priority="94">
      <formula>IF(DP5&gt;=DQ5,IF(DP5="",FALSE,TRUE))</formula>
    </cfRule>
  </conditionalFormatting>
  <conditionalFormatting sqref="DP15 DR15">
    <cfRule type="expression" dxfId="86" priority="91">
      <formula>OR(IF(DP15&lt;DQ15,TRUE),IF(AND(DQ15="",DP15&lt;&gt;""),TRUE))</formula>
    </cfRule>
    <cfRule type="expression" dxfId="85" priority="92">
      <formula>IF(DP15&gt;=DQ15,IF(DP15="",FALSE,TRUE))</formula>
    </cfRule>
  </conditionalFormatting>
  <conditionalFormatting sqref="DP22:DP25">
    <cfRule type="expression" dxfId="84" priority="89">
      <formula>OR(IF(DP22&lt;DQ22,TRUE),IF(AND(DQ22="",DP22&lt;&gt;""),TRUE))</formula>
    </cfRule>
    <cfRule type="expression" dxfId="83" priority="90">
      <formula>IF(DP22&gt;=DQ22,IF(DP22="",FALSE,TRUE))</formula>
    </cfRule>
  </conditionalFormatting>
  <conditionalFormatting sqref="DR22:DR25">
    <cfRule type="expression" dxfId="82" priority="87">
      <formula>OR(IF(DR22&lt;DS22,TRUE),IF(AND(DS22="",DR22&lt;&gt;""),TRUE))</formula>
    </cfRule>
    <cfRule type="expression" dxfId="81" priority="88">
      <formula>IF(DR22&gt;=DS22,IF(DR22="",FALSE,TRUE))</formula>
    </cfRule>
  </conditionalFormatting>
  <conditionalFormatting sqref="DP37:DP38">
    <cfRule type="expression" dxfId="80" priority="81">
      <formula>OR(IF(DP37&lt;DQ37,TRUE),IF(AND(DQ37="",DP37&lt;&gt;""),TRUE))</formula>
    </cfRule>
    <cfRule type="expression" dxfId="79" priority="82">
      <formula>IF(DP37&gt;=DQ37,IF(DP37="",FALSE,TRUE))</formula>
    </cfRule>
  </conditionalFormatting>
  <conditionalFormatting sqref="DR37:DR38">
    <cfRule type="expression" dxfId="78" priority="79">
      <formula>OR(IF(DR37&lt;DS37,TRUE),IF(AND(DS37="",DR37&lt;&gt;""),TRUE))</formula>
    </cfRule>
    <cfRule type="expression" dxfId="77" priority="80">
      <formula>IF(DR37&gt;=DS37,IF(DR37="",FALSE,TRUE))</formula>
    </cfRule>
  </conditionalFormatting>
  <conditionalFormatting sqref="DP16 DR16">
    <cfRule type="expression" dxfId="76" priority="77">
      <formula>OR(IF(DP16&lt;DQ16,TRUE),IF(AND(DQ16="",DP16&lt;&gt;""),TRUE))</formula>
    </cfRule>
    <cfRule type="expression" dxfId="75" priority="78">
      <formula>IF(DP16&gt;=DQ16,IF(DP16="",FALSE,TRUE))</formula>
    </cfRule>
  </conditionalFormatting>
  <conditionalFormatting sqref="DY17:DY19 DW17:DW19">
    <cfRule type="expression" dxfId="74" priority="73">
      <formula>OR(IF(DW17&lt;DX17,TRUE),IF(AND(DX17="",DW17&lt;&gt;""),TRUE))</formula>
    </cfRule>
    <cfRule type="expression" dxfId="73" priority="74">
      <formula>IF(DW17&gt;=DX17,IF(DW17="",FALSE,TRUE))</formula>
    </cfRule>
  </conditionalFormatting>
  <conditionalFormatting sqref="DY26:DY34 DW26:DW34 DY39:DY54 DW39:DW54 DW5:DW12 DY5:DY12">
    <cfRule type="expression" dxfId="72" priority="71">
      <formula>OR(IF(DW5&lt;DX5,TRUE),IF(AND(DX5="",DW5&lt;&gt;""),TRUE))</formula>
    </cfRule>
    <cfRule type="expression" dxfId="71" priority="72">
      <formula>IF(DW5&gt;=DX5,IF(DW5="",FALSE,TRUE))</formula>
    </cfRule>
  </conditionalFormatting>
  <conditionalFormatting sqref="DW15 DY15">
    <cfRule type="expression" dxfId="70" priority="69">
      <formula>OR(IF(DW15&lt;DX15,TRUE),IF(AND(DX15="",DW15&lt;&gt;""),TRUE))</formula>
    </cfRule>
    <cfRule type="expression" dxfId="69" priority="70">
      <formula>IF(DW15&gt;=DX15,IF(DW15="",FALSE,TRUE))</formula>
    </cfRule>
  </conditionalFormatting>
  <conditionalFormatting sqref="DW22:DW25">
    <cfRule type="expression" dxfId="68" priority="67">
      <formula>OR(IF(DW22&lt;DX22,TRUE),IF(AND(DX22="",DW22&lt;&gt;""),TRUE))</formula>
    </cfRule>
    <cfRule type="expression" dxfId="67" priority="68">
      <formula>IF(DW22&gt;=DX22,IF(DW22="",FALSE,TRUE))</formula>
    </cfRule>
  </conditionalFormatting>
  <conditionalFormatting sqref="DY22:DY25">
    <cfRule type="expression" dxfId="66" priority="65">
      <formula>OR(IF(DY22&lt;DZ22,TRUE),IF(AND(DZ22="",DY22&lt;&gt;""),TRUE))</formula>
    </cfRule>
    <cfRule type="expression" dxfId="65" priority="66">
      <formula>IF(DY22&gt;=DZ22,IF(DY22="",FALSE,TRUE))</formula>
    </cfRule>
  </conditionalFormatting>
  <conditionalFormatting sqref="DW37:DW38">
    <cfRule type="expression" dxfId="64" priority="59">
      <formula>OR(IF(DW37&lt;DX37,TRUE),IF(AND(DX37="",DW37&lt;&gt;""),TRUE))</formula>
    </cfRule>
    <cfRule type="expression" dxfId="63" priority="60">
      <formula>IF(DW37&gt;=DX37,IF(DW37="",FALSE,TRUE))</formula>
    </cfRule>
  </conditionalFormatting>
  <conditionalFormatting sqref="DY37:DY38">
    <cfRule type="expression" dxfId="62" priority="57">
      <formula>OR(IF(DY37&lt;DZ37,TRUE),IF(AND(DZ37="",DY37&lt;&gt;""),TRUE))</formula>
    </cfRule>
    <cfRule type="expression" dxfId="61" priority="58">
      <formula>IF(DY37&gt;=DZ37,IF(DY37="",FALSE,TRUE))</formula>
    </cfRule>
  </conditionalFormatting>
  <conditionalFormatting sqref="DW16 DY16">
    <cfRule type="expression" dxfId="60" priority="55">
      <formula>OR(IF(DW16&lt;DX16,TRUE),IF(AND(DX16="",DW16&lt;&gt;""),TRUE))</formula>
    </cfRule>
    <cfRule type="expression" dxfId="59" priority="56">
      <formula>IF(DW16&gt;=DX16,IF(DW16="",FALSE,TRUE))</formula>
    </cfRule>
  </conditionalFormatting>
  <conditionalFormatting sqref="EF17:EF19 ED17:ED19">
    <cfRule type="expression" dxfId="58" priority="51">
      <formula>OR(IF(ED17&lt;EE17,TRUE),IF(AND(EE17="",ED17&lt;&gt;""),TRUE))</formula>
    </cfRule>
    <cfRule type="expression" dxfId="57" priority="52">
      <formula>IF(ED17&gt;=EE17,IF(ED17="",FALSE,TRUE))</formula>
    </cfRule>
  </conditionalFormatting>
  <conditionalFormatting sqref="EF26:EF34 ED26:ED34 EF39:EF54 ED39:ED54 ED5:ED12 EF5:EF12">
    <cfRule type="expression" dxfId="56" priority="49">
      <formula>OR(IF(ED5&lt;EE5,TRUE),IF(AND(EE5="",ED5&lt;&gt;""),TRUE))</formula>
    </cfRule>
    <cfRule type="expression" dxfId="55" priority="50">
      <formula>IF(ED5&gt;=EE5,IF(ED5="",FALSE,TRUE))</formula>
    </cfRule>
  </conditionalFormatting>
  <conditionalFormatting sqref="ED15 EF15">
    <cfRule type="expression" dxfId="54" priority="47">
      <formula>OR(IF(ED15&lt;EE15,TRUE),IF(AND(EE15="",ED15&lt;&gt;""),TRUE))</formula>
    </cfRule>
    <cfRule type="expression" dxfId="53" priority="48">
      <formula>IF(ED15&gt;=EE15,IF(ED15="",FALSE,TRUE))</formula>
    </cfRule>
  </conditionalFormatting>
  <conditionalFormatting sqref="ED22:ED25">
    <cfRule type="expression" dxfId="52" priority="45">
      <formula>OR(IF(ED22&lt;EE22,TRUE),IF(AND(EE22="",ED22&lt;&gt;""),TRUE))</formula>
    </cfRule>
    <cfRule type="expression" dxfId="51" priority="46">
      <formula>IF(ED22&gt;=EE22,IF(ED22="",FALSE,TRUE))</formula>
    </cfRule>
  </conditionalFormatting>
  <conditionalFormatting sqref="EF22:EF25">
    <cfRule type="expression" dxfId="50" priority="43">
      <formula>OR(IF(EF22&lt;EG22,TRUE),IF(AND(EG22="",EF22&lt;&gt;""),TRUE))</formula>
    </cfRule>
    <cfRule type="expression" dxfId="49" priority="44">
      <formula>IF(EF22&gt;=EG22,IF(EF22="",FALSE,TRUE))</formula>
    </cfRule>
  </conditionalFormatting>
  <conditionalFormatting sqref="ED37:ED38">
    <cfRule type="expression" dxfId="48" priority="37">
      <formula>OR(IF(ED37&lt;EE37,TRUE),IF(AND(EE37="",ED37&lt;&gt;""),TRUE))</formula>
    </cfRule>
    <cfRule type="expression" dxfId="47" priority="38">
      <formula>IF(ED37&gt;=EE37,IF(ED37="",FALSE,TRUE))</formula>
    </cfRule>
  </conditionalFormatting>
  <conditionalFormatting sqref="EF37:EF38">
    <cfRule type="expression" dxfId="46" priority="35">
      <formula>OR(IF(EF37&lt;EG37,TRUE),IF(AND(EG37="",EF37&lt;&gt;""),TRUE))</formula>
    </cfRule>
    <cfRule type="expression" dxfId="45" priority="36">
      <formula>IF(EF37&gt;=EG37,IF(EF37="",FALSE,TRUE))</formula>
    </cfRule>
  </conditionalFormatting>
  <conditionalFormatting sqref="ED16 EF16">
    <cfRule type="expression" dxfId="44" priority="33">
      <formula>OR(IF(ED16&lt;EE16,TRUE),IF(AND(EE16="",ED16&lt;&gt;""),TRUE))</formula>
    </cfRule>
    <cfRule type="expression" dxfId="43" priority="34">
      <formula>IF(ED16&gt;=EE16,IF(ED16="",FALSE,TRUE))</formula>
    </cfRule>
  </conditionalFormatting>
  <conditionalFormatting sqref="EM17:EM19 EK17:EK19">
    <cfRule type="expression" dxfId="42" priority="29">
      <formula>OR(IF(EK17&lt;EL17,TRUE),IF(AND(EL17="",EK17&lt;&gt;""),TRUE))</formula>
    </cfRule>
    <cfRule type="expression" dxfId="41" priority="30">
      <formula>IF(EK17&gt;=EL17,IF(EK17="",FALSE,TRUE))</formula>
    </cfRule>
  </conditionalFormatting>
  <conditionalFormatting sqref="EM26:EM34 EK26:EK34 EM39:EM54 EK39:EK54 EK5:EK12 EM5:EM12">
    <cfRule type="expression" dxfId="40" priority="27">
      <formula>OR(IF(EK5&lt;EL5,TRUE),IF(AND(EL5="",EK5&lt;&gt;""),TRUE))</formula>
    </cfRule>
    <cfRule type="expression" dxfId="39" priority="28">
      <formula>IF(EK5&gt;=EL5,IF(EK5="",FALSE,TRUE))</formula>
    </cfRule>
  </conditionalFormatting>
  <conditionalFormatting sqref="EK15 EM15">
    <cfRule type="expression" dxfId="38" priority="25">
      <formula>OR(IF(EK15&lt;EL15,TRUE),IF(AND(EL15="",EK15&lt;&gt;""),TRUE))</formula>
    </cfRule>
    <cfRule type="expression" dxfId="37" priority="26">
      <formula>IF(EK15&gt;=EL15,IF(EK15="",FALSE,TRUE))</formula>
    </cfRule>
  </conditionalFormatting>
  <conditionalFormatting sqref="EK22:EK25">
    <cfRule type="expression" dxfId="36" priority="23">
      <formula>OR(IF(EK22&lt;EL22,TRUE),IF(AND(EL22="",EK22&lt;&gt;""),TRUE))</formula>
    </cfRule>
    <cfRule type="expression" dxfId="35" priority="24">
      <formula>IF(EK22&gt;=EL22,IF(EK22="",FALSE,TRUE))</formula>
    </cfRule>
  </conditionalFormatting>
  <conditionalFormatting sqref="EM22:EM25">
    <cfRule type="expression" dxfId="34" priority="21">
      <formula>OR(IF(EM22&lt;EN22,TRUE),IF(AND(EN22="",EM22&lt;&gt;""),TRUE))</formula>
    </cfRule>
    <cfRule type="expression" dxfId="33" priority="22">
      <formula>IF(EM22&gt;=EN22,IF(EM22="",FALSE,TRUE))</formula>
    </cfRule>
  </conditionalFormatting>
  <conditionalFormatting sqref="EK37:EK38">
    <cfRule type="expression" dxfId="32" priority="15">
      <formula>OR(IF(EK37&lt;EL37,TRUE),IF(AND(EL37="",EK37&lt;&gt;""),TRUE))</formula>
    </cfRule>
    <cfRule type="expression" dxfId="31" priority="16">
      <formula>IF(EK37&gt;=EL37,IF(EK37="",FALSE,TRUE))</formula>
    </cfRule>
  </conditionalFormatting>
  <conditionalFormatting sqref="EM37:EM38">
    <cfRule type="expression" dxfId="30" priority="13">
      <formula>OR(IF(EM37&lt;EN37,TRUE),IF(AND(EN37="",EM37&lt;&gt;""),TRUE))</formula>
    </cfRule>
    <cfRule type="expression" dxfId="29" priority="14">
      <formula>IF(EM37&gt;=EN37,IF(EM37="",FALSE,TRUE))</formula>
    </cfRule>
  </conditionalFormatting>
  <conditionalFormatting sqref="EK16 EM16">
    <cfRule type="expression" dxfId="28" priority="11">
      <formula>OR(IF(EK16&lt;EL16,TRUE),IF(AND(EL16="",EK16&lt;&gt;""),TRUE))</formula>
    </cfRule>
    <cfRule type="expression" dxfId="27" priority="12">
      <formula>IF(EK16&gt;=EL16,IF(EK16="",FALSE,TRUE))</formula>
    </cfRule>
  </conditionalFormatting>
  <conditionalFormatting sqref="DR8">
    <cfRule type="expression" dxfId="26" priority="930">
      <formula>OR(IF(DR8&lt;DS7,TRUE),IF(AND(DS7="",DR8&lt;&gt;""),TRUE))</formula>
    </cfRule>
    <cfRule type="expression" dxfId="25" priority="931">
      <formula>IF(DR8&gt;=DS7,IF(DR8="",FALSE,TRUE))</formula>
    </cfRule>
  </conditionalFormatting>
  <conditionalFormatting sqref="J17:K19">
    <cfRule type="colorScale" priority="932">
      <colorScale>
        <cfvo type="percent" val="0"/>
        <cfvo type="percent" val="100"/>
        <color rgb="FFFF231B"/>
        <color rgb="FF10FF07"/>
      </colorScale>
    </cfRule>
  </conditionalFormatting>
  <conditionalFormatting sqref="J17:J19 J15">
    <cfRule type="colorScale" priority="933">
      <colorScale>
        <cfvo type="percent" val="0"/>
        <cfvo type="percent" val="100"/>
        <color rgb="FFFF231B"/>
        <color rgb="FF10FF07"/>
      </colorScale>
    </cfRule>
  </conditionalFormatting>
  <conditionalFormatting sqref="K17:K19 K15">
    <cfRule type="colorScale" priority="935">
      <colorScale>
        <cfvo type="percent" val="0"/>
        <cfvo type="percent" val="100"/>
        <color rgb="FFFF231B"/>
        <color rgb="FF10FF07"/>
      </colorScale>
    </cfRule>
  </conditionalFormatting>
  <conditionalFormatting sqref="BN5:BN12">
    <cfRule type="expression" dxfId="24" priority="7">
      <formula>OR(IF(BN5&lt;BO5,TRUE),IF(AND(BO5="",BN5&lt;&gt;""),TRUE))</formula>
    </cfRule>
    <cfRule type="expression" dxfId="23" priority="8">
      <formula>IF(BN5&gt;=BO5,IF(BN5="",FALSE,TRUE))</formula>
    </cfRule>
  </conditionalFormatting>
  <conditionalFormatting sqref="BG5:BG12">
    <cfRule type="expression" dxfId="22" priority="5">
      <formula>OR(IF(BG5&lt;BH5,TRUE),IF(AND(BH5="",BG5&lt;&gt;""),TRUE))</formula>
    </cfRule>
    <cfRule type="expression" dxfId="21" priority="6">
      <formula>IF(BG5&gt;=BH5,IF(BG5="",FALSE,TRUE))</formula>
    </cfRule>
  </conditionalFormatting>
  <conditionalFormatting sqref="AZ5:AZ11">
    <cfRule type="expression" dxfId="20" priority="3">
      <formula>OR(IF(AZ5&lt;BA5,TRUE),IF(AND(BA5="",AZ5&lt;&gt;""),TRUE))</formula>
    </cfRule>
    <cfRule type="expression" dxfId="19" priority="4">
      <formula>IF(AZ5&gt;=BA5,IF(AZ5="",FALSE,TRUE))</formula>
    </cfRule>
  </conditionalFormatting>
  <conditionalFormatting sqref="AS5:AS11">
    <cfRule type="expression" dxfId="18" priority="1">
      <formula>OR(IF(AS5&lt;AT5,TRUE),IF(AND(AT5="",AS5&lt;&gt;""),TRUE))</formula>
    </cfRule>
    <cfRule type="expression" dxfId="17" priority="2">
      <formula>IF(AS5&gt;=AT5,IF(AS5="",FALSE,TRUE))</formula>
    </cfRule>
  </conditionalFormatting>
  <dataValidations count="1">
    <dataValidation type="list" allowBlank="1" showInputMessage="1" showErrorMessage="1" sqref="V15:Y19 BL37:BO54 V37:Y54 AX37:BA54 AQ37:AT54 AC22:AF34 V22:Y34 O22:R34 BS37:BV54 BZ37:CC54 BE37:BH54 CG37:CJ54 CN37:CQ54 CU37:CX54 DI37:DL54 CU5:CX12 DB5:DE12 CN5:CQ12 CG5:CJ12 BZ5:CC12 AC37:AF54 AJ37:AM54 AQ22:AT34 AX22:BA34 BL22:BO34 BE22:BH34 O37:R54 BS22:BV34 V5:Y12 AC5:AF12 AJ5:AM12 AX5:BA12 BE5:BH12 BL5:BO12 AJ22:AM34 DB15:DE19 BZ15:CC19 BS5:BV12 CG15:CJ19 CN15:CQ19 CU15:CX19 DB22:DE34 O5:R12 DP8:DS12 DP22:DS34 DP37:DS54 DW22:DZ34 DW37:DZ54 DW5:DZ12 ED22:EG34 ED37:EG54 ED5:EG12 EK22:EN34 EK37:EN54 EK5:EN12 DS7 DP5:DS6 DP7:DQ7 BZ22:CC34 DI22:DL34 DB37:DE54 EK15:EN19 ED15:EG19 DW15:DZ19 DP15:DS19 DI15:DL19 AC15:AF19 AJ15:AM19 AQ15:AT19 AX15:BA19 BE15:BH19 BL15:BO19 BS15:BV19 CG22:CJ34 CN22:CQ34 CU22:CX34 DI5:DL12 O15:R19 AQ5:AT12" xr:uid="{DF46768B-76BD-4AD1-BDD9-05E5E50A35C8}">
      <formula1>"10%,20%,30%,40%,50%,60%,70%,80%,90%,100%"</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473550-30B9-8F48-8345-10C51C6D0FC3}">
  <dimension ref="B4:B25"/>
  <sheetViews>
    <sheetView workbookViewId="0">
      <selection activeCell="B2" sqref="B2"/>
    </sheetView>
  </sheetViews>
  <sheetFormatPr baseColWidth="10" defaultColWidth="10.6640625" defaultRowHeight="16" x14ac:dyDescent="0.2"/>
  <cols>
    <col min="2" max="2" width="161" customWidth="1"/>
    <col min="3" max="3" width="10.83203125"/>
  </cols>
  <sheetData>
    <row r="4" spans="2:2" ht="21" x14ac:dyDescent="0.25">
      <c r="B4" s="3" t="s">
        <v>16</v>
      </c>
    </row>
    <row r="6" spans="2:2" x14ac:dyDescent="0.2">
      <c r="B6" s="2" t="s">
        <v>13</v>
      </c>
    </row>
    <row r="7" spans="2:2" ht="51" x14ac:dyDescent="0.2">
      <c r="B7" s="1" t="s">
        <v>14</v>
      </c>
    </row>
    <row r="9" spans="2:2" x14ac:dyDescent="0.2">
      <c r="B9" s="2" t="s">
        <v>15</v>
      </c>
    </row>
    <row r="10" spans="2:2" ht="68" x14ac:dyDescent="0.2">
      <c r="B10" s="1" t="s">
        <v>36</v>
      </c>
    </row>
    <row r="12" spans="2:2" x14ac:dyDescent="0.2">
      <c r="B12" s="2" t="s">
        <v>17</v>
      </c>
    </row>
    <row r="13" spans="2:2" ht="153" x14ac:dyDescent="0.2">
      <c r="B13" s="1" t="s">
        <v>18</v>
      </c>
    </row>
    <row r="15" spans="2:2" x14ac:dyDescent="0.2">
      <c r="B15" s="2" t="s">
        <v>19</v>
      </c>
    </row>
    <row r="16" spans="2:2" ht="119" x14ac:dyDescent="0.2">
      <c r="B16" s="1" t="s">
        <v>20</v>
      </c>
    </row>
    <row r="17" spans="2:2" x14ac:dyDescent="0.2">
      <c r="B17" s="1"/>
    </row>
    <row r="18" spans="2:2" x14ac:dyDescent="0.2">
      <c r="B18" s="2" t="s">
        <v>35</v>
      </c>
    </row>
    <row r="19" spans="2:2" ht="153" x14ac:dyDescent="0.2">
      <c r="B19" s="1" t="s">
        <v>37</v>
      </c>
    </row>
    <row r="21" spans="2:2" x14ac:dyDescent="0.2">
      <c r="B21" s="2" t="s">
        <v>21</v>
      </c>
    </row>
    <row r="22" spans="2:2" ht="136" x14ac:dyDescent="0.2">
      <c r="B22" s="1" t="s">
        <v>38</v>
      </c>
    </row>
    <row r="24" spans="2:2" x14ac:dyDescent="0.2">
      <c r="B24" s="2" t="s">
        <v>22</v>
      </c>
    </row>
    <row r="25" spans="2:2" ht="136" x14ac:dyDescent="0.2">
      <c r="B25" s="1" t="s">
        <v>23</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6DC74A-41FF-564E-9985-F60E7FCAF3B0}">
  <dimension ref="A1:K46"/>
  <sheetViews>
    <sheetView workbookViewId="0">
      <selection activeCell="J10" sqref="J10"/>
    </sheetView>
  </sheetViews>
  <sheetFormatPr baseColWidth="10" defaultColWidth="10.6640625" defaultRowHeight="16" x14ac:dyDescent="0.2"/>
  <cols>
    <col min="1" max="1" width="16.83203125" style="9" customWidth="1"/>
    <col min="2" max="2" width="19.1640625" style="9" customWidth="1"/>
    <col min="3" max="3" width="18.1640625" style="9" customWidth="1"/>
    <col min="4" max="4" width="19.5" style="9" customWidth="1"/>
    <col min="8" max="8" width="15.1640625" customWidth="1"/>
    <col min="10" max="10" width="42" customWidth="1"/>
    <col min="11" max="11" width="28.5" customWidth="1"/>
  </cols>
  <sheetData>
    <row r="1" spans="1:11" ht="34" x14ac:dyDescent="0.2">
      <c r="A1" s="9" t="s">
        <v>42</v>
      </c>
      <c r="B1" s="15" t="s">
        <v>39</v>
      </c>
      <c r="C1" s="15" t="s">
        <v>40</v>
      </c>
      <c r="D1" s="15" t="s">
        <v>41</v>
      </c>
      <c r="E1" s="1" t="s">
        <v>43</v>
      </c>
      <c r="F1" s="1" t="s">
        <v>44</v>
      </c>
      <c r="G1" s="1" t="s">
        <v>45</v>
      </c>
      <c r="H1" s="1" t="s">
        <v>46</v>
      </c>
      <c r="I1" s="1" t="s">
        <v>47</v>
      </c>
      <c r="J1" s="1" t="s">
        <v>48</v>
      </c>
      <c r="K1" s="1" t="s">
        <v>49</v>
      </c>
    </row>
    <row r="2" spans="1:11" x14ac:dyDescent="0.2">
      <c r="A2" s="14">
        <v>44118</v>
      </c>
      <c r="D2" s="11">
        <v>1</v>
      </c>
    </row>
    <row r="3" spans="1:11" x14ac:dyDescent="0.2">
      <c r="A3" s="14">
        <v>44119</v>
      </c>
    </row>
    <row r="4" spans="1:11" x14ac:dyDescent="0.2">
      <c r="A4" s="14">
        <v>44120</v>
      </c>
    </row>
    <row r="5" spans="1:11" x14ac:dyDescent="0.2">
      <c r="A5" s="14">
        <v>44121</v>
      </c>
    </row>
    <row r="6" spans="1:11" x14ac:dyDescent="0.2">
      <c r="A6" s="14">
        <v>44122</v>
      </c>
    </row>
    <row r="7" spans="1:11" x14ac:dyDescent="0.2">
      <c r="A7" s="14">
        <v>44123</v>
      </c>
    </row>
    <row r="8" spans="1:11" x14ac:dyDescent="0.2">
      <c r="A8" s="14">
        <v>44124</v>
      </c>
    </row>
    <row r="9" spans="1:11" x14ac:dyDescent="0.2">
      <c r="A9" s="14">
        <v>44125</v>
      </c>
    </row>
    <row r="10" spans="1:11" x14ac:dyDescent="0.2">
      <c r="A10" s="14">
        <v>44126</v>
      </c>
    </row>
    <row r="11" spans="1:11" x14ac:dyDescent="0.2">
      <c r="A11" s="14">
        <v>44127</v>
      </c>
    </row>
    <row r="12" spans="1:11" x14ac:dyDescent="0.2">
      <c r="A12" s="14">
        <v>44128</v>
      </c>
    </row>
    <row r="13" spans="1:11" x14ac:dyDescent="0.2">
      <c r="A13" s="14">
        <v>44129</v>
      </c>
    </row>
    <row r="14" spans="1:11" x14ac:dyDescent="0.2">
      <c r="A14" s="14">
        <v>44130</v>
      </c>
    </row>
    <row r="15" spans="1:11" x14ac:dyDescent="0.2">
      <c r="A15" s="14">
        <v>44131</v>
      </c>
    </row>
    <row r="16" spans="1:11" x14ac:dyDescent="0.2">
      <c r="A16" s="14">
        <v>44132</v>
      </c>
    </row>
    <row r="17" spans="1:1" x14ac:dyDescent="0.2">
      <c r="A17" s="14">
        <v>44133</v>
      </c>
    </row>
    <row r="18" spans="1:1" x14ac:dyDescent="0.2">
      <c r="A18" s="14">
        <v>44134</v>
      </c>
    </row>
    <row r="19" spans="1:1" x14ac:dyDescent="0.2">
      <c r="A19" s="14">
        <v>44135</v>
      </c>
    </row>
    <row r="20" spans="1:1" x14ac:dyDescent="0.2">
      <c r="A20" s="14">
        <v>44136</v>
      </c>
    </row>
    <row r="21" spans="1:1" x14ac:dyDescent="0.2">
      <c r="A21" s="14">
        <v>44137</v>
      </c>
    </row>
    <row r="22" spans="1:1" x14ac:dyDescent="0.2">
      <c r="A22" s="14">
        <v>44138</v>
      </c>
    </row>
    <row r="23" spans="1:1" x14ac:dyDescent="0.2">
      <c r="A23" s="14">
        <v>44139</v>
      </c>
    </row>
    <row r="24" spans="1:1" x14ac:dyDescent="0.2">
      <c r="A24" s="14">
        <v>44140</v>
      </c>
    </row>
    <row r="25" spans="1:1" x14ac:dyDescent="0.2">
      <c r="A25" s="14">
        <v>44141</v>
      </c>
    </row>
    <row r="26" spans="1:1" x14ac:dyDescent="0.2">
      <c r="A26" s="14">
        <v>44142</v>
      </c>
    </row>
    <row r="27" spans="1:1" x14ac:dyDescent="0.2">
      <c r="A27" s="14">
        <v>44143</v>
      </c>
    </row>
    <row r="28" spans="1:1" x14ac:dyDescent="0.2">
      <c r="A28" s="14">
        <v>44144</v>
      </c>
    </row>
    <row r="29" spans="1:1" x14ac:dyDescent="0.2">
      <c r="A29" s="14">
        <v>44145</v>
      </c>
    </row>
    <row r="30" spans="1:1" x14ac:dyDescent="0.2">
      <c r="A30" s="14">
        <v>44146</v>
      </c>
    </row>
    <row r="31" spans="1:1" x14ac:dyDescent="0.2">
      <c r="A31" s="14">
        <v>44147</v>
      </c>
    </row>
    <row r="32" spans="1:1" x14ac:dyDescent="0.2">
      <c r="A32" s="14">
        <v>44148</v>
      </c>
    </row>
    <row r="33" spans="1:1" x14ac:dyDescent="0.2">
      <c r="A33" s="14">
        <v>44149</v>
      </c>
    </row>
    <row r="34" spans="1:1" x14ac:dyDescent="0.2">
      <c r="A34" s="14">
        <v>44150</v>
      </c>
    </row>
    <row r="35" spans="1:1" x14ac:dyDescent="0.2">
      <c r="A35" s="14">
        <v>44151</v>
      </c>
    </row>
    <row r="36" spans="1:1" x14ac:dyDescent="0.2">
      <c r="A36" s="14">
        <v>44152</v>
      </c>
    </row>
    <row r="37" spans="1:1" x14ac:dyDescent="0.2">
      <c r="A37" s="14">
        <v>44153</v>
      </c>
    </row>
    <row r="38" spans="1:1" x14ac:dyDescent="0.2">
      <c r="A38" s="14">
        <v>44154</v>
      </c>
    </row>
    <row r="39" spans="1:1" x14ac:dyDescent="0.2">
      <c r="A39" s="14">
        <v>44155</v>
      </c>
    </row>
    <row r="40" spans="1:1" x14ac:dyDescent="0.2">
      <c r="A40" s="14">
        <v>44156</v>
      </c>
    </row>
    <row r="41" spans="1:1" x14ac:dyDescent="0.2">
      <c r="A41" s="14">
        <v>44157</v>
      </c>
    </row>
    <row r="42" spans="1:1" x14ac:dyDescent="0.2">
      <c r="A42" s="14">
        <v>44158</v>
      </c>
    </row>
    <row r="43" spans="1:1" x14ac:dyDescent="0.2">
      <c r="A43" s="14">
        <v>44159</v>
      </c>
    </row>
    <row r="44" spans="1:1" x14ac:dyDescent="0.2">
      <c r="A44" s="14">
        <v>44160</v>
      </c>
    </row>
    <row r="45" spans="1:1" x14ac:dyDescent="0.2">
      <c r="A45" s="14">
        <v>44161</v>
      </c>
    </row>
    <row r="46" spans="1:1" x14ac:dyDescent="0.2">
      <c r="A46" s="14">
        <v>44162</v>
      </c>
    </row>
  </sheetData>
  <conditionalFormatting sqref="B2:B46">
    <cfRule type="cellIs" dxfId="16" priority="14" operator="equal">
      <formula>"Ja"</formula>
    </cfRule>
    <cfRule type="cellIs" dxfId="15" priority="15" operator="equal">
      <formula>"Nein"</formula>
    </cfRule>
  </conditionalFormatting>
  <conditionalFormatting sqref="D2">
    <cfRule type="cellIs" dxfId="14" priority="6" operator="equal">
      <formula>1</formula>
    </cfRule>
    <cfRule type="cellIs" dxfId="13" priority="7" operator="equal">
      <formula>0.8</formula>
    </cfRule>
    <cfRule type="cellIs" dxfId="12" priority="8" operator="equal">
      <formula>0.6</formula>
    </cfRule>
    <cfRule type="cellIs" dxfId="11" priority="9" operator="equal">
      <formula>0.4</formula>
    </cfRule>
    <cfRule type="cellIs" dxfId="10" priority="10" operator="equal">
      <formula>0.2</formula>
    </cfRule>
    <cfRule type="cellIs" dxfId="9" priority="11" operator="equal">
      <formula>0</formula>
    </cfRule>
  </conditionalFormatting>
  <conditionalFormatting sqref="B2:B46">
    <cfRule type="cellIs" dxfId="8" priority="4" operator="equal">
      <formula>"Ja"</formula>
    </cfRule>
  </conditionalFormatting>
  <conditionalFormatting sqref="C2:C46">
    <cfRule type="cellIs" dxfId="7" priority="2" operator="equal">
      <formula>"Ja"</formula>
    </cfRule>
    <cfRule type="cellIs" dxfId="6" priority="3" operator="equal">
      <formula>"Nein"</formula>
    </cfRule>
  </conditionalFormatting>
  <conditionalFormatting sqref="C2:C46">
    <cfRule type="cellIs" dxfId="5" priority="1" operator="equal">
      <formula>"Ja"</formula>
    </cfRule>
  </conditionalFormatting>
  <dataValidations count="2">
    <dataValidation type="list" allowBlank="1" showInputMessage="1" showErrorMessage="1" sqref="B2:C46" xr:uid="{7FDD2772-70A7-4C43-8D43-0112E4DB6845}">
      <formula1>"Ja,Nein"</formula1>
    </dataValidation>
    <dataValidation type="list" allowBlank="1" showInputMessage="1" showErrorMessage="1" sqref="D2" xr:uid="{B2E161F3-3A4E-9042-B62A-806000DA1055}">
      <formula1>"100%,80%,60%,40%,20%,0%"</formula1>
    </dataValidation>
  </dataValidations>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A01029-CCBE-F340-8963-50C19548FA2B}">
  <dimension ref="A1:H47"/>
  <sheetViews>
    <sheetView zoomScale="117" workbookViewId="0">
      <selection activeCell="C8" sqref="C8"/>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36C276-AAA2-A74B-8FD8-936D641BB4F1}">
  <dimension ref="A1:H47"/>
  <sheetViews>
    <sheetView zoomScale="117" workbookViewId="0">
      <selection activeCell="C9" sqref="C9:C16"/>
    </sheetView>
  </sheetViews>
  <sheetFormatPr baseColWidth="10" defaultColWidth="10.6640625" defaultRowHeight="16" x14ac:dyDescent="0.2"/>
  <sheetData>
    <row r="1" spans="1:8" ht="26" x14ac:dyDescent="0.3">
      <c r="B1" s="7" t="s">
        <v>25</v>
      </c>
    </row>
    <row r="4" spans="1:8" x14ac:dyDescent="0.2">
      <c r="B4" s="2" t="s">
        <v>4</v>
      </c>
      <c r="C4" s="2" t="s">
        <v>5</v>
      </c>
      <c r="D4" s="2" t="s">
        <v>6</v>
      </c>
      <c r="E4" s="2" t="s">
        <v>7</v>
      </c>
      <c r="F4" s="2" t="s">
        <v>10</v>
      </c>
      <c r="G4" s="2" t="s">
        <v>8</v>
      </c>
      <c r="H4" s="2" t="s">
        <v>9</v>
      </c>
    </row>
    <row r="5" spans="1:8" x14ac:dyDescent="0.2">
      <c r="A5" s="8">
        <v>0.16666666666666666</v>
      </c>
    </row>
    <row r="6" spans="1:8" x14ac:dyDescent="0.2">
      <c r="A6" s="8">
        <v>0.1875</v>
      </c>
    </row>
    <row r="7" spans="1:8" x14ac:dyDescent="0.2">
      <c r="A7" s="8">
        <v>0.20833333333333301</v>
      </c>
    </row>
    <row r="8" spans="1:8" x14ac:dyDescent="0.2">
      <c r="A8" s="8">
        <v>0.22916666666666699</v>
      </c>
    </row>
    <row r="9" spans="1:8" x14ac:dyDescent="0.2">
      <c r="A9" s="8">
        <v>0.25</v>
      </c>
    </row>
    <row r="10" spans="1:8" x14ac:dyDescent="0.2">
      <c r="A10" s="8">
        <v>0.27083333333333398</v>
      </c>
    </row>
    <row r="11" spans="1:8" x14ac:dyDescent="0.2">
      <c r="A11" s="8">
        <v>0.29166666666666702</v>
      </c>
    </row>
    <row r="12" spans="1:8" x14ac:dyDescent="0.2">
      <c r="A12" s="8">
        <v>0.3125</v>
      </c>
    </row>
    <row r="13" spans="1:8" x14ac:dyDescent="0.2">
      <c r="A13" s="8">
        <v>0.33333333333333398</v>
      </c>
    </row>
    <row r="14" spans="1:8" x14ac:dyDescent="0.2">
      <c r="A14" s="8">
        <v>0.35416666666666702</v>
      </c>
    </row>
    <row r="15" spans="1:8" x14ac:dyDescent="0.2">
      <c r="A15" s="8">
        <v>0.375</v>
      </c>
    </row>
    <row r="16" spans="1:8" x14ac:dyDescent="0.2">
      <c r="A16" s="8">
        <v>0.39583333333333398</v>
      </c>
    </row>
    <row r="17" spans="1:1" x14ac:dyDescent="0.2">
      <c r="A17" s="8">
        <v>0.41666666666666702</v>
      </c>
    </row>
    <row r="18" spans="1:1" x14ac:dyDescent="0.2">
      <c r="A18" s="8">
        <v>0.4375</v>
      </c>
    </row>
    <row r="19" spans="1:1" x14ac:dyDescent="0.2">
      <c r="A19" s="8">
        <v>0.45833333333333398</v>
      </c>
    </row>
    <row r="20" spans="1:1" x14ac:dyDescent="0.2">
      <c r="A20" s="8">
        <v>0.47916666666666702</v>
      </c>
    </row>
    <row r="21" spans="1:1" x14ac:dyDescent="0.2">
      <c r="A21" s="8">
        <v>0.5</v>
      </c>
    </row>
    <row r="22" spans="1:1" x14ac:dyDescent="0.2">
      <c r="A22" s="8">
        <v>0.52083333333333404</v>
      </c>
    </row>
    <row r="23" spans="1:1" x14ac:dyDescent="0.2">
      <c r="A23" s="8">
        <v>0.54166666666666696</v>
      </c>
    </row>
    <row r="24" spans="1:1" x14ac:dyDescent="0.2">
      <c r="A24" s="8">
        <v>0.5625</v>
      </c>
    </row>
    <row r="25" spans="1:1" x14ac:dyDescent="0.2">
      <c r="A25" s="8">
        <v>0.58333333333333404</v>
      </c>
    </row>
    <row r="26" spans="1:1" x14ac:dyDescent="0.2">
      <c r="A26" s="8">
        <v>0.60416666666666696</v>
      </c>
    </row>
    <row r="27" spans="1:1" x14ac:dyDescent="0.2">
      <c r="A27" s="8">
        <v>0.625000000000001</v>
      </c>
    </row>
    <row r="28" spans="1:1" x14ac:dyDescent="0.2">
      <c r="A28" s="8">
        <v>0.64583333333333404</v>
      </c>
    </row>
    <row r="29" spans="1:1" x14ac:dyDescent="0.2">
      <c r="A29" s="8">
        <v>0.66666666666666696</v>
      </c>
    </row>
    <row r="30" spans="1:1" x14ac:dyDescent="0.2">
      <c r="A30" s="8">
        <v>0.687500000000001</v>
      </c>
    </row>
    <row r="31" spans="1:1" x14ac:dyDescent="0.2">
      <c r="A31" s="8">
        <v>0.70833333333333404</v>
      </c>
    </row>
    <row r="32" spans="1:1" x14ac:dyDescent="0.2">
      <c r="A32" s="8">
        <v>0.72916666666666696</v>
      </c>
    </row>
    <row r="33" spans="1:1" x14ac:dyDescent="0.2">
      <c r="A33" s="8">
        <v>0.750000000000001</v>
      </c>
    </row>
    <row r="34" spans="1:1" x14ac:dyDescent="0.2">
      <c r="A34" s="8">
        <v>0.77083333333333404</v>
      </c>
    </row>
    <row r="35" spans="1:1" x14ac:dyDescent="0.2">
      <c r="A35" s="8">
        <v>0.79166666666666696</v>
      </c>
    </row>
    <row r="36" spans="1:1" x14ac:dyDescent="0.2">
      <c r="A36" s="8">
        <v>0.812500000000001</v>
      </c>
    </row>
    <row r="37" spans="1:1" x14ac:dyDescent="0.2">
      <c r="A37" s="8">
        <v>0.83333333333333404</v>
      </c>
    </row>
    <row r="38" spans="1:1" x14ac:dyDescent="0.2">
      <c r="A38" s="8">
        <v>0.85416666666666696</v>
      </c>
    </row>
    <row r="39" spans="1:1" x14ac:dyDescent="0.2">
      <c r="A39" s="8">
        <v>0.875000000000001</v>
      </c>
    </row>
    <row r="40" spans="1:1" x14ac:dyDescent="0.2">
      <c r="A40" s="8">
        <v>0.89583333333333404</v>
      </c>
    </row>
    <row r="41" spans="1:1" x14ac:dyDescent="0.2">
      <c r="A41" s="8">
        <v>0.91666666666666696</v>
      </c>
    </row>
    <row r="42" spans="1:1" x14ac:dyDescent="0.2">
      <c r="A42" s="8">
        <v>0.937500000000001</v>
      </c>
    </row>
    <row r="43" spans="1:1" x14ac:dyDescent="0.2">
      <c r="A43" s="8">
        <v>0.95833333333333404</v>
      </c>
    </row>
    <row r="44" spans="1:1" x14ac:dyDescent="0.2">
      <c r="A44" s="8">
        <v>0.97916666666666696</v>
      </c>
    </row>
    <row r="45" spans="1:1" x14ac:dyDescent="0.2">
      <c r="A45" s="8">
        <v>1</v>
      </c>
    </row>
    <row r="46" spans="1:1" x14ac:dyDescent="0.2">
      <c r="A46" s="8">
        <v>1.0208333333333299</v>
      </c>
    </row>
    <row r="47" spans="1:1" x14ac:dyDescent="0.2">
      <c r="A47" s="8">
        <v>1.0416666666666701</v>
      </c>
    </row>
  </sheetData>
  <pageMargins left="0.7" right="0.7" top="0.75" bottom="0.75" header="0.3" footer="0.3"/>
  <pageSetup paperSize="9" orientation="portrait" horizontalDpi="4294967293" verticalDpi="4294967293" r:id="rId1"/>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ANLEITUNG</vt:lpstr>
      <vt:lpstr>Semesterplan</vt:lpstr>
      <vt:lpstr>Best-Practices</vt:lpstr>
      <vt:lpstr>COMMITTMENT</vt:lpstr>
      <vt:lpstr>Wochenplan KW 19</vt:lpstr>
      <vt:lpstr>Wochenplan KW 20</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Office-Benutzer</dc:creator>
  <cp:lastModifiedBy>Microsoft Office User</cp:lastModifiedBy>
  <dcterms:created xsi:type="dcterms:W3CDTF">2020-04-19T13:33:28Z</dcterms:created>
  <dcterms:modified xsi:type="dcterms:W3CDTF">2022-10-17T11:00:26Z</dcterms:modified>
</cp:coreProperties>
</file>