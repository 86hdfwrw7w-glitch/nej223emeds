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6"/>
  <workbookPr defaultThemeVersion="166925"/>
  <mc:AlternateContent xmlns:mc="http://schemas.openxmlformats.org/markup-compatibility/2006">
    <mc:Choice Requires="x15">
      <x15ac:absPath xmlns:x15ac="http://schemas.microsoft.com/office/spreadsheetml/2010/11/ac" url="C:\Users\arman\Documents\Studium\4. FS\"/>
    </mc:Choice>
  </mc:AlternateContent>
  <xr:revisionPtr revIDLastSave="0" documentId="13_ncr:1_{8802AF86-CFD2-40D7-A181-AD0221055062}" xr6:coauthVersionLast="36" xr6:coauthVersionMax="36" xr10:uidLastSave="{00000000-0000-0000-0000-000000000000}"/>
  <bookViews>
    <workbookView xWindow="0" yWindow="0" windowWidth="23040" windowHeight="8940" activeTab="1" xr2:uid="{50F29292-BE80-0C47-A0D2-DD086CB3D310}"/>
  </bookViews>
  <sheets>
    <sheet name="ANLEITUNG" sheetId="10" r:id="rId1"/>
    <sheet name="Semesterplan" sheetId="7" r:id="rId2"/>
    <sheet name="Best-Practices" sheetId="2" r:id="rId3"/>
    <sheet name="COMMITTMENT" sheetId="9" r:id="rId4"/>
    <sheet name="Stundenplan" sheetId="8" r:id="rId5"/>
    <sheet name="Wochenplan KW 19" sheetId="3" r:id="rId6"/>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U1" i="7" l="1"/>
  <c r="N4" i="7"/>
  <c r="J1" i="7"/>
  <c r="L1" i="7"/>
  <c r="I24" i="7"/>
  <c r="K24" i="7" a="1"/>
  <c r="K24" i="7" s="1"/>
  <c r="J24" i="7" a="1"/>
  <c r="J24" i="7" s="1"/>
  <c r="K21" i="7" a="1"/>
  <c r="K21" i="7" s="1"/>
  <c r="K22" i="7" a="1"/>
  <c r="K22" i="7" s="1"/>
  <c r="J21" i="7" a="1"/>
  <c r="J21" i="7" s="1"/>
  <c r="J22" i="7" a="1"/>
  <c r="J22" i="7" s="1"/>
  <c r="I21" i="7"/>
  <c r="I22" i="7"/>
  <c r="I20" i="7"/>
  <c r="J20" i="7" a="1"/>
  <c r="J20" i="7" s="1"/>
  <c r="K20" i="7" a="1"/>
  <c r="K20" i="7" s="1"/>
  <c r="Q1" i="7" l="1"/>
  <c r="O1" i="7"/>
  <c r="K41" i="7" a="1"/>
  <c r="K41" i="7" s="1"/>
  <c r="J41" i="7" a="1"/>
  <c r="J41" i="7" s="1"/>
  <c r="I41" i="7"/>
  <c r="K39" i="7" a="1"/>
  <c r="K39" i="7" s="1"/>
  <c r="K40" i="7" a="1"/>
  <c r="K40" i="7" s="1"/>
  <c r="J39" i="7" a="1"/>
  <c r="J39" i="7" s="1"/>
  <c r="J40" i="7" a="1"/>
  <c r="J40" i="7" s="1"/>
  <c r="I38" i="7"/>
  <c r="I39" i="7"/>
  <c r="I40" i="7"/>
  <c r="I42" i="7"/>
  <c r="J38" i="7" a="1"/>
  <c r="J38" i="7" s="1"/>
  <c r="K38" i="7" a="1"/>
  <c r="K38" i="7" s="1"/>
  <c r="I30" i="7" l="1"/>
  <c r="I31" i="7"/>
  <c r="I32" i="7"/>
  <c r="I33" i="7"/>
  <c r="I34" i="7"/>
  <c r="K30" i="7" l="1" a="1"/>
  <c r="K30" i="7" s="1"/>
  <c r="K31" i="7" a="1"/>
  <c r="K31" i="7" s="1"/>
  <c r="K32" i="7" a="1"/>
  <c r="K32" i="7" s="1"/>
  <c r="K33" i="7" a="1"/>
  <c r="K33" i="7" s="1"/>
  <c r="K34" i="7" a="1"/>
  <c r="K34" i="7" s="1"/>
  <c r="J30" i="7" a="1"/>
  <c r="J30" i="7" s="1"/>
  <c r="J31" i="7" a="1"/>
  <c r="J31" i="7" s="1"/>
  <c r="J32" i="7" a="1"/>
  <c r="J32" i="7" s="1"/>
  <c r="J33" i="7" a="1"/>
  <c r="J33" i="7" s="1"/>
  <c r="J34" i="7" a="1"/>
  <c r="J34" i="7" s="1"/>
  <c r="DV4" i="7"/>
  <c r="DO4" i="7"/>
  <c r="DH4" i="7"/>
  <c r="DA4" i="7"/>
  <c r="CT4" i="7"/>
  <c r="I29" i="7" l="1"/>
  <c r="J29" i="7" a="1"/>
  <c r="J29" i="7" s="1"/>
  <c r="K29" i="7" a="1"/>
  <c r="K29" i="7" s="1"/>
  <c r="I18" i="7" l="1"/>
  <c r="N17" i="7"/>
  <c r="I6" i="7"/>
  <c r="I5" i="7"/>
  <c r="I7" i="7"/>
  <c r="I8" i="7"/>
  <c r="I9" i="7"/>
  <c r="I10" i="7"/>
  <c r="I11" i="7"/>
  <c r="I12" i="7"/>
  <c r="I13" i="7"/>
  <c r="I14" i="7"/>
  <c r="I4" i="7" l="1"/>
  <c r="K10" i="7" a="1"/>
  <c r="K10" i="7" s="1"/>
  <c r="K11" i="7" a="1"/>
  <c r="K11" i="7" s="1"/>
  <c r="J10" i="7" a="1"/>
  <c r="J10" i="7" s="1"/>
  <c r="K9" i="7" l="1" a="1"/>
  <c r="K9" i="7" s="1"/>
  <c r="K12" i="7" a="1"/>
  <c r="K12" i="7" s="1"/>
  <c r="K13" i="7" a="1"/>
  <c r="K13" i="7" s="1"/>
  <c r="K14" i="7" a="1"/>
  <c r="K14" i="7" s="1"/>
  <c r="J9" i="7" a="1"/>
  <c r="J9" i="7" s="1"/>
  <c r="J11" i="7" a="1"/>
  <c r="J11" i="7" s="1"/>
  <c r="J12" i="7" a="1"/>
  <c r="J12" i="7" s="1"/>
  <c r="J13" i="7" a="1"/>
  <c r="J13" i="7" s="1"/>
  <c r="J14" i="7" a="1"/>
  <c r="J14" i="7" s="1"/>
  <c r="J5" i="7" a="1"/>
  <c r="J5" i="7" s="1"/>
  <c r="J6" i="7" a="1"/>
  <c r="J6" i="7" s="1"/>
  <c r="J7" i="7" a="1"/>
  <c r="J7" i="7" s="1"/>
  <c r="J8" i="7" a="1"/>
  <c r="J8" i="7" s="1"/>
  <c r="CF4" i="7" l="1"/>
  <c r="BY4" i="7"/>
  <c r="BR4" i="7"/>
  <c r="G17" i="7" l="1"/>
  <c r="C11" i="10" l="1"/>
  <c r="CM4" i="7"/>
  <c r="C7" i="10"/>
  <c r="K45" i="7" a="1"/>
  <c r="K45" i="7" s="1"/>
  <c r="J45" i="7" a="1"/>
  <c r="J45" i="7" s="1"/>
  <c r="I45" i="7"/>
  <c r="K44" i="7" a="1"/>
  <c r="K44" i="7" s="1"/>
  <c r="J44" i="7" a="1"/>
  <c r="J44" i="7" s="1"/>
  <c r="I44" i="7"/>
  <c r="K43" i="7" a="1"/>
  <c r="K43" i="7" s="1"/>
  <c r="J43" i="7" a="1"/>
  <c r="J43" i="7" s="1"/>
  <c r="I43" i="7"/>
  <c r="K42" i="7" a="1"/>
  <c r="K42" i="7" s="1"/>
  <c r="J42" i="7" a="1"/>
  <c r="J42" i="7" s="1"/>
  <c r="K37" i="7" a="1"/>
  <c r="K37" i="7" s="1"/>
  <c r="J37" i="7" a="1"/>
  <c r="J37" i="7" s="1"/>
  <c r="I37" i="7"/>
  <c r="AP36" i="7"/>
  <c r="AI36" i="7"/>
  <c r="AB36" i="7"/>
  <c r="U36" i="7"/>
  <c r="N36" i="7"/>
  <c r="G36" i="7"/>
  <c r="K28" i="7" a="1"/>
  <c r="K28" i="7" s="1"/>
  <c r="J28" i="7" a="1"/>
  <c r="J28" i="7" s="1"/>
  <c r="I28" i="7"/>
  <c r="AP27" i="7"/>
  <c r="AI27" i="7"/>
  <c r="AB27" i="7"/>
  <c r="U27" i="7"/>
  <c r="N27" i="7"/>
  <c r="G27" i="7"/>
  <c r="BK4" i="7"/>
  <c r="C12" i="10"/>
  <c r="K25" i="7" a="1"/>
  <c r="K25" i="7" s="1"/>
  <c r="J25" i="7" a="1"/>
  <c r="J25" i="7" s="1"/>
  <c r="K23" i="7" a="1"/>
  <c r="K23" i="7" s="1"/>
  <c r="J23" i="7" a="1"/>
  <c r="J23" i="7" s="1"/>
  <c r="K19" i="7" a="1"/>
  <c r="K19" i="7" s="1"/>
  <c r="J19" i="7" a="1"/>
  <c r="J19" i="7" s="1"/>
  <c r="K18" i="7" a="1"/>
  <c r="K18" i="7" s="1"/>
  <c r="J18" i="7" a="1"/>
  <c r="J18" i="7" s="1"/>
  <c r="K8" i="7" a="1"/>
  <c r="K8" i="7" s="1"/>
  <c r="K7" i="7" a="1"/>
  <c r="K7" i="7" s="1"/>
  <c r="K6" i="7" a="1"/>
  <c r="K6" i="7" s="1"/>
  <c r="K5" i="7" a="1"/>
  <c r="K5" i="7" s="1"/>
  <c r="BD4" i="7"/>
  <c r="AW4" i="7"/>
  <c r="AP4" i="7"/>
  <c r="AI4" i="7"/>
  <c r="AB4" i="7"/>
  <c r="U4" i="7"/>
  <c r="G4" i="7"/>
  <c r="AP17" i="7"/>
  <c r="AI17" i="7"/>
  <c r="AB17" i="7"/>
  <c r="U17" i="7"/>
  <c r="I25" i="7"/>
  <c r="I23" i="7"/>
  <c r="I19" i="7"/>
  <c r="I17" i="7" l="1"/>
  <c r="I36" i="7"/>
  <c r="I27" i="7"/>
  <c r="J36" i="7"/>
  <c r="K36" i="7"/>
  <c r="K27" i="7"/>
  <c r="J27" i="7"/>
  <c r="J17" i="7"/>
  <c r="K17" i="7"/>
  <c r="K4" i="7"/>
  <c r="J4" i="7" l="1"/>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<sst xmlns="http://schemas.openxmlformats.org/spreadsheetml/2006/main" count="412" uniqueCount="162">
  <si>
    <t>Semesterplan</t>
  </si>
  <si>
    <t>Fach</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</si>
  <si>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</si>
  <si>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</si>
  <si>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</si>
  <si>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</si>
  <si>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</si>
  <si>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</si>
  <si>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</si>
  <si>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</si>
  <si>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</si>
  <si>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</si>
  <si>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</si>
  <si>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</si>
  <si>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</si>
  <si>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</si>
  <si>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</si>
  <si>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</si>
  <si>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</si>
  <si>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</si>
  <si>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</si>
  <si>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</si>
  <si>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</si>
  <si>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</si>
  <si>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</si>
  <si>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</si>
  <si>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</si>
  <si>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</si>
  <si>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</si>
  <si>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</si>
  <si>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ECTS</t>
  </si>
  <si>
    <t>Anteil an Klausur</t>
  </si>
  <si>
    <t>Ziel</t>
  </si>
  <si>
    <t>KW 19</t>
  </si>
  <si>
    <t>KW 20</t>
  </si>
  <si>
    <t>KW 21</t>
  </si>
  <si>
    <t>KW 22</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</si>
  <si>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</si>
  <si>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</si>
  <si>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</si>
  <si>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</si>
  <si>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KW 23</t>
  </si>
  <si>
    <t>KW 24</t>
  </si>
  <si>
    <t>KW 25</t>
  </si>
  <si>
    <t>Lerneinheiten durchgezogen</t>
  </si>
  <si>
    <t>Tagesplan erstellt</t>
  </si>
  <si>
    <t>Konzentrationslevel</t>
  </si>
  <si>
    <t>Datum</t>
  </si>
  <si>
    <t>Kcal</t>
  </si>
  <si>
    <t>Fette</t>
  </si>
  <si>
    <t>Eiweiss</t>
  </si>
  <si>
    <t>Kohlenhydrate</t>
  </si>
  <si>
    <t>Gewicht</t>
  </si>
  <si>
    <t>Sonstiges Gefühl</t>
  </si>
  <si>
    <t>Optimierungen</t>
  </si>
  <si>
    <t>Schritt 1:</t>
  </si>
  <si>
    <t>Klausurdatum hinterlegen</t>
  </si>
  <si>
    <t xml:space="preserve">Schritt 3: </t>
  </si>
  <si>
    <t>Alle Fächer des Semesters hinterlegen inkl. Kapitel (zur Not Platzhalter)</t>
  </si>
  <si>
    <t>Reihenfolge</t>
  </si>
  <si>
    <t>Task</t>
  </si>
  <si>
    <t>Zahl</t>
  </si>
  <si>
    <t>Formel</t>
  </si>
  <si>
    <t>Kommentare</t>
  </si>
  <si>
    <t>Beachte, dass du vor Klausuren nicht so viele / keine Levelups machen kannst, sondern nur Wiederholen solltest. Bei normalen Semesterzeiten solltest du ca. die letzten 20% des Semesters nur mit Wiederholungen beschäftigt sein. Bei Klausuren, die durch das Semester durchwegverteilt sind, solltest du bedenken, dass du in den 1-2 Wochen vor der jeweiligen Klausur für die anderen Fächer verhältnismäßig weniger lernen kannst.</t>
  </si>
  <si>
    <t xml:space="preserve">Schritt 4: </t>
  </si>
  <si>
    <t>Schritt 2:</t>
  </si>
  <si>
    <t>Gesamte Kapitelanzahl hinterlegen</t>
  </si>
  <si>
    <t>Anzahl verfügbarer "Lernwochen" ausrechnen und hinterlegen</t>
  </si>
  <si>
    <t xml:space="preserve">Schritt 5: </t>
  </si>
  <si>
    <t xml:space="preserve">Schritt 6: </t>
  </si>
  <si>
    <t>Falls du bei Kenntnisstand 0 in jedem Fach startest (also am Anfang des Semesters die Semesterplanung machst), rechnest du einfach Gesamt-Kapitelanzahl*3. Falls du während des Semesters startest und in einigen Kapiteln schon Fortschritte gemacht hast, wirst du dir erst über deinen aktuellen Status-Quo in jedem Kapitel klar und berechnest dann die insgesamt fehlenden Levelups (Stufen: 0/50/80/100%).</t>
  </si>
  <si>
    <t>Anzahl an Gesamt-Levelups ausrechnen und hinterlegen</t>
  </si>
  <si>
    <t>Anzahl an Levelups pro Woche ausrechnen</t>
  </si>
  <si>
    <t xml:space="preserve">Schritt 7: </t>
  </si>
  <si>
    <t>Levelups von hinten nach vorne verteilen</t>
  </si>
  <si>
    <t>Zahl hier hinterlegen</t>
  </si>
  <si>
    <t>Im Trackingsheet hinterlegen</t>
  </si>
  <si>
    <t>Gesamte benötigte Wochen hinterlegen</t>
  </si>
  <si>
    <t xml:space="preserve">Schritt 8: </t>
  </si>
  <si>
    <t>Falls du es schätzen musst, trage einfach eine Schätzung ein. Normalerweise sind die Klausuren 1-3 Wochen nach Vorlesungsschluss.</t>
  </si>
  <si>
    <t>Um eine neue Woche zu hinterlegen, markierst du einfach die Leerspalte neben der letzten Woche bis zur letzten Spalte der Woche, kopierst sie (strg. +C) und fügst sie in die leerzeile hinter der letzten Woche ein.</t>
  </si>
  <si>
    <t>Fange je nach Semesterdauer 1-4 Wochen vor dem Klausurdatum an, dir in jedem Kapitel 100% zu vergeben. Nun gehst du Rückwärts vor und nimmst am besten gleichmäßig/verhältnismäßig pro Woche über alle Fächer verteilt die Levelups weg, sodass du in der Gesamtsumme immer die Levelups hast, die du pro Woche zur Verfügung hast. Die optimale Verteilung (von Vorne) ist: 1. Hälfte 50% / 2. Hälfte 0% --&gt; 1. Hälfte 80% / 2. Hälfte 50% --&gt; 1. Hälfte 100% / 2. Hälfte 80%</t>
  </si>
  <si>
    <t xml:space="preserve">Schritt 9: </t>
  </si>
  <si>
    <t>Wochenplan erstellen und eine Woche mit Vollgas jedes Kapitel lernen</t>
  </si>
  <si>
    <t>Nur bis zu dem Zeitpunkt lernen, wo du in dem jeweiligen Kapitel den Kenntnisstand erreicht hast. Den dann eintragen und mit dem nächsten Kapitel weitermachen.</t>
  </si>
  <si>
    <t xml:space="preserve">Schritt 10: </t>
  </si>
  <si>
    <t>Ende der Woche: Lernzeiten pro Kapitel eintragen</t>
  </si>
  <si>
    <t>Ende der Woche: Kenntnisstand pro Kapitel eintragen</t>
  </si>
  <si>
    <t>Falls zu viel Zeit oder nicht genug Progress: In den Call kommen</t>
  </si>
  <si>
    <t xml:space="preserve">Schritt 11: </t>
  </si>
  <si>
    <t xml:space="preserve">Schritt 12: </t>
  </si>
  <si>
    <t>Um mehr Fächer zu hinterlegen, markiere die erste Zeile eines bestehenden Fachs bis zur Leerzeile unter dem letzten Kapitel, kopiere alle markierten Zeilen (Strg+C) und füge sie unter die Leerzeile unter dem untersten Fach ein (die Leerzeile sollte bestehen bleiben). Um neue Kapitel in einem Fach zu hinterlegen, gehe einfach auf "Zeile einfügen" und kopiere dann ein bestehendes Kapitel komplett hinein, indem du die gesamte Zeile markierst und einfügst. Um weniger Kapitel für ein Fach zu haben, markiere einfach die Kapitel-Zeilen, die du entfernen willst, und gehe auf "Löschen".</t>
  </si>
  <si>
    <t>KW 26</t>
  </si>
  <si>
    <t>Unternehmenssteuern I</t>
  </si>
  <si>
    <t>Rechnungslegung der Unternehmung</t>
  </si>
  <si>
    <t>Makro II</t>
  </si>
  <si>
    <t>KW 15</t>
  </si>
  <si>
    <t>KW 16</t>
  </si>
  <si>
    <t>KW 17</t>
  </si>
  <si>
    <t>KW 18</t>
  </si>
  <si>
    <t>KW 28</t>
  </si>
  <si>
    <t>4. Unterschiedliche Wechselkursregime</t>
  </si>
  <si>
    <t>5. Entscheidungsfreiheit der Politiker beschrnäken?</t>
  </si>
  <si>
    <t>6. Fiskalpolitik - Eine Zusammenfassung</t>
  </si>
  <si>
    <t>7. Geldpolitik – Eine Zusammenfassung</t>
  </si>
  <si>
    <t xml:space="preserve">8. Wachstum: Stilisierte Fakten </t>
  </si>
  <si>
    <t>9. Produktion, Sparen und Kapital</t>
  </si>
  <si>
    <t>10. Wachstum und technischer Fortschritt</t>
  </si>
  <si>
    <t>1. Offene Güter- und Finanzmärkte</t>
  </si>
  <si>
    <t>2. Der Gutermarkt in einer offenen Volkswirtschaft</t>
  </si>
  <si>
    <t>3. Produktion, Zinssatz und Wechselkurs</t>
  </si>
  <si>
    <t>V. Steuern I</t>
  </si>
  <si>
    <t>V. RedUN</t>
  </si>
  <si>
    <t>1. IFRS</t>
  </si>
  <si>
    <t>2. Institutional Background</t>
  </si>
  <si>
    <t>3. Conceptual Framework</t>
  </si>
  <si>
    <t>4. Non current-assets</t>
  </si>
  <si>
    <t>5. Current assets</t>
  </si>
  <si>
    <t>6. Crypto assets</t>
  </si>
  <si>
    <t>7. ESG</t>
  </si>
  <si>
    <t>Unternehmensführung</t>
  </si>
  <si>
    <t>V. UFO</t>
  </si>
  <si>
    <t>KW 27</t>
  </si>
  <si>
    <t>KW 29</t>
  </si>
  <si>
    <t>KW 30</t>
  </si>
  <si>
    <t>KW 31</t>
  </si>
  <si>
    <t>L=(3*k)/w</t>
  </si>
  <si>
    <t>Klausurfrüh=100%</t>
  </si>
  <si>
    <t>Aufstehen</t>
  </si>
  <si>
    <t>Morgenroutine</t>
  </si>
  <si>
    <t>Uni</t>
  </si>
  <si>
    <t>UST</t>
  </si>
  <si>
    <t>Reldde</t>
  </si>
  <si>
    <t>Makro</t>
  </si>
  <si>
    <t>Steuern</t>
  </si>
  <si>
    <t>RedUN</t>
  </si>
  <si>
    <t>UFO</t>
  </si>
  <si>
    <t>Makro II TUT</t>
  </si>
  <si>
    <t>Steuern I</t>
  </si>
  <si>
    <t>Klausurfrüh=100</t>
  </si>
  <si>
    <t>1) Überblick</t>
  </si>
  <si>
    <t>2) 2.1 - 2.4 Besteuerung natürlicher Personen durch die Einkommensteuer</t>
  </si>
  <si>
    <t>Makro:</t>
  </si>
  <si>
    <t xml:space="preserve">Unftüh: </t>
  </si>
  <si>
    <t xml:space="preserve">Rldu: </t>
  </si>
  <si>
    <t xml:space="preserve">Ust: </t>
  </si>
  <si>
    <t>3) 2.5 - 2.8 Besteuerung natürlicher Personen durch die Einkommensteuer</t>
  </si>
  <si>
    <t>4) 3.1 - 3.3 Gewinnermittlung im Rahmen der Ertragsteuerbilanz</t>
  </si>
  <si>
    <t>5) 3.4-3.6 Gewinnermittlung im Rahmen der Ertragsteuerbilanz</t>
  </si>
  <si>
    <t>6) Besteuerung des Grundbesitzes durch die Grundsteuer</t>
  </si>
  <si>
    <t>7) Besteuerung juristischer Personen durch die Körperschaftsteuer</t>
  </si>
  <si>
    <t>8) Besteuerung gewerblicher Erträge durch die Gewerbesteuer</t>
  </si>
  <si>
    <t>9) Umsatzsteuer</t>
  </si>
  <si>
    <t>1) Unternhemensverfassung</t>
  </si>
  <si>
    <t>2) Grundlagen strategischer Management</t>
  </si>
  <si>
    <t>3) 3.1-3.2 Ebnen Strategieformulierung</t>
  </si>
  <si>
    <t>4) 3.3-3.4 Ebnen Strategieformulierung</t>
  </si>
  <si>
    <t>5) Strategie implementierung</t>
  </si>
  <si>
    <t>6) Grundlagen Organisationsgestaltung</t>
  </si>
  <si>
    <t>7) 6.1-6.2 Stellhebel der Organisationsgestaltung</t>
  </si>
  <si>
    <t>8) 6.3-6.4 Stellhebel der Organisationsgestaltung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</si>
</sst>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s>
  <fills count="12">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rgb="FFFFFF00"/>
        <bgColor indexed="64"/>
      </patternFill>
    </fill>
    <fill>
      <patternFill patternType="solid">
        <fgColor rgb="FF00FF29"/>
        <bgColor indexed="64"/>
      </patternFill>
    </fill>
    <fill>
      <patternFill patternType="solid">
        <fgColor theme="4" tint="0.79998168889431442"/>
        <bgColor indexed="64"/>
      </patternFill>
    </fill>
    <fill>
      <patternFill patternType="solid">
        <fgColor rgb="FFFF0000"/>
        <bgColor indexed="64"/>
      </patternFill>
    </fill>
    <fill>
      <patternFill patternType="solid">
        <fgColor rgb="FF00B0F0"/>
        <bgColor indexed="64"/>
      </patternFill>
    </fill>
    <fill>
      <patternFill patternType="solid">
        <fgColor rgb="FFFFC000"/>
        <bgColor indexed="64"/>
      </patternFill>
    </fill>
    <fill>
      <patternFill patternType="solid">
        <fgColor rgb="FF0070C0"/>
        <bgColor indexed="64"/>
      </patternFill>
    </fill>
    <fill>
      <patternFill patternType="solid">
        <fgColor theme="5"/>
        <bgColor indexed="64"/>
      </patternFill>
    </fill>
  </fills>
  <borders count="1">
    <border>
      <left/>
      <right/>
      <top/>
      <bottom/>
      <diagonal/>
    </border>
  </borders>
  <cellStyleXfs count="1">
    <xf numFmtId="0" fontId="0" fillId="0" borderId="0"/>
  </cellStyleXfs>
  <cellXfs count="44">
    <xf numFmtId="0" fontId="0" fillId="0" borderId="0" xfId="0"/>
    <xf numFmtId="0" fontId="0" fillId="0" borderId="0" xfId="0" applyAlignment="1">
      <alignment wrapText="1"/>
    </xf>
    <xf numFmtId="0" fontId="0" fillId="0" borderId="0" xfId="0" applyAlignment="1"/>
    <xf numFmtId="0" fontId="1" fillId="0" borderId="0" xfId="0" applyFont="1"/>
    <xf numFmtId="0" fontId="2" fillId="0" borderId="0" xfId="0" applyFont="1"/>
    <xf numFmtId="0" fontId="4" fillId="0" borderId="0" xfId="0" applyFont="1"/>
    <xf numFmtId="0" fontId="0" fillId="0" borderId="0" xfId="0" applyFill="1"/>
    <xf numFmtId="20" fontId="0" fillId="0" borderId="0" xfId="0" applyNumberFormat="1" applyFont="1"/>
    <xf numFmtId="0" fontId="0" fillId="0" borderId="0" xfId="0" applyAlignment="1">
      <alignment horizontal="center"/>
    </xf>
    <xf numFmtId="14" fontId="0" fillId="0" borderId="0" xfId="0" applyNumberFormat="1" applyAlignment="1">
      <alignment horizontal="center"/>
    </xf>
    <xf numFmtId="0" fontId="0" fillId="0" borderId="0" xfId="0" applyAlignment="1">
      <alignment horizontal="center" wrapText="1"/>
    </xf>
    <xf numFmtId="9" fontId="0" fillId="0" borderId="0" xfId="0" applyNumberFormat="1" applyFill="1" applyAlignment="1">
      <alignment horizontal="center"/>
    </xf>
    <xf numFmtId="0" fontId="0" fillId="4" borderId="0" xfId="0" applyFill="1"/>
    <xf numFmtId="0" fontId="0" fillId="5" borderId="0" xfId="0" applyFill="1"/>
    <xf numFmtId="0" fontId="0" fillId="6" borderId="0" xfId="0" applyFill="1"/>
    <xf numFmtId="0" fontId="0" fillId="0" borderId="0" xfId="0" applyBorder="1"/>
    <xf numFmtId="0" fontId="0" fillId="0" borderId="0" xfId="0" applyFill="1" applyBorder="1"/>
    <xf numFmtId="0" fontId="3" fillId="0" borderId="0" xfId="0" applyFont="1" applyFill="1" applyBorder="1"/>
    <xf numFmtId="0" fontId="1" fillId="0" borderId="0" xfId="0" applyFont="1" applyFill="1" applyBorder="1"/>
    <xf numFmtId="0" fontId="1" fillId="0" borderId="0" xfId="0" applyFont="1" applyFill="1" applyBorder="1" applyAlignment="1">
      <alignment horizontal="center"/>
    </xf>
    <xf numFmtId="14" fontId="0" fillId="0" borderId="0" xfId="0" applyNumberFormat="1" applyFill="1" applyBorder="1"/>
    <xf numFmtId="0" fontId="0" fillId="0" borderId="0" xfId="0" applyFill="1" applyBorder="1" applyAlignment="1">
      <alignment horizontal="center"/>
    </xf>
    <xf numFmtId="0" fontId="0" fillId="3" borderId="0" xfId="0" applyFill="1" applyBorder="1"/>
    <xf numFmtId="0" fontId="1" fillId="2" borderId="0" xfId="0" applyFont="1" applyFill="1" applyBorder="1" applyAlignment="1"/>
    <xf numFmtId="0" fontId="1" fillId="2" borderId="0" xfId="0" applyFont="1" applyFill="1" applyBorder="1"/>
    <xf numFmtId="0" fontId="1" fillId="2" borderId="0" xfId="0" applyFont="1" applyFill="1" applyBorder="1" applyAlignment="1">
      <alignment horizontal="center"/>
    </xf>
    <xf numFmtId="9" fontId="0" fillId="0" borderId="0" xfId="0" applyNumberFormat="1" applyBorder="1"/>
    <xf numFmtId="1" fontId="0" fillId="0" borderId="0" xfId="0" applyNumberFormat="1" applyBorder="1" applyAlignment="1">
      <alignment horizontal="center"/>
    </xf>
    <xf numFmtId="9" fontId="0" fillId="0" borderId="0" xfId="0" applyNumberFormat="1" applyBorder="1" applyAlignment="1">
      <alignment horizontal="center"/>
    </xf>
    <xf numFmtId="0" fontId="0" fillId="0" borderId="0" xfId="0" applyBorder="1" applyAlignment="1">
      <alignment horizontal="center"/>
    </xf>
    <xf numFmtId="14" fontId="0" fillId="0" borderId="0" xfId="0" applyNumberFormat="1" applyBorder="1"/>
    <xf numFmtId="0" fontId="0" fillId="0" borderId="0" xfId="0" applyFill="1" applyBorder="1" applyAlignment="1"/>
    <xf numFmtId="20" fontId="0" fillId="0" borderId="0" xfId="0" applyNumberFormat="1" applyFill="1" applyBorder="1"/>
    <xf numFmtId="0" fontId="0" fillId="7" borderId="0" xfId="0" applyFill="1"/>
    <xf numFmtId="0" fontId="0" fillId="8" borderId="0" xfId="0" applyFill="1"/>
    <xf numFmtId="0" fontId="0" fillId="9" borderId="0" xfId="0" applyFill="1"/>
    <xf numFmtId="0" fontId="0" fillId="10" borderId="0" xfId="0" applyFill="1"/>
    <xf numFmtId="9" fontId="0" fillId="0" borderId="0" xfId="0" applyNumberFormat="1" applyFill="1" applyBorder="1"/>
    <xf numFmtId="0" fontId="0" fillId="11" borderId="0" xfId="0" applyFill="1"/>
    <xf numFmtId="164" fontId="0" fillId="0" borderId="0" xfId="0" applyNumberFormat="1" applyBorder="1" applyAlignment="1">
      <alignment horizontal="center"/>
    </xf>
    <xf numFmtId="0" fontId="1" fillId="2" borderId="0" xfId="0" applyFont="1" applyFill="1" applyBorder="1" applyAlignment="1">
      <alignment horizontal="center"/>
    </xf>
    <xf numFmtId="1" fontId="0" fillId="0" borderId="0" xfId="0" applyNumberFormat="1" applyBorder="1"/>
    <xf numFmtId="2" fontId="0" fillId="0" borderId="0" xfId="0" applyNumberFormat="1" applyBorder="1"/>
    <xf numFmtId="164" fontId="0" fillId="3" borderId="0" xfId="0" applyNumberFormat="1" applyFill="1" applyBorder="1"/>
  </cellXfs>
  <cellStyles count="1">
    <cellStyle name="Standard" xfId="0" builtinId="0"/>
  </cellStyles>
  <dxfs count="739">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5" formatCode="dd/mm/yy"/>
      <alignment horizontal="center" vertical="bottom" textRotation="0" wrapText="0" indent="0" justifyLastLine="0" shrinkToFit="0" readingOrder="0"/>
    </dxf>
    <dxf>
      <alignment horizontal="general" vertical="bottom" textRotation="0" wrapText="1" indent="0" justifyLastLine="0" shrinkToFit="0" readingOrder="0"/>
    </dxf>
  </dxfs>
  <tableStyles count="0" defaultTableStyle="TableStyleMedium2" defaultPivotStyle="PivotStyleLight16"/>
  <colors>
    <mruColors>
      <color rgb="FF00FF29"/>
      <color rgb="FF56FF5E"/>
      <color rgb="FFC4FF87"/>
      <color rgb="FFFFDE7F"/>
      <color rgb="FFFF755A"/>
      <color rgb="FFFDFF05"/>
      <color rgb="FF10FF07"/>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6" totalsRowShown="0" headerRowDxfId="738">
  <autoFilter ref="A1:K46" xr:uid="{6E266E34-2786-2747-BCE7-51B74867A564}"/>
  <tableColumns count="11">
    <tableColumn id="1" xr3:uid="{95FD92F7-3DC8-704D-A103-A7EDDAB255AB}" name="Datum" dataDxfId="737"/>
    <tableColumn id="2" xr3:uid="{F464D510-8166-E740-A343-FB84BDEF877F}" name="Lerneinheiten durchgezogen" dataDxfId="736"/>
    <tableColumn id="3" xr3:uid="{75F52B08-1A00-0848-BBE6-1EDF7B31B1AD}" name="Tagesplan erstellt" dataDxfId="735"/>
    <tableColumn id="4" xr3:uid="{E6B18D89-E799-AD48-9DAA-37AEE1D29011}" name="Konzentrationslevel" dataDxfId="734"/>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EC7C4-9D9A-3748-96ED-5A7E2D9A7464}">
  <dimension ref="A2:D17"/>
  <sheetViews>
    <sheetView workbookViewId="0">
      <selection activeCell="B17" sqref="B17"/>
    </sheetView>
  </sheetViews>
  <sheetFormatPr baseColWidth="10" defaultRowHeight="15.6"/>
  <cols>
    <col min="1" max="1" width="11.796875" customWidth="1"/>
    <col min="2" max="2" width="62.69921875" customWidth="1"/>
  </cols>
  <sheetData>
    <row r="2" spans="1:4">
      <c r="C2" s="14" t="s">
        <v>77</v>
      </c>
    </row>
    <row r="3" spans="1:4">
      <c r="C3" s="13" t="s">
        <v>62</v>
      </c>
    </row>
    <row r="4" spans="1:4">
      <c r="C4" s="12" t="s">
        <v>76</v>
      </c>
    </row>
    <row r="5" spans="1:4">
      <c r="A5" s="3" t="s">
        <v>59</v>
      </c>
      <c r="B5" s="3" t="s">
        <v>60</v>
      </c>
      <c r="C5" s="3" t="s">
        <v>61</v>
      </c>
      <c r="D5" s="3" t="s">
        <v>63</v>
      </c>
    </row>
    <row r="6" spans="1:4">
      <c r="A6" t="s">
        <v>55</v>
      </c>
      <c r="B6" s="14" t="s">
        <v>58</v>
      </c>
      <c r="D6" t="s">
        <v>92</v>
      </c>
    </row>
    <row r="7" spans="1:4">
      <c r="A7" t="s">
        <v>66</v>
      </c>
      <c r="B7" t="s">
        <v>67</v>
      </c>
      <c r="C7" s="12">
        <f>6+8+11+7+10</f>
        <v>42</v>
      </c>
    </row>
    <row r="8" spans="1:4">
      <c r="A8" t="s">
        <v>57</v>
      </c>
      <c r="B8" s="14" t="s">
        <v>56</v>
      </c>
      <c r="C8" s="6"/>
      <c r="D8" t="s">
        <v>80</v>
      </c>
    </row>
    <row r="9" spans="1:4">
      <c r="A9" t="s">
        <v>65</v>
      </c>
      <c r="B9" s="14" t="s">
        <v>78</v>
      </c>
      <c r="D9" t="s">
        <v>81</v>
      </c>
    </row>
    <row r="10" spans="1:4">
      <c r="A10" t="s">
        <v>69</v>
      </c>
      <c r="B10" t="s">
        <v>68</v>
      </c>
      <c r="C10" s="12">
        <v>10.5</v>
      </c>
      <c r="D10" t="s">
        <v>64</v>
      </c>
    </row>
    <row r="11" spans="1:4">
      <c r="A11" t="s">
        <v>70</v>
      </c>
      <c r="B11" t="s">
        <v>72</v>
      </c>
      <c r="C11" s="12">
        <f>42*3</f>
        <v>126</v>
      </c>
      <c r="D11" t="s">
        <v>71</v>
      </c>
    </row>
    <row r="12" spans="1:4">
      <c r="A12" t="s">
        <v>74</v>
      </c>
      <c r="B12" t="s">
        <v>73</v>
      </c>
      <c r="C12" s="13">
        <f>C11/C10</f>
        <v>12</v>
      </c>
    </row>
    <row r="13" spans="1:4">
      <c r="A13" t="s">
        <v>79</v>
      </c>
      <c r="B13" t="s">
        <v>75</v>
      </c>
      <c r="D13" t="s">
        <v>82</v>
      </c>
    </row>
    <row r="14" spans="1:4">
      <c r="A14" t="s">
        <v>83</v>
      </c>
      <c r="B14" t="s">
        <v>84</v>
      </c>
      <c r="D14" t="s">
        <v>85</v>
      </c>
    </row>
    <row r="15" spans="1:4">
      <c r="A15" t="s">
        <v>86</v>
      </c>
      <c r="B15" s="14" t="s">
        <v>87</v>
      </c>
    </row>
    <row r="16" spans="1:4">
      <c r="A16" t="s">
        <v>90</v>
      </c>
      <c r="B16" s="14" t="s">
        <v>88</v>
      </c>
    </row>
    <row r="17" spans="1:2">
      <c r="A17" t="s">
        <v>91</v>
      </c>
      <c r="B17" t="s">
        <v>89</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A1:EA1048570"/>
  <sheetViews>
    <sheetView tabSelected="1" zoomScale="90" zoomScaleNormal="90" workbookViewId="0">
      <pane xSplit="7" topLeftCell="H1" activePane="topRight" state="frozen"/>
      <selection activeCell="A2" sqref="A2"/>
      <selection pane="topRight" activeCell="Z7" sqref="Z7"/>
    </sheetView>
  </sheetViews>
  <sheetFormatPr baseColWidth="10" defaultColWidth="8.796875" defaultRowHeight="15.6" outlineLevelRow="1"/>
  <cols>
    <col min="1" max="2" width="8.796875" style="15"/>
    <col min="3" max="3" width="9.5" style="15" bestFit="1" customWidth="1"/>
    <col min="4" max="4" width="13" style="15" bestFit="1" customWidth="1"/>
    <col min="5" max="5" width="4.796875" style="15" bestFit="1" customWidth="1"/>
    <col min="6" max="6" width="41.19921875" style="15" bestFit="1" customWidth="1"/>
    <col min="7" max="7" width="15.5" style="15" bestFit="1" customWidth="1"/>
    <col min="8" max="8" width="2.5" style="15" customWidth="1"/>
    <col min="9" max="9" width="8.796875" style="15"/>
    <col min="10" max="10" width="12.5" style="15" bestFit="1" customWidth="1"/>
    <col min="11" max="11" width="14.796875" style="15" bestFit="1" customWidth="1"/>
    <col min="12" max="12" width="4.796875" style="15" customWidth="1"/>
    <col min="13" max="13" width="2.5" style="15" customWidth="1"/>
    <col min="14" max="14" width="8.796875" style="15"/>
    <col min="15" max="15" width="12.5" style="15" bestFit="1" customWidth="1"/>
    <col min="16" max="16" width="6.296875" style="15" customWidth="1"/>
    <col min="17" max="17" width="14.796875" style="15" bestFit="1" customWidth="1"/>
    <col min="18" max="18" width="6" style="15" customWidth="1"/>
    <col min="19" max="19" width="12.69921875" style="15" bestFit="1" customWidth="1"/>
    <col min="20" max="20" width="2.5" style="15" customWidth="1"/>
    <col min="21" max="21" width="8.796875" style="15"/>
    <col min="22" max="22" width="12.5" style="15" bestFit="1" customWidth="1"/>
    <col min="23" max="23" width="6.296875" style="15" customWidth="1"/>
    <col min="24" max="24" width="14.796875" style="15" bestFit="1" customWidth="1"/>
    <col min="25" max="25" width="6" style="15" customWidth="1"/>
    <col min="26" max="26" width="12.69921875" style="15" bestFit="1" customWidth="1"/>
    <col min="27" max="27" width="2.5" style="15" customWidth="1"/>
    <col min="28" max="28" width="8.796875" style="15"/>
    <col min="29" max="29" width="12.5" style="15" bestFit="1" customWidth="1"/>
    <col min="30" max="30" width="6.296875" style="15" customWidth="1"/>
    <col min="31" max="31" width="14.796875" style="15" bestFit="1" customWidth="1"/>
    <col min="32" max="32" width="6" style="15" customWidth="1"/>
    <col min="33" max="33" width="12.69921875" style="15" bestFit="1" customWidth="1"/>
    <col min="34" max="34" width="2.5" style="15" customWidth="1"/>
    <col min="35" max="35" width="8.796875" style="15"/>
    <col min="36" max="36" width="12.5" style="15" bestFit="1" customWidth="1"/>
    <col min="37" max="37" width="6.296875" style="15" customWidth="1"/>
    <col min="38" max="38" width="14.796875" style="15" bestFit="1" customWidth="1"/>
    <col min="39" max="39" width="6" style="15" customWidth="1"/>
    <col min="40" max="40" width="12.69921875" style="15" bestFit="1" customWidth="1"/>
    <col min="41" max="41" width="2.5" style="15" customWidth="1"/>
    <col min="42" max="42" width="8.796875" style="15"/>
    <col min="43" max="43" width="12.5" style="15" bestFit="1" customWidth="1"/>
    <col min="44" max="44" width="6.296875" style="15" customWidth="1"/>
    <col min="45" max="45" width="14.796875" style="15" bestFit="1" customWidth="1"/>
    <col min="46" max="46" width="6" style="15" customWidth="1"/>
    <col min="47" max="47" width="12.69921875" style="15" bestFit="1" customWidth="1"/>
    <col min="48" max="48" width="2.5" style="15" customWidth="1"/>
    <col min="49" max="49" width="8.796875" style="15"/>
    <col min="50" max="50" width="12.5" style="15" bestFit="1" customWidth="1"/>
    <col min="51" max="51" width="6.296875" style="15" customWidth="1"/>
    <col min="52" max="52" width="14.796875" style="15" bestFit="1" customWidth="1"/>
    <col min="53" max="53" width="6" style="15" customWidth="1"/>
    <col min="54" max="54" width="12.69921875" style="15" bestFit="1" customWidth="1"/>
    <col min="55" max="55" width="2.5" style="15" customWidth="1"/>
    <col min="56" max="56" width="8.796875" style="15"/>
    <col min="57" max="57" width="12.5" style="15" bestFit="1" customWidth="1"/>
    <col min="58" max="58" width="6.296875" style="15" customWidth="1"/>
    <col min="59" max="59" width="14.796875" style="15" bestFit="1" customWidth="1"/>
    <col min="60" max="60" width="6" style="15" customWidth="1"/>
    <col min="61" max="61" width="12.69921875" style="15" bestFit="1" customWidth="1"/>
    <col min="62" max="62" width="2.5" style="15" customWidth="1"/>
    <col min="63" max="63" width="8.796875" style="15"/>
    <col min="64" max="64" width="12.5" style="15" bestFit="1" customWidth="1"/>
    <col min="65" max="65" width="6.296875" style="15" customWidth="1"/>
    <col min="66" max="66" width="14.796875" style="15" bestFit="1" customWidth="1"/>
    <col min="67" max="67" width="6" style="15" customWidth="1"/>
    <col min="68" max="68" width="12.69921875" style="15" bestFit="1" customWidth="1"/>
    <col min="69" max="69" width="2.5" style="15" customWidth="1"/>
    <col min="70" max="70" width="8.796875" style="15"/>
    <col min="71" max="71" width="12.5" style="15" bestFit="1" customWidth="1"/>
    <col min="72" max="72" width="6.296875" style="15" customWidth="1"/>
    <col min="73" max="73" width="14.796875" style="15" bestFit="1" customWidth="1"/>
    <col min="74" max="74" width="6" style="15" customWidth="1"/>
    <col min="75" max="75" width="12.69921875" style="15" bestFit="1" customWidth="1"/>
    <col min="76" max="76" width="2.5" style="15" customWidth="1"/>
    <col min="77" max="77" width="8.796875" style="15"/>
    <col min="78" max="78" width="12.5" style="15" bestFit="1" customWidth="1"/>
    <col min="79" max="79" width="6.296875" style="15" customWidth="1"/>
    <col min="80" max="80" width="14.796875" style="15" bestFit="1" customWidth="1"/>
    <col min="81" max="81" width="6" style="15" customWidth="1"/>
    <col min="82" max="82" width="12.69921875" style="15" bestFit="1" customWidth="1"/>
    <col min="83" max="83" width="2.5" style="15" customWidth="1"/>
    <col min="84" max="84" width="8.796875" style="15"/>
    <col min="85" max="85" width="12.5" style="15" bestFit="1" customWidth="1"/>
    <col min="86" max="86" width="6.296875" style="15" customWidth="1"/>
    <col min="87" max="87" width="14.796875" style="15" bestFit="1" customWidth="1"/>
    <col min="88" max="88" width="6" style="15" customWidth="1"/>
    <col min="89" max="89" width="12.69921875" style="15" bestFit="1" customWidth="1"/>
    <col min="90" max="90" width="2.5" style="15" customWidth="1"/>
    <col min="91" max="91" width="8.796875" style="15"/>
    <col min="92" max="92" width="12.5" style="15" bestFit="1" customWidth="1"/>
    <col min="93" max="93" width="6.296875" style="15" customWidth="1"/>
    <col min="94" max="94" width="14.796875" style="15" bestFit="1" customWidth="1"/>
    <col min="95" max="95" width="6" style="15" customWidth="1"/>
    <col min="96" max="96" width="12.69921875" style="15" bestFit="1" customWidth="1"/>
    <col min="97" max="97" width="2.5" style="15" customWidth="1"/>
    <col min="98" max="98" width="8.796875" style="15"/>
    <col min="99" max="99" width="12.5" style="15" bestFit="1" customWidth="1"/>
    <col min="100" max="100" width="6.296875" style="15" customWidth="1"/>
    <col min="101" max="101" width="14.796875" style="15" bestFit="1" customWidth="1"/>
    <col min="102" max="102" width="6" style="15" customWidth="1"/>
    <col min="103" max="103" width="12.69921875" style="15" bestFit="1" customWidth="1"/>
    <col min="104" max="104" width="2.5" style="15" customWidth="1"/>
    <col min="105" max="105" width="8.796875" style="15"/>
    <col min="106" max="106" width="12.5" style="15" bestFit="1" customWidth="1"/>
    <col min="107" max="107" width="6.296875" style="15" customWidth="1"/>
    <col min="108" max="108" width="14.796875" style="15" bestFit="1" customWidth="1"/>
    <col min="109" max="109" width="6" style="15" customWidth="1"/>
    <col min="110" max="110" width="12.69921875" style="15" bestFit="1" customWidth="1"/>
    <col min="111" max="111" width="3.09765625" style="15" customWidth="1"/>
    <col min="112" max="112" width="8.796875" style="15"/>
    <col min="113" max="113" width="12.5" style="15" bestFit="1" customWidth="1"/>
    <col min="114" max="114" width="6.296875" style="15" customWidth="1"/>
    <col min="115" max="115" width="14.796875" style="15" bestFit="1" customWidth="1"/>
    <col min="116" max="116" width="6" style="15" customWidth="1"/>
    <col min="117" max="117" width="12.69921875" style="15" bestFit="1" customWidth="1"/>
    <col min="118" max="118" width="3.19921875" style="15" customWidth="1"/>
    <col min="119" max="119" width="8.796875" style="15"/>
    <col min="120" max="120" width="12.5" style="15" bestFit="1" customWidth="1"/>
    <col min="121" max="121" width="6.296875" style="15" customWidth="1"/>
    <col min="122" max="122" width="14.796875" style="15" bestFit="1" customWidth="1"/>
    <col min="123" max="123" width="6" style="15" customWidth="1"/>
    <col min="124" max="124" width="12.69921875" style="15" bestFit="1" customWidth="1"/>
    <col min="125" max="125" width="2.69921875" style="15" customWidth="1"/>
    <col min="126" max="126" width="8.796875" style="15"/>
    <col min="127" max="127" width="12.5" style="15" bestFit="1" customWidth="1"/>
    <col min="128" max="128" width="6.296875" style="15" customWidth="1"/>
    <col min="129" max="129" width="14.796875" style="15" bestFit="1" customWidth="1"/>
    <col min="130" max="130" width="6" style="15" customWidth="1"/>
    <col min="131" max="131" width="12.69921875" style="15" bestFit="1" customWidth="1"/>
    <col min="132" max="16384" width="8.796875" style="15"/>
  </cols>
  <sheetData>
    <row r="1" spans="1:131" ht="33.6">
      <c r="A1" s="16"/>
      <c r="B1" s="17" t="s">
        <v>0</v>
      </c>
      <c r="C1" s="16"/>
      <c r="D1" s="17"/>
      <c r="E1" s="31"/>
      <c r="F1" s="31"/>
      <c r="G1" s="22" t="s">
        <v>127</v>
      </c>
      <c r="I1" s="22" t="s">
        <v>143</v>
      </c>
      <c r="J1" s="43">
        <f>3*10/12</f>
        <v>2.5</v>
      </c>
      <c r="K1" s="22" t="s">
        <v>144</v>
      </c>
      <c r="L1" s="42">
        <f>3*8/12</f>
        <v>2</v>
      </c>
      <c r="N1" s="15" t="s">
        <v>145</v>
      </c>
      <c r="O1" s="15">
        <f>3*7/11</f>
        <v>1.9090909090909092</v>
      </c>
      <c r="P1" s="15" t="s">
        <v>146</v>
      </c>
      <c r="Q1" s="15">
        <f>3*9/11</f>
        <v>2.4545454545454546</v>
      </c>
      <c r="U1" s="41">
        <f>U4+U17+U27+U36</f>
        <v>0</v>
      </c>
    </row>
    <row r="2" spans="1:131">
      <c r="A2" s="16"/>
      <c r="B2" s="16"/>
      <c r="C2" s="16"/>
      <c r="D2" s="16"/>
      <c r="E2" s="16"/>
      <c r="F2" s="16"/>
      <c r="I2" s="23" t="s">
        <v>27</v>
      </c>
      <c r="J2" s="23"/>
      <c r="K2" s="23"/>
      <c r="L2" s="23"/>
      <c r="N2" s="40" t="s">
        <v>97</v>
      </c>
      <c r="O2" s="40"/>
      <c r="P2" s="40"/>
      <c r="Q2" s="40"/>
      <c r="R2" s="40"/>
      <c r="S2" s="40"/>
      <c r="U2" s="40" t="s">
        <v>98</v>
      </c>
      <c r="V2" s="40"/>
      <c r="W2" s="40"/>
      <c r="X2" s="40"/>
      <c r="Y2" s="40"/>
      <c r="Z2" s="40"/>
      <c r="AB2" s="40" t="s">
        <v>99</v>
      </c>
      <c r="AC2" s="40"/>
      <c r="AD2" s="40"/>
      <c r="AE2" s="40"/>
      <c r="AF2" s="40"/>
      <c r="AG2" s="40"/>
      <c r="AI2" s="40" t="s">
        <v>100</v>
      </c>
      <c r="AJ2" s="40"/>
      <c r="AK2" s="40"/>
      <c r="AL2" s="40"/>
      <c r="AM2" s="40"/>
      <c r="AN2" s="40"/>
      <c r="AP2" s="40" t="s">
        <v>33</v>
      </c>
      <c r="AQ2" s="40"/>
      <c r="AR2" s="40"/>
      <c r="AS2" s="40"/>
      <c r="AT2" s="40"/>
      <c r="AU2" s="40"/>
      <c r="AW2" s="40" t="s">
        <v>34</v>
      </c>
      <c r="AX2" s="40"/>
      <c r="AY2" s="40"/>
      <c r="AZ2" s="40"/>
      <c r="BA2" s="40"/>
      <c r="BB2" s="40"/>
      <c r="BD2" s="40" t="s">
        <v>35</v>
      </c>
      <c r="BE2" s="40"/>
      <c r="BF2" s="40"/>
      <c r="BG2" s="40"/>
      <c r="BH2" s="40"/>
      <c r="BI2" s="40"/>
      <c r="BK2" s="40" t="s">
        <v>36</v>
      </c>
      <c r="BL2" s="40"/>
      <c r="BM2" s="40"/>
      <c r="BN2" s="40"/>
      <c r="BO2" s="40"/>
      <c r="BP2" s="40"/>
      <c r="BR2" s="40" t="s">
        <v>41</v>
      </c>
      <c r="BS2" s="40"/>
      <c r="BT2" s="40"/>
      <c r="BU2" s="40"/>
      <c r="BV2" s="40"/>
      <c r="BW2" s="40"/>
      <c r="BY2" s="40" t="s">
        <v>42</v>
      </c>
      <c r="BZ2" s="40"/>
      <c r="CA2" s="40"/>
      <c r="CB2" s="40"/>
      <c r="CC2" s="40"/>
      <c r="CD2" s="40"/>
      <c r="CF2" s="40" t="s">
        <v>43</v>
      </c>
      <c r="CG2" s="40"/>
      <c r="CH2" s="40"/>
      <c r="CI2" s="40"/>
      <c r="CJ2" s="40"/>
      <c r="CK2" s="40"/>
      <c r="CM2" s="40" t="s">
        <v>93</v>
      </c>
      <c r="CN2" s="40"/>
      <c r="CO2" s="40"/>
      <c r="CP2" s="40"/>
      <c r="CQ2" s="40"/>
      <c r="CR2" s="40"/>
      <c r="CT2" s="40" t="s">
        <v>123</v>
      </c>
      <c r="CU2" s="40"/>
      <c r="CV2" s="40"/>
      <c r="CW2" s="40"/>
      <c r="CX2" s="40"/>
      <c r="CY2" s="40"/>
      <c r="DA2" s="40" t="s">
        <v>101</v>
      </c>
      <c r="DB2" s="40"/>
      <c r="DC2" s="40"/>
      <c r="DD2" s="40"/>
      <c r="DE2" s="40"/>
      <c r="DF2" s="40"/>
      <c r="DH2" s="40" t="s">
        <v>124</v>
      </c>
      <c r="DI2" s="40"/>
      <c r="DJ2" s="40"/>
      <c r="DK2" s="40"/>
      <c r="DL2" s="40"/>
      <c r="DM2" s="40"/>
      <c r="DO2" s="40" t="s">
        <v>125</v>
      </c>
      <c r="DP2" s="40"/>
      <c r="DQ2" s="40"/>
      <c r="DR2" s="40"/>
      <c r="DS2" s="40"/>
      <c r="DT2" s="40"/>
      <c r="DV2" s="40" t="s">
        <v>126</v>
      </c>
      <c r="DW2" s="40"/>
      <c r="DX2" s="40"/>
      <c r="DY2" s="40"/>
      <c r="DZ2" s="40"/>
      <c r="EA2" s="40"/>
    </row>
    <row r="3" spans="1:131">
      <c r="A3" s="16"/>
      <c r="B3" s="18" t="s">
        <v>26</v>
      </c>
      <c r="C3" s="18" t="s">
        <v>1</v>
      </c>
      <c r="D3" s="18" t="s">
        <v>24</v>
      </c>
      <c r="E3" s="19" t="s">
        <v>30</v>
      </c>
      <c r="F3" s="18" t="s">
        <v>29</v>
      </c>
      <c r="G3" s="24" t="s">
        <v>31</v>
      </c>
      <c r="I3" s="25" t="s">
        <v>11</v>
      </c>
      <c r="J3" s="25" t="s">
        <v>2</v>
      </c>
      <c r="K3" s="25" t="s">
        <v>3</v>
      </c>
      <c r="L3" s="25" t="s">
        <v>12</v>
      </c>
      <c r="N3" s="24" t="s">
        <v>11</v>
      </c>
      <c r="O3" s="24" t="s">
        <v>2</v>
      </c>
      <c r="P3" s="24" t="s">
        <v>32</v>
      </c>
      <c r="Q3" s="24" t="s">
        <v>3</v>
      </c>
      <c r="R3" s="24" t="s">
        <v>32</v>
      </c>
      <c r="S3" s="24" t="s">
        <v>12</v>
      </c>
      <c r="U3" s="24" t="s">
        <v>11</v>
      </c>
      <c r="V3" s="24" t="s">
        <v>2</v>
      </c>
      <c r="W3" s="24" t="s">
        <v>32</v>
      </c>
      <c r="X3" s="24" t="s">
        <v>3</v>
      </c>
      <c r="Y3" s="24" t="s">
        <v>32</v>
      </c>
      <c r="Z3" s="24" t="s">
        <v>12</v>
      </c>
      <c r="AB3" s="24" t="s">
        <v>11</v>
      </c>
      <c r="AC3" s="24" t="s">
        <v>2</v>
      </c>
      <c r="AD3" s="24" t="s">
        <v>32</v>
      </c>
      <c r="AE3" s="24" t="s">
        <v>3</v>
      </c>
      <c r="AF3" s="24" t="s">
        <v>32</v>
      </c>
      <c r="AG3" s="24" t="s">
        <v>12</v>
      </c>
      <c r="AI3" s="24" t="s">
        <v>11</v>
      </c>
      <c r="AJ3" s="24" t="s">
        <v>2</v>
      </c>
      <c r="AK3" s="24" t="s">
        <v>32</v>
      </c>
      <c r="AL3" s="24" t="s">
        <v>3</v>
      </c>
      <c r="AM3" s="24" t="s">
        <v>32</v>
      </c>
      <c r="AN3" s="24" t="s">
        <v>12</v>
      </c>
      <c r="AP3" s="24" t="s">
        <v>11</v>
      </c>
      <c r="AQ3" s="24" t="s">
        <v>2</v>
      </c>
      <c r="AR3" s="24" t="s">
        <v>32</v>
      </c>
      <c r="AS3" s="24" t="s">
        <v>3</v>
      </c>
      <c r="AT3" s="24" t="s">
        <v>32</v>
      </c>
      <c r="AU3" s="24" t="s">
        <v>12</v>
      </c>
      <c r="AW3" s="24" t="s">
        <v>11</v>
      </c>
      <c r="AX3" s="24" t="s">
        <v>2</v>
      </c>
      <c r="AY3" s="24" t="s">
        <v>32</v>
      </c>
      <c r="AZ3" s="24" t="s">
        <v>3</v>
      </c>
      <c r="BA3" s="24" t="s">
        <v>32</v>
      </c>
      <c r="BB3" s="24" t="s">
        <v>12</v>
      </c>
      <c r="BD3" s="24" t="s">
        <v>11</v>
      </c>
      <c r="BE3" s="24" t="s">
        <v>2</v>
      </c>
      <c r="BF3" s="24" t="s">
        <v>32</v>
      </c>
      <c r="BG3" s="24" t="s">
        <v>3</v>
      </c>
      <c r="BH3" s="24" t="s">
        <v>32</v>
      </c>
      <c r="BI3" s="24" t="s">
        <v>12</v>
      </c>
      <c r="BK3" s="24" t="s">
        <v>11</v>
      </c>
      <c r="BL3" s="24" t="s">
        <v>2</v>
      </c>
      <c r="BM3" s="24" t="s">
        <v>32</v>
      </c>
      <c r="BN3" s="24" t="s">
        <v>3</v>
      </c>
      <c r="BO3" s="24" t="s">
        <v>32</v>
      </c>
      <c r="BP3" s="24" t="s">
        <v>12</v>
      </c>
      <c r="BR3" s="24" t="s">
        <v>11</v>
      </c>
      <c r="BS3" s="24" t="s">
        <v>2</v>
      </c>
      <c r="BT3" s="24" t="s">
        <v>32</v>
      </c>
      <c r="BU3" s="24" t="s">
        <v>3</v>
      </c>
      <c r="BV3" s="24" t="s">
        <v>32</v>
      </c>
      <c r="BW3" s="24" t="s">
        <v>12</v>
      </c>
      <c r="BY3" s="24" t="s">
        <v>11</v>
      </c>
      <c r="BZ3" s="24" t="s">
        <v>2</v>
      </c>
      <c r="CA3" s="24" t="s">
        <v>32</v>
      </c>
      <c r="CB3" s="24" t="s">
        <v>3</v>
      </c>
      <c r="CC3" s="24" t="s">
        <v>32</v>
      </c>
      <c r="CD3" s="24" t="s">
        <v>12</v>
      </c>
      <c r="CF3" s="24" t="s">
        <v>11</v>
      </c>
      <c r="CG3" s="24" t="s">
        <v>2</v>
      </c>
      <c r="CH3" s="24" t="s">
        <v>32</v>
      </c>
      <c r="CI3" s="24" t="s">
        <v>3</v>
      </c>
      <c r="CJ3" s="24" t="s">
        <v>32</v>
      </c>
      <c r="CK3" s="24" t="s">
        <v>12</v>
      </c>
      <c r="CM3" s="24" t="s">
        <v>11</v>
      </c>
      <c r="CN3" s="24" t="s">
        <v>2</v>
      </c>
      <c r="CO3" s="24" t="s">
        <v>32</v>
      </c>
      <c r="CP3" s="24" t="s">
        <v>3</v>
      </c>
      <c r="CQ3" s="24" t="s">
        <v>32</v>
      </c>
      <c r="CR3" s="24" t="s">
        <v>12</v>
      </c>
      <c r="CT3" s="24" t="s">
        <v>11</v>
      </c>
      <c r="CU3" s="24" t="s">
        <v>2</v>
      </c>
      <c r="CV3" s="24" t="s">
        <v>32</v>
      </c>
      <c r="CW3" s="24" t="s">
        <v>3</v>
      </c>
      <c r="CX3" s="24" t="s">
        <v>32</v>
      </c>
      <c r="CY3" s="24" t="s">
        <v>12</v>
      </c>
      <c r="DA3" s="24" t="s">
        <v>11</v>
      </c>
      <c r="DB3" s="24" t="s">
        <v>2</v>
      </c>
      <c r="DC3" s="24" t="s">
        <v>32</v>
      </c>
      <c r="DD3" s="24" t="s">
        <v>3</v>
      </c>
      <c r="DE3" s="24" t="s">
        <v>32</v>
      </c>
      <c r="DF3" s="24" t="s">
        <v>12</v>
      </c>
      <c r="DH3" s="24" t="s">
        <v>11</v>
      </c>
      <c r="DI3" s="24" t="s">
        <v>2</v>
      </c>
      <c r="DJ3" s="24" t="s">
        <v>32</v>
      </c>
      <c r="DK3" s="24" t="s">
        <v>3</v>
      </c>
      <c r="DL3" s="24" t="s">
        <v>32</v>
      </c>
      <c r="DM3" s="24" t="s">
        <v>12</v>
      </c>
      <c r="DO3" s="24" t="s">
        <v>11</v>
      </c>
      <c r="DP3" s="24" t="s">
        <v>2</v>
      </c>
      <c r="DQ3" s="24" t="s">
        <v>32</v>
      </c>
      <c r="DR3" s="24" t="s">
        <v>3</v>
      </c>
      <c r="DS3" s="24" t="s">
        <v>32</v>
      </c>
      <c r="DT3" s="24" t="s">
        <v>12</v>
      </c>
      <c r="DV3" s="24" t="s">
        <v>11</v>
      </c>
      <c r="DW3" s="24" t="s">
        <v>2</v>
      </c>
      <c r="DX3" s="24" t="s">
        <v>32</v>
      </c>
      <c r="DY3" s="24" t="s">
        <v>3</v>
      </c>
      <c r="DZ3" s="24" t="s">
        <v>32</v>
      </c>
      <c r="EA3" s="24" t="s">
        <v>12</v>
      </c>
    </row>
    <row r="4" spans="1:131">
      <c r="A4" s="16"/>
      <c r="B4" s="16" t="s">
        <v>27</v>
      </c>
      <c r="C4" s="16" t="s">
        <v>96</v>
      </c>
      <c r="D4" s="20">
        <v>45133</v>
      </c>
      <c r="E4" s="21">
        <v>6</v>
      </c>
      <c r="F4" s="16"/>
      <c r="G4" s="26">
        <f>+SUM(G5:G14)</f>
        <v>0</v>
      </c>
      <c r="I4" s="27">
        <f>+SUM(I5:I14)</f>
        <v>1.5</v>
      </c>
      <c r="J4" s="28">
        <f>+SUMPRODUCT(G5:G14,J5:J14)</f>
        <v>0</v>
      </c>
      <c r="K4" s="28">
        <f>+SUMPRODUCT(G5:G14,K5:K14)</f>
        <v>0</v>
      </c>
      <c r="L4" s="29"/>
      <c r="N4" s="39">
        <f>+SUM(N5:N14)</f>
        <v>1.5</v>
      </c>
      <c r="U4" s="27">
        <f>+SUM(U5:U14)</f>
        <v>0</v>
      </c>
      <c r="AB4" s="27">
        <f>+SUM(AB5:AB14)</f>
        <v>0</v>
      </c>
      <c r="AI4" s="27">
        <f>+SUM(AI5:AI14)</f>
        <v>0</v>
      </c>
      <c r="AP4" s="27">
        <f>+SUM(AP5:AP14)</f>
        <v>0</v>
      </c>
      <c r="AW4" s="27">
        <f>+SUM(AW5:AW14)</f>
        <v>0</v>
      </c>
      <c r="BD4" s="27">
        <f>+SUM(BD5:BD14)</f>
        <v>0</v>
      </c>
      <c r="BK4" s="27">
        <f>+SUM(BK5:BK14)</f>
        <v>0</v>
      </c>
      <c r="BR4" s="27">
        <f>+SUM(BR5:BR14)</f>
        <v>0</v>
      </c>
      <c r="BY4" s="27">
        <f>+SUM(BY5:BY14)</f>
        <v>0</v>
      </c>
      <c r="CF4" s="27">
        <f>+SUM(CF5:CF14)</f>
        <v>0</v>
      </c>
      <c r="CM4" s="27">
        <f>+SUM(CM5:CM14)</f>
        <v>0</v>
      </c>
      <c r="CT4" s="27">
        <f>+SUM(CT5:CT14)</f>
        <v>0</v>
      </c>
      <c r="DA4" s="27">
        <f>+SUM(DA5:DA14)</f>
        <v>0</v>
      </c>
      <c r="DH4" s="27">
        <f>+SUM(DH5:DH14)</f>
        <v>0</v>
      </c>
      <c r="DO4" s="27">
        <f>+SUM(DO5:DO14)</f>
        <v>0</v>
      </c>
      <c r="DV4" s="27">
        <f>+SUM(DV5:DV14)</f>
        <v>0</v>
      </c>
    </row>
    <row r="5" spans="1:131" outlineLevel="1">
      <c r="A5" s="16"/>
      <c r="B5" s="16" t="s">
        <v>28</v>
      </c>
      <c r="C5" s="16" t="s">
        <v>96</v>
      </c>
      <c r="D5" s="16"/>
      <c r="E5" s="21"/>
      <c r="F5" s="32" t="s">
        <v>109</v>
      </c>
      <c r="G5" s="26">
        <v>0</v>
      </c>
      <c r="I5" s="29">
        <f t="shared" ref="I5:I14" si="0">+SUMIF($N$3:$ZZ$3,I$3,$N5:$ZZ5)</f>
        <v>1.5</v>
      </c>
      <c r="J5" s="28" cm="1">
        <f t="array" ref="J5">MAX(IF($N$3:$EH$3=$J$3,N5:EH5))</f>
        <v>0</v>
      </c>
      <c r="K5" s="28" cm="1">
        <f t="array" ref="K5">MAX(IF($N$3:$EH$3=$J$3,N5:EH5))</f>
        <v>0</v>
      </c>
      <c r="L5" s="29"/>
      <c r="N5" s="15">
        <v>1.5</v>
      </c>
      <c r="O5" s="26"/>
      <c r="P5" s="26">
        <v>0.5</v>
      </c>
      <c r="Q5" s="26"/>
      <c r="R5" s="26">
        <v>0.5</v>
      </c>
      <c r="V5" s="26"/>
      <c r="W5" s="26">
        <v>0.5</v>
      </c>
      <c r="X5" s="26"/>
      <c r="Y5" s="26">
        <v>0.5</v>
      </c>
      <c r="AC5" s="26"/>
      <c r="AD5" s="26">
        <v>0.5</v>
      </c>
      <c r="AE5" s="26"/>
      <c r="AF5" s="26">
        <v>0.5</v>
      </c>
      <c r="AJ5" s="26"/>
      <c r="AK5" s="26">
        <v>0.5</v>
      </c>
      <c r="AL5" s="26"/>
      <c r="AM5" s="26">
        <v>0.5</v>
      </c>
      <c r="AQ5" s="26"/>
      <c r="AR5" s="26">
        <v>0.8</v>
      </c>
      <c r="AS5" s="26"/>
      <c r="AT5" s="26">
        <v>0.8</v>
      </c>
      <c r="AX5" s="26"/>
      <c r="AY5" s="26">
        <v>0.8</v>
      </c>
      <c r="AZ5" s="26"/>
      <c r="BA5" s="26">
        <v>0.8</v>
      </c>
      <c r="BE5" s="26"/>
      <c r="BF5" s="26">
        <v>0.8</v>
      </c>
      <c r="BG5" s="26"/>
      <c r="BH5" s="26">
        <v>0.8</v>
      </c>
      <c r="BL5" s="26"/>
      <c r="BM5" s="26">
        <v>1</v>
      </c>
      <c r="BN5" s="26"/>
      <c r="BO5" s="26">
        <v>1</v>
      </c>
      <c r="BS5" s="26"/>
      <c r="BT5" s="26">
        <v>1</v>
      </c>
      <c r="BU5" s="26"/>
      <c r="BV5" s="26">
        <v>1</v>
      </c>
      <c r="BZ5" s="26"/>
      <c r="CA5" s="26">
        <v>1</v>
      </c>
      <c r="CB5" s="26"/>
      <c r="CC5" s="26">
        <v>1</v>
      </c>
      <c r="CG5" s="26"/>
      <c r="CH5" s="26">
        <v>1</v>
      </c>
      <c r="CI5" s="26"/>
      <c r="CJ5" s="26">
        <v>1</v>
      </c>
      <c r="CN5" s="26"/>
      <c r="CO5" s="26">
        <v>1</v>
      </c>
      <c r="CP5" s="26"/>
      <c r="CQ5" s="26">
        <v>1</v>
      </c>
      <c r="CU5" s="26"/>
      <c r="CV5" s="26">
        <v>1</v>
      </c>
      <c r="CW5" s="26"/>
      <c r="CX5" s="26">
        <v>1</v>
      </c>
      <c r="CY5" s="15" t="s">
        <v>140</v>
      </c>
      <c r="DB5" s="26"/>
      <c r="DC5" s="26">
        <v>1</v>
      </c>
      <c r="DD5" s="26"/>
      <c r="DE5" s="26">
        <v>1</v>
      </c>
      <c r="DI5" s="26"/>
      <c r="DJ5" s="26">
        <v>1</v>
      </c>
      <c r="DK5" s="26"/>
      <c r="DL5" s="26">
        <v>1</v>
      </c>
      <c r="DP5" s="26"/>
      <c r="DQ5" s="26">
        <v>1</v>
      </c>
      <c r="DR5" s="26"/>
      <c r="DS5" s="26">
        <v>1</v>
      </c>
      <c r="DW5" s="26"/>
      <c r="DX5" s="26">
        <v>1</v>
      </c>
      <c r="DY5" s="26"/>
      <c r="DZ5" s="26">
        <v>1</v>
      </c>
    </row>
    <row r="6" spans="1:131" outlineLevel="1">
      <c r="A6" s="16"/>
      <c r="B6" s="16" t="s">
        <v>28</v>
      </c>
      <c r="C6" s="16" t="s">
        <v>96</v>
      </c>
      <c r="D6" s="16"/>
      <c r="E6" s="21"/>
      <c r="F6" s="32" t="s">
        <v>110</v>
      </c>
      <c r="G6" s="26">
        <v>0</v>
      </c>
      <c r="I6" s="29">
        <f t="shared" si="0"/>
        <v>0</v>
      </c>
      <c r="J6" s="28" cm="1">
        <f t="array" ref="J6">MAX(IF($N$3:$EH$3=$J$3,N6:EH6))</f>
        <v>0</v>
      </c>
      <c r="K6" s="28" cm="1">
        <f t="array" ref="K6">MAX(IF($N$3:$EH$3=$J$3,N6:EH6))</f>
        <v>0</v>
      </c>
      <c r="L6" s="29"/>
      <c r="O6" s="26"/>
      <c r="P6" s="26"/>
      <c r="Q6" s="26"/>
      <c r="R6" s="26"/>
      <c r="V6" s="26"/>
      <c r="W6" s="26">
        <v>0.5</v>
      </c>
      <c r="X6" s="26"/>
      <c r="Y6" s="26">
        <v>0.5</v>
      </c>
      <c r="AC6" s="26"/>
      <c r="AD6" s="26">
        <v>0.5</v>
      </c>
      <c r="AE6" s="26"/>
      <c r="AF6" s="26">
        <v>0.5</v>
      </c>
      <c r="AJ6" s="26"/>
      <c r="AK6" s="26">
        <v>0.5</v>
      </c>
      <c r="AL6" s="26"/>
      <c r="AM6" s="26">
        <v>0.5</v>
      </c>
      <c r="AQ6" s="26"/>
      <c r="AR6" s="26">
        <v>0.8</v>
      </c>
      <c r="AS6" s="26"/>
      <c r="AT6" s="26">
        <v>0.8</v>
      </c>
      <c r="AX6" s="26"/>
      <c r="AY6" s="26">
        <v>0.8</v>
      </c>
      <c r="AZ6" s="26"/>
      <c r="BA6" s="26">
        <v>0.8</v>
      </c>
      <c r="BE6" s="26"/>
      <c r="BF6" s="26">
        <v>0.8</v>
      </c>
      <c r="BG6" s="26"/>
      <c r="BH6" s="26">
        <v>0.8</v>
      </c>
      <c r="BL6" s="26"/>
      <c r="BM6" s="26">
        <v>0.8</v>
      </c>
      <c r="BN6" s="26"/>
      <c r="BO6" s="26">
        <v>0.8</v>
      </c>
      <c r="BS6" s="26"/>
      <c r="BT6" s="26">
        <v>1</v>
      </c>
      <c r="BU6" s="26"/>
      <c r="BV6" s="26">
        <v>1</v>
      </c>
      <c r="BZ6" s="26"/>
      <c r="CA6" s="26">
        <v>1</v>
      </c>
      <c r="CB6" s="26"/>
      <c r="CC6" s="26">
        <v>1</v>
      </c>
      <c r="CG6" s="26"/>
      <c r="CH6" s="26">
        <v>1</v>
      </c>
      <c r="CI6" s="26"/>
      <c r="CJ6" s="26">
        <v>1</v>
      </c>
      <c r="CN6" s="26"/>
      <c r="CO6" s="26">
        <v>1</v>
      </c>
      <c r="CP6" s="26"/>
      <c r="CQ6" s="26">
        <v>1</v>
      </c>
      <c r="CU6" s="26"/>
      <c r="CV6" s="26">
        <v>1</v>
      </c>
      <c r="CW6" s="26"/>
      <c r="CX6" s="26">
        <v>1</v>
      </c>
      <c r="DB6" s="26"/>
      <c r="DC6" s="26">
        <v>1</v>
      </c>
      <c r="DD6" s="26"/>
      <c r="DE6" s="26">
        <v>1</v>
      </c>
      <c r="DI6" s="26"/>
      <c r="DJ6" s="26">
        <v>1</v>
      </c>
      <c r="DK6" s="26"/>
      <c r="DL6" s="26">
        <v>1</v>
      </c>
      <c r="DP6" s="26"/>
      <c r="DQ6" s="26">
        <v>1</v>
      </c>
      <c r="DR6" s="26"/>
      <c r="DS6" s="26">
        <v>1</v>
      </c>
      <c r="DW6" s="26"/>
      <c r="DX6" s="26">
        <v>1</v>
      </c>
      <c r="DY6" s="26"/>
      <c r="DZ6" s="26">
        <v>1</v>
      </c>
    </row>
    <row r="7" spans="1:131" outlineLevel="1">
      <c r="A7" s="16"/>
      <c r="B7" s="16" t="s">
        <v>28</v>
      </c>
      <c r="C7" s="16" t="s">
        <v>96</v>
      </c>
      <c r="D7" s="16"/>
      <c r="E7" s="21"/>
      <c r="F7" s="32" t="s">
        <v>111</v>
      </c>
      <c r="G7" s="26">
        <v>0</v>
      </c>
      <c r="I7" s="29">
        <f t="shared" si="0"/>
        <v>0</v>
      </c>
      <c r="J7" s="28" cm="1">
        <f t="array" ref="J7">MAX(IF($N$3:$EH$3=$J$3,N7:EH7))</f>
        <v>0</v>
      </c>
      <c r="K7" s="28" cm="1">
        <f t="array" ref="K7">MAX(IF($N$3:$EH$3=$J$3,N7:EH7))</f>
        <v>0</v>
      </c>
      <c r="L7" s="29"/>
      <c r="O7" s="26"/>
      <c r="P7" s="26"/>
      <c r="Q7" s="26"/>
      <c r="R7" s="26"/>
      <c r="V7" s="26"/>
      <c r="W7" s="26"/>
      <c r="X7" s="26"/>
      <c r="Y7" s="26"/>
      <c r="AC7" s="26"/>
      <c r="AD7" s="26">
        <v>0.5</v>
      </c>
      <c r="AE7" s="26"/>
      <c r="AF7" s="26">
        <v>0.5</v>
      </c>
      <c r="AG7" s="15">
        <v>2</v>
      </c>
      <c r="AJ7" s="26"/>
      <c r="AK7" s="26">
        <v>0.5</v>
      </c>
      <c r="AL7" s="26"/>
      <c r="AM7" s="26">
        <v>0.5</v>
      </c>
      <c r="AQ7" s="26"/>
      <c r="AR7" s="26">
        <v>0.5</v>
      </c>
      <c r="AS7" s="26"/>
      <c r="AT7" s="26">
        <v>0.5</v>
      </c>
      <c r="AX7" s="26"/>
      <c r="AY7" s="26">
        <v>0.8</v>
      </c>
      <c r="AZ7" s="26"/>
      <c r="BA7" s="26">
        <v>0.8</v>
      </c>
      <c r="BB7" s="15">
        <v>3</v>
      </c>
      <c r="BE7" s="26"/>
      <c r="BF7" s="26">
        <v>0.8</v>
      </c>
      <c r="BG7" s="26"/>
      <c r="BH7" s="26">
        <v>0.8</v>
      </c>
      <c r="BI7" s="15">
        <v>2</v>
      </c>
      <c r="BL7" s="26"/>
      <c r="BM7" s="26">
        <v>0.8</v>
      </c>
      <c r="BN7" s="26"/>
      <c r="BO7" s="26">
        <v>0.8</v>
      </c>
      <c r="BP7" s="15">
        <v>3</v>
      </c>
      <c r="BS7" s="26"/>
      <c r="BT7" s="26">
        <v>1</v>
      </c>
      <c r="BU7" s="26"/>
      <c r="BV7" s="26">
        <v>1</v>
      </c>
      <c r="BZ7" s="26"/>
      <c r="CA7" s="26">
        <v>1</v>
      </c>
      <c r="CB7" s="26"/>
      <c r="CC7" s="26">
        <v>1</v>
      </c>
      <c r="CG7" s="26"/>
      <c r="CH7" s="26">
        <v>1</v>
      </c>
      <c r="CI7" s="26"/>
      <c r="CJ7" s="26">
        <v>1</v>
      </c>
      <c r="CN7" s="26"/>
      <c r="CO7" s="26">
        <v>1</v>
      </c>
      <c r="CP7" s="26"/>
      <c r="CQ7" s="26">
        <v>1</v>
      </c>
      <c r="CU7" s="26"/>
      <c r="CV7" s="26">
        <v>1</v>
      </c>
      <c r="CW7" s="26"/>
      <c r="CX7" s="26">
        <v>1</v>
      </c>
      <c r="DB7" s="26"/>
      <c r="DC7" s="26">
        <v>1</v>
      </c>
      <c r="DD7" s="26"/>
      <c r="DE7" s="26">
        <v>1</v>
      </c>
      <c r="DI7" s="26"/>
      <c r="DJ7" s="26">
        <v>1</v>
      </c>
      <c r="DK7" s="26"/>
      <c r="DL7" s="26">
        <v>1</v>
      </c>
      <c r="DP7" s="26"/>
      <c r="DQ7" s="26">
        <v>1</v>
      </c>
      <c r="DR7" s="26"/>
      <c r="DS7" s="26">
        <v>1</v>
      </c>
      <c r="DW7" s="26"/>
      <c r="DX7" s="26">
        <v>1</v>
      </c>
      <c r="DY7" s="26"/>
      <c r="DZ7" s="26">
        <v>1</v>
      </c>
    </row>
    <row r="8" spans="1:131" outlineLevel="1">
      <c r="A8" s="16"/>
      <c r="B8" s="16" t="s">
        <v>28</v>
      </c>
      <c r="C8" s="16" t="s">
        <v>96</v>
      </c>
      <c r="D8" s="16"/>
      <c r="E8" s="21"/>
      <c r="F8" t="s">
        <v>102</v>
      </c>
      <c r="G8" s="26">
        <v>0</v>
      </c>
      <c r="I8" s="29">
        <f t="shared" si="0"/>
        <v>0</v>
      </c>
      <c r="J8" s="28" cm="1">
        <f t="array" ref="J8">MAX(IF($N$3:$EH$3=$J$3,N8:EH8))</f>
        <v>0</v>
      </c>
      <c r="K8" s="28" cm="1">
        <f t="array" ref="K8">MAX(IF($N$3:$EH$3=$J$3,N8:EH8))</f>
        <v>0</v>
      </c>
      <c r="L8" s="29"/>
      <c r="O8" s="26"/>
      <c r="P8" s="26"/>
      <c r="Q8" s="26"/>
      <c r="R8" s="26"/>
      <c r="V8" s="26"/>
      <c r="W8" s="26"/>
      <c r="X8" s="26"/>
      <c r="Y8" s="26"/>
      <c r="AC8" s="26"/>
      <c r="AD8" s="26">
        <v>0.5</v>
      </c>
      <c r="AE8" s="26"/>
      <c r="AF8" s="26">
        <v>0.5</v>
      </c>
      <c r="AJ8" s="26"/>
      <c r="AK8" s="26">
        <v>0.5</v>
      </c>
      <c r="AL8" s="26"/>
      <c r="AM8" s="26">
        <v>0.5</v>
      </c>
      <c r="AN8" s="15">
        <v>3</v>
      </c>
      <c r="AQ8" s="26"/>
      <c r="AR8" s="26">
        <v>0.5</v>
      </c>
      <c r="AS8" s="26"/>
      <c r="AT8" s="26">
        <v>0.5</v>
      </c>
      <c r="AX8" s="26"/>
      <c r="AY8" s="26">
        <v>0.8</v>
      </c>
      <c r="AZ8" s="26"/>
      <c r="BA8" s="26">
        <v>0.8</v>
      </c>
      <c r="BE8" s="26"/>
      <c r="BF8" s="26">
        <v>0.8</v>
      </c>
      <c r="BG8" s="26"/>
      <c r="BH8" s="26">
        <v>0.8</v>
      </c>
      <c r="BL8" s="26"/>
      <c r="BM8" s="26">
        <v>0.8</v>
      </c>
      <c r="BN8" s="26"/>
      <c r="BO8" s="26">
        <v>0.8</v>
      </c>
      <c r="BS8" s="26"/>
      <c r="BT8" s="26">
        <v>0.8</v>
      </c>
      <c r="BU8" s="26"/>
      <c r="BV8" s="26">
        <v>0.8</v>
      </c>
      <c r="BZ8" s="26"/>
      <c r="CA8" s="26">
        <v>1</v>
      </c>
      <c r="CB8" s="26"/>
      <c r="CC8" s="26">
        <v>1</v>
      </c>
      <c r="CG8" s="26"/>
      <c r="CH8" s="26">
        <v>1</v>
      </c>
      <c r="CI8" s="26"/>
      <c r="CJ8" s="26">
        <v>1</v>
      </c>
      <c r="CN8" s="26"/>
      <c r="CO8" s="26">
        <v>1</v>
      </c>
      <c r="CP8" s="26"/>
      <c r="CQ8" s="26">
        <v>1</v>
      </c>
      <c r="CU8" s="26"/>
      <c r="CV8" s="26">
        <v>1</v>
      </c>
      <c r="CW8" s="26"/>
      <c r="CX8" s="26">
        <v>1</v>
      </c>
      <c r="DB8" s="26"/>
      <c r="DC8" s="26">
        <v>1</v>
      </c>
      <c r="DD8" s="26"/>
      <c r="DE8" s="26">
        <v>1</v>
      </c>
      <c r="DI8" s="26"/>
      <c r="DJ8" s="26">
        <v>1</v>
      </c>
      <c r="DK8" s="26"/>
      <c r="DL8" s="26">
        <v>1</v>
      </c>
      <c r="DP8" s="26"/>
      <c r="DQ8" s="26">
        <v>1</v>
      </c>
      <c r="DR8" s="26"/>
      <c r="DS8" s="26">
        <v>1</v>
      </c>
      <c r="DW8" s="26"/>
      <c r="DX8" s="26">
        <v>1</v>
      </c>
      <c r="DY8" s="26"/>
      <c r="DZ8" s="26">
        <v>1</v>
      </c>
    </row>
    <row r="9" spans="1:131" outlineLevel="1">
      <c r="A9" s="16"/>
      <c r="B9" s="16" t="s">
        <v>28</v>
      </c>
      <c r="C9" s="16" t="s">
        <v>96</v>
      </c>
      <c r="D9" s="16"/>
      <c r="E9" s="21"/>
      <c r="F9" s="32" t="s">
        <v>103</v>
      </c>
      <c r="G9" s="26">
        <v>0</v>
      </c>
      <c r="I9" s="29">
        <f t="shared" si="0"/>
        <v>0</v>
      </c>
      <c r="J9" s="28" cm="1">
        <f t="array" ref="J9">MAX(IF($N$3:$EH$3=$J$3,N9:EH9))</f>
        <v>0</v>
      </c>
      <c r="K9" s="28" cm="1">
        <f t="array" ref="K9">MAX(IF($N$3:$EH$3=$J$3,N9:EH9))</f>
        <v>0</v>
      </c>
      <c r="L9" s="29"/>
      <c r="O9" s="26"/>
      <c r="P9" s="26"/>
      <c r="Q9" s="26"/>
      <c r="R9" s="26"/>
      <c r="V9" s="26"/>
      <c r="W9" s="26"/>
      <c r="X9" s="26"/>
      <c r="Y9" s="26"/>
      <c r="AC9" s="26"/>
      <c r="AD9" s="26"/>
      <c r="AE9" s="26"/>
      <c r="AF9" s="26"/>
      <c r="AJ9" s="26"/>
      <c r="AK9" s="26">
        <v>0.5</v>
      </c>
      <c r="AL9" s="26"/>
      <c r="AM9" s="26">
        <v>0.5</v>
      </c>
      <c r="AQ9" s="26"/>
      <c r="AR9" s="26">
        <v>0.5</v>
      </c>
      <c r="AS9" s="26"/>
      <c r="AT9" s="26">
        <v>0.5</v>
      </c>
      <c r="AU9" s="15">
        <v>2</v>
      </c>
      <c r="AX9" s="26"/>
      <c r="AY9" s="26">
        <v>0.5</v>
      </c>
      <c r="AZ9" s="26"/>
      <c r="BA9" s="26">
        <v>0.5</v>
      </c>
      <c r="BE9" s="26"/>
      <c r="BF9" s="26">
        <v>0.8</v>
      </c>
      <c r="BG9" s="26"/>
      <c r="BH9" s="26">
        <v>0.8</v>
      </c>
      <c r="BL9" s="26"/>
      <c r="BM9" s="26">
        <v>0.8</v>
      </c>
      <c r="BN9" s="26"/>
      <c r="BO9" s="26">
        <v>0.8</v>
      </c>
      <c r="BS9" s="26"/>
      <c r="BT9" s="26">
        <v>0.8</v>
      </c>
      <c r="BU9" s="26"/>
      <c r="BV9" s="26">
        <v>0.8</v>
      </c>
      <c r="BZ9" s="26"/>
      <c r="CA9" s="26">
        <v>0.8</v>
      </c>
      <c r="CB9" s="26"/>
      <c r="CC9" s="26">
        <v>0.8</v>
      </c>
      <c r="CG9" s="26"/>
      <c r="CH9" s="26">
        <v>1</v>
      </c>
      <c r="CI9" s="26"/>
      <c r="CJ9" s="26">
        <v>1</v>
      </c>
      <c r="CN9" s="26"/>
      <c r="CO9" s="26">
        <v>1</v>
      </c>
      <c r="CP9" s="26"/>
      <c r="CQ9" s="26">
        <v>1</v>
      </c>
      <c r="CU9" s="26"/>
      <c r="CV9" s="26">
        <v>1</v>
      </c>
      <c r="CW9" s="26"/>
      <c r="CX9" s="26">
        <v>1</v>
      </c>
      <c r="DB9" s="26"/>
      <c r="DC9" s="26">
        <v>1</v>
      </c>
      <c r="DD9" s="26"/>
      <c r="DE9" s="26">
        <v>1</v>
      </c>
      <c r="DI9" s="26"/>
      <c r="DJ9" s="26">
        <v>1</v>
      </c>
      <c r="DK9" s="26"/>
      <c r="DL9" s="26">
        <v>1</v>
      </c>
      <c r="DP9" s="26"/>
      <c r="DQ9" s="26">
        <v>1</v>
      </c>
      <c r="DR9" s="26"/>
      <c r="DS9" s="26">
        <v>1</v>
      </c>
      <c r="DW9" s="26"/>
      <c r="DX9" s="26">
        <v>1</v>
      </c>
      <c r="DY9" s="26"/>
      <c r="DZ9" s="26">
        <v>1</v>
      </c>
    </row>
    <row r="10" spans="1:131" outlineLevel="1">
      <c r="A10" s="16"/>
      <c r="B10" s="16" t="s">
        <v>28</v>
      </c>
      <c r="C10" s="16" t="s">
        <v>96</v>
      </c>
      <c r="D10" s="16"/>
      <c r="E10" s="21"/>
      <c r="F10" s="32" t="s">
        <v>104</v>
      </c>
      <c r="G10" s="26">
        <v>0</v>
      </c>
      <c r="I10" s="29">
        <f t="shared" si="0"/>
        <v>0</v>
      </c>
      <c r="J10" s="28" cm="1">
        <f t="array" ref="J10">MAX(IF($N$3:$EH$3=$J$3,N10:EH10))</f>
        <v>0</v>
      </c>
      <c r="K10" s="28" cm="1">
        <f t="array" ref="K10">MAX(IF($N$3:$EH$3=$J$3,N10:EH10))</f>
        <v>0</v>
      </c>
      <c r="L10" s="29"/>
      <c r="O10" s="26"/>
      <c r="P10" s="26"/>
      <c r="Q10" s="26"/>
      <c r="R10" s="26"/>
      <c r="V10" s="26"/>
      <c r="W10" s="26"/>
      <c r="X10" s="26"/>
      <c r="Y10" s="26"/>
      <c r="AC10" s="26"/>
      <c r="AD10" s="26"/>
      <c r="AE10" s="26"/>
      <c r="AF10" s="26"/>
      <c r="AJ10" s="26"/>
      <c r="AK10" s="26">
        <v>0.5</v>
      </c>
      <c r="AL10" s="26"/>
      <c r="AM10" s="26">
        <v>0.5</v>
      </c>
      <c r="AQ10" s="26"/>
      <c r="AR10" s="26">
        <v>0.5</v>
      </c>
      <c r="AS10" s="26"/>
      <c r="AT10" s="26">
        <v>0.5</v>
      </c>
      <c r="AX10" s="26"/>
      <c r="AY10" s="26">
        <v>0.5</v>
      </c>
      <c r="AZ10" s="26"/>
      <c r="BA10" s="26">
        <v>0.5</v>
      </c>
      <c r="BE10" s="26"/>
      <c r="BF10" s="26">
        <v>0.8</v>
      </c>
      <c r="BG10" s="26"/>
      <c r="BH10" s="26">
        <v>0.8</v>
      </c>
      <c r="BL10" s="26"/>
      <c r="BM10" s="26">
        <v>0.8</v>
      </c>
      <c r="BN10" s="26"/>
      <c r="BO10" s="26">
        <v>0.8</v>
      </c>
      <c r="BS10" s="26"/>
      <c r="BT10" s="26">
        <v>0.8</v>
      </c>
      <c r="BU10" s="26"/>
      <c r="BV10" s="26">
        <v>0.8</v>
      </c>
      <c r="BZ10" s="26"/>
      <c r="CA10" s="26">
        <v>0.8</v>
      </c>
      <c r="CB10" s="26"/>
      <c r="CC10" s="26">
        <v>0.8</v>
      </c>
      <c r="CG10" s="26"/>
      <c r="CH10" s="26">
        <v>0.8</v>
      </c>
      <c r="CI10" s="26"/>
      <c r="CJ10" s="26">
        <v>0.8</v>
      </c>
      <c r="CN10" s="26"/>
      <c r="CO10" s="26">
        <v>1</v>
      </c>
      <c r="CP10" s="26"/>
      <c r="CQ10" s="26">
        <v>1</v>
      </c>
      <c r="CU10" s="26"/>
      <c r="CV10" s="26">
        <v>1</v>
      </c>
      <c r="CW10" s="26"/>
      <c r="CX10" s="26">
        <v>1</v>
      </c>
      <c r="DB10" s="26"/>
      <c r="DC10" s="26">
        <v>1</v>
      </c>
      <c r="DD10" s="26"/>
      <c r="DE10" s="26">
        <v>1</v>
      </c>
      <c r="DI10" s="26"/>
      <c r="DJ10" s="26">
        <v>1</v>
      </c>
      <c r="DK10" s="26"/>
      <c r="DL10" s="26">
        <v>1</v>
      </c>
      <c r="DP10" s="26"/>
      <c r="DQ10" s="26">
        <v>1</v>
      </c>
      <c r="DR10" s="26"/>
      <c r="DS10" s="26">
        <v>1</v>
      </c>
      <c r="DW10" s="26"/>
      <c r="DX10" s="26">
        <v>1</v>
      </c>
      <c r="DY10" s="26"/>
      <c r="DZ10" s="26">
        <v>1</v>
      </c>
    </row>
    <row r="11" spans="1:131" outlineLevel="1">
      <c r="A11" s="16"/>
      <c r="B11" s="16" t="s">
        <v>28</v>
      </c>
      <c r="C11" s="16" t="s">
        <v>96</v>
      </c>
      <c r="D11" s="16"/>
      <c r="E11" s="21"/>
      <c r="F11" s="32" t="s">
        <v>105</v>
      </c>
      <c r="G11" s="26">
        <v>0</v>
      </c>
      <c r="I11" s="29">
        <f t="shared" si="0"/>
        <v>0</v>
      </c>
      <c r="J11" s="28" cm="1">
        <f t="array" ref="J11">MAX(IF($N$3:$EH$3=$J$3,N11:EH11))</f>
        <v>0</v>
      </c>
      <c r="K11" s="28" cm="1">
        <f t="array" ref="K11">MAX(IF($N$3:$EH$3=$J$3,N11:EH11))</f>
        <v>0</v>
      </c>
      <c r="L11" s="29"/>
      <c r="O11" s="26"/>
      <c r="P11" s="26"/>
      <c r="Q11" s="26"/>
      <c r="R11" s="26"/>
      <c r="V11" s="26"/>
      <c r="W11" s="26"/>
      <c r="X11" s="26"/>
      <c r="Y11" s="26"/>
      <c r="AC11" s="26"/>
      <c r="AD11" s="26"/>
      <c r="AE11" s="26"/>
      <c r="AF11" s="26"/>
      <c r="AJ11" s="26"/>
      <c r="AK11" s="26"/>
      <c r="AL11" s="26"/>
      <c r="AM11" s="26"/>
      <c r="AQ11" s="26"/>
      <c r="AR11" s="26">
        <v>0.5</v>
      </c>
      <c r="AS11" s="26"/>
      <c r="AT11" s="26">
        <v>0.5</v>
      </c>
      <c r="AX11" s="26"/>
      <c r="AY11" s="26">
        <v>0.5</v>
      </c>
      <c r="AZ11" s="26"/>
      <c r="BA11" s="26">
        <v>0.5</v>
      </c>
      <c r="BE11" s="26"/>
      <c r="BF11" s="26">
        <v>0.5</v>
      </c>
      <c r="BG11" s="26"/>
      <c r="BH11" s="26">
        <v>0.5</v>
      </c>
      <c r="BL11" s="26"/>
      <c r="BM11" s="26">
        <v>0.5</v>
      </c>
      <c r="BN11" s="26"/>
      <c r="BO11" s="26">
        <v>0.5</v>
      </c>
      <c r="BS11" s="26"/>
      <c r="BT11" s="26">
        <v>0.8</v>
      </c>
      <c r="BU11" s="26"/>
      <c r="BV11" s="26">
        <v>0.8</v>
      </c>
      <c r="BZ11" s="26"/>
      <c r="CA11" s="26">
        <v>0.8</v>
      </c>
      <c r="CB11" s="26"/>
      <c r="CC11" s="26">
        <v>0.8</v>
      </c>
      <c r="CD11" s="15">
        <v>3</v>
      </c>
      <c r="CG11" s="26"/>
      <c r="CH11" s="26">
        <v>0.8</v>
      </c>
      <c r="CI11" s="26"/>
      <c r="CJ11" s="26">
        <v>0.8</v>
      </c>
      <c r="CN11" s="26"/>
      <c r="CO11" s="26">
        <v>1</v>
      </c>
      <c r="CP11" s="26"/>
      <c r="CQ11" s="26">
        <v>1</v>
      </c>
      <c r="CU11" s="26"/>
      <c r="CV11" s="26">
        <v>1</v>
      </c>
      <c r="CW11" s="26"/>
      <c r="CX11" s="26">
        <v>1</v>
      </c>
      <c r="DB11" s="26"/>
      <c r="DC11" s="26">
        <v>1</v>
      </c>
      <c r="DD11" s="26"/>
      <c r="DE11" s="26">
        <v>1</v>
      </c>
      <c r="DI11" s="26"/>
      <c r="DJ11" s="26">
        <v>1</v>
      </c>
      <c r="DK11" s="26"/>
      <c r="DL11" s="26">
        <v>1</v>
      </c>
      <c r="DP11" s="26"/>
      <c r="DQ11" s="26">
        <v>1</v>
      </c>
      <c r="DR11" s="26"/>
      <c r="DS11" s="26">
        <v>1</v>
      </c>
      <c r="DW11" s="26"/>
      <c r="DX11" s="26">
        <v>1</v>
      </c>
      <c r="DY11" s="26"/>
      <c r="DZ11" s="26">
        <v>1</v>
      </c>
    </row>
    <row r="12" spans="1:131" outlineLevel="1">
      <c r="A12" s="16"/>
      <c r="B12" s="16" t="s">
        <v>28</v>
      </c>
      <c r="C12" s="16" t="s">
        <v>96</v>
      </c>
      <c r="D12" s="16"/>
      <c r="E12" s="21"/>
      <c r="F12" s="32" t="s">
        <v>106</v>
      </c>
      <c r="G12" s="26">
        <v>0</v>
      </c>
      <c r="I12" s="29">
        <f t="shared" si="0"/>
        <v>0</v>
      </c>
      <c r="J12" s="28" cm="1">
        <f t="array" ref="J12">MAX(IF($N$3:$EH$3=$J$3,N12:EH12))</f>
        <v>0</v>
      </c>
      <c r="K12" s="28" cm="1">
        <f t="array" ref="K12">MAX(IF($N$3:$EH$3=$J$3,N12:EH12))</f>
        <v>0</v>
      </c>
      <c r="L12" s="29"/>
      <c r="O12" s="26"/>
      <c r="P12" s="26"/>
      <c r="Q12" s="26"/>
      <c r="R12" s="26"/>
      <c r="V12" s="26"/>
      <c r="W12" s="26"/>
      <c r="X12" s="26"/>
      <c r="Y12" s="26"/>
      <c r="AC12" s="26"/>
      <c r="AD12" s="26"/>
      <c r="AE12" s="26"/>
      <c r="AF12" s="26"/>
      <c r="AJ12" s="26"/>
      <c r="AK12" s="26"/>
      <c r="AL12" s="26"/>
      <c r="AM12" s="26"/>
      <c r="AQ12" s="26"/>
      <c r="AR12" s="26"/>
      <c r="AS12" s="26"/>
      <c r="AT12" s="26"/>
      <c r="AX12" s="26"/>
      <c r="AY12" s="26">
        <v>0.5</v>
      </c>
      <c r="AZ12" s="26"/>
      <c r="BA12" s="26">
        <v>0.5</v>
      </c>
      <c r="BE12" s="26"/>
      <c r="BF12" s="26">
        <v>0.5</v>
      </c>
      <c r="BG12" s="26"/>
      <c r="BH12" s="26">
        <v>0.5</v>
      </c>
      <c r="BL12" s="26"/>
      <c r="BM12" s="26">
        <v>0.5</v>
      </c>
      <c r="BN12" s="26"/>
      <c r="BO12" s="26">
        <v>0.5</v>
      </c>
      <c r="BS12" s="26"/>
      <c r="BT12" s="26">
        <v>0.5</v>
      </c>
      <c r="BU12" s="26"/>
      <c r="BV12" s="26">
        <v>0.5</v>
      </c>
      <c r="BW12" s="15">
        <v>2</v>
      </c>
      <c r="BZ12" s="26"/>
      <c r="CA12" s="26">
        <v>0.8</v>
      </c>
      <c r="CB12" s="26"/>
      <c r="CC12" s="26">
        <v>0.8</v>
      </c>
      <c r="CG12" s="26"/>
      <c r="CH12" s="26">
        <v>0.8</v>
      </c>
      <c r="CI12" s="26"/>
      <c r="CJ12" s="26">
        <v>0.8</v>
      </c>
      <c r="CN12" s="26"/>
      <c r="CO12" s="26">
        <v>0.8</v>
      </c>
      <c r="CP12" s="26"/>
      <c r="CQ12" s="26">
        <v>0.8</v>
      </c>
      <c r="CU12" s="26"/>
      <c r="CV12" s="26">
        <v>1</v>
      </c>
      <c r="CW12" s="26"/>
      <c r="CX12" s="26">
        <v>1</v>
      </c>
      <c r="DB12" s="26"/>
      <c r="DC12" s="26">
        <v>1</v>
      </c>
      <c r="DD12" s="26"/>
      <c r="DE12" s="26">
        <v>1</v>
      </c>
      <c r="DI12" s="26"/>
      <c r="DJ12" s="26">
        <v>1</v>
      </c>
      <c r="DK12" s="26"/>
      <c r="DL12" s="26">
        <v>1</v>
      </c>
      <c r="DP12" s="26"/>
      <c r="DQ12" s="26">
        <v>1</v>
      </c>
      <c r="DR12" s="26"/>
      <c r="DS12" s="26">
        <v>1</v>
      </c>
      <c r="DW12" s="26"/>
      <c r="DX12" s="26">
        <v>1</v>
      </c>
      <c r="DY12" s="26"/>
      <c r="DZ12" s="26">
        <v>1</v>
      </c>
    </row>
    <row r="13" spans="1:131" outlineLevel="1">
      <c r="A13" s="16"/>
      <c r="B13" s="16" t="s">
        <v>28</v>
      </c>
      <c r="C13" s="16" t="s">
        <v>96</v>
      </c>
      <c r="D13" s="16"/>
      <c r="E13" s="21"/>
      <c r="F13" s="32" t="s">
        <v>107</v>
      </c>
      <c r="G13" s="26">
        <v>0</v>
      </c>
      <c r="I13" s="29">
        <f t="shared" si="0"/>
        <v>0</v>
      </c>
      <c r="J13" s="28" cm="1">
        <f t="array" ref="J13">MAX(IF($N$3:$EH$3=$J$3,N13:EH13))</f>
        <v>0</v>
      </c>
      <c r="K13" s="28" cm="1">
        <f t="array" ref="K13">MAX(IF($N$3:$EH$3=$J$3,N13:EH13))</f>
        <v>0</v>
      </c>
      <c r="L13" s="29"/>
      <c r="O13" s="26"/>
      <c r="P13" s="26"/>
      <c r="Q13" s="26"/>
      <c r="R13" s="26"/>
      <c r="V13" s="26"/>
      <c r="W13" s="26"/>
      <c r="X13" s="26"/>
      <c r="Y13" s="26"/>
      <c r="AC13" s="26"/>
      <c r="AD13" s="26"/>
      <c r="AE13" s="26"/>
      <c r="AF13" s="26"/>
      <c r="AJ13" s="26"/>
      <c r="AK13" s="26"/>
      <c r="AL13" s="26"/>
      <c r="AM13" s="26"/>
      <c r="AQ13" s="26"/>
      <c r="AR13" s="26"/>
      <c r="AS13" s="26"/>
      <c r="AT13" s="26"/>
      <c r="AX13" s="26"/>
      <c r="AY13" s="26"/>
      <c r="AZ13" s="26"/>
      <c r="BA13" s="26"/>
      <c r="BE13" s="26"/>
      <c r="BF13" s="26">
        <v>0.5</v>
      </c>
      <c r="BG13" s="26"/>
      <c r="BH13" s="26">
        <v>0.5</v>
      </c>
      <c r="BL13" s="26"/>
      <c r="BM13" s="26">
        <v>0.5</v>
      </c>
      <c r="BN13" s="26"/>
      <c r="BO13" s="26">
        <v>0.5</v>
      </c>
      <c r="BS13" s="26"/>
      <c r="BT13" s="26">
        <v>0.5</v>
      </c>
      <c r="BU13" s="26"/>
      <c r="BV13" s="26">
        <v>0.5</v>
      </c>
      <c r="BZ13" s="26"/>
      <c r="CA13" s="26">
        <v>0.5</v>
      </c>
      <c r="CB13" s="26"/>
      <c r="CC13" s="26">
        <v>0.5</v>
      </c>
      <c r="CG13" s="26"/>
      <c r="CH13" s="26">
        <v>0.8</v>
      </c>
      <c r="CI13" s="26"/>
      <c r="CJ13" s="26">
        <v>0.8</v>
      </c>
      <c r="CN13" s="26"/>
      <c r="CO13" s="26">
        <v>0.8</v>
      </c>
      <c r="CP13" s="26"/>
      <c r="CQ13" s="26">
        <v>0.8</v>
      </c>
      <c r="CR13" s="15">
        <v>3</v>
      </c>
      <c r="CU13" s="26"/>
      <c r="CV13" s="26">
        <v>1</v>
      </c>
      <c r="CW13" s="26"/>
      <c r="CX13" s="26">
        <v>1</v>
      </c>
      <c r="DB13" s="26"/>
      <c r="DC13" s="26">
        <v>1</v>
      </c>
      <c r="DD13" s="26"/>
      <c r="DE13" s="26">
        <v>1</v>
      </c>
      <c r="DI13" s="26"/>
      <c r="DJ13" s="26">
        <v>1</v>
      </c>
      <c r="DK13" s="26"/>
      <c r="DL13" s="26">
        <v>1</v>
      </c>
      <c r="DP13" s="26"/>
      <c r="DQ13" s="26">
        <v>1</v>
      </c>
      <c r="DR13" s="26"/>
      <c r="DS13" s="26">
        <v>1</v>
      </c>
      <c r="DW13" s="26"/>
      <c r="DX13" s="26">
        <v>1</v>
      </c>
      <c r="DY13" s="26"/>
      <c r="DZ13" s="26">
        <v>1</v>
      </c>
    </row>
    <row r="14" spans="1:131" outlineLevel="1">
      <c r="A14" s="16"/>
      <c r="B14" s="16" t="s">
        <v>28</v>
      </c>
      <c r="C14" s="16" t="s">
        <v>96</v>
      </c>
      <c r="D14" s="16"/>
      <c r="E14" s="21"/>
      <c r="F14" s="32" t="s">
        <v>108</v>
      </c>
      <c r="G14" s="26">
        <v>0</v>
      </c>
      <c r="I14" s="29">
        <f t="shared" si="0"/>
        <v>0</v>
      </c>
      <c r="J14" s="28" cm="1">
        <f t="array" ref="J14">MAX(IF($N$3:$EH$3=$J$3,N14:EH14))</f>
        <v>0</v>
      </c>
      <c r="K14" s="28" cm="1">
        <f t="array" ref="K14">MAX(IF($N$3:$EH$3=$J$3,N14:EH14))</f>
        <v>0</v>
      </c>
      <c r="L14" s="29"/>
      <c r="O14" s="26"/>
      <c r="P14" s="26"/>
      <c r="Q14" s="26"/>
      <c r="R14" s="26"/>
      <c r="V14" s="26"/>
      <c r="W14" s="26"/>
      <c r="X14" s="26"/>
      <c r="Y14" s="26"/>
      <c r="AC14" s="26"/>
      <c r="AD14" s="26"/>
      <c r="AE14" s="26"/>
      <c r="AF14" s="26"/>
      <c r="AJ14" s="26"/>
      <c r="AK14" s="26"/>
      <c r="AL14" s="26"/>
      <c r="AM14" s="26"/>
      <c r="AQ14" s="26"/>
      <c r="AR14" s="26"/>
      <c r="AS14" s="26"/>
      <c r="AT14" s="26"/>
      <c r="AX14" s="26"/>
      <c r="AY14" s="26"/>
      <c r="AZ14" s="26"/>
      <c r="BA14" s="26"/>
      <c r="BE14" s="26"/>
      <c r="BF14" s="26"/>
      <c r="BG14" s="26"/>
      <c r="BH14" s="26"/>
      <c r="BL14" s="26"/>
      <c r="BM14" s="26">
        <v>0.5</v>
      </c>
      <c r="BN14" s="26"/>
      <c r="BO14" s="26">
        <v>0.5</v>
      </c>
      <c r="BS14" s="26"/>
      <c r="BT14" s="26">
        <v>0.5</v>
      </c>
      <c r="BU14" s="26"/>
      <c r="BV14" s="26">
        <v>0.5</v>
      </c>
      <c r="BZ14" s="26"/>
      <c r="CA14" s="26">
        <v>0.5</v>
      </c>
      <c r="CB14" s="26"/>
      <c r="CC14" s="26">
        <v>0.5</v>
      </c>
      <c r="CG14" s="26"/>
      <c r="CH14" s="26">
        <v>0.8</v>
      </c>
      <c r="CI14" s="26"/>
      <c r="CJ14" s="26">
        <v>0.8</v>
      </c>
      <c r="CK14" s="15">
        <v>2</v>
      </c>
      <c r="CN14" s="26"/>
      <c r="CO14" s="26">
        <v>0.8</v>
      </c>
      <c r="CP14" s="26"/>
      <c r="CQ14" s="26">
        <v>0.8</v>
      </c>
      <c r="CU14" s="26"/>
      <c r="CV14" s="26">
        <v>1</v>
      </c>
      <c r="CW14" s="26"/>
      <c r="CX14" s="26">
        <v>1</v>
      </c>
      <c r="DB14" s="26"/>
      <c r="DC14" s="26">
        <v>1</v>
      </c>
      <c r="DD14" s="26"/>
      <c r="DE14" s="26">
        <v>1</v>
      </c>
      <c r="DI14" s="26"/>
      <c r="DJ14" s="26">
        <v>1</v>
      </c>
      <c r="DK14" s="26"/>
      <c r="DL14" s="26">
        <v>1</v>
      </c>
      <c r="DP14" s="26"/>
      <c r="DQ14" s="26">
        <v>1</v>
      </c>
      <c r="DR14" s="26"/>
      <c r="DS14" s="26">
        <v>1</v>
      </c>
      <c r="DW14" s="26"/>
      <c r="DX14" s="26">
        <v>1</v>
      </c>
      <c r="DY14" s="26"/>
      <c r="DZ14" s="26">
        <v>1</v>
      </c>
    </row>
    <row r="15" spans="1:131">
      <c r="A15" s="16"/>
      <c r="B15" s="16"/>
      <c r="C15" s="16"/>
      <c r="D15" s="16"/>
      <c r="E15" s="16"/>
      <c r="F15" s="16"/>
      <c r="I15" s="29"/>
      <c r="O15" s="16"/>
      <c r="V15" s="16"/>
      <c r="AC15" s="16"/>
      <c r="AJ15" s="16"/>
      <c r="AQ15" s="16"/>
      <c r="AX15" s="16"/>
      <c r="BE15" s="16"/>
      <c r="BL15" s="16"/>
      <c r="BS15" s="16"/>
      <c r="BZ15" s="16"/>
      <c r="CG15" s="16"/>
      <c r="CN15" s="16"/>
      <c r="CU15" s="16"/>
      <c r="DB15" s="16"/>
      <c r="DC15" s="26"/>
      <c r="DI15" s="16"/>
      <c r="DP15" s="16"/>
      <c r="DW15" s="16"/>
    </row>
    <row r="16" spans="1:131">
      <c r="I16" s="29"/>
    </row>
    <row r="17" spans="2:130">
      <c r="B17" s="15" t="s">
        <v>27</v>
      </c>
      <c r="C17" s="15" t="s">
        <v>121</v>
      </c>
      <c r="D17" s="30">
        <v>45132</v>
      </c>
      <c r="E17" s="29">
        <v>6</v>
      </c>
      <c r="G17" s="26">
        <f>+SUM(G18:G25)</f>
        <v>0</v>
      </c>
      <c r="I17" s="29">
        <f>SUM(I18:I25)</f>
        <v>0</v>
      </c>
      <c r="J17" s="28">
        <f>+SUMPRODUCT(G18:G25,J18:J25)</f>
        <v>0</v>
      </c>
      <c r="K17" s="28">
        <f>+SUMPRODUCT(G18:G25,K18:K25)</f>
        <v>0</v>
      </c>
      <c r="L17" s="29"/>
      <c r="N17" s="27">
        <f>+SUM(N18:N25)</f>
        <v>0</v>
      </c>
      <c r="U17" s="27">
        <f>+SUM(U18:U25)</f>
        <v>0</v>
      </c>
      <c r="AB17" s="27">
        <f>+SUM(AB18:AB25)</f>
        <v>0</v>
      </c>
      <c r="AI17" s="27">
        <f>+SUM(AI18:AI25)</f>
        <v>0</v>
      </c>
      <c r="AP17" s="27">
        <f>+SUM(AP18:AP25)</f>
        <v>0</v>
      </c>
      <c r="DQ17" s="37"/>
    </row>
    <row r="18" spans="2:130" outlineLevel="1">
      <c r="B18" s="15" t="s">
        <v>28</v>
      </c>
      <c r="C18" s="15" t="s">
        <v>121</v>
      </c>
      <c r="E18" s="29"/>
      <c r="F18" s="15" t="s">
        <v>154</v>
      </c>
      <c r="G18" s="26">
        <v>0</v>
      </c>
      <c r="I18" s="29">
        <f t="shared" ref="I18:I25" si="1">+SUMIF($N$3:$ZZ$3,I$3,$N18:$ZZ18)</f>
        <v>0</v>
      </c>
      <c r="J18" s="28" cm="1">
        <f t="array" ref="J18">MAX(IF($N$3:$EH$3=$J$3,N18:EH18))</f>
        <v>0</v>
      </c>
      <c r="K18" s="28" cm="1">
        <f t="array" ref="K18">MAX(IF($N$3:$EH$3=$J$3,N18:EH18))</f>
        <v>0</v>
      </c>
      <c r="L18" s="29"/>
      <c r="O18" s="26"/>
      <c r="P18" s="26">
        <v>0.5</v>
      </c>
      <c r="Q18" s="26"/>
      <c r="R18" s="26">
        <v>0.5</v>
      </c>
      <c r="V18" s="26"/>
      <c r="W18" s="26">
        <v>0.5</v>
      </c>
      <c r="X18" s="26"/>
      <c r="Y18" s="26">
        <v>0.5</v>
      </c>
      <c r="AC18" s="26"/>
      <c r="AD18" s="26">
        <v>0.5</v>
      </c>
      <c r="AE18" s="26"/>
      <c r="AF18" s="26">
        <v>0.5</v>
      </c>
      <c r="AJ18" s="26"/>
      <c r="AK18" s="26">
        <v>0.8</v>
      </c>
      <c r="AL18" s="26"/>
      <c r="AM18" s="26">
        <v>0.8</v>
      </c>
      <c r="AQ18" s="26"/>
      <c r="AR18" s="26">
        <v>0.8</v>
      </c>
      <c r="AS18" s="26"/>
      <c r="AT18" s="26">
        <v>0.8</v>
      </c>
      <c r="AX18" s="26"/>
      <c r="AY18" s="26">
        <v>0.8</v>
      </c>
      <c r="AZ18" s="26"/>
      <c r="BA18" s="26">
        <v>0.8</v>
      </c>
      <c r="BE18" s="26"/>
      <c r="BF18" s="26">
        <v>0.8</v>
      </c>
      <c r="BG18" s="26"/>
      <c r="BH18" s="26">
        <v>0.8</v>
      </c>
      <c r="BL18" s="26"/>
      <c r="BM18" s="26">
        <v>1</v>
      </c>
      <c r="BN18" s="26"/>
      <c r="BO18" s="26">
        <v>1</v>
      </c>
      <c r="BS18" s="26"/>
      <c r="BT18" s="26">
        <v>1</v>
      </c>
      <c r="BU18" s="26"/>
      <c r="BV18" s="26">
        <v>1</v>
      </c>
      <c r="BZ18" s="26"/>
      <c r="CA18" s="26">
        <v>1</v>
      </c>
      <c r="CB18" s="26"/>
      <c r="CC18" s="26">
        <v>1</v>
      </c>
      <c r="CG18" s="26"/>
      <c r="CH18" s="26">
        <v>1</v>
      </c>
      <c r="CI18" s="26"/>
      <c r="CJ18" s="26">
        <v>1</v>
      </c>
      <c r="CN18" s="26"/>
      <c r="CO18" s="26">
        <v>1</v>
      </c>
      <c r="CP18" s="26"/>
      <c r="CQ18" s="26">
        <v>1</v>
      </c>
      <c r="CU18" s="26"/>
      <c r="CV18" s="26">
        <v>1</v>
      </c>
      <c r="CW18" s="26"/>
      <c r="CX18" s="26">
        <v>1</v>
      </c>
      <c r="CY18" s="15" t="s">
        <v>128</v>
      </c>
      <c r="DB18" s="26"/>
      <c r="DC18" s="26">
        <v>1</v>
      </c>
      <c r="DD18" s="26"/>
      <c r="DE18" s="26">
        <v>1</v>
      </c>
      <c r="DI18" s="26"/>
      <c r="DJ18" s="26">
        <v>1</v>
      </c>
      <c r="DK18" s="26"/>
      <c r="DL18" s="26">
        <v>1</v>
      </c>
      <c r="DP18" s="26"/>
      <c r="DQ18" s="26">
        <v>1</v>
      </c>
      <c r="DR18" s="26"/>
      <c r="DS18" s="26">
        <v>1</v>
      </c>
      <c r="DW18" s="26"/>
      <c r="DX18" s="26">
        <v>1</v>
      </c>
      <c r="DY18" s="26"/>
      <c r="DZ18" s="26">
        <v>1</v>
      </c>
    </row>
    <row r="19" spans="2:130" outlineLevel="1">
      <c r="B19" s="15" t="s">
        <v>28</v>
      </c>
      <c r="C19" s="15" t="s">
        <v>121</v>
      </c>
      <c r="E19" s="29"/>
      <c r="F19" s="15" t="s">
        <v>155</v>
      </c>
      <c r="G19" s="26">
        <v>0</v>
      </c>
      <c r="I19" s="29">
        <f t="shared" si="1"/>
        <v>0</v>
      </c>
      <c r="J19" s="28" cm="1">
        <f t="array" ref="J19">MAX(IF($N$3:$EH$3=$J$3,N19:EH19))</f>
        <v>0</v>
      </c>
      <c r="K19" s="28" cm="1">
        <f t="array" ref="K19">MAX(IF($N$3:$EH$3=$J$3,N19:EH19))</f>
        <v>0</v>
      </c>
      <c r="L19" s="29"/>
      <c r="O19" s="26"/>
      <c r="P19" s="26"/>
      <c r="Q19" s="26"/>
      <c r="R19" s="26"/>
      <c r="V19" s="26"/>
      <c r="W19" s="26">
        <v>0.5</v>
      </c>
      <c r="X19" s="26"/>
      <c r="Y19" s="26">
        <v>0.5</v>
      </c>
      <c r="AC19" s="26"/>
      <c r="AD19" s="26">
        <v>0.5</v>
      </c>
      <c r="AE19" s="26"/>
      <c r="AF19" s="26">
        <v>0.5</v>
      </c>
      <c r="AJ19" s="26"/>
      <c r="AK19" s="26">
        <v>0.8</v>
      </c>
      <c r="AL19" s="26"/>
      <c r="AM19" s="26">
        <v>0.8</v>
      </c>
      <c r="AQ19" s="26"/>
      <c r="AR19" s="26">
        <v>0.8</v>
      </c>
      <c r="AS19" s="26"/>
      <c r="AT19" s="26">
        <v>0.8</v>
      </c>
      <c r="AX19" s="26"/>
      <c r="AY19" s="26">
        <v>0.8</v>
      </c>
      <c r="AZ19" s="26"/>
      <c r="BA19" s="26">
        <v>0.8</v>
      </c>
      <c r="BE19" s="26"/>
      <c r="BF19" s="26">
        <v>0.8</v>
      </c>
      <c r="BG19" s="26"/>
      <c r="BH19" s="26">
        <v>0.8</v>
      </c>
      <c r="BL19" s="26"/>
      <c r="BM19" s="26">
        <v>0.8</v>
      </c>
      <c r="BN19" s="26"/>
      <c r="BO19" s="26">
        <v>0.8</v>
      </c>
      <c r="BS19" s="26"/>
      <c r="BT19" s="26">
        <v>1</v>
      </c>
      <c r="BU19" s="26"/>
      <c r="BV19" s="26">
        <v>1</v>
      </c>
      <c r="BZ19" s="26"/>
      <c r="CA19" s="26">
        <v>1</v>
      </c>
      <c r="CB19" s="26"/>
      <c r="CC19" s="26">
        <v>1</v>
      </c>
      <c r="CG19" s="26"/>
      <c r="CH19" s="26">
        <v>1</v>
      </c>
      <c r="CI19" s="26"/>
      <c r="CJ19" s="26">
        <v>1</v>
      </c>
      <c r="CN19" s="26"/>
      <c r="CO19" s="26">
        <v>1</v>
      </c>
      <c r="CP19" s="26"/>
      <c r="CQ19" s="26">
        <v>1</v>
      </c>
      <c r="CU19" s="26"/>
      <c r="CV19" s="26">
        <v>1</v>
      </c>
      <c r="CW19" s="26"/>
      <c r="CX19" s="26">
        <v>1</v>
      </c>
      <c r="DB19" s="26"/>
      <c r="DC19" s="26">
        <v>1</v>
      </c>
      <c r="DD19" s="26"/>
      <c r="DE19" s="26">
        <v>1</v>
      </c>
      <c r="DI19" s="26"/>
      <c r="DJ19" s="26">
        <v>1</v>
      </c>
      <c r="DK19" s="26"/>
      <c r="DL19" s="26">
        <v>1</v>
      </c>
      <c r="DP19" s="26"/>
      <c r="DQ19" s="26">
        <v>1</v>
      </c>
      <c r="DR19" s="26"/>
      <c r="DS19" s="26">
        <v>1</v>
      </c>
      <c r="DW19" s="26"/>
      <c r="DX19" s="26">
        <v>1</v>
      </c>
      <c r="DY19" s="26"/>
      <c r="DZ19" s="26">
        <v>1</v>
      </c>
    </row>
    <row r="20" spans="2:130" outlineLevel="1">
      <c r="B20" s="15" t="s">
        <v>28</v>
      </c>
      <c r="C20" s="15" t="s">
        <v>121</v>
      </c>
      <c r="E20" s="29"/>
      <c r="F20" s="15" t="s">
        <v>156</v>
      </c>
      <c r="G20" s="26">
        <v>0</v>
      </c>
      <c r="I20" s="29">
        <f t="shared" si="1"/>
        <v>0</v>
      </c>
      <c r="J20" s="28" cm="1">
        <f t="array" ref="J20">MAX(IF($N$3:$EH$3=$J$3,N20:EH20))</f>
        <v>0</v>
      </c>
      <c r="K20" s="28" cm="1">
        <f t="array" ref="K20">MAX(IF($N$3:$EH$3=$J$3,N20:EH20))</f>
        <v>0</v>
      </c>
      <c r="L20" s="29"/>
      <c r="O20" s="26"/>
      <c r="P20" s="37"/>
      <c r="Q20" s="26"/>
      <c r="R20" s="26"/>
      <c r="V20" s="26"/>
      <c r="W20" s="26"/>
      <c r="X20" s="26"/>
      <c r="Y20" s="26"/>
      <c r="AC20" s="26"/>
      <c r="AD20" s="26">
        <v>0.5</v>
      </c>
      <c r="AE20" s="26"/>
      <c r="AF20" s="26">
        <v>0.5</v>
      </c>
      <c r="AJ20" s="26"/>
      <c r="AK20" s="26">
        <v>0.5</v>
      </c>
      <c r="AL20" s="26"/>
      <c r="AM20" s="26">
        <v>0.5</v>
      </c>
      <c r="AQ20" s="26"/>
      <c r="AR20" s="26">
        <v>0.8</v>
      </c>
      <c r="AS20" s="26"/>
      <c r="AT20" s="26">
        <v>0.8</v>
      </c>
      <c r="AX20" s="26"/>
      <c r="AY20" s="26">
        <v>0.8</v>
      </c>
      <c r="AZ20" s="26"/>
      <c r="BA20" s="26">
        <v>0.8</v>
      </c>
      <c r="BE20" s="26"/>
      <c r="BF20" s="26">
        <v>0.8</v>
      </c>
      <c r="BG20" s="26"/>
      <c r="BH20" s="26">
        <v>0.8</v>
      </c>
      <c r="BL20" s="26"/>
      <c r="BM20" s="26">
        <v>0.8</v>
      </c>
      <c r="BN20" s="26"/>
      <c r="BO20" s="26">
        <v>0.8</v>
      </c>
      <c r="BS20" s="26"/>
      <c r="BT20" s="26">
        <v>0.8</v>
      </c>
      <c r="BU20" s="26"/>
      <c r="BV20" s="26">
        <v>0.8</v>
      </c>
      <c r="BZ20" s="26"/>
      <c r="CA20" s="26">
        <v>1</v>
      </c>
      <c r="CB20" s="26"/>
      <c r="CC20" s="26">
        <v>1</v>
      </c>
      <c r="CG20" s="26"/>
      <c r="CH20" s="26">
        <v>1</v>
      </c>
      <c r="CI20" s="26"/>
      <c r="CJ20" s="26">
        <v>1</v>
      </c>
      <c r="CN20" s="26"/>
      <c r="CO20" s="26">
        <v>1</v>
      </c>
      <c r="CP20" s="26"/>
      <c r="CQ20" s="26">
        <v>1</v>
      </c>
      <c r="CU20" s="26"/>
      <c r="CV20" s="26">
        <v>1</v>
      </c>
      <c r="CW20" s="26"/>
      <c r="CX20" s="26">
        <v>1</v>
      </c>
      <c r="DB20" s="26"/>
      <c r="DC20" s="26">
        <v>1</v>
      </c>
      <c r="DD20" s="26"/>
      <c r="DE20" s="26">
        <v>1</v>
      </c>
      <c r="DI20" s="26"/>
      <c r="DJ20" s="26">
        <v>1</v>
      </c>
      <c r="DK20" s="26"/>
      <c r="DL20" s="26">
        <v>1</v>
      </c>
      <c r="DP20" s="26"/>
      <c r="DQ20" s="26">
        <v>1</v>
      </c>
      <c r="DR20" s="26"/>
      <c r="DS20" s="26">
        <v>1</v>
      </c>
      <c r="DW20" s="26"/>
      <c r="DX20" s="26">
        <v>1</v>
      </c>
      <c r="DY20" s="26"/>
      <c r="DZ20" s="26">
        <v>1</v>
      </c>
    </row>
    <row r="21" spans="2:130" outlineLevel="1">
      <c r="B21" s="15" t="s">
        <v>28</v>
      </c>
      <c r="C21" s="15" t="s">
        <v>121</v>
      </c>
      <c r="E21" s="29"/>
      <c r="F21" s="16" t="s">
        <v>157</v>
      </c>
      <c r="G21" s="26">
        <v>0</v>
      </c>
      <c r="I21" s="29">
        <f t="shared" si="1"/>
        <v>0</v>
      </c>
      <c r="J21" s="28" cm="1">
        <f t="array" ref="J21">MAX(IF($N$3:$EH$3=$J$3,N21:EH21))</f>
        <v>0</v>
      </c>
      <c r="K21" s="28" cm="1">
        <f t="array" ref="K21">MAX(IF($N$3:$EH$3=$J$3,N21:EH21))</f>
        <v>0</v>
      </c>
      <c r="L21" s="29"/>
      <c r="O21" s="26"/>
      <c r="P21" s="37"/>
      <c r="Q21" s="26"/>
      <c r="R21" s="26"/>
      <c r="V21" s="26"/>
      <c r="W21" s="26"/>
      <c r="X21" s="26"/>
      <c r="Y21" s="26"/>
      <c r="AC21" s="26"/>
      <c r="AD21" s="26">
        <v>0.5</v>
      </c>
      <c r="AE21" s="26"/>
      <c r="AF21" s="26">
        <v>0.5</v>
      </c>
      <c r="AJ21" s="26"/>
      <c r="AK21" s="26">
        <v>0.5</v>
      </c>
      <c r="AL21" s="26"/>
      <c r="AM21" s="26">
        <v>0.5</v>
      </c>
      <c r="AQ21" s="26"/>
      <c r="AR21" s="26">
        <v>0.5</v>
      </c>
      <c r="AS21" s="26"/>
      <c r="AT21" s="26">
        <v>0.5</v>
      </c>
      <c r="AX21" s="26"/>
      <c r="AY21" s="26">
        <v>0.8</v>
      </c>
      <c r="AZ21" s="26"/>
      <c r="BA21" s="26">
        <v>0.8</v>
      </c>
      <c r="BE21" s="26"/>
      <c r="BF21" s="26">
        <v>0.8</v>
      </c>
      <c r="BG21" s="26"/>
      <c r="BH21" s="26">
        <v>0.8</v>
      </c>
      <c r="BL21" s="26"/>
      <c r="BM21" s="26">
        <v>0.8</v>
      </c>
      <c r="BN21" s="26"/>
      <c r="BO21" s="26">
        <v>0.8</v>
      </c>
      <c r="BS21" s="26"/>
      <c r="BT21" s="26">
        <v>0.8</v>
      </c>
      <c r="BU21" s="26"/>
      <c r="BV21" s="26">
        <v>0.8</v>
      </c>
      <c r="BZ21" s="26"/>
      <c r="CA21" s="26">
        <v>0.8</v>
      </c>
      <c r="CB21" s="26"/>
      <c r="CC21" s="26">
        <v>0.8</v>
      </c>
      <c r="CG21" s="26"/>
      <c r="CH21" s="26">
        <v>1</v>
      </c>
      <c r="CI21" s="26"/>
      <c r="CJ21" s="26">
        <v>1</v>
      </c>
      <c r="CN21" s="26"/>
      <c r="CO21" s="26">
        <v>1</v>
      </c>
      <c r="CP21" s="26"/>
      <c r="CQ21" s="26">
        <v>1</v>
      </c>
      <c r="CU21" s="26"/>
      <c r="CV21" s="26">
        <v>1</v>
      </c>
      <c r="CW21" s="26"/>
      <c r="CX21" s="26">
        <v>1</v>
      </c>
      <c r="DB21" s="26"/>
      <c r="DC21" s="26">
        <v>1</v>
      </c>
      <c r="DD21" s="26"/>
      <c r="DE21" s="26">
        <v>1</v>
      </c>
      <c r="DI21" s="26"/>
      <c r="DJ21" s="26">
        <v>1</v>
      </c>
      <c r="DK21" s="26"/>
      <c r="DL21" s="26">
        <v>1</v>
      </c>
      <c r="DP21" s="26"/>
      <c r="DQ21" s="26">
        <v>1</v>
      </c>
      <c r="DR21" s="26"/>
      <c r="DS21" s="26">
        <v>1</v>
      </c>
      <c r="DW21" s="26"/>
      <c r="DX21" s="26">
        <v>1</v>
      </c>
      <c r="DY21" s="26"/>
      <c r="DZ21" s="26">
        <v>1</v>
      </c>
    </row>
    <row r="22" spans="2:130" outlineLevel="1">
      <c r="B22" s="15" t="s">
        <v>28</v>
      </c>
      <c r="C22" s="15" t="s">
        <v>121</v>
      </c>
      <c r="E22" s="29"/>
      <c r="F22" s="16" t="s">
        <v>158</v>
      </c>
      <c r="G22" s="26">
        <v>0</v>
      </c>
      <c r="I22" s="29">
        <f t="shared" si="1"/>
        <v>0</v>
      </c>
      <c r="J22" s="28" cm="1">
        <f t="array" ref="J22">MAX(IF($N$3:$EH$3=$J$3,N22:EH22))</f>
        <v>0</v>
      </c>
      <c r="K22" s="28" cm="1">
        <f t="array" ref="K22">MAX(IF($N$3:$EH$3=$J$3,N22:EH22))</f>
        <v>0</v>
      </c>
      <c r="L22" s="29"/>
      <c r="O22" s="26"/>
      <c r="P22" s="26"/>
      <c r="Q22" s="26"/>
      <c r="R22" s="26"/>
      <c r="V22" s="26"/>
      <c r="W22" s="26"/>
      <c r="X22" s="26"/>
      <c r="Y22" s="26"/>
      <c r="AC22" s="26"/>
      <c r="AD22" s="37"/>
      <c r="AE22" s="26"/>
      <c r="AF22" s="26"/>
      <c r="AJ22" s="26"/>
      <c r="AK22" s="26"/>
      <c r="AL22" s="26"/>
      <c r="AM22" s="26"/>
      <c r="AQ22" s="26"/>
      <c r="AR22" s="26">
        <v>0.5</v>
      </c>
      <c r="AS22" s="26"/>
      <c r="AT22" s="26">
        <v>0.5</v>
      </c>
      <c r="AX22" s="26"/>
      <c r="AY22" s="26">
        <v>0.5</v>
      </c>
      <c r="AZ22" s="26"/>
      <c r="BA22" s="26">
        <v>0.5</v>
      </c>
      <c r="BE22" s="26"/>
      <c r="BF22" s="26">
        <v>0.8</v>
      </c>
      <c r="BG22" s="26"/>
      <c r="BH22" s="26">
        <v>0.8</v>
      </c>
      <c r="BL22" s="26"/>
      <c r="BM22" s="26">
        <v>0.8</v>
      </c>
      <c r="BN22" s="26"/>
      <c r="BO22" s="26">
        <v>0.8</v>
      </c>
      <c r="BS22" s="26"/>
      <c r="BT22" s="26">
        <v>0.8</v>
      </c>
      <c r="BU22" s="26"/>
      <c r="BV22" s="26">
        <v>0.8</v>
      </c>
      <c r="BZ22" s="26"/>
      <c r="CA22" s="26">
        <v>0.8</v>
      </c>
      <c r="CB22" s="26"/>
      <c r="CC22" s="26">
        <v>0.8</v>
      </c>
      <c r="CG22" s="26"/>
      <c r="CH22" s="26">
        <v>0.8</v>
      </c>
      <c r="CI22" s="26"/>
      <c r="CJ22" s="26">
        <v>0.8</v>
      </c>
      <c r="CN22" s="26"/>
      <c r="CO22" s="26">
        <v>1</v>
      </c>
      <c r="CP22" s="26"/>
      <c r="CQ22" s="26">
        <v>1</v>
      </c>
      <c r="CU22" s="26"/>
      <c r="CV22" s="26">
        <v>1</v>
      </c>
      <c r="CW22" s="26"/>
      <c r="CX22" s="26">
        <v>1</v>
      </c>
      <c r="DB22" s="26"/>
      <c r="DC22" s="26">
        <v>1</v>
      </c>
      <c r="DD22" s="26"/>
      <c r="DE22" s="26">
        <v>1</v>
      </c>
      <c r="DI22" s="26"/>
      <c r="DJ22" s="26">
        <v>1</v>
      </c>
      <c r="DK22" s="26"/>
      <c r="DL22" s="26">
        <v>1</v>
      </c>
      <c r="DP22" s="26"/>
      <c r="DQ22" s="26">
        <v>1</v>
      </c>
      <c r="DR22" s="26"/>
      <c r="DS22" s="26">
        <v>1</v>
      </c>
      <c r="DW22" s="26"/>
      <c r="DX22" s="26">
        <v>1</v>
      </c>
      <c r="DY22" s="26"/>
      <c r="DZ22" s="26">
        <v>1</v>
      </c>
    </row>
    <row r="23" spans="2:130" outlineLevel="1">
      <c r="B23" s="15" t="s">
        <v>28</v>
      </c>
      <c r="C23" s="15" t="s">
        <v>121</v>
      </c>
      <c r="E23" s="29"/>
      <c r="F23" s="15" t="s">
        <v>159</v>
      </c>
      <c r="G23" s="26">
        <v>0</v>
      </c>
      <c r="I23" s="29">
        <f t="shared" si="1"/>
        <v>0</v>
      </c>
      <c r="J23" s="28" cm="1">
        <f t="array" ref="J23">MAX(IF($N$3:$EH$3=$J$3,N23:EH23))</f>
        <v>0</v>
      </c>
      <c r="K23" s="28" cm="1">
        <f t="array" ref="K23">MAX(IF($N$3:$EH$3=$J$3,N23:EH23))</f>
        <v>0</v>
      </c>
      <c r="L23" s="29"/>
      <c r="O23" s="26"/>
      <c r="P23" s="26"/>
      <c r="Q23" s="26"/>
      <c r="R23" s="26"/>
      <c r="V23" s="26"/>
      <c r="W23" s="26"/>
      <c r="X23" s="26"/>
      <c r="Y23" s="26"/>
      <c r="AC23" s="26"/>
      <c r="AD23" s="26"/>
      <c r="AE23" s="26"/>
      <c r="AF23" s="26"/>
      <c r="AJ23" s="26"/>
      <c r="AK23" s="37"/>
      <c r="AL23" s="26"/>
      <c r="AM23" s="26"/>
      <c r="AQ23" s="26"/>
      <c r="AR23" s="26"/>
      <c r="AS23" s="26"/>
      <c r="AT23" s="26"/>
      <c r="AX23" s="26"/>
      <c r="AY23" s="26">
        <v>0.5</v>
      </c>
      <c r="AZ23" s="26"/>
      <c r="BA23" s="26">
        <v>0.5</v>
      </c>
      <c r="BE23" s="26"/>
      <c r="BF23" s="26">
        <v>0.5</v>
      </c>
      <c r="BG23" s="26"/>
      <c r="BH23" s="26">
        <v>0.5</v>
      </c>
      <c r="BL23" s="26"/>
      <c r="BM23" s="26">
        <v>0.5</v>
      </c>
      <c r="BN23" s="26"/>
      <c r="BO23" s="26">
        <v>0.5</v>
      </c>
      <c r="BS23" s="26"/>
      <c r="BT23" s="26">
        <v>0.8</v>
      </c>
      <c r="BU23" s="26"/>
      <c r="BV23" s="26">
        <v>0.8</v>
      </c>
      <c r="BZ23" s="26"/>
      <c r="CA23" s="26">
        <v>0.8</v>
      </c>
      <c r="CB23" s="26"/>
      <c r="CC23" s="26">
        <v>0.8</v>
      </c>
      <c r="CG23" s="26"/>
      <c r="CH23" s="26">
        <v>0.8</v>
      </c>
      <c r="CI23" s="26"/>
      <c r="CJ23" s="26">
        <v>0.8</v>
      </c>
      <c r="CN23" s="26"/>
      <c r="CO23" s="26">
        <v>1</v>
      </c>
      <c r="CP23" s="26"/>
      <c r="CQ23" s="26">
        <v>1</v>
      </c>
      <c r="CU23" s="26"/>
      <c r="CV23" s="26">
        <v>1</v>
      </c>
      <c r="CW23" s="26"/>
      <c r="CX23" s="26">
        <v>1</v>
      </c>
      <c r="DB23" s="26"/>
      <c r="DC23" s="26">
        <v>1</v>
      </c>
      <c r="DD23" s="26"/>
      <c r="DE23" s="26">
        <v>1</v>
      </c>
      <c r="DI23" s="26"/>
      <c r="DJ23" s="26">
        <v>1</v>
      </c>
      <c r="DK23" s="26"/>
      <c r="DL23" s="26">
        <v>1</v>
      </c>
      <c r="DP23" s="26"/>
      <c r="DQ23" s="26">
        <v>1</v>
      </c>
      <c r="DR23" s="26"/>
      <c r="DS23" s="26">
        <v>1</v>
      </c>
      <c r="DW23" s="26"/>
      <c r="DX23" s="26">
        <v>1</v>
      </c>
      <c r="DY23" s="26"/>
      <c r="DZ23" s="26">
        <v>1</v>
      </c>
    </row>
    <row r="24" spans="2:130" outlineLevel="1">
      <c r="C24" s="15" t="s">
        <v>121</v>
      </c>
      <c r="E24" s="29"/>
      <c r="F24" s="16" t="s">
        <v>160</v>
      </c>
      <c r="G24" s="26">
        <v>0</v>
      </c>
      <c r="I24" s="29">
        <f t="shared" si="1"/>
        <v>0</v>
      </c>
      <c r="J24" s="28" cm="1">
        <f t="array" ref="J24">MAX(IF($N$3:$EH$3=$J$3,N24:EH24))</f>
        <v>0</v>
      </c>
      <c r="K24" s="28" cm="1">
        <f t="array" ref="K24">MAX(IF($N$3:$EH$3=$J$3,N24:EH24))</f>
        <v>0</v>
      </c>
      <c r="L24" s="29"/>
      <c r="O24" s="26"/>
      <c r="P24" s="26"/>
      <c r="Q24" s="26"/>
      <c r="R24" s="26"/>
      <c r="V24" s="26"/>
      <c r="W24" s="26"/>
      <c r="X24" s="26"/>
      <c r="Y24" s="26"/>
      <c r="AC24" s="26"/>
      <c r="AD24" s="26"/>
      <c r="AE24" s="26"/>
      <c r="AF24" s="26"/>
      <c r="AJ24" s="26"/>
      <c r="AK24" s="37"/>
      <c r="AL24" s="26"/>
      <c r="AM24" s="26"/>
      <c r="AQ24" s="26"/>
      <c r="AR24" s="37"/>
      <c r="AS24" s="26"/>
      <c r="AT24" s="26"/>
      <c r="AX24" s="26"/>
      <c r="AY24" s="26"/>
      <c r="AZ24" s="26"/>
      <c r="BA24" s="26"/>
      <c r="BE24" s="26"/>
      <c r="BF24" s="26">
        <v>0.5</v>
      </c>
      <c r="BG24" s="26"/>
      <c r="BH24" s="26">
        <v>0.5</v>
      </c>
      <c r="BL24" s="26"/>
      <c r="BM24" s="26">
        <v>0.5</v>
      </c>
      <c r="BN24" s="26"/>
      <c r="BO24" s="26">
        <v>0.5</v>
      </c>
      <c r="BS24" s="26"/>
      <c r="BT24" s="26">
        <v>0.5</v>
      </c>
      <c r="BU24" s="26"/>
      <c r="BV24" s="26">
        <v>0.5</v>
      </c>
      <c r="BZ24" s="26"/>
      <c r="CA24" s="26">
        <v>0.8</v>
      </c>
      <c r="CB24" s="26"/>
      <c r="CC24" s="26">
        <v>0.8</v>
      </c>
      <c r="CG24" s="26"/>
      <c r="CH24" s="26">
        <v>0.8</v>
      </c>
      <c r="CI24" s="26"/>
      <c r="CJ24" s="26">
        <v>0.8</v>
      </c>
      <c r="CN24" s="26"/>
      <c r="CO24" s="26">
        <v>0.8</v>
      </c>
      <c r="CP24" s="26"/>
      <c r="CQ24" s="26">
        <v>0.8</v>
      </c>
      <c r="CU24" s="26"/>
      <c r="CV24" s="26">
        <v>1</v>
      </c>
      <c r="CW24" s="26"/>
      <c r="CX24" s="26">
        <v>1</v>
      </c>
      <c r="DB24" s="26"/>
      <c r="DC24" s="26">
        <v>1</v>
      </c>
      <c r="DD24" s="26"/>
      <c r="DE24" s="26">
        <v>1</v>
      </c>
      <c r="DI24" s="26"/>
      <c r="DJ24" s="26">
        <v>1</v>
      </c>
      <c r="DK24" s="26"/>
      <c r="DL24" s="26">
        <v>1</v>
      </c>
      <c r="DP24" s="26"/>
      <c r="DQ24" s="26">
        <v>1</v>
      </c>
      <c r="DR24" s="26"/>
      <c r="DS24" s="26">
        <v>1</v>
      </c>
      <c r="DW24" s="26"/>
      <c r="DX24" s="26">
        <v>1</v>
      </c>
      <c r="DY24" s="26"/>
      <c r="DZ24" s="26">
        <v>1</v>
      </c>
    </row>
    <row r="25" spans="2:130" outlineLevel="1">
      <c r="B25" s="15" t="s">
        <v>28</v>
      </c>
      <c r="C25" s="15" t="s">
        <v>121</v>
      </c>
      <c r="E25" s="29"/>
      <c r="F25" s="15" t="s">
        <v>161</v>
      </c>
      <c r="G25" s="26">
        <v>0</v>
      </c>
      <c r="I25" s="29">
        <f t="shared" si="1"/>
        <v>0</v>
      </c>
      <c r="J25" s="28" cm="1">
        <f t="array" ref="J25">MAX(IF($N$3:$EH$3=$J$3,N25:EH25))</f>
        <v>0</v>
      </c>
      <c r="K25" s="28" cm="1">
        <f t="array" ref="K25">MAX(IF($N$3:$EH$3=$J$3,N25:EH25))</f>
        <v>0</v>
      </c>
      <c r="L25" s="29"/>
      <c r="O25" s="26"/>
      <c r="P25" s="26"/>
      <c r="Q25" s="26"/>
      <c r="R25" s="26"/>
      <c r="V25" s="26"/>
      <c r="W25" s="26"/>
      <c r="X25" s="26"/>
      <c r="Y25" s="26"/>
      <c r="AC25" s="26"/>
      <c r="AD25" s="26"/>
      <c r="AE25" s="26"/>
      <c r="AF25" s="26"/>
      <c r="AJ25" s="26"/>
      <c r="AK25" s="26"/>
      <c r="AL25" s="26"/>
      <c r="AM25" s="26"/>
      <c r="AQ25" s="26"/>
      <c r="AR25" s="37"/>
      <c r="AS25" s="26"/>
      <c r="AT25" s="26"/>
      <c r="AX25" s="26"/>
      <c r="AY25" s="37"/>
      <c r="AZ25" s="26"/>
      <c r="BA25" s="26"/>
      <c r="BE25" s="26"/>
      <c r="BF25" s="26"/>
      <c r="BG25" s="26"/>
      <c r="BH25" s="26"/>
      <c r="BL25" s="26"/>
      <c r="BM25" s="26">
        <v>0.5</v>
      </c>
      <c r="BN25" s="26"/>
      <c r="BO25" s="26">
        <v>0.5</v>
      </c>
      <c r="BS25" s="26"/>
      <c r="BT25" s="26">
        <v>0.5</v>
      </c>
      <c r="BU25" s="26"/>
      <c r="BV25" s="26">
        <v>0.5</v>
      </c>
      <c r="BZ25" s="26"/>
      <c r="CA25" s="26">
        <v>0.5</v>
      </c>
      <c r="CB25" s="26"/>
      <c r="CC25" s="26">
        <v>0.5</v>
      </c>
      <c r="CG25" s="26"/>
      <c r="CH25" s="26">
        <v>0.8</v>
      </c>
      <c r="CI25" s="26"/>
      <c r="CJ25" s="26">
        <v>0.8</v>
      </c>
      <c r="CN25" s="26"/>
      <c r="CO25" s="26">
        <v>0.8</v>
      </c>
      <c r="CP25" s="26"/>
      <c r="CQ25" s="26">
        <v>0.8</v>
      </c>
      <c r="CU25" s="26"/>
      <c r="CV25" s="26">
        <v>1</v>
      </c>
      <c r="CW25" s="26"/>
      <c r="CX25" s="26">
        <v>1</v>
      </c>
      <c r="DB25" s="26"/>
      <c r="DC25" s="26">
        <v>1</v>
      </c>
      <c r="DD25" s="26"/>
      <c r="DE25" s="26">
        <v>1</v>
      </c>
      <c r="DI25" s="26"/>
      <c r="DJ25" s="26">
        <v>1</v>
      </c>
      <c r="DK25" s="26"/>
      <c r="DL25" s="26">
        <v>1</v>
      </c>
      <c r="DP25" s="26"/>
      <c r="DQ25" s="26">
        <v>1</v>
      </c>
      <c r="DR25" s="26"/>
      <c r="DS25" s="26">
        <v>1</v>
      </c>
      <c r="DW25" s="26"/>
      <c r="DX25" s="26">
        <v>1</v>
      </c>
      <c r="DY25" s="26"/>
      <c r="DZ25" s="26">
        <v>1</v>
      </c>
    </row>
    <row r="27" spans="2:130">
      <c r="B27" s="15" t="s">
        <v>27</v>
      </c>
      <c r="C27" s="15" t="s">
        <v>95</v>
      </c>
      <c r="D27" s="30">
        <v>45126</v>
      </c>
      <c r="E27" s="29">
        <v>6</v>
      </c>
      <c r="G27" s="26">
        <f>+SUM(G28:G34)</f>
        <v>0</v>
      </c>
      <c r="I27" s="27">
        <f>+SUM(I28:I34)</f>
        <v>3</v>
      </c>
      <c r="J27" s="28">
        <f>+SUMPRODUCT(G28:G34,J28:J34)</f>
        <v>0</v>
      </c>
      <c r="K27" s="28">
        <f>+SUMPRODUCT(G28:G34,K28:K34)</f>
        <v>0</v>
      </c>
      <c r="L27" s="29"/>
      <c r="N27" s="27">
        <f>+SUM(N28:N34)</f>
        <v>3</v>
      </c>
      <c r="U27" s="27">
        <f>+SUM(U28:U34)</f>
        <v>0</v>
      </c>
      <c r="AB27" s="27">
        <f>+SUM(AB28:AB34)</f>
        <v>0</v>
      </c>
      <c r="AI27" s="27">
        <f>+SUM(AI28:AI34)</f>
        <v>0</v>
      </c>
      <c r="AP27" s="27">
        <f>+SUM(AP28:AP34)</f>
        <v>0</v>
      </c>
    </row>
    <row r="28" spans="2:130" outlineLevel="1">
      <c r="B28" s="15" t="s">
        <v>28</v>
      </c>
      <c r="C28" s="15" t="s">
        <v>95</v>
      </c>
      <c r="E28" s="29"/>
      <c r="F28" s="16" t="s">
        <v>114</v>
      </c>
      <c r="G28" s="26">
        <v>0</v>
      </c>
      <c r="I28" s="29">
        <f>+SUMIF($N$3:$ZZ$3,I$3,$N28:$ZZ28)</f>
        <v>3</v>
      </c>
      <c r="J28" s="28" cm="1">
        <f t="array" ref="J28">MAX(IF($N$3:$EH$3=$J$3,N28:EH28))</f>
        <v>0</v>
      </c>
      <c r="K28" s="28" cm="1">
        <f t="array" ref="K28">MAX(IF($N$3:$EH$3=$J$3,N28:EH28))</f>
        <v>0</v>
      </c>
      <c r="L28" s="29"/>
      <c r="N28" s="15">
        <v>3</v>
      </c>
      <c r="O28" s="26"/>
      <c r="P28" s="26">
        <v>0.5</v>
      </c>
      <c r="Q28" s="26"/>
      <c r="R28" s="26">
        <v>0.5</v>
      </c>
      <c r="V28" s="26"/>
      <c r="W28" s="26">
        <v>0.5</v>
      </c>
      <c r="X28" s="26"/>
      <c r="Y28" s="26">
        <v>0.5</v>
      </c>
      <c r="AC28" s="26"/>
      <c r="AD28" s="26">
        <v>0.5</v>
      </c>
      <c r="AE28" s="26"/>
      <c r="AF28" s="26">
        <v>0.5</v>
      </c>
      <c r="AJ28" s="26"/>
      <c r="AK28" s="26">
        <v>0.8</v>
      </c>
      <c r="AL28" s="26"/>
      <c r="AM28" s="26">
        <v>0.8</v>
      </c>
      <c r="AQ28" s="26"/>
      <c r="AR28" s="26">
        <v>0.8</v>
      </c>
      <c r="AS28" s="26"/>
      <c r="AT28" s="26">
        <v>0.8</v>
      </c>
      <c r="AX28" s="26"/>
      <c r="AY28" s="26">
        <v>0.8</v>
      </c>
      <c r="AZ28" s="26"/>
      <c r="BA28" s="26">
        <v>0.8</v>
      </c>
      <c r="BE28" s="26"/>
      <c r="BF28" s="26">
        <v>1</v>
      </c>
      <c r="BG28" s="26"/>
      <c r="BH28" s="26">
        <v>1</v>
      </c>
      <c r="BL28" s="26"/>
      <c r="BM28" s="26">
        <v>1</v>
      </c>
      <c r="BN28" s="26"/>
      <c r="BO28" s="26">
        <v>1</v>
      </c>
      <c r="BS28" s="26"/>
      <c r="BT28" s="26">
        <v>1</v>
      </c>
      <c r="BU28" s="26"/>
      <c r="BV28" s="26">
        <v>1</v>
      </c>
      <c r="BZ28" s="26"/>
      <c r="CA28" s="26">
        <v>1</v>
      </c>
      <c r="CB28" s="26"/>
      <c r="CC28" s="26">
        <v>1</v>
      </c>
      <c r="CG28" s="26"/>
      <c r="CH28" s="26">
        <v>1</v>
      </c>
      <c r="CI28" s="26"/>
      <c r="CJ28" s="26">
        <v>1</v>
      </c>
      <c r="CN28" s="26"/>
      <c r="CO28" s="26">
        <v>1</v>
      </c>
      <c r="CP28" s="26"/>
      <c r="CQ28" s="26">
        <v>1</v>
      </c>
      <c r="CR28" s="15" t="s">
        <v>128</v>
      </c>
      <c r="CU28" s="26"/>
      <c r="CV28" s="26">
        <v>1</v>
      </c>
      <c r="CW28" s="26"/>
      <c r="CX28" s="26">
        <v>1</v>
      </c>
      <c r="DB28" s="26"/>
      <c r="DC28" s="26">
        <v>1</v>
      </c>
      <c r="DD28" s="26"/>
      <c r="DE28" s="26">
        <v>1</v>
      </c>
      <c r="DI28" s="26"/>
      <c r="DJ28" s="26">
        <v>1</v>
      </c>
      <c r="DK28" s="26"/>
      <c r="DL28" s="26">
        <v>1</v>
      </c>
      <c r="DP28" s="26"/>
      <c r="DQ28" s="26">
        <v>1</v>
      </c>
      <c r="DR28" s="26"/>
      <c r="DS28" s="26">
        <v>1</v>
      </c>
      <c r="DW28" s="26"/>
      <c r="DX28" s="26">
        <v>1</v>
      </c>
      <c r="DY28" s="26"/>
      <c r="DZ28" s="26">
        <v>1</v>
      </c>
    </row>
    <row r="29" spans="2:130" outlineLevel="1">
      <c r="B29" s="15" t="s">
        <v>28</v>
      </c>
      <c r="C29" s="15" t="s">
        <v>95</v>
      </c>
      <c r="E29" s="29"/>
      <c r="F29" s="16" t="s">
        <v>115</v>
      </c>
      <c r="G29" s="26">
        <v>0</v>
      </c>
      <c r="I29" s="29">
        <f>+SUMIF($N$3:$ZZ$3,I$3,$N29:$ZZ29)</f>
        <v>0</v>
      </c>
      <c r="J29" s="28" cm="1">
        <f t="array" ref="J29">MAX(IF($N$3:$EH$3=$J$3,N29:EH29))</f>
        <v>0</v>
      </c>
      <c r="K29" s="28" cm="1">
        <f t="array" ref="K29">MAX(IF($N$3:$EH$3=$J$3,N29:EH29))</f>
        <v>0</v>
      </c>
      <c r="L29" s="29"/>
      <c r="O29" s="26"/>
      <c r="P29" s="26"/>
      <c r="Q29" s="26"/>
      <c r="R29" s="26"/>
      <c r="V29" s="26"/>
      <c r="W29" s="26"/>
      <c r="X29" s="26"/>
      <c r="Y29" s="26"/>
      <c r="AC29" s="26"/>
      <c r="AD29" s="26">
        <v>0.5</v>
      </c>
      <c r="AE29" s="26"/>
      <c r="AF29" s="26">
        <v>0.5</v>
      </c>
      <c r="AJ29" s="26"/>
      <c r="AK29" s="26">
        <v>0.8</v>
      </c>
      <c r="AL29" s="26"/>
      <c r="AM29" s="26">
        <v>0.8</v>
      </c>
      <c r="AN29" s="15">
        <v>2</v>
      </c>
      <c r="AQ29" s="26"/>
      <c r="AR29" s="26">
        <v>0.8</v>
      </c>
      <c r="AS29" s="26"/>
      <c r="AT29" s="26">
        <v>0.8</v>
      </c>
      <c r="AX29" s="26"/>
      <c r="AY29" s="26">
        <v>0.8</v>
      </c>
      <c r="AZ29" s="26"/>
      <c r="BA29" s="26">
        <v>0.8</v>
      </c>
      <c r="BE29" s="26"/>
      <c r="BF29" s="26">
        <v>0.8</v>
      </c>
      <c r="BG29" s="26"/>
      <c r="BH29" s="26">
        <v>0.8</v>
      </c>
      <c r="BL29" s="26"/>
      <c r="BM29" s="26">
        <v>1</v>
      </c>
      <c r="BN29" s="26"/>
      <c r="BO29" s="26">
        <v>1</v>
      </c>
      <c r="BS29" s="26"/>
      <c r="BT29" s="26">
        <v>1</v>
      </c>
      <c r="BU29" s="26"/>
      <c r="BV29" s="26">
        <v>1</v>
      </c>
      <c r="BZ29" s="26"/>
      <c r="CA29" s="26">
        <v>1</v>
      </c>
      <c r="CB29" s="26"/>
      <c r="CC29" s="26">
        <v>1</v>
      </c>
      <c r="CG29" s="26"/>
      <c r="CH29" s="26">
        <v>1</v>
      </c>
      <c r="CI29" s="26"/>
      <c r="CJ29" s="26">
        <v>1</v>
      </c>
      <c r="CN29" s="26"/>
      <c r="CO29" s="26">
        <v>1</v>
      </c>
      <c r="CP29" s="26"/>
      <c r="CQ29" s="26">
        <v>1</v>
      </c>
      <c r="CU29" s="26"/>
      <c r="CV29" s="26">
        <v>1</v>
      </c>
      <c r="CW29" s="26"/>
      <c r="CX29" s="26">
        <v>1</v>
      </c>
      <c r="DB29" s="26"/>
      <c r="DC29" s="26">
        <v>1</v>
      </c>
      <c r="DD29" s="26"/>
      <c r="DE29" s="26">
        <v>1</v>
      </c>
      <c r="DI29" s="26"/>
      <c r="DJ29" s="26">
        <v>1</v>
      </c>
      <c r="DK29" s="26"/>
      <c r="DL29" s="26">
        <v>1</v>
      </c>
      <c r="DP29" s="26"/>
      <c r="DQ29" s="26">
        <v>1</v>
      </c>
      <c r="DR29" s="26"/>
      <c r="DS29" s="26">
        <v>1</v>
      </c>
      <c r="DW29" s="26"/>
      <c r="DX29" s="26">
        <v>1</v>
      </c>
      <c r="DY29" s="26"/>
      <c r="DZ29" s="26">
        <v>1</v>
      </c>
    </row>
    <row r="30" spans="2:130" outlineLevel="1">
      <c r="B30" s="15" t="s">
        <v>28</v>
      </c>
      <c r="C30" s="15" t="s">
        <v>95</v>
      </c>
      <c r="E30" s="29"/>
      <c r="F30" s="16" t="s">
        <v>116</v>
      </c>
      <c r="G30" s="26">
        <v>0</v>
      </c>
      <c r="I30" s="29">
        <f t="shared" ref="I30:I34" si="2">+SUMIF($N$3:$ZZ$3,I$3,$N30:$ZZ30)</f>
        <v>0</v>
      </c>
      <c r="J30" s="28" cm="1">
        <f t="array" ref="J30">MAX(IF($N$3:$EH$3=$J$3,N30:EH30))</f>
        <v>0</v>
      </c>
      <c r="K30" s="28" cm="1">
        <f t="array" ref="K30">MAX(IF($N$3:$EH$3=$J$3,N30:EH30))</f>
        <v>0</v>
      </c>
      <c r="L30" s="29"/>
      <c r="O30" s="26"/>
      <c r="P30" s="26"/>
      <c r="Q30" s="26"/>
      <c r="R30" s="26"/>
      <c r="V30" s="26"/>
      <c r="W30" s="26"/>
      <c r="X30" s="26"/>
      <c r="Y30" s="26"/>
      <c r="AC30" s="26"/>
      <c r="AD30" s="26">
        <v>0.5</v>
      </c>
      <c r="AE30" s="26"/>
      <c r="AF30" s="26">
        <v>0.5</v>
      </c>
      <c r="AJ30" s="26"/>
      <c r="AK30" s="26">
        <v>0.5</v>
      </c>
      <c r="AL30" s="26"/>
      <c r="AM30" s="26">
        <v>0.5</v>
      </c>
      <c r="AQ30" s="26"/>
      <c r="AR30" s="26">
        <v>0.8</v>
      </c>
      <c r="AS30" s="26"/>
      <c r="AT30" s="26">
        <v>0.8</v>
      </c>
      <c r="AX30" s="26"/>
      <c r="AY30" s="26">
        <v>0.8</v>
      </c>
      <c r="AZ30" s="26"/>
      <c r="BA30" s="26">
        <v>0.8</v>
      </c>
      <c r="BE30" s="26"/>
      <c r="BF30" s="26">
        <v>0.8</v>
      </c>
      <c r="BG30" s="26"/>
      <c r="BH30" s="26">
        <v>0.8</v>
      </c>
      <c r="BL30" s="26"/>
      <c r="BM30" s="26">
        <v>0.8</v>
      </c>
      <c r="BN30" s="26"/>
      <c r="BO30" s="26">
        <v>0.8</v>
      </c>
      <c r="BS30" s="26"/>
      <c r="BT30" s="26">
        <v>1</v>
      </c>
      <c r="BU30" s="26"/>
      <c r="BV30" s="26">
        <v>1</v>
      </c>
      <c r="BZ30" s="26"/>
      <c r="CA30" s="26">
        <v>1</v>
      </c>
      <c r="CB30" s="26"/>
      <c r="CC30" s="26">
        <v>1</v>
      </c>
      <c r="CG30" s="26"/>
      <c r="CH30" s="26">
        <v>1</v>
      </c>
      <c r="CI30" s="26"/>
      <c r="CJ30" s="26">
        <v>1</v>
      </c>
      <c r="CN30" s="26"/>
      <c r="CO30" s="26">
        <v>1</v>
      </c>
      <c r="CP30" s="26"/>
      <c r="CQ30" s="26">
        <v>1</v>
      </c>
      <c r="CU30" s="26"/>
      <c r="CV30" s="26">
        <v>1</v>
      </c>
      <c r="CW30" s="26"/>
      <c r="CX30" s="26">
        <v>1</v>
      </c>
      <c r="DB30" s="26"/>
      <c r="DC30" s="26">
        <v>1</v>
      </c>
      <c r="DD30" s="26"/>
      <c r="DE30" s="26">
        <v>1</v>
      </c>
      <c r="DI30" s="26"/>
      <c r="DJ30" s="26">
        <v>1</v>
      </c>
      <c r="DK30" s="26"/>
      <c r="DL30" s="26">
        <v>1</v>
      </c>
      <c r="DP30" s="26"/>
      <c r="DQ30" s="26">
        <v>1</v>
      </c>
      <c r="DR30" s="26"/>
      <c r="DS30" s="26">
        <v>1</v>
      </c>
      <c r="DW30" s="26"/>
      <c r="DX30" s="26">
        <v>1</v>
      </c>
      <c r="DY30" s="26"/>
      <c r="DZ30" s="26">
        <v>1</v>
      </c>
    </row>
    <row r="31" spans="2:130" outlineLevel="1">
      <c r="B31" s="15" t="s">
        <v>28</v>
      </c>
      <c r="C31" s="15" t="s">
        <v>95</v>
      </c>
      <c r="E31" s="29"/>
      <c r="F31" s="16" t="s">
        <v>117</v>
      </c>
      <c r="G31" s="26">
        <v>0</v>
      </c>
      <c r="I31" s="29">
        <f t="shared" si="2"/>
        <v>0</v>
      </c>
      <c r="J31" s="28" cm="1">
        <f t="array" ref="J31">MAX(IF($N$3:$EH$3=$J$3,N31:EH31))</f>
        <v>0</v>
      </c>
      <c r="K31" s="28" cm="1">
        <f t="array" ref="K31">MAX(IF($N$3:$EH$3=$J$3,N31:EH31))</f>
        <v>0</v>
      </c>
      <c r="L31" s="29"/>
      <c r="O31" s="26"/>
      <c r="P31" s="26"/>
      <c r="Q31" s="26"/>
      <c r="R31" s="26"/>
      <c r="V31" s="26"/>
      <c r="W31" s="26"/>
      <c r="X31" s="26"/>
      <c r="Y31" s="26"/>
      <c r="AC31" s="26"/>
      <c r="AD31" s="26"/>
      <c r="AE31" s="26"/>
      <c r="AF31" s="26"/>
      <c r="AJ31" s="26"/>
      <c r="AK31" s="26"/>
      <c r="AL31" s="26"/>
      <c r="AM31" s="26"/>
      <c r="AQ31" s="26"/>
      <c r="AR31" s="26">
        <v>0.5</v>
      </c>
      <c r="AS31" s="26"/>
      <c r="AT31" s="26">
        <v>0.5</v>
      </c>
      <c r="AX31" s="26"/>
      <c r="AY31" s="26">
        <v>0.8</v>
      </c>
      <c r="AZ31" s="26"/>
      <c r="BA31" s="26">
        <v>0.8</v>
      </c>
      <c r="BE31" s="26"/>
      <c r="BF31" s="26">
        <v>0.8</v>
      </c>
      <c r="BG31" s="26"/>
      <c r="BH31" s="26">
        <v>0.8</v>
      </c>
      <c r="BL31" s="26"/>
      <c r="BM31" s="26">
        <v>0.8</v>
      </c>
      <c r="BN31" s="26"/>
      <c r="BO31" s="26">
        <v>0.8</v>
      </c>
      <c r="BS31" s="26"/>
      <c r="BT31" s="26">
        <v>0.8</v>
      </c>
      <c r="BU31" s="26"/>
      <c r="BV31" s="26">
        <v>0.8</v>
      </c>
      <c r="BZ31" s="26"/>
      <c r="CA31" s="26">
        <v>0.8</v>
      </c>
      <c r="CB31" s="26"/>
      <c r="CC31" s="26">
        <v>0.8</v>
      </c>
      <c r="CG31" s="26"/>
      <c r="CH31" s="26">
        <v>1</v>
      </c>
      <c r="CI31" s="26"/>
      <c r="CJ31" s="26">
        <v>1</v>
      </c>
      <c r="CN31" s="26"/>
      <c r="CO31" s="26">
        <v>1</v>
      </c>
      <c r="CP31" s="26"/>
      <c r="CQ31" s="26">
        <v>1</v>
      </c>
      <c r="CU31" s="26"/>
      <c r="CV31" s="26">
        <v>1</v>
      </c>
      <c r="CW31" s="26"/>
      <c r="CX31" s="26">
        <v>1</v>
      </c>
      <c r="DB31" s="26"/>
      <c r="DC31" s="26">
        <v>1</v>
      </c>
      <c r="DD31" s="26"/>
      <c r="DE31" s="26">
        <v>1</v>
      </c>
      <c r="DI31" s="26"/>
      <c r="DJ31" s="26">
        <v>1</v>
      </c>
      <c r="DK31" s="26"/>
      <c r="DL31" s="26">
        <v>1</v>
      </c>
      <c r="DP31" s="26"/>
      <c r="DQ31" s="26">
        <v>1</v>
      </c>
      <c r="DR31" s="26"/>
      <c r="DS31" s="26">
        <v>1</v>
      </c>
      <c r="DW31" s="26"/>
      <c r="DX31" s="26">
        <v>1</v>
      </c>
      <c r="DY31" s="26"/>
      <c r="DZ31" s="26">
        <v>1</v>
      </c>
    </row>
    <row r="32" spans="2:130" outlineLevel="1">
      <c r="B32" s="15" t="s">
        <v>28</v>
      </c>
      <c r="C32" s="15" t="s">
        <v>95</v>
      </c>
      <c r="E32" s="29"/>
      <c r="F32" s="16" t="s">
        <v>118</v>
      </c>
      <c r="G32" s="26">
        <v>0</v>
      </c>
      <c r="I32" s="29">
        <f t="shared" si="2"/>
        <v>0</v>
      </c>
      <c r="J32" s="28" cm="1">
        <f t="array" ref="J32">MAX(IF($N$3:$EH$3=$J$3,N32:EH32))</f>
        <v>0</v>
      </c>
      <c r="K32" s="28" cm="1">
        <f t="array" ref="K32">MAX(IF($N$3:$EH$3=$J$3,N32:EH32))</f>
        <v>0</v>
      </c>
      <c r="L32" s="29"/>
      <c r="O32" s="26"/>
      <c r="P32" s="26"/>
      <c r="Q32" s="26"/>
      <c r="R32" s="26"/>
      <c r="V32" s="26"/>
      <c r="W32" s="26"/>
      <c r="X32" s="26"/>
      <c r="Y32" s="26"/>
      <c r="AC32" s="26"/>
      <c r="AD32" s="26"/>
      <c r="AE32" s="26"/>
      <c r="AF32" s="26"/>
      <c r="AJ32" s="26"/>
      <c r="AK32" s="26"/>
      <c r="AL32" s="26"/>
      <c r="AM32" s="26"/>
      <c r="AQ32" s="26"/>
      <c r="AR32" s="26"/>
      <c r="AS32" s="26"/>
      <c r="AT32" s="26"/>
      <c r="AX32" s="26"/>
      <c r="AY32" s="26">
        <v>0.5</v>
      </c>
      <c r="AZ32" s="26"/>
      <c r="BA32" s="26">
        <v>0.5</v>
      </c>
      <c r="BE32" s="26"/>
      <c r="BF32" s="26">
        <v>0.5</v>
      </c>
      <c r="BG32" s="26"/>
      <c r="BH32" s="26">
        <v>0.5</v>
      </c>
      <c r="BL32" s="26"/>
      <c r="BM32" s="26">
        <v>0.8</v>
      </c>
      <c r="BN32" s="26"/>
      <c r="BO32" s="26">
        <v>0.8</v>
      </c>
      <c r="BS32" s="26"/>
      <c r="BT32" s="26">
        <v>0.8</v>
      </c>
      <c r="BU32" s="26"/>
      <c r="BV32" s="26">
        <v>0.8</v>
      </c>
      <c r="BZ32" s="26"/>
      <c r="CA32" s="26">
        <v>0.8</v>
      </c>
      <c r="CB32" s="26"/>
      <c r="CC32" s="26">
        <v>0.8</v>
      </c>
      <c r="CG32" s="26"/>
      <c r="CH32" s="26">
        <v>1</v>
      </c>
      <c r="CI32" s="26"/>
      <c r="CJ32" s="26">
        <v>1</v>
      </c>
      <c r="CN32" s="26"/>
      <c r="CO32" s="26">
        <v>1</v>
      </c>
      <c r="CP32" s="26"/>
      <c r="CQ32" s="26">
        <v>1</v>
      </c>
      <c r="CU32" s="26"/>
      <c r="CV32" s="26">
        <v>1</v>
      </c>
      <c r="CW32" s="26"/>
      <c r="CX32" s="26">
        <v>1</v>
      </c>
      <c r="DB32" s="26"/>
      <c r="DC32" s="26">
        <v>1</v>
      </c>
      <c r="DD32" s="26"/>
      <c r="DE32" s="26">
        <v>1</v>
      </c>
      <c r="DI32" s="26"/>
      <c r="DJ32" s="26">
        <v>1</v>
      </c>
      <c r="DK32" s="26"/>
      <c r="DL32" s="26">
        <v>1</v>
      </c>
      <c r="DP32" s="26"/>
      <c r="DQ32" s="26">
        <v>1</v>
      </c>
      <c r="DR32" s="26"/>
      <c r="DS32" s="26">
        <v>1</v>
      </c>
      <c r="DW32" s="26"/>
      <c r="DX32" s="26">
        <v>1</v>
      </c>
      <c r="DY32" s="26"/>
      <c r="DZ32" s="26">
        <v>1</v>
      </c>
    </row>
    <row r="33" spans="2:130" outlineLevel="1">
      <c r="B33" s="15" t="s">
        <v>28</v>
      </c>
      <c r="C33" s="15" t="s">
        <v>95</v>
      </c>
      <c r="E33" s="29"/>
      <c r="F33" s="16" t="s">
        <v>119</v>
      </c>
      <c r="G33" s="26">
        <v>0</v>
      </c>
      <c r="I33" s="29">
        <f t="shared" si="2"/>
        <v>0</v>
      </c>
      <c r="J33" s="28" cm="1">
        <f t="array" ref="J33">MAX(IF($N$3:$EH$3=$J$3,N33:EH33))</f>
        <v>0</v>
      </c>
      <c r="K33" s="28" cm="1">
        <f t="array" ref="K33">MAX(IF($N$3:$EH$3=$J$3,N33:EH33))</f>
        <v>0</v>
      </c>
      <c r="L33" s="29"/>
      <c r="O33" s="26"/>
      <c r="P33" s="26"/>
      <c r="Q33" s="26"/>
      <c r="R33" s="26"/>
      <c r="V33" s="26"/>
      <c r="W33" s="26"/>
      <c r="X33" s="26"/>
      <c r="Y33" s="26"/>
      <c r="AC33" s="26"/>
      <c r="AD33" s="26"/>
      <c r="AE33" s="26"/>
      <c r="AF33" s="26"/>
      <c r="AJ33" s="26"/>
      <c r="AK33" s="26"/>
      <c r="AL33" s="26"/>
      <c r="AM33" s="26"/>
      <c r="AQ33" s="26"/>
      <c r="AR33" s="26"/>
      <c r="AS33" s="26"/>
      <c r="AT33" s="26"/>
      <c r="AX33" s="26"/>
      <c r="AY33" s="26"/>
      <c r="AZ33" s="26"/>
      <c r="BA33" s="26"/>
      <c r="BE33" s="26"/>
      <c r="BF33" s="26">
        <v>0.5</v>
      </c>
      <c r="BG33" s="26"/>
      <c r="BH33" s="26">
        <v>0.5</v>
      </c>
      <c r="BL33" s="26"/>
      <c r="BM33" s="26">
        <v>0.5</v>
      </c>
      <c r="BN33" s="26"/>
      <c r="BO33" s="26">
        <v>0.5</v>
      </c>
      <c r="BS33" s="26"/>
      <c r="BT33" s="26">
        <v>0.5</v>
      </c>
      <c r="BU33" s="26"/>
      <c r="BV33" s="26">
        <v>0.5</v>
      </c>
      <c r="BZ33" s="26"/>
      <c r="CA33" s="26">
        <v>0.8</v>
      </c>
      <c r="CB33" s="26"/>
      <c r="CC33" s="26">
        <v>0.8</v>
      </c>
      <c r="CG33" s="26"/>
      <c r="CH33" s="26">
        <v>0.8</v>
      </c>
      <c r="CI33" s="26"/>
      <c r="CJ33" s="26">
        <v>0.8</v>
      </c>
      <c r="CN33" s="26"/>
      <c r="CO33" s="26">
        <v>1</v>
      </c>
      <c r="CP33" s="26"/>
      <c r="CQ33" s="26">
        <v>1</v>
      </c>
      <c r="CU33" s="26"/>
      <c r="CV33" s="26">
        <v>1</v>
      </c>
      <c r="CW33" s="26"/>
      <c r="CX33" s="26">
        <v>1</v>
      </c>
      <c r="DB33" s="26"/>
      <c r="DC33" s="26">
        <v>1</v>
      </c>
      <c r="DD33" s="26"/>
      <c r="DE33" s="26">
        <v>1</v>
      </c>
      <c r="DI33" s="26"/>
      <c r="DJ33" s="26">
        <v>1</v>
      </c>
      <c r="DK33" s="26"/>
      <c r="DL33" s="26">
        <v>1</v>
      </c>
      <c r="DP33" s="26"/>
      <c r="DQ33" s="26">
        <v>1</v>
      </c>
      <c r="DR33" s="26"/>
      <c r="DS33" s="26">
        <v>1</v>
      </c>
      <c r="DW33" s="26"/>
      <c r="DX33" s="26">
        <v>1</v>
      </c>
      <c r="DY33" s="26"/>
      <c r="DZ33" s="26">
        <v>1</v>
      </c>
    </row>
    <row r="34" spans="2:130" outlineLevel="1">
      <c r="B34" s="15" t="s">
        <v>28</v>
      </c>
      <c r="C34" s="15" t="s">
        <v>95</v>
      </c>
      <c r="E34" s="29"/>
      <c r="F34" s="16" t="s">
        <v>120</v>
      </c>
      <c r="G34" s="26">
        <v>0</v>
      </c>
      <c r="I34" s="29">
        <f t="shared" si="2"/>
        <v>0</v>
      </c>
      <c r="J34" s="28" cm="1">
        <f t="array" ref="J34">MAX(IF($N$3:$EH$3=$J$3,N34:EH34))</f>
        <v>0</v>
      </c>
      <c r="K34" s="28" cm="1">
        <f t="array" ref="K34">MAX(IF($N$3:$EH$3=$J$3,N34:EH34))</f>
        <v>0</v>
      </c>
      <c r="L34" s="29"/>
      <c r="O34" s="26"/>
      <c r="P34" s="26"/>
      <c r="Q34" s="26"/>
      <c r="R34" s="26"/>
      <c r="V34" s="26"/>
      <c r="W34" s="26"/>
      <c r="X34" s="26"/>
      <c r="Y34" s="26"/>
      <c r="AC34" s="26"/>
      <c r="AD34" s="26"/>
      <c r="AE34" s="26"/>
      <c r="AF34" s="26"/>
      <c r="AJ34" s="26"/>
      <c r="AK34" s="26"/>
      <c r="AL34" s="26"/>
      <c r="AM34" s="26"/>
      <c r="AQ34" s="26"/>
      <c r="AR34" s="26"/>
      <c r="AS34" s="26"/>
      <c r="AT34" s="26"/>
      <c r="AX34" s="26"/>
      <c r="AY34" s="26"/>
      <c r="AZ34" s="26"/>
      <c r="BA34" s="26"/>
      <c r="BE34" s="26"/>
      <c r="BF34" s="26"/>
      <c r="BG34" s="26"/>
      <c r="BH34" s="26"/>
      <c r="BL34" s="26"/>
      <c r="BM34" s="26"/>
      <c r="BN34" s="26"/>
      <c r="BO34" s="26"/>
      <c r="BP34" s="15">
        <v>2</v>
      </c>
      <c r="BS34" s="26"/>
      <c r="BT34" s="26">
        <v>0.5</v>
      </c>
      <c r="BU34" s="26"/>
      <c r="BV34" s="26">
        <v>0.5</v>
      </c>
      <c r="BZ34" s="26"/>
      <c r="CA34" s="26">
        <v>0.8</v>
      </c>
      <c r="CB34" s="26"/>
      <c r="CC34" s="26">
        <v>0.8</v>
      </c>
      <c r="CG34" s="26"/>
      <c r="CH34" s="26">
        <v>0.8</v>
      </c>
      <c r="CI34" s="26"/>
      <c r="CJ34" s="26">
        <v>0.8</v>
      </c>
      <c r="CN34" s="26"/>
      <c r="CO34" s="26">
        <v>1</v>
      </c>
      <c r="CP34" s="26"/>
      <c r="CQ34" s="26">
        <v>1</v>
      </c>
      <c r="CU34" s="26"/>
      <c r="CV34" s="26">
        <v>1</v>
      </c>
      <c r="CW34" s="26"/>
      <c r="CX34" s="26">
        <v>1</v>
      </c>
      <c r="DB34" s="26"/>
      <c r="DC34" s="26">
        <v>1</v>
      </c>
      <c r="DD34" s="26"/>
      <c r="DE34" s="26">
        <v>1</v>
      </c>
      <c r="DI34" s="26"/>
      <c r="DJ34" s="26">
        <v>1</v>
      </c>
      <c r="DK34" s="26"/>
      <c r="DL34" s="26">
        <v>1</v>
      </c>
      <c r="DP34" s="26"/>
      <c r="DQ34" s="26">
        <v>1</v>
      </c>
      <c r="DR34" s="26"/>
      <c r="DS34" s="26">
        <v>1</v>
      </c>
      <c r="DW34" s="26"/>
      <c r="DX34" s="26">
        <v>1</v>
      </c>
      <c r="DY34" s="26"/>
      <c r="DZ34" s="26">
        <v>1</v>
      </c>
    </row>
    <row r="36" spans="2:130">
      <c r="B36" s="15" t="s">
        <v>27</v>
      </c>
      <c r="C36" s="15" t="s">
        <v>94</v>
      </c>
      <c r="D36" s="30">
        <v>45127</v>
      </c>
      <c r="E36" s="29">
        <v>6</v>
      </c>
      <c r="G36" s="26">
        <f>+SUM(G37:G45)</f>
        <v>0</v>
      </c>
      <c r="I36" s="27">
        <f>+SUM(I37:I45)</f>
        <v>1.5</v>
      </c>
      <c r="J36" s="28">
        <f>+SUMPRODUCT(G37:G45,J37:J45)</f>
        <v>0</v>
      </c>
      <c r="K36" s="28">
        <f>+SUMPRODUCT(G37:G45,K37:K45)</f>
        <v>0</v>
      </c>
      <c r="L36" s="29"/>
      <c r="N36" s="39">
        <f>+SUM(N37:N45)</f>
        <v>1.5</v>
      </c>
      <c r="U36" s="27">
        <f>+SUM(U37:U45)</f>
        <v>0</v>
      </c>
      <c r="AB36" s="27">
        <f>+SUM(AB37:AB45)</f>
        <v>0</v>
      </c>
      <c r="AI36" s="27">
        <f>+SUM(AI37:AI45)</f>
        <v>0</v>
      </c>
      <c r="AP36" s="27">
        <f>+SUM(AP37:AP45)</f>
        <v>0</v>
      </c>
    </row>
    <row r="37" spans="2:130" outlineLevel="1">
      <c r="B37" s="15" t="s">
        <v>28</v>
      </c>
      <c r="C37" s="15" t="s">
        <v>94</v>
      </c>
      <c r="E37" s="29"/>
      <c r="F37" s="15" t="s">
        <v>141</v>
      </c>
      <c r="G37" s="26">
        <v>0</v>
      </c>
      <c r="I37" s="29">
        <f t="shared" ref="I37:I45" si="3">+SUMIF($N$3:$ZZ$3,I$3,$N37:$ZZ37)</f>
        <v>1.5</v>
      </c>
      <c r="J37" s="28" cm="1">
        <f t="array" ref="J37">MAX(IF($N$3:$EH$3=$J$3,N37:EH37))</f>
        <v>0</v>
      </c>
      <c r="K37" s="28" cm="1">
        <f t="array" ref="K37">MAX(IF($N$3:$EH$3=$J$3,N37:EH37))</f>
        <v>0</v>
      </c>
      <c r="L37" s="29"/>
      <c r="N37" s="15">
        <v>1.5</v>
      </c>
      <c r="O37" s="26"/>
      <c r="P37" s="26">
        <v>0.5</v>
      </c>
      <c r="Q37" s="26"/>
      <c r="R37" s="26">
        <v>0.5</v>
      </c>
      <c r="V37" s="26"/>
      <c r="W37" s="26">
        <v>0.5</v>
      </c>
      <c r="X37" s="26"/>
      <c r="Y37" s="26">
        <v>0.5</v>
      </c>
      <c r="AC37" s="26"/>
      <c r="AD37" s="26">
        <v>0.5</v>
      </c>
      <c r="AE37" s="26"/>
      <c r="AF37" s="26">
        <v>0.5</v>
      </c>
      <c r="AJ37" s="26"/>
      <c r="AK37" s="26">
        <v>0.8</v>
      </c>
      <c r="AL37" s="26"/>
      <c r="AM37" s="26">
        <v>0.8</v>
      </c>
      <c r="AQ37" s="26"/>
      <c r="AR37" s="26">
        <v>0.8</v>
      </c>
      <c r="AS37" s="26"/>
      <c r="AT37" s="26">
        <v>0.8</v>
      </c>
      <c r="AX37" s="26"/>
      <c r="AY37" s="26">
        <v>0.8</v>
      </c>
      <c r="AZ37" s="26"/>
      <c r="BA37" s="26">
        <v>0.8</v>
      </c>
      <c r="BE37" s="26"/>
      <c r="BF37" s="26">
        <v>0.8</v>
      </c>
      <c r="BG37" s="26"/>
      <c r="BH37" s="26">
        <v>0.8</v>
      </c>
      <c r="BL37" s="26"/>
      <c r="BM37" s="26">
        <v>1</v>
      </c>
      <c r="BN37" s="26"/>
      <c r="BO37" s="26">
        <v>1</v>
      </c>
      <c r="BS37" s="26"/>
      <c r="BT37" s="26">
        <v>1</v>
      </c>
      <c r="BU37" s="26"/>
      <c r="BV37" s="26">
        <v>1</v>
      </c>
      <c r="BZ37" s="26"/>
      <c r="CA37" s="26">
        <v>1</v>
      </c>
      <c r="CB37" s="26"/>
      <c r="CC37" s="26">
        <v>1</v>
      </c>
      <c r="CG37" s="26"/>
      <c r="CH37" s="26">
        <v>1</v>
      </c>
      <c r="CI37" s="26"/>
      <c r="CJ37" s="26">
        <v>1</v>
      </c>
      <c r="CN37" s="26"/>
      <c r="CO37" s="26">
        <v>1</v>
      </c>
      <c r="CP37" s="26"/>
      <c r="CQ37" s="26">
        <v>1</v>
      </c>
      <c r="CR37" s="15" t="s">
        <v>128</v>
      </c>
      <c r="CU37" s="26"/>
      <c r="CV37" s="26">
        <v>1</v>
      </c>
      <c r="CW37" s="26"/>
      <c r="CX37" s="26">
        <v>1</v>
      </c>
      <c r="DB37" s="26"/>
      <c r="DC37" s="26">
        <v>1</v>
      </c>
      <c r="DD37" s="26"/>
      <c r="DE37" s="26">
        <v>1</v>
      </c>
      <c r="DI37" s="26"/>
      <c r="DJ37" s="26">
        <v>1</v>
      </c>
      <c r="DK37" s="26"/>
      <c r="DL37" s="26">
        <v>1</v>
      </c>
      <c r="DP37" s="26"/>
      <c r="DQ37" s="26">
        <v>1</v>
      </c>
      <c r="DR37" s="26"/>
      <c r="DS37" s="26">
        <v>1</v>
      </c>
      <c r="DW37" s="26"/>
      <c r="DX37" s="26">
        <v>1</v>
      </c>
      <c r="DY37" s="26"/>
      <c r="DZ37" s="26">
        <v>1</v>
      </c>
    </row>
    <row r="38" spans="2:130" outlineLevel="1">
      <c r="B38" s="15" t="s">
        <v>28</v>
      </c>
      <c r="C38" s="15" t="s">
        <v>94</v>
      </c>
      <c r="E38" s="29"/>
      <c r="F38" s="15" t="s">
        <v>142</v>
      </c>
      <c r="G38" s="26">
        <v>0</v>
      </c>
      <c r="I38" s="29">
        <f t="shared" si="3"/>
        <v>0</v>
      </c>
      <c r="J38" s="28" cm="1">
        <f t="array" ref="J38">MAX(IF($N$3:$EH$3=$J$3,N38:EH38))</f>
        <v>0</v>
      </c>
      <c r="K38" s="28" cm="1">
        <f t="array" ref="K38">MAX(IF($N$3:$EH$3=$J$3,N38:EH38))</f>
        <v>0</v>
      </c>
      <c r="L38" s="29"/>
      <c r="O38" s="26"/>
      <c r="P38" s="26"/>
      <c r="Q38" s="26"/>
      <c r="R38" s="26"/>
      <c r="V38" s="26"/>
      <c r="W38" s="26">
        <v>0.5</v>
      </c>
      <c r="X38" s="26"/>
      <c r="Y38" s="26">
        <v>0.5</v>
      </c>
      <c r="AC38" s="26"/>
      <c r="AD38" s="26">
        <v>0.5</v>
      </c>
      <c r="AE38" s="26"/>
      <c r="AF38" s="26">
        <v>0.5</v>
      </c>
      <c r="AJ38" s="26"/>
      <c r="AK38" s="26">
        <v>0.5</v>
      </c>
      <c r="AL38" s="26"/>
      <c r="AM38" s="26">
        <v>0.5</v>
      </c>
      <c r="AQ38" s="26"/>
      <c r="AR38" s="26">
        <v>0.8</v>
      </c>
      <c r="AS38" s="26"/>
      <c r="AT38" s="26">
        <v>0.8</v>
      </c>
      <c r="AX38" s="26"/>
      <c r="AY38" s="26">
        <v>0.8</v>
      </c>
      <c r="AZ38" s="26"/>
      <c r="BA38" s="26">
        <v>0.8</v>
      </c>
      <c r="BE38" s="26"/>
      <c r="BF38" s="26">
        <v>0.8</v>
      </c>
      <c r="BG38" s="26"/>
      <c r="BH38" s="26">
        <v>0.8</v>
      </c>
      <c r="BL38" s="26"/>
      <c r="BM38" s="26">
        <v>0.8</v>
      </c>
      <c r="BN38" s="26"/>
      <c r="BO38" s="26">
        <v>0.8</v>
      </c>
      <c r="BS38" s="26"/>
      <c r="BT38" s="26">
        <v>1</v>
      </c>
      <c r="BU38" s="26"/>
      <c r="BV38" s="26">
        <v>1</v>
      </c>
      <c r="BZ38" s="26"/>
      <c r="CA38" s="26">
        <v>1</v>
      </c>
      <c r="CB38" s="26"/>
      <c r="CC38" s="26">
        <v>1</v>
      </c>
      <c r="CG38" s="26"/>
      <c r="CH38" s="26">
        <v>1</v>
      </c>
      <c r="CI38" s="26"/>
      <c r="CJ38" s="26">
        <v>1</v>
      </c>
      <c r="CN38" s="26"/>
      <c r="CO38" s="26">
        <v>1</v>
      </c>
      <c r="CP38" s="26"/>
      <c r="CQ38" s="26">
        <v>1</v>
      </c>
      <c r="CU38" s="26"/>
      <c r="CV38" s="26">
        <v>1</v>
      </c>
      <c r="CW38" s="26"/>
      <c r="CX38" s="26">
        <v>1</v>
      </c>
      <c r="DB38" s="26"/>
      <c r="DC38" s="26">
        <v>1</v>
      </c>
      <c r="DD38" s="26"/>
      <c r="DE38" s="26">
        <v>1</v>
      </c>
      <c r="DI38" s="26"/>
      <c r="DJ38" s="26">
        <v>1</v>
      </c>
      <c r="DK38" s="26"/>
      <c r="DL38" s="26">
        <v>1</v>
      </c>
      <c r="DP38" s="26"/>
      <c r="DQ38" s="26">
        <v>1</v>
      </c>
      <c r="DR38" s="26"/>
      <c r="DS38" s="26">
        <v>1</v>
      </c>
      <c r="DW38" s="26"/>
      <c r="DX38" s="26">
        <v>1</v>
      </c>
      <c r="DY38" s="26"/>
      <c r="DZ38" s="26">
        <v>1</v>
      </c>
    </row>
    <row r="39" spans="2:130" outlineLevel="1">
      <c r="B39" s="15" t="s">
        <v>28</v>
      </c>
      <c r="C39" s="15" t="s">
        <v>94</v>
      </c>
      <c r="E39" s="29"/>
      <c r="F39" s="15" t="s">
        <v>147</v>
      </c>
      <c r="G39" s="26">
        <v>0</v>
      </c>
      <c r="I39" s="29">
        <f t="shared" si="3"/>
        <v>0</v>
      </c>
      <c r="J39" s="28" cm="1">
        <f t="array" ref="J39">MAX(IF($N$3:$EH$3=$J$3,N39:EH39))</f>
        <v>0</v>
      </c>
      <c r="K39" s="28" cm="1">
        <f t="array" ref="K39">MAX(IF($N$3:$EH$3=$J$3,N39:EH39))</f>
        <v>0</v>
      </c>
      <c r="L39" s="29"/>
      <c r="O39" s="26"/>
      <c r="P39" s="26"/>
      <c r="Q39" s="26"/>
      <c r="R39" s="26"/>
      <c r="V39" s="26"/>
      <c r="W39" s="26"/>
      <c r="X39" s="26"/>
      <c r="Y39" s="26"/>
      <c r="AC39" s="26"/>
      <c r="AD39" s="26">
        <v>0.5</v>
      </c>
      <c r="AE39" s="26"/>
      <c r="AF39" s="26">
        <v>0.5</v>
      </c>
      <c r="AG39" s="15">
        <v>2</v>
      </c>
      <c r="AJ39" s="26"/>
      <c r="AK39" s="26">
        <v>0.5</v>
      </c>
      <c r="AL39" s="26"/>
      <c r="AM39" s="26">
        <v>0.5</v>
      </c>
      <c r="AQ39" s="26"/>
      <c r="AR39" s="26">
        <v>0.8</v>
      </c>
      <c r="AS39" s="26"/>
      <c r="AT39" s="26">
        <v>0.8</v>
      </c>
      <c r="AX39" s="26"/>
      <c r="AY39" s="26">
        <v>0.8</v>
      </c>
      <c r="AZ39" s="26"/>
      <c r="BA39" s="26">
        <v>0.8</v>
      </c>
      <c r="BE39" s="26"/>
      <c r="BF39" s="26">
        <v>0.8</v>
      </c>
      <c r="BG39" s="26"/>
      <c r="BH39" s="26">
        <v>0.8</v>
      </c>
      <c r="BL39" s="26"/>
      <c r="BM39" s="26">
        <v>0.8</v>
      </c>
      <c r="BN39" s="26"/>
      <c r="BO39" s="26">
        <v>0.8</v>
      </c>
      <c r="BP39" s="15">
        <v>3</v>
      </c>
      <c r="BS39" s="26"/>
      <c r="BT39" s="26">
        <v>1</v>
      </c>
      <c r="BU39" s="26"/>
      <c r="BV39" s="26">
        <v>1</v>
      </c>
      <c r="BZ39" s="26"/>
      <c r="CA39" s="26">
        <v>1</v>
      </c>
      <c r="CB39" s="26"/>
      <c r="CC39" s="26">
        <v>1</v>
      </c>
      <c r="CG39" s="26"/>
      <c r="CH39" s="26">
        <v>1</v>
      </c>
      <c r="CI39" s="26"/>
      <c r="CJ39" s="26">
        <v>1</v>
      </c>
      <c r="CN39" s="26"/>
      <c r="CO39" s="26">
        <v>1</v>
      </c>
      <c r="CP39" s="26"/>
      <c r="CQ39" s="26">
        <v>1</v>
      </c>
      <c r="CU39" s="26"/>
      <c r="CV39" s="26">
        <v>1</v>
      </c>
      <c r="CW39" s="26"/>
      <c r="CX39" s="26">
        <v>1</v>
      </c>
      <c r="DB39" s="26"/>
      <c r="DC39" s="26">
        <v>1</v>
      </c>
      <c r="DD39" s="26"/>
      <c r="DE39" s="26">
        <v>1</v>
      </c>
      <c r="DI39" s="26"/>
      <c r="DJ39" s="26">
        <v>1</v>
      </c>
      <c r="DK39" s="26"/>
      <c r="DL39" s="26">
        <v>1</v>
      </c>
      <c r="DP39" s="26"/>
      <c r="DQ39" s="26">
        <v>1</v>
      </c>
      <c r="DR39" s="26"/>
      <c r="DS39" s="26">
        <v>1</v>
      </c>
      <c r="DW39" s="26"/>
      <c r="DX39" s="26">
        <v>1</v>
      </c>
      <c r="DY39" s="26"/>
      <c r="DZ39" s="26">
        <v>1</v>
      </c>
    </row>
    <row r="40" spans="2:130" outlineLevel="1">
      <c r="B40" s="15" t="s">
        <v>28</v>
      </c>
      <c r="C40" s="15" t="s">
        <v>94</v>
      </c>
      <c r="E40" s="29"/>
      <c r="F40" s="15" t="s">
        <v>148</v>
      </c>
      <c r="G40" s="26">
        <v>0</v>
      </c>
      <c r="I40" s="29">
        <f t="shared" si="3"/>
        <v>0</v>
      </c>
      <c r="J40" s="28" cm="1">
        <f t="array" ref="J40">MAX(IF($N$3:$EH$3=$J$3,N40:EH40))</f>
        <v>0</v>
      </c>
      <c r="K40" s="28" cm="1">
        <f t="array" ref="K40">MAX(IF($N$3:$EH$3=$J$3,N40:EH40))</f>
        <v>0</v>
      </c>
      <c r="L40" s="29"/>
      <c r="O40" s="26"/>
      <c r="P40" s="26"/>
      <c r="Q40" s="26"/>
      <c r="R40" s="26"/>
      <c r="V40" s="26"/>
      <c r="W40" s="26"/>
      <c r="X40" s="26"/>
      <c r="Y40" s="26"/>
      <c r="AC40" s="26"/>
      <c r="AD40" s="26">
        <v>0.5</v>
      </c>
      <c r="AE40" s="26"/>
      <c r="AF40" s="26">
        <v>0.5</v>
      </c>
      <c r="AJ40" s="26"/>
      <c r="AK40" s="26">
        <v>0.5</v>
      </c>
      <c r="AL40" s="26"/>
      <c r="AM40" s="26">
        <v>0.5</v>
      </c>
      <c r="AN40" s="15">
        <v>3</v>
      </c>
      <c r="AQ40" s="26"/>
      <c r="AR40" s="26">
        <v>0.5</v>
      </c>
      <c r="AS40" s="26"/>
      <c r="AT40" s="26">
        <v>0.5</v>
      </c>
      <c r="AX40" s="26"/>
      <c r="AY40" s="26">
        <v>0.8</v>
      </c>
      <c r="AZ40" s="26"/>
      <c r="BA40" s="26">
        <v>0.8</v>
      </c>
      <c r="BE40" s="26"/>
      <c r="BF40" s="26">
        <v>0.8</v>
      </c>
      <c r="BG40" s="26"/>
      <c r="BH40" s="26">
        <v>0.8</v>
      </c>
      <c r="BL40" s="26"/>
      <c r="BM40" s="26">
        <v>0.8</v>
      </c>
      <c r="BN40" s="26"/>
      <c r="BO40" s="26">
        <v>0.8</v>
      </c>
      <c r="BS40" s="26"/>
      <c r="BT40" s="26">
        <v>0.8</v>
      </c>
      <c r="BU40" s="26"/>
      <c r="BV40" s="26">
        <v>0.8</v>
      </c>
      <c r="BZ40" s="26"/>
      <c r="CA40" s="26">
        <v>1</v>
      </c>
      <c r="CB40" s="26"/>
      <c r="CC40" s="26">
        <v>1</v>
      </c>
      <c r="CG40" s="26"/>
      <c r="CH40" s="26">
        <v>1</v>
      </c>
      <c r="CI40" s="26"/>
      <c r="CJ40" s="26">
        <v>1</v>
      </c>
      <c r="CN40" s="26"/>
      <c r="CO40" s="26">
        <v>1</v>
      </c>
      <c r="CP40" s="26"/>
      <c r="CQ40" s="26">
        <v>1</v>
      </c>
      <c r="CU40" s="26"/>
      <c r="CV40" s="26">
        <v>1</v>
      </c>
      <c r="CW40" s="26"/>
      <c r="CX40" s="26">
        <v>1</v>
      </c>
      <c r="DB40" s="26"/>
      <c r="DC40" s="26">
        <v>1</v>
      </c>
      <c r="DD40" s="26"/>
      <c r="DE40" s="26">
        <v>1</v>
      </c>
      <c r="DI40" s="26"/>
      <c r="DJ40" s="26">
        <v>1</v>
      </c>
      <c r="DK40" s="26"/>
      <c r="DL40" s="26">
        <v>1</v>
      </c>
      <c r="DP40" s="26"/>
      <c r="DQ40" s="26">
        <v>1</v>
      </c>
      <c r="DR40" s="26"/>
      <c r="DS40" s="26">
        <v>1</v>
      </c>
      <c r="DW40" s="26"/>
      <c r="DX40" s="26">
        <v>1</v>
      </c>
      <c r="DY40" s="26"/>
      <c r="DZ40" s="26">
        <v>1</v>
      </c>
    </row>
    <row r="41" spans="2:130" outlineLevel="1">
      <c r="B41" s="15" t="s">
        <v>28</v>
      </c>
      <c r="C41" s="15" t="s">
        <v>94</v>
      </c>
      <c r="E41" s="29"/>
      <c r="F41" s="16" t="s">
        <v>149</v>
      </c>
      <c r="G41" s="26">
        <v>0</v>
      </c>
      <c r="I41" s="29">
        <f t="shared" si="3"/>
        <v>0</v>
      </c>
      <c r="J41" s="28" cm="1">
        <f t="array" ref="J41">MAX(IF($N$3:$EH$3=$J$3,N41:EH41))</f>
        <v>0</v>
      </c>
      <c r="K41" s="28" cm="1">
        <f t="array" ref="K41">MAX(IF($N$3:$EH$3=$J$3,N41:EH41))</f>
        <v>0</v>
      </c>
      <c r="L41" s="29"/>
      <c r="O41" s="26"/>
      <c r="P41" s="26"/>
      <c r="Q41" s="26"/>
      <c r="R41" s="26"/>
      <c r="V41" s="26"/>
      <c r="W41" s="26"/>
      <c r="X41" s="26"/>
      <c r="Y41" s="26"/>
      <c r="AC41" s="26"/>
      <c r="AD41" s="26"/>
      <c r="AE41" s="26"/>
      <c r="AF41" s="26"/>
      <c r="AJ41" s="26"/>
      <c r="AK41" s="26">
        <v>0.5</v>
      </c>
      <c r="AL41" s="26"/>
      <c r="AM41" s="26">
        <v>0.5</v>
      </c>
      <c r="AQ41" s="26"/>
      <c r="AR41" s="26">
        <v>0.5</v>
      </c>
      <c r="AS41" s="26"/>
      <c r="AT41" s="26">
        <v>0.5</v>
      </c>
      <c r="AU41" s="15">
        <v>2</v>
      </c>
      <c r="AX41" s="26"/>
      <c r="AY41" s="26">
        <v>0.8</v>
      </c>
      <c r="AZ41" s="26"/>
      <c r="BA41" s="26">
        <v>0.8</v>
      </c>
      <c r="BB41" s="15">
        <v>3</v>
      </c>
      <c r="BE41" s="26"/>
      <c r="BF41" s="26">
        <v>0.8</v>
      </c>
      <c r="BG41" s="26"/>
      <c r="BH41" s="26">
        <v>0.8</v>
      </c>
      <c r="BI41" s="15">
        <v>2</v>
      </c>
      <c r="BL41" s="26"/>
      <c r="BM41" s="26">
        <v>0.8</v>
      </c>
      <c r="BN41" s="26"/>
      <c r="BO41" s="26">
        <v>0.8</v>
      </c>
      <c r="BS41" s="26"/>
      <c r="BT41" s="26">
        <v>0.8</v>
      </c>
      <c r="BU41" s="26"/>
      <c r="BV41" s="26">
        <v>0.8</v>
      </c>
      <c r="BZ41" s="26"/>
      <c r="CA41" s="26">
        <v>0.8</v>
      </c>
      <c r="CB41" s="26"/>
      <c r="CC41" s="26">
        <v>0.8</v>
      </c>
      <c r="CG41" s="26"/>
      <c r="CH41" s="26">
        <v>1</v>
      </c>
      <c r="CI41" s="26"/>
      <c r="CJ41" s="26">
        <v>1</v>
      </c>
      <c r="CN41" s="26"/>
      <c r="CO41" s="26">
        <v>1</v>
      </c>
      <c r="CP41" s="26"/>
      <c r="CQ41" s="26">
        <v>1</v>
      </c>
      <c r="CU41" s="26"/>
      <c r="CV41" s="26">
        <v>1</v>
      </c>
      <c r="CW41" s="26"/>
      <c r="CX41" s="26">
        <v>1</v>
      </c>
      <c r="DB41" s="26"/>
      <c r="DC41" s="26">
        <v>1</v>
      </c>
      <c r="DD41" s="26"/>
      <c r="DE41" s="26">
        <v>1</v>
      </c>
      <c r="DI41" s="26"/>
      <c r="DJ41" s="26">
        <v>1</v>
      </c>
      <c r="DK41" s="26"/>
      <c r="DL41" s="26">
        <v>1</v>
      </c>
      <c r="DP41" s="26"/>
      <c r="DQ41" s="26">
        <v>1</v>
      </c>
      <c r="DR41" s="26"/>
      <c r="DS41" s="26">
        <v>1</v>
      </c>
      <c r="DW41" s="26"/>
      <c r="DX41" s="26">
        <v>1</v>
      </c>
      <c r="DY41" s="26"/>
      <c r="DZ41" s="26">
        <v>1</v>
      </c>
    </row>
    <row r="42" spans="2:130" outlineLevel="1">
      <c r="B42" s="15" t="s">
        <v>28</v>
      </c>
      <c r="C42" s="15" t="s">
        <v>94</v>
      </c>
      <c r="E42" s="29"/>
      <c r="F42" s="15" t="s">
        <v>150</v>
      </c>
      <c r="G42" s="26">
        <v>0</v>
      </c>
      <c r="I42" s="29">
        <f t="shared" si="3"/>
        <v>0</v>
      </c>
      <c r="J42" s="28" cm="1">
        <f t="array" ref="J42">MAX(IF($N$3:$EH$3=$J$3,N42:EH42))</f>
        <v>0</v>
      </c>
      <c r="K42" s="28" cm="1">
        <f t="array" ref="K42">MAX(IF($N$3:$EH$3=$J$3,N42:EH42))</f>
        <v>0</v>
      </c>
      <c r="L42" s="29"/>
      <c r="O42" s="26"/>
      <c r="P42" s="26"/>
      <c r="Q42" s="26"/>
      <c r="R42" s="26"/>
      <c r="V42" s="26"/>
      <c r="W42" s="26"/>
      <c r="X42" s="26"/>
      <c r="Y42" s="26"/>
      <c r="AC42" s="26"/>
      <c r="AD42" s="26"/>
      <c r="AE42" s="26"/>
      <c r="AF42" s="26"/>
      <c r="AJ42" s="26"/>
      <c r="AK42" s="26"/>
      <c r="AL42" s="26"/>
      <c r="AM42" s="26"/>
      <c r="AQ42" s="26"/>
      <c r="AR42" s="26">
        <v>0.5</v>
      </c>
      <c r="AS42" s="26"/>
      <c r="AT42" s="26">
        <v>0.5</v>
      </c>
      <c r="AX42" s="26"/>
      <c r="AY42" s="26">
        <v>0.5</v>
      </c>
      <c r="AZ42" s="26"/>
      <c r="BA42" s="26">
        <v>0.5</v>
      </c>
      <c r="BE42" s="26"/>
      <c r="BF42" s="26">
        <v>0.8</v>
      </c>
      <c r="BG42" s="26"/>
      <c r="BH42" s="26">
        <v>0.8</v>
      </c>
      <c r="BL42" s="26"/>
      <c r="BM42" s="26">
        <v>0.8</v>
      </c>
      <c r="BN42" s="26"/>
      <c r="BO42" s="26">
        <v>0.8</v>
      </c>
      <c r="BS42" s="26"/>
      <c r="BT42" s="26">
        <v>0.8</v>
      </c>
      <c r="BU42" s="26"/>
      <c r="BV42" s="26">
        <v>0.8</v>
      </c>
      <c r="BW42" s="15">
        <v>2</v>
      </c>
      <c r="BZ42" s="26"/>
      <c r="CA42" s="26">
        <v>0.8</v>
      </c>
      <c r="CB42" s="26"/>
      <c r="CC42" s="26">
        <v>0.8</v>
      </c>
      <c r="CD42" s="15">
        <v>3</v>
      </c>
      <c r="CG42" s="26"/>
      <c r="CH42" s="26">
        <v>1</v>
      </c>
      <c r="CI42" s="26"/>
      <c r="CJ42" s="26">
        <v>1</v>
      </c>
      <c r="CN42" s="26"/>
      <c r="CO42" s="26">
        <v>1</v>
      </c>
      <c r="CP42" s="26"/>
      <c r="CQ42" s="26">
        <v>1</v>
      </c>
      <c r="CU42" s="26"/>
      <c r="CV42" s="26">
        <v>1</v>
      </c>
      <c r="CW42" s="26"/>
      <c r="CX42" s="26">
        <v>1</v>
      </c>
      <c r="DB42" s="26"/>
      <c r="DC42" s="26">
        <v>1</v>
      </c>
      <c r="DD42" s="26"/>
      <c r="DE42" s="26">
        <v>1</v>
      </c>
      <c r="DI42" s="26"/>
      <c r="DJ42" s="26">
        <v>1</v>
      </c>
      <c r="DK42" s="26"/>
      <c r="DL42" s="26">
        <v>1</v>
      </c>
      <c r="DP42" s="26"/>
      <c r="DQ42" s="26">
        <v>1</v>
      </c>
      <c r="DR42" s="26"/>
      <c r="DS42" s="26">
        <v>1</v>
      </c>
      <c r="DW42" s="26"/>
      <c r="DX42" s="26">
        <v>1</v>
      </c>
      <c r="DY42" s="26"/>
      <c r="DZ42" s="26">
        <v>1</v>
      </c>
    </row>
    <row r="43" spans="2:130" outlineLevel="1">
      <c r="B43" s="15" t="s">
        <v>28</v>
      </c>
      <c r="C43" s="15" t="s">
        <v>94</v>
      </c>
      <c r="E43" s="29"/>
      <c r="F43" s="15" t="s">
        <v>151</v>
      </c>
      <c r="G43" s="26">
        <v>0</v>
      </c>
      <c r="I43" s="29">
        <f t="shared" si="3"/>
        <v>0</v>
      </c>
      <c r="J43" s="28" cm="1">
        <f t="array" ref="J43">MAX(IF($N$3:$EH$3=$J$3,N43:EH43))</f>
        <v>0</v>
      </c>
      <c r="K43" s="28" cm="1">
        <f t="array" ref="K43">MAX(IF($N$3:$EH$3=$J$3,N43:EH43))</f>
        <v>0</v>
      </c>
      <c r="L43" s="29"/>
      <c r="O43" s="26"/>
      <c r="P43" s="26"/>
      <c r="Q43" s="26"/>
      <c r="R43" s="26"/>
      <c r="V43" s="26"/>
      <c r="W43" s="26"/>
      <c r="X43" s="26"/>
      <c r="Y43" s="26"/>
      <c r="AC43" s="26"/>
      <c r="AD43" s="26"/>
      <c r="AE43" s="26"/>
      <c r="AF43" s="26"/>
      <c r="AJ43" s="26"/>
      <c r="AK43" s="26"/>
      <c r="AL43" s="26"/>
      <c r="AM43" s="26"/>
      <c r="AQ43" s="26"/>
      <c r="AR43" s="26"/>
      <c r="AS43" s="26"/>
      <c r="AT43" s="26"/>
      <c r="AX43" s="26"/>
      <c r="AY43" s="26">
        <v>0.5</v>
      </c>
      <c r="AZ43" s="26"/>
      <c r="BA43" s="26">
        <v>0.5</v>
      </c>
      <c r="BE43" s="26"/>
      <c r="BF43" s="26">
        <v>0.8</v>
      </c>
      <c r="BG43" s="26"/>
      <c r="BH43" s="26">
        <v>0.8</v>
      </c>
      <c r="BL43" s="26"/>
      <c r="BM43" s="26">
        <v>0.8</v>
      </c>
      <c r="BN43" s="26"/>
      <c r="BO43" s="26">
        <v>0.8</v>
      </c>
      <c r="BS43" s="26"/>
      <c r="BT43" s="26">
        <v>0.8</v>
      </c>
      <c r="BU43" s="26"/>
      <c r="BV43" s="26">
        <v>0.8</v>
      </c>
      <c r="BZ43" s="26"/>
      <c r="CA43" s="26">
        <v>0.8</v>
      </c>
      <c r="CB43" s="26"/>
      <c r="CC43" s="26">
        <v>0.8</v>
      </c>
      <c r="CG43" s="26"/>
      <c r="CH43" s="26">
        <v>1</v>
      </c>
      <c r="CI43" s="26"/>
      <c r="CJ43" s="26">
        <v>1</v>
      </c>
      <c r="CN43" s="26"/>
      <c r="CO43" s="26">
        <v>1</v>
      </c>
      <c r="CP43" s="26"/>
      <c r="CQ43" s="26">
        <v>1</v>
      </c>
      <c r="CU43" s="26"/>
      <c r="CV43" s="26">
        <v>1</v>
      </c>
      <c r="CW43" s="26"/>
      <c r="CX43" s="26">
        <v>1</v>
      </c>
      <c r="DB43" s="26"/>
      <c r="DC43" s="26">
        <v>1</v>
      </c>
      <c r="DD43" s="26"/>
      <c r="DE43" s="26">
        <v>1</v>
      </c>
      <c r="DI43" s="26"/>
      <c r="DJ43" s="26">
        <v>1</v>
      </c>
      <c r="DK43" s="26"/>
      <c r="DL43" s="26">
        <v>1</v>
      </c>
      <c r="DP43" s="26"/>
      <c r="DQ43" s="26">
        <v>1</v>
      </c>
      <c r="DR43" s="26"/>
      <c r="DS43" s="26">
        <v>1</v>
      </c>
      <c r="DW43" s="26"/>
      <c r="DX43" s="26">
        <v>1</v>
      </c>
      <c r="DY43" s="26"/>
      <c r="DZ43" s="26">
        <v>1</v>
      </c>
    </row>
    <row r="44" spans="2:130" outlineLevel="1">
      <c r="B44" s="15" t="s">
        <v>28</v>
      </c>
      <c r="C44" s="15" t="s">
        <v>94</v>
      </c>
      <c r="E44" s="29"/>
      <c r="F44" s="15" t="s">
        <v>152</v>
      </c>
      <c r="G44" s="26">
        <v>0</v>
      </c>
      <c r="I44" s="29">
        <f t="shared" si="3"/>
        <v>0</v>
      </c>
      <c r="J44" s="28" cm="1">
        <f t="array" ref="J44">MAX(IF($N$3:$EH$3=$J$3,N44:EH44))</f>
        <v>0</v>
      </c>
      <c r="K44" s="28" cm="1">
        <f t="array" ref="K44">MAX(IF($N$3:$EH$3=$J$3,N44:EH44))</f>
        <v>0</v>
      </c>
      <c r="L44" s="29"/>
      <c r="O44" s="26"/>
      <c r="P44" s="26"/>
      <c r="Q44" s="26"/>
      <c r="R44" s="26"/>
      <c r="V44" s="26"/>
      <c r="W44" s="26"/>
      <c r="X44" s="26"/>
      <c r="Y44" s="26"/>
      <c r="AC44" s="26"/>
      <c r="AD44" s="26"/>
      <c r="AE44" s="26"/>
      <c r="AF44" s="26"/>
      <c r="AJ44" s="26"/>
      <c r="AK44" s="26"/>
      <c r="AL44" s="26"/>
      <c r="AM44" s="26"/>
      <c r="AQ44" s="26"/>
      <c r="AR44" s="26"/>
      <c r="AS44" s="26"/>
      <c r="AT44" s="26"/>
      <c r="AX44" s="26"/>
      <c r="AY44" s="26"/>
      <c r="AZ44" s="26"/>
      <c r="BA44" s="26"/>
      <c r="BE44" s="26"/>
      <c r="BF44" s="26">
        <v>0.5</v>
      </c>
      <c r="BG44" s="26"/>
      <c r="BH44" s="26">
        <v>0.5</v>
      </c>
      <c r="BL44" s="26"/>
      <c r="BM44" s="26">
        <v>0.5</v>
      </c>
      <c r="BN44" s="26"/>
      <c r="BO44" s="26">
        <v>0.5</v>
      </c>
      <c r="BS44" s="26"/>
      <c r="BT44" s="26">
        <v>0.8</v>
      </c>
      <c r="BU44" s="26"/>
      <c r="BV44" s="26">
        <v>0.8</v>
      </c>
      <c r="BZ44" s="26"/>
      <c r="CA44" s="26">
        <v>0.8</v>
      </c>
      <c r="CB44" s="26"/>
      <c r="CC44" s="26">
        <v>0.8</v>
      </c>
      <c r="CG44" s="26"/>
      <c r="CH44" s="26">
        <v>0.8</v>
      </c>
      <c r="CI44" s="26"/>
      <c r="CJ44" s="26">
        <v>0.8</v>
      </c>
      <c r="CK44" s="15">
        <v>2</v>
      </c>
      <c r="CN44" s="26"/>
      <c r="CO44" s="26">
        <v>1</v>
      </c>
      <c r="CP44" s="26"/>
      <c r="CQ44" s="26">
        <v>1</v>
      </c>
      <c r="CU44" s="26"/>
      <c r="CV44" s="26">
        <v>1</v>
      </c>
      <c r="CW44" s="26"/>
      <c r="CX44" s="26">
        <v>1</v>
      </c>
      <c r="DB44" s="26"/>
      <c r="DC44" s="26">
        <v>1</v>
      </c>
      <c r="DD44" s="26"/>
      <c r="DE44" s="26">
        <v>1</v>
      </c>
      <c r="DI44" s="26"/>
      <c r="DJ44" s="26">
        <v>1</v>
      </c>
      <c r="DK44" s="26"/>
      <c r="DL44" s="26">
        <v>1</v>
      </c>
      <c r="DP44" s="26"/>
      <c r="DQ44" s="26">
        <v>1</v>
      </c>
      <c r="DR44" s="26"/>
      <c r="DS44" s="26">
        <v>1</v>
      </c>
      <c r="DW44" s="26"/>
      <c r="DX44" s="26">
        <v>1</v>
      </c>
      <c r="DY44" s="26"/>
      <c r="DZ44" s="26">
        <v>1</v>
      </c>
    </row>
    <row r="45" spans="2:130" outlineLevel="1">
      <c r="B45" s="15" t="s">
        <v>28</v>
      </c>
      <c r="C45" s="15" t="s">
        <v>94</v>
      </c>
      <c r="E45" s="29"/>
      <c r="F45" s="15" t="s">
        <v>153</v>
      </c>
      <c r="G45" s="26">
        <v>0</v>
      </c>
      <c r="I45" s="29">
        <f t="shared" si="3"/>
        <v>0</v>
      </c>
      <c r="J45" s="28" cm="1">
        <f t="array" ref="J45">MAX(IF($N$3:$EH$3=$J$3,N45:EH45))</f>
        <v>0</v>
      </c>
      <c r="K45" s="28" cm="1">
        <f t="array" ref="K45">MAX(IF($N$3:$EH$3=$J$3,N45:EH45))</f>
        <v>0</v>
      </c>
      <c r="L45" s="29"/>
      <c r="O45" s="26"/>
      <c r="P45" s="26"/>
      <c r="Q45" s="26"/>
      <c r="R45" s="26"/>
      <c r="V45" s="26"/>
      <c r="W45" s="26"/>
      <c r="X45" s="26"/>
      <c r="Y45" s="26"/>
      <c r="AC45" s="26"/>
      <c r="AD45" s="26"/>
      <c r="AE45" s="26"/>
      <c r="AF45" s="26"/>
      <c r="AJ45" s="26"/>
      <c r="AK45" s="26"/>
      <c r="AL45" s="26"/>
      <c r="AM45" s="26"/>
      <c r="AQ45" s="26"/>
      <c r="AR45" s="26"/>
      <c r="AS45" s="26"/>
      <c r="AT45" s="26"/>
      <c r="AX45" s="26"/>
      <c r="AY45" s="26"/>
      <c r="AZ45" s="26"/>
      <c r="BA45" s="26"/>
      <c r="BE45" s="26"/>
      <c r="BF45" s="26"/>
      <c r="BG45" s="26"/>
      <c r="BH45" s="26"/>
      <c r="BL45" s="26"/>
      <c r="BM45" s="26">
        <v>0.5</v>
      </c>
      <c r="BN45" s="26"/>
      <c r="BO45" s="26">
        <v>0.5</v>
      </c>
      <c r="BS45" s="26"/>
      <c r="BT45" s="26">
        <v>0.5</v>
      </c>
      <c r="BU45" s="26"/>
      <c r="BV45" s="26">
        <v>0.5</v>
      </c>
      <c r="BZ45" s="26"/>
      <c r="CA45" s="26">
        <v>0.8</v>
      </c>
      <c r="CB45" s="26"/>
      <c r="CC45" s="26">
        <v>0.8</v>
      </c>
      <c r="CG45" s="26"/>
      <c r="CH45" s="26">
        <v>0.8</v>
      </c>
      <c r="CI45" s="26"/>
      <c r="CJ45" s="26">
        <v>0.8</v>
      </c>
      <c r="CN45" s="26"/>
      <c r="CO45" s="26">
        <v>1</v>
      </c>
      <c r="CP45" s="26"/>
      <c r="CQ45" s="26">
        <v>1</v>
      </c>
      <c r="CU45" s="26"/>
      <c r="CV45" s="26">
        <v>1</v>
      </c>
      <c r="CW45" s="26"/>
      <c r="CX45" s="26">
        <v>1</v>
      </c>
      <c r="DB45" s="26"/>
      <c r="DC45" s="26">
        <v>1</v>
      </c>
      <c r="DD45" s="26"/>
      <c r="DE45" s="26">
        <v>1</v>
      </c>
      <c r="DI45" s="26"/>
      <c r="DJ45" s="26">
        <v>1</v>
      </c>
      <c r="DK45" s="26"/>
      <c r="DL45" s="26">
        <v>1</v>
      </c>
      <c r="DP45" s="26"/>
      <c r="DQ45" s="26">
        <v>1</v>
      </c>
      <c r="DR45" s="26"/>
      <c r="DS45" s="26">
        <v>1</v>
      </c>
      <c r="DW45" s="26"/>
      <c r="DX45" s="26">
        <v>1</v>
      </c>
      <c r="DY45" s="26"/>
      <c r="DZ45" s="26">
        <v>1</v>
      </c>
    </row>
    <row r="1048570" spans="128:128">
      <c r="DX1048570" s="26">
        <v>1</v>
      </c>
    </row>
  </sheetData>
  <mergeCells count="17">
    <mergeCell ref="CM2:CR2"/>
    <mergeCell ref="DA2:DF2"/>
    <mergeCell ref="DH2:DM2"/>
    <mergeCell ref="DO2:DT2"/>
    <mergeCell ref="DV2:EA2"/>
    <mergeCell ref="CT2:CY2"/>
    <mergeCell ref="BK2:BP2"/>
    <mergeCell ref="BR2:BW2"/>
    <mergeCell ref="BY2:CD2"/>
    <mergeCell ref="CF2:CK2"/>
    <mergeCell ref="N2:S2"/>
    <mergeCell ref="BD2:BI2"/>
    <mergeCell ref="U2:Z2"/>
    <mergeCell ref="AB2:AG2"/>
    <mergeCell ref="AI2:AN2"/>
    <mergeCell ref="AP2:AU2"/>
    <mergeCell ref="AW2:BB2"/>
  </mergeCells>
  <conditionalFormatting sqref="Q9:Q14 AQ14 AS14 V10:V14 X10:X14 AC12:AC14 AE12:AE14 AJ13:AJ14 AL13:AL14 O9:O14 AJ33:AJ34 AL33:AL34 Q32:Q34 O32:O34 X33:X34 V33:V34 AE33:AE34 AC33:AC34 AS34 AQ34 CP32:CP34 CN32:CN34 Q44:Q45 O44:O45 X44:X45 V44:V45 AE45 AC45 AJ45 AL45 CP37:CP45 CN37:CN45 DD44:DD45 DB44:DB45 DK43:DK45 DI43:DI45 DY37:DY45 DW37:DW45 Q37:Q42 O37:O42 AE43 AC43 X42 V42 Q25 O25 X25 V25 DY20:DY25 DW20:DW25 DR40:DR45 DP40:DP45">
    <cfRule type="expression" dxfId="733" priority="1741">
      <formula>OR(IF(O9&lt;P9,TRUE),IF(AND(P9="",O9&lt;&gt;""),TRUE))</formula>
    </cfRule>
    <cfRule type="expression" dxfId="732" priority="1742">
      <formula>IF(O9&gt;=P9,IF(O9="",FALSE,TRUE))</formula>
    </cfRule>
  </conditionalFormatting>
  <conditionalFormatting sqref="CN28:CN31">
    <cfRule type="expression" dxfId="731" priority="1225">
      <formula>OR(IF(CN28&lt;CO28,TRUE),IF(AND(CO28="",CN28&lt;&gt;""),TRUE))</formula>
    </cfRule>
    <cfRule type="expression" dxfId="730" priority="1226">
      <formula>IF(CN28&gt;=CO28,IF(CN28="",FALSE,TRUE))</formula>
    </cfRule>
  </conditionalFormatting>
  <conditionalFormatting sqref="CP28:CP31">
    <cfRule type="expression" dxfId="729" priority="1223">
      <formula>OR(IF(CP28&lt;CQ28,TRUE),IF(AND(CQ28="",CP28&lt;&gt;""),TRUE))</formula>
    </cfRule>
    <cfRule type="expression" dxfId="728" priority="1224">
      <formula>IF(CP28&gt;=CQ28,IF(CP28="",FALSE,TRUE))</formula>
    </cfRule>
  </conditionalFormatting>
  <conditionalFormatting sqref="J6:K14">
    <cfRule type="colorScale" priority="2035">
      <colorScale>
        <cfvo type="percent" val="0"/>
        <cfvo type="percent" val="100"/>
        <color rgb="FFFF231B"/>
        <color rgb="FF10FF07"/>
      </colorScale>
    </cfRule>
  </conditionalFormatting>
  <conditionalFormatting sqref="J5:J14">
    <cfRule type="colorScale" priority="2036">
      <colorScale>
        <cfvo type="percent" val="0"/>
        <cfvo type="percent" val="100"/>
        <color rgb="FFFF231B"/>
        <color rgb="FF10FF07"/>
      </colorScale>
    </cfRule>
  </conditionalFormatting>
  <conditionalFormatting sqref="K5:K14">
    <cfRule type="colorScale" priority="2037">
      <colorScale>
        <cfvo type="percent" val="0"/>
        <cfvo type="percent" val="100"/>
        <color rgb="FFFF231B"/>
        <color rgb="FF10FF07"/>
      </colorScale>
    </cfRule>
  </conditionalFormatting>
  <conditionalFormatting sqref="J29:K34">
    <cfRule type="colorScale" priority="2070">
      <colorScale>
        <cfvo type="percent" val="0"/>
        <cfvo type="percent" val="100"/>
        <color rgb="FFFF231B"/>
        <color rgb="FF10FF07"/>
      </colorScale>
    </cfRule>
  </conditionalFormatting>
  <conditionalFormatting sqref="J28:J34">
    <cfRule type="colorScale" priority="2071">
      <colorScale>
        <cfvo type="percent" val="0"/>
        <cfvo type="percent" val="100"/>
        <color rgb="FFFF231B"/>
        <color rgb="FF10FF07"/>
      </colorScale>
    </cfRule>
  </conditionalFormatting>
  <conditionalFormatting sqref="K28:K34">
    <cfRule type="colorScale" priority="2072">
      <colorScale>
        <cfvo type="percent" val="0"/>
        <cfvo type="percent" val="100"/>
        <color rgb="FFFF231B"/>
        <color rgb="FF10FF07"/>
      </colorScale>
    </cfRule>
  </conditionalFormatting>
  <conditionalFormatting sqref="CW32:CW34 CU32:CU34">
    <cfRule type="expression" dxfId="727" priority="1145">
      <formula>OR(IF(CU32&lt;CV32,TRUE),IF(AND(CV32="",CU32&lt;&gt;""),TRUE))</formula>
    </cfRule>
    <cfRule type="expression" dxfId="726" priority="1146">
      <formula>IF(CU32&gt;=CV32,IF(CU32="",FALSE,TRUE))</formula>
    </cfRule>
  </conditionalFormatting>
  <conditionalFormatting sqref="CU28:CU31">
    <cfRule type="expression" dxfId="721" priority="1139">
      <formula>OR(IF(CU28&lt;CV28,TRUE),IF(AND(CV28="",CU28&lt;&gt;""),TRUE))</formula>
    </cfRule>
    <cfRule type="expression" dxfId="720" priority="1140">
      <formula>IF(CU28&gt;=CV28,IF(CU28="",FALSE,TRUE))</formula>
    </cfRule>
  </conditionalFormatting>
  <conditionalFormatting sqref="CW28:CW31">
    <cfRule type="expression" dxfId="719" priority="1137">
      <formula>OR(IF(CW28&lt;CX28,TRUE),IF(AND(CX28="",CW28&lt;&gt;""),TRUE))</formula>
    </cfRule>
    <cfRule type="expression" dxfId="718" priority="1138">
      <formula>IF(CW28&gt;=CX28,IF(CW28="",FALSE,TRUE))</formula>
    </cfRule>
  </conditionalFormatting>
  <conditionalFormatting sqref="DB5:DB14 DD5:DD14 DD32:DD34 DB32:DB34">
    <cfRule type="expression" dxfId="717" priority="1135">
      <formula>OR(IF(DB5&lt;DC5,TRUE),IF(AND(DC5="",DB5&lt;&gt;""),TRUE))</formula>
    </cfRule>
    <cfRule type="expression" dxfId="716" priority="1136">
      <formula>IF(DB5&gt;=DC5,IF(DB5="",FALSE,TRUE))</formula>
    </cfRule>
  </conditionalFormatting>
  <conditionalFormatting sqref="BG34 BE34">
    <cfRule type="expression" dxfId="715" priority="893">
      <formula>OR(IF(BE34&lt;BF34,TRUE),IF(AND(BF34="",BE34&lt;&gt;""),TRUE))</formula>
    </cfRule>
    <cfRule type="expression" dxfId="714" priority="894">
      <formula>IF(BE34&gt;=BF34,IF(BE34="",FALSE,TRUE))</formula>
    </cfRule>
  </conditionalFormatting>
  <conditionalFormatting sqref="DB28:DB31">
    <cfRule type="expression" dxfId="711" priority="1129">
      <formula>OR(IF(DB28&lt;DC28,TRUE),IF(AND(DC28="",DB28&lt;&gt;""),TRUE))</formula>
    </cfRule>
    <cfRule type="expression" dxfId="710" priority="1130">
      <formula>IF(DB28&gt;=DC28,IF(DB28="",FALSE,TRUE))</formula>
    </cfRule>
  </conditionalFormatting>
  <conditionalFormatting sqref="DD28:DD31">
    <cfRule type="expression" dxfId="709" priority="1127">
      <formula>OR(IF(DD28&lt;DE28,TRUE),IF(AND(DE28="",DD28&lt;&gt;""),TRUE))</formula>
    </cfRule>
    <cfRule type="expression" dxfId="708" priority="1128">
      <formula>IF(DD28&gt;=DE28,IF(DD28="",FALSE,TRUE))</formula>
    </cfRule>
  </conditionalFormatting>
  <conditionalFormatting sqref="DI5:DI14 DK5:DK14 DK32:DK34 DI32:DI34">
    <cfRule type="expression" dxfId="707" priority="1125">
      <formula>OR(IF(DI5&lt;DJ5,TRUE),IF(AND(DJ5="",DI5&lt;&gt;""),TRUE))</formula>
    </cfRule>
    <cfRule type="expression" dxfId="706" priority="1126">
      <formula>IF(DI5&gt;=DJ5,IF(DI5="",FALSE,TRUE))</formula>
    </cfRule>
  </conditionalFormatting>
  <conditionalFormatting sqref="AL32 AJ32">
    <cfRule type="expression" dxfId="703" priority="875">
      <formula>OR(IF(AJ32&lt;AK32,TRUE),IF(AND(AK32="",AJ32&lt;&gt;""),TRUE))</formula>
    </cfRule>
    <cfRule type="expression" dxfId="702" priority="876">
      <formula>IF(AJ32&gt;=AK32,IF(AJ32="",FALSE,TRUE))</formula>
    </cfRule>
  </conditionalFormatting>
  <conditionalFormatting sqref="DI28:DI31">
    <cfRule type="expression" dxfId="701" priority="1119">
      <formula>OR(IF(DI28&lt;DJ28,TRUE),IF(AND(DJ28="",DI28&lt;&gt;""),TRUE))</formula>
    </cfRule>
    <cfRule type="expression" dxfId="700" priority="1120">
      <formula>IF(DI28&gt;=DJ28,IF(DI28="",FALSE,TRUE))</formula>
    </cfRule>
  </conditionalFormatting>
  <conditionalFormatting sqref="DK28:DK31">
    <cfRule type="expression" dxfId="699" priority="1117">
      <formula>OR(IF(DK28&lt;DL28,TRUE),IF(AND(DL28="",DK28&lt;&gt;""),TRUE))</formula>
    </cfRule>
    <cfRule type="expression" dxfId="698" priority="1118">
      <formula>IF(DK28&gt;=DL28,IF(DK28="",FALSE,TRUE))</formula>
    </cfRule>
  </conditionalFormatting>
  <conditionalFormatting sqref="DP5:DP14 DR5:DR14 DR32:DR34 DP32:DP34">
    <cfRule type="expression" dxfId="697" priority="1115">
      <formula>OR(IF(DP5&lt;DQ5,TRUE),IF(AND(DQ5="",DP5&lt;&gt;""),TRUE))</formula>
    </cfRule>
    <cfRule type="expression" dxfId="696" priority="1116">
      <formula>IF(DP5&gt;=DQ5,IF(DP5="",FALSE,TRUE))</formula>
    </cfRule>
  </conditionalFormatting>
  <conditionalFormatting sqref="DP28:DP31">
    <cfRule type="expression" dxfId="691" priority="1109">
      <formula>OR(IF(DP28&lt;DQ28,TRUE),IF(AND(DQ28="",DP28&lt;&gt;""),TRUE))</formula>
    </cfRule>
    <cfRule type="expression" dxfId="690" priority="1110">
      <formula>IF(DP28&gt;=DQ28,IF(DP28="",FALSE,TRUE))</formula>
    </cfRule>
  </conditionalFormatting>
  <conditionalFormatting sqref="DR28:DR31">
    <cfRule type="expression" dxfId="689" priority="1107">
      <formula>OR(IF(DR28&lt;DS28,TRUE),IF(AND(DS28="",DR28&lt;&gt;""),TRUE))</formula>
    </cfRule>
    <cfRule type="expression" dxfId="688" priority="1108">
      <formula>IF(DR28&gt;=DS28,IF(DR28="",FALSE,TRUE))</formula>
    </cfRule>
  </conditionalFormatting>
  <conditionalFormatting sqref="DW5:DW14 DY5:DY14 DY32:DY34 DW32:DW34">
    <cfRule type="expression" dxfId="687" priority="1105">
      <formula>OR(IF(DW5&lt;DX5,TRUE),IF(AND(DX5="",DW5&lt;&gt;""),TRUE))</formula>
    </cfRule>
    <cfRule type="expression" dxfId="686" priority="1106">
      <formula>IF(DW5&gt;=DX5,IF(DW5="",FALSE,TRUE))</formula>
    </cfRule>
  </conditionalFormatting>
  <conditionalFormatting sqref="DW18:DW19">
    <cfRule type="expression" dxfId="685" priority="1103">
      <formula>OR(IF(DW18&lt;DX18,TRUE),IF(AND(DX18="",DW18&lt;&gt;""),TRUE))</formula>
    </cfRule>
    <cfRule type="expression" dxfId="684" priority="1104">
      <formula>IF(DW18&gt;=DX18,IF(DW18="",FALSE,TRUE))</formula>
    </cfRule>
  </conditionalFormatting>
  <conditionalFormatting sqref="DY18:DY19">
    <cfRule type="expression" dxfId="683" priority="1101">
      <formula>OR(IF(DY18&lt;DZ18,TRUE),IF(AND(DZ18="",DY18&lt;&gt;""),TRUE))</formula>
    </cfRule>
    <cfRule type="expression" dxfId="682" priority="1102">
      <formula>IF(DY18&gt;=DZ18,IF(DY18="",FALSE,TRUE))</formula>
    </cfRule>
  </conditionalFormatting>
  <conditionalFormatting sqref="DW28:DW31">
    <cfRule type="expression" dxfId="681" priority="1099">
      <formula>OR(IF(DW28&lt;DX28,TRUE),IF(AND(DX28="",DW28&lt;&gt;""),TRUE))</formula>
    </cfRule>
    <cfRule type="expression" dxfId="680" priority="1100">
      <formula>IF(DW28&gt;=DX28,IF(DW28="",FALSE,TRUE))</formula>
    </cfRule>
  </conditionalFormatting>
  <conditionalFormatting sqref="DY28:DY31">
    <cfRule type="expression" dxfId="679" priority="1097">
      <formula>OR(IF(DY28&lt;DZ28,TRUE),IF(AND(DZ28="",DY28&lt;&gt;""),TRUE))</formula>
    </cfRule>
    <cfRule type="expression" dxfId="678" priority="1098">
      <formula>IF(DY28&gt;=DZ28,IF(DY28="",FALSE,TRUE))</formula>
    </cfRule>
  </conditionalFormatting>
  <conditionalFormatting sqref="CU5:CU14 CW5:CW14">
    <cfRule type="expression" dxfId="677" priority="1095">
      <formula>OR(IF(CU5&lt;CV5,TRUE),IF(AND(CV5="",CU5&lt;&gt;""),TRUE))</formula>
    </cfRule>
    <cfRule type="expression" dxfId="676" priority="1096">
      <formula>IF(CU5&gt;=CV5,IF(CU5="",FALSE,TRUE))</formula>
    </cfRule>
  </conditionalFormatting>
  <conditionalFormatting sqref="AL25 AJ25">
    <cfRule type="expression" dxfId="673" priority="941">
      <formula>OR(IF(AJ25&lt;AK25,TRUE),IF(AND(AK25="",AJ25&lt;&gt;""),TRUE))</formula>
    </cfRule>
    <cfRule type="expression" dxfId="672" priority="942">
      <formula>IF(AJ25&gt;=AK25,IF(AJ25="",FALSE,TRUE))</formula>
    </cfRule>
  </conditionalFormatting>
  <conditionalFormatting sqref="AE25 AC25">
    <cfRule type="expression" dxfId="671" priority="935">
      <formula>OR(IF(AC25&lt;AD25,TRUE),IF(AND(AD25="",AC25&lt;&gt;""),TRUE))</formula>
    </cfRule>
    <cfRule type="expression" dxfId="670" priority="936">
      <formula>IF(AC25&gt;=AD25,IF(AC25="",FALSE,TRUE))</formula>
    </cfRule>
  </conditionalFormatting>
  <conditionalFormatting sqref="X22:X24 V22:V24">
    <cfRule type="expression" dxfId="669" priority="929">
      <formula>OR(IF(V22&lt;W22,TRUE),IF(AND(W22="",V22&lt;&gt;""),TRUE))</formula>
    </cfRule>
    <cfRule type="expression" dxfId="668" priority="930">
      <formula>IF(V22&gt;=W22,IF(V22="",FALSE,TRUE))</formula>
    </cfRule>
  </conditionalFormatting>
  <conditionalFormatting sqref="Q22:Q24 O22:O24">
    <cfRule type="expression" dxfId="667" priority="923">
      <formula>OR(IF(O22&lt;P22,TRUE),IF(AND(P22="",O22&lt;&gt;""),TRUE))</formula>
    </cfRule>
    <cfRule type="expression" dxfId="666" priority="924">
      <formula>IF(O22&gt;=P22,IF(O22="",FALSE,TRUE))</formula>
    </cfRule>
  </conditionalFormatting>
  <conditionalFormatting sqref="AZ34 AX34">
    <cfRule type="expression" dxfId="663" priority="887">
      <formula>OR(IF(AX34&lt;AY34,TRUE),IF(AND(AY34="",AX34&lt;&gt;""),TRUE))</formula>
    </cfRule>
    <cfRule type="expression" dxfId="662" priority="888">
      <formula>IF(AX34&gt;=AY34,IF(AX34="",FALSE,TRUE))</formula>
    </cfRule>
  </conditionalFormatting>
  <conditionalFormatting sqref="AS33 AQ33">
    <cfRule type="expression" dxfId="661" priority="881">
      <formula>OR(IF(AQ33&lt;AR33,TRUE),IF(AND(AR33="",AQ33&lt;&gt;""),TRUE))</formula>
    </cfRule>
    <cfRule type="expression" dxfId="660" priority="882">
      <formula>IF(AQ33&gt;=AR33,IF(AQ33="",FALSE,TRUE))</formula>
    </cfRule>
  </conditionalFormatting>
  <conditionalFormatting sqref="AE32 AC32">
    <cfRule type="expression" dxfId="657" priority="869">
      <formula>OR(IF(AC32&lt;AD32,TRUE),IF(AND(AD32="",AC32&lt;&gt;""),TRUE))</formula>
    </cfRule>
    <cfRule type="expression" dxfId="656" priority="870">
      <formula>IF(AC32&gt;=AD32,IF(AC32="",FALSE,TRUE))</formula>
    </cfRule>
  </conditionalFormatting>
  <conditionalFormatting sqref="AC31">
    <cfRule type="expression" dxfId="655" priority="867">
      <formula>OR(IF(AC31&lt;AD31,TRUE),IF(AND(AD31="",AC31&lt;&gt;""),TRUE))</formula>
    </cfRule>
    <cfRule type="expression" dxfId="654" priority="868">
      <formula>IF(AC31&gt;=AD31,IF(AC31="",FALSE,TRUE))</formula>
    </cfRule>
  </conditionalFormatting>
  <conditionalFormatting sqref="AE31">
    <cfRule type="expression" dxfId="653" priority="865">
      <formula>OR(IF(AE31&lt;AF31,TRUE),IF(AND(AF31="",AE31&lt;&gt;""),TRUE))</formula>
    </cfRule>
    <cfRule type="expression" dxfId="652" priority="866">
      <formula>IF(AE31&gt;=AF31,IF(AE31="",FALSE,TRUE))</formula>
    </cfRule>
  </conditionalFormatting>
  <conditionalFormatting sqref="X32 V32">
    <cfRule type="expression" dxfId="651" priority="863">
      <formula>OR(IF(V32&lt;W32,TRUE),IF(AND(W32="",V32&lt;&gt;""),TRUE))</formula>
    </cfRule>
    <cfRule type="expression" dxfId="650" priority="864">
      <formula>IF(V32&gt;=W32,IF(V32="",FALSE,TRUE))</formula>
    </cfRule>
  </conditionalFormatting>
  <conditionalFormatting sqref="V31">
    <cfRule type="expression" dxfId="649" priority="861">
      <formula>OR(IF(V31&lt;W31,TRUE),IF(AND(W31="",V31&lt;&gt;""),TRUE))</formula>
    </cfRule>
    <cfRule type="expression" dxfId="648" priority="862">
      <formula>IF(V31&gt;=W31,IF(V31="",FALSE,TRUE))</formula>
    </cfRule>
  </conditionalFormatting>
  <conditionalFormatting sqref="X31">
    <cfRule type="expression" dxfId="647" priority="859">
      <formula>OR(IF(X31&lt;Y31,TRUE),IF(AND(Y31="",X31&lt;&gt;""),TRUE))</formula>
    </cfRule>
    <cfRule type="expression" dxfId="646" priority="860">
      <formula>IF(X31&gt;=Y31,IF(X31="",FALSE,TRUE))</formula>
    </cfRule>
  </conditionalFormatting>
  <conditionalFormatting sqref="O28:O31">
    <cfRule type="expression" dxfId="645" priority="857">
      <formula>OR(IF(O28&lt;P28,TRUE),IF(AND(P28="",O28&lt;&gt;""),TRUE))</formula>
    </cfRule>
    <cfRule type="expression" dxfId="644" priority="858">
      <formula>IF(O28&gt;=P28,IF(O28="",FALSE,TRUE))</formula>
    </cfRule>
  </conditionalFormatting>
  <conditionalFormatting sqref="Q28:Q31">
    <cfRule type="expression" dxfId="643" priority="855">
      <formula>OR(IF(Q28&lt;R28,TRUE),IF(AND(R28="",Q28&lt;&gt;""),TRUE))</formula>
    </cfRule>
    <cfRule type="expression" dxfId="642" priority="856">
      <formula>IF(Q28&gt;=R28,IF(Q28="",FALSE,TRUE))</formula>
    </cfRule>
  </conditionalFormatting>
  <conditionalFormatting sqref="Q43 O43">
    <cfRule type="expression" dxfId="641" priority="827">
      <formula>OR(IF(O43&lt;P43,TRUE),IF(AND(P43="",O43&lt;&gt;""),TRUE))</formula>
    </cfRule>
    <cfRule type="expression" dxfId="640" priority="828">
      <formula>IF(O43&gt;=P43,IF(O43="",FALSE,TRUE))</formula>
    </cfRule>
  </conditionalFormatting>
  <conditionalFormatting sqref="AL44 AJ44">
    <cfRule type="expression" dxfId="639" priority="731">
      <formula>OR(IF(AJ44&lt;AK44,TRUE),IF(AND(AK44="",AJ44&lt;&gt;""),TRUE))</formula>
    </cfRule>
    <cfRule type="expression" dxfId="638" priority="732">
      <formula>IF(AJ44&gt;=AK44,IF(AJ44="",FALSE,TRUE))</formula>
    </cfRule>
  </conditionalFormatting>
  <conditionalFormatting sqref="AE44 AC44">
    <cfRule type="expression" dxfId="637" priority="729">
      <formula>OR(IF(AC44&lt;AD44,TRUE),IF(AND(AD44="",AC44&lt;&gt;""),TRUE))</formula>
    </cfRule>
    <cfRule type="expression" dxfId="636" priority="730">
      <formula>IF(AC44&gt;=AD44,IF(AC44="",FALSE,TRUE))</formula>
    </cfRule>
  </conditionalFormatting>
  <conditionalFormatting sqref="AS45 AQ45">
    <cfRule type="expression" dxfId="635" priority="733">
      <formula>OR(IF(AQ45&lt;AR45,TRUE),IF(AND(AR45="",AQ45&lt;&gt;""),TRUE))</formula>
    </cfRule>
    <cfRule type="expression" dxfId="634" priority="734">
      <formula>IF(AQ45&gt;=AR45,IF(AQ45="",FALSE,TRUE))</formula>
    </cfRule>
  </conditionalFormatting>
  <conditionalFormatting sqref="AE23:AE24 AC23:AC24">
    <cfRule type="expression" dxfId="625" priority="771">
      <formula>OR(IF(AC23&lt;AD23,TRUE),IF(AND(AD23="",AC23&lt;&gt;""),TRUE))</formula>
    </cfRule>
    <cfRule type="expression" dxfId="624" priority="772">
      <formula>IF(AC23&gt;=AD23,IF(AC23="",FALSE,TRUE))</formula>
    </cfRule>
  </conditionalFormatting>
  <conditionalFormatting sqref="X43 V43">
    <cfRule type="expression" dxfId="613" priority="725">
      <formula>OR(IF(V43&lt;W43,TRUE),IF(AND(W43="",V43&lt;&gt;""),TRUE))</formula>
    </cfRule>
    <cfRule type="expression" dxfId="612" priority="726">
      <formula>IF(V43&gt;=W43,IF(V43="",FALSE,TRUE))</formula>
    </cfRule>
  </conditionalFormatting>
  <conditionalFormatting sqref="CB32:CB34 BZ32:BZ34">
    <cfRule type="expression" dxfId="605" priority="715">
      <formula>OR(IF(BZ32&lt;CA32,TRUE),IF(AND(CA32="",BZ32&lt;&gt;""),TRUE))</formula>
    </cfRule>
    <cfRule type="expression" dxfId="604" priority="716">
      <formula>IF(BZ32&gt;=CA32,IF(BZ32="",FALSE,TRUE))</formula>
    </cfRule>
  </conditionalFormatting>
  <conditionalFormatting sqref="BZ28:BZ31">
    <cfRule type="expression" dxfId="603" priority="713">
      <formula>OR(IF(BZ28&lt;CA28,TRUE),IF(AND(CA28="",BZ28&lt;&gt;""),TRUE))</formula>
    </cfRule>
    <cfRule type="expression" dxfId="602" priority="714">
      <formula>IF(BZ28&gt;=CA28,IF(BZ28="",FALSE,TRUE))</formula>
    </cfRule>
  </conditionalFormatting>
  <conditionalFormatting sqref="CB28:CB31">
    <cfRule type="expression" dxfId="601" priority="711">
      <formula>OR(IF(CB28&lt;CC28,TRUE),IF(AND(CC28="",CB28&lt;&gt;""),TRUE))</formula>
    </cfRule>
    <cfRule type="expression" dxfId="600" priority="712">
      <formula>IF(CB28&gt;=CC28,IF(CB28="",FALSE,TRUE))</formula>
    </cfRule>
  </conditionalFormatting>
  <conditionalFormatting sqref="BU32:BU34 BS32:BS34">
    <cfRule type="expression" dxfId="599" priority="709">
      <formula>OR(IF(BS32&lt;BT32,TRUE),IF(AND(BT32="",BS32&lt;&gt;""),TRUE))</formula>
    </cfRule>
    <cfRule type="expression" dxfId="598" priority="710">
      <formula>IF(BS32&gt;=BT32,IF(BS32="",FALSE,TRUE))</formula>
    </cfRule>
  </conditionalFormatting>
  <conditionalFormatting sqref="BS28:BS31">
    <cfRule type="expression" dxfId="597" priority="707">
      <formula>OR(IF(BS28&lt;BT28,TRUE),IF(AND(BT28="",BS28&lt;&gt;""),TRUE))</formula>
    </cfRule>
    <cfRule type="expression" dxfId="596" priority="708">
      <formula>IF(BS28&gt;=BT28,IF(BS28="",FALSE,TRUE))</formula>
    </cfRule>
  </conditionalFormatting>
  <conditionalFormatting sqref="BU28:BU31">
    <cfRule type="expression" dxfId="595" priority="705">
      <formula>OR(IF(BU28&lt;BV28,TRUE),IF(AND(BV28="",BU28&lt;&gt;""),TRUE))</formula>
    </cfRule>
    <cfRule type="expression" dxfId="594" priority="706">
      <formula>IF(BU28&gt;=BV28,IF(BU28="",FALSE,TRUE))</formula>
    </cfRule>
  </conditionalFormatting>
  <conditionalFormatting sqref="BN32:BN34 BL32:BL34">
    <cfRule type="expression" dxfId="593" priority="703">
      <formula>OR(IF(BL32&lt;BM32,TRUE),IF(AND(BM32="",BL32&lt;&gt;""),TRUE))</formula>
    </cfRule>
    <cfRule type="expression" dxfId="592" priority="704">
      <formula>IF(BL32&gt;=BM32,IF(BL32="",FALSE,TRUE))</formula>
    </cfRule>
  </conditionalFormatting>
  <conditionalFormatting sqref="BL28:BL31">
    <cfRule type="expression" dxfId="591" priority="701">
      <formula>OR(IF(BL28&lt;BM28,TRUE),IF(AND(BM28="",BL28&lt;&gt;""),TRUE))</formula>
    </cfRule>
    <cfRule type="expression" dxfId="590" priority="702">
      <formula>IF(BL28&gt;=BM28,IF(BL28="",FALSE,TRUE))</formula>
    </cfRule>
  </conditionalFormatting>
  <conditionalFormatting sqref="BN28:BN31">
    <cfRule type="expression" dxfId="589" priority="699">
      <formula>OR(IF(BN28&lt;BO28,TRUE),IF(AND(BO28="",BN28&lt;&gt;""),TRUE))</formula>
    </cfRule>
    <cfRule type="expression" dxfId="588" priority="700">
      <formula>IF(BN28&gt;=BO28,IF(BN28="",FALSE,TRUE))</formula>
    </cfRule>
  </conditionalFormatting>
  <conditionalFormatting sqref="BG32:BG33 BE32:BE33">
    <cfRule type="expression" dxfId="587" priority="697">
      <formula>OR(IF(BE32&lt;BF32,TRUE),IF(AND(BF32="",BE32&lt;&gt;""),TRUE))</formula>
    </cfRule>
    <cfRule type="expression" dxfId="586" priority="698">
      <formula>IF(BE32&gt;=BF32,IF(BE32="",FALSE,TRUE))</formula>
    </cfRule>
  </conditionalFormatting>
  <conditionalFormatting sqref="BE28:BE31">
    <cfRule type="expression" dxfId="585" priority="695">
      <formula>OR(IF(BE28&lt;BF28,TRUE),IF(AND(BF28="",BE28&lt;&gt;""),TRUE))</formula>
    </cfRule>
    <cfRule type="expression" dxfId="584" priority="696">
      <formula>IF(BE28&gt;=BF28,IF(BE28="",FALSE,TRUE))</formula>
    </cfRule>
  </conditionalFormatting>
  <conditionalFormatting sqref="BG28:BG31">
    <cfRule type="expression" dxfId="583" priority="693">
      <formula>OR(IF(BG28&lt;BH28,TRUE),IF(AND(BH28="",BG28&lt;&gt;""),TRUE))</formula>
    </cfRule>
    <cfRule type="expression" dxfId="582" priority="694">
      <formula>IF(BG28&gt;=BH28,IF(BG28="",FALSE,TRUE))</formula>
    </cfRule>
  </conditionalFormatting>
  <conditionalFormatting sqref="AZ32:AZ33 AX32:AX33">
    <cfRule type="expression" dxfId="581" priority="691">
      <formula>OR(IF(AX32&lt;AY32,TRUE),IF(AND(AY32="",AX32&lt;&gt;""),TRUE))</formula>
    </cfRule>
    <cfRule type="expression" dxfId="580" priority="692">
      <formula>IF(AX32&gt;=AY32,IF(AX32="",FALSE,TRUE))</formula>
    </cfRule>
  </conditionalFormatting>
  <conditionalFormatting sqref="AX28:AX31">
    <cfRule type="expression" dxfId="579" priority="689">
      <formula>OR(IF(AX28&lt;AY28,TRUE),IF(AND(AY28="",AX28&lt;&gt;""),TRUE))</formula>
    </cfRule>
    <cfRule type="expression" dxfId="578" priority="690">
      <formula>IF(AX28&gt;=AY28,IF(AX28="",FALSE,TRUE))</formula>
    </cfRule>
  </conditionalFormatting>
  <conditionalFormatting sqref="AZ28:AZ31">
    <cfRule type="expression" dxfId="577" priority="687">
      <formula>OR(IF(AZ28&lt;BA28,TRUE),IF(AND(BA28="",AZ28&lt;&gt;""),TRUE))</formula>
    </cfRule>
    <cfRule type="expression" dxfId="576" priority="688">
      <formula>IF(AZ28&gt;=BA28,IF(AZ28="",FALSE,TRUE))</formula>
    </cfRule>
  </conditionalFormatting>
  <conditionalFormatting sqref="AS32 AQ32">
    <cfRule type="expression" dxfId="575" priority="685">
      <formula>OR(IF(AQ32&lt;AR32,TRUE),IF(AND(AR32="",AQ32&lt;&gt;""),TRUE))</formula>
    </cfRule>
    <cfRule type="expression" dxfId="574" priority="686">
      <formula>IF(AQ32&gt;=AR32,IF(AQ32="",FALSE,TRUE))</formula>
    </cfRule>
  </conditionalFormatting>
  <conditionalFormatting sqref="AQ28:AQ31">
    <cfRule type="expression" dxfId="573" priority="683">
      <formula>OR(IF(AQ28&lt;AR28,TRUE),IF(AND(AR28="",AQ28&lt;&gt;""),TRUE))</formula>
    </cfRule>
    <cfRule type="expression" dxfId="572" priority="684">
      <formula>IF(AQ28&gt;=AR28,IF(AQ28="",FALSE,TRUE))</formula>
    </cfRule>
  </conditionalFormatting>
  <conditionalFormatting sqref="AS28:AS31">
    <cfRule type="expression" dxfId="571" priority="681">
      <formula>OR(IF(AS28&lt;AT28,TRUE),IF(AND(AT28="",AS28&lt;&gt;""),TRUE))</formula>
    </cfRule>
    <cfRule type="expression" dxfId="570" priority="682">
      <formula>IF(AS28&gt;=AT28,IF(AS28="",FALSE,TRUE))</formula>
    </cfRule>
  </conditionalFormatting>
  <conditionalFormatting sqref="AJ28:AJ31">
    <cfRule type="expression" dxfId="569" priority="679">
      <formula>OR(IF(AJ28&lt;AK28,TRUE),IF(AND(AK28="",AJ28&lt;&gt;""),TRUE))</formula>
    </cfRule>
    <cfRule type="expression" dxfId="568" priority="680">
      <formula>IF(AJ28&gt;=AK28,IF(AJ28="",FALSE,TRUE))</formula>
    </cfRule>
  </conditionalFormatting>
  <conditionalFormatting sqref="AL28:AL31">
    <cfRule type="expression" dxfId="567" priority="677">
      <formula>OR(IF(AL28&lt;AM28,TRUE),IF(AND(AM28="",AL28&lt;&gt;""),TRUE))</formula>
    </cfRule>
    <cfRule type="expression" dxfId="566" priority="678">
      <formula>IF(AL28&gt;=AM28,IF(AL28="",FALSE,TRUE))</formula>
    </cfRule>
  </conditionalFormatting>
  <conditionalFormatting sqref="AC28:AC30">
    <cfRule type="expression" dxfId="565" priority="675">
      <formula>OR(IF(AC28&lt;AD28,TRUE),IF(AND(AD28="",AC28&lt;&gt;""),TRUE))</formula>
    </cfRule>
    <cfRule type="expression" dxfId="564" priority="676">
      <formula>IF(AC28&gt;=AD28,IF(AC28="",FALSE,TRUE))</formula>
    </cfRule>
  </conditionalFormatting>
  <conditionalFormatting sqref="AE28:AE30">
    <cfRule type="expression" dxfId="563" priority="673">
      <formula>OR(IF(AE28&lt;AF28,TRUE),IF(AND(AF28="",AE28&lt;&gt;""),TRUE))</formula>
    </cfRule>
    <cfRule type="expression" dxfId="562" priority="674">
      <formula>IF(AE28&gt;=AF28,IF(AE28="",FALSE,TRUE))</formula>
    </cfRule>
  </conditionalFormatting>
  <conditionalFormatting sqref="V28:V30">
    <cfRule type="expression" dxfId="561" priority="671">
      <formula>OR(IF(V28&lt;W28,TRUE),IF(AND(W28="",V28&lt;&gt;""),TRUE))</formula>
    </cfRule>
    <cfRule type="expression" dxfId="560" priority="672">
      <formula>IF(V28&gt;=W28,IF(V28="",FALSE,TRUE))</formula>
    </cfRule>
  </conditionalFormatting>
  <conditionalFormatting sqref="X28:X30">
    <cfRule type="expression" dxfId="559" priority="669">
      <formula>OR(IF(X28&lt;Y28,TRUE),IF(AND(Y28="",X28&lt;&gt;""),TRUE))</formula>
    </cfRule>
    <cfRule type="expression" dxfId="558" priority="670">
      <formula>IF(X28&gt;=Y28,IF(X28="",FALSE,TRUE))</formula>
    </cfRule>
  </conditionalFormatting>
  <conditionalFormatting sqref="J38:K45">
    <cfRule type="colorScale" priority="2338">
      <colorScale>
        <cfvo type="percent" val="0"/>
        <cfvo type="percent" val="100"/>
        <color rgb="FFFF231B"/>
        <color rgb="FF10FF07"/>
      </colorScale>
    </cfRule>
  </conditionalFormatting>
  <conditionalFormatting sqref="J37:J45">
    <cfRule type="colorScale" priority="2340">
      <colorScale>
        <cfvo type="percent" val="0"/>
        <cfvo type="percent" val="100"/>
        <color rgb="FFFF231B"/>
        <color rgb="FF10FF07"/>
      </colorScale>
    </cfRule>
  </conditionalFormatting>
  <conditionalFormatting sqref="K37:K45">
    <cfRule type="colorScale" priority="2342">
      <colorScale>
        <cfvo type="percent" val="0"/>
        <cfvo type="percent" val="100"/>
        <color rgb="FFFF231B"/>
        <color rgb="FF10FF07"/>
      </colorScale>
    </cfRule>
  </conditionalFormatting>
  <conditionalFormatting sqref="CN5:CN14 CP5:CP14">
    <cfRule type="expression" dxfId="557" priority="589">
      <formula>OR(IF(CN5&lt;CO5,TRUE),IF(AND(CO5="",CN5&lt;&gt;""),TRUE))</formula>
    </cfRule>
    <cfRule type="expression" dxfId="556" priority="590">
      <formula>IF(CN5&gt;=CO5,IF(CN5="",FALSE,TRUE))</formula>
    </cfRule>
  </conditionalFormatting>
  <conditionalFormatting sqref="AX14 AZ14">
    <cfRule type="expression" dxfId="545" priority="565">
      <formula>OR(IF(AX14&lt;AY14,TRUE),IF(AND(AY14="",AX14&lt;&gt;""),TRUE))</formula>
    </cfRule>
    <cfRule type="expression" dxfId="544" priority="566">
      <formula>IF(AX14&gt;=AY14,IF(AX14="",FALSE,TRUE))</formula>
    </cfRule>
  </conditionalFormatting>
  <conditionalFormatting sqref="AQ13 AS13">
    <cfRule type="expression" dxfId="543" priority="561">
      <formula>OR(IF(AQ13&lt;AR13,TRUE),IF(AND(AR13="",AQ13&lt;&gt;""),TRUE))</formula>
    </cfRule>
    <cfRule type="expression" dxfId="542" priority="562">
      <formula>IF(AQ13&gt;=AR13,IF(AQ13="",FALSE,TRUE))</formula>
    </cfRule>
  </conditionalFormatting>
  <conditionalFormatting sqref="AJ12 AL12">
    <cfRule type="expression" dxfId="541" priority="557">
      <formula>OR(IF(AJ12&lt;AK12,TRUE),IF(AND(AK12="",AJ12&lt;&gt;""),TRUE))</formula>
    </cfRule>
    <cfRule type="expression" dxfId="540" priority="558">
      <formula>IF(AJ12&gt;=AK12,IF(AJ12="",FALSE,TRUE))</formula>
    </cfRule>
  </conditionalFormatting>
  <conditionalFormatting sqref="AC11 AE11">
    <cfRule type="expression" dxfId="539" priority="553">
      <formula>OR(IF(AC11&lt;AD11,TRUE),IF(AND(AD11="",AC11&lt;&gt;""),TRUE))</formula>
    </cfRule>
    <cfRule type="expression" dxfId="538" priority="554">
      <formula>IF(AC11&gt;=AD11,IF(AC11="",FALSE,TRUE))</formula>
    </cfRule>
  </conditionalFormatting>
  <conditionalFormatting sqref="V9 X9">
    <cfRule type="expression" dxfId="537" priority="551">
      <formula>OR(IF(V9&lt;W9,TRUE),IF(AND(W9="",V9&lt;&gt;""),TRUE))</formula>
    </cfRule>
    <cfRule type="expression" dxfId="536" priority="552">
      <formula>IF(V9&gt;=W9,IF(V9="",FALSE,TRUE))</formula>
    </cfRule>
  </conditionalFormatting>
  <conditionalFormatting sqref="O5:O8 Q5:Q8">
    <cfRule type="expression" dxfId="535" priority="547">
      <formula>OR(IF(O5&lt;P5,TRUE),IF(AND(P5="",O5&lt;&gt;""),TRUE))</formula>
    </cfRule>
    <cfRule type="expression" dxfId="534" priority="548">
      <formula>IF(O5&gt;=P5,IF(O5="",FALSE,TRUE))</formula>
    </cfRule>
  </conditionalFormatting>
  <conditionalFormatting sqref="AS25 AQ25">
    <cfRule type="expression" dxfId="525" priority="307">
      <formula>OR(IF(AQ25&lt;AR25,TRUE),IF(AND(AR25="",AQ25&lt;&gt;""),TRUE))</formula>
    </cfRule>
    <cfRule type="expression" dxfId="524" priority="308">
      <formula>IF(AQ25&gt;=AR25,IF(AQ25="",FALSE,TRUE))</formula>
    </cfRule>
  </conditionalFormatting>
  <conditionalFormatting sqref="AZ25 AX25">
    <cfRule type="expression" dxfId="513" priority="319">
      <formula>OR(IF(AX25&lt;AY25,TRUE),IF(AND(AY25="",AX25&lt;&gt;""),TRUE))</formula>
    </cfRule>
    <cfRule type="expression" dxfId="512" priority="320">
      <formula>IF(AX25&gt;=AY25,IF(AX25="",FALSE,TRUE))</formula>
    </cfRule>
  </conditionalFormatting>
  <conditionalFormatting sqref="J19:K25">
    <cfRule type="colorScale" priority="2351">
      <colorScale>
        <cfvo type="percent" val="0"/>
        <cfvo type="percent" val="100"/>
        <color rgb="FFFF231B"/>
        <color rgb="FF10FF07"/>
      </colorScale>
    </cfRule>
  </conditionalFormatting>
  <conditionalFormatting sqref="J18:J25">
    <cfRule type="colorScale" priority="2352">
      <colorScale>
        <cfvo type="percent" val="0"/>
        <cfvo type="percent" val="100"/>
        <color rgb="FFFF231B"/>
        <color rgb="FF10FF07"/>
      </colorScale>
    </cfRule>
  </conditionalFormatting>
  <conditionalFormatting sqref="K18:K25">
    <cfRule type="colorScale" priority="2353">
      <colorScale>
        <cfvo type="percent" val="0"/>
        <cfvo type="percent" val="100"/>
        <color rgb="FFFF231B"/>
        <color rgb="FF10FF07"/>
      </colorScale>
    </cfRule>
  </conditionalFormatting>
  <conditionalFormatting sqref="DR37:DR40 DP37:DP40">
    <cfRule type="expression" dxfId="469" priority="451">
      <formula>OR(IF(DP37&lt;DQ37,TRUE),IF(AND(DQ37="",DP37&lt;&gt;""),TRUE))</formula>
    </cfRule>
    <cfRule type="expression" dxfId="468" priority="452">
      <formula>IF(DP37&gt;=DQ37,IF(DP37="",FALSE,TRUE))</formula>
    </cfRule>
  </conditionalFormatting>
  <conditionalFormatting sqref="DK37:DK38 DI37:DI38">
    <cfRule type="expression" dxfId="467" priority="449">
      <formula>OR(IF(DI37&lt;DJ37,TRUE),IF(AND(DJ37="",DI37&lt;&gt;""),TRUE))</formula>
    </cfRule>
    <cfRule type="expression" dxfId="466" priority="450">
      <formula>IF(DI37&gt;=DJ37,IF(DI37="",FALSE,TRUE))</formula>
    </cfRule>
  </conditionalFormatting>
  <conditionalFormatting sqref="DK39:DK42 DI39:DI42">
    <cfRule type="expression" dxfId="465" priority="447">
      <formula>OR(IF(DI39&lt;DJ39,TRUE),IF(AND(DJ39="",DI39&lt;&gt;""),TRUE))</formula>
    </cfRule>
    <cfRule type="expression" dxfId="464" priority="448">
      <formula>IF(DI39&gt;=DJ39,IF(DI39="",FALSE,TRUE))</formula>
    </cfRule>
  </conditionalFormatting>
  <conditionalFormatting sqref="DD41:DD43 DB41:DB43">
    <cfRule type="expression" dxfId="461" priority="443">
      <formula>OR(IF(DB41&lt;DC41,TRUE),IF(AND(DC41="",DB41&lt;&gt;""),TRUE))</formula>
    </cfRule>
    <cfRule type="expression" dxfId="460" priority="444">
      <formula>IF(DB41&gt;=DC41,IF(DB41="",FALSE,TRUE))</formula>
    </cfRule>
  </conditionalFormatting>
  <conditionalFormatting sqref="DD37:DD40 DB37:DB40">
    <cfRule type="expression" dxfId="459" priority="441">
      <formula>OR(IF(DB37&lt;DC37,TRUE),IF(AND(DC37="",DB37&lt;&gt;""),TRUE))</formula>
    </cfRule>
    <cfRule type="expression" dxfId="458" priority="442">
      <formula>IF(DB37&gt;=DC37,IF(DB37="",FALSE,TRUE))</formula>
    </cfRule>
  </conditionalFormatting>
  <conditionalFormatting sqref="CW44:CW45 CU44:CU45">
    <cfRule type="expression" dxfId="457" priority="439">
      <formula>OR(IF(CU44&lt;CV44,TRUE),IF(AND(CV44="",CU44&lt;&gt;""),TRUE))</formula>
    </cfRule>
    <cfRule type="expression" dxfId="456" priority="440">
      <formula>IF(CU44&gt;=CV44,IF(CU44="",FALSE,TRUE))</formula>
    </cfRule>
  </conditionalFormatting>
  <conditionalFormatting sqref="CW41:CW43 CU41:CU43">
    <cfRule type="expression" dxfId="455" priority="437">
      <formula>OR(IF(CU41&lt;CV41,TRUE),IF(AND(CV41="",CU41&lt;&gt;""),TRUE))</formula>
    </cfRule>
    <cfRule type="expression" dxfId="454" priority="438">
      <formula>IF(CU41&gt;=CV41,IF(CU41="",FALSE,TRUE))</formula>
    </cfRule>
  </conditionalFormatting>
  <conditionalFormatting sqref="CW37:CW40 CU37:CU40">
    <cfRule type="expression" dxfId="453" priority="435">
      <formula>OR(IF(CU37&lt;CV37,TRUE),IF(AND(CV37="",CU37&lt;&gt;""),TRUE))</formula>
    </cfRule>
    <cfRule type="expression" dxfId="452" priority="436">
      <formula>IF(CU37&gt;=CV37,IF(CU37="",FALSE,TRUE))</formula>
    </cfRule>
  </conditionalFormatting>
  <conditionalFormatting sqref="Q20:Q21 O20:O21">
    <cfRule type="expression" dxfId="427" priority="193">
      <formula>OR(IF(O20&lt;P20,TRUE),IF(AND(P20="",O20&lt;&gt;""),TRUE))</formula>
    </cfRule>
    <cfRule type="expression" dxfId="426" priority="194">
      <formula>IF(O20&gt;=P20,IF(O20="",FALSE,TRUE))</formula>
    </cfRule>
  </conditionalFormatting>
  <conditionalFormatting sqref="AS24 AQ24">
    <cfRule type="expression" dxfId="229" priority="217">
      <formula>OR(IF(AQ24&lt;AR24,TRUE),IF(AND(AR24="",AQ24&lt;&gt;""),TRUE))</formula>
    </cfRule>
    <cfRule type="expression" dxfId="228" priority="218">
      <formula>IF(AQ24&gt;=AR24,IF(AQ24="",FALSE,TRUE))</formula>
    </cfRule>
  </conditionalFormatting>
  <conditionalFormatting sqref="AL23:AL24 AJ23:AJ24">
    <cfRule type="expression" dxfId="223" priority="211">
      <formula>OR(IF(AJ23&lt;AK23,TRUE),IF(AND(AK23="",AJ23&lt;&gt;""),TRUE))</formula>
    </cfRule>
    <cfRule type="expression" dxfId="222" priority="212">
      <formula>IF(AJ23&gt;=AK23,IF(AJ23="",FALSE,TRUE))</formula>
    </cfRule>
  </conditionalFormatting>
  <conditionalFormatting sqref="AE22 AC22">
    <cfRule type="expression" dxfId="217" priority="205">
      <formula>OR(IF(AC22&lt;AD22,TRUE),IF(AND(AD22="",AC22&lt;&gt;""),TRUE))</formula>
    </cfRule>
    <cfRule type="expression" dxfId="216" priority="206">
      <formula>IF(AC22&gt;=AD22,IF(AC22="",FALSE,TRUE))</formula>
    </cfRule>
  </conditionalFormatting>
  <conditionalFormatting sqref="DR20:DR25 DP20:DP25">
    <cfRule type="expression" dxfId="187" priority="187">
      <formula>OR(IF(DP20&lt;DQ20,TRUE),IF(AND(DQ20="",DP20&lt;&gt;""),TRUE))</formula>
    </cfRule>
    <cfRule type="expression" dxfId="186" priority="188">
      <formula>IF(DP20&gt;=DQ20,IF(DP20="",FALSE,TRUE))</formula>
    </cfRule>
  </conditionalFormatting>
  <conditionalFormatting sqref="DP18:DP19">
    <cfRule type="expression" dxfId="185" priority="185">
      <formula>OR(IF(DP18&lt;DQ18,TRUE),IF(AND(DQ18="",DP18&lt;&gt;""),TRUE))</formula>
    </cfRule>
    <cfRule type="expression" dxfId="184" priority="186">
      <formula>IF(DP18&gt;=DQ18,IF(DP18="",FALSE,TRUE))</formula>
    </cfRule>
  </conditionalFormatting>
  <conditionalFormatting sqref="DR18:DR19">
    <cfRule type="expression" dxfId="183" priority="183">
      <formula>OR(IF(DR18&lt;DS18,TRUE),IF(AND(DS18="",DR18&lt;&gt;""),TRUE))</formula>
    </cfRule>
    <cfRule type="expression" dxfId="182" priority="184">
      <formula>IF(DR18&gt;=DS18,IF(DR18="",FALSE,TRUE))</formula>
    </cfRule>
  </conditionalFormatting>
  <conditionalFormatting sqref="DK20:DK25 DI20:DI25">
    <cfRule type="expression" dxfId="181" priority="181">
      <formula>OR(IF(DI20&lt;DJ20,TRUE),IF(AND(DJ20="",DI20&lt;&gt;""),TRUE))</formula>
    </cfRule>
    <cfRule type="expression" dxfId="180" priority="182">
      <formula>IF(DI20&gt;=DJ20,IF(DI20="",FALSE,TRUE))</formula>
    </cfRule>
  </conditionalFormatting>
  <conditionalFormatting sqref="DI18:DI19">
    <cfRule type="expression" dxfId="179" priority="179">
      <formula>OR(IF(DI18&lt;DJ18,TRUE),IF(AND(DJ18="",DI18&lt;&gt;""),TRUE))</formula>
    </cfRule>
    <cfRule type="expression" dxfId="178" priority="180">
      <formula>IF(DI18&gt;=DJ18,IF(DI18="",FALSE,TRUE))</formula>
    </cfRule>
  </conditionalFormatting>
  <conditionalFormatting sqref="DK18:DK19">
    <cfRule type="expression" dxfId="177" priority="177">
      <formula>OR(IF(DK18&lt;DL18,TRUE),IF(AND(DL18="",DK18&lt;&gt;""),TRUE))</formula>
    </cfRule>
    <cfRule type="expression" dxfId="176" priority="178">
      <formula>IF(DK18&gt;=DL18,IF(DK18="",FALSE,TRUE))</formula>
    </cfRule>
  </conditionalFormatting>
  <conditionalFormatting sqref="DD20:DD25 DB20:DB25">
    <cfRule type="expression" dxfId="175" priority="175">
      <formula>OR(IF(DB20&lt;DC20,TRUE),IF(AND(DC20="",DB20&lt;&gt;""),TRUE))</formula>
    </cfRule>
    <cfRule type="expression" dxfId="174" priority="176">
      <formula>IF(DB20&gt;=DC20,IF(DB20="",FALSE,TRUE))</formula>
    </cfRule>
  </conditionalFormatting>
  <conditionalFormatting sqref="DB18:DB19">
    <cfRule type="expression" dxfId="173" priority="173">
      <formula>OR(IF(DB18&lt;DC18,TRUE),IF(AND(DC18="",DB18&lt;&gt;""),TRUE))</formula>
    </cfRule>
    <cfRule type="expression" dxfId="172" priority="174">
      <formula>IF(DB18&gt;=DC18,IF(DB18="",FALSE,TRUE))</formula>
    </cfRule>
  </conditionalFormatting>
  <conditionalFormatting sqref="DD18:DD19">
    <cfRule type="expression" dxfId="171" priority="171">
      <formula>OR(IF(DD18&lt;DE18,TRUE),IF(AND(DE18="",DD18&lt;&gt;""),TRUE))</formula>
    </cfRule>
    <cfRule type="expression" dxfId="170" priority="172">
      <formula>IF(DD18&gt;=DE18,IF(DD18="",FALSE,TRUE))</formula>
    </cfRule>
  </conditionalFormatting>
  <conditionalFormatting sqref="CW20:CW25 CU20:CU25">
    <cfRule type="expression" dxfId="169" priority="169">
      <formula>OR(IF(CU20&lt;CV20,TRUE),IF(AND(CV20="",CU20&lt;&gt;""),TRUE))</formula>
    </cfRule>
    <cfRule type="expression" dxfId="168" priority="170">
      <formula>IF(CU20&gt;=CV20,IF(CU20="",FALSE,TRUE))</formula>
    </cfRule>
  </conditionalFormatting>
  <conditionalFormatting sqref="CU18:CU19">
    <cfRule type="expression" dxfId="167" priority="167">
      <formula>OR(IF(CU18&lt;CV18,TRUE),IF(AND(CV18="",CU18&lt;&gt;""),TRUE))</formula>
    </cfRule>
    <cfRule type="expression" dxfId="166" priority="168">
      <formula>IF(CU18&gt;=CV18,IF(CU18="",FALSE,TRUE))</formula>
    </cfRule>
  </conditionalFormatting>
  <conditionalFormatting sqref="CW18:CW19">
    <cfRule type="expression" dxfId="165" priority="165">
      <formula>OR(IF(CW18&lt;CX18,TRUE),IF(AND(CX18="",CW18&lt;&gt;""),TRUE))</formula>
    </cfRule>
    <cfRule type="expression" dxfId="164" priority="166">
      <formula>IF(CW18&gt;=CX18,IF(CW18="",FALSE,TRUE))</formula>
    </cfRule>
  </conditionalFormatting>
  <conditionalFormatting sqref="CP20:CP25 CN20:CN25">
    <cfRule type="expression" dxfId="163" priority="163">
      <formula>OR(IF(CN20&lt;CO20,TRUE),IF(AND(CO20="",CN20&lt;&gt;""),TRUE))</formula>
    </cfRule>
    <cfRule type="expression" dxfId="162" priority="164">
      <formula>IF(CN20&gt;=CO20,IF(CN20="",FALSE,TRUE))</formula>
    </cfRule>
  </conditionalFormatting>
  <conditionalFormatting sqref="CN18:CN19">
    <cfRule type="expression" dxfId="161" priority="161">
      <formula>OR(IF(CN18&lt;CO18,TRUE),IF(AND(CO18="",CN18&lt;&gt;""),TRUE))</formula>
    </cfRule>
    <cfRule type="expression" dxfId="160" priority="162">
      <formula>IF(CN18&gt;=CO18,IF(CN18="",FALSE,TRUE))</formula>
    </cfRule>
  </conditionalFormatting>
  <conditionalFormatting sqref="CP18:CP19">
    <cfRule type="expression" dxfId="159" priority="159">
      <formula>OR(IF(CP18&lt;CQ18,TRUE),IF(AND(CQ18="",CP18&lt;&gt;""),TRUE))</formula>
    </cfRule>
    <cfRule type="expression" dxfId="158" priority="160">
      <formula>IF(CP18&gt;=CQ18,IF(CP18="",FALSE,TRUE))</formula>
    </cfRule>
  </conditionalFormatting>
  <conditionalFormatting sqref="CI20:CI25 CG20:CG25">
    <cfRule type="expression" dxfId="157" priority="157">
      <formula>OR(IF(CG20&lt;CH20,TRUE),IF(AND(CH20="",CG20&lt;&gt;""),TRUE))</formula>
    </cfRule>
    <cfRule type="expression" dxfId="156" priority="158">
      <formula>IF(CG20&gt;=CH20,IF(CG20="",FALSE,TRUE))</formula>
    </cfRule>
  </conditionalFormatting>
  <conditionalFormatting sqref="CG18:CG19">
    <cfRule type="expression" dxfId="155" priority="155">
      <formula>OR(IF(CG18&lt;CH18,TRUE),IF(AND(CH18="",CG18&lt;&gt;""),TRUE))</formula>
    </cfRule>
    <cfRule type="expression" dxfId="154" priority="156">
      <formula>IF(CG18&gt;=CH18,IF(CG18="",FALSE,TRUE))</formula>
    </cfRule>
  </conditionalFormatting>
  <conditionalFormatting sqref="CI18:CI19">
    <cfRule type="expression" dxfId="153" priority="153">
      <formula>OR(IF(CI18&lt;CJ18,TRUE),IF(AND(CJ18="",CI18&lt;&gt;""),TRUE))</formula>
    </cfRule>
    <cfRule type="expression" dxfId="152" priority="154">
      <formula>IF(CI18&gt;=CJ18,IF(CI18="",FALSE,TRUE))</formula>
    </cfRule>
  </conditionalFormatting>
  <conditionalFormatting sqref="CB20:CB25 BZ20:BZ25">
    <cfRule type="expression" dxfId="151" priority="151">
      <formula>OR(IF(BZ20&lt;CA20,TRUE),IF(AND(CA20="",BZ20&lt;&gt;""),TRUE))</formula>
    </cfRule>
    <cfRule type="expression" dxfId="150" priority="152">
      <formula>IF(BZ20&gt;=CA20,IF(BZ20="",FALSE,TRUE))</formula>
    </cfRule>
  </conditionalFormatting>
  <conditionalFormatting sqref="BZ18:BZ19">
    <cfRule type="expression" dxfId="149" priority="149">
      <formula>OR(IF(BZ18&lt;CA18,TRUE),IF(AND(CA18="",BZ18&lt;&gt;""),TRUE))</formula>
    </cfRule>
    <cfRule type="expression" dxfId="148" priority="150">
      <formula>IF(BZ18&gt;=CA18,IF(BZ18="",FALSE,TRUE))</formula>
    </cfRule>
  </conditionalFormatting>
  <conditionalFormatting sqref="CB18:CB19">
    <cfRule type="expression" dxfId="147" priority="147">
      <formula>OR(IF(CB18&lt;CC18,TRUE),IF(AND(CC18="",CB18&lt;&gt;""),TRUE))</formula>
    </cfRule>
    <cfRule type="expression" dxfId="146" priority="148">
      <formula>IF(CB18&gt;=CC18,IF(CB18="",FALSE,TRUE))</formula>
    </cfRule>
  </conditionalFormatting>
  <conditionalFormatting sqref="BU20:BU25 BS20:BS25">
    <cfRule type="expression" dxfId="145" priority="145">
      <formula>OR(IF(BS20&lt;BT20,TRUE),IF(AND(BT20="",BS20&lt;&gt;""),TRUE))</formula>
    </cfRule>
    <cfRule type="expression" dxfId="144" priority="146">
      <formula>IF(BS20&gt;=BT20,IF(BS20="",FALSE,TRUE))</formula>
    </cfRule>
  </conditionalFormatting>
  <conditionalFormatting sqref="BS18:BS19">
    <cfRule type="expression" dxfId="143" priority="143">
      <formula>OR(IF(BS18&lt;BT18,TRUE),IF(AND(BT18="",BS18&lt;&gt;""),TRUE))</formula>
    </cfRule>
    <cfRule type="expression" dxfId="142" priority="144">
      <formula>IF(BS18&gt;=BT18,IF(BS18="",FALSE,TRUE))</formula>
    </cfRule>
  </conditionalFormatting>
  <conditionalFormatting sqref="BU18:BU19">
    <cfRule type="expression" dxfId="141" priority="141">
      <formula>OR(IF(BU18&lt;BV18,TRUE),IF(AND(BV18="",BU18&lt;&gt;""),TRUE))</formula>
    </cfRule>
    <cfRule type="expression" dxfId="140" priority="142">
      <formula>IF(BU18&gt;=BV18,IF(BU18="",FALSE,TRUE))</formula>
    </cfRule>
  </conditionalFormatting>
  <conditionalFormatting sqref="BN20:BN25 BL20:BL25">
    <cfRule type="expression" dxfId="139" priority="139">
      <formula>OR(IF(BL20&lt;BM20,TRUE),IF(AND(BM20="",BL20&lt;&gt;""),TRUE))</formula>
    </cfRule>
    <cfRule type="expression" dxfId="138" priority="140">
      <formula>IF(BL20&gt;=BM20,IF(BL20="",FALSE,TRUE))</formula>
    </cfRule>
  </conditionalFormatting>
  <conditionalFormatting sqref="BL18:BL19">
    <cfRule type="expression" dxfId="137" priority="137">
      <formula>OR(IF(BL18&lt;BM18,TRUE),IF(AND(BM18="",BL18&lt;&gt;""),TRUE))</formula>
    </cfRule>
    <cfRule type="expression" dxfId="136" priority="138">
      <formula>IF(BL18&gt;=BM18,IF(BL18="",FALSE,TRUE))</formula>
    </cfRule>
  </conditionalFormatting>
  <conditionalFormatting sqref="BN18:BN19">
    <cfRule type="expression" dxfId="135" priority="135">
      <formula>OR(IF(BN18&lt;BO18,TRUE),IF(AND(BO18="",BN18&lt;&gt;""),TRUE))</formula>
    </cfRule>
    <cfRule type="expression" dxfId="134" priority="136">
      <formula>IF(BN18&gt;=BO18,IF(BN18="",FALSE,TRUE))</formula>
    </cfRule>
  </conditionalFormatting>
  <conditionalFormatting sqref="BG20:BG25 BE20:BE25">
    <cfRule type="expression" dxfId="133" priority="133">
      <formula>OR(IF(BE20&lt;BF20,TRUE),IF(AND(BF20="",BE20&lt;&gt;""),TRUE))</formula>
    </cfRule>
    <cfRule type="expression" dxfId="132" priority="134">
      <formula>IF(BE20&gt;=BF20,IF(BE20="",FALSE,TRUE))</formula>
    </cfRule>
  </conditionalFormatting>
  <conditionalFormatting sqref="BE18:BE19">
    <cfRule type="expression" dxfId="131" priority="131">
      <formula>OR(IF(BE18&lt;BF18,TRUE),IF(AND(BF18="",BE18&lt;&gt;""),TRUE))</formula>
    </cfRule>
    <cfRule type="expression" dxfId="130" priority="132">
      <formula>IF(BE18&gt;=BF18,IF(BE18="",FALSE,TRUE))</formula>
    </cfRule>
  </conditionalFormatting>
  <conditionalFormatting sqref="BG18:BG19">
    <cfRule type="expression" dxfId="129" priority="129">
      <formula>OR(IF(BG18&lt;BH18,TRUE),IF(AND(BH18="",BG18&lt;&gt;""),TRUE))</formula>
    </cfRule>
    <cfRule type="expression" dxfId="128" priority="130">
      <formula>IF(BG18&gt;=BH18,IF(BG18="",FALSE,TRUE))</formula>
    </cfRule>
  </conditionalFormatting>
  <conditionalFormatting sqref="AZ20:AZ24 AX20:AX24">
    <cfRule type="expression" dxfId="127" priority="127">
      <formula>OR(IF(AX20&lt;AY20,TRUE),IF(AND(AY20="",AX20&lt;&gt;""),TRUE))</formula>
    </cfRule>
    <cfRule type="expression" dxfId="126" priority="128">
      <formula>IF(AX20&gt;=AY20,IF(AX20="",FALSE,TRUE))</formula>
    </cfRule>
  </conditionalFormatting>
  <conditionalFormatting sqref="AX18:AX19">
    <cfRule type="expression" dxfId="125" priority="125">
      <formula>OR(IF(AX18&lt;AY18,TRUE),IF(AND(AY18="",AX18&lt;&gt;""),TRUE))</formula>
    </cfRule>
    <cfRule type="expression" dxfId="124" priority="126">
      <formula>IF(AX18&gt;=AY18,IF(AX18="",FALSE,TRUE))</formula>
    </cfRule>
  </conditionalFormatting>
  <conditionalFormatting sqref="AZ18:AZ19">
    <cfRule type="expression" dxfId="123" priority="123">
      <formula>OR(IF(AZ18&lt;BA18,TRUE),IF(AND(BA18="",AZ18&lt;&gt;""),TRUE))</formula>
    </cfRule>
    <cfRule type="expression" dxfId="122" priority="124">
      <formula>IF(AZ18&gt;=BA18,IF(AZ18="",FALSE,TRUE))</formula>
    </cfRule>
  </conditionalFormatting>
  <conditionalFormatting sqref="AS20:AS23 AQ20:AQ23">
    <cfRule type="expression" dxfId="121" priority="121">
      <formula>OR(IF(AQ20&lt;AR20,TRUE),IF(AND(AR20="",AQ20&lt;&gt;""),TRUE))</formula>
    </cfRule>
    <cfRule type="expression" dxfId="120" priority="122">
      <formula>IF(AQ20&gt;=AR20,IF(AQ20="",FALSE,TRUE))</formula>
    </cfRule>
  </conditionalFormatting>
  <conditionalFormatting sqref="AQ18:AQ19">
    <cfRule type="expression" dxfId="119" priority="119">
      <formula>OR(IF(AQ18&lt;AR18,TRUE),IF(AND(AR18="",AQ18&lt;&gt;""),TRUE))</formula>
    </cfRule>
    <cfRule type="expression" dxfId="118" priority="120">
      <formula>IF(AQ18&gt;=AR18,IF(AQ18="",FALSE,TRUE))</formula>
    </cfRule>
  </conditionalFormatting>
  <conditionalFormatting sqref="AS18:AS19">
    <cfRule type="expression" dxfId="117" priority="117">
      <formula>OR(IF(AS18&lt;AT18,TRUE),IF(AND(AT18="",AS18&lt;&gt;""),TRUE))</formula>
    </cfRule>
    <cfRule type="expression" dxfId="116" priority="118">
      <formula>IF(AS18&gt;=AT18,IF(AS18="",FALSE,TRUE))</formula>
    </cfRule>
  </conditionalFormatting>
  <conditionalFormatting sqref="AL20:AL22 AJ20:AJ22">
    <cfRule type="expression" dxfId="115" priority="115">
      <formula>OR(IF(AJ20&lt;AK20,TRUE),IF(AND(AK20="",AJ20&lt;&gt;""),TRUE))</formula>
    </cfRule>
    <cfRule type="expression" dxfId="114" priority="116">
      <formula>IF(AJ20&gt;=AK20,IF(AJ20="",FALSE,TRUE))</formula>
    </cfRule>
  </conditionalFormatting>
  <conditionalFormatting sqref="AJ18:AJ19">
    <cfRule type="expression" dxfId="113" priority="113">
      <formula>OR(IF(AJ18&lt;AK18,TRUE),IF(AND(AK18="",AJ18&lt;&gt;""),TRUE))</formula>
    </cfRule>
    <cfRule type="expression" dxfId="112" priority="114">
      <formula>IF(AJ18&gt;=AK18,IF(AJ18="",FALSE,TRUE))</formula>
    </cfRule>
  </conditionalFormatting>
  <conditionalFormatting sqref="AL18:AL19">
    <cfRule type="expression" dxfId="111" priority="111">
      <formula>OR(IF(AL18&lt;AM18,TRUE),IF(AND(AM18="",AL18&lt;&gt;""),TRUE))</formula>
    </cfRule>
    <cfRule type="expression" dxfId="110" priority="112">
      <formula>IF(AL18&gt;=AM18,IF(AL18="",FALSE,TRUE))</formula>
    </cfRule>
  </conditionalFormatting>
  <conditionalFormatting sqref="AE20:AE21 AC20:AC21">
    <cfRule type="expression" dxfId="109" priority="109">
      <formula>OR(IF(AC20&lt;AD20,TRUE),IF(AND(AD20="",AC20&lt;&gt;""),TRUE))</formula>
    </cfRule>
    <cfRule type="expression" dxfId="108" priority="110">
      <formula>IF(AC20&gt;=AD20,IF(AC20="",FALSE,TRUE))</formula>
    </cfRule>
  </conditionalFormatting>
  <conditionalFormatting sqref="AC18:AC19">
    <cfRule type="expression" dxfId="107" priority="107">
      <formula>OR(IF(AC18&lt;AD18,TRUE),IF(AND(AD18="",AC18&lt;&gt;""),TRUE))</formula>
    </cfRule>
    <cfRule type="expression" dxfId="106" priority="108">
      <formula>IF(AC18&gt;=AD18,IF(AC18="",FALSE,TRUE))</formula>
    </cfRule>
  </conditionalFormatting>
  <conditionalFormatting sqref="AE18:AE19">
    <cfRule type="expression" dxfId="105" priority="105">
      <formula>OR(IF(AE18&lt;AF18,TRUE),IF(AND(AF18="",AE18&lt;&gt;""),TRUE))</formula>
    </cfRule>
    <cfRule type="expression" dxfId="104" priority="106">
      <formula>IF(AE18&gt;=AF18,IF(AE18="",FALSE,TRUE))</formula>
    </cfRule>
  </conditionalFormatting>
  <conditionalFormatting sqref="X20:X21 V20:V21">
    <cfRule type="expression" dxfId="103" priority="103">
      <formula>OR(IF(V20&lt;W20,TRUE),IF(AND(W20="",V20&lt;&gt;""),TRUE))</formula>
    </cfRule>
    <cfRule type="expression" dxfId="102" priority="104">
      <formula>IF(V20&gt;=W20,IF(V20="",FALSE,TRUE))</formula>
    </cfRule>
  </conditionalFormatting>
  <conditionalFormatting sqref="V18:V19">
    <cfRule type="expression" dxfId="101" priority="101">
      <formula>OR(IF(V18&lt;W18,TRUE),IF(AND(W18="",V18&lt;&gt;""),TRUE))</formula>
    </cfRule>
    <cfRule type="expression" dxfId="100" priority="102">
      <formula>IF(V18&gt;=W18,IF(V18="",FALSE,TRUE))</formula>
    </cfRule>
  </conditionalFormatting>
  <conditionalFormatting sqref="X18:X19">
    <cfRule type="expression" dxfId="99" priority="99">
      <formula>OR(IF(X18&lt;Y18,TRUE),IF(AND(Y18="",X18&lt;&gt;""),TRUE))</formula>
    </cfRule>
    <cfRule type="expression" dxfId="98" priority="100">
      <formula>IF(X18&gt;=Y18,IF(X18="",FALSE,TRUE))</formula>
    </cfRule>
  </conditionalFormatting>
  <conditionalFormatting sqref="O18:O19">
    <cfRule type="expression" dxfId="97" priority="97">
      <formula>OR(IF(O18&lt;P18,TRUE),IF(AND(P18="",O18&lt;&gt;""),TRUE))</formula>
    </cfRule>
    <cfRule type="expression" dxfId="96" priority="98">
      <formula>IF(O18&gt;=P18,IF(O18="",FALSE,TRUE))</formula>
    </cfRule>
  </conditionalFormatting>
  <conditionalFormatting sqref="Q18:Q19">
    <cfRule type="expression" dxfId="95" priority="95">
      <formula>OR(IF(Q18&lt;R18,TRUE),IF(AND(R18="",Q18&lt;&gt;""),TRUE))</formula>
    </cfRule>
    <cfRule type="expression" dxfId="94" priority="96">
      <formula>IF(Q18&gt;=R18,IF(Q18="",FALSE,TRUE))</formula>
    </cfRule>
  </conditionalFormatting>
  <conditionalFormatting sqref="CI32:CI34 CG32:CG34">
    <cfRule type="expression" dxfId="93" priority="93">
      <formula>OR(IF(CG32&lt;CH32,TRUE),IF(AND(CH32="",CG32&lt;&gt;""),TRUE))</formula>
    </cfRule>
    <cfRule type="expression" dxfId="92" priority="94">
      <formula>IF(CG32&gt;=CH32,IF(CG32="",FALSE,TRUE))</formula>
    </cfRule>
  </conditionalFormatting>
  <conditionalFormatting sqref="CG28:CG31">
    <cfRule type="expression" dxfId="91" priority="91">
      <formula>OR(IF(CG28&lt;CH28,TRUE),IF(AND(CH28="",CG28&lt;&gt;""),TRUE))</formula>
    </cfRule>
    <cfRule type="expression" dxfId="90" priority="92">
      <formula>IF(CG28&gt;=CH28,IF(CG28="",FALSE,TRUE))</formula>
    </cfRule>
  </conditionalFormatting>
  <conditionalFormatting sqref="CI28:CI31">
    <cfRule type="expression" dxfId="89" priority="89">
      <formula>OR(IF(CI28&lt;CJ28,TRUE),IF(AND(CJ28="",CI28&lt;&gt;""),TRUE))</formula>
    </cfRule>
    <cfRule type="expression" dxfId="88" priority="90">
      <formula>IF(CI28&gt;=CJ28,IF(CI28="",FALSE,TRUE))</formula>
    </cfRule>
  </conditionalFormatting>
  <conditionalFormatting sqref="CG5:CG14 CI5:CI14">
    <cfRule type="expression" dxfId="79" priority="79">
      <formula>OR(IF(CG5&lt;CH5,TRUE),IF(AND(CH5="",CG5&lt;&gt;""),TRUE))</formula>
    </cfRule>
    <cfRule type="expression" dxfId="78" priority="80">
      <formula>IF(CG5&gt;=CH5,IF(CG5="",FALSE,TRUE))</formula>
    </cfRule>
  </conditionalFormatting>
  <conditionalFormatting sqref="BZ5:BZ14 CB5:CB14">
    <cfRule type="expression" dxfId="77" priority="77">
      <formula>OR(IF(BZ5&lt;CA5,TRUE),IF(AND(CA5="",BZ5&lt;&gt;""),TRUE))</formula>
    </cfRule>
    <cfRule type="expression" dxfId="76" priority="78">
      <formula>IF(BZ5&gt;=CA5,IF(BZ5="",FALSE,TRUE))</formula>
    </cfRule>
  </conditionalFormatting>
  <conditionalFormatting sqref="BS5:BS14 BU5:BU14">
    <cfRule type="expression" dxfId="75" priority="75">
      <formula>OR(IF(BS5&lt;BT5,TRUE),IF(AND(BT5="",BS5&lt;&gt;""),TRUE))</formula>
    </cfRule>
    <cfRule type="expression" dxfId="74" priority="76">
      <formula>IF(BS5&gt;=BT5,IF(BS5="",FALSE,TRUE))</formula>
    </cfRule>
  </conditionalFormatting>
  <conditionalFormatting sqref="BL5:BL14 BN5:BN14">
    <cfRule type="expression" dxfId="71" priority="71">
      <formula>OR(IF(BL5&lt;BM5,TRUE),IF(AND(BM5="",BL5&lt;&gt;""),TRUE))</formula>
    </cfRule>
    <cfRule type="expression" dxfId="70" priority="72">
      <formula>IF(BL5&gt;=BM5,IF(BL5="",FALSE,TRUE))</formula>
    </cfRule>
  </conditionalFormatting>
  <conditionalFormatting sqref="BE5:BE14 BG5:BG14">
    <cfRule type="expression" dxfId="67" priority="67">
      <formula>OR(IF(BE5&lt;BF5,TRUE),IF(AND(BF5="",BE5&lt;&gt;""),TRUE))</formula>
    </cfRule>
    <cfRule type="expression" dxfId="66" priority="68">
      <formula>IF(BE5&gt;=BF5,IF(BE5="",FALSE,TRUE))</formula>
    </cfRule>
  </conditionalFormatting>
  <conditionalFormatting sqref="AX5:AX13 AZ5:AZ13">
    <cfRule type="expression" dxfId="53" priority="53">
      <formula>OR(IF(AX5&lt;AY5,TRUE),IF(AND(AY5="",AX5&lt;&gt;""),TRUE))</formula>
    </cfRule>
    <cfRule type="expression" dxfId="52" priority="54">
      <formula>IF(AX5&gt;=AY5,IF(AX5="",FALSE,TRUE))</formula>
    </cfRule>
  </conditionalFormatting>
  <conditionalFormatting sqref="AQ5:AQ12 AS5:AS12">
    <cfRule type="expression" dxfId="51" priority="51">
      <formula>OR(IF(AQ5&lt;AR5,TRUE),IF(AND(AR5="",AQ5&lt;&gt;""),TRUE))</formula>
    </cfRule>
    <cfRule type="expression" dxfId="50" priority="52">
      <formula>IF(AQ5&gt;=AR5,IF(AQ5="",FALSE,TRUE))</formula>
    </cfRule>
  </conditionalFormatting>
  <conditionalFormatting sqref="AJ5:AJ11 AL5:AL11">
    <cfRule type="expression" dxfId="49" priority="49">
      <formula>OR(IF(AJ5&lt;AK5,TRUE),IF(AND(AK5="",AJ5&lt;&gt;""),TRUE))</formula>
    </cfRule>
    <cfRule type="expression" dxfId="48" priority="50">
      <formula>IF(AJ5&gt;=AK5,IF(AJ5="",FALSE,TRUE))</formula>
    </cfRule>
  </conditionalFormatting>
  <conditionalFormatting sqref="AC5:AC10 AE5:AE10">
    <cfRule type="expression" dxfId="47" priority="47">
      <formula>OR(IF(AC5&lt;AD5,TRUE),IF(AND(AD5="",AC5&lt;&gt;""),TRUE))</formula>
    </cfRule>
    <cfRule type="expression" dxfId="46" priority="48">
      <formula>IF(AC5&gt;=AD5,IF(AC5="",FALSE,TRUE))</formula>
    </cfRule>
  </conditionalFormatting>
  <conditionalFormatting sqref="V5:V8 X5:X8">
    <cfRule type="expression" dxfId="45" priority="45">
      <formula>OR(IF(V5&lt;W5,TRUE),IF(AND(W5="",V5&lt;&gt;""),TRUE))</formula>
    </cfRule>
    <cfRule type="expression" dxfId="44" priority="46">
      <formula>IF(V5&gt;=W5,IF(V5="",FALSE,TRUE))</formula>
    </cfRule>
  </conditionalFormatting>
  <conditionalFormatting sqref="AZ45 AX45">
    <cfRule type="expression" dxfId="29" priority="29">
      <formula>OR(IF(AX45&lt;AY45,TRUE),IF(AND(AY45="",AX45&lt;&gt;""),TRUE))</formula>
    </cfRule>
    <cfRule type="expression" dxfId="28" priority="30">
      <formula>IF(AX45&gt;=AY45,IF(AX45="",FALSE,TRUE))</formula>
    </cfRule>
  </conditionalFormatting>
  <conditionalFormatting sqref="AS44 AQ44">
    <cfRule type="expression" dxfId="27" priority="27">
      <formula>OR(IF(AQ44&lt;AR44,TRUE),IF(AND(AR44="",AQ44&lt;&gt;""),TRUE))</formula>
    </cfRule>
    <cfRule type="expression" dxfId="26" priority="28">
      <formula>IF(AQ44&gt;=AR44,IF(AQ44="",FALSE,TRUE))</formula>
    </cfRule>
  </conditionalFormatting>
  <conditionalFormatting sqref="AL43 AJ43">
    <cfRule type="expression" dxfId="25" priority="25">
      <formula>OR(IF(AJ43&lt;AK43,TRUE),IF(AND(AK43="",AJ43&lt;&gt;""),TRUE))</formula>
    </cfRule>
    <cfRule type="expression" dxfId="24" priority="26">
      <formula>IF(AJ43&gt;=AK43,IF(AJ43="",FALSE,TRUE))</formula>
    </cfRule>
  </conditionalFormatting>
  <conditionalFormatting sqref="AE42 AC42">
    <cfRule type="expression" dxfId="23" priority="23">
      <formula>OR(IF(AC42&lt;AD42,TRUE),IF(AND(AD42="",AC42&lt;&gt;""),TRUE))</formula>
    </cfRule>
    <cfRule type="expression" dxfId="22" priority="24">
      <formula>IF(AC42&gt;=AD42,IF(AC42="",FALSE,TRUE))</formula>
    </cfRule>
  </conditionalFormatting>
  <conditionalFormatting sqref="X41 V41">
    <cfRule type="expression" dxfId="21" priority="21">
      <formula>OR(IF(V41&lt;W41,TRUE),IF(AND(W41="",V41&lt;&gt;""),TRUE))</formula>
    </cfRule>
    <cfRule type="expression" dxfId="20" priority="22">
      <formula>IF(V41&gt;=W41,IF(V41="",FALSE,TRUE))</formula>
    </cfRule>
  </conditionalFormatting>
  <conditionalFormatting sqref="CI37:CI45 CG37:CG45">
    <cfRule type="expression" dxfId="19" priority="19">
      <formula>OR(IF(CG37&lt;CH37,TRUE),IF(AND(CH37="",CG37&lt;&gt;""),TRUE))</formula>
    </cfRule>
    <cfRule type="expression" dxfId="18" priority="20">
      <formula>IF(CG37&gt;=CH37,IF(CG37="",FALSE,TRUE))</formula>
    </cfRule>
  </conditionalFormatting>
  <conditionalFormatting sqref="CB37:CB45 BZ37:BZ45">
    <cfRule type="expression" dxfId="17" priority="17">
      <formula>OR(IF(BZ37&lt;CA37,TRUE),IF(AND(CA37="",BZ37&lt;&gt;""),TRUE))</formula>
    </cfRule>
    <cfRule type="expression" dxfId="16" priority="18">
      <formula>IF(BZ37&gt;=CA37,IF(BZ37="",FALSE,TRUE))</formula>
    </cfRule>
  </conditionalFormatting>
  <conditionalFormatting sqref="BU37:BU45 BS37:BS45">
    <cfRule type="expression" dxfId="15" priority="15">
      <formula>OR(IF(BS37&lt;BT37,TRUE),IF(AND(BT37="",BS37&lt;&gt;""),TRUE))</formula>
    </cfRule>
    <cfRule type="expression" dxfId="14" priority="16">
      <formula>IF(BS37&gt;=BT37,IF(BS37="",FALSE,TRUE))</formula>
    </cfRule>
  </conditionalFormatting>
  <conditionalFormatting sqref="BN37:BN45 BL37:BL45">
    <cfRule type="expression" dxfId="13" priority="13">
      <formula>OR(IF(BL37&lt;BM37,TRUE),IF(AND(BM37="",BL37&lt;&gt;""),TRUE))</formula>
    </cfRule>
    <cfRule type="expression" dxfId="12" priority="14">
      <formula>IF(BL37&gt;=BM37,IF(BL37="",FALSE,TRUE))</formula>
    </cfRule>
  </conditionalFormatting>
  <conditionalFormatting sqref="BG37:BG45 BE37:BE45">
    <cfRule type="expression" dxfId="11" priority="11">
      <formula>OR(IF(BE37&lt;BF37,TRUE),IF(AND(BF37="",BE37&lt;&gt;""),TRUE))</formula>
    </cfRule>
    <cfRule type="expression" dxfId="10" priority="12">
      <formula>IF(BE37&gt;=BF37,IF(BE37="",FALSE,TRUE))</formula>
    </cfRule>
  </conditionalFormatting>
  <conditionalFormatting sqref="AZ37:AZ44 AX37:AX44">
    <cfRule type="expression" dxfId="9" priority="9">
      <formula>OR(IF(AX37&lt;AY37,TRUE),IF(AND(AY37="",AX37&lt;&gt;""),TRUE))</formula>
    </cfRule>
    <cfRule type="expression" dxfId="8" priority="10">
      <formula>IF(AX37&gt;=AY37,IF(AX37="",FALSE,TRUE))</formula>
    </cfRule>
  </conditionalFormatting>
  <conditionalFormatting sqref="AS37:AS43 AQ37:AQ43">
    <cfRule type="expression" dxfId="7" priority="7">
      <formula>OR(IF(AQ37&lt;AR37,TRUE),IF(AND(AR37="",AQ37&lt;&gt;""),TRUE))</formula>
    </cfRule>
    <cfRule type="expression" dxfId="6" priority="8">
      <formula>IF(AQ37&gt;=AR37,IF(AQ37="",FALSE,TRUE))</formula>
    </cfRule>
  </conditionalFormatting>
  <conditionalFormatting sqref="AL37:AL42 AJ37:AJ42">
    <cfRule type="expression" dxfId="5" priority="5">
      <formula>OR(IF(AJ37&lt;AK37,TRUE),IF(AND(AK37="",AJ37&lt;&gt;""),TRUE))</formula>
    </cfRule>
    <cfRule type="expression" dxfId="4" priority="6">
      <formula>IF(AJ37&gt;=AK37,IF(AJ37="",FALSE,TRUE))</formula>
    </cfRule>
  </conditionalFormatting>
  <conditionalFormatting sqref="AE37:AE41 AC37:AC41">
    <cfRule type="expression" dxfId="3" priority="3">
      <formula>OR(IF(AC37&lt;AD37,TRUE),IF(AND(AD37="",AC37&lt;&gt;""),TRUE))</formula>
    </cfRule>
    <cfRule type="expression" dxfId="2" priority="4">
      <formula>IF(AC37&gt;=AD37,IF(AC37="",FALSE,TRUE))</formula>
    </cfRule>
  </conditionalFormatting>
  <conditionalFormatting sqref="X37:X40 V37:V40">
    <cfRule type="expression" dxfId="1" priority="1">
      <formula>OR(IF(V37&lt;W37,TRUE),IF(AND(W37="",V37&lt;&gt;""),TRUE))</formula>
    </cfRule>
    <cfRule type="expression" dxfId="0" priority="2">
      <formula>IF(V37&gt;=W37,IF(V37="",FALSE,TRUE))</formula>
    </cfRule>
  </conditionalFormatting>
  <dataValidations count="1">
    <dataValidation type="list" allowBlank="1" showInputMessage="1" showErrorMessage="1" sqref="BL5:BO14 BZ5:CC14 CG5:CJ14 CN5:CQ14 CN37:CQ45 CU5:CX14 AC22 AQ24:AQ25 AC23:AF25 V5:Y14 AX18:BA24 AJ25:AM25 AZ25:BA25 BE18:BH25 BZ28:CC34 AC28:AF34 BL28:BO34 BS28:BV34 BE28:BH34 AX28:BA34 AQ28:AT34 AJ28:AM34 AC5:AF14 BL18:BO25 DW5:DZ14 DD5:DE14 V18:Y25 O18:R19 V28:Y34 AJ23:AJ24 CU28:CX34 O5:R14 AE22:AF22 AX5:BA14 AJ5:AM14 CN28:CQ34 AJ18:AM22 BE5:BH14 AC18:AF21 BS5:BV14 O22:R25 DB28:DE34 DP28:DS34 O28:R34 DW28:DZ34 DI5:DL14 CU37:CX45 DI28:DL34 DP5:DS14 Q20:R21 DB5:DB14 DC5:DC15 AL23:AM24 DX1048570:DX1048576 AQ5:AT14 O37:R45 DI37:DL45 DP37:DS45 AQ37:AT45 DW18:DZ25 DW37:DZ45 BS37:BV45 V37:Y45 BE37:BH45 BL37:BO45 BZ37:CC45 AC37:AF45 CG37:CJ45 CG28:CJ34 DB37:DE45 AJ37:AM45 DP18:DS25 DI18:DL25 DB18:DE25 CU18:CX25 AQ18:AT23 CN18:CQ25 CG18:CJ25 BZ18:CC25 BS18:BV25 AX25 AS24:AT25 O20:O21 AX37:BA45" xr:uid="{DF46768B-76BD-4AD1-BDD9-05E5E50A35C8}">
      <formula1>"10%,20%,30%,40%,50%,60%,70%,80%,90%,100%"</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C25"/>
  <sheetViews>
    <sheetView workbookViewId="0">
      <selection activeCell="B2" sqref="B2"/>
    </sheetView>
  </sheetViews>
  <sheetFormatPr baseColWidth="10" defaultColWidth="10.69921875" defaultRowHeight="15.6"/>
  <cols>
    <col min="2" max="2" width="161" customWidth="1"/>
    <col min="3" max="3" width="10.796875" style="2"/>
  </cols>
  <sheetData>
    <row r="4" spans="2:2" ht="21">
      <c r="B4" s="4" t="s">
        <v>16</v>
      </c>
    </row>
    <row r="6" spans="2:2">
      <c r="B6" s="3" t="s">
        <v>13</v>
      </c>
    </row>
    <row r="7" spans="2:2" ht="46.8">
      <c r="B7" s="1" t="s">
        <v>14</v>
      </c>
    </row>
    <row r="9" spans="2:2">
      <c r="B9" s="3" t="s">
        <v>15</v>
      </c>
    </row>
    <row r="10" spans="2:2" ht="62.4">
      <c r="B10" s="1" t="s">
        <v>38</v>
      </c>
    </row>
    <row r="12" spans="2:2">
      <c r="B12" s="3" t="s">
        <v>17</v>
      </c>
    </row>
    <row r="13" spans="2:2" ht="140.4">
      <c r="B13" s="1" t="s">
        <v>18</v>
      </c>
    </row>
    <row r="15" spans="2:2">
      <c r="B15" s="3" t="s">
        <v>19</v>
      </c>
    </row>
    <row r="16" spans="2:2" ht="109.2">
      <c r="B16" s="1" t="s">
        <v>20</v>
      </c>
    </row>
    <row r="17" spans="2:2">
      <c r="B17" s="1"/>
    </row>
    <row r="18" spans="2:2">
      <c r="B18" s="3" t="s">
        <v>37</v>
      </c>
    </row>
    <row r="19" spans="2:2" ht="140.4">
      <c r="B19" s="1" t="s">
        <v>39</v>
      </c>
    </row>
    <row r="21" spans="2:2">
      <c r="B21" s="3" t="s">
        <v>21</v>
      </c>
    </row>
    <row r="22" spans="2:2" ht="124.8">
      <c r="B22" s="1" t="s">
        <v>40</v>
      </c>
    </row>
    <row r="24" spans="2:2">
      <c r="B24" s="3" t="s">
        <v>22</v>
      </c>
    </row>
    <row r="25" spans="2:2" ht="124.8">
      <c r="B25" s="1" t="s">
        <v>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6"/>
  <sheetViews>
    <sheetView workbookViewId="0">
      <selection activeCell="J10" sqref="J10"/>
    </sheetView>
  </sheetViews>
  <sheetFormatPr baseColWidth="10" defaultColWidth="10.69921875" defaultRowHeight="15.6"/>
  <cols>
    <col min="1" max="1" width="16.796875" style="8" customWidth="1"/>
    <col min="2" max="2" width="19.19921875" style="8" customWidth="1"/>
    <col min="3" max="3" width="18.19921875" style="8" customWidth="1"/>
    <col min="4" max="4" width="19.5" style="8" customWidth="1"/>
    <col min="8" max="8" width="15.19921875" customWidth="1"/>
    <col min="10" max="10" width="42" customWidth="1"/>
    <col min="11" max="11" width="28.5" customWidth="1"/>
  </cols>
  <sheetData>
    <row r="1" spans="1:11" ht="31.2">
      <c r="A1" s="8" t="s">
        <v>47</v>
      </c>
      <c r="B1" s="10" t="s">
        <v>44</v>
      </c>
      <c r="C1" s="10" t="s">
        <v>45</v>
      </c>
      <c r="D1" s="10" t="s">
        <v>46</v>
      </c>
      <c r="E1" s="1" t="s">
        <v>48</v>
      </c>
      <c r="F1" s="1" t="s">
        <v>49</v>
      </c>
      <c r="G1" s="1" t="s">
        <v>50</v>
      </c>
      <c r="H1" s="1" t="s">
        <v>51</v>
      </c>
      <c r="I1" s="1" t="s">
        <v>52</v>
      </c>
      <c r="J1" s="1" t="s">
        <v>53</v>
      </c>
      <c r="K1" s="1" t="s">
        <v>54</v>
      </c>
    </row>
    <row r="2" spans="1:11">
      <c r="A2" s="9">
        <v>44118</v>
      </c>
      <c r="D2" s="11">
        <v>1</v>
      </c>
    </row>
    <row r="3" spans="1:11">
      <c r="A3" s="9">
        <v>44119</v>
      </c>
    </row>
    <row r="4" spans="1:11">
      <c r="A4" s="9">
        <v>44120</v>
      </c>
    </row>
    <row r="5" spans="1:11">
      <c r="A5" s="9">
        <v>44121</v>
      </c>
    </row>
    <row r="6" spans="1:11">
      <c r="A6" s="9">
        <v>44122</v>
      </c>
    </row>
    <row r="7" spans="1:11">
      <c r="A7" s="9">
        <v>44123</v>
      </c>
    </row>
    <row r="8" spans="1:11">
      <c r="A8" s="9">
        <v>44124</v>
      </c>
    </row>
    <row r="9" spans="1:11">
      <c r="A9" s="9">
        <v>44125</v>
      </c>
    </row>
    <row r="10" spans="1:11">
      <c r="A10" s="9">
        <v>44126</v>
      </c>
    </row>
    <row r="11" spans="1:11">
      <c r="A11" s="9">
        <v>44127</v>
      </c>
    </row>
    <row r="12" spans="1:11">
      <c r="A12" s="9">
        <v>44128</v>
      </c>
    </row>
    <row r="13" spans="1:11">
      <c r="A13" s="9">
        <v>44129</v>
      </c>
    </row>
    <row r="14" spans="1:11">
      <c r="A14" s="9">
        <v>44130</v>
      </c>
    </row>
    <row r="15" spans="1:11">
      <c r="A15" s="9">
        <v>44131</v>
      </c>
    </row>
    <row r="16" spans="1:11">
      <c r="A16" s="9">
        <v>44132</v>
      </c>
    </row>
    <row r="17" spans="1:1">
      <c r="A17" s="9">
        <v>44133</v>
      </c>
    </row>
    <row r="18" spans="1:1">
      <c r="A18" s="9">
        <v>44134</v>
      </c>
    </row>
    <row r="19" spans="1:1">
      <c r="A19" s="9">
        <v>44135</v>
      </c>
    </row>
    <row r="20" spans="1:1">
      <c r="A20" s="9">
        <v>44136</v>
      </c>
    </row>
    <row r="21" spans="1:1">
      <c r="A21" s="9">
        <v>44137</v>
      </c>
    </row>
    <row r="22" spans="1:1">
      <c r="A22" s="9">
        <v>44138</v>
      </c>
    </row>
    <row r="23" spans="1:1">
      <c r="A23" s="9">
        <v>44139</v>
      </c>
    </row>
    <row r="24" spans="1:1">
      <c r="A24" s="9">
        <v>44140</v>
      </c>
    </row>
    <row r="25" spans="1:1">
      <c r="A25" s="9">
        <v>44141</v>
      </c>
    </row>
    <row r="26" spans="1:1">
      <c r="A26" s="9">
        <v>44142</v>
      </c>
    </row>
    <row r="27" spans="1:1">
      <c r="A27" s="9">
        <v>44143</v>
      </c>
    </row>
    <row r="28" spans="1:1">
      <c r="A28" s="9">
        <v>44144</v>
      </c>
    </row>
    <row r="29" spans="1:1">
      <c r="A29" s="9">
        <v>44145</v>
      </c>
    </row>
    <row r="30" spans="1:1">
      <c r="A30" s="9">
        <v>44146</v>
      </c>
    </row>
    <row r="31" spans="1:1">
      <c r="A31" s="9">
        <v>44147</v>
      </c>
    </row>
    <row r="32" spans="1:1">
      <c r="A32" s="9">
        <v>44148</v>
      </c>
    </row>
    <row r="33" spans="1:1">
      <c r="A33" s="9">
        <v>44149</v>
      </c>
    </row>
    <row r="34" spans="1:1">
      <c r="A34" s="9">
        <v>44150</v>
      </c>
    </row>
    <row r="35" spans="1:1">
      <c r="A35" s="9">
        <v>44151</v>
      </c>
    </row>
    <row r="36" spans="1:1">
      <c r="A36" s="9">
        <v>44152</v>
      </c>
    </row>
    <row r="37" spans="1:1">
      <c r="A37" s="9">
        <v>44153</v>
      </c>
    </row>
    <row r="38" spans="1:1">
      <c r="A38" s="9">
        <v>44154</v>
      </c>
    </row>
    <row r="39" spans="1:1">
      <c r="A39" s="9">
        <v>44155</v>
      </c>
    </row>
    <row r="40" spans="1:1">
      <c r="A40" s="9">
        <v>44156</v>
      </c>
    </row>
    <row r="41" spans="1:1">
      <c r="A41" s="9">
        <v>44157</v>
      </c>
    </row>
    <row r="42" spans="1:1">
      <c r="A42" s="9">
        <v>44158</v>
      </c>
    </row>
    <row r="43" spans="1:1">
      <c r="A43" s="9">
        <v>44159</v>
      </c>
    </row>
    <row r="44" spans="1:1">
      <c r="A44" s="9">
        <v>44160</v>
      </c>
    </row>
    <row r="45" spans="1:1">
      <c r="A45" s="9">
        <v>44161</v>
      </c>
    </row>
    <row r="46" spans="1:1">
      <c r="A46" s="9">
        <v>44162</v>
      </c>
    </row>
  </sheetData>
  <conditionalFormatting sqref="B2:B46">
    <cfRule type="cellIs" dxfId="199" priority="14" operator="equal">
      <formula>"Ja"</formula>
    </cfRule>
    <cfRule type="cellIs" dxfId="198" priority="15" operator="equal">
      <formula>"Nein"</formula>
    </cfRule>
  </conditionalFormatting>
  <conditionalFormatting sqref="D2">
    <cfRule type="cellIs" dxfId="197" priority="6" operator="equal">
      <formula>1</formula>
    </cfRule>
    <cfRule type="cellIs" dxfId="196" priority="7" operator="equal">
      <formula>0.8</formula>
    </cfRule>
    <cfRule type="cellIs" dxfId="195" priority="8" operator="equal">
      <formula>0.6</formula>
    </cfRule>
    <cfRule type="cellIs" dxfId="194" priority="9" operator="equal">
      <formula>0.4</formula>
    </cfRule>
    <cfRule type="cellIs" dxfId="193" priority="10" operator="equal">
      <formula>0.2</formula>
    </cfRule>
    <cfRule type="cellIs" dxfId="192" priority="11" operator="equal">
      <formula>0</formula>
    </cfRule>
  </conditionalFormatting>
  <conditionalFormatting sqref="B2:B46">
    <cfRule type="cellIs" dxfId="191" priority="4" operator="equal">
      <formula>"Ja"</formula>
    </cfRule>
  </conditionalFormatting>
  <conditionalFormatting sqref="C2:C46">
    <cfRule type="cellIs" dxfId="190" priority="2" operator="equal">
      <formula>"Ja"</formula>
    </cfRule>
    <cfRule type="cellIs" dxfId="189" priority="3" operator="equal">
      <formula>"Nein"</formula>
    </cfRule>
  </conditionalFormatting>
  <conditionalFormatting sqref="C2:C46">
    <cfRule type="cellIs" dxfId="188" priority="1" operator="equal">
      <formula>"Ja"</formula>
    </cfRule>
  </conditionalFormatting>
  <dataValidations count="2">
    <dataValidation type="list" allowBlank="1" showInputMessage="1" showErrorMessage="1" sqref="B2:C46"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H43"/>
  <sheetViews>
    <sheetView zoomScaleNormal="100" workbookViewId="0">
      <selection activeCell="H18" sqref="H18"/>
    </sheetView>
  </sheetViews>
  <sheetFormatPr baseColWidth="10" defaultColWidth="10.69921875" defaultRowHeight="15.6"/>
  <cols>
    <col min="3" max="3" width="11" customWidth="1"/>
  </cols>
  <sheetData>
    <row r="1" spans="1:8" ht="24.6">
      <c r="B1" s="5" t="s">
        <v>25</v>
      </c>
    </row>
    <row r="4" spans="1:8">
      <c r="B4" s="3" t="s">
        <v>4</v>
      </c>
      <c r="C4" s="3" t="s">
        <v>5</v>
      </c>
      <c r="D4" s="3" t="s">
        <v>6</v>
      </c>
      <c r="E4" s="3" t="s">
        <v>7</v>
      </c>
      <c r="F4" s="3" t="s">
        <v>10</v>
      </c>
      <c r="G4" s="3" t="s">
        <v>8</v>
      </c>
      <c r="H4" s="3" t="s">
        <v>9</v>
      </c>
    </row>
    <row r="5" spans="1:8">
      <c r="A5" s="7">
        <v>0.33333333333333398</v>
      </c>
      <c r="B5" s="33" t="s">
        <v>135</v>
      </c>
      <c r="E5" s="33"/>
      <c r="F5" s="33"/>
    </row>
    <row r="6" spans="1:8">
      <c r="A6" s="7">
        <v>0.35416666666666702</v>
      </c>
      <c r="B6" s="33" t="s">
        <v>135</v>
      </c>
      <c r="C6" s="36" t="s">
        <v>96</v>
      </c>
      <c r="D6" s="33" t="s">
        <v>112</v>
      </c>
      <c r="E6" s="33"/>
      <c r="F6" s="33"/>
      <c r="H6" s="34"/>
    </row>
    <row r="7" spans="1:8">
      <c r="A7" s="7">
        <v>0.375</v>
      </c>
      <c r="B7" s="33" t="s">
        <v>135</v>
      </c>
      <c r="C7" s="36" t="s">
        <v>96</v>
      </c>
      <c r="D7" s="33" t="s">
        <v>112</v>
      </c>
      <c r="E7" s="33"/>
      <c r="F7" s="33"/>
      <c r="H7" s="34"/>
    </row>
    <row r="8" spans="1:8">
      <c r="A8" s="7">
        <v>0.39583333333333398</v>
      </c>
      <c r="B8" s="33" t="s">
        <v>135</v>
      </c>
      <c r="C8" s="36" t="s">
        <v>96</v>
      </c>
      <c r="D8" s="33" t="s">
        <v>112</v>
      </c>
      <c r="E8" s="33"/>
      <c r="F8" s="33"/>
      <c r="H8" s="34"/>
    </row>
    <row r="9" spans="1:8">
      <c r="A9" s="7">
        <v>0.41666666666666702</v>
      </c>
      <c r="B9" s="33" t="s">
        <v>135</v>
      </c>
      <c r="C9" s="36" t="s">
        <v>138</v>
      </c>
      <c r="D9" s="33" t="s">
        <v>112</v>
      </c>
      <c r="E9" s="33"/>
      <c r="F9" s="33"/>
      <c r="H9" s="34"/>
    </row>
    <row r="10" spans="1:8">
      <c r="A10" s="7">
        <v>0.4375</v>
      </c>
      <c r="B10" s="33" t="s">
        <v>135</v>
      </c>
      <c r="C10" s="36" t="s">
        <v>138</v>
      </c>
      <c r="D10" s="33" t="s">
        <v>139</v>
      </c>
      <c r="E10" s="33"/>
      <c r="F10" s="33"/>
      <c r="H10" s="34"/>
    </row>
    <row r="11" spans="1:8">
      <c r="A11" s="7">
        <v>0.45833333333333398</v>
      </c>
      <c r="B11" s="33" t="s">
        <v>135</v>
      </c>
      <c r="C11" s="36" t="s">
        <v>138</v>
      </c>
      <c r="D11" s="33" t="s">
        <v>139</v>
      </c>
      <c r="E11" s="33"/>
      <c r="F11" s="33"/>
      <c r="H11" s="34"/>
    </row>
    <row r="12" spans="1:8">
      <c r="A12" s="7">
        <v>0.47916666666666702</v>
      </c>
      <c r="B12" s="33" t="s">
        <v>135</v>
      </c>
      <c r="C12" s="36" t="s">
        <v>138</v>
      </c>
      <c r="D12" s="33" t="s">
        <v>139</v>
      </c>
      <c r="E12" s="33"/>
      <c r="F12" s="33"/>
      <c r="H12" s="34"/>
    </row>
    <row r="13" spans="1:8">
      <c r="A13" s="7">
        <v>0.5</v>
      </c>
      <c r="B13" s="33" t="s">
        <v>135</v>
      </c>
      <c r="C13" s="36" t="s">
        <v>96</v>
      </c>
      <c r="D13" s="33" t="s">
        <v>139</v>
      </c>
      <c r="E13" s="33"/>
      <c r="H13" s="34"/>
    </row>
    <row r="14" spans="1:8">
      <c r="A14" s="7">
        <v>0.51041666666666663</v>
      </c>
      <c r="C14" s="36" t="s">
        <v>96</v>
      </c>
      <c r="D14" s="35" t="s">
        <v>113</v>
      </c>
      <c r="H14" s="34"/>
    </row>
    <row r="15" spans="1:8">
      <c r="A15" s="7">
        <v>0.52083333333333404</v>
      </c>
      <c r="C15" s="36" t="s">
        <v>96</v>
      </c>
      <c r="D15" s="35" t="s">
        <v>113</v>
      </c>
      <c r="H15" s="34"/>
    </row>
    <row r="16" spans="1:8">
      <c r="A16" s="7">
        <v>0.54166666666666696</v>
      </c>
      <c r="B16" s="35" t="s">
        <v>136</v>
      </c>
      <c r="C16" s="36" t="s">
        <v>96</v>
      </c>
      <c r="D16" s="35" t="s">
        <v>113</v>
      </c>
      <c r="E16" s="34"/>
    </row>
    <row r="17" spans="1:8">
      <c r="A17" s="7">
        <v>0.5625</v>
      </c>
      <c r="B17" s="35" t="s">
        <v>136</v>
      </c>
      <c r="C17" s="36" t="s">
        <v>96</v>
      </c>
      <c r="D17" s="35" t="s">
        <v>113</v>
      </c>
      <c r="E17" s="34"/>
    </row>
    <row r="18" spans="1:8">
      <c r="A18" s="7">
        <v>0.57291666666666663</v>
      </c>
      <c r="B18" s="35" t="s">
        <v>136</v>
      </c>
      <c r="C18" s="36" t="s">
        <v>96</v>
      </c>
      <c r="D18" s="35" t="s">
        <v>113</v>
      </c>
      <c r="E18" s="34"/>
      <c r="F18" s="35"/>
      <c r="H18" s="36"/>
    </row>
    <row r="19" spans="1:8">
      <c r="A19" s="7">
        <v>0.58333333333333404</v>
      </c>
      <c r="B19" s="35" t="s">
        <v>136</v>
      </c>
      <c r="D19" s="35" t="s">
        <v>113</v>
      </c>
      <c r="E19" s="34"/>
      <c r="F19" s="35"/>
      <c r="H19" s="36"/>
    </row>
    <row r="20" spans="1:8">
      <c r="A20" s="7">
        <v>0.60416666666666696</v>
      </c>
      <c r="B20" s="35" t="s">
        <v>136</v>
      </c>
      <c r="D20" s="35" t="s">
        <v>113</v>
      </c>
      <c r="E20" s="34"/>
      <c r="F20" s="35"/>
      <c r="H20" s="36"/>
    </row>
    <row r="21" spans="1:8">
      <c r="A21" s="7">
        <v>0.61458333333333337</v>
      </c>
      <c r="B21" s="35" t="s">
        <v>136</v>
      </c>
      <c r="C21" s="34" t="s">
        <v>122</v>
      </c>
      <c r="D21" s="35" t="s">
        <v>113</v>
      </c>
      <c r="E21" s="34"/>
      <c r="F21" s="35"/>
      <c r="H21" s="36"/>
    </row>
    <row r="22" spans="1:8">
      <c r="A22" s="7">
        <v>0.625000000000001</v>
      </c>
      <c r="B22" s="35" t="s">
        <v>136</v>
      </c>
      <c r="C22" s="34" t="s">
        <v>122</v>
      </c>
      <c r="D22" s="35" t="s">
        <v>113</v>
      </c>
      <c r="E22" s="34"/>
      <c r="F22" s="35"/>
      <c r="H22" s="36"/>
    </row>
    <row r="23" spans="1:8">
      <c r="A23" s="7">
        <v>0.64583333333333404</v>
      </c>
      <c r="B23" s="35" t="s">
        <v>136</v>
      </c>
      <c r="C23" s="34" t="s">
        <v>122</v>
      </c>
      <c r="D23" s="35" t="s">
        <v>113</v>
      </c>
      <c r="E23" s="34"/>
      <c r="F23" s="35"/>
      <c r="H23" s="36"/>
    </row>
    <row r="24" spans="1:8">
      <c r="A24" s="7">
        <v>0.66666666666666696</v>
      </c>
      <c r="B24" s="35" t="s">
        <v>136</v>
      </c>
      <c r="C24" s="34" t="s">
        <v>122</v>
      </c>
      <c r="D24" s="35" t="s">
        <v>136</v>
      </c>
      <c r="E24" s="34"/>
      <c r="F24" s="35"/>
      <c r="H24" s="36"/>
    </row>
    <row r="25" spans="1:8">
      <c r="A25" s="7">
        <v>0.67708333333333337</v>
      </c>
      <c r="B25" s="35" t="s">
        <v>136</v>
      </c>
      <c r="C25" s="34" t="s">
        <v>122</v>
      </c>
      <c r="D25" s="35" t="s">
        <v>136</v>
      </c>
      <c r="E25" s="34"/>
      <c r="F25" s="35"/>
      <c r="H25" s="36"/>
    </row>
    <row r="26" spans="1:8">
      <c r="A26" s="7">
        <v>0.687500000000001</v>
      </c>
      <c r="B26" s="35" t="s">
        <v>136</v>
      </c>
      <c r="C26" s="34" t="s">
        <v>122</v>
      </c>
      <c r="D26" s="35" t="s">
        <v>136</v>
      </c>
      <c r="E26" s="34"/>
      <c r="F26" s="35"/>
      <c r="H26" s="36"/>
    </row>
    <row r="27" spans="1:8">
      <c r="A27" s="7">
        <v>0.70833333333333404</v>
      </c>
      <c r="B27" s="35" t="s">
        <v>136</v>
      </c>
      <c r="C27" s="34" t="s">
        <v>137</v>
      </c>
      <c r="D27" s="35" t="s">
        <v>136</v>
      </c>
      <c r="E27" s="34"/>
      <c r="F27" s="35"/>
      <c r="H27" s="36"/>
    </row>
    <row r="28" spans="1:8">
      <c r="A28" s="7">
        <v>0.72916666666666696</v>
      </c>
      <c r="C28" s="34" t="s">
        <v>137</v>
      </c>
      <c r="D28" s="35" t="s">
        <v>136</v>
      </c>
      <c r="E28" s="34"/>
      <c r="F28" s="35"/>
      <c r="H28" s="36"/>
    </row>
    <row r="29" spans="1:8">
      <c r="A29" s="7">
        <v>0.750000000000001</v>
      </c>
      <c r="C29" s="34" t="s">
        <v>137</v>
      </c>
      <c r="D29" s="6"/>
      <c r="E29" s="34"/>
      <c r="H29" s="36"/>
    </row>
    <row r="30" spans="1:8">
      <c r="A30" s="7">
        <v>0.77083333333333404</v>
      </c>
      <c r="C30" s="34" t="s">
        <v>137</v>
      </c>
    </row>
    <row r="31" spans="1:8">
      <c r="A31" s="7">
        <v>0.79166666666666696</v>
      </c>
      <c r="C31" s="34" t="s">
        <v>137</v>
      </c>
    </row>
    <row r="32" spans="1:8">
      <c r="A32" s="7">
        <v>0.812500000000001</v>
      </c>
    </row>
    <row r="33" spans="1:1">
      <c r="A33" s="7">
        <v>0.83333333333333404</v>
      </c>
    </row>
    <row r="34" spans="1:1">
      <c r="A34" s="7">
        <v>0.85416666666666696</v>
      </c>
    </row>
    <row r="35" spans="1:1">
      <c r="A35" s="7">
        <v>0.875000000000001</v>
      </c>
    </row>
    <row r="36" spans="1:1">
      <c r="A36" s="7">
        <v>0.89583333333333404</v>
      </c>
    </row>
    <row r="37" spans="1:1">
      <c r="A37" s="7">
        <v>0.91666666666666696</v>
      </c>
    </row>
    <row r="38" spans="1:1">
      <c r="A38" s="7">
        <v>0.937500000000001</v>
      </c>
    </row>
    <row r="39" spans="1:1">
      <c r="A39" s="7">
        <v>0.95833333333333404</v>
      </c>
    </row>
    <row r="40" spans="1:1">
      <c r="A40" s="7">
        <v>0.97916666666666696</v>
      </c>
    </row>
    <row r="41" spans="1:1">
      <c r="A41" s="7">
        <v>1</v>
      </c>
    </row>
    <row r="42" spans="1:1">
      <c r="A42" s="7">
        <v>1.0208333333333299</v>
      </c>
    </row>
    <row r="43" spans="1:1">
      <c r="A43" s="7">
        <v>1.0416666666666701</v>
      </c>
    </row>
  </sheetData>
  <pageMargins left="0.7" right="0.7" top="0.75" bottom="0.75" header="0.3" footer="0.3"/>
  <pageSetup paperSize="9" orientation="portrait"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H47"/>
  <sheetViews>
    <sheetView topLeftCell="A13" zoomScale="117" workbookViewId="0">
      <selection activeCell="D30" sqref="D30"/>
    </sheetView>
  </sheetViews>
  <sheetFormatPr baseColWidth="10" defaultColWidth="10.69921875" defaultRowHeight="15.6"/>
  <sheetData>
    <row r="1" spans="1:8" ht="24.6">
      <c r="B1" s="5" t="s">
        <v>25</v>
      </c>
    </row>
    <row r="4" spans="1:8">
      <c r="B4" s="3" t="s">
        <v>4</v>
      </c>
      <c r="C4" s="3" t="s">
        <v>5</v>
      </c>
      <c r="D4" s="3" t="s">
        <v>6</v>
      </c>
      <c r="E4" s="3" t="s">
        <v>7</v>
      </c>
      <c r="F4" s="3" t="s">
        <v>10</v>
      </c>
      <c r="G4" s="3" t="s">
        <v>8</v>
      </c>
      <c r="H4" s="3" t="s">
        <v>9</v>
      </c>
    </row>
    <row r="5" spans="1:8">
      <c r="A5" s="7">
        <v>0.16666666666666666</v>
      </c>
    </row>
    <row r="6" spans="1:8">
      <c r="A6" s="7">
        <v>0.1875</v>
      </c>
    </row>
    <row r="7" spans="1:8">
      <c r="A7" s="7">
        <v>0.20833333333333301</v>
      </c>
    </row>
    <row r="8" spans="1:8">
      <c r="A8" s="7">
        <v>0.22916666666666699</v>
      </c>
    </row>
    <row r="9" spans="1:8">
      <c r="A9" s="7">
        <v>0.25</v>
      </c>
    </row>
    <row r="10" spans="1:8">
      <c r="A10" s="7">
        <v>0.27083333333333398</v>
      </c>
      <c r="D10" t="s">
        <v>129</v>
      </c>
    </row>
    <row r="11" spans="1:8">
      <c r="A11" s="7">
        <v>0.29166666666666702</v>
      </c>
      <c r="D11" t="s">
        <v>130</v>
      </c>
    </row>
    <row r="12" spans="1:8">
      <c r="A12" s="7">
        <v>0.3125</v>
      </c>
      <c r="D12" t="s">
        <v>130</v>
      </c>
    </row>
    <row r="13" spans="1:8">
      <c r="A13" s="7">
        <v>0.33333333333333398</v>
      </c>
      <c r="D13" t="s">
        <v>131</v>
      </c>
    </row>
    <row r="14" spans="1:8">
      <c r="A14" s="7">
        <v>0.35416666666666702</v>
      </c>
      <c r="D14" s="33" t="s">
        <v>132</v>
      </c>
    </row>
    <row r="15" spans="1:8">
      <c r="A15" s="7">
        <v>0.375</v>
      </c>
      <c r="D15" s="33" t="s">
        <v>132</v>
      </c>
    </row>
    <row r="16" spans="1:8">
      <c r="A16" s="7">
        <v>0.39583333333333398</v>
      </c>
      <c r="D16" s="33" t="s">
        <v>132</v>
      </c>
    </row>
    <row r="17" spans="1:4">
      <c r="A17" s="7">
        <v>0.41666666666666702</v>
      </c>
      <c r="D17" s="33" t="s">
        <v>132</v>
      </c>
    </row>
    <row r="18" spans="1:4">
      <c r="A18" s="7">
        <v>0.4375</v>
      </c>
    </row>
    <row r="19" spans="1:4">
      <c r="A19" s="7">
        <v>0.45833333333333398</v>
      </c>
      <c r="D19" s="33" t="s">
        <v>132</v>
      </c>
    </row>
    <row r="20" spans="1:4">
      <c r="A20" s="7">
        <v>0.47916666666666702</v>
      </c>
      <c r="D20" s="33" t="s">
        <v>132</v>
      </c>
    </row>
    <row r="21" spans="1:4">
      <c r="A21" s="7">
        <v>0.5</v>
      </c>
      <c r="D21" s="38" t="s">
        <v>133</v>
      </c>
    </row>
    <row r="22" spans="1:4">
      <c r="A22" s="7">
        <v>0.52083333333333404</v>
      </c>
      <c r="D22" s="38" t="s">
        <v>133</v>
      </c>
    </row>
    <row r="23" spans="1:4">
      <c r="A23" s="7">
        <v>0.54166666666666696</v>
      </c>
      <c r="D23" s="38" t="s">
        <v>133</v>
      </c>
    </row>
    <row r="24" spans="1:4">
      <c r="A24" s="7">
        <v>0.5625</v>
      </c>
      <c r="D24" s="38" t="s">
        <v>133</v>
      </c>
    </row>
    <row r="25" spans="1:4">
      <c r="A25" s="7">
        <v>0.58333333333333404</v>
      </c>
    </row>
    <row r="26" spans="1:4">
      <c r="A26" s="7">
        <v>0.60416666666666696</v>
      </c>
    </row>
    <row r="27" spans="1:4">
      <c r="A27" s="7">
        <v>0.625000000000001</v>
      </c>
    </row>
    <row r="28" spans="1:4">
      <c r="A28" s="7">
        <v>0.64583333333333404</v>
      </c>
    </row>
    <row r="29" spans="1:4">
      <c r="A29" s="7">
        <v>0.66666666666666696</v>
      </c>
      <c r="D29" t="s">
        <v>134</v>
      </c>
    </row>
    <row r="30" spans="1:4">
      <c r="A30" s="7">
        <v>0.687500000000001</v>
      </c>
    </row>
    <row r="31" spans="1:4">
      <c r="A31" s="7">
        <v>0.70833333333333404</v>
      </c>
    </row>
    <row r="32" spans="1:4">
      <c r="A32" s="7">
        <v>0.72916666666666696</v>
      </c>
    </row>
    <row r="33" spans="1:1">
      <c r="A33" s="7">
        <v>0.750000000000001</v>
      </c>
    </row>
    <row r="34" spans="1:1">
      <c r="A34" s="7">
        <v>0.77083333333333404</v>
      </c>
    </row>
    <row r="35" spans="1:1">
      <c r="A35" s="7">
        <v>0.79166666666666696</v>
      </c>
    </row>
    <row r="36" spans="1:1">
      <c r="A36" s="7">
        <v>0.812500000000001</v>
      </c>
    </row>
    <row r="37" spans="1:1">
      <c r="A37" s="7">
        <v>0.83333333333333404</v>
      </c>
    </row>
    <row r="38" spans="1:1">
      <c r="A38" s="7">
        <v>0.85416666666666696</v>
      </c>
    </row>
    <row r="39" spans="1:1">
      <c r="A39" s="7">
        <v>0.875000000000001</v>
      </c>
    </row>
    <row r="40" spans="1:1">
      <c r="A40" s="7">
        <v>0.89583333333333404</v>
      </c>
    </row>
    <row r="41" spans="1:1">
      <c r="A41" s="7">
        <v>0.91666666666666696</v>
      </c>
    </row>
    <row r="42" spans="1:1">
      <c r="A42" s="7">
        <v>0.937500000000001</v>
      </c>
    </row>
    <row r="43" spans="1:1">
      <c r="A43" s="7">
        <v>0.95833333333333404</v>
      </c>
    </row>
    <row r="44" spans="1:1">
      <c r="A44" s="7">
        <v>0.97916666666666696</v>
      </c>
    </row>
    <row r="45" spans="1:1">
      <c r="A45" s="7">
        <v>1</v>
      </c>
    </row>
    <row r="46" spans="1:1">
      <c r="A46" s="7">
        <v>1.0208333333333299</v>
      </c>
    </row>
    <row r="47" spans="1:1">
      <c r="A47" s="7">
        <v>1.0416666666666701</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6</vt:i4>
      </vt:variant>
    </vt:vector>
  </HeadingPairs>
  <TitlesOfParts>
    <vt:vector size="6" baseType="lpstr">
      <vt:lpstr>ANLEITUNG</vt:lpstr>
      <vt:lpstr>Semesterplan</vt:lpstr>
      <vt:lpstr>Best-Practices</vt:lpstr>
      <vt:lpstr>COMMITTMENT</vt:lpstr>
      <vt:lpstr>Stundenplan</vt:lpstr>
      <vt:lpstr>Wochenplan KW 19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arman zahedi</cp:lastModifiedBy>
  <dcterms:created xsi:type="dcterms:W3CDTF">2020-04-19T13:33:28Z</dcterms:created>
  <dcterms:modified xsi:type="dcterms:W3CDTF">2023-04-14T12:29:29Z</dcterms:modified>
</cp:coreProperties>
</file>