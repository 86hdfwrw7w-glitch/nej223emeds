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d.docs.live.net/0df6637cf2f6868d/Desktop/"/>
    </mc:Choice>
  </mc:AlternateContent>
  <xr:revisionPtr revIDLastSave="553" documentId="13_ncr:1_{9EC6E364-5704-0D42-9886-233A7EA88FC6}" xr6:coauthVersionLast="47" xr6:coauthVersionMax="47" xr10:uidLastSave="{071B6405-760D-4D78-B23E-0B612EAC0F88}"/>
  <bookViews>
    <workbookView xWindow="-120" yWindow="-120" windowWidth="29040" windowHeight="15720" activeTab="2" xr2:uid="{50F29292-BE80-0C47-A0D2-DD086CB3D310}"/>
  </bookViews>
  <sheets>
    <sheet name="Anleitung" sheetId="2" r:id="rId1"/>
    <sheet name="Tabelle1" sheetId="10" r:id="rId2"/>
    <sheet name="Semesterplan" sheetId="7"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9" i="7" l="1"/>
  <c r="J29" i="7"/>
  <c r="I29" i="7"/>
  <c r="K28" i="7"/>
  <c r="J28" i="7"/>
  <c r="I28" i="7"/>
  <c r="K27" i="7"/>
  <c r="J27" i="7"/>
  <c r="I27" i="7"/>
  <c r="BJ36" i="7"/>
  <c r="BJ15" i="7"/>
  <c r="BJ4" i="7"/>
  <c r="K42" i="7"/>
  <c r="J42" i="7"/>
  <c r="I42" i="7"/>
  <c r="K41" i="7"/>
  <c r="J41" i="7"/>
  <c r="I41" i="7"/>
  <c r="K40" i="7"/>
  <c r="J40" i="7"/>
  <c r="I40" i="7"/>
  <c r="K39" i="7"/>
  <c r="J39" i="7"/>
  <c r="I39" i="7"/>
  <c r="K38" i="7"/>
  <c r="J38" i="7"/>
  <c r="I38" i="7"/>
  <c r="K37" i="7"/>
  <c r="I37" i="7"/>
  <c r="BD36" i="7"/>
  <c r="AW36" i="7"/>
  <c r="AP36" i="7"/>
  <c r="AI36" i="7"/>
  <c r="AB36" i="7"/>
  <c r="U36" i="7"/>
  <c r="N36" i="7"/>
  <c r="G36" i="7"/>
  <c r="K26" i="7"/>
  <c r="J26" i="7"/>
  <c r="I26" i="7"/>
  <c r="K25" i="7"/>
  <c r="J25" i="7"/>
  <c r="I25" i="7"/>
  <c r="K24" i="7"/>
  <c r="J24" i="7"/>
  <c r="I24" i="7"/>
  <c r="K23" i="7"/>
  <c r="J23" i="7"/>
  <c r="I23" i="7"/>
  <c r="K22" i="7"/>
  <c r="J22" i="7"/>
  <c r="I22" i="7"/>
  <c r="K21" i="7"/>
  <c r="J21" i="7"/>
  <c r="I21" i="7"/>
  <c r="K20" i="7"/>
  <c r="J20" i="7"/>
  <c r="I20" i="7"/>
  <c r="K19" i="7"/>
  <c r="J19" i="7"/>
  <c r="I19" i="7"/>
  <c r="K18" i="7"/>
  <c r="J18" i="7"/>
  <c r="I18" i="7"/>
  <c r="K17" i="7"/>
  <c r="J17" i="7"/>
  <c r="I17" i="7"/>
  <c r="K16" i="7"/>
  <c r="J16" i="7"/>
  <c r="I16" i="7"/>
  <c r="BD15" i="7"/>
  <c r="AW15" i="7"/>
  <c r="AP15" i="7"/>
  <c r="AI15" i="7"/>
  <c r="AB15" i="7"/>
  <c r="U15" i="7"/>
  <c r="N15" i="7"/>
  <c r="G15" i="7"/>
  <c r="BD4" i="7"/>
  <c r="AW4" i="7"/>
  <c r="AP4" i="7"/>
  <c r="AI4" i="7"/>
  <c r="AB4" i="7"/>
  <c r="U4" i="7"/>
  <c r="N4" i="7"/>
  <c r="G4" i="7"/>
  <c r="I35" i="7"/>
  <c r="I34" i="7"/>
  <c r="I33" i="7"/>
  <c r="I32" i="7"/>
  <c r="I31" i="7"/>
  <c r="I6" i="7"/>
  <c r="I7" i="7"/>
  <c r="I8" i="7"/>
  <c r="I9" i="7"/>
  <c r="I10" i="7"/>
  <c r="I11" i="7"/>
  <c r="I12" i="7"/>
  <c r="I13" i="7"/>
  <c r="I5" i="7"/>
  <c r="K35" i="7"/>
  <c r="J35" i="7"/>
  <c r="K34" i="7"/>
  <c r="J34" i="7"/>
  <c r="K33" i="7"/>
  <c r="J33" i="7"/>
  <c r="K32" i="7"/>
  <c r="J32" i="7"/>
  <c r="K31" i="7"/>
  <c r="J31" i="7"/>
  <c r="J5" i="7"/>
  <c r="K6" i="7"/>
  <c r="K7" i="7"/>
  <c r="K8" i="7"/>
  <c r="K9" i="7"/>
  <c r="K10" i="7"/>
  <c r="K11" i="7"/>
  <c r="K12" i="7"/>
  <c r="K13" i="7"/>
  <c r="J6" i="7"/>
  <c r="J7" i="7"/>
  <c r="J8" i="7"/>
  <c r="J9" i="7"/>
  <c r="J10" i="7"/>
  <c r="J11" i="7"/>
  <c r="J12" i="7"/>
  <c r="J13" i="7"/>
  <c r="K5" i="7"/>
  <c r="K15" i="7" l="1"/>
  <c r="K36" i="7"/>
  <c r="J15" i="7"/>
  <c r="I15" i="7"/>
  <c r="J36" i="7"/>
  <c r="I36" i="7"/>
  <c r="K4" i="7"/>
  <c r="I4" i="7" l="1"/>
  <c r="J4" i="7"/>
</calcChain>
</file>

<file path=xl/sharedStrings.xml><?xml version="1.0" encoding="utf-8"?>
<sst xmlns="http://schemas.openxmlformats.org/spreadsheetml/2006/main" count="191" uniqueCount="96">
  <si>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</si>
  <si>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</si>
  <si>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</si>
  <si>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</si>
  <si>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</si>
  <si>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</si>
  <si>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</si>
  <si>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</si>
  <si>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</si>
  <si>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</si>
  <si>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</si>
  <si>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</si>
  <si>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</si>
  <si>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</si>
  <si>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</si>
  <si>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</si>
  <si>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</si>
  <si>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</si>
  <si>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</si>
  <si>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</si>
  <si>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</si>
  <si>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</si>
  <si>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</si>
  <si>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</si>
  <si>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</si>
  <si>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</si>
  <si>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</si>
  <si>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</si>
  <si>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</si>
  <si>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</si>
  <si>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</si>
  <si>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8) Marke</t>
  </si>
  <si>
    <t>9) Preis</t>
  </si>
  <si>
    <t>10) Kommunikation</t>
  </si>
  <si>
    <t>11) Distribution &amp; E-Commerce</t>
  </si>
  <si>
    <t>12) Implementierung &amp; Controlling</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</si>
  <si>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</si>
  <si>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</si>
  <si>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</si>
  <si>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</si>
  <si>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</si>
  <si>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</si>
  <si>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</si>
  <si>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</si>
  <si>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</si>
  <si>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</si>
  <si>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</si>
  <si>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</si>
  <si>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</si>
  <si>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</si>
  <si>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</si>
  <si>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</si>
  <si>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</si>
  <si>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</si>
  <si>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Grundlagen BWL</t>
  </si>
  <si>
    <t>Mathematik</t>
  </si>
  <si>
    <t>Python</t>
  </si>
  <si>
    <t>KW 43</t>
  </si>
  <si>
    <t>KW 44</t>
  </si>
  <si>
    <t>KW 45</t>
  </si>
  <si>
    <t>KW 46</t>
  </si>
  <si>
    <t>KW 47</t>
  </si>
  <si>
    <t>KW 48</t>
  </si>
  <si>
    <t>KW 49</t>
  </si>
  <si>
    <t>KLAUSUREN!</t>
  </si>
  <si>
    <t>Grundlagen Planung</t>
  </si>
  <si>
    <t>Verfügbare Lernwochen</t>
  </si>
  <si>
    <t>Kapitel</t>
  </si>
  <si>
    <t>1) Einführung: Was ist Management?</t>
  </si>
  <si>
    <t>2) Unternehmensumfeld</t>
  </si>
  <si>
    <t>3) Entscheiden</t>
  </si>
  <si>
    <t>4) Strategische Planung</t>
  </si>
  <si>
    <t>5) Organisationsstruktur</t>
  </si>
  <si>
    <t>6) Motivation</t>
  </si>
  <si>
    <t>7) Leadership / Führung</t>
  </si>
  <si>
    <t>8a) Teamwork</t>
  </si>
  <si>
    <t>8b) Controlling</t>
  </si>
  <si>
    <t>1) Einführung (1-28)</t>
  </si>
  <si>
    <t>2) Tuples - Break and Continue (29 - 48)</t>
  </si>
  <si>
    <t>3) Funktionen - Slicing Arrays (48 - 71)</t>
  </si>
  <si>
    <t>4) Excel vs. Python - Working with files (72 - 96)</t>
  </si>
  <si>
    <t>5) Accessing data - Chreating Charts (97 - 115)</t>
  </si>
  <si>
    <t>6) Calculating the correlation matrix - Pandas (116 - 140)</t>
  </si>
  <si>
    <t>1) Matrizen und Vektoren</t>
  </si>
  <si>
    <t>2) Lineare Gleichungssysteme / Ränge / Abhängigkeiten</t>
  </si>
  <si>
    <t>3) Determinanten / inverse Matrix / Eigenwerte</t>
  </si>
  <si>
    <t>4) Linear Optimierung</t>
  </si>
  <si>
    <t>5) Zahlenfolgen</t>
  </si>
  <si>
    <t>6) Konvergenz / Divergenz</t>
  </si>
  <si>
    <t>7) Spezielle Nullfolgen / Reihen / Vollständige Induktion</t>
  </si>
  <si>
    <t>9) Kurvendiskussion / Regula falsi</t>
  </si>
  <si>
    <t>10) Differenzialrechnung / Kurvendiskussion</t>
  </si>
  <si>
    <t>11) De L`Hospital / Taylor-Entwicklung</t>
  </si>
  <si>
    <t>12) Quadratische Formeln / Partielle Ableitungen / höherer Ordnungen</t>
  </si>
  <si>
    <t>13) Lokale Extrema</t>
  </si>
  <si>
    <t>14) Integralrechnung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</si>
</sst>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sz val="11"/>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b/>
      <sz val="11"/>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rgb="FFE0E0E0"/>
        <bgColor indexed="64"/>
      </patternFill>
    </fill>
    <fill>
      <patternFill patternType="solid">
        <fgColor theme="7" tint="0.39997558519241921"/>
        <bgColor indexed="65"/>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3" borderId="0" applyNumberFormat="0" applyBorder="0" applyAlignment="0" applyProtection="0"/>
  </cellStyleXfs>
  <cellXfs count="26">
    <xf numFmtId="0" fontId="0" fillId="0" borderId="0" xfId="0"/>
    <xf numFmtId="0" fontId="0" fillId="0" borderId="0" xfId="0" applyAlignment="1">
      <alignment wrapText="1"/>
    </xf>
    <xf numFmtId="0" fontId="0" fillId="0" borderId="0" xfId="0" applyAlignment="1"/>
    <xf numFmtId="0" fontId="2" fillId="0" borderId="0" xfId="0" applyFont="1"/>
    <xf numFmtId="0" fontId="3" fillId="0" borderId="0" xfId="0" applyFont="1"/>
    <xf numFmtId="0" fontId="4" fillId="0" borderId="0" xfId="0" applyFont="1"/>
    <xf numFmtId="0" fontId="2" fillId="2" borderId="0" xfId="0" applyFont="1" applyFill="1"/>
    <xf numFmtId="0" fontId="2" fillId="2" borderId="0" xfId="0" applyFont="1" applyFill="1" applyAlignment="1">
      <alignment horizontal="center"/>
    </xf>
    <xf numFmtId="0" fontId="5"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7" fillId="0" borderId="0" xfId="0" applyFont="1"/>
    <xf numFmtId="0" fontId="2" fillId="3" borderId="1" xfId="1" applyFont="1" applyBorder="1" applyAlignment="1">
      <alignment horizontal="center"/>
    </xf>
    <xf numFmtId="0" fontId="2" fillId="0" borderId="1" xfId="0" applyFont="1" applyBorder="1"/>
    <xf numFmtId="14" fontId="2" fillId="0" borderId="0" xfId="0" applyNumberFormat="1" applyFont="1"/>
    <xf numFmtId="0" fontId="2" fillId="0" borderId="0" xfId="0" applyFont="1" applyAlignment="1">
      <alignment horizontal="center"/>
    </xf>
    <xf numFmtId="0" fontId="0" fillId="4" borderId="0" xfId="0" applyFill="1"/>
    <xf numFmtId="0" fontId="6" fillId="3" borderId="1" xfId="1" applyFont="1" applyBorder="1" applyAlignment="1">
      <alignment horizontal="center"/>
    </xf>
    <xf numFmtId="0" fontId="2" fillId="2" borderId="0" xfId="0" applyFont="1" applyFill="1" applyAlignment="1">
      <alignment horizontal="center"/>
    </xf>
  </cellXfs>
  <cellStyles count="2">
    <cellStyle name="60 % - Akzent4" xfId="1" builtinId="44"/>
    <cellStyle name="Standard" xfId="0" builtinId="0"/>
  </cellStyles>
  <dxfs count="8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4" workbookViewId="0">
      <selection activeCell="B13" sqref="B13"/>
    </sheetView>
  </sheetViews>
  <sheetFormatPr baseColWidth="10" defaultColWidth="10.625" defaultRowHeight="15.75"/>
  <cols>
    <col min="2" max="2" width="161" customWidth="1"/>
    <col min="3" max="3" width="10.875" style="2"/>
  </cols>
  <sheetData>
    <row r="4" spans="2:2" ht="21">
      <c r="B4" s="4" t="s">
        <v>17</v>
      </c>
    </row>
    <row r="6" spans="2:2">
      <c r="B6" s="3" t="s">
        <v>14</v>
      </c>
    </row>
    <row r="7" spans="2:2" ht="47.25">
      <c r="B7" s="1" t="s">
        <v>15</v>
      </c>
    </row>
    <row r="9" spans="2:2">
      <c r="B9" s="3" t="s">
        <v>16</v>
      </c>
    </row>
    <row r="10" spans="2:2" ht="63">
      <c r="B10" s="1" t="s">
        <v>40</v>
      </c>
    </row>
    <row r="12" spans="2:2">
      <c r="B12" s="3" t="s">
        <v>18</v>
      </c>
    </row>
    <row r="13" spans="2:2" ht="126">
      <c r="B13" s="1" t="s">
        <v>19</v>
      </c>
    </row>
    <row r="15" spans="2:2">
      <c r="B15" s="3" t="s">
        <v>20</v>
      </c>
    </row>
    <row r="16" spans="2:2" ht="110.25">
      <c r="B16" s="1" t="s">
        <v>21</v>
      </c>
    </row>
    <row r="17" spans="2:2">
      <c r="B17" s="1"/>
    </row>
    <row r="18" spans="2:2">
      <c r="B18" s="3" t="s">
        <v>39</v>
      </c>
    </row>
    <row r="19" spans="2:2" ht="141.75">
      <c r="B19" s="1" t="s">
        <v>41</v>
      </c>
    </row>
    <row r="21" spans="2:2">
      <c r="B21" s="3" t="s">
        <v>22</v>
      </c>
    </row>
    <row r="22" spans="2:2" ht="110.25">
      <c r="B22" s="1" t="s">
        <v>42</v>
      </c>
    </row>
    <row r="24" spans="2:2">
      <c r="B24" s="3" t="s">
        <v>23</v>
      </c>
    </row>
    <row r="25" spans="2:2" ht="126">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A361-1A23-41AD-947A-1A0550DC3276}">
  <dimension ref="A1:B4"/>
  <sheetViews>
    <sheetView workbookViewId="0">
      <selection activeCell="B4" sqref="B4"/>
    </sheetView>
  </sheetViews>
  <sheetFormatPr baseColWidth="10" defaultRowHeight="15.75"/>
  <cols>
    <col min="1" max="1" width="33.125" customWidth="1"/>
  </cols>
  <sheetData>
    <row r="1" spans="1:2" ht="26.25">
      <c r="A1" s="18" t="s">
        <v>65</v>
      </c>
    </row>
    <row r="3" spans="1:2">
      <c r="A3" s="20" t="s">
        <v>66</v>
      </c>
      <c r="B3" s="19">
        <v>4.5</v>
      </c>
    </row>
    <row r="4" spans="1:2">
      <c r="A4" s="20" t="s">
        <v>67</v>
      </c>
      <c r="B4" s="24">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O43"/>
  <sheetViews>
    <sheetView showGridLines="0" tabSelected="1" zoomScale="96" zoomScaleNormal="96" workbookViewId="0">
      <pane xSplit="7" topLeftCell="H1" activePane="topRight" state="frozen"/>
      <selection pane="topRight" activeCell="F14" sqref="F14"/>
    </sheetView>
  </sheetViews>
  <sheetFormatPr baseColWidth="10" defaultColWidth="8.875" defaultRowHeight="15.75" outlineLevelRow="1"/>
  <cols>
    <col min="3" max="3" width="14.25" customWidth="1"/>
    <col min="4" max="4" width="13" bestFit="1" customWidth="1"/>
    <col min="5" max="5" width="4.875" bestFit="1" customWidth="1"/>
    <col min="6" max="6" width="47.25" customWidth="1"/>
    <col min="7" max="7" width="18.75"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2.5" customWidth="1"/>
    <col min="63" max="63" width="12.5" bestFit="1" customWidth="1"/>
    <col min="64" max="64" width="6.375" customWidth="1"/>
    <col min="65" max="65" width="14.875" bestFit="1" customWidth="1"/>
    <col min="66" max="66" width="6" customWidth="1"/>
    <col min="67" max="67" width="12.625" bestFit="1" customWidth="1"/>
  </cols>
  <sheetData>
    <row r="1" spans="2:67" ht="33.75">
      <c r="B1" s="5" t="s">
        <v>0</v>
      </c>
      <c r="D1" s="5"/>
    </row>
    <row r="2" spans="2:67">
      <c r="I2" s="25" t="s">
        <v>28</v>
      </c>
      <c r="J2" s="25"/>
      <c r="K2" s="25"/>
      <c r="L2" s="25"/>
      <c r="N2" s="25" t="s">
        <v>57</v>
      </c>
      <c r="O2" s="25"/>
      <c r="P2" s="25"/>
      <c r="Q2" s="25"/>
      <c r="R2" s="25"/>
      <c r="S2" s="25"/>
      <c r="U2" s="25" t="s">
        <v>58</v>
      </c>
      <c r="V2" s="25"/>
      <c r="W2" s="25"/>
      <c r="X2" s="25"/>
      <c r="Y2" s="25"/>
      <c r="Z2" s="25"/>
      <c r="AB2" s="25" t="s">
        <v>59</v>
      </c>
      <c r="AC2" s="25"/>
      <c r="AD2" s="25"/>
      <c r="AE2" s="25"/>
      <c r="AF2" s="25"/>
      <c r="AG2" s="25"/>
      <c r="AI2" s="25" t="s">
        <v>60</v>
      </c>
      <c r="AJ2" s="25"/>
      <c r="AK2" s="25"/>
      <c r="AL2" s="25"/>
      <c r="AM2" s="25"/>
      <c r="AN2" s="25"/>
      <c r="AP2" s="25" t="s">
        <v>61</v>
      </c>
      <c r="AQ2" s="25"/>
      <c r="AR2" s="25"/>
      <c r="AS2" s="25"/>
      <c r="AT2" s="25"/>
      <c r="AU2" s="25"/>
      <c r="AW2" s="25" t="s">
        <v>62</v>
      </c>
      <c r="AX2" s="25"/>
      <c r="AY2" s="25"/>
      <c r="AZ2" s="25"/>
      <c r="BA2" s="25"/>
      <c r="BB2" s="25"/>
      <c r="BD2" s="25" t="s">
        <v>63</v>
      </c>
      <c r="BE2" s="25"/>
      <c r="BF2" s="25"/>
      <c r="BG2" s="25"/>
      <c r="BH2" s="25"/>
      <c r="BI2" s="25"/>
      <c r="BJ2" s="25" t="s">
        <v>64</v>
      </c>
      <c r="BK2" s="25"/>
      <c r="BL2" s="25"/>
      <c r="BM2" s="25"/>
      <c r="BN2" s="25"/>
      <c r="BO2" s="25"/>
    </row>
    <row r="3" spans="2:67">
      <c r="B3" s="6" t="s">
        <v>27</v>
      </c>
      <c r="C3" s="6" t="s">
        <v>1</v>
      </c>
      <c r="D3" s="6" t="s">
        <v>25</v>
      </c>
      <c r="E3" s="7" t="s">
        <v>36</v>
      </c>
      <c r="F3" s="6" t="s">
        <v>30</v>
      </c>
      <c r="G3" s="6" t="s">
        <v>37</v>
      </c>
      <c r="I3" s="7" t="s">
        <v>12</v>
      </c>
      <c r="J3" s="7" t="s">
        <v>3</v>
      </c>
      <c r="K3" s="7" t="s">
        <v>4</v>
      </c>
      <c r="L3" s="7" t="s">
        <v>13</v>
      </c>
      <c r="N3" s="6" t="s">
        <v>12</v>
      </c>
      <c r="O3" s="6" t="s">
        <v>3</v>
      </c>
      <c r="P3" s="6" t="s">
        <v>38</v>
      </c>
      <c r="Q3" s="6" t="s">
        <v>4</v>
      </c>
      <c r="R3" s="6" t="s">
        <v>38</v>
      </c>
      <c r="S3" s="6" t="s">
        <v>13</v>
      </c>
      <c r="U3" s="6" t="s">
        <v>12</v>
      </c>
      <c r="V3" s="6" t="s">
        <v>3</v>
      </c>
      <c r="W3" s="6" t="s">
        <v>38</v>
      </c>
      <c r="X3" s="6" t="s">
        <v>4</v>
      </c>
      <c r="Y3" s="6" t="s">
        <v>38</v>
      </c>
      <c r="Z3" s="6" t="s">
        <v>13</v>
      </c>
      <c r="AB3" s="6" t="s">
        <v>12</v>
      </c>
      <c r="AC3" s="6" t="s">
        <v>3</v>
      </c>
      <c r="AD3" s="6" t="s">
        <v>38</v>
      </c>
      <c r="AE3" s="6" t="s">
        <v>4</v>
      </c>
      <c r="AF3" s="6" t="s">
        <v>38</v>
      </c>
      <c r="AG3" s="6" t="s">
        <v>13</v>
      </c>
      <c r="AI3" s="6" t="s">
        <v>12</v>
      </c>
      <c r="AJ3" s="6" t="s">
        <v>3</v>
      </c>
      <c r="AK3" s="6" t="s">
        <v>38</v>
      </c>
      <c r="AL3" s="6" t="s">
        <v>4</v>
      </c>
      <c r="AM3" s="6" t="s">
        <v>38</v>
      </c>
      <c r="AN3" s="6" t="s">
        <v>13</v>
      </c>
      <c r="AP3" s="6" t="s">
        <v>12</v>
      </c>
      <c r="AQ3" s="6" t="s">
        <v>3</v>
      </c>
      <c r="AR3" s="6" t="s">
        <v>38</v>
      </c>
      <c r="AS3" s="6" t="s">
        <v>4</v>
      </c>
      <c r="AT3" s="6" t="s">
        <v>38</v>
      </c>
      <c r="AU3" s="6" t="s">
        <v>13</v>
      </c>
      <c r="AW3" s="6" t="s">
        <v>12</v>
      </c>
      <c r="AX3" s="6" t="s">
        <v>3</v>
      </c>
      <c r="AY3" s="6" t="s">
        <v>38</v>
      </c>
      <c r="AZ3" s="6" t="s">
        <v>4</v>
      </c>
      <c r="BA3" s="6" t="s">
        <v>38</v>
      </c>
      <c r="BB3" s="6" t="s">
        <v>13</v>
      </c>
      <c r="BD3" s="6" t="s">
        <v>12</v>
      </c>
      <c r="BE3" s="6" t="s">
        <v>3</v>
      </c>
      <c r="BF3" s="6" t="s">
        <v>38</v>
      </c>
      <c r="BG3" s="6" t="s">
        <v>4</v>
      </c>
      <c r="BH3" s="6" t="s">
        <v>38</v>
      </c>
      <c r="BJ3" s="6" t="s">
        <v>12</v>
      </c>
      <c r="BK3" s="6" t="s">
        <v>3</v>
      </c>
      <c r="BL3" s="6" t="s">
        <v>38</v>
      </c>
      <c r="BM3" s="6" t="s">
        <v>4</v>
      </c>
      <c r="BN3" s="6" t="s">
        <v>38</v>
      </c>
      <c r="BO3" s="6" t="s">
        <v>13</v>
      </c>
    </row>
    <row r="4" spans="2:67">
      <c r="B4" s="3" t="s">
        <v>28</v>
      </c>
      <c r="C4" s="3" t="s">
        <v>54</v>
      </c>
      <c r="D4" s="21">
        <v>44909</v>
      </c>
      <c r="E4" s="22">
        <v>6</v>
      </c>
      <c r="G4" s="12">
        <f>+SUM(G5:G13)</f>
        <v>0.7</v>
      </c>
      <c r="I4" s="14">
        <f>+SUM(I5:I13)</f>
        <v>100.5</v>
      </c>
      <c r="J4" s="13">
        <f>+SUMPRODUCT(G5:G13,J5:J13)</f>
        <v>0</v>
      </c>
      <c r="K4" s="13">
        <f>+SUMPRODUCT(G5:G13,K5:K13)</f>
        <v>0</v>
      </c>
      <c r="L4" s="11"/>
      <c r="N4" s="14">
        <f>+SUM(N5:N13)</f>
        <v>16</v>
      </c>
      <c r="U4" s="14">
        <f>+SUM(U5:U13)</f>
        <v>21</v>
      </c>
      <c r="AB4" s="14">
        <f>+SUM(AB5:AB13)</f>
        <v>22.5</v>
      </c>
      <c r="AI4" s="14">
        <f>+SUM(AI5:AI13)</f>
        <v>20</v>
      </c>
      <c r="AP4" s="14">
        <f>+SUM(AP5:AP13)</f>
        <v>21</v>
      </c>
      <c r="AW4" s="14">
        <f>+SUM(AW5:AW13)</f>
        <v>0</v>
      </c>
      <c r="BD4" s="14">
        <f>+SUM(BD5:BD13)</f>
        <v>0</v>
      </c>
      <c r="BJ4" s="14">
        <f>+SUM(BJ5:BJ13)</f>
        <v>0</v>
      </c>
    </row>
    <row r="5" spans="2:67" outlineLevel="1">
      <c r="B5" t="s">
        <v>29</v>
      </c>
      <c r="E5" s="11"/>
      <c r="F5" t="s">
        <v>68</v>
      </c>
      <c r="G5" s="12">
        <v>0.1</v>
      </c>
      <c r="I5" s="11">
        <f>+SUMIF($N$3:$ZZ$3,I$3,$N5:$ZZ5)</f>
        <v>10</v>
      </c>
      <c r="J5" s="13">
        <f t="shared" ref="J5:K13" si="0">+_xlfn.MAXIFS($N5:$ZF5,$N$3:$ZF$3,J$3)</f>
        <v>0</v>
      </c>
      <c r="K5" s="13">
        <f t="shared" si="0"/>
        <v>0</v>
      </c>
      <c r="L5" s="11"/>
      <c r="N5">
        <v>3</v>
      </c>
      <c r="O5" s="12"/>
      <c r="P5" s="12">
        <v>0.5</v>
      </c>
      <c r="Q5" s="12"/>
      <c r="R5" s="12">
        <v>0.6</v>
      </c>
      <c r="U5">
        <v>3</v>
      </c>
      <c r="V5" s="12"/>
      <c r="W5" s="12">
        <v>0.7</v>
      </c>
      <c r="X5" s="12"/>
      <c r="Y5" s="12">
        <v>0.7</v>
      </c>
      <c r="AB5">
        <v>3</v>
      </c>
      <c r="AC5" s="12"/>
      <c r="AD5" s="12">
        <v>0.9</v>
      </c>
      <c r="AE5" s="12"/>
      <c r="AF5" s="12">
        <v>0.9</v>
      </c>
      <c r="AI5">
        <v>1</v>
      </c>
      <c r="AJ5" s="12"/>
      <c r="AK5" s="12">
        <v>1</v>
      </c>
      <c r="AL5" s="12"/>
      <c r="AM5" s="12">
        <v>1</v>
      </c>
      <c r="AP5">
        <v>0</v>
      </c>
      <c r="AQ5" s="12"/>
      <c r="AR5" s="12">
        <v>1</v>
      </c>
      <c r="AS5" s="12"/>
      <c r="AT5" s="12">
        <v>1</v>
      </c>
      <c r="AX5" s="12"/>
      <c r="AY5" s="12"/>
      <c r="AZ5" s="12"/>
      <c r="BA5" s="12"/>
      <c r="BE5" s="12"/>
      <c r="BF5" s="12"/>
      <c r="BG5" s="12"/>
      <c r="BH5" s="12"/>
      <c r="BK5" s="12"/>
      <c r="BL5" s="12"/>
      <c r="BM5" s="12"/>
      <c r="BN5" s="12"/>
    </row>
    <row r="6" spans="2:67" outlineLevel="1">
      <c r="B6" t="s">
        <v>29</v>
      </c>
      <c r="E6" s="11"/>
      <c r="F6" t="s">
        <v>69</v>
      </c>
      <c r="G6" s="12">
        <v>0.05</v>
      </c>
      <c r="I6" s="11">
        <f t="shared" ref="I6:I13" si="1">+SUMIF($N$3:$ZZ$3,I$3,$N6:$ZZ6)</f>
        <v>11</v>
      </c>
      <c r="J6" s="13">
        <f t="shared" si="0"/>
        <v>0</v>
      </c>
      <c r="K6" s="13">
        <f t="shared" si="0"/>
        <v>0</v>
      </c>
      <c r="L6" s="11"/>
      <c r="N6">
        <v>3</v>
      </c>
      <c r="O6" s="12"/>
      <c r="P6" s="12">
        <v>0.5</v>
      </c>
      <c r="Q6" s="12"/>
      <c r="R6" s="12">
        <v>0.6</v>
      </c>
      <c r="U6">
        <v>3</v>
      </c>
      <c r="V6" s="12"/>
      <c r="W6" s="12">
        <v>0.7</v>
      </c>
      <c r="X6" s="12"/>
      <c r="Y6" s="12">
        <v>0.7</v>
      </c>
      <c r="AB6">
        <v>3</v>
      </c>
      <c r="AC6" s="12"/>
      <c r="AD6" s="12">
        <v>0.9</v>
      </c>
      <c r="AE6" s="12"/>
      <c r="AF6" s="12">
        <v>0.9</v>
      </c>
      <c r="AI6">
        <v>2</v>
      </c>
      <c r="AJ6" s="12"/>
      <c r="AK6" s="12">
        <v>1</v>
      </c>
      <c r="AL6" s="12"/>
      <c r="AM6" s="12">
        <v>1</v>
      </c>
      <c r="AP6">
        <v>0</v>
      </c>
      <c r="AQ6" s="12"/>
      <c r="AR6" s="12">
        <v>1</v>
      </c>
      <c r="AS6" s="12"/>
      <c r="AT6" s="12">
        <v>1</v>
      </c>
      <c r="AX6" s="12"/>
      <c r="AY6" s="12"/>
      <c r="AZ6" s="12"/>
      <c r="BA6" s="12"/>
      <c r="BE6" s="12"/>
      <c r="BF6" s="12"/>
      <c r="BG6" s="12"/>
      <c r="BH6" s="12"/>
      <c r="BK6" s="12"/>
      <c r="BL6" s="12"/>
      <c r="BM6" s="12"/>
      <c r="BN6" s="12"/>
    </row>
    <row r="7" spans="2:67" outlineLevel="1">
      <c r="B7" t="s">
        <v>29</v>
      </c>
      <c r="E7" s="11"/>
      <c r="F7" t="s">
        <v>70</v>
      </c>
      <c r="G7" s="12">
        <v>0.05</v>
      </c>
      <c r="I7" s="11">
        <f t="shared" si="1"/>
        <v>12</v>
      </c>
      <c r="J7" s="13">
        <f t="shared" si="0"/>
        <v>0</v>
      </c>
      <c r="K7" s="13">
        <f t="shared" si="0"/>
        <v>0</v>
      </c>
      <c r="L7" s="11"/>
      <c r="N7">
        <v>4</v>
      </c>
      <c r="O7" s="12"/>
      <c r="P7" s="12">
        <v>0.5</v>
      </c>
      <c r="Q7" s="12"/>
      <c r="R7" s="12">
        <v>0.6</v>
      </c>
      <c r="U7">
        <v>3</v>
      </c>
      <c r="V7" s="12"/>
      <c r="W7" s="12">
        <v>0.7</v>
      </c>
      <c r="X7" s="12"/>
      <c r="Y7" s="12">
        <v>0.7</v>
      </c>
      <c r="AB7">
        <v>3</v>
      </c>
      <c r="AC7" s="12"/>
      <c r="AD7" s="12">
        <v>0.9</v>
      </c>
      <c r="AE7" s="12"/>
      <c r="AF7" s="12">
        <v>0.9</v>
      </c>
      <c r="AI7">
        <v>2</v>
      </c>
      <c r="AJ7" s="12"/>
      <c r="AK7" s="12">
        <v>1</v>
      </c>
      <c r="AL7" s="12"/>
      <c r="AM7" s="12">
        <v>1</v>
      </c>
      <c r="AP7">
        <v>0</v>
      </c>
      <c r="AQ7" s="12"/>
      <c r="AR7" s="12">
        <v>1</v>
      </c>
      <c r="AS7" s="12"/>
      <c r="AT7" s="12">
        <v>1</v>
      </c>
      <c r="AX7" s="12"/>
      <c r="AY7" s="12"/>
      <c r="AZ7" s="12"/>
      <c r="BA7" s="12"/>
      <c r="BE7" s="12"/>
      <c r="BF7" s="12"/>
      <c r="BG7" s="12"/>
      <c r="BH7" s="12"/>
      <c r="BK7" s="12"/>
      <c r="BL7" s="12"/>
      <c r="BM7" s="12"/>
      <c r="BN7" s="12"/>
    </row>
    <row r="8" spans="2:67" outlineLevel="1">
      <c r="B8" t="s">
        <v>29</v>
      </c>
      <c r="E8" s="11"/>
      <c r="F8" t="s">
        <v>71</v>
      </c>
      <c r="G8" s="12">
        <v>0.05</v>
      </c>
      <c r="I8" s="11">
        <f t="shared" si="1"/>
        <v>11.5</v>
      </c>
      <c r="J8" s="13">
        <f t="shared" si="0"/>
        <v>0</v>
      </c>
      <c r="K8" s="13">
        <f t="shared" si="0"/>
        <v>0</v>
      </c>
      <c r="L8" s="11"/>
      <c r="N8">
        <v>2</v>
      </c>
      <c r="O8" s="12"/>
      <c r="P8" s="12">
        <v>0.4</v>
      </c>
      <c r="Q8" s="12"/>
      <c r="R8" s="12">
        <v>0.4</v>
      </c>
      <c r="U8">
        <v>2</v>
      </c>
      <c r="V8" s="12"/>
      <c r="W8" s="12">
        <v>0.6</v>
      </c>
      <c r="X8" s="12"/>
      <c r="Y8" s="12">
        <v>0.6</v>
      </c>
      <c r="AB8">
        <v>2.5</v>
      </c>
      <c r="AC8" s="12"/>
      <c r="AD8" s="12">
        <v>0.8</v>
      </c>
      <c r="AE8" s="12"/>
      <c r="AF8" s="12">
        <v>0.8</v>
      </c>
      <c r="AI8">
        <v>2</v>
      </c>
      <c r="AJ8" s="12"/>
      <c r="AK8" s="12">
        <v>1</v>
      </c>
      <c r="AL8" s="12"/>
      <c r="AM8" s="12">
        <v>1</v>
      </c>
      <c r="AP8">
        <v>3</v>
      </c>
      <c r="AQ8" s="12"/>
      <c r="AR8" s="12">
        <v>1</v>
      </c>
      <c r="AS8" s="12"/>
      <c r="AT8" s="12">
        <v>1</v>
      </c>
      <c r="AX8" s="12"/>
      <c r="AY8" s="12"/>
      <c r="AZ8" s="12"/>
      <c r="BA8" s="12"/>
      <c r="BE8" s="12"/>
      <c r="BF8" s="12"/>
      <c r="BG8" s="12"/>
      <c r="BH8" s="12"/>
      <c r="BK8" s="12"/>
      <c r="BL8" s="12"/>
      <c r="BM8" s="12"/>
      <c r="BN8" s="12"/>
    </row>
    <row r="9" spans="2:67" outlineLevel="1">
      <c r="B9" t="s">
        <v>29</v>
      </c>
      <c r="E9" s="11"/>
      <c r="F9" t="s">
        <v>72</v>
      </c>
      <c r="G9" s="12">
        <v>0.05</v>
      </c>
      <c r="I9" s="11">
        <f t="shared" si="1"/>
        <v>11.5</v>
      </c>
      <c r="J9" s="13">
        <f t="shared" si="0"/>
        <v>0</v>
      </c>
      <c r="K9" s="13">
        <f t="shared" si="0"/>
        <v>0</v>
      </c>
      <c r="L9" s="11"/>
      <c r="N9">
        <v>2</v>
      </c>
      <c r="O9" s="12"/>
      <c r="P9" s="12">
        <v>0.4</v>
      </c>
      <c r="Q9" s="12"/>
      <c r="R9" s="12">
        <v>0.4</v>
      </c>
      <c r="U9">
        <v>2</v>
      </c>
      <c r="V9" s="12"/>
      <c r="W9" s="12">
        <v>0.6</v>
      </c>
      <c r="X9" s="12"/>
      <c r="Y9" s="12">
        <v>0.6</v>
      </c>
      <c r="AB9">
        <v>2.5</v>
      </c>
      <c r="AC9" s="12"/>
      <c r="AD9" s="12">
        <v>0.8</v>
      </c>
      <c r="AE9" s="12"/>
      <c r="AF9" s="12">
        <v>0.8</v>
      </c>
      <c r="AI9">
        <v>2</v>
      </c>
      <c r="AJ9" s="12"/>
      <c r="AK9" s="12">
        <v>1</v>
      </c>
      <c r="AL9" s="12"/>
      <c r="AM9" s="12">
        <v>1</v>
      </c>
      <c r="AP9">
        <v>3</v>
      </c>
      <c r="AQ9" s="12"/>
      <c r="AR9" s="12">
        <v>1</v>
      </c>
      <c r="AS9" s="12"/>
      <c r="AT9" s="12">
        <v>1</v>
      </c>
      <c r="AX9" s="12"/>
      <c r="AY9" s="12"/>
      <c r="AZ9" s="12"/>
      <c r="BA9" s="12"/>
      <c r="BE9" s="12"/>
      <c r="BF9" s="12"/>
      <c r="BG9" s="12"/>
      <c r="BH9" s="12"/>
      <c r="BK9" s="12"/>
      <c r="BL9" s="12"/>
      <c r="BM9" s="12"/>
      <c r="BN9" s="12"/>
    </row>
    <row r="10" spans="2:67" outlineLevel="1">
      <c r="B10" t="s">
        <v>29</v>
      </c>
      <c r="E10" s="11"/>
      <c r="F10" t="s">
        <v>73</v>
      </c>
      <c r="G10" s="12">
        <v>0.1</v>
      </c>
      <c r="I10" s="11">
        <f t="shared" si="1"/>
        <v>11.5</v>
      </c>
      <c r="J10" s="13">
        <f t="shared" si="0"/>
        <v>0</v>
      </c>
      <c r="K10" s="13">
        <f t="shared" si="0"/>
        <v>0</v>
      </c>
      <c r="L10" s="11"/>
      <c r="N10">
        <v>2</v>
      </c>
      <c r="O10" s="12"/>
      <c r="P10" s="12">
        <v>0.4</v>
      </c>
      <c r="Q10" s="12"/>
      <c r="R10" s="12">
        <v>0.4</v>
      </c>
      <c r="U10">
        <v>2</v>
      </c>
      <c r="V10" s="12"/>
      <c r="W10" s="12">
        <v>0.6</v>
      </c>
      <c r="X10" s="12"/>
      <c r="Y10" s="12">
        <v>0.6</v>
      </c>
      <c r="AB10">
        <v>2.5</v>
      </c>
      <c r="AC10" s="12"/>
      <c r="AD10" s="12">
        <v>0.8</v>
      </c>
      <c r="AE10" s="12"/>
      <c r="AF10" s="12">
        <v>0.8</v>
      </c>
      <c r="AI10">
        <v>2</v>
      </c>
      <c r="AJ10" s="12"/>
      <c r="AK10" s="12">
        <v>1</v>
      </c>
      <c r="AL10" s="12"/>
      <c r="AM10" s="12">
        <v>1</v>
      </c>
      <c r="AP10">
        <v>3</v>
      </c>
      <c r="AQ10" s="12"/>
      <c r="AR10" s="12">
        <v>1</v>
      </c>
      <c r="AS10" s="12"/>
      <c r="AT10" s="12">
        <v>1</v>
      </c>
      <c r="AX10" s="12"/>
      <c r="AY10" s="12"/>
      <c r="AZ10" s="12"/>
      <c r="BA10" s="12"/>
      <c r="BE10" s="12"/>
      <c r="BF10" s="12"/>
      <c r="BG10" s="12"/>
      <c r="BH10" s="12"/>
      <c r="BK10" s="12"/>
      <c r="BL10" s="12"/>
      <c r="BM10" s="12"/>
      <c r="BN10" s="12"/>
    </row>
    <row r="11" spans="2:67" outlineLevel="1">
      <c r="B11" t="s">
        <v>29</v>
      </c>
      <c r="E11" s="11"/>
      <c r="F11" t="s">
        <v>74</v>
      </c>
      <c r="G11" s="12">
        <v>0.1</v>
      </c>
      <c r="I11" s="11">
        <f t="shared" si="1"/>
        <v>11</v>
      </c>
      <c r="J11" s="13">
        <f t="shared" si="0"/>
        <v>0</v>
      </c>
      <c r="K11" s="13">
        <f t="shared" si="0"/>
        <v>0</v>
      </c>
      <c r="L11" s="11"/>
      <c r="O11" s="12"/>
      <c r="P11" s="12"/>
      <c r="Q11" s="12"/>
      <c r="R11" s="12"/>
      <c r="U11">
        <v>2</v>
      </c>
      <c r="V11" s="12"/>
      <c r="W11" s="12">
        <v>0.4</v>
      </c>
      <c r="X11" s="12"/>
      <c r="Y11" s="12">
        <v>0.4</v>
      </c>
      <c r="AB11">
        <v>2</v>
      </c>
      <c r="AC11" s="12"/>
      <c r="AD11" s="12">
        <v>0.6</v>
      </c>
      <c r="AE11" s="12"/>
      <c r="AF11" s="12">
        <v>0.5</v>
      </c>
      <c r="AI11">
        <v>3</v>
      </c>
      <c r="AJ11" s="12"/>
      <c r="AK11" s="12">
        <v>0.8</v>
      </c>
      <c r="AL11" s="12"/>
      <c r="AM11" s="12">
        <v>0.8</v>
      </c>
      <c r="AP11">
        <v>4</v>
      </c>
      <c r="AQ11" s="12"/>
      <c r="AR11" s="12">
        <v>1</v>
      </c>
      <c r="AS11" s="12"/>
      <c r="AT11" s="12">
        <v>1</v>
      </c>
      <c r="AX11" s="12"/>
      <c r="AY11" s="12"/>
      <c r="AZ11" s="12"/>
      <c r="BA11" s="12"/>
      <c r="BE11" s="12"/>
      <c r="BF11" s="12"/>
      <c r="BG11" s="12"/>
      <c r="BH11" s="12"/>
      <c r="BK11" s="12"/>
      <c r="BL11" s="12"/>
      <c r="BM11" s="12"/>
      <c r="BN11" s="12"/>
    </row>
    <row r="12" spans="2:67" outlineLevel="1">
      <c r="B12" t="s">
        <v>29</v>
      </c>
      <c r="E12" s="11"/>
      <c r="F12" t="s">
        <v>75</v>
      </c>
      <c r="G12" s="12">
        <v>0.1</v>
      </c>
      <c r="I12" s="11">
        <f t="shared" si="1"/>
        <v>11</v>
      </c>
      <c r="J12" s="13">
        <f t="shared" si="0"/>
        <v>0</v>
      </c>
      <c r="K12" s="13">
        <f t="shared" si="0"/>
        <v>0</v>
      </c>
      <c r="L12" s="11"/>
      <c r="O12" s="12"/>
      <c r="P12" s="12"/>
      <c r="Q12" s="12"/>
      <c r="R12" s="12"/>
      <c r="U12">
        <v>2</v>
      </c>
      <c r="V12" s="12"/>
      <c r="W12" s="12">
        <v>0.4</v>
      </c>
      <c r="X12" s="12"/>
      <c r="Y12" s="12">
        <v>0.4</v>
      </c>
      <c r="AB12">
        <v>2</v>
      </c>
      <c r="AC12" s="12"/>
      <c r="AD12" s="12">
        <v>0.6</v>
      </c>
      <c r="AE12" s="12"/>
      <c r="AF12" s="12">
        <v>0.5</v>
      </c>
      <c r="AI12">
        <v>3</v>
      </c>
      <c r="AJ12" s="12"/>
      <c r="AK12" s="12">
        <v>0.8</v>
      </c>
      <c r="AL12" s="12"/>
      <c r="AM12" s="12">
        <v>0.8</v>
      </c>
      <c r="AP12">
        <v>4</v>
      </c>
      <c r="AQ12" s="12"/>
      <c r="AR12" s="12">
        <v>1</v>
      </c>
      <c r="AS12" s="12"/>
      <c r="AT12" s="12">
        <v>1</v>
      </c>
      <c r="AX12" s="12"/>
      <c r="AY12" s="12"/>
      <c r="AZ12" s="12"/>
      <c r="BA12" s="12"/>
      <c r="BE12" s="12"/>
      <c r="BF12" s="12"/>
      <c r="BG12" s="12"/>
      <c r="BH12" s="12"/>
      <c r="BK12" s="12"/>
      <c r="BL12" s="12"/>
      <c r="BM12" s="12"/>
      <c r="BN12" s="12"/>
    </row>
    <row r="13" spans="2:67" outlineLevel="1">
      <c r="B13" t="s">
        <v>29</v>
      </c>
      <c r="E13" s="11"/>
      <c r="F13" t="s">
        <v>76</v>
      </c>
      <c r="G13" s="12">
        <v>0.1</v>
      </c>
      <c r="I13" s="11">
        <f t="shared" si="1"/>
        <v>11</v>
      </c>
      <c r="J13" s="13">
        <f t="shared" si="0"/>
        <v>0</v>
      </c>
      <c r="K13" s="13">
        <f t="shared" si="0"/>
        <v>0</v>
      </c>
      <c r="L13" s="11"/>
      <c r="O13" s="12"/>
      <c r="P13" s="12"/>
      <c r="Q13" s="12"/>
      <c r="R13" s="12"/>
      <c r="U13">
        <v>2</v>
      </c>
      <c r="V13" s="12"/>
      <c r="W13" s="12">
        <v>0.4</v>
      </c>
      <c r="X13" s="12"/>
      <c r="Y13" s="12">
        <v>0.4</v>
      </c>
      <c r="AB13">
        <v>2</v>
      </c>
      <c r="AC13" s="12"/>
      <c r="AD13" s="12">
        <v>0.6</v>
      </c>
      <c r="AE13" s="12"/>
      <c r="AF13" s="12">
        <v>0.6</v>
      </c>
      <c r="AI13">
        <v>3</v>
      </c>
      <c r="AJ13" s="12"/>
      <c r="AK13" s="12">
        <v>0.8</v>
      </c>
      <c r="AL13" s="12"/>
      <c r="AM13" s="12">
        <v>0.8</v>
      </c>
      <c r="AP13">
        <v>4</v>
      </c>
      <c r="AQ13" s="12"/>
      <c r="AR13" s="12">
        <v>1</v>
      </c>
      <c r="AS13" s="12"/>
      <c r="AT13" s="12">
        <v>1</v>
      </c>
      <c r="AX13" s="12"/>
      <c r="AY13" s="12"/>
      <c r="AZ13" s="12"/>
      <c r="BA13" s="12"/>
      <c r="BE13" s="12"/>
      <c r="BF13" s="12"/>
      <c r="BG13" s="12"/>
      <c r="BH13" s="12"/>
      <c r="BK13" s="12"/>
      <c r="BL13" s="12"/>
      <c r="BM13" s="12"/>
      <c r="BN13" s="12"/>
    </row>
    <row r="14" spans="2:67" s="23" customFormat="1"/>
    <row r="15" spans="2:67">
      <c r="B15" s="3" t="s">
        <v>28</v>
      </c>
      <c r="C15" s="3" t="s">
        <v>55</v>
      </c>
      <c r="D15" s="21">
        <v>44909</v>
      </c>
      <c r="E15" s="22">
        <v>6</v>
      </c>
      <c r="G15" s="12">
        <f>+SUM(G16:G27)</f>
        <v>1</v>
      </c>
      <c r="I15" s="14">
        <f>+SUM(I16:I27)</f>
        <v>93</v>
      </c>
      <c r="J15" s="13">
        <f>+SUMPRODUCT(G16:G27,J16:J27)</f>
        <v>0</v>
      </c>
      <c r="K15" s="13">
        <f>+SUMPRODUCT(G16:G27,K16:K27)</f>
        <v>0</v>
      </c>
      <c r="L15" s="11"/>
      <c r="N15" s="14">
        <f>+SUM(N16:N27)</f>
        <v>13</v>
      </c>
      <c r="U15" s="14">
        <f>+SUM(U16:U27)</f>
        <v>21</v>
      </c>
      <c r="AB15" s="14">
        <f>+SUM(AB16:AB27)</f>
        <v>22</v>
      </c>
      <c r="AI15" s="14">
        <f>+SUM(AI16:AI27)</f>
        <v>21</v>
      </c>
      <c r="AP15" s="14">
        <f>+SUM(AP16:AP27)</f>
        <v>16</v>
      </c>
      <c r="AW15" s="14">
        <f>+SUM(AW16:AW27)</f>
        <v>0</v>
      </c>
      <c r="BD15" s="14">
        <f>+SUM(BD16:BD27)</f>
        <v>0</v>
      </c>
      <c r="BJ15" s="14">
        <f>+SUM(BJ16:BJ27)</f>
        <v>0</v>
      </c>
    </row>
    <row r="16" spans="2:67" outlineLevel="1">
      <c r="B16" t="s">
        <v>29</v>
      </c>
      <c r="E16" s="11"/>
      <c r="F16" t="s">
        <v>83</v>
      </c>
      <c r="G16" s="12">
        <v>0.1</v>
      </c>
      <c r="I16" s="11">
        <f>+SUMIF($N$3:$ZZ$3,I$3,$N16:$ZZ16)</f>
        <v>6</v>
      </c>
      <c r="J16" s="13">
        <f t="shared" ref="J16:K24" si="2">+_xlfn.MAXIFS($N16:$ZF16,$N$3:$ZF$3,J$3)</f>
        <v>0</v>
      </c>
      <c r="K16" s="13">
        <f t="shared" si="2"/>
        <v>0</v>
      </c>
      <c r="L16" s="11"/>
      <c r="N16">
        <v>1</v>
      </c>
      <c r="O16" s="12"/>
      <c r="P16" s="12">
        <v>0.5</v>
      </c>
      <c r="Q16" s="12"/>
      <c r="R16" s="12">
        <v>0.5</v>
      </c>
      <c r="U16">
        <v>3</v>
      </c>
      <c r="V16" s="12"/>
      <c r="W16" s="12">
        <v>0.8</v>
      </c>
      <c r="X16" s="12"/>
      <c r="Y16" s="12">
        <v>0.8</v>
      </c>
      <c r="AB16">
        <v>2</v>
      </c>
      <c r="AC16" s="12"/>
      <c r="AD16" s="12">
        <v>1</v>
      </c>
      <c r="AE16" s="12"/>
      <c r="AF16" s="12">
        <v>1</v>
      </c>
      <c r="AJ16" s="12"/>
      <c r="AK16" s="12">
        <v>1</v>
      </c>
      <c r="AL16" s="12"/>
      <c r="AM16" s="12">
        <v>1</v>
      </c>
      <c r="AQ16" s="12"/>
      <c r="AR16" s="12">
        <v>1</v>
      </c>
      <c r="AS16" s="12"/>
      <c r="AT16" s="12">
        <v>1</v>
      </c>
      <c r="AX16" s="12"/>
      <c r="AY16" s="12"/>
      <c r="AZ16" s="12"/>
      <c r="BA16" s="12"/>
      <c r="BE16" s="12"/>
      <c r="BF16" s="12"/>
      <c r="BG16" s="12"/>
      <c r="BH16" s="12"/>
      <c r="BK16" s="12"/>
      <c r="BL16" s="12"/>
      <c r="BM16" s="12"/>
      <c r="BN16" s="12"/>
    </row>
    <row r="17" spans="2:66" outlineLevel="1">
      <c r="B17" t="s">
        <v>29</v>
      </c>
      <c r="E17" s="11"/>
      <c r="F17" t="s">
        <v>84</v>
      </c>
      <c r="G17" s="12">
        <v>0.05</v>
      </c>
      <c r="I17" s="11">
        <f t="shared" ref="I17:I24" si="3">+SUMIF($N$3:$ZZ$3,I$3,$N17:$ZZ17)</f>
        <v>6</v>
      </c>
      <c r="J17" s="13">
        <f t="shared" si="2"/>
        <v>0</v>
      </c>
      <c r="K17" s="13">
        <f t="shared" si="2"/>
        <v>0</v>
      </c>
      <c r="L17" s="11"/>
      <c r="N17">
        <v>1</v>
      </c>
      <c r="O17" s="12"/>
      <c r="P17" s="12">
        <v>0.5</v>
      </c>
      <c r="Q17" s="12"/>
      <c r="R17" s="12">
        <v>0.5</v>
      </c>
      <c r="U17">
        <v>3</v>
      </c>
      <c r="V17" s="12"/>
      <c r="W17" s="12">
        <v>0.8</v>
      </c>
      <c r="X17" s="12"/>
      <c r="Y17" s="12">
        <v>0.8</v>
      </c>
      <c r="AB17">
        <v>2</v>
      </c>
      <c r="AC17" s="12"/>
      <c r="AD17" s="12">
        <v>1</v>
      </c>
      <c r="AE17" s="12"/>
      <c r="AF17" s="12">
        <v>1</v>
      </c>
      <c r="AJ17" s="12"/>
      <c r="AK17" s="12">
        <v>1</v>
      </c>
      <c r="AL17" s="12"/>
      <c r="AM17" s="12">
        <v>1</v>
      </c>
      <c r="AQ17" s="12"/>
      <c r="AR17" s="12">
        <v>1</v>
      </c>
      <c r="AS17" s="12"/>
      <c r="AT17" s="12">
        <v>1</v>
      </c>
      <c r="AX17" s="12"/>
      <c r="AY17" s="12"/>
      <c r="AZ17" s="12"/>
      <c r="BA17" s="12"/>
      <c r="BE17" s="12"/>
      <c r="BF17" s="12"/>
      <c r="BG17" s="12"/>
      <c r="BH17" s="12"/>
      <c r="BK17" s="12"/>
      <c r="BL17" s="12"/>
      <c r="BM17" s="12"/>
      <c r="BN17" s="12"/>
    </row>
    <row r="18" spans="2:66" outlineLevel="1">
      <c r="B18" t="s">
        <v>29</v>
      </c>
      <c r="E18" s="11"/>
      <c r="F18" t="s">
        <v>85</v>
      </c>
      <c r="G18" s="12">
        <v>0.05</v>
      </c>
      <c r="I18" s="11">
        <f t="shared" si="3"/>
        <v>6</v>
      </c>
      <c r="J18" s="13">
        <f t="shared" si="2"/>
        <v>0</v>
      </c>
      <c r="K18" s="13">
        <f t="shared" si="2"/>
        <v>0</v>
      </c>
      <c r="L18" s="11"/>
      <c r="N18">
        <v>1</v>
      </c>
      <c r="O18" s="12"/>
      <c r="P18" s="12">
        <v>0.5</v>
      </c>
      <c r="Q18" s="12"/>
      <c r="R18" s="12">
        <v>0.5</v>
      </c>
      <c r="U18">
        <v>3</v>
      </c>
      <c r="V18" s="12"/>
      <c r="W18" s="12">
        <v>0.8</v>
      </c>
      <c r="X18" s="12"/>
      <c r="Y18" s="12">
        <v>0.8</v>
      </c>
      <c r="AB18">
        <v>2</v>
      </c>
      <c r="AC18" s="12"/>
      <c r="AD18" s="12">
        <v>1</v>
      </c>
      <c r="AE18" s="12"/>
      <c r="AF18" s="12">
        <v>1</v>
      </c>
      <c r="AJ18" s="12"/>
      <c r="AK18" s="12">
        <v>1</v>
      </c>
      <c r="AL18" s="12"/>
      <c r="AM18" s="12">
        <v>1</v>
      </c>
      <c r="AQ18" s="12"/>
      <c r="AR18" s="12">
        <v>1</v>
      </c>
      <c r="AS18" s="12"/>
      <c r="AT18" s="12">
        <v>1</v>
      </c>
      <c r="AX18" s="12"/>
      <c r="AY18" s="12"/>
      <c r="AZ18" s="12"/>
      <c r="BA18" s="12"/>
      <c r="BE18" s="12"/>
      <c r="BF18" s="12"/>
      <c r="BG18" s="12"/>
      <c r="BH18" s="12"/>
      <c r="BK18" s="12"/>
      <c r="BL18" s="12"/>
      <c r="BM18" s="12"/>
      <c r="BN18" s="12"/>
    </row>
    <row r="19" spans="2:66" outlineLevel="1">
      <c r="B19" t="s">
        <v>29</v>
      </c>
      <c r="E19" s="11"/>
      <c r="F19" t="s">
        <v>86</v>
      </c>
      <c r="G19" s="12">
        <v>0.15</v>
      </c>
      <c r="I19" s="11">
        <f t="shared" si="3"/>
        <v>7</v>
      </c>
      <c r="J19" s="13">
        <f t="shared" si="2"/>
        <v>0</v>
      </c>
      <c r="K19" s="13">
        <f t="shared" si="2"/>
        <v>0</v>
      </c>
      <c r="L19" s="11"/>
      <c r="N19">
        <v>2</v>
      </c>
      <c r="O19" s="12"/>
      <c r="P19" s="12">
        <v>0.5</v>
      </c>
      <c r="Q19" s="12"/>
      <c r="R19" s="12">
        <v>0.5</v>
      </c>
      <c r="U19">
        <v>3</v>
      </c>
      <c r="V19" s="12"/>
      <c r="W19" s="12">
        <v>0.8</v>
      </c>
      <c r="X19" s="12"/>
      <c r="Y19" s="12">
        <v>0.8</v>
      </c>
      <c r="AB19">
        <v>2</v>
      </c>
      <c r="AC19" s="12"/>
      <c r="AD19" s="12">
        <v>1</v>
      </c>
      <c r="AE19" s="12"/>
      <c r="AF19" s="12">
        <v>1</v>
      </c>
      <c r="AJ19" s="12"/>
      <c r="AK19" s="12">
        <v>1</v>
      </c>
      <c r="AL19" s="12"/>
      <c r="AM19" s="12">
        <v>1</v>
      </c>
      <c r="AQ19" s="12"/>
      <c r="AR19" s="12">
        <v>1</v>
      </c>
      <c r="AS19" s="12"/>
      <c r="AT19" s="12">
        <v>1</v>
      </c>
      <c r="AX19" s="12"/>
      <c r="AY19" s="12"/>
      <c r="AZ19" s="12"/>
      <c r="BA19" s="12"/>
      <c r="BE19" s="12"/>
      <c r="BF19" s="12"/>
      <c r="BG19" s="12"/>
      <c r="BH19" s="12"/>
      <c r="BK19" s="12"/>
      <c r="BL19" s="12"/>
      <c r="BM19" s="12"/>
      <c r="BN19" s="12"/>
    </row>
    <row r="20" spans="2:66" outlineLevel="1">
      <c r="B20" t="s">
        <v>29</v>
      </c>
      <c r="E20" s="11"/>
      <c r="F20" t="s">
        <v>87</v>
      </c>
      <c r="G20" s="12">
        <v>0.05</v>
      </c>
      <c r="I20" s="11">
        <f t="shared" si="3"/>
        <v>7</v>
      </c>
      <c r="J20" s="13">
        <f t="shared" si="2"/>
        <v>0</v>
      </c>
      <c r="K20" s="13">
        <f t="shared" si="2"/>
        <v>0</v>
      </c>
      <c r="L20" s="11"/>
      <c r="N20">
        <v>2</v>
      </c>
      <c r="O20" s="12"/>
      <c r="P20" s="12">
        <v>0.5</v>
      </c>
      <c r="Q20" s="12"/>
      <c r="R20" s="12">
        <v>0.5</v>
      </c>
      <c r="U20">
        <v>3</v>
      </c>
      <c r="V20" s="12"/>
      <c r="W20" s="12">
        <v>0.8</v>
      </c>
      <c r="X20" s="12"/>
      <c r="Y20" s="12">
        <v>0.8</v>
      </c>
      <c r="AB20">
        <v>2</v>
      </c>
      <c r="AC20" s="12"/>
      <c r="AD20" s="12">
        <v>1</v>
      </c>
      <c r="AE20" s="12"/>
      <c r="AF20" s="12">
        <v>1</v>
      </c>
      <c r="AJ20" s="12"/>
      <c r="AK20" s="12">
        <v>1</v>
      </c>
      <c r="AL20" s="12"/>
      <c r="AM20" s="12">
        <v>1</v>
      </c>
      <c r="AQ20" s="12"/>
      <c r="AR20" s="12">
        <v>1</v>
      </c>
      <c r="AS20" s="12"/>
      <c r="AT20" s="12">
        <v>1</v>
      </c>
      <c r="AX20" s="12"/>
      <c r="AY20" s="12"/>
      <c r="AZ20" s="12"/>
      <c r="BA20" s="12"/>
      <c r="BE20" s="12"/>
      <c r="BF20" s="12"/>
      <c r="BG20" s="12"/>
      <c r="BH20" s="12"/>
      <c r="BK20" s="12"/>
      <c r="BL20" s="12"/>
      <c r="BM20" s="12"/>
      <c r="BN20" s="12"/>
    </row>
    <row r="21" spans="2:66" outlineLevel="1">
      <c r="B21" t="s">
        <v>29</v>
      </c>
      <c r="E21" s="11"/>
      <c r="F21" t="s">
        <v>88</v>
      </c>
      <c r="G21" s="12">
        <v>0.05</v>
      </c>
      <c r="I21" s="11">
        <f t="shared" si="3"/>
        <v>8</v>
      </c>
      <c r="J21" s="13">
        <f t="shared" si="2"/>
        <v>0</v>
      </c>
      <c r="K21" s="13">
        <f t="shared" si="2"/>
        <v>0</v>
      </c>
      <c r="L21" s="11"/>
      <c r="N21">
        <v>2</v>
      </c>
      <c r="O21" s="12"/>
      <c r="P21" s="12">
        <v>0.3</v>
      </c>
      <c r="Q21" s="12"/>
      <c r="R21" s="12">
        <v>0.3</v>
      </c>
      <c r="U21">
        <v>2</v>
      </c>
      <c r="V21" s="12"/>
      <c r="W21" s="12">
        <v>0.5</v>
      </c>
      <c r="X21" s="12"/>
      <c r="Y21" s="12">
        <v>0.5</v>
      </c>
      <c r="AB21">
        <v>2</v>
      </c>
      <c r="AC21" s="12"/>
      <c r="AD21" s="12">
        <v>0.8</v>
      </c>
      <c r="AE21" s="12"/>
      <c r="AF21" s="12">
        <v>0.8</v>
      </c>
      <c r="AI21">
        <v>2</v>
      </c>
      <c r="AJ21" s="12"/>
      <c r="AK21" s="12">
        <v>1</v>
      </c>
      <c r="AL21" s="12"/>
      <c r="AM21" s="12">
        <v>1</v>
      </c>
      <c r="AQ21" s="12"/>
      <c r="AR21" s="12">
        <v>1</v>
      </c>
      <c r="AS21" s="12"/>
      <c r="AT21" s="12">
        <v>1</v>
      </c>
      <c r="AX21" s="12"/>
      <c r="AY21" s="12"/>
      <c r="AZ21" s="12"/>
      <c r="BA21" s="12"/>
      <c r="BE21" s="12"/>
      <c r="BF21" s="12"/>
      <c r="BG21" s="12"/>
      <c r="BH21" s="12"/>
      <c r="BK21" s="12"/>
      <c r="BL21" s="12"/>
      <c r="BM21" s="12"/>
      <c r="BN21" s="12"/>
    </row>
    <row r="22" spans="2:66" outlineLevel="1">
      <c r="B22" t="s">
        <v>29</v>
      </c>
      <c r="E22" s="11"/>
      <c r="F22" t="s">
        <v>89</v>
      </c>
      <c r="G22" s="12">
        <v>0.15</v>
      </c>
      <c r="I22" s="11">
        <f t="shared" si="3"/>
        <v>8</v>
      </c>
      <c r="J22" s="13">
        <f t="shared" si="2"/>
        <v>0</v>
      </c>
      <c r="K22" s="13">
        <f t="shared" si="2"/>
        <v>0</v>
      </c>
      <c r="L22" s="11"/>
      <c r="N22">
        <v>2</v>
      </c>
      <c r="O22" s="12"/>
      <c r="P22" s="12">
        <v>0.3</v>
      </c>
      <c r="Q22" s="12"/>
      <c r="R22" s="12">
        <v>0.3</v>
      </c>
      <c r="U22">
        <v>2</v>
      </c>
      <c r="V22" s="12"/>
      <c r="W22" s="12">
        <v>0.5</v>
      </c>
      <c r="X22" s="12"/>
      <c r="Y22" s="12">
        <v>0.5</v>
      </c>
      <c r="AB22">
        <v>2</v>
      </c>
      <c r="AC22" s="12"/>
      <c r="AD22" s="12">
        <v>0.8</v>
      </c>
      <c r="AE22" s="12"/>
      <c r="AF22" s="12">
        <v>0.8</v>
      </c>
      <c r="AI22">
        <v>2</v>
      </c>
      <c r="AJ22" s="12"/>
      <c r="AK22" s="12">
        <v>1</v>
      </c>
      <c r="AL22" s="12"/>
      <c r="AM22" s="12">
        <v>1</v>
      </c>
      <c r="AQ22" s="12"/>
      <c r="AR22" s="12">
        <v>1</v>
      </c>
      <c r="AS22" s="12"/>
      <c r="AT22" s="12">
        <v>1</v>
      </c>
      <c r="AX22" s="12"/>
      <c r="AY22" s="12"/>
      <c r="AZ22" s="12"/>
      <c r="BA22" s="12"/>
      <c r="BE22" s="12"/>
      <c r="BF22" s="12"/>
      <c r="BG22" s="12"/>
      <c r="BH22" s="12"/>
      <c r="BK22" s="12"/>
      <c r="BL22" s="12"/>
      <c r="BM22" s="12"/>
      <c r="BN22" s="12"/>
    </row>
    <row r="23" spans="2:66" outlineLevel="1">
      <c r="B23" t="s">
        <v>29</v>
      </c>
      <c r="E23" s="11"/>
      <c r="F23" t="s">
        <v>31</v>
      </c>
      <c r="G23" s="12">
        <v>0.05</v>
      </c>
      <c r="I23" s="11">
        <f t="shared" si="3"/>
        <v>9</v>
      </c>
      <c r="J23" s="13">
        <f t="shared" si="2"/>
        <v>0</v>
      </c>
      <c r="K23" s="13">
        <f t="shared" si="2"/>
        <v>0</v>
      </c>
      <c r="L23" s="11"/>
      <c r="N23">
        <v>2</v>
      </c>
      <c r="O23" s="12"/>
      <c r="P23" s="12">
        <v>0.3</v>
      </c>
      <c r="Q23" s="12"/>
      <c r="R23" s="12">
        <v>0.3</v>
      </c>
      <c r="U23">
        <v>2</v>
      </c>
      <c r="V23" s="12"/>
      <c r="W23" s="12">
        <v>0.5</v>
      </c>
      <c r="X23" s="12"/>
      <c r="Y23" s="12">
        <v>0.5</v>
      </c>
      <c r="AB23">
        <v>2</v>
      </c>
      <c r="AC23" s="12"/>
      <c r="AD23" s="12">
        <v>0.8</v>
      </c>
      <c r="AE23" s="12"/>
      <c r="AF23" s="12">
        <v>0.8</v>
      </c>
      <c r="AI23">
        <v>3</v>
      </c>
      <c r="AJ23" s="12"/>
      <c r="AK23" s="12">
        <v>1</v>
      </c>
      <c r="AL23" s="12"/>
      <c r="AM23" s="12">
        <v>1</v>
      </c>
      <c r="AQ23" s="12"/>
      <c r="AR23" s="12">
        <v>1</v>
      </c>
      <c r="AS23" s="12"/>
      <c r="AT23" s="12">
        <v>1</v>
      </c>
      <c r="AX23" s="12"/>
      <c r="AY23" s="12"/>
      <c r="AZ23" s="12"/>
      <c r="BA23" s="12"/>
      <c r="BE23" s="12"/>
      <c r="BF23" s="12"/>
      <c r="BG23" s="12"/>
      <c r="BH23" s="12"/>
      <c r="BK23" s="12"/>
      <c r="BL23" s="12"/>
      <c r="BM23" s="12"/>
      <c r="BN23" s="12"/>
    </row>
    <row r="24" spans="2:66" outlineLevel="1">
      <c r="B24" t="s">
        <v>29</v>
      </c>
      <c r="E24" s="11"/>
      <c r="F24" t="s">
        <v>90</v>
      </c>
      <c r="G24" s="12">
        <v>0.1</v>
      </c>
      <c r="I24" s="11">
        <f t="shared" si="3"/>
        <v>9</v>
      </c>
      <c r="J24" s="13">
        <f t="shared" si="2"/>
        <v>0</v>
      </c>
      <c r="K24" s="13">
        <f t="shared" si="2"/>
        <v>0</v>
      </c>
      <c r="L24" s="11"/>
      <c r="AB24">
        <v>2</v>
      </c>
      <c r="AC24" s="12"/>
      <c r="AD24" s="12">
        <v>0.5</v>
      </c>
      <c r="AE24" s="12"/>
      <c r="AF24" s="12">
        <v>0.5</v>
      </c>
      <c r="AI24">
        <v>3</v>
      </c>
      <c r="AJ24" s="12"/>
      <c r="AK24" s="12">
        <v>0.8</v>
      </c>
      <c r="AL24" s="12"/>
      <c r="AM24" s="12">
        <v>0.8</v>
      </c>
      <c r="AP24">
        <v>4</v>
      </c>
      <c r="AQ24" s="12"/>
      <c r="AR24" s="12">
        <v>1</v>
      </c>
      <c r="AS24" s="12"/>
      <c r="AT24" s="12">
        <v>1</v>
      </c>
      <c r="AX24" s="12"/>
      <c r="AY24" s="12"/>
      <c r="AZ24" s="12"/>
      <c r="BA24" s="12"/>
      <c r="BE24" s="12"/>
      <c r="BF24" s="12"/>
      <c r="BG24" s="12"/>
      <c r="BH24" s="12"/>
      <c r="BK24" s="12"/>
      <c r="BL24" s="12"/>
      <c r="BM24" s="12"/>
      <c r="BN24" s="12"/>
    </row>
    <row r="25" spans="2:66" outlineLevel="1">
      <c r="B25" t="s">
        <v>29</v>
      </c>
      <c r="E25" s="11"/>
      <c r="F25" t="s">
        <v>91</v>
      </c>
      <c r="G25" s="12">
        <v>0.1</v>
      </c>
      <c r="I25" s="11">
        <f>+SUMIF($N$3:$ZZ$3,I$3,$N25:$ZZ25)</f>
        <v>9</v>
      </c>
      <c r="J25" s="13">
        <f t="shared" ref="J25:K29" si="4">+_xlfn.MAXIFS($N25:$ZF25,$N$3:$ZF$3,J$3)</f>
        <v>0</v>
      </c>
      <c r="K25" s="13">
        <f t="shared" si="4"/>
        <v>0</v>
      </c>
      <c r="L25" s="11"/>
      <c r="AB25">
        <v>2</v>
      </c>
      <c r="AC25" s="12"/>
      <c r="AD25" s="12">
        <v>0.5</v>
      </c>
      <c r="AE25" s="12"/>
      <c r="AF25" s="12">
        <v>0.5</v>
      </c>
      <c r="AI25">
        <v>3</v>
      </c>
      <c r="AJ25" s="12"/>
      <c r="AK25" s="12">
        <v>0.8</v>
      </c>
      <c r="AL25" s="12"/>
      <c r="AM25" s="12">
        <v>0.8</v>
      </c>
      <c r="AP25">
        <v>4</v>
      </c>
      <c r="AQ25" s="12"/>
      <c r="AR25" s="12">
        <v>1</v>
      </c>
      <c r="AS25" s="12"/>
      <c r="AT25" s="12">
        <v>1</v>
      </c>
      <c r="AX25" s="12"/>
      <c r="AY25" s="12"/>
      <c r="AZ25" s="12"/>
      <c r="BA25" s="12"/>
      <c r="BE25" s="12"/>
      <c r="BF25" s="12"/>
      <c r="BG25" s="12"/>
      <c r="BH25" s="12"/>
      <c r="BK25" s="12"/>
      <c r="BL25" s="12"/>
      <c r="BM25" s="12"/>
      <c r="BN25" s="12"/>
    </row>
    <row r="26" spans="2:66" outlineLevel="1">
      <c r="B26" t="s">
        <v>29</v>
      </c>
      <c r="E26" s="11"/>
      <c r="F26" t="s">
        <v>92</v>
      </c>
      <c r="G26" s="12">
        <v>0.1</v>
      </c>
      <c r="I26" s="11">
        <f>+SUMIF($N$3:$ZZ$3,I$3,$N26:$ZZ26)</f>
        <v>10</v>
      </c>
      <c r="J26" s="13">
        <f t="shared" si="4"/>
        <v>0</v>
      </c>
      <c r="K26" s="13">
        <f t="shared" si="4"/>
        <v>0</v>
      </c>
      <c r="L26" s="11"/>
      <c r="AB26">
        <v>2</v>
      </c>
      <c r="AC26" s="12"/>
      <c r="AD26" s="12">
        <v>0.5</v>
      </c>
      <c r="AE26" s="12"/>
      <c r="AF26" s="12">
        <v>0.5</v>
      </c>
      <c r="AI26">
        <v>4</v>
      </c>
      <c r="AJ26" s="12"/>
      <c r="AK26" s="12">
        <v>0.8</v>
      </c>
      <c r="AL26" s="12"/>
      <c r="AM26" s="12">
        <v>0.8</v>
      </c>
      <c r="AP26">
        <v>4</v>
      </c>
      <c r="AQ26" s="12"/>
      <c r="AR26" s="12">
        <v>1</v>
      </c>
      <c r="AS26" s="12"/>
      <c r="AT26" s="12">
        <v>1</v>
      </c>
      <c r="AX26" s="12"/>
      <c r="AY26" s="12"/>
      <c r="AZ26" s="12"/>
      <c r="BA26" s="12"/>
      <c r="BE26" s="12"/>
      <c r="BF26" s="12"/>
      <c r="BG26" s="12"/>
      <c r="BH26" s="12"/>
      <c r="BK26" s="12"/>
      <c r="BL26" s="12"/>
      <c r="BM26" s="12"/>
      <c r="BN26" s="12"/>
    </row>
    <row r="27" spans="2:66" outlineLevel="1">
      <c r="B27" t="s">
        <v>29</v>
      </c>
      <c r="E27" s="11"/>
      <c r="F27" t="s">
        <v>93</v>
      </c>
      <c r="G27" s="12">
        <v>0.05</v>
      </c>
      <c r="I27" s="11">
        <f>+SUMIF($N$3:$ZZ$3,I$3,$N27:$ZZ27)</f>
        <v>8</v>
      </c>
      <c r="J27" s="13">
        <f t="shared" si="4"/>
        <v>0</v>
      </c>
      <c r="K27" s="13">
        <f t="shared" si="4"/>
        <v>0</v>
      </c>
      <c r="L27" s="11"/>
      <c r="AI27">
        <v>4</v>
      </c>
      <c r="AJ27" s="12"/>
      <c r="AK27" s="12">
        <v>0.7</v>
      </c>
      <c r="AL27" s="12"/>
      <c r="AM27" s="12">
        <v>0.8</v>
      </c>
      <c r="AP27">
        <v>4</v>
      </c>
      <c r="AQ27" s="12"/>
      <c r="AR27" s="12">
        <v>1</v>
      </c>
      <c r="AS27" s="12"/>
      <c r="AT27" s="12">
        <v>1</v>
      </c>
      <c r="AX27" s="12"/>
      <c r="AY27" s="12"/>
      <c r="AZ27" s="12"/>
      <c r="BA27" s="12"/>
      <c r="BE27" s="12"/>
      <c r="BF27" s="12"/>
      <c r="BG27" s="12"/>
      <c r="BH27" s="12"/>
      <c r="BK27" s="12"/>
      <c r="BL27" s="12"/>
      <c r="BM27" s="12"/>
      <c r="BN27" s="12"/>
    </row>
    <row r="28" spans="2:66" outlineLevel="1">
      <c r="B28" t="s">
        <v>29</v>
      </c>
      <c r="E28" s="11"/>
      <c r="F28" t="s">
        <v>94</v>
      </c>
      <c r="G28" s="12">
        <v>0.1</v>
      </c>
      <c r="I28" s="11">
        <f>+SUMIF($N$3:$ZZ$3,I$3,$N28:$ZZ28)</f>
        <v>8</v>
      </c>
      <c r="J28" s="13">
        <f t="shared" si="4"/>
        <v>0</v>
      </c>
      <c r="K28" s="13">
        <f t="shared" si="4"/>
        <v>0</v>
      </c>
      <c r="L28" s="11"/>
      <c r="AI28">
        <v>4</v>
      </c>
      <c r="AJ28" s="12"/>
      <c r="AK28" s="12">
        <v>0.7</v>
      </c>
      <c r="AL28" s="12"/>
      <c r="AM28" s="12">
        <v>0.8</v>
      </c>
      <c r="AP28">
        <v>4</v>
      </c>
      <c r="AQ28" s="12"/>
      <c r="AR28" s="12">
        <v>1</v>
      </c>
      <c r="AS28" s="12"/>
      <c r="AT28" s="12">
        <v>1</v>
      </c>
      <c r="AX28" s="12"/>
      <c r="AY28" s="12"/>
      <c r="AZ28" s="12"/>
      <c r="BA28" s="12"/>
      <c r="BE28" s="12"/>
      <c r="BF28" s="12"/>
      <c r="BG28" s="12"/>
      <c r="BH28" s="12"/>
      <c r="BK28" s="12"/>
      <c r="BL28" s="12"/>
      <c r="BM28" s="12"/>
      <c r="BN28" s="12"/>
    </row>
    <row r="29" spans="2:66" outlineLevel="1">
      <c r="B29" t="s">
        <v>29</v>
      </c>
      <c r="E29" s="11"/>
      <c r="F29" t="s">
        <v>95</v>
      </c>
      <c r="G29" s="12">
        <v>0.1</v>
      </c>
      <c r="I29" s="11">
        <f>+SUMIF($N$3:$ZZ$3,I$3,$N29:$ZZ29)</f>
        <v>8</v>
      </c>
      <c r="J29" s="13">
        <f t="shared" si="4"/>
        <v>0</v>
      </c>
      <c r="K29" s="13">
        <f t="shared" si="4"/>
        <v>0</v>
      </c>
      <c r="L29" s="11"/>
      <c r="AI29">
        <v>4</v>
      </c>
      <c r="AJ29" s="12"/>
      <c r="AK29" s="12">
        <v>0.7</v>
      </c>
      <c r="AL29" s="12"/>
      <c r="AM29" s="12">
        <v>0.8</v>
      </c>
      <c r="AP29">
        <v>4</v>
      </c>
      <c r="AQ29" s="12"/>
      <c r="AR29" s="12">
        <v>1</v>
      </c>
      <c r="AS29" s="12"/>
      <c r="AT29" s="12">
        <v>1</v>
      </c>
      <c r="AX29" s="12"/>
      <c r="AY29" s="12"/>
      <c r="AZ29" s="12"/>
      <c r="BA29" s="12"/>
      <c r="BE29" s="12"/>
      <c r="BF29" s="12"/>
      <c r="BG29" s="12"/>
      <c r="BH29" s="12"/>
      <c r="BK29" s="12"/>
      <c r="BL29" s="12"/>
      <c r="BM29" s="12"/>
      <c r="BN29" s="12"/>
    </row>
    <row r="30" spans="2:66" s="23" customFormat="1"/>
    <row r="31" spans="2:66" ht="15.75" hidden="1" customHeight="1" outlineLevel="1">
      <c r="B31" t="s">
        <v>29</v>
      </c>
      <c r="C31" t="s">
        <v>2</v>
      </c>
      <c r="E31" s="11"/>
      <c r="F31" t="s">
        <v>31</v>
      </c>
      <c r="G31" s="12">
        <v>0.1</v>
      </c>
      <c r="I31" s="11">
        <f t="shared" ref="I31:I35" si="5">+SUMIF($N$3:$ZZ$3,I$3,$N31:$ZZ31)</f>
        <v>2</v>
      </c>
      <c r="J31" s="13">
        <f t="shared" ref="J31:K35" si="6">+_xlfn.MAXIFS($N31:$ZF31,$N$3:$ZF$3,J$3)</f>
        <v>0</v>
      </c>
      <c r="K31" s="13">
        <f t="shared" si="6"/>
        <v>0</v>
      </c>
      <c r="L31" s="11"/>
      <c r="O31" s="12"/>
      <c r="P31" s="12"/>
      <c r="Q31" s="12"/>
      <c r="R31" s="12"/>
      <c r="V31" s="12"/>
      <c r="W31" s="12"/>
      <c r="X31" s="12"/>
      <c r="Y31" s="12"/>
      <c r="AC31" s="12"/>
      <c r="AD31" s="12">
        <v>0.5</v>
      </c>
      <c r="AE31" s="12"/>
      <c r="AF31" s="12">
        <v>0.5</v>
      </c>
      <c r="AJ31" s="12"/>
      <c r="AK31" s="12">
        <v>0.8</v>
      </c>
      <c r="AL31" s="12"/>
      <c r="AM31" s="12">
        <v>0.8</v>
      </c>
      <c r="AP31">
        <v>2</v>
      </c>
      <c r="AQ31" s="12"/>
      <c r="AR31" s="12">
        <v>1</v>
      </c>
      <c r="AS31" s="12"/>
      <c r="AT31" s="12">
        <v>1</v>
      </c>
      <c r="AX31" s="12"/>
      <c r="AY31" s="12"/>
      <c r="AZ31" s="12"/>
      <c r="BA31" s="12"/>
      <c r="BE31" s="12"/>
      <c r="BF31" s="12"/>
      <c r="BG31" s="12"/>
      <c r="BH31" s="12"/>
      <c r="BK31" s="12"/>
      <c r="BL31" s="12"/>
      <c r="BM31" s="12"/>
      <c r="BN31" s="12"/>
    </row>
    <row r="32" spans="2:66" ht="15.75" hidden="1" customHeight="1" outlineLevel="1">
      <c r="B32" t="s">
        <v>29</v>
      </c>
      <c r="C32" t="s">
        <v>2</v>
      </c>
      <c r="E32" s="11"/>
      <c r="F32" t="s">
        <v>32</v>
      </c>
      <c r="G32" s="12">
        <v>0.1</v>
      </c>
      <c r="I32" s="11">
        <f t="shared" si="5"/>
        <v>2</v>
      </c>
      <c r="J32" s="13">
        <f t="shared" si="6"/>
        <v>0</v>
      </c>
      <c r="K32" s="13">
        <f t="shared" si="6"/>
        <v>0</v>
      </c>
      <c r="L32" s="11"/>
      <c r="O32" s="12"/>
      <c r="P32" s="12"/>
      <c r="Q32" s="12"/>
      <c r="R32" s="12"/>
      <c r="V32" s="12"/>
      <c r="W32" s="12"/>
      <c r="X32" s="12"/>
      <c r="Y32" s="12"/>
      <c r="AC32" s="12"/>
      <c r="AD32" s="12">
        <v>0.5</v>
      </c>
      <c r="AE32" s="12"/>
      <c r="AF32" s="12">
        <v>0.5</v>
      </c>
      <c r="AJ32" s="12"/>
      <c r="AK32" s="12">
        <v>0.8</v>
      </c>
      <c r="AL32" s="12"/>
      <c r="AM32" s="12">
        <v>0.8</v>
      </c>
      <c r="AP32">
        <v>2</v>
      </c>
      <c r="AQ32" s="12"/>
      <c r="AR32" s="12">
        <v>1</v>
      </c>
      <c r="AS32" s="12"/>
      <c r="AT32" s="12">
        <v>1</v>
      </c>
      <c r="AX32" s="12"/>
      <c r="AY32" s="12"/>
      <c r="AZ32" s="12"/>
      <c r="BA32" s="12"/>
      <c r="BE32" s="12"/>
      <c r="BF32" s="12"/>
      <c r="BG32" s="12"/>
      <c r="BH32" s="12"/>
      <c r="BK32" s="12"/>
      <c r="BL32" s="12"/>
      <c r="BM32" s="12"/>
      <c r="BN32" s="12"/>
    </row>
    <row r="33" spans="2:66" ht="15.75" hidden="1" customHeight="1" outlineLevel="1">
      <c r="B33" t="s">
        <v>29</v>
      </c>
      <c r="C33" t="s">
        <v>2</v>
      </c>
      <c r="E33" s="11"/>
      <c r="F33" t="s">
        <v>33</v>
      </c>
      <c r="G33" s="12">
        <v>0.1</v>
      </c>
      <c r="I33" s="11">
        <f t="shared" si="5"/>
        <v>4</v>
      </c>
      <c r="J33" s="13">
        <f t="shared" si="6"/>
        <v>0</v>
      </c>
      <c r="K33" s="13">
        <f t="shared" si="6"/>
        <v>0</v>
      </c>
      <c r="L33" s="11"/>
      <c r="O33" s="12"/>
      <c r="P33" s="12"/>
      <c r="Q33" s="12"/>
      <c r="R33" s="12"/>
      <c r="V33" s="12"/>
      <c r="W33" s="12"/>
      <c r="X33" s="12"/>
      <c r="Y33" s="12"/>
      <c r="AC33" s="12"/>
      <c r="AD33" s="12">
        <v>0.3</v>
      </c>
      <c r="AE33" s="12"/>
      <c r="AF33" s="12">
        <v>0.3</v>
      </c>
      <c r="AJ33" s="12"/>
      <c r="AK33" s="12">
        <v>0.5</v>
      </c>
      <c r="AL33" s="12"/>
      <c r="AM33" s="12">
        <v>0.5</v>
      </c>
      <c r="AP33">
        <v>4</v>
      </c>
      <c r="AQ33" s="12"/>
      <c r="AR33" s="12">
        <v>1</v>
      </c>
      <c r="AS33" s="12"/>
      <c r="AT33" s="12">
        <v>1</v>
      </c>
      <c r="AX33" s="12"/>
      <c r="AY33" s="12"/>
      <c r="AZ33" s="12"/>
      <c r="BA33" s="12"/>
      <c r="BE33" s="12"/>
      <c r="BF33" s="12"/>
      <c r="BG33" s="12"/>
      <c r="BH33" s="12"/>
      <c r="BK33" s="12"/>
      <c r="BL33" s="12"/>
      <c r="BM33" s="12"/>
      <c r="BN33" s="12"/>
    </row>
    <row r="34" spans="2:66" ht="15.75" hidden="1" customHeight="1" outlineLevel="1">
      <c r="B34" t="s">
        <v>29</v>
      </c>
      <c r="C34" t="s">
        <v>2</v>
      </c>
      <c r="E34" s="11"/>
      <c r="F34" t="s">
        <v>34</v>
      </c>
      <c r="G34" s="12">
        <v>0.1</v>
      </c>
      <c r="I34" s="11">
        <f t="shared" si="5"/>
        <v>4</v>
      </c>
      <c r="J34" s="13">
        <f t="shared" si="6"/>
        <v>0</v>
      </c>
      <c r="K34" s="13">
        <f t="shared" si="6"/>
        <v>0</v>
      </c>
      <c r="L34" s="11"/>
      <c r="O34" s="12"/>
      <c r="P34" s="12"/>
      <c r="Q34" s="12"/>
      <c r="R34" s="12"/>
      <c r="V34" s="12"/>
      <c r="W34" s="12"/>
      <c r="X34" s="12"/>
      <c r="Y34" s="12"/>
      <c r="AC34" s="12"/>
      <c r="AD34" s="12"/>
      <c r="AE34" s="12"/>
      <c r="AF34" s="12"/>
      <c r="AJ34" s="12"/>
      <c r="AK34" s="12">
        <v>0.5</v>
      </c>
      <c r="AL34" s="12"/>
      <c r="AM34" s="12">
        <v>0.5</v>
      </c>
      <c r="AP34">
        <v>4</v>
      </c>
      <c r="AQ34" s="12"/>
      <c r="AR34" s="12">
        <v>1</v>
      </c>
      <c r="AS34" s="12"/>
      <c r="AT34" s="12">
        <v>1</v>
      </c>
      <c r="AX34" s="12"/>
      <c r="AY34" s="12"/>
      <c r="AZ34" s="12"/>
      <c r="BA34" s="12"/>
      <c r="BE34" s="12"/>
      <c r="BF34" s="12"/>
      <c r="BG34" s="12"/>
      <c r="BH34" s="12"/>
      <c r="BK34" s="12"/>
      <c r="BL34" s="12"/>
      <c r="BM34" s="12"/>
      <c r="BN34" s="12"/>
    </row>
    <row r="35" spans="2:66" ht="15.75" hidden="1" customHeight="1" outlineLevel="1">
      <c r="B35" t="s">
        <v>29</v>
      </c>
      <c r="C35" t="s">
        <v>2</v>
      </c>
      <c r="E35" s="11"/>
      <c r="F35" t="s">
        <v>35</v>
      </c>
      <c r="G35" s="12">
        <v>0.1</v>
      </c>
      <c r="I35" s="11">
        <f t="shared" si="5"/>
        <v>4</v>
      </c>
      <c r="J35" s="13">
        <f t="shared" si="6"/>
        <v>0</v>
      </c>
      <c r="K35" s="13">
        <f t="shared" si="6"/>
        <v>0</v>
      </c>
      <c r="L35" s="11"/>
      <c r="O35" s="12"/>
      <c r="P35" s="12"/>
      <c r="Q35" s="12"/>
      <c r="R35" s="12"/>
      <c r="V35" s="12"/>
      <c r="W35" s="12"/>
      <c r="X35" s="12"/>
      <c r="Y35" s="12"/>
      <c r="AC35" s="12"/>
      <c r="AD35" s="12"/>
      <c r="AE35" s="12"/>
      <c r="AF35" s="12"/>
      <c r="AJ35" s="12"/>
      <c r="AK35" s="12">
        <v>0.5</v>
      </c>
      <c r="AL35" s="12"/>
      <c r="AM35" s="12">
        <v>0.5</v>
      </c>
      <c r="AP35">
        <v>4</v>
      </c>
      <c r="AQ35" s="12"/>
      <c r="AR35" s="12">
        <v>1</v>
      </c>
      <c r="AS35" s="12"/>
      <c r="AT35" s="12">
        <v>1</v>
      </c>
      <c r="AX35" s="12"/>
      <c r="AY35" s="12"/>
      <c r="AZ35" s="12"/>
      <c r="BA35" s="12"/>
      <c r="BE35" s="12"/>
      <c r="BF35" s="12"/>
      <c r="BG35" s="12"/>
      <c r="BH35" s="12"/>
      <c r="BK35" s="12"/>
      <c r="BL35" s="12"/>
      <c r="BM35" s="12"/>
      <c r="BN35" s="12"/>
    </row>
    <row r="36" spans="2:66" collapsed="1">
      <c r="B36" s="3" t="s">
        <v>28</v>
      </c>
      <c r="C36" s="3" t="s">
        <v>56</v>
      </c>
      <c r="D36" s="21">
        <v>44909</v>
      </c>
      <c r="E36" s="22">
        <v>6</v>
      </c>
      <c r="G36" s="12">
        <f>+SUM(G37:G42)</f>
        <v>0.4</v>
      </c>
      <c r="I36" s="14">
        <f>+SUM(I37:I42)</f>
        <v>56</v>
      </c>
      <c r="J36" s="13">
        <f>+SUMPRODUCT(G37:G42,J37:J42)</f>
        <v>0</v>
      </c>
      <c r="K36" s="13">
        <f>+SUMPRODUCT(G37:G42,K37:K42)</f>
        <v>0</v>
      </c>
      <c r="L36" s="11"/>
      <c r="N36" s="14">
        <f>+SUM(N37:N42)</f>
        <v>9</v>
      </c>
      <c r="U36" s="14">
        <f>+SUM(U37:U42)</f>
        <v>13</v>
      </c>
      <c r="AB36" s="14">
        <f>+SUM(AB37:AB42)</f>
        <v>14</v>
      </c>
      <c r="AI36" s="14">
        <f>+SUM(AI37:AI42)</f>
        <v>12</v>
      </c>
      <c r="AP36" s="14">
        <f>+SUM(AP37:AP42)</f>
        <v>8</v>
      </c>
      <c r="AW36" s="14">
        <f>+SUM(AW37:AW42)</f>
        <v>0</v>
      </c>
      <c r="BD36" s="14">
        <f>+SUM(BD37:BD42)</f>
        <v>0</v>
      </c>
      <c r="BJ36" s="14">
        <f>+SUM(BJ37:BJ42)</f>
        <v>0</v>
      </c>
    </row>
    <row r="37" spans="2:66" outlineLevel="1">
      <c r="B37" t="s">
        <v>29</v>
      </c>
      <c r="E37" s="11"/>
      <c r="F37" t="s">
        <v>77</v>
      </c>
      <c r="G37" s="12">
        <v>0.1</v>
      </c>
      <c r="I37" s="11">
        <f>+SUMIF($N$3:$ZZ$3,I$3,$N37:$ZZ37)</f>
        <v>6</v>
      </c>
      <c r="J37" s="13">
        <v>0</v>
      </c>
      <c r="K37" s="13">
        <f t="shared" ref="J37:K42" si="7">+_xlfn.MAXIFS($N37:$ZF37,$N$3:$ZF$3,K$3)</f>
        <v>0</v>
      </c>
      <c r="L37" s="11"/>
      <c r="N37">
        <v>3</v>
      </c>
      <c r="O37" s="12"/>
      <c r="P37" s="12">
        <v>0.5</v>
      </c>
      <c r="Q37" s="12"/>
      <c r="R37" s="12">
        <v>0.5</v>
      </c>
      <c r="U37">
        <v>3</v>
      </c>
      <c r="V37" s="12"/>
      <c r="W37" s="12">
        <v>0.8</v>
      </c>
      <c r="X37" s="12"/>
      <c r="Y37" s="12">
        <v>1</v>
      </c>
      <c r="AC37" s="12"/>
      <c r="AD37" s="12">
        <v>1</v>
      </c>
      <c r="AE37" s="12"/>
      <c r="AF37" s="12">
        <v>1</v>
      </c>
      <c r="AJ37" s="12"/>
      <c r="AK37" s="12">
        <v>1</v>
      </c>
      <c r="AL37" s="12"/>
      <c r="AM37" s="12">
        <v>1</v>
      </c>
      <c r="AQ37" s="12"/>
      <c r="AR37" s="12">
        <v>1</v>
      </c>
      <c r="AS37" s="12"/>
      <c r="AT37" s="12">
        <v>1</v>
      </c>
      <c r="AX37" s="12"/>
      <c r="AY37" s="12"/>
      <c r="AZ37" s="12"/>
      <c r="BA37" s="12"/>
      <c r="BE37" s="12"/>
      <c r="BF37" s="12"/>
      <c r="BG37" s="12"/>
      <c r="BH37" s="12"/>
      <c r="BK37" s="12"/>
      <c r="BL37" s="12"/>
      <c r="BM37" s="12"/>
      <c r="BN37" s="12"/>
    </row>
    <row r="38" spans="2:66" outlineLevel="1">
      <c r="B38" t="s">
        <v>29</v>
      </c>
      <c r="E38" s="11"/>
      <c r="F38" t="s">
        <v>78</v>
      </c>
      <c r="G38" s="12">
        <v>0.05</v>
      </c>
      <c r="I38" s="11">
        <f t="shared" ref="I38:I42" si="8">+SUMIF($N$3:$ZZ$3,I$3,$N38:$ZZ38)</f>
        <v>6</v>
      </c>
      <c r="J38" s="13">
        <f t="shared" si="7"/>
        <v>0</v>
      </c>
      <c r="K38" s="13">
        <f t="shared" si="7"/>
        <v>0</v>
      </c>
      <c r="L38" s="11"/>
      <c r="N38">
        <v>3</v>
      </c>
      <c r="O38" s="12"/>
      <c r="P38" s="12">
        <v>0.5</v>
      </c>
      <c r="Q38" s="12"/>
      <c r="R38" s="12">
        <v>0.5</v>
      </c>
      <c r="U38">
        <v>3</v>
      </c>
      <c r="V38" s="12"/>
      <c r="W38" s="12">
        <v>0.8</v>
      </c>
      <c r="X38" s="12"/>
      <c r="Y38" s="12">
        <v>1</v>
      </c>
      <c r="AC38" s="12"/>
      <c r="AD38" s="12">
        <v>1</v>
      </c>
      <c r="AE38" s="12"/>
      <c r="AF38" s="12">
        <v>1</v>
      </c>
      <c r="AJ38" s="12"/>
      <c r="AK38" s="12">
        <v>1</v>
      </c>
      <c r="AL38" s="12"/>
      <c r="AM38" s="12">
        <v>1</v>
      </c>
      <c r="AQ38" s="12"/>
      <c r="AR38" s="12">
        <v>1</v>
      </c>
      <c r="AS38" s="12"/>
      <c r="AT38" s="12">
        <v>1</v>
      </c>
      <c r="AX38" s="12"/>
      <c r="AY38" s="12"/>
      <c r="AZ38" s="12"/>
      <c r="BA38" s="12"/>
      <c r="BE38" s="12"/>
      <c r="BF38" s="12"/>
      <c r="BG38" s="12"/>
      <c r="BH38" s="12"/>
      <c r="BK38" s="12"/>
      <c r="BL38" s="12"/>
      <c r="BM38" s="12"/>
      <c r="BN38" s="12"/>
    </row>
    <row r="39" spans="2:66" outlineLevel="1">
      <c r="B39" t="s">
        <v>29</v>
      </c>
      <c r="E39" s="11"/>
      <c r="F39" t="s">
        <v>79</v>
      </c>
      <c r="G39" s="12">
        <v>0.05</v>
      </c>
      <c r="I39" s="11">
        <f t="shared" si="8"/>
        <v>12</v>
      </c>
      <c r="J39" s="13">
        <f t="shared" si="7"/>
        <v>0</v>
      </c>
      <c r="K39" s="13">
        <f t="shared" si="7"/>
        <v>0</v>
      </c>
      <c r="L39" s="11"/>
      <c r="N39">
        <v>3</v>
      </c>
      <c r="O39" s="12"/>
      <c r="P39" s="12">
        <v>0.3</v>
      </c>
      <c r="Q39" s="12"/>
      <c r="R39" s="12">
        <v>0.3</v>
      </c>
      <c r="U39">
        <v>3</v>
      </c>
      <c r="V39" s="12"/>
      <c r="W39" s="12">
        <v>0.5</v>
      </c>
      <c r="X39" s="12"/>
      <c r="Y39" s="12">
        <v>1</v>
      </c>
      <c r="AB39">
        <v>3</v>
      </c>
      <c r="AC39" s="12"/>
      <c r="AD39" s="12">
        <v>0.8</v>
      </c>
      <c r="AE39" s="12"/>
      <c r="AF39" s="12">
        <v>1</v>
      </c>
      <c r="AI39">
        <v>3</v>
      </c>
      <c r="AJ39" s="12"/>
      <c r="AK39" s="12">
        <v>1</v>
      </c>
      <c r="AL39" s="12"/>
      <c r="AM39" s="12">
        <v>1</v>
      </c>
      <c r="AQ39" s="12"/>
      <c r="AR39" s="12">
        <v>1</v>
      </c>
      <c r="AS39" s="12"/>
      <c r="AT39" s="12">
        <v>1</v>
      </c>
      <c r="AX39" s="12"/>
      <c r="AY39" s="12"/>
      <c r="AZ39" s="12"/>
      <c r="BA39" s="12"/>
      <c r="BE39" s="12"/>
      <c r="BF39" s="12"/>
      <c r="BG39" s="12"/>
      <c r="BH39" s="12"/>
      <c r="BK39" s="12"/>
      <c r="BL39" s="12"/>
      <c r="BM39" s="12"/>
      <c r="BN39" s="12"/>
    </row>
    <row r="40" spans="2:66" outlineLevel="1">
      <c r="B40" t="s">
        <v>29</v>
      </c>
      <c r="E40" s="11"/>
      <c r="F40" t="s">
        <v>80</v>
      </c>
      <c r="G40" s="12">
        <v>0.05</v>
      </c>
      <c r="I40" s="11">
        <f t="shared" si="8"/>
        <v>10</v>
      </c>
      <c r="J40" s="13">
        <f t="shared" si="7"/>
        <v>0</v>
      </c>
      <c r="K40" s="13">
        <f t="shared" si="7"/>
        <v>0</v>
      </c>
      <c r="L40" s="11"/>
      <c r="U40">
        <v>4</v>
      </c>
      <c r="V40" s="12"/>
      <c r="W40" s="12">
        <v>0.5</v>
      </c>
      <c r="X40" s="12"/>
      <c r="Y40" s="12">
        <v>1</v>
      </c>
      <c r="AB40">
        <v>3</v>
      </c>
      <c r="AC40" s="12"/>
      <c r="AD40" s="12">
        <v>0.8</v>
      </c>
      <c r="AE40" s="12"/>
      <c r="AF40" s="12">
        <v>1</v>
      </c>
      <c r="AI40">
        <v>3</v>
      </c>
      <c r="AJ40" s="12"/>
      <c r="AK40" s="12">
        <v>1</v>
      </c>
      <c r="AL40" s="12"/>
      <c r="AM40" s="12">
        <v>1</v>
      </c>
      <c r="AQ40" s="12"/>
      <c r="AR40" s="12">
        <v>1</v>
      </c>
      <c r="AS40" s="12"/>
      <c r="AT40" s="12">
        <v>1</v>
      </c>
      <c r="AX40" s="12"/>
      <c r="AY40" s="12"/>
      <c r="AZ40" s="12"/>
      <c r="BA40" s="12"/>
      <c r="BE40" s="12"/>
      <c r="BF40" s="12"/>
      <c r="BG40" s="12"/>
      <c r="BH40" s="12"/>
      <c r="BK40" s="12"/>
      <c r="BL40" s="12"/>
      <c r="BM40" s="12"/>
      <c r="BN40" s="12"/>
    </row>
    <row r="41" spans="2:66" outlineLevel="1">
      <c r="B41" t="s">
        <v>29</v>
      </c>
      <c r="E41" s="11"/>
      <c r="F41" t="s">
        <v>81</v>
      </c>
      <c r="G41" s="12">
        <v>0.05</v>
      </c>
      <c r="I41" s="11">
        <f t="shared" si="8"/>
        <v>11</v>
      </c>
      <c r="J41" s="13">
        <f t="shared" si="7"/>
        <v>0</v>
      </c>
      <c r="K41" s="13">
        <f t="shared" si="7"/>
        <v>0</v>
      </c>
      <c r="L41" s="11"/>
      <c r="AB41">
        <v>4</v>
      </c>
      <c r="AC41" s="12"/>
      <c r="AD41" s="12">
        <v>0.5</v>
      </c>
      <c r="AE41" s="12"/>
      <c r="AF41" s="12">
        <v>0.5</v>
      </c>
      <c r="AI41">
        <v>3</v>
      </c>
      <c r="AJ41" s="12"/>
      <c r="AK41" s="12">
        <v>0.8</v>
      </c>
      <c r="AL41" s="12"/>
      <c r="AM41" s="12">
        <v>0.8</v>
      </c>
      <c r="AP41">
        <v>4</v>
      </c>
      <c r="AQ41" s="12"/>
      <c r="AR41" s="12">
        <v>1</v>
      </c>
      <c r="AS41" s="12"/>
      <c r="AT41" s="12">
        <v>1</v>
      </c>
      <c r="AX41" s="12"/>
      <c r="AY41" s="12"/>
      <c r="AZ41" s="12"/>
      <c r="BA41" s="12"/>
      <c r="BE41" s="12"/>
      <c r="BF41" s="12"/>
      <c r="BG41" s="12"/>
      <c r="BH41" s="12"/>
      <c r="BK41" s="12"/>
      <c r="BL41" s="12"/>
      <c r="BM41" s="12"/>
      <c r="BN41" s="12"/>
    </row>
    <row r="42" spans="2:66" outlineLevel="1">
      <c r="B42" t="s">
        <v>29</v>
      </c>
      <c r="E42" s="11"/>
      <c r="F42" t="s">
        <v>82</v>
      </c>
      <c r="G42" s="12">
        <v>0.1</v>
      </c>
      <c r="I42" s="11">
        <f t="shared" si="8"/>
        <v>11</v>
      </c>
      <c r="J42" s="13">
        <f t="shared" si="7"/>
        <v>0</v>
      </c>
      <c r="K42" s="13">
        <f t="shared" si="7"/>
        <v>0</v>
      </c>
      <c r="L42" s="11"/>
      <c r="AB42">
        <v>4</v>
      </c>
      <c r="AC42" s="12"/>
      <c r="AD42" s="12">
        <v>0.5</v>
      </c>
      <c r="AE42" s="12"/>
      <c r="AF42" s="12">
        <v>0.5</v>
      </c>
      <c r="AI42">
        <v>3</v>
      </c>
      <c r="AJ42" s="12"/>
      <c r="AK42" s="12">
        <v>0.8</v>
      </c>
      <c r="AL42" s="12"/>
      <c r="AM42" s="12">
        <v>0.8</v>
      </c>
      <c r="AP42">
        <v>4</v>
      </c>
      <c r="AQ42" s="12"/>
      <c r="AR42" s="12">
        <v>1</v>
      </c>
      <c r="AS42" s="12"/>
      <c r="AT42" s="12">
        <v>1</v>
      </c>
      <c r="AX42" s="12"/>
      <c r="AY42" s="12"/>
      <c r="AZ42" s="12"/>
      <c r="BA42" s="12"/>
      <c r="BE42" s="12"/>
      <c r="BF42" s="12"/>
      <c r="BG42" s="12"/>
      <c r="BH42" s="12"/>
      <c r="BK42" s="12"/>
      <c r="BL42" s="12"/>
      <c r="BM42" s="12"/>
      <c r="BN42" s="12"/>
    </row>
    <row r="43" spans="2:66">
      <c r="O43" s="9"/>
      <c r="V43" s="9"/>
      <c r="AC43" s="9"/>
      <c r="AJ43" s="9"/>
      <c r="AQ43" s="9"/>
      <c r="AX43" s="9"/>
      <c r="BE43" s="9"/>
      <c r="BK43" s="9"/>
    </row>
  </sheetData>
  <mergeCells count="9">
    <mergeCell ref="BJ2:BO2"/>
    <mergeCell ref="I2:L2"/>
    <mergeCell ref="N2:S2"/>
    <mergeCell ref="BD2:BI2"/>
    <mergeCell ref="U2:Z2"/>
    <mergeCell ref="AB2:AG2"/>
    <mergeCell ref="AI2:AN2"/>
    <mergeCell ref="AP2:AU2"/>
    <mergeCell ref="AW2:BB2"/>
  </mergeCells>
  <conditionalFormatting sqref="AQ5:AQ13 AS5:AS13 BE5:BE13 BG5:BG13 AX5:AX13 AZ5:AZ13 BK5:BK13 BM5:BM13 AQ37:AQ42 AS37:AS42 BE37:BE42 BG37:BG42 AX37:AX42 AZ37:AZ42 BK37:BK42 BM37:BM42 AQ27:AQ29 AS27:AS29 BE27:BE29 BG27:BG29 AX27:AX29 AZ27:AZ29 BK27:BK29 BM27:BM29 AJ5:AJ13 AL5:AL13 AC5:AC13 AE5:AE13 O5:O13 Q5:Q10 V5:V13 X5:X13 AJ27:AJ29 AL27:AL29 AJ37:AJ42 AL37:AL42 AC37:AC42 AE37:AE42 V37:V40 X37:X40 O37:O39 Q37:Q39 P11:R13">
    <cfRule type="expression" dxfId="82" priority="269">
      <formula>OR(IF(O5&lt;P5,TRUE),IF(AND(P5="",O5&lt;&gt;""),TRUE))</formula>
    </cfRule>
    <cfRule type="expression" dxfId="81" priority="270">
      <formula>IF(O5&gt;=P5,IF(O5="",FALSE,TRUE))</formula>
    </cfRule>
  </conditionalFormatting>
  <conditionalFormatting sqref="AJ31:AJ35">
    <cfRule type="expression" dxfId="80" priority="140">
      <formula>OR(IF(AJ31&lt;AK31,TRUE),IF(AND(AK31="",AJ31&lt;&gt;""),TRUE))</formula>
    </cfRule>
    <cfRule type="expression" dxfId="79" priority="141">
      <formula>IF(AJ31&gt;=AK31,IF(AJ31="",FALSE,TRUE))</formula>
    </cfRule>
  </conditionalFormatting>
  <conditionalFormatting sqref="AL31:AL35">
    <cfRule type="expression" dxfId="78" priority="138">
      <formula>OR(IF(AL31&lt;AM31,TRUE),IF(AND(AM31="",AL31&lt;&gt;""),TRUE))</formula>
    </cfRule>
    <cfRule type="expression" dxfId="77" priority="139">
      <formula>IF(AL31&gt;=AM31,IF(AL31="",FALSE,TRUE))</formula>
    </cfRule>
  </conditionalFormatting>
  <conditionalFormatting sqref="AQ16:AQ26">
    <cfRule type="expression" dxfId="76" priority="136">
      <formula>OR(IF(AQ16&lt;AR16,TRUE),IF(AND(AR16="",AQ16&lt;&gt;""),TRUE))</formula>
    </cfRule>
    <cfRule type="expression" dxfId="75" priority="137">
      <formula>IF(AQ16&gt;=AR16,IF(AQ16="",FALSE,TRUE))</formula>
    </cfRule>
  </conditionalFormatting>
  <conditionalFormatting sqref="J31:K35">
    <cfRule type="colorScale" priority="212">
      <colorScale>
        <cfvo type="percent" val="0"/>
        <cfvo type="percent" val="100"/>
        <color rgb="FFFF231B"/>
        <color rgb="FF10FF07"/>
      </colorScale>
    </cfRule>
  </conditionalFormatting>
  <conditionalFormatting sqref="AX31:AX35">
    <cfRule type="expression" dxfId="74" priority="108">
      <formula>OR(IF(AX31&lt;AY31,TRUE),IF(AND(AY31="",AX31&lt;&gt;""),TRUE))</formula>
    </cfRule>
    <cfRule type="expression" dxfId="73" priority="109">
      <formula>IF(AX31&gt;=AY31,IF(AX31="",FALSE,TRUE))</formula>
    </cfRule>
  </conditionalFormatting>
  <conditionalFormatting sqref="AZ31:AZ35">
    <cfRule type="expression" dxfId="72" priority="106">
      <formula>OR(IF(AZ31&lt;BA31,TRUE),IF(AND(BA31="",AZ31&lt;&gt;""),TRUE))</formula>
    </cfRule>
    <cfRule type="expression" dxfId="71" priority="107">
      <formula>IF(AZ31&gt;=BA31,IF(AZ31="",FALSE,TRUE))</formula>
    </cfRule>
  </conditionalFormatting>
  <conditionalFormatting sqref="BE16:BE26">
    <cfRule type="expression" dxfId="70" priority="104">
      <formula>OR(IF(BE16&lt;BF16,TRUE),IF(AND(BF16="",BE16&lt;&gt;""),TRUE))</formula>
    </cfRule>
    <cfRule type="expression" dxfId="69" priority="105">
      <formula>IF(BE16&gt;=BF16,IF(BE16="",FALSE,TRUE))</formula>
    </cfRule>
  </conditionalFormatting>
  <conditionalFormatting sqref="Q31:Q35">
    <cfRule type="expression" dxfId="68" priority="186">
      <formula>OR(IF(Q31&lt;R31,TRUE),IF(AND(R31="",Q31&lt;&gt;""),TRUE))</formula>
    </cfRule>
    <cfRule type="expression" dxfId="67" priority="187">
      <formula>IF(Q31&gt;=R31,IF(Q31="",FALSE,TRUE))</formula>
    </cfRule>
  </conditionalFormatting>
  <conditionalFormatting sqref="O31:O35">
    <cfRule type="expression" dxfId="66" priority="188">
      <formula>OR(IF(O31&lt;P31,TRUE),IF(AND(P31="",O31&lt;&gt;""),TRUE))</formula>
    </cfRule>
    <cfRule type="expression" dxfId="65" priority="189">
      <formula>IF(O31&gt;=P31,IF(O31="",FALSE,TRUE))</formula>
    </cfRule>
  </conditionalFormatting>
  <conditionalFormatting sqref="BG31:BG35">
    <cfRule type="expression" dxfId="64" priority="90">
      <formula>OR(IF(BG31&lt;BH31,TRUE),IF(AND(BH31="",BG31&lt;&gt;""),TRUE))</formula>
    </cfRule>
    <cfRule type="expression" dxfId="63" priority="91">
      <formula>IF(BG31&gt;=BH31,IF(BG31="",FALSE,TRUE))</formula>
    </cfRule>
  </conditionalFormatting>
  <conditionalFormatting sqref="X31:X35">
    <cfRule type="expression" dxfId="62" priority="170">
      <formula>OR(IF(X31&lt;Y31,TRUE),IF(AND(Y31="",X31&lt;&gt;""),TRUE))</formula>
    </cfRule>
    <cfRule type="expression" dxfId="61" priority="171">
      <formula>IF(X31&gt;=Y31,IF(X31="",FALSE,TRUE))</formula>
    </cfRule>
  </conditionalFormatting>
  <conditionalFormatting sqref="V31:V35">
    <cfRule type="expression" dxfId="60" priority="172">
      <formula>OR(IF(V31&lt;W31,TRUE),IF(AND(W31="",V31&lt;&gt;""),TRUE))</formula>
    </cfRule>
    <cfRule type="expression" dxfId="59" priority="173">
      <formula>IF(V31&gt;=W31,IF(V31="",FALSE,TRUE))</formula>
    </cfRule>
  </conditionalFormatting>
  <conditionalFormatting sqref="AE31:AE35">
    <cfRule type="expression" dxfId="58" priority="154">
      <formula>OR(IF(AE31&lt;AF31,TRUE),IF(AND(AF31="",AE31&lt;&gt;""),TRUE))</formula>
    </cfRule>
    <cfRule type="expression" dxfId="57" priority="155">
      <formula>IF(AE31&gt;=AF31,IF(AE31="",FALSE,TRUE))</formula>
    </cfRule>
  </conditionalFormatting>
  <conditionalFormatting sqref="AC31:AC35">
    <cfRule type="expression" dxfId="56" priority="156">
      <formula>OR(IF(AC31&lt;AD31,TRUE),IF(AND(AD31="",AC31&lt;&gt;""),TRUE))</formula>
    </cfRule>
    <cfRule type="expression" dxfId="55" priority="157">
      <formula>IF(AC31&gt;=AD31,IF(AC31="",FALSE,TRUE))</formula>
    </cfRule>
  </conditionalFormatting>
  <conditionalFormatting sqref="AS31:AS35">
    <cfRule type="expression" dxfId="54" priority="122">
      <formula>OR(IF(AS31&lt;AT31,TRUE),IF(AND(AT31="",AS31&lt;&gt;""),TRUE))</formula>
    </cfRule>
    <cfRule type="expression" dxfId="53" priority="123">
      <formula>IF(AS31&gt;=AT31,IF(AS31="",FALSE,TRUE))</formula>
    </cfRule>
  </conditionalFormatting>
  <conditionalFormatting sqref="AQ31:AQ35">
    <cfRule type="expression" dxfId="52" priority="124">
      <formula>OR(IF(AQ31&lt;AR31,TRUE),IF(AND(AR31="",AQ31&lt;&gt;""),TRUE))</formula>
    </cfRule>
    <cfRule type="expression" dxfId="51" priority="125">
      <formula>IF(AQ31&gt;=AR31,IF(AQ31="",FALSE,TRUE))</formula>
    </cfRule>
  </conditionalFormatting>
  <conditionalFormatting sqref="AX16:AX26">
    <cfRule type="expression" dxfId="50" priority="120">
      <formula>OR(IF(AX16&lt;AY16,TRUE),IF(AND(AY16="",AX16&lt;&gt;""),TRUE))</formula>
    </cfRule>
    <cfRule type="expression" dxfId="49" priority="121">
      <formula>IF(AX16&gt;=AY16,IF(AX16="",FALSE,TRUE))</formula>
    </cfRule>
  </conditionalFormatting>
  <conditionalFormatting sqref="BE31:BE35">
    <cfRule type="expression" dxfId="48" priority="92">
      <formula>OR(IF(BE31&lt;BF31,TRUE),IF(AND(BF31="",BE31&lt;&gt;""),TRUE))</formula>
    </cfRule>
    <cfRule type="expression" dxfId="47" priority="93">
      <formula>IF(BE31&gt;=BF31,IF(BE31="",FALSE,TRUE))</formula>
    </cfRule>
  </conditionalFormatting>
  <conditionalFormatting sqref="J16:K26">
    <cfRule type="colorScale" priority="89">
      <colorScale>
        <cfvo type="percent" val="0"/>
        <cfvo type="percent" val="100"/>
        <color rgb="FFFF231B"/>
        <color rgb="FF10FF07"/>
      </colorScale>
    </cfRule>
  </conditionalFormatting>
  <conditionalFormatting sqref="AS16:AS26">
    <cfRule type="expression" dxfId="46" priority="79">
      <formula>OR(IF(AS16&lt;AT16,TRUE),IF(AND(AT16="",AS16&lt;&gt;""),TRUE))</formula>
    </cfRule>
    <cfRule type="expression" dxfId="45" priority="80">
      <formula>IF(AS16&gt;=AT16,IF(AS16="",FALSE,TRUE))</formula>
    </cfRule>
  </conditionalFormatting>
  <conditionalFormatting sqref="BG16:BG26">
    <cfRule type="expression" dxfId="44" priority="75">
      <formula>OR(IF(BG16&lt;BH16,TRUE),IF(AND(BH16="",BG16&lt;&gt;""),TRUE))</formula>
    </cfRule>
    <cfRule type="expression" dxfId="43" priority="76">
      <formula>IF(BG16&gt;=BH16,IF(BG16="",FALSE,TRUE))</formula>
    </cfRule>
  </conditionalFormatting>
  <conditionalFormatting sqref="AZ16:AZ26">
    <cfRule type="expression" dxfId="42" priority="77">
      <formula>OR(IF(AZ16&lt;BA16,TRUE),IF(AND(BA16="",AZ16&lt;&gt;""),TRUE))</formula>
    </cfRule>
    <cfRule type="expression" dxfId="41" priority="78">
      <formula>IF(AZ16&gt;=BA16,IF(AZ16="",FALSE,TRUE))</formula>
    </cfRule>
  </conditionalFormatting>
  <conditionalFormatting sqref="BK31:BK35">
    <cfRule type="expression" dxfId="40" priority="26">
      <formula>OR(IF(BK31&lt;BL31,TRUE),IF(AND(BL31="",BK31&lt;&gt;""),TRUE))</formula>
    </cfRule>
    <cfRule type="expression" dxfId="39" priority="27">
      <formula>IF(BK31&gt;=BL31,IF(BK31="",FALSE,TRUE))</formula>
    </cfRule>
  </conditionalFormatting>
  <conditionalFormatting sqref="BM31:BM35">
    <cfRule type="expression" dxfId="38" priority="24">
      <formula>OR(IF(BM31&lt;BN31,TRUE),IF(AND(BN31="",BM31&lt;&gt;""),TRUE))</formula>
    </cfRule>
    <cfRule type="expression" dxfId="37" priority="25">
      <formula>IF(BM31&gt;=BN31,IF(BM31="",FALSE,TRUE))</formula>
    </cfRule>
  </conditionalFormatting>
  <conditionalFormatting sqref="BK16:BK26">
    <cfRule type="expression" dxfId="36" priority="30">
      <formula>OR(IF(BK16&lt;BL16,TRUE),IF(AND(BL16="",BK16&lt;&gt;""),TRUE))</formula>
    </cfRule>
    <cfRule type="expression" dxfId="35" priority="31">
      <formula>IF(BK16&gt;=BL16,IF(BK16="",FALSE,TRUE))</formula>
    </cfRule>
  </conditionalFormatting>
  <conditionalFormatting sqref="BM16:BM26">
    <cfRule type="expression" dxfId="34" priority="22">
      <formula>OR(IF(BM16&lt;BN16,TRUE),IF(AND(BN16="",BM16&lt;&gt;""),TRUE))</formula>
    </cfRule>
    <cfRule type="expression" dxfId="33" priority="23">
      <formula>IF(BM16&gt;=BN16,IF(BM16="",FALSE,TRUE))</formula>
    </cfRule>
  </conditionalFormatting>
  <conditionalFormatting sqref="J5:K13">
    <cfRule type="colorScale" priority="272">
      <colorScale>
        <cfvo type="percent" val="0"/>
        <cfvo type="percent" val="100"/>
        <color rgb="FFFF231B"/>
        <color rgb="FF10FF07"/>
      </colorScale>
    </cfRule>
  </conditionalFormatting>
  <conditionalFormatting sqref="J37:K42">
    <cfRule type="colorScale" priority="273">
      <colorScale>
        <cfvo type="percent" val="0"/>
        <cfvo type="percent" val="100"/>
        <color rgb="FFFF231B"/>
        <color rgb="FF10FF07"/>
      </colorScale>
    </cfRule>
  </conditionalFormatting>
  <conditionalFormatting sqref="J27:K29">
    <cfRule type="colorScale" priority="17">
      <colorScale>
        <cfvo type="percent" val="0"/>
        <cfvo type="percent" val="100"/>
        <color rgb="FFFF231B"/>
        <color rgb="FF10FF07"/>
      </colorScale>
    </cfRule>
  </conditionalFormatting>
  <conditionalFormatting sqref="AJ16:AJ26">
    <cfRule type="expression" dxfId="32" priority="15">
      <formula>OR(IF(AJ16&lt;AK16,TRUE),IF(AND(AK16="",AJ16&lt;&gt;""),TRUE))</formula>
    </cfRule>
    <cfRule type="expression" dxfId="31" priority="16">
      <formula>IF(AJ16&gt;=AK16,IF(AJ16="",FALSE,TRUE))</formula>
    </cfRule>
  </conditionalFormatting>
  <conditionalFormatting sqref="AL16:AL26">
    <cfRule type="expression" dxfId="30" priority="13">
      <formula>OR(IF(AL16&lt;AM16,TRUE),IF(AND(AM16="",AL16&lt;&gt;""),TRUE))</formula>
    </cfRule>
    <cfRule type="expression" dxfId="29" priority="14">
      <formula>IF(AL16&gt;=AM16,IF(AL16="",FALSE,TRUE))</formula>
    </cfRule>
  </conditionalFormatting>
  <conditionalFormatting sqref="AC16:AC26">
    <cfRule type="expression" dxfId="28" priority="11">
      <formula>OR(IF(AC16&lt;AD16,TRUE),IF(AND(AD16="",AC16&lt;&gt;""),TRUE))</formula>
    </cfRule>
    <cfRule type="expression" dxfId="27" priority="12">
      <formula>IF(AC16&gt;=AD16,IF(AC16="",FALSE,TRUE))</formula>
    </cfRule>
  </conditionalFormatting>
  <conditionalFormatting sqref="AE16:AE26">
    <cfRule type="expression" dxfId="26" priority="9">
      <formula>OR(IF(AE16&lt;AF16,TRUE),IF(AND(AF16="",AE16&lt;&gt;""),TRUE))</formula>
    </cfRule>
    <cfRule type="expression" dxfId="25" priority="10">
      <formula>IF(AE16&gt;=AF16,IF(AE16="",FALSE,TRUE))</formula>
    </cfRule>
  </conditionalFormatting>
  <conditionalFormatting sqref="V16:V23">
    <cfRule type="expression" dxfId="24" priority="7">
      <formula>OR(IF(V16&lt;W16,TRUE),IF(AND(W16="",V16&lt;&gt;""),TRUE))</formula>
    </cfRule>
    <cfRule type="expression" dxfId="23" priority="8">
      <formula>IF(V16&gt;=W16,IF(V16="",FALSE,TRUE))</formula>
    </cfRule>
  </conditionalFormatting>
  <conditionalFormatting sqref="X16:X23">
    <cfRule type="expression" dxfId="22" priority="5">
      <formula>OR(IF(X16&lt;Y16,TRUE),IF(AND(Y16="",X16&lt;&gt;""),TRUE))</formula>
    </cfRule>
    <cfRule type="expression" dxfId="21" priority="6">
      <formula>IF(X16&gt;=Y16,IF(X16="",FALSE,TRUE))</formula>
    </cfRule>
  </conditionalFormatting>
  <conditionalFormatting sqref="O16:O23">
    <cfRule type="expression" dxfId="20" priority="3">
      <formula>OR(IF(O16&lt;P16,TRUE),IF(AND(P16="",O16&lt;&gt;""),TRUE))</formula>
    </cfRule>
    <cfRule type="expression" dxfId="19" priority="4">
      <formula>IF(O16&gt;=P16,IF(O16="",FALSE,TRUE))</formula>
    </cfRule>
  </conditionalFormatting>
  <conditionalFormatting sqref="Q16:Q23">
    <cfRule type="expression" dxfId="18" priority="1">
      <formula>OR(IF(Q16&lt;R16,TRUE),IF(AND(R16="",Q16&lt;&gt;""),TRUE))</formula>
    </cfRule>
    <cfRule type="expression" dxfId="17" priority="2">
      <formula>IF(Q16&gt;=R16,IF(Q16="",FALSE,TRUE))</formula>
    </cfRule>
  </conditionalFormatting>
  <dataValidations disablePrompts="1" count="1">
    <dataValidation type="list" allowBlank="1" showInputMessage="1" showErrorMessage="1" sqref="O31:R35 V37:X40 AC31:AF35 AX31:BA35 AC16:AF26 AJ31:AM35 AQ31:AT35 AC5:AF13 AX5:BA13 BE31:BH35 V31:Y35 V16:Y23 AQ5:AT13 BE5:BH13 AJ16:AM29 AJ5:AM13 AX16:BA29 V5:Y13 AQ16:AT29 BE16:BH29 BK31:BN35 O16:R23 AC37:AF42 AJ37:AM42 AX37:BA42 O5:R13 AQ37:AT42 BE37:BH42 BK16:BN29 BK5:BN13 BK37:BN42 O37:R39 Y37:Y40"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4" sqref="D4"/>
    </sheetView>
  </sheetViews>
  <sheetFormatPr baseColWidth="10"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46</v>
      </c>
      <c r="B1" s="16" t="s">
        <v>43</v>
      </c>
      <c r="C1" s="16" t="s">
        <v>44</v>
      </c>
      <c r="D1" s="16" t="s">
        <v>45</v>
      </c>
      <c r="E1" s="1" t="s">
        <v>47</v>
      </c>
      <c r="F1" s="1" t="s">
        <v>48</v>
      </c>
      <c r="G1" s="1" t="s">
        <v>49</v>
      </c>
      <c r="H1" s="1" t="s">
        <v>50</v>
      </c>
      <c r="I1" s="1" t="s">
        <v>51</v>
      </c>
      <c r="J1" s="1" t="s">
        <v>52</v>
      </c>
      <c r="K1" s="1" t="s">
        <v>53</v>
      </c>
    </row>
    <row r="2" spans="1:11">
      <c r="A2" s="15">
        <v>44861</v>
      </c>
      <c r="D2" s="17">
        <v>1</v>
      </c>
    </row>
    <row r="3" spans="1:11">
      <c r="A3" s="15">
        <v>44862</v>
      </c>
    </row>
    <row r="4" spans="1:11">
      <c r="A4" s="15">
        <v>44863</v>
      </c>
    </row>
    <row r="5" spans="1:11">
      <c r="A5" s="15">
        <v>44864</v>
      </c>
    </row>
    <row r="6" spans="1:11">
      <c r="A6" s="15">
        <v>44865</v>
      </c>
    </row>
    <row r="7" spans="1:11">
      <c r="A7" s="15">
        <v>44866</v>
      </c>
    </row>
    <row r="8" spans="1:11">
      <c r="A8" s="15">
        <v>44867</v>
      </c>
    </row>
    <row r="9" spans="1:11">
      <c r="A9" s="15">
        <v>44868</v>
      </c>
    </row>
    <row r="10" spans="1:11">
      <c r="A10" s="15">
        <v>44869</v>
      </c>
    </row>
    <row r="11" spans="1:11">
      <c r="A11" s="15">
        <v>44870</v>
      </c>
    </row>
    <row r="12" spans="1:11">
      <c r="A12" s="15">
        <v>44871</v>
      </c>
    </row>
    <row r="13" spans="1:11">
      <c r="A13" s="15">
        <v>44872</v>
      </c>
    </row>
    <row r="14" spans="1:11">
      <c r="A14" s="15">
        <v>44873</v>
      </c>
    </row>
    <row r="15" spans="1:11">
      <c r="A15" s="15">
        <v>44874</v>
      </c>
    </row>
    <row r="16" spans="1:11">
      <c r="A16" s="15">
        <v>44875</v>
      </c>
    </row>
    <row r="17" spans="1:1">
      <c r="A17" s="15">
        <v>44876</v>
      </c>
    </row>
    <row r="18" spans="1:1">
      <c r="A18" s="15">
        <v>44877</v>
      </c>
    </row>
    <row r="19" spans="1:1">
      <c r="A19" s="15">
        <v>44878</v>
      </c>
    </row>
    <row r="20" spans="1:1">
      <c r="A20" s="15">
        <v>44879</v>
      </c>
    </row>
    <row r="21" spans="1:1">
      <c r="A21" s="15">
        <v>44880</v>
      </c>
    </row>
    <row r="22" spans="1:1">
      <c r="A22" s="15">
        <v>44881</v>
      </c>
    </row>
    <row r="23" spans="1:1">
      <c r="A23" s="15">
        <v>44882</v>
      </c>
    </row>
    <row r="24" spans="1:1">
      <c r="A24" s="15">
        <v>44883</v>
      </c>
    </row>
    <row r="25" spans="1:1">
      <c r="A25" s="15">
        <v>44884</v>
      </c>
    </row>
    <row r="26" spans="1:1">
      <c r="A26" s="15">
        <v>44885</v>
      </c>
    </row>
    <row r="27" spans="1:1">
      <c r="A27" s="15">
        <v>44886</v>
      </c>
    </row>
    <row r="28" spans="1:1">
      <c r="A28" s="15">
        <v>44887</v>
      </c>
    </row>
    <row r="29" spans="1:1">
      <c r="A29" s="15">
        <v>44888</v>
      </c>
    </row>
    <row r="30" spans="1:1">
      <c r="A30" s="15">
        <v>44889</v>
      </c>
    </row>
    <row r="31" spans="1:1">
      <c r="A31" s="15">
        <v>44890</v>
      </c>
    </row>
    <row r="32" spans="1:1">
      <c r="A32" s="15">
        <v>44891</v>
      </c>
    </row>
    <row r="33" spans="1:1">
      <c r="A33" s="15">
        <v>44892</v>
      </c>
    </row>
    <row r="34" spans="1:1">
      <c r="A34" s="15">
        <v>44893</v>
      </c>
    </row>
    <row r="35" spans="1:1">
      <c r="A35" s="15">
        <v>44894</v>
      </c>
    </row>
    <row r="36" spans="1:1">
      <c r="A36" s="15">
        <v>44895</v>
      </c>
    </row>
    <row r="37" spans="1:1">
      <c r="A37" s="15">
        <v>44896</v>
      </c>
    </row>
    <row r="38" spans="1:1">
      <c r="A38" s="15">
        <v>44897</v>
      </c>
    </row>
    <row r="39" spans="1:1">
      <c r="A39" s="15">
        <v>44898</v>
      </c>
    </row>
    <row r="40" spans="1:1">
      <c r="A40" s="15">
        <v>44899</v>
      </c>
    </row>
    <row r="41" spans="1:1">
      <c r="A41" s="15">
        <v>44900</v>
      </c>
    </row>
    <row r="42" spans="1:1">
      <c r="A42" s="15">
        <v>44901</v>
      </c>
    </row>
    <row r="43" spans="1:1">
      <c r="A43" s="15">
        <v>44902</v>
      </c>
    </row>
    <row r="44" spans="1:1">
      <c r="A44" s="15">
        <v>44903</v>
      </c>
    </row>
    <row r="45" spans="1:1">
      <c r="A45" s="15">
        <v>44904</v>
      </c>
    </row>
    <row r="46" spans="1:1">
      <c r="A46" s="15">
        <v>44905</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E29" sqref="E29"/>
    </sheetView>
  </sheetViews>
  <sheetFormatPr baseColWidth="10" defaultColWidth="10.625" defaultRowHeight="15.75"/>
  <sheetData>
    <row r="1" spans="1:8" ht="26.25">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Tabelle1</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Hendrik Kramer</cp:lastModifiedBy>
  <dcterms:created xsi:type="dcterms:W3CDTF">2020-04-19T13:33:28Z</dcterms:created>
  <dcterms:modified xsi:type="dcterms:W3CDTF">2022-10-26T12:14:16Z</dcterms:modified>
</cp:coreProperties>
</file>