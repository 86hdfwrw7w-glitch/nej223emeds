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https://d.docs.live.net/74111a0e1ab37060/Studium/BWL Studienplanung/"/>
    </mc:Choice>
  </mc:AlternateContent>
  <xr:revisionPtr revIDLastSave="2441" documentId="8_{118753FF-14E3-2543-94F8-7A65325A4031}" xr6:coauthVersionLast="47" xr6:coauthVersionMax="47" xr10:uidLastSave="{DB398EBE-05D3-D343-AEF0-2BD4E5F23669}"/>
  <bookViews>
    <workbookView xWindow="0" yWindow="780" windowWidth="34200" windowHeight="19660" activeTab="1" xr2:uid="{50F29292-BE80-0C47-A0D2-DD086CB3D310}"/>
  </bookViews>
  <sheets>
    <sheet name="ANLEITUNG" sheetId="10" r:id="rId1"/>
    <sheet name="Semesterplan" sheetId="7" r:id="rId2"/>
    <sheet name="Best-Practices" sheetId="2" r:id="rId3"/>
    <sheet name="COMMITTMENT" sheetId="9" r:id="rId4"/>
    <sheet name="Wochenplan KW 38" sheetId="3" r:id="rId5"/>
    <sheet name="Wochenplan KW 39" sheetId="8" r:id="rId6"/>
    <sheet name="Wochenplan KW 40" sheetId="11" r:id="rId7"/>
    <sheet name="Wochenplan KW 41" sheetId="12" r:id="rId8"/>
    <sheet name="Wochenplan KW 42" sheetId="13" r:id="rId9"/>
    <sheet name="Wochenplan KW 43" sheetId="14" r:id="rId10"/>
    <sheet name="Wochenplan KW 44" sheetId="15" r:id="rId11"/>
    <sheet name="Wochenplan KW 45" sheetId="16" r:id="rId12"/>
    <sheet name="Wochenplan KW 46" sheetId="17" r:id="rId13"/>
    <sheet name="Wochenplan KW 47" sheetId="18" r:id="rId14"/>
    <sheet name="Wochenplan KW 48" sheetId="19" r:id="rId15"/>
    <sheet name="Wochenplan KW 49" sheetId="20" r:id="rId16"/>
    <sheet name="Wochenplan KW 50" sheetId="21" r:id="rId17"/>
    <sheet name="Wochenplan KW 51" sheetId="22" r:id="rId18"/>
    <sheet name="Wochenplan KW 52" sheetId="23" r:id="rId19"/>
    <sheet name="Wochenplan KW 1" sheetId="24" r:id="rId20"/>
    <sheet name="Wochenplan KW 2" sheetId="25" r:id="rId21"/>
    <sheet name="Prüfungswoche 1" sheetId="26" r:id="rId22"/>
    <sheet name="Prüfungswoche 2" sheetId="27"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4" i="10" l="1"/>
  <c r="K35" i="10"/>
  <c r="K36" i="10"/>
  <c r="K37" i="10"/>
  <c r="K38" i="10"/>
  <c r="K39" i="10"/>
  <c r="K40" i="10"/>
  <c r="K41" i="10"/>
  <c r="CM52" i="7"/>
  <c r="CF52" i="7"/>
  <c r="BY52" i="7"/>
  <c r="BR52" i="7"/>
  <c r="BK52" i="7"/>
  <c r="BD52" i="7"/>
  <c r="AW52" i="7"/>
  <c r="CM38" i="7"/>
  <c r="CF38" i="7"/>
  <c r="BY38" i="7"/>
  <c r="BR38" i="7"/>
  <c r="BK38" i="7"/>
  <c r="BD38" i="7"/>
  <c r="AW38" i="7"/>
  <c r="CM15" i="7"/>
  <c r="CM27" i="7"/>
  <c r="CF27" i="7"/>
  <c r="BY27" i="7"/>
  <c r="BR27" i="7"/>
  <c r="BK27" i="7"/>
  <c r="BD27" i="7"/>
  <c r="AW27" i="7"/>
  <c r="CF15" i="7"/>
  <c r="BY15" i="7"/>
  <c r="BR15" i="7"/>
  <c r="BK15" i="7"/>
  <c r="BD15" i="7"/>
  <c r="AW15" i="7"/>
  <c r="D38" i="10"/>
  <c r="G38" i="10"/>
  <c r="H38" i="10" s="1"/>
  <c r="K94" i="7" a="1"/>
  <c r="K94" i="7" s="1"/>
  <c r="J94" i="7" a="1"/>
  <c r="J94" i="7" s="1"/>
  <c r="K93" i="7" a="1"/>
  <c r="K93" i="7" s="1"/>
  <c r="J93" i="7" a="1"/>
  <c r="J93" i="7" s="1"/>
  <c r="K48" i="7" a="1"/>
  <c r="K48" i="7" s="1"/>
  <c r="J48" i="7" a="1"/>
  <c r="J48" i="7" s="1"/>
  <c r="I48" i="7"/>
  <c r="K49" i="7" a="1"/>
  <c r="K49" i="7" s="1"/>
  <c r="J49" i="7" a="1"/>
  <c r="J49" i="7" s="1"/>
  <c r="I49" i="7"/>
  <c r="I50" i="7"/>
  <c r="J50" i="7" a="1"/>
  <c r="J50" i="7" s="1"/>
  <c r="K50" i="7" a="1"/>
  <c r="K50" i="7" s="1"/>
  <c r="K25" i="7" a="1"/>
  <c r="K25" i="7" s="1"/>
  <c r="J25" i="7" a="1"/>
  <c r="J25" i="7" s="1"/>
  <c r="I25" i="7"/>
  <c r="G34" i="10"/>
  <c r="H34" i="10" s="1"/>
  <c r="G35" i="10"/>
  <c r="H35" i="10" s="1"/>
  <c r="G36" i="10"/>
  <c r="H36" i="10" s="1"/>
  <c r="G37" i="10"/>
  <c r="H37" i="10" s="1"/>
  <c r="G39" i="10"/>
  <c r="H39" i="10" s="1"/>
  <c r="G40" i="10"/>
  <c r="H40" i="10" s="1"/>
  <c r="G41" i="10"/>
  <c r="H41" i="10" s="1"/>
  <c r="D34" i="10"/>
  <c r="D35" i="10"/>
  <c r="D36" i="10"/>
  <c r="D37" i="10"/>
  <c r="D39" i="10"/>
  <c r="D40" i="10"/>
  <c r="D41" i="10"/>
  <c r="D27" i="10"/>
  <c r="D28" i="10"/>
  <c r="D29" i="10"/>
  <c r="D26" i="10"/>
  <c r="C24" i="10"/>
  <c r="D24" i="10" s="1"/>
  <c r="C11" i="10"/>
  <c r="C12" i="10" s="1"/>
  <c r="K89" i="7" a="1"/>
  <c r="K89" i="7" s="1"/>
  <c r="J89" i="7" a="1"/>
  <c r="J89" i="7" s="1"/>
  <c r="K88" i="7" a="1"/>
  <c r="K88" i="7" s="1"/>
  <c r="J88" i="7" a="1"/>
  <c r="J88" i="7" s="1"/>
  <c r="K87" i="7" a="1"/>
  <c r="K87" i="7" s="1"/>
  <c r="J87" i="7" a="1"/>
  <c r="J87" i="7" s="1"/>
  <c r="K86" i="7" a="1"/>
  <c r="K86" i="7" s="1"/>
  <c r="J86" i="7" a="1"/>
  <c r="J86" i="7" s="1"/>
  <c r="K77" i="7" a="1"/>
  <c r="K77" i="7" s="1"/>
  <c r="J77" i="7" a="1"/>
  <c r="J77" i="7" s="1"/>
  <c r="K76" i="7" a="1"/>
  <c r="K76" i="7" s="1"/>
  <c r="J76" i="7" a="1"/>
  <c r="J76" i="7" s="1"/>
  <c r="K75" i="7" a="1"/>
  <c r="K75" i="7" s="1"/>
  <c r="J75" i="7" a="1"/>
  <c r="J75" i="7" s="1"/>
  <c r="K74" i="7" a="1"/>
  <c r="K74" i="7" s="1"/>
  <c r="J74" i="7" a="1"/>
  <c r="J74" i="7" s="1"/>
  <c r="K19" i="7" a="1"/>
  <c r="K19" i="7" s="1"/>
  <c r="J19" i="7" a="1"/>
  <c r="J19" i="7" s="1"/>
  <c r="K18" i="7" a="1"/>
  <c r="K18" i="7" s="1"/>
  <c r="J18" i="7" a="1"/>
  <c r="J18" i="7" s="1"/>
  <c r="K43" i="7" a="1"/>
  <c r="K43" i="7" s="1"/>
  <c r="J43" i="7" a="1"/>
  <c r="J43" i="7" s="1"/>
  <c r="I43" i="7"/>
  <c r="K42" i="7" a="1"/>
  <c r="K42" i="7" s="1"/>
  <c r="J42" i="7" a="1"/>
  <c r="J42" i="7" s="1"/>
  <c r="I42" i="7"/>
  <c r="K41" i="7" a="1"/>
  <c r="K41" i="7" s="1"/>
  <c r="J41" i="7" a="1"/>
  <c r="J41" i="7" s="1"/>
  <c r="I41" i="7"/>
  <c r="K12" i="7" a="1"/>
  <c r="K12" i="7" s="1"/>
  <c r="J12" i="7" a="1"/>
  <c r="J12" i="7" s="1"/>
  <c r="K11" i="7" a="1"/>
  <c r="K11" i="7" s="1"/>
  <c r="J11" i="7" a="1"/>
  <c r="J11" i="7" s="1"/>
  <c r="K10" i="7" a="1"/>
  <c r="K10" i="7" s="1"/>
  <c r="J10" i="7" a="1"/>
  <c r="J10" i="7" s="1"/>
  <c r="K9" i="7" a="1"/>
  <c r="K9" i="7" s="1"/>
  <c r="J9" i="7" a="1"/>
  <c r="J9" i="7" s="1"/>
  <c r="EJ83" i="7"/>
  <c r="EJ72" i="7"/>
  <c r="EJ64" i="7"/>
  <c r="EJ4" i="7"/>
  <c r="EC83" i="7"/>
  <c r="EC72" i="7"/>
  <c r="EC64" i="7"/>
  <c r="EC4" i="7"/>
  <c r="DV83" i="7"/>
  <c r="DV72" i="7"/>
  <c r="DV64" i="7"/>
  <c r="DV4" i="7"/>
  <c r="DO83" i="7"/>
  <c r="DO72" i="7"/>
  <c r="DO64" i="7"/>
  <c r="DO4" i="7"/>
  <c r="DH83" i="7"/>
  <c r="DH72" i="7"/>
  <c r="DH64" i="7"/>
  <c r="DH4" i="7"/>
  <c r="G27" i="7"/>
  <c r="N27" i="7"/>
  <c r="U27" i="7"/>
  <c r="AB27" i="7"/>
  <c r="AI27" i="7"/>
  <c r="AP27" i="7"/>
  <c r="J28" i="7" a="1"/>
  <c r="J28" i="7" s="1"/>
  <c r="K28" i="7" a="1"/>
  <c r="K28" i="7" s="1"/>
  <c r="I29" i="7"/>
  <c r="J29" i="7" a="1"/>
  <c r="J29" i="7" s="1"/>
  <c r="K29" i="7" a="1"/>
  <c r="K29" i="7" s="1"/>
  <c r="I30" i="7"/>
  <c r="J30" i="7" a="1"/>
  <c r="J30" i="7" s="1"/>
  <c r="K30" i="7" a="1"/>
  <c r="K30" i="7" s="1"/>
  <c r="I31" i="7"/>
  <c r="J31" i="7" a="1"/>
  <c r="J31" i="7" s="1"/>
  <c r="K31" i="7" a="1"/>
  <c r="K31" i="7" s="1"/>
  <c r="I32" i="7"/>
  <c r="J32" i="7" a="1"/>
  <c r="J32" i="7" s="1"/>
  <c r="K32" i="7" a="1"/>
  <c r="K32" i="7" s="1"/>
  <c r="I33" i="7"/>
  <c r="J33" i="7" a="1"/>
  <c r="J33" i="7" s="1"/>
  <c r="K33" i="7" a="1"/>
  <c r="K33" i="7" s="1"/>
  <c r="I34" i="7"/>
  <c r="J34" i="7" a="1"/>
  <c r="J34" i="7" s="1"/>
  <c r="K34" i="7" a="1"/>
  <c r="K34" i="7" s="1"/>
  <c r="K95" i="7" a="1"/>
  <c r="K95" i="7" s="1"/>
  <c r="J95" i="7" a="1"/>
  <c r="J95" i="7" s="1"/>
  <c r="I95" i="7"/>
  <c r="K92" i="7" a="1"/>
  <c r="K92" i="7" s="1"/>
  <c r="J92" i="7" a="1"/>
  <c r="J92" i="7" s="1"/>
  <c r="K91" i="7" a="1"/>
  <c r="K91" i="7" s="1"/>
  <c r="J91" i="7" a="1"/>
  <c r="J91" i="7" s="1"/>
  <c r="K90" i="7" a="1"/>
  <c r="K90" i="7" s="1"/>
  <c r="J90" i="7" a="1"/>
  <c r="J90" i="7" s="1"/>
  <c r="K85" i="7" a="1"/>
  <c r="K85" i="7" s="1"/>
  <c r="J85" i="7" a="1"/>
  <c r="J85" i="7" s="1"/>
  <c r="K84" i="7" a="1"/>
  <c r="K84" i="7" s="1"/>
  <c r="J84" i="7" a="1"/>
  <c r="J84" i="7" s="1"/>
  <c r="DA83" i="7"/>
  <c r="CT83" i="7"/>
  <c r="CM83" i="7"/>
  <c r="CF83" i="7"/>
  <c r="BY83" i="7"/>
  <c r="BR83" i="7"/>
  <c r="BK83" i="7"/>
  <c r="BD83" i="7"/>
  <c r="AW83" i="7"/>
  <c r="AP83" i="7"/>
  <c r="AI83" i="7"/>
  <c r="AB83" i="7"/>
  <c r="U83" i="7"/>
  <c r="N83" i="7"/>
  <c r="G83" i="7"/>
  <c r="K81" i="7" a="1"/>
  <c r="K81" i="7" s="1"/>
  <c r="J81" i="7" a="1"/>
  <c r="J81" i="7" s="1"/>
  <c r="I81" i="7"/>
  <c r="K80" i="7" a="1"/>
  <c r="K80" i="7" s="1"/>
  <c r="J80" i="7" a="1"/>
  <c r="J80" i="7" s="1"/>
  <c r="K79" i="7" a="1"/>
  <c r="K79" i="7" s="1"/>
  <c r="J79" i="7" a="1"/>
  <c r="J79" i="7" s="1"/>
  <c r="K78" i="7" a="1"/>
  <c r="K78" i="7" s="1"/>
  <c r="J78" i="7" a="1"/>
  <c r="J78" i="7" s="1"/>
  <c r="K73" i="7" a="1"/>
  <c r="K73" i="7" s="1"/>
  <c r="J73" i="7" a="1"/>
  <c r="J73" i="7" s="1"/>
  <c r="DA72" i="7"/>
  <c r="CT72" i="7"/>
  <c r="CM72" i="7"/>
  <c r="CF72" i="7"/>
  <c r="BY72" i="7"/>
  <c r="BR72" i="7"/>
  <c r="BK72" i="7"/>
  <c r="BD72" i="7"/>
  <c r="AW72" i="7"/>
  <c r="AP72" i="7"/>
  <c r="AI72" i="7"/>
  <c r="AB72" i="7"/>
  <c r="U72" i="7"/>
  <c r="N72" i="7"/>
  <c r="G72" i="7"/>
  <c r="K70" i="7" a="1"/>
  <c r="K70" i="7" s="1"/>
  <c r="J70" i="7" a="1"/>
  <c r="J70" i="7" s="1"/>
  <c r="I70" i="7"/>
  <c r="K69" i="7" a="1"/>
  <c r="K69" i="7" s="1"/>
  <c r="J69" i="7" a="1"/>
  <c r="J69" i="7" s="1"/>
  <c r="I69" i="7"/>
  <c r="K68" i="7" a="1"/>
  <c r="K68" i="7" s="1"/>
  <c r="J68" i="7" a="1"/>
  <c r="J68" i="7" s="1"/>
  <c r="K67" i="7" a="1"/>
  <c r="K67" i="7" s="1"/>
  <c r="J67" i="7" a="1"/>
  <c r="J67" i="7" s="1"/>
  <c r="K66" i="7" a="1"/>
  <c r="K66" i="7" s="1"/>
  <c r="J66" i="7" a="1"/>
  <c r="J66" i="7" s="1"/>
  <c r="K65" i="7" a="1"/>
  <c r="K65" i="7" s="1"/>
  <c r="J65" i="7" a="1"/>
  <c r="J65" i="7" s="1"/>
  <c r="DA64" i="7"/>
  <c r="CT64" i="7"/>
  <c r="CM64" i="7"/>
  <c r="CF64" i="7"/>
  <c r="BY64" i="7"/>
  <c r="BR64" i="7"/>
  <c r="BK64" i="7"/>
  <c r="BD64" i="7"/>
  <c r="AW64" i="7"/>
  <c r="AP64" i="7"/>
  <c r="AI64" i="7"/>
  <c r="AB64" i="7"/>
  <c r="U64" i="7"/>
  <c r="N64" i="7"/>
  <c r="G64" i="7"/>
  <c r="DA4" i="7"/>
  <c r="CT4" i="7"/>
  <c r="CM4" i="7"/>
  <c r="CF4" i="7"/>
  <c r="BY4" i="7"/>
  <c r="BR4" i="7"/>
  <c r="K20" i="7" a="1"/>
  <c r="K20" i="7" s="1"/>
  <c r="J20" i="7" a="1"/>
  <c r="J20" i="7" s="1"/>
  <c r="I20" i="7"/>
  <c r="K17" i="7" a="1"/>
  <c r="K17" i="7" s="1"/>
  <c r="J17" i="7" a="1"/>
  <c r="J17" i="7" s="1"/>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K56" i="7" a="1"/>
  <c r="K56" i="7" s="1"/>
  <c r="J56" i="7" a="1"/>
  <c r="J56" i="7" s="1"/>
  <c r="I56" i="7"/>
  <c r="K55" i="7" a="1"/>
  <c r="K55" i="7" s="1"/>
  <c r="J55" i="7" a="1"/>
  <c r="J55" i="7" s="1"/>
  <c r="I55" i="7"/>
  <c r="K54" i="7" a="1"/>
  <c r="K54" i="7" s="1"/>
  <c r="J54" i="7" a="1"/>
  <c r="J54" i="7" s="1"/>
  <c r="I54" i="7"/>
  <c r="K53" i="7" a="1"/>
  <c r="K53" i="7" s="1"/>
  <c r="J53" i="7" a="1"/>
  <c r="J53" i="7" s="1"/>
  <c r="AP52" i="7"/>
  <c r="AI52" i="7"/>
  <c r="AB52" i="7"/>
  <c r="U52" i="7"/>
  <c r="N52" i="7"/>
  <c r="G52" i="7"/>
  <c r="K47" i="7" a="1"/>
  <c r="K47" i="7" s="1"/>
  <c r="J47" i="7" a="1"/>
  <c r="J47" i="7" s="1"/>
  <c r="I47" i="7"/>
  <c r="K46" i="7" a="1"/>
  <c r="K46" i="7" s="1"/>
  <c r="J46" i="7" a="1"/>
  <c r="J46" i="7" s="1"/>
  <c r="I46" i="7"/>
  <c r="K45" i="7" a="1"/>
  <c r="K45" i="7" s="1"/>
  <c r="J45" i="7" a="1"/>
  <c r="J45" i="7" s="1"/>
  <c r="I45" i="7"/>
  <c r="K44" i="7" a="1"/>
  <c r="K44" i="7" s="1"/>
  <c r="J44" i="7" a="1"/>
  <c r="J44" i="7" s="1"/>
  <c r="I44" i="7"/>
  <c r="K40" i="7" a="1"/>
  <c r="K40" i="7" s="1"/>
  <c r="J40" i="7" a="1"/>
  <c r="J40" i="7" s="1"/>
  <c r="I40" i="7"/>
  <c r="K39" i="7" a="1"/>
  <c r="K39" i="7" s="1"/>
  <c r="J39" i="7" a="1"/>
  <c r="J39" i="7" s="1"/>
  <c r="AP38" i="7"/>
  <c r="AI38" i="7"/>
  <c r="AB38" i="7"/>
  <c r="U38" i="7"/>
  <c r="N38" i="7"/>
  <c r="G38" i="7"/>
  <c r="BK4" i="7"/>
  <c r="K24" i="7" a="1"/>
  <c r="K24" i="7" s="1"/>
  <c r="J24" i="7" a="1"/>
  <c r="J24" i="7" s="1"/>
  <c r="K23" i="7" a="1"/>
  <c r="K23" i="7" s="1"/>
  <c r="J23" i="7" a="1"/>
  <c r="J23" i="7" s="1"/>
  <c r="K22" i="7" a="1"/>
  <c r="K22" i="7" s="1"/>
  <c r="J22" i="7" a="1"/>
  <c r="J22" i="7" s="1"/>
  <c r="K21" i="7" a="1"/>
  <c r="K21" i="7" s="1"/>
  <c r="J21" i="7" a="1"/>
  <c r="J21" i="7" s="1"/>
  <c r="K16" i="7" a="1"/>
  <c r="K16" i="7" s="1"/>
  <c r="J16" i="7" a="1"/>
  <c r="J16" i="7" s="1"/>
  <c r="K36" i="7" a="1"/>
  <c r="K36" i="7" s="1"/>
  <c r="J36" i="7" a="1"/>
  <c r="J36" i="7" s="1"/>
  <c r="K35" i="7" a="1"/>
  <c r="K35" i="7" s="1"/>
  <c r="J35" i="7" a="1"/>
  <c r="J35" i="7" s="1"/>
  <c r="K13" i="7" a="1"/>
  <c r="K13" i="7" s="1"/>
  <c r="J13" i="7" a="1"/>
  <c r="J13" i="7" s="1"/>
  <c r="K8" i="7" a="1"/>
  <c r="K8" i="7" s="1"/>
  <c r="J8" i="7" a="1"/>
  <c r="J8" i="7" s="1"/>
  <c r="K7" i="7" a="1"/>
  <c r="K7" i="7" s="1"/>
  <c r="J7" i="7" a="1"/>
  <c r="J7" i="7" s="1"/>
  <c r="K6" i="7" a="1"/>
  <c r="K6" i="7" s="1"/>
  <c r="J6" i="7" a="1"/>
  <c r="J6" i="7" s="1"/>
  <c r="K5" i="7" a="1"/>
  <c r="K5" i="7" s="1"/>
  <c r="J5" i="7" a="1"/>
  <c r="J5" i="7" s="1"/>
  <c r="AP15" i="7"/>
  <c r="AI15" i="7"/>
  <c r="AB15" i="7"/>
  <c r="U15" i="7"/>
  <c r="BD4" i="7"/>
  <c r="AW4" i="7"/>
  <c r="AP4" i="7"/>
  <c r="AI4" i="7"/>
  <c r="AB4" i="7"/>
  <c r="U4" i="7"/>
  <c r="N4" i="7"/>
  <c r="N15" i="7"/>
  <c r="G4" i="7"/>
  <c r="I36" i="7"/>
  <c r="I35" i="7"/>
  <c r="I24" i="7"/>
  <c r="I23" i="7"/>
  <c r="I22" i="7"/>
  <c r="I21" i="7"/>
  <c r="G15" i="7"/>
  <c r="I38" i="10" l="1"/>
  <c r="I37" i="10"/>
  <c r="I40" i="10"/>
  <c r="I39" i="10"/>
  <c r="I35" i="10"/>
  <c r="I41" i="10"/>
  <c r="I36" i="10"/>
  <c r="I34" i="10"/>
  <c r="J27" i="7"/>
  <c r="I27" i="7"/>
  <c r="K27" i="7"/>
  <c r="I72" i="7"/>
  <c r="I83" i="7"/>
  <c r="J83" i="7"/>
  <c r="J72" i="7"/>
  <c r="I64" i="7"/>
  <c r="J64" i="7"/>
  <c r="K83" i="7"/>
  <c r="K72" i="7"/>
  <c r="K64" i="7"/>
  <c r="I52" i="7"/>
  <c r="I38" i="7"/>
  <c r="J52" i="7"/>
  <c r="K52" i="7"/>
  <c r="K38" i="7"/>
  <c r="J38" i="7"/>
  <c r="I15" i="7"/>
  <c r="J15" i="7"/>
  <c r="K15"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<sst xmlns="http://schemas.openxmlformats.org/spreadsheetml/2006/main" count="607" uniqueCount="225">
  <si>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</si>
  <si>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</si>
  <si>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</si>
  <si>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</si>
  <si>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</si>
  <si>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</si>
  <si>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</si>
  <si>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</si>
  <si>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</si>
  <si>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</si>
  <si>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</si>
  <si>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</si>
  <si>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</si>
  <si>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</si>
  <si>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</si>
  <si>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</si>
  <si>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</si>
  <si>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</si>
  <si>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</si>
  <si>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</si>
  <si>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</si>
  <si>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</si>
  <si>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</si>
  <si>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</si>
  <si>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</si>
  <si>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</si>
  <si>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</si>
  <si>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</si>
  <si>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</si>
  <si>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</si>
  <si>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</si>
  <si>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</si>
  <si>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</si>
  <si>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</si>
  <si>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</si>
  <si>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</si>
  <si>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</si>
  <si>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</si>
  <si>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</si>
  <si>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</si>
  <si>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</si>
  <si>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</si>
  <si>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</si>
  <si>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</si>
  <si>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</si>
  <si>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</si>
  <si>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</si>
  <si>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</si>
  <si>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</si>
  <si>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</si>
  <si>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</si>
  <si>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</si>
  <si>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</si>
  <si>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</si>
  <si>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</si>
  <si>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</si>
  <si>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</si>
  <si>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</si>
  <si>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</si>
  <si>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</si>
  <si>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</si>
  <si>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</si>
  <si>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</si>
  <si>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</si>
  <si>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</si>
  <si>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</si>
  <si>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</si>
  <si>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</si>
  <si>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</si>
  <si>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</si>
  <si>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</si>
  <si>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</si>
  <si>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</si>
  <si>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</si>
  <si>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</si>
  <si>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</si>
  <si>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</si>
  <si>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</si>
  <si>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</si>
  <si>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</si>
  <si>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</si>
  <si>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</si>
  <si>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</si>
  <si>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</si>
  <si>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</si>
  <si>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</si>
  <si>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</si>
  <si>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Managment</t>
  </si>
  <si>
    <t>Mathematik 1</t>
  </si>
  <si>
    <t>Statistik 1</t>
  </si>
  <si>
    <t>Finanzielles Rechnungswesen</t>
  </si>
  <si>
    <t>Einführung VWL</t>
  </si>
  <si>
    <t>Privatrecht</t>
  </si>
  <si>
    <t>Politikwissenschaft</t>
  </si>
  <si>
    <t>Soziologie</t>
  </si>
  <si>
    <t>KW 38</t>
  </si>
  <si>
    <t>KW 39</t>
  </si>
  <si>
    <t>KW 40</t>
  </si>
  <si>
    <t>KW 41</t>
  </si>
  <si>
    <t>KW 42</t>
  </si>
  <si>
    <t>KW 43</t>
  </si>
  <si>
    <t>KW 44</t>
  </si>
  <si>
    <t>KW 45</t>
  </si>
  <si>
    <t>KW 46</t>
  </si>
  <si>
    <t>KW 47</t>
  </si>
  <si>
    <t>KW 48</t>
  </si>
  <si>
    <t xml:space="preserve">KW 50 </t>
  </si>
  <si>
    <t>KW 51</t>
  </si>
  <si>
    <t>KW 52</t>
  </si>
  <si>
    <t>KW 1</t>
  </si>
  <si>
    <t>KW 2</t>
  </si>
  <si>
    <t>PRÜFUNGEN</t>
  </si>
  <si>
    <t>1) Einführung in die Materie des Privatrechts</t>
  </si>
  <si>
    <t>2) Personenrecht</t>
  </si>
  <si>
    <t>3) Gesellschafts und Wirtschaftsrecht</t>
  </si>
  <si>
    <t>4) Sachenrecht</t>
  </si>
  <si>
    <t>5) Erbrecht</t>
  </si>
  <si>
    <t>6) Obligationenrecht</t>
  </si>
  <si>
    <t>KW 49 70%</t>
  </si>
  <si>
    <t>Lernstunden</t>
  </si>
  <si>
    <t>Credits</t>
  </si>
  <si>
    <t>Anzahl Lernstunden pro Credit</t>
  </si>
  <si>
    <t>Creditanzahl</t>
  </si>
  <si>
    <t>Anzahl Levels</t>
  </si>
  <si>
    <t>Sprung</t>
  </si>
  <si>
    <t>0-50</t>
  </si>
  <si>
    <t>50-80</t>
  </si>
  <si>
    <t>80-100</t>
  </si>
  <si>
    <t>Formel für Anzahl Levels pro Fach</t>
  </si>
  <si>
    <t>K= Anzahl Kaptiel</t>
  </si>
  <si>
    <t>W= Anzahl Lernwochen</t>
  </si>
  <si>
    <t>X= Anzahl Levels</t>
  </si>
  <si>
    <t>K</t>
  </si>
  <si>
    <t>W</t>
  </si>
  <si>
    <t>Levelanzahl</t>
  </si>
  <si>
    <t>Vergügbare Levels pro Woche pro Fach</t>
  </si>
  <si>
    <t>3*K= L = Anzahl Level-Ups pro Fach</t>
  </si>
  <si>
    <t>Stunden/Fach/Woche</t>
  </si>
  <si>
    <t>Zeit pro Level</t>
  </si>
  <si>
    <t>1) Einführung Führungslehre 3 Seiten</t>
  </si>
  <si>
    <t>2) Managment im Kontext 3 Seiten</t>
  </si>
  <si>
    <t>3) Strategische Planung 5 Seiten</t>
  </si>
  <si>
    <t>5) Entscheidungsfindung 3 Seiten</t>
  </si>
  <si>
    <t>6) Führungsverhalten 5 Seiten</t>
  </si>
  <si>
    <t>7) Organisation 5 Seiten</t>
  </si>
  <si>
    <t>8) Projektmanagment 5 Seiten</t>
  </si>
  <si>
    <t>9) Gründungsmanagment 7 Seiten</t>
  </si>
  <si>
    <t>1) Einführung / volkswirtschaftliche Regeln</t>
  </si>
  <si>
    <t>2) Grundlagen und historische Entwicklung</t>
  </si>
  <si>
    <t>3) Angebot und Nachfrage</t>
  </si>
  <si>
    <t>4) Unternehmensverhalten und Organisation</t>
  </si>
  <si>
    <t>5) Theorie der Konsumentenentscheidungen</t>
  </si>
  <si>
    <t>6) Arbeitsmarktökonomik</t>
  </si>
  <si>
    <t>7) Ökonomik des Öffentlichen Sektors</t>
  </si>
  <si>
    <t>8) Makroökonomik</t>
  </si>
  <si>
    <t>9) Mikroökonomik</t>
  </si>
  <si>
    <t>10) Aktuelle wirtschaftspolitische Fragestellungen</t>
  </si>
  <si>
    <t>4) Analysis</t>
  </si>
  <si>
    <t>10) Differentialrechnung</t>
  </si>
  <si>
    <t>5) Inversen</t>
  </si>
  <si>
    <t>3) LGS</t>
  </si>
  <si>
    <t>6) Determinante</t>
  </si>
  <si>
    <t>9) Ableitungen</t>
  </si>
  <si>
    <t>7) Folgen und Reihen</t>
  </si>
  <si>
    <t>8) Induktion</t>
  </si>
  <si>
    <t>1) Matrizen &amp; Vektoren</t>
  </si>
  <si>
    <t>2) Lineare Gleichungssyteme</t>
  </si>
  <si>
    <t>1) Mengenlehre und Wahrscheinlichkeitsrechnung</t>
  </si>
  <si>
    <t>2) Merkmale und Zufallsvariablen</t>
  </si>
  <si>
    <t>3) Verteilung von Merkmalen / Zufallsvaribalen</t>
  </si>
  <si>
    <t>4) Lage und Streuungsmasse</t>
  </si>
  <si>
    <t>5) Direkte Wahrscheinlichkeitsverteilungen</t>
  </si>
  <si>
    <t>6) Stetige Wahrscheinlichkeitsverteilungen</t>
  </si>
  <si>
    <t>7) Stichproben</t>
  </si>
  <si>
    <t>8) Methoden der statistischen Inferenz</t>
  </si>
  <si>
    <t>9) Hypothesentests</t>
  </si>
  <si>
    <t>1) Institutionen und Instrumente</t>
  </si>
  <si>
    <t>2) Doppelte Buchhaltung</t>
  </si>
  <si>
    <t>3) Buchführungsvorschriften</t>
  </si>
  <si>
    <t>4) Konten des Zahlungsverkehrs</t>
  </si>
  <si>
    <t>5) Warenverkehr</t>
  </si>
  <si>
    <t>6) Personalaufwand</t>
  </si>
  <si>
    <t>7) Periodenabgrenzung, Rückstellungen</t>
  </si>
  <si>
    <t>8) Abschreibungen</t>
  </si>
  <si>
    <t>9) Bewertung</t>
  </si>
  <si>
    <t>10) Stille Reserven</t>
  </si>
  <si>
    <t>11) Abschluss</t>
  </si>
  <si>
    <t>12) Mehrwertssteuer</t>
  </si>
  <si>
    <t>2) Politische Theorie</t>
  </si>
  <si>
    <t>1) Einführung (Politik, Wissenschaft, Politikwissenschaft)</t>
  </si>
  <si>
    <t>3) Politische Systeme</t>
  </si>
  <si>
    <t>4) Vergleichende Politik</t>
  </si>
  <si>
    <t>5) Vergleichende Regierungslehre</t>
  </si>
  <si>
    <t>6) Politische Soziologie und Kultur</t>
  </si>
  <si>
    <t>7) Politisches Verhalten</t>
  </si>
  <si>
    <t>8) Policy Analyse</t>
  </si>
  <si>
    <t>9) Internationale Beziehungen</t>
  </si>
  <si>
    <t>1) Einführung und Begriffe</t>
  </si>
  <si>
    <t>4) Soziale Ungleichheit</t>
  </si>
  <si>
    <t>6) Kultur</t>
  </si>
  <si>
    <t>11) Religion</t>
  </si>
  <si>
    <t>12) Globalisierung</t>
  </si>
  <si>
    <t>2) Elemente der Sozialstruktur</t>
  </si>
  <si>
    <t>3) Markt, kapitalistische Wirtschaft &amp; Arbeit</t>
  </si>
  <si>
    <t>5) Kollektives Handeln % Soziale Bewegungen</t>
  </si>
  <si>
    <t>7) Politik, Herrschaft, Staat</t>
  </si>
  <si>
    <t>8) Ethnizität, Nation, Rasse (ENR)</t>
  </si>
  <si>
    <t>9) Migration &amp; Integration</t>
  </si>
  <si>
    <t>10) Staatsbürgerschaft im Wandel</t>
  </si>
  <si>
    <t>4) Operative Planung 3 Seiten</t>
  </si>
  <si>
    <t>VWL</t>
  </si>
  <si>
    <t>Rechnungswesen</t>
  </si>
  <si>
    <t>Statistik I</t>
  </si>
  <si>
    <t>Mathematik I</t>
  </si>
  <si>
    <t>Aufstehen</t>
  </si>
  <si>
    <t>Schlafen</t>
  </si>
  <si>
    <t>Vorlesungen pro Woche</t>
  </si>
  <si>
    <t>individuelle Lernzeit pro Woche</t>
  </si>
  <si>
    <t>Training</t>
  </si>
  <si>
    <t>Lernblock</t>
  </si>
  <si>
    <t>Meal 1</t>
  </si>
  <si>
    <t>Meal 2</t>
  </si>
  <si>
    <t>Meal 3</t>
  </si>
  <si>
    <t>Meal 4</t>
  </si>
  <si>
    <t xml:space="preserve">Lernblock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</si>
</sst>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s>
  <fills count="2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0070C0"/>
        <bgColor indexed="64"/>
      </patternFill>
    </fill>
    <fill>
      <patternFill patternType="solid">
        <fgColor theme="0" tint="-0.14999847407452621"/>
        <bgColor indexed="64"/>
      </patternFill>
    </fill>
    <fill>
      <patternFill patternType="solid">
        <fgColor rgb="FFFF0000"/>
        <bgColor rgb="FF000000"/>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rgb="FFA9D08E"/>
        <bgColor rgb="FF000000"/>
      </patternFill>
    </fill>
  </fills>
  <borders count="1">
    <border>
      <left/>
      <right/>
      <top/>
      <bottom/>
      <diagonal/>
    </border>
  </borders>
  <cellStyleXfs count="1">
    <xf numFmtId="0" fontId="0" fillId="0" borderId="0"/>
  </cellStyleXfs>
  <cellXfs count="88">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0" fillId="0" borderId="0" xfId="0" applyAlignment="1">
      <alignment horizontal="center"/>
    </xf>
    <xf numFmtId="9" fontId="0" fillId="0" borderId="0" xfId="0" applyNumberFormat="1"/>
    <xf numFmtId="9"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0" fontId="6" fillId="0" borderId="0" xfId="0" applyFont="1"/>
    <xf numFmtId="0" fontId="0" fillId="8" borderId="0" xfId="0" applyFill="1" applyAlignment="1">
      <alignment horizontal="center"/>
    </xf>
    <xf numFmtId="9" fontId="6" fillId="0" borderId="0" xfId="0" applyNumberFormat="1" applyFont="1"/>
    <xf numFmtId="9" fontId="6" fillId="9" borderId="0" xfId="0" applyNumberFormat="1" applyFont="1" applyFill="1"/>
    <xf numFmtId="0" fontId="0" fillId="2" borderId="0" xfId="0" applyFill="1"/>
    <xf numFmtId="0" fontId="0" fillId="0" borderId="0" xfId="0" applyAlignment="1">
      <alignment vertical="center"/>
    </xf>
    <xf numFmtId="0" fontId="4" fillId="0" borderId="0" xfId="0" applyFont="1" applyAlignment="1">
      <alignment vertical="center"/>
    </xf>
    <xf numFmtId="0" fontId="1" fillId="0" borderId="0" xfId="0" applyFont="1" applyAlignment="1">
      <alignment vertical="center"/>
    </xf>
    <xf numFmtId="20" fontId="0" fillId="0" borderId="0" xfId="0" applyNumberFormat="1" applyAlignment="1">
      <alignment vertical="center"/>
    </xf>
    <xf numFmtId="20" fontId="0" fillId="2" borderId="0" xfId="0" applyNumberFormat="1" applyFill="1" applyAlignment="1">
      <alignment vertical="center"/>
    </xf>
    <xf numFmtId="0" fontId="0" fillId="2" borderId="0" xfId="0" applyFill="1" applyAlignment="1">
      <alignment vertical="center"/>
    </xf>
    <xf numFmtId="0" fontId="0" fillId="10" borderId="0" xfId="0" applyFill="1"/>
    <xf numFmtId="14" fontId="0" fillId="10" borderId="0" xfId="0" applyNumberFormat="1" applyFill="1"/>
    <xf numFmtId="0" fontId="0" fillId="10" borderId="0" xfId="0" applyFill="1" applyAlignment="1">
      <alignment horizontal="center"/>
    </xf>
    <xf numFmtId="9" fontId="0" fillId="10" borderId="0" xfId="0" applyNumberFormat="1" applyFill="1"/>
    <xf numFmtId="1" fontId="0" fillId="10" borderId="0" xfId="0" applyNumberFormat="1" applyFill="1" applyAlignment="1">
      <alignment horizontal="center"/>
    </xf>
    <xf numFmtId="9" fontId="0" fillId="10" borderId="0" xfId="0" applyNumberFormat="1" applyFill="1" applyAlignment="1">
      <alignment horizontal="center"/>
    </xf>
    <xf numFmtId="0" fontId="0" fillId="11" borderId="0" xfId="0" applyFill="1"/>
    <xf numFmtId="14" fontId="0" fillId="11" borderId="0" xfId="0" applyNumberFormat="1" applyFill="1"/>
    <xf numFmtId="0" fontId="0" fillId="11" borderId="0" xfId="0" applyFill="1" applyAlignment="1">
      <alignment horizontal="center"/>
    </xf>
    <xf numFmtId="9" fontId="0" fillId="11" borderId="0" xfId="0" applyNumberFormat="1" applyFill="1"/>
    <xf numFmtId="1" fontId="0" fillId="11" borderId="0" xfId="0" applyNumberFormat="1" applyFill="1" applyAlignment="1">
      <alignment horizontal="center"/>
    </xf>
    <xf numFmtId="9" fontId="0" fillId="11" borderId="0" xfId="0" applyNumberFormat="1" applyFill="1" applyAlignment="1">
      <alignment horizontal="center"/>
    </xf>
    <xf numFmtId="0" fontId="0" fillId="12" borderId="0" xfId="0" applyFill="1"/>
    <xf numFmtId="14" fontId="0" fillId="12" borderId="0" xfId="0" applyNumberFormat="1" applyFill="1"/>
    <xf numFmtId="0" fontId="0" fillId="12" borderId="0" xfId="0" applyFill="1" applyAlignment="1">
      <alignment horizontal="center"/>
    </xf>
    <xf numFmtId="9" fontId="0" fillId="12" borderId="0" xfId="0" applyNumberFormat="1" applyFill="1"/>
    <xf numFmtId="1" fontId="0" fillId="12" borderId="0" xfId="0" applyNumberFormat="1" applyFill="1" applyAlignment="1">
      <alignment horizontal="center"/>
    </xf>
    <xf numFmtId="9" fontId="0" fillId="12" borderId="0" xfId="0" applyNumberFormat="1" applyFill="1" applyAlignment="1">
      <alignment horizontal="center"/>
    </xf>
    <xf numFmtId="14" fontId="0" fillId="6" borderId="0" xfId="0" applyNumberFormat="1" applyFill="1"/>
    <xf numFmtId="0" fontId="0" fillId="6" borderId="0" xfId="0" applyFill="1" applyAlignment="1">
      <alignment horizontal="center"/>
    </xf>
    <xf numFmtId="9" fontId="0" fillId="6" borderId="0" xfId="0" applyNumberFormat="1" applyFill="1"/>
    <xf numFmtId="1" fontId="0" fillId="6" borderId="0" xfId="0" applyNumberFormat="1" applyFill="1" applyAlignment="1">
      <alignment horizontal="center"/>
    </xf>
    <xf numFmtId="9" fontId="0" fillId="6" borderId="0" xfId="0" applyNumberFormat="1" applyFill="1" applyAlignment="1">
      <alignment horizontal="center"/>
    </xf>
    <xf numFmtId="0" fontId="0" fillId="13" borderId="0" xfId="0" applyFill="1"/>
    <xf numFmtId="14" fontId="0" fillId="13" borderId="0" xfId="0" applyNumberFormat="1" applyFill="1"/>
    <xf numFmtId="0" fontId="0" fillId="13" borderId="0" xfId="0" applyFill="1" applyAlignment="1">
      <alignment horizontal="center"/>
    </xf>
    <xf numFmtId="9" fontId="0" fillId="13" borderId="0" xfId="0" applyNumberFormat="1" applyFill="1"/>
    <xf numFmtId="1" fontId="0" fillId="13" borderId="0" xfId="0" applyNumberFormat="1" applyFill="1" applyAlignment="1">
      <alignment horizontal="center"/>
    </xf>
    <xf numFmtId="9" fontId="0" fillId="13" borderId="0" xfId="0" applyNumberFormat="1" applyFill="1" applyAlignment="1">
      <alignment horizontal="center"/>
    </xf>
    <xf numFmtId="0" fontId="0" fillId="14" borderId="0" xfId="0" applyFill="1"/>
    <xf numFmtId="14" fontId="0" fillId="14" borderId="0" xfId="0" applyNumberFormat="1" applyFill="1"/>
    <xf numFmtId="0" fontId="0" fillId="14" borderId="0" xfId="0" applyFill="1" applyAlignment="1">
      <alignment horizontal="center"/>
    </xf>
    <xf numFmtId="9" fontId="0" fillId="14" borderId="0" xfId="0" applyNumberFormat="1" applyFill="1"/>
    <xf numFmtId="1" fontId="0" fillId="14" borderId="0" xfId="0" applyNumberFormat="1" applyFill="1" applyAlignment="1">
      <alignment horizontal="center"/>
    </xf>
    <xf numFmtId="9" fontId="0" fillId="14" borderId="0" xfId="0" applyNumberFormat="1" applyFill="1" applyAlignment="1">
      <alignment horizontal="center"/>
    </xf>
    <xf numFmtId="0" fontId="0" fillId="15" borderId="0" xfId="0" applyFill="1"/>
    <xf numFmtId="14" fontId="0" fillId="15" borderId="0" xfId="0" applyNumberFormat="1" applyFill="1"/>
    <xf numFmtId="0" fontId="0" fillId="15" borderId="0" xfId="0" applyFill="1" applyAlignment="1">
      <alignment horizontal="center"/>
    </xf>
    <xf numFmtId="9" fontId="0" fillId="15" borderId="0" xfId="0" applyNumberFormat="1" applyFill="1"/>
    <xf numFmtId="1" fontId="0" fillId="15" borderId="0" xfId="0" applyNumberFormat="1" applyFill="1" applyAlignment="1">
      <alignment horizontal="center"/>
    </xf>
    <xf numFmtId="9" fontId="0" fillId="15" borderId="0" xfId="0" applyNumberFormat="1" applyFill="1" applyAlignment="1">
      <alignment horizontal="center"/>
    </xf>
    <xf numFmtId="0" fontId="0" fillId="16" borderId="0" xfId="0" applyFill="1"/>
    <xf numFmtId="14" fontId="0" fillId="16" borderId="0" xfId="0" applyNumberFormat="1" applyFill="1"/>
    <xf numFmtId="0" fontId="0" fillId="16" borderId="0" xfId="0" applyFill="1" applyAlignment="1">
      <alignment horizontal="center"/>
    </xf>
    <xf numFmtId="9" fontId="0" fillId="16" borderId="0" xfId="0" applyNumberFormat="1" applyFill="1"/>
    <xf numFmtId="1" fontId="0" fillId="16" borderId="0" xfId="0" applyNumberFormat="1" applyFill="1" applyAlignment="1">
      <alignment horizontal="center"/>
    </xf>
    <xf numFmtId="9" fontId="0" fillId="16" borderId="0" xfId="0" applyNumberFormat="1" applyFill="1" applyAlignment="1">
      <alignment horizontal="center"/>
    </xf>
    <xf numFmtId="0" fontId="0" fillId="18" borderId="0" xfId="0" applyFill="1" applyAlignment="1">
      <alignment vertical="center"/>
    </xf>
    <xf numFmtId="0" fontId="6" fillId="19" borderId="0" xfId="0" applyFont="1" applyFill="1" applyAlignment="1">
      <alignment vertical="center"/>
    </xf>
    <xf numFmtId="0" fontId="1" fillId="2" borderId="0" xfId="0" applyFont="1" applyFill="1" applyAlignment="1">
      <alignment horizontal="center"/>
    </xf>
    <xf numFmtId="0" fontId="1" fillId="7" borderId="0" xfId="0" applyFont="1" applyFill="1" applyAlignment="1">
      <alignment horizontal="center"/>
    </xf>
    <xf numFmtId="0" fontId="0" fillId="6" borderId="0" xfId="0" applyFill="1" applyAlignment="1">
      <alignment horizontal="center" vertical="center"/>
    </xf>
    <xf numFmtId="0" fontId="0" fillId="14" borderId="0" xfId="0" applyFill="1" applyAlignment="1">
      <alignment horizontal="center" vertical="center"/>
    </xf>
    <xf numFmtId="0" fontId="0" fillId="17" borderId="0" xfId="0" applyFill="1" applyAlignment="1">
      <alignment horizontal="center" vertical="center"/>
    </xf>
    <xf numFmtId="0" fontId="0" fillId="16" borderId="0" xfId="0" applyFill="1" applyAlignment="1">
      <alignment horizontal="center" vertical="center"/>
    </xf>
    <xf numFmtId="0" fontId="0" fillId="13" borderId="0" xfId="0" applyFill="1" applyAlignment="1">
      <alignment horizontal="center" vertical="center"/>
    </xf>
    <xf numFmtId="0" fontId="0" fillId="10" borderId="0" xfId="0" applyFill="1" applyAlignment="1">
      <alignment horizontal="center" vertical="center"/>
    </xf>
    <xf numFmtId="0" fontId="0" fillId="5" borderId="0" xfId="0" applyFill="1" applyAlignment="1">
      <alignment horizontal="center" vertical="center"/>
    </xf>
    <xf numFmtId="0" fontId="0" fillId="12" borderId="0" xfId="0" applyFill="1" applyAlignment="1">
      <alignment horizontal="center" vertical="center"/>
    </xf>
    <xf numFmtId="0" fontId="0" fillId="15" borderId="0" xfId="0" applyFill="1" applyAlignment="1">
      <alignment horizontal="center" vertical="center"/>
    </xf>
    <xf numFmtId="0" fontId="0" fillId="11" borderId="0" xfId="0" applyFill="1" applyAlignment="1">
      <alignment horizontal="center" vertical="center"/>
    </xf>
  </cellXfs>
  <cellStyles count="1">
    <cellStyle name="Standard" xfId="0" builtinId="0"/>
  </cellStyles>
  <dxfs count="246">
    <dxf>
      <fill>
        <patternFill>
          <bgColor rgb="FFC4FF87"/>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56FF5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theme="0" tint="-0.14999847407452621"/>
        </patternFill>
      </fill>
    </dxf>
  </dxfs>
  <tableStyles count="0" defaultTableStyle="TableStyleMedium2" defaultPivotStyle="PivotStyleLight16"/>
  <colors>
    <mruColors>
      <color rgb="FF00FF29"/>
      <color rgb="FFE0E0E0"/>
      <color rgb="FF56FF5E"/>
      <color rgb="FFC4FF87"/>
      <color rgb="FFFFDE7F"/>
      <color rgb="FFFF755A"/>
      <color rgb="FFFDFF05"/>
      <color rgb="FF10FF07"/>
      <color rgb="FFFF231B"/>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036F5C-43AC-7844-B404-6D6A96317C49}" name="Tabelle2" displayName="Tabelle2" ref="B33:K41" totalsRowShown="0">
  <autoFilter ref="B33:K41" xr:uid="{4E036F5C-43AC-7844-B404-6D6A96317C49}"/>
  <tableColumns count="10">
    <tableColumn id="1" xr3:uid="{35E72010-F170-6848-807E-74C53492F526}" name="Fach" dataDxfId="245"/>
    <tableColumn id="2" xr3:uid="{AB22E12B-E058-1648-92C4-593E58235288}" name="Credits"/>
    <tableColumn id="3" xr3:uid="{75BC5AE7-0999-B44D-9C22-0800C504051A}" name="Stunden/Fach/Woche" dataDxfId="244">
      <calculatedColumnFormula>Tabelle2[[#This Row],[Credits]]*1.4</calculatedColumnFormula>
    </tableColumn>
    <tableColumn id="5" xr3:uid="{508BF581-30FA-EE43-B2AC-967345CFF64F}" name="K" dataDxfId="243"/>
    <tableColumn id="6" xr3:uid="{5BE1186E-3B55-9E40-B382-2143A112EEA7}" name="W" dataDxfId="242"/>
    <tableColumn id="7" xr3:uid="{ECB8276A-B33A-914E-8202-FB3A5467C033}" name="Levelanzahl" dataDxfId="241">
      <calculatedColumnFormula>3*(Tabelle2[[#This Row],[K]])</calculatedColumnFormula>
    </tableColumn>
    <tableColumn id="8" xr3:uid="{87B5238C-2A2B-034F-9101-012C2C69E85A}" name="Vergügbare Levels pro Woche pro Fach" dataDxfId="240">
      <calculatedColumnFormula>Tabelle2[[#This Row],[Levelanzahl]]/Tabelle2[[#This Row],[W]]</calculatedColumnFormula>
    </tableColumn>
    <tableColumn id="9" xr3:uid="{BCE1F6D1-9EC2-D14E-A459-A7802EA3F393}" name="Zeit pro Level" dataDxfId="239">
      <calculatedColumnFormula>ROUND(Tabelle2[[#This Row],[Stunden/Fach/Woche]]/Tabelle2[[#This Row],[Vergügbare Levels pro Woche pro Fach]],1)</calculatedColumnFormula>
    </tableColumn>
    <tableColumn id="4" xr3:uid="{D07786A9-3D05-CD44-ADB3-D94830FA9BDD}" name="Vorlesungen pro Woche" dataDxfId="238"/>
    <tableColumn id="10" xr3:uid="{03C1E4C0-3D22-E840-9142-D93D08DEC8A5}" name="individuelle Lernzeit pro Woche" dataDxfId="237">
      <calculatedColumnFormula>Tabelle2[[#This Row],[Stunden/Fach/Woche]]-Tabelle2[[#This Row],[Vorlesungen pro Woche]]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36">
  <autoFilter ref="A1:K46" xr:uid="{6E266E34-2786-2747-BCE7-51B74867A564}"/>
  <tableColumns count="11">
    <tableColumn id="1" xr3:uid="{95FD92F7-3DC8-704D-A103-A7EDDAB255AB}" name="Datum" dataDxfId="235"/>
    <tableColumn id="2" xr3:uid="{F464D510-8166-E740-A343-FB84BDEF877F}" name="Lerneinheiten durchgezogen" dataDxfId="234"/>
    <tableColumn id="3" xr3:uid="{75F52B08-1A00-0848-BBE6-1EDF7B31B1AD}" name="Tagesplan erstellt" dataDxfId="233"/>
    <tableColumn id="4" xr3:uid="{E6B18D89-E799-AD48-9DAA-37AEE1D29011}" name="Konzentrationslevel" dataDxfId="23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K49"/>
  <sheetViews>
    <sheetView topLeftCell="B5" workbookViewId="0">
      <selection activeCell="B41" sqref="B41"/>
    </sheetView>
  </sheetViews>
  <sheetFormatPr baseColWidth="10" defaultRowHeight="16" x14ac:dyDescent="0.2"/>
  <cols>
    <col min="1" max="1" width="11.83203125" customWidth="1"/>
    <col min="2" max="2" width="62.6640625" customWidth="1"/>
    <col min="4" max="4" width="20.83203125" customWidth="1"/>
    <col min="7" max="7" width="20.83203125" customWidth="1"/>
    <col min="8" max="8" width="40.83203125" customWidth="1"/>
    <col min="9" max="9" width="15.83203125" customWidth="1"/>
    <col min="10" max="10" width="30.83203125" customWidth="1"/>
    <col min="11" max="11" width="35.83203125" customWidth="1"/>
  </cols>
  <sheetData>
    <row r="2" spans="1:4" x14ac:dyDescent="0.2">
      <c r="C2" s="15" t="s">
        <v>71</v>
      </c>
    </row>
    <row r="3" spans="1:4" x14ac:dyDescent="0.2">
      <c r="C3" s="14" t="s">
        <v>56</v>
      </c>
    </row>
    <row r="4" spans="1:4" x14ac:dyDescent="0.2">
      <c r="C4" s="13" t="s">
        <v>70</v>
      </c>
    </row>
    <row r="5" spans="1:4" x14ac:dyDescent="0.2">
      <c r="A5" s="2" t="s">
        <v>53</v>
      </c>
      <c r="B5" s="2" t="s">
        <v>54</v>
      </c>
      <c r="C5" s="2" t="s">
        <v>55</v>
      </c>
      <c r="D5" s="2" t="s">
        <v>57</v>
      </c>
    </row>
    <row r="6" spans="1:4" x14ac:dyDescent="0.2">
      <c r="A6" t="s">
        <v>49</v>
      </c>
      <c r="B6" s="15" t="s">
        <v>52</v>
      </c>
      <c r="D6" t="s">
        <v>86</v>
      </c>
    </row>
    <row r="7" spans="1:4" x14ac:dyDescent="0.2">
      <c r="A7" t="s">
        <v>60</v>
      </c>
      <c r="B7" t="s">
        <v>61</v>
      </c>
      <c r="C7" s="13">
        <v>77</v>
      </c>
    </row>
    <row r="8" spans="1:4" x14ac:dyDescent="0.2">
      <c r="A8" t="s">
        <v>51</v>
      </c>
      <c r="B8" s="15" t="s">
        <v>50</v>
      </c>
      <c r="D8" t="s">
        <v>74</v>
      </c>
    </row>
    <row r="9" spans="1:4" x14ac:dyDescent="0.2">
      <c r="A9" t="s">
        <v>59</v>
      </c>
      <c r="B9" s="15" t="s">
        <v>72</v>
      </c>
      <c r="D9" t="s">
        <v>75</v>
      </c>
    </row>
    <row r="10" spans="1:4" x14ac:dyDescent="0.2">
      <c r="A10" t="s">
        <v>63</v>
      </c>
      <c r="B10" t="s">
        <v>62</v>
      </c>
      <c r="C10" s="13">
        <v>12</v>
      </c>
      <c r="D10" t="s">
        <v>58</v>
      </c>
    </row>
    <row r="11" spans="1:4" x14ac:dyDescent="0.2">
      <c r="A11" t="s">
        <v>64</v>
      </c>
      <c r="B11" t="s">
        <v>66</v>
      </c>
      <c r="C11" s="13">
        <f>C7*3</f>
        <v>231</v>
      </c>
      <c r="D11" t="s">
        <v>65</v>
      </c>
    </row>
    <row r="12" spans="1:4" x14ac:dyDescent="0.2">
      <c r="A12" t="s">
        <v>68</v>
      </c>
      <c r="B12" t="s">
        <v>67</v>
      </c>
      <c r="C12" s="14">
        <f>C11/C10</f>
        <v>19.25</v>
      </c>
    </row>
    <row r="13" spans="1:4" x14ac:dyDescent="0.2">
      <c r="A13" t="s">
        <v>73</v>
      </c>
      <c r="B13" t="s">
        <v>69</v>
      </c>
      <c r="D13" t="s">
        <v>76</v>
      </c>
    </row>
    <row r="14" spans="1:4" x14ac:dyDescent="0.2">
      <c r="A14" t="s">
        <v>77</v>
      </c>
      <c r="B14" t="s">
        <v>78</v>
      </c>
      <c r="D14" t="s">
        <v>79</v>
      </c>
    </row>
    <row r="15" spans="1:4" x14ac:dyDescent="0.2">
      <c r="A15" t="s">
        <v>80</v>
      </c>
      <c r="B15" s="15" t="s">
        <v>81</v>
      </c>
    </row>
    <row r="16" spans="1:4" x14ac:dyDescent="0.2">
      <c r="A16" t="s">
        <v>84</v>
      </c>
      <c r="B16" s="15" t="s">
        <v>82</v>
      </c>
    </row>
    <row r="17" spans="1:5" x14ac:dyDescent="0.2">
      <c r="A17" t="s">
        <v>85</v>
      </c>
      <c r="B17" t="s">
        <v>83</v>
      </c>
    </row>
    <row r="22" spans="1:5" x14ac:dyDescent="0.2">
      <c r="B22" t="s">
        <v>119</v>
      </c>
      <c r="C22">
        <v>40</v>
      </c>
    </row>
    <row r="23" spans="1:5" x14ac:dyDescent="0.2">
      <c r="B23" t="s">
        <v>120</v>
      </c>
      <c r="C23">
        <v>29</v>
      </c>
    </row>
    <row r="24" spans="1:5" x14ac:dyDescent="0.2">
      <c r="B24" t="s">
        <v>121</v>
      </c>
      <c r="C24">
        <f>C22/C23</f>
        <v>1.3793103448275863</v>
      </c>
      <c r="D24">
        <f>ROUND(C24,1)</f>
        <v>1.4</v>
      </c>
    </row>
    <row r="25" spans="1:5" x14ac:dyDescent="0.2">
      <c r="B25" t="s">
        <v>122</v>
      </c>
    </row>
    <row r="26" spans="1:5" x14ac:dyDescent="0.2">
      <c r="C26">
        <v>1.5</v>
      </c>
      <c r="D26">
        <f>1.4*C26</f>
        <v>2.0999999999999996</v>
      </c>
      <c r="E26" t="s">
        <v>11</v>
      </c>
    </row>
    <row r="27" spans="1:5" x14ac:dyDescent="0.2">
      <c r="C27">
        <v>3</v>
      </c>
      <c r="D27">
        <f t="shared" ref="D27:D29" si="0">1.4*C27</f>
        <v>4.1999999999999993</v>
      </c>
      <c r="E27" t="s">
        <v>11</v>
      </c>
    </row>
    <row r="28" spans="1:5" x14ac:dyDescent="0.2">
      <c r="C28">
        <v>4</v>
      </c>
      <c r="D28">
        <f t="shared" si="0"/>
        <v>5.6</v>
      </c>
      <c r="E28" t="s">
        <v>11</v>
      </c>
    </row>
    <row r="29" spans="1:5" x14ac:dyDescent="0.2">
      <c r="C29">
        <v>4.5</v>
      </c>
      <c r="D29">
        <f t="shared" si="0"/>
        <v>6.3</v>
      </c>
      <c r="E29" t="s">
        <v>11</v>
      </c>
    </row>
    <row r="33" spans="2:11" x14ac:dyDescent="0.2">
      <c r="B33" t="s">
        <v>1</v>
      </c>
      <c r="C33" t="s">
        <v>120</v>
      </c>
      <c r="D33" t="s">
        <v>137</v>
      </c>
      <c r="E33" t="s">
        <v>132</v>
      </c>
      <c r="F33" t="s">
        <v>133</v>
      </c>
      <c r="G33" t="s">
        <v>134</v>
      </c>
      <c r="H33" t="s">
        <v>135</v>
      </c>
      <c r="I33" t="s">
        <v>138</v>
      </c>
      <c r="J33" t="s">
        <v>216</v>
      </c>
      <c r="K33" t="s">
        <v>217</v>
      </c>
    </row>
    <row r="34" spans="2:11" x14ac:dyDescent="0.2">
      <c r="B34" s="15" t="s">
        <v>87</v>
      </c>
      <c r="C34" s="17">
        <v>3</v>
      </c>
      <c r="D34">
        <f>Tabelle2[[#This Row],[Credits]]*1.4</f>
        <v>4.1999999999999993</v>
      </c>
      <c r="E34">
        <v>9</v>
      </c>
      <c r="F34">
        <v>12</v>
      </c>
      <c r="G34">
        <f>3*(Tabelle2[[#This Row],[K]])</f>
        <v>27</v>
      </c>
      <c r="H34">
        <f>Tabelle2[[#This Row],[Levelanzahl]]/Tabelle2[[#This Row],[W]]</f>
        <v>2.25</v>
      </c>
      <c r="I34">
        <f>ROUND(Tabelle2[[#This Row],[Stunden/Fach/Woche]]/Tabelle2[[#This Row],[Vergügbare Levels pro Woche pro Fach]],1)</f>
        <v>1.9</v>
      </c>
      <c r="J34">
        <v>1.75</v>
      </c>
      <c r="K34">
        <f>Tabelle2[[#This Row],[Stunden/Fach/Woche]]-Tabelle2[[#This Row],[Vorlesungen pro Woche]]</f>
        <v>2.4499999999999993</v>
      </c>
    </row>
    <row r="35" spans="2:11" x14ac:dyDescent="0.2">
      <c r="B35" s="50" t="s">
        <v>88</v>
      </c>
      <c r="C35" s="17">
        <v>3</v>
      </c>
      <c r="D35">
        <f>Tabelle2[[#This Row],[Credits]]*1.4</f>
        <v>4.1999999999999993</v>
      </c>
      <c r="E35">
        <v>10</v>
      </c>
      <c r="F35">
        <v>12</v>
      </c>
      <c r="G35">
        <f>3*(Tabelle2[[#This Row],[K]])</f>
        <v>30</v>
      </c>
      <c r="H35">
        <f>Tabelle2[[#This Row],[Levelanzahl]]/Tabelle2[[#This Row],[W]]</f>
        <v>2.5</v>
      </c>
      <c r="I35">
        <f>ROUND(Tabelle2[[#This Row],[Stunden/Fach/Woche]]/Tabelle2[[#This Row],[Vergügbare Levels pro Woche pro Fach]],1)</f>
        <v>1.7</v>
      </c>
      <c r="J35">
        <v>5.25</v>
      </c>
      <c r="K35">
        <f>Tabelle2[[#This Row],[Stunden/Fach/Woche]]-Tabelle2[[#This Row],[Vorlesungen pro Woche]]</f>
        <v>-1.0500000000000007</v>
      </c>
    </row>
    <row r="36" spans="2:11" x14ac:dyDescent="0.2">
      <c r="B36" s="56" t="s">
        <v>89</v>
      </c>
      <c r="C36" s="17">
        <v>4</v>
      </c>
      <c r="D36">
        <f>Tabelle2[[#This Row],[Credits]]*1.4</f>
        <v>5.6</v>
      </c>
      <c r="E36">
        <v>9</v>
      </c>
      <c r="F36">
        <v>12</v>
      </c>
      <c r="G36">
        <f>3*(Tabelle2[[#This Row],[K]])</f>
        <v>27</v>
      </c>
      <c r="H36">
        <f>Tabelle2[[#This Row],[Levelanzahl]]/Tabelle2[[#This Row],[W]]</f>
        <v>2.25</v>
      </c>
      <c r="I36">
        <f>ROUND(Tabelle2[[#This Row],[Stunden/Fach/Woche]]/Tabelle2[[#This Row],[Vergügbare Levels pro Woche pro Fach]],1)</f>
        <v>2.5</v>
      </c>
      <c r="J36">
        <v>3.5</v>
      </c>
      <c r="K36">
        <f>Tabelle2[[#This Row],[Stunden/Fach/Woche]]-Tabelle2[[#This Row],[Vorlesungen pro Woche]]</f>
        <v>2.0999999999999996</v>
      </c>
    </row>
    <row r="37" spans="2:11" x14ac:dyDescent="0.2">
      <c r="B37" s="27" t="s">
        <v>90</v>
      </c>
      <c r="C37" s="17">
        <v>3</v>
      </c>
      <c r="D37">
        <f>Tabelle2[[#This Row],[Credits]]*1.4</f>
        <v>4.1999999999999993</v>
      </c>
      <c r="E37">
        <v>12</v>
      </c>
      <c r="F37">
        <v>12</v>
      </c>
      <c r="G37">
        <f>3*(Tabelle2[[#This Row],[K]])</f>
        <v>36</v>
      </c>
      <c r="H37">
        <f>Tabelle2[[#This Row],[Levelanzahl]]/Tabelle2[[#This Row],[W]]</f>
        <v>3</v>
      </c>
      <c r="I37">
        <f>ROUND(Tabelle2[[#This Row],[Stunden/Fach/Woche]]/Tabelle2[[#This Row],[Vergügbare Levels pro Woche pro Fach]],1)</f>
        <v>1.4</v>
      </c>
      <c r="J37">
        <v>1.75</v>
      </c>
      <c r="K37">
        <f>Tabelle2[[#This Row],[Stunden/Fach/Woche]]-Tabelle2[[#This Row],[Vorlesungen pro Woche]]</f>
        <v>2.4499999999999993</v>
      </c>
    </row>
    <row r="38" spans="2:11" x14ac:dyDescent="0.2">
      <c r="B38" s="33" t="s">
        <v>91</v>
      </c>
      <c r="C38" s="17">
        <v>6</v>
      </c>
      <c r="D38">
        <f>Tabelle2[[#This Row],[Credits]]*1.4</f>
        <v>8.3999999999999986</v>
      </c>
      <c r="E38">
        <v>10</v>
      </c>
      <c r="F38">
        <v>12</v>
      </c>
      <c r="G38">
        <f>3*(Tabelle2[[#This Row],[K]])</f>
        <v>30</v>
      </c>
      <c r="H38">
        <f>Tabelle2[[#This Row],[Levelanzahl]]/Tabelle2[[#This Row],[W]]</f>
        <v>2.5</v>
      </c>
      <c r="I38">
        <f>ROUND(Tabelle2[[#This Row],[Stunden/Fach/Woche]]/Tabelle2[[#This Row],[Vergügbare Levels pro Woche pro Fach]],1)</f>
        <v>3.4</v>
      </c>
      <c r="J38">
        <v>3.5</v>
      </c>
      <c r="K38">
        <f>Tabelle2[[#This Row],[Stunden/Fach/Woche]]-Tabelle2[[#This Row],[Vorlesungen pro Woche]]</f>
        <v>4.8999999999999986</v>
      </c>
    </row>
    <row r="39" spans="2:11" x14ac:dyDescent="0.2">
      <c r="B39" s="39" t="s">
        <v>92</v>
      </c>
      <c r="C39" s="17">
        <v>4</v>
      </c>
      <c r="D39">
        <f>Tabelle2[[#This Row],[Credits]]*1.4</f>
        <v>5.6</v>
      </c>
      <c r="E39">
        <v>6</v>
      </c>
      <c r="F39">
        <v>12</v>
      </c>
      <c r="G39">
        <f>3*(Tabelle2[[#This Row],[K]])</f>
        <v>18</v>
      </c>
      <c r="H39">
        <f>Tabelle2[[#This Row],[Levelanzahl]]/Tabelle2[[#This Row],[W]]</f>
        <v>1.5</v>
      </c>
      <c r="I39">
        <f>ROUND(Tabelle2[[#This Row],[Stunden/Fach/Woche]]/Tabelle2[[#This Row],[Vergügbare Levels pro Woche pro Fach]],1)</f>
        <v>3.7</v>
      </c>
      <c r="J39">
        <v>1.75</v>
      </c>
      <c r="K39">
        <f>Tabelle2[[#This Row],[Stunden/Fach/Woche]]-Tabelle2[[#This Row],[Vorlesungen pro Woche]]</f>
        <v>3.8499999999999996</v>
      </c>
    </row>
    <row r="40" spans="2:11" x14ac:dyDescent="0.2">
      <c r="B40" s="62" t="s">
        <v>93</v>
      </c>
      <c r="C40" s="17">
        <v>3</v>
      </c>
      <c r="D40">
        <f>Tabelle2[[#This Row],[Credits]]*1.4</f>
        <v>4.1999999999999993</v>
      </c>
      <c r="E40">
        <v>9</v>
      </c>
      <c r="F40">
        <v>12</v>
      </c>
      <c r="G40">
        <f>3*(Tabelle2[[#This Row],[K]])</f>
        <v>27</v>
      </c>
      <c r="H40">
        <f>Tabelle2[[#This Row],[Levelanzahl]]/Tabelle2[[#This Row],[W]]</f>
        <v>2.25</v>
      </c>
      <c r="I40">
        <f>ROUND(Tabelle2[[#This Row],[Stunden/Fach/Woche]]/Tabelle2[[#This Row],[Vergügbare Levels pro Woche pro Fach]],1)</f>
        <v>1.9</v>
      </c>
      <c r="J40">
        <v>1.75</v>
      </c>
      <c r="K40">
        <f>Tabelle2[[#This Row],[Stunden/Fach/Woche]]-Tabelle2[[#This Row],[Vorlesungen pro Woche]]</f>
        <v>2.4499999999999993</v>
      </c>
    </row>
    <row r="41" spans="2:11" x14ac:dyDescent="0.2">
      <c r="B41" s="68" t="s">
        <v>94</v>
      </c>
      <c r="C41" s="17">
        <v>3</v>
      </c>
      <c r="D41">
        <f>Tabelle2[[#This Row],[Credits]]*1.4</f>
        <v>4.1999999999999993</v>
      </c>
      <c r="E41">
        <v>12</v>
      </c>
      <c r="F41">
        <v>12</v>
      </c>
      <c r="G41">
        <f>3*(Tabelle2[[#This Row],[K]])</f>
        <v>36</v>
      </c>
      <c r="H41">
        <f>Tabelle2[[#This Row],[Levelanzahl]]/Tabelle2[[#This Row],[W]]</f>
        <v>3</v>
      </c>
      <c r="I41">
        <f>ROUND(Tabelle2[[#This Row],[Stunden/Fach/Woche]]/Tabelle2[[#This Row],[Vergügbare Levels pro Woche pro Fach]],1)</f>
        <v>1.4</v>
      </c>
      <c r="J41">
        <v>1.75</v>
      </c>
      <c r="K41">
        <f>Tabelle2[[#This Row],[Stunden/Fach/Woche]]-Tabelle2[[#This Row],[Vorlesungen pro Woche]]</f>
        <v>2.4499999999999993</v>
      </c>
    </row>
    <row r="43" spans="2:11" x14ac:dyDescent="0.2">
      <c r="B43" t="s">
        <v>123</v>
      </c>
      <c r="C43" t="s">
        <v>124</v>
      </c>
    </row>
    <row r="44" spans="2:11" x14ac:dyDescent="0.2">
      <c r="B44">
        <v>1</v>
      </c>
      <c r="C44" t="s">
        <v>125</v>
      </c>
    </row>
    <row r="45" spans="2:11" x14ac:dyDescent="0.2">
      <c r="B45">
        <v>1</v>
      </c>
      <c r="C45" t="s">
        <v>126</v>
      </c>
    </row>
    <row r="46" spans="2:11" x14ac:dyDescent="0.2">
      <c r="B46">
        <v>1</v>
      </c>
      <c r="C46" t="s">
        <v>127</v>
      </c>
    </row>
    <row r="48" spans="2:11" x14ac:dyDescent="0.2">
      <c r="B48" t="s">
        <v>128</v>
      </c>
      <c r="C48" t="s">
        <v>129</v>
      </c>
      <c r="E48" t="s">
        <v>130</v>
      </c>
      <c r="H48" t="s">
        <v>131</v>
      </c>
    </row>
    <row r="49" spans="2:2" x14ac:dyDescent="0.2">
      <c r="B49" t="s">
        <v>136</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97"/>
  <sheetViews>
    <sheetView showGridLines="0" tabSelected="1" zoomScale="89" zoomScaleNormal="83" workbookViewId="0">
      <pane xSplit="12" topLeftCell="M1" activePane="topRight" state="frozen"/>
      <selection pane="topRight" activeCell="CB9" sqref="CB9"/>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3" max="113" width="12.5" bestFit="1" customWidth="1"/>
    <col min="114" max="114" width="6.33203125" customWidth="1"/>
    <col min="115" max="115" width="14.83203125" bestFit="1" customWidth="1"/>
    <col min="116" max="116" width="6" customWidth="1"/>
    <col min="117" max="117" width="12.6640625" bestFit="1" customWidth="1"/>
    <col min="120" max="120" width="12.5" bestFit="1" customWidth="1"/>
    <col min="121" max="121" width="6.33203125" customWidth="1"/>
    <col min="122" max="122" width="14.83203125" bestFit="1" customWidth="1"/>
    <col min="123" max="123" width="6" customWidth="1"/>
    <col min="124" max="124" width="12.6640625" bestFit="1" customWidth="1"/>
    <col min="127" max="127" width="12.5" bestFit="1" customWidth="1"/>
    <col min="128" max="128" width="6.33203125" customWidth="1"/>
    <col min="129" max="129" width="14.83203125" bestFit="1" customWidth="1"/>
    <col min="130" max="130" width="6" customWidth="1"/>
    <col min="131" max="131" width="12.6640625" bestFit="1" customWidth="1"/>
    <col min="134" max="134" width="12.5" bestFit="1" customWidth="1"/>
    <col min="135" max="135" width="6.33203125" customWidth="1"/>
    <col min="136" max="136" width="14.83203125" bestFit="1" customWidth="1"/>
    <col min="137" max="137" width="6" customWidth="1"/>
    <col min="138" max="138" width="12.6640625" bestFit="1" customWidth="1"/>
    <col min="141" max="141" width="12.5" bestFit="1" customWidth="1"/>
    <col min="142" max="142" width="6.33203125" customWidth="1"/>
    <col min="143" max="143" width="14.83203125" bestFit="1" customWidth="1"/>
    <col min="144" max="144" width="6" customWidth="1"/>
    <col min="145" max="145" width="12.6640625" bestFit="1" customWidth="1"/>
  </cols>
  <sheetData>
    <row r="1" spans="2:145" ht="34" x14ac:dyDescent="0.4">
      <c r="B1" s="4" t="s">
        <v>0</v>
      </c>
      <c r="D1" s="4"/>
      <c r="G1" s="10" t="s">
        <v>33</v>
      </c>
      <c r="I1" s="10" t="s">
        <v>33</v>
      </c>
      <c r="J1" s="10" t="s">
        <v>33</v>
      </c>
      <c r="K1" s="10" t="s">
        <v>33</v>
      </c>
    </row>
    <row r="2" spans="2:145" x14ac:dyDescent="0.2">
      <c r="I2" s="76" t="s">
        <v>27</v>
      </c>
      <c r="J2" s="76"/>
      <c r="K2" s="76"/>
      <c r="L2" s="76"/>
      <c r="N2" s="76" t="s">
        <v>95</v>
      </c>
      <c r="O2" s="76"/>
      <c r="P2" s="76"/>
      <c r="Q2" s="76"/>
      <c r="R2" s="76"/>
      <c r="S2" s="76"/>
      <c r="U2" s="76" t="s">
        <v>96</v>
      </c>
      <c r="V2" s="76"/>
      <c r="W2" s="76"/>
      <c r="X2" s="76"/>
      <c r="Y2" s="76"/>
      <c r="Z2" s="76"/>
      <c r="AB2" s="76" t="s">
        <v>97</v>
      </c>
      <c r="AC2" s="76"/>
      <c r="AD2" s="76"/>
      <c r="AE2" s="76"/>
      <c r="AF2" s="76"/>
      <c r="AG2" s="76"/>
      <c r="AI2" s="76" t="s">
        <v>98</v>
      </c>
      <c r="AJ2" s="76"/>
      <c r="AK2" s="76"/>
      <c r="AL2" s="76"/>
      <c r="AM2" s="76"/>
      <c r="AN2" s="76"/>
      <c r="AP2" s="76" t="s">
        <v>99</v>
      </c>
      <c r="AQ2" s="76"/>
      <c r="AR2" s="76"/>
      <c r="AS2" s="76"/>
      <c r="AT2" s="76"/>
      <c r="AU2" s="76"/>
      <c r="AW2" s="76" t="s">
        <v>100</v>
      </c>
      <c r="AX2" s="76"/>
      <c r="AY2" s="76"/>
      <c r="AZ2" s="76"/>
      <c r="BA2" s="76"/>
      <c r="BB2" s="76"/>
      <c r="BD2" s="76" t="s">
        <v>101</v>
      </c>
      <c r="BE2" s="76"/>
      <c r="BF2" s="76"/>
      <c r="BG2" s="76"/>
      <c r="BH2" s="76"/>
      <c r="BI2" s="76"/>
      <c r="BK2" s="76" t="s">
        <v>102</v>
      </c>
      <c r="BL2" s="76"/>
      <c r="BM2" s="76"/>
      <c r="BN2" s="76"/>
      <c r="BO2" s="76"/>
      <c r="BP2" s="76"/>
      <c r="BR2" s="76" t="s">
        <v>103</v>
      </c>
      <c r="BS2" s="76"/>
      <c r="BT2" s="76"/>
      <c r="BU2" s="76"/>
      <c r="BV2" s="76"/>
      <c r="BW2" s="76"/>
      <c r="BY2" s="76" t="s">
        <v>104</v>
      </c>
      <c r="BZ2" s="76"/>
      <c r="CA2" s="76"/>
      <c r="CB2" s="76"/>
      <c r="CC2" s="76"/>
      <c r="CD2" s="76"/>
      <c r="CF2" s="76" t="s">
        <v>105</v>
      </c>
      <c r="CG2" s="76"/>
      <c r="CH2" s="76"/>
      <c r="CI2" s="76"/>
      <c r="CJ2" s="76"/>
      <c r="CK2" s="76"/>
      <c r="CM2" s="77" t="s">
        <v>118</v>
      </c>
      <c r="CN2" s="77"/>
      <c r="CO2" s="77"/>
      <c r="CP2" s="77"/>
      <c r="CQ2" s="77"/>
      <c r="CR2" s="77"/>
      <c r="CT2" s="76" t="s">
        <v>106</v>
      </c>
      <c r="CU2" s="76"/>
      <c r="CV2" s="76"/>
      <c r="CW2" s="76"/>
      <c r="CX2" s="76"/>
      <c r="CY2" s="76"/>
      <c r="DA2" s="76" t="s">
        <v>107</v>
      </c>
      <c r="DB2" s="76"/>
      <c r="DC2" s="76"/>
      <c r="DD2" s="76"/>
      <c r="DE2" s="76"/>
      <c r="DF2" s="76"/>
      <c r="DH2" s="76" t="s">
        <v>108</v>
      </c>
      <c r="DI2" s="76"/>
      <c r="DJ2" s="76"/>
      <c r="DK2" s="76"/>
      <c r="DL2" s="76"/>
      <c r="DM2" s="76"/>
      <c r="DO2" s="76" t="s">
        <v>109</v>
      </c>
      <c r="DP2" s="76"/>
      <c r="DQ2" s="76"/>
      <c r="DR2" s="76"/>
      <c r="DS2" s="76"/>
      <c r="DT2" s="76"/>
      <c r="DV2" s="76" t="s">
        <v>110</v>
      </c>
      <c r="DW2" s="76"/>
      <c r="DX2" s="76"/>
      <c r="DY2" s="76"/>
      <c r="DZ2" s="76"/>
      <c r="EA2" s="76"/>
      <c r="EC2" s="76" t="s">
        <v>111</v>
      </c>
      <c r="ED2" s="76"/>
      <c r="EE2" s="76"/>
      <c r="EF2" s="76"/>
      <c r="EG2" s="76"/>
      <c r="EH2" s="76"/>
      <c r="EJ2" s="76" t="s">
        <v>111</v>
      </c>
      <c r="EK2" s="76"/>
      <c r="EL2" s="76"/>
      <c r="EM2" s="76"/>
      <c r="EN2" s="76"/>
      <c r="EO2" s="76"/>
    </row>
    <row r="3" spans="2:145"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c r="EC3" s="5" t="s">
        <v>11</v>
      </c>
      <c r="ED3" s="5" t="s">
        <v>2</v>
      </c>
      <c r="EE3" s="5" t="s">
        <v>32</v>
      </c>
      <c r="EF3" s="5" t="s">
        <v>3</v>
      </c>
      <c r="EG3" s="5" t="s">
        <v>32</v>
      </c>
      <c r="EH3" s="5" t="s">
        <v>12</v>
      </c>
      <c r="EJ3" s="5" t="s">
        <v>11</v>
      </c>
      <c r="EK3" s="5" t="s">
        <v>2</v>
      </c>
      <c r="EL3" s="5" t="s">
        <v>32</v>
      </c>
      <c r="EM3" s="5" t="s">
        <v>3</v>
      </c>
      <c r="EN3" s="5" t="s">
        <v>32</v>
      </c>
      <c r="EO3" s="5" t="s">
        <v>12</v>
      </c>
    </row>
    <row r="4" spans="2:145" s="15" customFormat="1" x14ac:dyDescent="0.2">
      <c r="B4" s="15" t="s">
        <v>27</v>
      </c>
      <c r="C4" s="15" t="s">
        <v>87</v>
      </c>
      <c r="D4" s="45">
        <v>45306</v>
      </c>
      <c r="E4" s="46">
        <v>3</v>
      </c>
      <c r="G4" s="47">
        <f>+SUM(G5:G13)</f>
        <v>1</v>
      </c>
      <c r="I4" s="48">
        <f>+SUM(I5:I13)</f>
        <v>4</v>
      </c>
      <c r="J4" s="49">
        <f>+SUMPRODUCT(G5:G13,J5:J13)</f>
        <v>0</v>
      </c>
      <c r="K4" s="49">
        <f>+SUMPRODUCT(G5:G13,K5:K13)</f>
        <v>0</v>
      </c>
      <c r="L4" s="46"/>
      <c r="N4" s="48">
        <f>+SUM(N5:N13)</f>
        <v>4</v>
      </c>
      <c r="U4" s="48">
        <f>+SUM(U5:U13)</f>
        <v>6</v>
      </c>
      <c r="AB4" s="48">
        <f>+SUM(AB5:AB13)</f>
        <v>4</v>
      </c>
      <c r="AI4" s="48">
        <f>+SUM(AI5:AI13)</f>
        <v>4</v>
      </c>
      <c r="AP4" s="48">
        <f>+SUM(AP5:AP13)</f>
        <v>4</v>
      </c>
      <c r="AW4" s="48">
        <f>+SUM(AW5:AW13)</f>
        <v>4</v>
      </c>
      <c r="BD4" s="48">
        <f>+SUM(BD5:BD13)</f>
        <v>4</v>
      </c>
      <c r="BK4" s="48">
        <f>+SUM(BK5:BK13)</f>
        <v>6</v>
      </c>
      <c r="BR4" s="48">
        <f>+SUM(BR5:BR13)</f>
        <v>4</v>
      </c>
      <c r="BY4" s="48">
        <f>+SUM(BY5:BY13)</f>
        <v>4</v>
      </c>
      <c r="CF4" s="48">
        <f>+SUM(CF5:CF13)</f>
        <v>4</v>
      </c>
      <c r="CM4" s="48">
        <f>+SUM(CM5:CM13)</f>
        <v>6</v>
      </c>
      <c r="CT4" s="48">
        <f>+SUM(CT5:CT13)</f>
        <v>0</v>
      </c>
      <c r="DA4" s="48">
        <f>+SUM(DA5:DA13)</f>
        <v>0</v>
      </c>
      <c r="DH4" s="48">
        <f>+SUM(DH5:DH13)</f>
        <v>0</v>
      </c>
      <c r="DO4" s="48">
        <f>+SUM(DO5:DO13)</f>
        <v>0</v>
      </c>
      <c r="DV4" s="48">
        <f>+SUM(DV5:DV13)</f>
        <v>0</v>
      </c>
      <c r="EC4" s="48">
        <f>+SUM(EC5:EC13)</f>
        <v>0</v>
      </c>
      <c r="EJ4" s="48">
        <f>+SUM(EJ5:EJ13)</f>
        <v>0</v>
      </c>
    </row>
    <row r="5" spans="2:145" outlineLevel="1" x14ac:dyDescent="0.2">
      <c r="B5" t="s">
        <v>28</v>
      </c>
      <c r="C5" t="s">
        <v>87</v>
      </c>
      <c r="E5" s="7"/>
      <c r="F5" t="s">
        <v>139</v>
      </c>
      <c r="G5" s="8">
        <v>7.4999999999999997E-2</v>
      </c>
      <c r="I5" s="7">
        <v>4</v>
      </c>
      <c r="J5" s="9" cm="1">
        <f t="array" ref="J5">MAX(IF($N$3:$EH$3=$J$3,N5:EH5))</f>
        <v>0</v>
      </c>
      <c r="K5" s="9" cm="1">
        <f t="array" ref="K5">MAX(IF($N$3:$EH$3=$J$3,N5:EH5))</f>
        <v>0</v>
      </c>
      <c r="L5" s="7"/>
      <c r="N5">
        <v>2</v>
      </c>
      <c r="O5" s="8"/>
      <c r="P5" s="8">
        <v>0.5</v>
      </c>
      <c r="Q5" s="8"/>
      <c r="R5" s="8">
        <v>0.5</v>
      </c>
      <c r="V5" s="8"/>
      <c r="W5" s="8">
        <v>0.5</v>
      </c>
      <c r="X5" s="8"/>
      <c r="Y5" s="8">
        <v>0.5</v>
      </c>
      <c r="AB5">
        <v>2</v>
      </c>
      <c r="AC5" s="8"/>
      <c r="AD5" s="8">
        <v>0.8</v>
      </c>
      <c r="AE5" s="8"/>
      <c r="AF5" s="8">
        <v>0.8</v>
      </c>
      <c r="AJ5" s="8"/>
      <c r="AK5" s="8">
        <v>0.8</v>
      </c>
      <c r="AL5" s="8"/>
      <c r="AM5" s="8">
        <v>0.8</v>
      </c>
      <c r="AQ5" s="8"/>
      <c r="AR5" s="8">
        <v>0.8</v>
      </c>
      <c r="AS5" s="8"/>
      <c r="AT5" s="8">
        <v>0.8</v>
      </c>
      <c r="AX5" s="8"/>
      <c r="AY5" s="8">
        <v>0.8</v>
      </c>
      <c r="AZ5" s="8"/>
      <c r="BA5" s="8">
        <v>0.8</v>
      </c>
      <c r="BD5">
        <v>2</v>
      </c>
      <c r="BE5" s="8"/>
      <c r="BF5" s="8">
        <v>1</v>
      </c>
      <c r="BG5" s="8"/>
      <c r="BH5" s="8">
        <v>1</v>
      </c>
      <c r="BL5" s="8"/>
      <c r="BM5" s="8">
        <v>1</v>
      </c>
      <c r="BN5" s="8"/>
      <c r="BO5" s="8">
        <v>1</v>
      </c>
      <c r="BS5" s="8"/>
      <c r="BT5" s="8">
        <v>1</v>
      </c>
      <c r="BU5" s="8"/>
      <c r="BV5" s="8">
        <v>1</v>
      </c>
      <c r="BY5" s="16"/>
      <c r="BZ5" s="8"/>
      <c r="CA5" s="8">
        <v>1</v>
      </c>
      <c r="CB5" s="8"/>
      <c r="CC5" s="8">
        <v>1</v>
      </c>
      <c r="CG5" s="8"/>
      <c r="CH5" s="8">
        <v>1</v>
      </c>
      <c r="CI5" s="8"/>
      <c r="CJ5" s="8">
        <v>1</v>
      </c>
      <c r="CN5" s="8"/>
      <c r="CO5" s="8">
        <v>1</v>
      </c>
      <c r="CP5" s="8"/>
      <c r="CQ5" s="8">
        <v>1</v>
      </c>
      <c r="CU5" s="8"/>
      <c r="CV5" s="8"/>
      <c r="CW5" s="8"/>
      <c r="CX5" s="8"/>
      <c r="DB5" s="8"/>
      <c r="DC5" s="8"/>
      <c r="DD5" s="8"/>
      <c r="DE5" s="8"/>
      <c r="DI5" s="8"/>
      <c r="DJ5" s="8"/>
      <c r="DK5" s="8"/>
      <c r="DL5" s="8"/>
      <c r="DP5" s="8"/>
      <c r="DQ5" s="8"/>
      <c r="DR5" s="8"/>
      <c r="DS5" s="8"/>
      <c r="DW5" s="8"/>
      <c r="DX5" s="8"/>
      <c r="DY5" s="8"/>
      <c r="DZ5" s="8"/>
      <c r="ED5" s="8"/>
      <c r="EE5" s="8"/>
      <c r="EF5" s="8"/>
      <c r="EG5" s="8"/>
      <c r="EK5" s="8"/>
      <c r="EL5" s="8"/>
      <c r="EM5" s="8"/>
      <c r="EN5" s="8"/>
    </row>
    <row r="6" spans="2:145" outlineLevel="1" x14ac:dyDescent="0.2">
      <c r="B6" t="s">
        <v>28</v>
      </c>
      <c r="C6" t="s">
        <v>87</v>
      </c>
      <c r="E6" s="7"/>
      <c r="F6" t="s">
        <v>140</v>
      </c>
      <c r="G6" s="8">
        <v>7.4999999999999997E-2</v>
      </c>
      <c r="I6" s="7"/>
      <c r="J6" s="9" cm="1">
        <f t="array" ref="J6">MAX(IF($N$3:$EH$3=$J$3,N6:EH6))</f>
        <v>0</v>
      </c>
      <c r="K6" s="9" cm="1">
        <f t="array" ref="K6">MAX(IF($N$3:$EH$3=$J$3,N6:EH6))</f>
        <v>0</v>
      </c>
      <c r="L6" s="7"/>
      <c r="N6">
        <v>2</v>
      </c>
      <c r="O6" s="8"/>
      <c r="P6" s="8">
        <v>0.5</v>
      </c>
      <c r="Q6" s="8"/>
      <c r="R6" s="8">
        <v>0.5</v>
      </c>
      <c r="V6" s="8"/>
      <c r="W6" s="8">
        <v>0.5</v>
      </c>
      <c r="X6" s="8"/>
      <c r="Y6" s="8">
        <v>0.5</v>
      </c>
      <c r="AC6" s="8"/>
      <c r="AD6" s="8">
        <v>0.5</v>
      </c>
      <c r="AE6" s="8"/>
      <c r="AF6" s="8">
        <v>0.5</v>
      </c>
      <c r="AI6">
        <v>2</v>
      </c>
      <c r="AJ6" s="8"/>
      <c r="AK6" s="8">
        <v>0.8</v>
      </c>
      <c r="AL6" s="8"/>
      <c r="AM6" s="8">
        <v>0.8</v>
      </c>
      <c r="AQ6" s="8"/>
      <c r="AR6" s="8">
        <v>0.8</v>
      </c>
      <c r="AS6" s="8"/>
      <c r="AT6" s="8">
        <v>0.8</v>
      </c>
      <c r="AX6" s="8"/>
      <c r="AY6" s="8">
        <v>0.8</v>
      </c>
      <c r="AZ6" s="8"/>
      <c r="BA6" s="8">
        <v>0.8</v>
      </c>
      <c r="BE6" s="8"/>
      <c r="BF6" s="8">
        <v>0.8</v>
      </c>
      <c r="BG6" s="8"/>
      <c r="BH6" s="8">
        <v>0.8</v>
      </c>
      <c r="BK6">
        <v>2</v>
      </c>
      <c r="BL6" s="8"/>
      <c r="BM6" s="8">
        <v>1</v>
      </c>
      <c r="BN6" s="8"/>
      <c r="BO6" s="8">
        <v>1</v>
      </c>
      <c r="BS6" s="8"/>
      <c r="BT6" s="8">
        <v>1</v>
      </c>
      <c r="BU6" s="8"/>
      <c r="BV6" s="8">
        <v>1</v>
      </c>
      <c r="BY6" s="16"/>
      <c r="BZ6" s="8"/>
      <c r="CA6" s="8">
        <v>1</v>
      </c>
      <c r="CB6" s="8"/>
      <c r="CC6" s="8">
        <v>1</v>
      </c>
      <c r="CG6" s="8"/>
      <c r="CH6" s="8">
        <v>1</v>
      </c>
      <c r="CI6" s="8"/>
      <c r="CJ6" s="8">
        <v>1</v>
      </c>
      <c r="CN6" s="8"/>
      <c r="CO6" s="8">
        <v>1</v>
      </c>
      <c r="CP6" s="8"/>
      <c r="CQ6" s="8">
        <v>1</v>
      </c>
      <c r="CU6" s="8"/>
      <c r="CV6" s="8"/>
      <c r="CW6" s="8"/>
      <c r="CX6" s="8"/>
      <c r="DB6" s="8"/>
      <c r="DC6" s="8"/>
      <c r="DD6" s="8"/>
      <c r="DE6" s="8"/>
      <c r="DI6" s="8"/>
      <c r="DJ6" s="8"/>
      <c r="DK6" s="8"/>
      <c r="DL6" s="8"/>
      <c r="DP6" s="8"/>
      <c r="DQ6" s="8"/>
      <c r="DR6" s="8"/>
      <c r="DS6" s="8"/>
      <c r="DW6" s="8"/>
      <c r="DX6" s="8"/>
      <c r="DY6" s="8"/>
      <c r="DZ6" s="8"/>
      <c r="ED6" s="8"/>
      <c r="EE6" s="8"/>
      <c r="EF6" s="8"/>
      <c r="EG6" s="8"/>
      <c r="EK6" s="8"/>
      <c r="EL6" s="8"/>
      <c r="EM6" s="8"/>
      <c r="EN6" s="8"/>
    </row>
    <row r="7" spans="2:145" outlineLevel="1" x14ac:dyDescent="0.2">
      <c r="B7" t="s">
        <v>28</v>
      </c>
      <c r="C7" t="s">
        <v>87</v>
      </c>
      <c r="E7" s="7"/>
      <c r="F7" t="s">
        <v>141</v>
      </c>
      <c r="G7" s="8">
        <v>0.13</v>
      </c>
      <c r="I7" s="7"/>
      <c r="J7" s="9" cm="1">
        <f t="array" ref="J7">MAX(IF($N$3:$EH$3=$J$3,N7:EH7))</f>
        <v>0</v>
      </c>
      <c r="K7" s="9" cm="1">
        <f t="array" ref="K7">MAX(IF($N$3:$EH$3=$J$3,N7:EH7))</f>
        <v>0</v>
      </c>
      <c r="L7" s="7"/>
      <c r="O7" s="8"/>
      <c r="P7" s="8"/>
      <c r="Q7" s="8"/>
      <c r="R7" s="8"/>
      <c r="U7">
        <v>2</v>
      </c>
      <c r="V7" s="8"/>
      <c r="W7" s="8">
        <v>0.5</v>
      </c>
      <c r="X7" s="8"/>
      <c r="Y7" s="8">
        <v>0.5</v>
      </c>
      <c r="AC7" s="8"/>
      <c r="AD7" s="8">
        <v>0.5</v>
      </c>
      <c r="AE7" s="8"/>
      <c r="AF7" s="8">
        <v>0.5</v>
      </c>
      <c r="AJ7" s="8"/>
      <c r="AK7" s="8">
        <v>0.5</v>
      </c>
      <c r="AL7" s="8"/>
      <c r="AM7" s="8">
        <v>0.5</v>
      </c>
      <c r="AP7">
        <v>2</v>
      </c>
      <c r="AQ7" s="8"/>
      <c r="AR7" s="8">
        <v>0.8</v>
      </c>
      <c r="AS7" s="8"/>
      <c r="AT7" s="8">
        <v>0.8</v>
      </c>
      <c r="AX7" s="8"/>
      <c r="AY7" s="8">
        <v>0.8</v>
      </c>
      <c r="AZ7" s="8"/>
      <c r="BA7" s="8">
        <v>0.8</v>
      </c>
      <c r="BE7" s="8"/>
      <c r="BF7" s="8">
        <v>0.8</v>
      </c>
      <c r="BG7" s="8"/>
      <c r="BH7" s="8">
        <v>0.8</v>
      </c>
      <c r="BL7" s="8"/>
      <c r="BM7" s="8">
        <v>0.8</v>
      </c>
      <c r="BN7" s="8"/>
      <c r="BO7" s="8">
        <v>0.8</v>
      </c>
      <c r="BR7">
        <v>2</v>
      </c>
      <c r="BS7" s="8"/>
      <c r="BT7" s="8">
        <v>1</v>
      </c>
      <c r="BU7" s="8"/>
      <c r="BV7" s="8">
        <v>1</v>
      </c>
      <c r="BY7" s="16"/>
      <c r="BZ7" s="8"/>
      <c r="CA7" s="8">
        <v>1</v>
      </c>
      <c r="CB7" s="8"/>
      <c r="CC7" s="8">
        <v>1</v>
      </c>
      <c r="CG7" s="8"/>
      <c r="CH7" s="8">
        <v>1</v>
      </c>
      <c r="CI7" s="8"/>
      <c r="CJ7" s="8">
        <v>1</v>
      </c>
      <c r="CN7" s="8"/>
      <c r="CO7" s="8">
        <v>1</v>
      </c>
      <c r="CP7" s="8"/>
      <c r="CQ7" s="8">
        <v>1</v>
      </c>
      <c r="CU7" s="8"/>
      <c r="CV7" s="8"/>
      <c r="CW7" s="8"/>
      <c r="CX7" s="8"/>
      <c r="DB7" s="8"/>
      <c r="DC7" s="8"/>
      <c r="DD7" s="8"/>
      <c r="DE7" s="8"/>
      <c r="DI7" s="8"/>
      <c r="DJ7" s="8"/>
      <c r="DK7" s="8"/>
      <c r="DL7" s="8"/>
      <c r="DP7" s="8"/>
      <c r="DQ7" s="8"/>
      <c r="DR7" s="8"/>
      <c r="DS7" s="8"/>
      <c r="DW7" s="8"/>
      <c r="DX7" s="8"/>
      <c r="DY7" s="8"/>
      <c r="DZ7" s="8"/>
      <c r="ED7" s="8"/>
      <c r="EE7" s="8"/>
      <c r="EF7" s="8"/>
      <c r="EG7" s="8"/>
      <c r="EK7" s="8"/>
      <c r="EL7" s="8"/>
      <c r="EM7" s="8"/>
      <c r="EN7" s="8"/>
    </row>
    <row r="8" spans="2:145" outlineLevel="1" x14ac:dyDescent="0.2">
      <c r="B8" t="s">
        <v>28</v>
      </c>
      <c r="C8" t="s">
        <v>87</v>
      </c>
      <c r="E8" s="7"/>
      <c r="F8" t="s">
        <v>209</v>
      </c>
      <c r="G8" s="8">
        <v>7.0000000000000007E-2</v>
      </c>
      <c r="I8" s="7"/>
      <c r="J8" s="9" cm="1">
        <f t="array" ref="J8">MAX(IF($N$3:$EH$3=$J$3,N8:EH8))</f>
        <v>0</v>
      </c>
      <c r="K8" s="9" cm="1">
        <f t="array" ref="K8">MAX(IF($N$3:$EH$3=$J$3,N8:EH8))</f>
        <v>0</v>
      </c>
      <c r="L8" s="7"/>
      <c r="O8" s="8"/>
      <c r="P8" s="8"/>
      <c r="Q8" s="8"/>
      <c r="R8" s="8"/>
      <c r="U8">
        <v>2</v>
      </c>
      <c r="V8" s="8"/>
      <c r="W8" s="8">
        <v>0.5</v>
      </c>
      <c r="X8" s="8"/>
      <c r="Y8" s="8">
        <v>0.5</v>
      </c>
      <c r="AC8" s="8"/>
      <c r="AD8" s="8">
        <v>0.5</v>
      </c>
      <c r="AE8" s="8"/>
      <c r="AF8" s="8">
        <v>0.5</v>
      </c>
      <c r="AJ8" s="8"/>
      <c r="AK8" s="8">
        <v>0.5</v>
      </c>
      <c r="AL8" s="8"/>
      <c r="AM8" s="8">
        <v>0.5</v>
      </c>
      <c r="AQ8" s="8"/>
      <c r="AR8" s="8">
        <v>0.5</v>
      </c>
      <c r="AS8" s="8"/>
      <c r="AT8" s="8">
        <v>0.5</v>
      </c>
      <c r="AW8">
        <v>2</v>
      </c>
      <c r="AX8" s="8"/>
      <c r="AY8" s="8">
        <v>0.8</v>
      </c>
      <c r="AZ8" s="8"/>
      <c r="BA8" s="8">
        <v>0.8</v>
      </c>
      <c r="BE8" s="8"/>
      <c r="BF8" s="8">
        <v>0.8</v>
      </c>
      <c r="BG8" s="8"/>
      <c r="BH8" s="8">
        <v>0.8</v>
      </c>
      <c r="BL8" s="8"/>
      <c r="BM8" s="8">
        <v>0.8</v>
      </c>
      <c r="BN8" s="8"/>
      <c r="BO8" s="8">
        <v>0.8</v>
      </c>
      <c r="BS8" s="8"/>
      <c r="BT8" s="8">
        <v>0.8</v>
      </c>
      <c r="BU8" s="8"/>
      <c r="BV8" s="8">
        <v>0.8</v>
      </c>
      <c r="BY8">
        <v>2</v>
      </c>
      <c r="BZ8" s="8"/>
      <c r="CA8" s="8">
        <v>1</v>
      </c>
      <c r="CB8" s="8"/>
      <c r="CC8" s="8">
        <v>1</v>
      </c>
      <c r="CG8" s="8"/>
      <c r="CH8" s="8">
        <v>1</v>
      </c>
      <c r="CI8" s="8"/>
      <c r="CJ8" s="8">
        <v>1</v>
      </c>
      <c r="CN8" s="8"/>
      <c r="CO8" s="8">
        <v>1</v>
      </c>
      <c r="CP8" s="8"/>
      <c r="CQ8" s="8">
        <v>1</v>
      </c>
      <c r="CU8" s="8"/>
      <c r="CV8" s="8"/>
      <c r="CW8" s="8"/>
      <c r="CX8" s="8"/>
      <c r="DB8" s="8"/>
      <c r="DC8" s="8"/>
      <c r="DD8" s="8"/>
      <c r="DE8" s="8"/>
      <c r="DI8" s="8"/>
      <c r="DJ8" s="8"/>
      <c r="DK8" s="8"/>
      <c r="DL8" s="8"/>
      <c r="DP8" s="8"/>
      <c r="DQ8" s="8"/>
      <c r="DR8" s="8"/>
      <c r="DS8" s="8"/>
      <c r="DW8" s="8"/>
      <c r="DX8" s="8"/>
      <c r="DY8" s="8"/>
      <c r="DZ8" s="8"/>
      <c r="ED8" s="8"/>
      <c r="EE8" s="8"/>
      <c r="EF8" s="8"/>
      <c r="EG8" s="8"/>
      <c r="EK8" s="8"/>
      <c r="EL8" s="8"/>
      <c r="EM8" s="8"/>
      <c r="EN8" s="8"/>
    </row>
    <row r="9" spans="2:145" outlineLevel="1" x14ac:dyDescent="0.2">
      <c r="B9" t="s">
        <v>28</v>
      </c>
      <c r="C9" t="s">
        <v>87</v>
      </c>
      <c r="E9" s="7"/>
      <c r="F9" t="s">
        <v>142</v>
      </c>
      <c r="G9" s="8">
        <v>0.08</v>
      </c>
      <c r="I9" s="7"/>
      <c r="J9" s="9" cm="1">
        <f t="array" ref="J9">MAX(IF($N$3:$EH$3=$J$3,N9:EH9))</f>
        <v>0</v>
      </c>
      <c r="K9" s="9" cm="1">
        <f t="array" ref="K9">MAX(IF($N$3:$EH$3=$J$3,N9:EH9))</f>
        <v>0</v>
      </c>
      <c r="L9" s="7"/>
      <c r="O9" s="8"/>
      <c r="P9" s="8"/>
      <c r="Q9" s="8"/>
      <c r="R9" s="8"/>
      <c r="U9">
        <v>2</v>
      </c>
      <c r="V9" s="8"/>
      <c r="W9" s="8">
        <v>0.5</v>
      </c>
      <c r="X9" s="8"/>
      <c r="Y9" s="8">
        <v>0.5</v>
      </c>
      <c r="AC9" s="8"/>
      <c r="AD9" s="8">
        <v>0.5</v>
      </c>
      <c r="AE9" s="8"/>
      <c r="AF9" s="8">
        <v>0.5</v>
      </c>
      <c r="AJ9" s="8"/>
      <c r="AK9" s="8">
        <v>0.5</v>
      </c>
      <c r="AL9" s="8"/>
      <c r="AM9" s="8">
        <v>0.5</v>
      </c>
      <c r="AQ9" s="8"/>
      <c r="AR9" s="8">
        <v>0.5</v>
      </c>
      <c r="AS9" s="8"/>
      <c r="AT9" s="8">
        <v>0.5</v>
      </c>
      <c r="AX9" s="8"/>
      <c r="AY9" s="8">
        <v>0.5</v>
      </c>
      <c r="AZ9" s="8"/>
      <c r="BA9" s="8">
        <v>0.5</v>
      </c>
      <c r="BD9">
        <v>2</v>
      </c>
      <c r="BE9" s="8"/>
      <c r="BF9" s="8">
        <v>0.8</v>
      </c>
      <c r="BG9" s="8"/>
      <c r="BH9" s="8">
        <v>0.8</v>
      </c>
      <c r="BL9" s="8"/>
      <c r="BM9" s="8">
        <v>0.8</v>
      </c>
      <c r="BN9" s="8"/>
      <c r="BO9" s="8">
        <v>0.8</v>
      </c>
      <c r="BS9" s="8"/>
      <c r="BT9" s="8">
        <v>0.8</v>
      </c>
      <c r="BU9" s="8"/>
      <c r="BV9" s="8">
        <v>0.8</v>
      </c>
      <c r="BZ9" s="8"/>
      <c r="CA9" s="8">
        <v>0.8</v>
      </c>
      <c r="CB9" s="8"/>
      <c r="CC9" s="8">
        <v>0.8</v>
      </c>
      <c r="CF9">
        <v>2</v>
      </c>
      <c r="CG9" s="8"/>
      <c r="CH9" s="8">
        <v>1</v>
      </c>
      <c r="CI9" s="8"/>
      <c r="CJ9" s="8">
        <v>1</v>
      </c>
      <c r="CN9" s="8"/>
      <c r="CO9" s="8">
        <v>1</v>
      </c>
      <c r="CP9" s="8"/>
      <c r="CQ9" s="8">
        <v>1</v>
      </c>
      <c r="CU9" s="8"/>
      <c r="CV9" s="8"/>
      <c r="CW9" s="8"/>
      <c r="CX9" s="8"/>
      <c r="DB9" s="8"/>
      <c r="DC9" s="8"/>
      <c r="DD9" s="8"/>
      <c r="DE9" s="8"/>
      <c r="DI9" s="8"/>
      <c r="DJ9" s="8"/>
      <c r="DK9" s="8"/>
      <c r="DL9" s="8"/>
      <c r="DP9" s="8"/>
      <c r="DQ9" s="8"/>
      <c r="DR9" s="8"/>
      <c r="DS9" s="8"/>
      <c r="DW9" s="8"/>
      <c r="DX9" s="8"/>
      <c r="DY9" s="8"/>
      <c r="DZ9" s="8"/>
      <c r="ED9" s="8"/>
      <c r="EE9" s="8"/>
      <c r="EF9" s="8"/>
      <c r="EG9" s="8"/>
      <c r="EK9" s="8"/>
      <c r="EL9" s="8"/>
      <c r="EM9" s="8"/>
      <c r="EN9" s="8"/>
    </row>
    <row r="10" spans="2:145" outlineLevel="1" x14ac:dyDescent="0.2">
      <c r="B10" t="s">
        <v>28</v>
      </c>
      <c r="C10" t="s">
        <v>87</v>
      </c>
      <c r="E10" s="7"/>
      <c r="F10" t="s">
        <v>143</v>
      </c>
      <c r="G10" s="8">
        <v>0.13</v>
      </c>
      <c r="I10" s="7"/>
      <c r="J10" s="9" cm="1">
        <f t="array" ref="J10">MAX(IF($N$3:$EH$3=$J$3,N10:EH10))</f>
        <v>0</v>
      </c>
      <c r="K10" s="9" cm="1">
        <f t="array" ref="K10">MAX(IF($N$3:$EH$3=$J$3,N10:EH10))</f>
        <v>0</v>
      </c>
      <c r="L10" s="7"/>
      <c r="O10" s="8"/>
      <c r="P10" s="8"/>
      <c r="Q10" s="8"/>
      <c r="R10" s="8"/>
      <c r="V10" s="8"/>
      <c r="W10" s="8"/>
      <c r="X10" s="8"/>
      <c r="Y10" s="8"/>
      <c r="AB10">
        <v>2</v>
      </c>
      <c r="AC10" s="8"/>
      <c r="AD10" s="8">
        <v>0.5</v>
      </c>
      <c r="AE10" s="8"/>
      <c r="AF10" s="8">
        <v>0.5</v>
      </c>
      <c r="AJ10" s="8"/>
      <c r="AK10" s="8">
        <v>0.5</v>
      </c>
      <c r="AL10" s="8"/>
      <c r="AM10" s="8">
        <v>0.5</v>
      </c>
      <c r="AQ10" s="8"/>
      <c r="AR10" s="8">
        <v>0.5</v>
      </c>
      <c r="AS10" s="8"/>
      <c r="AT10" s="8">
        <v>0.5</v>
      </c>
      <c r="AX10" s="8"/>
      <c r="AY10" s="8">
        <v>0.5</v>
      </c>
      <c r="AZ10" s="8"/>
      <c r="BA10" s="8">
        <v>0.5</v>
      </c>
      <c r="BE10" s="8"/>
      <c r="BF10" s="8">
        <v>0.5</v>
      </c>
      <c r="BG10" s="8"/>
      <c r="BH10" s="8">
        <v>0.5</v>
      </c>
      <c r="BK10">
        <v>2</v>
      </c>
      <c r="BL10" s="8"/>
      <c r="BM10" s="8">
        <v>0.8</v>
      </c>
      <c r="BN10" s="8"/>
      <c r="BO10" s="8">
        <v>0.8</v>
      </c>
      <c r="BS10" s="8"/>
      <c r="BT10" s="8">
        <v>0.8</v>
      </c>
      <c r="BU10" s="8"/>
      <c r="BV10" s="8">
        <v>0.8</v>
      </c>
      <c r="BZ10" s="8"/>
      <c r="CA10" s="8">
        <v>0.8</v>
      </c>
      <c r="CB10" s="8"/>
      <c r="CC10" s="8">
        <v>0.8</v>
      </c>
      <c r="CF10">
        <v>2</v>
      </c>
      <c r="CG10" s="8"/>
      <c r="CH10" s="8">
        <v>1</v>
      </c>
      <c r="CI10" s="8"/>
      <c r="CJ10" s="8">
        <v>1</v>
      </c>
      <c r="CN10" s="8"/>
      <c r="CO10" s="8">
        <v>1</v>
      </c>
      <c r="CP10" s="8"/>
      <c r="CQ10" s="8">
        <v>1</v>
      </c>
      <c r="CU10" s="8"/>
      <c r="CV10" s="8"/>
      <c r="CW10" s="8"/>
      <c r="CX10" s="8"/>
      <c r="DB10" s="8"/>
      <c r="DC10" s="8"/>
      <c r="DD10" s="8"/>
      <c r="DE10" s="8"/>
      <c r="DI10" s="8"/>
      <c r="DJ10" s="8"/>
      <c r="DK10" s="8"/>
      <c r="DL10" s="8"/>
      <c r="DP10" s="8"/>
      <c r="DQ10" s="8"/>
      <c r="DR10" s="8"/>
      <c r="DS10" s="8"/>
      <c r="DW10" s="8"/>
      <c r="DX10" s="8"/>
      <c r="DY10" s="8"/>
      <c r="DZ10" s="8"/>
      <c r="ED10" s="8"/>
      <c r="EE10" s="8"/>
      <c r="EF10" s="8"/>
      <c r="EG10" s="8"/>
      <c r="EK10" s="8"/>
      <c r="EL10" s="8"/>
      <c r="EM10" s="8"/>
      <c r="EN10" s="8"/>
    </row>
    <row r="11" spans="2:145" outlineLevel="1" x14ac:dyDescent="0.2">
      <c r="B11" t="s">
        <v>28</v>
      </c>
      <c r="C11" t="s">
        <v>87</v>
      </c>
      <c r="E11" s="7"/>
      <c r="F11" t="s">
        <v>144</v>
      </c>
      <c r="G11" s="8">
        <v>0.13</v>
      </c>
      <c r="I11" s="7"/>
      <c r="J11" s="9" cm="1">
        <f t="array" ref="J11">MAX(IF($N$3:$EH$3=$J$3,N11:EH11))</f>
        <v>0</v>
      </c>
      <c r="K11" s="9" cm="1">
        <f t="array" ref="K11">MAX(IF($N$3:$EH$3=$J$3,N11:EH11))</f>
        <v>0</v>
      </c>
      <c r="L11" s="7"/>
      <c r="O11" s="8"/>
      <c r="P11" s="8"/>
      <c r="Q11" s="8"/>
      <c r="R11" s="8"/>
      <c r="V11" s="8"/>
      <c r="W11" s="8"/>
      <c r="X11" s="8"/>
      <c r="Y11" s="8"/>
      <c r="AC11" s="8"/>
      <c r="AD11" s="8"/>
      <c r="AE11" s="8"/>
      <c r="AF11" s="8"/>
      <c r="AI11">
        <v>2</v>
      </c>
      <c r="AJ11" s="8"/>
      <c r="AK11" s="8">
        <v>0.5</v>
      </c>
      <c r="AL11" s="8"/>
      <c r="AM11" s="8">
        <v>0.5</v>
      </c>
      <c r="AQ11" s="8"/>
      <c r="AR11" s="8">
        <v>0.5</v>
      </c>
      <c r="AS11" s="8"/>
      <c r="AT11" s="8">
        <v>0.5</v>
      </c>
      <c r="AX11" s="8"/>
      <c r="AY11" s="8">
        <v>0.5</v>
      </c>
      <c r="AZ11" s="8"/>
      <c r="BA11" s="8">
        <v>0.5</v>
      </c>
      <c r="BE11" s="8"/>
      <c r="BF11" s="8">
        <v>0.5</v>
      </c>
      <c r="BG11" s="8"/>
      <c r="BH11" s="8">
        <v>0.5</v>
      </c>
      <c r="BK11">
        <v>2</v>
      </c>
      <c r="BL11" s="8"/>
      <c r="BM11" s="8">
        <v>0.8</v>
      </c>
      <c r="BN11" s="8"/>
      <c r="BO11" s="8">
        <v>0.8</v>
      </c>
      <c r="BS11" s="8"/>
      <c r="BT11" s="8">
        <v>0.8</v>
      </c>
      <c r="BU11" s="8"/>
      <c r="BV11" s="8">
        <v>0.8</v>
      </c>
      <c r="BZ11" s="8"/>
      <c r="CA11" s="8">
        <v>0.8</v>
      </c>
      <c r="CB11" s="8"/>
      <c r="CC11" s="8">
        <v>0.8</v>
      </c>
      <c r="CG11" s="8"/>
      <c r="CH11" s="8">
        <v>0.8</v>
      </c>
      <c r="CI11" s="8"/>
      <c r="CJ11" s="8">
        <v>0.8</v>
      </c>
      <c r="CM11">
        <v>2</v>
      </c>
      <c r="CN11" s="8"/>
      <c r="CO11" s="8">
        <v>1</v>
      </c>
      <c r="CP11" s="8"/>
      <c r="CQ11" s="8">
        <v>1</v>
      </c>
      <c r="CU11" s="8"/>
      <c r="CV11" s="8"/>
      <c r="CW11" s="8"/>
      <c r="CX11" s="8"/>
      <c r="DB11" s="8"/>
      <c r="DC11" s="8"/>
      <c r="DD11" s="8"/>
      <c r="DE11" s="8"/>
      <c r="DI11" s="8"/>
      <c r="DJ11" s="8"/>
      <c r="DK11" s="8"/>
      <c r="DL11" s="8"/>
      <c r="DP11" s="8"/>
      <c r="DQ11" s="8"/>
      <c r="DR11" s="8"/>
      <c r="DS11" s="8"/>
      <c r="DW11" s="8"/>
      <c r="DX11" s="8"/>
      <c r="DY11" s="8"/>
      <c r="DZ11" s="8"/>
      <c r="ED11" s="8"/>
      <c r="EE11" s="8"/>
      <c r="EF11" s="8"/>
      <c r="EG11" s="8"/>
      <c r="EK11" s="8"/>
      <c r="EL11" s="8"/>
      <c r="EM11" s="8"/>
      <c r="EN11" s="8"/>
    </row>
    <row r="12" spans="2:145" outlineLevel="1" x14ac:dyDescent="0.2">
      <c r="B12" t="s">
        <v>28</v>
      </c>
      <c r="C12" t="s">
        <v>87</v>
      </c>
      <c r="E12" s="7"/>
      <c r="F12" t="s">
        <v>145</v>
      </c>
      <c r="G12" s="8">
        <v>0.13</v>
      </c>
      <c r="I12" s="7"/>
      <c r="J12" s="9" cm="1">
        <f t="array" ref="J12">MAX(IF($N$3:$EH$3=$J$3,N12:EH12))</f>
        <v>0</v>
      </c>
      <c r="K12" s="9" cm="1">
        <f t="array" ref="K12">MAX(IF($N$3:$EH$3=$J$3,N12:EH12))</f>
        <v>0</v>
      </c>
      <c r="L12" s="7"/>
      <c r="O12" s="8"/>
      <c r="P12" s="8"/>
      <c r="Q12" s="8"/>
      <c r="R12" s="8"/>
      <c r="V12" s="8"/>
      <c r="W12" s="8"/>
      <c r="X12" s="8"/>
      <c r="Y12" s="8"/>
      <c r="AC12" s="8"/>
      <c r="AD12" s="8"/>
      <c r="AE12" s="8"/>
      <c r="AF12" s="8"/>
      <c r="AJ12" s="8"/>
      <c r="AK12" s="8"/>
      <c r="AL12" s="8"/>
      <c r="AM12" s="8"/>
      <c r="AP12">
        <v>2</v>
      </c>
      <c r="AQ12" s="8"/>
      <c r="AR12" s="8">
        <v>0.5</v>
      </c>
      <c r="AS12" s="8"/>
      <c r="AT12" s="8">
        <v>0.5</v>
      </c>
      <c r="AX12" s="8"/>
      <c r="AY12" s="8">
        <v>0.5</v>
      </c>
      <c r="AZ12" s="8"/>
      <c r="BA12" s="8">
        <v>0.5</v>
      </c>
      <c r="BE12" s="8"/>
      <c r="BF12" s="8">
        <v>0.5</v>
      </c>
      <c r="BG12" s="8"/>
      <c r="BH12" s="8">
        <v>0.5</v>
      </c>
      <c r="BL12" s="8"/>
      <c r="BM12" s="8">
        <v>0.5</v>
      </c>
      <c r="BN12" s="8"/>
      <c r="BO12" s="8">
        <v>0.5</v>
      </c>
      <c r="BR12">
        <v>2</v>
      </c>
      <c r="BS12" s="8"/>
      <c r="BT12" s="8">
        <v>0.8</v>
      </c>
      <c r="BU12" s="8"/>
      <c r="BV12" s="8">
        <v>0.8</v>
      </c>
      <c r="BY12" s="16"/>
      <c r="BZ12" s="8"/>
      <c r="CA12" s="8">
        <v>0.8</v>
      </c>
      <c r="CB12" s="8"/>
      <c r="CC12" s="8">
        <v>0.8</v>
      </c>
      <c r="CG12" s="8"/>
      <c r="CH12" s="8">
        <v>0.8</v>
      </c>
      <c r="CI12" s="8"/>
      <c r="CJ12" s="8">
        <v>0.8</v>
      </c>
      <c r="CM12">
        <v>2</v>
      </c>
      <c r="CN12" s="8"/>
      <c r="CO12" s="8">
        <v>1</v>
      </c>
      <c r="CP12" s="8"/>
      <c r="CQ12" s="8">
        <v>1</v>
      </c>
      <c r="CU12" s="8"/>
      <c r="CV12" s="8"/>
      <c r="CW12" s="8"/>
      <c r="CX12" s="8"/>
      <c r="DB12" s="8"/>
      <c r="DC12" s="8"/>
      <c r="DD12" s="8"/>
      <c r="DE12" s="8"/>
      <c r="DI12" s="8"/>
      <c r="DJ12" s="8"/>
      <c r="DK12" s="8"/>
      <c r="DL12" s="8"/>
      <c r="DP12" s="8"/>
      <c r="DQ12" s="8"/>
      <c r="DR12" s="8"/>
      <c r="DS12" s="8"/>
      <c r="DW12" s="8"/>
      <c r="DX12" s="8"/>
      <c r="DY12" s="8"/>
      <c r="DZ12" s="8"/>
      <c r="ED12" s="8"/>
      <c r="EE12" s="8"/>
      <c r="EF12" s="8"/>
      <c r="EG12" s="8"/>
      <c r="EK12" s="8"/>
      <c r="EL12" s="8"/>
      <c r="EM12" s="8"/>
      <c r="EN12" s="8"/>
    </row>
    <row r="13" spans="2:145" outlineLevel="1" x14ac:dyDescent="0.2">
      <c r="B13" t="s">
        <v>28</v>
      </c>
      <c r="C13" t="s">
        <v>87</v>
      </c>
      <c r="E13" s="7"/>
      <c r="F13" t="s">
        <v>146</v>
      </c>
      <c r="G13" s="8">
        <v>0.18</v>
      </c>
      <c r="I13" s="7"/>
      <c r="J13" s="9" cm="1">
        <f t="array" ref="J13">MAX(IF($N$3:$EH$3=$J$3,N13:EH13))</f>
        <v>0</v>
      </c>
      <c r="K13" s="9" cm="1">
        <f t="array" ref="K13">MAX(IF($N$3:$EH$3=$J$3,N13:EH13))</f>
        <v>0</v>
      </c>
      <c r="L13" s="7"/>
      <c r="O13" s="8"/>
      <c r="P13" s="8"/>
      <c r="Q13" s="8"/>
      <c r="R13" s="8"/>
      <c r="V13" s="8"/>
      <c r="W13" s="8"/>
      <c r="X13" s="8"/>
      <c r="Y13" s="8"/>
      <c r="AC13" s="8"/>
      <c r="AD13" s="8"/>
      <c r="AE13" s="8"/>
      <c r="AF13" s="8"/>
      <c r="AJ13" s="8"/>
      <c r="AK13" s="8"/>
      <c r="AL13" s="8"/>
      <c r="AM13" s="8"/>
      <c r="AQ13" s="8"/>
      <c r="AR13" s="8"/>
      <c r="AS13" s="8"/>
      <c r="AT13" s="8"/>
      <c r="AW13">
        <v>2</v>
      </c>
      <c r="AX13" s="8"/>
      <c r="AY13" s="8">
        <v>0.5</v>
      </c>
      <c r="AZ13" s="8"/>
      <c r="BA13" s="8">
        <v>0.5</v>
      </c>
      <c r="BE13" s="8"/>
      <c r="BF13" s="8">
        <v>0.5</v>
      </c>
      <c r="BG13" s="8"/>
      <c r="BH13" s="8">
        <v>0.5</v>
      </c>
      <c r="BL13" s="8"/>
      <c r="BM13" s="8">
        <v>0.5</v>
      </c>
      <c r="BN13" s="8"/>
      <c r="BO13" s="8">
        <v>0.5</v>
      </c>
      <c r="BS13" s="8"/>
      <c r="BT13" s="8">
        <v>0.5</v>
      </c>
      <c r="BU13" s="8"/>
      <c r="BV13" s="8">
        <v>0.5</v>
      </c>
      <c r="BY13" s="16">
        <v>2</v>
      </c>
      <c r="BZ13" s="8"/>
      <c r="CA13" s="8">
        <v>0.8</v>
      </c>
      <c r="CB13" s="8"/>
      <c r="CC13" s="8">
        <v>0.8</v>
      </c>
      <c r="CG13" s="8"/>
      <c r="CH13" s="8">
        <v>0.8</v>
      </c>
      <c r="CI13" s="8"/>
      <c r="CJ13" s="8">
        <v>0.8</v>
      </c>
      <c r="CM13">
        <v>2</v>
      </c>
      <c r="CN13" s="8"/>
      <c r="CO13" s="8">
        <v>1</v>
      </c>
      <c r="CP13" s="8"/>
      <c r="CQ13" s="8">
        <v>1</v>
      </c>
      <c r="CU13" s="8"/>
      <c r="CV13" s="8"/>
      <c r="CW13" s="8"/>
      <c r="CX13" s="8"/>
      <c r="DB13" s="8"/>
      <c r="DC13" s="8"/>
      <c r="DD13" s="8"/>
      <c r="DE13" s="8"/>
      <c r="DI13" s="8"/>
      <c r="DJ13" s="8"/>
      <c r="DK13" s="8"/>
      <c r="DL13" s="8"/>
      <c r="DP13" s="8"/>
      <c r="DQ13" s="8"/>
      <c r="DR13" s="8"/>
      <c r="DS13" s="8"/>
      <c r="DW13" s="8"/>
      <c r="DX13" s="8"/>
      <c r="DY13" s="8"/>
      <c r="DZ13" s="8"/>
      <c r="ED13" s="8"/>
      <c r="EE13" s="8"/>
      <c r="EF13" s="8"/>
      <c r="EG13" s="8"/>
      <c r="EK13" s="8"/>
      <c r="EL13" s="8"/>
      <c r="EM13" s="8"/>
      <c r="EN13" s="8"/>
    </row>
    <row r="15" spans="2:145" s="50" customFormat="1" x14ac:dyDescent="0.2">
      <c r="B15" s="50" t="s">
        <v>27</v>
      </c>
      <c r="C15" s="50" t="s">
        <v>88</v>
      </c>
      <c r="D15" s="51">
        <v>45307</v>
      </c>
      <c r="E15" s="52">
        <v>3</v>
      </c>
      <c r="G15" s="53">
        <f>+SUM(G16:G25)</f>
        <v>0</v>
      </c>
      <c r="I15" s="54">
        <f>+SUM(I16:I25)</f>
        <v>40</v>
      </c>
      <c r="J15" s="55">
        <f>+SUMPRODUCT(G16:G25,J16:J25)</f>
        <v>0</v>
      </c>
      <c r="K15" s="55">
        <f>+SUMPRODUCT(G16:G25,K16:K25)</f>
        <v>0</v>
      </c>
      <c r="L15" s="52"/>
      <c r="N15" s="54">
        <f>+SUM(N16:N25)</f>
        <v>6</v>
      </c>
      <c r="U15" s="54">
        <f>+SUM(U16:U25)</f>
        <v>4</v>
      </c>
      <c r="AB15" s="54">
        <f>+SUM(AB16:AB25)</f>
        <v>6</v>
      </c>
      <c r="AI15" s="54">
        <f>+SUM(AI16:AI25)</f>
        <v>4</v>
      </c>
      <c r="AP15" s="54">
        <f>+SUM(AP16:AP25)</f>
        <v>6</v>
      </c>
      <c r="AW15" s="54">
        <f>+SUM(AW16:AW25)</f>
        <v>4</v>
      </c>
      <c r="BD15" s="54">
        <f>+SUM(BD16:BD25)</f>
        <v>6</v>
      </c>
      <c r="BK15" s="54">
        <f>+SUM(BK16:BK25)</f>
        <v>4</v>
      </c>
      <c r="BR15" s="54">
        <f>+SUM(BR16:BR25)</f>
        <v>6</v>
      </c>
      <c r="BY15" s="54">
        <f>+SUM(BY16:BY25)</f>
        <v>4</v>
      </c>
      <c r="CF15" s="54">
        <f>+SUM(CF16:CF25)</f>
        <v>6</v>
      </c>
      <c r="CM15" s="54">
        <f>+SUM(CM16:CM25)</f>
        <v>4</v>
      </c>
    </row>
    <row r="16" spans="2:145" outlineLevel="1" x14ac:dyDescent="0.2">
      <c r="B16" t="s">
        <v>28</v>
      </c>
      <c r="C16" t="s">
        <v>88</v>
      </c>
      <c r="E16" s="7"/>
      <c r="F16" t="s">
        <v>165</v>
      </c>
      <c r="G16" s="8"/>
      <c r="I16" s="7">
        <v>4</v>
      </c>
      <c r="J16" s="9" cm="1">
        <f t="array" ref="J16">MAX(IF($N$3:$EH$3=$J$3,N16:EH16))</f>
        <v>0</v>
      </c>
      <c r="K16" s="9" cm="1">
        <f t="array" ref="K16">MAX(IF($N$3:$EH$3=$J$3,N16:EH16))</f>
        <v>0</v>
      </c>
      <c r="L16" s="7"/>
      <c r="N16">
        <v>2</v>
      </c>
      <c r="O16" s="8"/>
      <c r="P16" s="8">
        <v>0.5</v>
      </c>
      <c r="Q16" s="8"/>
      <c r="R16" s="8">
        <v>0.5</v>
      </c>
      <c r="V16" s="8"/>
      <c r="W16" s="8">
        <v>0.5</v>
      </c>
      <c r="X16" s="8"/>
      <c r="Y16" s="8">
        <v>0.5</v>
      </c>
      <c r="AB16">
        <v>2</v>
      </c>
      <c r="AC16" s="8"/>
      <c r="AD16" s="8">
        <v>0.8</v>
      </c>
      <c r="AE16" s="8"/>
      <c r="AF16" s="8">
        <v>0.8</v>
      </c>
      <c r="AJ16" s="8"/>
      <c r="AK16" s="8">
        <v>0.8</v>
      </c>
      <c r="AL16" s="8"/>
      <c r="AM16" s="8">
        <v>0.8</v>
      </c>
      <c r="AQ16" s="8"/>
      <c r="AR16" s="8">
        <v>0.8</v>
      </c>
      <c r="AS16" s="8"/>
      <c r="AT16" s="8">
        <v>0.8</v>
      </c>
      <c r="AX16" s="8"/>
      <c r="AY16" s="8">
        <v>0.8</v>
      </c>
      <c r="AZ16" s="8"/>
      <c r="BA16" s="8">
        <v>0.8</v>
      </c>
      <c r="BD16">
        <v>2</v>
      </c>
      <c r="BE16" s="8"/>
      <c r="BF16" s="8">
        <v>1</v>
      </c>
      <c r="BG16" s="8"/>
      <c r="BH16" s="8">
        <v>1</v>
      </c>
      <c r="BL16" s="8"/>
      <c r="BM16" s="8">
        <v>1</v>
      </c>
      <c r="BN16" s="8"/>
      <c r="BO16" s="8">
        <v>1</v>
      </c>
      <c r="BS16" s="8"/>
      <c r="BT16" s="8">
        <v>1</v>
      </c>
      <c r="BU16" s="8"/>
      <c r="BV16" s="8">
        <v>1</v>
      </c>
      <c r="BZ16" s="8"/>
      <c r="CA16" s="8">
        <v>1</v>
      </c>
      <c r="CB16" s="8"/>
      <c r="CC16" s="8">
        <v>1</v>
      </c>
      <c r="CG16" s="8"/>
      <c r="CH16" s="8">
        <v>1</v>
      </c>
      <c r="CI16" s="8"/>
      <c r="CJ16" s="8">
        <v>1</v>
      </c>
      <c r="CN16" s="8"/>
      <c r="CO16" s="8">
        <v>1</v>
      </c>
      <c r="CP16" s="8"/>
      <c r="CQ16" s="8">
        <v>1</v>
      </c>
      <c r="CU16" s="8"/>
      <c r="CV16" s="8"/>
      <c r="CW16" s="8"/>
      <c r="CX16" s="8"/>
      <c r="DB16" s="8"/>
      <c r="DC16" s="8"/>
      <c r="DD16" s="8"/>
      <c r="DE16" s="8"/>
      <c r="DI16" s="8"/>
      <c r="DJ16" s="8"/>
      <c r="DK16" s="8"/>
      <c r="DL16" s="8"/>
      <c r="DP16" s="8"/>
      <c r="DQ16" s="8"/>
      <c r="DR16" s="8"/>
      <c r="DS16" s="8"/>
      <c r="DW16" s="8"/>
      <c r="DX16" s="8"/>
      <c r="DY16" s="8"/>
      <c r="DZ16" s="8"/>
      <c r="ED16" s="8"/>
      <c r="EE16" s="8"/>
      <c r="EF16" s="8"/>
      <c r="EG16" s="8"/>
      <c r="EK16" s="8"/>
      <c r="EL16" s="8"/>
      <c r="EM16" s="8"/>
      <c r="EN16" s="8"/>
    </row>
    <row r="17" spans="2:144" outlineLevel="1" x14ac:dyDescent="0.2">
      <c r="B17" t="s">
        <v>28</v>
      </c>
      <c r="C17" t="s">
        <v>88</v>
      </c>
      <c r="E17" s="7"/>
      <c r="F17" t="s">
        <v>166</v>
      </c>
      <c r="G17" s="8"/>
      <c r="I17" s="7">
        <v>0</v>
      </c>
      <c r="J17" s="9" cm="1">
        <f t="array" ref="J17">MAX(IF($N$3:$EH$3=$J$3,N17:EH17))</f>
        <v>0</v>
      </c>
      <c r="K17" s="9" cm="1">
        <f t="array" ref="K17">MAX(IF($N$3:$EH$3=$J$3,N17:EH17))</f>
        <v>0</v>
      </c>
      <c r="L17" s="7"/>
      <c r="N17">
        <v>2</v>
      </c>
      <c r="O17" s="8"/>
      <c r="P17" s="8">
        <v>0.5</v>
      </c>
      <c r="Q17" s="8"/>
      <c r="R17" s="8">
        <v>0.5</v>
      </c>
      <c r="V17" s="8"/>
      <c r="W17" s="8">
        <v>0.5</v>
      </c>
      <c r="X17" s="8"/>
      <c r="Y17" s="8">
        <v>0.5</v>
      </c>
      <c r="AC17" s="8"/>
      <c r="AD17" s="8">
        <v>0.5</v>
      </c>
      <c r="AE17" s="8"/>
      <c r="AF17" s="8">
        <v>0.5</v>
      </c>
      <c r="AI17">
        <v>2</v>
      </c>
      <c r="AJ17" s="8"/>
      <c r="AK17" s="8">
        <v>0.8</v>
      </c>
      <c r="AL17" s="8"/>
      <c r="AM17" s="8">
        <v>0.8</v>
      </c>
      <c r="AQ17" s="8"/>
      <c r="AR17" s="8">
        <v>0.8</v>
      </c>
      <c r="AS17" s="8"/>
      <c r="AT17" s="8">
        <v>0.8</v>
      </c>
      <c r="AX17" s="8"/>
      <c r="AY17" s="8">
        <v>0.8</v>
      </c>
      <c r="AZ17" s="8"/>
      <c r="BA17" s="8">
        <v>0.8</v>
      </c>
      <c r="BE17" s="8"/>
      <c r="BF17" s="8">
        <v>0.8</v>
      </c>
      <c r="BG17" s="8"/>
      <c r="BH17" s="8">
        <v>0.8</v>
      </c>
      <c r="BK17">
        <v>2</v>
      </c>
      <c r="BL17" s="8"/>
      <c r="BM17" s="8">
        <v>1</v>
      </c>
      <c r="BN17" s="8"/>
      <c r="BO17" s="8">
        <v>1</v>
      </c>
      <c r="BS17" s="8"/>
      <c r="BT17" s="8">
        <v>1</v>
      </c>
      <c r="BU17" s="8"/>
      <c r="BV17" s="8">
        <v>1</v>
      </c>
      <c r="BZ17" s="8"/>
      <c r="CA17" s="8">
        <v>1</v>
      </c>
      <c r="CB17" s="8"/>
      <c r="CC17" s="8">
        <v>1</v>
      </c>
      <c r="CG17" s="8"/>
      <c r="CH17" s="8">
        <v>1</v>
      </c>
      <c r="CI17" s="8"/>
      <c r="CJ17" s="8">
        <v>1</v>
      </c>
      <c r="CN17" s="8"/>
      <c r="CO17" s="8">
        <v>1</v>
      </c>
      <c r="CP17" s="8"/>
      <c r="CQ17" s="8">
        <v>1</v>
      </c>
      <c r="CU17" s="8"/>
      <c r="CV17" s="8"/>
      <c r="CW17" s="8"/>
      <c r="CX17" s="8"/>
      <c r="DB17" s="8"/>
      <c r="DC17" s="8"/>
      <c r="DD17" s="8"/>
      <c r="DE17" s="8"/>
      <c r="DI17" s="8"/>
      <c r="DJ17" s="8"/>
      <c r="DK17" s="8"/>
      <c r="DL17" s="8"/>
      <c r="DP17" s="8"/>
      <c r="DQ17" s="8"/>
      <c r="DR17" s="8"/>
      <c r="DS17" s="8"/>
      <c r="DW17" s="8"/>
      <c r="DX17" s="8"/>
      <c r="DY17" s="8"/>
      <c r="DZ17" s="8"/>
      <c r="ED17" s="8"/>
      <c r="EE17" s="8"/>
      <c r="EF17" s="8"/>
      <c r="EG17" s="8"/>
      <c r="EK17" s="8"/>
      <c r="EL17" s="8"/>
      <c r="EM17" s="8"/>
      <c r="EN17" s="8"/>
    </row>
    <row r="18" spans="2:144" outlineLevel="1" x14ac:dyDescent="0.2">
      <c r="B18" t="s">
        <v>28</v>
      </c>
      <c r="C18" t="s">
        <v>88</v>
      </c>
      <c r="E18" s="7"/>
      <c r="F18" t="s">
        <v>160</v>
      </c>
      <c r="G18" s="8"/>
      <c r="I18" s="7">
        <v>0</v>
      </c>
      <c r="J18" s="9" cm="1">
        <f t="array" ref="J18">MAX(IF($N$3:$EH$3=$J$3,N18:EH18))</f>
        <v>0</v>
      </c>
      <c r="K18" s="9" cm="1">
        <f t="array" ref="K18">MAX(IF($N$3:$EH$3=$J$3,N18:EH18))</f>
        <v>0</v>
      </c>
      <c r="L18" s="7"/>
      <c r="N18">
        <v>2</v>
      </c>
      <c r="O18" s="8"/>
      <c r="P18" s="8">
        <v>0.5</v>
      </c>
      <c r="Q18" s="8"/>
      <c r="R18" s="8">
        <v>0.5</v>
      </c>
      <c r="V18" s="8"/>
      <c r="W18" s="8">
        <v>0.5</v>
      </c>
      <c r="X18" s="8"/>
      <c r="Y18" s="8">
        <v>0.5</v>
      </c>
      <c r="AC18" s="8"/>
      <c r="AD18" s="8">
        <v>0.5</v>
      </c>
      <c r="AE18" s="8"/>
      <c r="AF18" s="8">
        <v>0.5</v>
      </c>
      <c r="AJ18" s="8"/>
      <c r="AK18" s="8">
        <v>0.5</v>
      </c>
      <c r="AL18" s="8"/>
      <c r="AM18" s="8">
        <v>0.5</v>
      </c>
      <c r="AP18">
        <v>2</v>
      </c>
      <c r="AQ18" s="8"/>
      <c r="AR18" s="8">
        <v>0.8</v>
      </c>
      <c r="AS18" s="8"/>
      <c r="AT18" s="8">
        <v>0.8</v>
      </c>
      <c r="AX18" s="8"/>
      <c r="AY18" s="8">
        <v>0.8</v>
      </c>
      <c r="AZ18" s="8"/>
      <c r="BA18" s="8">
        <v>0.8</v>
      </c>
      <c r="BE18" s="8"/>
      <c r="BF18" s="8">
        <v>0.8</v>
      </c>
      <c r="BG18" s="8"/>
      <c r="BH18" s="8">
        <v>0.8</v>
      </c>
      <c r="BL18" s="8"/>
      <c r="BM18" s="8">
        <v>0.8</v>
      </c>
      <c r="BN18" s="8"/>
      <c r="BO18" s="8">
        <v>0.8</v>
      </c>
      <c r="BR18">
        <v>2</v>
      </c>
      <c r="BS18" s="8"/>
      <c r="BT18" s="8">
        <v>1</v>
      </c>
      <c r="BU18" s="8"/>
      <c r="BV18" s="8">
        <v>1</v>
      </c>
      <c r="BZ18" s="8"/>
      <c r="CA18" s="8">
        <v>1</v>
      </c>
      <c r="CB18" s="8"/>
      <c r="CC18" s="8">
        <v>1</v>
      </c>
      <c r="CG18" s="8"/>
      <c r="CH18" s="8">
        <v>1</v>
      </c>
      <c r="CI18" s="8"/>
      <c r="CJ18" s="8">
        <v>1</v>
      </c>
      <c r="CN18" s="8"/>
      <c r="CO18" s="8">
        <v>1</v>
      </c>
      <c r="CP18" s="8"/>
      <c r="CQ18" s="8">
        <v>1</v>
      </c>
      <c r="CU18" s="8"/>
      <c r="CV18" s="8"/>
      <c r="CW18" s="8"/>
      <c r="CX18" s="8"/>
      <c r="DB18" s="8"/>
      <c r="DC18" s="8"/>
      <c r="DD18" s="8"/>
      <c r="DE18" s="8"/>
      <c r="DI18" s="8"/>
      <c r="DJ18" s="8"/>
      <c r="DK18" s="8"/>
      <c r="DL18" s="8"/>
      <c r="DP18" s="8"/>
      <c r="DQ18" s="8"/>
      <c r="DR18" s="8"/>
      <c r="DS18" s="8"/>
      <c r="DW18" s="8"/>
      <c r="DX18" s="8"/>
      <c r="DY18" s="8"/>
      <c r="DZ18" s="8"/>
      <c r="ED18" s="8"/>
      <c r="EE18" s="8"/>
      <c r="EF18" s="8"/>
      <c r="EG18" s="8"/>
      <c r="EK18" s="8"/>
      <c r="EL18" s="8"/>
      <c r="EM18" s="8"/>
      <c r="EN18" s="8"/>
    </row>
    <row r="19" spans="2:144" outlineLevel="1" x14ac:dyDescent="0.2">
      <c r="B19" t="s">
        <v>28</v>
      </c>
      <c r="C19" t="s">
        <v>88</v>
      </c>
      <c r="E19" s="7"/>
      <c r="F19" t="s">
        <v>157</v>
      </c>
      <c r="G19" s="8"/>
      <c r="I19" s="7">
        <v>0</v>
      </c>
      <c r="J19" s="9" cm="1">
        <f t="array" ref="J19">MAX(IF($N$3:$EH$3=$J$3,N19:EH19))</f>
        <v>0</v>
      </c>
      <c r="K19" s="9" cm="1">
        <f t="array" ref="K19">MAX(IF($N$3:$EH$3=$J$3,N19:EH19))</f>
        <v>0</v>
      </c>
      <c r="L19" s="7"/>
      <c r="O19" s="8"/>
      <c r="P19" s="8"/>
      <c r="Q19" s="8"/>
      <c r="R19" s="8"/>
      <c r="U19">
        <v>2</v>
      </c>
      <c r="V19" s="8"/>
      <c r="W19" s="8">
        <v>0.5</v>
      </c>
      <c r="X19" s="8"/>
      <c r="Y19" s="8">
        <v>0.5</v>
      </c>
      <c r="AC19" s="8"/>
      <c r="AD19" s="8">
        <v>0.5</v>
      </c>
      <c r="AE19" s="8"/>
      <c r="AF19" s="8">
        <v>0.5</v>
      </c>
      <c r="AJ19" s="8"/>
      <c r="AK19" s="8">
        <v>0.5</v>
      </c>
      <c r="AL19" s="8"/>
      <c r="AM19" s="8">
        <v>0.5</v>
      </c>
      <c r="AP19">
        <v>2</v>
      </c>
      <c r="AQ19" s="8"/>
      <c r="AR19" s="8">
        <v>0.8</v>
      </c>
      <c r="AS19" s="8"/>
      <c r="AT19" s="8">
        <v>0.8</v>
      </c>
      <c r="AX19" s="8"/>
      <c r="AY19" s="8">
        <v>0.8</v>
      </c>
      <c r="AZ19" s="8"/>
      <c r="BA19" s="8">
        <v>0.8</v>
      </c>
      <c r="BE19" s="8"/>
      <c r="BF19" s="8">
        <v>0.8</v>
      </c>
      <c r="BG19" s="8"/>
      <c r="BH19" s="8">
        <v>0.8</v>
      </c>
      <c r="BL19" s="8"/>
      <c r="BM19" s="8">
        <v>0.8</v>
      </c>
      <c r="BN19" s="8"/>
      <c r="BO19" s="8">
        <v>0.8</v>
      </c>
      <c r="BS19" s="8"/>
      <c r="BT19" s="8">
        <v>0.8</v>
      </c>
      <c r="BU19" s="8"/>
      <c r="BV19" s="8">
        <v>0.8</v>
      </c>
      <c r="BY19">
        <v>2</v>
      </c>
      <c r="BZ19" s="8"/>
      <c r="CA19" s="8">
        <v>1</v>
      </c>
      <c r="CB19" s="8"/>
      <c r="CC19" s="8">
        <v>1</v>
      </c>
      <c r="CG19" s="8"/>
      <c r="CH19" s="8">
        <v>1</v>
      </c>
      <c r="CI19" s="8"/>
      <c r="CJ19" s="8">
        <v>1</v>
      </c>
      <c r="CN19" s="8"/>
      <c r="CO19" s="8">
        <v>1</v>
      </c>
      <c r="CP19" s="8"/>
      <c r="CQ19" s="8">
        <v>1</v>
      </c>
      <c r="CU19" s="8"/>
      <c r="CV19" s="8"/>
      <c r="CW19" s="8"/>
      <c r="CX19" s="8"/>
      <c r="DB19" s="8"/>
      <c r="DC19" s="8"/>
      <c r="DD19" s="8"/>
      <c r="DE19" s="8"/>
      <c r="DI19" s="8"/>
      <c r="DJ19" s="8"/>
      <c r="DK19" s="8"/>
      <c r="DL19" s="8"/>
      <c r="DP19" s="8"/>
      <c r="DQ19" s="8"/>
      <c r="DR19" s="8"/>
      <c r="DS19" s="8"/>
      <c r="DW19" s="8"/>
      <c r="DX19" s="8"/>
      <c r="DY19" s="8"/>
      <c r="DZ19" s="8"/>
      <c r="ED19" s="8"/>
      <c r="EE19" s="8"/>
      <c r="EF19" s="8"/>
      <c r="EG19" s="8"/>
      <c r="EK19" s="8"/>
      <c r="EL19" s="8"/>
      <c r="EM19" s="8"/>
      <c r="EN19" s="8"/>
    </row>
    <row r="20" spans="2:144" outlineLevel="1" x14ac:dyDescent="0.2">
      <c r="B20" t="s">
        <v>28</v>
      </c>
      <c r="C20" t="s">
        <v>88</v>
      </c>
      <c r="E20" s="7"/>
      <c r="F20" t="s">
        <v>159</v>
      </c>
      <c r="G20" s="8"/>
      <c r="I20" s="7">
        <f t="shared" ref="I20:I25" si="0">+SUMIF($N$3:$ZZ$3,I$3,$N20:$ZZ20)</f>
        <v>6</v>
      </c>
      <c r="J20" s="9" cm="1">
        <f t="array" ref="J20">MAX(IF($N$3:$EH$3=$J$3,N20:EH20))</f>
        <v>0</v>
      </c>
      <c r="K20" s="9" cm="1">
        <f t="array" ref="K20">MAX(IF($N$3:$EH$3=$J$3,N20:EH20))</f>
        <v>0</v>
      </c>
      <c r="L20" s="7"/>
      <c r="O20" s="8"/>
      <c r="P20" s="8"/>
      <c r="Q20" s="8"/>
      <c r="R20" s="8"/>
      <c r="U20">
        <v>2</v>
      </c>
      <c r="V20" s="8"/>
      <c r="W20" s="8">
        <v>0.5</v>
      </c>
      <c r="X20" s="8"/>
      <c r="Y20" s="8">
        <v>0.5</v>
      </c>
      <c r="AC20" s="8"/>
      <c r="AD20" s="8">
        <v>0.5</v>
      </c>
      <c r="AE20" s="8"/>
      <c r="AF20" s="8">
        <v>0.5</v>
      </c>
      <c r="AJ20" s="8"/>
      <c r="AK20" s="8">
        <v>0.5</v>
      </c>
      <c r="AL20" s="8"/>
      <c r="AM20" s="8">
        <v>0.5</v>
      </c>
      <c r="AQ20" s="8"/>
      <c r="AR20" s="8">
        <v>0.5</v>
      </c>
      <c r="AS20" s="8"/>
      <c r="AT20" s="8">
        <v>0.5</v>
      </c>
      <c r="AW20">
        <v>2</v>
      </c>
      <c r="AX20" s="8"/>
      <c r="AY20" s="8">
        <v>0.8</v>
      </c>
      <c r="AZ20" s="8"/>
      <c r="BA20" s="8">
        <v>0.8</v>
      </c>
      <c r="BE20" s="8"/>
      <c r="BF20" s="8">
        <v>0.8</v>
      </c>
      <c r="BG20" s="8"/>
      <c r="BH20" s="8">
        <v>0.8</v>
      </c>
      <c r="BL20" s="8"/>
      <c r="BM20" s="8">
        <v>0.8</v>
      </c>
      <c r="BN20" s="8"/>
      <c r="BO20" s="8">
        <v>0.8</v>
      </c>
      <c r="BS20" s="8"/>
      <c r="BT20" s="8">
        <v>0.8</v>
      </c>
      <c r="BU20" s="8"/>
      <c r="BV20" s="8">
        <v>0.8</v>
      </c>
      <c r="BY20">
        <v>2</v>
      </c>
      <c r="BZ20" s="8"/>
      <c r="CA20" s="8">
        <v>1</v>
      </c>
      <c r="CB20" s="8"/>
      <c r="CC20" s="8">
        <v>1</v>
      </c>
      <c r="CG20" s="8"/>
      <c r="CH20" s="8">
        <v>1</v>
      </c>
      <c r="CI20" s="8"/>
      <c r="CJ20" s="8">
        <v>1</v>
      </c>
      <c r="CN20" s="8"/>
      <c r="CO20" s="8">
        <v>1</v>
      </c>
      <c r="CP20" s="8"/>
      <c r="CQ20" s="8">
        <v>1</v>
      </c>
      <c r="CU20" s="8"/>
      <c r="CV20" s="8"/>
      <c r="CW20" s="8"/>
      <c r="CX20" s="8"/>
      <c r="DB20" s="8"/>
      <c r="DC20" s="8"/>
      <c r="DD20" s="8"/>
      <c r="DE20" s="8"/>
      <c r="DI20" s="8"/>
      <c r="DJ20" s="8"/>
      <c r="DK20" s="8"/>
      <c r="DL20" s="8"/>
      <c r="DP20" s="8"/>
      <c r="DQ20" s="8"/>
      <c r="DR20" s="8"/>
      <c r="DS20" s="8"/>
      <c r="DW20" s="8"/>
      <c r="DX20" s="8"/>
      <c r="DY20" s="8"/>
      <c r="DZ20" s="8"/>
      <c r="ED20" s="8"/>
      <c r="EE20" s="8"/>
      <c r="EF20" s="8"/>
      <c r="EG20" s="8"/>
      <c r="EK20" s="8"/>
      <c r="EL20" s="8"/>
      <c r="EM20" s="8"/>
      <c r="EN20" s="8"/>
    </row>
    <row r="21" spans="2:144" outlineLevel="1" x14ac:dyDescent="0.2">
      <c r="B21" t="s">
        <v>28</v>
      </c>
      <c r="C21" t="s">
        <v>88</v>
      </c>
      <c r="E21" s="7"/>
      <c r="F21" t="s">
        <v>161</v>
      </c>
      <c r="G21" s="8"/>
      <c r="I21" s="7">
        <f t="shared" si="0"/>
        <v>6</v>
      </c>
      <c r="J21" s="9" cm="1">
        <f t="array" ref="J21">MAX(IF($N$3:$EH$3=$J$3,N21:EH21))</f>
        <v>0</v>
      </c>
      <c r="K21" s="9" cm="1">
        <f t="array" ref="K21">MAX(IF($N$3:$EH$3=$J$3,N21:EH21))</f>
        <v>0</v>
      </c>
      <c r="L21" s="7"/>
      <c r="O21" s="8"/>
      <c r="P21" s="8"/>
      <c r="Q21" s="8"/>
      <c r="R21" s="8"/>
      <c r="V21" s="8"/>
      <c r="W21" s="8"/>
      <c r="X21" s="8"/>
      <c r="Y21" s="8"/>
      <c r="AB21">
        <v>2</v>
      </c>
      <c r="AC21" s="8"/>
      <c r="AD21" s="8">
        <v>0.5</v>
      </c>
      <c r="AE21" s="8"/>
      <c r="AF21" s="8">
        <v>0.5</v>
      </c>
      <c r="AJ21" s="8"/>
      <c r="AK21" s="8">
        <v>0.5</v>
      </c>
      <c r="AL21" s="8"/>
      <c r="AM21" s="8">
        <v>0.5</v>
      </c>
      <c r="AQ21" s="8"/>
      <c r="AR21" s="8">
        <v>0.5</v>
      </c>
      <c r="AS21" s="8"/>
      <c r="AT21" s="8">
        <v>0.5</v>
      </c>
      <c r="AX21" s="8"/>
      <c r="AY21" s="8">
        <v>0.5</v>
      </c>
      <c r="AZ21" s="8"/>
      <c r="BA21" s="8">
        <v>0.5</v>
      </c>
      <c r="BD21">
        <v>2</v>
      </c>
      <c r="BE21" s="8"/>
      <c r="BF21" s="8">
        <v>0.8</v>
      </c>
      <c r="BG21" s="8"/>
      <c r="BH21" s="8">
        <v>0.8</v>
      </c>
      <c r="BL21" s="8"/>
      <c r="BM21" s="8">
        <v>0.8</v>
      </c>
      <c r="BN21" s="8"/>
      <c r="BO21" s="8">
        <v>0.8</v>
      </c>
      <c r="BS21" s="8"/>
      <c r="BT21" s="8">
        <v>0.8</v>
      </c>
      <c r="BU21" s="8"/>
      <c r="BV21" s="8">
        <v>0.8</v>
      </c>
      <c r="BZ21" s="8"/>
      <c r="CA21" s="8">
        <v>0.8</v>
      </c>
      <c r="CB21" s="8"/>
      <c r="CC21" s="8">
        <v>0.8</v>
      </c>
      <c r="CF21">
        <v>2</v>
      </c>
      <c r="CG21" s="8"/>
      <c r="CH21" s="8">
        <v>1</v>
      </c>
      <c r="CI21" s="8"/>
      <c r="CJ21" s="8">
        <v>1</v>
      </c>
      <c r="CN21" s="8"/>
      <c r="CO21" s="8">
        <v>1</v>
      </c>
      <c r="CP21" s="8"/>
      <c r="CQ21" s="8">
        <v>1</v>
      </c>
      <c r="CU21" s="8"/>
      <c r="CV21" s="8"/>
      <c r="CW21" s="8"/>
      <c r="CX21" s="8"/>
      <c r="DB21" s="8"/>
      <c r="DC21" s="8"/>
      <c r="DD21" s="8"/>
      <c r="DE21" s="8"/>
      <c r="DI21" s="8"/>
      <c r="DJ21" s="8"/>
      <c r="DK21" s="8"/>
      <c r="DL21" s="8"/>
      <c r="DP21" s="8"/>
      <c r="DQ21" s="8"/>
      <c r="DR21" s="8"/>
      <c r="DS21" s="8"/>
      <c r="DW21" s="8"/>
      <c r="DX21" s="8"/>
      <c r="DY21" s="8"/>
      <c r="DZ21" s="8"/>
      <c r="ED21" s="8"/>
      <c r="EE21" s="8"/>
      <c r="EF21" s="8"/>
      <c r="EG21" s="8"/>
      <c r="EK21" s="8"/>
      <c r="EL21" s="8"/>
      <c r="EM21" s="8"/>
      <c r="EN21" s="8"/>
    </row>
    <row r="22" spans="2:144" outlineLevel="1" x14ac:dyDescent="0.2">
      <c r="B22" t="s">
        <v>28</v>
      </c>
      <c r="C22" t="s">
        <v>88</v>
      </c>
      <c r="E22" s="7"/>
      <c r="F22" t="s">
        <v>163</v>
      </c>
      <c r="G22" s="8"/>
      <c r="I22" s="7">
        <f t="shared" si="0"/>
        <v>6</v>
      </c>
      <c r="J22" s="9" cm="1">
        <f t="array" ref="J22">MAX(IF($N$3:$EH$3=$J$3,N22:EH22))</f>
        <v>0</v>
      </c>
      <c r="K22" s="9" cm="1">
        <f t="array" ref="K22">MAX(IF($N$3:$EH$3=$J$3,N22:EH22))</f>
        <v>0</v>
      </c>
      <c r="L22" s="7"/>
      <c r="O22" s="8"/>
      <c r="P22" s="8"/>
      <c r="Q22" s="8"/>
      <c r="R22" s="8"/>
      <c r="V22" s="8"/>
      <c r="W22" s="8"/>
      <c r="X22" s="8"/>
      <c r="Y22" s="8"/>
      <c r="AB22">
        <v>2</v>
      </c>
      <c r="AC22" s="8"/>
      <c r="AD22" s="8">
        <v>0.5</v>
      </c>
      <c r="AE22" s="8"/>
      <c r="AF22" s="8">
        <v>0.5</v>
      </c>
      <c r="AJ22" s="8"/>
      <c r="AK22" s="8">
        <v>0.5</v>
      </c>
      <c r="AL22" s="8"/>
      <c r="AM22" s="8">
        <v>0.5</v>
      </c>
      <c r="AQ22" s="8"/>
      <c r="AR22" s="8">
        <v>0.5</v>
      </c>
      <c r="AS22" s="8"/>
      <c r="AT22" s="8">
        <v>0.5</v>
      </c>
      <c r="AX22" s="8"/>
      <c r="AY22" s="8">
        <v>0.5</v>
      </c>
      <c r="AZ22" s="8"/>
      <c r="BA22" s="8">
        <v>0.5</v>
      </c>
      <c r="BD22">
        <v>2</v>
      </c>
      <c r="BE22" s="8"/>
      <c r="BF22" s="8">
        <v>0.8</v>
      </c>
      <c r="BG22" s="8"/>
      <c r="BH22" s="8">
        <v>0.8</v>
      </c>
      <c r="BL22" s="8"/>
      <c r="BM22" s="8">
        <v>0.8</v>
      </c>
      <c r="BN22" s="8"/>
      <c r="BO22" s="8">
        <v>0.8</v>
      </c>
      <c r="BS22" s="8"/>
      <c r="BT22" s="8">
        <v>0.8</v>
      </c>
      <c r="BU22" s="8"/>
      <c r="BV22" s="8">
        <v>0.8</v>
      </c>
      <c r="BZ22" s="8"/>
      <c r="CA22" s="8">
        <v>0.8</v>
      </c>
      <c r="CB22" s="8"/>
      <c r="CC22" s="8">
        <v>0.8</v>
      </c>
      <c r="CF22">
        <v>2</v>
      </c>
      <c r="CG22" s="8"/>
      <c r="CH22" s="8">
        <v>1</v>
      </c>
      <c r="CI22" s="8"/>
      <c r="CJ22" s="8">
        <v>1</v>
      </c>
      <c r="CN22" s="8"/>
      <c r="CO22" s="8">
        <v>1</v>
      </c>
      <c r="CP22" s="8"/>
      <c r="CQ22" s="8">
        <v>1</v>
      </c>
      <c r="CU22" s="8"/>
      <c r="CV22" s="8"/>
      <c r="CW22" s="8"/>
      <c r="CX22" s="8"/>
      <c r="DB22" s="8"/>
      <c r="DC22" s="8"/>
      <c r="DD22" s="8"/>
      <c r="DE22" s="8"/>
      <c r="DI22" s="8"/>
      <c r="DJ22" s="8"/>
      <c r="DK22" s="8"/>
      <c r="DL22" s="8"/>
      <c r="DP22" s="8"/>
      <c r="DQ22" s="8"/>
      <c r="DR22" s="8"/>
      <c r="DS22" s="8"/>
      <c r="DW22" s="8"/>
      <c r="DX22" s="8"/>
      <c r="DY22" s="8"/>
      <c r="DZ22" s="8"/>
      <c r="ED22" s="8"/>
      <c r="EE22" s="8"/>
      <c r="EF22" s="8"/>
      <c r="EG22" s="8"/>
      <c r="EK22" s="8"/>
      <c r="EL22" s="8"/>
      <c r="EM22" s="8"/>
      <c r="EN22" s="8"/>
    </row>
    <row r="23" spans="2:144" outlineLevel="1" x14ac:dyDescent="0.2">
      <c r="B23" t="s">
        <v>28</v>
      </c>
      <c r="C23" t="s">
        <v>88</v>
      </c>
      <c r="E23" s="7"/>
      <c r="F23" t="s">
        <v>164</v>
      </c>
      <c r="G23" s="8"/>
      <c r="I23" s="7">
        <f t="shared" si="0"/>
        <v>6</v>
      </c>
      <c r="J23" s="9" cm="1">
        <f t="array" ref="J23">MAX(IF($N$3:$EH$3=$J$3,N23:EH23))</f>
        <v>0</v>
      </c>
      <c r="K23" s="9" cm="1">
        <f t="array" ref="K23">MAX(IF($N$3:$EH$3=$J$3,N23:EH23))</f>
        <v>0</v>
      </c>
      <c r="L23" s="7"/>
      <c r="O23" s="8"/>
      <c r="P23" s="8"/>
      <c r="Q23" s="8"/>
      <c r="R23" s="8"/>
      <c r="V23" s="8"/>
      <c r="W23" s="8"/>
      <c r="X23" s="8"/>
      <c r="Y23" s="8"/>
      <c r="AC23" s="8"/>
      <c r="AD23" s="8"/>
      <c r="AE23" s="8"/>
      <c r="AF23" s="8"/>
      <c r="AI23">
        <v>2</v>
      </c>
      <c r="AJ23" s="8"/>
      <c r="AK23" s="8">
        <v>0.5</v>
      </c>
      <c r="AL23" s="8"/>
      <c r="AM23" s="8">
        <v>0.5</v>
      </c>
      <c r="AQ23" s="8"/>
      <c r="AR23" s="8">
        <v>0.5</v>
      </c>
      <c r="AS23" s="8"/>
      <c r="AT23" s="8">
        <v>0.5</v>
      </c>
      <c r="AX23" s="8"/>
      <c r="AY23" s="8">
        <v>0.5</v>
      </c>
      <c r="AZ23" s="8"/>
      <c r="BA23" s="8">
        <v>0.5</v>
      </c>
      <c r="BE23" s="8"/>
      <c r="BF23" s="8">
        <v>0.5</v>
      </c>
      <c r="BG23" s="8"/>
      <c r="BH23" s="8">
        <v>0.5</v>
      </c>
      <c r="BK23">
        <v>2</v>
      </c>
      <c r="BL23" s="8"/>
      <c r="BM23" s="8">
        <v>0.8</v>
      </c>
      <c r="BN23" s="8"/>
      <c r="BO23" s="8">
        <v>0.8</v>
      </c>
      <c r="BS23" s="8"/>
      <c r="BT23" s="8">
        <v>0.8</v>
      </c>
      <c r="BU23" s="8"/>
      <c r="BV23" s="8">
        <v>0.8</v>
      </c>
      <c r="BZ23" s="8"/>
      <c r="CA23" s="8">
        <v>0.8</v>
      </c>
      <c r="CB23" s="8"/>
      <c r="CC23" s="8">
        <v>0.8</v>
      </c>
      <c r="CF23">
        <v>2</v>
      </c>
      <c r="CG23" s="8"/>
      <c r="CH23" s="8">
        <v>1</v>
      </c>
      <c r="CI23" s="8"/>
      <c r="CJ23" s="8">
        <v>1</v>
      </c>
      <c r="CN23" s="8"/>
      <c r="CO23" s="8">
        <v>1</v>
      </c>
      <c r="CP23" s="8"/>
      <c r="CQ23" s="8">
        <v>1</v>
      </c>
      <c r="CU23" s="8"/>
      <c r="CV23" s="8"/>
      <c r="CW23" s="8"/>
      <c r="CX23" s="8"/>
      <c r="DB23" s="8"/>
      <c r="DC23" s="8"/>
      <c r="DD23" s="8"/>
      <c r="DE23" s="8"/>
      <c r="DI23" s="8"/>
      <c r="DJ23" s="8"/>
      <c r="DK23" s="8"/>
      <c r="DL23" s="8"/>
      <c r="DP23" s="8"/>
      <c r="DQ23" s="8"/>
      <c r="DR23" s="8"/>
      <c r="DS23" s="8"/>
      <c r="DW23" s="8"/>
      <c r="DX23" s="8"/>
      <c r="DY23" s="8"/>
      <c r="DZ23" s="8"/>
      <c r="ED23" s="8"/>
      <c r="EE23" s="8"/>
      <c r="EF23" s="8"/>
      <c r="EG23" s="8"/>
      <c r="EK23" s="8"/>
      <c r="EL23" s="8"/>
      <c r="EM23" s="8"/>
      <c r="EN23" s="8"/>
    </row>
    <row r="24" spans="2:144" outlineLevel="1" x14ac:dyDescent="0.2">
      <c r="B24" t="s">
        <v>28</v>
      </c>
      <c r="C24" t="s">
        <v>88</v>
      </c>
      <c r="E24" s="7"/>
      <c r="F24" t="s">
        <v>162</v>
      </c>
      <c r="G24" s="8"/>
      <c r="I24" s="7">
        <f t="shared" si="0"/>
        <v>6</v>
      </c>
      <c r="J24" s="9" cm="1">
        <f t="array" ref="J24">MAX(IF($N$3:$EH$3=$J$3,N24:EH24))</f>
        <v>0</v>
      </c>
      <c r="K24" s="9" cm="1">
        <f t="array" ref="K24">MAX(IF($N$3:$EH$3=$J$3,N24:EH24))</f>
        <v>0</v>
      </c>
      <c r="L24" s="7"/>
      <c r="O24" s="8"/>
      <c r="P24" s="8"/>
      <c r="Q24" s="8"/>
      <c r="R24" s="8"/>
      <c r="V24" s="8"/>
      <c r="W24" s="8"/>
      <c r="X24" s="8"/>
      <c r="Y24" s="8"/>
      <c r="AC24" s="8"/>
      <c r="AD24" s="8"/>
      <c r="AE24" s="8"/>
      <c r="AF24" s="8"/>
      <c r="AJ24" s="8"/>
      <c r="AK24" s="8"/>
      <c r="AL24" s="8"/>
      <c r="AM24" s="8"/>
      <c r="AP24">
        <v>2</v>
      </c>
      <c r="AQ24" s="8"/>
      <c r="AR24" s="8">
        <v>0.5</v>
      </c>
      <c r="AS24" s="8"/>
      <c r="AT24" s="8">
        <v>0.5</v>
      </c>
      <c r="AX24" s="8"/>
      <c r="AY24" s="8">
        <v>0.5</v>
      </c>
      <c r="AZ24" s="8"/>
      <c r="BA24" s="8">
        <v>0.5</v>
      </c>
      <c r="BE24" s="8"/>
      <c r="BF24" s="8">
        <v>0.5</v>
      </c>
      <c r="BG24" s="8"/>
      <c r="BH24" s="8">
        <v>0.5</v>
      </c>
      <c r="BL24" s="8"/>
      <c r="BM24" s="8">
        <v>0.5</v>
      </c>
      <c r="BN24" s="8"/>
      <c r="BO24" s="8">
        <v>0.5</v>
      </c>
      <c r="BR24">
        <v>2</v>
      </c>
      <c r="BS24" s="8"/>
      <c r="BT24" s="8">
        <v>0.8</v>
      </c>
      <c r="BU24" s="8"/>
      <c r="BV24" s="8">
        <v>0.8</v>
      </c>
      <c r="BZ24" s="8"/>
      <c r="CA24" s="8">
        <v>0.8</v>
      </c>
      <c r="CB24" s="8"/>
      <c r="CC24" s="8">
        <v>0.8</v>
      </c>
      <c r="CG24" s="8"/>
      <c r="CH24" s="8">
        <v>0.8</v>
      </c>
      <c r="CI24" s="8"/>
      <c r="CJ24" s="8">
        <v>0.8</v>
      </c>
      <c r="CM24">
        <v>2</v>
      </c>
      <c r="CN24" s="8"/>
      <c r="CO24" s="8">
        <v>1</v>
      </c>
      <c r="CP24" s="8"/>
      <c r="CQ24" s="8">
        <v>1</v>
      </c>
      <c r="CU24" s="8"/>
      <c r="CV24" s="8"/>
      <c r="CW24" s="8"/>
      <c r="CX24" s="8"/>
      <c r="DB24" s="8"/>
      <c r="DC24" s="8"/>
      <c r="DD24" s="8"/>
      <c r="DE24" s="8"/>
      <c r="DI24" s="8"/>
      <c r="DJ24" s="8"/>
      <c r="DK24" s="8"/>
      <c r="DL24" s="8"/>
      <c r="DP24" s="8"/>
      <c r="DQ24" s="8"/>
      <c r="DR24" s="8"/>
      <c r="DS24" s="8"/>
      <c r="DW24" s="8"/>
      <c r="DX24" s="8"/>
      <c r="DY24" s="8"/>
      <c r="DZ24" s="8"/>
      <c r="ED24" s="8"/>
      <c r="EE24" s="8"/>
      <c r="EF24" s="8"/>
      <c r="EG24" s="8"/>
      <c r="EK24" s="8"/>
      <c r="EL24" s="8"/>
      <c r="EM24" s="8"/>
      <c r="EN24" s="8"/>
    </row>
    <row r="25" spans="2:144" outlineLevel="1" x14ac:dyDescent="0.2">
      <c r="B25" t="s">
        <v>28</v>
      </c>
      <c r="C25" t="s">
        <v>88</v>
      </c>
      <c r="E25" s="7"/>
      <c r="F25" t="s">
        <v>158</v>
      </c>
      <c r="G25" s="8"/>
      <c r="I25" s="7">
        <f t="shared" si="0"/>
        <v>6</v>
      </c>
      <c r="J25" s="9" cm="1">
        <f t="array" ref="J25">MAX(IF($N$3:$EH$3=$J$3,N25:EH25))</f>
        <v>0</v>
      </c>
      <c r="K25" s="9" cm="1">
        <f t="array" ref="K25">MAX(IF($N$3:$EH$3=$J$3,N25:EH25))</f>
        <v>0</v>
      </c>
      <c r="L25" s="7"/>
      <c r="O25" s="8"/>
      <c r="P25" s="8"/>
      <c r="Q25" s="8"/>
      <c r="R25" s="8"/>
      <c r="V25" s="8"/>
      <c r="W25" s="8"/>
      <c r="X25" s="8"/>
      <c r="Y25" s="8"/>
      <c r="AC25" s="8"/>
      <c r="AD25" s="8"/>
      <c r="AE25" s="8"/>
      <c r="AF25" s="8"/>
      <c r="AJ25" s="8"/>
      <c r="AK25" s="8"/>
      <c r="AL25" s="8"/>
      <c r="AM25" s="8"/>
      <c r="AQ25" s="8"/>
      <c r="AR25" s="8"/>
      <c r="AS25" s="8"/>
      <c r="AT25" s="8"/>
      <c r="AW25">
        <v>2</v>
      </c>
      <c r="AX25" s="8"/>
      <c r="AY25" s="8">
        <v>0.5</v>
      </c>
      <c r="AZ25" s="8"/>
      <c r="BA25" s="8">
        <v>0.5</v>
      </c>
      <c r="BE25" s="8"/>
      <c r="BF25" s="8">
        <v>0.5</v>
      </c>
      <c r="BG25" s="8"/>
      <c r="BH25" s="8">
        <v>0.5</v>
      </c>
      <c r="BL25" s="8"/>
      <c r="BM25" s="8">
        <v>0.5</v>
      </c>
      <c r="BN25" s="8"/>
      <c r="BO25" s="8">
        <v>0.5</v>
      </c>
      <c r="BR25">
        <v>2</v>
      </c>
      <c r="BS25" s="8"/>
      <c r="BT25" s="8">
        <v>0.8</v>
      </c>
      <c r="BU25" s="8"/>
      <c r="BV25" s="8">
        <v>0.8</v>
      </c>
      <c r="BZ25" s="8"/>
      <c r="CA25" s="8">
        <v>0.8</v>
      </c>
      <c r="CB25" s="8"/>
      <c r="CC25" s="8">
        <v>0.8</v>
      </c>
      <c r="CG25" s="8"/>
      <c r="CH25" s="8">
        <v>0.8</v>
      </c>
      <c r="CI25" s="8"/>
      <c r="CJ25" s="8">
        <v>0.8</v>
      </c>
      <c r="CM25">
        <v>2</v>
      </c>
      <c r="CN25" s="8"/>
      <c r="CO25" s="8">
        <v>1</v>
      </c>
      <c r="CP25" s="8"/>
      <c r="CQ25" s="8">
        <v>1</v>
      </c>
      <c r="CU25" s="8"/>
      <c r="CV25" s="8"/>
      <c r="CW25" s="8"/>
      <c r="CX25" s="8"/>
      <c r="DB25" s="8"/>
      <c r="DC25" s="8"/>
      <c r="DD25" s="8"/>
      <c r="DE25" s="8"/>
      <c r="DI25" s="8"/>
      <c r="DJ25" s="8"/>
      <c r="DK25" s="8"/>
      <c r="DL25" s="8"/>
      <c r="DP25" s="8"/>
      <c r="DQ25" s="8"/>
      <c r="DR25" s="8"/>
      <c r="DS25" s="8"/>
      <c r="DW25" s="8"/>
      <c r="DX25" s="8"/>
      <c r="DY25" s="8"/>
      <c r="DZ25" s="8"/>
      <c r="ED25" s="8"/>
      <c r="EE25" s="8"/>
      <c r="EF25" s="8"/>
      <c r="EG25" s="8"/>
      <c r="EK25" s="8"/>
      <c r="EL25" s="8"/>
      <c r="EM25" s="8"/>
      <c r="EN25" s="8"/>
    </row>
    <row r="27" spans="2:144" s="56" customFormat="1" x14ac:dyDescent="0.2">
      <c r="B27" s="56" t="s">
        <v>27</v>
      </c>
      <c r="C27" s="56" t="s">
        <v>89</v>
      </c>
      <c r="D27" s="57">
        <v>45308</v>
      </c>
      <c r="E27" s="58">
        <v>4</v>
      </c>
      <c r="G27" s="59">
        <f>+SUM(G28:G36)</f>
        <v>0</v>
      </c>
      <c r="I27" s="60">
        <f>+SUM(I28:I36)</f>
        <v>53</v>
      </c>
      <c r="J27" s="61">
        <f>+SUMPRODUCT(G28:G36,J28:J36)</f>
        <v>0</v>
      </c>
      <c r="K27" s="61">
        <f>+SUMPRODUCT(G28:G36,K28:K36)</f>
        <v>0</v>
      </c>
      <c r="L27" s="58"/>
      <c r="N27" s="60">
        <f>+SUM(N28:N36)</f>
        <v>4</v>
      </c>
      <c r="U27" s="60">
        <f>+SUM(U28:U36)</f>
        <v>4</v>
      </c>
      <c r="AB27" s="60">
        <f>+SUM(AB28:AB36)</f>
        <v>4</v>
      </c>
      <c r="AI27" s="60">
        <f>+SUM(AI28:AI36)</f>
        <v>6</v>
      </c>
      <c r="AP27" s="60">
        <f>+SUM(AP28:AP36)</f>
        <v>4</v>
      </c>
      <c r="AW27" s="60">
        <f>+SUM(AW28:AW36)</f>
        <v>6</v>
      </c>
      <c r="BD27" s="60">
        <f>+SUM(BD28:BD36)</f>
        <v>4</v>
      </c>
      <c r="BK27" s="60">
        <f>+SUM(BK28:BK36)</f>
        <v>4</v>
      </c>
      <c r="BR27" s="60">
        <f>+SUM(BR28:BR36)</f>
        <v>4</v>
      </c>
      <c r="BY27" s="60">
        <f>+SUM(BY28:BY36)</f>
        <v>6</v>
      </c>
      <c r="CF27" s="60">
        <f>+SUM(CF28:CF36)</f>
        <v>4</v>
      </c>
      <c r="CM27" s="60">
        <f>+SUM(CM28:CM36)</f>
        <v>4</v>
      </c>
    </row>
    <row r="28" spans="2:144" outlineLevel="1" x14ac:dyDescent="0.2">
      <c r="B28" t="s">
        <v>28</v>
      </c>
      <c r="C28" t="s">
        <v>89</v>
      </c>
      <c r="E28" s="7"/>
      <c r="F28" t="s">
        <v>167</v>
      </c>
      <c r="G28" s="8"/>
      <c r="I28" s="7">
        <v>5</v>
      </c>
      <c r="J28" s="9" cm="1">
        <f t="array" ref="J28">MAX(IF($N$3:$EH$3=$J$3,N28:EH28))</f>
        <v>0</v>
      </c>
      <c r="K28" s="9" cm="1">
        <f t="array" ref="K28">MAX(IF($N$3:$EH$3=$J$3,N28:EH28))</f>
        <v>0</v>
      </c>
      <c r="L28" s="7"/>
      <c r="N28">
        <v>2</v>
      </c>
      <c r="O28" s="8"/>
      <c r="P28" s="8">
        <v>0.5</v>
      </c>
      <c r="Q28" s="8"/>
      <c r="R28" s="8">
        <v>0.5</v>
      </c>
      <c r="V28" s="8"/>
      <c r="W28" s="8">
        <v>0.5</v>
      </c>
      <c r="X28" s="8"/>
      <c r="Y28" s="8">
        <v>0.5</v>
      </c>
      <c r="AB28">
        <v>2</v>
      </c>
      <c r="AC28" s="8"/>
      <c r="AD28" s="8">
        <v>0.8</v>
      </c>
      <c r="AE28" s="8"/>
      <c r="AF28" s="8">
        <v>0.8</v>
      </c>
      <c r="AJ28" s="8"/>
      <c r="AK28" s="8">
        <v>0.8</v>
      </c>
      <c r="AL28" s="8"/>
      <c r="AM28" s="8">
        <v>0.8</v>
      </c>
      <c r="AQ28" s="8"/>
      <c r="AR28" s="8">
        <v>0.8</v>
      </c>
      <c r="AS28" s="8"/>
      <c r="AT28" s="8">
        <v>0.8</v>
      </c>
      <c r="AX28" s="8"/>
      <c r="AY28" s="8">
        <v>0.8</v>
      </c>
      <c r="AZ28" s="8"/>
      <c r="BA28" s="8">
        <v>0.8</v>
      </c>
      <c r="BD28">
        <v>2</v>
      </c>
      <c r="BE28" s="8"/>
      <c r="BF28" s="8">
        <v>1</v>
      </c>
      <c r="BG28" s="8"/>
      <c r="BH28" s="8">
        <v>1</v>
      </c>
      <c r="BL28" s="8"/>
      <c r="BM28" s="8">
        <v>1</v>
      </c>
      <c r="BN28" s="8"/>
      <c r="BO28" s="8">
        <v>1</v>
      </c>
      <c r="BS28" s="8"/>
      <c r="BT28" s="8">
        <v>1</v>
      </c>
      <c r="BU28" s="8"/>
      <c r="BV28" s="8">
        <v>1</v>
      </c>
      <c r="BZ28" s="8"/>
      <c r="CA28" s="8">
        <v>1</v>
      </c>
      <c r="CB28" s="8"/>
      <c r="CC28" s="8">
        <v>1</v>
      </c>
      <c r="CG28" s="8"/>
      <c r="CH28" s="8">
        <v>1</v>
      </c>
      <c r="CI28" s="8"/>
      <c r="CJ28" s="8">
        <v>1</v>
      </c>
      <c r="CN28" s="8"/>
      <c r="CO28" s="8">
        <v>1</v>
      </c>
      <c r="CP28" s="8"/>
      <c r="CQ28" s="8">
        <v>1</v>
      </c>
      <c r="CU28" s="8"/>
      <c r="CV28" s="8"/>
      <c r="CW28" s="8"/>
      <c r="CX28" s="8"/>
      <c r="DB28" s="8"/>
      <c r="DC28" s="8"/>
      <c r="DD28" s="8"/>
      <c r="DE28" s="8"/>
      <c r="DI28" s="8"/>
      <c r="DJ28" s="8"/>
      <c r="DK28" s="8"/>
      <c r="DL28" s="8"/>
      <c r="DP28" s="8"/>
      <c r="DQ28" s="8"/>
      <c r="DR28" s="8"/>
      <c r="DS28" s="8"/>
      <c r="DW28" s="8"/>
      <c r="DX28" s="8"/>
      <c r="DY28" s="8"/>
      <c r="DZ28" s="8"/>
      <c r="ED28" s="8"/>
      <c r="EE28" s="8"/>
      <c r="EF28" s="8"/>
      <c r="EG28" s="8"/>
      <c r="EK28" s="8"/>
      <c r="EL28" s="8"/>
      <c r="EM28" s="8"/>
      <c r="EN28" s="8"/>
    </row>
    <row r="29" spans="2:144" outlineLevel="1" x14ac:dyDescent="0.2">
      <c r="B29" t="s">
        <v>28</v>
      </c>
      <c r="C29" t="s">
        <v>89</v>
      </c>
      <c r="E29" s="7"/>
      <c r="F29" t="s">
        <v>168</v>
      </c>
      <c r="G29" s="8"/>
      <c r="I29" s="7">
        <f t="shared" ref="I29:I36" si="1">+SUMIF($N$3:$ZZ$3,I$3,$N29:$ZZ29)</f>
        <v>6</v>
      </c>
      <c r="J29" s="9" cm="1">
        <f t="array" ref="J29">MAX(IF($N$3:$EH$3=$J$3,N29:EH29))</f>
        <v>0</v>
      </c>
      <c r="K29" s="9" cm="1">
        <f t="array" ref="K29">MAX(IF($N$3:$EH$3=$J$3,N29:EH29))</f>
        <v>0</v>
      </c>
      <c r="L29" s="7"/>
      <c r="N29">
        <v>2</v>
      </c>
      <c r="O29" s="8"/>
      <c r="P29" s="8">
        <v>0.5</v>
      </c>
      <c r="Q29" s="8"/>
      <c r="R29" s="8">
        <v>0.5</v>
      </c>
      <c r="V29" s="8"/>
      <c r="W29" s="8">
        <v>0.5</v>
      </c>
      <c r="X29" s="8"/>
      <c r="Y29" s="8">
        <v>0.5</v>
      </c>
      <c r="AC29" s="8"/>
      <c r="AD29" s="8">
        <v>0.5</v>
      </c>
      <c r="AE29" s="8"/>
      <c r="AF29" s="8">
        <v>0.5</v>
      </c>
      <c r="AI29">
        <v>2</v>
      </c>
      <c r="AJ29" s="8"/>
      <c r="AK29" s="8">
        <v>0.8</v>
      </c>
      <c r="AL29" s="8"/>
      <c r="AM29" s="8">
        <v>0.8</v>
      </c>
      <c r="AQ29" s="8"/>
      <c r="AR29" s="8">
        <v>0.8</v>
      </c>
      <c r="AS29" s="8"/>
      <c r="AT29" s="8">
        <v>0.8</v>
      </c>
      <c r="AX29" s="8"/>
      <c r="AY29" s="8">
        <v>0.8</v>
      </c>
      <c r="AZ29" s="8"/>
      <c r="BA29" s="8">
        <v>0.8</v>
      </c>
      <c r="BE29" s="8"/>
      <c r="BF29" s="8">
        <v>0.8</v>
      </c>
      <c r="BG29" s="8"/>
      <c r="BH29" s="8">
        <v>0.8</v>
      </c>
      <c r="BK29">
        <v>2</v>
      </c>
      <c r="BL29" s="8"/>
      <c r="BM29" s="8">
        <v>1</v>
      </c>
      <c r="BN29" s="8"/>
      <c r="BO29" s="8">
        <v>1</v>
      </c>
      <c r="BS29" s="8"/>
      <c r="BT29" s="8">
        <v>1</v>
      </c>
      <c r="BU29" s="8"/>
      <c r="BV29" s="8">
        <v>1</v>
      </c>
      <c r="BZ29" s="8"/>
      <c r="CA29" s="8">
        <v>1</v>
      </c>
      <c r="CB29" s="8"/>
      <c r="CC29" s="8">
        <v>1</v>
      </c>
      <c r="CG29" s="8"/>
      <c r="CH29" s="8">
        <v>1</v>
      </c>
      <c r="CI29" s="8"/>
      <c r="CJ29" s="8">
        <v>1</v>
      </c>
      <c r="CN29" s="8"/>
      <c r="CO29" s="8">
        <v>1</v>
      </c>
      <c r="CP29" s="8"/>
      <c r="CQ29" s="8">
        <v>1</v>
      </c>
      <c r="CU29" s="8"/>
      <c r="CV29" s="8"/>
      <c r="CW29" s="8"/>
      <c r="CX29" s="8"/>
      <c r="DB29" s="8"/>
      <c r="DC29" s="8"/>
      <c r="DD29" s="8"/>
      <c r="DE29" s="8"/>
      <c r="DI29" s="8"/>
      <c r="DJ29" s="8"/>
      <c r="DK29" s="8"/>
      <c r="DL29" s="8"/>
      <c r="DP29" s="8"/>
      <c r="DQ29" s="8"/>
      <c r="DR29" s="8"/>
      <c r="DS29" s="8"/>
      <c r="DW29" s="8"/>
      <c r="DX29" s="8"/>
      <c r="DY29" s="8"/>
      <c r="DZ29" s="8"/>
      <c r="ED29" s="8"/>
      <c r="EE29" s="8"/>
      <c r="EF29" s="8"/>
      <c r="EG29" s="8"/>
      <c r="EK29" s="8"/>
      <c r="EL29" s="8"/>
      <c r="EM29" s="8"/>
      <c r="EN29" s="8"/>
    </row>
    <row r="30" spans="2:144" outlineLevel="1" x14ac:dyDescent="0.2">
      <c r="B30" t="s">
        <v>28</v>
      </c>
      <c r="C30" t="s">
        <v>89</v>
      </c>
      <c r="E30" s="7"/>
      <c r="F30" t="s">
        <v>169</v>
      </c>
      <c r="G30" s="8"/>
      <c r="I30" s="7">
        <f t="shared" si="1"/>
        <v>6</v>
      </c>
      <c r="J30" s="9" cm="1">
        <f t="array" ref="J30">MAX(IF($N$3:$EH$3=$J$3,N30:EH30))</f>
        <v>0</v>
      </c>
      <c r="K30" s="9" cm="1">
        <f t="array" ref="K30">MAX(IF($N$3:$EH$3=$J$3,N30:EH30))</f>
        <v>0</v>
      </c>
      <c r="L30" s="7"/>
      <c r="O30" s="8"/>
      <c r="P30" s="8"/>
      <c r="Q30" s="8"/>
      <c r="R30" s="8"/>
      <c r="U30">
        <v>2</v>
      </c>
      <c r="V30" s="8"/>
      <c r="W30" s="8">
        <v>0.5</v>
      </c>
      <c r="X30" s="8"/>
      <c r="Y30" s="8">
        <v>0.5</v>
      </c>
      <c r="AC30" s="8"/>
      <c r="AD30" s="8">
        <v>0.5</v>
      </c>
      <c r="AE30" s="8"/>
      <c r="AF30" s="8">
        <v>0.5</v>
      </c>
      <c r="AJ30" s="8"/>
      <c r="AK30" s="8">
        <v>0.5</v>
      </c>
      <c r="AL30" s="8"/>
      <c r="AM30" s="8">
        <v>0.5</v>
      </c>
      <c r="AP30">
        <v>2</v>
      </c>
      <c r="AQ30" s="8"/>
      <c r="AR30" s="8">
        <v>0.8</v>
      </c>
      <c r="AS30" s="8"/>
      <c r="AT30" s="8">
        <v>0.8</v>
      </c>
      <c r="AX30" s="8"/>
      <c r="AY30" s="8">
        <v>0.8</v>
      </c>
      <c r="AZ30" s="8"/>
      <c r="BA30" s="8">
        <v>0.8</v>
      </c>
      <c r="BE30" s="8"/>
      <c r="BF30" s="8">
        <v>0.8</v>
      </c>
      <c r="BG30" s="8"/>
      <c r="BH30" s="8">
        <v>0.8</v>
      </c>
      <c r="BL30" s="8"/>
      <c r="BM30" s="8">
        <v>0.8</v>
      </c>
      <c r="BN30" s="8"/>
      <c r="BO30" s="8">
        <v>0.8</v>
      </c>
      <c r="BR30">
        <v>2</v>
      </c>
      <c r="BS30" s="8"/>
      <c r="BT30" s="8">
        <v>1</v>
      </c>
      <c r="BU30" s="8"/>
      <c r="BV30" s="8">
        <v>1</v>
      </c>
      <c r="BZ30" s="8"/>
      <c r="CA30" s="8">
        <v>1</v>
      </c>
      <c r="CB30" s="8"/>
      <c r="CC30" s="8">
        <v>1</v>
      </c>
      <c r="CG30" s="8"/>
      <c r="CH30" s="8">
        <v>1</v>
      </c>
      <c r="CI30" s="8"/>
      <c r="CJ30" s="8">
        <v>1</v>
      </c>
      <c r="CN30" s="8"/>
      <c r="CO30" s="8">
        <v>1</v>
      </c>
      <c r="CP30" s="8"/>
      <c r="CQ30" s="8">
        <v>1</v>
      </c>
      <c r="CU30" s="8"/>
      <c r="CV30" s="8"/>
      <c r="CW30" s="8"/>
      <c r="CX30" s="8"/>
      <c r="DB30" s="8"/>
      <c r="DC30" s="8"/>
      <c r="DD30" s="8"/>
      <c r="DE30" s="8"/>
      <c r="DI30" s="8"/>
      <c r="DJ30" s="8"/>
      <c r="DK30" s="8"/>
      <c r="DL30" s="8"/>
      <c r="DP30" s="8"/>
      <c r="DQ30" s="8"/>
      <c r="DR30" s="8"/>
      <c r="DS30" s="8"/>
      <c r="DW30" s="8"/>
      <c r="DX30" s="8"/>
      <c r="DY30" s="8"/>
      <c r="DZ30" s="8"/>
      <c r="ED30" s="8"/>
      <c r="EE30" s="8"/>
      <c r="EF30" s="8"/>
      <c r="EG30" s="8"/>
      <c r="EK30" s="8"/>
      <c r="EL30" s="8"/>
      <c r="EM30" s="8"/>
      <c r="EN30" s="8"/>
    </row>
    <row r="31" spans="2:144" outlineLevel="1" x14ac:dyDescent="0.2">
      <c r="B31" t="s">
        <v>28</v>
      </c>
      <c r="C31" t="s">
        <v>89</v>
      </c>
      <c r="E31" s="7"/>
      <c r="F31" t="s">
        <v>170</v>
      </c>
      <c r="G31" s="8"/>
      <c r="I31" s="7">
        <f t="shared" si="1"/>
        <v>6</v>
      </c>
      <c r="J31" s="9" cm="1">
        <f t="array" ref="J31">MAX(IF($N$3:$EH$3=$J$3,N31:EH31))</f>
        <v>0</v>
      </c>
      <c r="K31" s="9" cm="1">
        <f t="array" ref="K31">MAX(IF($N$3:$EH$3=$J$3,N31:EH31))</f>
        <v>0</v>
      </c>
      <c r="L31" s="7"/>
      <c r="O31" s="8"/>
      <c r="P31" s="8"/>
      <c r="Q31" s="8"/>
      <c r="R31" s="8"/>
      <c r="U31">
        <v>2</v>
      </c>
      <c r="V31" s="8"/>
      <c r="W31" s="8">
        <v>0.5</v>
      </c>
      <c r="X31" s="8"/>
      <c r="Y31" s="8">
        <v>0.5</v>
      </c>
      <c r="AC31" s="8"/>
      <c r="AD31" s="8">
        <v>0.5</v>
      </c>
      <c r="AE31" s="8"/>
      <c r="AF31" s="8">
        <v>0.5</v>
      </c>
      <c r="AJ31" s="8"/>
      <c r="AK31" s="8">
        <v>0.5</v>
      </c>
      <c r="AL31" s="8"/>
      <c r="AM31" s="8">
        <v>0.5</v>
      </c>
      <c r="AQ31" s="8"/>
      <c r="AR31" s="8">
        <v>0.5</v>
      </c>
      <c r="AS31" s="8"/>
      <c r="AT31" s="8">
        <v>0.5</v>
      </c>
      <c r="AW31">
        <v>2</v>
      </c>
      <c r="AX31" s="8"/>
      <c r="AY31" s="8">
        <v>0.8</v>
      </c>
      <c r="AZ31" s="8"/>
      <c r="BA31" s="8">
        <v>0.8</v>
      </c>
      <c r="BE31" s="8"/>
      <c r="BF31" s="8">
        <v>0.8</v>
      </c>
      <c r="BG31" s="8"/>
      <c r="BH31" s="8">
        <v>0.8</v>
      </c>
      <c r="BL31" s="8"/>
      <c r="BM31" s="8">
        <v>0.8</v>
      </c>
      <c r="BN31" s="8"/>
      <c r="BO31" s="8">
        <v>0.8</v>
      </c>
      <c r="BS31" s="8"/>
      <c r="BT31" s="8">
        <v>0.8</v>
      </c>
      <c r="BU31" s="8"/>
      <c r="BV31" s="8">
        <v>0.8</v>
      </c>
      <c r="BY31">
        <v>2</v>
      </c>
      <c r="BZ31" s="8"/>
      <c r="CA31" s="8">
        <v>1</v>
      </c>
      <c r="CB31" s="8"/>
      <c r="CC31" s="8">
        <v>1</v>
      </c>
      <c r="CG31" s="8"/>
      <c r="CH31" s="8">
        <v>1</v>
      </c>
      <c r="CI31" s="8"/>
      <c r="CJ31" s="8">
        <v>1</v>
      </c>
      <c r="CN31" s="8"/>
      <c r="CO31" s="8">
        <v>1</v>
      </c>
      <c r="CP31" s="8"/>
      <c r="CQ31" s="8">
        <v>1</v>
      </c>
      <c r="CU31" s="8"/>
      <c r="CV31" s="8"/>
      <c r="CW31" s="8"/>
      <c r="CX31" s="8"/>
      <c r="DB31" s="8"/>
      <c r="DC31" s="8"/>
      <c r="DD31" s="8"/>
      <c r="DE31" s="8"/>
      <c r="DI31" s="8"/>
      <c r="DJ31" s="8"/>
      <c r="DK31" s="8"/>
      <c r="DL31" s="8"/>
      <c r="DP31" s="8"/>
      <c r="DQ31" s="8"/>
      <c r="DR31" s="8"/>
      <c r="DS31" s="8"/>
      <c r="DW31" s="8"/>
      <c r="DX31" s="8"/>
      <c r="DY31" s="8"/>
      <c r="DZ31" s="8"/>
      <c r="ED31" s="8"/>
      <c r="EE31" s="8"/>
      <c r="EF31" s="8"/>
      <c r="EG31" s="8"/>
      <c r="EK31" s="8"/>
      <c r="EL31" s="8"/>
      <c r="EM31" s="8"/>
      <c r="EN31" s="8"/>
    </row>
    <row r="32" spans="2:144" outlineLevel="1" x14ac:dyDescent="0.2">
      <c r="B32" t="s">
        <v>28</v>
      </c>
      <c r="C32" t="s">
        <v>89</v>
      </c>
      <c r="E32" s="7"/>
      <c r="F32" t="s">
        <v>171</v>
      </c>
      <c r="G32" s="8"/>
      <c r="I32" s="7">
        <f t="shared" si="1"/>
        <v>6</v>
      </c>
      <c r="J32" s="9" cm="1">
        <f t="array" ref="J32">MAX(IF($N$3:$EH$3=$J$3,N32:EH32))</f>
        <v>0</v>
      </c>
      <c r="K32" s="9" cm="1">
        <f t="array" ref="K32">MAX(IF($N$3:$EH$3=$J$3,N32:EH32))</f>
        <v>0</v>
      </c>
      <c r="L32" s="7"/>
      <c r="O32" s="8"/>
      <c r="P32" s="8"/>
      <c r="Q32" s="8"/>
      <c r="R32" s="8"/>
      <c r="V32" s="8"/>
      <c r="W32" s="8"/>
      <c r="X32" s="8"/>
      <c r="Y32" s="8"/>
      <c r="AB32">
        <v>2</v>
      </c>
      <c r="AC32" s="8"/>
      <c r="AD32" s="8">
        <v>0.5</v>
      </c>
      <c r="AE32" s="8"/>
      <c r="AF32" s="8">
        <v>0.5</v>
      </c>
      <c r="AJ32" s="8"/>
      <c r="AK32" s="8">
        <v>0.5</v>
      </c>
      <c r="AL32" s="8"/>
      <c r="AM32" s="8">
        <v>0.5</v>
      </c>
      <c r="AQ32" s="8"/>
      <c r="AR32" s="8">
        <v>0.5</v>
      </c>
      <c r="AS32" s="8"/>
      <c r="AT32" s="8">
        <v>0.5</v>
      </c>
      <c r="AW32">
        <v>2</v>
      </c>
      <c r="AX32" s="8"/>
      <c r="AY32" s="8">
        <v>0.8</v>
      </c>
      <c r="AZ32" s="8"/>
      <c r="BA32" s="8">
        <v>0.8</v>
      </c>
      <c r="BE32" s="8"/>
      <c r="BF32" s="8">
        <v>0.8</v>
      </c>
      <c r="BG32" s="8"/>
      <c r="BH32" s="8">
        <v>0.8</v>
      </c>
      <c r="BL32" s="8"/>
      <c r="BM32" s="8">
        <v>0.8</v>
      </c>
      <c r="BN32" s="8"/>
      <c r="BO32" s="8">
        <v>0.8</v>
      </c>
      <c r="BS32" s="8"/>
      <c r="BT32" s="8">
        <v>0.8</v>
      </c>
      <c r="BU32" s="8"/>
      <c r="BV32" s="8">
        <v>0.8</v>
      </c>
      <c r="BY32">
        <v>2</v>
      </c>
      <c r="BZ32" s="8"/>
      <c r="CA32" s="8">
        <v>1</v>
      </c>
      <c r="CB32" s="8"/>
      <c r="CC32" s="8">
        <v>1</v>
      </c>
      <c r="CG32" s="8"/>
      <c r="CH32" s="8">
        <v>1</v>
      </c>
      <c r="CI32" s="8"/>
      <c r="CJ32" s="8">
        <v>1</v>
      </c>
      <c r="CN32" s="8"/>
      <c r="CO32" s="8">
        <v>1</v>
      </c>
      <c r="CP32" s="8"/>
      <c r="CQ32" s="8">
        <v>1</v>
      </c>
      <c r="CU32" s="8"/>
      <c r="CV32" s="8"/>
      <c r="CW32" s="8"/>
      <c r="CX32" s="8"/>
      <c r="DB32" s="8"/>
      <c r="DC32" s="8"/>
      <c r="DD32" s="8"/>
      <c r="DE32" s="8"/>
      <c r="DI32" s="8"/>
      <c r="DJ32" s="8"/>
      <c r="DK32" s="8"/>
      <c r="DL32" s="8"/>
      <c r="DP32" s="8"/>
      <c r="DQ32" s="8"/>
      <c r="DR32" s="8"/>
      <c r="DS32" s="8"/>
      <c r="DW32" s="8"/>
      <c r="DX32" s="8"/>
      <c r="DY32" s="8"/>
      <c r="DZ32" s="8"/>
      <c r="ED32" s="8"/>
      <c r="EE32" s="8"/>
      <c r="EF32" s="8"/>
      <c r="EG32" s="8"/>
      <c r="EK32" s="8"/>
      <c r="EL32" s="8"/>
      <c r="EM32" s="8"/>
      <c r="EN32" s="8"/>
    </row>
    <row r="33" spans="2:144" outlineLevel="1" x14ac:dyDescent="0.2">
      <c r="B33" t="s">
        <v>28</v>
      </c>
      <c r="C33" t="s">
        <v>89</v>
      </c>
      <c r="E33" s="7"/>
      <c r="F33" t="s">
        <v>172</v>
      </c>
      <c r="G33" s="8"/>
      <c r="I33" s="7">
        <f t="shared" si="1"/>
        <v>6</v>
      </c>
      <c r="J33" s="9" cm="1">
        <f t="array" ref="J33">MAX(IF($N$3:$EH$3=$J$3,N33:EH33))</f>
        <v>0</v>
      </c>
      <c r="K33" s="9" cm="1">
        <f t="array" ref="K33">MAX(IF($N$3:$EH$3=$J$3,N33:EH33))</f>
        <v>0</v>
      </c>
      <c r="L33" s="7"/>
      <c r="O33" s="8"/>
      <c r="P33" s="8"/>
      <c r="Q33" s="8"/>
      <c r="R33" s="8"/>
      <c r="V33" s="8"/>
      <c r="W33" s="8"/>
      <c r="X33" s="8"/>
      <c r="Y33" s="8"/>
      <c r="AC33" s="8"/>
      <c r="AD33" s="8"/>
      <c r="AE33" s="8"/>
      <c r="AF33" s="8"/>
      <c r="AI33">
        <v>2</v>
      </c>
      <c r="AJ33" s="8"/>
      <c r="AK33" s="8">
        <v>0.5</v>
      </c>
      <c r="AL33" s="8"/>
      <c r="AM33" s="8">
        <v>0.5</v>
      </c>
      <c r="AQ33" s="8"/>
      <c r="AR33" s="8">
        <v>0.5</v>
      </c>
      <c r="AS33" s="8"/>
      <c r="AT33" s="8">
        <v>0.5</v>
      </c>
      <c r="AX33" s="8"/>
      <c r="AY33" s="8">
        <v>0.5</v>
      </c>
      <c r="AZ33" s="8"/>
      <c r="BA33" s="8">
        <v>0.5</v>
      </c>
      <c r="BD33">
        <v>2</v>
      </c>
      <c r="BE33" s="8"/>
      <c r="BF33" s="8">
        <v>0.8</v>
      </c>
      <c r="BG33" s="8"/>
      <c r="BH33" s="8">
        <v>0.8</v>
      </c>
      <c r="BL33" s="8"/>
      <c r="BM33" s="8">
        <v>0.8</v>
      </c>
      <c r="BN33" s="8"/>
      <c r="BO33" s="8">
        <v>0.8</v>
      </c>
      <c r="BS33" s="8"/>
      <c r="BT33" s="8">
        <v>0.8</v>
      </c>
      <c r="BU33" s="8"/>
      <c r="BV33" s="8">
        <v>0.8</v>
      </c>
      <c r="BZ33" s="8"/>
      <c r="CA33" s="8">
        <v>0.8</v>
      </c>
      <c r="CB33" s="8"/>
      <c r="CC33" s="8">
        <v>0.8</v>
      </c>
      <c r="CF33">
        <v>2</v>
      </c>
      <c r="CG33" s="8"/>
      <c r="CH33" s="8">
        <v>1</v>
      </c>
      <c r="CI33" s="8"/>
      <c r="CJ33" s="8">
        <v>1</v>
      </c>
      <c r="CN33" s="8"/>
      <c r="CO33" s="8">
        <v>1</v>
      </c>
      <c r="CP33" s="8"/>
      <c r="CQ33" s="8">
        <v>1</v>
      </c>
      <c r="CU33" s="8"/>
      <c r="CV33" s="8"/>
      <c r="CW33" s="8"/>
      <c r="CX33" s="8"/>
      <c r="DB33" s="8"/>
      <c r="DC33" s="8"/>
      <c r="DD33" s="8"/>
      <c r="DE33" s="8"/>
      <c r="DI33" s="8"/>
      <c r="DJ33" s="8"/>
      <c r="DK33" s="8"/>
      <c r="DL33" s="8"/>
      <c r="DP33" s="8"/>
      <c r="DQ33" s="8"/>
      <c r="DR33" s="8"/>
      <c r="DS33" s="8"/>
      <c r="DW33" s="8"/>
      <c r="DX33" s="8"/>
      <c r="DY33" s="8"/>
      <c r="DZ33" s="8"/>
      <c r="ED33" s="8"/>
      <c r="EE33" s="8"/>
      <c r="EF33" s="8"/>
      <c r="EG33" s="8"/>
      <c r="EK33" s="8"/>
      <c r="EL33" s="8"/>
      <c r="EM33" s="8"/>
      <c r="EN33" s="8"/>
    </row>
    <row r="34" spans="2:144" outlineLevel="1" x14ac:dyDescent="0.2">
      <c r="B34" t="s">
        <v>28</v>
      </c>
      <c r="C34" t="s">
        <v>89</v>
      </c>
      <c r="E34" s="7"/>
      <c r="F34" t="s">
        <v>173</v>
      </c>
      <c r="G34" s="8"/>
      <c r="I34" s="7">
        <f t="shared" si="1"/>
        <v>6</v>
      </c>
      <c r="J34" s="9" cm="1">
        <f t="array" ref="J34">MAX(IF($N$3:$EH$3=$J$3,N34:EH34))</f>
        <v>0</v>
      </c>
      <c r="K34" s="9" cm="1">
        <f t="array" ref="K34">MAX(IF($N$3:$EH$3=$J$3,N34:EH34))</f>
        <v>0</v>
      </c>
      <c r="L34" s="7"/>
      <c r="O34" s="8"/>
      <c r="P34" s="8"/>
      <c r="Q34" s="8"/>
      <c r="R34" s="8"/>
      <c r="V34" s="8"/>
      <c r="W34" s="8"/>
      <c r="X34" s="8"/>
      <c r="Y34" s="8"/>
      <c r="AC34" s="8"/>
      <c r="AD34" s="8"/>
      <c r="AE34" s="8"/>
      <c r="AF34" s="8"/>
      <c r="AI34">
        <v>2</v>
      </c>
      <c r="AJ34" s="8"/>
      <c r="AK34" s="8">
        <v>0.5</v>
      </c>
      <c r="AL34" s="8"/>
      <c r="AM34" s="8">
        <v>0.5</v>
      </c>
      <c r="AQ34" s="8"/>
      <c r="AR34" s="8">
        <v>0.5</v>
      </c>
      <c r="AS34" s="8"/>
      <c r="AT34" s="8">
        <v>0.5</v>
      </c>
      <c r="AX34" s="8"/>
      <c r="AY34" s="8">
        <v>0.5</v>
      </c>
      <c r="AZ34" s="8"/>
      <c r="BA34" s="8">
        <v>0.5</v>
      </c>
      <c r="BE34" s="8"/>
      <c r="BF34" s="8">
        <v>0.5</v>
      </c>
      <c r="BG34" s="8"/>
      <c r="BH34" s="8">
        <v>0.5</v>
      </c>
      <c r="BK34">
        <v>2</v>
      </c>
      <c r="BL34" s="8"/>
      <c r="BM34" s="8">
        <v>0.8</v>
      </c>
      <c r="BN34" s="8"/>
      <c r="BO34" s="8">
        <v>0.8</v>
      </c>
      <c r="BS34" s="8"/>
      <c r="BT34" s="8">
        <v>0.8</v>
      </c>
      <c r="BU34" s="8"/>
      <c r="BV34" s="8">
        <v>0.8</v>
      </c>
      <c r="BZ34" s="8"/>
      <c r="CA34" s="8">
        <v>0.8</v>
      </c>
      <c r="CB34" s="8"/>
      <c r="CC34" s="8">
        <v>0.8</v>
      </c>
      <c r="CF34">
        <v>2</v>
      </c>
      <c r="CG34" s="8"/>
      <c r="CH34" s="8">
        <v>1</v>
      </c>
      <c r="CI34" s="8"/>
      <c r="CJ34" s="8">
        <v>1</v>
      </c>
      <c r="CN34" s="8"/>
      <c r="CO34" s="8">
        <v>1</v>
      </c>
      <c r="CP34" s="8"/>
      <c r="CQ34" s="8">
        <v>1</v>
      </c>
      <c r="CU34" s="8"/>
      <c r="CV34" s="8"/>
      <c r="CW34" s="8"/>
      <c r="CX34" s="8"/>
      <c r="DB34" s="8"/>
      <c r="DC34" s="8"/>
      <c r="DD34" s="8"/>
      <c r="DE34" s="8"/>
      <c r="DI34" s="8"/>
      <c r="DJ34" s="8"/>
      <c r="DK34" s="8"/>
      <c r="DL34" s="8"/>
      <c r="DP34" s="8"/>
      <c r="DQ34" s="8"/>
      <c r="DR34" s="8"/>
      <c r="DS34" s="8"/>
      <c r="DW34" s="8"/>
      <c r="DX34" s="8"/>
      <c r="DY34" s="8"/>
      <c r="DZ34" s="8"/>
      <c r="ED34" s="8"/>
      <c r="EE34" s="8"/>
      <c r="EF34" s="8"/>
      <c r="EG34" s="8"/>
      <c r="EK34" s="8"/>
      <c r="EL34" s="8"/>
      <c r="EM34" s="8"/>
      <c r="EN34" s="8"/>
    </row>
    <row r="35" spans="2:144" outlineLevel="1" x14ac:dyDescent="0.2">
      <c r="B35" t="s">
        <v>28</v>
      </c>
      <c r="C35" t="s">
        <v>89</v>
      </c>
      <c r="E35" s="7"/>
      <c r="F35" t="s">
        <v>174</v>
      </c>
      <c r="G35" s="8"/>
      <c r="I35" s="7">
        <f t="shared" si="1"/>
        <v>6</v>
      </c>
      <c r="J35" s="9" cm="1">
        <f t="array" ref="J35">MAX(IF($N$3:$EH$3=$J$3,N35:EH35))</f>
        <v>0</v>
      </c>
      <c r="K35" s="9" cm="1">
        <f t="array" ref="K35">MAX(IF($N$3:$EH$3=$J$3,N35:EH35))</f>
        <v>0</v>
      </c>
      <c r="L35" s="7"/>
      <c r="O35" s="8"/>
      <c r="P35" s="8"/>
      <c r="Q35" s="8"/>
      <c r="R35" s="8"/>
      <c r="V35" s="8"/>
      <c r="W35" s="8"/>
      <c r="X35" s="8"/>
      <c r="Y35" s="8"/>
      <c r="AC35" s="8"/>
      <c r="AD35" s="8"/>
      <c r="AE35" s="8"/>
      <c r="AF35" s="8"/>
      <c r="AJ35" s="8"/>
      <c r="AK35" s="8"/>
      <c r="AL35" s="8"/>
      <c r="AM35" s="8"/>
      <c r="AP35">
        <v>2</v>
      </c>
      <c r="AQ35" s="8"/>
      <c r="AR35" s="8">
        <v>0.5</v>
      </c>
      <c r="AS35" s="8"/>
      <c r="AT35" s="8">
        <v>0.5</v>
      </c>
      <c r="AX35" s="8"/>
      <c r="AY35" s="8">
        <v>0.5</v>
      </c>
      <c r="AZ35" s="8"/>
      <c r="BA35" s="8">
        <v>0.5</v>
      </c>
      <c r="BE35" s="8"/>
      <c r="BF35" s="8">
        <v>0.5</v>
      </c>
      <c r="BG35" s="8"/>
      <c r="BH35" s="8">
        <v>0.5</v>
      </c>
      <c r="BL35" s="8"/>
      <c r="BM35" s="8">
        <v>0.5</v>
      </c>
      <c r="BN35" s="8"/>
      <c r="BO35" s="8">
        <v>0.5</v>
      </c>
      <c r="BR35">
        <v>2</v>
      </c>
      <c r="BS35" s="8"/>
      <c r="BT35" s="8">
        <v>0.8</v>
      </c>
      <c r="BU35" s="8"/>
      <c r="BV35" s="8">
        <v>0.8</v>
      </c>
      <c r="BZ35" s="8"/>
      <c r="CA35" s="8">
        <v>0.8</v>
      </c>
      <c r="CB35" s="8"/>
      <c r="CC35" s="8">
        <v>0.8</v>
      </c>
      <c r="CG35" s="8"/>
      <c r="CH35" s="8">
        <v>0.8</v>
      </c>
      <c r="CI35" s="8"/>
      <c r="CJ35" s="8">
        <v>0.8</v>
      </c>
      <c r="CM35">
        <v>2</v>
      </c>
      <c r="CN35" s="8"/>
      <c r="CO35" s="8">
        <v>1</v>
      </c>
      <c r="CP35" s="8"/>
      <c r="CQ35" s="8">
        <v>1</v>
      </c>
      <c r="CU35" s="8"/>
      <c r="CV35" s="8"/>
      <c r="CW35" s="8"/>
      <c r="CX35" s="8"/>
      <c r="DB35" s="8"/>
      <c r="DC35" s="8"/>
      <c r="DD35" s="8"/>
      <c r="DE35" s="8"/>
      <c r="DI35" s="8"/>
      <c r="DJ35" s="8"/>
      <c r="DK35" s="8"/>
      <c r="DL35" s="8"/>
      <c r="DP35" s="8"/>
      <c r="DQ35" s="8"/>
      <c r="DR35" s="8"/>
      <c r="DS35" s="8"/>
      <c r="DW35" s="8"/>
      <c r="DX35" s="8"/>
      <c r="DY35" s="8"/>
      <c r="DZ35" s="8"/>
      <c r="ED35" s="8"/>
      <c r="EE35" s="8"/>
      <c r="EF35" s="8"/>
      <c r="EG35" s="8"/>
      <c r="EK35" s="8"/>
      <c r="EL35" s="8"/>
      <c r="EM35" s="8"/>
      <c r="EN35" s="8"/>
    </row>
    <row r="36" spans="2:144" outlineLevel="1" x14ac:dyDescent="0.2">
      <c r="B36" t="s">
        <v>28</v>
      </c>
      <c r="C36" t="s">
        <v>89</v>
      </c>
      <c r="E36" s="7"/>
      <c r="F36" t="s">
        <v>175</v>
      </c>
      <c r="G36" s="8"/>
      <c r="I36" s="7">
        <f t="shared" si="1"/>
        <v>6</v>
      </c>
      <c r="J36" s="9" cm="1">
        <f t="array" ref="J36">MAX(IF($N$3:$EH$3=$J$3,N36:EH36))</f>
        <v>0</v>
      </c>
      <c r="K36" s="9" cm="1">
        <f t="array" ref="K36">MAX(IF($N$3:$EH$3=$J$3,N36:EH36))</f>
        <v>0</v>
      </c>
      <c r="L36" s="7"/>
      <c r="O36" s="8"/>
      <c r="P36" s="8"/>
      <c r="Q36" s="8"/>
      <c r="R36" s="8"/>
      <c r="V36" s="8"/>
      <c r="W36" s="8"/>
      <c r="X36" s="8"/>
      <c r="Y36" s="8"/>
      <c r="AC36" s="8"/>
      <c r="AD36" s="8"/>
      <c r="AE36" s="8"/>
      <c r="AF36" s="8"/>
      <c r="AJ36" s="8"/>
      <c r="AK36" s="8"/>
      <c r="AL36" s="8"/>
      <c r="AM36" s="8"/>
      <c r="AQ36" s="8"/>
      <c r="AR36" s="8"/>
      <c r="AS36" s="8"/>
      <c r="AT36" s="8"/>
      <c r="AW36">
        <v>2</v>
      </c>
      <c r="AX36" s="8"/>
      <c r="AY36" s="8">
        <v>0.5</v>
      </c>
      <c r="AZ36" s="8"/>
      <c r="BA36" s="8">
        <v>0.5</v>
      </c>
      <c r="BE36" s="8"/>
      <c r="BF36" s="8">
        <v>0.5</v>
      </c>
      <c r="BG36" s="8"/>
      <c r="BH36" s="8">
        <v>0.5</v>
      </c>
      <c r="BL36" s="8"/>
      <c r="BM36" s="8">
        <v>0.5</v>
      </c>
      <c r="BN36" s="8"/>
      <c r="BO36" s="8">
        <v>0.5</v>
      </c>
      <c r="BS36" s="8"/>
      <c r="BT36" s="8">
        <v>0.5</v>
      </c>
      <c r="BU36" s="8"/>
      <c r="BV36" s="8">
        <v>0.5</v>
      </c>
      <c r="BY36">
        <v>2</v>
      </c>
      <c r="BZ36" s="8"/>
      <c r="CA36" s="8">
        <v>0.8</v>
      </c>
      <c r="CB36" s="8"/>
      <c r="CC36" s="8">
        <v>0.8</v>
      </c>
      <c r="CG36" s="8"/>
      <c r="CH36" s="8">
        <v>0.8</v>
      </c>
      <c r="CI36" s="8"/>
      <c r="CJ36" s="8">
        <v>0.8</v>
      </c>
      <c r="CM36">
        <v>2</v>
      </c>
      <c r="CN36" s="8"/>
      <c r="CO36" s="8">
        <v>1</v>
      </c>
      <c r="CP36" s="8"/>
      <c r="CQ36" s="8">
        <v>1</v>
      </c>
      <c r="CU36" s="8"/>
      <c r="CV36" s="8"/>
      <c r="CW36" s="8"/>
      <c r="CX36" s="8"/>
      <c r="DB36" s="8"/>
      <c r="DC36" s="8"/>
      <c r="DD36" s="8"/>
      <c r="DE36" s="8"/>
      <c r="DI36" s="8"/>
      <c r="DJ36" s="8"/>
      <c r="DK36" s="8"/>
      <c r="DL36" s="8"/>
      <c r="DP36" s="8"/>
      <c r="DQ36" s="8"/>
      <c r="DR36" s="8"/>
      <c r="DS36" s="8"/>
      <c r="DW36" s="8"/>
      <c r="DX36" s="8"/>
      <c r="DY36" s="8"/>
      <c r="DZ36" s="8"/>
      <c r="ED36" s="8"/>
      <c r="EE36" s="8"/>
      <c r="EF36" s="8"/>
      <c r="EG36" s="8"/>
      <c r="EK36" s="8"/>
      <c r="EL36" s="8"/>
      <c r="EM36" s="8"/>
      <c r="EN36" s="8"/>
    </row>
    <row r="38" spans="2:144" s="27" customFormat="1" x14ac:dyDescent="0.2">
      <c r="B38" s="27" t="s">
        <v>27</v>
      </c>
      <c r="C38" s="27" t="s">
        <v>90</v>
      </c>
      <c r="D38" s="28">
        <v>45309</v>
      </c>
      <c r="E38" s="29">
        <v>3</v>
      </c>
      <c r="G38" s="30">
        <f>+SUM(G39:G50)</f>
        <v>0</v>
      </c>
      <c r="I38" s="31">
        <f>+SUM(I39:I50)</f>
        <v>53.5</v>
      </c>
      <c r="J38" s="32">
        <f>+SUMPRODUCT(G39:G50,J39:J50)</f>
        <v>0</v>
      </c>
      <c r="K38" s="32">
        <f>+SUMPRODUCT(G39:G50,K39:K50)</f>
        <v>0</v>
      </c>
      <c r="L38" s="29"/>
      <c r="N38" s="31">
        <f>+SUM(N39:N50)</f>
        <v>4.5</v>
      </c>
      <c r="U38" s="31">
        <f>+SUM(U39:U50)</f>
        <v>4.5</v>
      </c>
      <c r="AB38" s="31">
        <f>+SUM(AB39:AB50)</f>
        <v>4.5</v>
      </c>
      <c r="AI38" s="31">
        <f>+SUM(AI39:AI50)</f>
        <v>4.5</v>
      </c>
      <c r="AP38" s="31">
        <f>+SUM(AP39:AP50)</f>
        <v>4.5</v>
      </c>
      <c r="AW38" s="31">
        <f>+SUM(AW39:AW50)</f>
        <v>4.5</v>
      </c>
      <c r="BD38" s="31">
        <f>+SUM(BD39:BD50)</f>
        <v>4.5</v>
      </c>
      <c r="BK38" s="31">
        <f>+SUM(BK39:BK50)</f>
        <v>4.5</v>
      </c>
      <c r="BR38" s="31">
        <f>+SUM(BR39:BR50)</f>
        <v>4.5</v>
      </c>
      <c r="BY38" s="31">
        <f>+SUM(BY39:BY50)</f>
        <v>4.5</v>
      </c>
      <c r="CF38" s="31">
        <f>+SUM(CF39:CF50)</f>
        <v>4.5</v>
      </c>
      <c r="CM38" s="31">
        <f>+SUM(CM39:CM50)</f>
        <v>4.5</v>
      </c>
    </row>
    <row r="39" spans="2:144" outlineLevel="1" x14ac:dyDescent="0.2">
      <c r="B39" t="s">
        <v>28</v>
      </c>
      <c r="C39" t="s">
        <v>90</v>
      </c>
      <c r="E39" s="7"/>
      <c r="F39" t="s">
        <v>176</v>
      </c>
      <c r="G39" s="8"/>
      <c r="I39" s="7">
        <v>4</v>
      </c>
      <c r="J39" s="9" cm="1">
        <f t="array" ref="J39">MAX(IF($N$3:$EH$3=$J$3,N39:EH39))</f>
        <v>0</v>
      </c>
      <c r="K39" s="9" cm="1">
        <f t="array" ref="K39">MAX(IF($N$3:$EH$3=$J$3,N39:EH39))</f>
        <v>0</v>
      </c>
      <c r="L39" s="7"/>
      <c r="N39">
        <v>1.5</v>
      </c>
      <c r="O39" s="8"/>
      <c r="P39" s="8">
        <v>0.5</v>
      </c>
      <c r="Q39" s="8"/>
      <c r="R39" s="8">
        <v>0.5</v>
      </c>
      <c r="V39" s="8"/>
      <c r="W39" s="8">
        <v>0.5</v>
      </c>
      <c r="X39" s="8"/>
      <c r="Y39" s="8">
        <v>0.5</v>
      </c>
      <c r="AB39">
        <v>1.5</v>
      </c>
      <c r="AC39" s="8"/>
      <c r="AD39" s="8">
        <v>0.8</v>
      </c>
      <c r="AE39" s="8"/>
      <c r="AF39" s="8">
        <v>0.8</v>
      </c>
      <c r="AJ39" s="8"/>
      <c r="AK39" s="8">
        <v>0.8</v>
      </c>
      <c r="AL39" s="8"/>
      <c r="AM39" s="8">
        <v>0.8</v>
      </c>
      <c r="AQ39" s="8"/>
      <c r="AR39" s="8">
        <v>0.8</v>
      </c>
      <c r="AS39" s="8"/>
      <c r="AT39" s="8">
        <v>0.8</v>
      </c>
      <c r="AX39" s="8"/>
      <c r="AY39" s="8">
        <v>0.8</v>
      </c>
      <c r="AZ39" s="8"/>
      <c r="BA39" s="8">
        <v>0.8</v>
      </c>
      <c r="BD39">
        <v>1.5</v>
      </c>
      <c r="BE39" s="8"/>
      <c r="BF39" s="8">
        <v>1</v>
      </c>
      <c r="BG39" s="8"/>
      <c r="BH39" s="8">
        <v>1</v>
      </c>
      <c r="BL39" s="8"/>
      <c r="BM39" s="8">
        <v>1</v>
      </c>
      <c r="BN39" s="8"/>
      <c r="BO39" s="8">
        <v>1</v>
      </c>
      <c r="BS39" s="8"/>
      <c r="BT39" s="8">
        <v>1</v>
      </c>
      <c r="BU39" s="8"/>
      <c r="BV39" s="8">
        <v>1</v>
      </c>
      <c r="BZ39" s="8"/>
      <c r="CA39" s="8">
        <v>1</v>
      </c>
      <c r="CB39" s="8"/>
      <c r="CC39" s="8">
        <v>1</v>
      </c>
      <c r="CG39" s="8"/>
      <c r="CH39" s="8">
        <v>1</v>
      </c>
      <c r="CI39" s="8"/>
      <c r="CJ39" s="8">
        <v>1</v>
      </c>
      <c r="CN39" s="8"/>
      <c r="CO39" s="8">
        <v>1</v>
      </c>
      <c r="CP39" s="8"/>
      <c r="CQ39" s="8">
        <v>1</v>
      </c>
      <c r="CU39" s="8"/>
      <c r="CV39" s="8"/>
      <c r="CW39" s="8"/>
      <c r="CX39" s="8"/>
      <c r="DB39" s="8"/>
      <c r="DC39" s="8"/>
      <c r="DD39" s="8"/>
      <c r="DE39" s="8"/>
      <c r="DI39" s="8"/>
      <c r="DJ39" s="8"/>
      <c r="DK39" s="8"/>
      <c r="DL39" s="8"/>
      <c r="DP39" s="8"/>
      <c r="DQ39" s="8"/>
      <c r="DR39" s="8"/>
      <c r="DS39" s="8"/>
      <c r="DW39" s="8"/>
      <c r="DX39" s="8"/>
      <c r="DY39" s="8"/>
      <c r="DZ39" s="8"/>
      <c r="ED39" s="8"/>
      <c r="EE39" s="8"/>
      <c r="EF39" s="8"/>
      <c r="EG39" s="8"/>
      <c r="EK39" s="8"/>
      <c r="EL39" s="8"/>
      <c r="EM39" s="8"/>
      <c r="EN39" s="8"/>
    </row>
    <row r="40" spans="2:144" outlineLevel="1" x14ac:dyDescent="0.2">
      <c r="B40" t="s">
        <v>28</v>
      </c>
      <c r="C40" t="s">
        <v>90</v>
      </c>
      <c r="E40" s="7"/>
      <c r="F40" t="s">
        <v>177</v>
      </c>
      <c r="G40" s="8"/>
      <c r="I40" s="7">
        <f t="shared" ref="I40:I62" si="2">+SUMIF($N$3:$ZZ$3,I$3,$N40:$ZZ40)</f>
        <v>4.5</v>
      </c>
      <c r="J40" s="9" cm="1">
        <f t="array" ref="J40">MAX(IF($N$3:$EH$3=$J$3,N40:EH40))</f>
        <v>0</v>
      </c>
      <c r="K40" s="9" cm="1">
        <f t="array" ref="K40">MAX(IF($N$3:$EH$3=$J$3,N40:EH40))</f>
        <v>0</v>
      </c>
      <c r="L40" s="7"/>
      <c r="N40">
        <v>1.5</v>
      </c>
      <c r="O40" s="8"/>
      <c r="P40" s="8">
        <v>0.5</v>
      </c>
      <c r="Q40" s="8"/>
      <c r="R40" s="8">
        <v>0.5</v>
      </c>
      <c r="V40" s="8"/>
      <c r="W40" s="8">
        <v>0.5</v>
      </c>
      <c r="X40" s="8"/>
      <c r="Y40" s="8">
        <v>0.5</v>
      </c>
      <c r="AB40">
        <v>1.5</v>
      </c>
      <c r="AC40" s="8"/>
      <c r="AD40" s="8">
        <v>0.8</v>
      </c>
      <c r="AE40" s="8"/>
      <c r="AF40" s="8">
        <v>0.8</v>
      </c>
      <c r="AJ40" s="8"/>
      <c r="AK40" s="8">
        <v>0.8</v>
      </c>
      <c r="AL40" s="8"/>
      <c r="AM40" s="8">
        <v>0.8</v>
      </c>
      <c r="AQ40" s="8"/>
      <c r="AR40" s="8">
        <v>0.8</v>
      </c>
      <c r="AS40" s="8"/>
      <c r="AT40" s="8">
        <v>0.8</v>
      </c>
      <c r="AX40" s="8"/>
      <c r="AY40" s="8">
        <v>0.8</v>
      </c>
      <c r="AZ40" s="8"/>
      <c r="BA40" s="8">
        <v>0.8</v>
      </c>
      <c r="BE40" s="8"/>
      <c r="BF40" s="8">
        <v>0.8</v>
      </c>
      <c r="BG40" s="8"/>
      <c r="BH40" s="8">
        <v>0.8</v>
      </c>
      <c r="BK40">
        <v>1.5</v>
      </c>
      <c r="BL40" s="8"/>
      <c r="BM40" s="8">
        <v>1</v>
      </c>
      <c r="BN40" s="8"/>
      <c r="BO40" s="8">
        <v>1</v>
      </c>
      <c r="BS40" s="8"/>
      <c r="BT40" s="8">
        <v>1</v>
      </c>
      <c r="BU40" s="8"/>
      <c r="BV40" s="8">
        <v>1</v>
      </c>
      <c r="BZ40" s="8"/>
      <c r="CA40" s="8">
        <v>1</v>
      </c>
      <c r="CB40" s="8"/>
      <c r="CC40" s="8">
        <v>1</v>
      </c>
      <c r="CG40" s="8"/>
      <c r="CH40" s="8">
        <v>1</v>
      </c>
      <c r="CI40" s="8"/>
      <c r="CJ40" s="8">
        <v>1</v>
      </c>
      <c r="CN40" s="8"/>
      <c r="CO40" s="8">
        <v>1</v>
      </c>
      <c r="CP40" s="8"/>
      <c r="CQ40" s="8">
        <v>1</v>
      </c>
      <c r="CU40" s="8"/>
      <c r="CV40" s="8"/>
      <c r="CW40" s="8"/>
      <c r="CX40" s="8"/>
      <c r="DB40" s="8"/>
      <c r="DC40" s="8"/>
      <c r="DD40" s="8"/>
      <c r="DE40" s="8"/>
      <c r="DI40" s="8"/>
      <c r="DJ40" s="8"/>
      <c r="DK40" s="8"/>
      <c r="DL40" s="8"/>
      <c r="DP40" s="8"/>
      <c r="DQ40" s="8"/>
      <c r="DR40" s="8"/>
      <c r="DS40" s="8"/>
      <c r="DW40" s="8"/>
      <c r="DX40" s="8"/>
      <c r="DY40" s="8"/>
      <c r="DZ40" s="8"/>
      <c r="ED40" s="8"/>
      <c r="EE40" s="8"/>
      <c r="EF40" s="8"/>
      <c r="EG40" s="8"/>
      <c r="EK40" s="8"/>
      <c r="EL40" s="8"/>
      <c r="EM40" s="8"/>
      <c r="EN40" s="8"/>
    </row>
    <row r="41" spans="2:144" outlineLevel="1" x14ac:dyDescent="0.2">
      <c r="B41" t="s">
        <v>28</v>
      </c>
      <c r="C41" t="s">
        <v>90</v>
      </c>
      <c r="E41" s="7"/>
      <c r="F41" t="s">
        <v>178</v>
      </c>
      <c r="G41" s="8"/>
      <c r="I41" s="7">
        <f t="shared" si="2"/>
        <v>4.5</v>
      </c>
      <c r="J41" s="9" cm="1">
        <f t="array" ref="J41">MAX(IF($N$3:$EH$3=$J$3,N41:EH41))</f>
        <v>0</v>
      </c>
      <c r="K41" s="9" cm="1">
        <f t="array" ref="K41">MAX(IF($N$3:$EH$3=$J$3,N41:EH41))</f>
        <v>0</v>
      </c>
      <c r="L41" s="7"/>
      <c r="N41">
        <v>1.5</v>
      </c>
      <c r="O41" s="8"/>
      <c r="P41" s="8">
        <v>0.5</v>
      </c>
      <c r="Q41" s="8"/>
      <c r="R41" s="8">
        <v>0.5</v>
      </c>
      <c r="V41" s="8"/>
      <c r="W41" s="8">
        <v>0.5</v>
      </c>
      <c r="X41" s="8"/>
      <c r="Y41" s="8">
        <v>0.5</v>
      </c>
      <c r="AC41" s="8"/>
      <c r="AD41" s="8">
        <v>0.5</v>
      </c>
      <c r="AE41" s="8"/>
      <c r="AF41" s="8">
        <v>0.5</v>
      </c>
      <c r="AI41">
        <v>1.5</v>
      </c>
      <c r="AJ41" s="8"/>
      <c r="AK41" s="8">
        <v>0.8</v>
      </c>
      <c r="AL41" s="8"/>
      <c r="AM41" s="8">
        <v>0.8</v>
      </c>
      <c r="AQ41" s="8"/>
      <c r="AR41" s="8">
        <v>0.8</v>
      </c>
      <c r="AS41" s="8"/>
      <c r="AT41" s="8">
        <v>0.8</v>
      </c>
      <c r="AX41" s="8"/>
      <c r="AY41" s="8">
        <v>0.8</v>
      </c>
      <c r="AZ41" s="8"/>
      <c r="BA41" s="8">
        <v>0.8</v>
      </c>
      <c r="BE41" s="8"/>
      <c r="BF41" s="8">
        <v>0.8</v>
      </c>
      <c r="BG41" s="8"/>
      <c r="BH41" s="8">
        <v>0.8</v>
      </c>
      <c r="BK41">
        <v>1.5</v>
      </c>
      <c r="BL41" s="8"/>
      <c r="BM41" s="8">
        <v>1</v>
      </c>
      <c r="BN41" s="8"/>
      <c r="BO41" s="8">
        <v>1</v>
      </c>
      <c r="BS41" s="8"/>
      <c r="BT41" s="8">
        <v>1</v>
      </c>
      <c r="BU41" s="8"/>
      <c r="BV41" s="8">
        <v>1</v>
      </c>
      <c r="BZ41" s="8"/>
      <c r="CA41" s="8">
        <v>1</v>
      </c>
      <c r="CB41" s="8"/>
      <c r="CC41" s="8">
        <v>1</v>
      </c>
      <c r="CG41" s="8"/>
      <c r="CH41" s="8">
        <v>1</v>
      </c>
      <c r="CI41" s="8"/>
      <c r="CJ41" s="8">
        <v>1</v>
      </c>
      <c r="CN41" s="8"/>
      <c r="CO41" s="8">
        <v>1</v>
      </c>
      <c r="CP41" s="8"/>
      <c r="CQ41" s="8">
        <v>1</v>
      </c>
      <c r="CU41" s="8"/>
      <c r="CV41" s="8"/>
      <c r="CW41" s="8"/>
      <c r="CX41" s="8"/>
      <c r="DB41" s="8"/>
      <c r="DC41" s="8"/>
      <c r="DD41" s="8"/>
      <c r="DE41" s="8"/>
      <c r="DI41" s="8"/>
      <c r="DJ41" s="8"/>
      <c r="DK41" s="8"/>
      <c r="DL41" s="8"/>
      <c r="DP41" s="8"/>
      <c r="DQ41" s="8"/>
      <c r="DR41" s="8"/>
      <c r="DS41" s="8"/>
      <c r="DW41" s="8"/>
      <c r="DX41" s="8"/>
      <c r="DY41" s="8"/>
      <c r="DZ41" s="8"/>
      <c r="ED41" s="8"/>
      <c r="EE41" s="8"/>
      <c r="EF41" s="8"/>
      <c r="EG41" s="8"/>
      <c r="EK41" s="8"/>
      <c r="EL41" s="8"/>
      <c r="EM41" s="8"/>
      <c r="EN41" s="8"/>
    </row>
    <row r="42" spans="2:144" outlineLevel="1" x14ac:dyDescent="0.2">
      <c r="B42" t="s">
        <v>28</v>
      </c>
      <c r="C42" t="s">
        <v>90</v>
      </c>
      <c r="E42" s="7"/>
      <c r="F42" t="s">
        <v>179</v>
      </c>
      <c r="G42" s="8"/>
      <c r="I42" s="7">
        <f t="shared" si="2"/>
        <v>4.5</v>
      </c>
      <c r="J42" s="9" cm="1">
        <f t="array" ref="J42">MAX(IF($N$3:$EH$3=$J$3,N42:EH42))</f>
        <v>0</v>
      </c>
      <c r="K42" s="9" cm="1">
        <f t="array" ref="K42">MAX(IF($N$3:$EH$3=$J$3,N42:EH42))</f>
        <v>0</v>
      </c>
      <c r="L42" s="7"/>
      <c r="O42" s="8"/>
      <c r="P42" s="8"/>
      <c r="Q42" s="8"/>
      <c r="R42" s="8"/>
      <c r="U42">
        <v>1.5</v>
      </c>
      <c r="V42" s="8"/>
      <c r="W42" s="8">
        <v>0.5</v>
      </c>
      <c r="X42" s="8"/>
      <c r="Y42" s="8">
        <v>0.5</v>
      </c>
      <c r="AC42" s="8"/>
      <c r="AD42" s="8">
        <v>0.5</v>
      </c>
      <c r="AE42" s="8"/>
      <c r="AF42" s="8">
        <v>0.5</v>
      </c>
      <c r="AJ42" s="8"/>
      <c r="AK42" s="8">
        <v>0.5</v>
      </c>
      <c r="AL42" s="8"/>
      <c r="AM42" s="8">
        <v>0.5</v>
      </c>
      <c r="AP42">
        <v>1.5</v>
      </c>
      <c r="AQ42" s="8"/>
      <c r="AR42" s="8">
        <v>0.8</v>
      </c>
      <c r="AS42" s="8"/>
      <c r="AT42" s="8">
        <v>0.8</v>
      </c>
      <c r="AX42" s="8"/>
      <c r="AY42" s="8">
        <v>0.8</v>
      </c>
      <c r="AZ42" s="8"/>
      <c r="BA42" s="8">
        <v>0.8</v>
      </c>
      <c r="BE42" s="8"/>
      <c r="BF42" s="8">
        <v>0.8</v>
      </c>
      <c r="BG42" s="8"/>
      <c r="BH42" s="8">
        <v>0.8</v>
      </c>
      <c r="BL42" s="8"/>
      <c r="BM42" s="8">
        <v>0.8</v>
      </c>
      <c r="BN42" s="8"/>
      <c r="BO42" s="8">
        <v>0.8</v>
      </c>
      <c r="BR42">
        <v>1.5</v>
      </c>
      <c r="BS42" s="8"/>
      <c r="BT42" s="8">
        <v>1</v>
      </c>
      <c r="BU42" s="8"/>
      <c r="BV42" s="8">
        <v>1</v>
      </c>
      <c r="BZ42" s="8"/>
      <c r="CA42" s="8">
        <v>1</v>
      </c>
      <c r="CB42" s="8"/>
      <c r="CC42" s="8">
        <v>1</v>
      </c>
      <c r="CG42" s="8"/>
      <c r="CH42" s="8">
        <v>1</v>
      </c>
      <c r="CI42" s="8"/>
      <c r="CJ42" s="8">
        <v>1</v>
      </c>
      <c r="CN42" s="8"/>
      <c r="CO42" s="8">
        <v>1</v>
      </c>
      <c r="CP42" s="8"/>
      <c r="CQ42" s="8">
        <v>1</v>
      </c>
      <c r="CU42" s="8"/>
      <c r="CV42" s="8"/>
      <c r="CW42" s="8"/>
      <c r="CX42" s="8"/>
      <c r="DB42" s="8"/>
      <c r="DC42" s="8"/>
      <c r="DD42" s="8"/>
      <c r="DE42" s="8"/>
      <c r="DI42" s="8"/>
      <c r="DJ42" s="8"/>
      <c r="DK42" s="8"/>
      <c r="DL42" s="8"/>
      <c r="DP42" s="8"/>
      <c r="DQ42" s="8"/>
      <c r="DR42" s="8"/>
      <c r="DS42" s="8"/>
      <c r="DW42" s="8"/>
      <c r="DX42" s="8"/>
      <c r="DY42" s="8"/>
      <c r="DZ42" s="8"/>
      <c r="ED42" s="8"/>
      <c r="EE42" s="8"/>
      <c r="EF42" s="8"/>
      <c r="EG42" s="8"/>
      <c r="EK42" s="8"/>
      <c r="EL42" s="8"/>
      <c r="EM42" s="8"/>
      <c r="EN42" s="8"/>
    </row>
    <row r="43" spans="2:144" outlineLevel="1" x14ac:dyDescent="0.2">
      <c r="B43" t="s">
        <v>28</v>
      </c>
      <c r="C43" t="s">
        <v>90</v>
      </c>
      <c r="E43" s="7"/>
      <c r="F43" t="s">
        <v>180</v>
      </c>
      <c r="G43" s="8"/>
      <c r="I43" s="7">
        <f t="shared" si="2"/>
        <v>4.5</v>
      </c>
      <c r="J43" s="9" cm="1">
        <f t="array" ref="J43">MAX(IF($N$3:$EH$3=$J$3,N43:EH43))</f>
        <v>0</v>
      </c>
      <c r="K43" s="9" cm="1">
        <f t="array" ref="K43">MAX(IF($N$3:$EH$3=$J$3,N43:EH43))</f>
        <v>0</v>
      </c>
      <c r="L43" s="7"/>
      <c r="O43" s="8"/>
      <c r="P43" s="8"/>
      <c r="Q43" s="8"/>
      <c r="R43" s="8"/>
      <c r="U43">
        <v>1.5</v>
      </c>
      <c r="V43" s="8"/>
      <c r="W43" s="8">
        <v>0.5</v>
      </c>
      <c r="X43" s="8"/>
      <c r="Y43" s="8">
        <v>0.5</v>
      </c>
      <c r="AC43" s="8"/>
      <c r="AD43" s="8">
        <v>0.5</v>
      </c>
      <c r="AE43" s="8"/>
      <c r="AF43" s="8">
        <v>0.5</v>
      </c>
      <c r="AJ43" s="8"/>
      <c r="AK43" s="8">
        <v>0.5</v>
      </c>
      <c r="AL43" s="8"/>
      <c r="AM43" s="8">
        <v>0.5</v>
      </c>
      <c r="AP43">
        <v>1.5</v>
      </c>
      <c r="AQ43" s="8"/>
      <c r="AR43" s="8">
        <v>0.8</v>
      </c>
      <c r="AS43" s="8"/>
      <c r="AT43" s="8">
        <v>0.8</v>
      </c>
      <c r="AX43" s="8"/>
      <c r="AY43" s="8">
        <v>0.8</v>
      </c>
      <c r="AZ43" s="8"/>
      <c r="BA43" s="8">
        <v>0.8</v>
      </c>
      <c r="BE43" s="8"/>
      <c r="BF43" s="8">
        <v>0.8</v>
      </c>
      <c r="BG43" s="8"/>
      <c r="BH43" s="8">
        <v>0.8</v>
      </c>
      <c r="BL43" s="8"/>
      <c r="BM43" s="8">
        <v>0.8</v>
      </c>
      <c r="BN43" s="8"/>
      <c r="BO43" s="8">
        <v>0.8</v>
      </c>
      <c r="BS43" s="8"/>
      <c r="BT43" s="8">
        <v>0.8</v>
      </c>
      <c r="BU43" s="8"/>
      <c r="BV43" s="8">
        <v>0.8</v>
      </c>
      <c r="BY43">
        <v>1.5</v>
      </c>
      <c r="BZ43" s="8"/>
      <c r="CA43" s="8">
        <v>1</v>
      </c>
      <c r="CB43" s="8"/>
      <c r="CC43" s="8">
        <v>1</v>
      </c>
      <c r="CG43" s="8"/>
      <c r="CH43" s="8">
        <v>1</v>
      </c>
      <c r="CI43" s="8"/>
      <c r="CJ43" s="8">
        <v>1</v>
      </c>
      <c r="CN43" s="8"/>
      <c r="CO43" s="8">
        <v>1</v>
      </c>
      <c r="CP43" s="8"/>
      <c r="CQ43" s="8">
        <v>1</v>
      </c>
      <c r="CU43" s="8"/>
      <c r="CV43" s="8"/>
      <c r="CW43" s="8"/>
      <c r="CX43" s="8"/>
      <c r="DB43" s="8"/>
      <c r="DC43" s="8"/>
      <c r="DD43" s="8"/>
      <c r="DE43" s="8"/>
      <c r="DI43" s="8"/>
      <c r="DJ43" s="8"/>
      <c r="DK43" s="8"/>
      <c r="DL43" s="8"/>
      <c r="DP43" s="8"/>
      <c r="DQ43" s="8"/>
      <c r="DR43" s="8"/>
      <c r="DS43" s="8"/>
      <c r="DW43" s="8"/>
      <c r="DX43" s="8"/>
      <c r="DY43" s="8"/>
      <c r="DZ43" s="8"/>
      <c r="ED43" s="8"/>
      <c r="EE43" s="8"/>
      <c r="EF43" s="8"/>
      <c r="EG43" s="8"/>
      <c r="EK43" s="8"/>
      <c r="EL43" s="8"/>
      <c r="EM43" s="8"/>
      <c r="EN43" s="8"/>
    </row>
    <row r="44" spans="2:144" outlineLevel="1" x14ac:dyDescent="0.2">
      <c r="B44" t="s">
        <v>28</v>
      </c>
      <c r="C44" t="s">
        <v>90</v>
      </c>
      <c r="E44" s="7"/>
      <c r="F44" t="s">
        <v>181</v>
      </c>
      <c r="G44" s="8"/>
      <c r="I44" s="7">
        <f t="shared" si="2"/>
        <v>4.5</v>
      </c>
      <c r="J44" s="9" cm="1">
        <f t="array" ref="J44">MAX(IF($N$3:$EH$3=$J$3,N44:EH44))</f>
        <v>0</v>
      </c>
      <c r="K44" s="9" cm="1">
        <f t="array" ref="K44">MAX(IF($N$3:$EH$3=$J$3,N44:EH44))</f>
        <v>0</v>
      </c>
      <c r="L44" s="7"/>
      <c r="O44" s="8"/>
      <c r="P44" s="8"/>
      <c r="Q44" s="8"/>
      <c r="R44" s="8"/>
      <c r="U44">
        <v>1.5</v>
      </c>
      <c r="V44" s="8"/>
      <c r="W44" s="8">
        <v>0.5</v>
      </c>
      <c r="X44" s="8"/>
      <c r="Y44" s="8">
        <v>0.5</v>
      </c>
      <c r="AC44" s="8"/>
      <c r="AD44" s="8">
        <v>0.5</v>
      </c>
      <c r="AE44" s="8"/>
      <c r="AF44" s="8">
        <v>0.5</v>
      </c>
      <c r="AJ44" s="8"/>
      <c r="AK44" s="8">
        <v>0.5</v>
      </c>
      <c r="AL44" s="8"/>
      <c r="AM44" s="8">
        <v>0.5</v>
      </c>
      <c r="AQ44" s="8"/>
      <c r="AR44" s="8">
        <v>0.5</v>
      </c>
      <c r="AS44" s="8"/>
      <c r="AT44" s="8">
        <v>0.5</v>
      </c>
      <c r="AW44">
        <v>1.5</v>
      </c>
      <c r="AX44" s="8"/>
      <c r="AY44" s="8">
        <v>0.8</v>
      </c>
      <c r="AZ44" s="8"/>
      <c r="BA44" s="8">
        <v>0.8</v>
      </c>
      <c r="BE44" s="8"/>
      <c r="BF44" s="8">
        <v>0.8</v>
      </c>
      <c r="BG44" s="8"/>
      <c r="BH44" s="8">
        <v>0.8</v>
      </c>
      <c r="BL44" s="8"/>
      <c r="BM44" s="8">
        <v>0.8</v>
      </c>
      <c r="BN44" s="8"/>
      <c r="BO44" s="8">
        <v>0.8</v>
      </c>
      <c r="BS44" s="8"/>
      <c r="BT44" s="8">
        <v>0.8</v>
      </c>
      <c r="BU44" s="8"/>
      <c r="BV44" s="8">
        <v>0.8</v>
      </c>
      <c r="BY44">
        <v>1.5</v>
      </c>
      <c r="BZ44" s="8"/>
      <c r="CA44" s="8">
        <v>1</v>
      </c>
      <c r="CB44" s="8"/>
      <c r="CC44" s="8">
        <v>1</v>
      </c>
      <c r="CG44" s="8"/>
      <c r="CH44" s="8">
        <v>1</v>
      </c>
      <c r="CI44" s="8"/>
      <c r="CJ44" s="8">
        <v>1</v>
      </c>
      <c r="CN44" s="8"/>
      <c r="CO44" s="8">
        <v>1</v>
      </c>
      <c r="CP44" s="8"/>
      <c r="CQ44" s="8">
        <v>1</v>
      </c>
      <c r="CU44" s="8"/>
      <c r="CV44" s="8"/>
      <c r="CW44" s="8"/>
      <c r="CX44" s="8"/>
      <c r="DB44" s="8"/>
      <c r="DC44" s="8"/>
      <c r="DD44" s="8"/>
      <c r="DE44" s="8"/>
      <c r="DI44" s="8"/>
      <c r="DJ44" s="8"/>
      <c r="DK44" s="8"/>
      <c r="DL44" s="8"/>
      <c r="DP44" s="8"/>
      <c r="DQ44" s="8"/>
      <c r="DR44" s="8"/>
      <c r="DS44" s="8"/>
      <c r="DW44" s="8"/>
      <c r="DX44" s="8"/>
      <c r="DY44" s="8"/>
      <c r="DZ44" s="8"/>
      <c r="ED44" s="8"/>
      <c r="EE44" s="8"/>
      <c r="EF44" s="8"/>
      <c r="EG44" s="8"/>
      <c r="EK44" s="8"/>
      <c r="EL44" s="8"/>
      <c r="EM44" s="8"/>
      <c r="EN44" s="8"/>
    </row>
    <row r="45" spans="2:144" outlineLevel="1" x14ac:dyDescent="0.2">
      <c r="B45" t="s">
        <v>28</v>
      </c>
      <c r="C45" t="s">
        <v>90</v>
      </c>
      <c r="E45" s="7"/>
      <c r="F45" t="s">
        <v>182</v>
      </c>
      <c r="G45" s="8"/>
      <c r="I45" s="7">
        <f t="shared" si="2"/>
        <v>4.5</v>
      </c>
      <c r="J45" s="9" cm="1">
        <f t="array" ref="J45">MAX(IF($N$3:$EH$3=$J$3,N45:EH45))</f>
        <v>0</v>
      </c>
      <c r="K45" s="9" cm="1">
        <f t="array" ref="K45">MAX(IF($N$3:$EH$3=$J$3,N45:EH45))</f>
        <v>0</v>
      </c>
      <c r="L45" s="7"/>
      <c r="O45" s="8"/>
      <c r="P45" s="8"/>
      <c r="Q45" s="8"/>
      <c r="R45" s="8"/>
      <c r="V45" s="8"/>
      <c r="W45" s="8"/>
      <c r="X45" s="8"/>
      <c r="Y45" s="8"/>
      <c r="AB45">
        <v>1.5</v>
      </c>
      <c r="AC45" s="8"/>
      <c r="AD45" s="8">
        <v>0.5</v>
      </c>
      <c r="AE45" s="8"/>
      <c r="AF45" s="8">
        <v>0.5</v>
      </c>
      <c r="AJ45" s="8"/>
      <c r="AK45" s="8">
        <v>0.5</v>
      </c>
      <c r="AL45" s="8"/>
      <c r="AM45" s="8">
        <v>0.5</v>
      </c>
      <c r="AQ45" s="8"/>
      <c r="AR45" s="8">
        <v>0.5</v>
      </c>
      <c r="AS45" s="8"/>
      <c r="AT45" s="8">
        <v>0.5</v>
      </c>
      <c r="AX45" s="8"/>
      <c r="AY45" s="8">
        <v>0.5</v>
      </c>
      <c r="AZ45" s="8"/>
      <c r="BA45" s="8">
        <v>0.5</v>
      </c>
      <c r="BD45">
        <v>1.5</v>
      </c>
      <c r="BE45" s="8"/>
      <c r="BF45" s="8">
        <v>0.8</v>
      </c>
      <c r="BG45" s="8"/>
      <c r="BH45" s="8">
        <v>0.8</v>
      </c>
      <c r="BL45" s="8"/>
      <c r="BM45" s="8">
        <v>0.8</v>
      </c>
      <c r="BN45" s="8"/>
      <c r="BO45" s="8">
        <v>0.8</v>
      </c>
      <c r="BS45" s="8"/>
      <c r="BT45" s="8">
        <v>0.8</v>
      </c>
      <c r="BU45" s="8"/>
      <c r="BV45" s="8">
        <v>0.8</v>
      </c>
      <c r="BZ45" s="8"/>
      <c r="CA45" s="8">
        <v>0.8</v>
      </c>
      <c r="CB45" s="8"/>
      <c r="CC45" s="8">
        <v>0.8</v>
      </c>
      <c r="CF45">
        <v>1.5</v>
      </c>
      <c r="CG45" s="8"/>
      <c r="CH45" s="8">
        <v>1</v>
      </c>
      <c r="CI45" s="8"/>
      <c r="CJ45" s="8">
        <v>1</v>
      </c>
      <c r="CN45" s="8"/>
      <c r="CO45" s="8">
        <v>1</v>
      </c>
      <c r="CP45" s="8"/>
      <c r="CQ45" s="8">
        <v>1</v>
      </c>
      <c r="CU45" s="8"/>
      <c r="CV45" s="8"/>
      <c r="CW45" s="8"/>
      <c r="CX45" s="8"/>
      <c r="DB45" s="8"/>
      <c r="DC45" s="8"/>
      <c r="DD45" s="8"/>
      <c r="DE45" s="8"/>
      <c r="DI45" s="8"/>
      <c r="DJ45" s="8"/>
      <c r="DK45" s="8"/>
      <c r="DL45" s="8"/>
      <c r="DP45" s="8"/>
      <c r="DQ45" s="8"/>
      <c r="DR45" s="8"/>
      <c r="DS45" s="8"/>
      <c r="DW45" s="8"/>
      <c r="DX45" s="8"/>
      <c r="DY45" s="8"/>
      <c r="DZ45" s="8"/>
      <c r="ED45" s="8"/>
      <c r="EE45" s="8"/>
      <c r="EF45" s="8"/>
      <c r="EG45" s="8"/>
      <c r="EK45" s="8"/>
      <c r="EL45" s="8"/>
      <c r="EM45" s="8"/>
      <c r="EN45" s="8"/>
    </row>
    <row r="46" spans="2:144" outlineLevel="1" x14ac:dyDescent="0.2">
      <c r="B46" t="s">
        <v>28</v>
      </c>
      <c r="C46" t="s">
        <v>90</v>
      </c>
      <c r="E46" s="7"/>
      <c r="F46" t="s">
        <v>183</v>
      </c>
      <c r="G46" s="8"/>
      <c r="I46" s="7">
        <f t="shared" si="2"/>
        <v>4.5</v>
      </c>
      <c r="J46" s="9" cm="1">
        <f t="array" ref="J46">MAX(IF($N$3:$EH$3=$J$3,N46:EH46))</f>
        <v>0</v>
      </c>
      <c r="K46" s="9" cm="1">
        <f t="array" ref="K46">MAX(IF($N$3:$EH$3=$J$3,N46:EH46))</f>
        <v>0</v>
      </c>
      <c r="L46" s="7"/>
      <c r="O46" s="8"/>
      <c r="P46" s="8"/>
      <c r="Q46" s="8"/>
      <c r="R46" s="8"/>
      <c r="V46" s="8"/>
      <c r="W46" s="8"/>
      <c r="X46" s="8"/>
      <c r="Y46" s="8"/>
      <c r="AC46" s="8"/>
      <c r="AD46" s="8"/>
      <c r="AE46" s="8"/>
      <c r="AF46" s="8"/>
      <c r="AI46">
        <v>1.5</v>
      </c>
      <c r="AJ46" s="8"/>
      <c r="AK46" s="8">
        <v>0.5</v>
      </c>
      <c r="AL46" s="8"/>
      <c r="AM46" s="8">
        <v>0.5</v>
      </c>
      <c r="AQ46" s="8"/>
      <c r="AR46" s="8">
        <v>0.5</v>
      </c>
      <c r="AS46" s="8"/>
      <c r="AT46" s="8">
        <v>0.5</v>
      </c>
      <c r="AX46" s="8"/>
      <c r="AY46" s="8">
        <v>0.5</v>
      </c>
      <c r="AZ46" s="8"/>
      <c r="BA46" s="8">
        <v>0.5</v>
      </c>
      <c r="BD46">
        <v>1.5</v>
      </c>
      <c r="BE46" s="8"/>
      <c r="BF46" s="8">
        <v>0.8</v>
      </c>
      <c r="BG46" s="8"/>
      <c r="BH46" s="8">
        <v>0.8</v>
      </c>
      <c r="BL46" s="8"/>
      <c r="BM46" s="8">
        <v>0.8</v>
      </c>
      <c r="BN46" s="8"/>
      <c r="BO46" s="8">
        <v>0.8</v>
      </c>
      <c r="BS46" s="8"/>
      <c r="BT46" s="8">
        <v>0.8</v>
      </c>
      <c r="BU46" s="8"/>
      <c r="BV46" s="8">
        <v>0.8</v>
      </c>
      <c r="BZ46" s="8"/>
      <c r="CA46" s="8">
        <v>0.8</v>
      </c>
      <c r="CB46" s="8"/>
      <c r="CC46" s="8">
        <v>0.8</v>
      </c>
      <c r="CF46">
        <v>1.5</v>
      </c>
      <c r="CG46" s="8"/>
      <c r="CH46" s="8">
        <v>1</v>
      </c>
      <c r="CI46" s="8"/>
      <c r="CJ46" s="8">
        <v>1</v>
      </c>
      <c r="CN46" s="8"/>
      <c r="CO46" s="8">
        <v>1</v>
      </c>
      <c r="CP46" s="8"/>
      <c r="CQ46" s="8">
        <v>1</v>
      </c>
      <c r="CU46" s="8"/>
      <c r="CV46" s="8"/>
      <c r="CW46" s="8"/>
      <c r="CX46" s="8"/>
      <c r="DB46" s="8"/>
      <c r="DC46" s="8"/>
      <c r="DD46" s="8"/>
      <c r="DE46" s="8"/>
      <c r="DI46" s="8"/>
      <c r="DJ46" s="8"/>
      <c r="DK46" s="8"/>
      <c r="DL46" s="8"/>
      <c r="DP46" s="8"/>
      <c r="DQ46" s="8"/>
      <c r="DR46" s="8"/>
      <c r="DS46" s="8"/>
      <c r="DW46" s="8"/>
      <c r="DX46" s="8"/>
      <c r="DY46" s="8"/>
      <c r="DZ46" s="8"/>
      <c r="ED46" s="8"/>
      <c r="EE46" s="8"/>
      <c r="EF46" s="8"/>
      <c r="EG46" s="8"/>
      <c r="EK46" s="8"/>
      <c r="EL46" s="8"/>
      <c r="EM46" s="8"/>
      <c r="EN46" s="8"/>
    </row>
    <row r="47" spans="2:144" outlineLevel="1" x14ac:dyDescent="0.2">
      <c r="B47" t="s">
        <v>28</v>
      </c>
      <c r="C47" t="s">
        <v>90</v>
      </c>
      <c r="E47" s="7"/>
      <c r="F47" t="s">
        <v>184</v>
      </c>
      <c r="G47" s="8"/>
      <c r="I47" s="7">
        <f t="shared" si="2"/>
        <v>4.5</v>
      </c>
      <c r="J47" s="9" cm="1">
        <f t="array" ref="J47">MAX(IF($N$3:$EH$3=$J$3,N47:EH47))</f>
        <v>0</v>
      </c>
      <c r="K47" s="9" cm="1">
        <f t="array" ref="K47">MAX(IF($N$3:$EH$3=$J$3,N47:EH47))</f>
        <v>0</v>
      </c>
      <c r="L47" s="7"/>
      <c r="O47" s="8"/>
      <c r="P47" s="8"/>
      <c r="Q47" s="8"/>
      <c r="R47" s="8"/>
      <c r="V47" s="8"/>
      <c r="W47" s="8"/>
      <c r="X47" s="8"/>
      <c r="Y47" s="8"/>
      <c r="AC47" s="8"/>
      <c r="AD47" s="8"/>
      <c r="AE47" s="8"/>
      <c r="AF47" s="8"/>
      <c r="AI47">
        <v>1.5</v>
      </c>
      <c r="AJ47" s="8"/>
      <c r="AK47" s="8">
        <v>0.5</v>
      </c>
      <c r="AL47" s="8"/>
      <c r="AM47" s="8">
        <v>0.5</v>
      </c>
      <c r="AQ47" s="8"/>
      <c r="AR47" s="8">
        <v>0.5</v>
      </c>
      <c r="AS47" s="8"/>
      <c r="AT47" s="8">
        <v>0.5</v>
      </c>
      <c r="AX47" s="8"/>
      <c r="AY47" s="8">
        <v>0.5</v>
      </c>
      <c r="AZ47" s="8"/>
      <c r="BA47" s="8">
        <v>0.5</v>
      </c>
      <c r="BE47" s="8"/>
      <c r="BF47" s="8">
        <v>0.5</v>
      </c>
      <c r="BG47" s="8"/>
      <c r="BH47" s="8">
        <v>0.5</v>
      </c>
      <c r="BK47">
        <v>1.5</v>
      </c>
      <c r="BL47" s="8"/>
      <c r="BM47" s="8">
        <v>0.8</v>
      </c>
      <c r="BN47" s="8"/>
      <c r="BO47" s="8">
        <v>0.8</v>
      </c>
      <c r="BS47" s="8"/>
      <c r="BT47" s="8">
        <v>0.8</v>
      </c>
      <c r="BU47" s="8"/>
      <c r="BV47" s="8">
        <v>0.8</v>
      </c>
      <c r="BZ47" s="8"/>
      <c r="CA47" s="8">
        <v>0.8</v>
      </c>
      <c r="CB47" s="8"/>
      <c r="CC47" s="8">
        <v>0.8</v>
      </c>
      <c r="CF47">
        <v>1.5</v>
      </c>
      <c r="CG47" s="8"/>
      <c r="CH47" s="8">
        <v>1</v>
      </c>
      <c r="CI47" s="8"/>
      <c r="CJ47" s="8">
        <v>1</v>
      </c>
      <c r="CN47" s="8"/>
      <c r="CO47" s="8">
        <v>1</v>
      </c>
      <c r="CP47" s="8"/>
      <c r="CQ47" s="8">
        <v>1</v>
      </c>
      <c r="CU47" s="8"/>
      <c r="CV47" s="8"/>
      <c r="CW47" s="8"/>
      <c r="CX47" s="8"/>
      <c r="DB47" s="8"/>
      <c r="DC47" s="8"/>
      <c r="DD47" s="8"/>
      <c r="DE47" s="8"/>
      <c r="DI47" s="8"/>
      <c r="DJ47" s="8"/>
      <c r="DK47" s="8"/>
      <c r="DL47" s="8"/>
      <c r="DP47" s="8"/>
      <c r="DQ47" s="8"/>
      <c r="DR47" s="8"/>
      <c r="DS47" s="8"/>
      <c r="DW47" s="8"/>
      <c r="DX47" s="8"/>
      <c r="DY47" s="8"/>
      <c r="DZ47" s="8"/>
      <c r="ED47" s="8"/>
      <c r="EE47" s="8"/>
      <c r="EF47" s="8"/>
      <c r="EG47" s="8"/>
      <c r="EK47" s="8"/>
      <c r="EL47" s="8"/>
      <c r="EM47" s="8"/>
      <c r="EN47" s="8"/>
    </row>
    <row r="48" spans="2:144" outlineLevel="1" x14ac:dyDescent="0.2">
      <c r="B48" t="s">
        <v>28</v>
      </c>
      <c r="C48" t="s">
        <v>90</v>
      </c>
      <c r="E48" s="7"/>
      <c r="F48" t="s">
        <v>185</v>
      </c>
      <c r="G48" s="8"/>
      <c r="I48" s="7">
        <f t="shared" si="2"/>
        <v>4.5</v>
      </c>
      <c r="J48" s="9" cm="1">
        <f t="array" ref="J48">MAX(IF($N$3:$EH$3=$J$3,N48:EH48))</f>
        <v>0</v>
      </c>
      <c r="K48" s="9" cm="1">
        <f t="array" ref="K48">MAX(IF($N$3:$EH$3=$J$3,N48:EH48))</f>
        <v>0</v>
      </c>
      <c r="L48" s="7"/>
      <c r="O48" s="8"/>
      <c r="P48" s="8"/>
      <c r="Q48" s="8"/>
      <c r="R48" s="8"/>
      <c r="V48" s="8"/>
      <c r="W48" s="8"/>
      <c r="X48" s="8"/>
      <c r="Y48" s="8"/>
      <c r="AC48" s="8"/>
      <c r="AD48" s="8"/>
      <c r="AE48" s="8"/>
      <c r="AF48" s="8"/>
      <c r="AJ48" s="8"/>
      <c r="AK48" s="8"/>
      <c r="AL48" s="8"/>
      <c r="AM48" s="8"/>
      <c r="AP48">
        <v>1.5</v>
      </c>
      <c r="AQ48" s="8"/>
      <c r="AR48" s="8">
        <v>0.5</v>
      </c>
      <c r="AS48" s="8"/>
      <c r="AT48" s="8">
        <v>0.5</v>
      </c>
      <c r="AX48" s="8"/>
      <c r="AY48" s="8">
        <v>0.5</v>
      </c>
      <c r="AZ48" s="8"/>
      <c r="BA48" s="8">
        <v>0.5</v>
      </c>
      <c r="BE48" s="8"/>
      <c r="BF48" s="8">
        <v>0.5</v>
      </c>
      <c r="BG48" s="8"/>
      <c r="BH48" s="8">
        <v>0.5</v>
      </c>
      <c r="BL48" s="8"/>
      <c r="BM48" s="8">
        <v>0.5</v>
      </c>
      <c r="BN48" s="8"/>
      <c r="BO48" s="8">
        <v>0.5</v>
      </c>
      <c r="BR48">
        <v>1.5</v>
      </c>
      <c r="BS48" s="8"/>
      <c r="BT48" s="8">
        <v>0.8</v>
      </c>
      <c r="BU48" s="8"/>
      <c r="BV48" s="8">
        <v>0.8</v>
      </c>
      <c r="BZ48" s="8"/>
      <c r="CA48" s="8">
        <v>0.8</v>
      </c>
      <c r="CB48" s="8"/>
      <c r="CC48" s="8">
        <v>0.8</v>
      </c>
      <c r="CG48" s="8"/>
      <c r="CH48" s="8">
        <v>0.8</v>
      </c>
      <c r="CI48" s="8"/>
      <c r="CJ48" s="8">
        <v>0.8</v>
      </c>
      <c r="CM48">
        <v>1.5</v>
      </c>
      <c r="CN48" s="8"/>
      <c r="CO48" s="8">
        <v>1</v>
      </c>
      <c r="CP48" s="8"/>
      <c r="CQ48" s="8">
        <v>1</v>
      </c>
      <c r="CU48" s="8"/>
      <c r="CV48" s="8"/>
      <c r="CW48" s="8"/>
      <c r="CX48" s="8"/>
      <c r="DB48" s="8"/>
      <c r="DC48" s="8"/>
      <c r="DD48" s="8"/>
      <c r="DE48" s="8"/>
      <c r="DI48" s="8"/>
      <c r="DJ48" s="8"/>
      <c r="DK48" s="8"/>
      <c r="DL48" s="8"/>
      <c r="DP48" s="8"/>
      <c r="DQ48" s="8"/>
      <c r="DR48" s="8"/>
      <c r="DS48" s="8"/>
      <c r="DW48" s="8"/>
      <c r="DX48" s="8"/>
      <c r="DY48" s="8"/>
      <c r="DZ48" s="8"/>
      <c r="ED48" s="8"/>
      <c r="EE48" s="8"/>
      <c r="EF48" s="8"/>
      <c r="EG48" s="8"/>
      <c r="EK48" s="8"/>
      <c r="EL48" s="8"/>
      <c r="EM48" s="8"/>
      <c r="EN48" s="8"/>
    </row>
    <row r="49" spans="2:144" outlineLevel="1" x14ac:dyDescent="0.2">
      <c r="B49" t="s">
        <v>28</v>
      </c>
      <c r="C49" t="s">
        <v>90</v>
      </c>
      <c r="E49" s="7"/>
      <c r="F49" t="s">
        <v>186</v>
      </c>
      <c r="G49" s="8"/>
      <c r="I49" s="7">
        <f t="shared" si="2"/>
        <v>4.5</v>
      </c>
      <c r="J49" s="9" cm="1">
        <f t="array" ref="J49">MAX(IF($N$3:$EH$3=$J$3,N49:EH49))</f>
        <v>0</v>
      </c>
      <c r="K49" s="9" cm="1">
        <f t="array" ref="K49">MAX(IF($N$3:$EH$3=$J$3,N49:EH49))</f>
        <v>0</v>
      </c>
      <c r="L49" s="7"/>
      <c r="O49" s="8"/>
      <c r="P49" s="8"/>
      <c r="Q49" s="8"/>
      <c r="R49" s="8"/>
      <c r="V49" s="8"/>
      <c r="W49" s="8"/>
      <c r="X49" s="8"/>
      <c r="Y49" s="8"/>
      <c r="AC49" s="8"/>
      <c r="AD49" s="8"/>
      <c r="AE49" s="8"/>
      <c r="AF49" s="8"/>
      <c r="AJ49" s="8"/>
      <c r="AK49" s="8"/>
      <c r="AL49" s="8"/>
      <c r="AM49" s="8"/>
      <c r="AQ49" s="8"/>
      <c r="AR49" s="8"/>
      <c r="AS49" s="8"/>
      <c r="AT49" s="8"/>
      <c r="AW49">
        <v>1.5</v>
      </c>
      <c r="AX49" s="8"/>
      <c r="AY49" s="8">
        <v>0.5</v>
      </c>
      <c r="AZ49" s="8"/>
      <c r="BA49" s="8">
        <v>0.5</v>
      </c>
      <c r="BE49" s="8"/>
      <c r="BF49" s="8">
        <v>0.5</v>
      </c>
      <c r="BG49" s="8"/>
      <c r="BH49" s="8">
        <v>0.5</v>
      </c>
      <c r="BL49" s="8"/>
      <c r="BM49" s="8">
        <v>0.5</v>
      </c>
      <c r="BN49" s="8"/>
      <c r="BO49" s="8">
        <v>0.5</v>
      </c>
      <c r="BR49">
        <v>1.5</v>
      </c>
      <c r="BS49" s="8"/>
      <c r="BT49" s="8">
        <v>0.8</v>
      </c>
      <c r="BU49" s="8"/>
      <c r="BV49" s="8">
        <v>0.8</v>
      </c>
      <c r="BZ49" s="8"/>
      <c r="CA49" s="8">
        <v>0.8</v>
      </c>
      <c r="CB49" s="8"/>
      <c r="CC49" s="8">
        <v>0.8</v>
      </c>
      <c r="CG49" s="8"/>
      <c r="CH49" s="8">
        <v>0.8</v>
      </c>
      <c r="CI49" s="8"/>
      <c r="CJ49" s="8">
        <v>0.8</v>
      </c>
      <c r="CM49">
        <v>1.5</v>
      </c>
      <c r="CN49" s="8"/>
      <c r="CO49" s="8">
        <v>1</v>
      </c>
      <c r="CP49" s="8"/>
      <c r="CQ49" s="8">
        <v>1</v>
      </c>
      <c r="CU49" s="8"/>
      <c r="CV49" s="8"/>
      <c r="CW49" s="8"/>
      <c r="CX49" s="8"/>
      <c r="DB49" s="8"/>
      <c r="DC49" s="8"/>
      <c r="DD49" s="8"/>
      <c r="DE49" s="8"/>
      <c r="DI49" s="8"/>
      <c r="DJ49" s="8"/>
      <c r="DK49" s="8"/>
      <c r="DL49" s="8"/>
      <c r="DP49" s="8"/>
      <c r="DQ49" s="8"/>
      <c r="DR49" s="8"/>
      <c r="DS49" s="8"/>
      <c r="DW49" s="8"/>
      <c r="DX49" s="8"/>
      <c r="DY49" s="8"/>
      <c r="DZ49" s="8"/>
      <c r="ED49" s="8"/>
      <c r="EE49" s="8"/>
      <c r="EF49" s="8"/>
      <c r="EG49" s="8"/>
      <c r="EK49" s="8"/>
      <c r="EL49" s="8"/>
      <c r="EM49" s="8"/>
      <c r="EN49" s="8"/>
    </row>
    <row r="50" spans="2:144" outlineLevel="1" x14ac:dyDescent="0.2">
      <c r="B50" t="s">
        <v>28</v>
      </c>
      <c r="C50" t="s">
        <v>90</v>
      </c>
      <c r="E50" s="7"/>
      <c r="F50" t="s">
        <v>187</v>
      </c>
      <c r="G50" s="8"/>
      <c r="I50" s="7">
        <f t="shared" si="2"/>
        <v>4.5</v>
      </c>
      <c r="J50" s="9" cm="1">
        <f t="array" ref="J50">MAX(IF($N$3:$EH$3=$J$3,N50:EH50))</f>
        <v>0</v>
      </c>
      <c r="K50" s="9" cm="1">
        <f t="array" ref="K50">MAX(IF($N$3:$EH$3=$J$3,N50:EH50))</f>
        <v>0</v>
      </c>
      <c r="L50" s="7"/>
      <c r="O50" s="8"/>
      <c r="P50" s="8"/>
      <c r="Q50" s="8"/>
      <c r="R50" s="8"/>
      <c r="V50" s="8"/>
      <c r="W50" s="8"/>
      <c r="X50" s="8"/>
      <c r="Y50" s="8"/>
      <c r="AC50" s="8"/>
      <c r="AD50" s="8"/>
      <c r="AE50" s="8"/>
      <c r="AF50" s="8"/>
      <c r="AJ50" s="8"/>
      <c r="AK50" s="8"/>
      <c r="AL50" s="8"/>
      <c r="AM50" s="8"/>
      <c r="AQ50" s="8"/>
      <c r="AR50" s="8"/>
      <c r="AS50" s="8"/>
      <c r="AT50" s="8"/>
      <c r="AW50">
        <v>1.5</v>
      </c>
      <c r="AX50" s="8"/>
      <c r="AY50" s="8">
        <v>0.5</v>
      </c>
      <c r="AZ50" s="8"/>
      <c r="BA50" s="8">
        <v>0.5</v>
      </c>
      <c r="BE50" s="8"/>
      <c r="BF50" s="8">
        <v>0.5</v>
      </c>
      <c r="BG50" s="8"/>
      <c r="BH50" s="8">
        <v>0.5</v>
      </c>
      <c r="BL50" s="8"/>
      <c r="BM50" s="8">
        <v>0.5</v>
      </c>
      <c r="BN50" s="8"/>
      <c r="BO50" s="8">
        <v>0.5</v>
      </c>
      <c r="BS50" s="8"/>
      <c r="BT50" s="8">
        <v>0.5</v>
      </c>
      <c r="BU50" s="8"/>
      <c r="BV50" s="8">
        <v>0.5</v>
      </c>
      <c r="BY50">
        <v>1.5</v>
      </c>
      <c r="BZ50" s="8"/>
      <c r="CA50" s="8">
        <v>0.8</v>
      </c>
      <c r="CB50" s="8"/>
      <c r="CC50" s="8">
        <v>0.8</v>
      </c>
      <c r="CG50" s="8"/>
      <c r="CH50" s="8">
        <v>0.8</v>
      </c>
      <c r="CI50" s="8"/>
      <c r="CJ50" s="8">
        <v>0.8</v>
      </c>
      <c r="CM50">
        <v>1.5</v>
      </c>
      <c r="CN50" s="8"/>
      <c r="CO50" s="8">
        <v>1</v>
      </c>
      <c r="CP50" s="8"/>
      <c r="CQ50" s="8">
        <v>1</v>
      </c>
      <c r="CU50" s="8"/>
      <c r="CV50" s="8"/>
      <c r="CW50" s="8"/>
      <c r="CX50" s="8"/>
      <c r="DB50" s="8"/>
      <c r="DC50" s="8"/>
      <c r="DD50" s="8"/>
      <c r="DE50" s="8"/>
      <c r="DI50" s="8"/>
      <c r="DJ50" s="8"/>
      <c r="DK50" s="8"/>
      <c r="DL50" s="8"/>
      <c r="DP50" s="8"/>
      <c r="DQ50" s="8"/>
      <c r="DR50" s="8"/>
      <c r="DS50" s="8"/>
      <c r="DW50" s="8"/>
      <c r="DX50" s="8"/>
      <c r="DY50" s="8"/>
      <c r="DZ50" s="8"/>
      <c r="ED50" s="8"/>
      <c r="EE50" s="8"/>
      <c r="EF50" s="8"/>
      <c r="EG50" s="8"/>
      <c r="EK50" s="8"/>
      <c r="EL50" s="8"/>
      <c r="EM50" s="8"/>
      <c r="EN50" s="8"/>
    </row>
    <row r="52" spans="2:144" s="33" customFormat="1" x14ac:dyDescent="0.2">
      <c r="B52" s="33" t="s">
        <v>27</v>
      </c>
      <c r="C52" s="33" t="s">
        <v>91</v>
      </c>
      <c r="D52" s="34">
        <v>45310</v>
      </c>
      <c r="E52" s="35">
        <v>6</v>
      </c>
      <c r="G52" s="36">
        <f>+SUM(G53:G62)</f>
        <v>0</v>
      </c>
      <c r="I52" s="37">
        <f>+SUM(I53:I62)</f>
        <v>89.600000000000009</v>
      </c>
      <c r="J52" s="38">
        <f>+SUMPRODUCT(G53:G62,J53:J62)</f>
        <v>0</v>
      </c>
      <c r="K52" s="38">
        <f>+SUMPRODUCT(G53:G62,K53:K62)</f>
        <v>0</v>
      </c>
      <c r="L52" s="35"/>
      <c r="N52" s="37">
        <f>+SUM(N53:N62)</f>
        <v>6.8</v>
      </c>
      <c r="U52" s="37">
        <f>+SUM(U53:U62)</f>
        <v>10.199999999999999</v>
      </c>
      <c r="AB52" s="37">
        <f>+SUM(AB53:AB62)</f>
        <v>6.8</v>
      </c>
      <c r="AI52" s="37">
        <f>+SUM(AI53:AI62)</f>
        <v>10.199999999999999</v>
      </c>
      <c r="AP52" s="37">
        <f>+SUM(AP53:AP62)</f>
        <v>6.8</v>
      </c>
      <c r="AW52" s="37">
        <f>+SUM(AW53:AW62)</f>
        <v>10.199999999999999</v>
      </c>
      <c r="BD52" s="37">
        <f>+SUM(BD53:BD62)</f>
        <v>6.8</v>
      </c>
      <c r="BK52" s="37">
        <f>+SUM(BK53:BK62)</f>
        <v>10.199999999999999</v>
      </c>
      <c r="BR52" s="37">
        <f>+SUM(BR53:BR62)</f>
        <v>6.8</v>
      </c>
      <c r="BY52" s="37">
        <f>+SUM(BY53:BY62)</f>
        <v>10.199999999999999</v>
      </c>
      <c r="CF52" s="37">
        <f>+SUM(CF53:CF62)</f>
        <v>6.8</v>
      </c>
      <c r="CM52" s="37">
        <f>+SUM(CM53:CM62)</f>
        <v>10.199999999999999</v>
      </c>
    </row>
    <row r="53" spans="2:144" outlineLevel="1" x14ac:dyDescent="0.2">
      <c r="B53" t="s">
        <v>28</v>
      </c>
      <c r="C53" t="s">
        <v>91</v>
      </c>
      <c r="E53" s="7"/>
      <c r="F53" t="s">
        <v>147</v>
      </c>
      <c r="G53" s="8"/>
      <c r="I53" s="7">
        <v>8</v>
      </c>
      <c r="J53" s="9" cm="1">
        <f t="array" ref="J53">MAX(IF($N$3:$EH$3=$J$3,N53:EH53))</f>
        <v>0</v>
      </c>
      <c r="K53" s="9" cm="1">
        <f t="array" ref="K53">MAX(IF($N$3:$EH$3=$J$3,N53:EH53))</f>
        <v>0</v>
      </c>
      <c r="L53" s="7"/>
      <c r="N53">
        <v>3.4</v>
      </c>
      <c r="O53" s="8"/>
      <c r="P53" s="8">
        <v>0.5</v>
      </c>
      <c r="Q53" s="8"/>
      <c r="R53" s="8">
        <v>0.5</v>
      </c>
      <c r="V53" s="8"/>
      <c r="W53" s="8">
        <v>0.5</v>
      </c>
      <c r="X53" s="8"/>
      <c r="Y53" s="8">
        <v>0.5</v>
      </c>
      <c r="AB53">
        <v>3.4</v>
      </c>
      <c r="AC53" s="8"/>
      <c r="AD53" s="8">
        <v>0.8</v>
      </c>
      <c r="AE53" s="8"/>
      <c r="AF53" s="8">
        <v>0.8</v>
      </c>
      <c r="AJ53" s="8"/>
      <c r="AK53" s="8">
        <v>0.8</v>
      </c>
      <c r="AL53" s="8"/>
      <c r="AM53" s="8">
        <v>0.8</v>
      </c>
      <c r="AQ53" s="8"/>
      <c r="AR53" s="8">
        <v>0.8</v>
      </c>
      <c r="AS53" s="8"/>
      <c r="AT53" s="8">
        <v>0.8</v>
      </c>
      <c r="AX53" s="8"/>
      <c r="AY53" s="8">
        <v>0.8</v>
      </c>
      <c r="AZ53" s="8"/>
      <c r="BA53" s="8">
        <v>0.8</v>
      </c>
      <c r="BD53">
        <v>3.4</v>
      </c>
      <c r="BE53" s="8"/>
      <c r="BF53" s="8">
        <v>1</v>
      </c>
      <c r="BG53" s="8"/>
      <c r="BH53" s="8">
        <v>1</v>
      </c>
      <c r="BL53" s="8"/>
      <c r="BM53" s="8">
        <v>1</v>
      </c>
      <c r="BN53" s="8"/>
      <c r="BO53" s="8">
        <v>1</v>
      </c>
      <c r="BS53" s="8"/>
      <c r="BT53" s="8">
        <v>1</v>
      </c>
      <c r="BU53" s="8"/>
      <c r="BV53" s="8">
        <v>1</v>
      </c>
      <c r="BZ53" s="8"/>
      <c r="CA53" s="8">
        <v>1</v>
      </c>
      <c r="CB53" s="8"/>
      <c r="CC53" s="8">
        <v>1</v>
      </c>
      <c r="CG53" s="8"/>
      <c r="CH53" s="8">
        <v>1</v>
      </c>
      <c r="CI53" s="8"/>
      <c r="CJ53" s="8">
        <v>1</v>
      </c>
      <c r="CN53" s="8"/>
      <c r="CO53" s="8">
        <v>1</v>
      </c>
      <c r="CP53" s="8"/>
      <c r="CQ53" s="8">
        <v>1</v>
      </c>
      <c r="CU53" s="8"/>
      <c r="CV53" s="8"/>
      <c r="CW53" s="8"/>
      <c r="CX53" s="8"/>
      <c r="DB53" s="8"/>
      <c r="DC53" s="8"/>
      <c r="DD53" s="8"/>
      <c r="DE53" s="8"/>
      <c r="DI53" s="8"/>
      <c r="DJ53" s="8"/>
      <c r="DK53" s="8"/>
      <c r="DL53" s="8"/>
      <c r="DP53" s="8"/>
      <c r="DQ53" s="8"/>
      <c r="DR53" s="8"/>
      <c r="DS53" s="8"/>
      <c r="DW53" s="8"/>
      <c r="DX53" s="8"/>
      <c r="DY53" s="8"/>
      <c r="DZ53" s="8"/>
      <c r="ED53" s="8"/>
      <c r="EE53" s="8"/>
      <c r="EF53" s="8"/>
      <c r="EG53" s="8"/>
      <c r="EK53" s="8"/>
      <c r="EL53" s="8"/>
      <c r="EM53" s="8"/>
      <c r="EN53" s="8"/>
    </row>
    <row r="54" spans="2:144" outlineLevel="1" x14ac:dyDescent="0.2">
      <c r="B54" t="s">
        <v>28</v>
      </c>
      <c r="C54" t="s">
        <v>91</v>
      </c>
      <c r="E54" s="7"/>
      <c r="F54" t="s">
        <v>148</v>
      </c>
      <c r="G54" s="8"/>
      <c r="I54" s="7">
        <f t="shared" si="2"/>
        <v>10.199999999999999</v>
      </c>
      <c r="J54" s="9" cm="1">
        <f t="array" ref="J54">MAX(IF($N$3:$EH$3=$J$3,N54:EH54))</f>
        <v>0</v>
      </c>
      <c r="K54" s="9" cm="1">
        <f t="array" ref="K54">MAX(IF($N$3:$EH$3=$J$3,N54:EH54))</f>
        <v>0</v>
      </c>
      <c r="L54" s="7"/>
      <c r="N54">
        <v>3.4</v>
      </c>
      <c r="O54" s="8"/>
      <c r="P54" s="8">
        <v>0.5</v>
      </c>
      <c r="Q54" s="8"/>
      <c r="R54" s="8">
        <v>0.5</v>
      </c>
      <c r="V54" s="8"/>
      <c r="W54" s="8">
        <v>0.5</v>
      </c>
      <c r="X54" s="8"/>
      <c r="Y54" s="8">
        <v>0.5</v>
      </c>
      <c r="AC54" s="8"/>
      <c r="AD54" s="8">
        <v>0.5</v>
      </c>
      <c r="AE54" s="8"/>
      <c r="AF54" s="8">
        <v>0.5</v>
      </c>
      <c r="AI54">
        <v>3.4</v>
      </c>
      <c r="AJ54" s="8"/>
      <c r="AK54" s="8">
        <v>0.8</v>
      </c>
      <c r="AL54" s="8"/>
      <c r="AM54" s="8">
        <v>0.8</v>
      </c>
      <c r="AQ54" s="8"/>
      <c r="AR54" s="8">
        <v>0.8</v>
      </c>
      <c r="AS54" s="8"/>
      <c r="AT54" s="8">
        <v>0.8</v>
      </c>
      <c r="AX54" s="8"/>
      <c r="AY54" s="8">
        <v>0.8</v>
      </c>
      <c r="AZ54" s="8"/>
      <c r="BA54" s="8">
        <v>0.8</v>
      </c>
      <c r="BE54" s="8"/>
      <c r="BF54" s="8">
        <v>0.8</v>
      </c>
      <c r="BG54" s="8"/>
      <c r="BH54" s="8">
        <v>0.8</v>
      </c>
      <c r="BK54">
        <v>3.4</v>
      </c>
      <c r="BL54" s="8"/>
      <c r="BM54" s="8">
        <v>1</v>
      </c>
      <c r="BN54" s="8"/>
      <c r="BO54" s="8">
        <v>1</v>
      </c>
      <c r="BS54" s="8"/>
      <c r="BT54" s="8">
        <v>1</v>
      </c>
      <c r="BU54" s="8"/>
      <c r="BV54" s="8">
        <v>1</v>
      </c>
      <c r="BZ54" s="8"/>
      <c r="CA54" s="8">
        <v>1</v>
      </c>
      <c r="CB54" s="8"/>
      <c r="CC54" s="8">
        <v>1</v>
      </c>
      <c r="CG54" s="8"/>
      <c r="CH54" s="8">
        <v>1</v>
      </c>
      <c r="CI54" s="8"/>
      <c r="CJ54" s="8">
        <v>1</v>
      </c>
      <c r="CN54" s="8"/>
      <c r="CO54" s="8">
        <v>1</v>
      </c>
      <c r="CP54" s="8"/>
      <c r="CQ54" s="8">
        <v>1</v>
      </c>
      <c r="CU54" s="8"/>
      <c r="CV54" s="8"/>
      <c r="CW54" s="8"/>
      <c r="CX54" s="8"/>
      <c r="DB54" s="8"/>
      <c r="DC54" s="8"/>
      <c r="DD54" s="8"/>
      <c r="DE54" s="8"/>
      <c r="DI54" s="8"/>
      <c r="DJ54" s="8"/>
      <c r="DK54" s="8"/>
      <c r="DL54" s="8"/>
      <c r="DP54" s="8"/>
      <c r="DQ54" s="8"/>
      <c r="DR54" s="8"/>
      <c r="DS54" s="8"/>
      <c r="DW54" s="8"/>
      <c r="DX54" s="8"/>
      <c r="DY54" s="8"/>
      <c r="DZ54" s="8"/>
      <c r="ED54" s="8"/>
      <c r="EE54" s="8"/>
      <c r="EF54" s="8"/>
      <c r="EG54" s="8"/>
      <c r="EK54" s="8"/>
      <c r="EL54" s="8"/>
      <c r="EM54" s="8"/>
      <c r="EN54" s="8"/>
    </row>
    <row r="55" spans="2:144" outlineLevel="1" x14ac:dyDescent="0.2">
      <c r="B55" t="s">
        <v>28</v>
      </c>
      <c r="C55" t="s">
        <v>91</v>
      </c>
      <c r="E55" s="7"/>
      <c r="F55" t="s">
        <v>149</v>
      </c>
      <c r="G55" s="8"/>
      <c r="I55" s="7">
        <f t="shared" si="2"/>
        <v>10.199999999999999</v>
      </c>
      <c r="J55" s="9" cm="1">
        <f t="array" ref="J55">MAX(IF($N$3:$EH$3=$J$3,N55:EH55))</f>
        <v>0</v>
      </c>
      <c r="K55" s="9" cm="1">
        <f t="array" ref="K55">MAX(IF($N$3:$EH$3=$J$3,N55:EH55))</f>
        <v>0</v>
      </c>
      <c r="L55" s="7"/>
      <c r="O55" s="8"/>
      <c r="P55" s="8"/>
      <c r="Q55" s="8"/>
      <c r="R55" s="8"/>
      <c r="U55">
        <v>3.4</v>
      </c>
      <c r="V55" s="8"/>
      <c r="W55" s="8">
        <v>0.5</v>
      </c>
      <c r="X55" s="8"/>
      <c r="Y55" s="8">
        <v>0.5</v>
      </c>
      <c r="AC55" s="8"/>
      <c r="AD55" s="8">
        <v>0.5</v>
      </c>
      <c r="AE55" s="8"/>
      <c r="AF55" s="8">
        <v>0.5</v>
      </c>
      <c r="AI55">
        <v>3.4</v>
      </c>
      <c r="AJ55" s="8"/>
      <c r="AK55" s="8">
        <v>0.8</v>
      </c>
      <c r="AL55" s="8"/>
      <c r="AM55" s="8">
        <v>0.8</v>
      </c>
      <c r="AQ55" s="8"/>
      <c r="AR55" s="8">
        <v>0.8</v>
      </c>
      <c r="AS55" s="8"/>
      <c r="AT55" s="8">
        <v>0.8</v>
      </c>
      <c r="AX55" s="8"/>
      <c r="AY55" s="8">
        <v>0.8</v>
      </c>
      <c r="AZ55" s="8"/>
      <c r="BA55" s="8">
        <v>0.8</v>
      </c>
      <c r="BE55" s="8"/>
      <c r="BF55" s="8">
        <v>0.8</v>
      </c>
      <c r="BG55" s="8"/>
      <c r="BH55" s="8">
        <v>0.8</v>
      </c>
      <c r="BL55" s="8"/>
      <c r="BM55" s="8">
        <v>0.8</v>
      </c>
      <c r="BN55" s="8"/>
      <c r="BO55" s="8">
        <v>0.8</v>
      </c>
      <c r="BR55">
        <v>3.4</v>
      </c>
      <c r="BS55" s="8"/>
      <c r="BT55" s="8">
        <v>1</v>
      </c>
      <c r="BU55" s="8"/>
      <c r="BV55" s="8">
        <v>1</v>
      </c>
      <c r="BZ55" s="8"/>
      <c r="CA55" s="8">
        <v>1</v>
      </c>
      <c r="CB55" s="8"/>
      <c r="CC55" s="8">
        <v>1</v>
      </c>
      <c r="CG55" s="8"/>
      <c r="CH55" s="8">
        <v>1</v>
      </c>
      <c r="CI55" s="8"/>
      <c r="CJ55" s="8">
        <v>1</v>
      </c>
      <c r="CN55" s="8"/>
      <c r="CO55" s="8">
        <v>1</v>
      </c>
      <c r="CP55" s="8"/>
      <c r="CQ55" s="8">
        <v>1</v>
      </c>
      <c r="CU55" s="8"/>
      <c r="CV55" s="8"/>
      <c r="CW55" s="8"/>
      <c r="CX55" s="8"/>
      <c r="DB55" s="8"/>
      <c r="DC55" s="8"/>
      <c r="DD55" s="8"/>
      <c r="DE55" s="8"/>
      <c r="DI55" s="8"/>
      <c r="DJ55" s="8"/>
      <c r="DK55" s="8"/>
      <c r="DL55" s="8"/>
      <c r="DP55" s="8"/>
      <c r="DQ55" s="8"/>
      <c r="DR55" s="8"/>
      <c r="DS55" s="8"/>
      <c r="DW55" s="8"/>
      <c r="DX55" s="8"/>
      <c r="DY55" s="8"/>
      <c r="DZ55" s="8"/>
      <c r="ED55" s="8"/>
      <c r="EE55" s="8"/>
      <c r="EF55" s="8"/>
      <c r="EG55" s="8"/>
      <c r="EK55" s="8"/>
      <c r="EL55" s="8"/>
      <c r="EM55" s="8"/>
      <c r="EN55" s="8"/>
    </row>
    <row r="56" spans="2:144" outlineLevel="1" x14ac:dyDescent="0.2">
      <c r="B56" t="s">
        <v>28</v>
      </c>
      <c r="C56" t="s">
        <v>91</v>
      </c>
      <c r="E56" s="7"/>
      <c r="F56" t="s">
        <v>150</v>
      </c>
      <c r="G56" s="8"/>
      <c r="I56" s="7">
        <f t="shared" si="2"/>
        <v>10.199999999999999</v>
      </c>
      <c r="J56" s="9" cm="1">
        <f t="array" ref="J56">MAX(IF($N$3:$EH$3=$J$3,N56:EH56))</f>
        <v>0</v>
      </c>
      <c r="K56" s="9" cm="1">
        <f t="array" ref="K56">MAX(IF($N$3:$EH$3=$J$3,N56:EH56))</f>
        <v>0</v>
      </c>
      <c r="L56" s="7"/>
      <c r="O56" s="8"/>
      <c r="P56" s="8"/>
      <c r="Q56" s="8"/>
      <c r="R56" s="8"/>
      <c r="U56">
        <v>3.4</v>
      </c>
      <c r="V56" s="8"/>
      <c r="W56" s="8">
        <v>0.5</v>
      </c>
      <c r="X56" s="8"/>
      <c r="Y56" s="8">
        <v>0.5</v>
      </c>
      <c r="AC56" s="8"/>
      <c r="AD56" s="8">
        <v>0.5</v>
      </c>
      <c r="AE56" s="8"/>
      <c r="AF56" s="8">
        <v>0.5</v>
      </c>
      <c r="AJ56" s="8"/>
      <c r="AK56" s="8">
        <v>0.5</v>
      </c>
      <c r="AL56" s="8"/>
      <c r="AM56" s="8">
        <v>0.5</v>
      </c>
      <c r="AP56">
        <v>3.4</v>
      </c>
      <c r="AQ56" s="8"/>
      <c r="AR56" s="8">
        <v>0.8</v>
      </c>
      <c r="AS56" s="8"/>
      <c r="AT56" s="8">
        <v>0.8</v>
      </c>
      <c r="AX56" s="8"/>
      <c r="AY56" s="8">
        <v>0.8</v>
      </c>
      <c r="AZ56" s="8"/>
      <c r="BA56" s="8">
        <v>0.8</v>
      </c>
      <c r="BE56" s="8"/>
      <c r="BF56" s="8">
        <v>0.8</v>
      </c>
      <c r="BG56" s="8"/>
      <c r="BH56" s="8">
        <v>0.8</v>
      </c>
      <c r="BL56" s="8"/>
      <c r="BM56" s="8">
        <v>0.8</v>
      </c>
      <c r="BN56" s="8"/>
      <c r="BO56" s="8">
        <v>0.8</v>
      </c>
      <c r="BS56" s="8"/>
      <c r="BT56" s="8">
        <v>0.8</v>
      </c>
      <c r="BU56" s="8"/>
      <c r="BV56" s="8">
        <v>0.8</v>
      </c>
      <c r="BY56">
        <v>3.4</v>
      </c>
      <c r="BZ56" s="8"/>
      <c r="CA56" s="8">
        <v>1</v>
      </c>
      <c r="CB56" s="8"/>
      <c r="CC56" s="8">
        <v>1</v>
      </c>
      <c r="CG56" s="8"/>
      <c r="CH56" s="8">
        <v>1</v>
      </c>
      <c r="CI56" s="8"/>
      <c r="CJ56" s="8">
        <v>1</v>
      </c>
      <c r="CN56" s="8"/>
      <c r="CO56" s="8">
        <v>1</v>
      </c>
      <c r="CP56" s="8"/>
      <c r="CQ56" s="8">
        <v>1</v>
      </c>
      <c r="CU56" s="8"/>
      <c r="CV56" s="8"/>
      <c r="CW56" s="8"/>
      <c r="CX56" s="8"/>
      <c r="DB56" s="8"/>
      <c r="DC56" s="8"/>
      <c r="DD56" s="8"/>
      <c r="DE56" s="8"/>
      <c r="DI56" s="8"/>
      <c r="DJ56" s="8"/>
      <c r="DK56" s="8"/>
      <c r="DL56" s="8"/>
      <c r="DP56" s="8"/>
      <c r="DQ56" s="8"/>
      <c r="DR56" s="8"/>
      <c r="DS56" s="8"/>
      <c r="DW56" s="8"/>
      <c r="DX56" s="8"/>
      <c r="DY56" s="8"/>
      <c r="DZ56" s="8"/>
      <c r="ED56" s="8"/>
      <c r="EE56" s="8"/>
      <c r="EF56" s="8"/>
      <c r="EG56" s="8"/>
      <c r="EK56" s="8"/>
      <c r="EL56" s="8"/>
      <c r="EM56" s="8"/>
      <c r="EN56" s="8"/>
    </row>
    <row r="57" spans="2:144" outlineLevel="1" x14ac:dyDescent="0.2">
      <c r="B57" t="s">
        <v>28</v>
      </c>
      <c r="C57" t="s">
        <v>91</v>
      </c>
      <c r="E57" s="7"/>
      <c r="F57" t="s">
        <v>151</v>
      </c>
      <c r="G57" s="8"/>
      <c r="I57" s="7"/>
      <c r="J57" s="9" cm="1">
        <f t="array" ref="J57">MAX(IF($N$3:$EH$3=$J$3,N57:EH57))</f>
        <v>0</v>
      </c>
      <c r="K57" s="9" cm="1">
        <f t="array" ref="K57">MAX(IF($N$3:$EH$3=$J$3,N57:EH57))</f>
        <v>0</v>
      </c>
      <c r="L57" s="7"/>
      <c r="O57" s="8"/>
      <c r="P57" s="8"/>
      <c r="Q57" s="8"/>
      <c r="R57" s="8"/>
      <c r="U57">
        <v>3.4</v>
      </c>
      <c r="V57" s="8"/>
      <c r="W57" s="8">
        <v>0.5</v>
      </c>
      <c r="X57" s="8"/>
      <c r="Y57" s="8">
        <v>0.5</v>
      </c>
      <c r="AC57" s="8"/>
      <c r="AD57" s="8">
        <v>0.5</v>
      </c>
      <c r="AE57" s="8"/>
      <c r="AF57" s="8">
        <v>0.5</v>
      </c>
      <c r="AJ57" s="8"/>
      <c r="AK57" s="8">
        <v>0.5</v>
      </c>
      <c r="AL57" s="8"/>
      <c r="AM57" s="8">
        <v>0.5</v>
      </c>
      <c r="AQ57" s="8"/>
      <c r="AR57" s="8">
        <v>0.5</v>
      </c>
      <c r="AS57" s="8"/>
      <c r="AT57" s="8">
        <v>0.5</v>
      </c>
      <c r="AW57">
        <v>3.4</v>
      </c>
      <c r="AX57" s="8"/>
      <c r="AY57" s="8">
        <v>0.8</v>
      </c>
      <c r="AZ57" s="8"/>
      <c r="BA57" s="8">
        <v>0.8</v>
      </c>
      <c r="BE57" s="8"/>
      <c r="BF57" s="8">
        <v>0.8</v>
      </c>
      <c r="BG57" s="8"/>
      <c r="BH57" s="8">
        <v>0.8</v>
      </c>
      <c r="BL57" s="8"/>
      <c r="BM57" s="8">
        <v>0.8</v>
      </c>
      <c r="BN57" s="8"/>
      <c r="BO57" s="8">
        <v>0.8</v>
      </c>
      <c r="BS57" s="8"/>
      <c r="BT57" s="8">
        <v>0.8</v>
      </c>
      <c r="BU57" s="8"/>
      <c r="BV57" s="8">
        <v>0.8</v>
      </c>
      <c r="BY57">
        <v>3.4</v>
      </c>
      <c r="BZ57" s="8"/>
      <c r="CA57" s="8">
        <v>1</v>
      </c>
      <c r="CB57" s="8"/>
      <c r="CC57" s="8">
        <v>1</v>
      </c>
      <c r="CG57" s="8"/>
      <c r="CH57" s="8">
        <v>1</v>
      </c>
      <c r="CI57" s="8"/>
      <c r="CJ57" s="8">
        <v>1</v>
      </c>
      <c r="CN57" s="8"/>
      <c r="CO57" s="8">
        <v>1</v>
      </c>
      <c r="CP57" s="8"/>
      <c r="CQ57" s="8">
        <v>1</v>
      </c>
      <c r="CU57" s="8"/>
      <c r="CV57" s="8"/>
      <c r="CW57" s="8"/>
      <c r="CX57" s="8"/>
      <c r="DB57" s="8"/>
      <c r="DC57" s="8"/>
      <c r="DD57" s="8"/>
      <c r="DE57" s="8"/>
      <c r="DI57" s="8"/>
      <c r="DJ57" s="8"/>
      <c r="DK57" s="8"/>
      <c r="DL57" s="8"/>
      <c r="DP57" s="8"/>
      <c r="DQ57" s="8"/>
      <c r="DR57" s="8"/>
      <c r="DS57" s="8"/>
      <c r="DW57" s="8"/>
      <c r="DX57" s="8"/>
      <c r="DY57" s="8"/>
      <c r="DZ57" s="8"/>
      <c r="ED57" s="8"/>
      <c r="EE57" s="8"/>
      <c r="EF57" s="8"/>
      <c r="EG57" s="8"/>
      <c r="EK57" s="8"/>
      <c r="EL57" s="8"/>
      <c r="EM57" s="8"/>
      <c r="EN57" s="8"/>
    </row>
    <row r="58" spans="2:144" outlineLevel="1" x14ac:dyDescent="0.2">
      <c r="B58" t="s">
        <v>28</v>
      </c>
      <c r="C58" t="s">
        <v>91</v>
      </c>
      <c r="E58" s="7"/>
      <c r="F58" t="s">
        <v>152</v>
      </c>
      <c r="G58" s="8"/>
      <c r="I58" s="7">
        <f t="shared" si="2"/>
        <v>10.199999999999999</v>
      </c>
      <c r="J58" s="9" cm="1">
        <f t="array" ref="J58">MAX(IF($N$3:$EH$3=$J$3,N58:EH58))</f>
        <v>0</v>
      </c>
      <c r="K58" s="9" cm="1">
        <f t="array" ref="K58">MAX(IF($N$3:$EH$3=$J$3,N58:EH58))</f>
        <v>0</v>
      </c>
      <c r="L58" s="7"/>
      <c r="O58" s="8"/>
      <c r="P58" s="8"/>
      <c r="Q58" s="8"/>
      <c r="R58" s="8"/>
      <c r="V58" s="8"/>
      <c r="W58" s="8"/>
      <c r="X58" s="8"/>
      <c r="Y58" s="8"/>
      <c r="AB58">
        <v>3.4</v>
      </c>
      <c r="AC58" s="8"/>
      <c r="AD58" s="8">
        <v>0.5</v>
      </c>
      <c r="AE58" s="8"/>
      <c r="AF58" s="8">
        <v>0.5</v>
      </c>
      <c r="AJ58" s="8"/>
      <c r="AK58" s="8">
        <v>0.5</v>
      </c>
      <c r="AL58" s="8"/>
      <c r="AM58" s="8">
        <v>0.5</v>
      </c>
      <c r="AQ58" s="8"/>
      <c r="AR58" s="8">
        <v>0.5</v>
      </c>
      <c r="AS58" s="8"/>
      <c r="AT58" s="8">
        <v>0.5</v>
      </c>
      <c r="AX58" s="8"/>
      <c r="AY58" s="8">
        <v>0.5</v>
      </c>
      <c r="AZ58" s="8"/>
      <c r="BA58" s="8">
        <v>0.5</v>
      </c>
      <c r="BD58">
        <v>3.4</v>
      </c>
      <c r="BE58" s="8"/>
      <c r="BF58" s="8">
        <v>0.8</v>
      </c>
      <c r="BG58" s="8"/>
      <c r="BH58" s="8">
        <v>0.8</v>
      </c>
      <c r="BL58" s="8"/>
      <c r="BM58" s="8">
        <v>0.8</v>
      </c>
      <c r="BN58" s="8"/>
      <c r="BO58" s="8">
        <v>0.8</v>
      </c>
      <c r="BS58" s="8"/>
      <c r="BT58" s="8">
        <v>0.8</v>
      </c>
      <c r="BU58" s="8"/>
      <c r="BV58" s="8">
        <v>0.8</v>
      </c>
      <c r="BZ58" s="8"/>
      <c r="CA58" s="8">
        <v>0.8</v>
      </c>
      <c r="CB58" s="8"/>
      <c r="CC58" s="8">
        <v>0.8</v>
      </c>
      <c r="CF58">
        <v>3.4</v>
      </c>
      <c r="CG58" s="8"/>
      <c r="CH58" s="8">
        <v>1</v>
      </c>
      <c r="CI58" s="8"/>
      <c r="CJ58" s="8">
        <v>1</v>
      </c>
      <c r="CN58" s="8"/>
      <c r="CO58" s="8">
        <v>1</v>
      </c>
      <c r="CP58" s="8"/>
      <c r="CQ58" s="8">
        <v>1</v>
      </c>
      <c r="CU58" s="8"/>
      <c r="CV58" s="8"/>
      <c r="CW58" s="8"/>
      <c r="CX58" s="8"/>
      <c r="DB58" s="8"/>
      <c r="DC58" s="8"/>
      <c r="DD58" s="8"/>
      <c r="DE58" s="8"/>
      <c r="DI58" s="8"/>
      <c r="DJ58" s="8"/>
      <c r="DK58" s="8"/>
      <c r="DL58" s="8"/>
      <c r="DP58" s="8"/>
      <c r="DQ58" s="8"/>
      <c r="DR58" s="8"/>
      <c r="DS58" s="8"/>
      <c r="DW58" s="8"/>
      <c r="DX58" s="8"/>
      <c r="DY58" s="8"/>
      <c r="DZ58" s="8"/>
      <c r="ED58" s="8"/>
      <c r="EE58" s="8"/>
      <c r="EF58" s="8"/>
      <c r="EG58" s="8"/>
      <c r="EK58" s="8"/>
      <c r="EL58" s="8"/>
      <c r="EM58" s="8"/>
      <c r="EN58" s="8"/>
    </row>
    <row r="59" spans="2:144" outlineLevel="1" x14ac:dyDescent="0.2">
      <c r="B59" t="s">
        <v>28</v>
      </c>
      <c r="C59" t="s">
        <v>91</v>
      </c>
      <c r="E59" s="7"/>
      <c r="F59" t="s">
        <v>153</v>
      </c>
      <c r="G59" s="8"/>
      <c r="I59" s="7">
        <f t="shared" si="2"/>
        <v>10.199999999999999</v>
      </c>
      <c r="J59" s="9" cm="1">
        <f t="array" ref="J59">MAX(IF($N$3:$EH$3=$J$3,N59:EH59))</f>
        <v>0</v>
      </c>
      <c r="K59" s="9" cm="1">
        <f t="array" ref="K59">MAX(IF($N$3:$EH$3=$J$3,N59:EH59))</f>
        <v>0</v>
      </c>
      <c r="L59" s="7"/>
      <c r="O59" s="8"/>
      <c r="P59" s="8"/>
      <c r="Q59" s="8"/>
      <c r="R59" s="8"/>
      <c r="V59" s="8"/>
      <c r="W59" s="8"/>
      <c r="X59" s="8"/>
      <c r="Y59" s="8"/>
      <c r="AC59" s="8"/>
      <c r="AD59" s="8"/>
      <c r="AE59" s="8"/>
      <c r="AF59" s="8"/>
      <c r="AI59">
        <v>3.4</v>
      </c>
      <c r="AJ59" s="8"/>
      <c r="AK59" s="8">
        <v>0.5</v>
      </c>
      <c r="AL59" s="8"/>
      <c r="AM59" s="8">
        <v>0.5</v>
      </c>
      <c r="AQ59" s="8"/>
      <c r="AR59" s="8">
        <v>0.5</v>
      </c>
      <c r="AS59" s="8"/>
      <c r="AT59" s="8">
        <v>0.5</v>
      </c>
      <c r="AX59" s="8"/>
      <c r="AY59" s="8">
        <v>0.5</v>
      </c>
      <c r="AZ59" s="8"/>
      <c r="BA59" s="8">
        <v>0.5</v>
      </c>
      <c r="BE59" s="8"/>
      <c r="BF59" s="8">
        <v>0.5</v>
      </c>
      <c r="BG59" s="8"/>
      <c r="BH59" s="8">
        <v>0.5</v>
      </c>
      <c r="BK59">
        <v>3.4</v>
      </c>
      <c r="BL59" s="8"/>
      <c r="BM59" s="8">
        <v>0.8</v>
      </c>
      <c r="BN59" s="8"/>
      <c r="BO59" s="8">
        <v>0.8</v>
      </c>
      <c r="BS59" s="8"/>
      <c r="BT59" s="8">
        <v>0.8</v>
      </c>
      <c r="BU59" s="8"/>
      <c r="BV59" s="8">
        <v>0.8</v>
      </c>
      <c r="BZ59" s="8"/>
      <c r="CA59" s="8">
        <v>0.8</v>
      </c>
      <c r="CB59" s="8"/>
      <c r="CC59" s="8">
        <v>0.8</v>
      </c>
      <c r="CF59">
        <v>3.4</v>
      </c>
      <c r="CG59" s="8"/>
      <c r="CH59" s="8">
        <v>1</v>
      </c>
      <c r="CI59" s="8"/>
      <c r="CJ59" s="8">
        <v>1</v>
      </c>
      <c r="CN59" s="8"/>
      <c r="CO59" s="8">
        <v>1</v>
      </c>
      <c r="CP59" s="8"/>
      <c r="CQ59" s="8">
        <v>1</v>
      </c>
      <c r="CU59" s="8"/>
      <c r="CV59" s="8"/>
      <c r="CW59" s="8"/>
      <c r="CX59" s="8"/>
      <c r="DB59" s="8"/>
      <c r="DC59" s="8"/>
      <c r="DD59" s="8"/>
      <c r="DE59" s="8"/>
      <c r="DI59" s="8"/>
      <c r="DJ59" s="8"/>
      <c r="DK59" s="8"/>
      <c r="DL59" s="8"/>
      <c r="DP59" s="8"/>
      <c r="DQ59" s="8"/>
      <c r="DR59" s="8"/>
      <c r="DS59" s="8"/>
      <c r="DW59" s="8"/>
      <c r="DX59" s="8"/>
      <c r="DY59" s="8"/>
      <c r="DZ59" s="8"/>
      <c r="ED59" s="8"/>
      <c r="EE59" s="8"/>
      <c r="EF59" s="8"/>
      <c r="EG59" s="8"/>
      <c r="EK59" s="8"/>
      <c r="EL59" s="8"/>
      <c r="EM59" s="8"/>
      <c r="EN59" s="8"/>
    </row>
    <row r="60" spans="2:144" outlineLevel="1" x14ac:dyDescent="0.2">
      <c r="B60" t="s">
        <v>28</v>
      </c>
      <c r="C60" t="s">
        <v>91</v>
      </c>
      <c r="E60" s="7"/>
      <c r="F60" t="s">
        <v>154</v>
      </c>
      <c r="G60" s="8"/>
      <c r="I60" s="7">
        <f t="shared" si="2"/>
        <v>10.199999999999999</v>
      </c>
      <c r="J60" s="9" cm="1">
        <f t="array" ref="J60">MAX(IF($N$3:$EH$3=$J$3,N60:EH60))</f>
        <v>0</v>
      </c>
      <c r="K60" s="9" cm="1">
        <f t="array" ref="K60">MAX(IF($N$3:$EH$3=$J$3,N60:EH60))</f>
        <v>0</v>
      </c>
      <c r="L60" s="7"/>
      <c r="O60" s="8"/>
      <c r="P60" s="8"/>
      <c r="Q60" s="8"/>
      <c r="R60" s="8"/>
      <c r="V60" s="8"/>
      <c r="W60" s="8"/>
      <c r="X60" s="8"/>
      <c r="Y60" s="8"/>
      <c r="AC60" s="8"/>
      <c r="AD60" s="8"/>
      <c r="AE60" s="8"/>
      <c r="AF60" s="8"/>
      <c r="AJ60" s="8"/>
      <c r="AK60" s="8"/>
      <c r="AL60" s="8"/>
      <c r="AM60" s="8"/>
      <c r="AP60">
        <v>3.4</v>
      </c>
      <c r="AQ60" s="8"/>
      <c r="AR60" s="8">
        <v>0.5</v>
      </c>
      <c r="AS60" s="8"/>
      <c r="AT60" s="8">
        <v>0.5</v>
      </c>
      <c r="AX60" s="8"/>
      <c r="AY60" s="8">
        <v>0.5</v>
      </c>
      <c r="AZ60" s="8"/>
      <c r="BA60" s="8">
        <v>0.5</v>
      </c>
      <c r="BE60" s="8"/>
      <c r="BF60" s="8">
        <v>0.5</v>
      </c>
      <c r="BG60" s="8"/>
      <c r="BH60" s="8">
        <v>0.5</v>
      </c>
      <c r="BK60">
        <v>3.4</v>
      </c>
      <c r="BL60" s="8"/>
      <c r="BM60" s="8">
        <v>0.8</v>
      </c>
      <c r="BN60" s="8"/>
      <c r="BO60" s="8">
        <v>0.8</v>
      </c>
      <c r="BS60" s="8"/>
      <c r="BT60" s="8">
        <v>0.8</v>
      </c>
      <c r="BU60" s="8"/>
      <c r="BV60" s="8">
        <v>0.8</v>
      </c>
      <c r="BZ60" s="8"/>
      <c r="CA60" s="8">
        <v>0.8</v>
      </c>
      <c r="CB60" s="8"/>
      <c r="CC60" s="8">
        <v>0.8</v>
      </c>
      <c r="CG60" s="8"/>
      <c r="CH60" s="8">
        <v>0.8</v>
      </c>
      <c r="CI60" s="8"/>
      <c r="CJ60" s="8">
        <v>0.8</v>
      </c>
      <c r="CM60">
        <v>3.4</v>
      </c>
      <c r="CN60" s="8"/>
      <c r="CO60" s="8">
        <v>1</v>
      </c>
      <c r="CP60" s="8"/>
      <c r="CQ60" s="8">
        <v>1</v>
      </c>
      <c r="CU60" s="8"/>
      <c r="CV60" s="8"/>
      <c r="CW60" s="8"/>
      <c r="CX60" s="8"/>
      <c r="DB60" s="8"/>
      <c r="DC60" s="8"/>
      <c r="DD60" s="8"/>
      <c r="DE60" s="8"/>
      <c r="DI60" s="8"/>
      <c r="DJ60" s="8"/>
      <c r="DK60" s="8"/>
      <c r="DL60" s="8"/>
      <c r="DP60" s="8"/>
      <c r="DQ60" s="8"/>
      <c r="DR60" s="8"/>
      <c r="DS60" s="8"/>
      <c r="DW60" s="8"/>
      <c r="DX60" s="8"/>
      <c r="DY60" s="8"/>
      <c r="DZ60" s="8"/>
      <c r="ED60" s="8"/>
      <c r="EE60" s="8"/>
      <c r="EF60" s="8"/>
      <c r="EG60" s="8"/>
      <c r="EK60" s="8"/>
      <c r="EL60" s="8"/>
      <c r="EM60" s="8"/>
      <c r="EN60" s="8"/>
    </row>
    <row r="61" spans="2:144" outlineLevel="1" x14ac:dyDescent="0.2">
      <c r="B61" t="s">
        <v>28</v>
      </c>
      <c r="C61" t="s">
        <v>91</v>
      </c>
      <c r="E61" s="7"/>
      <c r="F61" t="s">
        <v>155</v>
      </c>
      <c r="G61" s="8"/>
      <c r="I61" s="7">
        <f t="shared" si="2"/>
        <v>10.199999999999999</v>
      </c>
      <c r="J61" s="9" cm="1">
        <f t="array" ref="J61">MAX(IF($N$3:$EH$3=$J$3,N61:EH61))</f>
        <v>0</v>
      </c>
      <c r="K61" s="9" cm="1">
        <f t="array" ref="K61">MAX(IF($N$3:$EH$3=$J$3,N61:EH61))</f>
        <v>0</v>
      </c>
      <c r="L61" s="7"/>
      <c r="O61" s="8"/>
      <c r="P61" s="8"/>
      <c r="Q61" s="8"/>
      <c r="R61" s="8"/>
      <c r="V61" s="8"/>
      <c r="W61" s="8"/>
      <c r="X61" s="8"/>
      <c r="Y61" s="8"/>
      <c r="AC61" s="8"/>
      <c r="AD61" s="8"/>
      <c r="AE61" s="8"/>
      <c r="AF61" s="8"/>
      <c r="AJ61" s="8"/>
      <c r="AK61" s="8"/>
      <c r="AL61" s="8"/>
      <c r="AM61" s="8"/>
      <c r="AQ61" s="8"/>
      <c r="AR61" s="8"/>
      <c r="AS61" s="8"/>
      <c r="AT61" s="8"/>
      <c r="AW61">
        <v>3.4</v>
      </c>
      <c r="AX61" s="8"/>
      <c r="AY61" s="8">
        <v>0.5</v>
      </c>
      <c r="AZ61" s="8"/>
      <c r="BA61" s="8">
        <v>0.5</v>
      </c>
      <c r="BE61" s="8"/>
      <c r="BF61" s="8">
        <v>0.5</v>
      </c>
      <c r="BG61" s="8"/>
      <c r="BH61" s="8">
        <v>0.5</v>
      </c>
      <c r="BL61" s="8"/>
      <c r="BM61" s="8">
        <v>0.5</v>
      </c>
      <c r="BN61" s="8"/>
      <c r="BO61" s="8">
        <v>0.5</v>
      </c>
      <c r="BR61">
        <v>3.4</v>
      </c>
      <c r="BS61" s="8"/>
      <c r="BT61" s="8">
        <v>0.8</v>
      </c>
      <c r="BU61" s="8"/>
      <c r="BV61" s="8">
        <v>0.8</v>
      </c>
      <c r="BZ61" s="8"/>
      <c r="CA61" s="8">
        <v>0.8</v>
      </c>
      <c r="CB61" s="8"/>
      <c r="CC61" s="8">
        <v>0.8</v>
      </c>
      <c r="CG61" s="8"/>
      <c r="CH61" s="8">
        <v>0.8</v>
      </c>
      <c r="CI61" s="8"/>
      <c r="CJ61" s="8">
        <v>0.8</v>
      </c>
      <c r="CM61">
        <v>3.4</v>
      </c>
      <c r="CN61" s="8"/>
      <c r="CO61" s="8">
        <v>1</v>
      </c>
      <c r="CP61" s="8"/>
      <c r="CQ61" s="8">
        <v>1</v>
      </c>
      <c r="CU61" s="8"/>
      <c r="CV61" s="8"/>
      <c r="CW61" s="8"/>
      <c r="CX61" s="8"/>
      <c r="DB61" s="8"/>
      <c r="DC61" s="8"/>
      <c r="DD61" s="8"/>
      <c r="DE61" s="8"/>
      <c r="DI61" s="8"/>
      <c r="DJ61" s="8"/>
      <c r="DK61" s="8"/>
      <c r="DL61" s="8"/>
      <c r="DP61" s="8"/>
      <c r="DQ61" s="8"/>
      <c r="DR61" s="8"/>
      <c r="DS61" s="8"/>
      <c r="DW61" s="8"/>
      <c r="DX61" s="8"/>
      <c r="DY61" s="8"/>
      <c r="DZ61" s="8"/>
      <c r="ED61" s="8"/>
      <c r="EE61" s="8"/>
      <c r="EF61" s="8"/>
      <c r="EG61" s="8"/>
      <c r="EK61" s="8"/>
      <c r="EL61" s="8"/>
      <c r="EM61" s="8"/>
      <c r="EN61" s="8"/>
    </row>
    <row r="62" spans="2:144" outlineLevel="1" x14ac:dyDescent="0.2">
      <c r="B62" t="s">
        <v>28</v>
      </c>
      <c r="C62" t="s">
        <v>91</v>
      </c>
      <c r="E62" s="7"/>
      <c r="F62" t="s">
        <v>156</v>
      </c>
      <c r="G62" s="8"/>
      <c r="I62" s="7">
        <f t="shared" si="2"/>
        <v>10.199999999999999</v>
      </c>
      <c r="J62" s="9" cm="1">
        <f t="array" ref="J62">MAX(IF($N$3:$EH$3=$J$3,N62:EH62))</f>
        <v>0</v>
      </c>
      <c r="K62" s="9" cm="1">
        <f t="array" ref="K62">MAX(IF($N$3:$EH$3=$J$3,N62:EH62))</f>
        <v>0</v>
      </c>
      <c r="L62" s="7"/>
      <c r="O62" s="8"/>
      <c r="P62" s="8"/>
      <c r="Q62" s="8"/>
      <c r="R62" s="8"/>
      <c r="V62" s="8"/>
      <c r="W62" s="8"/>
      <c r="X62" s="8"/>
      <c r="Y62" s="8"/>
      <c r="AC62" s="8"/>
      <c r="AD62" s="8"/>
      <c r="AE62" s="8"/>
      <c r="AF62" s="8"/>
      <c r="AJ62" s="8"/>
      <c r="AK62" s="8"/>
      <c r="AL62" s="8"/>
      <c r="AM62" s="8"/>
      <c r="AQ62" s="8"/>
      <c r="AR62" s="8"/>
      <c r="AS62" s="8"/>
      <c r="AT62" s="8"/>
      <c r="AW62">
        <v>3.4</v>
      </c>
      <c r="AX62" s="8"/>
      <c r="AY62" s="8">
        <v>0.5</v>
      </c>
      <c r="AZ62" s="8"/>
      <c r="BA62" s="8">
        <v>0.5</v>
      </c>
      <c r="BE62" s="8"/>
      <c r="BF62" s="8">
        <v>0.5</v>
      </c>
      <c r="BG62" s="8"/>
      <c r="BH62" s="8">
        <v>0.5</v>
      </c>
      <c r="BL62" s="8"/>
      <c r="BM62" s="8">
        <v>0.5</v>
      </c>
      <c r="BN62" s="8"/>
      <c r="BO62" s="8">
        <v>0.5</v>
      </c>
      <c r="BS62" s="8"/>
      <c r="BT62" s="8">
        <v>0.5</v>
      </c>
      <c r="BU62" s="8"/>
      <c r="BV62" s="8">
        <v>0.5</v>
      </c>
      <c r="BY62">
        <v>3.4</v>
      </c>
      <c r="BZ62" s="8"/>
      <c r="CA62" s="8">
        <v>0.8</v>
      </c>
      <c r="CB62" s="8"/>
      <c r="CC62" s="8">
        <v>0.8</v>
      </c>
      <c r="CG62" s="8"/>
      <c r="CH62" s="8">
        <v>0.8</v>
      </c>
      <c r="CI62" s="8"/>
      <c r="CJ62" s="8">
        <v>0.8</v>
      </c>
      <c r="CM62">
        <v>3.4</v>
      </c>
      <c r="CN62" s="8"/>
      <c r="CO62" s="8">
        <v>1</v>
      </c>
      <c r="CP62" s="8"/>
      <c r="CQ62" s="8">
        <v>1</v>
      </c>
      <c r="CU62" s="8"/>
      <c r="CV62" s="8"/>
      <c r="CW62" s="8"/>
      <c r="CX62" s="8"/>
      <c r="DB62" s="8"/>
      <c r="DC62" s="8"/>
      <c r="DD62" s="8"/>
      <c r="DE62" s="8"/>
      <c r="DI62" s="8"/>
      <c r="DJ62" s="8"/>
      <c r="DK62" s="8"/>
      <c r="DL62" s="8"/>
      <c r="DP62" s="8"/>
      <c r="DQ62" s="8"/>
      <c r="DR62" s="8"/>
      <c r="DS62" s="8"/>
      <c r="DW62" s="8"/>
      <c r="DX62" s="8"/>
      <c r="DY62" s="8"/>
      <c r="DZ62" s="8"/>
      <c r="ED62" s="8"/>
      <c r="EE62" s="8"/>
      <c r="EF62" s="8"/>
      <c r="EG62" s="8"/>
      <c r="EK62" s="8"/>
      <c r="EL62" s="8"/>
      <c r="EM62" s="8"/>
      <c r="EN62" s="8"/>
    </row>
    <row r="64" spans="2:144" s="39" customFormat="1" x14ac:dyDescent="0.2">
      <c r="B64" s="39" t="s">
        <v>27</v>
      </c>
      <c r="C64" s="39" t="s">
        <v>92</v>
      </c>
      <c r="D64" s="40">
        <v>45314</v>
      </c>
      <c r="E64" s="41">
        <v>4</v>
      </c>
      <c r="G64" s="42">
        <f>+SUM(G65:G70)</f>
        <v>0</v>
      </c>
      <c r="I64" s="43">
        <f>+SUM(I65:I70)</f>
        <v>26.200000000000003</v>
      </c>
      <c r="J64" s="44">
        <f>+SUMPRODUCT(G65:G70,J65:J70)</f>
        <v>0</v>
      </c>
      <c r="K64" s="44">
        <f>+SUMPRODUCT(G65:G70,K65:K70)</f>
        <v>0</v>
      </c>
      <c r="L64" s="41"/>
      <c r="N64" s="43">
        <f>+SUM(N65:N70)</f>
        <v>3.7</v>
      </c>
      <c r="U64" s="43">
        <f>+SUM(U65:U70)</f>
        <v>7.4</v>
      </c>
      <c r="AB64" s="43">
        <f>+SUM(AB65:AB70)</f>
        <v>3.7</v>
      </c>
      <c r="AI64" s="43">
        <f>+SUM(AI65:AI70)</f>
        <v>7.4</v>
      </c>
      <c r="AP64" s="43">
        <f>+SUM(AP65:AP70)</f>
        <v>3.7</v>
      </c>
      <c r="AW64" s="43">
        <f>+SUM(AW65:AW70)</f>
        <v>7.4</v>
      </c>
      <c r="BD64" s="43">
        <f>+SUM(BD65:BD70)</f>
        <v>3.7</v>
      </c>
      <c r="BK64" s="43">
        <f>+SUM(BK65:BK70)</f>
        <v>7.4</v>
      </c>
      <c r="BR64" s="43">
        <f>+SUM(BR65:BR70)</f>
        <v>3.7</v>
      </c>
      <c r="BY64" s="43">
        <f>+SUM(BY65:BY70)</f>
        <v>7.4</v>
      </c>
      <c r="CF64" s="43">
        <f>+SUM(CF65:CF70)</f>
        <v>7.4</v>
      </c>
      <c r="CM64" s="43">
        <f>+SUM(CM65:CM70)</f>
        <v>3.7</v>
      </c>
      <c r="CT64" s="43">
        <f>+SUM(CT65:CT70)</f>
        <v>0</v>
      </c>
      <c r="DA64" s="43">
        <f>+SUM(DA65:DA70)</f>
        <v>0</v>
      </c>
      <c r="DH64" s="43">
        <f>+SUM(DH65:DH70)</f>
        <v>0</v>
      </c>
      <c r="DO64" s="43">
        <f>+SUM(DO65:DO70)</f>
        <v>0</v>
      </c>
      <c r="DV64" s="43">
        <f>+SUM(DV65:DV70)</f>
        <v>0</v>
      </c>
      <c r="EC64" s="43">
        <f>+SUM(EC65:EC70)</f>
        <v>0</v>
      </c>
      <c r="EJ64" s="43">
        <f>+SUM(EJ65:EJ70)</f>
        <v>0</v>
      </c>
    </row>
    <row r="65" spans="2:144" outlineLevel="1" x14ac:dyDescent="0.2">
      <c r="B65" t="s">
        <v>28</v>
      </c>
      <c r="C65" t="s">
        <v>92</v>
      </c>
      <c r="E65" s="7"/>
      <c r="F65" t="s">
        <v>112</v>
      </c>
      <c r="G65" s="8"/>
      <c r="I65" s="7">
        <v>4</v>
      </c>
      <c r="J65" s="9" cm="1">
        <f t="array" ref="J65">MAX(IF($N$3:$EH$3=$J$3,N65:EH65))</f>
        <v>0</v>
      </c>
      <c r="K65" s="9" cm="1">
        <f t="array" ref="K65">MAX(IF($N$3:$EH$3=$J$3,N65:EH65))</f>
        <v>0</v>
      </c>
      <c r="L65" s="7"/>
      <c r="N65">
        <v>3.7</v>
      </c>
      <c r="O65" s="8"/>
      <c r="P65" s="8">
        <v>0.5</v>
      </c>
      <c r="Q65" s="8"/>
      <c r="R65" s="8">
        <v>0.5</v>
      </c>
      <c r="V65" s="8"/>
      <c r="W65" s="8">
        <v>0.5</v>
      </c>
      <c r="X65" s="8"/>
      <c r="Y65" s="8">
        <v>0.5</v>
      </c>
      <c r="AB65">
        <v>3.7</v>
      </c>
      <c r="AC65" s="8"/>
      <c r="AD65" s="8">
        <v>0.8</v>
      </c>
      <c r="AE65" s="8"/>
      <c r="AF65" s="8">
        <v>0.8</v>
      </c>
      <c r="AJ65" s="8"/>
      <c r="AK65" s="8">
        <v>0.8</v>
      </c>
      <c r="AL65" s="8"/>
      <c r="AM65" s="8">
        <v>0.8</v>
      </c>
      <c r="AQ65" s="8"/>
      <c r="AR65" s="8">
        <v>0.8</v>
      </c>
      <c r="AS65" s="8"/>
      <c r="AT65" s="8">
        <v>0.8</v>
      </c>
      <c r="AX65" s="8"/>
      <c r="AY65" s="8">
        <v>0.8</v>
      </c>
      <c r="AZ65" s="8"/>
      <c r="BA65" s="8">
        <v>0.8</v>
      </c>
      <c r="BE65" s="8"/>
      <c r="BF65" s="8">
        <v>0.8</v>
      </c>
      <c r="BG65" s="8"/>
      <c r="BH65" s="8">
        <v>0.8</v>
      </c>
      <c r="BK65">
        <v>3.7</v>
      </c>
      <c r="BL65" s="8"/>
      <c r="BM65" s="8">
        <v>1</v>
      </c>
      <c r="BN65" s="8"/>
      <c r="BO65" s="8">
        <v>1</v>
      </c>
      <c r="BS65" s="8"/>
      <c r="BT65" s="8">
        <v>1</v>
      </c>
      <c r="BU65" s="8"/>
      <c r="BV65" s="8">
        <v>1</v>
      </c>
      <c r="BZ65" s="8"/>
      <c r="CA65" s="8">
        <v>1</v>
      </c>
      <c r="CB65" s="8"/>
      <c r="CC65" s="8">
        <v>1</v>
      </c>
      <c r="CG65" s="8"/>
      <c r="CH65" s="8">
        <v>1</v>
      </c>
      <c r="CI65" s="8"/>
      <c r="CJ65" s="8">
        <v>1</v>
      </c>
      <c r="CN65" s="8"/>
      <c r="CO65" s="8">
        <v>1</v>
      </c>
      <c r="CP65" s="8"/>
      <c r="CQ65" s="8">
        <v>1</v>
      </c>
      <c r="CU65" s="8"/>
      <c r="CV65" s="8"/>
      <c r="CW65" s="8"/>
      <c r="CX65" s="8"/>
      <c r="DB65" s="8"/>
      <c r="DC65" s="8"/>
      <c r="DD65" s="8"/>
      <c r="DE65" s="8"/>
      <c r="DI65" s="8"/>
      <c r="DJ65" s="8"/>
      <c r="DK65" s="8"/>
      <c r="DL65" s="8"/>
      <c r="DP65" s="8"/>
      <c r="DQ65" s="8"/>
      <c r="DR65" s="8"/>
      <c r="DS65" s="8"/>
      <c r="DW65" s="8"/>
      <c r="DX65" s="8"/>
      <c r="DY65" s="8"/>
      <c r="DZ65" s="8"/>
      <c r="ED65" s="8"/>
      <c r="EE65" s="8"/>
      <c r="EF65" s="8"/>
      <c r="EG65" s="8"/>
      <c r="EK65" s="8"/>
      <c r="EL65" s="8"/>
      <c r="EM65" s="8"/>
      <c r="EN65" s="8"/>
    </row>
    <row r="66" spans="2:144" outlineLevel="1" x14ac:dyDescent="0.2">
      <c r="B66" t="s">
        <v>28</v>
      </c>
      <c r="C66" t="s">
        <v>92</v>
      </c>
      <c r="E66" s="7"/>
      <c r="F66" t="s">
        <v>113</v>
      </c>
      <c r="G66" s="8"/>
      <c r="I66" s="7">
        <v>0</v>
      </c>
      <c r="J66" s="9" cm="1">
        <f t="array" ref="J66">MAX(IF($N$3:$EH$3=$J$3,N66:EH66))</f>
        <v>0</v>
      </c>
      <c r="K66" s="9" cm="1">
        <f t="array" ref="K66">MAX(IF($N$3:$EH$3=$J$3,N66:EH66))</f>
        <v>0</v>
      </c>
      <c r="L66" s="7"/>
      <c r="O66" s="8"/>
      <c r="P66" s="8"/>
      <c r="Q66" s="8"/>
      <c r="R66" s="8"/>
      <c r="U66">
        <v>3.7</v>
      </c>
      <c r="V66" s="8"/>
      <c r="W66" s="8">
        <v>0.5</v>
      </c>
      <c r="X66" s="8"/>
      <c r="Y66" s="8">
        <v>0.5</v>
      </c>
      <c r="AC66" s="8"/>
      <c r="AD66" s="8">
        <v>0.5</v>
      </c>
      <c r="AE66" s="8"/>
      <c r="AF66" s="8">
        <v>0.5</v>
      </c>
      <c r="AI66">
        <v>3.7</v>
      </c>
      <c r="AJ66" s="8"/>
      <c r="AK66" s="8">
        <v>0.8</v>
      </c>
      <c r="AL66" s="8"/>
      <c r="AM66" s="8">
        <v>0.8</v>
      </c>
      <c r="AQ66" s="8"/>
      <c r="AR66" s="8">
        <v>0.8</v>
      </c>
      <c r="AS66" s="8"/>
      <c r="AT66" s="8">
        <v>0.8</v>
      </c>
      <c r="AX66" s="8"/>
      <c r="AY66" s="8">
        <v>0.8</v>
      </c>
      <c r="AZ66" s="8"/>
      <c r="BA66" s="8">
        <v>0.8</v>
      </c>
      <c r="BE66" s="8"/>
      <c r="BF66" s="8">
        <v>0.8</v>
      </c>
      <c r="BG66" s="8"/>
      <c r="BH66" s="8">
        <v>0.8</v>
      </c>
      <c r="BL66" s="8"/>
      <c r="BM66" s="8">
        <v>0.8</v>
      </c>
      <c r="BN66" s="8"/>
      <c r="BO66" s="8">
        <v>0.8</v>
      </c>
      <c r="BR66">
        <v>3.7</v>
      </c>
      <c r="BS66" s="8"/>
      <c r="BT66" s="8">
        <v>1</v>
      </c>
      <c r="BU66" s="8"/>
      <c r="BV66" s="8">
        <v>1</v>
      </c>
      <c r="BZ66" s="8"/>
      <c r="CA66" s="8">
        <v>1</v>
      </c>
      <c r="CB66" s="8"/>
      <c r="CC66" s="8">
        <v>1</v>
      </c>
      <c r="CG66" s="8"/>
      <c r="CH66" s="8">
        <v>1</v>
      </c>
      <c r="CI66" s="8"/>
      <c r="CJ66" s="8">
        <v>1</v>
      </c>
      <c r="CN66" s="8"/>
      <c r="CO66" s="8">
        <v>1</v>
      </c>
      <c r="CP66" s="8"/>
      <c r="CQ66" s="8">
        <v>1</v>
      </c>
      <c r="CU66" s="8"/>
      <c r="CV66" s="8"/>
      <c r="CW66" s="8"/>
      <c r="CX66" s="8"/>
      <c r="DB66" s="8"/>
      <c r="DC66" s="8"/>
      <c r="DD66" s="8"/>
      <c r="DE66" s="8"/>
      <c r="DI66" s="8"/>
      <c r="DJ66" s="8"/>
      <c r="DK66" s="8"/>
      <c r="DL66" s="8"/>
      <c r="DP66" s="8"/>
      <c r="DQ66" s="8"/>
      <c r="DR66" s="8"/>
      <c r="DS66" s="8"/>
      <c r="DW66" s="8"/>
      <c r="DX66" s="8"/>
      <c r="DY66" s="8"/>
      <c r="DZ66" s="8"/>
      <c r="ED66" s="8"/>
      <c r="EE66" s="8"/>
      <c r="EF66" s="8"/>
      <c r="EG66" s="8"/>
      <c r="EK66" s="8"/>
      <c r="EL66" s="8"/>
      <c r="EM66" s="8"/>
      <c r="EN66" s="8"/>
    </row>
    <row r="67" spans="2:144" outlineLevel="1" x14ac:dyDescent="0.2">
      <c r="B67" t="s">
        <v>28</v>
      </c>
      <c r="C67" t="s">
        <v>92</v>
      </c>
      <c r="E67" s="7"/>
      <c r="F67" t="s">
        <v>114</v>
      </c>
      <c r="G67" s="8"/>
      <c r="I67" s="7">
        <v>0</v>
      </c>
      <c r="J67" s="9" cm="1">
        <f t="array" ref="J67">MAX(IF($N$3:$EH$3=$J$3,N67:EH67))</f>
        <v>0</v>
      </c>
      <c r="K67" s="9" cm="1">
        <f t="array" ref="K67">MAX(IF($N$3:$EH$3=$J$3,N67:EH67))</f>
        <v>0</v>
      </c>
      <c r="L67" s="7"/>
      <c r="O67" s="8"/>
      <c r="P67" s="8"/>
      <c r="Q67" s="8"/>
      <c r="R67" s="8"/>
      <c r="U67">
        <v>3.7</v>
      </c>
      <c r="V67" s="8"/>
      <c r="W67" s="8">
        <v>0.5</v>
      </c>
      <c r="X67" s="8"/>
      <c r="Y67" s="8">
        <v>0.5</v>
      </c>
      <c r="AC67" s="8"/>
      <c r="AD67" s="8">
        <v>0.5</v>
      </c>
      <c r="AE67" s="8"/>
      <c r="AF67" s="8">
        <v>0.5</v>
      </c>
      <c r="AJ67" s="8"/>
      <c r="AK67" s="8">
        <v>0.5</v>
      </c>
      <c r="AL67" s="8"/>
      <c r="AM67" s="8">
        <v>0.5</v>
      </c>
      <c r="AP67">
        <v>3.7</v>
      </c>
      <c r="AQ67" s="8"/>
      <c r="AR67" s="8">
        <v>0.8</v>
      </c>
      <c r="AS67" s="8"/>
      <c r="AT67" s="8">
        <v>0.8</v>
      </c>
      <c r="AX67" s="8"/>
      <c r="AY67" s="8">
        <v>0.8</v>
      </c>
      <c r="AZ67" s="8"/>
      <c r="BA67" s="8">
        <v>0.8</v>
      </c>
      <c r="BE67" s="8"/>
      <c r="BF67" s="8">
        <v>0.8</v>
      </c>
      <c r="BG67" s="8"/>
      <c r="BH67" s="8">
        <v>0.8</v>
      </c>
      <c r="BL67" s="8"/>
      <c r="BM67" s="8">
        <v>0.8</v>
      </c>
      <c r="BN67" s="8"/>
      <c r="BO67" s="8">
        <v>0.8</v>
      </c>
      <c r="BS67" s="8"/>
      <c r="BT67" s="8">
        <v>0.8</v>
      </c>
      <c r="BU67" s="8"/>
      <c r="BV67" s="8">
        <v>0.8</v>
      </c>
      <c r="BY67">
        <v>3.7</v>
      </c>
      <c r="BZ67" s="8"/>
      <c r="CA67" s="8">
        <v>1</v>
      </c>
      <c r="CB67" s="8"/>
      <c r="CC67" s="8">
        <v>1</v>
      </c>
      <c r="CG67" s="8"/>
      <c r="CH67" s="8">
        <v>1</v>
      </c>
      <c r="CI67" s="8"/>
      <c r="CJ67" s="8">
        <v>1</v>
      </c>
      <c r="CN67" s="8"/>
      <c r="CO67" s="8">
        <v>1</v>
      </c>
      <c r="CP67" s="8"/>
      <c r="CQ67" s="8">
        <v>1</v>
      </c>
      <c r="CU67" s="8"/>
      <c r="CV67" s="8"/>
      <c r="CW67" s="8"/>
      <c r="CX67" s="8"/>
      <c r="DB67" s="8"/>
      <c r="DC67" s="8"/>
      <c r="DD67" s="8"/>
      <c r="DE67" s="8"/>
      <c r="DI67" s="8"/>
      <c r="DJ67" s="8"/>
      <c r="DK67" s="8"/>
      <c r="DL67" s="8"/>
      <c r="DP67" s="8"/>
      <c r="DQ67" s="8"/>
      <c r="DR67" s="8"/>
      <c r="DS67" s="8"/>
      <c r="DW67" s="8"/>
      <c r="DX67" s="8"/>
      <c r="DY67" s="8"/>
      <c r="DZ67" s="8"/>
      <c r="ED67" s="8"/>
      <c r="EE67" s="8"/>
      <c r="EF67" s="8"/>
      <c r="EG67" s="8"/>
      <c r="EK67" s="8"/>
      <c r="EL67" s="8"/>
      <c r="EM67" s="8"/>
      <c r="EN67" s="8"/>
    </row>
    <row r="68" spans="2:144" outlineLevel="1" x14ac:dyDescent="0.2">
      <c r="B68" t="s">
        <v>28</v>
      </c>
      <c r="C68" t="s">
        <v>92</v>
      </c>
      <c r="E68" s="7"/>
      <c r="F68" t="s">
        <v>115</v>
      </c>
      <c r="G68" s="8"/>
      <c r="I68" s="7">
        <v>0</v>
      </c>
      <c r="J68" s="9" cm="1">
        <f t="array" ref="J68">MAX(IF($N$3:$EH$3=$J$3,N68:EH68))</f>
        <v>0</v>
      </c>
      <c r="K68" s="9" cm="1">
        <f t="array" ref="K68">MAX(IF($N$3:$EH$3=$J$3,N68:EH68))</f>
        <v>0</v>
      </c>
      <c r="L68" s="7"/>
      <c r="O68" s="8"/>
      <c r="P68" s="8"/>
      <c r="Q68" s="8"/>
      <c r="R68" s="8"/>
      <c r="V68" s="8"/>
      <c r="W68" s="8"/>
      <c r="X68" s="8"/>
      <c r="Y68" s="8"/>
      <c r="AC68" s="8"/>
      <c r="AD68" s="8"/>
      <c r="AE68" s="8"/>
      <c r="AF68" s="8"/>
      <c r="AI68">
        <v>3.7</v>
      </c>
      <c r="AJ68" s="8"/>
      <c r="AK68" s="8">
        <v>0.5</v>
      </c>
      <c r="AL68" s="8"/>
      <c r="AM68" s="8">
        <v>0.5</v>
      </c>
      <c r="AQ68" s="8"/>
      <c r="AR68" s="8">
        <v>0.5</v>
      </c>
      <c r="AS68" s="8"/>
      <c r="AT68" s="8">
        <v>0.5</v>
      </c>
      <c r="AX68" s="8"/>
      <c r="AY68" s="8">
        <v>0.5</v>
      </c>
      <c r="AZ68" s="8"/>
      <c r="BA68" s="8">
        <v>0.5</v>
      </c>
      <c r="BD68">
        <v>3.7</v>
      </c>
      <c r="BE68" s="8"/>
      <c r="BF68" s="8">
        <v>0.8</v>
      </c>
      <c r="BG68" s="8"/>
      <c r="BH68" s="8">
        <v>0.8</v>
      </c>
      <c r="BL68" s="8"/>
      <c r="BM68" s="8">
        <v>0.8</v>
      </c>
      <c r="BN68" s="8"/>
      <c r="BO68" s="8">
        <v>0.8</v>
      </c>
      <c r="BS68" s="8"/>
      <c r="BT68" s="8">
        <v>0.8</v>
      </c>
      <c r="BU68" s="8"/>
      <c r="BV68" s="8">
        <v>0.8</v>
      </c>
      <c r="BZ68" s="8"/>
      <c r="CA68" s="8">
        <v>0.8</v>
      </c>
      <c r="CB68" s="8"/>
      <c r="CC68" s="8">
        <v>0.8</v>
      </c>
      <c r="CF68">
        <v>3.7</v>
      </c>
      <c r="CG68" s="8"/>
      <c r="CH68" s="8">
        <v>1</v>
      </c>
      <c r="CI68" s="8"/>
      <c r="CJ68" s="8">
        <v>1</v>
      </c>
      <c r="CN68" s="8"/>
      <c r="CO68" s="8">
        <v>1</v>
      </c>
      <c r="CP68" s="8"/>
      <c r="CQ68" s="8">
        <v>1</v>
      </c>
      <c r="CU68" s="8"/>
      <c r="CV68" s="8"/>
      <c r="CW68" s="8"/>
      <c r="CX68" s="8"/>
      <c r="DB68" s="8"/>
      <c r="DC68" s="8"/>
      <c r="DD68" s="8"/>
      <c r="DE68" s="8"/>
      <c r="DI68" s="8"/>
      <c r="DJ68" s="8"/>
      <c r="DK68" s="8"/>
      <c r="DL68" s="8"/>
      <c r="DP68" s="8"/>
      <c r="DQ68" s="8"/>
      <c r="DR68" s="8"/>
      <c r="DS68" s="8"/>
      <c r="DW68" s="8"/>
      <c r="DX68" s="8"/>
      <c r="DY68" s="8"/>
      <c r="DZ68" s="8"/>
      <c r="ED68" s="8"/>
      <c r="EE68" s="8"/>
      <c r="EF68" s="8"/>
      <c r="EG68" s="8"/>
      <c r="EK68" s="8"/>
      <c r="EL68" s="8"/>
      <c r="EM68" s="8"/>
      <c r="EN68" s="8"/>
    </row>
    <row r="69" spans="2:144" outlineLevel="1" x14ac:dyDescent="0.2">
      <c r="B69" t="s">
        <v>28</v>
      </c>
      <c r="C69" t="s">
        <v>92</v>
      </c>
      <c r="E69" s="7"/>
      <c r="F69" t="s">
        <v>116</v>
      </c>
      <c r="G69" s="8"/>
      <c r="I69" s="7">
        <f t="shared" ref="I69:I70" si="3">+SUMIF($N$3:$ZZ$3,I$3,$N69:$ZZ69)</f>
        <v>11.100000000000001</v>
      </c>
      <c r="J69" s="9" cm="1">
        <f t="array" ref="J69">MAX(IF($N$3:$EH$3=$J$3,N69:EH69))</f>
        <v>0</v>
      </c>
      <c r="K69" s="9" cm="1">
        <f t="array" ref="K69">MAX(IF($N$3:$EH$3=$J$3,N69:EH69))</f>
        <v>0</v>
      </c>
      <c r="L69" s="7"/>
      <c r="O69" s="8"/>
      <c r="P69" s="8"/>
      <c r="Q69" s="8"/>
      <c r="R69" s="8"/>
      <c r="V69" s="8"/>
      <c r="W69" s="8"/>
      <c r="X69" s="8"/>
      <c r="Y69" s="8"/>
      <c r="AC69" s="8"/>
      <c r="AD69" s="8"/>
      <c r="AE69" s="8"/>
      <c r="AF69" s="8"/>
      <c r="AJ69" s="8"/>
      <c r="AK69" s="8"/>
      <c r="AL69" s="8"/>
      <c r="AM69" s="8"/>
      <c r="AQ69" s="8"/>
      <c r="AR69" s="8"/>
      <c r="AS69" s="8"/>
      <c r="AT69" s="8"/>
      <c r="AW69">
        <v>3.7</v>
      </c>
      <c r="AX69" s="8"/>
      <c r="AY69" s="8">
        <v>0.5</v>
      </c>
      <c r="AZ69" s="8"/>
      <c r="BA69" s="8">
        <v>0.5</v>
      </c>
      <c r="BE69" s="8"/>
      <c r="BF69" s="8">
        <v>0.5</v>
      </c>
      <c r="BG69" s="8"/>
      <c r="BH69" s="8">
        <v>0.5</v>
      </c>
      <c r="BK69">
        <v>3.7</v>
      </c>
      <c r="BL69" s="8"/>
      <c r="BM69" s="8">
        <v>0.8</v>
      </c>
      <c r="BN69" s="8"/>
      <c r="BO69" s="8">
        <v>0.8</v>
      </c>
      <c r="BS69" s="8"/>
      <c r="BT69" s="8">
        <v>0.8</v>
      </c>
      <c r="BU69" s="8"/>
      <c r="BV69" s="8">
        <v>0.8</v>
      </c>
      <c r="BZ69" s="8"/>
      <c r="CA69" s="8">
        <v>0.8</v>
      </c>
      <c r="CB69" s="8"/>
      <c r="CC69" s="8">
        <v>0.8</v>
      </c>
      <c r="CF69">
        <v>3.7</v>
      </c>
      <c r="CG69" s="8"/>
      <c r="CH69" s="8">
        <v>1</v>
      </c>
      <c r="CI69" s="8"/>
      <c r="CJ69" s="8">
        <v>1</v>
      </c>
      <c r="CN69" s="8"/>
      <c r="CO69" s="8">
        <v>1</v>
      </c>
      <c r="CP69" s="8"/>
      <c r="CQ69" s="8">
        <v>1</v>
      </c>
      <c r="CU69" s="8"/>
      <c r="CV69" s="8"/>
      <c r="CW69" s="8"/>
      <c r="CX69" s="8"/>
      <c r="DB69" s="8"/>
      <c r="DC69" s="8"/>
      <c r="DD69" s="8"/>
      <c r="DE69" s="8"/>
      <c r="DI69" s="8"/>
      <c r="DJ69" s="8"/>
      <c r="DK69" s="8"/>
      <c r="DL69" s="8"/>
      <c r="DP69" s="8"/>
      <c r="DQ69" s="8"/>
      <c r="DR69" s="8"/>
      <c r="DS69" s="8"/>
      <c r="DW69" s="8"/>
      <c r="DX69" s="8"/>
      <c r="DY69" s="8"/>
      <c r="DZ69" s="8"/>
      <c r="ED69" s="8"/>
      <c r="EE69" s="8"/>
      <c r="EF69" s="8"/>
      <c r="EG69" s="8"/>
      <c r="EK69" s="8"/>
      <c r="EL69" s="8"/>
      <c r="EM69" s="8"/>
      <c r="EN69" s="8"/>
    </row>
    <row r="70" spans="2:144" outlineLevel="1" x14ac:dyDescent="0.2">
      <c r="B70" t="s">
        <v>28</v>
      </c>
      <c r="C70" t="s">
        <v>92</v>
      </c>
      <c r="E70" s="7"/>
      <c r="F70" t="s">
        <v>117</v>
      </c>
      <c r="G70" s="8"/>
      <c r="I70" s="7">
        <f t="shared" si="3"/>
        <v>11.100000000000001</v>
      </c>
      <c r="J70" s="9" cm="1">
        <f t="array" ref="J70">MAX(IF($N$3:$EH$3=$J$3,N70:EH70))</f>
        <v>0</v>
      </c>
      <c r="K70" s="9" cm="1">
        <f t="array" ref="K70">MAX(IF($N$3:$EH$3=$J$3,N70:EH70))</f>
        <v>0</v>
      </c>
      <c r="L70" s="7"/>
      <c r="O70" s="8"/>
      <c r="P70" s="8"/>
      <c r="Q70" s="8"/>
      <c r="R70" s="8"/>
      <c r="V70" s="8"/>
      <c r="W70" s="8"/>
      <c r="X70" s="8"/>
      <c r="Y70" s="8"/>
      <c r="AC70" s="8"/>
      <c r="AD70" s="8"/>
      <c r="AE70" s="8"/>
      <c r="AF70" s="8"/>
      <c r="AJ70" s="8"/>
      <c r="AK70" s="8"/>
      <c r="AL70" s="8"/>
      <c r="AM70" s="8"/>
      <c r="AQ70" s="8"/>
      <c r="AR70" s="8"/>
      <c r="AS70" s="8"/>
      <c r="AT70" s="8"/>
      <c r="AW70">
        <v>3.7</v>
      </c>
      <c r="AX70" s="8"/>
      <c r="AY70" s="8">
        <v>0.5</v>
      </c>
      <c r="AZ70" s="8"/>
      <c r="BA70" s="8">
        <v>0.5</v>
      </c>
      <c r="BE70" s="8"/>
      <c r="BF70" s="8">
        <v>0.5</v>
      </c>
      <c r="BG70" s="8"/>
      <c r="BH70" s="8">
        <v>0.5</v>
      </c>
      <c r="BL70" s="8"/>
      <c r="BM70" s="8">
        <v>0.5</v>
      </c>
      <c r="BN70" s="8"/>
      <c r="BO70" s="8">
        <v>0.5</v>
      </c>
      <c r="BS70" s="8"/>
      <c r="BT70" s="8">
        <v>0.5</v>
      </c>
      <c r="BU70" s="8"/>
      <c r="BV70" s="8">
        <v>0.5</v>
      </c>
      <c r="BY70">
        <v>3.7</v>
      </c>
      <c r="BZ70" s="8"/>
      <c r="CA70" s="8">
        <v>0.8</v>
      </c>
      <c r="CB70" s="8"/>
      <c r="CC70" s="8">
        <v>0.8</v>
      </c>
      <c r="CG70" s="8"/>
      <c r="CH70" s="8">
        <v>0.8</v>
      </c>
      <c r="CI70" s="8"/>
      <c r="CJ70" s="8">
        <v>0.8</v>
      </c>
      <c r="CM70">
        <v>3.7</v>
      </c>
      <c r="CN70" s="8"/>
      <c r="CO70" s="8">
        <v>1</v>
      </c>
      <c r="CP70" s="8"/>
      <c r="CQ70" s="8">
        <v>1</v>
      </c>
      <c r="CU70" s="8"/>
      <c r="CV70" s="8"/>
      <c r="CW70" s="8"/>
      <c r="CX70" s="8"/>
      <c r="DB70" s="8"/>
      <c r="DC70" s="8"/>
      <c r="DD70" s="8"/>
      <c r="DE70" s="8"/>
      <c r="DI70" s="8"/>
      <c r="DJ70" s="8"/>
      <c r="DK70" s="8"/>
      <c r="DL70" s="8"/>
      <c r="DP70" s="8"/>
      <c r="DQ70" s="8"/>
      <c r="DR70" s="8"/>
      <c r="DS70" s="8"/>
      <c r="DW70" s="8"/>
      <c r="DX70" s="8"/>
      <c r="DY70" s="8"/>
      <c r="DZ70" s="8"/>
      <c r="ED70" s="8"/>
      <c r="EE70" s="8"/>
      <c r="EF70" s="8"/>
      <c r="EG70" s="8"/>
      <c r="EK70" s="8"/>
      <c r="EL70" s="8"/>
      <c r="EM70" s="8"/>
      <c r="EN70" s="8"/>
    </row>
    <row r="72" spans="2:144" s="62" customFormat="1" x14ac:dyDescent="0.2">
      <c r="B72" s="62" t="s">
        <v>27</v>
      </c>
      <c r="C72" s="62" t="s">
        <v>93</v>
      </c>
      <c r="D72" s="63">
        <v>45315</v>
      </c>
      <c r="E72" s="64">
        <v>3</v>
      </c>
      <c r="G72" s="65">
        <f>+SUM(G73:G81)</f>
        <v>0</v>
      </c>
      <c r="I72" s="66">
        <f>+SUM(I73:I81)</f>
        <v>10</v>
      </c>
      <c r="J72" s="67">
        <f>+SUMPRODUCT(G73:G81,J73:J81)</f>
        <v>0</v>
      </c>
      <c r="K72" s="67">
        <f>+SUMPRODUCT(G73:G81,K73:K81)</f>
        <v>0</v>
      </c>
      <c r="L72" s="64"/>
      <c r="N72" s="66">
        <f>+SUM(N73:N81)</f>
        <v>4</v>
      </c>
      <c r="U72" s="66">
        <f>+SUM(U73:U81)</f>
        <v>6</v>
      </c>
      <c r="AB72" s="66">
        <f>+SUM(AB73:AB81)</f>
        <v>4</v>
      </c>
      <c r="AI72" s="66">
        <f>+SUM(AI73:AI81)</f>
        <v>4</v>
      </c>
      <c r="AP72" s="66">
        <f>+SUM(AP73:AP81)</f>
        <v>4</v>
      </c>
      <c r="AW72" s="66">
        <f>+SUM(AW73:AW81)</f>
        <v>6</v>
      </c>
      <c r="BD72" s="66">
        <f>+SUM(BD73:BD81)</f>
        <v>4</v>
      </c>
      <c r="BK72" s="66">
        <f>+SUM(BK73:BK81)</f>
        <v>4</v>
      </c>
      <c r="BR72" s="66">
        <f>+SUM(BR73:BR81)</f>
        <v>6</v>
      </c>
      <c r="BY72" s="66">
        <f>+SUM(BY73:BY81)</f>
        <v>4</v>
      </c>
      <c r="CF72" s="66">
        <f>+SUM(CF73:CF81)</f>
        <v>4</v>
      </c>
      <c r="CM72" s="66">
        <f>+SUM(CM73:CM81)</f>
        <v>2</v>
      </c>
      <c r="CO72" s="65"/>
      <c r="CQ72" s="65"/>
      <c r="CT72" s="66">
        <f>+SUM(CT73:CT81)</f>
        <v>0</v>
      </c>
      <c r="DA72" s="66">
        <f>+SUM(DA73:DA81)</f>
        <v>0</v>
      </c>
      <c r="DH72" s="66">
        <f>+SUM(DH73:DH81)</f>
        <v>0</v>
      </c>
      <c r="DO72" s="66">
        <f>+SUM(DO73:DO81)</f>
        <v>0</v>
      </c>
      <c r="DV72" s="66">
        <f>+SUM(DV73:DV81)</f>
        <v>0</v>
      </c>
      <c r="EC72" s="66">
        <f>+SUM(EC73:EC81)</f>
        <v>0</v>
      </c>
      <c r="EJ72" s="66">
        <f>+SUM(EJ73:EJ81)</f>
        <v>0</v>
      </c>
    </row>
    <row r="73" spans="2:144" outlineLevel="1" x14ac:dyDescent="0.2">
      <c r="B73" t="s">
        <v>28</v>
      </c>
      <c r="C73" t="s">
        <v>93</v>
      </c>
      <c r="E73" s="7"/>
      <c r="F73" t="s">
        <v>189</v>
      </c>
      <c r="G73" s="8"/>
      <c r="I73" s="7">
        <v>4</v>
      </c>
      <c r="J73" s="9" cm="1">
        <f t="array" ref="J73">MAX(IF($N$3:$EH$3=$J$3,N73:EH73))</f>
        <v>0</v>
      </c>
      <c r="K73" s="9" cm="1">
        <f t="array" ref="K73">MAX(IF($N$3:$EH$3=$J$3,N73:EH73))</f>
        <v>0</v>
      </c>
      <c r="L73" s="7"/>
      <c r="N73">
        <v>2</v>
      </c>
      <c r="O73" s="8"/>
      <c r="P73" s="8">
        <v>0.5</v>
      </c>
      <c r="Q73" s="8"/>
      <c r="R73" s="8">
        <v>0.5</v>
      </c>
      <c r="V73" s="8"/>
      <c r="W73" s="8">
        <v>0.5</v>
      </c>
      <c r="X73" s="8"/>
      <c r="Y73" s="8">
        <v>0.5</v>
      </c>
      <c r="AB73">
        <v>2</v>
      </c>
      <c r="AC73" s="8"/>
      <c r="AD73" s="8">
        <v>0.8</v>
      </c>
      <c r="AE73" s="8"/>
      <c r="AF73" s="8">
        <v>0.8</v>
      </c>
      <c r="AJ73" s="8"/>
      <c r="AK73" s="8">
        <v>0.8</v>
      </c>
      <c r="AL73" s="8"/>
      <c r="AM73" s="8">
        <v>0.8</v>
      </c>
      <c r="AQ73" s="8"/>
      <c r="AR73" s="8">
        <v>0.8</v>
      </c>
      <c r="AS73" s="8"/>
      <c r="AT73" s="8">
        <v>0.8</v>
      </c>
      <c r="AW73">
        <v>2</v>
      </c>
      <c r="AX73" s="8"/>
      <c r="AY73" s="8">
        <v>1</v>
      </c>
      <c r="AZ73" s="8"/>
      <c r="BA73" s="8">
        <v>1</v>
      </c>
      <c r="BE73" s="8"/>
      <c r="BF73" s="8">
        <v>1</v>
      </c>
      <c r="BG73" s="8"/>
      <c r="BH73" s="8">
        <v>1</v>
      </c>
      <c r="BL73" s="8"/>
      <c r="BM73" s="8">
        <v>1</v>
      </c>
      <c r="BN73" s="8"/>
      <c r="BO73" s="8">
        <v>1</v>
      </c>
      <c r="BS73" s="8"/>
      <c r="BT73" s="8">
        <v>1</v>
      </c>
      <c r="BU73" s="8"/>
      <c r="BV73" s="8">
        <v>1</v>
      </c>
      <c r="BZ73" s="8"/>
      <c r="CA73" s="8">
        <v>1</v>
      </c>
      <c r="CB73" s="8"/>
      <c r="CC73" s="8">
        <v>1</v>
      </c>
      <c r="CG73" s="8"/>
      <c r="CH73" s="8">
        <v>1</v>
      </c>
      <c r="CI73" s="8"/>
      <c r="CJ73" s="8">
        <v>1</v>
      </c>
      <c r="CN73" s="8"/>
      <c r="CO73" s="8">
        <v>1</v>
      </c>
      <c r="CP73" s="8"/>
      <c r="CQ73" s="8">
        <v>1</v>
      </c>
      <c r="CU73" s="8"/>
      <c r="CV73" s="8"/>
      <c r="CW73" s="8"/>
      <c r="CX73" s="8"/>
      <c r="DB73" s="8"/>
      <c r="DC73" s="8"/>
      <c r="DD73" s="8"/>
      <c r="DE73" s="8"/>
      <c r="DI73" s="8"/>
      <c r="DJ73" s="8"/>
      <c r="DK73" s="8"/>
      <c r="DL73" s="8"/>
      <c r="DP73" s="8"/>
      <c r="DQ73" s="8"/>
      <c r="DR73" s="8"/>
      <c r="DS73" s="8"/>
      <c r="DW73" s="8"/>
      <c r="DX73" s="8"/>
      <c r="DY73" s="8"/>
      <c r="DZ73" s="8"/>
      <c r="ED73" s="8"/>
      <c r="EE73" s="8"/>
      <c r="EF73" s="8"/>
      <c r="EG73" s="8"/>
      <c r="EK73" s="8"/>
      <c r="EL73" s="8"/>
      <c r="EM73" s="8"/>
      <c r="EN73" s="8"/>
    </row>
    <row r="74" spans="2:144" outlineLevel="1" x14ac:dyDescent="0.2">
      <c r="B74" t="s">
        <v>28</v>
      </c>
      <c r="C74" t="s">
        <v>93</v>
      </c>
      <c r="E74" s="7"/>
      <c r="F74" t="s">
        <v>188</v>
      </c>
      <c r="G74" s="8"/>
      <c r="I74" s="7">
        <v>0</v>
      </c>
      <c r="J74" s="9" cm="1">
        <f t="array" ref="J74">MAX(IF($N$3:$EH$3=$J$3,N74:EH74))</f>
        <v>0</v>
      </c>
      <c r="K74" s="9" cm="1">
        <f t="array" ref="K74">MAX(IF($N$3:$EH$3=$J$3,N74:EH74))</f>
        <v>0</v>
      </c>
      <c r="L74" s="7"/>
      <c r="N74">
        <v>2</v>
      </c>
      <c r="O74" s="8"/>
      <c r="P74" s="8">
        <v>0.5</v>
      </c>
      <c r="Q74" s="8"/>
      <c r="R74" s="8">
        <v>0.5</v>
      </c>
      <c r="V74" s="8"/>
      <c r="W74" s="8">
        <v>0.5</v>
      </c>
      <c r="X74" s="8"/>
      <c r="Y74" s="8">
        <v>0.5</v>
      </c>
      <c r="AC74" s="8"/>
      <c r="AD74" s="8">
        <v>0.5</v>
      </c>
      <c r="AE74" s="8"/>
      <c r="AF74" s="8">
        <v>0.5</v>
      </c>
      <c r="AI74">
        <v>2</v>
      </c>
      <c r="AJ74" s="8"/>
      <c r="AK74" s="8">
        <v>0.8</v>
      </c>
      <c r="AL74" s="8"/>
      <c r="AM74" s="8">
        <v>0.8</v>
      </c>
      <c r="AQ74" s="8"/>
      <c r="AR74" s="8">
        <v>0.8</v>
      </c>
      <c r="AS74" s="8"/>
      <c r="AT74" s="8">
        <v>0.8</v>
      </c>
      <c r="AX74" s="8"/>
      <c r="AY74" s="8">
        <v>0.8</v>
      </c>
      <c r="AZ74" s="8"/>
      <c r="BA74" s="8">
        <v>0.8</v>
      </c>
      <c r="BD74">
        <v>2</v>
      </c>
      <c r="BE74" s="8"/>
      <c r="BF74" s="8">
        <v>1</v>
      </c>
      <c r="BG74" s="8"/>
      <c r="BH74" s="8">
        <v>1</v>
      </c>
      <c r="BL74" s="8"/>
      <c r="BM74" s="8">
        <v>1</v>
      </c>
      <c r="BN74" s="8"/>
      <c r="BO74" s="8">
        <v>1</v>
      </c>
      <c r="BS74" s="8"/>
      <c r="BT74" s="8">
        <v>1</v>
      </c>
      <c r="BU74" s="8"/>
      <c r="BV74" s="8">
        <v>1</v>
      </c>
      <c r="BZ74" s="8"/>
      <c r="CA74" s="8">
        <v>1</v>
      </c>
      <c r="CB74" s="8"/>
      <c r="CC74" s="8">
        <v>1</v>
      </c>
      <c r="CG74" s="8"/>
      <c r="CH74" s="8">
        <v>1</v>
      </c>
      <c r="CI74" s="8"/>
      <c r="CJ74" s="8">
        <v>1</v>
      </c>
      <c r="CN74" s="8"/>
      <c r="CO74" s="8">
        <v>1</v>
      </c>
      <c r="CP74" s="8"/>
      <c r="CQ74" s="8">
        <v>1</v>
      </c>
      <c r="CU74" s="8"/>
      <c r="CV74" s="8"/>
      <c r="CW74" s="8"/>
      <c r="CX74" s="8"/>
      <c r="DB74" s="8"/>
      <c r="DC74" s="8"/>
      <c r="DD74" s="8"/>
      <c r="DE74" s="8"/>
      <c r="DI74" s="8"/>
      <c r="DJ74" s="8"/>
      <c r="DK74" s="8"/>
      <c r="DL74" s="8"/>
      <c r="DP74" s="8"/>
      <c r="DQ74" s="8"/>
      <c r="DR74" s="8"/>
      <c r="DS74" s="8"/>
      <c r="DW74" s="8"/>
      <c r="DX74" s="8"/>
      <c r="DY74" s="8"/>
      <c r="DZ74" s="8"/>
      <c r="ED74" s="8"/>
      <c r="EE74" s="8"/>
      <c r="EF74" s="8"/>
      <c r="EG74" s="8"/>
      <c r="EK74" s="8"/>
      <c r="EL74" s="8"/>
      <c r="EM74" s="8"/>
      <c r="EN74" s="8"/>
    </row>
    <row r="75" spans="2:144" outlineLevel="1" x14ac:dyDescent="0.2">
      <c r="B75" t="s">
        <v>28</v>
      </c>
      <c r="C75" t="s">
        <v>93</v>
      </c>
      <c r="E75" s="7"/>
      <c r="F75" t="s">
        <v>190</v>
      </c>
      <c r="G75" s="8"/>
      <c r="I75" s="7">
        <v>0</v>
      </c>
      <c r="J75" s="9" cm="1">
        <f t="array" ref="J75">MAX(IF($N$3:$EH$3=$J$3,N75:EH75))</f>
        <v>0</v>
      </c>
      <c r="K75" s="9" cm="1">
        <f t="array" ref="K75">MAX(IF($N$3:$EH$3=$J$3,N75:EH75))</f>
        <v>0</v>
      </c>
      <c r="L75" s="7"/>
      <c r="O75" s="8"/>
      <c r="P75" s="8"/>
      <c r="Q75" s="8"/>
      <c r="R75" s="8"/>
      <c r="V75" s="8"/>
      <c r="W75" s="8">
        <v>0.5</v>
      </c>
      <c r="X75" s="8"/>
      <c r="Y75" s="8">
        <v>0.5</v>
      </c>
      <c r="AC75" s="8"/>
      <c r="AD75" s="8">
        <v>0.5</v>
      </c>
      <c r="AE75" s="8"/>
      <c r="AF75" s="8">
        <v>0.5</v>
      </c>
      <c r="AJ75" s="8"/>
      <c r="AK75" s="8">
        <v>0.5</v>
      </c>
      <c r="AL75" s="8"/>
      <c r="AM75" s="8">
        <v>0.5</v>
      </c>
      <c r="AP75">
        <v>2</v>
      </c>
      <c r="AQ75" s="8"/>
      <c r="AR75" s="8">
        <v>0.8</v>
      </c>
      <c r="AS75" s="8"/>
      <c r="AT75" s="8">
        <v>0.8</v>
      </c>
      <c r="AX75" s="8"/>
      <c r="AY75" s="8">
        <v>0.8</v>
      </c>
      <c r="AZ75" s="8"/>
      <c r="BA75" s="8">
        <v>0.8</v>
      </c>
      <c r="BE75" s="8"/>
      <c r="BF75" s="8">
        <v>0.8</v>
      </c>
      <c r="BG75" s="8"/>
      <c r="BH75" s="8">
        <v>0.8</v>
      </c>
      <c r="BK75">
        <v>2</v>
      </c>
      <c r="BL75" s="8"/>
      <c r="BM75" s="8">
        <v>1</v>
      </c>
      <c r="BN75" s="8"/>
      <c r="BO75" s="8">
        <v>1</v>
      </c>
      <c r="BS75" s="8"/>
      <c r="BT75" s="8">
        <v>1</v>
      </c>
      <c r="BU75" s="8"/>
      <c r="BV75" s="8">
        <v>1</v>
      </c>
      <c r="BZ75" s="8"/>
      <c r="CA75" s="8">
        <v>1</v>
      </c>
      <c r="CB75" s="8"/>
      <c r="CC75" s="8">
        <v>1</v>
      </c>
      <c r="CG75" s="8"/>
      <c r="CH75" s="8">
        <v>1</v>
      </c>
      <c r="CI75" s="8"/>
      <c r="CJ75" s="8">
        <v>1</v>
      </c>
      <c r="CN75" s="8"/>
      <c r="CO75" s="8">
        <v>1</v>
      </c>
      <c r="CP75" s="8"/>
      <c r="CQ75" s="8">
        <v>1</v>
      </c>
      <c r="CU75" s="8"/>
      <c r="CV75" s="8"/>
      <c r="CW75" s="8"/>
      <c r="CX75" s="8"/>
      <c r="DB75" s="8"/>
      <c r="DC75" s="8"/>
      <c r="DD75" s="8"/>
      <c r="DE75" s="8"/>
      <c r="DI75" s="8"/>
      <c r="DJ75" s="8"/>
      <c r="DK75" s="8"/>
      <c r="DL75" s="8"/>
      <c r="DP75" s="8"/>
      <c r="DQ75" s="8"/>
      <c r="DR75" s="8"/>
      <c r="DS75" s="8"/>
      <c r="DW75" s="8"/>
      <c r="DX75" s="8"/>
      <c r="DY75" s="8"/>
      <c r="DZ75" s="8"/>
      <c r="ED75" s="8"/>
      <c r="EE75" s="8"/>
      <c r="EF75" s="8"/>
      <c r="EG75" s="8"/>
      <c r="EK75" s="8"/>
      <c r="EL75" s="8"/>
      <c r="EM75" s="8"/>
      <c r="EN75" s="8"/>
    </row>
    <row r="76" spans="2:144" outlineLevel="1" x14ac:dyDescent="0.2">
      <c r="B76" t="s">
        <v>28</v>
      </c>
      <c r="C76" t="s">
        <v>93</v>
      </c>
      <c r="E76" s="7"/>
      <c r="F76" t="s">
        <v>191</v>
      </c>
      <c r="G76" s="8"/>
      <c r="I76" s="7">
        <v>0</v>
      </c>
      <c r="J76" s="9" cm="1">
        <f t="array" ref="J76">MAX(IF($N$3:$EH$3=$J$3,N76:EH76))</f>
        <v>0</v>
      </c>
      <c r="K76" s="9" cm="1">
        <f t="array" ref="K76">MAX(IF($N$3:$EH$3=$J$3,N76:EH76))</f>
        <v>0</v>
      </c>
      <c r="L76" s="7"/>
      <c r="O76" s="8"/>
      <c r="P76" s="8"/>
      <c r="Q76" s="8"/>
      <c r="R76" s="8"/>
      <c r="U76">
        <v>2</v>
      </c>
      <c r="V76" s="8"/>
      <c r="W76" s="8">
        <v>0.5</v>
      </c>
      <c r="X76" s="8"/>
      <c r="Y76" s="8">
        <v>0.5</v>
      </c>
      <c r="AC76" s="8"/>
      <c r="AD76" s="8">
        <v>0.5</v>
      </c>
      <c r="AE76" s="8"/>
      <c r="AF76" s="8">
        <v>0.5</v>
      </c>
      <c r="AJ76" s="8"/>
      <c r="AK76" s="8">
        <v>0.5</v>
      </c>
      <c r="AL76" s="8"/>
      <c r="AM76" s="8">
        <v>0.5</v>
      </c>
      <c r="AQ76" s="8"/>
      <c r="AR76" s="8">
        <v>0.5</v>
      </c>
      <c r="AS76" s="8"/>
      <c r="AT76" s="8">
        <v>0.5</v>
      </c>
      <c r="AW76">
        <v>2</v>
      </c>
      <c r="AX76" s="8"/>
      <c r="AY76" s="8">
        <v>0.8</v>
      </c>
      <c r="AZ76" s="8"/>
      <c r="BA76" s="8">
        <v>0.8</v>
      </c>
      <c r="BE76" s="8"/>
      <c r="BF76" s="8">
        <v>0.8</v>
      </c>
      <c r="BG76" s="8"/>
      <c r="BH76" s="8">
        <v>0.8</v>
      </c>
      <c r="BL76" s="8"/>
      <c r="BM76" s="8">
        <v>0.8</v>
      </c>
      <c r="BN76" s="8"/>
      <c r="BO76" s="8">
        <v>0.8</v>
      </c>
      <c r="BR76">
        <v>2</v>
      </c>
      <c r="BS76" s="8"/>
      <c r="BT76" s="8">
        <v>1</v>
      </c>
      <c r="BU76" s="8"/>
      <c r="BV76" s="8">
        <v>1</v>
      </c>
      <c r="BZ76" s="8"/>
      <c r="CA76" s="8">
        <v>1</v>
      </c>
      <c r="CB76" s="8"/>
      <c r="CC76" s="8">
        <v>1</v>
      </c>
      <c r="CG76" s="8"/>
      <c r="CH76" s="8">
        <v>1</v>
      </c>
      <c r="CI76" s="8"/>
      <c r="CJ76" s="8">
        <v>1</v>
      </c>
      <c r="CN76" s="8"/>
      <c r="CO76" s="8">
        <v>1</v>
      </c>
      <c r="CP76" s="8"/>
      <c r="CQ76" s="8">
        <v>1</v>
      </c>
      <c r="CU76" s="8"/>
      <c r="CV76" s="8"/>
      <c r="CW76" s="8"/>
      <c r="CX76" s="8"/>
      <c r="DB76" s="8"/>
      <c r="DC76" s="8"/>
      <c r="DD76" s="8"/>
      <c r="DE76" s="8"/>
      <c r="DI76" s="8"/>
      <c r="DJ76" s="8"/>
      <c r="DK76" s="8"/>
      <c r="DL76" s="8"/>
      <c r="DP76" s="8"/>
      <c r="DQ76" s="8"/>
      <c r="DR76" s="8"/>
      <c r="DS76" s="8"/>
      <c r="DW76" s="8"/>
      <c r="DX76" s="8"/>
      <c r="DY76" s="8"/>
      <c r="DZ76" s="8"/>
      <c r="ED76" s="8"/>
      <c r="EE76" s="8"/>
      <c r="EF76" s="8"/>
      <c r="EG76" s="8"/>
      <c r="EK76" s="8"/>
      <c r="EL76" s="8"/>
      <c r="EM76" s="8"/>
      <c r="EN76" s="8"/>
    </row>
    <row r="77" spans="2:144" outlineLevel="1" x14ac:dyDescent="0.2">
      <c r="B77" t="s">
        <v>28</v>
      </c>
      <c r="C77" t="s">
        <v>93</v>
      </c>
      <c r="E77" s="7"/>
      <c r="F77" t="s">
        <v>192</v>
      </c>
      <c r="G77" s="8"/>
      <c r="I77" s="7">
        <v>0</v>
      </c>
      <c r="J77" s="9" cm="1">
        <f t="array" ref="J77">MAX(IF($N$3:$EH$3=$J$3,N77:EH77))</f>
        <v>0</v>
      </c>
      <c r="K77" s="9" cm="1">
        <f t="array" ref="K77">MAX(IF($N$3:$EH$3=$J$3,N77:EH77))</f>
        <v>0</v>
      </c>
      <c r="L77" s="7"/>
      <c r="O77" s="8"/>
      <c r="P77" s="8"/>
      <c r="Q77" s="8"/>
      <c r="R77" s="8"/>
      <c r="U77">
        <v>2</v>
      </c>
      <c r="V77" s="8"/>
      <c r="W77" s="8">
        <v>0.5</v>
      </c>
      <c r="X77" s="8"/>
      <c r="Y77" s="8">
        <v>0.5</v>
      </c>
      <c r="AC77" s="8"/>
      <c r="AD77" s="8">
        <v>0.5</v>
      </c>
      <c r="AE77" s="8"/>
      <c r="AF77" s="8">
        <v>0.5</v>
      </c>
      <c r="AJ77" s="8"/>
      <c r="AK77" s="8">
        <v>0.5</v>
      </c>
      <c r="AL77" s="8"/>
      <c r="AM77" s="8">
        <v>0.5</v>
      </c>
      <c r="AQ77" s="8"/>
      <c r="AR77" s="8">
        <v>0.5</v>
      </c>
      <c r="AS77" s="8"/>
      <c r="AT77" s="8">
        <v>0.5</v>
      </c>
      <c r="AW77">
        <v>2</v>
      </c>
      <c r="AX77" s="8"/>
      <c r="AY77" s="8">
        <v>0.8</v>
      </c>
      <c r="AZ77" s="8"/>
      <c r="BA77" s="8">
        <v>0.8</v>
      </c>
      <c r="BE77" s="8"/>
      <c r="BF77" s="8">
        <v>0.8</v>
      </c>
      <c r="BG77" s="8"/>
      <c r="BH77" s="8">
        <v>0.8</v>
      </c>
      <c r="BL77" s="8"/>
      <c r="BM77" s="8">
        <v>0.8</v>
      </c>
      <c r="BN77" s="8"/>
      <c r="BO77" s="8">
        <v>0.8</v>
      </c>
      <c r="BS77" s="8"/>
      <c r="BT77" s="8">
        <v>0.8</v>
      </c>
      <c r="BU77" s="8"/>
      <c r="BV77" s="8">
        <v>0.8</v>
      </c>
      <c r="BY77">
        <v>2</v>
      </c>
      <c r="BZ77" s="8"/>
      <c r="CA77" s="8">
        <v>1</v>
      </c>
      <c r="CB77" s="8"/>
      <c r="CC77" s="8">
        <v>1</v>
      </c>
      <c r="CG77" s="8"/>
      <c r="CH77" s="8">
        <v>1</v>
      </c>
      <c r="CI77" s="8"/>
      <c r="CJ77" s="8">
        <v>1</v>
      </c>
      <c r="CN77" s="8"/>
      <c r="CO77" s="8">
        <v>1</v>
      </c>
      <c r="CP77" s="8"/>
      <c r="CQ77" s="8">
        <v>1</v>
      </c>
      <c r="CU77" s="8"/>
      <c r="CV77" s="8"/>
      <c r="CW77" s="8"/>
      <c r="CX77" s="8"/>
      <c r="DB77" s="8"/>
      <c r="DC77" s="8"/>
      <c r="DD77" s="8"/>
      <c r="DE77" s="8"/>
      <c r="DI77" s="8"/>
      <c r="DJ77" s="8"/>
      <c r="DK77" s="8"/>
      <c r="DL77" s="8"/>
      <c r="DP77" s="8"/>
      <c r="DQ77" s="8"/>
      <c r="DR77" s="8"/>
      <c r="DS77" s="8"/>
      <c r="DW77" s="8"/>
      <c r="DX77" s="8"/>
      <c r="DY77" s="8"/>
      <c r="DZ77" s="8"/>
      <c r="ED77" s="8"/>
      <c r="EE77" s="8"/>
      <c r="EF77" s="8"/>
      <c r="EG77" s="8"/>
      <c r="EK77" s="8"/>
      <c r="EL77" s="8"/>
      <c r="EM77" s="8"/>
      <c r="EN77" s="8"/>
    </row>
    <row r="78" spans="2:144" outlineLevel="1" x14ac:dyDescent="0.2">
      <c r="B78" t="s">
        <v>28</v>
      </c>
      <c r="C78" t="s">
        <v>93</v>
      </c>
      <c r="E78" s="7"/>
      <c r="F78" t="s">
        <v>193</v>
      </c>
      <c r="G78" s="8"/>
      <c r="I78" s="7">
        <v>0</v>
      </c>
      <c r="J78" s="9" cm="1">
        <f t="array" ref="J78">MAX(IF($N$3:$EH$3=$J$3,N78:EH78))</f>
        <v>0</v>
      </c>
      <c r="K78" s="9" cm="1">
        <f t="array" ref="K78">MAX(IF($N$3:$EH$3=$J$3,N78:EH78))</f>
        <v>0</v>
      </c>
      <c r="L78" s="7"/>
      <c r="O78" s="8"/>
      <c r="P78" s="8"/>
      <c r="Q78" s="8"/>
      <c r="R78" s="8"/>
      <c r="U78">
        <v>2</v>
      </c>
      <c r="V78" s="8"/>
      <c r="W78" s="8">
        <v>0.5</v>
      </c>
      <c r="X78" s="8"/>
      <c r="Y78" s="8">
        <v>0.5</v>
      </c>
      <c r="AC78" s="8"/>
      <c r="AD78" s="8">
        <v>0.5</v>
      </c>
      <c r="AE78" s="8"/>
      <c r="AF78" s="8">
        <v>0.5</v>
      </c>
      <c r="AJ78" s="8"/>
      <c r="AK78" s="8">
        <v>0.5</v>
      </c>
      <c r="AL78" s="8"/>
      <c r="AM78" s="8">
        <v>0.5</v>
      </c>
      <c r="AQ78" s="8"/>
      <c r="AR78" s="8">
        <v>0.5</v>
      </c>
      <c r="AS78" s="8"/>
      <c r="AT78" s="8">
        <v>0.5</v>
      </c>
      <c r="AX78" s="8"/>
      <c r="AY78" s="8">
        <v>0.5</v>
      </c>
      <c r="AZ78" s="8"/>
      <c r="BA78" s="8">
        <v>0.5</v>
      </c>
      <c r="BD78">
        <v>2</v>
      </c>
      <c r="BE78" s="8"/>
      <c r="BF78" s="8">
        <v>0.8</v>
      </c>
      <c r="BG78" s="8"/>
      <c r="BH78" s="8">
        <v>0.8</v>
      </c>
      <c r="BL78" s="8"/>
      <c r="BM78" s="8">
        <v>0.8</v>
      </c>
      <c r="BN78" s="8"/>
      <c r="BO78" s="8">
        <v>0.8</v>
      </c>
      <c r="BS78" s="8"/>
      <c r="BT78" s="8">
        <v>0.8</v>
      </c>
      <c r="BU78" s="8"/>
      <c r="BV78" s="8">
        <v>0.8</v>
      </c>
      <c r="BY78">
        <v>2</v>
      </c>
      <c r="BZ78" s="8"/>
      <c r="CA78" s="8">
        <v>1</v>
      </c>
      <c r="CB78" s="8"/>
      <c r="CC78" s="8">
        <v>1</v>
      </c>
      <c r="CG78" s="8"/>
      <c r="CH78" s="8">
        <v>1</v>
      </c>
      <c r="CI78" s="8"/>
      <c r="CJ78" s="8">
        <v>1</v>
      </c>
      <c r="CN78" s="8"/>
      <c r="CO78" s="8">
        <v>1</v>
      </c>
      <c r="CP78" s="8"/>
      <c r="CQ78" s="8">
        <v>1</v>
      </c>
      <c r="CU78" s="8"/>
      <c r="CV78" s="8"/>
      <c r="CW78" s="8"/>
      <c r="CX78" s="8"/>
      <c r="DB78" s="8"/>
      <c r="DC78" s="8"/>
      <c r="DD78" s="8"/>
      <c r="DE78" s="8"/>
      <c r="DI78" s="8"/>
      <c r="DJ78" s="8"/>
      <c r="DK78" s="8"/>
      <c r="DL78" s="8"/>
      <c r="DP78" s="8"/>
      <c r="DQ78" s="8"/>
      <c r="DR78" s="8"/>
      <c r="DS78" s="8"/>
      <c r="DW78" s="8"/>
      <c r="DX78" s="8"/>
      <c r="DY78" s="8"/>
      <c r="DZ78" s="8"/>
      <c r="ED78" s="8"/>
      <c r="EE78" s="8"/>
      <c r="EF78" s="8"/>
      <c r="EG78" s="8"/>
      <c r="EK78" s="8"/>
      <c r="EL78" s="8"/>
      <c r="EM78" s="8"/>
      <c r="EN78" s="8"/>
    </row>
    <row r="79" spans="2:144" outlineLevel="1" x14ac:dyDescent="0.2">
      <c r="B79" t="s">
        <v>28</v>
      </c>
      <c r="C79" t="s">
        <v>93</v>
      </c>
      <c r="E79" s="7"/>
      <c r="F79" t="s">
        <v>194</v>
      </c>
      <c r="G79" s="8"/>
      <c r="I79" s="7">
        <v>0</v>
      </c>
      <c r="J79" s="9" cm="1">
        <f t="array" ref="J79">MAX(IF($N$3:$EH$3=$J$3,N79:EH79))</f>
        <v>0</v>
      </c>
      <c r="K79" s="9" cm="1">
        <f t="array" ref="K79">MAX(IF($N$3:$EH$3=$J$3,N79:EH79))</f>
        <v>0</v>
      </c>
      <c r="L79" s="7"/>
      <c r="O79" s="8"/>
      <c r="P79" s="8"/>
      <c r="Q79" s="8"/>
      <c r="R79" s="8"/>
      <c r="V79" s="8"/>
      <c r="W79" s="8"/>
      <c r="X79" s="8"/>
      <c r="Y79" s="8"/>
      <c r="AB79">
        <v>2</v>
      </c>
      <c r="AC79" s="8"/>
      <c r="AD79" s="8">
        <v>0.5</v>
      </c>
      <c r="AE79" s="8"/>
      <c r="AF79" s="8">
        <v>0.5</v>
      </c>
      <c r="AJ79" s="8"/>
      <c r="AK79" s="8">
        <v>0.5</v>
      </c>
      <c r="AL79" s="8"/>
      <c r="AM79" s="8">
        <v>0.5</v>
      </c>
      <c r="AQ79" s="8"/>
      <c r="AR79" s="8">
        <v>0.5</v>
      </c>
      <c r="AS79" s="8"/>
      <c r="AT79" s="8">
        <v>0.5</v>
      </c>
      <c r="AX79" s="8"/>
      <c r="AY79" s="8">
        <v>0.5</v>
      </c>
      <c r="AZ79" s="8"/>
      <c r="BA79" s="8">
        <v>0.5</v>
      </c>
      <c r="BE79" s="8"/>
      <c r="BF79" s="8">
        <v>0.5</v>
      </c>
      <c r="BG79" s="8"/>
      <c r="BH79" s="8">
        <v>0.5</v>
      </c>
      <c r="BK79">
        <v>2</v>
      </c>
      <c r="BL79" s="8"/>
      <c r="BM79" s="8">
        <v>0.8</v>
      </c>
      <c r="BN79" s="8"/>
      <c r="BO79" s="8">
        <v>0.8</v>
      </c>
      <c r="BS79" s="8"/>
      <c r="BT79" s="8">
        <v>0.8</v>
      </c>
      <c r="BU79" s="8"/>
      <c r="BV79" s="8">
        <v>0.8</v>
      </c>
      <c r="BZ79" s="8"/>
      <c r="CA79" s="8">
        <v>0.8</v>
      </c>
      <c r="CB79" s="8"/>
      <c r="CC79" s="8">
        <v>0.8</v>
      </c>
      <c r="CF79">
        <v>2</v>
      </c>
      <c r="CG79" s="8"/>
      <c r="CH79" s="8">
        <v>1</v>
      </c>
      <c r="CI79" s="8"/>
      <c r="CJ79" s="8">
        <v>1</v>
      </c>
      <c r="CN79" s="8"/>
      <c r="CO79" s="8">
        <v>1</v>
      </c>
      <c r="CP79" s="8"/>
      <c r="CQ79" s="8">
        <v>1</v>
      </c>
      <c r="CU79" s="8"/>
      <c r="CV79" s="8"/>
      <c r="CW79" s="8"/>
      <c r="CX79" s="8"/>
      <c r="DB79" s="8"/>
      <c r="DC79" s="8"/>
      <c r="DD79" s="8"/>
      <c r="DE79" s="8"/>
      <c r="DI79" s="8"/>
      <c r="DJ79" s="8"/>
      <c r="DK79" s="8"/>
      <c r="DL79" s="8"/>
      <c r="DP79" s="8"/>
      <c r="DQ79" s="8"/>
      <c r="DR79" s="8"/>
      <c r="DS79" s="8"/>
      <c r="DW79" s="8"/>
      <c r="DX79" s="8"/>
      <c r="DY79" s="8"/>
      <c r="DZ79" s="8"/>
      <c r="ED79" s="8"/>
      <c r="EE79" s="8"/>
      <c r="EF79" s="8"/>
      <c r="EG79" s="8"/>
      <c r="EK79" s="8"/>
      <c r="EL79" s="8"/>
      <c r="EM79" s="8"/>
      <c r="EN79" s="8"/>
    </row>
    <row r="80" spans="2:144" outlineLevel="1" x14ac:dyDescent="0.2">
      <c r="B80" t="s">
        <v>28</v>
      </c>
      <c r="C80" t="s">
        <v>93</v>
      </c>
      <c r="E80" s="7"/>
      <c r="F80" t="s">
        <v>195</v>
      </c>
      <c r="G80" s="8"/>
      <c r="I80" s="7">
        <v>0</v>
      </c>
      <c r="J80" s="9" cm="1">
        <f t="array" ref="J80">MAX(IF($N$3:$EH$3=$J$3,N80:EH80))</f>
        <v>0</v>
      </c>
      <c r="K80" s="9" cm="1">
        <f t="array" ref="K80">MAX(IF($N$3:$EH$3=$J$3,N80:EH80))</f>
        <v>0</v>
      </c>
      <c r="L80" s="7"/>
      <c r="O80" s="8"/>
      <c r="P80" s="8"/>
      <c r="Q80" s="8"/>
      <c r="R80" s="8"/>
      <c r="V80" s="8"/>
      <c r="W80" s="8"/>
      <c r="X80" s="8"/>
      <c r="Y80" s="8"/>
      <c r="AC80" s="8"/>
      <c r="AD80" s="8"/>
      <c r="AE80" s="8"/>
      <c r="AF80" s="8"/>
      <c r="AI80">
        <v>2</v>
      </c>
      <c r="AJ80" s="8"/>
      <c r="AK80" s="8">
        <v>0.5</v>
      </c>
      <c r="AL80" s="8"/>
      <c r="AM80" s="8">
        <v>0.5</v>
      </c>
      <c r="AQ80" s="8"/>
      <c r="AR80" s="8">
        <v>0.5</v>
      </c>
      <c r="AS80" s="8"/>
      <c r="AT80" s="8">
        <v>0.5</v>
      </c>
      <c r="AX80" s="8"/>
      <c r="AY80" s="8">
        <v>0.5</v>
      </c>
      <c r="AZ80" s="8"/>
      <c r="BA80" s="8">
        <v>0.5</v>
      </c>
      <c r="BE80" s="8"/>
      <c r="BF80" s="8">
        <v>0.5</v>
      </c>
      <c r="BG80" s="8"/>
      <c r="BH80" s="8">
        <v>0.5</v>
      </c>
      <c r="BL80" s="8"/>
      <c r="BM80" s="8">
        <v>0.5</v>
      </c>
      <c r="BN80" s="8"/>
      <c r="BO80" s="8">
        <v>0.5</v>
      </c>
      <c r="BR80">
        <v>2</v>
      </c>
      <c r="BS80" s="8"/>
      <c r="BT80" s="8">
        <v>0.8</v>
      </c>
      <c r="BU80" s="8"/>
      <c r="BV80" s="8">
        <v>0.8</v>
      </c>
      <c r="BZ80" s="8"/>
      <c r="CA80" s="8">
        <v>0.8</v>
      </c>
      <c r="CB80" s="8"/>
      <c r="CC80" s="8">
        <v>0.8</v>
      </c>
      <c r="CF80">
        <v>2</v>
      </c>
      <c r="CG80" s="8"/>
      <c r="CH80" s="8">
        <v>1</v>
      </c>
      <c r="CI80" s="8"/>
      <c r="CJ80" s="8">
        <v>1</v>
      </c>
      <c r="CN80" s="8"/>
      <c r="CO80" s="8">
        <v>1</v>
      </c>
      <c r="CP80" s="8"/>
      <c r="CQ80" s="8">
        <v>1</v>
      </c>
      <c r="CU80" s="8"/>
      <c r="CV80" s="8"/>
      <c r="CW80" s="8"/>
      <c r="CX80" s="8"/>
      <c r="DB80" s="8"/>
      <c r="DC80" s="8"/>
      <c r="DD80" s="8"/>
      <c r="DE80" s="8"/>
      <c r="DI80" s="8"/>
      <c r="DJ80" s="8"/>
      <c r="DK80" s="8"/>
      <c r="DL80" s="8"/>
      <c r="DP80" s="8"/>
      <c r="DQ80" s="8"/>
      <c r="DR80" s="8"/>
      <c r="DS80" s="8"/>
      <c r="DW80" s="8"/>
      <c r="DX80" s="8"/>
      <c r="DY80" s="8"/>
      <c r="DZ80" s="8"/>
      <c r="ED80" s="8"/>
      <c r="EE80" s="8"/>
      <c r="EF80" s="8"/>
      <c r="EG80" s="8"/>
      <c r="EK80" s="8"/>
      <c r="EL80" s="8"/>
      <c r="EM80" s="8"/>
      <c r="EN80" s="8"/>
    </row>
    <row r="81" spans="2:144" outlineLevel="1" x14ac:dyDescent="0.2">
      <c r="B81" t="s">
        <v>28</v>
      </c>
      <c r="C81" t="s">
        <v>93</v>
      </c>
      <c r="E81" s="7"/>
      <c r="F81" t="s">
        <v>196</v>
      </c>
      <c r="G81" s="8"/>
      <c r="I81" s="7">
        <f t="shared" ref="I81" si="4">+SUMIF($N$3:$ZZ$3,I$3,$N81:$ZZ81)</f>
        <v>6</v>
      </c>
      <c r="J81" s="9" cm="1">
        <f t="array" ref="J81">MAX(IF($N$3:$EH$3=$J$3,N81:EH81))</f>
        <v>0</v>
      </c>
      <c r="K81" s="9" cm="1">
        <f t="array" ref="K81">MAX(IF($N$3:$EH$3=$J$3,N81:EH81))</f>
        <v>0</v>
      </c>
      <c r="L81" s="7"/>
      <c r="O81" s="8"/>
      <c r="P81" s="8"/>
      <c r="Q81" s="8"/>
      <c r="R81" s="8"/>
      <c r="V81" s="8"/>
      <c r="W81" s="8"/>
      <c r="X81" s="8"/>
      <c r="Y81" s="8"/>
      <c r="AC81" s="8"/>
      <c r="AD81" s="8"/>
      <c r="AE81" s="8"/>
      <c r="AF81" s="8"/>
      <c r="AJ81" s="8"/>
      <c r="AK81" s="8"/>
      <c r="AL81" s="8"/>
      <c r="AM81" s="8"/>
      <c r="AP81">
        <v>2</v>
      </c>
      <c r="AQ81" s="8"/>
      <c r="AR81" s="8">
        <v>0.5</v>
      </c>
      <c r="AS81" s="8"/>
      <c r="AT81" s="8">
        <v>0.5</v>
      </c>
      <c r="AX81" s="8"/>
      <c r="AY81" s="8">
        <v>0.5</v>
      </c>
      <c r="AZ81" s="8"/>
      <c r="BA81" s="8">
        <v>0.5</v>
      </c>
      <c r="BE81" s="8"/>
      <c r="BF81" s="8">
        <v>0.5</v>
      </c>
      <c r="BG81" s="8"/>
      <c r="BH81" s="8">
        <v>0.5</v>
      </c>
      <c r="BL81" s="8"/>
      <c r="BM81" s="8">
        <v>0.5</v>
      </c>
      <c r="BN81" s="8"/>
      <c r="BO81" s="8">
        <v>0.5</v>
      </c>
      <c r="BR81">
        <v>2</v>
      </c>
      <c r="BS81" s="8"/>
      <c r="BT81" s="8">
        <v>0.8</v>
      </c>
      <c r="BU81" s="8"/>
      <c r="BV81" s="8">
        <v>0.8</v>
      </c>
      <c r="BZ81" s="8"/>
      <c r="CA81" s="8">
        <v>0.8</v>
      </c>
      <c r="CB81" s="8"/>
      <c r="CC81" s="8">
        <v>0.8</v>
      </c>
      <c r="CG81" s="8"/>
      <c r="CH81" s="8">
        <v>0.8</v>
      </c>
      <c r="CI81" s="8"/>
      <c r="CJ81" s="8">
        <v>0.8</v>
      </c>
      <c r="CM81">
        <v>2</v>
      </c>
      <c r="CN81" s="8"/>
      <c r="CO81" s="8">
        <v>1</v>
      </c>
      <c r="CP81" s="8"/>
      <c r="CQ81" s="8">
        <v>1</v>
      </c>
      <c r="CU81" s="8"/>
      <c r="CV81" s="8"/>
      <c r="CW81" s="8"/>
      <c r="CX81" s="8"/>
      <c r="DB81" s="8"/>
      <c r="DC81" s="8"/>
      <c r="DD81" s="8"/>
      <c r="DE81" s="8"/>
      <c r="DI81" s="8"/>
      <c r="DJ81" s="8"/>
      <c r="DK81" s="8"/>
      <c r="DL81" s="8"/>
      <c r="DP81" s="8"/>
      <c r="DQ81" s="8"/>
      <c r="DR81" s="8"/>
      <c r="DS81" s="8"/>
      <c r="DW81" s="8"/>
      <c r="DX81" s="8"/>
      <c r="DY81" s="8"/>
      <c r="DZ81" s="8"/>
      <c r="ED81" s="8"/>
      <c r="EE81" s="8"/>
      <c r="EF81" s="8"/>
      <c r="EG81" s="8"/>
      <c r="EK81" s="8"/>
      <c r="EL81" s="8"/>
      <c r="EM81" s="8"/>
      <c r="EN81" s="8"/>
    </row>
    <row r="83" spans="2:144" s="68" customFormat="1" x14ac:dyDescent="0.2">
      <c r="B83" s="68" t="s">
        <v>27</v>
      </c>
      <c r="C83" s="68" t="s">
        <v>94</v>
      </c>
      <c r="D83" s="69">
        <v>45316</v>
      </c>
      <c r="E83" s="70">
        <v>3</v>
      </c>
      <c r="G83" s="71">
        <f>+SUM(G84:G95)</f>
        <v>0</v>
      </c>
      <c r="I83" s="72">
        <f>+SUM(I84:I95)</f>
        <v>7.1999999999999993</v>
      </c>
      <c r="J83" s="73">
        <f>+SUMPRODUCT(G84:G95,J84:J95)</f>
        <v>0</v>
      </c>
      <c r="K83" s="73">
        <f>+SUMPRODUCT(G84:G95,K84:K95)</f>
        <v>0</v>
      </c>
      <c r="L83" s="70"/>
      <c r="N83" s="72">
        <f>+SUM(N84:N95)</f>
        <v>4.1999999999999993</v>
      </c>
      <c r="U83" s="72">
        <f>+SUM(U84:U95)</f>
        <v>4.1999999999999993</v>
      </c>
      <c r="AB83" s="72">
        <f>+SUM(AB84:AB95)</f>
        <v>4.1999999999999993</v>
      </c>
      <c r="AI83" s="72">
        <f>+SUM(AI84:AI95)</f>
        <v>4.1999999999999993</v>
      </c>
      <c r="AP83" s="72">
        <f>+SUM(AP84:AP95)</f>
        <v>4.1999999999999993</v>
      </c>
      <c r="AW83" s="72">
        <f>+SUM(AW84:AW95)</f>
        <v>4.1999999999999993</v>
      </c>
      <c r="BD83" s="72">
        <f>+SUM(BD84:BD95)</f>
        <v>4.1999999999999993</v>
      </c>
      <c r="BK83" s="72">
        <f>+SUM(BK84:BK95)</f>
        <v>4.1999999999999993</v>
      </c>
      <c r="BR83" s="72">
        <f>+SUM(BR84:BR95)</f>
        <v>4.1999999999999993</v>
      </c>
      <c r="BY83" s="72">
        <f>+SUM(BY84:BY95)</f>
        <v>4.1999999999999993</v>
      </c>
      <c r="CF83" s="72">
        <f>+SUM(CF84:CF95)</f>
        <v>4.1999999999999993</v>
      </c>
      <c r="CM83" s="72">
        <f>+SUM(CM84:CM95)</f>
        <v>4.1999999999999993</v>
      </c>
      <c r="CT83" s="72">
        <f>+SUM(CT84:CT95)</f>
        <v>0</v>
      </c>
      <c r="DA83" s="72">
        <f>+SUM(DA84:DA95)</f>
        <v>0</v>
      </c>
      <c r="DH83" s="72">
        <f>+SUM(DH84:DH95)</f>
        <v>0</v>
      </c>
      <c r="DO83" s="72">
        <f>+SUM(DO84:DO95)</f>
        <v>0</v>
      </c>
      <c r="DV83" s="72">
        <f>+SUM(DV84:DV95)</f>
        <v>0</v>
      </c>
      <c r="EC83" s="72">
        <f>+SUM(EC84:EC95)</f>
        <v>0</v>
      </c>
      <c r="EJ83" s="72">
        <f>+SUM(EJ84:EJ95)</f>
        <v>0</v>
      </c>
    </row>
    <row r="84" spans="2:144" outlineLevel="1" x14ac:dyDescent="0.2">
      <c r="B84" t="s">
        <v>28</v>
      </c>
      <c r="C84" t="s">
        <v>94</v>
      </c>
      <c r="E84" s="7"/>
      <c r="F84" t="s">
        <v>197</v>
      </c>
      <c r="G84" s="8"/>
      <c r="I84" s="7">
        <v>3</v>
      </c>
      <c r="J84" s="9" cm="1">
        <f t="array" ref="J84">MAX(IF($N$3:$EH$3=$J$3,N84:EH84))</f>
        <v>0</v>
      </c>
      <c r="K84" s="9" cm="1">
        <f t="array" ref="K84">MAX(IF($N$3:$EH$3=$J$3,N84:EH84))</f>
        <v>0</v>
      </c>
      <c r="L84" s="7"/>
      <c r="N84">
        <v>1.4</v>
      </c>
      <c r="O84" s="8"/>
      <c r="P84" s="8">
        <v>0.5</v>
      </c>
      <c r="Q84" s="8"/>
      <c r="R84" s="8">
        <v>0.5</v>
      </c>
      <c r="V84" s="8"/>
      <c r="W84" s="8">
        <v>0.5</v>
      </c>
      <c r="X84" s="8"/>
      <c r="Y84" s="8">
        <v>0.5</v>
      </c>
      <c r="AB84">
        <v>1.4</v>
      </c>
      <c r="AC84" s="8"/>
      <c r="AD84" s="8">
        <v>0.8</v>
      </c>
      <c r="AE84" s="8"/>
      <c r="AF84" s="8">
        <v>0.8</v>
      </c>
      <c r="AJ84" s="8"/>
      <c r="AK84" s="8">
        <v>0.8</v>
      </c>
      <c r="AL84" s="8"/>
      <c r="AM84" s="8">
        <v>0.8</v>
      </c>
      <c r="AQ84" s="8"/>
      <c r="AR84" s="8">
        <v>0.8</v>
      </c>
      <c r="AS84" s="8"/>
      <c r="AT84" s="8">
        <v>0.8</v>
      </c>
      <c r="AX84" s="8"/>
      <c r="AY84" s="8">
        <v>0.8</v>
      </c>
      <c r="AZ84" s="8"/>
      <c r="BA84" s="8">
        <v>0.8</v>
      </c>
      <c r="BD84">
        <v>1.4</v>
      </c>
      <c r="BE84" s="8"/>
      <c r="BF84" s="8">
        <v>1</v>
      </c>
      <c r="BG84" s="8"/>
      <c r="BH84" s="8">
        <v>1</v>
      </c>
      <c r="BL84" s="8"/>
      <c r="BM84" s="8">
        <v>1</v>
      </c>
      <c r="BN84" s="8"/>
      <c r="BO84" s="8">
        <v>1</v>
      </c>
      <c r="BS84" s="8"/>
      <c r="BT84" s="8">
        <v>1</v>
      </c>
      <c r="BU84" s="8"/>
      <c r="BV84" s="8">
        <v>1</v>
      </c>
      <c r="BZ84" s="8"/>
      <c r="CA84" s="8">
        <v>1</v>
      </c>
      <c r="CB84" s="8"/>
      <c r="CC84" s="8">
        <v>1</v>
      </c>
      <c r="CG84" s="8"/>
      <c r="CH84" s="8">
        <v>1</v>
      </c>
      <c r="CI84" s="8"/>
      <c r="CJ84" s="8">
        <v>1</v>
      </c>
      <c r="CN84" s="8"/>
      <c r="CO84" s="8">
        <v>1</v>
      </c>
      <c r="CP84" s="8"/>
      <c r="CQ84" s="8">
        <v>1</v>
      </c>
      <c r="CU84" s="8"/>
      <c r="CV84" s="8"/>
      <c r="CW84" s="8"/>
      <c r="CX84" s="8"/>
      <c r="DB84" s="8"/>
      <c r="DC84" s="8"/>
      <c r="DD84" s="8"/>
      <c r="DE84" s="8"/>
      <c r="DI84" s="8"/>
      <c r="DJ84" s="8"/>
      <c r="DK84" s="8"/>
      <c r="DL84" s="8"/>
      <c r="DP84" s="8"/>
      <c r="DQ84" s="8"/>
      <c r="DR84" s="8"/>
      <c r="DS84" s="8"/>
      <c r="DW84" s="8"/>
      <c r="DX84" s="8"/>
      <c r="DY84" s="8"/>
      <c r="DZ84" s="8"/>
      <c r="ED84" s="8"/>
      <c r="EE84" s="8"/>
      <c r="EF84" s="8"/>
      <c r="EG84" s="8"/>
      <c r="EK84" s="8"/>
      <c r="EL84" s="8"/>
      <c r="EM84" s="8"/>
      <c r="EN84" s="8"/>
    </row>
    <row r="85" spans="2:144" outlineLevel="1" x14ac:dyDescent="0.2">
      <c r="B85" t="s">
        <v>28</v>
      </c>
      <c r="C85" t="s">
        <v>94</v>
      </c>
      <c r="E85" s="7"/>
      <c r="F85" t="s">
        <v>202</v>
      </c>
      <c r="G85" s="8"/>
      <c r="I85" s="7">
        <v>0</v>
      </c>
      <c r="J85" s="9" cm="1">
        <f t="array" ref="J85">MAX(IF($N$3:$EH$3=$J$3,N85:EH85))</f>
        <v>0</v>
      </c>
      <c r="K85" s="9" cm="1">
        <f t="array" ref="K85">MAX(IF($N$3:$EH$3=$J$3,N85:EH85))</f>
        <v>0</v>
      </c>
      <c r="L85" s="7"/>
      <c r="N85">
        <v>1.4</v>
      </c>
      <c r="O85" s="8"/>
      <c r="P85" s="8">
        <v>0.5</v>
      </c>
      <c r="Q85" s="8"/>
      <c r="R85" s="8">
        <v>0.5</v>
      </c>
      <c r="V85" s="8"/>
      <c r="W85" s="8">
        <v>0.5</v>
      </c>
      <c r="X85" s="8"/>
      <c r="Y85" s="8">
        <v>0.5</v>
      </c>
      <c r="AC85" s="8"/>
      <c r="AD85" s="8">
        <v>0.5</v>
      </c>
      <c r="AE85" s="8"/>
      <c r="AF85" s="8">
        <v>0.5</v>
      </c>
      <c r="AI85">
        <v>1.4</v>
      </c>
      <c r="AJ85" s="8"/>
      <c r="AK85" s="8">
        <v>0.8</v>
      </c>
      <c r="AL85" s="8"/>
      <c r="AM85" s="8">
        <v>0.8</v>
      </c>
      <c r="AQ85" s="8"/>
      <c r="AR85" s="8">
        <v>0.8</v>
      </c>
      <c r="AS85" s="8"/>
      <c r="AT85" s="8">
        <v>0.8</v>
      </c>
      <c r="AX85" s="8"/>
      <c r="AY85" s="8">
        <v>0.8</v>
      </c>
      <c r="AZ85" s="8"/>
      <c r="BA85" s="8">
        <v>0.8</v>
      </c>
      <c r="BE85" s="8"/>
      <c r="BF85" s="8">
        <v>0.8</v>
      </c>
      <c r="BG85" s="8"/>
      <c r="BH85" s="8">
        <v>0.8</v>
      </c>
      <c r="BK85">
        <v>1.4</v>
      </c>
      <c r="BL85" s="8"/>
      <c r="BM85" s="8">
        <v>1</v>
      </c>
      <c r="BN85" s="8"/>
      <c r="BO85" s="8">
        <v>1</v>
      </c>
      <c r="BS85" s="8"/>
      <c r="BT85" s="8">
        <v>1</v>
      </c>
      <c r="BU85" s="8"/>
      <c r="BV85" s="8">
        <v>1</v>
      </c>
      <c r="BZ85" s="8"/>
      <c r="CA85" s="8">
        <v>1</v>
      </c>
      <c r="CB85" s="8"/>
      <c r="CC85" s="8">
        <v>1</v>
      </c>
      <c r="CG85" s="8"/>
      <c r="CH85" s="8">
        <v>1</v>
      </c>
      <c r="CI85" s="8"/>
      <c r="CJ85" s="8">
        <v>1</v>
      </c>
      <c r="CN85" s="8"/>
      <c r="CO85" s="8">
        <v>1</v>
      </c>
      <c r="CP85" s="8"/>
      <c r="CQ85" s="8">
        <v>1</v>
      </c>
      <c r="CU85" s="8"/>
      <c r="CV85" s="8"/>
      <c r="CW85" s="8"/>
      <c r="CX85" s="8"/>
      <c r="DB85" s="8"/>
      <c r="DC85" s="8"/>
      <c r="DD85" s="8"/>
      <c r="DE85" s="8"/>
      <c r="DI85" s="8"/>
      <c r="DJ85" s="8"/>
      <c r="DK85" s="8"/>
      <c r="DL85" s="8"/>
      <c r="DP85" s="8"/>
      <c r="DQ85" s="8"/>
      <c r="DR85" s="8"/>
      <c r="DS85" s="8"/>
      <c r="DW85" s="8"/>
      <c r="DX85" s="8"/>
      <c r="DY85" s="8"/>
      <c r="DZ85" s="8"/>
      <c r="ED85" s="8"/>
      <c r="EE85" s="8"/>
      <c r="EF85" s="8"/>
      <c r="EG85" s="8"/>
      <c r="EK85" s="8"/>
      <c r="EL85" s="8"/>
      <c r="EM85" s="8"/>
      <c r="EN85" s="8"/>
    </row>
    <row r="86" spans="2:144" outlineLevel="1" x14ac:dyDescent="0.2">
      <c r="B86" t="s">
        <v>28</v>
      </c>
      <c r="C86" t="s">
        <v>94</v>
      </c>
      <c r="E86" s="7"/>
      <c r="F86" t="s">
        <v>203</v>
      </c>
      <c r="G86" s="8"/>
      <c r="I86" s="7">
        <v>0</v>
      </c>
      <c r="J86" s="9" cm="1">
        <f t="array" ref="J86">MAX(IF($N$3:$EH$3=$J$3,N86:EH86))</f>
        <v>0</v>
      </c>
      <c r="K86" s="9" cm="1">
        <f t="array" ref="K86">MAX(IF($N$3:$EH$3=$J$3,N86:EH86))</f>
        <v>0</v>
      </c>
      <c r="L86" s="7"/>
      <c r="N86">
        <v>1.4</v>
      </c>
      <c r="O86" s="8"/>
      <c r="P86" s="8">
        <v>0.5</v>
      </c>
      <c r="Q86" s="8"/>
      <c r="R86" s="8">
        <v>0.5</v>
      </c>
      <c r="V86" s="8"/>
      <c r="W86" s="8">
        <v>0.5</v>
      </c>
      <c r="X86" s="8"/>
      <c r="Y86" s="8">
        <v>0.5</v>
      </c>
      <c r="AC86" s="8"/>
      <c r="AD86" s="8">
        <v>0.5</v>
      </c>
      <c r="AE86" s="8"/>
      <c r="AF86" s="8">
        <v>0.5</v>
      </c>
      <c r="AI86">
        <v>1.4</v>
      </c>
      <c r="AJ86" s="8"/>
      <c r="AK86" s="8">
        <v>0.8</v>
      </c>
      <c r="AL86" s="8"/>
      <c r="AM86" s="8">
        <v>0.8</v>
      </c>
      <c r="AQ86" s="8"/>
      <c r="AR86" s="8">
        <v>0.8</v>
      </c>
      <c r="AS86" s="8"/>
      <c r="AT86" s="8">
        <v>0.8</v>
      </c>
      <c r="AX86" s="8"/>
      <c r="AY86" s="8">
        <v>0.8</v>
      </c>
      <c r="AZ86" s="8"/>
      <c r="BA86" s="8">
        <v>0.8</v>
      </c>
      <c r="BE86" s="8"/>
      <c r="BF86" s="8">
        <v>0.8</v>
      </c>
      <c r="BG86" s="8"/>
      <c r="BH86" s="8">
        <v>0.8</v>
      </c>
      <c r="BK86">
        <v>1.4</v>
      </c>
      <c r="BL86" s="8"/>
      <c r="BM86" s="8">
        <v>1</v>
      </c>
      <c r="BN86" s="8"/>
      <c r="BO86" s="8">
        <v>1</v>
      </c>
      <c r="BS86" s="8"/>
      <c r="BT86" s="8">
        <v>1</v>
      </c>
      <c r="BU86" s="8"/>
      <c r="BV86" s="8">
        <v>1</v>
      </c>
      <c r="BZ86" s="8"/>
      <c r="CA86" s="8">
        <v>1</v>
      </c>
      <c r="CB86" s="8"/>
      <c r="CC86" s="8">
        <v>1</v>
      </c>
      <c r="CG86" s="8"/>
      <c r="CH86" s="8">
        <v>1</v>
      </c>
      <c r="CI86" s="8"/>
      <c r="CJ86" s="8">
        <v>1</v>
      </c>
      <c r="CN86" s="8"/>
      <c r="CO86" s="8">
        <v>1</v>
      </c>
      <c r="CP86" s="8"/>
      <c r="CQ86" s="8">
        <v>1</v>
      </c>
      <c r="CU86" s="8"/>
      <c r="CV86" s="8"/>
      <c r="CW86" s="8"/>
      <c r="CX86" s="8"/>
      <c r="DB86" s="8"/>
      <c r="DC86" s="8"/>
      <c r="DD86" s="8"/>
      <c r="DE86" s="8"/>
      <c r="DI86" s="8"/>
      <c r="DJ86" s="8"/>
      <c r="DK86" s="8"/>
      <c r="DL86" s="8"/>
      <c r="DP86" s="8"/>
      <c r="DQ86" s="8"/>
      <c r="DR86" s="8"/>
      <c r="DS86" s="8"/>
      <c r="DW86" s="8"/>
      <c r="DX86" s="8"/>
      <c r="DY86" s="8"/>
      <c r="DZ86" s="8"/>
      <c r="ED86" s="8"/>
      <c r="EE86" s="8"/>
      <c r="EF86" s="8"/>
      <c r="EG86" s="8"/>
      <c r="EK86" s="8"/>
      <c r="EL86" s="8"/>
      <c r="EM86" s="8"/>
      <c r="EN86" s="8"/>
    </row>
    <row r="87" spans="2:144" outlineLevel="1" x14ac:dyDescent="0.2">
      <c r="B87" t="s">
        <v>28</v>
      </c>
      <c r="C87" t="s">
        <v>94</v>
      </c>
      <c r="E87" s="7"/>
      <c r="F87" t="s">
        <v>198</v>
      </c>
      <c r="G87" s="8"/>
      <c r="I87" s="7">
        <v>0</v>
      </c>
      <c r="J87" s="9" cm="1">
        <f t="array" ref="J87">MAX(IF($N$3:$EH$3=$J$3,N87:EH87))</f>
        <v>0</v>
      </c>
      <c r="K87" s="9" cm="1">
        <f t="array" ref="K87">MAX(IF($N$3:$EH$3=$J$3,N87:EH87))</f>
        <v>0</v>
      </c>
      <c r="L87" s="7"/>
      <c r="O87" s="8"/>
      <c r="P87" s="8"/>
      <c r="Q87" s="8"/>
      <c r="R87" s="8"/>
      <c r="U87">
        <v>1.4</v>
      </c>
      <c r="V87" s="8"/>
      <c r="W87" s="8">
        <v>0.5</v>
      </c>
      <c r="X87" s="8"/>
      <c r="Y87" s="8">
        <v>0.5</v>
      </c>
      <c r="AC87" s="8"/>
      <c r="AD87" s="8">
        <v>0.5</v>
      </c>
      <c r="AE87" s="8"/>
      <c r="AF87" s="8">
        <v>0.5</v>
      </c>
      <c r="AJ87" s="8"/>
      <c r="AK87" s="8">
        <v>0.5</v>
      </c>
      <c r="AL87" s="8"/>
      <c r="AM87" s="8">
        <v>0.5</v>
      </c>
      <c r="AP87">
        <v>1.4</v>
      </c>
      <c r="AQ87" s="8"/>
      <c r="AR87" s="18">
        <v>0.8</v>
      </c>
      <c r="AS87" s="19"/>
      <c r="AT87" s="18">
        <v>0.8</v>
      </c>
      <c r="AX87" s="8"/>
      <c r="AY87" s="18">
        <v>0.8</v>
      </c>
      <c r="AZ87" s="19"/>
      <c r="BA87" s="18">
        <v>0.8</v>
      </c>
      <c r="BE87" s="8"/>
      <c r="BF87" s="18">
        <v>0.8</v>
      </c>
      <c r="BG87" s="19"/>
      <c r="BH87" s="18">
        <v>0.8</v>
      </c>
      <c r="BL87" s="8"/>
      <c r="BM87" s="18">
        <v>0.8</v>
      </c>
      <c r="BN87" s="19"/>
      <c r="BO87" s="18">
        <v>0.8</v>
      </c>
      <c r="BR87">
        <v>1.4</v>
      </c>
      <c r="BS87" s="8"/>
      <c r="BT87" s="18">
        <v>1</v>
      </c>
      <c r="BU87" s="19"/>
      <c r="BV87" s="18">
        <v>1</v>
      </c>
      <c r="BZ87" s="8"/>
      <c r="CA87" s="18">
        <v>1</v>
      </c>
      <c r="CB87" s="19"/>
      <c r="CC87" s="18">
        <v>1</v>
      </c>
      <c r="CG87" s="8"/>
      <c r="CH87" s="18">
        <v>1</v>
      </c>
      <c r="CI87" s="19"/>
      <c r="CJ87" s="18">
        <v>1</v>
      </c>
      <c r="CN87" s="8"/>
      <c r="CO87" s="8">
        <v>1</v>
      </c>
      <c r="CP87" s="8"/>
      <c r="CQ87" s="8">
        <v>1</v>
      </c>
      <c r="CU87" s="8"/>
      <c r="CV87" s="8"/>
      <c r="CW87" s="8"/>
      <c r="CX87" s="8"/>
      <c r="DB87" s="8"/>
      <c r="DC87" s="8"/>
      <c r="DD87" s="8"/>
      <c r="DE87" s="8"/>
      <c r="DI87" s="8"/>
      <c r="DJ87" s="8"/>
      <c r="DK87" s="8"/>
      <c r="DL87" s="8"/>
      <c r="DP87" s="8"/>
      <c r="DQ87" s="8"/>
      <c r="DR87" s="8"/>
      <c r="DS87" s="8"/>
      <c r="DW87" s="8"/>
      <c r="DX87" s="8"/>
      <c r="DY87" s="8"/>
      <c r="DZ87" s="8"/>
      <c r="ED87" s="8"/>
      <c r="EE87" s="8"/>
      <c r="EF87" s="8"/>
      <c r="EG87" s="8"/>
      <c r="EK87" s="8"/>
      <c r="EL87" s="8"/>
      <c r="EM87" s="8"/>
      <c r="EN87" s="8"/>
    </row>
    <row r="88" spans="2:144" outlineLevel="1" x14ac:dyDescent="0.2">
      <c r="B88" t="s">
        <v>28</v>
      </c>
      <c r="C88" t="s">
        <v>94</v>
      </c>
      <c r="E88" s="7"/>
      <c r="F88" t="s">
        <v>204</v>
      </c>
      <c r="G88" s="8"/>
      <c r="I88" s="7">
        <v>0</v>
      </c>
      <c r="J88" s="9" cm="1">
        <f t="array" ref="J88">MAX(IF($N$3:$EH$3=$J$3,N88:EH88))</f>
        <v>0</v>
      </c>
      <c r="K88" s="9" cm="1">
        <f t="array" ref="K88">MAX(IF($N$3:$EH$3=$J$3,N88:EH88))</f>
        <v>0</v>
      </c>
      <c r="L88" s="7"/>
      <c r="O88" s="8"/>
      <c r="P88" s="8"/>
      <c r="Q88" s="8"/>
      <c r="R88" s="8"/>
      <c r="U88">
        <v>1.4</v>
      </c>
      <c r="V88" s="8"/>
      <c r="W88" s="8">
        <v>0.5</v>
      </c>
      <c r="X88" s="8"/>
      <c r="Y88" s="8">
        <v>0.5</v>
      </c>
      <c r="AC88" s="8"/>
      <c r="AD88" s="8">
        <v>0.5</v>
      </c>
      <c r="AE88" s="8"/>
      <c r="AF88" s="8">
        <v>0.5</v>
      </c>
      <c r="AJ88" s="8"/>
      <c r="AK88" s="8">
        <v>0.5</v>
      </c>
      <c r="AL88" s="8"/>
      <c r="AM88" s="8">
        <v>0.5</v>
      </c>
      <c r="AP88">
        <v>1.4</v>
      </c>
      <c r="AQ88" s="8"/>
      <c r="AR88" s="18">
        <v>0.8</v>
      </c>
      <c r="AS88" s="19"/>
      <c r="AT88" s="18">
        <v>0.8</v>
      </c>
      <c r="AX88" s="8"/>
      <c r="AY88" s="18">
        <v>0.8</v>
      </c>
      <c r="AZ88" s="19"/>
      <c r="BA88" s="18">
        <v>0.8</v>
      </c>
      <c r="BE88" s="8"/>
      <c r="BF88" s="18">
        <v>0.8</v>
      </c>
      <c r="BG88" s="19"/>
      <c r="BH88" s="18">
        <v>0.8</v>
      </c>
      <c r="BL88" s="8"/>
      <c r="BM88" s="18">
        <v>0.8</v>
      </c>
      <c r="BN88" s="19"/>
      <c r="BO88" s="18">
        <v>0.8</v>
      </c>
      <c r="BS88" s="8"/>
      <c r="BT88" s="18">
        <v>0.8</v>
      </c>
      <c r="BU88" s="19"/>
      <c r="BV88" s="18">
        <v>0.8</v>
      </c>
      <c r="BY88">
        <v>1.4</v>
      </c>
      <c r="BZ88" s="8"/>
      <c r="CA88" s="18">
        <v>1</v>
      </c>
      <c r="CB88" s="19"/>
      <c r="CC88" s="18">
        <v>1</v>
      </c>
      <c r="CG88" s="8"/>
      <c r="CH88" s="18">
        <v>1</v>
      </c>
      <c r="CI88" s="19"/>
      <c r="CJ88" s="18">
        <v>1</v>
      </c>
      <c r="CN88" s="8"/>
      <c r="CO88" s="8">
        <v>1</v>
      </c>
      <c r="CP88" s="8"/>
      <c r="CQ88" s="8">
        <v>1</v>
      </c>
      <c r="CU88" s="8"/>
      <c r="CV88" s="8"/>
      <c r="CW88" s="8"/>
      <c r="CX88" s="8"/>
      <c r="DB88" s="8"/>
      <c r="DC88" s="8"/>
      <c r="DD88" s="8"/>
      <c r="DE88" s="8"/>
      <c r="DI88" s="8"/>
      <c r="DJ88" s="8"/>
      <c r="DK88" s="8"/>
      <c r="DL88" s="8"/>
      <c r="DP88" s="8"/>
      <c r="DQ88" s="8"/>
      <c r="DR88" s="8"/>
      <c r="DS88" s="8"/>
      <c r="DW88" s="8"/>
      <c r="DX88" s="8"/>
      <c r="DY88" s="8"/>
      <c r="DZ88" s="8"/>
      <c r="ED88" s="8"/>
      <c r="EE88" s="8"/>
      <c r="EF88" s="8"/>
      <c r="EG88" s="8"/>
      <c r="EK88" s="8"/>
      <c r="EL88" s="8"/>
      <c r="EM88" s="8"/>
      <c r="EN88" s="8"/>
    </row>
    <row r="89" spans="2:144" outlineLevel="1" x14ac:dyDescent="0.2">
      <c r="B89" t="s">
        <v>28</v>
      </c>
      <c r="C89" t="s">
        <v>94</v>
      </c>
      <c r="E89" s="7"/>
      <c r="F89" t="s">
        <v>199</v>
      </c>
      <c r="G89" s="8"/>
      <c r="I89" s="7">
        <v>0</v>
      </c>
      <c r="J89" s="9" cm="1">
        <f t="array" ref="J89">MAX(IF($N$3:$EH$3=$J$3,N89:EH89))</f>
        <v>0</v>
      </c>
      <c r="K89" s="9" cm="1">
        <f t="array" ref="K89">MAX(IF($N$3:$EH$3=$J$3,N89:EH89))</f>
        <v>0</v>
      </c>
      <c r="L89" s="7"/>
      <c r="O89" s="8"/>
      <c r="P89" s="8"/>
      <c r="Q89" s="8"/>
      <c r="R89" s="8"/>
      <c r="U89">
        <v>1.4</v>
      </c>
      <c r="V89" s="8"/>
      <c r="W89" s="8">
        <v>0.5</v>
      </c>
      <c r="X89" s="8"/>
      <c r="Y89" s="8">
        <v>0.5</v>
      </c>
      <c r="AC89" s="8"/>
      <c r="AD89" s="8">
        <v>0.5</v>
      </c>
      <c r="AE89" s="8"/>
      <c r="AF89" s="8">
        <v>0.5</v>
      </c>
      <c r="AJ89" s="8"/>
      <c r="AK89" s="8">
        <v>0.5</v>
      </c>
      <c r="AL89" s="8"/>
      <c r="AM89" s="8">
        <v>0.5</v>
      </c>
      <c r="AQ89" s="8"/>
      <c r="AR89" s="8">
        <v>0.5</v>
      </c>
      <c r="AS89" s="8"/>
      <c r="AT89" s="8">
        <v>0.5</v>
      </c>
      <c r="AW89">
        <v>1.4</v>
      </c>
      <c r="AX89" s="8"/>
      <c r="AY89" s="8">
        <v>0.8</v>
      </c>
      <c r="AZ89" s="8"/>
      <c r="BA89" s="8">
        <v>0.8</v>
      </c>
      <c r="BE89" s="8"/>
      <c r="BF89" s="8">
        <v>0.8</v>
      </c>
      <c r="BG89" s="8"/>
      <c r="BH89" s="8">
        <v>0.8</v>
      </c>
      <c r="BL89" s="8"/>
      <c r="BM89" s="8">
        <v>0.8</v>
      </c>
      <c r="BN89" s="8"/>
      <c r="BO89" s="8">
        <v>0.8</v>
      </c>
      <c r="BS89" s="8"/>
      <c r="BT89" s="8">
        <v>0.8</v>
      </c>
      <c r="BU89" s="8"/>
      <c r="BV89" s="8">
        <v>0.8</v>
      </c>
      <c r="BY89">
        <v>1.4</v>
      </c>
      <c r="BZ89" s="8"/>
      <c r="CA89" s="8">
        <v>1</v>
      </c>
      <c r="CB89" s="8"/>
      <c r="CC89" s="8">
        <v>1</v>
      </c>
      <c r="CG89" s="8"/>
      <c r="CH89" s="8">
        <v>1</v>
      </c>
      <c r="CI89" s="8"/>
      <c r="CJ89" s="8">
        <v>1</v>
      </c>
      <c r="CN89" s="8"/>
      <c r="CO89" s="8">
        <v>1</v>
      </c>
      <c r="CP89" s="8"/>
      <c r="CQ89" s="8">
        <v>1</v>
      </c>
      <c r="CU89" s="8"/>
      <c r="CV89" s="8"/>
      <c r="CW89" s="8"/>
      <c r="CX89" s="8"/>
      <c r="DB89" s="8"/>
      <c r="DC89" s="8"/>
      <c r="DD89" s="8"/>
      <c r="DE89" s="8"/>
      <c r="DI89" s="8"/>
      <c r="DJ89" s="8"/>
      <c r="DK89" s="8"/>
      <c r="DL89" s="8"/>
      <c r="DP89" s="8"/>
      <c r="DQ89" s="8"/>
      <c r="DR89" s="8"/>
      <c r="DS89" s="8"/>
      <c r="DW89" s="8"/>
      <c r="DX89" s="8"/>
      <c r="DY89" s="8"/>
      <c r="DZ89" s="8"/>
      <c r="ED89" s="8"/>
      <c r="EE89" s="8"/>
      <c r="EF89" s="8"/>
      <c r="EG89" s="8"/>
      <c r="EK89" s="8"/>
      <c r="EL89" s="8"/>
      <c r="EM89" s="8"/>
      <c r="EN89" s="8"/>
    </row>
    <row r="90" spans="2:144" outlineLevel="1" x14ac:dyDescent="0.2">
      <c r="B90" t="s">
        <v>28</v>
      </c>
      <c r="C90" t="s">
        <v>94</v>
      </c>
      <c r="E90" s="7"/>
      <c r="F90" t="s">
        <v>205</v>
      </c>
      <c r="G90" s="8"/>
      <c r="I90" s="7">
        <v>0</v>
      </c>
      <c r="J90" s="9" cm="1">
        <f t="array" ref="J90">MAX(IF($N$3:$EH$3=$J$3,N90:EH90))</f>
        <v>0</v>
      </c>
      <c r="K90" s="9" cm="1">
        <f t="array" ref="K90">MAX(IF($N$3:$EH$3=$J$3,N90:EH90))</f>
        <v>0</v>
      </c>
      <c r="L90" s="7"/>
      <c r="O90" s="8"/>
      <c r="P90" s="8"/>
      <c r="Q90" s="8"/>
      <c r="R90" s="8"/>
      <c r="V90" s="8"/>
      <c r="W90" s="8"/>
      <c r="X90" s="8"/>
      <c r="Y90" s="8"/>
      <c r="AB90">
        <v>1.4</v>
      </c>
      <c r="AC90" s="8"/>
      <c r="AD90" s="8">
        <v>0.5</v>
      </c>
      <c r="AE90" s="8"/>
      <c r="AF90" s="8">
        <v>0.5</v>
      </c>
      <c r="AJ90" s="8"/>
      <c r="AK90" s="8">
        <v>0.5</v>
      </c>
      <c r="AL90" s="8"/>
      <c r="AM90" s="8">
        <v>0.5</v>
      </c>
      <c r="AQ90" s="8"/>
      <c r="AR90" s="8">
        <v>0.5</v>
      </c>
      <c r="AS90" s="8"/>
      <c r="AT90" s="8">
        <v>0.5</v>
      </c>
      <c r="AX90" s="8"/>
      <c r="AY90" s="8">
        <v>0.5</v>
      </c>
      <c r="AZ90" s="8"/>
      <c r="BA90" s="8">
        <v>0.5</v>
      </c>
      <c r="BD90">
        <v>1.4</v>
      </c>
      <c r="BE90" s="8"/>
      <c r="BF90" s="8">
        <v>0.8</v>
      </c>
      <c r="BG90" s="8"/>
      <c r="BH90" s="8">
        <v>0.8</v>
      </c>
      <c r="BL90" s="8"/>
      <c r="BM90" s="8">
        <v>0.8</v>
      </c>
      <c r="BN90" s="8"/>
      <c r="BO90" s="8">
        <v>0.8</v>
      </c>
      <c r="BS90" s="8"/>
      <c r="BT90" s="8">
        <v>0.8</v>
      </c>
      <c r="BU90" s="8"/>
      <c r="BV90" s="8">
        <v>0.8</v>
      </c>
      <c r="BZ90" s="8"/>
      <c r="CA90" s="8">
        <v>0.8</v>
      </c>
      <c r="CB90" s="8"/>
      <c r="CC90" s="8">
        <v>0.8</v>
      </c>
      <c r="CF90">
        <v>1.4</v>
      </c>
      <c r="CG90" s="8"/>
      <c r="CH90" s="18">
        <v>1</v>
      </c>
      <c r="CI90" s="19"/>
      <c r="CJ90" s="18">
        <v>1</v>
      </c>
      <c r="CN90" s="8"/>
      <c r="CO90" s="8">
        <v>1</v>
      </c>
      <c r="CP90" s="8"/>
      <c r="CQ90" s="8">
        <v>1</v>
      </c>
      <c r="CU90" s="8"/>
      <c r="CV90" s="8"/>
      <c r="CW90" s="8"/>
      <c r="CX90" s="8"/>
      <c r="DB90" s="8"/>
      <c r="DC90" s="8"/>
      <c r="DD90" s="8"/>
      <c r="DE90" s="8"/>
      <c r="DI90" s="8"/>
      <c r="DJ90" s="8"/>
      <c r="DK90" s="8"/>
      <c r="DL90" s="8"/>
      <c r="DP90" s="8"/>
      <c r="DQ90" s="8"/>
      <c r="DR90" s="8"/>
      <c r="DS90" s="8"/>
      <c r="DW90" s="8"/>
      <c r="DX90" s="8"/>
      <c r="DY90" s="8"/>
      <c r="DZ90" s="8"/>
      <c r="ED90" s="8"/>
      <c r="EE90" s="8"/>
      <c r="EF90" s="8"/>
      <c r="EG90" s="8"/>
      <c r="EK90" s="8"/>
      <c r="EL90" s="8"/>
      <c r="EM90" s="8"/>
      <c r="EN90" s="8"/>
    </row>
    <row r="91" spans="2:144" outlineLevel="1" x14ac:dyDescent="0.2">
      <c r="B91" t="s">
        <v>28</v>
      </c>
      <c r="C91" t="s">
        <v>94</v>
      </c>
      <c r="E91" s="7"/>
      <c r="F91" t="s">
        <v>206</v>
      </c>
      <c r="G91" s="8"/>
      <c r="I91" s="7">
        <v>0</v>
      </c>
      <c r="J91" s="9" cm="1">
        <f t="array" ref="J91">MAX(IF($N$3:$EH$3=$J$3,N91:EH91))</f>
        <v>0</v>
      </c>
      <c r="K91" s="9" cm="1">
        <f t="array" ref="K91">MAX(IF($N$3:$EH$3=$J$3,N91:EH91))</f>
        <v>0</v>
      </c>
      <c r="L91" s="7"/>
      <c r="O91" s="8"/>
      <c r="P91" s="8"/>
      <c r="Q91" s="8"/>
      <c r="R91" s="8"/>
      <c r="V91" s="8"/>
      <c r="W91" s="8"/>
      <c r="X91" s="8"/>
      <c r="Y91" s="8"/>
      <c r="AB91">
        <v>1.4</v>
      </c>
      <c r="AC91" s="8"/>
      <c r="AD91" s="8">
        <v>0.5</v>
      </c>
      <c r="AE91" s="8"/>
      <c r="AF91" s="8">
        <v>0.5</v>
      </c>
      <c r="AJ91" s="8"/>
      <c r="AK91" s="8">
        <v>0.5</v>
      </c>
      <c r="AL91" s="8"/>
      <c r="AM91" s="8">
        <v>0.5</v>
      </c>
      <c r="AQ91" s="8"/>
      <c r="AR91" s="8">
        <v>0.5</v>
      </c>
      <c r="AS91" s="8"/>
      <c r="AT91" s="8">
        <v>0.5</v>
      </c>
      <c r="AX91" s="8"/>
      <c r="AY91" s="8">
        <v>0.5</v>
      </c>
      <c r="AZ91" s="8"/>
      <c r="BA91" s="8">
        <v>0.5</v>
      </c>
      <c r="BD91">
        <v>1.4</v>
      </c>
      <c r="BE91" s="8"/>
      <c r="BF91" s="8">
        <v>0.8</v>
      </c>
      <c r="BG91" s="8"/>
      <c r="BH91" s="8">
        <v>0.8</v>
      </c>
      <c r="BL91" s="8"/>
      <c r="BM91" s="8">
        <v>0.8</v>
      </c>
      <c r="BN91" s="8"/>
      <c r="BO91" s="8">
        <v>0.8</v>
      </c>
      <c r="BS91" s="8"/>
      <c r="BT91" s="8">
        <v>0.8</v>
      </c>
      <c r="BU91" s="8"/>
      <c r="BV91" s="8">
        <v>0.8</v>
      </c>
      <c r="BZ91" s="8"/>
      <c r="CA91" s="8">
        <v>0.8</v>
      </c>
      <c r="CB91" s="8"/>
      <c r="CC91" s="8">
        <v>0.8</v>
      </c>
      <c r="CF91">
        <v>1.4</v>
      </c>
      <c r="CG91" s="8"/>
      <c r="CH91" s="18">
        <v>1</v>
      </c>
      <c r="CI91" s="19"/>
      <c r="CJ91" s="18">
        <v>1</v>
      </c>
      <c r="CN91" s="8"/>
      <c r="CO91" s="8">
        <v>1</v>
      </c>
      <c r="CP91" s="8"/>
      <c r="CQ91" s="8">
        <v>1</v>
      </c>
      <c r="CU91" s="8"/>
      <c r="CV91" s="8"/>
      <c r="CW91" s="8"/>
      <c r="CX91" s="8"/>
      <c r="DB91" s="8"/>
      <c r="DC91" s="8"/>
      <c r="DD91" s="8"/>
      <c r="DE91" s="8"/>
      <c r="DI91" s="8"/>
      <c r="DJ91" s="8"/>
      <c r="DK91" s="8"/>
      <c r="DL91" s="8"/>
      <c r="DP91" s="8"/>
      <c r="DQ91" s="8"/>
      <c r="DR91" s="8"/>
      <c r="DS91" s="8"/>
      <c r="DW91" s="8"/>
      <c r="DX91" s="8"/>
      <c r="DY91" s="8"/>
      <c r="DZ91" s="8"/>
      <c r="ED91" s="8"/>
      <c r="EE91" s="8"/>
      <c r="EF91" s="8"/>
      <c r="EG91" s="8"/>
      <c r="EK91" s="8"/>
      <c r="EL91" s="8"/>
      <c r="EM91" s="8"/>
      <c r="EN91" s="8"/>
    </row>
    <row r="92" spans="2:144" outlineLevel="1" x14ac:dyDescent="0.2">
      <c r="B92" t="s">
        <v>28</v>
      </c>
      <c r="C92" t="s">
        <v>94</v>
      </c>
      <c r="E92" s="7"/>
      <c r="F92" t="s">
        <v>207</v>
      </c>
      <c r="G92" s="8"/>
      <c r="I92" s="7">
        <v>0</v>
      </c>
      <c r="J92" s="9" cm="1">
        <f t="array" ref="J92">MAX(IF($N$3:$EH$3=$J$3,N92:EH92))</f>
        <v>0</v>
      </c>
      <c r="K92" s="9" cm="1">
        <f t="array" ref="K92">MAX(IF($N$3:$EH$3=$J$3,N92:EH92))</f>
        <v>0</v>
      </c>
      <c r="L92" s="7"/>
      <c r="O92" s="8"/>
      <c r="P92" s="8"/>
      <c r="Q92" s="8"/>
      <c r="R92" s="8"/>
      <c r="V92" s="8"/>
      <c r="W92" s="8"/>
      <c r="X92" s="8"/>
      <c r="Y92" s="8"/>
      <c r="AC92" s="8"/>
      <c r="AD92" s="8"/>
      <c r="AE92" s="8"/>
      <c r="AF92" s="8"/>
      <c r="AI92">
        <v>1.4</v>
      </c>
      <c r="AJ92" s="8"/>
      <c r="AK92" s="8">
        <v>0.5</v>
      </c>
      <c r="AL92" s="8"/>
      <c r="AM92" s="8">
        <v>0.5</v>
      </c>
      <c r="AQ92" s="8"/>
      <c r="AR92" s="8">
        <v>0.5</v>
      </c>
      <c r="AS92" s="8"/>
      <c r="AT92" s="8">
        <v>0.5</v>
      </c>
      <c r="AX92" s="8"/>
      <c r="AY92" s="8">
        <v>0.5</v>
      </c>
      <c r="AZ92" s="8"/>
      <c r="BA92" s="8">
        <v>0.5</v>
      </c>
      <c r="BE92" s="8"/>
      <c r="BF92" s="8">
        <v>0.5</v>
      </c>
      <c r="BG92" s="8"/>
      <c r="BH92" s="8">
        <v>0.5</v>
      </c>
      <c r="BK92">
        <v>1.4</v>
      </c>
      <c r="BL92" s="8"/>
      <c r="BM92" s="8">
        <v>0.8</v>
      </c>
      <c r="BN92" s="8"/>
      <c r="BO92" s="8">
        <v>0.8</v>
      </c>
      <c r="BS92" s="8"/>
      <c r="BT92" s="8">
        <v>0.8</v>
      </c>
      <c r="BU92" s="8"/>
      <c r="BV92" s="8">
        <v>0.8</v>
      </c>
      <c r="BZ92" s="8"/>
      <c r="CA92" s="8">
        <v>0.8</v>
      </c>
      <c r="CB92" s="8"/>
      <c r="CC92" s="8">
        <v>0.8</v>
      </c>
      <c r="CF92">
        <v>1.4</v>
      </c>
      <c r="CG92" s="8"/>
      <c r="CH92" s="8">
        <v>1</v>
      </c>
      <c r="CI92" s="8"/>
      <c r="CJ92" s="8">
        <v>1</v>
      </c>
      <c r="CN92" s="8"/>
      <c r="CO92" s="8">
        <v>1</v>
      </c>
      <c r="CP92" s="8"/>
      <c r="CQ92" s="8">
        <v>1</v>
      </c>
      <c r="CU92" s="8"/>
      <c r="CV92" s="8"/>
      <c r="CW92" s="8"/>
      <c r="CX92" s="8"/>
      <c r="DB92" s="8"/>
      <c r="DC92" s="8"/>
      <c r="DD92" s="8"/>
      <c r="DE92" s="8"/>
      <c r="DI92" s="8"/>
      <c r="DJ92" s="8"/>
      <c r="DK92" s="8"/>
      <c r="DL92" s="8"/>
      <c r="DP92" s="8"/>
      <c r="DQ92" s="8"/>
      <c r="DR92" s="8"/>
      <c r="DS92" s="8"/>
      <c r="DW92" s="8"/>
      <c r="DX92" s="8"/>
      <c r="DY92" s="8"/>
      <c r="DZ92" s="8"/>
      <c r="ED92" s="8"/>
      <c r="EE92" s="8"/>
      <c r="EF92" s="8"/>
      <c r="EG92" s="8"/>
      <c r="EK92" s="8"/>
      <c r="EL92" s="8"/>
      <c r="EM92" s="8"/>
      <c r="EN92" s="8"/>
    </row>
    <row r="93" spans="2:144" outlineLevel="1" x14ac:dyDescent="0.2">
      <c r="B93" t="s">
        <v>28</v>
      </c>
      <c r="C93" t="s">
        <v>94</v>
      </c>
      <c r="E93" s="7"/>
      <c r="F93" t="s">
        <v>208</v>
      </c>
      <c r="G93" s="8"/>
      <c r="I93" s="7">
        <v>0</v>
      </c>
      <c r="J93" s="9" cm="1">
        <f t="array" ref="J93">MAX(IF($N$3:$EH$3=$J$3,N93:EH93))</f>
        <v>0</v>
      </c>
      <c r="K93" s="9" cm="1">
        <f t="array" ref="K93">MAX(IF($N$3:$EH$3=$J$3,N93:EH93))</f>
        <v>0</v>
      </c>
      <c r="L93" s="7"/>
      <c r="O93" s="8"/>
      <c r="P93" s="8"/>
      <c r="Q93" s="8"/>
      <c r="R93" s="8"/>
      <c r="V93" s="8"/>
      <c r="W93" s="8"/>
      <c r="X93" s="8"/>
      <c r="Y93" s="8"/>
      <c r="AC93" s="8"/>
      <c r="AD93" s="8"/>
      <c r="AE93" s="8"/>
      <c r="AF93" s="8"/>
      <c r="AJ93" s="8"/>
      <c r="AK93" s="8"/>
      <c r="AL93" s="8"/>
      <c r="AM93" s="8"/>
      <c r="AP93">
        <v>1.4</v>
      </c>
      <c r="AQ93" s="8"/>
      <c r="AR93" s="8">
        <v>0.5</v>
      </c>
      <c r="AS93" s="8"/>
      <c r="AT93" s="8">
        <v>0.5</v>
      </c>
      <c r="AX93" s="8"/>
      <c r="AY93" s="8">
        <v>0.5</v>
      </c>
      <c r="AZ93" s="8"/>
      <c r="BA93" s="8">
        <v>0.5</v>
      </c>
      <c r="BE93" s="8"/>
      <c r="BF93" s="8">
        <v>0.5</v>
      </c>
      <c r="BG93" s="8"/>
      <c r="BH93" s="8">
        <v>0.5</v>
      </c>
      <c r="BL93" s="8"/>
      <c r="BM93" s="8">
        <v>0.5</v>
      </c>
      <c r="BN93" s="8"/>
      <c r="BO93" s="8">
        <v>0.5</v>
      </c>
      <c r="BR93">
        <v>1.4</v>
      </c>
      <c r="BS93" s="8"/>
      <c r="BT93" s="8">
        <v>0.8</v>
      </c>
      <c r="BU93" s="8"/>
      <c r="BV93" s="8">
        <v>0.8</v>
      </c>
      <c r="BZ93" s="8"/>
      <c r="CA93" s="8">
        <v>0.8</v>
      </c>
      <c r="CB93" s="8"/>
      <c r="CC93" s="8">
        <v>0.8</v>
      </c>
      <c r="CG93" s="8"/>
      <c r="CH93" s="8">
        <v>0.8</v>
      </c>
      <c r="CI93" s="8"/>
      <c r="CJ93" s="8">
        <v>0.8</v>
      </c>
      <c r="CM93">
        <v>1.4</v>
      </c>
      <c r="CN93" s="8"/>
      <c r="CO93" s="8">
        <v>1</v>
      </c>
      <c r="CP93" s="8"/>
      <c r="CQ93" s="8">
        <v>1</v>
      </c>
      <c r="CU93" s="8"/>
      <c r="CV93" s="8"/>
      <c r="CW93" s="8"/>
      <c r="CX93" s="8"/>
      <c r="DB93" s="8"/>
      <c r="DC93" s="8"/>
      <c r="DD93" s="8"/>
      <c r="DE93" s="8"/>
      <c r="DI93" s="8"/>
      <c r="DJ93" s="8"/>
      <c r="DK93" s="8"/>
      <c r="DL93" s="8"/>
      <c r="DP93" s="8"/>
      <c r="DQ93" s="8"/>
      <c r="DR93" s="8"/>
      <c r="DS93" s="8"/>
      <c r="DW93" s="8"/>
      <c r="DX93" s="8"/>
      <c r="DY93" s="8"/>
      <c r="DZ93" s="8"/>
      <c r="ED93" s="8"/>
      <c r="EE93" s="8"/>
      <c r="EF93" s="8"/>
      <c r="EG93" s="8"/>
      <c r="EK93" s="8"/>
      <c r="EL93" s="8"/>
      <c r="EM93" s="8"/>
      <c r="EN93" s="8"/>
    </row>
    <row r="94" spans="2:144" outlineLevel="1" x14ac:dyDescent="0.2">
      <c r="B94" t="s">
        <v>28</v>
      </c>
      <c r="C94" t="s">
        <v>94</v>
      </c>
      <c r="E94" s="7"/>
      <c r="F94" t="s">
        <v>200</v>
      </c>
      <c r="G94" s="8"/>
      <c r="I94" s="7">
        <v>0</v>
      </c>
      <c r="J94" s="9" cm="1">
        <f t="array" ref="J94">MAX(IF($N$3:$EH$3=$J$3,N94:EH94))</f>
        <v>0</v>
      </c>
      <c r="K94" s="9" cm="1">
        <f t="array" ref="K94">MAX(IF($N$3:$EH$3=$J$3,N94:EH94))</f>
        <v>0</v>
      </c>
      <c r="L94" s="7"/>
      <c r="O94" s="8"/>
      <c r="P94" s="8"/>
      <c r="Q94" s="8"/>
      <c r="R94" s="8"/>
      <c r="V94" s="8"/>
      <c r="W94" s="8"/>
      <c r="X94" s="8"/>
      <c r="Y94" s="8"/>
      <c r="AC94" s="8"/>
      <c r="AD94" s="8"/>
      <c r="AE94" s="8"/>
      <c r="AF94" s="8"/>
      <c r="AJ94" s="8"/>
      <c r="AK94" s="8"/>
      <c r="AL94" s="8"/>
      <c r="AM94" s="8"/>
      <c r="AQ94" s="8"/>
      <c r="AR94" s="8"/>
      <c r="AS94" s="8"/>
      <c r="AT94" s="8"/>
      <c r="AW94">
        <v>1.4</v>
      </c>
      <c r="AX94" s="8"/>
      <c r="AY94" s="8">
        <v>0.5</v>
      </c>
      <c r="AZ94" s="8"/>
      <c r="BA94" s="8">
        <v>0.5</v>
      </c>
      <c r="BE94" s="8"/>
      <c r="BF94" s="8">
        <v>0.5</v>
      </c>
      <c r="BG94" s="8"/>
      <c r="BH94" s="8">
        <v>0.5</v>
      </c>
      <c r="BL94" s="8"/>
      <c r="BM94" s="8">
        <v>0.5</v>
      </c>
      <c r="BN94" s="8"/>
      <c r="BO94" s="8">
        <v>0.5</v>
      </c>
      <c r="BR94">
        <v>1.4</v>
      </c>
      <c r="BS94" s="8"/>
      <c r="BT94" s="8">
        <v>0.8</v>
      </c>
      <c r="BU94" s="8"/>
      <c r="BV94" s="8">
        <v>0.8</v>
      </c>
      <c r="BZ94" s="8"/>
      <c r="CA94" s="8">
        <v>0.8</v>
      </c>
      <c r="CB94" s="8"/>
      <c r="CC94" s="8">
        <v>0.8</v>
      </c>
      <c r="CG94" s="8"/>
      <c r="CH94" s="8">
        <v>0.8</v>
      </c>
      <c r="CI94" s="8"/>
      <c r="CJ94" s="8">
        <v>0.8</v>
      </c>
      <c r="CM94">
        <v>1.4</v>
      </c>
      <c r="CN94" s="8"/>
      <c r="CO94" s="8">
        <v>1</v>
      </c>
      <c r="CP94" s="8"/>
      <c r="CQ94" s="8">
        <v>1</v>
      </c>
      <c r="CU94" s="8"/>
      <c r="CV94" s="8"/>
      <c r="CW94" s="8"/>
      <c r="CX94" s="8"/>
      <c r="DB94" s="8"/>
      <c r="DC94" s="8"/>
      <c r="DD94" s="8"/>
      <c r="DE94" s="8"/>
      <c r="DI94" s="8"/>
      <c r="DJ94" s="8"/>
      <c r="DK94" s="8"/>
      <c r="DL94" s="8"/>
      <c r="DP94" s="8"/>
      <c r="DQ94" s="8"/>
      <c r="DR94" s="8"/>
      <c r="DS94" s="8"/>
      <c r="DW94" s="8"/>
      <c r="DX94" s="8"/>
      <c r="DY94" s="8"/>
      <c r="DZ94" s="8"/>
      <c r="ED94" s="8"/>
      <c r="EE94" s="8"/>
      <c r="EF94" s="8"/>
      <c r="EG94" s="8"/>
      <c r="EK94" s="8"/>
      <c r="EL94" s="8"/>
      <c r="EM94" s="8"/>
      <c r="EN94" s="8"/>
    </row>
    <row r="95" spans="2:144" outlineLevel="1" x14ac:dyDescent="0.2">
      <c r="B95" t="s">
        <v>28</v>
      </c>
      <c r="C95" t="s">
        <v>94</v>
      </c>
      <c r="E95" s="7"/>
      <c r="F95" t="s">
        <v>201</v>
      </c>
      <c r="G95" s="8"/>
      <c r="I95" s="7">
        <f t="shared" ref="I95" si="5">+SUMIF($N$3:$ZZ$3,I$3,$N95:$ZZ95)</f>
        <v>4.1999999999999993</v>
      </c>
      <c r="J95" s="9" cm="1">
        <f t="array" ref="J95">MAX(IF($N$3:$EH$3=$J$3,N95:EH95))</f>
        <v>0</v>
      </c>
      <c r="K95" s="9" cm="1">
        <f t="array" ref="K95">MAX(IF($N$3:$EH$3=$J$3,N95:EH95))</f>
        <v>0</v>
      </c>
      <c r="L95" s="7"/>
      <c r="O95" s="8"/>
      <c r="P95" s="8"/>
      <c r="Q95" s="8"/>
      <c r="R95" s="8"/>
      <c r="V95" s="8"/>
      <c r="W95" s="8"/>
      <c r="X95" s="8"/>
      <c r="Y95" s="8"/>
      <c r="AC95" s="8"/>
      <c r="AD95" s="8"/>
      <c r="AE95" s="8"/>
      <c r="AF95" s="8"/>
      <c r="AJ95" s="8"/>
      <c r="AK95" s="8"/>
      <c r="AL95" s="8"/>
      <c r="AM95" s="8"/>
      <c r="AQ95" s="8"/>
      <c r="AR95" s="8"/>
      <c r="AS95" s="8"/>
      <c r="AT95" s="8"/>
      <c r="AW95">
        <v>1.4</v>
      </c>
      <c r="AX95" s="8"/>
      <c r="AY95" s="8">
        <v>0.5</v>
      </c>
      <c r="AZ95" s="8"/>
      <c r="BA95" s="8">
        <v>0.5</v>
      </c>
      <c r="BE95" s="8"/>
      <c r="BF95" s="8">
        <v>0.5</v>
      </c>
      <c r="BG95" s="8"/>
      <c r="BH95" s="8">
        <v>0.5</v>
      </c>
      <c r="BL95" s="8"/>
      <c r="BM95" s="8">
        <v>0.5</v>
      </c>
      <c r="BN95" s="8"/>
      <c r="BO95" s="8">
        <v>0.5</v>
      </c>
      <c r="BS95" s="8"/>
      <c r="BT95" s="8">
        <v>0.5</v>
      </c>
      <c r="BU95" s="8"/>
      <c r="BV95" s="8">
        <v>0.5</v>
      </c>
      <c r="BY95">
        <v>1.4</v>
      </c>
      <c r="BZ95" s="8"/>
      <c r="CA95" s="8">
        <v>0.8</v>
      </c>
      <c r="CB95" s="8"/>
      <c r="CC95" s="8">
        <v>0.8</v>
      </c>
      <c r="CG95" s="8"/>
      <c r="CH95" s="8">
        <v>0.8</v>
      </c>
      <c r="CI95" s="8"/>
      <c r="CJ95" s="8">
        <v>0.8</v>
      </c>
      <c r="CM95">
        <v>1.4</v>
      </c>
      <c r="CN95" s="8"/>
      <c r="CO95" s="8">
        <v>1</v>
      </c>
      <c r="CP95" s="8"/>
      <c r="CQ95" s="8">
        <v>1</v>
      </c>
      <c r="CU95" s="8"/>
      <c r="CV95" s="8"/>
      <c r="CW95" s="8"/>
      <c r="CX95" s="8"/>
      <c r="DB95" s="8"/>
      <c r="DC95" s="8"/>
      <c r="DD95" s="8"/>
      <c r="DE95" s="8"/>
      <c r="DI95" s="8"/>
      <c r="DJ95" s="8"/>
      <c r="DK95" s="8"/>
      <c r="DL95" s="8"/>
      <c r="DP95" s="8"/>
      <c r="DQ95" s="8"/>
      <c r="DR95" s="8"/>
      <c r="DS95" s="8"/>
      <c r="DW95" s="8"/>
      <c r="DX95" s="8"/>
      <c r="DY95" s="8"/>
      <c r="DZ95" s="8"/>
      <c r="ED95" s="8"/>
      <c r="EE95" s="8"/>
      <c r="EF95" s="8"/>
      <c r="EG95" s="8"/>
      <c r="EK95" s="8"/>
      <c r="EL95" s="8"/>
      <c r="EM95" s="8"/>
      <c r="EN95" s="8"/>
    </row>
    <row r="97" s="20" customFormat="1" x14ac:dyDescent="0.2"/>
  </sheetData>
  <mergeCells count="20">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 ref="EC2:EH2"/>
    <mergeCell ref="EJ2:EO2"/>
    <mergeCell ref="DH2:DM2"/>
    <mergeCell ref="DO2:DT2"/>
    <mergeCell ref="DV2:EA2"/>
  </mergeCells>
  <phoneticPr fontId="5" type="noConversion"/>
  <conditionalFormatting sqref="J5:J13">
    <cfRule type="colorScale" priority="1401">
      <colorScale>
        <cfvo type="percent" val="0"/>
        <cfvo type="percent" val="100"/>
        <color rgb="FFFF231B"/>
        <color rgb="FF10FF07"/>
      </colorScale>
    </cfRule>
  </conditionalFormatting>
  <conditionalFormatting sqref="J17:J19">
    <cfRule type="colorScale" priority="1393">
      <colorScale>
        <cfvo type="percent" val="0"/>
        <cfvo type="percent" val="100"/>
        <color rgb="FFFF231B"/>
        <color rgb="FF10FF07"/>
      </colorScale>
    </cfRule>
  </conditionalFormatting>
  <conditionalFormatting sqref="J20">
    <cfRule type="colorScale" priority="606">
      <colorScale>
        <cfvo type="percent" val="0"/>
        <cfvo type="percent" val="100"/>
        <color rgb="FFFF231B"/>
        <color rgb="FF10FF07"/>
      </colorScale>
    </cfRule>
  </conditionalFormatting>
  <conditionalFormatting sqref="J21:J25 J16">
    <cfRule type="colorScale" priority="1406">
      <colorScale>
        <cfvo type="percent" val="0"/>
        <cfvo type="percent" val="100"/>
        <color rgb="FFFF231B"/>
        <color rgb="FF10FF07"/>
      </colorScale>
    </cfRule>
  </conditionalFormatting>
  <conditionalFormatting sqref="J28:J36">
    <cfRule type="colorScale" priority="1411">
      <colorScale>
        <cfvo type="percent" val="0"/>
        <cfvo type="percent" val="100"/>
        <color rgb="FFFF231B"/>
        <color rgb="FF10FF07"/>
      </colorScale>
    </cfRule>
  </conditionalFormatting>
  <conditionalFormatting sqref="J39:J50">
    <cfRule type="colorScale" priority="1170">
      <colorScale>
        <cfvo type="percent" val="0"/>
        <cfvo type="percent" val="100"/>
        <color rgb="FFFF231B"/>
        <color rgb="FF10FF07"/>
      </colorScale>
    </cfRule>
  </conditionalFormatting>
  <conditionalFormatting sqref="J53:J62">
    <cfRule type="colorScale" priority="1230">
      <colorScale>
        <cfvo type="percent" val="0"/>
        <cfvo type="percent" val="100"/>
        <color rgb="FFFF231B"/>
        <color rgb="FF10FF07"/>
      </colorScale>
    </cfRule>
  </conditionalFormatting>
  <conditionalFormatting sqref="J65:J70">
    <cfRule type="colorScale" priority="460">
      <colorScale>
        <cfvo type="percent" val="0"/>
        <cfvo type="percent" val="100"/>
        <color rgb="FFFF231B"/>
        <color rgb="FF10FF07"/>
      </colorScale>
    </cfRule>
  </conditionalFormatting>
  <conditionalFormatting sqref="J73:J81">
    <cfRule type="colorScale" priority="1415">
      <colorScale>
        <cfvo type="percent" val="0"/>
        <cfvo type="percent" val="100"/>
        <color rgb="FFFF231B"/>
        <color rgb="FF10FF07"/>
      </colorScale>
    </cfRule>
  </conditionalFormatting>
  <conditionalFormatting sqref="J84:J95">
    <cfRule type="colorScale" priority="422">
      <colorScale>
        <cfvo type="percent" val="0"/>
        <cfvo type="percent" val="100"/>
        <color rgb="FFFF231B"/>
        <color rgb="FF10FF07"/>
      </colorScale>
    </cfRule>
  </conditionalFormatting>
  <conditionalFormatting sqref="J6:K13">
    <cfRule type="colorScale" priority="1403">
      <colorScale>
        <cfvo type="percent" val="0"/>
        <cfvo type="percent" val="100"/>
        <color rgb="FFFF231B"/>
        <color rgb="FF10FF07"/>
      </colorScale>
    </cfRule>
  </conditionalFormatting>
  <conditionalFormatting sqref="J17:K19">
    <cfRule type="colorScale" priority="1395">
      <colorScale>
        <cfvo type="percent" val="0"/>
        <cfvo type="percent" val="100"/>
        <color rgb="FFFF231B"/>
        <color rgb="FF10FF07"/>
      </colorScale>
    </cfRule>
  </conditionalFormatting>
  <conditionalFormatting sqref="J20:K20">
    <cfRule type="colorScale" priority="607">
      <colorScale>
        <cfvo type="percent" val="0"/>
        <cfvo type="percent" val="100"/>
        <color rgb="FFFF231B"/>
        <color rgb="FF10FF07"/>
      </colorScale>
    </cfRule>
  </conditionalFormatting>
  <conditionalFormatting sqref="J21:K25">
    <cfRule type="colorScale" priority="1408">
      <colorScale>
        <cfvo type="percent" val="0"/>
        <cfvo type="percent" val="100"/>
        <color rgb="FFFF231B"/>
        <color rgb="FF10FF07"/>
      </colorScale>
    </cfRule>
  </conditionalFormatting>
  <conditionalFormatting sqref="J29:K36">
    <cfRule type="colorScale" priority="1412">
      <colorScale>
        <cfvo type="percent" val="0"/>
        <cfvo type="percent" val="100"/>
        <color rgb="FFFF231B"/>
        <color rgb="FF10FF07"/>
      </colorScale>
    </cfRule>
  </conditionalFormatting>
  <conditionalFormatting sqref="J40:K40 J44:K50">
    <cfRule type="colorScale" priority="1168">
      <colorScale>
        <cfvo type="percent" val="0"/>
        <cfvo type="percent" val="100"/>
        <color rgb="FFFF231B"/>
        <color rgb="FF10FF07"/>
      </colorScale>
    </cfRule>
  </conditionalFormatting>
  <conditionalFormatting sqref="J54:K62">
    <cfRule type="colorScale" priority="1229">
      <colorScale>
        <cfvo type="percent" val="0"/>
        <cfvo type="percent" val="100"/>
        <color rgb="FFFF231B"/>
        <color rgb="FF10FF07"/>
      </colorScale>
    </cfRule>
  </conditionalFormatting>
  <conditionalFormatting sqref="J66:K70">
    <cfRule type="colorScale" priority="459">
      <colorScale>
        <cfvo type="percent" val="0"/>
        <cfvo type="percent" val="100"/>
        <color rgb="FFFF231B"/>
        <color rgb="FF10FF07"/>
      </colorScale>
    </cfRule>
  </conditionalFormatting>
  <conditionalFormatting sqref="J78:K81">
    <cfRule type="colorScale" priority="1416">
      <colorScale>
        <cfvo type="percent" val="0"/>
        <cfvo type="percent" val="100"/>
        <color rgb="FFFF231B"/>
        <color rgb="FF10FF07"/>
      </colorScale>
    </cfRule>
  </conditionalFormatting>
  <conditionalFormatting sqref="J85:K95">
    <cfRule type="colorScale" priority="421">
      <colorScale>
        <cfvo type="percent" val="0"/>
        <cfvo type="percent" val="100"/>
        <color rgb="FFFF231B"/>
        <color rgb="FF10FF07"/>
      </colorScale>
    </cfRule>
  </conditionalFormatting>
  <conditionalFormatting sqref="K5:K13">
    <cfRule type="colorScale" priority="1405">
      <colorScale>
        <cfvo type="percent" val="0"/>
        <cfvo type="percent" val="100"/>
        <color rgb="FFFF231B"/>
        <color rgb="FF10FF07"/>
      </colorScale>
    </cfRule>
  </conditionalFormatting>
  <conditionalFormatting sqref="K17:K19">
    <cfRule type="colorScale" priority="1397">
      <colorScale>
        <cfvo type="percent" val="0"/>
        <cfvo type="percent" val="100"/>
        <color rgb="FFFF231B"/>
        <color rgb="FF10FF07"/>
      </colorScale>
    </cfRule>
  </conditionalFormatting>
  <conditionalFormatting sqref="K20">
    <cfRule type="colorScale" priority="605">
      <colorScale>
        <cfvo type="percent" val="0"/>
        <cfvo type="percent" val="100"/>
        <color rgb="FFFF231B"/>
        <color rgb="FF10FF07"/>
      </colorScale>
    </cfRule>
  </conditionalFormatting>
  <conditionalFormatting sqref="K21:K25 K16">
    <cfRule type="colorScale" priority="1410">
      <colorScale>
        <cfvo type="percent" val="0"/>
        <cfvo type="percent" val="100"/>
        <color rgb="FFFF231B"/>
        <color rgb="FF10FF07"/>
      </colorScale>
    </cfRule>
  </conditionalFormatting>
  <conditionalFormatting sqref="K28:K36">
    <cfRule type="colorScale" priority="1414">
      <colorScale>
        <cfvo type="percent" val="0"/>
        <cfvo type="percent" val="100"/>
        <color rgb="FFFF231B"/>
        <color rgb="FF10FF07"/>
      </colorScale>
    </cfRule>
  </conditionalFormatting>
  <conditionalFormatting sqref="K39:K50">
    <cfRule type="colorScale" priority="1172">
      <colorScale>
        <cfvo type="percent" val="0"/>
        <cfvo type="percent" val="100"/>
        <color rgb="FFFF231B"/>
        <color rgb="FF10FF07"/>
      </colorScale>
    </cfRule>
  </conditionalFormatting>
  <conditionalFormatting sqref="K53:K62">
    <cfRule type="colorScale" priority="1232">
      <colorScale>
        <cfvo type="percent" val="0"/>
        <cfvo type="percent" val="100"/>
        <color rgb="FFFF231B"/>
        <color rgb="FF10FF07"/>
      </colorScale>
    </cfRule>
  </conditionalFormatting>
  <conditionalFormatting sqref="K65:K70">
    <cfRule type="colorScale" priority="461">
      <colorScale>
        <cfvo type="percent" val="0"/>
        <cfvo type="percent" val="100"/>
        <color rgb="FFFF231B"/>
        <color rgb="FF10FF07"/>
      </colorScale>
    </cfRule>
  </conditionalFormatting>
  <conditionalFormatting sqref="K73:K81">
    <cfRule type="colorScale" priority="1417">
      <colorScale>
        <cfvo type="percent" val="0"/>
        <cfvo type="percent" val="100"/>
        <color rgb="FFFF231B"/>
        <color rgb="FF10FF07"/>
      </colorScale>
    </cfRule>
  </conditionalFormatting>
  <conditionalFormatting sqref="K84:K95">
    <cfRule type="colorScale" priority="423">
      <colorScale>
        <cfvo type="percent" val="0"/>
        <cfvo type="percent" val="100"/>
        <color rgb="FFFF231B"/>
        <color rgb="FF10FF07"/>
      </colorScale>
    </cfRule>
  </conditionalFormatting>
  <conditionalFormatting sqref="O5:O13 V5:V13 AC5:AC13 AJ5:AJ13 AQ5:AQ13 AX5:AX13 BS5:BS13 BZ5:BZ13 CG5:CG13 CN5:CN13 CU5:CU13 CW5:CW13 DB5:DB13 DD5:DD13 DI5:DI13 DK5:DK13 DP5:DP13 DR5:DR13 DW5:DW13 DY5:DY13 ED5:ED13 EF5:EF13 EK5:EK13 EM5:EM13 O16:O25 Q16:Q25 V16:V25 X16:X25 AC16:AC25 AE16:AE25 AJ16:AJ25 AL16:AL25 AQ16:AQ25 AS16:AS25 AX16:AX25 AZ16:AZ25 BE16:BE25 BG16:BG25 BL16:BL25 BN16:BN25 BZ16:BZ25 CG16:CG25 CN16:CN25 CU16:CU25 CW16:CW25 DB16:DB25 DD16:DD25 DI16:DI25 DK16:DK25 DP16:DP25 DR16:DR25 DW16:DW25 DY16:DY25 ED16:ED25 EF16:EF25 EK16:EK25 EM16:EM25 O28:O36 Q28:Q36 V28:V36 X28:X36 AC28:AC36 AE28:AE36 AJ28:AJ36 AL28:AL36 AQ28:AQ36 AS28:AS36 AX28:AX36 AZ28:AZ36 BE28:BE36 BG28:BG36 BL28:BL36 BN28:BN36 BS28:BS36 BU28:BU36 BZ28:BZ36 CB28:CB36 CG28:CG36 CI28:CI36 CN28:CN36 CP28:CP36 CU28:CU36 CW28:CW36 DB28:DB36 DD28:DD36 DI28:DI36 DK28:DK36 DP28:DP36 DR28:DR36 DW28:DW36 DY28:DY36 ED28:ED36 EF28:EF36 EK28:EK36 EM28:EM36 O53:O62 Q53:Q62 V53:V62 X53:X62 AC53:AC62 AE53:AE62 AJ53:AJ62 AL53:AL62 AQ53:AQ62 AS53:AS62 AX53:AX62 AZ53:AZ62 BE53:BE62 BG53:BG62 BL53:BL62 BN53:BN62 O73:O81 Q73:Q81 V73:V81 X73:X81 AC73:AC81 AE73:AE81 AJ73:AJ81 AL73:AL81 AQ73:AQ81 AS73:AS81 AX73:AX81 AZ73:AZ81 BE73:BE81 BG73:BG81 BL73:BL81 BN73:BN81 BS73:BS81 BU73:BU81 BZ73:BZ81 CB73:CB81 CG73:CG81 CI73:CI81 CN73:CN81 CP73:CP81 CU73:CU81 CW73:CW81 DB73:DB81 DD73:DD81 DI73:DI81 DK73:DK81 DP73:DP81 DR73:DR81 DW73:DW81 DY73:DY81 ED73:ED81 EF73:EF81 EK73:EK81 EM73:EM81">
    <cfRule type="expression" dxfId="231" priority="1046">
      <formula>IF(O5&gt;=P5,IF(O5="",FALSE,TRUE))</formula>
    </cfRule>
    <cfRule type="expression" dxfId="230" priority="1045">
      <formula>OR(IF(O5&lt;P5,TRUE),IF(AND(P5="",O5&lt;&gt;""),TRUE))</formula>
    </cfRule>
  </conditionalFormatting>
  <conditionalFormatting sqref="O39:O50">
    <cfRule type="expression" dxfId="229" priority="773">
      <formula>OR(IF(O39&lt;P39,TRUE),IF(AND(P39="",O39&lt;&gt;""),TRUE))</formula>
    </cfRule>
    <cfRule type="expression" dxfId="228" priority="774">
      <formula>IF(O39&gt;=P39,IF(O39="",FALSE,TRUE))</formula>
    </cfRule>
  </conditionalFormatting>
  <conditionalFormatting sqref="O65:O70 V65:V70 AC65:AC70 AJ65:AJ70 AQ65:AQ70 AX65:AX70 BE65:BE70 BL65:BL70">
    <cfRule type="expression" dxfId="227" priority="457">
      <formula>OR(IF(O65&lt;P65,TRUE),IF(AND(P65="",O65&lt;&gt;""),TRUE))</formula>
    </cfRule>
    <cfRule type="expression" dxfId="226" priority="458">
      <formula>IF(O65&gt;=P65,IF(O65="",FALSE,TRUE))</formula>
    </cfRule>
  </conditionalFormatting>
  <conditionalFormatting sqref="Q5:Q13">
    <cfRule type="expression" dxfId="225" priority="207">
      <formula>OR(IF(Q5&lt;R5,TRUE),IF(AND(R5="",Q5&lt;&gt;""),TRUE))</formula>
    </cfRule>
    <cfRule type="expression" dxfId="224" priority="208">
      <formula>IF(Q5&gt;=R5,IF(Q5="",FALSE,TRUE))</formula>
    </cfRule>
  </conditionalFormatting>
  <conditionalFormatting sqref="Q39:Q50">
    <cfRule type="expression" dxfId="223" priority="771">
      <formula>OR(IF(Q39&lt;R39,TRUE),IF(AND(R39="",Q39&lt;&gt;""),TRUE))</formula>
    </cfRule>
    <cfRule type="expression" dxfId="222" priority="772">
      <formula>IF(Q39&gt;=R39,IF(Q39="",FALSE,TRUE))</formula>
    </cfRule>
  </conditionalFormatting>
  <conditionalFormatting sqref="Q65:Q70">
    <cfRule type="expression" dxfId="221" priority="224">
      <formula>IF(Q65&gt;=R65,IF(Q65="",FALSE,TRUE))</formula>
    </cfRule>
    <cfRule type="expression" dxfId="220" priority="223">
      <formula>OR(IF(Q65&lt;R65,TRUE),IF(AND(R65="",Q65&lt;&gt;""),TRUE))</formula>
    </cfRule>
  </conditionalFormatting>
  <conditionalFormatting sqref="V39:V50">
    <cfRule type="expression" dxfId="219" priority="765">
      <formula>OR(IF(V39&lt;W39,TRUE),IF(AND(W39="",V39&lt;&gt;""),TRUE))</formula>
    </cfRule>
    <cfRule type="expression" dxfId="218" priority="766">
      <formula>IF(V39&gt;=W39,IF(V39="",FALSE,TRUE))</formula>
    </cfRule>
  </conditionalFormatting>
  <conditionalFormatting sqref="X5:X13">
    <cfRule type="expression" dxfId="217" priority="209">
      <formula>OR(IF(X5&lt;Y5,TRUE),IF(AND(Y5="",X5&lt;&gt;""),TRUE))</formula>
    </cfRule>
    <cfRule type="expression" dxfId="216" priority="210">
      <formula>IF(X5&gt;=Y5,IF(X5="",FALSE,TRUE))</formula>
    </cfRule>
  </conditionalFormatting>
  <conditionalFormatting sqref="X39:X50">
    <cfRule type="expression" dxfId="215" priority="138">
      <formula>IF(X39&gt;=Y39,IF(X39="",FALSE,TRUE))</formula>
    </cfRule>
    <cfRule type="expression" dxfId="214" priority="137">
      <formula>OR(IF(X39&lt;Y39,TRUE),IF(AND(Y39="",X39&lt;&gt;""),TRUE))</formula>
    </cfRule>
  </conditionalFormatting>
  <conditionalFormatting sqref="X65:X70">
    <cfRule type="expression" dxfId="213" priority="226">
      <formula>IF(X65&gt;=Y65,IF(X65="",FALSE,TRUE))</formula>
    </cfRule>
    <cfRule type="expression" dxfId="212" priority="225">
      <formula>OR(IF(X65&lt;Y65,TRUE),IF(AND(Y65="",X65&lt;&gt;""),TRUE))</formula>
    </cfRule>
  </conditionalFormatting>
  <conditionalFormatting sqref="AC39:AC50">
    <cfRule type="expression" dxfId="211" priority="757">
      <formula>OR(IF(AC39&lt;AD39,TRUE),IF(AND(AD39="",AC39&lt;&gt;""),TRUE))</formula>
    </cfRule>
    <cfRule type="expression" dxfId="210" priority="758">
      <formula>IF(AC39&gt;=AD39,IF(AC39="",FALSE,TRUE))</formula>
    </cfRule>
  </conditionalFormatting>
  <conditionalFormatting sqref="AE5:AE13">
    <cfRule type="expression" dxfId="209" priority="211">
      <formula>OR(IF(AE5&lt;AF5,TRUE),IF(AND(AF5="",AE5&lt;&gt;""),TRUE))</formula>
    </cfRule>
    <cfRule type="expression" dxfId="208" priority="212">
      <formula>IF(AE5&gt;=AF5,IF(AE5="",FALSE,TRUE))</formula>
    </cfRule>
  </conditionalFormatting>
  <conditionalFormatting sqref="AE39:AE50">
    <cfRule type="expression" dxfId="207" priority="135">
      <formula>OR(IF(AE39&lt;AF39,TRUE),IF(AND(AF39="",AE39&lt;&gt;""),TRUE))</formula>
    </cfRule>
    <cfRule type="expression" dxfId="206" priority="136">
      <formula>IF(AE39&gt;=AF39,IF(AE39="",FALSE,TRUE))</formula>
    </cfRule>
  </conditionalFormatting>
  <conditionalFormatting sqref="AE65:AE70">
    <cfRule type="expression" dxfId="205" priority="49">
      <formula>OR(IF(AE65&lt;AF65,TRUE),IF(AND(AF65="",AE65&lt;&gt;""),TRUE))</formula>
    </cfRule>
    <cfRule type="expression" dxfId="204" priority="50">
      <formula>IF(AE65&gt;=AF65,IF(AE65="",FALSE,TRUE))</formula>
    </cfRule>
  </conditionalFormatting>
  <conditionalFormatting sqref="AJ39:AJ50">
    <cfRule type="expression" dxfId="203" priority="749">
      <formula>OR(IF(AJ39&lt;AK39,TRUE),IF(AND(AK39="",AJ39&lt;&gt;""),TRUE))</formula>
    </cfRule>
    <cfRule type="expression" dxfId="202" priority="750">
      <formula>IF(AJ39&gt;=AK39,IF(AJ39="",FALSE,TRUE))</formula>
    </cfRule>
  </conditionalFormatting>
  <conditionalFormatting sqref="AL5:AL13">
    <cfRule type="expression" dxfId="201" priority="205">
      <formula>OR(IF(AL5&lt;AM5,TRUE),IF(AND(AM5="",AL5&lt;&gt;""),TRUE))</formula>
    </cfRule>
    <cfRule type="expression" dxfId="200" priority="206">
      <formula>IF(AL5&gt;=AM5,IF(AL5="",FALSE,TRUE))</formula>
    </cfRule>
  </conditionalFormatting>
  <conditionalFormatting sqref="AL39:AL50">
    <cfRule type="expression" dxfId="199" priority="132">
      <formula>IF(AL39&gt;=AM39,IF(AL39="",FALSE,TRUE))</formula>
    </cfRule>
    <cfRule type="expression" dxfId="198" priority="131">
      <formula>OR(IF(AL39&lt;AM39,TRUE),IF(AND(AM39="",AL39&lt;&gt;""),TRUE))</formula>
    </cfRule>
  </conditionalFormatting>
  <conditionalFormatting sqref="AL65:AL70">
    <cfRule type="expression" dxfId="197" priority="45">
      <formula>OR(IF(AL65&lt;AM65,TRUE),IF(AND(AM65="",AL65&lt;&gt;""),TRUE))</formula>
    </cfRule>
    <cfRule type="expression" dxfId="196" priority="46">
      <formula>IF(AL65&gt;=AM65,IF(AL65="",FALSE,TRUE))</formula>
    </cfRule>
  </conditionalFormatting>
  <conditionalFormatting sqref="AQ39:AQ50">
    <cfRule type="expression" dxfId="195" priority="742">
      <formula>IF(AQ39&gt;=AR39,IF(AQ39="",FALSE,TRUE))</formula>
    </cfRule>
    <cfRule type="expression" dxfId="194" priority="741">
      <formula>OR(IF(AQ39&lt;AR39,TRUE),IF(AND(AR39="",AQ39&lt;&gt;""),TRUE))</formula>
    </cfRule>
  </conditionalFormatting>
  <conditionalFormatting sqref="AS5:AS13">
    <cfRule type="expression" dxfId="193" priority="201">
      <formula>OR(IF(AS5&lt;AT5,TRUE),IF(AND(AT5="",AS5&lt;&gt;""),TRUE))</formula>
    </cfRule>
    <cfRule type="expression" dxfId="192" priority="202">
      <formula>IF(AS5&gt;=AT5,IF(AS5="",FALSE,TRUE))</formula>
    </cfRule>
  </conditionalFormatting>
  <conditionalFormatting sqref="AS39:AS50">
    <cfRule type="expression" dxfId="191" priority="125">
      <formula>OR(IF(AS39&lt;AT39,TRUE),IF(AND(AT39="",AS39&lt;&gt;""),TRUE))</formula>
    </cfRule>
    <cfRule type="expression" dxfId="190" priority="126">
      <formula>IF(AS39&gt;=AT39,IF(AS39="",FALSE,TRUE))</formula>
    </cfRule>
  </conditionalFormatting>
  <conditionalFormatting sqref="AS65:AS70">
    <cfRule type="expression" dxfId="189" priority="42">
      <formula>IF(AS65&gt;=AT65,IF(AS65="",FALSE,TRUE))</formula>
    </cfRule>
    <cfRule type="expression" dxfId="188" priority="41">
      <formula>OR(IF(AS65&lt;AT65,TRUE),IF(AND(AT65="",AS65&lt;&gt;""),TRUE))</formula>
    </cfRule>
  </conditionalFormatting>
  <conditionalFormatting sqref="AS84:AS86 AZ84:AZ86 BG84:BG86 BN84:BN86 O84:O95 Q84:Q95 V84:V95 X84:X95 AC84:AC95 AE84:AE95 AJ84:AJ95 AL84:AL95 AQ84:AQ95 AX84:AX95 BE84:BE95 BL84:BL95 AS89:AS95 AZ89:AZ95 BG89:BG95 BN89:BN95">
    <cfRule type="expression" dxfId="187" priority="420">
      <formula>IF(O84&gt;=P84,IF(O84="",FALSE,TRUE))</formula>
    </cfRule>
    <cfRule type="expression" dxfId="186" priority="419">
      <formula>OR(IF(O84&lt;P84,TRUE),IF(AND(P84="",O84&lt;&gt;""),TRUE))</formula>
    </cfRule>
  </conditionalFormatting>
  <conditionalFormatting sqref="AX39:AX50">
    <cfRule type="expression" dxfId="185" priority="734">
      <formula>IF(AX39&gt;=AY39,IF(AX39="",FALSE,TRUE))</formula>
    </cfRule>
    <cfRule type="expression" dxfId="184" priority="733">
      <formula>OR(IF(AX39&lt;AY39,TRUE),IF(AND(AY39="",AX39&lt;&gt;""),TRUE))</formula>
    </cfRule>
  </conditionalFormatting>
  <conditionalFormatting sqref="AZ5:AZ13">
    <cfRule type="expression" dxfId="183" priority="196">
      <formula>IF(AZ5&gt;=BA5,IF(AZ5="",FALSE,TRUE))</formula>
    </cfRule>
    <cfRule type="expression" dxfId="182" priority="195">
      <formula>OR(IF(AZ5&lt;BA5,TRUE),IF(AND(BA5="",AZ5&lt;&gt;""),TRUE))</formula>
    </cfRule>
  </conditionalFormatting>
  <conditionalFormatting sqref="AZ39:AZ50">
    <cfRule type="expression" dxfId="181" priority="117">
      <formula>OR(IF(AZ39&lt;BA39,TRUE),IF(AND(BA39="",AZ39&lt;&gt;""),TRUE))</formula>
    </cfRule>
    <cfRule type="expression" dxfId="180" priority="118">
      <formula>IF(AZ39&gt;=BA39,IF(AZ39="",FALSE,TRUE))</formula>
    </cfRule>
  </conditionalFormatting>
  <conditionalFormatting sqref="AZ65:AZ70">
    <cfRule type="expression" dxfId="179" priority="38">
      <formula>IF(AZ65&gt;=BA65,IF(AZ65="",FALSE,TRUE))</formula>
    </cfRule>
    <cfRule type="expression" dxfId="178" priority="37">
      <formula>OR(IF(AZ65&lt;BA65,TRUE),IF(AND(BA65="",AZ65&lt;&gt;""),TRUE))</formula>
    </cfRule>
  </conditionalFormatting>
  <conditionalFormatting sqref="BE5:BE13">
    <cfRule type="expression" dxfId="177" priority="284">
      <formula>IF(BE5&gt;=BF5,IF(BE5="",FALSE,TRUE))</formula>
    </cfRule>
    <cfRule type="expression" dxfId="176" priority="283">
      <formula>OR(IF(BE5&lt;BF5,TRUE),IF(AND(BF5="",BE5&lt;&gt;""),TRUE))</formula>
    </cfRule>
  </conditionalFormatting>
  <conditionalFormatting sqref="BE39:BE50">
    <cfRule type="expression" dxfId="175" priority="726">
      <formula>IF(BE39&gt;=BF39,IF(BE39="",FALSE,TRUE))</formula>
    </cfRule>
    <cfRule type="expression" dxfId="174" priority="725">
      <formula>OR(IF(BE39&lt;BF39,TRUE),IF(AND(BF39="",BE39&lt;&gt;""),TRUE))</formula>
    </cfRule>
  </conditionalFormatting>
  <conditionalFormatting sqref="BG5:BG13">
    <cfRule type="expression" dxfId="173" priority="188">
      <formula>IF(BG5&gt;=BH5,IF(BG5="",FALSE,TRUE))</formula>
    </cfRule>
    <cfRule type="expression" dxfId="172" priority="187">
      <formula>OR(IF(BG5&lt;BH5,TRUE),IF(AND(BH5="",BG5&lt;&gt;""),TRUE))</formula>
    </cfRule>
  </conditionalFormatting>
  <conditionalFormatting sqref="BG39:BG50">
    <cfRule type="expression" dxfId="171" priority="107">
      <formula>OR(IF(BG39&lt;BH39,TRUE),IF(AND(BH39="",BG39&lt;&gt;""),TRUE))</formula>
    </cfRule>
    <cfRule type="expression" dxfId="170" priority="108">
      <formula>IF(BG39&gt;=BH39,IF(BG39="",FALSE,TRUE))</formula>
    </cfRule>
  </conditionalFormatting>
  <conditionalFormatting sqref="BG65:BG70">
    <cfRule type="expression" dxfId="169" priority="32">
      <formula>IF(BG65&gt;=BH65,IF(BG65="",FALSE,TRUE))</formula>
    </cfRule>
    <cfRule type="expression" dxfId="168" priority="31">
      <formula>OR(IF(BG65&lt;BH65,TRUE),IF(AND(BH65="",BG65&lt;&gt;""),TRUE))</formula>
    </cfRule>
  </conditionalFormatting>
  <conditionalFormatting sqref="BL5:BL13">
    <cfRule type="expression" dxfId="167" priority="287">
      <formula>OR(IF(BL5&lt;BM5,TRUE),IF(AND(BM5="",BL5&lt;&gt;""),TRUE))</formula>
    </cfRule>
    <cfRule type="expression" dxfId="166" priority="288">
      <formula>IF(BL5&gt;=BM5,IF(BL5="",FALSE,TRUE))</formula>
    </cfRule>
  </conditionalFormatting>
  <conditionalFormatting sqref="BL39:BL50">
    <cfRule type="expression" dxfId="165" priority="715">
      <formula>IF(BL39&gt;=BM39,IF(BL39="",FALSE,TRUE))</formula>
    </cfRule>
    <cfRule type="expression" dxfId="164" priority="714">
      <formula>OR(IF(BL39&lt;BM39,TRUE),IF(AND(BM39="",BL39&lt;&gt;""),TRUE))</formula>
    </cfRule>
  </conditionalFormatting>
  <conditionalFormatting sqref="BN5:BN13">
    <cfRule type="expression" dxfId="163" priority="180">
      <formula>IF(BN5&gt;=BO5,IF(BN5="",FALSE,TRUE))</formula>
    </cfRule>
    <cfRule type="expression" dxfId="162" priority="179">
      <formula>OR(IF(BN5&lt;BO5,TRUE),IF(AND(BO5="",BN5&lt;&gt;""),TRUE))</formula>
    </cfRule>
  </conditionalFormatting>
  <conditionalFormatting sqref="BN39:BN50">
    <cfRule type="expression" dxfId="161" priority="97">
      <formula>OR(IF(BN39&lt;BO39,TRUE),IF(AND(BO39="",BN39&lt;&gt;""),TRUE))</formula>
    </cfRule>
    <cfRule type="expression" dxfId="160" priority="98">
      <formula>IF(BN39&gt;=BO39,IF(BN39="",FALSE,TRUE))</formula>
    </cfRule>
  </conditionalFormatting>
  <conditionalFormatting sqref="BN65:BN70">
    <cfRule type="expression" dxfId="159" priority="25">
      <formula>OR(IF(BN65&lt;BO65,TRUE),IF(AND(BO65="",BN65&lt;&gt;""),TRUE))</formula>
    </cfRule>
    <cfRule type="expression" dxfId="158" priority="26">
      <formula>IF(BN65&gt;=BO65,IF(BN65="",FALSE,TRUE))</formula>
    </cfRule>
  </conditionalFormatting>
  <conditionalFormatting sqref="BS16:BS25">
    <cfRule type="expression" dxfId="157" priority="303">
      <formula>OR(IF(BS16&lt;BT16,TRUE),IF(AND(BT16="",BS16&lt;&gt;""),TRUE))</formula>
    </cfRule>
    <cfRule type="expression" dxfId="156" priority="304">
      <formula>IF(BS16&gt;=BT16,IF(BS16="",FALSE,TRUE))</formula>
    </cfRule>
  </conditionalFormatting>
  <conditionalFormatting sqref="BS39:BS50">
    <cfRule type="expression" dxfId="155" priority="302">
      <formula>IF(BS39&gt;=BT39,IF(BS39="",FALSE,TRUE))</formula>
    </cfRule>
    <cfRule type="expression" dxfId="154" priority="301">
      <formula>OR(IF(BS39&lt;BT39,TRUE),IF(AND(BT39="",BS39&lt;&gt;""),TRUE))</formula>
    </cfRule>
  </conditionalFormatting>
  <conditionalFormatting sqref="BS53:BS62">
    <cfRule type="expression" dxfId="153" priority="300">
      <formula>IF(BS53&gt;=BT53,IF(BS53="",FALSE,TRUE))</formula>
    </cfRule>
    <cfRule type="expression" dxfId="152" priority="299">
      <formula>OR(IF(BS53&lt;BT53,TRUE),IF(AND(BT53="",BS53&lt;&gt;""),TRUE))</formula>
    </cfRule>
  </conditionalFormatting>
  <conditionalFormatting sqref="BS65:BS70">
    <cfRule type="expression" dxfId="151" priority="455">
      <formula>OR(IF(BS65&lt;BT65,TRUE),IF(AND(BT65="",BS65&lt;&gt;""),TRUE))</formula>
    </cfRule>
    <cfRule type="expression" dxfId="150" priority="456">
      <formula>IF(BS65&gt;=BT65,IF(BS65="",FALSE,TRUE))</formula>
    </cfRule>
  </conditionalFormatting>
  <conditionalFormatting sqref="BS84:BS95">
    <cfRule type="expression" dxfId="149" priority="294">
      <formula>IF(BS84&gt;=BT84,IF(BS84="",FALSE,TRUE))</formula>
    </cfRule>
    <cfRule type="expression" dxfId="148" priority="293">
      <formula>OR(IF(BS84&lt;BT84,TRUE),IF(AND(BT84="",BS84&lt;&gt;""),TRUE))</formula>
    </cfRule>
  </conditionalFormatting>
  <conditionalFormatting sqref="BU5:BU13">
    <cfRule type="expression" dxfId="147" priority="172">
      <formula>IF(BU5&gt;=BV5,IF(BU5="",FALSE,TRUE))</formula>
    </cfRule>
    <cfRule type="expression" dxfId="146" priority="171">
      <formula>OR(IF(BU5&lt;BV5,TRUE),IF(AND(BV5="",BU5&lt;&gt;""),TRUE))</formula>
    </cfRule>
  </conditionalFormatting>
  <conditionalFormatting sqref="BU16:BU25">
    <cfRule type="expression" dxfId="145" priority="146">
      <formula>IF(BU16&gt;=BV16,IF(BU16="",FALSE,TRUE))</formula>
    </cfRule>
    <cfRule type="expression" dxfId="144" priority="145">
      <formula>OR(IF(BU16&lt;BV16,TRUE),IF(AND(BV16="",BU16&lt;&gt;""),TRUE))</formula>
    </cfRule>
  </conditionalFormatting>
  <conditionalFormatting sqref="BU39:BU50">
    <cfRule type="expression" dxfId="143" priority="88">
      <formula>IF(BU39&gt;=BV39,IF(BU39="",FALSE,TRUE))</formula>
    </cfRule>
    <cfRule type="expression" dxfId="142" priority="87">
      <formula>OR(IF(BU39&lt;BV39,TRUE),IF(AND(BV39="",BU39&lt;&gt;""),TRUE))</formula>
    </cfRule>
  </conditionalFormatting>
  <conditionalFormatting sqref="BU53:BU62">
    <cfRule type="expression" dxfId="141" priority="56">
      <formula>IF(BU53&gt;=BV53,IF(BU53="",FALSE,TRUE))</formula>
    </cfRule>
    <cfRule type="expression" dxfId="140" priority="55">
      <formula>OR(IF(BU53&lt;BV53,TRUE),IF(AND(BV53="",BU53&lt;&gt;""),TRUE))</formula>
    </cfRule>
  </conditionalFormatting>
  <conditionalFormatting sqref="BU65:BU70">
    <cfRule type="expression" dxfId="139" priority="20">
      <formula>IF(BU65&gt;=BV65,IF(BU65="",FALSE,TRUE))</formula>
    </cfRule>
    <cfRule type="expression" dxfId="138" priority="19">
      <formula>OR(IF(BU65&lt;BV65,TRUE),IF(AND(BV65="",BU65&lt;&gt;""),TRUE))</formula>
    </cfRule>
  </conditionalFormatting>
  <conditionalFormatting sqref="BU84:BU86 BU89:BU95">
    <cfRule type="expression" dxfId="137" priority="6">
      <formula>IF(BU84&gt;=BV84,IF(BU84="",FALSE,TRUE))</formula>
    </cfRule>
    <cfRule type="expression" dxfId="136" priority="5">
      <formula>OR(IF(BU84&lt;BV84,TRUE),IF(AND(BV84="",BU84&lt;&gt;""),TRUE))</formula>
    </cfRule>
  </conditionalFormatting>
  <conditionalFormatting sqref="BZ39:BZ50">
    <cfRule type="expression" dxfId="135" priority="569">
      <formula>OR(IF(BZ39&lt;CA39,TRUE),IF(AND(CA39="",BZ39&lt;&gt;""),TRUE))</formula>
    </cfRule>
    <cfRule type="expression" dxfId="134" priority="570">
      <formula>IF(BZ39&gt;=CA39,IF(BZ39="",FALSE,TRUE))</formula>
    </cfRule>
  </conditionalFormatting>
  <conditionalFormatting sqref="BZ53:BZ62">
    <cfRule type="expression" dxfId="133" priority="581">
      <formula>OR(IF(BZ53&lt;CA53,TRUE),IF(AND(CA53="",BZ53&lt;&gt;""),TRUE))</formula>
    </cfRule>
    <cfRule type="expression" dxfId="132" priority="582">
      <formula>IF(BZ53&gt;=CA53,IF(BZ53="",FALSE,TRUE))</formula>
    </cfRule>
  </conditionalFormatting>
  <conditionalFormatting sqref="BZ65:BZ70">
    <cfRule type="expression" dxfId="131" priority="454">
      <formula>IF(BZ65&gt;=CA65,IF(BZ65="",FALSE,TRUE))</formula>
    </cfRule>
    <cfRule type="expression" dxfId="130" priority="453">
      <formula>OR(IF(BZ65&lt;CA65,TRUE),IF(AND(CA65="",BZ65&lt;&gt;""),TRUE))</formula>
    </cfRule>
  </conditionalFormatting>
  <conditionalFormatting sqref="BZ84:BZ95">
    <cfRule type="expression" dxfId="129" priority="416">
      <formula>IF(BZ84&gt;=CA84,IF(BZ84="",FALSE,TRUE))</formula>
    </cfRule>
    <cfRule type="expression" dxfId="128" priority="415">
      <formula>OR(IF(BZ84&lt;CA84,TRUE),IF(AND(CA84="",BZ84&lt;&gt;""),TRUE))</formula>
    </cfRule>
  </conditionalFormatting>
  <conditionalFormatting sqref="CB5:CB13">
    <cfRule type="expression" dxfId="127" priority="164">
      <formula>IF(CB5&gt;=CC5,IF(CB5="",FALSE,TRUE))</formula>
    </cfRule>
    <cfRule type="expression" dxfId="126" priority="163">
      <formula>OR(IF(CB5&lt;CC5,TRUE),IF(AND(CC5="",CB5&lt;&gt;""),TRUE))</formula>
    </cfRule>
  </conditionalFormatting>
  <conditionalFormatting sqref="CB16:CB25">
    <cfRule type="expression" dxfId="125" priority="144">
      <formula>IF(CB16&gt;=CC16,IF(CB16="",FALSE,TRUE))</formula>
    </cfRule>
    <cfRule type="expression" dxfId="124" priority="143">
      <formula>OR(IF(CB16&lt;CC16,TRUE),IF(AND(CC16="",CB16&lt;&gt;""),TRUE))</formula>
    </cfRule>
  </conditionalFormatting>
  <conditionalFormatting sqref="CB39:CB50">
    <cfRule type="expression" dxfId="123" priority="78">
      <formula>IF(CB39&gt;=CC39,IF(CB39="",FALSE,TRUE))</formula>
    </cfRule>
    <cfRule type="expression" dxfId="122" priority="77">
      <formula>OR(IF(CB39&lt;CC39,TRUE),IF(AND(CC39="",CB39&lt;&gt;""),TRUE))</formula>
    </cfRule>
  </conditionalFormatting>
  <conditionalFormatting sqref="CB53:CB62">
    <cfRule type="expression" dxfId="121" priority="53">
      <formula>OR(IF(CB53&lt;CC53,TRUE),IF(AND(CC53="",CB53&lt;&gt;""),TRUE))</formula>
    </cfRule>
    <cfRule type="expression" dxfId="120" priority="54">
      <formula>IF(CB53&gt;=CC53,IF(CB53="",FALSE,TRUE))</formula>
    </cfRule>
  </conditionalFormatting>
  <conditionalFormatting sqref="CB65:CB70">
    <cfRule type="expression" dxfId="119" priority="14">
      <formula>IF(CB65&gt;=CC65,IF(CB65="",FALSE,TRUE))</formula>
    </cfRule>
    <cfRule type="expression" dxfId="118" priority="13">
      <formula>OR(IF(CB65&lt;CC65,TRUE),IF(AND(CC65="",CB65&lt;&gt;""),TRUE))</formula>
    </cfRule>
  </conditionalFormatting>
  <conditionalFormatting sqref="CB84:CB86 CB89:CB95">
    <cfRule type="expression" dxfId="117" priority="3">
      <formula>OR(IF(CB84&lt;CC84,TRUE),IF(AND(CC84="",CB84&lt;&gt;""),TRUE))</formula>
    </cfRule>
    <cfRule type="expression" dxfId="116" priority="4">
      <formula>IF(CB84&gt;=CC84,IF(CB84="",FALSE,TRUE))</formula>
    </cfRule>
  </conditionalFormatting>
  <conditionalFormatting sqref="CG39:CG50">
    <cfRule type="expression" dxfId="115" priority="549">
      <formula>OR(IF(CG39&lt;CH39,TRUE),IF(AND(CH39="",CG39&lt;&gt;""),TRUE))</formula>
    </cfRule>
    <cfRule type="expression" dxfId="114" priority="550">
      <formula>IF(CG39&gt;=CH39,IF(CG39="",FALSE,TRUE))</formula>
    </cfRule>
  </conditionalFormatting>
  <conditionalFormatting sqref="CG53:CG62">
    <cfRule type="expression" dxfId="113" priority="562">
      <formula>IF(CG53&gt;=CH53,IF(CG53="",FALSE,TRUE))</formula>
    </cfRule>
    <cfRule type="expression" dxfId="112" priority="561">
      <formula>OR(IF(CG53&lt;CH53,TRUE),IF(AND(CH53="",CG53&lt;&gt;""),TRUE))</formula>
    </cfRule>
  </conditionalFormatting>
  <conditionalFormatting sqref="CG65:CG70">
    <cfRule type="expression" dxfId="111" priority="452">
      <formula>IF(CG65&gt;=CH65,IF(CG65="",FALSE,TRUE))</formula>
    </cfRule>
    <cfRule type="expression" dxfId="110" priority="451">
      <formula>OR(IF(CG65&lt;CH65,TRUE),IF(AND(CH65="",CG65&lt;&gt;""),TRUE))</formula>
    </cfRule>
  </conditionalFormatting>
  <conditionalFormatting sqref="CG84:CG95">
    <cfRule type="expression" dxfId="109" priority="414">
      <formula>IF(CG84&gt;=CH84,IF(CG84="",FALSE,TRUE))</formula>
    </cfRule>
    <cfRule type="expression" dxfId="108" priority="413">
      <formula>OR(IF(CG84&lt;CH84,TRUE),IF(AND(CH84="",CG84&lt;&gt;""),TRUE))</formula>
    </cfRule>
  </conditionalFormatting>
  <conditionalFormatting sqref="CI5:CI13">
    <cfRule type="expression" dxfId="107" priority="155">
      <formula>OR(IF(CI5&lt;CJ5,TRUE),IF(AND(CJ5="",CI5&lt;&gt;""),TRUE))</formula>
    </cfRule>
    <cfRule type="expression" dxfId="106" priority="156">
      <formula>IF(CI5&gt;=CJ5,IF(CI5="",FALSE,TRUE))</formula>
    </cfRule>
  </conditionalFormatting>
  <conditionalFormatting sqref="CI16:CI25">
    <cfRule type="expression" dxfId="105" priority="142">
      <formula>IF(CI16&gt;=CJ16,IF(CI16="",FALSE,TRUE))</formula>
    </cfRule>
    <cfRule type="expression" dxfId="104" priority="141">
      <formula>OR(IF(CI16&lt;CJ16,TRUE),IF(AND(CJ16="",CI16&lt;&gt;""),TRUE))</formula>
    </cfRule>
  </conditionalFormatting>
  <conditionalFormatting sqref="CI39:CI50">
    <cfRule type="expression" dxfId="103" priority="67">
      <formula>OR(IF(CI39&lt;CJ39,TRUE),IF(AND(CJ39="",CI39&lt;&gt;""),TRUE))</formula>
    </cfRule>
    <cfRule type="expression" dxfId="102" priority="68">
      <formula>IF(CI39&gt;=CJ39,IF(CI39="",FALSE,TRUE))</formula>
    </cfRule>
  </conditionalFormatting>
  <conditionalFormatting sqref="CI53:CI62">
    <cfRule type="expression" dxfId="101" priority="51">
      <formula>OR(IF(CI53&lt;CJ53,TRUE),IF(AND(CJ53="",CI53&lt;&gt;""),TRUE))</formula>
    </cfRule>
    <cfRule type="expression" dxfId="100" priority="52">
      <formula>IF(CI53&gt;=CJ53,IF(CI53="",FALSE,TRUE))</formula>
    </cfRule>
  </conditionalFormatting>
  <conditionalFormatting sqref="CI65:CI70">
    <cfRule type="expression" dxfId="99" priority="8">
      <formula>IF(CI65&gt;=CJ65,IF(CI65="",FALSE,TRUE))</formula>
    </cfRule>
    <cfRule type="expression" dxfId="98" priority="7">
      <formula>OR(IF(CI65&lt;CJ65,TRUE),IF(AND(CJ65="",CI65&lt;&gt;""),TRUE))</formula>
    </cfRule>
  </conditionalFormatting>
  <conditionalFormatting sqref="CI84:CI86 CI89 CI92:CI95">
    <cfRule type="expression" dxfId="97" priority="1">
      <formula>OR(IF(CI84&lt;CJ84,TRUE),IF(AND(CJ84="",CI84&lt;&gt;""),TRUE))</formula>
    </cfRule>
    <cfRule type="expression" dxfId="96" priority="2">
      <formula>IF(CI84&gt;=CJ84,IF(CI84="",FALSE,TRUE))</formula>
    </cfRule>
  </conditionalFormatting>
  <conditionalFormatting sqref="CN39:CN50">
    <cfRule type="expression" dxfId="95" priority="529">
      <formula>OR(IF(CN39&lt;CO39,TRUE),IF(AND(CO39="",CN39&lt;&gt;""),TRUE))</formula>
    </cfRule>
    <cfRule type="expression" dxfId="94" priority="530">
      <formula>IF(CN39&gt;=CO39,IF(CN39="",FALSE,TRUE))</formula>
    </cfRule>
  </conditionalFormatting>
  <conditionalFormatting sqref="CN53:CN62 CP53:CP62">
    <cfRule type="expression" dxfId="93" priority="541">
      <formula>OR(IF(CN53&lt;CO53,TRUE),IF(AND(CO53="",CN53&lt;&gt;""),TRUE))</formula>
    </cfRule>
    <cfRule type="expression" dxfId="92" priority="542">
      <formula>IF(CN53&gt;=CO53,IF(CN53="",FALSE,TRUE))</formula>
    </cfRule>
  </conditionalFormatting>
  <conditionalFormatting sqref="CN65:CN70 CP65:CP70">
    <cfRule type="expression" dxfId="91" priority="450">
      <formula>IF(CN65&gt;=CO65,IF(CN65="",FALSE,TRUE))</formula>
    </cfRule>
    <cfRule type="expression" dxfId="90" priority="449">
      <formula>OR(IF(CN65&lt;CO65,TRUE),IF(AND(CO65="",CN65&lt;&gt;""),TRUE))</formula>
    </cfRule>
  </conditionalFormatting>
  <conditionalFormatting sqref="CN84:CN95 CP84:CP95">
    <cfRule type="expression" dxfId="89" priority="411">
      <formula>OR(IF(CN84&lt;CO84,TRUE),IF(AND(CO84="",CN84&lt;&gt;""),TRUE))</formula>
    </cfRule>
    <cfRule type="expression" dxfId="88" priority="412">
      <formula>IF(CN84&gt;=CO84,IF(CN84="",FALSE,TRUE))</formula>
    </cfRule>
  </conditionalFormatting>
  <conditionalFormatting sqref="CP5:CP13">
    <cfRule type="expression" dxfId="87" priority="148">
      <formula>IF(CP5&gt;=CQ5,IF(CP5="",FALSE,TRUE))</formula>
    </cfRule>
    <cfRule type="expression" dxfId="86" priority="147">
      <formula>OR(IF(CP5&lt;CQ5,TRUE),IF(AND(CQ5="",CP5&lt;&gt;""),TRUE))</formula>
    </cfRule>
  </conditionalFormatting>
  <conditionalFormatting sqref="CP16:CP25">
    <cfRule type="expression" dxfId="85" priority="140">
      <formula>IF(CP16&gt;=CQ16,IF(CP16="",FALSE,TRUE))</formula>
    </cfRule>
    <cfRule type="expression" dxfId="84" priority="139">
      <formula>OR(IF(CP16&lt;CQ16,TRUE),IF(AND(CQ16="",CP16&lt;&gt;""),TRUE))</formula>
    </cfRule>
  </conditionalFormatting>
  <conditionalFormatting sqref="CP39:CP50">
    <cfRule type="expression" dxfId="83" priority="58">
      <formula>IF(CP39&gt;=CQ39,IF(CP39="",FALSE,TRUE))</formula>
    </cfRule>
    <cfRule type="expression" dxfId="82" priority="57">
      <formula>OR(IF(CP39&lt;CQ39,TRUE),IF(AND(CQ39="",CP39&lt;&gt;""),TRUE))</formula>
    </cfRule>
  </conditionalFormatting>
  <conditionalFormatting sqref="CU39:CU50">
    <cfRule type="expression" dxfId="81" priority="510">
      <formula>IF(CU39&gt;=CV39,IF(CU39="",FALSE,TRUE))</formula>
    </cfRule>
    <cfRule type="expression" dxfId="80" priority="509">
      <formula>OR(IF(CU39&lt;CV39,TRUE),IF(AND(CV39="",CU39&lt;&gt;""),TRUE))</formula>
    </cfRule>
  </conditionalFormatting>
  <conditionalFormatting sqref="CU53:CU62 CW53:CW62">
    <cfRule type="expression" dxfId="79" priority="522">
      <formula>IF(CU53&gt;=CV53,IF(CU53="",FALSE,TRUE))</formula>
    </cfRule>
    <cfRule type="expression" dxfId="78" priority="521">
      <formula>OR(IF(CU53&lt;CV53,TRUE),IF(AND(CV53="",CU53&lt;&gt;""),TRUE))</formula>
    </cfRule>
  </conditionalFormatting>
  <conditionalFormatting sqref="CU65:CU70 CW65:CW70">
    <cfRule type="expression" dxfId="77" priority="447">
      <formula>OR(IF(CU65&lt;CV65,TRUE),IF(AND(CV65="",CU65&lt;&gt;""),TRUE))</formula>
    </cfRule>
    <cfRule type="expression" dxfId="76" priority="448">
      <formula>IF(CU65&gt;=CV65,IF(CU65="",FALSE,TRUE))</formula>
    </cfRule>
  </conditionalFormatting>
  <conditionalFormatting sqref="CU84:CU95 CW84:CW95">
    <cfRule type="expression" dxfId="75" priority="410">
      <formula>IF(CU84&gt;=CV84,IF(CU84="",FALSE,TRUE))</formula>
    </cfRule>
    <cfRule type="expression" dxfId="74" priority="409">
      <formula>OR(IF(CU84&lt;CV84,TRUE),IF(AND(CV84="",CU84&lt;&gt;""),TRUE))</formula>
    </cfRule>
  </conditionalFormatting>
  <conditionalFormatting sqref="CW39:CW50">
    <cfRule type="expression" dxfId="73" priority="507">
      <formula>OR(IF(CW39&lt;CX39,TRUE),IF(AND(CX39="",CW39&lt;&gt;""),TRUE))</formula>
    </cfRule>
    <cfRule type="expression" dxfId="72" priority="508">
      <formula>IF(CW39&gt;=CX39,IF(CW39="",FALSE,TRUE))</formula>
    </cfRule>
  </conditionalFormatting>
  <conditionalFormatting sqref="DB39:DB50">
    <cfRule type="expression" dxfId="71" priority="490">
      <formula>IF(DB39&gt;=DC39,IF(DB39="",FALSE,TRUE))</formula>
    </cfRule>
    <cfRule type="expression" dxfId="70" priority="489">
      <formula>OR(IF(DB39&lt;DC39,TRUE),IF(AND(DC39="",DB39&lt;&gt;""),TRUE))</formula>
    </cfRule>
  </conditionalFormatting>
  <conditionalFormatting sqref="DB53:DB62 DD53:DD62">
    <cfRule type="expression" dxfId="69" priority="501">
      <formula>OR(IF(DB53&lt;DC53,TRUE),IF(AND(DC53="",DB53&lt;&gt;""),TRUE))</formula>
    </cfRule>
    <cfRule type="expression" dxfId="68" priority="502">
      <formula>IF(DB53&gt;=DC53,IF(DB53="",FALSE,TRUE))</formula>
    </cfRule>
  </conditionalFormatting>
  <conditionalFormatting sqref="DB65:DB70 DD65:DD70">
    <cfRule type="expression" dxfId="67" priority="445">
      <formula>OR(IF(DB65&lt;DC65,TRUE),IF(AND(DC65="",DB65&lt;&gt;""),TRUE))</formula>
    </cfRule>
    <cfRule type="expression" dxfId="66" priority="446">
      <formula>IF(DB65&gt;=DC65,IF(DB65="",FALSE,TRUE))</formula>
    </cfRule>
  </conditionalFormatting>
  <conditionalFormatting sqref="DB84:DB95 DD84:DD95">
    <cfRule type="expression" dxfId="65" priority="407">
      <formula>OR(IF(DB84&lt;DC84,TRUE),IF(AND(DC84="",DB84&lt;&gt;""),TRUE))</formula>
    </cfRule>
    <cfRule type="expression" dxfId="64" priority="408">
      <formula>IF(DB84&gt;=DC84,IF(DB84="",FALSE,TRUE))</formula>
    </cfRule>
  </conditionalFormatting>
  <conditionalFormatting sqref="DD39:DD50">
    <cfRule type="expression" dxfId="63" priority="488">
      <formula>IF(DD39&gt;=DE39,IF(DD39="",FALSE,TRUE))</formula>
    </cfRule>
    <cfRule type="expression" dxfId="62" priority="487">
      <formula>OR(IF(DD39&lt;DE39,TRUE),IF(AND(DE39="",DD39&lt;&gt;""),TRUE))</formula>
    </cfRule>
  </conditionalFormatting>
  <conditionalFormatting sqref="DI39:DI50">
    <cfRule type="expression" dxfId="61" priority="398">
      <formula>IF(DI39&gt;=DJ39,IF(DI39="",FALSE,TRUE))</formula>
    </cfRule>
    <cfRule type="expression" dxfId="60" priority="397">
      <formula>OR(IF(DI39&lt;DJ39,TRUE),IF(AND(DJ39="",DI39&lt;&gt;""),TRUE))</formula>
    </cfRule>
  </conditionalFormatting>
  <conditionalFormatting sqref="DI53:DI62 DK53:DK62">
    <cfRule type="expression" dxfId="59" priority="403">
      <formula>OR(IF(DI53&lt;DJ53,TRUE),IF(AND(DJ53="",DI53&lt;&gt;""),TRUE))</formula>
    </cfRule>
    <cfRule type="expression" dxfId="58" priority="404">
      <formula>IF(DI53&gt;=DJ53,IF(DI53="",FALSE,TRUE))</formula>
    </cfRule>
  </conditionalFormatting>
  <conditionalFormatting sqref="DI65:DI70 DK65:DK70">
    <cfRule type="expression" dxfId="57" priority="389">
      <formula>OR(IF(DI65&lt;DJ65,TRUE),IF(AND(DJ65="",DI65&lt;&gt;""),TRUE))</formula>
    </cfRule>
    <cfRule type="expression" dxfId="56" priority="390">
      <formula>IF(DI65&gt;=DJ65,IF(DI65="",FALSE,TRUE))</formula>
    </cfRule>
  </conditionalFormatting>
  <conditionalFormatting sqref="DI84:DI95 DK84:DK95">
    <cfRule type="expression" dxfId="55" priority="386">
      <formula>IF(DI84&gt;=DJ84,IF(DI84="",FALSE,TRUE))</formula>
    </cfRule>
    <cfRule type="expression" dxfId="54" priority="385">
      <formula>OR(IF(DI84&lt;DJ84,TRUE),IF(AND(DJ84="",DI84&lt;&gt;""),TRUE))</formula>
    </cfRule>
  </conditionalFormatting>
  <conditionalFormatting sqref="DK39:DK50">
    <cfRule type="expression" dxfId="53" priority="395">
      <formula>OR(IF(DK39&lt;DL39,TRUE),IF(AND(DL39="",DK39&lt;&gt;""),TRUE))</formula>
    </cfRule>
    <cfRule type="expression" dxfId="52" priority="396">
      <formula>IF(DK39&gt;=DL39,IF(DK39="",FALSE,TRUE))</formula>
    </cfRule>
  </conditionalFormatting>
  <conditionalFormatting sqref="DP39:DP50">
    <cfRule type="expression" dxfId="51" priority="377">
      <formula>OR(IF(DP39&lt;DQ39,TRUE),IF(AND(DQ39="",DP39&lt;&gt;""),TRUE))</formula>
    </cfRule>
    <cfRule type="expression" dxfId="50" priority="378">
      <formula>IF(DP39&gt;=DQ39,IF(DP39="",FALSE,TRUE))</formula>
    </cfRule>
  </conditionalFormatting>
  <conditionalFormatting sqref="DP53:DP62 DR53:DR62">
    <cfRule type="expression" dxfId="49" priority="383">
      <formula>OR(IF(DP53&lt;DQ53,TRUE),IF(AND(DQ53="",DP53&lt;&gt;""),TRUE))</formula>
    </cfRule>
    <cfRule type="expression" dxfId="48" priority="384">
      <formula>IF(DP53&gt;=DQ53,IF(DP53="",FALSE,TRUE))</formula>
    </cfRule>
  </conditionalFormatting>
  <conditionalFormatting sqref="DP65:DP70 DR65:DR70">
    <cfRule type="expression" dxfId="47" priority="369">
      <formula>OR(IF(DP65&lt;DQ65,TRUE),IF(AND(DQ65="",DP65&lt;&gt;""),TRUE))</formula>
    </cfRule>
    <cfRule type="expression" dxfId="46" priority="370">
      <formula>IF(DP65&gt;=DQ65,IF(DP65="",FALSE,TRUE))</formula>
    </cfRule>
  </conditionalFormatting>
  <conditionalFormatting sqref="DP84:DP95 DR84:DR95">
    <cfRule type="expression" dxfId="45" priority="366">
      <formula>IF(DP84&gt;=DQ84,IF(DP84="",FALSE,TRUE))</formula>
    </cfRule>
    <cfRule type="expression" dxfId="44" priority="365">
      <formula>OR(IF(DP84&lt;DQ84,TRUE),IF(AND(DQ84="",DP84&lt;&gt;""),TRUE))</formula>
    </cfRule>
  </conditionalFormatting>
  <conditionalFormatting sqref="DR39:DR50">
    <cfRule type="expression" dxfId="43" priority="375">
      <formula>OR(IF(DR39&lt;DS39,TRUE),IF(AND(DS39="",DR39&lt;&gt;""),TRUE))</formula>
    </cfRule>
    <cfRule type="expression" dxfId="42" priority="376">
      <formula>IF(DR39&gt;=DS39,IF(DR39="",FALSE,TRUE))</formula>
    </cfRule>
  </conditionalFormatting>
  <conditionalFormatting sqref="DW39:DW50">
    <cfRule type="expression" dxfId="41" priority="357">
      <formula>OR(IF(DW39&lt;DX39,TRUE),IF(AND(DX39="",DW39&lt;&gt;""),TRUE))</formula>
    </cfRule>
    <cfRule type="expression" dxfId="40" priority="358">
      <formula>IF(DW39&gt;=DX39,IF(DW39="",FALSE,TRUE))</formula>
    </cfRule>
  </conditionalFormatting>
  <conditionalFormatting sqref="DW53:DW62 DY53:DY62">
    <cfRule type="expression" dxfId="39" priority="363">
      <formula>OR(IF(DW53&lt;DX53,TRUE),IF(AND(DX53="",DW53&lt;&gt;""),TRUE))</formula>
    </cfRule>
    <cfRule type="expression" dxfId="38" priority="364">
      <formula>IF(DW53&gt;=DX53,IF(DW53="",FALSE,TRUE))</formula>
    </cfRule>
  </conditionalFormatting>
  <conditionalFormatting sqref="DW65:DW70 DY65:DY70">
    <cfRule type="expression" dxfId="37" priority="349">
      <formula>OR(IF(DW65&lt;DX65,TRUE),IF(AND(DX65="",DW65&lt;&gt;""),TRUE))</formula>
    </cfRule>
    <cfRule type="expression" dxfId="36" priority="350">
      <formula>IF(DW65&gt;=DX65,IF(DW65="",FALSE,TRUE))</formula>
    </cfRule>
  </conditionalFormatting>
  <conditionalFormatting sqref="DW84:DW95 DY84:DY95">
    <cfRule type="expression" dxfId="35" priority="345">
      <formula>OR(IF(DW84&lt;DX84,TRUE),IF(AND(DX84="",DW84&lt;&gt;""),TRUE))</formula>
    </cfRule>
    <cfRule type="expression" dxfId="34" priority="346">
      <formula>IF(DW84&gt;=DX84,IF(DW84="",FALSE,TRUE))</formula>
    </cfRule>
  </conditionalFormatting>
  <conditionalFormatting sqref="DY39:DY50">
    <cfRule type="expression" dxfId="33" priority="356">
      <formula>IF(DY39&gt;=DZ39,IF(DY39="",FALSE,TRUE))</formula>
    </cfRule>
    <cfRule type="expression" dxfId="32" priority="355">
      <formula>OR(IF(DY39&lt;DZ39,TRUE),IF(AND(DZ39="",DY39&lt;&gt;""),TRUE))</formula>
    </cfRule>
  </conditionalFormatting>
  <conditionalFormatting sqref="ED39:ED50">
    <cfRule type="expression" dxfId="31" priority="337">
      <formula>OR(IF(ED39&lt;EE39,TRUE),IF(AND(EE39="",ED39&lt;&gt;""),TRUE))</formula>
    </cfRule>
    <cfRule type="expression" dxfId="30" priority="338">
      <formula>IF(ED39&gt;=EE39,IF(ED39="",FALSE,TRUE))</formula>
    </cfRule>
  </conditionalFormatting>
  <conditionalFormatting sqref="ED53:ED62 EF53:EF62">
    <cfRule type="expression" dxfId="29" priority="344">
      <formula>IF(ED53&gt;=EE53,IF(ED53="",FALSE,TRUE))</formula>
    </cfRule>
    <cfRule type="expression" dxfId="28" priority="343">
      <formula>OR(IF(ED53&lt;EE53,TRUE),IF(AND(EE53="",ED53&lt;&gt;""),TRUE))</formula>
    </cfRule>
  </conditionalFormatting>
  <conditionalFormatting sqref="ED65:ED70 EF65:EF70">
    <cfRule type="expression" dxfId="27" priority="329">
      <formula>OR(IF(ED65&lt;EE65,TRUE),IF(AND(EE65="",ED65&lt;&gt;""),TRUE))</formula>
    </cfRule>
    <cfRule type="expression" dxfId="26" priority="330">
      <formula>IF(ED65&gt;=EE65,IF(ED65="",FALSE,TRUE))</formula>
    </cfRule>
  </conditionalFormatting>
  <conditionalFormatting sqref="ED84:ED95 EF84:EF95">
    <cfRule type="expression" dxfId="25" priority="325">
      <formula>OR(IF(ED84&lt;EE84,TRUE),IF(AND(EE84="",ED84&lt;&gt;""),TRUE))</formula>
    </cfRule>
    <cfRule type="expression" dxfId="24" priority="326">
      <formula>IF(ED84&gt;=EE84,IF(ED84="",FALSE,TRUE))</formula>
    </cfRule>
  </conditionalFormatting>
  <conditionalFormatting sqref="EF39:EF50">
    <cfRule type="expression" dxfId="23" priority="336">
      <formula>IF(EF39&gt;=EG39,IF(EF39="",FALSE,TRUE))</formula>
    </cfRule>
    <cfRule type="expression" dxfId="22" priority="335">
      <formula>OR(IF(EF39&lt;EG39,TRUE),IF(AND(EG39="",EF39&lt;&gt;""),TRUE))</formula>
    </cfRule>
  </conditionalFormatting>
  <conditionalFormatting sqref="EK39:EK50">
    <cfRule type="expression" dxfId="21" priority="318">
      <formula>IF(EK39&gt;=EL39,IF(EK39="",FALSE,TRUE))</formula>
    </cfRule>
    <cfRule type="expression" dxfId="20" priority="317">
      <formula>OR(IF(EK39&lt;EL39,TRUE),IF(AND(EL39="",EK39&lt;&gt;""),TRUE))</formula>
    </cfRule>
  </conditionalFormatting>
  <conditionalFormatting sqref="EK53:EK62 EM53:EM62">
    <cfRule type="expression" dxfId="19" priority="324">
      <formula>IF(EK53&gt;=EL53,IF(EK53="",FALSE,TRUE))</formula>
    </cfRule>
    <cfRule type="expression" dxfId="18" priority="323">
      <formula>OR(IF(EK53&lt;EL53,TRUE),IF(AND(EL53="",EK53&lt;&gt;""),TRUE))</formula>
    </cfRule>
  </conditionalFormatting>
  <conditionalFormatting sqref="EK65:EK70 EM65:EM70">
    <cfRule type="expression" dxfId="17" priority="309">
      <formula>OR(IF(EK65&lt;EL65,TRUE),IF(AND(EL65="",EK65&lt;&gt;""),TRUE))</formula>
    </cfRule>
    <cfRule type="expression" dxfId="16" priority="310">
      <formula>IF(EK65&gt;=EL65,IF(EK65="",FALSE,TRUE))</formula>
    </cfRule>
  </conditionalFormatting>
  <conditionalFormatting sqref="EK84:EK95 EM84:EM95">
    <cfRule type="expression" dxfId="15" priority="305">
      <formula>OR(IF(EK84&lt;EL84,TRUE),IF(AND(EL84="",EK84&lt;&gt;""),TRUE))</formula>
    </cfRule>
    <cfRule type="expression" dxfId="14" priority="306">
      <formula>IF(EK84&gt;=EL84,IF(EK84="",FALSE,TRUE))</formula>
    </cfRule>
  </conditionalFormatting>
  <conditionalFormatting sqref="EM39:EM50">
    <cfRule type="expression" dxfId="13" priority="315">
      <formula>OR(IF(EM39&lt;EN39,TRUE),IF(AND(EN39="",EM39&lt;&gt;""),TRUE))</formula>
    </cfRule>
    <cfRule type="expression" dxfId="12" priority="316">
      <formula>IF(EM39&gt;=EN39,IF(EM39="",FALSE,TRUE))</formula>
    </cfRule>
  </conditionalFormatting>
  <dataValidations count="1">
    <dataValidation type="list" allowBlank="1" showInputMessage="1" showErrorMessage="1" sqref="AC53:AF62 BE28:BH36 O28:R36 AQ28:AT36 BZ53:CC62 AJ28:AM36 AC28:AF36 V28:Y36 CN16:CQ25 BE53:BH62 AQ53:AT62 AX53:BA62 AJ53:AM62 V53:Y62 CN39:CQ50 O53:R62 AX28:BA36 DB53:DE62 BZ28:CC36 CU28:CX36 CU53:CX62 DB28:DE36 CG53:CJ62 AC65:AF70 AQ65:AT70 AX65:BA70 BL65:BO70 BS65:BV70 AJ65:AM70 V65:Y70 BS73:BV81 BE65:BH70 BZ65:CC70 CU65:CX70 DB65:DE70 DI53:DL62 DI28:DL36 DI65:DL70 DP53:DS62 DP28:DS36 DP65:DS70 DW53:DZ62 DW28:DZ36 DW65:DZ70 ED53:EG62 ED28:EG36 ED65:EG70 EK53:EN62 EK73:EN81 EK28:EN36 EK65:EN70 O5:R13 AJ5:AM13 BE5:BH13 BL5:BO13 BS5:BV13 BZ5:CC13 AC5:AF13 ED84:EG95 V5:Y13 CU5:CX13 DB5:DE13 DI5:DL13 DP5:DS13 DW5:DZ13 ED5:EG13 EK5:EN13 CG28:CJ36 BS53:BV62 BL28:BO36 BL16:BO25 AQ5:AT13 CG5:CJ13 BS28:BV36 O65:R70 AX5:BA13 BL53:BO62 CN53:CQ62 CG65:CJ70 V73:Y81 AC73:AF81 AJ73:AM81 AQ73:AT81 AX73:BA81 BE73:BH81 O73:R81 BZ73:CC81 CN65:CQ70 CU73:CX81 DB73:DE81 DI73:DL81 DP73:DS81 DW73:DZ81 ED73:EG81 BL73:BO81 CQ72:CQ81 BL39:BO50 CN73:CN81 CO72:CO81 CP73:CP81 DW16:DZ25 DP16:DS25 DI16:DL25 O16:R25 DB16:DE25 CU16:CX25 BZ16:CC25 BE16:BH25 AX16:BA25 AQ16:AT25 AJ16:AM25 AC16:AF25 V16:Y25 CN5:CQ13 EK16:EN25 BS16:BV25 ED16:EG25 CG16:CJ25 O39:R50 AQ39:AT50 AX39:BA50 AJ39:AM50 AC39:AF50 V39:Y50 CN28:CQ36 BZ39:CC50 CU39:CX50 DB39:DE50 DI39:DL50 DP39:DS50 DW39:DZ50 ED39:EG50 EK39:EN50 BE39:BH50 CG39:CJ50 BS39:BV50 BM84:BO86 EK84:EN95 BT89:BV95 CG73:CJ81 V84:Y95 AC84:AF95 AJ84:AM95 AR89:AT95 AY84:BA86 BF89:BH95 O84:R95 CA84:CC86 CN84:CQ95 CU84:CX95 DB84:DE95 DI84:DL95 DP84:DS95 DW84:DZ95 AQ84:AQ95 AR84:AT86 AX84:AX95 AY89:BA95 BE84:BE95 BF84:BH86 BL84:BL95 BM89:BO95 BS84:BS95 BT84:BV86 BZ84:BZ95 CA89:CC95 CG84:CG95 CH84:CJ86 CH89:CJ89 CH92:CJ95"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7" customWidth="1"/>
    <col min="2" max="2" width="19.1640625" style="7" customWidth="1"/>
    <col min="3" max="3" width="18.1640625" style="7" customWidth="1"/>
    <col min="4" max="4" width="19.5" style="7" customWidth="1"/>
    <col min="8" max="8" width="15.1640625" customWidth="1"/>
    <col min="10" max="10" width="42" customWidth="1"/>
    <col min="11" max="11" width="28.5" customWidth="1"/>
  </cols>
  <sheetData>
    <row r="1" spans="1:11" ht="34" x14ac:dyDescent="0.2">
      <c r="A1" s="7" t="s">
        <v>41</v>
      </c>
      <c r="B1" s="12" t="s">
        <v>38</v>
      </c>
      <c r="C1" s="12" t="s">
        <v>39</v>
      </c>
      <c r="D1" s="12" t="s">
        <v>40</v>
      </c>
      <c r="E1" s="1" t="s">
        <v>42</v>
      </c>
      <c r="F1" s="1" t="s">
        <v>43</v>
      </c>
      <c r="G1" s="1" t="s">
        <v>44</v>
      </c>
      <c r="H1" s="1" t="s">
        <v>45</v>
      </c>
      <c r="I1" s="1" t="s">
        <v>46</v>
      </c>
      <c r="J1" s="1" t="s">
        <v>47</v>
      </c>
      <c r="K1" s="1" t="s">
        <v>48</v>
      </c>
    </row>
    <row r="2" spans="1:11" x14ac:dyDescent="0.2">
      <c r="A2" s="11">
        <v>44118</v>
      </c>
      <c r="D2" s="9">
        <v>1</v>
      </c>
    </row>
    <row r="3" spans="1:11" x14ac:dyDescent="0.2">
      <c r="A3" s="11">
        <v>44119</v>
      </c>
    </row>
    <row r="4" spans="1:11" x14ac:dyDescent="0.2">
      <c r="A4" s="11">
        <v>44120</v>
      </c>
    </row>
    <row r="5" spans="1:11" x14ac:dyDescent="0.2">
      <c r="A5" s="11">
        <v>44121</v>
      </c>
    </row>
    <row r="6" spans="1:11" x14ac:dyDescent="0.2">
      <c r="A6" s="11">
        <v>44122</v>
      </c>
    </row>
    <row r="7" spans="1:11" x14ac:dyDescent="0.2">
      <c r="A7" s="11">
        <v>44123</v>
      </c>
    </row>
    <row r="8" spans="1:11" x14ac:dyDescent="0.2">
      <c r="A8" s="11">
        <v>44124</v>
      </c>
    </row>
    <row r="9" spans="1:11" x14ac:dyDescent="0.2">
      <c r="A9" s="11">
        <v>44125</v>
      </c>
    </row>
    <row r="10" spans="1:11" x14ac:dyDescent="0.2">
      <c r="A10" s="11">
        <v>44126</v>
      </c>
    </row>
    <row r="11" spans="1:11" x14ac:dyDescent="0.2">
      <c r="A11" s="11">
        <v>44127</v>
      </c>
    </row>
    <row r="12" spans="1:11" x14ac:dyDescent="0.2">
      <c r="A12" s="11">
        <v>44128</v>
      </c>
    </row>
    <row r="13" spans="1:11" x14ac:dyDescent="0.2">
      <c r="A13" s="11">
        <v>44129</v>
      </c>
    </row>
    <row r="14" spans="1:11" x14ac:dyDescent="0.2">
      <c r="A14" s="11">
        <v>44130</v>
      </c>
    </row>
    <row r="15" spans="1:11" x14ac:dyDescent="0.2">
      <c r="A15" s="11">
        <v>44131</v>
      </c>
    </row>
    <row r="16" spans="1:11" x14ac:dyDescent="0.2">
      <c r="A16" s="11">
        <v>44132</v>
      </c>
    </row>
    <row r="17" spans="1:1" x14ac:dyDescent="0.2">
      <c r="A17" s="11">
        <v>44133</v>
      </c>
    </row>
    <row r="18" spans="1:1" x14ac:dyDescent="0.2">
      <c r="A18" s="11">
        <v>44134</v>
      </c>
    </row>
    <row r="19" spans="1:1" x14ac:dyDescent="0.2">
      <c r="A19" s="11">
        <v>44135</v>
      </c>
    </row>
    <row r="20" spans="1:1" x14ac:dyDescent="0.2">
      <c r="A20" s="11">
        <v>44136</v>
      </c>
    </row>
    <row r="21" spans="1:1" x14ac:dyDescent="0.2">
      <c r="A21" s="11">
        <v>44137</v>
      </c>
    </row>
    <row r="22" spans="1:1" x14ac:dyDescent="0.2">
      <c r="A22" s="11">
        <v>44138</v>
      </c>
    </row>
    <row r="23" spans="1:1" x14ac:dyDescent="0.2">
      <c r="A23" s="11">
        <v>44139</v>
      </c>
    </row>
    <row r="24" spans="1:1" x14ac:dyDescent="0.2">
      <c r="A24" s="11">
        <v>44140</v>
      </c>
    </row>
    <row r="25" spans="1:1" x14ac:dyDescent="0.2">
      <c r="A25" s="11">
        <v>44141</v>
      </c>
    </row>
    <row r="26" spans="1:1" x14ac:dyDescent="0.2">
      <c r="A26" s="11">
        <v>44142</v>
      </c>
    </row>
    <row r="27" spans="1:1" x14ac:dyDescent="0.2">
      <c r="A27" s="11">
        <v>44143</v>
      </c>
    </row>
    <row r="28" spans="1:1" x14ac:dyDescent="0.2">
      <c r="A28" s="11">
        <v>44144</v>
      </c>
    </row>
    <row r="29" spans="1:1" x14ac:dyDescent="0.2">
      <c r="A29" s="11">
        <v>44145</v>
      </c>
    </row>
    <row r="30" spans="1:1" x14ac:dyDescent="0.2">
      <c r="A30" s="11">
        <v>44146</v>
      </c>
    </row>
    <row r="31" spans="1:1" x14ac:dyDescent="0.2">
      <c r="A31" s="11">
        <v>44147</v>
      </c>
    </row>
    <row r="32" spans="1:1" x14ac:dyDescent="0.2">
      <c r="A32" s="11">
        <v>44148</v>
      </c>
    </row>
    <row r="33" spans="1:1" x14ac:dyDescent="0.2">
      <c r="A33" s="11">
        <v>44149</v>
      </c>
    </row>
    <row r="34" spans="1:1" x14ac:dyDescent="0.2">
      <c r="A34" s="11">
        <v>44150</v>
      </c>
    </row>
    <row r="35" spans="1:1" x14ac:dyDescent="0.2">
      <c r="A35" s="11">
        <v>44151</v>
      </c>
    </row>
    <row r="36" spans="1:1" x14ac:dyDescent="0.2">
      <c r="A36" s="11">
        <v>44152</v>
      </c>
    </row>
    <row r="37" spans="1:1" x14ac:dyDescent="0.2">
      <c r="A37" s="11">
        <v>44153</v>
      </c>
    </row>
    <row r="38" spans="1:1" x14ac:dyDescent="0.2">
      <c r="A38" s="11">
        <v>44154</v>
      </c>
    </row>
    <row r="39" spans="1:1" x14ac:dyDescent="0.2">
      <c r="A39" s="11">
        <v>44155</v>
      </c>
    </row>
    <row r="40" spans="1:1" x14ac:dyDescent="0.2">
      <c r="A40" s="11">
        <v>44156</v>
      </c>
    </row>
    <row r="41" spans="1:1" x14ac:dyDescent="0.2">
      <c r="A41" s="11">
        <v>44157</v>
      </c>
    </row>
    <row r="42" spans="1:1" x14ac:dyDescent="0.2">
      <c r="A42" s="11">
        <v>44158</v>
      </c>
    </row>
    <row r="43" spans="1:1" x14ac:dyDescent="0.2">
      <c r="A43" s="11">
        <v>44159</v>
      </c>
    </row>
    <row r="44" spans="1:1" x14ac:dyDescent="0.2">
      <c r="A44" s="11">
        <v>44160</v>
      </c>
    </row>
    <row r="45" spans="1:1" x14ac:dyDescent="0.2">
      <c r="A45" s="11">
        <v>44161</v>
      </c>
    </row>
    <row r="46" spans="1:1" x14ac:dyDescent="0.2">
      <c r="A46" s="11">
        <v>44162</v>
      </c>
    </row>
  </sheetData>
  <conditionalFormatting sqref="B2:B46">
    <cfRule type="cellIs" dxfId="11" priority="15" operator="equal">
      <formula>"Nein"</formula>
    </cfRule>
    <cfRule type="cellIs" dxfId="10" priority="14" operator="equal">
      <formula>"Ja"</formula>
    </cfRule>
    <cfRule type="cellIs" dxfId="9" priority="4" operator="equal">
      <formula>"Ja"</formula>
    </cfRule>
  </conditionalFormatting>
  <conditionalFormatting sqref="C2:C46">
    <cfRule type="cellIs" dxfId="8" priority="3" operator="equal">
      <formula>"Nein"</formula>
    </cfRule>
    <cfRule type="cellIs" dxfId="7" priority="2" operator="equal">
      <formula>"Ja"</formula>
    </cfRule>
    <cfRule type="cellIs" dxfId="6" priority="1" operator="equal">
      <formula>"Ja"</formula>
    </cfRule>
  </conditionalFormatting>
  <conditionalFormatting sqref="D2">
    <cfRule type="cellIs" dxfId="5" priority="7" operator="equal">
      <formula>0.8</formula>
    </cfRule>
    <cfRule type="cellIs" dxfId="4" priority="9" operator="equal">
      <formula>0.4</formula>
    </cfRule>
    <cfRule type="cellIs" dxfId="3" priority="10" operator="equal">
      <formula>0.2</formula>
    </cfRule>
    <cfRule type="cellIs" dxfId="2" priority="11" operator="equal">
      <formula>0</formula>
    </cfRule>
    <cfRule type="cellIs" dxfId="1" priority="6" operator="equal">
      <formula>1</formula>
    </cfRule>
    <cfRule type="cellIs" dxfId="0" priority="8" operator="equal">
      <formula>0.6</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4" zoomScale="117" workbookViewId="0">
      <selection activeCell="H18" sqref="H18"/>
    </sheetView>
  </sheetViews>
  <sheetFormatPr baseColWidth="10" defaultColWidth="10.6640625" defaultRowHeight="16" x14ac:dyDescent="0.2"/>
  <cols>
    <col min="1" max="1" width="10.6640625" style="21"/>
    <col min="2" max="8" width="15.83203125" style="21" customWidth="1"/>
    <col min="9" max="16384" width="10.6640625" style="21"/>
  </cols>
  <sheetData>
    <row r="1" spans="1:8" ht="26" x14ac:dyDescent="0.2">
      <c r="B1" s="22" t="s">
        <v>25</v>
      </c>
    </row>
    <row r="4" spans="1:8" x14ac:dyDescent="0.2">
      <c r="B4" s="23" t="s">
        <v>4</v>
      </c>
      <c r="C4" s="23" t="s">
        <v>5</v>
      </c>
      <c r="D4" s="23" t="s">
        <v>6</v>
      </c>
      <c r="E4" s="23" t="s">
        <v>7</v>
      </c>
      <c r="F4" s="23" t="s">
        <v>10</v>
      </c>
      <c r="G4" s="23" t="s">
        <v>8</v>
      </c>
      <c r="H4" s="23" t="s">
        <v>9</v>
      </c>
    </row>
    <row r="5" spans="1:8" x14ac:dyDescent="0.2">
      <c r="A5" s="24">
        <v>0.16666666666666666</v>
      </c>
    </row>
    <row r="6" spans="1:8" x14ac:dyDescent="0.2">
      <c r="A6" s="24">
        <v>0.1875</v>
      </c>
    </row>
    <row r="7" spans="1:8" x14ac:dyDescent="0.2">
      <c r="A7" s="24">
        <v>0.20833333333333301</v>
      </c>
    </row>
    <row r="8" spans="1:8" x14ac:dyDescent="0.2">
      <c r="A8" s="24">
        <v>0.22916666666666699</v>
      </c>
    </row>
    <row r="9" spans="1:8" s="26" customFormat="1" x14ac:dyDescent="0.2">
      <c r="A9" s="25">
        <v>0.25</v>
      </c>
      <c r="B9" s="26" t="s">
        <v>214</v>
      </c>
      <c r="C9" s="26" t="s">
        <v>214</v>
      </c>
      <c r="D9" s="26" t="s">
        <v>214</v>
      </c>
      <c r="E9" s="26" t="s">
        <v>214</v>
      </c>
      <c r="F9" s="26" t="s">
        <v>214</v>
      </c>
      <c r="G9" s="26" t="s">
        <v>214</v>
      </c>
      <c r="H9" s="26" t="s">
        <v>214</v>
      </c>
    </row>
    <row r="10" spans="1:8" s="26" customFormat="1" x14ac:dyDescent="0.2">
      <c r="A10" s="25">
        <v>0.27083333333333398</v>
      </c>
    </row>
    <row r="11" spans="1:8" s="26" customFormat="1" x14ac:dyDescent="0.2">
      <c r="A11" s="25">
        <v>0.29166666666666702</v>
      </c>
    </row>
    <row r="12" spans="1:8" x14ac:dyDescent="0.2">
      <c r="A12" s="24">
        <v>0.3125</v>
      </c>
      <c r="B12" s="74" t="s">
        <v>220</v>
      </c>
    </row>
    <row r="13" spans="1:8" x14ac:dyDescent="0.2">
      <c r="A13" s="24">
        <v>0.33333333333333398</v>
      </c>
      <c r="B13" s="84" t="s">
        <v>218</v>
      </c>
      <c r="C13" s="79" t="s">
        <v>212</v>
      </c>
      <c r="D13" s="78" t="s">
        <v>87</v>
      </c>
      <c r="E13" s="80" t="s">
        <v>219</v>
      </c>
      <c r="F13" s="79" t="s">
        <v>212</v>
      </c>
      <c r="H13" s="80" t="s">
        <v>224</v>
      </c>
    </row>
    <row r="14" spans="1:8" x14ac:dyDescent="0.2">
      <c r="A14" s="24">
        <v>0.35416666666666702</v>
      </c>
      <c r="B14" s="84"/>
      <c r="C14" s="79"/>
      <c r="D14" s="78"/>
      <c r="E14" s="80"/>
      <c r="F14" s="79"/>
      <c r="H14" s="80"/>
    </row>
    <row r="15" spans="1:8" x14ac:dyDescent="0.2">
      <c r="A15" s="24">
        <v>0.375</v>
      </c>
      <c r="B15" s="84"/>
      <c r="C15" s="79"/>
      <c r="D15" s="78"/>
      <c r="E15" s="80"/>
      <c r="F15" s="79"/>
      <c r="H15" s="80"/>
    </row>
    <row r="16" spans="1:8" x14ac:dyDescent="0.2">
      <c r="A16" s="24">
        <v>0.39583333333333398</v>
      </c>
      <c r="B16" s="84"/>
      <c r="C16" s="79"/>
      <c r="D16" s="78"/>
      <c r="E16" s="80"/>
      <c r="F16" s="79"/>
      <c r="H16" s="80"/>
    </row>
    <row r="17" spans="1:8" x14ac:dyDescent="0.2">
      <c r="A17" s="24">
        <v>0.41666666666666702</v>
      </c>
      <c r="B17" s="84"/>
      <c r="C17" s="75" t="s">
        <v>220</v>
      </c>
      <c r="D17" s="75" t="s">
        <v>220</v>
      </c>
      <c r="E17" s="75" t="s">
        <v>220</v>
      </c>
      <c r="F17" s="75" t="s">
        <v>220</v>
      </c>
      <c r="G17" s="75" t="s">
        <v>220</v>
      </c>
      <c r="H17" s="80"/>
    </row>
    <row r="18" spans="1:8" x14ac:dyDescent="0.2">
      <c r="A18" s="24">
        <v>0.4375</v>
      </c>
      <c r="B18" s="84"/>
      <c r="C18" s="82" t="s">
        <v>213</v>
      </c>
      <c r="D18" s="86" t="s">
        <v>93</v>
      </c>
      <c r="E18" s="80" t="s">
        <v>219</v>
      </c>
      <c r="F18" s="82" t="s">
        <v>213</v>
      </c>
      <c r="G18" s="80" t="s">
        <v>219</v>
      </c>
      <c r="H18" s="74" t="s">
        <v>220</v>
      </c>
    </row>
    <row r="19" spans="1:8" x14ac:dyDescent="0.2">
      <c r="A19" s="24">
        <v>0.45833333333333398</v>
      </c>
      <c r="B19" s="75" t="s">
        <v>221</v>
      </c>
      <c r="C19" s="82"/>
      <c r="D19" s="86"/>
      <c r="E19" s="80"/>
      <c r="F19" s="82"/>
      <c r="G19" s="80"/>
      <c r="H19" s="80" t="s">
        <v>219</v>
      </c>
    </row>
    <row r="20" spans="1:8" x14ac:dyDescent="0.2">
      <c r="A20" s="24">
        <v>0.47916666666666702</v>
      </c>
      <c r="C20" s="82"/>
      <c r="D20" s="86"/>
      <c r="E20" s="80"/>
      <c r="F20" s="82"/>
      <c r="G20" s="80"/>
      <c r="H20" s="80"/>
    </row>
    <row r="21" spans="1:8" x14ac:dyDescent="0.2">
      <c r="A21" s="24">
        <v>0.5</v>
      </c>
      <c r="B21" s="87" t="s">
        <v>210</v>
      </c>
      <c r="C21" s="82"/>
      <c r="D21" s="86"/>
      <c r="E21" s="80"/>
      <c r="F21" s="82"/>
      <c r="G21" s="80"/>
      <c r="H21" s="80"/>
    </row>
    <row r="22" spans="1:8" x14ac:dyDescent="0.2">
      <c r="A22" s="24">
        <v>0.52083333333333404</v>
      </c>
      <c r="B22" s="87"/>
      <c r="E22" s="80"/>
      <c r="F22" s="75" t="s">
        <v>221</v>
      </c>
      <c r="G22" s="80"/>
      <c r="H22" s="80"/>
    </row>
    <row r="23" spans="1:8" x14ac:dyDescent="0.2">
      <c r="A23" s="24">
        <v>0.54166666666666696</v>
      </c>
      <c r="B23" s="87"/>
      <c r="C23" s="75" t="s">
        <v>221</v>
      </c>
      <c r="D23" s="75" t="s">
        <v>221</v>
      </c>
      <c r="E23" s="75" t="s">
        <v>221</v>
      </c>
      <c r="F23" s="84" t="s">
        <v>218</v>
      </c>
      <c r="G23" s="75" t="s">
        <v>221</v>
      </c>
      <c r="H23" s="80"/>
    </row>
    <row r="24" spans="1:8" x14ac:dyDescent="0.2">
      <c r="A24" s="24">
        <v>0.5625</v>
      </c>
      <c r="B24" s="87"/>
      <c r="F24" s="84"/>
      <c r="G24" s="80" t="s">
        <v>219</v>
      </c>
      <c r="H24" s="80"/>
    </row>
    <row r="25" spans="1:8" x14ac:dyDescent="0.2">
      <c r="A25" s="24">
        <v>0.58333333333333404</v>
      </c>
      <c r="B25" s="87"/>
      <c r="C25" s="87" t="s">
        <v>210</v>
      </c>
      <c r="D25" s="81" t="s">
        <v>94</v>
      </c>
      <c r="E25" s="82" t="s">
        <v>213</v>
      </c>
      <c r="F25" s="84"/>
      <c r="G25" s="80"/>
    </row>
    <row r="26" spans="1:8" x14ac:dyDescent="0.2">
      <c r="A26" s="24">
        <v>0.60416666666666696</v>
      </c>
      <c r="B26" s="83" t="s">
        <v>211</v>
      </c>
      <c r="C26" s="87"/>
      <c r="D26" s="81"/>
      <c r="E26" s="82"/>
      <c r="F26" s="84"/>
      <c r="G26" s="80"/>
      <c r="H26" s="75" t="s">
        <v>221</v>
      </c>
    </row>
    <row r="27" spans="1:8" x14ac:dyDescent="0.2">
      <c r="A27" s="24">
        <v>0.625000000000001</v>
      </c>
      <c r="B27" s="83"/>
      <c r="C27" s="87"/>
      <c r="D27" s="81"/>
      <c r="E27" s="82"/>
      <c r="F27" s="84"/>
      <c r="G27" s="80"/>
      <c r="H27" s="84" t="s">
        <v>218</v>
      </c>
    </row>
    <row r="28" spans="1:8" x14ac:dyDescent="0.2">
      <c r="A28" s="24">
        <v>0.64583333333333404</v>
      </c>
      <c r="B28" s="83"/>
      <c r="C28" s="87"/>
      <c r="D28" s="81"/>
      <c r="E28" s="82"/>
      <c r="F28" s="84"/>
      <c r="G28" s="80"/>
      <c r="H28" s="84"/>
    </row>
    <row r="29" spans="1:8" x14ac:dyDescent="0.2">
      <c r="A29" s="24">
        <v>0.66666666666666696</v>
      </c>
      <c r="B29" s="83"/>
      <c r="C29" s="87"/>
      <c r="D29" s="81"/>
      <c r="E29" s="82"/>
      <c r="F29" s="75" t="s">
        <v>222</v>
      </c>
      <c r="G29" s="80"/>
      <c r="H29" s="84"/>
    </row>
    <row r="30" spans="1:8" x14ac:dyDescent="0.2">
      <c r="A30" s="24">
        <v>0.687500000000001</v>
      </c>
      <c r="C30" s="85" t="s">
        <v>92</v>
      </c>
      <c r="D30" s="75" t="s">
        <v>222</v>
      </c>
      <c r="E30" s="75" t="s">
        <v>222</v>
      </c>
      <c r="F30" s="80" t="s">
        <v>219</v>
      </c>
      <c r="H30" s="84"/>
    </row>
    <row r="31" spans="1:8" x14ac:dyDescent="0.2">
      <c r="A31" s="24">
        <v>0.70833333333333404</v>
      </c>
      <c r="B31" s="80" t="s">
        <v>219</v>
      </c>
      <c r="C31" s="85"/>
      <c r="D31" s="84" t="s">
        <v>218</v>
      </c>
      <c r="E31" s="84" t="s">
        <v>218</v>
      </c>
      <c r="F31" s="80"/>
      <c r="H31" s="84"/>
    </row>
    <row r="32" spans="1:8" x14ac:dyDescent="0.2">
      <c r="A32" s="24">
        <v>0.72916666666666696</v>
      </c>
      <c r="B32" s="80"/>
      <c r="C32" s="85"/>
      <c r="D32" s="84"/>
      <c r="E32" s="84"/>
      <c r="F32" s="80"/>
      <c r="H32" s="84"/>
    </row>
    <row r="33" spans="1:8" x14ac:dyDescent="0.2">
      <c r="A33" s="24">
        <v>0.750000000000001</v>
      </c>
      <c r="B33" s="80"/>
      <c r="C33" s="85"/>
      <c r="D33" s="84"/>
      <c r="E33" s="84"/>
      <c r="F33" s="80"/>
      <c r="H33" s="75" t="s">
        <v>222</v>
      </c>
    </row>
    <row r="34" spans="1:8" x14ac:dyDescent="0.2">
      <c r="A34" s="24">
        <v>0.77083333333333404</v>
      </c>
      <c r="B34" s="80"/>
      <c r="C34" s="85"/>
      <c r="D34" s="84"/>
      <c r="E34" s="84"/>
      <c r="F34" s="80"/>
    </row>
    <row r="35" spans="1:8" x14ac:dyDescent="0.2">
      <c r="A35" s="24">
        <v>0.79166666666666696</v>
      </c>
      <c r="B35" s="80"/>
      <c r="C35" s="85"/>
      <c r="D35" s="84"/>
      <c r="E35" s="84"/>
      <c r="F35" s="80"/>
    </row>
    <row r="36" spans="1:8" x14ac:dyDescent="0.2">
      <c r="A36" s="24">
        <v>0.812500000000001</v>
      </c>
      <c r="D36" s="84"/>
      <c r="E36" s="84"/>
    </row>
    <row r="37" spans="1:8" x14ac:dyDescent="0.2">
      <c r="A37" s="24">
        <v>0.83333333333333404</v>
      </c>
    </row>
    <row r="38" spans="1:8" x14ac:dyDescent="0.2">
      <c r="A38" s="24">
        <v>0.85416666666666696</v>
      </c>
      <c r="B38" s="74" t="s">
        <v>223</v>
      </c>
      <c r="C38" s="74" t="s">
        <v>223</v>
      </c>
      <c r="D38" s="74" t="s">
        <v>223</v>
      </c>
      <c r="E38" s="74" t="s">
        <v>223</v>
      </c>
      <c r="F38" s="74" t="s">
        <v>223</v>
      </c>
      <c r="G38" s="74" t="s">
        <v>223</v>
      </c>
      <c r="H38" s="74" t="s">
        <v>223</v>
      </c>
    </row>
    <row r="39" spans="1:8" x14ac:dyDescent="0.2">
      <c r="A39" s="24">
        <v>0.875000000000001</v>
      </c>
    </row>
    <row r="40" spans="1:8" x14ac:dyDescent="0.2">
      <c r="A40" s="24">
        <v>0.89583333333333404</v>
      </c>
    </row>
    <row r="41" spans="1:8" s="26" customFormat="1" x14ac:dyDescent="0.2">
      <c r="A41" s="25">
        <v>0.91666666666666696</v>
      </c>
      <c r="B41" s="26" t="s">
        <v>215</v>
      </c>
      <c r="C41" s="26" t="s">
        <v>215</v>
      </c>
      <c r="D41" s="26" t="s">
        <v>215</v>
      </c>
      <c r="E41" s="26" t="s">
        <v>215</v>
      </c>
      <c r="F41" s="26" t="s">
        <v>215</v>
      </c>
      <c r="G41" s="26" t="s">
        <v>215</v>
      </c>
      <c r="H41" s="26" t="s">
        <v>215</v>
      </c>
    </row>
    <row r="42" spans="1:8" x14ac:dyDescent="0.2">
      <c r="A42" s="24">
        <v>0.937500000000001</v>
      </c>
    </row>
    <row r="43" spans="1:8" x14ac:dyDescent="0.2">
      <c r="A43" s="24">
        <v>0.95833333333333404</v>
      </c>
    </row>
    <row r="44" spans="1:8" x14ac:dyDescent="0.2">
      <c r="A44" s="24">
        <v>0.97916666666666696</v>
      </c>
    </row>
    <row r="45" spans="1:8" x14ac:dyDescent="0.2">
      <c r="A45" s="24">
        <v>1</v>
      </c>
    </row>
    <row r="46" spans="1:8" x14ac:dyDescent="0.2">
      <c r="A46" s="24">
        <v>1.0208333333333299</v>
      </c>
    </row>
    <row r="47" spans="1:8" x14ac:dyDescent="0.2">
      <c r="A47" s="24">
        <v>1.0416666666666701</v>
      </c>
    </row>
  </sheetData>
  <mergeCells count="25">
    <mergeCell ref="B13:B18"/>
    <mergeCell ref="C18:C21"/>
    <mergeCell ref="D18:D21"/>
    <mergeCell ref="F18:F21"/>
    <mergeCell ref="B21:B25"/>
    <mergeCell ref="F23:F28"/>
    <mergeCell ref="C25:C29"/>
    <mergeCell ref="B26:B29"/>
    <mergeCell ref="H27:H32"/>
    <mergeCell ref="C30:C35"/>
    <mergeCell ref="D31:D36"/>
    <mergeCell ref="E31:E36"/>
    <mergeCell ref="B31:B35"/>
    <mergeCell ref="G24:G29"/>
    <mergeCell ref="F30:F35"/>
    <mergeCell ref="F13:F16"/>
    <mergeCell ref="E13:E16"/>
    <mergeCell ref="D25:D29"/>
    <mergeCell ref="E25:E29"/>
    <mergeCell ref="D13:D16"/>
    <mergeCell ref="C13:C16"/>
    <mergeCell ref="E18:E22"/>
    <mergeCell ref="H13:H17"/>
    <mergeCell ref="H19:H24"/>
    <mergeCell ref="G18:G22"/>
  </mergeCells>
  <phoneticPr fontId="5" type="noConversion"/>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opLeftCell="A2" zoomScale="117" workbookViewId="0">
      <selection activeCell="D13" sqref="D13:D17"/>
    </sheetView>
  </sheetViews>
  <sheetFormatPr baseColWidth="10" defaultColWidth="10.6640625" defaultRowHeight="16" x14ac:dyDescent="0.2"/>
  <cols>
    <col min="1" max="1" width="10.6640625" style="21"/>
    <col min="2" max="8" width="15.83203125" style="21" customWidth="1"/>
    <col min="9" max="16384" width="10.6640625" style="21"/>
  </cols>
  <sheetData>
    <row r="1" spans="1:8" ht="26" x14ac:dyDescent="0.2">
      <c r="B1" s="22" t="s">
        <v>25</v>
      </c>
    </row>
    <row r="4" spans="1:8" x14ac:dyDescent="0.2">
      <c r="B4" s="23" t="s">
        <v>4</v>
      </c>
      <c r="C4" s="23" t="s">
        <v>5</v>
      </c>
      <c r="D4" s="23" t="s">
        <v>6</v>
      </c>
      <c r="E4" s="23" t="s">
        <v>7</v>
      </c>
      <c r="F4" s="23" t="s">
        <v>10</v>
      </c>
      <c r="G4" s="23" t="s">
        <v>8</v>
      </c>
      <c r="H4" s="23" t="s">
        <v>9</v>
      </c>
    </row>
    <row r="5" spans="1:8" x14ac:dyDescent="0.2">
      <c r="A5" s="24">
        <v>0.16666666666666666</v>
      </c>
    </row>
    <row r="6" spans="1:8" x14ac:dyDescent="0.2">
      <c r="A6" s="24">
        <v>0.1875</v>
      </c>
    </row>
    <row r="7" spans="1:8" x14ac:dyDescent="0.2">
      <c r="A7" s="24">
        <v>0.20833333333333301</v>
      </c>
    </row>
    <row r="8" spans="1:8" x14ac:dyDescent="0.2">
      <c r="A8" s="24">
        <v>0.22916666666666699</v>
      </c>
    </row>
    <row r="9" spans="1:8" s="26" customFormat="1" x14ac:dyDescent="0.2">
      <c r="A9" s="25">
        <v>0.25</v>
      </c>
      <c r="B9" s="26" t="s">
        <v>214</v>
      </c>
      <c r="C9" s="26" t="s">
        <v>214</v>
      </c>
      <c r="D9" s="26" t="s">
        <v>214</v>
      </c>
      <c r="E9" s="26" t="s">
        <v>214</v>
      </c>
      <c r="F9" s="26" t="s">
        <v>214</v>
      </c>
      <c r="G9" s="26" t="s">
        <v>214</v>
      </c>
      <c r="H9" s="26" t="s">
        <v>214</v>
      </c>
    </row>
    <row r="10" spans="1:8" s="26" customFormat="1" x14ac:dyDescent="0.2">
      <c r="A10" s="25">
        <v>0.27083333333333398</v>
      </c>
    </row>
    <row r="11" spans="1:8" s="26" customFormat="1" x14ac:dyDescent="0.2">
      <c r="A11" s="25">
        <v>0.29166666666666702</v>
      </c>
    </row>
    <row r="12" spans="1:8" x14ac:dyDescent="0.2">
      <c r="A12" s="24">
        <v>0.3125</v>
      </c>
    </row>
    <row r="13" spans="1:8" x14ac:dyDescent="0.2">
      <c r="A13" s="24">
        <v>0.33333333333333398</v>
      </c>
      <c r="B13" s="84" t="s">
        <v>218</v>
      </c>
      <c r="C13" s="79" t="s">
        <v>212</v>
      </c>
      <c r="D13" s="78" t="s">
        <v>87</v>
      </c>
      <c r="F13" s="79" t="s">
        <v>212</v>
      </c>
    </row>
    <row r="14" spans="1:8" x14ac:dyDescent="0.2">
      <c r="A14" s="24">
        <v>0.35416666666666702</v>
      </c>
      <c r="B14" s="84"/>
      <c r="C14" s="79"/>
      <c r="D14" s="78"/>
      <c r="F14" s="79"/>
    </row>
    <row r="15" spans="1:8" x14ac:dyDescent="0.2">
      <c r="A15" s="24">
        <v>0.375</v>
      </c>
      <c r="B15" s="84"/>
      <c r="C15" s="79"/>
      <c r="D15" s="78"/>
      <c r="F15" s="79"/>
    </row>
    <row r="16" spans="1:8" x14ac:dyDescent="0.2">
      <c r="A16" s="24">
        <v>0.39583333333333398</v>
      </c>
      <c r="B16" s="84"/>
      <c r="C16" s="79"/>
      <c r="D16" s="78"/>
      <c r="F16" s="79"/>
    </row>
    <row r="17" spans="1:8" x14ac:dyDescent="0.2">
      <c r="A17" s="24">
        <v>0.41666666666666702</v>
      </c>
      <c r="B17" s="84"/>
      <c r="C17" s="79"/>
      <c r="D17" s="78"/>
      <c r="F17" s="79"/>
    </row>
    <row r="18" spans="1:8" x14ac:dyDescent="0.2">
      <c r="A18" s="24">
        <v>0.4375</v>
      </c>
      <c r="B18" s="84"/>
      <c r="C18" s="82" t="s">
        <v>213</v>
      </c>
      <c r="D18" s="86" t="s">
        <v>93</v>
      </c>
      <c r="F18" s="82" t="s">
        <v>213</v>
      </c>
    </row>
    <row r="19" spans="1:8" x14ac:dyDescent="0.2">
      <c r="A19" s="24">
        <v>0.45833333333333398</v>
      </c>
      <c r="C19" s="82"/>
      <c r="D19" s="86"/>
      <c r="F19" s="82"/>
    </row>
    <row r="20" spans="1:8" x14ac:dyDescent="0.2">
      <c r="A20" s="24">
        <v>0.47916666666666702</v>
      </c>
      <c r="C20" s="82"/>
      <c r="D20" s="86"/>
      <c r="F20" s="82"/>
    </row>
    <row r="21" spans="1:8" x14ac:dyDescent="0.2">
      <c r="A21" s="24">
        <v>0.5</v>
      </c>
      <c r="B21" s="87" t="s">
        <v>210</v>
      </c>
      <c r="C21" s="82"/>
      <c r="D21" s="86"/>
      <c r="F21" s="82"/>
    </row>
    <row r="22" spans="1:8" x14ac:dyDescent="0.2">
      <c r="A22" s="24">
        <v>0.52083333333333404</v>
      </c>
      <c r="B22" s="87"/>
    </row>
    <row r="23" spans="1:8" x14ac:dyDescent="0.2">
      <c r="A23" s="24">
        <v>0.54166666666666696</v>
      </c>
      <c r="B23" s="87"/>
      <c r="F23" s="84" t="s">
        <v>218</v>
      </c>
    </row>
    <row r="24" spans="1:8" x14ac:dyDescent="0.2">
      <c r="A24" s="24">
        <v>0.5625</v>
      </c>
      <c r="B24" s="87"/>
      <c r="F24" s="84"/>
    </row>
    <row r="25" spans="1:8" x14ac:dyDescent="0.2">
      <c r="A25" s="24">
        <v>0.58333333333333404</v>
      </c>
      <c r="B25" s="87"/>
      <c r="C25" s="87" t="s">
        <v>210</v>
      </c>
      <c r="D25" s="81" t="s">
        <v>94</v>
      </c>
      <c r="E25" s="82" t="s">
        <v>213</v>
      </c>
      <c r="F25" s="84"/>
    </row>
    <row r="26" spans="1:8" x14ac:dyDescent="0.2">
      <c r="A26" s="24">
        <v>0.60416666666666696</v>
      </c>
      <c r="B26" s="83" t="s">
        <v>211</v>
      </c>
      <c r="C26" s="87"/>
      <c r="D26" s="81"/>
      <c r="E26" s="82"/>
      <c r="F26" s="84"/>
    </row>
    <row r="27" spans="1:8" x14ac:dyDescent="0.2">
      <c r="A27" s="24">
        <v>0.625000000000001</v>
      </c>
      <c r="B27" s="83"/>
      <c r="C27" s="87"/>
      <c r="D27" s="81"/>
      <c r="E27" s="82"/>
      <c r="F27" s="84"/>
      <c r="H27" s="84" t="s">
        <v>218</v>
      </c>
    </row>
    <row r="28" spans="1:8" x14ac:dyDescent="0.2">
      <c r="A28" s="24">
        <v>0.64583333333333404</v>
      </c>
      <c r="B28" s="83"/>
      <c r="C28" s="87"/>
      <c r="D28" s="81"/>
      <c r="E28" s="82"/>
      <c r="F28" s="84"/>
      <c r="H28" s="84"/>
    </row>
    <row r="29" spans="1:8" x14ac:dyDescent="0.2">
      <c r="A29" s="24">
        <v>0.66666666666666696</v>
      </c>
      <c r="B29" s="83"/>
      <c r="C29" s="87"/>
      <c r="D29" s="81"/>
      <c r="E29" s="82"/>
      <c r="H29" s="84"/>
    </row>
    <row r="30" spans="1:8" x14ac:dyDescent="0.2">
      <c r="A30" s="24">
        <v>0.687500000000001</v>
      </c>
      <c r="C30" s="85" t="s">
        <v>92</v>
      </c>
      <c r="H30" s="84"/>
    </row>
    <row r="31" spans="1:8" x14ac:dyDescent="0.2">
      <c r="A31" s="24">
        <v>0.70833333333333404</v>
      </c>
      <c r="C31" s="85"/>
      <c r="D31" s="84" t="s">
        <v>218</v>
      </c>
      <c r="E31" s="84" t="s">
        <v>218</v>
      </c>
      <c r="H31" s="84"/>
    </row>
    <row r="32" spans="1:8" x14ac:dyDescent="0.2">
      <c r="A32" s="24">
        <v>0.72916666666666696</v>
      </c>
      <c r="C32" s="85"/>
      <c r="D32" s="84"/>
      <c r="E32" s="84"/>
      <c r="H32" s="84"/>
    </row>
    <row r="33" spans="1:8" x14ac:dyDescent="0.2">
      <c r="A33" s="24">
        <v>0.750000000000001</v>
      </c>
      <c r="C33" s="85"/>
      <c r="D33" s="84"/>
      <c r="E33" s="84"/>
    </row>
    <row r="34" spans="1:8" x14ac:dyDescent="0.2">
      <c r="A34" s="24">
        <v>0.77083333333333404</v>
      </c>
      <c r="C34" s="85"/>
      <c r="D34" s="84"/>
      <c r="E34" s="84"/>
    </row>
    <row r="35" spans="1:8" x14ac:dyDescent="0.2">
      <c r="A35" s="24">
        <v>0.79166666666666696</v>
      </c>
      <c r="C35" s="85"/>
      <c r="D35" s="84"/>
      <c r="E35" s="84"/>
    </row>
    <row r="36" spans="1:8" x14ac:dyDescent="0.2">
      <c r="A36" s="24">
        <v>0.812500000000001</v>
      </c>
      <c r="D36" s="84"/>
      <c r="E36" s="84"/>
    </row>
    <row r="37" spans="1:8" x14ac:dyDescent="0.2">
      <c r="A37" s="24">
        <v>0.83333333333333404</v>
      </c>
    </row>
    <row r="38" spans="1:8" x14ac:dyDescent="0.2">
      <c r="A38" s="24">
        <v>0.85416666666666696</v>
      </c>
    </row>
    <row r="39" spans="1:8" x14ac:dyDescent="0.2">
      <c r="A39" s="24">
        <v>0.875000000000001</v>
      </c>
    </row>
    <row r="40" spans="1:8" x14ac:dyDescent="0.2">
      <c r="A40" s="24">
        <v>0.89583333333333404</v>
      </c>
    </row>
    <row r="41" spans="1:8" s="26" customFormat="1" x14ac:dyDescent="0.2">
      <c r="A41" s="25">
        <v>0.91666666666666696</v>
      </c>
      <c r="B41" s="26" t="s">
        <v>215</v>
      </c>
      <c r="C41" s="26" t="s">
        <v>215</v>
      </c>
      <c r="D41" s="26" t="s">
        <v>215</v>
      </c>
      <c r="E41" s="26" t="s">
        <v>215</v>
      </c>
      <c r="F41" s="26" t="s">
        <v>215</v>
      </c>
      <c r="G41" s="26" t="s">
        <v>215</v>
      </c>
      <c r="H41" s="26" t="s">
        <v>215</v>
      </c>
    </row>
    <row r="42" spans="1:8" x14ac:dyDescent="0.2">
      <c r="A42" s="24">
        <v>0.937500000000001</v>
      </c>
    </row>
    <row r="43" spans="1:8" x14ac:dyDescent="0.2">
      <c r="A43" s="24">
        <v>0.95833333333333404</v>
      </c>
    </row>
    <row r="44" spans="1:8" x14ac:dyDescent="0.2">
      <c r="A44" s="24">
        <v>0.97916666666666696</v>
      </c>
    </row>
    <row r="45" spans="1:8" x14ac:dyDescent="0.2">
      <c r="A45" s="24">
        <v>1</v>
      </c>
    </row>
    <row r="46" spans="1:8" x14ac:dyDescent="0.2">
      <c r="A46" s="24">
        <v>1.0208333333333299</v>
      </c>
    </row>
    <row r="47" spans="1:8" x14ac:dyDescent="0.2">
      <c r="A47" s="24">
        <v>1.0416666666666701</v>
      </c>
    </row>
  </sheetData>
  <mergeCells count="17">
    <mergeCell ref="D13:D17"/>
    <mergeCell ref="D18:D21"/>
    <mergeCell ref="D25:D29"/>
    <mergeCell ref="E25:E29"/>
    <mergeCell ref="F13:F17"/>
    <mergeCell ref="F18:F21"/>
    <mergeCell ref="B13:B18"/>
    <mergeCell ref="C18:C21"/>
    <mergeCell ref="C13:C17"/>
    <mergeCell ref="B21:B25"/>
    <mergeCell ref="B26:B29"/>
    <mergeCell ref="C25:C29"/>
    <mergeCell ref="H27:H32"/>
    <mergeCell ref="C30:C35"/>
    <mergeCell ref="E31:E36"/>
    <mergeCell ref="D31:D36"/>
    <mergeCell ref="F23:F28"/>
  </mergeCells>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104AB-0147-9A42-8AE1-4ABB05251449}">
  <dimension ref="A1"/>
  <sheetViews>
    <sheetView workbookViewId="0"/>
  </sheetViews>
  <sheetFormatPr baseColWidth="10" defaultRowHeight="16" x14ac:dyDescent="0.2"/>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C8395-95A4-6343-A4AE-7382DAD2FFCE}">
  <dimension ref="A1"/>
  <sheetViews>
    <sheetView workbookViewId="0"/>
  </sheetViews>
  <sheetFormatPr baseColWidth="10" defaultRowHeight="16" x14ac:dyDescent="0.2"/>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5D96-7682-D946-9EBA-D514E3820F01}">
  <dimension ref="A1"/>
  <sheetViews>
    <sheetView workbookViewId="0"/>
  </sheetViews>
  <sheetFormatPr baseColWidth="10" defaultRowHeight="16" x14ac:dyDescent="0.2"/>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0672-A2DD-5441-9995-F9707220CEF5}">
  <dimension ref="A1"/>
  <sheetViews>
    <sheetView workbookViewId="0"/>
  </sheetViews>
  <sheetFormatPr baseColWidth="10" defaultRowHeight="16" x14ac:dyDescent="0.2"/>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36BBF-13EC-8341-85A5-68143502D6B2}">
  <dimension ref="A1"/>
  <sheetViews>
    <sheetView workbookViewId="0"/>
  </sheetViews>
  <sheetFormatPr baseColWidth="10" defaultRowHeight="16" x14ac:dyDescent="0.2"/>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ACA5E-82EF-8C41-9955-83F9C401783E}">
  <dimension ref="A1"/>
  <sheetViews>
    <sheetView workbookViewId="0"/>
  </sheetViews>
  <sheetFormatPr baseColWidth="10" defaultRowHeight="16" x14ac:dyDescent="0.2"/>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619A3-FBC8-D14E-B31B-92A2773D79A3}">
  <dimension ref="A1"/>
  <sheetViews>
    <sheetView workbookViewId="0"/>
  </sheetViews>
  <sheetFormatPr baseColWidth="10" defaultRowHeight="16" x14ac:dyDescent="0.2"/>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CC343-F6F7-274E-B5A4-81468A3311BD}">
  <dimension ref="A1"/>
  <sheetViews>
    <sheetView workbookViewId="0"/>
  </sheetViews>
  <sheetFormatPr baseColWidth="10" defaultRowHeight="16" x14ac:dyDescent="0.2"/>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7BDDA-D400-1A43-8A8D-587CE3A3EFF5}">
  <dimension ref="A1"/>
  <sheetViews>
    <sheetView workbookViewId="0"/>
  </sheetViews>
  <sheetFormatPr baseColWidth="10" defaultRowHeight="16" x14ac:dyDescent="0.2"/>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3BF12-CABF-D04C-BF53-A3EC4D657225}">
  <dimension ref="A1"/>
  <sheetViews>
    <sheetView workbookViewId="0"/>
  </sheetViews>
  <sheetFormatPr baseColWidth="10" defaultRowHeight="16" x14ac:dyDescent="0.2"/>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36D46-906B-EB4F-8401-343C17A26623}">
  <dimension ref="A1"/>
  <sheetViews>
    <sheetView workbookViewId="0"/>
  </sheetViews>
  <sheetFormatPr baseColWidth="10" defaultRowHeight="16" x14ac:dyDescent="0.2"/>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0F71F-91B6-6640-8553-172F3A6CF497}">
  <dimension ref="A1"/>
  <sheetViews>
    <sheetView workbookViewId="0"/>
  </sheetViews>
  <sheetFormatPr baseColWidth="10" defaultRowHeight="16" x14ac:dyDescent="0.2"/>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3D236-296E-2E45-94A9-0D92913333A5}">
  <dimension ref="A1"/>
  <sheetViews>
    <sheetView workbookViewId="0"/>
  </sheetViews>
  <sheetFormatPr baseColWidth="10" defaultRowHeight="16" x14ac:dyDescent="0.2"/>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A0105-AD11-9942-B7F1-09548C51B206}">
  <dimension ref="A1"/>
  <sheetViews>
    <sheetView workbookViewId="0"/>
  </sheetViews>
  <sheetFormatPr baseColWidth="10" defaultRowHeight="16" x14ac:dyDescent="0.2"/>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EBD46-BACA-394A-8678-DD554DC08250}">
  <dimension ref="A1"/>
  <sheetViews>
    <sheetView workbookViewId="0"/>
  </sheetViews>
  <sheetFormatPr baseColWidth="10" defaultRowHeight="16" x14ac:dyDescent="0.2"/>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FEA96-5030-B742-87EE-6868A66DE030}">
  <dimension ref="A1"/>
  <sheetViews>
    <sheetView workbookViewId="0"/>
  </sheetViews>
  <sheetFormatPr baseColWidth="10" defaultRowHeight="16" x14ac:dyDescent="0.2"/>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93D5-5328-BC49-95AE-EA25C3EA28C0}">
  <dimension ref="A1"/>
  <sheetViews>
    <sheetView workbookViewId="0"/>
  </sheetViews>
  <sheetFormatPr baseColWidth="10" defaultRowHeight="16" x14ac:dyDescent="0.2"/>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23</vt:i4>
      </vt:variant>
    </vt:vector>
  </HeadingPairs>
  <TitlesOfParts>
    <vt:vector size="23" baseType="lpstr">
      <vt:lpstr>ANLEITUNG</vt:lpstr>
      <vt:lpstr>Semesterplan</vt:lpstr>
      <vt:lpstr>Best-Practices</vt:lpstr>
      <vt:lpstr>COMMITTMENT</vt:lpstr>
      <vt:lpstr>Wochenplan KW 38</vt:lpstr>
      <vt:lpstr>Wochenplan KW 39</vt:lpstr>
      <vt:lpstr>Wochenplan KW 40</vt:lpstr>
      <vt:lpstr>Wochenplan KW 41</vt:lpstr>
      <vt:lpstr>Wochenplan KW 42</vt:lpstr>
      <vt:lpstr>Wochenplan KW 43</vt:lpstr>
      <vt:lpstr>Wochenplan KW 44</vt:lpstr>
      <vt:lpstr>Wochenplan KW 45</vt:lpstr>
      <vt:lpstr>Wochenplan KW 46</vt:lpstr>
      <vt:lpstr>Wochenplan KW 47</vt:lpstr>
      <vt:lpstr>Wochenplan KW 48</vt:lpstr>
      <vt:lpstr>Wochenplan KW 49</vt:lpstr>
      <vt:lpstr>Wochenplan KW 50</vt:lpstr>
      <vt:lpstr>Wochenplan KW 51</vt:lpstr>
      <vt:lpstr>Wochenplan KW 52</vt:lpstr>
      <vt:lpstr>Wochenplan KW 1</vt:lpstr>
      <vt:lpstr>Wochenplan KW 2</vt:lpstr>
      <vt:lpstr>Prüfungswoche 1</vt:lpstr>
      <vt:lpstr>Prüfungswoche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Julian Boller</cp:lastModifiedBy>
  <dcterms:created xsi:type="dcterms:W3CDTF">2020-04-19T13:33:28Z</dcterms:created>
  <dcterms:modified xsi:type="dcterms:W3CDTF">2023-09-10T16:26:52Z</dcterms:modified>
</cp:coreProperties>
</file>