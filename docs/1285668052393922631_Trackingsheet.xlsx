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david\Documents\AssessmentYearA\"/>
    </mc:Choice>
  </mc:AlternateContent>
  <xr:revisionPtr revIDLastSave="0" documentId="13_ncr:1_{A5D99879-F89B-41A4-BE48-0E0ED62696E2}" xr6:coauthVersionLast="47" xr6:coauthVersionMax="47" xr10:uidLastSave="{00000000-0000-0000-0000-000000000000}"/>
  <bookViews>
    <workbookView xWindow="43080" yWindow="-120" windowWidth="29040" windowHeight="157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C12" i="10" s="1"/>
  <c r="EC4" i="7"/>
  <c r="DV4" i="7"/>
  <c r="DO4" i="7"/>
  <c r="DH4" i="7"/>
  <c r="DA4" i="7"/>
  <c r="C7" i="10"/>
  <c r="K54" i="7" a="1"/>
  <c r="K54" i="7" s="1"/>
  <c r="J54" i="7" a="1"/>
  <c r="J54" i="7" s="1"/>
  <c r="I54" i="7"/>
  <c r="K41" i="7" a="1"/>
  <c r="K41" i="7" s="1"/>
  <c r="J41" i="7" a="1"/>
  <c r="J41" i="7" s="1"/>
  <c r="I41" i="7"/>
  <c r="K43" i="7" a="1"/>
  <c r="K43" i="7" s="1"/>
  <c r="J43" i="7" a="1"/>
  <c r="J43" i="7" s="1"/>
  <c r="I43" i="7"/>
  <c r="K42" i="7" a="1"/>
  <c r="K42" i="7" s="1"/>
  <c r="J42" i="7" a="1"/>
  <c r="J42" i="7" s="1"/>
  <c r="I42" i="7"/>
  <c r="K40" i="7" a="1"/>
  <c r="K40" i="7" s="1"/>
  <c r="J40" i="7" a="1"/>
  <c r="J40" i="7" s="1"/>
  <c r="I40" i="7"/>
  <c r="K39" i="7" a="1"/>
  <c r="K39" i="7" s="1"/>
  <c r="J39" i="7" a="1"/>
  <c r="J39" i="7" s="1"/>
  <c r="I39" i="7"/>
  <c r="K33" i="7" a="1"/>
  <c r="K33" i="7" s="1"/>
  <c r="J33" i="7" a="1"/>
  <c r="J33" i="7" s="1"/>
  <c r="I33" i="7"/>
  <c r="K6" i="7" a="1"/>
  <c r="K6" i="7" s="1"/>
  <c r="K7" i="7" a="1"/>
  <c r="K7" i="7" s="1"/>
  <c r="K8" i="7" a="1"/>
  <c r="K8" i="7" s="1"/>
  <c r="K9" i="7" a="1"/>
  <c r="K9" i="7" s="1"/>
  <c r="K10" i="7" a="1"/>
  <c r="K10" i="7" s="1"/>
  <c r="K11" i="7" a="1"/>
  <c r="K11" i="7" s="1"/>
  <c r="K12" i="7" a="1"/>
  <c r="K12" i="7" s="1"/>
  <c r="K13" i="7" a="1"/>
  <c r="K13" i="7" s="1"/>
  <c r="K14" i="7" a="1"/>
  <c r="K14" i="7" s="1"/>
  <c r="K15" i="7" a="1"/>
  <c r="K15" i="7" s="1"/>
  <c r="K16" i="7" a="1"/>
  <c r="K16" i="7" s="1"/>
  <c r="J6" i="7" a="1"/>
  <c r="J6" i="7" s="1"/>
  <c r="J7" i="7" a="1"/>
  <c r="J7" i="7" s="1"/>
  <c r="J8" i="7" a="1"/>
  <c r="J8" i="7" s="1"/>
  <c r="J9" i="7" a="1"/>
  <c r="J9" i="7" s="1"/>
  <c r="J10" i="7" a="1"/>
  <c r="J10" i="7" s="1"/>
  <c r="J11" i="7" a="1"/>
  <c r="J11" i="7" s="1"/>
  <c r="J12" i="7" a="1"/>
  <c r="J12" i="7" s="1"/>
  <c r="J13" i="7" a="1"/>
  <c r="J13" i="7" s="1"/>
  <c r="J14" i="7" a="1"/>
  <c r="J14" i="7" s="1"/>
  <c r="J15" i="7" a="1"/>
  <c r="J15" i="7" s="1"/>
  <c r="J16" i="7" a="1"/>
  <c r="J16" i="7" s="1"/>
  <c r="I6" i="7"/>
  <c r="I7" i="7"/>
  <c r="I8" i="7"/>
  <c r="I9" i="7"/>
  <c r="I10" i="7"/>
  <c r="I11" i="7"/>
  <c r="I12" i="7"/>
  <c r="I13" i="7"/>
  <c r="I14" i="7"/>
  <c r="I15" i="7"/>
  <c r="I16" i="7"/>
  <c r="I5" i="7"/>
  <c r="K21" i="7" a="1"/>
  <c r="K21" i="7" s="1"/>
  <c r="J21" i="7" a="1"/>
  <c r="J21" i="7" s="1"/>
  <c r="I21" i="7"/>
  <c r="K20" i="7" a="1"/>
  <c r="K20" i="7" s="1"/>
  <c r="J20" i="7" a="1"/>
  <c r="J20" i="7" s="1"/>
  <c r="I20" i="7"/>
  <c r="K19" i="7" a="1"/>
  <c r="K19" i="7" s="1"/>
  <c r="J19" i="7" a="1"/>
  <c r="J19" i="7" s="1"/>
  <c r="I19" i="7"/>
  <c r="AP18" i="7"/>
  <c r="AI18" i="7"/>
  <c r="AB18" i="7"/>
  <c r="U18" i="7"/>
  <c r="N18" i="7"/>
  <c r="G18" i="7"/>
  <c r="I22" i="7"/>
  <c r="J22" i="7" a="1"/>
  <c r="J22" i="7" s="1"/>
  <c r="K22" i="7" a="1"/>
  <c r="K22" i="7" s="1"/>
  <c r="CT4" i="7"/>
  <c r="CM4" i="7"/>
  <c r="CF4" i="7"/>
  <c r="BY4" i="7"/>
  <c r="BR4" i="7"/>
  <c r="K57" i="7" a="1"/>
  <c r="K57" i="7" s="1"/>
  <c r="J57" i="7" a="1"/>
  <c r="J57" i="7" s="1"/>
  <c r="I57" i="7"/>
  <c r="K56" i="7" a="1"/>
  <c r="K56" i="7" s="1"/>
  <c r="J56" i="7" a="1"/>
  <c r="J56" i="7" s="1"/>
  <c r="I56" i="7"/>
  <c r="K55" i="7" a="1"/>
  <c r="K55" i="7" s="1"/>
  <c r="J55" i="7" a="1"/>
  <c r="J55" i="7" s="1"/>
  <c r="I55" i="7"/>
  <c r="K53" i="7" a="1"/>
  <c r="K53" i="7" s="1"/>
  <c r="J53" i="7" a="1"/>
  <c r="J53" i="7" s="1"/>
  <c r="I53" i="7"/>
  <c r="K52" i="7" a="1"/>
  <c r="K52" i="7" s="1"/>
  <c r="J52" i="7" a="1"/>
  <c r="J52" i="7" s="1"/>
  <c r="I52" i="7"/>
  <c r="AP51" i="7"/>
  <c r="AI51" i="7"/>
  <c r="AB51" i="7"/>
  <c r="U51" i="7"/>
  <c r="N51" i="7"/>
  <c r="G51"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38" i="7" a="1"/>
  <c r="K38" i="7" s="1"/>
  <c r="J38" i="7" a="1"/>
  <c r="J38" i="7" s="1"/>
  <c r="I38" i="7"/>
  <c r="AP37" i="7"/>
  <c r="AI37" i="7"/>
  <c r="AB37" i="7"/>
  <c r="U37" i="7"/>
  <c r="N37" i="7"/>
  <c r="G37" i="7"/>
  <c r="BK4" i="7"/>
  <c r="K26" i="7" a="1"/>
  <c r="K26" i="7" s="1"/>
  <c r="J26" i="7" a="1"/>
  <c r="J26" i="7" s="1"/>
  <c r="K25" i="7" a="1"/>
  <c r="K25" i="7" s="1"/>
  <c r="J25" i="7" a="1"/>
  <c r="J25" i="7" s="1"/>
  <c r="K24" i="7" a="1"/>
  <c r="K24" i="7" s="1"/>
  <c r="J24" i="7" a="1"/>
  <c r="J24" i="7" s="1"/>
  <c r="K23" i="7" a="1"/>
  <c r="K23" i="7" s="1"/>
  <c r="J23" i="7" a="1"/>
  <c r="J23" i="7" s="1"/>
  <c r="K35" i="7" a="1"/>
  <c r="K35" i="7" s="1"/>
  <c r="J35" i="7" a="1"/>
  <c r="J35" i="7" s="1"/>
  <c r="K34" i="7" a="1"/>
  <c r="K34" i="7" s="1"/>
  <c r="J34" i="7" a="1"/>
  <c r="J34" i="7" s="1"/>
  <c r="K32" i="7" a="1"/>
  <c r="K32" i="7" s="1"/>
  <c r="J32" i="7" a="1"/>
  <c r="J32" i="7" s="1"/>
  <c r="K31" i="7" a="1"/>
  <c r="K31" i="7" s="1"/>
  <c r="J31" i="7" a="1"/>
  <c r="J31" i="7" s="1"/>
  <c r="K30" i="7" a="1"/>
  <c r="K30" i="7" s="1"/>
  <c r="J30" i="7" a="1"/>
  <c r="J30" i="7" s="1"/>
  <c r="K29" i="7" a="1"/>
  <c r="K29" i="7" s="1"/>
  <c r="J29" i="7" a="1"/>
  <c r="J29" i="7" s="1"/>
  <c r="K5" i="7" a="1"/>
  <c r="K5" i="7" s="1"/>
  <c r="J5" i="7" a="1"/>
  <c r="J5" i="7" s="1"/>
  <c r="BD4" i="7"/>
  <c r="AW4" i="7"/>
  <c r="AP4" i="7"/>
  <c r="AI4" i="7"/>
  <c r="AB4" i="7"/>
  <c r="U4" i="7"/>
  <c r="N4" i="7"/>
  <c r="G4" i="7"/>
  <c r="AP28" i="7"/>
  <c r="AI28" i="7"/>
  <c r="AB28" i="7"/>
  <c r="U28" i="7"/>
  <c r="I35" i="7"/>
  <c r="I34" i="7"/>
  <c r="I32" i="7"/>
  <c r="I31" i="7"/>
  <c r="I30" i="7"/>
  <c r="I29" i="7"/>
  <c r="I26" i="7"/>
  <c r="I25" i="7"/>
  <c r="I24" i="7"/>
  <c r="I23" i="7"/>
  <c r="N28" i="7"/>
  <c r="G28" i="7"/>
  <c r="I4" i="7" l="1"/>
  <c r="I18" i="7"/>
  <c r="K18" i="7"/>
  <c r="J18" i="7"/>
  <c r="I51" i="7"/>
  <c r="I37" i="7"/>
  <c r="J51" i="7"/>
  <c r="K51" i="7"/>
  <c r="K37" i="7"/>
  <c r="J37" i="7"/>
  <c r="I28" i="7"/>
  <c r="J28" i="7"/>
  <c r="K28"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<sst xmlns="http://schemas.openxmlformats.org/spreadsheetml/2006/main" count="368" uniqueCount="156">
  <si>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</si>
  <si>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</si>
  <si>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</si>
  <si>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</si>
  <si>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</si>
  <si>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</si>
  <si>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</si>
  <si>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</si>
  <si>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</si>
  <si>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</si>
  <si>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</si>
  <si>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</si>
  <si>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</si>
  <si>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</si>
  <si>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</si>
  <si>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</si>
  <si>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</si>
  <si>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</si>
  <si>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</si>
  <si>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</si>
  <si>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</si>
  <si>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</si>
  <si>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</si>
  <si>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</si>
  <si>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</si>
  <si>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</si>
  <si>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</si>
  <si>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</si>
  <si>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</si>
  <si>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</si>
  <si>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</si>
  <si>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</si>
  <si>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</si>
  <si>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</si>
  <si>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</si>
  <si>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</si>
  <si>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</si>
  <si>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</si>
  <si>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</si>
  <si>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</si>
  <si>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</si>
  <si>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</si>
  <si>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</si>
  <si>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</si>
  <si>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</si>
  <si>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</si>
  <si>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</si>
  <si>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</si>
  <si>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</si>
  <si>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</si>
  <si>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</si>
  <si>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</si>
  <si>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</si>
  <si>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</si>
  <si>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</si>
  <si>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</si>
  <si>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</si>
  <si>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</si>
  <si>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</si>
  <si>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</si>
  <si>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</si>
  <si>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</si>
  <si>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</si>
  <si>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</si>
  <si>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</si>
  <si>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</si>
  <si>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</si>
  <si>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</si>
  <si>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</si>
  <si>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</si>
  <si>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</si>
  <si>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</si>
  <si>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</si>
  <si>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</si>
  <si>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</si>
  <si>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</si>
  <si>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</si>
  <si>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</si>
  <si>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</si>
  <si>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</si>
  <si>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</si>
  <si>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</si>
  <si>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</si>
  <si>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</si>
  <si>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</si>
  <si>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</si>
  <si>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</si>
  <si>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BWL A</t>
  </si>
  <si>
    <t>VWL A</t>
  </si>
  <si>
    <t>Recht A</t>
  </si>
  <si>
    <t>Mathematik</t>
  </si>
  <si>
    <t>Buchhaltung</t>
  </si>
  <si>
    <t>1) Geschäftsprozesse und Marketingkonzept</t>
  </si>
  <si>
    <t>2) Marktanalyse</t>
  </si>
  <si>
    <t>3) Marketingstrategien</t>
  </si>
  <si>
    <t>4) Marktleistungsgestaltung</t>
  </si>
  <si>
    <t>5) Preisgestaltung Kommunikation Distribution</t>
  </si>
  <si>
    <t>6) Controlling und Innovation</t>
  </si>
  <si>
    <t>7) Management und Managementmeodelle</t>
  </si>
  <si>
    <t>8) Entscheidungen und Kommunikation</t>
  </si>
  <si>
    <t>9) Strategie und Entwicklungsmodi</t>
  </si>
  <si>
    <t>10) Struktur und Kultur</t>
  </si>
  <si>
    <t>11) Führung und Governance</t>
  </si>
  <si>
    <t>1) Grundlagen</t>
  </si>
  <si>
    <t>2) Spezialisierung und Tausch</t>
  </si>
  <si>
    <t>3) Angebot und Nachfrage</t>
  </si>
  <si>
    <t>4) Externe Effekte und die Grenzen des Marktes</t>
  </si>
  <si>
    <t>5) Kosten und Unternehmen auf Märkten mit vollständiger Konkurenz</t>
  </si>
  <si>
    <t>1) Einführung und Vertragsabschluss</t>
  </si>
  <si>
    <t>2) Vertragsgültigkeit, Willensmängel und Stellvertretung</t>
  </si>
  <si>
    <t>3) Vertragsinhalt und AGB</t>
  </si>
  <si>
    <t>4) Nichterfüllung</t>
  </si>
  <si>
    <t>5) Schlechterfüllung</t>
  </si>
  <si>
    <t>6) Haftung für Produkte und Beendigung der Leistungspflicht</t>
  </si>
  <si>
    <t>7) Prüfungsvorbereitung</t>
  </si>
  <si>
    <t>Vorlesungsslides 1</t>
  </si>
  <si>
    <t>Vorlesungsslides 2</t>
  </si>
  <si>
    <t>Vorlesungsslides 3</t>
  </si>
  <si>
    <t>Vorlesungsslides 4</t>
  </si>
  <si>
    <t>Vorlesungsslides 5</t>
  </si>
  <si>
    <t>Vorlesungsslides 6</t>
  </si>
  <si>
    <t>Vorlesungsslides 7</t>
  </si>
  <si>
    <t>Vorlesungsslides 8</t>
  </si>
  <si>
    <t>Vorlesungsslides 9</t>
  </si>
  <si>
    <t>Vorlesungsslides 10</t>
  </si>
  <si>
    <t>Vorlesungsslides 11</t>
  </si>
  <si>
    <t>Vorlesungsslides 12</t>
  </si>
  <si>
    <t>1) Zweck der Buchhaltung, Inventar und Bilanz</t>
  </si>
  <si>
    <t>2) Bilanzkonten und Buchungssatz, Eröffnung und Abschluss der Bilanz</t>
  </si>
  <si>
    <t>3) Erfolgsrechnung</t>
  </si>
  <si>
    <t>4) Warenhandel, Einzelunternehmen</t>
  </si>
  <si>
    <t>5) Zahlungsverkehr, Produktionsbetrieb</t>
  </si>
  <si>
    <t>6) Abschreibungen, Wertberichtigungen, Forderungsverluste</t>
  </si>
  <si>
    <t>12) Umwelt und Interaktionsthemen</t>
  </si>
  <si>
    <t>6) Unternehmensverhalten auf Monopolmärkten</t>
  </si>
  <si>
    <t>7) Grundlagen der Spieltheorie</t>
  </si>
  <si>
    <t>8) Unternehmensverhalten auf Oligopolmärkten</t>
  </si>
  <si>
    <t>KW 38</t>
  </si>
  <si>
    <t>KW 39</t>
  </si>
  <si>
    <t>KW 40</t>
  </si>
  <si>
    <t>KW 41</t>
  </si>
  <si>
    <t>KW 42</t>
  </si>
  <si>
    <t>KW 43</t>
  </si>
  <si>
    <t>KW 44</t>
  </si>
  <si>
    <t>KW 45</t>
  </si>
  <si>
    <t>KW 46</t>
  </si>
  <si>
    <t>KW 47</t>
  </si>
  <si>
    <t>KW 48</t>
  </si>
  <si>
    <t>KW 49</t>
  </si>
  <si>
    <t>KW 50</t>
  </si>
  <si>
    <t>KW 51</t>
  </si>
  <si>
    <t>KW 52</t>
  </si>
  <si>
    <t>KW1</t>
  </si>
  <si>
    <t>KW 2</t>
  </si>
  <si>
    <t>Klausuren!!!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</si>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</sst>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13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34">
  <autoFilter ref="A1:K46" xr:uid="{6E266E34-2786-2747-BCE7-51B74867A564}"/>
  <tableColumns count="11">
    <tableColumn id="1" xr3:uid="{95FD92F7-3DC8-704D-A103-A7EDDAB255AB}" name="Datum" dataDxfId="133"/>
    <tableColumn id="2" xr3:uid="{F464D510-8166-E740-A343-FB84BDEF877F}" name="Lerneinheiten durchgezogen" dataDxfId="132"/>
    <tableColumn id="3" xr3:uid="{75F52B08-1A00-0848-BBE6-1EDF7B31B1AD}" name="Tagesplan erstellt" dataDxfId="131"/>
    <tableColumn id="4" xr3:uid="{E6B18D89-E799-AD48-9DAA-37AEE1D29011}" name="Konzentrationslevel" dataDxfId="13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2" sqref="C12"/>
    </sheetView>
  </sheetViews>
  <sheetFormatPr baseColWidth="10" defaultRowHeight="15.75"/>
  <cols>
    <col min="1" max="1" width="11.8125" customWidth="1"/>
    <col min="2" max="2" width="62.687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f>12+8+7+12+6</f>
        <v>45</v>
      </c>
    </row>
    <row r="8" spans="1:4">
      <c r="A8" t="s">
        <v>51</v>
      </c>
      <c r="B8" s="21" t="s">
        <v>50</v>
      </c>
      <c r="C8" s="9"/>
      <c r="D8" t="s">
        <v>74</v>
      </c>
    </row>
    <row r="9" spans="1:4">
      <c r="A9" t="s">
        <v>59</v>
      </c>
      <c r="B9" s="21" t="s">
        <v>72</v>
      </c>
      <c r="D9" t="s">
        <v>75</v>
      </c>
    </row>
    <row r="10" spans="1:4">
      <c r="A10" t="s">
        <v>63</v>
      </c>
      <c r="B10" t="s">
        <v>62</v>
      </c>
      <c r="C10" s="19">
        <v>14</v>
      </c>
      <c r="D10" t="s">
        <v>58</v>
      </c>
    </row>
    <row r="11" spans="1:4">
      <c r="A11" t="s">
        <v>64</v>
      </c>
      <c r="B11" t="s">
        <v>66</v>
      </c>
      <c r="C11" s="19">
        <f>45*3</f>
        <v>135</v>
      </c>
      <c r="D11" t="s">
        <v>65</v>
      </c>
    </row>
    <row r="12" spans="1:4">
      <c r="A12" t="s">
        <v>68</v>
      </c>
      <c r="B12" t="s">
        <v>67</v>
      </c>
      <c r="C12" s="20">
        <f>C11/C10</f>
        <v>9.6428571428571423</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62"/>
  <sheetViews>
    <sheetView showGridLines="0" tabSelected="1" zoomScale="70" zoomScaleNormal="70" workbookViewId="0">
      <pane xSplit="12" topLeftCell="M1" activePane="topRight" state="frozen"/>
      <selection pane="topRight" activeCell="U44" sqref="U44"/>
    </sheetView>
  </sheetViews>
  <sheetFormatPr baseColWidth="10" defaultColWidth="8.8125" defaultRowHeight="15.75" outlineLevelRow="1"/>
  <cols>
    <col min="3" max="3" width="11.4375" bestFit="1" customWidth="1"/>
    <col min="4" max="4" width="13" bestFit="1" customWidth="1"/>
    <col min="5" max="5" width="4.8125" bestFit="1" customWidth="1"/>
    <col min="6" max="6" width="58.375" bestFit="1" customWidth="1"/>
    <col min="7" max="7" width="15.5" bestFit="1" customWidth="1"/>
    <col min="8" max="8" width="2.5" customWidth="1"/>
    <col min="10" max="10" width="12.5" bestFit="1" customWidth="1"/>
    <col min="11" max="11" width="14.8125" bestFit="1" customWidth="1"/>
    <col min="12" max="12" width="12.6875" bestFit="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7" max="57" width="12.5" bestFit="1" customWidth="1"/>
    <col min="58" max="58" width="6.3125" customWidth="1"/>
    <col min="59" max="59" width="14.8125" bestFit="1" customWidth="1"/>
    <col min="60" max="60" width="6" customWidth="1"/>
    <col min="61" max="61" width="12.6875" bestFit="1" customWidth="1"/>
    <col min="62" max="62" width="2.5" customWidth="1"/>
    <col min="64" max="64" width="12.5" bestFit="1" customWidth="1"/>
    <col min="65" max="65" width="6.3125" customWidth="1"/>
    <col min="66" max="66" width="14.8125" bestFit="1" customWidth="1"/>
    <col min="67" max="67" width="6" customWidth="1"/>
    <col min="68" max="68" width="12.6875" bestFit="1" customWidth="1"/>
    <col min="69" max="69" width="2.5" customWidth="1"/>
    <col min="71" max="71" width="12.5" bestFit="1" customWidth="1"/>
    <col min="72" max="72" width="6.3125" customWidth="1"/>
    <col min="73" max="73" width="14.8125" bestFit="1" customWidth="1"/>
    <col min="74" max="74" width="6" customWidth="1"/>
    <col min="75" max="75" width="12.6875" bestFit="1" customWidth="1"/>
    <col min="76" max="76" width="2.5" customWidth="1"/>
    <col min="78" max="78" width="12.5" bestFit="1" customWidth="1"/>
    <col min="79" max="79" width="6.3125" customWidth="1"/>
    <col min="80" max="80" width="14.8125" bestFit="1" customWidth="1"/>
    <col min="81" max="81" width="6" customWidth="1"/>
    <col min="82" max="82" width="12.6875" bestFit="1" customWidth="1"/>
    <col min="83" max="83" width="2.5" customWidth="1"/>
    <col min="85" max="85" width="12.5" bestFit="1" customWidth="1"/>
    <col min="86" max="86" width="6.3125" customWidth="1"/>
    <col min="87" max="87" width="14.8125" bestFit="1" customWidth="1"/>
    <col min="88" max="88" width="6" customWidth="1"/>
    <col min="89" max="89" width="12.6875" bestFit="1" customWidth="1"/>
    <col min="90" max="90" width="2.5" customWidth="1"/>
    <col min="92" max="92" width="12.5" bestFit="1" customWidth="1"/>
    <col min="93" max="93" width="6.3125" customWidth="1"/>
    <col min="94" max="94" width="14.8125" bestFit="1" customWidth="1"/>
    <col min="95" max="95" width="6" customWidth="1"/>
    <col min="96" max="96" width="12.6875" bestFit="1" customWidth="1"/>
    <col min="97" max="97" width="2.5" customWidth="1"/>
    <col min="99" max="99" width="12.5" bestFit="1" customWidth="1"/>
    <col min="100" max="100" width="6.3125" customWidth="1"/>
    <col min="101" max="101" width="14.8125" bestFit="1" customWidth="1"/>
    <col min="102" max="102" width="6" customWidth="1"/>
    <col min="103" max="103" width="12.6875" bestFit="1" customWidth="1"/>
    <col min="104" max="104" width="2.5" customWidth="1"/>
    <col min="106" max="106" width="12.5" bestFit="1" customWidth="1"/>
    <col min="107" max="107" width="6.3125" customWidth="1"/>
    <col min="108" max="108" width="14.8125" bestFit="1" customWidth="1"/>
    <col min="109" max="109" width="6" customWidth="1"/>
    <col min="110" max="110" width="12.6875" bestFit="1" customWidth="1"/>
    <col min="111" max="111" width="2.5" customWidth="1"/>
    <col min="113" max="113" width="12.5" bestFit="1" customWidth="1"/>
    <col min="114" max="114" width="6.3125" customWidth="1"/>
    <col min="115" max="115" width="14.8125" bestFit="1" customWidth="1"/>
    <col min="116" max="116" width="6" customWidth="1"/>
    <col min="117" max="117" width="12.6875" bestFit="1" customWidth="1"/>
    <col min="118" max="118" width="2.5" customWidth="1"/>
    <col min="120" max="120" width="12.5" bestFit="1" customWidth="1"/>
    <col min="121" max="121" width="6.3125" customWidth="1"/>
    <col min="122" max="122" width="14.8125" bestFit="1" customWidth="1"/>
    <col min="123" max="123" width="6" customWidth="1"/>
    <col min="124" max="124" width="12.6875" bestFit="1" customWidth="1"/>
    <col min="125" max="125" width="2.5" customWidth="1"/>
    <col min="127" max="127" width="12.5" bestFit="1" customWidth="1"/>
    <col min="128" max="128" width="6.3125" customWidth="1"/>
    <col min="129" max="129" width="14.8125" bestFit="1" customWidth="1"/>
    <col min="130" max="130" width="6" customWidth="1"/>
    <col min="131" max="131" width="12.6875" bestFit="1" customWidth="1"/>
    <col min="132" max="132" width="2.5" customWidth="1"/>
    <col min="134" max="134" width="12.5" bestFit="1" customWidth="1"/>
    <col min="135" max="135" width="6.3125" customWidth="1"/>
    <col min="136" max="136" width="14.8125" bestFit="1" customWidth="1"/>
    <col min="137" max="137" width="6" customWidth="1"/>
    <col min="138" max="138" width="12.6875" bestFit="1" customWidth="1"/>
  </cols>
  <sheetData>
    <row r="1" spans="2:138" ht="33.4">
      <c r="B1" s="5" t="s">
        <v>0</v>
      </c>
      <c r="D1" s="5"/>
      <c r="G1" s="15" t="s">
        <v>33</v>
      </c>
      <c r="I1" s="15" t="s">
        <v>33</v>
      </c>
      <c r="J1" s="15" t="s">
        <v>33</v>
      </c>
      <c r="K1" s="15" t="s">
        <v>33</v>
      </c>
    </row>
    <row r="2" spans="2:138">
      <c r="I2" s="23" t="s">
        <v>27</v>
      </c>
      <c r="J2" s="23"/>
      <c r="K2" s="23"/>
      <c r="L2" s="23"/>
      <c r="N2" s="23" t="s">
        <v>137</v>
      </c>
      <c r="O2" s="23"/>
      <c r="P2" s="23"/>
      <c r="Q2" s="23"/>
      <c r="R2" s="23"/>
      <c r="S2" s="23"/>
      <c r="U2" s="23" t="s">
        <v>138</v>
      </c>
      <c r="V2" s="23"/>
      <c r="W2" s="23"/>
      <c r="X2" s="23"/>
      <c r="Y2" s="23"/>
      <c r="Z2" s="23"/>
      <c r="AB2" s="23" t="s">
        <v>139</v>
      </c>
      <c r="AC2" s="23"/>
      <c r="AD2" s="23"/>
      <c r="AE2" s="23"/>
      <c r="AF2" s="23"/>
      <c r="AG2" s="23"/>
      <c r="AI2" s="23" t="s">
        <v>140</v>
      </c>
      <c r="AJ2" s="23"/>
      <c r="AK2" s="23"/>
      <c r="AL2" s="23"/>
      <c r="AM2" s="23"/>
      <c r="AN2" s="23"/>
      <c r="AP2" s="23" t="s">
        <v>141</v>
      </c>
      <c r="AQ2" s="23"/>
      <c r="AR2" s="23"/>
      <c r="AS2" s="23"/>
      <c r="AT2" s="23"/>
      <c r="AU2" s="23"/>
      <c r="AW2" s="23" t="s">
        <v>142</v>
      </c>
      <c r="AX2" s="23"/>
      <c r="AY2" s="23"/>
      <c r="AZ2" s="23"/>
      <c r="BA2" s="23"/>
      <c r="BB2" s="23"/>
      <c r="BD2" s="23" t="s">
        <v>143</v>
      </c>
      <c r="BE2" s="23"/>
      <c r="BF2" s="23"/>
      <c r="BG2" s="23"/>
      <c r="BH2" s="23"/>
      <c r="BI2" s="23"/>
      <c r="BK2" s="23" t="s">
        <v>144</v>
      </c>
      <c r="BL2" s="23"/>
      <c r="BM2" s="23"/>
      <c r="BN2" s="23"/>
      <c r="BO2" s="23"/>
      <c r="BP2" s="23"/>
      <c r="BR2" s="23" t="s">
        <v>145</v>
      </c>
      <c r="BS2" s="23"/>
      <c r="BT2" s="23"/>
      <c r="BU2" s="23"/>
      <c r="BV2" s="23"/>
      <c r="BW2" s="23"/>
      <c r="BY2" s="23" t="s">
        <v>146</v>
      </c>
      <c r="BZ2" s="23"/>
      <c r="CA2" s="23"/>
      <c r="CB2" s="23"/>
      <c r="CC2" s="23"/>
      <c r="CD2" s="23"/>
      <c r="CF2" s="23" t="s">
        <v>147</v>
      </c>
      <c r="CG2" s="23"/>
      <c r="CH2" s="23"/>
      <c r="CI2" s="23"/>
      <c r="CJ2" s="23"/>
      <c r="CK2" s="23"/>
      <c r="CM2" s="23" t="s">
        <v>148</v>
      </c>
      <c r="CN2" s="23"/>
      <c r="CO2" s="23"/>
      <c r="CP2" s="23"/>
      <c r="CQ2" s="23"/>
      <c r="CR2" s="23"/>
      <c r="CT2" s="23" t="s">
        <v>149</v>
      </c>
      <c r="CU2" s="23"/>
      <c r="CV2" s="23"/>
      <c r="CW2" s="23"/>
      <c r="CX2" s="23"/>
      <c r="CY2" s="23"/>
      <c r="DA2" s="23" t="s">
        <v>150</v>
      </c>
      <c r="DB2" s="23"/>
      <c r="DC2" s="23"/>
      <c r="DD2" s="23"/>
      <c r="DE2" s="23"/>
      <c r="DF2" s="23"/>
      <c r="DH2" s="23" t="s">
        <v>151</v>
      </c>
      <c r="DI2" s="23"/>
      <c r="DJ2" s="23"/>
      <c r="DK2" s="23"/>
      <c r="DL2" s="23"/>
      <c r="DM2" s="23"/>
      <c r="DO2" s="23" t="s">
        <v>152</v>
      </c>
      <c r="DP2" s="23"/>
      <c r="DQ2" s="23"/>
      <c r="DR2" s="23"/>
      <c r="DS2" s="23"/>
      <c r="DT2" s="23"/>
      <c r="DV2" s="23" t="s">
        <v>153</v>
      </c>
      <c r="DW2" s="23"/>
      <c r="DX2" s="23"/>
      <c r="DY2" s="23"/>
      <c r="DZ2" s="23"/>
      <c r="EA2" s="23"/>
      <c r="EC2" s="23" t="s">
        <v>154</v>
      </c>
      <c r="ED2" s="23"/>
      <c r="EE2" s="23"/>
      <c r="EF2" s="23"/>
      <c r="EG2" s="23"/>
      <c r="EH2" s="23"/>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87</v>
      </c>
      <c r="D4" s="22">
        <v>45670</v>
      </c>
      <c r="E4" s="11">
        <v>5.5</v>
      </c>
      <c r="G4" s="12">
        <f>+SUM(G5:G16)</f>
        <v>0.3</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c r="EC4" s="14">
        <f>+SUM(EC5:EC16)</f>
        <v>0</v>
      </c>
    </row>
    <row r="5" spans="2:138" outlineLevel="1">
      <c r="B5" t="s">
        <v>28</v>
      </c>
      <c r="C5" t="s">
        <v>87</v>
      </c>
      <c r="E5" s="11"/>
      <c r="F5" t="s">
        <v>92</v>
      </c>
      <c r="G5" s="12">
        <v>0.1</v>
      </c>
      <c r="I5" s="11">
        <f>+SUMIF($N$3:$ZZ$3,I$3,$N5:$ZZ5)</f>
        <v>0</v>
      </c>
      <c r="J5" s="13" cm="1">
        <f t="array" ref="J5">MAX(IF($N$3:$EH$3=$J$3,N5:EH5))</f>
        <v>0</v>
      </c>
      <c r="K5" s="13" cm="1">
        <f t="array" ref="K5">MAX(IF($N$3:$EH$3=$J$3,N5:EH5))</f>
        <v>0</v>
      </c>
      <c r="L5" s="11"/>
      <c r="O5" s="12"/>
      <c r="P5" s="12">
        <v>0.5</v>
      </c>
      <c r="Q5" s="12"/>
      <c r="R5" s="12">
        <v>0.5</v>
      </c>
      <c r="V5" s="12"/>
      <c r="W5" s="12">
        <v>0.5</v>
      </c>
      <c r="X5" s="12"/>
      <c r="Y5" s="12">
        <v>0.5</v>
      </c>
      <c r="AC5" s="12"/>
      <c r="AD5" s="12">
        <v>0.5</v>
      </c>
      <c r="AE5" s="12"/>
      <c r="AF5" s="12">
        <v>0.5</v>
      </c>
      <c r="AJ5" s="12"/>
      <c r="AK5" s="12">
        <v>0.8</v>
      </c>
      <c r="AL5" s="12"/>
      <c r="AM5" s="12">
        <v>0.8</v>
      </c>
      <c r="AQ5" s="12"/>
      <c r="AR5" s="12">
        <v>0.8</v>
      </c>
      <c r="AS5" s="12"/>
      <c r="AT5" s="12">
        <v>0.8</v>
      </c>
      <c r="AX5" s="12"/>
      <c r="AY5" s="12">
        <v>0.8</v>
      </c>
      <c r="AZ5" s="12"/>
      <c r="BA5" s="12">
        <v>0.8</v>
      </c>
      <c r="BE5" s="12"/>
      <c r="BF5" s="12">
        <v>0.8</v>
      </c>
      <c r="BG5" s="12"/>
      <c r="BH5" s="12">
        <v>0.8</v>
      </c>
      <c r="BL5" s="12"/>
      <c r="BM5" s="12">
        <v>0.8</v>
      </c>
      <c r="BN5" s="12"/>
      <c r="BO5" s="12">
        <v>0.8</v>
      </c>
      <c r="BS5" s="12"/>
      <c r="BT5" s="12">
        <v>0.8</v>
      </c>
      <c r="BU5" s="12"/>
      <c r="BV5" s="12">
        <v>0.8</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c r="DK5" s="12"/>
      <c r="DL5" s="12"/>
      <c r="DP5" s="12"/>
      <c r="DQ5" s="12"/>
      <c r="DR5" s="12"/>
      <c r="DS5" s="12"/>
      <c r="DW5" s="12"/>
      <c r="DX5" s="12"/>
      <c r="DY5" s="12"/>
      <c r="DZ5" s="12"/>
      <c r="ED5" s="12"/>
      <c r="EE5" s="12"/>
      <c r="EF5" s="12"/>
      <c r="EG5" s="12"/>
    </row>
    <row r="6" spans="2:138" outlineLevel="1">
      <c r="B6" t="s">
        <v>28</v>
      </c>
      <c r="C6" t="s">
        <v>87</v>
      </c>
      <c r="E6" s="11"/>
      <c r="F6" t="s">
        <v>93</v>
      </c>
      <c r="G6" s="12">
        <v>0.05</v>
      </c>
      <c r="I6" s="11">
        <f t="shared" ref="I6:I16" si="0">+SUMIF($N$3:$ZZ$3,I$3,$N6:$ZZ6)</f>
        <v>0</v>
      </c>
      <c r="J6" s="13" cm="1">
        <f t="array" ref="J6">MAX(IF($N$3:$EH$3=$J$3,N6:EH6))</f>
        <v>0</v>
      </c>
      <c r="K6" s="13" cm="1">
        <f t="array" ref="K6">MAX(IF($N$3:$EH$3=$J$3,N6:EH6))</f>
        <v>0</v>
      </c>
      <c r="L6" s="11"/>
      <c r="O6" s="12"/>
      <c r="P6" s="12"/>
      <c r="Q6" s="12"/>
      <c r="R6" s="12"/>
      <c r="V6" s="12"/>
      <c r="W6" s="12">
        <v>0.5</v>
      </c>
      <c r="X6" s="12"/>
      <c r="Y6" s="12">
        <v>0.5</v>
      </c>
      <c r="AC6" s="12"/>
      <c r="AD6" s="12">
        <v>0.5</v>
      </c>
      <c r="AE6" s="12"/>
      <c r="AF6" s="12">
        <v>0.5</v>
      </c>
      <c r="AJ6" s="12"/>
      <c r="AK6" s="12">
        <v>0.5</v>
      </c>
      <c r="AL6" s="12"/>
      <c r="AM6" s="12">
        <v>0.5</v>
      </c>
      <c r="AQ6" s="12"/>
      <c r="AR6" s="12">
        <v>0.8</v>
      </c>
      <c r="AS6" s="12"/>
      <c r="AT6" s="12">
        <v>0.8</v>
      </c>
      <c r="AX6" s="12"/>
      <c r="AY6" s="12">
        <v>0.8</v>
      </c>
      <c r="AZ6" s="12"/>
      <c r="BA6" s="12">
        <v>0.8</v>
      </c>
      <c r="BE6" s="12"/>
      <c r="BF6" s="12">
        <v>0.8</v>
      </c>
      <c r="BG6" s="12"/>
      <c r="BH6" s="12">
        <v>0.8</v>
      </c>
      <c r="BL6" s="12"/>
      <c r="BM6" s="12">
        <v>0.8</v>
      </c>
      <c r="BN6" s="12"/>
      <c r="BO6" s="12">
        <v>0.8</v>
      </c>
      <c r="BS6" s="12"/>
      <c r="BT6" s="12">
        <v>0.8</v>
      </c>
      <c r="BU6" s="12"/>
      <c r="BV6" s="12">
        <v>0.8</v>
      </c>
      <c r="BZ6" s="12"/>
      <c r="CA6" s="12">
        <v>0.8</v>
      </c>
      <c r="CB6" s="12"/>
      <c r="CC6" s="12">
        <v>0.8</v>
      </c>
      <c r="CG6" s="12"/>
      <c r="CH6" s="12">
        <v>1</v>
      </c>
      <c r="CI6" s="12"/>
      <c r="CJ6" s="12">
        <v>1</v>
      </c>
      <c r="CN6" s="12"/>
      <c r="CO6" s="12">
        <v>1</v>
      </c>
      <c r="CP6" s="12"/>
      <c r="CQ6" s="12">
        <v>1</v>
      </c>
      <c r="CU6" s="12"/>
      <c r="CV6" s="12">
        <v>1</v>
      </c>
      <c r="CW6" s="12"/>
      <c r="CX6" s="12">
        <v>1</v>
      </c>
      <c r="DB6" s="12"/>
      <c r="DC6" s="12">
        <v>1</v>
      </c>
      <c r="DD6" s="12"/>
      <c r="DE6" s="12">
        <v>1</v>
      </c>
      <c r="DI6" s="12"/>
      <c r="DJ6" s="12"/>
      <c r="DK6" s="12"/>
      <c r="DL6" s="12"/>
      <c r="DP6" s="12"/>
      <c r="DQ6" s="12"/>
      <c r="DR6" s="12"/>
      <c r="DS6" s="12"/>
      <c r="DW6" s="12"/>
      <c r="DX6" s="12"/>
      <c r="DY6" s="12"/>
      <c r="DZ6" s="12"/>
      <c r="ED6" s="12"/>
      <c r="EE6" s="12"/>
      <c r="EF6" s="12"/>
      <c r="EG6" s="12"/>
    </row>
    <row r="7" spans="2:138" outlineLevel="1">
      <c r="B7" t="s">
        <v>28</v>
      </c>
      <c r="C7" t="s">
        <v>87</v>
      </c>
      <c r="E7" s="11"/>
      <c r="F7" t="s">
        <v>94</v>
      </c>
      <c r="G7" s="12">
        <v>0.05</v>
      </c>
      <c r="I7" s="11">
        <f t="shared" si="0"/>
        <v>0</v>
      </c>
      <c r="J7" s="13" cm="1">
        <f t="array" ref="J7">MAX(IF($N$3:$EH$3=$J$3,N7:EH7))</f>
        <v>0</v>
      </c>
      <c r="K7" s="13" cm="1">
        <f t="array" ref="K7">MAX(IF($N$3:$EH$3=$J$3,N7:EH7))</f>
        <v>0</v>
      </c>
      <c r="L7" s="11"/>
      <c r="O7" s="12"/>
      <c r="P7" s="12"/>
      <c r="Q7" s="12"/>
      <c r="R7" s="12"/>
      <c r="V7" s="12"/>
      <c r="W7" s="12"/>
      <c r="X7" s="12"/>
      <c r="Y7" s="12"/>
      <c r="AC7" s="12"/>
      <c r="AD7" s="12">
        <v>0.5</v>
      </c>
      <c r="AE7" s="12"/>
      <c r="AF7" s="12">
        <v>0.5</v>
      </c>
      <c r="AJ7" s="12"/>
      <c r="AK7" s="12">
        <v>0.5</v>
      </c>
      <c r="AL7" s="12"/>
      <c r="AM7" s="12">
        <v>0.5</v>
      </c>
      <c r="AQ7" s="12"/>
      <c r="AR7" s="12">
        <v>0.5</v>
      </c>
      <c r="AS7" s="12"/>
      <c r="AT7" s="12">
        <v>0.5</v>
      </c>
      <c r="AX7" s="12"/>
      <c r="AY7" s="12">
        <v>0.8</v>
      </c>
      <c r="AZ7" s="12"/>
      <c r="BA7" s="12">
        <v>0.8</v>
      </c>
      <c r="BE7" s="12"/>
      <c r="BF7" s="12">
        <v>0.8</v>
      </c>
      <c r="BG7" s="12"/>
      <c r="BH7" s="12">
        <v>0.8</v>
      </c>
      <c r="BL7" s="12"/>
      <c r="BM7" s="12">
        <v>0.8</v>
      </c>
      <c r="BN7" s="12"/>
      <c r="BO7" s="12">
        <v>0.8</v>
      </c>
      <c r="BS7" s="12"/>
      <c r="BT7" s="12">
        <v>0.8</v>
      </c>
      <c r="BU7" s="12"/>
      <c r="BV7" s="12">
        <v>0.8</v>
      </c>
      <c r="BZ7" s="12"/>
      <c r="CA7" s="12">
        <v>0.8</v>
      </c>
      <c r="CB7" s="12"/>
      <c r="CC7" s="12">
        <v>0.8</v>
      </c>
      <c r="CG7" s="12"/>
      <c r="CH7" s="12">
        <v>1</v>
      </c>
      <c r="CI7" s="12"/>
      <c r="CJ7" s="12">
        <v>1</v>
      </c>
      <c r="CN7" s="12"/>
      <c r="CO7" s="12">
        <v>1</v>
      </c>
      <c r="CP7" s="12"/>
      <c r="CQ7" s="12">
        <v>1</v>
      </c>
      <c r="CU7" s="12"/>
      <c r="CV7" s="12">
        <v>1</v>
      </c>
      <c r="CW7" s="12"/>
      <c r="CX7" s="12">
        <v>1</v>
      </c>
      <c r="DB7" s="12"/>
      <c r="DC7" s="12">
        <v>1</v>
      </c>
      <c r="DD7" s="12"/>
      <c r="DE7" s="12">
        <v>1</v>
      </c>
      <c r="DI7" s="12"/>
      <c r="DJ7" s="12"/>
      <c r="DK7" s="12"/>
      <c r="DL7" s="12"/>
      <c r="DP7" s="12"/>
      <c r="DQ7" s="12"/>
      <c r="DR7" s="12"/>
      <c r="DS7" s="12"/>
      <c r="DW7" s="12"/>
      <c r="DX7" s="12"/>
      <c r="DY7" s="12"/>
      <c r="DZ7" s="12"/>
      <c r="ED7" s="12"/>
      <c r="EE7" s="12"/>
      <c r="EF7" s="12"/>
      <c r="EG7" s="12"/>
    </row>
    <row r="8" spans="2:138" outlineLevel="1">
      <c r="B8" t="s">
        <v>28</v>
      </c>
      <c r="C8" t="s">
        <v>87</v>
      </c>
      <c r="E8" s="11"/>
      <c r="F8" t="s">
        <v>95</v>
      </c>
      <c r="G8" s="12">
        <v>0.05</v>
      </c>
      <c r="I8" s="11">
        <f t="shared" si="0"/>
        <v>0</v>
      </c>
      <c r="J8" s="13" cm="1">
        <f t="array" ref="J8">MAX(IF($N$3:$EH$3=$J$3,N8:EH8))</f>
        <v>0</v>
      </c>
      <c r="K8" s="13" cm="1">
        <f t="array" ref="K8">MAX(IF($N$3:$EH$3=$J$3,N8:EH8))</f>
        <v>0</v>
      </c>
      <c r="L8" s="11"/>
      <c r="O8" s="12"/>
      <c r="P8" s="12"/>
      <c r="Q8" s="12"/>
      <c r="R8" s="12"/>
      <c r="V8" s="12"/>
      <c r="W8" s="12"/>
      <c r="X8" s="12"/>
      <c r="Y8" s="12"/>
      <c r="AC8" s="12"/>
      <c r="AD8" s="12">
        <v>0.5</v>
      </c>
      <c r="AE8" s="12"/>
      <c r="AF8" s="12">
        <v>0.5</v>
      </c>
      <c r="AJ8" s="12"/>
      <c r="AK8" s="12">
        <v>0.5</v>
      </c>
      <c r="AL8" s="12"/>
      <c r="AM8" s="12">
        <v>0.5</v>
      </c>
      <c r="AQ8" s="12"/>
      <c r="AR8" s="12">
        <v>0.5</v>
      </c>
      <c r="AS8" s="12"/>
      <c r="AT8" s="12">
        <v>0.5</v>
      </c>
      <c r="AX8" s="12"/>
      <c r="AY8" s="12">
        <v>0.8</v>
      </c>
      <c r="AZ8" s="12"/>
      <c r="BA8" s="12">
        <v>0.8</v>
      </c>
      <c r="BE8" s="12"/>
      <c r="BF8" s="12">
        <v>0.8</v>
      </c>
      <c r="BG8" s="12"/>
      <c r="BH8" s="12">
        <v>0.8</v>
      </c>
      <c r="BL8" s="12"/>
      <c r="BM8" s="12">
        <v>0.8</v>
      </c>
      <c r="BN8" s="12"/>
      <c r="BO8" s="12">
        <v>0.8</v>
      </c>
      <c r="BS8" s="12"/>
      <c r="BT8" s="12">
        <v>0.8</v>
      </c>
      <c r="BU8" s="12"/>
      <c r="BV8" s="12">
        <v>0.8</v>
      </c>
      <c r="BZ8" s="12"/>
      <c r="CA8" s="12">
        <v>0.8</v>
      </c>
      <c r="CB8" s="12"/>
      <c r="CC8" s="12">
        <v>0.8</v>
      </c>
      <c r="CG8" s="12"/>
      <c r="CH8" s="12">
        <v>1</v>
      </c>
      <c r="CI8" s="12"/>
      <c r="CJ8" s="12">
        <v>1</v>
      </c>
      <c r="CN8" s="12"/>
      <c r="CO8" s="12">
        <v>1</v>
      </c>
      <c r="CP8" s="12"/>
      <c r="CQ8" s="12">
        <v>1</v>
      </c>
      <c r="CU8" s="12"/>
      <c r="CV8" s="12">
        <v>1</v>
      </c>
      <c r="CW8" s="12"/>
      <c r="CX8" s="12">
        <v>1</v>
      </c>
      <c r="DB8" s="12"/>
      <c r="DC8" s="12">
        <v>1</v>
      </c>
      <c r="DD8" s="12"/>
      <c r="DE8" s="12">
        <v>1</v>
      </c>
      <c r="DI8" s="12"/>
      <c r="DJ8" s="12"/>
      <c r="DK8" s="12"/>
      <c r="DL8" s="12"/>
      <c r="DP8" s="12"/>
      <c r="DQ8" s="12"/>
      <c r="DR8" s="12"/>
      <c r="DS8" s="12"/>
      <c r="DW8" s="12"/>
      <c r="DX8" s="12"/>
      <c r="DY8" s="12"/>
      <c r="DZ8" s="12"/>
      <c r="ED8" s="12"/>
      <c r="EE8" s="12"/>
      <c r="EF8" s="12"/>
      <c r="EG8" s="12"/>
    </row>
    <row r="9" spans="2:138" outlineLevel="1">
      <c r="B9" t="s">
        <v>28</v>
      </c>
      <c r="C9" t="s">
        <v>87</v>
      </c>
      <c r="E9" s="11"/>
      <c r="F9" t="s">
        <v>96</v>
      </c>
      <c r="G9" s="12"/>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v>0.5</v>
      </c>
      <c r="AL9" s="12"/>
      <c r="AM9" s="12">
        <v>0.5</v>
      </c>
      <c r="AQ9" s="12"/>
      <c r="AR9" s="12">
        <v>0.5</v>
      </c>
      <c r="AS9" s="12"/>
      <c r="AT9" s="12">
        <v>0.5</v>
      </c>
      <c r="AX9" s="12"/>
      <c r="AY9" s="12">
        <v>0.5</v>
      </c>
      <c r="AZ9" s="12"/>
      <c r="BA9" s="12">
        <v>0.5</v>
      </c>
      <c r="BE9" s="12"/>
      <c r="BF9" s="12">
        <v>0.8</v>
      </c>
      <c r="BG9" s="12"/>
      <c r="BH9" s="12">
        <v>0.8</v>
      </c>
      <c r="BL9" s="12"/>
      <c r="BM9" s="12">
        <v>0.8</v>
      </c>
      <c r="BN9" s="12"/>
      <c r="BO9" s="12">
        <v>0.8</v>
      </c>
      <c r="BS9" s="12"/>
      <c r="BT9" s="12">
        <v>0.8</v>
      </c>
      <c r="BU9" s="12"/>
      <c r="BV9" s="12">
        <v>0.8</v>
      </c>
      <c r="BZ9" s="12"/>
      <c r="CA9" s="12">
        <v>0.8</v>
      </c>
      <c r="CB9" s="12"/>
      <c r="CC9" s="12">
        <v>0.8</v>
      </c>
      <c r="CG9" s="12"/>
      <c r="CH9" s="12">
        <v>0.8</v>
      </c>
      <c r="CI9" s="12"/>
      <c r="CJ9" s="12">
        <v>0.8</v>
      </c>
      <c r="CN9" s="12"/>
      <c r="CO9" s="12">
        <v>1</v>
      </c>
      <c r="CP9" s="12"/>
      <c r="CQ9" s="12">
        <v>1</v>
      </c>
      <c r="CU9" s="12"/>
      <c r="CV9" s="12">
        <v>1</v>
      </c>
      <c r="CW9" s="12"/>
      <c r="CX9" s="12">
        <v>1</v>
      </c>
      <c r="DB9" s="12"/>
      <c r="DC9" s="12">
        <v>1</v>
      </c>
      <c r="DD9" s="12"/>
      <c r="DE9" s="12">
        <v>1</v>
      </c>
      <c r="DI9" s="12"/>
      <c r="DJ9" s="12"/>
      <c r="DK9" s="12"/>
      <c r="DL9" s="12"/>
      <c r="DP9" s="12"/>
      <c r="DQ9" s="12"/>
      <c r="DR9" s="12"/>
      <c r="DS9" s="12"/>
      <c r="DW9" s="12"/>
      <c r="DX9" s="12"/>
      <c r="DY9" s="12"/>
      <c r="DZ9" s="12"/>
      <c r="ED9" s="12"/>
      <c r="EE9" s="12"/>
      <c r="EF9" s="12"/>
      <c r="EG9" s="12"/>
    </row>
    <row r="10" spans="2:138" outlineLevel="1">
      <c r="B10" t="s">
        <v>28</v>
      </c>
      <c r="C10" t="s">
        <v>87</v>
      </c>
      <c r="E10" s="11"/>
      <c r="F10" t="s">
        <v>97</v>
      </c>
      <c r="G10" s="12"/>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v>0.5</v>
      </c>
      <c r="AL10" s="12"/>
      <c r="AM10" s="12">
        <v>0.5</v>
      </c>
      <c r="AQ10" s="12"/>
      <c r="AR10" s="12">
        <v>0.5</v>
      </c>
      <c r="AS10" s="12"/>
      <c r="AT10" s="12">
        <v>0.5</v>
      </c>
      <c r="AX10" s="12"/>
      <c r="AY10" s="12">
        <v>0.5</v>
      </c>
      <c r="AZ10" s="12"/>
      <c r="BA10" s="12">
        <v>0.5</v>
      </c>
      <c r="BE10" s="12"/>
      <c r="BF10" s="12">
        <v>0.8</v>
      </c>
      <c r="BG10" s="12"/>
      <c r="BH10" s="12">
        <v>0.8</v>
      </c>
      <c r="BL10" s="12"/>
      <c r="BM10" s="12">
        <v>0.8</v>
      </c>
      <c r="BN10" s="12"/>
      <c r="BO10" s="12">
        <v>0.8</v>
      </c>
      <c r="BS10" s="12"/>
      <c r="BT10" s="12">
        <v>0.8</v>
      </c>
      <c r="BU10" s="12"/>
      <c r="BV10" s="12">
        <v>0.8</v>
      </c>
      <c r="BZ10" s="12"/>
      <c r="CA10" s="12">
        <v>0.8</v>
      </c>
      <c r="CB10" s="12"/>
      <c r="CC10" s="12">
        <v>0.8</v>
      </c>
      <c r="CG10" s="12"/>
      <c r="CH10" s="12">
        <v>0.8</v>
      </c>
      <c r="CI10" s="12"/>
      <c r="CJ10" s="12">
        <v>0.8</v>
      </c>
      <c r="CN10" s="12"/>
      <c r="CO10" s="12">
        <v>1</v>
      </c>
      <c r="CP10" s="12"/>
      <c r="CQ10" s="12">
        <v>1</v>
      </c>
      <c r="CU10" s="12"/>
      <c r="CV10" s="12">
        <v>1</v>
      </c>
      <c r="CW10" s="12"/>
      <c r="CX10" s="12">
        <v>1</v>
      </c>
      <c r="DB10" s="12"/>
      <c r="DC10" s="12">
        <v>1</v>
      </c>
      <c r="DD10" s="12"/>
      <c r="DE10" s="12">
        <v>1</v>
      </c>
      <c r="DI10" s="12"/>
      <c r="DJ10" s="12"/>
      <c r="DK10" s="12"/>
      <c r="DL10" s="12"/>
      <c r="DP10" s="12"/>
      <c r="DQ10" s="12"/>
      <c r="DR10" s="12"/>
      <c r="DS10" s="12"/>
      <c r="DW10" s="12"/>
      <c r="DX10" s="12"/>
      <c r="DY10" s="12"/>
      <c r="DZ10" s="12"/>
      <c r="ED10" s="12"/>
      <c r="EE10" s="12"/>
      <c r="EF10" s="12"/>
      <c r="EG10" s="12"/>
    </row>
    <row r="11" spans="2:138" outlineLevel="1">
      <c r="B11" t="s">
        <v>28</v>
      </c>
      <c r="C11" t="s">
        <v>87</v>
      </c>
      <c r="E11" s="11"/>
      <c r="F11" t="s">
        <v>98</v>
      </c>
      <c r="G11" s="12"/>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v>0.5</v>
      </c>
      <c r="AS11" s="12"/>
      <c r="AT11" s="12">
        <v>0.5</v>
      </c>
      <c r="AX11" s="12"/>
      <c r="AY11" s="12">
        <v>0.5</v>
      </c>
      <c r="AZ11" s="12"/>
      <c r="BA11" s="12">
        <v>0.5</v>
      </c>
      <c r="BE11" s="12"/>
      <c r="BF11" s="12">
        <v>0.5</v>
      </c>
      <c r="BG11" s="12"/>
      <c r="BH11" s="12">
        <v>0.5</v>
      </c>
      <c r="BL11" s="12"/>
      <c r="BM11" s="12">
        <v>0.8</v>
      </c>
      <c r="BN11" s="12"/>
      <c r="BO11" s="12">
        <v>0.8</v>
      </c>
      <c r="BS11" s="12"/>
      <c r="BT11" s="12">
        <v>0.8</v>
      </c>
      <c r="BU11" s="12"/>
      <c r="BV11" s="12">
        <v>0.8</v>
      </c>
      <c r="BZ11" s="12"/>
      <c r="CA11" s="12">
        <v>0.8</v>
      </c>
      <c r="CB11" s="12"/>
      <c r="CC11" s="12">
        <v>0.8</v>
      </c>
      <c r="CG11" s="12"/>
      <c r="CH11" s="12">
        <v>0.8</v>
      </c>
      <c r="CI11" s="12"/>
      <c r="CJ11" s="12">
        <v>0.8</v>
      </c>
      <c r="CN11" s="12"/>
      <c r="CO11" s="12">
        <v>1</v>
      </c>
      <c r="CP11" s="12"/>
      <c r="CQ11" s="12">
        <v>1</v>
      </c>
      <c r="CU11" s="12"/>
      <c r="CV11" s="12">
        <v>1</v>
      </c>
      <c r="CW11" s="12"/>
      <c r="CX11" s="12">
        <v>1</v>
      </c>
      <c r="DB11" s="12"/>
      <c r="DC11" s="12">
        <v>1</v>
      </c>
      <c r="DD11" s="12"/>
      <c r="DE11" s="12">
        <v>1</v>
      </c>
      <c r="DI11" s="12"/>
      <c r="DJ11" s="12"/>
      <c r="DK11" s="12"/>
      <c r="DL11" s="12"/>
      <c r="DP11" s="12"/>
      <c r="DQ11" s="12"/>
      <c r="DR11" s="12"/>
      <c r="DS11" s="12"/>
      <c r="DW11" s="12"/>
      <c r="DX11" s="12"/>
      <c r="DY11" s="12"/>
      <c r="DZ11" s="12"/>
      <c r="ED11" s="12"/>
      <c r="EE11" s="12"/>
      <c r="EF11" s="12"/>
      <c r="EG11" s="12"/>
    </row>
    <row r="12" spans="2:138" outlineLevel="1">
      <c r="B12" t="s">
        <v>28</v>
      </c>
      <c r="C12" t="s">
        <v>87</v>
      </c>
      <c r="E12" s="11"/>
      <c r="F12" t="s">
        <v>99</v>
      </c>
      <c r="G12" s="12"/>
      <c r="I12" s="11">
        <f t="shared" si="0"/>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v>0.5</v>
      </c>
      <c r="AS12" s="12"/>
      <c r="AT12" s="12">
        <v>0.5</v>
      </c>
      <c r="AX12" s="12"/>
      <c r="AY12" s="12">
        <v>0.5</v>
      </c>
      <c r="AZ12" s="12"/>
      <c r="BA12" s="12">
        <v>0.5</v>
      </c>
      <c r="BE12" s="12"/>
      <c r="BF12" s="12">
        <v>0.5</v>
      </c>
      <c r="BG12" s="12"/>
      <c r="BH12" s="12">
        <v>0.5</v>
      </c>
      <c r="BL12" s="12"/>
      <c r="BM12" s="12">
        <v>0.5</v>
      </c>
      <c r="BN12" s="12"/>
      <c r="BO12" s="12">
        <v>0.5</v>
      </c>
      <c r="BS12" s="12"/>
      <c r="BT12" s="12">
        <v>0.8</v>
      </c>
      <c r="BU12" s="12"/>
      <c r="BV12" s="12">
        <v>0.8</v>
      </c>
      <c r="BZ12" s="12"/>
      <c r="CA12" s="12">
        <v>0.8</v>
      </c>
      <c r="CB12" s="12"/>
      <c r="CC12" s="12">
        <v>0.8</v>
      </c>
      <c r="CG12" s="12"/>
      <c r="CH12" s="12">
        <v>0.8</v>
      </c>
      <c r="CI12" s="12"/>
      <c r="CJ12" s="12">
        <v>0.8</v>
      </c>
      <c r="CN12" s="12"/>
      <c r="CO12" s="12">
        <v>0.8</v>
      </c>
      <c r="CP12" s="12"/>
      <c r="CQ12" s="12">
        <v>0.8</v>
      </c>
      <c r="CU12" s="12"/>
      <c r="CV12" s="12">
        <v>1</v>
      </c>
      <c r="CW12" s="12"/>
      <c r="CX12" s="12">
        <v>1</v>
      </c>
      <c r="CY12" t="s">
        <v>155</v>
      </c>
      <c r="DB12" s="12"/>
      <c r="DC12" s="12">
        <v>1</v>
      </c>
      <c r="DD12" s="12"/>
      <c r="DE12" s="12">
        <v>1</v>
      </c>
      <c r="DI12" s="12"/>
      <c r="DJ12" s="12"/>
      <c r="DK12" s="12"/>
      <c r="DL12" s="12"/>
      <c r="DP12" s="12"/>
      <c r="DQ12" s="12"/>
      <c r="DR12" s="12"/>
      <c r="DS12" s="12"/>
      <c r="DW12" s="12"/>
      <c r="DX12" s="12"/>
      <c r="DY12" s="12"/>
      <c r="DZ12" s="12"/>
      <c r="ED12" s="12"/>
      <c r="EE12" s="12"/>
      <c r="EF12" s="12"/>
      <c r="EG12" s="12"/>
    </row>
    <row r="13" spans="2:138" outlineLevel="1">
      <c r="B13" t="s">
        <v>28</v>
      </c>
      <c r="C13" t="s">
        <v>87</v>
      </c>
      <c r="E13" s="11"/>
      <c r="F13" t="s">
        <v>100</v>
      </c>
      <c r="G13" s="12"/>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X13" s="12"/>
      <c r="AY13" s="12">
        <v>0.5</v>
      </c>
      <c r="AZ13" s="12"/>
      <c r="BA13" s="12">
        <v>0.5</v>
      </c>
      <c r="BE13" s="12"/>
      <c r="BF13" s="12">
        <v>0.5</v>
      </c>
      <c r="BG13" s="12"/>
      <c r="BH13" s="12">
        <v>0.5</v>
      </c>
      <c r="BL13" s="12"/>
      <c r="BM13" s="12">
        <v>0.5</v>
      </c>
      <c r="BN13" s="12"/>
      <c r="BO13" s="12">
        <v>0.5</v>
      </c>
      <c r="BS13" s="12"/>
      <c r="BT13" s="12">
        <v>0.8</v>
      </c>
      <c r="BU13" s="12"/>
      <c r="BV13" s="12">
        <v>0.8</v>
      </c>
      <c r="BZ13" s="12"/>
      <c r="CA13" s="12">
        <v>0.8</v>
      </c>
      <c r="CB13" s="12"/>
      <c r="CC13" s="12">
        <v>0.8</v>
      </c>
      <c r="CG13" s="12"/>
      <c r="CH13" s="12">
        <v>0.8</v>
      </c>
      <c r="CI13" s="12"/>
      <c r="CJ13" s="12">
        <v>0.8</v>
      </c>
      <c r="CN13" s="12"/>
      <c r="CO13" s="12">
        <v>0.8</v>
      </c>
      <c r="CP13" s="12"/>
      <c r="CQ13" s="12">
        <v>0.8</v>
      </c>
      <c r="CU13" s="12"/>
      <c r="CV13" s="12">
        <v>1</v>
      </c>
      <c r="CW13" s="12"/>
      <c r="CX13" s="12">
        <v>1</v>
      </c>
      <c r="DB13" s="12"/>
      <c r="DC13" s="12">
        <v>1</v>
      </c>
      <c r="DD13" s="12"/>
      <c r="DE13" s="12">
        <v>1</v>
      </c>
      <c r="DI13" s="12"/>
      <c r="DJ13" s="12"/>
      <c r="DK13" s="12"/>
      <c r="DL13" s="12"/>
      <c r="DP13" s="12"/>
      <c r="DQ13" s="12"/>
      <c r="DR13" s="12"/>
      <c r="DS13" s="12"/>
      <c r="DW13" s="12"/>
      <c r="DX13" s="12"/>
      <c r="DY13" s="12"/>
      <c r="DZ13" s="12"/>
      <c r="ED13" s="12"/>
      <c r="EE13" s="12"/>
      <c r="EF13" s="12"/>
      <c r="EG13" s="12"/>
    </row>
    <row r="14" spans="2:138" outlineLevel="1">
      <c r="B14" t="s">
        <v>28</v>
      </c>
      <c r="C14" t="s">
        <v>87</v>
      </c>
      <c r="E14" s="11"/>
      <c r="F14" t="s">
        <v>101</v>
      </c>
      <c r="G14" s="12"/>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v>0.5</v>
      </c>
      <c r="BG14" s="12"/>
      <c r="BH14" s="12">
        <v>0.5</v>
      </c>
      <c r="BL14" s="12"/>
      <c r="BM14" s="12">
        <v>0.5</v>
      </c>
      <c r="BN14" s="12"/>
      <c r="BO14" s="12">
        <v>0.5</v>
      </c>
      <c r="BS14" s="12"/>
      <c r="BT14" s="12">
        <v>0.8</v>
      </c>
      <c r="BU14" s="12"/>
      <c r="BV14" s="12">
        <v>0.8</v>
      </c>
      <c r="BZ14" s="12"/>
      <c r="CA14" s="12">
        <v>0.8</v>
      </c>
      <c r="CB14" s="12"/>
      <c r="CC14" s="12">
        <v>0.8</v>
      </c>
      <c r="CG14" s="12"/>
      <c r="CH14" s="12">
        <v>0.8</v>
      </c>
      <c r="CI14" s="12"/>
      <c r="CJ14" s="12">
        <v>0.8</v>
      </c>
      <c r="CN14" s="12"/>
      <c r="CO14" s="12">
        <v>0.8</v>
      </c>
      <c r="CP14" s="12"/>
      <c r="CQ14" s="12">
        <v>0.8</v>
      </c>
      <c r="CU14" s="12"/>
      <c r="CV14" s="12">
        <v>1</v>
      </c>
      <c r="CW14" s="12"/>
      <c r="CX14" s="12">
        <v>1</v>
      </c>
      <c r="DB14" s="12"/>
      <c r="DC14" s="12">
        <v>1</v>
      </c>
      <c r="DD14" s="12"/>
      <c r="DE14" s="12">
        <v>1</v>
      </c>
      <c r="DI14" s="12"/>
      <c r="DJ14" s="12"/>
      <c r="DK14" s="12"/>
      <c r="DL14" s="12"/>
      <c r="DP14" s="12"/>
      <c r="DQ14" s="12"/>
      <c r="DR14" s="12"/>
      <c r="DS14" s="12"/>
      <c r="DW14" s="12"/>
      <c r="DX14" s="12"/>
      <c r="DY14" s="12"/>
      <c r="DZ14" s="12"/>
      <c r="ED14" s="12"/>
      <c r="EE14" s="12"/>
      <c r="EF14" s="12"/>
      <c r="EG14" s="12"/>
    </row>
    <row r="15" spans="2:138" outlineLevel="1">
      <c r="B15" t="s">
        <v>28</v>
      </c>
      <c r="C15" t="s">
        <v>87</v>
      </c>
      <c r="E15" s="11"/>
      <c r="F15" t="s">
        <v>102</v>
      </c>
      <c r="G15" s="12"/>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v>0.5</v>
      </c>
      <c r="BN15" s="12"/>
      <c r="BO15" s="12">
        <v>0.5</v>
      </c>
      <c r="BS15" s="12"/>
      <c r="BT15" s="12">
        <v>0.5</v>
      </c>
      <c r="BU15" s="12"/>
      <c r="BV15" s="12">
        <v>0.5</v>
      </c>
      <c r="BZ15" s="12"/>
      <c r="CA15" s="12">
        <v>0.8</v>
      </c>
      <c r="CB15" s="12"/>
      <c r="CC15" s="12">
        <v>0.8</v>
      </c>
      <c r="CG15" s="12"/>
      <c r="CH15" s="12">
        <v>0.8</v>
      </c>
      <c r="CI15" s="12"/>
      <c r="CJ15" s="12">
        <v>0.8</v>
      </c>
      <c r="CN15" s="12"/>
      <c r="CO15" s="12">
        <v>0.8</v>
      </c>
      <c r="CP15" s="12"/>
      <c r="CQ15" s="12">
        <v>0.8</v>
      </c>
      <c r="CU15" s="12"/>
      <c r="CV15" s="12">
        <v>0.8</v>
      </c>
      <c r="CW15" s="12"/>
      <c r="CX15" s="12">
        <v>0.8</v>
      </c>
      <c r="DB15" s="12"/>
      <c r="DC15" s="12">
        <v>1</v>
      </c>
      <c r="DD15" s="12"/>
      <c r="DE15" s="12">
        <v>1</v>
      </c>
      <c r="DI15" s="12"/>
      <c r="DJ15" s="12"/>
      <c r="DK15" s="12"/>
      <c r="DL15" s="12"/>
      <c r="DP15" s="12"/>
      <c r="DQ15" s="12"/>
      <c r="DR15" s="12"/>
      <c r="DS15" s="12"/>
      <c r="DW15" s="12"/>
      <c r="DX15" s="12"/>
      <c r="DY15" s="12"/>
      <c r="DZ15" s="12"/>
      <c r="ED15" s="12"/>
      <c r="EE15" s="12"/>
      <c r="EF15" s="12"/>
      <c r="EG15" s="12"/>
    </row>
    <row r="16" spans="2:138" outlineLevel="1">
      <c r="B16" t="s">
        <v>28</v>
      </c>
      <c r="C16" t="s">
        <v>87</v>
      </c>
      <c r="E16" s="11"/>
      <c r="F16" t="s">
        <v>133</v>
      </c>
      <c r="G16" s="12">
        <v>0.05</v>
      </c>
      <c r="I16" s="11">
        <f t="shared" si="0"/>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v>0.5</v>
      </c>
      <c r="BN16" s="12"/>
      <c r="BO16" s="12">
        <v>0.5</v>
      </c>
      <c r="BS16" s="12"/>
      <c r="BT16" s="12">
        <v>0.5</v>
      </c>
      <c r="BU16" s="12"/>
      <c r="BV16" s="12">
        <v>0.5</v>
      </c>
      <c r="BZ16" s="12"/>
      <c r="CA16" s="12">
        <v>0.8</v>
      </c>
      <c r="CB16" s="12"/>
      <c r="CC16" s="12">
        <v>0.8</v>
      </c>
      <c r="CG16" s="12"/>
      <c r="CH16" s="12">
        <v>0.8</v>
      </c>
      <c r="CI16" s="12"/>
      <c r="CJ16" s="12">
        <v>0.8</v>
      </c>
      <c r="CN16" s="12"/>
      <c r="CO16" s="12">
        <v>0.8</v>
      </c>
      <c r="CP16" s="12"/>
      <c r="CQ16" s="12">
        <v>0.8</v>
      </c>
      <c r="CU16" s="12"/>
      <c r="CV16" s="12">
        <v>0.8</v>
      </c>
      <c r="CW16" s="12"/>
      <c r="CX16" s="12">
        <v>0.8</v>
      </c>
      <c r="DB16" s="12"/>
      <c r="DC16" s="12">
        <v>1</v>
      </c>
      <c r="DD16" s="12"/>
      <c r="DE16" s="12">
        <v>1</v>
      </c>
      <c r="DI16" s="12"/>
      <c r="DJ16" s="12"/>
      <c r="DK16" s="12"/>
      <c r="DL16" s="12"/>
      <c r="DP16" s="12"/>
      <c r="DQ16" s="12"/>
      <c r="DR16" s="12"/>
      <c r="DS16" s="12"/>
      <c r="DW16" s="12"/>
      <c r="DX16" s="12"/>
      <c r="DY16" s="12"/>
      <c r="DZ16" s="12"/>
      <c r="ED16" s="12"/>
      <c r="EE16" s="12"/>
      <c r="EF16" s="12"/>
      <c r="EG16" s="12"/>
    </row>
    <row r="17" spans="2:137">
      <c r="O17" s="9"/>
      <c r="V17" s="9"/>
      <c r="AC17" s="9"/>
      <c r="AJ17" s="9"/>
      <c r="AQ17" s="9"/>
      <c r="AX17" s="9"/>
      <c r="BE17" s="9"/>
      <c r="BL17" s="9"/>
      <c r="BS17" s="9"/>
      <c r="BZ17" s="9"/>
      <c r="CG17" s="9"/>
      <c r="CN17" s="9"/>
      <c r="CU17" s="9"/>
      <c r="DB17" s="9"/>
      <c r="DI17" s="9"/>
      <c r="DP17" s="9"/>
      <c r="DW17" s="9"/>
      <c r="ED17" s="9"/>
    </row>
    <row r="18" spans="2:137">
      <c r="B18" t="s">
        <v>27</v>
      </c>
      <c r="C18" t="s">
        <v>88</v>
      </c>
      <c r="D18" s="22">
        <v>45670</v>
      </c>
      <c r="E18" s="11">
        <v>5.5</v>
      </c>
      <c r="G18" s="12">
        <f>+SUM(G19:G26)</f>
        <v>1.4</v>
      </c>
      <c r="I18" s="14">
        <f>+SUM(I19:I26)</f>
        <v>0</v>
      </c>
      <c r="J18" s="13">
        <f>+SUMPRODUCT(G19:G26,J19:J26)</f>
        <v>0</v>
      </c>
      <c r="K18" s="13">
        <f>+SUMPRODUCT(G19:G26,K19:K26)</f>
        <v>0</v>
      </c>
      <c r="L18" s="11"/>
      <c r="N18" s="14">
        <f>+SUM(N19:N26)</f>
        <v>0</v>
      </c>
      <c r="U18" s="14">
        <f>+SUM(U19:U26)</f>
        <v>0</v>
      </c>
      <c r="AB18" s="14">
        <f>+SUM(AB19:AB26)</f>
        <v>0</v>
      </c>
      <c r="AI18" s="14">
        <f>+SUM(AI19:AI26)</f>
        <v>0</v>
      </c>
      <c r="AP18" s="14">
        <f>+SUM(AP19:AP26)</f>
        <v>0</v>
      </c>
    </row>
    <row r="19" spans="2:137" outlineLevel="1">
      <c r="B19" t="s">
        <v>28</v>
      </c>
      <c r="C19" t="s">
        <v>88</v>
      </c>
      <c r="E19" s="11"/>
      <c r="F19" t="s">
        <v>103</v>
      </c>
      <c r="G19" s="12">
        <v>0.1</v>
      </c>
      <c r="I19" s="11">
        <f t="shared" ref="I19:I26" si="1">+SUMIF($N$3:$ZZ$3,I$3,$N19:$ZZ19)</f>
        <v>0</v>
      </c>
      <c r="J19" s="13" cm="1">
        <f t="array" ref="J19">MAX(IF($N$3:$EH$3=$J$3,N19:EH19))</f>
        <v>0</v>
      </c>
      <c r="K19" s="13" cm="1">
        <f t="array" ref="K19">MAX(IF($N$3:$EH$3=$J$3,N19:EH19))</f>
        <v>0</v>
      </c>
      <c r="L19" s="11"/>
      <c r="O19" s="12"/>
      <c r="P19" s="12">
        <v>0.5</v>
      </c>
      <c r="Q19" s="12"/>
      <c r="R19" s="12">
        <v>0.5</v>
      </c>
      <c r="V19" s="12"/>
      <c r="W19" s="12">
        <v>0.5</v>
      </c>
      <c r="X19" s="12"/>
      <c r="Y19" s="12">
        <v>0.5</v>
      </c>
      <c r="AC19" s="12"/>
      <c r="AD19" s="12">
        <v>0.5</v>
      </c>
      <c r="AE19" s="12"/>
      <c r="AF19" s="12">
        <v>0.5</v>
      </c>
      <c r="AJ19" s="12"/>
      <c r="AK19" s="12">
        <v>0.8</v>
      </c>
      <c r="AL19" s="12"/>
      <c r="AM19" s="12">
        <v>0.8</v>
      </c>
      <c r="AQ19" s="12"/>
      <c r="AR19" s="12">
        <v>0.8</v>
      </c>
      <c r="AS19" s="12"/>
      <c r="AT19" s="12">
        <v>0.8</v>
      </c>
      <c r="AX19" s="12"/>
      <c r="AY19" s="12">
        <v>0.8</v>
      </c>
      <c r="AZ19" s="12"/>
      <c r="BA19" s="12">
        <v>0.8</v>
      </c>
      <c r="BE19" s="12"/>
      <c r="BF19" s="12">
        <v>0.8</v>
      </c>
      <c r="BG19" s="12"/>
      <c r="BH19" s="12">
        <v>0.8</v>
      </c>
      <c r="BL19" s="12"/>
      <c r="BM19" s="12">
        <v>0.8</v>
      </c>
      <c r="BN19" s="12"/>
      <c r="BO19" s="12">
        <v>0.8</v>
      </c>
      <c r="BS19" s="12"/>
      <c r="BT19" s="12">
        <v>0.8</v>
      </c>
      <c r="BU19" s="12"/>
      <c r="BV19" s="12">
        <v>0.8</v>
      </c>
      <c r="BZ19" s="12"/>
      <c r="CA19" s="12">
        <v>1</v>
      </c>
      <c r="CB19" s="12"/>
      <c r="CC19" s="12">
        <v>1</v>
      </c>
      <c r="CG19" s="12"/>
      <c r="CH19" s="12">
        <v>1</v>
      </c>
      <c r="CI19" s="12"/>
      <c r="CJ19" s="12">
        <v>1</v>
      </c>
      <c r="CN19" s="12"/>
      <c r="CO19" s="12">
        <v>1</v>
      </c>
      <c r="CP19" s="12"/>
      <c r="CQ19" s="12">
        <v>1</v>
      </c>
      <c r="CU19" s="12"/>
      <c r="CV19" s="12">
        <v>1</v>
      </c>
      <c r="CW19" s="12"/>
      <c r="CX19" s="12">
        <v>1</v>
      </c>
      <c r="DB19" s="12"/>
      <c r="DC19" s="12">
        <v>1</v>
      </c>
      <c r="DD19" s="12"/>
      <c r="DE19" s="12">
        <v>1</v>
      </c>
      <c r="DI19" s="12"/>
      <c r="DJ19" s="12"/>
      <c r="DK19" s="12"/>
      <c r="DL19" s="12"/>
      <c r="DP19" s="12"/>
      <c r="DQ19" s="12"/>
      <c r="DR19" s="12"/>
      <c r="DS19" s="12"/>
      <c r="DW19" s="12"/>
      <c r="DX19" s="12"/>
      <c r="DY19" s="12"/>
      <c r="DZ19" s="12"/>
      <c r="ED19" s="12"/>
      <c r="EE19" s="12"/>
      <c r="EF19" s="12"/>
      <c r="EG19" s="12"/>
    </row>
    <row r="20" spans="2:137" outlineLevel="1">
      <c r="B20" t="s">
        <v>28</v>
      </c>
      <c r="C20" t="s">
        <v>88</v>
      </c>
      <c r="E20" s="11"/>
      <c r="F20" t="s">
        <v>104</v>
      </c>
      <c r="G20" s="12">
        <v>0.2</v>
      </c>
      <c r="I20" s="11">
        <f t="shared" si="1"/>
        <v>0</v>
      </c>
      <c r="J20" s="13" cm="1">
        <f t="array" ref="J20">MAX(IF($N$3:$EH$3=$J$3,N20:EH20))</f>
        <v>0</v>
      </c>
      <c r="K20" s="13" cm="1">
        <f t="array" ref="K20">MAX(IF($N$3:$EH$3=$J$3,N20:EH20))</f>
        <v>0</v>
      </c>
      <c r="L20" s="11"/>
      <c r="O20" s="12"/>
      <c r="P20" s="12"/>
      <c r="Q20" s="12"/>
      <c r="R20" s="12"/>
      <c r="V20" s="12"/>
      <c r="W20" s="12">
        <v>0.5</v>
      </c>
      <c r="X20" s="12"/>
      <c r="Y20" s="12">
        <v>0.5</v>
      </c>
      <c r="AC20" s="12"/>
      <c r="AD20" s="12">
        <v>0.5</v>
      </c>
      <c r="AE20" s="12"/>
      <c r="AF20" s="12">
        <v>0.5</v>
      </c>
      <c r="AJ20" s="12"/>
      <c r="AK20" s="12">
        <v>0.5</v>
      </c>
      <c r="AL20" s="12"/>
      <c r="AM20" s="12">
        <v>0.5</v>
      </c>
      <c r="AQ20" s="12"/>
      <c r="AR20" s="12">
        <v>0.5</v>
      </c>
      <c r="AS20" s="12"/>
      <c r="AT20" s="12">
        <v>0.5</v>
      </c>
      <c r="AX20" s="12"/>
      <c r="AY20" s="12">
        <v>0.8</v>
      </c>
      <c r="AZ20" s="12"/>
      <c r="BA20" s="12">
        <v>0.8</v>
      </c>
      <c r="BE20" s="12"/>
      <c r="BF20" s="12">
        <v>0.8</v>
      </c>
      <c r="BG20" s="12"/>
      <c r="BH20" s="12">
        <v>0.8</v>
      </c>
      <c r="BL20" s="12"/>
      <c r="BM20" s="12">
        <v>0.8</v>
      </c>
      <c r="BN20" s="12"/>
      <c r="BO20" s="12">
        <v>0.8</v>
      </c>
      <c r="BS20" s="12"/>
      <c r="BT20" s="12">
        <v>0.8</v>
      </c>
      <c r="BU20" s="12"/>
      <c r="BV20" s="12">
        <v>0.8</v>
      </c>
      <c r="BZ20" s="12"/>
      <c r="CA20" s="12">
        <v>0.8</v>
      </c>
      <c r="CB20" s="12"/>
      <c r="CC20" s="12">
        <v>0.8</v>
      </c>
      <c r="CG20" s="12"/>
      <c r="CH20" s="12">
        <v>1</v>
      </c>
      <c r="CI20" s="12"/>
      <c r="CJ20" s="12">
        <v>1</v>
      </c>
      <c r="CN20" s="12"/>
      <c r="CO20" s="12">
        <v>1</v>
      </c>
      <c r="CP20" s="12"/>
      <c r="CQ20" s="12">
        <v>1</v>
      </c>
      <c r="CU20" s="12"/>
      <c r="CV20" s="12">
        <v>1</v>
      </c>
      <c r="CW20" s="12"/>
      <c r="CX20" s="12">
        <v>1</v>
      </c>
      <c r="DB20" s="12"/>
      <c r="DC20" s="12">
        <v>1</v>
      </c>
      <c r="DD20" s="12"/>
      <c r="DE20" s="12">
        <v>1</v>
      </c>
      <c r="DI20" s="12"/>
      <c r="DJ20" s="12"/>
      <c r="DK20" s="12"/>
      <c r="DL20" s="12"/>
      <c r="DP20" s="12"/>
      <c r="DQ20" s="12"/>
      <c r="DR20" s="12"/>
      <c r="DS20" s="12"/>
      <c r="DW20" s="12"/>
      <c r="DX20" s="12"/>
      <c r="DY20" s="12"/>
      <c r="DZ20" s="12"/>
      <c r="ED20" s="12"/>
      <c r="EE20" s="12"/>
      <c r="EF20" s="12"/>
      <c r="EG20" s="12"/>
    </row>
    <row r="21" spans="2:137" outlineLevel="1">
      <c r="B21" t="s">
        <v>28</v>
      </c>
      <c r="C21" t="s">
        <v>88</v>
      </c>
      <c r="E21" s="11"/>
      <c r="F21" t="s">
        <v>105</v>
      </c>
      <c r="G21" s="12">
        <v>0.2</v>
      </c>
      <c r="I21" s="11">
        <f t="shared" si="1"/>
        <v>0</v>
      </c>
      <c r="J21" s="13" cm="1">
        <f t="array" ref="J21">MAX(IF($N$3:$EH$3=$J$3,N21:EH21))</f>
        <v>0</v>
      </c>
      <c r="K21" s="13" cm="1">
        <f t="array" ref="K21">MAX(IF($N$3:$EH$3=$J$3,N21:EH21))</f>
        <v>0</v>
      </c>
      <c r="L21" s="11"/>
      <c r="O21" s="12"/>
      <c r="P21" s="12"/>
      <c r="Q21" s="12"/>
      <c r="R21" s="12"/>
      <c r="V21" s="12"/>
      <c r="W21" s="12">
        <v>0.5</v>
      </c>
      <c r="X21" s="12"/>
      <c r="Y21" s="12">
        <v>0.5</v>
      </c>
      <c r="AC21" s="12"/>
      <c r="AD21" s="12">
        <v>0.5</v>
      </c>
      <c r="AE21" s="12"/>
      <c r="AF21" s="12">
        <v>0.5</v>
      </c>
      <c r="AJ21" s="12"/>
      <c r="AK21" s="12">
        <v>0.5</v>
      </c>
      <c r="AL21" s="12"/>
      <c r="AM21" s="12">
        <v>0.5</v>
      </c>
      <c r="AQ21" s="12"/>
      <c r="AR21" s="12">
        <v>0.5</v>
      </c>
      <c r="AS21" s="12"/>
      <c r="AT21" s="12">
        <v>0.5</v>
      </c>
      <c r="AX21" s="12"/>
      <c r="AY21" s="12">
        <v>0.5</v>
      </c>
      <c r="AZ21" s="12"/>
      <c r="BA21" s="12">
        <v>0.5</v>
      </c>
      <c r="BE21" s="12"/>
      <c r="BF21" s="12">
        <v>0.8</v>
      </c>
      <c r="BG21" s="12"/>
      <c r="BH21" s="12">
        <v>0.8</v>
      </c>
      <c r="BL21" s="12"/>
      <c r="BM21" s="12">
        <v>0.8</v>
      </c>
      <c r="BN21" s="12"/>
      <c r="BO21" s="12">
        <v>0.8</v>
      </c>
      <c r="BS21" s="12"/>
      <c r="BT21" s="12">
        <v>0.8</v>
      </c>
      <c r="BU21" s="12"/>
      <c r="BV21" s="12">
        <v>0.8</v>
      </c>
      <c r="BZ21" s="12"/>
      <c r="CA21" s="12">
        <v>0.8</v>
      </c>
      <c r="CB21" s="12"/>
      <c r="CC21" s="12">
        <v>0.8</v>
      </c>
      <c r="CG21" s="12"/>
      <c r="CH21" s="12">
        <v>0.8</v>
      </c>
      <c r="CI21" s="12"/>
      <c r="CJ21" s="12">
        <v>0.8</v>
      </c>
      <c r="CN21" s="12"/>
      <c r="CO21" s="12">
        <v>1</v>
      </c>
      <c r="CP21" s="12"/>
      <c r="CQ21" s="12">
        <v>1</v>
      </c>
      <c r="CU21" s="12"/>
      <c r="CV21" s="12">
        <v>1</v>
      </c>
      <c r="CW21" s="12"/>
      <c r="CX21" s="12">
        <v>1</v>
      </c>
      <c r="DB21" s="12"/>
      <c r="DC21" s="12">
        <v>1</v>
      </c>
      <c r="DD21" s="12"/>
      <c r="DE21" s="12">
        <v>1</v>
      </c>
      <c r="DI21" s="12"/>
      <c r="DJ21" s="12"/>
      <c r="DK21" s="12"/>
      <c r="DL21" s="12"/>
      <c r="DP21" s="12"/>
      <c r="DQ21" s="12"/>
      <c r="DR21" s="12"/>
      <c r="DS21" s="12"/>
      <c r="DW21" s="12"/>
      <c r="DX21" s="12"/>
      <c r="DY21" s="12"/>
      <c r="DZ21" s="12"/>
      <c r="ED21" s="12"/>
      <c r="EE21" s="12"/>
      <c r="EF21" s="12"/>
      <c r="EG21" s="12"/>
    </row>
    <row r="22" spans="2:137" outlineLevel="1">
      <c r="B22" t="s">
        <v>28</v>
      </c>
      <c r="C22" t="s">
        <v>88</v>
      </c>
      <c r="E22" s="11"/>
      <c r="F22" t="s">
        <v>106</v>
      </c>
      <c r="G22" s="12">
        <v>0.2</v>
      </c>
      <c r="I22" s="11">
        <f t="shared" si="1"/>
        <v>0</v>
      </c>
      <c r="J22" s="13" cm="1">
        <f t="array" ref="J22">MAX(IF($N$3:$EH$3=$J$3,N22:EH22))</f>
        <v>0</v>
      </c>
      <c r="K22" s="13" cm="1">
        <f t="array" ref="K22">MAX(IF($N$3:$EH$3=$J$3,N22:EH22))</f>
        <v>0</v>
      </c>
      <c r="L22" s="11"/>
      <c r="O22" s="12"/>
      <c r="P22" s="12"/>
      <c r="Q22" s="12"/>
      <c r="R22" s="12"/>
      <c r="V22" s="12"/>
      <c r="W22" s="12"/>
      <c r="X22" s="12"/>
      <c r="Y22" s="12"/>
      <c r="AC22" s="12"/>
      <c r="AD22" s="12">
        <v>0.5</v>
      </c>
      <c r="AE22" s="12"/>
      <c r="AF22" s="12">
        <v>0.5</v>
      </c>
      <c r="AJ22" s="12"/>
      <c r="AK22" s="12">
        <v>0.5</v>
      </c>
      <c r="AL22" s="12"/>
      <c r="AM22" s="12">
        <v>0.5</v>
      </c>
      <c r="AQ22" s="12"/>
      <c r="AR22" s="12">
        <v>0.5</v>
      </c>
      <c r="AS22" s="12"/>
      <c r="AT22" s="12">
        <v>0.5</v>
      </c>
      <c r="AX22" s="12"/>
      <c r="AY22" s="12">
        <v>0.5</v>
      </c>
      <c r="AZ22" s="12"/>
      <c r="BA22" s="12">
        <v>0.5</v>
      </c>
      <c r="BE22" s="12"/>
      <c r="BF22" s="12">
        <v>0.5</v>
      </c>
      <c r="BG22" s="12"/>
      <c r="BH22" s="12">
        <v>0.5</v>
      </c>
      <c r="BL22" s="12"/>
      <c r="BM22" s="12">
        <v>0.8</v>
      </c>
      <c r="BN22" s="12"/>
      <c r="BO22" s="12">
        <v>0.8</v>
      </c>
      <c r="BS22" s="12"/>
      <c r="BT22" s="12">
        <v>0.8</v>
      </c>
      <c r="BU22" s="12"/>
      <c r="BV22" s="12">
        <v>0.8</v>
      </c>
      <c r="BZ22" s="12"/>
      <c r="CA22" s="12">
        <v>0.8</v>
      </c>
      <c r="CB22" s="12"/>
      <c r="CC22" s="12">
        <v>0.8</v>
      </c>
      <c r="CG22" s="12"/>
      <c r="CH22" s="12">
        <v>0.8</v>
      </c>
      <c r="CI22" s="12"/>
      <c r="CJ22" s="12">
        <v>0.8</v>
      </c>
      <c r="CN22" s="12"/>
      <c r="CO22" s="12">
        <v>1</v>
      </c>
      <c r="CP22" s="12"/>
      <c r="CQ22" s="12">
        <v>1</v>
      </c>
      <c r="CU22" s="12"/>
      <c r="CV22" s="12">
        <v>1</v>
      </c>
      <c r="CW22" s="12"/>
      <c r="CX22" s="12">
        <v>1</v>
      </c>
      <c r="DB22" s="12"/>
      <c r="DC22" s="12">
        <v>1</v>
      </c>
      <c r="DD22" s="12"/>
      <c r="DE22" s="12">
        <v>1</v>
      </c>
      <c r="DI22" s="12"/>
      <c r="DJ22" s="12"/>
      <c r="DK22" s="12"/>
      <c r="DL22" s="12"/>
      <c r="DP22" s="12"/>
      <c r="DQ22" s="12"/>
      <c r="DR22" s="12"/>
      <c r="DS22" s="12"/>
      <c r="DW22" s="12"/>
      <c r="DX22" s="12"/>
      <c r="DY22" s="12"/>
      <c r="DZ22" s="12"/>
      <c r="ED22" s="12"/>
      <c r="EE22" s="12"/>
      <c r="EF22" s="12"/>
      <c r="EG22" s="12"/>
    </row>
    <row r="23" spans="2:137" outlineLevel="1">
      <c r="B23" t="s">
        <v>28</v>
      </c>
      <c r="C23" t="s">
        <v>88</v>
      </c>
      <c r="E23" s="11"/>
      <c r="F23" t="s">
        <v>107</v>
      </c>
      <c r="G23" s="12">
        <v>0.15</v>
      </c>
      <c r="I23" s="11">
        <f t="shared" si="1"/>
        <v>0</v>
      </c>
      <c r="J23" s="13" cm="1">
        <f t="array" ref="J23">MAX(IF($N$3:$EH$3=$J$3,N23:EH23))</f>
        <v>0</v>
      </c>
      <c r="K23" s="13" cm="1">
        <f t="array" ref="K23">MAX(IF($N$3:$EH$3=$J$3,N23:EH23))</f>
        <v>0</v>
      </c>
      <c r="L23" s="11"/>
      <c r="O23" s="12"/>
      <c r="P23" s="12"/>
      <c r="Q23" s="12"/>
      <c r="R23" s="12"/>
      <c r="V23" s="12"/>
      <c r="W23" s="12"/>
      <c r="X23" s="12"/>
      <c r="Y23" s="12"/>
      <c r="AC23" s="12"/>
      <c r="AD23" s="12"/>
      <c r="AE23" s="12"/>
      <c r="AF23" s="12"/>
      <c r="AJ23" s="12"/>
      <c r="AK23" s="12"/>
      <c r="AL23" s="12"/>
      <c r="AM23" s="12"/>
      <c r="AQ23" s="12"/>
      <c r="AR23" s="12">
        <v>0.5</v>
      </c>
      <c r="AS23" s="12"/>
      <c r="AT23" s="12">
        <v>0.5</v>
      </c>
      <c r="AX23" s="12"/>
      <c r="AY23" s="12">
        <v>0.5</v>
      </c>
      <c r="AZ23" s="12"/>
      <c r="BA23" s="12">
        <v>0.5</v>
      </c>
      <c r="BE23" s="12"/>
      <c r="BF23" s="12">
        <v>0.5</v>
      </c>
      <c r="BG23" s="12"/>
      <c r="BH23" s="12">
        <v>0.5</v>
      </c>
      <c r="BL23" s="12"/>
      <c r="BM23" s="12">
        <v>0.5</v>
      </c>
      <c r="BN23" s="12"/>
      <c r="BO23" s="12">
        <v>0.5</v>
      </c>
      <c r="BS23" s="12"/>
      <c r="BT23" s="12">
        <v>0.8</v>
      </c>
      <c r="BU23" s="12"/>
      <c r="BV23" s="12">
        <v>0.8</v>
      </c>
      <c r="BZ23" s="12"/>
      <c r="CA23" s="12">
        <v>0.8</v>
      </c>
      <c r="CB23" s="12"/>
      <c r="CC23" s="12">
        <v>0.8</v>
      </c>
      <c r="CG23" s="12"/>
      <c r="CH23" s="12">
        <v>0.8</v>
      </c>
      <c r="CI23" s="12"/>
      <c r="CJ23" s="12">
        <v>0.8</v>
      </c>
      <c r="CN23" s="12"/>
      <c r="CO23" s="12">
        <v>0.8</v>
      </c>
      <c r="CP23" s="12"/>
      <c r="CQ23" s="12">
        <v>0.8</v>
      </c>
      <c r="CU23" s="12"/>
      <c r="CV23" s="12">
        <v>1</v>
      </c>
      <c r="CW23" s="12"/>
      <c r="CX23" s="12">
        <v>1</v>
      </c>
      <c r="DB23" s="12"/>
      <c r="DC23" s="12">
        <v>1</v>
      </c>
      <c r="DD23" s="12"/>
      <c r="DE23" s="12">
        <v>1</v>
      </c>
      <c r="DI23" s="12"/>
      <c r="DJ23" s="12"/>
      <c r="DK23" s="12"/>
      <c r="DL23" s="12"/>
      <c r="DP23" s="12"/>
      <c r="DQ23" s="12"/>
      <c r="DR23" s="12"/>
      <c r="DS23" s="12"/>
      <c r="DW23" s="12"/>
      <c r="DX23" s="12"/>
      <c r="DY23" s="12"/>
      <c r="DZ23" s="12"/>
      <c r="ED23" s="12"/>
      <c r="EE23" s="12"/>
      <c r="EF23" s="12"/>
      <c r="EG23" s="12"/>
    </row>
    <row r="24" spans="2:137" outlineLevel="1">
      <c r="B24" t="s">
        <v>28</v>
      </c>
      <c r="C24" t="s">
        <v>88</v>
      </c>
      <c r="E24" s="11"/>
      <c r="F24" t="s">
        <v>134</v>
      </c>
      <c r="G24" s="12">
        <v>0.15</v>
      </c>
      <c r="I24" s="11">
        <f t="shared" si="1"/>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v>0.5</v>
      </c>
      <c r="AZ24" s="12"/>
      <c r="BA24" s="12">
        <v>0.5</v>
      </c>
      <c r="BE24" s="12"/>
      <c r="BF24" s="12">
        <v>0.5</v>
      </c>
      <c r="BG24" s="12"/>
      <c r="BH24" s="12">
        <v>0.5</v>
      </c>
      <c r="BL24" s="12"/>
      <c r="BM24" s="12">
        <v>0.5</v>
      </c>
      <c r="BN24" s="12"/>
      <c r="BO24" s="12">
        <v>0.5</v>
      </c>
      <c r="BS24" s="12"/>
      <c r="BT24" s="12">
        <v>0.8</v>
      </c>
      <c r="BU24" s="12"/>
      <c r="BV24" s="12">
        <v>0.8</v>
      </c>
      <c r="BZ24" s="12"/>
      <c r="CA24" s="12">
        <v>0.8</v>
      </c>
      <c r="CB24" s="12"/>
      <c r="CC24" s="12">
        <v>0.8</v>
      </c>
      <c r="CG24" s="12"/>
      <c r="CH24" s="12">
        <v>0.8</v>
      </c>
      <c r="CI24" s="12"/>
      <c r="CJ24" s="12">
        <v>0.8</v>
      </c>
      <c r="CN24" s="12"/>
      <c r="CO24" s="12">
        <v>0.8</v>
      </c>
      <c r="CP24" s="12"/>
      <c r="CQ24" s="12">
        <v>0.8</v>
      </c>
      <c r="CU24" s="12"/>
      <c r="CV24" s="12">
        <v>1</v>
      </c>
      <c r="CW24" s="12"/>
      <c r="CX24" s="12">
        <v>1</v>
      </c>
      <c r="DB24" s="12"/>
      <c r="DC24" s="12">
        <v>1</v>
      </c>
      <c r="DD24" s="12"/>
      <c r="DE24" s="12">
        <v>1</v>
      </c>
      <c r="DI24" s="12"/>
      <c r="DJ24" s="12"/>
      <c r="DK24" s="12"/>
      <c r="DL24" s="12"/>
      <c r="DP24" s="12"/>
      <c r="DQ24" s="12"/>
      <c r="DR24" s="12"/>
      <c r="DS24" s="12"/>
      <c r="DW24" s="12"/>
      <c r="DX24" s="12"/>
      <c r="DY24" s="12"/>
      <c r="DZ24" s="12"/>
      <c r="ED24" s="12"/>
      <c r="EE24" s="12"/>
      <c r="EF24" s="12"/>
      <c r="EG24" s="12"/>
    </row>
    <row r="25" spans="2:137" outlineLevel="1">
      <c r="B25" t="s">
        <v>28</v>
      </c>
      <c r="C25" t="s">
        <v>88</v>
      </c>
      <c r="E25" s="11"/>
      <c r="F25" t="s">
        <v>135</v>
      </c>
      <c r="G25" s="12">
        <v>0.2</v>
      </c>
      <c r="I25" s="11">
        <f t="shared" si="1"/>
        <v>0</v>
      </c>
      <c r="J25" s="13" cm="1">
        <f t="array" ref="J25">MAX(IF($N$3:$EH$3=$J$3,N25:EH25))</f>
        <v>0</v>
      </c>
      <c r="K25" s="13" cm="1">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v>0.5</v>
      </c>
      <c r="BG25" s="12"/>
      <c r="BH25" s="12">
        <v>0.5</v>
      </c>
      <c r="BL25" s="12"/>
      <c r="BM25" s="12">
        <v>0.5</v>
      </c>
      <c r="BN25" s="12"/>
      <c r="BO25" s="12">
        <v>0.5</v>
      </c>
      <c r="BS25" s="12"/>
      <c r="BT25" s="12">
        <v>0.5</v>
      </c>
      <c r="BU25" s="12"/>
      <c r="BV25" s="12">
        <v>0.5</v>
      </c>
      <c r="BZ25" s="12"/>
      <c r="CA25" s="12">
        <v>0.8</v>
      </c>
      <c r="CB25" s="12"/>
      <c r="CC25" s="12">
        <v>0.8</v>
      </c>
      <c r="CG25" s="12"/>
      <c r="CH25" s="12">
        <v>0.8</v>
      </c>
      <c r="CI25" s="12"/>
      <c r="CJ25" s="12">
        <v>0.8</v>
      </c>
      <c r="CN25" s="12"/>
      <c r="CO25" s="12">
        <v>0.8</v>
      </c>
      <c r="CP25" s="12"/>
      <c r="CQ25" s="12">
        <v>0.8</v>
      </c>
      <c r="CU25" s="12"/>
      <c r="CV25" s="12">
        <v>0.8</v>
      </c>
      <c r="CW25" s="12"/>
      <c r="CX25" s="12">
        <v>0.8</v>
      </c>
      <c r="DB25" s="12"/>
      <c r="DC25" s="12">
        <v>1</v>
      </c>
      <c r="DD25" s="12"/>
      <c r="DE25" s="12">
        <v>1</v>
      </c>
      <c r="DI25" s="12"/>
      <c r="DJ25" s="12"/>
      <c r="DK25" s="12"/>
      <c r="DL25" s="12"/>
      <c r="DP25" s="12"/>
      <c r="DQ25" s="12"/>
      <c r="DR25" s="12"/>
      <c r="DS25" s="12"/>
      <c r="DW25" s="12"/>
      <c r="DX25" s="12"/>
      <c r="DY25" s="12"/>
      <c r="DZ25" s="12"/>
      <c r="ED25" s="12"/>
      <c r="EE25" s="12"/>
      <c r="EF25" s="12"/>
      <c r="EG25" s="12"/>
    </row>
    <row r="26" spans="2:137" outlineLevel="1">
      <c r="B26" t="s">
        <v>28</v>
      </c>
      <c r="C26" t="s">
        <v>88</v>
      </c>
      <c r="E26" s="11"/>
      <c r="F26" t="s">
        <v>136</v>
      </c>
      <c r="G26" s="12">
        <v>0.2</v>
      </c>
      <c r="I26" s="11">
        <f t="shared" si="1"/>
        <v>0</v>
      </c>
      <c r="J26" s="13" cm="1">
        <f t="array" ref="J26">MAX(IF($N$3:$EH$3=$J$3,N26:EH26))</f>
        <v>0</v>
      </c>
      <c r="K26" s="13" cm="1">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v>0.5</v>
      </c>
      <c r="BN26" s="12"/>
      <c r="BO26" s="12">
        <v>0.5</v>
      </c>
      <c r="BS26" s="12"/>
      <c r="BT26" s="12">
        <v>0.5</v>
      </c>
      <c r="BU26" s="12"/>
      <c r="BV26" s="12">
        <v>0.5</v>
      </c>
      <c r="BZ26" s="12"/>
      <c r="CA26" s="12">
        <v>0.5</v>
      </c>
      <c r="CB26" s="12"/>
      <c r="CC26" s="12">
        <v>0.5</v>
      </c>
      <c r="CG26" s="12"/>
      <c r="CH26" s="12">
        <v>0.8</v>
      </c>
      <c r="CI26" s="12"/>
      <c r="CJ26" s="12">
        <v>0.8</v>
      </c>
      <c r="CN26" s="12"/>
      <c r="CO26" s="12">
        <v>0.8</v>
      </c>
      <c r="CP26" s="12"/>
      <c r="CQ26" s="12">
        <v>0.8</v>
      </c>
      <c r="CU26" s="12"/>
      <c r="CV26" s="12">
        <v>0.8</v>
      </c>
      <c r="CW26" s="12"/>
      <c r="CX26" s="12">
        <v>0.8</v>
      </c>
      <c r="DB26" s="12"/>
      <c r="DC26" s="12">
        <v>1</v>
      </c>
      <c r="DD26" s="12"/>
      <c r="DE26" s="12">
        <v>1</v>
      </c>
      <c r="DI26" s="12"/>
      <c r="DJ26" s="12"/>
      <c r="DK26" s="12"/>
      <c r="DL26" s="12"/>
      <c r="DP26" s="12"/>
      <c r="DQ26" s="12"/>
      <c r="DR26" s="12"/>
      <c r="DS26" s="12"/>
      <c r="DW26" s="12"/>
      <c r="DX26" s="12"/>
      <c r="DY26" s="12"/>
      <c r="DZ26" s="12"/>
      <c r="ED26" s="12"/>
      <c r="EE26" s="12"/>
      <c r="EF26" s="12"/>
      <c r="EG26" s="12"/>
    </row>
    <row r="28" spans="2:137">
      <c r="B28" t="s">
        <v>27</v>
      </c>
      <c r="C28" t="s">
        <v>89</v>
      </c>
      <c r="D28" s="22">
        <v>45670</v>
      </c>
      <c r="E28" s="11">
        <v>5.5</v>
      </c>
      <c r="G28" s="12">
        <f>+SUM(G29:G35)</f>
        <v>0.5</v>
      </c>
      <c r="I28" s="14">
        <f>+SUM(I29:I35)</f>
        <v>0</v>
      </c>
      <c r="J28" s="13">
        <f>+SUMPRODUCT(G29:G35,J29:J35)</f>
        <v>0</v>
      </c>
      <c r="K28" s="13">
        <f>+SUMPRODUCT(G29:G35,K29:K35)</f>
        <v>0</v>
      </c>
      <c r="L28" s="11"/>
      <c r="N28" s="14">
        <f>+SUM(N29:N35)</f>
        <v>0</v>
      </c>
      <c r="U28" s="14">
        <f>+SUM(U29:U35)</f>
        <v>0</v>
      </c>
      <c r="AB28" s="14">
        <f>+SUM(AB29:AB35)</f>
        <v>0</v>
      </c>
      <c r="AI28" s="14">
        <f>+SUM(AI29:AI35)</f>
        <v>0</v>
      </c>
      <c r="AP28" s="14">
        <f>+SUM(AP29:AP35)</f>
        <v>0</v>
      </c>
    </row>
    <row r="29" spans="2:137" outlineLevel="1">
      <c r="B29" t="s">
        <v>28</v>
      </c>
      <c r="C29" t="s">
        <v>89</v>
      </c>
      <c r="E29" s="11"/>
      <c r="F29" t="s">
        <v>108</v>
      </c>
      <c r="G29" s="12">
        <v>0.1</v>
      </c>
      <c r="I29" s="11">
        <f t="shared" ref="I29:I35" si="2">+SUMIF($N$3:$ZZ$3,I$3,$N29:$ZZ29)</f>
        <v>0</v>
      </c>
      <c r="J29" s="13" cm="1">
        <f t="array" ref="J29">MAX(IF($N$3:$EH$3=$J$3,N29:EH29))</f>
        <v>0</v>
      </c>
      <c r="K29" s="13" cm="1">
        <f t="array" ref="K29">MAX(IF($N$3:$EH$3=$J$3,N29:EH29))</f>
        <v>0</v>
      </c>
      <c r="L29" s="11"/>
      <c r="O29" s="12"/>
      <c r="P29" s="12">
        <v>0.5</v>
      </c>
      <c r="Q29" s="12"/>
      <c r="R29" s="12">
        <v>0.5</v>
      </c>
      <c r="V29" s="12"/>
      <c r="W29" s="12">
        <v>0.5</v>
      </c>
      <c r="X29" s="12"/>
      <c r="Y29" s="12">
        <v>0.5</v>
      </c>
      <c r="AC29" s="12"/>
      <c r="AD29" s="12">
        <v>0.5</v>
      </c>
      <c r="AE29" s="12"/>
      <c r="AF29" s="12">
        <v>0.5</v>
      </c>
      <c r="AJ29" s="12"/>
      <c r="AK29" s="12">
        <v>0.8</v>
      </c>
      <c r="AL29" s="12"/>
      <c r="AM29" s="12">
        <v>0.8</v>
      </c>
      <c r="AQ29" s="12"/>
      <c r="AR29" s="12">
        <v>0.8</v>
      </c>
      <c r="AS29" s="12"/>
      <c r="AT29" s="12">
        <v>0.8</v>
      </c>
      <c r="AX29" s="12"/>
      <c r="AY29" s="12">
        <v>0.8</v>
      </c>
      <c r="AZ29" s="12"/>
      <c r="BA29" s="12">
        <v>0.8</v>
      </c>
      <c r="BE29" s="12"/>
      <c r="BF29" s="12">
        <v>0.8</v>
      </c>
      <c r="BG29" s="12"/>
      <c r="BH29" s="12">
        <v>0.8</v>
      </c>
      <c r="BL29" s="12"/>
      <c r="BM29" s="12">
        <v>1</v>
      </c>
      <c r="BN29" s="12"/>
      <c r="BO29" s="12">
        <v>1</v>
      </c>
      <c r="BS29" s="12"/>
      <c r="BT29" s="12">
        <v>1</v>
      </c>
      <c r="BU29" s="12"/>
      <c r="BV29" s="12">
        <v>1</v>
      </c>
      <c r="BZ29" s="12"/>
      <c r="CA29" s="12">
        <v>1</v>
      </c>
      <c r="CB29" s="12"/>
      <c r="CC29" s="12">
        <v>1</v>
      </c>
      <c r="CG29" s="12"/>
      <c r="CH29" s="12">
        <v>1</v>
      </c>
      <c r="CI29" s="12"/>
      <c r="CJ29" s="12">
        <v>1</v>
      </c>
      <c r="CN29" s="12"/>
      <c r="CO29" s="12">
        <v>1</v>
      </c>
      <c r="CP29" s="12"/>
      <c r="CQ29" s="12">
        <v>1</v>
      </c>
      <c r="CU29" s="12"/>
      <c r="CV29" s="12">
        <v>1</v>
      </c>
      <c r="CW29" s="12"/>
      <c r="CX29" s="12">
        <v>1</v>
      </c>
      <c r="DB29" s="12"/>
      <c r="DC29" s="12">
        <v>1</v>
      </c>
      <c r="DD29" s="12"/>
      <c r="DE29" s="12">
        <v>1</v>
      </c>
      <c r="DI29" s="12"/>
      <c r="DJ29" s="12"/>
      <c r="DK29" s="12"/>
      <c r="DL29" s="12"/>
      <c r="DP29" s="12"/>
      <c r="DQ29" s="12"/>
      <c r="DR29" s="12"/>
      <c r="DS29" s="12"/>
      <c r="DW29" s="12"/>
      <c r="DX29" s="12"/>
      <c r="DY29" s="12"/>
      <c r="DZ29" s="12"/>
      <c r="ED29" s="12"/>
      <c r="EE29" s="12"/>
      <c r="EF29" s="12"/>
      <c r="EG29" s="12"/>
    </row>
    <row r="30" spans="2:137" outlineLevel="1">
      <c r="B30" t="s">
        <v>28</v>
      </c>
      <c r="C30" t="s">
        <v>89</v>
      </c>
      <c r="E30" s="11"/>
      <c r="F30" t="s">
        <v>109</v>
      </c>
      <c r="G30" s="12">
        <v>0.05</v>
      </c>
      <c r="I30" s="11">
        <f t="shared" si="2"/>
        <v>0</v>
      </c>
      <c r="J30" s="13" cm="1">
        <f t="array" ref="J30">MAX(IF($N$3:$EH$3=$J$3,N30:EH30))</f>
        <v>0</v>
      </c>
      <c r="K30" s="13" cm="1">
        <f t="array" ref="K30">MAX(IF($N$3:$EH$3=$J$3,N30:EH30))</f>
        <v>0</v>
      </c>
      <c r="L30" s="11"/>
      <c r="O30" s="12"/>
      <c r="P30" s="12"/>
      <c r="Q30" s="12"/>
      <c r="R30" s="12"/>
      <c r="V30" s="12"/>
      <c r="W30" s="12">
        <v>0.5</v>
      </c>
      <c r="X30" s="12"/>
      <c r="Y30" s="12">
        <v>0.5</v>
      </c>
      <c r="AC30" s="12"/>
      <c r="AD30" s="12">
        <v>0.5</v>
      </c>
      <c r="AE30" s="12"/>
      <c r="AF30" s="12">
        <v>0.5</v>
      </c>
      <c r="AJ30" s="12"/>
      <c r="AK30" s="12">
        <v>0.8</v>
      </c>
      <c r="AL30" s="12"/>
      <c r="AM30" s="12">
        <v>0.8</v>
      </c>
      <c r="AQ30" s="12"/>
      <c r="AR30" s="12">
        <v>0.8</v>
      </c>
      <c r="AS30" s="12"/>
      <c r="AT30" s="12">
        <v>0.8</v>
      </c>
      <c r="AX30" s="12"/>
      <c r="AY30" s="12">
        <v>0.8</v>
      </c>
      <c r="AZ30" s="12"/>
      <c r="BA30" s="12">
        <v>0.8</v>
      </c>
      <c r="BE30" s="12"/>
      <c r="BF30" s="12">
        <v>0.8</v>
      </c>
      <c r="BG30" s="12"/>
      <c r="BH30" s="12">
        <v>0.8</v>
      </c>
      <c r="BL30" s="12"/>
      <c r="BM30" s="12">
        <v>0.8</v>
      </c>
      <c r="BN30" s="12"/>
      <c r="BO30" s="12">
        <v>0.8</v>
      </c>
      <c r="BS30" s="12"/>
      <c r="BT30" s="12">
        <v>0.8</v>
      </c>
      <c r="BU30" s="12"/>
      <c r="BV30" s="12">
        <v>0.8</v>
      </c>
      <c r="BZ30" s="12"/>
      <c r="CA30" s="12">
        <v>1</v>
      </c>
      <c r="CB30" s="12"/>
      <c r="CC30" s="12">
        <v>1</v>
      </c>
      <c r="CG30" s="12"/>
      <c r="CH30" s="12">
        <v>1</v>
      </c>
      <c r="CI30" s="12"/>
      <c r="CJ30" s="12">
        <v>1</v>
      </c>
      <c r="CN30" s="12"/>
      <c r="CO30" s="12">
        <v>1</v>
      </c>
      <c r="CP30" s="12"/>
      <c r="CQ30" s="12">
        <v>1</v>
      </c>
      <c r="CU30" s="12"/>
      <c r="CV30" s="12">
        <v>1</v>
      </c>
      <c r="CW30" s="12"/>
      <c r="CX30" s="12">
        <v>1</v>
      </c>
      <c r="DB30" s="12"/>
      <c r="DC30" s="12">
        <v>1</v>
      </c>
      <c r="DD30" s="12"/>
      <c r="DE30" s="12">
        <v>1</v>
      </c>
      <c r="DI30" s="12"/>
      <c r="DJ30" s="12"/>
      <c r="DK30" s="12"/>
      <c r="DL30" s="12"/>
      <c r="DP30" s="12"/>
      <c r="DQ30" s="12"/>
      <c r="DR30" s="12"/>
      <c r="DS30" s="12"/>
      <c r="DW30" s="12"/>
      <c r="DX30" s="12"/>
      <c r="DY30" s="12"/>
      <c r="DZ30" s="12"/>
      <c r="ED30" s="12"/>
      <c r="EE30" s="12"/>
      <c r="EF30" s="12"/>
      <c r="EG30" s="12"/>
    </row>
    <row r="31" spans="2:137" outlineLevel="1">
      <c r="B31" t="s">
        <v>28</v>
      </c>
      <c r="C31" t="s">
        <v>89</v>
      </c>
      <c r="E31" s="11"/>
      <c r="F31" t="s">
        <v>110</v>
      </c>
      <c r="G31" s="12">
        <v>0.05</v>
      </c>
      <c r="I31" s="11">
        <f t="shared" si="2"/>
        <v>0</v>
      </c>
      <c r="J31" s="13" cm="1">
        <f t="array" ref="J31">MAX(IF($N$3:$EH$3=$J$3,N31:EH31))</f>
        <v>0</v>
      </c>
      <c r="K31" s="13" cm="1">
        <f t="array" ref="K31">MAX(IF($N$3:$EH$3=$J$3,N31:EH31))</f>
        <v>0</v>
      </c>
      <c r="L31" s="11"/>
      <c r="O31" s="12"/>
      <c r="P31" s="12"/>
      <c r="Q31" s="12"/>
      <c r="R31" s="12"/>
      <c r="V31" s="12"/>
      <c r="W31" s="12">
        <v>0.5</v>
      </c>
      <c r="X31" s="12"/>
      <c r="Y31" s="12">
        <v>0.5</v>
      </c>
      <c r="AC31" s="12"/>
      <c r="AD31" s="12">
        <v>0.5</v>
      </c>
      <c r="AE31" s="12"/>
      <c r="AF31" s="12">
        <v>0.5</v>
      </c>
      <c r="AJ31" s="12"/>
      <c r="AK31" s="12">
        <v>0.5</v>
      </c>
      <c r="AL31" s="12"/>
      <c r="AM31" s="12">
        <v>0.5</v>
      </c>
      <c r="AQ31" s="12"/>
      <c r="AR31" s="12">
        <v>0.8</v>
      </c>
      <c r="AS31" s="12"/>
      <c r="AT31" s="12">
        <v>0.8</v>
      </c>
      <c r="AX31" s="12"/>
      <c r="AY31" s="12">
        <v>0.8</v>
      </c>
      <c r="AZ31" s="12"/>
      <c r="BA31" s="12">
        <v>0.8</v>
      </c>
      <c r="BE31" s="12"/>
      <c r="BF31" s="12">
        <v>0.8</v>
      </c>
      <c r="BG31" s="12"/>
      <c r="BH31" s="12">
        <v>0.8</v>
      </c>
      <c r="BL31" s="12"/>
      <c r="BM31" s="12">
        <v>0.8</v>
      </c>
      <c r="BN31" s="12"/>
      <c r="BO31" s="12">
        <v>0.8</v>
      </c>
      <c r="BS31" s="12"/>
      <c r="BT31" s="12">
        <v>0.8</v>
      </c>
      <c r="BU31" s="12"/>
      <c r="BV31" s="12">
        <v>0.8</v>
      </c>
      <c r="BZ31" s="12"/>
      <c r="CA31" s="12">
        <v>0.8</v>
      </c>
      <c r="CB31" s="12"/>
      <c r="CC31" s="12">
        <v>0.8</v>
      </c>
      <c r="CG31" s="12"/>
      <c r="CH31" s="12">
        <v>1</v>
      </c>
      <c r="CI31" s="12"/>
      <c r="CJ31" s="12">
        <v>1</v>
      </c>
      <c r="CN31" s="12"/>
      <c r="CO31" s="12">
        <v>1</v>
      </c>
      <c r="CP31" s="12"/>
      <c r="CQ31" s="12">
        <v>1</v>
      </c>
      <c r="CU31" s="12"/>
      <c r="CV31" s="12">
        <v>1</v>
      </c>
      <c r="CW31" s="12"/>
      <c r="CX31" s="12">
        <v>1</v>
      </c>
      <c r="DB31" s="12"/>
      <c r="DC31" s="12">
        <v>1</v>
      </c>
      <c r="DD31" s="12"/>
      <c r="DE31" s="12">
        <v>1</v>
      </c>
      <c r="DI31" s="12"/>
      <c r="DJ31" s="12"/>
      <c r="DK31" s="12"/>
      <c r="DL31" s="12"/>
      <c r="DP31" s="12"/>
      <c r="DQ31" s="12"/>
      <c r="DR31" s="12"/>
      <c r="DS31" s="12"/>
      <c r="DW31" s="12"/>
      <c r="DX31" s="12"/>
      <c r="DY31" s="12"/>
      <c r="DZ31" s="12"/>
      <c r="ED31" s="12"/>
      <c r="EE31" s="12"/>
      <c r="EF31" s="12"/>
      <c r="EG31" s="12"/>
    </row>
    <row r="32" spans="2:137" outlineLevel="1">
      <c r="B32" t="s">
        <v>28</v>
      </c>
      <c r="C32" t="s">
        <v>89</v>
      </c>
      <c r="E32" s="11"/>
      <c r="F32" t="s">
        <v>111</v>
      </c>
      <c r="G32" s="12">
        <v>0.05</v>
      </c>
      <c r="I32" s="11">
        <f t="shared" si="2"/>
        <v>0</v>
      </c>
      <c r="J32" s="13" cm="1">
        <f t="array" ref="J32">MAX(IF($N$3:$EH$3=$J$3,N32:EH32))</f>
        <v>0</v>
      </c>
      <c r="K32" s="13" cm="1">
        <f t="array" ref="K32">MAX(IF($N$3:$EH$3=$J$3,N32:EH32))</f>
        <v>0</v>
      </c>
      <c r="L32" s="11"/>
      <c r="O32" s="12"/>
      <c r="P32" s="12"/>
      <c r="Q32" s="12"/>
      <c r="R32" s="12"/>
      <c r="V32" s="12"/>
      <c r="W32" s="12"/>
      <c r="X32" s="12"/>
      <c r="Y32" s="12"/>
      <c r="AC32" s="12"/>
      <c r="AD32" s="12">
        <v>0.5</v>
      </c>
      <c r="AE32" s="12"/>
      <c r="AF32" s="12">
        <v>0.5</v>
      </c>
      <c r="AJ32" s="12"/>
      <c r="AK32" s="12">
        <v>0.5</v>
      </c>
      <c r="AL32" s="12"/>
      <c r="AM32" s="12">
        <v>0.5</v>
      </c>
      <c r="AQ32" s="12"/>
      <c r="AR32" s="12">
        <v>0.8</v>
      </c>
      <c r="AS32" s="12"/>
      <c r="AT32" s="12">
        <v>0.8</v>
      </c>
      <c r="AX32" s="12"/>
      <c r="AY32" s="12">
        <v>0.8</v>
      </c>
      <c r="AZ32" s="12"/>
      <c r="BA32" s="12">
        <v>0.8</v>
      </c>
      <c r="BE32" s="12"/>
      <c r="BF32" s="12">
        <v>0.8</v>
      </c>
      <c r="BG32" s="12"/>
      <c r="BH32" s="12">
        <v>0.8</v>
      </c>
      <c r="BL32" s="12"/>
      <c r="BM32" s="12">
        <v>0.8</v>
      </c>
      <c r="BN32" s="12"/>
      <c r="BO32" s="12">
        <v>0.8</v>
      </c>
      <c r="BS32" s="12"/>
      <c r="BT32" s="12">
        <v>0.8</v>
      </c>
      <c r="BU32" s="12"/>
      <c r="BV32" s="12">
        <v>0.8</v>
      </c>
      <c r="BZ32" s="12"/>
      <c r="CA32" s="12">
        <v>0.8</v>
      </c>
      <c r="CB32" s="12"/>
      <c r="CC32" s="12">
        <v>0.8</v>
      </c>
      <c r="CG32" s="12"/>
      <c r="CH32" s="12">
        <v>0.8</v>
      </c>
      <c r="CI32" s="12"/>
      <c r="CJ32" s="12">
        <v>0.8</v>
      </c>
      <c r="CN32" s="12"/>
      <c r="CO32" s="12">
        <v>1</v>
      </c>
      <c r="CP32" s="12"/>
      <c r="CQ32" s="12">
        <v>1</v>
      </c>
      <c r="CU32" s="12"/>
      <c r="CV32" s="12">
        <v>1</v>
      </c>
      <c r="CW32" s="12"/>
      <c r="CX32" s="12">
        <v>1</v>
      </c>
      <c r="DB32" s="12"/>
      <c r="DC32" s="12">
        <v>1</v>
      </c>
      <c r="DD32" s="12"/>
      <c r="DE32" s="12">
        <v>1</v>
      </c>
      <c r="DI32" s="12"/>
      <c r="DJ32" s="12"/>
      <c r="DK32" s="12"/>
      <c r="DL32" s="12"/>
      <c r="DP32" s="12"/>
      <c r="DQ32" s="12"/>
      <c r="DR32" s="12"/>
      <c r="DS32" s="12"/>
      <c r="DW32" s="12"/>
      <c r="DX32" s="12"/>
      <c r="DY32" s="12"/>
      <c r="DZ32" s="12"/>
      <c r="ED32" s="12"/>
      <c r="EE32" s="12"/>
      <c r="EF32" s="12"/>
      <c r="EG32" s="12"/>
    </row>
    <row r="33" spans="2:137" outlineLevel="1">
      <c r="B33" t="s">
        <v>28</v>
      </c>
      <c r="C33" t="s">
        <v>89</v>
      </c>
      <c r="E33" s="11"/>
      <c r="F33" t="s">
        <v>112</v>
      </c>
      <c r="G33" s="12">
        <v>0.05</v>
      </c>
      <c r="I33" s="11">
        <f t="shared" si="2"/>
        <v>0</v>
      </c>
      <c r="J33" s="13" cm="1">
        <f t="array" ref="J33">MAX(IF($N$3:$EH$3=$J$3,N33:EH33))</f>
        <v>0</v>
      </c>
      <c r="K33" s="13" cm="1">
        <f t="array" ref="K33">MAX(IF($N$3:$EH$3=$J$3,N33:EH33))</f>
        <v>0</v>
      </c>
      <c r="L33" s="11"/>
      <c r="O33" s="12"/>
      <c r="P33" s="12"/>
      <c r="Q33" s="12"/>
      <c r="R33" s="12"/>
      <c r="V33" s="12"/>
      <c r="W33" s="12"/>
      <c r="X33" s="12"/>
      <c r="Y33" s="12"/>
      <c r="AC33" s="12"/>
      <c r="AD33" s="12">
        <v>0.5</v>
      </c>
      <c r="AE33" s="12"/>
      <c r="AF33" s="12">
        <v>0.5</v>
      </c>
      <c r="AJ33" s="12"/>
      <c r="AK33" s="12">
        <v>0.5</v>
      </c>
      <c r="AL33" s="12"/>
      <c r="AM33" s="12">
        <v>0.5</v>
      </c>
      <c r="AQ33" s="12"/>
      <c r="AR33" s="12">
        <v>0.5</v>
      </c>
      <c r="AS33" s="12"/>
      <c r="AT33" s="12">
        <v>0.5</v>
      </c>
      <c r="AX33" s="12"/>
      <c r="AY33" s="12">
        <v>0.8</v>
      </c>
      <c r="AZ33" s="12"/>
      <c r="BA33" s="12">
        <v>0.8</v>
      </c>
      <c r="BE33" s="12"/>
      <c r="BF33" s="12">
        <v>0.8</v>
      </c>
      <c r="BG33" s="12"/>
      <c r="BH33" s="12">
        <v>0.8</v>
      </c>
      <c r="BL33" s="12"/>
      <c r="BM33" s="12">
        <v>0.8</v>
      </c>
      <c r="BN33" s="12"/>
      <c r="BO33" s="12">
        <v>0.8</v>
      </c>
      <c r="BS33" s="12"/>
      <c r="BT33" s="12">
        <v>0.8</v>
      </c>
      <c r="BU33" s="12"/>
      <c r="BV33" s="12">
        <v>0.8</v>
      </c>
      <c r="BZ33" s="12"/>
      <c r="CA33" s="12">
        <v>0.8</v>
      </c>
      <c r="CB33" s="12"/>
      <c r="CC33" s="12">
        <v>0.8</v>
      </c>
      <c r="CG33" s="12"/>
      <c r="CH33" s="12">
        <v>0.8</v>
      </c>
      <c r="CI33" s="12"/>
      <c r="CJ33" s="12">
        <v>0.8</v>
      </c>
      <c r="CN33" s="12"/>
      <c r="CO33" s="12">
        <v>0.8</v>
      </c>
      <c r="CP33" s="12"/>
      <c r="CQ33" s="12">
        <v>0.8</v>
      </c>
      <c r="CU33" s="12"/>
      <c r="CV33" s="12">
        <v>1</v>
      </c>
      <c r="CW33" s="12"/>
      <c r="CX33" s="12">
        <v>1</v>
      </c>
      <c r="DB33" s="12"/>
      <c r="DC33" s="12">
        <v>1</v>
      </c>
      <c r="DD33" s="12"/>
      <c r="DE33" s="12">
        <v>1</v>
      </c>
      <c r="DI33" s="12"/>
      <c r="DJ33" s="12"/>
      <c r="DK33" s="12"/>
      <c r="DL33" s="12"/>
      <c r="DP33" s="12"/>
      <c r="DQ33" s="12"/>
      <c r="DR33" s="12"/>
      <c r="DS33" s="12"/>
      <c r="DW33" s="12"/>
      <c r="DX33" s="12"/>
      <c r="DY33" s="12"/>
      <c r="DZ33" s="12"/>
      <c r="ED33" s="12"/>
      <c r="EE33" s="12"/>
      <c r="EF33" s="12"/>
      <c r="EG33" s="12"/>
    </row>
    <row r="34" spans="2:137" outlineLevel="1">
      <c r="B34" t="s">
        <v>28</v>
      </c>
      <c r="C34" t="s">
        <v>89</v>
      </c>
      <c r="E34" s="11"/>
      <c r="F34" t="s">
        <v>113</v>
      </c>
      <c r="G34" s="12">
        <v>0.1</v>
      </c>
      <c r="I34" s="11">
        <f t="shared" si="2"/>
        <v>0</v>
      </c>
      <c r="J34" s="13" cm="1">
        <f t="array" ref="J34">MAX(IF($N$3:$EH$3=$J$3,N34:EH34))</f>
        <v>0</v>
      </c>
      <c r="K34" s="13" cm="1">
        <f t="array" ref="K34">MAX(IF($N$3:$EH$3=$J$3,N34:EH34))</f>
        <v>0</v>
      </c>
      <c r="L34" s="11"/>
      <c r="O34" s="12"/>
      <c r="P34" s="12"/>
      <c r="Q34" s="12"/>
      <c r="R34" s="12"/>
      <c r="V34" s="12"/>
      <c r="W34" s="12"/>
      <c r="X34" s="12"/>
      <c r="Y34" s="12"/>
      <c r="AC34" s="12"/>
      <c r="AD34" s="12"/>
      <c r="AE34" s="12"/>
      <c r="AF34" s="12"/>
      <c r="AJ34" s="12"/>
      <c r="AK34" s="12">
        <v>0.5</v>
      </c>
      <c r="AL34" s="12"/>
      <c r="AM34" s="12">
        <v>0.5</v>
      </c>
      <c r="AQ34" s="12"/>
      <c r="AR34" s="12">
        <v>0.5</v>
      </c>
      <c r="AS34" s="12"/>
      <c r="AT34" s="12">
        <v>0.5</v>
      </c>
      <c r="AX34" s="12"/>
      <c r="AY34" s="12">
        <v>0.5</v>
      </c>
      <c r="AZ34" s="12"/>
      <c r="BA34" s="12">
        <v>0.5</v>
      </c>
      <c r="BE34" s="12"/>
      <c r="BF34" s="12">
        <v>0.8</v>
      </c>
      <c r="BG34" s="12"/>
      <c r="BH34" s="12">
        <v>0.8</v>
      </c>
      <c r="BL34" s="12"/>
      <c r="BM34" s="12">
        <v>0.8</v>
      </c>
      <c r="BN34" s="12"/>
      <c r="BO34" s="12">
        <v>0.8</v>
      </c>
      <c r="BS34" s="12"/>
      <c r="BT34" s="12">
        <v>0.8</v>
      </c>
      <c r="BU34" s="12"/>
      <c r="BV34" s="12">
        <v>0.8</v>
      </c>
      <c r="BZ34" s="12"/>
      <c r="CA34" s="12">
        <v>0.8</v>
      </c>
      <c r="CB34" s="12"/>
      <c r="CC34" s="12">
        <v>0.8</v>
      </c>
      <c r="CG34" s="12"/>
      <c r="CH34" s="12">
        <v>0.8</v>
      </c>
      <c r="CI34" s="12"/>
      <c r="CJ34" s="12">
        <v>0.8</v>
      </c>
      <c r="CN34" s="12"/>
      <c r="CO34" s="12">
        <v>0.8</v>
      </c>
      <c r="CP34" s="12"/>
      <c r="CQ34" s="12">
        <v>0.8</v>
      </c>
      <c r="CU34" s="12"/>
      <c r="CV34" s="12">
        <v>0.8</v>
      </c>
      <c r="CW34" s="12"/>
      <c r="CX34" s="12">
        <v>0.8</v>
      </c>
      <c r="DB34" s="12"/>
      <c r="DC34" s="12">
        <v>1</v>
      </c>
      <c r="DD34" s="12"/>
      <c r="DE34" s="12">
        <v>1</v>
      </c>
      <c r="DI34" s="12"/>
      <c r="DJ34" s="12"/>
      <c r="DK34" s="12"/>
      <c r="DL34" s="12"/>
      <c r="DP34" s="12"/>
      <c r="DQ34" s="12"/>
      <c r="DR34" s="12"/>
      <c r="DS34" s="12"/>
      <c r="DW34" s="12"/>
      <c r="DX34" s="12"/>
      <c r="DY34" s="12"/>
      <c r="DZ34" s="12"/>
      <c r="ED34" s="12"/>
      <c r="EE34" s="12"/>
      <c r="EF34" s="12"/>
      <c r="EG34" s="12"/>
    </row>
    <row r="35" spans="2:137" outlineLevel="1">
      <c r="B35" t="s">
        <v>28</v>
      </c>
      <c r="C35" t="s">
        <v>89</v>
      </c>
      <c r="E35" s="11"/>
      <c r="F35" t="s">
        <v>114</v>
      </c>
      <c r="G35" s="12">
        <v>0.1</v>
      </c>
      <c r="I35" s="11">
        <f t="shared" si="2"/>
        <v>0</v>
      </c>
      <c r="J35" s="13" cm="1">
        <f t="array" ref="J35">MAX(IF($N$3:$EH$3=$J$3,N35:EH35))</f>
        <v>0</v>
      </c>
      <c r="K35" s="13" cm="1">
        <f t="array" ref="K35">MAX(IF($N$3:$EH$3=$J$3,N35:EH35))</f>
        <v>0</v>
      </c>
      <c r="L35" s="11"/>
      <c r="O35" s="12"/>
      <c r="P35" s="12"/>
      <c r="Q35" s="12"/>
      <c r="R35" s="12"/>
      <c r="V35" s="12"/>
      <c r="W35" s="12"/>
      <c r="X35" s="12"/>
      <c r="Y35" s="12"/>
      <c r="AC35" s="12"/>
      <c r="AD35" s="12"/>
      <c r="AE35" s="12"/>
      <c r="AF35" s="12"/>
      <c r="AJ35" s="12"/>
      <c r="AK35" s="12"/>
      <c r="AL35" s="12"/>
      <c r="AM35" s="12"/>
      <c r="AQ35" s="12"/>
      <c r="AR35" s="12">
        <v>0.5</v>
      </c>
      <c r="AS35" s="12"/>
      <c r="AT35" s="12">
        <v>0.5</v>
      </c>
      <c r="AX35" s="12"/>
      <c r="AY35" s="12">
        <v>0.5</v>
      </c>
      <c r="AZ35" s="12"/>
      <c r="BA35" s="12">
        <v>0.5</v>
      </c>
      <c r="BE35" s="12"/>
      <c r="BF35" s="12">
        <v>0.5</v>
      </c>
      <c r="BG35" s="12"/>
      <c r="BH35" s="12">
        <v>0.5</v>
      </c>
      <c r="BL35" s="12"/>
      <c r="BM35" s="12">
        <v>0.5</v>
      </c>
      <c r="BN35" s="12"/>
      <c r="BO35" s="12">
        <v>0.5</v>
      </c>
      <c r="BS35" s="12"/>
      <c r="BT35" s="12">
        <v>0.8</v>
      </c>
      <c r="BU35" s="12"/>
      <c r="BV35" s="12">
        <v>0.8</v>
      </c>
      <c r="BZ35" s="12"/>
      <c r="CA35" s="12">
        <v>0.8</v>
      </c>
      <c r="CB35" s="12"/>
      <c r="CC35" s="12">
        <v>0.8</v>
      </c>
      <c r="CG35" s="12"/>
      <c r="CH35" s="12">
        <v>0.8</v>
      </c>
      <c r="CI35" s="12"/>
      <c r="CJ35" s="12">
        <v>0.8</v>
      </c>
      <c r="CN35" s="12"/>
      <c r="CO35" s="12">
        <v>0.8</v>
      </c>
      <c r="CP35" s="12"/>
      <c r="CQ35" s="12">
        <v>0.8</v>
      </c>
      <c r="CU35" s="12"/>
      <c r="CV35" s="12">
        <v>0.8</v>
      </c>
      <c r="CW35" s="12"/>
      <c r="CX35" s="12">
        <v>0.8</v>
      </c>
      <c r="DB35" s="12"/>
      <c r="DC35" s="12">
        <v>1</v>
      </c>
      <c r="DD35" s="12"/>
      <c r="DE35" s="12">
        <v>1</v>
      </c>
      <c r="DI35" s="12"/>
      <c r="DJ35" s="12"/>
      <c r="DK35" s="12"/>
      <c r="DL35" s="12"/>
      <c r="DP35" s="12"/>
      <c r="DQ35" s="12"/>
      <c r="DR35" s="12"/>
      <c r="DS35" s="12"/>
      <c r="DW35" s="12"/>
      <c r="DX35" s="12"/>
      <c r="DY35" s="12"/>
      <c r="DZ35" s="12"/>
      <c r="ED35" s="12"/>
      <c r="EE35" s="12"/>
      <c r="EF35" s="12"/>
      <c r="EG35" s="12"/>
    </row>
    <row r="36" spans="2:137">
      <c r="CV36" s="12"/>
    </row>
    <row r="37" spans="2:137">
      <c r="B37" t="s">
        <v>27</v>
      </c>
      <c r="C37" t="s">
        <v>90</v>
      </c>
      <c r="D37" s="22">
        <v>45670</v>
      </c>
      <c r="E37" s="11">
        <v>3.5</v>
      </c>
      <c r="G37" s="12">
        <f>+SUM(G38:G49)</f>
        <v>1.0999999999999999</v>
      </c>
      <c r="I37" s="14">
        <f>+SUM(I38:I49)</f>
        <v>0</v>
      </c>
      <c r="J37" s="13">
        <f>+SUMPRODUCT(G38:G49,J38:J49)</f>
        <v>0</v>
      </c>
      <c r="K37" s="13">
        <f>+SUMPRODUCT(G38:G49,K38:K49)</f>
        <v>0</v>
      </c>
      <c r="L37" s="11"/>
      <c r="N37" s="14">
        <f>+SUM(N38:N49)</f>
        <v>0</v>
      </c>
      <c r="U37" s="14">
        <f>+SUM(U38:U49)</f>
        <v>0</v>
      </c>
      <c r="AB37" s="14">
        <f>+SUM(AB38:AB49)</f>
        <v>0</v>
      </c>
      <c r="AI37" s="14">
        <f>+SUM(AI38:AI49)</f>
        <v>0</v>
      </c>
      <c r="AP37" s="14">
        <f>+SUM(AP38:AP49)</f>
        <v>0</v>
      </c>
    </row>
    <row r="38" spans="2:137" outlineLevel="1">
      <c r="B38" t="s">
        <v>28</v>
      </c>
      <c r="C38" t="s">
        <v>90</v>
      </c>
      <c r="E38" s="11"/>
      <c r="F38" t="s">
        <v>115</v>
      </c>
      <c r="G38" s="12">
        <v>0.1</v>
      </c>
      <c r="I38" s="11">
        <f t="shared" ref="I38:I57" si="3">+SUMIF($N$3:$ZZ$3,I$3,$N38:$ZZ38)</f>
        <v>0</v>
      </c>
      <c r="J38" s="13" cm="1">
        <f t="array" ref="J38">MAX(IF($N$3:$EH$3=$J$3,N38:EH38))</f>
        <v>0</v>
      </c>
      <c r="K38" s="13" cm="1">
        <f t="array" ref="K38">MAX(IF($N$3:$EH$3=$J$3,N38:EH38))</f>
        <v>0</v>
      </c>
      <c r="L38" s="11"/>
      <c r="O38" s="12"/>
      <c r="P38" s="12">
        <v>0.5</v>
      </c>
      <c r="Q38" s="12"/>
      <c r="R38" s="12">
        <v>0.5</v>
      </c>
      <c r="V38" s="12"/>
      <c r="W38" s="12">
        <v>0.5</v>
      </c>
      <c r="X38" s="12"/>
      <c r="Y38" s="12">
        <v>0.5</v>
      </c>
      <c r="AC38" s="12"/>
      <c r="AD38" s="12">
        <v>0.5</v>
      </c>
      <c r="AE38" s="12"/>
      <c r="AF38" s="12">
        <v>0.5</v>
      </c>
      <c r="AJ38" s="12"/>
      <c r="AK38" s="12">
        <v>0.8</v>
      </c>
      <c r="AL38" s="12"/>
      <c r="AM38" s="12">
        <v>0.8</v>
      </c>
      <c r="AQ38" s="12"/>
      <c r="AR38" s="12">
        <v>0.8</v>
      </c>
      <c r="AS38" s="12"/>
      <c r="AT38" s="12">
        <v>0.8</v>
      </c>
      <c r="AX38" s="12"/>
      <c r="AY38" s="12">
        <v>0.8</v>
      </c>
      <c r="AZ38" s="12"/>
      <c r="BA38" s="12">
        <v>0.8</v>
      </c>
      <c r="BE38" s="12"/>
      <c r="BF38" s="12">
        <v>0.8</v>
      </c>
      <c r="BG38" s="12"/>
      <c r="BH38" s="12">
        <v>0.8</v>
      </c>
      <c r="BL38" s="12"/>
      <c r="BM38" s="12">
        <v>0.8</v>
      </c>
      <c r="BN38" s="12"/>
      <c r="BO38" s="12">
        <v>0.8</v>
      </c>
      <c r="BS38" s="12"/>
      <c r="BT38" s="12">
        <v>0.8</v>
      </c>
      <c r="BU38" s="12"/>
      <c r="BV38" s="12">
        <v>0.8</v>
      </c>
      <c r="BZ38" s="12"/>
      <c r="CA38" s="12">
        <v>1</v>
      </c>
      <c r="CB38" s="12"/>
      <c r="CC38" s="12">
        <v>1</v>
      </c>
      <c r="CG38" s="12"/>
      <c r="CH38" s="12">
        <v>1</v>
      </c>
      <c r="CI38" s="12"/>
      <c r="CJ38" s="12">
        <v>1</v>
      </c>
      <c r="CN38" s="12"/>
      <c r="CO38" s="12">
        <v>1</v>
      </c>
      <c r="CP38" s="12"/>
      <c r="CQ38" s="12">
        <v>1</v>
      </c>
      <c r="CU38" s="12"/>
      <c r="CV38" s="12">
        <v>1</v>
      </c>
      <c r="CW38" s="12"/>
      <c r="CX38" s="12">
        <v>1</v>
      </c>
      <c r="DB38" s="12"/>
      <c r="DC38" s="12">
        <v>1</v>
      </c>
      <c r="DD38" s="12"/>
      <c r="DE38" s="12">
        <v>1</v>
      </c>
      <c r="DI38" s="12"/>
      <c r="DJ38" s="12"/>
      <c r="DK38" s="12"/>
      <c r="DL38" s="12"/>
      <c r="DP38" s="12"/>
      <c r="DQ38" s="12"/>
      <c r="DR38" s="12"/>
      <c r="DS38" s="12"/>
      <c r="DW38" s="12"/>
      <c r="DX38" s="12"/>
      <c r="DY38" s="12"/>
      <c r="DZ38" s="12"/>
      <c r="ED38" s="12"/>
      <c r="EE38" s="12"/>
      <c r="EF38" s="12"/>
      <c r="EG38" s="12"/>
    </row>
    <row r="39" spans="2:137" outlineLevel="1">
      <c r="B39" t="s">
        <v>28</v>
      </c>
      <c r="C39" t="s">
        <v>90</v>
      </c>
      <c r="E39" s="11"/>
      <c r="F39" t="s">
        <v>116</v>
      </c>
      <c r="G39" s="12">
        <v>0.05</v>
      </c>
      <c r="I39" s="11">
        <f t="shared" si="3"/>
        <v>0</v>
      </c>
      <c r="J39" s="13" cm="1">
        <f t="array" ref="J39">MAX(IF($N$3:$EH$3=$J$3,N39:EH39))</f>
        <v>0</v>
      </c>
      <c r="K39" s="13" cm="1">
        <f t="array" ref="K39">MAX(IF($N$3:$EH$3=$J$3,N39:EH39))</f>
        <v>0</v>
      </c>
      <c r="L39" s="11"/>
      <c r="O39" s="12"/>
      <c r="P39" s="12"/>
      <c r="Q39" s="12"/>
      <c r="R39" s="12"/>
      <c r="V39" s="12"/>
      <c r="W39" s="12">
        <v>0.5</v>
      </c>
      <c r="X39" s="12"/>
      <c r="Y39" s="12">
        <v>0.5</v>
      </c>
      <c r="AC39" s="12"/>
      <c r="AD39" s="12">
        <v>0.5</v>
      </c>
      <c r="AE39" s="12"/>
      <c r="AF39" s="12">
        <v>0.5</v>
      </c>
      <c r="AJ39" s="12"/>
      <c r="AK39" s="12">
        <v>0.5</v>
      </c>
      <c r="AL39" s="12"/>
      <c r="AM39" s="12">
        <v>0.5</v>
      </c>
      <c r="AQ39" s="12"/>
      <c r="AR39" s="12">
        <v>0.5</v>
      </c>
      <c r="AS39" s="12"/>
      <c r="AT39" s="12">
        <v>0.5</v>
      </c>
      <c r="AX39" s="12"/>
      <c r="AY39" s="12">
        <v>0.8</v>
      </c>
      <c r="AZ39" s="12"/>
      <c r="BA39" s="12">
        <v>0.8</v>
      </c>
      <c r="BE39" s="12"/>
      <c r="BF39" s="12">
        <v>0.8</v>
      </c>
      <c r="BG39" s="12"/>
      <c r="BH39" s="12">
        <v>0.8</v>
      </c>
      <c r="BL39" s="12"/>
      <c r="BM39" s="12">
        <v>0.8</v>
      </c>
      <c r="BN39" s="12"/>
      <c r="BO39" s="12">
        <v>0.8</v>
      </c>
      <c r="BS39" s="12"/>
      <c r="BT39" s="12">
        <v>0.8</v>
      </c>
      <c r="BU39" s="12"/>
      <c r="BV39" s="12">
        <v>0.8</v>
      </c>
      <c r="BZ39" s="12"/>
      <c r="CA39" s="12">
        <v>1</v>
      </c>
      <c r="CB39" s="12"/>
      <c r="CC39" s="12">
        <v>1</v>
      </c>
      <c r="CG39" s="12"/>
      <c r="CH39" s="12">
        <v>1</v>
      </c>
      <c r="CI39" s="12"/>
      <c r="CJ39" s="12">
        <v>1</v>
      </c>
      <c r="CN39" s="12"/>
      <c r="CO39" s="12">
        <v>1</v>
      </c>
      <c r="CP39" s="12"/>
      <c r="CQ39" s="12">
        <v>1</v>
      </c>
      <c r="CU39" s="12"/>
      <c r="CV39" s="12">
        <v>1</v>
      </c>
      <c r="CW39" s="12"/>
      <c r="CX39" s="12">
        <v>1</v>
      </c>
      <c r="DB39" s="12"/>
      <c r="DC39" s="12">
        <v>1</v>
      </c>
      <c r="DD39" s="12"/>
      <c r="DE39" s="12">
        <v>1</v>
      </c>
      <c r="DI39" s="12"/>
      <c r="DJ39" s="12"/>
      <c r="DK39" s="12"/>
      <c r="DL39" s="12"/>
      <c r="DP39" s="12"/>
      <c r="DQ39" s="12"/>
      <c r="DR39" s="12"/>
      <c r="DS39" s="12"/>
      <c r="DW39" s="12"/>
      <c r="DX39" s="12"/>
      <c r="DY39" s="12"/>
      <c r="DZ39" s="12"/>
      <c r="ED39" s="12"/>
      <c r="EE39" s="12"/>
      <c r="EF39" s="12"/>
      <c r="EG39" s="12"/>
    </row>
    <row r="40" spans="2:137" outlineLevel="1">
      <c r="B40" t="s">
        <v>28</v>
      </c>
      <c r="C40" t="s">
        <v>90</v>
      </c>
      <c r="E40" s="11"/>
      <c r="F40" t="s">
        <v>117</v>
      </c>
      <c r="G40" s="12">
        <v>0.1</v>
      </c>
      <c r="I40" s="11">
        <f t="shared" si="3"/>
        <v>0</v>
      </c>
      <c r="J40" s="13" cm="1">
        <f t="array" ref="J40">MAX(IF($N$3:$EH$3=$J$3,N40:EH40))</f>
        <v>0</v>
      </c>
      <c r="K40" s="13" cm="1">
        <f t="array" ref="K40">MAX(IF($N$3:$EH$3=$J$3,N40:EH40))</f>
        <v>0</v>
      </c>
      <c r="L40" s="11"/>
      <c r="O40" s="12"/>
      <c r="P40" s="12"/>
      <c r="Q40" s="12"/>
      <c r="R40" s="12"/>
      <c r="V40" s="12"/>
      <c r="W40" s="12"/>
      <c r="X40" s="12"/>
      <c r="Y40" s="12"/>
      <c r="AC40" s="12"/>
      <c r="AD40" s="12">
        <v>0.5</v>
      </c>
      <c r="AE40" s="12"/>
      <c r="AF40" s="12">
        <v>0.5</v>
      </c>
      <c r="AJ40" s="12"/>
      <c r="AK40" s="12">
        <v>0.5</v>
      </c>
      <c r="AL40" s="12"/>
      <c r="AM40" s="12">
        <v>0.5</v>
      </c>
      <c r="AQ40" s="12"/>
      <c r="AR40" s="12">
        <v>0.5</v>
      </c>
      <c r="AS40" s="12"/>
      <c r="AT40" s="12">
        <v>0.5</v>
      </c>
      <c r="AX40" s="12"/>
      <c r="AY40" s="12">
        <v>0.8</v>
      </c>
      <c r="AZ40" s="12"/>
      <c r="BA40" s="12">
        <v>0.8</v>
      </c>
      <c r="BE40" s="12"/>
      <c r="BF40" s="12">
        <v>0.8</v>
      </c>
      <c r="BG40" s="12"/>
      <c r="BH40" s="12">
        <v>0.8</v>
      </c>
      <c r="BL40" s="12"/>
      <c r="BM40" s="12">
        <v>0.8</v>
      </c>
      <c r="BN40" s="12"/>
      <c r="BO40" s="12">
        <v>0.8</v>
      </c>
      <c r="BS40" s="12"/>
      <c r="BT40" s="12">
        <v>0.8</v>
      </c>
      <c r="BU40" s="12"/>
      <c r="BV40" s="12">
        <v>0.8</v>
      </c>
      <c r="BZ40" s="12"/>
      <c r="CA40" s="12">
        <v>0.8</v>
      </c>
      <c r="CB40" s="12"/>
      <c r="CC40" s="12">
        <v>0.8</v>
      </c>
      <c r="CG40" s="12"/>
      <c r="CH40" s="12">
        <v>1</v>
      </c>
      <c r="CI40" s="12"/>
      <c r="CJ40" s="12">
        <v>1</v>
      </c>
      <c r="CN40" s="12"/>
      <c r="CO40" s="12">
        <v>1</v>
      </c>
      <c r="CP40" s="12"/>
      <c r="CQ40" s="12">
        <v>1</v>
      </c>
      <c r="CU40" s="12"/>
      <c r="CV40" s="12">
        <v>1</v>
      </c>
      <c r="CW40" s="12"/>
      <c r="CX40" s="12">
        <v>1</v>
      </c>
      <c r="DB40" s="12"/>
      <c r="DC40" s="12">
        <v>1</v>
      </c>
      <c r="DD40" s="12"/>
      <c r="DE40" s="12">
        <v>1</v>
      </c>
      <c r="DI40" s="12"/>
      <c r="DJ40" s="12"/>
      <c r="DK40" s="12"/>
      <c r="DL40" s="12"/>
      <c r="DP40" s="12"/>
      <c r="DQ40" s="12"/>
      <c r="DR40" s="12"/>
      <c r="DS40" s="12"/>
      <c r="DW40" s="12"/>
      <c r="DX40" s="12"/>
      <c r="DY40" s="12"/>
      <c r="DZ40" s="12"/>
      <c r="ED40" s="12"/>
      <c r="EE40" s="12"/>
      <c r="EF40" s="12"/>
      <c r="EG40" s="12"/>
    </row>
    <row r="41" spans="2:137" outlineLevel="1">
      <c r="B41" t="s">
        <v>28</v>
      </c>
      <c r="C41" t="s">
        <v>90</v>
      </c>
      <c r="E41" s="11"/>
      <c r="F41" t="s">
        <v>118</v>
      </c>
      <c r="G41" s="12">
        <v>0.1</v>
      </c>
      <c r="I41" s="11">
        <f t="shared" si="3"/>
        <v>0</v>
      </c>
      <c r="J41" s="13" cm="1">
        <f t="array" ref="J41">MAX(IF($N$3:$EH$3=$J$3,N41:EH41))</f>
        <v>0</v>
      </c>
      <c r="K41" s="13" cm="1">
        <f t="array" ref="K41">MAX(IF($N$3:$EH$3=$J$3,N41:EH41))</f>
        <v>0</v>
      </c>
      <c r="L41" s="11"/>
      <c r="O41" s="12"/>
      <c r="P41" s="12"/>
      <c r="Q41" s="12"/>
      <c r="R41" s="12"/>
      <c r="V41" s="12"/>
      <c r="W41" s="12"/>
      <c r="X41" s="12"/>
      <c r="Y41" s="12"/>
      <c r="AC41" s="12"/>
      <c r="AD41" s="12">
        <v>0.5</v>
      </c>
      <c r="AE41" s="12"/>
      <c r="AF41" s="12">
        <v>0.5</v>
      </c>
      <c r="AJ41" s="12"/>
      <c r="AK41" s="12">
        <v>0.5</v>
      </c>
      <c r="AL41" s="12"/>
      <c r="AM41" s="12">
        <v>0.5</v>
      </c>
      <c r="AQ41" s="12"/>
      <c r="AR41" s="12">
        <v>0.5</v>
      </c>
      <c r="AS41" s="12"/>
      <c r="AT41" s="12">
        <v>0.5</v>
      </c>
      <c r="AX41" s="12"/>
      <c r="AY41" s="12">
        <v>0.8</v>
      </c>
      <c r="AZ41" s="12"/>
      <c r="BA41" s="12">
        <v>0.5</v>
      </c>
      <c r="BE41" s="12"/>
      <c r="BF41" s="12">
        <v>0.8</v>
      </c>
      <c r="BG41" s="12"/>
      <c r="BH41" s="12">
        <v>0.8</v>
      </c>
      <c r="BL41" s="12"/>
      <c r="BM41" s="12">
        <v>0.8</v>
      </c>
      <c r="BN41" s="12"/>
      <c r="BO41" s="12">
        <v>0.8</v>
      </c>
      <c r="BS41" s="12"/>
      <c r="BT41" s="12">
        <v>0.8</v>
      </c>
      <c r="BU41" s="12"/>
      <c r="BV41" s="12">
        <v>0.8</v>
      </c>
      <c r="BZ41" s="12"/>
      <c r="CA41" s="12">
        <v>0.8</v>
      </c>
      <c r="CB41" s="12"/>
      <c r="CC41" s="12">
        <v>0.8</v>
      </c>
      <c r="CG41" s="12"/>
      <c r="CH41" s="12">
        <v>1</v>
      </c>
      <c r="CI41" s="12"/>
      <c r="CJ41" s="12">
        <v>1</v>
      </c>
      <c r="CN41" s="12"/>
      <c r="CO41" s="12">
        <v>1</v>
      </c>
      <c r="CP41" s="12"/>
      <c r="CQ41" s="12">
        <v>1</v>
      </c>
      <c r="CU41" s="12"/>
      <c r="CV41" s="12">
        <v>1</v>
      </c>
      <c r="CW41" s="12"/>
      <c r="CX41" s="12">
        <v>1</v>
      </c>
      <c r="DB41" s="12"/>
      <c r="DC41" s="12">
        <v>1</v>
      </c>
      <c r="DD41" s="12"/>
      <c r="DE41" s="12">
        <v>1</v>
      </c>
      <c r="DI41" s="12"/>
      <c r="DJ41" s="12"/>
      <c r="DK41" s="12"/>
      <c r="DL41" s="12"/>
      <c r="DP41" s="12"/>
      <c r="DQ41" s="12"/>
      <c r="DR41" s="12"/>
      <c r="DS41" s="12"/>
      <c r="DW41" s="12"/>
      <c r="DX41" s="12"/>
      <c r="DY41" s="12"/>
      <c r="DZ41" s="12"/>
      <c r="ED41" s="12"/>
      <c r="EE41" s="12"/>
      <c r="EF41" s="12"/>
      <c r="EG41" s="12"/>
    </row>
    <row r="42" spans="2:137" outlineLevel="1">
      <c r="B42" t="s">
        <v>28</v>
      </c>
      <c r="C42" t="s">
        <v>90</v>
      </c>
      <c r="E42" s="11"/>
      <c r="F42" t="s">
        <v>119</v>
      </c>
      <c r="G42" s="12">
        <v>0.1</v>
      </c>
      <c r="I42" s="11">
        <f t="shared" si="3"/>
        <v>0</v>
      </c>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v>0.5</v>
      </c>
      <c r="AL42" s="12"/>
      <c r="AM42" s="12">
        <v>0.5</v>
      </c>
      <c r="AQ42" s="12"/>
      <c r="AR42" s="12">
        <v>0.5</v>
      </c>
      <c r="AS42" s="12"/>
      <c r="AT42" s="12">
        <v>0.5</v>
      </c>
      <c r="AX42" s="12"/>
      <c r="AY42" s="12">
        <v>0.8</v>
      </c>
      <c r="AZ42" s="12"/>
      <c r="BA42" s="12">
        <v>0.5</v>
      </c>
      <c r="BE42" s="12"/>
      <c r="BF42" s="12">
        <v>0.5</v>
      </c>
      <c r="BG42" s="12"/>
      <c r="BH42" s="12">
        <v>0.5</v>
      </c>
      <c r="BL42" s="12"/>
      <c r="BM42" s="12">
        <v>0.8</v>
      </c>
      <c r="BN42" s="12"/>
      <c r="BO42" s="12">
        <v>0.8</v>
      </c>
      <c r="BS42" s="12"/>
      <c r="BT42" s="12">
        <v>0.8</v>
      </c>
      <c r="BU42" s="12"/>
      <c r="BV42" s="12">
        <v>0.8</v>
      </c>
      <c r="BZ42" s="12"/>
      <c r="CA42" s="12">
        <v>0.8</v>
      </c>
      <c r="CB42" s="12"/>
      <c r="CC42" s="12">
        <v>0.8</v>
      </c>
      <c r="CG42" s="12"/>
      <c r="CH42" s="12">
        <v>0.8</v>
      </c>
      <c r="CI42" s="12"/>
      <c r="CJ42" s="12">
        <v>0.8</v>
      </c>
      <c r="CN42" s="12"/>
      <c r="CO42" s="12">
        <v>1</v>
      </c>
      <c r="CP42" s="12"/>
      <c r="CQ42" s="12">
        <v>1</v>
      </c>
      <c r="CU42" s="12"/>
      <c r="CV42" s="12">
        <v>1</v>
      </c>
      <c r="CW42" s="12"/>
      <c r="CX42" s="12">
        <v>1</v>
      </c>
      <c r="DB42" s="12"/>
      <c r="DC42" s="12">
        <v>1</v>
      </c>
      <c r="DD42" s="12"/>
      <c r="DE42" s="12">
        <v>1</v>
      </c>
      <c r="DI42" s="12"/>
      <c r="DJ42" s="12"/>
      <c r="DK42" s="12"/>
      <c r="DL42" s="12"/>
      <c r="DP42" s="12"/>
      <c r="DQ42" s="12"/>
      <c r="DR42" s="12"/>
      <c r="DS42" s="12"/>
      <c r="DW42" s="12"/>
      <c r="DX42" s="12"/>
      <c r="DY42" s="12"/>
      <c r="DZ42" s="12"/>
      <c r="ED42" s="12"/>
      <c r="EE42" s="12"/>
      <c r="EF42" s="12"/>
      <c r="EG42" s="12"/>
    </row>
    <row r="43" spans="2:137" outlineLevel="1">
      <c r="B43" t="s">
        <v>28</v>
      </c>
      <c r="C43" t="s">
        <v>90</v>
      </c>
      <c r="E43" s="11"/>
      <c r="F43" t="s">
        <v>120</v>
      </c>
      <c r="G43" s="12">
        <v>0.1</v>
      </c>
      <c r="I43" s="11">
        <f t="shared" si="3"/>
        <v>0</v>
      </c>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v>0.5</v>
      </c>
      <c r="AS43" s="12"/>
      <c r="AT43" s="12">
        <v>0.5</v>
      </c>
      <c r="AX43" s="12"/>
      <c r="AY43" s="12">
        <v>0.8</v>
      </c>
      <c r="AZ43" s="12"/>
      <c r="BA43" s="12">
        <v>0.5</v>
      </c>
      <c r="BE43" s="12"/>
      <c r="BF43" s="12">
        <v>0.5</v>
      </c>
      <c r="BG43" s="12"/>
      <c r="BH43" s="12">
        <v>0.5</v>
      </c>
      <c r="BL43" s="12"/>
      <c r="BM43" s="12">
        <v>0.8</v>
      </c>
      <c r="BN43" s="12"/>
      <c r="BO43" s="12">
        <v>0.8</v>
      </c>
      <c r="BS43" s="12"/>
      <c r="BT43" s="12">
        <v>0.8</v>
      </c>
      <c r="BU43" s="12"/>
      <c r="BV43" s="12">
        <v>0.8</v>
      </c>
      <c r="BZ43" s="12"/>
      <c r="CA43" s="12">
        <v>0.8</v>
      </c>
      <c r="CB43" s="12"/>
      <c r="CC43" s="12">
        <v>0.8</v>
      </c>
      <c r="CG43" s="12"/>
      <c r="CH43" s="12">
        <v>0.8</v>
      </c>
      <c r="CI43" s="12"/>
      <c r="CJ43" s="12">
        <v>0.8</v>
      </c>
      <c r="CN43" s="12"/>
      <c r="CO43" s="12">
        <v>1</v>
      </c>
      <c r="CP43" s="12"/>
      <c r="CQ43" s="12">
        <v>1</v>
      </c>
      <c r="CU43" s="12"/>
      <c r="CV43" s="12">
        <v>1</v>
      </c>
      <c r="CW43" s="12"/>
      <c r="CX43" s="12">
        <v>1</v>
      </c>
      <c r="DB43" s="12"/>
      <c r="DC43" s="12">
        <v>1</v>
      </c>
      <c r="DD43" s="12"/>
      <c r="DE43" s="12">
        <v>1</v>
      </c>
      <c r="DI43" s="12"/>
      <c r="DJ43" s="12"/>
      <c r="DK43" s="12"/>
      <c r="DL43" s="12"/>
      <c r="DP43" s="12"/>
      <c r="DQ43" s="12"/>
      <c r="DR43" s="12"/>
      <c r="DS43" s="12"/>
      <c r="DW43" s="12"/>
      <c r="DX43" s="12"/>
      <c r="DY43" s="12"/>
      <c r="DZ43" s="12"/>
      <c r="ED43" s="12"/>
      <c r="EE43" s="12"/>
      <c r="EF43" s="12"/>
      <c r="EG43" s="12"/>
    </row>
    <row r="44" spans="2:137" outlineLevel="1">
      <c r="B44" t="s">
        <v>28</v>
      </c>
      <c r="C44" t="s">
        <v>90</v>
      </c>
      <c r="E44" s="11"/>
      <c r="F44" t="s">
        <v>121</v>
      </c>
      <c r="G44" s="12">
        <v>0.05</v>
      </c>
      <c r="I44" s="11">
        <f t="shared" si="3"/>
        <v>0</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v>0.8</v>
      </c>
      <c r="AZ44" s="12"/>
      <c r="BA44" s="12">
        <v>0.5</v>
      </c>
      <c r="BE44" s="12"/>
      <c r="BF44" s="12">
        <v>0.5</v>
      </c>
      <c r="BG44" s="12"/>
      <c r="BH44" s="12">
        <v>0.5</v>
      </c>
      <c r="BL44" s="12"/>
      <c r="BM44" s="12">
        <v>0.5</v>
      </c>
      <c r="BN44" s="12"/>
      <c r="BO44" s="12">
        <v>0.5</v>
      </c>
      <c r="BS44" s="12"/>
      <c r="BT44" s="12">
        <v>0.8</v>
      </c>
      <c r="BU44" s="12"/>
      <c r="BV44" s="12">
        <v>0.8</v>
      </c>
      <c r="BZ44" s="12"/>
      <c r="CA44" s="12">
        <v>0.8</v>
      </c>
      <c r="CB44" s="12"/>
      <c r="CC44" s="12">
        <v>0.8</v>
      </c>
      <c r="CG44" s="12"/>
      <c r="CH44" s="12">
        <v>0.8</v>
      </c>
      <c r="CI44" s="12"/>
      <c r="CJ44" s="12">
        <v>0.8</v>
      </c>
      <c r="CN44" s="12"/>
      <c r="CO44" s="12">
        <v>1</v>
      </c>
      <c r="CP44" s="12"/>
      <c r="CQ44" s="12">
        <v>1</v>
      </c>
      <c r="CU44" s="12"/>
      <c r="CV44" s="12">
        <v>1</v>
      </c>
      <c r="CW44" s="12"/>
      <c r="CX44" s="12">
        <v>1</v>
      </c>
      <c r="DB44" s="12"/>
      <c r="DC44" s="12">
        <v>1</v>
      </c>
      <c r="DD44" s="12"/>
      <c r="DE44" s="12">
        <v>1</v>
      </c>
      <c r="DI44" s="12"/>
      <c r="DJ44" s="12"/>
      <c r="DK44" s="12"/>
      <c r="DL44" s="12"/>
      <c r="DP44" s="12"/>
      <c r="DQ44" s="12"/>
      <c r="DR44" s="12"/>
      <c r="DS44" s="12"/>
      <c r="DW44" s="12"/>
      <c r="DX44" s="12"/>
      <c r="DY44" s="12"/>
      <c r="DZ44" s="12"/>
      <c r="ED44" s="12"/>
      <c r="EE44" s="12"/>
      <c r="EF44" s="12"/>
      <c r="EG44" s="12"/>
    </row>
    <row r="45" spans="2:137" outlineLevel="1">
      <c r="B45" t="s">
        <v>28</v>
      </c>
      <c r="C45" t="s">
        <v>90</v>
      </c>
      <c r="E45" s="11"/>
      <c r="F45" t="s">
        <v>122</v>
      </c>
      <c r="G45" s="12">
        <v>0.1</v>
      </c>
      <c r="I45" s="11">
        <f t="shared" si="3"/>
        <v>0</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v>0.5</v>
      </c>
      <c r="BG45" s="12"/>
      <c r="BH45" s="12">
        <v>0.5</v>
      </c>
      <c r="BL45" s="12"/>
      <c r="BM45" s="12">
        <v>0.5</v>
      </c>
      <c r="BN45" s="12"/>
      <c r="BO45" s="12">
        <v>0.5</v>
      </c>
      <c r="BS45" s="12"/>
      <c r="BT45" s="12">
        <v>0.8</v>
      </c>
      <c r="BU45" s="12"/>
      <c r="BV45" s="12">
        <v>0.8</v>
      </c>
      <c r="BZ45" s="12"/>
      <c r="CA45" s="12">
        <v>0.8</v>
      </c>
      <c r="CB45" s="12"/>
      <c r="CC45" s="12">
        <v>0.8</v>
      </c>
      <c r="CG45" s="12"/>
      <c r="CH45" s="12">
        <v>0.8</v>
      </c>
      <c r="CI45" s="12"/>
      <c r="CJ45" s="12">
        <v>0.8</v>
      </c>
      <c r="CN45" s="12"/>
      <c r="CO45" s="12">
        <v>0.8</v>
      </c>
      <c r="CP45" s="12"/>
      <c r="CQ45" s="12">
        <v>0.8</v>
      </c>
      <c r="CU45" s="12"/>
      <c r="CV45" s="12">
        <v>1</v>
      </c>
      <c r="CW45" s="12"/>
      <c r="CX45" s="12">
        <v>1</v>
      </c>
      <c r="DB45" s="12"/>
      <c r="DC45" s="12">
        <v>1</v>
      </c>
      <c r="DD45" s="12"/>
      <c r="DE45" s="12">
        <v>1</v>
      </c>
      <c r="DI45" s="12"/>
      <c r="DJ45" s="12"/>
      <c r="DK45" s="12"/>
      <c r="DL45" s="12"/>
      <c r="DP45" s="12"/>
      <c r="DQ45" s="12"/>
      <c r="DR45" s="12"/>
      <c r="DS45" s="12"/>
      <c r="DW45" s="12"/>
      <c r="DX45" s="12"/>
      <c r="DY45" s="12"/>
      <c r="DZ45" s="12"/>
      <c r="ED45" s="12"/>
      <c r="EE45" s="12"/>
      <c r="EF45" s="12"/>
      <c r="EG45" s="12"/>
    </row>
    <row r="46" spans="2:137" outlineLevel="1">
      <c r="B46" t="s">
        <v>28</v>
      </c>
      <c r="C46" t="s">
        <v>90</v>
      </c>
      <c r="E46" s="11"/>
      <c r="F46" t="s">
        <v>123</v>
      </c>
      <c r="G46" s="12">
        <v>0.1</v>
      </c>
      <c r="I46" s="11">
        <f t="shared" si="3"/>
        <v>0</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v>0.5</v>
      </c>
      <c r="BG46" s="12"/>
      <c r="BH46" s="12">
        <v>0.5</v>
      </c>
      <c r="BL46" s="12"/>
      <c r="BM46" s="12">
        <v>0.5</v>
      </c>
      <c r="BN46" s="12"/>
      <c r="BO46" s="12">
        <v>0.5</v>
      </c>
      <c r="BS46" s="12"/>
      <c r="BT46" s="12">
        <v>0.5</v>
      </c>
      <c r="BU46" s="12"/>
      <c r="BV46" s="12">
        <v>0.5</v>
      </c>
      <c r="BZ46" s="12"/>
      <c r="CA46" s="12">
        <v>0.8</v>
      </c>
      <c r="CB46" s="12"/>
      <c r="CC46" s="12">
        <v>0.8</v>
      </c>
      <c r="CG46" s="12"/>
      <c r="CH46" s="12">
        <v>0.8</v>
      </c>
      <c r="CI46" s="12"/>
      <c r="CJ46" s="12">
        <v>0.8</v>
      </c>
      <c r="CN46" s="12"/>
      <c r="CO46" s="12">
        <v>0.8</v>
      </c>
      <c r="CP46" s="12"/>
      <c r="CQ46" s="12">
        <v>0.8</v>
      </c>
      <c r="CU46" s="12"/>
      <c r="CV46" s="12">
        <v>1</v>
      </c>
      <c r="CW46" s="12"/>
      <c r="CX46" s="12">
        <v>1</v>
      </c>
      <c r="DB46" s="12"/>
      <c r="DC46" s="12">
        <v>1</v>
      </c>
      <c r="DD46" s="12"/>
      <c r="DE46" s="12">
        <v>1</v>
      </c>
      <c r="DI46" s="12"/>
      <c r="DJ46" s="12"/>
      <c r="DK46" s="12"/>
      <c r="DL46" s="12"/>
      <c r="DP46" s="12"/>
      <c r="DQ46" s="12"/>
      <c r="DR46" s="12"/>
      <c r="DS46" s="12"/>
      <c r="DW46" s="12"/>
      <c r="DX46" s="12"/>
      <c r="DY46" s="12"/>
      <c r="DZ46" s="12"/>
      <c r="ED46" s="12"/>
      <c r="EE46" s="12"/>
      <c r="EF46" s="12"/>
      <c r="EG46" s="12"/>
    </row>
    <row r="47" spans="2:137" outlineLevel="1">
      <c r="B47" t="s">
        <v>28</v>
      </c>
      <c r="C47" t="s">
        <v>90</v>
      </c>
      <c r="E47" s="11"/>
      <c r="F47" t="s">
        <v>124</v>
      </c>
      <c r="G47" s="12">
        <v>0.1</v>
      </c>
      <c r="I47" s="11">
        <f t="shared" si="3"/>
        <v>0</v>
      </c>
      <c r="J47" s="13" cm="1">
        <f t="array" ref="J47">MAX(IF($N$3:$EH$3=$J$3,N47:EH47))</f>
        <v>0</v>
      </c>
      <c r="K47" s="13" cm="1">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v>0.5</v>
      </c>
      <c r="BN47" s="12"/>
      <c r="BO47" s="12">
        <v>0.5</v>
      </c>
      <c r="BS47" s="12"/>
      <c r="BT47" s="12">
        <v>0.5</v>
      </c>
      <c r="BU47" s="12"/>
      <c r="BV47" s="12">
        <v>0.5</v>
      </c>
      <c r="BZ47" s="12"/>
      <c r="CA47" s="12">
        <v>0.8</v>
      </c>
      <c r="CB47" s="12"/>
      <c r="CC47" s="12">
        <v>0.8</v>
      </c>
      <c r="CG47" s="12"/>
      <c r="CH47" s="12">
        <v>0.8</v>
      </c>
      <c r="CI47" s="12"/>
      <c r="CJ47" s="12">
        <v>0.8</v>
      </c>
      <c r="CN47" s="12"/>
      <c r="CO47" s="12">
        <v>0.8</v>
      </c>
      <c r="CP47" s="12"/>
      <c r="CQ47" s="12">
        <v>0.8</v>
      </c>
      <c r="CU47" s="12"/>
      <c r="CV47" s="12">
        <v>1</v>
      </c>
      <c r="CW47" s="12"/>
      <c r="CX47" s="12">
        <v>1</v>
      </c>
      <c r="DB47" s="12"/>
      <c r="DC47" s="12">
        <v>1</v>
      </c>
      <c r="DD47" s="12"/>
      <c r="DE47" s="12">
        <v>1</v>
      </c>
      <c r="DI47" s="12"/>
      <c r="DJ47" s="12"/>
      <c r="DK47" s="12"/>
      <c r="DL47" s="12"/>
      <c r="DP47" s="12"/>
      <c r="DQ47" s="12"/>
      <c r="DR47" s="12"/>
      <c r="DS47" s="12"/>
      <c r="DW47" s="12"/>
      <c r="DX47" s="12"/>
      <c r="DY47" s="12"/>
      <c r="DZ47" s="12"/>
      <c r="ED47" s="12"/>
      <c r="EE47" s="12"/>
      <c r="EF47" s="12"/>
      <c r="EG47" s="12"/>
    </row>
    <row r="48" spans="2:137" outlineLevel="1">
      <c r="B48" t="s">
        <v>28</v>
      </c>
      <c r="C48" t="s">
        <v>90</v>
      </c>
      <c r="E48" s="11"/>
      <c r="F48" t="s">
        <v>125</v>
      </c>
      <c r="G48" s="12">
        <v>0.1</v>
      </c>
      <c r="I48" s="11">
        <f t="shared" si="3"/>
        <v>0</v>
      </c>
      <c r="J48" s="13" cm="1">
        <f t="array" ref="J48">MAX(IF($N$3:$EH$3=$J$3,N48:EH48))</f>
        <v>0</v>
      </c>
      <c r="K48" s="13" cm="1">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v>0.5</v>
      </c>
      <c r="BN48" s="12"/>
      <c r="BO48" s="12">
        <v>0.5</v>
      </c>
      <c r="BS48" s="12"/>
      <c r="BT48" s="12">
        <v>0.5</v>
      </c>
      <c r="BU48" s="12"/>
      <c r="BV48" s="12">
        <v>0.5</v>
      </c>
      <c r="BZ48" s="12"/>
      <c r="CA48" s="12">
        <v>0.5</v>
      </c>
      <c r="CB48" s="12"/>
      <c r="CC48" s="12">
        <v>0.5</v>
      </c>
      <c r="CG48" s="12"/>
      <c r="CH48" s="12">
        <v>0.8</v>
      </c>
      <c r="CI48" s="12"/>
      <c r="CJ48" s="12">
        <v>0.8</v>
      </c>
      <c r="CN48" s="12"/>
      <c r="CO48" s="12">
        <v>0.8</v>
      </c>
      <c r="CP48" s="12"/>
      <c r="CQ48" s="12">
        <v>0.8</v>
      </c>
      <c r="CU48" s="12"/>
      <c r="CV48" s="12">
        <v>0.8</v>
      </c>
      <c r="CW48" s="12"/>
      <c r="CX48" s="12">
        <v>0.8</v>
      </c>
      <c r="DB48" s="12"/>
      <c r="DC48" s="12">
        <v>1</v>
      </c>
      <c r="DD48" s="12"/>
      <c r="DE48" s="12">
        <v>1</v>
      </c>
      <c r="DI48" s="12"/>
      <c r="DJ48" s="12"/>
      <c r="DK48" s="12"/>
      <c r="DL48" s="12"/>
      <c r="DP48" s="12"/>
      <c r="DQ48" s="12"/>
      <c r="DR48" s="12"/>
      <c r="DS48" s="12"/>
      <c r="DW48" s="12"/>
      <c r="DX48" s="12"/>
      <c r="DY48" s="12"/>
      <c r="DZ48" s="12"/>
      <c r="ED48" s="12"/>
      <c r="EE48" s="12"/>
      <c r="EF48" s="12"/>
      <c r="EG48" s="12"/>
    </row>
    <row r="49" spans="2:137" outlineLevel="1">
      <c r="B49" t="s">
        <v>28</v>
      </c>
      <c r="C49" t="s">
        <v>90</v>
      </c>
      <c r="E49" s="11"/>
      <c r="F49" t="s">
        <v>126</v>
      </c>
      <c r="G49" s="12">
        <v>0.1</v>
      </c>
      <c r="I49" s="11">
        <f t="shared" si="3"/>
        <v>0</v>
      </c>
      <c r="J49" s="13" cm="1">
        <f t="array" ref="J49">MAX(IF($N$3:$EH$3=$J$3,N49:EH49))</f>
        <v>0</v>
      </c>
      <c r="K49" s="13" cm="1">
        <f t="array" ref="K49">MAX(IF($N$3:$EH$3=$J$3,N49:EH49))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v>0.5</v>
      </c>
      <c r="BU49" s="12"/>
      <c r="BV49" s="12">
        <v>0.5</v>
      </c>
      <c r="BZ49" s="12"/>
      <c r="CA49" s="12">
        <v>0.5</v>
      </c>
      <c r="CB49" s="12"/>
      <c r="CC49" s="12">
        <v>0.5</v>
      </c>
      <c r="CG49" s="12"/>
      <c r="CH49" s="12">
        <v>0.8</v>
      </c>
      <c r="CI49" s="12"/>
      <c r="CJ49" s="12">
        <v>0.8</v>
      </c>
      <c r="CN49" s="12"/>
      <c r="CO49" s="12">
        <v>0.8</v>
      </c>
      <c r="CP49" s="12"/>
      <c r="CQ49" s="12">
        <v>0.8</v>
      </c>
      <c r="CU49" s="12"/>
      <c r="CV49" s="12">
        <v>0.8</v>
      </c>
      <c r="CW49" s="12"/>
      <c r="CX49" s="12">
        <v>0.8</v>
      </c>
      <c r="DB49" s="12"/>
      <c r="DC49" s="12">
        <v>1</v>
      </c>
      <c r="DD49" s="12"/>
      <c r="DE49" s="12">
        <v>1</v>
      </c>
      <c r="DI49" s="12"/>
      <c r="DJ49" s="12"/>
      <c r="DK49" s="12"/>
      <c r="DL49" s="12"/>
      <c r="DP49" s="12"/>
      <c r="DQ49" s="12"/>
      <c r="DR49" s="12"/>
      <c r="DS49" s="12"/>
      <c r="DW49" s="12"/>
      <c r="DX49" s="12"/>
      <c r="DY49" s="12"/>
      <c r="DZ49" s="12"/>
      <c r="ED49" s="12"/>
      <c r="EE49" s="12"/>
      <c r="EF49" s="12"/>
      <c r="EG49" s="12"/>
    </row>
    <row r="51" spans="2:137">
      <c r="B51" t="s">
        <v>27</v>
      </c>
      <c r="C51" t="s">
        <v>91</v>
      </c>
      <c r="D51" s="22">
        <v>45670</v>
      </c>
      <c r="E51" s="11">
        <v>0</v>
      </c>
      <c r="G51" s="12">
        <f>+SUM(G52:G57)</f>
        <v>0.44999999999999996</v>
      </c>
      <c r="I51" s="14">
        <f>+SUM(I52:I57)</f>
        <v>0</v>
      </c>
      <c r="J51" s="13">
        <f>+SUMPRODUCT(G52:G57,J52:J57)</f>
        <v>0</v>
      </c>
      <c r="K51" s="13">
        <f>+SUMPRODUCT(G52:G57,K52:K57)</f>
        <v>0</v>
      </c>
      <c r="L51" s="11"/>
      <c r="N51" s="14">
        <f>+SUM(N52:N57)</f>
        <v>0</v>
      </c>
      <c r="U51" s="14">
        <f>+SUM(U52:U57)</f>
        <v>0</v>
      </c>
      <c r="AB51" s="14">
        <f>+SUM(AB52:AB57)</f>
        <v>0</v>
      </c>
      <c r="AI51" s="14">
        <f>+SUM(AI52:AI57)</f>
        <v>0</v>
      </c>
      <c r="AP51" s="14">
        <f>+SUM(AP52:AP57)</f>
        <v>0</v>
      </c>
    </row>
    <row r="52" spans="2:137" outlineLevel="1">
      <c r="B52" t="s">
        <v>28</v>
      </c>
      <c r="C52" t="s">
        <v>91</v>
      </c>
      <c r="E52" s="11"/>
      <c r="F52" t="s">
        <v>127</v>
      </c>
      <c r="G52" s="12">
        <v>0.1</v>
      </c>
      <c r="I52" s="11">
        <f t="shared" si="3"/>
        <v>0</v>
      </c>
      <c r="J52" s="13" cm="1">
        <f t="array" ref="J52">MAX(IF($N$3:$EH$3=$J$3,N52:EH52))</f>
        <v>0</v>
      </c>
      <c r="K52" s="13" cm="1">
        <f t="array" ref="K52">MAX(IF($N$3:$EH$3=$J$3,N52:EH52))</f>
        <v>0</v>
      </c>
      <c r="L52" s="11"/>
      <c r="O52" s="12"/>
      <c r="P52" s="12">
        <v>0.5</v>
      </c>
      <c r="Q52" s="12"/>
      <c r="R52" s="12">
        <v>0.5</v>
      </c>
      <c r="V52" s="12"/>
      <c r="W52" s="12">
        <v>0.5</v>
      </c>
      <c r="X52" s="12"/>
      <c r="Y52" s="12">
        <v>0.5</v>
      </c>
      <c r="AC52" s="12"/>
      <c r="AD52" s="12">
        <v>0.5</v>
      </c>
      <c r="AE52" s="12"/>
      <c r="AF52" s="12">
        <v>0.5</v>
      </c>
      <c r="AJ52" s="12"/>
      <c r="AK52" s="12">
        <v>0.8</v>
      </c>
      <c r="AL52" s="12"/>
      <c r="AM52" s="12">
        <v>0.8</v>
      </c>
      <c r="AQ52" s="12"/>
      <c r="AR52" s="12">
        <v>0.8</v>
      </c>
      <c r="AS52" s="12"/>
      <c r="AT52" s="12">
        <v>0.8</v>
      </c>
      <c r="AX52" s="12"/>
      <c r="AY52" s="12">
        <v>0.8</v>
      </c>
      <c r="AZ52" s="12"/>
      <c r="BA52" s="12">
        <v>0.8</v>
      </c>
      <c r="BE52" s="12"/>
      <c r="BF52" s="12">
        <v>0.8</v>
      </c>
      <c r="BG52" s="12"/>
      <c r="BH52" s="12">
        <v>0.8</v>
      </c>
      <c r="BL52" s="12"/>
      <c r="BM52" s="12">
        <v>0.8</v>
      </c>
      <c r="BN52" s="12"/>
      <c r="BO52" s="12">
        <v>0.8</v>
      </c>
      <c r="BS52" s="12"/>
      <c r="BT52" s="12">
        <v>1</v>
      </c>
      <c r="BU52" s="12"/>
      <c r="BV52" s="12">
        <v>1</v>
      </c>
      <c r="BZ52" s="12"/>
      <c r="CA52" s="12">
        <v>1</v>
      </c>
      <c r="CB52" s="12"/>
      <c r="CC52" s="12">
        <v>1</v>
      </c>
      <c r="CG52" s="12"/>
      <c r="CH52" s="12">
        <v>1</v>
      </c>
      <c r="CI52" s="12"/>
      <c r="CJ52" s="12">
        <v>1</v>
      </c>
      <c r="CN52" s="12"/>
      <c r="CO52" s="12">
        <v>1</v>
      </c>
      <c r="CP52" s="12"/>
      <c r="CQ52" s="12">
        <v>1</v>
      </c>
      <c r="CU52" s="12"/>
      <c r="CV52" s="12">
        <v>1</v>
      </c>
      <c r="CW52" s="12"/>
      <c r="CX52" s="12">
        <v>1</v>
      </c>
      <c r="DB52" s="12"/>
      <c r="DC52" s="12">
        <v>1</v>
      </c>
      <c r="DD52" s="12"/>
      <c r="DE52" s="12">
        <v>1</v>
      </c>
      <c r="DI52" s="12"/>
      <c r="DJ52" s="12"/>
      <c r="DK52" s="12"/>
      <c r="DL52" s="12"/>
      <c r="DP52" s="12"/>
      <c r="DQ52" s="12"/>
      <c r="DR52" s="12"/>
      <c r="DS52" s="12"/>
      <c r="DW52" s="12"/>
      <c r="DX52" s="12"/>
      <c r="DY52" s="12"/>
      <c r="DZ52" s="12"/>
      <c r="ED52" s="12"/>
      <c r="EE52" s="12"/>
      <c r="EF52" s="12"/>
      <c r="EG52" s="12"/>
    </row>
    <row r="53" spans="2:137" outlineLevel="1">
      <c r="B53" t="s">
        <v>28</v>
      </c>
      <c r="C53" t="s">
        <v>91</v>
      </c>
      <c r="E53" s="11"/>
      <c r="F53" t="s">
        <v>128</v>
      </c>
      <c r="G53" s="12">
        <v>0.05</v>
      </c>
      <c r="I53" s="11">
        <f t="shared" si="3"/>
        <v>0</v>
      </c>
      <c r="J53" s="13" cm="1">
        <f t="array" ref="J53">MAX(IF($N$3:$EH$3=$J$3,N53:EH53))</f>
        <v>0</v>
      </c>
      <c r="K53" s="13" cm="1">
        <f t="array" ref="K53">MAX(IF($N$3:$EH$3=$J$3,N53:EH53))</f>
        <v>0</v>
      </c>
      <c r="L53" s="11"/>
      <c r="O53" s="12"/>
      <c r="P53" s="12"/>
      <c r="Q53" s="12"/>
      <c r="R53" s="12"/>
      <c r="V53" s="12"/>
      <c r="W53" s="12">
        <v>0.5</v>
      </c>
      <c r="X53" s="12"/>
      <c r="Y53" s="12">
        <v>0.5</v>
      </c>
      <c r="AC53" s="12"/>
      <c r="AD53" s="12">
        <v>0.5</v>
      </c>
      <c r="AE53" s="12"/>
      <c r="AF53" s="12">
        <v>0.5</v>
      </c>
      <c r="AJ53" s="12"/>
      <c r="AK53" s="12">
        <v>0.5</v>
      </c>
      <c r="AL53" s="12"/>
      <c r="AM53" s="12">
        <v>0.5</v>
      </c>
      <c r="AQ53" s="12"/>
      <c r="AR53" s="12">
        <v>0.8</v>
      </c>
      <c r="AS53" s="12"/>
      <c r="AT53" s="12">
        <v>0.8</v>
      </c>
      <c r="AX53" s="12"/>
      <c r="AY53" s="12">
        <v>0.8</v>
      </c>
      <c r="AZ53" s="12"/>
      <c r="BA53" s="12">
        <v>0.8</v>
      </c>
      <c r="BE53" s="12"/>
      <c r="BF53" s="12">
        <v>0.8</v>
      </c>
      <c r="BG53" s="12"/>
      <c r="BH53" s="12">
        <v>0.8</v>
      </c>
      <c r="BL53" s="12"/>
      <c r="BM53" s="12">
        <v>0.8</v>
      </c>
      <c r="BN53" s="12"/>
      <c r="BO53" s="12">
        <v>0.8</v>
      </c>
      <c r="BS53" s="12"/>
      <c r="BT53" s="12">
        <v>0.8</v>
      </c>
      <c r="BU53" s="12"/>
      <c r="BV53" s="12">
        <v>0.8</v>
      </c>
      <c r="BZ53" s="12"/>
      <c r="CA53" s="12">
        <v>0.8</v>
      </c>
      <c r="CB53" s="12"/>
      <c r="CC53" s="12">
        <v>0.8</v>
      </c>
      <c r="CG53" s="12"/>
      <c r="CH53" s="12">
        <v>1</v>
      </c>
      <c r="CI53" s="12"/>
      <c r="CJ53" s="12">
        <v>1</v>
      </c>
      <c r="CN53" s="12"/>
      <c r="CO53" s="12">
        <v>1</v>
      </c>
      <c r="CP53" s="12"/>
      <c r="CQ53" s="12">
        <v>1</v>
      </c>
      <c r="CU53" s="12"/>
      <c r="CV53" s="12">
        <v>1</v>
      </c>
      <c r="CW53" s="12"/>
      <c r="CX53" s="12">
        <v>1</v>
      </c>
      <c r="DB53" s="12"/>
      <c r="DC53" s="12">
        <v>1</v>
      </c>
      <c r="DD53" s="12"/>
      <c r="DE53" s="12">
        <v>1</v>
      </c>
      <c r="DI53" s="12"/>
      <c r="DJ53" s="12"/>
      <c r="DK53" s="12"/>
      <c r="DL53" s="12"/>
      <c r="DP53" s="12"/>
      <c r="DQ53" s="12"/>
      <c r="DR53" s="12"/>
      <c r="DS53" s="12"/>
      <c r="DW53" s="12"/>
      <c r="DX53" s="12"/>
      <c r="DY53" s="12"/>
      <c r="DZ53" s="12"/>
      <c r="ED53" s="12"/>
      <c r="EE53" s="12"/>
      <c r="EF53" s="12"/>
      <c r="EG53" s="12"/>
    </row>
    <row r="54" spans="2:137" outlineLevel="1">
      <c r="B54" t="s">
        <v>28</v>
      </c>
      <c r="C54" t="s">
        <v>91</v>
      </c>
      <c r="E54" s="11"/>
      <c r="F54" t="s">
        <v>129</v>
      </c>
      <c r="G54" s="12">
        <v>0.05</v>
      </c>
      <c r="I54" s="11">
        <f t="shared" si="3"/>
        <v>0</v>
      </c>
      <c r="J54" s="13" cm="1">
        <f t="array" ref="J54">MAX(IF($N$3:$EH$3=$J$3,N54:EH54))</f>
        <v>0</v>
      </c>
      <c r="K54" s="13" cm="1">
        <f t="array" ref="K54">MAX(IF($N$3:$EH$3=$J$3,N54:EH54))</f>
        <v>0</v>
      </c>
      <c r="L54" s="11"/>
      <c r="O54" s="12"/>
      <c r="P54" s="12"/>
      <c r="Q54" s="12"/>
      <c r="R54" s="12"/>
      <c r="V54" s="12"/>
      <c r="W54" s="12">
        <v>0.5</v>
      </c>
      <c r="X54" s="12"/>
      <c r="Y54" s="12">
        <v>0.5</v>
      </c>
      <c r="AC54" s="12"/>
      <c r="AD54" s="12">
        <v>0.5</v>
      </c>
      <c r="AE54" s="12"/>
      <c r="AF54" s="12">
        <v>0.5</v>
      </c>
      <c r="AJ54" s="12"/>
      <c r="AK54" s="12">
        <v>0.5</v>
      </c>
      <c r="AL54" s="12"/>
      <c r="AM54" s="12">
        <v>0.5</v>
      </c>
      <c r="AQ54" s="12"/>
      <c r="AR54" s="12">
        <v>0.5</v>
      </c>
      <c r="AS54" s="12"/>
      <c r="AT54" s="12">
        <v>0.5</v>
      </c>
      <c r="AX54" s="12"/>
      <c r="AY54" s="12">
        <v>0.8</v>
      </c>
      <c r="AZ54" s="12"/>
      <c r="BA54" s="12">
        <v>0.8</v>
      </c>
      <c r="BE54" s="12"/>
      <c r="BF54" s="12">
        <v>0.8</v>
      </c>
      <c r="BG54" s="12"/>
      <c r="BH54" s="12">
        <v>0.8</v>
      </c>
      <c r="BL54" s="12"/>
      <c r="BM54" s="12">
        <v>0.8</v>
      </c>
      <c r="BN54" s="12"/>
      <c r="BO54" s="12">
        <v>0.8</v>
      </c>
      <c r="BS54" s="12"/>
      <c r="BT54" s="12">
        <v>0.8</v>
      </c>
      <c r="BU54" s="12"/>
      <c r="BV54" s="12">
        <v>0.8</v>
      </c>
      <c r="BZ54" s="12"/>
      <c r="CA54" s="12">
        <v>0.8</v>
      </c>
      <c r="CB54" s="12"/>
      <c r="CC54" s="12">
        <v>0.8</v>
      </c>
      <c r="CG54" s="12"/>
      <c r="CH54" s="12">
        <v>0.8</v>
      </c>
      <c r="CI54" s="12"/>
      <c r="CJ54" s="12">
        <v>0.8</v>
      </c>
      <c r="CN54" s="12"/>
      <c r="CO54" s="12">
        <v>1</v>
      </c>
      <c r="CP54" s="12"/>
      <c r="CQ54" s="12">
        <v>1</v>
      </c>
      <c r="CU54" s="12"/>
      <c r="CV54" s="12">
        <v>1</v>
      </c>
      <c r="CW54" s="12"/>
      <c r="CX54" s="12">
        <v>1</v>
      </c>
      <c r="DB54" s="12"/>
      <c r="DC54" s="12">
        <v>1</v>
      </c>
      <c r="DD54" s="12"/>
      <c r="DE54" s="12">
        <v>1</v>
      </c>
      <c r="DI54" s="12"/>
      <c r="DJ54" s="12"/>
      <c r="DK54" s="12"/>
      <c r="DL54" s="12"/>
      <c r="DP54" s="12"/>
      <c r="DQ54" s="12"/>
      <c r="DR54" s="12"/>
      <c r="DS54" s="12"/>
      <c r="DW54" s="12"/>
      <c r="DX54" s="12"/>
      <c r="DY54" s="12"/>
      <c r="DZ54" s="12"/>
      <c r="ED54" s="12"/>
      <c r="EE54" s="12"/>
      <c r="EF54" s="12"/>
      <c r="EG54" s="12"/>
    </row>
    <row r="55" spans="2:137" outlineLevel="1">
      <c r="B55" t="s">
        <v>28</v>
      </c>
      <c r="C55" t="s">
        <v>91</v>
      </c>
      <c r="E55" s="11"/>
      <c r="F55" t="s">
        <v>130</v>
      </c>
      <c r="G55" s="12">
        <v>0.05</v>
      </c>
      <c r="I55" s="11">
        <f t="shared" si="3"/>
        <v>0</v>
      </c>
      <c r="J55" s="13" cm="1">
        <f t="array" ref="J55">MAX(IF($N$3:$EH$3=$J$3,N55:EH55))</f>
        <v>0</v>
      </c>
      <c r="K55" s="13" cm="1">
        <f t="array" ref="K55">MAX(IF($N$3:$EH$3=$J$3,N55:EH55))</f>
        <v>0</v>
      </c>
      <c r="L55" s="11"/>
      <c r="O55" s="12"/>
      <c r="P55" s="12"/>
      <c r="Q55" s="12"/>
      <c r="R55" s="12"/>
      <c r="V55" s="12"/>
      <c r="W55" s="12"/>
      <c r="X55" s="12"/>
      <c r="Y55" s="12"/>
      <c r="AC55" s="12"/>
      <c r="AD55" s="12">
        <v>0.5</v>
      </c>
      <c r="AE55" s="12"/>
      <c r="AF55" s="12">
        <v>0.5</v>
      </c>
      <c r="AJ55" s="12"/>
      <c r="AK55" s="12">
        <v>0.5</v>
      </c>
      <c r="AL55" s="12"/>
      <c r="AM55" s="12">
        <v>0.5</v>
      </c>
      <c r="AQ55" s="12"/>
      <c r="AR55" s="12">
        <v>0.5</v>
      </c>
      <c r="AS55" s="12"/>
      <c r="AT55" s="12">
        <v>0.5</v>
      </c>
      <c r="AX55" s="12"/>
      <c r="AY55" s="12">
        <v>0.5</v>
      </c>
      <c r="AZ55" s="12"/>
      <c r="BA55" s="12">
        <v>0.5</v>
      </c>
      <c r="BE55" s="12"/>
      <c r="BF55" s="12">
        <v>0.8</v>
      </c>
      <c r="BG55" s="12"/>
      <c r="BH55" s="12">
        <v>0.8</v>
      </c>
      <c r="BL55" s="12"/>
      <c r="BM55" s="12">
        <v>0.8</v>
      </c>
      <c r="BN55" s="12"/>
      <c r="BO55" s="12">
        <v>0.8</v>
      </c>
      <c r="BS55" s="12"/>
      <c r="BT55" s="12">
        <v>0.8</v>
      </c>
      <c r="BU55" s="12"/>
      <c r="BV55" s="12">
        <v>0.8</v>
      </c>
      <c r="BZ55" s="12"/>
      <c r="CA55" s="12">
        <v>0.8</v>
      </c>
      <c r="CB55" s="12"/>
      <c r="CC55" s="12">
        <v>0.8</v>
      </c>
      <c r="CG55" s="12"/>
      <c r="CH55" s="12">
        <v>0.8</v>
      </c>
      <c r="CI55" s="12"/>
      <c r="CJ55" s="12">
        <v>0.8</v>
      </c>
      <c r="CN55" s="12"/>
      <c r="CO55" s="12">
        <v>0.8</v>
      </c>
      <c r="CP55" s="12"/>
      <c r="CQ55" s="12">
        <v>0.8</v>
      </c>
      <c r="CU55" s="12"/>
      <c r="CV55" s="12">
        <v>1</v>
      </c>
      <c r="CW55" s="12"/>
      <c r="CX55" s="12">
        <v>1</v>
      </c>
      <c r="DB55" s="12"/>
      <c r="DC55" s="12">
        <v>1</v>
      </c>
      <c r="DD55" s="12"/>
      <c r="DE55" s="12">
        <v>1</v>
      </c>
      <c r="DI55" s="12"/>
      <c r="DJ55" s="12"/>
      <c r="DK55" s="12"/>
      <c r="DL55" s="12"/>
      <c r="DP55" s="12"/>
      <c r="DQ55" s="12"/>
      <c r="DR55" s="12"/>
      <c r="DS55" s="12"/>
      <c r="DW55" s="12"/>
      <c r="DX55" s="12"/>
      <c r="DY55" s="12"/>
      <c r="DZ55" s="12"/>
      <c r="ED55" s="12"/>
      <c r="EE55" s="12"/>
      <c r="EF55" s="12"/>
      <c r="EG55" s="12"/>
    </row>
    <row r="56" spans="2:137" outlineLevel="1">
      <c r="B56" t="s">
        <v>28</v>
      </c>
      <c r="C56" t="s">
        <v>91</v>
      </c>
      <c r="E56" s="11"/>
      <c r="F56" t="s">
        <v>131</v>
      </c>
      <c r="G56" s="12">
        <v>0.1</v>
      </c>
      <c r="I56" s="11">
        <f t="shared" si="3"/>
        <v>0</v>
      </c>
      <c r="J56" s="13" cm="1">
        <f t="array" ref="J56">MAX(IF($N$3:$EH$3=$J$3,N56:EH56))</f>
        <v>0</v>
      </c>
      <c r="K56" s="13" cm="1">
        <f t="array" ref="K56">MAX(IF($N$3:$EH$3=$J$3,N56:EH56))</f>
        <v>0</v>
      </c>
      <c r="L56" s="11"/>
      <c r="O56" s="12"/>
      <c r="P56" s="12"/>
      <c r="Q56" s="12"/>
      <c r="R56" s="12"/>
      <c r="V56" s="12"/>
      <c r="W56" s="12"/>
      <c r="X56" s="12"/>
      <c r="Y56" s="12"/>
      <c r="AC56" s="12"/>
      <c r="AD56" s="12">
        <v>0.5</v>
      </c>
      <c r="AE56" s="12"/>
      <c r="AF56" s="12">
        <v>0.5</v>
      </c>
      <c r="AJ56" s="12"/>
      <c r="AK56" s="12">
        <v>0.5</v>
      </c>
      <c r="AL56" s="12"/>
      <c r="AM56" s="12">
        <v>0.5</v>
      </c>
      <c r="AQ56" s="12"/>
      <c r="AR56" s="12">
        <v>0.5</v>
      </c>
      <c r="AS56" s="12"/>
      <c r="AT56" s="12">
        <v>0.5</v>
      </c>
      <c r="AX56" s="12"/>
      <c r="AY56" s="12">
        <v>0.5</v>
      </c>
      <c r="AZ56" s="12"/>
      <c r="BA56" s="12">
        <v>0.5</v>
      </c>
      <c r="BE56" s="12"/>
      <c r="BF56" s="12">
        <v>0.5</v>
      </c>
      <c r="BG56" s="12"/>
      <c r="BH56" s="12">
        <v>0.5</v>
      </c>
      <c r="BL56" s="12"/>
      <c r="BM56" s="12">
        <v>0.8</v>
      </c>
      <c r="BN56" s="12"/>
      <c r="BO56" s="12">
        <v>0.8</v>
      </c>
      <c r="BS56" s="12"/>
      <c r="BT56" s="12">
        <v>0.8</v>
      </c>
      <c r="BU56" s="12"/>
      <c r="BV56" s="12">
        <v>0.8</v>
      </c>
      <c r="BZ56" s="12"/>
      <c r="CA56" s="12">
        <v>0.8</v>
      </c>
      <c r="CB56" s="12"/>
      <c r="CC56" s="12">
        <v>0.8</v>
      </c>
      <c r="CG56" s="12"/>
      <c r="CH56" s="12">
        <v>0.8</v>
      </c>
      <c r="CI56" s="12"/>
      <c r="CJ56" s="12">
        <v>0.8</v>
      </c>
      <c r="CN56" s="12"/>
      <c r="CO56" s="12">
        <v>0.8</v>
      </c>
      <c r="CP56" s="12"/>
      <c r="CQ56" s="12">
        <v>0.8</v>
      </c>
      <c r="CU56" s="12"/>
      <c r="CV56" s="12">
        <v>0.8</v>
      </c>
      <c r="CW56" s="12"/>
      <c r="CX56" s="12">
        <v>0.8</v>
      </c>
      <c r="DB56" s="12"/>
      <c r="DC56" s="12">
        <v>1</v>
      </c>
      <c r="DD56" s="12"/>
      <c r="DE56" s="12">
        <v>1</v>
      </c>
      <c r="DI56" s="12"/>
      <c r="DJ56" s="12"/>
      <c r="DK56" s="12"/>
      <c r="DL56" s="12"/>
      <c r="DP56" s="12"/>
      <c r="DQ56" s="12"/>
      <c r="DR56" s="12"/>
      <c r="DS56" s="12"/>
      <c r="DW56" s="12"/>
      <c r="DX56" s="12"/>
      <c r="DY56" s="12"/>
      <c r="DZ56" s="12"/>
      <c r="ED56" s="12"/>
      <c r="EE56" s="12"/>
      <c r="EF56" s="12"/>
      <c r="EG56" s="12"/>
    </row>
    <row r="57" spans="2:137" outlineLevel="1">
      <c r="B57" t="s">
        <v>28</v>
      </c>
      <c r="C57" t="s">
        <v>91</v>
      </c>
      <c r="E57" s="11"/>
      <c r="F57" t="s">
        <v>132</v>
      </c>
      <c r="G57" s="12">
        <v>0.1</v>
      </c>
      <c r="I57" s="11">
        <f t="shared" si="3"/>
        <v>0</v>
      </c>
      <c r="J57" s="13" cm="1">
        <f t="array" ref="J57">MAX(IF($N$3:$EH$3=$J$3,N57:EH57))</f>
        <v>0</v>
      </c>
      <c r="K57" s="13" cm="1">
        <f t="array" ref="K57">MAX(IF($N$3:$EH$3=$J$3,N57:EH57))</f>
        <v>0</v>
      </c>
      <c r="L57" s="11"/>
      <c r="O57" s="12"/>
      <c r="P57" s="12"/>
      <c r="Q57" s="12"/>
      <c r="R57" s="12"/>
      <c r="V57" s="12"/>
      <c r="W57" s="12"/>
      <c r="X57" s="12"/>
      <c r="Y57" s="12"/>
      <c r="AC57" s="12"/>
      <c r="AD57" s="12"/>
      <c r="AE57" s="12"/>
      <c r="AF57" s="12"/>
      <c r="AJ57" s="12"/>
      <c r="AK57" s="12"/>
      <c r="AL57" s="12"/>
      <c r="AM57" s="12"/>
      <c r="AQ57" s="12"/>
      <c r="AR57" s="12">
        <v>0.5</v>
      </c>
      <c r="AS57" s="12"/>
      <c r="AT57" s="12">
        <v>0.5</v>
      </c>
      <c r="AX57" s="12"/>
      <c r="AY57" s="12">
        <v>0.5</v>
      </c>
      <c r="AZ57" s="12"/>
      <c r="BA57" s="12">
        <v>0.5</v>
      </c>
      <c r="BE57" s="12"/>
      <c r="BF57" s="12">
        <v>0.5</v>
      </c>
      <c r="BG57" s="12"/>
      <c r="BH57" s="12">
        <v>0.5</v>
      </c>
      <c r="BL57" s="12"/>
      <c r="BM57" s="12">
        <v>0.5</v>
      </c>
      <c r="BN57" s="12"/>
      <c r="BO57" s="12">
        <v>0.5</v>
      </c>
      <c r="BS57" s="12"/>
      <c r="BT57" s="12">
        <v>0.5</v>
      </c>
      <c r="BU57" s="12"/>
      <c r="BV57" s="12">
        <v>0.5</v>
      </c>
      <c r="BZ57" s="12"/>
      <c r="CA57" s="12">
        <v>0.8</v>
      </c>
      <c r="CB57" s="12"/>
      <c r="CC57" s="12">
        <v>0.8</v>
      </c>
      <c r="CG57" s="12"/>
      <c r="CH57" s="12">
        <v>0.8</v>
      </c>
      <c r="CI57" s="12"/>
      <c r="CJ57" s="12">
        <v>0.8</v>
      </c>
      <c r="CN57" s="12"/>
      <c r="CO57" s="12">
        <v>0.8</v>
      </c>
      <c r="CP57" s="12"/>
      <c r="CQ57" s="12">
        <v>0.8</v>
      </c>
      <c r="CU57" s="12"/>
      <c r="CV57" s="12">
        <v>0.8</v>
      </c>
      <c r="CW57" s="12"/>
      <c r="CX57" s="12">
        <v>0.8</v>
      </c>
      <c r="DB57" s="12"/>
      <c r="DC57" s="12">
        <v>1</v>
      </c>
      <c r="DD57" s="12"/>
      <c r="DE57" s="12">
        <v>1</v>
      </c>
      <c r="DI57" s="12"/>
      <c r="DJ57" s="12"/>
      <c r="DK57" s="12"/>
      <c r="DL57" s="12"/>
      <c r="DP57" s="12"/>
      <c r="DQ57" s="12"/>
      <c r="DR57" s="12"/>
      <c r="DS57" s="12"/>
      <c r="DW57" s="12"/>
      <c r="DX57" s="12"/>
      <c r="DY57" s="12"/>
      <c r="DZ57" s="12"/>
      <c r="ED57" s="12"/>
      <c r="EE57" s="12"/>
      <c r="EF57" s="12"/>
      <c r="EG57" s="12"/>
    </row>
    <row r="58" spans="2:137">
      <c r="AK58" s="12"/>
    </row>
    <row r="59" spans="2:137">
      <c r="AK59" s="12"/>
    </row>
    <row r="60" spans="2:137">
      <c r="AK60" s="12"/>
    </row>
    <row r="61" spans="2:137">
      <c r="AK61" s="12"/>
    </row>
    <row r="62" spans="2:137">
      <c r="AK62" s="12"/>
    </row>
  </sheetData>
  <mergeCells count="19">
    <mergeCell ref="BY2:CD2"/>
    <mergeCell ref="CF2:CK2"/>
    <mergeCell ref="CM2:CR2"/>
    <mergeCell ref="DH2:DM2"/>
    <mergeCell ref="DO2:DT2"/>
    <mergeCell ref="DV2:EA2"/>
    <mergeCell ref="EC2:EH2"/>
    <mergeCell ref="I2:L2"/>
    <mergeCell ref="N2:S2"/>
    <mergeCell ref="BD2:BI2"/>
    <mergeCell ref="U2:Z2"/>
    <mergeCell ref="AB2:AG2"/>
    <mergeCell ref="AI2:AN2"/>
    <mergeCell ref="AP2:AU2"/>
    <mergeCell ref="AW2:BB2"/>
    <mergeCell ref="CT2:CY2"/>
    <mergeCell ref="DA2:DF2"/>
    <mergeCell ref="BK2:BP2"/>
    <mergeCell ref="BR2:BW2"/>
  </mergeCells>
  <phoneticPr fontId="5" type="noConversion"/>
  <conditionalFormatting sqref="J20">
    <cfRule type="colorScale" priority="198">
      <colorScale>
        <cfvo type="percent" val="0"/>
        <cfvo type="percent" val="100"/>
        <color rgb="FFFF231B"/>
        <color rgb="FF10FF07"/>
      </colorScale>
    </cfRule>
  </conditionalFormatting>
  <conditionalFormatting sqref="J21">
    <cfRule type="colorScale" priority="179">
      <colorScale>
        <cfvo type="percent" val="0"/>
        <cfvo type="percent" val="100"/>
        <color rgb="FFFF231B"/>
        <color rgb="FF10FF07"/>
      </colorScale>
    </cfRule>
  </conditionalFormatting>
  <conditionalFormatting sqref="J22:J26 J19">
    <cfRule type="colorScale" priority="432">
      <colorScale>
        <cfvo type="percent" val="0"/>
        <cfvo type="percent" val="100"/>
        <color rgb="FFFF231B"/>
        <color rgb="FF10FF07"/>
      </colorScale>
    </cfRule>
  </conditionalFormatting>
  <conditionalFormatting sqref="J38:J49">
    <cfRule type="colorScale" priority="743">
      <colorScale>
        <cfvo type="percent" val="0"/>
        <cfvo type="percent" val="100"/>
        <color rgb="FFFF231B"/>
        <color rgb="FF10FF07"/>
      </colorScale>
    </cfRule>
  </conditionalFormatting>
  <conditionalFormatting sqref="J20:K20">
    <cfRule type="colorScale" priority="199">
      <colorScale>
        <cfvo type="percent" val="0"/>
        <cfvo type="percent" val="100"/>
        <color rgb="FFFF231B"/>
        <color rgb="FF10FF07"/>
      </colorScale>
    </cfRule>
  </conditionalFormatting>
  <conditionalFormatting sqref="J21:K21">
    <cfRule type="colorScale" priority="180">
      <colorScale>
        <cfvo type="percent" val="0"/>
        <cfvo type="percent" val="100"/>
        <color rgb="FFFF231B"/>
        <color rgb="FF10FF07"/>
      </colorScale>
    </cfRule>
  </conditionalFormatting>
  <conditionalFormatting sqref="J22:K26">
    <cfRule type="colorScale" priority="433">
      <colorScale>
        <cfvo type="percent" val="0"/>
        <cfvo type="percent" val="100"/>
        <color rgb="FFFF231B"/>
        <color rgb="FF10FF07"/>
      </colorScale>
    </cfRule>
  </conditionalFormatting>
  <conditionalFormatting sqref="J44:K49">
    <cfRule type="colorScale" priority="741">
      <colorScale>
        <cfvo type="percent" val="0"/>
        <cfvo type="percent" val="100"/>
        <color rgb="FFFF231B"/>
        <color rgb="FF10FF07"/>
      </colorScale>
    </cfRule>
  </conditionalFormatting>
  <conditionalFormatting sqref="K20">
    <cfRule type="colorScale" priority="197">
      <colorScale>
        <cfvo type="percent" val="0"/>
        <cfvo type="percent" val="100"/>
        <color rgb="FFFF231B"/>
        <color rgb="FF10FF07"/>
      </colorScale>
    </cfRule>
  </conditionalFormatting>
  <conditionalFormatting sqref="K21">
    <cfRule type="colorScale" priority="178">
      <colorScale>
        <cfvo type="percent" val="0"/>
        <cfvo type="percent" val="100"/>
        <color rgb="FFFF231B"/>
        <color rgb="FF10FF07"/>
      </colorScale>
    </cfRule>
  </conditionalFormatting>
  <conditionalFormatting sqref="K22:K26 K19">
    <cfRule type="colorScale" priority="431">
      <colorScale>
        <cfvo type="percent" val="0"/>
        <cfvo type="percent" val="100"/>
        <color rgb="FFFF231B"/>
        <color rgb="FF10FF07"/>
      </colorScale>
    </cfRule>
  </conditionalFormatting>
  <conditionalFormatting sqref="K38:K49">
    <cfRule type="colorScale" priority="745">
      <colorScale>
        <cfvo type="percent" val="0"/>
        <cfvo type="percent" val="100"/>
        <color rgb="FFFF231B"/>
        <color rgb="FF10FF07"/>
      </colorScale>
    </cfRule>
  </conditionalFormatting>
  <conditionalFormatting sqref="O5:O16 Q5:Q16 V5:V16 X5:X16 AC5:AC16 AE5:AE16 AJ5:AJ16 AL5:AL16 AQ5:AQ16 AS5:AS16 AX5:AX16 AZ5:AZ16 BE5:BE16 BG5:BG16 BL5:BL16 BN5:BN16 BS5:BS16 BU5:BU16 BZ5:BZ16 CB5:CB16 CG5:CG16 CI5:CI16 CN5:CN16 CP5:CP16 CU5:CU16 O29:O35 Q29:Q35 V29:V35 X29:X35 AC29:AC35 AE29:AE35 AJ29:AJ35 AL29:AL35 AQ29:AQ35 AS29:AS35 AX29:AX35 AZ29:AZ35 BE29:BE35 BG29:BG35 BL29:BL35 BN29:BN35 BS29:BS35 BU29:BU35 BZ29:BZ35 CB29:CB35 CG29:CG35 CI29:CI35 CN29:CN35 CP29:CP35 CU29:CU35 CW29:CW35 O52:O57 Q52:Q57 V52:V57 X52:X57 AC52:AC57 AE52:AE57 AJ52:AJ57 AL52:AL57 AQ52:AQ57 AS52:AS57 AX52:AX57 AZ52:AZ57 BE52:BE57 BG52:BG57 BL52:BL57 BN52:BN57 BS52:BS57 BU52:BU57 BZ52:BZ57 CB52:CB57 CG52:CG57 CI52:CI57 CN52:CN57 CP52:CP57 CU52:CU57 CW52:CW57 DB5:DB16 DD5:DD16 DB29:DB35 DD29:DD35 DB52:DB57 DD52:DD57 CW5:CW16">
    <cfRule type="expression" dxfId="129" priority="618">
      <formula>OR(IF(O5&lt;P5,TRUE),IF(AND(P5="",O5&lt;&gt;""),TRUE))</formula>
    </cfRule>
    <cfRule type="expression" dxfId="128" priority="619">
      <formula>IF(O5&gt;=P5,IF(O5="",FALSE,TRUE))</formula>
    </cfRule>
  </conditionalFormatting>
  <conditionalFormatting sqref="O19:O26 Q19:Q26">
    <cfRule type="expression" dxfId="127" priority="193">
      <formula>OR(IF(O19&lt;P19,TRUE),IF(AND(P19="",O19&lt;&gt;""),TRUE))</formula>
    </cfRule>
    <cfRule type="expression" dxfId="126" priority="194">
      <formula>IF(O19&gt;=P19,IF(O19="",FALSE,TRUE))</formula>
    </cfRule>
  </conditionalFormatting>
  <conditionalFormatting sqref="O38:O49">
    <cfRule type="expression" dxfId="125" priority="346">
      <formula>OR(IF(O38&lt;P38,TRUE),IF(AND(P38="",O38&lt;&gt;""),TRUE))</formula>
    </cfRule>
    <cfRule type="expression" dxfId="124" priority="347">
      <formula>IF(O38&gt;=P38,IF(O38="",FALSE,TRUE))</formula>
    </cfRule>
  </conditionalFormatting>
  <conditionalFormatting sqref="Q38:Q49">
    <cfRule type="expression" dxfId="123" priority="344">
      <formula>OR(IF(Q38&lt;R38,TRUE),IF(AND(R38="",Q38&lt;&gt;""),TRUE))</formula>
    </cfRule>
    <cfRule type="expression" dxfId="122" priority="345">
      <formula>IF(Q38&gt;=R38,IF(Q38="",FALSE,TRUE))</formula>
    </cfRule>
  </conditionalFormatting>
  <conditionalFormatting sqref="V19:V26 X19:X26">
    <cfRule type="expression" dxfId="121" priority="191">
      <formula>OR(IF(V19&lt;W19,TRUE),IF(AND(W19="",V19&lt;&gt;""),TRUE))</formula>
    </cfRule>
    <cfRule type="expression" dxfId="120" priority="192">
      <formula>IF(V19&gt;=W19,IF(V19="",FALSE,TRUE))</formula>
    </cfRule>
  </conditionalFormatting>
  <conditionalFormatting sqref="V38:V49">
    <cfRule type="expression" dxfId="119" priority="338">
      <formula>OR(IF(V38&lt;W38,TRUE),IF(AND(W38="",V38&lt;&gt;""),TRUE))</formula>
    </cfRule>
    <cfRule type="expression" dxfId="118" priority="339">
      <formula>IF(V38&gt;=W38,IF(V38="",FALSE,TRUE))</formula>
    </cfRule>
  </conditionalFormatting>
  <conditionalFormatting sqref="X38:X49">
    <cfRule type="expression" dxfId="117" priority="336">
      <formula>OR(IF(X38&lt;Y38,TRUE),IF(AND(Y38="",X38&lt;&gt;""),TRUE))</formula>
    </cfRule>
    <cfRule type="expression" dxfId="116" priority="337">
      <formula>IF(X38&gt;=Y38,IF(X38="",FALSE,TRUE))</formula>
    </cfRule>
  </conditionalFormatting>
  <conditionalFormatting sqref="AC19:AC26 AE19:AE26">
    <cfRule type="expression" dxfId="115" priority="189">
      <formula>OR(IF(AC19&lt;AD19,TRUE),IF(AND(AD19="",AC19&lt;&gt;""),TRUE))</formula>
    </cfRule>
    <cfRule type="expression" dxfId="114" priority="190">
      <formula>IF(AC19&gt;=AD19,IF(AC19="",FALSE,TRUE))</formula>
    </cfRule>
  </conditionalFormatting>
  <conditionalFormatting sqref="AC38:AC49">
    <cfRule type="expression" dxfId="113" priority="330">
      <formula>OR(IF(AC38&lt;AD38,TRUE),IF(AND(AD38="",AC38&lt;&gt;""),TRUE))</formula>
    </cfRule>
    <cfRule type="expression" dxfId="112" priority="331">
      <formula>IF(AC38&gt;=AD38,IF(AC38="",FALSE,TRUE))</formula>
    </cfRule>
  </conditionalFormatting>
  <conditionalFormatting sqref="AE38:AE49">
    <cfRule type="expression" dxfId="111" priority="328">
      <formula>OR(IF(AE38&lt;AF38,TRUE),IF(AND(AF38="",AE38&lt;&gt;""),TRUE))</formula>
    </cfRule>
    <cfRule type="expression" dxfId="110" priority="329">
      <formula>IF(AE38&gt;=AF38,IF(AE38="",FALSE,TRUE))</formula>
    </cfRule>
  </conditionalFormatting>
  <conditionalFormatting sqref="AJ19:AJ26 AL19:AL26">
    <cfRule type="expression" dxfId="109" priority="187">
      <formula>OR(IF(AJ19&lt;AK19,TRUE),IF(AND(AK19="",AJ19&lt;&gt;""),TRUE))</formula>
    </cfRule>
    <cfRule type="expression" dxfId="108" priority="188">
      <formula>IF(AJ19&gt;=AK19,IF(AJ19="",FALSE,TRUE))</formula>
    </cfRule>
  </conditionalFormatting>
  <conditionalFormatting sqref="AJ38:AJ49">
    <cfRule type="expression" dxfId="107" priority="322">
      <formula>OR(IF(AJ38&lt;AK38,TRUE),IF(AND(AK38="",AJ38&lt;&gt;""),TRUE))</formula>
    </cfRule>
    <cfRule type="expression" dxfId="106" priority="323">
      <formula>IF(AJ38&gt;=AK38,IF(AJ38="",FALSE,TRUE))</formula>
    </cfRule>
  </conditionalFormatting>
  <conditionalFormatting sqref="AL38:AL49">
    <cfRule type="expression" dxfId="105" priority="320">
      <formula>OR(IF(AL38&lt;AM38,TRUE),IF(AND(AM38="",AL38&lt;&gt;""),TRUE))</formula>
    </cfRule>
    <cfRule type="expression" dxfId="104" priority="321">
      <formula>IF(AL38&gt;=AM38,IF(AL38="",FALSE,TRUE))</formula>
    </cfRule>
  </conditionalFormatting>
  <conditionalFormatting sqref="AQ19:AQ26 AS19:AS26">
    <cfRule type="expression" dxfId="103" priority="185">
      <formula>OR(IF(AQ19&lt;AR19,TRUE),IF(AND(AR19="",AQ19&lt;&gt;""),TRUE))</formula>
    </cfRule>
    <cfRule type="expression" dxfId="102" priority="186">
      <formula>IF(AQ19&gt;=AR19,IF(AQ19="",FALSE,TRUE))</formula>
    </cfRule>
  </conditionalFormatting>
  <conditionalFormatting sqref="AQ38:AQ49">
    <cfRule type="expression" dxfId="101" priority="314">
      <formula>OR(IF(AQ38&lt;AR38,TRUE),IF(AND(AR38="",AQ38&lt;&gt;""),TRUE))</formula>
    </cfRule>
    <cfRule type="expression" dxfId="100" priority="315">
      <formula>IF(AQ38&gt;=AR38,IF(AQ38="",FALSE,TRUE))</formula>
    </cfRule>
  </conditionalFormatting>
  <conditionalFormatting sqref="AS38:AS49">
    <cfRule type="expression" dxfId="99" priority="312">
      <formula>OR(IF(AS38&lt;AT38,TRUE),IF(AND(AT38="",AS38&lt;&gt;""),TRUE))</formula>
    </cfRule>
    <cfRule type="expression" dxfId="98" priority="313">
      <formula>IF(AS38&gt;=AT38,IF(AS38="",FALSE,TRUE))</formula>
    </cfRule>
  </conditionalFormatting>
  <conditionalFormatting sqref="AX19:AX26 AZ19:AZ26">
    <cfRule type="expression" dxfId="97" priority="183">
      <formula>OR(IF(AX19&lt;AY19,TRUE),IF(AND(AY19="",AX19&lt;&gt;""),TRUE))</formula>
    </cfRule>
    <cfRule type="expression" dxfId="96" priority="184">
      <formula>IF(AX19&gt;=AY19,IF(AX19="",FALSE,TRUE))</formula>
    </cfRule>
  </conditionalFormatting>
  <conditionalFormatting sqref="AX38:AX49">
    <cfRule type="expression" dxfId="95" priority="306">
      <formula>OR(IF(AX38&lt;AY38,TRUE),IF(AND(AY38="",AX38&lt;&gt;""),TRUE))</formula>
    </cfRule>
    <cfRule type="expression" dxfId="94" priority="307">
      <formula>IF(AX38&gt;=AY38,IF(AX38="",FALSE,TRUE))</formula>
    </cfRule>
  </conditionalFormatting>
  <conditionalFormatting sqref="AZ38:AZ49">
    <cfRule type="expression" dxfId="93" priority="304">
      <formula>OR(IF(AZ38&lt;BA38,TRUE),IF(AND(BA38="",AZ38&lt;&gt;""),TRUE))</formula>
    </cfRule>
    <cfRule type="expression" dxfId="92" priority="305">
      <formula>IF(AZ38&gt;=BA38,IF(AZ38="",FALSE,TRUE))</formula>
    </cfRule>
  </conditionalFormatting>
  <conditionalFormatting sqref="BE19:BE26 BG19:BG26">
    <cfRule type="expression" dxfId="91" priority="181">
      <formula>OR(IF(BE19&lt;BF19,TRUE),IF(AND(BF19="",BE19&lt;&gt;""),TRUE))</formula>
    </cfRule>
    <cfRule type="expression" dxfId="90" priority="182">
      <formula>IF(BE19&gt;=BF19,IF(BE19="",FALSE,TRUE))</formula>
    </cfRule>
  </conditionalFormatting>
  <conditionalFormatting sqref="BE38:BE49">
    <cfRule type="expression" dxfId="89" priority="298">
      <formula>OR(IF(BE38&lt;BF38,TRUE),IF(AND(BF38="",BE38&lt;&gt;""),TRUE))</formula>
    </cfRule>
    <cfRule type="expression" dxfId="88" priority="299">
      <formula>IF(BE38&gt;=BF38,IF(BE38="",FALSE,TRUE))</formula>
    </cfRule>
  </conditionalFormatting>
  <conditionalFormatting sqref="BG38:BG49">
    <cfRule type="expression" dxfId="87" priority="296">
      <formula>OR(IF(BG38&lt;BH38,TRUE),IF(AND(BH38="",BG38&lt;&gt;""),TRUE))</formula>
    </cfRule>
    <cfRule type="expression" dxfId="86" priority="297">
      <formula>IF(BG38&gt;=BH38,IF(BG38="",FALSE,TRUE))</formula>
    </cfRule>
  </conditionalFormatting>
  <conditionalFormatting sqref="BL19:BL26 BN19:BN26">
    <cfRule type="expression" dxfId="85" priority="176">
      <formula>OR(IF(BL19&lt;BM19,TRUE),IF(AND(BM19="",BL19&lt;&gt;""),TRUE))</formula>
    </cfRule>
    <cfRule type="expression" dxfId="84" priority="177">
      <formula>IF(BL19&gt;=BM19,IF(BL19="",FALSE,TRUE))</formula>
    </cfRule>
  </conditionalFormatting>
  <conditionalFormatting sqref="BL38:BL49">
    <cfRule type="expression" dxfId="83" priority="287">
      <formula>OR(IF(BL38&lt;BM38,TRUE),IF(AND(BM38="",BL38&lt;&gt;""),TRUE))</formula>
    </cfRule>
    <cfRule type="expression" dxfId="82" priority="288">
      <formula>IF(BL38&gt;=BM38,IF(BL38="",FALSE,TRUE))</formula>
    </cfRule>
  </conditionalFormatting>
  <conditionalFormatting sqref="BN38:BN49">
    <cfRule type="expression" dxfId="81" priority="285">
      <formula>OR(IF(BN38&lt;BO38,TRUE),IF(AND(BO38="",BN38&lt;&gt;""),TRUE))</formula>
    </cfRule>
    <cfRule type="expression" dxfId="80" priority="286">
      <formula>IF(BN38&gt;=BO38,IF(BN38="",FALSE,TRUE))</formula>
    </cfRule>
  </conditionalFormatting>
  <conditionalFormatting sqref="BS19:BS26 BU19:BU26">
    <cfRule type="expression" dxfId="79" priority="156">
      <formula>OR(IF(BS19&lt;BT19,TRUE),IF(AND(BT19="",BS19&lt;&gt;""),TRUE))</formula>
    </cfRule>
    <cfRule type="expression" dxfId="78" priority="157">
      <formula>IF(BS19&gt;=BT19,IF(BS19="",FALSE,TRUE))</formula>
    </cfRule>
  </conditionalFormatting>
  <conditionalFormatting sqref="BS38:BS49">
    <cfRule type="expression" dxfId="77" priority="162">
      <formula>OR(IF(BS38&lt;BT38,TRUE),IF(AND(BT38="",BS38&lt;&gt;""),TRUE))</formula>
    </cfRule>
    <cfRule type="expression" dxfId="76" priority="163">
      <formula>IF(BS38&gt;=BT38,IF(BS38="",FALSE,TRUE))</formula>
    </cfRule>
  </conditionalFormatting>
  <conditionalFormatting sqref="BU38:BU49">
    <cfRule type="expression" dxfId="75" priority="160">
      <formula>OR(IF(BU38&lt;BV38,TRUE),IF(AND(BV38="",BU38&lt;&gt;""),TRUE))</formula>
    </cfRule>
    <cfRule type="expression" dxfId="74" priority="161">
      <formula>IF(BU38&gt;=BV38,IF(BU38="",FALSE,TRUE))</formula>
    </cfRule>
  </conditionalFormatting>
  <conditionalFormatting sqref="BZ19:BZ26 CB19:CB26">
    <cfRule type="expression" dxfId="73" priority="136">
      <formula>OR(IF(BZ19&lt;CA19,TRUE),IF(AND(CA19="",BZ19&lt;&gt;""),TRUE))</formula>
    </cfRule>
    <cfRule type="expression" dxfId="72" priority="137">
      <formula>IF(BZ19&gt;=CA19,IF(BZ19="",FALSE,TRUE))</formula>
    </cfRule>
  </conditionalFormatting>
  <conditionalFormatting sqref="BZ38:BZ49">
    <cfRule type="expression" dxfId="71" priority="142">
      <formula>OR(IF(BZ38&lt;CA38,TRUE),IF(AND(CA38="",BZ38&lt;&gt;""),TRUE))</formula>
    </cfRule>
    <cfRule type="expression" dxfId="70" priority="143">
      <formula>IF(BZ38&gt;=CA38,IF(BZ38="",FALSE,TRUE))</formula>
    </cfRule>
  </conditionalFormatting>
  <conditionalFormatting sqref="CB38:CB49">
    <cfRule type="expression" dxfId="69" priority="140">
      <formula>OR(IF(CB38&lt;CC38,TRUE),IF(AND(CC38="",CB38&lt;&gt;""),TRUE))</formula>
    </cfRule>
    <cfRule type="expression" dxfId="68" priority="141">
      <formula>IF(CB38&gt;=CC38,IF(CB38="",FALSE,TRUE))</formula>
    </cfRule>
  </conditionalFormatting>
  <conditionalFormatting sqref="CG19:CG26 CI19:CI26">
    <cfRule type="expression" dxfId="67" priority="116">
      <formula>OR(IF(CG19&lt;CH19,TRUE),IF(AND(CH19="",CG19&lt;&gt;""),TRUE))</formula>
    </cfRule>
    <cfRule type="expression" dxfId="66" priority="117">
      <formula>IF(CG19&gt;=CH19,IF(CG19="",FALSE,TRUE))</formula>
    </cfRule>
  </conditionalFormatting>
  <conditionalFormatting sqref="CG38:CG49">
    <cfRule type="expression" dxfId="65" priority="122">
      <formula>OR(IF(CG38&lt;CH38,TRUE),IF(AND(CH38="",CG38&lt;&gt;""),TRUE))</formula>
    </cfRule>
    <cfRule type="expression" dxfId="64" priority="123">
      <formula>IF(CG38&gt;=CH38,IF(CG38="",FALSE,TRUE))</formula>
    </cfRule>
  </conditionalFormatting>
  <conditionalFormatting sqref="CI38:CI49">
    <cfRule type="expression" dxfId="63" priority="120">
      <formula>OR(IF(CI38&lt;CJ38,TRUE),IF(AND(CJ38="",CI38&lt;&gt;""),TRUE))</formula>
    </cfRule>
    <cfRule type="expression" dxfId="62" priority="121">
      <formula>IF(CI38&gt;=CJ38,IF(CI38="",FALSE,TRUE))</formula>
    </cfRule>
  </conditionalFormatting>
  <conditionalFormatting sqref="CN19:CN26 CP19:CP26">
    <cfRule type="expression" dxfId="61" priority="96">
      <formula>OR(IF(CN19&lt;CO19,TRUE),IF(AND(CO19="",CN19&lt;&gt;""),TRUE))</formula>
    </cfRule>
    <cfRule type="expression" dxfId="60" priority="97">
      <formula>IF(CN19&gt;=CO19,IF(CN19="",FALSE,TRUE))</formula>
    </cfRule>
  </conditionalFormatting>
  <conditionalFormatting sqref="CN38:CN49">
    <cfRule type="expression" dxfId="59" priority="102">
      <formula>OR(IF(CN38&lt;CO38,TRUE),IF(AND(CO38="",CN38&lt;&gt;""),TRUE))</formula>
    </cfRule>
    <cfRule type="expression" dxfId="58" priority="103">
      <formula>IF(CN38&gt;=CO38,IF(CN38="",FALSE,TRUE))</formula>
    </cfRule>
  </conditionalFormatting>
  <conditionalFormatting sqref="CP38:CP49">
    <cfRule type="expression" dxfId="57" priority="100">
      <formula>OR(IF(CP38&lt;CQ38,TRUE),IF(AND(CQ38="",CP38&lt;&gt;""),TRUE))</formula>
    </cfRule>
    <cfRule type="expression" dxfId="56" priority="101">
      <formula>IF(CP38&gt;=CQ38,IF(CP38="",FALSE,TRUE))</formula>
    </cfRule>
  </conditionalFormatting>
  <conditionalFormatting sqref="CU19:CU26 CW19:CW26">
    <cfRule type="expression" dxfId="55" priority="76">
      <formula>OR(IF(CU19&lt;CV19,TRUE),IF(AND(CV19="",CU19&lt;&gt;""),TRUE))</formula>
    </cfRule>
    <cfRule type="expression" dxfId="54" priority="77">
      <formula>IF(CU19&gt;=CV19,IF(CU19="",FALSE,TRUE))</formula>
    </cfRule>
  </conditionalFormatting>
  <conditionalFormatting sqref="CU38:CU49">
    <cfRule type="expression" dxfId="53" priority="82">
      <formula>OR(IF(CU38&lt;CV38,TRUE),IF(AND(CV38="",CU38&lt;&gt;""),TRUE))</formula>
    </cfRule>
    <cfRule type="expression" dxfId="52" priority="83">
      <formula>IF(CU38&gt;=CV38,IF(CU38="",FALSE,TRUE))</formula>
    </cfRule>
  </conditionalFormatting>
  <conditionalFormatting sqref="CW38:CW49">
    <cfRule type="expression" dxfId="51" priority="80">
      <formula>OR(IF(CW38&lt;CX38,TRUE),IF(AND(CX38="",CW38&lt;&gt;""),TRUE))</formula>
    </cfRule>
    <cfRule type="expression" dxfId="50" priority="81">
      <formula>IF(CW38&gt;=CX38,IF(CW38="",FALSE,TRUE))</formula>
    </cfRule>
  </conditionalFormatting>
  <conditionalFormatting sqref="J5:J16">
    <cfRule type="colorScale" priority="806">
      <colorScale>
        <cfvo type="percent" val="0"/>
        <cfvo type="percent" val="100"/>
        <color rgb="FFFF231B"/>
        <color rgb="FF10FF07"/>
      </colorScale>
    </cfRule>
  </conditionalFormatting>
  <conditionalFormatting sqref="J6:K16">
    <cfRule type="colorScale" priority="808">
      <colorScale>
        <cfvo type="percent" val="0"/>
        <cfvo type="percent" val="100"/>
        <color rgb="FFFF231B"/>
        <color rgb="FF10FF07"/>
      </colorScale>
    </cfRule>
  </conditionalFormatting>
  <conditionalFormatting sqref="K5:K16">
    <cfRule type="colorScale" priority="809">
      <colorScale>
        <cfvo type="percent" val="0"/>
        <cfvo type="percent" val="100"/>
        <color rgb="FFFF231B"/>
        <color rgb="FF10FF07"/>
      </colorScale>
    </cfRule>
  </conditionalFormatting>
  <conditionalFormatting sqref="J29:J35">
    <cfRule type="colorScale" priority="810">
      <colorScale>
        <cfvo type="percent" val="0"/>
        <cfvo type="percent" val="100"/>
        <color rgb="FFFF231B"/>
        <color rgb="FF10FF07"/>
      </colorScale>
    </cfRule>
  </conditionalFormatting>
  <conditionalFormatting sqref="J30:K35">
    <cfRule type="colorScale" priority="811">
      <colorScale>
        <cfvo type="percent" val="0"/>
        <cfvo type="percent" val="100"/>
        <color rgb="FFFF231B"/>
        <color rgb="FF10FF07"/>
      </colorScale>
    </cfRule>
  </conditionalFormatting>
  <conditionalFormatting sqref="K29:K35">
    <cfRule type="colorScale" priority="812">
      <colorScale>
        <cfvo type="percent" val="0"/>
        <cfvo type="percent" val="100"/>
        <color rgb="FFFF231B"/>
        <color rgb="FF10FF07"/>
      </colorScale>
    </cfRule>
  </conditionalFormatting>
  <conditionalFormatting sqref="J52:J57">
    <cfRule type="colorScale" priority="813">
      <colorScale>
        <cfvo type="percent" val="0"/>
        <cfvo type="percent" val="100"/>
        <color rgb="FFFF231B"/>
        <color rgb="FF10FF07"/>
      </colorScale>
    </cfRule>
  </conditionalFormatting>
  <conditionalFormatting sqref="J53:K57">
    <cfRule type="colorScale" priority="815">
      <colorScale>
        <cfvo type="percent" val="0"/>
        <cfvo type="percent" val="100"/>
        <color rgb="FFFF231B"/>
        <color rgb="FF10FF07"/>
      </colorScale>
    </cfRule>
  </conditionalFormatting>
  <conditionalFormatting sqref="K52:K57">
    <cfRule type="colorScale" priority="817">
      <colorScale>
        <cfvo type="percent" val="0"/>
        <cfvo type="percent" val="100"/>
        <color rgb="FFFF231B"/>
        <color rgb="FF10FF07"/>
      </colorScale>
    </cfRule>
  </conditionalFormatting>
  <conditionalFormatting sqref="J39:K43">
    <cfRule type="colorScale" priority="53">
      <colorScale>
        <cfvo type="percent" val="0"/>
        <cfvo type="percent" val="100"/>
        <color rgb="FFFF231B"/>
        <color rgb="FF10FF07"/>
      </colorScale>
    </cfRule>
  </conditionalFormatting>
  <conditionalFormatting sqref="DB19:DB26 DD19:DD26">
    <cfRule type="expression" dxfId="49" priority="41">
      <formula>OR(IF(DB19&lt;DC19,TRUE),IF(AND(DC19="",DB19&lt;&gt;""),TRUE))</formula>
    </cfRule>
    <cfRule type="expression" dxfId="48" priority="42">
      <formula>IF(DB19&gt;=DC19,IF(DB19="",FALSE,TRUE))</formula>
    </cfRule>
  </conditionalFormatting>
  <conditionalFormatting sqref="DB38:DB49">
    <cfRule type="expression" dxfId="47" priority="45">
      <formula>OR(IF(DB38&lt;DC38,TRUE),IF(AND(DC38="",DB38&lt;&gt;""),TRUE))</formula>
    </cfRule>
    <cfRule type="expression" dxfId="46" priority="46">
      <formula>IF(DB38&gt;=DC38,IF(DB38="",FALSE,TRUE))</formula>
    </cfRule>
  </conditionalFormatting>
  <conditionalFormatting sqref="DD38:DD49">
    <cfRule type="expression" dxfId="45" priority="43">
      <formula>OR(IF(DD38&lt;DE38,TRUE),IF(AND(DE38="",DD38&lt;&gt;""),TRUE))</formula>
    </cfRule>
    <cfRule type="expression" dxfId="44" priority="44">
      <formula>IF(DD38&gt;=DE38,IF(DD38="",FALSE,TRUE))</formula>
    </cfRule>
  </conditionalFormatting>
  <conditionalFormatting sqref="DI5:DI16 DK5:DK16 DI29:DI35 DK29:DK35 DI52:DI57 DK52:DK57">
    <cfRule type="expression" dxfId="43" priority="31">
      <formula>OR(IF(DI5&lt;DJ5,TRUE),IF(AND(DJ5="",DI5&lt;&gt;""),TRUE))</formula>
    </cfRule>
    <cfRule type="expression" dxfId="42" priority="32">
      <formula>IF(DI5&gt;=DJ5,IF(DI5="",FALSE,TRUE))</formula>
    </cfRule>
  </conditionalFormatting>
  <conditionalFormatting sqref="DI19:DI26 DK19:DK26">
    <cfRule type="expression" dxfId="41" priority="25">
      <formula>OR(IF(DI19&lt;DJ19,TRUE),IF(AND(DJ19="",DI19&lt;&gt;""),TRUE))</formula>
    </cfRule>
    <cfRule type="expression" dxfId="40" priority="26">
      <formula>IF(DI19&gt;=DJ19,IF(DI19="",FALSE,TRUE))</formula>
    </cfRule>
  </conditionalFormatting>
  <conditionalFormatting sqref="DI38:DI49">
    <cfRule type="expression" dxfId="39" priority="29">
      <formula>OR(IF(DI38&lt;DJ38,TRUE),IF(AND(DJ38="",DI38&lt;&gt;""),TRUE))</formula>
    </cfRule>
    <cfRule type="expression" dxfId="38" priority="30">
      <formula>IF(DI38&gt;=DJ38,IF(DI38="",FALSE,TRUE))</formula>
    </cfRule>
  </conditionalFormatting>
  <conditionalFormatting sqref="DK38:DK49">
    <cfRule type="expression" dxfId="37" priority="27">
      <formula>OR(IF(DK38&lt;DL38,TRUE),IF(AND(DL38="",DK38&lt;&gt;""),TRUE))</formula>
    </cfRule>
    <cfRule type="expression" dxfId="36" priority="28">
      <formula>IF(DK38&gt;=DL38,IF(DK38="",FALSE,TRUE))</formula>
    </cfRule>
  </conditionalFormatting>
  <conditionalFormatting sqref="DP5:DP16 DR5:DR16 DP29:DP35 DR29:DR35 DP52:DP57 DR52:DR57">
    <cfRule type="expression" dxfId="35" priority="23">
      <formula>OR(IF(DP5&lt;DQ5,TRUE),IF(AND(DQ5="",DP5&lt;&gt;""),TRUE))</formula>
    </cfRule>
    <cfRule type="expression" dxfId="34" priority="24">
      <formula>IF(DP5&gt;=DQ5,IF(DP5="",FALSE,TRUE))</formula>
    </cfRule>
  </conditionalFormatting>
  <conditionalFormatting sqref="DP19:DP26 DR19:DR26">
    <cfRule type="expression" dxfId="33" priority="17">
      <formula>OR(IF(DP19&lt;DQ19,TRUE),IF(AND(DQ19="",DP19&lt;&gt;""),TRUE))</formula>
    </cfRule>
    <cfRule type="expression" dxfId="32" priority="18">
      <formula>IF(DP19&gt;=DQ19,IF(DP19="",FALSE,TRUE))</formula>
    </cfRule>
  </conditionalFormatting>
  <conditionalFormatting sqref="DP38:DP49">
    <cfRule type="expression" dxfId="31" priority="21">
      <formula>OR(IF(DP38&lt;DQ38,TRUE),IF(AND(DQ38="",DP38&lt;&gt;""),TRUE))</formula>
    </cfRule>
    <cfRule type="expression" dxfId="30" priority="22">
      <formula>IF(DP38&gt;=DQ38,IF(DP38="",FALSE,TRUE))</formula>
    </cfRule>
  </conditionalFormatting>
  <conditionalFormatting sqref="DR38:DR49">
    <cfRule type="expression" dxfId="29" priority="19">
      <formula>OR(IF(DR38&lt;DS38,TRUE),IF(AND(DS38="",DR38&lt;&gt;""),TRUE))</formula>
    </cfRule>
    <cfRule type="expression" dxfId="28" priority="20">
      <formula>IF(DR38&gt;=DS38,IF(DR38="",FALSE,TRUE))</formula>
    </cfRule>
  </conditionalFormatting>
  <conditionalFormatting sqref="DW5:DW16 DY5:DY16 DW29:DW35 DY29:DY35 DW52:DW57 DY52:DY57">
    <cfRule type="expression" dxfId="27" priority="15">
      <formula>OR(IF(DW5&lt;DX5,TRUE),IF(AND(DX5="",DW5&lt;&gt;""),TRUE))</formula>
    </cfRule>
    <cfRule type="expression" dxfId="26" priority="16">
      <formula>IF(DW5&gt;=DX5,IF(DW5="",FALSE,TRUE))</formula>
    </cfRule>
  </conditionalFormatting>
  <conditionalFormatting sqref="DW19:DW26 DY19:DY26">
    <cfRule type="expression" dxfId="25" priority="9">
      <formula>OR(IF(DW19&lt;DX19,TRUE),IF(AND(DX19="",DW19&lt;&gt;""),TRUE))</formula>
    </cfRule>
    <cfRule type="expression" dxfId="24" priority="10">
      <formula>IF(DW19&gt;=DX19,IF(DW19="",FALSE,TRUE))</formula>
    </cfRule>
  </conditionalFormatting>
  <conditionalFormatting sqref="DW38:DW49">
    <cfRule type="expression" dxfId="23" priority="13">
      <formula>OR(IF(DW38&lt;DX38,TRUE),IF(AND(DX38="",DW38&lt;&gt;""),TRUE))</formula>
    </cfRule>
    <cfRule type="expression" dxfId="22" priority="14">
      <formula>IF(DW38&gt;=DX38,IF(DW38="",FALSE,TRUE))</formula>
    </cfRule>
  </conditionalFormatting>
  <conditionalFormatting sqref="DY38:DY49">
    <cfRule type="expression" dxfId="21" priority="11">
      <formula>OR(IF(DY38&lt;DZ38,TRUE),IF(AND(DZ38="",DY38&lt;&gt;""),TRUE))</formula>
    </cfRule>
    <cfRule type="expression" dxfId="20" priority="12">
      <formula>IF(DY38&gt;=DZ38,IF(DY38="",FALSE,TRUE))</formula>
    </cfRule>
  </conditionalFormatting>
  <conditionalFormatting sqref="ED5:ED16 EF5:EF16 ED29:ED35 EF29:EF35 ED52:ED57 EF52:EF57">
    <cfRule type="expression" dxfId="19" priority="7">
      <formula>OR(IF(ED5&lt;EE5,TRUE),IF(AND(EE5="",ED5&lt;&gt;""),TRUE))</formula>
    </cfRule>
    <cfRule type="expression" dxfId="18" priority="8">
      <formula>IF(ED5&gt;=EE5,IF(ED5="",FALSE,TRUE))</formula>
    </cfRule>
  </conditionalFormatting>
  <conditionalFormatting sqref="ED19:ED26 EF19:EF26">
    <cfRule type="expression" dxfId="17" priority="1">
      <formula>OR(IF(ED19&lt;EE19,TRUE),IF(AND(EE19="",ED19&lt;&gt;""),TRUE))</formula>
    </cfRule>
    <cfRule type="expression" dxfId="16" priority="2">
      <formula>IF(ED19&gt;=EE19,IF(ED19="",FALSE,TRUE))</formula>
    </cfRule>
  </conditionalFormatting>
  <conditionalFormatting sqref="ED38:ED49">
    <cfRule type="expression" dxfId="15" priority="5">
      <formula>OR(IF(ED38&lt;EE38,TRUE),IF(AND(EE38="",ED38&lt;&gt;""),TRUE))</formula>
    </cfRule>
    <cfRule type="expression" dxfId="14" priority="6">
      <formula>IF(ED38&gt;=EE38,IF(ED38="",FALSE,TRUE))</formula>
    </cfRule>
  </conditionalFormatting>
  <conditionalFormatting sqref="EF38:EF49">
    <cfRule type="expression" dxfId="13" priority="3">
      <formula>OR(IF(EF38&lt;EG38,TRUE),IF(AND(EG38="",EF38&lt;&gt;""),TRUE))</formula>
    </cfRule>
    <cfRule type="expression" dxfId="12" priority="4">
      <formula>IF(EF38&gt;=EG38,IF(EF38="",FALSE,TRUE))</formula>
    </cfRule>
  </conditionalFormatting>
  <dataValidations count="1">
    <dataValidation type="list" allowBlank="1" showInputMessage="1" showErrorMessage="1" sqref="V19:Y26 AJ5:AM16 AJ19:AM26 AQ19:AT26 BE19:BH26 BE5:BH16 BS5:BV16 V5:Y16 V29:Y35 AC19:AF26 AK58:AK62 AQ29:AT35 AX5:BA16 BE29:BH35 BL5:BO16 CG5:CJ16 BS19:BV26 BS29:BV35 CG19:CJ26 CG29:CJ35 CU5:CX16 CN5:CQ16 DB52:DE57 CW29:CX35 BZ29:CC35 AJ29:AM35 BL19:BO26 BZ5:CC16 O5:R16 CN38:CQ49 CU38:CX49 CU52:CX57 CN19:CQ26 CG38:CJ49 BE38:BH49 BZ19:CC26 BS38:BV49 V38:Y49 AC52:AF57 AJ38:AM49 AQ38:AT49 AX19:BA26 O19:R26 BL29:BO35 O29:R35 AX29:BA35 BE52:BH57 AQ52:AT57 AQ5:AT16 AC29:AF35 V52:Y57 BS52:BV57 BZ38:CC49 CG52:CJ57 CN29:CQ35 CN52:CQ57 BL38:BO49 AX38:BA49 BL52:BO57 AX52:BA57 AC38:AF49 AC5:AF16 O52:R57 BZ52:CC57 ED38:EG49 DB5:DE16 DB38:DE49 DB19:DE26 DB29:DE35 DI5:DL16 DI19:DL26 DI52:DL57 DI29:DL35 DI38:DL49 DP5:DS16 DP19:DS26 DP52:DS57 DP29:DS35 DP38:DS49 DW5:DZ16 DW19:DZ26 DW52:DZ57 DW29:DZ35 DW38:DZ49 ED5:EG16 ED19:EG26 ED52:EG57 ED29:EG35 CU19:CX26 CU29:CU35 CV29:CV36 AJ52:AM57 O38:R4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875" defaultRowHeight="15.75"/>
  <cols>
    <col min="2" max="2" width="161" customWidth="1"/>
    <col min="3" max="3" width="10.812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875" defaultRowHeight="15.75"/>
  <cols>
    <col min="1" max="1" width="16.8125" style="11" customWidth="1"/>
    <col min="2" max="2" width="19.1875" style="11" customWidth="1"/>
    <col min="3" max="3" width="18.1875" style="11" customWidth="1"/>
    <col min="4" max="4" width="19.5" style="11" customWidth="1"/>
    <col min="8" max="8" width="15.187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875" defaultRowHeight="15.75"/>
  <sheetData>
    <row r="1" spans="1:8" ht="25.1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875" defaultRowHeight="15.75"/>
  <sheetData>
    <row r="1" spans="1:8" ht="25.1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David Kandler</cp:lastModifiedBy>
  <dcterms:created xsi:type="dcterms:W3CDTF">2020-04-19T13:33:28Z</dcterms:created>
  <dcterms:modified xsi:type="dcterms:W3CDTF">2024-09-17T17:15:51Z</dcterms:modified>
</cp:coreProperties>
</file>