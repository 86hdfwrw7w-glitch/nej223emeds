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166925"/>
  <mc:AlternateContent xmlns:mc="http://schemas.openxmlformats.org/markup-compatibility/2006">
    <mc:Choice Requires="x15">
      <x15ac:absPath xmlns:x15ac="http://schemas.microsoft.com/office/spreadsheetml/2010/11/ac" url="/Users/gabrielkakur/Desktop/"/>
    </mc:Choice>
  </mc:AlternateContent>
  <xr:revisionPtr revIDLastSave="0" documentId="13_ncr:1_{852441A9-C208-6143-B910-F39133D144F1}" xr6:coauthVersionLast="47" xr6:coauthVersionMax="47" xr10:uidLastSave="{00000000-0000-0000-0000-000000000000}"/>
  <bookViews>
    <workbookView xWindow="0" yWindow="460" windowWidth="28800" windowHeight="16840" activeTab="3" xr2:uid="{50F29292-BE80-0C47-A0D2-DD086CB3D310}"/>
  </bookViews>
  <sheets>
    <sheet name="Anleitung" sheetId="2" r:id="rId1"/>
    <sheet name="Semesterplan" sheetId="7" r:id="rId2"/>
    <sheet name="COMMITTMENT" sheetId="9" r:id="rId3"/>
    <sheet name="Wochenplan KW 19" sheetId="3" r:id="rId4"/>
    <sheet name="Wochenplan KW 20" sheetId="8" r:id="rId5"/>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18" i="7" l="1"/>
  <c r="AI18" i="7"/>
  <c r="AB18" i="7"/>
  <c r="U18" i="7"/>
  <c r="BD4" i="7"/>
  <c r="AW4" i="7"/>
  <c r="AP4" i="7"/>
  <c r="AI4" i="7"/>
  <c r="AB4" i="7"/>
  <c r="U4" i="7"/>
  <c r="N4" i="7"/>
  <c r="N18" i="7"/>
  <c r="G4" i="7"/>
  <c r="AP26" i="7"/>
  <c r="AI26" i="7"/>
  <c r="AB26" i="7"/>
  <c r="U26" i="7"/>
  <c r="I38" i="7"/>
  <c r="I37" i="7"/>
  <c r="I36" i="7"/>
  <c r="I35" i="7"/>
  <c r="I34" i="7"/>
  <c r="I33" i="7"/>
  <c r="I32" i="7"/>
  <c r="I31" i="7"/>
  <c r="I30" i="7"/>
  <c r="I29" i="7"/>
  <c r="I28" i="7"/>
  <c r="I27" i="7"/>
  <c r="I24" i="7"/>
  <c r="I23" i="7"/>
  <c r="I22" i="7"/>
  <c r="I21" i="7"/>
  <c r="I20" i="7"/>
  <c r="I19" i="7"/>
  <c r="I16" i="7"/>
  <c r="I6" i="7"/>
  <c r="I7" i="7"/>
  <c r="I8" i="7"/>
  <c r="I9" i="7"/>
  <c r="I10" i="7"/>
  <c r="I11" i="7"/>
  <c r="I12" i="7"/>
  <c r="I13" i="7"/>
  <c r="I14" i="7"/>
  <c r="I15" i="7"/>
  <c r="I5" i="7"/>
  <c r="N26" i="7"/>
  <c r="K38" i="7"/>
  <c r="J38" i="7"/>
  <c r="K37" i="7"/>
  <c r="J37" i="7"/>
  <c r="K36" i="7"/>
  <c r="J36" i="7"/>
  <c r="K35" i="7"/>
  <c r="J35" i="7"/>
  <c r="K34" i="7"/>
  <c r="J34" i="7"/>
  <c r="K33" i="7"/>
  <c r="J33" i="7"/>
  <c r="K32" i="7"/>
  <c r="J32" i="7"/>
  <c r="K31" i="7"/>
  <c r="J31" i="7"/>
  <c r="K30" i="7"/>
  <c r="J30" i="7"/>
  <c r="K29" i="7"/>
  <c r="J29" i="7"/>
  <c r="K28" i="7"/>
  <c r="J28" i="7"/>
  <c r="K27" i="7"/>
  <c r="J27" i="7"/>
  <c r="G26" i="7"/>
  <c r="J5" i="7"/>
  <c r="G18" i="7"/>
  <c r="K24" i="7"/>
  <c r="J24" i="7"/>
  <c r="K23" i="7"/>
  <c r="J23" i="7"/>
  <c r="K22" i="7"/>
  <c r="J22" i="7"/>
  <c r="K21" i="7"/>
  <c r="J21" i="7"/>
  <c r="K20" i="7"/>
  <c r="J20" i="7"/>
  <c r="K19" i="7"/>
  <c r="J19" i="7"/>
  <c r="K6" i="7"/>
  <c r="K7" i="7"/>
  <c r="K8" i="7"/>
  <c r="K9" i="7"/>
  <c r="K10" i="7"/>
  <c r="K11" i="7"/>
  <c r="K12" i="7"/>
  <c r="K13" i="7"/>
  <c r="K14" i="7"/>
  <c r="K15" i="7"/>
  <c r="K16" i="7"/>
  <c r="J6" i="7"/>
  <c r="J7" i="7"/>
  <c r="J8" i="7"/>
  <c r="J9" i="7"/>
  <c r="J10" i="7"/>
  <c r="J11" i="7"/>
  <c r="J12" i="7"/>
  <c r="J13" i="7"/>
  <c r="J14" i="7"/>
  <c r="J15" i="7"/>
  <c r="J16" i="7"/>
  <c r="K5" i="7"/>
  <c r="I26" i="7" l="1"/>
  <c r="J26" i="7"/>
  <c r="K26" i="7"/>
  <c r="I18" i="7"/>
  <c r="J18" i="7"/>
  <c r="K18" i="7"/>
  <c r="K4" i="7"/>
  <c r="I4" i="7" l="1"/>
  <c r="J4" i="7"/>
</calcChain>
</file>

<file path=xl/sharedStrings.xml><?xml version="1.0" encoding="utf-8"?>
<sst xmlns="http://schemas.openxmlformats.org/spreadsheetml/2006/main" count="322" uniqueCount="157">
  <si>
    <t>Semesterplan</t>
  </si>
  <si>
    <t>Fach</t>
  </si>
  <si>
    <t>Marketing</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</si>
  <si>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</si>
  <si>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</si>
  <si>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</si>
  <si>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</si>
  <si>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</si>
  <si>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</si>
  <si>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</si>
  <si>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</si>
  <si>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</si>
  <si>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</si>
  <si>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</si>
  <si>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</si>
  <si>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</si>
  <si>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</si>
  <si>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</si>
  <si>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</si>
  <si>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</si>
  <si>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</si>
  <si>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</si>
  <si>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</si>
  <si>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</si>
  <si>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</si>
  <si>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</si>
  <si>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</si>
  <si>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</si>
  <si>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</si>
  <si>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</si>
  <si>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</si>
  <si>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</si>
  <si>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2) Aktuelle Herausforderungen an das Marketing</t>
  </si>
  <si>
    <t>3) Marktforschung</t>
  </si>
  <si>
    <t>4) Marketingziele &amp; -prognosen</t>
  </si>
  <si>
    <t>5) Strategisches Marketing</t>
  </si>
  <si>
    <t>6) Konsumentenorientieres Marketing</t>
  </si>
  <si>
    <t>7) Produkt</t>
  </si>
  <si>
    <t>8) Marke</t>
  </si>
  <si>
    <t>9) Preis</t>
  </si>
  <si>
    <t>10) Kommunikation</t>
  </si>
  <si>
    <t>11) Distribution &amp; E-Commerce</t>
  </si>
  <si>
    <t>12) Implementierung &amp; Controlling</t>
  </si>
  <si>
    <t>ECTS</t>
  </si>
  <si>
    <t>Anteil an Klausur</t>
  </si>
  <si>
    <t>Ziel</t>
  </si>
  <si>
    <t>(Übersicht-Zelle muss angepasst werden)</t>
  </si>
  <si>
    <t>KW 19</t>
  </si>
  <si>
    <t>KW 20</t>
  </si>
  <si>
    <t>KW 21</t>
  </si>
  <si>
    <t>KW 22</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</si>
  <si>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</si>
  <si>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</si>
  <si>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</si>
  <si>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</si>
  <si>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Finanzen 1</t>
  </si>
  <si>
    <t>2) Der perfekte Markt</t>
  </si>
  <si>
    <t>3) Marktevaulierung</t>
  </si>
  <si>
    <t>4) CAPM</t>
  </si>
  <si>
    <t>5) Firmenbewertung</t>
  </si>
  <si>
    <t>6) DCF</t>
  </si>
  <si>
    <t>Mikroökonomie</t>
  </si>
  <si>
    <t>KW 23</t>
  </si>
  <si>
    <t>KW 24</t>
  </si>
  <si>
    <t>KW 25</t>
  </si>
  <si>
    <t>Lerneinheiten durchgezogen</t>
  </si>
  <si>
    <t>Tagesplan erstellt</t>
  </si>
  <si>
    <t>Konzentrationslevel</t>
  </si>
  <si>
    <t>Datum</t>
  </si>
  <si>
    <t>Kcal</t>
  </si>
  <si>
    <t>Fette</t>
  </si>
  <si>
    <t>Eiweiss</t>
  </si>
  <si>
    <t>Kohlenhydrate</t>
  </si>
  <si>
    <t>Gewicht</t>
  </si>
  <si>
    <t>Sonstiges Gefühl</t>
  </si>
  <si>
    <t>Optimierungen</t>
  </si>
  <si>
    <t>Mathe 2 Vl</t>
  </si>
  <si>
    <t>8 - 9:40</t>
  </si>
  <si>
    <t>GvSuM</t>
  </si>
  <si>
    <t>GvSuM Vl</t>
  </si>
  <si>
    <t>9:50 - 11:30</t>
  </si>
  <si>
    <t>Zfg.erstellen</t>
  </si>
  <si>
    <t>12-12:30</t>
  </si>
  <si>
    <t>E-Technik Vl</t>
  </si>
  <si>
    <t>14 - 15:30</t>
  </si>
  <si>
    <t xml:space="preserve">E-Technik </t>
  </si>
  <si>
    <t>Kontrollfragen</t>
  </si>
  <si>
    <t>Bilanzierung</t>
  </si>
  <si>
    <t>21:15 - 22:15</t>
  </si>
  <si>
    <t>MvW</t>
  </si>
  <si>
    <t>Anki-Lernen</t>
  </si>
  <si>
    <t>22:30-23</t>
  </si>
  <si>
    <t>GvSuM Übung</t>
  </si>
  <si>
    <t>TM2 Vl</t>
  </si>
  <si>
    <t>TM2</t>
  </si>
  <si>
    <t>Skript-Wdh.</t>
  </si>
  <si>
    <t>TM-Klausur</t>
  </si>
  <si>
    <t xml:space="preserve">14 - 15:30 </t>
  </si>
  <si>
    <t>12.30 - 13</t>
  </si>
  <si>
    <t>8 - 9:30</t>
  </si>
  <si>
    <t>9:50 -10:20</t>
  </si>
  <si>
    <t>10:40 -12:10</t>
  </si>
  <si>
    <t>Mathe 2</t>
  </si>
  <si>
    <t>Skript-Wdh.+</t>
  </si>
  <si>
    <t>8 - 8:30</t>
  </si>
  <si>
    <t>Mathe-Klausur</t>
  </si>
  <si>
    <t>8:50 - 10:20</t>
  </si>
  <si>
    <t>MvW Skript</t>
  </si>
  <si>
    <t>10:40 - 12</t>
  </si>
  <si>
    <t>MvW Übung</t>
  </si>
  <si>
    <t>13:30 -15:10</t>
  </si>
  <si>
    <t xml:space="preserve">MvW </t>
  </si>
  <si>
    <t>15:30 - 16:30</t>
  </si>
  <si>
    <t>Erstellung Anki Karten</t>
  </si>
  <si>
    <t>16:40 - 17:10</t>
  </si>
  <si>
    <t xml:space="preserve">GvSuM </t>
  </si>
  <si>
    <t>Gesamt-Zfg. Wdh.</t>
  </si>
  <si>
    <t>Übung Wdh.</t>
  </si>
  <si>
    <t xml:space="preserve">9:50 - 11:20 </t>
  </si>
  <si>
    <t>11:40 - 13:20</t>
  </si>
  <si>
    <t xml:space="preserve">Mathe 2 </t>
  </si>
  <si>
    <t>14 - 14:30</t>
  </si>
  <si>
    <t>HÜ bearbeiten</t>
  </si>
  <si>
    <t>15 - 16 /</t>
  </si>
  <si>
    <t>16:10 - 17:10</t>
  </si>
  <si>
    <t>E-Tech.-Klausur</t>
  </si>
  <si>
    <t>14 -15:30</t>
  </si>
  <si>
    <t xml:space="preserve">TM2 </t>
  </si>
  <si>
    <r>
      <rPr>
        <sz val="11"/>
        <color theme="1"/>
        <rFont val="Calibri (Textkörper)"/>
      </rPr>
      <t>15:50 -16:20</t>
    </r>
    <r>
      <rPr>
        <sz val="12"/>
        <color theme="1"/>
        <rFont val="Calibri"/>
        <family val="2"/>
        <scheme val="minor"/>
      </rPr>
      <t xml:space="preserve"> </t>
    </r>
  </si>
  <si>
    <t>TM Übung</t>
  </si>
  <si>
    <t xml:space="preserve">Übung </t>
  </si>
  <si>
    <t>10 - 11:30</t>
  </si>
  <si>
    <t>Mathe 2 Übung</t>
  </si>
  <si>
    <t>19:30 - 21</t>
  </si>
  <si>
    <t>Kontrolle</t>
  </si>
  <si>
    <t>21:30 - 23</t>
  </si>
  <si>
    <t>21.06. - 27.06.</t>
  </si>
  <si>
    <t>28.06. - 04.07.</t>
  </si>
  <si>
    <t>Wochenplan (+ Bilanzierung 21:15 - 22:15 + MvW Anki-Lernen 22:30 -23 -&gt; Mo-Fr)</t>
  </si>
  <si>
    <t>05.07. - 11.07.</t>
  </si>
  <si>
    <t>"</t>
  </si>
  <si>
    <t xml:space="preserve">12.07. - 18.07. </t>
  </si>
  <si>
    <t>16.07. -&gt; Ende der Lehrveranstaltungen/Wochenplan| ab 17.07. zusätzl. 3h Bilanzierung/ Woche + 1h MvW/ Tag</t>
  </si>
  <si>
    <t>17.07. - 25.07.</t>
  </si>
  <si>
    <t>26.07. - 02.08.</t>
  </si>
  <si>
    <t>03.08. - 15.08.</t>
  </si>
  <si>
    <t>16.8. - 23.08.</t>
  </si>
  <si>
    <t>24.08. - 26.08.</t>
  </si>
  <si>
    <t>30.08. - 03.10.</t>
  </si>
  <si>
    <t>Lernplan (21.06. -  04.10.)</t>
  </si>
  <si>
    <r>
      <t xml:space="preserve">TM2 LERNEN -&gt; </t>
    </r>
    <r>
      <rPr>
        <sz val="12"/>
        <color rgb="FFFF231B"/>
        <rFont val="Calibri (Textkörper)"/>
      </rPr>
      <t>Klausur am 26.07.</t>
    </r>
    <r>
      <rPr>
        <sz val="12"/>
        <color theme="1"/>
        <rFont val="Calibri"/>
        <family val="2"/>
        <scheme val="minor"/>
      </rPr>
      <t xml:space="preserve"> + insg. verteilt 4 E-Tech. Klausuren</t>
    </r>
  </si>
  <si>
    <r>
      <t xml:space="preserve">E-Tech. LERNEN -&gt; </t>
    </r>
    <r>
      <rPr>
        <sz val="12"/>
        <color rgb="FFFF231B"/>
        <rFont val="Calibri (Textkörper)"/>
      </rPr>
      <t>Klausur am 03.08.</t>
    </r>
  </si>
  <si>
    <r>
      <t xml:space="preserve">Mathe 2 LERNEN -&gt; </t>
    </r>
    <r>
      <rPr>
        <sz val="12"/>
        <color rgb="FFFF231B"/>
        <rFont val="Calibri (Textkörper)"/>
      </rPr>
      <t>Klausur am 16.08.</t>
    </r>
    <r>
      <rPr>
        <sz val="12"/>
        <color theme="1"/>
        <rFont val="Calibri"/>
        <family val="2"/>
        <scheme val="minor"/>
      </rPr>
      <t xml:space="preserve"> zusätzl. 0,5h MvW/ Tag</t>
    </r>
  </si>
  <si>
    <r>
      <t xml:space="preserve">MvW LERNEN -&gt; </t>
    </r>
    <r>
      <rPr>
        <sz val="12"/>
        <color rgb="FFFF231B"/>
        <rFont val="Calibri (Textkörper)"/>
      </rPr>
      <t>Klausur am 24.08.</t>
    </r>
    <r>
      <rPr>
        <sz val="12"/>
        <color theme="1"/>
        <rFont val="Calibri"/>
        <family val="2"/>
        <scheme val="minor"/>
      </rPr>
      <t xml:space="preserve"> + 2h Bilanzierung/ Tag </t>
    </r>
  </si>
  <si>
    <r>
      <t xml:space="preserve">Bilanzierung LERNEN -&gt; </t>
    </r>
    <r>
      <rPr>
        <sz val="12"/>
        <color rgb="FFFF231B"/>
        <rFont val="Calibri (Textkörper)"/>
      </rPr>
      <t>Klausur am 27.08.</t>
    </r>
  </si>
  <si>
    <r>
      <t xml:space="preserve">TdF LERNEN -&gt; </t>
    </r>
    <r>
      <rPr>
        <sz val="12"/>
        <color rgb="FFFF231B"/>
        <rFont val="Calibri (Textkörper)"/>
      </rPr>
      <t>Klausur am 04.10.</t>
    </r>
  </si>
  <si>
    <r>
      <t xml:space="preserve">ab 28.06. bis 14.07. zusätzl. 1,5 h/ Tag (Mo - Fr), 3h/ Tag (Sa/So) -&gt; GvSuM Lernen -&gt; </t>
    </r>
    <r>
      <rPr>
        <sz val="11"/>
        <color rgb="FFFF231B"/>
        <rFont val="Calibri (Textkörper)"/>
      </rPr>
      <t>Klausur am 15.07.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</si>
</sst>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1"/>
      <color theme="1"/>
      <name val="Calibri (Textkörper)"/>
    </font>
    <font>
      <sz val="10"/>
      <color theme="1"/>
      <name val="Calibri (Textkörper)"/>
    </font>
    <font>
      <sz val="8"/>
      <color theme="1"/>
      <name val="Calibri (Textkörper)"/>
    </font>
    <font>
      <sz val="9"/>
      <color theme="1"/>
      <name val="Calibri (Textkörper)"/>
    </font>
    <font>
      <sz val="6"/>
      <color theme="1"/>
      <name val="Calibri (Textkörper)"/>
    </font>
    <font>
      <sz val="14"/>
      <color theme="1"/>
      <name val="Calibri (Textkörper)"/>
    </font>
    <font>
      <sz val="11"/>
      <color rgb="FFFF231B"/>
      <name val="Calibri (Textkörper)"/>
    </font>
    <font>
      <sz val="12"/>
      <color rgb="FFFF231B"/>
      <name val="Calibri (Textkörper)"/>
    </font>
  </fonts>
  <fills count="11">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0000"/>
        <bgColor indexed="64"/>
      </patternFill>
    </fill>
    <fill>
      <patternFill patternType="solid">
        <fgColor theme="4"/>
        <bgColor indexed="64"/>
      </patternFill>
    </fill>
    <fill>
      <patternFill patternType="solid">
        <fgColor rgb="FFFF231B"/>
        <bgColor indexed="64"/>
      </patternFill>
    </fill>
    <fill>
      <patternFill patternType="solid">
        <fgColor theme="5"/>
        <bgColor indexed="64"/>
      </patternFill>
    </fill>
    <fill>
      <patternFill patternType="solid">
        <fgColor theme="9"/>
        <bgColor indexed="64"/>
      </patternFill>
    </fill>
    <fill>
      <patternFill patternType="solid">
        <fgColor rgb="FF7030A0"/>
        <bgColor indexed="64"/>
      </patternFill>
    </fill>
    <fill>
      <patternFill patternType="solid">
        <fgColor theme="7"/>
        <bgColor indexed="64"/>
      </patternFill>
    </fill>
  </fills>
  <borders count="1">
    <border>
      <left/>
      <right/>
      <top/>
      <bottom/>
      <diagonal/>
    </border>
  </borders>
  <cellStyleXfs count="1">
    <xf numFmtId="0" fontId="0" fillId="0" borderId="0"/>
  </cellStyleXfs>
  <cellXfs count="50">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5" fillId="0" borderId="0" xfId="0" applyFont="1"/>
    <xf numFmtId="0" fontId="0" fillId="5" borderId="0" xfId="0" applyFill="1"/>
    <xf numFmtId="0" fontId="0" fillId="6" borderId="0" xfId="0" applyFill="1"/>
    <xf numFmtId="0" fontId="6" fillId="6" borderId="0" xfId="0" applyFont="1" applyFill="1"/>
    <xf numFmtId="0" fontId="0" fillId="7" borderId="0" xfId="0" applyFill="1"/>
    <xf numFmtId="0" fontId="6" fillId="7" borderId="0" xfId="0" applyFont="1" applyFill="1"/>
    <xf numFmtId="0" fontId="5" fillId="8" borderId="0" xfId="0" applyFont="1" applyFill="1"/>
    <xf numFmtId="0" fontId="0" fillId="8" borderId="0" xfId="0" applyFill="1"/>
    <xf numFmtId="0" fontId="5" fillId="5" borderId="0" xfId="0" applyFont="1" applyFill="1"/>
    <xf numFmtId="0" fontId="6" fillId="5" borderId="0" xfId="0" applyFont="1" applyFill="1"/>
    <xf numFmtId="0" fontId="5" fillId="9" borderId="0" xfId="0" applyFont="1" applyFill="1"/>
    <xf numFmtId="0" fontId="0" fillId="9" borderId="0" xfId="0" applyFill="1"/>
    <xf numFmtId="0" fontId="9" fillId="9" borderId="0" xfId="0" applyFont="1" applyFill="1"/>
    <xf numFmtId="0" fontId="6" fillId="9" borderId="0" xfId="0" applyFont="1" applyFill="1"/>
    <xf numFmtId="0" fontId="0" fillId="6" borderId="0" xfId="0" applyFont="1" applyFill="1"/>
    <xf numFmtId="0" fontId="7" fillId="6" borderId="0" xfId="0" applyFont="1" applyFill="1"/>
    <xf numFmtId="22" fontId="0" fillId="5" borderId="0" xfId="0" applyNumberFormat="1" applyFill="1"/>
    <xf numFmtId="0" fontId="5" fillId="7" borderId="0" xfId="0" applyFont="1" applyFill="1"/>
    <xf numFmtId="0" fontId="8" fillId="7" borderId="0" xfId="0" applyFont="1" applyFill="1"/>
    <xf numFmtId="0" fontId="8" fillId="5" borderId="0" xfId="0" applyFont="1" applyFill="1"/>
    <xf numFmtId="0" fontId="6" fillId="4" borderId="0" xfId="0" applyFont="1" applyFill="1"/>
    <xf numFmtId="0" fontId="0" fillId="10" borderId="0" xfId="0" applyFill="1"/>
    <xf numFmtId="0" fontId="6" fillId="10" borderId="0" xfId="0" applyFont="1" applyFill="1"/>
    <xf numFmtId="0" fontId="5" fillId="10" borderId="0" xfId="0" applyFont="1" applyFill="1"/>
    <xf numFmtId="0" fontId="1" fillId="2" borderId="0" xfId="0" applyFont="1" applyFill="1" applyAlignment="1">
      <alignment horizontal="center"/>
    </xf>
    <xf numFmtId="0" fontId="0" fillId="0" borderId="0" xfId="0" applyAlignment="1">
      <alignment horizontal="center"/>
    </xf>
    <xf numFmtId="0" fontId="10" fillId="0" borderId="0" xfId="0" applyFont="1" applyAlignment="1">
      <alignment horizontal="center"/>
    </xf>
    <xf numFmtId="0" fontId="5" fillId="0" borderId="0" xfId="0" applyFont="1" applyAlignment="1">
      <alignment horizontal="center"/>
    </xf>
    <xf numFmtId="0" fontId="8" fillId="0" borderId="0" xfId="0" applyFont="1" applyAlignment="1">
      <alignment horizontal="center"/>
    </xf>
    <xf numFmtId="0" fontId="6" fillId="0" borderId="0" xfId="0" applyFont="1" applyAlignment="1">
      <alignment horizontal="center"/>
    </xf>
  </cellXfs>
  <cellStyles count="1">
    <cellStyle name="Standard" xfId="0" builtinId="0"/>
  </cellStyles>
  <dxfs count="129">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FF231B"/>
      <color rgb="FFE0E0E0"/>
      <color rgb="FF00FF29"/>
      <color rgb="FF56FF5E"/>
      <color rgb="FFC4FF87"/>
      <color rgb="FFFFDE7F"/>
      <color rgb="FFFF755A"/>
      <color rgb="FFFDFF05"/>
      <color rgb="FF10FF07"/>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640625" defaultRowHeight="16" x14ac:dyDescent="0.2"/>
  <cols>
    <col min="2" max="2" width="161" customWidth="1"/>
    <col min="3" max="3" width="10.83203125" style="2"/>
  </cols>
  <sheetData>
    <row r="4" spans="2:2" ht="21" x14ac:dyDescent="0.25">
      <c r="B4" s="4" t="s">
        <v>17</v>
      </c>
    </row>
    <row r="6" spans="2:2" x14ac:dyDescent="0.2">
      <c r="B6" s="3" t="s">
        <v>14</v>
      </c>
    </row>
    <row r="7" spans="2:2" ht="51" x14ac:dyDescent="0.2">
      <c r="B7" s="1" t="s">
        <v>15</v>
      </c>
    </row>
    <row r="9" spans="2:2" x14ac:dyDescent="0.2">
      <c r="B9" s="3" t="s">
        <v>16</v>
      </c>
    </row>
    <row r="10" spans="2:2" ht="68" x14ac:dyDescent="0.2">
      <c r="B10" s="1" t="s">
        <v>52</v>
      </c>
    </row>
    <row r="12" spans="2:2" x14ac:dyDescent="0.2">
      <c r="B12" s="3" t="s">
        <v>18</v>
      </c>
    </row>
    <row r="13" spans="2:2" ht="153" x14ac:dyDescent="0.2">
      <c r="B13" s="1" t="s">
        <v>19</v>
      </c>
    </row>
    <row r="15" spans="2:2" x14ac:dyDescent="0.2">
      <c r="B15" s="3" t="s">
        <v>20</v>
      </c>
    </row>
    <row r="16" spans="2:2" ht="119" x14ac:dyDescent="0.2">
      <c r="B16" s="1" t="s">
        <v>21</v>
      </c>
    </row>
    <row r="17" spans="2:2" x14ac:dyDescent="0.2">
      <c r="B17" s="1"/>
    </row>
    <row r="18" spans="2:2" x14ac:dyDescent="0.2">
      <c r="B18" s="3" t="s">
        <v>51</v>
      </c>
    </row>
    <row r="19" spans="2:2" ht="153" x14ac:dyDescent="0.2">
      <c r="B19" s="1" t="s">
        <v>53</v>
      </c>
    </row>
    <row r="21" spans="2:2" x14ac:dyDescent="0.2">
      <c r="B21" s="3" t="s">
        <v>22</v>
      </c>
    </row>
    <row r="22" spans="2:2" ht="136" x14ac:dyDescent="0.2">
      <c r="B22" s="1" t="s">
        <v>54</v>
      </c>
    </row>
    <row r="24" spans="2:2" x14ac:dyDescent="0.2">
      <c r="B24" s="3" t="s">
        <v>23</v>
      </c>
    </row>
    <row r="25" spans="2:2" ht="136" x14ac:dyDescent="0.2">
      <c r="B25" s="1"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BI39"/>
  <sheetViews>
    <sheetView showGridLines="0" zoomScale="124" zoomScaleNormal="83" workbookViewId="0">
      <selection activeCell="D42" sqref="D42"/>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s>
  <sheetData>
    <row r="1" spans="2:61" ht="34" x14ac:dyDescent="0.4">
      <c r="B1" s="5" t="s">
        <v>0</v>
      </c>
      <c r="D1" s="5"/>
      <c r="G1" s="15" t="s">
        <v>46</v>
      </c>
      <c r="I1" s="15" t="s">
        <v>46</v>
      </c>
      <c r="J1" s="15" t="s">
        <v>46</v>
      </c>
      <c r="K1" s="15" t="s">
        <v>46</v>
      </c>
    </row>
    <row r="2" spans="2:61" x14ac:dyDescent="0.2">
      <c r="I2" s="44" t="s">
        <v>28</v>
      </c>
      <c r="J2" s="44"/>
      <c r="K2" s="44"/>
      <c r="L2" s="44"/>
      <c r="N2" s="44" t="s">
        <v>47</v>
      </c>
      <c r="O2" s="44"/>
      <c r="P2" s="44"/>
      <c r="Q2" s="44"/>
      <c r="R2" s="44"/>
      <c r="S2" s="44"/>
      <c r="U2" s="44" t="s">
        <v>48</v>
      </c>
      <c r="V2" s="44"/>
      <c r="W2" s="44"/>
      <c r="X2" s="44"/>
      <c r="Y2" s="44"/>
      <c r="Z2" s="44"/>
      <c r="AB2" s="44" t="s">
        <v>49</v>
      </c>
      <c r="AC2" s="44"/>
      <c r="AD2" s="44"/>
      <c r="AE2" s="44"/>
      <c r="AF2" s="44"/>
      <c r="AG2" s="44"/>
      <c r="AI2" s="44" t="s">
        <v>50</v>
      </c>
      <c r="AJ2" s="44"/>
      <c r="AK2" s="44"/>
      <c r="AL2" s="44"/>
      <c r="AM2" s="44"/>
      <c r="AN2" s="44"/>
      <c r="AP2" s="44" t="s">
        <v>62</v>
      </c>
      <c r="AQ2" s="44"/>
      <c r="AR2" s="44"/>
      <c r="AS2" s="44"/>
      <c r="AT2" s="44"/>
      <c r="AU2" s="44"/>
      <c r="AW2" s="44" t="s">
        <v>63</v>
      </c>
      <c r="AX2" s="44"/>
      <c r="AY2" s="44"/>
      <c r="AZ2" s="44"/>
      <c r="BA2" s="44"/>
      <c r="BB2" s="44"/>
      <c r="BD2" s="44" t="s">
        <v>64</v>
      </c>
      <c r="BE2" s="44"/>
      <c r="BF2" s="44"/>
      <c r="BG2" s="44"/>
      <c r="BH2" s="44"/>
      <c r="BI2" s="44"/>
    </row>
    <row r="3" spans="2:61" x14ac:dyDescent="0.2">
      <c r="B3" s="6" t="s">
        <v>27</v>
      </c>
      <c r="C3" s="6" t="s">
        <v>1</v>
      </c>
      <c r="D3" s="6" t="s">
        <v>25</v>
      </c>
      <c r="E3" s="7" t="s">
        <v>43</v>
      </c>
      <c r="F3" s="6" t="s">
        <v>30</v>
      </c>
      <c r="G3" s="6" t="s">
        <v>44</v>
      </c>
      <c r="I3" s="7" t="s">
        <v>12</v>
      </c>
      <c r="J3" s="7" t="s">
        <v>3</v>
      </c>
      <c r="K3" s="7" t="s">
        <v>4</v>
      </c>
      <c r="L3" s="7" t="s">
        <v>13</v>
      </c>
      <c r="N3" s="6" t="s">
        <v>12</v>
      </c>
      <c r="O3" s="6" t="s">
        <v>3</v>
      </c>
      <c r="P3" s="6" t="s">
        <v>45</v>
      </c>
      <c r="Q3" s="6" t="s">
        <v>4</v>
      </c>
      <c r="R3" s="6" t="s">
        <v>45</v>
      </c>
      <c r="S3" s="6" t="s">
        <v>13</v>
      </c>
      <c r="U3" s="6" t="s">
        <v>12</v>
      </c>
      <c r="V3" s="6" t="s">
        <v>3</v>
      </c>
      <c r="W3" s="6" t="s">
        <v>45</v>
      </c>
      <c r="X3" s="6" t="s">
        <v>4</v>
      </c>
      <c r="Y3" s="6" t="s">
        <v>45</v>
      </c>
      <c r="Z3" s="6" t="s">
        <v>13</v>
      </c>
      <c r="AB3" s="6" t="s">
        <v>12</v>
      </c>
      <c r="AC3" s="6" t="s">
        <v>3</v>
      </c>
      <c r="AD3" s="6" t="s">
        <v>45</v>
      </c>
      <c r="AE3" s="6" t="s">
        <v>4</v>
      </c>
      <c r="AF3" s="6" t="s">
        <v>45</v>
      </c>
      <c r="AG3" s="6" t="s">
        <v>13</v>
      </c>
      <c r="AI3" s="6" t="s">
        <v>12</v>
      </c>
      <c r="AJ3" s="6" t="s">
        <v>3</v>
      </c>
      <c r="AK3" s="6" t="s">
        <v>45</v>
      </c>
      <c r="AL3" s="6" t="s">
        <v>4</v>
      </c>
      <c r="AM3" s="6" t="s">
        <v>45</v>
      </c>
      <c r="AN3" s="6" t="s">
        <v>13</v>
      </c>
      <c r="AP3" s="6" t="s">
        <v>12</v>
      </c>
      <c r="AQ3" s="6" t="s">
        <v>3</v>
      </c>
      <c r="AR3" s="6" t="s">
        <v>45</v>
      </c>
      <c r="AS3" s="6" t="s">
        <v>4</v>
      </c>
      <c r="AT3" s="6" t="s">
        <v>45</v>
      </c>
      <c r="AU3" s="6" t="s">
        <v>13</v>
      </c>
      <c r="AW3" s="6" t="s">
        <v>12</v>
      </c>
      <c r="AX3" s="6" t="s">
        <v>3</v>
      </c>
      <c r="AY3" s="6" t="s">
        <v>45</v>
      </c>
      <c r="AZ3" s="6" t="s">
        <v>4</v>
      </c>
      <c r="BA3" s="6" t="s">
        <v>45</v>
      </c>
      <c r="BB3" s="6" t="s">
        <v>13</v>
      </c>
      <c r="BD3" s="6" t="s">
        <v>12</v>
      </c>
      <c r="BE3" s="6" t="s">
        <v>3</v>
      </c>
      <c r="BF3" s="6" t="s">
        <v>45</v>
      </c>
      <c r="BG3" s="6" t="s">
        <v>4</v>
      </c>
      <c r="BH3" s="6" t="s">
        <v>45</v>
      </c>
      <c r="BI3" s="6" t="s">
        <v>13</v>
      </c>
    </row>
    <row r="4" spans="2:61" x14ac:dyDescent="0.2">
      <c r="B4" t="s">
        <v>28</v>
      </c>
      <c r="C4" t="s">
        <v>2</v>
      </c>
      <c r="E4" s="11">
        <v>6</v>
      </c>
      <c r="G4" s="12">
        <f>+SUM(G5:G16)</f>
        <v>0.99999999999999989</v>
      </c>
      <c r="I4" s="14">
        <f>+SUM(I5:I16)</f>
        <v>0</v>
      </c>
      <c r="J4" s="13">
        <f>+SUMPRODUCT(G5:G16,J5:J16)</f>
        <v>0</v>
      </c>
      <c r="K4" s="13">
        <f>+SUMPRODUCT(G5:G16,K5:K16)</f>
        <v>0</v>
      </c>
      <c r="L4" s="11"/>
      <c r="N4" s="14">
        <f>+SUM(N5:N16)</f>
        <v>0</v>
      </c>
      <c r="U4" s="14">
        <f>+SUM(U5:U16)</f>
        <v>0</v>
      </c>
      <c r="AB4" s="14">
        <f>+SUM(AB5:AB16)</f>
        <v>0</v>
      </c>
      <c r="AI4" s="14">
        <f>+SUM(AI5:AI16)</f>
        <v>0</v>
      </c>
      <c r="AP4" s="14">
        <f>+SUM(AP5:AP16)</f>
        <v>0</v>
      </c>
      <c r="AW4" s="14">
        <f>+SUM(AW5:AW16)</f>
        <v>0</v>
      </c>
      <c r="BD4" s="14">
        <f>+SUM(BD5:BD16)</f>
        <v>0</v>
      </c>
    </row>
    <row r="5" spans="2:61" outlineLevel="1" x14ac:dyDescent="0.2">
      <c r="B5" t="s">
        <v>29</v>
      </c>
      <c r="C5" t="s">
        <v>2</v>
      </c>
      <c r="E5" s="11"/>
      <c r="F5" t="s">
        <v>31</v>
      </c>
      <c r="G5" s="12">
        <v>0.1</v>
      </c>
      <c r="I5" s="11">
        <f>+SUMIF($N$3:$ZZ$3,I$3,$N5:$ZZ5)</f>
        <v>0</v>
      </c>
      <c r="J5" s="13">
        <f t="shared" ref="J5:K16" si="0">+_xlfn.MAXIFS($N5:$ZF5,$N$3:$ZF$3,J$3)</f>
        <v>0</v>
      </c>
      <c r="K5" s="13">
        <f t="shared" si="0"/>
        <v>0</v>
      </c>
      <c r="L5" s="11"/>
      <c r="O5" s="12"/>
      <c r="P5" s="12"/>
      <c r="Q5" s="12"/>
      <c r="R5" s="12"/>
      <c r="V5" s="12"/>
      <c r="W5" s="12"/>
      <c r="X5" s="12"/>
      <c r="Y5" s="12"/>
      <c r="AC5" s="12"/>
      <c r="AD5" s="12"/>
      <c r="AE5" s="12"/>
      <c r="AF5" s="12"/>
      <c r="AJ5" s="12"/>
      <c r="AK5" s="12"/>
      <c r="AL5" s="12"/>
      <c r="AM5" s="12"/>
      <c r="AQ5" s="12"/>
      <c r="AR5" s="12">
        <v>1</v>
      </c>
      <c r="AS5" s="12"/>
      <c r="AT5" s="12">
        <v>1</v>
      </c>
      <c r="AX5" s="12"/>
      <c r="AY5" s="12"/>
      <c r="AZ5" s="12"/>
      <c r="BA5" s="12"/>
      <c r="BE5" s="12"/>
      <c r="BF5" s="12"/>
      <c r="BG5" s="12"/>
      <c r="BH5" s="12"/>
    </row>
    <row r="6" spans="2:61" outlineLevel="1" x14ac:dyDescent="0.2">
      <c r="B6" t="s">
        <v>29</v>
      </c>
      <c r="C6" t="s">
        <v>2</v>
      </c>
      <c r="E6" s="11"/>
      <c r="F6" t="s">
        <v>32</v>
      </c>
      <c r="G6" s="12">
        <v>0.05</v>
      </c>
      <c r="I6" s="11">
        <f t="shared" ref="I6:I15" si="1">+SUMIF($N$3:$ZZ$3,I$3,$N6:$ZZ6)</f>
        <v>0</v>
      </c>
      <c r="J6" s="13">
        <f t="shared" si="0"/>
        <v>0</v>
      </c>
      <c r="K6" s="13">
        <f t="shared" si="0"/>
        <v>0</v>
      </c>
      <c r="L6" s="11"/>
      <c r="O6" s="12"/>
      <c r="P6" s="12"/>
      <c r="Q6" s="12"/>
      <c r="R6" s="12"/>
      <c r="V6" s="12"/>
      <c r="W6" s="12"/>
      <c r="X6" s="12"/>
      <c r="Y6" s="12"/>
      <c r="AC6" s="12"/>
      <c r="AD6" s="12"/>
      <c r="AE6" s="12"/>
      <c r="AF6" s="12"/>
      <c r="AJ6" s="12"/>
      <c r="AK6" s="12"/>
      <c r="AL6" s="12"/>
      <c r="AM6" s="12"/>
      <c r="AQ6" s="12"/>
      <c r="AR6" s="12">
        <v>1</v>
      </c>
      <c r="AS6" s="12"/>
      <c r="AT6" s="12">
        <v>1</v>
      </c>
      <c r="AX6" s="12"/>
      <c r="AY6" s="12"/>
      <c r="AZ6" s="12"/>
      <c r="BA6" s="12"/>
      <c r="BE6" s="12"/>
      <c r="BF6" s="12"/>
      <c r="BG6" s="12"/>
      <c r="BH6" s="12"/>
    </row>
    <row r="7" spans="2:61" outlineLevel="1" x14ac:dyDescent="0.2">
      <c r="B7" t="s">
        <v>29</v>
      </c>
      <c r="C7" t="s">
        <v>2</v>
      </c>
      <c r="E7" s="11"/>
      <c r="F7" t="s">
        <v>33</v>
      </c>
      <c r="G7" s="12">
        <v>0.05</v>
      </c>
      <c r="I7" s="11">
        <f t="shared" si="1"/>
        <v>0</v>
      </c>
      <c r="J7" s="13">
        <f t="shared" si="0"/>
        <v>0</v>
      </c>
      <c r="K7" s="13">
        <f t="shared" si="0"/>
        <v>0</v>
      </c>
      <c r="L7" s="11"/>
      <c r="O7" s="12"/>
      <c r="P7" s="12"/>
      <c r="Q7" s="12"/>
      <c r="R7" s="12"/>
      <c r="V7" s="12"/>
      <c r="W7" s="12"/>
      <c r="X7" s="12"/>
      <c r="Y7" s="12"/>
      <c r="AC7" s="12"/>
      <c r="AD7" s="12"/>
      <c r="AE7" s="12"/>
      <c r="AF7" s="12"/>
      <c r="AJ7" s="12"/>
      <c r="AK7" s="12"/>
      <c r="AL7" s="12"/>
      <c r="AM7" s="12"/>
      <c r="AQ7" s="12"/>
      <c r="AR7" s="12">
        <v>1</v>
      </c>
      <c r="AS7" s="12"/>
      <c r="AT7" s="12">
        <v>1</v>
      </c>
      <c r="AX7" s="12"/>
      <c r="AY7" s="12"/>
      <c r="AZ7" s="12"/>
      <c r="BA7" s="12"/>
      <c r="BE7" s="12"/>
      <c r="BF7" s="12"/>
      <c r="BG7" s="12"/>
      <c r="BH7" s="12"/>
    </row>
    <row r="8" spans="2:61" outlineLevel="1" x14ac:dyDescent="0.2">
      <c r="B8" t="s">
        <v>29</v>
      </c>
      <c r="C8" t="s">
        <v>2</v>
      </c>
      <c r="E8" s="11"/>
      <c r="F8" t="s">
        <v>34</v>
      </c>
      <c r="G8" s="12">
        <v>0.05</v>
      </c>
      <c r="I8" s="11">
        <f t="shared" si="1"/>
        <v>0</v>
      </c>
      <c r="J8" s="13">
        <f t="shared" si="0"/>
        <v>0</v>
      </c>
      <c r="K8" s="13">
        <f t="shared" si="0"/>
        <v>0</v>
      </c>
      <c r="L8" s="11"/>
      <c r="O8" s="12"/>
      <c r="P8" s="12"/>
      <c r="Q8" s="12"/>
      <c r="R8" s="12"/>
      <c r="V8" s="12"/>
      <c r="W8" s="12"/>
      <c r="X8" s="12"/>
      <c r="Y8" s="12"/>
      <c r="AC8" s="12"/>
      <c r="AD8" s="12"/>
      <c r="AE8" s="12"/>
      <c r="AF8" s="12"/>
      <c r="AJ8" s="12"/>
      <c r="AK8" s="12"/>
      <c r="AL8" s="12"/>
      <c r="AM8" s="12"/>
      <c r="AQ8" s="12"/>
      <c r="AR8" s="12">
        <v>1</v>
      </c>
      <c r="AS8" s="12"/>
      <c r="AT8" s="12">
        <v>1</v>
      </c>
      <c r="AX8" s="12"/>
      <c r="AY8" s="12"/>
      <c r="AZ8" s="12"/>
      <c r="BA8" s="12"/>
      <c r="BE8" s="12"/>
      <c r="BF8" s="12"/>
      <c r="BG8" s="12"/>
      <c r="BH8" s="12"/>
    </row>
    <row r="9" spans="2:61" outlineLevel="1" x14ac:dyDescent="0.2">
      <c r="B9" t="s">
        <v>29</v>
      </c>
      <c r="C9" t="s">
        <v>2</v>
      </c>
      <c r="E9" s="11"/>
      <c r="F9" t="s">
        <v>35</v>
      </c>
      <c r="G9" s="12">
        <v>0.05</v>
      </c>
      <c r="I9" s="11">
        <f t="shared" si="1"/>
        <v>0</v>
      </c>
      <c r="J9" s="13">
        <f t="shared" si="0"/>
        <v>0</v>
      </c>
      <c r="K9" s="13">
        <f t="shared" si="0"/>
        <v>0</v>
      </c>
      <c r="L9" s="11"/>
      <c r="O9" s="12"/>
      <c r="P9" s="12"/>
      <c r="Q9" s="12"/>
      <c r="R9" s="12"/>
      <c r="V9" s="12"/>
      <c r="W9" s="12"/>
      <c r="X9" s="12"/>
      <c r="Y9" s="12"/>
      <c r="AC9" s="12"/>
      <c r="AD9" s="12"/>
      <c r="AE9" s="12"/>
      <c r="AF9" s="12"/>
      <c r="AJ9" s="12"/>
      <c r="AK9" s="12"/>
      <c r="AL9" s="12"/>
      <c r="AM9" s="12"/>
      <c r="AQ9" s="12"/>
      <c r="AR9" s="12">
        <v>1</v>
      </c>
      <c r="AS9" s="12"/>
      <c r="AT9" s="12">
        <v>1</v>
      </c>
      <c r="AX9" s="12"/>
      <c r="AY9" s="12"/>
      <c r="AZ9" s="12"/>
      <c r="BA9" s="12"/>
      <c r="BE9" s="12"/>
      <c r="BF9" s="12"/>
      <c r="BG9" s="12"/>
      <c r="BH9" s="12"/>
    </row>
    <row r="10" spans="2:61" outlineLevel="1" x14ac:dyDescent="0.2">
      <c r="B10" t="s">
        <v>29</v>
      </c>
      <c r="C10" t="s">
        <v>2</v>
      </c>
      <c r="E10" s="11"/>
      <c r="F10" t="s">
        <v>36</v>
      </c>
      <c r="G10" s="12">
        <v>0.1</v>
      </c>
      <c r="I10" s="11">
        <f t="shared" si="1"/>
        <v>0</v>
      </c>
      <c r="J10" s="13">
        <f t="shared" si="0"/>
        <v>0</v>
      </c>
      <c r="K10" s="13">
        <f t="shared" si="0"/>
        <v>0</v>
      </c>
      <c r="L10" s="11"/>
      <c r="O10" s="12"/>
      <c r="P10" s="12"/>
      <c r="Q10" s="12"/>
      <c r="R10" s="12"/>
      <c r="V10" s="12"/>
      <c r="W10" s="12"/>
      <c r="X10" s="12"/>
      <c r="Y10" s="12"/>
      <c r="AC10" s="12"/>
      <c r="AD10" s="12"/>
      <c r="AE10" s="12"/>
      <c r="AF10" s="12"/>
      <c r="AJ10" s="12"/>
      <c r="AK10" s="12"/>
      <c r="AL10" s="12"/>
      <c r="AM10" s="12"/>
      <c r="AQ10" s="12"/>
      <c r="AR10" s="12">
        <v>1</v>
      </c>
      <c r="AS10" s="12"/>
      <c r="AT10" s="12">
        <v>1</v>
      </c>
      <c r="AX10" s="12"/>
      <c r="AY10" s="12"/>
      <c r="AZ10" s="12"/>
      <c r="BA10" s="12"/>
      <c r="BE10" s="12"/>
      <c r="BF10" s="12"/>
      <c r="BG10" s="12"/>
      <c r="BH10" s="12"/>
    </row>
    <row r="11" spans="2:61" outlineLevel="1" x14ac:dyDescent="0.2">
      <c r="B11" t="s">
        <v>29</v>
      </c>
      <c r="C11" t="s">
        <v>2</v>
      </c>
      <c r="E11" s="11"/>
      <c r="F11" t="s">
        <v>37</v>
      </c>
      <c r="G11" s="12">
        <v>0.1</v>
      </c>
      <c r="I11" s="11">
        <f t="shared" si="1"/>
        <v>0</v>
      </c>
      <c r="J11" s="13">
        <f t="shared" si="0"/>
        <v>0</v>
      </c>
      <c r="K11" s="13">
        <f t="shared" si="0"/>
        <v>0</v>
      </c>
      <c r="L11" s="11"/>
      <c r="O11" s="12"/>
      <c r="P11" s="12"/>
      <c r="Q11" s="12"/>
      <c r="R11" s="12"/>
      <c r="V11" s="12"/>
      <c r="W11" s="12"/>
      <c r="X11" s="12"/>
      <c r="Y11" s="12"/>
      <c r="AC11" s="12"/>
      <c r="AD11" s="12"/>
      <c r="AE11" s="12"/>
      <c r="AF11" s="12"/>
      <c r="AJ11" s="12"/>
      <c r="AK11" s="12"/>
      <c r="AL11" s="12"/>
      <c r="AM11" s="12"/>
      <c r="AQ11" s="12"/>
      <c r="AR11" s="12">
        <v>1</v>
      </c>
      <c r="AS11" s="12"/>
      <c r="AT11" s="12">
        <v>1</v>
      </c>
      <c r="AX11" s="12"/>
      <c r="AY11" s="12"/>
      <c r="AZ11" s="12"/>
      <c r="BA11" s="12"/>
      <c r="BE11" s="12"/>
      <c r="BF11" s="12"/>
      <c r="BG11" s="12"/>
      <c r="BH11" s="12"/>
    </row>
    <row r="12" spans="2:61" outlineLevel="1" x14ac:dyDescent="0.2">
      <c r="B12" t="s">
        <v>29</v>
      </c>
      <c r="C12" t="s">
        <v>2</v>
      </c>
      <c r="E12" s="11"/>
      <c r="F12" t="s">
        <v>38</v>
      </c>
      <c r="G12" s="12">
        <v>0.1</v>
      </c>
      <c r="I12" s="11">
        <f t="shared" si="1"/>
        <v>0</v>
      </c>
      <c r="J12" s="13">
        <f t="shared" si="0"/>
        <v>0</v>
      </c>
      <c r="K12" s="13">
        <f t="shared" si="0"/>
        <v>0</v>
      </c>
      <c r="L12" s="11"/>
      <c r="O12" s="12"/>
      <c r="P12" s="12"/>
      <c r="Q12" s="12"/>
      <c r="R12" s="12"/>
      <c r="V12" s="12"/>
      <c r="W12" s="12"/>
      <c r="X12" s="12"/>
      <c r="Y12" s="12"/>
      <c r="AC12" s="12"/>
      <c r="AD12" s="12"/>
      <c r="AE12" s="12"/>
      <c r="AF12" s="12"/>
      <c r="AJ12" s="12"/>
      <c r="AK12" s="12"/>
      <c r="AL12" s="12"/>
      <c r="AM12" s="12"/>
      <c r="AQ12" s="12"/>
      <c r="AR12" s="12">
        <v>1</v>
      </c>
      <c r="AS12" s="12"/>
      <c r="AT12" s="12">
        <v>1</v>
      </c>
      <c r="AX12" s="12"/>
      <c r="AY12" s="12"/>
      <c r="AZ12" s="12"/>
      <c r="BA12" s="12"/>
      <c r="BE12" s="12"/>
      <c r="BF12" s="12"/>
      <c r="BG12" s="12"/>
      <c r="BH12" s="12"/>
    </row>
    <row r="13" spans="2:61" outlineLevel="1" x14ac:dyDescent="0.2">
      <c r="B13" t="s">
        <v>29</v>
      </c>
      <c r="C13" t="s">
        <v>2</v>
      </c>
      <c r="E13" s="11"/>
      <c r="F13" t="s">
        <v>39</v>
      </c>
      <c r="G13" s="12">
        <v>0.1</v>
      </c>
      <c r="I13" s="11">
        <f t="shared" si="1"/>
        <v>0</v>
      </c>
      <c r="J13" s="13">
        <f t="shared" si="0"/>
        <v>0</v>
      </c>
      <c r="K13" s="13">
        <f t="shared" si="0"/>
        <v>0</v>
      </c>
      <c r="L13" s="11"/>
      <c r="O13" s="12"/>
      <c r="P13" s="12"/>
      <c r="Q13" s="12"/>
      <c r="R13" s="12"/>
      <c r="V13" s="12"/>
      <c r="W13" s="12"/>
      <c r="X13" s="12"/>
      <c r="Y13" s="12"/>
      <c r="AC13" s="12"/>
      <c r="AD13" s="12"/>
      <c r="AE13" s="12"/>
      <c r="AF13" s="12"/>
      <c r="AJ13" s="12"/>
      <c r="AK13" s="12"/>
      <c r="AL13" s="12"/>
      <c r="AM13" s="12"/>
      <c r="AQ13" s="12"/>
      <c r="AR13" s="12">
        <v>1</v>
      </c>
      <c r="AS13" s="12"/>
      <c r="AT13" s="12">
        <v>1</v>
      </c>
      <c r="AX13" s="12"/>
      <c r="AY13" s="12"/>
      <c r="AZ13" s="12"/>
      <c r="BA13" s="12"/>
      <c r="BE13" s="12"/>
      <c r="BF13" s="12"/>
      <c r="BG13" s="12"/>
      <c r="BH13" s="12"/>
    </row>
    <row r="14" spans="2:61" outlineLevel="1" x14ac:dyDescent="0.2">
      <c r="B14" t="s">
        <v>29</v>
      </c>
      <c r="C14" t="s">
        <v>2</v>
      </c>
      <c r="E14" s="11"/>
      <c r="F14" t="s">
        <v>40</v>
      </c>
      <c r="G14" s="12">
        <v>0.1</v>
      </c>
      <c r="I14" s="11">
        <f t="shared" si="1"/>
        <v>0</v>
      </c>
      <c r="J14" s="13">
        <f t="shared" si="0"/>
        <v>0</v>
      </c>
      <c r="K14" s="13">
        <f t="shared" si="0"/>
        <v>0</v>
      </c>
      <c r="L14" s="11"/>
      <c r="O14" s="12"/>
      <c r="P14" s="12"/>
      <c r="Q14" s="12"/>
      <c r="R14" s="12"/>
      <c r="V14" s="12"/>
      <c r="W14" s="12"/>
      <c r="X14" s="12"/>
      <c r="Y14" s="12"/>
      <c r="AC14" s="12"/>
      <c r="AD14" s="12"/>
      <c r="AE14" s="12"/>
      <c r="AF14" s="12"/>
      <c r="AJ14" s="12"/>
      <c r="AK14" s="12"/>
      <c r="AL14" s="12"/>
      <c r="AM14" s="12"/>
      <c r="AQ14" s="12"/>
      <c r="AR14" s="12">
        <v>1</v>
      </c>
      <c r="AS14" s="12"/>
      <c r="AT14" s="12">
        <v>1</v>
      </c>
      <c r="AX14" s="12"/>
      <c r="AY14" s="12"/>
      <c r="AZ14" s="12"/>
      <c r="BA14" s="12"/>
      <c r="BE14" s="12"/>
      <c r="BF14" s="12"/>
      <c r="BG14" s="12"/>
      <c r="BH14" s="12"/>
    </row>
    <row r="15" spans="2:61" outlineLevel="1" x14ac:dyDescent="0.2">
      <c r="B15" t="s">
        <v>29</v>
      </c>
      <c r="C15" t="s">
        <v>2</v>
      </c>
      <c r="E15" s="11"/>
      <c r="F15" t="s">
        <v>41</v>
      </c>
      <c r="G15" s="12">
        <v>0.1</v>
      </c>
      <c r="I15" s="11">
        <f t="shared" si="1"/>
        <v>0</v>
      </c>
      <c r="J15" s="13">
        <f t="shared" si="0"/>
        <v>0</v>
      </c>
      <c r="K15" s="13">
        <f t="shared" si="0"/>
        <v>0</v>
      </c>
      <c r="L15" s="11"/>
      <c r="O15" s="12"/>
      <c r="P15" s="12"/>
      <c r="Q15" s="12"/>
      <c r="R15" s="12"/>
      <c r="V15" s="12"/>
      <c r="W15" s="12"/>
      <c r="X15" s="12"/>
      <c r="Y15" s="12"/>
      <c r="AC15" s="12"/>
      <c r="AD15" s="12"/>
      <c r="AE15" s="12"/>
      <c r="AF15" s="12"/>
      <c r="AJ15" s="12"/>
      <c r="AK15" s="12"/>
      <c r="AL15" s="12"/>
      <c r="AM15" s="12"/>
      <c r="AQ15" s="12"/>
      <c r="AR15" s="12">
        <v>1</v>
      </c>
      <c r="AS15" s="12"/>
      <c r="AT15" s="12">
        <v>1</v>
      </c>
      <c r="AX15" s="12"/>
      <c r="AY15" s="12"/>
      <c r="AZ15" s="12"/>
      <c r="BA15" s="12"/>
      <c r="BE15" s="12"/>
      <c r="BF15" s="12"/>
      <c r="BG15" s="12"/>
      <c r="BH15" s="12"/>
    </row>
    <row r="16" spans="2:61" outlineLevel="1" x14ac:dyDescent="0.2">
      <c r="B16" t="s">
        <v>29</v>
      </c>
      <c r="C16" t="s">
        <v>2</v>
      </c>
      <c r="E16" s="11"/>
      <c r="F16" t="s">
        <v>42</v>
      </c>
      <c r="G16" s="12">
        <v>0.1</v>
      </c>
      <c r="I16" s="11">
        <f>+SUMIF($N$3:$ZZ$3,I$3,$N16:$ZZ16)</f>
        <v>0</v>
      </c>
      <c r="J16" s="13">
        <f t="shared" si="0"/>
        <v>0</v>
      </c>
      <c r="K16" s="13">
        <f t="shared" si="0"/>
        <v>0</v>
      </c>
      <c r="L16" s="11"/>
      <c r="O16" s="12"/>
      <c r="P16" s="12"/>
      <c r="Q16" s="12"/>
      <c r="R16" s="12"/>
      <c r="V16" s="12"/>
      <c r="W16" s="12"/>
      <c r="X16" s="12"/>
      <c r="Y16" s="12"/>
      <c r="AC16" s="12"/>
      <c r="AD16" s="12"/>
      <c r="AE16" s="12"/>
      <c r="AF16" s="12"/>
      <c r="AJ16" s="12"/>
      <c r="AK16" s="12"/>
      <c r="AL16" s="12"/>
      <c r="AM16" s="12"/>
      <c r="AQ16" s="12"/>
      <c r="AR16" s="12">
        <v>1</v>
      </c>
      <c r="AS16" s="12"/>
      <c r="AT16" s="12">
        <v>1</v>
      </c>
      <c r="AX16" s="12"/>
      <c r="AY16" s="12"/>
      <c r="AZ16" s="12"/>
      <c r="BA16" s="12"/>
      <c r="BE16" s="12"/>
      <c r="BF16" s="12"/>
      <c r="BG16" s="12"/>
      <c r="BH16" s="12"/>
    </row>
    <row r="17" spans="2:60" x14ac:dyDescent="0.2">
      <c r="O17" s="9"/>
      <c r="V17" s="9"/>
      <c r="AC17" s="9"/>
      <c r="AJ17" s="9"/>
      <c r="AQ17" s="9"/>
      <c r="AX17" s="9"/>
      <c r="BE17" s="9"/>
    </row>
    <row r="18" spans="2:60" x14ac:dyDescent="0.2">
      <c r="B18" t="s">
        <v>28</v>
      </c>
      <c r="C18" t="s">
        <v>55</v>
      </c>
      <c r="E18" s="11">
        <v>6</v>
      </c>
      <c r="G18" s="12">
        <f>+SUM(G19:G24)</f>
        <v>1</v>
      </c>
      <c r="I18" s="14">
        <f>+SUM(I19:I24)</f>
        <v>0</v>
      </c>
      <c r="J18" s="13">
        <f>+SUMPRODUCT(G19:G24,J19:J24)</f>
        <v>0</v>
      </c>
      <c r="K18" s="13">
        <f>+SUMPRODUCT(G19:G24,K19:K24)</f>
        <v>0</v>
      </c>
      <c r="L18" s="11"/>
      <c r="N18" s="14">
        <f>+SUM(N19:N24)</f>
        <v>0</v>
      </c>
      <c r="U18" s="14">
        <f>+SUM(U19:U24)</f>
        <v>0</v>
      </c>
      <c r="AB18" s="14">
        <f>+SUM(AB19:AB24)</f>
        <v>0</v>
      </c>
      <c r="AI18" s="14">
        <f>+SUM(AI19:AI24)</f>
        <v>0</v>
      </c>
      <c r="AP18" s="14">
        <f>+SUM(AP19:AP24)</f>
        <v>0</v>
      </c>
    </row>
    <row r="19" spans="2:60" hidden="1" outlineLevel="1" x14ac:dyDescent="0.2">
      <c r="B19" t="s">
        <v>29</v>
      </c>
      <c r="C19" t="s">
        <v>55</v>
      </c>
      <c r="E19" s="11"/>
      <c r="F19" t="s">
        <v>31</v>
      </c>
      <c r="G19" s="12">
        <v>0.1</v>
      </c>
      <c r="I19" s="11">
        <f t="shared" ref="I19:I24" si="2">+SUMIF($N$3:$ZZ$3,I$3,$N19:$ZZ19)</f>
        <v>0</v>
      </c>
      <c r="J19" s="13">
        <f t="shared" ref="J19:K24" si="3">+_xlfn.MAXIFS($N19:$ZF19,$N$3:$ZF$3,J$3)</f>
        <v>0</v>
      </c>
      <c r="K19" s="13">
        <f t="shared" si="3"/>
        <v>0</v>
      </c>
      <c r="L19" s="11"/>
      <c r="O19" s="12"/>
      <c r="P19" s="12"/>
      <c r="Q19" s="12"/>
      <c r="R19" s="12"/>
      <c r="V19" s="12"/>
      <c r="W19" s="12"/>
      <c r="X19" s="12"/>
      <c r="Y19" s="12"/>
      <c r="AC19" s="12"/>
      <c r="AD19" s="12"/>
      <c r="AE19" s="12"/>
      <c r="AF19" s="12"/>
      <c r="AJ19" s="12"/>
      <c r="AK19" s="12"/>
      <c r="AL19" s="12"/>
      <c r="AM19" s="12"/>
      <c r="AQ19" s="12"/>
      <c r="AR19" s="12">
        <v>1</v>
      </c>
      <c r="AS19" s="12"/>
      <c r="AT19" s="12">
        <v>1</v>
      </c>
      <c r="AX19" s="12"/>
      <c r="AY19" s="12"/>
      <c r="AZ19" s="12"/>
      <c r="BA19" s="12"/>
      <c r="BE19" s="12"/>
      <c r="BF19" s="12"/>
      <c r="BG19" s="12"/>
      <c r="BH19" s="12"/>
    </row>
    <row r="20" spans="2:60" hidden="1" outlineLevel="1" x14ac:dyDescent="0.2">
      <c r="B20" t="s">
        <v>29</v>
      </c>
      <c r="C20" t="s">
        <v>55</v>
      </c>
      <c r="E20" s="11"/>
      <c r="F20" t="s">
        <v>56</v>
      </c>
      <c r="G20" s="12">
        <v>0.2</v>
      </c>
      <c r="I20" s="11">
        <f t="shared" si="2"/>
        <v>0</v>
      </c>
      <c r="J20" s="13">
        <f t="shared" si="3"/>
        <v>0</v>
      </c>
      <c r="K20" s="13">
        <f t="shared" si="3"/>
        <v>0</v>
      </c>
      <c r="L20" s="11"/>
      <c r="O20" s="12"/>
      <c r="P20" s="12"/>
      <c r="Q20" s="12"/>
      <c r="R20" s="12"/>
      <c r="V20" s="12"/>
      <c r="W20" s="12"/>
      <c r="X20" s="12"/>
      <c r="Y20" s="12"/>
      <c r="AC20" s="12"/>
      <c r="AD20" s="12"/>
      <c r="AE20" s="12"/>
      <c r="AF20" s="12"/>
      <c r="AJ20" s="12"/>
      <c r="AK20" s="12"/>
      <c r="AL20" s="12"/>
      <c r="AM20" s="12"/>
      <c r="AQ20" s="12"/>
      <c r="AR20" s="12">
        <v>1</v>
      </c>
      <c r="AS20" s="12"/>
      <c r="AT20" s="12">
        <v>1</v>
      </c>
      <c r="AX20" s="12"/>
      <c r="AY20" s="12"/>
      <c r="AZ20" s="12"/>
      <c r="BA20" s="12"/>
      <c r="BE20" s="12"/>
      <c r="BF20" s="12"/>
      <c r="BG20" s="12"/>
      <c r="BH20" s="12"/>
    </row>
    <row r="21" spans="2:60" hidden="1" outlineLevel="1" x14ac:dyDescent="0.2">
      <c r="B21" t="s">
        <v>29</v>
      </c>
      <c r="C21" t="s">
        <v>55</v>
      </c>
      <c r="E21" s="11"/>
      <c r="F21" t="s">
        <v>57</v>
      </c>
      <c r="G21" s="12">
        <v>0.15</v>
      </c>
      <c r="I21" s="11">
        <f t="shared" si="2"/>
        <v>0</v>
      </c>
      <c r="J21" s="13">
        <f t="shared" si="3"/>
        <v>0</v>
      </c>
      <c r="K21" s="13">
        <f t="shared" si="3"/>
        <v>0</v>
      </c>
      <c r="L21" s="11"/>
      <c r="O21" s="12"/>
      <c r="P21" s="12"/>
      <c r="Q21" s="12"/>
      <c r="R21" s="12"/>
      <c r="V21" s="12"/>
      <c r="W21" s="12"/>
      <c r="X21" s="12"/>
      <c r="Y21" s="12"/>
      <c r="AC21" s="12"/>
      <c r="AD21" s="12"/>
      <c r="AE21" s="12"/>
      <c r="AF21" s="12"/>
      <c r="AJ21" s="12"/>
      <c r="AK21" s="12"/>
      <c r="AL21" s="12"/>
      <c r="AM21" s="12"/>
      <c r="AQ21" s="12"/>
      <c r="AR21" s="12">
        <v>1</v>
      </c>
      <c r="AS21" s="12"/>
      <c r="AT21" s="12">
        <v>1</v>
      </c>
      <c r="AX21" s="12"/>
      <c r="AY21" s="12"/>
      <c r="AZ21" s="12"/>
      <c r="BA21" s="12"/>
      <c r="BE21" s="12"/>
      <c r="BF21" s="12"/>
      <c r="BG21" s="12"/>
      <c r="BH21" s="12"/>
    </row>
    <row r="22" spans="2:60" hidden="1" outlineLevel="1" x14ac:dyDescent="0.2">
      <c r="B22" t="s">
        <v>29</v>
      </c>
      <c r="C22" t="s">
        <v>55</v>
      </c>
      <c r="E22" s="11"/>
      <c r="F22" t="s">
        <v>58</v>
      </c>
      <c r="G22" s="12">
        <v>0.15</v>
      </c>
      <c r="I22" s="11">
        <f t="shared" si="2"/>
        <v>0</v>
      </c>
      <c r="J22" s="13">
        <f t="shared" si="3"/>
        <v>0</v>
      </c>
      <c r="K22" s="13">
        <f t="shared" si="3"/>
        <v>0</v>
      </c>
      <c r="L22" s="11"/>
      <c r="O22" s="12"/>
      <c r="P22" s="12"/>
      <c r="Q22" s="12"/>
      <c r="R22" s="12"/>
      <c r="V22" s="12"/>
      <c r="W22" s="12"/>
      <c r="X22" s="12"/>
      <c r="Y22" s="12"/>
      <c r="AC22" s="12"/>
      <c r="AD22" s="12"/>
      <c r="AE22" s="12"/>
      <c r="AF22" s="12"/>
      <c r="AJ22" s="12"/>
      <c r="AK22" s="12"/>
      <c r="AL22" s="12"/>
      <c r="AM22" s="12"/>
      <c r="AQ22" s="12"/>
      <c r="AR22" s="12">
        <v>1</v>
      </c>
      <c r="AS22" s="12"/>
      <c r="AT22" s="12">
        <v>1</v>
      </c>
      <c r="AX22" s="12"/>
      <c r="AY22" s="12"/>
      <c r="AZ22" s="12"/>
      <c r="BA22" s="12"/>
      <c r="BE22" s="12"/>
      <c r="BF22" s="12"/>
      <c r="BG22" s="12"/>
      <c r="BH22" s="12"/>
    </row>
    <row r="23" spans="2:60" hidden="1" outlineLevel="1" x14ac:dyDescent="0.2">
      <c r="B23" t="s">
        <v>29</v>
      </c>
      <c r="C23" t="s">
        <v>55</v>
      </c>
      <c r="E23" s="11"/>
      <c r="F23" t="s">
        <v>59</v>
      </c>
      <c r="G23" s="12">
        <v>0.2</v>
      </c>
      <c r="I23" s="11">
        <f t="shared" si="2"/>
        <v>0</v>
      </c>
      <c r="J23" s="13">
        <f t="shared" si="3"/>
        <v>0</v>
      </c>
      <c r="K23" s="13">
        <f t="shared" si="3"/>
        <v>0</v>
      </c>
      <c r="L23" s="11"/>
      <c r="O23" s="12"/>
      <c r="P23" s="12"/>
      <c r="Q23" s="12"/>
      <c r="R23" s="12"/>
      <c r="V23" s="12"/>
      <c r="W23" s="12"/>
      <c r="X23" s="12"/>
      <c r="Y23" s="12"/>
      <c r="AC23" s="12"/>
      <c r="AD23" s="12"/>
      <c r="AE23" s="12"/>
      <c r="AF23" s="12"/>
      <c r="AJ23" s="12"/>
      <c r="AK23" s="12"/>
      <c r="AL23" s="12"/>
      <c r="AM23" s="12"/>
      <c r="AQ23" s="12"/>
      <c r="AR23" s="12">
        <v>1</v>
      </c>
      <c r="AS23" s="12"/>
      <c r="AT23" s="12">
        <v>1</v>
      </c>
      <c r="AX23" s="12"/>
      <c r="AY23" s="12"/>
      <c r="AZ23" s="12"/>
      <c r="BA23" s="12"/>
      <c r="BE23" s="12"/>
      <c r="BF23" s="12"/>
      <c r="BG23" s="12"/>
      <c r="BH23" s="12"/>
    </row>
    <row r="24" spans="2:60" hidden="1" outlineLevel="1" x14ac:dyDescent="0.2">
      <c r="B24" t="s">
        <v>29</v>
      </c>
      <c r="C24" t="s">
        <v>55</v>
      </c>
      <c r="E24" s="11"/>
      <c r="F24" t="s">
        <v>60</v>
      </c>
      <c r="G24" s="12">
        <v>0.2</v>
      </c>
      <c r="I24" s="11">
        <f t="shared" si="2"/>
        <v>0</v>
      </c>
      <c r="J24" s="13">
        <f t="shared" si="3"/>
        <v>0</v>
      </c>
      <c r="K24" s="13">
        <f t="shared" si="3"/>
        <v>0</v>
      </c>
      <c r="L24" s="11"/>
      <c r="O24" s="12"/>
      <c r="P24" s="12"/>
      <c r="Q24" s="12"/>
      <c r="R24" s="12"/>
      <c r="V24" s="12"/>
      <c r="W24" s="12"/>
      <c r="X24" s="12"/>
      <c r="Y24" s="12"/>
      <c r="AC24" s="12"/>
      <c r="AD24" s="12"/>
      <c r="AE24" s="12"/>
      <c r="AF24" s="12"/>
      <c r="AJ24" s="12"/>
      <c r="AK24" s="12"/>
      <c r="AL24" s="12"/>
      <c r="AM24" s="12"/>
      <c r="AQ24" s="12"/>
      <c r="AR24" s="12">
        <v>1</v>
      </c>
      <c r="AS24" s="12"/>
      <c r="AT24" s="12">
        <v>1</v>
      </c>
      <c r="AX24" s="12"/>
      <c r="AY24" s="12"/>
      <c r="AZ24" s="12"/>
      <c r="BA24" s="12"/>
      <c r="BE24" s="12"/>
      <c r="BF24" s="12"/>
      <c r="BG24" s="12"/>
      <c r="BH24" s="12"/>
    </row>
    <row r="25" spans="2:60" collapsed="1" x14ac:dyDescent="0.2"/>
    <row r="26" spans="2:60" x14ac:dyDescent="0.2">
      <c r="B26" t="s">
        <v>28</v>
      </c>
      <c r="C26" t="s">
        <v>61</v>
      </c>
      <c r="E26" s="11">
        <v>12</v>
      </c>
      <c r="G26" s="12">
        <f>+SUM(G27:G38)</f>
        <v>0.99999999999999989</v>
      </c>
      <c r="I26" s="14">
        <f>+SUM(I27:I38)</f>
        <v>46</v>
      </c>
      <c r="J26" s="13">
        <f>+SUMPRODUCT(G27:G38,J27:J38)</f>
        <v>0.14000000000000001</v>
      </c>
      <c r="K26" s="13">
        <f>+SUMPRODUCT(G27:G38,K27:K38)</f>
        <v>0.1</v>
      </c>
      <c r="L26" s="11"/>
      <c r="N26" s="14">
        <f>+SUM(N27:N38)</f>
        <v>20</v>
      </c>
      <c r="U26" s="14">
        <f>+SUM(U27:U38)</f>
        <v>2</v>
      </c>
      <c r="AB26" s="14">
        <f>+SUM(AB27:AB38)</f>
        <v>4</v>
      </c>
      <c r="AI26" s="14">
        <f>+SUM(AI27:AI38)</f>
        <v>0</v>
      </c>
      <c r="AP26" s="14">
        <f>+SUM(AP27:AP38)</f>
        <v>20</v>
      </c>
    </row>
    <row r="27" spans="2:60" hidden="1" outlineLevel="1" x14ac:dyDescent="0.2">
      <c r="B27" t="s">
        <v>29</v>
      </c>
      <c r="C27" t="s">
        <v>2</v>
      </c>
      <c r="E27" s="11"/>
      <c r="F27" t="s">
        <v>31</v>
      </c>
      <c r="G27" s="12">
        <v>0.1</v>
      </c>
      <c r="I27" s="11">
        <f t="shared" ref="I27:I38" si="4">+SUMIF($N$3:$ZZ$3,I$3,$N27:$ZZ27)</f>
        <v>16</v>
      </c>
      <c r="J27" s="13">
        <f t="shared" ref="J27:K38" si="5">+_xlfn.MAXIFS($N27:$ZF27,$N$3:$ZF$3,J$3)</f>
        <v>0.7</v>
      </c>
      <c r="K27" s="13">
        <f t="shared" si="5"/>
        <v>0.5</v>
      </c>
      <c r="L27" s="11"/>
      <c r="N27">
        <v>10</v>
      </c>
      <c r="O27" s="12">
        <v>0.7</v>
      </c>
      <c r="P27" s="12">
        <v>0.8</v>
      </c>
      <c r="Q27" s="12">
        <v>0.5</v>
      </c>
      <c r="R27" s="12">
        <v>0.8</v>
      </c>
      <c r="U27">
        <v>2</v>
      </c>
      <c r="V27" s="12"/>
      <c r="W27" s="12">
        <v>0.8</v>
      </c>
      <c r="X27" s="12"/>
      <c r="Y27" s="12">
        <v>0.8</v>
      </c>
      <c r="AB27">
        <v>4</v>
      </c>
      <c r="AC27" s="12"/>
      <c r="AD27" s="12">
        <v>1</v>
      </c>
      <c r="AE27" s="12"/>
      <c r="AF27" s="12">
        <v>1</v>
      </c>
      <c r="AJ27" s="12"/>
      <c r="AK27" s="12">
        <v>1</v>
      </c>
      <c r="AL27" s="12"/>
      <c r="AM27" s="12">
        <v>1</v>
      </c>
      <c r="AP27">
        <v>0</v>
      </c>
      <c r="AQ27" s="12"/>
      <c r="AR27" s="12">
        <v>1</v>
      </c>
      <c r="AS27" s="12"/>
      <c r="AT27" s="12">
        <v>1</v>
      </c>
      <c r="AX27" s="12"/>
      <c r="AY27" s="12"/>
      <c r="AZ27" s="12"/>
      <c r="BA27" s="12"/>
      <c r="BE27" s="12"/>
      <c r="BF27" s="12"/>
      <c r="BG27" s="12"/>
      <c r="BH27" s="12"/>
    </row>
    <row r="28" spans="2:60" hidden="1" outlineLevel="1" x14ac:dyDescent="0.2">
      <c r="B28" t="s">
        <v>29</v>
      </c>
      <c r="C28" t="s">
        <v>2</v>
      </c>
      <c r="E28" s="11"/>
      <c r="F28" t="s">
        <v>32</v>
      </c>
      <c r="G28" s="12">
        <v>0.05</v>
      </c>
      <c r="I28" s="11">
        <f t="shared" si="4"/>
        <v>3</v>
      </c>
      <c r="J28" s="13">
        <f t="shared" si="5"/>
        <v>0.5</v>
      </c>
      <c r="K28" s="13">
        <f t="shared" si="5"/>
        <v>0.5</v>
      </c>
      <c r="L28" s="11"/>
      <c r="N28">
        <v>3</v>
      </c>
      <c r="O28" s="12">
        <v>0.5</v>
      </c>
      <c r="P28" s="12">
        <v>0.5</v>
      </c>
      <c r="Q28" s="12">
        <v>0.5</v>
      </c>
      <c r="R28" s="12">
        <v>0.5</v>
      </c>
      <c r="V28" s="12"/>
      <c r="W28" s="12">
        <v>0.8</v>
      </c>
      <c r="X28" s="12"/>
      <c r="Y28" s="12">
        <v>0.8</v>
      </c>
      <c r="AC28" s="12"/>
      <c r="AD28" s="12">
        <v>1</v>
      </c>
      <c r="AE28" s="12"/>
      <c r="AF28" s="12">
        <v>1</v>
      </c>
      <c r="AJ28" s="12"/>
      <c r="AK28" s="12">
        <v>1</v>
      </c>
      <c r="AL28" s="12"/>
      <c r="AM28" s="12">
        <v>1</v>
      </c>
      <c r="AP28">
        <v>0</v>
      </c>
      <c r="AQ28" s="12"/>
      <c r="AR28" s="12">
        <v>1</v>
      </c>
      <c r="AS28" s="12"/>
      <c r="AT28" s="12">
        <v>1</v>
      </c>
      <c r="AX28" s="12"/>
      <c r="AY28" s="12"/>
      <c r="AZ28" s="12"/>
      <c r="BA28" s="12"/>
      <c r="BE28" s="12"/>
      <c r="BF28" s="12"/>
      <c r="BG28" s="12"/>
      <c r="BH28" s="12"/>
    </row>
    <row r="29" spans="2:60" hidden="1" outlineLevel="1" x14ac:dyDescent="0.2">
      <c r="B29" t="s">
        <v>29</v>
      </c>
      <c r="C29" t="s">
        <v>2</v>
      </c>
      <c r="E29" s="11"/>
      <c r="F29" t="s">
        <v>33</v>
      </c>
      <c r="G29" s="12">
        <v>0.05</v>
      </c>
      <c r="I29" s="11">
        <f t="shared" si="4"/>
        <v>2</v>
      </c>
      <c r="J29" s="13">
        <f t="shared" si="5"/>
        <v>0.3</v>
      </c>
      <c r="K29" s="13">
        <f t="shared" si="5"/>
        <v>0.3</v>
      </c>
      <c r="L29" s="11"/>
      <c r="N29">
        <v>2</v>
      </c>
      <c r="O29" s="12">
        <v>0.3</v>
      </c>
      <c r="P29" s="12">
        <v>0.3</v>
      </c>
      <c r="Q29" s="12">
        <v>0.3</v>
      </c>
      <c r="R29" s="12">
        <v>0.3</v>
      </c>
      <c r="V29" s="12"/>
      <c r="W29" s="12">
        <v>0.5</v>
      </c>
      <c r="X29" s="12"/>
      <c r="Y29" s="12">
        <v>0.5</v>
      </c>
      <c r="AC29" s="12"/>
      <c r="AD29" s="12">
        <v>0.8</v>
      </c>
      <c r="AE29" s="12"/>
      <c r="AF29" s="12">
        <v>0.8</v>
      </c>
      <c r="AJ29" s="12"/>
      <c r="AK29" s="12">
        <v>1</v>
      </c>
      <c r="AL29" s="12"/>
      <c r="AM29" s="12">
        <v>1</v>
      </c>
      <c r="AP29">
        <v>0</v>
      </c>
      <c r="AQ29" s="12"/>
      <c r="AR29" s="12">
        <v>1</v>
      </c>
      <c r="AS29" s="12"/>
      <c r="AT29" s="12">
        <v>1</v>
      </c>
      <c r="AX29" s="12"/>
      <c r="AY29" s="12"/>
      <c r="AZ29" s="12"/>
      <c r="BA29" s="12"/>
      <c r="BE29" s="12"/>
      <c r="BF29" s="12"/>
      <c r="BG29" s="12"/>
      <c r="BH29" s="12"/>
    </row>
    <row r="30" spans="2:60" hidden="1" outlineLevel="1" x14ac:dyDescent="0.2">
      <c r="B30" t="s">
        <v>29</v>
      </c>
      <c r="C30" t="s">
        <v>2</v>
      </c>
      <c r="E30" s="11"/>
      <c r="F30" t="s">
        <v>34</v>
      </c>
      <c r="G30" s="12">
        <v>0.05</v>
      </c>
      <c r="I30" s="11">
        <f t="shared" si="4"/>
        <v>2</v>
      </c>
      <c r="J30" s="13">
        <f t="shared" si="5"/>
        <v>0.3</v>
      </c>
      <c r="K30" s="13">
        <f t="shared" si="5"/>
        <v>0.2</v>
      </c>
      <c r="L30" s="11"/>
      <c r="N30">
        <v>2</v>
      </c>
      <c r="O30" s="12">
        <v>0.3</v>
      </c>
      <c r="P30" s="12">
        <v>0.3</v>
      </c>
      <c r="Q30" s="12">
        <v>0.2</v>
      </c>
      <c r="R30" s="12">
        <v>0.3</v>
      </c>
      <c r="V30" s="12"/>
      <c r="W30" s="12">
        <v>0.5</v>
      </c>
      <c r="X30" s="12"/>
      <c r="Y30" s="12">
        <v>0.5</v>
      </c>
      <c r="AC30" s="12"/>
      <c r="AD30" s="12">
        <v>0.8</v>
      </c>
      <c r="AE30" s="12"/>
      <c r="AF30" s="12">
        <v>0.8</v>
      </c>
      <c r="AJ30" s="12"/>
      <c r="AK30" s="12">
        <v>1</v>
      </c>
      <c r="AL30" s="12"/>
      <c r="AM30" s="12">
        <v>1</v>
      </c>
      <c r="AP30">
        <v>0</v>
      </c>
      <c r="AQ30" s="12"/>
      <c r="AR30" s="12">
        <v>1</v>
      </c>
      <c r="AS30" s="12"/>
      <c r="AT30" s="12">
        <v>1</v>
      </c>
      <c r="AX30" s="12"/>
      <c r="AY30" s="12"/>
      <c r="AZ30" s="12"/>
      <c r="BA30" s="12"/>
      <c r="BE30" s="12"/>
      <c r="BF30" s="12"/>
      <c r="BG30" s="12"/>
      <c r="BH30" s="12"/>
    </row>
    <row r="31" spans="2:60" hidden="1" outlineLevel="1" x14ac:dyDescent="0.2">
      <c r="B31" t="s">
        <v>29</v>
      </c>
      <c r="C31" t="s">
        <v>2</v>
      </c>
      <c r="E31" s="11"/>
      <c r="F31" t="s">
        <v>35</v>
      </c>
      <c r="G31" s="12">
        <v>0.05</v>
      </c>
      <c r="I31" s="11">
        <f t="shared" si="4"/>
        <v>3</v>
      </c>
      <c r="J31" s="13">
        <f t="shared" si="5"/>
        <v>0.3</v>
      </c>
      <c r="K31" s="13">
        <f t="shared" si="5"/>
        <v>0</v>
      </c>
      <c r="L31" s="11"/>
      <c r="N31">
        <v>3</v>
      </c>
      <c r="O31" s="12">
        <v>0.3</v>
      </c>
      <c r="P31" s="12">
        <v>0.3</v>
      </c>
      <c r="Q31" s="12"/>
      <c r="R31" s="12">
        <v>0.3</v>
      </c>
      <c r="V31" s="12"/>
      <c r="W31" s="12">
        <v>0.5</v>
      </c>
      <c r="X31" s="12"/>
      <c r="Y31" s="12">
        <v>0.5</v>
      </c>
      <c r="AC31" s="12"/>
      <c r="AD31" s="12">
        <v>0.8</v>
      </c>
      <c r="AE31" s="12"/>
      <c r="AF31" s="12">
        <v>0.8</v>
      </c>
      <c r="AJ31" s="12"/>
      <c r="AK31" s="12">
        <v>1</v>
      </c>
      <c r="AL31" s="12"/>
      <c r="AM31" s="12">
        <v>1</v>
      </c>
      <c r="AP31">
        <v>0</v>
      </c>
      <c r="AQ31" s="12"/>
      <c r="AR31" s="12">
        <v>1</v>
      </c>
      <c r="AS31" s="12"/>
      <c r="AT31" s="12">
        <v>1</v>
      </c>
      <c r="AX31" s="12"/>
      <c r="AY31" s="12"/>
      <c r="AZ31" s="12"/>
      <c r="BA31" s="12"/>
      <c r="BE31" s="12"/>
      <c r="BF31" s="12"/>
      <c r="BG31" s="12"/>
      <c r="BH31" s="12"/>
    </row>
    <row r="32" spans="2:60" hidden="1" outlineLevel="1" x14ac:dyDescent="0.2">
      <c r="B32" t="s">
        <v>29</v>
      </c>
      <c r="C32" t="s">
        <v>2</v>
      </c>
      <c r="E32" s="11"/>
      <c r="F32" t="s">
        <v>36</v>
      </c>
      <c r="G32" s="12">
        <v>0.1</v>
      </c>
      <c r="I32" s="11">
        <f t="shared" si="4"/>
        <v>2</v>
      </c>
      <c r="J32" s="13">
        <f t="shared" si="5"/>
        <v>0</v>
      </c>
      <c r="K32" s="13">
        <f t="shared" si="5"/>
        <v>0</v>
      </c>
      <c r="L32" s="11"/>
      <c r="O32" s="12"/>
      <c r="P32" s="12"/>
      <c r="Q32" s="12"/>
      <c r="R32" s="12"/>
      <c r="V32" s="12"/>
      <c r="W32" s="12">
        <v>0.3</v>
      </c>
      <c r="X32" s="12"/>
      <c r="Y32" s="12">
        <v>0.3</v>
      </c>
      <c r="AC32" s="12"/>
      <c r="AD32" s="12">
        <v>0.5</v>
      </c>
      <c r="AE32" s="12"/>
      <c r="AF32" s="12">
        <v>0.5</v>
      </c>
      <c r="AJ32" s="12"/>
      <c r="AK32" s="12">
        <v>0.8</v>
      </c>
      <c r="AL32" s="12"/>
      <c r="AM32" s="12">
        <v>0.8</v>
      </c>
      <c r="AP32">
        <v>2</v>
      </c>
      <c r="AQ32" s="12"/>
      <c r="AR32" s="12">
        <v>1</v>
      </c>
      <c r="AS32" s="12"/>
      <c r="AT32" s="12">
        <v>1</v>
      </c>
      <c r="AX32" s="12"/>
      <c r="AY32" s="12"/>
      <c r="AZ32" s="12"/>
      <c r="BA32" s="12"/>
      <c r="BE32" s="12"/>
      <c r="BF32" s="12"/>
      <c r="BG32" s="12"/>
      <c r="BH32" s="12"/>
    </row>
    <row r="33" spans="2:60" hidden="1" outlineLevel="1" x14ac:dyDescent="0.2">
      <c r="B33" t="s">
        <v>29</v>
      </c>
      <c r="C33" t="s">
        <v>2</v>
      </c>
      <c r="E33" s="11"/>
      <c r="F33" t="s">
        <v>37</v>
      </c>
      <c r="G33" s="12">
        <v>0.1</v>
      </c>
      <c r="I33" s="11">
        <f t="shared" si="4"/>
        <v>2</v>
      </c>
      <c r="J33" s="13">
        <f t="shared" si="5"/>
        <v>0</v>
      </c>
      <c r="K33" s="13">
        <f t="shared" si="5"/>
        <v>0</v>
      </c>
      <c r="L33" s="11"/>
      <c r="O33" s="12"/>
      <c r="P33" s="12"/>
      <c r="Q33" s="12"/>
      <c r="R33" s="12"/>
      <c r="V33" s="12"/>
      <c r="W33" s="12">
        <v>0.3</v>
      </c>
      <c r="X33" s="12"/>
      <c r="Y33" s="12">
        <v>0.3</v>
      </c>
      <c r="AC33" s="12"/>
      <c r="AD33" s="12">
        <v>0.5</v>
      </c>
      <c r="AE33" s="12"/>
      <c r="AF33" s="12">
        <v>0.5</v>
      </c>
      <c r="AJ33" s="12"/>
      <c r="AK33" s="12">
        <v>0.8</v>
      </c>
      <c r="AL33" s="12"/>
      <c r="AM33" s="12">
        <v>0.8</v>
      </c>
      <c r="AP33">
        <v>2</v>
      </c>
      <c r="AQ33" s="12"/>
      <c r="AR33" s="12">
        <v>1</v>
      </c>
      <c r="AS33" s="12"/>
      <c r="AT33" s="12">
        <v>1</v>
      </c>
      <c r="AX33" s="12"/>
      <c r="AY33" s="12"/>
      <c r="AZ33" s="12"/>
      <c r="BA33" s="12"/>
      <c r="BE33" s="12"/>
      <c r="BF33" s="12"/>
      <c r="BG33" s="12"/>
      <c r="BH33" s="12"/>
    </row>
    <row r="34" spans="2:60" hidden="1" outlineLevel="1" x14ac:dyDescent="0.2">
      <c r="B34" t="s">
        <v>29</v>
      </c>
      <c r="C34" t="s">
        <v>2</v>
      </c>
      <c r="E34" s="11"/>
      <c r="F34" t="s">
        <v>38</v>
      </c>
      <c r="G34" s="12">
        <v>0.1</v>
      </c>
      <c r="I34" s="11">
        <f t="shared" si="4"/>
        <v>2</v>
      </c>
      <c r="J34" s="13">
        <f t="shared" si="5"/>
        <v>0</v>
      </c>
      <c r="K34" s="13">
        <f t="shared" si="5"/>
        <v>0</v>
      </c>
      <c r="L34" s="11"/>
      <c r="O34" s="12"/>
      <c r="P34" s="12"/>
      <c r="Q34" s="12"/>
      <c r="R34" s="12"/>
      <c r="V34" s="12"/>
      <c r="W34" s="12"/>
      <c r="X34" s="12"/>
      <c r="Y34" s="12"/>
      <c r="AC34" s="12"/>
      <c r="AD34" s="12">
        <v>0.5</v>
      </c>
      <c r="AE34" s="12"/>
      <c r="AF34" s="12">
        <v>0.5</v>
      </c>
      <c r="AJ34" s="12"/>
      <c r="AK34" s="12">
        <v>0.8</v>
      </c>
      <c r="AL34" s="12"/>
      <c r="AM34" s="12">
        <v>0.8</v>
      </c>
      <c r="AP34">
        <v>2</v>
      </c>
      <c r="AQ34" s="12"/>
      <c r="AR34" s="12">
        <v>1</v>
      </c>
      <c r="AS34" s="12"/>
      <c r="AT34" s="12">
        <v>1</v>
      </c>
      <c r="AX34" s="12"/>
      <c r="AY34" s="12"/>
      <c r="AZ34" s="12"/>
      <c r="BA34" s="12"/>
      <c r="BE34" s="12"/>
      <c r="BF34" s="12"/>
      <c r="BG34" s="12"/>
      <c r="BH34" s="12"/>
    </row>
    <row r="35" spans="2:60" hidden="1" outlineLevel="1" x14ac:dyDescent="0.2">
      <c r="B35" t="s">
        <v>29</v>
      </c>
      <c r="C35" t="s">
        <v>2</v>
      </c>
      <c r="E35" s="11"/>
      <c r="F35" t="s">
        <v>39</v>
      </c>
      <c r="G35" s="12">
        <v>0.1</v>
      </c>
      <c r="I35" s="11">
        <f t="shared" si="4"/>
        <v>2</v>
      </c>
      <c r="J35" s="13">
        <f t="shared" si="5"/>
        <v>0</v>
      </c>
      <c r="K35" s="13">
        <f t="shared" si="5"/>
        <v>0</v>
      </c>
      <c r="L35" s="11"/>
      <c r="O35" s="12"/>
      <c r="P35" s="12"/>
      <c r="Q35" s="12"/>
      <c r="R35" s="12"/>
      <c r="V35" s="12"/>
      <c r="W35" s="12"/>
      <c r="X35" s="12"/>
      <c r="Y35" s="12"/>
      <c r="AC35" s="12"/>
      <c r="AD35" s="12">
        <v>0.5</v>
      </c>
      <c r="AE35" s="12"/>
      <c r="AF35" s="12">
        <v>0.5</v>
      </c>
      <c r="AJ35" s="12"/>
      <c r="AK35" s="12">
        <v>0.8</v>
      </c>
      <c r="AL35" s="12"/>
      <c r="AM35" s="12">
        <v>0.8</v>
      </c>
      <c r="AP35">
        <v>2</v>
      </c>
      <c r="AQ35" s="12"/>
      <c r="AR35" s="12">
        <v>1</v>
      </c>
      <c r="AS35" s="12"/>
      <c r="AT35" s="12">
        <v>1</v>
      </c>
      <c r="AX35" s="12"/>
      <c r="AY35" s="12"/>
      <c r="AZ35" s="12"/>
      <c r="BA35" s="12"/>
      <c r="BE35" s="12"/>
      <c r="BF35" s="12"/>
      <c r="BG35" s="12"/>
      <c r="BH35" s="12"/>
    </row>
    <row r="36" spans="2:60" hidden="1" outlineLevel="1" x14ac:dyDescent="0.2">
      <c r="B36" t="s">
        <v>29</v>
      </c>
      <c r="C36" t="s">
        <v>2</v>
      </c>
      <c r="E36" s="11"/>
      <c r="F36" t="s">
        <v>40</v>
      </c>
      <c r="G36" s="12">
        <v>0.1</v>
      </c>
      <c r="I36" s="11">
        <f t="shared" si="4"/>
        <v>4</v>
      </c>
      <c r="J36" s="13">
        <f t="shared" si="5"/>
        <v>0</v>
      </c>
      <c r="K36" s="13">
        <f t="shared" si="5"/>
        <v>0</v>
      </c>
      <c r="L36" s="11"/>
      <c r="O36" s="12"/>
      <c r="P36" s="12"/>
      <c r="Q36" s="12"/>
      <c r="R36" s="12"/>
      <c r="V36" s="12"/>
      <c r="W36" s="12"/>
      <c r="X36" s="12"/>
      <c r="Y36" s="12"/>
      <c r="AC36" s="12"/>
      <c r="AD36" s="12">
        <v>0.3</v>
      </c>
      <c r="AE36" s="12"/>
      <c r="AF36" s="12">
        <v>0.3</v>
      </c>
      <c r="AJ36" s="12"/>
      <c r="AK36" s="12">
        <v>0.5</v>
      </c>
      <c r="AL36" s="12"/>
      <c r="AM36" s="12">
        <v>0.5</v>
      </c>
      <c r="AP36">
        <v>4</v>
      </c>
      <c r="AQ36" s="12"/>
      <c r="AR36" s="12">
        <v>1</v>
      </c>
      <c r="AS36" s="12"/>
      <c r="AT36" s="12">
        <v>1</v>
      </c>
      <c r="AX36" s="12"/>
      <c r="AY36" s="12"/>
      <c r="AZ36" s="12"/>
      <c r="BA36" s="12"/>
      <c r="BE36" s="12"/>
      <c r="BF36" s="12"/>
      <c r="BG36" s="12"/>
      <c r="BH36" s="12"/>
    </row>
    <row r="37" spans="2:60" hidden="1" outlineLevel="1" x14ac:dyDescent="0.2">
      <c r="B37" t="s">
        <v>29</v>
      </c>
      <c r="C37" t="s">
        <v>2</v>
      </c>
      <c r="E37" s="11"/>
      <c r="F37" t="s">
        <v>41</v>
      </c>
      <c r="G37" s="12">
        <v>0.1</v>
      </c>
      <c r="I37" s="11">
        <f t="shared" si="4"/>
        <v>4</v>
      </c>
      <c r="J37" s="13">
        <f t="shared" si="5"/>
        <v>0</v>
      </c>
      <c r="K37" s="13">
        <f t="shared" si="5"/>
        <v>0</v>
      </c>
      <c r="L37" s="11"/>
      <c r="O37" s="12"/>
      <c r="P37" s="12"/>
      <c r="Q37" s="12"/>
      <c r="R37" s="12"/>
      <c r="V37" s="12"/>
      <c r="W37" s="12"/>
      <c r="X37" s="12"/>
      <c r="Y37" s="12"/>
      <c r="AC37" s="12"/>
      <c r="AD37" s="12"/>
      <c r="AE37" s="12"/>
      <c r="AF37" s="12"/>
      <c r="AJ37" s="12"/>
      <c r="AK37" s="12">
        <v>0.5</v>
      </c>
      <c r="AL37" s="12"/>
      <c r="AM37" s="12">
        <v>0.5</v>
      </c>
      <c r="AP37">
        <v>4</v>
      </c>
      <c r="AQ37" s="12"/>
      <c r="AR37" s="12">
        <v>1</v>
      </c>
      <c r="AS37" s="12"/>
      <c r="AT37" s="12">
        <v>1</v>
      </c>
      <c r="AX37" s="12"/>
      <c r="AY37" s="12"/>
      <c r="AZ37" s="12"/>
      <c r="BA37" s="12"/>
      <c r="BE37" s="12"/>
      <c r="BF37" s="12"/>
      <c r="BG37" s="12"/>
      <c r="BH37" s="12"/>
    </row>
    <row r="38" spans="2:60" hidden="1" outlineLevel="1" x14ac:dyDescent="0.2">
      <c r="B38" t="s">
        <v>29</v>
      </c>
      <c r="C38" t="s">
        <v>2</v>
      </c>
      <c r="E38" s="11"/>
      <c r="F38" t="s">
        <v>42</v>
      </c>
      <c r="G38" s="12">
        <v>0.1</v>
      </c>
      <c r="I38" s="11">
        <f t="shared" si="4"/>
        <v>4</v>
      </c>
      <c r="J38" s="13">
        <f t="shared" si="5"/>
        <v>0</v>
      </c>
      <c r="K38" s="13">
        <f t="shared" si="5"/>
        <v>0</v>
      </c>
      <c r="L38" s="11"/>
      <c r="O38" s="12"/>
      <c r="P38" s="12"/>
      <c r="Q38" s="12"/>
      <c r="R38" s="12"/>
      <c r="V38" s="12"/>
      <c r="W38" s="12"/>
      <c r="X38" s="12"/>
      <c r="Y38" s="12"/>
      <c r="AC38" s="12"/>
      <c r="AD38" s="12"/>
      <c r="AE38" s="12"/>
      <c r="AF38" s="12"/>
      <c r="AJ38" s="12"/>
      <c r="AK38" s="12">
        <v>0.5</v>
      </c>
      <c r="AL38" s="12"/>
      <c r="AM38" s="12">
        <v>0.5</v>
      </c>
      <c r="AP38">
        <v>4</v>
      </c>
      <c r="AQ38" s="12"/>
      <c r="AR38" s="12">
        <v>1</v>
      </c>
      <c r="AS38" s="12"/>
      <c r="AT38" s="12">
        <v>1</v>
      </c>
      <c r="AX38" s="12"/>
      <c r="AY38" s="12"/>
      <c r="AZ38" s="12"/>
      <c r="BA38" s="12"/>
      <c r="BE38" s="12"/>
      <c r="BF38" s="12"/>
      <c r="BG38" s="12"/>
      <c r="BH38" s="12"/>
    </row>
    <row r="39" spans="2:60" collapsed="1" x14ac:dyDescent="0.2"/>
  </sheetData>
  <mergeCells count="8">
    <mergeCell ref="I2:L2"/>
    <mergeCell ref="N2:S2"/>
    <mergeCell ref="BD2:BI2"/>
    <mergeCell ref="U2:Z2"/>
    <mergeCell ref="AB2:AG2"/>
    <mergeCell ref="AI2:AN2"/>
    <mergeCell ref="AP2:AU2"/>
    <mergeCell ref="AW2:BB2"/>
  </mergeCells>
  <conditionalFormatting sqref="J5:K16">
    <cfRule type="colorScale" priority="182">
      <colorScale>
        <cfvo type="percent" val="0"/>
        <cfvo type="percent" val="100"/>
        <color rgb="FFFF231B"/>
        <color rgb="FF10FF07"/>
      </colorScale>
    </cfRule>
  </conditionalFormatting>
  <conditionalFormatting sqref="O19:O23 Q19:Q23 O5:O16">
    <cfRule type="expression" dxfId="128" priority="180">
      <formula>OR(IF(O5&lt;P5,TRUE),IF(AND(P5="",O5&lt;&gt;""),TRUE))</formula>
    </cfRule>
    <cfRule type="expression" dxfId="127" priority="181">
      <formula>IF(O5&gt;=P5,IF(O5="",FALSE,TRUE))</formula>
    </cfRule>
  </conditionalFormatting>
  <conditionalFormatting sqref="Q5:Q16">
    <cfRule type="expression" dxfId="126" priority="178">
      <formula>OR(IF(Q5&lt;R5,TRUE),IF(AND(R5="",Q5&lt;&gt;""),TRUE))</formula>
    </cfRule>
    <cfRule type="expression" dxfId="125" priority="179">
      <formula>IF(Q5&gt;=R5,IF(Q5="",FALSE,TRUE))</formula>
    </cfRule>
  </conditionalFormatting>
  <conditionalFormatting sqref="AJ29:AJ38">
    <cfRule type="expression" dxfId="124" priority="51">
      <formula>OR(IF(AJ29&lt;AK29,TRUE),IF(AND(AK29="",AJ29&lt;&gt;""),TRUE))</formula>
    </cfRule>
    <cfRule type="expression" dxfId="123" priority="52">
      <formula>IF(AJ29&gt;=AK29,IF(AJ29="",FALSE,TRUE))</formula>
    </cfRule>
  </conditionalFormatting>
  <conditionalFormatting sqref="AL29:AL38">
    <cfRule type="expression" dxfId="122" priority="49">
      <formula>OR(IF(AL29&lt;AM29,TRUE),IF(AND(AM29="",AL29&lt;&gt;""),TRUE))</formula>
    </cfRule>
    <cfRule type="expression" dxfId="121" priority="50">
      <formula>IF(AL29&gt;=AM29,IF(AL29="",FALSE,TRUE))</formula>
    </cfRule>
  </conditionalFormatting>
  <conditionalFormatting sqref="AQ19:AQ23 AS19:AS23 AQ5:AQ16">
    <cfRule type="expression" dxfId="120" priority="47">
      <formula>OR(IF(AQ5&lt;AR5,TRUE),IF(AND(AR5="",AQ5&lt;&gt;""),TRUE))</formula>
    </cfRule>
    <cfRule type="expression" dxfId="119" priority="48">
      <formula>IF(AQ5&gt;=AR5,IF(AQ5="",FALSE,TRUE))</formula>
    </cfRule>
  </conditionalFormatting>
  <conditionalFormatting sqref="AS5:AS16">
    <cfRule type="expression" dxfId="118" priority="45">
      <formula>OR(IF(AS5&lt;AT5,TRUE),IF(AND(AT5="",AS5&lt;&gt;""),TRUE))</formula>
    </cfRule>
    <cfRule type="expression" dxfId="117" priority="46">
      <formula>IF(AS5&gt;=AT5,IF(AS5="",FALSE,TRUE))</formula>
    </cfRule>
  </conditionalFormatting>
  <conditionalFormatting sqref="J19:K24">
    <cfRule type="colorScale" priority="183">
      <colorScale>
        <cfvo type="percent" val="0"/>
        <cfvo type="percent" val="100"/>
        <color rgb="FFFF231B"/>
        <color rgb="FF10FF07"/>
      </colorScale>
    </cfRule>
  </conditionalFormatting>
  <conditionalFormatting sqref="J27:K38">
    <cfRule type="colorScale" priority="123">
      <colorScale>
        <cfvo type="percent" val="0"/>
        <cfvo type="percent" val="100"/>
        <color rgb="FFFF231B"/>
        <color rgb="FF10FF07"/>
      </colorScale>
    </cfRule>
  </conditionalFormatting>
  <conditionalFormatting sqref="O27:O28">
    <cfRule type="expression" dxfId="116" priority="121">
      <formula>OR(IF(O27&lt;P27,TRUE),IF(AND(P27="",O27&lt;&gt;""),TRUE))</formula>
    </cfRule>
    <cfRule type="expression" dxfId="115" priority="122">
      <formula>IF(O27&gt;=P27,IF(O27="",FALSE,TRUE))</formula>
    </cfRule>
  </conditionalFormatting>
  <conditionalFormatting sqref="Q27:Q28">
    <cfRule type="expression" dxfId="114" priority="119">
      <formula>OR(IF(Q27&lt;R27,TRUE),IF(AND(R27="",Q27&lt;&gt;""),TRUE))</formula>
    </cfRule>
    <cfRule type="expression" dxfId="113" priority="120">
      <formula>IF(Q27&gt;=R27,IF(Q27="",FALSE,TRUE))</formula>
    </cfRule>
  </conditionalFormatting>
  <conditionalFormatting sqref="AZ24">
    <cfRule type="expression" dxfId="112" priority="21">
      <formula>OR(IF(AZ24&lt;BA24,TRUE),IF(AND(BA24="",AZ24&lt;&gt;""),TRUE))</formula>
    </cfRule>
    <cfRule type="expression" dxfId="111" priority="22">
      <formula>IF(AZ24&gt;=BA24,IF(AZ24="",FALSE,TRUE))</formula>
    </cfRule>
  </conditionalFormatting>
  <conditionalFormatting sqref="AX29:AX38">
    <cfRule type="expression" dxfId="110" priority="19">
      <formula>OR(IF(AX29&lt;AY29,TRUE),IF(AND(AY29="",AX29&lt;&gt;""),TRUE))</formula>
    </cfRule>
    <cfRule type="expression" dxfId="109" priority="20">
      <formula>IF(AX29&gt;=AY29,IF(AX29="",FALSE,TRUE))</formula>
    </cfRule>
  </conditionalFormatting>
  <conditionalFormatting sqref="AZ29:AZ38">
    <cfRule type="expression" dxfId="108" priority="17">
      <formula>OR(IF(AZ29&lt;BA29,TRUE),IF(AND(BA29="",AZ29&lt;&gt;""),TRUE))</formula>
    </cfRule>
    <cfRule type="expression" dxfId="107" priority="18">
      <formula>IF(AZ29&gt;=BA29,IF(AZ29="",FALSE,TRUE))</formula>
    </cfRule>
  </conditionalFormatting>
  <conditionalFormatting sqref="BE19:BE23 BG19:BG23 BE5:BE16">
    <cfRule type="expression" dxfId="106" priority="15">
      <formula>OR(IF(BE5&lt;BF5,TRUE),IF(AND(BF5="",BE5&lt;&gt;""),TRUE))</formula>
    </cfRule>
    <cfRule type="expression" dxfId="105" priority="16">
      <formula>IF(BE5&gt;=BF5,IF(BE5="",FALSE,TRUE))</formula>
    </cfRule>
  </conditionalFormatting>
  <conditionalFormatting sqref="BG5:BG16">
    <cfRule type="expression" dxfId="104" priority="13">
      <formula>OR(IF(BG5&lt;BH5,TRUE),IF(AND(BH5="",BG5&lt;&gt;""),TRUE))</formula>
    </cfRule>
    <cfRule type="expression" dxfId="103" priority="14">
      <formula>IF(BG5&gt;=BH5,IF(BG5="",FALSE,TRUE))</formula>
    </cfRule>
  </conditionalFormatting>
  <conditionalFormatting sqref="BE27:BE28">
    <cfRule type="expression" dxfId="102" priority="11">
      <formula>OR(IF(BE27&lt;BF27,TRUE),IF(AND(BF27="",BE27&lt;&gt;""),TRUE))</formula>
    </cfRule>
    <cfRule type="expression" dxfId="101" priority="12">
      <formula>IF(BE27&gt;=BF27,IF(BE27="",FALSE,TRUE))</formula>
    </cfRule>
  </conditionalFormatting>
  <conditionalFormatting sqref="Q29:Q38">
    <cfRule type="expression" dxfId="100" priority="97">
      <formula>OR(IF(Q29&lt;R29,TRUE),IF(AND(R29="",Q29&lt;&gt;""),TRUE))</formula>
    </cfRule>
    <cfRule type="expression" dxfId="99" priority="98">
      <formula>IF(Q29&gt;=R29,IF(Q29="",FALSE,TRUE))</formula>
    </cfRule>
  </conditionalFormatting>
  <conditionalFormatting sqref="O24">
    <cfRule type="expression" dxfId="98" priority="103">
      <formula>OR(IF(O24&lt;P24,TRUE),IF(AND(P24="",O24&lt;&gt;""),TRUE))</formula>
    </cfRule>
    <cfRule type="expression" dxfId="97" priority="104">
      <formula>IF(O24&gt;=P24,IF(O24="",FALSE,TRUE))</formula>
    </cfRule>
  </conditionalFormatting>
  <conditionalFormatting sqref="Q24">
    <cfRule type="expression" dxfId="96" priority="101">
      <formula>OR(IF(Q24&lt;R24,TRUE),IF(AND(R24="",Q24&lt;&gt;""),TRUE))</formula>
    </cfRule>
    <cfRule type="expression" dxfId="95" priority="102">
      <formula>IF(Q24&gt;=R24,IF(Q24="",FALSE,TRUE))</formula>
    </cfRule>
  </conditionalFormatting>
  <conditionalFormatting sqref="O29:O38">
    <cfRule type="expression" dxfId="94" priority="99">
      <formula>OR(IF(O29&lt;P29,TRUE),IF(AND(P29="",O29&lt;&gt;""),TRUE))</formula>
    </cfRule>
    <cfRule type="expression" dxfId="93" priority="100">
      <formula>IF(O29&gt;=P29,IF(O29="",FALSE,TRUE))</formula>
    </cfRule>
  </conditionalFormatting>
  <conditionalFormatting sqref="BG29:BG38">
    <cfRule type="expression" dxfId="92" priority="1">
      <formula>OR(IF(BG29&lt;BH29,TRUE),IF(AND(BH29="",BG29&lt;&gt;""),TRUE))</formula>
    </cfRule>
    <cfRule type="expression" dxfId="91" priority="2">
      <formula>IF(BG29&gt;=BH29,IF(BG29="",FALSE,TRUE))</formula>
    </cfRule>
  </conditionalFormatting>
  <conditionalFormatting sqref="V19:V23 X19:X23 V5:V16">
    <cfRule type="expression" dxfId="90" priority="95">
      <formula>OR(IF(V5&lt;W5,TRUE),IF(AND(W5="",V5&lt;&gt;""),TRUE))</formula>
    </cfRule>
    <cfRule type="expression" dxfId="89" priority="96">
      <formula>IF(V5&gt;=W5,IF(V5="",FALSE,TRUE))</formula>
    </cfRule>
  </conditionalFormatting>
  <conditionalFormatting sqref="X5:X16">
    <cfRule type="expression" dxfId="88" priority="93">
      <formula>OR(IF(X5&lt;Y5,TRUE),IF(AND(Y5="",X5&lt;&gt;""),TRUE))</formula>
    </cfRule>
    <cfRule type="expression" dxfId="87" priority="94">
      <formula>IF(X5&gt;=Y5,IF(X5="",FALSE,TRUE))</formula>
    </cfRule>
  </conditionalFormatting>
  <conditionalFormatting sqref="V27:V28">
    <cfRule type="expression" dxfId="86" priority="91">
      <formula>OR(IF(V27&lt;W27,TRUE),IF(AND(W27="",V27&lt;&gt;""),TRUE))</formula>
    </cfRule>
    <cfRule type="expression" dxfId="85" priority="92">
      <formula>IF(V27&gt;=W27,IF(V27="",FALSE,TRUE))</formula>
    </cfRule>
  </conditionalFormatting>
  <conditionalFormatting sqref="X27:X28">
    <cfRule type="expression" dxfId="84" priority="89">
      <formula>OR(IF(X27&lt;Y27,TRUE),IF(AND(Y27="",X27&lt;&gt;""),TRUE))</formula>
    </cfRule>
    <cfRule type="expression" dxfId="83" priority="90">
      <formula>IF(X27&gt;=Y27,IF(X27="",FALSE,TRUE))</formula>
    </cfRule>
  </conditionalFormatting>
  <conditionalFormatting sqref="X29:X38">
    <cfRule type="expression" dxfId="82" priority="81">
      <formula>OR(IF(X29&lt;Y29,TRUE),IF(AND(Y29="",X29&lt;&gt;""),TRUE))</formula>
    </cfRule>
    <cfRule type="expression" dxfId="81" priority="82">
      <formula>IF(X29&gt;=Y29,IF(X29="",FALSE,TRUE))</formula>
    </cfRule>
  </conditionalFormatting>
  <conditionalFormatting sqref="V24">
    <cfRule type="expression" dxfId="80" priority="87">
      <formula>OR(IF(V24&lt;W24,TRUE),IF(AND(W24="",V24&lt;&gt;""),TRUE))</formula>
    </cfRule>
    <cfRule type="expression" dxfId="79" priority="88">
      <formula>IF(V24&gt;=W24,IF(V24="",FALSE,TRUE))</formula>
    </cfRule>
  </conditionalFormatting>
  <conditionalFormatting sqref="X24">
    <cfRule type="expression" dxfId="78" priority="85">
      <formula>OR(IF(X24&lt;Y24,TRUE),IF(AND(Y24="",X24&lt;&gt;""),TRUE))</formula>
    </cfRule>
    <cfRule type="expression" dxfId="77" priority="86">
      <formula>IF(X24&gt;=Y24,IF(X24="",FALSE,TRUE))</formula>
    </cfRule>
  </conditionalFormatting>
  <conditionalFormatting sqref="V29:V38">
    <cfRule type="expression" dxfId="76" priority="83">
      <formula>OR(IF(V29&lt;W29,TRUE),IF(AND(W29="",V29&lt;&gt;""),TRUE))</formula>
    </cfRule>
    <cfRule type="expression" dxfId="75" priority="84">
      <formula>IF(V29&gt;=W29,IF(V29="",FALSE,TRUE))</formula>
    </cfRule>
  </conditionalFormatting>
  <conditionalFormatting sqref="AC19:AC23 AE19:AE23 AC5:AC16">
    <cfRule type="expression" dxfId="74" priority="79">
      <formula>OR(IF(AC5&lt;AD5,TRUE),IF(AND(AD5="",AC5&lt;&gt;""),TRUE))</formula>
    </cfRule>
    <cfRule type="expression" dxfId="73" priority="80">
      <formula>IF(AC5&gt;=AD5,IF(AC5="",FALSE,TRUE))</formula>
    </cfRule>
  </conditionalFormatting>
  <conditionalFormatting sqref="AE5:AE16">
    <cfRule type="expression" dxfId="72" priority="77">
      <formula>OR(IF(AE5&lt;AF5,TRUE),IF(AND(AF5="",AE5&lt;&gt;""),TRUE))</formula>
    </cfRule>
    <cfRule type="expression" dxfId="71" priority="78">
      <formula>IF(AE5&gt;=AF5,IF(AE5="",FALSE,TRUE))</formula>
    </cfRule>
  </conditionalFormatting>
  <conditionalFormatting sqref="AC27:AC28">
    <cfRule type="expression" dxfId="70" priority="75">
      <formula>OR(IF(AC27&lt;AD27,TRUE),IF(AND(AD27="",AC27&lt;&gt;""),TRUE))</formula>
    </cfRule>
    <cfRule type="expression" dxfId="69" priority="76">
      <formula>IF(AC27&gt;=AD27,IF(AC27="",FALSE,TRUE))</formula>
    </cfRule>
  </conditionalFormatting>
  <conditionalFormatting sqref="AE27:AE28">
    <cfRule type="expression" dxfId="68" priority="73">
      <formula>OR(IF(AE27&lt;AF27,TRUE),IF(AND(AF27="",AE27&lt;&gt;""),TRUE))</formula>
    </cfRule>
    <cfRule type="expression" dxfId="67" priority="74">
      <formula>IF(AE27&gt;=AF27,IF(AE27="",FALSE,TRUE))</formula>
    </cfRule>
  </conditionalFormatting>
  <conditionalFormatting sqref="AE29:AE38">
    <cfRule type="expression" dxfId="66" priority="65">
      <formula>OR(IF(AE29&lt;AF29,TRUE),IF(AND(AF29="",AE29&lt;&gt;""),TRUE))</formula>
    </cfRule>
    <cfRule type="expression" dxfId="65" priority="66">
      <formula>IF(AE29&gt;=AF29,IF(AE29="",FALSE,TRUE))</formula>
    </cfRule>
  </conditionalFormatting>
  <conditionalFormatting sqref="AC24">
    <cfRule type="expression" dxfId="64" priority="71">
      <formula>OR(IF(AC24&lt;AD24,TRUE),IF(AND(AD24="",AC24&lt;&gt;""),TRUE))</formula>
    </cfRule>
    <cfRule type="expression" dxfId="63" priority="72">
      <formula>IF(AC24&gt;=AD24,IF(AC24="",FALSE,TRUE))</formula>
    </cfRule>
  </conditionalFormatting>
  <conditionalFormatting sqref="AE24">
    <cfRule type="expression" dxfId="62" priority="69">
      <formula>OR(IF(AE24&lt;AF24,TRUE),IF(AND(AF24="",AE24&lt;&gt;""),TRUE))</formula>
    </cfRule>
    <cfRule type="expression" dxfId="61" priority="70">
      <formula>IF(AE24&gt;=AF24,IF(AE24="",FALSE,TRUE))</formula>
    </cfRule>
  </conditionalFormatting>
  <conditionalFormatting sqref="AC29:AC38">
    <cfRule type="expression" dxfId="60" priority="67">
      <formula>OR(IF(AC29&lt;AD29,TRUE),IF(AND(AD29="",AC29&lt;&gt;""),TRUE))</formula>
    </cfRule>
    <cfRule type="expression" dxfId="59" priority="68">
      <formula>IF(AC29&gt;=AD29,IF(AC29="",FALSE,TRUE))</formula>
    </cfRule>
  </conditionalFormatting>
  <conditionalFormatting sqref="AJ19:AJ23 AL19:AL23 AJ5:AJ16">
    <cfRule type="expression" dxfId="58" priority="63">
      <formula>OR(IF(AJ5&lt;AK5,TRUE),IF(AND(AK5="",AJ5&lt;&gt;""),TRUE))</formula>
    </cfRule>
    <cfRule type="expression" dxfId="57" priority="64">
      <formula>IF(AJ5&gt;=AK5,IF(AJ5="",FALSE,TRUE))</formula>
    </cfRule>
  </conditionalFormatting>
  <conditionalFormatting sqref="AL5:AL16">
    <cfRule type="expression" dxfId="56" priority="61">
      <formula>OR(IF(AL5&lt;AM5,TRUE),IF(AND(AM5="",AL5&lt;&gt;""),TRUE))</formula>
    </cfRule>
    <cfRule type="expression" dxfId="55" priority="62">
      <formula>IF(AL5&gt;=AM5,IF(AL5="",FALSE,TRUE))</formula>
    </cfRule>
  </conditionalFormatting>
  <conditionalFormatting sqref="AJ27:AJ28">
    <cfRule type="expression" dxfId="54" priority="59">
      <formula>OR(IF(AJ27&lt;AK27,TRUE),IF(AND(AK27="",AJ27&lt;&gt;""),TRUE))</formula>
    </cfRule>
    <cfRule type="expression" dxfId="53" priority="60">
      <formula>IF(AJ27&gt;=AK27,IF(AJ27="",FALSE,TRUE))</formula>
    </cfRule>
  </conditionalFormatting>
  <conditionalFormatting sqref="AL27:AL28">
    <cfRule type="expression" dxfId="52" priority="57">
      <formula>OR(IF(AL27&lt;AM27,TRUE),IF(AND(AM27="",AL27&lt;&gt;""),TRUE))</formula>
    </cfRule>
    <cfRule type="expression" dxfId="51" priority="58">
      <formula>IF(AL27&gt;=AM27,IF(AL27="",FALSE,TRUE))</formula>
    </cfRule>
  </conditionalFormatting>
  <conditionalFormatting sqref="AJ24">
    <cfRule type="expression" dxfId="50" priority="55">
      <formula>OR(IF(AJ24&lt;AK24,TRUE),IF(AND(AK24="",AJ24&lt;&gt;""),TRUE))</formula>
    </cfRule>
    <cfRule type="expression" dxfId="49" priority="56">
      <formula>IF(AJ24&gt;=AK24,IF(AJ24="",FALSE,TRUE))</formula>
    </cfRule>
  </conditionalFormatting>
  <conditionalFormatting sqref="AL24">
    <cfRule type="expression" dxfId="48" priority="53">
      <formula>OR(IF(AL24&lt;AM24,TRUE),IF(AND(AM24="",AL24&lt;&gt;""),TRUE))</formula>
    </cfRule>
    <cfRule type="expression" dxfId="47" priority="54">
      <formula>IF(AL24&gt;=AM24,IF(AL24="",FALSE,TRUE))</formula>
    </cfRule>
  </conditionalFormatting>
  <conditionalFormatting sqref="AQ27:AQ28">
    <cfRule type="expression" dxfId="46" priority="43">
      <formula>OR(IF(AQ27&lt;AR27,TRUE),IF(AND(AR27="",AQ27&lt;&gt;""),TRUE))</formula>
    </cfRule>
    <cfRule type="expression" dxfId="45" priority="44">
      <formula>IF(AQ27&gt;=AR27,IF(AQ27="",FALSE,TRUE))</formula>
    </cfRule>
  </conditionalFormatting>
  <conditionalFormatting sqref="AS27:AS28">
    <cfRule type="expression" dxfId="44" priority="41">
      <formula>OR(IF(AS27&lt;AT27,TRUE),IF(AND(AT27="",AS27&lt;&gt;""),TRUE))</formula>
    </cfRule>
    <cfRule type="expression" dxfId="43" priority="42">
      <formula>IF(AS27&gt;=AT27,IF(AS27="",FALSE,TRUE))</formula>
    </cfRule>
  </conditionalFormatting>
  <conditionalFormatting sqref="AS29:AS38">
    <cfRule type="expression" dxfId="42" priority="33">
      <formula>OR(IF(AS29&lt;AT29,TRUE),IF(AND(AT29="",AS29&lt;&gt;""),TRUE))</formula>
    </cfRule>
    <cfRule type="expression" dxfId="41" priority="34">
      <formula>IF(AS29&gt;=AT29,IF(AS29="",FALSE,TRUE))</formula>
    </cfRule>
  </conditionalFormatting>
  <conditionalFormatting sqref="AQ24">
    <cfRule type="expression" dxfId="40" priority="39">
      <formula>OR(IF(AQ24&lt;AR24,TRUE),IF(AND(AR24="",AQ24&lt;&gt;""),TRUE))</formula>
    </cfRule>
    <cfRule type="expression" dxfId="39" priority="40">
      <formula>IF(AQ24&gt;=AR24,IF(AQ24="",FALSE,TRUE))</formula>
    </cfRule>
  </conditionalFormatting>
  <conditionalFormatting sqref="AS24">
    <cfRule type="expression" dxfId="38" priority="37">
      <formula>OR(IF(AS24&lt;AT24,TRUE),IF(AND(AT24="",AS24&lt;&gt;""),TRUE))</formula>
    </cfRule>
    <cfRule type="expression" dxfId="37" priority="38">
      <formula>IF(AS24&gt;=AT24,IF(AS24="",FALSE,TRUE))</formula>
    </cfRule>
  </conditionalFormatting>
  <conditionalFormatting sqref="AQ29:AQ38">
    <cfRule type="expression" dxfId="36" priority="35">
      <formula>OR(IF(AQ29&lt;AR29,TRUE),IF(AND(AR29="",AQ29&lt;&gt;""),TRUE))</formula>
    </cfRule>
    <cfRule type="expression" dxfId="35" priority="36">
      <formula>IF(AQ29&gt;=AR29,IF(AQ29="",FALSE,TRUE))</formula>
    </cfRule>
  </conditionalFormatting>
  <conditionalFormatting sqref="AX19:AX23 AZ19:AZ23 AX5:AX16">
    <cfRule type="expression" dxfId="34" priority="31">
      <formula>OR(IF(AX5&lt;AY5,TRUE),IF(AND(AY5="",AX5&lt;&gt;""),TRUE))</formula>
    </cfRule>
    <cfRule type="expression" dxfId="33" priority="32">
      <formula>IF(AX5&gt;=AY5,IF(AX5="",FALSE,TRUE))</formula>
    </cfRule>
  </conditionalFormatting>
  <conditionalFormatting sqref="AZ5:AZ16">
    <cfRule type="expression" dxfId="32" priority="29">
      <formula>OR(IF(AZ5&lt;BA5,TRUE),IF(AND(BA5="",AZ5&lt;&gt;""),TRUE))</formula>
    </cfRule>
    <cfRule type="expression" dxfId="31" priority="30">
      <formula>IF(AZ5&gt;=BA5,IF(AZ5="",FALSE,TRUE))</formula>
    </cfRule>
  </conditionalFormatting>
  <conditionalFormatting sqref="AX27:AX28">
    <cfRule type="expression" dxfId="30" priority="27">
      <formula>OR(IF(AX27&lt;AY27,TRUE),IF(AND(AY27="",AX27&lt;&gt;""),TRUE))</formula>
    </cfRule>
    <cfRule type="expression" dxfId="29" priority="28">
      <formula>IF(AX27&gt;=AY27,IF(AX27="",FALSE,TRUE))</formula>
    </cfRule>
  </conditionalFormatting>
  <conditionalFormatting sqref="AZ27:AZ28">
    <cfRule type="expression" dxfId="28" priority="25">
      <formula>OR(IF(AZ27&lt;BA27,TRUE),IF(AND(BA27="",AZ27&lt;&gt;""),TRUE))</formula>
    </cfRule>
    <cfRule type="expression" dxfId="27" priority="26">
      <formula>IF(AZ27&gt;=BA27,IF(AZ27="",FALSE,TRUE))</formula>
    </cfRule>
  </conditionalFormatting>
  <conditionalFormatting sqref="AX24">
    <cfRule type="expression" dxfId="26" priority="23">
      <formula>OR(IF(AX24&lt;AY24,TRUE),IF(AND(AY24="",AX24&lt;&gt;""),TRUE))</formula>
    </cfRule>
    <cfRule type="expression" dxfId="25" priority="24">
      <formula>IF(AX24&gt;=AY24,IF(AX24="",FALSE,TRUE))</formula>
    </cfRule>
  </conditionalFormatting>
  <conditionalFormatting sqref="BG27:BG28">
    <cfRule type="expression" dxfId="24" priority="9">
      <formula>OR(IF(BG27&lt;BH27,TRUE),IF(AND(BH27="",BG27&lt;&gt;""),TRUE))</formula>
    </cfRule>
    <cfRule type="expression" dxfId="23" priority="10">
      <formula>IF(BG27&gt;=BH27,IF(BG27="",FALSE,TRUE))</formula>
    </cfRule>
  </conditionalFormatting>
  <conditionalFormatting sqref="BE24">
    <cfRule type="expression" dxfId="22" priority="7">
      <formula>OR(IF(BE24&lt;BF24,TRUE),IF(AND(BF24="",BE24&lt;&gt;""),TRUE))</formula>
    </cfRule>
    <cfRule type="expression" dxfId="21" priority="8">
      <formula>IF(BE24&gt;=BF24,IF(BE24="",FALSE,TRUE))</formula>
    </cfRule>
  </conditionalFormatting>
  <conditionalFormatting sqref="BG24">
    <cfRule type="expression" dxfId="20" priority="5">
      <formula>OR(IF(BG24&lt;BH24,TRUE),IF(AND(BH24="",BG24&lt;&gt;""),TRUE))</formula>
    </cfRule>
    <cfRule type="expression" dxfId="19" priority="6">
      <formula>IF(BG24&gt;=BH24,IF(BG24="",FALSE,TRUE))</formula>
    </cfRule>
  </conditionalFormatting>
  <conditionalFormatting sqref="BE29:BE38">
    <cfRule type="expression" dxfId="18" priority="3">
      <formula>OR(IF(BE29&lt;BF29,TRUE),IF(AND(BF29="",BE29&lt;&gt;""),TRUE))</formula>
    </cfRule>
    <cfRule type="expression" dxfId="17" priority="4">
      <formula>IF(BE29&gt;=BF29,IF(BE29="",FALSE,TRUE))</formula>
    </cfRule>
  </conditionalFormatting>
  <dataValidations count="1">
    <dataValidation type="list" allowBlank="1" showInputMessage="1" showErrorMessage="1" sqref="O19:R24 O5:R16 V27:Y38 V19:Y24 V5:Y16 AC27:AF38 AC19:AF24 AC5:AF16 AJ27:AM38 AJ19:AM24 AJ5:AM16 AQ27:AT38 AQ5:AT16 BE27:BH38 AQ19:AT24 AX19:BA24 AX5:BA16 AX27:BA38 BE19:BH24 BE5:BH16 O27:R38"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RowHeight="16" x14ac:dyDescent="0.2"/>
  <cols>
    <col min="1" max="1" width="16.83203125" style="11" customWidth="1"/>
    <col min="2" max="2" width="19.1640625" style="11" customWidth="1"/>
    <col min="3" max="3" width="18.1640625" style="11" customWidth="1"/>
    <col min="4" max="4" width="19.5" style="11" customWidth="1"/>
    <col min="8" max="8" width="15.1640625" customWidth="1"/>
    <col min="10" max="10" width="42" customWidth="1"/>
    <col min="11" max="11" width="28.5" customWidth="1"/>
  </cols>
  <sheetData>
    <row r="1" spans="1:11" ht="34" x14ac:dyDescent="0.2">
      <c r="A1" s="11" t="s">
        <v>68</v>
      </c>
      <c r="B1" s="17" t="s">
        <v>65</v>
      </c>
      <c r="C1" s="17" t="s">
        <v>66</v>
      </c>
      <c r="D1" s="17" t="s">
        <v>67</v>
      </c>
      <c r="E1" s="1" t="s">
        <v>69</v>
      </c>
      <c r="F1" s="1" t="s">
        <v>70</v>
      </c>
      <c r="G1" s="1" t="s">
        <v>71</v>
      </c>
      <c r="H1" s="1" t="s">
        <v>72</v>
      </c>
      <c r="I1" s="1" t="s">
        <v>73</v>
      </c>
      <c r="J1" s="1" t="s">
        <v>74</v>
      </c>
      <c r="K1" s="1" t="s">
        <v>75</v>
      </c>
    </row>
    <row r="2" spans="1:11" x14ac:dyDescent="0.2">
      <c r="A2" s="16">
        <v>44118</v>
      </c>
      <c r="D2" s="18">
        <v>1</v>
      </c>
    </row>
    <row r="3" spans="1:11" x14ac:dyDescent="0.2">
      <c r="A3" s="16">
        <v>44119</v>
      </c>
    </row>
    <row r="4" spans="1:11" x14ac:dyDescent="0.2">
      <c r="A4" s="16">
        <v>44120</v>
      </c>
    </row>
    <row r="5" spans="1:11" x14ac:dyDescent="0.2">
      <c r="A5" s="16">
        <v>44121</v>
      </c>
    </row>
    <row r="6" spans="1:11" x14ac:dyDescent="0.2">
      <c r="A6" s="16">
        <v>44122</v>
      </c>
    </row>
    <row r="7" spans="1:11" x14ac:dyDescent="0.2">
      <c r="A7" s="16">
        <v>44123</v>
      </c>
    </row>
    <row r="8" spans="1:11" x14ac:dyDescent="0.2">
      <c r="A8" s="16">
        <v>44124</v>
      </c>
    </row>
    <row r="9" spans="1:11" x14ac:dyDescent="0.2">
      <c r="A9" s="16">
        <v>44125</v>
      </c>
    </row>
    <row r="10" spans="1:11" x14ac:dyDescent="0.2">
      <c r="A10" s="16">
        <v>44126</v>
      </c>
    </row>
    <row r="11" spans="1:11" x14ac:dyDescent="0.2">
      <c r="A11" s="16">
        <v>44127</v>
      </c>
    </row>
    <row r="12" spans="1:11" x14ac:dyDescent="0.2">
      <c r="A12" s="16">
        <v>44128</v>
      </c>
    </row>
    <row r="13" spans="1:11" x14ac:dyDescent="0.2">
      <c r="A13" s="16">
        <v>44129</v>
      </c>
    </row>
    <row r="14" spans="1:11" x14ac:dyDescent="0.2">
      <c r="A14" s="16">
        <v>44130</v>
      </c>
    </row>
    <row r="15" spans="1:11" x14ac:dyDescent="0.2">
      <c r="A15" s="16">
        <v>44131</v>
      </c>
    </row>
    <row r="16" spans="1:11" x14ac:dyDescent="0.2">
      <c r="A16" s="16">
        <v>44132</v>
      </c>
    </row>
    <row r="17" spans="1:1" x14ac:dyDescent="0.2">
      <c r="A17" s="16">
        <v>44133</v>
      </c>
    </row>
    <row r="18" spans="1:1" x14ac:dyDescent="0.2">
      <c r="A18" s="16">
        <v>44134</v>
      </c>
    </row>
    <row r="19" spans="1:1" x14ac:dyDescent="0.2">
      <c r="A19" s="16">
        <v>44135</v>
      </c>
    </row>
    <row r="20" spans="1:1" x14ac:dyDescent="0.2">
      <c r="A20" s="16">
        <v>44136</v>
      </c>
    </row>
    <row r="21" spans="1:1" x14ac:dyDescent="0.2">
      <c r="A21" s="16">
        <v>44137</v>
      </c>
    </row>
    <row r="22" spans="1:1" x14ac:dyDescent="0.2">
      <c r="A22" s="16">
        <v>44138</v>
      </c>
    </row>
    <row r="23" spans="1:1" x14ac:dyDescent="0.2">
      <c r="A23" s="16">
        <v>44139</v>
      </c>
    </row>
    <row r="24" spans="1:1" x14ac:dyDescent="0.2">
      <c r="A24" s="16">
        <v>44140</v>
      </c>
    </row>
    <row r="25" spans="1:1" x14ac:dyDescent="0.2">
      <c r="A25" s="16">
        <v>44141</v>
      </c>
    </row>
    <row r="26" spans="1:1" x14ac:dyDescent="0.2">
      <c r="A26" s="16">
        <v>44142</v>
      </c>
    </row>
    <row r="27" spans="1:1" x14ac:dyDescent="0.2">
      <c r="A27" s="16">
        <v>44143</v>
      </c>
    </row>
    <row r="28" spans="1:1" x14ac:dyDescent="0.2">
      <c r="A28" s="16">
        <v>44144</v>
      </c>
    </row>
    <row r="29" spans="1:1" x14ac:dyDescent="0.2">
      <c r="A29" s="16">
        <v>44145</v>
      </c>
    </row>
    <row r="30" spans="1:1" x14ac:dyDescent="0.2">
      <c r="A30" s="16">
        <v>44146</v>
      </c>
    </row>
    <row r="31" spans="1:1" x14ac:dyDescent="0.2">
      <c r="A31" s="16">
        <v>44147</v>
      </c>
    </row>
    <row r="32" spans="1:1" x14ac:dyDescent="0.2">
      <c r="A32" s="16">
        <v>44148</v>
      </c>
    </row>
    <row r="33" spans="1:1" x14ac:dyDescent="0.2">
      <c r="A33" s="16">
        <v>44149</v>
      </c>
    </row>
    <row r="34" spans="1:1" x14ac:dyDescent="0.2">
      <c r="A34" s="16">
        <v>44150</v>
      </c>
    </row>
    <row r="35" spans="1:1" x14ac:dyDescent="0.2">
      <c r="A35" s="16">
        <v>44151</v>
      </c>
    </row>
    <row r="36" spans="1:1" x14ac:dyDescent="0.2">
      <c r="A36" s="16">
        <v>44152</v>
      </c>
    </row>
    <row r="37" spans="1:1" x14ac:dyDescent="0.2">
      <c r="A37" s="16">
        <v>44153</v>
      </c>
    </row>
    <row r="38" spans="1:1" x14ac:dyDescent="0.2">
      <c r="A38" s="16">
        <v>44154</v>
      </c>
    </row>
    <row r="39" spans="1:1" x14ac:dyDescent="0.2">
      <c r="A39" s="16">
        <v>44155</v>
      </c>
    </row>
    <row r="40" spans="1:1" x14ac:dyDescent="0.2">
      <c r="A40" s="16">
        <v>44156</v>
      </c>
    </row>
    <row r="41" spans="1:1" x14ac:dyDescent="0.2">
      <c r="A41" s="16">
        <v>44157</v>
      </c>
    </row>
    <row r="42" spans="1:1" x14ac:dyDescent="0.2">
      <c r="A42" s="16">
        <v>44158</v>
      </c>
    </row>
    <row r="43" spans="1:1" x14ac:dyDescent="0.2">
      <c r="A43" s="16">
        <v>44159</v>
      </c>
    </row>
    <row r="44" spans="1:1" x14ac:dyDescent="0.2">
      <c r="A44" s="16">
        <v>44160</v>
      </c>
    </row>
    <row r="45" spans="1:1" x14ac:dyDescent="0.2">
      <c r="A45" s="16">
        <v>44161</v>
      </c>
    </row>
    <row r="46" spans="1:1" x14ac:dyDescent="0.2">
      <c r="A46" s="16">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K46"/>
  <sheetViews>
    <sheetView tabSelected="1" topLeftCell="A19" zoomScale="107" workbookViewId="0">
      <selection activeCell="C37" sqref="C37:K37"/>
    </sheetView>
  </sheetViews>
  <sheetFormatPr baseColWidth="10" defaultColWidth="10.6640625" defaultRowHeight="16" x14ac:dyDescent="0.2"/>
  <cols>
    <col min="4" max="4" width="13.33203125" bestFit="1" customWidth="1"/>
  </cols>
  <sheetData>
    <row r="1" spans="1:7" ht="26" x14ac:dyDescent="0.3">
      <c r="A1" s="8" t="s">
        <v>26</v>
      </c>
    </row>
    <row r="4" spans="1:7" x14ac:dyDescent="0.2">
      <c r="A4" s="3" t="s">
        <v>5</v>
      </c>
      <c r="B4" s="3" t="s">
        <v>6</v>
      </c>
      <c r="C4" s="3" t="s">
        <v>7</v>
      </c>
      <c r="D4" s="3" t="s">
        <v>8</v>
      </c>
      <c r="E4" s="3" t="s">
        <v>11</v>
      </c>
      <c r="F4" s="3" t="s">
        <v>9</v>
      </c>
      <c r="G4" s="3" t="s">
        <v>10</v>
      </c>
    </row>
    <row r="6" spans="1:7" x14ac:dyDescent="0.2">
      <c r="A6" s="21" t="s">
        <v>76</v>
      </c>
      <c r="B6" s="24" t="s">
        <v>83</v>
      </c>
      <c r="C6" s="28" t="s">
        <v>102</v>
      </c>
      <c r="D6" s="34" t="s">
        <v>115</v>
      </c>
      <c r="E6" s="24" t="s">
        <v>83</v>
      </c>
      <c r="F6" s="27" t="s">
        <v>129</v>
      </c>
    </row>
    <row r="7" spans="1:7" x14ac:dyDescent="0.2">
      <c r="A7" s="21" t="s">
        <v>77</v>
      </c>
      <c r="B7" s="24" t="s">
        <v>99</v>
      </c>
      <c r="C7" s="28" t="s">
        <v>103</v>
      </c>
      <c r="D7" s="35" t="s">
        <v>116</v>
      </c>
      <c r="E7" s="24" t="s">
        <v>99</v>
      </c>
      <c r="F7" s="27" t="s">
        <v>99</v>
      </c>
    </row>
    <row r="8" spans="1:7" x14ac:dyDescent="0.2">
      <c r="A8" s="21"/>
      <c r="B8" s="24"/>
      <c r="C8" s="21" t="s">
        <v>104</v>
      </c>
      <c r="D8" s="34" t="s">
        <v>99</v>
      </c>
      <c r="E8" s="24"/>
      <c r="F8" s="27"/>
    </row>
    <row r="9" spans="1:7" x14ac:dyDescent="0.2">
      <c r="A9" s="22" t="s">
        <v>79</v>
      </c>
      <c r="B9" s="24" t="s">
        <v>85</v>
      </c>
      <c r="C9" s="29" t="s">
        <v>105</v>
      </c>
      <c r="D9" s="34"/>
      <c r="E9" s="24" t="s">
        <v>85</v>
      </c>
      <c r="F9" s="24" t="s">
        <v>85</v>
      </c>
    </row>
    <row r="10" spans="1:7" x14ac:dyDescent="0.2">
      <c r="A10" s="22" t="s">
        <v>80</v>
      </c>
      <c r="B10" s="25" t="s">
        <v>86</v>
      </c>
      <c r="C10" s="28" t="s">
        <v>106</v>
      </c>
      <c r="D10" s="34" t="s">
        <v>115</v>
      </c>
      <c r="E10" s="25" t="s">
        <v>86</v>
      </c>
      <c r="F10" s="37" t="s">
        <v>130</v>
      </c>
    </row>
    <row r="11" spans="1:7" x14ac:dyDescent="0.2">
      <c r="A11" s="22"/>
      <c r="B11" s="26" t="s">
        <v>100</v>
      </c>
      <c r="C11" s="21"/>
      <c r="D11" s="34" t="s">
        <v>117</v>
      </c>
      <c r="E11" s="37" t="s">
        <v>100</v>
      </c>
      <c r="F11" s="24" t="s">
        <v>131</v>
      </c>
    </row>
    <row r="12" spans="1:7" x14ac:dyDescent="0.2">
      <c r="A12" s="22" t="s">
        <v>78</v>
      </c>
      <c r="B12" s="27" t="s">
        <v>93</v>
      </c>
      <c r="C12" s="30" t="s">
        <v>107</v>
      </c>
      <c r="D12" s="34" t="s">
        <v>118</v>
      </c>
      <c r="E12" s="24"/>
    </row>
    <row r="13" spans="1:7" x14ac:dyDescent="0.2">
      <c r="A13" s="22" t="s">
        <v>81</v>
      </c>
      <c r="B13" s="26" t="s">
        <v>101</v>
      </c>
      <c r="C13" s="30" t="s">
        <v>108</v>
      </c>
      <c r="D13" s="34"/>
      <c r="E13" s="38" t="s">
        <v>125</v>
      </c>
    </row>
    <row r="14" spans="1:7" x14ac:dyDescent="0.2">
      <c r="A14" s="22" t="s">
        <v>82</v>
      </c>
      <c r="B14" s="26"/>
      <c r="C14" s="31"/>
      <c r="D14" s="21" t="s">
        <v>76</v>
      </c>
      <c r="E14" s="37" t="s">
        <v>101</v>
      </c>
    </row>
    <row r="15" spans="1:7" x14ac:dyDescent="0.2">
      <c r="A15" s="22"/>
      <c r="B15" s="27" t="s">
        <v>94</v>
      </c>
      <c r="C15" s="30" t="s">
        <v>109</v>
      </c>
      <c r="D15" s="28" t="s">
        <v>119</v>
      </c>
      <c r="E15" s="24"/>
    </row>
    <row r="16" spans="1:7" x14ac:dyDescent="0.2">
      <c r="A16" s="23" t="s">
        <v>92</v>
      </c>
      <c r="B16" s="27" t="s">
        <v>95</v>
      </c>
      <c r="C16" s="30" t="s">
        <v>110</v>
      </c>
      <c r="D16" s="21"/>
      <c r="E16" s="27" t="s">
        <v>93</v>
      </c>
    </row>
    <row r="17" spans="1:7" x14ac:dyDescent="0.2">
      <c r="A17" s="22" t="s">
        <v>84</v>
      </c>
      <c r="B17" s="27" t="s">
        <v>98</v>
      </c>
      <c r="C17" s="31"/>
      <c r="D17" s="21" t="s">
        <v>120</v>
      </c>
      <c r="E17" s="27" t="s">
        <v>126</v>
      </c>
    </row>
    <row r="18" spans="1:7" x14ac:dyDescent="0.2">
      <c r="A18" s="20"/>
      <c r="B18" s="26"/>
      <c r="C18" s="30" t="s">
        <v>111</v>
      </c>
      <c r="D18" s="28" t="s">
        <v>103</v>
      </c>
      <c r="E18" s="27"/>
    </row>
    <row r="19" spans="1:7" x14ac:dyDescent="0.2">
      <c r="B19" s="27" t="s">
        <v>96</v>
      </c>
      <c r="C19" s="30" t="s">
        <v>81</v>
      </c>
      <c r="D19" s="21" t="s">
        <v>121</v>
      </c>
      <c r="E19" s="27" t="s">
        <v>127</v>
      </c>
    </row>
    <row r="20" spans="1:7" x14ac:dyDescent="0.2">
      <c r="A20" s="20"/>
      <c r="B20" s="27" t="s">
        <v>97</v>
      </c>
      <c r="C20" s="30" t="s">
        <v>112</v>
      </c>
      <c r="D20" s="21"/>
      <c r="E20" s="27" t="s">
        <v>95</v>
      </c>
    </row>
    <row r="21" spans="1:7" x14ac:dyDescent="0.2">
      <c r="C21" s="31"/>
      <c r="D21" s="21" t="s">
        <v>102</v>
      </c>
      <c r="E21" s="27" t="s">
        <v>128</v>
      </c>
    </row>
    <row r="22" spans="1:7" x14ac:dyDescent="0.2">
      <c r="C22" s="30" t="s">
        <v>111</v>
      </c>
      <c r="D22" s="28" t="s">
        <v>122</v>
      </c>
    </row>
    <row r="23" spans="1:7" x14ac:dyDescent="0.2">
      <c r="C23" s="32" t="s">
        <v>113</v>
      </c>
      <c r="D23" s="21" t="s">
        <v>123</v>
      </c>
    </row>
    <row r="24" spans="1:7" x14ac:dyDescent="0.2">
      <c r="C24" s="33" t="s">
        <v>114</v>
      </c>
      <c r="D24" s="36" t="s">
        <v>124</v>
      </c>
    </row>
    <row r="25" spans="1:7" x14ac:dyDescent="0.2">
      <c r="A25" s="41" t="s">
        <v>87</v>
      </c>
      <c r="B25" s="41" t="s">
        <v>87</v>
      </c>
      <c r="C25" s="41" t="s">
        <v>87</v>
      </c>
      <c r="D25" s="41" t="s">
        <v>87</v>
      </c>
      <c r="E25" s="41" t="s">
        <v>87</v>
      </c>
      <c r="G25" s="39" t="s">
        <v>132</v>
      </c>
    </row>
    <row r="26" spans="1:7" x14ac:dyDescent="0.2">
      <c r="A26" s="42" t="s">
        <v>88</v>
      </c>
      <c r="B26" s="42" t="s">
        <v>88</v>
      </c>
      <c r="C26" s="42" t="s">
        <v>88</v>
      </c>
      <c r="D26" s="43" t="s">
        <v>88</v>
      </c>
      <c r="E26" s="43" t="s">
        <v>88</v>
      </c>
      <c r="G26" s="28" t="s">
        <v>133</v>
      </c>
    </row>
    <row r="27" spans="1:7" x14ac:dyDescent="0.2">
      <c r="A27" s="41"/>
      <c r="B27" s="41"/>
      <c r="C27" s="41"/>
      <c r="D27" s="41"/>
      <c r="E27" s="41"/>
      <c r="G27" s="21"/>
    </row>
    <row r="28" spans="1:7" x14ac:dyDescent="0.2">
      <c r="A28" s="31" t="s">
        <v>89</v>
      </c>
      <c r="B28" s="31" t="s">
        <v>89</v>
      </c>
      <c r="C28" s="31" t="s">
        <v>89</v>
      </c>
      <c r="D28" s="31" t="s">
        <v>89</v>
      </c>
      <c r="E28" s="31" t="s">
        <v>89</v>
      </c>
      <c r="G28" s="40" t="s">
        <v>92</v>
      </c>
    </row>
    <row r="29" spans="1:7" x14ac:dyDescent="0.2">
      <c r="A29" s="31" t="s">
        <v>90</v>
      </c>
      <c r="B29" s="31" t="s">
        <v>90</v>
      </c>
      <c r="C29" s="31" t="s">
        <v>90</v>
      </c>
      <c r="D29" s="31" t="s">
        <v>90</v>
      </c>
      <c r="E29" s="31" t="s">
        <v>90</v>
      </c>
      <c r="G29" s="19" t="s">
        <v>134</v>
      </c>
    </row>
    <row r="30" spans="1:7" x14ac:dyDescent="0.2">
      <c r="A30" s="31" t="s">
        <v>91</v>
      </c>
      <c r="B30" s="31" t="s">
        <v>91</v>
      </c>
      <c r="C30" s="31" t="s">
        <v>91</v>
      </c>
      <c r="D30" s="31" t="s">
        <v>91</v>
      </c>
      <c r="E30" s="31" t="s">
        <v>91</v>
      </c>
      <c r="G30" s="19" t="s">
        <v>135</v>
      </c>
    </row>
    <row r="34" spans="1:11" ht="19" x14ac:dyDescent="0.25">
      <c r="A34" s="46" t="s">
        <v>149</v>
      </c>
      <c r="B34" s="45"/>
      <c r="C34" s="45"/>
    </row>
    <row r="36" spans="1:11" x14ac:dyDescent="0.2">
      <c r="A36" s="45" t="s">
        <v>136</v>
      </c>
      <c r="B36" s="45"/>
      <c r="C36" s="49" t="s">
        <v>138</v>
      </c>
      <c r="D36" s="49"/>
      <c r="E36" s="49"/>
      <c r="F36" s="49"/>
      <c r="G36" s="49"/>
      <c r="H36" s="49"/>
      <c r="I36" s="49"/>
      <c r="J36" s="49"/>
      <c r="K36" s="49"/>
    </row>
    <row r="37" spans="1:11" x14ac:dyDescent="0.2">
      <c r="A37" s="45" t="s">
        <v>137</v>
      </c>
      <c r="B37" s="45"/>
      <c r="C37" s="47" t="s">
        <v>156</v>
      </c>
      <c r="D37" s="48"/>
      <c r="E37" s="48"/>
      <c r="F37" s="48"/>
      <c r="G37" s="48"/>
      <c r="H37" s="48"/>
      <c r="I37" s="48"/>
      <c r="J37" s="48"/>
      <c r="K37" s="48"/>
    </row>
    <row r="38" spans="1:11" x14ac:dyDescent="0.2">
      <c r="A38" s="45" t="s">
        <v>139</v>
      </c>
      <c r="B38" s="45"/>
      <c r="C38" s="45" t="s">
        <v>140</v>
      </c>
      <c r="D38" s="45"/>
      <c r="E38" s="45"/>
      <c r="F38" s="45"/>
      <c r="G38" s="45"/>
      <c r="H38" s="45"/>
      <c r="I38" s="45"/>
      <c r="J38" s="45"/>
      <c r="K38" s="45"/>
    </row>
    <row r="39" spans="1:11" x14ac:dyDescent="0.2">
      <c r="A39" s="45" t="s">
        <v>141</v>
      </c>
      <c r="B39" s="45"/>
      <c r="C39" s="45" t="s">
        <v>142</v>
      </c>
      <c r="D39" s="45"/>
      <c r="E39" s="45"/>
      <c r="F39" s="45"/>
      <c r="G39" s="45"/>
      <c r="H39" s="45"/>
      <c r="I39" s="45"/>
      <c r="J39" s="45"/>
      <c r="K39" s="45"/>
    </row>
    <row r="41" spans="1:11" x14ac:dyDescent="0.2">
      <c r="A41" s="45" t="s">
        <v>143</v>
      </c>
      <c r="B41" s="45"/>
      <c r="C41" s="45" t="s">
        <v>150</v>
      </c>
      <c r="D41" s="45"/>
      <c r="E41" s="45"/>
      <c r="F41" s="45"/>
      <c r="G41" s="45"/>
      <c r="H41" s="45"/>
      <c r="I41" s="45"/>
      <c r="J41" s="45"/>
      <c r="K41" s="45"/>
    </row>
    <row r="42" spans="1:11" x14ac:dyDescent="0.2">
      <c r="A42" s="45" t="s">
        <v>144</v>
      </c>
      <c r="B42" s="45"/>
      <c r="C42" s="45" t="s">
        <v>151</v>
      </c>
      <c r="D42" s="45"/>
      <c r="E42" s="45"/>
      <c r="F42" s="45"/>
      <c r="G42" s="45"/>
      <c r="H42" s="45"/>
      <c r="I42" s="45"/>
      <c r="J42" s="45"/>
      <c r="K42" s="45"/>
    </row>
    <row r="43" spans="1:11" x14ac:dyDescent="0.2">
      <c r="A43" s="45" t="s">
        <v>145</v>
      </c>
      <c r="B43" s="45"/>
      <c r="C43" s="45" t="s">
        <v>152</v>
      </c>
      <c r="D43" s="45"/>
      <c r="E43" s="45"/>
      <c r="F43" s="45"/>
      <c r="G43" s="45"/>
      <c r="H43" s="45"/>
      <c r="I43" s="45"/>
      <c r="J43" s="45"/>
      <c r="K43" s="45"/>
    </row>
    <row r="44" spans="1:11" x14ac:dyDescent="0.2">
      <c r="A44" s="45" t="s">
        <v>146</v>
      </c>
      <c r="B44" s="45"/>
      <c r="C44" s="45" t="s">
        <v>153</v>
      </c>
      <c r="D44" s="45"/>
      <c r="E44" s="45"/>
      <c r="F44" s="45"/>
      <c r="G44" s="45"/>
      <c r="H44" s="45"/>
      <c r="I44" s="45"/>
      <c r="J44" s="45"/>
      <c r="K44" s="45"/>
    </row>
    <row r="45" spans="1:11" x14ac:dyDescent="0.2">
      <c r="A45" s="45" t="s">
        <v>147</v>
      </c>
      <c r="B45" s="45"/>
      <c r="C45" s="45" t="s">
        <v>154</v>
      </c>
      <c r="D45" s="45"/>
      <c r="E45" s="45"/>
      <c r="F45" s="45"/>
      <c r="G45" s="45"/>
      <c r="H45" s="45"/>
      <c r="I45" s="45"/>
      <c r="J45" s="45"/>
      <c r="K45" s="45"/>
    </row>
    <row r="46" spans="1:11" x14ac:dyDescent="0.2">
      <c r="A46" s="45" t="s">
        <v>148</v>
      </c>
      <c r="B46" s="45"/>
      <c r="C46" s="45" t="s">
        <v>155</v>
      </c>
      <c r="D46" s="45"/>
      <c r="E46" s="45"/>
      <c r="F46" s="45"/>
      <c r="G46" s="45"/>
      <c r="H46" s="45"/>
      <c r="I46" s="45"/>
      <c r="J46" s="45"/>
      <c r="K46" s="45"/>
    </row>
  </sheetData>
  <mergeCells count="21">
    <mergeCell ref="A34:C34"/>
    <mergeCell ref="A36:B36"/>
    <mergeCell ref="A37:B37"/>
    <mergeCell ref="C37:K37"/>
    <mergeCell ref="C36:K36"/>
    <mergeCell ref="A38:B38"/>
    <mergeCell ref="C38:K38"/>
    <mergeCell ref="A39:B39"/>
    <mergeCell ref="C39:K39"/>
    <mergeCell ref="A41:B41"/>
    <mergeCell ref="C41:K41"/>
    <mergeCell ref="C42:K42"/>
    <mergeCell ref="C43:K43"/>
    <mergeCell ref="C44:K44"/>
    <mergeCell ref="C45:K45"/>
    <mergeCell ref="C46:K46"/>
    <mergeCell ref="A42:B42"/>
    <mergeCell ref="A43:B43"/>
    <mergeCell ref="A44:B44"/>
    <mergeCell ref="A45:B45"/>
    <mergeCell ref="A46:B46"/>
  </mergeCells>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8" t="s">
        <v>26</v>
      </c>
    </row>
    <row r="4" spans="1:8" x14ac:dyDescent="0.2">
      <c r="B4" s="3" t="s">
        <v>5</v>
      </c>
      <c r="C4" s="3" t="s">
        <v>6</v>
      </c>
      <c r="D4" s="3" t="s">
        <v>7</v>
      </c>
      <c r="E4" s="3" t="s">
        <v>8</v>
      </c>
      <c r="F4" s="3" t="s">
        <v>11</v>
      </c>
      <c r="G4" s="3" t="s">
        <v>9</v>
      </c>
      <c r="H4" s="3" t="s">
        <v>10</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5</vt:i4>
      </vt:variant>
    </vt:vector>
  </HeadingPairs>
  <TitlesOfParts>
    <vt:vector size="5" baseType="lpstr">
      <vt:lpstr>Anleitung</vt:lpstr>
      <vt:lpstr>Semesterplan</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2021-06-23T21:55:17Z</dcterms:modified>
</cp:coreProperties>
</file>