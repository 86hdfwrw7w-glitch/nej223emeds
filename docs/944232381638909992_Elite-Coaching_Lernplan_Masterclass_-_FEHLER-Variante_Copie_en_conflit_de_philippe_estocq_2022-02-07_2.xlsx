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sebas\Dropbox\3-Sebastien\00-NEOMA\3-NeomaTroisième Annee\Disciplines\"/>
    </mc:Choice>
  </mc:AlternateContent>
  <xr:revisionPtr revIDLastSave="0" documentId="8_{329CEB13-C1BE-4AA6-950A-534EF5264BC3}" xr6:coauthVersionLast="47" xr6:coauthVersionMax="47" xr10:uidLastSave="{00000000-0000-0000-0000-000000000000}"/>
  <bookViews>
    <workbookView xWindow="28680" yWindow="-120" windowWidth="29040" windowHeight="16440" activeTab="2" xr2:uid="{00000000-000D-0000-FFFF-FFFF00000000}"/>
  </bookViews>
  <sheets>
    <sheet name="Anleitung" sheetId="2" r:id="rId1"/>
    <sheet name="ANLEITUNG (2)" sheetId="11" r:id="rId2"/>
    <sheet name="Semesterplan" sheetId="7" r:id="rId3"/>
    <sheet name="COMMITTMENT" sheetId="9" r:id="rId4"/>
    <sheet name="Wochenplan KW 07" sheetId="8" r:id="rId5"/>
    <sheet name="Wochenplan KW 08"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3" i="7" l="1"/>
  <c r="D19" i="7"/>
  <c r="C11" i="11" l="1"/>
  <c r="N4" i="7"/>
  <c r="I11" i="7"/>
  <c r="I29" i="7"/>
  <c r="I24" i="7"/>
  <c r="I26" i="7"/>
  <c r="I34" i="7"/>
  <c r="EC4" i="7"/>
  <c r="DV4" i="7"/>
  <c r="DO4" i="7"/>
  <c r="DH4" i="7"/>
  <c r="DA4" i="7"/>
  <c r="CT4" i="7"/>
  <c r="CM4" i="7"/>
  <c r="CF4" i="7"/>
  <c r="BY4" i="7"/>
  <c r="BR4" i="7"/>
  <c r="BK4" i="7"/>
  <c r="D110" i="7"/>
  <c r="D93" i="7"/>
  <c r="D63" i="7"/>
  <c r="D47" i="7"/>
  <c r="D33" i="7"/>
  <c r="D4" i="7"/>
  <c r="C7" i="11"/>
  <c r="C12" i="11"/>
  <c r="J34" i="7" l="1" a="1"/>
  <c r="J34" i="7" s="1"/>
  <c r="J65" i="7" a="1"/>
  <c r="J65" i="7" s="1"/>
  <c r="J66" i="7" a="1"/>
  <c r="J66" i="7" s="1"/>
  <c r="J67" i="7" a="1"/>
  <c r="J67" i="7" s="1"/>
  <c r="J68" i="7" a="1"/>
  <c r="J68" i="7" s="1"/>
  <c r="J69" i="7" a="1"/>
  <c r="J69" i="7" s="1"/>
  <c r="K122" i="7" a="1"/>
  <c r="K122" i="7" s="1"/>
  <c r="J122" i="7" a="1"/>
  <c r="J122" i="7" s="1"/>
  <c r="I122" i="7"/>
  <c r="K121" i="7" a="1"/>
  <c r="K121" i="7" s="1"/>
  <c r="J121" i="7" a="1"/>
  <c r="J121" i="7" s="1"/>
  <c r="I121" i="7"/>
  <c r="K120" i="7" a="1"/>
  <c r="K120" i="7" s="1"/>
  <c r="J120" i="7" a="1"/>
  <c r="J120" i="7" s="1"/>
  <c r="I120" i="7"/>
  <c r="K119" i="7" a="1"/>
  <c r="K119" i="7" s="1"/>
  <c r="J119" i="7" a="1"/>
  <c r="J119" i="7" s="1"/>
  <c r="I119" i="7"/>
  <c r="K118" i="7" a="1"/>
  <c r="K118" i="7" s="1"/>
  <c r="J118" i="7" a="1"/>
  <c r="J118" i="7" s="1"/>
  <c r="I118" i="7"/>
  <c r="K117" i="7" a="1"/>
  <c r="K117" i="7" s="1"/>
  <c r="J117" i="7" a="1"/>
  <c r="J117" i="7" s="1"/>
  <c r="I117" i="7"/>
  <c r="K116" i="7" a="1"/>
  <c r="K116" i="7" s="1"/>
  <c r="J116" i="7" a="1"/>
  <c r="J116" i="7" s="1"/>
  <c r="I116" i="7"/>
  <c r="K115" i="7" a="1"/>
  <c r="K115" i="7" s="1"/>
  <c r="J115" i="7" a="1"/>
  <c r="J115" i="7" s="1"/>
  <c r="I115" i="7"/>
  <c r="K114" i="7" a="1"/>
  <c r="K114" i="7" s="1"/>
  <c r="J114" i="7" a="1"/>
  <c r="J114" i="7" s="1"/>
  <c r="I114" i="7"/>
  <c r="K113" i="7" a="1"/>
  <c r="K113" i="7" s="1"/>
  <c r="J113" i="7" a="1"/>
  <c r="J113" i="7" s="1"/>
  <c r="I113" i="7"/>
  <c r="K112" i="7" a="1"/>
  <c r="K112" i="7" s="1"/>
  <c r="J112" i="7" a="1"/>
  <c r="J112" i="7" s="1"/>
  <c r="I112" i="7"/>
  <c r="K30" i="7" l="1" a="1"/>
  <c r="K30" i="7" s="1"/>
  <c r="J30" i="7" a="1"/>
  <c r="J30" i="7" s="1"/>
  <c r="I30" i="7"/>
  <c r="K29" i="7" a="1"/>
  <c r="K29" i="7" s="1"/>
  <c r="J29" i="7" a="1"/>
  <c r="J29" i="7" s="1"/>
  <c r="K28" i="7" a="1"/>
  <c r="K28" i="7" s="1"/>
  <c r="J28" i="7" a="1"/>
  <c r="J28" i="7" s="1"/>
  <c r="I28" i="7"/>
  <c r="K27" i="7" a="1"/>
  <c r="K27" i="7" s="1"/>
  <c r="J27" i="7" a="1"/>
  <c r="J27" i="7" s="1"/>
  <c r="I27" i="7"/>
  <c r="K26" i="7" a="1"/>
  <c r="K26" i="7" s="1"/>
  <c r="J26" i="7" a="1"/>
  <c r="J26" i="7" s="1"/>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17" i="7" a="1"/>
  <c r="K17" i="7" s="1"/>
  <c r="J17" i="7" a="1"/>
  <c r="J17" i="7" s="1"/>
  <c r="I17" i="7"/>
  <c r="J16" i="7" a="1"/>
  <c r="J16" i="7" s="1"/>
  <c r="K106" i="7" a="1"/>
  <c r="K106" i="7" s="1"/>
  <c r="J106" i="7" a="1"/>
  <c r="J106" i="7" s="1"/>
  <c r="I106" i="7"/>
  <c r="K105" i="7" a="1"/>
  <c r="K105" i="7" s="1"/>
  <c r="J105" i="7" a="1"/>
  <c r="J105" i="7" s="1"/>
  <c r="I105" i="7"/>
  <c r="K104" i="7" a="1"/>
  <c r="K104" i="7" s="1"/>
  <c r="J104" i="7" a="1"/>
  <c r="J104" i="7" s="1"/>
  <c r="I104" i="7"/>
  <c r="K103" i="7" a="1"/>
  <c r="K103" i="7" s="1"/>
  <c r="J103" i="7" a="1"/>
  <c r="J103" i="7" s="1"/>
  <c r="I103" i="7"/>
  <c r="K102" i="7" a="1"/>
  <c r="K102" i="7" s="1"/>
  <c r="J102" i="7" a="1"/>
  <c r="J102" i="7" s="1"/>
  <c r="I102" i="7"/>
  <c r="K101" i="7" a="1"/>
  <c r="K101" i="7" s="1"/>
  <c r="J101" i="7" a="1"/>
  <c r="J101" i="7" s="1"/>
  <c r="I101" i="7"/>
  <c r="K100" i="7" a="1"/>
  <c r="K100" i="7" s="1"/>
  <c r="J100" i="7" a="1"/>
  <c r="J100" i="7" s="1"/>
  <c r="I100" i="7"/>
  <c r="K99" i="7" a="1"/>
  <c r="K99" i="7" s="1"/>
  <c r="J99" i="7" a="1"/>
  <c r="J99" i="7" s="1"/>
  <c r="I99" i="7"/>
  <c r="K98" i="7" a="1"/>
  <c r="K98" i="7" s="1"/>
  <c r="J98" i="7" a="1"/>
  <c r="J98" i="7" s="1"/>
  <c r="I98" i="7"/>
  <c r="K97" i="7" a="1"/>
  <c r="K97" i="7" s="1"/>
  <c r="J97" i="7" a="1"/>
  <c r="J97" i="7" s="1"/>
  <c r="I97" i="7"/>
  <c r="K96" i="7" a="1"/>
  <c r="K96" i="7" s="1"/>
  <c r="J96" i="7" a="1"/>
  <c r="J96" i="7" s="1"/>
  <c r="I96" i="7"/>
  <c r="K95" i="7" a="1"/>
  <c r="K95" i="7" s="1"/>
  <c r="J95" i="7" a="1"/>
  <c r="J95" i="7" s="1"/>
  <c r="I95"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I69" i="7"/>
  <c r="K68" i="7" a="1"/>
  <c r="K68" i="7" s="1"/>
  <c r="I68" i="7"/>
  <c r="K67" i="7" a="1"/>
  <c r="K67" i="7" s="1"/>
  <c r="I67" i="7"/>
  <c r="K66" i="7" a="1"/>
  <c r="K66" i="7" s="1"/>
  <c r="I66" i="7"/>
  <c r="K65" i="7" a="1"/>
  <c r="K65" i="7" s="1"/>
  <c r="I65"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25" i="7" l="1"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K16" i="7" a="1"/>
  <c r="K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BD4" i="7"/>
  <c r="AW4" i="7"/>
  <c r="AP4" i="7"/>
  <c r="AI4" i="7"/>
  <c r="AB4" i="7"/>
  <c r="U4" i="7"/>
  <c r="G4" i="7"/>
  <c r="I45" i="7"/>
  <c r="I44" i="7"/>
  <c r="I43" i="7"/>
  <c r="I42" i="7"/>
  <c r="I41" i="7"/>
  <c r="I40" i="7"/>
  <c r="I39" i="7"/>
  <c r="I38" i="7"/>
  <c r="I37" i="7"/>
  <c r="I36" i="7"/>
  <c r="I35" i="7"/>
  <c r="I25" i="7"/>
  <c r="I23" i="7"/>
  <c r="I22" i="7"/>
  <c r="I21" i="7"/>
  <c r="I20" i="7"/>
  <c r="I16" i="7"/>
  <c r="I6" i="7"/>
  <c r="I12" i="7"/>
  <c r="I13" i="7"/>
  <c r="I14" i="7"/>
  <c r="I15" i="7"/>
  <c r="I5" i="7"/>
  <c r="G33" i="7"/>
  <c r="G19" i="7"/>
  <c r="I33" i="7" l="1"/>
  <c r="J33" i="7"/>
  <c r="K33" i="7"/>
  <c r="I19" i="7"/>
  <c r="J19" i="7"/>
  <c r="K19" i="7"/>
  <c r="I4" i="7" l="1"/>
  <c r="J5" i="7" l="1" a="1"/>
  <c r="J5" i="7" s="1"/>
  <c r="J4" i="7" s="1"/>
  <c r="K5" i="7" a="1"/>
  <c r="K5" i="7" s="1"/>
  <c r="K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<sst xmlns="http://schemas.openxmlformats.org/spreadsheetml/2006/main" count="536" uniqueCount="215">
  <si>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</si>
  <si>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</si>
  <si>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</si>
  <si>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</si>
  <si>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</si>
  <si>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</si>
  <si>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</si>
  <si>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</si>
  <si>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</si>
  <si>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</si>
  <si>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</si>
  <si>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</si>
  <si>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</si>
  <si>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</si>
  <si>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</si>
  <si>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</si>
  <si>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</si>
  <si>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</si>
  <si>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</si>
  <si>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</si>
  <si>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</si>
  <si>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</si>
  <si>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</si>
  <si>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</si>
  <si>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</si>
  <si>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</si>
  <si>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</si>
  <si>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</si>
  <si>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</si>
  <si>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</si>
  <si>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</si>
  <si>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</si>
  <si>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</si>
  <si>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</si>
  <si>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</si>
  <si>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</si>
  <si>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</si>
  <si>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</si>
  <si>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</si>
  <si>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</si>
  <si>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</si>
  <si>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</si>
  <si>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</si>
  <si>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</si>
  <si>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</si>
  <si>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</si>
  <si>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</si>
  <si>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</si>
  <si>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</si>
  <si>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</si>
  <si>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</si>
  <si>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</si>
  <si>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</si>
  <si>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Personalmanagement</t>
  </si>
  <si>
    <t>2)Neue Arbeitswelt</t>
  </si>
  <si>
    <t>3) Q_Perior</t>
  </si>
  <si>
    <t>4) Personalgewinnung</t>
  </si>
  <si>
    <t>5) Rekrutierung</t>
  </si>
  <si>
    <t>6)Employer branding</t>
  </si>
  <si>
    <t>7) Personalvergütung</t>
  </si>
  <si>
    <t xml:space="preserve">8) Gastvortrag Vindelici Advisors </t>
  </si>
  <si>
    <t>9) People Analytics</t>
  </si>
  <si>
    <t xml:space="preserve">10) Personalbeschaffung (Teil 2) </t>
  </si>
  <si>
    <t>11) Personalauswahl</t>
  </si>
  <si>
    <t>12) Personalbeurteilung und Performance Management</t>
  </si>
  <si>
    <t xml:space="preserve">Unternehmensfinanzierung </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</si>
  <si>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</si>
  <si>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</si>
  <si>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</si>
  <si>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</si>
  <si>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</si>
  <si>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</si>
  <si>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</si>
  <si>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</si>
  <si>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</si>
  <si>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</si>
  <si>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12) Unternehmensbewertung Multiplikator</t>
  </si>
  <si>
    <t>11) Unternehmensbewertung DCF</t>
  </si>
  <si>
    <t>13) Derivate Instrumente Und Hedging</t>
  </si>
  <si>
    <t xml:space="preserve">Übersicht International Economics Part 1 </t>
  </si>
  <si>
    <t xml:space="preserve">International Economics Part 1 </t>
  </si>
  <si>
    <t>International Economics Part 2</t>
  </si>
  <si>
    <t>International Economics Part 1</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</si>
  <si>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</si>
  <si>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</si>
  <si>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</si>
  <si>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</si>
  <si>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</si>
  <si>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</si>
  <si>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</si>
  <si>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</si>
  <si>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</si>
  <si>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</si>
  <si>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</si>
  <si>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Übersicht International Economics Part 2</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</si>
  <si>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</si>
  <si>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</si>
  <si>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</si>
  <si>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</si>
  <si>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</si>
  <si>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</si>
  <si>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</si>
  <si>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</si>
  <si>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</si>
  <si>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</si>
  <si>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</si>
  <si>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</si>
  <si>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14)Distributins - Marktablehnung</t>
  </si>
  <si>
    <t>15)Gründe für Marktablehnung</t>
  </si>
  <si>
    <t>13) Informationsprobleme</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</si>
  <si>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</si>
  <si>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</si>
  <si>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</si>
  <si>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</si>
  <si>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</si>
  <si>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</si>
  <si>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</si>
  <si>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</si>
  <si>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</si>
  <si>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</si>
  <si>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</si>
  <si>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</si>
  <si>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</si>
  <si>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</si>
  <si>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</si>
  <si>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</si>
  <si>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</si>
  <si>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</si>
  <si>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</si>
  <si>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</si>
  <si>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</si>
  <si>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</si>
  <si>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Übersicht Managment InformationSystem I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</si>
  <si>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</si>
  <si>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</si>
  <si>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</si>
  <si>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</si>
  <si>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</si>
  <si>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</si>
  <si>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</si>
  <si>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</si>
  <si>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</si>
  <si>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</si>
  <si>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</si>
  <si>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</si>
  <si>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</si>
  <si>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</si>
  <si>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</si>
  <si>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</si>
  <si>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</si>
  <si>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</si>
  <si>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</si>
  <si>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</si>
  <si>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</si>
  <si>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</si>
  <si>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</si>
  <si>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KW 07</t>
  </si>
  <si>
    <t>KW 08</t>
  </si>
  <si>
    <t>KW 09</t>
  </si>
  <si>
    <t>KW 10</t>
  </si>
  <si>
    <t>KW 11</t>
  </si>
  <si>
    <t>KW 12</t>
  </si>
  <si>
    <t>Falls zu viel Zeit oder nicht genug Progress: In den Call kommen</t>
  </si>
  <si>
    <t xml:space="preserve">Schritt 12: </t>
  </si>
  <si>
    <t>Ende der Woche: Kenntnisstand pro Kapitel eintragen</t>
  </si>
  <si>
    <t xml:space="preserve">Schritt 11: </t>
  </si>
  <si>
    <t>Ende der Woche: Lernzeiten pro Kapitel eintragen</t>
  </si>
  <si>
    <t xml:space="preserve">Schritt 10: </t>
  </si>
  <si>
    <t>Nur bis zu dem Zeitpunkt lernen, wo du in dem jeweiligen Kapitel den Kenntnisstand erreicht hast. Den dann eintragen und mit dem nächsten Kapitel weitermachen.</t>
  </si>
  <si>
    <t>Wochenplan erstellen und eine Woche mit Vollgas jedes Kapitel lernen</t>
  </si>
  <si>
    <t xml:space="preserve">Schritt 9: </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</si>
  <si>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</si>
  <si>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Levelups von hinten nach vorne verteilen</t>
  </si>
  <si>
    <t xml:space="preserve">Schritt 8: </t>
  </si>
  <si>
    <t>Anzahl an Levelups pro Woche ausrechnen</t>
  </si>
  <si>
    <t xml:space="preserve">Schritt 7: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</si>
  <si>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</si>
  <si>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</si>
  <si>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 xml:space="preserve">Schritt 6: </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</si>
  <si>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</si>
  <si>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Anzahl verfügbarer "Lernwochen" ausrechnen und hinterlegen</t>
  </si>
  <si>
    <t xml:space="preserve">Schritt 5: </t>
  </si>
  <si>
    <t>Um eine neue Woche zu hinterlegen, markierst du einfach die Leerspalte neben der letzten Woche bis zur letzten Spalte der Woche, kopierst sie (strg. +C) und fügst sie in die leerzeile hinter der letzten Woche ein.</t>
  </si>
  <si>
    <t>Gesamte benötigte Wochen hinterlegen</t>
  </si>
  <si>
    <t xml:space="preserve">Schritt 4: </t>
  </si>
  <si>
    <t>Falls du es schätzen musst, trage einfach eine Schätzung ein. Normalerweise sind die Klausuren 1-3 Wochen nach Vorlesungsschluss.</t>
  </si>
  <si>
    <t>Klausurdatum hinterlegen</t>
  </si>
  <si>
    <t xml:space="preserve">Schritt 3: </t>
  </si>
  <si>
    <t>Gesamte Kapitelanzahl hinterlegen</t>
  </si>
  <si>
    <t>Schritt 2:</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</si>
  <si>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</si>
  <si>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Alle Fächer des Semesters hinterlegen inkl. Kapitel (zur Not Platzhalter)</t>
  </si>
  <si>
    <t>Schritt 1:</t>
  </si>
  <si>
    <t>Kommentare</t>
  </si>
  <si>
    <t>Zahl</t>
  </si>
  <si>
    <t>Task</t>
  </si>
  <si>
    <t>Reihenfolge</t>
  </si>
  <si>
    <t>Zahl hier hinterlegen</t>
  </si>
  <si>
    <t>Formel</t>
  </si>
  <si>
    <t>Im Trackingsheet hinterlegen</t>
  </si>
  <si>
    <t>KW 13</t>
  </si>
  <si>
    <t>KW 14</t>
  </si>
  <si>
    <t>KW 15</t>
  </si>
  <si>
    <t>KW 16</t>
  </si>
  <si>
    <t>KW 17</t>
  </si>
  <si>
    <t>KW 18</t>
  </si>
  <si>
    <t>KW 19</t>
  </si>
  <si>
    <t>KW 20</t>
  </si>
  <si>
    <t>KW 21</t>
  </si>
  <si>
    <t>KW 22</t>
  </si>
  <si>
    <t>KW 23</t>
  </si>
  <si>
    <t>PM</t>
  </si>
  <si>
    <t>Pause</t>
  </si>
  <si>
    <t>FINANZ</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</si>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</sst>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0" borderId="0" xfId="0" applyAlignment="1">
      <alignment horizontal="center"/>
    </xf>
    <xf numFmtId="0" fontId="0" fillId="6" borderId="0" xfId="0" applyFill="1"/>
    <xf numFmtId="0" fontId="0" fillId="5" borderId="0" xfId="0" applyFill="1"/>
    <xf numFmtId="0" fontId="0" fillId="7" borderId="0" xfId="0" applyFill="1"/>
    <xf numFmtId="14" fontId="0" fillId="0" borderId="0" xfId="0" applyNumberFormat="1" applyAlignment="1"/>
    <xf numFmtId="14" fontId="0" fillId="0" borderId="0" xfId="0" applyNumberFormat="1"/>
    <xf numFmtId="9" fontId="0" fillId="4" borderId="0" xfId="0" applyNumberFormat="1" applyFill="1"/>
    <xf numFmtId="0" fontId="1" fillId="2" borderId="0" xfId="0" applyFont="1" applyFill="1" applyAlignment="1">
      <alignment horizontal="center"/>
    </xf>
  </cellXfs>
  <cellStyles count="1">
    <cellStyle name="Normal" xfId="0" builtinId="0"/>
  </cellStyles>
  <dxfs count="213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6" totalsRowShown="0" headerRowDxfId="2138">
  <autoFilter ref="A1:K46" xr:uid="{00000000-0009-0000-0100-000001000000}"/>
  <tableColumns count="11">
    <tableColumn id="1" xr3:uid="{00000000-0010-0000-0000-000001000000}" name="Datum" dataDxfId="2137"/>
    <tableColumn id="2" xr3:uid="{00000000-0010-0000-0000-000002000000}" name="Lerneinheiten durchgezogen" dataDxfId="2136"/>
    <tableColumn id="3" xr3:uid="{00000000-0010-0000-0000-000003000000}" name="Tagesplan erstellt" dataDxfId="2135"/>
    <tableColumn id="4" xr3:uid="{00000000-0010-0000-0000-000004000000}" name="Konzentrationslevel" dataDxfId="2134"/>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C25"/>
  <sheetViews>
    <sheetView workbookViewId="0">
      <selection activeCell="B13" sqref="B13"/>
    </sheetView>
  </sheetViews>
  <sheetFormatPr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39</v>
      </c>
    </row>
    <row r="12" spans="2:2">
      <c r="B12" s="3" t="s">
        <v>17</v>
      </c>
    </row>
    <row r="13" spans="2:2" ht="126">
      <c r="B13" s="1" t="s">
        <v>18</v>
      </c>
    </row>
    <row r="15" spans="2:2">
      <c r="B15" s="3" t="s">
        <v>19</v>
      </c>
    </row>
    <row r="16" spans="2:2" ht="110.25">
      <c r="B16" s="1" t="s">
        <v>20</v>
      </c>
    </row>
    <row r="17" spans="2:2">
      <c r="B17" s="1"/>
    </row>
    <row r="18" spans="2:2">
      <c r="B18" s="3" t="s">
        <v>38</v>
      </c>
    </row>
    <row r="19" spans="2:2" ht="141.75">
      <c r="B19" s="1" t="s">
        <v>40</v>
      </c>
    </row>
    <row r="21" spans="2:2">
      <c r="B21" s="3" t="s">
        <v>21</v>
      </c>
    </row>
    <row r="22" spans="2:2" ht="126">
      <c r="B22" s="1" t="s">
        <v>41</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583F-7C97-455D-ACD4-E20D358ECE68}">
  <dimension ref="A2:D17"/>
  <sheetViews>
    <sheetView workbookViewId="0">
      <selection activeCell="C12" sqref="C12"/>
    </sheetView>
  </sheetViews>
  <sheetFormatPr defaultColWidth="11" defaultRowHeight="15.75"/>
  <cols>
    <col min="1" max="1" width="11.875" customWidth="1"/>
    <col min="2" max="2" width="62.625" customWidth="1"/>
  </cols>
  <sheetData>
    <row r="2" spans="1:4">
      <c r="C2" s="20" t="s">
        <v>199</v>
      </c>
    </row>
    <row r="3" spans="1:4">
      <c r="C3" s="21" t="s">
        <v>198</v>
      </c>
    </row>
    <row r="4" spans="1:4">
      <c r="C4" s="22" t="s">
        <v>197</v>
      </c>
    </row>
    <row r="5" spans="1:4">
      <c r="A5" s="3" t="s">
        <v>196</v>
      </c>
      <c r="B5" s="3" t="s">
        <v>195</v>
      </c>
      <c r="C5" s="3" t="s">
        <v>194</v>
      </c>
      <c r="D5" s="3" t="s">
        <v>193</v>
      </c>
    </row>
    <row r="6" spans="1:4">
      <c r="A6" t="s">
        <v>192</v>
      </c>
      <c r="B6" s="20" t="s">
        <v>191</v>
      </c>
      <c r="D6" t="s">
        <v>190</v>
      </c>
    </row>
    <row r="7" spans="1:4">
      <c r="A7" t="s">
        <v>189</v>
      </c>
      <c r="B7" t="s">
        <v>188</v>
      </c>
      <c r="C7" s="22">
        <f>11+12+25+12+12+11+13</f>
        <v>96</v>
      </c>
    </row>
    <row r="8" spans="1:4">
      <c r="A8" t="s">
        <v>187</v>
      </c>
      <c r="B8" s="20" t="s">
        <v>186</v>
      </c>
      <c r="D8" t="s">
        <v>185</v>
      </c>
    </row>
    <row r="9" spans="1:4">
      <c r="A9" t="s">
        <v>184</v>
      </c>
      <c r="B9" s="20" t="s">
        <v>183</v>
      </c>
      <c r="D9" t="s">
        <v>182</v>
      </c>
    </row>
    <row r="10" spans="1:4">
      <c r="A10" t="s">
        <v>181</v>
      </c>
      <c r="B10" t="s">
        <v>180</v>
      </c>
      <c r="C10" s="22">
        <v>10.5</v>
      </c>
      <c r="D10" t="s">
        <v>179</v>
      </c>
    </row>
    <row r="11" spans="1:4">
      <c r="A11" t="s">
        <v>178</v>
      </c>
      <c r="B11" t="s">
        <v>177</v>
      </c>
      <c r="C11" s="22">
        <f>96*3</f>
        <v>288</v>
      </c>
      <c r="D11" t="s">
        <v>176</v>
      </c>
    </row>
    <row r="12" spans="1:4">
      <c r="A12" t="s">
        <v>175</v>
      </c>
      <c r="B12" t="s">
        <v>174</v>
      </c>
      <c r="C12" s="21">
        <f>C11/C10</f>
        <v>27.428571428571427</v>
      </c>
    </row>
    <row r="13" spans="1:4">
      <c r="A13" t="s">
        <v>173</v>
      </c>
      <c r="B13" t="s">
        <v>172</v>
      </c>
      <c r="D13" t="s">
        <v>171</v>
      </c>
    </row>
    <row r="14" spans="1:4">
      <c r="A14" t="s">
        <v>170</v>
      </c>
      <c r="B14" t="s">
        <v>169</v>
      </c>
      <c r="D14" t="s">
        <v>168</v>
      </c>
    </row>
    <row r="15" spans="1:4">
      <c r="A15" t="s">
        <v>167</v>
      </c>
      <c r="B15" s="20" t="s">
        <v>166</v>
      </c>
    </row>
    <row r="16" spans="1:4">
      <c r="A16" t="s">
        <v>165</v>
      </c>
      <c r="B16" s="20" t="s">
        <v>164</v>
      </c>
    </row>
    <row r="17" spans="1:2">
      <c r="A17" t="s">
        <v>163</v>
      </c>
      <c r="B17" t="s">
        <v>162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H122"/>
  <sheetViews>
    <sheetView showGridLines="0" tabSelected="1" topLeftCell="A31" zoomScale="70" zoomScaleNormal="70" workbookViewId="0">
      <selection activeCell="I64" sqref="I64"/>
    </sheetView>
  </sheetViews>
  <sheetFormatPr defaultColWidth="8.875" defaultRowHeight="15.75" outlineLevelRow="1"/>
  <cols>
    <col min="3" max="3" width="26.125" customWidth="1"/>
    <col min="4" max="4" width="15.875" customWidth="1"/>
    <col min="5" max="5" width="4.875" bestFit="1" customWidth="1"/>
    <col min="6" max="6" width="98.25"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4" max="14" width="8.875" customWidth="1"/>
    <col min="15" max="15" width="12.5"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4" max="64" width="12.5" bestFit="1" customWidth="1"/>
    <col min="65" max="65" width="6.375" customWidth="1"/>
    <col min="66" max="66" width="14.875" bestFit="1" customWidth="1"/>
    <col min="67" max="67" width="6" customWidth="1"/>
    <col min="68" max="68" width="12.625" bestFit="1" customWidth="1"/>
    <col min="71" max="71" width="12.5" bestFit="1" customWidth="1"/>
    <col min="72" max="72" width="6.375" customWidth="1"/>
    <col min="73" max="73" width="14.875" bestFit="1" customWidth="1"/>
    <col min="74" max="74" width="6" customWidth="1"/>
    <col min="75" max="75" width="12.625" bestFit="1" customWidth="1"/>
    <col min="78" max="78" width="12.5" bestFit="1" customWidth="1"/>
    <col min="79" max="79" width="6.375" customWidth="1"/>
    <col min="80" max="80" width="14.875" bestFit="1" customWidth="1"/>
    <col min="81" max="81" width="6" customWidth="1"/>
    <col min="82" max="82" width="12.625" bestFit="1" customWidth="1"/>
    <col min="85" max="85" width="12.5" bestFit="1" customWidth="1"/>
    <col min="86" max="86" width="6.375" customWidth="1"/>
    <col min="87" max="87" width="14.875" bestFit="1" customWidth="1"/>
    <col min="88" max="88" width="6" customWidth="1"/>
    <col min="89" max="89" width="12.625" bestFit="1" customWidth="1"/>
    <col min="92" max="92" width="12.5" bestFit="1" customWidth="1"/>
    <col min="93" max="93" width="6.375" customWidth="1"/>
    <col min="94" max="94" width="14.875" bestFit="1" customWidth="1"/>
    <col min="95" max="95" width="6" customWidth="1"/>
    <col min="96" max="96" width="12.625" bestFit="1" customWidth="1"/>
    <col min="99" max="99" width="12.5" bestFit="1" customWidth="1"/>
    <col min="100" max="100" width="6.375" customWidth="1"/>
    <col min="101" max="101" width="14.875" bestFit="1" customWidth="1"/>
    <col min="102" max="102" width="6" customWidth="1"/>
    <col min="103" max="103" width="12.625" bestFit="1" customWidth="1"/>
    <col min="106" max="106" width="12.5" bestFit="1" customWidth="1"/>
    <col min="107" max="107" width="6.375" customWidth="1"/>
    <col min="108" max="108" width="14.875" bestFit="1" customWidth="1"/>
    <col min="109" max="109" width="6" customWidth="1"/>
    <col min="110" max="110" width="12.625" bestFit="1" customWidth="1"/>
    <col min="113" max="113" width="12.5" bestFit="1" customWidth="1"/>
    <col min="114" max="114" width="6.375" customWidth="1"/>
    <col min="115" max="115" width="14.875" bestFit="1" customWidth="1"/>
    <col min="116" max="116" width="6" customWidth="1"/>
    <col min="117" max="117" width="12.625" bestFit="1" customWidth="1"/>
    <col min="120" max="120" width="12.5" bestFit="1" customWidth="1"/>
    <col min="121" max="121" width="6.375" customWidth="1"/>
    <col min="122" max="122" width="14.875" bestFit="1" customWidth="1"/>
    <col min="123" max="123" width="6" customWidth="1"/>
    <col min="124" max="124" width="12.625" bestFit="1" customWidth="1"/>
    <col min="127" max="127" width="12.5" bestFit="1" customWidth="1"/>
    <col min="128" max="128" width="6.375" customWidth="1"/>
    <col min="129" max="129" width="14.875" bestFit="1" customWidth="1"/>
    <col min="130" max="130" width="6" customWidth="1"/>
    <col min="131" max="131" width="12.625" bestFit="1" customWidth="1"/>
    <col min="134" max="134" width="12.5" bestFit="1" customWidth="1"/>
    <col min="135" max="135" width="6.375" customWidth="1"/>
    <col min="136" max="136" width="14.875" bestFit="1" customWidth="1"/>
    <col min="137" max="137" width="6" customWidth="1"/>
    <col min="138" max="138" width="12.625" bestFit="1" customWidth="1"/>
  </cols>
  <sheetData>
    <row r="1" spans="2:138" ht="33.75">
      <c r="B1" s="5" t="s">
        <v>0</v>
      </c>
      <c r="D1" s="5"/>
      <c r="G1" s="15" t="s">
        <v>37</v>
      </c>
      <c r="I1" s="15" t="s">
        <v>37</v>
      </c>
      <c r="J1" s="15" t="s">
        <v>37</v>
      </c>
      <c r="K1" s="15" t="s">
        <v>37</v>
      </c>
    </row>
    <row r="2" spans="2:138">
      <c r="I2" s="26" t="s">
        <v>27</v>
      </c>
      <c r="J2" s="26"/>
      <c r="K2" s="26"/>
      <c r="L2" s="26"/>
      <c r="N2" s="26" t="s">
        <v>156</v>
      </c>
      <c r="O2" s="26"/>
      <c r="P2" s="26"/>
      <c r="Q2" s="26"/>
      <c r="R2" s="26"/>
      <c r="S2" s="26"/>
      <c r="U2" s="26" t="s">
        <v>157</v>
      </c>
      <c r="V2" s="26"/>
      <c r="W2" s="26"/>
      <c r="X2" s="26"/>
      <c r="Y2" s="26"/>
      <c r="Z2" s="26"/>
      <c r="AB2" s="26" t="s">
        <v>158</v>
      </c>
      <c r="AC2" s="26"/>
      <c r="AD2" s="26"/>
      <c r="AE2" s="26"/>
      <c r="AF2" s="26"/>
      <c r="AG2" s="26"/>
      <c r="AI2" s="26" t="s">
        <v>158</v>
      </c>
      <c r="AJ2" s="26"/>
      <c r="AK2" s="26"/>
      <c r="AL2" s="26"/>
      <c r="AM2" s="26"/>
      <c r="AN2" s="26"/>
      <c r="AP2" s="26" t="s">
        <v>159</v>
      </c>
      <c r="AQ2" s="26"/>
      <c r="AR2" s="26"/>
      <c r="AS2" s="26"/>
      <c r="AT2" s="26"/>
      <c r="AU2" s="26"/>
      <c r="AW2" s="26" t="s">
        <v>160</v>
      </c>
      <c r="AX2" s="26"/>
      <c r="AY2" s="26"/>
      <c r="AZ2" s="26"/>
      <c r="BA2" s="26"/>
      <c r="BB2" s="26"/>
      <c r="BD2" s="26" t="s">
        <v>161</v>
      </c>
      <c r="BE2" s="26"/>
      <c r="BF2" s="26"/>
      <c r="BG2" s="26"/>
      <c r="BH2" s="26"/>
      <c r="BI2" s="26"/>
      <c r="BK2" s="26" t="s">
        <v>200</v>
      </c>
      <c r="BL2" s="26"/>
      <c r="BM2" s="26"/>
      <c r="BN2" s="26"/>
      <c r="BO2" s="26"/>
      <c r="BP2" s="26"/>
      <c r="BR2" s="26" t="s">
        <v>201</v>
      </c>
      <c r="BS2" s="26"/>
      <c r="BT2" s="26"/>
      <c r="BU2" s="26"/>
      <c r="BV2" s="26"/>
      <c r="BW2" s="26"/>
      <c r="BY2" s="26" t="s">
        <v>202</v>
      </c>
      <c r="BZ2" s="26"/>
      <c r="CA2" s="26"/>
      <c r="CB2" s="26"/>
      <c r="CC2" s="26"/>
      <c r="CD2" s="26"/>
      <c r="CF2" s="26" t="s">
        <v>203</v>
      </c>
      <c r="CG2" s="26"/>
      <c r="CH2" s="26"/>
      <c r="CI2" s="26"/>
      <c r="CJ2" s="26"/>
      <c r="CK2" s="26"/>
      <c r="CM2" s="26" t="s">
        <v>204</v>
      </c>
      <c r="CN2" s="26"/>
      <c r="CO2" s="26"/>
      <c r="CP2" s="26"/>
      <c r="CQ2" s="26"/>
      <c r="CR2" s="26"/>
      <c r="CT2" s="26" t="s">
        <v>205</v>
      </c>
      <c r="CU2" s="26"/>
      <c r="CV2" s="26"/>
      <c r="CW2" s="26"/>
      <c r="CX2" s="26"/>
      <c r="CY2" s="26"/>
      <c r="DA2" s="26" t="s">
        <v>206</v>
      </c>
      <c r="DB2" s="26"/>
      <c r="DC2" s="26"/>
      <c r="DD2" s="26"/>
      <c r="DE2" s="26"/>
      <c r="DF2" s="26"/>
      <c r="DH2" s="26" t="s">
        <v>207</v>
      </c>
      <c r="DI2" s="26"/>
      <c r="DJ2" s="26"/>
      <c r="DK2" s="26"/>
      <c r="DL2" s="26"/>
      <c r="DM2" s="26"/>
      <c r="DO2" s="26" t="s">
        <v>208</v>
      </c>
      <c r="DP2" s="26"/>
      <c r="DQ2" s="26"/>
      <c r="DR2" s="26"/>
      <c r="DS2" s="26"/>
      <c r="DT2" s="26"/>
      <c r="DV2" s="26" t="s">
        <v>209</v>
      </c>
      <c r="DW2" s="26"/>
      <c r="DX2" s="26"/>
      <c r="DY2" s="26"/>
      <c r="DZ2" s="26"/>
      <c r="EA2" s="26"/>
      <c r="EC2" s="26" t="s">
        <v>210</v>
      </c>
      <c r="ED2" s="26"/>
      <c r="EE2" s="26"/>
      <c r="EF2" s="26"/>
      <c r="EG2" s="26"/>
      <c r="EH2" s="26"/>
    </row>
    <row r="3" spans="2:138">
      <c r="B3" s="6" t="s">
        <v>26</v>
      </c>
      <c r="C3" s="6" t="s">
        <v>1</v>
      </c>
      <c r="D3" s="6" t="s">
        <v>24</v>
      </c>
      <c r="E3" s="7" t="s">
        <v>34</v>
      </c>
      <c r="F3" s="6" t="s">
        <v>29</v>
      </c>
      <c r="G3" s="6" t="s">
        <v>35</v>
      </c>
      <c r="I3" s="7" t="s">
        <v>11</v>
      </c>
      <c r="J3" s="7" t="s">
        <v>2</v>
      </c>
      <c r="K3" s="7" t="s">
        <v>3</v>
      </c>
      <c r="L3" s="7" t="s">
        <v>12</v>
      </c>
      <c r="N3" s="6" t="s">
        <v>11</v>
      </c>
      <c r="O3" s="6" t="s">
        <v>2</v>
      </c>
      <c r="P3" s="6" t="s">
        <v>36</v>
      </c>
      <c r="Q3" s="6" t="s">
        <v>3</v>
      </c>
      <c r="R3" s="6" t="s">
        <v>36</v>
      </c>
      <c r="S3" s="6" t="s">
        <v>12</v>
      </c>
      <c r="U3" s="6" t="s">
        <v>11</v>
      </c>
      <c r="V3" s="6" t="s">
        <v>2</v>
      </c>
      <c r="W3" s="6" t="s">
        <v>36</v>
      </c>
      <c r="X3" s="6" t="s">
        <v>3</v>
      </c>
      <c r="Y3" s="6" t="s">
        <v>36</v>
      </c>
      <c r="Z3" s="6" t="s">
        <v>12</v>
      </c>
      <c r="AB3" s="6" t="s">
        <v>11</v>
      </c>
      <c r="AC3" s="6" t="s">
        <v>2</v>
      </c>
      <c r="AD3" s="6" t="s">
        <v>36</v>
      </c>
      <c r="AE3" s="6" t="s">
        <v>3</v>
      </c>
      <c r="AF3" s="6" t="s">
        <v>36</v>
      </c>
      <c r="AG3" s="6" t="s">
        <v>12</v>
      </c>
      <c r="AI3" s="6" t="s">
        <v>11</v>
      </c>
      <c r="AJ3" s="6" t="s">
        <v>2</v>
      </c>
      <c r="AK3" s="6" t="s">
        <v>36</v>
      </c>
      <c r="AL3" s="6" t="s">
        <v>3</v>
      </c>
      <c r="AM3" s="6" t="s">
        <v>36</v>
      </c>
      <c r="AN3" s="6" t="s">
        <v>12</v>
      </c>
      <c r="AP3" s="6" t="s">
        <v>11</v>
      </c>
      <c r="AQ3" s="6" t="s">
        <v>2</v>
      </c>
      <c r="AR3" s="6" t="s">
        <v>36</v>
      </c>
      <c r="AS3" s="6" t="s">
        <v>3</v>
      </c>
      <c r="AT3" s="6" t="s">
        <v>36</v>
      </c>
      <c r="AU3" s="6" t="s">
        <v>12</v>
      </c>
      <c r="AW3" s="6" t="s">
        <v>11</v>
      </c>
      <c r="AX3" s="6" t="s">
        <v>2</v>
      </c>
      <c r="AY3" s="6" t="s">
        <v>36</v>
      </c>
      <c r="AZ3" s="6" t="s">
        <v>3</v>
      </c>
      <c r="BA3" s="6" t="s">
        <v>36</v>
      </c>
      <c r="BB3" s="6" t="s">
        <v>12</v>
      </c>
      <c r="BD3" s="6" t="s">
        <v>11</v>
      </c>
      <c r="BE3" s="6" t="s">
        <v>2</v>
      </c>
      <c r="BF3" s="6" t="s">
        <v>36</v>
      </c>
      <c r="BG3" s="6" t="s">
        <v>3</v>
      </c>
      <c r="BH3" s="6" t="s">
        <v>36</v>
      </c>
      <c r="BI3" s="6" t="s">
        <v>12</v>
      </c>
      <c r="BK3" s="6" t="s">
        <v>11</v>
      </c>
      <c r="BL3" s="6" t="s">
        <v>2</v>
      </c>
      <c r="BM3" s="6" t="s">
        <v>36</v>
      </c>
      <c r="BN3" s="6" t="s">
        <v>3</v>
      </c>
      <c r="BO3" s="6" t="s">
        <v>36</v>
      </c>
      <c r="BP3" s="6" t="s">
        <v>12</v>
      </c>
      <c r="BR3" s="6" t="s">
        <v>11</v>
      </c>
      <c r="BS3" s="6" t="s">
        <v>2</v>
      </c>
      <c r="BT3" s="6" t="s">
        <v>36</v>
      </c>
      <c r="BU3" s="6" t="s">
        <v>3</v>
      </c>
      <c r="BV3" s="6" t="s">
        <v>36</v>
      </c>
      <c r="BW3" s="6" t="s">
        <v>12</v>
      </c>
      <c r="BY3" s="6" t="s">
        <v>11</v>
      </c>
      <c r="BZ3" s="6" t="s">
        <v>2</v>
      </c>
      <c r="CA3" s="6" t="s">
        <v>36</v>
      </c>
      <c r="CB3" s="6" t="s">
        <v>3</v>
      </c>
      <c r="CC3" s="6" t="s">
        <v>36</v>
      </c>
      <c r="CD3" s="6" t="s">
        <v>12</v>
      </c>
      <c r="CF3" s="6" t="s">
        <v>11</v>
      </c>
      <c r="CG3" s="6" t="s">
        <v>2</v>
      </c>
      <c r="CH3" s="6" t="s">
        <v>36</v>
      </c>
      <c r="CI3" s="6" t="s">
        <v>3</v>
      </c>
      <c r="CJ3" s="6" t="s">
        <v>36</v>
      </c>
      <c r="CK3" s="6" t="s">
        <v>12</v>
      </c>
      <c r="CM3" s="6" t="s">
        <v>11</v>
      </c>
      <c r="CN3" s="6" t="s">
        <v>2</v>
      </c>
      <c r="CO3" s="6" t="s">
        <v>36</v>
      </c>
      <c r="CP3" s="6" t="s">
        <v>3</v>
      </c>
      <c r="CQ3" s="6" t="s">
        <v>36</v>
      </c>
      <c r="CR3" s="6" t="s">
        <v>12</v>
      </c>
      <c r="CT3" s="6" t="s">
        <v>11</v>
      </c>
      <c r="CU3" s="6" t="s">
        <v>2</v>
      </c>
      <c r="CV3" s="6" t="s">
        <v>36</v>
      </c>
      <c r="CW3" s="6" t="s">
        <v>3</v>
      </c>
      <c r="CX3" s="6" t="s">
        <v>36</v>
      </c>
      <c r="CY3" s="6" t="s">
        <v>12</v>
      </c>
      <c r="DA3" s="6" t="s">
        <v>11</v>
      </c>
      <c r="DB3" s="6" t="s">
        <v>2</v>
      </c>
      <c r="DC3" s="6" t="s">
        <v>36</v>
      </c>
      <c r="DD3" s="6" t="s">
        <v>3</v>
      </c>
      <c r="DE3" s="6" t="s">
        <v>36</v>
      </c>
      <c r="DF3" s="6" t="s">
        <v>12</v>
      </c>
      <c r="DH3" s="6" t="s">
        <v>11</v>
      </c>
      <c r="DI3" s="6" t="s">
        <v>2</v>
      </c>
      <c r="DJ3" s="6" t="s">
        <v>36</v>
      </c>
      <c r="DK3" s="6" t="s">
        <v>3</v>
      </c>
      <c r="DL3" s="6" t="s">
        <v>36</v>
      </c>
      <c r="DM3" s="6" t="s">
        <v>12</v>
      </c>
      <c r="DO3" s="6" t="s">
        <v>11</v>
      </c>
      <c r="DP3" s="6" t="s">
        <v>2</v>
      </c>
      <c r="DQ3" s="6" t="s">
        <v>36</v>
      </c>
      <c r="DR3" s="6" t="s">
        <v>3</v>
      </c>
      <c r="DS3" s="6" t="s">
        <v>36</v>
      </c>
      <c r="DT3" s="6" t="s">
        <v>12</v>
      </c>
      <c r="DV3" s="6" t="s">
        <v>11</v>
      </c>
      <c r="DW3" s="6" t="s">
        <v>2</v>
      </c>
      <c r="DX3" s="6" t="s">
        <v>36</v>
      </c>
      <c r="DY3" s="6" t="s">
        <v>3</v>
      </c>
      <c r="DZ3" s="6" t="s">
        <v>36</v>
      </c>
      <c r="EA3" s="6" t="s">
        <v>12</v>
      </c>
      <c r="EC3" s="6" t="s">
        <v>11</v>
      </c>
      <c r="ED3" s="6" t="s">
        <v>2</v>
      </c>
      <c r="EE3" s="6" t="s">
        <v>36</v>
      </c>
      <c r="EF3" s="6" t="s">
        <v>3</v>
      </c>
      <c r="EG3" s="6" t="s">
        <v>36</v>
      </c>
      <c r="EH3" s="6" t="s">
        <v>12</v>
      </c>
    </row>
    <row r="4" spans="2:138">
      <c r="B4" t="s">
        <v>27</v>
      </c>
      <c r="C4" s="2" t="s">
        <v>65</v>
      </c>
      <c r="D4" s="23">
        <f>DATE(2022,5,31)</f>
        <v>44712</v>
      </c>
      <c r="E4" s="11">
        <v>6</v>
      </c>
      <c r="G4" s="12">
        <f>+SUM(G5:G16)</f>
        <v>0.99999999999999989</v>
      </c>
      <c r="I4" s="14">
        <f ca="1">+SUM(I5:I16)</f>
        <v>3</v>
      </c>
      <c r="J4" s="13">
        <f>+SUMPRODUCT(G5:G16,J5:J16)</f>
        <v>0</v>
      </c>
      <c r="K4" s="13">
        <f>+SUMPRODUCT(G5:G16,K5:K16)</f>
        <v>0</v>
      </c>
      <c r="L4" s="11"/>
      <c r="N4" s="14">
        <f>+SUM(N5:N16)</f>
        <v>6</v>
      </c>
      <c r="U4" s="14">
        <f>+SUM(T5:T16)</f>
        <v>0</v>
      </c>
      <c r="AB4" s="14">
        <f>+SUM(AA5:AA16)</f>
        <v>0</v>
      </c>
      <c r="AI4" s="14">
        <f>+SUM(AH5:AH16)</f>
        <v>0</v>
      </c>
      <c r="AP4" s="14">
        <f>+SUM(AO5:AO16)</f>
        <v>0</v>
      </c>
      <c r="AW4" s="14">
        <f>+SUM(AV5:AV16)</f>
        <v>0</v>
      </c>
      <c r="BD4" s="14">
        <f>+SUM(BC5:BC16)</f>
        <v>0</v>
      </c>
      <c r="BK4" s="14">
        <f>+SUM(BJ5:BJ16)</f>
        <v>0</v>
      </c>
      <c r="BR4" s="14">
        <f>+SUM(BQ5:BQ16)</f>
        <v>0</v>
      </c>
      <c r="BY4" s="14">
        <f>+SUM(BX5:BX16)</f>
        <v>0</v>
      </c>
      <c r="CF4" s="14">
        <f>+SUM(CE5:CE16)</f>
        <v>0</v>
      </c>
      <c r="CM4" s="14">
        <f>+SUM(CL5:CL16)</f>
        <v>0</v>
      </c>
      <c r="CT4" s="14">
        <f>+SUM(CS5:CS16)</f>
        <v>0</v>
      </c>
      <c r="DA4" s="14">
        <f>+SUM(CZ5:CZ16)</f>
        <v>0</v>
      </c>
      <c r="DH4" s="14">
        <f>+SUM(DG5:DG16)</f>
        <v>0</v>
      </c>
      <c r="DO4" s="14">
        <f>+SUM(DN5:DN16)</f>
        <v>0</v>
      </c>
      <c r="DV4" s="14">
        <f>+SUM(DU5:DU16)</f>
        <v>0</v>
      </c>
      <c r="EC4" s="14">
        <f>+SUM(EB5:EB16)</f>
        <v>0</v>
      </c>
    </row>
    <row r="5" spans="2:138" outlineLevel="1">
      <c r="B5" t="s">
        <v>28</v>
      </c>
      <c r="C5" s="2" t="s">
        <v>65</v>
      </c>
      <c r="D5" s="2"/>
      <c r="E5" s="11"/>
      <c r="F5" t="s">
        <v>66</v>
      </c>
      <c r="G5" s="12">
        <v>0.1</v>
      </c>
      <c r="I5" s="11">
        <f ca="1">+SUMIF($N$3:$WV$3,I$3,$N5:$WT5)</f>
        <v>1</v>
      </c>
      <c r="J5" s="13" cm="1">
        <f t="array" ref="J5">MAX(IF($N$3:$DV$3=$J$3,N5:DT5))</f>
        <v>0</v>
      </c>
      <c r="K5" s="13" cm="1">
        <f t="array" ref="K5">MAX(IF($N$3:$DV$3=$J$3,N5:DT5))</f>
        <v>0</v>
      </c>
      <c r="L5" s="11"/>
      <c r="N5">
        <v>1</v>
      </c>
      <c r="O5" s="25"/>
      <c r="P5" s="12"/>
      <c r="T5" s="12"/>
      <c r="U5" s="12"/>
      <c r="V5" s="12"/>
      <c r="W5" s="12"/>
      <c r="AA5" s="12"/>
      <c r="AB5" s="12"/>
      <c r="AC5" s="12"/>
      <c r="AD5" s="12"/>
      <c r="AH5" s="12"/>
      <c r="AI5" s="12"/>
      <c r="AJ5" s="12"/>
      <c r="AK5" s="12"/>
      <c r="AO5" s="12"/>
      <c r="AP5" s="12"/>
      <c r="AQ5" s="12"/>
      <c r="AR5" s="12"/>
      <c r="AV5" s="12"/>
      <c r="AW5" s="12"/>
      <c r="AX5" s="12"/>
      <c r="AY5" s="12"/>
      <c r="BC5" s="12"/>
      <c r="BD5" s="12"/>
      <c r="BE5" s="12"/>
      <c r="BF5" s="12"/>
      <c r="BJ5" s="12"/>
      <c r="BK5" s="12"/>
      <c r="BL5" s="12"/>
      <c r="BM5" s="12"/>
      <c r="BQ5" s="12"/>
      <c r="BR5" s="12"/>
      <c r="BS5" s="12"/>
      <c r="BT5" s="12"/>
      <c r="BX5" s="12"/>
      <c r="BY5" s="12"/>
      <c r="BZ5" s="12"/>
      <c r="CA5" s="12"/>
      <c r="CE5" s="12"/>
      <c r="CF5" s="12"/>
      <c r="CG5" s="12"/>
      <c r="CH5" s="12"/>
      <c r="CL5" s="12"/>
      <c r="CM5" s="12"/>
      <c r="CN5" s="12"/>
      <c r="CO5" s="12"/>
      <c r="CS5" s="12"/>
      <c r="CT5" s="12"/>
      <c r="CU5" s="12"/>
      <c r="CV5" s="12"/>
      <c r="CZ5" s="12"/>
      <c r="DA5" s="12"/>
      <c r="DB5" s="12"/>
      <c r="DC5" s="12"/>
      <c r="DG5" s="12"/>
      <c r="DH5" s="12"/>
      <c r="DI5" s="12"/>
      <c r="DJ5" s="12"/>
      <c r="DN5" s="12"/>
      <c r="DO5" s="12"/>
      <c r="DP5" s="12"/>
      <c r="DQ5" s="12"/>
      <c r="DU5" s="12"/>
      <c r="DV5" s="12"/>
      <c r="DW5" s="12"/>
      <c r="DX5" s="12"/>
      <c r="EB5" s="12"/>
      <c r="EC5" s="12"/>
      <c r="ED5" s="12"/>
      <c r="EE5" s="12"/>
    </row>
    <row r="6" spans="2:138" outlineLevel="1">
      <c r="B6" t="s">
        <v>28</v>
      </c>
      <c r="C6" s="2" t="s">
        <v>65</v>
      </c>
      <c r="D6" s="2"/>
      <c r="E6" s="11"/>
      <c r="F6" t="s">
        <v>67</v>
      </c>
      <c r="G6" s="12">
        <v>0.05</v>
      </c>
      <c r="I6" s="11">
        <f ca="1">+SUMIF($N$3:$WV$3,I$3,$N6:$WU6)</f>
        <v>2</v>
      </c>
      <c r="J6" s="13" cm="1">
        <f t="array" ref="J6">MAX(IF($N$3:$DV$3=$J$3,N6:DU6))</f>
        <v>0</v>
      </c>
      <c r="K6" s="13" cm="1">
        <f t="array" ref="K6">MAX(IF($N$3:$DV$3=$J$3,N6:DU6))</f>
        <v>0</v>
      </c>
      <c r="L6" s="11"/>
      <c r="N6">
        <v>2</v>
      </c>
      <c r="O6" s="25"/>
      <c r="P6" s="12"/>
      <c r="Q6" s="12"/>
      <c r="U6" s="12"/>
      <c r="V6" s="12"/>
      <c r="W6" s="12"/>
      <c r="X6" s="12"/>
      <c r="AB6" s="12"/>
      <c r="AC6" s="12"/>
      <c r="AD6" s="12"/>
      <c r="AE6" s="12"/>
      <c r="AI6" s="12"/>
      <c r="AJ6" s="12"/>
      <c r="AK6" s="12"/>
      <c r="AL6" s="12"/>
      <c r="AP6" s="12"/>
      <c r="AQ6" s="12"/>
      <c r="AR6" s="12"/>
      <c r="AS6" s="12"/>
      <c r="AW6" s="12"/>
      <c r="AX6" s="12"/>
      <c r="AY6" s="12"/>
      <c r="AZ6" s="12"/>
      <c r="BD6" s="12"/>
      <c r="BE6" s="12"/>
      <c r="BF6" s="12"/>
      <c r="BG6" s="12"/>
      <c r="BK6" s="12"/>
      <c r="BL6" s="12"/>
      <c r="BM6" s="12"/>
      <c r="BN6" s="12"/>
      <c r="BR6" s="12"/>
      <c r="BS6" s="12"/>
      <c r="BT6" s="12"/>
      <c r="BU6" s="12"/>
      <c r="BY6" s="12"/>
      <c r="BZ6" s="12"/>
      <c r="CA6" s="12"/>
      <c r="CB6" s="12"/>
      <c r="CF6" s="12"/>
      <c r="CG6" s="12"/>
      <c r="CH6" s="12"/>
      <c r="CI6" s="12"/>
      <c r="CM6" s="12"/>
      <c r="CN6" s="12"/>
      <c r="CO6" s="12"/>
      <c r="CP6" s="12"/>
      <c r="CT6" s="12"/>
      <c r="CU6" s="12"/>
      <c r="CV6" s="12"/>
      <c r="CW6" s="12"/>
      <c r="DA6" s="12"/>
      <c r="DB6" s="12"/>
      <c r="DC6" s="12"/>
      <c r="DD6" s="12"/>
      <c r="DH6" s="12"/>
      <c r="DI6" s="12"/>
      <c r="DJ6" s="12"/>
      <c r="DK6" s="12"/>
      <c r="DO6" s="12"/>
      <c r="DP6" s="12"/>
      <c r="DQ6" s="12"/>
      <c r="DR6" s="12"/>
      <c r="DV6" s="12"/>
      <c r="DW6" s="12"/>
      <c r="DX6" s="12"/>
      <c r="DY6" s="12"/>
      <c r="EC6" s="12"/>
      <c r="ED6" s="12"/>
      <c r="EE6" s="12"/>
      <c r="EF6" s="12"/>
    </row>
    <row r="7" spans="2:138" outlineLevel="1">
      <c r="B7" t="s">
        <v>28</v>
      </c>
      <c r="C7" s="2" t="s">
        <v>65</v>
      </c>
      <c r="D7" s="2"/>
      <c r="E7" s="11"/>
      <c r="F7" t="s">
        <v>68</v>
      </c>
      <c r="G7" s="12">
        <v>0.05</v>
      </c>
      <c r="I7" s="11">
        <v>0</v>
      </c>
      <c r="J7" s="13" cm="1">
        <f t="array" ref="J7">MAX(IF($N$3:$DV$3=$J$3,N7:DT7))</f>
        <v>0</v>
      </c>
      <c r="K7" s="13" cm="1">
        <f t="array" ref="K7">MAX(IF($N$3:$DV$3=$J$3,N7:DT7))</f>
        <v>0</v>
      </c>
      <c r="L7" s="11"/>
      <c r="N7">
        <v>3</v>
      </c>
      <c r="O7" s="25"/>
      <c r="P7" s="12"/>
      <c r="T7" s="12"/>
      <c r="U7" s="12"/>
      <c r="V7" s="12"/>
      <c r="W7" s="12"/>
      <c r="AA7" s="12"/>
      <c r="AB7" s="12"/>
      <c r="AC7" s="12"/>
      <c r="AD7" s="12"/>
      <c r="AH7" s="12"/>
      <c r="AI7" s="12"/>
      <c r="AJ7" s="12"/>
      <c r="AK7" s="12"/>
      <c r="AO7" s="12"/>
      <c r="AP7" s="12"/>
      <c r="AQ7" s="12"/>
      <c r="AR7" s="12"/>
      <c r="AV7" s="12"/>
      <c r="AW7" s="12"/>
      <c r="AX7" s="12"/>
      <c r="AY7" s="12"/>
      <c r="BC7" s="12"/>
      <c r="BD7" s="12"/>
      <c r="BE7" s="12"/>
      <c r="BF7" s="12"/>
      <c r="BJ7" s="12"/>
      <c r="BK7" s="12"/>
      <c r="BL7" s="12"/>
      <c r="BM7" s="12"/>
      <c r="BQ7" s="12"/>
      <c r="BR7" s="12"/>
      <c r="BS7" s="12"/>
      <c r="BT7" s="12"/>
      <c r="BX7" s="12"/>
      <c r="BY7" s="12"/>
      <c r="BZ7" s="12"/>
      <c r="CA7" s="12"/>
      <c r="CE7" s="12"/>
      <c r="CF7" s="12"/>
      <c r="CG7" s="12"/>
      <c r="CH7" s="12"/>
      <c r="CL7" s="12"/>
      <c r="CM7" s="12"/>
      <c r="CN7" s="12"/>
      <c r="CO7" s="12"/>
      <c r="CS7" s="12"/>
      <c r="CT7" s="12"/>
      <c r="CU7" s="12"/>
      <c r="CV7" s="12"/>
      <c r="CZ7" s="12"/>
      <c r="DA7" s="12"/>
      <c r="DB7" s="12"/>
      <c r="DC7" s="12"/>
      <c r="DG7" s="12"/>
      <c r="DH7" s="12"/>
      <c r="DI7" s="12"/>
      <c r="DJ7" s="12"/>
      <c r="DN7" s="12"/>
      <c r="DO7" s="12"/>
      <c r="DP7" s="12"/>
      <c r="DQ7" s="12"/>
      <c r="DU7" s="12"/>
      <c r="DV7" s="12"/>
      <c r="DW7" s="12"/>
      <c r="DX7" s="12"/>
      <c r="EB7" s="12"/>
      <c r="EC7" s="12"/>
      <c r="ED7" s="12"/>
      <c r="EE7" s="12"/>
    </row>
    <row r="8" spans="2:138" outlineLevel="1">
      <c r="B8" t="s">
        <v>28</v>
      </c>
      <c r="C8" s="2" t="s">
        <v>65</v>
      </c>
      <c r="D8" s="2"/>
      <c r="E8" s="11"/>
      <c r="F8" t="s">
        <v>69</v>
      </c>
      <c r="G8" s="12">
        <v>0.05</v>
      </c>
      <c r="I8" s="11">
        <v>0</v>
      </c>
      <c r="J8" s="13" cm="1">
        <f t="array" ref="J8">MAX(IF($N$3:$DV$3=$J$3,N8:DT8))</f>
        <v>0</v>
      </c>
      <c r="K8" s="13" cm="1">
        <f t="array" ref="K8">MAX(IF($N$3:$DV$3=$J$3,N8:DT8))</f>
        <v>0</v>
      </c>
      <c r="L8" s="11"/>
      <c r="O8" s="12"/>
      <c r="P8" s="12"/>
      <c r="T8" s="12"/>
      <c r="U8" s="12"/>
      <c r="V8" s="12"/>
      <c r="W8" s="12"/>
      <c r="AA8" s="12"/>
      <c r="AB8" s="12"/>
      <c r="AC8" s="12"/>
      <c r="AD8" s="12"/>
      <c r="AH8" s="12"/>
      <c r="AI8" s="12"/>
      <c r="AJ8" s="12"/>
      <c r="AK8" s="12"/>
      <c r="AO8" s="12"/>
      <c r="AP8" s="12"/>
      <c r="AQ8" s="12"/>
      <c r="AR8" s="12"/>
      <c r="AV8" s="12"/>
      <c r="AW8" s="12"/>
      <c r="AX8" s="12"/>
      <c r="AY8" s="12"/>
      <c r="BC8" s="12"/>
      <c r="BD8" s="12"/>
      <c r="BE8" s="12"/>
      <c r="BF8" s="12"/>
      <c r="BJ8" s="12"/>
      <c r="BK8" s="12"/>
      <c r="BL8" s="12"/>
      <c r="BM8" s="12"/>
      <c r="BQ8" s="12"/>
      <c r="BR8" s="12"/>
      <c r="BS8" s="12"/>
      <c r="BT8" s="12"/>
      <c r="BX8" s="12"/>
      <c r="BY8" s="12"/>
      <c r="BZ8" s="12"/>
      <c r="CA8" s="12"/>
      <c r="CE8" s="12"/>
      <c r="CF8" s="12"/>
      <c r="CG8" s="12"/>
      <c r="CH8" s="12"/>
      <c r="CL8" s="12"/>
      <c r="CM8" s="12"/>
      <c r="CN8" s="12"/>
      <c r="CO8" s="12"/>
      <c r="CS8" s="12"/>
      <c r="CT8" s="12"/>
      <c r="CU8" s="12"/>
      <c r="CV8" s="12"/>
      <c r="CZ8" s="12"/>
      <c r="DA8" s="12"/>
      <c r="DB8" s="12"/>
      <c r="DC8" s="12"/>
      <c r="DG8" s="12"/>
      <c r="DH8" s="12"/>
      <c r="DI8" s="12"/>
      <c r="DJ8" s="12"/>
      <c r="DN8" s="12"/>
      <c r="DO8" s="12"/>
      <c r="DP8" s="12"/>
      <c r="DQ8" s="12"/>
      <c r="DU8" s="12"/>
      <c r="DV8" s="12"/>
      <c r="DW8" s="12"/>
      <c r="DX8" s="12"/>
      <c r="EB8" s="12"/>
      <c r="EC8" s="12"/>
      <c r="ED8" s="12"/>
      <c r="EE8" s="12"/>
    </row>
    <row r="9" spans="2:138" outlineLevel="1">
      <c r="B9" t="s">
        <v>28</v>
      </c>
      <c r="C9" s="2" t="s">
        <v>65</v>
      </c>
      <c r="D9" s="2"/>
      <c r="E9" s="11"/>
      <c r="F9" t="s">
        <v>70</v>
      </c>
      <c r="G9" s="12">
        <v>0.05</v>
      </c>
      <c r="I9" s="11">
        <v>0</v>
      </c>
      <c r="J9" s="13" cm="1">
        <f t="array" ref="J9">MAX(IF($N$3:$DV$3=$J$3,N9:DT9))</f>
        <v>0</v>
      </c>
      <c r="K9" s="13" cm="1">
        <f t="array" ref="K9">MAX(IF($N$3:$DV$3=$J$3,N9:DT9))</f>
        <v>0</v>
      </c>
      <c r="L9" s="11"/>
      <c r="O9" s="12"/>
      <c r="P9" s="12"/>
      <c r="T9" s="12"/>
      <c r="U9" s="12"/>
      <c r="V9" s="12"/>
      <c r="W9" s="12"/>
      <c r="AA9" s="12"/>
      <c r="AB9" s="12"/>
      <c r="AC9" s="12"/>
      <c r="AD9" s="12"/>
      <c r="AH9" s="12"/>
      <c r="AI9" s="12"/>
      <c r="AJ9" s="12"/>
      <c r="AK9" s="12"/>
      <c r="AO9" s="12"/>
      <c r="AP9" s="12"/>
      <c r="AQ9" s="12"/>
      <c r="AR9" s="12"/>
      <c r="AV9" s="12"/>
      <c r="AW9" s="12"/>
      <c r="AX9" s="12"/>
      <c r="AY9" s="12"/>
      <c r="BC9" s="12"/>
      <c r="BD9" s="12"/>
      <c r="BE9" s="12"/>
      <c r="BF9" s="12"/>
      <c r="BJ9" s="12"/>
      <c r="BK9" s="12"/>
      <c r="BL9" s="12"/>
      <c r="BM9" s="12"/>
      <c r="BQ9" s="12"/>
      <c r="BR9" s="12"/>
      <c r="BS9" s="12"/>
      <c r="BT9" s="12"/>
      <c r="BX9" s="12"/>
      <c r="BY9" s="12"/>
      <c r="BZ9" s="12"/>
      <c r="CA9" s="12"/>
      <c r="CE9" s="12"/>
      <c r="CF9" s="12"/>
      <c r="CG9" s="12"/>
      <c r="CH9" s="12"/>
      <c r="CL9" s="12"/>
      <c r="CM9" s="12"/>
      <c r="CN9" s="12"/>
      <c r="CO9" s="12"/>
      <c r="CS9" s="12"/>
      <c r="CT9" s="12"/>
      <c r="CU9" s="12"/>
      <c r="CV9" s="12"/>
      <c r="CZ9" s="12"/>
      <c r="DA9" s="12"/>
      <c r="DB9" s="12"/>
      <c r="DC9" s="12"/>
      <c r="DG9" s="12"/>
      <c r="DH9" s="12"/>
      <c r="DI9" s="12"/>
      <c r="DJ9" s="12"/>
      <c r="DN9" s="12"/>
      <c r="DO9" s="12"/>
      <c r="DP9" s="12"/>
      <c r="DQ9" s="12"/>
      <c r="DU9" s="12"/>
      <c r="DV9" s="12"/>
      <c r="DW9" s="12"/>
      <c r="DX9" s="12"/>
      <c r="EB9" s="12"/>
      <c r="EC9" s="12"/>
      <c r="ED9" s="12"/>
      <c r="EE9" s="12"/>
    </row>
    <row r="10" spans="2:138" outlineLevel="1">
      <c r="B10" t="s">
        <v>28</v>
      </c>
      <c r="C10" s="2" t="s">
        <v>65</v>
      </c>
      <c r="D10" s="2"/>
      <c r="E10" s="11"/>
      <c r="F10" t="s">
        <v>71</v>
      </c>
      <c r="G10" s="12">
        <v>0.1</v>
      </c>
      <c r="I10" s="11">
        <v>0</v>
      </c>
      <c r="J10" s="13" cm="1">
        <f t="array" ref="J10">MAX(IF($N$3:$DV$3=$J$3,N10:DT10))</f>
        <v>0</v>
      </c>
      <c r="K10" s="13" cm="1">
        <f t="array" ref="K10">MAX(IF($N$3:$DV$3=$J$3,N10:DT10))</f>
        <v>0</v>
      </c>
      <c r="L10" s="11"/>
      <c r="O10" s="12"/>
      <c r="P10" s="12"/>
      <c r="T10" s="12"/>
      <c r="U10" s="12"/>
      <c r="V10" s="12"/>
      <c r="W10" s="12"/>
      <c r="AA10" s="12"/>
      <c r="AB10" s="12"/>
      <c r="AC10" s="12"/>
      <c r="AD10" s="12"/>
      <c r="AH10" s="12"/>
      <c r="AI10" s="12"/>
      <c r="AJ10" s="12"/>
      <c r="AK10" s="12"/>
      <c r="AO10" s="12"/>
      <c r="AP10" s="12"/>
      <c r="AQ10" s="12"/>
      <c r="AR10" s="12"/>
      <c r="AV10" s="12"/>
      <c r="AW10" s="12"/>
      <c r="AX10" s="12"/>
      <c r="AY10" s="12"/>
      <c r="BC10" s="12"/>
      <c r="BD10" s="12"/>
      <c r="BE10" s="12"/>
      <c r="BF10" s="12"/>
      <c r="BJ10" s="12"/>
      <c r="BK10" s="12"/>
      <c r="BL10" s="12"/>
      <c r="BM10" s="12"/>
      <c r="BQ10" s="12"/>
      <c r="BR10" s="12"/>
      <c r="BS10" s="12"/>
      <c r="BT10" s="12"/>
      <c r="BX10" s="12"/>
      <c r="BY10" s="12"/>
      <c r="BZ10" s="12"/>
      <c r="CA10" s="12"/>
      <c r="CE10" s="12"/>
      <c r="CF10" s="12"/>
      <c r="CG10" s="12"/>
      <c r="CH10" s="12"/>
      <c r="CL10" s="12"/>
      <c r="CM10" s="12"/>
      <c r="CN10" s="12"/>
      <c r="CO10" s="12"/>
      <c r="CS10" s="12"/>
      <c r="CT10" s="12"/>
      <c r="CU10" s="12"/>
      <c r="CV10" s="12"/>
      <c r="CZ10" s="12"/>
      <c r="DA10" s="12"/>
      <c r="DB10" s="12"/>
      <c r="DC10" s="12"/>
      <c r="DG10" s="12"/>
      <c r="DH10" s="12"/>
      <c r="DI10" s="12"/>
      <c r="DJ10" s="12"/>
      <c r="DN10" s="12"/>
      <c r="DO10" s="12"/>
      <c r="DP10" s="12"/>
      <c r="DQ10" s="12"/>
      <c r="DU10" s="12"/>
      <c r="DV10" s="12"/>
      <c r="DW10" s="12"/>
      <c r="DX10" s="12"/>
      <c r="EB10" s="12"/>
      <c r="EC10" s="12"/>
      <c r="ED10" s="12"/>
      <c r="EE10" s="12"/>
    </row>
    <row r="11" spans="2:138" outlineLevel="1">
      <c r="B11" t="s">
        <v>28</v>
      </c>
      <c r="C11" s="2" t="s">
        <v>65</v>
      </c>
      <c r="D11" s="2"/>
      <c r="E11" s="11"/>
      <c r="F11" t="s">
        <v>72</v>
      </c>
      <c r="G11" s="12">
        <v>0.1</v>
      </c>
      <c r="I11" s="11">
        <f ca="1">+SUMIF($N$3:$WV$3,I$3,$N11:$WT11)</f>
        <v>0</v>
      </c>
      <c r="J11" s="13" cm="1">
        <f t="array" ref="J11">MAX(IF($N$3:$DV$3=$J$3,N11:DT11))</f>
        <v>0</v>
      </c>
      <c r="K11" s="13" cm="1">
        <f t="array" ref="K11">MAX(IF($N$3:$DV$3=$J$3,N11:DT11))</f>
        <v>0</v>
      </c>
      <c r="L11" s="11"/>
      <c r="O11" s="12"/>
      <c r="P11" s="12"/>
      <c r="T11" s="12"/>
      <c r="U11" s="12"/>
      <c r="V11" s="12"/>
      <c r="W11" s="12"/>
      <c r="AA11" s="12"/>
      <c r="AB11" s="12"/>
      <c r="AC11" s="12"/>
      <c r="AD11" s="12"/>
      <c r="AH11" s="12"/>
      <c r="AI11" s="12"/>
      <c r="AJ11" s="12"/>
      <c r="AK11" s="12"/>
      <c r="AO11" s="12"/>
      <c r="AP11" s="12"/>
      <c r="AQ11" s="12"/>
      <c r="AR11" s="12"/>
      <c r="AV11" s="12"/>
      <c r="AW11" s="12"/>
      <c r="AX11" s="12"/>
      <c r="AY11" s="12"/>
      <c r="BC11" s="12"/>
      <c r="BD11" s="12"/>
      <c r="BE11" s="12"/>
      <c r="BF11" s="12"/>
      <c r="BJ11" s="12"/>
      <c r="BK11" s="12"/>
      <c r="BL11" s="12"/>
      <c r="BM11" s="12"/>
      <c r="BQ11" s="12"/>
      <c r="BR11" s="12"/>
      <c r="BS11" s="12"/>
      <c r="BT11" s="12"/>
      <c r="BX11" s="12"/>
      <c r="BY11" s="12"/>
      <c r="BZ11" s="12"/>
      <c r="CA11" s="12"/>
      <c r="CE11" s="12"/>
      <c r="CF11" s="12"/>
      <c r="CG11" s="12"/>
      <c r="CH11" s="12"/>
      <c r="CL11" s="12"/>
      <c r="CM11" s="12"/>
      <c r="CN11" s="12"/>
      <c r="CO11" s="12"/>
      <c r="CS11" s="12"/>
      <c r="CT11" s="12"/>
      <c r="CU11" s="12"/>
      <c r="CV11" s="12"/>
      <c r="CZ11" s="12"/>
      <c r="DA11" s="12"/>
      <c r="DB11" s="12"/>
      <c r="DC11" s="12"/>
      <c r="DG11" s="12"/>
      <c r="DH11" s="12"/>
      <c r="DI11" s="12"/>
      <c r="DJ11" s="12"/>
      <c r="DN11" s="12"/>
      <c r="DO11" s="12"/>
      <c r="DP11" s="12"/>
      <c r="DQ11" s="12"/>
      <c r="DU11" s="12"/>
      <c r="DV11" s="12"/>
      <c r="DW11" s="12"/>
      <c r="DX11" s="12"/>
      <c r="EB11" s="12"/>
      <c r="EC11" s="12"/>
      <c r="ED11" s="12"/>
      <c r="EE11" s="12"/>
    </row>
    <row r="12" spans="2:138" outlineLevel="1">
      <c r="B12" t="s">
        <v>28</v>
      </c>
      <c r="C12" s="2" t="s">
        <v>65</v>
      </c>
      <c r="D12" s="2"/>
      <c r="E12" s="11"/>
      <c r="F12" t="s">
        <v>73</v>
      </c>
      <c r="G12" s="12">
        <v>0.1</v>
      </c>
      <c r="I12" s="11">
        <f ca="1">+SUMIF($N$3:$WV$3,I$3,$N12:$WT12)</f>
        <v>0</v>
      </c>
      <c r="J12" s="13" cm="1">
        <f t="array" ref="J12">MAX(IF($N$3:$DV$3=$J$3,N12:DT12))</f>
        <v>0</v>
      </c>
      <c r="K12" s="13" cm="1">
        <f t="array" ref="K12">MAX(IF($N$3:$DV$3=$J$3,N12:DT12))</f>
        <v>0</v>
      </c>
      <c r="L12" s="11"/>
      <c r="O12" s="12"/>
      <c r="P12" s="12"/>
      <c r="T12" s="12"/>
      <c r="U12" s="12"/>
      <c r="V12" s="12"/>
      <c r="W12" s="12"/>
      <c r="AA12" s="12"/>
      <c r="AB12" s="12"/>
      <c r="AC12" s="12"/>
      <c r="AD12" s="12"/>
      <c r="AH12" s="12"/>
      <c r="AI12" s="12"/>
      <c r="AJ12" s="12"/>
      <c r="AK12" s="12"/>
      <c r="AO12" s="12"/>
      <c r="AP12" s="12"/>
      <c r="AQ12" s="12"/>
      <c r="AR12" s="12"/>
      <c r="AV12" s="12"/>
      <c r="AW12" s="12"/>
      <c r="AX12" s="12"/>
      <c r="AY12" s="12"/>
      <c r="BC12" s="12"/>
      <c r="BD12" s="12"/>
      <c r="BE12" s="12"/>
      <c r="BF12" s="12"/>
      <c r="BJ12" s="12"/>
      <c r="BK12" s="12"/>
      <c r="BL12" s="12"/>
      <c r="BM12" s="12"/>
      <c r="BQ12" s="12"/>
      <c r="BR12" s="12"/>
      <c r="BS12" s="12"/>
      <c r="BT12" s="12"/>
      <c r="BX12" s="12"/>
      <c r="BY12" s="12"/>
      <c r="BZ12" s="12"/>
      <c r="CA12" s="12"/>
      <c r="CE12" s="12"/>
      <c r="CF12" s="12"/>
      <c r="CG12" s="12"/>
      <c r="CH12" s="12"/>
      <c r="CL12" s="12"/>
      <c r="CM12" s="12"/>
      <c r="CN12" s="12"/>
      <c r="CO12" s="12"/>
      <c r="CS12" s="12"/>
      <c r="CT12" s="12"/>
      <c r="CU12" s="12"/>
      <c r="CV12" s="12"/>
      <c r="CZ12" s="12"/>
      <c r="DA12" s="12"/>
      <c r="DB12" s="12"/>
      <c r="DC12" s="12"/>
      <c r="DG12" s="12"/>
      <c r="DH12" s="12"/>
      <c r="DI12" s="12"/>
      <c r="DJ12" s="12"/>
      <c r="DN12" s="12"/>
      <c r="DO12" s="12"/>
      <c r="DP12" s="12"/>
      <c r="DQ12" s="12"/>
      <c r="DU12" s="12"/>
      <c r="DV12" s="12"/>
      <c r="DW12" s="12"/>
      <c r="DX12" s="12"/>
      <c r="EB12" s="12"/>
      <c r="EC12" s="12"/>
      <c r="ED12" s="12"/>
      <c r="EE12" s="12"/>
    </row>
    <row r="13" spans="2:138" outlineLevel="1">
      <c r="B13" t="s">
        <v>28</v>
      </c>
      <c r="C13" s="2" t="s">
        <v>65</v>
      </c>
      <c r="D13" s="2"/>
      <c r="E13" s="11"/>
      <c r="F13" t="s">
        <v>74</v>
      </c>
      <c r="G13" s="12">
        <v>0.1</v>
      </c>
      <c r="I13" s="11">
        <f ca="1">+SUMIF($N$3:$WV$3,I$3,$N13:$WT13)</f>
        <v>0</v>
      </c>
      <c r="J13" s="13" cm="1">
        <f t="array" ref="J13">MAX(IF($N$3:$DV$3=$J$3,N13:DT13))</f>
        <v>0</v>
      </c>
      <c r="K13" s="13" cm="1">
        <f t="array" ref="K13">MAX(IF($N$3:$DV$3=$J$3,N13:DT13))</f>
        <v>0</v>
      </c>
      <c r="L13" s="11"/>
      <c r="O13" s="12"/>
      <c r="P13" s="12"/>
      <c r="T13" s="12"/>
      <c r="U13" s="12"/>
      <c r="V13" s="12"/>
      <c r="W13" s="12"/>
      <c r="AA13" s="12"/>
      <c r="AB13" s="12"/>
      <c r="AC13" s="12"/>
      <c r="AD13" s="12"/>
      <c r="AH13" s="12"/>
      <c r="AI13" s="12"/>
      <c r="AJ13" s="12"/>
      <c r="AK13" s="12"/>
      <c r="AO13" s="12"/>
      <c r="AP13" s="12"/>
      <c r="AQ13" s="12"/>
      <c r="AR13" s="12"/>
      <c r="AV13" s="12"/>
      <c r="AW13" s="12"/>
      <c r="AX13" s="12"/>
      <c r="AY13" s="12"/>
      <c r="BC13" s="12"/>
      <c r="BD13" s="12"/>
      <c r="BE13" s="12"/>
      <c r="BF13" s="12"/>
      <c r="BJ13" s="12"/>
      <c r="BK13" s="12"/>
      <c r="BL13" s="12"/>
      <c r="BM13" s="12"/>
      <c r="BQ13" s="12"/>
      <c r="BR13" s="12"/>
      <c r="BS13" s="12"/>
      <c r="BT13" s="12"/>
      <c r="BX13" s="12"/>
      <c r="BY13" s="12"/>
      <c r="BZ13" s="12"/>
      <c r="CA13" s="12"/>
      <c r="CE13" s="12"/>
      <c r="CF13" s="12"/>
      <c r="CG13" s="12"/>
      <c r="CH13" s="12"/>
      <c r="CL13" s="12"/>
      <c r="CM13" s="12"/>
      <c r="CN13" s="12"/>
      <c r="CO13" s="12"/>
      <c r="CS13" s="12"/>
      <c r="CT13" s="12"/>
      <c r="CU13" s="12"/>
      <c r="CV13" s="12"/>
      <c r="CZ13" s="12"/>
      <c r="DA13" s="12"/>
      <c r="DB13" s="12"/>
      <c r="DC13" s="12"/>
      <c r="DG13" s="12"/>
      <c r="DH13" s="12"/>
      <c r="DI13" s="12"/>
      <c r="DJ13" s="12"/>
      <c r="DN13" s="12"/>
      <c r="DO13" s="12"/>
      <c r="DP13" s="12"/>
      <c r="DQ13" s="12"/>
      <c r="DU13" s="12"/>
      <c r="DV13" s="12"/>
      <c r="DW13" s="12"/>
      <c r="DX13" s="12"/>
      <c r="EB13" s="12"/>
      <c r="EC13" s="12"/>
      <c r="ED13" s="12"/>
      <c r="EE13" s="12"/>
    </row>
    <row r="14" spans="2:138" outlineLevel="1">
      <c r="B14" t="s">
        <v>28</v>
      </c>
      <c r="C14" s="2" t="s">
        <v>65</v>
      </c>
      <c r="D14" s="2"/>
      <c r="E14" s="11"/>
      <c r="F14" t="s">
        <v>75</v>
      </c>
      <c r="G14" s="12">
        <v>0.1</v>
      </c>
      <c r="I14" s="11">
        <f ca="1">+SUMIF($N$3:$WV$3,I$3,$N14:$WT14)</f>
        <v>0</v>
      </c>
      <c r="J14" s="13" cm="1">
        <f t="array" ref="J14">MAX(IF($N$3:$DV$3=$J$3,N14:DT14))</f>
        <v>0</v>
      </c>
      <c r="K14" s="13" cm="1">
        <f t="array" ref="K14">MAX(IF($N$3:$DV$3=$J$3,N14:DT14))</f>
        <v>0</v>
      </c>
      <c r="L14" s="11"/>
      <c r="O14" s="12"/>
      <c r="P14" s="12"/>
      <c r="T14" s="12"/>
      <c r="U14" s="12"/>
      <c r="V14" s="12"/>
      <c r="W14" s="12"/>
      <c r="AA14" s="12"/>
      <c r="AB14" s="12"/>
      <c r="AC14" s="12"/>
      <c r="AD14" s="12"/>
      <c r="AH14" s="12"/>
      <c r="AI14" s="12"/>
      <c r="AJ14" s="12"/>
      <c r="AK14" s="12"/>
      <c r="AO14" s="12"/>
      <c r="AP14" s="12"/>
      <c r="AQ14" s="12"/>
      <c r="AR14" s="12"/>
      <c r="AV14" s="12"/>
      <c r="AW14" s="12"/>
      <c r="AX14" s="12"/>
      <c r="AY14" s="12"/>
      <c r="BC14" s="12"/>
      <c r="BD14" s="12"/>
      <c r="BE14" s="12"/>
      <c r="BF14" s="12"/>
      <c r="BJ14" s="12"/>
      <c r="BK14" s="12"/>
      <c r="BL14" s="12"/>
      <c r="BM14" s="12"/>
      <c r="BQ14" s="12"/>
      <c r="BR14" s="12"/>
      <c r="BS14" s="12"/>
      <c r="BT14" s="12"/>
      <c r="BX14" s="12"/>
      <c r="BY14" s="12"/>
      <c r="BZ14" s="12"/>
      <c r="CA14" s="12"/>
      <c r="CE14" s="12"/>
      <c r="CF14" s="12"/>
      <c r="CG14" s="12"/>
      <c r="CH14" s="12"/>
      <c r="CL14" s="12"/>
      <c r="CM14" s="12"/>
      <c r="CN14" s="12"/>
      <c r="CO14" s="12"/>
      <c r="CS14" s="12"/>
      <c r="CT14" s="12"/>
      <c r="CU14" s="12"/>
      <c r="CV14" s="12"/>
      <c r="CZ14" s="12"/>
      <c r="DA14" s="12"/>
      <c r="DB14" s="12"/>
      <c r="DC14" s="12"/>
      <c r="DG14" s="12"/>
      <c r="DH14" s="12"/>
      <c r="DI14" s="12"/>
      <c r="DJ14" s="12"/>
      <c r="DN14" s="12"/>
      <c r="DO14" s="12"/>
      <c r="DP14" s="12"/>
      <c r="DQ14" s="12"/>
      <c r="DU14" s="12"/>
      <c r="DV14" s="12"/>
      <c r="DW14" s="12"/>
      <c r="DX14" s="12"/>
      <c r="EB14" s="12"/>
      <c r="EC14" s="12"/>
      <c r="ED14" s="12"/>
      <c r="EE14" s="12"/>
    </row>
    <row r="15" spans="2:138" outlineLevel="1">
      <c r="B15" t="s">
        <v>28</v>
      </c>
      <c r="C15" s="2" t="s">
        <v>65</v>
      </c>
      <c r="D15" s="2"/>
      <c r="E15" s="11"/>
      <c r="F15" t="s">
        <v>77</v>
      </c>
      <c r="G15" s="12">
        <v>0.1</v>
      </c>
      <c r="I15" s="11">
        <f ca="1">+SUMIF($N$3:$WV$3,I$3,$N15:$WT15)</f>
        <v>0</v>
      </c>
      <c r="J15" s="13" cm="1">
        <f t="array" ref="J15">MAX(IF($N$3:$DV$3=$J$3,N15:DT15))</f>
        <v>0</v>
      </c>
      <c r="K15" s="13" cm="1">
        <f t="array" ref="K15">MAX(IF($N$3:$DV$3=$J$3,N15:DT15))</f>
        <v>0</v>
      </c>
      <c r="L15" s="11"/>
      <c r="O15" s="12"/>
      <c r="P15" s="12"/>
      <c r="T15" s="12"/>
      <c r="U15" s="12"/>
      <c r="V15" s="12"/>
      <c r="W15" s="12"/>
      <c r="AA15" s="12"/>
      <c r="AB15" s="12"/>
      <c r="AC15" s="12"/>
      <c r="AD15" s="12"/>
      <c r="AH15" s="12"/>
      <c r="AI15" s="12"/>
      <c r="AJ15" s="12"/>
      <c r="AK15" s="12"/>
      <c r="AO15" s="12"/>
      <c r="AP15" s="12"/>
      <c r="AQ15" s="12"/>
      <c r="AR15" s="12"/>
      <c r="AV15" s="12"/>
      <c r="AW15" s="12"/>
      <c r="AX15" s="12"/>
      <c r="AY15" s="12"/>
      <c r="BC15" s="12"/>
      <c r="BD15" s="12"/>
      <c r="BE15" s="12"/>
      <c r="BF15" s="12"/>
      <c r="BJ15" s="12"/>
      <c r="BK15" s="12"/>
      <c r="BL15" s="12"/>
      <c r="BM15" s="12"/>
      <c r="BQ15" s="12"/>
      <c r="BR15" s="12"/>
      <c r="BS15" s="12"/>
      <c r="BT15" s="12"/>
      <c r="BX15" s="12"/>
      <c r="BY15" s="12"/>
      <c r="BZ15" s="12"/>
      <c r="CA15" s="12"/>
      <c r="CE15" s="12"/>
      <c r="CF15" s="12"/>
      <c r="CG15" s="12"/>
      <c r="CH15" s="12"/>
      <c r="CL15" s="12"/>
      <c r="CM15" s="12"/>
      <c r="CN15" s="12"/>
      <c r="CO15" s="12"/>
      <c r="CS15" s="12"/>
      <c r="CT15" s="12"/>
      <c r="CU15" s="12"/>
      <c r="CV15" s="12"/>
      <c r="CZ15" s="12"/>
      <c r="DA15" s="12"/>
      <c r="DB15" s="12"/>
      <c r="DC15" s="12"/>
      <c r="DG15" s="12"/>
      <c r="DH15" s="12"/>
      <c r="DI15" s="12"/>
      <c r="DJ15" s="12"/>
      <c r="DN15" s="12"/>
      <c r="DO15" s="12"/>
      <c r="DP15" s="12"/>
      <c r="DQ15" s="12"/>
      <c r="DU15" s="12"/>
      <c r="DV15" s="12"/>
      <c r="DW15" s="12"/>
      <c r="DX15" s="12"/>
      <c r="EB15" s="12"/>
      <c r="EC15" s="12"/>
      <c r="ED15" s="12"/>
      <c r="EE15" s="12"/>
    </row>
    <row r="16" spans="2:138" outlineLevel="1">
      <c r="B16" t="s">
        <v>28</v>
      </c>
      <c r="C16" s="2" t="s">
        <v>65</v>
      </c>
      <c r="D16" s="2"/>
      <c r="E16" s="11"/>
      <c r="F16" t="s">
        <v>76</v>
      </c>
      <c r="G16" s="12">
        <v>0.1</v>
      </c>
      <c r="I16" s="11">
        <f ca="1">+SUMIF($N$3:$WV$3,I$3,$N16:$WT16)</f>
        <v>0</v>
      </c>
      <c r="J16" s="13" cm="1">
        <f t="array" ref="J16">MAX(IF($N$3:$DV$3=$J$3,N16:DT16))</f>
        <v>0</v>
      </c>
      <c r="K16" s="13" cm="1">
        <f t="array" ref="K16">MAX(IF($N$3:$DV$3=$J$3,N16:DT16))</f>
        <v>0</v>
      </c>
      <c r="L16" s="11"/>
      <c r="O16" s="12"/>
      <c r="P16" s="12"/>
      <c r="T16" s="12"/>
      <c r="U16" s="12"/>
      <c r="V16" s="12"/>
      <c r="W16" s="12"/>
      <c r="AA16" s="12"/>
      <c r="AB16" s="12"/>
      <c r="AC16" s="12"/>
      <c r="AD16" s="12"/>
      <c r="AH16" s="12"/>
      <c r="AI16" s="12"/>
      <c r="AJ16" s="12"/>
      <c r="AK16" s="12"/>
      <c r="AO16" s="12"/>
      <c r="AP16" s="12"/>
      <c r="AQ16" s="12"/>
      <c r="AR16" s="12"/>
      <c r="AV16" s="12"/>
      <c r="AW16" s="12"/>
      <c r="AX16" s="12"/>
      <c r="AY16" s="12"/>
      <c r="BC16" s="12"/>
      <c r="BD16" s="12"/>
      <c r="BE16" s="12"/>
      <c r="BF16" s="12"/>
      <c r="BJ16" s="12"/>
      <c r="BK16" s="12"/>
      <c r="BL16" s="12"/>
      <c r="BM16" s="12"/>
      <c r="BQ16" s="12"/>
      <c r="BR16" s="12"/>
      <c r="BS16" s="12"/>
      <c r="BT16" s="12"/>
      <c r="BX16" s="12"/>
      <c r="BY16" s="12"/>
      <c r="BZ16" s="12"/>
      <c r="CA16" s="12"/>
      <c r="CE16" s="12"/>
      <c r="CF16" s="12"/>
      <c r="CG16" s="12"/>
      <c r="CH16" s="12"/>
      <c r="CL16" s="12"/>
      <c r="CM16" s="12"/>
      <c r="CN16" s="12"/>
      <c r="CO16" s="12"/>
      <c r="CS16" s="12"/>
      <c r="CT16" s="12"/>
      <c r="CU16" s="12"/>
      <c r="CV16" s="12"/>
      <c r="CZ16" s="12"/>
      <c r="DA16" s="12"/>
      <c r="DB16" s="12"/>
      <c r="DC16" s="12"/>
      <c r="DG16" s="12"/>
      <c r="DH16" s="12"/>
      <c r="DI16" s="12"/>
      <c r="DJ16" s="12"/>
      <c r="DN16" s="12"/>
      <c r="DO16" s="12"/>
      <c r="DP16" s="12"/>
      <c r="DQ16" s="12"/>
      <c r="DU16" s="12"/>
      <c r="DV16" s="12"/>
      <c r="DW16" s="12"/>
      <c r="DX16" s="12"/>
      <c r="EB16" s="12"/>
      <c r="EC16" s="12"/>
      <c r="ED16" s="12"/>
      <c r="EE16" s="12"/>
    </row>
    <row r="17" spans="2:137" outlineLevel="1">
      <c r="B17" t="s">
        <v>28</v>
      </c>
      <c r="C17" s="2" t="s">
        <v>65</v>
      </c>
      <c r="D17" s="2"/>
      <c r="E17" s="11"/>
      <c r="F17" t="s">
        <v>78</v>
      </c>
      <c r="G17" s="12">
        <v>0.1</v>
      </c>
      <c r="I17" s="11">
        <f ca="1">+SUMIF($N$3:$WV$3,I$3,$N17:$WT17)</f>
        <v>0</v>
      </c>
      <c r="J17" s="13" cm="1">
        <f t="array" ref="J17">MAX(IF($N$3:$DV$3=$J$3,N17:DT17))</f>
        <v>0</v>
      </c>
      <c r="K17" s="13" cm="1">
        <f t="array" ref="K17">MAX(IF($N$3:$DV$3=$J$3,N17:DT17))</f>
        <v>0</v>
      </c>
      <c r="L17" s="11"/>
      <c r="O17" s="12"/>
      <c r="P17" s="12"/>
      <c r="T17" s="12"/>
      <c r="U17" s="12"/>
      <c r="V17" s="12"/>
      <c r="W17" s="12"/>
      <c r="AA17" s="12"/>
      <c r="AB17" s="12"/>
      <c r="AC17" s="12"/>
      <c r="AD17" s="12"/>
      <c r="AH17" s="12"/>
      <c r="AI17" s="12"/>
      <c r="AJ17" s="12"/>
      <c r="AK17" s="12"/>
      <c r="AO17" s="12"/>
      <c r="AP17" s="12"/>
      <c r="AQ17" s="12"/>
      <c r="AR17" s="12"/>
      <c r="AV17" s="12"/>
      <c r="AW17" s="12"/>
      <c r="AX17" s="12"/>
      <c r="AY17" s="12"/>
      <c r="BC17" s="12"/>
      <c r="BD17" s="12"/>
      <c r="BE17" s="12"/>
      <c r="BF17" s="12"/>
      <c r="BJ17" s="12"/>
      <c r="BK17" s="12"/>
      <c r="BL17" s="12"/>
      <c r="BM17" s="12"/>
      <c r="BQ17" s="12"/>
      <c r="BR17" s="12"/>
      <c r="BS17" s="12"/>
      <c r="BT17" s="12"/>
      <c r="BX17" s="12"/>
      <c r="BY17" s="12"/>
      <c r="BZ17" s="12"/>
      <c r="CA17" s="12"/>
      <c r="CE17" s="12"/>
      <c r="CF17" s="12"/>
      <c r="CG17" s="12"/>
      <c r="CH17" s="12"/>
      <c r="CL17" s="12"/>
      <c r="CM17" s="12"/>
      <c r="CN17" s="12"/>
      <c r="CO17" s="12"/>
      <c r="CS17" s="12"/>
      <c r="CT17" s="12"/>
      <c r="CU17" s="12"/>
      <c r="CV17" s="12"/>
      <c r="CZ17" s="12"/>
      <c r="DA17" s="12"/>
      <c r="DB17" s="12"/>
      <c r="DC17" s="12"/>
      <c r="DG17" s="12"/>
      <c r="DH17" s="12"/>
      <c r="DI17" s="12"/>
      <c r="DJ17" s="12"/>
      <c r="DN17" s="12"/>
      <c r="DO17" s="12"/>
      <c r="DP17" s="12"/>
      <c r="DQ17" s="12"/>
      <c r="DU17" s="12"/>
      <c r="DV17" s="12"/>
      <c r="DW17" s="12"/>
      <c r="DX17" s="12"/>
      <c r="EB17" s="12"/>
      <c r="EC17" s="12"/>
      <c r="ED17" s="12"/>
      <c r="EE17" s="12"/>
    </row>
    <row r="18" spans="2:137">
      <c r="O18" s="9"/>
      <c r="V18" s="9"/>
      <c r="AC18" s="9"/>
      <c r="AJ18" s="9"/>
      <c r="AQ18" s="9"/>
      <c r="AX18" s="9"/>
      <c r="BE18" s="9"/>
      <c r="BL18" s="9"/>
      <c r="BS18" s="9"/>
      <c r="BZ18" s="9"/>
      <c r="CG18" s="9"/>
      <c r="CN18" s="9"/>
      <c r="CU18" s="9"/>
      <c r="DB18" s="9"/>
      <c r="DI18" s="9"/>
      <c r="DP18" s="9"/>
      <c r="DW18" s="9"/>
      <c r="ED18" s="9"/>
    </row>
    <row r="19" spans="2:137">
      <c r="B19" t="s">
        <v>27</v>
      </c>
      <c r="C19" s="2" t="s">
        <v>120</v>
      </c>
      <c r="D19" s="23">
        <f>DATE(2022,5,31)</f>
        <v>44712</v>
      </c>
      <c r="E19" s="11">
        <v>6</v>
      </c>
      <c r="G19" s="12">
        <f>+SUM(G20:G25)</f>
        <v>1</v>
      </c>
      <c r="I19" s="14">
        <f>+SUM(I20:I25)</f>
        <v>0</v>
      </c>
      <c r="J19" s="13">
        <f>+SUMPRODUCT(G20:G25,J20:J25)</f>
        <v>0</v>
      </c>
      <c r="K19" s="13">
        <f>+SUMPRODUCT(G20:G25,K20:K25)</f>
        <v>0</v>
      </c>
      <c r="L19" s="11"/>
      <c r="N19" s="14"/>
      <c r="U19" s="14"/>
      <c r="AB19" s="14"/>
      <c r="AI19" s="14"/>
      <c r="AP19" s="14"/>
    </row>
    <row r="20" spans="2:137" ht="12" customHeight="1" outlineLevel="1">
      <c r="B20" t="s">
        <v>28</v>
      </c>
      <c r="C20" s="2" t="s">
        <v>120</v>
      </c>
      <c r="D20" s="2" t="s">
        <v>214</v>
      </c>
      <c r="E20" s="11"/>
      <c r="F20" t="s">
        <v>121</v>
      </c>
      <c r="G20" s="12">
        <v>0.1</v>
      </c>
      <c r="I20" s="11">
        <f>+SUMIF($N$3:$WV$3,I$3,$N20:$WV20)</f>
        <v>0</v>
      </c>
      <c r="J20" s="13" cm="1">
        <f t="array" ref="J20">MAX(IF($N$3:$DV$3=$J$3,N20:DV20))</f>
        <v>0</v>
      </c>
      <c r="K20" s="13" cm="1">
        <f t="array" ref="K20">MAX(IF($N$3:$DV$3=$J$3,N20:DV20))</f>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outlineLevel="1">
      <c r="B21" t="s">
        <v>28</v>
      </c>
      <c r="C21" s="2" t="s">
        <v>120</v>
      </c>
      <c r="D21" s="2"/>
      <c r="E21" s="11"/>
      <c r="F21" t="s">
        <v>122</v>
      </c>
      <c r="G21" s="12">
        <v>0.2</v>
      </c>
      <c r="I21" s="11">
        <f>+SUMIF($N$3:$WV$3,I$3,$N21:$WV21)</f>
        <v>0</v>
      </c>
      <c r="J21" s="13" cm="1">
        <f t="array" ref="J21">MAX(IF($N$3:$DV$3=$J$3,N21:DV21))</f>
        <v>0</v>
      </c>
      <c r="K21" s="13" cm="1">
        <f t="array" ref="K21">MAX(IF($N$3:$DV$3=$J$3,N21:DV21))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outlineLevel="1">
      <c r="B22" t="s">
        <v>28</v>
      </c>
      <c r="C22" s="2" t="s">
        <v>120</v>
      </c>
      <c r="D22" s="2"/>
      <c r="E22" s="11"/>
      <c r="F22" t="s">
        <v>123</v>
      </c>
      <c r="G22" s="12">
        <v>0.15</v>
      </c>
      <c r="I22" s="11">
        <f>+SUMIF($N$3:$WV$3,I$3,$N22:$WV22)</f>
        <v>0</v>
      </c>
      <c r="J22" s="13" cm="1">
        <f t="array" ref="J22">MAX(IF($N$3:$DV$3=$J$3,N22:DV22))</f>
        <v>0</v>
      </c>
      <c r="K22" s="13" cm="1">
        <f t="array" ref="K22">MAX(IF($N$3:$DV$3=$J$3,N22:DV22))</f>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outlineLevel="1">
      <c r="B23" t="s">
        <v>28</v>
      </c>
      <c r="C23" s="2" t="s">
        <v>120</v>
      </c>
      <c r="D23" s="2"/>
      <c r="E23" s="11"/>
      <c r="F23" t="s">
        <v>124</v>
      </c>
      <c r="G23" s="12">
        <v>0.15</v>
      </c>
      <c r="I23" s="11">
        <f>+SUMIF($N$3:$WV$3,I$3,$N23:$WV23)</f>
        <v>0</v>
      </c>
      <c r="J23" s="13" cm="1">
        <f t="array" ref="J23">MAX(IF($N$3:$DV$3=$J$3,N23:DV23))</f>
        <v>0</v>
      </c>
      <c r="K23" s="13" cm="1">
        <f t="array" ref="K23">MAX(IF($N$3:$DV$3=$J$3,N23:DV23))</f>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outlineLevel="1">
      <c r="B24" t="s">
        <v>28</v>
      </c>
      <c r="C24" s="2" t="s">
        <v>120</v>
      </c>
      <c r="D24" s="2"/>
      <c r="E24" s="11"/>
      <c r="F24" t="s">
        <v>125</v>
      </c>
      <c r="G24" s="12">
        <v>0.2</v>
      </c>
      <c r="I24" s="11">
        <f>+SUMIF($N$3:$WV$3,I$3,$N24:$WV24)</f>
        <v>0</v>
      </c>
      <c r="J24" s="13" cm="1">
        <f t="array" ref="J24">MAX(IF($N$3:$DV$3=$J$3,N24:DV24))</f>
        <v>0</v>
      </c>
      <c r="K24" s="13" cm="1">
        <f t="array" ref="K24">MAX(IF($N$3:$DV$3=$J$3,N24:DV24))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outlineLevel="1">
      <c r="B25" t="s">
        <v>28</v>
      </c>
      <c r="C25" s="2" t="s">
        <v>120</v>
      </c>
      <c r="D25" s="2"/>
      <c r="E25" s="11"/>
      <c r="F25" t="s">
        <v>126</v>
      </c>
      <c r="G25" s="12">
        <v>0.2</v>
      </c>
      <c r="I25" s="11">
        <f>+SUMIF($N$3:$WV$3,I$3,$N25:$WV25)</f>
        <v>0</v>
      </c>
      <c r="J25" s="13" cm="1">
        <f t="array" ref="J25">MAX(IF($N$3:$DV$3=$J$3,N25:DV25))</f>
        <v>0</v>
      </c>
      <c r="K25" s="13" cm="1">
        <f t="array" ref="K25">MAX(IF($N$3:$DV$3=$J$3,N25:DV25))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row>
    <row r="26" spans="2:137" outlineLevel="1">
      <c r="B26" t="s">
        <v>28</v>
      </c>
      <c r="C26" s="2" t="s">
        <v>120</v>
      </c>
      <c r="D26" s="2"/>
      <c r="E26" s="11"/>
      <c r="F26" t="s">
        <v>127</v>
      </c>
      <c r="G26" s="12">
        <v>0.2</v>
      </c>
      <c r="I26" s="11">
        <f>+SUMIF($N$3:$WV$3,I$3,$N26:$WV26)</f>
        <v>0</v>
      </c>
      <c r="J26" s="13" cm="1">
        <f t="array" ref="J26">MAX(IF($N$3:$DV$3=$J$3,N26:DV26))</f>
        <v>0</v>
      </c>
      <c r="K26" s="13" cm="1">
        <f t="array" ref="K26">MAX(IF($N$3:$DV$3=$J$3,N26:DV26))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outlineLevel="1">
      <c r="B27" t="s">
        <v>28</v>
      </c>
      <c r="C27" s="2" t="s">
        <v>120</v>
      </c>
      <c r="D27" s="2"/>
      <c r="E27" s="11"/>
      <c r="F27" t="s">
        <v>128</v>
      </c>
      <c r="G27" s="12">
        <v>0.2</v>
      </c>
      <c r="I27" s="11">
        <f>+SUMIF($N$3:$WV$3,I$3,$N27:$WV27)</f>
        <v>0</v>
      </c>
      <c r="J27" s="13" cm="1">
        <f t="array" ref="J27">MAX(IF($N$3:$DV$3=$J$3,N27:DV27))</f>
        <v>0</v>
      </c>
      <c r="K27" s="13" cm="1">
        <f t="array" ref="K27">MAX(IF($N$3:$DV$3=$J$3,N27:DV27))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outlineLevel="1">
      <c r="B28" t="s">
        <v>28</v>
      </c>
      <c r="C28" s="2" t="s">
        <v>120</v>
      </c>
      <c r="D28" s="2"/>
      <c r="E28" s="11"/>
      <c r="F28" t="s">
        <v>129</v>
      </c>
      <c r="G28" s="12">
        <v>0.2</v>
      </c>
      <c r="I28" s="11">
        <f>+SUMIF($N$3:$WV$3,I$3,$N28:$WV28)</f>
        <v>0</v>
      </c>
      <c r="J28" s="13" cm="1">
        <f t="array" ref="J28">MAX(IF($N$3:$DV$3=$J$3,N28:DV28))</f>
        <v>0</v>
      </c>
      <c r="K28" s="13" cm="1">
        <f t="array" ref="K28">MAX(IF($N$3:$DV$3=$J$3,N28:DV28))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outlineLevel="1">
      <c r="B29" t="s">
        <v>28</v>
      </c>
      <c r="C29" s="2" t="s">
        <v>120</v>
      </c>
      <c r="D29" s="2"/>
      <c r="E29" s="11"/>
      <c r="F29" t="s">
        <v>130</v>
      </c>
      <c r="G29" s="12">
        <v>0.2</v>
      </c>
      <c r="I29" s="11">
        <f>+SUMIF($N$3:$WV$3,I$3,$N29:$WV29)</f>
        <v>0</v>
      </c>
      <c r="J29" s="13" cm="1">
        <f t="array" ref="J29">MAX(IF($N$3:$DV$3=$J$3,N29:DV29))</f>
        <v>0</v>
      </c>
      <c r="K29" s="13" cm="1">
        <f t="array" ref="K29">MAX(IF($N$3:$DV$3=$J$3,N29:DV29))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row>
    <row r="30" spans="2:137" outlineLevel="1">
      <c r="B30" t="s">
        <v>28</v>
      </c>
      <c r="C30" s="2" t="s">
        <v>120</v>
      </c>
      <c r="D30" s="2"/>
      <c r="E30" s="11"/>
      <c r="F30" t="s">
        <v>131</v>
      </c>
      <c r="G30" s="12">
        <v>0.2</v>
      </c>
      <c r="I30" s="11">
        <f>+SUMIF($N$3:$WV$3,I$3,$N30:$WV30)</f>
        <v>0</v>
      </c>
      <c r="J30" s="13" cm="1">
        <f t="array" ref="J30">MAX(IF($N$3:$DV$3=$J$3,N30:DV30))</f>
        <v>0</v>
      </c>
      <c r="K30" s="13" cm="1">
        <f t="array" ref="K30">MAX(IF($N$3:$DV$3=$J$3,N30:DV30))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row>
    <row r="31" spans="2:137" outlineLevel="1">
      <c r="C31" s="11"/>
      <c r="D31" s="11"/>
      <c r="E31" s="11"/>
      <c r="G31" s="12"/>
      <c r="I31" s="11"/>
      <c r="J31" s="13"/>
      <c r="K31" s="13"/>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3" spans="2:137">
      <c r="B33" t="s">
        <v>27</v>
      </c>
      <c r="C33" t="s">
        <v>53</v>
      </c>
      <c r="D33" s="24">
        <f>DATE(2022,6,2)</f>
        <v>44714</v>
      </c>
      <c r="E33" s="11">
        <v>6</v>
      </c>
      <c r="G33" s="12">
        <f>+SUM(G34:G45)</f>
        <v>0.99999999999999989</v>
      </c>
      <c r="I33" s="14">
        <f ca="1">+SUM(I34:I45)</f>
        <v>16</v>
      </c>
      <c r="J33" s="13">
        <f>+SUMPRODUCT(G34:G45,J34:J45)</f>
        <v>0</v>
      </c>
      <c r="K33" s="13">
        <f>+SUMPRODUCT(G34:G45,K34:K45)</f>
        <v>0</v>
      </c>
      <c r="L33" s="11"/>
      <c r="N33" s="14"/>
      <c r="U33" s="14"/>
      <c r="AB33" s="14"/>
      <c r="AI33" s="14"/>
      <c r="AP33" s="14"/>
    </row>
    <row r="34" spans="2:137" outlineLevel="1">
      <c r="B34" t="s">
        <v>28</v>
      </c>
      <c r="C34" s="2" t="s">
        <v>53</v>
      </c>
      <c r="D34" s="2"/>
      <c r="E34" s="11"/>
      <c r="F34" t="s">
        <v>30</v>
      </c>
      <c r="G34" s="12">
        <v>0.1</v>
      </c>
      <c r="I34" s="11">
        <f>+SUMIF($N$3:$WV$3,I$3,$N34:$WV34)</f>
        <v>1</v>
      </c>
      <c r="J34" s="13" cm="1">
        <f t="array" ref="J34">MAX(IF($N$3:$DV$3=$J$3,N34:DV34))</f>
        <v>0</v>
      </c>
      <c r="K34" s="13" cm="1">
        <f t="array" ref="K34">MAX(IF($N$3:$DV$3=$J$3,N34:DV34))</f>
        <v>0</v>
      </c>
      <c r="L34" s="11"/>
      <c r="N34">
        <v>1</v>
      </c>
      <c r="O34" s="25"/>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outlineLevel="1">
      <c r="B35" t="s">
        <v>28</v>
      </c>
      <c r="C35" s="2" t="s">
        <v>53</v>
      </c>
      <c r="D35" s="2"/>
      <c r="E35" s="11"/>
      <c r="F35" t="s">
        <v>54</v>
      </c>
      <c r="G35" s="12">
        <v>0.05</v>
      </c>
      <c r="I35" s="11">
        <f>+SUMIF($N$3:$WV$3,I$3,$N35:$WV35)</f>
        <v>2</v>
      </c>
      <c r="J35" s="13" cm="1">
        <f t="array" ref="J35">MAX(IF($N$3:$DV$3=$J$3,N35:DV35))</f>
        <v>0</v>
      </c>
      <c r="K35" s="13" cm="1">
        <f t="array" ref="K35">MAX(IF($N$3:$DV$3=$J$3,N35:DV35))</f>
        <v>0</v>
      </c>
      <c r="L35" s="11"/>
      <c r="N35">
        <v>2</v>
      </c>
      <c r="O35" s="25"/>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outlineLevel="1">
      <c r="B36" t="s">
        <v>28</v>
      </c>
      <c r="C36" s="2" t="s">
        <v>53</v>
      </c>
      <c r="D36" s="2"/>
      <c r="E36" s="11"/>
      <c r="F36" t="s">
        <v>55</v>
      </c>
      <c r="G36" s="12">
        <v>0.05</v>
      </c>
      <c r="I36" s="11">
        <f ca="1">+SUMIF($N$3:$WV$3,I$3,$N36:$WU36)</f>
        <v>3</v>
      </c>
      <c r="J36" s="13" cm="1">
        <f t="array" ref="J36">MAX(IF($N$3:$DV$3=$J$3,N36:DU36))</f>
        <v>0</v>
      </c>
      <c r="K36" s="13" cm="1">
        <f t="array" ref="K36">MAX(IF($N$3:$DV$3=$J$3,N36:DU36))</f>
        <v>0</v>
      </c>
      <c r="L36" s="11"/>
      <c r="N36">
        <v>3</v>
      </c>
      <c r="O36" s="25"/>
      <c r="P36" s="12"/>
      <c r="Q36" s="12"/>
      <c r="U36" s="12"/>
      <c r="V36" s="12"/>
      <c r="W36" s="12"/>
      <c r="X36" s="12"/>
      <c r="AB36" s="12"/>
      <c r="AC36" s="12"/>
      <c r="AD36" s="12"/>
      <c r="AE36" s="12"/>
      <c r="AI36" s="12"/>
      <c r="AJ36" s="12"/>
      <c r="AK36" s="12"/>
      <c r="AL36" s="12"/>
      <c r="AP36" s="12"/>
      <c r="AQ36" s="12"/>
      <c r="AR36" s="12"/>
      <c r="AS36" s="12"/>
      <c r="AW36" s="12"/>
      <c r="AX36" s="12"/>
      <c r="AY36" s="12"/>
      <c r="AZ36" s="12"/>
      <c r="BD36" s="12"/>
      <c r="BE36" s="12"/>
      <c r="BF36" s="12"/>
      <c r="BG36" s="12"/>
      <c r="BK36" s="12"/>
      <c r="BL36" s="12"/>
      <c r="BM36" s="12"/>
      <c r="BN36" s="12"/>
      <c r="BR36" s="12"/>
      <c r="BS36" s="12"/>
      <c r="BT36" s="12"/>
      <c r="BU36" s="12"/>
      <c r="BY36" s="12"/>
      <c r="BZ36" s="12"/>
      <c r="CA36" s="12"/>
      <c r="CB36" s="12"/>
      <c r="CF36" s="12"/>
      <c r="CG36" s="12"/>
      <c r="CH36" s="12"/>
      <c r="CI36" s="12"/>
      <c r="CM36" s="12"/>
      <c r="CN36" s="12"/>
      <c r="CO36" s="12"/>
      <c r="CP36" s="12"/>
      <c r="CT36" s="12"/>
      <c r="CU36" s="12"/>
      <c r="CV36" s="12"/>
      <c r="CW36" s="12"/>
      <c r="DA36" s="12"/>
      <c r="DB36" s="12"/>
      <c r="DC36" s="12"/>
      <c r="DD36" s="12"/>
      <c r="DH36" s="12"/>
      <c r="DI36" s="12"/>
      <c r="DJ36" s="12"/>
      <c r="DK36" s="12"/>
      <c r="DO36" s="12"/>
      <c r="DP36" s="12"/>
      <c r="DQ36" s="12"/>
      <c r="DR36" s="12"/>
      <c r="DV36" s="12"/>
      <c r="DW36" s="12"/>
      <c r="DX36" s="12"/>
      <c r="DY36" s="12"/>
      <c r="EC36" s="12"/>
      <c r="ED36" s="12"/>
      <c r="EE36" s="12"/>
      <c r="EF36" s="12"/>
    </row>
    <row r="37" spans="2:137" outlineLevel="1">
      <c r="B37" t="s">
        <v>28</v>
      </c>
      <c r="C37" s="2" t="s">
        <v>53</v>
      </c>
      <c r="D37" s="2"/>
      <c r="E37" s="11"/>
      <c r="F37" t="s">
        <v>56</v>
      </c>
      <c r="G37" s="12">
        <v>0.05</v>
      </c>
      <c r="I37" s="11">
        <f ca="1">+SUMIF($N$3:$WV$3,I$3,$N37:$WU37)</f>
        <v>3</v>
      </c>
      <c r="J37" s="13" cm="1">
        <f t="array" ref="J37">MAX(IF($N$3:$DV$3=$J$3,N37:DU37))</f>
        <v>0</v>
      </c>
      <c r="K37" s="13" cm="1">
        <f t="array" ref="K37">MAX(IF($N$3:$DV$3=$J$3,N37:DU37))</f>
        <v>0</v>
      </c>
      <c r="L37" s="11"/>
      <c r="N37">
        <v>3</v>
      </c>
      <c r="O37" s="25"/>
      <c r="P37" s="12"/>
      <c r="Q37" s="12"/>
      <c r="U37" s="12"/>
      <c r="V37" s="12"/>
      <c r="W37" s="12"/>
      <c r="X37" s="12"/>
      <c r="AB37" s="12"/>
      <c r="AC37" s="12"/>
      <c r="AD37" s="12"/>
      <c r="AE37" s="12"/>
      <c r="AI37" s="12"/>
      <c r="AJ37" s="12"/>
      <c r="AK37" s="12"/>
      <c r="AL37" s="12"/>
      <c r="AP37" s="12"/>
      <c r="AQ37" s="12"/>
      <c r="AR37" s="12"/>
      <c r="AS37" s="12"/>
      <c r="AW37" s="12"/>
      <c r="AX37" s="12"/>
      <c r="AY37" s="12"/>
      <c r="AZ37" s="12"/>
      <c r="BD37" s="12"/>
      <c r="BE37" s="12"/>
      <c r="BF37" s="12"/>
      <c r="BG37" s="12"/>
      <c r="BK37" s="12"/>
      <c r="BL37" s="12"/>
      <c r="BM37" s="12"/>
      <c r="BN37" s="12"/>
      <c r="BR37" s="12"/>
      <c r="BS37" s="12"/>
      <c r="BT37" s="12"/>
      <c r="BU37" s="12"/>
      <c r="BY37" s="12"/>
      <c r="BZ37" s="12"/>
      <c r="CA37" s="12"/>
      <c r="CB37" s="12"/>
      <c r="CF37" s="12"/>
      <c r="CG37" s="12"/>
      <c r="CH37" s="12"/>
      <c r="CI37" s="12"/>
      <c r="CM37" s="12"/>
      <c r="CN37" s="12"/>
      <c r="CO37" s="12"/>
      <c r="CP37" s="12"/>
      <c r="CT37" s="12"/>
      <c r="CU37" s="12"/>
      <c r="CV37" s="12"/>
      <c r="CW37" s="12"/>
      <c r="DA37" s="12"/>
      <c r="DB37" s="12"/>
      <c r="DC37" s="12"/>
      <c r="DD37" s="12"/>
      <c r="DH37" s="12"/>
      <c r="DI37" s="12"/>
      <c r="DJ37" s="12"/>
      <c r="DK37" s="12"/>
      <c r="DO37" s="12"/>
      <c r="DP37" s="12"/>
      <c r="DQ37" s="12"/>
      <c r="DR37" s="12"/>
      <c r="DV37" s="12"/>
      <c r="DW37" s="12"/>
      <c r="DX37" s="12"/>
      <c r="DY37" s="12"/>
      <c r="EC37" s="12"/>
      <c r="ED37" s="12"/>
      <c r="EE37" s="12"/>
      <c r="EF37" s="12"/>
    </row>
    <row r="38" spans="2:137" outlineLevel="1">
      <c r="B38" t="s">
        <v>28</v>
      </c>
      <c r="C38" s="2" t="s">
        <v>53</v>
      </c>
      <c r="D38" s="2"/>
      <c r="E38" s="11"/>
      <c r="F38" t="s">
        <v>57</v>
      </c>
      <c r="G38" s="12">
        <v>0.05</v>
      </c>
      <c r="I38" s="11">
        <f ca="1">+SUMIF($N$3:$WV$3,I$3,$N38:$WU38)</f>
        <v>3</v>
      </c>
      <c r="J38" s="13" cm="1">
        <f t="array" ref="J38">MAX(IF($N$3:$DV$3=$J$3,N38:DU38))</f>
        <v>0</v>
      </c>
      <c r="K38" s="13" cm="1">
        <f t="array" ref="K38">MAX(IF($N$3:$DV$3=$J$3,N38:DU38))</f>
        <v>0</v>
      </c>
      <c r="L38" s="11"/>
      <c r="N38">
        <v>3</v>
      </c>
      <c r="O38" s="25"/>
      <c r="P38" s="12"/>
      <c r="Q38" s="12"/>
      <c r="U38" s="12"/>
      <c r="V38" s="12"/>
      <c r="W38" s="12"/>
      <c r="X38" s="12"/>
      <c r="AB38" s="12"/>
      <c r="AC38" s="12"/>
      <c r="AD38" s="12"/>
      <c r="AE38" s="12"/>
      <c r="AI38" s="12"/>
      <c r="AJ38" s="12"/>
      <c r="AK38" s="12"/>
      <c r="AL38" s="12"/>
      <c r="AP38" s="12"/>
      <c r="AQ38" s="12"/>
      <c r="AR38" s="12"/>
      <c r="AS38" s="12"/>
      <c r="AW38" s="12"/>
      <c r="AX38" s="12"/>
      <c r="AY38" s="12"/>
      <c r="AZ38" s="12"/>
      <c r="BD38" s="12"/>
      <c r="BE38" s="12"/>
      <c r="BF38" s="12"/>
      <c r="BG38" s="12"/>
      <c r="BK38" s="12"/>
      <c r="BL38" s="12"/>
      <c r="BM38" s="12"/>
      <c r="BN38" s="12"/>
      <c r="BR38" s="12"/>
      <c r="BS38" s="12"/>
      <c r="BT38" s="12"/>
      <c r="BU38" s="12"/>
      <c r="BY38" s="12"/>
      <c r="BZ38" s="12"/>
      <c r="CA38" s="12"/>
      <c r="CB38" s="12"/>
      <c r="CF38" s="12"/>
      <c r="CG38" s="12"/>
      <c r="CH38" s="12"/>
      <c r="CI38" s="12"/>
      <c r="CM38" s="12"/>
      <c r="CN38" s="12"/>
      <c r="CO38" s="12"/>
      <c r="CP38" s="12"/>
      <c r="CT38" s="12"/>
      <c r="CU38" s="12"/>
      <c r="CV38" s="12"/>
      <c r="CW38" s="12"/>
      <c r="DA38" s="12"/>
      <c r="DB38" s="12"/>
      <c r="DC38" s="12"/>
      <c r="DD38" s="12"/>
      <c r="DH38" s="12"/>
      <c r="DI38" s="12"/>
      <c r="DJ38" s="12"/>
      <c r="DK38" s="12"/>
      <c r="DO38" s="12"/>
      <c r="DP38" s="12"/>
      <c r="DQ38" s="12"/>
      <c r="DR38" s="12"/>
      <c r="DV38" s="12"/>
      <c r="DW38" s="12"/>
      <c r="DX38" s="12"/>
      <c r="DY38" s="12"/>
      <c r="EC38" s="12"/>
      <c r="ED38" s="12"/>
      <c r="EE38" s="12"/>
      <c r="EF38" s="12"/>
    </row>
    <row r="39" spans="2:137" outlineLevel="1">
      <c r="B39" t="s">
        <v>28</v>
      </c>
      <c r="C39" s="2" t="s">
        <v>53</v>
      </c>
      <c r="D39" s="2"/>
      <c r="E39" s="11"/>
      <c r="F39" t="s">
        <v>58</v>
      </c>
      <c r="G39" s="12">
        <v>0.1</v>
      </c>
      <c r="I39" s="11">
        <f ca="1">+SUMIF($N$3:$WV$3,I$3,$N39:$WU39)</f>
        <v>2</v>
      </c>
      <c r="J39" s="13" cm="1">
        <f t="array" ref="J39">MAX(IF($N$3:$DV$3=$J$3,N39:DU39))</f>
        <v>0</v>
      </c>
      <c r="K39" s="13" cm="1">
        <f t="array" ref="K39">MAX(IF($N$3:$DV$3=$J$3,N39:DU39))</f>
        <v>0</v>
      </c>
      <c r="L39" s="11"/>
      <c r="N39">
        <v>2</v>
      </c>
      <c r="O39" s="25"/>
      <c r="P39" s="12"/>
      <c r="Q39" s="12"/>
      <c r="U39" s="12"/>
      <c r="V39" s="12"/>
      <c r="W39" s="12"/>
      <c r="X39" s="12"/>
      <c r="AB39" s="12"/>
      <c r="AC39" s="12"/>
      <c r="AD39" s="12"/>
      <c r="AE39" s="12"/>
      <c r="AI39" s="12"/>
      <c r="AJ39" s="12"/>
      <c r="AK39" s="12"/>
      <c r="AL39" s="12"/>
      <c r="AP39" s="12"/>
      <c r="AQ39" s="12"/>
      <c r="AR39" s="12"/>
      <c r="AS39" s="12"/>
      <c r="AW39" s="12"/>
      <c r="AX39" s="12"/>
      <c r="AY39" s="12"/>
      <c r="AZ39" s="12"/>
      <c r="BD39" s="12"/>
      <c r="BE39" s="12"/>
      <c r="BF39" s="12"/>
      <c r="BG39" s="12"/>
      <c r="BK39" s="12"/>
      <c r="BL39" s="12"/>
      <c r="BM39" s="12"/>
      <c r="BN39" s="12"/>
      <c r="BR39" s="12"/>
      <c r="BS39" s="12"/>
      <c r="BT39" s="12"/>
      <c r="BU39" s="12"/>
      <c r="BY39" s="12"/>
      <c r="BZ39" s="12"/>
      <c r="CA39" s="12"/>
      <c r="CB39" s="12"/>
      <c r="CF39" s="12"/>
      <c r="CG39" s="12"/>
      <c r="CH39" s="12"/>
      <c r="CI39" s="12"/>
      <c r="CM39" s="12"/>
      <c r="CN39" s="12"/>
      <c r="CO39" s="12"/>
      <c r="CP39" s="12"/>
      <c r="CT39" s="12"/>
      <c r="CU39" s="12"/>
      <c r="CV39" s="12"/>
      <c r="CW39" s="12"/>
      <c r="DA39" s="12"/>
      <c r="DB39" s="12"/>
      <c r="DC39" s="12"/>
      <c r="DD39" s="12"/>
      <c r="DH39" s="12"/>
      <c r="DI39" s="12"/>
      <c r="DJ39" s="12"/>
      <c r="DK39" s="12"/>
      <c r="DO39" s="12"/>
      <c r="DP39" s="12"/>
      <c r="DQ39" s="12"/>
      <c r="DR39" s="12"/>
      <c r="DV39" s="12"/>
      <c r="DW39" s="12"/>
      <c r="DX39" s="12"/>
      <c r="DY39" s="12"/>
      <c r="EC39" s="12"/>
      <c r="ED39" s="12"/>
      <c r="EE39" s="12"/>
      <c r="EF39" s="12"/>
    </row>
    <row r="40" spans="2:137" outlineLevel="1">
      <c r="B40" t="s">
        <v>28</v>
      </c>
      <c r="C40" s="2" t="s">
        <v>53</v>
      </c>
      <c r="D40" s="2"/>
      <c r="E40" s="11"/>
      <c r="F40" t="s">
        <v>59</v>
      </c>
      <c r="G40" s="12">
        <v>0.1</v>
      </c>
      <c r="I40" s="11">
        <f ca="1">+SUMIF($N$3:$WV$3,I$3,$N40:$WU40)</f>
        <v>2</v>
      </c>
      <c r="J40" s="13" cm="1">
        <f t="array" ref="J40">MAX(IF($N$3:$DV$3=$J$3,N40:DU40))</f>
        <v>0</v>
      </c>
      <c r="K40" s="13" cm="1">
        <f t="array" ref="K40">MAX(IF($N$3:$DV$3=$J$3,N40:DU40))</f>
        <v>0</v>
      </c>
      <c r="L40" s="11"/>
      <c r="N40">
        <v>2</v>
      </c>
      <c r="O40" s="25"/>
      <c r="P40" s="12"/>
      <c r="Q40" s="12"/>
      <c r="U40" s="12"/>
      <c r="V40" s="12"/>
      <c r="W40" s="12"/>
      <c r="X40" s="12"/>
      <c r="AB40" s="12"/>
      <c r="AC40" s="12"/>
      <c r="AD40" s="12"/>
      <c r="AE40" s="12"/>
      <c r="AI40" s="12"/>
      <c r="AJ40" s="12"/>
      <c r="AK40" s="12"/>
      <c r="AL40" s="12"/>
      <c r="AP40" s="12"/>
      <c r="AQ40" s="12"/>
      <c r="AR40" s="12"/>
      <c r="AS40" s="12"/>
      <c r="AW40" s="12"/>
      <c r="AX40" s="12"/>
      <c r="AY40" s="12"/>
      <c r="AZ40" s="12"/>
      <c r="BD40" s="12"/>
      <c r="BE40" s="12"/>
      <c r="BF40" s="12"/>
      <c r="BG40" s="12"/>
      <c r="BK40" s="12"/>
      <c r="BL40" s="12"/>
      <c r="BM40" s="12"/>
      <c r="BN40" s="12"/>
      <c r="BR40" s="12"/>
      <c r="BS40" s="12"/>
      <c r="BT40" s="12"/>
      <c r="BU40" s="12"/>
      <c r="BY40" s="12"/>
      <c r="BZ40" s="12"/>
      <c r="CA40" s="12"/>
      <c r="CB40" s="12"/>
      <c r="CF40" s="12"/>
      <c r="CG40" s="12"/>
      <c r="CH40" s="12"/>
      <c r="CI40" s="12"/>
      <c r="CM40" s="12"/>
      <c r="CN40" s="12"/>
      <c r="CO40" s="12"/>
      <c r="CP40" s="12"/>
      <c r="CT40" s="12"/>
      <c r="CU40" s="12"/>
      <c r="CV40" s="12"/>
      <c r="CW40" s="12"/>
      <c r="DA40" s="12"/>
      <c r="DB40" s="12"/>
      <c r="DC40" s="12"/>
      <c r="DD40" s="12"/>
      <c r="DH40" s="12"/>
      <c r="DI40" s="12"/>
      <c r="DJ40" s="12"/>
      <c r="DK40" s="12"/>
      <c r="DO40" s="12"/>
      <c r="DP40" s="12"/>
      <c r="DQ40" s="12"/>
      <c r="DR40" s="12"/>
      <c r="DV40" s="12"/>
      <c r="DW40" s="12"/>
      <c r="DX40" s="12"/>
      <c r="DY40" s="12"/>
      <c r="EC40" s="12"/>
      <c r="ED40" s="12"/>
      <c r="EE40" s="12"/>
      <c r="EF40" s="12"/>
    </row>
    <row r="41" spans="2:137" outlineLevel="1">
      <c r="B41" t="s">
        <v>28</v>
      </c>
      <c r="C41" s="2" t="s">
        <v>53</v>
      </c>
      <c r="D41" s="2"/>
      <c r="E41" s="11"/>
      <c r="F41" t="s">
        <v>60</v>
      </c>
      <c r="G41" s="12">
        <v>0.1</v>
      </c>
      <c r="I41" s="11">
        <f ca="1">+SUMIF($N$3:$WV$3,I$3,$N41:$WU41)</f>
        <v>0</v>
      </c>
      <c r="J41" s="13" cm="1">
        <f t="array" ref="J41">MAX(IF($N$3:$DV$3=$J$3,N41:DU41))</f>
        <v>0</v>
      </c>
      <c r="K41" s="13" cm="1">
        <f t="array" ref="K41">MAX(IF($N$3:$DV$3=$J$3,N41:DU41))</f>
        <v>0</v>
      </c>
      <c r="L41" s="11"/>
      <c r="O41" s="12"/>
      <c r="P41" s="12"/>
      <c r="Q41" s="12"/>
      <c r="U41" s="12"/>
      <c r="V41" s="12"/>
      <c r="W41" s="12"/>
      <c r="X41" s="12"/>
      <c r="AB41" s="12"/>
      <c r="AC41" s="12"/>
      <c r="AD41" s="12"/>
      <c r="AE41" s="12"/>
      <c r="AI41" s="12"/>
      <c r="AJ41" s="12"/>
      <c r="AK41" s="12"/>
      <c r="AL41" s="12"/>
      <c r="AP41" s="12"/>
      <c r="AQ41" s="12"/>
      <c r="AR41" s="12"/>
      <c r="AS41" s="12"/>
      <c r="AW41" s="12"/>
      <c r="AX41" s="12"/>
      <c r="AY41" s="12"/>
      <c r="AZ41" s="12"/>
      <c r="BD41" s="12"/>
      <c r="BE41" s="12"/>
      <c r="BF41" s="12"/>
      <c r="BG41" s="12"/>
      <c r="BK41" s="12"/>
      <c r="BL41" s="12"/>
      <c r="BM41" s="12"/>
      <c r="BN41" s="12"/>
      <c r="BR41" s="12"/>
      <c r="BS41" s="12"/>
      <c r="BT41" s="12"/>
      <c r="BU41" s="12"/>
      <c r="BY41" s="12"/>
      <c r="BZ41" s="12"/>
      <c r="CA41" s="12"/>
      <c r="CB41" s="12"/>
      <c r="CF41" s="12"/>
      <c r="CG41" s="12"/>
      <c r="CH41" s="12"/>
      <c r="CI41" s="12"/>
      <c r="CM41" s="12"/>
      <c r="CN41" s="12"/>
      <c r="CO41" s="12"/>
      <c r="CP41" s="12"/>
      <c r="CT41" s="12"/>
      <c r="CU41" s="12"/>
      <c r="CV41" s="12"/>
      <c r="CW41" s="12"/>
      <c r="DA41" s="12"/>
      <c r="DB41" s="12"/>
      <c r="DC41" s="12"/>
      <c r="DD41" s="12"/>
      <c r="DH41" s="12"/>
      <c r="DI41" s="12"/>
      <c r="DJ41" s="12"/>
      <c r="DK41" s="12"/>
      <c r="DO41" s="12"/>
      <c r="DP41" s="12"/>
      <c r="DQ41" s="12"/>
      <c r="DR41" s="12"/>
      <c r="DV41" s="12"/>
      <c r="DW41" s="12"/>
      <c r="DX41" s="12"/>
      <c r="DY41" s="12"/>
      <c r="EC41" s="12"/>
      <c r="ED41" s="12"/>
      <c r="EE41" s="12"/>
      <c r="EF41" s="12"/>
    </row>
    <row r="42" spans="2:137" outlineLevel="1">
      <c r="B42" t="s">
        <v>28</v>
      </c>
      <c r="C42" s="2" t="s">
        <v>53</v>
      </c>
      <c r="D42" s="2"/>
      <c r="E42" s="11"/>
      <c r="F42" t="s">
        <v>61</v>
      </c>
      <c r="G42" s="12">
        <v>0.1</v>
      </c>
      <c r="I42" s="11">
        <f ca="1">+SUMIF($N$3:$WV$3,I$3,$N42:$WU42)</f>
        <v>0</v>
      </c>
      <c r="J42" s="13" cm="1">
        <f t="array" ref="J42">MAX(IF($N$3:$DV$3=$J$3,N42:DU42))</f>
        <v>0</v>
      </c>
      <c r="K42" s="13" cm="1">
        <f t="array" ref="K42">MAX(IF($N$3:$DV$3=$J$3,N42:DU42))</f>
        <v>0</v>
      </c>
      <c r="L42" s="11"/>
      <c r="O42" s="12"/>
      <c r="P42" s="12"/>
      <c r="Q42" s="12"/>
      <c r="U42" s="12"/>
      <c r="V42" s="12"/>
      <c r="W42" s="12"/>
      <c r="X42" s="12"/>
      <c r="AB42" s="12"/>
      <c r="AC42" s="12"/>
      <c r="AD42" s="12"/>
      <c r="AE42" s="12"/>
      <c r="AI42" s="12"/>
      <c r="AJ42" s="12"/>
      <c r="AK42" s="12"/>
      <c r="AL42" s="12"/>
      <c r="AP42" s="12"/>
      <c r="AQ42" s="12"/>
      <c r="AR42" s="12"/>
      <c r="AS42" s="12"/>
      <c r="AW42" s="12"/>
      <c r="AX42" s="12"/>
      <c r="AY42" s="12"/>
      <c r="AZ42" s="12"/>
      <c r="BD42" s="12"/>
      <c r="BE42" s="12"/>
      <c r="BF42" s="12"/>
      <c r="BG42" s="12"/>
      <c r="BK42" s="12"/>
      <c r="BL42" s="12"/>
      <c r="BM42" s="12"/>
      <c r="BN42" s="12"/>
      <c r="BR42" s="12"/>
      <c r="BS42" s="12"/>
      <c r="BT42" s="12"/>
      <c r="BU42" s="12"/>
      <c r="BY42" s="12"/>
      <c r="BZ42" s="12"/>
      <c r="CA42" s="12"/>
      <c r="CB42" s="12"/>
      <c r="CF42" s="12"/>
      <c r="CG42" s="12"/>
      <c r="CH42" s="12"/>
      <c r="CI42" s="12"/>
      <c r="CM42" s="12"/>
      <c r="CN42" s="12"/>
      <c r="CO42" s="12"/>
      <c r="CP42" s="12"/>
      <c r="CT42" s="12"/>
      <c r="CU42" s="12"/>
      <c r="CV42" s="12"/>
      <c r="CW42" s="12"/>
      <c r="DA42" s="12"/>
      <c r="DB42" s="12"/>
      <c r="DC42" s="12"/>
      <c r="DD42" s="12"/>
      <c r="DH42" s="12"/>
      <c r="DI42" s="12"/>
      <c r="DJ42" s="12"/>
      <c r="DK42" s="12"/>
      <c r="DO42" s="12"/>
      <c r="DP42" s="12"/>
      <c r="DQ42" s="12"/>
      <c r="DR42" s="12"/>
      <c r="DV42" s="12"/>
      <c r="DW42" s="12"/>
      <c r="DX42" s="12"/>
      <c r="DY42" s="12"/>
      <c r="EC42" s="12"/>
      <c r="ED42" s="12"/>
      <c r="EE42" s="12"/>
      <c r="EF42" s="12"/>
    </row>
    <row r="43" spans="2:137" outlineLevel="1">
      <c r="B43" t="s">
        <v>28</v>
      </c>
      <c r="C43" s="2" t="s">
        <v>53</v>
      </c>
      <c r="D43" s="2"/>
      <c r="E43" s="11"/>
      <c r="F43" t="s">
        <v>62</v>
      </c>
      <c r="G43" s="12">
        <v>0.1</v>
      </c>
      <c r="I43" s="11">
        <f ca="1">+SUMIF($N$3:$WV$3,I$3,$N43:$WU43)</f>
        <v>0</v>
      </c>
      <c r="J43" s="13" cm="1">
        <f t="array" ref="J43">MAX(IF($N$3:$DV$3=$J$3,N43:DU43))</f>
        <v>0</v>
      </c>
      <c r="K43" s="13" cm="1">
        <f t="array" ref="K43">MAX(IF($N$3:$DV$3=$J$3,N43:DU43))</f>
        <v>0</v>
      </c>
      <c r="L43" s="11"/>
      <c r="O43" s="12"/>
      <c r="P43" s="12"/>
      <c r="Q43" s="12"/>
      <c r="U43" s="12"/>
      <c r="V43" s="12"/>
      <c r="W43" s="12"/>
      <c r="X43" s="12"/>
      <c r="AB43" s="12"/>
      <c r="AC43" s="12"/>
      <c r="AD43" s="12"/>
      <c r="AE43" s="12"/>
      <c r="AI43" s="12"/>
      <c r="AJ43" s="12"/>
      <c r="AK43" s="12"/>
      <c r="AL43" s="12"/>
      <c r="AP43" s="12"/>
      <c r="AQ43" s="12"/>
      <c r="AR43" s="12"/>
      <c r="AS43" s="12"/>
      <c r="AW43" s="12"/>
      <c r="AX43" s="12"/>
      <c r="AY43" s="12"/>
      <c r="AZ43" s="12"/>
      <c r="BD43" s="12"/>
      <c r="BE43" s="12"/>
      <c r="BF43" s="12"/>
      <c r="BG43" s="12"/>
      <c r="BK43" s="12"/>
      <c r="BL43" s="12"/>
      <c r="BM43" s="12"/>
      <c r="BN43" s="12"/>
      <c r="BR43" s="12"/>
      <c r="BS43" s="12"/>
      <c r="BT43" s="12"/>
      <c r="BU43" s="12"/>
      <c r="BY43" s="12"/>
      <c r="BZ43" s="12"/>
      <c r="CA43" s="12"/>
      <c r="CB43" s="12"/>
      <c r="CF43" s="12"/>
      <c r="CG43" s="12"/>
      <c r="CH43" s="12"/>
      <c r="CI43" s="12"/>
      <c r="CM43" s="12"/>
      <c r="CN43" s="12"/>
      <c r="CO43" s="12"/>
      <c r="CP43" s="12"/>
      <c r="CT43" s="12"/>
      <c r="CU43" s="12"/>
      <c r="CV43" s="12"/>
      <c r="CW43" s="12"/>
      <c r="DA43" s="12"/>
      <c r="DB43" s="12"/>
      <c r="DC43" s="12"/>
      <c r="DD43" s="12"/>
      <c r="DH43" s="12"/>
      <c r="DI43" s="12"/>
      <c r="DJ43" s="12"/>
      <c r="DK43" s="12"/>
      <c r="DO43" s="12"/>
      <c r="DP43" s="12"/>
      <c r="DQ43" s="12"/>
      <c r="DR43" s="12"/>
      <c r="DV43" s="12"/>
      <c r="DW43" s="12"/>
      <c r="DX43" s="12"/>
      <c r="DY43" s="12"/>
      <c r="EC43" s="12"/>
      <c r="ED43" s="12"/>
      <c r="EE43" s="12"/>
      <c r="EF43" s="12"/>
    </row>
    <row r="44" spans="2:137" outlineLevel="1">
      <c r="B44" t="s">
        <v>28</v>
      </c>
      <c r="C44" s="2" t="s">
        <v>53</v>
      </c>
      <c r="D44" s="2"/>
      <c r="E44" s="11"/>
      <c r="F44" t="s">
        <v>63</v>
      </c>
      <c r="G44" s="12">
        <v>0.1</v>
      </c>
      <c r="I44" s="11">
        <f ca="1">+SUMIF($N$3:$WV$3,I$3,$N44:$WU44)</f>
        <v>0</v>
      </c>
      <c r="J44" s="13" cm="1">
        <f t="array" ref="J44">MAX(IF($N$3:$DV$3=$J$3,N44:DU44))</f>
        <v>0</v>
      </c>
      <c r="K44" s="13" cm="1">
        <f t="array" ref="K44">MAX(IF($N$3:$DV$3=$J$3,N44:DU44))</f>
        <v>0</v>
      </c>
      <c r="L44" s="11"/>
      <c r="O44" s="12"/>
      <c r="P44" s="12"/>
      <c r="Q44" s="12"/>
      <c r="U44" s="12"/>
      <c r="V44" s="12"/>
      <c r="W44" s="12"/>
      <c r="X44" s="12"/>
      <c r="AB44" s="12"/>
      <c r="AC44" s="12"/>
      <c r="AD44" s="12"/>
      <c r="AE44" s="12"/>
      <c r="AI44" s="12"/>
      <c r="AJ44" s="12"/>
      <c r="AK44" s="12"/>
      <c r="AL44" s="12"/>
      <c r="AP44" s="12"/>
      <c r="AQ44" s="12"/>
      <c r="AR44" s="12"/>
      <c r="AS44" s="12"/>
      <c r="AW44" s="12"/>
      <c r="AX44" s="12"/>
      <c r="AY44" s="12"/>
      <c r="AZ44" s="12"/>
      <c r="BD44" s="12"/>
      <c r="BE44" s="12"/>
      <c r="BF44" s="12"/>
      <c r="BG44" s="12"/>
      <c r="BK44" s="12"/>
      <c r="BL44" s="12"/>
      <c r="BM44" s="12"/>
      <c r="BN44" s="12"/>
      <c r="BR44" s="12"/>
      <c r="BS44" s="12"/>
      <c r="BT44" s="12"/>
      <c r="BU44" s="12"/>
      <c r="BY44" s="12"/>
      <c r="BZ44" s="12"/>
      <c r="CA44" s="12"/>
      <c r="CB44" s="12"/>
      <c r="CF44" s="12"/>
      <c r="CG44" s="12"/>
      <c r="CH44" s="12"/>
      <c r="CI44" s="12"/>
      <c r="CM44" s="12"/>
      <c r="CN44" s="12"/>
      <c r="CO44" s="12"/>
      <c r="CP44" s="12"/>
      <c r="CT44" s="12"/>
      <c r="CU44" s="12"/>
      <c r="CV44" s="12"/>
      <c r="CW44" s="12"/>
      <c r="DA44" s="12"/>
      <c r="DB44" s="12"/>
      <c r="DC44" s="12"/>
      <c r="DD44" s="12"/>
      <c r="DH44" s="12"/>
      <c r="DI44" s="12"/>
      <c r="DJ44" s="12"/>
      <c r="DK44" s="12"/>
      <c r="DO44" s="12"/>
      <c r="DP44" s="12"/>
      <c r="DQ44" s="12"/>
      <c r="DR44" s="12"/>
      <c r="DV44" s="12"/>
      <c r="DW44" s="12"/>
      <c r="DX44" s="12"/>
      <c r="DY44" s="12"/>
      <c r="EC44" s="12"/>
      <c r="ED44" s="12"/>
      <c r="EE44" s="12"/>
      <c r="EF44" s="12"/>
    </row>
    <row r="45" spans="2:137" outlineLevel="1">
      <c r="B45" t="s">
        <v>28</v>
      </c>
      <c r="C45" s="2" t="s">
        <v>53</v>
      </c>
      <c r="D45" s="2"/>
      <c r="E45" s="11"/>
      <c r="F45" t="s">
        <v>64</v>
      </c>
      <c r="G45" s="12">
        <v>0.1</v>
      </c>
      <c r="I45" s="11">
        <f ca="1">+SUMIF($N$3:$WV$3,I$3,$N45:$WU45)</f>
        <v>0</v>
      </c>
      <c r="J45" s="13" cm="1">
        <f t="array" ref="J45">MAX(IF($N$3:$DV$3=$J$3,N45:DU45))</f>
        <v>0</v>
      </c>
      <c r="K45" s="13" cm="1">
        <f t="array" ref="K45">MAX(IF($N$3:$DV$3=$J$3,N45:DU45))</f>
        <v>0</v>
      </c>
      <c r="L45" s="11"/>
      <c r="O45" s="12"/>
      <c r="P45" s="12"/>
      <c r="Q45" s="12"/>
      <c r="U45" s="12"/>
      <c r="V45" s="12"/>
      <c r="W45" s="12"/>
      <c r="X45" s="12"/>
      <c r="AB45" s="12"/>
      <c r="AC45" s="12"/>
      <c r="AD45" s="12"/>
      <c r="AE45" s="12"/>
      <c r="AI45" s="12"/>
      <c r="AJ45" s="12"/>
      <c r="AK45" s="12"/>
      <c r="AL45" s="12"/>
      <c r="AP45" s="12"/>
      <c r="AQ45" s="12"/>
      <c r="AR45" s="12"/>
      <c r="AS45" s="12"/>
      <c r="AW45" s="12"/>
      <c r="AX45" s="12"/>
      <c r="AY45" s="12"/>
      <c r="AZ45" s="12"/>
      <c r="BD45" s="12"/>
      <c r="BE45" s="12"/>
      <c r="BF45" s="12"/>
      <c r="BG45" s="12"/>
      <c r="BK45" s="12"/>
      <c r="BL45" s="12"/>
      <c r="BM45" s="12"/>
      <c r="BN45" s="12"/>
      <c r="BR45" s="12"/>
      <c r="BS45" s="12"/>
      <c r="BT45" s="12"/>
      <c r="BU45" s="12"/>
      <c r="BY45" s="12"/>
      <c r="BZ45" s="12"/>
      <c r="CA45" s="12"/>
      <c r="CB45" s="12"/>
      <c r="CF45" s="12"/>
      <c r="CG45" s="12"/>
      <c r="CH45" s="12"/>
      <c r="CI45" s="12"/>
      <c r="CM45" s="12"/>
      <c r="CN45" s="12"/>
      <c r="CO45" s="12"/>
      <c r="CP45" s="12"/>
      <c r="CT45" s="12"/>
      <c r="CU45" s="12"/>
      <c r="CV45" s="12"/>
      <c r="CW45" s="12"/>
      <c r="DA45" s="12"/>
      <c r="DB45" s="12"/>
      <c r="DC45" s="12"/>
      <c r="DD45" s="12"/>
      <c r="DH45" s="12"/>
      <c r="DI45" s="12"/>
      <c r="DJ45" s="12"/>
      <c r="DK45" s="12"/>
      <c r="DO45" s="12"/>
      <c r="DP45" s="12"/>
      <c r="DQ45" s="12"/>
      <c r="DR45" s="12"/>
      <c r="DV45" s="12"/>
      <c r="DW45" s="12"/>
      <c r="DX45" s="12"/>
      <c r="DY45" s="12"/>
      <c r="EC45" s="12"/>
      <c r="ED45" s="12"/>
      <c r="EE45" s="12"/>
      <c r="EF45" s="12"/>
    </row>
    <row r="47" spans="2:137">
      <c r="B47" t="s">
        <v>79</v>
      </c>
      <c r="D47" s="24">
        <f>DATE(2022,6,3)</f>
        <v>44715</v>
      </c>
    </row>
    <row r="49" spans="2:137" outlineLevel="1">
      <c r="B49" t="s">
        <v>28</v>
      </c>
      <c r="C49" s="2" t="s">
        <v>80</v>
      </c>
      <c r="D49" s="2"/>
      <c r="E49" s="2"/>
      <c r="F49" t="s">
        <v>83</v>
      </c>
      <c r="G49" s="12">
        <v>0.1</v>
      </c>
      <c r="I49" s="11">
        <f>+SUMIF($N$3:$WV$3,I$3,$N49:$WV49)</f>
        <v>0</v>
      </c>
      <c r="J49" s="13" cm="1">
        <f t="array" ref="J49">MAX(IF($N$3:$DV$3=$J$3,N49:DV49))</f>
        <v>0</v>
      </c>
      <c r="K49" s="13" cm="1">
        <f t="array" ref="K49">MAX(IF($N$3:$DV$3=$J$3,N49:DV49))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outlineLevel="1">
      <c r="B50" t="s">
        <v>28</v>
      </c>
      <c r="C50" s="2" t="s">
        <v>82</v>
      </c>
      <c r="D50" s="2"/>
      <c r="E50" s="2"/>
      <c r="F50" t="s">
        <v>84</v>
      </c>
      <c r="G50" s="12">
        <v>0.05</v>
      </c>
      <c r="I50" s="11">
        <f>+SUMIF($N$3:$WV$3,I$3,$N50:$WV50)</f>
        <v>0</v>
      </c>
      <c r="J50" s="13" cm="1">
        <f t="array" ref="J50">MAX(IF($N$3:$DV$3=$J$3,N50:DV50))</f>
        <v>0</v>
      </c>
      <c r="K50" s="13" cm="1">
        <f t="array" ref="K50">MAX(IF($N$3:$DV$3=$J$3,N50:DV50))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W50" s="12"/>
      <c r="DX50" s="12"/>
      <c r="DY50" s="12"/>
      <c r="DZ50" s="12"/>
      <c r="ED50" s="12"/>
      <c r="EE50" s="12"/>
      <c r="EF50" s="12"/>
      <c r="EG50" s="12"/>
    </row>
    <row r="51" spans="2:137" outlineLevel="1">
      <c r="B51" t="s">
        <v>28</v>
      </c>
      <c r="C51" s="2" t="s">
        <v>82</v>
      </c>
      <c r="D51" s="2"/>
      <c r="E51" s="2"/>
      <c r="F51" t="s">
        <v>85</v>
      </c>
      <c r="G51" s="12">
        <v>0.05</v>
      </c>
      <c r="I51" s="11">
        <f>+SUMIF($N$3:$WV$3,I$3,$N51:$WV51)</f>
        <v>0</v>
      </c>
      <c r="J51" s="13" cm="1">
        <f t="array" ref="J51">MAX(IF($N$3:$DV$3=$J$3,N51:DV51))</f>
        <v>0</v>
      </c>
      <c r="K51" s="13" cm="1">
        <f t="array" ref="K51">MAX(IF($N$3:$DV$3=$J$3,N51:DV51))</f>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c r="ED51" s="12"/>
      <c r="EE51" s="12"/>
      <c r="EF51" s="12"/>
      <c r="EG51" s="12"/>
    </row>
    <row r="52" spans="2:137" outlineLevel="1">
      <c r="B52" t="s">
        <v>28</v>
      </c>
      <c r="C52" s="2" t="s">
        <v>82</v>
      </c>
      <c r="D52" s="2"/>
      <c r="E52" s="2"/>
      <c r="F52" t="s">
        <v>86</v>
      </c>
      <c r="G52" s="12">
        <v>0.05</v>
      </c>
      <c r="I52" s="11">
        <f>+SUMIF($N$3:$WV$3,I$3,$N52:$WV52)</f>
        <v>0</v>
      </c>
      <c r="J52" s="13" cm="1">
        <f t="array" ref="J52">MAX(IF($N$3:$DV$3=$J$3,N52:DV52))</f>
        <v>0</v>
      </c>
      <c r="K52" s="13" cm="1">
        <f t="array" ref="K52">MAX(IF($N$3:$DV$3=$J$3,N52:DV52))</f>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row>
    <row r="53" spans="2:137" outlineLevel="1">
      <c r="B53" t="s">
        <v>28</v>
      </c>
      <c r="C53" s="2" t="s">
        <v>82</v>
      </c>
      <c r="D53" s="2"/>
      <c r="E53" s="2"/>
      <c r="F53" t="s">
        <v>31</v>
      </c>
      <c r="G53" s="12">
        <v>0.05</v>
      </c>
      <c r="I53" s="11">
        <f>+SUMIF($N$3:$WV$3,I$3,$N53:$WV53)</f>
        <v>0</v>
      </c>
      <c r="J53" s="13" cm="1">
        <f t="array" ref="J53">MAX(IF($N$3:$DV$3=$J$3,N53:DV53))</f>
        <v>0</v>
      </c>
      <c r="K53" s="13" cm="1">
        <f t="array" ref="K53">MAX(IF($N$3:$DV$3=$J$3,N53:DV53))</f>
        <v>0</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row>
    <row r="54" spans="2:137" outlineLevel="1">
      <c r="B54" t="s">
        <v>28</v>
      </c>
      <c r="C54" s="2" t="s">
        <v>82</v>
      </c>
      <c r="D54" s="2"/>
      <c r="E54" s="2"/>
      <c r="F54" t="s">
        <v>87</v>
      </c>
      <c r="G54" s="12">
        <v>0.1</v>
      </c>
      <c r="I54" s="11">
        <f>+SUMIF($N$3:$WV$3,I$3,$N54:$WV54)</f>
        <v>0</v>
      </c>
      <c r="J54" s="13" cm="1">
        <f t="array" ref="J54">MAX(IF($N$3:$DV$3=$J$3,N54:DV54))</f>
        <v>0</v>
      </c>
      <c r="K54" s="13" cm="1">
        <f t="array" ref="K54">MAX(IF($N$3:$DV$3=$J$3,N54:DV54))</f>
        <v>0</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outlineLevel="1">
      <c r="B55" t="s">
        <v>28</v>
      </c>
      <c r="C55" s="2" t="s">
        <v>82</v>
      </c>
      <c r="D55" s="2"/>
      <c r="E55" s="2"/>
      <c r="F55" t="s">
        <v>88</v>
      </c>
      <c r="G55" s="12">
        <v>0.1</v>
      </c>
      <c r="I55" s="11">
        <f>+SUMIF($N$3:$WV$3,I$3,$N55:$WV55)</f>
        <v>0</v>
      </c>
      <c r="J55" s="13" cm="1">
        <f t="array" ref="J55">MAX(IF($N$3:$DV$3=$J$3,N55:DV55))</f>
        <v>0</v>
      </c>
      <c r="K55" s="13" cm="1">
        <f t="array" ref="K55">MAX(IF($N$3:$DV$3=$J$3,N55:DV55))</f>
        <v>0</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6" spans="2:137" outlineLevel="1">
      <c r="B56" t="s">
        <v>28</v>
      </c>
      <c r="C56" s="2" t="s">
        <v>82</v>
      </c>
      <c r="D56" s="2"/>
      <c r="E56" s="2"/>
      <c r="F56" t="s">
        <v>89</v>
      </c>
      <c r="G56" s="12">
        <v>0.1</v>
      </c>
      <c r="I56" s="11">
        <f>+SUMIF($N$3:$WV$3,I$3,$N56:$WV56)</f>
        <v>0</v>
      </c>
      <c r="J56" s="13" cm="1">
        <f t="array" ref="J56">MAX(IF($N$3:$DV$3=$J$3,N56:DV56))</f>
        <v>0</v>
      </c>
      <c r="K56" s="13" cm="1">
        <f t="array" ref="K56">MAX(IF($N$3:$DV$3=$J$3,N56:DV56))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row>
    <row r="57" spans="2:137" outlineLevel="1">
      <c r="B57" t="s">
        <v>28</v>
      </c>
      <c r="C57" s="2" t="s">
        <v>82</v>
      </c>
      <c r="D57" s="2"/>
      <c r="E57" s="2"/>
      <c r="F57" t="s">
        <v>90</v>
      </c>
      <c r="G57" s="12">
        <v>0.1</v>
      </c>
      <c r="I57" s="11">
        <f>+SUMIF($N$3:$WV$3,I$3,$N57:$WV57)</f>
        <v>0</v>
      </c>
      <c r="J57" s="13" cm="1">
        <f t="array" ref="J57">MAX(IF($N$3:$DV$3=$J$3,N57:DV57))</f>
        <v>0</v>
      </c>
      <c r="K57" s="13" cm="1">
        <f t="array" ref="K57">MAX(IF($N$3:$DV$3=$J$3,N57:DV57))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row>
    <row r="58" spans="2:137" outlineLevel="1">
      <c r="B58" t="s">
        <v>28</v>
      </c>
      <c r="C58" s="2" t="s">
        <v>82</v>
      </c>
      <c r="D58" s="2"/>
      <c r="E58" s="2"/>
      <c r="F58" t="s">
        <v>91</v>
      </c>
      <c r="G58" s="12">
        <v>0.1</v>
      </c>
      <c r="I58" s="11">
        <f>+SUMIF($N$3:$WV$3,I$3,$N58:$WV58)</f>
        <v>0</v>
      </c>
      <c r="J58" s="13" cm="1">
        <f t="array" ref="J58">MAX(IF($N$3:$DV$3=$J$3,N58:DV58))</f>
        <v>0</v>
      </c>
      <c r="K58" s="13" cm="1">
        <f t="array" ref="K58">MAX(IF($N$3:$DV$3=$J$3,N58:DV58))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row>
    <row r="59" spans="2:137" outlineLevel="1">
      <c r="B59" t="s">
        <v>28</v>
      </c>
      <c r="C59" s="2" t="s">
        <v>82</v>
      </c>
      <c r="D59" s="2"/>
      <c r="E59" s="2"/>
      <c r="F59" t="s">
        <v>92</v>
      </c>
      <c r="G59" s="12">
        <v>0.1</v>
      </c>
      <c r="I59" s="11">
        <f>+SUMIF($N$3:$WV$3,I$3,$N59:$WV59)</f>
        <v>0</v>
      </c>
      <c r="J59" s="13" cm="1">
        <f t="array" ref="J59">MAX(IF($N$3:$DV$3=$J$3,N59:DV59))</f>
        <v>0</v>
      </c>
      <c r="K59" s="13" cm="1">
        <f t="array" ref="K59">MAX(IF($N$3:$DV$3=$J$3,N59:DV59))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row>
    <row r="60" spans="2:137" outlineLevel="1">
      <c r="B60" t="s">
        <v>28</v>
      </c>
      <c r="C60" s="2" t="s">
        <v>82</v>
      </c>
      <c r="D60" s="2"/>
      <c r="E60" s="2"/>
      <c r="F60" t="s">
        <v>93</v>
      </c>
      <c r="G60" s="12">
        <v>0.1</v>
      </c>
      <c r="I60" s="11">
        <f>+SUMIF($N$3:$WV$3,I$3,$N60:$WV60)</f>
        <v>0</v>
      </c>
      <c r="J60" s="13" cm="1">
        <f t="array" ref="J60">MAX(IF($N$3:$DV$3=$J$3,N60:DV60))</f>
        <v>0</v>
      </c>
      <c r="K60" s="13" cm="1">
        <f t="array" ref="K60">MAX(IF($N$3:$DV$3=$J$3,N60:DV60))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row>
    <row r="63" spans="2:137">
      <c r="B63" t="s">
        <v>94</v>
      </c>
      <c r="D63" s="24">
        <f>DATE(2022,6,4)</f>
        <v>44716</v>
      </c>
      <c r="I63">
        <f>SUM(I65:I89)</f>
        <v>33</v>
      </c>
    </row>
    <row r="65" spans="2:137" ht="12.75" customHeight="1" outlineLevel="1">
      <c r="B65" t="s">
        <v>28</v>
      </c>
      <c r="C65" t="s">
        <v>81</v>
      </c>
      <c r="E65" s="11"/>
      <c r="F65" t="s">
        <v>95</v>
      </c>
      <c r="G65" s="12">
        <v>0.1</v>
      </c>
      <c r="I65" s="11">
        <f>+SUMIF($N$3:$WV$3,I$3,$N65:$WV65)</f>
        <v>3</v>
      </c>
      <c r="J65" s="13" cm="1">
        <f t="array" ref="J65">MAX(IF($N$3:$DV$3=$J$3,N65:DV65))</f>
        <v>0</v>
      </c>
      <c r="K65" s="13" cm="1">
        <f t="array" ref="K65">MAX(IF($N$3:$DV$3=$J$3,N65:DV65))</f>
        <v>0</v>
      </c>
      <c r="L65" s="11"/>
      <c r="N65">
        <v>3</v>
      </c>
      <c r="O65" s="25"/>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row>
    <row r="66" spans="2:137" outlineLevel="1">
      <c r="B66" t="s">
        <v>28</v>
      </c>
      <c r="C66" t="s">
        <v>81</v>
      </c>
      <c r="E66" s="11"/>
      <c r="F66" t="s">
        <v>96</v>
      </c>
      <c r="G66" s="12">
        <v>0.05</v>
      </c>
      <c r="I66" s="11">
        <f>+SUMIF($N$3:$WV$3,I$3,$N66:$WV66)</f>
        <v>3</v>
      </c>
      <c r="J66" s="13" cm="1">
        <f t="array" ref="J66">MAX(IF($N$3:$DV$3=$J$3,N66:DV66))</f>
        <v>0</v>
      </c>
      <c r="K66" s="13" cm="1">
        <f t="array" ref="K66">MAX(IF($N$3:$DV$3=$J$3,N66:DV66))</f>
        <v>0</v>
      </c>
      <c r="L66" s="11"/>
      <c r="N66">
        <v>3</v>
      </c>
      <c r="O66" s="25"/>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c r="BG66" s="12"/>
      <c r="BH66" s="12"/>
      <c r="BL66" s="12"/>
      <c r="BM66" s="12"/>
      <c r="BN66" s="12"/>
      <c r="BO66" s="12"/>
      <c r="BS66" s="12"/>
      <c r="BT66" s="12"/>
      <c r="BU66" s="12"/>
      <c r="BV66" s="12"/>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c r="DW66" s="12"/>
      <c r="DX66" s="12"/>
      <c r="DY66" s="12"/>
      <c r="DZ66" s="12"/>
      <c r="ED66" s="12"/>
      <c r="EE66" s="12"/>
      <c r="EF66" s="12"/>
      <c r="EG66" s="12"/>
    </row>
    <row r="67" spans="2:137" outlineLevel="1">
      <c r="B67" t="s">
        <v>28</v>
      </c>
      <c r="C67" t="s">
        <v>81</v>
      </c>
      <c r="E67" s="11"/>
      <c r="F67" t="s">
        <v>97</v>
      </c>
      <c r="G67" s="12">
        <v>0.05</v>
      </c>
      <c r="I67" s="11">
        <f>+SUMIF($N$3:$WV$3,I$3,$N67:$WV67)</f>
        <v>3</v>
      </c>
      <c r="J67" s="13" cm="1">
        <f t="array" ref="J67">MAX(IF($N$3:$DV$3=$J$3,N67:DV67))</f>
        <v>0</v>
      </c>
      <c r="K67" s="13" cm="1">
        <f t="array" ref="K67">MAX(IF($N$3:$DV$3=$J$3,N67:DV67))</f>
        <v>0</v>
      </c>
      <c r="L67" s="11"/>
      <c r="N67">
        <v>3</v>
      </c>
      <c r="O67" s="25"/>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c r="BG67" s="12"/>
      <c r="BH67" s="12"/>
      <c r="BL67" s="12"/>
      <c r="BM67" s="12"/>
      <c r="BN67" s="12"/>
      <c r="BO67" s="12"/>
      <c r="BS67" s="12"/>
      <c r="BT67" s="12"/>
      <c r="BU67" s="12"/>
      <c r="BV67" s="12"/>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c r="DP67" s="12"/>
      <c r="DQ67" s="12"/>
      <c r="DR67" s="12"/>
      <c r="DS67" s="12"/>
      <c r="DW67" s="12"/>
      <c r="DX67" s="12"/>
      <c r="DY67" s="12"/>
      <c r="DZ67" s="12"/>
      <c r="ED67" s="12"/>
      <c r="EE67" s="12"/>
      <c r="EF67" s="12"/>
      <c r="EG67" s="12"/>
    </row>
    <row r="68" spans="2:137" outlineLevel="1">
      <c r="B68" t="s">
        <v>28</v>
      </c>
      <c r="C68" t="s">
        <v>81</v>
      </c>
      <c r="E68" s="11"/>
      <c r="F68" t="s">
        <v>98</v>
      </c>
      <c r="G68" s="12">
        <v>0.05</v>
      </c>
      <c r="I68" s="11">
        <f>+SUMIF($N$3:$WV$3,I$3,$N68:$WV68)</f>
        <v>3</v>
      </c>
      <c r="J68" s="13" cm="1">
        <f t="array" ref="J68">MAX(IF($N$3:$DV$3=$J$3,N68:DV68))</f>
        <v>0</v>
      </c>
      <c r="K68" s="13" cm="1">
        <f t="array" ref="K68">MAX(IF($N$3:$DV$3=$J$3,N68:DV68))</f>
        <v>0</v>
      </c>
      <c r="L68" s="11"/>
      <c r="N68">
        <v>3</v>
      </c>
      <c r="O68" s="25"/>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c r="BN68" s="12"/>
      <c r="BO68" s="12"/>
      <c r="BS68" s="12"/>
      <c r="BT68" s="12"/>
      <c r="BU68" s="12"/>
      <c r="BV68" s="12"/>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c r="DP68" s="12"/>
      <c r="DQ68" s="12"/>
      <c r="DR68" s="12"/>
      <c r="DS68" s="12"/>
      <c r="DW68" s="12"/>
      <c r="DX68" s="12"/>
      <c r="DY68" s="12"/>
      <c r="DZ68" s="12"/>
      <c r="ED68" s="12"/>
      <c r="EE68" s="12"/>
      <c r="EF68" s="12"/>
      <c r="EG68" s="12"/>
    </row>
    <row r="69" spans="2:137" outlineLevel="1">
      <c r="B69" t="s">
        <v>28</v>
      </c>
      <c r="C69" t="s">
        <v>81</v>
      </c>
      <c r="E69" s="11"/>
      <c r="F69" t="s">
        <v>99</v>
      </c>
      <c r="G69" s="12">
        <v>0.05</v>
      </c>
      <c r="I69" s="11">
        <f>+SUMIF($N$3:$WV$3,I$3,$N69:$WV69)</f>
        <v>3</v>
      </c>
      <c r="J69" s="13" cm="1">
        <f t="array" ref="J69">MAX(IF($N$3:$DV$3=$J$3,N69:DV69))</f>
        <v>0</v>
      </c>
      <c r="K69" s="13" cm="1">
        <f t="array" ref="K69">MAX(IF($N$3:$DV$3=$J$3,N69:DV69))</f>
        <v>0</v>
      </c>
      <c r="L69" s="11"/>
      <c r="N69">
        <v>3</v>
      </c>
      <c r="O69" s="25"/>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c r="DW69" s="12"/>
      <c r="DX69" s="12"/>
      <c r="DY69" s="12"/>
      <c r="DZ69" s="12"/>
      <c r="ED69" s="12"/>
      <c r="EE69" s="12"/>
      <c r="EF69" s="12"/>
      <c r="EG69" s="12"/>
    </row>
    <row r="70" spans="2:137" outlineLevel="1">
      <c r="B70" t="s">
        <v>28</v>
      </c>
      <c r="C70" t="s">
        <v>81</v>
      </c>
      <c r="E70" s="11"/>
      <c r="F70" t="s">
        <v>100</v>
      </c>
      <c r="G70" s="12">
        <v>0.1</v>
      </c>
      <c r="I70" s="11">
        <f>+SUMIF($N$3:$WV$3,I$3,$N70:$WV70)</f>
        <v>3</v>
      </c>
      <c r="J70" s="13" cm="1">
        <f t="array" ref="J70">MAX(IF($N$3:$DV$3=$J$3,N70:DV70))</f>
        <v>0</v>
      </c>
      <c r="K70" s="13" cm="1">
        <f t="array" ref="K70">MAX(IF($N$3:$DV$3=$J$3,N70:DV70))</f>
        <v>0</v>
      </c>
      <c r="L70" s="11"/>
      <c r="N70">
        <v>3</v>
      </c>
      <c r="O70" s="25"/>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c r="DW70" s="12"/>
      <c r="DX70" s="12"/>
      <c r="DY70" s="12"/>
      <c r="DZ70" s="12"/>
      <c r="ED70" s="12"/>
      <c r="EE70" s="12"/>
      <c r="EF70" s="12"/>
      <c r="EG70" s="12"/>
    </row>
    <row r="71" spans="2:137" outlineLevel="1">
      <c r="B71" t="s">
        <v>28</v>
      </c>
      <c r="C71" t="s">
        <v>81</v>
      </c>
      <c r="E71" s="11"/>
      <c r="F71" t="s">
        <v>101</v>
      </c>
      <c r="G71" s="12">
        <v>0.1</v>
      </c>
      <c r="I71" s="11">
        <f>+SUMIF($N$3:$WV$3,I$3,$N71:$WV71)</f>
        <v>3</v>
      </c>
      <c r="J71" s="13" cm="1">
        <f t="array" ref="J71">MAX(IF($N$3:$DV$3=$J$3,N71:DV71))</f>
        <v>0</v>
      </c>
      <c r="K71" s="13" cm="1">
        <f t="array" ref="K71">MAX(IF($N$3:$DV$3=$J$3,N71:DV71))</f>
        <v>0</v>
      </c>
      <c r="L71" s="11"/>
      <c r="N71">
        <v>3</v>
      </c>
      <c r="O71" s="25"/>
      <c r="P71" s="12"/>
      <c r="Q71" s="12"/>
      <c r="R71" s="12"/>
      <c r="V71" s="12"/>
      <c r="W71" s="12"/>
      <c r="X71" s="12"/>
      <c r="Y71" s="12"/>
      <c r="AC71" s="12"/>
      <c r="AD71" s="12"/>
      <c r="AE71" s="12"/>
      <c r="AF71" s="12"/>
      <c r="AJ71" s="12"/>
      <c r="AK71" s="12"/>
      <c r="AL71" s="12"/>
      <c r="AM71" s="12"/>
      <c r="AQ71" s="12"/>
      <c r="AR71" s="12"/>
      <c r="AS71" s="12"/>
      <c r="AT71" s="12"/>
      <c r="AX71" s="12"/>
      <c r="AY71" s="12"/>
      <c r="AZ71" s="12"/>
      <c r="BA71" s="12"/>
      <c r="BE71" s="12"/>
      <c r="BF71" s="12"/>
      <c r="BG71" s="12"/>
      <c r="BH71" s="12"/>
      <c r="BL71" s="12"/>
      <c r="BM71" s="12"/>
      <c r="BN71" s="12"/>
      <c r="BO71" s="12"/>
      <c r="BS71" s="12"/>
      <c r="BT71" s="12"/>
      <c r="BU71" s="12"/>
      <c r="BV71" s="12"/>
      <c r="BZ71" s="12"/>
      <c r="CA71" s="12"/>
      <c r="CB71" s="12"/>
      <c r="CC71" s="12"/>
      <c r="CG71" s="12"/>
      <c r="CH71" s="12"/>
      <c r="CI71" s="12"/>
      <c r="CJ71" s="12"/>
      <c r="CN71" s="12"/>
      <c r="CO71" s="12"/>
      <c r="CP71" s="12"/>
      <c r="CQ71" s="12"/>
      <c r="CU71" s="12"/>
      <c r="CV71" s="12"/>
      <c r="CW71" s="12"/>
      <c r="CX71" s="12"/>
      <c r="DB71" s="12"/>
      <c r="DC71" s="12"/>
      <c r="DD71" s="12"/>
      <c r="DE71" s="12"/>
      <c r="DI71" s="12"/>
      <c r="DJ71" s="12"/>
      <c r="DK71" s="12"/>
      <c r="DL71" s="12"/>
      <c r="DP71" s="12"/>
      <c r="DQ71" s="12"/>
      <c r="DR71" s="12"/>
      <c r="DS71" s="12"/>
      <c r="DW71" s="12"/>
      <c r="DX71" s="12"/>
      <c r="DY71" s="12"/>
      <c r="DZ71" s="12"/>
      <c r="ED71" s="12"/>
      <c r="EE71" s="12"/>
      <c r="EF71" s="12"/>
      <c r="EG71" s="12"/>
    </row>
    <row r="72" spans="2:137" outlineLevel="1">
      <c r="B72" t="s">
        <v>28</v>
      </c>
      <c r="C72" t="s">
        <v>81</v>
      </c>
      <c r="E72" s="11"/>
      <c r="F72" t="s">
        <v>102</v>
      </c>
      <c r="G72" s="12">
        <v>0.1</v>
      </c>
      <c r="I72" s="11">
        <f>+SUMIF($N$3:$WV$3,I$3,$N72:$WV72)</f>
        <v>3</v>
      </c>
      <c r="J72" s="13" cm="1">
        <f t="array" ref="J72">MAX(IF($N$3:$DV$3=$J$3,N72:DV72))</f>
        <v>0</v>
      </c>
      <c r="K72" s="13" cm="1">
        <f t="array" ref="K72">MAX(IF($N$3:$DV$3=$J$3,N72:DV72))</f>
        <v>0</v>
      </c>
      <c r="L72" s="11"/>
      <c r="N72">
        <v>3</v>
      </c>
      <c r="O72" s="25"/>
      <c r="P72" s="12"/>
      <c r="Q72" s="12"/>
      <c r="R72" s="12"/>
      <c r="V72" s="12"/>
      <c r="W72" s="12"/>
      <c r="X72" s="12"/>
      <c r="Y72" s="12"/>
      <c r="AC72" s="12"/>
      <c r="AD72" s="12"/>
      <c r="AE72" s="12"/>
      <c r="AF72" s="12"/>
      <c r="AJ72" s="12"/>
      <c r="AK72" s="12"/>
      <c r="AL72" s="12"/>
      <c r="AM72" s="12"/>
      <c r="AQ72" s="12"/>
      <c r="AR72" s="12"/>
      <c r="AS72" s="12"/>
      <c r="AT72" s="12"/>
      <c r="AX72" s="12"/>
      <c r="AY72" s="12"/>
      <c r="AZ72" s="12"/>
      <c r="BA72" s="12"/>
      <c r="BE72" s="12"/>
      <c r="BF72" s="12"/>
      <c r="BG72" s="12"/>
      <c r="BH72" s="12"/>
      <c r="BL72" s="12"/>
      <c r="BM72" s="12"/>
      <c r="BN72" s="12"/>
      <c r="BO72" s="12"/>
      <c r="BS72" s="12"/>
      <c r="BT72" s="12"/>
      <c r="BU72" s="12"/>
      <c r="BV72" s="12"/>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c r="DP72" s="12"/>
      <c r="DQ72" s="12"/>
      <c r="DR72" s="12"/>
      <c r="DS72" s="12"/>
      <c r="DW72" s="12"/>
      <c r="DX72" s="12"/>
      <c r="DY72" s="12"/>
      <c r="DZ72" s="12"/>
      <c r="ED72" s="12"/>
      <c r="EE72" s="12"/>
      <c r="EF72" s="12"/>
      <c r="EG72" s="12"/>
    </row>
    <row r="73" spans="2:137" outlineLevel="1">
      <c r="B73" t="s">
        <v>28</v>
      </c>
      <c r="C73" t="s">
        <v>81</v>
      </c>
      <c r="E73" s="11"/>
      <c r="F73" t="s">
        <v>103</v>
      </c>
      <c r="G73" s="12">
        <v>0.1</v>
      </c>
      <c r="I73" s="11">
        <f>+SUMIF($N$3:$WV$3,I$3,$N73:$WV73)</f>
        <v>3</v>
      </c>
      <c r="J73" s="13" cm="1">
        <f t="array" ref="J73">MAX(IF($N$3:$DV$3=$J$3,N73:DV73))</f>
        <v>0</v>
      </c>
      <c r="K73" s="13" cm="1">
        <f t="array" ref="K73">MAX(IF($N$3:$DV$3=$J$3,N73:DV73))</f>
        <v>0</v>
      </c>
      <c r="L73" s="11"/>
      <c r="N73">
        <v>3</v>
      </c>
      <c r="O73" s="25"/>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c r="DW73" s="12"/>
      <c r="DX73" s="12"/>
      <c r="DY73" s="12"/>
      <c r="DZ73" s="12"/>
      <c r="ED73" s="12"/>
      <c r="EE73" s="12"/>
      <c r="EF73" s="12"/>
      <c r="EG73" s="12"/>
    </row>
    <row r="74" spans="2:137" outlineLevel="1">
      <c r="B74" t="s">
        <v>28</v>
      </c>
      <c r="C74" t="s">
        <v>81</v>
      </c>
      <c r="E74" s="11"/>
      <c r="F74" t="s">
        <v>104</v>
      </c>
      <c r="G74" s="12">
        <v>0.1</v>
      </c>
      <c r="I74" s="11">
        <f>+SUMIF($N$3:$WV$3,I$3,$N74:$WV74)</f>
        <v>3</v>
      </c>
      <c r="J74" s="13" cm="1">
        <f t="array" ref="J74">MAX(IF($N$3:$DV$3=$J$3,N74:DV74))</f>
        <v>0</v>
      </c>
      <c r="K74" s="13" cm="1">
        <f t="array" ref="K74">MAX(IF($N$3:$DV$3=$J$3,N74:DV74))</f>
        <v>0</v>
      </c>
      <c r="L74" s="11"/>
      <c r="N74">
        <v>3</v>
      </c>
      <c r="O74" s="25"/>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c r="DW74" s="12"/>
      <c r="DX74" s="12"/>
      <c r="DY74" s="12"/>
      <c r="DZ74" s="12"/>
      <c r="ED74" s="12"/>
      <c r="EE74" s="12"/>
      <c r="EF74" s="12"/>
      <c r="EG74" s="12"/>
    </row>
    <row r="75" spans="2:137" outlineLevel="1">
      <c r="B75" t="s">
        <v>28</v>
      </c>
      <c r="C75" t="s">
        <v>81</v>
      </c>
      <c r="E75" s="11"/>
      <c r="F75" t="s">
        <v>105</v>
      </c>
      <c r="G75" s="12">
        <v>0.1</v>
      </c>
      <c r="I75" s="11">
        <f>+SUMIF($N$3:$WV$3,I$3,$N75:$WV75)</f>
        <v>3</v>
      </c>
      <c r="J75" s="13" cm="1">
        <f t="array" ref="J75">MAX(IF($N$3:$DV$3=$J$3,N75:DV75))</f>
        <v>0</v>
      </c>
      <c r="K75" s="13" cm="1">
        <f t="array" ref="K75">MAX(IF($N$3:$DV$3=$J$3,N75:DV75))</f>
        <v>0</v>
      </c>
      <c r="L75" s="11"/>
      <c r="N75">
        <v>3</v>
      </c>
      <c r="O75" s="25"/>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c r="DW75" s="12"/>
      <c r="DX75" s="12"/>
      <c r="DY75" s="12"/>
      <c r="DZ75" s="12"/>
      <c r="ED75" s="12"/>
      <c r="EE75" s="12"/>
      <c r="EF75" s="12"/>
      <c r="EG75" s="12"/>
    </row>
    <row r="76" spans="2:137" outlineLevel="1">
      <c r="B76" t="s">
        <v>28</v>
      </c>
      <c r="C76" t="s">
        <v>81</v>
      </c>
      <c r="E76" s="11"/>
      <c r="F76" t="s">
        <v>106</v>
      </c>
      <c r="G76" s="12">
        <v>0.1</v>
      </c>
      <c r="I76" s="11">
        <f>+SUMIF($N$3:$WV$3,I$3,$N76:$WV76)</f>
        <v>0</v>
      </c>
      <c r="J76" s="13" cm="1">
        <f t="array" ref="J76">MAX(IF($N$3:$DV$3=$J$3,N76:DV76))</f>
        <v>0</v>
      </c>
      <c r="K76" s="13" cm="1">
        <f t="array" ref="K76">MAX(IF($N$3:$DV$3=$J$3,N76:DV76))</f>
        <v>0</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L76" s="12"/>
      <c r="BM76" s="12"/>
      <c r="BN76" s="12"/>
      <c r="BO76" s="12"/>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c r="DW76" s="12"/>
      <c r="DX76" s="12"/>
      <c r="DY76" s="12"/>
      <c r="DZ76" s="12"/>
      <c r="ED76" s="12"/>
      <c r="EE76" s="12"/>
      <c r="EF76" s="12"/>
      <c r="EG76" s="12"/>
    </row>
    <row r="77" spans="2:137" outlineLevel="1">
      <c r="B77" t="s">
        <v>28</v>
      </c>
      <c r="C77" t="s">
        <v>81</v>
      </c>
      <c r="E77" s="11"/>
      <c r="F77" t="s">
        <v>109</v>
      </c>
      <c r="G77" s="12">
        <v>0.1</v>
      </c>
      <c r="I77" s="11">
        <f>+SUMIF($N$3:$WV$3,I$3,$N77:$WV77)</f>
        <v>0</v>
      </c>
      <c r="J77" s="13" cm="1">
        <f t="array" ref="J77">MAX(IF($N$3:$DV$3=$J$3,N77:DV77))</f>
        <v>0</v>
      </c>
      <c r="K77" s="13" cm="1">
        <f t="array" ref="K77">MAX(IF($N$3:$DV$3=$J$3,N77:DV77))</f>
        <v>0</v>
      </c>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E77" s="12"/>
      <c r="BF77" s="12"/>
      <c r="BG77" s="12"/>
      <c r="BH77" s="12"/>
      <c r="BL77" s="12"/>
      <c r="BM77" s="12"/>
      <c r="BN77" s="12"/>
      <c r="BO77" s="12"/>
      <c r="BS77" s="12"/>
      <c r="BT77" s="12"/>
      <c r="BU77" s="12"/>
      <c r="BV77" s="12"/>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c r="DP77" s="12"/>
      <c r="DQ77" s="12"/>
      <c r="DR77" s="12"/>
      <c r="DS77" s="12"/>
      <c r="DW77" s="12"/>
      <c r="DX77" s="12"/>
      <c r="DY77" s="12"/>
      <c r="DZ77" s="12"/>
      <c r="ED77" s="12"/>
      <c r="EE77" s="12"/>
      <c r="EF77" s="12"/>
      <c r="EG77" s="12"/>
    </row>
    <row r="78" spans="2:137" outlineLevel="1">
      <c r="B78" t="s">
        <v>28</v>
      </c>
      <c r="C78" t="s">
        <v>81</v>
      </c>
      <c r="E78" s="11"/>
      <c r="F78" t="s">
        <v>107</v>
      </c>
      <c r="G78" s="12">
        <v>0.1</v>
      </c>
      <c r="I78" s="11">
        <f>+SUMIF($N$3:$WV$3,I$3,$N78:$WV78)</f>
        <v>0</v>
      </c>
      <c r="J78" s="13" cm="1">
        <f t="array" ref="J78">MAX(IF($N$3:$DV$3=$J$3,N78:DV78))</f>
        <v>0</v>
      </c>
      <c r="K78" s="13" cm="1">
        <f t="array" ref="K78">MAX(IF($N$3:$DV$3=$J$3,N78:DV78))</f>
        <v>0</v>
      </c>
      <c r="L78" s="11"/>
      <c r="O78" s="12"/>
      <c r="P78" s="12"/>
      <c r="Q78" s="12"/>
      <c r="R78" s="12"/>
      <c r="V78" s="12"/>
      <c r="W78" s="12"/>
      <c r="X78" s="12"/>
      <c r="Y78" s="12"/>
      <c r="AC78" s="12"/>
      <c r="AD78" s="12"/>
      <c r="AE78" s="12"/>
      <c r="AF78" s="12"/>
      <c r="AJ78" s="12"/>
      <c r="AK78" s="12"/>
      <c r="AL78" s="12"/>
      <c r="AM78" s="12"/>
      <c r="AQ78" s="12"/>
      <c r="AR78" s="12"/>
      <c r="AS78" s="12"/>
      <c r="AT78" s="12"/>
      <c r="AX78" s="12"/>
      <c r="AY78" s="12"/>
      <c r="AZ78" s="12"/>
      <c r="BA78" s="12"/>
      <c r="BE78" s="12"/>
      <c r="BF78" s="12"/>
      <c r="BG78" s="12"/>
      <c r="BH78" s="12"/>
      <c r="BL78" s="12"/>
      <c r="BM78" s="12"/>
      <c r="BN78" s="12"/>
      <c r="BO78" s="12"/>
      <c r="BS78" s="12"/>
      <c r="BT78" s="12"/>
      <c r="BU78" s="12"/>
      <c r="BV78" s="12"/>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c r="DP78" s="12"/>
      <c r="DQ78" s="12"/>
      <c r="DR78" s="12"/>
      <c r="DS78" s="12"/>
      <c r="DW78" s="12"/>
      <c r="DX78" s="12"/>
      <c r="DY78" s="12"/>
      <c r="DZ78" s="12"/>
      <c r="ED78" s="12"/>
      <c r="EE78" s="12"/>
      <c r="EF78" s="12"/>
      <c r="EG78" s="12"/>
    </row>
    <row r="79" spans="2:137" outlineLevel="1">
      <c r="B79" t="s">
        <v>28</v>
      </c>
      <c r="C79" t="s">
        <v>81</v>
      </c>
      <c r="E79" s="11"/>
      <c r="F79" t="s">
        <v>108</v>
      </c>
      <c r="G79" s="12">
        <v>0.1</v>
      </c>
      <c r="I79" s="11">
        <f>+SUMIF($N$3:$WV$3,I$3,$N79:$WV79)</f>
        <v>0</v>
      </c>
      <c r="J79" s="13" cm="1">
        <f t="array" ref="J79">MAX(IF($N$3:$DV$3=$J$3,N79:DV79))</f>
        <v>0</v>
      </c>
      <c r="K79" s="13" cm="1">
        <f t="array" ref="K79">MAX(IF($N$3:$DV$3=$J$3,N79:DV79))</f>
        <v>0</v>
      </c>
      <c r="L79" s="11"/>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c r="BG79" s="12"/>
      <c r="BH79" s="12"/>
      <c r="BL79" s="12"/>
      <c r="BM79" s="12"/>
      <c r="BN79" s="12"/>
      <c r="BO79" s="12"/>
      <c r="BS79" s="12"/>
      <c r="BT79" s="12"/>
      <c r="BU79" s="12"/>
      <c r="BV79" s="12"/>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c r="DP79" s="12"/>
      <c r="DQ79" s="12"/>
      <c r="DR79" s="12"/>
      <c r="DS79" s="12"/>
      <c r="DW79" s="12"/>
      <c r="DX79" s="12"/>
      <c r="DY79" s="12"/>
      <c r="DZ79" s="12"/>
      <c r="ED79" s="12"/>
      <c r="EE79" s="12"/>
      <c r="EF79" s="12"/>
      <c r="EG79" s="12"/>
    </row>
    <row r="80" spans="2:137" ht="17.25" customHeight="1" outlineLevel="1">
      <c r="B80" t="s">
        <v>28</v>
      </c>
      <c r="C80" t="s">
        <v>81</v>
      </c>
      <c r="E80" s="11"/>
      <c r="F80" t="s">
        <v>110</v>
      </c>
      <c r="G80" s="12">
        <v>0.1</v>
      </c>
      <c r="I80" s="11">
        <f>+SUMIF($N$3:$WV$3,I$3,$N80:$WV80)</f>
        <v>0</v>
      </c>
      <c r="J80" s="13" cm="1">
        <f t="array" ref="J80">MAX(IF($N$3:$DV$3=$J$3,N80:DV80))</f>
        <v>0</v>
      </c>
      <c r="K80" s="13" cm="1">
        <f t="array" ref="K80">MAX(IF($N$3:$DV$3=$J$3,N80:DV80))</f>
        <v>0</v>
      </c>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W80" s="12"/>
      <c r="DX80" s="12"/>
      <c r="DY80" s="12"/>
      <c r="DZ80" s="12"/>
      <c r="ED80" s="12"/>
      <c r="EE80" s="12"/>
      <c r="EF80" s="12"/>
      <c r="EG80" s="12"/>
    </row>
    <row r="81" spans="2:137" outlineLevel="1">
      <c r="B81" t="s">
        <v>28</v>
      </c>
      <c r="C81" t="s">
        <v>81</v>
      </c>
      <c r="E81" s="11"/>
      <c r="F81" t="s">
        <v>111</v>
      </c>
      <c r="G81" s="12">
        <v>0.1</v>
      </c>
      <c r="I81" s="11">
        <f>+SUMIF($N$3:$WV$3,I$3,$N81:$WV81)</f>
        <v>0</v>
      </c>
      <c r="J81" s="13" cm="1">
        <f t="array" ref="J81">MAX(IF($N$3:$DV$3=$J$3,N81:DV81))</f>
        <v>0</v>
      </c>
      <c r="K81" s="13" cm="1">
        <f t="array" ref="K81">MAX(IF($N$3:$DV$3=$J$3,N81:DV81))</f>
        <v>0</v>
      </c>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W81" s="12"/>
      <c r="DX81" s="12"/>
      <c r="DY81" s="12"/>
      <c r="DZ81" s="12"/>
      <c r="ED81" s="12"/>
      <c r="EE81" s="12"/>
      <c r="EF81" s="12"/>
      <c r="EG81" s="12"/>
    </row>
    <row r="82" spans="2:137" outlineLevel="1">
      <c r="B82" t="s">
        <v>28</v>
      </c>
      <c r="C82" t="s">
        <v>81</v>
      </c>
      <c r="E82" s="11"/>
      <c r="F82" t="s">
        <v>112</v>
      </c>
      <c r="G82" s="12">
        <v>0.1</v>
      </c>
      <c r="I82" s="11">
        <f>+SUMIF($N$3:$WV$3,I$3,$N82:$WV82)</f>
        <v>0</v>
      </c>
      <c r="J82" s="13" cm="1">
        <f t="array" ref="J82">MAX(IF($N$3:$DV$3=$J$3,N82:DV82))</f>
        <v>0</v>
      </c>
      <c r="K82" s="13" cm="1">
        <f t="array" ref="K82">MAX(IF($N$3:$DV$3=$J$3,N82:DV82))</f>
        <v>0</v>
      </c>
      <c r="L82" s="11"/>
      <c r="O82" s="12"/>
      <c r="P82" s="12"/>
      <c r="Q82" s="12"/>
      <c r="R82" s="12"/>
      <c r="V82" s="12"/>
      <c r="W82" s="12"/>
      <c r="X82" s="12"/>
      <c r="Y82" s="12"/>
      <c r="AC82" s="12"/>
      <c r="AD82" s="12"/>
      <c r="AE82" s="12"/>
      <c r="AF82" s="12"/>
      <c r="AJ82" s="12"/>
      <c r="AK82" s="12"/>
      <c r="AL82" s="12"/>
      <c r="AM82" s="12"/>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c r="DW82" s="12"/>
      <c r="DX82" s="12"/>
      <c r="DY82" s="12"/>
      <c r="DZ82" s="12"/>
      <c r="ED82" s="12"/>
      <c r="EE82" s="12"/>
      <c r="EF82" s="12"/>
      <c r="EG82" s="12"/>
    </row>
    <row r="83" spans="2:137" outlineLevel="1">
      <c r="B83" t="s">
        <v>28</v>
      </c>
      <c r="C83" t="s">
        <v>81</v>
      </c>
      <c r="E83" s="11"/>
      <c r="F83" t="s">
        <v>113</v>
      </c>
      <c r="G83" s="12">
        <v>0.1</v>
      </c>
      <c r="I83" s="11">
        <f>+SUMIF($N$3:$WV$3,I$3,$N83:$WV83)</f>
        <v>0</v>
      </c>
      <c r="J83" s="13" cm="1">
        <f t="array" ref="J83">MAX(IF($N$3:$DV$3=$J$3,N83:DV83))</f>
        <v>0</v>
      </c>
      <c r="K83" s="13" cm="1">
        <f t="array" ref="K83">MAX(IF($N$3:$DV$3=$J$3,N83:DV83))</f>
        <v>0</v>
      </c>
      <c r="L83" s="11"/>
      <c r="O83" s="12"/>
      <c r="P83" s="12"/>
      <c r="Q83" s="12"/>
      <c r="R83" s="12"/>
      <c r="V83" s="12"/>
      <c r="W83" s="12"/>
      <c r="X83" s="12"/>
      <c r="Y83" s="12"/>
      <c r="AC83" s="12"/>
      <c r="AD83" s="12"/>
      <c r="AE83" s="12"/>
      <c r="AF83" s="12"/>
      <c r="AJ83" s="12"/>
      <c r="AK83" s="12"/>
      <c r="AL83" s="12"/>
      <c r="AM83" s="12"/>
      <c r="AQ83" s="12"/>
      <c r="AR83" s="12"/>
      <c r="AS83" s="12"/>
      <c r="AT83" s="12"/>
      <c r="AX83" s="12"/>
      <c r="AY83" s="12"/>
      <c r="AZ83" s="12"/>
      <c r="BA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c r="ED83" s="12"/>
      <c r="EE83" s="12"/>
      <c r="EF83" s="12"/>
      <c r="EG83" s="12"/>
    </row>
    <row r="84" spans="2:137" outlineLevel="1">
      <c r="B84" t="s">
        <v>28</v>
      </c>
      <c r="C84" t="s">
        <v>81</v>
      </c>
      <c r="E84" s="11"/>
      <c r="F84" t="s">
        <v>114</v>
      </c>
      <c r="G84" s="12">
        <v>0.1</v>
      </c>
      <c r="I84" s="11">
        <f>+SUMIF($N$3:$WV$3,I$3,$N84:$WV84)</f>
        <v>0</v>
      </c>
      <c r="J84" s="13" cm="1">
        <f t="array" ref="J84">MAX(IF($N$3:$DV$3=$J$3,N84:DV84))</f>
        <v>0</v>
      </c>
      <c r="K84" s="13" cm="1">
        <f t="array" ref="K84">MAX(IF($N$3:$DV$3=$J$3,N84:DV84))</f>
        <v>0</v>
      </c>
      <c r="L84" s="11"/>
      <c r="O84" s="12"/>
      <c r="P84" s="12"/>
      <c r="Q84" s="12"/>
      <c r="R84" s="12"/>
      <c r="V84" s="12"/>
      <c r="W84" s="12"/>
      <c r="X84" s="12"/>
      <c r="Y84" s="12"/>
      <c r="AC84" s="12"/>
      <c r="AD84" s="12"/>
      <c r="AE84" s="12"/>
      <c r="AF84" s="12"/>
      <c r="AJ84" s="12"/>
      <c r="AK84" s="12"/>
      <c r="AL84" s="12"/>
      <c r="AM84" s="12"/>
      <c r="AQ84" s="12"/>
      <c r="AR84" s="12"/>
      <c r="AS84" s="12"/>
      <c r="AT84" s="12"/>
      <c r="AX84" s="12"/>
      <c r="AY84" s="12"/>
      <c r="AZ84" s="12"/>
      <c r="BA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c r="ED84" s="12"/>
      <c r="EE84" s="12"/>
      <c r="EF84" s="12"/>
      <c r="EG84" s="12"/>
    </row>
    <row r="85" spans="2:137" outlineLevel="1">
      <c r="B85" t="s">
        <v>28</v>
      </c>
      <c r="C85" t="s">
        <v>81</v>
      </c>
      <c r="E85" s="11"/>
      <c r="F85" t="s">
        <v>115</v>
      </c>
      <c r="G85" s="12">
        <v>0.1</v>
      </c>
      <c r="I85" s="11">
        <f>+SUMIF($N$3:$WV$3,I$3,$N85:$WV85)</f>
        <v>0</v>
      </c>
      <c r="J85" s="13" cm="1">
        <f t="array" ref="J85">MAX(IF($N$3:$DV$3=$J$3,N85:DV85))</f>
        <v>0</v>
      </c>
      <c r="K85" s="13" cm="1">
        <f t="array" ref="K85">MAX(IF($N$3:$DV$3=$J$3,N85:DV85))</f>
        <v>0</v>
      </c>
      <c r="L85" s="11"/>
      <c r="O85" s="12"/>
      <c r="P85" s="12"/>
      <c r="Q85" s="12"/>
      <c r="R85" s="12"/>
      <c r="V85" s="12"/>
      <c r="W85" s="12"/>
      <c r="X85" s="12"/>
      <c r="Y85" s="12"/>
      <c r="AC85" s="12"/>
      <c r="AD85" s="12"/>
      <c r="AE85" s="12"/>
      <c r="AF85" s="12"/>
      <c r="AJ85" s="12"/>
      <c r="AK85" s="12"/>
      <c r="AL85" s="12"/>
      <c r="AM85" s="12"/>
      <c r="AQ85" s="12"/>
      <c r="AR85" s="12"/>
      <c r="AS85" s="12"/>
      <c r="AT85" s="12"/>
      <c r="AX85" s="12"/>
      <c r="AY85" s="12"/>
      <c r="AZ85" s="12"/>
      <c r="BA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c r="ED85" s="12"/>
      <c r="EE85" s="12"/>
      <c r="EF85" s="12"/>
      <c r="EG85" s="12"/>
    </row>
    <row r="86" spans="2:137" outlineLevel="1">
      <c r="B86" t="s">
        <v>28</v>
      </c>
      <c r="C86" t="s">
        <v>81</v>
      </c>
      <c r="E86" s="11"/>
      <c r="F86" t="s">
        <v>116</v>
      </c>
      <c r="G86" s="12">
        <v>0.1</v>
      </c>
      <c r="I86" s="11">
        <f>+SUMIF($N$3:$WV$3,I$3,$N86:$WV86)</f>
        <v>0</v>
      </c>
      <c r="J86" s="13" cm="1">
        <f t="array" ref="J86">MAX(IF($N$3:$DV$3=$J$3,N86:DV86))</f>
        <v>0</v>
      </c>
      <c r="K86" s="13" cm="1">
        <f t="array" ref="K86">MAX(IF($N$3:$DV$3=$J$3,N86:DV86))</f>
        <v>0</v>
      </c>
      <c r="L86" s="11"/>
      <c r="O86" s="12"/>
      <c r="P86" s="12"/>
      <c r="Q86" s="12"/>
      <c r="R86" s="12"/>
      <c r="V86" s="12"/>
      <c r="W86" s="12"/>
      <c r="X86" s="12"/>
      <c r="Y86" s="12"/>
      <c r="AC86" s="12"/>
      <c r="AD86" s="12"/>
      <c r="AE86" s="12"/>
      <c r="AF86" s="12"/>
      <c r="AJ86" s="12"/>
      <c r="AK86" s="12"/>
      <c r="AL86" s="12"/>
      <c r="AM86" s="12"/>
      <c r="AQ86" s="12"/>
      <c r="AR86" s="12"/>
      <c r="AS86" s="12"/>
      <c r="AT86" s="12"/>
      <c r="AX86" s="12"/>
      <c r="AY86" s="12"/>
      <c r="AZ86" s="12"/>
      <c r="BA86" s="12"/>
      <c r="BE86" s="12"/>
      <c r="BF86" s="12"/>
      <c r="BG86" s="12"/>
      <c r="BH86" s="12"/>
      <c r="BL86" s="12"/>
      <c r="BM86" s="12"/>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W86" s="12"/>
      <c r="DX86" s="12"/>
      <c r="DY86" s="12"/>
      <c r="DZ86" s="12"/>
      <c r="ED86" s="12"/>
      <c r="EE86" s="12"/>
      <c r="EF86" s="12"/>
      <c r="EG86" s="12"/>
    </row>
    <row r="87" spans="2:137" outlineLevel="1">
      <c r="B87" t="s">
        <v>28</v>
      </c>
      <c r="C87" t="s">
        <v>81</v>
      </c>
      <c r="E87" s="11"/>
      <c r="F87" t="s">
        <v>117</v>
      </c>
      <c r="G87" s="12">
        <v>0.1</v>
      </c>
      <c r="I87" s="11">
        <f>+SUMIF($N$3:$WV$3,I$3,$N87:$WV87)</f>
        <v>0</v>
      </c>
      <c r="J87" s="13" cm="1">
        <f t="array" ref="J87">MAX(IF($N$3:$DV$3=$J$3,N87:DV87))</f>
        <v>0</v>
      </c>
      <c r="K87" s="13" cm="1">
        <f t="array" ref="K87">MAX(IF($N$3:$DV$3=$J$3,N87:DV87))</f>
        <v>0</v>
      </c>
      <c r="L87" s="11"/>
      <c r="O87" s="12"/>
      <c r="P87" s="12"/>
      <c r="Q87" s="12"/>
      <c r="R87" s="12"/>
      <c r="V87" s="12"/>
      <c r="W87" s="12"/>
      <c r="X87" s="12"/>
      <c r="Y87" s="12"/>
      <c r="AC87" s="12"/>
      <c r="AD87" s="12"/>
      <c r="AE87" s="12"/>
      <c r="AF87" s="12"/>
      <c r="AJ87" s="12"/>
      <c r="AK87" s="12"/>
      <c r="AL87" s="12"/>
      <c r="AM87" s="12"/>
      <c r="AQ87" s="12"/>
      <c r="AR87" s="12"/>
      <c r="AS87" s="12"/>
      <c r="AT87" s="12"/>
      <c r="AX87" s="12"/>
      <c r="AY87" s="12"/>
      <c r="AZ87" s="12"/>
      <c r="BA87" s="12"/>
      <c r="BE87" s="12"/>
      <c r="BF87" s="12"/>
      <c r="BG87" s="12"/>
      <c r="BH87" s="12"/>
      <c r="BL87" s="12"/>
      <c r="BM87" s="12"/>
      <c r="BN87" s="12"/>
      <c r="BO87" s="12"/>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W87" s="12"/>
      <c r="DX87" s="12"/>
      <c r="DY87" s="12"/>
      <c r="DZ87" s="12"/>
      <c r="ED87" s="12"/>
      <c r="EE87" s="12"/>
      <c r="EF87" s="12"/>
      <c r="EG87" s="12"/>
    </row>
    <row r="88" spans="2:137" outlineLevel="1">
      <c r="B88" t="s">
        <v>28</v>
      </c>
      <c r="C88" t="s">
        <v>81</v>
      </c>
      <c r="E88" s="11"/>
      <c r="F88" t="s">
        <v>118</v>
      </c>
      <c r="G88" s="12">
        <v>0.1</v>
      </c>
      <c r="I88" s="11">
        <f>+SUMIF($N$3:$WV$3,I$3,$N88:$WV88)</f>
        <v>0</v>
      </c>
      <c r="J88" s="13" cm="1">
        <f t="array" ref="J88">MAX(IF($N$3:$DV$3=$J$3,N88:DV88))</f>
        <v>0</v>
      </c>
      <c r="K88" s="13" cm="1">
        <f t="array" ref="K88">MAX(IF($N$3:$DV$3=$J$3,N88:DV88))</f>
        <v>0</v>
      </c>
      <c r="L88" s="11"/>
      <c r="O88" s="12"/>
      <c r="P88" s="12"/>
      <c r="Q88" s="12"/>
      <c r="R88" s="12"/>
      <c r="V88" s="12"/>
      <c r="W88" s="12"/>
      <c r="X88" s="12"/>
      <c r="Y88" s="12"/>
      <c r="AC88" s="12"/>
      <c r="AD88" s="12"/>
      <c r="AE88" s="12"/>
      <c r="AF88" s="12"/>
      <c r="AJ88" s="12"/>
      <c r="AK88" s="12"/>
      <c r="AL88" s="12"/>
      <c r="AM88" s="12"/>
      <c r="AQ88" s="12"/>
      <c r="AR88" s="12"/>
      <c r="AS88" s="12"/>
      <c r="AT88" s="12"/>
      <c r="AX88" s="12"/>
      <c r="AY88" s="12"/>
      <c r="AZ88" s="12"/>
      <c r="BA88" s="12"/>
      <c r="BE88" s="12"/>
      <c r="BF88" s="12"/>
      <c r="BG88" s="12"/>
      <c r="BH88" s="12"/>
      <c r="BL88" s="12"/>
      <c r="BM88" s="12"/>
      <c r="BN88" s="12"/>
      <c r="BO88" s="12"/>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c r="DW88" s="12"/>
      <c r="DX88" s="12"/>
      <c r="DY88" s="12"/>
      <c r="DZ88" s="12"/>
      <c r="ED88" s="12"/>
      <c r="EE88" s="12"/>
      <c r="EF88" s="12"/>
      <c r="EG88" s="12"/>
    </row>
    <row r="89" spans="2:137" outlineLevel="1">
      <c r="B89" t="s">
        <v>28</v>
      </c>
      <c r="C89" t="s">
        <v>81</v>
      </c>
      <c r="E89" s="11"/>
      <c r="F89" t="s">
        <v>119</v>
      </c>
      <c r="G89" s="12">
        <v>0.1</v>
      </c>
      <c r="I89" s="11">
        <f>+SUMIF($N$3:$WV$3,I$3,$N89:$WV89)</f>
        <v>0</v>
      </c>
      <c r="J89" s="13" cm="1">
        <f t="array" ref="J89">MAX(IF($N$3:$DV$3=$J$3,N89:DV89))</f>
        <v>0</v>
      </c>
      <c r="K89" s="13" cm="1">
        <f t="array" ref="K89">MAX(IF($N$3:$DV$3=$J$3,N89:DV89))</f>
        <v>0</v>
      </c>
      <c r="L89" s="11"/>
      <c r="O89" s="12"/>
      <c r="P89" s="12"/>
      <c r="Q89" s="12"/>
      <c r="R89" s="12"/>
      <c r="V89" s="12"/>
      <c r="W89" s="12"/>
      <c r="X89" s="12"/>
      <c r="Y89" s="12"/>
      <c r="AC89" s="12"/>
      <c r="AD89" s="12"/>
      <c r="AE89" s="12"/>
      <c r="AF89" s="12"/>
      <c r="AJ89" s="12"/>
      <c r="AK89" s="12"/>
      <c r="AL89" s="12"/>
      <c r="AM89" s="12"/>
      <c r="AQ89" s="12"/>
      <c r="AR89" s="12"/>
      <c r="AS89" s="12"/>
      <c r="AT89" s="12"/>
      <c r="AX89" s="12"/>
      <c r="AY89" s="12"/>
      <c r="AZ89" s="12"/>
      <c r="BA89" s="12"/>
      <c r="BE89" s="12"/>
      <c r="BF89" s="12"/>
      <c r="BG89" s="12"/>
      <c r="BH89" s="12"/>
      <c r="BL89" s="12"/>
      <c r="BM89" s="12"/>
      <c r="BN89" s="12"/>
      <c r="BO89" s="12"/>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c r="DW89" s="12"/>
      <c r="DX89" s="12"/>
      <c r="DY89" s="12"/>
      <c r="DZ89" s="12"/>
      <c r="ED89" s="12"/>
      <c r="EE89" s="12"/>
      <c r="EF89" s="12"/>
      <c r="EG89" s="12"/>
    </row>
    <row r="90" spans="2:137" outlineLevel="1">
      <c r="E90" s="11"/>
      <c r="G90" s="12"/>
      <c r="I90" s="11"/>
      <c r="J90" s="13"/>
      <c r="K90" s="13"/>
      <c r="L90" s="11"/>
      <c r="O90" s="12"/>
      <c r="P90" s="12"/>
      <c r="Q90" s="12"/>
      <c r="R90" s="12"/>
      <c r="V90" s="12"/>
      <c r="W90" s="12"/>
      <c r="X90" s="12"/>
      <c r="Y90" s="12"/>
      <c r="AC90" s="12"/>
      <c r="AD90" s="12"/>
      <c r="AE90" s="12"/>
      <c r="AF90" s="12"/>
      <c r="AJ90" s="12"/>
      <c r="AK90" s="12"/>
      <c r="AL90" s="12"/>
      <c r="AM90" s="12"/>
      <c r="AQ90" s="12"/>
      <c r="AR90" s="12"/>
      <c r="AS90" s="12"/>
      <c r="AT90" s="12"/>
      <c r="AX90" s="12"/>
      <c r="AY90" s="12"/>
      <c r="AZ90" s="12"/>
      <c r="BA90" s="12"/>
      <c r="BE90" s="12"/>
      <c r="BF90" s="12"/>
      <c r="BG90" s="12"/>
      <c r="BH90" s="12"/>
      <c r="BL90" s="12"/>
      <c r="BM90" s="12"/>
      <c r="BN90" s="12"/>
      <c r="BO90" s="12"/>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c r="DP90" s="12"/>
      <c r="DQ90" s="12"/>
      <c r="DR90" s="12"/>
      <c r="DS90" s="12"/>
      <c r="DW90" s="12"/>
      <c r="DX90" s="12"/>
      <c r="DY90" s="12"/>
      <c r="DZ90" s="12"/>
      <c r="ED90" s="12"/>
      <c r="EE90" s="12"/>
      <c r="EF90" s="12"/>
      <c r="EG90" s="12"/>
    </row>
    <row r="91" spans="2:137" outlineLevel="1">
      <c r="E91" s="11"/>
      <c r="G91" s="12"/>
      <c r="I91" s="11"/>
      <c r="J91" s="13"/>
      <c r="K91" s="13"/>
      <c r="L91" s="11"/>
      <c r="O91" s="12"/>
      <c r="P91" s="12"/>
      <c r="Q91" s="12"/>
      <c r="R91" s="12"/>
      <c r="V91" s="12"/>
      <c r="W91" s="12"/>
      <c r="X91" s="12"/>
      <c r="Y91" s="12"/>
      <c r="AC91" s="12"/>
      <c r="AD91" s="12"/>
      <c r="AE91" s="12"/>
      <c r="AF91" s="12"/>
      <c r="AJ91" s="12"/>
      <c r="AK91" s="12"/>
      <c r="AL91" s="12"/>
      <c r="AM91" s="12"/>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c r="DP91" s="12"/>
      <c r="DQ91" s="12"/>
      <c r="DR91" s="12"/>
      <c r="DS91" s="12"/>
      <c r="DW91" s="12"/>
      <c r="DX91" s="12"/>
      <c r="DY91" s="12"/>
      <c r="DZ91" s="12"/>
      <c r="ED91" s="12"/>
      <c r="EE91" s="12"/>
      <c r="EF91" s="12"/>
      <c r="EG91" s="12"/>
    </row>
    <row r="92" spans="2:137" outlineLevel="1">
      <c r="E92" s="11"/>
      <c r="G92" s="12"/>
      <c r="I92" s="11"/>
      <c r="J92" s="13"/>
      <c r="K92" s="13"/>
      <c r="L92" s="11"/>
      <c r="O92" s="12"/>
      <c r="P92" s="12"/>
      <c r="Q92" s="12"/>
      <c r="R92" s="12"/>
      <c r="V92" s="12"/>
      <c r="W92" s="12"/>
      <c r="X92" s="12"/>
      <c r="Y92" s="12"/>
      <c r="AC92" s="12"/>
      <c r="AD92" s="12"/>
      <c r="AE92" s="12"/>
      <c r="AF92" s="12"/>
      <c r="AJ92" s="12"/>
      <c r="AK92" s="12"/>
      <c r="AL92" s="12"/>
      <c r="AM92" s="12"/>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c r="DW92" s="12"/>
      <c r="DX92" s="12"/>
      <c r="DY92" s="12"/>
      <c r="DZ92" s="12"/>
      <c r="ED92" s="12"/>
      <c r="EE92" s="12"/>
      <c r="EF92" s="12"/>
      <c r="EG92" s="12"/>
    </row>
    <row r="93" spans="2:137" outlineLevel="1">
      <c r="B93" t="s">
        <v>132</v>
      </c>
      <c r="D93" s="24">
        <f>DATE(2022,6,5)</f>
        <v>44717</v>
      </c>
      <c r="E93" s="11"/>
      <c r="G93" s="12"/>
      <c r="I93" s="11"/>
      <c r="J93" s="13"/>
      <c r="K93" s="13"/>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c r="DW93" s="12"/>
      <c r="DX93" s="12"/>
      <c r="DY93" s="12"/>
      <c r="DZ93" s="12"/>
      <c r="ED93" s="12"/>
      <c r="EE93" s="12"/>
      <c r="EF93" s="12"/>
      <c r="EG93" s="12"/>
    </row>
    <row r="95" spans="2:137" ht="12.75" customHeight="1" outlineLevel="1">
      <c r="B95" t="s">
        <v>28</v>
      </c>
      <c r="C95" t="s">
        <v>133</v>
      </c>
      <c r="E95" s="11"/>
      <c r="F95" t="s">
        <v>134</v>
      </c>
      <c r="G95" s="12">
        <v>0.1</v>
      </c>
      <c r="I95" s="11">
        <f>+SUMIF($N$3:$WV$3,I$3,$N95:$WV95)</f>
        <v>0</v>
      </c>
      <c r="J95" s="13" cm="1">
        <f t="array" ref="J95">MAX(IF($N$3:$DV$3=$J$3,N95:DV95))</f>
        <v>0</v>
      </c>
      <c r="K95" s="13" cm="1">
        <f t="array" ref="K95">MAX(IF($N$3:$DV$3=$J$3,N95:DV95))</f>
        <v>0</v>
      </c>
      <c r="L95" s="11"/>
      <c r="O95" s="25"/>
      <c r="P95" s="12"/>
      <c r="Q95" s="12"/>
      <c r="R95" s="12"/>
      <c r="V95" s="12"/>
      <c r="W95" s="12"/>
      <c r="X95" s="12"/>
      <c r="Y95" s="12"/>
      <c r="AC95" s="12"/>
      <c r="AD95" s="12"/>
      <c r="AE95" s="12"/>
      <c r="AF95" s="12"/>
      <c r="AJ95" s="12"/>
      <c r="AK95" s="12"/>
      <c r="AL95" s="12"/>
      <c r="AM95" s="12"/>
      <c r="AQ95" s="12"/>
      <c r="AR95" s="12"/>
      <c r="AS95" s="12"/>
      <c r="AT95" s="12"/>
      <c r="AX95" s="12"/>
      <c r="AY95" s="12"/>
      <c r="AZ95" s="12"/>
      <c r="BA95" s="12"/>
      <c r="BE95" s="12"/>
      <c r="BF95" s="12"/>
      <c r="BG95" s="12"/>
      <c r="BH95" s="12"/>
      <c r="BL95" s="12"/>
      <c r="BM95" s="12"/>
      <c r="BN95" s="12"/>
      <c r="BO95" s="12"/>
      <c r="BS95" s="12"/>
      <c r="BT95" s="12"/>
      <c r="BU95" s="12"/>
      <c r="BV95" s="12"/>
      <c r="BZ95" s="12"/>
      <c r="CA95" s="12"/>
      <c r="CB95" s="12"/>
      <c r="CC95" s="12"/>
      <c r="CG95" s="12"/>
      <c r="CH95" s="12"/>
      <c r="CI95" s="12"/>
      <c r="CJ95" s="12"/>
      <c r="CN95" s="12"/>
      <c r="CO95" s="12"/>
      <c r="CP95" s="12"/>
      <c r="CQ95" s="12"/>
      <c r="CU95" s="12"/>
      <c r="CV95" s="12"/>
      <c r="CW95" s="12"/>
      <c r="CX95" s="12"/>
      <c r="DB95" s="12"/>
      <c r="DC95" s="12"/>
      <c r="DD95" s="12"/>
      <c r="DE95" s="12"/>
      <c r="DI95" s="12"/>
      <c r="DJ95" s="12"/>
      <c r="DK95" s="12"/>
      <c r="DL95" s="12"/>
      <c r="DP95" s="12"/>
      <c r="DQ95" s="12"/>
      <c r="DR95" s="12"/>
      <c r="DS95" s="12"/>
      <c r="DW95" s="12"/>
      <c r="DX95" s="12"/>
      <c r="DY95" s="12"/>
      <c r="DZ95" s="12"/>
      <c r="ED95" s="12"/>
      <c r="EE95" s="12"/>
      <c r="EF95" s="12"/>
      <c r="EG95" s="12"/>
    </row>
    <row r="96" spans="2:137" outlineLevel="1">
      <c r="B96" t="s">
        <v>28</v>
      </c>
      <c r="C96" t="s">
        <v>133</v>
      </c>
      <c r="E96" s="11"/>
      <c r="F96" t="s">
        <v>135</v>
      </c>
      <c r="G96" s="12">
        <v>0.05</v>
      </c>
      <c r="I96" s="11">
        <f>+SUMIF($N$3:$WV$3,I$3,$N96:$WV96)</f>
        <v>0</v>
      </c>
      <c r="J96" s="13" cm="1">
        <f t="array" ref="J96">MAX(IF($N$3:$DV$3=$J$3,N96:DV96))</f>
        <v>0</v>
      </c>
      <c r="K96" s="13" cm="1">
        <f t="array" ref="K96">MAX(IF($N$3:$DV$3=$J$3,N96:DV96))</f>
        <v>0</v>
      </c>
      <c r="L96" s="11"/>
      <c r="O96" s="25"/>
      <c r="P96" s="12"/>
      <c r="Q96" s="12"/>
      <c r="R96" s="12"/>
      <c r="V96" s="12"/>
      <c r="W96" s="12"/>
      <c r="X96" s="12"/>
      <c r="Y96" s="12"/>
      <c r="AC96" s="12"/>
      <c r="AD96" s="12"/>
      <c r="AE96" s="12"/>
      <c r="AF96" s="12"/>
      <c r="AJ96" s="12"/>
      <c r="AK96" s="12"/>
      <c r="AL96" s="12"/>
      <c r="AM96" s="12"/>
      <c r="AQ96" s="12"/>
      <c r="AR96" s="12"/>
      <c r="AS96" s="12"/>
      <c r="AT96" s="12"/>
      <c r="AX96" s="12"/>
      <c r="AY96" s="12"/>
      <c r="AZ96" s="12"/>
      <c r="BA96" s="12"/>
      <c r="BE96" s="12"/>
      <c r="BF96" s="12"/>
      <c r="BG96" s="12"/>
      <c r="BH96" s="12"/>
      <c r="BL96" s="12"/>
      <c r="BM96" s="12"/>
      <c r="BN96" s="12"/>
      <c r="BO96" s="12"/>
      <c r="BS96" s="12"/>
      <c r="BT96" s="12"/>
      <c r="BU96" s="12"/>
      <c r="BV96" s="12"/>
      <c r="BZ96" s="12"/>
      <c r="CA96" s="12"/>
      <c r="CB96" s="12"/>
      <c r="CC96" s="12"/>
      <c r="CG96" s="12"/>
      <c r="CH96" s="12"/>
      <c r="CI96" s="12"/>
      <c r="CJ96" s="12"/>
      <c r="CN96" s="12"/>
      <c r="CO96" s="12"/>
      <c r="CP96" s="12"/>
      <c r="CQ96" s="12"/>
      <c r="CU96" s="12"/>
      <c r="CV96" s="12"/>
      <c r="CW96" s="12"/>
      <c r="CX96" s="12"/>
      <c r="DB96" s="12"/>
      <c r="DC96" s="12"/>
      <c r="DD96" s="12"/>
      <c r="DE96" s="12"/>
      <c r="DI96" s="12"/>
      <c r="DJ96" s="12"/>
      <c r="DK96" s="12"/>
      <c r="DL96" s="12"/>
      <c r="DP96" s="12"/>
      <c r="DQ96" s="12"/>
      <c r="DR96" s="12"/>
      <c r="DS96" s="12"/>
      <c r="DW96" s="12"/>
      <c r="DX96" s="12"/>
      <c r="DY96" s="12"/>
      <c r="DZ96" s="12"/>
      <c r="ED96" s="12"/>
      <c r="EE96" s="12"/>
      <c r="EF96" s="12"/>
      <c r="EG96" s="12"/>
    </row>
    <row r="97" spans="2:137" outlineLevel="1">
      <c r="B97" t="s">
        <v>28</v>
      </c>
      <c r="C97" t="s">
        <v>133</v>
      </c>
      <c r="E97" s="11"/>
      <c r="F97" t="s">
        <v>136</v>
      </c>
      <c r="G97" s="12">
        <v>0.05</v>
      </c>
      <c r="I97" s="11">
        <f>+SUMIF($N$3:$WV$3,I$3,$N97:$WV97)</f>
        <v>0</v>
      </c>
      <c r="J97" s="13" cm="1">
        <f t="array" ref="J97">MAX(IF($N$3:$DV$3=$J$3,N97:DV97))</f>
        <v>0</v>
      </c>
      <c r="K97" s="13" cm="1">
        <f t="array" ref="K97">MAX(IF($N$3:$DV$3=$J$3,N97:DV97))</f>
        <v>0</v>
      </c>
      <c r="L97" s="11"/>
      <c r="O97" s="25"/>
      <c r="P97" s="12"/>
      <c r="Q97" s="12"/>
      <c r="R97" s="12"/>
      <c r="V97" s="12"/>
      <c r="W97" s="12"/>
      <c r="X97" s="12"/>
      <c r="Y97" s="12"/>
      <c r="AC97" s="12"/>
      <c r="AD97" s="12"/>
      <c r="AE97" s="12"/>
      <c r="AF97" s="12"/>
      <c r="AJ97" s="12"/>
      <c r="AK97" s="12"/>
      <c r="AL97" s="12"/>
      <c r="AM97" s="12"/>
      <c r="AQ97" s="12"/>
      <c r="AR97" s="12"/>
      <c r="AS97" s="12"/>
      <c r="AT97" s="12"/>
      <c r="AX97" s="12"/>
      <c r="AY97" s="12"/>
      <c r="AZ97" s="12"/>
      <c r="BA97" s="12"/>
      <c r="BE97" s="12"/>
      <c r="BF97" s="12"/>
      <c r="BG97" s="12"/>
      <c r="BH97" s="12"/>
      <c r="BL97" s="12"/>
      <c r="BM97" s="12"/>
      <c r="BN97" s="12"/>
      <c r="BO97" s="12"/>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c r="DW97" s="12"/>
      <c r="DX97" s="12"/>
      <c r="DY97" s="12"/>
      <c r="DZ97" s="12"/>
      <c r="ED97" s="12"/>
      <c r="EE97" s="12"/>
      <c r="EF97" s="12"/>
      <c r="EG97" s="12"/>
    </row>
    <row r="98" spans="2:137" outlineLevel="1">
      <c r="B98" t="s">
        <v>28</v>
      </c>
      <c r="C98" t="s">
        <v>133</v>
      </c>
      <c r="E98" s="11"/>
      <c r="F98" t="s">
        <v>137</v>
      </c>
      <c r="G98" s="12">
        <v>0.05</v>
      </c>
      <c r="I98" s="11">
        <f>+SUMIF($N$3:$WV$3,I$3,$N98:$WV98)</f>
        <v>0</v>
      </c>
      <c r="J98" s="13" cm="1">
        <f t="array" ref="J98">MAX(IF($N$3:$DV$3=$J$3,N98:DV98))</f>
        <v>0</v>
      </c>
      <c r="K98" s="13" cm="1">
        <f t="array" ref="K98">MAX(IF($N$3:$DV$3=$J$3,N98:DV98))</f>
        <v>0</v>
      </c>
      <c r="L98" s="11"/>
      <c r="O98" s="25"/>
      <c r="P98" s="12"/>
      <c r="Q98" s="12"/>
      <c r="R98" s="12"/>
      <c r="V98" s="12"/>
      <c r="W98" s="12"/>
      <c r="X98" s="12"/>
      <c r="Y98" s="12"/>
      <c r="AC98" s="12"/>
      <c r="AD98" s="12"/>
      <c r="AE98" s="12"/>
      <c r="AF98" s="12"/>
      <c r="AJ98" s="12"/>
      <c r="AK98" s="12"/>
      <c r="AL98" s="12"/>
      <c r="AM98" s="12"/>
      <c r="AQ98" s="12"/>
      <c r="AR98" s="12"/>
      <c r="AS98" s="12"/>
      <c r="AT98" s="12"/>
      <c r="AX98" s="12"/>
      <c r="AY98" s="12"/>
      <c r="AZ98" s="12"/>
      <c r="BA98" s="12"/>
      <c r="BE98" s="12"/>
      <c r="BF98" s="12"/>
      <c r="BG98" s="12"/>
      <c r="BH98" s="12"/>
      <c r="BL98" s="12"/>
      <c r="BM98" s="12"/>
      <c r="BN98" s="12"/>
      <c r="BO98" s="12"/>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c r="DW98" s="12"/>
      <c r="DX98" s="12"/>
      <c r="DY98" s="12"/>
      <c r="DZ98" s="12"/>
      <c r="ED98" s="12"/>
      <c r="EE98" s="12"/>
      <c r="EF98" s="12"/>
      <c r="EG98" s="12"/>
    </row>
    <row r="99" spans="2:137" outlineLevel="1">
      <c r="B99" t="s">
        <v>28</v>
      </c>
      <c r="C99" t="s">
        <v>133</v>
      </c>
      <c r="E99" s="11"/>
      <c r="F99" t="s">
        <v>138</v>
      </c>
      <c r="G99" s="12">
        <v>0.05</v>
      </c>
      <c r="I99" s="11">
        <f>+SUMIF($N$3:$WV$3,I$3,$N99:$WV99)</f>
        <v>0</v>
      </c>
      <c r="J99" s="13" cm="1">
        <f t="array" ref="J99">MAX(IF($N$3:$DV$3=$J$3,N99:DV99))</f>
        <v>0</v>
      </c>
      <c r="K99" s="13" cm="1">
        <f t="array" ref="K99">MAX(IF($N$3:$DV$3=$J$3,N99:DV99))</f>
        <v>0</v>
      </c>
      <c r="L99" s="11"/>
      <c r="O99" s="25"/>
      <c r="P99" s="12"/>
      <c r="Q99" s="12"/>
      <c r="R99" s="12"/>
      <c r="V99" s="12"/>
      <c r="W99" s="12"/>
      <c r="X99" s="12"/>
      <c r="Y99" s="12"/>
      <c r="AC99" s="12"/>
      <c r="AD99" s="12"/>
      <c r="AE99" s="12"/>
      <c r="AF99" s="12"/>
      <c r="AJ99" s="12"/>
      <c r="AK99" s="12"/>
      <c r="AL99" s="12"/>
      <c r="AM99" s="12"/>
      <c r="AQ99" s="12"/>
      <c r="AR99" s="12"/>
      <c r="AS99" s="12"/>
      <c r="AT99" s="12"/>
      <c r="AX99" s="12"/>
      <c r="AY99" s="12"/>
      <c r="AZ99" s="12"/>
      <c r="BA99" s="12"/>
      <c r="BE99" s="12"/>
      <c r="BF99" s="12"/>
      <c r="BG99" s="12"/>
      <c r="BH99" s="12"/>
      <c r="BL99" s="12"/>
      <c r="BM99" s="12"/>
      <c r="BN99" s="12"/>
      <c r="BO99" s="12"/>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c r="DW99" s="12"/>
      <c r="DX99" s="12"/>
      <c r="DY99" s="12"/>
      <c r="DZ99" s="12"/>
      <c r="ED99" s="12"/>
      <c r="EE99" s="12"/>
      <c r="EF99" s="12"/>
      <c r="EG99" s="12"/>
    </row>
    <row r="100" spans="2:137" outlineLevel="1">
      <c r="B100" t="s">
        <v>28</v>
      </c>
      <c r="C100" t="s">
        <v>133</v>
      </c>
      <c r="E100" s="11"/>
      <c r="F100" t="s">
        <v>139</v>
      </c>
      <c r="G100" s="12">
        <v>0.1</v>
      </c>
      <c r="I100" s="11">
        <f>+SUMIF($N$3:$WV$3,I$3,$N100:$WV100)</f>
        <v>0</v>
      </c>
      <c r="J100" s="13" cm="1">
        <f t="array" ref="J100">MAX(IF($N$3:$DV$3=$J$3,N100:DV100))</f>
        <v>0</v>
      </c>
      <c r="K100" s="13" cm="1">
        <f t="array" ref="K100">MAX(IF($N$3:$DV$3=$J$3,N100:DV100))</f>
        <v>0</v>
      </c>
      <c r="L100" s="11"/>
      <c r="O100" s="25"/>
      <c r="P100" s="12"/>
      <c r="Q100" s="12"/>
      <c r="R100" s="12"/>
      <c r="V100" s="12"/>
      <c r="W100" s="12"/>
      <c r="X100" s="12"/>
      <c r="Y100" s="12"/>
      <c r="AC100" s="12"/>
      <c r="AD100" s="12"/>
      <c r="AE100" s="12"/>
      <c r="AF100" s="12"/>
      <c r="AJ100" s="12"/>
      <c r="AK100" s="12"/>
      <c r="AL100" s="12"/>
      <c r="AM100" s="12"/>
      <c r="AQ100" s="12"/>
      <c r="AR100" s="12"/>
      <c r="AS100" s="12"/>
      <c r="AT100" s="12"/>
      <c r="AX100" s="12"/>
      <c r="AY100" s="12"/>
      <c r="AZ100" s="12"/>
      <c r="BA100" s="12"/>
      <c r="BE100" s="12"/>
      <c r="BF100" s="12"/>
      <c r="BG100" s="12"/>
      <c r="BH100" s="12"/>
      <c r="BL100" s="12"/>
      <c r="BM100" s="12"/>
      <c r="BN100" s="12"/>
      <c r="BO100" s="12"/>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c r="DW100" s="12"/>
      <c r="DX100" s="12"/>
      <c r="DY100" s="12"/>
      <c r="DZ100" s="12"/>
      <c r="ED100" s="12"/>
      <c r="EE100" s="12"/>
      <c r="EF100" s="12"/>
      <c r="EG100" s="12"/>
    </row>
    <row r="101" spans="2:137" outlineLevel="1">
      <c r="B101" t="s">
        <v>28</v>
      </c>
      <c r="C101" t="s">
        <v>133</v>
      </c>
      <c r="E101" s="11"/>
      <c r="F101" t="s">
        <v>140</v>
      </c>
      <c r="G101" s="12">
        <v>0.1</v>
      </c>
      <c r="I101" s="11">
        <f>+SUMIF($N$3:$WV$3,I$3,$N101:$WV101)</f>
        <v>0</v>
      </c>
      <c r="J101" s="13" cm="1">
        <f t="array" ref="J101">MAX(IF($N$3:$DV$3=$J$3,N101:DV101))</f>
        <v>0</v>
      </c>
      <c r="K101" s="13" cm="1">
        <f t="array" ref="K101">MAX(IF($N$3:$DV$3=$J$3,N101:DV101))</f>
        <v>0</v>
      </c>
      <c r="L101" s="11"/>
      <c r="O101" s="12"/>
      <c r="P101" s="12"/>
      <c r="Q101" s="12"/>
      <c r="R101" s="12"/>
      <c r="V101" s="12"/>
      <c r="W101" s="12"/>
      <c r="X101" s="12"/>
      <c r="Y101" s="12"/>
      <c r="AC101" s="12"/>
      <c r="AD101" s="12"/>
      <c r="AE101" s="12"/>
      <c r="AF101" s="12"/>
      <c r="AJ101" s="12"/>
      <c r="AK101" s="12"/>
      <c r="AL101" s="12"/>
      <c r="AM101" s="12"/>
      <c r="AQ101" s="12"/>
      <c r="AR101" s="12"/>
      <c r="AS101" s="12"/>
      <c r="AT101" s="12"/>
      <c r="AX101" s="12"/>
      <c r="AY101" s="12"/>
      <c r="AZ101" s="12"/>
      <c r="BA101" s="12"/>
      <c r="BE101" s="12"/>
      <c r="BF101" s="12"/>
      <c r="BG101" s="12"/>
      <c r="BH101" s="12"/>
      <c r="BL101" s="12"/>
      <c r="BM101" s="12"/>
      <c r="BN101" s="12"/>
      <c r="BO101" s="12"/>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c r="DW101" s="12"/>
      <c r="DX101" s="12"/>
      <c r="DY101" s="12"/>
      <c r="DZ101" s="12"/>
      <c r="ED101" s="12"/>
      <c r="EE101" s="12"/>
      <c r="EF101" s="12"/>
      <c r="EG101" s="12"/>
    </row>
    <row r="102" spans="2:137" outlineLevel="1">
      <c r="B102" t="s">
        <v>28</v>
      </c>
      <c r="C102" t="s">
        <v>133</v>
      </c>
      <c r="E102" s="11"/>
      <c r="F102" t="s">
        <v>141</v>
      </c>
      <c r="G102" s="12">
        <v>0.1</v>
      </c>
      <c r="I102" s="11">
        <f>+SUMIF($N$3:$WV$3,I$3,$N102:$WV102)</f>
        <v>0</v>
      </c>
      <c r="J102" s="13" cm="1">
        <f t="array" ref="J102">MAX(IF($N$3:$DV$3=$J$3,N102:DV102))</f>
        <v>0</v>
      </c>
      <c r="K102" s="13" cm="1">
        <f t="array" ref="K102">MAX(IF($N$3:$DV$3=$J$3,N102:DV102))</f>
        <v>0</v>
      </c>
      <c r="L102" s="11"/>
      <c r="O102" s="12"/>
      <c r="P102" s="12"/>
      <c r="Q102" s="12"/>
      <c r="R102" s="12"/>
      <c r="V102" s="12"/>
      <c r="W102" s="12"/>
      <c r="X102" s="12"/>
      <c r="Y102" s="12"/>
      <c r="AC102" s="12"/>
      <c r="AD102" s="12"/>
      <c r="AE102" s="12"/>
      <c r="AF102" s="12"/>
      <c r="AJ102" s="12"/>
      <c r="AK102" s="12"/>
      <c r="AL102" s="12"/>
      <c r="AM102" s="12"/>
      <c r="AQ102" s="12"/>
      <c r="AR102" s="12"/>
      <c r="AS102" s="12"/>
      <c r="AT102" s="12"/>
      <c r="AX102" s="12"/>
      <c r="AY102" s="12"/>
      <c r="AZ102" s="12"/>
      <c r="BA102" s="12"/>
      <c r="BE102" s="12"/>
      <c r="BF102" s="12"/>
      <c r="BG102" s="12"/>
      <c r="BH102" s="12"/>
      <c r="BL102" s="12"/>
      <c r="BM102" s="12"/>
      <c r="BN102" s="12"/>
      <c r="BO102" s="12"/>
      <c r="BS102" s="12"/>
      <c r="BT102" s="12"/>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c r="DW102" s="12"/>
      <c r="DX102" s="12"/>
      <c r="DY102" s="12"/>
      <c r="DZ102" s="12"/>
      <c r="ED102" s="12"/>
      <c r="EE102" s="12"/>
      <c r="EF102" s="12"/>
      <c r="EG102" s="12"/>
    </row>
    <row r="103" spans="2:137" outlineLevel="1">
      <c r="B103" t="s">
        <v>28</v>
      </c>
      <c r="C103" t="s">
        <v>133</v>
      </c>
      <c r="E103" s="11"/>
      <c r="F103" t="s">
        <v>142</v>
      </c>
      <c r="G103" s="12">
        <v>0.1</v>
      </c>
      <c r="I103" s="11">
        <f>+SUMIF($N$3:$WV$3,I$3,$N103:$WV103)</f>
        <v>0</v>
      </c>
      <c r="J103" s="13" cm="1">
        <f t="array" ref="J103">MAX(IF($N$3:$DV$3=$J$3,N103:DV103))</f>
        <v>0</v>
      </c>
      <c r="K103" s="13" cm="1">
        <f t="array" ref="K103">MAX(IF($N$3:$DV$3=$J$3,N103:DV103))</f>
        <v>0</v>
      </c>
      <c r="L103" s="11"/>
      <c r="O103" s="12"/>
      <c r="P103" s="12"/>
      <c r="Q103" s="12"/>
      <c r="R103" s="12"/>
      <c r="V103" s="12"/>
      <c r="W103" s="12"/>
      <c r="X103" s="12"/>
      <c r="Y103" s="12"/>
      <c r="AC103" s="12"/>
      <c r="AD103" s="12"/>
      <c r="AE103" s="12"/>
      <c r="AF103" s="12"/>
      <c r="AJ103" s="12"/>
      <c r="AK103" s="12"/>
      <c r="AL103" s="12"/>
      <c r="AM103" s="12"/>
      <c r="AQ103" s="12"/>
      <c r="AR103" s="12"/>
      <c r="AS103" s="12"/>
      <c r="AT103" s="12"/>
      <c r="AX103" s="12"/>
      <c r="AY103" s="12"/>
      <c r="AZ103" s="12"/>
      <c r="BA103" s="12"/>
      <c r="BE103" s="12"/>
      <c r="BF103" s="12"/>
      <c r="BG103" s="12"/>
      <c r="BH103" s="12"/>
      <c r="BL103" s="12"/>
      <c r="BM103" s="12"/>
      <c r="BN103" s="12"/>
      <c r="BO103" s="12"/>
      <c r="BS103" s="12"/>
      <c r="BT103" s="12"/>
      <c r="BU103" s="12"/>
      <c r="BV103" s="12"/>
      <c r="BZ103" s="12"/>
      <c r="CA103" s="12"/>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c r="DW103" s="12"/>
      <c r="DX103" s="12"/>
      <c r="DY103" s="12"/>
      <c r="DZ103" s="12"/>
      <c r="ED103" s="12"/>
      <c r="EE103" s="12"/>
      <c r="EF103" s="12"/>
      <c r="EG103" s="12"/>
    </row>
    <row r="104" spans="2:137" outlineLevel="1">
      <c r="B104" t="s">
        <v>28</v>
      </c>
      <c r="C104" t="s">
        <v>133</v>
      </c>
      <c r="E104" s="11"/>
      <c r="F104" t="s">
        <v>143</v>
      </c>
      <c r="G104" s="12">
        <v>0.1</v>
      </c>
      <c r="I104" s="11">
        <f>+SUMIF($N$3:$WV$3,I$3,$N104:$WV104)</f>
        <v>0</v>
      </c>
      <c r="J104" s="13" cm="1">
        <f t="array" ref="J104">MAX(IF($N$3:$DV$3=$J$3,N104:DV104))</f>
        <v>0</v>
      </c>
      <c r="K104" s="13" cm="1">
        <f t="array" ref="K104">MAX(IF($N$3:$DV$3=$J$3,N104:DV104))</f>
        <v>0</v>
      </c>
      <c r="L104" s="11"/>
      <c r="O104" s="12"/>
      <c r="P104" s="12"/>
      <c r="Q104" s="12"/>
      <c r="R104" s="12"/>
      <c r="V104" s="12"/>
      <c r="W104" s="12"/>
      <c r="X104" s="12"/>
      <c r="Y104" s="12"/>
      <c r="AC104" s="12"/>
      <c r="AD104" s="12"/>
      <c r="AE104" s="12"/>
      <c r="AF104" s="12"/>
      <c r="AJ104" s="12"/>
      <c r="AK104" s="12"/>
      <c r="AL104" s="12"/>
      <c r="AM104" s="12"/>
      <c r="AQ104" s="12"/>
      <c r="AR104" s="12"/>
      <c r="AS104" s="12"/>
      <c r="AT104" s="12"/>
      <c r="AX104" s="12"/>
      <c r="AY104" s="12"/>
      <c r="AZ104" s="12"/>
      <c r="BA104" s="12"/>
      <c r="BE104" s="12"/>
      <c r="BF104" s="12"/>
      <c r="BG104" s="12"/>
      <c r="BH104" s="12"/>
      <c r="BL104" s="12"/>
      <c r="BM104" s="12"/>
      <c r="BN104" s="12"/>
      <c r="BO104" s="12"/>
      <c r="BS104" s="12"/>
      <c r="BT104" s="12"/>
      <c r="BU104" s="12"/>
      <c r="BV104" s="12"/>
      <c r="BZ104" s="12"/>
      <c r="CA104" s="12"/>
      <c r="CB104" s="12"/>
      <c r="CC104" s="12"/>
      <c r="CG104" s="12"/>
      <c r="CH104" s="12"/>
      <c r="CI104" s="12"/>
      <c r="CJ104" s="12"/>
      <c r="CN104" s="12"/>
      <c r="CO104" s="12"/>
      <c r="CP104" s="12"/>
      <c r="CQ104" s="12"/>
      <c r="CU104" s="12"/>
      <c r="CV104" s="12"/>
      <c r="CW104" s="12"/>
      <c r="CX104" s="12"/>
      <c r="DB104" s="12"/>
      <c r="DC104" s="12"/>
      <c r="DD104" s="12"/>
      <c r="DE104" s="12"/>
      <c r="DI104" s="12"/>
      <c r="DJ104" s="12"/>
      <c r="DK104" s="12"/>
      <c r="DL104" s="12"/>
      <c r="DP104" s="12"/>
      <c r="DQ104" s="12"/>
      <c r="DR104" s="12"/>
      <c r="DS104" s="12"/>
      <c r="DW104" s="12"/>
      <c r="DX104" s="12"/>
      <c r="DY104" s="12"/>
      <c r="DZ104" s="12"/>
      <c r="ED104" s="12"/>
      <c r="EE104" s="12"/>
      <c r="EF104" s="12"/>
      <c r="EG104" s="12"/>
    </row>
    <row r="105" spans="2:137" outlineLevel="1">
      <c r="B105" t="s">
        <v>28</v>
      </c>
      <c r="C105" t="s">
        <v>133</v>
      </c>
      <c r="E105" s="11"/>
      <c r="F105" t="s">
        <v>32</v>
      </c>
      <c r="G105" s="12">
        <v>0.1</v>
      </c>
      <c r="I105" s="11">
        <f>+SUMIF($N$3:$WV$3,I$3,$N105:$WV105)</f>
        <v>0</v>
      </c>
      <c r="J105" s="13" cm="1">
        <f t="array" ref="J105">MAX(IF($N$3:$DV$3=$J$3,N105:DV105))</f>
        <v>0</v>
      </c>
      <c r="K105" s="13" cm="1">
        <f t="array" ref="K105">MAX(IF($N$3:$DV$3=$J$3,N105:DV105))</f>
        <v>0</v>
      </c>
      <c r="L105" s="11"/>
      <c r="O105" s="12"/>
      <c r="P105" s="12"/>
      <c r="Q105" s="12"/>
      <c r="R105" s="12"/>
      <c r="V105" s="12"/>
      <c r="W105" s="12"/>
      <c r="X105" s="12"/>
      <c r="Y105" s="12"/>
      <c r="AC105" s="12"/>
      <c r="AD105" s="12"/>
      <c r="AE105" s="12"/>
      <c r="AF105" s="12"/>
      <c r="AJ105" s="12"/>
      <c r="AK105" s="12"/>
      <c r="AL105" s="12"/>
      <c r="AM105" s="12"/>
      <c r="AQ105" s="12"/>
      <c r="AR105" s="12"/>
      <c r="AS105" s="12"/>
      <c r="AT105" s="12"/>
      <c r="AX105" s="12"/>
      <c r="AY105" s="12"/>
      <c r="AZ105" s="12"/>
      <c r="BA105" s="12"/>
      <c r="BE105" s="12"/>
      <c r="BF105" s="12"/>
      <c r="BG105" s="12"/>
      <c r="BH105" s="12"/>
      <c r="BL105" s="12"/>
      <c r="BM105" s="12"/>
      <c r="BN105" s="12"/>
      <c r="BO105" s="12"/>
      <c r="BS105" s="12"/>
      <c r="BT105" s="12"/>
      <c r="BU105" s="12"/>
      <c r="BV105" s="12"/>
      <c r="BZ105" s="12"/>
      <c r="CA105" s="12"/>
      <c r="CB105" s="12"/>
      <c r="CC105" s="12"/>
      <c r="CG105" s="12"/>
      <c r="CH105" s="12"/>
      <c r="CI105" s="12"/>
      <c r="CJ105" s="12"/>
      <c r="CN105" s="12"/>
      <c r="CO105" s="12"/>
      <c r="CP105" s="12"/>
      <c r="CQ105" s="12"/>
      <c r="CU105" s="12"/>
      <c r="CV105" s="12"/>
      <c r="CW105" s="12"/>
      <c r="CX105" s="12"/>
      <c r="DB105" s="12"/>
      <c r="DC105" s="12"/>
      <c r="DD105" s="12"/>
      <c r="DE105" s="12"/>
      <c r="DI105" s="12"/>
      <c r="DJ105" s="12"/>
      <c r="DK105" s="12"/>
      <c r="DL105" s="12"/>
      <c r="DP105" s="12"/>
      <c r="DQ105" s="12"/>
      <c r="DR105" s="12"/>
      <c r="DS105" s="12"/>
      <c r="DW105" s="12"/>
      <c r="DX105" s="12"/>
      <c r="DY105" s="12"/>
      <c r="DZ105" s="12"/>
      <c r="ED105" s="12"/>
      <c r="EE105" s="12"/>
      <c r="EF105" s="12"/>
      <c r="EG105" s="12"/>
    </row>
    <row r="106" spans="2:137" outlineLevel="1">
      <c r="B106" t="s">
        <v>28</v>
      </c>
      <c r="C106" t="s">
        <v>133</v>
      </c>
      <c r="E106" s="11"/>
      <c r="F106" t="s">
        <v>33</v>
      </c>
      <c r="G106" s="12">
        <v>0.1</v>
      </c>
      <c r="I106" s="11">
        <f>+SUMIF($N$3:$WV$3,I$3,$N106:$WV106)</f>
        <v>0</v>
      </c>
      <c r="J106" s="13" cm="1">
        <f t="array" ref="J106">MAX(IF($N$3:$DV$3=$J$3,N106:DV106))</f>
        <v>0</v>
      </c>
      <c r="K106" s="13" cm="1">
        <f t="array" ref="K106">MAX(IF($N$3:$DV$3=$J$3,N106:DV106))</f>
        <v>0</v>
      </c>
      <c r="L106" s="11"/>
      <c r="O106" s="12"/>
      <c r="P106" s="12"/>
      <c r="Q106" s="12"/>
      <c r="R106" s="12"/>
      <c r="V106" s="12"/>
      <c r="W106" s="12"/>
      <c r="X106" s="12"/>
      <c r="Y106" s="12"/>
      <c r="AC106" s="12"/>
      <c r="AD106" s="12"/>
      <c r="AE106" s="12"/>
      <c r="AF106" s="12"/>
      <c r="AJ106" s="12"/>
      <c r="AK106" s="12"/>
      <c r="AL106" s="12"/>
      <c r="AM106" s="12"/>
      <c r="AQ106" s="12"/>
      <c r="AR106" s="12"/>
      <c r="AS106" s="12"/>
      <c r="AT106" s="12"/>
      <c r="AX106" s="12"/>
      <c r="AY106" s="12"/>
      <c r="AZ106" s="12"/>
      <c r="BA106" s="12"/>
      <c r="BE106" s="12"/>
      <c r="BF106" s="12"/>
      <c r="BG106" s="12"/>
      <c r="BH106" s="12"/>
      <c r="BL106" s="12"/>
      <c r="BM106" s="12"/>
      <c r="BN106" s="12"/>
      <c r="BO106" s="12"/>
      <c r="BS106" s="12"/>
      <c r="BT106" s="12"/>
      <c r="BU106" s="12"/>
      <c r="BV106" s="12"/>
      <c r="BZ106" s="12"/>
      <c r="CA106" s="12"/>
      <c r="CB106" s="12"/>
      <c r="CC106" s="12"/>
      <c r="CG106" s="12"/>
      <c r="CH106" s="12"/>
      <c r="CI106" s="12"/>
      <c r="CJ106" s="12"/>
      <c r="CN106" s="12"/>
      <c r="CO106" s="12"/>
      <c r="CP106" s="12"/>
      <c r="CQ106" s="12"/>
      <c r="CU106" s="12"/>
      <c r="CV106" s="12"/>
      <c r="CW106" s="12"/>
      <c r="CX106" s="12"/>
      <c r="DB106" s="12"/>
      <c r="DC106" s="12"/>
      <c r="DD106" s="12"/>
      <c r="DE106" s="12"/>
      <c r="DI106" s="12"/>
      <c r="DJ106" s="12"/>
      <c r="DK106" s="12"/>
      <c r="DL106" s="12"/>
      <c r="DP106" s="12"/>
      <c r="DQ106" s="12"/>
      <c r="DR106" s="12"/>
      <c r="DS106" s="12"/>
      <c r="DW106" s="12"/>
      <c r="DX106" s="12"/>
      <c r="DY106" s="12"/>
      <c r="DZ106" s="12"/>
      <c r="ED106" s="12"/>
      <c r="EE106" s="12"/>
      <c r="EF106" s="12"/>
      <c r="EG106" s="12"/>
    </row>
    <row r="110" spans="2:137" outlineLevel="1">
      <c r="B110" t="s">
        <v>132</v>
      </c>
      <c r="D110" s="24">
        <f>DATE(2022,6,7)</f>
        <v>44719</v>
      </c>
      <c r="E110" s="19"/>
      <c r="G110" s="12"/>
      <c r="I110" s="19"/>
      <c r="J110" s="13"/>
      <c r="K110" s="13"/>
      <c r="L110" s="19"/>
      <c r="O110" s="12"/>
      <c r="P110" s="12"/>
      <c r="Q110" s="12"/>
      <c r="R110" s="12"/>
      <c r="V110" s="12"/>
      <c r="W110" s="12"/>
      <c r="X110" s="12"/>
      <c r="Y110" s="12"/>
      <c r="AC110" s="12"/>
      <c r="AD110" s="12"/>
      <c r="AE110" s="12"/>
      <c r="AF110" s="12"/>
      <c r="AJ110" s="12"/>
      <c r="AK110" s="12"/>
      <c r="AL110" s="12"/>
      <c r="AM110" s="12"/>
      <c r="AQ110" s="12"/>
      <c r="AR110" s="12"/>
      <c r="AS110" s="12"/>
      <c r="AT110" s="12"/>
      <c r="AX110" s="12"/>
      <c r="AY110" s="12"/>
      <c r="AZ110" s="12"/>
      <c r="BA110" s="12"/>
      <c r="BE110" s="12"/>
      <c r="BF110" s="12"/>
      <c r="BG110" s="12"/>
      <c r="BH110" s="12"/>
      <c r="BL110" s="12"/>
      <c r="BM110" s="12"/>
      <c r="BN110" s="12"/>
      <c r="BO110" s="12"/>
      <c r="BS110" s="12"/>
      <c r="BT110" s="12"/>
      <c r="BU110" s="12"/>
      <c r="BV110" s="12"/>
      <c r="BZ110" s="12"/>
      <c r="CA110" s="12"/>
      <c r="CB110" s="12"/>
      <c r="CC110" s="12"/>
      <c r="CG110" s="12"/>
      <c r="CH110" s="12"/>
      <c r="CI110" s="12"/>
      <c r="CJ110" s="12"/>
      <c r="CN110" s="12"/>
      <c r="CO110" s="12"/>
      <c r="CP110" s="12"/>
      <c r="CQ110" s="12"/>
      <c r="CU110" s="12"/>
      <c r="CV110" s="12"/>
      <c r="CW110" s="12"/>
      <c r="CX110" s="12"/>
      <c r="DB110" s="12"/>
      <c r="DC110" s="12"/>
      <c r="DD110" s="12"/>
      <c r="DE110" s="12"/>
      <c r="DI110" s="12"/>
      <c r="DJ110" s="12"/>
      <c r="DK110" s="12"/>
      <c r="DL110" s="12"/>
      <c r="DP110" s="12"/>
      <c r="DQ110" s="12"/>
      <c r="DR110" s="12"/>
      <c r="DS110" s="12"/>
      <c r="DW110" s="12"/>
      <c r="DX110" s="12"/>
      <c r="DY110" s="12"/>
      <c r="DZ110" s="12"/>
      <c r="ED110" s="12"/>
      <c r="EE110" s="12"/>
      <c r="EF110" s="12"/>
      <c r="EG110" s="12"/>
    </row>
    <row r="112" spans="2:137" ht="12.75" customHeight="1" outlineLevel="1">
      <c r="B112" t="s">
        <v>28</v>
      </c>
      <c r="C112" s="2" t="s">
        <v>144</v>
      </c>
      <c r="D112" s="2"/>
      <c r="E112" s="19"/>
      <c r="F112" t="s">
        <v>145</v>
      </c>
      <c r="G112" s="12">
        <v>0.1</v>
      </c>
      <c r="I112" s="19">
        <f>+SUMIF($N$3:$WV$3,I$3,$N112:$WV112)</f>
        <v>0</v>
      </c>
      <c r="J112" s="13" cm="1">
        <f t="array" ref="J112">MAX(IF($N$3:$DV$3=$J$3,N112:DV112))</f>
        <v>0</v>
      </c>
      <c r="K112" s="13" cm="1">
        <f t="array" ref="K112">MAX(IF($N$3:$DV$3=$J$3,N112:DV112))</f>
        <v>0</v>
      </c>
      <c r="L112" s="19"/>
      <c r="O112" s="12"/>
      <c r="P112" s="12"/>
      <c r="Q112" s="12"/>
      <c r="R112" s="12"/>
      <c r="V112" s="12"/>
      <c r="W112" s="12"/>
      <c r="X112" s="12"/>
      <c r="Y112" s="12"/>
      <c r="AC112" s="12"/>
      <c r="AD112" s="12"/>
      <c r="AE112" s="12"/>
      <c r="AF112" s="12"/>
      <c r="AJ112" s="12"/>
      <c r="AK112" s="12"/>
      <c r="AL112" s="12"/>
      <c r="AM112" s="12"/>
      <c r="AQ112" s="12"/>
      <c r="AR112" s="12"/>
      <c r="AS112" s="12"/>
      <c r="AT112" s="12"/>
      <c r="AX112" s="12"/>
      <c r="AY112" s="12"/>
      <c r="AZ112" s="12"/>
      <c r="BA112" s="12"/>
      <c r="BE112" s="12"/>
      <c r="BF112" s="12"/>
      <c r="BG112" s="12"/>
      <c r="BH112" s="12"/>
      <c r="BL112" s="12"/>
      <c r="BM112" s="12"/>
      <c r="BN112" s="12"/>
      <c r="BO112" s="12"/>
      <c r="BS112" s="12"/>
      <c r="BT112" s="12"/>
      <c r="BU112" s="12"/>
      <c r="BV112" s="12"/>
      <c r="BZ112" s="12"/>
      <c r="CA112" s="12"/>
      <c r="CB112" s="12"/>
      <c r="CC112" s="12"/>
      <c r="CG112" s="12"/>
      <c r="CH112" s="12"/>
      <c r="CI112" s="12"/>
      <c r="CJ112" s="12"/>
      <c r="CN112" s="12"/>
      <c r="CO112" s="12"/>
      <c r="CP112" s="12"/>
      <c r="CQ112" s="12"/>
      <c r="CU112" s="12"/>
      <c r="CV112" s="12"/>
      <c r="CW112" s="12"/>
      <c r="CX112" s="12"/>
      <c r="DB112" s="12"/>
      <c r="DC112" s="12"/>
      <c r="DD112" s="12"/>
      <c r="DE112" s="12"/>
      <c r="DI112" s="12"/>
      <c r="DJ112" s="12"/>
      <c r="DK112" s="12"/>
      <c r="DL112" s="12"/>
      <c r="DP112" s="12"/>
      <c r="DQ112" s="12"/>
      <c r="DR112" s="12"/>
      <c r="DS112" s="12"/>
      <c r="DW112" s="12"/>
      <c r="DX112" s="12"/>
      <c r="DY112" s="12"/>
      <c r="DZ112" s="12"/>
      <c r="ED112" s="12"/>
      <c r="EE112" s="12"/>
      <c r="EF112" s="12"/>
      <c r="EG112" s="12"/>
    </row>
    <row r="113" spans="2:137" outlineLevel="1">
      <c r="B113" t="s">
        <v>28</v>
      </c>
      <c r="C113" s="2" t="s">
        <v>144</v>
      </c>
      <c r="D113" s="2"/>
      <c r="E113" s="19"/>
      <c r="F113" t="s">
        <v>146</v>
      </c>
      <c r="G113" s="12">
        <v>0.05</v>
      </c>
      <c r="I113" s="19">
        <f>+SUMIF($N$3:$WV$3,I$3,$N113:$WV113)</f>
        <v>0</v>
      </c>
      <c r="J113" s="13" cm="1">
        <f t="array" ref="J113">MAX(IF($N$3:$DV$3=$J$3,N113:DV113))</f>
        <v>0</v>
      </c>
      <c r="K113" s="13" cm="1">
        <f t="array" ref="K113">MAX(IF($N$3:$DV$3=$J$3,N113:DV113))</f>
        <v>0</v>
      </c>
      <c r="L113" s="19"/>
      <c r="O113" s="12"/>
      <c r="P113" s="12"/>
      <c r="Q113" s="12"/>
      <c r="R113" s="12"/>
      <c r="V113" s="12"/>
      <c r="W113" s="12"/>
      <c r="X113" s="12"/>
      <c r="Y113" s="12"/>
      <c r="AC113" s="12"/>
      <c r="AD113" s="12"/>
      <c r="AE113" s="12"/>
      <c r="AF113" s="12"/>
      <c r="AJ113" s="12"/>
      <c r="AK113" s="12"/>
      <c r="AL113" s="12"/>
      <c r="AM113" s="12"/>
      <c r="AQ113" s="12"/>
      <c r="AR113" s="12"/>
      <c r="AS113" s="12"/>
      <c r="AT113" s="12"/>
      <c r="AX113" s="12"/>
      <c r="AY113" s="12"/>
      <c r="AZ113" s="12"/>
      <c r="BA113" s="12"/>
      <c r="BE113" s="12"/>
      <c r="BF113" s="12"/>
      <c r="BG113" s="12"/>
      <c r="BH113" s="12"/>
      <c r="BL113" s="12"/>
      <c r="BM113" s="12"/>
      <c r="BN113" s="12"/>
      <c r="BO113" s="12"/>
      <c r="BS113" s="12"/>
      <c r="BT113" s="12"/>
      <c r="BU113" s="12"/>
      <c r="BV113" s="12"/>
      <c r="BZ113" s="12"/>
      <c r="CA113" s="12"/>
      <c r="CB113" s="12"/>
      <c r="CC113" s="12"/>
      <c r="CG113" s="12"/>
      <c r="CH113" s="12"/>
      <c r="CI113" s="12"/>
      <c r="CJ113" s="12"/>
      <c r="CN113" s="12"/>
      <c r="CO113" s="12"/>
      <c r="CP113" s="12"/>
      <c r="CQ113" s="12"/>
      <c r="CU113" s="12"/>
      <c r="CV113" s="12"/>
      <c r="CW113" s="12"/>
      <c r="CX113" s="12"/>
      <c r="DB113" s="12"/>
      <c r="DC113" s="12"/>
      <c r="DD113" s="12"/>
      <c r="DE113" s="12"/>
      <c r="DI113" s="12"/>
      <c r="DJ113" s="12"/>
      <c r="DK113" s="12"/>
      <c r="DL113" s="12"/>
      <c r="DP113" s="12"/>
      <c r="DQ113" s="12"/>
      <c r="DR113" s="12"/>
      <c r="DS113" s="12"/>
      <c r="DW113" s="12"/>
      <c r="DX113" s="12"/>
      <c r="DY113" s="12"/>
      <c r="DZ113" s="12"/>
      <c r="ED113" s="12"/>
      <c r="EE113" s="12"/>
      <c r="EF113" s="12"/>
      <c r="EG113" s="12"/>
    </row>
    <row r="114" spans="2:137" outlineLevel="1">
      <c r="B114" t="s">
        <v>28</v>
      </c>
      <c r="C114" s="2" t="s">
        <v>144</v>
      </c>
      <c r="D114" s="2"/>
      <c r="E114" s="19"/>
      <c r="F114" t="s">
        <v>147</v>
      </c>
      <c r="G114" s="12">
        <v>0.05</v>
      </c>
      <c r="I114" s="19">
        <f>+SUMIF($N$3:$WV$3,I$3,$N114:$WV114)</f>
        <v>0</v>
      </c>
      <c r="J114" s="13" cm="1">
        <f t="array" ref="J114">MAX(IF($N$3:$DV$3=$J$3,N114:DV114))</f>
        <v>0</v>
      </c>
      <c r="K114" s="13" cm="1">
        <f t="array" ref="K114">MAX(IF($N$3:$DV$3=$J$3,N114:DV114))</f>
        <v>0</v>
      </c>
      <c r="L114" s="19"/>
      <c r="O114" s="12"/>
      <c r="P114" s="12"/>
      <c r="Q114" s="12"/>
      <c r="R114" s="12"/>
      <c r="V114" s="12"/>
      <c r="W114" s="12"/>
      <c r="X114" s="12"/>
      <c r="Y114" s="12"/>
      <c r="AC114" s="12"/>
      <c r="AD114" s="12"/>
      <c r="AE114" s="12"/>
      <c r="AF114" s="12"/>
      <c r="AJ114" s="12"/>
      <c r="AK114" s="12"/>
      <c r="AL114" s="12"/>
      <c r="AM114" s="12"/>
      <c r="AQ114" s="12"/>
      <c r="AR114" s="12"/>
      <c r="AS114" s="12"/>
      <c r="AT114" s="12"/>
      <c r="AX114" s="12"/>
      <c r="AY114" s="12"/>
      <c r="AZ114" s="12"/>
      <c r="BA114" s="12"/>
      <c r="BE114" s="12"/>
      <c r="BF114" s="12"/>
      <c r="BG114" s="12"/>
      <c r="BH114" s="12"/>
      <c r="BL114" s="12"/>
      <c r="BM114" s="12"/>
      <c r="BN114" s="12"/>
      <c r="BO114" s="12"/>
      <c r="BS114" s="12"/>
      <c r="BT114" s="12"/>
      <c r="BU114" s="12"/>
      <c r="BV114" s="12"/>
      <c r="BZ114" s="12"/>
      <c r="CA114" s="12"/>
      <c r="CB114" s="12"/>
      <c r="CC114" s="12"/>
      <c r="CG114" s="12"/>
      <c r="CH114" s="12"/>
      <c r="CI114" s="12"/>
      <c r="CJ114" s="12"/>
      <c r="CN114" s="12"/>
      <c r="CO114" s="12"/>
      <c r="CP114" s="12"/>
      <c r="CQ114" s="12"/>
      <c r="CU114" s="12"/>
      <c r="CV114" s="12"/>
      <c r="CW114" s="12"/>
      <c r="CX114" s="12"/>
      <c r="DB114" s="12"/>
      <c r="DC114" s="12"/>
      <c r="DD114" s="12"/>
      <c r="DE114" s="12"/>
      <c r="DI114" s="12"/>
      <c r="DJ114" s="12"/>
      <c r="DK114" s="12"/>
      <c r="DL114" s="12"/>
      <c r="DP114" s="12"/>
      <c r="DQ114" s="12"/>
      <c r="DR114" s="12"/>
      <c r="DS114" s="12"/>
      <c r="DW114" s="12"/>
      <c r="DX114" s="12"/>
      <c r="DY114" s="12"/>
      <c r="DZ114" s="12"/>
      <c r="ED114" s="12"/>
      <c r="EE114" s="12"/>
      <c r="EF114" s="12"/>
      <c r="EG114" s="12"/>
    </row>
    <row r="115" spans="2:137" outlineLevel="1">
      <c r="B115" t="s">
        <v>28</v>
      </c>
      <c r="C115" s="2" t="s">
        <v>144</v>
      </c>
      <c r="D115" s="2"/>
      <c r="E115" s="19"/>
      <c r="F115" t="s">
        <v>148</v>
      </c>
      <c r="G115" s="12">
        <v>0.05</v>
      </c>
      <c r="I115" s="19">
        <f ca="1">+SUMIF($N$3:$WV$3,I$3,$N115:$WS115)</f>
        <v>0</v>
      </c>
      <c r="J115" s="13" cm="1">
        <f t="array" ref="J115">MAX(IF($N$3:$DV$3=$J$3,N115:DS115))</f>
        <v>0</v>
      </c>
      <c r="K115" s="13" cm="1">
        <f t="array" ref="K115">MAX(IF($N$3:$DV$3=$J$3,N115:DS115))</f>
        <v>0</v>
      </c>
      <c r="L115" s="19"/>
      <c r="O115" s="12"/>
      <c r="S115" s="12"/>
      <c r="T115" s="12"/>
      <c r="U115" s="12"/>
      <c r="V115" s="12"/>
      <c r="Z115" s="12"/>
      <c r="AA115" s="12"/>
      <c r="AB115" s="12"/>
      <c r="AC115" s="12"/>
      <c r="AG115" s="12"/>
      <c r="AH115" s="12"/>
      <c r="AI115" s="12"/>
      <c r="AJ115" s="12"/>
      <c r="AN115" s="12"/>
      <c r="AO115" s="12"/>
      <c r="AP115" s="12"/>
      <c r="AQ115" s="12"/>
      <c r="AU115" s="12"/>
      <c r="AV115" s="12"/>
      <c r="AW115" s="12"/>
      <c r="AX115" s="12"/>
      <c r="BB115" s="12"/>
      <c r="BC115" s="12"/>
      <c r="BD115" s="12"/>
      <c r="BE115" s="12"/>
      <c r="BI115" s="12"/>
      <c r="BJ115" s="12"/>
      <c r="BK115" s="12"/>
      <c r="BL115" s="12"/>
      <c r="BP115" s="12"/>
      <c r="BQ115" s="12"/>
      <c r="BR115" s="12"/>
      <c r="BS115" s="12"/>
      <c r="BW115" s="12"/>
      <c r="BX115" s="12"/>
      <c r="BY115" s="12"/>
      <c r="BZ115" s="12"/>
      <c r="CD115" s="12"/>
      <c r="CE115" s="12"/>
      <c r="CF115" s="12"/>
      <c r="CG115" s="12"/>
      <c r="CK115" s="12"/>
      <c r="CL115" s="12"/>
      <c r="CM115" s="12"/>
      <c r="CN115" s="12"/>
      <c r="CR115" s="12"/>
      <c r="CS115" s="12"/>
      <c r="CT115" s="12"/>
      <c r="CU115" s="12"/>
      <c r="CY115" s="12"/>
      <c r="CZ115" s="12"/>
      <c r="DA115" s="12"/>
      <c r="DB115" s="12"/>
      <c r="DF115" s="12"/>
      <c r="DG115" s="12"/>
      <c r="DH115" s="12"/>
      <c r="DI115" s="12"/>
      <c r="DM115" s="12"/>
      <c r="DN115" s="12"/>
      <c r="DO115" s="12"/>
      <c r="DP115" s="12"/>
      <c r="DT115" s="12"/>
      <c r="DU115" s="12"/>
      <c r="DV115" s="12"/>
      <c r="DW115" s="12"/>
      <c r="EA115" s="12"/>
      <c r="EB115" s="12"/>
      <c r="EC115" s="12"/>
      <c r="ED115" s="12"/>
    </row>
    <row r="116" spans="2:137" outlineLevel="1">
      <c r="B116" t="s">
        <v>28</v>
      </c>
      <c r="C116" s="2" t="s">
        <v>144</v>
      </c>
      <c r="D116" s="2"/>
      <c r="E116" s="19"/>
      <c r="F116" t="s">
        <v>149</v>
      </c>
      <c r="G116" s="12">
        <v>0.05</v>
      </c>
      <c r="I116" s="19">
        <f ca="1">+SUMIF($N$3:$WV$3,I$3,$N116:$WS116)</f>
        <v>0</v>
      </c>
      <c r="J116" s="13" cm="1">
        <f t="array" ref="J116">MAX(IF($N$3:$DV$3=$J$3,N116:DS116))</f>
        <v>0</v>
      </c>
      <c r="K116" s="13" cm="1">
        <f t="array" ref="K116">MAX(IF($N$3:$DV$3=$J$3,N116:DS116))</f>
        <v>0</v>
      </c>
      <c r="L116" s="19"/>
      <c r="O116" s="12"/>
      <c r="S116" s="12"/>
      <c r="T116" s="12"/>
      <c r="U116" s="12"/>
      <c r="V116" s="12"/>
      <c r="Z116" s="12"/>
      <c r="AA116" s="12"/>
      <c r="AB116" s="12"/>
      <c r="AC116" s="12"/>
      <c r="AG116" s="12"/>
      <c r="AH116" s="12"/>
      <c r="AI116" s="12"/>
      <c r="AJ116" s="12"/>
      <c r="AN116" s="12"/>
      <c r="AO116" s="12"/>
      <c r="AP116" s="12"/>
      <c r="AQ116" s="12"/>
      <c r="AU116" s="12"/>
      <c r="AV116" s="12"/>
      <c r="AW116" s="12"/>
      <c r="AX116" s="12"/>
      <c r="BB116" s="12"/>
      <c r="BC116" s="12"/>
      <c r="BD116" s="12"/>
      <c r="BE116" s="12"/>
      <c r="BI116" s="12"/>
      <c r="BJ116" s="12"/>
      <c r="BK116" s="12"/>
      <c r="BL116" s="12"/>
      <c r="BP116" s="12"/>
      <c r="BQ116" s="12"/>
      <c r="BR116" s="12"/>
      <c r="BS116" s="12"/>
      <c r="BW116" s="12"/>
      <c r="BX116" s="12"/>
      <c r="BY116" s="12"/>
      <c r="BZ116" s="12"/>
      <c r="CD116" s="12"/>
      <c r="CE116" s="12"/>
      <c r="CF116" s="12"/>
      <c r="CG116" s="12"/>
      <c r="CK116" s="12"/>
      <c r="CL116" s="12"/>
      <c r="CM116" s="12"/>
      <c r="CN116" s="12"/>
      <c r="CR116" s="12"/>
      <c r="CS116" s="12"/>
      <c r="CT116" s="12"/>
      <c r="CU116" s="12"/>
      <c r="CY116" s="12"/>
      <c r="CZ116" s="12"/>
      <c r="DA116" s="12"/>
      <c r="DB116" s="12"/>
      <c r="DF116" s="12"/>
      <c r="DG116" s="12"/>
      <c r="DH116" s="12"/>
      <c r="DI116" s="12"/>
      <c r="DM116" s="12"/>
      <c r="DN116" s="12"/>
      <c r="DO116" s="12"/>
      <c r="DP116" s="12"/>
      <c r="DT116" s="12"/>
      <c r="DU116" s="12"/>
      <c r="DV116" s="12"/>
      <c r="DW116" s="12"/>
      <c r="EA116" s="12"/>
      <c r="EB116" s="12"/>
      <c r="EC116" s="12"/>
      <c r="ED116" s="12"/>
    </row>
    <row r="117" spans="2:137" outlineLevel="1">
      <c r="B117" t="s">
        <v>28</v>
      </c>
      <c r="C117" s="2" t="s">
        <v>144</v>
      </c>
      <c r="D117" s="2"/>
      <c r="E117" s="19"/>
      <c r="F117" t="s">
        <v>150</v>
      </c>
      <c r="G117" s="12">
        <v>0.1</v>
      </c>
      <c r="I117" s="19">
        <f>+SUMIF($N$3:$WV$3,I$3,$N117:$WV117)</f>
        <v>0</v>
      </c>
      <c r="J117" s="13" cm="1">
        <f t="array" ref="J117">MAX(IF($N$3:$DV$3=$J$3,N117:DV117))</f>
        <v>0</v>
      </c>
      <c r="K117" s="13" cm="1">
        <f t="array" ref="K117">MAX(IF($N$3:$DV$3=$J$3,N117:DV117))</f>
        <v>0</v>
      </c>
      <c r="L117" s="19"/>
      <c r="O117" s="12"/>
      <c r="P117" s="12"/>
      <c r="Q117" s="12"/>
      <c r="R117" s="12"/>
      <c r="V117" s="12"/>
      <c r="W117" s="12"/>
      <c r="X117" s="12"/>
      <c r="Y117" s="12"/>
      <c r="AC117" s="12"/>
      <c r="AD117" s="12"/>
      <c r="AE117" s="12"/>
      <c r="AF117" s="12"/>
      <c r="AJ117" s="12"/>
      <c r="AK117" s="12"/>
      <c r="AL117" s="12"/>
      <c r="AM117" s="12"/>
      <c r="AQ117" s="12"/>
      <c r="AR117" s="12"/>
      <c r="AS117" s="12"/>
      <c r="AT117" s="12"/>
      <c r="AX117" s="12"/>
      <c r="AY117" s="12"/>
      <c r="AZ117" s="12"/>
      <c r="BA117" s="12"/>
      <c r="BE117" s="12"/>
      <c r="BF117" s="12"/>
      <c r="BG117" s="12"/>
      <c r="BH117" s="12"/>
      <c r="BL117" s="12"/>
      <c r="BM117" s="12"/>
      <c r="BN117" s="12"/>
      <c r="BO117" s="12"/>
      <c r="BS117" s="12"/>
      <c r="BT117" s="12"/>
      <c r="BU117" s="12"/>
      <c r="BV117" s="12"/>
      <c r="BZ117" s="12"/>
      <c r="CA117" s="12"/>
      <c r="CB117" s="12"/>
      <c r="CC117" s="12"/>
      <c r="CG117" s="12"/>
      <c r="CH117" s="12"/>
      <c r="CI117" s="12"/>
      <c r="CJ117" s="12"/>
      <c r="CN117" s="12"/>
      <c r="CO117" s="12"/>
      <c r="CP117" s="12"/>
      <c r="CQ117" s="12"/>
      <c r="CU117" s="12"/>
      <c r="CV117" s="12"/>
      <c r="CW117" s="12"/>
      <c r="CX117" s="12"/>
      <c r="DB117" s="12"/>
      <c r="DC117" s="12"/>
      <c r="DD117" s="12"/>
      <c r="DE117" s="12"/>
      <c r="DI117" s="12"/>
      <c r="DJ117" s="12"/>
      <c r="DK117" s="12"/>
      <c r="DL117" s="12"/>
      <c r="DP117" s="12"/>
      <c r="DQ117" s="12"/>
      <c r="DR117" s="12"/>
      <c r="DS117" s="12"/>
      <c r="DW117" s="12"/>
      <c r="DX117" s="12"/>
      <c r="DY117" s="12"/>
      <c r="DZ117" s="12"/>
      <c r="ED117" s="12"/>
      <c r="EE117" s="12"/>
      <c r="EF117" s="12"/>
      <c r="EG117" s="12"/>
    </row>
    <row r="118" spans="2:137" outlineLevel="1">
      <c r="B118" t="s">
        <v>28</v>
      </c>
      <c r="C118" s="2" t="s">
        <v>144</v>
      </c>
      <c r="D118" s="2"/>
      <c r="E118" s="19"/>
      <c r="F118" t="s">
        <v>151</v>
      </c>
      <c r="G118" s="12">
        <v>0.1</v>
      </c>
      <c r="I118" s="19">
        <f>+SUMIF($N$3:$WV$3,I$3,$N118:$WV118)</f>
        <v>0</v>
      </c>
      <c r="J118" s="13" cm="1">
        <f t="array" ref="J118">MAX(IF($N$3:$DV$3=$J$3,N118:DV118))</f>
        <v>0</v>
      </c>
      <c r="K118" s="13" cm="1">
        <f t="array" ref="K118">MAX(IF($N$3:$DV$3=$J$3,N118:DV118))</f>
        <v>0</v>
      </c>
      <c r="L118" s="19"/>
      <c r="O118" s="12"/>
      <c r="P118" s="12"/>
      <c r="Q118" s="12"/>
      <c r="R118" s="12"/>
      <c r="V118" s="12"/>
      <c r="W118" s="12"/>
      <c r="X118" s="12"/>
      <c r="Y118" s="12"/>
      <c r="AC118" s="12"/>
      <c r="AD118" s="12"/>
      <c r="AE118" s="12"/>
      <c r="AF118" s="12"/>
      <c r="AJ118" s="12"/>
      <c r="AK118" s="12"/>
      <c r="AL118" s="12"/>
      <c r="AM118" s="12"/>
      <c r="AQ118" s="12"/>
      <c r="AR118" s="12"/>
      <c r="AS118" s="12"/>
      <c r="AT118" s="12"/>
      <c r="AX118" s="12"/>
      <c r="AY118" s="12"/>
      <c r="AZ118" s="12"/>
      <c r="BA118" s="12"/>
      <c r="BE118" s="12"/>
      <c r="BF118" s="12"/>
      <c r="BG118" s="12"/>
      <c r="BH118" s="12"/>
      <c r="BL118" s="12"/>
      <c r="BM118" s="12"/>
      <c r="BN118" s="12"/>
      <c r="BO118" s="12"/>
      <c r="BS118" s="12"/>
      <c r="BT118" s="12"/>
      <c r="BU118" s="12"/>
      <c r="BV118" s="12"/>
      <c r="BZ118" s="12"/>
      <c r="CA118" s="12"/>
      <c r="CB118" s="12"/>
      <c r="CC118" s="12"/>
      <c r="CG118" s="12"/>
      <c r="CH118" s="12"/>
      <c r="CI118" s="12"/>
      <c r="CJ118" s="12"/>
      <c r="CN118" s="12"/>
      <c r="CO118" s="12"/>
      <c r="CP118" s="12"/>
      <c r="CQ118" s="12"/>
      <c r="CU118" s="12"/>
      <c r="CV118" s="12"/>
      <c r="CW118" s="12"/>
      <c r="CX118" s="12"/>
      <c r="DB118" s="12"/>
      <c r="DC118" s="12"/>
      <c r="DD118" s="12"/>
      <c r="DE118" s="12"/>
      <c r="DI118" s="12"/>
      <c r="DJ118" s="12"/>
      <c r="DK118" s="12"/>
      <c r="DL118" s="12"/>
      <c r="DP118" s="12"/>
      <c r="DQ118" s="12"/>
      <c r="DR118" s="12"/>
      <c r="DS118" s="12"/>
      <c r="DW118" s="12"/>
      <c r="DX118" s="12"/>
      <c r="DY118" s="12"/>
      <c r="DZ118" s="12"/>
      <c r="ED118" s="12"/>
      <c r="EE118" s="12"/>
      <c r="EF118" s="12"/>
      <c r="EG118" s="12"/>
    </row>
    <row r="119" spans="2:137" outlineLevel="1">
      <c r="B119" t="s">
        <v>28</v>
      </c>
      <c r="C119" s="2" t="s">
        <v>144</v>
      </c>
      <c r="D119" s="2"/>
      <c r="E119" s="19"/>
      <c r="F119" t="s">
        <v>152</v>
      </c>
      <c r="G119" s="12">
        <v>0.1</v>
      </c>
      <c r="I119" s="19">
        <f>+SUMIF($N$3:$WV$3,I$3,$N119:$WV119)</f>
        <v>0</v>
      </c>
      <c r="J119" s="13" cm="1">
        <f t="array" ref="J119">MAX(IF($N$3:$DV$3=$J$3,N119:DV119))</f>
        <v>0</v>
      </c>
      <c r="K119" s="13" cm="1">
        <f t="array" ref="K119">MAX(IF($N$3:$DV$3=$J$3,N119:DV119))</f>
        <v>0</v>
      </c>
      <c r="L119" s="19"/>
      <c r="O119" s="12"/>
      <c r="P119" s="12"/>
      <c r="Q119" s="12"/>
      <c r="R119" s="12"/>
      <c r="V119" s="12"/>
      <c r="W119" s="12"/>
      <c r="X119" s="12"/>
      <c r="Y119" s="12"/>
      <c r="AC119" s="12"/>
      <c r="AD119" s="12"/>
      <c r="AE119" s="12"/>
      <c r="AF119" s="12"/>
      <c r="AJ119" s="12"/>
      <c r="AK119" s="12"/>
      <c r="AL119" s="12"/>
      <c r="AM119" s="12"/>
      <c r="AQ119" s="12"/>
      <c r="AR119" s="12"/>
      <c r="AS119" s="12"/>
      <c r="AT119" s="12"/>
      <c r="AX119" s="12"/>
      <c r="AY119" s="12"/>
      <c r="AZ119" s="12"/>
      <c r="BA119" s="12"/>
      <c r="BE119" s="12"/>
      <c r="BF119" s="12"/>
      <c r="BG119" s="12"/>
      <c r="BH119" s="12"/>
      <c r="BL119" s="12"/>
      <c r="BM119" s="12"/>
      <c r="BN119" s="12"/>
      <c r="BO119" s="12"/>
      <c r="BS119" s="12"/>
      <c r="BT119" s="12"/>
      <c r="BU119" s="12"/>
      <c r="BV119" s="12"/>
      <c r="BZ119" s="12"/>
      <c r="CA119" s="12"/>
      <c r="CB119" s="12"/>
      <c r="CC119" s="12"/>
      <c r="CG119" s="12"/>
      <c r="CH119" s="12"/>
      <c r="CI119" s="12"/>
      <c r="CJ119" s="12"/>
      <c r="CN119" s="12"/>
      <c r="CO119" s="12"/>
      <c r="CP119" s="12"/>
      <c r="CQ119" s="12"/>
      <c r="CU119" s="12"/>
      <c r="CV119" s="12"/>
      <c r="CW119" s="12"/>
      <c r="CX119" s="12"/>
      <c r="DB119" s="12"/>
      <c r="DC119" s="12"/>
      <c r="DD119" s="12"/>
      <c r="DE119" s="12"/>
      <c r="DI119" s="12"/>
      <c r="DJ119" s="12"/>
      <c r="DK119" s="12"/>
      <c r="DL119" s="12"/>
      <c r="DP119" s="12"/>
      <c r="DQ119" s="12"/>
      <c r="DR119" s="12"/>
      <c r="DS119" s="12"/>
      <c r="DW119" s="12"/>
      <c r="DX119" s="12"/>
      <c r="DY119" s="12"/>
      <c r="DZ119" s="12"/>
      <c r="ED119" s="12"/>
      <c r="EE119" s="12"/>
      <c r="EF119" s="12"/>
      <c r="EG119" s="12"/>
    </row>
    <row r="120" spans="2:137" outlineLevel="1">
      <c r="B120" t="s">
        <v>28</v>
      </c>
      <c r="C120" s="2" t="s">
        <v>144</v>
      </c>
      <c r="D120" s="2"/>
      <c r="E120" s="19"/>
      <c r="F120" t="s">
        <v>153</v>
      </c>
      <c r="G120" s="12">
        <v>0.1</v>
      </c>
      <c r="I120" s="19">
        <f>+SUMIF($N$3:$WV$3,I$3,$N120:$WV120)</f>
        <v>0</v>
      </c>
      <c r="J120" s="13" cm="1">
        <f t="array" ref="J120">MAX(IF($N$3:$DV$3=$J$3,N120:DV120))</f>
        <v>0</v>
      </c>
      <c r="K120" s="13" cm="1">
        <f t="array" ref="K120">MAX(IF($N$3:$DV$3=$J$3,N120:DV120))</f>
        <v>0</v>
      </c>
      <c r="L120" s="19"/>
      <c r="O120" s="12"/>
      <c r="P120" s="12"/>
      <c r="Q120" s="12"/>
      <c r="R120" s="12"/>
      <c r="V120" s="12"/>
      <c r="W120" s="12"/>
      <c r="X120" s="12"/>
      <c r="Y120" s="12"/>
      <c r="AC120" s="12"/>
      <c r="AD120" s="12"/>
      <c r="AE120" s="12"/>
      <c r="AF120" s="12"/>
      <c r="AJ120" s="12"/>
      <c r="AK120" s="12"/>
      <c r="AL120" s="12"/>
      <c r="AM120" s="12"/>
      <c r="AQ120" s="12"/>
      <c r="AR120" s="12"/>
      <c r="AS120" s="12"/>
      <c r="AT120" s="12"/>
      <c r="AX120" s="12"/>
      <c r="AY120" s="12"/>
      <c r="AZ120" s="12"/>
      <c r="BA120" s="12"/>
      <c r="BE120" s="12"/>
      <c r="BF120" s="12"/>
      <c r="BG120" s="12"/>
      <c r="BH120" s="12"/>
      <c r="BL120" s="12"/>
      <c r="BM120" s="12"/>
      <c r="BN120" s="12"/>
      <c r="BO120" s="12"/>
      <c r="BS120" s="12"/>
      <c r="BT120" s="12"/>
      <c r="BU120" s="12"/>
      <c r="BV120" s="12"/>
      <c r="BZ120" s="12"/>
      <c r="CA120" s="12"/>
      <c r="CB120" s="12"/>
      <c r="CC120" s="12"/>
      <c r="CG120" s="12"/>
      <c r="CH120" s="12"/>
      <c r="CI120" s="12"/>
      <c r="CJ120" s="12"/>
      <c r="CN120" s="12"/>
      <c r="CO120" s="12"/>
      <c r="CP120" s="12"/>
      <c r="CQ120" s="12"/>
      <c r="CU120" s="12"/>
      <c r="CV120" s="12"/>
      <c r="CW120" s="12"/>
      <c r="CX120" s="12"/>
      <c r="DB120" s="12"/>
      <c r="DC120" s="12"/>
      <c r="DD120" s="12"/>
      <c r="DE120" s="12"/>
      <c r="DI120" s="12"/>
      <c r="DJ120" s="12"/>
      <c r="DK120" s="12"/>
      <c r="DL120" s="12"/>
      <c r="DP120" s="12"/>
      <c r="DQ120" s="12"/>
      <c r="DR120" s="12"/>
      <c r="DS120" s="12"/>
      <c r="DW120" s="12"/>
      <c r="DX120" s="12"/>
      <c r="DY120" s="12"/>
      <c r="DZ120" s="12"/>
      <c r="ED120" s="12"/>
      <c r="EE120" s="12"/>
      <c r="EF120" s="12"/>
      <c r="EG120" s="12"/>
    </row>
    <row r="121" spans="2:137" outlineLevel="1">
      <c r="B121" t="s">
        <v>28</v>
      </c>
      <c r="C121" s="2" t="s">
        <v>144</v>
      </c>
      <c r="D121" s="2"/>
      <c r="E121" s="19"/>
      <c r="F121" t="s">
        <v>154</v>
      </c>
      <c r="G121" s="12">
        <v>0.1</v>
      </c>
      <c r="I121" s="19">
        <f>+SUMIF($N$3:$WV$3,I$3,$N121:$WV121)</f>
        <v>0</v>
      </c>
      <c r="J121" s="13" cm="1">
        <f t="array" ref="J121">MAX(IF($N$3:$DV$3=$J$3,N121:DV121))</f>
        <v>0</v>
      </c>
      <c r="K121" s="13" cm="1">
        <f t="array" ref="K121">MAX(IF($N$3:$DV$3=$J$3,N121:DV121))</f>
        <v>0</v>
      </c>
      <c r="L121" s="19"/>
      <c r="O121" s="12"/>
      <c r="P121" s="12"/>
      <c r="Q121" s="12"/>
      <c r="R121" s="12"/>
      <c r="V121" s="12"/>
      <c r="W121" s="12"/>
      <c r="X121" s="12"/>
      <c r="Y121" s="12"/>
      <c r="AC121" s="12"/>
      <c r="AD121" s="12"/>
      <c r="AE121" s="12"/>
      <c r="AF121" s="12"/>
      <c r="AJ121" s="12"/>
      <c r="AK121" s="12"/>
      <c r="AL121" s="12"/>
      <c r="AM121" s="12"/>
      <c r="AQ121" s="12"/>
      <c r="AR121" s="12"/>
      <c r="AS121" s="12"/>
      <c r="AT121" s="12"/>
      <c r="AX121" s="12"/>
      <c r="AY121" s="12"/>
      <c r="AZ121" s="12"/>
      <c r="BA121" s="12"/>
      <c r="BE121" s="12"/>
      <c r="BF121" s="12"/>
      <c r="BG121" s="12"/>
      <c r="BH121" s="12"/>
      <c r="BL121" s="12"/>
      <c r="BM121" s="12"/>
      <c r="BN121" s="12"/>
      <c r="BO121" s="12"/>
      <c r="BS121" s="12"/>
      <c r="BT121" s="12"/>
      <c r="BU121" s="12"/>
      <c r="BV121" s="12"/>
      <c r="BZ121" s="12"/>
      <c r="CA121" s="12"/>
      <c r="CB121" s="12"/>
      <c r="CC121" s="12"/>
      <c r="CG121" s="12"/>
      <c r="CH121" s="12"/>
      <c r="CI121" s="12"/>
      <c r="CJ121" s="12"/>
      <c r="CN121" s="12"/>
      <c r="CO121" s="12"/>
      <c r="CP121" s="12"/>
      <c r="CQ121" s="12"/>
      <c r="CU121" s="12"/>
      <c r="CV121" s="12"/>
      <c r="CW121" s="12"/>
      <c r="CX121" s="12"/>
      <c r="DB121" s="12"/>
      <c r="DC121" s="12"/>
      <c r="DD121" s="12"/>
      <c r="DE121" s="12"/>
      <c r="DI121" s="12"/>
      <c r="DJ121" s="12"/>
      <c r="DK121" s="12"/>
      <c r="DL121" s="12"/>
      <c r="DP121" s="12"/>
      <c r="DQ121" s="12"/>
      <c r="DR121" s="12"/>
      <c r="DS121" s="12"/>
      <c r="DW121" s="12"/>
      <c r="DX121" s="12"/>
      <c r="DY121" s="12"/>
      <c r="DZ121" s="12"/>
      <c r="ED121" s="12"/>
      <c r="EE121" s="12"/>
      <c r="EF121" s="12"/>
      <c r="EG121" s="12"/>
    </row>
    <row r="122" spans="2:137" outlineLevel="1">
      <c r="B122" t="s">
        <v>28</v>
      </c>
      <c r="C122" s="2" t="s">
        <v>144</v>
      </c>
      <c r="D122" s="2"/>
      <c r="E122" s="19"/>
      <c r="F122" t="s">
        <v>155</v>
      </c>
      <c r="G122" s="12">
        <v>0.1</v>
      </c>
      <c r="I122" s="19">
        <f>+SUMIF($N$3:$WV$3,I$3,$N122:$WV122)</f>
        <v>0</v>
      </c>
      <c r="J122" s="13" cm="1">
        <f t="array" ref="J122">MAX(IF($N$3:$DV$3=$J$3,N122:DV122))</f>
        <v>0</v>
      </c>
      <c r="K122" s="13" cm="1">
        <f t="array" ref="K122">MAX(IF($N$3:$DV$3=$J$3,N122:DV122))</f>
        <v>0</v>
      </c>
      <c r="L122" s="19"/>
      <c r="O122" s="12"/>
      <c r="P122" s="12"/>
      <c r="Q122" s="12"/>
      <c r="R122" s="12"/>
      <c r="V122" s="12"/>
      <c r="W122" s="12"/>
      <c r="X122" s="12"/>
      <c r="Y122" s="12"/>
      <c r="AC122" s="12"/>
      <c r="AD122" s="12"/>
      <c r="AE122" s="12"/>
      <c r="AF122" s="12"/>
      <c r="AJ122" s="12"/>
      <c r="AK122" s="12"/>
      <c r="AL122" s="12"/>
      <c r="AM122" s="12"/>
      <c r="AQ122" s="12"/>
      <c r="AR122" s="12"/>
      <c r="AS122" s="12"/>
      <c r="AT122" s="12"/>
      <c r="AX122" s="12"/>
      <c r="AY122" s="12"/>
      <c r="AZ122" s="12"/>
      <c r="BA122" s="12"/>
      <c r="BE122" s="12"/>
      <c r="BF122" s="12"/>
      <c r="BG122" s="12"/>
      <c r="BH122" s="12"/>
      <c r="BL122" s="12"/>
      <c r="BM122" s="12"/>
      <c r="BN122" s="12"/>
      <c r="BO122" s="12"/>
      <c r="BS122" s="12"/>
      <c r="BT122" s="12"/>
      <c r="BU122" s="12"/>
      <c r="BV122" s="12"/>
      <c r="BZ122" s="12"/>
      <c r="CA122" s="12"/>
      <c r="CB122" s="12"/>
      <c r="CC122" s="12"/>
      <c r="CG122" s="12"/>
      <c r="CH122" s="12"/>
      <c r="CI122" s="12"/>
      <c r="CJ122" s="12"/>
      <c r="CN122" s="12"/>
      <c r="CO122" s="12"/>
      <c r="CP122" s="12"/>
      <c r="CQ122" s="12"/>
      <c r="CU122" s="12"/>
      <c r="CV122" s="12"/>
      <c r="CW122" s="12"/>
      <c r="CX122" s="12"/>
      <c r="DB122" s="12"/>
      <c r="DC122" s="12"/>
      <c r="DD122" s="12"/>
      <c r="DE122" s="12"/>
      <c r="DI122" s="12"/>
      <c r="DJ122" s="12"/>
      <c r="DK122" s="12"/>
      <c r="DL122" s="12"/>
      <c r="DP122" s="12"/>
      <c r="DQ122" s="12"/>
      <c r="DR122" s="12"/>
      <c r="DS122" s="12"/>
      <c r="DW122" s="12"/>
      <c r="DX122" s="12"/>
      <c r="DY122" s="12"/>
      <c r="DZ122" s="12"/>
      <c r="ED122" s="12"/>
      <c r="EE122" s="12"/>
      <c r="EF122" s="12"/>
      <c r="EG122" s="12"/>
    </row>
  </sheetData>
  <mergeCells count="19">
    <mergeCell ref="DV2:EA2"/>
    <mergeCell ref="EC2:EH2"/>
    <mergeCell ref="CM2:CR2"/>
    <mergeCell ref="CT2:CY2"/>
    <mergeCell ref="DA2:DF2"/>
    <mergeCell ref="DH2:DM2"/>
    <mergeCell ref="DO2:DT2"/>
    <mergeCell ref="BR2:BW2"/>
    <mergeCell ref="BY2:CD2"/>
    <mergeCell ref="CF2:CK2"/>
    <mergeCell ref="BK2:BP2"/>
    <mergeCell ref="I2:L2"/>
    <mergeCell ref="N2:S2"/>
    <mergeCell ref="BD2:BI2"/>
    <mergeCell ref="U2:Z2"/>
    <mergeCell ref="AB2:AG2"/>
    <mergeCell ref="AI2:AN2"/>
    <mergeCell ref="AP2:AU2"/>
    <mergeCell ref="AW2:BB2"/>
  </mergeCells>
  <conditionalFormatting sqref="J6:K17">
    <cfRule type="colorScale" priority="4340">
      <colorScale>
        <cfvo type="percent" val="0"/>
        <cfvo type="percent" val="100"/>
        <color rgb="FFFF231B"/>
        <color rgb="FF10FF07"/>
      </colorScale>
    </cfRule>
  </conditionalFormatting>
  <conditionalFormatting sqref="O20:O24 Q20:Q24 AJ117:AJ122 AG115:AG116 AJ114 AL117:AL122 AI115:AI116 AL114 Q117:Q122 Q114 O117:O122 O114 X117:X122 U115:U116 X114 V117:V122 S115:S116 V114 AE117:AE122 AB115:AB116 AE114 AC117:AC122 Z115:Z116 AC114 AS117:AS122 AP115:AP116 AS114 AQ117:AQ122 AN115:AN116 AQ114 CB117:CB122 BY115:BY116 CB114 BZ117:BZ122 BW115:BW116 BZ114 CI117:CI122 CF115:CF116 CI114 CG117:CG122 CD115:CD116 CG114 CP117:CP122 CM115:CM116 CP114 CN117:CN122 CK115:CK116 CN114 CW117:CW122 CT115:CT116 CW114 CU117:CU122 CR115:CR116 CU114 DD117:DD122 DA115:DA116 DD114 DB117:DB122 CY115:CY116 DB114 DK117:DK122 DH115:DH116 DK114 DI117:DI122 DF115:DF116 DI114 DR117:DR122 DO115:DO116 DR114 DP117:DP122 DM115:DM116 DP114 DY117:DY122 DV115:DV116 DY114 DW117:DW122 DT115:DT116 DW114 EF117:EF122 EC115:EC116 EF114 ED117:ED122 EA115:EA116 ED114 AZ117:AZ122 AW115:AW116 AZ114 AX117:AX122 AU115:AU116 AX114 BG117:BG122 BD115:BD116 BG114 BE117:BE122 BB115:BB116 BE114 BN117:BN122 BK115:BK116 BN114 BL117:BL122 BI115:BI116 BL114 BU117:BU122 BR115:BR116 BU114 BS117:BS122 BP115:BP116 BS114 O5 AO5 AQ5 T5 V5 AA5 AC5 AH5 AJ5 BX5 BZ5 CE5 CG5 CL5 CN5 CS5 CU5 CZ5 DB5 DG5 DI5 DN5 DP5 DU5 DW5 EB5 ED5 AV5 AX5 BC5 BE5 BJ5 BL5 BQ5 BS5 P6 O7:O17 AP6 AO7:AO17 AR6 AQ7:AQ17 U6 T7:T17 W6 V7:V17 AB6 AA7:AA17 AD6 AC7:AC17 AI6 AH7:AH17 AK6 AJ7:AJ17 BY6 BX7:BX17 CA6 BZ7:BZ17 CF6 CE7:CE17 CH6 CG7:CG17 CM6 CL7:CL17 CO6 CN7:CN17 CT6 CS7:CS17 CV6 CU7:CU17 DA6 CZ7:CZ17 DC6 DB7:DB17 DH6 DG7:DG17 DJ6 DI7:DI17 DO6 DN7:DN17 DQ6 DP7:DP17 DV6 DU7:DU17 DX6 DW7:DW17 EC6 EB7:EB17 EE6 ED7:ED17 AW6 AV7:AV17 AY6 AX7:AX17 BD6 BC7:BC17 BF6 BE7:BE17 BK6 BJ7:BJ17 BM6 BL7:BL17 BR6 BQ7:BQ17 BT6 BS7:BS17">
    <cfRule type="expression" dxfId="2133" priority="4338">
      <formula>OR(IF(O5&lt;P5,TRUE),IF(AND(P5="",O5&lt;&gt;""),TRUE))</formula>
    </cfRule>
    <cfRule type="expression" dxfId="2132" priority="4339">
      <formula>IF(O5&gt;=P5,IF(O5="",FALSE,TRUE))</formula>
    </cfRule>
  </conditionalFormatting>
  <conditionalFormatting sqref="AI36:AI45">
    <cfRule type="expression" dxfId="2131" priority="4209">
      <formula>OR(IF(AI36&lt;AJ36,TRUE),IF(AND(AJ36="",AI36&lt;&gt;""),TRUE))</formula>
    </cfRule>
    <cfRule type="expression" dxfId="2130" priority="4210">
      <formula>IF(AI36&gt;=AJ36,IF(AI36="",FALSE,TRUE))</formula>
    </cfRule>
  </conditionalFormatting>
  <conditionalFormatting sqref="AK36:AK45">
    <cfRule type="expression" dxfId="2129" priority="4207">
      <formula>OR(IF(AK36&lt;AL36,TRUE),IF(AND(AL36="",AK36&lt;&gt;""),TRUE))</formula>
    </cfRule>
    <cfRule type="expression" dxfId="2128" priority="4208">
      <formula>IF(AK36&gt;=AL36,IF(AK36="",FALSE,TRUE))</formula>
    </cfRule>
  </conditionalFormatting>
  <conditionalFormatting sqref="AQ20:AQ24 AS20:AS24">
    <cfRule type="expression" dxfId="2127" priority="4205">
      <formula>OR(IF(AQ20&lt;AR20,TRUE),IF(AND(AR20="",AQ20&lt;&gt;""),TRUE))</formula>
    </cfRule>
    <cfRule type="expression" dxfId="2126" priority="4206">
      <formula>IF(AQ20&gt;=AR20,IF(AQ20="",FALSE,TRUE))</formula>
    </cfRule>
  </conditionalFormatting>
  <conditionalFormatting sqref="O34:O35">
    <cfRule type="expression" dxfId="2125" priority="4279">
      <formula>OR(IF(O34&lt;P34,TRUE),IF(AND(P34="",O34&lt;&gt;""),TRUE))</formula>
    </cfRule>
    <cfRule type="expression" dxfId="2124" priority="4280">
      <formula>IF(O34&gt;=P34,IF(O34="",FALSE,TRUE))</formula>
    </cfRule>
  </conditionalFormatting>
  <conditionalFormatting sqref="Q34:Q35">
    <cfRule type="expression" dxfId="2123" priority="4277">
      <formula>OR(IF(Q34&lt;R34,TRUE),IF(AND(R34="",Q34&lt;&gt;""),TRUE))</formula>
    </cfRule>
    <cfRule type="expression" dxfId="2122" priority="4278">
      <formula>IF(Q34&gt;=R34,IF(Q34="",FALSE,TRUE))</formula>
    </cfRule>
  </conditionalFormatting>
  <conditionalFormatting sqref="P36:P45">
    <cfRule type="expression" dxfId="2121" priority="4255">
      <formula>OR(IF(P36&lt;Q36,TRUE),IF(AND(Q36="",P36&lt;&gt;""),TRUE))</formula>
    </cfRule>
    <cfRule type="expression" dxfId="2120" priority="4256">
      <formula>IF(P36&gt;=Q36,IF(P36="",FALSE,TRUE))</formula>
    </cfRule>
  </conditionalFormatting>
  <conditionalFormatting sqref="O25">
    <cfRule type="expression" dxfId="2119" priority="4261">
      <formula>OR(IF(O25&lt;P25,TRUE),IF(AND(P25="",O25&lt;&gt;""),TRUE))</formula>
    </cfRule>
    <cfRule type="expression" dxfId="2118" priority="4262">
      <formula>IF(O25&gt;=P25,IF(O25="",FALSE,TRUE))</formula>
    </cfRule>
  </conditionalFormatting>
  <conditionalFormatting sqref="Q25">
    <cfRule type="expression" dxfId="2117" priority="4259">
      <formula>OR(IF(Q25&lt;R25,TRUE),IF(AND(R25="",Q25&lt;&gt;""),TRUE))</formula>
    </cfRule>
    <cfRule type="expression" dxfId="2116" priority="4260">
      <formula>IF(Q25&gt;=R25,IF(Q25="",FALSE,TRUE))</formula>
    </cfRule>
  </conditionalFormatting>
  <conditionalFormatting sqref="V20:V24 X20:X24">
    <cfRule type="expression" dxfId="2115" priority="4253">
      <formula>OR(IF(V20&lt;W20,TRUE),IF(AND(W20="",V20&lt;&gt;""),TRUE))</formula>
    </cfRule>
    <cfRule type="expression" dxfId="2114" priority="4254">
      <formula>IF(V20&gt;=W20,IF(V20="",FALSE,TRUE))</formula>
    </cfRule>
  </conditionalFormatting>
  <conditionalFormatting sqref="V34:V35">
    <cfRule type="expression" dxfId="2113" priority="4249">
      <formula>OR(IF(V34&lt;W34,TRUE),IF(AND(W34="",V34&lt;&gt;""),TRUE))</formula>
    </cfRule>
    <cfRule type="expression" dxfId="2112" priority="4250">
      <formula>IF(V34&gt;=W34,IF(V34="",FALSE,TRUE))</formula>
    </cfRule>
  </conditionalFormatting>
  <conditionalFormatting sqref="X34:X35">
    <cfRule type="expression" dxfId="2111" priority="4247">
      <formula>OR(IF(X34&lt;Y34,TRUE),IF(AND(Y34="",X34&lt;&gt;""),TRUE))</formula>
    </cfRule>
    <cfRule type="expression" dxfId="2110" priority="4248">
      <formula>IF(X34&gt;=Y34,IF(X34="",FALSE,TRUE))</formula>
    </cfRule>
  </conditionalFormatting>
  <conditionalFormatting sqref="W36:W45">
    <cfRule type="expression" dxfId="2109" priority="4239">
      <formula>OR(IF(W36&lt;X36,TRUE),IF(AND(X36="",W36&lt;&gt;""),TRUE))</formula>
    </cfRule>
    <cfRule type="expression" dxfId="2108" priority="4240">
      <formula>IF(W36&gt;=X36,IF(W36="",FALSE,TRUE))</formula>
    </cfRule>
  </conditionalFormatting>
  <conditionalFormatting sqref="V25">
    <cfRule type="expression" dxfId="2107" priority="4245">
      <formula>OR(IF(V25&lt;W25,TRUE),IF(AND(W25="",V25&lt;&gt;""),TRUE))</formula>
    </cfRule>
    <cfRule type="expression" dxfId="2106" priority="4246">
      <formula>IF(V25&gt;=W25,IF(V25="",FALSE,TRUE))</formula>
    </cfRule>
  </conditionalFormatting>
  <conditionalFormatting sqref="X25">
    <cfRule type="expression" dxfId="2105" priority="4243">
      <formula>OR(IF(X25&lt;Y25,TRUE),IF(AND(Y25="",X25&lt;&gt;""),TRUE))</formula>
    </cfRule>
    <cfRule type="expression" dxfId="2104" priority="4244">
      <formula>IF(X25&gt;=Y25,IF(X25="",FALSE,TRUE))</formula>
    </cfRule>
  </conditionalFormatting>
  <conditionalFormatting sqref="U36:U45">
    <cfRule type="expression" dxfId="2103" priority="4241">
      <formula>OR(IF(U36&lt;V36,TRUE),IF(AND(V36="",U36&lt;&gt;""),TRUE))</formula>
    </cfRule>
    <cfRule type="expression" dxfId="2102" priority="4242">
      <formula>IF(U36&gt;=V36,IF(U36="",FALSE,TRUE))</formula>
    </cfRule>
  </conditionalFormatting>
  <conditionalFormatting sqref="AC20:AC24 AE20:AE24">
    <cfRule type="expression" dxfId="2101" priority="4237">
      <formula>OR(IF(AC20&lt;AD20,TRUE),IF(AND(AD20="",AC20&lt;&gt;""),TRUE))</formula>
    </cfRule>
    <cfRule type="expression" dxfId="2100" priority="4238">
      <formula>IF(AC20&gt;=AD20,IF(AC20="",FALSE,TRUE))</formula>
    </cfRule>
  </conditionalFormatting>
  <conditionalFormatting sqref="AC34:AC35">
    <cfRule type="expression" dxfId="2099" priority="4233">
      <formula>OR(IF(AC34&lt;AD34,TRUE),IF(AND(AD34="",AC34&lt;&gt;""),TRUE))</formula>
    </cfRule>
    <cfRule type="expression" dxfId="2098" priority="4234">
      <formula>IF(AC34&gt;=AD34,IF(AC34="",FALSE,TRUE))</formula>
    </cfRule>
  </conditionalFormatting>
  <conditionalFormatting sqref="AE34:AE35">
    <cfRule type="expression" dxfId="2097" priority="4231">
      <formula>OR(IF(AE34&lt;AF34,TRUE),IF(AND(AF34="",AE34&lt;&gt;""),TRUE))</formula>
    </cfRule>
    <cfRule type="expression" dxfId="2096" priority="4232">
      <formula>IF(AE34&gt;=AF34,IF(AE34="",FALSE,TRUE))</formula>
    </cfRule>
  </conditionalFormatting>
  <conditionalFormatting sqref="AD36:AD45">
    <cfRule type="expression" dxfId="2095" priority="4223">
      <formula>OR(IF(AD36&lt;AE36,TRUE),IF(AND(AE36="",AD36&lt;&gt;""),TRUE))</formula>
    </cfRule>
    <cfRule type="expression" dxfId="2094" priority="4224">
      <formula>IF(AD36&gt;=AE36,IF(AD36="",FALSE,TRUE))</formula>
    </cfRule>
  </conditionalFormatting>
  <conditionalFormatting sqref="AC25">
    <cfRule type="expression" dxfId="2093" priority="4229">
      <formula>OR(IF(AC25&lt;AD25,TRUE),IF(AND(AD25="",AC25&lt;&gt;""),TRUE))</formula>
    </cfRule>
    <cfRule type="expression" dxfId="2092" priority="4230">
      <formula>IF(AC25&gt;=AD25,IF(AC25="",FALSE,TRUE))</formula>
    </cfRule>
  </conditionalFormatting>
  <conditionalFormatting sqref="AE25">
    <cfRule type="expression" dxfId="2091" priority="4227">
      <formula>OR(IF(AE25&lt;AF25,TRUE),IF(AND(AF25="",AE25&lt;&gt;""),TRUE))</formula>
    </cfRule>
    <cfRule type="expression" dxfId="2090" priority="4228">
      <formula>IF(AE25&gt;=AF25,IF(AE25="",FALSE,TRUE))</formula>
    </cfRule>
  </conditionalFormatting>
  <conditionalFormatting sqref="AB36:AB45">
    <cfRule type="expression" dxfId="2089" priority="4225">
      <formula>OR(IF(AB36&lt;AC36,TRUE),IF(AND(AC36="",AB36&lt;&gt;""),TRUE))</formula>
    </cfRule>
    <cfRule type="expression" dxfId="2088" priority="4226">
      <formula>IF(AB36&gt;=AC36,IF(AB36="",FALSE,TRUE))</formula>
    </cfRule>
  </conditionalFormatting>
  <conditionalFormatting sqref="AJ20:AJ24 AL20:AL24">
    <cfRule type="expression" dxfId="2087" priority="4221">
      <formula>OR(IF(AJ20&lt;AK20,TRUE),IF(AND(AK20="",AJ20&lt;&gt;""),TRUE))</formula>
    </cfRule>
    <cfRule type="expression" dxfId="2086" priority="4222">
      <formula>IF(AJ20&gt;=AK20,IF(AJ20="",FALSE,TRUE))</formula>
    </cfRule>
  </conditionalFormatting>
  <conditionalFormatting sqref="AJ34:AJ35">
    <cfRule type="expression" dxfId="2085" priority="4217">
      <formula>OR(IF(AJ34&lt;AK34,TRUE),IF(AND(AK34="",AJ34&lt;&gt;""),TRUE))</formula>
    </cfRule>
    <cfRule type="expression" dxfId="2084" priority="4218">
      <formula>IF(AJ34&gt;=AK34,IF(AJ34="",FALSE,TRUE))</formula>
    </cfRule>
  </conditionalFormatting>
  <conditionalFormatting sqref="AL34:AL35">
    <cfRule type="expression" dxfId="2083" priority="4215">
      <formula>OR(IF(AL34&lt;AM34,TRUE),IF(AND(AM34="",AL34&lt;&gt;""),TRUE))</formula>
    </cfRule>
    <cfRule type="expression" dxfId="2082" priority="4216">
      <formula>IF(AL34&gt;=AM34,IF(AL34="",FALSE,TRUE))</formula>
    </cfRule>
  </conditionalFormatting>
  <conditionalFormatting sqref="AJ25">
    <cfRule type="expression" dxfId="2081" priority="4213">
      <formula>OR(IF(AJ25&lt;AK25,TRUE),IF(AND(AK25="",AJ25&lt;&gt;""),TRUE))</formula>
    </cfRule>
    <cfRule type="expression" dxfId="2080" priority="4214">
      <formula>IF(AJ25&gt;=AK25,IF(AJ25="",FALSE,TRUE))</formula>
    </cfRule>
  </conditionalFormatting>
  <conditionalFormatting sqref="AL25">
    <cfRule type="expression" dxfId="2079" priority="4211">
      <formula>OR(IF(AL25&lt;AM25,TRUE),IF(AND(AM25="",AL25&lt;&gt;""),TRUE))</formula>
    </cfRule>
    <cfRule type="expression" dxfId="2078" priority="4212">
      <formula>IF(AL25&gt;=AM25,IF(AL25="",FALSE,TRUE))</formula>
    </cfRule>
  </conditionalFormatting>
  <conditionalFormatting sqref="AQ34:AQ35">
    <cfRule type="expression" dxfId="2077" priority="4201">
      <formula>OR(IF(AQ34&lt;AR34,TRUE),IF(AND(AR34="",AQ34&lt;&gt;""),TRUE))</formula>
    </cfRule>
    <cfRule type="expression" dxfId="2076" priority="4202">
      <formula>IF(AQ34&gt;=AR34,IF(AQ34="",FALSE,TRUE))</formula>
    </cfRule>
  </conditionalFormatting>
  <conditionalFormatting sqref="AS34:AS35">
    <cfRule type="expression" dxfId="2075" priority="4199">
      <formula>OR(IF(AS34&lt;AT34,TRUE),IF(AND(AT34="",AS34&lt;&gt;""),TRUE))</formula>
    </cfRule>
    <cfRule type="expression" dxfId="2074" priority="4200">
      <formula>IF(AS34&gt;=AT34,IF(AS34="",FALSE,TRUE))</formula>
    </cfRule>
  </conditionalFormatting>
  <conditionalFormatting sqref="AR36:AR45">
    <cfRule type="expression" dxfId="2073" priority="4191">
      <formula>OR(IF(AR36&lt;AS36,TRUE),IF(AND(AS36="",AR36&lt;&gt;""),TRUE))</formula>
    </cfRule>
    <cfRule type="expression" dxfId="2072" priority="4192">
      <formula>IF(AR36&gt;=AS36,IF(AR36="",FALSE,TRUE))</formula>
    </cfRule>
  </conditionalFormatting>
  <conditionalFormatting sqref="AQ25">
    <cfRule type="expression" dxfId="2071" priority="4197">
      <formula>OR(IF(AQ25&lt;AR25,TRUE),IF(AND(AR25="",AQ25&lt;&gt;""),TRUE))</formula>
    </cfRule>
    <cfRule type="expression" dxfId="2070" priority="4198">
      <formula>IF(AQ25&gt;=AR25,IF(AQ25="",FALSE,TRUE))</formula>
    </cfRule>
  </conditionalFormatting>
  <conditionalFormatting sqref="AS25">
    <cfRule type="expression" dxfId="2069" priority="4195">
      <formula>OR(IF(AS25&lt;AT25,TRUE),IF(AND(AT25="",AS25&lt;&gt;""),TRUE))</formula>
    </cfRule>
    <cfRule type="expression" dxfId="2068" priority="4196">
      <formula>IF(AS25&gt;=AT25,IF(AS25="",FALSE,TRUE))</formula>
    </cfRule>
  </conditionalFormatting>
  <conditionalFormatting sqref="AP36:AP45">
    <cfRule type="expression" dxfId="2067" priority="4193">
      <formula>OR(IF(AP36&lt;AQ36,TRUE),IF(AND(AQ36="",AP36&lt;&gt;""),TRUE))</formula>
    </cfRule>
    <cfRule type="expression" dxfId="2066" priority="4194">
      <formula>IF(AP36&gt;=AQ36,IF(AP36="",FALSE,TRUE))</formula>
    </cfRule>
  </conditionalFormatting>
  <conditionalFormatting sqref="J5:J17">
    <cfRule type="colorScale" priority="4158">
      <colorScale>
        <cfvo type="percent" val="0"/>
        <cfvo type="percent" val="100"/>
        <color rgb="FFFF231B"/>
        <color rgb="FF10FF07"/>
      </colorScale>
    </cfRule>
  </conditionalFormatting>
  <conditionalFormatting sqref="K5:K17">
    <cfRule type="colorScale" priority="4157">
      <colorScale>
        <cfvo type="percent" val="0"/>
        <cfvo type="percent" val="100"/>
        <color rgb="FFFF231B"/>
        <color rgb="FF10FF07"/>
      </colorScale>
    </cfRule>
  </conditionalFormatting>
  <conditionalFormatting sqref="J35:K45">
    <cfRule type="colorScale" priority="4156">
      <colorScale>
        <cfvo type="percent" val="0"/>
        <cfvo type="percent" val="100"/>
        <color rgb="FFFF231B"/>
        <color rgb="FF10FF07"/>
      </colorScale>
    </cfRule>
  </conditionalFormatting>
  <conditionalFormatting sqref="J34:J45">
    <cfRule type="colorScale" priority="4155">
      <colorScale>
        <cfvo type="percent" val="0"/>
        <cfvo type="percent" val="100"/>
        <color rgb="FFFF231B"/>
        <color rgb="FF10FF07"/>
      </colorScale>
    </cfRule>
  </conditionalFormatting>
  <conditionalFormatting sqref="K34:K45">
    <cfRule type="colorScale" priority="4154">
      <colorScale>
        <cfvo type="percent" val="0"/>
        <cfvo type="percent" val="100"/>
        <color rgb="FFFF231B"/>
        <color rgb="FF10FF07"/>
      </colorScale>
    </cfRule>
  </conditionalFormatting>
  <conditionalFormatting sqref="J21:K25">
    <cfRule type="colorScale" priority="4153">
      <colorScale>
        <cfvo type="percent" val="0"/>
        <cfvo type="percent" val="100"/>
        <color rgb="FFFF231B"/>
        <color rgb="FF10FF07"/>
      </colorScale>
    </cfRule>
  </conditionalFormatting>
  <conditionalFormatting sqref="J20:J25">
    <cfRule type="colorScale" priority="4152">
      <colorScale>
        <cfvo type="percent" val="0"/>
        <cfvo type="percent" val="100"/>
        <color rgb="FFFF231B"/>
        <color rgb="FF10FF07"/>
      </colorScale>
    </cfRule>
  </conditionalFormatting>
  <conditionalFormatting sqref="K20:K25">
    <cfRule type="colorScale" priority="4151">
      <colorScale>
        <cfvo type="percent" val="0"/>
        <cfvo type="percent" val="100"/>
        <color rgb="FFFF231B"/>
        <color rgb="FF10FF07"/>
      </colorScale>
    </cfRule>
  </conditionalFormatting>
  <conditionalFormatting sqref="AJ51:AJ60">
    <cfRule type="expression" dxfId="2065" priority="4121">
      <formula>OR(IF(AJ51&lt;AK51,TRUE),IF(AND(AK51="",AJ51&lt;&gt;""),TRUE))</formula>
    </cfRule>
    <cfRule type="expression" dxfId="2064" priority="4122">
      <formula>IF(AJ51&gt;=AK51,IF(AJ51="",FALSE,TRUE))</formula>
    </cfRule>
  </conditionalFormatting>
  <conditionalFormatting sqref="AL51:AL60">
    <cfRule type="expression" dxfId="2063" priority="4119">
      <formula>OR(IF(AL51&lt;AM51,TRUE),IF(AND(AM51="",AL51&lt;&gt;""),TRUE))</formula>
    </cfRule>
    <cfRule type="expression" dxfId="2062" priority="4120">
      <formula>IF(AL51&gt;=AM51,IF(AL51="",FALSE,TRUE))</formula>
    </cfRule>
  </conditionalFormatting>
  <conditionalFormatting sqref="O49:O50">
    <cfRule type="expression" dxfId="2061" priority="4149">
      <formula>OR(IF(O49&lt;P49,TRUE),IF(AND(P49="",O49&lt;&gt;""),TRUE))</formula>
    </cfRule>
    <cfRule type="expression" dxfId="2060" priority="4150">
      <formula>IF(O49&gt;=P49,IF(O49="",FALSE,TRUE))</formula>
    </cfRule>
  </conditionalFormatting>
  <conditionalFormatting sqref="Q49:Q50">
    <cfRule type="expression" dxfId="2059" priority="4147">
      <formula>OR(IF(Q49&lt;R49,TRUE),IF(AND(R49="",Q49&lt;&gt;""),TRUE))</formula>
    </cfRule>
    <cfRule type="expression" dxfId="2058" priority="4148">
      <formula>IF(Q49&gt;=R49,IF(Q49="",FALSE,TRUE))</formula>
    </cfRule>
  </conditionalFormatting>
  <conditionalFormatting sqref="Q51:Q60">
    <cfRule type="expression" dxfId="2057" priority="4143">
      <formula>OR(IF(Q51&lt;R51,TRUE),IF(AND(R51="",Q51&lt;&gt;""),TRUE))</formula>
    </cfRule>
    <cfRule type="expression" dxfId="2056" priority="4144">
      <formula>IF(Q51&gt;=R51,IF(Q51="",FALSE,TRUE))</formula>
    </cfRule>
  </conditionalFormatting>
  <conditionalFormatting sqref="O51:O60">
    <cfRule type="expression" dxfId="2055" priority="4145">
      <formula>OR(IF(O51&lt;P51,TRUE),IF(AND(P51="",O51&lt;&gt;""),TRUE))</formula>
    </cfRule>
    <cfRule type="expression" dxfId="2054" priority="4146">
      <formula>IF(O51&gt;=P51,IF(O51="",FALSE,TRUE))</formula>
    </cfRule>
  </conditionalFormatting>
  <conditionalFormatting sqref="V49:V50">
    <cfRule type="expression" dxfId="2053" priority="4141">
      <formula>OR(IF(V49&lt;W49,TRUE),IF(AND(W49="",V49&lt;&gt;""),TRUE))</formula>
    </cfRule>
    <cfRule type="expression" dxfId="2052" priority="4142">
      <formula>IF(V49&gt;=W49,IF(V49="",FALSE,TRUE))</formula>
    </cfRule>
  </conditionalFormatting>
  <conditionalFormatting sqref="X49:X50">
    <cfRule type="expression" dxfId="2051" priority="4139">
      <formula>OR(IF(X49&lt;Y49,TRUE),IF(AND(Y49="",X49&lt;&gt;""),TRUE))</formula>
    </cfRule>
    <cfRule type="expression" dxfId="2050" priority="4140">
      <formula>IF(X49&gt;=Y49,IF(X49="",FALSE,TRUE))</formula>
    </cfRule>
  </conditionalFormatting>
  <conditionalFormatting sqref="X51:X60">
    <cfRule type="expression" dxfId="2049" priority="4135">
      <formula>OR(IF(X51&lt;Y51,TRUE),IF(AND(Y51="",X51&lt;&gt;""),TRUE))</formula>
    </cfRule>
    <cfRule type="expression" dxfId="2048" priority="4136">
      <formula>IF(X51&gt;=Y51,IF(X51="",FALSE,TRUE))</formula>
    </cfRule>
  </conditionalFormatting>
  <conditionalFormatting sqref="V51:V60">
    <cfRule type="expression" dxfId="2047" priority="4137">
      <formula>OR(IF(V51&lt;W51,TRUE),IF(AND(W51="",V51&lt;&gt;""),TRUE))</formula>
    </cfRule>
    <cfRule type="expression" dxfId="2046" priority="4138">
      <formula>IF(V51&gt;=W51,IF(V51="",FALSE,TRUE))</formula>
    </cfRule>
  </conditionalFormatting>
  <conditionalFormatting sqref="AC49:AC50">
    <cfRule type="expression" dxfId="2045" priority="4133">
      <formula>OR(IF(AC49&lt;AD49,TRUE),IF(AND(AD49="",AC49&lt;&gt;""),TRUE))</formula>
    </cfRule>
    <cfRule type="expression" dxfId="2044" priority="4134">
      <formula>IF(AC49&gt;=AD49,IF(AC49="",FALSE,TRUE))</formula>
    </cfRule>
  </conditionalFormatting>
  <conditionalFormatting sqref="AE49:AE50">
    <cfRule type="expression" dxfId="2043" priority="4131">
      <formula>OR(IF(AE49&lt;AF49,TRUE),IF(AND(AF49="",AE49&lt;&gt;""),TRUE))</formula>
    </cfRule>
    <cfRule type="expression" dxfId="2042" priority="4132">
      <formula>IF(AE49&gt;=AF49,IF(AE49="",FALSE,TRUE))</formula>
    </cfRule>
  </conditionalFormatting>
  <conditionalFormatting sqref="AE51:AE60">
    <cfRule type="expression" dxfId="2041" priority="4127">
      <formula>OR(IF(AE51&lt;AF51,TRUE),IF(AND(AF51="",AE51&lt;&gt;""),TRUE))</formula>
    </cfRule>
    <cfRule type="expression" dxfId="2040" priority="4128">
      <formula>IF(AE51&gt;=AF51,IF(AE51="",FALSE,TRUE))</formula>
    </cfRule>
  </conditionalFormatting>
  <conditionalFormatting sqref="AC51:AC60">
    <cfRule type="expression" dxfId="2039" priority="4129">
      <formula>OR(IF(AC51&lt;AD51,TRUE),IF(AND(AD51="",AC51&lt;&gt;""),TRUE))</formula>
    </cfRule>
    <cfRule type="expression" dxfId="2038" priority="4130">
      <formula>IF(AC51&gt;=AD51,IF(AC51="",FALSE,TRUE))</formula>
    </cfRule>
  </conditionalFormatting>
  <conditionalFormatting sqref="AJ49:AJ50">
    <cfRule type="expression" dxfId="2037" priority="4125">
      <formula>OR(IF(AJ49&lt;AK49,TRUE),IF(AND(AK49="",AJ49&lt;&gt;""),TRUE))</formula>
    </cfRule>
    <cfRule type="expression" dxfId="2036" priority="4126">
      <formula>IF(AJ49&gt;=AK49,IF(AJ49="",FALSE,TRUE))</formula>
    </cfRule>
  </conditionalFormatting>
  <conditionalFormatting sqref="AL49:AL50">
    <cfRule type="expression" dxfId="2035" priority="4123">
      <formula>OR(IF(AL49&lt;AM49,TRUE),IF(AND(AM49="",AL49&lt;&gt;""),TRUE))</formula>
    </cfRule>
    <cfRule type="expression" dxfId="2034" priority="4124">
      <formula>IF(AL49&gt;=AM49,IF(AL49="",FALSE,TRUE))</formula>
    </cfRule>
  </conditionalFormatting>
  <conditionalFormatting sqref="AQ49:AQ50">
    <cfRule type="expression" dxfId="2033" priority="4117">
      <formula>OR(IF(AQ49&lt;AR49,TRUE),IF(AND(AR49="",AQ49&lt;&gt;""),TRUE))</formula>
    </cfRule>
    <cfRule type="expression" dxfId="2032" priority="4118">
      <formula>IF(AQ49&gt;=AR49,IF(AQ49="",FALSE,TRUE))</formula>
    </cfRule>
  </conditionalFormatting>
  <conditionalFormatting sqref="AS49:AS50">
    <cfRule type="expression" dxfId="2031" priority="4115">
      <formula>OR(IF(AS49&lt;AT49,TRUE),IF(AND(AT49="",AS49&lt;&gt;""),TRUE))</formula>
    </cfRule>
    <cfRule type="expression" dxfId="2030" priority="4116">
      <formula>IF(AS49&gt;=AT49,IF(AS49="",FALSE,TRUE))</formula>
    </cfRule>
  </conditionalFormatting>
  <conditionalFormatting sqref="AS51:AS60">
    <cfRule type="expression" dxfId="2029" priority="4111">
      <formula>OR(IF(AS51&lt;AT51,TRUE),IF(AND(AT51="",AS51&lt;&gt;""),TRUE))</formula>
    </cfRule>
    <cfRule type="expression" dxfId="2028" priority="4112">
      <formula>IF(AS51&gt;=AT51,IF(AS51="",FALSE,TRUE))</formula>
    </cfRule>
  </conditionalFormatting>
  <conditionalFormatting sqref="AQ51:AQ60">
    <cfRule type="expression" dxfId="2027" priority="4113">
      <formula>OR(IF(AQ51&lt;AR51,TRUE),IF(AND(AR51="",AQ51&lt;&gt;""),TRUE))</formula>
    </cfRule>
    <cfRule type="expression" dxfId="2026" priority="4114">
      <formula>IF(AQ51&gt;=AR51,IF(AQ51="",FALSE,TRUE))</formula>
    </cfRule>
  </conditionalFormatting>
  <conditionalFormatting sqref="J50:K60">
    <cfRule type="colorScale" priority="4094">
      <colorScale>
        <cfvo type="percent" val="0"/>
        <cfvo type="percent" val="100"/>
        <color rgb="FFFF231B"/>
        <color rgb="FF10FF07"/>
      </colorScale>
    </cfRule>
  </conditionalFormatting>
  <conditionalFormatting sqref="J49:J60">
    <cfRule type="colorScale" priority="4093">
      <colorScale>
        <cfvo type="percent" val="0"/>
        <cfvo type="percent" val="100"/>
        <color rgb="FFFF231B"/>
        <color rgb="FF10FF07"/>
      </colorScale>
    </cfRule>
  </conditionalFormatting>
  <conditionalFormatting sqref="K49:K60">
    <cfRule type="colorScale" priority="4092">
      <colorScale>
        <cfvo type="percent" val="0"/>
        <cfvo type="percent" val="100"/>
        <color rgb="FFFF231B"/>
        <color rgb="FF10FF07"/>
      </colorScale>
    </cfRule>
  </conditionalFormatting>
  <conditionalFormatting sqref="AJ67:AJ76">
    <cfRule type="expression" dxfId="2025" priority="4062">
      <formula>OR(IF(AJ67&lt;AK67,TRUE),IF(AND(AK67="",AJ67&lt;&gt;""),TRUE))</formula>
    </cfRule>
    <cfRule type="expression" dxfId="2024" priority="4063">
      <formula>IF(AJ67&gt;=AK67,IF(AJ67="",FALSE,TRUE))</formula>
    </cfRule>
  </conditionalFormatting>
  <conditionalFormatting sqref="AL67:AL76">
    <cfRule type="expression" dxfId="2023" priority="4060">
      <formula>OR(IF(AL67&lt;AM67,TRUE),IF(AND(AM67="",AL67&lt;&gt;""),TRUE))</formula>
    </cfRule>
    <cfRule type="expression" dxfId="2022" priority="4061">
      <formula>IF(AL67&gt;=AM67,IF(AL67="",FALSE,TRUE))</formula>
    </cfRule>
  </conditionalFormatting>
  <conditionalFormatting sqref="O65:O66">
    <cfRule type="expression" dxfId="2021" priority="4090">
      <formula>OR(IF(O65&lt;P65,TRUE),IF(AND(P65="",O65&lt;&gt;""),TRUE))</formula>
    </cfRule>
    <cfRule type="expression" dxfId="2020" priority="4091">
      <formula>IF(O65&gt;=P65,IF(O65="",FALSE,TRUE))</formula>
    </cfRule>
  </conditionalFormatting>
  <conditionalFormatting sqref="Q65:Q66">
    <cfRule type="expression" dxfId="2019" priority="4088">
      <formula>OR(IF(Q65&lt;R65,TRUE),IF(AND(R65="",Q65&lt;&gt;""),TRUE))</formula>
    </cfRule>
    <cfRule type="expression" dxfId="2018" priority="4089">
      <formula>IF(Q65&gt;=R65,IF(Q65="",FALSE,TRUE))</formula>
    </cfRule>
  </conditionalFormatting>
  <conditionalFormatting sqref="Q67:Q76">
    <cfRule type="expression" dxfId="2017" priority="4084">
      <formula>OR(IF(Q67&lt;R67,TRUE),IF(AND(R67="",Q67&lt;&gt;""),TRUE))</formula>
    </cfRule>
    <cfRule type="expression" dxfId="2016" priority="4085">
      <formula>IF(Q67&gt;=R67,IF(Q67="",FALSE,TRUE))</formula>
    </cfRule>
  </conditionalFormatting>
  <conditionalFormatting sqref="O67:O76">
    <cfRule type="expression" dxfId="2015" priority="4086">
      <formula>OR(IF(O67&lt;P67,TRUE),IF(AND(P67="",O67&lt;&gt;""),TRUE))</formula>
    </cfRule>
    <cfRule type="expression" dxfId="2014" priority="4087">
      <formula>IF(O67&gt;=P67,IF(O67="",FALSE,TRUE))</formula>
    </cfRule>
  </conditionalFormatting>
  <conditionalFormatting sqref="V65:V66">
    <cfRule type="expression" dxfId="2013" priority="4082">
      <formula>OR(IF(V65&lt;W65,TRUE),IF(AND(W65="",V65&lt;&gt;""),TRUE))</formula>
    </cfRule>
    <cfRule type="expression" dxfId="2012" priority="4083">
      <formula>IF(V65&gt;=W65,IF(V65="",FALSE,TRUE))</formula>
    </cfRule>
  </conditionalFormatting>
  <conditionalFormatting sqref="X65:X66">
    <cfRule type="expression" dxfId="2011" priority="4080">
      <formula>OR(IF(X65&lt;Y65,TRUE),IF(AND(Y65="",X65&lt;&gt;""),TRUE))</formula>
    </cfRule>
    <cfRule type="expression" dxfId="2010" priority="4081">
      <formula>IF(X65&gt;=Y65,IF(X65="",FALSE,TRUE))</formula>
    </cfRule>
  </conditionalFormatting>
  <conditionalFormatting sqref="X67:X76">
    <cfRule type="expression" dxfId="2009" priority="4076">
      <formula>OR(IF(X67&lt;Y67,TRUE),IF(AND(Y67="",X67&lt;&gt;""),TRUE))</formula>
    </cfRule>
    <cfRule type="expression" dxfId="2008" priority="4077">
      <formula>IF(X67&gt;=Y67,IF(X67="",FALSE,TRUE))</formula>
    </cfRule>
  </conditionalFormatting>
  <conditionalFormatting sqref="V67:V76">
    <cfRule type="expression" dxfId="2007" priority="4078">
      <formula>OR(IF(V67&lt;W67,TRUE),IF(AND(W67="",V67&lt;&gt;""),TRUE))</formula>
    </cfRule>
    <cfRule type="expression" dxfId="2006" priority="4079">
      <formula>IF(V67&gt;=W67,IF(V67="",FALSE,TRUE))</formula>
    </cfRule>
  </conditionalFormatting>
  <conditionalFormatting sqref="AC65:AC66">
    <cfRule type="expression" dxfId="2005" priority="4074">
      <formula>OR(IF(AC65&lt;AD65,TRUE),IF(AND(AD65="",AC65&lt;&gt;""),TRUE))</formula>
    </cfRule>
    <cfRule type="expression" dxfId="2004" priority="4075">
      <formula>IF(AC65&gt;=AD65,IF(AC65="",FALSE,TRUE))</formula>
    </cfRule>
  </conditionalFormatting>
  <conditionalFormatting sqref="AE65:AE66">
    <cfRule type="expression" dxfId="2003" priority="4072">
      <formula>OR(IF(AE65&lt;AF65,TRUE),IF(AND(AF65="",AE65&lt;&gt;""),TRUE))</formula>
    </cfRule>
    <cfRule type="expression" dxfId="2002" priority="4073">
      <formula>IF(AE65&gt;=AF65,IF(AE65="",FALSE,TRUE))</formula>
    </cfRule>
  </conditionalFormatting>
  <conditionalFormatting sqref="AE67:AE76">
    <cfRule type="expression" dxfId="2001" priority="4068">
      <formula>OR(IF(AE67&lt;AF67,TRUE),IF(AND(AF67="",AE67&lt;&gt;""),TRUE))</formula>
    </cfRule>
    <cfRule type="expression" dxfId="2000" priority="4069">
      <formula>IF(AE67&gt;=AF67,IF(AE67="",FALSE,TRUE))</formula>
    </cfRule>
  </conditionalFormatting>
  <conditionalFormatting sqref="AC67:AC76">
    <cfRule type="expression" dxfId="1999" priority="4070">
      <formula>OR(IF(AC67&lt;AD67,TRUE),IF(AND(AD67="",AC67&lt;&gt;""),TRUE))</formula>
    </cfRule>
    <cfRule type="expression" dxfId="1998" priority="4071">
      <formula>IF(AC67&gt;=AD67,IF(AC67="",FALSE,TRUE))</formula>
    </cfRule>
  </conditionalFormatting>
  <conditionalFormatting sqref="AJ65:AJ66">
    <cfRule type="expression" dxfId="1997" priority="4066">
      <formula>OR(IF(AJ65&lt;AK65,TRUE),IF(AND(AK65="",AJ65&lt;&gt;""),TRUE))</formula>
    </cfRule>
    <cfRule type="expression" dxfId="1996" priority="4067">
      <formula>IF(AJ65&gt;=AK65,IF(AJ65="",FALSE,TRUE))</formula>
    </cfRule>
  </conditionalFormatting>
  <conditionalFormatting sqref="AL65:AL66">
    <cfRule type="expression" dxfId="1995" priority="4064">
      <formula>OR(IF(AL65&lt;AM65,TRUE),IF(AND(AM65="",AL65&lt;&gt;""),TRUE))</formula>
    </cfRule>
    <cfRule type="expression" dxfId="1994" priority="4065">
      <formula>IF(AL65&gt;=AM65,IF(AL65="",FALSE,TRUE))</formula>
    </cfRule>
  </conditionalFormatting>
  <conditionalFormatting sqref="AQ65:AQ66">
    <cfRule type="expression" dxfId="1993" priority="4058">
      <formula>OR(IF(AQ65&lt;AR65,TRUE),IF(AND(AR65="",AQ65&lt;&gt;""),TRUE))</formula>
    </cfRule>
    <cfRule type="expression" dxfId="1992" priority="4059">
      <formula>IF(AQ65&gt;=AR65,IF(AQ65="",FALSE,TRUE))</formula>
    </cfRule>
  </conditionalFormatting>
  <conditionalFormatting sqref="AS65:AS66">
    <cfRule type="expression" dxfId="1991" priority="4056">
      <formula>OR(IF(AS65&lt;AT65,TRUE),IF(AND(AT65="",AS65&lt;&gt;""),TRUE))</formula>
    </cfRule>
    <cfRule type="expression" dxfId="1990" priority="4057">
      <formula>IF(AS65&gt;=AT65,IF(AS65="",FALSE,TRUE))</formula>
    </cfRule>
  </conditionalFormatting>
  <conditionalFormatting sqref="AS67:AS76">
    <cfRule type="expression" dxfId="1989" priority="4052">
      <formula>OR(IF(AS67&lt;AT67,TRUE),IF(AND(AT67="",AS67&lt;&gt;""),TRUE))</formula>
    </cfRule>
    <cfRule type="expression" dxfId="1988" priority="4053">
      <formula>IF(AS67&gt;=AT67,IF(AS67="",FALSE,TRUE))</formula>
    </cfRule>
  </conditionalFormatting>
  <conditionalFormatting sqref="AQ67:AQ76">
    <cfRule type="expression" dxfId="1987" priority="4054">
      <formula>OR(IF(AQ67&lt;AR67,TRUE),IF(AND(AR67="",AQ67&lt;&gt;""),TRUE))</formula>
    </cfRule>
    <cfRule type="expression" dxfId="1986" priority="4055">
      <formula>IF(AQ67&gt;=AR67,IF(AQ67="",FALSE,TRUE))</formula>
    </cfRule>
  </conditionalFormatting>
  <conditionalFormatting sqref="J66:K76">
    <cfRule type="colorScale" priority="4035">
      <colorScale>
        <cfvo type="percent" val="0"/>
        <cfvo type="percent" val="100"/>
        <color rgb="FFFF231B"/>
        <color rgb="FF10FF07"/>
      </colorScale>
    </cfRule>
  </conditionalFormatting>
  <conditionalFormatting sqref="J65:J76">
    <cfRule type="colorScale" priority="4034">
      <colorScale>
        <cfvo type="percent" val="0"/>
        <cfvo type="percent" val="100"/>
        <color rgb="FFFF231B"/>
        <color rgb="FF10FF07"/>
      </colorScale>
    </cfRule>
  </conditionalFormatting>
  <conditionalFormatting sqref="K65:K76">
    <cfRule type="colorScale" priority="4033">
      <colorScale>
        <cfvo type="percent" val="0"/>
        <cfvo type="percent" val="100"/>
        <color rgb="FFFF231B"/>
        <color rgb="FF10FF07"/>
      </colorScale>
    </cfRule>
  </conditionalFormatting>
  <conditionalFormatting sqref="AJ97:AJ106">
    <cfRule type="expression" dxfId="1985" priority="4003">
      <formula>OR(IF(AJ97&lt;AK97,TRUE),IF(AND(AK97="",AJ97&lt;&gt;""),TRUE))</formula>
    </cfRule>
    <cfRule type="expression" dxfId="1984" priority="4004">
      <formula>IF(AJ97&gt;=AK97,IF(AJ97="",FALSE,TRUE))</formula>
    </cfRule>
  </conditionalFormatting>
  <conditionalFormatting sqref="AL97:AL106">
    <cfRule type="expression" dxfId="1983" priority="4001">
      <formula>OR(IF(AL97&lt;AM97,TRUE),IF(AND(AM97="",AL97&lt;&gt;""),TRUE))</formula>
    </cfRule>
    <cfRule type="expression" dxfId="1982" priority="4002">
      <formula>IF(AL97&gt;=AM97,IF(AL97="",FALSE,TRUE))</formula>
    </cfRule>
  </conditionalFormatting>
  <conditionalFormatting sqref="O95:O96">
    <cfRule type="expression" dxfId="1981" priority="4031">
      <formula>OR(IF(O95&lt;P95,TRUE),IF(AND(P95="",O95&lt;&gt;""),TRUE))</formula>
    </cfRule>
    <cfRule type="expression" dxfId="1980" priority="4032">
      <formula>IF(O95&gt;=P95,IF(O95="",FALSE,TRUE))</formula>
    </cfRule>
  </conditionalFormatting>
  <conditionalFormatting sqref="Q95:Q96">
    <cfRule type="expression" dxfId="1979" priority="4029">
      <formula>OR(IF(Q95&lt;R95,TRUE),IF(AND(R95="",Q95&lt;&gt;""),TRUE))</formula>
    </cfRule>
    <cfRule type="expression" dxfId="1978" priority="4030">
      <formula>IF(Q95&gt;=R95,IF(Q95="",FALSE,TRUE))</formula>
    </cfRule>
  </conditionalFormatting>
  <conditionalFormatting sqref="Q97:Q106">
    <cfRule type="expression" dxfId="1977" priority="4025">
      <formula>OR(IF(Q97&lt;R97,TRUE),IF(AND(R97="",Q97&lt;&gt;""),TRUE))</formula>
    </cfRule>
    <cfRule type="expression" dxfId="1976" priority="4026">
      <formula>IF(Q97&gt;=R97,IF(Q97="",FALSE,TRUE))</formula>
    </cfRule>
  </conditionalFormatting>
  <conditionalFormatting sqref="O97:O106">
    <cfRule type="expression" dxfId="1975" priority="4027">
      <formula>OR(IF(O97&lt;P97,TRUE),IF(AND(P97="",O97&lt;&gt;""),TRUE))</formula>
    </cfRule>
    <cfRule type="expression" dxfId="1974" priority="4028">
      <formula>IF(O97&gt;=P97,IF(O97="",FALSE,TRUE))</formula>
    </cfRule>
  </conditionalFormatting>
  <conditionalFormatting sqref="V95:V96">
    <cfRule type="expression" dxfId="1973" priority="4023">
      <formula>OR(IF(V95&lt;W95,TRUE),IF(AND(W95="",V95&lt;&gt;""),TRUE))</formula>
    </cfRule>
    <cfRule type="expression" dxfId="1972" priority="4024">
      <formula>IF(V95&gt;=W95,IF(V95="",FALSE,TRUE))</formula>
    </cfRule>
  </conditionalFormatting>
  <conditionalFormatting sqref="X95:X96">
    <cfRule type="expression" dxfId="1971" priority="4021">
      <formula>OR(IF(X95&lt;Y95,TRUE),IF(AND(Y95="",X95&lt;&gt;""),TRUE))</formula>
    </cfRule>
    <cfRule type="expression" dxfId="1970" priority="4022">
      <formula>IF(X95&gt;=Y95,IF(X95="",FALSE,TRUE))</formula>
    </cfRule>
  </conditionalFormatting>
  <conditionalFormatting sqref="X97:X106">
    <cfRule type="expression" dxfId="1969" priority="4017">
      <formula>OR(IF(X97&lt;Y97,TRUE),IF(AND(Y97="",X97&lt;&gt;""),TRUE))</formula>
    </cfRule>
    <cfRule type="expression" dxfId="1968" priority="4018">
      <formula>IF(X97&gt;=Y97,IF(X97="",FALSE,TRUE))</formula>
    </cfRule>
  </conditionalFormatting>
  <conditionalFormatting sqref="V97:V106">
    <cfRule type="expression" dxfId="1967" priority="4019">
      <formula>OR(IF(V97&lt;W97,TRUE),IF(AND(W97="",V97&lt;&gt;""),TRUE))</formula>
    </cfRule>
    <cfRule type="expression" dxfId="1966" priority="4020">
      <formula>IF(V97&gt;=W97,IF(V97="",FALSE,TRUE))</formula>
    </cfRule>
  </conditionalFormatting>
  <conditionalFormatting sqref="AC95:AC96">
    <cfRule type="expression" dxfId="1965" priority="4015">
      <formula>OR(IF(AC95&lt;AD95,TRUE),IF(AND(AD95="",AC95&lt;&gt;""),TRUE))</formula>
    </cfRule>
    <cfRule type="expression" dxfId="1964" priority="4016">
      <formula>IF(AC95&gt;=AD95,IF(AC95="",FALSE,TRUE))</formula>
    </cfRule>
  </conditionalFormatting>
  <conditionalFormatting sqref="AE95:AE96">
    <cfRule type="expression" dxfId="1963" priority="4013">
      <formula>OR(IF(AE95&lt;AF95,TRUE),IF(AND(AF95="",AE95&lt;&gt;""),TRUE))</formula>
    </cfRule>
    <cfRule type="expression" dxfId="1962" priority="4014">
      <formula>IF(AE95&gt;=AF95,IF(AE95="",FALSE,TRUE))</formula>
    </cfRule>
  </conditionalFormatting>
  <conditionalFormatting sqref="AE97:AE106">
    <cfRule type="expression" dxfId="1961" priority="4009">
      <formula>OR(IF(AE97&lt;AF97,TRUE),IF(AND(AF97="",AE97&lt;&gt;""),TRUE))</formula>
    </cfRule>
    <cfRule type="expression" dxfId="1960" priority="4010">
      <formula>IF(AE97&gt;=AF97,IF(AE97="",FALSE,TRUE))</formula>
    </cfRule>
  </conditionalFormatting>
  <conditionalFormatting sqref="AC97:AC106">
    <cfRule type="expression" dxfId="1959" priority="4011">
      <formula>OR(IF(AC97&lt;AD97,TRUE),IF(AND(AD97="",AC97&lt;&gt;""),TRUE))</formula>
    </cfRule>
    <cfRule type="expression" dxfId="1958" priority="4012">
      <formula>IF(AC97&gt;=AD97,IF(AC97="",FALSE,TRUE))</formula>
    </cfRule>
  </conditionalFormatting>
  <conditionalFormatting sqref="AJ95:AJ96">
    <cfRule type="expression" dxfId="1957" priority="4007">
      <formula>OR(IF(AJ95&lt;AK95,TRUE),IF(AND(AK95="",AJ95&lt;&gt;""),TRUE))</formula>
    </cfRule>
    <cfRule type="expression" dxfId="1956" priority="4008">
      <formula>IF(AJ95&gt;=AK95,IF(AJ95="",FALSE,TRUE))</formula>
    </cfRule>
  </conditionalFormatting>
  <conditionalFormatting sqref="AL95:AL96">
    <cfRule type="expression" dxfId="1955" priority="4005">
      <formula>OR(IF(AL95&lt;AM95,TRUE),IF(AND(AM95="",AL95&lt;&gt;""),TRUE))</formula>
    </cfRule>
    <cfRule type="expression" dxfId="1954" priority="4006">
      <formula>IF(AL95&gt;=AM95,IF(AL95="",FALSE,TRUE))</formula>
    </cfRule>
  </conditionalFormatting>
  <conditionalFormatting sqref="AQ95:AQ96">
    <cfRule type="expression" dxfId="1953" priority="3999">
      <formula>OR(IF(AQ95&lt;AR95,TRUE),IF(AND(AR95="",AQ95&lt;&gt;""),TRUE))</formula>
    </cfRule>
    <cfRule type="expression" dxfId="1952" priority="4000">
      <formula>IF(AQ95&gt;=AR95,IF(AQ95="",FALSE,TRUE))</formula>
    </cfRule>
  </conditionalFormatting>
  <conditionalFormatting sqref="AS95:AS96">
    <cfRule type="expression" dxfId="1951" priority="3997">
      <formula>OR(IF(AS95&lt;AT95,TRUE),IF(AND(AT95="",AS95&lt;&gt;""),TRUE))</formula>
    </cfRule>
    <cfRule type="expression" dxfId="1950" priority="3998">
      <formula>IF(AS95&gt;=AT95,IF(AS95="",FALSE,TRUE))</formula>
    </cfRule>
  </conditionalFormatting>
  <conditionalFormatting sqref="AS97:AS106">
    <cfRule type="expression" dxfId="1949" priority="3993">
      <formula>OR(IF(AS97&lt;AT97,TRUE),IF(AND(AT97="",AS97&lt;&gt;""),TRUE))</formula>
    </cfRule>
    <cfRule type="expression" dxfId="1948" priority="3994">
      <formula>IF(AS97&gt;=AT97,IF(AS97="",FALSE,TRUE))</formula>
    </cfRule>
  </conditionalFormatting>
  <conditionalFormatting sqref="AQ97:AQ106">
    <cfRule type="expression" dxfId="1947" priority="3995">
      <formula>OR(IF(AQ97&lt;AR97,TRUE),IF(AND(AR97="",AQ97&lt;&gt;""),TRUE))</formula>
    </cfRule>
    <cfRule type="expression" dxfId="1946" priority="3996">
      <formula>IF(AQ97&gt;=AR97,IF(AQ97="",FALSE,TRUE))</formula>
    </cfRule>
  </conditionalFormatting>
  <conditionalFormatting sqref="J96:K106">
    <cfRule type="colorScale" priority="3976">
      <colorScale>
        <cfvo type="percent" val="0"/>
        <cfvo type="percent" val="100"/>
        <color rgb="FFFF231B"/>
        <color rgb="FF10FF07"/>
      </colorScale>
    </cfRule>
  </conditionalFormatting>
  <conditionalFormatting sqref="J95:J106">
    <cfRule type="colorScale" priority="3975">
      <colorScale>
        <cfvo type="percent" val="0"/>
        <cfvo type="percent" val="100"/>
        <color rgb="FFFF231B"/>
        <color rgb="FF10FF07"/>
      </colorScale>
    </cfRule>
  </conditionalFormatting>
  <conditionalFormatting sqref="K95:K106">
    <cfRule type="colorScale" priority="3974">
      <colorScale>
        <cfvo type="percent" val="0"/>
        <cfvo type="percent" val="100"/>
        <color rgb="FFFF231B"/>
        <color rgb="FF10FF07"/>
      </colorScale>
    </cfRule>
  </conditionalFormatting>
  <conditionalFormatting sqref="AJ77">
    <cfRule type="expression" dxfId="1945" priority="3960">
      <formula>OR(IF(AJ77&lt;AK77,TRUE),IF(AND(AK77="",AJ77&lt;&gt;""),TRUE))</formula>
    </cfRule>
    <cfRule type="expression" dxfId="1944" priority="3961">
      <formula>IF(AJ77&gt;=AK77,IF(AJ77="",FALSE,TRUE))</formula>
    </cfRule>
  </conditionalFormatting>
  <conditionalFormatting sqref="AL77">
    <cfRule type="expression" dxfId="1943" priority="3958">
      <formula>OR(IF(AL77&lt;AM77,TRUE),IF(AND(AM77="",AL77&lt;&gt;""),TRUE))</formula>
    </cfRule>
    <cfRule type="expression" dxfId="1942" priority="3959">
      <formula>IF(AL77&gt;=AM77,IF(AL77="",FALSE,TRUE))</formula>
    </cfRule>
  </conditionalFormatting>
  <conditionalFormatting sqref="Q77">
    <cfRule type="expression" dxfId="1941" priority="3970">
      <formula>OR(IF(Q77&lt;R77,TRUE),IF(AND(R77="",Q77&lt;&gt;""),TRUE))</formula>
    </cfRule>
    <cfRule type="expression" dxfId="1940" priority="3971">
      <formula>IF(Q77&gt;=R77,IF(Q77="",FALSE,TRUE))</formula>
    </cfRule>
  </conditionalFormatting>
  <conditionalFormatting sqref="O77">
    <cfRule type="expression" dxfId="1939" priority="3972">
      <formula>OR(IF(O77&lt;P77,TRUE),IF(AND(P77="",O77&lt;&gt;""),TRUE))</formula>
    </cfRule>
    <cfRule type="expression" dxfId="1938" priority="3973">
      <formula>IF(O77&gt;=P77,IF(O77="",FALSE,TRUE))</formula>
    </cfRule>
  </conditionalFormatting>
  <conditionalFormatting sqref="X77">
    <cfRule type="expression" dxfId="1937" priority="3966">
      <formula>OR(IF(X77&lt;Y77,TRUE),IF(AND(Y77="",X77&lt;&gt;""),TRUE))</formula>
    </cfRule>
    <cfRule type="expression" dxfId="1936" priority="3967">
      <formula>IF(X77&gt;=Y77,IF(X77="",FALSE,TRUE))</formula>
    </cfRule>
  </conditionalFormatting>
  <conditionalFormatting sqref="V77">
    <cfRule type="expression" dxfId="1935" priority="3968">
      <formula>OR(IF(V77&lt;W77,TRUE),IF(AND(W77="",V77&lt;&gt;""),TRUE))</formula>
    </cfRule>
    <cfRule type="expression" dxfId="1934" priority="3969">
      <formula>IF(V77&gt;=W77,IF(V77="",FALSE,TRUE))</formula>
    </cfRule>
  </conditionalFormatting>
  <conditionalFormatting sqref="AE77">
    <cfRule type="expression" dxfId="1933" priority="3962">
      <formula>OR(IF(AE77&lt;AF77,TRUE),IF(AND(AF77="",AE77&lt;&gt;""),TRUE))</formula>
    </cfRule>
    <cfRule type="expression" dxfId="1932" priority="3963">
      <formula>IF(AE77&gt;=AF77,IF(AE77="",FALSE,TRUE))</formula>
    </cfRule>
  </conditionalFormatting>
  <conditionalFormatting sqref="AC77">
    <cfRule type="expression" dxfId="1931" priority="3964">
      <formula>OR(IF(AC77&lt;AD77,TRUE),IF(AND(AD77="",AC77&lt;&gt;""),TRUE))</formula>
    </cfRule>
    <cfRule type="expression" dxfId="1930" priority="3965">
      <formula>IF(AC77&gt;=AD77,IF(AC77="",FALSE,TRUE))</formula>
    </cfRule>
  </conditionalFormatting>
  <conditionalFormatting sqref="AS77">
    <cfRule type="expression" dxfId="1929" priority="3954">
      <formula>OR(IF(AS77&lt;AT77,TRUE),IF(AND(AT77="",AS77&lt;&gt;""),TRUE))</formula>
    </cfRule>
    <cfRule type="expression" dxfId="1928" priority="3955">
      <formula>IF(AS77&gt;=AT77,IF(AS77="",FALSE,TRUE))</formula>
    </cfRule>
  </conditionalFormatting>
  <conditionalFormatting sqref="AQ77">
    <cfRule type="expression" dxfId="1927" priority="3956">
      <formula>OR(IF(AQ77&lt;AR77,TRUE),IF(AND(AR77="",AQ77&lt;&gt;""),TRUE))</formula>
    </cfRule>
    <cfRule type="expression" dxfId="1926" priority="3957">
      <formula>IF(AQ77&gt;=AR77,IF(AQ77="",FALSE,TRUE))</formula>
    </cfRule>
  </conditionalFormatting>
  <conditionalFormatting sqref="J77:K77">
    <cfRule type="colorScale" priority="3945">
      <colorScale>
        <cfvo type="percent" val="0"/>
        <cfvo type="percent" val="100"/>
        <color rgb="FFFF231B"/>
        <color rgb="FF10FF07"/>
      </colorScale>
    </cfRule>
  </conditionalFormatting>
  <conditionalFormatting sqref="J77">
    <cfRule type="colorScale" priority="3944">
      <colorScale>
        <cfvo type="percent" val="0"/>
        <cfvo type="percent" val="100"/>
        <color rgb="FFFF231B"/>
        <color rgb="FF10FF07"/>
      </colorScale>
    </cfRule>
  </conditionalFormatting>
  <conditionalFormatting sqref="K77">
    <cfRule type="colorScale" priority="3943">
      <colorScale>
        <cfvo type="percent" val="0"/>
        <cfvo type="percent" val="100"/>
        <color rgb="FFFF231B"/>
        <color rgb="FF10FF07"/>
      </colorScale>
    </cfRule>
  </conditionalFormatting>
  <conditionalFormatting sqref="AJ78">
    <cfRule type="expression" dxfId="1925" priority="3929">
      <formula>OR(IF(AJ78&lt;AK78,TRUE),IF(AND(AK78="",AJ78&lt;&gt;""),TRUE))</formula>
    </cfRule>
    <cfRule type="expression" dxfId="1924" priority="3930">
      <formula>IF(AJ78&gt;=AK78,IF(AJ78="",FALSE,TRUE))</formula>
    </cfRule>
  </conditionalFormatting>
  <conditionalFormatting sqref="AL78">
    <cfRule type="expression" dxfId="1923" priority="3927">
      <formula>OR(IF(AL78&lt;AM78,TRUE),IF(AND(AM78="",AL78&lt;&gt;""),TRUE))</formula>
    </cfRule>
    <cfRule type="expression" dxfId="1922" priority="3928">
      <formula>IF(AL78&gt;=AM78,IF(AL78="",FALSE,TRUE))</formula>
    </cfRule>
  </conditionalFormatting>
  <conditionalFormatting sqref="Q78">
    <cfRule type="expression" dxfId="1921" priority="3939">
      <formula>OR(IF(Q78&lt;R78,TRUE),IF(AND(R78="",Q78&lt;&gt;""),TRUE))</formula>
    </cfRule>
    <cfRule type="expression" dxfId="1920" priority="3940">
      <formula>IF(Q78&gt;=R78,IF(Q78="",FALSE,TRUE))</formula>
    </cfRule>
  </conditionalFormatting>
  <conditionalFormatting sqref="O78">
    <cfRule type="expression" dxfId="1919" priority="3941">
      <formula>OR(IF(O78&lt;P78,TRUE),IF(AND(P78="",O78&lt;&gt;""),TRUE))</formula>
    </cfRule>
    <cfRule type="expression" dxfId="1918" priority="3942">
      <formula>IF(O78&gt;=P78,IF(O78="",FALSE,TRUE))</formula>
    </cfRule>
  </conditionalFormatting>
  <conditionalFormatting sqref="X78">
    <cfRule type="expression" dxfId="1917" priority="3935">
      <formula>OR(IF(X78&lt;Y78,TRUE),IF(AND(Y78="",X78&lt;&gt;""),TRUE))</formula>
    </cfRule>
    <cfRule type="expression" dxfId="1916" priority="3936">
      <formula>IF(X78&gt;=Y78,IF(X78="",FALSE,TRUE))</formula>
    </cfRule>
  </conditionalFormatting>
  <conditionalFormatting sqref="V78">
    <cfRule type="expression" dxfId="1915" priority="3937">
      <formula>OR(IF(V78&lt;W78,TRUE),IF(AND(W78="",V78&lt;&gt;""),TRUE))</formula>
    </cfRule>
    <cfRule type="expression" dxfId="1914" priority="3938">
      <formula>IF(V78&gt;=W78,IF(V78="",FALSE,TRUE))</formula>
    </cfRule>
  </conditionalFormatting>
  <conditionalFormatting sqref="AE78">
    <cfRule type="expression" dxfId="1913" priority="3931">
      <formula>OR(IF(AE78&lt;AF78,TRUE),IF(AND(AF78="",AE78&lt;&gt;""),TRUE))</formula>
    </cfRule>
    <cfRule type="expression" dxfId="1912" priority="3932">
      <formula>IF(AE78&gt;=AF78,IF(AE78="",FALSE,TRUE))</formula>
    </cfRule>
  </conditionalFormatting>
  <conditionalFormatting sqref="AC78">
    <cfRule type="expression" dxfId="1911" priority="3933">
      <formula>OR(IF(AC78&lt;AD78,TRUE),IF(AND(AD78="",AC78&lt;&gt;""),TRUE))</formula>
    </cfRule>
    <cfRule type="expression" dxfId="1910" priority="3934">
      <formula>IF(AC78&gt;=AD78,IF(AC78="",FALSE,TRUE))</formula>
    </cfRule>
  </conditionalFormatting>
  <conditionalFormatting sqref="AS78">
    <cfRule type="expression" dxfId="1909" priority="3923">
      <formula>OR(IF(AS78&lt;AT78,TRUE),IF(AND(AT78="",AS78&lt;&gt;""),TRUE))</formula>
    </cfRule>
    <cfRule type="expression" dxfId="1908" priority="3924">
      <formula>IF(AS78&gt;=AT78,IF(AS78="",FALSE,TRUE))</formula>
    </cfRule>
  </conditionalFormatting>
  <conditionalFormatting sqref="AQ78">
    <cfRule type="expression" dxfId="1907" priority="3925">
      <formula>OR(IF(AQ78&lt;AR78,TRUE),IF(AND(AR78="",AQ78&lt;&gt;""),TRUE))</formula>
    </cfRule>
    <cfRule type="expression" dxfId="1906" priority="3926">
      <formula>IF(AQ78&gt;=AR78,IF(AQ78="",FALSE,TRUE))</formula>
    </cfRule>
  </conditionalFormatting>
  <conditionalFormatting sqref="J78:K78">
    <cfRule type="colorScale" priority="3914">
      <colorScale>
        <cfvo type="percent" val="0"/>
        <cfvo type="percent" val="100"/>
        <color rgb="FFFF231B"/>
        <color rgb="FF10FF07"/>
      </colorScale>
    </cfRule>
  </conditionalFormatting>
  <conditionalFormatting sqref="J78">
    <cfRule type="colorScale" priority="3913">
      <colorScale>
        <cfvo type="percent" val="0"/>
        <cfvo type="percent" val="100"/>
        <color rgb="FFFF231B"/>
        <color rgb="FF10FF07"/>
      </colorScale>
    </cfRule>
  </conditionalFormatting>
  <conditionalFormatting sqref="K78">
    <cfRule type="colorScale" priority="3912">
      <colorScale>
        <cfvo type="percent" val="0"/>
        <cfvo type="percent" val="100"/>
        <color rgb="FFFF231B"/>
        <color rgb="FF10FF07"/>
      </colorScale>
    </cfRule>
  </conditionalFormatting>
  <conditionalFormatting sqref="AJ79">
    <cfRule type="expression" dxfId="1905" priority="3898">
      <formula>OR(IF(AJ79&lt;AK79,TRUE),IF(AND(AK79="",AJ79&lt;&gt;""),TRUE))</formula>
    </cfRule>
    <cfRule type="expression" dxfId="1904" priority="3899">
      <formula>IF(AJ79&gt;=AK79,IF(AJ79="",FALSE,TRUE))</formula>
    </cfRule>
  </conditionalFormatting>
  <conditionalFormatting sqref="AL79">
    <cfRule type="expression" dxfId="1903" priority="3896">
      <formula>OR(IF(AL79&lt;AM79,TRUE),IF(AND(AM79="",AL79&lt;&gt;""),TRUE))</formula>
    </cfRule>
    <cfRule type="expression" dxfId="1902" priority="3897">
      <formula>IF(AL79&gt;=AM79,IF(AL79="",FALSE,TRUE))</formula>
    </cfRule>
  </conditionalFormatting>
  <conditionalFormatting sqref="Q79">
    <cfRule type="expression" dxfId="1901" priority="3908">
      <formula>OR(IF(Q79&lt;R79,TRUE),IF(AND(R79="",Q79&lt;&gt;""),TRUE))</formula>
    </cfRule>
    <cfRule type="expression" dxfId="1900" priority="3909">
      <formula>IF(Q79&gt;=R79,IF(Q79="",FALSE,TRUE))</formula>
    </cfRule>
  </conditionalFormatting>
  <conditionalFormatting sqref="O79">
    <cfRule type="expression" dxfId="1899" priority="3910">
      <formula>OR(IF(O79&lt;P79,TRUE),IF(AND(P79="",O79&lt;&gt;""),TRUE))</formula>
    </cfRule>
    <cfRule type="expression" dxfId="1898" priority="3911">
      <formula>IF(O79&gt;=P79,IF(O79="",FALSE,TRUE))</formula>
    </cfRule>
  </conditionalFormatting>
  <conditionalFormatting sqref="X79">
    <cfRule type="expression" dxfId="1897" priority="3904">
      <formula>OR(IF(X79&lt;Y79,TRUE),IF(AND(Y79="",X79&lt;&gt;""),TRUE))</formula>
    </cfRule>
    <cfRule type="expression" dxfId="1896" priority="3905">
      <formula>IF(X79&gt;=Y79,IF(X79="",FALSE,TRUE))</formula>
    </cfRule>
  </conditionalFormatting>
  <conditionalFormatting sqref="V79">
    <cfRule type="expression" dxfId="1895" priority="3906">
      <formula>OR(IF(V79&lt;W79,TRUE),IF(AND(W79="",V79&lt;&gt;""),TRUE))</formula>
    </cfRule>
    <cfRule type="expression" dxfId="1894" priority="3907">
      <formula>IF(V79&gt;=W79,IF(V79="",FALSE,TRUE))</formula>
    </cfRule>
  </conditionalFormatting>
  <conditionalFormatting sqref="AE79">
    <cfRule type="expression" dxfId="1893" priority="3900">
      <formula>OR(IF(AE79&lt;AF79,TRUE),IF(AND(AF79="",AE79&lt;&gt;""),TRUE))</formula>
    </cfRule>
    <cfRule type="expression" dxfId="1892" priority="3901">
      <formula>IF(AE79&gt;=AF79,IF(AE79="",FALSE,TRUE))</formula>
    </cfRule>
  </conditionalFormatting>
  <conditionalFormatting sqref="AC79">
    <cfRule type="expression" dxfId="1891" priority="3902">
      <formula>OR(IF(AC79&lt;AD79,TRUE),IF(AND(AD79="",AC79&lt;&gt;""),TRUE))</formula>
    </cfRule>
    <cfRule type="expression" dxfId="1890" priority="3903">
      <formula>IF(AC79&gt;=AD79,IF(AC79="",FALSE,TRUE))</formula>
    </cfRule>
  </conditionalFormatting>
  <conditionalFormatting sqref="AS79">
    <cfRule type="expression" dxfId="1889" priority="3892">
      <formula>OR(IF(AS79&lt;AT79,TRUE),IF(AND(AT79="",AS79&lt;&gt;""),TRUE))</formula>
    </cfRule>
    <cfRule type="expression" dxfId="1888" priority="3893">
      <formula>IF(AS79&gt;=AT79,IF(AS79="",FALSE,TRUE))</formula>
    </cfRule>
  </conditionalFormatting>
  <conditionalFormatting sqref="AQ79">
    <cfRule type="expression" dxfId="1887" priority="3894">
      <formula>OR(IF(AQ79&lt;AR79,TRUE),IF(AND(AR79="",AQ79&lt;&gt;""),TRUE))</formula>
    </cfRule>
    <cfRule type="expression" dxfId="1886" priority="3895">
      <formula>IF(AQ79&gt;=AR79,IF(AQ79="",FALSE,TRUE))</formula>
    </cfRule>
  </conditionalFormatting>
  <conditionalFormatting sqref="J79:K79">
    <cfRule type="colorScale" priority="3883">
      <colorScale>
        <cfvo type="percent" val="0"/>
        <cfvo type="percent" val="100"/>
        <color rgb="FFFF231B"/>
        <color rgb="FF10FF07"/>
      </colorScale>
    </cfRule>
  </conditionalFormatting>
  <conditionalFormatting sqref="J79">
    <cfRule type="colorScale" priority="3882">
      <colorScale>
        <cfvo type="percent" val="0"/>
        <cfvo type="percent" val="100"/>
        <color rgb="FFFF231B"/>
        <color rgb="FF10FF07"/>
      </colorScale>
    </cfRule>
  </conditionalFormatting>
  <conditionalFormatting sqref="K79">
    <cfRule type="colorScale" priority="3881">
      <colorScale>
        <cfvo type="percent" val="0"/>
        <cfvo type="percent" val="100"/>
        <color rgb="FFFF231B"/>
        <color rgb="FF10FF07"/>
      </colorScale>
    </cfRule>
  </conditionalFormatting>
  <conditionalFormatting sqref="AJ80">
    <cfRule type="expression" dxfId="1885" priority="3867">
      <formula>OR(IF(AJ80&lt;AK80,TRUE),IF(AND(AK80="",AJ80&lt;&gt;""),TRUE))</formula>
    </cfRule>
    <cfRule type="expression" dxfId="1884" priority="3868">
      <formula>IF(AJ80&gt;=AK80,IF(AJ80="",FALSE,TRUE))</formula>
    </cfRule>
  </conditionalFormatting>
  <conditionalFormatting sqref="AL80">
    <cfRule type="expression" dxfId="1883" priority="3865">
      <formula>OR(IF(AL80&lt;AM80,TRUE),IF(AND(AM80="",AL80&lt;&gt;""),TRUE))</formula>
    </cfRule>
    <cfRule type="expression" dxfId="1882" priority="3866">
      <formula>IF(AL80&gt;=AM80,IF(AL80="",FALSE,TRUE))</formula>
    </cfRule>
  </conditionalFormatting>
  <conditionalFormatting sqref="Q80">
    <cfRule type="expression" dxfId="1881" priority="3877">
      <formula>OR(IF(Q80&lt;R80,TRUE),IF(AND(R80="",Q80&lt;&gt;""),TRUE))</formula>
    </cfRule>
    <cfRule type="expression" dxfId="1880" priority="3878">
      <formula>IF(Q80&gt;=R80,IF(Q80="",FALSE,TRUE))</formula>
    </cfRule>
  </conditionalFormatting>
  <conditionalFormatting sqref="O80">
    <cfRule type="expression" dxfId="1879" priority="3879">
      <formula>OR(IF(O80&lt;P80,TRUE),IF(AND(P80="",O80&lt;&gt;""),TRUE))</formula>
    </cfRule>
    <cfRule type="expression" dxfId="1878" priority="3880">
      <formula>IF(O80&gt;=P80,IF(O80="",FALSE,TRUE))</formula>
    </cfRule>
  </conditionalFormatting>
  <conditionalFormatting sqref="X80">
    <cfRule type="expression" dxfId="1877" priority="3873">
      <formula>OR(IF(X80&lt;Y80,TRUE),IF(AND(Y80="",X80&lt;&gt;""),TRUE))</formula>
    </cfRule>
    <cfRule type="expression" dxfId="1876" priority="3874">
      <formula>IF(X80&gt;=Y80,IF(X80="",FALSE,TRUE))</formula>
    </cfRule>
  </conditionalFormatting>
  <conditionalFormatting sqref="V80">
    <cfRule type="expression" dxfId="1875" priority="3875">
      <formula>OR(IF(V80&lt;W80,TRUE),IF(AND(W80="",V80&lt;&gt;""),TRUE))</formula>
    </cfRule>
    <cfRule type="expression" dxfId="1874" priority="3876">
      <formula>IF(V80&gt;=W80,IF(V80="",FALSE,TRUE))</formula>
    </cfRule>
  </conditionalFormatting>
  <conditionalFormatting sqref="AE80">
    <cfRule type="expression" dxfId="1873" priority="3869">
      <formula>OR(IF(AE80&lt;AF80,TRUE),IF(AND(AF80="",AE80&lt;&gt;""),TRUE))</formula>
    </cfRule>
    <cfRule type="expression" dxfId="1872" priority="3870">
      <formula>IF(AE80&gt;=AF80,IF(AE80="",FALSE,TRUE))</formula>
    </cfRule>
  </conditionalFormatting>
  <conditionalFormatting sqref="AC80">
    <cfRule type="expression" dxfId="1871" priority="3871">
      <formula>OR(IF(AC80&lt;AD80,TRUE),IF(AND(AD80="",AC80&lt;&gt;""),TRUE))</formula>
    </cfRule>
    <cfRule type="expression" dxfId="1870" priority="3872">
      <formula>IF(AC80&gt;=AD80,IF(AC80="",FALSE,TRUE))</formula>
    </cfRule>
  </conditionalFormatting>
  <conditionalFormatting sqref="AS80">
    <cfRule type="expression" dxfId="1869" priority="3861">
      <formula>OR(IF(AS80&lt;AT80,TRUE),IF(AND(AT80="",AS80&lt;&gt;""),TRUE))</formula>
    </cfRule>
    <cfRule type="expression" dxfId="1868" priority="3862">
      <formula>IF(AS80&gt;=AT80,IF(AS80="",FALSE,TRUE))</formula>
    </cfRule>
  </conditionalFormatting>
  <conditionalFormatting sqref="AQ80">
    <cfRule type="expression" dxfId="1867" priority="3863">
      <formula>OR(IF(AQ80&lt;AR80,TRUE),IF(AND(AR80="",AQ80&lt;&gt;""),TRUE))</formula>
    </cfRule>
    <cfRule type="expression" dxfId="1866" priority="3864">
      <formula>IF(AQ80&gt;=AR80,IF(AQ80="",FALSE,TRUE))</formula>
    </cfRule>
  </conditionalFormatting>
  <conditionalFormatting sqref="J80:K80">
    <cfRule type="colorScale" priority="3852">
      <colorScale>
        <cfvo type="percent" val="0"/>
        <cfvo type="percent" val="100"/>
        <color rgb="FFFF231B"/>
        <color rgb="FF10FF07"/>
      </colorScale>
    </cfRule>
  </conditionalFormatting>
  <conditionalFormatting sqref="J80">
    <cfRule type="colorScale" priority="3851">
      <colorScale>
        <cfvo type="percent" val="0"/>
        <cfvo type="percent" val="100"/>
        <color rgb="FFFF231B"/>
        <color rgb="FF10FF07"/>
      </colorScale>
    </cfRule>
  </conditionalFormatting>
  <conditionalFormatting sqref="K80">
    <cfRule type="colorScale" priority="3850">
      <colorScale>
        <cfvo type="percent" val="0"/>
        <cfvo type="percent" val="100"/>
        <color rgb="FFFF231B"/>
        <color rgb="FF10FF07"/>
      </colorScale>
    </cfRule>
  </conditionalFormatting>
  <conditionalFormatting sqref="AJ81">
    <cfRule type="expression" dxfId="1865" priority="3836">
      <formula>OR(IF(AJ81&lt;AK81,TRUE),IF(AND(AK81="",AJ81&lt;&gt;""),TRUE))</formula>
    </cfRule>
    <cfRule type="expression" dxfId="1864" priority="3837">
      <formula>IF(AJ81&gt;=AK81,IF(AJ81="",FALSE,TRUE))</formula>
    </cfRule>
  </conditionalFormatting>
  <conditionalFormatting sqref="AL81">
    <cfRule type="expression" dxfId="1863" priority="3834">
      <formula>OR(IF(AL81&lt;AM81,TRUE),IF(AND(AM81="",AL81&lt;&gt;""),TRUE))</formula>
    </cfRule>
    <cfRule type="expression" dxfId="1862" priority="3835">
      <formula>IF(AL81&gt;=AM81,IF(AL81="",FALSE,TRUE))</formula>
    </cfRule>
  </conditionalFormatting>
  <conditionalFormatting sqref="Q81">
    <cfRule type="expression" dxfId="1861" priority="3846">
      <formula>OR(IF(Q81&lt;R81,TRUE),IF(AND(R81="",Q81&lt;&gt;""),TRUE))</formula>
    </cfRule>
    <cfRule type="expression" dxfId="1860" priority="3847">
      <formula>IF(Q81&gt;=R81,IF(Q81="",FALSE,TRUE))</formula>
    </cfRule>
  </conditionalFormatting>
  <conditionalFormatting sqref="O81">
    <cfRule type="expression" dxfId="1859" priority="3848">
      <formula>OR(IF(O81&lt;P81,TRUE),IF(AND(P81="",O81&lt;&gt;""),TRUE))</formula>
    </cfRule>
    <cfRule type="expression" dxfId="1858" priority="3849">
      <formula>IF(O81&gt;=P81,IF(O81="",FALSE,TRUE))</formula>
    </cfRule>
  </conditionalFormatting>
  <conditionalFormatting sqref="X81">
    <cfRule type="expression" dxfId="1857" priority="3842">
      <formula>OR(IF(X81&lt;Y81,TRUE),IF(AND(Y81="",X81&lt;&gt;""),TRUE))</formula>
    </cfRule>
    <cfRule type="expression" dxfId="1856" priority="3843">
      <formula>IF(X81&gt;=Y81,IF(X81="",FALSE,TRUE))</formula>
    </cfRule>
  </conditionalFormatting>
  <conditionalFormatting sqref="V81">
    <cfRule type="expression" dxfId="1855" priority="3844">
      <formula>OR(IF(V81&lt;W81,TRUE),IF(AND(W81="",V81&lt;&gt;""),TRUE))</formula>
    </cfRule>
    <cfRule type="expression" dxfId="1854" priority="3845">
      <formula>IF(V81&gt;=W81,IF(V81="",FALSE,TRUE))</formula>
    </cfRule>
  </conditionalFormatting>
  <conditionalFormatting sqref="AE81">
    <cfRule type="expression" dxfId="1853" priority="3838">
      <formula>OR(IF(AE81&lt;AF81,TRUE),IF(AND(AF81="",AE81&lt;&gt;""),TRUE))</formula>
    </cfRule>
    <cfRule type="expression" dxfId="1852" priority="3839">
      <formula>IF(AE81&gt;=AF81,IF(AE81="",FALSE,TRUE))</formula>
    </cfRule>
  </conditionalFormatting>
  <conditionalFormatting sqref="AC81">
    <cfRule type="expression" dxfId="1851" priority="3840">
      <formula>OR(IF(AC81&lt;AD81,TRUE),IF(AND(AD81="",AC81&lt;&gt;""),TRUE))</formula>
    </cfRule>
    <cfRule type="expression" dxfId="1850" priority="3841">
      <formula>IF(AC81&gt;=AD81,IF(AC81="",FALSE,TRUE))</formula>
    </cfRule>
  </conditionalFormatting>
  <conditionalFormatting sqref="AS81">
    <cfRule type="expression" dxfId="1849" priority="3830">
      <formula>OR(IF(AS81&lt;AT81,TRUE),IF(AND(AT81="",AS81&lt;&gt;""),TRUE))</formula>
    </cfRule>
    <cfRule type="expression" dxfId="1848" priority="3831">
      <formula>IF(AS81&gt;=AT81,IF(AS81="",FALSE,TRUE))</formula>
    </cfRule>
  </conditionalFormatting>
  <conditionalFormatting sqref="AQ81">
    <cfRule type="expression" dxfId="1847" priority="3832">
      <formula>OR(IF(AQ81&lt;AR81,TRUE),IF(AND(AR81="",AQ81&lt;&gt;""),TRUE))</formula>
    </cfRule>
    <cfRule type="expression" dxfId="1846" priority="3833">
      <formula>IF(AQ81&gt;=AR81,IF(AQ81="",FALSE,TRUE))</formula>
    </cfRule>
  </conditionalFormatting>
  <conditionalFormatting sqref="J81:K81">
    <cfRule type="colorScale" priority="3821">
      <colorScale>
        <cfvo type="percent" val="0"/>
        <cfvo type="percent" val="100"/>
        <color rgb="FFFF231B"/>
        <color rgb="FF10FF07"/>
      </colorScale>
    </cfRule>
  </conditionalFormatting>
  <conditionalFormatting sqref="J81">
    <cfRule type="colorScale" priority="3820">
      <colorScale>
        <cfvo type="percent" val="0"/>
        <cfvo type="percent" val="100"/>
        <color rgb="FFFF231B"/>
        <color rgb="FF10FF07"/>
      </colorScale>
    </cfRule>
  </conditionalFormatting>
  <conditionalFormatting sqref="K81">
    <cfRule type="colorScale" priority="3819">
      <colorScale>
        <cfvo type="percent" val="0"/>
        <cfvo type="percent" val="100"/>
        <color rgb="FFFF231B"/>
        <color rgb="FF10FF07"/>
      </colorScale>
    </cfRule>
  </conditionalFormatting>
  <conditionalFormatting sqref="AJ82">
    <cfRule type="expression" dxfId="1845" priority="3805">
      <formula>OR(IF(AJ82&lt;AK82,TRUE),IF(AND(AK82="",AJ82&lt;&gt;""),TRUE))</formula>
    </cfRule>
    <cfRule type="expression" dxfId="1844" priority="3806">
      <formula>IF(AJ82&gt;=AK82,IF(AJ82="",FALSE,TRUE))</formula>
    </cfRule>
  </conditionalFormatting>
  <conditionalFormatting sqref="AL82">
    <cfRule type="expression" dxfId="1843" priority="3803">
      <formula>OR(IF(AL82&lt;AM82,TRUE),IF(AND(AM82="",AL82&lt;&gt;""),TRUE))</formula>
    </cfRule>
    <cfRule type="expression" dxfId="1842" priority="3804">
      <formula>IF(AL82&gt;=AM82,IF(AL82="",FALSE,TRUE))</formula>
    </cfRule>
  </conditionalFormatting>
  <conditionalFormatting sqref="Q82">
    <cfRule type="expression" dxfId="1841" priority="3815">
      <formula>OR(IF(Q82&lt;R82,TRUE),IF(AND(R82="",Q82&lt;&gt;""),TRUE))</formula>
    </cfRule>
    <cfRule type="expression" dxfId="1840" priority="3816">
      <formula>IF(Q82&gt;=R82,IF(Q82="",FALSE,TRUE))</formula>
    </cfRule>
  </conditionalFormatting>
  <conditionalFormatting sqref="O82">
    <cfRule type="expression" dxfId="1839" priority="3817">
      <formula>OR(IF(O82&lt;P82,TRUE),IF(AND(P82="",O82&lt;&gt;""),TRUE))</formula>
    </cfRule>
    <cfRule type="expression" dxfId="1838" priority="3818">
      <formula>IF(O82&gt;=P82,IF(O82="",FALSE,TRUE))</formula>
    </cfRule>
  </conditionalFormatting>
  <conditionalFormatting sqref="X82">
    <cfRule type="expression" dxfId="1837" priority="3811">
      <formula>OR(IF(X82&lt;Y82,TRUE),IF(AND(Y82="",X82&lt;&gt;""),TRUE))</formula>
    </cfRule>
    <cfRule type="expression" dxfId="1836" priority="3812">
      <formula>IF(X82&gt;=Y82,IF(X82="",FALSE,TRUE))</formula>
    </cfRule>
  </conditionalFormatting>
  <conditionalFormatting sqref="V82">
    <cfRule type="expression" dxfId="1835" priority="3813">
      <formula>OR(IF(V82&lt;W82,TRUE),IF(AND(W82="",V82&lt;&gt;""),TRUE))</formula>
    </cfRule>
    <cfRule type="expression" dxfId="1834" priority="3814">
      <formula>IF(V82&gt;=W82,IF(V82="",FALSE,TRUE))</formula>
    </cfRule>
  </conditionalFormatting>
  <conditionalFormatting sqref="AE82">
    <cfRule type="expression" dxfId="1833" priority="3807">
      <formula>OR(IF(AE82&lt;AF82,TRUE),IF(AND(AF82="",AE82&lt;&gt;""),TRUE))</formula>
    </cfRule>
    <cfRule type="expression" dxfId="1832" priority="3808">
      <formula>IF(AE82&gt;=AF82,IF(AE82="",FALSE,TRUE))</formula>
    </cfRule>
  </conditionalFormatting>
  <conditionalFormatting sqref="AC82">
    <cfRule type="expression" dxfId="1831" priority="3809">
      <formula>OR(IF(AC82&lt;AD82,TRUE),IF(AND(AD82="",AC82&lt;&gt;""),TRUE))</formula>
    </cfRule>
    <cfRule type="expression" dxfId="1830" priority="3810">
      <formula>IF(AC82&gt;=AD82,IF(AC82="",FALSE,TRUE))</formula>
    </cfRule>
  </conditionalFormatting>
  <conditionalFormatting sqref="AS82">
    <cfRule type="expression" dxfId="1829" priority="3799">
      <formula>OR(IF(AS82&lt;AT82,TRUE),IF(AND(AT82="",AS82&lt;&gt;""),TRUE))</formula>
    </cfRule>
    <cfRule type="expression" dxfId="1828" priority="3800">
      <formula>IF(AS82&gt;=AT82,IF(AS82="",FALSE,TRUE))</formula>
    </cfRule>
  </conditionalFormatting>
  <conditionalFormatting sqref="AQ82">
    <cfRule type="expression" dxfId="1827" priority="3801">
      <formula>OR(IF(AQ82&lt;AR82,TRUE),IF(AND(AR82="",AQ82&lt;&gt;""),TRUE))</formula>
    </cfRule>
    <cfRule type="expression" dxfId="1826" priority="3802">
      <formula>IF(AQ82&gt;=AR82,IF(AQ82="",FALSE,TRUE))</formula>
    </cfRule>
  </conditionalFormatting>
  <conditionalFormatting sqref="J82:K82">
    <cfRule type="colorScale" priority="3790">
      <colorScale>
        <cfvo type="percent" val="0"/>
        <cfvo type="percent" val="100"/>
        <color rgb="FFFF231B"/>
        <color rgb="FF10FF07"/>
      </colorScale>
    </cfRule>
  </conditionalFormatting>
  <conditionalFormatting sqref="J82">
    <cfRule type="colorScale" priority="3789">
      <colorScale>
        <cfvo type="percent" val="0"/>
        <cfvo type="percent" val="100"/>
        <color rgb="FFFF231B"/>
        <color rgb="FF10FF07"/>
      </colorScale>
    </cfRule>
  </conditionalFormatting>
  <conditionalFormatting sqref="K82">
    <cfRule type="colorScale" priority="3788">
      <colorScale>
        <cfvo type="percent" val="0"/>
        <cfvo type="percent" val="100"/>
        <color rgb="FFFF231B"/>
        <color rgb="FF10FF07"/>
      </colorScale>
    </cfRule>
  </conditionalFormatting>
  <conditionalFormatting sqref="AJ83">
    <cfRule type="expression" dxfId="1825" priority="3774">
      <formula>OR(IF(AJ83&lt;AK83,TRUE),IF(AND(AK83="",AJ83&lt;&gt;""),TRUE))</formula>
    </cfRule>
    <cfRule type="expression" dxfId="1824" priority="3775">
      <formula>IF(AJ83&gt;=AK83,IF(AJ83="",FALSE,TRUE))</formula>
    </cfRule>
  </conditionalFormatting>
  <conditionalFormatting sqref="AL83">
    <cfRule type="expression" dxfId="1823" priority="3772">
      <formula>OR(IF(AL83&lt;AM83,TRUE),IF(AND(AM83="",AL83&lt;&gt;""),TRUE))</formula>
    </cfRule>
    <cfRule type="expression" dxfId="1822" priority="3773">
      <formula>IF(AL83&gt;=AM83,IF(AL83="",FALSE,TRUE))</formula>
    </cfRule>
  </conditionalFormatting>
  <conditionalFormatting sqref="Q83">
    <cfRule type="expression" dxfId="1821" priority="3784">
      <formula>OR(IF(Q83&lt;R83,TRUE),IF(AND(R83="",Q83&lt;&gt;""),TRUE))</formula>
    </cfRule>
    <cfRule type="expression" dxfId="1820" priority="3785">
      <formula>IF(Q83&gt;=R83,IF(Q83="",FALSE,TRUE))</formula>
    </cfRule>
  </conditionalFormatting>
  <conditionalFormatting sqref="O83">
    <cfRule type="expression" dxfId="1819" priority="3786">
      <formula>OR(IF(O83&lt;P83,TRUE),IF(AND(P83="",O83&lt;&gt;""),TRUE))</formula>
    </cfRule>
    <cfRule type="expression" dxfId="1818" priority="3787">
      <formula>IF(O83&gt;=P83,IF(O83="",FALSE,TRUE))</formula>
    </cfRule>
  </conditionalFormatting>
  <conditionalFormatting sqref="X83">
    <cfRule type="expression" dxfId="1817" priority="3780">
      <formula>OR(IF(X83&lt;Y83,TRUE),IF(AND(Y83="",X83&lt;&gt;""),TRUE))</formula>
    </cfRule>
    <cfRule type="expression" dxfId="1816" priority="3781">
      <formula>IF(X83&gt;=Y83,IF(X83="",FALSE,TRUE))</formula>
    </cfRule>
  </conditionalFormatting>
  <conditionalFormatting sqref="V83">
    <cfRule type="expression" dxfId="1815" priority="3782">
      <formula>OR(IF(V83&lt;W83,TRUE),IF(AND(W83="",V83&lt;&gt;""),TRUE))</formula>
    </cfRule>
    <cfRule type="expression" dxfId="1814" priority="3783">
      <formula>IF(V83&gt;=W83,IF(V83="",FALSE,TRUE))</formula>
    </cfRule>
  </conditionalFormatting>
  <conditionalFormatting sqref="AE83">
    <cfRule type="expression" dxfId="1813" priority="3776">
      <formula>OR(IF(AE83&lt;AF83,TRUE),IF(AND(AF83="",AE83&lt;&gt;""),TRUE))</formula>
    </cfRule>
    <cfRule type="expression" dxfId="1812" priority="3777">
      <formula>IF(AE83&gt;=AF83,IF(AE83="",FALSE,TRUE))</formula>
    </cfRule>
  </conditionalFormatting>
  <conditionalFormatting sqref="AC83">
    <cfRule type="expression" dxfId="1811" priority="3778">
      <formula>OR(IF(AC83&lt;AD83,TRUE),IF(AND(AD83="",AC83&lt;&gt;""),TRUE))</formula>
    </cfRule>
    <cfRule type="expression" dxfId="1810" priority="3779">
      <formula>IF(AC83&gt;=AD83,IF(AC83="",FALSE,TRUE))</formula>
    </cfRule>
  </conditionalFormatting>
  <conditionalFormatting sqref="AS83">
    <cfRule type="expression" dxfId="1809" priority="3768">
      <formula>OR(IF(AS83&lt;AT83,TRUE),IF(AND(AT83="",AS83&lt;&gt;""),TRUE))</formula>
    </cfRule>
    <cfRule type="expression" dxfId="1808" priority="3769">
      <formula>IF(AS83&gt;=AT83,IF(AS83="",FALSE,TRUE))</formula>
    </cfRule>
  </conditionalFormatting>
  <conditionalFormatting sqref="AQ83">
    <cfRule type="expression" dxfId="1807" priority="3770">
      <formula>OR(IF(AQ83&lt;AR83,TRUE),IF(AND(AR83="",AQ83&lt;&gt;""),TRUE))</formula>
    </cfRule>
    <cfRule type="expression" dxfId="1806" priority="3771">
      <formula>IF(AQ83&gt;=AR83,IF(AQ83="",FALSE,TRUE))</formula>
    </cfRule>
  </conditionalFormatting>
  <conditionalFormatting sqref="J83:K83">
    <cfRule type="colorScale" priority="3759">
      <colorScale>
        <cfvo type="percent" val="0"/>
        <cfvo type="percent" val="100"/>
        <color rgb="FFFF231B"/>
        <color rgb="FF10FF07"/>
      </colorScale>
    </cfRule>
  </conditionalFormatting>
  <conditionalFormatting sqref="J83">
    <cfRule type="colorScale" priority="3758">
      <colorScale>
        <cfvo type="percent" val="0"/>
        <cfvo type="percent" val="100"/>
        <color rgb="FFFF231B"/>
        <color rgb="FF10FF07"/>
      </colorScale>
    </cfRule>
  </conditionalFormatting>
  <conditionalFormatting sqref="K83">
    <cfRule type="colorScale" priority="3757">
      <colorScale>
        <cfvo type="percent" val="0"/>
        <cfvo type="percent" val="100"/>
        <color rgb="FFFF231B"/>
        <color rgb="FF10FF07"/>
      </colorScale>
    </cfRule>
  </conditionalFormatting>
  <conditionalFormatting sqref="AJ84">
    <cfRule type="expression" dxfId="1805" priority="3743">
      <formula>OR(IF(AJ84&lt;AK84,TRUE),IF(AND(AK84="",AJ84&lt;&gt;""),TRUE))</formula>
    </cfRule>
    <cfRule type="expression" dxfId="1804" priority="3744">
      <formula>IF(AJ84&gt;=AK84,IF(AJ84="",FALSE,TRUE))</formula>
    </cfRule>
  </conditionalFormatting>
  <conditionalFormatting sqref="AL84">
    <cfRule type="expression" dxfId="1803" priority="3741">
      <formula>OR(IF(AL84&lt;AM84,TRUE),IF(AND(AM84="",AL84&lt;&gt;""),TRUE))</formula>
    </cfRule>
    <cfRule type="expression" dxfId="1802" priority="3742">
      <formula>IF(AL84&gt;=AM84,IF(AL84="",FALSE,TRUE))</formula>
    </cfRule>
  </conditionalFormatting>
  <conditionalFormatting sqref="Q84">
    <cfRule type="expression" dxfId="1801" priority="3753">
      <formula>OR(IF(Q84&lt;R84,TRUE),IF(AND(R84="",Q84&lt;&gt;""),TRUE))</formula>
    </cfRule>
    <cfRule type="expression" dxfId="1800" priority="3754">
      <formula>IF(Q84&gt;=R84,IF(Q84="",FALSE,TRUE))</formula>
    </cfRule>
  </conditionalFormatting>
  <conditionalFormatting sqref="O84">
    <cfRule type="expression" dxfId="1799" priority="3755">
      <formula>OR(IF(O84&lt;P84,TRUE),IF(AND(P84="",O84&lt;&gt;""),TRUE))</formula>
    </cfRule>
    <cfRule type="expression" dxfId="1798" priority="3756">
      <formula>IF(O84&gt;=P84,IF(O84="",FALSE,TRUE))</formula>
    </cfRule>
  </conditionalFormatting>
  <conditionalFormatting sqref="X84">
    <cfRule type="expression" dxfId="1797" priority="3749">
      <formula>OR(IF(X84&lt;Y84,TRUE),IF(AND(Y84="",X84&lt;&gt;""),TRUE))</formula>
    </cfRule>
    <cfRule type="expression" dxfId="1796" priority="3750">
      <formula>IF(X84&gt;=Y84,IF(X84="",FALSE,TRUE))</formula>
    </cfRule>
  </conditionalFormatting>
  <conditionalFormatting sqref="V84">
    <cfRule type="expression" dxfId="1795" priority="3751">
      <formula>OR(IF(V84&lt;W84,TRUE),IF(AND(W84="",V84&lt;&gt;""),TRUE))</formula>
    </cfRule>
    <cfRule type="expression" dxfId="1794" priority="3752">
      <formula>IF(V84&gt;=W84,IF(V84="",FALSE,TRUE))</formula>
    </cfRule>
  </conditionalFormatting>
  <conditionalFormatting sqref="AE84">
    <cfRule type="expression" dxfId="1793" priority="3745">
      <formula>OR(IF(AE84&lt;AF84,TRUE),IF(AND(AF84="",AE84&lt;&gt;""),TRUE))</formula>
    </cfRule>
    <cfRule type="expression" dxfId="1792" priority="3746">
      <formula>IF(AE84&gt;=AF84,IF(AE84="",FALSE,TRUE))</formula>
    </cfRule>
  </conditionalFormatting>
  <conditionalFormatting sqref="AC84">
    <cfRule type="expression" dxfId="1791" priority="3747">
      <formula>OR(IF(AC84&lt;AD84,TRUE),IF(AND(AD84="",AC84&lt;&gt;""),TRUE))</formula>
    </cfRule>
    <cfRule type="expression" dxfId="1790" priority="3748">
      <formula>IF(AC84&gt;=AD84,IF(AC84="",FALSE,TRUE))</formula>
    </cfRule>
  </conditionalFormatting>
  <conditionalFormatting sqref="AS84">
    <cfRule type="expression" dxfId="1789" priority="3737">
      <formula>OR(IF(AS84&lt;AT84,TRUE),IF(AND(AT84="",AS84&lt;&gt;""),TRUE))</formula>
    </cfRule>
    <cfRule type="expression" dxfId="1788" priority="3738">
      <formula>IF(AS84&gt;=AT84,IF(AS84="",FALSE,TRUE))</formula>
    </cfRule>
  </conditionalFormatting>
  <conditionalFormatting sqref="AQ84">
    <cfRule type="expression" dxfId="1787" priority="3739">
      <formula>OR(IF(AQ84&lt;AR84,TRUE),IF(AND(AR84="",AQ84&lt;&gt;""),TRUE))</formula>
    </cfRule>
    <cfRule type="expression" dxfId="1786" priority="3740">
      <formula>IF(AQ84&gt;=AR84,IF(AQ84="",FALSE,TRUE))</formula>
    </cfRule>
  </conditionalFormatting>
  <conditionalFormatting sqref="J84:K84">
    <cfRule type="colorScale" priority="3728">
      <colorScale>
        <cfvo type="percent" val="0"/>
        <cfvo type="percent" val="100"/>
        <color rgb="FFFF231B"/>
        <color rgb="FF10FF07"/>
      </colorScale>
    </cfRule>
  </conditionalFormatting>
  <conditionalFormatting sqref="J84">
    <cfRule type="colorScale" priority="3727">
      <colorScale>
        <cfvo type="percent" val="0"/>
        <cfvo type="percent" val="100"/>
        <color rgb="FFFF231B"/>
        <color rgb="FF10FF07"/>
      </colorScale>
    </cfRule>
  </conditionalFormatting>
  <conditionalFormatting sqref="K84">
    <cfRule type="colorScale" priority="3726">
      <colorScale>
        <cfvo type="percent" val="0"/>
        <cfvo type="percent" val="100"/>
        <color rgb="FFFF231B"/>
        <color rgb="FF10FF07"/>
      </colorScale>
    </cfRule>
  </conditionalFormatting>
  <conditionalFormatting sqref="AJ85">
    <cfRule type="expression" dxfId="1785" priority="3712">
      <formula>OR(IF(AJ85&lt;AK85,TRUE),IF(AND(AK85="",AJ85&lt;&gt;""),TRUE))</formula>
    </cfRule>
    <cfRule type="expression" dxfId="1784" priority="3713">
      <formula>IF(AJ85&gt;=AK85,IF(AJ85="",FALSE,TRUE))</formula>
    </cfRule>
  </conditionalFormatting>
  <conditionalFormatting sqref="AL85">
    <cfRule type="expression" dxfId="1783" priority="3710">
      <formula>OR(IF(AL85&lt;AM85,TRUE),IF(AND(AM85="",AL85&lt;&gt;""),TRUE))</formula>
    </cfRule>
    <cfRule type="expression" dxfId="1782" priority="3711">
      <formula>IF(AL85&gt;=AM85,IF(AL85="",FALSE,TRUE))</formula>
    </cfRule>
  </conditionalFormatting>
  <conditionalFormatting sqref="Q85">
    <cfRule type="expression" dxfId="1781" priority="3722">
      <formula>OR(IF(Q85&lt;R85,TRUE),IF(AND(R85="",Q85&lt;&gt;""),TRUE))</formula>
    </cfRule>
    <cfRule type="expression" dxfId="1780" priority="3723">
      <formula>IF(Q85&gt;=R85,IF(Q85="",FALSE,TRUE))</formula>
    </cfRule>
  </conditionalFormatting>
  <conditionalFormatting sqref="O85">
    <cfRule type="expression" dxfId="1779" priority="3724">
      <formula>OR(IF(O85&lt;P85,TRUE),IF(AND(P85="",O85&lt;&gt;""),TRUE))</formula>
    </cfRule>
    <cfRule type="expression" dxfId="1778" priority="3725">
      <formula>IF(O85&gt;=P85,IF(O85="",FALSE,TRUE))</formula>
    </cfRule>
  </conditionalFormatting>
  <conditionalFormatting sqref="X85">
    <cfRule type="expression" dxfId="1777" priority="3718">
      <formula>OR(IF(X85&lt;Y85,TRUE),IF(AND(Y85="",X85&lt;&gt;""),TRUE))</formula>
    </cfRule>
    <cfRule type="expression" dxfId="1776" priority="3719">
      <formula>IF(X85&gt;=Y85,IF(X85="",FALSE,TRUE))</formula>
    </cfRule>
  </conditionalFormatting>
  <conditionalFormatting sqref="V85">
    <cfRule type="expression" dxfId="1775" priority="3720">
      <formula>OR(IF(V85&lt;W85,TRUE),IF(AND(W85="",V85&lt;&gt;""),TRUE))</formula>
    </cfRule>
    <cfRule type="expression" dxfId="1774" priority="3721">
      <formula>IF(V85&gt;=W85,IF(V85="",FALSE,TRUE))</formula>
    </cfRule>
  </conditionalFormatting>
  <conditionalFormatting sqref="AE85">
    <cfRule type="expression" dxfId="1773" priority="3714">
      <formula>OR(IF(AE85&lt;AF85,TRUE),IF(AND(AF85="",AE85&lt;&gt;""),TRUE))</formula>
    </cfRule>
    <cfRule type="expression" dxfId="1772" priority="3715">
      <formula>IF(AE85&gt;=AF85,IF(AE85="",FALSE,TRUE))</formula>
    </cfRule>
  </conditionalFormatting>
  <conditionalFormatting sqref="AC85">
    <cfRule type="expression" dxfId="1771" priority="3716">
      <formula>OR(IF(AC85&lt;AD85,TRUE),IF(AND(AD85="",AC85&lt;&gt;""),TRUE))</formula>
    </cfRule>
    <cfRule type="expression" dxfId="1770" priority="3717">
      <formula>IF(AC85&gt;=AD85,IF(AC85="",FALSE,TRUE))</formula>
    </cfRule>
  </conditionalFormatting>
  <conditionalFormatting sqref="AS85">
    <cfRule type="expression" dxfId="1769" priority="3706">
      <formula>OR(IF(AS85&lt;AT85,TRUE),IF(AND(AT85="",AS85&lt;&gt;""),TRUE))</formula>
    </cfRule>
    <cfRule type="expression" dxfId="1768" priority="3707">
      <formula>IF(AS85&gt;=AT85,IF(AS85="",FALSE,TRUE))</formula>
    </cfRule>
  </conditionalFormatting>
  <conditionalFormatting sqref="AQ85">
    <cfRule type="expression" dxfId="1767" priority="3708">
      <formula>OR(IF(AQ85&lt;AR85,TRUE),IF(AND(AR85="",AQ85&lt;&gt;""),TRUE))</formula>
    </cfRule>
    <cfRule type="expression" dxfId="1766" priority="3709">
      <formula>IF(AQ85&gt;=AR85,IF(AQ85="",FALSE,TRUE))</formula>
    </cfRule>
  </conditionalFormatting>
  <conditionalFormatting sqref="J85:K85">
    <cfRule type="colorScale" priority="3697">
      <colorScale>
        <cfvo type="percent" val="0"/>
        <cfvo type="percent" val="100"/>
        <color rgb="FFFF231B"/>
        <color rgb="FF10FF07"/>
      </colorScale>
    </cfRule>
  </conditionalFormatting>
  <conditionalFormatting sqref="J85">
    <cfRule type="colorScale" priority="3696">
      <colorScale>
        <cfvo type="percent" val="0"/>
        <cfvo type="percent" val="100"/>
        <color rgb="FFFF231B"/>
        <color rgb="FF10FF07"/>
      </colorScale>
    </cfRule>
  </conditionalFormatting>
  <conditionalFormatting sqref="K85">
    <cfRule type="colorScale" priority="3695">
      <colorScale>
        <cfvo type="percent" val="0"/>
        <cfvo type="percent" val="100"/>
        <color rgb="FFFF231B"/>
        <color rgb="FF10FF07"/>
      </colorScale>
    </cfRule>
  </conditionalFormatting>
  <conditionalFormatting sqref="AJ86">
    <cfRule type="expression" dxfId="1765" priority="3681">
      <formula>OR(IF(AJ86&lt;AK86,TRUE),IF(AND(AK86="",AJ86&lt;&gt;""),TRUE))</formula>
    </cfRule>
    <cfRule type="expression" dxfId="1764" priority="3682">
      <formula>IF(AJ86&gt;=AK86,IF(AJ86="",FALSE,TRUE))</formula>
    </cfRule>
  </conditionalFormatting>
  <conditionalFormatting sqref="AL86">
    <cfRule type="expression" dxfId="1763" priority="3679">
      <formula>OR(IF(AL86&lt;AM86,TRUE),IF(AND(AM86="",AL86&lt;&gt;""),TRUE))</formula>
    </cfRule>
    <cfRule type="expression" dxfId="1762" priority="3680">
      <formula>IF(AL86&gt;=AM86,IF(AL86="",FALSE,TRUE))</formula>
    </cfRule>
  </conditionalFormatting>
  <conditionalFormatting sqref="Q86">
    <cfRule type="expression" dxfId="1761" priority="3691">
      <formula>OR(IF(Q86&lt;R86,TRUE),IF(AND(R86="",Q86&lt;&gt;""),TRUE))</formula>
    </cfRule>
    <cfRule type="expression" dxfId="1760" priority="3692">
      <formula>IF(Q86&gt;=R86,IF(Q86="",FALSE,TRUE))</formula>
    </cfRule>
  </conditionalFormatting>
  <conditionalFormatting sqref="O86">
    <cfRule type="expression" dxfId="1759" priority="3693">
      <formula>OR(IF(O86&lt;P86,TRUE),IF(AND(P86="",O86&lt;&gt;""),TRUE))</formula>
    </cfRule>
    <cfRule type="expression" dxfId="1758" priority="3694">
      <formula>IF(O86&gt;=P86,IF(O86="",FALSE,TRUE))</formula>
    </cfRule>
  </conditionalFormatting>
  <conditionalFormatting sqref="X86">
    <cfRule type="expression" dxfId="1757" priority="3687">
      <formula>OR(IF(X86&lt;Y86,TRUE),IF(AND(Y86="",X86&lt;&gt;""),TRUE))</formula>
    </cfRule>
    <cfRule type="expression" dxfId="1756" priority="3688">
      <formula>IF(X86&gt;=Y86,IF(X86="",FALSE,TRUE))</formula>
    </cfRule>
  </conditionalFormatting>
  <conditionalFormatting sqref="V86">
    <cfRule type="expression" dxfId="1755" priority="3689">
      <formula>OR(IF(V86&lt;W86,TRUE),IF(AND(W86="",V86&lt;&gt;""),TRUE))</formula>
    </cfRule>
    <cfRule type="expression" dxfId="1754" priority="3690">
      <formula>IF(V86&gt;=W86,IF(V86="",FALSE,TRUE))</formula>
    </cfRule>
  </conditionalFormatting>
  <conditionalFormatting sqref="AE86">
    <cfRule type="expression" dxfId="1753" priority="3683">
      <formula>OR(IF(AE86&lt;AF86,TRUE),IF(AND(AF86="",AE86&lt;&gt;""),TRUE))</formula>
    </cfRule>
    <cfRule type="expression" dxfId="1752" priority="3684">
      <formula>IF(AE86&gt;=AF86,IF(AE86="",FALSE,TRUE))</formula>
    </cfRule>
  </conditionalFormatting>
  <conditionalFormatting sqref="AC86">
    <cfRule type="expression" dxfId="1751" priority="3685">
      <formula>OR(IF(AC86&lt;AD86,TRUE),IF(AND(AD86="",AC86&lt;&gt;""),TRUE))</formula>
    </cfRule>
    <cfRule type="expression" dxfId="1750" priority="3686">
      <formula>IF(AC86&gt;=AD86,IF(AC86="",FALSE,TRUE))</formula>
    </cfRule>
  </conditionalFormatting>
  <conditionalFormatting sqref="AS86">
    <cfRule type="expression" dxfId="1749" priority="3675">
      <formula>OR(IF(AS86&lt;AT86,TRUE),IF(AND(AT86="",AS86&lt;&gt;""),TRUE))</formula>
    </cfRule>
    <cfRule type="expression" dxfId="1748" priority="3676">
      <formula>IF(AS86&gt;=AT86,IF(AS86="",FALSE,TRUE))</formula>
    </cfRule>
  </conditionalFormatting>
  <conditionalFormatting sqref="AQ86">
    <cfRule type="expression" dxfId="1747" priority="3677">
      <formula>OR(IF(AQ86&lt;AR86,TRUE),IF(AND(AR86="",AQ86&lt;&gt;""),TRUE))</formula>
    </cfRule>
    <cfRule type="expression" dxfId="1746" priority="3678">
      <formula>IF(AQ86&gt;=AR86,IF(AQ86="",FALSE,TRUE))</formula>
    </cfRule>
  </conditionalFormatting>
  <conditionalFormatting sqref="J86:K86">
    <cfRule type="colorScale" priority="3666">
      <colorScale>
        <cfvo type="percent" val="0"/>
        <cfvo type="percent" val="100"/>
        <color rgb="FFFF231B"/>
        <color rgb="FF10FF07"/>
      </colorScale>
    </cfRule>
  </conditionalFormatting>
  <conditionalFormatting sqref="J86">
    <cfRule type="colorScale" priority="3665">
      <colorScale>
        <cfvo type="percent" val="0"/>
        <cfvo type="percent" val="100"/>
        <color rgb="FFFF231B"/>
        <color rgb="FF10FF07"/>
      </colorScale>
    </cfRule>
  </conditionalFormatting>
  <conditionalFormatting sqref="K86">
    <cfRule type="colorScale" priority="3664">
      <colorScale>
        <cfvo type="percent" val="0"/>
        <cfvo type="percent" val="100"/>
        <color rgb="FFFF231B"/>
        <color rgb="FF10FF07"/>
      </colorScale>
    </cfRule>
  </conditionalFormatting>
  <conditionalFormatting sqref="AJ87">
    <cfRule type="expression" dxfId="1745" priority="3650">
      <formula>OR(IF(AJ87&lt;AK87,TRUE),IF(AND(AK87="",AJ87&lt;&gt;""),TRUE))</formula>
    </cfRule>
    <cfRule type="expression" dxfId="1744" priority="3651">
      <formula>IF(AJ87&gt;=AK87,IF(AJ87="",FALSE,TRUE))</formula>
    </cfRule>
  </conditionalFormatting>
  <conditionalFormatting sqref="AL87">
    <cfRule type="expression" dxfId="1743" priority="3648">
      <formula>OR(IF(AL87&lt;AM87,TRUE),IF(AND(AM87="",AL87&lt;&gt;""),TRUE))</formula>
    </cfRule>
    <cfRule type="expression" dxfId="1742" priority="3649">
      <formula>IF(AL87&gt;=AM87,IF(AL87="",FALSE,TRUE))</formula>
    </cfRule>
  </conditionalFormatting>
  <conditionalFormatting sqref="Q87">
    <cfRule type="expression" dxfId="1741" priority="3660">
      <formula>OR(IF(Q87&lt;R87,TRUE),IF(AND(R87="",Q87&lt;&gt;""),TRUE))</formula>
    </cfRule>
    <cfRule type="expression" dxfId="1740" priority="3661">
      <formula>IF(Q87&gt;=R87,IF(Q87="",FALSE,TRUE))</formula>
    </cfRule>
  </conditionalFormatting>
  <conditionalFormatting sqref="O87">
    <cfRule type="expression" dxfId="1739" priority="3662">
      <formula>OR(IF(O87&lt;P87,TRUE),IF(AND(P87="",O87&lt;&gt;""),TRUE))</formula>
    </cfRule>
    <cfRule type="expression" dxfId="1738" priority="3663">
      <formula>IF(O87&gt;=P87,IF(O87="",FALSE,TRUE))</formula>
    </cfRule>
  </conditionalFormatting>
  <conditionalFormatting sqref="X87">
    <cfRule type="expression" dxfId="1737" priority="3656">
      <formula>OR(IF(X87&lt;Y87,TRUE),IF(AND(Y87="",X87&lt;&gt;""),TRUE))</formula>
    </cfRule>
    <cfRule type="expression" dxfId="1736" priority="3657">
      <formula>IF(X87&gt;=Y87,IF(X87="",FALSE,TRUE))</formula>
    </cfRule>
  </conditionalFormatting>
  <conditionalFormatting sqref="V87">
    <cfRule type="expression" dxfId="1735" priority="3658">
      <formula>OR(IF(V87&lt;W87,TRUE),IF(AND(W87="",V87&lt;&gt;""),TRUE))</formula>
    </cfRule>
    <cfRule type="expression" dxfId="1734" priority="3659">
      <formula>IF(V87&gt;=W87,IF(V87="",FALSE,TRUE))</formula>
    </cfRule>
  </conditionalFormatting>
  <conditionalFormatting sqref="AE87">
    <cfRule type="expression" dxfId="1733" priority="3652">
      <formula>OR(IF(AE87&lt;AF87,TRUE),IF(AND(AF87="",AE87&lt;&gt;""),TRUE))</formula>
    </cfRule>
    <cfRule type="expression" dxfId="1732" priority="3653">
      <formula>IF(AE87&gt;=AF87,IF(AE87="",FALSE,TRUE))</formula>
    </cfRule>
  </conditionalFormatting>
  <conditionalFormatting sqref="AC87">
    <cfRule type="expression" dxfId="1731" priority="3654">
      <formula>OR(IF(AC87&lt;AD87,TRUE),IF(AND(AD87="",AC87&lt;&gt;""),TRUE))</formula>
    </cfRule>
    <cfRule type="expression" dxfId="1730" priority="3655">
      <formula>IF(AC87&gt;=AD87,IF(AC87="",FALSE,TRUE))</formula>
    </cfRule>
  </conditionalFormatting>
  <conditionalFormatting sqref="AS87">
    <cfRule type="expression" dxfId="1729" priority="3644">
      <formula>OR(IF(AS87&lt;AT87,TRUE),IF(AND(AT87="",AS87&lt;&gt;""),TRUE))</formula>
    </cfRule>
    <cfRule type="expression" dxfId="1728" priority="3645">
      <formula>IF(AS87&gt;=AT87,IF(AS87="",FALSE,TRUE))</formula>
    </cfRule>
  </conditionalFormatting>
  <conditionalFormatting sqref="AQ87">
    <cfRule type="expression" dxfId="1727" priority="3646">
      <formula>OR(IF(AQ87&lt;AR87,TRUE),IF(AND(AR87="",AQ87&lt;&gt;""),TRUE))</formula>
    </cfRule>
    <cfRule type="expression" dxfId="1726" priority="3647">
      <formula>IF(AQ87&gt;=AR87,IF(AQ87="",FALSE,TRUE))</formula>
    </cfRule>
  </conditionalFormatting>
  <conditionalFormatting sqref="J87:K87">
    <cfRule type="colorScale" priority="3635">
      <colorScale>
        <cfvo type="percent" val="0"/>
        <cfvo type="percent" val="100"/>
        <color rgb="FFFF231B"/>
        <color rgb="FF10FF07"/>
      </colorScale>
    </cfRule>
  </conditionalFormatting>
  <conditionalFormatting sqref="J87">
    <cfRule type="colorScale" priority="3634">
      <colorScale>
        <cfvo type="percent" val="0"/>
        <cfvo type="percent" val="100"/>
        <color rgb="FFFF231B"/>
        <color rgb="FF10FF07"/>
      </colorScale>
    </cfRule>
  </conditionalFormatting>
  <conditionalFormatting sqref="K87">
    <cfRule type="colorScale" priority="3633">
      <colorScale>
        <cfvo type="percent" val="0"/>
        <cfvo type="percent" val="100"/>
        <color rgb="FFFF231B"/>
        <color rgb="FF10FF07"/>
      </colorScale>
    </cfRule>
  </conditionalFormatting>
  <conditionalFormatting sqref="AJ88">
    <cfRule type="expression" dxfId="1725" priority="3619">
      <formula>OR(IF(AJ88&lt;AK88,TRUE),IF(AND(AK88="",AJ88&lt;&gt;""),TRUE))</formula>
    </cfRule>
    <cfRule type="expression" dxfId="1724" priority="3620">
      <formula>IF(AJ88&gt;=AK88,IF(AJ88="",FALSE,TRUE))</formula>
    </cfRule>
  </conditionalFormatting>
  <conditionalFormatting sqref="AL88">
    <cfRule type="expression" dxfId="1723" priority="3617">
      <formula>OR(IF(AL88&lt;AM88,TRUE),IF(AND(AM88="",AL88&lt;&gt;""),TRUE))</formula>
    </cfRule>
    <cfRule type="expression" dxfId="1722" priority="3618">
      <formula>IF(AL88&gt;=AM88,IF(AL88="",FALSE,TRUE))</formula>
    </cfRule>
  </conditionalFormatting>
  <conditionalFormatting sqref="Q88">
    <cfRule type="expression" dxfId="1721" priority="3629">
      <formula>OR(IF(Q88&lt;R88,TRUE),IF(AND(R88="",Q88&lt;&gt;""),TRUE))</formula>
    </cfRule>
    <cfRule type="expression" dxfId="1720" priority="3630">
      <formula>IF(Q88&gt;=R88,IF(Q88="",FALSE,TRUE))</formula>
    </cfRule>
  </conditionalFormatting>
  <conditionalFormatting sqref="O88">
    <cfRule type="expression" dxfId="1719" priority="3631">
      <formula>OR(IF(O88&lt;P88,TRUE),IF(AND(P88="",O88&lt;&gt;""),TRUE))</formula>
    </cfRule>
    <cfRule type="expression" dxfId="1718" priority="3632">
      <formula>IF(O88&gt;=P88,IF(O88="",FALSE,TRUE))</formula>
    </cfRule>
  </conditionalFormatting>
  <conditionalFormatting sqref="X88">
    <cfRule type="expression" dxfId="1717" priority="3625">
      <formula>OR(IF(X88&lt;Y88,TRUE),IF(AND(Y88="",X88&lt;&gt;""),TRUE))</formula>
    </cfRule>
    <cfRule type="expression" dxfId="1716" priority="3626">
      <formula>IF(X88&gt;=Y88,IF(X88="",FALSE,TRUE))</formula>
    </cfRule>
  </conditionalFormatting>
  <conditionalFormatting sqref="V88">
    <cfRule type="expression" dxfId="1715" priority="3627">
      <formula>OR(IF(V88&lt;W88,TRUE),IF(AND(W88="",V88&lt;&gt;""),TRUE))</formula>
    </cfRule>
    <cfRule type="expression" dxfId="1714" priority="3628">
      <formula>IF(V88&gt;=W88,IF(V88="",FALSE,TRUE))</formula>
    </cfRule>
  </conditionalFormatting>
  <conditionalFormatting sqref="AE88">
    <cfRule type="expression" dxfId="1713" priority="3621">
      <formula>OR(IF(AE88&lt;AF88,TRUE),IF(AND(AF88="",AE88&lt;&gt;""),TRUE))</formula>
    </cfRule>
    <cfRule type="expression" dxfId="1712" priority="3622">
      <formula>IF(AE88&gt;=AF88,IF(AE88="",FALSE,TRUE))</formula>
    </cfRule>
  </conditionalFormatting>
  <conditionalFormatting sqref="AC88">
    <cfRule type="expression" dxfId="1711" priority="3623">
      <formula>OR(IF(AC88&lt;AD88,TRUE),IF(AND(AD88="",AC88&lt;&gt;""),TRUE))</formula>
    </cfRule>
    <cfRule type="expression" dxfId="1710" priority="3624">
      <formula>IF(AC88&gt;=AD88,IF(AC88="",FALSE,TRUE))</formula>
    </cfRule>
  </conditionalFormatting>
  <conditionalFormatting sqref="AS88">
    <cfRule type="expression" dxfId="1709" priority="3613">
      <formula>OR(IF(AS88&lt;AT88,TRUE),IF(AND(AT88="",AS88&lt;&gt;""),TRUE))</formula>
    </cfRule>
    <cfRule type="expression" dxfId="1708" priority="3614">
      <formula>IF(AS88&gt;=AT88,IF(AS88="",FALSE,TRUE))</formula>
    </cfRule>
  </conditionalFormatting>
  <conditionalFormatting sqref="AQ88">
    <cfRule type="expression" dxfId="1707" priority="3615">
      <formula>OR(IF(AQ88&lt;AR88,TRUE),IF(AND(AR88="",AQ88&lt;&gt;""),TRUE))</formula>
    </cfRule>
    <cfRule type="expression" dxfId="1706" priority="3616">
      <formula>IF(AQ88&gt;=AR88,IF(AQ88="",FALSE,TRUE))</formula>
    </cfRule>
  </conditionalFormatting>
  <conditionalFormatting sqref="J88:K88">
    <cfRule type="colorScale" priority="3604">
      <colorScale>
        <cfvo type="percent" val="0"/>
        <cfvo type="percent" val="100"/>
        <color rgb="FFFF231B"/>
        <color rgb="FF10FF07"/>
      </colorScale>
    </cfRule>
  </conditionalFormatting>
  <conditionalFormatting sqref="J88">
    <cfRule type="colorScale" priority="3603">
      <colorScale>
        <cfvo type="percent" val="0"/>
        <cfvo type="percent" val="100"/>
        <color rgb="FFFF231B"/>
        <color rgb="FF10FF07"/>
      </colorScale>
    </cfRule>
  </conditionalFormatting>
  <conditionalFormatting sqref="K88">
    <cfRule type="colorScale" priority="3602">
      <colorScale>
        <cfvo type="percent" val="0"/>
        <cfvo type="percent" val="100"/>
        <color rgb="FFFF231B"/>
        <color rgb="FF10FF07"/>
      </colorScale>
    </cfRule>
  </conditionalFormatting>
  <conditionalFormatting sqref="AJ89:AJ93">
    <cfRule type="expression" dxfId="1705" priority="3588">
      <formula>OR(IF(AJ89&lt;AK89,TRUE),IF(AND(AK89="",AJ89&lt;&gt;""),TRUE))</formula>
    </cfRule>
    <cfRule type="expression" dxfId="1704" priority="3589">
      <formula>IF(AJ89&gt;=AK89,IF(AJ89="",FALSE,TRUE))</formula>
    </cfRule>
  </conditionalFormatting>
  <conditionalFormatting sqref="AL89:AL93">
    <cfRule type="expression" dxfId="1703" priority="3586">
      <formula>OR(IF(AL89&lt;AM89,TRUE),IF(AND(AM89="",AL89&lt;&gt;""),TRUE))</formula>
    </cfRule>
    <cfRule type="expression" dxfId="1702" priority="3587">
      <formula>IF(AL89&gt;=AM89,IF(AL89="",FALSE,TRUE))</formula>
    </cfRule>
  </conditionalFormatting>
  <conditionalFormatting sqref="Q89:Q93">
    <cfRule type="expression" dxfId="1701" priority="3598">
      <formula>OR(IF(Q89&lt;R89,TRUE),IF(AND(R89="",Q89&lt;&gt;""),TRUE))</formula>
    </cfRule>
    <cfRule type="expression" dxfId="1700" priority="3599">
      <formula>IF(Q89&gt;=R89,IF(Q89="",FALSE,TRUE))</formula>
    </cfRule>
  </conditionalFormatting>
  <conditionalFormatting sqref="O89:O93">
    <cfRule type="expression" dxfId="1699" priority="3600">
      <formula>OR(IF(O89&lt;P89,TRUE),IF(AND(P89="",O89&lt;&gt;""),TRUE))</formula>
    </cfRule>
    <cfRule type="expression" dxfId="1698" priority="3601">
      <formula>IF(O89&gt;=P89,IF(O89="",FALSE,TRUE))</formula>
    </cfRule>
  </conditionalFormatting>
  <conditionalFormatting sqref="X89:X93">
    <cfRule type="expression" dxfId="1697" priority="3594">
      <formula>OR(IF(X89&lt;Y89,TRUE),IF(AND(Y89="",X89&lt;&gt;""),TRUE))</formula>
    </cfRule>
    <cfRule type="expression" dxfId="1696" priority="3595">
      <formula>IF(X89&gt;=Y89,IF(X89="",FALSE,TRUE))</formula>
    </cfRule>
  </conditionalFormatting>
  <conditionalFormatting sqref="V89:V93">
    <cfRule type="expression" dxfId="1695" priority="3596">
      <formula>OR(IF(V89&lt;W89,TRUE),IF(AND(W89="",V89&lt;&gt;""),TRUE))</formula>
    </cfRule>
    <cfRule type="expression" dxfId="1694" priority="3597">
      <formula>IF(V89&gt;=W89,IF(V89="",FALSE,TRUE))</formula>
    </cfRule>
  </conditionalFormatting>
  <conditionalFormatting sqref="AE89:AE93">
    <cfRule type="expression" dxfId="1693" priority="3590">
      <formula>OR(IF(AE89&lt;AF89,TRUE),IF(AND(AF89="",AE89&lt;&gt;""),TRUE))</formula>
    </cfRule>
    <cfRule type="expression" dxfId="1692" priority="3591">
      <formula>IF(AE89&gt;=AF89,IF(AE89="",FALSE,TRUE))</formula>
    </cfRule>
  </conditionalFormatting>
  <conditionalFormatting sqref="AC89:AC93">
    <cfRule type="expression" dxfId="1691" priority="3592">
      <formula>OR(IF(AC89&lt;AD89,TRUE),IF(AND(AD89="",AC89&lt;&gt;""),TRUE))</formula>
    </cfRule>
    <cfRule type="expression" dxfId="1690" priority="3593">
      <formula>IF(AC89&gt;=AD89,IF(AC89="",FALSE,TRUE))</formula>
    </cfRule>
  </conditionalFormatting>
  <conditionalFormatting sqref="AS89:AS93">
    <cfRule type="expression" dxfId="1689" priority="3582">
      <formula>OR(IF(AS89&lt;AT89,TRUE),IF(AND(AT89="",AS89&lt;&gt;""),TRUE))</formula>
    </cfRule>
    <cfRule type="expression" dxfId="1688" priority="3583">
      <formula>IF(AS89&gt;=AT89,IF(AS89="",FALSE,TRUE))</formula>
    </cfRule>
  </conditionalFormatting>
  <conditionalFormatting sqref="AQ89:AQ93">
    <cfRule type="expression" dxfId="1687" priority="3584">
      <formula>OR(IF(AQ89&lt;AR89,TRUE),IF(AND(AR89="",AQ89&lt;&gt;""),TRUE))</formula>
    </cfRule>
    <cfRule type="expression" dxfId="1686" priority="3585">
      <formula>IF(AQ89&gt;=AR89,IF(AQ89="",FALSE,TRUE))</formula>
    </cfRule>
  </conditionalFormatting>
  <conditionalFormatting sqref="J89:K93">
    <cfRule type="colorScale" priority="3573">
      <colorScale>
        <cfvo type="percent" val="0"/>
        <cfvo type="percent" val="100"/>
        <color rgb="FFFF231B"/>
        <color rgb="FF10FF07"/>
      </colorScale>
    </cfRule>
  </conditionalFormatting>
  <conditionalFormatting sqref="J89:J93">
    <cfRule type="colorScale" priority="3572">
      <colorScale>
        <cfvo type="percent" val="0"/>
        <cfvo type="percent" val="100"/>
        <color rgb="FFFF231B"/>
        <color rgb="FF10FF07"/>
      </colorScale>
    </cfRule>
  </conditionalFormatting>
  <conditionalFormatting sqref="K89:K93">
    <cfRule type="colorScale" priority="3571">
      <colorScale>
        <cfvo type="percent" val="0"/>
        <cfvo type="percent" val="100"/>
        <color rgb="FFFF231B"/>
        <color rgb="FF10FF07"/>
      </colorScale>
    </cfRule>
  </conditionalFormatting>
  <conditionalFormatting sqref="O26">
    <cfRule type="expression" dxfId="1685" priority="3569">
      <formula>OR(IF(O26&lt;P26,TRUE),IF(AND(P26="",O26&lt;&gt;""),TRUE))</formula>
    </cfRule>
    <cfRule type="expression" dxfId="1684" priority="3570">
      <formula>IF(O26&gt;=P26,IF(O26="",FALSE,TRUE))</formula>
    </cfRule>
  </conditionalFormatting>
  <conditionalFormatting sqref="Q26">
    <cfRule type="expression" dxfId="1683" priority="3567">
      <formula>OR(IF(Q26&lt;R26,TRUE),IF(AND(R26="",Q26&lt;&gt;""),TRUE))</formula>
    </cfRule>
    <cfRule type="expression" dxfId="1682" priority="3568">
      <formula>IF(Q26&gt;=R26,IF(Q26="",FALSE,TRUE))</formula>
    </cfRule>
  </conditionalFormatting>
  <conditionalFormatting sqref="V26">
    <cfRule type="expression" dxfId="1681" priority="3565">
      <formula>OR(IF(V26&lt;W26,TRUE),IF(AND(W26="",V26&lt;&gt;""),TRUE))</formula>
    </cfRule>
    <cfRule type="expression" dxfId="1680" priority="3566">
      <formula>IF(V26&gt;=W26,IF(V26="",FALSE,TRUE))</formula>
    </cfRule>
  </conditionalFormatting>
  <conditionalFormatting sqref="X26">
    <cfRule type="expression" dxfId="1679" priority="3563">
      <formula>OR(IF(X26&lt;Y26,TRUE),IF(AND(Y26="",X26&lt;&gt;""),TRUE))</formula>
    </cfRule>
    <cfRule type="expression" dxfId="1678" priority="3564">
      <formula>IF(X26&gt;=Y26,IF(X26="",FALSE,TRUE))</formula>
    </cfRule>
  </conditionalFormatting>
  <conditionalFormatting sqref="AC26">
    <cfRule type="expression" dxfId="1677" priority="3561">
      <formula>OR(IF(AC26&lt;AD26,TRUE),IF(AND(AD26="",AC26&lt;&gt;""),TRUE))</formula>
    </cfRule>
    <cfRule type="expression" dxfId="1676" priority="3562">
      <formula>IF(AC26&gt;=AD26,IF(AC26="",FALSE,TRUE))</formula>
    </cfRule>
  </conditionalFormatting>
  <conditionalFormatting sqref="AE26">
    <cfRule type="expression" dxfId="1675" priority="3559">
      <formula>OR(IF(AE26&lt;AF26,TRUE),IF(AND(AF26="",AE26&lt;&gt;""),TRUE))</formula>
    </cfRule>
    <cfRule type="expression" dxfId="1674" priority="3560">
      <formula>IF(AE26&gt;=AF26,IF(AE26="",FALSE,TRUE))</formula>
    </cfRule>
  </conditionalFormatting>
  <conditionalFormatting sqref="AJ26">
    <cfRule type="expression" dxfId="1673" priority="3557">
      <formula>OR(IF(AJ26&lt;AK26,TRUE),IF(AND(AK26="",AJ26&lt;&gt;""),TRUE))</formula>
    </cfRule>
    <cfRule type="expression" dxfId="1672" priority="3558">
      <formula>IF(AJ26&gt;=AK26,IF(AJ26="",FALSE,TRUE))</formula>
    </cfRule>
  </conditionalFormatting>
  <conditionalFormatting sqref="AL26">
    <cfRule type="expression" dxfId="1671" priority="3555">
      <formula>OR(IF(AL26&lt;AM26,TRUE),IF(AND(AM26="",AL26&lt;&gt;""),TRUE))</formula>
    </cfRule>
    <cfRule type="expression" dxfId="1670" priority="3556">
      <formula>IF(AL26&gt;=AM26,IF(AL26="",FALSE,TRUE))</formula>
    </cfRule>
  </conditionalFormatting>
  <conditionalFormatting sqref="AQ26">
    <cfRule type="expression" dxfId="1669" priority="3553">
      <formula>OR(IF(AQ26&lt;AR26,TRUE),IF(AND(AR26="",AQ26&lt;&gt;""),TRUE))</formula>
    </cfRule>
    <cfRule type="expression" dxfId="1668" priority="3554">
      <formula>IF(AQ26&gt;=AR26,IF(AQ26="",FALSE,TRUE))</formula>
    </cfRule>
  </conditionalFormatting>
  <conditionalFormatting sqref="AS26">
    <cfRule type="expression" dxfId="1667" priority="3551">
      <formula>OR(IF(AS26&lt;AT26,TRUE),IF(AND(AT26="",AS26&lt;&gt;""),TRUE))</formula>
    </cfRule>
    <cfRule type="expression" dxfId="1666" priority="3552">
      <formula>IF(AS26&gt;=AT26,IF(AS26="",FALSE,TRUE))</formula>
    </cfRule>
  </conditionalFormatting>
  <conditionalFormatting sqref="J26:K26">
    <cfRule type="colorScale" priority="3542">
      <colorScale>
        <cfvo type="percent" val="0"/>
        <cfvo type="percent" val="100"/>
        <color rgb="FFFF231B"/>
        <color rgb="FF10FF07"/>
      </colorScale>
    </cfRule>
  </conditionalFormatting>
  <conditionalFormatting sqref="J26">
    <cfRule type="colorScale" priority="3541">
      <colorScale>
        <cfvo type="percent" val="0"/>
        <cfvo type="percent" val="100"/>
        <color rgb="FFFF231B"/>
        <color rgb="FF10FF07"/>
      </colorScale>
    </cfRule>
  </conditionalFormatting>
  <conditionalFormatting sqref="K26">
    <cfRule type="colorScale" priority="3540">
      <colorScale>
        <cfvo type="percent" val="0"/>
        <cfvo type="percent" val="100"/>
        <color rgb="FFFF231B"/>
        <color rgb="FF10FF07"/>
      </colorScale>
    </cfRule>
  </conditionalFormatting>
  <conditionalFormatting sqref="O27">
    <cfRule type="expression" dxfId="1665" priority="3538">
      <formula>OR(IF(O27&lt;P27,TRUE),IF(AND(P27="",O27&lt;&gt;""),TRUE))</formula>
    </cfRule>
    <cfRule type="expression" dxfId="1664" priority="3539">
      <formula>IF(O27&gt;=P27,IF(O27="",FALSE,TRUE))</formula>
    </cfRule>
  </conditionalFormatting>
  <conditionalFormatting sqref="Q27">
    <cfRule type="expression" dxfId="1663" priority="3536">
      <formula>OR(IF(Q27&lt;R27,TRUE),IF(AND(R27="",Q27&lt;&gt;""),TRUE))</formula>
    </cfRule>
    <cfRule type="expression" dxfId="1662" priority="3537">
      <formula>IF(Q27&gt;=R27,IF(Q27="",FALSE,TRUE))</formula>
    </cfRule>
  </conditionalFormatting>
  <conditionalFormatting sqref="V27">
    <cfRule type="expression" dxfId="1661" priority="3534">
      <formula>OR(IF(V27&lt;W27,TRUE),IF(AND(W27="",V27&lt;&gt;""),TRUE))</formula>
    </cfRule>
    <cfRule type="expression" dxfId="1660" priority="3535">
      <formula>IF(V27&gt;=W27,IF(V27="",FALSE,TRUE))</formula>
    </cfRule>
  </conditionalFormatting>
  <conditionalFormatting sqref="X27">
    <cfRule type="expression" dxfId="1659" priority="3532">
      <formula>OR(IF(X27&lt;Y27,TRUE),IF(AND(Y27="",X27&lt;&gt;""),TRUE))</formula>
    </cfRule>
    <cfRule type="expression" dxfId="1658" priority="3533">
      <formula>IF(X27&gt;=Y27,IF(X27="",FALSE,TRUE))</formula>
    </cfRule>
  </conditionalFormatting>
  <conditionalFormatting sqref="AC27">
    <cfRule type="expression" dxfId="1657" priority="3530">
      <formula>OR(IF(AC27&lt;AD27,TRUE),IF(AND(AD27="",AC27&lt;&gt;""),TRUE))</formula>
    </cfRule>
    <cfRule type="expression" dxfId="1656" priority="3531">
      <formula>IF(AC27&gt;=AD27,IF(AC27="",FALSE,TRUE))</formula>
    </cfRule>
  </conditionalFormatting>
  <conditionalFormatting sqref="AE27">
    <cfRule type="expression" dxfId="1655" priority="3528">
      <formula>OR(IF(AE27&lt;AF27,TRUE),IF(AND(AF27="",AE27&lt;&gt;""),TRUE))</formula>
    </cfRule>
    <cfRule type="expression" dxfId="1654" priority="3529">
      <formula>IF(AE27&gt;=AF27,IF(AE27="",FALSE,TRUE))</formula>
    </cfRule>
  </conditionalFormatting>
  <conditionalFormatting sqref="AJ27">
    <cfRule type="expression" dxfId="1653" priority="3526">
      <formula>OR(IF(AJ27&lt;AK27,TRUE),IF(AND(AK27="",AJ27&lt;&gt;""),TRUE))</formula>
    </cfRule>
    <cfRule type="expression" dxfId="1652" priority="3527">
      <formula>IF(AJ27&gt;=AK27,IF(AJ27="",FALSE,TRUE))</formula>
    </cfRule>
  </conditionalFormatting>
  <conditionalFormatting sqref="AL27">
    <cfRule type="expression" dxfId="1651" priority="3524">
      <formula>OR(IF(AL27&lt;AM27,TRUE),IF(AND(AM27="",AL27&lt;&gt;""),TRUE))</formula>
    </cfRule>
    <cfRule type="expression" dxfId="1650" priority="3525">
      <formula>IF(AL27&gt;=AM27,IF(AL27="",FALSE,TRUE))</formula>
    </cfRule>
  </conditionalFormatting>
  <conditionalFormatting sqref="AQ27">
    <cfRule type="expression" dxfId="1649" priority="3522">
      <formula>OR(IF(AQ27&lt;AR27,TRUE),IF(AND(AR27="",AQ27&lt;&gt;""),TRUE))</formula>
    </cfRule>
    <cfRule type="expression" dxfId="1648" priority="3523">
      <formula>IF(AQ27&gt;=AR27,IF(AQ27="",FALSE,TRUE))</formula>
    </cfRule>
  </conditionalFormatting>
  <conditionalFormatting sqref="AS27">
    <cfRule type="expression" dxfId="1647" priority="3520">
      <formula>OR(IF(AS27&lt;AT27,TRUE),IF(AND(AT27="",AS27&lt;&gt;""),TRUE))</formula>
    </cfRule>
    <cfRule type="expression" dxfId="1646" priority="3521">
      <formula>IF(AS27&gt;=AT27,IF(AS27="",FALSE,TRUE))</formula>
    </cfRule>
  </conditionalFormatting>
  <conditionalFormatting sqref="J27:K27">
    <cfRule type="colorScale" priority="3511">
      <colorScale>
        <cfvo type="percent" val="0"/>
        <cfvo type="percent" val="100"/>
        <color rgb="FFFF231B"/>
        <color rgb="FF10FF07"/>
      </colorScale>
    </cfRule>
  </conditionalFormatting>
  <conditionalFormatting sqref="J27">
    <cfRule type="colorScale" priority="3510">
      <colorScale>
        <cfvo type="percent" val="0"/>
        <cfvo type="percent" val="100"/>
        <color rgb="FFFF231B"/>
        <color rgb="FF10FF07"/>
      </colorScale>
    </cfRule>
  </conditionalFormatting>
  <conditionalFormatting sqref="K27">
    <cfRule type="colorScale" priority="3509">
      <colorScale>
        <cfvo type="percent" val="0"/>
        <cfvo type="percent" val="100"/>
        <color rgb="FFFF231B"/>
        <color rgb="FF10FF07"/>
      </colorScale>
    </cfRule>
  </conditionalFormatting>
  <conditionalFormatting sqref="O28">
    <cfRule type="expression" dxfId="1645" priority="3507">
      <formula>OR(IF(O28&lt;P28,TRUE),IF(AND(P28="",O28&lt;&gt;""),TRUE))</formula>
    </cfRule>
    <cfRule type="expression" dxfId="1644" priority="3508">
      <formula>IF(O28&gt;=P28,IF(O28="",FALSE,TRUE))</formula>
    </cfRule>
  </conditionalFormatting>
  <conditionalFormatting sqref="Q28">
    <cfRule type="expression" dxfId="1643" priority="3505">
      <formula>OR(IF(Q28&lt;R28,TRUE),IF(AND(R28="",Q28&lt;&gt;""),TRUE))</formula>
    </cfRule>
    <cfRule type="expression" dxfId="1642" priority="3506">
      <formula>IF(Q28&gt;=R28,IF(Q28="",FALSE,TRUE))</formula>
    </cfRule>
  </conditionalFormatting>
  <conditionalFormatting sqref="V28">
    <cfRule type="expression" dxfId="1641" priority="3503">
      <formula>OR(IF(V28&lt;W28,TRUE),IF(AND(W28="",V28&lt;&gt;""),TRUE))</formula>
    </cfRule>
    <cfRule type="expression" dxfId="1640" priority="3504">
      <formula>IF(V28&gt;=W28,IF(V28="",FALSE,TRUE))</formula>
    </cfRule>
  </conditionalFormatting>
  <conditionalFormatting sqref="X28">
    <cfRule type="expression" dxfId="1639" priority="3501">
      <formula>OR(IF(X28&lt;Y28,TRUE),IF(AND(Y28="",X28&lt;&gt;""),TRUE))</formula>
    </cfRule>
    <cfRule type="expression" dxfId="1638" priority="3502">
      <formula>IF(X28&gt;=Y28,IF(X28="",FALSE,TRUE))</formula>
    </cfRule>
  </conditionalFormatting>
  <conditionalFormatting sqref="AC28">
    <cfRule type="expression" dxfId="1637" priority="3499">
      <formula>OR(IF(AC28&lt;AD28,TRUE),IF(AND(AD28="",AC28&lt;&gt;""),TRUE))</formula>
    </cfRule>
    <cfRule type="expression" dxfId="1636" priority="3500">
      <formula>IF(AC28&gt;=AD28,IF(AC28="",FALSE,TRUE))</formula>
    </cfRule>
  </conditionalFormatting>
  <conditionalFormatting sqref="AE28">
    <cfRule type="expression" dxfId="1635" priority="3497">
      <formula>OR(IF(AE28&lt;AF28,TRUE),IF(AND(AF28="",AE28&lt;&gt;""),TRUE))</formula>
    </cfRule>
    <cfRule type="expression" dxfId="1634" priority="3498">
      <formula>IF(AE28&gt;=AF28,IF(AE28="",FALSE,TRUE))</formula>
    </cfRule>
  </conditionalFormatting>
  <conditionalFormatting sqref="AJ28">
    <cfRule type="expression" dxfId="1633" priority="3495">
      <formula>OR(IF(AJ28&lt;AK28,TRUE),IF(AND(AK28="",AJ28&lt;&gt;""),TRUE))</formula>
    </cfRule>
    <cfRule type="expression" dxfId="1632" priority="3496">
      <formula>IF(AJ28&gt;=AK28,IF(AJ28="",FALSE,TRUE))</formula>
    </cfRule>
  </conditionalFormatting>
  <conditionalFormatting sqref="AL28">
    <cfRule type="expression" dxfId="1631" priority="3493">
      <formula>OR(IF(AL28&lt;AM28,TRUE),IF(AND(AM28="",AL28&lt;&gt;""),TRUE))</formula>
    </cfRule>
    <cfRule type="expression" dxfId="1630" priority="3494">
      <formula>IF(AL28&gt;=AM28,IF(AL28="",FALSE,TRUE))</formula>
    </cfRule>
  </conditionalFormatting>
  <conditionalFormatting sqref="AQ28">
    <cfRule type="expression" dxfId="1629" priority="3491">
      <formula>OR(IF(AQ28&lt;AR28,TRUE),IF(AND(AR28="",AQ28&lt;&gt;""),TRUE))</formula>
    </cfRule>
    <cfRule type="expression" dxfId="1628" priority="3492">
      <formula>IF(AQ28&gt;=AR28,IF(AQ28="",FALSE,TRUE))</formula>
    </cfRule>
  </conditionalFormatting>
  <conditionalFormatting sqref="AS28">
    <cfRule type="expression" dxfId="1627" priority="3489">
      <formula>OR(IF(AS28&lt;AT28,TRUE),IF(AND(AT28="",AS28&lt;&gt;""),TRUE))</formula>
    </cfRule>
    <cfRule type="expression" dxfId="1626" priority="3490">
      <formula>IF(AS28&gt;=AT28,IF(AS28="",FALSE,TRUE))</formula>
    </cfRule>
  </conditionalFormatting>
  <conditionalFormatting sqref="J28:K28">
    <cfRule type="colorScale" priority="3480">
      <colorScale>
        <cfvo type="percent" val="0"/>
        <cfvo type="percent" val="100"/>
        <color rgb="FFFF231B"/>
        <color rgb="FF10FF07"/>
      </colorScale>
    </cfRule>
  </conditionalFormatting>
  <conditionalFormatting sqref="J28">
    <cfRule type="colorScale" priority="3479">
      <colorScale>
        <cfvo type="percent" val="0"/>
        <cfvo type="percent" val="100"/>
        <color rgb="FFFF231B"/>
        <color rgb="FF10FF07"/>
      </colorScale>
    </cfRule>
  </conditionalFormatting>
  <conditionalFormatting sqref="K28">
    <cfRule type="colorScale" priority="3478">
      <colorScale>
        <cfvo type="percent" val="0"/>
        <cfvo type="percent" val="100"/>
        <color rgb="FFFF231B"/>
        <color rgb="FF10FF07"/>
      </colorScale>
    </cfRule>
  </conditionalFormatting>
  <conditionalFormatting sqref="O29">
    <cfRule type="expression" dxfId="1625" priority="3476">
      <formula>OR(IF(O29&lt;P29,TRUE),IF(AND(P29="",O29&lt;&gt;""),TRUE))</formula>
    </cfRule>
    <cfRule type="expression" dxfId="1624" priority="3477">
      <formula>IF(O29&gt;=P29,IF(O29="",FALSE,TRUE))</formula>
    </cfRule>
  </conditionalFormatting>
  <conditionalFormatting sqref="Q29">
    <cfRule type="expression" dxfId="1623" priority="3474">
      <formula>OR(IF(Q29&lt;R29,TRUE),IF(AND(R29="",Q29&lt;&gt;""),TRUE))</formula>
    </cfRule>
    <cfRule type="expression" dxfId="1622" priority="3475">
      <formula>IF(Q29&gt;=R29,IF(Q29="",FALSE,TRUE))</formula>
    </cfRule>
  </conditionalFormatting>
  <conditionalFormatting sqref="V29">
    <cfRule type="expression" dxfId="1621" priority="3472">
      <formula>OR(IF(V29&lt;W29,TRUE),IF(AND(W29="",V29&lt;&gt;""),TRUE))</formula>
    </cfRule>
    <cfRule type="expression" dxfId="1620" priority="3473">
      <formula>IF(V29&gt;=W29,IF(V29="",FALSE,TRUE))</formula>
    </cfRule>
  </conditionalFormatting>
  <conditionalFormatting sqref="X29">
    <cfRule type="expression" dxfId="1619" priority="3470">
      <formula>OR(IF(X29&lt;Y29,TRUE),IF(AND(Y29="",X29&lt;&gt;""),TRUE))</formula>
    </cfRule>
    <cfRule type="expression" dxfId="1618" priority="3471">
      <formula>IF(X29&gt;=Y29,IF(X29="",FALSE,TRUE))</formula>
    </cfRule>
  </conditionalFormatting>
  <conditionalFormatting sqref="AC29">
    <cfRule type="expression" dxfId="1617" priority="3468">
      <formula>OR(IF(AC29&lt;AD29,TRUE),IF(AND(AD29="",AC29&lt;&gt;""),TRUE))</formula>
    </cfRule>
    <cfRule type="expression" dxfId="1616" priority="3469">
      <formula>IF(AC29&gt;=AD29,IF(AC29="",FALSE,TRUE))</formula>
    </cfRule>
  </conditionalFormatting>
  <conditionalFormatting sqref="AE29">
    <cfRule type="expression" dxfId="1615" priority="3466">
      <formula>OR(IF(AE29&lt;AF29,TRUE),IF(AND(AF29="",AE29&lt;&gt;""),TRUE))</formula>
    </cfRule>
    <cfRule type="expression" dxfId="1614" priority="3467">
      <formula>IF(AE29&gt;=AF29,IF(AE29="",FALSE,TRUE))</formula>
    </cfRule>
  </conditionalFormatting>
  <conditionalFormatting sqref="AJ29">
    <cfRule type="expression" dxfId="1613" priority="3464">
      <formula>OR(IF(AJ29&lt;AK29,TRUE),IF(AND(AK29="",AJ29&lt;&gt;""),TRUE))</formula>
    </cfRule>
    <cfRule type="expression" dxfId="1612" priority="3465">
      <formula>IF(AJ29&gt;=AK29,IF(AJ29="",FALSE,TRUE))</formula>
    </cfRule>
  </conditionalFormatting>
  <conditionalFormatting sqref="AL29">
    <cfRule type="expression" dxfId="1611" priority="3462">
      <formula>OR(IF(AL29&lt;AM29,TRUE),IF(AND(AM29="",AL29&lt;&gt;""),TRUE))</formula>
    </cfRule>
    <cfRule type="expression" dxfId="1610" priority="3463">
      <formula>IF(AL29&gt;=AM29,IF(AL29="",FALSE,TRUE))</formula>
    </cfRule>
  </conditionalFormatting>
  <conditionalFormatting sqref="AQ29">
    <cfRule type="expression" dxfId="1609" priority="3460">
      <formula>OR(IF(AQ29&lt;AR29,TRUE),IF(AND(AR29="",AQ29&lt;&gt;""),TRUE))</formula>
    </cfRule>
    <cfRule type="expression" dxfId="1608" priority="3461">
      <formula>IF(AQ29&gt;=AR29,IF(AQ29="",FALSE,TRUE))</formula>
    </cfRule>
  </conditionalFormatting>
  <conditionalFormatting sqref="AS29">
    <cfRule type="expression" dxfId="1607" priority="3458">
      <formula>OR(IF(AS29&lt;AT29,TRUE),IF(AND(AT29="",AS29&lt;&gt;""),TRUE))</formula>
    </cfRule>
    <cfRule type="expression" dxfId="1606" priority="3459">
      <formula>IF(AS29&gt;=AT29,IF(AS29="",FALSE,TRUE))</formula>
    </cfRule>
  </conditionalFormatting>
  <conditionalFormatting sqref="J29:K29">
    <cfRule type="colorScale" priority="3449">
      <colorScale>
        <cfvo type="percent" val="0"/>
        <cfvo type="percent" val="100"/>
        <color rgb="FFFF231B"/>
        <color rgb="FF10FF07"/>
      </colorScale>
    </cfRule>
  </conditionalFormatting>
  <conditionalFormatting sqref="J29">
    <cfRule type="colorScale" priority="3448">
      <colorScale>
        <cfvo type="percent" val="0"/>
        <cfvo type="percent" val="100"/>
        <color rgb="FFFF231B"/>
        <color rgb="FF10FF07"/>
      </colorScale>
    </cfRule>
  </conditionalFormatting>
  <conditionalFormatting sqref="K29">
    <cfRule type="colorScale" priority="3447">
      <colorScale>
        <cfvo type="percent" val="0"/>
        <cfvo type="percent" val="100"/>
        <color rgb="FFFF231B"/>
        <color rgb="FF10FF07"/>
      </colorScale>
    </cfRule>
  </conditionalFormatting>
  <conditionalFormatting sqref="O30:O31">
    <cfRule type="expression" dxfId="1605" priority="3445">
      <formula>OR(IF(O30&lt;P30,TRUE),IF(AND(P30="",O30&lt;&gt;""),TRUE))</formula>
    </cfRule>
    <cfRule type="expression" dxfId="1604" priority="3446">
      <formula>IF(O30&gt;=P30,IF(O30="",FALSE,TRUE))</formula>
    </cfRule>
  </conditionalFormatting>
  <conditionalFormatting sqref="Q30:Q31">
    <cfRule type="expression" dxfId="1603" priority="3443">
      <formula>OR(IF(Q30&lt;R30,TRUE),IF(AND(R30="",Q30&lt;&gt;""),TRUE))</formula>
    </cfRule>
    <cfRule type="expression" dxfId="1602" priority="3444">
      <formula>IF(Q30&gt;=R30,IF(Q30="",FALSE,TRUE))</formula>
    </cfRule>
  </conditionalFormatting>
  <conditionalFormatting sqref="V30:V31">
    <cfRule type="expression" dxfId="1601" priority="3441">
      <formula>OR(IF(V30&lt;W30,TRUE),IF(AND(W30="",V30&lt;&gt;""),TRUE))</formula>
    </cfRule>
    <cfRule type="expression" dxfId="1600" priority="3442">
      <formula>IF(V30&gt;=W30,IF(V30="",FALSE,TRUE))</formula>
    </cfRule>
  </conditionalFormatting>
  <conditionalFormatting sqref="X30:X31">
    <cfRule type="expression" dxfId="1599" priority="3439">
      <formula>OR(IF(X30&lt;Y30,TRUE),IF(AND(Y30="",X30&lt;&gt;""),TRUE))</formula>
    </cfRule>
    <cfRule type="expression" dxfId="1598" priority="3440">
      <formula>IF(X30&gt;=Y30,IF(X30="",FALSE,TRUE))</formula>
    </cfRule>
  </conditionalFormatting>
  <conditionalFormatting sqref="AC30:AC31">
    <cfRule type="expression" dxfId="1597" priority="3437">
      <formula>OR(IF(AC30&lt;AD30,TRUE),IF(AND(AD30="",AC30&lt;&gt;""),TRUE))</formula>
    </cfRule>
    <cfRule type="expression" dxfId="1596" priority="3438">
      <formula>IF(AC30&gt;=AD30,IF(AC30="",FALSE,TRUE))</formula>
    </cfRule>
  </conditionalFormatting>
  <conditionalFormatting sqref="AE30:AE31">
    <cfRule type="expression" dxfId="1595" priority="3435">
      <formula>OR(IF(AE30&lt;AF30,TRUE),IF(AND(AF30="",AE30&lt;&gt;""),TRUE))</formula>
    </cfRule>
    <cfRule type="expression" dxfId="1594" priority="3436">
      <formula>IF(AE30&gt;=AF30,IF(AE30="",FALSE,TRUE))</formula>
    </cfRule>
  </conditionalFormatting>
  <conditionalFormatting sqref="AJ30:AJ31">
    <cfRule type="expression" dxfId="1593" priority="3433">
      <formula>OR(IF(AJ30&lt;AK30,TRUE),IF(AND(AK30="",AJ30&lt;&gt;""),TRUE))</formula>
    </cfRule>
    <cfRule type="expression" dxfId="1592" priority="3434">
      <formula>IF(AJ30&gt;=AK30,IF(AJ30="",FALSE,TRUE))</formula>
    </cfRule>
  </conditionalFormatting>
  <conditionalFormatting sqref="AL30:AL31">
    <cfRule type="expression" dxfId="1591" priority="3431">
      <formula>OR(IF(AL30&lt;AM30,TRUE),IF(AND(AM30="",AL30&lt;&gt;""),TRUE))</formula>
    </cfRule>
    <cfRule type="expression" dxfId="1590" priority="3432">
      <formula>IF(AL30&gt;=AM30,IF(AL30="",FALSE,TRUE))</formula>
    </cfRule>
  </conditionalFormatting>
  <conditionalFormatting sqref="AQ30:AQ31">
    <cfRule type="expression" dxfId="1589" priority="3429">
      <formula>OR(IF(AQ30&lt;AR30,TRUE),IF(AND(AR30="",AQ30&lt;&gt;""),TRUE))</formula>
    </cfRule>
    <cfRule type="expression" dxfId="1588" priority="3430">
      <formula>IF(AQ30&gt;=AR30,IF(AQ30="",FALSE,TRUE))</formula>
    </cfRule>
  </conditionalFormatting>
  <conditionalFormatting sqref="AS30:AS31">
    <cfRule type="expression" dxfId="1587" priority="3427">
      <formula>OR(IF(AS30&lt;AT30,TRUE),IF(AND(AT30="",AS30&lt;&gt;""),TRUE))</formula>
    </cfRule>
    <cfRule type="expression" dxfId="1586" priority="3428">
      <formula>IF(AS30&gt;=AT30,IF(AS30="",FALSE,TRUE))</formula>
    </cfRule>
  </conditionalFormatting>
  <conditionalFormatting sqref="J30:K31">
    <cfRule type="colorScale" priority="3418">
      <colorScale>
        <cfvo type="percent" val="0"/>
        <cfvo type="percent" val="100"/>
        <color rgb="FFFF231B"/>
        <color rgb="FF10FF07"/>
      </colorScale>
    </cfRule>
  </conditionalFormatting>
  <conditionalFormatting sqref="J30:J31">
    <cfRule type="colorScale" priority="3417">
      <colorScale>
        <cfvo type="percent" val="0"/>
        <cfvo type="percent" val="100"/>
        <color rgb="FFFF231B"/>
        <color rgb="FF10FF07"/>
      </colorScale>
    </cfRule>
  </conditionalFormatting>
  <conditionalFormatting sqref="K30:K31">
    <cfRule type="colorScale" priority="3416">
      <colorScale>
        <cfvo type="percent" val="0"/>
        <cfvo type="percent" val="100"/>
        <color rgb="FFFF231B"/>
        <color rgb="FF10FF07"/>
      </colorScale>
    </cfRule>
  </conditionalFormatting>
  <conditionalFormatting sqref="O112:O113">
    <cfRule type="expression" dxfId="1585" priority="3383">
      <formula>OR(IF(O112&lt;P112,TRUE),IF(AND(P112="",O112&lt;&gt;""),TRUE))</formula>
    </cfRule>
    <cfRule type="expression" dxfId="1584" priority="3384">
      <formula>IF(O112&gt;=P112,IF(O112="",FALSE,TRUE))</formula>
    </cfRule>
  </conditionalFormatting>
  <conditionalFormatting sqref="Q112:Q113">
    <cfRule type="expression" dxfId="1583" priority="3381">
      <formula>OR(IF(Q112&lt;R112,TRUE),IF(AND(R112="",Q112&lt;&gt;""),TRUE))</formula>
    </cfRule>
    <cfRule type="expression" dxfId="1582" priority="3382">
      <formula>IF(Q112&gt;=R112,IF(Q112="",FALSE,TRUE))</formula>
    </cfRule>
  </conditionalFormatting>
  <conditionalFormatting sqref="V112:V113">
    <cfRule type="expression" dxfId="1581" priority="3375">
      <formula>OR(IF(V112&lt;W112,TRUE),IF(AND(W112="",V112&lt;&gt;""),TRUE))</formula>
    </cfRule>
    <cfRule type="expression" dxfId="1580" priority="3376">
      <formula>IF(V112&gt;=W112,IF(V112="",FALSE,TRUE))</formula>
    </cfRule>
  </conditionalFormatting>
  <conditionalFormatting sqref="X112:X113">
    <cfRule type="expression" dxfId="1579" priority="3373">
      <formula>OR(IF(X112&lt;Y112,TRUE),IF(AND(Y112="",X112&lt;&gt;""),TRUE))</formula>
    </cfRule>
    <cfRule type="expression" dxfId="1578" priority="3374">
      <formula>IF(X112&gt;=Y112,IF(X112="",FALSE,TRUE))</formula>
    </cfRule>
  </conditionalFormatting>
  <conditionalFormatting sqref="AC112:AC113">
    <cfRule type="expression" dxfId="1577" priority="3367">
      <formula>OR(IF(AC112&lt;AD112,TRUE),IF(AND(AD112="",AC112&lt;&gt;""),TRUE))</formula>
    </cfRule>
    <cfRule type="expression" dxfId="1576" priority="3368">
      <formula>IF(AC112&gt;=AD112,IF(AC112="",FALSE,TRUE))</formula>
    </cfRule>
  </conditionalFormatting>
  <conditionalFormatting sqref="AE112:AE113">
    <cfRule type="expression" dxfId="1575" priority="3365">
      <formula>OR(IF(AE112&lt;AF112,TRUE),IF(AND(AF112="",AE112&lt;&gt;""),TRUE))</formula>
    </cfRule>
    <cfRule type="expression" dxfId="1574" priority="3366">
      <formula>IF(AE112&gt;=AF112,IF(AE112="",FALSE,TRUE))</formula>
    </cfRule>
  </conditionalFormatting>
  <conditionalFormatting sqref="AJ112:AJ113">
    <cfRule type="expression" dxfId="1573" priority="3359">
      <formula>OR(IF(AJ112&lt;AK112,TRUE),IF(AND(AK112="",AJ112&lt;&gt;""),TRUE))</formula>
    </cfRule>
    <cfRule type="expression" dxfId="1572" priority="3360">
      <formula>IF(AJ112&gt;=AK112,IF(AJ112="",FALSE,TRUE))</formula>
    </cfRule>
  </conditionalFormatting>
  <conditionalFormatting sqref="AL112:AL113">
    <cfRule type="expression" dxfId="1571" priority="3357">
      <formula>OR(IF(AL112&lt;AM112,TRUE),IF(AND(AM112="",AL112&lt;&gt;""),TRUE))</formula>
    </cfRule>
    <cfRule type="expression" dxfId="1570" priority="3358">
      <formula>IF(AL112&gt;=AM112,IF(AL112="",FALSE,TRUE))</formula>
    </cfRule>
  </conditionalFormatting>
  <conditionalFormatting sqref="AQ112:AQ113">
    <cfRule type="expression" dxfId="1569" priority="3351">
      <formula>OR(IF(AQ112&lt;AR112,TRUE),IF(AND(AR112="",AQ112&lt;&gt;""),TRUE))</formula>
    </cfRule>
    <cfRule type="expression" dxfId="1568" priority="3352">
      <formula>IF(AQ112&gt;=AR112,IF(AQ112="",FALSE,TRUE))</formula>
    </cfRule>
  </conditionalFormatting>
  <conditionalFormatting sqref="AS112:AS113">
    <cfRule type="expression" dxfId="1567" priority="3349">
      <formula>OR(IF(AS112&lt;AT112,TRUE),IF(AND(AT112="",AS112&lt;&gt;""),TRUE))</formula>
    </cfRule>
    <cfRule type="expression" dxfId="1566" priority="3350">
      <formula>IF(AS112&gt;=AT112,IF(AS112="",FALSE,TRUE))</formula>
    </cfRule>
  </conditionalFormatting>
  <conditionalFormatting sqref="AJ110">
    <cfRule type="expression" dxfId="1565" priority="3312">
      <formula>OR(IF(AJ110&lt;AK110,TRUE),IF(AND(AK110="",AJ110&lt;&gt;""),TRUE))</formula>
    </cfRule>
    <cfRule type="expression" dxfId="1564" priority="3313">
      <formula>IF(AJ110&gt;=AK110,IF(AJ110="",FALSE,TRUE))</formula>
    </cfRule>
  </conditionalFormatting>
  <conditionalFormatting sqref="AL110">
    <cfRule type="expression" dxfId="1563" priority="3310">
      <formula>OR(IF(AL110&lt;AM110,TRUE),IF(AND(AM110="",AL110&lt;&gt;""),TRUE))</formula>
    </cfRule>
    <cfRule type="expression" dxfId="1562" priority="3311">
      <formula>IF(AL110&gt;=AM110,IF(AL110="",FALSE,TRUE))</formula>
    </cfRule>
  </conditionalFormatting>
  <conditionalFormatting sqref="Q110">
    <cfRule type="expression" dxfId="1561" priority="3322">
      <formula>OR(IF(Q110&lt;R110,TRUE),IF(AND(R110="",Q110&lt;&gt;""),TRUE))</formula>
    </cfRule>
    <cfRule type="expression" dxfId="1560" priority="3323">
      <formula>IF(Q110&gt;=R110,IF(Q110="",FALSE,TRUE))</formula>
    </cfRule>
  </conditionalFormatting>
  <conditionalFormatting sqref="O110">
    <cfRule type="expression" dxfId="1559" priority="3324">
      <formula>OR(IF(O110&lt;P110,TRUE),IF(AND(P110="",O110&lt;&gt;""),TRUE))</formula>
    </cfRule>
    <cfRule type="expression" dxfId="1558" priority="3325">
      <formula>IF(O110&gt;=P110,IF(O110="",FALSE,TRUE))</formula>
    </cfRule>
  </conditionalFormatting>
  <conditionalFormatting sqref="X110">
    <cfRule type="expression" dxfId="1557" priority="3318">
      <formula>OR(IF(X110&lt;Y110,TRUE),IF(AND(Y110="",X110&lt;&gt;""),TRUE))</formula>
    </cfRule>
    <cfRule type="expression" dxfId="1556" priority="3319">
      <formula>IF(X110&gt;=Y110,IF(X110="",FALSE,TRUE))</formula>
    </cfRule>
  </conditionalFormatting>
  <conditionalFormatting sqref="V110">
    <cfRule type="expression" dxfId="1555" priority="3320">
      <formula>OR(IF(V110&lt;W110,TRUE),IF(AND(W110="",V110&lt;&gt;""),TRUE))</formula>
    </cfRule>
    <cfRule type="expression" dxfId="1554" priority="3321">
      <formula>IF(V110&gt;=W110,IF(V110="",FALSE,TRUE))</formula>
    </cfRule>
  </conditionalFormatting>
  <conditionalFormatting sqref="AE110">
    <cfRule type="expression" dxfId="1553" priority="3314">
      <formula>OR(IF(AE110&lt;AF110,TRUE),IF(AND(AF110="",AE110&lt;&gt;""),TRUE))</formula>
    </cfRule>
    <cfRule type="expression" dxfId="1552" priority="3315">
      <formula>IF(AE110&gt;=AF110,IF(AE110="",FALSE,TRUE))</formula>
    </cfRule>
  </conditionalFormatting>
  <conditionalFormatting sqref="AC110">
    <cfRule type="expression" dxfId="1551" priority="3316">
      <formula>OR(IF(AC110&lt;AD110,TRUE),IF(AND(AD110="",AC110&lt;&gt;""),TRUE))</formula>
    </cfRule>
    <cfRule type="expression" dxfId="1550" priority="3317">
      <formula>IF(AC110&gt;=AD110,IF(AC110="",FALSE,TRUE))</formula>
    </cfRule>
  </conditionalFormatting>
  <conditionalFormatting sqref="AS110">
    <cfRule type="expression" dxfId="1549" priority="3306">
      <formula>OR(IF(AS110&lt;AT110,TRUE),IF(AND(AT110="",AS110&lt;&gt;""),TRUE))</formula>
    </cfRule>
    <cfRule type="expression" dxfId="1548" priority="3307">
      <formula>IF(AS110&gt;=AT110,IF(AS110="",FALSE,TRUE))</formula>
    </cfRule>
  </conditionalFormatting>
  <conditionalFormatting sqref="AQ110">
    <cfRule type="expression" dxfId="1547" priority="3308">
      <formula>OR(IF(AQ110&lt;AR110,TRUE),IF(AND(AR110="",AQ110&lt;&gt;""),TRUE))</formula>
    </cfRule>
    <cfRule type="expression" dxfId="1546" priority="3309">
      <formula>IF(AQ110&gt;=AR110,IF(AQ110="",FALSE,TRUE))</formula>
    </cfRule>
  </conditionalFormatting>
  <conditionalFormatting sqref="J110:K110">
    <cfRule type="colorScale" priority="3297">
      <colorScale>
        <cfvo type="percent" val="0"/>
        <cfvo type="percent" val="100"/>
        <color rgb="FFFF231B"/>
        <color rgb="FF10FF07"/>
      </colorScale>
    </cfRule>
  </conditionalFormatting>
  <conditionalFormatting sqref="J110">
    <cfRule type="colorScale" priority="3296">
      <colorScale>
        <cfvo type="percent" val="0"/>
        <cfvo type="percent" val="100"/>
        <color rgb="FFFF231B"/>
        <color rgb="FF10FF07"/>
      </colorScale>
    </cfRule>
  </conditionalFormatting>
  <conditionalFormatting sqref="K110">
    <cfRule type="colorScale" priority="3295">
      <colorScale>
        <cfvo type="percent" val="0"/>
        <cfvo type="percent" val="100"/>
        <color rgb="FFFF231B"/>
        <color rgb="FF10FF07"/>
      </colorScale>
    </cfRule>
  </conditionalFormatting>
  <conditionalFormatting sqref="J113:K122">
    <cfRule type="colorScale" priority="4369">
      <colorScale>
        <cfvo type="percent" val="0"/>
        <cfvo type="percent" val="100"/>
        <color rgb="FFFF231B"/>
        <color rgb="FF10FF07"/>
      </colorScale>
    </cfRule>
  </conditionalFormatting>
  <conditionalFormatting sqref="J112:J122">
    <cfRule type="colorScale" priority="4370">
      <colorScale>
        <cfvo type="percent" val="0"/>
        <cfvo type="percent" val="100"/>
        <color rgb="FFFF231B"/>
        <color rgb="FF10FF07"/>
      </colorScale>
    </cfRule>
  </conditionalFormatting>
  <conditionalFormatting sqref="K112:K122">
    <cfRule type="colorScale" priority="4371">
      <colorScale>
        <cfvo type="percent" val="0"/>
        <cfvo type="percent" val="100"/>
        <color rgb="FFFF231B"/>
        <color rgb="FF10FF07"/>
      </colorScale>
    </cfRule>
  </conditionalFormatting>
  <conditionalFormatting sqref="BZ20:BZ24 CB20:CB24">
    <cfRule type="expression" dxfId="1545" priority="2803">
      <formula>OR(IF(BZ20&lt;CA20,TRUE),IF(AND(CA20="",BZ20&lt;&gt;""),TRUE))</formula>
    </cfRule>
    <cfRule type="expression" dxfId="1544" priority="2804">
      <formula>IF(BZ20&gt;=CA20,IF(BZ20="",FALSE,TRUE))</formula>
    </cfRule>
  </conditionalFormatting>
  <conditionalFormatting sqref="BZ34:BZ35">
    <cfRule type="expression" dxfId="1543" priority="2799">
      <formula>OR(IF(BZ34&lt;CA34,TRUE),IF(AND(CA34="",BZ34&lt;&gt;""),TRUE))</formula>
    </cfRule>
    <cfRule type="expression" dxfId="1542" priority="2800">
      <formula>IF(BZ34&gt;=CA34,IF(BZ34="",FALSE,TRUE))</formula>
    </cfRule>
  </conditionalFormatting>
  <conditionalFormatting sqref="CA36:CA45">
    <cfRule type="expression" dxfId="1541" priority="2789">
      <formula>OR(IF(CA36&lt;CB36,TRUE),IF(AND(CB36="",CA36&lt;&gt;""),TRUE))</formula>
    </cfRule>
    <cfRule type="expression" dxfId="1540" priority="2790">
      <formula>IF(CA36&gt;=CB36,IF(CA36="",FALSE,TRUE))</formula>
    </cfRule>
  </conditionalFormatting>
  <conditionalFormatting sqref="CB34:CB35">
    <cfRule type="expression" dxfId="1539" priority="2797">
      <formula>OR(IF(CB34&lt;CC34,TRUE),IF(AND(CC34="",CB34&lt;&gt;""),TRUE))</formula>
    </cfRule>
    <cfRule type="expression" dxfId="1538" priority="2798">
      <formula>IF(CB34&gt;=CC34,IF(CB34="",FALSE,TRUE))</formula>
    </cfRule>
  </conditionalFormatting>
  <conditionalFormatting sqref="BZ25">
    <cfRule type="expression" dxfId="1537" priority="2795">
      <formula>OR(IF(BZ25&lt;CA25,TRUE),IF(AND(CA25="",BZ25&lt;&gt;""),TRUE))</formula>
    </cfRule>
    <cfRule type="expression" dxfId="1536" priority="2796">
      <formula>IF(BZ25&gt;=CA25,IF(BZ25="",FALSE,TRUE))</formula>
    </cfRule>
  </conditionalFormatting>
  <conditionalFormatting sqref="CB25">
    <cfRule type="expression" dxfId="1535" priority="2793">
      <formula>OR(IF(CB25&lt;CC25,TRUE),IF(AND(CC25="",CB25&lt;&gt;""),TRUE))</formula>
    </cfRule>
    <cfRule type="expression" dxfId="1534" priority="2794">
      <formula>IF(CB25&gt;=CC25,IF(CB25="",FALSE,TRUE))</formula>
    </cfRule>
  </conditionalFormatting>
  <conditionalFormatting sqref="BY36:BY45">
    <cfRule type="expression" dxfId="1533" priority="2791">
      <formula>OR(IF(BY36&lt;BZ36,TRUE),IF(AND(BZ36="",BY36&lt;&gt;""),TRUE))</formula>
    </cfRule>
    <cfRule type="expression" dxfId="1532" priority="2792">
      <formula>IF(BY36&gt;=BZ36,IF(BY36="",FALSE,TRUE))</formula>
    </cfRule>
  </conditionalFormatting>
  <conditionalFormatting sqref="BZ49:BZ50">
    <cfRule type="expression" dxfId="1531" priority="2787">
      <formula>OR(IF(BZ49&lt;CA49,TRUE),IF(AND(CA49="",BZ49&lt;&gt;""),TRUE))</formula>
    </cfRule>
    <cfRule type="expression" dxfId="1530" priority="2788">
      <formula>IF(BZ49&gt;=CA49,IF(BZ49="",FALSE,TRUE))</formula>
    </cfRule>
  </conditionalFormatting>
  <conditionalFormatting sqref="CB51:CB60">
    <cfRule type="expression" dxfId="1529" priority="2781">
      <formula>OR(IF(CB51&lt;CC51,TRUE),IF(AND(CC51="",CB51&lt;&gt;""),TRUE))</formula>
    </cfRule>
    <cfRule type="expression" dxfId="1528" priority="2782">
      <formula>IF(CB51&gt;=CC51,IF(CB51="",FALSE,TRUE))</formula>
    </cfRule>
  </conditionalFormatting>
  <conditionalFormatting sqref="CB49:CB50">
    <cfRule type="expression" dxfId="1527" priority="2785">
      <formula>OR(IF(CB49&lt;CC49,TRUE),IF(AND(CC49="",CB49&lt;&gt;""),TRUE))</formula>
    </cfRule>
    <cfRule type="expression" dxfId="1526" priority="2786">
      <formula>IF(CB49&gt;=CC49,IF(CB49="",FALSE,TRUE))</formula>
    </cfRule>
  </conditionalFormatting>
  <conditionalFormatting sqref="BZ51:BZ60">
    <cfRule type="expression" dxfId="1525" priority="2783">
      <formula>OR(IF(BZ51&lt;CA51,TRUE),IF(AND(CA51="",BZ51&lt;&gt;""),TRUE))</formula>
    </cfRule>
    <cfRule type="expression" dxfId="1524" priority="2784">
      <formula>IF(BZ51&gt;=CA51,IF(BZ51="",FALSE,TRUE))</formula>
    </cfRule>
  </conditionalFormatting>
  <conditionalFormatting sqref="BZ65:BZ66">
    <cfRule type="expression" dxfId="1523" priority="2779">
      <formula>OR(IF(BZ65&lt;CA65,TRUE),IF(AND(CA65="",BZ65&lt;&gt;""),TRUE))</formula>
    </cfRule>
    <cfRule type="expression" dxfId="1522" priority="2780">
      <formula>IF(BZ65&gt;=CA65,IF(BZ65="",FALSE,TRUE))</formula>
    </cfRule>
  </conditionalFormatting>
  <conditionalFormatting sqref="CB67:CB76">
    <cfRule type="expression" dxfId="1521" priority="2773">
      <formula>OR(IF(CB67&lt;CC67,TRUE),IF(AND(CC67="",CB67&lt;&gt;""),TRUE))</formula>
    </cfRule>
    <cfRule type="expression" dxfId="1520" priority="2774">
      <formula>IF(CB67&gt;=CC67,IF(CB67="",FALSE,TRUE))</formula>
    </cfRule>
  </conditionalFormatting>
  <conditionalFormatting sqref="CB65:CB66">
    <cfRule type="expression" dxfId="1519" priority="2777">
      <formula>OR(IF(CB65&lt;CC65,TRUE),IF(AND(CC65="",CB65&lt;&gt;""),TRUE))</formula>
    </cfRule>
    <cfRule type="expression" dxfId="1518" priority="2778">
      <formula>IF(CB65&gt;=CC65,IF(CB65="",FALSE,TRUE))</formula>
    </cfRule>
  </conditionalFormatting>
  <conditionalFormatting sqref="BZ67:BZ76">
    <cfRule type="expression" dxfId="1517" priority="2775">
      <formula>OR(IF(BZ67&lt;CA67,TRUE),IF(AND(CA67="",BZ67&lt;&gt;""),TRUE))</formula>
    </cfRule>
    <cfRule type="expression" dxfId="1516" priority="2776">
      <formula>IF(BZ67&gt;=CA67,IF(BZ67="",FALSE,TRUE))</formula>
    </cfRule>
  </conditionalFormatting>
  <conditionalFormatting sqref="BZ95:BZ96">
    <cfRule type="expression" dxfId="1515" priority="2771">
      <formula>OR(IF(BZ95&lt;CA95,TRUE),IF(AND(CA95="",BZ95&lt;&gt;""),TRUE))</formula>
    </cfRule>
    <cfRule type="expression" dxfId="1514" priority="2772">
      <formula>IF(BZ95&gt;=CA95,IF(BZ95="",FALSE,TRUE))</formula>
    </cfRule>
  </conditionalFormatting>
  <conditionalFormatting sqref="CB97:CB106">
    <cfRule type="expression" dxfId="1513" priority="2765">
      <formula>OR(IF(CB97&lt;CC97,TRUE),IF(AND(CC97="",CB97&lt;&gt;""),TRUE))</formula>
    </cfRule>
    <cfRule type="expression" dxfId="1512" priority="2766">
      <formula>IF(CB97&gt;=CC97,IF(CB97="",FALSE,TRUE))</formula>
    </cfRule>
  </conditionalFormatting>
  <conditionalFormatting sqref="CB95:CB96">
    <cfRule type="expression" dxfId="1511" priority="2769">
      <formula>OR(IF(CB95&lt;CC95,TRUE),IF(AND(CC95="",CB95&lt;&gt;""),TRUE))</formula>
    </cfRule>
    <cfRule type="expression" dxfId="1510" priority="2770">
      <formula>IF(CB95&gt;=CC95,IF(CB95="",FALSE,TRUE))</formula>
    </cfRule>
  </conditionalFormatting>
  <conditionalFormatting sqref="BZ97:BZ106">
    <cfRule type="expression" dxfId="1509" priority="2767">
      <formula>OR(IF(BZ97&lt;CA97,TRUE),IF(AND(CA97="",BZ97&lt;&gt;""),TRUE))</formula>
    </cfRule>
    <cfRule type="expression" dxfId="1508" priority="2768">
      <formula>IF(BZ97&gt;=CA97,IF(BZ97="",FALSE,TRUE))</formula>
    </cfRule>
  </conditionalFormatting>
  <conditionalFormatting sqref="CB77">
    <cfRule type="expression" dxfId="1507" priority="2761">
      <formula>OR(IF(CB77&lt;CC77,TRUE),IF(AND(CC77="",CB77&lt;&gt;""),TRUE))</formula>
    </cfRule>
    <cfRule type="expression" dxfId="1506" priority="2762">
      <formula>IF(CB77&gt;=CC77,IF(CB77="",FALSE,TRUE))</formula>
    </cfRule>
  </conditionalFormatting>
  <conditionalFormatting sqref="BZ77">
    <cfRule type="expression" dxfId="1505" priority="2763">
      <formula>OR(IF(BZ77&lt;CA77,TRUE),IF(AND(CA77="",BZ77&lt;&gt;""),TRUE))</formula>
    </cfRule>
    <cfRule type="expression" dxfId="1504" priority="2764">
      <formula>IF(BZ77&gt;=CA77,IF(BZ77="",FALSE,TRUE))</formula>
    </cfRule>
  </conditionalFormatting>
  <conditionalFormatting sqref="CB78">
    <cfRule type="expression" dxfId="1503" priority="2757">
      <formula>OR(IF(CB78&lt;CC78,TRUE),IF(AND(CC78="",CB78&lt;&gt;""),TRUE))</formula>
    </cfRule>
    <cfRule type="expression" dxfId="1502" priority="2758">
      <formula>IF(CB78&gt;=CC78,IF(CB78="",FALSE,TRUE))</formula>
    </cfRule>
  </conditionalFormatting>
  <conditionalFormatting sqref="BZ78">
    <cfRule type="expression" dxfId="1501" priority="2759">
      <formula>OR(IF(BZ78&lt;CA78,TRUE),IF(AND(CA78="",BZ78&lt;&gt;""),TRUE))</formula>
    </cfRule>
    <cfRule type="expression" dxfId="1500" priority="2760">
      <formula>IF(BZ78&gt;=CA78,IF(BZ78="",FALSE,TRUE))</formula>
    </cfRule>
  </conditionalFormatting>
  <conditionalFormatting sqref="CB79">
    <cfRule type="expression" dxfId="1499" priority="2753">
      <formula>OR(IF(CB79&lt;CC79,TRUE),IF(AND(CC79="",CB79&lt;&gt;""),TRUE))</formula>
    </cfRule>
    <cfRule type="expression" dxfId="1498" priority="2754">
      <formula>IF(CB79&gt;=CC79,IF(CB79="",FALSE,TRUE))</formula>
    </cfRule>
  </conditionalFormatting>
  <conditionalFormatting sqref="BZ79">
    <cfRule type="expression" dxfId="1497" priority="2755">
      <formula>OR(IF(BZ79&lt;CA79,TRUE),IF(AND(CA79="",BZ79&lt;&gt;""),TRUE))</formula>
    </cfRule>
    <cfRule type="expression" dxfId="1496" priority="2756">
      <formula>IF(BZ79&gt;=CA79,IF(BZ79="",FALSE,TRUE))</formula>
    </cfRule>
  </conditionalFormatting>
  <conditionalFormatting sqref="CB80">
    <cfRule type="expression" dxfId="1495" priority="2749">
      <formula>OR(IF(CB80&lt;CC80,TRUE),IF(AND(CC80="",CB80&lt;&gt;""),TRUE))</formula>
    </cfRule>
    <cfRule type="expression" dxfId="1494" priority="2750">
      <formula>IF(CB80&gt;=CC80,IF(CB80="",FALSE,TRUE))</formula>
    </cfRule>
  </conditionalFormatting>
  <conditionalFormatting sqref="BZ80">
    <cfRule type="expression" dxfId="1493" priority="2751">
      <formula>OR(IF(BZ80&lt;CA80,TRUE),IF(AND(CA80="",BZ80&lt;&gt;""),TRUE))</formula>
    </cfRule>
    <cfRule type="expression" dxfId="1492" priority="2752">
      <formula>IF(BZ80&gt;=CA80,IF(BZ80="",FALSE,TRUE))</formula>
    </cfRule>
  </conditionalFormatting>
  <conditionalFormatting sqref="CB81">
    <cfRule type="expression" dxfId="1491" priority="2745">
      <formula>OR(IF(CB81&lt;CC81,TRUE),IF(AND(CC81="",CB81&lt;&gt;""),TRUE))</formula>
    </cfRule>
    <cfRule type="expression" dxfId="1490" priority="2746">
      <formula>IF(CB81&gt;=CC81,IF(CB81="",FALSE,TRUE))</formula>
    </cfRule>
  </conditionalFormatting>
  <conditionalFormatting sqref="BZ81">
    <cfRule type="expression" dxfId="1489" priority="2747">
      <formula>OR(IF(BZ81&lt;CA81,TRUE),IF(AND(CA81="",BZ81&lt;&gt;""),TRUE))</formula>
    </cfRule>
    <cfRule type="expression" dxfId="1488" priority="2748">
      <formula>IF(BZ81&gt;=CA81,IF(BZ81="",FALSE,TRUE))</formula>
    </cfRule>
  </conditionalFormatting>
  <conditionalFormatting sqref="CB82">
    <cfRule type="expression" dxfId="1487" priority="2741">
      <formula>OR(IF(CB82&lt;CC82,TRUE),IF(AND(CC82="",CB82&lt;&gt;""),TRUE))</formula>
    </cfRule>
    <cfRule type="expression" dxfId="1486" priority="2742">
      <formula>IF(CB82&gt;=CC82,IF(CB82="",FALSE,TRUE))</formula>
    </cfRule>
  </conditionalFormatting>
  <conditionalFormatting sqref="BZ82">
    <cfRule type="expression" dxfId="1485" priority="2743">
      <formula>OR(IF(BZ82&lt;CA82,TRUE),IF(AND(CA82="",BZ82&lt;&gt;""),TRUE))</formula>
    </cfRule>
    <cfRule type="expression" dxfId="1484" priority="2744">
      <formula>IF(BZ82&gt;=CA82,IF(BZ82="",FALSE,TRUE))</formula>
    </cfRule>
  </conditionalFormatting>
  <conditionalFormatting sqref="CB83">
    <cfRule type="expression" dxfId="1483" priority="2737">
      <formula>OR(IF(CB83&lt;CC83,TRUE),IF(AND(CC83="",CB83&lt;&gt;""),TRUE))</formula>
    </cfRule>
    <cfRule type="expression" dxfId="1482" priority="2738">
      <formula>IF(CB83&gt;=CC83,IF(CB83="",FALSE,TRUE))</formula>
    </cfRule>
  </conditionalFormatting>
  <conditionalFormatting sqref="BZ83">
    <cfRule type="expression" dxfId="1481" priority="2739">
      <formula>OR(IF(BZ83&lt;CA83,TRUE),IF(AND(CA83="",BZ83&lt;&gt;""),TRUE))</formula>
    </cfRule>
    <cfRule type="expression" dxfId="1480" priority="2740">
      <formula>IF(BZ83&gt;=CA83,IF(BZ83="",FALSE,TRUE))</formula>
    </cfRule>
  </conditionalFormatting>
  <conditionalFormatting sqref="CB84">
    <cfRule type="expression" dxfId="1479" priority="2733">
      <formula>OR(IF(CB84&lt;CC84,TRUE),IF(AND(CC84="",CB84&lt;&gt;""),TRUE))</formula>
    </cfRule>
    <cfRule type="expression" dxfId="1478" priority="2734">
      <formula>IF(CB84&gt;=CC84,IF(CB84="",FALSE,TRUE))</formula>
    </cfRule>
  </conditionalFormatting>
  <conditionalFormatting sqref="BZ84">
    <cfRule type="expression" dxfId="1477" priority="2735">
      <formula>OR(IF(BZ84&lt;CA84,TRUE),IF(AND(CA84="",BZ84&lt;&gt;""),TRUE))</formula>
    </cfRule>
    <cfRule type="expression" dxfId="1476" priority="2736">
      <formula>IF(BZ84&gt;=CA84,IF(BZ84="",FALSE,TRUE))</formula>
    </cfRule>
  </conditionalFormatting>
  <conditionalFormatting sqref="CB85">
    <cfRule type="expression" dxfId="1475" priority="2729">
      <formula>OR(IF(CB85&lt;CC85,TRUE),IF(AND(CC85="",CB85&lt;&gt;""),TRUE))</formula>
    </cfRule>
    <cfRule type="expression" dxfId="1474" priority="2730">
      <formula>IF(CB85&gt;=CC85,IF(CB85="",FALSE,TRUE))</formula>
    </cfRule>
  </conditionalFormatting>
  <conditionalFormatting sqref="BZ85">
    <cfRule type="expression" dxfId="1473" priority="2731">
      <formula>OR(IF(BZ85&lt;CA85,TRUE),IF(AND(CA85="",BZ85&lt;&gt;""),TRUE))</formula>
    </cfRule>
    <cfRule type="expression" dxfId="1472" priority="2732">
      <formula>IF(BZ85&gt;=CA85,IF(BZ85="",FALSE,TRUE))</formula>
    </cfRule>
  </conditionalFormatting>
  <conditionalFormatting sqref="CB86">
    <cfRule type="expression" dxfId="1471" priority="2725">
      <formula>OR(IF(CB86&lt;CC86,TRUE),IF(AND(CC86="",CB86&lt;&gt;""),TRUE))</formula>
    </cfRule>
    <cfRule type="expression" dxfId="1470" priority="2726">
      <formula>IF(CB86&gt;=CC86,IF(CB86="",FALSE,TRUE))</formula>
    </cfRule>
  </conditionalFormatting>
  <conditionalFormatting sqref="BZ86">
    <cfRule type="expression" dxfId="1469" priority="2727">
      <formula>OR(IF(BZ86&lt;CA86,TRUE),IF(AND(CA86="",BZ86&lt;&gt;""),TRUE))</formula>
    </cfRule>
    <cfRule type="expression" dxfId="1468" priority="2728">
      <formula>IF(BZ86&gt;=CA86,IF(BZ86="",FALSE,TRUE))</formula>
    </cfRule>
  </conditionalFormatting>
  <conditionalFormatting sqref="CB87">
    <cfRule type="expression" dxfId="1467" priority="2721">
      <formula>OR(IF(CB87&lt;CC87,TRUE),IF(AND(CC87="",CB87&lt;&gt;""),TRUE))</formula>
    </cfRule>
    <cfRule type="expression" dxfId="1466" priority="2722">
      <formula>IF(CB87&gt;=CC87,IF(CB87="",FALSE,TRUE))</formula>
    </cfRule>
  </conditionalFormatting>
  <conditionalFormatting sqref="BZ87">
    <cfRule type="expression" dxfId="1465" priority="2723">
      <formula>OR(IF(BZ87&lt;CA87,TRUE),IF(AND(CA87="",BZ87&lt;&gt;""),TRUE))</formula>
    </cfRule>
    <cfRule type="expression" dxfId="1464" priority="2724">
      <formula>IF(BZ87&gt;=CA87,IF(BZ87="",FALSE,TRUE))</formula>
    </cfRule>
  </conditionalFormatting>
  <conditionalFormatting sqref="CB88">
    <cfRule type="expression" dxfId="1463" priority="2717">
      <formula>OR(IF(CB88&lt;CC88,TRUE),IF(AND(CC88="",CB88&lt;&gt;""),TRUE))</formula>
    </cfRule>
    <cfRule type="expression" dxfId="1462" priority="2718">
      <formula>IF(CB88&gt;=CC88,IF(CB88="",FALSE,TRUE))</formula>
    </cfRule>
  </conditionalFormatting>
  <conditionalFormatting sqref="BZ88">
    <cfRule type="expression" dxfId="1461" priority="2719">
      <formula>OR(IF(BZ88&lt;CA88,TRUE),IF(AND(CA88="",BZ88&lt;&gt;""),TRUE))</formula>
    </cfRule>
    <cfRule type="expression" dxfId="1460" priority="2720">
      <formula>IF(BZ88&gt;=CA88,IF(BZ88="",FALSE,TRUE))</formula>
    </cfRule>
  </conditionalFormatting>
  <conditionalFormatting sqref="CB89:CB93">
    <cfRule type="expression" dxfId="1459" priority="2713">
      <formula>OR(IF(CB89&lt;CC89,TRUE),IF(AND(CC89="",CB89&lt;&gt;""),TRUE))</formula>
    </cfRule>
    <cfRule type="expression" dxfId="1458" priority="2714">
      <formula>IF(CB89&gt;=CC89,IF(CB89="",FALSE,TRUE))</formula>
    </cfRule>
  </conditionalFormatting>
  <conditionalFormatting sqref="BZ89:BZ93">
    <cfRule type="expression" dxfId="1457" priority="2715">
      <formula>OR(IF(BZ89&lt;CA89,TRUE),IF(AND(CA89="",BZ89&lt;&gt;""),TRUE))</formula>
    </cfRule>
    <cfRule type="expression" dxfId="1456" priority="2716">
      <formula>IF(BZ89&gt;=CA89,IF(BZ89="",FALSE,TRUE))</formula>
    </cfRule>
  </conditionalFormatting>
  <conditionalFormatting sqref="BZ26">
    <cfRule type="expression" dxfId="1455" priority="2711">
      <formula>OR(IF(BZ26&lt;CA26,TRUE),IF(AND(CA26="",BZ26&lt;&gt;""),TRUE))</formula>
    </cfRule>
    <cfRule type="expression" dxfId="1454" priority="2712">
      <formula>IF(BZ26&gt;=CA26,IF(BZ26="",FALSE,TRUE))</formula>
    </cfRule>
  </conditionalFormatting>
  <conditionalFormatting sqref="CB26">
    <cfRule type="expression" dxfId="1453" priority="2709">
      <formula>OR(IF(CB26&lt;CC26,TRUE),IF(AND(CC26="",CB26&lt;&gt;""),TRUE))</formula>
    </cfRule>
    <cfRule type="expression" dxfId="1452" priority="2710">
      <formula>IF(CB26&gt;=CC26,IF(CB26="",FALSE,TRUE))</formula>
    </cfRule>
  </conditionalFormatting>
  <conditionalFormatting sqref="BZ27">
    <cfRule type="expression" dxfId="1451" priority="2707">
      <formula>OR(IF(BZ27&lt;CA27,TRUE),IF(AND(CA27="",BZ27&lt;&gt;""),TRUE))</formula>
    </cfRule>
    <cfRule type="expression" dxfId="1450" priority="2708">
      <formula>IF(BZ27&gt;=CA27,IF(BZ27="",FALSE,TRUE))</formula>
    </cfRule>
  </conditionalFormatting>
  <conditionalFormatting sqref="CB27">
    <cfRule type="expression" dxfId="1449" priority="2705">
      <formula>OR(IF(CB27&lt;CC27,TRUE),IF(AND(CC27="",CB27&lt;&gt;""),TRUE))</formula>
    </cfRule>
    <cfRule type="expression" dxfId="1448" priority="2706">
      <formula>IF(CB27&gt;=CC27,IF(CB27="",FALSE,TRUE))</formula>
    </cfRule>
  </conditionalFormatting>
  <conditionalFormatting sqref="BZ28">
    <cfRule type="expression" dxfId="1447" priority="2703">
      <formula>OR(IF(BZ28&lt;CA28,TRUE),IF(AND(CA28="",BZ28&lt;&gt;""),TRUE))</formula>
    </cfRule>
    <cfRule type="expression" dxfId="1446" priority="2704">
      <formula>IF(BZ28&gt;=CA28,IF(BZ28="",FALSE,TRUE))</formula>
    </cfRule>
  </conditionalFormatting>
  <conditionalFormatting sqref="CB28">
    <cfRule type="expression" dxfId="1445" priority="2701">
      <formula>OR(IF(CB28&lt;CC28,TRUE),IF(AND(CC28="",CB28&lt;&gt;""),TRUE))</formula>
    </cfRule>
    <cfRule type="expression" dxfId="1444" priority="2702">
      <formula>IF(CB28&gt;=CC28,IF(CB28="",FALSE,TRUE))</formula>
    </cfRule>
  </conditionalFormatting>
  <conditionalFormatting sqref="BZ29">
    <cfRule type="expression" dxfId="1443" priority="2699">
      <formula>OR(IF(BZ29&lt;CA29,TRUE),IF(AND(CA29="",BZ29&lt;&gt;""),TRUE))</formula>
    </cfRule>
    <cfRule type="expression" dxfId="1442" priority="2700">
      <formula>IF(BZ29&gt;=CA29,IF(BZ29="",FALSE,TRUE))</formula>
    </cfRule>
  </conditionalFormatting>
  <conditionalFormatting sqref="CB29">
    <cfRule type="expression" dxfId="1441" priority="2697">
      <formula>OR(IF(CB29&lt;CC29,TRUE),IF(AND(CC29="",CB29&lt;&gt;""),TRUE))</formula>
    </cfRule>
    <cfRule type="expression" dxfId="1440" priority="2698">
      <formula>IF(CB29&gt;=CC29,IF(CB29="",FALSE,TRUE))</formula>
    </cfRule>
  </conditionalFormatting>
  <conditionalFormatting sqref="BZ30:BZ31">
    <cfRule type="expression" dxfId="1439" priority="2695">
      <formula>OR(IF(BZ30&lt;CA30,TRUE),IF(AND(CA30="",BZ30&lt;&gt;""),TRUE))</formula>
    </cfRule>
    <cfRule type="expression" dxfId="1438" priority="2696">
      <formula>IF(BZ30&gt;=CA30,IF(BZ30="",FALSE,TRUE))</formula>
    </cfRule>
  </conditionalFormatting>
  <conditionalFormatting sqref="CB30:CB31">
    <cfRule type="expression" dxfId="1437" priority="2693">
      <formula>OR(IF(CB30&lt;CC30,TRUE),IF(AND(CC30="",CB30&lt;&gt;""),TRUE))</formula>
    </cfRule>
    <cfRule type="expression" dxfId="1436" priority="2694">
      <formula>IF(CB30&gt;=CC30,IF(CB30="",FALSE,TRUE))</formula>
    </cfRule>
  </conditionalFormatting>
  <conditionalFormatting sqref="BZ112:BZ113">
    <cfRule type="expression" dxfId="1435" priority="2691">
      <formula>OR(IF(BZ112&lt;CA112,TRUE),IF(AND(CA112="",BZ112&lt;&gt;""),TRUE))</formula>
    </cfRule>
    <cfRule type="expression" dxfId="1434" priority="2692">
      <formula>IF(BZ112&gt;=CA112,IF(BZ112="",FALSE,TRUE))</formula>
    </cfRule>
  </conditionalFormatting>
  <conditionalFormatting sqref="CB112:CB113">
    <cfRule type="expression" dxfId="1433" priority="2689">
      <formula>OR(IF(CB112&lt;CC112,TRUE),IF(AND(CC112="",CB112&lt;&gt;""),TRUE))</formula>
    </cfRule>
    <cfRule type="expression" dxfId="1432" priority="2690">
      <formula>IF(CB112&gt;=CC112,IF(CB112="",FALSE,TRUE))</formula>
    </cfRule>
  </conditionalFormatting>
  <conditionalFormatting sqref="CB110">
    <cfRule type="expression" dxfId="1431" priority="2685">
      <formula>OR(IF(CB110&lt;CC110,TRUE),IF(AND(CC110="",CB110&lt;&gt;""),TRUE))</formula>
    </cfRule>
    <cfRule type="expression" dxfId="1430" priority="2686">
      <formula>IF(CB110&gt;=CC110,IF(CB110="",FALSE,TRUE))</formula>
    </cfRule>
  </conditionalFormatting>
  <conditionalFormatting sqref="BZ110">
    <cfRule type="expression" dxfId="1429" priority="2687">
      <formula>OR(IF(BZ110&lt;CA110,TRUE),IF(AND(CA110="",BZ110&lt;&gt;""),TRUE))</formula>
    </cfRule>
    <cfRule type="expression" dxfId="1428" priority="2688">
      <formula>IF(BZ110&gt;=CA110,IF(BZ110="",FALSE,TRUE))</formula>
    </cfRule>
  </conditionalFormatting>
  <conditionalFormatting sqref="CG20:CG24 CI20:CI24">
    <cfRule type="expression" dxfId="1427" priority="2681">
      <formula>OR(IF(CG20&lt;CH20,TRUE),IF(AND(CH20="",CG20&lt;&gt;""),TRUE))</formula>
    </cfRule>
    <cfRule type="expression" dxfId="1426" priority="2682">
      <formula>IF(CG20&gt;=CH20,IF(CG20="",FALSE,TRUE))</formula>
    </cfRule>
  </conditionalFormatting>
  <conditionalFormatting sqref="CG34:CG35">
    <cfRule type="expression" dxfId="1425" priority="2677">
      <formula>OR(IF(CG34&lt;CH34,TRUE),IF(AND(CH34="",CG34&lt;&gt;""),TRUE))</formula>
    </cfRule>
    <cfRule type="expression" dxfId="1424" priority="2678">
      <formula>IF(CG34&gt;=CH34,IF(CG34="",FALSE,TRUE))</formula>
    </cfRule>
  </conditionalFormatting>
  <conditionalFormatting sqref="CH36:CH45">
    <cfRule type="expression" dxfId="1423" priority="2667">
      <formula>OR(IF(CH36&lt;CI36,TRUE),IF(AND(CI36="",CH36&lt;&gt;""),TRUE))</formula>
    </cfRule>
    <cfRule type="expression" dxfId="1422" priority="2668">
      <formula>IF(CH36&gt;=CI36,IF(CH36="",FALSE,TRUE))</formula>
    </cfRule>
  </conditionalFormatting>
  <conditionalFormatting sqref="CI34:CI35">
    <cfRule type="expression" dxfId="1421" priority="2675">
      <formula>OR(IF(CI34&lt;CJ34,TRUE),IF(AND(CJ34="",CI34&lt;&gt;""),TRUE))</formula>
    </cfRule>
    <cfRule type="expression" dxfId="1420" priority="2676">
      <formula>IF(CI34&gt;=CJ34,IF(CI34="",FALSE,TRUE))</formula>
    </cfRule>
  </conditionalFormatting>
  <conditionalFormatting sqref="CG25">
    <cfRule type="expression" dxfId="1419" priority="2673">
      <formula>OR(IF(CG25&lt;CH25,TRUE),IF(AND(CH25="",CG25&lt;&gt;""),TRUE))</formula>
    </cfRule>
    <cfRule type="expression" dxfId="1418" priority="2674">
      <formula>IF(CG25&gt;=CH25,IF(CG25="",FALSE,TRUE))</formula>
    </cfRule>
  </conditionalFormatting>
  <conditionalFormatting sqref="CI25">
    <cfRule type="expression" dxfId="1417" priority="2671">
      <formula>OR(IF(CI25&lt;CJ25,TRUE),IF(AND(CJ25="",CI25&lt;&gt;""),TRUE))</formula>
    </cfRule>
    <cfRule type="expression" dxfId="1416" priority="2672">
      <formula>IF(CI25&gt;=CJ25,IF(CI25="",FALSE,TRUE))</formula>
    </cfRule>
  </conditionalFormatting>
  <conditionalFormatting sqref="CF36:CF45">
    <cfRule type="expression" dxfId="1415" priority="2669">
      <formula>OR(IF(CF36&lt;CG36,TRUE),IF(AND(CG36="",CF36&lt;&gt;""),TRUE))</formula>
    </cfRule>
    <cfRule type="expression" dxfId="1414" priority="2670">
      <formula>IF(CF36&gt;=CG36,IF(CF36="",FALSE,TRUE))</formula>
    </cfRule>
  </conditionalFormatting>
  <conditionalFormatting sqref="CG49:CG50">
    <cfRule type="expression" dxfId="1413" priority="2665">
      <formula>OR(IF(CG49&lt;CH49,TRUE),IF(AND(CH49="",CG49&lt;&gt;""),TRUE))</formula>
    </cfRule>
    <cfRule type="expression" dxfId="1412" priority="2666">
      <formula>IF(CG49&gt;=CH49,IF(CG49="",FALSE,TRUE))</formula>
    </cfRule>
  </conditionalFormatting>
  <conditionalFormatting sqref="CI51:CI60">
    <cfRule type="expression" dxfId="1411" priority="2659">
      <formula>OR(IF(CI51&lt;CJ51,TRUE),IF(AND(CJ51="",CI51&lt;&gt;""),TRUE))</formula>
    </cfRule>
    <cfRule type="expression" dxfId="1410" priority="2660">
      <formula>IF(CI51&gt;=CJ51,IF(CI51="",FALSE,TRUE))</formula>
    </cfRule>
  </conditionalFormatting>
  <conditionalFormatting sqref="CI49:CI50">
    <cfRule type="expression" dxfId="1409" priority="2663">
      <formula>OR(IF(CI49&lt;CJ49,TRUE),IF(AND(CJ49="",CI49&lt;&gt;""),TRUE))</formula>
    </cfRule>
    <cfRule type="expression" dxfId="1408" priority="2664">
      <formula>IF(CI49&gt;=CJ49,IF(CI49="",FALSE,TRUE))</formula>
    </cfRule>
  </conditionalFormatting>
  <conditionalFormatting sqref="CG51:CG60">
    <cfRule type="expression" dxfId="1407" priority="2661">
      <formula>OR(IF(CG51&lt;CH51,TRUE),IF(AND(CH51="",CG51&lt;&gt;""),TRUE))</formula>
    </cfRule>
    <cfRule type="expression" dxfId="1406" priority="2662">
      <formula>IF(CG51&gt;=CH51,IF(CG51="",FALSE,TRUE))</formula>
    </cfRule>
  </conditionalFormatting>
  <conditionalFormatting sqref="CG65:CG66">
    <cfRule type="expression" dxfId="1405" priority="2657">
      <formula>OR(IF(CG65&lt;CH65,TRUE),IF(AND(CH65="",CG65&lt;&gt;""),TRUE))</formula>
    </cfRule>
    <cfRule type="expression" dxfId="1404" priority="2658">
      <formula>IF(CG65&gt;=CH65,IF(CG65="",FALSE,TRUE))</formula>
    </cfRule>
  </conditionalFormatting>
  <conditionalFormatting sqref="CI67:CI76">
    <cfRule type="expression" dxfId="1403" priority="2651">
      <formula>OR(IF(CI67&lt;CJ67,TRUE),IF(AND(CJ67="",CI67&lt;&gt;""),TRUE))</formula>
    </cfRule>
    <cfRule type="expression" dxfId="1402" priority="2652">
      <formula>IF(CI67&gt;=CJ67,IF(CI67="",FALSE,TRUE))</formula>
    </cfRule>
  </conditionalFormatting>
  <conditionalFormatting sqref="CI65:CI66">
    <cfRule type="expression" dxfId="1401" priority="2655">
      <formula>OR(IF(CI65&lt;CJ65,TRUE),IF(AND(CJ65="",CI65&lt;&gt;""),TRUE))</formula>
    </cfRule>
    <cfRule type="expression" dxfId="1400" priority="2656">
      <formula>IF(CI65&gt;=CJ65,IF(CI65="",FALSE,TRUE))</formula>
    </cfRule>
  </conditionalFormatting>
  <conditionalFormatting sqref="CG67:CG76">
    <cfRule type="expression" dxfId="1399" priority="2653">
      <formula>OR(IF(CG67&lt;CH67,TRUE),IF(AND(CH67="",CG67&lt;&gt;""),TRUE))</formula>
    </cfRule>
    <cfRule type="expression" dxfId="1398" priority="2654">
      <formula>IF(CG67&gt;=CH67,IF(CG67="",FALSE,TRUE))</formula>
    </cfRule>
  </conditionalFormatting>
  <conditionalFormatting sqref="CG95:CG96">
    <cfRule type="expression" dxfId="1397" priority="2649">
      <formula>OR(IF(CG95&lt;CH95,TRUE),IF(AND(CH95="",CG95&lt;&gt;""),TRUE))</formula>
    </cfRule>
    <cfRule type="expression" dxfId="1396" priority="2650">
      <formula>IF(CG95&gt;=CH95,IF(CG95="",FALSE,TRUE))</formula>
    </cfRule>
  </conditionalFormatting>
  <conditionalFormatting sqref="CI97:CI106">
    <cfRule type="expression" dxfId="1395" priority="2643">
      <formula>OR(IF(CI97&lt;CJ97,TRUE),IF(AND(CJ97="",CI97&lt;&gt;""),TRUE))</formula>
    </cfRule>
    <cfRule type="expression" dxfId="1394" priority="2644">
      <formula>IF(CI97&gt;=CJ97,IF(CI97="",FALSE,TRUE))</formula>
    </cfRule>
  </conditionalFormatting>
  <conditionalFormatting sqref="CI95:CI96">
    <cfRule type="expression" dxfId="1393" priority="2647">
      <formula>OR(IF(CI95&lt;CJ95,TRUE),IF(AND(CJ95="",CI95&lt;&gt;""),TRUE))</formula>
    </cfRule>
    <cfRule type="expression" dxfId="1392" priority="2648">
      <formula>IF(CI95&gt;=CJ95,IF(CI95="",FALSE,TRUE))</formula>
    </cfRule>
  </conditionalFormatting>
  <conditionalFormatting sqref="CG97:CG106">
    <cfRule type="expression" dxfId="1391" priority="2645">
      <formula>OR(IF(CG97&lt;CH97,TRUE),IF(AND(CH97="",CG97&lt;&gt;""),TRUE))</formula>
    </cfRule>
    <cfRule type="expression" dxfId="1390" priority="2646">
      <formula>IF(CG97&gt;=CH97,IF(CG97="",FALSE,TRUE))</formula>
    </cfRule>
  </conditionalFormatting>
  <conditionalFormatting sqref="CI77">
    <cfRule type="expression" dxfId="1389" priority="2639">
      <formula>OR(IF(CI77&lt;CJ77,TRUE),IF(AND(CJ77="",CI77&lt;&gt;""),TRUE))</formula>
    </cfRule>
    <cfRule type="expression" dxfId="1388" priority="2640">
      <formula>IF(CI77&gt;=CJ77,IF(CI77="",FALSE,TRUE))</formula>
    </cfRule>
  </conditionalFormatting>
  <conditionalFormatting sqref="CG77">
    <cfRule type="expression" dxfId="1387" priority="2641">
      <formula>OR(IF(CG77&lt;CH77,TRUE),IF(AND(CH77="",CG77&lt;&gt;""),TRUE))</formula>
    </cfRule>
    <cfRule type="expression" dxfId="1386" priority="2642">
      <formula>IF(CG77&gt;=CH77,IF(CG77="",FALSE,TRUE))</formula>
    </cfRule>
  </conditionalFormatting>
  <conditionalFormatting sqref="CI78">
    <cfRule type="expression" dxfId="1385" priority="2635">
      <formula>OR(IF(CI78&lt;CJ78,TRUE),IF(AND(CJ78="",CI78&lt;&gt;""),TRUE))</formula>
    </cfRule>
    <cfRule type="expression" dxfId="1384" priority="2636">
      <formula>IF(CI78&gt;=CJ78,IF(CI78="",FALSE,TRUE))</formula>
    </cfRule>
  </conditionalFormatting>
  <conditionalFormatting sqref="CG78">
    <cfRule type="expression" dxfId="1383" priority="2637">
      <formula>OR(IF(CG78&lt;CH78,TRUE),IF(AND(CH78="",CG78&lt;&gt;""),TRUE))</formula>
    </cfRule>
    <cfRule type="expression" dxfId="1382" priority="2638">
      <formula>IF(CG78&gt;=CH78,IF(CG78="",FALSE,TRUE))</formula>
    </cfRule>
  </conditionalFormatting>
  <conditionalFormatting sqref="CI79">
    <cfRule type="expression" dxfId="1381" priority="2631">
      <formula>OR(IF(CI79&lt;CJ79,TRUE),IF(AND(CJ79="",CI79&lt;&gt;""),TRUE))</formula>
    </cfRule>
    <cfRule type="expression" dxfId="1380" priority="2632">
      <formula>IF(CI79&gt;=CJ79,IF(CI79="",FALSE,TRUE))</formula>
    </cfRule>
  </conditionalFormatting>
  <conditionalFormatting sqref="CG79">
    <cfRule type="expression" dxfId="1379" priority="2633">
      <formula>OR(IF(CG79&lt;CH79,TRUE),IF(AND(CH79="",CG79&lt;&gt;""),TRUE))</formula>
    </cfRule>
    <cfRule type="expression" dxfId="1378" priority="2634">
      <formula>IF(CG79&gt;=CH79,IF(CG79="",FALSE,TRUE))</formula>
    </cfRule>
  </conditionalFormatting>
  <conditionalFormatting sqref="CI80">
    <cfRule type="expression" dxfId="1377" priority="2627">
      <formula>OR(IF(CI80&lt;CJ80,TRUE),IF(AND(CJ80="",CI80&lt;&gt;""),TRUE))</formula>
    </cfRule>
    <cfRule type="expression" dxfId="1376" priority="2628">
      <formula>IF(CI80&gt;=CJ80,IF(CI80="",FALSE,TRUE))</formula>
    </cfRule>
  </conditionalFormatting>
  <conditionalFormatting sqref="CG80">
    <cfRule type="expression" dxfId="1375" priority="2629">
      <formula>OR(IF(CG80&lt;CH80,TRUE),IF(AND(CH80="",CG80&lt;&gt;""),TRUE))</formula>
    </cfRule>
    <cfRule type="expression" dxfId="1374" priority="2630">
      <formula>IF(CG80&gt;=CH80,IF(CG80="",FALSE,TRUE))</formula>
    </cfRule>
  </conditionalFormatting>
  <conditionalFormatting sqref="CI81">
    <cfRule type="expression" dxfId="1373" priority="2623">
      <formula>OR(IF(CI81&lt;CJ81,TRUE),IF(AND(CJ81="",CI81&lt;&gt;""),TRUE))</formula>
    </cfRule>
    <cfRule type="expression" dxfId="1372" priority="2624">
      <formula>IF(CI81&gt;=CJ81,IF(CI81="",FALSE,TRUE))</formula>
    </cfRule>
  </conditionalFormatting>
  <conditionalFormatting sqref="CG81">
    <cfRule type="expression" dxfId="1371" priority="2625">
      <formula>OR(IF(CG81&lt;CH81,TRUE),IF(AND(CH81="",CG81&lt;&gt;""),TRUE))</formula>
    </cfRule>
    <cfRule type="expression" dxfId="1370" priority="2626">
      <formula>IF(CG81&gt;=CH81,IF(CG81="",FALSE,TRUE))</formula>
    </cfRule>
  </conditionalFormatting>
  <conditionalFormatting sqref="CI82">
    <cfRule type="expression" dxfId="1369" priority="2619">
      <formula>OR(IF(CI82&lt;CJ82,TRUE),IF(AND(CJ82="",CI82&lt;&gt;""),TRUE))</formula>
    </cfRule>
    <cfRule type="expression" dxfId="1368" priority="2620">
      <formula>IF(CI82&gt;=CJ82,IF(CI82="",FALSE,TRUE))</formula>
    </cfRule>
  </conditionalFormatting>
  <conditionalFormatting sqref="CG82">
    <cfRule type="expression" dxfId="1367" priority="2621">
      <formula>OR(IF(CG82&lt;CH82,TRUE),IF(AND(CH82="",CG82&lt;&gt;""),TRUE))</formula>
    </cfRule>
    <cfRule type="expression" dxfId="1366" priority="2622">
      <formula>IF(CG82&gt;=CH82,IF(CG82="",FALSE,TRUE))</formula>
    </cfRule>
  </conditionalFormatting>
  <conditionalFormatting sqref="CI83">
    <cfRule type="expression" dxfId="1365" priority="2615">
      <formula>OR(IF(CI83&lt;CJ83,TRUE),IF(AND(CJ83="",CI83&lt;&gt;""),TRUE))</formula>
    </cfRule>
    <cfRule type="expression" dxfId="1364" priority="2616">
      <formula>IF(CI83&gt;=CJ83,IF(CI83="",FALSE,TRUE))</formula>
    </cfRule>
  </conditionalFormatting>
  <conditionalFormatting sqref="CG83">
    <cfRule type="expression" dxfId="1363" priority="2617">
      <formula>OR(IF(CG83&lt;CH83,TRUE),IF(AND(CH83="",CG83&lt;&gt;""),TRUE))</formula>
    </cfRule>
    <cfRule type="expression" dxfId="1362" priority="2618">
      <formula>IF(CG83&gt;=CH83,IF(CG83="",FALSE,TRUE))</formula>
    </cfRule>
  </conditionalFormatting>
  <conditionalFormatting sqref="CI84">
    <cfRule type="expression" dxfId="1361" priority="2611">
      <formula>OR(IF(CI84&lt;CJ84,TRUE),IF(AND(CJ84="",CI84&lt;&gt;""),TRUE))</formula>
    </cfRule>
    <cfRule type="expression" dxfId="1360" priority="2612">
      <formula>IF(CI84&gt;=CJ84,IF(CI84="",FALSE,TRUE))</formula>
    </cfRule>
  </conditionalFormatting>
  <conditionalFormatting sqref="CG84">
    <cfRule type="expression" dxfId="1359" priority="2613">
      <formula>OR(IF(CG84&lt;CH84,TRUE),IF(AND(CH84="",CG84&lt;&gt;""),TRUE))</formula>
    </cfRule>
    <cfRule type="expression" dxfId="1358" priority="2614">
      <formula>IF(CG84&gt;=CH84,IF(CG84="",FALSE,TRUE))</formula>
    </cfRule>
  </conditionalFormatting>
  <conditionalFormatting sqref="CI85">
    <cfRule type="expression" dxfId="1357" priority="2607">
      <formula>OR(IF(CI85&lt;CJ85,TRUE),IF(AND(CJ85="",CI85&lt;&gt;""),TRUE))</formula>
    </cfRule>
    <cfRule type="expression" dxfId="1356" priority="2608">
      <formula>IF(CI85&gt;=CJ85,IF(CI85="",FALSE,TRUE))</formula>
    </cfRule>
  </conditionalFormatting>
  <conditionalFormatting sqref="CG85">
    <cfRule type="expression" dxfId="1355" priority="2609">
      <formula>OR(IF(CG85&lt;CH85,TRUE),IF(AND(CH85="",CG85&lt;&gt;""),TRUE))</formula>
    </cfRule>
    <cfRule type="expression" dxfId="1354" priority="2610">
      <formula>IF(CG85&gt;=CH85,IF(CG85="",FALSE,TRUE))</formula>
    </cfRule>
  </conditionalFormatting>
  <conditionalFormatting sqref="CI86">
    <cfRule type="expression" dxfId="1353" priority="2603">
      <formula>OR(IF(CI86&lt;CJ86,TRUE),IF(AND(CJ86="",CI86&lt;&gt;""),TRUE))</formula>
    </cfRule>
    <cfRule type="expression" dxfId="1352" priority="2604">
      <formula>IF(CI86&gt;=CJ86,IF(CI86="",FALSE,TRUE))</formula>
    </cfRule>
  </conditionalFormatting>
  <conditionalFormatting sqref="CG86">
    <cfRule type="expression" dxfId="1351" priority="2605">
      <formula>OR(IF(CG86&lt;CH86,TRUE),IF(AND(CH86="",CG86&lt;&gt;""),TRUE))</formula>
    </cfRule>
    <cfRule type="expression" dxfId="1350" priority="2606">
      <formula>IF(CG86&gt;=CH86,IF(CG86="",FALSE,TRUE))</formula>
    </cfRule>
  </conditionalFormatting>
  <conditionalFormatting sqref="CI87">
    <cfRule type="expression" dxfId="1349" priority="2599">
      <formula>OR(IF(CI87&lt;CJ87,TRUE),IF(AND(CJ87="",CI87&lt;&gt;""),TRUE))</formula>
    </cfRule>
    <cfRule type="expression" dxfId="1348" priority="2600">
      <formula>IF(CI87&gt;=CJ87,IF(CI87="",FALSE,TRUE))</formula>
    </cfRule>
  </conditionalFormatting>
  <conditionalFormatting sqref="CG87">
    <cfRule type="expression" dxfId="1347" priority="2601">
      <formula>OR(IF(CG87&lt;CH87,TRUE),IF(AND(CH87="",CG87&lt;&gt;""),TRUE))</formula>
    </cfRule>
    <cfRule type="expression" dxfId="1346" priority="2602">
      <formula>IF(CG87&gt;=CH87,IF(CG87="",FALSE,TRUE))</formula>
    </cfRule>
  </conditionalFormatting>
  <conditionalFormatting sqref="CI88">
    <cfRule type="expression" dxfId="1345" priority="2595">
      <formula>OR(IF(CI88&lt;CJ88,TRUE),IF(AND(CJ88="",CI88&lt;&gt;""),TRUE))</formula>
    </cfRule>
    <cfRule type="expression" dxfId="1344" priority="2596">
      <formula>IF(CI88&gt;=CJ88,IF(CI88="",FALSE,TRUE))</formula>
    </cfRule>
  </conditionalFormatting>
  <conditionalFormatting sqref="CG88">
    <cfRule type="expression" dxfId="1343" priority="2597">
      <formula>OR(IF(CG88&lt;CH88,TRUE),IF(AND(CH88="",CG88&lt;&gt;""),TRUE))</formula>
    </cfRule>
    <cfRule type="expression" dxfId="1342" priority="2598">
      <formula>IF(CG88&gt;=CH88,IF(CG88="",FALSE,TRUE))</formula>
    </cfRule>
  </conditionalFormatting>
  <conditionalFormatting sqref="CI89:CI93">
    <cfRule type="expression" dxfId="1341" priority="2591">
      <formula>OR(IF(CI89&lt;CJ89,TRUE),IF(AND(CJ89="",CI89&lt;&gt;""),TRUE))</formula>
    </cfRule>
    <cfRule type="expression" dxfId="1340" priority="2592">
      <formula>IF(CI89&gt;=CJ89,IF(CI89="",FALSE,TRUE))</formula>
    </cfRule>
  </conditionalFormatting>
  <conditionalFormatting sqref="CG89:CG93">
    <cfRule type="expression" dxfId="1339" priority="2593">
      <formula>OR(IF(CG89&lt;CH89,TRUE),IF(AND(CH89="",CG89&lt;&gt;""),TRUE))</formula>
    </cfRule>
    <cfRule type="expression" dxfId="1338" priority="2594">
      <formula>IF(CG89&gt;=CH89,IF(CG89="",FALSE,TRUE))</formula>
    </cfRule>
  </conditionalFormatting>
  <conditionalFormatting sqref="CG26">
    <cfRule type="expression" dxfId="1337" priority="2589">
      <formula>OR(IF(CG26&lt;CH26,TRUE),IF(AND(CH26="",CG26&lt;&gt;""),TRUE))</formula>
    </cfRule>
    <cfRule type="expression" dxfId="1336" priority="2590">
      <formula>IF(CG26&gt;=CH26,IF(CG26="",FALSE,TRUE))</formula>
    </cfRule>
  </conditionalFormatting>
  <conditionalFormatting sqref="CI26">
    <cfRule type="expression" dxfId="1335" priority="2587">
      <formula>OR(IF(CI26&lt;CJ26,TRUE),IF(AND(CJ26="",CI26&lt;&gt;""),TRUE))</formula>
    </cfRule>
    <cfRule type="expression" dxfId="1334" priority="2588">
      <formula>IF(CI26&gt;=CJ26,IF(CI26="",FALSE,TRUE))</formula>
    </cfRule>
  </conditionalFormatting>
  <conditionalFormatting sqref="CG27">
    <cfRule type="expression" dxfId="1333" priority="2585">
      <formula>OR(IF(CG27&lt;CH27,TRUE),IF(AND(CH27="",CG27&lt;&gt;""),TRUE))</formula>
    </cfRule>
    <cfRule type="expression" dxfId="1332" priority="2586">
      <formula>IF(CG27&gt;=CH27,IF(CG27="",FALSE,TRUE))</formula>
    </cfRule>
  </conditionalFormatting>
  <conditionalFormatting sqref="CI27">
    <cfRule type="expression" dxfId="1331" priority="2583">
      <formula>OR(IF(CI27&lt;CJ27,TRUE),IF(AND(CJ27="",CI27&lt;&gt;""),TRUE))</formula>
    </cfRule>
    <cfRule type="expression" dxfId="1330" priority="2584">
      <formula>IF(CI27&gt;=CJ27,IF(CI27="",FALSE,TRUE))</formula>
    </cfRule>
  </conditionalFormatting>
  <conditionalFormatting sqref="CG28">
    <cfRule type="expression" dxfId="1329" priority="2581">
      <formula>OR(IF(CG28&lt;CH28,TRUE),IF(AND(CH28="",CG28&lt;&gt;""),TRUE))</formula>
    </cfRule>
    <cfRule type="expression" dxfId="1328" priority="2582">
      <formula>IF(CG28&gt;=CH28,IF(CG28="",FALSE,TRUE))</formula>
    </cfRule>
  </conditionalFormatting>
  <conditionalFormatting sqref="CI28">
    <cfRule type="expression" dxfId="1327" priority="2579">
      <formula>OR(IF(CI28&lt;CJ28,TRUE),IF(AND(CJ28="",CI28&lt;&gt;""),TRUE))</formula>
    </cfRule>
    <cfRule type="expression" dxfId="1326" priority="2580">
      <formula>IF(CI28&gt;=CJ28,IF(CI28="",FALSE,TRUE))</formula>
    </cfRule>
  </conditionalFormatting>
  <conditionalFormatting sqref="CG29">
    <cfRule type="expression" dxfId="1325" priority="2577">
      <formula>OR(IF(CG29&lt;CH29,TRUE),IF(AND(CH29="",CG29&lt;&gt;""),TRUE))</formula>
    </cfRule>
    <cfRule type="expression" dxfId="1324" priority="2578">
      <formula>IF(CG29&gt;=CH29,IF(CG29="",FALSE,TRUE))</formula>
    </cfRule>
  </conditionalFormatting>
  <conditionalFormatting sqref="CI29">
    <cfRule type="expression" dxfId="1323" priority="2575">
      <formula>OR(IF(CI29&lt;CJ29,TRUE),IF(AND(CJ29="",CI29&lt;&gt;""),TRUE))</formula>
    </cfRule>
    <cfRule type="expression" dxfId="1322" priority="2576">
      <formula>IF(CI29&gt;=CJ29,IF(CI29="",FALSE,TRUE))</formula>
    </cfRule>
  </conditionalFormatting>
  <conditionalFormatting sqref="CG30:CG31">
    <cfRule type="expression" dxfId="1321" priority="2573">
      <formula>OR(IF(CG30&lt;CH30,TRUE),IF(AND(CH30="",CG30&lt;&gt;""),TRUE))</formula>
    </cfRule>
    <cfRule type="expression" dxfId="1320" priority="2574">
      <formula>IF(CG30&gt;=CH30,IF(CG30="",FALSE,TRUE))</formula>
    </cfRule>
  </conditionalFormatting>
  <conditionalFormatting sqref="CI30:CI31">
    <cfRule type="expression" dxfId="1319" priority="2571">
      <formula>OR(IF(CI30&lt;CJ30,TRUE),IF(AND(CJ30="",CI30&lt;&gt;""),TRUE))</formula>
    </cfRule>
    <cfRule type="expression" dxfId="1318" priority="2572">
      <formula>IF(CI30&gt;=CJ30,IF(CI30="",FALSE,TRUE))</formula>
    </cfRule>
  </conditionalFormatting>
  <conditionalFormatting sqref="CG112:CG113">
    <cfRule type="expression" dxfId="1317" priority="2569">
      <formula>OR(IF(CG112&lt;CH112,TRUE),IF(AND(CH112="",CG112&lt;&gt;""),TRUE))</formula>
    </cfRule>
    <cfRule type="expression" dxfId="1316" priority="2570">
      <formula>IF(CG112&gt;=CH112,IF(CG112="",FALSE,TRUE))</formula>
    </cfRule>
  </conditionalFormatting>
  <conditionalFormatting sqref="CI112:CI113">
    <cfRule type="expression" dxfId="1315" priority="2567">
      <formula>OR(IF(CI112&lt;CJ112,TRUE),IF(AND(CJ112="",CI112&lt;&gt;""),TRUE))</formula>
    </cfRule>
    <cfRule type="expression" dxfId="1314" priority="2568">
      <formula>IF(CI112&gt;=CJ112,IF(CI112="",FALSE,TRUE))</formula>
    </cfRule>
  </conditionalFormatting>
  <conditionalFormatting sqref="CI110">
    <cfRule type="expression" dxfId="1313" priority="2563">
      <formula>OR(IF(CI110&lt;CJ110,TRUE),IF(AND(CJ110="",CI110&lt;&gt;""),TRUE))</formula>
    </cfRule>
    <cfRule type="expression" dxfId="1312" priority="2564">
      <formula>IF(CI110&gt;=CJ110,IF(CI110="",FALSE,TRUE))</formula>
    </cfRule>
  </conditionalFormatting>
  <conditionalFormatting sqref="CG110">
    <cfRule type="expression" dxfId="1311" priority="2565">
      <formula>OR(IF(CG110&lt;CH110,TRUE),IF(AND(CH110="",CG110&lt;&gt;""),TRUE))</formula>
    </cfRule>
    <cfRule type="expression" dxfId="1310" priority="2566">
      <formula>IF(CG110&gt;=CH110,IF(CG110="",FALSE,TRUE))</formula>
    </cfRule>
  </conditionalFormatting>
  <conditionalFormatting sqref="CN20:CN24 CP20:CP24">
    <cfRule type="expression" dxfId="1309" priority="2559">
      <formula>OR(IF(CN20&lt;CO20,TRUE),IF(AND(CO20="",CN20&lt;&gt;""),TRUE))</formula>
    </cfRule>
    <cfRule type="expression" dxfId="1308" priority="2560">
      <formula>IF(CN20&gt;=CO20,IF(CN20="",FALSE,TRUE))</formula>
    </cfRule>
  </conditionalFormatting>
  <conditionalFormatting sqref="CN34:CN35">
    <cfRule type="expression" dxfId="1307" priority="2555">
      <formula>OR(IF(CN34&lt;CO34,TRUE),IF(AND(CO34="",CN34&lt;&gt;""),TRUE))</formula>
    </cfRule>
    <cfRule type="expression" dxfId="1306" priority="2556">
      <formula>IF(CN34&gt;=CO34,IF(CN34="",FALSE,TRUE))</formula>
    </cfRule>
  </conditionalFormatting>
  <conditionalFormatting sqref="CO36:CO45">
    <cfRule type="expression" dxfId="1305" priority="2545">
      <formula>OR(IF(CO36&lt;CP36,TRUE),IF(AND(CP36="",CO36&lt;&gt;""),TRUE))</formula>
    </cfRule>
    <cfRule type="expression" dxfId="1304" priority="2546">
      <formula>IF(CO36&gt;=CP36,IF(CO36="",FALSE,TRUE))</formula>
    </cfRule>
  </conditionalFormatting>
  <conditionalFormatting sqref="CP34:CP35">
    <cfRule type="expression" dxfId="1303" priority="2553">
      <formula>OR(IF(CP34&lt;CQ34,TRUE),IF(AND(CQ34="",CP34&lt;&gt;""),TRUE))</formula>
    </cfRule>
    <cfRule type="expression" dxfId="1302" priority="2554">
      <formula>IF(CP34&gt;=CQ34,IF(CP34="",FALSE,TRUE))</formula>
    </cfRule>
  </conditionalFormatting>
  <conditionalFormatting sqref="CN25">
    <cfRule type="expression" dxfId="1301" priority="2551">
      <formula>OR(IF(CN25&lt;CO25,TRUE),IF(AND(CO25="",CN25&lt;&gt;""),TRUE))</formula>
    </cfRule>
    <cfRule type="expression" dxfId="1300" priority="2552">
      <formula>IF(CN25&gt;=CO25,IF(CN25="",FALSE,TRUE))</formula>
    </cfRule>
  </conditionalFormatting>
  <conditionalFormatting sqref="CP25">
    <cfRule type="expression" dxfId="1299" priority="2549">
      <formula>OR(IF(CP25&lt;CQ25,TRUE),IF(AND(CQ25="",CP25&lt;&gt;""),TRUE))</formula>
    </cfRule>
    <cfRule type="expression" dxfId="1298" priority="2550">
      <formula>IF(CP25&gt;=CQ25,IF(CP25="",FALSE,TRUE))</formula>
    </cfRule>
  </conditionalFormatting>
  <conditionalFormatting sqref="CM36:CM45">
    <cfRule type="expression" dxfId="1297" priority="2547">
      <formula>OR(IF(CM36&lt;CN36,TRUE),IF(AND(CN36="",CM36&lt;&gt;""),TRUE))</formula>
    </cfRule>
    <cfRule type="expression" dxfId="1296" priority="2548">
      <formula>IF(CM36&gt;=CN36,IF(CM36="",FALSE,TRUE))</formula>
    </cfRule>
  </conditionalFormatting>
  <conditionalFormatting sqref="CN49:CN50">
    <cfRule type="expression" dxfId="1295" priority="2543">
      <formula>OR(IF(CN49&lt;CO49,TRUE),IF(AND(CO49="",CN49&lt;&gt;""),TRUE))</formula>
    </cfRule>
    <cfRule type="expression" dxfId="1294" priority="2544">
      <formula>IF(CN49&gt;=CO49,IF(CN49="",FALSE,TRUE))</formula>
    </cfRule>
  </conditionalFormatting>
  <conditionalFormatting sqref="CP51:CP60">
    <cfRule type="expression" dxfId="1293" priority="2537">
      <formula>OR(IF(CP51&lt;CQ51,TRUE),IF(AND(CQ51="",CP51&lt;&gt;""),TRUE))</formula>
    </cfRule>
    <cfRule type="expression" dxfId="1292" priority="2538">
      <formula>IF(CP51&gt;=CQ51,IF(CP51="",FALSE,TRUE))</formula>
    </cfRule>
  </conditionalFormatting>
  <conditionalFormatting sqref="CP49:CP50">
    <cfRule type="expression" dxfId="1291" priority="2541">
      <formula>OR(IF(CP49&lt;CQ49,TRUE),IF(AND(CQ49="",CP49&lt;&gt;""),TRUE))</formula>
    </cfRule>
    <cfRule type="expression" dxfId="1290" priority="2542">
      <formula>IF(CP49&gt;=CQ49,IF(CP49="",FALSE,TRUE))</formula>
    </cfRule>
  </conditionalFormatting>
  <conditionalFormatting sqref="CN51:CN60">
    <cfRule type="expression" dxfId="1289" priority="2539">
      <formula>OR(IF(CN51&lt;CO51,TRUE),IF(AND(CO51="",CN51&lt;&gt;""),TRUE))</formula>
    </cfRule>
    <cfRule type="expression" dxfId="1288" priority="2540">
      <formula>IF(CN51&gt;=CO51,IF(CN51="",FALSE,TRUE))</formula>
    </cfRule>
  </conditionalFormatting>
  <conditionalFormatting sqref="CN65:CN66">
    <cfRule type="expression" dxfId="1287" priority="2535">
      <formula>OR(IF(CN65&lt;CO65,TRUE),IF(AND(CO65="",CN65&lt;&gt;""),TRUE))</formula>
    </cfRule>
    <cfRule type="expression" dxfId="1286" priority="2536">
      <formula>IF(CN65&gt;=CO65,IF(CN65="",FALSE,TRUE))</formula>
    </cfRule>
  </conditionalFormatting>
  <conditionalFormatting sqref="CP67:CP76">
    <cfRule type="expression" dxfId="1285" priority="2529">
      <formula>OR(IF(CP67&lt;CQ67,TRUE),IF(AND(CQ67="",CP67&lt;&gt;""),TRUE))</formula>
    </cfRule>
    <cfRule type="expression" dxfId="1284" priority="2530">
      <formula>IF(CP67&gt;=CQ67,IF(CP67="",FALSE,TRUE))</formula>
    </cfRule>
  </conditionalFormatting>
  <conditionalFormatting sqref="CP65:CP66">
    <cfRule type="expression" dxfId="1283" priority="2533">
      <formula>OR(IF(CP65&lt;CQ65,TRUE),IF(AND(CQ65="",CP65&lt;&gt;""),TRUE))</formula>
    </cfRule>
    <cfRule type="expression" dxfId="1282" priority="2534">
      <formula>IF(CP65&gt;=CQ65,IF(CP65="",FALSE,TRUE))</formula>
    </cfRule>
  </conditionalFormatting>
  <conditionalFormatting sqref="CN67:CN76">
    <cfRule type="expression" dxfId="1281" priority="2531">
      <formula>OR(IF(CN67&lt;CO67,TRUE),IF(AND(CO67="",CN67&lt;&gt;""),TRUE))</formula>
    </cfRule>
    <cfRule type="expression" dxfId="1280" priority="2532">
      <formula>IF(CN67&gt;=CO67,IF(CN67="",FALSE,TRUE))</formula>
    </cfRule>
  </conditionalFormatting>
  <conditionalFormatting sqref="CN95:CN96">
    <cfRule type="expression" dxfId="1279" priority="2527">
      <formula>OR(IF(CN95&lt;CO95,TRUE),IF(AND(CO95="",CN95&lt;&gt;""),TRUE))</formula>
    </cfRule>
    <cfRule type="expression" dxfId="1278" priority="2528">
      <formula>IF(CN95&gt;=CO95,IF(CN95="",FALSE,TRUE))</formula>
    </cfRule>
  </conditionalFormatting>
  <conditionalFormatting sqref="CP97:CP106">
    <cfRule type="expression" dxfId="1277" priority="2521">
      <formula>OR(IF(CP97&lt;CQ97,TRUE),IF(AND(CQ97="",CP97&lt;&gt;""),TRUE))</formula>
    </cfRule>
    <cfRule type="expression" dxfId="1276" priority="2522">
      <formula>IF(CP97&gt;=CQ97,IF(CP97="",FALSE,TRUE))</formula>
    </cfRule>
  </conditionalFormatting>
  <conditionalFormatting sqref="CP95:CP96">
    <cfRule type="expression" dxfId="1275" priority="2525">
      <formula>OR(IF(CP95&lt;CQ95,TRUE),IF(AND(CQ95="",CP95&lt;&gt;""),TRUE))</formula>
    </cfRule>
    <cfRule type="expression" dxfId="1274" priority="2526">
      <formula>IF(CP95&gt;=CQ95,IF(CP95="",FALSE,TRUE))</formula>
    </cfRule>
  </conditionalFormatting>
  <conditionalFormatting sqref="CN97:CN106">
    <cfRule type="expression" dxfId="1273" priority="2523">
      <formula>OR(IF(CN97&lt;CO97,TRUE),IF(AND(CO97="",CN97&lt;&gt;""),TRUE))</formula>
    </cfRule>
    <cfRule type="expression" dxfId="1272" priority="2524">
      <formula>IF(CN97&gt;=CO97,IF(CN97="",FALSE,TRUE))</formula>
    </cfRule>
  </conditionalFormatting>
  <conditionalFormatting sqref="CP77">
    <cfRule type="expression" dxfId="1271" priority="2517">
      <formula>OR(IF(CP77&lt;CQ77,TRUE),IF(AND(CQ77="",CP77&lt;&gt;""),TRUE))</formula>
    </cfRule>
    <cfRule type="expression" dxfId="1270" priority="2518">
      <formula>IF(CP77&gt;=CQ77,IF(CP77="",FALSE,TRUE))</formula>
    </cfRule>
  </conditionalFormatting>
  <conditionalFormatting sqref="CN77">
    <cfRule type="expression" dxfId="1269" priority="2519">
      <formula>OR(IF(CN77&lt;CO77,TRUE),IF(AND(CO77="",CN77&lt;&gt;""),TRUE))</formula>
    </cfRule>
    <cfRule type="expression" dxfId="1268" priority="2520">
      <formula>IF(CN77&gt;=CO77,IF(CN77="",FALSE,TRUE))</formula>
    </cfRule>
  </conditionalFormatting>
  <conditionalFormatting sqref="CP78">
    <cfRule type="expression" dxfId="1267" priority="2513">
      <formula>OR(IF(CP78&lt;CQ78,TRUE),IF(AND(CQ78="",CP78&lt;&gt;""),TRUE))</formula>
    </cfRule>
    <cfRule type="expression" dxfId="1266" priority="2514">
      <formula>IF(CP78&gt;=CQ78,IF(CP78="",FALSE,TRUE))</formula>
    </cfRule>
  </conditionalFormatting>
  <conditionalFormatting sqref="CN78">
    <cfRule type="expression" dxfId="1265" priority="2515">
      <formula>OR(IF(CN78&lt;CO78,TRUE),IF(AND(CO78="",CN78&lt;&gt;""),TRUE))</formula>
    </cfRule>
    <cfRule type="expression" dxfId="1264" priority="2516">
      <formula>IF(CN78&gt;=CO78,IF(CN78="",FALSE,TRUE))</formula>
    </cfRule>
  </conditionalFormatting>
  <conditionalFormatting sqref="CP79">
    <cfRule type="expression" dxfId="1263" priority="2509">
      <formula>OR(IF(CP79&lt;CQ79,TRUE),IF(AND(CQ79="",CP79&lt;&gt;""),TRUE))</formula>
    </cfRule>
    <cfRule type="expression" dxfId="1262" priority="2510">
      <formula>IF(CP79&gt;=CQ79,IF(CP79="",FALSE,TRUE))</formula>
    </cfRule>
  </conditionalFormatting>
  <conditionalFormatting sqref="CN79">
    <cfRule type="expression" dxfId="1261" priority="2511">
      <formula>OR(IF(CN79&lt;CO79,TRUE),IF(AND(CO79="",CN79&lt;&gt;""),TRUE))</formula>
    </cfRule>
    <cfRule type="expression" dxfId="1260" priority="2512">
      <formula>IF(CN79&gt;=CO79,IF(CN79="",FALSE,TRUE))</formula>
    </cfRule>
  </conditionalFormatting>
  <conditionalFormatting sqref="CP80">
    <cfRule type="expression" dxfId="1259" priority="2505">
      <formula>OR(IF(CP80&lt;CQ80,TRUE),IF(AND(CQ80="",CP80&lt;&gt;""),TRUE))</formula>
    </cfRule>
    <cfRule type="expression" dxfId="1258" priority="2506">
      <formula>IF(CP80&gt;=CQ80,IF(CP80="",FALSE,TRUE))</formula>
    </cfRule>
  </conditionalFormatting>
  <conditionalFormatting sqref="CN80">
    <cfRule type="expression" dxfId="1257" priority="2507">
      <formula>OR(IF(CN80&lt;CO80,TRUE),IF(AND(CO80="",CN80&lt;&gt;""),TRUE))</formula>
    </cfRule>
    <cfRule type="expression" dxfId="1256" priority="2508">
      <formula>IF(CN80&gt;=CO80,IF(CN80="",FALSE,TRUE))</formula>
    </cfRule>
  </conditionalFormatting>
  <conditionalFormatting sqref="CP81">
    <cfRule type="expression" dxfId="1255" priority="2501">
      <formula>OR(IF(CP81&lt;CQ81,TRUE),IF(AND(CQ81="",CP81&lt;&gt;""),TRUE))</formula>
    </cfRule>
    <cfRule type="expression" dxfId="1254" priority="2502">
      <formula>IF(CP81&gt;=CQ81,IF(CP81="",FALSE,TRUE))</formula>
    </cfRule>
  </conditionalFormatting>
  <conditionalFormatting sqref="CN81">
    <cfRule type="expression" dxfId="1253" priority="2503">
      <formula>OR(IF(CN81&lt;CO81,TRUE),IF(AND(CO81="",CN81&lt;&gt;""),TRUE))</formula>
    </cfRule>
    <cfRule type="expression" dxfId="1252" priority="2504">
      <formula>IF(CN81&gt;=CO81,IF(CN81="",FALSE,TRUE))</formula>
    </cfRule>
  </conditionalFormatting>
  <conditionalFormatting sqref="CP82">
    <cfRule type="expression" dxfId="1251" priority="2497">
      <formula>OR(IF(CP82&lt;CQ82,TRUE),IF(AND(CQ82="",CP82&lt;&gt;""),TRUE))</formula>
    </cfRule>
    <cfRule type="expression" dxfId="1250" priority="2498">
      <formula>IF(CP82&gt;=CQ82,IF(CP82="",FALSE,TRUE))</formula>
    </cfRule>
  </conditionalFormatting>
  <conditionalFormatting sqref="CN82">
    <cfRule type="expression" dxfId="1249" priority="2499">
      <formula>OR(IF(CN82&lt;CO82,TRUE),IF(AND(CO82="",CN82&lt;&gt;""),TRUE))</formula>
    </cfRule>
    <cfRule type="expression" dxfId="1248" priority="2500">
      <formula>IF(CN82&gt;=CO82,IF(CN82="",FALSE,TRUE))</formula>
    </cfRule>
  </conditionalFormatting>
  <conditionalFormatting sqref="CP83">
    <cfRule type="expression" dxfId="1247" priority="2493">
      <formula>OR(IF(CP83&lt;CQ83,TRUE),IF(AND(CQ83="",CP83&lt;&gt;""),TRUE))</formula>
    </cfRule>
    <cfRule type="expression" dxfId="1246" priority="2494">
      <formula>IF(CP83&gt;=CQ83,IF(CP83="",FALSE,TRUE))</formula>
    </cfRule>
  </conditionalFormatting>
  <conditionalFormatting sqref="CN83">
    <cfRule type="expression" dxfId="1245" priority="2495">
      <formula>OR(IF(CN83&lt;CO83,TRUE),IF(AND(CO83="",CN83&lt;&gt;""),TRUE))</formula>
    </cfRule>
    <cfRule type="expression" dxfId="1244" priority="2496">
      <formula>IF(CN83&gt;=CO83,IF(CN83="",FALSE,TRUE))</formula>
    </cfRule>
  </conditionalFormatting>
  <conditionalFormatting sqref="CP84">
    <cfRule type="expression" dxfId="1243" priority="2489">
      <formula>OR(IF(CP84&lt;CQ84,TRUE),IF(AND(CQ84="",CP84&lt;&gt;""),TRUE))</formula>
    </cfRule>
    <cfRule type="expression" dxfId="1242" priority="2490">
      <formula>IF(CP84&gt;=CQ84,IF(CP84="",FALSE,TRUE))</formula>
    </cfRule>
  </conditionalFormatting>
  <conditionalFormatting sqref="CN84">
    <cfRule type="expression" dxfId="1241" priority="2491">
      <formula>OR(IF(CN84&lt;CO84,TRUE),IF(AND(CO84="",CN84&lt;&gt;""),TRUE))</formula>
    </cfRule>
    <cfRule type="expression" dxfId="1240" priority="2492">
      <formula>IF(CN84&gt;=CO84,IF(CN84="",FALSE,TRUE))</formula>
    </cfRule>
  </conditionalFormatting>
  <conditionalFormatting sqref="CP85">
    <cfRule type="expression" dxfId="1239" priority="2485">
      <formula>OR(IF(CP85&lt;CQ85,TRUE),IF(AND(CQ85="",CP85&lt;&gt;""),TRUE))</formula>
    </cfRule>
    <cfRule type="expression" dxfId="1238" priority="2486">
      <formula>IF(CP85&gt;=CQ85,IF(CP85="",FALSE,TRUE))</formula>
    </cfRule>
  </conditionalFormatting>
  <conditionalFormatting sqref="CN85">
    <cfRule type="expression" dxfId="1237" priority="2487">
      <formula>OR(IF(CN85&lt;CO85,TRUE),IF(AND(CO85="",CN85&lt;&gt;""),TRUE))</formula>
    </cfRule>
    <cfRule type="expression" dxfId="1236" priority="2488">
      <formula>IF(CN85&gt;=CO85,IF(CN85="",FALSE,TRUE))</formula>
    </cfRule>
  </conditionalFormatting>
  <conditionalFormatting sqref="CP86">
    <cfRule type="expression" dxfId="1235" priority="2481">
      <formula>OR(IF(CP86&lt;CQ86,TRUE),IF(AND(CQ86="",CP86&lt;&gt;""),TRUE))</formula>
    </cfRule>
    <cfRule type="expression" dxfId="1234" priority="2482">
      <formula>IF(CP86&gt;=CQ86,IF(CP86="",FALSE,TRUE))</formula>
    </cfRule>
  </conditionalFormatting>
  <conditionalFormatting sqref="CN86">
    <cfRule type="expression" dxfId="1233" priority="2483">
      <formula>OR(IF(CN86&lt;CO86,TRUE),IF(AND(CO86="",CN86&lt;&gt;""),TRUE))</formula>
    </cfRule>
    <cfRule type="expression" dxfId="1232" priority="2484">
      <formula>IF(CN86&gt;=CO86,IF(CN86="",FALSE,TRUE))</formula>
    </cfRule>
  </conditionalFormatting>
  <conditionalFormatting sqref="CP87">
    <cfRule type="expression" dxfId="1231" priority="2477">
      <formula>OR(IF(CP87&lt;CQ87,TRUE),IF(AND(CQ87="",CP87&lt;&gt;""),TRUE))</formula>
    </cfRule>
    <cfRule type="expression" dxfId="1230" priority="2478">
      <formula>IF(CP87&gt;=CQ87,IF(CP87="",FALSE,TRUE))</formula>
    </cfRule>
  </conditionalFormatting>
  <conditionalFormatting sqref="CN87">
    <cfRule type="expression" dxfId="1229" priority="2479">
      <formula>OR(IF(CN87&lt;CO87,TRUE),IF(AND(CO87="",CN87&lt;&gt;""),TRUE))</formula>
    </cfRule>
    <cfRule type="expression" dxfId="1228" priority="2480">
      <formula>IF(CN87&gt;=CO87,IF(CN87="",FALSE,TRUE))</formula>
    </cfRule>
  </conditionalFormatting>
  <conditionalFormatting sqref="CP88">
    <cfRule type="expression" dxfId="1227" priority="2473">
      <formula>OR(IF(CP88&lt;CQ88,TRUE),IF(AND(CQ88="",CP88&lt;&gt;""),TRUE))</formula>
    </cfRule>
    <cfRule type="expression" dxfId="1226" priority="2474">
      <formula>IF(CP88&gt;=CQ88,IF(CP88="",FALSE,TRUE))</formula>
    </cfRule>
  </conditionalFormatting>
  <conditionalFormatting sqref="CN88">
    <cfRule type="expression" dxfId="1225" priority="2475">
      <formula>OR(IF(CN88&lt;CO88,TRUE),IF(AND(CO88="",CN88&lt;&gt;""),TRUE))</formula>
    </cfRule>
    <cfRule type="expression" dxfId="1224" priority="2476">
      <formula>IF(CN88&gt;=CO88,IF(CN88="",FALSE,TRUE))</formula>
    </cfRule>
  </conditionalFormatting>
  <conditionalFormatting sqref="CP89:CP93">
    <cfRule type="expression" dxfId="1223" priority="2469">
      <formula>OR(IF(CP89&lt;CQ89,TRUE),IF(AND(CQ89="",CP89&lt;&gt;""),TRUE))</formula>
    </cfRule>
    <cfRule type="expression" dxfId="1222" priority="2470">
      <formula>IF(CP89&gt;=CQ89,IF(CP89="",FALSE,TRUE))</formula>
    </cfRule>
  </conditionalFormatting>
  <conditionalFormatting sqref="CN89:CN93">
    <cfRule type="expression" dxfId="1221" priority="2471">
      <formula>OR(IF(CN89&lt;CO89,TRUE),IF(AND(CO89="",CN89&lt;&gt;""),TRUE))</formula>
    </cfRule>
    <cfRule type="expression" dxfId="1220" priority="2472">
      <formula>IF(CN89&gt;=CO89,IF(CN89="",FALSE,TRUE))</formula>
    </cfRule>
  </conditionalFormatting>
  <conditionalFormatting sqref="CN26">
    <cfRule type="expression" dxfId="1219" priority="2467">
      <formula>OR(IF(CN26&lt;CO26,TRUE),IF(AND(CO26="",CN26&lt;&gt;""),TRUE))</formula>
    </cfRule>
    <cfRule type="expression" dxfId="1218" priority="2468">
      <formula>IF(CN26&gt;=CO26,IF(CN26="",FALSE,TRUE))</formula>
    </cfRule>
  </conditionalFormatting>
  <conditionalFormatting sqref="CP26">
    <cfRule type="expression" dxfId="1217" priority="2465">
      <formula>OR(IF(CP26&lt;CQ26,TRUE),IF(AND(CQ26="",CP26&lt;&gt;""),TRUE))</formula>
    </cfRule>
    <cfRule type="expression" dxfId="1216" priority="2466">
      <formula>IF(CP26&gt;=CQ26,IF(CP26="",FALSE,TRUE))</formula>
    </cfRule>
  </conditionalFormatting>
  <conditionalFormatting sqref="CN27">
    <cfRule type="expression" dxfId="1215" priority="2463">
      <formula>OR(IF(CN27&lt;CO27,TRUE),IF(AND(CO27="",CN27&lt;&gt;""),TRUE))</formula>
    </cfRule>
    <cfRule type="expression" dxfId="1214" priority="2464">
      <formula>IF(CN27&gt;=CO27,IF(CN27="",FALSE,TRUE))</formula>
    </cfRule>
  </conditionalFormatting>
  <conditionalFormatting sqref="CP27">
    <cfRule type="expression" dxfId="1213" priority="2461">
      <formula>OR(IF(CP27&lt;CQ27,TRUE),IF(AND(CQ27="",CP27&lt;&gt;""),TRUE))</formula>
    </cfRule>
    <cfRule type="expression" dxfId="1212" priority="2462">
      <formula>IF(CP27&gt;=CQ27,IF(CP27="",FALSE,TRUE))</formula>
    </cfRule>
  </conditionalFormatting>
  <conditionalFormatting sqref="CN28">
    <cfRule type="expression" dxfId="1211" priority="2459">
      <formula>OR(IF(CN28&lt;CO28,TRUE),IF(AND(CO28="",CN28&lt;&gt;""),TRUE))</formula>
    </cfRule>
    <cfRule type="expression" dxfId="1210" priority="2460">
      <formula>IF(CN28&gt;=CO28,IF(CN28="",FALSE,TRUE))</formula>
    </cfRule>
  </conditionalFormatting>
  <conditionalFormatting sqref="CP28">
    <cfRule type="expression" dxfId="1209" priority="2457">
      <formula>OR(IF(CP28&lt;CQ28,TRUE),IF(AND(CQ28="",CP28&lt;&gt;""),TRUE))</formula>
    </cfRule>
    <cfRule type="expression" dxfId="1208" priority="2458">
      <formula>IF(CP28&gt;=CQ28,IF(CP28="",FALSE,TRUE))</formula>
    </cfRule>
  </conditionalFormatting>
  <conditionalFormatting sqref="CN29">
    <cfRule type="expression" dxfId="1207" priority="2455">
      <formula>OR(IF(CN29&lt;CO29,TRUE),IF(AND(CO29="",CN29&lt;&gt;""),TRUE))</formula>
    </cfRule>
    <cfRule type="expression" dxfId="1206" priority="2456">
      <formula>IF(CN29&gt;=CO29,IF(CN29="",FALSE,TRUE))</formula>
    </cfRule>
  </conditionalFormatting>
  <conditionalFormatting sqref="CP29">
    <cfRule type="expression" dxfId="1205" priority="2453">
      <formula>OR(IF(CP29&lt;CQ29,TRUE),IF(AND(CQ29="",CP29&lt;&gt;""),TRUE))</formula>
    </cfRule>
    <cfRule type="expression" dxfId="1204" priority="2454">
      <formula>IF(CP29&gt;=CQ29,IF(CP29="",FALSE,TRUE))</formula>
    </cfRule>
  </conditionalFormatting>
  <conditionalFormatting sqref="CN30:CN31">
    <cfRule type="expression" dxfId="1203" priority="2451">
      <formula>OR(IF(CN30&lt;CO30,TRUE),IF(AND(CO30="",CN30&lt;&gt;""),TRUE))</formula>
    </cfRule>
    <cfRule type="expression" dxfId="1202" priority="2452">
      <formula>IF(CN30&gt;=CO30,IF(CN30="",FALSE,TRUE))</formula>
    </cfRule>
  </conditionalFormatting>
  <conditionalFormatting sqref="CP30:CP31">
    <cfRule type="expression" dxfId="1201" priority="2449">
      <formula>OR(IF(CP30&lt;CQ30,TRUE),IF(AND(CQ30="",CP30&lt;&gt;""),TRUE))</formula>
    </cfRule>
    <cfRule type="expression" dxfId="1200" priority="2450">
      <formula>IF(CP30&gt;=CQ30,IF(CP30="",FALSE,TRUE))</formula>
    </cfRule>
  </conditionalFormatting>
  <conditionalFormatting sqref="CN112:CN113">
    <cfRule type="expression" dxfId="1199" priority="2447">
      <formula>OR(IF(CN112&lt;CO112,TRUE),IF(AND(CO112="",CN112&lt;&gt;""),TRUE))</formula>
    </cfRule>
    <cfRule type="expression" dxfId="1198" priority="2448">
      <formula>IF(CN112&gt;=CO112,IF(CN112="",FALSE,TRUE))</formula>
    </cfRule>
  </conditionalFormatting>
  <conditionalFormatting sqref="CP112:CP113">
    <cfRule type="expression" dxfId="1197" priority="2445">
      <formula>OR(IF(CP112&lt;CQ112,TRUE),IF(AND(CQ112="",CP112&lt;&gt;""),TRUE))</formula>
    </cfRule>
    <cfRule type="expression" dxfId="1196" priority="2446">
      <formula>IF(CP112&gt;=CQ112,IF(CP112="",FALSE,TRUE))</formula>
    </cfRule>
  </conditionalFormatting>
  <conditionalFormatting sqref="CP110">
    <cfRule type="expression" dxfId="1195" priority="2441">
      <formula>OR(IF(CP110&lt;CQ110,TRUE),IF(AND(CQ110="",CP110&lt;&gt;""),TRUE))</formula>
    </cfRule>
    <cfRule type="expression" dxfId="1194" priority="2442">
      <formula>IF(CP110&gt;=CQ110,IF(CP110="",FALSE,TRUE))</formula>
    </cfRule>
  </conditionalFormatting>
  <conditionalFormatting sqref="CN110">
    <cfRule type="expression" dxfId="1193" priority="2443">
      <formula>OR(IF(CN110&lt;CO110,TRUE),IF(AND(CO110="",CN110&lt;&gt;""),TRUE))</formula>
    </cfRule>
    <cfRule type="expression" dxfId="1192" priority="2444">
      <formula>IF(CN110&gt;=CO110,IF(CN110="",FALSE,TRUE))</formula>
    </cfRule>
  </conditionalFormatting>
  <conditionalFormatting sqref="CU20:CU24 CW20:CW24">
    <cfRule type="expression" dxfId="1191" priority="2437">
      <formula>OR(IF(CU20&lt;CV20,TRUE),IF(AND(CV20="",CU20&lt;&gt;""),TRUE))</formula>
    </cfRule>
    <cfRule type="expression" dxfId="1190" priority="2438">
      <formula>IF(CU20&gt;=CV20,IF(CU20="",FALSE,TRUE))</formula>
    </cfRule>
  </conditionalFormatting>
  <conditionalFormatting sqref="CU34:CU35">
    <cfRule type="expression" dxfId="1189" priority="2433">
      <formula>OR(IF(CU34&lt;CV34,TRUE),IF(AND(CV34="",CU34&lt;&gt;""),TRUE))</formula>
    </cfRule>
    <cfRule type="expression" dxfId="1188" priority="2434">
      <formula>IF(CU34&gt;=CV34,IF(CU34="",FALSE,TRUE))</formula>
    </cfRule>
  </conditionalFormatting>
  <conditionalFormatting sqref="CV36:CV45">
    <cfRule type="expression" dxfId="1187" priority="2423">
      <formula>OR(IF(CV36&lt;CW36,TRUE),IF(AND(CW36="",CV36&lt;&gt;""),TRUE))</formula>
    </cfRule>
    <cfRule type="expression" dxfId="1186" priority="2424">
      <formula>IF(CV36&gt;=CW36,IF(CV36="",FALSE,TRUE))</formula>
    </cfRule>
  </conditionalFormatting>
  <conditionalFormatting sqref="CW34:CW35">
    <cfRule type="expression" dxfId="1185" priority="2431">
      <formula>OR(IF(CW34&lt;CX34,TRUE),IF(AND(CX34="",CW34&lt;&gt;""),TRUE))</formula>
    </cfRule>
    <cfRule type="expression" dxfId="1184" priority="2432">
      <formula>IF(CW34&gt;=CX34,IF(CW34="",FALSE,TRUE))</formula>
    </cfRule>
  </conditionalFormatting>
  <conditionalFormatting sqref="CU25">
    <cfRule type="expression" dxfId="1183" priority="2429">
      <formula>OR(IF(CU25&lt;CV25,TRUE),IF(AND(CV25="",CU25&lt;&gt;""),TRUE))</formula>
    </cfRule>
    <cfRule type="expression" dxfId="1182" priority="2430">
      <formula>IF(CU25&gt;=CV25,IF(CU25="",FALSE,TRUE))</formula>
    </cfRule>
  </conditionalFormatting>
  <conditionalFormatting sqref="CW25">
    <cfRule type="expression" dxfId="1181" priority="2427">
      <formula>OR(IF(CW25&lt;CX25,TRUE),IF(AND(CX25="",CW25&lt;&gt;""),TRUE))</formula>
    </cfRule>
    <cfRule type="expression" dxfId="1180" priority="2428">
      <formula>IF(CW25&gt;=CX25,IF(CW25="",FALSE,TRUE))</formula>
    </cfRule>
  </conditionalFormatting>
  <conditionalFormatting sqref="CT36:CT45">
    <cfRule type="expression" dxfId="1179" priority="2425">
      <formula>OR(IF(CT36&lt;CU36,TRUE),IF(AND(CU36="",CT36&lt;&gt;""),TRUE))</formula>
    </cfRule>
    <cfRule type="expression" dxfId="1178" priority="2426">
      <formula>IF(CT36&gt;=CU36,IF(CT36="",FALSE,TRUE))</formula>
    </cfRule>
  </conditionalFormatting>
  <conditionalFormatting sqref="CU49:CU50">
    <cfRule type="expression" dxfId="1177" priority="2421">
      <formula>OR(IF(CU49&lt;CV49,TRUE),IF(AND(CV49="",CU49&lt;&gt;""),TRUE))</formula>
    </cfRule>
    <cfRule type="expression" dxfId="1176" priority="2422">
      <formula>IF(CU49&gt;=CV49,IF(CU49="",FALSE,TRUE))</formula>
    </cfRule>
  </conditionalFormatting>
  <conditionalFormatting sqref="CW51:CW60">
    <cfRule type="expression" dxfId="1175" priority="2415">
      <formula>OR(IF(CW51&lt;CX51,TRUE),IF(AND(CX51="",CW51&lt;&gt;""),TRUE))</formula>
    </cfRule>
    <cfRule type="expression" dxfId="1174" priority="2416">
      <formula>IF(CW51&gt;=CX51,IF(CW51="",FALSE,TRUE))</formula>
    </cfRule>
  </conditionalFormatting>
  <conditionalFormatting sqref="CW49:CW50">
    <cfRule type="expression" dxfId="1173" priority="2419">
      <formula>OR(IF(CW49&lt;CX49,TRUE),IF(AND(CX49="",CW49&lt;&gt;""),TRUE))</formula>
    </cfRule>
    <cfRule type="expression" dxfId="1172" priority="2420">
      <formula>IF(CW49&gt;=CX49,IF(CW49="",FALSE,TRUE))</formula>
    </cfRule>
  </conditionalFormatting>
  <conditionalFormatting sqref="CU51:CU60">
    <cfRule type="expression" dxfId="1171" priority="2417">
      <formula>OR(IF(CU51&lt;CV51,TRUE),IF(AND(CV51="",CU51&lt;&gt;""),TRUE))</formula>
    </cfRule>
    <cfRule type="expression" dxfId="1170" priority="2418">
      <formula>IF(CU51&gt;=CV51,IF(CU51="",FALSE,TRUE))</formula>
    </cfRule>
  </conditionalFormatting>
  <conditionalFormatting sqref="CU65:CU66">
    <cfRule type="expression" dxfId="1169" priority="2413">
      <formula>OR(IF(CU65&lt;CV65,TRUE),IF(AND(CV65="",CU65&lt;&gt;""),TRUE))</formula>
    </cfRule>
    <cfRule type="expression" dxfId="1168" priority="2414">
      <formula>IF(CU65&gt;=CV65,IF(CU65="",FALSE,TRUE))</formula>
    </cfRule>
  </conditionalFormatting>
  <conditionalFormatting sqref="CW67:CW76">
    <cfRule type="expression" dxfId="1167" priority="2407">
      <formula>OR(IF(CW67&lt;CX67,TRUE),IF(AND(CX67="",CW67&lt;&gt;""),TRUE))</formula>
    </cfRule>
    <cfRule type="expression" dxfId="1166" priority="2408">
      <formula>IF(CW67&gt;=CX67,IF(CW67="",FALSE,TRUE))</formula>
    </cfRule>
  </conditionalFormatting>
  <conditionalFormatting sqref="CW65:CW66">
    <cfRule type="expression" dxfId="1165" priority="2411">
      <formula>OR(IF(CW65&lt;CX65,TRUE),IF(AND(CX65="",CW65&lt;&gt;""),TRUE))</formula>
    </cfRule>
    <cfRule type="expression" dxfId="1164" priority="2412">
      <formula>IF(CW65&gt;=CX65,IF(CW65="",FALSE,TRUE))</formula>
    </cfRule>
  </conditionalFormatting>
  <conditionalFormatting sqref="CU67:CU76">
    <cfRule type="expression" dxfId="1163" priority="2409">
      <formula>OR(IF(CU67&lt;CV67,TRUE),IF(AND(CV67="",CU67&lt;&gt;""),TRUE))</formula>
    </cfRule>
    <cfRule type="expression" dxfId="1162" priority="2410">
      <formula>IF(CU67&gt;=CV67,IF(CU67="",FALSE,TRUE))</formula>
    </cfRule>
  </conditionalFormatting>
  <conditionalFormatting sqref="CU95:CU96">
    <cfRule type="expression" dxfId="1161" priority="2405">
      <formula>OR(IF(CU95&lt;CV95,TRUE),IF(AND(CV95="",CU95&lt;&gt;""),TRUE))</formula>
    </cfRule>
    <cfRule type="expression" dxfId="1160" priority="2406">
      <formula>IF(CU95&gt;=CV95,IF(CU95="",FALSE,TRUE))</formula>
    </cfRule>
  </conditionalFormatting>
  <conditionalFormatting sqref="CW97:CW106">
    <cfRule type="expression" dxfId="1159" priority="2399">
      <formula>OR(IF(CW97&lt;CX97,TRUE),IF(AND(CX97="",CW97&lt;&gt;""),TRUE))</formula>
    </cfRule>
    <cfRule type="expression" dxfId="1158" priority="2400">
      <formula>IF(CW97&gt;=CX97,IF(CW97="",FALSE,TRUE))</formula>
    </cfRule>
  </conditionalFormatting>
  <conditionalFormatting sqref="CW95:CW96">
    <cfRule type="expression" dxfId="1157" priority="2403">
      <formula>OR(IF(CW95&lt;CX95,TRUE),IF(AND(CX95="",CW95&lt;&gt;""),TRUE))</formula>
    </cfRule>
    <cfRule type="expression" dxfId="1156" priority="2404">
      <formula>IF(CW95&gt;=CX95,IF(CW95="",FALSE,TRUE))</formula>
    </cfRule>
  </conditionalFormatting>
  <conditionalFormatting sqref="CU97:CU106">
    <cfRule type="expression" dxfId="1155" priority="2401">
      <formula>OR(IF(CU97&lt;CV97,TRUE),IF(AND(CV97="",CU97&lt;&gt;""),TRUE))</formula>
    </cfRule>
    <cfRule type="expression" dxfId="1154" priority="2402">
      <formula>IF(CU97&gt;=CV97,IF(CU97="",FALSE,TRUE))</formula>
    </cfRule>
  </conditionalFormatting>
  <conditionalFormatting sqref="CW77">
    <cfRule type="expression" dxfId="1153" priority="2395">
      <formula>OR(IF(CW77&lt;CX77,TRUE),IF(AND(CX77="",CW77&lt;&gt;""),TRUE))</formula>
    </cfRule>
    <cfRule type="expression" dxfId="1152" priority="2396">
      <formula>IF(CW77&gt;=CX77,IF(CW77="",FALSE,TRUE))</formula>
    </cfRule>
  </conditionalFormatting>
  <conditionalFormatting sqref="CU77">
    <cfRule type="expression" dxfId="1151" priority="2397">
      <formula>OR(IF(CU77&lt;CV77,TRUE),IF(AND(CV77="",CU77&lt;&gt;""),TRUE))</formula>
    </cfRule>
    <cfRule type="expression" dxfId="1150" priority="2398">
      <formula>IF(CU77&gt;=CV77,IF(CU77="",FALSE,TRUE))</formula>
    </cfRule>
  </conditionalFormatting>
  <conditionalFormatting sqref="CW78">
    <cfRule type="expression" dxfId="1149" priority="2391">
      <formula>OR(IF(CW78&lt;CX78,TRUE),IF(AND(CX78="",CW78&lt;&gt;""),TRUE))</formula>
    </cfRule>
    <cfRule type="expression" dxfId="1148" priority="2392">
      <formula>IF(CW78&gt;=CX78,IF(CW78="",FALSE,TRUE))</formula>
    </cfRule>
  </conditionalFormatting>
  <conditionalFormatting sqref="CU78">
    <cfRule type="expression" dxfId="1147" priority="2393">
      <formula>OR(IF(CU78&lt;CV78,TRUE),IF(AND(CV78="",CU78&lt;&gt;""),TRUE))</formula>
    </cfRule>
    <cfRule type="expression" dxfId="1146" priority="2394">
      <formula>IF(CU78&gt;=CV78,IF(CU78="",FALSE,TRUE))</formula>
    </cfRule>
  </conditionalFormatting>
  <conditionalFormatting sqref="CW79">
    <cfRule type="expression" dxfId="1145" priority="2387">
      <formula>OR(IF(CW79&lt;CX79,TRUE),IF(AND(CX79="",CW79&lt;&gt;""),TRUE))</formula>
    </cfRule>
    <cfRule type="expression" dxfId="1144" priority="2388">
      <formula>IF(CW79&gt;=CX79,IF(CW79="",FALSE,TRUE))</formula>
    </cfRule>
  </conditionalFormatting>
  <conditionalFormatting sqref="CU79">
    <cfRule type="expression" dxfId="1143" priority="2389">
      <formula>OR(IF(CU79&lt;CV79,TRUE),IF(AND(CV79="",CU79&lt;&gt;""),TRUE))</formula>
    </cfRule>
    <cfRule type="expression" dxfId="1142" priority="2390">
      <formula>IF(CU79&gt;=CV79,IF(CU79="",FALSE,TRUE))</formula>
    </cfRule>
  </conditionalFormatting>
  <conditionalFormatting sqref="CW80">
    <cfRule type="expression" dxfId="1141" priority="2383">
      <formula>OR(IF(CW80&lt;CX80,TRUE),IF(AND(CX80="",CW80&lt;&gt;""),TRUE))</formula>
    </cfRule>
    <cfRule type="expression" dxfId="1140" priority="2384">
      <formula>IF(CW80&gt;=CX80,IF(CW80="",FALSE,TRUE))</formula>
    </cfRule>
  </conditionalFormatting>
  <conditionalFormatting sqref="CU80">
    <cfRule type="expression" dxfId="1139" priority="2385">
      <formula>OR(IF(CU80&lt;CV80,TRUE),IF(AND(CV80="",CU80&lt;&gt;""),TRUE))</formula>
    </cfRule>
    <cfRule type="expression" dxfId="1138" priority="2386">
      <formula>IF(CU80&gt;=CV80,IF(CU80="",FALSE,TRUE))</formula>
    </cfRule>
  </conditionalFormatting>
  <conditionalFormatting sqref="CW81">
    <cfRule type="expression" dxfId="1137" priority="2379">
      <formula>OR(IF(CW81&lt;CX81,TRUE),IF(AND(CX81="",CW81&lt;&gt;""),TRUE))</formula>
    </cfRule>
    <cfRule type="expression" dxfId="1136" priority="2380">
      <formula>IF(CW81&gt;=CX81,IF(CW81="",FALSE,TRUE))</formula>
    </cfRule>
  </conditionalFormatting>
  <conditionalFormatting sqref="CU81">
    <cfRule type="expression" dxfId="1135" priority="2381">
      <formula>OR(IF(CU81&lt;CV81,TRUE),IF(AND(CV81="",CU81&lt;&gt;""),TRUE))</formula>
    </cfRule>
    <cfRule type="expression" dxfId="1134" priority="2382">
      <formula>IF(CU81&gt;=CV81,IF(CU81="",FALSE,TRUE))</formula>
    </cfRule>
  </conditionalFormatting>
  <conditionalFormatting sqref="CW82">
    <cfRule type="expression" dxfId="1133" priority="2375">
      <formula>OR(IF(CW82&lt;CX82,TRUE),IF(AND(CX82="",CW82&lt;&gt;""),TRUE))</formula>
    </cfRule>
    <cfRule type="expression" dxfId="1132" priority="2376">
      <formula>IF(CW82&gt;=CX82,IF(CW82="",FALSE,TRUE))</formula>
    </cfRule>
  </conditionalFormatting>
  <conditionalFormatting sqref="CU82">
    <cfRule type="expression" dxfId="1131" priority="2377">
      <formula>OR(IF(CU82&lt;CV82,TRUE),IF(AND(CV82="",CU82&lt;&gt;""),TRUE))</formula>
    </cfRule>
    <cfRule type="expression" dxfId="1130" priority="2378">
      <formula>IF(CU82&gt;=CV82,IF(CU82="",FALSE,TRUE))</formula>
    </cfRule>
  </conditionalFormatting>
  <conditionalFormatting sqref="CW83">
    <cfRule type="expression" dxfId="1129" priority="2371">
      <formula>OR(IF(CW83&lt;CX83,TRUE),IF(AND(CX83="",CW83&lt;&gt;""),TRUE))</formula>
    </cfRule>
    <cfRule type="expression" dxfId="1128" priority="2372">
      <formula>IF(CW83&gt;=CX83,IF(CW83="",FALSE,TRUE))</formula>
    </cfRule>
  </conditionalFormatting>
  <conditionalFormatting sqref="CU83">
    <cfRule type="expression" dxfId="1127" priority="2373">
      <formula>OR(IF(CU83&lt;CV83,TRUE),IF(AND(CV83="",CU83&lt;&gt;""),TRUE))</formula>
    </cfRule>
    <cfRule type="expression" dxfId="1126" priority="2374">
      <formula>IF(CU83&gt;=CV83,IF(CU83="",FALSE,TRUE))</formula>
    </cfRule>
  </conditionalFormatting>
  <conditionalFormatting sqref="CW84">
    <cfRule type="expression" dxfId="1125" priority="2367">
      <formula>OR(IF(CW84&lt;CX84,TRUE),IF(AND(CX84="",CW84&lt;&gt;""),TRUE))</formula>
    </cfRule>
    <cfRule type="expression" dxfId="1124" priority="2368">
      <formula>IF(CW84&gt;=CX84,IF(CW84="",FALSE,TRUE))</formula>
    </cfRule>
  </conditionalFormatting>
  <conditionalFormatting sqref="CU84">
    <cfRule type="expression" dxfId="1123" priority="2369">
      <formula>OR(IF(CU84&lt;CV84,TRUE),IF(AND(CV84="",CU84&lt;&gt;""),TRUE))</formula>
    </cfRule>
    <cfRule type="expression" dxfId="1122" priority="2370">
      <formula>IF(CU84&gt;=CV84,IF(CU84="",FALSE,TRUE))</formula>
    </cfRule>
  </conditionalFormatting>
  <conditionalFormatting sqref="CW85">
    <cfRule type="expression" dxfId="1121" priority="2363">
      <formula>OR(IF(CW85&lt;CX85,TRUE),IF(AND(CX85="",CW85&lt;&gt;""),TRUE))</formula>
    </cfRule>
    <cfRule type="expression" dxfId="1120" priority="2364">
      <formula>IF(CW85&gt;=CX85,IF(CW85="",FALSE,TRUE))</formula>
    </cfRule>
  </conditionalFormatting>
  <conditionalFormatting sqref="CU85">
    <cfRule type="expression" dxfId="1119" priority="2365">
      <formula>OR(IF(CU85&lt;CV85,TRUE),IF(AND(CV85="",CU85&lt;&gt;""),TRUE))</formula>
    </cfRule>
    <cfRule type="expression" dxfId="1118" priority="2366">
      <formula>IF(CU85&gt;=CV85,IF(CU85="",FALSE,TRUE))</formula>
    </cfRule>
  </conditionalFormatting>
  <conditionalFormatting sqref="CW86">
    <cfRule type="expression" dxfId="1117" priority="2359">
      <formula>OR(IF(CW86&lt;CX86,TRUE),IF(AND(CX86="",CW86&lt;&gt;""),TRUE))</formula>
    </cfRule>
    <cfRule type="expression" dxfId="1116" priority="2360">
      <formula>IF(CW86&gt;=CX86,IF(CW86="",FALSE,TRUE))</formula>
    </cfRule>
  </conditionalFormatting>
  <conditionalFormatting sqref="CU86">
    <cfRule type="expression" dxfId="1115" priority="2361">
      <formula>OR(IF(CU86&lt;CV86,TRUE),IF(AND(CV86="",CU86&lt;&gt;""),TRUE))</formula>
    </cfRule>
    <cfRule type="expression" dxfId="1114" priority="2362">
      <formula>IF(CU86&gt;=CV86,IF(CU86="",FALSE,TRUE))</formula>
    </cfRule>
  </conditionalFormatting>
  <conditionalFormatting sqref="CW87">
    <cfRule type="expression" dxfId="1113" priority="2355">
      <formula>OR(IF(CW87&lt;CX87,TRUE),IF(AND(CX87="",CW87&lt;&gt;""),TRUE))</formula>
    </cfRule>
    <cfRule type="expression" dxfId="1112" priority="2356">
      <formula>IF(CW87&gt;=CX87,IF(CW87="",FALSE,TRUE))</formula>
    </cfRule>
  </conditionalFormatting>
  <conditionalFormatting sqref="CU87">
    <cfRule type="expression" dxfId="1111" priority="2357">
      <formula>OR(IF(CU87&lt;CV87,TRUE),IF(AND(CV87="",CU87&lt;&gt;""),TRUE))</formula>
    </cfRule>
    <cfRule type="expression" dxfId="1110" priority="2358">
      <formula>IF(CU87&gt;=CV87,IF(CU87="",FALSE,TRUE))</formula>
    </cfRule>
  </conditionalFormatting>
  <conditionalFormatting sqref="CW88">
    <cfRule type="expression" dxfId="1109" priority="2351">
      <formula>OR(IF(CW88&lt;CX88,TRUE),IF(AND(CX88="",CW88&lt;&gt;""),TRUE))</formula>
    </cfRule>
    <cfRule type="expression" dxfId="1108" priority="2352">
      <formula>IF(CW88&gt;=CX88,IF(CW88="",FALSE,TRUE))</formula>
    </cfRule>
  </conditionalFormatting>
  <conditionalFormatting sqref="CU88">
    <cfRule type="expression" dxfId="1107" priority="2353">
      <formula>OR(IF(CU88&lt;CV88,TRUE),IF(AND(CV88="",CU88&lt;&gt;""),TRUE))</formula>
    </cfRule>
    <cfRule type="expression" dxfId="1106" priority="2354">
      <formula>IF(CU88&gt;=CV88,IF(CU88="",FALSE,TRUE))</formula>
    </cfRule>
  </conditionalFormatting>
  <conditionalFormatting sqref="CW89:CW93">
    <cfRule type="expression" dxfId="1105" priority="2347">
      <formula>OR(IF(CW89&lt;CX89,TRUE),IF(AND(CX89="",CW89&lt;&gt;""),TRUE))</formula>
    </cfRule>
    <cfRule type="expression" dxfId="1104" priority="2348">
      <formula>IF(CW89&gt;=CX89,IF(CW89="",FALSE,TRUE))</formula>
    </cfRule>
  </conditionalFormatting>
  <conditionalFormatting sqref="CU89:CU93">
    <cfRule type="expression" dxfId="1103" priority="2349">
      <formula>OR(IF(CU89&lt;CV89,TRUE),IF(AND(CV89="",CU89&lt;&gt;""),TRUE))</formula>
    </cfRule>
    <cfRule type="expression" dxfId="1102" priority="2350">
      <formula>IF(CU89&gt;=CV89,IF(CU89="",FALSE,TRUE))</formula>
    </cfRule>
  </conditionalFormatting>
  <conditionalFormatting sqref="CU26">
    <cfRule type="expression" dxfId="1101" priority="2345">
      <formula>OR(IF(CU26&lt;CV26,TRUE),IF(AND(CV26="",CU26&lt;&gt;""),TRUE))</formula>
    </cfRule>
    <cfRule type="expression" dxfId="1100" priority="2346">
      <formula>IF(CU26&gt;=CV26,IF(CU26="",FALSE,TRUE))</formula>
    </cfRule>
  </conditionalFormatting>
  <conditionalFormatting sqref="CW26">
    <cfRule type="expression" dxfId="1099" priority="2343">
      <formula>OR(IF(CW26&lt;CX26,TRUE),IF(AND(CX26="",CW26&lt;&gt;""),TRUE))</formula>
    </cfRule>
    <cfRule type="expression" dxfId="1098" priority="2344">
      <formula>IF(CW26&gt;=CX26,IF(CW26="",FALSE,TRUE))</formula>
    </cfRule>
  </conditionalFormatting>
  <conditionalFormatting sqref="CU27">
    <cfRule type="expression" dxfId="1097" priority="2341">
      <formula>OR(IF(CU27&lt;CV27,TRUE),IF(AND(CV27="",CU27&lt;&gt;""),TRUE))</formula>
    </cfRule>
    <cfRule type="expression" dxfId="1096" priority="2342">
      <formula>IF(CU27&gt;=CV27,IF(CU27="",FALSE,TRUE))</formula>
    </cfRule>
  </conditionalFormatting>
  <conditionalFormatting sqref="CW27">
    <cfRule type="expression" dxfId="1095" priority="2339">
      <formula>OR(IF(CW27&lt;CX27,TRUE),IF(AND(CX27="",CW27&lt;&gt;""),TRUE))</formula>
    </cfRule>
    <cfRule type="expression" dxfId="1094" priority="2340">
      <formula>IF(CW27&gt;=CX27,IF(CW27="",FALSE,TRUE))</formula>
    </cfRule>
  </conditionalFormatting>
  <conditionalFormatting sqref="CU28">
    <cfRule type="expression" dxfId="1093" priority="2337">
      <formula>OR(IF(CU28&lt;CV28,TRUE),IF(AND(CV28="",CU28&lt;&gt;""),TRUE))</formula>
    </cfRule>
    <cfRule type="expression" dxfId="1092" priority="2338">
      <formula>IF(CU28&gt;=CV28,IF(CU28="",FALSE,TRUE))</formula>
    </cfRule>
  </conditionalFormatting>
  <conditionalFormatting sqref="CW28">
    <cfRule type="expression" dxfId="1091" priority="2335">
      <formula>OR(IF(CW28&lt;CX28,TRUE),IF(AND(CX28="",CW28&lt;&gt;""),TRUE))</formula>
    </cfRule>
    <cfRule type="expression" dxfId="1090" priority="2336">
      <formula>IF(CW28&gt;=CX28,IF(CW28="",FALSE,TRUE))</formula>
    </cfRule>
  </conditionalFormatting>
  <conditionalFormatting sqref="CU29">
    <cfRule type="expression" dxfId="1089" priority="2333">
      <formula>OR(IF(CU29&lt;CV29,TRUE),IF(AND(CV29="",CU29&lt;&gt;""),TRUE))</formula>
    </cfRule>
    <cfRule type="expression" dxfId="1088" priority="2334">
      <formula>IF(CU29&gt;=CV29,IF(CU29="",FALSE,TRUE))</formula>
    </cfRule>
  </conditionalFormatting>
  <conditionalFormatting sqref="CW29">
    <cfRule type="expression" dxfId="1087" priority="2331">
      <formula>OR(IF(CW29&lt;CX29,TRUE),IF(AND(CX29="",CW29&lt;&gt;""),TRUE))</formula>
    </cfRule>
    <cfRule type="expression" dxfId="1086" priority="2332">
      <formula>IF(CW29&gt;=CX29,IF(CW29="",FALSE,TRUE))</formula>
    </cfRule>
  </conditionalFormatting>
  <conditionalFormatting sqref="CU30:CU31">
    <cfRule type="expression" dxfId="1085" priority="2329">
      <formula>OR(IF(CU30&lt;CV30,TRUE),IF(AND(CV30="",CU30&lt;&gt;""),TRUE))</formula>
    </cfRule>
    <cfRule type="expression" dxfId="1084" priority="2330">
      <formula>IF(CU30&gt;=CV30,IF(CU30="",FALSE,TRUE))</formula>
    </cfRule>
  </conditionalFormatting>
  <conditionalFormatting sqref="CW30:CW31">
    <cfRule type="expression" dxfId="1083" priority="2327">
      <formula>OR(IF(CW30&lt;CX30,TRUE),IF(AND(CX30="",CW30&lt;&gt;""),TRUE))</formula>
    </cfRule>
    <cfRule type="expression" dxfId="1082" priority="2328">
      <formula>IF(CW30&gt;=CX30,IF(CW30="",FALSE,TRUE))</formula>
    </cfRule>
  </conditionalFormatting>
  <conditionalFormatting sqref="CU112:CU113">
    <cfRule type="expression" dxfId="1081" priority="2325">
      <formula>OR(IF(CU112&lt;CV112,TRUE),IF(AND(CV112="",CU112&lt;&gt;""),TRUE))</formula>
    </cfRule>
    <cfRule type="expression" dxfId="1080" priority="2326">
      <formula>IF(CU112&gt;=CV112,IF(CU112="",FALSE,TRUE))</formula>
    </cfRule>
  </conditionalFormatting>
  <conditionalFormatting sqref="CW112:CW113">
    <cfRule type="expression" dxfId="1079" priority="2323">
      <formula>OR(IF(CW112&lt;CX112,TRUE),IF(AND(CX112="",CW112&lt;&gt;""),TRUE))</formula>
    </cfRule>
    <cfRule type="expression" dxfId="1078" priority="2324">
      <formula>IF(CW112&gt;=CX112,IF(CW112="",FALSE,TRUE))</formula>
    </cfRule>
  </conditionalFormatting>
  <conditionalFormatting sqref="CW110">
    <cfRule type="expression" dxfId="1077" priority="2319">
      <formula>OR(IF(CW110&lt;CX110,TRUE),IF(AND(CX110="",CW110&lt;&gt;""),TRUE))</formula>
    </cfRule>
    <cfRule type="expression" dxfId="1076" priority="2320">
      <formula>IF(CW110&gt;=CX110,IF(CW110="",FALSE,TRUE))</formula>
    </cfRule>
  </conditionalFormatting>
  <conditionalFormatting sqref="CU110">
    <cfRule type="expression" dxfId="1075" priority="2321">
      <formula>OR(IF(CU110&lt;CV110,TRUE),IF(AND(CV110="",CU110&lt;&gt;""),TRUE))</formula>
    </cfRule>
    <cfRule type="expression" dxfId="1074" priority="2322">
      <formula>IF(CU110&gt;=CV110,IF(CU110="",FALSE,TRUE))</formula>
    </cfRule>
  </conditionalFormatting>
  <conditionalFormatting sqref="DB20:DB24 DD20:DD24">
    <cfRule type="expression" dxfId="1073" priority="2315">
      <formula>OR(IF(DB20&lt;DC20,TRUE),IF(AND(DC20="",DB20&lt;&gt;""),TRUE))</formula>
    </cfRule>
    <cfRule type="expression" dxfId="1072" priority="2316">
      <formula>IF(DB20&gt;=DC20,IF(DB20="",FALSE,TRUE))</formula>
    </cfRule>
  </conditionalFormatting>
  <conditionalFormatting sqref="DB34:DB35">
    <cfRule type="expression" dxfId="1071" priority="2311">
      <formula>OR(IF(DB34&lt;DC34,TRUE),IF(AND(DC34="",DB34&lt;&gt;""),TRUE))</formula>
    </cfRule>
    <cfRule type="expression" dxfId="1070" priority="2312">
      <formula>IF(DB34&gt;=DC34,IF(DB34="",FALSE,TRUE))</formula>
    </cfRule>
  </conditionalFormatting>
  <conditionalFormatting sqref="DC36:DC45">
    <cfRule type="expression" dxfId="1069" priority="2301">
      <formula>OR(IF(DC36&lt;DD36,TRUE),IF(AND(DD36="",DC36&lt;&gt;""),TRUE))</formula>
    </cfRule>
    <cfRule type="expression" dxfId="1068" priority="2302">
      <formula>IF(DC36&gt;=DD36,IF(DC36="",FALSE,TRUE))</formula>
    </cfRule>
  </conditionalFormatting>
  <conditionalFormatting sqref="DD34:DD35">
    <cfRule type="expression" dxfId="1067" priority="2309">
      <formula>OR(IF(DD34&lt;DE34,TRUE),IF(AND(DE34="",DD34&lt;&gt;""),TRUE))</formula>
    </cfRule>
    <cfRule type="expression" dxfId="1066" priority="2310">
      <formula>IF(DD34&gt;=DE34,IF(DD34="",FALSE,TRUE))</formula>
    </cfRule>
  </conditionalFormatting>
  <conditionalFormatting sqref="DB25">
    <cfRule type="expression" dxfId="1065" priority="2307">
      <formula>OR(IF(DB25&lt;DC25,TRUE),IF(AND(DC25="",DB25&lt;&gt;""),TRUE))</formula>
    </cfRule>
    <cfRule type="expression" dxfId="1064" priority="2308">
      <formula>IF(DB25&gt;=DC25,IF(DB25="",FALSE,TRUE))</formula>
    </cfRule>
  </conditionalFormatting>
  <conditionalFormatting sqref="DD25">
    <cfRule type="expression" dxfId="1063" priority="2305">
      <formula>OR(IF(DD25&lt;DE25,TRUE),IF(AND(DE25="",DD25&lt;&gt;""),TRUE))</formula>
    </cfRule>
    <cfRule type="expression" dxfId="1062" priority="2306">
      <formula>IF(DD25&gt;=DE25,IF(DD25="",FALSE,TRUE))</formula>
    </cfRule>
  </conditionalFormatting>
  <conditionalFormatting sqref="DA36:DA45">
    <cfRule type="expression" dxfId="1061" priority="2303">
      <formula>OR(IF(DA36&lt;DB36,TRUE),IF(AND(DB36="",DA36&lt;&gt;""),TRUE))</formula>
    </cfRule>
    <cfRule type="expression" dxfId="1060" priority="2304">
      <formula>IF(DA36&gt;=DB36,IF(DA36="",FALSE,TRUE))</formula>
    </cfRule>
  </conditionalFormatting>
  <conditionalFormatting sqref="DB49:DB50">
    <cfRule type="expression" dxfId="1059" priority="2299">
      <formula>OR(IF(DB49&lt;DC49,TRUE),IF(AND(DC49="",DB49&lt;&gt;""),TRUE))</formula>
    </cfRule>
    <cfRule type="expression" dxfId="1058" priority="2300">
      <formula>IF(DB49&gt;=DC49,IF(DB49="",FALSE,TRUE))</formula>
    </cfRule>
  </conditionalFormatting>
  <conditionalFormatting sqref="DD51:DD60">
    <cfRule type="expression" dxfId="1057" priority="2293">
      <formula>OR(IF(DD51&lt;DE51,TRUE),IF(AND(DE51="",DD51&lt;&gt;""),TRUE))</formula>
    </cfRule>
    <cfRule type="expression" dxfId="1056" priority="2294">
      <formula>IF(DD51&gt;=DE51,IF(DD51="",FALSE,TRUE))</formula>
    </cfRule>
  </conditionalFormatting>
  <conditionalFormatting sqref="DD49:DD50">
    <cfRule type="expression" dxfId="1055" priority="2297">
      <formula>OR(IF(DD49&lt;DE49,TRUE),IF(AND(DE49="",DD49&lt;&gt;""),TRUE))</formula>
    </cfRule>
    <cfRule type="expression" dxfId="1054" priority="2298">
      <formula>IF(DD49&gt;=DE49,IF(DD49="",FALSE,TRUE))</formula>
    </cfRule>
  </conditionalFormatting>
  <conditionalFormatting sqref="DB51:DB60">
    <cfRule type="expression" dxfId="1053" priority="2295">
      <formula>OR(IF(DB51&lt;DC51,TRUE),IF(AND(DC51="",DB51&lt;&gt;""),TRUE))</formula>
    </cfRule>
    <cfRule type="expression" dxfId="1052" priority="2296">
      <formula>IF(DB51&gt;=DC51,IF(DB51="",FALSE,TRUE))</formula>
    </cfRule>
  </conditionalFormatting>
  <conditionalFormatting sqref="DB65:DB66">
    <cfRule type="expression" dxfId="1051" priority="2291">
      <formula>OR(IF(DB65&lt;DC65,TRUE),IF(AND(DC65="",DB65&lt;&gt;""),TRUE))</formula>
    </cfRule>
    <cfRule type="expression" dxfId="1050" priority="2292">
      <formula>IF(DB65&gt;=DC65,IF(DB65="",FALSE,TRUE))</formula>
    </cfRule>
  </conditionalFormatting>
  <conditionalFormatting sqref="DD67:DD76">
    <cfRule type="expression" dxfId="1049" priority="2285">
      <formula>OR(IF(DD67&lt;DE67,TRUE),IF(AND(DE67="",DD67&lt;&gt;""),TRUE))</formula>
    </cfRule>
    <cfRule type="expression" dxfId="1048" priority="2286">
      <formula>IF(DD67&gt;=DE67,IF(DD67="",FALSE,TRUE))</formula>
    </cfRule>
  </conditionalFormatting>
  <conditionalFormatting sqref="DD65:DD66">
    <cfRule type="expression" dxfId="1047" priority="2289">
      <formula>OR(IF(DD65&lt;DE65,TRUE),IF(AND(DE65="",DD65&lt;&gt;""),TRUE))</formula>
    </cfRule>
    <cfRule type="expression" dxfId="1046" priority="2290">
      <formula>IF(DD65&gt;=DE65,IF(DD65="",FALSE,TRUE))</formula>
    </cfRule>
  </conditionalFormatting>
  <conditionalFormatting sqref="DB67:DB76">
    <cfRule type="expression" dxfId="1045" priority="2287">
      <formula>OR(IF(DB67&lt;DC67,TRUE),IF(AND(DC67="",DB67&lt;&gt;""),TRUE))</formula>
    </cfRule>
    <cfRule type="expression" dxfId="1044" priority="2288">
      <formula>IF(DB67&gt;=DC67,IF(DB67="",FALSE,TRUE))</formula>
    </cfRule>
  </conditionalFormatting>
  <conditionalFormatting sqref="DB95:DB96">
    <cfRule type="expression" dxfId="1043" priority="2283">
      <formula>OR(IF(DB95&lt;DC95,TRUE),IF(AND(DC95="",DB95&lt;&gt;""),TRUE))</formula>
    </cfRule>
    <cfRule type="expression" dxfId="1042" priority="2284">
      <formula>IF(DB95&gt;=DC95,IF(DB95="",FALSE,TRUE))</formula>
    </cfRule>
  </conditionalFormatting>
  <conditionalFormatting sqref="DD97:DD106">
    <cfRule type="expression" dxfId="1041" priority="2277">
      <formula>OR(IF(DD97&lt;DE97,TRUE),IF(AND(DE97="",DD97&lt;&gt;""),TRUE))</formula>
    </cfRule>
    <cfRule type="expression" dxfId="1040" priority="2278">
      <formula>IF(DD97&gt;=DE97,IF(DD97="",FALSE,TRUE))</formula>
    </cfRule>
  </conditionalFormatting>
  <conditionalFormatting sqref="DD95:DD96">
    <cfRule type="expression" dxfId="1039" priority="2281">
      <formula>OR(IF(DD95&lt;DE95,TRUE),IF(AND(DE95="",DD95&lt;&gt;""),TRUE))</formula>
    </cfRule>
    <cfRule type="expression" dxfId="1038" priority="2282">
      <formula>IF(DD95&gt;=DE95,IF(DD95="",FALSE,TRUE))</formula>
    </cfRule>
  </conditionalFormatting>
  <conditionalFormatting sqref="DB97:DB106">
    <cfRule type="expression" dxfId="1037" priority="2279">
      <formula>OR(IF(DB97&lt;DC97,TRUE),IF(AND(DC97="",DB97&lt;&gt;""),TRUE))</formula>
    </cfRule>
    <cfRule type="expression" dxfId="1036" priority="2280">
      <formula>IF(DB97&gt;=DC97,IF(DB97="",FALSE,TRUE))</formula>
    </cfRule>
  </conditionalFormatting>
  <conditionalFormatting sqref="DD77">
    <cfRule type="expression" dxfId="1035" priority="2273">
      <formula>OR(IF(DD77&lt;DE77,TRUE),IF(AND(DE77="",DD77&lt;&gt;""),TRUE))</formula>
    </cfRule>
    <cfRule type="expression" dxfId="1034" priority="2274">
      <formula>IF(DD77&gt;=DE77,IF(DD77="",FALSE,TRUE))</formula>
    </cfRule>
  </conditionalFormatting>
  <conditionalFormatting sqref="DB77">
    <cfRule type="expression" dxfId="1033" priority="2275">
      <formula>OR(IF(DB77&lt;DC77,TRUE),IF(AND(DC77="",DB77&lt;&gt;""),TRUE))</formula>
    </cfRule>
    <cfRule type="expression" dxfId="1032" priority="2276">
      <formula>IF(DB77&gt;=DC77,IF(DB77="",FALSE,TRUE))</formula>
    </cfRule>
  </conditionalFormatting>
  <conditionalFormatting sqref="DD78">
    <cfRule type="expression" dxfId="1031" priority="2269">
      <formula>OR(IF(DD78&lt;DE78,TRUE),IF(AND(DE78="",DD78&lt;&gt;""),TRUE))</formula>
    </cfRule>
    <cfRule type="expression" dxfId="1030" priority="2270">
      <formula>IF(DD78&gt;=DE78,IF(DD78="",FALSE,TRUE))</formula>
    </cfRule>
  </conditionalFormatting>
  <conditionalFormatting sqref="DB78">
    <cfRule type="expression" dxfId="1029" priority="2271">
      <formula>OR(IF(DB78&lt;DC78,TRUE),IF(AND(DC78="",DB78&lt;&gt;""),TRUE))</formula>
    </cfRule>
    <cfRule type="expression" dxfId="1028" priority="2272">
      <formula>IF(DB78&gt;=DC78,IF(DB78="",FALSE,TRUE))</formula>
    </cfRule>
  </conditionalFormatting>
  <conditionalFormatting sqref="DD79">
    <cfRule type="expression" dxfId="1027" priority="2265">
      <formula>OR(IF(DD79&lt;DE79,TRUE),IF(AND(DE79="",DD79&lt;&gt;""),TRUE))</formula>
    </cfRule>
    <cfRule type="expression" dxfId="1026" priority="2266">
      <formula>IF(DD79&gt;=DE79,IF(DD79="",FALSE,TRUE))</formula>
    </cfRule>
  </conditionalFormatting>
  <conditionalFormatting sqref="DB79">
    <cfRule type="expression" dxfId="1025" priority="2267">
      <formula>OR(IF(DB79&lt;DC79,TRUE),IF(AND(DC79="",DB79&lt;&gt;""),TRUE))</formula>
    </cfRule>
    <cfRule type="expression" dxfId="1024" priority="2268">
      <formula>IF(DB79&gt;=DC79,IF(DB79="",FALSE,TRUE))</formula>
    </cfRule>
  </conditionalFormatting>
  <conditionalFormatting sqref="DD80">
    <cfRule type="expression" dxfId="1023" priority="2261">
      <formula>OR(IF(DD80&lt;DE80,TRUE),IF(AND(DE80="",DD80&lt;&gt;""),TRUE))</formula>
    </cfRule>
    <cfRule type="expression" dxfId="1022" priority="2262">
      <formula>IF(DD80&gt;=DE80,IF(DD80="",FALSE,TRUE))</formula>
    </cfRule>
  </conditionalFormatting>
  <conditionalFormatting sqref="DB80">
    <cfRule type="expression" dxfId="1021" priority="2263">
      <formula>OR(IF(DB80&lt;DC80,TRUE),IF(AND(DC80="",DB80&lt;&gt;""),TRUE))</formula>
    </cfRule>
    <cfRule type="expression" dxfId="1020" priority="2264">
      <formula>IF(DB80&gt;=DC80,IF(DB80="",FALSE,TRUE))</formula>
    </cfRule>
  </conditionalFormatting>
  <conditionalFormatting sqref="DD81">
    <cfRule type="expression" dxfId="1019" priority="2257">
      <formula>OR(IF(DD81&lt;DE81,TRUE),IF(AND(DE81="",DD81&lt;&gt;""),TRUE))</formula>
    </cfRule>
    <cfRule type="expression" dxfId="1018" priority="2258">
      <formula>IF(DD81&gt;=DE81,IF(DD81="",FALSE,TRUE))</formula>
    </cfRule>
  </conditionalFormatting>
  <conditionalFormatting sqref="DB81">
    <cfRule type="expression" dxfId="1017" priority="2259">
      <formula>OR(IF(DB81&lt;DC81,TRUE),IF(AND(DC81="",DB81&lt;&gt;""),TRUE))</formula>
    </cfRule>
    <cfRule type="expression" dxfId="1016" priority="2260">
      <formula>IF(DB81&gt;=DC81,IF(DB81="",FALSE,TRUE))</formula>
    </cfRule>
  </conditionalFormatting>
  <conditionalFormatting sqref="DD82">
    <cfRule type="expression" dxfId="1015" priority="2253">
      <formula>OR(IF(DD82&lt;DE82,TRUE),IF(AND(DE82="",DD82&lt;&gt;""),TRUE))</formula>
    </cfRule>
    <cfRule type="expression" dxfId="1014" priority="2254">
      <formula>IF(DD82&gt;=DE82,IF(DD82="",FALSE,TRUE))</formula>
    </cfRule>
  </conditionalFormatting>
  <conditionalFormatting sqref="DB82">
    <cfRule type="expression" dxfId="1013" priority="2255">
      <formula>OR(IF(DB82&lt;DC82,TRUE),IF(AND(DC82="",DB82&lt;&gt;""),TRUE))</formula>
    </cfRule>
    <cfRule type="expression" dxfId="1012" priority="2256">
      <formula>IF(DB82&gt;=DC82,IF(DB82="",FALSE,TRUE))</formula>
    </cfRule>
  </conditionalFormatting>
  <conditionalFormatting sqref="DD83">
    <cfRule type="expression" dxfId="1011" priority="2249">
      <formula>OR(IF(DD83&lt;DE83,TRUE),IF(AND(DE83="",DD83&lt;&gt;""),TRUE))</formula>
    </cfRule>
    <cfRule type="expression" dxfId="1010" priority="2250">
      <formula>IF(DD83&gt;=DE83,IF(DD83="",FALSE,TRUE))</formula>
    </cfRule>
  </conditionalFormatting>
  <conditionalFormatting sqref="DB83">
    <cfRule type="expression" dxfId="1009" priority="2251">
      <formula>OR(IF(DB83&lt;DC83,TRUE),IF(AND(DC83="",DB83&lt;&gt;""),TRUE))</formula>
    </cfRule>
    <cfRule type="expression" dxfId="1008" priority="2252">
      <formula>IF(DB83&gt;=DC83,IF(DB83="",FALSE,TRUE))</formula>
    </cfRule>
  </conditionalFormatting>
  <conditionalFormatting sqref="DD84">
    <cfRule type="expression" dxfId="1007" priority="2245">
      <formula>OR(IF(DD84&lt;DE84,TRUE),IF(AND(DE84="",DD84&lt;&gt;""),TRUE))</formula>
    </cfRule>
    <cfRule type="expression" dxfId="1006" priority="2246">
      <formula>IF(DD84&gt;=DE84,IF(DD84="",FALSE,TRUE))</formula>
    </cfRule>
  </conditionalFormatting>
  <conditionalFormatting sqref="DB84">
    <cfRule type="expression" dxfId="1005" priority="2247">
      <formula>OR(IF(DB84&lt;DC84,TRUE),IF(AND(DC84="",DB84&lt;&gt;""),TRUE))</formula>
    </cfRule>
    <cfRule type="expression" dxfId="1004" priority="2248">
      <formula>IF(DB84&gt;=DC84,IF(DB84="",FALSE,TRUE))</formula>
    </cfRule>
  </conditionalFormatting>
  <conditionalFormatting sqref="DD85">
    <cfRule type="expression" dxfId="1003" priority="2241">
      <formula>OR(IF(DD85&lt;DE85,TRUE),IF(AND(DE85="",DD85&lt;&gt;""),TRUE))</formula>
    </cfRule>
    <cfRule type="expression" dxfId="1002" priority="2242">
      <formula>IF(DD85&gt;=DE85,IF(DD85="",FALSE,TRUE))</formula>
    </cfRule>
  </conditionalFormatting>
  <conditionalFormatting sqref="DB85">
    <cfRule type="expression" dxfId="1001" priority="2243">
      <formula>OR(IF(DB85&lt;DC85,TRUE),IF(AND(DC85="",DB85&lt;&gt;""),TRUE))</formula>
    </cfRule>
    <cfRule type="expression" dxfId="1000" priority="2244">
      <formula>IF(DB85&gt;=DC85,IF(DB85="",FALSE,TRUE))</formula>
    </cfRule>
  </conditionalFormatting>
  <conditionalFormatting sqref="DD86">
    <cfRule type="expression" dxfId="999" priority="2237">
      <formula>OR(IF(DD86&lt;DE86,TRUE),IF(AND(DE86="",DD86&lt;&gt;""),TRUE))</formula>
    </cfRule>
    <cfRule type="expression" dxfId="998" priority="2238">
      <formula>IF(DD86&gt;=DE86,IF(DD86="",FALSE,TRUE))</formula>
    </cfRule>
  </conditionalFormatting>
  <conditionalFormatting sqref="DB86">
    <cfRule type="expression" dxfId="997" priority="2239">
      <formula>OR(IF(DB86&lt;DC86,TRUE),IF(AND(DC86="",DB86&lt;&gt;""),TRUE))</formula>
    </cfRule>
    <cfRule type="expression" dxfId="996" priority="2240">
      <formula>IF(DB86&gt;=DC86,IF(DB86="",FALSE,TRUE))</formula>
    </cfRule>
  </conditionalFormatting>
  <conditionalFormatting sqref="DD87">
    <cfRule type="expression" dxfId="995" priority="2233">
      <formula>OR(IF(DD87&lt;DE87,TRUE),IF(AND(DE87="",DD87&lt;&gt;""),TRUE))</formula>
    </cfRule>
    <cfRule type="expression" dxfId="994" priority="2234">
      <formula>IF(DD87&gt;=DE87,IF(DD87="",FALSE,TRUE))</formula>
    </cfRule>
  </conditionalFormatting>
  <conditionalFormatting sqref="DB87">
    <cfRule type="expression" dxfId="993" priority="2235">
      <formula>OR(IF(DB87&lt;DC87,TRUE),IF(AND(DC87="",DB87&lt;&gt;""),TRUE))</formula>
    </cfRule>
    <cfRule type="expression" dxfId="992" priority="2236">
      <formula>IF(DB87&gt;=DC87,IF(DB87="",FALSE,TRUE))</formula>
    </cfRule>
  </conditionalFormatting>
  <conditionalFormatting sqref="DD88">
    <cfRule type="expression" dxfId="991" priority="2229">
      <formula>OR(IF(DD88&lt;DE88,TRUE),IF(AND(DE88="",DD88&lt;&gt;""),TRUE))</formula>
    </cfRule>
    <cfRule type="expression" dxfId="990" priority="2230">
      <formula>IF(DD88&gt;=DE88,IF(DD88="",FALSE,TRUE))</formula>
    </cfRule>
  </conditionalFormatting>
  <conditionalFormatting sqref="DB88">
    <cfRule type="expression" dxfId="989" priority="2231">
      <formula>OR(IF(DB88&lt;DC88,TRUE),IF(AND(DC88="",DB88&lt;&gt;""),TRUE))</formula>
    </cfRule>
    <cfRule type="expression" dxfId="988" priority="2232">
      <formula>IF(DB88&gt;=DC88,IF(DB88="",FALSE,TRUE))</formula>
    </cfRule>
  </conditionalFormatting>
  <conditionalFormatting sqref="DD89:DD93">
    <cfRule type="expression" dxfId="987" priority="2225">
      <formula>OR(IF(DD89&lt;DE89,TRUE),IF(AND(DE89="",DD89&lt;&gt;""),TRUE))</formula>
    </cfRule>
    <cfRule type="expression" dxfId="986" priority="2226">
      <formula>IF(DD89&gt;=DE89,IF(DD89="",FALSE,TRUE))</formula>
    </cfRule>
  </conditionalFormatting>
  <conditionalFormatting sqref="DB89:DB93">
    <cfRule type="expression" dxfId="985" priority="2227">
      <formula>OR(IF(DB89&lt;DC89,TRUE),IF(AND(DC89="",DB89&lt;&gt;""),TRUE))</formula>
    </cfRule>
    <cfRule type="expression" dxfId="984" priority="2228">
      <formula>IF(DB89&gt;=DC89,IF(DB89="",FALSE,TRUE))</formula>
    </cfRule>
  </conditionalFormatting>
  <conditionalFormatting sqref="DB26">
    <cfRule type="expression" dxfId="983" priority="2223">
      <formula>OR(IF(DB26&lt;DC26,TRUE),IF(AND(DC26="",DB26&lt;&gt;""),TRUE))</formula>
    </cfRule>
    <cfRule type="expression" dxfId="982" priority="2224">
      <formula>IF(DB26&gt;=DC26,IF(DB26="",FALSE,TRUE))</formula>
    </cfRule>
  </conditionalFormatting>
  <conditionalFormatting sqref="DD26">
    <cfRule type="expression" dxfId="981" priority="2221">
      <formula>OR(IF(DD26&lt;DE26,TRUE),IF(AND(DE26="",DD26&lt;&gt;""),TRUE))</formula>
    </cfRule>
    <cfRule type="expression" dxfId="980" priority="2222">
      <formula>IF(DD26&gt;=DE26,IF(DD26="",FALSE,TRUE))</formula>
    </cfRule>
  </conditionalFormatting>
  <conditionalFormatting sqref="DB27">
    <cfRule type="expression" dxfId="979" priority="2219">
      <formula>OR(IF(DB27&lt;DC27,TRUE),IF(AND(DC27="",DB27&lt;&gt;""),TRUE))</formula>
    </cfRule>
    <cfRule type="expression" dxfId="978" priority="2220">
      <formula>IF(DB27&gt;=DC27,IF(DB27="",FALSE,TRUE))</formula>
    </cfRule>
  </conditionalFormatting>
  <conditionalFormatting sqref="DD27">
    <cfRule type="expression" dxfId="977" priority="2217">
      <formula>OR(IF(DD27&lt;DE27,TRUE),IF(AND(DE27="",DD27&lt;&gt;""),TRUE))</formula>
    </cfRule>
    <cfRule type="expression" dxfId="976" priority="2218">
      <formula>IF(DD27&gt;=DE27,IF(DD27="",FALSE,TRUE))</formula>
    </cfRule>
  </conditionalFormatting>
  <conditionalFormatting sqref="DB28">
    <cfRule type="expression" dxfId="975" priority="2215">
      <formula>OR(IF(DB28&lt;DC28,TRUE),IF(AND(DC28="",DB28&lt;&gt;""),TRUE))</formula>
    </cfRule>
    <cfRule type="expression" dxfId="974" priority="2216">
      <formula>IF(DB28&gt;=DC28,IF(DB28="",FALSE,TRUE))</formula>
    </cfRule>
  </conditionalFormatting>
  <conditionalFormatting sqref="DD28">
    <cfRule type="expression" dxfId="973" priority="2213">
      <formula>OR(IF(DD28&lt;DE28,TRUE),IF(AND(DE28="",DD28&lt;&gt;""),TRUE))</formula>
    </cfRule>
    <cfRule type="expression" dxfId="972" priority="2214">
      <formula>IF(DD28&gt;=DE28,IF(DD28="",FALSE,TRUE))</formula>
    </cfRule>
  </conditionalFormatting>
  <conditionalFormatting sqref="DB29">
    <cfRule type="expression" dxfId="971" priority="2211">
      <formula>OR(IF(DB29&lt;DC29,TRUE),IF(AND(DC29="",DB29&lt;&gt;""),TRUE))</formula>
    </cfRule>
    <cfRule type="expression" dxfId="970" priority="2212">
      <formula>IF(DB29&gt;=DC29,IF(DB29="",FALSE,TRUE))</formula>
    </cfRule>
  </conditionalFormatting>
  <conditionalFormatting sqref="DD29">
    <cfRule type="expression" dxfId="969" priority="2209">
      <formula>OR(IF(DD29&lt;DE29,TRUE),IF(AND(DE29="",DD29&lt;&gt;""),TRUE))</formula>
    </cfRule>
    <cfRule type="expression" dxfId="968" priority="2210">
      <formula>IF(DD29&gt;=DE29,IF(DD29="",FALSE,TRUE))</formula>
    </cfRule>
  </conditionalFormatting>
  <conditionalFormatting sqref="DB30:DB31">
    <cfRule type="expression" dxfId="967" priority="2207">
      <formula>OR(IF(DB30&lt;DC30,TRUE),IF(AND(DC30="",DB30&lt;&gt;""),TRUE))</formula>
    </cfRule>
    <cfRule type="expression" dxfId="966" priority="2208">
      <formula>IF(DB30&gt;=DC30,IF(DB30="",FALSE,TRUE))</formula>
    </cfRule>
  </conditionalFormatting>
  <conditionalFormatting sqref="DD30:DD31">
    <cfRule type="expression" dxfId="965" priority="2205">
      <formula>OR(IF(DD30&lt;DE30,TRUE),IF(AND(DE30="",DD30&lt;&gt;""),TRUE))</formula>
    </cfRule>
    <cfRule type="expression" dxfId="964" priority="2206">
      <formula>IF(DD30&gt;=DE30,IF(DD30="",FALSE,TRUE))</formula>
    </cfRule>
  </conditionalFormatting>
  <conditionalFormatting sqref="DB112:DB113">
    <cfRule type="expression" dxfId="963" priority="2203">
      <formula>OR(IF(DB112&lt;DC112,TRUE),IF(AND(DC112="",DB112&lt;&gt;""),TRUE))</formula>
    </cfRule>
    <cfRule type="expression" dxfId="962" priority="2204">
      <formula>IF(DB112&gt;=DC112,IF(DB112="",FALSE,TRUE))</formula>
    </cfRule>
  </conditionalFormatting>
  <conditionalFormatting sqref="DD112:DD113">
    <cfRule type="expression" dxfId="961" priority="2201">
      <formula>OR(IF(DD112&lt;DE112,TRUE),IF(AND(DE112="",DD112&lt;&gt;""),TRUE))</formula>
    </cfRule>
    <cfRule type="expression" dxfId="960" priority="2202">
      <formula>IF(DD112&gt;=DE112,IF(DD112="",FALSE,TRUE))</formula>
    </cfRule>
  </conditionalFormatting>
  <conditionalFormatting sqref="DD110">
    <cfRule type="expression" dxfId="959" priority="2197">
      <formula>OR(IF(DD110&lt;DE110,TRUE),IF(AND(DE110="",DD110&lt;&gt;""),TRUE))</formula>
    </cfRule>
    <cfRule type="expression" dxfId="958" priority="2198">
      <formula>IF(DD110&gt;=DE110,IF(DD110="",FALSE,TRUE))</formula>
    </cfRule>
  </conditionalFormatting>
  <conditionalFormatting sqref="DB110">
    <cfRule type="expression" dxfId="957" priority="2199">
      <formula>OR(IF(DB110&lt;DC110,TRUE),IF(AND(DC110="",DB110&lt;&gt;""),TRUE))</formula>
    </cfRule>
    <cfRule type="expression" dxfId="956" priority="2200">
      <formula>IF(DB110&gt;=DC110,IF(DB110="",FALSE,TRUE))</formula>
    </cfRule>
  </conditionalFormatting>
  <conditionalFormatting sqref="DI20:DI24 DK20:DK24">
    <cfRule type="expression" dxfId="955" priority="2193">
      <formula>OR(IF(DI20&lt;DJ20,TRUE),IF(AND(DJ20="",DI20&lt;&gt;""),TRUE))</formula>
    </cfRule>
    <cfRule type="expression" dxfId="954" priority="2194">
      <formula>IF(DI20&gt;=DJ20,IF(DI20="",FALSE,TRUE))</formula>
    </cfRule>
  </conditionalFormatting>
  <conditionalFormatting sqref="DI34:DI35">
    <cfRule type="expression" dxfId="953" priority="2189">
      <formula>OR(IF(DI34&lt;DJ34,TRUE),IF(AND(DJ34="",DI34&lt;&gt;""),TRUE))</formula>
    </cfRule>
    <cfRule type="expression" dxfId="952" priority="2190">
      <formula>IF(DI34&gt;=DJ34,IF(DI34="",FALSE,TRUE))</formula>
    </cfRule>
  </conditionalFormatting>
  <conditionalFormatting sqref="DJ36:DJ45">
    <cfRule type="expression" dxfId="951" priority="2179">
      <formula>OR(IF(DJ36&lt;DK36,TRUE),IF(AND(DK36="",DJ36&lt;&gt;""),TRUE))</formula>
    </cfRule>
    <cfRule type="expression" dxfId="950" priority="2180">
      <formula>IF(DJ36&gt;=DK36,IF(DJ36="",FALSE,TRUE))</formula>
    </cfRule>
  </conditionalFormatting>
  <conditionalFormatting sqref="DK34:DK35">
    <cfRule type="expression" dxfId="949" priority="2187">
      <formula>OR(IF(DK34&lt;DL34,TRUE),IF(AND(DL34="",DK34&lt;&gt;""),TRUE))</formula>
    </cfRule>
    <cfRule type="expression" dxfId="948" priority="2188">
      <formula>IF(DK34&gt;=DL34,IF(DK34="",FALSE,TRUE))</formula>
    </cfRule>
  </conditionalFormatting>
  <conditionalFormatting sqref="DI25">
    <cfRule type="expression" dxfId="947" priority="2185">
      <formula>OR(IF(DI25&lt;DJ25,TRUE),IF(AND(DJ25="",DI25&lt;&gt;""),TRUE))</formula>
    </cfRule>
    <cfRule type="expression" dxfId="946" priority="2186">
      <formula>IF(DI25&gt;=DJ25,IF(DI25="",FALSE,TRUE))</formula>
    </cfRule>
  </conditionalFormatting>
  <conditionalFormatting sqref="DK25">
    <cfRule type="expression" dxfId="945" priority="2183">
      <formula>OR(IF(DK25&lt;DL25,TRUE),IF(AND(DL25="",DK25&lt;&gt;""),TRUE))</formula>
    </cfRule>
    <cfRule type="expression" dxfId="944" priority="2184">
      <formula>IF(DK25&gt;=DL25,IF(DK25="",FALSE,TRUE))</formula>
    </cfRule>
  </conditionalFormatting>
  <conditionalFormatting sqref="DH36:DH45">
    <cfRule type="expression" dxfId="943" priority="2181">
      <formula>OR(IF(DH36&lt;DI36,TRUE),IF(AND(DI36="",DH36&lt;&gt;""),TRUE))</formula>
    </cfRule>
    <cfRule type="expression" dxfId="942" priority="2182">
      <formula>IF(DH36&gt;=DI36,IF(DH36="",FALSE,TRUE))</formula>
    </cfRule>
  </conditionalFormatting>
  <conditionalFormatting sqref="DI49:DI50">
    <cfRule type="expression" dxfId="941" priority="2177">
      <formula>OR(IF(DI49&lt;DJ49,TRUE),IF(AND(DJ49="",DI49&lt;&gt;""),TRUE))</formula>
    </cfRule>
    <cfRule type="expression" dxfId="940" priority="2178">
      <formula>IF(DI49&gt;=DJ49,IF(DI49="",FALSE,TRUE))</formula>
    </cfRule>
  </conditionalFormatting>
  <conditionalFormatting sqref="DK51:DK60">
    <cfRule type="expression" dxfId="939" priority="2171">
      <formula>OR(IF(DK51&lt;DL51,TRUE),IF(AND(DL51="",DK51&lt;&gt;""),TRUE))</formula>
    </cfRule>
    <cfRule type="expression" dxfId="938" priority="2172">
      <formula>IF(DK51&gt;=DL51,IF(DK51="",FALSE,TRUE))</formula>
    </cfRule>
  </conditionalFormatting>
  <conditionalFormatting sqref="DK49:DK50">
    <cfRule type="expression" dxfId="937" priority="2175">
      <formula>OR(IF(DK49&lt;DL49,TRUE),IF(AND(DL49="",DK49&lt;&gt;""),TRUE))</formula>
    </cfRule>
    <cfRule type="expression" dxfId="936" priority="2176">
      <formula>IF(DK49&gt;=DL49,IF(DK49="",FALSE,TRUE))</formula>
    </cfRule>
  </conditionalFormatting>
  <conditionalFormatting sqref="DI51:DI60">
    <cfRule type="expression" dxfId="935" priority="2173">
      <formula>OR(IF(DI51&lt;DJ51,TRUE),IF(AND(DJ51="",DI51&lt;&gt;""),TRUE))</formula>
    </cfRule>
    <cfRule type="expression" dxfId="934" priority="2174">
      <formula>IF(DI51&gt;=DJ51,IF(DI51="",FALSE,TRUE))</formula>
    </cfRule>
  </conditionalFormatting>
  <conditionalFormatting sqref="DI65:DI66">
    <cfRule type="expression" dxfId="933" priority="2169">
      <formula>OR(IF(DI65&lt;DJ65,TRUE),IF(AND(DJ65="",DI65&lt;&gt;""),TRUE))</formula>
    </cfRule>
    <cfRule type="expression" dxfId="932" priority="2170">
      <formula>IF(DI65&gt;=DJ65,IF(DI65="",FALSE,TRUE))</formula>
    </cfRule>
  </conditionalFormatting>
  <conditionalFormatting sqref="DK67:DK76">
    <cfRule type="expression" dxfId="931" priority="2163">
      <formula>OR(IF(DK67&lt;DL67,TRUE),IF(AND(DL67="",DK67&lt;&gt;""),TRUE))</formula>
    </cfRule>
    <cfRule type="expression" dxfId="930" priority="2164">
      <formula>IF(DK67&gt;=DL67,IF(DK67="",FALSE,TRUE))</formula>
    </cfRule>
  </conditionalFormatting>
  <conditionalFormatting sqref="DK65:DK66">
    <cfRule type="expression" dxfId="929" priority="2167">
      <formula>OR(IF(DK65&lt;DL65,TRUE),IF(AND(DL65="",DK65&lt;&gt;""),TRUE))</formula>
    </cfRule>
    <cfRule type="expression" dxfId="928" priority="2168">
      <formula>IF(DK65&gt;=DL65,IF(DK65="",FALSE,TRUE))</formula>
    </cfRule>
  </conditionalFormatting>
  <conditionalFormatting sqref="DI67:DI76">
    <cfRule type="expression" dxfId="927" priority="2165">
      <formula>OR(IF(DI67&lt;DJ67,TRUE),IF(AND(DJ67="",DI67&lt;&gt;""),TRUE))</formula>
    </cfRule>
    <cfRule type="expression" dxfId="926" priority="2166">
      <formula>IF(DI67&gt;=DJ67,IF(DI67="",FALSE,TRUE))</formula>
    </cfRule>
  </conditionalFormatting>
  <conditionalFormatting sqref="DI95:DI96">
    <cfRule type="expression" dxfId="925" priority="2161">
      <formula>OR(IF(DI95&lt;DJ95,TRUE),IF(AND(DJ95="",DI95&lt;&gt;""),TRUE))</formula>
    </cfRule>
    <cfRule type="expression" dxfId="924" priority="2162">
      <formula>IF(DI95&gt;=DJ95,IF(DI95="",FALSE,TRUE))</formula>
    </cfRule>
  </conditionalFormatting>
  <conditionalFormatting sqref="DK97:DK106">
    <cfRule type="expression" dxfId="923" priority="2155">
      <formula>OR(IF(DK97&lt;DL97,TRUE),IF(AND(DL97="",DK97&lt;&gt;""),TRUE))</formula>
    </cfRule>
    <cfRule type="expression" dxfId="922" priority="2156">
      <formula>IF(DK97&gt;=DL97,IF(DK97="",FALSE,TRUE))</formula>
    </cfRule>
  </conditionalFormatting>
  <conditionalFormatting sqref="DK95:DK96">
    <cfRule type="expression" dxfId="921" priority="2159">
      <formula>OR(IF(DK95&lt;DL95,TRUE),IF(AND(DL95="",DK95&lt;&gt;""),TRUE))</formula>
    </cfRule>
    <cfRule type="expression" dxfId="920" priority="2160">
      <formula>IF(DK95&gt;=DL95,IF(DK95="",FALSE,TRUE))</formula>
    </cfRule>
  </conditionalFormatting>
  <conditionalFormatting sqref="DI97:DI106">
    <cfRule type="expression" dxfId="919" priority="2157">
      <formula>OR(IF(DI97&lt;DJ97,TRUE),IF(AND(DJ97="",DI97&lt;&gt;""),TRUE))</formula>
    </cfRule>
    <cfRule type="expression" dxfId="918" priority="2158">
      <formula>IF(DI97&gt;=DJ97,IF(DI97="",FALSE,TRUE))</formula>
    </cfRule>
  </conditionalFormatting>
  <conditionalFormatting sqref="DK77">
    <cfRule type="expression" dxfId="917" priority="2151">
      <formula>OR(IF(DK77&lt;DL77,TRUE),IF(AND(DL77="",DK77&lt;&gt;""),TRUE))</formula>
    </cfRule>
    <cfRule type="expression" dxfId="916" priority="2152">
      <formula>IF(DK77&gt;=DL77,IF(DK77="",FALSE,TRUE))</formula>
    </cfRule>
  </conditionalFormatting>
  <conditionalFormatting sqref="DI77">
    <cfRule type="expression" dxfId="915" priority="2153">
      <formula>OR(IF(DI77&lt;DJ77,TRUE),IF(AND(DJ77="",DI77&lt;&gt;""),TRUE))</formula>
    </cfRule>
    <cfRule type="expression" dxfId="914" priority="2154">
      <formula>IF(DI77&gt;=DJ77,IF(DI77="",FALSE,TRUE))</formula>
    </cfRule>
  </conditionalFormatting>
  <conditionalFormatting sqref="DK78">
    <cfRule type="expression" dxfId="913" priority="2147">
      <formula>OR(IF(DK78&lt;DL78,TRUE),IF(AND(DL78="",DK78&lt;&gt;""),TRUE))</formula>
    </cfRule>
    <cfRule type="expression" dxfId="912" priority="2148">
      <formula>IF(DK78&gt;=DL78,IF(DK78="",FALSE,TRUE))</formula>
    </cfRule>
  </conditionalFormatting>
  <conditionalFormatting sqref="DI78">
    <cfRule type="expression" dxfId="911" priority="2149">
      <formula>OR(IF(DI78&lt;DJ78,TRUE),IF(AND(DJ78="",DI78&lt;&gt;""),TRUE))</formula>
    </cfRule>
    <cfRule type="expression" dxfId="910" priority="2150">
      <formula>IF(DI78&gt;=DJ78,IF(DI78="",FALSE,TRUE))</formula>
    </cfRule>
  </conditionalFormatting>
  <conditionalFormatting sqref="DK79">
    <cfRule type="expression" dxfId="909" priority="2143">
      <formula>OR(IF(DK79&lt;DL79,TRUE),IF(AND(DL79="",DK79&lt;&gt;""),TRUE))</formula>
    </cfRule>
    <cfRule type="expression" dxfId="908" priority="2144">
      <formula>IF(DK79&gt;=DL79,IF(DK79="",FALSE,TRUE))</formula>
    </cfRule>
  </conditionalFormatting>
  <conditionalFormatting sqref="DI79">
    <cfRule type="expression" dxfId="907" priority="2145">
      <formula>OR(IF(DI79&lt;DJ79,TRUE),IF(AND(DJ79="",DI79&lt;&gt;""),TRUE))</formula>
    </cfRule>
    <cfRule type="expression" dxfId="906" priority="2146">
      <formula>IF(DI79&gt;=DJ79,IF(DI79="",FALSE,TRUE))</formula>
    </cfRule>
  </conditionalFormatting>
  <conditionalFormatting sqref="DK80">
    <cfRule type="expression" dxfId="905" priority="2139">
      <formula>OR(IF(DK80&lt;DL80,TRUE),IF(AND(DL80="",DK80&lt;&gt;""),TRUE))</formula>
    </cfRule>
    <cfRule type="expression" dxfId="904" priority="2140">
      <formula>IF(DK80&gt;=DL80,IF(DK80="",FALSE,TRUE))</formula>
    </cfRule>
  </conditionalFormatting>
  <conditionalFormatting sqref="DI80">
    <cfRule type="expression" dxfId="903" priority="2141">
      <formula>OR(IF(DI80&lt;DJ80,TRUE),IF(AND(DJ80="",DI80&lt;&gt;""),TRUE))</formula>
    </cfRule>
    <cfRule type="expression" dxfId="902" priority="2142">
      <formula>IF(DI80&gt;=DJ80,IF(DI80="",FALSE,TRUE))</formula>
    </cfRule>
  </conditionalFormatting>
  <conditionalFormatting sqref="DK81">
    <cfRule type="expression" dxfId="901" priority="2135">
      <formula>OR(IF(DK81&lt;DL81,TRUE),IF(AND(DL81="",DK81&lt;&gt;""),TRUE))</formula>
    </cfRule>
    <cfRule type="expression" dxfId="900" priority="2136">
      <formula>IF(DK81&gt;=DL81,IF(DK81="",FALSE,TRUE))</formula>
    </cfRule>
  </conditionalFormatting>
  <conditionalFormatting sqref="DI81">
    <cfRule type="expression" dxfId="899" priority="2137">
      <formula>OR(IF(DI81&lt;DJ81,TRUE),IF(AND(DJ81="",DI81&lt;&gt;""),TRUE))</formula>
    </cfRule>
    <cfRule type="expression" dxfId="898" priority="2138">
      <formula>IF(DI81&gt;=DJ81,IF(DI81="",FALSE,TRUE))</formula>
    </cfRule>
  </conditionalFormatting>
  <conditionalFormatting sqref="DK82">
    <cfRule type="expression" dxfId="897" priority="2131">
      <formula>OR(IF(DK82&lt;DL82,TRUE),IF(AND(DL82="",DK82&lt;&gt;""),TRUE))</formula>
    </cfRule>
    <cfRule type="expression" dxfId="896" priority="2132">
      <formula>IF(DK82&gt;=DL82,IF(DK82="",FALSE,TRUE))</formula>
    </cfRule>
  </conditionalFormatting>
  <conditionalFormatting sqref="DI82">
    <cfRule type="expression" dxfId="895" priority="2133">
      <formula>OR(IF(DI82&lt;DJ82,TRUE),IF(AND(DJ82="",DI82&lt;&gt;""),TRUE))</formula>
    </cfRule>
    <cfRule type="expression" dxfId="894" priority="2134">
      <formula>IF(DI82&gt;=DJ82,IF(DI82="",FALSE,TRUE))</formula>
    </cfRule>
  </conditionalFormatting>
  <conditionalFormatting sqref="DK83">
    <cfRule type="expression" dxfId="893" priority="2127">
      <formula>OR(IF(DK83&lt;DL83,TRUE),IF(AND(DL83="",DK83&lt;&gt;""),TRUE))</formula>
    </cfRule>
    <cfRule type="expression" dxfId="892" priority="2128">
      <formula>IF(DK83&gt;=DL83,IF(DK83="",FALSE,TRUE))</formula>
    </cfRule>
  </conditionalFormatting>
  <conditionalFormatting sqref="DI83">
    <cfRule type="expression" dxfId="891" priority="2129">
      <formula>OR(IF(DI83&lt;DJ83,TRUE),IF(AND(DJ83="",DI83&lt;&gt;""),TRUE))</formula>
    </cfRule>
    <cfRule type="expression" dxfId="890" priority="2130">
      <formula>IF(DI83&gt;=DJ83,IF(DI83="",FALSE,TRUE))</formula>
    </cfRule>
  </conditionalFormatting>
  <conditionalFormatting sqref="DK84">
    <cfRule type="expression" dxfId="889" priority="2123">
      <formula>OR(IF(DK84&lt;DL84,TRUE),IF(AND(DL84="",DK84&lt;&gt;""),TRUE))</formula>
    </cfRule>
    <cfRule type="expression" dxfId="888" priority="2124">
      <formula>IF(DK84&gt;=DL84,IF(DK84="",FALSE,TRUE))</formula>
    </cfRule>
  </conditionalFormatting>
  <conditionalFormatting sqref="DI84">
    <cfRule type="expression" dxfId="887" priority="2125">
      <formula>OR(IF(DI84&lt;DJ84,TRUE),IF(AND(DJ84="",DI84&lt;&gt;""),TRUE))</formula>
    </cfRule>
    <cfRule type="expression" dxfId="886" priority="2126">
      <formula>IF(DI84&gt;=DJ84,IF(DI84="",FALSE,TRUE))</formula>
    </cfRule>
  </conditionalFormatting>
  <conditionalFormatting sqref="DK85">
    <cfRule type="expression" dxfId="885" priority="2119">
      <formula>OR(IF(DK85&lt;DL85,TRUE),IF(AND(DL85="",DK85&lt;&gt;""),TRUE))</formula>
    </cfRule>
    <cfRule type="expression" dxfId="884" priority="2120">
      <formula>IF(DK85&gt;=DL85,IF(DK85="",FALSE,TRUE))</formula>
    </cfRule>
  </conditionalFormatting>
  <conditionalFormatting sqref="DI85">
    <cfRule type="expression" dxfId="883" priority="2121">
      <formula>OR(IF(DI85&lt;DJ85,TRUE),IF(AND(DJ85="",DI85&lt;&gt;""),TRUE))</formula>
    </cfRule>
    <cfRule type="expression" dxfId="882" priority="2122">
      <formula>IF(DI85&gt;=DJ85,IF(DI85="",FALSE,TRUE))</formula>
    </cfRule>
  </conditionalFormatting>
  <conditionalFormatting sqref="DK86">
    <cfRule type="expression" dxfId="881" priority="2115">
      <formula>OR(IF(DK86&lt;DL86,TRUE),IF(AND(DL86="",DK86&lt;&gt;""),TRUE))</formula>
    </cfRule>
    <cfRule type="expression" dxfId="880" priority="2116">
      <formula>IF(DK86&gt;=DL86,IF(DK86="",FALSE,TRUE))</formula>
    </cfRule>
  </conditionalFormatting>
  <conditionalFormatting sqref="DI86">
    <cfRule type="expression" dxfId="879" priority="2117">
      <formula>OR(IF(DI86&lt;DJ86,TRUE),IF(AND(DJ86="",DI86&lt;&gt;""),TRUE))</formula>
    </cfRule>
    <cfRule type="expression" dxfId="878" priority="2118">
      <formula>IF(DI86&gt;=DJ86,IF(DI86="",FALSE,TRUE))</formula>
    </cfRule>
  </conditionalFormatting>
  <conditionalFormatting sqref="DK87">
    <cfRule type="expression" dxfId="877" priority="2111">
      <formula>OR(IF(DK87&lt;DL87,TRUE),IF(AND(DL87="",DK87&lt;&gt;""),TRUE))</formula>
    </cfRule>
    <cfRule type="expression" dxfId="876" priority="2112">
      <formula>IF(DK87&gt;=DL87,IF(DK87="",FALSE,TRUE))</formula>
    </cfRule>
  </conditionalFormatting>
  <conditionalFormatting sqref="DI87">
    <cfRule type="expression" dxfId="875" priority="2113">
      <formula>OR(IF(DI87&lt;DJ87,TRUE),IF(AND(DJ87="",DI87&lt;&gt;""),TRUE))</formula>
    </cfRule>
    <cfRule type="expression" dxfId="874" priority="2114">
      <formula>IF(DI87&gt;=DJ87,IF(DI87="",FALSE,TRUE))</formula>
    </cfRule>
  </conditionalFormatting>
  <conditionalFormatting sqref="DK88">
    <cfRule type="expression" dxfId="873" priority="2107">
      <formula>OR(IF(DK88&lt;DL88,TRUE),IF(AND(DL88="",DK88&lt;&gt;""),TRUE))</formula>
    </cfRule>
    <cfRule type="expression" dxfId="872" priority="2108">
      <formula>IF(DK88&gt;=DL88,IF(DK88="",FALSE,TRUE))</formula>
    </cfRule>
  </conditionalFormatting>
  <conditionalFormatting sqref="DI88">
    <cfRule type="expression" dxfId="871" priority="2109">
      <formula>OR(IF(DI88&lt;DJ88,TRUE),IF(AND(DJ88="",DI88&lt;&gt;""),TRUE))</formula>
    </cfRule>
    <cfRule type="expression" dxfId="870" priority="2110">
      <formula>IF(DI88&gt;=DJ88,IF(DI88="",FALSE,TRUE))</formula>
    </cfRule>
  </conditionalFormatting>
  <conditionalFormatting sqref="DK89:DK93">
    <cfRule type="expression" dxfId="869" priority="2103">
      <formula>OR(IF(DK89&lt;DL89,TRUE),IF(AND(DL89="",DK89&lt;&gt;""),TRUE))</formula>
    </cfRule>
    <cfRule type="expression" dxfId="868" priority="2104">
      <formula>IF(DK89&gt;=DL89,IF(DK89="",FALSE,TRUE))</formula>
    </cfRule>
  </conditionalFormatting>
  <conditionalFormatting sqref="DI89:DI93">
    <cfRule type="expression" dxfId="867" priority="2105">
      <formula>OR(IF(DI89&lt;DJ89,TRUE),IF(AND(DJ89="",DI89&lt;&gt;""),TRUE))</formula>
    </cfRule>
    <cfRule type="expression" dxfId="866" priority="2106">
      <formula>IF(DI89&gt;=DJ89,IF(DI89="",FALSE,TRUE))</formula>
    </cfRule>
  </conditionalFormatting>
  <conditionalFormatting sqref="DI26">
    <cfRule type="expression" dxfId="865" priority="2101">
      <formula>OR(IF(DI26&lt;DJ26,TRUE),IF(AND(DJ26="",DI26&lt;&gt;""),TRUE))</formula>
    </cfRule>
    <cfRule type="expression" dxfId="864" priority="2102">
      <formula>IF(DI26&gt;=DJ26,IF(DI26="",FALSE,TRUE))</formula>
    </cfRule>
  </conditionalFormatting>
  <conditionalFormatting sqref="DK26">
    <cfRule type="expression" dxfId="863" priority="2099">
      <formula>OR(IF(DK26&lt;DL26,TRUE),IF(AND(DL26="",DK26&lt;&gt;""),TRUE))</formula>
    </cfRule>
    <cfRule type="expression" dxfId="862" priority="2100">
      <formula>IF(DK26&gt;=DL26,IF(DK26="",FALSE,TRUE))</formula>
    </cfRule>
  </conditionalFormatting>
  <conditionalFormatting sqref="DI27">
    <cfRule type="expression" dxfId="861" priority="2097">
      <formula>OR(IF(DI27&lt;DJ27,TRUE),IF(AND(DJ27="",DI27&lt;&gt;""),TRUE))</formula>
    </cfRule>
    <cfRule type="expression" dxfId="860" priority="2098">
      <formula>IF(DI27&gt;=DJ27,IF(DI27="",FALSE,TRUE))</formula>
    </cfRule>
  </conditionalFormatting>
  <conditionalFormatting sqref="DK27">
    <cfRule type="expression" dxfId="859" priority="2095">
      <formula>OR(IF(DK27&lt;DL27,TRUE),IF(AND(DL27="",DK27&lt;&gt;""),TRUE))</formula>
    </cfRule>
    <cfRule type="expression" dxfId="858" priority="2096">
      <formula>IF(DK27&gt;=DL27,IF(DK27="",FALSE,TRUE))</formula>
    </cfRule>
  </conditionalFormatting>
  <conditionalFormatting sqref="DI28">
    <cfRule type="expression" dxfId="857" priority="2093">
      <formula>OR(IF(DI28&lt;DJ28,TRUE),IF(AND(DJ28="",DI28&lt;&gt;""),TRUE))</formula>
    </cfRule>
    <cfRule type="expression" dxfId="856" priority="2094">
      <formula>IF(DI28&gt;=DJ28,IF(DI28="",FALSE,TRUE))</formula>
    </cfRule>
  </conditionalFormatting>
  <conditionalFormatting sqref="DK28">
    <cfRule type="expression" dxfId="855" priority="2091">
      <formula>OR(IF(DK28&lt;DL28,TRUE),IF(AND(DL28="",DK28&lt;&gt;""),TRUE))</formula>
    </cfRule>
    <cfRule type="expression" dxfId="854" priority="2092">
      <formula>IF(DK28&gt;=DL28,IF(DK28="",FALSE,TRUE))</formula>
    </cfRule>
  </conditionalFormatting>
  <conditionalFormatting sqref="DI29">
    <cfRule type="expression" dxfId="853" priority="2089">
      <formula>OR(IF(DI29&lt;DJ29,TRUE),IF(AND(DJ29="",DI29&lt;&gt;""),TRUE))</formula>
    </cfRule>
    <cfRule type="expression" dxfId="852" priority="2090">
      <formula>IF(DI29&gt;=DJ29,IF(DI29="",FALSE,TRUE))</formula>
    </cfRule>
  </conditionalFormatting>
  <conditionalFormatting sqref="DK29">
    <cfRule type="expression" dxfId="851" priority="2087">
      <formula>OR(IF(DK29&lt;DL29,TRUE),IF(AND(DL29="",DK29&lt;&gt;""),TRUE))</formula>
    </cfRule>
    <cfRule type="expression" dxfId="850" priority="2088">
      <formula>IF(DK29&gt;=DL29,IF(DK29="",FALSE,TRUE))</formula>
    </cfRule>
  </conditionalFormatting>
  <conditionalFormatting sqref="DI30:DI31">
    <cfRule type="expression" dxfId="849" priority="2085">
      <formula>OR(IF(DI30&lt;DJ30,TRUE),IF(AND(DJ30="",DI30&lt;&gt;""),TRUE))</formula>
    </cfRule>
    <cfRule type="expression" dxfId="848" priority="2086">
      <formula>IF(DI30&gt;=DJ30,IF(DI30="",FALSE,TRUE))</formula>
    </cfRule>
  </conditionalFormatting>
  <conditionalFormatting sqref="DK30:DK31">
    <cfRule type="expression" dxfId="847" priority="2083">
      <formula>OR(IF(DK30&lt;DL30,TRUE),IF(AND(DL30="",DK30&lt;&gt;""),TRUE))</formula>
    </cfRule>
    <cfRule type="expression" dxfId="846" priority="2084">
      <formula>IF(DK30&gt;=DL30,IF(DK30="",FALSE,TRUE))</formula>
    </cfRule>
  </conditionalFormatting>
  <conditionalFormatting sqref="DI112:DI113">
    <cfRule type="expression" dxfId="845" priority="2081">
      <formula>OR(IF(DI112&lt;DJ112,TRUE),IF(AND(DJ112="",DI112&lt;&gt;""),TRUE))</formula>
    </cfRule>
    <cfRule type="expression" dxfId="844" priority="2082">
      <formula>IF(DI112&gt;=DJ112,IF(DI112="",FALSE,TRUE))</formula>
    </cfRule>
  </conditionalFormatting>
  <conditionalFormatting sqref="DK112:DK113">
    <cfRule type="expression" dxfId="843" priority="2079">
      <formula>OR(IF(DK112&lt;DL112,TRUE),IF(AND(DL112="",DK112&lt;&gt;""),TRUE))</formula>
    </cfRule>
    <cfRule type="expression" dxfId="842" priority="2080">
      <formula>IF(DK112&gt;=DL112,IF(DK112="",FALSE,TRUE))</formula>
    </cfRule>
  </conditionalFormatting>
  <conditionalFormatting sqref="DK110">
    <cfRule type="expression" dxfId="841" priority="2075">
      <formula>OR(IF(DK110&lt;DL110,TRUE),IF(AND(DL110="",DK110&lt;&gt;""),TRUE))</formula>
    </cfRule>
    <cfRule type="expression" dxfId="840" priority="2076">
      <formula>IF(DK110&gt;=DL110,IF(DK110="",FALSE,TRUE))</formula>
    </cfRule>
  </conditionalFormatting>
  <conditionalFormatting sqref="DI110">
    <cfRule type="expression" dxfId="839" priority="2077">
      <formula>OR(IF(DI110&lt;DJ110,TRUE),IF(AND(DJ110="",DI110&lt;&gt;""),TRUE))</formula>
    </cfRule>
    <cfRule type="expression" dxfId="838" priority="2078">
      <formula>IF(DI110&gt;=DJ110,IF(DI110="",FALSE,TRUE))</formula>
    </cfRule>
  </conditionalFormatting>
  <conditionalFormatting sqref="DP20:DP24 DR20:DR24">
    <cfRule type="expression" dxfId="837" priority="2071">
      <formula>OR(IF(DP20&lt;DQ20,TRUE),IF(AND(DQ20="",DP20&lt;&gt;""),TRUE))</formula>
    </cfRule>
    <cfRule type="expression" dxfId="836" priority="2072">
      <formula>IF(DP20&gt;=DQ20,IF(DP20="",FALSE,TRUE))</formula>
    </cfRule>
  </conditionalFormatting>
  <conditionalFormatting sqref="DP34:DP35">
    <cfRule type="expression" dxfId="835" priority="2067">
      <formula>OR(IF(DP34&lt;DQ34,TRUE),IF(AND(DQ34="",DP34&lt;&gt;""),TRUE))</formula>
    </cfRule>
    <cfRule type="expression" dxfId="834" priority="2068">
      <formula>IF(DP34&gt;=DQ34,IF(DP34="",FALSE,TRUE))</formula>
    </cfRule>
  </conditionalFormatting>
  <conditionalFormatting sqref="DQ36:DQ45">
    <cfRule type="expression" dxfId="833" priority="2057">
      <formula>OR(IF(DQ36&lt;DR36,TRUE),IF(AND(DR36="",DQ36&lt;&gt;""),TRUE))</formula>
    </cfRule>
    <cfRule type="expression" dxfId="832" priority="2058">
      <formula>IF(DQ36&gt;=DR36,IF(DQ36="",FALSE,TRUE))</formula>
    </cfRule>
  </conditionalFormatting>
  <conditionalFormatting sqref="DR34:DR35">
    <cfRule type="expression" dxfId="831" priority="2065">
      <formula>OR(IF(DR34&lt;DS34,TRUE),IF(AND(DS34="",DR34&lt;&gt;""),TRUE))</formula>
    </cfRule>
    <cfRule type="expression" dxfId="830" priority="2066">
      <formula>IF(DR34&gt;=DS34,IF(DR34="",FALSE,TRUE))</formula>
    </cfRule>
  </conditionalFormatting>
  <conditionalFormatting sqref="DP25">
    <cfRule type="expression" dxfId="829" priority="2063">
      <formula>OR(IF(DP25&lt;DQ25,TRUE),IF(AND(DQ25="",DP25&lt;&gt;""),TRUE))</formula>
    </cfRule>
    <cfRule type="expression" dxfId="828" priority="2064">
      <formula>IF(DP25&gt;=DQ25,IF(DP25="",FALSE,TRUE))</formula>
    </cfRule>
  </conditionalFormatting>
  <conditionalFormatting sqref="DR25">
    <cfRule type="expression" dxfId="827" priority="2061">
      <formula>OR(IF(DR25&lt;DS25,TRUE),IF(AND(DS25="",DR25&lt;&gt;""),TRUE))</formula>
    </cfRule>
    <cfRule type="expression" dxfId="826" priority="2062">
      <formula>IF(DR25&gt;=DS25,IF(DR25="",FALSE,TRUE))</formula>
    </cfRule>
  </conditionalFormatting>
  <conditionalFormatting sqref="DO36:DO45">
    <cfRule type="expression" dxfId="825" priority="2059">
      <formula>OR(IF(DO36&lt;DP36,TRUE),IF(AND(DP36="",DO36&lt;&gt;""),TRUE))</formula>
    </cfRule>
    <cfRule type="expression" dxfId="824" priority="2060">
      <formula>IF(DO36&gt;=DP36,IF(DO36="",FALSE,TRUE))</formula>
    </cfRule>
  </conditionalFormatting>
  <conditionalFormatting sqref="DP49:DP50">
    <cfRule type="expression" dxfId="823" priority="2055">
      <formula>OR(IF(DP49&lt;DQ49,TRUE),IF(AND(DQ49="",DP49&lt;&gt;""),TRUE))</formula>
    </cfRule>
    <cfRule type="expression" dxfId="822" priority="2056">
      <formula>IF(DP49&gt;=DQ49,IF(DP49="",FALSE,TRUE))</formula>
    </cfRule>
  </conditionalFormatting>
  <conditionalFormatting sqref="DR51:DR60">
    <cfRule type="expression" dxfId="821" priority="2049">
      <formula>OR(IF(DR51&lt;DS51,TRUE),IF(AND(DS51="",DR51&lt;&gt;""),TRUE))</formula>
    </cfRule>
    <cfRule type="expression" dxfId="820" priority="2050">
      <formula>IF(DR51&gt;=DS51,IF(DR51="",FALSE,TRUE))</formula>
    </cfRule>
  </conditionalFormatting>
  <conditionalFormatting sqref="DR49:DR50">
    <cfRule type="expression" dxfId="819" priority="2053">
      <formula>OR(IF(DR49&lt;DS49,TRUE),IF(AND(DS49="",DR49&lt;&gt;""),TRUE))</formula>
    </cfRule>
    <cfRule type="expression" dxfId="818" priority="2054">
      <formula>IF(DR49&gt;=DS49,IF(DR49="",FALSE,TRUE))</formula>
    </cfRule>
  </conditionalFormatting>
  <conditionalFormatting sqref="DP51:DP60">
    <cfRule type="expression" dxfId="817" priority="2051">
      <formula>OR(IF(DP51&lt;DQ51,TRUE),IF(AND(DQ51="",DP51&lt;&gt;""),TRUE))</formula>
    </cfRule>
    <cfRule type="expression" dxfId="816" priority="2052">
      <formula>IF(DP51&gt;=DQ51,IF(DP51="",FALSE,TRUE))</formula>
    </cfRule>
  </conditionalFormatting>
  <conditionalFormatting sqref="DP65:DP66">
    <cfRule type="expression" dxfId="815" priority="2047">
      <formula>OR(IF(DP65&lt;DQ65,TRUE),IF(AND(DQ65="",DP65&lt;&gt;""),TRUE))</formula>
    </cfRule>
    <cfRule type="expression" dxfId="814" priority="2048">
      <formula>IF(DP65&gt;=DQ65,IF(DP65="",FALSE,TRUE))</formula>
    </cfRule>
  </conditionalFormatting>
  <conditionalFormatting sqref="DR67:DR76">
    <cfRule type="expression" dxfId="813" priority="2041">
      <formula>OR(IF(DR67&lt;DS67,TRUE),IF(AND(DS67="",DR67&lt;&gt;""),TRUE))</formula>
    </cfRule>
    <cfRule type="expression" dxfId="812" priority="2042">
      <formula>IF(DR67&gt;=DS67,IF(DR67="",FALSE,TRUE))</formula>
    </cfRule>
  </conditionalFormatting>
  <conditionalFormatting sqref="DR65:DR66">
    <cfRule type="expression" dxfId="811" priority="2045">
      <formula>OR(IF(DR65&lt;DS65,TRUE),IF(AND(DS65="",DR65&lt;&gt;""),TRUE))</formula>
    </cfRule>
    <cfRule type="expression" dxfId="810" priority="2046">
      <formula>IF(DR65&gt;=DS65,IF(DR65="",FALSE,TRUE))</formula>
    </cfRule>
  </conditionalFormatting>
  <conditionalFormatting sqref="DP67:DP76">
    <cfRule type="expression" dxfId="809" priority="2043">
      <formula>OR(IF(DP67&lt;DQ67,TRUE),IF(AND(DQ67="",DP67&lt;&gt;""),TRUE))</formula>
    </cfRule>
    <cfRule type="expression" dxfId="808" priority="2044">
      <formula>IF(DP67&gt;=DQ67,IF(DP67="",FALSE,TRUE))</formula>
    </cfRule>
  </conditionalFormatting>
  <conditionalFormatting sqref="DP95:DP96">
    <cfRule type="expression" dxfId="807" priority="2039">
      <formula>OR(IF(DP95&lt;DQ95,TRUE),IF(AND(DQ95="",DP95&lt;&gt;""),TRUE))</formula>
    </cfRule>
    <cfRule type="expression" dxfId="806" priority="2040">
      <formula>IF(DP95&gt;=DQ95,IF(DP95="",FALSE,TRUE))</formula>
    </cfRule>
  </conditionalFormatting>
  <conditionalFormatting sqref="DR97:DR106">
    <cfRule type="expression" dxfId="805" priority="2033">
      <formula>OR(IF(DR97&lt;DS97,TRUE),IF(AND(DS97="",DR97&lt;&gt;""),TRUE))</formula>
    </cfRule>
    <cfRule type="expression" dxfId="804" priority="2034">
      <formula>IF(DR97&gt;=DS97,IF(DR97="",FALSE,TRUE))</formula>
    </cfRule>
  </conditionalFormatting>
  <conditionalFormatting sqref="DR95:DR96">
    <cfRule type="expression" dxfId="803" priority="2037">
      <formula>OR(IF(DR95&lt;DS95,TRUE),IF(AND(DS95="",DR95&lt;&gt;""),TRUE))</formula>
    </cfRule>
    <cfRule type="expression" dxfId="802" priority="2038">
      <formula>IF(DR95&gt;=DS95,IF(DR95="",FALSE,TRUE))</formula>
    </cfRule>
  </conditionalFormatting>
  <conditionalFormatting sqref="DP97:DP106">
    <cfRule type="expression" dxfId="801" priority="2035">
      <formula>OR(IF(DP97&lt;DQ97,TRUE),IF(AND(DQ97="",DP97&lt;&gt;""),TRUE))</formula>
    </cfRule>
    <cfRule type="expression" dxfId="800" priority="2036">
      <formula>IF(DP97&gt;=DQ97,IF(DP97="",FALSE,TRUE))</formula>
    </cfRule>
  </conditionalFormatting>
  <conditionalFormatting sqref="DR77">
    <cfRule type="expression" dxfId="799" priority="2029">
      <formula>OR(IF(DR77&lt;DS77,TRUE),IF(AND(DS77="",DR77&lt;&gt;""),TRUE))</formula>
    </cfRule>
    <cfRule type="expression" dxfId="798" priority="2030">
      <formula>IF(DR77&gt;=DS77,IF(DR77="",FALSE,TRUE))</formula>
    </cfRule>
  </conditionalFormatting>
  <conditionalFormatting sqref="DP77">
    <cfRule type="expression" dxfId="797" priority="2031">
      <formula>OR(IF(DP77&lt;DQ77,TRUE),IF(AND(DQ77="",DP77&lt;&gt;""),TRUE))</formula>
    </cfRule>
    <cfRule type="expression" dxfId="796" priority="2032">
      <formula>IF(DP77&gt;=DQ77,IF(DP77="",FALSE,TRUE))</formula>
    </cfRule>
  </conditionalFormatting>
  <conditionalFormatting sqref="DR78">
    <cfRule type="expression" dxfId="795" priority="2025">
      <formula>OR(IF(DR78&lt;DS78,TRUE),IF(AND(DS78="",DR78&lt;&gt;""),TRUE))</formula>
    </cfRule>
    <cfRule type="expression" dxfId="794" priority="2026">
      <formula>IF(DR78&gt;=DS78,IF(DR78="",FALSE,TRUE))</formula>
    </cfRule>
  </conditionalFormatting>
  <conditionalFormatting sqref="DP78">
    <cfRule type="expression" dxfId="793" priority="2027">
      <formula>OR(IF(DP78&lt;DQ78,TRUE),IF(AND(DQ78="",DP78&lt;&gt;""),TRUE))</formula>
    </cfRule>
    <cfRule type="expression" dxfId="792" priority="2028">
      <formula>IF(DP78&gt;=DQ78,IF(DP78="",FALSE,TRUE))</formula>
    </cfRule>
  </conditionalFormatting>
  <conditionalFormatting sqref="DR79">
    <cfRule type="expression" dxfId="791" priority="2021">
      <formula>OR(IF(DR79&lt;DS79,TRUE),IF(AND(DS79="",DR79&lt;&gt;""),TRUE))</formula>
    </cfRule>
    <cfRule type="expression" dxfId="790" priority="2022">
      <formula>IF(DR79&gt;=DS79,IF(DR79="",FALSE,TRUE))</formula>
    </cfRule>
  </conditionalFormatting>
  <conditionalFormatting sqref="DP79">
    <cfRule type="expression" dxfId="789" priority="2023">
      <formula>OR(IF(DP79&lt;DQ79,TRUE),IF(AND(DQ79="",DP79&lt;&gt;""),TRUE))</formula>
    </cfRule>
    <cfRule type="expression" dxfId="788" priority="2024">
      <formula>IF(DP79&gt;=DQ79,IF(DP79="",FALSE,TRUE))</formula>
    </cfRule>
  </conditionalFormatting>
  <conditionalFormatting sqref="DR80">
    <cfRule type="expression" dxfId="787" priority="2017">
      <formula>OR(IF(DR80&lt;DS80,TRUE),IF(AND(DS80="",DR80&lt;&gt;""),TRUE))</formula>
    </cfRule>
    <cfRule type="expression" dxfId="786" priority="2018">
      <formula>IF(DR80&gt;=DS80,IF(DR80="",FALSE,TRUE))</formula>
    </cfRule>
  </conditionalFormatting>
  <conditionalFormatting sqref="DP80">
    <cfRule type="expression" dxfId="785" priority="2019">
      <formula>OR(IF(DP80&lt;DQ80,TRUE),IF(AND(DQ80="",DP80&lt;&gt;""),TRUE))</formula>
    </cfRule>
    <cfRule type="expression" dxfId="784" priority="2020">
      <formula>IF(DP80&gt;=DQ80,IF(DP80="",FALSE,TRUE))</formula>
    </cfRule>
  </conditionalFormatting>
  <conditionalFormatting sqref="DR81">
    <cfRule type="expression" dxfId="783" priority="2013">
      <formula>OR(IF(DR81&lt;DS81,TRUE),IF(AND(DS81="",DR81&lt;&gt;""),TRUE))</formula>
    </cfRule>
    <cfRule type="expression" dxfId="782" priority="2014">
      <formula>IF(DR81&gt;=DS81,IF(DR81="",FALSE,TRUE))</formula>
    </cfRule>
  </conditionalFormatting>
  <conditionalFormatting sqref="DP81">
    <cfRule type="expression" dxfId="781" priority="2015">
      <formula>OR(IF(DP81&lt;DQ81,TRUE),IF(AND(DQ81="",DP81&lt;&gt;""),TRUE))</formula>
    </cfRule>
    <cfRule type="expression" dxfId="780" priority="2016">
      <formula>IF(DP81&gt;=DQ81,IF(DP81="",FALSE,TRUE))</formula>
    </cfRule>
  </conditionalFormatting>
  <conditionalFormatting sqref="DR82">
    <cfRule type="expression" dxfId="779" priority="2009">
      <formula>OR(IF(DR82&lt;DS82,TRUE),IF(AND(DS82="",DR82&lt;&gt;""),TRUE))</formula>
    </cfRule>
    <cfRule type="expression" dxfId="778" priority="2010">
      <formula>IF(DR82&gt;=DS82,IF(DR82="",FALSE,TRUE))</formula>
    </cfRule>
  </conditionalFormatting>
  <conditionalFormatting sqref="DP82">
    <cfRule type="expression" dxfId="777" priority="2011">
      <formula>OR(IF(DP82&lt;DQ82,TRUE),IF(AND(DQ82="",DP82&lt;&gt;""),TRUE))</formula>
    </cfRule>
    <cfRule type="expression" dxfId="776" priority="2012">
      <formula>IF(DP82&gt;=DQ82,IF(DP82="",FALSE,TRUE))</formula>
    </cfRule>
  </conditionalFormatting>
  <conditionalFormatting sqref="DR83">
    <cfRule type="expression" dxfId="775" priority="2005">
      <formula>OR(IF(DR83&lt;DS83,TRUE),IF(AND(DS83="",DR83&lt;&gt;""),TRUE))</formula>
    </cfRule>
    <cfRule type="expression" dxfId="774" priority="2006">
      <formula>IF(DR83&gt;=DS83,IF(DR83="",FALSE,TRUE))</formula>
    </cfRule>
  </conditionalFormatting>
  <conditionalFormatting sqref="DP83">
    <cfRule type="expression" dxfId="773" priority="2007">
      <formula>OR(IF(DP83&lt;DQ83,TRUE),IF(AND(DQ83="",DP83&lt;&gt;""),TRUE))</formula>
    </cfRule>
    <cfRule type="expression" dxfId="772" priority="2008">
      <formula>IF(DP83&gt;=DQ83,IF(DP83="",FALSE,TRUE))</formula>
    </cfRule>
  </conditionalFormatting>
  <conditionalFormatting sqref="DR84">
    <cfRule type="expression" dxfId="771" priority="2001">
      <formula>OR(IF(DR84&lt;DS84,TRUE),IF(AND(DS84="",DR84&lt;&gt;""),TRUE))</formula>
    </cfRule>
    <cfRule type="expression" dxfId="770" priority="2002">
      <formula>IF(DR84&gt;=DS84,IF(DR84="",FALSE,TRUE))</formula>
    </cfRule>
  </conditionalFormatting>
  <conditionalFormatting sqref="DP84">
    <cfRule type="expression" dxfId="769" priority="2003">
      <formula>OR(IF(DP84&lt;DQ84,TRUE),IF(AND(DQ84="",DP84&lt;&gt;""),TRUE))</formula>
    </cfRule>
    <cfRule type="expression" dxfId="768" priority="2004">
      <formula>IF(DP84&gt;=DQ84,IF(DP84="",FALSE,TRUE))</formula>
    </cfRule>
  </conditionalFormatting>
  <conditionalFormatting sqref="DR85">
    <cfRule type="expression" dxfId="767" priority="1997">
      <formula>OR(IF(DR85&lt;DS85,TRUE),IF(AND(DS85="",DR85&lt;&gt;""),TRUE))</formula>
    </cfRule>
    <cfRule type="expression" dxfId="766" priority="1998">
      <formula>IF(DR85&gt;=DS85,IF(DR85="",FALSE,TRUE))</formula>
    </cfRule>
  </conditionalFormatting>
  <conditionalFormatting sqref="DP85">
    <cfRule type="expression" dxfId="765" priority="1999">
      <formula>OR(IF(DP85&lt;DQ85,TRUE),IF(AND(DQ85="",DP85&lt;&gt;""),TRUE))</formula>
    </cfRule>
    <cfRule type="expression" dxfId="764" priority="2000">
      <formula>IF(DP85&gt;=DQ85,IF(DP85="",FALSE,TRUE))</formula>
    </cfRule>
  </conditionalFormatting>
  <conditionalFormatting sqref="DR86">
    <cfRule type="expression" dxfId="763" priority="1993">
      <formula>OR(IF(DR86&lt;DS86,TRUE),IF(AND(DS86="",DR86&lt;&gt;""),TRUE))</formula>
    </cfRule>
    <cfRule type="expression" dxfId="762" priority="1994">
      <formula>IF(DR86&gt;=DS86,IF(DR86="",FALSE,TRUE))</formula>
    </cfRule>
  </conditionalFormatting>
  <conditionalFormatting sqref="DP86">
    <cfRule type="expression" dxfId="761" priority="1995">
      <formula>OR(IF(DP86&lt;DQ86,TRUE),IF(AND(DQ86="",DP86&lt;&gt;""),TRUE))</formula>
    </cfRule>
    <cfRule type="expression" dxfId="760" priority="1996">
      <formula>IF(DP86&gt;=DQ86,IF(DP86="",FALSE,TRUE))</formula>
    </cfRule>
  </conditionalFormatting>
  <conditionalFormatting sqref="DR87">
    <cfRule type="expression" dxfId="759" priority="1989">
      <formula>OR(IF(DR87&lt;DS87,TRUE),IF(AND(DS87="",DR87&lt;&gt;""),TRUE))</formula>
    </cfRule>
    <cfRule type="expression" dxfId="758" priority="1990">
      <formula>IF(DR87&gt;=DS87,IF(DR87="",FALSE,TRUE))</formula>
    </cfRule>
  </conditionalFormatting>
  <conditionalFormatting sqref="DP87">
    <cfRule type="expression" dxfId="757" priority="1991">
      <formula>OR(IF(DP87&lt;DQ87,TRUE),IF(AND(DQ87="",DP87&lt;&gt;""),TRUE))</formula>
    </cfRule>
    <cfRule type="expression" dxfId="756" priority="1992">
      <formula>IF(DP87&gt;=DQ87,IF(DP87="",FALSE,TRUE))</formula>
    </cfRule>
  </conditionalFormatting>
  <conditionalFormatting sqref="DR88">
    <cfRule type="expression" dxfId="755" priority="1985">
      <formula>OR(IF(DR88&lt;DS88,TRUE),IF(AND(DS88="",DR88&lt;&gt;""),TRUE))</formula>
    </cfRule>
    <cfRule type="expression" dxfId="754" priority="1986">
      <formula>IF(DR88&gt;=DS88,IF(DR88="",FALSE,TRUE))</formula>
    </cfRule>
  </conditionalFormatting>
  <conditionalFormatting sqref="DP88">
    <cfRule type="expression" dxfId="753" priority="1987">
      <formula>OR(IF(DP88&lt;DQ88,TRUE),IF(AND(DQ88="",DP88&lt;&gt;""),TRUE))</formula>
    </cfRule>
    <cfRule type="expression" dxfId="752" priority="1988">
      <formula>IF(DP88&gt;=DQ88,IF(DP88="",FALSE,TRUE))</formula>
    </cfRule>
  </conditionalFormatting>
  <conditionalFormatting sqref="DR89:DR93">
    <cfRule type="expression" dxfId="751" priority="1981">
      <formula>OR(IF(DR89&lt;DS89,TRUE),IF(AND(DS89="",DR89&lt;&gt;""),TRUE))</formula>
    </cfRule>
    <cfRule type="expression" dxfId="750" priority="1982">
      <formula>IF(DR89&gt;=DS89,IF(DR89="",FALSE,TRUE))</formula>
    </cfRule>
  </conditionalFormatting>
  <conditionalFormatting sqref="DP89:DP93">
    <cfRule type="expression" dxfId="749" priority="1983">
      <formula>OR(IF(DP89&lt;DQ89,TRUE),IF(AND(DQ89="",DP89&lt;&gt;""),TRUE))</formula>
    </cfRule>
    <cfRule type="expression" dxfId="748" priority="1984">
      <formula>IF(DP89&gt;=DQ89,IF(DP89="",FALSE,TRUE))</formula>
    </cfRule>
  </conditionalFormatting>
  <conditionalFormatting sqref="DP26">
    <cfRule type="expression" dxfId="747" priority="1979">
      <formula>OR(IF(DP26&lt;DQ26,TRUE),IF(AND(DQ26="",DP26&lt;&gt;""),TRUE))</formula>
    </cfRule>
    <cfRule type="expression" dxfId="746" priority="1980">
      <formula>IF(DP26&gt;=DQ26,IF(DP26="",FALSE,TRUE))</formula>
    </cfRule>
  </conditionalFormatting>
  <conditionalFormatting sqref="DR26">
    <cfRule type="expression" dxfId="745" priority="1977">
      <formula>OR(IF(DR26&lt;DS26,TRUE),IF(AND(DS26="",DR26&lt;&gt;""),TRUE))</formula>
    </cfRule>
    <cfRule type="expression" dxfId="744" priority="1978">
      <formula>IF(DR26&gt;=DS26,IF(DR26="",FALSE,TRUE))</formula>
    </cfRule>
  </conditionalFormatting>
  <conditionalFormatting sqref="DP27">
    <cfRule type="expression" dxfId="743" priority="1975">
      <formula>OR(IF(DP27&lt;DQ27,TRUE),IF(AND(DQ27="",DP27&lt;&gt;""),TRUE))</formula>
    </cfRule>
    <cfRule type="expression" dxfId="742" priority="1976">
      <formula>IF(DP27&gt;=DQ27,IF(DP27="",FALSE,TRUE))</formula>
    </cfRule>
  </conditionalFormatting>
  <conditionalFormatting sqref="DR27">
    <cfRule type="expression" dxfId="741" priority="1973">
      <formula>OR(IF(DR27&lt;DS27,TRUE),IF(AND(DS27="",DR27&lt;&gt;""),TRUE))</formula>
    </cfRule>
    <cfRule type="expression" dxfId="740" priority="1974">
      <formula>IF(DR27&gt;=DS27,IF(DR27="",FALSE,TRUE))</formula>
    </cfRule>
  </conditionalFormatting>
  <conditionalFormatting sqref="DP28">
    <cfRule type="expression" dxfId="739" priority="1971">
      <formula>OR(IF(DP28&lt;DQ28,TRUE),IF(AND(DQ28="",DP28&lt;&gt;""),TRUE))</formula>
    </cfRule>
    <cfRule type="expression" dxfId="738" priority="1972">
      <formula>IF(DP28&gt;=DQ28,IF(DP28="",FALSE,TRUE))</formula>
    </cfRule>
  </conditionalFormatting>
  <conditionalFormatting sqref="DR28">
    <cfRule type="expression" dxfId="737" priority="1969">
      <formula>OR(IF(DR28&lt;DS28,TRUE),IF(AND(DS28="",DR28&lt;&gt;""),TRUE))</formula>
    </cfRule>
    <cfRule type="expression" dxfId="736" priority="1970">
      <formula>IF(DR28&gt;=DS28,IF(DR28="",FALSE,TRUE))</formula>
    </cfRule>
  </conditionalFormatting>
  <conditionalFormatting sqref="DP29">
    <cfRule type="expression" dxfId="735" priority="1967">
      <formula>OR(IF(DP29&lt;DQ29,TRUE),IF(AND(DQ29="",DP29&lt;&gt;""),TRUE))</formula>
    </cfRule>
    <cfRule type="expression" dxfId="734" priority="1968">
      <formula>IF(DP29&gt;=DQ29,IF(DP29="",FALSE,TRUE))</formula>
    </cfRule>
  </conditionalFormatting>
  <conditionalFormatting sqref="DR29">
    <cfRule type="expression" dxfId="733" priority="1965">
      <formula>OR(IF(DR29&lt;DS29,TRUE),IF(AND(DS29="",DR29&lt;&gt;""),TRUE))</formula>
    </cfRule>
    <cfRule type="expression" dxfId="732" priority="1966">
      <formula>IF(DR29&gt;=DS29,IF(DR29="",FALSE,TRUE))</formula>
    </cfRule>
  </conditionalFormatting>
  <conditionalFormatting sqref="DP30:DP31">
    <cfRule type="expression" dxfId="731" priority="1963">
      <formula>OR(IF(DP30&lt;DQ30,TRUE),IF(AND(DQ30="",DP30&lt;&gt;""),TRUE))</formula>
    </cfRule>
    <cfRule type="expression" dxfId="730" priority="1964">
      <formula>IF(DP30&gt;=DQ30,IF(DP30="",FALSE,TRUE))</formula>
    </cfRule>
  </conditionalFormatting>
  <conditionalFormatting sqref="DR30:DR31">
    <cfRule type="expression" dxfId="729" priority="1961">
      <formula>OR(IF(DR30&lt;DS30,TRUE),IF(AND(DS30="",DR30&lt;&gt;""),TRUE))</formula>
    </cfRule>
    <cfRule type="expression" dxfId="728" priority="1962">
      <formula>IF(DR30&gt;=DS30,IF(DR30="",FALSE,TRUE))</formula>
    </cfRule>
  </conditionalFormatting>
  <conditionalFormatting sqref="DP112:DP113">
    <cfRule type="expression" dxfId="727" priority="1959">
      <formula>OR(IF(DP112&lt;DQ112,TRUE),IF(AND(DQ112="",DP112&lt;&gt;""),TRUE))</formula>
    </cfRule>
    <cfRule type="expression" dxfId="726" priority="1960">
      <formula>IF(DP112&gt;=DQ112,IF(DP112="",FALSE,TRUE))</formula>
    </cfRule>
  </conditionalFormatting>
  <conditionalFormatting sqref="DR112:DR113">
    <cfRule type="expression" dxfId="725" priority="1957">
      <formula>OR(IF(DR112&lt;DS112,TRUE),IF(AND(DS112="",DR112&lt;&gt;""),TRUE))</formula>
    </cfRule>
    <cfRule type="expression" dxfId="724" priority="1958">
      <formula>IF(DR112&gt;=DS112,IF(DR112="",FALSE,TRUE))</formula>
    </cfRule>
  </conditionalFormatting>
  <conditionalFormatting sqref="DR110">
    <cfRule type="expression" dxfId="723" priority="1953">
      <formula>OR(IF(DR110&lt;DS110,TRUE),IF(AND(DS110="",DR110&lt;&gt;""),TRUE))</formula>
    </cfRule>
    <cfRule type="expression" dxfId="722" priority="1954">
      <formula>IF(DR110&gt;=DS110,IF(DR110="",FALSE,TRUE))</formula>
    </cfRule>
  </conditionalFormatting>
  <conditionalFormatting sqref="DP110">
    <cfRule type="expression" dxfId="721" priority="1955">
      <formula>OR(IF(DP110&lt;DQ110,TRUE),IF(AND(DQ110="",DP110&lt;&gt;""),TRUE))</formula>
    </cfRule>
    <cfRule type="expression" dxfId="720" priority="1956">
      <formula>IF(DP110&gt;=DQ110,IF(DP110="",FALSE,TRUE))</formula>
    </cfRule>
  </conditionalFormatting>
  <conditionalFormatting sqref="DW20:DW24 DY20:DY24">
    <cfRule type="expression" dxfId="719" priority="1949">
      <formula>OR(IF(DW20&lt;DX20,TRUE),IF(AND(DX20="",DW20&lt;&gt;""),TRUE))</formula>
    </cfRule>
    <cfRule type="expression" dxfId="718" priority="1950">
      <formula>IF(DW20&gt;=DX20,IF(DW20="",FALSE,TRUE))</formula>
    </cfRule>
  </conditionalFormatting>
  <conditionalFormatting sqref="DW34:DW35">
    <cfRule type="expression" dxfId="717" priority="1945">
      <formula>OR(IF(DW34&lt;DX34,TRUE),IF(AND(DX34="",DW34&lt;&gt;""),TRUE))</formula>
    </cfRule>
    <cfRule type="expression" dxfId="716" priority="1946">
      <formula>IF(DW34&gt;=DX34,IF(DW34="",FALSE,TRUE))</formula>
    </cfRule>
  </conditionalFormatting>
  <conditionalFormatting sqref="DX36:DX45">
    <cfRule type="expression" dxfId="715" priority="1935">
      <formula>OR(IF(DX36&lt;DY36,TRUE),IF(AND(DY36="",DX36&lt;&gt;""),TRUE))</formula>
    </cfRule>
    <cfRule type="expression" dxfId="714" priority="1936">
      <formula>IF(DX36&gt;=DY36,IF(DX36="",FALSE,TRUE))</formula>
    </cfRule>
  </conditionalFormatting>
  <conditionalFormatting sqref="DY34:DY35">
    <cfRule type="expression" dxfId="713" priority="1943">
      <formula>OR(IF(DY34&lt;DZ34,TRUE),IF(AND(DZ34="",DY34&lt;&gt;""),TRUE))</formula>
    </cfRule>
    <cfRule type="expression" dxfId="712" priority="1944">
      <formula>IF(DY34&gt;=DZ34,IF(DY34="",FALSE,TRUE))</formula>
    </cfRule>
  </conditionalFormatting>
  <conditionalFormatting sqref="DW25">
    <cfRule type="expression" dxfId="711" priority="1941">
      <formula>OR(IF(DW25&lt;DX25,TRUE),IF(AND(DX25="",DW25&lt;&gt;""),TRUE))</formula>
    </cfRule>
    <cfRule type="expression" dxfId="710" priority="1942">
      <formula>IF(DW25&gt;=DX25,IF(DW25="",FALSE,TRUE))</formula>
    </cfRule>
  </conditionalFormatting>
  <conditionalFormatting sqref="DY25">
    <cfRule type="expression" dxfId="709" priority="1939">
      <formula>OR(IF(DY25&lt;DZ25,TRUE),IF(AND(DZ25="",DY25&lt;&gt;""),TRUE))</formula>
    </cfRule>
    <cfRule type="expression" dxfId="708" priority="1940">
      <formula>IF(DY25&gt;=DZ25,IF(DY25="",FALSE,TRUE))</formula>
    </cfRule>
  </conditionalFormatting>
  <conditionalFormatting sqref="DV36:DV45">
    <cfRule type="expression" dxfId="707" priority="1937">
      <formula>OR(IF(DV36&lt;DW36,TRUE),IF(AND(DW36="",DV36&lt;&gt;""),TRUE))</formula>
    </cfRule>
    <cfRule type="expression" dxfId="706" priority="1938">
      <formula>IF(DV36&gt;=DW36,IF(DV36="",FALSE,TRUE))</formula>
    </cfRule>
  </conditionalFormatting>
  <conditionalFormatting sqref="DW49:DW50">
    <cfRule type="expression" dxfId="705" priority="1933">
      <formula>OR(IF(DW49&lt;DX49,TRUE),IF(AND(DX49="",DW49&lt;&gt;""),TRUE))</formula>
    </cfRule>
    <cfRule type="expression" dxfId="704" priority="1934">
      <formula>IF(DW49&gt;=DX49,IF(DW49="",FALSE,TRUE))</formula>
    </cfRule>
  </conditionalFormatting>
  <conditionalFormatting sqref="DY51:DY60">
    <cfRule type="expression" dxfId="703" priority="1927">
      <formula>OR(IF(DY51&lt;DZ51,TRUE),IF(AND(DZ51="",DY51&lt;&gt;""),TRUE))</formula>
    </cfRule>
    <cfRule type="expression" dxfId="702" priority="1928">
      <formula>IF(DY51&gt;=DZ51,IF(DY51="",FALSE,TRUE))</formula>
    </cfRule>
  </conditionalFormatting>
  <conditionalFormatting sqref="DY49:DY50">
    <cfRule type="expression" dxfId="701" priority="1931">
      <formula>OR(IF(DY49&lt;DZ49,TRUE),IF(AND(DZ49="",DY49&lt;&gt;""),TRUE))</formula>
    </cfRule>
    <cfRule type="expression" dxfId="700" priority="1932">
      <formula>IF(DY49&gt;=DZ49,IF(DY49="",FALSE,TRUE))</formula>
    </cfRule>
  </conditionalFormatting>
  <conditionalFormatting sqref="DW51:DW60">
    <cfRule type="expression" dxfId="699" priority="1929">
      <formula>OR(IF(DW51&lt;DX51,TRUE),IF(AND(DX51="",DW51&lt;&gt;""),TRUE))</formula>
    </cfRule>
    <cfRule type="expression" dxfId="698" priority="1930">
      <formula>IF(DW51&gt;=DX51,IF(DW51="",FALSE,TRUE))</formula>
    </cfRule>
  </conditionalFormatting>
  <conditionalFormatting sqref="DW65:DW66">
    <cfRule type="expression" dxfId="697" priority="1925">
      <formula>OR(IF(DW65&lt;DX65,TRUE),IF(AND(DX65="",DW65&lt;&gt;""),TRUE))</formula>
    </cfRule>
    <cfRule type="expression" dxfId="696" priority="1926">
      <formula>IF(DW65&gt;=DX65,IF(DW65="",FALSE,TRUE))</formula>
    </cfRule>
  </conditionalFormatting>
  <conditionalFormatting sqref="DY67:DY76">
    <cfRule type="expression" dxfId="695" priority="1919">
      <formula>OR(IF(DY67&lt;DZ67,TRUE),IF(AND(DZ67="",DY67&lt;&gt;""),TRUE))</formula>
    </cfRule>
    <cfRule type="expression" dxfId="694" priority="1920">
      <formula>IF(DY67&gt;=DZ67,IF(DY67="",FALSE,TRUE))</formula>
    </cfRule>
  </conditionalFormatting>
  <conditionalFormatting sqref="DY65:DY66">
    <cfRule type="expression" dxfId="693" priority="1923">
      <formula>OR(IF(DY65&lt;DZ65,TRUE),IF(AND(DZ65="",DY65&lt;&gt;""),TRUE))</formula>
    </cfRule>
    <cfRule type="expression" dxfId="692" priority="1924">
      <formula>IF(DY65&gt;=DZ65,IF(DY65="",FALSE,TRUE))</formula>
    </cfRule>
  </conditionalFormatting>
  <conditionalFormatting sqref="DW67:DW76">
    <cfRule type="expression" dxfId="691" priority="1921">
      <formula>OR(IF(DW67&lt;DX67,TRUE),IF(AND(DX67="",DW67&lt;&gt;""),TRUE))</formula>
    </cfRule>
    <cfRule type="expression" dxfId="690" priority="1922">
      <formula>IF(DW67&gt;=DX67,IF(DW67="",FALSE,TRUE))</formula>
    </cfRule>
  </conditionalFormatting>
  <conditionalFormatting sqref="DW95:DW96">
    <cfRule type="expression" dxfId="689" priority="1917">
      <formula>OR(IF(DW95&lt;DX95,TRUE),IF(AND(DX95="",DW95&lt;&gt;""),TRUE))</formula>
    </cfRule>
    <cfRule type="expression" dxfId="688" priority="1918">
      <formula>IF(DW95&gt;=DX95,IF(DW95="",FALSE,TRUE))</formula>
    </cfRule>
  </conditionalFormatting>
  <conditionalFormatting sqref="DY97:DY106">
    <cfRule type="expression" dxfId="687" priority="1911">
      <formula>OR(IF(DY97&lt;DZ97,TRUE),IF(AND(DZ97="",DY97&lt;&gt;""),TRUE))</formula>
    </cfRule>
    <cfRule type="expression" dxfId="686" priority="1912">
      <formula>IF(DY97&gt;=DZ97,IF(DY97="",FALSE,TRUE))</formula>
    </cfRule>
  </conditionalFormatting>
  <conditionalFormatting sqref="DY95:DY96">
    <cfRule type="expression" dxfId="685" priority="1915">
      <formula>OR(IF(DY95&lt;DZ95,TRUE),IF(AND(DZ95="",DY95&lt;&gt;""),TRUE))</formula>
    </cfRule>
    <cfRule type="expression" dxfId="684" priority="1916">
      <formula>IF(DY95&gt;=DZ95,IF(DY95="",FALSE,TRUE))</formula>
    </cfRule>
  </conditionalFormatting>
  <conditionalFormatting sqref="DW97:DW106">
    <cfRule type="expression" dxfId="683" priority="1913">
      <formula>OR(IF(DW97&lt;DX97,TRUE),IF(AND(DX97="",DW97&lt;&gt;""),TRUE))</formula>
    </cfRule>
    <cfRule type="expression" dxfId="682" priority="1914">
      <formula>IF(DW97&gt;=DX97,IF(DW97="",FALSE,TRUE))</formula>
    </cfRule>
  </conditionalFormatting>
  <conditionalFormatting sqref="DY77">
    <cfRule type="expression" dxfId="681" priority="1907">
      <formula>OR(IF(DY77&lt;DZ77,TRUE),IF(AND(DZ77="",DY77&lt;&gt;""),TRUE))</formula>
    </cfRule>
    <cfRule type="expression" dxfId="680" priority="1908">
      <formula>IF(DY77&gt;=DZ77,IF(DY77="",FALSE,TRUE))</formula>
    </cfRule>
  </conditionalFormatting>
  <conditionalFormatting sqref="DW77">
    <cfRule type="expression" dxfId="679" priority="1909">
      <formula>OR(IF(DW77&lt;DX77,TRUE),IF(AND(DX77="",DW77&lt;&gt;""),TRUE))</formula>
    </cfRule>
    <cfRule type="expression" dxfId="678" priority="1910">
      <formula>IF(DW77&gt;=DX77,IF(DW77="",FALSE,TRUE))</formula>
    </cfRule>
  </conditionalFormatting>
  <conditionalFormatting sqref="DY78">
    <cfRule type="expression" dxfId="677" priority="1903">
      <formula>OR(IF(DY78&lt;DZ78,TRUE),IF(AND(DZ78="",DY78&lt;&gt;""),TRUE))</formula>
    </cfRule>
    <cfRule type="expression" dxfId="676" priority="1904">
      <formula>IF(DY78&gt;=DZ78,IF(DY78="",FALSE,TRUE))</formula>
    </cfRule>
  </conditionalFormatting>
  <conditionalFormatting sqref="DW78">
    <cfRule type="expression" dxfId="675" priority="1905">
      <formula>OR(IF(DW78&lt;DX78,TRUE),IF(AND(DX78="",DW78&lt;&gt;""),TRUE))</formula>
    </cfRule>
    <cfRule type="expression" dxfId="674" priority="1906">
      <formula>IF(DW78&gt;=DX78,IF(DW78="",FALSE,TRUE))</formula>
    </cfRule>
  </conditionalFormatting>
  <conditionalFormatting sqref="DY79">
    <cfRule type="expression" dxfId="673" priority="1899">
      <formula>OR(IF(DY79&lt;DZ79,TRUE),IF(AND(DZ79="",DY79&lt;&gt;""),TRUE))</formula>
    </cfRule>
    <cfRule type="expression" dxfId="672" priority="1900">
      <formula>IF(DY79&gt;=DZ79,IF(DY79="",FALSE,TRUE))</formula>
    </cfRule>
  </conditionalFormatting>
  <conditionalFormatting sqref="DW79">
    <cfRule type="expression" dxfId="671" priority="1901">
      <formula>OR(IF(DW79&lt;DX79,TRUE),IF(AND(DX79="",DW79&lt;&gt;""),TRUE))</formula>
    </cfRule>
    <cfRule type="expression" dxfId="670" priority="1902">
      <formula>IF(DW79&gt;=DX79,IF(DW79="",FALSE,TRUE))</formula>
    </cfRule>
  </conditionalFormatting>
  <conditionalFormatting sqref="DY80">
    <cfRule type="expression" dxfId="669" priority="1895">
      <formula>OR(IF(DY80&lt;DZ80,TRUE),IF(AND(DZ80="",DY80&lt;&gt;""),TRUE))</formula>
    </cfRule>
    <cfRule type="expression" dxfId="668" priority="1896">
      <formula>IF(DY80&gt;=DZ80,IF(DY80="",FALSE,TRUE))</formula>
    </cfRule>
  </conditionalFormatting>
  <conditionalFormatting sqref="DW80">
    <cfRule type="expression" dxfId="667" priority="1897">
      <formula>OR(IF(DW80&lt;DX80,TRUE),IF(AND(DX80="",DW80&lt;&gt;""),TRUE))</formula>
    </cfRule>
    <cfRule type="expression" dxfId="666" priority="1898">
      <formula>IF(DW80&gt;=DX80,IF(DW80="",FALSE,TRUE))</formula>
    </cfRule>
  </conditionalFormatting>
  <conditionalFormatting sqref="DY81">
    <cfRule type="expression" dxfId="665" priority="1891">
      <formula>OR(IF(DY81&lt;DZ81,TRUE),IF(AND(DZ81="",DY81&lt;&gt;""),TRUE))</formula>
    </cfRule>
    <cfRule type="expression" dxfId="664" priority="1892">
      <formula>IF(DY81&gt;=DZ81,IF(DY81="",FALSE,TRUE))</formula>
    </cfRule>
  </conditionalFormatting>
  <conditionalFormatting sqref="DW81">
    <cfRule type="expression" dxfId="663" priority="1893">
      <formula>OR(IF(DW81&lt;DX81,TRUE),IF(AND(DX81="",DW81&lt;&gt;""),TRUE))</formula>
    </cfRule>
    <cfRule type="expression" dxfId="662" priority="1894">
      <formula>IF(DW81&gt;=DX81,IF(DW81="",FALSE,TRUE))</formula>
    </cfRule>
  </conditionalFormatting>
  <conditionalFormatting sqref="DY82">
    <cfRule type="expression" dxfId="661" priority="1887">
      <formula>OR(IF(DY82&lt;DZ82,TRUE),IF(AND(DZ82="",DY82&lt;&gt;""),TRUE))</formula>
    </cfRule>
    <cfRule type="expression" dxfId="660" priority="1888">
      <formula>IF(DY82&gt;=DZ82,IF(DY82="",FALSE,TRUE))</formula>
    </cfRule>
  </conditionalFormatting>
  <conditionalFormatting sqref="DW82">
    <cfRule type="expression" dxfId="659" priority="1889">
      <formula>OR(IF(DW82&lt;DX82,TRUE),IF(AND(DX82="",DW82&lt;&gt;""),TRUE))</formula>
    </cfRule>
    <cfRule type="expression" dxfId="658" priority="1890">
      <formula>IF(DW82&gt;=DX82,IF(DW82="",FALSE,TRUE))</formula>
    </cfRule>
  </conditionalFormatting>
  <conditionalFormatting sqref="DY83">
    <cfRule type="expression" dxfId="657" priority="1883">
      <formula>OR(IF(DY83&lt;DZ83,TRUE),IF(AND(DZ83="",DY83&lt;&gt;""),TRUE))</formula>
    </cfRule>
    <cfRule type="expression" dxfId="656" priority="1884">
      <formula>IF(DY83&gt;=DZ83,IF(DY83="",FALSE,TRUE))</formula>
    </cfRule>
  </conditionalFormatting>
  <conditionalFormatting sqref="DW83">
    <cfRule type="expression" dxfId="655" priority="1885">
      <formula>OR(IF(DW83&lt;DX83,TRUE),IF(AND(DX83="",DW83&lt;&gt;""),TRUE))</formula>
    </cfRule>
    <cfRule type="expression" dxfId="654" priority="1886">
      <formula>IF(DW83&gt;=DX83,IF(DW83="",FALSE,TRUE))</formula>
    </cfRule>
  </conditionalFormatting>
  <conditionalFormatting sqref="DY84">
    <cfRule type="expression" dxfId="653" priority="1879">
      <formula>OR(IF(DY84&lt;DZ84,TRUE),IF(AND(DZ84="",DY84&lt;&gt;""),TRUE))</formula>
    </cfRule>
    <cfRule type="expression" dxfId="652" priority="1880">
      <formula>IF(DY84&gt;=DZ84,IF(DY84="",FALSE,TRUE))</formula>
    </cfRule>
  </conditionalFormatting>
  <conditionalFormatting sqref="DW84">
    <cfRule type="expression" dxfId="651" priority="1881">
      <formula>OR(IF(DW84&lt;DX84,TRUE),IF(AND(DX84="",DW84&lt;&gt;""),TRUE))</formula>
    </cfRule>
    <cfRule type="expression" dxfId="650" priority="1882">
      <formula>IF(DW84&gt;=DX84,IF(DW84="",FALSE,TRUE))</formula>
    </cfRule>
  </conditionalFormatting>
  <conditionalFormatting sqref="DY85">
    <cfRule type="expression" dxfId="649" priority="1875">
      <formula>OR(IF(DY85&lt;DZ85,TRUE),IF(AND(DZ85="",DY85&lt;&gt;""),TRUE))</formula>
    </cfRule>
    <cfRule type="expression" dxfId="648" priority="1876">
      <formula>IF(DY85&gt;=DZ85,IF(DY85="",FALSE,TRUE))</formula>
    </cfRule>
  </conditionalFormatting>
  <conditionalFormatting sqref="DW85">
    <cfRule type="expression" dxfId="647" priority="1877">
      <formula>OR(IF(DW85&lt;DX85,TRUE),IF(AND(DX85="",DW85&lt;&gt;""),TRUE))</formula>
    </cfRule>
    <cfRule type="expression" dxfId="646" priority="1878">
      <formula>IF(DW85&gt;=DX85,IF(DW85="",FALSE,TRUE))</formula>
    </cfRule>
  </conditionalFormatting>
  <conditionalFormatting sqref="DY86">
    <cfRule type="expression" dxfId="645" priority="1871">
      <formula>OR(IF(DY86&lt;DZ86,TRUE),IF(AND(DZ86="",DY86&lt;&gt;""),TRUE))</formula>
    </cfRule>
    <cfRule type="expression" dxfId="644" priority="1872">
      <formula>IF(DY86&gt;=DZ86,IF(DY86="",FALSE,TRUE))</formula>
    </cfRule>
  </conditionalFormatting>
  <conditionalFormatting sqref="DW86">
    <cfRule type="expression" dxfId="643" priority="1873">
      <formula>OR(IF(DW86&lt;DX86,TRUE),IF(AND(DX86="",DW86&lt;&gt;""),TRUE))</formula>
    </cfRule>
    <cfRule type="expression" dxfId="642" priority="1874">
      <formula>IF(DW86&gt;=DX86,IF(DW86="",FALSE,TRUE))</formula>
    </cfRule>
  </conditionalFormatting>
  <conditionalFormatting sqref="DY87">
    <cfRule type="expression" dxfId="641" priority="1867">
      <formula>OR(IF(DY87&lt;DZ87,TRUE),IF(AND(DZ87="",DY87&lt;&gt;""),TRUE))</formula>
    </cfRule>
    <cfRule type="expression" dxfId="640" priority="1868">
      <formula>IF(DY87&gt;=DZ87,IF(DY87="",FALSE,TRUE))</formula>
    </cfRule>
  </conditionalFormatting>
  <conditionalFormatting sqref="DW87">
    <cfRule type="expression" dxfId="639" priority="1869">
      <formula>OR(IF(DW87&lt;DX87,TRUE),IF(AND(DX87="",DW87&lt;&gt;""),TRUE))</formula>
    </cfRule>
    <cfRule type="expression" dxfId="638" priority="1870">
      <formula>IF(DW87&gt;=DX87,IF(DW87="",FALSE,TRUE))</formula>
    </cfRule>
  </conditionalFormatting>
  <conditionalFormatting sqref="DY88">
    <cfRule type="expression" dxfId="637" priority="1863">
      <formula>OR(IF(DY88&lt;DZ88,TRUE),IF(AND(DZ88="",DY88&lt;&gt;""),TRUE))</formula>
    </cfRule>
    <cfRule type="expression" dxfId="636" priority="1864">
      <formula>IF(DY88&gt;=DZ88,IF(DY88="",FALSE,TRUE))</formula>
    </cfRule>
  </conditionalFormatting>
  <conditionalFormatting sqref="DW88">
    <cfRule type="expression" dxfId="635" priority="1865">
      <formula>OR(IF(DW88&lt;DX88,TRUE),IF(AND(DX88="",DW88&lt;&gt;""),TRUE))</formula>
    </cfRule>
    <cfRule type="expression" dxfId="634" priority="1866">
      <formula>IF(DW88&gt;=DX88,IF(DW88="",FALSE,TRUE))</formula>
    </cfRule>
  </conditionalFormatting>
  <conditionalFormatting sqref="DY89:DY93">
    <cfRule type="expression" dxfId="633" priority="1859">
      <formula>OR(IF(DY89&lt;DZ89,TRUE),IF(AND(DZ89="",DY89&lt;&gt;""),TRUE))</formula>
    </cfRule>
    <cfRule type="expression" dxfId="632" priority="1860">
      <formula>IF(DY89&gt;=DZ89,IF(DY89="",FALSE,TRUE))</formula>
    </cfRule>
  </conditionalFormatting>
  <conditionalFormatting sqref="DW89:DW93">
    <cfRule type="expression" dxfId="631" priority="1861">
      <formula>OR(IF(DW89&lt;DX89,TRUE),IF(AND(DX89="",DW89&lt;&gt;""),TRUE))</formula>
    </cfRule>
    <cfRule type="expression" dxfId="630" priority="1862">
      <formula>IF(DW89&gt;=DX89,IF(DW89="",FALSE,TRUE))</formula>
    </cfRule>
  </conditionalFormatting>
  <conditionalFormatting sqref="DW26">
    <cfRule type="expression" dxfId="629" priority="1857">
      <formula>OR(IF(DW26&lt;DX26,TRUE),IF(AND(DX26="",DW26&lt;&gt;""),TRUE))</formula>
    </cfRule>
    <cfRule type="expression" dxfId="628" priority="1858">
      <formula>IF(DW26&gt;=DX26,IF(DW26="",FALSE,TRUE))</formula>
    </cfRule>
  </conditionalFormatting>
  <conditionalFormatting sqref="DY26">
    <cfRule type="expression" dxfId="627" priority="1855">
      <formula>OR(IF(DY26&lt;DZ26,TRUE),IF(AND(DZ26="",DY26&lt;&gt;""),TRUE))</formula>
    </cfRule>
    <cfRule type="expression" dxfId="626" priority="1856">
      <formula>IF(DY26&gt;=DZ26,IF(DY26="",FALSE,TRUE))</formula>
    </cfRule>
  </conditionalFormatting>
  <conditionalFormatting sqref="DW27">
    <cfRule type="expression" dxfId="625" priority="1853">
      <formula>OR(IF(DW27&lt;DX27,TRUE),IF(AND(DX27="",DW27&lt;&gt;""),TRUE))</formula>
    </cfRule>
    <cfRule type="expression" dxfId="624" priority="1854">
      <formula>IF(DW27&gt;=DX27,IF(DW27="",FALSE,TRUE))</formula>
    </cfRule>
  </conditionalFormatting>
  <conditionalFormatting sqref="DY27">
    <cfRule type="expression" dxfId="623" priority="1851">
      <formula>OR(IF(DY27&lt;DZ27,TRUE),IF(AND(DZ27="",DY27&lt;&gt;""),TRUE))</formula>
    </cfRule>
    <cfRule type="expression" dxfId="622" priority="1852">
      <formula>IF(DY27&gt;=DZ27,IF(DY27="",FALSE,TRUE))</formula>
    </cfRule>
  </conditionalFormatting>
  <conditionalFormatting sqref="DW28">
    <cfRule type="expression" dxfId="621" priority="1849">
      <formula>OR(IF(DW28&lt;DX28,TRUE),IF(AND(DX28="",DW28&lt;&gt;""),TRUE))</formula>
    </cfRule>
    <cfRule type="expression" dxfId="620" priority="1850">
      <formula>IF(DW28&gt;=DX28,IF(DW28="",FALSE,TRUE))</formula>
    </cfRule>
  </conditionalFormatting>
  <conditionalFormatting sqref="DY28">
    <cfRule type="expression" dxfId="619" priority="1847">
      <formula>OR(IF(DY28&lt;DZ28,TRUE),IF(AND(DZ28="",DY28&lt;&gt;""),TRUE))</formula>
    </cfRule>
    <cfRule type="expression" dxfId="618" priority="1848">
      <formula>IF(DY28&gt;=DZ28,IF(DY28="",FALSE,TRUE))</formula>
    </cfRule>
  </conditionalFormatting>
  <conditionalFormatting sqref="DW29">
    <cfRule type="expression" dxfId="617" priority="1845">
      <formula>OR(IF(DW29&lt;DX29,TRUE),IF(AND(DX29="",DW29&lt;&gt;""),TRUE))</formula>
    </cfRule>
    <cfRule type="expression" dxfId="616" priority="1846">
      <formula>IF(DW29&gt;=DX29,IF(DW29="",FALSE,TRUE))</formula>
    </cfRule>
  </conditionalFormatting>
  <conditionalFormatting sqref="DY29">
    <cfRule type="expression" dxfId="615" priority="1843">
      <formula>OR(IF(DY29&lt;DZ29,TRUE),IF(AND(DZ29="",DY29&lt;&gt;""),TRUE))</formula>
    </cfRule>
    <cfRule type="expression" dxfId="614" priority="1844">
      <formula>IF(DY29&gt;=DZ29,IF(DY29="",FALSE,TRUE))</formula>
    </cfRule>
  </conditionalFormatting>
  <conditionalFormatting sqref="DW30:DW31">
    <cfRule type="expression" dxfId="613" priority="1841">
      <formula>OR(IF(DW30&lt;DX30,TRUE),IF(AND(DX30="",DW30&lt;&gt;""),TRUE))</formula>
    </cfRule>
    <cfRule type="expression" dxfId="612" priority="1842">
      <formula>IF(DW30&gt;=DX30,IF(DW30="",FALSE,TRUE))</formula>
    </cfRule>
  </conditionalFormatting>
  <conditionalFormatting sqref="DY30:DY31">
    <cfRule type="expression" dxfId="611" priority="1839">
      <formula>OR(IF(DY30&lt;DZ30,TRUE),IF(AND(DZ30="",DY30&lt;&gt;""),TRUE))</formula>
    </cfRule>
    <cfRule type="expression" dxfId="610" priority="1840">
      <formula>IF(DY30&gt;=DZ30,IF(DY30="",FALSE,TRUE))</formula>
    </cfRule>
  </conditionalFormatting>
  <conditionalFormatting sqref="DW112:DW113">
    <cfRule type="expression" dxfId="609" priority="1837">
      <formula>OR(IF(DW112&lt;DX112,TRUE),IF(AND(DX112="",DW112&lt;&gt;""),TRUE))</formula>
    </cfRule>
    <cfRule type="expression" dxfId="608" priority="1838">
      <formula>IF(DW112&gt;=DX112,IF(DW112="",FALSE,TRUE))</formula>
    </cfRule>
  </conditionalFormatting>
  <conditionalFormatting sqref="DY112:DY113">
    <cfRule type="expression" dxfId="607" priority="1835">
      <formula>OR(IF(DY112&lt;DZ112,TRUE),IF(AND(DZ112="",DY112&lt;&gt;""),TRUE))</formula>
    </cfRule>
    <cfRule type="expression" dxfId="606" priority="1836">
      <formula>IF(DY112&gt;=DZ112,IF(DY112="",FALSE,TRUE))</formula>
    </cfRule>
  </conditionalFormatting>
  <conditionalFormatting sqref="DY110">
    <cfRule type="expression" dxfId="605" priority="1831">
      <formula>OR(IF(DY110&lt;DZ110,TRUE),IF(AND(DZ110="",DY110&lt;&gt;""),TRUE))</formula>
    </cfRule>
    <cfRule type="expression" dxfId="604" priority="1832">
      <formula>IF(DY110&gt;=DZ110,IF(DY110="",FALSE,TRUE))</formula>
    </cfRule>
  </conditionalFormatting>
  <conditionalFormatting sqref="DW110">
    <cfRule type="expression" dxfId="603" priority="1833">
      <formula>OR(IF(DW110&lt;DX110,TRUE),IF(AND(DX110="",DW110&lt;&gt;""),TRUE))</formula>
    </cfRule>
    <cfRule type="expression" dxfId="602" priority="1834">
      <formula>IF(DW110&gt;=DX110,IF(DW110="",FALSE,TRUE))</formula>
    </cfRule>
  </conditionalFormatting>
  <conditionalFormatting sqref="ED20:ED24 EF20:EF24">
    <cfRule type="expression" dxfId="601" priority="1827">
      <formula>OR(IF(ED20&lt;EE20,TRUE),IF(AND(EE20="",ED20&lt;&gt;""),TRUE))</formula>
    </cfRule>
    <cfRule type="expression" dxfId="600" priority="1828">
      <formula>IF(ED20&gt;=EE20,IF(ED20="",FALSE,TRUE))</formula>
    </cfRule>
  </conditionalFormatting>
  <conditionalFormatting sqref="ED34:ED35">
    <cfRule type="expression" dxfId="599" priority="1823">
      <formula>OR(IF(ED34&lt;EE34,TRUE),IF(AND(EE34="",ED34&lt;&gt;""),TRUE))</formula>
    </cfRule>
    <cfRule type="expression" dxfId="598" priority="1824">
      <formula>IF(ED34&gt;=EE34,IF(ED34="",FALSE,TRUE))</formula>
    </cfRule>
  </conditionalFormatting>
  <conditionalFormatting sqref="EE36:EE45">
    <cfRule type="expression" dxfId="597" priority="1813">
      <formula>OR(IF(EE36&lt;EF36,TRUE),IF(AND(EF36="",EE36&lt;&gt;""),TRUE))</formula>
    </cfRule>
    <cfRule type="expression" dxfId="596" priority="1814">
      <formula>IF(EE36&gt;=EF36,IF(EE36="",FALSE,TRUE))</formula>
    </cfRule>
  </conditionalFormatting>
  <conditionalFormatting sqref="EF34:EF35">
    <cfRule type="expression" dxfId="595" priority="1821">
      <formula>OR(IF(EF34&lt;EG34,TRUE),IF(AND(EG34="",EF34&lt;&gt;""),TRUE))</formula>
    </cfRule>
    <cfRule type="expression" dxfId="594" priority="1822">
      <formula>IF(EF34&gt;=EG34,IF(EF34="",FALSE,TRUE))</formula>
    </cfRule>
  </conditionalFormatting>
  <conditionalFormatting sqref="ED25">
    <cfRule type="expression" dxfId="593" priority="1819">
      <formula>OR(IF(ED25&lt;EE25,TRUE),IF(AND(EE25="",ED25&lt;&gt;""),TRUE))</formula>
    </cfRule>
    <cfRule type="expression" dxfId="592" priority="1820">
      <formula>IF(ED25&gt;=EE25,IF(ED25="",FALSE,TRUE))</formula>
    </cfRule>
  </conditionalFormatting>
  <conditionalFormatting sqref="EF25">
    <cfRule type="expression" dxfId="591" priority="1817">
      <formula>OR(IF(EF25&lt;EG25,TRUE),IF(AND(EG25="",EF25&lt;&gt;""),TRUE))</formula>
    </cfRule>
    <cfRule type="expression" dxfId="590" priority="1818">
      <formula>IF(EF25&gt;=EG25,IF(EF25="",FALSE,TRUE))</formula>
    </cfRule>
  </conditionalFormatting>
  <conditionalFormatting sqref="EC36:EC45">
    <cfRule type="expression" dxfId="589" priority="1815">
      <formula>OR(IF(EC36&lt;ED36,TRUE),IF(AND(ED36="",EC36&lt;&gt;""),TRUE))</formula>
    </cfRule>
    <cfRule type="expression" dxfId="588" priority="1816">
      <formula>IF(EC36&gt;=ED36,IF(EC36="",FALSE,TRUE))</formula>
    </cfRule>
  </conditionalFormatting>
  <conditionalFormatting sqref="ED49:ED50">
    <cfRule type="expression" dxfId="587" priority="1811">
      <formula>OR(IF(ED49&lt;EE49,TRUE),IF(AND(EE49="",ED49&lt;&gt;""),TRUE))</formula>
    </cfRule>
    <cfRule type="expression" dxfId="586" priority="1812">
      <formula>IF(ED49&gt;=EE49,IF(ED49="",FALSE,TRUE))</formula>
    </cfRule>
  </conditionalFormatting>
  <conditionalFormatting sqref="EF51:EF60">
    <cfRule type="expression" dxfId="585" priority="1805">
      <formula>OR(IF(EF51&lt;EG51,TRUE),IF(AND(EG51="",EF51&lt;&gt;""),TRUE))</formula>
    </cfRule>
    <cfRule type="expression" dxfId="584" priority="1806">
      <formula>IF(EF51&gt;=EG51,IF(EF51="",FALSE,TRUE))</formula>
    </cfRule>
  </conditionalFormatting>
  <conditionalFormatting sqref="EF49:EF50">
    <cfRule type="expression" dxfId="583" priority="1809">
      <formula>OR(IF(EF49&lt;EG49,TRUE),IF(AND(EG49="",EF49&lt;&gt;""),TRUE))</formula>
    </cfRule>
    <cfRule type="expression" dxfId="582" priority="1810">
      <formula>IF(EF49&gt;=EG49,IF(EF49="",FALSE,TRUE))</formula>
    </cfRule>
  </conditionalFormatting>
  <conditionalFormatting sqref="ED51:ED60">
    <cfRule type="expression" dxfId="581" priority="1807">
      <formula>OR(IF(ED51&lt;EE51,TRUE),IF(AND(EE51="",ED51&lt;&gt;""),TRUE))</formula>
    </cfRule>
    <cfRule type="expression" dxfId="580" priority="1808">
      <formula>IF(ED51&gt;=EE51,IF(ED51="",FALSE,TRUE))</formula>
    </cfRule>
  </conditionalFormatting>
  <conditionalFormatting sqref="ED65:ED66">
    <cfRule type="expression" dxfId="579" priority="1803">
      <formula>OR(IF(ED65&lt;EE65,TRUE),IF(AND(EE65="",ED65&lt;&gt;""),TRUE))</formula>
    </cfRule>
    <cfRule type="expression" dxfId="578" priority="1804">
      <formula>IF(ED65&gt;=EE65,IF(ED65="",FALSE,TRUE))</formula>
    </cfRule>
  </conditionalFormatting>
  <conditionalFormatting sqref="EF67:EF76">
    <cfRule type="expression" dxfId="577" priority="1797">
      <formula>OR(IF(EF67&lt;EG67,TRUE),IF(AND(EG67="",EF67&lt;&gt;""),TRUE))</formula>
    </cfRule>
    <cfRule type="expression" dxfId="576" priority="1798">
      <formula>IF(EF67&gt;=EG67,IF(EF67="",FALSE,TRUE))</formula>
    </cfRule>
  </conditionalFormatting>
  <conditionalFormatting sqref="EF65:EF66">
    <cfRule type="expression" dxfId="575" priority="1801">
      <formula>OR(IF(EF65&lt;EG65,TRUE),IF(AND(EG65="",EF65&lt;&gt;""),TRUE))</formula>
    </cfRule>
    <cfRule type="expression" dxfId="574" priority="1802">
      <formula>IF(EF65&gt;=EG65,IF(EF65="",FALSE,TRUE))</formula>
    </cfRule>
  </conditionalFormatting>
  <conditionalFormatting sqref="ED67:ED76">
    <cfRule type="expression" dxfId="573" priority="1799">
      <formula>OR(IF(ED67&lt;EE67,TRUE),IF(AND(EE67="",ED67&lt;&gt;""),TRUE))</formula>
    </cfRule>
    <cfRule type="expression" dxfId="572" priority="1800">
      <formula>IF(ED67&gt;=EE67,IF(ED67="",FALSE,TRUE))</formula>
    </cfRule>
  </conditionalFormatting>
  <conditionalFormatting sqref="ED95:ED96">
    <cfRule type="expression" dxfId="571" priority="1795">
      <formula>OR(IF(ED95&lt;EE95,TRUE),IF(AND(EE95="",ED95&lt;&gt;""),TRUE))</formula>
    </cfRule>
    <cfRule type="expression" dxfId="570" priority="1796">
      <formula>IF(ED95&gt;=EE95,IF(ED95="",FALSE,TRUE))</formula>
    </cfRule>
  </conditionalFormatting>
  <conditionalFormatting sqref="EF97:EF106">
    <cfRule type="expression" dxfId="569" priority="1789">
      <formula>OR(IF(EF97&lt;EG97,TRUE),IF(AND(EG97="",EF97&lt;&gt;""),TRUE))</formula>
    </cfRule>
    <cfRule type="expression" dxfId="568" priority="1790">
      <formula>IF(EF97&gt;=EG97,IF(EF97="",FALSE,TRUE))</formula>
    </cfRule>
  </conditionalFormatting>
  <conditionalFormatting sqref="EF95:EF96">
    <cfRule type="expression" dxfId="567" priority="1793">
      <formula>OR(IF(EF95&lt;EG95,TRUE),IF(AND(EG95="",EF95&lt;&gt;""),TRUE))</formula>
    </cfRule>
    <cfRule type="expression" dxfId="566" priority="1794">
      <formula>IF(EF95&gt;=EG95,IF(EF95="",FALSE,TRUE))</formula>
    </cfRule>
  </conditionalFormatting>
  <conditionalFormatting sqref="ED97:ED106">
    <cfRule type="expression" dxfId="565" priority="1791">
      <formula>OR(IF(ED97&lt;EE97,TRUE),IF(AND(EE97="",ED97&lt;&gt;""),TRUE))</formula>
    </cfRule>
    <cfRule type="expression" dxfId="564" priority="1792">
      <formula>IF(ED97&gt;=EE97,IF(ED97="",FALSE,TRUE))</formula>
    </cfRule>
  </conditionalFormatting>
  <conditionalFormatting sqref="EF77">
    <cfRule type="expression" dxfId="563" priority="1785">
      <formula>OR(IF(EF77&lt;EG77,TRUE),IF(AND(EG77="",EF77&lt;&gt;""),TRUE))</formula>
    </cfRule>
    <cfRule type="expression" dxfId="562" priority="1786">
      <formula>IF(EF77&gt;=EG77,IF(EF77="",FALSE,TRUE))</formula>
    </cfRule>
  </conditionalFormatting>
  <conditionalFormatting sqref="ED77">
    <cfRule type="expression" dxfId="561" priority="1787">
      <formula>OR(IF(ED77&lt;EE77,TRUE),IF(AND(EE77="",ED77&lt;&gt;""),TRUE))</formula>
    </cfRule>
    <cfRule type="expression" dxfId="560" priority="1788">
      <formula>IF(ED77&gt;=EE77,IF(ED77="",FALSE,TRUE))</formula>
    </cfRule>
  </conditionalFormatting>
  <conditionalFormatting sqref="EF78">
    <cfRule type="expression" dxfId="559" priority="1781">
      <formula>OR(IF(EF78&lt;EG78,TRUE),IF(AND(EG78="",EF78&lt;&gt;""),TRUE))</formula>
    </cfRule>
    <cfRule type="expression" dxfId="558" priority="1782">
      <formula>IF(EF78&gt;=EG78,IF(EF78="",FALSE,TRUE))</formula>
    </cfRule>
  </conditionalFormatting>
  <conditionalFormatting sqref="ED78">
    <cfRule type="expression" dxfId="557" priority="1783">
      <formula>OR(IF(ED78&lt;EE78,TRUE),IF(AND(EE78="",ED78&lt;&gt;""),TRUE))</formula>
    </cfRule>
    <cfRule type="expression" dxfId="556" priority="1784">
      <formula>IF(ED78&gt;=EE78,IF(ED78="",FALSE,TRUE))</formula>
    </cfRule>
  </conditionalFormatting>
  <conditionalFormatting sqref="EF79">
    <cfRule type="expression" dxfId="555" priority="1777">
      <formula>OR(IF(EF79&lt;EG79,TRUE),IF(AND(EG79="",EF79&lt;&gt;""),TRUE))</formula>
    </cfRule>
    <cfRule type="expression" dxfId="554" priority="1778">
      <formula>IF(EF79&gt;=EG79,IF(EF79="",FALSE,TRUE))</formula>
    </cfRule>
  </conditionalFormatting>
  <conditionalFormatting sqref="ED79">
    <cfRule type="expression" dxfId="553" priority="1779">
      <formula>OR(IF(ED79&lt;EE79,TRUE),IF(AND(EE79="",ED79&lt;&gt;""),TRUE))</formula>
    </cfRule>
    <cfRule type="expression" dxfId="552" priority="1780">
      <formula>IF(ED79&gt;=EE79,IF(ED79="",FALSE,TRUE))</formula>
    </cfRule>
  </conditionalFormatting>
  <conditionalFormatting sqref="EF80">
    <cfRule type="expression" dxfId="551" priority="1773">
      <formula>OR(IF(EF80&lt;EG80,TRUE),IF(AND(EG80="",EF80&lt;&gt;""),TRUE))</formula>
    </cfRule>
    <cfRule type="expression" dxfId="550" priority="1774">
      <formula>IF(EF80&gt;=EG80,IF(EF80="",FALSE,TRUE))</formula>
    </cfRule>
  </conditionalFormatting>
  <conditionalFormatting sqref="ED80">
    <cfRule type="expression" dxfId="549" priority="1775">
      <formula>OR(IF(ED80&lt;EE80,TRUE),IF(AND(EE80="",ED80&lt;&gt;""),TRUE))</formula>
    </cfRule>
    <cfRule type="expression" dxfId="548" priority="1776">
      <formula>IF(ED80&gt;=EE80,IF(ED80="",FALSE,TRUE))</formula>
    </cfRule>
  </conditionalFormatting>
  <conditionalFormatting sqref="EF81">
    <cfRule type="expression" dxfId="547" priority="1769">
      <formula>OR(IF(EF81&lt;EG81,TRUE),IF(AND(EG81="",EF81&lt;&gt;""),TRUE))</formula>
    </cfRule>
    <cfRule type="expression" dxfId="546" priority="1770">
      <formula>IF(EF81&gt;=EG81,IF(EF81="",FALSE,TRUE))</formula>
    </cfRule>
  </conditionalFormatting>
  <conditionalFormatting sqref="ED81">
    <cfRule type="expression" dxfId="545" priority="1771">
      <formula>OR(IF(ED81&lt;EE81,TRUE),IF(AND(EE81="",ED81&lt;&gt;""),TRUE))</formula>
    </cfRule>
    <cfRule type="expression" dxfId="544" priority="1772">
      <formula>IF(ED81&gt;=EE81,IF(ED81="",FALSE,TRUE))</formula>
    </cfRule>
  </conditionalFormatting>
  <conditionalFormatting sqref="EF82">
    <cfRule type="expression" dxfId="543" priority="1765">
      <formula>OR(IF(EF82&lt;EG82,TRUE),IF(AND(EG82="",EF82&lt;&gt;""),TRUE))</formula>
    </cfRule>
    <cfRule type="expression" dxfId="542" priority="1766">
      <formula>IF(EF82&gt;=EG82,IF(EF82="",FALSE,TRUE))</formula>
    </cfRule>
  </conditionalFormatting>
  <conditionalFormatting sqref="ED82">
    <cfRule type="expression" dxfId="541" priority="1767">
      <formula>OR(IF(ED82&lt;EE82,TRUE),IF(AND(EE82="",ED82&lt;&gt;""),TRUE))</formula>
    </cfRule>
    <cfRule type="expression" dxfId="540" priority="1768">
      <formula>IF(ED82&gt;=EE82,IF(ED82="",FALSE,TRUE))</formula>
    </cfRule>
  </conditionalFormatting>
  <conditionalFormatting sqref="EF83">
    <cfRule type="expression" dxfId="539" priority="1761">
      <formula>OR(IF(EF83&lt;EG83,TRUE),IF(AND(EG83="",EF83&lt;&gt;""),TRUE))</formula>
    </cfRule>
    <cfRule type="expression" dxfId="538" priority="1762">
      <formula>IF(EF83&gt;=EG83,IF(EF83="",FALSE,TRUE))</formula>
    </cfRule>
  </conditionalFormatting>
  <conditionalFormatting sqref="ED83">
    <cfRule type="expression" dxfId="537" priority="1763">
      <formula>OR(IF(ED83&lt;EE83,TRUE),IF(AND(EE83="",ED83&lt;&gt;""),TRUE))</formula>
    </cfRule>
    <cfRule type="expression" dxfId="536" priority="1764">
      <formula>IF(ED83&gt;=EE83,IF(ED83="",FALSE,TRUE))</formula>
    </cfRule>
  </conditionalFormatting>
  <conditionalFormatting sqref="EF84">
    <cfRule type="expression" dxfId="535" priority="1757">
      <formula>OR(IF(EF84&lt;EG84,TRUE),IF(AND(EG84="",EF84&lt;&gt;""),TRUE))</formula>
    </cfRule>
    <cfRule type="expression" dxfId="534" priority="1758">
      <formula>IF(EF84&gt;=EG84,IF(EF84="",FALSE,TRUE))</formula>
    </cfRule>
  </conditionalFormatting>
  <conditionalFormatting sqref="ED84">
    <cfRule type="expression" dxfId="533" priority="1759">
      <formula>OR(IF(ED84&lt;EE84,TRUE),IF(AND(EE84="",ED84&lt;&gt;""),TRUE))</formula>
    </cfRule>
    <cfRule type="expression" dxfId="532" priority="1760">
      <formula>IF(ED84&gt;=EE84,IF(ED84="",FALSE,TRUE))</formula>
    </cfRule>
  </conditionalFormatting>
  <conditionalFormatting sqref="EF85">
    <cfRule type="expression" dxfId="531" priority="1753">
      <formula>OR(IF(EF85&lt;EG85,TRUE),IF(AND(EG85="",EF85&lt;&gt;""),TRUE))</formula>
    </cfRule>
    <cfRule type="expression" dxfId="530" priority="1754">
      <formula>IF(EF85&gt;=EG85,IF(EF85="",FALSE,TRUE))</formula>
    </cfRule>
  </conditionalFormatting>
  <conditionalFormatting sqref="ED85">
    <cfRule type="expression" dxfId="529" priority="1755">
      <formula>OR(IF(ED85&lt;EE85,TRUE),IF(AND(EE85="",ED85&lt;&gt;""),TRUE))</formula>
    </cfRule>
    <cfRule type="expression" dxfId="528" priority="1756">
      <formula>IF(ED85&gt;=EE85,IF(ED85="",FALSE,TRUE))</formula>
    </cfRule>
  </conditionalFormatting>
  <conditionalFormatting sqref="EF86">
    <cfRule type="expression" dxfId="527" priority="1749">
      <formula>OR(IF(EF86&lt;EG86,TRUE),IF(AND(EG86="",EF86&lt;&gt;""),TRUE))</formula>
    </cfRule>
    <cfRule type="expression" dxfId="526" priority="1750">
      <formula>IF(EF86&gt;=EG86,IF(EF86="",FALSE,TRUE))</formula>
    </cfRule>
  </conditionalFormatting>
  <conditionalFormatting sqref="ED86">
    <cfRule type="expression" dxfId="525" priority="1751">
      <formula>OR(IF(ED86&lt;EE86,TRUE),IF(AND(EE86="",ED86&lt;&gt;""),TRUE))</formula>
    </cfRule>
    <cfRule type="expression" dxfId="524" priority="1752">
      <formula>IF(ED86&gt;=EE86,IF(ED86="",FALSE,TRUE))</formula>
    </cfRule>
  </conditionalFormatting>
  <conditionalFormatting sqref="EF87">
    <cfRule type="expression" dxfId="523" priority="1745">
      <formula>OR(IF(EF87&lt;EG87,TRUE),IF(AND(EG87="",EF87&lt;&gt;""),TRUE))</formula>
    </cfRule>
    <cfRule type="expression" dxfId="522" priority="1746">
      <formula>IF(EF87&gt;=EG87,IF(EF87="",FALSE,TRUE))</formula>
    </cfRule>
  </conditionalFormatting>
  <conditionalFormatting sqref="ED87">
    <cfRule type="expression" dxfId="521" priority="1747">
      <formula>OR(IF(ED87&lt;EE87,TRUE),IF(AND(EE87="",ED87&lt;&gt;""),TRUE))</formula>
    </cfRule>
    <cfRule type="expression" dxfId="520" priority="1748">
      <formula>IF(ED87&gt;=EE87,IF(ED87="",FALSE,TRUE))</formula>
    </cfRule>
  </conditionalFormatting>
  <conditionalFormatting sqref="EF88">
    <cfRule type="expression" dxfId="519" priority="1741">
      <formula>OR(IF(EF88&lt;EG88,TRUE),IF(AND(EG88="",EF88&lt;&gt;""),TRUE))</formula>
    </cfRule>
    <cfRule type="expression" dxfId="518" priority="1742">
      <formula>IF(EF88&gt;=EG88,IF(EF88="",FALSE,TRUE))</formula>
    </cfRule>
  </conditionalFormatting>
  <conditionalFormatting sqref="ED88">
    <cfRule type="expression" dxfId="517" priority="1743">
      <formula>OR(IF(ED88&lt;EE88,TRUE),IF(AND(EE88="",ED88&lt;&gt;""),TRUE))</formula>
    </cfRule>
    <cfRule type="expression" dxfId="516" priority="1744">
      <formula>IF(ED88&gt;=EE88,IF(ED88="",FALSE,TRUE))</formula>
    </cfRule>
  </conditionalFormatting>
  <conditionalFormatting sqref="EF89:EF93">
    <cfRule type="expression" dxfId="515" priority="1737">
      <formula>OR(IF(EF89&lt;EG89,TRUE),IF(AND(EG89="",EF89&lt;&gt;""),TRUE))</formula>
    </cfRule>
    <cfRule type="expression" dxfId="514" priority="1738">
      <formula>IF(EF89&gt;=EG89,IF(EF89="",FALSE,TRUE))</formula>
    </cfRule>
  </conditionalFormatting>
  <conditionalFormatting sqref="ED89:ED93">
    <cfRule type="expression" dxfId="513" priority="1739">
      <formula>OR(IF(ED89&lt;EE89,TRUE),IF(AND(EE89="",ED89&lt;&gt;""),TRUE))</formula>
    </cfRule>
    <cfRule type="expression" dxfId="512" priority="1740">
      <formula>IF(ED89&gt;=EE89,IF(ED89="",FALSE,TRUE))</formula>
    </cfRule>
  </conditionalFormatting>
  <conditionalFormatting sqref="ED26">
    <cfRule type="expression" dxfId="511" priority="1735">
      <formula>OR(IF(ED26&lt;EE26,TRUE),IF(AND(EE26="",ED26&lt;&gt;""),TRUE))</formula>
    </cfRule>
    <cfRule type="expression" dxfId="510" priority="1736">
      <formula>IF(ED26&gt;=EE26,IF(ED26="",FALSE,TRUE))</formula>
    </cfRule>
  </conditionalFormatting>
  <conditionalFormatting sqref="EF26">
    <cfRule type="expression" dxfId="509" priority="1733">
      <formula>OR(IF(EF26&lt;EG26,TRUE),IF(AND(EG26="",EF26&lt;&gt;""),TRUE))</formula>
    </cfRule>
    <cfRule type="expression" dxfId="508" priority="1734">
      <formula>IF(EF26&gt;=EG26,IF(EF26="",FALSE,TRUE))</formula>
    </cfRule>
  </conditionalFormatting>
  <conditionalFormatting sqref="ED27">
    <cfRule type="expression" dxfId="507" priority="1731">
      <formula>OR(IF(ED27&lt;EE27,TRUE),IF(AND(EE27="",ED27&lt;&gt;""),TRUE))</formula>
    </cfRule>
    <cfRule type="expression" dxfId="506" priority="1732">
      <formula>IF(ED27&gt;=EE27,IF(ED27="",FALSE,TRUE))</formula>
    </cfRule>
  </conditionalFormatting>
  <conditionalFormatting sqref="EF27">
    <cfRule type="expression" dxfId="505" priority="1729">
      <formula>OR(IF(EF27&lt;EG27,TRUE),IF(AND(EG27="",EF27&lt;&gt;""),TRUE))</formula>
    </cfRule>
    <cfRule type="expression" dxfId="504" priority="1730">
      <formula>IF(EF27&gt;=EG27,IF(EF27="",FALSE,TRUE))</formula>
    </cfRule>
  </conditionalFormatting>
  <conditionalFormatting sqref="ED28">
    <cfRule type="expression" dxfId="503" priority="1727">
      <formula>OR(IF(ED28&lt;EE28,TRUE),IF(AND(EE28="",ED28&lt;&gt;""),TRUE))</formula>
    </cfRule>
    <cfRule type="expression" dxfId="502" priority="1728">
      <formula>IF(ED28&gt;=EE28,IF(ED28="",FALSE,TRUE))</formula>
    </cfRule>
  </conditionalFormatting>
  <conditionalFormatting sqref="EF28">
    <cfRule type="expression" dxfId="501" priority="1725">
      <formula>OR(IF(EF28&lt;EG28,TRUE),IF(AND(EG28="",EF28&lt;&gt;""),TRUE))</formula>
    </cfRule>
    <cfRule type="expression" dxfId="500" priority="1726">
      <formula>IF(EF28&gt;=EG28,IF(EF28="",FALSE,TRUE))</formula>
    </cfRule>
  </conditionalFormatting>
  <conditionalFormatting sqref="ED29">
    <cfRule type="expression" dxfId="499" priority="1723">
      <formula>OR(IF(ED29&lt;EE29,TRUE),IF(AND(EE29="",ED29&lt;&gt;""),TRUE))</formula>
    </cfRule>
    <cfRule type="expression" dxfId="498" priority="1724">
      <formula>IF(ED29&gt;=EE29,IF(ED29="",FALSE,TRUE))</formula>
    </cfRule>
  </conditionalFormatting>
  <conditionalFormatting sqref="EF29">
    <cfRule type="expression" dxfId="497" priority="1721">
      <formula>OR(IF(EF29&lt;EG29,TRUE),IF(AND(EG29="",EF29&lt;&gt;""),TRUE))</formula>
    </cfRule>
    <cfRule type="expression" dxfId="496" priority="1722">
      <formula>IF(EF29&gt;=EG29,IF(EF29="",FALSE,TRUE))</formula>
    </cfRule>
  </conditionalFormatting>
  <conditionalFormatting sqref="ED30:ED31">
    <cfRule type="expression" dxfId="495" priority="1719">
      <formula>OR(IF(ED30&lt;EE30,TRUE),IF(AND(EE30="",ED30&lt;&gt;""),TRUE))</formula>
    </cfRule>
    <cfRule type="expression" dxfId="494" priority="1720">
      <formula>IF(ED30&gt;=EE30,IF(ED30="",FALSE,TRUE))</formula>
    </cfRule>
  </conditionalFormatting>
  <conditionalFormatting sqref="EF30:EF31">
    <cfRule type="expression" dxfId="493" priority="1717">
      <formula>OR(IF(EF30&lt;EG30,TRUE),IF(AND(EG30="",EF30&lt;&gt;""),TRUE))</formula>
    </cfRule>
    <cfRule type="expression" dxfId="492" priority="1718">
      <formula>IF(EF30&gt;=EG30,IF(EF30="",FALSE,TRUE))</formula>
    </cfRule>
  </conditionalFormatting>
  <conditionalFormatting sqref="ED112:ED113">
    <cfRule type="expression" dxfId="491" priority="1715">
      <formula>OR(IF(ED112&lt;EE112,TRUE),IF(AND(EE112="",ED112&lt;&gt;""),TRUE))</formula>
    </cfRule>
    <cfRule type="expression" dxfId="490" priority="1716">
      <formula>IF(ED112&gt;=EE112,IF(ED112="",FALSE,TRUE))</formula>
    </cfRule>
  </conditionalFormatting>
  <conditionalFormatting sqref="EF112:EF113">
    <cfRule type="expression" dxfId="489" priority="1713">
      <formula>OR(IF(EF112&lt;EG112,TRUE),IF(AND(EG112="",EF112&lt;&gt;""),TRUE))</formula>
    </cfRule>
    <cfRule type="expression" dxfId="488" priority="1714">
      <formula>IF(EF112&gt;=EG112,IF(EF112="",FALSE,TRUE))</formula>
    </cfRule>
  </conditionalFormatting>
  <conditionalFormatting sqref="EF110">
    <cfRule type="expression" dxfId="487" priority="1709">
      <formula>OR(IF(EF110&lt;EG110,TRUE),IF(AND(EG110="",EF110&lt;&gt;""),TRUE))</formula>
    </cfRule>
    <cfRule type="expression" dxfId="486" priority="1710">
      <formula>IF(EF110&gt;=EG110,IF(EF110="",FALSE,TRUE))</formula>
    </cfRule>
  </conditionalFormatting>
  <conditionalFormatting sqref="ED110">
    <cfRule type="expression" dxfId="485" priority="1711">
      <formula>OR(IF(ED110&lt;EE110,TRUE),IF(AND(EE110="",ED110&lt;&gt;""),TRUE))</formula>
    </cfRule>
    <cfRule type="expression" dxfId="484" priority="1712">
      <formula>IF(ED110&gt;=EE110,IF(ED110="",FALSE,TRUE))</formula>
    </cfRule>
  </conditionalFormatting>
  <conditionalFormatting sqref="AX20:AX24 AZ20:AZ24">
    <cfRule type="expression" dxfId="483" priority="485">
      <formula>OR(IF(AX20&lt;AY20,TRUE),IF(AND(AY20="",AX20&lt;&gt;""),TRUE))</formula>
    </cfRule>
    <cfRule type="expression" dxfId="482" priority="486">
      <formula>IF(AX20&gt;=AY20,IF(AX20="",FALSE,TRUE))</formula>
    </cfRule>
  </conditionalFormatting>
  <conditionalFormatting sqref="AX34:AX35">
    <cfRule type="expression" dxfId="481" priority="481">
      <formula>OR(IF(AX34&lt;AY34,TRUE),IF(AND(AY34="",AX34&lt;&gt;""),TRUE))</formula>
    </cfRule>
    <cfRule type="expression" dxfId="480" priority="482">
      <formula>IF(AX34&gt;=AY34,IF(AX34="",FALSE,TRUE))</formula>
    </cfRule>
  </conditionalFormatting>
  <conditionalFormatting sqref="AZ34:AZ35">
    <cfRule type="expression" dxfId="479" priority="479">
      <formula>OR(IF(AZ34&lt;BA34,TRUE),IF(AND(BA34="",AZ34&lt;&gt;""),TRUE))</formula>
    </cfRule>
    <cfRule type="expression" dxfId="478" priority="480">
      <formula>IF(AZ34&gt;=BA34,IF(AZ34="",FALSE,TRUE))</formula>
    </cfRule>
  </conditionalFormatting>
  <conditionalFormatting sqref="AY36:AY45">
    <cfRule type="expression" dxfId="477" priority="471">
      <formula>OR(IF(AY36&lt;AZ36,TRUE),IF(AND(AZ36="",AY36&lt;&gt;""),TRUE))</formula>
    </cfRule>
    <cfRule type="expression" dxfId="476" priority="472">
      <formula>IF(AY36&gt;=AZ36,IF(AY36="",FALSE,TRUE))</formula>
    </cfRule>
  </conditionalFormatting>
  <conditionalFormatting sqref="AX25">
    <cfRule type="expression" dxfId="475" priority="477">
      <formula>OR(IF(AX25&lt;AY25,TRUE),IF(AND(AY25="",AX25&lt;&gt;""),TRUE))</formula>
    </cfRule>
    <cfRule type="expression" dxfId="474" priority="478">
      <formula>IF(AX25&gt;=AY25,IF(AX25="",FALSE,TRUE))</formula>
    </cfRule>
  </conditionalFormatting>
  <conditionalFormatting sqref="AZ25">
    <cfRule type="expression" dxfId="473" priority="475">
      <formula>OR(IF(AZ25&lt;BA25,TRUE),IF(AND(BA25="",AZ25&lt;&gt;""),TRUE))</formula>
    </cfRule>
    <cfRule type="expression" dxfId="472" priority="476">
      <formula>IF(AZ25&gt;=BA25,IF(AZ25="",FALSE,TRUE))</formula>
    </cfRule>
  </conditionalFormatting>
  <conditionalFormatting sqref="AW36:AW45">
    <cfRule type="expression" dxfId="471" priority="473">
      <formula>OR(IF(AW36&lt;AX36,TRUE),IF(AND(AX36="",AW36&lt;&gt;""),TRUE))</formula>
    </cfRule>
    <cfRule type="expression" dxfId="470" priority="474">
      <formula>IF(AW36&gt;=AX36,IF(AW36="",FALSE,TRUE))</formula>
    </cfRule>
  </conditionalFormatting>
  <conditionalFormatting sqref="AX49:AX50">
    <cfRule type="expression" dxfId="469" priority="469">
      <formula>OR(IF(AX49&lt;AY49,TRUE),IF(AND(AY49="",AX49&lt;&gt;""),TRUE))</formula>
    </cfRule>
    <cfRule type="expression" dxfId="468" priority="470">
      <formula>IF(AX49&gt;=AY49,IF(AX49="",FALSE,TRUE))</formula>
    </cfRule>
  </conditionalFormatting>
  <conditionalFormatting sqref="AZ49:AZ50">
    <cfRule type="expression" dxfId="467" priority="467">
      <formula>OR(IF(AZ49&lt;BA49,TRUE),IF(AND(BA49="",AZ49&lt;&gt;""),TRUE))</formula>
    </cfRule>
    <cfRule type="expression" dxfId="466" priority="468">
      <formula>IF(AZ49&gt;=BA49,IF(AZ49="",FALSE,TRUE))</formula>
    </cfRule>
  </conditionalFormatting>
  <conditionalFormatting sqref="AZ51:AZ60">
    <cfRule type="expression" dxfId="465" priority="463">
      <formula>OR(IF(AZ51&lt;BA51,TRUE),IF(AND(BA51="",AZ51&lt;&gt;""),TRUE))</formula>
    </cfRule>
    <cfRule type="expression" dxfId="464" priority="464">
      <formula>IF(AZ51&gt;=BA51,IF(AZ51="",FALSE,TRUE))</formula>
    </cfRule>
  </conditionalFormatting>
  <conditionalFormatting sqref="AX51:AX60">
    <cfRule type="expression" dxfId="463" priority="465">
      <formula>OR(IF(AX51&lt;AY51,TRUE),IF(AND(AY51="",AX51&lt;&gt;""),TRUE))</formula>
    </cfRule>
    <cfRule type="expression" dxfId="462" priority="466">
      <formula>IF(AX51&gt;=AY51,IF(AX51="",FALSE,TRUE))</formula>
    </cfRule>
  </conditionalFormatting>
  <conditionalFormatting sqref="AX65:AX66">
    <cfRule type="expression" dxfId="461" priority="461">
      <formula>OR(IF(AX65&lt;AY65,TRUE),IF(AND(AY65="",AX65&lt;&gt;""),TRUE))</formula>
    </cfRule>
    <cfRule type="expression" dxfId="460" priority="462">
      <formula>IF(AX65&gt;=AY65,IF(AX65="",FALSE,TRUE))</formula>
    </cfRule>
  </conditionalFormatting>
  <conditionalFormatting sqref="AZ65:AZ66">
    <cfRule type="expression" dxfId="459" priority="459">
      <formula>OR(IF(AZ65&lt;BA65,TRUE),IF(AND(BA65="",AZ65&lt;&gt;""),TRUE))</formula>
    </cfRule>
    <cfRule type="expression" dxfId="458" priority="460">
      <formula>IF(AZ65&gt;=BA65,IF(AZ65="",FALSE,TRUE))</formula>
    </cfRule>
  </conditionalFormatting>
  <conditionalFormatting sqref="AZ67:AZ76">
    <cfRule type="expression" dxfId="457" priority="455">
      <formula>OR(IF(AZ67&lt;BA67,TRUE),IF(AND(BA67="",AZ67&lt;&gt;""),TRUE))</formula>
    </cfRule>
    <cfRule type="expression" dxfId="456" priority="456">
      <formula>IF(AZ67&gt;=BA67,IF(AZ67="",FALSE,TRUE))</formula>
    </cfRule>
  </conditionalFormatting>
  <conditionalFormatting sqref="AX67:AX76">
    <cfRule type="expression" dxfId="455" priority="457">
      <formula>OR(IF(AX67&lt;AY67,TRUE),IF(AND(AY67="",AX67&lt;&gt;""),TRUE))</formula>
    </cfRule>
    <cfRule type="expression" dxfId="454" priority="458">
      <formula>IF(AX67&gt;=AY67,IF(AX67="",FALSE,TRUE))</formula>
    </cfRule>
  </conditionalFormatting>
  <conditionalFormatting sqref="AX95:AX96">
    <cfRule type="expression" dxfId="453" priority="453">
      <formula>OR(IF(AX95&lt;AY95,TRUE),IF(AND(AY95="",AX95&lt;&gt;""),TRUE))</formula>
    </cfRule>
    <cfRule type="expression" dxfId="452" priority="454">
      <formula>IF(AX95&gt;=AY95,IF(AX95="",FALSE,TRUE))</formula>
    </cfRule>
  </conditionalFormatting>
  <conditionalFormatting sqref="AZ95:AZ96">
    <cfRule type="expression" dxfId="451" priority="451">
      <formula>OR(IF(AZ95&lt;BA95,TRUE),IF(AND(BA95="",AZ95&lt;&gt;""),TRUE))</formula>
    </cfRule>
    <cfRule type="expression" dxfId="450" priority="452">
      <formula>IF(AZ95&gt;=BA95,IF(AZ95="",FALSE,TRUE))</formula>
    </cfRule>
  </conditionalFormatting>
  <conditionalFormatting sqref="AZ97:AZ106">
    <cfRule type="expression" dxfId="449" priority="447">
      <formula>OR(IF(AZ97&lt;BA97,TRUE),IF(AND(BA97="",AZ97&lt;&gt;""),TRUE))</formula>
    </cfRule>
    <cfRule type="expression" dxfId="448" priority="448">
      <formula>IF(AZ97&gt;=BA97,IF(AZ97="",FALSE,TRUE))</formula>
    </cfRule>
  </conditionalFormatting>
  <conditionalFormatting sqref="AX97:AX106">
    <cfRule type="expression" dxfId="447" priority="449">
      <formula>OR(IF(AX97&lt;AY97,TRUE),IF(AND(AY97="",AX97&lt;&gt;""),TRUE))</formula>
    </cfRule>
    <cfRule type="expression" dxfId="446" priority="450">
      <formula>IF(AX97&gt;=AY97,IF(AX97="",FALSE,TRUE))</formula>
    </cfRule>
  </conditionalFormatting>
  <conditionalFormatting sqref="AZ77">
    <cfRule type="expression" dxfId="445" priority="443">
      <formula>OR(IF(AZ77&lt;BA77,TRUE),IF(AND(BA77="",AZ77&lt;&gt;""),TRUE))</formula>
    </cfRule>
    <cfRule type="expression" dxfId="444" priority="444">
      <formula>IF(AZ77&gt;=BA77,IF(AZ77="",FALSE,TRUE))</formula>
    </cfRule>
  </conditionalFormatting>
  <conditionalFormatting sqref="AX77">
    <cfRule type="expression" dxfId="443" priority="445">
      <formula>OR(IF(AX77&lt;AY77,TRUE),IF(AND(AY77="",AX77&lt;&gt;""),TRUE))</formula>
    </cfRule>
    <cfRule type="expression" dxfId="442" priority="446">
      <formula>IF(AX77&gt;=AY77,IF(AX77="",FALSE,TRUE))</formula>
    </cfRule>
  </conditionalFormatting>
  <conditionalFormatting sqref="AZ78">
    <cfRule type="expression" dxfId="441" priority="439">
      <formula>OR(IF(AZ78&lt;BA78,TRUE),IF(AND(BA78="",AZ78&lt;&gt;""),TRUE))</formula>
    </cfRule>
    <cfRule type="expression" dxfId="440" priority="440">
      <formula>IF(AZ78&gt;=BA78,IF(AZ78="",FALSE,TRUE))</formula>
    </cfRule>
  </conditionalFormatting>
  <conditionalFormatting sqref="AX78">
    <cfRule type="expression" dxfId="439" priority="441">
      <formula>OR(IF(AX78&lt;AY78,TRUE),IF(AND(AY78="",AX78&lt;&gt;""),TRUE))</formula>
    </cfRule>
    <cfRule type="expression" dxfId="438" priority="442">
      <formula>IF(AX78&gt;=AY78,IF(AX78="",FALSE,TRUE))</formula>
    </cfRule>
  </conditionalFormatting>
  <conditionalFormatting sqref="AZ79">
    <cfRule type="expression" dxfId="437" priority="435">
      <formula>OR(IF(AZ79&lt;BA79,TRUE),IF(AND(BA79="",AZ79&lt;&gt;""),TRUE))</formula>
    </cfRule>
    <cfRule type="expression" dxfId="436" priority="436">
      <formula>IF(AZ79&gt;=BA79,IF(AZ79="",FALSE,TRUE))</formula>
    </cfRule>
  </conditionalFormatting>
  <conditionalFormatting sqref="AX79">
    <cfRule type="expression" dxfId="435" priority="437">
      <formula>OR(IF(AX79&lt;AY79,TRUE),IF(AND(AY79="",AX79&lt;&gt;""),TRUE))</formula>
    </cfRule>
    <cfRule type="expression" dxfId="434" priority="438">
      <formula>IF(AX79&gt;=AY79,IF(AX79="",FALSE,TRUE))</formula>
    </cfRule>
  </conditionalFormatting>
  <conditionalFormatting sqref="AZ80">
    <cfRule type="expression" dxfId="433" priority="431">
      <formula>OR(IF(AZ80&lt;BA80,TRUE),IF(AND(BA80="",AZ80&lt;&gt;""),TRUE))</formula>
    </cfRule>
    <cfRule type="expression" dxfId="432" priority="432">
      <formula>IF(AZ80&gt;=BA80,IF(AZ80="",FALSE,TRUE))</formula>
    </cfRule>
  </conditionalFormatting>
  <conditionalFormatting sqref="AX80">
    <cfRule type="expression" dxfId="431" priority="433">
      <formula>OR(IF(AX80&lt;AY80,TRUE),IF(AND(AY80="",AX80&lt;&gt;""),TRUE))</formula>
    </cfRule>
    <cfRule type="expression" dxfId="430" priority="434">
      <formula>IF(AX80&gt;=AY80,IF(AX80="",FALSE,TRUE))</formula>
    </cfRule>
  </conditionalFormatting>
  <conditionalFormatting sqref="AZ81">
    <cfRule type="expression" dxfId="429" priority="427">
      <formula>OR(IF(AZ81&lt;BA81,TRUE),IF(AND(BA81="",AZ81&lt;&gt;""),TRUE))</formula>
    </cfRule>
    <cfRule type="expression" dxfId="428" priority="428">
      <formula>IF(AZ81&gt;=BA81,IF(AZ81="",FALSE,TRUE))</formula>
    </cfRule>
  </conditionalFormatting>
  <conditionalFormatting sqref="AX81">
    <cfRule type="expression" dxfId="427" priority="429">
      <formula>OR(IF(AX81&lt;AY81,TRUE),IF(AND(AY81="",AX81&lt;&gt;""),TRUE))</formula>
    </cfRule>
    <cfRule type="expression" dxfId="426" priority="430">
      <formula>IF(AX81&gt;=AY81,IF(AX81="",FALSE,TRUE))</formula>
    </cfRule>
  </conditionalFormatting>
  <conditionalFormatting sqref="AZ82">
    <cfRule type="expression" dxfId="425" priority="423">
      <formula>OR(IF(AZ82&lt;BA82,TRUE),IF(AND(BA82="",AZ82&lt;&gt;""),TRUE))</formula>
    </cfRule>
    <cfRule type="expression" dxfId="424" priority="424">
      <formula>IF(AZ82&gt;=BA82,IF(AZ82="",FALSE,TRUE))</formula>
    </cfRule>
  </conditionalFormatting>
  <conditionalFormatting sqref="AX82">
    <cfRule type="expression" dxfId="423" priority="425">
      <formula>OR(IF(AX82&lt;AY82,TRUE),IF(AND(AY82="",AX82&lt;&gt;""),TRUE))</formula>
    </cfRule>
    <cfRule type="expression" dxfId="422" priority="426">
      <formula>IF(AX82&gt;=AY82,IF(AX82="",FALSE,TRUE))</formula>
    </cfRule>
  </conditionalFormatting>
  <conditionalFormatting sqref="AZ83">
    <cfRule type="expression" dxfId="421" priority="419">
      <formula>OR(IF(AZ83&lt;BA83,TRUE),IF(AND(BA83="",AZ83&lt;&gt;""),TRUE))</formula>
    </cfRule>
    <cfRule type="expression" dxfId="420" priority="420">
      <formula>IF(AZ83&gt;=BA83,IF(AZ83="",FALSE,TRUE))</formula>
    </cfRule>
  </conditionalFormatting>
  <conditionalFormatting sqref="AX83">
    <cfRule type="expression" dxfId="419" priority="421">
      <formula>OR(IF(AX83&lt;AY83,TRUE),IF(AND(AY83="",AX83&lt;&gt;""),TRUE))</formula>
    </cfRule>
    <cfRule type="expression" dxfId="418" priority="422">
      <formula>IF(AX83&gt;=AY83,IF(AX83="",FALSE,TRUE))</formula>
    </cfRule>
  </conditionalFormatting>
  <conditionalFormatting sqref="AZ84">
    <cfRule type="expression" dxfId="417" priority="415">
      <formula>OR(IF(AZ84&lt;BA84,TRUE),IF(AND(BA84="",AZ84&lt;&gt;""),TRUE))</formula>
    </cfRule>
    <cfRule type="expression" dxfId="416" priority="416">
      <formula>IF(AZ84&gt;=BA84,IF(AZ84="",FALSE,TRUE))</formula>
    </cfRule>
  </conditionalFormatting>
  <conditionalFormatting sqref="AX84">
    <cfRule type="expression" dxfId="415" priority="417">
      <formula>OR(IF(AX84&lt;AY84,TRUE),IF(AND(AY84="",AX84&lt;&gt;""),TRUE))</formula>
    </cfRule>
    <cfRule type="expression" dxfId="414" priority="418">
      <formula>IF(AX84&gt;=AY84,IF(AX84="",FALSE,TRUE))</formula>
    </cfRule>
  </conditionalFormatting>
  <conditionalFormatting sqref="AZ85">
    <cfRule type="expression" dxfId="413" priority="411">
      <formula>OR(IF(AZ85&lt;BA85,TRUE),IF(AND(BA85="",AZ85&lt;&gt;""),TRUE))</formula>
    </cfRule>
    <cfRule type="expression" dxfId="412" priority="412">
      <formula>IF(AZ85&gt;=BA85,IF(AZ85="",FALSE,TRUE))</formula>
    </cfRule>
  </conditionalFormatting>
  <conditionalFormatting sqref="AX85">
    <cfRule type="expression" dxfId="411" priority="413">
      <formula>OR(IF(AX85&lt;AY85,TRUE),IF(AND(AY85="",AX85&lt;&gt;""),TRUE))</formula>
    </cfRule>
    <cfRule type="expression" dxfId="410" priority="414">
      <formula>IF(AX85&gt;=AY85,IF(AX85="",FALSE,TRUE))</formula>
    </cfRule>
  </conditionalFormatting>
  <conditionalFormatting sqref="AZ86">
    <cfRule type="expression" dxfId="409" priority="407">
      <formula>OR(IF(AZ86&lt;BA86,TRUE),IF(AND(BA86="",AZ86&lt;&gt;""),TRUE))</formula>
    </cfRule>
    <cfRule type="expression" dxfId="408" priority="408">
      <formula>IF(AZ86&gt;=BA86,IF(AZ86="",FALSE,TRUE))</formula>
    </cfRule>
  </conditionalFormatting>
  <conditionalFormatting sqref="AX86">
    <cfRule type="expression" dxfId="407" priority="409">
      <formula>OR(IF(AX86&lt;AY86,TRUE),IF(AND(AY86="",AX86&lt;&gt;""),TRUE))</formula>
    </cfRule>
    <cfRule type="expression" dxfId="406" priority="410">
      <formula>IF(AX86&gt;=AY86,IF(AX86="",FALSE,TRUE))</formula>
    </cfRule>
  </conditionalFormatting>
  <conditionalFormatting sqref="AZ87">
    <cfRule type="expression" dxfId="405" priority="403">
      <formula>OR(IF(AZ87&lt;BA87,TRUE),IF(AND(BA87="",AZ87&lt;&gt;""),TRUE))</formula>
    </cfRule>
    <cfRule type="expression" dxfId="404" priority="404">
      <formula>IF(AZ87&gt;=BA87,IF(AZ87="",FALSE,TRUE))</formula>
    </cfRule>
  </conditionalFormatting>
  <conditionalFormatting sqref="AX87">
    <cfRule type="expression" dxfId="403" priority="405">
      <formula>OR(IF(AX87&lt;AY87,TRUE),IF(AND(AY87="",AX87&lt;&gt;""),TRUE))</formula>
    </cfRule>
    <cfRule type="expression" dxfId="402" priority="406">
      <formula>IF(AX87&gt;=AY87,IF(AX87="",FALSE,TRUE))</formula>
    </cfRule>
  </conditionalFormatting>
  <conditionalFormatting sqref="AZ88">
    <cfRule type="expression" dxfId="401" priority="399">
      <formula>OR(IF(AZ88&lt;BA88,TRUE),IF(AND(BA88="",AZ88&lt;&gt;""),TRUE))</formula>
    </cfRule>
    <cfRule type="expression" dxfId="400" priority="400">
      <formula>IF(AZ88&gt;=BA88,IF(AZ88="",FALSE,TRUE))</formula>
    </cfRule>
  </conditionalFormatting>
  <conditionalFormatting sqref="AX88">
    <cfRule type="expression" dxfId="399" priority="401">
      <formula>OR(IF(AX88&lt;AY88,TRUE),IF(AND(AY88="",AX88&lt;&gt;""),TRUE))</formula>
    </cfRule>
    <cfRule type="expression" dxfId="398" priority="402">
      <formula>IF(AX88&gt;=AY88,IF(AX88="",FALSE,TRUE))</formula>
    </cfRule>
  </conditionalFormatting>
  <conditionalFormatting sqref="AZ89:AZ93">
    <cfRule type="expression" dxfId="397" priority="395">
      <formula>OR(IF(AZ89&lt;BA89,TRUE),IF(AND(BA89="",AZ89&lt;&gt;""),TRUE))</formula>
    </cfRule>
    <cfRule type="expression" dxfId="396" priority="396">
      <formula>IF(AZ89&gt;=BA89,IF(AZ89="",FALSE,TRUE))</formula>
    </cfRule>
  </conditionalFormatting>
  <conditionalFormatting sqref="AX89:AX93">
    <cfRule type="expression" dxfId="395" priority="397">
      <formula>OR(IF(AX89&lt;AY89,TRUE),IF(AND(AY89="",AX89&lt;&gt;""),TRUE))</formula>
    </cfRule>
    <cfRule type="expression" dxfId="394" priority="398">
      <formula>IF(AX89&gt;=AY89,IF(AX89="",FALSE,TRUE))</formula>
    </cfRule>
  </conditionalFormatting>
  <conditionalFormatting sqref="AX26">
    <cfRule type="expression" dxfId="393" priority="393">
      <formula>OR(IF(AX26&lt;AY26,TRUE),IF(AND(AY26="",AX26&lt;&gt;""),TRUE))</formula>
    </cfRule>
    <cfRule type="expression" dxfId="392" priority="394">
      <formula>IF(AX26&gt;=AY26,IF(AX26="",FALSE,TRUE))</formula>
    </cfRule>
  </conditionalFormatting>
  <conditionalFormatting sqref="AZ26">
    <cfRule type="expression" dxfId="391" priority="391">
      <formula>OR(IF(AZ26&lt;BA26,TRUE),IF(AND(BA26="",AZ26&lt;&gt;""),TRUE))</formula>
    </cfRule>
    <cfRule type="expression" dxfId="390" priority="392">
      <formula>IF(AZ26&gt;=BA26,IF(AZ26="",FALSE,TRUE))</formula>
    </cfRule>
  </conditionalFormatting>
  <conditionalFormatting sqref="AX27">
    <cfRule type="expression" dxfId="389" priority="389">
      <formula>OR(IF(AX27&lt;AY27,TRUE),IF(AND(AY27="",AX27&lt;&gt;""),TRUE))</formula>
    </cfRule>
    <cfRule type="expression" dxfId="388" priority="390">
      <formula>IF(AX27&gt;=AY27,IF(AX27="",FALSE,TRUE))</formula>
    </cfRule>
  </conditionalFormatting>
  <conditionalFormatting sqref="AZ27">
    <cfRule type="expression" dxfId="387" priority="387">
      <formula>OR(IF(AZ27&lt;BA27,TRUE),IF(AND(BA27="",AZ27&lt;&gt;""),TRUE))</formula>
    </cfRule>
    <cfRule type="expression" dxfId="386" priority="388">
      <formula>IF(AZ27&gt;=BA27,IF(AZ27="",FALSE,TRUE))</formula>
    </cfRule>
  </conditionalFormatting>
  <conditionalFormatting sqref="AX28">
    <cfRule type="expression" dxfId="385" priority="385">
      <formula>OR(IF(AX28&lt;AY28,TRUE),IF(AND(AY28="",AX28&lt;&gt;""),TRUE))</formula>
    </cfRule>
    <cfRule type="expression" dxfId="384" priority="386">
      <formula>IF(AX28&gt;=AY28,IF(AX28="",FALSE,TRUE))</formula>
    </cfRule>
  </conditionalFormatting>
  <conditionalFormatting sqref="AZ28">
    <cfRule type="expression" dxfId="383" priority="383">
      <formula>OR(IF(AZ28&lt;BA28,TRUE),IF(AND(BA28="",AZ28&lt;&gt;""),TRUE))</formula>
    </cfRule>
    <cfRule type="expression" dxfId="382" priority="384">
      <formula>IF(AZ28&gt;=BA28,IF(AZ28="",FALSE,TRUE))</formula>
    </cfRule>
  </conditionalFormatting>
  <conditionalFormatting sqref="AX29">
    <cfRule type="expression" dxfId="381" priority="381">
      <formula>OR(IF(AX29&lt;AY29,TRUE),IF(AND(AY29="",AX29&lt;&gt;""),TRUE))</formula>
    </cfRule>
    <cfRule type="expression" dxfId="380" priority="382">
      <formula>IF(AX29&gt;=AY29,IF(AX29="",FALSE,TRUE))</formula>
    </cfRule>
  </conditionalFormatting>
  <conditionalFormatting sqref="AZ29">
    <cfRule type="expression" dxfId="379" priority="379">
      <formula>OR(IF(AZ29&lt;BA29,TRUE),IF(AND(BA29="",AZ29&lt;&gt;""),TRUE))</formula>
    </cfRule>
    <cfRule type="expression" dxfId="378" priority="380">
      <formula>IF(AZ29&gt;=BA29,IF(AZ29="",FALSE,TRUE))</formula>
    </cfRule>
  </conditionalFormatting>
  <conditionalFormatting sqref="AX30:AX31">
    <cfRule type="expression" dxfId="377" priority="377">
      <formula>OR(IF(AX30&lt;AY30,TRUE),IF(AND(AY30="",AX30&lt;&gt;""),TRUE))</formula>
    </cfRule>
    <cfRule type="expression" dxfId="376" priority="378">
      <formula>IF(AX30&gt;=AY30,IF(AX30="",FALSE,TRUE))</formula>
    </cfRule>
  </conditionalFormatting>
  <conditionalFormatting sqref="AZ30:AZ31">
    <cfRule type="expression" dxfId="375" priority="375">
      <formula>OR(IF(AZ30&lt;BA30,TRUE),IF(AND(BA30="",AZ30&lt;&gt;""),TRUE))</formula>
    </cfRule>
    <cfRule type="expression" dxfId="374" priority="376">
      <formula>IF(AZ30&gt;=BA30,IF(AZ30="",FALSE,TRUE))</formula>
    </cfRule>
  </conditionalFormatting>
  <conditionalFormatting sqref="AX112:AX113">
    <cfRule type="expression" dxfId="373" priority="373">
      <formula>OR(IF(AX112&lt;AY112,TRUE),IF(AND(AY112="",AX112&lt;&gt;""),TRUE))</formula>
    </cfRule>
    <cfRule type="expression" dxfId="372" priority="374">
      <formula>IF(AX112&gt;=AY112,IF(AX112="",FALSE,TRUE))</formula>
    </cfRule>
  </conditionalFormatting>
  <conditionalFormatting sqref="AZ112:AZ113">
    <cfRule type="expression" dxfId="371" priority="371">
      <formula>OR(IF(AZ112&lt;BA112,TRUE),IF(AND(BA112="",AZ112&lt;&gt;""),TRUE))</formula>
    </cfRule>
    <cfRule type="expression" dxfId="370" priority="372">
      <formula>IF(AZ112&gt;=BA112,IF(AZ112="",FALSE,TRUE))</formula>
    </cfRule>
  </conditionalFormatting>
  <conditionalFormatting sqref="AZ110">
    <cfRule type="expression" dxfId="369" priority="367">
      <formula>OR(IF(AZ110&lt;BA110,TRUE),IF(AND(BA110="",AZ110&lt;&gt;""),TRUE))</formula>
    </cfRule>
    <cfRule type="expression" dxfId="368" priority="368">
      <formula>IF(AZ110&gt;=BA110,IF(AZ110="",FALSE,TRUE))</formula>
    </cfRule>
  </conditionalFormatting>
  <conditionalFormatting sqref="AX110">
    <cfRule type="expression" dxfId="367" priority="369">
      <formula>OR(IF(AX110&lt;AY110,TRUE),IF(AND(AY110="",AX110&lt;&gt;""),TRUE))</formula>
    </cfRule>
    <cfRule type="expression" dxfId="366" priority="370">
      <formula>IF(AX110&gt;=AY110,IF(AX110="",FALSE,TRUE))</formula>
    </cfRule>
  </conditionalFormatting>
  <conditionalFormatting sqref="BE20:BE24 BG20:BG24">
    <cfRule type="expression" dxfId="365" priority="363">
      <formula>OR(IF(BE20&lt;BF20,TRUE),IF(AND(BF20="",BE20&lt;&gt;""),TRUE))</formula>
    </cfRule>
    <cfRule type="expression" dxfId="364" priority="364">
      <formula>IF(BE20&gt;=BF20,IF(BE20="",FALSE,TRUE))</formula>
    </cfRule>
  </conditionalFormatting>
  <conditionalFormatting sqref="BE34:BE35">
    <cfRule type="expression" dxfId="363" priority="359">
      <formula>OR(IF(BE34&lt;BF34,TRUE),IF(AND(BF34="",BE34&lt;&gt;""),TRUE))</formula>
    </cfRule>
    <cfRule type="expression" dxfId="362" priority="360">
      <formula>IF(BE34&gt;=BF34,IF(BE34="",FALSE,TRUE))</formula>
    </cfRule>
  </conditionalFormatting>
  <conditionalFormatting sqref="BG34:BG35">
    <cfRule type="expression" dxfId="361" priority="357">
      <formula>OR(IF(BG34&lt;BH34,TRUE),IF(AND(BH34="",BG34&lt;&gt;""),TRUE))</formula>
    </cfRule>
    <cfRule type="expression" dxfId="360" priority="358">
      <formula>IF(BG34&gt;=BH34,IF(BG34="",FALSE,TRUE))</formula>
    </cfRule>
  </conditionalFormatting>
  <conditionalFormatting sqref="BF36:BF45">
    <cfRule type="expression" dxfId="359" priority="349">
      <formula>OR(IF(BF36&lt;BG36,TRUE),IF(AND(BG36="",BF36&lt;&gt;""),TRUE))</formula>
    </cfRule>
    <cfRule type="expression" dxfId="358" priority="350">
      <formula>IF(BF36&gt;=BG36,IF(BF36="",FALSE,TRUE))</formula>
    </cfRule>
  </conditionalFormatting>
  <conditionalFormatting sqref="BE25">
    <cfRule type="expression" dxfId="357" priority="355">
      <formula>OR(IF(BE25&lt;BF25,TRUE),IF(AND(BF25="",BE25&lt;&gt;""),TRUE))</formula>
    </cfRule>
    <cfRule type="expression" dxfId="356" priority="356">
      <formula>IF(BE25&gt;=BF25,IF(BE25="",FALSE,TRUE))</formula>
    </cfRule>
  </conditionalFormatting>
  <conditionalFormatting sqref="BG25">
    <cfRule type="expression" dxfId="355" priority="353">
      <formula>OR(IF(BG25&lt;BH25,TRUE),IF(AND(BH25="",BG25&lt;&gt;""),TRUE))</formula>
    </cfRule>
    <cfRule type="expression" dxfId="354" priority="354">
      <formula>IF(BG25&gt;=BH25,IF(BG25="",FALSE,TRUE))</formula>
    </cfRule>
  </conditionalFormatting>
  <conditionalFormatting sqref="BD36:BD45">
    <cfRule type="expression" dxfId="353" priority="351">
      <formula>OR(IF(BD36&lt;BE36,TRUE),IF(AND(BE36="",BD36&lt;&gt;""),TRUE))</formula>
    </cfRule>
    <cfRule type="expression" dxfId="352" priority="352">
      <formula>IF(BD36&gt;=BE36,IF(BD36="",FALSE,TRUE))</formula>
    </cfRule>
  </conditionalFormatting>
  <conditionalFormatting sqref="BE49:BE50">
    <cfRule type="expression" dxfId="351" priority="347">
      <formula>OR(IF(BE49&lt;BF49,TRUE),IF(AND(BF49="",BE49&lt;&gt;""),TRUE))</formula>
    </cfRule>
    <cfRule type="expression" dxfId="350" priority="348">
      <formula>IF(BE49&gt;=BF49,IF(BE49="",FALSE,TRUE))</formula>
    </cfRule>
  </conditionalFormatting>
  <conditionalFormatting sqref="BG49:BG50">
    <cfRule type="expression" dxfId="349" priority="345">
      <formula>OR(IF(BG49&lt;BH49,TRUE),IF(AND(BH49="",BG49&lt;&gt;""),TRUE))</formula>
    </cfRule>
    <cfRule type="expression" dxfId="348" priority="346">
      <formula>IF(BG49&gt;=BH49,IF(BG49="",FALSE,TRUE))</formula>
    </cfRule>
  </conditionalFormatting>
  <conditionalFormatting sqref="BG51:BG60">
    <cfRule type="expression" dxfId="347" priority="341">
      <formula>OR(IF(BG51&lt;BH51,TRUE),IF(AND(BH51="",BG51&lt;&gt;""),TRUE))</formula>
    </cfRule>
    <cfRule type="expression" dxfId="346" priority="342">
      <formula>IF(BG51&gt;=BH51,IF(BG51="",FALSE,TRUE))</formula>
    </cfRule>
  </conditionalFormatting>
  <conditionalFormatting sqref="BE51:BE60">
    <cfRule type="expression" dxfId="345" priority="343">
      <formula>OR(IF(BE51&lt;BF51,TRUE),IF(AND(BF51="",BE51&lt;&gt;""),TRUE))</formula>
    </cfRule>
    <cfRule type="expression" dxfId="344" priority="344">
      <formula>IF(BE51&gt;=BF51,IF(BE51="",FALSE,TRUE))</formula>
    </cfRule>
  </conditionalFormatting>
  <conditionalFormatting sqref="BE65:BE66">
    <cfRule type="expression" dxfId="343" priority="339">
      <formula>OR(IF(BE65&lt;BF65,TRUE),IF(AND(BF65="",BE65&lt;&gt;""),TRUE))</formula>
    </cfRule>
    <cfRule type="expression" dxfId="342" priority="340">
      <formula>IF(BE65&gt;=BF65,IF(BE65="",FALSE,TRUE))</formula>
    </cfRule>
  </conditionalFormatting>
  <conditionalFormatting sqref="BG65:BG66">
    <cfRule type="expression" dxfId="341" priority="337">
      <formula>OR(IF(BG65&lt;BH65,TRUE),IF(AND(BH65="",BG65&lt;&gt;""),TRUE))</formula>
    </cfRule>
    <cfRule type="expression" dxfId="340" priority="338">
      <formula>IF(BG65&gt;=BH65,IF(BG65="",FALSE,TRUE))</formula>
    </cfRule>
  </conditionalFormatting>
  <conditionalFormatting sqref="BG67:BG76">
    <cfRule type="expression" dxfId="339" priority="333">
      <formula>OR(IF(BG67&lt;BH67,TRUE),IF(AND(BH67="",BG67&lt;&gt;""),TRUE))</formula>
    </cfRule>
    <cfRule type="expression" dxfId="338" priority="334">
      <formula>IF(BG67&gt;=BH67,IF(BG67="",FALSE,TRUE))</formula>
    </cfRule>
  </conditionalFormatting>
  <conditionalFormatting sqref="BE67:BE76">
    <cfRule type="expression" dxfId="337" priority="335">
      <formula>OR(IF(BE67&lt;BF67,TRUE),IF(AND(BF67="",BE67&lt;&gt;""),TRUE))</formula>
    </cfRule>
    <cfRule type="expression" dxfId="336" priority="336">
      <formula>IF(BE67&gt;=BF67,IF(BE67="",FALSE,TRUE))</formula>
    </cfRule>
  </conditionalFormatting>
  <conditionalFormatting sqref="BE95:BE96">
    <cfRule type="expression" dxfId="335" priority="331">
      <formula>OR(IF(BE95&lt;BF95,TRUE),IF(AND(BF95="",BE95&lt;&gt;""),TRUE))</formula>
    </cfRule>
    <cfRule type="expression" dxfId="334" priority="332">
      <formula>IF(BE95&gt;=BF95,IF(BE95="",FALSE,TRUE))</formula>
    </cfRule>
  </conditionalFormatting>
  <conditionalFormatting sqref="BG95:BG96">
    <cfRule type="expression" dxfId="333" priority="329">
      <formula>OR(IF(BG95&lt;BH95,TRUE),IF(AND(BH95="",BG95&lt;&gt;""),TRUE))</formula>
    </cfRule>
    <cfRule type="expression" dxfId="332" priority="330">
      <formula>IF(BG95&gt;=BH95,IF(BG95="",FALSE,TRUE))</formula>
    </cfRule>
  </conditionalFormatting>
  <conditionalFormatting sqref="BG97:BG106">
    <cfRule type="expression" dxfId="331" priority="325">
      <formula>OR(IF(BG97&lt;BH97,TRUE),IF(AND(BH97="",BG97&lt;&gt;""),TRUE))</formula>
    </cfRule>
    <cfRule type="expression" dxfId="330" priority="326">
      <formula>IF(BG97&gt;=BH97,IF(BG97="",FALSE,TRUE))</formula>
    </cfRule>
  </conditionalFormatting>
  <conditionalFormatting sqref="BE97:BE106">
    <cfRule type="expression" dxfId="329" priority="327">
      <formula>OR(IF(BE97&lt;BF97,TRUE),IF(AND(BF97="",BE97&lt;&gt;""),TRUE))</formula>
    </cfRule>
    <cfRule type="expression" dxfId="328" priority="328">
      <formula>IF(BE97&gt;=BF97,IF(BE97="",FALSE,TRUE))</formula>
    </cfRule>
  </conditionalFormatting>
  <conditionalFormatting sqref="BG77">
    <cfRule type="expression" dxfId="327" priority="321">
      <formula>OR(IF(BG77&lt;BH77,TRUE),IF(AND(BH77="",BG77&lt;&gt;""),TRUE))</formula>
    </cfRule>
    <cfRule type="expression" dxfId="326" priority="322">
      <formula>IF(BG77&gt;=BH77,IF(BG77="",FALSE,TRUE))</formula>
    </cfRule>
  </conditionalFormatting>
  <conditionalFormatting sqref="BE77">
    <cfRule type="expression" dxfId="325" priority="323">
      <formula>OR(IF(BE77&lt;BF77,TRUE),IF(AND(BF77="",BE77&lt;&gt;""),TRUE))</formula>
    </cfRule>
    <cfRule type="expression" dxfId="324" priority="324">
      <formula>IF(BE77&gt;=BF77,IF(BE77="",FALSE,TRUE))</formula>
    </cfRule>
  </conditionalFormatting>
  <conditionalFormatting sqref="BG78">
    <cfRule type="expression" dxfId="323" priority="317">
      <formula>OR(IF(BG78&lt;BH78,TRUE),IF(AND(BH78="",BG78&lt;&gt;""),TRUE))</formula>
    </cfRule>
    <cfRule type="expression" dxfId="322" priority="318">
      <formula>IF(BG78&gt;=BH78,IF(BG78="",FALSE,TRUE))</formula>
    </cfRule>
  </conditionalFormatting>
  <conditionalFormatting sqref="BE78">
    <cfRule type="expression" dxfId="321" priority="319">
      <formula>OR(IF(BE78&lt;BF78,TRUE),IF(AND(BF78="",BE78&lt;&gt;""),TRUE))</formula>
    </cfRule>
    <cfRule type="expression" dxfId="320" priority="320">
      <formula>IF(BE78&gt;=BF78,IF(BE78="",FALSE,TRUE))</formula>
    </cfRule>
  </conditionalFormatting>
  <conditionalFormatting sqref="BG79">
    <cfRule type="expression" dxfId="319" priority="313">
      <formula>OR(IF(BG79&lt;BH79,TRUE),IF(AND(BH79="",BG79&lt;&gt;""),TRUE))</formula>
    </cfRule>
    <cfRule type="expression" dxfId="318" priority="314">
      <formula>IF(BG79&gt;=BH79,IF(BG79="",FALSE,TRUE))</formula>
    </cfRule>
  </conditionalFormatting>
  <conditionalFormatting sqref="BE79">
    <cfRule type="expression" dxfId="317" priority="315">
      <formula>OR(IF(BE79&lt;BF79,TRUE),IF(AND(BF79="",BE79&lt;&gt;""),TRUE))</formula>
    </cfRule>
    <cfRule type="expression" dxfId="316" priority="316">
      <formula>IF(BE79&gt;=BF79,IF(BE79="",FALSE,TRUE))</formula>
    </cfRule>
  </conditionalFormatting>
  <conditionalFormatting sqref="BG80">
    <cfRule type="expression" dxfId="315" priority="309">
      <formula>OR(IF(BG80&lt;BH80,TRUE),IF(AND(BH80="",BG80&lt;&gt;""),TRUE))</formula>
    </cfRule>
    <cfRule type="expression" dxfId="314" priority="310">
      <formula>IF(BG80&gt;=BH80,IF(BG80="",FALSE,TRUE))</formula>
    </cfRule>
  </conditionalFormatting>
  <conditionalFormatting sqref="BE80">
    <cfRule type="expression" dxfId="313" priority="311">
      <formula>OR(IF(BE80&lt;BF80,TRUE),IF(AND(BF80="",BE80&lt;&gt;""),TRUE))</formula>
    </cfRule>
    <cfRule type="expression" dxfId="312" priority="312">
      <formula>IF(BE80&gt;=BF80,IF(BE80="",FALSE,TRUE))</formula>
    </cfRule>
  </conditionalFormatting>
  <conditionalFormatting sqref="BG81">
    <cfRule type="expression" dxfId="311" priority="305">
      <formula>OR(IF(BG81&lt;BH81,TRUE),IF(AND(BH81="",BG81&lt;&gt;""),TRUE))</formula>
    </cfRule>
    <cfRule type="expression" dxfId="310" priority="306">
      <formula>IF(BG81&gt;=BH81,IF(BG81="",FALSE,TRUE))</formula>
    </cfRule>
  </conditionalFormatting>
  <conditionalFormatting sqref="BE81">
    <cfRule type="expression" dxfId="309" priority="307">
      <formula>OR(IF(BE81&lt;BF81,TRUE),IF(AND(BF81="",BE81&lt;&gt;""),TRUE))</formula>
    </cfRule>
    <cfRule type="expression" dxfId="308" priority="308">
      <formula>IF(BE81&gt;=BF81,IF(BE81="",FALSE,TRUE))</formula>
    </cfRule>
  </conditionalFormatting>
  <conditionalFormatting sqref="BG82">
    <cfRule type="expression" dxfId="307" priority="301">
      <formula>OR(IF(BG82&lt;BH82,TRUE),IF(AND(BH82="",BG82&lt;&gt;""),TRUE))</formula>
    </cfRule>
    <cfRule type="expression" dxfId="306" priority="302">
      <formula>IF(BG82&gt;=BH82,IF(BG82="",FALSE,TRUE))</formula>
    </cfRule>
  </conditionalFormatting>
  <conditionalFormatting sqref="BE82">
    <cfRule type="expression" dxfId="305" priority="303">
      <formula>OR(IF(BE82&lt;BF82,TRUE),IF(AND(BF82="",BE82&lt;&gt;""),TRUE))</formula>
    </cfRule>
    <cfRule type="expression" dxfId="304" priority="304">
      <formula>IF(BE82&gt;=BF82,IF(BE82="",FALSE,TRUE))</formula>
    </cfRule>
  </conditionalFormatting>
  <conditionalFormatting sqref="BG83">
    <cfRule type="expression" dxfId="303" priority="297">
      <formula>OR(IF(BG83&lt;BH83,TRUE),IF(AND(BH83="",BG83&lt;&gt;""),TRUE))</formula>
    </cfRule>
    <cfRule type="expression" dxfId="302" priority="298">
      <formula>IF(BG83&gt;=BH83,IF(BG83="",FALSE,TRUE))</formula>
    </cfRule>
  </conditionalFormatting>
  <conditionalFormatting sqref="BE83">
    <cfRule type="expression" dxfId="301" priority="299">
      <formula>OR(IF(BE83&lt;BF83,TRUE),IF(AND(BF83="",BE83&lt;&gt;""),TRUE))</formula>
    </cfRule>
    <cfRule type="expression" dxfId="300" priority="300">
      <formula>IF(BE83&gt;=BF83,IF(BE83="",FALSE,TRUE))</formula>
    </cfRule>
  </conditionalFormatting>
  <conditionalFormatting sqref="BG84">
    <cfRule type="expression" dxfId="299" priority="293">
      <formula>OR(IF(BG84&lt;BH84,TRUE),IF(AND(BH84="",BG84&lt;&gt;""),TRUE))</formula>
    </cfRule>
    <cfRule type="expression" dxfId="298" priority="294">
      <formula>IF(BG84&gt;=BH84,IF(BG84="",FALSE,TRUE))</formula>
    </cfRule>
  </conditionalFormatting>
  <conditionalFormatting sqref="BE84">
    <cfRule type="expression" dxfId="297" priority="295">
      <formula>OR(IF(BE84&lt;BF84,TRUE),IF(AND(BF84="",BE84&lt;&gt;""),TRUE))</formula>
    </cfRule>
    <cfRule type="expression" dxfId="296" priority="296">
      <formula>IF(BE84&gt;=BF84,IF(BE84="",FALSE,TRUE))</formula>
    </cfRule>
  </conditionalFormatting>
  <conditionalFormatting sqref="BG85">
    <cfRule type="expression" dxfId="295" priority="289">
      <formula>OR(IF(BG85&lt;BH85,TRUE),IF(AND(BH85="",BG85&lt;&gt;""),TRUE))</formula>
    </cfRule>
    <cfRule type="expression" dxfId="294" priority="290">
      <formula>IF(BG85&gt;=BH85,IF(BG85="",FALSE,TRUE))</formula>
    </cfRule>
  </conditionalFormatting>
  <conditionalFormatting sqref="BE85">
    <cfRule type="expression" dxfId="293" priority="291">
      <formula>OR(IF(BE85&lt;BF85,TRUE),IF(AND(BF85="",BE85&lt;&gt;""),TRUE))</formula>
    </cfRule>
    <cfRule type="expression" dxfId="292" priority="292">
      <formula>IF(BE85&gt;=BF85,IF(BE85="",FALSE,TRUE))</formula>
    </cfRule>
  </conditionalFormatting>
  <conditionalFormatting sqref="BG86">
    <cfRule type="expression" dxfId="291" priority="285">
      <formula>OR(IF(BG86&lt;BH86,TRUE),IF(AND(BH86="",BG86&lt;&gt;""),TRUE))</formula>
    </cfRule>
    <cfRule type="expression" dxfId="290" priority="286">
      <formula>IF(BG86&gt;=BH86,IF(BG86="",FALSE,TRUE))</formula>
    </cfRule>
  </conditionalFormatting>
  <conditionalFormatting sqref="BE86">
    <cfRule type="expression" dxfId="289" priority="287">
      <formula>OR(IF(BE86&lt;BF86,TRUE),IF(AND(BF86="",BE86&lt;&gt;""),TRUE))</formula>
    </cfRule>
    <cfRule type="expression" dxfId="288" priority="288">
      <formula>IF(BE86&gt;=BF86,IF(BE86="",FALSE,TRUE))</formula>
    </cfRule>
  </conditionalFormatting>
  <conditionalFormatting sqref="BG87">
    <cfRule type="expression" dxfId="287" priority="281">
      <formula>OR(IF(BG87&lt;BH87,TRUE),IF(AND(BH87="",BG87&lt;&gt;""),TRUE))</formula>
    </cfRule>
    <cfRule type="expression" dxfId="286" priority="282">
      <formula>IF(BG87&gt;=BH87,IF(BG87="",FALSE,TRUE))</formula>
    </cfRule>
  </conditionalFormatting>
  <conditionalFormatting sqref="BE87">
    <cfRule type="expression" dxfId="285" priority="283">
      <formula>OR(IF(BE87&lt;BF87,TRUE),IF(AND(BF87="",BE87&lt;&gt;""),TRUE))</formula>
    </cfRule>
    <cfRule type="expression" dxfId="284" priority="284">
      <formula>IF(BE87&gt;=BF87,IF(BE87="",FALSE,TRUE))</formula>
    </cfRule>
  </conditionalFormatting>
  <conditionalFormatting sqref="BG88">
    <cfRule type="expression" dxfId="283" priority="277">
      <formula>OR(IF(BG88&lt;BH88,TRUE),IF(AND(BH88="",BG88&lt;&gt;""),TRUE))</formula>
    </cfRule>
    <cfRule type="expression" dxfId="282" priority="278">
      <formula>IF(BG88&gt;=BH88,IF(BG88="",FALSE,TRUE))</formula>
    </cfRule>
  </conditionalFormatting>
  <conditionalFormatting sqref="BE88">
    <cfRule type="expression" dxfId="281" priority="279">
      <formula>OR(IF(BE88&lt;BF88,TRUE),IF(AND(BF88="",BE88&lt;&gt;""),TRUE))</formula>
    </cfRule>
    <cfRule type="expression" dxfId="280" priority="280">
      <formula>IF(BE88&gt;=BF88,IF(BE88="",FALSE,TRUE))</formula>
    </cfRule>
  </conditionalFormatting>
  <conditionalFormatting sqref="BG89:BG93">
    <cfRule type="expression" dxfId="279" priority="273">
      <formula>OR(IF(BG89&lt;BH89,TRUE),IF(AND(BH89="",BG89&lt;&gt;""),TRUE))</formula>
    </cfRule>
    <cfRule type="expression" dxfId="278" priority="274">
      <formula>IF(BG89&gt;=BH89,IF(BG89="",FALSE,TRUE))</formula>
    </cfRule>
  </conditionalFormatting>
  <conditionalFormatting sqref="BE89:BE93">
    <cfRule type="expression" dxfId="277" priority="275">
      <formula>OR(IF(BE89&lt;BF89,TRUE),IF(AND(BF89="",BE89&lt;&gt;""),TRUE))</formula>
    </cfRule>
    <cfRule type="expression" dxfId="276" priority="276">
      <formula>IF(BE89&gt;=BF89,IF(BE89="",FALSE,TRUE))</formula>
    </cfRule>
  </conditionalFormatting>
  <conditionalFormatting sqref="BE26">
    <cfRule type="expression" dxfId="275" priority="271">
      <formula>OR(IF(BE26&lt;BF26,TRUE),IF(AND(BF26="",BE26&lt;&gt;""),TRUE))</formula>
    </cfRule>
    <cfRule type="expression" dxfId="274" priority="272">
      <formula>IF(BE26&gt;=BF26,IF(BE26="",FALSE,TRUE))</formula>
    </cfRule>
  </conditionalFormatting>
  <conditionalFormatting sqref="BG26">
    <cfRule type="expression" dxfId="273" priority="269">
      <formula>OR(IF(BG26&lt;BH26,TRUE),IF(AND(BH26="",BG26&lt;&gt;""),TRUE))</formula>
    </cfRule>
    <cfRule type="expression" dxfId="272" priority="270">
      <formula>IF(BG26&gt;=BH26,IF(BG26="",FALSE,TRUE))</formula>
    </cfRule>
  </conditionalFormatting>
  <conditionalFormatting sqref="BE27">
    <cfRule type="expression" dxfId="271" priority="267">
      <formula>OR(IF(BE27&lt;BF27,TRUE),IF(AND(BF27="",BE27&lt;&gt;""),TRUE))</formula>
    </cfRule>
    <cfRule type="expression" dxfId="270" priority="268">
      <formula>IF(BE27&gt;=BF27,IF(BE27="",FALSE,TRUE))</formula>
    </cfRule>
  </conditionalFormatting>
  <conditionalFormatting sqref="BG27">
    <cfRule type="expression" dxfId="269" priority="265">
      <formula>OR(IF(BG27&lt;BH27,TRUE),IF(AND(BH27="",BG27&lt;&gt;""),TRUE))</formula>
    </cfRule>
    <cfRule type="expression" dxfId="268" priority="266">
      <formula>IF(BG27&gt;=BH27,IF(BG27="",FALSE,TRUE))</formula>
    </cfRule>
  </conditionalFormatting>
  <conditionalFormatting sqref="BE28">
    <cfRule type="expression" dxfId="267" priority="263">
      <formula>OR(IF(BE28&lt;BF28,TRUE),IF(AND(BF28="",BE28&lt;&gt;""),TRUE))</formula>
    </cfRule>
    <cfRule type="expression" dxfId="266" priority="264">
      <formula>IF(BE28&gt;=BF28,IF(BE28="",FALSE,TRUE))</formula>
    </cfRule>
  </conditionalFormatting>
  <conditionalFormatting sqref="BG28">
    <cfRule type="expression" dxfId="265" priority="261">
      <formula>OR(IF(BG28&lt;BH28,TRUE),IF(AND(BH28="",BG28&lt;&gt;""),TRUE))</formula>
    </cfRule>
    <cfRule type="expression" dxfId="264" priority="262">
      <formula>IF(BG28&gt;=BH28,IF(BG28="",FALSE,TRUE))</formula>
    </cfRule>
  </conditionalFormatting>
  <conditionalFormatting sqref="BE29">
    <cfRule type="expression" dxfId="263" priority="259">
      <formula>OR(IF(BE29&lt;BF29,TRUE),IF(AND(BF29="",BE29&lt;&gt;""),TRUE))</formula>
    </cfRule>
    <cfRule type="expression" dxfId="262" priority="260">
      <formula>IF(BE29&gt;=BF29,IF(BE29="",FALSE,TRUE))</formula>
    </cfRule>
  </conditionalFormatting>
  <conditionalFormatting sqref="BG29">
    <cfRule type="expression" dxfId="261" priority="257">
      <formula>OR(IF(BG29&lt;BH29,TRUE),IF(AND(BH29="",BG29&lt;&gt;""),TRUE))</formula>
    </cfRule>
    <cfRule type="expression" dxfId="260" priority="258">
      <formula>IF(BG29&gt;=BH29,IF(BG29="",FALSE,TRUE))</formula>
    </cfRule>
  </conditionalFormatting>
  <conditionalFormatting sqref="BE30:BE31">
    <cfRule type="expression" dxfId="259" priority="255">
      <formula>OR(IF(BE30&lt;BF30,TRUE),IF(AND(BF30="",BE30&lt;&gt;""),TRUE))</formula>
    </cfRule>
    <cfRule type="expression" dxfId="258" priority="256">
      <formula>IF(BE30&gt;=BF30,IF(BE30="",FALSE,TRUE))</formula>
    </cfRule>
  </conditionalFormatting>
  <conditionalFormatting sqref="BG30:BG31">
    <cfRule type="expression" dxfId="257" priority="253">
      <formula>OR(IF(BG30&lt;BH30,TRUE),IF(AND(BH30="",BG30&lt;&gt;""),TRUE))</formula>
    </cfRule>
    <cfRule type="expression" dxfId="256" priority="254">
      <formula>IF(BG30&gt;=BH30,IF(BG30="",FALSE,TRUE))</formula>
    </cfRule>
  </conditionalFormatting>
  <conditionalFormatting sqref="BE112:BE113">
    <cfRule type="expression" dxfId="255" priority="251">
      <formula>OR(IF(BE112&lt;BF112,TRUE),IF(AND(BF112="",BE112&lt;&gt;""),TRUE))</formula>
    </cfRule>
    <cfRule type="expression" dxfId="254" priority="252">
      <formula>IF(BE112&gt;=BF112,IF(BE112="",FALSE,TRUE))</formula>
    </cfRule>
  </conditionalFormatting>
  <conditionalFormatting sqref="BG112:BG113">
    <cfRule type="expression" dxfId="253" priority="249">
      <formula>OR(IF(BG112&lt;BH112,TRUE),IF(AND(BH112="",BG112&lt;&gt;""),TRUE))</formula>
    </cfRule>
    <cfRule type="expression" dxfId="252" priority="250">
      <formula>IF(BG112&gt;=BH112,IF(BG112="",FALSE,TRUE))</formula>
    </cfRule>
  </conditionalFormatting>
  <conditionalFormatting sqref="BG110">
    <cfRule type="expression" dxfId="251" priority="245">
      <formula>OR(IF(BG110&lt;BH110,TRUE),IF(AND(BH110="",BG110&lt;&gt;""),TRUE))</formula>
    </cfRule>
    <cfRule type="expression" dxfId="250" priority="246">
      <formula>IF(BG110&gt;=BH110,IF(BG110="",FALSE,TRUE))</formula>
    </cfRule>
  </conditionalFormatting>
  <conditionalFormatting sqref="BE110">
    <cfRule type="expression" dxfId="249" priority="247">
      <formula>OR(IF(BE110&lt;BF110,TRUE),IF(AND(BF110="",BE110&lt;&gt;""),TRUE))</formula>
    </cfRule>
    <cfRule type="expression" dxfId="248" priority="248">
      <formula>IF(BE110&gt;=BF110,IF(BE110="",FALSE,TRUE))</formula>
    </cfRule>
  </conditionalFormatting>
  <conditionalFormatting sqref="BL20:BL24 BN20:BN24">
    <cfRule type="expression" dxfId="247" priority="241">
      <formula>OR(IF(BL20&lt;BM20,TRUE),IF(AND(BM20="",BL20&lt;&gt;""),TRUE))</formula>
    </cfRule>
    <cfRule type="expression" dxfId="246" priority="242">
      <formula>IF(BL20&gt;=BM20,IF(BL20="",FALSE,TRUE))</formula>
    </cfRule>
  </conditionalFormatting>
  <conditionalFormatting sqref="BL34:BL35">
    <cfRule type="expression" dxfId="245" priority="237">
      <formula>OR(IF(BL34&lt;BM34,TRUE),IF(AND(BM34="",BL34&lt;&gt;""),TRUE))</formula>
    </cfRule>
    <cfRule type="expression" dxfId="244" priority="238">
      <formula>IF(BL34&gt;=BM34,IF(BL34="",FALSE,TRUE))</formula>
    </cfRule>
  </conditionalFormatting>
  <conditionalFormatting sqref="BN34:BN35">
    <cfRule type="expression" dxfId="243" priority="235">
      <formula>OR(IF(BN34&lt;BO34,TRUE),IF(AND(BO34="",BN34&lt;&gt;""),TRUE))</formula>
    </cfRule>
    <cfRule type="expression" dxfId="242" priority="236">
      <formula>IF(BN34&gt;=BO34,IF(BN34="",FALSE,TRUE))</formula>
    </cfRule>
  </conditionalFormatting>
  <conditionalFormatting sqref="BM36:BM45">
    <cfRule type="expression" dxfId="241" priority="227">
      <formula>OR(IF(BM36&lt;BN36,TRUE),IF(AND(BN36="",BM36&lt;&gt;""),TRUE))</formula>
    </cfRule>
    <cfRule type="expression" dxfId="240" priority="228">
      <formula>IF(BM36&gt;=BN36,IF(BM36="",FALSE,TRUE))</formula>
    </cfRule>
  </conditionalFormatting>
  <conditionalFormatting sqref="BL25">
    <cfRule type="expression" dxfId="239" priority="233">
      <formula>OR(IF(BL25&lt;BM25,TRUE),IF(AND(BM25="",BL25&lt;&gt;""),TRUE))</formula>
    </cfRule>
    <cfRule type="expression" dxfId="238" priority="234">
      <formula>IF(BL25&gt;=BM25,IF(BL25="",FALSE,TRUE))</formula>
    </cfRule>
  </conditionalFormatting>
  <conditionalFormatting sqref="BN25">
    <cfRule type="expression" dxfId="237" priority="231">
      <formula>OR(IF(BN25&lt;BO25,TRUE),IF(AND(BO25="",BN25&lt;&gt;""),TRUE))</formula>
    </cfRule>
    <cfRule type="expression" dxfId="236" priority="232">
      <formula>IF(BN25&gt;=BO25,IF(BN25="",FALSE,TRUE))</formula>
    </cfRule>
  </conditionalFormatting>
  <conditionalFormatting sqref="BK36:BK45">
    <cfRule type="expression" dxfId="235" priority="229">
      <formula>OR(IF(BK36&lt;BL36,TRUE),IF(AND(BL36="",BK36&lt;&gt;""),TRUE))</formula>
    </cfRule>
    <cfRule type="expression" dxfId="234" priority="230">
      <formula>IF(BK36&gt;=BL36,IF(BK36="",FALSE,TRUE))</formula>
    </cfRule>
  </conditionalFormatting>
  <conditionalFormatting sqref="BL49:BL50">
    <cfRule type="expression" dxfId="233" priority="225">
      <formula>OR(IF(BL49&lt;BM49,TRUE),IF(AND(BM49="",BL49&lt;&gt;""),TRUE))</formula>
    </cfRule>
    <cfRule type="expression" dxfId="232" priority="226">
      <formula>IF(BL49&gt;=BM49,IF(BL49="",FALSE,TRUE))</formula>
    </cfRule>
  </conditionalFormatting>
  <conditionalFormatting sqref="BN49:BN50">
    <cfRule type="expression" dxfId="231" priority="223">
      <formula>OR(IF(BN49&lt;BO49,TRUE),IF(AND(BO49="",BN49&lt;&gt;""),TRUE))</formula>
    </cfRule>
    <cfRule type="expression" dxfId="230" priority="224">
      <formula>IF(BN49&gt;=BO49,IF(BN49="",FALSE,TRUE))</formula>
    </cfRule>
  </conditionalFormatting>
  <conditionalFormatting sqref="BN51:BN60">
    <cfRule type="expression" dxfId="229" priority="219">
      <formula>OR(IF(BN51&lt;BO51,TRUE),IF(AND(BO51="",BN51&lt;&gt;""),TRUE))</formula>
    </cfRule>
    <cfRule type="expression" dxfId="228" priority="220">
      <formula>IF(BN51&gt;=BO51,IF(BN51="",FALSE,TRUE))</formula>
    </cfRule>
  </conditionalFormatting>
  <conditionalFormatting sqref="BL51:BL60">
    <cfRule type="expression" dxfId="227" priority="221">
      <formula>OR(IF(BL51&lt;BM51,TRUE),IF(AND(BM51="",BL51&lt;&gt;""),TRUE))</formula>
    </cfRule>
    <cfRule type="expression" dxfId="226" priority="222">
      <formula>IF(BL51&gt;=BM51,IF(BL51="",FALSE,TRUE))</formula>
    </cfRule>
  </conditionalFormatting>
  <conditionalFormatting sqref="BL65:BL66">
    <cfRule type="expression" dxfId="225" priority="217">
      <formula>OR(IF(BL65&lt;BM65,TRUE),IF(AND(BM65="",BL65&lt;&gt;""),TRUE))</formula>
    </cfRule>
    <cfRule type="expression" dxfId="224" priority="218">
      <formula>IF(BL65&gt;=BM65,IF(BL65="",FALSE,TRUE))</formula>
    </cfRule>
  </conditionalFormatting>
  <conditionalFormatting sqref="BN65:BN66">
    <cfRule type="expression" dxfId="223" priority="215">
      <formula>OR(IF(BN65&lt;BO65,TRUE),IF(AND(BO65="",BN65&lt;&gt;""),TRUE))</formula>
    </cfRule>
    <cfRule type="expression" dxfId="222" priority="216">
      <formula>IF(BN65&gt;=BO65,IF(BN65="",FALSE,TRUE))</formula>
    </cfRule>
  </conditionalFormatting>
  <conditionalFormatting sqref="BN67:BN76">
    <cfRule type="expression" dxfId="221" priority="211">
      <formula>OR(IF(BN67&lt;BO67,TRUE),IF(AND(BO67="",BN67&lt;&gt;""),TRUE))</formula>
    </cfRule>
    <cfRule type="expression" dxfId="220" priority="212">
      <formula>IF(BN67&gt;=BO67,IF(BN67="",FALSE,TRUE))</formula>
    </cfRule>
  </conditionalFormatting>
  <conditionalFormatting sqref="BL67:BL76">
    <cfRule type="expression" dxfId="219" priority="213">
      <formula>OR(IF(BL67&lt;BM67,TRUE),IF(AND(BM67="",BL67&lt;&gt;""),TRUE))</formula>
    </cfRule>
    <cfRule type="expression" dxfId="218" priority="214">
      <formula>IF(BL67&gt;=BM67,IF(BL67="",FALSE,TRUE))</formula>
    </cfRule>
  </conditionalFormatting>
  <conditionalFormatting sqref="BL95:BL96">
    <cfRule type="expression" dxfId="217" priority="209">
      <formula>OR(IF(BL95&lt;BM95,TRUE),IF(AND(BM95="",BL95&lt;&gt;""),TRUE))</formula>
    </cfRule>
    <cfRule type="expression" dxfId="216" priority="210">
      <formula>IF(BL95&gt;=BM95,IF(BL95="",FALSE,TRUE))</formula>
    </cfRule>
  </conditionalFormatting>
  <conditionalFormatting sqref="BN95:BN96">
    <cfRule type="expression" dxfId="215" priority="207">
      <formula>OR(IF(BN95&lt;BO95,TRUE),IF(AND(BO95="",BN95&lt;&gt;""),TRUE))</formula>
    </cfRule>
    <cfRule type="expression" dxfId="214" priority="208">
      <formula>IF(BN95&gt;=BO95,IF(BN95="",FALSE,TRUE))</formula>
    </cfRule>
  </conditionalFormatting>
  <conditionalFormatting sqref="BN97:BN106">
    <cfRule type="expression" dxfId="213" priority="203">
      <formula>OR(IF(BN97&lt;BO97,TRUE),IF(AND(BO97="",BN97&lt;&gt;""),TRUE))</formula>
    </cfRule>
    <cfRule type="expression" dxfId="212" priority="204">
      <formula>IF(BN97&gt;=BO97,IF(BN97="",FALSE,TRUE))</formula>
    </cfRule>
  </conditionalFormatting>
  <conditionalFormatting sqref="BL97:BL106">
    <cfRule type="expression" dxfId="211" priority="205">
      <formula>OR(IF(BL97&lt;BM97,TRUE),IF(AND(BM97="",BL97&lt;&gt;""),TRUE))</formula>
    </cfRule>
    <cfRule type="expression" dxfId="210" priority="206">
      <formula>IF(BL97&gt;=BM97,IF(BL97="",FALSE,TRUE))</formula>
    </cfRule>
  </conditionalFormatting>
  <conditionalFormatting sqref="BN77">
    <cfRule type="expression" dxfId="209" priority="199">
      <formula>OR(IF(BN77&lt;BO77,TRUE),IF(AND(BO77="",BN77&lt;&gt;""),TRUE))</formula>
    </cfRule>
    <cfRule type="expression" dxfId="208" priority="200">
      <formula>IF(BN77&gt;=BO77,IF(BN77="",FALSE,TRUE))</formula>
    </cfRule>
  </conditionalFormatting>
  <conditionalFormatting sqref="BL77">
    <cfRule type="expression" dxfId="207" priority="201">
      <formula>OR(IF(BL77&lt;BM77,TRUE),IF(AND(BM77="",BL77&lt;&gt;""),TRUE))</formula>
    </cfRule>
    <cfRule type="expression" dxfId="206" priority="202">
      <formula>IF(BL77&gt;=BM77,IF(BL77="",FALSE,TRUE))</formula>
    </cfRule>
  </conditionalFormatting>
  <conditionalFormatting sqref="BN78">
    <cfRule type="expression" dxfId="205" priority="195">
      <formula>OR(IF(BN78&lt;BO78,TRUE),IF(AND(BO78="",BN78&lt;&gt;""),TRUE))</formula>
    </cfRule>
    <cfRule type="expression" dxfId="204" priority="196">
      <formula>IF(BN78&gt;=BO78,IF(BN78="",FALSE,TRUE))</formula>
    </cfRule>
  </conditionalFormatting>
  <conditionalFormatting sqref="BL78">
    <cfRule type="expression" dxfId="203" priority="197">
      <formula>OR(IF(BL78&lt;BM78,TRUE),IF(AND(BM78="",BL78&lt;&gt;""),TRUE))</formula>
    </cfRule>
    <cfRule type="expression" dxfId="202" priority="198">
      <formula>IF(BL78&gt;=BM78,IF(BL78="",FALSE,TRUE))</formula>
    </cfRule>
  </conditionalFormatting>
  <conditionalFormatting sqref="BN79">
    <cfRule type="expression" dxfId="201" priority="191">
      <formula>OR(IF(BN79&lt;BO79,TRUE),IF(AND(BO79="",BN79&lt;&gt;""),TRUE))</formula>
    </cfRule>
    <cfRule type="expression" dxfId="200" priority="192">
      <formula>IF(BN79&gt;=BO79,IF(BN79="",FALSE,TRUE))</formula>
    </cfRule>
  </conditionalFormatting>
  <conditionalFormatting sqref="BL79">
    <cfRule type="expression" dxfId="199" priority="193">
      <formula>OR(IF(BL79&lt;BM79,TRUE),IF(AND(BM79="",BL79&lt;&gt;""),TRUE))</formula>
    </cfRule>
    <cfRule type="expression" dxfId="198" priority="194">
      <formula>IF(BL79&gt;=BM79,IF(BL79="",FALSE,TRUE))</formula>
    </cfRule>
  </conditionalFormatting>
  <conditionalFormatting sqref="BN80">
    <cfRule type="expression" dxfId="197" priority="187">
      <formula>OR(IF(BN80&lt;BO80,TRUE),IF(AND(BO80="",BN80&lt;&gt;""),TRUE))</formula>
    </cfRule>
    <cfRule type="expression" dxfId="196" priority="188">
      <formula>IF(BN80&gt;=BO80,IF(BN80="",FALSE,TRUE))</formula>
    </cfRule>
  </conditionalFormatting>
  <conditionalFormatting sqref="BL80">
    <cfRule type="expression" dxfId="195" priority="189">
      <formula>OR(IF(BL80&lt;BM80,TRUE),IF(AND(BM80="",BL80&lt;&gt;""),TRUE))</formula>
    </cfRule>
    <cfRule type="expression" dxfId="194" priority="190">
      <formula>IF(BL80&gt;=BM80,IF(BL80="",FALSE,TRUE))</formula>
    </cfRule>
  </conditionalFormatting>
  <conditionalFormatting sqref="BN81">
    <cfRule type="expression" dxfId="193" priority="183">
      <formula>OR(IF(BN81&lt;BO81,TRUE),IF(AND(BO81="",BN81&lt;&gt;""),TRUE))</formula>
    </cfRule>
    <cfRule type="expression" dxfId="192" priority="184">
      <formula>IF(BN81&gt;=BO81,IF(BN81="",FALSE,TRUE))</formula>
    </cfRule>
  </conditionalFormatting>
  <conditionalFormatting sqref="BL81">
    <cfRule type="expression" dxfId="191" priority="185">
      <formula>OR(IF(BL81&lt;BM81,TRUE),IF(AND(BM81="",BL81&lt;&gt;""),TRUE))</formula>
    </cfRule>
    <cfRule type="expression" dxfId="190" priority="186">
      <formula>IF(BL81&gt;=BM81,IF(BL81="",FALSE,TRUE))</formula>
    </cfRule>
  </conditionalFormatting>
  <conditionalFormatting sqref="BN82">
    <cfRule type="expression" dxfId="189" priority="179">
      <formula>OR(IF(BN82&lt;BO82,TRUE),IF(AND(BO82="",BN82&lt;&gt;""),TRUE))</formula>
    </cfRule>
    <cfRule type="expression" dxfId="188" priority="180">
      <formula>IF(BN82&gt;=BO82,IF(BN82="",FALSE,TRUE))</formula>
    </cfRule>
  </conditionalFormatting>
  <conditionalFormatting sqref="BL82">
    <cfRule type="expression" dxfId="187" priority="181">
      <formula>OR(IF(BL82&lt;BM82,TRUE),IF(AND(BM82="",BL82&lt;&gt;""),TRUE))</formula>
    </cfRule>
    <cfRule type="expression" dxfId="186" priority="182">
      <formula>IF(BL82&gt;=BM82,IF(BL82="",FALSE,TRUE))</formula>
    </cfRule>
  </conditionalFormatting>
  <conditionalFormatting sqref="BN83">
    <cfRule type="expression" dxfId="185" priority="175">
      <formula>OR(IF(BN83&lt;BO83,TRUE),IF(AND(BO83="",BN83&lt;&gt;""),TRUE))</formula>
    </cfRule>
    <cfRule type="expression" dxfId="184" priority="176">
      <formula>IF(BN83&gt;=BO83,IF(BN83="",FALSE,TRUE))</formula>
    </cfRule>
  </conditionalFormatting>
  <conditionalFormatting sqref="BL83">
    <cfRule type="expression" dxfId="183" priority="177">
      <formula>OR(IF(BL83&lt;BM83,TRUE),IF(AND(BM83="",BL83&lt;&gt;""),TRUE))</formula>
    </cfRule>
    <cfRule type="expression" dxfId="182" priority="178">
      <formula>IF(BL83&gt;=BM83,IF(BL83="",FALSE,TRUE))</formula>
    </cfRule>
  </conditionalFormatting>
  <conditionalFormatting sqref="BN84">
    <cfRule type="expression" dxfId="181" priority="171">
      <formula>OR(IF(BN84&lt;BO84,TRUE),IF(AND(BO84="",BN84&lt;&gt;""),TRUE))</formula>
    </cfRule>
    <cfRule type="expression" dxfId="180" priority="172">
      <formula>IF(BN84&gt;=BO84,IF(BN84="",FALSE,TRUE))</formula>
    </cfRule>
  </conditionalFormatting>
  <conditionalFormatting sqref="BL84">
    <cfRule type="expression" dxfId="179" priority="173">
      <formula>OR(IF(BL84&lt;BM84,TRUE),IF(AND(BM84="",BL84&lt;&gt;""),TRUE))</formula>
    </cfRule>
    <cfRule type="expression" dxfId="178" priority="174">
      <formula>IF(BL84&gt;=BM84,IF(BL84="",FALSE,TRUE))</formula>
    </cfRule>
  </conditionalFormatting>
  <conditionalFormatting sqref="BN85">
    <cfRule type="expression" dxfId="177" priority="167">
      <formula>OR(IF(BN85&lt;BO85,TRUE),IF(AND(BO85="",BN85&lt;&gt;""),TRUE))</formula>
    </cfRule>
    <cfRule type="expression" dxfId="176" priority="168">
      <formula>IF(BN85&gt;=BO85,IF(BN85="",FALSE,TRUE))</formula>
    </cfRule>
  </conditionalFormatting>
  <conditionalFormatting sqref="BL85">
    <cfRule type="expression" dxfId="175" priority="169">
      <formula>OR(IF(BL85&lt;BM85,TRUE),IF(AND(BM85="",BL85&lt;&gt;""),TRUE))</formula>
    </cfRule>
    <cfRule type="expression" dxfId="174" priority="170">
      <formula>IF(BL85&gt;=BM85,IF(BL85="",FALSE,TRUE))</formula>
    </cfRule>
  </conditionalFormatting>
  <conditionalFormatting sqref="BN86">
    <cfRule type="expression" dxfId="173" priority="163">
      <formula>OR(IF(BN86&lt;BO86,TRUE),IF(AND(BO86="",BN86&lt;&gt;""),TRUE))</formula>
    </cfRule>
    <cfRule type="expression" dxfId="172" priority="164">
      <formula>IF(BN86&gt;=BO86,IF(BN86="",FALSE,TRUE))</formula>
    </cfRule>
  </conditionalFormatting>
  <conditionalFormatting sqref="BL86">
    <cfRule type="expression" dxfId="171" priority="165">
      <formula>OR(IF(BL86&lt;BM86,TRUE),IF(AND(BM86="",BL86&lt;&gt;""),TRUE))</formula>
    </cfRule>
    <cfRule type="expression" dxfId="170" priority="166">
      <formula>IF(BL86&gt;=BM86,IF(BL86="",FALSE,TRUE))</formula>
    </cfRule>
  </conditionalFormatting>
  <conditionalFormatting sqref="BN87">
    <cfRule type="expression" dxfId="169" priority="159">
      <formula>OR(IF(BN87&lt;BO87,TRUE),IF(AND(BO87="",BN87&lt;&gt;""),TRUE))</formula>
    </cfRule>
    <cfRule type="expression" dxfId="168" priority="160">
      <formula>IF(BN87&gt;=BO87,IF(BN87="",FALSE,TRUE))</formula>
    </cfRule>
  </conditionalFormatting>
  <conditionalFormatting sqref="BL87">
    <cfRule type="expression" dxfId="167" priority="161">
      <formula>OR(IF(BL87&lt;BM87,TRUE),IF(AND(BM87="",BL87&lt;&gt;""),TRUE))</formula>
    </cfRule>
    <cfRule type="expression" dxfId="166" priority="162">
      <formula>IF(BL87&gt;=BM87,IF(BL87="",FALSE,TRUE))</formula>
    </cfRule>
  </conditionalFormatting>
  <conditionalFormatting sqref="BN88">
    <cfRule type="expression" dxfId="165" priority="155">
      <formula>OR(IF(BN88&lt;BO88,TRUE),IF(AND(BO88="",BN88&lt;&gt;""),TRUE))</formula>
    </cfRule>
    <cfRule type="expression" dxfId="164" priority="156">
      <formula>IF(BN88&gt;=BO88,IF(BN88="",FALSE,TRUE))</formula>
    </cfRule>
  </conditionalFormatting>
  <conditionalFormatting sqref="BL88">
    <cfRule type="expression" dxfId="163" priority="157">
      <formula>OR(IF(BL88&lt;BM88,TRUE),IF(AND(BM88="",BL88&lt;&gt;""),TRUE))</formula>
    </cfRule>
    <cfRule type="expression" dxfId="162" priority="158">
      <formula>IF(BL88&gt;=BM88,IF(BL88="",FALSE,TRUE))</formula>
    </cfRule>
  </conditionalFormatting>
  <conditionalFormatting sqref="BN89:BN93">
    <cfRule type="expression" dxfId="161" priority="151">
      <formula>OR(IF(BN89&lt;BO89,TRUE),IF(AND(BO89="",BN89&lt;&gt;""),TRUE))</formula>
    </cfRule>
    <cfRule type="expression" dxfId="160" priority="152">
      <formula>IF(BN89&gt;=BO89,IF(BN89="",FALSE,TRUE))</formula>
    </cfRule>
  </conditionalFormatting>
  <conditionalFormatting sqref="BL89:BL93">
    <cfRule type="expression" dxfId="159" priority="153">
      <formula>OR(IF(BL89&lt;BM89,TRUE),IF(AND(BM89="",BL89&lt;&gt;""),TRUE))</formula>
    </cfRule>
    <cfRule type="expression" dxfId="158" priority="154">
      <formula>IF(BL89&gt;=BM89,IF(BL89="",FALSE,TRUE))</formula>
    </cfRule>
  </conditionalFormatting>
  <conditionalFormatting sqref="BL26">
    <cfRule type="expression" dxfId="157" priority="149">
      <formula>OR(IF(BL26&lt;BM26,TRUE),IF(AND(BM26="",BL26&lt;&gt;""),TRUE))</formula>
    </cfRule>
    <cfRule type="expression" dxfId="156" priority="150">
      <formula>IF(BL26&gt;=BM26,IF(BL26="",FALSE,TRUE))</formula>
    </cfRule>
  </conditionalFormatting>
  <conditionalFormatting sqref="BN26">
    <cfRule type="expression" dxfId="155" priority="147">
      <formula>OR(IF(BN26&lt;BO26,TRUE),IF(AND(BO26="",BN26&lt;&gt;""),TRUE))</formula>
    </cfRule>
    <cfRule type="expression" dxfId="154" priority="148">
      <formula>IF(BN26&gt;=BO26,IF(BN26="",FALSE,TRUE))</formula>
    </cfRule>
  </conditionalFormatting>
  <conditionalFormatting sqref="BL27">
    <cfRule type="expression" dxfId="153" priority="145">
      <formula>OR(IF(BL27&lt;BM27,TRUE),IF(AND(BM27="",BL27&lt;&gt;""),TRUE))</formula>
    </cfRule>
    <cfRule type="expression" dxfId="152" priority="146">
      <formula>IF(BL27&gt;=BM27,IF(BL27="",FALSE,TRUE))</formula>
    </cfRule>
  </conditionalFormatting>
  <conditionalFormatting sqref="BN27">
    <cfRule type="expression" dxfId="151" priority="143">
      <formula>OR(IF(BN27&lt;BO27,TRUE),IF(AND(BO27="",BN27&lt;&gt;""),TRUE))</formula>
    </cfRule>
    <cfRule type="expression" dxfId="150" priority="144">
      <formula>IF(BN27&gt;=BO27,IF(BN27="",FALSE,TRUE))</formula>
    </cfRule>
  </conditionalFormatting>
  <conditionalFormatting sqref="BL28">
    <cfRule type="expression" dxfId="149" priority="141">
      <formula>OR(IF(BL28&lt;BM28,TRUE),IF(AND(BM28="",BL28&lt;&gt;""),TRUE))</formula>
    </cfRule>
    <cfRule type="expression" dxfId="148" priority="142">
      <formula>IF(BL28&gt;=BM28,IF(BL28="",FALSE,TRUE))</formula>
    </cfRule>
  </conditionalFormatting>
  <conditionalFormatting sqref="BN28">
    <cfRule type="expression" dxfId="147" priority="139">
      <formula>OR(IF(BN28&lt;BO28,TRUE),IF(AND(BO28="",BN28&lt;&gt;""),TRUE))</formula>
    </cfRule>
    <cfRule type="expression" dxfId="146" priority="140">
      <formula>IF(BN28&gt;=BO28,IF(BN28="",FALSE,TRUE))</formula>
    </cfRule>
  </conditionalFormatting>
  <conditionalFormatting sqref="BL29">
    <cfRule type="expression" dxfId="145" priority="137">
      <formula>OR(IF(BL29&lt;BM29,TRUE),IF(AND(BM29="",BL29&lt;&gt;""),TRUE))</formula>
    </cfRule>
    <cfRule type="expression" dxfId="144" priority="138">
      <formula>IF(BL29&gt;=BM29,IF(BL29="",FALSE,TRUE))</formula>
    </cfRule>
  </conditionalFormatting>
  <conditionalFormatting sqref="BN29">
    <cfRule type="expression" dxfId="143" priority="135">
      <formula>OR(IF(BN29&lt;BO29,TRUE),IF(AND(BO29="",BN29&lt;&gt;""),TRUE))</formula>
    </cfRule>
    <cfRule type="expression" dxfId="142" priority="136">
      <formula>IF(BN29&gt;=BO29,IF(BN29="",FALSE,TRUE))</formula>
    </cfRule>
  </conditionalFormatting>
  <conditionalFormatting sqref="BL30:BL31">
    <cfRule type="expression" dxfId="141" priority="133">
      <formula>OR(IF(BL30&lt;BM30,TRUE),IF(AND(BM30="",BL30&lt;&gt;""),TRUE))</formula>
    </cfRule>
    <cfRule type="expression" dxfId="140" priority="134">
      <formula>IF(BL30&gt;=BM30,IF(BL30="",FALSE,TRUE))</formula>
    </cfRule>
  </conditionalFormatting>
  <conditionalFormatting sqref="BN30:BN31">
    <cfRule type="expression" dxfId="139" priority="131">
      <formula>OR(IF(BN30&lt;BO30,TRUE),IF(AND(BO30="",BN30&lt;&gt;""),TRUE))</formula>
    </cfRule>
    <cfRule type="expression" dxfId="138" priority="132">
      <formula>IF(BN30&gt;=BO30,IF(BN30="",FALSE,TRUE))</formula>
    </cfRule>
  </conditionalFormatting>
  <conditionalFormatting sqref="BL112:BL113">
    <cfRule type="expression" dxfId="137" priority="129">
      <formula>OR(IF(BL112&lt;BM112,TRUE),IF(AND(BM112="",BL112&lt;&gt;""),TRUE))</formula>
    </cfRule>
    <cfRule type="expression" dxfId="136" priority="130">
      <formula>IF(BL112&gt;=BM112,IF(BL112="",FALSE,TRUE))</formula>
    </cfRule>
  </conditionalFormatting>
  <conditionalFormatting sqref="BN112:BN113">
    <cfRule type="expression" dxfId="135" priority="127">
      <formula>OR(IF(BN112&lt;BO112,TRUE),IF(AND(BO112="",BN112&lt;&gt;""),TRUE))</formula>
    </cfRule>
    <cfRule type="expression" dxfId="134" priority="128">
      <formula>IF(BN112&gt;=BO112,IF(BN112="",FALSE,TRUE))</formula>
    </cfRule>
  </conditionalFormatting>
  <conditionalFormatting sqref="BN110">
    <cfRule type="expression" dxfId="133" priority="123">
      <formula>OR(IF(BN110&lt;BO110,TRUE),IF(AND(BO110="",BN110&lt;&gt;""),TRUE))</formula>
    </cfRule>
    <cfRule type="expression" dxfId="132" priority="124">
      <formula>IF(BN110&gt;=BO110,IF(BN110="",FALSE,TRUE))</formula>
    </cfRule>
  </conditionalFormatting>
  <conditionalFormatting sqref="BL110">
    <cfRule type="expression" dxfId="131" priority="125">
      <formula>OR(IF(BL110&lt;BM110,TRUE),IF(AND(BM110="",BL110&lt;&gt;""),TRUE))</formula>
    </cfRule>
    <cfRule type="expression" dxfId="130" priority="126">
      <formula>IF(BL110&gt;=BM110,IF(BL110="",FALSE,TRUE))</formula>
    </cfRule>
  </conditionalFormatting>
  <conditionalFormatting sqref="BS20:BS24 BU20:BU24">
    <cfRule type="expression" dxfId="129" priority="119">
      <formula>OR(IF(BS20&lt;BT20,TRUE),IF(AND(BT20="",BS20&lt;&gt;""),TRUE))</formula>
    </cfRule>
    <cfRule type="expression" dxfId="128" priority="120">
      <formula>IF(BS20&gt;=BT20,IF(BS20="",FALSE,TRUE))</formula>
    </cfRule>
  </conditionalFormatting>
  <conditionalFormatting sqref="BS34:BS35">
    <cfRule type="expression" dxfId="127" priority="115">
      <formula>OR(IF(BS34&lt;BT34,TRUE),IF(AND(BT34="",BS34&lt;&gt;""),TRUE))</formula>
    </cfRule>
    <cfRule type="expression" dxfId="126" priority="116">
      <formula>IF(BS34&gt;=BT34,IF(BS34="",FALSE,TRUE))</formula>
    </cfRule>
  </conditionalFormatting>
  <conditionalFormatting sqref="BU34:BU35">
    <cfRule type="expression" dxfId="125" priority="113">
      <formula>OR(IF(BU34&lt;BV34,TRUE),IF(AND(BV34="",BU34&lt;&gt;""),TRUE))</formula>
    </cfRule>
    <cfRule type="expression" dxfId="124" priority="114">
      <formula>IF(BU34&gt;=BV34,IF(BU34="",FALSE,TRUE))</formula>
    </cfRule>
  </conditionalFormatting>
  <conditionalFormatting sqref="BT36:BT45">
    <cfRule type="expression" dxfId="123" priority="105">
      <formula>OR(IF(BT36&lt;BU36,TRUE),IF(AND(BU36="",BT36&lt;&gt;""),TRUE))</formula>
    </cfRule>
    <cfRule type="expression" dxfId="122" priority="106">
      <formula>IF(BT36&gt;=BU36,IF(BT36="",FALSE,TRUE))</formula>
    </cfRule>
  </conditionalFormatting>
  <conditionalFormatting sqref="BS25">
    <cfRule type="expression" dxfId="121" priority="111">
      <formula>OR(IF(BS25&lt;BT25,TRUE),IF(AND(BT25="",BS25&lt;&gt;""),TRUE))</formula>
    </cfRule>
    <cfRule type="expression" dxfId="120" priority="112">
      <formula>IF(BS25&gt;=BT25,IF(BS25="",FALSE,TRUE))</formula>
    </cfRule>
  </conditionalFormatting>
  <conditionalFormatting sqref="BU25">
    <cfRule type="expression" dxfId="119" priority="109">
      <formula>OR(IF(BU25&lt;BV25,TRUE),IF(AND(BV25="",BU25&lt;&gt;""),TRUE))</formula>
    </cfRule>
    <cfRule type="expression" dxfId="118" priority="110">
      <formula>IF(BU25&gt;=BV25,IF(BU25="",FALSE,TRUE))</formula>
    </cfRule>
  </conditionalFormatting>
  <conditionalFormatting sqref="BR36:BR45">
    <cfRule type="expression" dxfId="117" priority="107">
      <formula>OR(IF(BR36&lt;BS36,TRUE),IF(AND(BS36="",BR36&lt;&gt;""),TRUE))</formula>
    </cfRule>
    <cfRule type="expression" dxfId="116" priority="108">
      <formula>IF(BR36&gt;=BS36,IF(BR36="",FALSE,TRUE))</formula>
    </cfRule>
  </conditionalFormatting>
  <conditionalFormatting sqref="BS49:BS50">
    <cfRule type="expression" dxfId="115" priority="103">
      <formula>OR(IF(BS49&lt;BT49,TRUE),IF(AND(BT49="",BS49&lt;&gt;""),TRUE))</formula>
    </cfRule>
    <cfRule type="expression" dxfId="114" priority="104">
      <formula>IF(BS49&gt;=BT49,IF(BS49="",FALSE,TRUE))</formula>
    </cfRule>
  </conditionalFormatting>
  <conditionalFormatting sqref="BU49:BU50">
    <cfRule type="expression" dxfId="113" priority="101">
      <formula>OR(IF(BU49&lt;BV49,TRUE),IF(AND(BV49="",BU49&lt;&gt;""),TRUE))</formula>
    </cfRule>
    <cfRule type="expression" dxfId="112" priority="102">
      <formula>IF(BU49&gt;=BV49,IF(BU49="",FALSE,TRUE))</formula>
    </cfRule>
  </conditionalFormatting>
  <conditionalFormatting sqref="BU51:BU60">
    <cfRule type="expression" dxfId="111" priority="97">
      <formula>OR(IF(BU51&lt;BV51,TRUE),IF(AND(BV51="",BU51&lt;&gt;""),TRUE))</formula>
    </cfRule>
    <cfRule type="expression" dxfId="110" priority="98">
      <formula>IF(BU51&gt;=BV51,IF(BU51="",FALSE,TRUE))</formula>
    </cfRule>
  </conditionalFormatting>
  <conditionalFormatting sqref="BS51:BS60">
    <cfRule type="expression" dxfId="109" priority="99">
      <formula>OR(IF(BS51&lt;BT51,TRUE),IF(AND(BT51="",BS51&lt;&gt;""),TRUE))</formula>
    </cfRule>
    <cfRule type="expression" dxfId="108" priority="100">
      <formula>IF(BS51&gt;=BT51,IF(BS51="",FALSE,TRUE))</formula>
    </cfRule>
  </conditionalFormatting>
  <conditionalFormatting sqref="BS65:BS66">
    <cfRule type="expression" dxfId="107" priority="95">
      <formula>OR(IF(BS65&lt;BT65,TRUE),IF(AND(BT65="",BS65&lt;&gt;""),TRUE))</formula>
    </cfRule>
    <cfRule type="expression" dxfId="106" priority="96">
      <formula>IF(BS65&gt;=BT65,IF(BS65="",FALSE,TRUE))</formula>
    </cfRule>
  </conditionalFormatting>
  <conditionalFormatting sqref="BU65:BU66">
    <cfRule type="expression" dxfId="105" priority="93">
      <formula>OR(IF(BU65&lt;BV65,TRUE),IF(AND(BV65="",BU65&lt;&gt;""),TRUE))</formula>
    </cfRule>
    <cfRule type="expression" dxfId="104" priority="94">
      <formula>IF(BU65&gt;=BV65,IF(BU65="",FALSE,TRUE))</formula>
    </cfRule>
  </conditionalFormatting>
  <conditionalFormatting sqref="BU67:BU76">
    <cfRule type="expression" dxfId="103" priority="89">
      <formula>OR(IF(BU67&lt;BV67,TRUE),IF(AND(BV67="",BU67&lt;&gt;""),TRUE))</formula>
    </cfRule>
    <cfRule type="expression" dxfId="102" priority="90">
      <formula>IF(BU67&gt;=BV67,IF(BU67="",FALSE,TRUE))</formula>
    </cfRule>
  </conditionalFormatting>
  <conditionalFormatting sqref="BS67:BS76">
    <cfRule type="expression" dxfId="101" priority="91">
      <formula>OR(IF(BS67&lt;BT67,TRUE),IF(AND(BT67="",BS67&lt;&gt;""),TRUE))</formula>
    </cfRule>
    <cfRule type="expression" dxfId="100" priority="92">
      <formula>IF(BS67&gt;=BT67,IF(BS67="",FALSE,TRUE))</formula>
    </cfRule>
  </conditionalFormatting>
  <conditionalFormatting sqref="BS95:BS96">
    <cfRule type="expression" dxfId="99" priority="87">
      <formula>OR(IF(BS95&lt;BT95,TRUE),IF(AND(BT95="",BS95&lt;&gt;""),TRUE))</formula>
    </cfRule>
    <cfRule type="expression" dxfId="98" priority="88">
      <formula>IF(BS95&gt;=BT95,IF(BS95="",FALSE,TRUE))</formula>
    </cfRule>
  </conditionalFormatting>
  <conditionalFormatting sqref="BU95:BU96">
    <cfRule type="expression" dxfId="97" priority="85">
      <formula>OR(IF(BU95&lt;BV95,TRUE),IF(AND(BV95="",BU95&lt;&gt;""),TRUE))</formula>
    </cfRule>
    <cfRule type="expression" dxfId="96" priority="86">
      <formula>IF(BU95&gt;=BV95,IF(BU95="",FALSE,TRUE))</formula>
    </cfRule>
  </conditionalFormatting>
  <conditionalFormatting sqref="BU97:BU106">
    <cfRule type="expression" dxfId="95" priority="81">
      <formula>OR(IF(BU97&lt;BV97,TRUE),IF(AND(BV97="",BU97&lt;&gt;""),TRUE))</formula>
    </cfRule>
    <cfRule type="expression" dxfId="94" priority="82">
      <formula>IF(BU97&gt;=BV97,IF(BU97="",FALSE,TRUE))</formula>
    </cfRule>
  </conditionalFormatting>
  <conditionalFormatting sqref="BS97:BS106">
    <cfRule type="expression" dxfId="93" priority="83">
      <formula>OR(IF(BS97&lt;BT97,TRUE),IF(AND(BT97="",BS97&lt;&gt;""),TRUE))</formula>
    </cfRule>
    <cfRule type="expression" dxfId="92" priority="84">
      <formula>IF(BS97&gt;=BT97,IF(BS97="",FALSE,TRUE))</formula>
    </cfRule>
  </conditionalFormatting>
  <conditionalFormatting sqref="BU77">
    <cfRule type="expression" dxfId="91" priority="77">
      <formula>OR(IF(BU77&lt;BV77,TRUE),IF(AND(BV77="",BU77&lt;&gt;""),TRUE))</formula>
    </cfRule>
    <cfRule type="expression" dxfId="90" priority="78">
      <formula>IF(BU77&gt;=BV77,IF(BU77="",FALSE,TRUE))</formula>
    </cfRule>
  </conditionalFormatting>
  <conditionalFormatting sqref="BS77">
    <cfRule type="expression" dxfId="89" priority="79">
      <formula>OR(IF(BS77&lt;BT77,TRUE),IF(AND(BT77="",BS77&lt;&gt;""),TRUE))</formula>
    </cfRule>
    <cfRule type="expression" dxfId="88" priority="80">
      <formula>IF(BS77&gt;=BT77,IF(BS77="",FALSE,TRUE))</formula>
    </cfRule>
  </conditionalFormatting>
  <conditionalFormatting sqref="BU78">
    <cfRule type="expression" dxfId="87" priority="73">
      <formula>OR(IF(BU78&lt;BV78,TRUE),IF(AND(BV78="",BU78&lt;&gt;""),TRUE))</formula>
    </cfRule>
    <cfRule type="expression" dxfId="86" priority="74">
      <formula>IF(BU78&gt;=BV78,IF(BU78="",FALSE,TRUE))</formula>
    </cfRule>
  </conditionalFormatting>
  <conditionalFormatting sqref="BS78">
    <cfRule type="expression" dxfId="85" priority="75">
      <formula>OR(IF(BS78&lt;BT78,TRUE),IF(AND(BT78="",BS78&lt;&gt;""),TRUE))</formula>
    </cfRule>
    <cfRule type="expression" dxfId="84" priority="76">
      <formula>IF(BS78&gt;=BT78,IF(BS78="",FALSE,TRUE))</formula>
    </cfRule>
  </conditionalFormatting>
  <conditionalFormatting sqref="BU79">
    <cfRule type="expression" dxfId="83" priority="69">
      <formula>OR(IF(BU79&lt;BV79,TRUE),IF(AND(BV79="",BU79&lt;&gt;""),TRUE))</formula>
    </cfRule>
    <cfRule type="expression" dxfId="82" priority="70">
      <formula>IF(BU79&gt;=BV79,IF(BU79="",FALSE,TRUE))</formula>
    </cfRule>
  </conditionalFormatting>
  <conditionalFormatting sqref="BS79">
    <cfRule type="expression" dxfId="81" priority="71">
      <formula>OR(IF(BS79&lt;BT79,TRUE),IF(AND(BT79="",BS79&lt;&gt;""),TRUE))</formula>
    </cfRule>
    <cfRule type="expression" dxfId="80" priority="72">
      <formula>IF(BS79&gt;=BT79,IF(BS79="",FALSE,TRUE))</formula>
    </cfRule>
  </conditionalFormatting>
  <conditionalFormatting sqref="BU80">
    <cfRule type="expression" dxfId="79" priority="65">
      <formula>OR(IF(BU80&lt;BV80,TRUE),IF(AND(BV80="",BU80&lt;&gt;""),TRUE))</formula>
    </cfRule>
    <cfRule type="expression" dxfId="78" priority="66">
      <formula>IF(BU80&gt;=BV80,IF(BU80="",FALSE,TRUE))</formula>
    </cfRule>
  </conditionalFormatting>
  <conditionalFormatting sqref="BS80">
    <cfRule type="expression" dxfId="77" priority="67">
      <formula>OR(IF(BS80&lt;BT80,TRUE),IF(AND(BT80="",BS80&lt;&gt;""),TRUE))</formula>
    </cfRule>
    <cfRule type="expression" dxfId="76" priority="68">
      <formula>IF(BS80&gt;=BT80,IF(BS80="",FALSE,TRUE))</formula>
    </cfRule>
  </conditionalFormatting>
  <conditionalFormatting sqref="BU81">
    <cfRule type="expression" dxfId="75" priority="61">
      <formula>OR(IF(BU81&lt;BV81,TRUE),IF(AND(BV81="",BU81&lt;&gt;""),TRUE))</formula>
    </cfRule>
    <cfRule type="expression" dxfId="74" priority="62">
      <formula>IF(BU81&gt;=BV81,IF(BU81="",FALSE,TRUE))</formula>
    </cfRule>
  </conditionalFormatting>
  <conditionalFormatting sqref="BS81">
    <cfRule type="expression" dxfId="73" priority="63">
      <formula>OR(IF(BS81&lt;BT81,TRUE),IF(AND(BT81="",BS81&lt;&gt;""),TRUE))</formula>
    </cfRule>
    <cfRule type="expression" dxfId="72" priority="64">
      <formula>IF(BS81&gt;=BT81,IF(BS81="",FALSE,TRUE))</formula>
    </cfRule>
  </conditionalFormatting>
  <conditionalFormatting sqref="BU82">
    <cfRule type="expression" dxfId="71" priority="57">
      <formula>OR(IF(BU82&lt;BV82,TRUE),IF(AND(BV82="",BU82&lt;&gt;""),TRUE))</formula>
    </cfRule>
    <cfRule type="expression" dxfId="70" priority="58">
      <formula>IF(BU82&gt;=BV82,IF(BU82="",FALSE,TRUE))</formula>
    </cfRule>
  </conditionalFormatting>
  <conditionalFormatting sqref="BS82">
    <cfRule type="expression" dxfId="69" priority="59">
      <formula>OR(IF(BS82&lt;BT82,TRUE),IF(AND(BT82="",BS82&lt;&gt;""),TRUE))</formula>
    </cfRule>
    <cfRule type="expression" dxfId="68" priority="60">
      <formula>IF(BS82&gt;=BT82,IF(BS82="",FALSE,TRUE))</formula>
    </cfRule>
  </conditionalFormatting>
  <conditionalFormatting sqref="BU83">
    <cfRule type="expression" dxfId="67" priority="53">
      <formula>OR(IF(BU83&lt;BV83,TRUE),IF(AND(BV83="",BU83&lt;&gt;""),TRUE))</formula>
    </cfRule>
    <cfRule type="expression" dxfId="66" priority="54">
      <formula>IF(BU83&gt;=BV83,IF(BU83="",FALSE,TRUE))</formula>
    </cfRule>
  </conditionalFormatting>
  <conditionalFormatting sqref="BS83">
    <cfRule type="expression" dxfId="65" priority="55">
      <formula>OR(IF(BS83&lt;BT83,TRUE),IF(AND(BT83="",BS83&lt;&gt;""),TRUE))</formula>
    </cfRule>
    <cfRule type="expression" dxfId="64" priority="56">
      <formula>IF(BS83&gt;=BT83,IF(BS83="",FALSE,TRUE))</formula>
    </cfRule>
  </conditionalFormatting>
  <conditionalFormatting sqref="BU84">
    <cfRule type="expression" dxfId="63" priority="49">
      <formula>OR(IF(BU84&lt;BV84,TRUE),IF(AND(BV84="",BU84&lt;&gt;""),TRUE))</formula>
    </cfRule>
    <cfRule type="expression" dxfId="62" priority="50">
      <formula>IF(BU84&gt;=BV84,IF(BU84="",FALSE,TRUE))</formula>
    </cfRule>
  </conditionalFormatting>
  <conditionalFormatting sqref="BS84">
    <cfRule type="expression" dxfId="61" priority="51">
      <formula>OR(IF(BS84&lt;BT84,TRUE),IF(AND(BT84="",BS84&lt;&gt;""),TRUE))</formula>
    </cfRule>
    <cfRule type="expression" dxfId="60" priority="52">
      <formula>IF(BS84&gt;=BT84,IF(BS84="",FALSE,TRUE))</formula>
    </cfRule>
  </conditionalFormatting>
  <conditionalFormatting sqref="BU85">
    <cfRule type="expression" dxfId="59" priority="45">
      <formula>OR(IF(BU85&lt;BV85,TRUE),IF(AND(BV85="",BU85&lt;&gt;""),TRUE))</formula>
    </cfRule>
    <cfRule type="expression" dxfId="58" priority="46">
      <formula>IF(BU85&gt;=BV85,IF(BU85="",FALSE,TRUE))</formula>
    </cfRule>
  </conditionalFormatting>
  <conditionalFormatting sqref="BS85">
    <cfRule type="expression" dxfId="57" priority="47">
      <formula>OR(IF(BS85&lt;BT85,TRUE),IF(AND(BT85="",BS85&lt;&gt;""),TRUE))</formula>
    </cfRule>
    <cfRule type="expression" dxfId="56" priority="48">
      <formula>IF(BS85&gt;=BT85,IF(BS85="",FALSE,TRUE))</formula>
    </cfRule>
  </conditionalFormatting>
  <conditionalFormatting sqref="BU86">
    <cfRule type="expression" dxfId="55" priority="41">
      <formula>OR(IF(BU86&lt;BV86,TRUE),IF(AND(BV86="",BU86&lt;&gt;""),TRUE))</formula>
    </cfRule>
    <cfRule type="expression" dxfId="54" priority="42">
      <formula>IF(BU86&gt;=BV86,IF(BU86="",FALSE,TRUE))</formula>
    </cfRule>
  </conditionalFormatting>
  <conditionalFormatting sqref="BS86">
    <cfRule type="expression" dxfId="53" priority="43">
      <formula>OR(IF(BS86&lt;BT86,TRUE),IF(AND(BT86="",BS86&lt;&gt;""),TRUE))</formula>
    </cfRule>
    <cfRule type="expression" dxfId="52" priority="44">
      <formula>IF(BS86&gt;=BT86,IF(BS86="",FALSE,TRUE))</formula>
    </cfRule>
  </conditionalFormatting>
  <conditionalFormatting sqref="BU87">
    <cfRule type="expression" dxfId="51" priority="37">
      <formula>OR(IF(BU87&lt;BV87,TRUE),IF(AND(BV87="",BU87&lt;&gt;""),TRUE))</formula>
    </cfRule>
    <cfRule type="expression" dxfId="50" priority="38">
      <formula>IF(BU87&gt;=BV87,IF(BU87="",FALSE,TRUE))</formula>
    </cfRule>
  </conditionalFormatting>
  <conditionalFormatting sqref="BS87">
    <cfRule type="expression" dxfId="49" priority="39">
      <formula>OR(IF(BS87&lt;BT87,TRUE),IF(AND(BT87="",BS87&lt;&gt;""),TRUE))</formula>
    </cfRule>
    <cfRule type="expression" dxfId="48" priority="40">
      <formula>IF(BS87&gt;=BT87,IF(BS87="",FALSE,TRUE))</formula>
    </cfRule>
  </conditionalFormatting>
  <conditionalFormatting sqref="BU88">
    <cfRule type="expression" dxfId="47" priority="33">
      <formula>OR(IF(BU88&lt;BV88,TRUE),IF(AND(BV88="",BU88&lt;&gt;""),TRUE))</formula>
    </cfRule>
    <cfRule type="expression" dxfId="46" priority="34">
      <formula>IF(BU88&gt;=BV88,IF(BU88="",FALSE,TRUE))</formula>
    </cfRule>
  </conditionalFormatting>
  <conditionalFormatting sqref="BS88">
    <cfRule type="expression" dxfId="45" priority="35">
      <formula>OR(IF(BS88&lt;BT88,TRUE),IF(AND(BT88="",BS88&lt;&gt;""),TRUE))</formula>
    </cfRule>
    <cfRule type="expression" dxfId="44" priority="36">
      <formula>IF(BS88&gt;=BT88,IF(BS88="",FALSE,TRUE))</formula>
    </cfRule>
  </conditionalFormatting>
  <conditionalFormatting sqref="BU89:BU93">
    <cfRule type="expression" dxfId="43" priority="29">
      <formula>OR(IF(BU89&lt;BV89,TRUE),IF(AND(BV89="",BU89&lt;&gt;""),TRUE))</formula>
    </cfRule>
    <cfRule type="expression" dxfId="42" priority="30">
      <formula>IF(BU89&gt;=BV89,IF(BU89="",FALSE,TRUE))</formula>
    </cfRule>
  </conditionalFormatting>
  <conditionalFormatting sqref="BS89:BS93">
    <cfRule type="expression" dxfId="41" priority="31">
      <formula>OR(IF(BS89&lt;BT89,TRUE),IF(AND(BT89="",BS89&lt;&gt;""),TRUE))</formula>
    </cfRule>
    <cfRule type="expression" dxfId="40" priority="32">
      <formula>IF(BS89&gt;=BT89,IF(BS89="",FALSE,TRUE))</formula>
    </cfRule>
  </conditionalFormatting>
  <conditionalFormatting sqref="BS26">
    <cfRule type="expression" dxfId="39" priority="27">
      <formula>OR(IF(BS26&lt;BT26,TRUE),IF(AND(BT26="",BS26&lt;&gt;""),TRUE))</formula>
    </cfRule>
    <cfRule type="expression" dxfId="38" priority="28">
      <formula>IF(BS26&gt;=BT26,IF(BS26="",FALSE,TRUE))</formula>
    </cfRule>
  </conditionalFormatting>
  <conditionalFormatting sqref="BU26">
    <cfRule type="expression" dxfId="37" priority="25">
      <formula>OR(IF(BU26&lt;BV26,TRUE),IF(AND(BV26="",BU26&lt;&gt;""),TRUE))</formula>
    </cfRule>
    <cfRule type="expression" dxfId="36" priority="26">
      <formula>IF(BU26&gt;=BV26,IF(BU26="",FALSE,TRUE))</formula>
    </cfRule>
  </conditionalFormatting>
  <conditionalFormatting sqref="BS27">
    <cfRule type="expression" dxfId="35" priority="23">
      <formula>OR(IF(BS27&lt;BT27,TRUE),IF(AND(BT27="",BS27&lt;&gt;""),TRUE))</formula>
    </cfRule>
    <cfRule type="expression" dxfId="34" priority="24">
      <formula>IF(BS27&gt;=BT27,IF(BS27="",FALSE,TRUE))</formula>
    </cfRule>
  </conditionalFormatting>
  <conditionalFormatting sqref="BU27">
    <cfRule type="expression" dxfId="33" priority="21">
      <formula>OR(IF(BU27&lt;BV27,TRUE),IF(AND(BV27="",BU27&lt;&gt;""),TRUE))</formula>
    </cfRule>
    <cfRule type="expression" dxfId="32" priority="22">
      <formula>IF(BU27&gt;=BV27,IF(BU27="",FALSE,TRUE))</formula>
    </cfRule>
  </conditionalFormatting>
  <conditionalFormatting sqref="BS28">
    <cfRule type="expression" dxfId="31" priority="19">
      <formula>OR(IF(BS28&lt;BT28,TRUE),IF(AND(BT28="",BS28&lt;&gt;""),TRUE))</formula>
    </cfRule>
    <cfRule type="expression" dxfId="30" priority="20">
      <formula>IF(BS28&gt;=BT28,IF(BS28="",FALSE,TRUE))</formula>
    </cfRule>
  </conditionalFormatting>
  <conditionalFormatting sqref="BU28">
    <cfRule type="expression" dxfId="29" priority="17">
      <formula>OR(IF(BU28&lt;BV28,TRUE),IF(AND(BV28="",BU28&lt;&gt;""),TRUE))</formula>
    </cfRule>
    <cfRule type="expression" dxfId="28" priority="18">
      <formula>IF(BU28&gt;=BV28,IF(BU28="",FALSE,TRUE))</formula>
    </cfRule>
  </conditionalFormatting>
  <conditionalFormatting sqref="BS29">
    <cfRule type="expression" dxfId="27" priority="15">
      <formula>OR(IF(BS29&lt;BT29,TRUE),IF(AND(BT29="",BS29&lt;&gt;""),TRUE))</formula>
    </cfRule>
    <cfRule type="expression" dxfId="26" priority="16">
      <formula>IF(BS29&gt;=BT29,IF(BS29="",FALSE,TRUE))</formula>
    </cfRule>
  </conditionalFormatting>
  <conditionalFormatting sqref="BU29">
    <cfRule type="expression" dxfId="25" priority="13">
      <formula>OR(IF(BU29&lt;BV29,TRUE),IF(AND(BV29="",BU29&lt;&gt;""),TRUE))</formula>
    </cfRule>
    <cfRule type="expression" dxfId="24" priority="14">
      <formula>IF(BU29&gt;=BV29,IF(BU29="",FALSE,TRUE))</formula>
    </cfRule>
  </conditionalFormatting>
  <conditionalFormatting sqref="BS30:BS31">
    <cfRule type="expression" dxfId="23" priority="11">
      <formula>OR(IF(BS30&lt;BT30,TRUE),IF(AND(BT30="",BS30&lt;&gt;""),TRUE))</formula>
    </cfRule>
    <cfRule type="expression" dxfId="22" priority="12">
      <formula>IF(BS30&gt;=BT30,IF(BS30="",FALSE,TRUE))</formula>
    </cfRule>
  </conditionalFormatting>
  <conditionalFormatting sqref="BU30:BU31">
    <cfRule type="expression" dxfId="21" priority="9">
      <formula>OR(IF(BU30&lt;BV30,TRUE),IF(AND(BV30="",BU30&lt;&gt;""),TRUE))</formula>
    </cfRule>
    <cfRule type="expression" dxfId="20" priority="10">
      <formula>IF(BU30&gt;=BV30,IF(BU30="",FALSE,TRUE))</formula>
    </cfRule>
  </conditionalFormatting>
  <conditionalFormatting sqref="BS112:BS113">
    <cfRule type="expression" dxfId="19" priority="7">
      <formula>OR(IF(BS112&lt;BT112,TRUE),IF(AND(BT112="",BS112&lt;&gt;""),TRUE))</formula>
    </cfRule>
    <cfRule type="expression" dxfId="18" priority="8">
      <formula>IF(BS112&gt;=BT112,IF(BS112="",FALSE,TRUE))</formula>
    </cfRule>
  </conditionalFormatting>
  <conditionalFormatting sqref="BU112:BU113">
    <cfRule type="expression" dxfId="17" priority="5">
      <formula>OR(IF(BU112&lt;BV112,TRUE),IF(AND(BV112="",BU112&lt;&gt;""),TRUE))</formula>
    </cfRule>
    <cfRule type="expression" dxfId="16" priority="6">
      <formula>IF(BU112&gt;=BV112,IF(BU112="",FALSE,TRUE))</formula>
    </cfRule>
  </conditionalFormatting>
  <conditionalFormatting sqref="BU110">
    <cfRule type="expression" dxfId="15" priority="1">
      <formula>OR(IF(BU110&lt;BV110,TRUE),IF(AND(BV110="",BU110&lt;&gt;""),TRUE))</formula>
    </cfRule>
    <cfRule type="expression" dxfId="14" priority="2">
      <formula>IF(BU110&gt;=BV110,IF(BU110="",FALSE,TRUE))</formula>
    </cfRule>
  </conditionalFormatting>
  <conditionalFormatting sqref="BS110">
    <cfRule type="expression" dxfId="13" priority="3">
      <formula>OR(IF(BS110&lt;BT110,TRUE),IF(AND(BT110="",BS110&lt;&gt;""),TRUE))</formula>
    </cfRule>
    <cfRule type="expression" dxfId="12" priority="4">
      <formula>IF(BS110&gt;=BT110,IF(BS110="",FALSE,TRUE))</formula>
    </cfRule>
  </conditionalFormatting>
  <dataValidations count="1">
    <dataValidation type="list" allowBlank="1" showInputMessage="1" showErrorMessage="1" sqref="BS110:BV110 ED65:EG93 AX49:BA60 V49:Y60 AC49:AF60 AJ49:AM60 AQ49:AT60 AX95:BA106 O49:R60 O95:R106 V95:Y106 AC95:AF106 AJ95:AM106 AQ95:AT106 AX65:BA93 ED49:EG60 AQ65:AT93 AJ65:AM93 V65:Y93 O65:R93 ED95:EG106 V20:Y31 AC20:AF31 AJ20:AM31 AQ20:AT31 ED20:EG31 AX20:BA31 O20:R31 AX110:BA110 ED110:EG110 AQ110:AT110 AJ110:AM110 AC110:AF110 V110:Y110 O110:R110 BE49:BH60 BE95:BH106 BE65:BH93 BE20:BH31 BE110:BH110 BL49:BO60 BL95:BO106 BL65:BO93 BL20:BO31 BL110:BO110 BZ65:CC93 BZ49:CC60 BZ95:CC106 BZ20:CC31 BZ110:CC110 CG65:CJ93 CG49:CJ60 CG95:CJ106 CG20:CJ31 CG110:CJ110 CN65:CQ93 CN49:CQ60 CN95:CQ106 CN20:CQ31 CN110:CQ110 CU65:CX93 CU49:CX60 CU95:CX106 CU20:CX31 CU110:CX110 DB65:DE93 DB49:DE60 DB95:DE106 DB20:DE31 DB110:DE110 DI65:DL93 DI49:DL60 DI95:DL106 DI20:DL31 DI110:DL110 DP65:DS93 DP49:DS60 DP95:DS106 DP20:DS31 DP110:DS110 DW65:DZ93 DW49:DZ60 DW95:DZ106 DW20:DZ31 DW110:DZ110 BS49:BV60 BS95:BV106 BS65:BV93 BS20:BV31 AC65:AF93 BR36:BU45 BS34:BV35 DV36:DY45 DW34:DZ35 DO36:DR45 DP34:DS35 DH36:DK45 DI34:DL35 DA36:DD45 DB34:DE35 CT36:CW45 CU34:CX35 CM36:CP45 CN34:CQ35 CF36:CI45 CG34:CJ35 BY36:CB45 BZ34:CC35 BK36:BN45 BL34:BO35 BD36:BG45 BE34:BH35 O36:Q45 O34:R35 EC36:EF45 ED34:EG35 AW36:AZ45 AX34:BA35 AP36:AS45 AQ34:AT35 AI36:AL45 AJ34:AM35 AB36:AE45 AC34:AF35 U36:X45 V34:Y35 BP115:BS116 BS112:BV114 BS117:BV122 DT115:DW116 DW112:DZ114 DW117:DZ122 DM115:DP116 DP112:DS114 DP117:DS122 DF115:DI116 DI112:DL114 DI117:DL122 CY115:DB116 DB112:DE114 DB117:DE122 CR115:CU116 CU112:CX114 CU117:CX122 CK115:CN116 CN112:CQ114 CN117:CQ122 CD115:CG116 CG112:CJ114 CG117:CJ122 BW115:BZ116 BZ112:CC114 BZ117:CC122 BI115:BL116 BL112:BO114 BL117:BO122 BB115:BE116 BE112:BH114 BE117:BH122 EA115:ED116 ED112:EG114 ED117:EG122 AN115:AQ116 AQ112:AT114 AQ117:AT122 AG115:AJ116 AJ112:AM114 AJ117:AM122 Z115:AC116 AC112:AF114 AC117:AF122 S115:V116 V112:Y114 V117:Y122 O115:O116 O112:R114 O117:R122 AU115:AX116 AX112:BA114 AX117:BA122 O5:P5 BQ5:BT5 DU5:DX5 DN5:DQ5 DG5:DJ5 CZ5:DC5 CS5:CV5 CL5:CO5 CE5:CH5 BX5:CA5 BJ5:BM5 BC5:BF5 EB5:EE5 AV5:AY5 AO5:AR5 AH5:AK5 AA5:AD5 T5:W5 T7:W17 U6:X6 AA7:AD17 AB6:AE6 AH7:AK17 AI6:AL6 AO7:AR17 AP6:AS6 AV7:AY17 AW6:AZ6 EB7:EE17 EC6:EF6 BC7:BF17 BD6:BG6 BJ7:BM17 BK6:BN6 BX7:CA17 BY6:CB6 CE7:CH17 CF6:CI6 CL7:CO17 CM6:CP6 CS7:CV17 CT6:CW6 CZ7:DC17 DA6:DD6 DG7:DJ17 DH6:DK6 DN7:DQ17 DO6:DR6 DU7:DX17 DV6:DY6 BQ7:BT17 BR6:BU6 O7:P17 O6:Q6" xr:uid="{00000000-0002-0000-0100-000000000000}">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workbookViewId="0">
      <selection activeCell="I18" sqref="I18"/>
    </sheetView>
  </sheetViews>
  <sheetFormatPr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45</v>
      </c>
      <c r="B1" s="17" t="s">
        <v>42</v>
      </c>
      <c r="C1" s="17" t="s">
        <v>43</v>
      </c>
      <c r="D1" s="17" t="s">
        <v>44</v>
      </c>
      <c r="E1" s="1" t="s">
        <v>46</v>
      </c>
      <c r="F1" s="1" t="s">
        <v>47</v>
      </c>
      <c r="G1" s="1" t="s">
        <v>48</v>
      </c>
      <c r="H1" s="1" t="s">
        <v>49</v>
      </c>
      <c r="I1" s="1" t="s">
        <v>50</v>
      </c>
      <c r="J1" s="1" t="s">
        <v>51</v>
      </c>
      <c r="K1" s="1" t="s">
        <v>52</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00000000-0002-0000-0200-000000000000}">
      <formula1>"Ja,Nein"</formula1>
    </dataValidation>
    <dataValidation type="list" allowBlank="1" showInputMessage="1" showErrorMessage="1" sqref="D2" xr:uid="{00000000-0002-0000-0200-000001000000}">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
  <sheetViews>
    <sheetView zoomScale="117" workbookViewId="0">
      <selection activeCell="D48" sqref="D48"/>
    </sheetView>
  </sheetViews>
  <sheetFormatPr defaultColWidth="10.625" defaultRowHeight="15.75"/>
  <cols>
    <col min="4" max="4" width="30.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c r="D12" t="s">
        <v>211</v>
      </c>
    </row>
    <row r="13" spans="1:8">
      <c r="A13" s="10">
        <v>0.33333333333333398</v>
      </c>
      <c r="D13" t="s">
        <v>211</v>
      </c>
    </row>
    <row r="14" spans="1:8">
      <c r="A14" s="10">
        <v>0.35416666666666702</v>
      </c>
      <c r="D14" t="s">
        <v>211</v>
      </c>
    </row>
    <row r="15" spans="1:8">
      <c r="A15" s="10">
        <v>0.375</v>
      </c>
      <c r="D15" t="s">
        <v>211</v>
      </c>
    </row>
    <row r="16" spans="1:8">
      <c r="A16" s="10">
        <v>0.39583333333333398</v>
      </c>
      <c r="D16" t="s">
        <v>211</v>
      </c>
    </row>
    <row r="17" spans="1:4">
      <c r="A17" s="10">
        <v>0.41666666666666702</v>
      </c>
      <c r="D17" t="s">
        <v>211</v>
      </c>
    </row>
    <row r="18" spans="1:4">
      <c r="A18" s="10">
        <v>0.4375</v>
      </c>
      <c r="D18" t="s">
        <v>211</v>
      </c>
    </row>
    <row r="19" spans="1:4">
      <c r="A19" s="10">
        <v>0.45833333333333398</v>
      </c>
      <c r="D19" t="s">
        <v>211</v>
      </c>
    </row>
    <row r="20" spans="1:4">
      <c r="A20" s="10">
        <v>0.47916666666666702</v>
      </c>
      <c r="D20" t="s">
        <v>211</v>
      </c>
    </row>
    <row r="21" spans="1:4">
      <c r="A21" s="10">
        <v>0.5</v>
      </c>
      <c r="D21" t="s">
        <v>212</v>
      </c>
    </row>
    <row r="22" spans="1:4">
      <c r="A22" s="10">
        <v>0.52083333333333404</v>
      </c>
      <c r="D22" t="s">
        <v>212</v>
      </c>
    </row>
    <row r="23" spans="1:4">
      <c r="A23" s="10">
        <v>0.54166666666666696</v>
      </c>
      <c r="D23" t="s">
        <v>212</v>
      </c>
    </row>
    <row r="24" spans="1:4">
      <c r="A24" s="10">
        <v>0.5625</v>
      </c>
      <c r="D24" t="s">
        <v>212</v>
      </c>
    </row>
    <row r="25" spans="1:4">
      <c r="A25" s="10">
        <v>0.58333333333333404</v>
      </c>
      <c r="D25" t="s">
        <v>212</v>
      </c>
    </row>
    <row r="26" spans="1:4">
      <c r="A26" s="10">
        <v>0.60416666666666696</v>
      </c>
      <c r="D26" t="s">
        <v>213</v>
      </c>
    </row>
    <row r="27" spans="1:4">
      <c r="A27" s="10">
        <v>0.625000000000001</v>
      </c>
      <c r="D27" t="s">
        <v>213</v>
      </c>
    </row>
    <row r="28" spans="1:4">
      <c r="A28" s="10">
        <v>0.64583333333333404</v>
      </c>
      <c r="D28" t="s">
        <v>213</v>
      </c>
    </row>
    <row r="29" spans="1:4">
      <c r="A29" s="10">
        <v>0.66666666666666696</v>
      </c>
      <c r="D29" t="s">
        <v>213</v>
      </c>
    </row>
    <row r="30" spans="1:4">
      <c r="A30" s="10">
        <v>0.687500000000001</v>
      </c>
      <c r="D30" t="s">
        <v>213</v>
      </c>
    </row>
    <row r="31" spans="1:4">
      <c r="A31" s="10">
        <v>0.70833333333333404</v>
      </c>
      <c r="D31" t="s">
        <v>213</v>
      </c>
    </row>
    <row r="32" spans="1:4">
      <c r="A32" s="10">
        <v>0.72916666666666696</v>
      </c>
      <c r="D32" t="s">
        <v>213</v>
      </c>
    </row>
    <row r="33" spans="1:4">
      <c r="A33" s="10">
        <v>0.750000000000001</v>
      </c>
      <c r="D33" t="s">
        <v>213</v>
      </c>
    </row>
    <row r="34" spans="1:4">
      <c r="A34" s="10">
        <v>0.77083333333333404</v>
      </c>
      <c r="D34" t="s">
        <v>213</v>
      </c>
    </row>
    <row r="35" spans="1:4">
      <c r="A35" s="10">
        <v>0.79166666666666696</v>
      </c>
    </row>
    <row r="36" spans="1:4">
      <c r="A36" s="10">
        <v>0.812500000000001</v>
      </c>
    </row>
    <row r="37" spans="1:4">
      <c r="A37" s="10">
        <v>0.83333333333333404</v>
      </c>
    </row>
    <row r="38" spans="1:4">
      <c r="A38" s="10">
        <v>0.85416666666666696</v>
      </c>
    </row>
    <row r="39" spans="1:4">
      <c r="A39" s="10">
        <v>0.875000000000001</v>
      </c>
    </row>
    <row r="40" spans="1:4">
      <c r="A40" s="10">
        <v>0.89583333333333404</v>
      </c>
    </row>
    <row r="41" spans="1:4">
      <c r="A41" s="10">
        <v>0.91666666666666696</v>
      </c>
    </row>
    <row r="42" spans="1:4">
      <c r="A42" s="10">
        <v>0.937500000000001</v>
      </c>
    </row>
    <row r="43" spans="1:4">
      <c r="A43" s="10">
        <v>0.95833333333333404</v>
      </c>
    </row>
    <row r="44" spans="1:4">
      <c r="A44" s="10">
        <v>0.97916666666666696</v>
      </c>
    </row>
    <row r="45" spans="1:4">
      <c r="A45" s="10">
        <v>1</v>
      </c>
    </row>
    <row r="46" spans="1:4">
      <c r="A46" s="10">
        <v>1.0208333333333299</v>
      </c>
    </row>
    <row r="47" spans="1:4">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FD47-7A74-47BD-B6C2-FE6A56B2E789}">
  <dimension ref="A1"/>
  <sheetViews>
    <sheetView workbookViewId="0">
      <selection activeCell="J34" sqref="J34"/>
    </sheetView>
  </sheetViews>
  <sheetFormatPr defaultColWidth="8.875"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ANLEITUNG (2)</vt:lpstr>
      <vt:lpstr>Semesterplan</vt:lpstr>
      <vt:lpstr>COMMITTMENT</vt:lpstr>
      <vt:lpstr>Wochenplan KW 07</vt:lpstr>
      <vt:lpstr>Wochenplan KW 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sebas</cp:lastModifiedBy>
  <dcterms:created xsi:type="dcterms:W3CDTF">2020-04-19T13:33:28Z</dcterms:created>
  <dcterms:modified xsi:type="dcterms:W3CDTF">2022-02-18T14:00:29Z</dcterms:modified>
</cp:coreProperties>
</file>