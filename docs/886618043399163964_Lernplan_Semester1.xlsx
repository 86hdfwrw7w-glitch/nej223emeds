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paulg\Dropbox\Studium\Semester 1\"/>
    </mc:Choice>
  </mc:AlternateContent>
  <xr:revisionPtr revIDLastSave="0" documentId="13_ncr:1_{C48D5A22-9A92-44C7-8D9C-8DFCB96D953A}" xr6:coauthVersionLast="47" xr6:coauthVersionMax="47" xr10:uidLastSave="{00000000-0000-0000-0000-000000000000}"/>
  <bookViews>
    <workbookView xWindow="-120" yWindow="-120" windowWidth="29040" windowHeight="15990" tabRatio="394" activeTab="1" xr2:uid="{50F29292-BE80-0C47-A0D2-DD086CB3D310}"/>
  </bookViews>
  <sheets>
    <sheet name="Anleitung" sheetId="2" r:id="rId1"/>
    <sheet name="Semesterplan" sheetId="7" r:id="rId2"/>
    <sheet name="COMMITTMENT" sheetId="9" r:id="rId3"/>
    <sheet name="Wochenplan KW 41" sheetId="3" r:id="rId4"/>
    <sheet name="Wochenplan KW 42" sheetId="8" r:id="rId5"/>
    <sheet name="Wochenplan KW 43" sheetId="10" r:id="rId6"/>
    <sheet name="Tabelle2" sheetId="11" r:id="rId7"/>
    <sheet name="Tabelle3" sheetId="12" r:id="rId8"/>
    <sheet name="Tabelle4" sheetId="13" r:id="rId9"/>
    <sheet name="Tabelle6" sheetId="15" r:id="rId10"/>
    <sheet name="Tabelle7" sheetId="16" r:id="rId11"/>
    <sheet name="Tabelle8" sheetId="17" r:id="rId12"/>
    <sheet name="Tabelle9" sheetId="18" r:id="rId13"/>
    <sheet name="Tabelle5"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F32" i="7" l="1"/>
  <c r="CT18" i="7"/>
  <c r="DA18" i="7"/>
  <c r="CM18" i="7"/>
  <c r="BY18" i="7"/>
  <c r="CF18" i="7"/>
  <c r="BR18" i="7"/>
  <c r="BK18" i="7"/>
  <c r="BD18" i="7"/>
  <c r="AW18" i="7"/>
  <c r="AW4" i="7"/>
  <c r="AP4" i="7"/>
  <c r="I5" i="7"/>
  <c r="G32" i="7"/>
  <c r="G18" i="7"/>
  <c r="AP18" i="7"/>
  <c r="AI18" i="7"/>
  <c r="AB18" i="7"/>
  <c r="U18" i="7"/>
  <c r="N18" i="7"/>
  <c r="DA32" i="7"/>
  <c r="U32" i="7"/>
  <c r="AB32" i="7"/>
  <c r="AI32" i="7"/>
  <c r="AP32" i="7"/>
  <c r="AW32" i="7"/>
  <c r="BD32" i="7"/>
  <c r="BK32" i="7"/>
  <c r="BR32" i="7"/>
  <c r="BY32" i="7"/>
  <c r="CM32" i="7"/>
  <c r="CT32" i="7"/>
  <c r="K26" i="7"/>
  <c r="K23" i="7"/>
  <c r="K24" i="7"/>
  <c r="K25" i="7"/>
  <c r="K27" i="7"/>
  <c r="K28" i="7"/>
  <c r="K29" i="7"/>
  <c r="J23" i="7"/>
  <c r="J24" i="7"/>
  <c r="J25" i="7"/>
  <c r="J26" i="7"/>
  <c r="J27" i="7"/>
  <c r="J28" i="7"/>
  <c r="J29" i="7"/>
  <c r="I30" i="7"/>
  <c r="I29" i="7" s="1"/>
  <c r="I28" i="7" s="1"/>
  <c r="I27" i="7" s="1"/>
  <c r="I26" i="7" s="1"/>
  <c r="I25" i="7" s="1"/>
  <c r="I24" i="7" s="1"/>
  <c r="I23" i="7" s="1"/>
  <c r="I22" i="7" s="1"/>
  <c r="I21" i="7" s="1"/>
  <c r="I20" i="7" s="1"/>
  <c r="I19" i="7" s="1"/>
  <c r="J30" i="7"/>
  <c r="K30" i="7"/>
  <c r="N4" i="7"/>
  <c r="J5" i="7"/>
  <c r="DA4" i="7"/>
  <c r="CT4" i="7"/>
  <c r="CM4" i="7"/>
  <c r="CF4" i="7"/>
  <c r="BY4" i="7"/>
  <c r="BR4" i="7"/>
  <c r="BK4" i="7"/>
  <c r="BD4" i="7"/>
  <c r="AI4" i="7"/>
  <c r="AB4" i="7"/>
  <c r="U4" i="7"/>
  <c r="G4" i="7"/>
  <c r="I16" i="7"/>
  <c r="I6" i="7"/>
  <c r="I7" i="7"/>
  <c r="I8" i="7"/>
  <c r="I9" i="7"/>
  <c r="I10" i="7"/>
  <c r="I11" i="7"/>
  <c r="I12" i="7"/>
  <c r="I13" i="7"/>
  <c r="I14" i="7"/>
  <c r="I15" i="7"/>
  <c r="N32" i="7"/>
  <c r="K38" i="7"/>
  <c r="J38" i="7"/>
  <c r="K37" i="7"/>
  <c r="J37" i="7"/>
  <c r="K36" i="7"/>
  <c r="J36" i="7"/>
  <c r="K35" i="7"/>
  <c r="J35" i="7"/>
  <c r="K34" i="7"/>
  <c r="J34" i="7"/>
  <c r="K33" i="7"/>
  <c r="J33" i="7"/>
  <c r="K22" i="7"/>
  <c r="J22" i="7"/>
  <c r="K21" i="7"/>
  <c r="J21" i="7"/>
  <c r="K20" i="7"/>
  <c r="J20" i="7"/>
  <c r="K19" i="7"/>
  <c r="J19" i="7"/>
  <c r="K6" i="7"/>
  <c r="K7" i="7"/>
  <c r="K8" i="7"/>
  <c r="K9" i="7"/>
  <c r="K10" i="7"/>
  <c r="K11" i="7"/>
  <c r="K12" i="7"/>
  <c r="K13" i="7"/>
  <c r="K14" i="7"/>
  <c r="K15" i="7"/>
  <c r="K16" i="7"/>
  <c r="J6" i="7"/>
  <c r="J7" i="7"/>
  <c r="J8" i="7"/>
  <c r="J9" i="7"/>
  <c r="J10" i="7"/>
  <c r="J11" i="7"/>
  <c r="J12" i="7"/>
  <c r="J13" i="7"/>
  <c r="J14" i="7"/>
  <c r="J15" i="7"/>
  <c r="J16" i="7"/>
  <c r="K5" i="7"/>
  <c r="J4" i="7" l="1"/>
  <c r="K18" i="7"/>
  <c r="J18" i="7"/>
  <c r="J32" i="7"/>
  <c r="K32" i="7"/>
  <c r="K4" i="7"/>
  <c r="I4" i="7" l="1"/>
</calcChain>
</file>

<file path=xl/sharedStrings.xml><?xml version="1.0" encoding="utf-8"?>
<sst xmlns="http://schemas.openxmlformats.org/spreadsheetml/2006/main" count="263" uniqueCount="102">
  <si>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</si>
  <si>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</si>
  <si>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</si>
  <si>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</si>
  <si>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</si>
  <si>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</si>
  <si>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</si>
  <si>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</si>
  <si>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</si>
  <si>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</si>
  <si>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</si>
  <si>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</si>
  <si>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</si>
  <si>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</si>
  <si>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</si>
  <si>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</si>
  <si>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</si>
  <si>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</si>
  <si>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</si>
  <si>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</si>
  <si>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</si>
  <si>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</si>
  <si>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</si>
  <si>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</si>
  <si>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</si>
  <si>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</si>
  <si>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</si>
  <si>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</si>
  <si>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</si>
  <si>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</si>
  <si>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2) Aktuelle Herausforderungen an das Marketing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</si>
  <si>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</si>
  <si>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</si>
  <si>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</si>
  <si>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</si>
  <si>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</si>
  <si>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</si>
  <si>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</si>
  <si>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</si>
  <si>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</si>
  <si>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</si>
  <si>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</si>
  <si>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</si>
  <si>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</si>
  <si>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</si>
  <si>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</si>
  <si>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</si>
  <si>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</si>
  <si>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</si>
  <si>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</si>
  <si>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Statistik</t>
  </si>
  <si>
    <t>Mathematik</t>
  </si>
  <si>
    <t>BwR</t>
  </si>
  <si>
    <t>KW 41</t>
  </si>
  <si>
    <t>KW 42</t>
  </si>
  <si>
    <t>KW 43</t>
  </si>
  <si>
    <t>KW 45</t>
  </si>
  <si>
    <t>KW 46</t>
  </si>
  <si>
    <t>KW 48</t>
  </si>
  <si>
    <t>KW 49</t>
  </si>
  <si>
    <t>KW 50</t>
  </si>
  <si>
    <t>KW 51</t>
  </si>
  <si>
    <t>KW 52</t>
  </si>
  <si>
    <t>KW 01 (22)</t>
  </si>
  <si>
    <t>KW 02 (22)</t>
  </si>
  <si>
    <t>1) Beschreibende Methoden univariater Datenanalyse</t>
  </si>
  <si>
    <t>3) Weiterführende Methoden und Zusammenhangsanalysen</t>
  </si>
  <si>
    <t>4) Wahrscheinlichkeitsrechnung</t>
  </si>
  <si>
    <t>5) Zufallsvariablen und Verteilungen</t>
  </si>
  <si>
    <t>6) Verteilungsmodelle</t>
  </si>
  <si>
    <t>7) Summen und Mittel von Stichprobenvariablen</t>
  </si>
  <si>
    <t>8) Parameterschätzung</t>
  </si>
  <si>
    <t>9) Konfidenzintervalle (KI)</t>
  </si>
  <si>
    <t>10) Statistische Tests</t>
  </si>
  <si>
    <t>11) Weitere spezielle Testprobleme</t>
  </si>
  <si>
    <t>12) Das lineare Regressionsmodell</t>
  </si>
  <si>
    <t>KW 47 (Hälfte rum)</t>
  </si>
  <si>
    <t xml:space="preserve">KW 44 </t>
  </si>
  <si>
    <t>Lineare Algebra</t>
  </si>
  <si>
    <t>Folgen und Reihen</t>
  </si>
  <si>
    <t>Differentialrechnung</t>
  </si>
  <si>
    <t>1) Matrizen</t>
  </si>
  <si>
    <t>2) Lineare Gleichungssysteme</t>
  </si>
  <si>
    <t>3) Vektoren</t>
  </si>
  <si>
    <t>4) Determinanten</t>
  </si>
  <si>
    <t>5) Inversen</t>
  </si>
  <si>
    <t>9)  Reelle Funktionen</t>
  </si>
  <si>
    <t>10) .2. Approximation</t>
  </si>
  <si>
    <t>11) Univariate und multivariate Funktionen</t>
  </si>
  <si>
    <t>12) Optimierung</t>
  </si>
  <si>
    <t>8) Reihen</t>
  </si>
  <si>
    <t>7) Folgen</t>
  </si>
  <si>
    <t>6) Vollständige Induktion</t>
  </si>
  <si>
    <t>1) Die Bedeutung der Buchführung</t>
  </si>
  <si>
    <t>2) Gesetzliche Anforderungen an die Buchführung</t>
  </si>
  <si>
    <t>3) Grundprinzipien der doppelten Buchführung</t>
  </si>
  <si>
    <t>4) Technik der doppelten Buchführung</t>
  </si>
  <si>
    <t>5) Ausgewählte Buchungsfälle einzelner Vermögensund Schuldposten</t>
  </si>
  <si>
    <t>6) Der handelsrechtliche Jahresabschluss</t>
  </si>
  <si>
    <t>Schulte</t>
  </si>
  <si>
    <t xml:space="preserve">Kim </t>
  </si>
  <si>
    <t>Hassler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</si>
</sst>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cellXfs>
  <cellStyles count="1">
    <cellStyle name="Standard" xfId="0" builtinId="0"/>
  </cellStyles>
  <dxfs count="185">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114" totalsRowShown="0" headerRowDxfId="4">
  <autoFilter ref="A1:K114"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36</v>
      </c>
    </row>
    <row r="12" spans="2:2">
      <c r="B12" s="3" t="s">
        <v>17</v>
      </c>
    </row>
    <row r="13" spans="2:2" ht="126">
      <c r="B13" s="1" t="s">
        <v>18</v>
      </c>
    </row>
    <row r="15" spans="2:2">
      <c r="B15" s="3" t="s">
        <v>19</v>
      </c>
    </row>
    <row r="16" spans="2:2" ht="110.25">
      <c r="B16" s="1" t="s">
        <v>20</v>
      </c>
    </row>
    <row r="17" spans="2:2">
      <c r="B17" s="1"/>
    </row>
    <row r="18" spans="2:2">
      <c r="B18" s="3" t="s">
        <v>35</v>
      </c>
    </row>
    <row r="19" spans="2:2" ht="141.75">
      <c r="B19" s="1" t="s">
        <v>37</v>
      </c>
    </row>
    <row r="21" spans="2:2">
      <c r="B21" s="3" t="s">
        <v>21</v>
      </c>
    </row>
    <row r="22" spans="2:2" ht="110.25">
      <c r="B22" s="1" t="s">
        <v>38</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38"/>
  <sheetViews>
    <sheetView showGridLines="0" tabSelected="1" zoomScale="85" zoomScaleNormal="85" workbookViewId="0">
      <selection activeCell="D5" sqref="D5"/>
    </sheetView>
  </sheetViews>
  <sheetFormatPr baseColWidth="10" defaultColWidth="8.875" defaultRowHeight="15.75" outlineLevelRow="1"/>
  <cols>
    <col min="3" max="3" width="9.5" bestFit="1" customWidth="1"/>
    <col min="4" max="4" width="13" bestFit="1" customWidth="1"/>
    <col min="5" max="5" width="4.875" bestFit="1" customWidth="1"/>
    <col min="6" max="6" width="60.6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64" max="64" width="12.5" bestFit="1" customWidth="1"/>
    <col min="65" max="65" width="6.375" customWidth="1"/>
    <col min="66" max="66" width="14.875" bestFit="1" customWidth="1"/>
    <col min="67" max="67" width="6" customWidth="1"/>
    <col min="68" max="68" width="12.625" bestFit="1" customWidth="1"/>
    <col min="69" max="69" width="2.5" customWidth="1"/>
    <col min="71" max="71" width="12.5" bestFit="1" customWidth="1"/>
    <col min="72" max="72" width="6.375" customWidth="1"/>
    <col min="73" max="73" width="14.875" bestFit="1" customWidth="1"/>
    <col min="74" max="74" width="6" customWidth="1"/>
    <col min="75" max="75" width="12.625" bestFit="1" customWidth="1"/>
    <col min="76" max="76" width="2.5" customWidth="1"/>
    <col min="78" max="78" width="12.5" bestFit="1" customWidth="1"/>
    <col min="79" max="79" width="6.375" customWidth="1"/>
    <col min="80" max="80" width="14.875" bestFit="1" customWidth="1"/>
    <col min="81" max="81" width="6" customWidth="1"/>
    <col min="82" max="82" width="12.625" bestFit="1" customWidth="1"/>
    <col min="83" max="83" width="2.5" customWidth="1"/>
    <col min="85" max="85" width="12.5" bestFit="1" customWidth="1"/>
    <col min="86" max="86" width="6.375" customWidth="1"/>
    <col min="87" max="87" width="14.875" bestFit="1" customWidth="1"/>
    <col min="88" max="88" width="6" customWidth="1"/>
    <col min="89" max="89" width="12.625" bestFit="1" customWidth="1"/>
    <col min="90" max="90" width="2.5" customWidth="1"/>
    <col min="92" max="92" width="12.5" bestFit="1" customWidth="1"/>
    <col min="93" max="93" width="6.375" customWidth="1"/>
    <col min="94" max="94" width="14.875" bestFit="1" customWidth="1"/>
    <col min="95" max="95" width="6" customWidth="1"/>
    <col min="96" max="96" width="12.625" bestFit="1" customWidth="1"/>
    <col min="97" max="97" width="2.5" customWidth="1"/>
    <col min="99" max="99" width="12.5" bestFit="1" customWidth="1"/>
    <col min="100" max="100" width="6.375" customWidth="1"/>
    <col min="101" max="101" width="14.875" bestFit="1" customWidth="1"/>
    <col min="102" max="102" width="6" customWidth="1"/>
    <col min="103" max="103" width="12.625" bestFit="1" customWidth="1"/>
    <col min="104" max="104" width="2.5" customWidth="1"/>
    <col min="106" max="106" width="12.5" bestFit="1" customWidth="1"/>
    <col min="107" max="107" width="6.375" customWidth="1"/>
    <col min="108" max="108" width="14.875" bestFit="1" customWidth="1"/>
    <col min="109" max="109" width="6" customWidth="1"/>
    <col min="110" max="110" width="12.625" bestFit="1" customWidth="1"/>
    <col min="111" max="111" width="2.5" customWidth="1"/>
  </cols>
  <sheetData>
    <row r="1" spans="2:110" ht="33.75">
      <c r="B1" s="5" t="s">
        <v>0</v>
      </c>
      <c r="D1" s="5"/>
      <c r="G1" s="15" t="s">
        <v>34</v>
      </c>
      <c r="I1" s="15" t="s">
        <v>34</v>
      </c>
      <c r="J1" s="15" t="s">
        <v>34</v>
      </c>
      <c r="K1" s="15" t="s">
        <v>34</v>
      </c>
    </row>
    <row r="2" spans="2:110">
      <c r="I2" s="19" t="s">
        <v>27</v>
      </c>
      <c r="J2" s="19"/>
      <c r="K2" s="19"/>
      <c r="L2" s="19"/>
      <c r="N2" s="19" t="s">
        <v>53</v>
      </c>
      <c r="O2" s="19"/>
      <c r="P2" s="19"/>
      <c r="Q2" s="19"/>
      <c r="R2" s="19"/>
      <c r="S2" s="19"/>
      <c r="U2" s="19" t="s">
        <v>54</v>
      </c>
      <c r="V2" s="19"/>
      <c r="W2" s="19"/>
      <c r="X2" s="19"/>
      <c r="Y2" s="19"/>
      <c r="Z2" s="19"/>
      <c r="AB2" s="19" t="s">
        <v>55</v>
      </c>
      <c r="AC2" s="19"/>
      <c r="AD2" s="19"/>
      <c r="AE2" s="19"/>
      <c r="AF2" s="19"/>
      <c r="AG2" s="19"/>
      <c r="AI2" s="19" t="s">
        <v>77</v>
      </c>
      <c r="AJ2" s="19"/>
      <c r="AK2" s="19"/>
      <c r="AL2" s="19"/>
      <c r="AM2" s="19"/>
      <c r="AN2" s="19"/>
      <c r="AP2" s="19" t="s">
        <v>56</v>
      </c>
      <c r="AQ2" s="19"/>
      <c r="AR2" s="19"/>
      <c r="AS2" s="19"/>
      <c r="AT2" s="19"/>
      <c r="AU2" s="19"/>
      <c r="AW2" s="19" t="s">
        <v>57</v>
      </c>
      <c r="AX2" s="19"/>
      <c r="AY2" s="19"/>
      <c r="AZ2" s="19"/>
      <c r="BA2" s="19"/>
      <c r="BB2" s="19"/>
      <c r="BD2" s="19" t="s">
        <v>76</v>
      </c>
      <c r="BE2" s="19"/>
      <c r="BF2" s="19"/>
      <c r="BG2" s="19"/>
      <c r="BH2" s="19"/>
      <c r="BI2" s="19"/>
      <c r="BK2" s="19" t="s">
        <v>58</v>
      </c>
      <c r="BL2" s="19"/>
      <c r="BM2" s="19"/>
      <c r="BN2" s="19"/>
      <c r="BO2" s="19"/>
      <c r="BP2" s="19"/>
      <c r="BR2" s="19" t="s">
        <v>59</v>
      </c>
      <c r="BS2" s="19"/>
      <c r="BT2" s="19"/>
      <c r="BU2" s="19"/>
      <c r="BV2" s="19"/>
      <c r="BW2" s="19"/>
      <c r="BY2" s="19" t="s">
        <v>60</v>
      </c>
      <c r="BZ2" s="19"/>
      <c r="CA2" s="19"/>
      <c r="CB2" s="19"/>
      <c r="CC2" s="19"/>
      <c r="CD2" s="19"/>
      <c r="CF2" s="19" t="s">
        <v>61</v>
      </c>
      <c r="CG2" s="19"/>
      <c r="CH2" s="19"/>
      <c r="CI2" s="19"/>
      <c r="CJ2" s="19"/>
      <c r="CK2" s="19"/>
      <c r="CM2" s="19" t="s">
        <v>62</v>
      </c>
      <c r="CN2" s="19"/>
      <c r="CO2" s="19"/>
      <c r="CP2" s="19"/>
      <c r="CQ2" s="19"/>
      <c r="CR2" s="19"/>
      <c r="CT2" s="19" t="s">
        <v>63</v>
      </c>
      <c r="CU2" s="19"/>
      <c r="CV2" s="19"/>
      <c r="CW2" s="19"/>
      <c r="CX2" s="19"/>
      <c r="CY2" s="19"/>
      <c r="DA2" s="19" t="s">
        <v>64</v>
      </c>
      <c r="DB2" s="19"/>
      <c r="DC2" s="19"/>
      <c r="DD2" s="19"/>
      <c r="DE2" s="19"/>
      <c r="DF2" s="19"/>
    </row>
    <row r="3" spans="2:110">
      <c r="B3" s="6" t="s">
        <v>26</v>
      </c>
      <c r="C3" s="6" t="s">
        <v>1</v>
      </c>
      <c r="D3" s="6" t="s">
        <v>24</v>
      </c>
      <c r="E3" s="7" t="s">
        <v>31</v>
      </c>
      <c r="F3" s="6" t="s">
        <v>29</v>
      </c>
      <c r="G3" s="6" t="s">
        <v>32</v>
      </c>
      <c r="I3" s="7" t="s">
        <v>11</v>
      </c>
      <c r="J3" s="7" t="s">
        <v>2</v>
      </c>
      <c r="K3" s="7" t="s">
        <v>3</v>
      </c>
      <c r="L3" s="7" t="s">
        <v>12</v>
      </c>
      <c r="N3" s="6" t="s">
        <v>11</v>
      </c>
      <c r="O3" s="6" t="s">
        <v>2</v>
      </c>
      <c r="P3" s="6" t="s">
        <v>33</v>
      </c>
      <c r="Q3" s="6" t="s">
        <v>3</v>
      </c>
      <c r="R3" s="6" t="s">
        <v>33</v>
      </c>
      <c r="S3" s="6" t="s">
        <v>12</v>
      </c>
      <c r="U3" s="6" t="s">
        <v>11</v>
      </c>
      <c r="V3" s="6" t="s">
        <v>2</v>
      </c>
      <c r="W3" s="6" t="s">
        <v>33</v>
      </c>
      <c r="X3" s="6" t="s">
        <v>3</v>
      </c>
      <c r="Y3" s="6" t="s">
        <v>33</v>
      </c>
      <c r="Z3" s="6" t="s">
        <v>12</v>
      </c>
      <c r="AB3" s="6" t="s">
        <v>11</v>
      </c>
      <c r="AC3" s="6" t="s">
        <v>2</v>
      </c>
      <c r="AD3" s="6" t="s">
        <v>33</v>
      </c>
      <c r="AE3" s="6" t="s">
        <v>3</v>
      </c>
      <c r="AF3" s="6" t="s">
        <v>33</v>
      </c>
      <c r="AG3" s="6" t="s">
        <v>12</v>
      </c>
      <c r="AI3" s="6" t="s">
        <v>11</v>
      </c>
      <c r="AJ3" s="6" t="s">
        <v>2</v>
      </c>
      <c r="AK3" s="6" t="s">
        <v>33</v>
      </c>
      <c r="AL3" s="6" t="s">
        <v>3</v>
      </c>
      <c r="AM3" s="6" t="s">
        <v>33</v>
      </c>
      <c r="AN3" s="6" t="s">
        <v>12</v>
      </c>
      <c r="AP3" s="6" t="s">
        <v>11</v>
      </c>
      <c r="AQ3" s="6" t="s">
        <v>2</v>
      </c>
      <c r="AR3" s="6" t="s">
        <v>33</v>
      </c>
      <c r="AS3" s="6" t="s">
        <v>3</v>
      </c>
      <c r="AT3" s="6" t="s">
        <v>33</v>
      </c>
      <c r="AU3" s="6" t="s">
        <v>12</v>
      </c>
      <c r="AW3" s="6" t="s">
        <v>11</v>
      </c>
      <c r="AX3" s="6" t="s">
        <v>2</v>
      </c>
      <c r="AY3" s="6" t="s">
        <v>33</v>
      </c>
      <c r="AZ3" s="6" t="s">
        <v>3</v>
      </c>
      <c r="BA3" s="6" t="s">
        <v>33</v>
      </c>
      <c r="BB3" s="6" t="s">
        <v>12</v>
      </c>
      <c r="BD3" s="6" t="s">
        <v>11</v>
      </c>
      <c r="BE3" s="6" t="s">
        <v>2</v>
      </c>
      <c r="BF3" s="6" t="s">
        <v>33</v>
      </c>
      <c r="BG3" s="6" t="s">
        <v>3</v>
      </c>
      <c r="BH3" s="6" t="s">
        <v>33</v>
      </c>
      <c r="BI3" s="6" t="s">
        <v>12</v>
      </c>
      <c r="BK3" s="6" t="s">
        <v>11</v>
      </c>
      <c r="BL3" s="6" t="s">
        <v>2</v>
      </c>
      <c r="BM3" s="6" t="s">
        <v>33</v>
      </c>
      <c r="BN3" s="6" t="s">
        <v>3</v>
      </c>
      <c r="BO3" s="6" t="s">
        <v>33</v>
      </c>
      <c r="BP3" s="6" t="s">
        <v>12</v>
      </c>
      <c r="BR3" s="6" t="s">
        <v>11</v>
      </c>
      <c r="BS3" s="6" t="s">
        <v>2</v>
      </c>
      <c r="BT3" s="6" t="s">
        <v>33</v>
      </c>
      <c r="BU3" s="6" t="s">
        <v>3</v>
      </c>
      <c r="BV3" s="6" t="s">
        <v>33</v>
      </c>
      <c r="BW3" s="6" t="s">
        <v>12</v>
      </c>
      <c r="BY3" s="6" t="s">
        <v>11</v>
      </c>
      <c r="BZ3" s="6" t="s">
        <v>2</v>
      </c>
      <c r="CA3" s="6" t="s">
        <v>33</v>
      </c>
      <c r="CB3" s="6" t="s">
        <v>3</v>
      </c>
      <c r="CC3" s="6" t="s">
        <v>33</v>
      </c>
      <c r="CD3" s="6" t="s">
        <v>12</v>
      </c>
      <c r="CF3" s="6" t="s">
        <v>11</v>
      </c>
      <c r="CG3" s="6" t="s">
        <v>2</v>
      </c>
      <c r="CH3" s="6" t="s">
        <v>33</v>
      </c>
      <c r="CI3" s="6" t="s">
        <v>3</v>
      </c>
      <c r="CJ3" s="6" t="s">
        <v>33</v>
      </c>
      <c r="CK3" s="6" t="s">
        <v>12</v>
      </c>
      <c r="CM3" s="6" t="s">
        <v>11</v>
      </c>
      <c r="CN3" s="6" t="s">
        <v>2</v>
      </c>
      <c r="CO3" s="6" t="s">
        <v>33</v>
      </c>
      <c r="CP3" s="6" t="s">
        <v>3</v>
      </c>
      <c r="CQ3" s="6" t="s">
        <v>33</v>
      </c>
      <c r="CR3" s="6" t="s">
        <v>12</v>
      </c>
      <c r="CT3" s="6" t="s">
        <v>11</v>
      </c>
      <c r="CU3" s="6" t="s">
        <v>2</v>
      </c>
      <c r="CV3" s="6" t="s">
        <v>33</v>
      </c>
      <c r="CW3" s="6" t="s">
        <v>3</v>
      </c>
      <c r="CX3" s="6" t="s">
        <v>33</v>
      </c>
      <c r="CY3" s="6" t="s">
        <v>12</v>
      </c>
      <c r="DA3" s="6" t="s">
        <v>11</v>
      </c>
      <c r="DB3" s="6" t="s">
        <v>2</v>
      </c>
      <c r="DC3" s="6" t="s">
        <v>33</v>
      </c>
      <c r="DD3" s="6" t="s">
        <v>3</v>
      </c>
      <c r="DE3" s="6" t="s">
        <v>33</v>
      </c>
      <c r="DF3" s="6" t="s">
        <v>12</v>
      </c>
    </row>
    <row r="4" spans="2:110">
      <c r="B4" t="s">
        <v>27</v>
      </c>
      <c r="C4" t="s">
        <v>50</v>
      </c>
      <c r="D4" t="s">
        <v>101</v>
      </c>
      <c r="E4" s="11">
        <v>15</v>
      </c>
      <c r="G4" s="12">
        <f>+SUM(G5:G16)</f>
        <v>0.99960000000000016</v>
      </c>
      <c r="I4" s="14">
        <f>+SUM(I5:I16)</f>
        <v>283</v>
      </c>
      <c r="J4" s="13">
        <f>+SUMPRODUCT(G5:G16,J5:J16)</f>
        <v>0</v>
      </c>
      <c r="K4" s="13">
        <f>+SUMPRODUCT(G5:G16,K5:K16)</f>
        <v>0</v>
      </c>
      <c r="L4" s="11"/>
      <c r="N4" s="14">
        <f>+SUM(N5:N16)</f>
        <v>15</v>
      </c>
      <c r="U4" s="14">
        <f>+SUM(U5:U16)</f>
        <v>19.5</v>
      </c>
      <c r="AB4" s="14">
        <f>+SUM(AB5:AB16)</f>
        <v>16</v>
      </c>
      <c r="AI4" s="14">
        <f>+SUM(AI5:AI16)</f>
        <v>19.5</v>
      </c>
      <c r="AP4" s="14">
        <f>+SUM(AP5:AP16)</f>
        <v>24</v>
      </c>
      <c r="AW4" s="14">
        <f>+SUM(AW5:AW16)</f>
        <v>21</v>
      </c>
      <c r="BD4" s="14">
        <f>+SUM(BD5:BD16)</f>
        <v>24</v>
      </c>
      <c r="BK4" s="14">
        <f>+SUM(BK5:BK16)</f>
        <v>24</v>
      </c>
      <c r="BR4" s="14">
        <f>+SUM(BR5:BR16)</f>
        <v>24</v>
      </c>
      <c r="BY4" s="14">
        <f>+SUM(BY5:BY16)</f>
        <v>24</v>
      </c>
      <c r="CF4" s="14">
        <f>+SUM(CF5:CF16)</f>
        <v>24</v>
      </c>
      <c r="CM4" s="14">
        <f>+SUM(CM5:CM16)</f>
        <v>16</v>
      </c>
      <c r="CO4">
        <v>100</v>
      </c>
      <c r="CT4" s="14">
        <f>+SUM(CT5:CT16)</f>
        <v>16</v>
      </c>
      <c r="DA4" s="14">
        <f>+SUM(DA5:DA16)</f>
        <v>16</v>
      </c>
    </row>
    <row r="5" spans="2:110" outlineLevel="1">
      <c r="B5" t="s">
        <v>28</v>
      </c>
      <c r="C5" t="s">
        <v>50</v>
      </c>
      <c r="E5" s="11"/>
      <c r="F5" t="s">
        <v>65</v>
      </c>
      <c r="G5" s="12">
        <v>8.3299999999999999E-2</v>
      </c>
      <c r="I5" s="11">
        <f>+SUMIF($N$3:$ZZ$3,I$3,$N5:$ZZ5)</f>
        <v>21.5</v>
      </c>
      <c r="J5" s="13">
        <f t="shared" ref="J5:K16" si="0">+_xlfn.MAXIFS($N5:$ZF5,$N$3:$ZF$3,J$3)</f>
        <v>0</v>
      </c>
      <c r="K5" s="13">
        <f t="shared" si="0"/>
        <v>0</v>
      </c>
      <c r="L5" s="11"/>
      <c r="N5">
        <v>5</v>
      </c>
      <c r="O5" s="12"/>
      <c r="P5" s="12">
        <v>0.5</v>
      </c>
      <c r="Q5" s="12"/>
      <c r="R5" s="12">
        <v>0.5</v>
      </c>
      <c r="U5">
        <v>1.5</v>
      </c>
      <c r="V5" s="12"/>
      <c r="W5" s="12">
        <v>0.5</v>
      </c>
      <c r="X5" s="12"/>
      <c r="Y5" s="12">
        <v>0.5</v>
      </c>
      <c r="AB5">
        <v>1</v>
      </c>
      <c r="AC5" s="12"/>
      <c r="AD5" s="12">
        <v>0.8</v>
      </c>
      <c r="AE5" s="12"/>
      <c r="AF5" s="12">
        <v>0.8</v>
      </c>
      <c r="AI5">
        <v>1</v>
      </c>
      <c r="AJ5" s="12"/>
      <c r="AK5" s="12">
        <v>0.8</v>
      </c>
      <c r="AL5" s="12"/>
      <c r="AM5" s="12">
        <v>0.8</v>
      </c>
      <c r="AP5">
        <v>1</v>
      </c>
      <c r="AQ5" s="12"/>
      <c r="AR5" s="12">
        <v>0.8</v>
      </c>
      <c r="AS5" s="12"/>
      <c r="AT5" s="12">
        <v>0.8</v>
      </c>
      <c r="AW5">
        <v>4</v>
      </c>
      <c r="AX5" s="12"/>
      <c r="AY5" s="12">
        <v>1</v>
      </c>
      <c r="AZ5" s="12"/>
      <c r="BA5" s="12">
        <v>1</v>
      </c>
      <c r="BD5">
        <v>1</v>
      </c>
      <c r="BE5" s="12"/>
      <c r="BF5" s="12">
        <v>1</v>
      </c>
      <c r="BG5" s="12"/>
      <c r="BH5" s="12">
        <v>1</v>
      </c>
      <c r="BK5">
        <v>1</v>
      </c>
      <c r="BL5" s="12"/>
      <c r="BM5" s="12">
        <v>1</v>
      </c>
      <c r="BN5" s="12"/>
      <c r="BO5" s="12">
        <v>1</v>
      </c>
      <c r="BR5">
        <v>1</v>
      </c>
      <c r="BS5" s="12"/>
      <c r="BT5" s="12">
        <v>1</v>
      </c>
      <c r="BU5" s="12"/>
      <c r="BV5" s="12">
        <v>1</v>
      </c>
      <c r="BY5">
        <v>1</v>
      </c>
      <c r="BZ5" s="12"/>
      <c r="CA5" s="12">
        <v>1</v>
      </c>
      <c r="CB5" s="12"/>
      <c r="CC5" s="12">
        <v>1</v>
      </c>
      <c r="CF5">
        <v>1</v>
      </c>
      <c r="CG5" s="12"/>
      <c r="CH5" s="12">
        <v>1</v>
      </c>
      <c r="CI5" s="12"/>
      <c r="CJ5" s="12">
        <v>1</v>
      </c>
      <c r="CM5">
        <v>1</v>
      </c>
      <c r="CN5" s="12"/>
      <c r="CO5" s="12">
        <v>1</v>
      </c>
      <c r="CP5" s="12"/>
      <c r="CQ5" s="12">
        <v>1</v>
      </c>
      <c r="CT5">
        <v>1</v>
      </c>
      <c r="CU5" s="12"/>
      <c r="CV5" s="12">
        <v>1</v>
      </c>
      <c r="CW5" s="12"/>
      <c r="CX5" s="12">
        <v>1</v>
      </c>
      <c r="DA5">
        <v>1</v>
      </c>
      <c r="DB5" s="12"/>
      <c r="DC5" s="12">
        <v>1</v>
      </c>
      <c r="DD5" s="12"/>
      <c r="DE5" s="12">
        <v>1</v>
      </c>
    </row>
    <row r="6" spans="2:110" outlineLevel="1">
      <c r="B6" t="s">
        <v>28</v>
      </c>
      <c r="C6" t="s">
        <v>50</v>
      </c>
      <c r="E6" s="11"/>
      <c r="F6" t="s">
        <v>30</v>
      </c>
      <c r="G6" s="12">
        <v>8.3299999999999999E-2</v>
      </c>
      <c r="I6" s="11">
        <f t="shared" ref="I6:I15" si="1">+SUMIF($N$3:$ZZ$3,I$3,$N6:$ZZ6)</f>
        <v>22.5</v>
      </c>
      <c r="J6" s="13">
        <f t="shared" si="0"/>
        <v>0</v>
      </c>
      <c r="K6" s="13">
        <f t="shared" si="0"/>
        <v>0</v>
      </c>
      <c r="L6" s="11"/>
      <c r="N6">
        <v>5</v>
      </c>
      <c r="O6" s="12"/>
      <c r="P6" s="12">
        <v>0.5</v>
      </c>
      <c r="Q6" s="12"/>
      <c r="R6" s="12">
        <v>0.5</v>
      </c>
      <c r="U6">
        <v>1.5</v>
      </c>
      <c r="V6" s="12"/>
      <c r="W6" s="12">
        <v>0.5</v>
      </c>
      <c r="X6" s="12"/>
      <c r="Y6" s="12">
        <v>0.5</v>
      </c>
      <c r="AB6">
        <v>1</v>
      </c>
      <c r="AC6" s="12"/>
      <c r="AD6" s="12">
        <v>0.5</v>
      </c>
      <c r="AE6" s="12"/>
      <c r="AF6" s="12">
        <v>0.5</v>
      </c>
      <c r="AI6">
        <v>1</v>
      </c>
      <c r="AJ6" s="12"/>
      <c r="AK6" s="12">
        <v>0.8</v>
      </c>
      <c r="AL6" s="12"/>
      <c r="AM6" s="12">
        <v>0.8</v>
      </c>
      <c r="AP6">
        <v>1</v>
      </c>
      <c r="AQ6" s="12"/>
      <c r="AR6" s="12">
        <v>0.8</v>
      </c>
      <c r="AS6" s="12"/>
      <c r="AT6" s="12">
        <v>0.8</v>
      </c>
      <c r="AW6">
        <v>1</v>
      </c>
      <c r="AX6" s="12"/>
      <c r="AY6" s="12">
        <v>0.8</v>
      </c>
      <c r="AZ6" s="12"/>
      <c r="BA6" s="12">
        <v>0.8</v>
      </c>
      <c r="BD6">
        <v>5</v>
      </c>
      <c r="BE6" s="12"/>
      <c r="BF6" s="12">
        <v>1</v>
      </c>
      <c r="BG6" s="12"/>
      <c r="BH6" s="12">
        <v>1</v>
      </c>
      <c r="BK6">
        <v>1</v>
      </c>
      <c r="BL6" s="12"/>
      <c r="BM6" s="12">
        <v>1</v>
      </c>
      <c r="BN6" s="12"/>
      <c r="BO6" s="12">
        <v>1</v>
      </c>
      <c r="BR6">
        <v>1</v>
      </c>
      <c r="BS6" s="12"/>
      <c r="BT6" s="12">
        <v>1</v>
      </c>
      <c r="BU6" s="12"/>
      <c r="BV6" s="12">
        <v>1</v>
      </c>
      <c r="BY6">
        <v>1</v>
      </c>
      <c r="BZ6" s="12"/>
      <c r="CA6" s="12">
        <v>1</v>
      </c>
      <c r="CB6" s="12"/>
      <c r="CC6" s="12">
        <v>1</v>
      </c>
      <c r="CF6">
        <v>1</v>
      </c>
      <c r="CG6" s="12"/>
      <c r="CH6" s="12">
        <v>1</v>
      </c>
      <c r="CI6" s="12"/>
      <c r="CJ6" s="12">
        <v>1</v>
      </c>
      <c r="CM6">
        <v>1</v>
      </c>
      <c r="CN6" s="12"/>
      <c r="CO6" s="12">
        <v>1</v>
      </c>
      <c r="CP6" s="12"/>
      <c r="CQ6" s="12">
        <v>1</v>
      </c>
      <c r="CT6">
        <v>1</v>
      </c>
      <c r="CU6" s="12"/>
      <c r="CV6" s="12">
        <v>1</v>
      </c>
      <c r="CW6" s="12"/>
      <c r="CX6" s="12">
        <v>1</v>
      </c>
      <c r="DA6">
        <v>1</v>
      </c>
      <c r="DB6" s="12"/>
      <c r="DC6" s="12">
        <v>1</v>
      </c>
      <c r="DD6" s="12"/>
      <c r="DE6" s="12">
        <v>1</v>
      </c>
    </row>
    <row r="7" spans="2:110" outlineLevel="1">
      <c r="B7" t="s">
        <v>28</v>
      </c>
      <c r="C7" t="s">
        <v>50</v>
      </c>
      <c r="E7" s="11"/>
      <c r="F7" t="s">
        <v>66</v>
      </c>
      <c r="G7" s="12">
        <v>8.3299999999999999E-2</v>
      </c>
      <c r="I7" s="11">
        <f t="shared" si="1"/>
        <v>26.5</v>
      </c>
      <c r="J7" s="13">
        <f t="shared" si="0"/>
        <v>0</v>
      </c>
      <c r="K7" s="13">
        <f t="shared" si="0"/>
        <v>0</v>
      </c>
      <c r="L7" s="11"/>
      <c r="N7">
        <v>5</v>
      </c>
      <c r="O7" s="12"/>
      <c r="P7" s="12">
        <v>0.5</v>
      </c>
      <c r="Q7" s="12"/>
      <c r="R7" s="12">
        <v>0.5</v>
      </c>
      <c r="U7">
        <v>1.5</v>
      </c>
      <c r="V7" s="12"/>
      <c r="W7" s="12">
        <v>0.5</v>
      </c>
      <c r="X7" s="12"/>
      <c r="Y7" s="12">
        <v>0.5</v>
      </c>
      <c r="AB7">
        <v>1</v>
      </c>
      <c r="AC7" s="12"/>
      <c r="AD7" s="12">
        <v>0.5</v>
      </c>
      <c r="AE7" s="12"/>
      <c r="AF7" s="12">
        <v>0.5</v>
      </c>
      <c r="AI7">
        <v>1</v>
      </c>
      <c r="AJ7" s="12"/>
      <c r="AK7" s="12">
        <v>0.5</v>
      </c>
      <c r="AL7" s="12"/>
      <c r="AM7" s="12">
        <v>0.5</v>
      </c>
      <c r="AP7">
        <v>5</v>
      </c>
      <c r="AQ7" s="12"/>
      <c r="AR7" s="12">
        <v>0.8</v>
      </c>
      <c r="AS7" s="12"/>
      <c r="AT7" s="12">
        <v>0.8</v>
      </c>
      <c r="AW7">
        <v>1</v>
      </c>
      <c r="AX7" s="12"/>
      <c r="AY7" s="12">
        <v>0.8</v>
      </c>
      <c r="AZ7" s="12"/>
      <c r="BA7" s="12">
        <v>0.8</v>
      </c>
      <c r="BD7">
        <v>1</v>
      </c>
      <c r="BE7" s="12"/>
      <c r="BF7" s="12">
        <v>0.8</v>
      </c>
      <c r="BG7" s="12"/>
      <c r="BH7" s="12">
        <v>0.8</v>
      </c>
      <c r="BK7">
        <v>5</v>
      </c>
      <c r="BL7" s="12"/>
      <c r="BM7" s="12">
        <v>1</v>
      </c>
      <c r="BN7" s="12"/>
      <c r="BO7" s="12">
        <v>1</v>
      </c>
      <c r="BR7">
        <v>1</v>
      </c>
      <c r="BS7" s="12"/>
      <c r="BT7" s="12">
        <v>1</v>
      </c>
      <c r="BU7" s="12"/>
      <c r="BV7" s="12">
        <v>1</v>
      </c>
      <c r="BY7">
        <v>1</v>
      </c>
      <c r="BZ7" s="12"/>
      <c r="CA7" s="12">
        <v>1</v>
      </c>
      <c r="CB7" s="12"/>
      <c r="CC7" s="12">
        <v>1</v>
      </c>
      <c r="CF7">
        <v>1</v>
      </c>
      <c r="CG7" s="12"/>
      <c r="CH7" s="12">
        <v>1</v>
      </c>
      <c r="CI7" s="12"/>
      <c r="CJ7" s="12">
        <v>1</v>
      </c>
      <c r="CM7">
        <v>1</v>
      </c>
      <c r="CN7" s="12"/>
      <c r="CO7" s="12">
        <v>1</v>
      </c>
      <c r="CP7" s="12"/>
      <c r="CQ7" s="12">
        <v>1</v>
      </c>
      <c r="CT7">
        <v>1</v>
      </c>
      <c r="CU7" s="12"/>
      <c r="CV7" s="12">
        <v>1</v>
      </c>
      <c r="CW7" s="12"/>
      <c r="CX7" s="12">
        <v>1</v>
      </c>
      <c r="DA7">
        <v>1</v>
      </c>
      <c r="DB7" s="12"/>
      <c r="DC7" s="12">
        <v>1</v>
      </c>
      <c r="DD7" s="12"/>
      <c r="DE7" s="12">
        <v>1</v>
      </c>
    </row>
    <row r="8" spans="2:110" outlineLevel="1">
      <c r="B8" t="s">
        <v>28</v>
      </c>
      <c r="C8" t="s">
        <v>50</v>
      </c>
      <c r="E8" s="11"/>
      <c r="F8" t="s">
        <v>67</v>
      </c>
      <c r="G8" s="12">
        <v>8.3299999999999999E-2</v>
      </c>
      <c r="I8" s="11">
        <f t="shared" si="1"/>
        <v>28</v>
      </c>
      <c r="J8" s="13">
        <f t="shared" si="0"/>
        <v>0</v>
      </c>
      <c r="K8" s="13">
        <f t="shared" si="0"/>
        <v>0</v>
      </c>
      <c r="L8" s="11"/>
      <c r="O8" s="12"/>
      <c r="P8" s="12"/>
      <c r="Q8" s="12"/>
      <c r="R8" s="12"/>
      <c r="U8">
        <v>5</v>
      </c>
      <c r="V8" s="12"/>
      <c r="W8" s="12">
        <v>0.5</v>
      </c>
      <c r="X8" s="12"/>
      <c r="Y8" s="12">
        <v>0.5</v>
      </c>
      <c r="AB8">
        <v>1</v>
      </c>
      <c r="AC8" s="12"/>
      <c r="AD8" s="12">
        <v>0.5</v>
      </c>
      <c r="AE8" s="12"/>
      <c r="AF8" s="12">
        <v>0.5</v>
      </c>
      <c r="AI8">
        <v>1</v>
      </c>
      <c r="AJ8" s="12"/>
      <c r="AK8" s="12">
        <v>0.5</v>
      </c>
      <c r="AL8" s="12"/>
      <c r="AM8" s="12">
        <v>0.5</v>
      </c>
      <c r="AP8">
        <v>1</v>
      </c>
      <c r="AQ8" s="12"/>
      <c r="AR8" s="12">
        <v>0.5</v>
      </c>
      <c r="AS8" s="12"/>
      <c r="AT8" s="12">
        <v>0.5</v>
      </c>
      <c r="AW8">
        <v>4</v>
      </c>
      <c r="AX8" s="12"/>
      <c r="AY8" s="12">
        <v>0.8</v>
      </c>
      <c r="AZ8" s="12"/>
      <c r="BA8" s="12">
        <v>0.8</v>
      </c>
      <c r="BD8">
        <v>1</v>
      </c>
      <c r="BE8" s="12"/>
      <c r="BF8" s="12">
        <v>0.8</v>
      </c>
      <c r="BG8" s="12"/>
      <c r="BH8" s="12">
        <v>0.8</v>
      </c>
      <c r="BK8">
        <v>1</v>
      </c>
      <c r="BL8" s="12"/>
      <c r="BM8" s="12">
        <v>0.8</v>
      </c>
      <c r="BN8" s="12"/>
      <c r="BO8" s="12">
        <v>0.8</v>
      </c>
      <c r="BR8">
        <v>5</v>
      </c>
      <c r="BS8" s="12"/>
      <c r="BT8" s="12">
        <v>1</v>
      </c>
      <c r="BU8" s="12"/>
      <c r="BV8" s="12">
        <v>1</v>
      </c>
      <c r="BY8">
        <v>5</v>
      </c>
      <c r="BZ8" s="12"/>
      <c r="CA8" s="12">
        <v>1</v>
      </c>
      <c r="CB8" s="12"/>
      <c r="CC8" s="12">
        <v>1</v>
      </c>
      <c r="CF8">
        <v>1</v>
      </c>
      <c r="CG8" s="12"/>
      <c r="CH8" s="12">
        <v>1</v>
      </c>
      <c r="CI8" s="12"/>
      <c r="CJ8" s="12">
        <v>1</v>
      </c>
      <c r="CM8">
        <v>1</v>
      </c>
      <c r="CN8" s="12"/>
      <c r="CO8" s="12">
        <v>1</v>
      </c>
      <c r="CP8" s="12"/>
      <c r="CQ8" s="12">
        <v>1</v>
      </c>
      <c r="CT8">
        <v>1</v>
      </c>
      <c r="CU8" s="12"/>
      <c r="CV8" s="12">
        <v>1</v>
      </c>
      <c r="CW8" s="12"/>
      <c r="CX8" s="12">
        <v>1</v>
      </c>
      <c r="DA8">
        <v>1</v>
      </c>
      <c r="DB8" s="12"/>
      <c r="DC8" s="12">
        <v>1</v>
      </c>
      <c r="DD8" s="12"/>
      <c r="DE8" s="12">
        <v>1</v>
      </c>
    </row>
    <row r="9" spans="2:110" outlineLevel="1">
      <c r="B9" t="s">
        <v>28</v>
      </c>
      <c r="C9" t="s">
        <v>50</v>
      </c>
      <c r="E9" s="11"/>
      <c r="F9" t="s">
        <v>68</v>
      </c>
      <c r="G9" s="12">
        <v>8.3299999999999999E-2</v>
      </c>
      <c r="I9" s="11">
        <f t="shared" si="1"/>
        <v>24</v>
      </c>
      <c r="J9" s="13">
        <f t="shared" si="0"/>
        <v>0</v>
      </c>
      <c r="K9" s="13">
        <f t="shared" si="0"/>
        <v>0</v>
      </c>
      <c r="L9" s="11"/>
      <c r="O9" s="12"/>
      <c r="P9" s="12"/>
      <c r="Q9" s="12"/>
      <c r="R9" s="12"/>
      <c r="U9">
        <v>5</v>
      </c>
      <c r="V9" s="12"/>
      <c r="W9" s="12">
        <v>0.5</v>
      </c>
      <c r="X9" s="12"/>
      <c r="Y9" s="12">
        <v>0.5</v>
      </c>
      <c r="AB9">
        <v>1</v>
      </c>
      <c r="AC9" s="12"/>
      <c r="AD9" s="12">
        <v>0.5</v>
      </c>
      <c r="AE9" s="12"/>
      <c r="AF9" s="12">
        <v>0.5</v>
      </c>
      <c r="AI9">
        <v>1</v>
      </c>
      <c r="AJ9" s="12"/>
      <c r="AK9" s="12">
        <v>0.5</v>
      </c>
      <c r="AL9" s="12"/>
      <c r="AM9" s="12">
        <v>0.5</v>
      </c>
      <c r="AP9">
        <v>1</v>
      </c>
      <c r="AQ9" s="12"/>
      <c r="AR9" s="12">
        <v>0.5</v>
      </c>
      <c r="AS9" s="12"/>
      <c r="AT9" s="12">
        <v>0.5</v>
      </c>
      <c r="AW9">
        <v>4</v>
      </c>
      <c r="AX9" s="12"/>
      <c r="AY9" s="12">
        <v>0.8</v>
      </c>
      <c r="AZ9" s="12"/>
      <c r="BA9" s="12">
        <v>0.8</v>
      </c>
      <c r="BD9">
        <v>1</v>
      </c>
      <c r="BE9" s="12"/>
      <c r="BF9" s="12">
        <v>0.8</v>
      </c>
      <c r="BG9" s="12"/>
      <c r="BH9" s="12">
        <v>0.8</v>
      </c>
      <c r="BK9">
        <v>1</v>
      </c>
      <c r="BL9" s="12"/>
      <c r="BM9" s="12">
        <v>0.8</v>
      </c>
      <c r="BN9" s="12"/>
      <c r="BO9" s="12">
        <v>0.8</v>
      </c>
      <c r="BR9">
        <v>1</v>
      </c>
      <c r="BS9" s="12"/>
      <c r="BT9" s="12">
        <v>0.8</v>
      </c>
      <c r="BU9" s="12"/>
      <c r="BV9" s="12">
        <v>0.8</v>
      </c>
      <c r="BY9">
        <v>5</v>
      </c>
      <c r="BZ9" s="12"/>
      <c r="CA9" s="12">
        <v>1</v>
      </c>
      <c r="CB9" s="12"/>
      <c r="CC9" s="12">
        <v>1</v>
      </c>
      <c r="CF9">
        <v>1</v>
      </c>
      <c r="CG9" s="12"/>
      <c r="CH9" s="12">
        <v>1</v>
      </c>
      <c r="CI9" s="12"/>
      <c r="CJ9" s="12">
        <v>1</v>
      </c>
      <c r="CM9">
        <v>1</v>
      </c>
      <c r="CN9" s="12"/>
      <c r="CO9" s="12">
        <v>1</v>
      </c>
      <c r="CP9" s="12"/>
      <c r="CQ9" s="12">
        <v>1</v>
      </c>
      <c r="CT9">
        <v>1</v>
      </c>
      <c r="CU9" s="12"/>
      <c r="CV9" s="12">
        <v>1</v>
      </c>
      <c r="CW9" s="12"/>
      <c r="CX9" s="12">
        <v>1</v>
      </c>
      <c r="DA9">
        <v>1</v>
      </c>
      <c r="DB9" s="12"/>
      <c r="DC9" s="12">
        <v>1</v>
      </c>
      <c r="DD9" s="12"/>
      <c r="DE9" s="12">
        <v>1</v>
      </c>
    </row>
    <row r="10" spans="2:110" outlineLevel="1">
      <c r="B10" t="s">
        <v>28</v>
      </c>
      <c r="C10" t="s">
        <v>50</v>
      </c>
      <c r="E10" s="11"/>
      <c r="F10" t="s">
        <v>69</v>
      </c>
      <c r="G10" s="12">
        <v>8.3299999999999999E-2</v>
      </c>
      <c r="I10" s="11">
        <f t="shared" si="1"/>
        <v>25.5</v>
      </c>
      <c r="J10" s="13">
        <f t="shared" si="0"/>
        <v>0</v>
      </c>
      <c r="K10" s="13">
        <f t="shared" si="0"/>
        <v>0</v>
      </c>
      <c r="L10" s="11"/>
      <c r="O10" s="12"/>
      <c r="P10" s="12"/>
      <c r="Q10" s="12"/>
      <c r="R10" s="12"/>
      <c r="U10">
        <v>5</v>
      </c>
      <c r="V10" s="12"/>
      <c r="W10" s="12">
        <v>0.5</v>
      </c>
      <c r="X10" s="12"/>
      <c r="Y10" s="12">
        <v>0.5</v>
      </c>
      <c r="AB10">
        <v>1</v>
      </c>
      <c r="AC10" s="12"/>
      <c r="AD10" s="12">
        <v>0.5</v>
      </c>
      <c r="AE10" s="12"/>
      <c r="AF10" s="12">
        <v>0.5</v>
      </c>
      <c r="AI10">
        <v>1.5</v>
      </c>
      <c r="AJ10" s="12"/>
      <c r="AK10" s="12">
        <v>0.5</v>
      </c>
      <c r="AL10" s="12"/>
      <c r="AM10" s="12">
        <v>0.5</v>
      </c>
      <c r="AP10">
        <v>1</v>
      </c>
      <c r="AQ10" s="12"/>
      <c r="AR10" s="12">
        <v>0.5</v>
      </c>
      <c r="AS10" s="12"/>
      <c r="AT10" s="12">
        <v>0.5</v>
      </c>
      <c r="AW10">
        <v>1</v>
      </c>
      <c r="AX10" s="12"/>
      <c r="AY10" s="12">
        <v>0.5</v>
      </c>
      <c r="AZ10" s="12"/>
      <c r="BA10" s="12">
        <v>0.5</v>
      </c>
      <c r="BD10">
        <v>5</v>
      </c>
      <c r="BE10" s="12"/>
      <c r="BF10" s="12">
        <v>0.8</v>
      </c>
      <c r="BG10" s="12"/>
      <c r="BH10" s="12">
        <v>0.8</v>
      </c>
      <c r="BK10">
        <v>1</v>
      </c>
      <c r="BL10" s="12"/>
      <c r="BM10" s="12">
        <v>0.8</v>
      </c>
      <c r="BN10" s="12"/>
      <c r="BO10" s="12">
        <v>0.8</v>
      </c>
      <c r="BR10">
        <v>1</v>
      </c>
      <c r="BS10" s="12"/>
      <c r="BT10" s="12">
        <v>0.8</v>
      </c>
      <c r="BU10" s="12"/>
      <c r="BV10" s="12">
        <v>0.8</v>
      </c>
      <c r="BY10">
        <v>5</v>
      </c>
      <c r="BZ10" s="12"/>
      <c r="CA10" s="12">
        <v>1</v>
      </c>
      <c r="CB10" s="12"/>
      <c r="CC10" s="12">
        <v>1</v>
      </c>
      <c r="CF10">
        <v>1</v>
      </c>
      <c r="CG10" s="12"/>
      <c r="CH10" s="12">
        <v>1</v>
      </c>
      <c r="CI10" s="12"/>
      <c r="CJ10" s="12">
        <v>1</v>
      </c>
      <c r="CM10">
        <v>1</v>
      </c>
      <c r="CN10" s="12"/>
      <c r="CO10" s="12">
        <v>1</v>
      </c>
      <c r="CP10" s="12"/>
      <c r="CQ10" s="12">
        <v>1</v>
      </c>
      <c r="CT10">
        <v>1</v>
      </c>
      <c r="CU10" s="12"/>
      <c r="CV10" s="12">
        <v>1</v>
      </c>
      <c r="CW10" s="12"/>
      <c r="CX10" s="12">
        <v>1</v>
      </c>
      <c r="DA10">
        <v>1</v>
      </c>
      <c r="DB10" s="12"/>
      <c r="DC10" s="12">
        <v>1</v>
      </c>
      <c r="DD10" s="12"/>
      <c r="DE10" s="12">
        <v>1</v>
      </c>
    </row>
    <row r="11" spans="2:110" outlineLevel="1">
      <c r="B11" t="s">
        <v>28</v>
      </c>
      <c r="C11" t="s">
        <v>50</v>
      </c>
      <c r="E11" s="11"/>
      <c r="F11" t="s">
        <v>70</v>
      </c>
      <c r="G11" s="12">
        <v>8.3299999999999999E-2</v>
      </c>
      <c r="I11" s="11">
        <f t="shared" si="1"/>
        <v>24.5</v>
      </c>
      <c r="J11" s="13">
        <f t="shared" si="0"/>
        <v>0</v>
      </c>
      <c r="K11" s="13">
        <f t="shared" si="0"/>
        <v>0</v>
      </c>
      <c r="L11" s="11"/>
      <c r="O11" s="12"/>
      <c r="P11" s="12"/>
      <c r="Q11" s="12"/>
      <c r="R11" s="12"/>
      <c r="V11" s="12"/>
      <c r="W11" s="12"/>
      <c r="X11" s="12"/>
      <c r="Y11" s="12"/>
      <c r="AB11">
        <v>5</v>
      </c>
      <c r="AC11" s="12"/>
      <c r="AD11" s="12">
        <v>0.5</v>
      </c>
      <c r="AE11" s="12"/>
      <c r="AF11" s="12">
        <v>0.5</v>
      </c>
      <c r="AI11">
        <v>1.5</v>
      </c>
      <c r="AJ11" s="12"/>
      <c r="AK11" s="12">
        <v>0.5</v>
      </c>
      <c r="AL11" s="12"/>
      <c r="AM11" s="12">
        <v>0.5</v>
      </c>
      <c r="AP11">
        <v>1</v>
      </c>
      <c r="AQ11" s="12"/>
      <c r="AR11" s="12">
        <v>0.5</v>
      </c>
      <c r="AS11" s="12"/>
      <c r="AT11" s="12">
        <v>0.5</v>
      </c>
      <c r="AW11">
        <v>1</v>
      </c>
      <c r="AX11" s="12"/>
      <c r="AY11" s="12">
        <v>0.5</v>
      </c>
      <c r="AZ11" s="12"/>
      <c r="BA11" s="12">
        <v>0.5</v>
      </c>
      <c r="BD11">
        <v>5</v>
      </c>
      <c r="BE11" s="12"/>
      <c r="BF11" s="12">
        <v>0.8</v>
      </c>
      <c r="BG11" s="12"/>
      <c r="BH11" s="12">
        <v>0.8</v>
      </c>
      <c r="BK11">
        <v>1</v>
      </c>
      <c r="BL11" s="12"/>
      <c r="BM11" s="12">
        <v>0.8</v>
      </c>
      <c r="BN11" s="12"/>
      <c r="BO11" s="12">
        <v>0.8</v>
      </c>
      <c r="BR11">
        <v>1</v>
      </c>
      <c r="BS11" s="12"/>
      <c r="BT11" s="12">
        <v>0.8</v>
      </c>
      <c r="BU11" s="12"/>
      <c r="BV11" s="12">
        <v>0.8</v>
      </c>
      <c r="BY11">
        <v>1</v>
      </c>
      <c r="BZ11" s="12"/>
      <c r="CA11" s="12">
        <v>0.8</v>
      </c>
      <c r="CB11" s="12"/>
      <c r="CC11" s="12">
        <v>0.8</v>
      </c>
      <c r="CF11">
        <v>5</v>
      </c>
      <c r="CG11" s="12"/>
      <c r="CH11" s="12">
        <v>1</v>
      </c>
      <c r="CI11" s="12"/>
      <c r="CJ11" s="12">
        <v>1</v>
      </c>
      <c r="CM11">
        <v>1</v>
      </c>
      <c r="CN11" s="12"/>
      <c r="CO11" s="12">
        <v>1</v>
      </c>
      <c r="CP11" s="12"/>
      <c r="CQ11" s="12">
        <v>1</v>
      </c>
      <c r="CT11">
        <v>1</v>
      </c>
      <c r="CU11" s="12"/>
      <c r="CV11" s="12">
        <v>1</v>
      </c>
      <c r="CW11" s="12"/>
      <c r="CX11" s="12">
        <v>1</v>
      </c>
      <c r="DA11">
        <v>1</v>
      </c>
      <c r="DB11" s="12"/>
      <c r="DC11" s="12">
        <v>1</v>
      </c>
      <c r="DD11" s="12"/>
      <c r="DE11" s="12">
        <v>1</v>
      </c>
    </row>
    <row r="12" spans="2:110" outlineLevel="1">
      <c r="B12" t="s">
        <v>28</v>
      </c>
      <c r="C12" t="s">
        <v>50</v>
      </c>
      <c r="E12" s="11"/>
      <c r="F12" t="s">
        <v>71</v>
      </c>
      <c r="G12" s="12">
        <v>8.3299999999999999E-2</v>
      </c>
      <c r="I12" s="11">
        <f t="shared" si="1"/>
        <v>24.5</v>
      </c>
      <c r="J12" s="13">
        <f t="shared" si="0"/>
        <v>0</v>
      </c>
      <c r="K12" s="13">
        <f t="shared" si="0"/>
        <v>0</v>
      </c>
      <c r="L12" s="11"/>
      <c r="O12" s="12"/>
      <c r="P12" s="12"/>
      <c r="Q12" s="12"/>
      <c r="R12" s="12"/>
      <c r="V12" s="12"/>
      <c r="W12" s="12"/>
      <c r="X12" s="12"/>
      <c r="Y12" s="12"/>
      <c r="AB12">
        <v>5</v>
      </c>
      <c r="AC12" s="12"/>
      <c r="AD12" s="12">
        <v>0.5</v>
      </c>
      <c r="AE12" s="12"/>
      <c r="AF12" s="12">
        <v>0.5</v>
      </c>
      <c r="AI12">
        <v>1.5</v>
      </c>
      <c r="AJ12" s="12"/>
      <c r="AK12" s="12">
        <v>0.5</v>
      </c>
      <c r="AL12" s="12"/>
      <c r="AM12" s="12">
        <v>0.5</v>
      </c>
      <c r="AP12">
        <v>1</v>
      </c>
      <c r="AQ12" s="12"/>
      <c r="AR12" s="12">
        <v>0.5</v>
      </c>
      <c r="AS12" s="12"/>
      <c r="AT12" s="12">
        <v>0.5</v>
      </c>
      <c r="AW12">
        <v>1</v>
      </c>
      <c r="AX12" s="12"/>
      <c r="AY12" s="12">
        <v>0.5</v>
      </c>
      <c r="AZ12" s="12"/>
      <c r="BA12" s="12">
        <v>0.5</v>
      </c>
      <c r="BD12">
        <v>1</v>
      </c>
      <c r="BE12" s="12"/>
      <c r="BF12" s="12">
        <v>0.5</v>
      </c>
      <c r="BG12" s="12"/>
      <c r="BH12" s="12">
        <v>0.5</v>
      </c>
      <c r="BK12">
        <v>5</v>
      </c>
      <c r="BL12" s="12"/>
      <c r="BM12" s="12">
        <v>0.8</v>
      </c>
      <c r="BN12" s="12"/>
      <c r="BO12" s="12">
        <v>0.8</v>
      </c>
      <c r="BR12">
        <v>1</v>
      </c>
      <c r="BS12" s="12"/>
      <c r="BT12" s="12">
        <v>0.8</v>
      </c>
      <c r="BU12" s="12"/>
      <c r="BV12" s="12">
        <v>0.8</v>
      </c>
      <c r="BY12">
        <v>1</v>
      </c>
      <c r="BZ12" s="12"/>
      <c r="CA12" s="12">
        <v>0.8</v>
      </c>
      <c r="CB12" s="12"/>
      <c r="CC12" s="12">
        <v>0.8</v>
      </c>
      <c r="CF12">
        <v>5</v>
      </c>
      <c r="CG12" s="12"/>
      <c r="CH12" s="12">
        <v>1</v>
      </c>
      <c r="CI12" s="12"/>
      <c r="CJ12" s="12">
        <v>1</v>
      </c>
      <c r="CM12">
        <v>1</v>
      </c>
      <c r="CN12" s="12"/>
      <c r="CO12" s="12">
        <v>1</v>
      </c>
      <c r="CP12" s="12"/>
      <c r="CQ12" s="12">
        <v>1</v>
      </c>
      <c r="CT12">
        <v>1</v>
      </c>
      <c r="CU12" s="12"/>
      <c r="CV12" s="12">
        <v>1</v>
      </c>
      <c r="CW12" s="12"/>
      <c r="CX12" s="12">
        <v>1</v>
      </c>
      <c r="DA12">
        <v>1</v>
      </c>
      <c r="DB12" s="12"/>
      <c r="DC12" s="12">
        <v>1</v>
      </c>
      <c r="DD12" s="12"/>
      <c r="DE12" s="12">
        <v>1</v>
      </c>
    </row>
    <row r="13" spans="2:110" outlineLevel="1">
      <c r="B13" t="s">
        <v>28</v>
      </c>
      <c r="C13" t="s">
        <v>50</v>
      </c>
      <c r="E13" s="11"/>
      <c r="F13" t="s">
        <v>72</v>
      </c>
      <c r="G13" s="12">
        <v>8.3299999999999999E-2</v>
      </c>
      <c r="I13" s="11">
        <f t="shared" si="1"/>
        <v>23</v>
      </c>
      <c r="J13" s="13">
        <f t="shared" si="0"/>
        <v>0</v>
      </c>
      <c r="K13" s="13">
        <f t="shared" si="0"/>
        <v>0</v>
      </c>
      <c r="L13" s="11"/>
      <c r="O13" s="12"/>
      <c r="P13" s="12"/>
      <c r="Q13" s="12"/>
      <c r="R13" s="12"/>
      <c r="V13" s="12"/>
      <c r="W13" s="12"/>
      <c r="X13" s="12"/>
      <c r="Y13" s="12"/>
      <c r="AC13" s="12"/>
      <c r="AD13" s="12"/>
      <c r="AE13" s="12"/>
      <c r="AF13" s="12"/>
      <c r="AI13">
        <v>5</v>
      </c>
      <c r="AJ13" s="12"/>
      <c r="AK13" s="12">
        <v>0.5</v>
      </c>
      <c r="AL13" s="12"/>
      <c r="AM13" s="12">
        <v>0.5</v>
      </c>
      <c r="AP13">
        <v>1</v>
      </c>
      <c r="AQ13" s="12"/>
      <c r="AR13" s="12">
        <v>0.5</v>
      </c>
      <c r="AS13" s="12"/>
      <c r="AT13" s="12">
        <v>0.5</v>
      </c>
      <c r="AW13">
        <v>1</v>
      </c>
      <c r="AX13" s="12"/>
      <c r="AY13" s="12">
        <v>0.5</v>
      </c>
      <c r="AZ13" s="12"/>
      <c r="BA13" s="12">
        <v>0.5</v>
      </c>
      <c r="BD13">
        <v>1</v>
      </c>
      <c r="BE13" s="12"/>
      <c r="BF13" s="12">
        <v>0.5</v>
      </c>
      <c r="BG13" s="12"/>
      <c r="BH13" s="12">
        <v>0.5</v>
      </c>
      <c r="BK13">
        <v>5</v>
      </c>
      <c r="BL13" s="12"/>
      <c r="BM13" s="12">
        <v>0.8</v>
      </c>
      <c r="BN13" s="12"/>
      <c r="BO13" s="12">
        <v>0.8</v>
      </c>
      <c r="BR13">
        <v>1</v>
      </c>
      <c r="BS13" s="12"/>
      <c r="BT13" s="12">
        <v>0.8</v>
      </c>
      <c r="BU13" s="12"/>
      <c r="BV13" s="12">
        <v>0.8</v>
      </c>
      <c r="BY13">
        <v>1</v>
      </c>
      <c r="BZ13" s="12"/>
      <c r="CA13" s="12">
        <v>0.8</v>
      </c>
      <c r="CB13" s="12"/>
      <c r="CC13" s="12">
        <v>0.8</v>
      </c>
      <c r="CF13">
        <v>5</v>
      </c>
      <c r="CG13" s="12"/>
      <c r="CH13" s="12">
        <v>1</v>
      </c>
      <c r="CI13" s="12"/>
      <c r="CJ13" s="12">
        <v>1</v>
      </c>
      <c r="CM13">
        <v>1</v>
      </c>
      <c r="CN13" s="12"/>
      <c r="CO13" s="12">
        <v>1</v>
      </c>
      <c r="CP13" s="12"/>
      <c r="CQ13" s="12">
        <v>1</v>
      </c>
      <c r="CT13">
        <v>1</v>
      </c>
      <c r="CU13" s="12"/>
      <c r="CV13" s="12">
        <v>1</v>
      </c>
      <c r="CW13" s="12"/>
      <c r="CX13" s="12">
        <v>1</v>
      </c>
      <c r="DA13">
        <v>1</v>
      </c>
      <c r="DB13" s="12"/>
      <c r="DC13" s="12">
        <v>1</v>
      </c>
      <c r="DD13" s="12"/>
      <c r="DE13" s="12">
        <v>1</v>
      </c>
    </row>
    <row r="14" spans="2:110" outlineLevel="1">
      <c r="B14" t="s">
        <v>28</v>
      </c>
      <c r="C14" t="s">
        <v>50</v>
      </c>
      <c r="E14" s="11"/>
      <c r="F14" t="s">
        <v>73</v>
      </c>
      <c r="G14" s="12">
        <v>8.3299999999999999E-2</v>
      </c>
      <c r="I14" s="11">
        <f t="shared" si="1"/>
        <v>23</v>
      </c>
      <c r="J14" s="13">
        <f t="shared" si="0"/>
        <v>0</v>
      </c>
      <c r="K14" s="13">
        <f t="shared" si="0"/>
        <v>0</v>
      </c>
      <c r="L14" s="11"/>
      <c r="O14" s="12"/>
      <c r="P14" s="12"/>
      <c r="Q14" s="12"/>
      <c r="R14" s="12"/>
      <c r="V14" s="12"/>
      <c r="W14" s="12"/>
      <c r="X14" s="12"/>
      <c r="Y14" s="12"/>
      <c r="AC14" s="12"/>
      <c r="AD14" s="12"/>
      <c r="AE14" s="12"/>
      <c r="AF14" s="12"/>
      <c r="AI14">
        <v>5</v>
      </c>
      <c r="AJ14" s="12"/>
      <c r="AK14" s="12">
        <v>0.5</v>
      </c>
      <c r="AL14" s="12"/>
      <c r="AM14" s="12">
        <v>0.5</v>
      </c>
      <c r="AP14">
        <v>1</v>
      </c>
      <c r="AQ14" s="12"/>
      <c r="AR14" s="12">
        <v>0.5</v>
      </c>
      <c r="AS14" s="12"/>
      <c r="AT14" s="12">
        <v>0.5</v>
      </c>
      <c r="AW14">
        <v>1</v>
      </c>
      <c r="AX14" s="12"/>
      <c r="AY14" s="12">
        <v>0.5</v>
      </c>
      <c r="AZ14" s="12"/>
      <c r="BA14" s="12">
        <v>0.5</v>
      </c>
      <c r="BD14">
        <v>1</v>
      </c>
      <c r="BE14" s="12"/>
      <c r="BF14" s="12">
        <v>0.5</v>
      </c>
      <c r="BG14" s="12"/>
      <c r="BH14" s="12">
        <v>0.5</v>
      </c>
      <c r="BK14">
        <v>1</v>
      </c>
      <c r="BL14" s="12"/>
      <c r="BM14" s="12">
        <v>0.5</v>
      </c>
      <c r="BN14" s="12"/>
      <c r="BO14" s="12">
        <v>0.5</v>
      </c>
      <c r="BR14">
        <v>5</v>
      </c>
      <c r="BS14" s="12"/>
      <c r="BT14" s="12">
        <v>0.8</v>
      </c>
      <c r="BU14" s="12"/>
      <c r="BV14" s="12">
        <v>0.8</v>
      </c>
      <c r="BY14">
        <v>1</v>
      </c>
      <c r="BZ14" s="12"/>
      <c r="CA14" s="12">
        <v>0.8</v>
      </c>
      <c r="CB14" s="12"/>
      <c r="CC14" s="12">
        <v>0.8</v>
      </c>
      <c r="CF14">
        <v>1</v>
      </c>
      <c r="CG14" s="12"/>
      <c r="CH14" s="12">
        <v>0.8</v>
      </c>
      <c r="CI14" s="12"/>
      <c r="CJ14" s="12">
        <v>0.8</v>
      </c>
      <c r="CM14">
        <v>5</v>
      </c>
      <c r="CN14" s="12"/>
      <c r="CO14" s="12">
        <v>1</v>
      </c>
      <c r="CP14" s="12"/>
      <c r="CQ14" s="12">
        <v>1</v>
      </c>
      <c r="CT14">
        <v>1</v>
      </c>
      <c r="CU14" s="12"/>
      <c r="CV14" s="12">
        <v>1</v>
      </c>
      <c r="CW14" s="12"/>
      <c r="CX14" s="12">
        <v>1</v>
      </c>
      <c r="DA14">
        <v>1</v>
      </c>
      <c r="DB14" s="12"/>
      <c r="DC14" s="12">
        <v>1</v>
      </c>
      <c r="DD14" s="12"/>
      <c r="DE14" s="12">
        <v>1</v>
      </c>
    </row>
    <row r="15" spans="2:110" outlineLevel="1">
      <c r="B15" t="s">
        <v>28</v>
      </c>
      <c r="C15" t="s">
        <v>50</v>
      </c>
      <c r="E15" s="11"/>
      <c r="F15" t="s">
        <v>74</v>
      </c>
      <c r="G15" s="12">
        <v>8.3299999999999999E-2</v>
      </c>
      <c r="I15" s="11">
        <f t="shared" si="1"/>
        <v>22</v>
      </c>
      <c r="J15" s="13">
        <f t="shared" si="0"/>
        <v>0</v>
      </c>
      <c r="K15" s="13">
        <f t="shared" si="0"/>
        <v>0</v>
      </c>
      <c r="L15" s="11"/>
      <c r="O15" s="12"/>
      <c r="P15" s="12"/>
      <c r="Q15" s="12"/>
      <c r="R15" s="12"/>
      <c r="V15" s="12"/>
      <c r="W15" s="12"/>
      <c r="X15" s="12"/>
      <c r="Y15" s="12"/>
      <c r="AC15" s="12"/>
      <c r="AD15" s="12"/>
      <c r="AE15" s="12"/>
      <c r="AF15" s="12"/>
      <c r="AJ15" s="12"/>
      <c r="AK15" s="12"/>
      <c r="AL15" s="12"/>
      <c r="AM15" s="12"/>
      <c r="AP15">
        <v>5</v>
      </c>
      <c r="AQ15" s="12"/>
      <c r="AR15" s="12">
        <v>0.5</v>
      </c>
      <c r="AS15" s="12"/>
      <c r="AT15" s="12">
        <v>0.5</v>
      </c>
      <c r="AW15">
        <v>1</v>
      </c>
      <c r="AX15" s="12"/>
      <c r="AY15" s="12">
        <v>0.5</v>
      </c>
      <c r="AZ15" s="12"/>
      <c r="BA15" s="12">
        <v>0.5</v>
      </c>
      <c r="BD15">
        <v>1</v>
      </c>
      <c r="BE15" s="12"/>
      <c r="BF15" s="12">
        <v>0.5</v>
      </c>
      <c r="BG15" s="12"/>
      <c r="BH15" s="12">
        <v>0.5</v>
      </c>
      <c r="BK15">
        <v>1</v>
      </c>
      <c r="BL15" s="12"/>
      <c r="BM15" s="12">
        <v>0.5</v>
      </c>
      <c r="BN15" s="12"/>
      <c r="BO15" s="12">
        <v>0.5</v>
      </c>
      <c r="BR15">
        <v>5</v>
      </c>
      <c r="BS15" s="12"/>
      <c r="BT15" s="12">
        <v>0.8</v>
      </c>
      <c r="BU15" s="12"/>
      <c r="BV15" s="12">
        <v>0.8</v>
      </c>
      <c r="BY15">
        <v>1</v>
      </c>
      <c r="BZ15" s="12"/>
      <c r="CA15" s="12">
        <v>0.8</v>
      </c>
      <c r="CB15" s="12"/>
      <c r="CC15" s="12">
        <v>0.8</v>
      </c>
      <c r="CF15">
        <v>1</v>
      </c>
      <c r="CG15" s="12"/>
      <c r="CH15" s="12">
        <v>0.8</v>
      </c>
      <c r="CI15" s="12"/>
      <c r="CJ15" s="12">
        <v>0.8</v>
      </c>
      <c r="CM15">
        <v>1</v>
      </c>
      <c r="CN15" s="12"/>
      <c r="CO15" s="12">
        <v>0.8</v>
      </c>
      <c r="CP15" s="12"/>
      <c r="CQ15" s="12">
        <v>0.8</v>
      </c>
      <c r="CT15">
        <v>5</v>
      </c>
      <c r="CU15" s="12"/>
      <c r="CV15" s="12">
        <v>1</v>
      </c>
      <c r="CW15" s="12"/>
      <c r="CX15" s="12">
        <v>1</v>
      </c>
      <c r="DA15">
        <v>1</v>
      </c>
      <c r="DB15" s="12"/>
      <c r="DC15" s="12">
        <v>1</v>
      </c>
      <c r="DD15" s="12"/>
      <c r="DE15" s="12">
        <v>1</v>
      </c>
    </row>
    <row r="16" spans="2:110" outlineLevel="1">
      <c r="B16" t="s">
        <v>28</v>
      </c>
      <c r="C16" t="s">
        <v>50</v>
      </c>
      <c r="E16" s="11"/>
      <c r="F16" t="s">
        <v>75</v>
      </c>
      <c r="G16" s="12">
        <v>8.3299999999999999E-2</v>
      </c>
      <c r="I16" s="11">
        <f>+SUMIF($N$3:$ZZ$3,I$3,$N16:$ZZ16)</f>
        <v>18</v>
      </c>
      <c r="J16" s="13">
        <f t="shared" si="0"/>
        <v>0</v>
      </c>
      <c r="K16" s="13">
        <f t="shared" si="0"/>
        <v>0</v>
      </c>
      <c r="L16" s="11"/>
      <c r="O16" s="12"/>
      <c r="P16" s="12"/>
      <c r="Q16" s="12"/>
      <c r="R16" s="12"/>
      <c r="V16" s="12"/>
      <c r="W16" s="12"/>
      <c r="X16" s="12"/>
      <c r="Y16" s="12"/>
      <c r="AC16" s="12"/>
      <c r="AD16" s="12"/>
      <c r="AE16" s="12"/>
      <c r="AF16" s="12"/>
      <c r="AJ16" s="12"/>
      <c r="AK16" s="12"/>
      <c r="AL16" s="12"/>
      <c r="AM16" s="12"/>
      <c r="AP16">
        <v>5</v>
      </c>
      <c r="AQ16" s="12"/>
      <c r="AR16" s="12">
        <v>0.5</v>
      </c>
      <c r="AS16" s="12"/>
      <c r="AT16" s="12">
        <v>0.5</v>
      </c>
      <c r="AW16">
        <v>1</v>
      </c>
      <c r="AX16" s="12"/>
      <c r="AY16" s="12">
        <v>0.5</v>
      </c>
      <c r="AZ16" s="12"/>
      <c r="BA16" s="12">
        <v>0.5</v>
      </c>
      <c r="BD16">
        <v>1</v>
      </c>
      <c r="BE16" s="12"/>
      <c r="BF16" s="12">
        <v>0.5</v>
      </c>
      <c r="BG16" s="12"/>
      <c r="BH16" s="12">
        <v>0.5</v>
      </c>
      <c r="BK16">
        <v>1</v>
      </c>
      <c r="BL16" s="12"/>
      <c r="BM16" s="12">
        <v>0.5</v>
      </c>
      <c r="BN16" s="12"/>
      <c r="BO16" s="12">
        <v>0.5</v>
      </c>
      <c r="BR16">
        <v>1</v>
      </c>
      <c r="BS16" s="12"/>
      <c r="BT16" s="12">
        <v>0.5</v>
      </c>
      <c r="BU16" s="12"/>
      <c r="BV16" s="12">
        <v>0.5</v>
      </c>
      <c r="BY16">
        <v>1</v>
      </c>
      <c r="BZ16" s="12"/>
      <c r="CA16" s="12">
        <v>0.8</v>
      </c>
      <c r="CB16" s="12"/>
      <c r="CC16" s="12">
        <v>0.8</v>
      </c>
      <c r="CF16">
        <v>1</v>
      </c>
      <c r="CG16" s="12"/>
      <c r="CH16" s="12">
        <v>0.8</v>
      </c>
      <c r="CI16" s="12"/>
      <c r="CJ16" s="12">
        <v>0.8</v>
      </c>
      <c r="CM16">
        <v>1</v>
      </c>
      <c r="CN16" s="12"/>
      <c r="CO16" s="12">
        <v>0.8</v>
      </c>
      <c r="CP16" s="12"/>
      <c r="CQ16" s="12">
        <v>0.8</v>
      </c>
      <c r="CT16">
        <v>1</v>
      </c>
      <c r="CU16" s="12"/>
      <c r="CV16" s="12">
        <v>0.8</v>
      </c>
      <c r="CW16" s="12"/>
      <c r="CX16" s="12">
        <v>0.8</v>
      </c>
      <c r="DA16">
        <v>5</v>
      </c>
      <c r="DB16" s="12"/>
      <c r="DC16" s="12">
        <v>1</v>
      </c>
      <c r="DD16" s="12"/>
      <c r="DE16" s="12">
        <v>1</v>
      </c>
    </row>
    <row r="17" spans="2:109">
      <c r="O17" s="9"/>
      <c r="V17" s="9"/>
      <c r="AC17" s="9"/>
      <c r="AJ17" s="9"/>
      <c r="AQ17" s="9"/>
      <c r="AX17" s="9"/>
      <c r="BE17" s="9"/>
      <c r="BL17" s="9"/>
      <c r="BS17" s="9"/>
      <c r="BZ17" s="9"/>
      <c r="CG17" s="9"/>
      <c r="CN17" s="9"/>
      <c r="CU17" s="9"/>
      <c r="DB17" s="9"/>
    </row>
    <row r="18" spans="2:109">
      <c r="B18" t="s">
        <v>27</v>
      </c>
      <c r="C18" t="s">
        <v>51</v>
      </c>
      <c r="D18" t="s">
        <v>100</v>
      </c>
      <c r="E18" s="11">
        <v>10</v>
      </c>
      <c r="G18" s="12">
        <f>+SUM(G19:G30)</f>
        <v>0.95999999999999985</v>
      </c>
      <c r="I18" s="14">
        <v>0</v>
      </c>
      <c r="J18" s="13">
        <f>+SUMPRODUCT(G19:G30,J19:J30)</f>
        <v>0</v>
      </c>
      <c r="K18" s="13">
        <f>+SUMPRODUCT(G19:G30,K19:K30)</f>
        <v>0</v>
      </c>
      <c r="L18" s="11"/>
      <c r="N18" s="14">
        <f>+SUM(N19:N25)</f>
        <v>5</v>
      </c>
      <c r="U18" s="14">
        <f t="shared" ref="U18" si="2">+SUM(U19:U25)</f>
        <v>10</v>
      </c>
      <c r="AB18" s="14">
        <f t="shared" ref="AB18" si="3">+SUM(AB19:AB25)</f>
        <v>7</v>
      </c>
      <c r="AI18" s="14">
        <f t="shared" ref="AI18" si="4">+SUM(AI19:AI25)</f>
        <v>15</v>
      </c>
      <c r="AP18" s="14">
        <f t="shared" ref="AP18" si="5">+SUM(AP19:AP25)</f>
        <v>13</v>
      </c>
      <c r="AW18" s="14">
        <f>+SUM(AW19:AW28)</f>
        <v>12.5</v>
      </c>
      <c r="BD18" s="14">
        <f>+SUM(BD19:BD31)</f>
        <v>13.5</v>
      </c>
      <c r="BK18" s="14">
        <f>+SUM(BK19:BK30)</f>
        <v>13.5</v>
      </c>
      <c r="BR18" s="14">
        <f>+SUM(BR19:BR30)</f>
        <v>13.5</v>
      </c>
      <c r="BY18" s="14">
        <f>+SUM(BY19:BY30)</f>
        <v>13.5</v>
      </c>
      <c r="CF18" s="14">
        <f>+SUM(CF19:CF30)</f>
        <v>13.5</v>
      </c>
      <c r="CH18" s="12"/>
      <c r="CM18" s="14">
        <f>+SUM(CM19:CM30)</f>
        <v>13.5</v>
      </c>
      <c r="CT18" s="14">
        <f>+SUM(CT19:CT30)</f>
        <v>13.5</v>
      </c>
      <c r="DA18" s="14">
        <f>+SUM(DA19:DA30)</f>
        <v>13.5</v>
      </c>
    </row>
    <row r="19" spans="2:109" outlineLevel="1">
      <c r="B19" t="s">
        <v>28</v>
      </c>
      <c r="C19" t="s">
        <v>78</v>
      </c>
      <c r="E19" s="11"/>
      <c r="F19" t="s">
        <v>81</v>
      </c>
      <c r="G19" s="12">
        <v>0.08</v>
      </c>
      <c r="I19" s="14">
        <f t="shared" ref="I19:I26" si="6">+SUM(I20:I31)</f>
        <v>11776</v>
      </c>
      <c r="J19" s="13">
        <f t="shared" ref="J19:K30" si="7">+_xlfn.MAXIFS($N19:$ZF19,$N$3:$ZF$3,J$3)</f>
        <v>0</v>
      </c>
      <c r="K19" s="13">
        <f t="shared" si="7"/>
        <v>0</v>
      </c>
      <c r="L19" s="11"/>
      <c r="N19">
        <v>5</v>
      </c>
      <c r="O19" s="12"/>
      <c r="P19" s="12">
        <v>0.5</v>
      </c>
      <c r="Q19" s="12"/>
      <c r="R19" s="12">
        <v>0.5</v>
      </c>
      <c r="U19">
        <v>5</v>
      </c>
      <c r="V19" s="12"/>
      <c r="W19" s="12">
        <v>0.5</v>
      </c>
      <c r="X19" s="12"/>
      <c r="Y19" s="12">
        <v>0.5</v>
      </c>
      <c r="AB19">
        <v>1</v>
      </c>
      <c r="AC19" s="12"/>
      <c r="AD19" s="12">
        <v>0.5</v>
      </c>
      <c r="AE19" s="12"/>
      <c r="AF19" s="12">
        <v>0.5</v>
      </c>
      <c r="AI19">
        <v>1</v>
      </c>
      <c r="AJ19" s="12"/>
      <c r="AK19" s="12">
        <v>0.5</v>
      </c>
      <c r="AL19" s="12"/>
      <c r="AM19" s="12">
        <v>0.5</v>
      </c>
      <c r="AP19">
        <v>4</v>
      </c>
      <c r="AQ19" s="12"/>
      <c r="AR19" s="12">
        <v>0.8</v>
      </c>
      <c r="AS19" s="12"/>
      <c r="AT19" s="12">
        <v>0.8</v>
      </c>
      <c r="AW19">
        <v>0.5</v>
      </c>
      <c r="AX19" s="12"/>
      <c r="AY19" s="12">
        <v>0.8</v>
      </c>
      <c r="AZ19" s="12"/>
      <c r="BA19" s="12">
        <v>0.8</v>
      </c>
      <c r="BD19">
        <v>0.5</v>
      </c>
      <c r="BE19" s="12"/>
      <c r="BF19" s="12">
        <v>0.8</v>
      </c>
      <c r="BG19" s="12"/>
      <c r="BH19" s="12">
        <v>0.8</v>
      </c>
      <c r="BK19">
        <v>3</v>
      </c>
      <c r="BL19" s="12"/>
      <c r="BM19" s="12">
        <v>1</v>
      </c>
      <c r="BN19" s="12"/>
      <c r="BO19" s="12">
        <v>1</v>
      </c>
      <c r="BR19">
        <v>0.5</v>
      </c>
      <c r="BS19" s="12"/>
      <c r="BT19" s="12">
        <v>1</v>
      </c>
      <c r="BU19" s="12"/>
      <c r="BV19" s="12">
        <v>1</v>
      </c>
      <c r="BY19">
        <v>0.5</v>
      </c>
      <c r="BZ19" s="12"/>
      <c r="CA19" s="12">
        <v>1</v>
      </c>
      <c r="CB19" s="12"/>
      <c r="CC19" s="12">
        <v>1</v>
      </c>
      <c r="CF19">
        <v>0.5</v>
      </c>
      <c r="CG19" s="12"/>
      <c r="CH19" s="12">
        <v>1</v>
      </c>
      <c r="CI19" s="12"/>
      <c r="CJ19" s="12">
        <v>1</v>
      </c>
      <c r="CM19">
        <v>0.5</v>
      </c>
      <c r="CN19" s="12"/>
      <c r="CO19" s="12">
        <v>1</v>
      </c>
      <c r="CP19" s="12"/>
      <c r="CQ19" s="12">
        <v>1</v>
      </c>
      <c r="CT19">
        <v>0.5</v>
      </c>
      <c r="CU19" s="12"/>
      <c r="CV19" s="12">
        <v>1</v>
      </c>
      <c r="CW19" s="12"/>
      <c r="CX19" s="12">
        <v>1</v>
      </c>
      <c r="DA19">
        <v>0.5</v>
      </c>
      <c r="DB19" s="12"/>
      <c r="DC19" s="12">
        <v>1</v>
      </c>
      <c r="DD19" s="12"/>
      <c r="DE19" s="12">
        <v>1</v>
      </c>
    </row>
    <row r="20" spans="2:109" outlineLevel="1">
      <c r="B20" t="s">
        <v>28</v>
      </c>
      <c r="C20" t="s">
        <v>78</v>
      </c>
      <c r="E20" s="11"/>
      <c r="F20" t="s">
        <v>82</v>
      </c>
      <c r="G20" s="12">
        <v>0.08</v>
      </c>
      <c r="I20" s="14">
        <f t="shared" si="6"/>
        <v>5888</v>
      </c>
      <c r="J20" s="13">
        <f t="shared" si="7"/>
        <v>0</v>
      </c>
      <c r="K20" s="13">
        <f t="shared" si="7"/>
        <v>0</v>
      </c>
      <c r="L20" s="11"/>
      <c r="O20" s="12"/>
      <c r="P20" s="12"/>
      <c r="Q20" s="12"/>
      <c r="R20" s="12"/>
      <c r="U20">
        <v>5</v>
      </c>
      <c r="V20" s="12"/>
      <c r="W20" s="12">
        <v>0.5</v>
      </c>
      <c r="X20" s="12"/>
      <c r="Y20" s="12">
        <v>0.5</v>
      </c>
      <c r="AB20">
        <v>1</v>
      </c>
      <c r="AC20" s="12"/>
      <c r="AD20" s="12">
        <v>0.5</v>
      </c>
      <c r="AE20" s="12"/>
      <c r="AF20" s="12">
        <v>0.5</v>
      </c>
      <c r="AI20">
        <v>1</v>
      </c>
      <c r="AJ20" s="12"/>
      <c r="AK20" s="12">
        <v>0.5</v>
      </c>
      <c r="AL20" s="12"/>
      <c r="AM20" s="12">
        <v>0.5</v>
      </c>
      <c r="AP20">
        <v>1</v>
      </c>
      <c r="AQ20" s="12"/>
      <c r="AR20" s="12">
        <v>0.5</v>
      </c>
      <c r="AS20" s="12"/>
      <c r="AT20" s="12">
        <v>0.5</v>
      </c>
      <c r="AW20">
        <v>3</v>
      </c>
      <c r="AX20" s="12"/>
      <c r="AY20" s="12">
        <v>0.8</v>
      </c>
      <c r="AZ20" s="12"/>
      <c r="BA20" s="12">
        <v>0.8</v>
      </c>
      <c r="BD20">
        <v>0.5</v>
      </c>
      <c r="BE20" s="12"/>
      <c r="BF20" s="12">
        <v>0.8</v>
      </c>
      <c r="BG20" s="12"/>
      <c r="BH20" s="12">
        <v>0.8</v>
      </c>
      <c r="BK20">
        <v>0.5</v>
      </c>
      <c r="BL20" s="12"/>
      <c r="BM20" s="12">
        <v>0.8</v>
      </c>
      <c r="BN20" s="12"/>
      <c r="BO20" s="12">
        <v>0.8</v>
      </c>
      <c r="BR20">
        <v>3</v>
      </c>
      <c r="BS20" s="12"/>
      <c r="BT20" s="12">
        <v>1</v>
      </c>
      <c r="BU20" s="12"/>
      <c r="BV20" s="12">
        <v>1</v>
      </c>
      <c r="BY20">
        <v>0.5</v>
      </c>
      <c r="BZ20" s="12"/>
      <c r="CA20" s="12">
        <v>1</v>
      </c>
      <c r="CB20" s="12"/>
      <c r="CC20" s="12">
        <v>1</v>
      </c>
      <c r="CF20">
        <v>0.5</v>
      </c>
      <c r="CG20" s="12"/>
      <c r="CH20" s="12">
        <v>1</v>
      </c>
      <c r="CI20" s="12"/>
      <c r="CJ20" s="12">
        <v>1</v>
      </c>
      <c r="CM20">
        <v>0.5</v>
      </c>
      <c r="CN20" s="12"/>
      <c r="CO20" s="12">
        <v>1</v>
      </c>
      <c r="CP20" s="12"/>
      <c r="CQ20" s="12">
        <v>1</v>
      </c>
      <c r="CT20">
        <v>0.5</v>
      </c>
      <c r="CU20" s="12"/>
      <c r="CV20" s="12">
        <v>1</v>
      </c>
      <c r="CW20" s="12"/>
      <c r="CX20" s="12">
        <v>1</v>
      </c>
      <c r="DA20">
        <v>0.5</v>
      </c>
      <c r="DB20" s="12"/>
      <c r="DC20" s="12">
        <v>1</v>
      </c>
      <c r="DD20" s="12"/>
      <c r="DE20" s="12">
        <v>1</v>
      </c>
    </row>
    <row r="21" spans="2:109" outlineLevel="1">
      <c r="B21" t="s">
        <v>28</v>
      </c>
      <c r="C21" t="s">
        <v>78</v>
      </c>
      <c r="E21" s="11"/>
      <c r="F21" t="s">
        <v>83</v>
      </c>
      <c r="G21" s="12">
        <v>0.08</v>
      </c>
      <c r="I21" s="14">
        <f t="shared" si="6"/>
        <v>2944</v>
      </c>
      <c r="J21" s="13">
        <f t="shared" si="7"/>
        <v>0</v>
      </c>
      <c r="K21" s="13">
        <f t="shared" si="7"/>
        <v>0</v>
      </c>
      <c r="L21" s="11"/>
      <c r="O21" s="12"/>
      <c r="P21" s="12"/>
      <c r="Q21" s="12"/>
      <c r="R21" s="12"/>
      <c r="V21" s="12"/>
      <c r="W21" s="12"/>
      <c r="X21" s="12"/>
      <c r="Y21" s="12"/>
      <c r="AB21">
        <v>5</v>
      </c>
      <c r="AC21" s="12"/>
      <c r="AD21" s="12">
        <v>0.5</v>
      </c>
      <c r="AE21" s="12"/>
      <c r="AF21" s="12">
        <v>0.5</v>
      </c>
      <c r="AI21">
        <v>1</v>
      </c>
      <c r="AJ21" s="12"/>
      <c r="AK21" s="12">
        <v>0.5</v>
      </c>
      <c r="AL21" s="12"/>
      <c r="AM21" s="12">
        <v>0.5</v>
      </c>
      <c r="AP21">
        <v>1</v>
      </c>
      <c r="AQ21" s="12"/>
      <c r="AR21" s="12">
        <v>0.5</v>
      </c>
      <c r="AS21" s="12"/>
      <c r="AT21" s="12">
        <v>0.5</v>
      </c>
      <c r="AW21">
        <v>0.5</v>
      </c>
      <c r="AX21" s="12"/>
      <c r="AY21" s="12">
        <v>0.5</v>
      </c>
      <c r="AZ21" s="12"/>
      <c r="BA21" s="12">
        <v>0.5</v>
      </c>
      <c r="BD21">
        <v>3</v>
      </c>
      <c r="BE21" s="12"/>
      <c r="BF21" s="12">
        <v>0.8</v>
      </c>
      <c r="BG21" s="12"/>
      <c r="BH21" s="12">
        <v>0.8</v>
      </c>
      <c r="BK21">
        <v>0.5</v>
      </c>
      <c r="BL21" s="12"/>
      <c r="BM21" s="12">
        <v>0.8</v>
      </c>
      <c r="BN21" s="12"/>
      <c r="BO21" s="12">
        <v>0.8</v>
      </c>
      <c r="BR21">
        <v>0.5</v>
      </c>
      <c r="BS21" s="12"/>
      <c r="BT21" s="12">
        <v>0.8</v>
      </c>
      <c r="BU21" s="12"/>
      <c r="BV21" s="12">
        <v>0.8</v>
      </c>
      <c r="BY21">
        <v>3</v>
      </c>
      <c r="BZ21" s="12"/>
      <c r="CA21" s="12">
        <v>1</v>
      </c>
      <c r="CB21" s="12"/>
      <c r="CC21" s="12">
        <v>1</v>
      </c>
      <c r="CF21">
        <v>0.5</v>
      </c>
      <c r="CG21" s="12"/>
      <c r="CH21" s="12">
        <v>1</v>
      </c>
      <c r="CI21" s="12"/>
      <c r="CJ21" s="12">
        <v>1</v>
      </c>
      <c r="CM21">
        <v>0.5</v>
      </c>
      <c r="CN21" s="12"/>
      <c r="CO21" s="12">
        <v>1</v>
      </c>
      <c r="CP21" s="12"/>
      <c r="CQ21" s="12">
        <v>1</v>
      </c>
      <c r="CT21">
        <v>0.5</v>
      </c>
      <c r="CU21" s="12"/>
      <c r="CV21" s="12">
        <v>1</v>
      </c>
      <c r="CW21" s="12"/>
      <c r="CX21" s="12">
        <v>1</v>
      </c>
      <c r="DA21">
        <v>0.5</v>
      </c>
      <c r="DB21" s="12"/>
      <c r="DC21" s="12">
        <v>1</v>
      </c>
      <c r="DD21" s="12"/>
      <c r="DE21" s="12">
        <v>1</v>
      </c>
    </row>
    <row r="22" spans="2:109" outlineLevel="1">
      <c r="B22" t="s">
        <v>28</v>
      </c>
      <c r="C22" t="s">
        <v>78</v>
      </c>
      <c r="E22" s="11"/>
      <c r="F22" t="s">
        <v>84</v>
      </c>
      <c r="G22" s="12">
        <v>0.08</v>
      </c>
      <c r="I22" s="14">
        <f t="shared" si="6"/>
        <v>1472</v>
      </c>
      <c r="J22" s="13">
        <f t="shared" si="7"/>
        <v>0</v>
      </c>
      <c r="K22" s="13">
        <f t="shared" si="7"/>
        <v>0</v>
      </c>
      <c r="L22" s="11"/>
      <c r="O22" s="12"/>
      <c r="P22" s="12"/>
      <c r="Q22" s="12"/>
      <c r="R22" s="12"/>
      <c r="V22" s="12"/>
      <c r="W22" s="12"/>
      <c r="X22" s="12"/>
      <c r="Y22" s="12"/>
      <c r="AC22" s="12"/>
      <c r="AD22" s="12"/>
      <c r="AE22" s="12"/>
      <c r="AF22" s="12"/>
      <c r="AI22">
        <v>4</v>
      </c>
      <c r="AJ22" s="12"/>
      <c r="AK22" s="12">
        <v>0.5</v>
      </c>
      <c r="AL22" s="12"/>
      <c r="AM22" s="12">
        <v>0.5</v>
      </c>
      <c r="AP22">
        <v>1</v>
      </c>
      <c r="AQ22" s="12"/>
      <c r="AR22" s="12">
        <v>0.5</v>
      </c>
      <c r="AS22" s="12"/>
      <c r="AT22" s="12">
        <v>0.5</v>
      </c>
      <c r="AW22">
        <v>0.5</v>
      </c>
      <c r="AX22" s="12"/>
      <c r="AY22" s="12">
        <v>0.5</v>
      </c>
      <c r="AZ22" s="12"/>
      <c r="BA22" s="12">
        <v>0.5</v>
      </c>
      <c r="BD22">
        <v>0.5</v>
      </c>
      <c r="BE22" s="12"/>
      <c r="BF22" s="12">
        <v>0.5</v>
      </c>
      <c r="BG22" s="12"/>
      <c r="BH22" s="12">
        <v>0.5</v>
      </c>
      <c r="BK22">
        <v>3</v>
      </c>
      <c r="BL22" s="12"/>
      <c r="BM22" s="12">
        <v>0.8</v>
      </c>
      <c r="BN22" s="12"/>
      <c r="BO22" s="12">
        <v>0.8</v>
      </c>
      <c r="BR22">
        <v>0.5</v>
      </c>
      <c r="BS22" s="12"/>
      <c r="BT22" s="12">
        <v>0.8</v>
      </c>
      <c r="BU22" s="12"/>
      <c r="BV22" s="12">
        <v>0.8</v>
      </c>
      <c r="BY22">
        <v>0.5</v>
      </c>
      <c r="BZ22" s="12"/>
      <c r="CA22" s="12">
        <v>0.8</v>
      </c>
      <c r="CB22" s="12"/>
      <c r="CC22" s="12">
        <v>0.8</v>
      </c>
      <c r="CF22">
        <v>3</v>
      </c>
      <c r="CG22" s="12"/>
      <c r="CH22" s="12">
        <v>1</v>
      </c>
      <c r="CI22" s="12"/>
      <c r="CJ22" s="12">
        <v>1</v>
      </c>
      <c r="CM22">
        <v>0.5</v>
      </c>
      <c r="CN22" s="12"/>
      <c r="CO22" s="12">
        <v>1</v>
      </c>
      <c r="CP22" s="12"/>
      <c r="CQ22" s="12">
        <v>1</v>
      </c>
      <c r="CT22">
        <v>0.5</v>
      </c>
      <c r="CU22" s="12"/>
      <c r="CV22" s="12">
        <v>1</v>
      </c>
      <c r="CW22" s="12"/>
      <c r="CX22" s="12">
        <v>1</v>
      </c>
      <c r="DA22">
        <v>0.5</v>
      </c>
      <c r="DB22" s="12"/>
      <c r="DC22" s="12">
        <v>1</v>
      </c>
      <c r="DD22" s="12"/>
      <c r="DE22" s="12">
        <v>1</v>
      </c>
    </row>
    <row r="23" spans="2:109" outlineLevel="1">
      <c r="B23" t="s">
        <v>28</v>
      </c>
      <c r="C23" t="s">
        <v>78</v>
      </c>
      <c r="E23" s="11"/>
      <c r="F23" t="s">
        <v>85</v>
      </c>
      <c r="G23" s="12">
        <v>0.08</v>
      </c>
      <c r="I23" s="14">
        <f t="shared" si="6"/>
        <v>736</v>
      </c>
      <c r="J23" s="13">
        <f t="shared" si="7"/>
        <v>0</v>
      </c>
      <c r="K23" s="13">
        <f t="shared" si="7"/>
        <v>0</v>
      </c>
      <c r="L23" s="11"/>
      <c r="O23" s="12"/>
      <c r="P23" s="12"/>
      <c r="Q23" s="12"/>
      <c r="R23" s="12"/>
      <c r="V23" s="12"/>
      <c r="W23" s="12"/>
      <c r="X23" s="12"/>
      <c r="Y23" s="12"/>
      <c r="AC23" s="12"/>
      <c r="AD23" s="12"/>
      <c r="AE23" s="12"/>
      <c r="AF23" s="12"/>
      <c r="AI23">
        <v>4</v>
      </c>
      <c r="AJ23" s="12"/>
      <c r="AK23" s="12">
        <v>0.5</v>
      </c>
      <c r="AL23" s="12"/>
      <c r="AM23" s="12">
        <v>0.5</v>
      </c>
      <c r="AP23">
        <v>1</v>
      </c>
      <c r="AQ23" s="12"/>
      <c r="AR23" s="12">
        <v>0.5</v>
      </c>
      <c r="AS23" s="12"/>
      <c r="AT23" s="12">
        <v>0.5</v>
      </c>
      <c r="AW23">
        <v>0.5</v>
      </c>
      <c r="AX23" s="12"/>
      <c r="AY23" s="12">
        <v>0.5</v>
      </c>
      <c r="AZ23" s="12"/>
      <c r="BA23" s="12">
        <v>0.5</v>
      </c>
      <c r="BD23">
        <v>0.5</v>
      </c>
      <c r="BE23" s="12"/>
      <c r="BF23" s="12">
        <v>0.5</v>
      </c>
      <c r="BG23" s="12"/>
      <c r="BH23" s="12">
        <v>0.5</v>
      </c>
      <c r="BK23">
        <v>3</v>
      </c>
      <c r="BL23" s="12"/>
      <c r="BM23" s="12">
        <v>0.8</v>
      </c>
      <c r="BN23" s="12"/>
      <c r="BO23" s="12">
        <v>0.8</v>
      </c>
      <c r="BR23">
        <v>0.5</v>
      </c>
      <c r="BS23" s="12"/>
      <c r="BT23" s="12">
        <v>0.8</v>
      </c>
      <c r="BU23" s="12"/>
      <c r="BV23" s="12">
        <v>0.8</v>
      </c>
      <c r="BY23">
        <v>0.5</v>
      </c>
      <c r="BZ23" s="12"/>
      <c r="CA23" s="12">
        <v>0.8</v>
      </c>
      <c r="CB23" s="12"/>
      <c r="CC23" s="12">
        <v>0.8</v>
      </c>
      <c r="CF23">
        <v>0.5</v>
      </c>
      <c r="CG23" s="12"/>
      <c r="CH23" s="12">
        <v>0.8</v>
      </c>
      <c r="CI23" s="12"/>
      <c r="CJ23" s="12">
        <v>0.8</v>
      </c>
      <c r="CM23">
        <v>3</v>
      </c>
      <c r="CN23" s="12"/>
      <c r="CO23" s="12">
        <v>1</v>
      </c>
      <c r="CP23" s="12"/>
      <c r="CQ23" s="12">
        <v>1</v>
      </c>
      <c r="CT23">
        <v>0.5</v>
      </c>
      <c r="CU23" s="12"/>
      <c r="CV23" s="12">
        <v>1</v>
      </c>
      <c r="CW23" s="12"/>
      <c r="CX23" s="12">
        <v>1</v>
      </c>
      <c r="DA23">
        <v>0.5</v>
      </c>
      <c r="DB23" s="12"/>
      <c r="DC23" s="12">
        <v>1</v>
      </c>
      <c r="DD23" s="12"/>
      <c r="DE23" s="12">
        <v>1</v>
      </c>
    </row>
    <row r="24" spans="2:109" outlineLevel="1">
      <c r="B24" t="s">
        <v>28</v>
      </c>
      <c r="C24" t="s">
        <v>79</v>
      </c>
      <c r="E24" s="11"/>
      <c r="F24" t="s">
        <v>92</v>
      </c>
      <c r="G24" s="12">
        <v>0.08</v>
      </c>
      <c r="I24" s="14">
        <f t="shared" si="6"/>
        <v>368</v>
      </c>
      <c r="J24" s="13">
        <f t="shared" si="7"/>
        <v>0</v>
      </c>
      <c r="K24" s="13">
        <f t="shared" si="7"/>
        <v>0</v>
      </c>
      <c r="L24" s="11"/>
      <c r="O24" s="12"/>
      <c r="P24" s="12"/>
      <c r="Q24" s="12"/>
      <c r="R24" s="12"/>
      <c r="V24" s="12"/>
      <c r="W24" s="12"/>
      <c r="X24" s="12"/>
      <c r="Y24" s="12"/>
      <c r="AC24" s="12"/>
      <c r="AD24" s="12"/>
      <c r="AE24" s="12"/>
      <c r="AF24" s="12"/>
      <c r="AI24">
        <v>4</v>
      </c>
      <c r="AJ24" s="12"/>
      <c r="AK24" s="12">
        <v>0.5</v>
      </c>
      <c r="AL24" s="12"/>
      <c r="AM24" s="12">
        <v>0.5</v>
      </c>
      <c r="AP24">
        <v>1</v>
      </c>
      <c r="AQ24" s="12"/>
      <c r="AR24" s="12">
        <v>0.5</v>
      </c>
      <c r="AS24" s="12"/>
      <c r="AT24" s="12">
        <v>0.5</v>
      </c>
      <c r="AW24">
        <v>0.5</v>
      </c>
      <c r="AX24" s="12"/>
      <c r="AY24" s="12">
        <v>0.5</v>
      </c>
      <c r="AZ24" s="12"/>
      <c r="BA24" s="12">
        <v>0.5</v>
      </c>
      <c r="BD24">
        <v>0.5</v>
      </c>
      <c r="BE24" s="12"/>
      <c r="BF24" s="12">
        <v>0.5</v>
      </c>
      <c r="BG24" s="12"/>
      <c r="BH24" s="12">
        <v>0.5</v>
      </c>
      <c r="BK24">
        <v>0.5</v>
      </c>
      <c r="BL24" s="12"/>
      <c r="BM24" s="12">
        <v>0.5</v>
      </c>
      <c r="BN24" s="12"/>
      <c r="BO24" s="12">
        <v>0.5</v>
      </c>
      <c r="BR24">
        <v>3</v>
      </c>
      <c r="BS24" s="12"/>
      <c r="BT24" s="12">
        <v>0.8</v>
      </c>
      <c r="BU24" s="12"/>
      <c r="BV24" s="12">
        <v>0.8</v>
      </c>
      <c r="BY24">
        <v>0.5</v>
      </c>
      <c r="BZ24" s="12"/>
      <c r="CA24" s="12">
        <v>0.8</v>
      </c>
      <c r="CB24" s="12"/>
      <c r="CC24" s="12">
        <v>0.8</v>
      </c>
      <c r="CF24">
        <v>0.5</v>
      </c>
      <c r="CG24" s="12"/>
      <c r="CH24" s="12">
        <v>0.8</v>
      </c>
      <c r="CI24" s="12"/>
      <c r="CJ24" s="12">
        <v>0.8</v>
      </c>
      <c r="CM24">
        <v>3</v>
      </c>
      <c r="CN24" s="12"/>
      <c r="CO24" s="12">
        <v>1</v>
      </c>
      <c r="CP24" s="12"/>
      <c r="CQ24" s="12">
        <v>1</v>
      </c>
      <c r="CT24">
        <v>0.5</v>
      </c>
      <c r="CU24" s="12"/>
      <c r="CV24" s="12">
        <v>1</v>
      </c>
      <c r="CW24" s="12"/>
      <c r="CX24" s="12">
        <v>1</v>
      </c>
      <c r="DA24">
        <v>0.5</v>
      </c>
      <c r="DB24" s="12"/>
      <c r="DC24" s="12">
        <v>1</v>
      </c>
      <c r="DD24" s="12"/>
      <c r="DE24" s="12">
        <v>1</v>
      </c>
    </row>
    <row r="25" spans="2:109" outlineLevel="1">
      <c r="B25" t="s">
        <v>28</v>
      </c>
      <c r="C25" t="s">
        <v>79</v>
      </c>
      <c r="E25" s="11"/>
      <c r="F25" t="s">
        <v>91</v>
      </c>
      <c r="G25" s="12">
        <v>0.08</v>
      </c>
      <c r="I25" s="14">
        <f t="shared" si="6"/>
        <v>184</v>
      </c>
      <c r="J25" s="13">
        <f t="shared" si="7"/>
        <v>0</v>
      </c>
      <c r="K25" s="13">
        <f t="shared" si="7"/>
        <v>0</v>
      </c>
      <c r="L25" s="11"/>
      <c r="O25" s="12"/>
      <c r="P25" s="12"/>
      <c r="Q25" s="12"/>
      <c r="R25" s="12"/>
      <c r="V25" s="12"/>
      <c r="W25" s="12"/>
      <c r="X25" s="12"/>
      <c r="Y25" s="12"/>
      <c r="AC25" s="12"/>
      <c r="AD25" s="12"/>
      <c r="AE25" s="12"/>
      <c r="AF25" s="12"/>
      <c r="AJ25" s="12"/>
      <c r="AK25" s="12"/>
      <c r="AL25" s="12"/>
      <c r="AM25" s="12"/>
      <c r="AP25">
        <v>4</v>
      </c>
      <c r="AQ25" s="12"/>
      <c r="AR25" s="12">
        <v>0.5</v>
      </c>
      <c r="AS25" s="12"/>
      <c r="AT25" s="12">
        <v>0.5</v>
      </c>
      <c r="AW25">
        <v>0.5</v>
      </c>
      <c r="AX25" s="12"/>
      <c r="AY25" s="12">
        <v>0.5</v>
      </c>
      <c r="AZ25" s="12"/>
      <c r="BA25" s="12">
        <v>0.5</v>
      </c>
      <c r="BD25">
        <v>0.5</v>
      </c>
      <c r="BE25" s="12"/>
      <c r="BF25" s="12">
        <v>0.5</v>
      </c>
      <c r="BG25" s="12"/>
      <c r="BH25" s="12">
        <v>0.5</v>
      </c>
      <c r="BK25">
        <v>0.5</v>
      </c>
      <c r="BL25" s="12"/>
      <c r="BM25" s="12">
        <v>0.5</v>
      </c>
      <c r="BN25" s="12"/>
      <c r="BO25" s="12">
        <v>0.5</v>
      </c>
      <c r="BR25">
        <v>3</v>
      </c>
      <c r="BS25" s="12"/>
      <c r="BT25" s="12">
        <v>0.8</v>
      </c>
      <c r="BU25" s="12"/>
      <c r="BV25" s="12">
        <v>0.8</v>
      </c>
      <c r="BY25">
        <v>0.5</v>
      </c>
      <c r="BZ25" s="12"/>
      <c r="CA25" s="12">
        <v>0.8</v>
      </c>
      <c r="CB25" s="12"/>
      <c r="CC25" s="12">
        <v>0.8</v>
      </c>
      <c r="CF25">
        <v>0.5</v>
      </c>
      <c r="CG25" s="12"/>
      <c r="CH25" s="12">
        <v>0.8</v>
      </c>
      <c r="CI25" s="12"/>
      <c r="CJ25" s="12">
        <v>0.8</v>
      </c>
      <c r="CM25">
        <v>0.5</v>
      </c>
      <c r="CN25" s="12"/>
      <c r="CO25" s="12">
        <v>0.8</v>
      </c>
      <c r="CP25" s="12"/>
      <c r="CQ25" s="12">
        <v>0.8</v>
      </c>
      <c r="CT25">
        <v>3</v>
      </c>
      <c r="CU25" s="12"/>
      <c r="CV25" s="12">
        <v>1</v>
      </c>
      <c r="CW25" s="12"/>
      <c r="CX25" s="12">
        <v>1</v>
      </c>
      <c r="DA25">
        <v>0.5</v>
      </c>
      <c r="DB25" s="12"/>
      <c r="DC25" s="12">
        <v>1</v>
      </c>
      <c r="DD25" s="12"/>
      <c r="DE25" s="12">
        <v>1</v>
      </c>
    </row>
    <row r="26" spans="2:109" outlineLevel="1">
      <c r="B26" t="s">
        <v>28</v>
      </c>
      <c r="C26" t="s">
        <v>79</v>
      </c>
      <c r="E26" s="11"/>
      <c r="F26" t="s">
        <v>90</v>
      </c>
      <c r="G26" s="12">
        <v>0.08</v>
      </c>
      <c r="I26" s="14">
        <f t="shared" si="6"/>
        <v>92</v>
      </c>
      <c r="J26" s="13">
        <f t="shared" si="7"/>
        <v>0</v>
      </c>
      <c r="K26" s="13">
        <f>+_xlfn.MAXIFS($N26:$ZF26,$N$3:$ZF$3,K$3)</f>
        <v>0</v>
      </c>
      <c r="L26" s="11"/>
      <c r="O26" s="12"/>
      <c r="P26" s="12"/>
      <c r="Q26" s="12"/>
      <c r="R26" s="12"/>
      <c r="V26" s="12"/>
      <c r="W26" s="12"/>
      <c r="X26" s="12"/>
      <c r="Y26" s="12"/>
      <c r="AC26" s="12"/>
      <c r="AD26" s="12"/>
      <c r="AE26" s="12"/>
      <c r="AF26" s="12"/>
      <c r="AJ26" s="12"/>
      <c r="AK26" s="12"/>
      <c r="AL26" s="12"/>
      <c r="AM26" s="12"/>
      <c r="AP26">
        <v>4</v>
      </c>
      <c r="AQ26" s="12"/>
      <c r="AR26" s="12">
        <v>0.5</v>
      </c>
      <c r="AS26" s="12"/>
      <c r="AT26" s="12">
        <v>0.5</v>
      </c>
      <c r="AW26">
        <v>0.5</v>
      </c>
      <c r="AX26" s="12"/>
      <c r="AY26" s="12">
        <v>0.5</v>
      </c>
      <c r="AZ26" s="12"/>
      <c r="BA26" s="12">
        <v>0.5</v>
      </c>
      <c r="BD26">
        <v>0.5</v>
      </c>
      <c r="BE26" s="12"/>
      <c r="BF26" s="12">
        <v>0.5</v>
      </c>
      <c r="BG26" s="12"/>
      <c r="BH26" s="12">
        <v>0.5</v>
      </c>
      <c r="BK26">
        <v>0.5</v>
      </c>
      <c r="BL26" s="12"/>
      <c r="BM26" s="12">
        <v>0.5</v>
      </c>
      <c r="BN26" s="12"/>
      <c r="BO26" s="12">
        <v>0.5</v>
      </c>
      <c r="BR26">
        <v>0.5</v>
      </c>
      <c r="BS26" s="12"/>
      <c r="BT26" s="12">
        <v>0.5</v>
      </c>
      <c r="BU26" s="12"/>
      <c r="BV26" s="12">
        <v>0.5</v>
      </c>
      <c r="BY26">
        <v>3</v>
      </c>
      <c r="BZ26" s="12"/>
      <c r="CA26" s="12">
        <v>0.8</v>
      </c>
      <c r="CB26" s="12"/>
      <c r="CC26" s="12">
        <v>0.8</v>
      </c>
      <c r="CF26">
        <v>0.5</v>
      </c>
      <c r="CG26" s="12"/>
      <c r="CH26" s="12">
        <v>0.8</v>
      </c>
      <c r="CI26" s="12"/>
      <c r="CJ26" s="12">
        <v>0.8</v>
      </c>
      <c r="CM26">
        <v>0.5</v>
      </c>
      <c r="CN26" s="12"/>
      <c r="CO26" s="12">
        <v>0.8</v>
      </c>
      <c r="CP26" s="12"/>
      <c r="CQ26" s="12">
        <v>0.8</v>
      </c>
      <c r="CT26">
        <v>3</v>
      </c>
      <c r="CU26" s="12"/>
      <c r="CV26" s="12">
        <v>1</v>
      </c>
      <c r="CW26" s="12"/>
      <c r="CX26" s="12">
        <v>1</v>
      </c>
      <c r="DA26">
        <v>0.5</v>
      </c>
      <c r="DB26" s="12"/>
      <c r="DC26" s="12">
        <v>1</v>
      </c>
      <c r="DD26" s="12"/>
      <c r="DE26" s="12">
        <v>1</v>
      </c>
    </row>
    <row r="27" spans="2:109" outlineLevel="1">
      <c r="B27" t="s">
        <v>28</v>
      </c>
      <c r="C27" t="s">
        <v>80</v>
      </c>
      <c r="E27" s="11"/>
      <c r="F27" t="s">
        <v>86</v>
      </c>
      <c r="G27" s="12">
        <v>0.08</v>
      </c>
      <c r="I27" s="14">
        <f>+SUM(I28:I38)</f>
        <v>46</v>
      </c>
      <c r="J27" s="13">
        <f t="shared" si="7"/>
        <v>0</v>
      </c>
      <c r="K27" s="13">
        <f t="shared" si="7"/>
        <v>0</v>
      </c>
      <c r="L27" s="11"/>
      <c r="O27" s="12"/>
      <c r="P27" s="12"/>
      <c r="Q27" s="12"/>
      <c r="R27" s="12"/>
      <c r="V27" s="12"/>
      <c r="W27" s="12"/>
      <c r="X27" s="12"/>
      <c r="Y27" s="12"/>
      <c r="AC27" s="12"/>
      <c r="AD27" s="12"/>
      <c r="AE27" s="12"/>
      <c r="AF27" s="12"/>
      <c r="AJ27" s="12"/>
      <c r="AK27" s="12"/>
      <c r="AL27" s="12"/>
      <c r="AM27" s="12"/>
      <c r="AQ27" s="12"/>
      <c r="AR27" s="12"/>
      <c r="AS27" s="12"/>
      <c r="AT27" s="12"/>
      <c r="AW27">
        <v>3</v>
      </c>
      <c r="AX27" s="12"/>
      <c r="AY27" s="12">
        <v>0.5</v>
      </c>
      <c r="AZ27" s="12"/>
      <c r="BA27" s="12">
        <v>0.5</v>
      </c>
      <c r="BD27">
        <v>0.5</v>
      </c>
      <c r="BE27" s="12"/>
      <c r="BF27" s="12">
        <v>0.5</v>
      </c>
      <c r="BG27" s="12"/>
      <c r="BH27" s="12">
        <v>0.5</v>
      </c>
      <c r="BK27">
        <v>0.5</v>
      </c>
      <c r="BL27" s="12"/>
      <c r="BM27" s="12">
        <v>0.5</v>
      </c>
      <c r="BN27" s="12"/>
      <c r="BO27" s="12">
        <v>0.5</v>
      </c>
      <c r="BR27">
        <v>0.5</v>
      </c>
      <c r="BS27" s="12"/>
      <c r="BT27" s="12">
        <v>0.5</v>
      </c>
      <c r="BU27" s="12"/>
      <c r="BV27" s="12">
        <v>0.5</v>
      </c>
      <c r="BY27">
        <v>3</v>
      </c>
      <c r="BZ27" s="12"/>
      <c r="CA27" s="12">
        <v>0.8</v>
      </c>
      <c r="CB27" s="12"/>
      <c r="CC27" s="12">
        <v>0.8</v>
      </c>
      <c r="CF27">
        <v>0.5</v>
      </c>
      <c r="CG27" s="12"/>
      <c r="CH27" s="12">
        <v>0.8</v>
      </c>
      <c r="CI27" s="12"/>
      <c r="CJ27" s="12">
        <v>0.8</v>
      </c>
      <c r="CM27">
        <v>0.5</v>
      </c>
      <c r="CN27" s="12"/>
      <c r="CO27" s="12">
        <v>0.8</v>
      </c>
      <c r="CP27" s="12"/>
      <c r="CQ27" s="12">
        <v>0.8</v>
      </c>
      <c r="CT27">
        <v>3</v>
      </c>
      <c r="CU27" s="12"/>
      <c r="CV27" s="12">
        <v>1</v>
      </c>
      <c r="CW27" s="12"/>
      <c r="CX27" s="12">
        <v>1</v>
      </c>
      <c r="DA27">
        <v>0.5</v>
      </c>
      <c r="DB27" s="12"/>
      <c r="DC27" s="12">
        <v>1</v>
      </c>
      <c r="DD27" s="12"/>
      <c r="DE27" s="12">
        <v>1</v>
      </c>
    </row>
    <row r="28" spans="2:109" outlineLevel="1">
      <c r="B28" t="s">
        <v>28</v>
      </c>
      <c r="C28" t="s">
        <v>80</v>
      </c>
      <c r="E28" s="11"/>
      <c r="F28" t="s">
        <v>87</v>
      </c>
      <c r="G28" s="12">
        <v>0.08</v>
      </c>
      <c r="I28" s="14">
        <f>+SUM(I29:I38)</f>
        <v>23</v>
      </c>
      <c r="J28" s="13">
        <f t="shared" si="7"/>
        <v>0</v>
      </c>
      <c r="K28" s="13">
        <f t="shared" si="7"/>
        <v>0</v>
      </c>
      <c r="L28" s="11"/>
      <c r="O28" s="12"/>
      <c r="P28" s="12"/>
      <c r="Q28" s="12"/>
      <c r="R28" s="12"/>
      <c r="V28" s="12"/>
      <c r="W28" s="12"/>
      <c r="X28" s="12"/>
      <c r="Y28" s="12"/>
      <c r="AC28" s="12"/>
      <c r="AD28" s="12"/>
      <c r="AE28" s="12"/>
      <c r="AF28" s="12"/>
      <c r="AJ28" s="12"/>
      <c r="AK28" s="12"/>
      <c r="AL28" s="12"/>
      <c r="AM28" s="12"/>
      <c r="AQ28" s="12"/>
      <c r="AR28" s="12"/>
      <c r="AS28" s="12"/>
      <c r="AT28" s="12"/>
      <c r="AW28">
        <v>3</v>
      </c>
      <c r="AX28" s="12"/>
      <c r="AY28" s="12">
        <v>0.5</v>
      </c>
      <c r="AZ28" s="12"/>
      <c r="BA28" s="12">
        <v>0.5</v>
      </c>
      <c r="BD28">
        <v>0.5</v>
      </c>
      <c r="BE28" s="12"/>
      <c r="BF28" s="12">
        <v>0.5</v>
      </c>
      <c r="BG28" s="12"/>
      <c r="BH28" s="12">
        <v>0.5</v>
      </c>
      <c r="BK28">
        <v>0.5</v>
      </c>
      <c r="BL28" s="12"/>
      <c r="BM28" s="12">
        <v>0.5</v>
      </c>
      <c r="BN28" s="12"/>
      <c r="BO28" s="12">
        <v>0.5</v>
      </c>
      <c r="BR28">
        <v>0.5</v>
      </c>
      <c r="BS28" s="12"/>
      <c r="BT28" s="12">
        <v>0.5</v>
      </c>
      <c r="BU28" s="12"/>
      <c r="BV28" s="12">
        <v>0.5</v>
      </c>
      <c r="BY28">
        <v>0.5</v>
      </c>
      <c r="BZ28" s="12"/>
      <c r="CA28" s="12">
        <v>0.5</v>
      </c>
      <c r="CB28" s="12"/>
      <c r="CC28" s="12">
        <v>0.5</v>
      </c>
      <c r="CF28">
        <v>3</v>
      </c>
      <c r="CG28" s="12"/>
      <c r="CH28" s="12">
        <v>0.8</v>
      </c>
      <c r="CI28" s="12"/>
      <c r="CJ28" s="12">
        <v>0.8</v>
      </c>
      <c r="CM28">
        <v>0.5</v>
      </c>
      <c r="CN28" s="12"/>
      <c r="CO28" s="12">
        <v>0.8</v>
      </c>
      <c r="CP28" s="12"/>
      <c r="CQ28" s="12">
        <v>0.8</v>
      </c>
      <c r="CT28">
        <v>0.5</v>
      </c>
      <c r="CU28" s="12"/>
      <c r="CV28" s="12">
        <v>0.8</v>
      </c>
      <c r="CW28" s="12"/>
      <c r="CX28" s="12">
        <v>0.8</v>
      </c>
      <c r="DA28">
        <v>3</v>
      </c>
      <c r="DB28" s="12"/>
      <c r="DC28" s="12">
        <v>1</v>
      </c>
      <c r="DD28" s="12"/>
      <c r="DE28" s="12">
        <v>1</v>
      </c>
    </row>
    <row r="29" spans="2:109" outlineLevel="1">
      <c r="B29" t="s">
        <v>28</v>
      </c>
      <c r="C29" t="s">
        <v>80</v>
      </c>
      <c r="E29" s="11"/>
      <c r="F29" s="1" t="s">
        <v>88</v>
      </c>
      <c r="G29" s="12">
        <v>0.08</v>
      </c>
      <c r="I29" s="14">
        <f>+SUM(I30:I38)</f>
        <v>11.5</v>
      </c>
      <c r="J29" s="13">
        <f t="shared" si="7"/>
        <v>0</v>
      </c>
      <c r="K29" s="13">
        <f t="shared" si="7"/>
        <v>0</v>
      </c>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D29">
        <v>3</v>
      </c>
      <c r="BE29" s="12"/>
      <c r="BF29" s="12">
        <v>0.5</v>
      </c>
      <c r="BG29" s="12"/>
      <c r="BH29" s="12">
        <v>0.5</v>
      </c>
      <c r="BK29">
        <v>0.5</v>
      </c>
      <c r="BL29" s="12"/>
      <c r="BM29" s="12">
        <v>0.5</v>
      </c>
      <c r="BN29" s="12"/>
      <c r="BO29" s="12">
        <v>0.5</v>
      </c>
      <c r="BR29">
        <v>0.5</v>
      </c>
      <c r="BS29" s="12"/>
      <c r="BT29" s="12">
        <v>0.5</v>
      </c>
      <c r="BU29" s="12"/>
      <c r="BV29" s="12">
        <v>0.5</v>
      </c>
      <c r="BY29">
        <v>0.5</v>
      </c>
      <c r="BZ29" s="12"/>
      <c r="CA29" s="12">
        <v>0.5</v>
      </c>
      <c r="CB29" s="12"/>
      <c r="CC29" s="12">
        <v>0.5</v>
      </c>
      <c r="CF29">
        <v>3</v>
      </c>
      <c r="CG29" s="12"/>
      <c r="CH29" s="12">
        <v>0.8</v>
      </c>
      <c r="CI29" s="12"/>
      <c r="CJ29" s="12">
        <v>0.8</v>
      </c>
      <c r="CM29">
        <v>0.5</v>
      </c>
      <c r="CN29" s="12"/>
      <c r="CO29" s="12">
        <v>0.8</v>
      </c>
      <c r="CP29" s="12"/>
      <c r="CQ29" s="12">
        <v>0.8</v>
      </c>
      <c r="CT29">
        <v>0.5</v>
      </c>
      <c r="CU29" s="12"/>
      <c r="CV29" s="12">
        <v>0.8</v>
      </c>
      <c r="CW29" s="12"/>
      <c r="CX29" s="12">
        <v>0.8</v>
      </c>
      <c r="DA29">
        <v>3</v>
      </c>
      <c r="DB29" s="12"/>
      <c r="DC29" s="12">
        <v>1</v>
      </c>
      <c r="DD29" s="12"/>
      <c r="DE29" s="12">
        <v>1</v>
      </c>
    </row>
    <row r="30" spans="2:109" outlineLevel="1">
      <c r="B30" t="s">
        <v>28</v>
      </c>
      <c r="C30" t="s">
        <v>80</v>
      </c>
      <c r="E30" s="11"/>
      <c r="F30" t="s">
        <v>89</v>
      </c>
      <c r="G30" s="12">
        <v>0.08</v>
      </c>
      <c r="I30" s="11">
        <f t="shared" ref="I30" si="8">+SUMIF($N$3:$ZZ$3,I$3,$N30:$ZZ30)</f>
        <v>11.5</v>
      </c>
      <c r="J30" s="13">
        <f t="shared" si="7"/>
        <v>0</v>
      </c>
      <c r="K30" s="13">
        <f t="shared" si="7"/>
        <v>0</v>
      </c>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D30">
        <v>3</v>
      </c>
      <c r="BE30" s="12"/>
      <c r="BF30" s="12">
        <v>0.5</v>
      </c>
      <c r="BG30" s="12"/>
      <c r="BH30" s="12">
        <v>0.5</v>
      </c>
      <c r="BK30">
        <v>0.5</v>
      </c>
      <c r="BL30" s="12"/>
      <c r="BM30" s="12">
        <v>0.5</v>
      </c>
      <c r="BN30" s="12"/>
      <c r="BO30" s="12">
        <v>0.5</v>
      </c>
      <c r="BR30">
        <v>0.5</v>
      </c>
      <c r="BS30" s="12"/>
      <c r="BT30" s="12">
        <v>0.5</v>
      </c>
      <c r="BU30" s="12"/>
      <c r="BV30" s="12">
        <v>0.5</v>
      </c>
      <c r="BY30">
        <v>0.5</v>
      </c>
      <c r="BZ30" s="12"/>
      <c r="CA30" s="12">
        <v>0.5</v>
      </c>
      <c r="CB30" s="12"/>
      <c r="CC30" s="12">
        <v>0.5</v>
      </c>
      <c r="CF30">
        <v>0.5</v>
      </c>
      <c r="CG30" s="12"/>
      <c r="CH30" s="12">
        <v>0.5</v>
      </c>
      <c r="CI30" s="12"/>
      <c r="CJ30" s="12">
        <v>0.5</v>
      </c>
      <c r="CM30">
        <v>3</v>
      </c>
      <c r="CN30" s="12"/>
      <c r="CO30" s="12">
        <v>0.8</v>
      </c>
      <c r="CP30" s="12"/>
      <c r="CQ30" s="12">
        <v>0.8</v>
      </c>
      <c r="CT30">
        <v>0.5</v>
      </c>
      <c r="CU30" s="12"/>
      <c r="CV30" s="12">
        <v>0.8</v>
      </c>
      <c r="CW30" s="12"/>
      <c r="CX30" s="12">
        <v>0.8</v>
      </c>
      <c r="DA30">
        <v>3</v>
      </c>
      <c r="DB30" s="12"/>
      <c r="DC30" s="12">
        <v>1</v>
      </c>
      <c r="DD30" s="12"/>
      <c r="DE30" s="12">
        <v>1</v>
      </c>
    </row>
    <row r="32" spans="2:109">
      <c r="B32" t="s">
        <v>27</v>
      </c>
      <c r="C32" t="s">
        <v>52</v>
      </c>
      <c r="D32" t="s">
        <v>99</v>
      </c>
      <c r="E32" s="11">
        <v>5</v>
      </c>
      <c r="G32" s="12">
        <f>+SUM(G33:G38)</f>
        <v>1.02</v>
      </c>
      <c r="I32" s="14">
        <v>0</v>
      </c>
      <c r="J32" s="13">
        <f>+SUMPRODUCT(G33:G38,J33:J38)</f>
        <v>0</v>
      </c>
      <c r="K32" s="13">
        <f>+SUMPRODUCT(G33:G38,K33:K38)</f>
        <v>0</v>
      </c>
      <c r="L32" s="11"/>
      <c r="N32" s="14">
        <f>+SUM(N33:N38)</f>
        <v>4</v>
      </c>
      <c r="U32" s="14">
        <f>+SUM(U33:U38)</f>
        <v>7</v>
      </c>
      <c r="AB32" s="14">
        <f>+SUM(AB33:AB38)</f>
        <v>6</v>
      </c>
      <c r="AI32" s="14">
        <f>+SUM(AI33:AI38)</f>
        <v>8</v>
      </c>
      <c r="AP32" s="14">
        <f>+SUM(AP33:AP38)</f>
        <v>7</v>
      </c>
      <c r="AW32" s="14">
        <f>+SUM(AW33:AW38)</f>
        <v>6.5</v>
      </c>
      <c r="BD32" s="14">
        <f>+SUM(BD33:BD38)</f>
        <v>6.5</v>
      </c>
      <c r="BK32" s="14">
        <f>+SUM(BK33:BK38)</f>
        <v>6.5</v>
      </c>
      <c r="BR32" s="14">
        <f>+SUM(BR33:BR38)</f>
        <v>6.5</v>
      </c>
      <c r="BY32" s="14">
        <f>+SUM(BY33:BY38)</f>
        <v>6.5</v>
      </c>
      <c r="CF32" s="14">
        <f>+SUM(CF33:CF38)</f>
        <v>6.5</v>
      </c>
      <c r="CM32" s="14">
        <f>+SUM(CM33:CM38)</f>
        <v>6.5</v>
      </c>
      <c r="CT32" s="14">
        <f>+SUM(CT33:CT38)</f>
        <v>6.5</v>
      </c>
      <c r="DA32" s="14">
        <f>+SUM(DA33:DA38)</f>
        <v>6</v>
      </c>
    </row>
    <row r="33" spans="2:109" outlineLevel="1">
      <c r="B33" t="s">
        <v>28</v>
      </c>
      <c r="C33" t="s">
        <v>52</v>
      </c>
      <c r="E33" s="11"/>
      <c r="F33" t="s">
        <v>93</v>
      </c>
      <c r="G33" s="12">
        <v>0.17</v>
      </c>
      <c r="I33" s="11">
        <v>0</v>
      </c>
      <c r="J33" s="13">
        <f t="shared" ref="J33:K38" si="9">+_xlfn.MAXIFS($N33:$ZF33,$N$3:$ZF$3,J$3)</f>
        <v>0</v>
      </c>
      <c r="K33" s="13">
        <f t="shared" si="9"/>
        <v>0</v>
      </c>
      <c r="L33" s="11"/>
      <c r="N33">
        <v>2</v>
      </c>
      <c r="O33" s="12"/>
      <c r="P33" s="12">
        <v>0.5</v>
      </c>
      <c r="Q33" s="12"/>
      <c r="R33" s="12">
        <v>0.5</v>
      </c>
      <c r="U33">
        <v>3</v>
      </c>
      <c r="V33" s="12"/>
      <c r="W33" s="12">
        <v>0.8</v>
      </c>
      <c r="X33" s="12"/>
      <c r="Y33" s="12">
        <v>0.8</v>
      </c>
      <c r="AB33">
        <v>1</v>
      </c>
      <c r="AC33" s="12"/>
      <c r="AD33" s="12">
        <v>0.8</v>
      </c>
      <c r="AE33" s="12"/>
      <c r="AF33" s="12"/>
      <c r="AI33">
        <v>1</v>
      </c>
      <c r="AJ33" s="12"/>
      <c r="AK33" s="12">
        <v>0.8</v>
      </c>
      <c r="AL33" s="12"/>
      <c r="AM33" s="12"/>
      <c r="AP33">
        <v>0.5</v>
      </c>
      <c r="AQ33" s="12"/>
      <c r="AR33" s="12">
        <v>0.8</v>
      </c>
      <c r="AS33" s="12"/>
      <c r="AT33" s="12"/>
      <c r="AW33">
        <v>4</v>
      </c>
      <c r="AX33" s="12"/>
      <c r="AY33" s="12">
        <v>1</v>
      </c>
      <c r="AZ33" s="12"/>
      <c r="BA33" s="12"/>
      <c r="BD33">
        <v>0.5</v>
      </c>
      <c r="BE33" s="12"/>
      <c r="BF33" s="12">
        <v>1</v>
      </c>
      <c r="BG33" s="12"/>
      <c r="BH33" s="12"/>
      <c r="BK33">
        <v>0.5</v>
      </c>
      <c r="BL33" s="12"/>
      <c r="BM33" s="12">
        <v>1</v>
      </c>
      <c r="BN33" s="12"/>
      <c r="BO33" s="12"/>
      <c r="BR33">
        <v>0.5</v>
      </c>
      <c r="BS33" s="12"/>
      <c r="BT33" s="12">
        <v>1</v>
      </c>
      <c r="BU33" s="12"/>
      <c r="BV33" s="12"/>
      <c r="BY33">
        <v>0.5</v>
      </c>
      <c r="BZ33" s="12"/>
      <c r="CA33" s="12">
        <v>1</v>
      </c>
      <c r="CB33" s="12"/>
      <c r="CC33" s="12"/>
      <c r="CF33">
        <v>0.5</v>
      </c>
      <c r="CG33" s="12"/>
      <c r="CH33" s="12">
        <v>1</v>
      </c>
      <c r="CI33" s="12"/>
      <c r="CJ33" s="12"/>
      <c r="CM33">
        <v>0.5</v>
      </c>
      <c r="CN33" s="12"/>
      <c r="CO33" s="12">
        <v>1</v>
      </c>
      <c r="CP33" s="12"/>
      <c r="CQ33" s="12"/>
      <c r="CT33">
        <v>0.5</v>
      </c>
      <c r="CU33" s="12"/>
      <c r="CV33" s="12">
        <v>1</v>
      </c>
      <c r="CW33" s="12"/>
      <c r="CX33" s="12">
        <v>1</v>
      </c>
      <c r="DA33">
        <v>1</v>
      </c>
      <c r="DB33" s="12"/>
      <c r="DC33" s="12">
        <v>1</v>
      </c>
      <c r="DD33" s="12"/>
      <c r="DE33" s="12">
        <v>1</v>
      </c>
    </row>
    <row r="34" spans="2:109" outlineLevel="1">
      <c r="B34" t="s">
        <v>28</v>
      </c>
      <c r="C34" t="s">
        <v>52</v>
      </c>
      <c r="E34" s="11"/>
      <c r="F34" t="s">
        <v>94</v>
      </c>
      <c r="G34" s="12">
        <v>0.17</v>
      </c>
      <c r="I34" s="11">
        <v>0</v>
      </c>
      <c r="J34" s="13">
        <f t="shared" si="9"/>
        <v>0</v>
      </c>
      <c r="K34" s="13">
        <f t="shared" si="9"/>
        <v>0</v>
      </c>
      <c r="L34" s="11"/>
      <c r="N34">
        <v>2</v>
      </c>
      <c r="O34" s="12"/>
      <c r="P34" s="12">
        <v>0.5</v>
      </c>
      <c r="Q34" s="12"/>
      <c r="R34" s="12">
        <v>0.5</v>
      </c>
      <c r="U34">
        <v>1</v>
      </c>
      <c r="V34" s="12"/>
      <c r="W34" s="12">
        <v>0.5</v>
      </c>
      <c r="X34" s="12"/>
      <c r="Y34" s="12">
        <v>0.5</v>
      </c>
      <c r="AB34">
        <v>1</v>
      </c>
      <c r="AC34" s="12"/>
      <c r="AD34" s="12">
        <v>0.8</v>
      </c>
      <c r="AE34" s="12"/>
      <c r="AF34" s="12"/>
      <c r="AI34">
        <v>1</v>
      </c>
      <c r="AJ34" s="12"/>
      <c r="AK34" s="12">
        <v>0.8</v>
      </c>
      <c r="AL34" s="12"/>
      <c r="AM34" s="12"/>
      <c r="AP34">
        <v>0.5</v>
      </c>
      <c r="AQ34" s="12"/>
      <c r="AR34" s="12">
        <v>0.8</v>
      </c>
      <c r="AS34" s="12"/>
      <c r="AT34" s="12"/>
      <c r="AW34">
        <v>0.5</v>
      </c>
      <c r="AX34" s="12"/>
      <c r="AY34" s="12">
        <v>0.8</v>
      </c>
      <c r="AZ34" s="12"/>
      <c r="BA34" s="12"/>
      <c r="BD34">
        <v>0.5</v>
      </c>
      <c r="BE34" s="12"/>
      <c r="BF34" s="12">
        <v>0.8</v>
      </c>
      <c r="BG34" s="12"/>
      <c r="BH34" s="12"/>
      <c r="BK34">
        <v>4</v>
      </c>
      <c r="BL34" s="12"/>
      <c r="BM34" s="12">
        <v>1</v>
      </c>
      <c r="BN34" s="12"/>
      <c r="BO34" s="12"/>
      <c r="BR34">
        <v>0.5</v>
      </c>
      <c r="BS34" s="12"/>
      <c r="BT34" s="12">
        <v>1</v>
      </c>
      <c r="BU34" s="12"/>
      <c r="BV34" s="12"/>
      <c r="BY34">
        <v>0.5</v>
      </c>
      <c r="BZ34" s="12"/>
      <c r="CA34" s="12">
        <v>1</v>
      </c>
      <c r="CB34" s="12"/>
      <c r="CC34" s="12"/>
      <c r="CF34">
        <v>0.5</v>
      </c>
      <c r="CG34" s="12"/>
      <c r="CH34" s="12">
        <v>1</v>
      </c>
      <c r="CI34" s="12"/>
      <c r="CJ34" s="12"/>
      <c r="CM34">
        <v>0.5</v>
      </c>
      <c r="CN34" s="12"/>
      <c r="CO34" s="12">
        <v>1</v>
      </c>
      <c r="CP34" s="12"/>
      <c r="CQ34" s="12"/>
      <c r="CT34">
        <v>0.5</v>
      </c>
      <c r="CU34" s="12"/>
      <c r="CV34" s="12">
        <v>1</v>
      </c>
      <c r="CW34" s="12"/>
      <c r="CX34" s="12">
        <v>1</v>
      </c>
      <c r="DA34">
        <v>1</v>
      </c>
      <c r="DB34" s="12"/>
      <c r="DC34" s="12">
        <v>1</v>
      </c>
      <c r="DD34" s="12"/>
      <c r="DE34" s="12">
        <v>1</v>
      </c>
    </row>
    <row r="35" spans="2:109" outlineLevel="1">
      <c r="B35" t="s">
        <v>28</v>
      </c>
      <c r="C35" t="s">
        <v>52</v>
      </c>
      <c r="E35" s="11"/>
      <c r="F35" t="s">
        <v>95</v>
      </c>
      <c r="G35" s="12">
        <v>0.17</v>
      </c>
      <c r="I35" s="11">
        <v>0</v>
      </c>
      <c r="J35" s="13">
        <f t="shared" si="9"/>
        <v>0</v>
      </c>
      <c r="K35" s="13">
        <f t="shared" si="9"/>
        <v>0</v>
      </c>
      <c r="L35" s="11"/>
      <c r="O35" s="12"/>
      <c r="P35" s="12"/>
      <c r="Q35" s="12"/>
      <c r="R35" s="12"/>
      <c r="U35">
        <v>3</v>
      </c>
      <c r="V35" s="12"/>
      <c r="W35" s="12">
        <v>0.5</v>
      </c>
      <c r="X35" s="12"/>
      <c r="Y35" s="12">
        <v>0.5</v>
      </c>
      <c r="AB35">
        <v>1</v>
      </c>
      <c r="AC35" s="12"/>
      <c r="AD35" s="12">
        <v>0.5</v>
      </c>
      <c r="AE35" s="12"/>
      <c r="AF35" s="12"/>
      <c r="AI35">
        <v>2</v>
      </c>
      <c r="AJ35" s="12"/>
      <c r="AK35" s="12">
        <v>0.8</v>
      </c>
      <c r="AL35" s="12"/>
      <c r="AM35" s="12"/>
      <c r="AP35">
        <v>0.5</v>
      </c>
      <c r="AQ35" s="12"/>
      <c r="AR35" s="12">
        <v>0.8</v>
      </c>
      <c r="AS35" s="12"/>
      <c r="AT35" s="12"/>
      <c r="AW35">
        <v>0.5</v>
      </c>
      <c r="AX35" s="12"/>
      <c r="AY35" s="12">
        <v>0.8</v>
      </c>
      <c r="AZ35" s="12"/>
      <c r="BA35" s="12"/>
      <c r="BD35">
        <v>0.5</v>
      </c>
      <c r="BE35" s="12"/>
      <c r="BF35" s="12">
        <v>0.8</v>
      </c>
      <c r="BG35" s="12"/>
      <c r="BH35" s="12"/>
      <c r="BK35">
        <v>0.5</v>
      </c>
      <c r="BL35" s="12"/>
      <c r="BM35" s="12">
        <v>0.8</v>
      </c>
      <c r="BN35" s="12"/>
      <c r="BO35" s="12"/>
      <c r="BR35">
        <v>0.5</v>
      </c>
      <c r="BS35" s="12"/>
      <c r="BT35" s="12">
        <v>0.8</v>
      </c>
      <c r="BU35" s="12"/>
      <c r="BV35" s="12"/>
      <c r="BY35">
        <v>4</v>
      </c>
      <c r="BZ35" s="12"/>
      <c r="CA35" s="12">
        <v>1</v>
      </c>
      <c r="CB35" s="12"/>
      <c r="CC35" s="12"/>
      <c r="CF35">
        <v>0.5</v>
      </c>
      <c r="CG35" s="12"/>
      <c r="CH35" s="12">
        <v>1</v>
      </c>
      <c r="CI35" s="12"/>
      <c r="CJ35" s="12"/>
      <c r="CM35">
        <v>0.5</v>
      </c>
      <c r="CN35" s="12"/>
      <c r="CO35" s="12">
        <v>1</v>
      </c>
      <c r="CP35" s="12"/>
      <c r="CQ35" s="12"/>
      <c r="CT35">
        <v>0.5</v>
      </c>
      <c r="CU35" s="12"/>
      <c r="CV35" s="12">
        <v>1</v>
      </c>
      <c r="CW35" s="12"/>
      <c r="CX35" s="12">
        <v>1</v>
      </c>
      <c r="DA35">
        <v>1</v>
      </c>
      <c r="DB35" s="12"/>
      <c r="DC35" s="12">
        <v>1</v>
      </c>
      <c r="DD35" s="12"/>
      <c r="DE35" s="12">
        <v>1</v>
      </c>
    </row>
    <row r="36" spans="2:109" outlineLevel="1">
      <c r="B36" t="s">
        <v>28</v>
      </c>
      <c r="C36" t="s">
        <v>52</v>
      </c>
      <c r="E36" s="11"/>
      <c r="F36" t="s">
        <v>96</v>
      </c>
      <c r="G36" s="12">
        <v>0.17</v>
      </c>
      <c r="I36" s="11">
        <v>0</v>
      </c>
      <c r="J36" s="13">
        <f t="shared" si="9"/>
        <v>0</v>
      </c>
      <c r="K36" s="13">
        <f t="shared" si="9"/>
        <v>0</v>
      </c>
      <c r="L36" s="11"/>
      <c r="O36" s="12"/>
      <c r="P36" s="12"/>
      <c r="Q36" s="12"/>
      <c r="R36" s="12"/>
      <c r="V36" s="12"/>
      <c r="W36" s="12"/>
      <c r="X36" s="12"/>
      <c r="Y36" s="12"/>
      <c r="AB36">
        <v>3</v>
      </c>
      <c r="AC36" s="12"/>
      <c r="AD36" s="12">
        <v>0.5</v>
      </c>
      <c r="AE36" s="12"/>
      <c r="AF36" s="12"/>
      <c r="AI36">
        <v>1</v>
      </c>
      <c r="AJ36" s="12"/>
      <c r="AK36" s="12">
        <v>0.5</v>
      </c>
      <c r="AL36" s="12"/>
      <c r="AM36" s="12"/>
      <c r="AP36">
        <v>2</v>
      </c>
      <c r="AQ36" s="12"/>
      <c r="AR36" s="12">
        <v>0.8</v>
      </c>
      <c r="AS36" s="12"/>
      <c r="AT36" s="12"/>
      <c r="AW36">
        <v>0.5</v>
      </c>
      <c r="AX36" s="12"/>
      <c r="AY36" s="12">
        <v>0.8</v>
      </c>
      <c r="AZ36" s="12"/>
      <c r="BA36" s="12"/>
      <c r="BD36">
        <v>0.5</v>
      </c>
      <c r="BE36" s="12"/>
      <c r="BF36" s="12">
        <v>0.8</v>
      </c>
      <c r="BG36" s="12"/>
      <c r="BH36" s="12"/>
      <c r="BK36">
        <v>0.5</v>
      </c>
      <c r="BL36" s="12"/>
      <c r="BM36" s="12">
        <v>0.8</v>
      </c>
      <c r="BN36" s="12"/>
      <c r="BO36" s="12"/>
      <c r="BR36">
        <v>0.5</v>
      </c>
      <c r="BS36" s="12"/>
      <c r="BT36" s="12">
        <v>0.8</v>
      </c>
      <c r="BU36" s="12"/>
      <c r="BV36" s="12"/>
      <c r="BY36">
        <v>0.5</v>
      </c>
      <c r="BZ36" s="12"/>
      <c r="CA36" s="12">
        <v>0.8</v>
      </c>
      <c r="CB36" s="12"/>
      <c r="CC36" s="12"/>
      <c r="CF36">
        <v>4</v>
      </c>
      <c r="CG36" s="12"/>
      <c r="CH36" s="12">
        <v>1</v>
      </c>
      <c r="CI36" s="12"/>
      <c r="CJ36" s="12"/>
      <c r="CM36">
        <v>0.5</v>
      </c>
      <c r="CN36" s="12"/>
      <c r="CO36" s="12">
        <v>1</v>
      </c>
      <c r="CP36" s="12"/>
      <c r="CQ36" s="12"/>
      <c r="CT36">
        <v>0.5</v>
      </c>
      <c r="CU36" s="12"/>
      <c r="CV36" s="12">
        <v>1</v>
      </c>
      <c r="CW36" s="12"/>
      <c r="CX36" s="12">
        <v>1</v>
      </c>
      <c r="DA36">
        <v>1</v>
      </c>
      <c r="DB36" s="12"/>
      <c r="DC36" s="12">
        <v>1</v>
      </c>
      <c r="DD36" s="12"/>
      <c r="DE36" s="12">
        <v>1</v>
      </c>
    </row>
    <row r="37" spans="2:109" outlineLevel="1">
      <c r="B37" t="s">
        <v>28</v>
      </c>
      <c r="C37" t="s">
        <v>52</v>
      </c>
      <c r="E37" s="11"/>
      <c r="F37" s="1" t="s">
        <v>97</v>
      </c>
      <c r="G37" s="12">
        <v>0.17</v>
      </c>
      <c r="I37" s="11">
        <v>0</v>
      </c>
      <c r="J37" s="13">
        <f t="shared" si="9"/>
        <v>0</v>
      </c>
      <c r="K37" s="13">
        <f t="shared" si="9"/>
        <v>0</v>
      </c>
      <c r="L37" s="11"/>
      <c r="O37" s="12"/>
      <c r="P37" s="12"/>
      <c r="Q37" s="12"/>
      <c r="R37" s="12"/>
      <c r="V37" s="12"/>
      <c r="W37" s="12"/>
      <c r="X37" s="12"/>
      <c r="Y37" s="12"/>
      <c r="AC37" s="12"/>
      <c r="AD37" s="12"/>
      <c r="AE37" s="12"/>
      <c r="AF37" s="12"/>
      <c r="AI37">
        <v>3</v>
      </c>
      <c r="AJ37" s="12"/>
      <c r="AK37" s="12">
        <v>0.5</v>
      </c>
      <c r="AL37" s="12"/>
      <c r="AM37" s="12"/>
      <c r="AP37">
        <v>0.5</v>
      </c>
      <c r="AQ37" s="12"/>
      <c r="AR37" s="12">
        <v>0.5</v>
      </c>
      <c r="AS37" s="12"/>
      <c r="AT37" s="12"/>
      <c r="AW37">
        <v>0.5</v>
      </c>
      <c r="AX37" s="12"/>
      <c r="AY37" s="12">
        <v>0.5</v>
      </c>
      <c r="AZ37" s="12"/>
      <c r="BA37" s="12"/>
      <c r="BD37">
        <v>4</v>
      </c>
      <c r="BE37" s="12"/>
      <c r="BF37" s="12">
        <v>0.8</v>
      </c>
      <c r="BG37" s="12"/>
      <c r="BH37" s="12"/>
      <c r="BK37">
        <v>0.5</v>
      </c>
      <c r="BL37" s="12"/>
      <c r="BM37" s="12">
        <v>0.8</v>
      </c>
      <c r="BN37" s="12"/>
      <c r="BO37" s="12"/>
      <c r="BR37">
        <v>0.5</v>
      </c>
      <c r="BS37" s="12"/>
      <c r="BT37" s="12">
        <v>0.8</v>
      </c>
      <c r="BU37" s="12"/>
      <c r="BV37" s="12"/>
      <c r="BY37">
        <v>0.5</v>
      </c>
      <c r="BZ37" s="12"/>
      <c r="CA37" s="12">
        <v>0.8</v>
      </c>
      <c r="CB37" s="12"/>
      <c r="CC37" s="12"/>
      <c r="CF37">
        <v>0.5</v>
      </c>
      <c r="CG37" s="12"/>
      <c r="CH37" s="12">
        <v>0.8</v>
      </c>
      <c r="CI37" s="12"/>
      <c r="CJ37" s="12"/>
      <c r="CM37">
        <v>4</v>
      </c>
      <c r="CN37" s="12"/>
      <c r="CO37" s="12">
        <v>1</v>
      </c>
      <c r="CP37" s="12"/>
      <c r="CQ37" s="12"/>
      <c r="CT37">
        <v>0.5</v>
      </c>
      <c r="CU37" s="12"/>
      <c r="CV37" s="12">
        <v>1</v>
      </c>
      <c r="CW37" s="12"/>
      <c r="CX37" s="12">
        <v>1</v>
      </c>
      <c r="DA37">
        <v>1</v>
      </c>
      <c r="DB37" s="12"/>
      <c r="DC37" s="12">
        <v>1</v>
      </c>
      <c r="DD37" s="12"/>
      <c r="DE37" s="12">
        <v>1</v>
      </c>
    </row>
    <row r="38" spans="2:109" outlineLevel="1">
      <c r="B38" t="s">
        <v>28</v>
      </c>
      <c r="C38" t="s">
        <v>52</v>
      </c>
      <c r="E38" s="11"/>
      <c r="F38" t="s">
        <v>98</v>
      </c>
      <c r="G38" s="12">
        <v>0.17</v>
      </c>
      <c r="I38" s="11">
        <v>0</v>
      </c>
      <c r="J38" s="13">
        <f t="shared" si="9"/>
        <v>0</v>
      </c>
      <c r="K38" s="13">
        <f t="shared" si="9"/>
        <v>0</v>
      </c>
      <c r="L38" s="11"/>
      <c r="O38" s="12"/>
      <c r="P38" s="12"/>
      <c r="Q38" s="12"/>
      <c r="R38" s="12"/>
      <c r="V38" s="12"/>
      <c r="W38" s="12"/>
      <c r="X38" s="12"/>
      <c r="Y38" s="12"/>
      <c r="AC38" s="12"/>
      <c r="AD38" s="12"/>
      <c r="AE38" s="12"/>
      <c r="AF38" s="12"/>
      <c r="AJ38" s="12"/>
      <c r="AK38" s="12"/>
      <c r="AL38" s="12"/>
      <c r="AM38" s="12"/>
      <c r="AP38">
        <v>3</v>
      </c>
      <c r="AQ38" s="12"/>
      <c r="AR38" s="12">
        <v>0.5</v>
      </c>
      <c r="AS38" s="12"/>
      <c r="AT38" s="12"/>
      <c r="AW38">
        <v>0.5</v>
      </c>
      <c r="AX38" s="12"/>
      <c r="AY38" s="12">
        <v>0.5</v>
      </c>
      <c r="AZ38" s="12"/>
      <c r="BA38" s="12"/>
      <c r="BD38">
        <v>0.5</v>
      </c>
      <c r="BE38" s="12"/>
      <c r="BF38" s="12">
        <v>0.5</v>
      </c>
      <c r="BG38" s="12"/>
      <c r="BH38" s="12"/>
      <c r="BK38">
        <v>0.5</v>
      </c>
      <c r="BL38" s="12"/>
      <c r="BM38" s="12">
        <v>0.5</v>
      </c>
      <c r="BN38" s="12"/>
      <c r="BO38" s="12"/>
      <c r="BR38">
        <v>4</v>
      </c>
      <c r="BS38" s="12"/>
      <c r="BT38" s="12">
        <v>0.8</v>
      </c>
      <c r="BU38" s="12"/>
      <c r="BV38" s="12"/>
      <c r="BY38">
        <v>0.5</v>
      </c>
      <c r="BZ38" s="12"/>
      <c r="CA38" s="12">
        <v>0.8</v>
      </c>
      <c r="CB38" s="12"/>
      <c r="CC38" s="12"/>
      <c r="CF38">
        <v>0.5</v>
      </c>
      <c r="CG38" s="12"/>
      <c r="CH38" s="12">
        <v>0.8</v>
      </c>
      <c r="CI38" s="12"/>
      <c r="CJ38" s="12"/>
      <c r="CM38">
        <v>0.5</v>
      </c>
      <c r="CN38" s="12"/>
      <c r="CO38" s="12">
        <v>0.8</v>
      </c>
      <c r="CP38" s="12"/>
      <c r="CQ38" s="12"/>
      <c r="CT38">
        <v>4</v>
      </c>
      <c r="CU38" s="12"/>
      <c r="CV38" s="12">
        <v>1</v>
      </c>
      <c r="CW38" s="12"/>
      <c r="CX38" s="12">
        <v>1</v>
      </c>
      <c r="DA38">
        <v>1</v>
      </c>
      <c r="DB38" s="12"/>
      <c r="DC38" s="12">
        <v>1</v>
      </c>
      <c r="DD38" s="12"/>
      <c r="DE38" s="12">
        <v>1</v>
      </c>
    </row>
  </sheetData>
  <mergeCells count="15">
    <mergeCell ref="CM2:CR2"/>
    <mergeCell ref="CT2:CY2"/>
    <mergeCell ref="DA2:DF2"/>
    <mergeCell ref="BK2:BP2"/>
    <mergeCell ref="BR2:BW2"/>
    <mergeCell ref="BY2:CD2"/>
    <mergeCell ref="CF2:CK2"/>
    <mergeCell ref="I2:L2"/>
    <mergeCell ref="N2:S2"/>
    <mergeCell ref="BD2:BI2"/>
    <mergeCell ref="U2:Z2"/>
    <mergeCell ref="AB2:AG2"/>
    <mergeCell ref="AI2:AN2"/>
    <mergeCell ref="AP2:AU2"/>
    <mergeCell ref="AW2:BB2"/>
  </mergeCells>
  <phoneticPr fontId="5" type="noConversion"/>
  <conditionalFormatting sqref="J5:K16">
    <cfRule type="colorScale" priority="310">
      <colorScale>
        <cfvo type="percent" val="0"/>
        <cfvo type="percent" val="100"/>
        <color rgb="FFFF231B"/>
        <color rgb="FF10FF07"/>
      </colorScale>
    </cfRule>
  </conditionalFormatting>
  <conditionalFormatting sqref="O19:O29 Q19:Q29 O5:O16 AJ35:AJ38 AL35:AL38 AX35:AX38 AZ35:AZ38 Q35:Q38 O35:O38 BG35:BG38 X35:X38 V35:V38 AE35:AE38 AC35:AC38 AS35:AS38 AQ35:AQ38 BE35:BE38 DD35:DD38 BL35:BL38 BN35:BN38 BS35:BS38 BU35:BU38 BZ35:BZ38 CB35:CB38 CG35:CG38 CI35:CI38 CN35:CN38 CP35:CP38 CU35:CU38 CW35:CW38 DB35:DB38">
    <cfRule type="expression" dxfId="184" priority="308">
      <formula>OR(IF(O5&lt;P5,TRUE),IF(AND(P5="",O5&lt;&gt;""),TRUE))</formula>
    </cfRule>
    <cfRule type="expression" dxfId="183" priority="309">
      <formula>IF(O5&gt;=P5,IF(O5="",FALSE,TRUE))</formula>
    </cfRule>
  </conditionalFormatting>
  <conditionalFormatting sqref="Q5:Q16">
    <cfRule type="expression" dxfId="182" priority="306">
      <formula>OR(IF(Q5&lt;R5,TRUE),IF(AND(R5="",Q5&lt;&gt;""),TRUE))</formula>
    </cfRule>
    <cfRule type="expression" dxfId="181" priority="307">
      <formula>IF(Q5&gt;=R5,IF(Q5="",FALSE,TRUE))</formula>
    </cfRule>
  </conditionalFormatting>
  <conditionalFormatting sqref="AQ19:AQ29 AS19:AS29 AQ5:AQ16">
    <cfRule type="expression" dxfId="180" priority="175">
      <formula>OR(IF(AQ5&lt;AR5,TRUE),IF(AND(AR5="",AQ5&lt;&gt;""),TRUE))</formula>
    </cfRule>
    <cfRule type="expression" dxfId="179" priority="176">
      <formula>IF(AQ5&gt;=AR5,IF(AQ5="",FALSE,TRUE))</formula>
    </cfRule>
  </conditionalFormatting>
  <conditionalFormatting sqref="AS5:AS16">
    <cfRule type="expression" dxfId="178" priority="173">
      <formula>OR(IF(AS5&lt;AT5,TRUE),IF(AND(AT5="",AS5&lt;&gt;""),TRUE))</formula>
    </cfRule>
    <cfRule type="expression" dxfId="177" priority="174">
      <formula>IF(AS5&gt;=AT5,IF(AS5="",FALSE,TRUE))</formula>
    </cfRule>
  </conditionalFormatting>
  <conditionalFormatting sqref="J19:K30">
    <cfRule type="colorScale" priority="311">
      <colorScale>
        <cfvo type="percent" val="0"/>
        <cfvo type="percent" val="100"/>
        <color rgb="FFFF231B"/>
        <color rgb="FF10FF07"/>
      </colorScale>
    </cfRule>
  </conditionalFormatting>
  <conditionalFormatting sqref="O33:O34">
    <cfRule type="expression" dxfId="176" priority="249">
      <formula>OR(IF(O33&lt;P33,TRUE),IF(AND(P33="",O33&lt;&gt;""),TRUE))</formula>
    </cfRule>
    <cfRule type="expression" dxfId="175" priority="250">
      <formula>IF(O33&gt;=P33,IF(O33="",FALSE,TRUE))</formula>
    </cfRule>
  </conditionalFormatting>
  <conditionalFormatting sqref="Q33:Q34">
    <cfRule type="expression" dxfId="174" priority="247">
      <formula>OR(IF(Q33&lt;R33,TRUE),IF(AND(R33="",Q33&lt;&gt;""),TRUE))</formula>
    </cfRule>
    <cfRule type="expression" dxfId="173" priority="248">
      <formula>IF(Q33&gt;=R33,IF(Q33="",FALSE,TRUE))</formula>
    </cfRule>
  </conditionalFormatting>
  <conditionalFormatting sqref="AZ30">
    <cfRule type="expression" dxfId="172" priority="149">
      <formula>OR(IF(AZ30&lt;BA30,TRUE),IF(AND(BA30="",AZ30&lt;&gt;""),TRUE))</formula>
    </cfRule>
    <cfRule type="expression" dxfId="171" priority="150">
      <formula>IF(AZ30&gt;=BA30,IF(AZ30="",FALSE,TRUE))</formula>
    </cfRule>
  </conditionalFormatting>
  <conditionalFormatting sqref="BE19:BE29 BG19:BG29 BE5:BE16">
    <cfRule type="expression" dxfId="170" priority="143">
      <formula>OR(IF(BE5&lt;BF5,TRUE),IF(AND(BF5="",BE5&lt;&gt;""),TRUE))</formula>
    </cfRule>
    <cfRule type="expression" dxfId="169" priority="144">
      <formula>IF(BE5&gt;=BF5,IF(BE5="",FALSE,TRUE))</formula>
    </cfRule>
  </conditionalFormatting>
  <conditionalFormatting sqref="BG5:BG16">
    <cfRule type="expression" dxfId="168" priority="141">
      <formula>OR(IF(BG5&lt;BH5,TRUE),IF(AND(BH5="",BG5&lt;&gt;""),TRUE))</formula>
    </cfRule>
    <cfRule type="expression" dxfId="167" priority="142">
      <formula>IF(BG5&gt;=BH5,IF(BG5="",FALSE,TRUE))</formula>
    </cfRule>
  </conditionalFormatting>
  <conditionalFormatting sqref="BE33:BE34">
    <cfRule type="expression" dxfId="166" priority="139">
      <formula>OR(IF(BE33&lt;BF33,TRUE),IF(AND(BF33="",BE33&lt;&gt;""),TRUE))</formula>
    </cfRule>
    <cfRule type="expression" dxfId="165" priority="140">
      <formula>IF(BE33&gt;=BF33,IF(BE33="",FALSE,TRUE))</formula>
    </cfRule>
  </conditionalFormatting>
  <conditionalFormatting sqref="O30">
    <cfRule type="expression" dxfId="164" priority="231">
      <formula>OR(IF(O30&lt;P30,TRUE),IF(AND(P30="",O30&lt;&gt;""),TRUE))</formula>
    </cfRule>
    <cfRule type="expression" dxfId="163" priority="232">
      <formula>IF(O30&gt;=P30,IF(O30="",FALSE,TRUE))</formula>
    </cfRule>
  </conditionalFormatting>
  <conditionalFormatting sqref="Q30">
    <cfRule type="expression" dxfId="162" priority="229">
      <formula>OR(IF(Q30&lt;R30,TRUE),IF(AND(R30="",Q30&lt;&gt;""),TRUE))</formula>
    </cfRule>
    <cfRule type="expression" dxfId="161" priority="230">
      <formula>IF(Q30&gt;=R30,IF(Q30="",FALSE,TRUE))</formula>
    </cfRule>
  </conditionalFormatting>
  <conditionalFormatting sqref="V19:V29 X19:X29 V5:V16">
    <cfRule type="expression" dxfId="160" priority="223">
      <formula>OR(IF(V5&lt;W5,TRUE),IF(AND(W5="",V5&lt;&gt;""),TRUE))</formula>
    </cfRule>
    <cfRule type="expression" dxfId="159" priority="224">
      <formula>IF(V5&gt;=W5,IF(V5="",FALSE,TRUE))</formula>
    </cfRule>
  </conditionalFormatting>
  <conditionalFormatting sqref="X5:X16">
    <cfRule type="expression" dxfId="158" priority="221">
      <formula>OR(IF(X5&lt;Y5,TRUE),IF(AND(Y5="",X5&lt;&gt;""),TRUE))</formula>
    </cfRule>
    <cfRule type="expression" dxfId="157" priority="222">
      <formula>IF(X5&gt;=Y5,IF(X5="",FALSE,TRUE))</formula>
    </cfRule>
  </conditionalFormatting>
  <conditionalFormatting sqref="V33:V34">
    <cfRule type="expression" dxfId="156" priority="219">
      <formula>OR(IF(V33&lt;W33,TRUE),IF(AND(W33="",V33&lt;&gt;""),TRUE))</formula>
    </cfRule>
    <cfRule type="expression" dxfId="155" priority="220">
      <formula>IF(V33&gt;=W33,IF(V33="",FALSE,TRUE))</formula>
    </cfRule>
  </conditionalFormatting>
  <conditionalFormatting sqref="X33:X34">
    <cfRule type="expression" dxfId="154" priority="217">
      <formula>OR(IF(X33&lt;Y33,TRUE),IF(AND(Y33="",X33&lt;&gt;""),TRUE))</formula>
    </cfRule>
    <cfRule type="expression" dxfId="153" priority="218">
      <formula>IF(X33&gt;=Y33,IF(X33="",FALSE,TRUE))</formula>
    </cfRule>
  </conditionalFormatting>
  <conditionalFormatting sqref="V30">
    <cfRule type="expression" dxfId="152" priority="215">
      <formula>OR(IF(V30&lt;W30,TRUE),IF(AND(W30="",V30&lt;&gt;""),TRUE))</formula>
    </cfRule>
    <cfRule type="expression" dxfId="151" priority="216">
      <formula>IF(V30&gt;=W30,IF(V30="",FALSE,TRUE))</formula>
    </cfRule>
  </conditionalFormatting>
  <conditionalFormatting sqref="X30">
    <cfRule type="expression" dxfId="150" priority="213">
      <formula>OR(IF(X30&lt;Y30,TRUE),IF(AND(Y30="",X30&lt;&gt;""),TRUE))</formula>
    </cfRule>
    <cfRule type="expression" dxfId="149" priority="214">
      <formula>IF(X30&gt;=Y30,IF(X30="",FALSE,TRUE))</formula>
    </cfRule>
  </conditionalFormatting>
  <conditionalFormatting sqref="AC19:AC29 AE19:AE29 AC5:AC16">
    <cfRule type="expression" dxfId="148" priority="207">
      <formula>OR(IF(AC5&lt;AD5,TRUE),IF(AND(AD5="",AC5&lt;&gt;""),TRUE))</formula>
    </cfRule>
    <cfRule type="expression" dxfId="147" priority="208">
      <formula>IF(AC5&gt;=AD5,IF(AC5="",FALSE,TRUE))</formula>
    </cfRule>
  </conditionalFormatting>
  <conditionalFormatting sqref="AE5:AE16">
    <cfRule type="expression" dxfId="146" priority="205">
      <formula>OR(IF(AE5&lt;AF5,TRUE),IF(AND(AF5="",AE5&lt;&gt;""),TRUE))</formula>
    </cfRule>
    <cfRule type="expression" dxfId="145" priority="206">
      <formula>IF(AE5&gt;=AF5,IF(AE5="",FALSE,TRUE))</formula>
    </cfRule>
  </conditionalFormatting>
  <conditionalFormatting sqref="AC33:AC34">
    <cfRule type="expression" dxfId="144" priority="203">
      <formula>OR(IF(AC33&lt;AD33,TRUE),IF(AND(AD33="",AC33&lt;&gt;""),TRUE))</formula>
    </cfRule>
    <cfRule type="expression" dxfId="143" priority="204">
      <formula>IF(AC33&gt;=AD33,IF(AC33="",FALSE,TRUE))</formula>
    </cfRule>
  </conditionalFormatting>
  <conditionalFormatting sqref="AE33:AE34">
    <cfRule type="expression" dxfId="142" priority="201">
      <formula>OR(IF(AE33&lt;AF33,TRUE),IF(AND(AF33="",AE33&lt;&gt;""),TRUE))</formula>
    </cfRule>
    <cfRule type="expression" dxfId="141" priority="202">
      <formula>IF(AE33&gt;=AF33,IF(AE33="",FALSE,TRUE))</formula>
    </cfRule>
  </conditionalFormatting>
  <conditionalFormatting sqref="AC30">
    <cfRule type="expression" dxfId="140" priority="199">
      <formula>OR(IF(AC30&lt;AD30,TRUE),IF(AND(AD30="",AC30&lt;&gt;""),TRUE))</formula>
    </cfRule>
    <cfRule type="expression" dxfId="139" priority="200">
      <formula>IF(AC30&gt;=AD30,IF(AC30="",FALSE,TRUE))</formula>
    </cfRule>
  </conditionalFormatting>
  <conditionalFormatting sqref="AE30">
    <cfRule type="expression" dxfId="138" priority="197">
      <formula>OR(IF(AE30&lt;AF30,TRUE),IF(AND(AF30="",AE30&lt;&gt;""),TRUE))</formula>
    </cfRule>
    <cfRule type="expression" dxfId="137" priority="198">
      <formula>IF(AE30&gt;=AF30,IF(AE30="",FALSE,TRUE))</formula>
    </cfRule>
  </conditionalFormatting>
  <conditionalFormatting sqref="AJ19:AJ29 AL19:AL29 AJ5:AJ16">
    <cfRule type="expression" dxfId="136" priority="191">
      <formula>OR(IF(AJ5&lt;AK5,TRUE),IF(AND(AK5="",AJ5&lt;&gt;""),TRUE))</formula>
    </cfRule>
    <cfRule type="expression" dxfId="135" priority="192">
      <formula>IF(AJ5&gt;=AK5,IF(AJ5="",FALSE,TRUE))</formula>
    </cfRule>
  </conditionalFormatting>
  <conditionalFormatting sqref="AL5:AL16">
    <cfRule type="expression" dxfId="134" priority="189">
      <formula>OR(IF(AL5&lt;AM5,TRUE),IF(AND(AM5="",AL5&lt;&gt;""),TRUE))</formula>
    </cfRule>
    <cfRule type="expression" dxfId="133" priority="190">
      <formula>IF(AL5&gt;=AM5,IF(AL5="",FALSE,TRUE))</formula>
    </cfRule>
  </conditionalFormatting>
  <conditionalFormatting sqref="AJ33:AJ34">
    <cfRule type="expression" dxfId="132" priority="187">
      <formula>OR(IF(AJ33&lt;AK33,TRUE),IF(AND(AK33="",AJ33&lt;&gt;""),TRUE))</formula>
    </cfRule>
    <cfRule type="expression" dxfId="131" priority="188">
      <formula>IF(AJ33&gt;=AK33,IF(AJ33="",FALSE,TRUE))</formula>
    </cfRule>
  </conditionalFormatting>
  <conditionalFormatting sqref="AL33:AL34">
    <cfRule type="expression" dxfId="130" priority="185">
      <formula>OR(IF(AL33&lt;AM33,TRUE),IF(AND(AM33="",AL33&lt;&gt;""),TRUE))</formula>
    </cfRule>
    <cfRule type="expression" dxfId="129" priority="186">
      <formula>IF(AL33&gt;=AM33,IF(AL33="",FALSE,TRUE))</formula>
    </cfRule>
  </conditionalFormatting>
  <conditionalFormatting sqref="AJ30">
    <cfRule type="expression" dxfId="128" priority="183">
      <formula>OR(IF(AJ30&lt;AK30,TRUE),IF(AND(AK30="",AJ30&lt;&gt;""),TRUE))</formula>
    </cfRule>
    <cfRule type="expression" dxfId="127" priority="184">
      <formula>IF(AJ30&gt;=AK30,IF(AJ30="",FALSE,TRUE))</formula>
    </cfRule>
  </conditionalFormatting>
  <conditionalFormatting sqref="AL30">
    <cfRule type="expression" dxfId="126" priority="181">
      <formula>OR(IF(AL30&lt;AM30,TRUE),IF(AND(AM30="",AL30&lt;&gt;""),TRUE))</formula>
    </cfRule>
    <cfRule type="expression" dxfId="125" priority="182">
      <formula>IF(AL30&gt;=AM30,IF(AL30="",FALSE,TRUE))</formula>
    </cfRule>
  </conditionalFormatting>
  <conditionalFormatting sqref="AQ33:AQ34">
    <cfRule type="expression" dxfId="124" priority="171">
      <formula>OR(IF(AQ33&lt;AR33,TRUE),IF(AND(AR33="",AQ33&lt;&gt;""),TRUE))</formula>
    </cfRule>
    <cfRule type="expression" dxfId="123" priority="172">
      <formula>IF(AQ33&gt;=AR33,IF(AQ33="",FALSE,TRUE))</formula>
    </cfRule>
  </conditionalFormatting>
  <conditionalFormatting sqref="AS33:AS34">
    <cfRule type="expression" dxfId="122" priority="169">
      <formula>OR(IF(AS33&lt;AT33,TRUE),IF(AND(AT33="",AS33&lt;&gt;""),TRUE))</formula>
    </cfRule>
    <cfRule type="expression" dxfId="121" priority="170">
      <formula>IF(AS33&gt;=AT33,IF(AS33="",FALSE,TRUE))</formula>
    </cfRule>
  </conditionalFormatting>
  <conditionalFormatting sqref="AQ30">
    <cfRule type="expression" dxfId="120" priority="167">
      <formula>OR(IF(AQ30&lt;AR30,TRUE),IF(AND(AR30="",AQ30&lt;&gt;""),TRUE))</formula>
    </cfRule>
    <cfRule type="expression" dxfId="119" priority="168">
      <formula>IF(AQ30&gt;=AR30,IF(AQ30="",FALSE,TRUE))</formula>
    </cfRule>
  </conditionalFormatting>
  <conditionalFormatting sqref="AS30">
    <cfRule type="expression" dxfId="118" priority="165">
      <formula>OR(IF(AS30&lt;AT30,TRUE),IF(AND(AT30="",AS30&lt;&gt;""),TRUE))</formula>
    </cfRule>
    <cfRule type="expression" dxfId="117" priority="166">
      <formula>IF(AS30&gt;=AT30,IF(AS30="",FALSE,TRUE))</formula>
    </cfRule>
  </conditionalFormatting>
  <conditionalFormatting sqref="AX19:AX29 AZ19:AZ29 AX5:AX16">
    <cfRule type="expression" dxfId="116" priority="159">
      <formula>OR(IF(AX5&lt;AY5,TRUE),IF(AND(AY5="",AX5&lt;&gt;""),TRUE))</formula>
    </cfRule>
    <cfRule type="expression" dxfId="115" priority="160">
      <formula>IF(AX5&gt;=AY5,IF(AX5="",FALSE,TRUE))</formula>
    </cfRule>
  </conditionalFormatting>
  <conditionalFormatting sqref="AZ5:AZ16">
    <cfRule type="expression" dxfId="114" priority="157">
      <formula>OR(IF(AZ5&lt;BA5,TRUE),IF(AND(BA5="",AZ5&lt;&gt;""),TRUE))</formula>
    </cfRule>
    <cfRule type="expression" dxfId="113" priority="158">
      <formula>IF(AZ5&gt;=BA5,IF(AZ5="",FALSE,TRUE))</formula>
    </cfRule>
  </conditionalFormatting>
  <conditionalFormatting sqref="AX33:AX34">
    <cfRule type="expression" dxfId="112" priority="155">
      <formula>OR(IF(AX33&lt;AY33,TRUE),IF(AND(AY33="",AX33&lt;&gt;""),TRUE))</formula>
    </cfRule>
    <cfRule type="expression" dxfId="111" priority="156">
      <formula>IF(AX33&gt;=AY33,IF(AX33="",FALSE,TRUE))</formula>
    </cfRule>
  </conditionalFormatting>
  <conditionalFormatting sqref="AZ33:AZ34">
    <cfRule type="expression" dxfId="110" priority="153">
      <formula>OR(IF(AZ33&lt;BA33,TRUE),IF(AND(BA33="",AZ33&lt;&gt;""),TRUE))</formula>
    </cfRule>
    <cfRule type="expression" dxfId="109" priority="154">
      <formula>IF(AZ33&gt;=BA33,IF(AZ33="",FALSE,TRUE))</formula>
    </cfRule>
  </conditionalFormatting>
  <conditionalFormatting sqref="AX30">
    <cfRule type="expression" dxfId="108" priority="151">
      <formula>OR(IF(AX30&lt;AY30,TRUE),IF(AND(AY30="",AX30&lt;&gt;""),TRUE))</formula>
    </cfRule>
    <cfRule type="expression" dxfId="107" priority="152">
      <formula>IF(AX30&gt;=AY30,IF(AX30="",FALSE,TRUE))</formula>
    </cfRule>
  </conditionalFormatting>
  <conditionalFormatting sqref="BG33:BG34">
    <cfRule type="expression" dxfId="106" priority="137">
      <formula>OR(IF(BG33&lt;BH33,TRUE),IF(AND(BH33="",BG33&lt;&gt;""),TRUE))</formula>
    </cfRule>
    <cfRule type="expression" dxfId="105" priority="138">
      <formula>IF(BG33&gt;=BH33,IF(BG33="",FALSE,TRUE))</formula>
    </cfRule>
  </conditionalFormatting>
  <conditionalFormatting sqref="BE30">
    <cfRule type="expression" dxfId="104" priority="135">
      <formula>OR(IF(BE30&lt;BF30,TRUE),IF(AND(BF30="",BE30&lt;&gt;""),TRUE))</formula>
    </cfRule>
    <cfRule type="expression" dxfId="103" priority="136">
      <formula>IF(BE30&gt;=BF30,IF(BE30="",FALSE,TRUE))</formula>
    </cfRule>
  </conditionalFormatting>
  <conditionalFormatting sqref="BG30">
    <cfRule type="expression" dxfId="102" priority="133">
      <formula>OR(IF(BG30&lt;BH30,TRUE),IF(AND(BH30="",BG30&lt;&gt;""),TRUE))</formula>
    </cfRule>
    <cfRule type="expression" dxfId="101" priority="134">
      <formula>IF(BG30&gt;=BH30,IF(BG30="",FALSE,TRUE))</formula>
    </cfRule>
  </conditionalFormatting>
  <conditionalFormatting sqref="BN30">
    <cfRule type="expression" dxfId="100" priority="117">
      <formula>OR(IF(BN30&lt;BO30,TRUE),IF(AND(BO30="",BN30&lt;&gt;""),TRUE))</formula>
    </cfRule>
    <cfRule type="expression" dxfId="99" priority="118">
      <formula>IF(BN30&gt;=BO30,IF(BN30="",FALSE,TRUE))</formula>
    </cfRule>
  </conditionalFormatting>
  <conditionalFormatting sqref="BL19:BL29 BN19:BN29 BL5:BL16">
    <cfRule type="expression" dxfId="98" priority="127">
      <formula>OR(IF(BL5&lt;BM5,TRUE),IF(AND(BM5="",BL5&lt;&gt;""),TRUE))</formula>
    </cfRule>
    <cfRule type="expression" dxfId="97" priority="128">
      <formula>IF(BL5&gt;=BM5,IF(BL5="",FALSE,TRUE))</formula>
    </cfRule>
  </conditionalFormatting>
  <conditionalFormatting sqref="BN5:BN16">
    <cfRule type="expression" dxfId="96" priority="125">
      <formula>OR(IF(BN5&lt;BO5,TRUE),IF(AND(BO5="",BN5&lt;&gt;""),TRUE))</formula>
    </cfRule>
    <cfRule type="expression" dxfId="95" priority="126">
      <formula>IF(BN5&gt;=BO5,IF(BN5="",FALSE,TRUE))</formula>
    </cfRule>
  </conditionalFormatting>
  <conditionalFormatting sqref="BL33:BL34">
    <cfRule type="expression" dxfId="94" priority="123">
      <formula>OR(IF(BL33&lt;BM33,TRUE),IF(AND(BM33="",BL33&lt;&gt;""),TRUE))</formula>
    </cfRule>
    <cfRule type="expression" dxfId="93" priority="124">
      <formula>IF(BL33&gt;=BM33,IF(BL33="",FALSE,TRUE))</formula>
    </cfRule>
  </conditionalFormatting>
  <conditionalFormatting sqref="BN33:BN34">
    <cfRule type="expression" dxfId="92" priority="121">
      <formula>OR(IF(BN33&lt;BO33,TRUE),IF(AND(BO33="",BN33&lt;&gt;""),TRUE))</formula>
    </cfRule>
    <cfRule type="expression" dxfId="91" priority="122">
      <formula>IF(BN33&gt;=BO33,IF(BN33="",FALSE,TRUE))</formula>
    </cfRule>
  </conditionalFormatting>
  <conditionalFormatting sqref="BL30">
    <cfRule type="expression" dxfId="90" priority="119">
      <formula>OR(IF(BL30&lt;BM30,TRUE),IF(AND(BM30="",BL30&lt;&gt;""),TRUE))</formula>
    </cfRule>
    <cfRule type="expression" dxfId="89" priority="120">
      <formula>IF(BL30&gt;=BM30,IF(BL30="",FALSE,TRUE))</formula>
    </cfRule>
  </conditionalFormatting>
  <conditionalFormatting sqref="BU30">
    <cfRule type="expression" dxfId="88" priority="101">
      <formula>OR(IF(BU30&lt;BV30,TRUE),IF(AND(BV30="",BU30&lt;&gt;""),TRUE))</formula>
    </cfRule>
    <cfRule type="expression" dxfId="87" priority="102">
      <formula>IF(BU30&gt;=BV30,IF(BU30="",FALSE,TRUE))</formula>
    </cfRule>
  </conditionalFormatting>
  <conditionalFormatting sqref="BS19:BS29 BU19:BU29 BS5:BS16">
    <cfRule type="expression" dxfId="86" priority="111">
      <formula>OR(IF(BS5&lt;BT5,TRUE),IF(AND(BT5="",BS5&lt;&gt;""),TRUE))</formula>
    </cfRule>
    <cfRule type="expression" dxfId="85" priority="112">
      <formula>IF(BS5&gt;=BT5,IF(BS5="",FALSE,TRUE))</formula>
    </cfRule>
  </conditionalFormatting>
  <conditionalFormatting sqref="BU5:BU16">
    <cfRule type="expression" dxfId="84" priority="109">
      <formula>OR(IF(BU5&lt;BV5,TRUE),IF(AND(BV5="",BU5&lt;&gt;""),TRUE))</formula>
    </cfRule>
    <cfRule type="expression" dxfId="83" priority="110">
      <formula>IF(BU5&gt;=BV5,IF(BU5="",FALSE,TRUE))</formula>
    </cfRule>
  </conditionalFormatting>
  <conditionalFormatting sqref="BS33:BS34">
    <cfRule type="expression" dxfId="82" priority="107">
      <formula>OR(IF(BS33&lt;BT33,TRUE),IF(AND(BT33="",BS33&lt;&gt;""),TRUE))</formula>
    </cfRule>
    <cfRule type="expression" dxfId="81" priority="108">
      <formula>IF(BS33&gt;=BT33,IF(BS33="",FALSE,TRUE))</formula>
    </cfRule>
  </conditionalFormatting>
  <conditionalFormatting sqref="BU33:BU34">
    <cfRule type="expression" dxfId="80" priority="105">
      <formula>OR(IF(BU33&lt;BV33,TRUE),IF(AND(BV33="",BU33&lt;&gt;""),TRUE))</formula>
    </cfRule>
    <cfRule type="expression" dxfId="79" priority="106">
      <formula>IF(BU33&gt;=BV33,IF(BU33="",FALSE,TRUE))</formula>
    </cfRule>
  </conditionalFormatting>
  <conditionalFormatting sqref="BS30">
    <cfRule type="expression" dxfId="78" priority="103">
      <formula>OR(IF(BS30&lt;BT30,TRUE),IF(AND(BT30="",BS30&lt;&gt;""),TRUE))</formula>
    </cfRule>
    <cfRule type="expression" dxfId="77" priority="104">
      <formula>IF(BS30&gt;=BT30,IF(BS30="",FALSE,TRUE))</formula>
    </cfRule>
  </conditionalFormatting>
  <conditionalFormatting sqref="CB30">
    <cfRule type="expression" dxfId="76" priority="85">
      <formula>OR(IF(CB30&lt;CC30,TRUE),IF(AND(CC30="",CB30&lt;&gt;""),TRUE))</formula>
    </cfRule>
    <cfRule type="expression" dxfId="75" priority="86">
      <formula>IF(CB30&gt;=CC30,IF(CB30="",FALSE,TRUE))</formula>
    </cfRule>
  </conditionalFormatting>
  <conditionalFormatting sqref="BZ19:BZ29 CB19:CB29 BZ5:BZ16">
    <cfRule type="expression" dxfId="74" priority="95">
      <formula>OR(IF(BZ5&lt;CA5,TRUE),IF(AND(CA5="",BZ5&lt;&gt;""),TRUE))</formula>
    </cfRule>
    <cfRule type="expression" dxfId="73" priority="96">
      <formula>IF(BZ5&gt;=CA5,IF(BZ5="",FALSE,TRUE))</formula>
    </cfRule>
  </conditionalFormatting>
  <conditionalFormatting sqref="CB5:CB16">
    <cfRule type="expression" dxfId="72" priority="93">
      <formula>OR(IF(CB5&lt;CC5,TRUE),IF(AND(CC5="",CB5&lt;&gt;""),TRUE))</formula>
    </cfRule>
    <cfRule type="expression" dxfId="71" priority="94">
      <formula>IF(CB5&gt;=CC5,IF(CB5="",FALSE,TRUE))</formula>
    </cfRule>
  </conditionalFormatting>
  <conditionalFormatting sqref="BZ33:BZ34">
    <cfRule type="expression" dxfId="70" priority="91">
      <formula>OR(IF(BZ33&lt;CA33,TRUE),IF(AND(CA33="",BZ33&lt;&gt;""),TRUE))</formula>
    </cfRule>
    <cfRule type="expression" dxfId="69" priority="92">
      <formula>IF(BZ33&gt;=CA33,IF(BZ33="",FALSE,TRUE))</formula>
    </cfRule>
  </conditionalFormatting>
  <conditionalFormatting sqref="CB33:CB34">
    <cfRule type="expression" dxfId="68" priority="89">
      <formula>OR(IF(CB33&lt;CC33,TRUE),IF(AND(CC33="",CB33&lt;&gt;""),TRUE))</formula>
    </cfRule>
    <cfRule type="expression" dxfId="67" priority="90">
      <formula>IF(CB33&gt;=CC33,IF(CB33="",FALSE,TRUE))</formula>
    </cfRule>
  </conditionalFormatting>
  <conditionalFormatting sqref="BZ30">
    <cfRule type="expression" dxfId="66" priority="87">
      <formula>OR(IF(BZ30&lt;CA30,TRUE),IF(AND(CA30="",BZ30&lt;&gt;""),TRUE))</formula>
    </cfRule>
    <cfRule type="expression" dxfId="65" priority="88">
      <formula>IF(BZ30&gt;=CA30,IF(BZ30="",FALSE,TRUE))</formula>
    </cfRule>
  </conditionalFormatting>
  <conditionalFormatting sqref="CI30">
    <cfRule type="expression" dxfId="64" priority="69">
      <formula>OR(IF(CI30&lt;CJ30,TRUE),IF(AND(CJ30="",CI30&lt;&gt;""),TRUE))</formula>
    </cfRule>
    <cfRule type="expression" dxfId="63" priority="70">
      <formula>IF(CI30&gt;=CJ30,IF(CI30="",FALSE,TRUE))</formula>
    </cfRule>
  </conditionalFormatting>
  <conditionalFormatting sqref="CG19:CG29 CI19:CI29 CG5:CG16">
    <cfRule type="expression" dxfId="62" priority="79">
      <formula>OR(IF(CG5&lt;CH5,TRUE),IF(AND(CH5="",CG5&lt;&gt;""),TRUE))</formula>
    </cfRule>
    <cfRule type="expression" dxfId="61" priority="80">
      <formula>IF(CG5&gt;=CH5,IF(CG5="",FALSE,TRUE))</formula>
    </cfRule>
  </conditionalFormatting>
  <conditionalFormatting sqref="CI5:CI16">
    <cfRule type="expression" dxfId="60" priority="77">
      <formula>OR(IF(CI5&lt;CJ5,TRUE),IF(AND(CJ5="",CI5&lt;&gt;""),TRUE))</formula>
    </cfRule>
    <cfRule type="expression" dxfId="59" priority="78">
      <formula>IF(CI5&gt;=CJ5,IF(CI5="",FALSE,TRUE))</formula>
    </cfRule>
  </conditionalFormatting>
  <conditionalFormatting sqref="CG33:CG34">
    <cfRule type="expression" dxfId="58" priority="75">
      <formula>OR(IF(CG33&lt;CH33,TRUE),IF(AND(CH33="",CG33&lt;&gt;""),TRUE))</formula>
    </cfRule>
    <cfRule type="expression" dxfId="57" priority="76">
      <formula>IF(CG33&gt;=CH33,IF(CG33="",FALSE,TRUE))</formula>
    </cfRule>
  </conditionalFormatting>
  <conditionalFormatting sqref="CI33:CI34">
    <cfRule type="expression" dxfId="56" priority="73">
      <formula>OR(IF(CI33&lt;CJ33,TRUE),IF(AND(CJ33="",CI33&lt;&gt;""),TRUE))</formula>
    </cfRule>
    <cfRule type="expression" dxfId="55" priority="74">
      <formula>IF(CI33&gt;=CJ33,IF(CI33="",FALSE,TRUE))</formula>
    </cfRule>
  </conditionalFormatting>
  <conditionalFormatting sqref="CG30">
    <cfRule type="expression" dxfId="54" priority="71">
      <formula>OR(IF(CG30&lt;CH30,TRUE),IF(AND(CH30="",CG30&lt;&gt;""),TRUE))</formula>
    </cfRule>
    <cfRule type="expression" dxfId="53" priority="72">
      <formula>IF(CG30&gt;=CH30,IF(CG30="",FALSE,TRUE))</formula>
    </cfRule>
  </conditionalFormatting>
  <conditionalFormatting sqref="CP30">
    <cfRule type="expression" dxfId="52" priority="53">
      <formula>OR(IF(CP30&lt;CQ30,TRUE),IF(AND(CQ30="",CP30&lt;&gt;""),TRUE))</formula>
    </cfRule>
    <cfRule type="expression" dxfId="51" priority="54">
      <formula>IF(CP30&gt;=CQ30,IF(CP30="",FALSE,TRUE))</formula>
    </cfRule>
  </conditionalFormatting>
  <conditionalFormatting sqref="CN19:CN29 CP19:CP29 CN5:CN16">
    <cfRule type="expression" dxfId="50" priority="63">
      <formula>OR(IF(CN5&lt;CO5,TRUE),IF(AND(CO5="",CN5&lt;&gt;""),TRUE))</formula>
    </cfRule>
    <cfRule type="expression" dxfId="49" priority="64">
      <formula>IF(CN5&gt;=CO5,IF(CN5="",FALSE,TRUE))</formula>
    </cfRule>
  </conditionalFormatting>
  <conditionalFormatting sqref="CP5:CP16">
    <cfRule type="expression" dxfId="48" priority="61">
      <formula>OR(IF(CP5&lt;CQ5,TRUE),IF(AND(CQ5="",CP5&lt;&gt;""),TRUE))</formula>
    </cfRule>
    <cfRule type="expression" dxfId="47" priority="62">
      <formula>IF(CP5&gt;=CQ5,IF(CP5="",FALSE,TRUE))</formula>
    </cfRule>
  </conditionalFormatting>
  <conditionalFormatting sqref="CN33:CN34">
    <cfRule type="expression" dxfId="46" priority="59">
      <formula>OR(IF(CN33&lt;CO33,TRUE),IF(AND(CO33="",CN33&lt;&gt;""),TRUE))</formula>
    </cfRule>
    <cfRule type="expression" dxfId="45" priority="60">
      <formula>IF(CN33&gt;=CO33,IF(CN33="",FALSE,TRUE))</formula>
    </cfRule>
  </conditionalFormatting>
  <conditionalFormatting sqref="CP33:CP34">
    <cfRule type="expression" dxfId="44" priority="57">
      <formula>OR(IF(CP33&lt;CQ33,TRUE),IF(AND(CQ33="",CP33&lt;&gt;""),TRUE))</formula>
    </cfRule>
    <cfRule type="expression" dxfId="43" priority="58">
      <formula>IF(CP33&gt;=CQ33,IF(CP33="",FALSE,TRUE))</formula>
    </cfRule>
  </conditionalFormatting>
  <conditionalFormatting sqref="CN30">
    <cfRule type="expression" dxfId="42" priority="55">
      <formula>OR(IF(CN30&lt;CO30,TRUE),IF(AND(CO30="",CN30&lt;&gt;""),TRUE))</formula>
    </cfRule>
    <cfRule type="expression" dxfId="41" priority="56">
      <formula>IF(CN30&gt;=CO30,IF(CN30="",FALSE,TRUE))</formula>
    </cfRule>
  </conditionalFormatting>
  <conditionalFormatting sqref="CW30">
    <cfRule type="expression" dxfId="40" priority="37">
      <formula>OR(IF(CW30&lt;CX30,TRUE),IF(AND(CX30="",CW30&lt;&gt;""),TRUE))</formula>
    </cfRule>
    <cfRule type="expression" dxfId="39" priority="38">
      <formula>IF(CW30&gt;=CX30,IF(CW30="",FALSE,TRUE))</formula>
    </cfRule>
  </conditionalFormatting>
  <conditionalFormatting sqref="CU19:CU29 CW19:CW29 CU5:CU16">
    <cfRule type="expression" dxfId="38" priority="47">
      <formula>OR(IF(CU5&lt;CV5,TRUE),IF(AND(CV5="",CU5&lt;&gt;""),TRUE))</formula>
    </cfRule>
    <cfRule type="expression" dxfId="37" priority="48">
      <formula>IF(CU5&gt;=CV5,IF(CU5="",FALSE,TRUE))</formula>
    </cfRule>
  </conditionalFormatting>
  <conditionalFormatting sqref="CW5:CW16">
    <cfRule type="expression" dxfId="36" priority="45">
      <formula>OR(IF(CW5&lt;CX5,TRUE),IF(AND(CX5="",CW5&lt;&gt;""),TRUE))</formula>
    </cfRule>
    <cfRule type="expression" dxfId="35" priority="46">
      <formula>IF(CW5&gt;=CX5,IF(CW5="",FALSE,TRUE))</formula>
    </cfRule>
  </conditionalFormatting>
  <conditionalFormatting sqref="CU33:CU34">
    <cfRule type="expression" dxfId="34" priority="43">
      <formula>OR(IF(CU33&lt;CV33,TRUE),IF(AND(CV33="",CU33&lt;&gt;""),TRUE))</formula>
    </cfRule>
    <cfRule type="expression" dxfId="33" priority="44">
      <formula>IF(CU33&gt;=CV33,IF(CU33="",FALSE,TRUE))</formula>
    </cfRule>
  </conditionalFormatting>
  <conditionalFormatting sqref="CW33:CW34">
    <cfRule type="expression" dxfId="32" priority="41">
      <formula>OR(IF(CW33&lt;CX33,TRUE),IF(AND(CX33="",CW33&lt;&gt;""),TRUE))</formula>
    </cfRule>
    <cfRule type="expression" dxfId="31" priority="42">
      <formula>IF(CW33&gt;=CX33,IF(CW33="",FALSE,TRUE))</formula>
    </cfRule>
  </conditionalFormatting>
  <conditionalFormatting sqref="CU30">
    <cfRule type="expression" dxfId="30" priority="39">
      <formula>OR(IF(CU30&lt;CV30,TRUE),IF(AND(CV30="",CU30&lt;&gt;""),TRUE))</formula>
    </cfRule>
    <cfRule type="expression" dxfId="29" priority="40">
      <formula>IF(CU30&gt;=CV30,IF(CU30="",FALSE,TRUE))</formula>
    </cfRule>
  </conditionalFormatting>
  <conditionalFormatting sqref="DD30">
    <cfRule type="expression" dxfId="28" priority="5">
      <formula>OR(IF(DD30&lt;DE30,TRUE),IF(AND(DE30="",DD30&lt;&gt;""),TRUE))</formula>
    </cfRule>
    <cfRule type="expression" dxfId="27" priority="6">
      <formula>IF(DD30&gt;=DE30,IF(DD30="",FALSE,TRUE))</formula>
    </cfRule>
  </conditionalFormatting>
  <conditionalFormatting sqref="DD19:DD29 DB5:DB16 DB19:DB29">
    <cfRule type="expression" dxfId="26" priority="15">
      <formula>OR(IF(DB5&lt;DC5,TRUE),IF(AND(DC5="",DB5&lt;&gt;""),TRUE))</formula>
    </cfRule>
    <cfRule type="expression" dxfId="25" priority="16">
      <formula>IF(DB5&gt;=DC5,IF(DB5="",FALSE,TRUE))</formula>
    </cfRule>
  </conditionalFormatting>
  <conditionalFormatting sqref="DD5:DD16">
    <cfRule type="expression" dxfId="24" priority="13">
      <formula>OR(IF(DD5&lt;DE5,TRUE),IF(AND(DE5="",DD5&lt;&gt;""),TRUE))</formula>
    </cfRule>
    <cfRule type="expression" dxfId="23" priority="14">
      <formula>IF(DD5&gt;=DE5,IF(DD5="",FALSE,TRUE))</formula>
    </cfRule>
  </conditionalFormatting>
  <conditionalFormatting sqref="DB33:DB34">
    <cfRule type="expression" dxfId="22" priority="11">
      <formula>OR(IF(DB33&lt;DC33,TRUE),IF(AND(DC33="",DB33&lt;&gt;""),TRUE))</formula>
    </cfRule>
    <cfRule type="expression" dxfId="21" priority="12">
      <formula>IF(DB33&gt;=DC33,IF(DB33="",FALSE,TRUE))</formula>
    </cfRule>
  </conditionalFormatting>
  <conditionalFormatting sqref="DD33:DD34">
    <cfRule type="expression" dxfId="20" priority="9">
      <formula>OR(IF(DD33&lt;DE33,TRUE),IF(AND(DE33="",DD33&lt;&gt;""),TRUE))</formula>
    </cfRule>
    <cfRule type="expression" dxfId="19" priority="10">
      <formula>IF(DD33&gt;=DE33,IF(DD33="",FALSE,TRUE))</formula>
    </cfRule>
  </conditionalFormatting>
  <conditionalFormatting sqref="DB30">
    <cfRule type="expression" dxfId="18" priority="7">
      <formula>OR(IF(DB30&lt;DC30,TRUE),IF(AND(DC30="",DB30&lt;&gt;""),TRUE))</formula>
    </cfRule>
    <cfRule type="expression" dxfId="17" priority="8">
      <formula>IF(DB30&gt;=DC30,IF(DB30="",FALSE,TRUE))</formula>
    </cfRule>
  </conditionalFormatting>
  <conditionalFormatting sqref="J33:K38">
    <cfRule type="colorScale" priority="373">
      <colorScale>
        <cfvo type="percent" val="0"/>
        <cfvo type="percent" val="100"/>
        <color rgb="FFFF231B"/>
        <color rgb="FF10FF07"/>
      </colorScale>
    </cfRule>
  </conditionalFormatting>
  <dataValidations count="1">
    <dataValidation type="list" allowBlank="1" showInputMessage="1" showErrorMessage="1" sqref="V19:Y30 AX5:BA16 O33:R38 AC19:AF30 O5:R16 AC33:AF38 AJ19:AM30 V5:Y16 AJ33:AM38 AQ19:AT30 AC5:AF16 AQ33:AT38 AJ5:AM16 BE33:BH38 AX19:BA30 BE19:BH30 BE5:BH16 AX33:BA38 BL19:BO30 AQ5:AT16 CG19:CJ30 CU5:CX16 BL5:BO16 BL33:BO38 BZ19:CC30 BZ5:CC16 BS33:BV38 CN19:CQ30 DB19:DE30 BZ33:CC38 BS19:BV30 BS5:BV16 CG33:CJ38 O19:R30 CN5:CQ16 CN33:CQ38 CU19:CX30 CG5:CJ16 V33:Y38 DB33:DE38 DB5:DE16 CU33:CX3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114"/>
  <sheetViews>
    <sheetView workbookViewId="0">
      <selection activeCell="B2" sqref="B2"/>
    </sheetView>
  </sheetViews>
  <sheetFormatPr baseColWidth="10" defaultRowHeight="15.75"/>
  <cols>
    <col min="1" max="1" width="16.875" style="11" customWidth="1"/>
    <col min="2" max="2" width="19.125" style="11" customWidth="1"/>
    <col min="3" max="3" width="18.125" style="11" customWidth="1"/>
    <col min="4" max="4" width="19.5" style="11" customWidth="1"/>
    <col min="8" max="8" width="15.125" customWidth="1"/>
    <col min="10" max="10" width="42" customWidth="1"/>
    <col min="11" max="11" width="28.5" customWidth="1"/>
  </cols>
  <sheetData>
    <row r="1" spans="1:11" ht="31.5">
      <c r="A1" s="11" t="s">
        <v>42</v>
      </c>
      <c r="B1" s="17" t="s">
        <v>39</v>
      </c>
      <c r="C1" s="17" t="s">
        <v>40</v>
      </c>
      <c r="D1" s="17" t="s">
        <v>41</v>
      </c>
      <c r="E1" s="1" t="s">
        <v>43</v>
      </c>
      <c r="F1" s="1" t="s">
        <v>44</v>
      </c>
      <c r="G1" s="1" t="s">
        <v>45</v>
      </c>
      <c r="H1" s="1" t="s">
        <v>46</v>
      </c>
      <c r="I1" s="1" t="s">
        <v>47</v>
      </c>
      <c r="J1" s="1" t="s">
        <v>48</v>
      </c>
      <c r="K1" s="1" t="s">
        <v>49</v>
      </c>
    </row>
    <row r="2" spans="1:11">
      <c r="A2" s="16">
        <v>44480</v>
      </c>
      <c r="D2" s="18">
        <v>1</v>
      </c>
    </row>
    <row r="3" spans="1:11">
      <c r="A3" s="16">
        <v>44481</v>
      </c>
    </row>
    <row r="4" spans="1:11">
      <c r="A4" s="16">
        <v>44482</v>
      </c>
    </row>
    <row r="5" spans="1:11">
      <c r="A5" s="16">
        <v>44483</v>
      </c>
    </row>
    <row r="6" spans="1:11">
      <c r="A6" s="16">
        <v>44484</v>
      </c>
    </row>
    <row r="7" spans="1:11">
      <c r="A7" s="16">
        <v>44485</v>
      </c>
    </row>
    <row r="8" spans="1:11">
      <c r="A8" s="16">
        <v>44486</v>
      </c>
    </row>
    <row r="9" spans="1:11">
      <c r="A9" s="16">
        <v>44487</v>
      </c>
    </row>
    <row r="10" spans="1:11">
      <c r="A10" s="16">
        <v>44488</v>
      </c>
    </row>
    <row r="11" spans="1:11">
      <c r="A11" s="16">
        <v>44489</v>
      </c>
    </row>
    <row r="12" spans="1:11">
      <c r="A12" s="16">
        <v>44490</v>
      </c>
    </row>
    <row r="13" spans="1:11">
      <c r="A13" s="16">
        <v>44491</v>
      </c>
    </row>
    <row r="14" spans="1:11">
      <c r="A14" s="16">
        <v>44492</v>
      </c>
    </row>
    <row r="15" spans="1:11">
      <c r="A15" s="16">
        <v>44493</v>
      </c>
    </row>
    <row r="16" spans="1:11">
      <c r="A16" s="16">
        <v>44494</v>
      </c>
    </row>
    <row r="17" spans="1:1">
      <c r="A17" s="16">
        <v>44495</v>
      </c>
    </row>
    <row r="18" spans="1:1">
      <c r="A18" s="16">
        <v>44496</v>
      </c>
    </row>
    <row r="19" spans="1:1">
      <c r="A19" s="16">
        <v>44497</v>
      </c>
    </row>
    <row r="20" spans="1:1">
      <c r="A20" s="16">
        <v>44498</v>
      </c>
    </row>
    <row r="21" spans="1:1">
      <c r="A21" s="16">
        <v>44499</v>
      </c>
    </row>
    <row r="22" spans="1:1">
      <c r="A22" s="16">
        <v>44500</v>
      </c>
    </row>
    <row r="23" spans="1:1">
      <c r="A23" s="16">
        <v>44501</v>
      </c>
    </row>
    <row r="24" spans="1:1">
      <c r="A24" s="16">
        <v>44502</v>
      </c>
    </row>
    <row r="25" spans="1:1">
      <c r="A25" s="16">
        <v>44503</v>
      </c>
    </row>
    <row r="26" spans="1:1">
      <c r="A26" s="16">
        <v>44504</v>
      </c>
    </row>
    <row r="27" spans="1:1">
      <c r="A27" s="16">
        <v>44505</v>
      </c>
    </row>
    <row r="28" spans="1:1">
      <c r="A28" s="16">
        <v>44506</v>
      </c>
    </row>
    <row r="29" spans="1:1">
      <c r="A29" s="16">
        <v>44507</v>
      </c>
    </row>
    <row r="30" spans="1:1">
      <c r="A30" s="16">
        <v>44508</v>
      </c>
    </row>
    <row r="31" spans="1:1">
      <c r="A31" s="16">
        <v>44509</v>
      </c>
    </row>
    <row r="32" spans="1:1">
      <c r="A32" s="16">
        <v>44510</v>
      </c>
    </row>
    <row r="33" spans="1:1">
      <c r="A33" s="16">
        <v>44511</v>
      </c>
    </row>
    <row r="34" spans="1:1">
      <c r="A34" s="16">
        <v>44512</v>
      </c>
    </row>
    <row r="35" spans="1:1">
      <c r="A35" s="16">
        <v>44513</v>
      </c>
    </row>
    <row r="36" spans="1:1">
      <c r="A36" s="16">
        <v>44514</v>
      </c>
    </row>
    <row r="37" spans="1:1">
      <c r="A37" s="16">
        <v>44515</v>
      </c>
    </row>
    <row r="38" spans="1:1">
      <c r="A38" s="16">
        <v>44516</v>
      </c>
    </row>
    <row r="39" spans="1:1">
      <c r="A39" s="16">
        <v>44517</v>
      </c>
    </row>
    <row r="40" spans="1:1">
      <c r="A40" s="16">
        <v>44518</v>
      </c>
    </row>
    <row r="41" spans="1:1">
      <c r="A41" s="16">
        <v>44519</v>
      </c>
    </row>
    <row r="42" spans="1:1">
      <c r="A42" s="16">
        <v>44520</v>
      </c>
    </row>
    <row r="43" spans="1:1">
      <c r="A43" s="16">
        <v>44521</v>
      </c>
    </row>
    <row r="44" spans="1:1">
      <c r="A44" s="16">
        <v>44522</v>
      </c>
    </row>
    <row r="45" spans="1:1">
      <c r="A45" s="16">
        <v>44523</v>
      </c>
    </row>
    <row r="46" spans="1:1">
      <c r="A46" s="16">
        <v>44524</v>
      </c>
    </row>
    <row r="47" spans="1:1">
      <c r="A47" s="16">
        <v>44525</v>
      </c>
    </row>
    <row r="48" spans="1:1">
      <c r="A48" s="16">
        <v>44526</v>
      </c>
    </row>
    <row r="49" spans="1:1">
      <c r="A49" s="16">
        <v>44527</v>
      </c>
    </row>
    <row r="50" spans="1:1">
      <c r="A50" s="16">
        <v>44528</v>
      </c>
    </row>
    <row r="51" spans="1:1">
      <c r="A51" s="16">
        <v>44529</v>
      </c>
    </row>
    <row r="52" spans="1:1">
      <c r="A52" s="16">
        <v>44530</v>
      </c>
    </row>
    <row r="53" spans="1:1">
      <c r="A53" s="16">
        <v>44531</v>
      </c>
    </row>
    <row r="54" spans="1:1">
      <c r="A54" s="16">
        <v>44532</v>
      </c>
    </row>
    <row r="55" spans="1:1">
      <c r="A55" s="16">
        <v>44533</v>
      </c>
    </row>
    <row r="56" spans="1:1">
      <c r="A56" s="16">
        <v>44534</v>
      </c>
    </row>
    <row r="57" spans="1:1">
      <c r="A57" s="16">
        <v>44535</v>
      </c>
    </row>
    <row r="58" spans="1:1">
      <c r="A58" s="16">
        <v>44536</v>
      </c>
    </row>
    <row r="59" spans="1:1">
      <c r="A59" s="16">
        <v>44537</v>
      </c>
    </row>
    <row r="60" spans="1:1">
      <c r="A60" s="16">
        <v>44538</v>
      </c>
    </row>
    <row r="61" spans="1:1">
      <c r="A61" s="16">
        <v>44539</v>
      </c>
    </row>
    <row r="62" spans="1:1">
      <c r="A62" s="16">
        <v>44540</v>
      </c>
    </row>
    <row r="63" spans="1:1">
      <c r="A63" s="16">
        <v>44541</v>
      </c>
    </row>
    <row r="64" spans="1:1">
      <c r="A64" s="16">
        <v>44542</v>
      </c>
    </row>
    <row r="65" spans="1:1">
      <c r="A65" s="16">
        <v>44543</v>
      </c>
    </row>
    <row r="66" spans="1:1">
      <c r="A66" s="16">
        <v>44544</v>
      </c>
    </row>
    <row r="67" spans="1:1">
      <c r="A67" s="16">
        <v>44545</v>
      </c>
    </row>
    <row r="68" spans="1:1">
      <c r="A68" s="16">
        <v>44546</v>
      </c>
    </row>
    <row r="69" spans="1:1">
      <c r="A69" s="16">
        <v>44547</v>
      </c>
    </row>
    <row r="70" spans="1:1">
      <c r="A70" s="16">
        <v>44548</v>
      </c>
    </row>
    <row r="71" spans="1:1">
      <c r="A71" s="16">
        <v>44549</v>
      </c>
    </row>
    <row r="72" spans="1:1">
      <c r="A72" s="16">
        <v>44550</v>
      </c>
    </row>
    <row r="73" spans="1:1">
      <c r="A73" s="16">
        <v>44551</v>
      </c>
    </row>
    <row r="74" spans="1:1">
      <c r="A74" s="16">
        <v>44552</v>
      </c>
    </row>
    <row r="75" spans="1:1">
      <c r="A75" s="16">
        <v>44553</v>
      </c>
    </row>
    <row r="76" spans="1:1">
      <c r="A76" s="16">
        <v>44554</v>
      </c>
    </row>
    <row r="77" spans="1:1">
      <c r="A77" s="16">
        <v>44555</v>
      </c>
    </row>
    <row r="78" spans="1:1">
      <c r="A78" s="16">
        <v>44556</v>
      </c>
    </row>
    <row r="79" spans="1:1">
      <c r="A79" s="16">
        <v>44557</v>
      </c>
    </row>
    <row r="80" spans="1:1">
      <c r="A80" s="16">
        <v>44558</v>
      </c>
    </row>
    <row r="81" spans="1:1">
      <c r="A81" s="16">
        <v>44559</v>
      </c>
    </row>
    <row r="82" spans="1:1">
      <c r="A82" s="16">
        <v>44560</v>
      </c>
    </row>
    <row r="83" spans="1:1">
      <c r="A83" s="16">
        <v>44561</v>
      </c>
    </row>
    <row r="84" spans="1:1">
      <c r="A84" s="16">
        <v>44562</v>
      </c>
    </row>
    <row r="85" spans="1:1">
      <c r="A85" s="16">
        <v>44563</v>
      </c>
    </row>
    <row r="86" spans="1:1">
      <c r="A86" s="16">
        <v>44564</v>
      </c>
    </row>
    <row r="87" spans="1:1">
      <c r="A87" s="16">
        <v>44565</v>
      </c>
    </row>
    <row r="88" spans="1:1">
      <c r="A88" s="16">
        <v>44566</v>
      </c>
    </row>
    <row r="89" spans="1:1">
      <c r="A89" s="16">
        <v>44567</v>
      </c>
    </row>
    <row r="90" spans="1:1">
      <c r="A90" s="16">
        <v>44568</v>
      </c>
    </row>
    <row r="91" spans="1:1">
      <c r="A91" s="16">
        <v>44569</v>
      </c>
    </row>
    <row r="92" spans="1:1">
      <c r="A92" s="16">
        <v>44570</v>
      </c>
    </row>
    <row r="93" spans="1:1">
      <c r="A93" s="16">
        <v>44571</v>
      </c>
    </row>
    <row r="94" spans="1:1">
      <c r="A94" s="16">
        <v>44572</v>
      </c>
    </row>
    <row r="95" spans="1:1">
      <c r="A95" s="16">
        <v>44573</v>
      </c>
    </row>
    <row r="96" spans="1:1">
      <c r="A96" s="16">
        <v>44574</v>
      </c>
    </row>
    <row r="97" spans="1:1">
      <c r="A97" s="16">
        <v>44575</v>
      </c>
    </row>
    <row r="98" spans="1:1">
      <c r="A98" s="16">
        <v>44576</v>
      </c>
    </row>
    <row r="99" spans="1:1">
      <c r="A99" s="16">
        <v>44577</v>
      </c>
    </row>
    <row r="100" spans="1:1">
      <c r="A100" s="16">
        <v>44578</v>
      </c>
    </row>
    <row r="101" spans="1:1">
      <c r="A101" s="16">
        <v>44579</v>
      </c>
    </row>
    <row r="102" spans="1:1">
      <c r="A102" s="16">
        <v>44580</v>
      </c>
    </row>
    <row r="103" spans="1:1">
      <c r="A103" s="16">
        <v>44581</v>
      </c>
    </row>
    <row r="104" spans="1:1">
      <c r="A104" s="16">
        <v>44582</v>
      </c>
    </row>
    <row r="105" spans="1:1">
      <c r="A105" s="16">
        <v>44583</v>
      </c>
    </row>
    <row r="106" spans="1:1">
      <c r="A106" s="16">
        <v>44584</v>
      </c>
    </row>
    <row r="107" spans="1:1">
      <c r="A107" s="16">
        <v>44585</v>
      </c>
    </row>
    <row r="108" spans="1:1">
      <c r="A108" s="16">
        <v>44586</v>
      </c>
    </row>
    <row r="109" spans="1:1">
      <c r="A109" s="16">
        <v>44587</v>
      </c>
    </row>
    <row r="110" spans="1:1">
      <c r="A110" s="16">
        <v>44588</v>
      </c>
    </row>
    <row r="111" spans="1:1">
      <c r="A111" s="16">
        <v>44589</v>
      </c>
    </row>
    <row r="112" spans="1:1">
      <c r="A112" s="16">
        <v>44590</v>
      </c>
    </row>
    <row r="113" spans="1:1">
      <c r="A113" s="16">
        <v>44591</v>
      </c>
    </row>
    <row r="114" spans="1:1">
      <c r="A114" s="16">
        <v>44592</v>
      </c>
    </row>
  </sheetData>
  <conditionalFormatting sqref="B2:B114">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114">
    <cfRule type="cellIs" dxfId="8" priority="4" operator="equal">
      <formula>"Ja"</formula>
    </cfRule>
  </conditionalFormatting>
  <conditionalFormatting sqref="C2:C114">
    <cfRule type="cellIs" dxfId="7" priority="2" operator="equal">
      <formula>"Ja"</formula>
    </cfRule>
    <cfRule type="cellIs" dxfId="6" priority="3" operator="equal">
      <formula>"Nein"</formula>
    </cfRule>
  </conditionalFormatting>
  <conditionalFormatting sqref="C2:C114">
    <cfRule type="cellIs" dxfId="5" priority="1" operator="equal">
      <formula>"Ja"</formula>
    </cfRule>
  </conditionalFormatting>
  <dataValidations count="2">
    <dataValidation type="list" allowBlank="1" showInputMessage="1" showErrorMessage="1" sqref="B2:C114"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0D61-D86D-4AD2-8384-84727AED385A}">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5043-19B9-4D7A-A111-2010E358B749}">
  <dimension ref="A1"/>
  <sheetViews>
    <sheetView workbookViewId="0"/>
  </sheetViews>
  <sheetFormatPr baseColWidth="10" defaultRowHeight="15.75"/>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3E58-D756-48BC-A0EB-7B2870D30323}">
  <dimension ref="A1"/>
  <sheetViews>
    <sheetView workbookViewId="0"/>
  </sheetViews>
  <sheetFormatPr baseColWidth="10" defaultRowHeight="15.75"/>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B0739-A80A-4D3B-B112-CC156B7A7370}">
  <dimension ref="A1"/>
  <sheetViews>
    <sheetView workbookViewId="0"/>
  </sheetViews>
  <sheetFormatPr baseColWidth="10" defaultRowHeight="15.75"/>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C8442-8B7D-4379-BCDC-B8EB44C9D995}">
  <dimension ref="A1"/>
  <sheetViews>
    <sheetView workbookViewId="0"/>
  </sheetViews>
  <sheetFormatPr baseColWidth="10" defaultRowHeight="15.7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A6EE7-C334-47A7-B9CD-B797E8C14AE7}">
  <dimension ref="A1"/>
  <sheetViews>
    <sheetView workbookViewId="0"/>
  </sheetViews>
  <sheetFormatPr baseColWidth="10" defaultRowHeight="15.75"/>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A70A1-CE3F-4AC0-8657-B8E0907A6624}">
  <dimension ref="A1"/>
  <sheetViews>
    <sheetView workbookViewId="0"/>
  </sheetViews>
  <sheetFormatPr baseColWidth="10" defaultRowHeight="15.7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3473C-129F-4F18-8AD0-50F169FF9479}">
  <dimension ref="A1"/>
  <sheetViews>
    <sheetView workbookViewId="0"/>
  </sheetViews>
  <sheetFormatPr baseColWidth="10" defaultRowHeight="15.75"/>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84F16-CE9B-4068-A49E-643389B8E94B}">
  <dimension ref="A1"/>
  <sheetViews>
    <sheetView workbookViewId="0"/>
  </sheetViews>
  <sheetFormatPr baseColWidth="10" defaultRowHeight="15.7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Anleitung</vt:lpstr>
      <vt:lpstr>Semesterplan</vt:lpstr>
      <vt:lpstr>COMMITTMENT</vt:lpstr>
      <vt:lpstr>Wochenplan KW 41</vt:lpstr>
      <vt:lpstr>Wochenplan KW 42</vt:lpstr>
      <vt:lpstr>Wochenplan KW 43</vt:lpstr>
      <vt:lpstr>Tabelle2</vt:lpstr>
      <vt:lpstr>Tabelle3</vt:lpstr>
      <vt:lpstr>Tabelle4</vt:lpstr>
      <vt:lpstr>Tabelle6</vt:lpstr>
      <vt:lpstr>Tabelle7</vt:lpstr>
      <vt:lpstr>Tabelle8</vt:lpstr>
      <vt:lpstr>Tabelle9</vt:lpstr>
      <vt:lpstr>Tabelle5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Paul Grinev</cp:lastModifiedBy>
  <dcterms:created xsi:type="dcterms:W3CDTF">2020-04-19T13:33:28Z</dcterms:created>
  <dcterms:modified xsi:type="dcterms:W3CDTF">2021-09-10T15:28:47Z</dcterms:modified>
</cp:coreProperties>
</file>