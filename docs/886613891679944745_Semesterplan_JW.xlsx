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defaultThemeVersion="166925"/>
  <mc:AlternateContent xmlns:mc="http://schemas.openxmlformats.org/markup-compatibility/2006">
    <mc:Choice Requires="x15">
      <x15ac:absPath xmlns:x15ac="http://schemas.microsoft.com/office/spreadsheetml/2010/11/ac" url="https://d.docs.live.net/5b8ac7853a89ea13/Desktop/"/>
    </mc:Choice>
  </mc:AlternateContent>
  <xr:revisionPtr revIDLastSave="516" documentId="8_{1CB43D8C-88C6-4E48-9409-E8A8319F47CB}" xr6:coauthVersionLast="47" xr6:coauthVersionMax="47" xr10:uidLastSave="{A1CCB1D6-4E68-44FF-B7DC-72105D502CBD}"/>
  <bookViews>
    <workbookView xWindow="-98" yWindow="-98" windowWidth="20715" windowHeight="13276" activeTab="1" xr2:uid="{50F29292-BE80-0C47-A0D2-DD086CB3D310}"/>
  </bookViews>
  <sheets>
    <sheet name="Anleitung" sheetId="2" r:id="rId1"/>
    <sheet name="Semesterplan" sheetId="7" r:id="rId2"/>
    <sheet name="COMMITTMENT" sheetId="9" r:id="rId3"/>
    <sheet name="Wochenplan KW 19" sheetId="3" r:id="rId4"/>
    <sheet name="Wochenplan KW 20" sheetId="8"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I14" i="7" l="1"/>
  <c r="DH14" i="7"/>
  <c r="DA14" i="7"/>
  <c r="CT14" i="7"/>
  <c r="CM14" i="7"/>
  <c r="CF14" i="7"/>
  <c r="BY14" i="7"/>
  <c r="BR14" i="7"/>
  <c r="BK14" i="7"/>
  <c r="BD14" i="7"/>
  <c r="AW14" i="7"/>
  <c r="AP14" i="7"/>
  <c r="AI14" i="7"/>
  <c r="AB14" i="7"/>
  <c r="U14" i="7"/>
  <c r="N14" i="7"/>
  <c r="G14" i="7"/>
  <c r="K24" i="7"/>
  <c r="J24" i="7"/>
  <c r="I24" i="7"/>
  <c r="K23" i="7"/>
  <c r="J23" i="7"/>
  <c r="I23" i="7"/>
  <c r="K22" i="7"/>
  <c r="J22" i="7"/>
  <c r="I22" i="7"/>
  <c r="K21" i="7"/>
  <c r="J21" i="7"/>
  <c r="I21" i="7"/>
  <c r="EC4" i="7"/>
  <c r="DV4" i="7"/>
  <c r="DO4" i="7"/>
  <c r="DH4" i="7"/>
  <c r="DA4" i="7"/>
  <c r="CT4" i="7"/>
  <c r="CM4" i="7"/>
  <c r="CF4" i="7"/>
  <c r="BY4" i="7"/>
  <c r="BR4" i="7"/>
  <c r="BK4" i="7"/>
  <c r="BD4" i="7"/>
  <c r="AW4" i="7"/>
  <c r="AP4" i="7"/>
  <c r="AI4" i="7"/>
  <c r="AB4" i="7"/>
  <c r="U4" i="7"/>
  <c r="N4" i="7"/>
  <c r="G4" i="7"/>
  <c r="I20" i="7"/>
  <c r="I19" i="7"/>
  <c r="I18" i="7"/>
  <c r="I17" i="7"/>
  <c r="I16" i="7"/>
  <c r="I15" i="7"/>
  <c r="I6" i="7"/>
  <c r="I7" i="7"/>
  <c r="I8" i="7"/>
  <c r="I9" i="7"/>
  <c r="I10" i="7"/>
  <c r="I11" i="7"/>
  <c r="I12" i="7"/>
  <c r="I5" i="7"/>
  <c r="J5" i="7"/>
  <c r="K20" i="7"/>
  <c r="J20" i="7"/>
  <c r="K19" i="7"/>
  <c r="J19" i="7"/>
  <c r="K18" i="7"/>
  <c r="J18" i="7"/>
  <c r="K17" i="7"/>
  <c r="J17" i="7"/>
  <c r="K16" i="7"/>
  <c r="J16" i="7"/>
  <c r="K15" i="7"/>
  <c r="J15" i="7"/>
  <c r="K6" i="7"/>
  <c r="K7" i="7"/>
  <c r="K8" i="7"/>
  <c r="K9" i="7"/>
  <c r="K10" i="7"/>
  <c r="K11" i="7"/>
  <c r="K12" i="7"/>
  <c r="J6" i="7"/>
  <c r="J7" i="7"/>
  <c r="J8" i="7"/>
  <c r="J9" i="7"/>
  <c r="J10" i="7"/>
  <c r="J11" i="7"/>
  <c r="J12" i="7"/>
  <c r="K5" i="7"/>
  <c r="J14" i="7" l="1"/>
  <c r="K14" i="7"/>
  <c r="K4" i="7"/>
  <c r="I4" i="7" l="1"/>
  <c r="J4" i="7"/>
</calcChain>
</file>

<file path=xl/sharedStrings.xml><?xml version="1.0" encoding="utf-8"?>
<sst xmlns="http://schemas.openxmlformats.org/spreadsheetml/2006/main" count="224" uniqueCount="86">
  <si>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</si>
  <si>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</si>
  <si>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</si>
  <si>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</si>
  <si>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</si>
  <si>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</si>
  <si>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</si>
  <si>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</si>
  <si>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</si>
  <si>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</si>
  <si>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</si>
  <si>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</si>
  <si>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</si>
  <si>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</si>
  <si>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</si>
  <si>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</si>
  <si>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</si>
  <si>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</si>
  <si>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</si>
  <si>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</si>
  <si>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</si>
  <si>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</si>
  <si>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</si>
  <si>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</si>
  <si>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</si>
  <si>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</si>
  <si>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</si>
  <si>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</si>
  <si>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</si>
  <si>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</si>
  <si>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ECTS</t>
  </si>
  <si>
    <t>Anteil an Klausur</t>
  </si>
  <si>
    <t>Ziel</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</si>
  <si>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</si>
  <si>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</si>
  <si>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</si>
  <si>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</si>
  <si>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</si>
  <si>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</si>
  <si>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</si>
  <si>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</si>
  <si>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</si>
  <si>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</si>
  <si>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</si>
  <si>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</si>
  <si>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</si>
  <si>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</si>
  <si>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</si>
  <si>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Corporate Finance</t>
  </si>
  <si>
    <t>1) Slides 1-50</t>
  </si>
  <si>
    <t>2) Slides 51-100</t>
  </si>
  <si>
    <t>3) Slides 101-150</t>
  </si>
  <si>
    <t>4) Slides 151-200</t>
  </si>
  <si>
    <t>5) Slides 201-250</t>
  </si>
  <si>
    <t>6) Slides 251-300</t>
  </si>
  <si>
    <t>7) Slides 301-350</t>
  </si>
  <si>
    <t>8) Slides 351-400</t>
  </si>
  <si>
    <t>KW 36</t>
  </si>
  <si>
    <t>KW 37</t>
  </si>
  <si>
    <t>KW 38</t>
  </si>
  <si>
    <t>KW 39</t>
  </si>
  <si>
    <t>KW 40</t>
  </si>
  <si>
    <t>KW 41</t>
  </si>
  <si>
    <t>KW 42</t>
  </si>
  <si>
    <t>KW 43</t>
  </si>
  <si>
    <t>KW 44</t>
  </si>
  <si>
    <t>KW 45</t>
  </si>
  <si>
    <t>KW 46</t>
  </si>
  <si>
    <t>KW 47</t>
  </si>
  <si>
    <t>KW 48</t>
  </si>
  <si>
    <t>KW 49</t>
  </si>
  <si>
    <t>KW 50</t>
  </si>
  <si>
    <t>KW 51</t>
  </si>
  <si>
    <t>Wiederholen</t>
  </si>
  <si>
    <t>KW 1</t>
  </si>
  <si>
    <t>Market Research</t>
  </si>
  <si>
    <t>1) Slides 1-25</t>
  </si>
  <si>
    <t>3) Slides 51-75</t>
  </si>
  <si>
    <t>4) Slides 76-100</t>
  </si>
  <si>
    <t>5) Slides 101-125</t>
  </si>
  <si>
    <t>6) Slides 126-150</t>
  </si>
  <si>
    <t>7) Slides 151-175</t>
  </si>
  <si>
    <t>8) Slides 176-200</t>
  </si>
  <si>
    <t>9) Slides 201-225</t>
  </si>
  <si>
    <t>10) Slides 226-252</t>
  </si>
  <si>
    <t>2) Slides 26-50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</si>
</sst>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
      <sz val="28"/>
      <color theme="1"/>
      <name val="Calibri"/>
      <family val="2"/>
      <scheme val="minor"/>
    </font>
  </fonts>
  <fills count="4">
    <fill>
      <patternFill patternType="none"/>
    </fill>
    <fill>
      <patternFill patternType="gray125"/>
    </fill>
    <fill>
      <patternFill patternType="solid">
        <fgColor rgb="FFE0E0E0"/>
        <bgColor indexed="64"/>
      </patternFill>
    </fill>
    <fill>
      <patternFill patternType="solid">
        <fgColor rgb="FFFFC000"/>
        <bgColor indexed="64"/>
      </patternFill>
    </fill>
  </fills>
  <borders count="1">
    <border>
      <left/>
      <right/>
      <top/>
      <bottom/>
      <diagonal/>
    </border>
  </borders>
  <cellStyleXfs count="1">
    <xf numFmtId="0" fontId="0" fillId="0" borderId="0"/>
  </cellStyleXfs>
  <cellXfs count="21">
    <xf numFmtId="0" fontId="0" fillId="0" borderId="0" xfId="0"/>
    <xf numFmtId="0" fontId="0" fillId="0" borderId="0" xfId="0" applyAlignment="1">
      <alignment wrapText="1"/>
    </xf>
    <xf numFmtId="0" fontId="0" fillId="0" borderId="0" xfId="0" applyAlignment="1"/>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0" fontId="0" fillId="0" borderId="0" xfId="0" applyFill="1"/>
    <xf numFmtId="20" fontId="0" fillId="0" borderId="0" xfId="0" applyNumberFormat="1" applyFon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14" fontId="0" fillId="0" borderId="0" xfId="0" applyNumberFormat="1" applyAlignment="1">
      <alignment horizontal="center"/>
    </xf>
    <xf numFmtId="0" fontId="0" fillId="0" borderId="0" xfId="0" applyAlignment="1">
      <alignment horizontal="center" wrapText="1"/>
    </xf>
    <xf numFmtId="9" fontId="0" fillId="0" borderId="0" xfId="0" applyNumberFormat="1" applyFill="1" applyAlignment="1">
      <alignment horizontal="center"/>
    </xf>
    <xf numFmtId="0" fontId="1" fillId="2" borderId="0" xfId="0" applyFont="1" applyFill="1" applyAlignment="1">
      <alignment horizontal="center"/>
    </xf>
    <xf numFmtId="9" fontId="5" fillId="3" borderId="0" xfId="0" applyNumberFormat="1" applyFont="1" applyFill="1" applyAlignment="1">
      <alignment horizontal="center" vertical="center"/>
    </xf>
    <xf numFmtId="9" fontId="0" fillId="3" borderId="0" xfId="0" applyNumberFormat="1" applyFill="1" applyAlignment="1">
      <alignment horizontal="center" vertical="center"/>
    </xf>
  </cellXfs>
  <cellStyles count="1">
    <cellStyle name="Standard" xfId="0" builtinId="0"/>
  </cellStyles>
  <dxfs count="987">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dd/mm/yy"/>
      <alignment horizontal="center" vertical="bottom" textRotation="0" wrapText="0" indent="0" justifyLastLine="0" shrinkToFit="0" readingOrder="0"/>
    </dxf>
    <dxf>
      <alignment horizontal="general" vertical="bottom" textRotation="0" wrapText="1" indent="0" justifyLastLine="0" shrinkToFit="0" readingOrder="0"/>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986">
  <autoFilter ref="A1:K46" xr:uid="{6E266E34-2786-2747-BCE7-51B74867A564}"/>
  <tableColumns count="11">
    <tableColumn id="1" xr3:uid="{95FD92F7-3DC8-704D-A103-A7EDDAB255AB}" name="Datum" dataDxfId="985"/>
    <tableColumn id="2" xr3:uid="{F464D510-8166-E740-A343-FB84BDEF877F}" name="Lerneinheiten durchgezogen" dataDxfId="984"/>
    <tableColumn id="3" xr3:uid="{75F52B08-1A00-0848-BBE6-1EDF7B31B1AD}" name="Tagesplan erstellt" dataDxfId="983"/>
    <tableColumn id="4" xr3:uid="{E6B18D89-E799-AD48-9DAA-37AEE1D29011}" name="Konzentrationslevel" dataDxfId="982"/>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C25"/>
  <sheetViews>
    <sheetView workbookViewId="0">
      <selection activeCell="B2" sqref="B2"/>
    </sheetView>
  </sheetViews>
  <sheetFormatPr baseColWidth="10" defaultColWidth="10.6875" defaultRowHeight="15.75"/>
  <cols>
    <col min="2" max="2" width="161" customWidth="1"/>
    <col min="3" max="3" width="10.8125" style="2"/>
  </cols>
  <sheetData>
    <row r="4" spans="2:2" ht="21">
      <c r="B4" s="4" t="s">
        <v>16</v>
      </c>
    </row>
    <row r="6" spans="2:2">
      <c r="B6" s="3" t="s">
        <v>13</v>
      </c>
    </row>
    <row r="7" spans="2:2" ht="47.25">
      <c r="B7" s="1" t="s">
        <v>14</v>
      </c>
    </row>
    <row r="9" spans="2:2">
      <c r="B9" s="3" t="s">
        <v>15</v>
      </c>
    </row>
    <row r="10" spans="2:2" ht="63">
      <c r="B10" s="1" t="s">
        <v>34</v>
      </c>
    </row>
    <row r="12" spans="2:2">
      <c r="B12" s="3" t="s">
        <v>17</v>
      </c>
    </row>
    <row r="13" spans="2:2" ht="126">
      <c r="B13" s="1" t="s">
        <v>18</v>
      </c>
    </row>
    <row r="15" spans="2:2">
      <c r="B15" s="3" t="s">
        <v>19</v>
      </c>
    </row>
    <row r="16" spans="2:2" ht="110.25">
      <c r="B16" s="1" t="s">
        <v>20</v>
      </c>
    </row>
    <row r="17" spans="2:2">
      <c r="B17" s="1"/>
    </row>
    <row r="18" spans="2:2">
      <c r="B18" s="3" t="s">
        <v>33</v>
      </c>
    </row>
    <row r="19" spans="2:2" ht="141.75">
      <c r="B19" s="1" t="s">
        <v>35</v>
      </c>
    </row>
    <row r="21" spans="2:2">
      <c r="B21" s="3" t="s">
        <v>21</v>
      </c>
    </row>
    <row r="22" spans="2:2" ht="110.25">
      <c r="B22" s="1" t="s">
        <v>36</v>
      </c>
    </row>
    <row r="24" spans="2:2">
      <c r="B24" s="3" t="s">
        <v>22</v>
      </c>
    </row>
    <row r="25" spans="2:2" ht="126">
      <c r="B25" s="1" t="s">
        <v>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EH33"/>
  <sheetViews>
    <sheetView showGridLines="0" tabSelected="1" topLeftCell="F1" zoomScaleNormal="100" workbookViewId="0">
      <selection activeCell="O5" sqref="O5"/>
    </sheetView>
  </sheetViews>
  <sheetFormatPr baseColWidth="10" defaultColWidth="8.8125" defaultRowHeight="15.75" outlineLevelRow="1"/>
  <cols>
    <col min="3" max="3" width="9.5" bestFit="1" customWidth="1"/>
    <col min="4" max="4" width="13" bestFit="1" customWidth="1"/>
    <col min="5" max="5" width="4.8125" bestFit="1" customWidth="1"/>
    <col min="6" max="6" width="41.1875" bestFit="1" customWidth="1"/>
    <col min="7" max="7" width="15.5" bestFit="1" customWidth="1"/>
    <col min="8" max="8" width="2.5" customWidth="1"/>
    <col min="10" max="10" width="12.5" bestFit="1" customWidth="1"/>
    <col min="11" max="11" width="14.8125" bestFit="1" customWidth="1"/>
    <col min="12" max="12" width="12.6875" bestFit="1" customWidth="1"/>
    <col min="13" max="13" width="2.5" customWidth="1"/>
    <col min="15" max="15" width="12.5" bestFit="1" customWidth="1"/>
    <col min="16" max="16" width="6.3125" customWidth="1"/>
    <col min="17" max="17" width="14.8125" bestFit="1" customWidth="1"/>
    <col min="18" max="18" width="6" customWidth="1"/>
    <col min="19" max="19" width="12.6875" bestFit="1" customWidth="1"/>
    <col min="20" max="20" width="2.5" customWidth="1"/>
    <col min="22" max="22" width="12.5" bestFit="1" customWidth="1"/>
    <col min="23" max="23" width="6.3125" customWidth="1"/>
    <col min="24" max="24" width="14.8125" bestFit="1" customWidth="1"/>
    <col min="25" max="25" width="6" customWidth="1"/>
    <col min="26" max="26" width="12.6875" bestFit="1" customWidth="1"/>
    <col min="27" max="27" width="2.5" customWidth="1"/>
    <col min="29" max="29" width="12.5" bestFit="1" customWidth="1"/>
    <col min="30" max="30" width="6.3125" customWidth="1"/>
    <col min="31" max="31" width="14.8125" bestFit="1" customWidth="1"/>
    <col min="32" max="32" width="6" customWidth="1"/>
    <col min="33" max="33" width="12.6875" bestFit="1" customWidth="1"/>
    <col min="34" max="34" width="2.5" customWidth="1"/>
    <col min="36" max="36" width="12.5" bestFit="1" customWidth="1"/>
    <col min="37" max="37" width="6.3125" customWidth="1"/>
    <col min="38" max="38" width="14.8125" bestFit="1" customWidth="1"/>
    <col min="39" max="39" width="6" customWidth="1"/>
    <col min="40" max="40" width="12.6875" bestFit="1" customWidth="1"/>
    <col min="41" max="41" width="2.5" customWidth="1"/>
    <col min="43" max="43" width="12.5" bestFit="1" customWidth="1"/>
    <col min="44" max="44" width="6.3125" customWidth="1"/>
    <col min="45" max="45" width="14.8125" bestFit="1" customWidth="1"/>
    <col min="46" max="46" width="6" customWidth="1"/>
    <col min="47" max="47" width="12.6875" bestFit="1" customWidth="1"/>
    <col min="48" max="48" width="2.5" customWidth="1"/>
    <col min="50" max="50" width="12.5" bestFit="1" customWidth="1"/>
    <col min="51" max="51" width="6.3125" customWidth="1"/>
    <col min="52" max="52" width="14.8125" bestFit="1" customWidth="1"/>
    <col min="53" max="53" width="6" customWidth="1"/>
    <col min="54" max="54" width="12.6875" bestFit="1" customWidth="1"/>
    <col min="55" max="55" width="2.5" customWidth="1"/>
    <col min="57" max="57" width="12.5" bestFit="1" customWidth="1"/>
    <col min="58" max="58" width="6.3125" customWidth="1"/>
    <col min="59" max="59" width="14.8125" bestFit="1" customWidth="1"/>
    <col min="60" max="60" width="6" customWidth="1"/>
    <col min="61" max="61" width="12.6875" bestFit="1" customWidth="1"/>
    <col min="62" max="62" width="2.5" customWidth="1"/>
    <col min="64" max="64" width="12.5" bestFit="1" customWidth="1"/>
    <col min="65" max="65" width="6.3125" customWidth="1"/>
    <col min="66" max="66" width="14.8125" bestFit="1" customWidth="1"/>
    <col min="67" max="67" width="6" customWidth="1"/>
    <col min="68" max="68" width="12.6875" bestFit="1" customWidth="1"/>
    <col min="71" max="71" width="12.5" bestFit="1" customWidth="1"/>
    <col min="72" max="72" width="6.3125" customWidth="1"/>
    <col min="73" max="73" width="14.8125" bestFit="1" customWidth="1"/>
    <col min="74" max="74" width="6" customWidth="1"/>
    <col min="75" max="75" width="12.6875" bestFit="1" customWidth="1"/>
    <col min="78" max="78" width="12.5" bestFit="1" customWidth="1"/>
    <col min="79" max="79" width="6.3125" customWidth="1"/>
    <col min="80" max="80" width="14.8125" bestFit="1" customWidth="1"/>
    <col min="81" max="81" width="6" customWidth="1"/>
    <col min="82" max="82" width="12.6875" bestFit="1" customWidth="1"/>
    <col min="85" max="85" width="12.5" bestFit="1" customWidth="1"/>
    <col min="86" max="86" width="6.3125" customWidth="1"/>
    <col min="87" max="87" width="14.8125" bestFit="1" customWidth="1"/>
    <col min="88" max="88" width="6" customWidth="1"/>
    <col min="89" max="89" width="12.6875" bestFit="1" customWidth="1"/>
    <col min="92" max="92" width="12.5" bestFit="1" customWidth="1"/>
    <col min="93" max="93" width="6.3125" customWidth="1"/>
    <col min="94" max="94" width="14.8125" bestFit="1" customWidth="1"/>
    <col min="95" max="95" width="6" customWidth="1"/>
    <col min="96" max="96" width="12.6875" bestFit="1" customWidth="1"/>
    <col min="99" max="99" width="12.5" bestFit="1" customWidth="1"/>
    <col min="100" max="100" width="6.3125" customWidth="1"/>
    <col min="101" max="101" width="14.8125" bestFit="1" customWidth="1"/>
    <col min="102" max="102" width="6" customWidth="1"/>
    <col min="103" max="103" width="12.6875" bestFit="1" customWidth="1"/>
    <col min="106" max="106" width="12.5" bestFit="1" customWidth="1"/>
    <col min="107" max="107" width="6.3125" customWidth="1"/>
    <col min="108" max="108" width="14.8125" bestFit="1" customWidth="1"/>
    <col min="109" max="109" width="6" customWidth="1"/>
    <col min="110" max="110" width="12.6875" bestFit="1" customWidth="1"/>
    <col min="113" max="113" width="12.5" bestFit="1" customWidth="1"/>
    <col min="114" max="114" width="6.3125" customWidth="1"/>
    <col min="115" max="115" width="14.8125" bestFit="1" customWidth="1"/>
    <col min="116" max="116" width="6" customWidth="1"/>
    <col min="117" max="117" width="12.6875" bestFit="1" customWidth="1"/>
    <col min="120" max="120" width="12.5" bestFit="1" customWidth="1"/>
    <col min="121" max="121" width="6.3125" customWidth="1"/>
    <col min="122" max="122" width="14.8125" bestFit="1" customWidth="1"/>
    <col min="123" max="123" width="6" customWidth="1"/>
    <col min="124" max="124" width="12.6875" bestFit="1" customWidth="1"/>
    <col min="127" max="127" width="12.5" bestFit="1" customWidth="1"/>
    <col min="128" max="128" width="6.3125" customWidth="1"/>
    <col min="129" max="129" width="14.8125" bestFit="1" customWidth="1"/>
    <col min="130" max="130" width="6" customWidth="1"/>
    <col min="131" max="131" width="12.6875" bestFit="1" customWidth="1"/>
    <col min="134" max="134" width="12.5" bestFit="1" customWidth="1"/>
    <col min="135" max="135" width="6.3125" customWidth="1"/>
    <col min="136" max="136" width="14.8125" bestFit="1" customWidth="1"/>
    <col min="137" max="137" width="6" customWidth="1"/>
    <col min="138" max="138" width="12.6875" bestFit="1" customWidth="1"/>
  </cols>
  <sheetData>
    <row r="1" spans="2:138" ht="33.4">
      <c r="B1" s="5" t="s">
        <v>0</v>
      </c>
      <c r="D1" s="5"/>
      <c r="G1" s="9"/>
      <c r="H1" s="9"/>
      <c r="I1" s="9"/>
      <c r="J1" s="9"/>
      <c r="K1" s="9"/>
      <c r="L1" s="9"/>
      <c r="M1" s="9"/>
      <c r="N1" s="9"/>
    </row>
    <row r="2" spans="2:138">
      <c r="I2" s="18" t="s">
        <v>27</v>
      </c>
      <c r="J2" s="18"/>
      <c r="K2" s="18"/>
      <c r="L2" s="18"/>
      <c r="N2" s="18" t="s">
        <v>57</v>
      </c>
      <c r="O2" s="18"/>
      <c r="P2" s="18"/>
      <c r="Q2" s="18"/>
      <c r="R2" s="18"/>
      <c r="S2" s="18"/>
      <c r="U2" s="18" t="s">
        <v>58</v>
      </c>
      <c r="V2" s="18"/>
      <c r="W2" s="18"/>
      <c r="X2" s="18"/>
      <c r="Y2" s="18"/>
      <c r="Z2" s="18"/>
      <c r="AB2" s="18" t="s">
        <v>59</v>
      </c>
      <c r="AC2" s="18"/>
      <c r="AD2" s="18"/>
      <c r="AE2" s="18"/>
      <c r="AF2" s="18"/>
      <c r="AG2" s="18"/>
      <c r="AI2" s="18" t="s">
        <v>60</v>
      </c>
      <c r="AJ2" s="18"/>
      <c r="AK2" s="18"/>
      <c r="AL2" s="18"/>
      <c r="AM2" s="18"/>
      <c r="AN2" s="18"/>
      <c r="AP2" s="18" t="s">
        <v>61</v>
      </c>
      <c r="AQ2" s="18"/>
      <c r="AR2" s="18"/>
      <c r="AS2" s="18"/>
      <c r="AT2" s="18"/>
      <c r="AU2" s="18"/>
      <c r="AW2" s="18" t="s">
        <v>62</v>
      </c>
      <c r="AX2" s="18"/>
      <c r="AY2" s="18"/>
      <c r="AZ2" s="18"/>
      <c r="BA2" s="18"/>
      <c r="BB2" s="18"/>
      <c r="BD2" s="18" t="s">
        <v>63</v>
      </c>
      <c r="BE2" s="18"/>
      <c r="BF2" s="18"/>
      <c r="BG2" s="18"/>
      <c r="BH2" s="18"/>
      <c r="BI2" s="18"/>
      <c r="BK2" s="18" t="s">
        <v>64</v>
      </c>
      <c r="BL2" s="18"/>
      <c r="BM2" s="18"/>
      <c r="BN2" s="18"/>
      <c r="BO2" s="18"/>
      <c r="BP2" s="18"/>
      <c r="BR2" s="18" t="s">
        <v>65</v>
      </c>
      <c r="BS2" s="18"/>
      <c r="BT2" s="18"/>
      <c r="BU2" s="18"/>
      <c r="BV2" s="18"/>
      <c r="BW2" s="18"/>
      <c r="BY2" s="18" t="s">
        <v>66</v>
      </c>
      <c r="BZ2" s="18"/>
      <c r="CA2" s="18"/>
      <c r="CB2" s="18"/>
      <c r="CC2" s="18"/>
      <c r="CD2" s="18"/>
      <c r="CF2" s="18" t="s">
        <v>67</v>
      </c>
      <c r="CG2" s="18"/>
      <c r="CH2" s="18"/>
      <c r="CI2" s="18"/>
      <c r="CJ2" s="18"/>
      <c r="CK2" s="18"/>
      <c r="CM2" s="18" t="s">
        <v>68</v>
      </c>
      <c r="CN2" s="18"/>
      <c r="CO2" s="18"/>
      <c r="CP2" s="18"/>
      <c r="CQ2" s="18"/>
      <c r="CR2" s="18"/>
      <c r="CT2" s="18" t="s">
        <v>69</v>
      </c>
      <c r="CU2" s="18"/>
      <c r="CV2" s="18"/>
      <c r="CW2" s="18"/>
      <c r="CX2" s="18"/>
      <c r="CY2" s="18"/>
      <c r="DA2" s="18" t="s">
        <v>70</v>
      </c>
      <c r="DB2" s="18"/>
      <c r="DC2" s="18"/>
      <c r="DD2" s="18"/>
      <c r="DE2" s="18"/>
      <c r="DF2" s="18"/>
      <c r="DH2" s="18" t="s">
        <v>71</v>
      </c>
      <c r="DI2" s="18"/>
      <c r="DJ2" s="18"/>
      <c r="DK2" s="18"/>
      <c r="DL2" s="18"/>
      <c r="DM2" s="18"/>
      <c r="DO2" s="18" t="s">
        <v>72</v>
      </c>
      <c r="DP2" s="18"/>
      <c r="DQ2" s="18"/>
      <c r="DR2" s="18"/>
      <c r="DS2" s="18"/>
      <c r="DT2" s="18"/>
      <c r="DV2" s="18" t="s">
        <v>72</v>
      </c>
      <c r="DW2" s="18"/>
      <c r="DX2" s="18"/>
      <c r="DY2" s="18"/>
      <c r="DZ2" s="18"/>
      <c r="EA2" s="18"/>
      <c r="EC2" s="18" t="s">
        <v>74</v>
      </c>
      <c r="ED2" s="18"/>
      <c r="EE2" s="18"/>
      <c r="EF2" s="18"/>
      <c r="EG2" s="18"/>
      <c r="EH2" s="18"/>
    </row>
    <row r="3" spans="2:138">
      <c r="B3" s="6" t="s">
        <v>26</v>
      </c>
      <c r="C3" s="6" t="s">
        <v>1</v>
      </c>
      <c r="D3" s="6" t="s">
        <v>24</v>
      </c>
      <c r="E3" s="7" t="s">
        <v>30</v>
      </c>
      <c r="F3" s="6" t="s">
        <v>29</v>
      </c>
      <c r="G3" s="6" t="s">
        <v>31</v>
      </c>
      <c r="I3" s="7" t="s">
        <v>11</v>
      </c>
      <c r="J3" s="7" t="s">
        <v>2</v>
      </c>
      <c r="K3" s="7" t="s">
        <v>3</v>
      </c>
      <c r="L3" s="7" t="s">
        <v>12</v>
      </c>
      <c r="N3" s="6" t="s">
        <v>11</v>
      </c>
      <c r="O3" s="6" t="s">
        <v>2</v>
      </c>
      <c r="P3" s="6" t="s">
        <v>32</v>
      </c>
      <c r="Q3" s="6" t="s">
        <v>3</v>
      </c>
      <c r="R3" s="6" t="s">
        <v>32</v>
      </c>
      <c r="S3" s="6" t="s">
        <v>12</v>
      </c>
      <c r="U3" s="6" t="s">
        <v>11</v>
      </c>
      <c r="V3" s="6" t="s">
        <v>2</v>
      </c>
      <c r="W3" s="6" t="s">
        <v>32</v>
      </c>
      <c r="X3" s="6" t="s">
        <v>3</v>
      </c>
      <c r="Y3" s="6" t="s">
        <v>32</v>
      </c>
      <c r="Z3" s="6" t="s">
        <v>12</v>
      </c>
      <c r="AB3" s="6" t="s">
        <v>11</v>
      </c>
      <c r="AC3" s="6" t="s">
        <v>2</v>
      </c>
      <c r="AD3" s="6" t="s">
        <v>32</v>
      </c>
      <c r="AE3" s="6" t="s">
        <v>3</v>
      </c>
      <c r="AF3" s="6" t="s">
        <v>32</v>
      </c>
      <c r="AG3" s="6" t="s">
        <v>12</v>
      </c>
      <c r="AI3" s="6" t="s">
        <v>11</v>
      </c>
      <c r="AJ3" s="6" t="s">
        <v>2</v>
      </c>
      <c r="AK3" s="6" t="s">
        <v>32</v>
      </c>
      <c r="AL3" s="6" t="s">
        <v>3</v>
      </c>
      <c r="AM3" s="6" t="s">
        <v>32</v>
      </c>
      <c r="AN3" s="6" t="s">
        <v>12</v>
      </c>
      <c r="AP3" s="6" t="s">
        <v>11</v>
      </c>
      <c r="AQ3" s="6" t="s">
        <v>2</v>
      </c>
      <c r="AR3" s="6" t="s">
        <v>32</v>
      </c>
      <c r="AS3" s="6" t="s">
        <v>3</v>
      </c>
      <c r="AT3" s="6" t="s">
        <v>32</v>
      </c>
      <c r="AU3" s="6" t="s">
        <v>12</v>
      </c>
      <c r="AW3" s="6" t="s">
        <v>11</v>
      </c>
      <c r="AX3" s="6" t="s">
        <v>2</v>
      </c>
      <c r="AY3" s="6" t="s">
        <v>32</v>
      </c>
      <c r="AZ3" s="6" t="s">
        <v>3</v>
      </c>
      <c r="BA3" s="6" t="s">
        <v>32</v>
      </c>
      <c r="BB3" s="6" t="s">
        <v>12</v>
      </c>
      <c r="BD3" s="6" t="s">
        <v>11</v>
      </c>
      <c r="BE3" s="6" t="s">
        <v>2</v>
      </c>
      <c r="BF3" s="6" t="s">
        <v>32</v>
      </c>
      <c r="BG3" s="6" t="s">
        <v>3</v>
      </c>
      <c r="BH3" s="6" t="s">
        <v>32</v>
      </c>
      <c r="BI3" s="6" t="s">
        <v>12</v>
      </c>
      <c r="BK3" s="6" t="s">
        <v>11</v>
      </c>
      <c r="BL3" s="6" t="s">
        <v>2</v>
      </c>
      <c r="BM3" s="6" t="s">
        <v>32</v>
      </c>
      <c r="BN3" s="6" t="s">
        <v>3</v>
      </c>
      <c r="BO3" s="6" t="s">
        <v>32</v>
      </c>
      <c r="BP3" s="6" t="s">
        <v>12</v>
      </c>
      <c r="BR3" s="6" t="s">
        <v>11</v>
      </c>
      <c r="BS3" s="6" t="s">
        <v>2</v>
      </c>
      <c r="BT3" s="6" t="s">
        <v>32</v>
      </c>
      <c r="BU3" s="6" t="s">
        <v>3</v>
      </c>
      <c r="BV3" s="6" t="s">
        <v>32</v>
      </c>
      <c r="BW3" s="6" t="s">
        <v>12</v>
      </c>
      <c r="BY3" s="6" t="s">
        <v>11</v>
      </c>
      <c r="BZ3" s="6" t="s">
        <v>2</v>
      </c>
      <c r="CA3" s="6" t="s">
        <v>32</v>
      </c>
      <c r="CB3" s="6" t="s">
        <v>3</v>
      </c>
      <c r="CC3" s="6" t="s">
        <v>32</v>
      </c>
      <c r="CD3" s="6" t="s">
        <v>12</v>
      </c>
      <c r="CF3" s="6" t="s">
        <v>11</v>
      </c>
      <c r="CG3" s="6" t="s">
        <v>2</v>
      </c>
      <c r="CH3" s="6" t="s">
        <v>32</v>
      </c>
      <c r="CI3" s="6" t="s">
        <v>3</v>
      </c>
      <c r="CJ3" s="6" t="s">
        <v>32</v>
      </c>
      <c r="CK3" s="6" t="s">
        <v>12</v>
      </c>
      <c r="CM3" s="6" t="s">
        <v>11</v>
      </c>
      <c r="CN3" s="6" t="s">
        <v>2</v>
      </c>
      <c r="CO3" s="6" t="s">
        <v>32</v>
      </c>
      <c r="CP3" s="6" t="s">
        <v>3</v>
      </c>
      <c r="CQ3" s="6" t="s">
        <v>32</v>
      </c>
      <c r="CR3" s="6" t="s">
        <v>12</v>
      </c>
      <c r="CT3" s="6" t="s">
        <v>11</v>
      </c>
      <c r="CU3" s="6" t="s">
        <v>2</v>
      </c>
      <c r="CV3" s="6" t="s">
        <v>32</v>
      </c>
      <c r="CW3" s="6" t="s">
        <v>3</v>
      </c>
      <c r="CX3" s="6" t="s">
        <v>32</v>
      </c>
      <c r="CY3" s="6" t="s">
        <v>12</v>
      </c>
      <c r="DA3" s="6" t="s">
        <v>11</v>
      </c>
      <c r="DB3" s="6" t="s">
        <v>2</v>
      </c>
      <c r="DC3" s="6" t="s">
        <v>32</v>
      </c>
      <c r="DD3" s="6" t="s">
        <v>3</v>
      </c>
      <c r="DE3" s="6" t="s">
        <v>32</v>
      </c>
      <c r="DF3" s="6" t="s">
        <v>12</v>
      </c>
      <c r="DH3" s="6" t="s">
        <v>11</v>
      </c>
      <c r="DI3" s="6" t="s">
        <v>2</v>
      </c>
      <c r="DJ3" s="6" t="s">
        <v>32</v>
      </c>
      <c r="DK3" s="6" t="s">
        <v>3</v>
      </c>
      <c r="DL3" s="6" t="s">
        <v>32</v>
      </c>
      <c r="DM3" s="6" t="s">
        <v>12</v>
      </c>
      <c r="DO3" s="6" t="s">
        <v>11</v>
      </c>
      <c r="DP3" s="6" t="s">
        <v>2</v>
      </c>
      <c r="DQ3" s="6" t="s">
        <v>32</v>
      </c>
      <c r="DR3" s="6" t="s">
        <v>3</v>
      </c>
      <c r="DS3" s="6" t="s">
        <v>32</v>
      </c>
      <c r="DT3" s="6" t="s">
        <v>12</v>
      </c>
      <c r="DV3" s="6" t="s">
        <v>11</v>
      </c>
      <c r="DW3" s="6" t="s">
        <v>2</v>
      </c>
      <c r="DX3" s="6" t="s">
        <v>32</v>
      </c>
      <c r="DY3" s="6" t="s">
        <v>3</v>
      </c>
      <c r="DZ3" s="6" t="s">
        <v>32</v>
      </c>
      <c r="EA3" s="6" t="s">
        <v>12</v>
      </c>
      <c r="EC3" s="6" t="s">
        <v>11</v>
      </c>
      <c r="ED3" s="6" t="s">
        <v>2</v>
      </c>
      <c r="EE3" s="6" t="s">
        <v>32</v>
      </c>
      <c r="EF3" s="6" t="s">
        <v>3</v>
      </c>
      <c r="EG3" s="6" t="s">
        <v>32</v>
      </c>
      <c r="EH3" s="6" t="s">
        <v>12</v>
      </c>
    </row>
    <row r="4" spans="2:138">
      <c r="B4" t="s">
        <v>27</v>
      </c>
      <c r="C4" t="s">
        <v>48</v>
      </c>
      <c r="E4" s="11">
        <v>6</v>
      </c>
      <c r="G4" s="12">
        <f>+SUM(G5:G12)</f>
        <v>1</v>
      </c>
      <c r="I4" s="14">
        <f>+SUM(I5:I12)</f>
        <v>104</v>
      </c>
      <c r="J4" s="13">
        <f>+SUMPRODUCT(G5:G12,J5:J12)</f>
        <v>0.125</v>
      </c>
      <c r="K4" s="13">
        <f>+SUMPRODUCT(G5:G12,K5:K12)</f>
        <v>0.125</v>
      </c>
      <c r="L4" s="11"/>
      <c r="N4" s="14">
        <f>+SUM(N5:N12)</f>
        <v>8</v>
      </c>
      <c r="U4" s="14">
        <f>+SUM(U5:U12)</f>
        <v>8</v>
      </c>
      <c r="AB4" s="14">
        <f>+SUM(AB5:AB12)</f>
        <v>8</v>
      </c>
      <c r="AI4" s="14">
        <f>+SUM(AI5:AI12)</f>
        <v>8</v>
      </c>
      <c r="AP4" s="14">
        <f>+SUM(AP5:AP12)</f>
        <v>8</v>
      </c>
      <c r="AW4" s="14">
        <f>+SUM(AW5:AW12)</f>
        <v>8</v>
      </c>
      <c r="BD4" s="14">
        <f>+SUM(BD5:BD12)</f>
        <v>8</v>
      </c>
      <c r="BK4" s="14">
        <f>+SUM(BK5:BK12)</f>
        <v>10</v>
      </c>
      <c r="BR4" s="14">
        <f>+SUM(BR5:BR12)</f>
        <v>8</v>
      </c>
      <c r="BY4" s="14">
        <f>+SUM(BY5:BY12)</f>
        <v>5</v>
      </c>
      <c r="CF4" s="14">
        <f>+SUM(CF5:CF12)</f>
        <v>5</v>
      </c>
      <c r="CM4" s="14">
        <f>+SUM(CM5:CM12)</f>
        <v>5</v>
      </c>
      <c r="CT4" s="14">
        <f>+SUM(CT5:CT12)</f>
        <v>5</v>
      </c>
      <c r="DA4" s="14">
        <f>+SUM(DA5:DA12)</f>
        <v>5</v>
      </c>
      <c r="DH4" s="14">
        <f>+SUM(DH5:DH12)</f>
        <v>5</v>
      </c>
      <c r="DO4" s="14">
        <f>+SUM(DO5:DO12)</f>
        <v>0</v>
      </c>
      <c r="DV4" s="14">
        <f>+SUM(DV5:DV12)</f>
        <v>0</v>
      </c>
      <c r="EC4" s="14">
        <f>+SUM(EC5:EC12)</f>
        <v>0</v>
      </c>
    </row>
    <row r="5" spans="2:138" outlineLevel="1">
      <c r="B5" t="s">
        <v>28</v>
      </c>
      <c r="E5" s="11"/>
      <c r="F5" t="s">
        <v>49</v>
      </c>
      <c r="G5" s="12">
        <v>0.125</v>
      </c>
      <c r="I5" s="11">
        <f>+SUMIF($N$3:$ZZ$3,I$3,$N5:$ZZ5)</f>
        <v>13</v>
      </c>
      <c r="J5" s="13">
        <f t="shared" ref="J5:K12" si="0">+_xlfn.MAXIFS($N5:$ZF5,$N$3:$ZF$3,J$3)</f>
        <v>0.5</v>
      </c>
      <c r="K5" s="13">
        <f t="shared" si="0"/>
        <v>0.5</v>
      </c>
      <c r="L5" s="11"/>
      <c r="N5">
        <v>4</v>
      </c>
      <c r="O5" s="12">
        <v>0.5</v>
      </c>
      <c r="P5" s="12">
        <v>0.5</v>
      </c>
      <c r="Q5" s="12">
        <v>0.5</v>
      </c>
      <c r="R5" s="12">
        <v>0.5</v>
      </c>
      <c r="V5" s="12"/>
      <c r="W5" s="12">
        <v>0.5</v>
      </c>
      <c r="X5" s="12"/>
      <c r="Y5" s="12">
        <v>0.5</v>
      </c>
      <c r="AB5">
        <v>4</v>
      </c>
      <c r="AC5" s="12"/>
      <c r="AD5" s="12">
        <v>0.8</v>
      </c>
      <c r="AE5" s="12"/>
      <c r="AF5" s="12">
        <v>0.8</v>
      </c>
      <c r="AJ5" s="12"/>
      <c r="AK5" s="12">
        <v>0.8</v>
      </c>
      <c r="AL5" s="12"/>
      <c r="AM5" s="12">
        <v>0.8</v>
      </c>
      <c r="AQ5" s="12"/>
      <c r="AR5" s="12">
        <v>0.8</v>
      </c>
      <c r="AS5" s="12"/>
      <c r="AT5" s="12">
        <v>0.8</v>
      </c>
      <c r="AX5" s="12"/>
      <c r="AY5" s="12">
        <v>0.8</v>
      </c>
      <c r="AZ5" s="12"/>
      <c r="BA5" s="12">
        <v>0.8</v>
      </c>
      <c r="BE5" s="12"/>
      <c r="BF5" s="12">
        <v>0.8</v>
      </c>
      <c r="BG5" s="12"/>
      <c r="BH5" s="12">
        <v>0.8</v>
      </c>
      <c r="BK5">
        <v>5</v>
      </c>
      <c r="BL5" s="12"/>
      <c r="BM5" s="12">
        <v>1</v>
      </c>
      <c r="BN5" s="12"/>
      <c r="BO5" s="12">
        <v>1</v>
      </c>
      <c r="BS5" s="12"/>
      <c r="BT5" s="12">
        <v>1</v>
      </c>
      <c r="BU5" s="12"/>
      <c r="BV5" s="12">
        <v>1</v>
      </c>
      <c r="BZ5" s="12"/>
      <c r="CA5" s="12">
        <v>1</v>
      </c>
      <c r="CB5" s="12"/>
      <c r="CC5" s="12">
        <v>1</v>
      </c>
      <c r="CG5" s="12"/>
      <c r="CH5" s="12">
        <v>1</v>
      </c>
      <c r="CI5" s="12"/>
      <c r="CJ5" s="12">
        <v>1</v>
      </c>
      <c r="CN5" s="12"/>
      <c r="CO5" s="12">
        <v>1</v>
      </c>
      <c r="CP5" s="12"/>
      <c r="CQ5" s="12">
        <v>1</v>
      </c>
      <c r="CU5" s="12"/>
      <c r="CV5" s="12">
        <v>1</v>
      </c>
      <c r="CW5" s="12"/>
      <c r="CX5" s="12">
        <v>1</v>
      </c>
      <c r="DB5" s="12"/>
      <c r="DC5" s="12">
        <v>1</v>
      </c>
      <c r="DD5" s="12"/>
      <c r="DE5" s="12">
        <v>1</v>
      </c>
      <c r="DI5" s="12"/>
      <c r="DJ5" s="12">
        <v>1</v>
      </c>
      <c r="DK5" s="12"/>
      <c r="DL5" s="12">
        <v>1</v>
      </c>
      <c r="DO5" s="19" t="s">
        <v>73</v>
      </c>
      <c r="DP5" s="20"/>
      <c r="DQ5" s="20"/>
      <c r="DR5" s="20"/>
      <c r="DS5" s="20"/>
      <c r="DT5" s="20"/>
      <c r="DV5" s="19" t="s">
        <v>73</v>
      </c>
      <c r="DW5" s="20"/>
      <c r="DX5" s="20"/>
      <c r="DY5" s="20"/>
      <c r="DZ5" s="20"/>
      <c r="EA5" s="20"/>
      <c r="ED5" s="12"/>
      <c r="EE5" s="12"/>
      <c r="EF5" s="12"/>
      <c r="EG5" s="12"/>
    </row>
    <row r="6" spans="2:138" outlineLevel="1">
      <c r="B6" t="s">
        <v>28</v>
      </c>
      <c r="E6" s="11"/>
      <c r="F6" t="s">
        <v>50</v>
      </c>
      <c r="G6" s="12">
        <v>0.125</v>
      </c>
      <c r="I6" s="11">
        <f t="shared" ref="I6:I12" si="1">+SUMIF($N$3:$ZZ$3,I$3,$N6:$ZZ6)</f>
        <v>13</v>
      </c>
      <c r="J6" s="13">
        <f t="shared" si="0"/>
        <v>0.5</v>
      </c>
      <c r="K6" s="13">
        <f t="shared" si="0"/>
        <v>0.5</v>
      </c>
      <c r="L6" s="11"/>
      <c r="N6">
        <v>4</v>
      </c>
      <c r="O6" s="12">
        <v>0.5</v>
      </c>
      <c r="P6" s="12">
        <v>0.5</v>
      </c>
      <c r="Q6" s="12">
        <v>0.5</v>
      </c>
      <c r="R6" s="12">
        <v>0.5</v>
      </c>
      <c r="V6" s="12"/>
      <c r="W6" s="12">
        <v>0.5</v>
      </c>
      <c r="X6" s="12"/>
      <c r="Y6" s="12">
        <v>0.5</v>
      </c>
      <c r="AC6" s="12"/>
      <c r="AD6" s="12">
        <v>0.5</v>
      </c>
      <c r="AE6" s="12"/>
      <c r="AF6" s="12">
        <v>0.5</v>
      </c>
      <c r="AI6">
        <v>4</v>
      </c>
      <c r="AJ6" s="12"/>
      <c r="AK6" s="12">
        <v>0.8</v>
      </c>
      <c r="AL6" s="12"/>
      <c r="AM6" s="12">
        <v>0.8</v>
      </c>
      <c r="AQ6" s="12"/>
      <c r="AR6" s="12">
        <v>0.8</v>
      </c>
      <c r="AS6" s="12"/>
      <c r="AT6" s="12">
        <v>0.8</v>
      </c>
      <c r="AX6" s="12"/>
      <c r="AY6" s="12">
        <v>0.8</v>
      </c>
      <c r="AZ6" s="12"/>
      <c r="BA6" s="12">
        <v>0.8</v>
      </c>
      <c r="BE6" s="12"/>
      <c r="BF6" s="12">
        <v>0.8</v>
      </c>
      <c r="BG6" s="12"/>
      <c r="BH6" s="12">
        <v>0.8</v>
      </c>
      <c r="BK6">
        <v>5</v>
      </c>
      <c r="BL6" s="12"/>
      <c r="BM6" s="12">
        <v>1</v>
      </c>
      <c r="BN6" s="12"/>
      <c r="BO6" s="12">
        <v>1</v>
      </c>
      <c r="BS6" s="12"/>
      <c r="BT6" s="12">
        <v>1</v>
      </c>
      <c r="BU6" s="12"/>
      <c r="BV6" s="12">
        <v>1</v>
      </c>
      <c r="BZ6" s="12"/>
      <c r="CA6" s="12">
        <v>1</v>
      </c>
      <c r="CB6" s="12"/>
      <c r="CC6" s="12">
        <v>1</v>
      </c>
      <c r="CG6" s="12"/>
      <c r="CH6" s="12">
        <v>1</v>
      </c>
      <c r="CI6" s="12"/>
      <c r="CJ6" s="12">
        <v>1</v>
      </c>
      <c r="CN6" s="12"/>
      <c r="CO6" s="12">
        <v>1</v>
      </c>
      <c r="CP6" s="12"/>
      <c r="CQ6" s="12">
        <v>1</v>
      </c>
      <c r="CU6" s="12"/>
      <c r="CV6" s="12">
        <v>1</v>
      </c>
      <c r="CW6" s="12"/>
      <c r="CX6" s="12">
        <v>1</v>
      </c>
      <c r="DB6" s="12"/>
      <c r="DC6" s="12">
        <v>1</v>
      </c>
      <c r="DD6" s="12"/>
      <c r="DE6" s="12">
        <v>1</v>
      </c>
      <c r="DI6" s="12"/>
      <c r="DJ6" s="12">
        <v>1</v>
      </c>
      <c r="DK6" s="12"/>
      <c r="DL6" s="12">
        <v>1</v>
      </c>
      <c r="DO6" s="20"/>
      <c r="DP6" s="20"/>
      <c r="DQ6" s="20"/>
      <c r="DR6" s="20"/>
      <c r="DS6" s="20"/>
      <c r="DT6" s="20"/>
      <c r="DV6" s="20"/>
      <c r="DW6" s="20"/>
      <c r="DX6" s="20"/>
      <c r="DY6" s="20"/>
      <c r="DZ6" s="20"/>
      <c r="EA6" s="20"/>
      <c r="ED6" s="12"/>
      <c r="EE6" s="12"/>
      <c r="EF6" s="12"/>
      <c r="EG6" s="12"/>
    </row>
    <row r="7" spans="2:138" outlineLevel="1">
      <c r="B7" t="s">
        <v>28</v>
      </c>
      <c r="E7" s="11"/>
      <c r="F7" t="s">
        <v>51</v>
      </c>
      <c r="G7" s="12">
        <v>0.125</v>
      </c>
      <c r="I7" s="11">
        <f t="shared" si="1"/>
        <v>13</v>
      </c>
      <c r="J7" s="13">
        <f t="shared" si="0"/>
        <v>0</v>
      </c>
      <c r="K7" s="13">
        <f t="shared" si="0"/>
        <v>0</v>
      </c>
      <c r="L7" s="11"/>
      <c r="O7" s="12"/>
      <c r="P7" s="12"/>
      <c r="Q7" s="12"/>
      <c r="R7" s="12"/>
      <c r="U7">
        <v>4</v>
      </c>
      <c r="V7" s="12"/>
      <c r="W7" s="12">
        <v>0.5</v>
      </c>
      <c r="X7" s="12"/>
      <c r="Y7" s="12">
        <v>0.5</v>
      </c>
      <c r="AC7" s="12"/>
      <c r="AD7" s="12">
        <v>0.5</v>
      </c>
      <c r="AE7" s="12"/>
      <c r="AF7" s="12">
        <v>0.5</v>
      </c>
      <c r="AJ7" s="12"/>
      <c r="AK7" s="12">
        <v>0.5</v>
      </c>
      <c r="AL7" s="12"/>
      <c r="AM7" s="12">
        <v>0.5</v>
      </c>
      <c r="AP7">
        <v>4</v>
      </c>
      <c r="AQ7" s="12"/>
      <c r="AR7" s="12">
        <v>0.8</v>
      </c>
      <c r="AS7" s="12"/>
      <c r="AT7" s="12">
        <v>0.8</v>
      </c>
      <c r="AX7" s="12"/>
      <c r="AY7" s="12">
        <v>0.8</v>
      </c>
      <c r="AZ7" s="12"/>
      <c r="BA7" s="12">
        <v>0.8</v>
      </c>
      <c r="BE7" s="12"/>
      <c r="BF7" s="12">
        <v>0.8</v>
      </c>
      <c r="BG7" s="12"/>
      <c r="BH7" s="12">
        <v>0.8</v>
      </c>
      <c r="BL7" s="12"/>
      <c r="BM7" s="12">
        <v>0.8</v>
      </c>
      <c r="BN7" s="12"/>
      <c r="BO7" s="12">
        <v>0.8</v>
      </c>
      <c r="BS7" s="12"/>
      <c r="BT7" s="12">
        <v>0.8</v>
      </c>
      <c r="BU7" s="12"/>
      <c r="BV7" s="12">
        <v>0.8</v>
      </c>
      <c r="BY7">
        <v>5</v>
      </c>
      <c r="BZ7" s="12"/>
      <c r="CA7" s="12">
        <v>1</v>
      </c>
      <c r="CB7" s="12"/>
      <c r="CC7" s="12">
        <v>1</v>
      </c>
      <c r="CG7" s="12"/>
      <c r="CH7" s="12">
        <v>1</v>
      </c>
      <c r="CI7" s="12"/>
      <c r="CJ7" s="12">
        <v>1</v>
      </c>
      <c r="CN7" s="12"/>
      <c r="CO7" s="12">
        <v>1</v>
      </c>
      <c r="CP7" s="12"/>
      <c r="CQ7" s="12">
        <v>1</v>
      </c>
      <c r="CU7" s="12"/>
      <c r="CV7" s="12">
        <v>1</v>
      </c>
      <c r="CW7" s="12"/>
      <c r="CX7" s="12">
        <v>1</v>
      </c>
      <c r="DB7" s="12"/>
      <c r="DC7" s="12">
        <v>1</v>
      </c>
      <c r="DD7" s="12"/>
      <c r="DE7" s="12">
        <v>1</v>
      </c>
      <c r="DI7" s="12"/>
      <c r="DJ7" s="12">
        <v>1</v>
      </c>
      <c r="DK7" s="12"/>
      <c r="DL7" s="12">
        <v>1</v>
      </c>
      <c r="DO7" s="20"/>
      <c r="DP7" s="20"/>
      <c r="DQ7" s="20"/>
      <c r="DR7" s="20"/>
      <c r="DS7" s="20"/>
      <c r="DT7" s="20"/>
      <c r="DV7" s="20"/>
      <c r="DW7" s="20"/>
      <c r="DX7" s="20"/>
      <c r="DY7" s="20"/>
      <c r="DZ7" s="20"/>
      <c r="EA7" s="20"/>
      <c r="ED7" s="12"/>
      <c r="EE7" s="12"/>
      <c r="EF7" s="12"/>
      <c r="EG7" s="12"/>
    </row>
    <row r="8" spans="2:138" outlineLevel="1">
      <c r="B8" t="s">
        <v>28</v>
      </c>
      <c r="E8" s="11"/>
      <c r="F8" t="s">
        <v>52</v>
      </c>
      <c r="G8" s="12">
        <v>0.125</v>
      </c>
      <c r="I8" s="11">
        <f t="shared" si="1"/>
        <v>13</v>
      </c>
      <c r="J8" s="13">
        <f t="shared" si="0"/>
        <v>0</v>
      </c>
      <c r="K8" s="13">
        <f t="shared" si="0"/>
        <v>0</v>
      </c>
      <c r="L8" s="11"/>
      <c r="O8" s="12"/>
      <c r="P8" s="12"/>
      <c r="Q8" s="12"/>
      <c r="R8" s="12"/>
      <c r="U8">
        <v>4</v>
      </c>
      <c r="V8" s="12"/>
      <c r="W8" s="12">
        <v>0.5</v>
      </c>
      <c r="X8" s="12"/>
      <c r="Y8" s="12">
        <v>0.5</v>
      </c>
      <c r="AC8" s="12"/>
      <c r="AD8" s="12">
        <v>0.5</v>
      </c>
      <c r="AE8" s="12"/>
      <c r="AF8" s="12">
        <v>0.5</v>
      </c>
      <c r="AJ8" s="12"/>
      <c r="AK8" s="12">
        <v>0.5</v>
      </c>
      <c r="AL8" s="12"/>
      <c r="AM8" s="12">
        <v>0.5</v>
      </c>
      <c r="AQ8" s="12"/>
      <c r="AR8" s="12">
        <v>0.5</v>
      </c>
      <c r="AS8" s="12"/>
      <c r="AT8" s="12">
        <v>0.5</v>
      </c>
      <c r="AW8">
        <v>4</v>
      </c>
      <c r="AX8" s="12"/>
      <c r="AY8" s="12">
        <v>0.8</v>
      </c>
      <c r="AZ8" s="12"/>
      <c r="BA8" s="12">
        <v>0.8</v>
      </c>
      <c r="BE8" s="12"/>
      <c r="BF8" s="12">
        <v>0.8</v>
      </c>
      <c r="BG8" s="12"/>
      <c r="BH8" s="12">
        <v>0.8</v>
      </c>
      <c r="BL8" s="12"/>
      <c r="BM8" s="12">
        <v>0.8</v>
      </c>
      <c r="BN8" s="12"/>
      <c r="BO8" s="12">
        <v>0.8</v>
      </c>
      <c r="BS8" s="12"/>
      <c r="BT8" s="12">
        <v>0.8</v>
      </c>
      <c r="BU8" s="12"/>
      <c r="BV8" s="12">
        <v>0.8</v>
      </c>
      <c r="BZ8" s="12"/>
      <c r="CA8" s="12">
        <v>0.8</v>
      </c>
      <c r="CB8" s="12"/>
      <c r="CC8" s="12">
        <v>0.8</v>
      </c>
      <c r="CF8">
        <v>5</v>
      </c>
      <c r="CG8" s="12"/>
      <c r="CH8" s="12">
        <v>1</v>
      </c>
      <c r="CI8" s="12"/>
      <c r="CJ8" s="12">
        <v>1</v>
      </c>
      <c r="CN8" s="12"/>
      <c r="CO8" s="12">
        <v>1</v>
      </c>
      <c r="CP8" s="12"/>
      <c r="CQ8" s="12">
        <v>1</v>
      </c>
      <c r="CU8" s="12"/>
      <c r="CV8" s="12">
        <v>1</v>
      </c>
      <c r="CW8" s="12"/>
      <c r="CX8" s="12">
        <v>1</v>
      </c>
      <c r="DB8" s="12"/>
      <c r="DC8" s="12">
        <v>1</v>
      </c>
      <c r="DD8" s="12"/>
      <c r="DE8" s="12">
        <v>1</v>
      </c>
      <c r="DI8" s="12"/>
      <c r="DJ8" s="12">
        <v>1</v>
      </c>
      <c r="DK8" s="12"/>
      <c r="DL8" s="12">
        <v>1</v>
      </c>
      <c r="DO8" s="20"/>
      <c r="DP8" s="20"/>
      <c r="DQ8" s="20"/>
      <c r="DR8" s="20"/>
      <c r="DS8" s="20"/>
      <c r="DT8" s="20"/>
      <c r="DV8" s="20"/>
      <c r="DW8" s="20"/>
      <c r="DX8" s="20"/>
      <c r="DY8" s="20"/>
      <c r="DZ8" s="20"/>
      <c r="EA8" s="20"/>
      <c r="ED8" s="12"/>
      <c r="EE8" s="12"/>
      <c r="EF8" s="12"/>
      <c r="EG8" s="12"/>
    </row>
    <row r="9" spans="2:138" outlineLevel="1">
      <c r="B9" t="s">
        <v>28</v>
      </c>
      <c r="E9" s="11"/>
      <c r="F9" t="s">
        <v>53</v>
      </c>
      <c r="G9" s="12">
        <v>0.125</v>
      </c>
      <c r="I9" s="11">
        <f t="shared" si="1"/>
        <v>13</v>
      </c>
      <c r="J9" s="13">
        <f t="shared" si="0"/>
        <v>0</v>
      </c>
      <c r="K9" s="13">
        <f t="shared" si="0"/>
        <v>0</v>
      </c>
      <c r="L9" s="11"/>
      <c r="O9" s="12"/>
      <c r="P9" s="12"/>
      <c r="Q9" s="12"/>
      <c r="R9" s="12"/>
      <c r="V9" s="12"/>
      <c r="W9" s="12"/>
      <c r="X9" s="12"/>
      <c r="Y9" s="12"/>
      <c r="AB9">
        <v>4</v>
      </c>
      <c r="AC9" s="12"/>
      <c r="AD9" s="12">
        <v>0.5</v>
      </c>
      <c r="AE9" s="12"/>
      <c r="AF9" s="12">
        <v>0.5</v>
      </c>
      <c r="AJ9" s="12"/>
      <c r="AK9" s="12">
        <v>0.5</v>
      </c>
      <c r="AL9" s="12"/>
      <c r="AM9" s="12">
        <v>0.5</v>
      </c>
      <c r="AQ9" s="12"/>
      <c r="AR9" s="12">
        <v>0.5</v>
      </c>
      <c r="AS9" s="12"/>
      <c r="AT9" s="12">
        <v>0.5</v>
      </c>
      <c r="AX9" s="12"/>
      <c r="AY9" s="12">
        <v>0.5</v>
      </c>
      <c r="AZ9" s="12"/>
      <c r="BA9" s="12">
        <v>0.5</v>
      </c>
      <c r="BD9">
        <v>4</v>
      </c>
      <c r="BE9" s="12"/>
      <c r="BF9" s="12">
        <v>0.8</v>
      </c>
      <c r="BG9" s="12"/>
      <c r="BH9" s="12">
        <v>0.8</v>
      </c>
      <c r="BL9" s="12"/>
      <c r="BM9" s="12">
        <v>0.8</v>
      </c>
      <c r="BN9" s="12"/>
      <c r="BO9" s="12">
        <v>0.8</v>
      </c>
      <c r="BS9" s="12"/>
      <c r="BT9" s="12">
        <v>0.8</v>
      </c>
      <c r="BU9" s="12"/>
      <c r="BV9" s="12">
        <v>0.8</v>
      </c>
      <c r="BZ9" s="12"/>
      <c r="CA9" s="12">
        <v>0.8</v>
      </c>
      <c r="CB9" s="12"/>
      <c r="CC9" s="12">
        <v>0.8</v>
      </c>
      <c r="CG9" s="12"/>
      <c r="CH9" s="12">
        <v>0.8</v>
      </c>
      <c r="CI9" s="12"/>
      <c r="CJ9" s="12">
        <v>0.8</v>
      </c>
      <c r="CM9">
        <v>5</v>
      </c>
      <c r="CN9" s="12"/>
      <c r="CO9" s="12">
        <v>1</v>
      </c>
      <c r="CP9" s="12"/>
      <c r="CQ9" s="12">
        <v>1</v>
      </c>
      <c r="CU9" s="12"/>
      <c r="CV9" s="12">
        <v>1</v>
      </c>
      <c r="CW9" s="12"/>
      <c r="CX9" s="12">
        <v>1</v>
      </c>
      <c r="DB9" s="12"/>
      <c r="DC9" s="12">
        <v>1</v>
      </c>
      <c r="DD9" s="12"/>
      <c r="DE9" s="12">
        <v>1</v>
      </c>
      <c r="DI9" s="12"/>
      <c r="DJ9" s="12">
        <v>1</v>
      </c>
      <c r="DK9" s="12"/>
      <c r="DL9" s="12">
        <v>1</v>
      </c>
      <c r="DO9" s="20"/>
      <c r="DP9" s="20"/>
      <c r="DQ9" s="20"/>
      <c r="DR9" s="20"/>
      <c r="DS9" s="20"/>
      <c r="DT9" s="20"/>
      <c r="DV9" s="20"/>
      <c r="DW9" s="20"/>
      <c r="DX9" s="20"/>
      <c r="DY9" s="20"/>
      <c r="DZ9" s="20"/>
      <c r="EA9" s="20"/>
      <c r="ED9" s="12"/>
      <c r="EE9" s="12"/>
      <c r="EF9" s="12"/>
      <c r="EG9" s="12"/>
    </row>
    <row r="10" spans="2:138" outlineLevel="1">
      <c r="B10" t="s">
        <v>28</v>
      </c>
      <c r="E10" s="11"/>
      <c r="F10" t="s">
        <v>54</v>
      </c>
      <c r="G10" s="12">
        <v>0.125</v>
      </c>
      <c r="I10" s="11">
        <f t="shared" si="1"/>
        <v>13</v>
      </c>
      <c r="J10" s="13">
        <f t="shared" si="0"/>
        <v>0</v>
      </c>
      <c r="K10" s="13">
        <f t="shared" si="0"/>
        <v>0</v>
      </c>
      <c r="L10" s="11"/>
      <c r="O10" s="12"/>
      <c r="P10" s="12"/>
      <c r="Q10" s="12"/>
      <c r="R10" s="12"/>
      <c r="V10" s="12"/>
      <c r="W10" s="12"/>
      <c r="X10" s="12"/>
      <c r="Y10" s="12"/>
      <c r="AC10" s="12"/>
      <c r="AD10" s="12"/>
      <c r="AE10" s="12"/>
      <c r="AF10" s="12"/>
      <c r="AI10">
        <v>4</v>
      </c>
      <c r="AJ10" s="12"/>
      <c r="AK10" s="12">
        <v>0.5</v>
      </c>
      <c r="AL10" s="12"/>
      <c r="AM10" s="12">
        <v>0.5</v>
      </c>
      <c r="AQ10" s="12"/>
      <c r="AR10" s="12">
        <v>0.5</v>
      </c>
      <c r="AS10" s="12"/>
      <c r="AT10" s="12">
        <v>0.5</v>
      </c>
      <c r="AX10" s="12"/>
      <c r="AY10" s="12">
        <v>0.5</v>
      </c>
      <c r="AZ10" s="12"/>
      <c r="BA10" s="12">
        <v>0.5</v>
      </c>
      <c r="BD10">
        <v>4</v>
      </c>
      <c r="BE10" s="12"/>
      <c r="BF10" s="12">
        <v>0.8</v>
      </c>
      <c r="BG10" s="12"/>
      <c r="BH10" s="12">
        <v>0.8</v>
      </c>
      <c r="BL10" s="12"/>
      <c r="BM10" s="12">
        <v>0.8</v>
      </c>
      <c r="BN10" s="12"/>
      <c r="BO10" s="12">
        <v>0.8</v>
      </c>
      <c r="BS10" s="12"/>
      <c r="BT10" s="12">
        <v>0.8</v>
      </c>
      <c r="BU10" s="12"/>
      <c r="BV10" s="12">
        <v>0.8</v>
      </c>
      <c r="BZ10" s="12"/>
      <c r="CA10" s="12">
        <v>0.8</v>
      </c>
      <c r="CB10" s="12"/>
      <c r="CC10" s="12">
        <v>0.8</v>
      </c>
      <c r="CG10" s="12"/>
      <c r="CH10" s="12">
        <v>0.8</v>
      </c>
      <c r="CI10" s="12"/>
      <c r="CJ10" s="12">
        <v>0.8</v>
      </c>
      <c r="CN10" s="12"/>
      <c r="CO10" s="12">
        <v>0.8</v>
      </c>
      <c r="CP10" s="12"/>
      <c r="CQ10" s="12">
        <v>0.8</v>
      </c>
      <c r="CT10">
        <v>5</v>
      </c>
      <c r="CU10" s="12"/>
      <c r="CV10" s="12">
        <v>1</v>
      </c>
      <c r="CW10" s="12"/>
      <c r="CX10" s="12">
        <v>1</v>
      </c>
      <c r="DB10" s="12"/>
      <c r="DC10" s="12">
        <v>1</v>
      </c>
      <c r="DD10" s="12"/>
      <c r="DE10" s="12">
        <v>1</v>
      </c>
      <c r="DI10" s="12"/>
      <c r="DJ10" s="12">
        <v>1</v>
      </c>
      <c r="DK10" s="12"/>
      <c r="DL10" s="12">
        <v>1</v>
      </c>
      <c r="DO10" s="20"/>
      <c r="DP10" s="20"/>
      <c r="DQ10" s="20"/>
      <c r="DR10" s="20"/>
      <c r="DS10" s="20"/>
      <c r="DT10" s="20"/>
      <c r="DV10" s="20"/>
      <c r="DW10" s="20"/>
      <c r="DX10" s="20"/>
      <c r="DY10" s="20"/>
      <c r="DZ10" s="20"/>
      <c r="EA10" s="20"/>
      <c r="ED10" s="12"/>
      <c r="EE10" s="12"/>
      <c r="EF10" s="12"/>
      <c r="EG10" s="12"/>
    </row>
    <row r="11" spans="2:138" outlineLevel="1">
      <c r="B11" t="s">
        <v>28</v>
      </c>
      <c r="E11" s="11"/>
      <c r="F11" t="s">
        <v>55</v>
      </c>
      <c r="G11" s="12">
        <v>0.125</v>
      </c>
      <c r="I11" s="11">
        <f t="shared" si="1"/>
        <v>13</v>
      </c>
      <c r="J11" s="13">
        <f t="shared" si="0"/>
        <v>0</v>
      </c>
      <c r="K11" s="13">
        <f t="shared" si="0"/>
        <v>0</v>
      </c>
      <c r="L11" s="11"/>
      <c r="O11" s="12"/>
      <c r="P11" s="12"/>
      <c r="Q11" s="12"/>
      <c r="R11" s="12"/>
      <c r="V11" s="12"/>
      <c r="W11" s="12"/>
      <c r="X11" s="12"/>
      <c r="Y11" s="12"/>
      <c r="AC11" s="12"/>
      <c r="AD11" s="12"/>
      <c r="AE11" s="12"/>
      <c r="AF11" s="12"/>
      <c r="AJ11" s="12"/>
      <c r="AK11" s="12"/>
      <c r="AL11" s="12"/>
      <c r="AM11" s="12"/>
      <c r="AP11">
        <v>4</v>
      </c>
      <c r="AQ11" s="12"/>
      <c r="AR11" s="12">
        <v>0.5</v>
      </c>
      <c r="AS11" s="12"/>
      <c r="AT11" s="12">
        <v>0.5</v>
      </c>
      <c r="AX11" s="12"/>
      <c r="AY11" s="12">
        <v>0.5</v>
      </c>
      <c r="AZ11" s="12"/>
      <c r="BA11" s="12">
        <v>0.5</v>
      </c>
      <c r="BE11" s="12"/>
      <c r="BF11" s="12">
        <v>0.5</v>
      </c>
      <c r="BG11" s="12"/>
      <c r="BH11" s="12">
        <v>0.5</v>
      </c>
      <c r="BL11" s="12"/>
      <c r="BM11" s="12">
        <v>0.5</v>
      </c>
      <c r="BN11" s="12"/>
      <c r="BO11" s="12">
        <v>0.5</v>
      </c>
      <c r="BR11">
        <v>4</v>
      </c>
      <c r="BS11" s="12"/>
      <c r="BT11" s="12">
        <v>0.8</v>
      </c>
      <c r="BU11" s="12"/>
      <c r="BV11" s="12">
        <v>0.8</v>
      </c>
      <c r="BZ11" s="12"/>
      <c r="CA11" s="12">
        <v>0.8</v>
      </c>
      <c r="CB11" s="12"/>
      <c r="CC11" s="12">
        <v>0.8</v>
      </c>
      <c r="CG11" s="12"/>
      <c r="CH11" s="12">
        <v>0.8</v>
      </c>
      <c r="CI11" s="12"/>
      <c r="CJ11" s="12">
        <v>0.8</v>
      </c>
      <c r="CN11" s="12"/>
      <c r="CO11" s="12">
        <v>0.8</v>
      </c>
      <c r="CP11" s="12"/>
      <c r="CQ11" s="12">
        <v>0.8</v>
      </c>
      <c r="CU11" s="12"/>
      <c r="CV11" s="12">
        <v>0.8</v>
      </c>
      <c r="CW11" s="12"/>
      <c r="CX11" s="12">
        <v>0.8</v>
      </c>
      <c r="DA11">
        <v>5</v>
      </c>
      <c r="DB11" s="12"/>
      <c r="DC11" s="12">
        <v>1</v>
      </c>
      <c r="DD11" s="12"/>
      <c r="DE11" s="12">
        <v>1</v>
      </c>
      <c r="DI11" s="12"/>
      <c r="DJ11" s="12">
        <v>1</v>
      </c>
      <c r="DK11" s="12"/>
      <c r="DL11" s="12">
        <v>1</v>
      </c>
      <c r="DO11" s="20"/>
      <c r="DP11" s="20"/>
      <c r="DQ11" s="20"/>
      <c r="DR11" s="20"/>
      <c r="DS11" s="20"/>
      <c r="DT11" s="20"/>
      <c r="DV11" s="20"/>
      <c r="DW11" s="20"/>
      <c r="DX11" s="20"/>
      <c r="DY11" s="20"/>
      <c r="DZ11" s="20"/>
      <c r="EA11" s="20"/>
      <c r="ED11" s="12"/>
      <c r="EE11" s="12"/>
      <c r="EF11" s="12"/>
      <c r="EG11" s="12"/>
    </row>
    <row r="12" spans="2:138" outlineLevel="1">
      <c r="B12" t="s">
        <v>28</v>
      </c>
      <c r="E12" s="11"/>
      <c r="F12" t="s">
        <v>56</v>
      </c>
      <c r="G12" s="12">
        <v>0.125</v>
      </c>
      <c r="I12" s="11">
        <f t="shared" si="1"/>
        <v>13</v>
      </c>
      <c r="J12" s="13">
        <f t="shared" si="0"/>
        <v>0</v>
      </c>
      <c r="K12" s="13">
        <f t="shared" si="0"/>
        <v>0</v>
      </c>
      <c r="L12" s="11"/>
      <c r="O12" s="12"/>
      <c r="P12" s="12"/>
      <c r="Q12" s="12"/>
      <c r="R12" s="12"/>
      <c r="V12" s="12"/>
      <c r="W12" s="12"/>
      <c r="X12" s="12"/>
      <c r="Y12" s="12"/>
      <c r="AC12" s="12"/>
      <c r="AD12" s="12"/>
      <c r="AE12" s="12"/>
      <c r="AF12" s="12"/>
      <c r="AJ12" s="12"/>
      <c r="AK12" s="12"/>
      <c r="AL12" s="12"/>
      <c r="AM12" s="12"/>
      <c r="AQ12" s="12"/>
      <c r="AR12" s="12"/>
      <c r="AS12" s="12"/>
      <c r="AT12" s="12"/>
      <c r="AW12">
        <v>4</v>
      </c>
      <c r="AX12" s="12"/>
      <c r="AY12" s="12">
        <v>0.5</v>
      </c>
      <c r="AZ12" s="12"/>
      <c r="BA12" s="12">
        <v>0.5</v>
      </c>
      <c r="BE12" s="12"/>
      <c r="BF12" s="12">
        <v>0.5</v>
      </c>
      <c r="BG12" s="12"/>
      <c r="BH12" s="12">
        <v>0.5</v>
      </c>
      <c r="BL12" s="12"/>
      <c r="BM12" s="12">
        <v>0.5</v>
      </c>
      <c r="BN12" s="12"/>
      <c r="BO12" s="12">
        <v>0.5</v>
      </c>
      <c r="BR12">
        <v>4</v>
      </c>
      <c r="BS12" s="12"/>
      <c r="BT12" s="12">
        <v>0.8</v>
      </c>
      <c r="BU12" s="12"/>
      <c r="BV12" s="12">
        <v>0.8</v>
      </c>
      <c r="BZ12" s="12"/>
      <c r="CA12" s="12">
        <v>0.8</v>
      </c>
      <c r="CB12" s="12"/>
      <c r="CC12" s="12">
        <v>0.8</v>
      </c>
      <c r="CG12" s="12"/>
      <c r="CH12" s="12">
        <v>0.8</v>
      </c>
      <c r="CI12" s="12"/>
      <c r="CJ12" s="12">
        <v>0.8</v>
      </c>
      <c r="CN12" s="12"/>
      <c r="CO12" s="12">
        <v>0.8</v>
      </c>
      <c r="CP12" s="12"/>
      <c r="CQ12" s="12">
        <v>0.8</v>
      </c>
      <c r="CU12" s="12"/>
      <c r="CV12" s="12">
        <v>0.8</v>
      </c>
      <c r="CW12" s="12"/>
      <c r="CX12" s="12">
        <v>0.8</v>
      </c>
      <c r="DB12" s="12"/>
      <c r="DC12" s="12">
        <v>0.8</v>
      </c>
      <c r="DD12" s="12"/>
      <c r="DE12" s="12">
        <v>0.8</v>
      </c>
      <c r="DH12">
        <v>5</v>
      </c>
      <c r="DI12" s="12"/>
      <c r="DJ12" s="12">
        <v>1</v>
      </c>
      <c r="DK12" s="12"/>
      <c r="DL12" s="12">
        <v>1</v>
      </c>
      <c r="DO12" s="20"/>
      <c r="DP12" s="20"/>
      <c r="DQ12" s="20"/>
      <c r="DR12" s="20"/>
      <c r="DS12" s="20"/>
      <c r="DT12" s="20"/>
      <c r="DV12" s="20"/>
      <c r="DW12" s="20"/>
      <c r="DX12" s="20"/>
      <c r="DY12" s="20"/>
      <c r="DZ12" s="20"/>
      <c r="EA12" s="20"/>
      <c r="ED12" s="12"/>
      <c r="EE12" s="12"/>
      <c r="EF12" s="12"/>
      <c r="EG12" s="12"/>
    </row>
    <row r="13" spans="2:138">
      <c r="O13" s="9"/>
      <c r="V13" s="9"/>
      <c r="AC13" s="9"/>
      <c r="AJ13" s="9"/>
      <c r="AQ13" s="9"/>
      <c r="AX13" s="9"/>
      <c r="BE13" s="9"/>
      <c r="BL13" s="9"/>
      <c r="BS13" s="9"/>
      <c r="BZ13" s="9"/>
      <c r="CG13" s="9"/>
      <c r="CN13" s="9"/>
      <c r="CU13" s="9"/>
      <c r="DB13" s="9"/>
      <c r="DI13" s="9"/>
      <c r="DP13" s="9"/>
      <c r="DW13" s="9"/>
      <c r="ED13" s="9"/>
    </row>
    <row r="14" spans="2:138">
      <c r="B14" t="s">
        <v>27</v>
      </c>
      <c r="C14" t="s">
        <v>75</v>
      </c>
      <c r="E14" s="11">
        <v>6</v>
      </c>
      <c r="G14" s="12">
        <f>+SUM(G15:G24)</f>
        <v>0.99999999999999989</v>
      </c>
      <c r="I14" s="14">
        <f>+SUM(I15:I24)</f>
        <v>90</v>
      </c>
      <c r="J14" s="13">
        <f>+SUMPRODUCT(G15:G24,J15:J24)</f>
        <v>0</v>
      </c>
      <c r="K14" s="13">
        <f>+SUMPRODUCT(G15:G24,K15:K24)</f>
        <v>0</v>
      </c>
      <c r="L14" s="11"/>
      <c r="N14" s="14">
        <f>+SUM(N15:N24)</f>
        <v>6</v>
      </c>
      <c r="U14" s="14">
        <f>+SUM(U15:U24)</f>
        <v>6</v>
      </c>
      <c r="AB14" s="14">
        <f>+SUM(AB15:AB25)</f>
        <v>6</v>
      </c>
      <c r="AI14" s="14">
        <f>+SUM(AI15:AI25)</f>
        <v>6</v>
      </c>
      <c r="AP14" s="14">
        <f>+SUM(AP15:AP24)</f>
        <v>6</v>
      </c>
      <c r="AW14" s="14">
        <f>+SUM(AW15:AW24)</f>
        <v>6</v>
      </c>
      <c r="BD14" s="14">
        <f>+SUM(BD15:BD24)</f>
        <v>6</v>
      </c>
      <c r="BK14" s="14">
        <f>+SUM(BK15:BK24)</f>
        <v>6</v>
      </c>
      <c r="BR14" s="14">
        <f>+SUM(BR15:BR24)</f>
        <v>6</v>
      </c>
      <c r="BY14" s="14">
        <f>+SUM(BY15:BY24)</f>
        <v>6</v>
      </c>
      <c r="CF14" s="14">
        <f>+SUM(CF15:CF24)</f>
        <v>6</v>
      </c>
      <c r="CM14" s="14">
        <f>+SUM(CM15:CM24)</f>
        <v>6</v>
      </c>
      <c r="CT14" s="14">
        <f>+SUM(CT15:CT24)</f>
        <v>6</v>
      </c>
      <c r="DA14" s="14">
        <f>+SUM(DA15:DA24)</f>
        <v>6</v>
      </c>
      <c r="DH14" s="14">
        <f>+SUM(DH15:DH24)</f>
        <v>6</v>
      </c>
    </row>
    <row r="15" spans="2:138" ht="15.75" customHeight="1" outlineLevel="1">
      <c r="B15" t="s">
        <v>28</v>
      </c>
      <c r="E15" s="11"/>
      <c r="F15" t="s">
        <v>76</v>
      </c>
      <c r="G15" s="12">
        <v>0.1</v>
      </c>
      <c r="I15" s="11">
        <f t="shared" ref="I15:I24" si="2">+SUMIF($N$3:$ZZ$3,I$3,$N15:$ZZ15)</f>
        <v>9</v>
      </c>
      <c r="J15" s="13">
        <f t="shared" ref="J15:K24" si="3">+_xlfn.MAXIFS($N15:$ZF15,$N$3:$ZF$3,J$3)</f>
        <v>0</v>
      </c>
      <c r="K15" s="13">
        <f t="shared" si="3"/>
        <v>0</v>
      </c>
      <c r="L15" s="11"/>
      <c r="N15">
        <v>3</v>
      </c>
      <c r="O15" s="12"/>
      <c r="P15" s="12">
        <v>0.5</v>
      </c>
      <c r="Q15" s="12"/>
      <c r="R15" s="12">
        <v>0.5</v>
      </c>
      <c r="V15" s="12"/>
      <c r="W15" s="12">
        <v>0.5</v>
      </c>
      <c r="X15" s="12"/>
      <c r="Y15" s="12">
        <v>0.5</v>
      </c>
      <c r="AC15" s="12"/>
      <c r="AD15" s="12">
        <v>0.5</v>
      </c>
      <c r="AE15" s="12"/>
      <c r="AF15" s="12">
        <v>0.5</v>
      </c>
      <c r="AI15">
        <v>3</v>
      </c>
      <c r="AJ15" s="12"/>
      <c r="AK15" s="12">
        <v>0.8</v>
      </c>
      <c r="AL15" s="12"/>
      <c r="AM15" s="12">
        <v>0.8</v>
      </c>
      <c r="AQ15" s="12"/>
      <c r="AR15" s="12">
        <v>0.8</v>
      </c>
      <c r="AS15" s="12"/>
      <c r="AT15" s="12">
        <v>0.8</v>
      </c>
      <c r="AX15" s="12"/>
      <c r="AY15" s="12">
        <v>0.8</v>
      </c>
      <c r="AZ15" s="12"/>
      <c r="BA15" s="12">
        <v>0.8</v>
      </c>
      <c r="BE15" s="12"/>
      <c r="BF15" s="12">
        <v>0.8</v>
      </c>
      <c r="BG15" s="12"/>
      <c r="BH15" s="12">
        <v>0.8</v>
      </c>
      <c r="BL15" s="12"/>
      <c r="BM15" s="12">
        <v>0.8</v>
      </c>
      <c r="BN15" s="12"/>
      <c r="BO15" s="12">
        <v>0.8</v>
      </c>
      <c r="BR15">
        <v>3</v>
      </c>
      <c r="BS15" s="12"/>
      <c r="BT15" s="12">
        <v>1</v>
      </c>
      <c r="BU15" s="12"/>
      <c r="BV15" s="12">
        <v>1</v>
      </c>
      <c r="BZ15" s="12"/>
      <c r="CA15" s="12">
        <v>1</v>
      </c>
      <c r="CB15" s="12"/>
      <c r="CC15" s="12">
        <v>1</v>
      </c>
      <c r="CG15" s="12"/>
      <c r="CH15" s="12">
        <v>1</v>
      </c>
      <c r="CI15" s="12"/>
      <c r="CJ15" s="12">
        <v>1</v>
      </c>
      <c r="CN15" s="12"/>
      <c r="CO15" s="12">
        <v>1</v>
      </c>
      <c r="CP15" s="12"/>
      <c r="CQ15" s="12">
        <v>1</v>
      </c>
      <c r="CU15" s="12"/>
      <c r="CV15" s="12">
        <v>1</v>
      </c>
      <c r="CW15" s="12"/>
      <c r="CX15" s="12">
        <v>1</v>
      </c>
      <c r="DB15" s="12"/>
      <c r="DC15" s="12">
        <v>1</v>
      </c>
      <c r="DD15" s="12"/>
      <c r="DE15" s="12">
        <v>1</v>
      </c>
      <c r="DI15" s="12"/>
      <c r="DJ15" s="12">
        <v>1</v>
      </c>
      <c r="DK15" s="12"/>
      <c r="DL15" s="12">
        <v>1</v>
      </c>
      <c r="DO15" s="19" t="s">
        <v>73</v>
      </c>
      <c r="DP15" s="19"/>
      <c r="DQ15" s="19"/>
      <c r="DR15" s="19"/>
      <c r="DS15" s="19"/>
      <c r="DT15" s="19"/>
      <c r="DV15" s="19" t="s">
        <v>73</v>
      </c>
      <c r="DW15" s="19"/>
      <c r="DX15" s="19"/>
      <c r="DY15" s="19"/>
      <c r="DZ15" s="19"/>
      <c r="EA15" s="19"/>
      <c r="ED15" s="12"/>
      <c r="EE15" s="12"/>
      <c r="EF15" s="12"/>
      <c r="EG15" s="12"/>
    </row>
    <row r="16" spans="2:138" outlineLevel="1">
      <c r="B16" t="s">
        <v>28</v>
      </c>
      <c r="E16" s="11"/>
      <c r="F16" t="s">
        <v>85</v>
      </c>
      <c r="G16" s="12">
        <v>0.1</v>
      </c>
      <c r="I16" s="11">
        <f t="shared" si="2"/>
        <v>9</v>
      </c>
      <c r="J16" s="13">
        <f t="shared" si="3"/>
        <v>0</v>
      </c>
      <c r="K16" s="13">
        <f t="shared" si="3"/>
        <v>0</v>
      </c>
      <c r="L16" s="11"/>
      <c r="N16">
        <v>3</v>
      </c>
      <c r="O16" s="12"/>
      <c r="P16" s="12">
        <v>0.5</v>
      </c>
      <c r="Q16" s="12"/>
      <c r="R16" s="12">
        <v>0.5</v>
      </c>
      <c r="V16" s="12"/>
      <c r="W16" s="12">
        <v>0.5</v>
      </c>
      <c r="X16" s="12"/>
      <c r="Y16" s="12">
        <v>0.5</v>
      </c>
      <c r="AC16" s="12"/>
      <c r="AD16" s="12">
        <v>0.5</v>
      </c>
      <c r="AE16" s="12"/>
      <c r="AF16" s="12">
        <v>0.5</v>
      </c>
      <c r="AJ16" s="12"/>
      <c r="AK16" s="12">
        <v>0.5</v>
      </c>
      <c r="AL16" s="12"/>
      <c r="AM16" s="12">
        <v>0.5</v>
      </c>
      <c r="AP16">
        <v>3</v>
      </c>
      <c r="AQ16" s="12"/>
      <c r="AR16" s="12">
        <v>0.8</v>
      </c>
      <c r="AS16" s="12"/>
      <c r="AT16" s="12">
        <v>0.8</v>
      </c>
      <c r="AX16" s="12"/>
      <c r="AY16" s="12">
        <v>0.8</v>
      </c>
      <c r="AZ16" s="12"/>
      <c r="BA16" s="12">
        <v>0.8</v>
      </c>
      <c r="BE16" s="12"/>
      <c r="BF16" s="12">
        <v>0.8</v>
      </c>
      <c r="BG16" s="12"/>
      <c r="BH16" s="12">
        <v>0.8</v>
      </c>
      <c r="BL16" s="12"/>
      <c r="BM16" s="12">
        <v>0.8</v>
      </c>
      <c r="BN16" s="12"/>
      <c r="BO16" s="12">
        <v>0.8</v>
      </c>
      <c r="BS16" s="12"/>
      <c r="BT16" s="12">
        <v>0.8</v>
      </c>
      <c r="BU16" s="12"/>
      <c r="BV16" s="12">
        <v>0.8</v>
      </c>
      <c r="BY16">
        <v>3</v>
      </c>
      <c r="BZ16" s="12"/>
      <c r="CA16" s="12">
        <v>1</v>
      </c>
      <c r="CB16" s="12"/>
      <c r="CC16" s="12">
        <v>1</v>
      </c>
      <c r="CG16" s="12"/>
      <c r="CH16" s="12">
        <v>1</v>
      </c>
      <c r="CI16" s="12"/>
      <c r="CJ16" s="12">
        <v>1</v>
      </c>
      <c r="CN16" s="12"/>
      <c r="CO16" s="12">
        <v>1</v>
      </c>
      <c r="CP16" s="12"/>
      <c r="CQ16" s="12">
        <v>1</v>
      </c>
      <c r="CU16" s="12"/>
      <c r="CV16" s="12">
        <v>1</v>
      </c>
      <c r="CW16" s="12"/>
      <c r="CX16" s="12">
        <v>1</v>
      </c>
      <c r="DB16" s="12"/>
      <c r="DC16" s="12">
        <v>1</v>
      </c>
      <c r="DD16" s="12"/>
      <c r="DE16" s="12">
        <v>1</v>
      </c>
      <c r="DI16" s="12"/>
      <c r="DJ16" s="12">
        <v>1</v>
      </c>
      <c r="DK16" s="12"/>
      <c r="DL16" s="12">
        <v>1</v>
      </c>
      <c r="DO16" s="19"/>
      <c r="DP16" s="19"/>
      <c r="DQ16" s="19"/>
      <c r="DR16" s="19"/>
      <c r="DS16" s="19"/>
      <c r="DT16" s="19"/>
      <c r="DV16" s="19"/>
      <c r="DW16" s="19"/>
      <c r="DX16" s="19"/>
      <c r="DY16" s="19"/>
      <c r="DZ16" s="19"/>
      <c r="EA16" s="19"/>
      <c r="ED16" s="12"/>
      <c r="EE16" s="12"/>
      <c r="EF16" s="12"/>
      <c r="EG16" s="12"/>
    </row>
    <row r="17" spans="2:137" outlineLevel="1">
      <c r="B17" t="s">
        <v>28</v>
      </c>
      <c r="E17" s="11"/>
      <c r="F17" t="s">
        <v>77</v>
      </c>
      <c r="G17" s="12">
        <v>0.1</v>
      </c>
      <c r="I17" s="11">
        <f t="shared" si="2"/>
        <v>9</v>
      </c>
      <c r="J17" s="13">
        <f t="shared" si="3"/>
        <v>0</v>
      </c>
      <c r="K17" s="13">
        <f t="shared" si="3"/>
        <v>0</v>
      </c>
      <c r="L17" s="11"/>
      <c r="O17" s="12"/>
      <c r="P17" s="12"/>
      <c r="Q17" s="12"/>
      <c r="R17" s="12"/>
      <c r="U17">
        <v>3</v>
      </c>
      <c r="V17" s="12"/>
      <c r="W17" s="12">
        <v>0.5</v>
      </c>
      <c r="X17" s="12"/>
      <c r="Y17" s="12">
        <v>0.5</v>
      </c>
      <c r="AC17" s="12"/>
      <c r="AD17" s="12">
        <v>0.5</v>
      </c>
      <c r="AE17" s="12"/>
      <c r="AF17" s="12">
        <v>0.5</v>
      </c>
      <c r="AJ17" s="12"/>
      <c r="AK17" s="12">
        <v>0.5</v>
      </c>
      <c r="AL17" s="12"/>
      <c r="AM17" s="12">
        <v>0.5</v>
      </c>
      <c r="AQ17" s="12"/>
      <c r="AR17" s="12">
        <v>0.5</v>
      </c>
      <c r="AS17" s="12"/>
      <c r="AT17" s="12">
        <v>0.5</v>
      </c>
      <c r="AW17">
        <v>3</v>
      </c>
      <c r="AX17" s="12"/>
      <c r="AY17" s="12">
        <v>0.8</v>
      </c>
      <c r="AZ17" s="12"/>
      <c r="BA17" s="12">
        <v>0.8</v>
      </c>
      <c r="BE17" s="12"/>
      <c r="BF17" s="12">
        <v>0.8</v>
      </c>
      <c r="BG17" s="12"/>
      <c r="BH17" s="12">
        <v>0.8</v>
      </c>
      <c r="BL17" s="12"/>
      <c r="BM17" s="12">
        <v>0.8</v>
      </c>
      <c r="BN17" s="12"/>
      <c r="BO17" s="12">
        <v>0.8</v>
      </c>
      <c r="BS17" s="12"/>
      <c r="BT17" s="12">
        <v>0.8</v>
      </c>
      <c r="BU17" s="12"/>
      <c r="BV17" s="12">
        <v>0.8</v>
      </c>
      <c r="BZ17" s="12"/>
      <c r="CA17" s="12">
        <v>0.8</v>
      </c>
      <c r="CB17" s="12"/>
      <c r="CC17" s="12">
        <v>0.8</v>
      </c>
      <c r="CF17">
        <v>3</v>
      </c>
      <c r="CG17" s="12"/>
      <c r="CH17" s="12">
        <v>1</v>
      </c>
      <c r="CI17" s="12"/>
      <c r="CJ17" s="12">
        <v>1</v>
      </c>
      <c r="CN17" s="12"/>
      <c r="CO17" s="12">
        <v>1</v>
      </c>
      <c r="CP17" s="12"/>
      <c r="CQ17" s="12">
        <v>1</v>
      </c>
      <c r="CU17" s="12"/>
      <c r="CV17" s="12">
        <v>1</v>
      </c>
      <c r="CW17" s="12"/>
      <c r="CX17" s="12">
        <v>1</v>
      </c>
      <c r="DB17" s="12"/>
      <c r="DC17" s="12">
        <v>1</v>
      </c>
      <c r="DD17" s="12"/>
      <c r="DE17" s="12">
        <v>1</v>
      </c>
      <c r="DI17" s="12"/>
      <c r="DJ17" s="12">
        <v>1</v>
      </c>
      <c r="DK17" s="12"/>
      <c r="DL17" s="12">
        <v>1</v>
      </c>
      <c r="DO17" s="19"/>
      <c r="DP17" s="19"/>
      <c r="DQ17" s="19"/>
      <c r="DR17" s="19"/>
      <c r="DS17" s="19"/>
      <c r="DT17" s="19"/>
      <c r="DV17" s="19"/>
      <c r="DW17" s="19"/>
      <c r="DX17" s="19"/>
      <c r="DY17" s="19"/>
      <c r="DZ17" s="19"/>
      <c r="EA17" s="19"/>
      <c r="ED17" s="12"/>
      <c r="EE17" s="12"/>
      <c r="EF17" s="12"/>
      <c r="EG17" s="12"/>
    </row>
    <row r="18" spans="2:137" outlineLevel="1">
      <c r="B18" t="s">
        <v>28</v>
      </c>
      <c r="E18" s="11"/>
      <c r="F18" t="s">
        <v>78</v>
      </c>
      <c r="G18" s="12">
        <v>0.1</v>
      </c>
      <c r="I18" s="11">
        <f t="shared" si="2"/>
        <v>9</v>
      </c>
      <c r="J18" s="13">
        <f t="shared" si="3"/>
        <v>0</v>
      </c>
      <c r="K18" s="13">
        <f t="shared" si="3"/>
        <v>0</v>
      </c>
      <c r="L18" s="11"/>
      <c r="O18" s="12"/>
      <c r="P18" s="12"/>
      <c r="Q18" s="12"/>
      <c r="R18" s="12"/>
      <c r="U18">
        <v>3</v>
      </c>
      <c r="V18" s="12"/>
      <c r="W18" s="12">
        <v>0.5</v>
      </c>
      <c r="X18" s="12"/>
      <c r="Y18" s="12">
        <v>0.5</v>
      </c>
      <c r="AC18" s="12"/>
      <c r="AD18" s="12">
        <v>0.5</v>
      </c>
      <c r="AE18" s="12"/>
      <c r="AF18" s="12">
        <v>0.5</v>
      </c>
      <c r="AJ18" s="12"/>
      <c r="AK18" s="12">
        <v>0.5</v>
      </c>
      <c r="AL18" s="12"/>
      <c r="AM18" s="12">
        <v>0.5</v>
      </c>
      <c r="AQ18" s="12"/>
      <c r="AR18" s="12">
        <v>0.5</v>
      </c>
      <c r="AS18" s="12"/>
      <c r="AT18" s="12">
        <v>0.5</v>
      </c>
      <c r="AX18" s="12"/>
      <c r="AY18" s="12">
        <v>0.5</v>
      </c>
      <c r="AZ18" s="12"/>
      <c r="BA18" s="12">
        <v>0.5</v>
      </c>
      <c r="BD18">
        <v>3</v>
      </c>
      <c r="BE18" s="12"/>
      <c r="BF18" s="12">
        <v>0.8</v>
      </c>
      <c r="BG18" s="12"/>
      <c r="BH18" s="12">
        <v>0.8</v>
      </c>
      <c r="BL18" s="12"/>
      <c r="BM18" s="12">
        <v>0.8</v>
      </c>
      <c r="BN18" s="12"/>
      <c r="BO18" s="12">
        <v>0.8</v>
      </c>
      <c r="BS18" s="12"/>
      <c r="BT18" s="12">
        <v>0.8</v>
      </c>
      <c r="BU18" s="12"/>
      <c r="BV18" s="12">
        <v>0.8</v>
      </c>
      <c r="BZ18" s="12"/>
      <c r="CA18" s="12">
        <v>0.8</v>
      </c>
      <c r="CB18" s="12"/>
      <c r="CC18" s="12">
        <v>0.8</v>
      </c>
      <c r="CG18" s="12"/>
      <c r="CH18" s="12">
        <v>0.8</v>
      </c>
      <c r="CI18" s="12"/>
      <c r="CJ18" s="12">
        <v>0.8</v>
      </c>
      <c r="CM18">
        <v>3</v>
      </c>
      <c r="CN18" s="12"/>
      <c r="CO18" s="12">
        <v>1</v>
      </c>
      <c r="CP18" s="12"/>
      <c r="CQ18" s="12">
        <v>1</v>
      </c>
      <c r="CU18" s="12"/>
      <c r="CV18" s="12">
        <v>1</v>
      </c>
      <c r="CW18" s="12"/>
      <c r="CX18" s="12">
        <v>1</v>
      </c>
      <c r="DB18" s="12"/>
      <c r="DC18" s="12">
        <v>1</v>
      </c>
      <c r="DD18" s="12"/>
      <c r="DE18" s="12">
        <v>1</v>
      </c>
      <c r="DI18" s="12"/>
      <c r="DJ18" s="12">
        <v>1</v>
      </c>
      <c r="DK18" s="12"/>
      <c r="DL18" s="12">
        <v>1</v>
      </c>
      <c r="DO18" s="19"/>
      <c r="DP18" s="19"/>
      <c r="DQ18" s="19"/>
      <c r="DR18" s="19"/>
      <c r="DS18" s="19"/>
      <c r="DT18" s="19"/>
      <c r="DV18" s="19"/>
      <c r="DW18" s="19"/>
      <c r="DX18" s="19"/>
      <c r="DY18" s="19"/>
      <c r="DZ18" s="19"/>
      <c r="EA18" s="19"/>
      <c r="ED18" s="12"/>
      <c r="EE18" s="12"/>
      <c r="EF18" s="12"/>
      <c r="EG18" s="12"/>
    </row>
    <row r="19" spans="2:137" outlineLevel="1">
      <c r="B19" t="s">
        <v>28</v>
      </c>
      <c r="E19" s="11"/>
      <c r="F19" t="s">
        <v>79</v>
      </c>
      <c r="G19" s="12">
        <v>0.1</v>
      </c>
      <c r="I19" s="11">
        <f t="shared" si="2"/>
        <v>9</v>
      </c>
      <c r="J19" s="13">
        <f t="shared" si="3"/>
        <v>0</v>
      </c>
      <c r="K19" s="13">
        <f t="shared" si="3"/>
        <v>0</v>
      </c>
      <c r="L19" s="11"/>
      <c r="O19" s="12"/>
      <c r="P19" s="12"/>
      <c r="Q19" s="12"/>
      <c r="R19" s="12"/>
      <c r="V19" s="12"/>
      <c r="W19" s="12"/>
      <c r="X19" s="12"/>
      <c r="Y19" s="12"/>
      <c r="AB19">
        <v>3</v>
      </c>
      <c r="AC19" s="12"/>
      <c r="AD19" s="12">
        <v>0.5</v>
      </c>
      <c r="AE19" s="12"/>
      <c r="AF19" s="12">
        <v>0.5</v>
      </c>
      <c r="AJ19" s="12"/>
      <c r="AK19" s="12">
        <v>0.5</v>
      </c>
      <c r="AL19" s="12"/>
      <c r="AM19" s="12">
        <v>0.5</v>
      </c>
      <c r="AQ19" s="12"/>
      <c r="AR19" s="12">
        <v>0.5</v>
      </c>
      <c r="AS19" s="12"/>
      <c r="AT19" s="12">
        <v>0.5</v>
      </c>
      <c r="AX19" s="12"/>
      <c r="AY19" s="12">
        <v>0.5</v>
      </c>
      <c r="AZ19" s="12"/>
      <c r="BA19" s="12">
        <v>0.5</v>
      </c>
      <c r="BE19" s="12"/>
      <c r="BF19" s="12">
        <v>0.5</v>
      </c>
      <c r="BG19" s="12"/>
      <c r="BH19" s="12">
        <v>0.5</v>
      </c>
      <c r="BK19">
        <v>3</v>
      </c>
      <c r="BL19" s="12"/>
      <c r="BM19" s="12">
        <v>0.8</v>
      </c>
      <c r="BN19" s="12"/>
      <c r="BO19" s="12">
        <v>0.8</v>
      </c>
      <c r="BS19" s="12"/>
      <c r="BT19" s="12">
        <v>0.8</v>
      </c>
      <c r="BU19" s="12"/>
      <c r="BV19" s="12">
        <v>0.8</v>
      </c>
      <c r="BZ19" s="12"/>
      <c r="CA19" s="12">
        <v>0.8</v>
      </c>
      <c r="CB19" s="12"/>
      <c r="CC19" s="12">
        <v>0.8</v>
      </c>
      <c r="CG19" s="12"/>
      <c r="CH19" s="12">
        <v>0.8</v>
      </c>
      <c r="CI19" s="12"/>
      <c r="CJ19" s="12">
        <v>0.8</v>
      </c>
      <c r="CN19" s="12"/>
      <c r="CO19" s="12">
        <v>0.8</v>
      </c>
      <c r="CP19" s="12"/>
      <c r="CQ19" s="12">
        <v>0.8</v>
      </c>
      <c r="CT19">
        <v>3</v>
      </c>
      <c r="CU19" s="12"/>
      <c r="CV19" s="12">
        <v>1</v>
      </c>
      <c r="CW19" s="12"/>
      <c r="CX19" s="12">
        <v>1</v>
      </c>
      <c r="DB19" s="12"/>
      <c r="DC19" s="12">
        <v>1</v>
      </c>
      <c r="DD19" s="12"/>
      <c r="DE19" s="12">
        <v>1</v>
      </c>
      <c r="DI19" s="12"/>
      <c r="DJ19" s="12">
        <v>1</v>
      </c>
      <c r="DK19" s="12"/>
      <c r="DL19" s="12">
        <v>1</v>
      </c>
      <c r="DO19" s="19"/>
      <c r="DP19" s="19"/>
      <c r="DQ19" s="19"/>
      <c r="DR19" s="19"/>
      <c r="DS19" s="19"/>
      <c r="DT19" s="19"/>
      <c r="DV19" s="19"/>
      <c r="DW19" s="19"/>
      <c r="DX19" s="19"/>
      <c r="DY19" s="19"/>
      <c r="DZ19" s="19"/>
      <c r="EA19" s="19"/>
      <c r="ED19" s="12"/>
      <c r="EE19" s="12"/>
      <c r="EF19" s="12"/>
      <c r="EG19" s="12"/>
    </row>
    <row r="20" spans="2:137" outlineLevel="1">
      <c r="B20" t="s">
        <v>28</v>
      </c>
      <c r="E20" s="11"/>
      <c r="F20" t="s">
        <v>80</v>
      </c>
      <c r="G20" s="12">
        <v>0.1</v>
      </c>
      <c r="I20" s="11">
        <f t="shared" si="2"/>
        <v>9</v>
      </c>
      <c r="J20" s="13">
        <f t="shared" si="3"/>
        <v>0</v>
      </c>
      <c r="K20" s="13">
        <f t="shared" si="3"/>
        <v>0</v>
      </c>
      <c r="L20" s="11"/>
      <c r="O20" s="12"/>
      <c r="P20" s="12"/>
      <c r="Q20" s="12"/>
      <c r="R20" s="12"/>
      <c r="V20" s="12"/>
      <c r="W20" s="12"/>
      <c r="X20" s="12"/>
      <c r="Y20" s="12"/>
      <c r="AB20">
        <v>3</v>
      </c>
      <c r="AC20" s="12"/>
      <c r="AD20" s="12">
        <v>0.5</v>
      </c>
      <c r="AE20" s="12"/>
      <c r="AF20" s="12">
        <v>0.5</v>
      </c>
      <c r="AJ20" s="12"/>
      <c r="AK20" s="12">
        <v>0.5</v>
      </c>
      <c r="AL20" s="12"/>
      <c r="AM20" s="12">
        <v>0.5</v>
      </c>
      <c r="AQ20" s="12"/>
      <c r="AR20" s="12">
        <v>0.5</v>
      </c>
      <c r="AS20" s="12"/>
      <c r="AT20" s="12">
        <v>0.5</v>
      </c>
      <c r="AX20" s="12"/>
      <c r="AY20" s="12">
        <v>0.5</v>
      </c>
      <c r="AZ20" s="12"/>
      <c r="BA20" s="12">
        <v>0.5</v>
      </c>
      <c r="BE20" s="12"/>
      <c r="BF20" s="12">
        <v>0.5</v>
      </c>
      <c r="BG20" s="12"/>
      <c r="BH20" s="12">
        <v>0.5</v>
      </c>
      <c r="BK20">
        <v>3</v>
      </c>
      <c r="BL20" s="12"/>
      <c r="BM20" s="12">
        <v>0.8</v>
      </c>
      <c r="BN20" s="12"/>
      <c r="BO20" s="12">
        <v>0.8</v>
      </c>
      <c r="BS20" s="12"/>
      <c r="BT20" s="12">
        <v>0.8</v>
      </c>
      <c r="BU20" s="12"/>
      <c r="BV20" s="12">
        <v>0.8</v>
      </c>
      <c r="BZ20" s="12"/>
      <c r="CA20" s="12">
        <v>0.8</v>
      </c>
      <c r="CB20" s="12"/>
      <c r="CC20" s="12">
        <v>0.8</v>
      </c>
      <c r="CG20" s="12"/>
      <c r="CH20" s="12">
        <v>0.8</v>
      </c>
      <c r="CI20" s="12"/>
      <c r="CJ20" s="12">
        <v>0.8</v>
      </c>
      <c r="CN20" s="12"/>
      <c r="CO20" s="12">
        <v>0.8</v>
      </c>
      <c r="CP20" s="12"/>
      <c r="CQ20" s="12">
        <v>0.8</v>
      </c>
      <c r="CT20">
        <v>3</v>
      </c>
      <c r="CU20" s="12"/>
      <c r="CV20" s="12">
        <v>1</v>
      </c>
      <c r="CW20" s="12"/>
      <c r="CX20" s="12">
        <v>1</v>
      </c>
      <c r="DB20" s="12"/>
      <c r="DC20" s="12">
        <v>1</v>
      </c>
      <c r="DD20" s="12"/>
      <c r="DE20" s="12">
        <v>1</v>
      </c>
      <c r="DI20" s="12"/>
      <c r="DJ20" s="12">
        <v>1</v>
      </c>
      <c r="DK20" s="12"/>
      <c r="DL20" s="12">
        <v>1</v>
      </c>
      <c r="DO20" s="19"/>
      <c r="DP20" s="19"/>
      <c r="DQ20" s="19"/>
      <c r="DR20" s="19"/>
      <c r="DS20" s="19"/>
      <c r="DT20" s="19"/>
      <c r="DV20" s="19"/>
      <c r="DW20" s="19"/>
      <c r="DX20" s="19"/>
      <c r="DY20" s="19"/>
      <c r="DZ20" s="19"/>
      <c r="EA20" s="19"/>
      <c r="ED20" s="12"/>
      <c r="EE20" s="12"/>
      <c r="EF20" s="12"/>
      <c r="EG20" s="12"/>
    </row>
    <row r="21" spans="2:137" outlineLevel="1">
      <c r="B21" t="s">
        <v>28</v>
      </c>
      <c r="E21" s="11"/>
      <c r="F21" t="s">
        <v>81</v>
      </c>
      <c r="G21" s="12">
        <v>0.1</v>
      </c>
      <c r="I21" s="11">
        <f t="shared" si="2"/>
        <v>9</v>
      </c>
      <c r="J21" s="13">
        <f t="shared" si="3"/>
        <v>0</v>
      </c>
      <c r="K21" s="13">
        <f t="shared" si="3"/>
        <v>0</v>
      </c>
      <c r="L21" s="11"/>
      <c r="O21" s="12"/>
      <c r="P21" s="12"/>
      <c r="Q21" s="12"/>
      <c r="R21" s="12"/>
      <c r="V21" s="12"/>
      <c r="W21" s="12"/>
      <c r="X21" s="12"/>
      <c r="Y21" s="12"/>
      <c r="AC21" s="12"/>
      <c r="AD21" s="12"/>
      <c r="AE21" s="12"/>
      <c r="AF21" s="12"/>
      <c r="AI21">
        <v>3</v>
      </c>
      <c r="AJ21" s="12"/>
      <c r="AK21" s="12">
        <v>0.5</v>
      </c>
      <c r="AL21" s="12"/>
      <c r="AM21" s="12">
        <v>0.5</v>
      </c>
      <c r="AQ21" s="12"/>
      <c r="AR21" s="12">
        <v>0.5</v>
      </c>
      <c r="AS21" s="12"/>
      <c r="AT21" s="12">
        <v>0.5</v>
      </c>
      <c r="AX21" s="12"/>
      <c r="AY21" s="12">
        <v>0.5</v>
      </c>
      <c r="AZ21" s="12"/>
      <c r="BA21" s="12">
        <v>0.5</v>
      </c>
      <c r="BE21" s="12"/>
      <c r="BF21" s="12">
        <v>0.5</v>
      </c>
      <c r="BG21" s="12"/>
      <c r="BH21" s="12">
        <v>0.5</v>
      </c>
      <c r="BL21" s="12"/>
      <c r="BM21" s="12">
        <v>0.5</v>
      </c>
      <c r="BN21" s="12"/>
      <c r="BO21" s="12">
        <v>0.5</v>
      </c>
      <c r="BR21">
        <v>3</v>
      </c>
      <c r="BS21" s="12"/>
      <c r="BT21" s="12">
        <v>0.8</v>
      </c>
      <c r="BU21" s="12"/>
      <c r="BV21" s="12">
        <v>0.8</v>
      </c>
      <c r="BZ21" s="12"/>
      <c r="CA21" s="12">
        <v>0.8</v>
      </c>
      <c r="CB21" s="12"/>
      <c r="CC21" s="12">
        <v>0.8</v>
      </c>
      <c r="CG21" s="12"/>
      <c r="CH21" s="12">
        <v>0.8</v>
      </c>
      <c r="CI21" s="12"/>
      <c r="CJ21" s="12">
        <v>0.8</v>
      </c>
      <c r="CN21" s="12"/>
      <c r="CO21" s="12">
        <v>0.8</v>
      </c>
      <c r="CP21" s="12"/>
      <c r="CQ21" s="12">
        <v>0.8</v>
      </c>
      <c r="CU21" s="12"/>
      <c r="CV21" s="12">
        <v>0.8</v>
      </c>
      <c r="CW21" s="12"/>
      <c r="CX21" s="12">
        <v>0.8</v>
      </c>
      <c r="DA21">
        <v>3</v>
      </c>
      <c r="DB21" s="12"/>
      <c r="DC21" s="12">
        <v>1</v>
      </c>
      <c r="DD21" s="12"/>
      <c r="DE21" s="12">
        <v>1</v>
      </c>
      <c r="DI21" s="12"/>
      <c r="DJ21" s="12">
        <v>1</v>
      </c>
      <c r="DK21" s="12"/>
      <c r="DL21" s="12">
        <v>1</v>
      </c>
      <c r="DO21" s="19"/>
      <c r="DP21" s="19"/>
      <c r="DQ21" s="19"/>
      <c r="DR21" s="19"/>
      <c r="DS21" s="19"/>
      <c r="DT21" s="19"/>
      <c r="DV21" s="19"/>
      <c r="DW21" s="19"/>
      <c r="DX21" s="19"/>
      <c r="DY21" s="19"/>
      <c r="DZ21" s="19"/>
      <c r="EA21" s="19"/>
      <c r="ED21" s="12"/>
      <c r="EE21" s="12"/>
      <c r="EF21" s="12"/>
      <c r="EG21" s="12"/>
    </row>
    <row r="22" spans="2:137" outlineLevel="1">
      <c r="B22" t="s">
        <v>28</v>
      </c>
      <c r="E22" s="11"/>
      <c r="F22" t="s">
        <v>82</v>
      </c>
      <c r="G22" s="12">
        <v>0.1</v>
      </c>
      <c r="I22" s="11">
        <f t="shared" si="2"/>
        <v>9</v>
      </c>
      <c r="J22" s="13">
        <f t="shared" si="3"/>
        <v>0</v>
      </c>
      <c r="K22" s="13">
        <f t="shared" si="3"/>
        <v>0</v>
      </c>
      <c r="L22" s="11"/>
      <c r="O22" s="12"/>
      <c r="P22" s="12"/>
      <c r="Q22" s="12"/>
      <c r="R22" s="12"/>
      <c r="V22" s="12"/>
      <c r="W22" s="12"/>
      <c r="X22" s="12"/>
      <c r="Y22" s="12"/>
      <c r="AC22" s="12"/>
      <c r="AD22" s="12"/>
      <c r="AE22" s="12"/>
      <c r="AF22" s="12"/>
      <c r="AJ22" s="12"/>
      <c r="AK22" s="12"/>
      <c r="AL22" s="12"/>
      <c r="AM22" s="12"/>
      <c r="AP22">
        <v>3</v>
      </c>
      <c r="AQ22" s="12"/>
      <c r="AR22" s="12">
        <v>0.5</v>
      </c>
      <c r="AS22" s="12"/>
      <c r="AT22" s="12">
        <v>0.5</v>
      </c>
      <c r="AX22" s="12"/>
      <c r="AY22" s="12">
        <v>0.5</v>
      </c>
      <c r="AZ22" s="12"/>
      <c r="BA22" s="12">
        <v>0.5</v>
      </c>
      <c r="BE22" s="12"/>
      <c r="BF22" s="12">
        <v>0.5</v>
      </c>
      <c r="BG22" s="12"/>
      <c r="BH22" s="12">
        <v>0.5</v>
      </c>
      <c r="BL22" s="12"/>
      <c r="BM22" s="12">
        <v>0.5</v>
      </c>
      <c r="BN22" s="12"/>
      <c r="BO22" s="12">
        <v>0.5</v>
      </c>
      <c r="BS22" s="12"/>
      <c r="BT22" s="12">
        <v>0.5</v>
      </c>
      <c r="BU22" s="12"/>
      <c r="BV22" s="12">
        <v>0.5</v>
      </c>
      <c r="BY22">
        <v>3</v>
      </c>
      <c r="BZ22" s="12"/>
      <c r="CA22" s="12">
        <v>0.8</v>
      </c>
      <c r="CB22" s="12"/>
      <c r="CC22" s="12">
        <v>0.8</v>
      </c>
      <c r="CG22" s="12"/>
      <c r="CH22" s="12">
        <v>0.8</v>
      </c>
      <c r="CI22" s="12"/>
      <c r="CJ22" s="12">
        <v>0.8</v>
      </c>
      <c r="CN22" s="12"/>
      <c r="CO22" s="12">
        <v>0.8</v>
      </c>
      <c r="CP22" s="12"/>
      <c r="CQ22" s="12">
        <v>0.8</v>
      </c>
      <c r="CU22" s="12"/>
      <c r="CV22" s="12">
        <v>0.8</v>
      </c>
      <c r="CW22" s="12"/>
      <c r="CX22" s="12">
        <v>0.8</v>
      </c>
      <c r="DA22">
        <v>3</v>
      </c>
      <c r="DB22" s="12"/>
      <c r="DC22" s="12">
        <v>1</v>
      </c>
      <c r="DD22" s="12"/>
      <c r="DE22" s="12">
        <v>1</v>
      </c>
      <c r="DI22" s="12"/>
      <c r="DJ22" s="12">
        <v>1</v>
      </c>
      <c r="DK22" s="12"/>
      <c r="DL22" s="12">
        <v>1</v>
      </c>
      <c r="DO22" s="19"/>
      <c r="DP22" s="19"/>
      <c r="DQ22" s="19"/>
      <c r="DR22" s="19"/>
      <c r="DS22" s="19"/>
      <c r="DT22" s="19"/>
      <c r="DV22" s="19"/>
      <c r="DW22" s="19"/>
      <c r="DX22" s="19"/>
      <c r="DY22" s="19"/>
      <c r="DZ22" s="19"/>
      <c r="EA22" s="19"/>
      <c r="ED22" s="12"/>
      <c r="EE22" s="12"/>
      <c r="EF22" s="12"/>
      <c r="EG22" s="12"/>
    </row>
    <row r="23" spans="2:137" outlineLevel="1">
      <c r="B23" t="s">
        <v>28</v>
      </c>
      <c r="E23" s="11"/>
      <c r="F23" t="s">
        <v>83</v>
      </c>
      <c r="G23" s="12">
        <v>0.1</v>
      </c>
      <c r="I23" s="11">
        <f t="shared" si="2"/>
        <v>9</v>
      </c>
      <c r="J23" s="13">
        <f t="shared" si="3"/>
        <v>0</v>
      </c>
      <c r="K23" s="13">
        <f t="shared" si="3"/>
        <v>0</v>
      </c>
      <c r="L23" s="11"/>
      <c r="O23" s="12"/>
      <c r="P23" s="12"/>
      <c r="Q23" s="12"/>
      <c r="R23" s="12"/>
      <c r="V23" s="12"/>
      <c r="W23" s="12"/>
      <c r="X23" s="12"/>
      <c r="Y23" s="12"/>
      <c r="AC23" s="12"/>
      <c r="AD23" s="12"/>
      <c r="AE23" s="12"/>
      <c r="AF23" s="12"/>
      <c r="AJ23" s="12"/>
      <c r="AK23" s="12"/>
      <c r="AL23" s="12"/>
      <c r="AM23" s="12"/>
      <c r="AQ23" s="12"/>
      <c r="AR23" s="12"/>
      <c r="AS23" s="12"/>
      <c r="AT23" s="12"/>
      <c r="AW23">
        <v>3</v>
      </c>
      <c r="AX23" s="12"/>
      <c r="AY23" s="12">
        <v>0.5</v>
      </c>
      <c r="AZ23" s="12"/>
      <c r="BA23" s="12">
        <v>0.5</v>
      </c>
      <c r="BE23" s="12"/>
      <c r="BF23" s="12">
        <v>0.5</v>
      </c>
      <c r="BG23" s="12"/>
      <c r="BH23" s="12">
        <v>0.5</v>
      </c>
      <c r="BL23" s="12"/>
      <c r="BM23" s="12">
        <v>0.5</v>
      </c>
      <c r="BN23" s="12"/>
      <c r="BO23" s="12">
        <v>0.5</v>
      </c>
      <c r="BS23" s="12"/>
      <c r="BT23" s="12">
        <v>0.5</v>
      </c>
      <c r="BU23" s="12"/>
      <c r="BV23" s="12">
        <v>0.5</v>
      </c>
      <c r="BZ23" s="12"/>
      <c r="CA23" s="12">
        <v>0.5</v>
      </c>
      <c r="CB23" s="12"/>
      <c r="CC23" s="12">
        <v>0.5</v>
      </c>
      <c r="CF23">
        <v>3</v>
      </c>
      <c r="CG23" s="12"/>
      <c r="CH23" s="12">
        <v>0.8</v>
      </c>
      <c r="CI23" s="12"/>
      <c r="CJ23" s="12">
        <v>0.8</v>
      </c>
      <c r="CN23" s="12"/>
      <c r="CO23" s="12">
        <v>0.8</v>
      </c>
      <c r="CP23" s="12"/>
      <c r="CQ23" s="12">
        <v>0.8</v>
      </c>
      <c r="CU23" s="12"/>
      <c r="CV23" s="12">
        <v>0.8</v>
      </c>
      <c r="CW23" s="12"/>
      <c r="CX23" s="12">
        <v>0.8</v>
      </c>
      <c r="DB23" s="12"/>
      <c r="DC23" s="12">
        <v>0.8</v>
      </c>
      <c r="DD23" s="12"/>
      <c r="DE23" s="12">
        <v>0.8</v>
      </c>
      <c r="DH23">
        <v>3</v>
      </c>
      <c r="DI23" s="12"/>
      <c r="DJ23" s="12">
        <v>1</v>
      </c>
      <c r="DK23" s="12"/>
      <c r="DL23" s="12">
        <v>1</v>
      </c>
      <c r="DO23" s="19"/>
      <c r="DP23" s="19"/>
      <c r="DQ23" s="19"/>
      <c r="DR23" s="19"/>
      <c r="DS23" s="19"/>
      <c r="DT23" s="19"/>
      <c r="DV23" s="19"/>
      <c r="DW23" s="19"/>
      <c r="DX23" s="19"/>
      <c r="DY23" s="19"/>
      <c r="DZ23" s="19"/>
      <c r="EA23" s="19"/>
      <c r="ED23" s="12"/>
      <c r="EE23" s="12"/>
      <c r="EF23" s="12"/>
      <c r="EG23" s="12"/>
    </row>
    <row r="24" spans="2:137" outlineLevel="1">
      <c r="B24" t="s">
        <v>28</v>
      </c>
      <c r="E24" s="11"/>
      <c r="F24" t="s">
        <v>84</v>
      </c>
      <c r="G24" s="12">
        <v>0.1</v>
      </c>
      <c r="I24" s="11">
        <f t="shared" si="2"/>
        <v>9</v>
      </c>
      <c r="J24" s="13">
        <f t="shared" si="3"/>
        <v>0</v>
      </c>
      <c r="K24" s="13">
        <f t="shared" si="3"/>
        <v>0</v>
      </c>
      <c r="L24" s="11"/>
      <c r="O24" s="12"/>
      <c r="P24" s="12"/>
      <c r="Q24" s="12"/>
      <c r="R24" s="12"/>
      <c r="V24" s="12"/>
      <c r="W24" s="12"/>
      <c r="X24" s="12"/>
      <c r="Y24" s="12"/>
      <c r="AC24" s="12"/>
      <c r="AD24" s="12"/>
      <c r="AE24" s="12"/>
      <c r="AF24" s="12"/>
      <c r="AJ24" s="12"/>
      <c r="AK24" s="12"/>
      <c r="AL24" s="12"/>
      <c r="AM24" s="12"/>
      <c r="AQ24" s="12"/>
      <c r="AR24" s="12"/>
      <c r="AS24" s="12"/>
      <c r="AT24" s="12"/>
      <c r="AX24" s="12"/>
      <c r="AY24" s="12"/>
      <c r="AZ24" s="12"/>
      <c r="BA24" s="12"/>
      <c r="BD24">
        <v>3</v>
      </c>
      <c r="BE24" s="12"/>
      <c r="BF24" s="12">
        <v>0.5</v>
      </c>
      <c r="BG24" s="12"/>
      <c r="BH24" s="12">
        <v>0.5</v>
      </c>
      <c r="BL24" s="12"/>
      <c r="BM24" s="12">
        <v>0.5</v>
      </c>
      <c r="BN24" s="12"/>
      <c r="BO24" s="12">
        <v>0.5</v>
      </c>
      <c r="BS24" s="12"/>
      <c r="BT24" s="12">
        <v>0.5</v>
      </c>
      <c r="BU24" s="12"/>
      <c r="BV24" s="12">
        <v>0.5</v>
      </c>
      <c r="BZ24" s="12"/>
      <c r="CA24" s="12">
        <v>0.5</v>
      </c>
      <c r="CB24" s="12"/>
      <c r="CC24" s="12">
        <v>0.5</v>
      </c>
      <c r="CG24" s="12"/>
      <c r="CH24" s="12">
        <v>0.5</v>
      </c>
      <c r="CI24" s="12"/>
      <c r="CJ24" s="12">
        <v>0.5</v>
      </c>
      <c r="CM24">
        <v>3</v>
      </c>
      <c r="CN24" s="12"/>
      <c r="CO24" s="12">
        <v>0.8</v>
      </c>
      <c r="CP24" s="12"/>
      <c r="CQ24" s="12">
        <v>0.8</v>
      </c>
      <c r="CU24" s="12"/>
      <c r="CV24" s="12">
        <v>0.8</v>
      </c>
      <c r="CW24" s="12"/>
      <c r="CX24" s="12">
        <v>0.8</v>
      </c>
      <c r="DB24" s="12"/>
      <c r="DC24" s="12">
        <v>0.8</v>
      </c>
      <c r="DD24" s="12"/>
      <c r="DE24" s="12">
        <v>0.8</v>
      </c>
      <c r="DH24">
        <v>3</v>
      </c>
      <c r="DI24" s="12"/>
      <c r="DJ24" s="12">
        <v>1</v>
      </c>
      <c r="DK24" s="12"/>
      <c r="DL24" s="12">
        <v>1</v>
      </c>
      <c r="DO24" s="19"/>
      <c r="DP24" s="19"/>
      <c r="DQ24" s="19"/>
      <c r="DR24" s="19"/>
      <c r="DS24" s="19"/>
      <c r="DT24" s="19"/>
      <c r="DV24" s="19"/>
      <c r="DW24" s="19"/>
      <c r="DX24" s="19"/>
      <c r="DY24" s="19"/>
      <c r="DZ24" s="19"/>
      <c r="EA24" s="19"/>
      <c r="ED24" s="12"/>
      <c r="EE24" s="12"/>
      <c r="EF24" s="12"/>
      <c r="EG24" s="12"/>
    </row>
    <row r="30" spans="2:137">
      <c r="B30" s="12"/>
    </row>
    <row r="31" spans="2:137">
      <c r="B31" s="12"/>
    </row>
    <row r="32" spans="2:137">
      <c r="B32" s="12"/>
    </row>
    <row r="33" spans="2:2">
      <c r="B33" s="12"/>
    </row>
  </sheetData>
  <mergeCells count="23">
    <mergeCell ref="DO5:DT12"/>
    <mergeCell ref="DV2:EA2"/>
    <mergeCell ref="DV5:EA12"/>
    <mergeCell ref="EC2:EH2"/>
    <mergeCell ref="DO15:DT24"/>
    <mergeCell ref="DV15:EA24"/>
    <mergeCell ref="CT2:CY2"/>
    <mergeCell ref="DA2:DF2"/>
    <mergeCell ref="DH2:DM2"/>
    <mergeCell ref="DO2:DT2"/>
    <mergeCell ref="BK2:BP2"/>
    <mergeCell ref="BR2:BW2"/>
    <mergeCell ref="BY2:CD2"/>
    <mergeCell ref="CF2:CK2"/>
    <mergeCell ref="CM2:CR2"/>
    <mergeCell ref="I2:L2"/>
    <mergeCell ref="N2:S2"/>
    <mergeCell ref="BD2:BI2"/>
    <mergeCell ref="U2:Z2"/>
    <mergeCell ref="AB2:AG2"/>
    <mergeCell ref="AI2:AN2"/>
    <mergeCell ref="AP2:AU2"/>
    <mergeCell ref="AW2:BB2"/>
  </mergeCells>
  <conditionalFormatting sqref="O15:O19 Q15:Q19 AQ11:AQ12 AS11:AS12 V7:V12 X7:X12 AC9:AC12 AE9:AE12 AJ10:AJ12 AL10:AL12 AX12 AZ12 O5:O12 Q5:Q12">
    <cfRule type="expression" dxfId="981" priority="1057">
      <formula>OR(IF(O5&lt;P5,TRUE),IF(AND(P5="",O5&lt;&gt;""),TRUE))</formula>
    </cfRule>
    <cfRule type="expression" dxfId="980" priority="1058">
      <formula>IF(O5&gt;=P5,IF(O5="",FALSE,TRUE))</formula>
    </cfRule>
  </conditionalFormatting>
  <conditionalFormatting sqref="J15:K20">
    <cfRule type="colorScale" priority="1060">
      <colorScale>
        <cfvo type="percent" val="0"/>
        <cfvo type="percent" val="100"/>
        <color rgb="FFFF231B"/>
        <color rgb="FF10FF07"/>
      </colorScale>
    </cfRule>
  </conditionalFormatting>
  <conditionalFormatting sqref="O20">
    <cfRule type="expression" dxfId="957" priority="980">
      <formula>OR(IF(O20&lt;P20,TRUE),IF(AND(P20="",O20&lt;&gt;""),TRUE))</formula>
    </cfRule>
    <cfRule type="expression" dxfId="956" priority="981">
      <formula>IF(O20&gt;=P20,IF(O20="",FALSE,TRUE))</formula>
    </cfRule>
  </conditionalFormatting>
  <conditionalFormatting sqref="Q20">
    <cfRule type="expression" dxfId="955" priority="978">
      <formula>OR(IF(Q20&lt;R20,TRUE),IF(AND(R20="",Q20&lt;&gt;""),TRUE))</formula>
    </cfRule>
    <cfRule type="expression" dxfId="954" priority="979">
      <formula>IF(Q20&gt;=R20,IF(Q20="",FALSE,TRUE))</formula>
    </cfRule>
  </conditionalFormatting>
  <conditionalFormatting sqref="V15:V19 X15:X19">
    <cfRule type="expression" dxfId="949" priority="972">
      <formula>OR(IF(V15&lt;W15,TRUE),IF(AND(W15="",V15&lt;&gt;""),TRUE))</formula>
    </cfRule>
    <cfRule type="expression" dxfId="948" priority="973">
      <formula>IF(V15&gt;=W15,IF(V15="",FALSE,TRUE))</formula>
    </cfRule>
  </conditionalFormatting>
  <conditionalFormatting sqref="V20">
    <cfRule type="expression" dxfId="941" priority="964">
      <formula>OR(IF(V20&lt;W20,TRUE),IF(AND(W20="",V20&lt;&gt;""),TRUE))</formula>
    </cfRule>
    <cfRule type="expression" dxfId="940" priority="965">
      <formula>IF(V20&gt;=W20,IF(V20="",FALSE,TRUE))</formula>
    </cfRule>
  </conditionalFormatting>
  <conditionalFormatting sqref="X20">
    <cfRule type="expression" dxfId="939" priority="962">
      <formula>OR(IF(X20&lt;Y20,TRUE),IF(AND(Y20="",X20&lt;&gt;""),TRUE))</formula>
    </cfRule>
    <cfRule type="expression" dxfId="938" priority="963">
      <formula>IF(X20&gt;=Y20,IF(X20="",FALSE,TRUE))</formula>
    </cfRule>
  </conditionalFormatting>
  <conditionalFormatting sqref="AC19 AE19">
    <cfRule type="expression" dxfId="935" priority="956">
      <formula>OR(IF(AC19&lt;AD19,TRUE),IF(AND(AD19="",AC19&lt;&gt;""),TRUE))</formula>
    </cfRule>
    <cfRule type="expression" dxfId="934" priority="957">
      <formula>IF(AC19&gt;=AD19,IF(AC19="",FALSE,TRUE))</formula>
    </cfRule>
  </conditionalFormatting>
  <conditionalFormatting sqref="AC20">
    <cfRule type="expression" dxfId="927" priority="948">
      <formula>OR(IF(AC20&lt;AD20,TRUE),IF(AND(AD20="",AC20&lt;&gt;""),TRUE))</formula>
    </cfRule>
    <cfRule type="expression" dxfId="926" priority="949">
      <formula>IF(AC20&gt;=AD20,IF(AC20="",FALSE,TRUE))</formula>
    </cfRule>
  </conditionalFormatting>
  <conditionalFormatting sqref="AE20">
    <cfRule type="expression" dxfId="925" priority="946">
      <formula>OR(IF(AE20&lt;AF20,TRUE),IF(AND(AF20="",AE20&lt;&gt;""),TRUE))</formula>
    </cfRule>
    <cfRule type="expression" dxfId="924" priority="947">
      <formula>IF(AE20&gt;=AF20,IF(AE20="",FALSE,TRUE))</formula>
    </cfRule>
  </conditionalFormatting>
  <conditionalFormatting sqref="J5:K12">
    <cfRule type="colorScale" priority="1061">
      <colorScale>
        <cfvo type="percent" val="0"/>
        <cfvo type="percent" val="100"/>
        <color rgb="FFFF231B"/>
        <color rgb="FF10FF07"/>
      </colorScale>
    </cfRule>
  </conditionalFormatting>
  <conditionalFormatting sqref="DI12 DK12">
    <cfRule type="expression" dxfId="645" priority="622">
      <formula>OR(IF(DI12&lt;DJ12,TRUE),IF(AND(DJ12="",DI12&lt;&gt;""),TRUE))</formula>
    </cfRule>
    <cfRule type="expression" dxfId="644" priority="623">
      <formula>IF(DI12&gt;=DJ12,IF(DI12="",FALSE,TRUE))</formula>
    </cfRule>
  </conditionalFormatting>
  <conditionalFormatting sqref="DI5:DI11 DK11">
    <cfRule type="expression" dxfId="643" priority="620">
      <formula>OR(IF(DI5&lt;DJ5,TRUE),IF(AND(DJ5="",DI5&lt;&gt;""),TRUE))</formula>
    </cfRule>
    <cfRule type="expression" dxfId="642" priority="621">
      <formula>IF(DI5&gt;=DJ5,IF(DI5="",FALSE,TRUE))</formula>
    </cfRule>
  </conditionalFormatting>
  <conditionalFormatting sqref="DK10">
    <cfRule type="expression" dxfId="641" priority="618">
      <formula>OR(IF(DK10&lt;DL10,TRUE),IF(AND(DL10="",DK10&lt;&gt;""),TRUE))</formula>
    </cfRule>
    <cfRule type="expression" dxfId="640" priority="619">
      <formula>IF(DK10&gt;=DL10,IF(DK10="",FALSE,TRUE))</formula>
    </cfRule>
  </conditionalFormatting>
  <conditionalFormatting sqref="DK9">
    <cfRule type="expression" dxfId="639" priority="616">
      <formula>OR(IF(DK9&lt;DL9,TRUE),IF(AND(DL9="",DK9&lt;&gt;""),TRUE))</formula>
    </cfRule>
    <cfRule type="expression" dxfId="638" priority="617">
      <formula>IF(DK9&gt;=DL9,IF(DK9="",FALSE,TRUE))</formula>
    </cfRule>
  </conditionalFormatting>
  <conditionalFormatting sqref="DK7:DK8">
    <cfRule type="expression" dxfId="637" priority="614">
      <formula>OR(IF(DK7&lt;DL7,TRUE),IF(AND(DL7="",DK7&lt;&gt;""),TRUE))</formula>
    </cfRule>
    <cfRule type="expression" dxfId="636" priority="615">
      <formula>IF(DK7&gt;=DL7,IF(DK7="",FALSE,TRUE))</formula>
    </cfRule>
  </conditionalFormatting>
  <conditionalFormatting sqref="DK5:DK6">
    <cfRule type="expression" dxfId="635" priority="612">
      <formula>OR(IF(DK5&lt;DL5,TRUE),IF(AND(DL5="",DK5&lt;&gt;""),TRUE))</formula>
    </cfRule>
    <cfRule type="expression" dxfId="634" priority="613">
      <formula>IF(DK5&gt;=DL5,IF(DK5="",FALSE,TRUE))</formula>
    </cfRule>
  </conditionalFormatting>
  <conditionalFormatting sqref="ED21:ED23 EF21:EF23">
    <cfRule type="expression" dxfId="613" priority="279">
      <formula>OR(IF(ED21&lt;EE21,TRUE),IF(AND(EE21="",ED21&lt;&gt;""),TRUE))</formula>
    </cfRule>
    <cfRule type="expression" dxfId="612" priority="280">
      <formula>IF(ED21&gt;=EE21,IF(ED21="",FALSE,TRUE))</formula>
    </cfRule>
  </conditionalFormatting>
  <conditionalFormatting sqref="ED24">
    <cfRule type="expression" dxfId="611" priority="277">
      <formula>OR(IF(ED24&lt;EE24,TRUE),IF(AND(EE24="",ED24&lt;&gt;""),TRUE))</formula>
    </cfRule>
    <cfRule type="expression" dxfId="610" priority="278">
      <formula>IF(ED24&gt;=EE24,IF(ED24="",FALSE,TRUE))</formula>
    </cfRule>
  </conditionalFormatting>
  <conditionalFormatting sqref="EF24">
    <cfRule type="expression" dxfId="609" priority="275">
      <formula>OR(IF(EF24&lt;EG24,TRUE),IF(AND(EG24="",EF24&lt;&gt;""),TRUE))</formula>
    </cfRule>
    <cfRule type="expression" dxfId="608" priority="276">
      <formula>IF(EF24&gt;=EG24,IF(EF24="",FALSE,TRUE))</formula>
    </cfRule>
  </conditionalFormatting>
  <conditionalFormatting sqref="EF20">
    <cfRule type="expression" dxfId="591" priority="562">
      <formula>OR(IF(EF20&lt;EG20,TRUE),IF(AND(EG20="",EF20&lt;&gt;""),TRUE))</formula>
    </cfRule>
    <cfRule type="expression" dxfId="590" priority="563">
      <formula>IF(EF20&gt;=EG20,IF(EF20="",FALSE,TRUE))</formula>
    </cfRule>
  </conditionalFormatting>
  <conditionalFormatting sqref="ED15:ED19 EF15:EF19">
    <cfRule type="expression" dxfId="587" priority="570">
      <formula>OR(IF(ED15&lt;EE15,TRUE),IF(AND(EE15="",ED15&lt;&gt;""),TRUE))</formula>
    </cfRule>
    <cfRule type="expression" dxfId="586" priority="571">
      <formula>IF(ED15&gt;=EE15,IF(ED15="",FALSE,TRUE))</formula>
    </cfRule>
  </conditionalFormatting>
  <conditionalFormatting sqref="ED20">
    <cfRule type="expression" dxfId="581" priority="564">
      <formula>OR(IF(ED20&lt;EE20,TRUE),IF(AND(EE20="",ED20&lt;&gt;""),TRUE))</formula>
    </cfRule>
    <cfRule type="expression" dxfId="580" priority="565">
      <formula>IF(ED20&gt;=EE20,IF(ED20="",FALSE,TRUE))</formula>
    </cfRule>
  </conditionalFormatting>
  <conditionalFormatting sqref="ED12 EF12">
    <cfRule type="expression" dxfId="577" priority="556">
      <formula>OR(IF(ED12&lt;EE12,TRUE),IF(AND(EE12="",ED12&lt;&gt;""),TRUE))</formula>
    </cfRule>
    <cfRule type="expression" dxfId="576" priority="557">
      <formula>IF(ED12&gt;=EE12,IF(ED12="",FALSE,TRUE))</formula>
    </cfRule>
  </conditionalFormatting>
  <conditionalFormatting sqref="ED5:ED11 EF11">
    <cfRule type="expression" dxfId="575" priority="554">
      <formula>OR(IF(ED5&lt;EE5,TRUE),IF(AND(EE5="",ED5&lt;&gt;""),TRUE))</formula>
    </cfRule>
    <cfRule type="expression" dxfId="574" priority="555">
      <formula>IF(ED5&gt;=EE5,IF(ED5="",FALSE,TRUE))</formula>
    </cfRule>
  </conditionalFormatting>
  <conditionalFormatting sqref="EF10">
    <cfRule type="expression" dxfId="573" priority="552">
      <formula>OR(IF(EF10&lt;EG10,TRUE),IF(AND(EG10="",EF10&lt;&gt;""),TRUE))</formula>
    </cfRule>
    <cfRule type="expression" dxfId="572" priority="553">
      <formula>IF(EF10&gt;=EG10,IF(EF10="",FALSE,TRUE))</formula>
    </cfRule>
  </conditionalFormatting>
  <conditionalFormatting sqref="EF9">
    <cfRule type="expression" dxfId="571" priority="550">
      <formula>OR(IF(EF9&lt;EG9,TRUE),IF(AND(EG9="",EF9&lt;&gt;""),TRUE))</formula>
    </cfRule>
    <cfRule type="expression" dxfId="570" priority="551">
      <formula>IF(EF9&gt;=EG9,IF(EF9="",FALSE,TRUE))</formula>
    </cfRule>
  </conditionalFormatting>
  <conditionalFormatting sqref="EF7:EF8">
    <cfRule type="expression" dxfId="569" priority="548">
      <formula>OR(IF(EF7&lt;EG7,TRUE),IF(AND(EG7="",EF7&lt;&gt;""),TRUE))</formula>
    </cfRule>
    <cfRule type="expression" dxfId="568" priority="549">
      <formula>IF(EF7&gt;=EG7,IF(EF7="",FALSE,TRUE))</formula>
    </cfRule>
  </conditionalFormatting>
  <conditionalFormatting sqref="EF5:EF6">
    <cfRule type="expression" dxfId="567" priority="546">
      <formula>OR(IF(EF5&lt;EG5,TRUE),IF(AND(EG5="",EF5&lt;&gt;""),TRUE))</formula>
    </cfRule>
    <cfRule type="expression" dxfId="566" priority="547">
      <formula>IF(EF5&gt;=EG5,IF(EF5="",FALSE,TRUE))</formula>
    </cfRule>
  </conditionalFormatting>
  <conditionalFormatting sqref="V5:V6 X5:X6">
    <cfRule type="expression" dxfId="565" priority="544">
      <formula>OR(IF(V5&lt;W5,TRUE),IF(AND(W5="",V5&lt;&gt;""),TRUE))</formula>
    </cfRule>
    <cfRule type="expression" dxfId="564" priority="545">
      <formula>IF(V5&gt;=W5,IF(V5="",FALSE,TRUE))</formula>
    </cfRule>
  </conditionalFormatting>
  <conditionalFormatting sqref="AC7:AC8 AE7:AE8">
    <cfRule type="expression" dxfId="563" priority="542">
      <formula>OR(IF(AC7&lt;AD7,TRUE),IF(AND(AD7="",AC7&lt;&gt;""),TRUE))</formula>
    </cfRule>
    <cfRule type="expression" dxfId="562" priority="543">
      <formula>IF(AC7&gt;=AD7,IF(AC7="",FALSE,TRUE))</formula>
    </cfRule>
  </conditionalFormatting>
  <conditionalFormatting sqref="AC5:AC6 AE5:AE6">
    <cfRule type="expression" dxfId="561" priority="540">
      <formula>OR(IF(AC5&lt;AD5,TRUE),IF(AND(AD5="",AC5&lt;&gt;""),TRUE))</formula>
    </cfRule>
    <cfRule type="expression" dxfId="560" priority="541">
      <formula>IF(AC5&gt;=AD5,IF(AC5="",FALSE,TRUE))</formula>
    </cfRule>
  </conditionalFormatting>
  <conditionalFormatting sqref="AJ9 AL9">
    <cfRule type="expression" dxfId="559" priority="538">
      <formula>OR(IF(AJ9&lt;AK9,TRUE),IF(AND(AK9="",AJ9&lt;&gt;""),TRUE))</formula>
    </cfRule>
    <cfRule type="expression" dxfId="558" priority="539">
      <formula>IF(AJ9&gt;=AK9,IF(AJ9="",FALSE,TRUE))</formula>
    </cfRule>
  </conditionalFormatting>
  <conditionalFormatting sqref="AJ7:AJ8 AL7:AL8">
    <cfRule type="expression" dxfId="557" priority="536">
      <formula>OR(IF(AJ7&lt;AK7,TRUE),IF(AND(AK7="",AJ7&lt;&gt;""),TRUE))</formula>
    </cfRule>
    <cfRule type="expression" dxfId="556" priority="537">
      <formula>IF(AJ7&gt;=AK7,IF(AJ7="",FALSE,TRUE))</formula>
    </cfRule>
  </conditionalFormatting>
  <conditionalFormatting sqref="AJ5:AJ6 AL5:AL6">
    <cfRule type="expression" dxfId="555" priority="534">
      <formula>OR(IF(AJ5&lt;AK5,TRUE),IF(AND(AK5="",AJ5&lt;&gt;""),TRUE))</formula>
    </cfRule>
    <cfRule type="expression" dxfId="554" priority="535">
      <formula>IF(AJ5&gt;=AK5,IF(AJ5="",FALSE,TRUE))</formula>
    </cfRule>
  </conditionalFormatting>
  <conditionalFormatting sqref="AQ10 AS10">
    <cfRule type="expression" dxfId="553" priority="532">
      <formula>OR(IF(AQ10&lt;AR10,TRUE),IF(AND(AR10="",AQ10&lt;&gt;""),TRUE))</formula>
    </cfRule>
    <cfRule type="expression" dxfId="552" priority="533">
      <formula>IF(AQ10&gt;=AR10,IF(AQ10="",FALSE,TRUE))</formula>
    </cfRule>
  </conditionalFormatting>
  <conditionalFormatting sqref="AQ9 AS9">
    <cfRule type="expression" dxfId="551" priority="530">
      <formula>OR(IF(AQ9&lt;AR9,TRUE),IF(AND(AR9="",AQ9&lt;&gt;""),TRUE))</formula>
    </cfRule>
    <cfRule type="expression" dxfId="550" priority="531">
      <formula>IF(AQ9&gt;=AR9,IF(AQ9="",FALSE,TRUE))</formula>
    </cfRule>
  </conditionalFormatting>
  <conditionalFormatting sqref="AQ7:AQ8 AS7:AS8">
    <cfRule type="expression" dxfId="549" priority="528">
      <formula>OR(IF(AQ7&lt;AR7,TRUE),IF(AND(AR7="",AQ7&lt;&gt;""),TRUE))</formula>
    </cfRule>
    <cfRule type="expression" dxfId="548" priority="529">
      <formula>IF(AQ7&gt;=AR7,IF(AQ7="",FALSE,TRUE))</formula>
    </cfRule>
  </conditionalFormatting>
  <conditionalFormatting sqref="AQ5:AQ6 AS5:AS6">
    <cfRule type="expression" dxfId="547" priority="526">
      <formula>OR(IF(AQ5&lt;AR5,TRUE),IF(AND(AR5="",AQ5&lt;&gt;""),TRUE))</formula>
    </cfRule>
    <cfRule type="expression" dxfId="546" priority="527">
      <formula>IF(AQ5&gt;=AR5,IF(AQ5="",FALSE,TRUE))</formula>
    </cfRule>
  </conditionalFormatting>
  <conditionalFormatting sqref="AX11 AZ11">
    <cfRule type="expression" dxfId="545" priority="524">
      <formula>OR(IF(AX11&lt;AY11,TRUE),IF(AND(AY11="",AX11&lt;&gt;""),TRUE))</formula>
    </cfRule>
    <cfRule type="expression" dxfId="544" priority="525">
      <formula>IF(AX11&gt;=AY11,IF(AX11="",FALSE,TRUE))</formula>
    </cfRule>
  </conditionalFormatting>
  <conditionalFormatting sqref="AX10 AZ10">
    <cfRule type="expression" dxfId="543" priority="522">
      <formula>OR(IF(AX10&lt;AY10,TRUE),IF(AND(AY10="",AX10&lt;&gt;""),TRUE))</formula>
    </cfRule>
    <cfRule type="expression" dxfId="542" priority="523">
      <formula>IF(AX10&gt;=AY10,IF(AX10="",FALSE,TRUE))</formula>
    </cfRule>
  </conditionalFormatting>
  <conditionalFormatting sqref="AX9 AZ9">
    <cfRule type="expression" dxfId="541" priority="520">
      <formula>OR(IF(AX9&lt;AY9,TRUE),IF(AND(AY9="",AX9&lt;&gt;""),TRUE))</formula>
    </cfRule>
    <cfRule type="expression" dxfId="540" priority="521">
      <formula>IF(AX9&gt;=AY9,IF(AX9="",FALSE,TRUE))</formula>
    </cfRule>
  </conditionalFormatting>
  <conditionalFormatting sqref="AX7:AX8 AZ7:AZ8">
    <cfRule type="expression" dxfId="539" priority="518">
      <formula>OR(IF(AX7&lt;AY7,TRUE),IF(AND(AY7="",AX7&lt;&gt;""),TRUE))</formula>
    </cfRule>
    <cfRule type="expression" dxfId="538" priority="519">
      <formula>IF(AX7&gt;=AY7,IF(AX7="",FALSE,TRUE))</formula>
    </cfRule>
  </conditionalFormatting>
  <conditionalFormatting sqref="AX5:AX6 AZ5:AZ6">
    <cfRule type="expression" dxfId="537" priority="516">
      <formula>OR(IF(AX5&lt;AY5,TRUE),IF(AND(AY5="",AX5&lt;&gt;""),TRUE))</formula>
    </cfRule>
    <cfRule type="expression" dxfId="536" priority="517">
      <formula>IF(AX5&gt;=AY5,IF(AX5="",FALSE,TRUE))</formula>
    </cfRule>
  </conditionalFormatting>
  <conditionalFormatting sqref="BE12 BG12">
    <cfRule type="expression" dxfId="525" priority="514">
      <formula>OR(IF(BE12&lt;BF12,TRUE),IF(AND(BF12="",BE12&lt;&gt;""),TRUE))</formula>
    </cfRule>
    <cfRule type="expression" dxfId="524" priority="515">
      <formula>IF(BE12&gt;=BF12,IF(BE12="",FALSE,TRUE))</formula>
    </cfRule>
  </conditionalFormatting>
  <conditionalFormatting sqref="BE11 BG11">
    <cfRule type="expression" dxfId="523" priority="512">
      <formula>OR(IF(BE11&lt;BF11,TRUE),IF(AND(BF11="",BE11&lt;&gt;""),TRUE))</formula>
    </cfRule>
    <cfRule type="expression" dxfId="522" priority="513">
      <formula>IF(BE11&gt;=BF11,IF(BE11="",FALSE,TRUE))</formula>
    </cfRule>
  </conditionalFormatting>
  <conditionalFormatting sqref="BE10 BG10">
    <cfRule type="expression" dxfId="521" priority="510">
      <formula>OR(IF(BE10&lt;BF10,TRUE),IF(AND(BF10="",BE10&lt;&gt;""),TRUE))</formula>
    </cfRule>
    <cfRule type="expression" dxfId="520" priority="511">
      <formula>IF(BE10&gt;=BF10,IF(BE10="",FALSE,TRUE))</formula>
    </cfRule>
  </conditionalFormatting>
  <conditionalFormatting sqref="BE9 BG9">
    <cfRule type="expression" dxfId="519" priority="508">
      <formula>OR(IF(BE9&lt;BF9,TRUE),IF(AND(BF9="",BE9&lt;&gt;""),TRUE))</formula>
    </cfRule>
    <cfRule type="expression" dxfId="518" priority="509">
      <formula>IF(BE9&gt;=BF9,IF(BE9="",FALSE,TRUE))</formula>
    </cfRule>
  </conditionalFormatting>
  <conditionalFormatting sqref="BE7:BE8 BG7:BG8">
    <cfRule type="expression" dxfId="517" priority="506">
      <formula>OR(IF(BE7&lt;BF7,TRUE),IF(AND(BF7="",BE7&lt;&gt;""),TRUE))</formula>
    </cfRule>
    <cfRule type="expression" dxfId="516" priority="507">
      <formula>IF(BE7&gt;=BF7,IF(BE7="",FALSE,TRUE))</formula>
    </cfRule>
  </conditionalFormatting>
  <conditionalFormatting sqref="BE5:BE6 BG5:BG6">
    <cfRule type="expression" dxfId="515" priority="504">
      <formula>OR(IF(BE5&lt;BF5,TRUE),IF(AND(BF5="",BE5&lt;&gt;""),TRUE))</formula>
    </cfRule>
    <cfRule type="expression" dxfId="514" priority="505">
      <formula>IF(BE5&gt;=BF5,IF(BE5="",FALSE,TRUE))</formula>
    </cfRule>
  </conditionalFormatting>
  <conditionalFormatting sqref="BL12 BN12">
    <cfRule type="expression" dxfId="513" priority="502">
      <formula>OR(IF(BL12&lt;BM12,TRUE),IF(AND(BM12="",BL12&lt;&gt;""),TRUE))</formula>
    </cfRule>
    <cfRule type="expression" dxfId="512" priority="503">
      <formula>IF(BL12&gt;=BM12,IF(BL12="",FALSE,TRUE))</formula>
    </cfRule>
  </conditionalFormatting>
  <conditionalFormatting sqref="BL11 BN11">
    <cfRule type="expression" dxfId="511" priority="500">
      <formula>OR(IF(BL11&lt;BM11,TRUE),IF(AND(BM11="",BL11&lt;&gt;""),TRUE))</formula>
    </cfRule>
    <cfRule type="expression" dxfId="510" priority="501">
      <formula>IF(BL11&gt;=BM11,IF(BL11="",FALSE,TRUE))</formula>
    </cfRule>
  </conditionalFormatting>
  <conditionalFormatting sqref="BL10 BN10">
    <cfRule type="expression" dxfId="509" priority="498">
      <formula>OR(IF(BL10&lt;BM10,TRUE),IF(AND(BM10="",BL10&lt;&gt;""),TRUE))</formula>
    </cfRule>
    <cfRule type="expression" dxfId="508" priority="499">
      <formula>IF(BL10&gt;=BM10,IF(BL10="",FALSE,TRUE))</formula>
    </cfRule>
  </conditionalFormatting>
  <conditionalFormatting sqref="BL9 BN9">
    <cfRule type="expression" dxfId="507" priority="496">
      <formula>OR(IF(BL9&lt;BM9,TRUE),IF(AND(BM9="",BL9&lt;&gt;""),TRUE))</formula>
    </cfRule>
    <cfRule type="expression" dxfId="506" priority="497">
      <formula>IF(BL9&gt;=BM9,IF(BL9="",FALSE,TRUE))</formula>
    </cfRule>
  </conditionalFormatting>
  <conditionalFormatting sqref="BL7:BL8 BN7:BN8">
    <cfRule type="expression" dxfId="505" priority="494">
      <formula>OR(IF(BL7&lt;BM7,TRUE),IF(AND(BM7="",BL7&lt;&gt;""),TRUE))</formula>
    </cfRule>
    <cfRule type="expression" dxfId="504" priority="495">
      <formula>IF(BL7&gt;=BM7,IF(BL7="",FALSE,TRUE))</formula>
    </cfRule>
  </conditionalFormatting>
  <conditionalFormatting sqref="BL5:BL6 BN5:BN6">
    <cfRule type="expression" dxfId="503" priority="492">
      <formula>OR(IF(BL5&lt;BM5,TRUE),IF(AND(BM5="",BL5&lt;&gt;""),TRUE))</formula>
    </cfRule>
    <cfRule type="expression" dxfId="502" priority="493">
      <formula>IF(BL5&gt;=BM5,IF(BL5="",FALSE,TRUE))</formula>
    </cfRule>
  </conditionalFormatting>
  <conditionalFormatting sqref="BS12 BU12">
    <cfRule type="expression" dxfId="501" priority="490">
      <formula>OR(IF(BS12&lt;BT12,TRUE),IF(AND(BT12="",BS12&lt;&gt;""),TRUE))</formula>
    </cfRule>
    <cfRule type="expression" dxfId="500" priority="491">
      <formula>IF(BS12&gt;=BT12,IF(BS12="",FALSE,TRUE))</formula>
    </cfRule>
  </conditionalFormatting>
  <conditionalFormatting sqref="BS11 BU11">
    <cfRule type="expression" dxfId="499" priority="488">
      <formula>OR(IF(BS11&lt;BT11,TRUE),IF(AND(BT11="",BS11&lt;&gt;""),TRUE))</formula>
    </cfRule>
    <cfRule type="expression" dxfId="498" priority="489">
      <formula>IF(BS11&gt;=BT11,IF(BS11="",FALSE,TRUE))</formula>
    </cfRule>
  </conditionalFormatting>
  <conditionalFormatting sqref="BS10 BU10">
    <cfRule type="expression" dxfId="497" priority="486">
      <formula>OR(IF(BS10&lt;BT10,TRUE),IF(AND(BT10="",BS10&lt;&gt;""),TRUE))</formula>
    </cfRule>
    <cfRule type="expression" dxfId="496" priority="487">
      <formula>IF(BS10&gt;=BT10,IF(BS10="",FALSE,TRUE))</formula>
    </cfRule>
  </conditionalFormatting>
  <conditionalFormatting sqref="BS9 BU9">
    <cfRule type="expression" dxfId="495" priority="484">
      <formula>OR(IF(BS9&lt;BT9,TRUE),IF(AND(BT9="",BS9&lt;&gt;""),TRUE))</formula>
    </cfRule>
    <cfRule type="expression" dxfId="494" priority="485">
      <formula>IF(BS9&gt;=BT9,IF(BS9="",FALSE,TRUE))</formula>
    </cfRule>
  </conditionalFormatting>
  <conditionalFormatting sqref="BS7:BS8 BU7:BU8">
    <cfRule type="expression" dxfId="493" priority="482">
      <formula>OR(IF(BS7&lt;BT7,TRUE),IF(AND(BT7="",BS7&lt;&gt;""),TRUE))</formula>
    </cfRule>
    <cfRule type="expression" dxfId="492" priority="483">
      <formula>IF(BS7&gt;=BT7,IF(BS7="",FALSE,TRUE))</formula>
    </cfRule>
  </conditionalFormatting>
  <conditionalFormatting sqref="BS5:BS6 BU5:BU6">
    <cfRule type="expression" dxfId="491" priority="480">
      <formula>OR(IF(BS5&lt;BT5,TRUE),IF(AND(BT5="",BS5&lt;&gt;""),TRUE))</formula>
    </cfRule>
    <cfRule type="expression" dxfId="490" priority="481">
      <formula>IF(BS5&gt;=BT5,IF(BS5="",FALSE,TRUE))</formula>
    </cfRule>
  </conditionalFormatting>
  <conditionalFormatting sqref="BZ12 CB12">
    <cfRule type="expression" dxfId="453" priority="442">
      <formula>OR(IF(BZ12&lt;CA12,TRUE),IF(AND(CA12="",BZ12&lt;&gt;""),TRUE))</formula>
    </cfRule>
    <cfRule type="expression" dxfId="452" priority="443">
      <formula>IF(BZ12&gt;=CA12,IF(BZ12="",FALSE,TRUE))</formula>
    </cfRule>
  </conditionalFormatting>
  <conditionalFormatting sqref="BZ11 CB11">
    <cfRule type="expression" dxfId="451" priority="440">
      <formula>OR(IF(BZ11&lt;CA11,TRUE),IF(AND(CA11="",BZ11&lt;&gt;""),TRUE))</formula>
    </cfRule>
    <cfRule type="expression" dxfId="450" priority="441">
      <formula>IF(BZ11&gt;=CA11,IF(BZ11="",FALSE,TRUE))</formula>
    </cfRule>
  </conditionalFormatting>
  <conditionalFormatting sqref="BZ10 CB10">
    <cfRule type="expression" dxfId="449" priority="438">
      <formula>OR(IF(BZ10&lt;CA10,TRUE),IF(AND(CA10="",BZ10&lt;&gt;""),TRUE))</formula>
    </cfRule>
    <cfRule type="expression" dxfId="448" priority="439">
      <formula>IF(BZ10&gt;=CA10,IF(BZ10="",FALSE,TRUE))</formula>
    </cfRule>
  </conditionalFormatting>
  <conditionalFormatting sqref="BZ9 CB9">
    <cfRule type="expression" dxfId="447" priority="436">
      <formula>OR(IF(BZ9&lt;CA9,TRUE),IF(AND(CA9="",BZ9&lt;&gt;""),TRUE))</formula>
    </cfRule>
    <cfRule type="expression" dxfId="446" priority="437">
      <formula>IF(BZ9&gt;=CA9,IF(BZ9="",FALSE,TRUE))</formula>
    </cfRule>
  </conditionalFormatting>
  <conditionalFormatting sqref="BZ7:BZ8 CB7:CB8">
    <cfRule type="expression" dxfId="445" priority="434">
      <formula>OR(IF(BZ7&lt;CA7,TRUE),IF(AND(CA7="",BZ7&lt;&gt;""),TRUE))</formula>
    </cfRule>
    <cfRule type="expression" dxfId="444" priority="435">
      <formula>IF(BZ7&gt;=CA7,IF(BZ7="",FALSE,TRUE))</formula>
    </cfRule>
  </conditionalFormatting>
  <conditionalFormatting sqref="BZ5:BZ6 CB5:CB6">
    <cfRule type="expression" dxfId="443" priority="432">
      <formula>OR(IF(BZ5&lt;CA5,TRUE),IF(AND(CA5="",BZ5&lt;&gt;""),TRUE))</formula>
    </cfRule>
    <cfRule type="expression" dxfId="442" priority="433">
      <formula>IF(BZ5&gt;=CA5,IF(BZ5="",FALSE,TRUE))</formula>
    </cfRule>
  </conditionalFormatting>
  <conditionalFormatting sqref="CG12 CI12">
    <cfRule type="expression" dxfId="441" priority="430">
      <formula>OR(IF(CG12&lt;CH12,TRUE),IF(AND(CH12="",CG12&lt;&gt;""),TRUE))</formula>
    </cfRule>
    <cfRule type="expression" dxfId="440" priority="431">
      <formula>IF(CG12&gt;=CH12,IF(CG12="",FALSE,TRUE))</formula>
    </cfRule>
  </conditionalFormatting>
  <conditionalFormatting sqref="CG11 CI11">
    <cfRule type="expression" dxfId="439" priority="428">
      <formula>OR(IF(CG11&lt;CH11,TRUE),IF(AND(CH11="",CG11&lt;&gt;""),TRUE))</formula>
    </cfRule>
    <cfRule type="expression" dxfId="438" priority="429">
      <formula>IF(CG11&gt;=CH11,IF(CG11="",FALSE,TRUE))</formula>
    </cfRule>
  </conditionalFormatting>
  <conditionalFormatting sqref="CG10 CI10">
    <cfRule type="expression" dxfId="437" priority="426">
      <formula>OR(IF(CG10&lt;CH10,TRUE),IF(AND(CH10="",CG10&lt;&gt;""),TRUE))</formula>
    </cfRule>
    <cfRule type="expression" dxfId="436" priority="427">
      <formula>IF(CG10&gt;=CH10,IF(CG10="",FALSE,TRUE))</formula>
    </cfRule>
  </conditionalFormatting>
  <conditionalFormatting sqref="CG9 CI9">
    <cfRule type="expression" dxfId="435" priority="424">
      <formula>OR(IF(CG9&lt;CH9,TRUE),IF(AND(CH9="",CG9&lt;&gt;""),TRUE))</formula>
    </cfRule>
    <cfRule type="expression" dxfId="434" priority="425">
      <formula>IF(CG9&gt;=CH9,IF(CG9="",FALSE,TRUE))</formula>
    </cfRule>
  </conditionalFormatting>
  <conditionalFormatting sqref="CG7:CG8 CI7:CI8">
    <cfRule type="expression" dxfId="433" priority="422">
      <formula>OR(IF(CG7&lt;CH7,TRUE),IF(AND(CH7="",CG7&lt;&gt;""),TRUE))</formula>
    </cfRule>
    <cfRule type="expression" dxfId="432" priority="423">
      <formula>IF(CG7&gt;=CH7,IF(CG7="",FALSE,TRUE))</formula>
    </cfRule>
  </conditionalFormatting>
  <conditionalFormatting sqref="CG5:CG6 CI5:CI6">
    <cfRule type="expression" dxfId="431" priority="420">
      <formula>OR(IF(CG5&lt;CH5,TRUE),IF(AND(CH5="",CG5&lt;&gt;""),TRUE))</formula>
    </cfRule>
    <cfRule type="expression" dxfId="430" priority="421">
      <formula>IF(CG5&gt;=CH5,IF(CG5="",FALSE,TRUE))</formula>
    </cfRule>
  </conditionalFormatting>
  <conditionalFormatting sqref="CN12 CP12">
    <cfRule type="expression" dxfId="429" priority="418">
      <formula>OR(IF(CN12&lt;CO12,TRUE),IF(AND(CO12="",CN12&lt;&gt;""),TRUE))</formula>
    </cfRule>
    <cfRule type="expression" dxfId="428" priority="419">
      <formula>IF(CN12&gt;=CO12,IF(CN12="",FALSE,TRUE))</formula>
    </cfRule>
  </conditionalFormatting>
  <conditionalFormatting sqref="CN11 CP11">
    <cfRule type="expression" dxfId="427" priority="416">
      <formula>OR(IF(CN11&lt;CO11,TRUE),IF(AND(CO11="",CN11&lt;&gt;""),TRUE))</formula>
    </cfRule>
    <cfRule type="expression" dxfId="426" priority="417">
      <formula>IF(CN11&gt;=CO11,IF(CN11="",FALSE,TRUE))</formula>
    </cfRule>
  </conditionalFormatting>
  <conditionalFormatting sqref="CN10 CP10">
    <cfRule type="expression" dxfId="425" priority="414">
      <formula>OR(IF(CN10&lt;CO10,TRUE),IF(AND(CO10="",CN10&lt;&gt;""),TRUE))</formula>
    </cfRule>
    <cfRule type="expression" dxfId="424" priority="415">
      <formula>IF(CN10&gt;=CO10,IF(CN10="",FALSE,TRUE))</formula>
    </cfRule>
  </conditionalFormatting>
  <conditionalFormatting sqref="CN9 CP9">
    <cfRule type="expression" dxfId="423" priority="412">
      <formula>OR(IF(CN9&lt;CO9,TRUE),IF(AND(CO9="",CN9&lt;&gt;""),TRUE))</formula>
    </cfRule>
    <cfRule type="expression" dxfId="422" priority="413">
      <formula>IF(CN9&gt;=CO9,IF(CN9="",FALSE,TRUE))</formula>
    </cfRule>
  </conditionalFormatting>
  <conditionalFormatting sqref="CN7:CN8 CP7:CP8">
    <cfRule type="expression" dxfId="421" priority="410">
      <formula>OR(IF(CN7&lt;CO7,TRUE),IF(AND(CO7="",CN7&lt;&gt;""),TRUE))</formula>
    </cfRule>
    <cfRule type="expression" dxfId="420" priority="411">
      <formula>IF(CN7&gt;=CO7,IF(CN7="",FALSE,TRUE))</formula>
    </cfRule>
  </conditionalFormatting>
  <conditionalFormatting sqref="CN5:CN6 CP5:CP6">
    <cfRule type="expression" dxfId="419" priority="408">
      <formula>OR(IF(CN5&lt;CO5,TRUE),IF(AND(CO5="",CN5&lt;&gt;""),TRUE))</formula>
    </cfRule>
    <cfRule type="expression" dxfId="418" priority="409">
      <formula>IF(CN5&gt;=CO5,IF(CN5="",FALSE,TRUE))</formula>
    </cfRule>
  </conditionalFormatting>
  <conditionalFormatting sqref="CU12 CW12">
    <cfRule type="expression" dxfId="417" priority="406">
      <formula>OR(IF(CU12&lt;CV12,TRUE),IF(AND(CV12="",CU12&lt;&gt;""),TRUE))</formula>
    </cfRule>
    <cfRule type="expression" dxfId="416" priority="407">
      <formula>IF(CU12&gt;=CV12,IF(CU12="",FALSE,TRUE))</formula>
    </cfRule>
  </conditionalFormatting>
  <conditionalFormatting sqref="CU11 CW11">
    <cfRule type="expression" dxfId="415" priority="404">
      <formula>OR(IF(CU11&lt;CV11,TRUE),IF(AND(CV11="",CU11&lt;&gt;""),TRUE))</formula>
    </cfRule>
    <cfRule type="expression" dxfId="414" priority="405">
      <formula>IF(CU11&gt;=CV11,IF(CU11="",FALSE,TRUE))</formula>
    </cfRule>
  </conditionalFormatting>
  <conditionalFormatting sqref="CU10 CW10">
    <cfRule type="expression" dxfId="413" priority="402">
      <formula>OR(IF(CU10&lt;CV10,TRUE),IF(AND(CV10="",CU10&lt;&gt;""),TRUE))</formula>
    </cfRule>
    <cfRule type="expression" dxfId="412" priority="403">
      <formula>IF(CU10&gt;=CV10,IF(CU10="",FALSE,TRUE))</formula>
    </cfRule>
  </conditionalFormatting>
  <conditionalFormatting sqref="CU9 CW9">
    <cfRule type="expression" dxfId="411" priority="400">
      <formula>OR(IF(CU9&lt;CV9,TRUE),IF(AND(CV9="",CU9&lt;&gt;""),TRUE))</formula>
    </cfRule>
    <cfRule type="expression" dxfId="410" priority="401">
      <formula>IF(CU9&gt;=CV9,IF(CU9="",FALSE,TRUE))</formula>
    </cfRule>
  </conditionalFormatting>
  <conditionalFormatting sqref="CU7:CU8 CW7:CW8">
    <cfRule type="expression" dxfId="409" priority="398">
      <formula>OR(IF(CU7&lt;CV7,TRUE),IF(AND(CV7="",CU7&lt;&gt;""),TRUE))</formula>
    </cfRule>
    <cfRule type="expression" dxfId="408" priority="399">
      <formula>IF(CU7&gt;=CV7,IF(CU7="",FALSE,TRUE))</formula>
    </cfRule>
  </conditionalFormatting>
  <conditionalFormatting sqref="CU5:CU6 CW5:CW6">
    <cfRule type="expression" dxfId="407" priority="396">
      <formula>OR(IF(CU5&lt;CV5,TRUE),IF(AND(CV5="",CU5&lt;&gt;""),TRUE))</formula>
    </cfRule>
    <cfRule type="expression" dxfId="406" priority="397">
      <formula>IF(CU5&gt;=CV5,IF(CU5="",FALSE,TRUE))</formula>
    </cfRule>
  </conditionalFormatting>
  <conditionalFormatting sqref="DB12 DD12">
    <cfRule type="expression" dxfId="405" priority="394">
      <formula>OR(IF(DB12&lt;DC12,TRUE),IF(AND(DC12="",DB12&lt;&gt;""),TRUE))</formula>
    </cfRule>
    <cfRule type="expression" dxfId="404" priority="395">
      <formula>IF(DB12&gt;=DC12,IF(DB12="",FALSE,TRUE))</formula>
    </cfRule>
  </conditionalFormatting>
  <conditionalFormatting sqref="DB11 DD11">
    <cfRule type="expression" dxfId="403" priority="392">
      <formula>OR(IF(DB11&lt;DC11,TRUE),IF(AND(DC11="",DB11&lt;&gt;""),TRUE))</formula>
    </cfRule>
    <cfRule type="expression" dxfId="402" priority="393">
      <formula>IF(DB11&gt;=DC11,IF(DB11="",FALSE,TRUE))</formula>
    </cfRule>
  </conditionalFormatting>
  <conditionalFormatting sqref="DB10 DD10">
    <cfRule type="expression" dxfId="401" priority="390">
      <formula>OR(IF(DB10&lt;DC10,TRUE),IF(AND(DC10="",DB10&lt;&gt;""),TRUE))</formula>
    </cfRule>
    <cfRule type="expression" dxfId="400" priority="391">
      <formula>IF(DB10&gt;=DC10,IF(DB10="",FALSE,TRUE))</formula>
    </cfRule>
  </conditionalFormatting>
  <conditionalFormatting sqref="DB9 DD9">
    <cfRule type="expression" dxfId="399" priority="388">
      <formula>OR(IF(DB9&lt;DC9,TRUE),IF(AND(DC9="",DB9&lt;&gt;""),TRUE))</formula>
    </cfRule>
    <cfRule type="expression" dxfId="398" priority="389">
      <formula>IF(DB9&gt;=DC9,IF(DB9="",FALSE,TRUE))</formula>
    </cfRule>
  </conditionalFormatting>
  <conditionalFormatting sqref="DB7:DB8 DD7:DD8">
    <cfRule type="expression" dxfId="397" priority="386">
      <formula>OR(IF(DB7&lt;DC7,TRUE),IF(AND(DC7="",DB7&lt;&gt;""),TRUE))</formula>
    </cfRule>
    <cfRule type="expression" dxfId="396" priority="387">
      <formula>IF(DB7&gt;=DC7,IF(DB7="",FALSE,TRUE))</formula>
    </cfRule>
  </conditionalFormatting>
  <conditionalFormatting sqref="DB5:DB6 DD5:DD6">
    <cfRule type="expression" dxfId="395" priority="384">
      <formula>OR(IF(DB5&lt;DC5,TRUE),IF(AND(DC5="",DB5&lt;&gt;""),TRUE))</formula>
    </cfRule>
    <cfRule type="expression" dxfId="394" priority="385">
      <formula>IF(DB5&gt;=DC5,IF(DB5="",FALSE,TRUE))</formula>
    </cfRule>
  </conditionalFormatting>
  <conditionalFormatting sqref="O21:O23 Q21:Q23">
    <cfRule type="expression" dxfId="393" priority="381">
      <formula>OR(IF(O21&lt;P21,TRUE),IF(AND(P21="",O21&lt;&gt;""),TRUE))</formula>
    </cfRule>
    <cfRule type="expression" dxfId="392" priority="382">
      <formula>IF(O21&gt;=P21,IF(O21="",FALSE,TRUE))</formula>
    </cfRule>
  </conditionalFormatting>
  <conditionalFormatting sqref="AQ22:AQ23 AS22:AS23">
    <cfRule type="expression" dxfId="391" priority="357">
      <formula>OR(IF(AQ22&lt;AR22,TRUE),IF(AND(AR22="",AQ22&lt;&gt;""),TRUE))</formula>
    </cfRule>
    <cfRule type="expression" dxfId="390" priority="358">
      <formula>IF(AQ22&gt;=AR22,IF(AQ22="",FALSE,TRUE))</formula>
    </cfRule>
  </conditionalFormatting>
  <conditionalFormatting sqref="J21:K24">
    <cfRule type="colorScale" priority="383">
      <colorScale>
        <cfvo type="percent" val="0"/>
        <cfvo type="percent" val="100"/>
        <color rgb="FFFF231B"/>
        <color rgb="FF10FF07"/>
      </colorScale>
    </cfRule>
  </conditionalFormatting>
  <conditionalFormatting sqref="O24">
    <cfRule type="expression" dxfId="385" priority="379">
      <formula>OR(IF(O24&lt;P24,TRUE),IF(AND(P24="",O24&lt;&gt;""),TRUE))</formula>
    </cfRule>
    <cfRule type="expression" dxfId="384" priority="380">
      <formula>IF(O24&gt;=P24,IF(O24="",FALSE,TRUE))</formula>
    </cfRule>
  </conditionalFormatting>
  <conditionalFormatting sqref="Q24">
    <cfRule type="expression" dxfId="383" priority="377">
      <formula>OR(IF(Q24&lt;R24,TRUE),IF(AND(R24="",Q24&lt;&gt;""),TRUE))</formula>
    </cfRule>
    <cfRule type="expression" dxfId="382" priority="378">
      <formula>IF(Q24&gt;=R24,IF(Q24="",FALSE,TRUE))</formula>
    </cfRule>
  </conditionalFormatting>
  <conditionalFormatting sqref="V21:V23 X21:X23">
    <cfRule type="expression" dxfId="381" priority="375">
      <formula>OR(IF(V21&lt;W21,TRUE),IF(AND(W21="",V21&lt;&gt;""),TRUE))</formula>
    </cfRule>
    <cfRule type="expression" dxfId="380" priority="376">
      <formula>IF(V21&gt;=W21,IF(V21="",FALSE,TRUE))</formula>
    </cfRule>
  </conditionalFormatting>
  <conditionalFormatting sqref="V24">
    <cfRule type="expression" dxfId="379" priority="373">
      <formula>OR(IF(V24&lt;W24,TRUE),IF(AND(W24="",V24&lt;&gt;""),TRUE))</formula>
    </cfRule>
    <cfRule type="expression" dxfId="378" priority="374">
      <formula>IF(V24&gt;=W24,IF(V24="",FALSE,TRUE))</formula>
    </cfRule>
  </conditionalFormatting>
  <conditionalFormatting sqref="X24">
    <cfRule type="expression" dxfId="377" priority="371">
      <formula>OR(IF(X24&lt;Y24,TRUE),IF(AND(Y24="",X24&lt;&gt;""),TRUE))</formula>
    </cfRule>
    <cfRule type="expression" dxfId="376" priority="372">
      <formula>IF(X24&gt;=Y24,IF(X24="",FALSE,TRUE))</formula>
    </cfRule>
  </conditionalFormatting>
  <conditionalFormatting sqref="AC21:AC23 AE21:AE23">
    <cfRule type="expression" dxfId="375" priority="369">
      <formula>OR(IF(AC21&lt;AD21,TRUE),IF(AND(AD21="",AC21&lt;&gt;""),TRUE))</formula>
    </cfRule>
    <cfRule type="expression" dxfId="374" priority="370">
      <formula>IF(AC21&gt;=AD21,IF(AC21="",FALSE,TRUE))</formula>
    </cfRule>
  </conditionalFormatting>
  <conditionalFormatting sqref="AC24">
    <cfRule type="expression" dxfId="373" priority="367">
      <formula>OR(IF(AC24&lt;AD24,TRUE),IF(AND(AD24="",AC24&lt;&gt;""),TRUE))</formula>
    </cfRule>
    <cfRule type="expression" dxfId="372" priority="368">
      <formula>IF(AC24&gt;=AD24,IF(AC24="",FALSE,TRUE))</formula>
    </cfRule>
  </conditionalFormatting>
  <conditionalFormatting sqref="AE24">
    <cfRule type="expression" dxfId="371" priority="365">
      <formula>OR(IF(AE24&lt;AF24,TRUE),IF(AND(AF24="",AE24&lt;&gt;""),TRUE))</formula>
    </cfRule>
    <cfRule type="expression" dxfId="370" priority="366">
      <formula>IF(AE24&gt;=AF24,IF(AE24="",FALSE,TRUE))</formula>
    </cfRule>
  </conditionalFormatting>
  <conditionalFormatting sqref="AJ21:AJ23 AL21:AL23">
    <cfRule type="expression" dxfId="369" priority="363">
      <formula>OR(IF(AJ21&lt;AK21,TRUE),IF(AND(AK21="",AJ21&lt;&gt;""),TRUE))</formula>
    </cfRule>
    <cfRule type="expression" dxfId="368" priority="364">
      <formula>IF(AJ21&gt;=AK21,IF(AJ21="",FALSE,TRUE))</formula>
    </cfRule>
  </conditionalFormatting>
  <conditionalFormatting sqref="AJ24">
    <cfRule type="expression" dxfId="367" priority="361">
      <formula>OR(IF(AJ24&lt;AK24,TRUE),IF(AND(AK24="",AJ24&lt;&gt;""),TRUE))</formula>
    </cfRule>
    <cfRule type="expression" dxfId="366" priority="362">
      <formula>IF(AJ24&gt;=AK24,IF(AJ24="",FALSE,TRUE))</formula>
    </cfRule>
  </conditionalFormatting>
  <conditionalFormatting sqref="AL24">
    <cfRule type="expression" dxfId="365" priority="359">
      <formula>OR(IF(AL24&lt;AM24,TRUE),IF(AND(AM24="",AL24&lt;&gt;""),TRUE))</formula>
    </cfRule>
    <cfRule type="expression" dxfId="364" priority="360">
      <formula>IF(AL24&gt;=AM24,IF(AL24="",FALSE,TRUE))</formula>
    </cfRule>
  </conditionalFormatting>
  <conditionalFormatting sqref="AQ24">
    <cfRule type="expression" dxfId="363" priority="355">
      <formula>OR(IF(AQ24&lt;AR24,TRUE),IF(AND(AR24="",AQ24&lt;&gt;""),TRUE))</formula>
    </cfRule>
    <cfRule type="expression" dxfId="362" priority="356">
      <formula>IF(AQ24&gt;=AR24,IF(AQ24="",FALSE,TRUE))</formula>
    </cfRule>
  </conditionalFormatting>
  <conditionalFormatting sqref="AS24">
    <cfRule type="expression" dxfId="361" priority="353">
      <formula>OR(IF(AS24&lt;AT24,TRUE),IF(AND(AT24="",AS24&lt;&gt;""),TRUE))</formula>
    </cfRule>
    <cfRule type="expression" dxfId="360" priority="354">
      <formula>IF(AS24&gt;=AT24,IF(AS24="",FALSE,TRUE))</formula>
    </cfRule>
  </conditionalFormatting>
  <conditionalFormatting sqref="AX23 AZ23">
    <cfRule type="expression" dxfId="267" priority="267">
      <formula>OR(IF(AX23&lt;AY23,TRUE),IF(AND(AY23="",AX23&lt;&gt;""),TRUE))</formula>
    </cfRule>
    <cfRule type="expression" dxfId="266" priority="268">
      <formula>IF(AX23&gt;=AY23,IF(AX23="",FALSE,TRUE))</formula>
    </cfRule>
  </conditionalFormatting>
  <conditionalFormatting sqref="AX24">
    <cfRule type="expression" dxfId="265" priority="265">
      <formula>OR(IF(AX24&lt;AY24,TRUE),IF(AND(AY24="",AX24&lt;&gt;""),TRUE))</formula>
    </cfRule>
    <cfRule type="expression" dxfId="264" priority="266">
      <formula>IF(AX24&gt;=AY24,IF(AX24="",FALSE,TRUE))</formula>
    </cfRule>
  </conditionalFormatting>
  <conditionalFormatting sqref="AZ24">
    <cfRule type="expression" dxfId="263" priority="263">
      <formula>OR(IF(AZ24&lt;BA24,TRUE),IF(AND(BA24="",AZ24&lt;&gt;""),TRUE))</formula>
    </cfRule>
    <cfRule type="expression" dxfId="262" priority="264">
      <formula>IF(AZ24&gt;=BA24,IF(AZ24="",FALSE,TRUE))</formula>
    </cfRule>
  </conditionalFormatting>
  <conditionalFormatting sqref="BE24">
    <cfRule type="expression" dxfId="253" priority="253">
      <formula>OR(IF(BE24&lt;BF24,TRUE),IF(AND(BF24="",BE24&lt;&gt;""),TRUE))</formula>
    </cfRule>
    <cfRule type="expression" dxfId="252" priority="254">
      <formula>IF(BE24&gt;=BF24,IF(BE24="",FALSE,TRUE))</formula>
    </cfRule>
  </conditionalFormatting>
  <conditionalFormatting sqref="BG24">
    <cfRule type="expression" dxfId="251" priority="251">
      <formula>OR(IF(BG24&lt;BH24,TRUE),IF(AND(BH24="",BG24&lt;&gt;""),TRUE))</formula>
    </cfRule>
    <cfRule type="expression" dxfId="250" priority="252">
      <formula>IF(BG24&gt;=BH24,IF(BG24="",FALSE,TRUE))</formula>
    </cfRule>
  </conditionalFormatting>
  <conditionalFormatting sqref="DB15:DB19 DD15:DD19">
    <cfRule type="expression" dxfId="177" priority="177">
      <formula>OR(IF(DB15&lt;DC15,TRUE),IF(AND(DC15="",DB15&lt;&gt;""),TRUE))</formula>
    </cfRule>
    <cfRule type="expression" dxfId="176" priority="178">
      <formula>IF(DB15&gt;=DC15,IF(DB15="",FALSE,TRUE))</formula>
    </cfRule>
  </conditionalFormatting>
  <conditionalFormatting sqref="DB20">
    <cfRule type="expression" dxfId="175" priority="175">
      <formula>OR(IF(DB20&lt;DC20,TRUE),IF(AND(DC20="",DB20&lt;&gt;""),TRUE))</formula>
    </cfRule>
    <cfRule type="expression" dxfId="174" priority="176">
      <formula>IF(DB20&gt;=DC20,IF(DB20="",FALSE,TRUE))</formula>
    </cfRule>
  </conditionalFormatting>
  <conditionalFormatting sqref="DD20">
    <cfRule type="expression" dxfId="173" priority="173">
      <formula>OR(IF(DD20&lt;DE20,TRUE),IF(AND(DE20="",DD20&lt;&gt;""),TRUE))</formula>
    </cfRule>
    <cfRule type="expression" dxfId="172" priority="174">
      <formula>IF(DD20&gt;=DE20,IF(DD20="",FALSE,TRUE))</formula>
    </cfRule>
  </conditionalFormatting>
  <conditionalFormatting sqref="DB21:DB23 DD21:DD23">
    <cfRule type="expression" dxfId="171" priority="171">
      <formula>OR(IF(DB21&lt;DC21,TRUE),IF(AND(DC21="",DB21&lt;&gt;""),TRUE))</formula>
    </cfRule>
    <cfRule type="expression" dxfId="170" priority="172">
      <formula>IF(DB21&gt;=DC21,IF(DB21="",FALSE,TRUE))</formula>
    </cfRule>
  </conditionalFormatting>
  <conditionalFormatting sqref="DB24">
    <cfRule type="expression" dxfId="169" priority="169">
      <formula>OR(IF(DB24&lt;DC24,TRUE),IF(AND(DC24="",DB24&lt;&gt;""),TRUE))</formula>
    </cfRule>
    <cfRule type="expression" dxfId="168" priority="170">
      <formula>IF(DB24&gt;=DC24,IF(DB24="",FALSE,TRUE))</formula>
    </cfRule>
  </conditionalFormatting>
  <conditionalFormatting sqref="DD24">
    <cfRule type="expression" dxfId="167" priority="167">
      <formula>OR(IF(DD24&lt;DE24,TRUE),IF(AND(DE24="",DD24&lt;&gt;""),TRUE))</formula>
    </cfRule>
    <cfRule type="expression" dxfId="166" priority="168">
      <formula>IF(DD24&gt;=DE24,IF(DD24="",FALSE,TRUE))</formula>
    </cfRule>
  </conditionalFormatting>
  <conditionalFormatting sqref="DI15:DI19 DK15:DK19">
    <cfRule type="expression" dxfId="165" priority="165">
      <formula>OR(IF(DI15&lt;DJ15,TRUE),IF(AND(DJ15="",DI15&lt;&gt;""),TRUE))</formula>
    </cfRule>
    <cfRule type="expression" dxfId="164" priority="166">
      <formula>IF(DI15&gt;=DJ15,IF(DI15="",FALSE,TRUE))</formula>
    </cfRule>
  </conditionalFormatting>
  <conditionalFormatting sqref="DI20">
    <cfRule type="expression" dxfId="163" priority="163">
      <formula>OR(IF(DI20&lt;DJ20,TRUE),IF(AND(DJ20="",DI20&lt;&gt;""),TRUE))</formula>
    </cfRule>
    <cfRule type="expression" dxfId="162" priority="164">
      <formula>IF(DI20&gt;=DJ20,IF(DI20="",FALSE,TRUE))</formula>
    </cfRule>
  </conditionalFormatting>
  <conditionalFormatting sqref="DK20">
    <cfRule type="expression" dxfId="161" priority="161">
      <formula>OR(IF(DK20&lt;DL20,TRUE),IF(AND(DL20="",DK20&lt;&gt;""),TRUE))</formula>
    </cfRule>
    <cfRule type="expression" dxfId="160" priority="162">
      <formula>IF(DK20&gt;=DL20,IF(DK20="",FALSE,TRUE))</formula>
    </cfRule>
  </conditionalFormatting>
  <conditionalFormatting sqref="DI21:DI23 DK21:DK23">
    <cfRule type="expression" dxfId="159" priority="159">
      <formula>OR(IF(DI21&lt;DJ21,TRUE),IF(AND(DJ21="",DI21&lt;&gt;""),TRUE))</formula>
    </cfRule>
    <cfRule type="expression" dxfId="158" priority="160">
      <formula>IF(DI21&gt;=DJ21,IF(DI21="",FALSE,TRUE))</formula>
    </cfRule>
  </conditionalFormatting>
  <conditionalFormatting sqref="DI24">
    <cfRule type="expression" dxfId="157" priority="157">
      <formula>OR(IF(DI24&lt;DJ24,TRUE),IF(AND(DJ24="",DI24&lt;&gt;""),TRUE))</formula>
    </cfRule>
    <cfRule type="expression" dxfId="156" priority="158">
      <formula>IF(DI24&gt;=DJ24,IF(DI24="",FALSE,TRUE))</formula>
    </cfRule>
  </conditionalFormatting>
  <conditionalFormatting sqref="DK24">
    <cfRule type="expression" dxfId="155" priority="155">
      <formula>OR(IF(DK24&lt;DL24,TRUE),IF(AND(DL24="",DK24&lt;&gt;""),TRUE))</formula>
    </cfRule>
    <cfRule type="expression" dxfId="154" priority="156">
      <formula>IF(DK24&gt;=DL24,IF(DK24="",FALSE,TRUE))</formula>
    </cfRule>
  </conditionalFormatting>
  <conditionalFormatting sqref="AC15:AC18 AE15:AE18">
    <cfRule type="expression" dxfId="153" priority="153">
      <formula>OR(IF(AC15&lt;AD15,TRUE),IF(AND(AD15="",AC15&lt;&gt;""),TRUE))</formula>
    </cfRule>
    <cfRule type="expression" dxfId="152" priority="154">
      <formula>IF(AC15&gt;=AD15,IF(AC15="",FALSE,TRUE))</formula>
    </cfRule>
  </conditionalFormatting>
  <conditionalFormatting sqref="AJ19 AL19">
    <cfRule type="expression" dxfId="151" priority="151">
      <formula>OR(IF(AJ19&lt;AK19,TRUE),IF(AND(AK19="",AJ19&lt;&gt;""),TRUE))</formula>
    </cfRule>
    <cfRule type="expression" dxfId="150" priority="152">
      <formula>IF(AJ19&gt;=AK19,IF(AJ19="",FALSE,TRUE))</formula>
    </cfRule>
  </conditionalFormatting>
  <conditionalFormatting sqref="AJ20">
    <cfRule type="expression" dxfId="149" priority="149">
      <formula>OR(IF(AJ20&lt;AK20,TRUE),IF(AND(AK20="",AJ20&lt;&gt;""),TRUE))</formula>
    </cfRule>
    <cfRule type="expression" dxfId="148" priority="150">
      <formula>IF(AJ20&gt;=AK20,IF(AJ20="",FALSE,TRUE))</formula>
    </cfRule>
  </conditionalFormatting>
  <conditionalFormatting sqref="AL20">
    <cfRule type="expression" dxfId="147" priority="147">
      <formula>OR(IF(AL20&lt;AM20,TRUE),IF(AND(AM20="",AL20&lt;&gt;""),TRUE))</formula>
    </cfRule>
    <cfRule type="expression" dxfId="146" priority="148">
      <formula>IF(AL20&gt;=AM20,IF(AL20="",FALSE,TRUE))</formula>
    </cfRule>
  </conditionalFormatting>
  <conditionalFormatting sqref="AJ15:AJ18 AL15:AL18">
    <cfRule type="expression" dxfId="145" priority="145">
      <formula>OR(IF(AJ15&lt;AK15,TRUE),IF(AND(AK15="",AJ15&lt;&gt;""),TRUE))</formula>
    </cfRule>
    <cfRule type="expression" dxfId="144" priority="146">
      <formula>IF(AJ15&gt;=AK15,IF(AJ15="",FALSE,TRUE))</formula>
    </cfRule>
  </conditionalFormatting>
  <conditionalFormatting sqref="AQ21 AS21">
    <cfRule type="expression" dxfId="143" priority="143">
      <formula>OR(IF(AQ21&lt;AR21,TRUE),IF(AND(AR21="",AQ21&lt;&gt;""),TRUE))</formula>
    </cfRule>
    <cfRule type="expression" dxfId="142" priority="144">
      <formula>IF(AQ21&gt;=AR21,IF(AQ21="",FALSE,TRUE))</formula>
    </cfRule>
  </conditionalFormatting>
  <conditionalFormatting sqref="AQ19 AS19">
    <cfRule type="expression" dxfId="141" priority="141">
      <formula>OR(IF(AQ19&lt;AR19,TRUE),IF(AND(AR19="",AQ19&lt;&gt;""),TRUE))</formula>
    </cfRule>
    <cfRule type="expression" dxfId="140" priority="142">
      <formula>IF(AQ19&gt;=AR19,IF(AQ19="",FALSE,TRUE))</formula>
    </cfRule>
  </conditionalFormatting>
  <conditionalFormatting sqref="AQ20">
    <cfRule type="expression" dxfId="139" priority="139">
      <formula>OR(IF(AQ20&lt;AR20,TRUE),IF(AND(AR20="",AQ20&lt;&gt;""),TRUE))</formula>
    </cfRule>
    <cfRule type="expression" dxfId="138" priority="140">
      <formula>IF(AQ20&gt;=AR20,IF(AQ20="",FALSE,TRUE))</formula>
    </cfRule>
  </conditionalFormatting>
  <conditionalFormatting sqref="AS20">
    <cfRule type="expression" dxfId="137" priority="137">
      <formula>OR(IF(AS20&lt;AT20,TRUE),IF(AND(AT20="",AS20&lt;&gt;""),TRUE))</formula>
    </cfRule>
    <cfRule type="expression" dxfId="136" priority="138">
      <formula>IF(AS20&gt;=AT20,IF(AS20="",FALSE,TRUE))</formula>
    </cfRule>
  </conditionalFormatting>
  <conditionalFormatting sqref="AQ15:AQ18 AS15:AS18">
    <cfRule type="expression" dxfId="135" priority="135">
      <formula>OR(IF(AQ15&lt;AR15,TRUE),IF(AND(AR15="",AQ15&lt;&gt;""),TRUE))</formula>
    </cfRule>
    <cfRule type="expression" dxfId="134" priority="136">
      <formula>IF(AQ15&gt;=AR15,IF(AQ15="",FALSE,TRUE))</formula>
    </cfRule>
  </conditionalFormatting>
  <conditionalFormatting sqref="AX22 AZ22">
    <cfRule type="expression" dxfId="133" priority="133">
      <formula>OR(IF(AX22&lt;AY22,TRUE),IF(AND(AY22="",AX22&lt;&gt;""),TRUE))</formula>
    </cfRule>
    <cfRule type="expression" dxfId="132" priority="134">
      <formula>IF(AX22&gt;=AY22,IF(AX22="",FALSE,TRUE))</formula>
    </cfRule>
  </conditionalFormatting>
  <conditionalFormatting sqref="AX21 AZ21">
    <cfRule type="expression" dxfId="131" priority="131">
      <formula>OR(IF(AX21&lt;AY21,TRUE),IF(AND(AY21="",AX21&lt;&gt;""),TRUE))</formula>
    </cfRule>
    <cfRule type="expression" dxfId="130" priority="132">
      <formula>IF(AX21&gt;=AY21,IF(AX21="",FALSE,TRUE))</formula>
    </cfRule>
  </conditionalFormatting>
  <conditionalFormatting sqref="AX19 AZ19">
    <cfRule type="expression" dxfId="129" priority="129">
      <formula>OR(IF(AX19&lt;AY19,TRUE),IF(AND(AY19="",AX19&lt;&gt;""),TRUE))</formula>
    </cfRule>
    <cfRule type="expression" dxfId="128" priority="130">
      <formula>IF(AX19&gt;=AY19,IF(AX19="",FALSE,TRUE))</formula>
    </cfRule>
  </conditionalFormatting>
  <conditionalFormatting sqref="AX20">
    <cfRule type="expression" dxfId="127" priority="127">
      <formula>OR(IF(AX20&lt;AY20,TRUE),IF(AND(AY20="",AX20&lt;&gt;""),TRUE))</formula>
    </cfRule>
    <cfRule type="expression" dxfId="126" priority="128">
      <formula>IF(AX20&gt;=AY20,IF(AX20="",FALSE,TRUE))</formula>
    </cfRule>
  </conditionalFormatting>
  <conditionalFormatting sqref="AZ20">
    <cfRule type="expression" dxfId="125" priority="125">
      <formula>OR(IF(AZ20&lt;BA20,TRUE),IF(AND(BA20="",AZ20&lt;&gt;""),TRUE))</formula>
    </cfRule>
    <cfRule type="expression" dxfId="124" priority="126">
      <formula>IF(AZ20&gt;=BA20,IF(AZ20="",FALSE,TRUE))</formula>
    </cfRule>
  </conditionalFormatting>
  <conditionalFormatting sqref="AX15:AX18 AZ15:AZ18">
    <cfRule type="expression" dxfId="123" priority="123">
      <formula>OR(IF(AX15&lt;AY15,TRUE),IF(AND(AY15="",AX15&lt;&gt;""),TRUE))</formula>
    </cfRule>
    <cfRule type="expression" dxfId="122" priority="124">
      <formula>IF(AX15&gt;=AY15,IF(AX15="",FALSE,TRUE))</formula>
    </cfRule>
  </conditionalFormatting>
  <conditionalFormatting sqref="BE23 BG23">
    <cfRule type="expression" dxfId="121" priority="121">
      <formula>OR(IF(BE23&lt;BF23,TRUE),IF(AND(BF23="",BE23&lt;&gt;""),TRUE))</formula>
    </cfRule>
    <cfRule type="expression" dxfId="120" priority="122">
      <formula>IF(BE23&gt;=BF23,IF(BE23="",FALSE,TRUE))</formula>
    </cfRule>
  </conditionalFormatting>
  <conditionalFormatting sqref="BE22 BG22">
    <cfRule type="expression" dxfId="119" priority="119">
      <formula>OR(IF(BE22&lt;BF22,TRUE),IF(AND(BF22="",BE22&lt;&gt;""),TRUE))</formula>
    </cfRule>
    <cfRule type="expression" dxfId="118" priority="120">
      <formula>IF(BE22&gt;=BF22,IF(BE22="",FALSE,TRUE))</formula>
    </cfRule>
  </conditionalFormatting>
  <conditionalFormatting sqref="BE21 BG21">
    <cfRule type="expression" dxfId="117" priority="117">
      <formula>OR(IF(BE21&lt;BF21,TRUE),IF(AND(BF21="",BE21&lt;&gt;""),TRUE))</formula>
    </cfRule>
    <cfRule type="expression" dxfId="116" priority="118">
      <formula>IF(BE21&gt;=BF21,IF(BE21="",FALSE,TRUE))</formula>
    </cfRule>
  </conditionalFormatting>
  <conditionalFormatting sqref="BE19 BG19">
    <cfRule type="expression" dxfId="115" priority="115">
      <formula>OR(IF(BE19&lt;BF19,TRUE),IF(AND(BF19="",BE19&lt;&gt;""),TRUE))</formula>
    </cfRule>
    <cfRule type="expression" dxfId="114" priority="116">
      <formula>IF(BE19&gt;=BF19,IF(BE19="",FALSE,TRUE))</formula>
    </cfRule>
  </conditionalFormatting>
  <conditionalFormatting sqref="BE20">
    <cfRule type="expression" dxfId="113" priority="113">
      <formula>OR(IF(BE20&lt;BF20,TRUE),IF(AND(BF20="",BE20&lt;&gt;""),TRUE))</formula>
    </cfRule>
    <cfRule type="expression" dxfId="112" priority="114">
      <formula>IF(BE20&gt;=BF20,IF(BE20="",FALSE,TRUE))</formula>
    </cfRule>
  </conditionalFormatting>
  <conditionalFormatting sqref="BG20">
    <cfRule type="expression" dxfId="111" priority="111">
      <formula>OR(IF(BG20&lt;BH20,TRUE),IF(AND(BH20="",BG20&lt;&gt;""),TRUE))</formula>
    </cfRule>
    <cfRule type="expression" dxfId="110" priority="112">
      <formula>IF(BG20&gt;=BH20,IF(BG20="",FALSE,TRUE))</formula>
    </cfRule>
  </conditionalFormatting>
  <conditionalFormatting sqref="BE15:BE18 BG15:BG18">
    <cfRule type="expression" dxfId="109" priority="109">
      <formula>OR(IF(BE15&lt;BF15,TRUE),IF(AND(BF15="",BE15&lt;&gt;""),TRUE))</formula>
    </cfRule>
    <cfRule type="expression" dxfId="108" priority="110">
      <formula>IF(BE15&gt;=BF15,IF(BE15="",FALSE,TRUE))</formula>
    </cfRule>
  </conditionalFormatting>
  <conditionalFormatting sqref="BL24">
    <cfRule type="expression" dxfId="107" priority="107">
      <formula>OR(IF(BL24&lt;BM24,TRUE),IF(AND(BM24="",BL24&lt;&gt;""),TRUE))</formula>
    </cfRule>
    <cfRule type="expression" dxfId="106" priority="108">
      <formula>IF(BL24&gt;=BM24,IF(BL24="",FALSE,TRUE))</formula>
    </cfRule>
  </conditionalFormatting>
  <conditionalFormatting sqref="BN24">
    <cfRule type="expression" dxfId="105" priority="105">
      <formula>OR(IF(BN24&lt;BO24,TRUE),IF(AND(BO24="",BN24&lt;&gt;""),TRUE))</formula>
    </cfRule>
    <cfRule type="expression" dxfId="104" priority="106">
      <formula>IF(BN24&gt;=BO24,IF(BN24="",FALSE,TRUE))</formula>
    </cfRule>
  </conditionalFormatting>
  <conditionalFormatting sqref="BL23 BN23">
    <cfRule type="expression" dxfId="103" priority="103">
      <formula>OR(IF(BL23&lt;BM23,TRUE),IF(AND(BM23="",BL23&lt;&gt;""),TRUE))</formula>
    </cfRule>
    <cfRule type="expression" dxfId="102" priority="104">
      <formula>IF(BL23&gt;=BM23,IF(BL23="",FALSE,TRUE))</formula>
    </cfRule>
  </conditionalFormatting>
  <conditionalFormatting sqref="BL22 BN22">
    <cfRule type="expression" dxfId="101" priority="101">
      <formula>OR(IF(BL22&lt;BM22,TRUE),IF(AND(BM22="",BL22&lt;&gt;""),TRUE))</formula>
    </cfRule>
    <cfRule type="expression" dxfId="100" priority="102">
      <formula>IF(BL22&gt;=BM22,IF(BL22="",FALSE,TRUE))</formula>
    </cfRule>
  </conditionalFormatting>
  <conditionalFormatting sqref="BL21 BN21">
    <cfRule type="expression" dxfId="99" priority="99">
      <formula>OR(IF(BL21&lt;BM21,TRUE),IF(AND(BM21="",BL21&lt;&gt;""),TRUE))</formula>
    </cfRule>
    <cfRule type="expression" dxfId="98" priority="100">
      <formula>IF(BL21&gt;=BM21,IF(BL21="",FALSE,TRUE))</formula>
    </cfRule>
  </conditionalFormatting>
  <conditionalFormatting sqref="BL19 BN19">
    <cfRule type="expression" dxfId="97" priority="97">
      <formula>OR(IF(BL19&lt;BM19,TRUE),IF(AND(BM19="",BL19&lt;&gt;""),TRUE))</formula>
    </cfRule>
    <cfRule type="expression" dxfId="96" priority="98">
      <formula>IF(BL19&gt;=BM19,IF(BL19="",FALSE,TRUE))</formula>
    </cfRule>
  </conditionalFormatting>
  <conditionalFormatting sqref="BL20">
    <cfRule type="expression" dxfId="95" priority="95">
      <formula>OR(IF(BL20&lt;BM20,TRUE),IF(AND(BM20="",BL20&lt;&gt;""),TRUE))</formula>
    </cfRule>
    <cfRule type="expression" dxfId="94" priority="96">
      <formula>IF(BL20&gt;=BM20,IF(BL20="",FALSE,TRUE))</formula>
    </cfRule>
  </conditionalFormatting>
  <conditionalFormatting sqref="BN20">
    <cfRule type="expression" dxfId="93" priority="93">
      <formula>OR(IF(BN20&lt;BO20,TRUE),IF(AND(BO20="",BN20&lt;&gt;""),TRUE))</formula>
    </cfRule>
    <cfRule type="expression" dxfId="92" priority="94">
      <formula>IF(BN20&gt;=BO20,IF(BN20="",FALSE,TRUE))</formula>
    </cfRule>
  </conditionalFormatting>
  <conditionalFormatting sqref="BL15:BL18 BN15:BN18">
    <cfRule type="expression" dxfId="91" priority="91">
      <formula>OR(IF(BL15&lt;BM15,TRUE),IF(AND(BM15="",BL15&lt;&gt;""),TRUE))</formula>
    </cfRule>
    <cfRule type="expression" dxfId="90" priority="92">
      <formula>IF(BL15&gt;=BM15,IF(BL15="",FALSE,TRUE))</formula>
    </cfRule>
  </conditionalFormatting>
  <conditionalFormatting sqref="BS24">
    <cfRule type="expression" dxfId="89" priority="89">
      <formula>OR(IF(BS24&lt;BT24,TRUE),IF(AND(BT24="",BS24&lt;&gt;""),TRUE))</formula>
    </cfRule>
    <cfRule type="expression" dxfId="88" priority="90">
      <formula>IF(BS24&gt;=BT24,IF(BS24="",FALSE,TRUE))</formula>
    </cfRule>
  </conditionalFormatting>
  <conditionalFormatting sqref="BU24">
    <cfRule type="expression" dxfId="87" priority="87">
      <formula>OR(IF(BU24&lt;BV24,TRUE),IF(AND(BV24="",BU24&lt;&gt;""),TRUE))</formula>
    </cfRule>
    <cfRule type="expression" dxfId="86" priority="88">
      <formula>IF(BU24&gt;=BV24,IF(BU24="",FALSE,TRUE))</formula>
    </cfRule>
  </conditionalFormatting>
  <conditionalFormatting sqref="BS23 BU23">
    <cfRule type="expression" dxfId="85" priority="85">
      <formula>OR(IF(BS23&lt;BT23,TRUE),IF(AND(BT23="",BS23&lt;&gt;""),TRUE))</formula>
    </cfRule>
    <cfRule type="expression" dxfId="84" priority="86">
      <formula>IF(BS23&gt;=BT23,IF(BS23="",FALSE,TRUE))</formula>
    </cfRule>
  </conditionalFormatting>
  <conditionalFormatting sqref="BS22 BU22">
    <cfRule type="expression" dxfId="83" priority="83">
      <formula>OR(IF(BS22&lt;BT22,TRUE),IF(AND(BT22="",BS22&lt;&gt;""),TRUE))</formula>
    </cfRule>
    <cfRule type="expression" dxfId="82" priority="84">
      <formula>IF(BS22&gt;=BT22,IF(BS22="",FALSE,TRUE))</formula>
    </cfRule>
  </conditionalFormatting>
  <conditionalFormatting sqref="BS21 BU21">
    <cfRule type="expression" dxfId="81" priority="81">
      <formula>OR(IF(BS21&lt;BT21,TRUE),IF(AND(BT21="",BS21&lt;&gt;""),TRUE))</formula>
    </cfRule>
    <cfRule type="expression" dxfId="80" priority="82">
      <formula>IF(BS21&gt;=BT21,IF(BS21="",FALSE,TRUE))</formula>
    </cfRule>
  </conditionalFormatting>
  <conditionalFormatting sqref="BS19 BU19">
    <cfRule type="expression" dxfId="79" priority="79">
      <formula>OR(IF(BS19&lt;BT19,TRUE),IF(AND(BT19="",BS19&lt;&gt;""),TRUE))</formula>
    </cfRule>
    <cfRule type="expression" dxfId="78" priority="80">
      <formula>IF(BS19&gt;=BT19,IF(BS19="",FALSE,TRUE))</formula>
    </cfRule>
  </conditionalFormatting>
  <conditionalFormatting sqref="BS20">
    <cfRule type="expression" dxfId="77" priority="77">
      <formula>OR(IF(BS20&lt;BT20,TRUE),IF(AND(BT20="",BS20&lt;&gt;""),TRUE))</formula>
    </cfRule>
    <cfRule type="expression" dxfId="76" priority="78">
      <formula>IF(BS20&gt;=BT20,IF(BS20="",FALSE,TRUE))</formula>
    </cfRule>
  </conditionalFormatting>
  <conditionalFormatting sqref="BU20">
    <cfRule type="expression" dxfId="75" priority="75">
      <formula>OR(IF(BU20&lt;BV20,TRUE),IF(AND(BV20="",BU20&lt;&gt;""),TRUE))</formula>
    </cfRule>
    <cfRule type="expression" dxfId="74" priority="76">
      <formula>IF(BU20&gt;=BV20,IF(BU20="",FALSE,TRUE))</formula>
    </cfRule>
  </conditionalFormatting>
  <conditionalFormatting sqref="BS15:BS18 BU15:BU18">
    <cfRule type="expression" dxfId="73" priority="73">
      <formula>OR(IF(BS15&lt;BT15,TRUE),IF(AND(BT15="",BS15&lt;&gt;""),TRUE))</formula>
    </cfRule>
    <cfRule type="expression" dxfId="72" priority="74">
      <formula>IF(BS15&gt;=BT15,IF(BS15="",FALSE,TRUE))</formula>
    </cfRule>
  </conditionalFormatting>
  <conditionalFormatting sqref="BZ24">
    <cfRule type="expression" dxfId="71" priority="71">
      <formula>OR(IF(BZ24&lt;CA24,TRUE),IF(AND(CA24="",BZ24&lt;&gt;""),TRUE))</formula>
    </cfRule>
    <cfRule type="expression" dxfId="70" priority="72">
      <formula>IF(BZ24&gt;=CA24,IF(BZ24="",FALSE,TRUE))</formula>
    </cfRule>
  </conditionalFormatting>
  <conditionalFormatting sqref="CB24">
    <cfRule type="expression" dxfId="69" priority="69">
      <formula>OR(IF(CB24&lt;CC24,TRUE),IF(AND(CC24="",CB24&lt;&gt;""),TRUE))</formula>
    </cfRule>
    <cfRule type="expression" dxfId="68" priority="70">
      <formula>IF(CB24&gt;=CC24,IF(CB24="",FALSE,TRUE))</formula>
    </cfRule>
  </conditionalFormatting>
  <conditionalFormatting sqref="BZ23 CB23">
    <cfRule type="expression" dxfId="67" priority="67">
      <formula>OR(IF(BZ23&lt;CA23,TRUE),IF(AND(CA23="",BZ23&lt;&gt;""),TRUE))</formula>
    </cfRule>
    <cfRule type="expression" dxfId="66" priority="68">
      <formula>IF(BZ23&gt;=CA23,IF(BZ23="",FALSE,TRUE))</formula>
    </cfRule>
  </conditionalFormatting>
  <conditionalFormatting sqref="BZ22 CB22">
    <cfRule type="expression" dxfId="65" priority="65">
      <formula>OR(IF(BZ22&lt;CA22,TRUE),IF(AND(CA22="",BZ22&lt;&gt;""),TRUE))</formula>
    </cfRule>
    <cfRule type="expression" dxfId="64" priority="66">
      <formula>IF(BZ22&gt;=CA22,IF(BZ22="",FALSE,TRUE))</formula>
    </cfRule>
  </conditionalFormatting>
  <conditionalFormatting sqref="BZ21 CB21">
    <cfRule type="expression" dxfId="63" priority="63">
      <formula>OR(IF(BZ21&lt;CA21,TRUE),IF(AND(CA21="",BZ21&lt;&gt;""),TRUE))</formula>
    </cfRule>
    <cfRule type="expression" dxfId="62" priority="64">
      <formula>IF(BZ21&gt;=CA21,IF(BZ21="",FALSE,TRUE))</formula>
    </cfRule>
  </conditionalFormatting>
  <conditionalFormatting sqref="BZ19 CB19">
    <cfRule type="expression" dxfId="61" priority="61">
      <formula>OR(IF(BZ19&lt;CA19,TRUE),IF(AND(CA19="",BZ19&lt;&gt;""),TRUE))</formula>
    </cfRule>
    <cfRule type="expression" dxfId="60" priority="62">
      <formula>IF(BZ19&gt;=CA19,IF(BZ19="",FALSE,TRUE))</formula>
    </cfRule>
  </conditionalFormatting>
  <conditionalFormatting sqref="BZ20">
    <cfRule type="expression" dxfId="59" priority="59">
      <formula>OR(IF(BZ20&lt;CA20,TRUE),IF(AND(CA20="",BZ20&lt;&gt;""),TRUE))</formula>
    </cfRule>
    <cfRule type="expression" dxfId="58" priority="60">
      <formula>IF(BZ20&gt;=CA20,IF(BZ20="",FALSE,TRUE))</formula>
    </cfRule>
  </conditionalFormatting>
  <conditionalFormatting sqref="CB20">
    <cfRule type="expression" dxfId="57" priority="57">
      <formula>OR(IF(CB20&lt;CC20,TRUE),IF(AND(CC20="",CB20&lt;&gt;""),TRUE))</formula>
    </cfRule>
    <cfRule type="expression" dxfId="56" priority="58">
      <formula>IF(CB20&gt;=CC20,IF(CB20="",FALSE,TRUE))</formula>
    </cfRule>
  </conditionalFormatting>
  <conditionalFormatting sqref="BZ15:BZ18 CB15:CB18">
    <cfRule type="expression" dxfId="55" priority="55">
      <formula>OR(IF(BZ15&lt;CA15,TRUE),IF(AND(CA15="",BZ15&lt;&gt;""),TRUE))</formula>
    </cfRule>
    <cfRule type="expression" dxfId="54" priority="56">
      <formula>IF(BZ15&gt;=CA15,IF(BZ15="",FALSE,TRUE))</formula>
    </cfRule>
  </conditionalFormatting>
  <conditionalFormatting sqref="CG24">
    <cfRule type="expression" dxfId="53" priority="53">
      <formula>OR(IF(CG24&lt;CH24,TRUE),IF(AND(CH24="",CG24&lt;&gt;""),TRUE))</formula>
    </cfRule>
    <cfRule type="expression" dxfId="52" priority="54">
      <formula>IF(CG24&gt;=CH24,IF(CG24="",FALSE,TRUE))</formula>
    </cfRule>
  </conditionalFormatting>
  <conditionalFormatting sqref="CI24">
    <cfRule type="expression" dxfId="51" priority="51">
      <formula>OR(IF(CI24&lt;CJ24,TRUE),IF(AND(CJ24="",CI24&lt;&gt;""),TRUE))</formula>
    </cfRule>
    <cfRule type="expression" dxfId="50" priority="52">
      <formula>IF(CI24&gt;=CJ24,IF(CI24="",FALSE,TRUE))</formula>
    </cfRule>
  </conditionalFormatting>
  <conditionalFormatting sqref="CG23 CI23">
    <cfRule type="expression" dxfId="49" priority="49">
      <formula>OR(IF(CG23&lt;CH23,TRUE),IF(AND(CH23="",CG23&lt;&gt;""),TRUE))</formula>
    </cfRule>
    <cfRule type="expression" dxfId="48" priority="50">
      <formula>IF(CG23&gt;=CH23,IF(CG23="",FALSE,TRUE))</formula>
    </cfRule>
  </conditionalFormatting>
  <conditionalFormatting sqref="CG22 CI22">
    <cfRule type="expression" dxfId="47" priority="47">
      <formula>OR(IF(CG22&lt;CH22,TRUE),IF(AND(CH22="",CG22&lt;&gt;""),TRUE))</formula>
    </cfRule>
    <cfRule type="expression" dxfId="46" priority="48">
      <formula>IF(CG22&gt;=CH22,IF(CG22="",FALSE,TRUE))</formula>
    </cfRule>
  </conditionalFormatting>
  <conditionalFormatting sqref="CG21 CI21">
    <cfRule type="expression" dxfId="45" priority="45">
      <formula>OR(IF(CG21&lt;CH21,TRUE),IF(AND(CH21="",CG21&lt;&gt;""),TRUE))</formula>
    </cfRule>
    <cfRule type="expression" dxfId="44" priority="46">
      <formula>IF(CG21&gt;=CH21,IF(CG21="",FALSE,TRUE))</formula>
    </cfRule>
  </conditionalFormatting>
  <conditionalFormatting sqref="CG19 CI19">
    <cfRule type="expression" dxfId="43" priority="43">
      <formula>OR(IF(CG19&lt;CH19,TRUE),IF(AND(CH19="",CG19&lt;&gt;""),TRUE))</formula>
    </cfRule>
    <cfRule type="expression" dxfId="42" priority="44">
      <formula>IF(CG19&gt;=CH19,IF(CG19="",FALSE,TRUE))</formula>
    </cfRule>
  </conditionalFormatting>
  <conditionalFormatting sqref="CG20">
    <cfRule type="expression" dxfId="41" priority="41">
      <formula>OR(IF(CG20&lt;CH20,TRUE),IF(AND(CH20="",CG20&lt;&gt;""),TRUE))</formula>
    </cfRule>
    <cfRule type="expression" dxfId="40" priority="42">
      <formula>IF(CG20&gt;=CH20,IF(CG20="",FALSE,TRUE))</formula>
    </cfRule>
  </conditionalFormatting>
  <conditionalFormatting sqref="CI20">
    <cfRule type="expression" dxfId="39" priority="39">
      <formula>OR(IF(CI20&lt;CJ20,TRUE),IF(AND(CJ20="",CI20&lt;&gt;""),TRUE))</formula>
    </cfRule>
    <cfRule type="expression" dxfId="38" priority="40">
      <formula>IF(CI20&gt;=CJ20,IF(CI20="",FALSE,TRUE))</formula>
    </cfRule>
  </conditionalFormatting>
  <conditionalFormatting sqref="CG15:CG18 CI15:CI18">
    <cfRule type="expression" dxfId="37" priority="37">
      <formula>OR(IF(CG15&lt;CH15,TRUE),IF(AND(CH15="",CG15&lt;&gt;""),TRUE))</formula>
    </cfRule>
    <cfRule type="expression" dxfId="36" priority="38">
      <formula>IF(CG15&gt;=CH15,IF(CG15="",FALSE,TRUE))</formula>
    </cfRule>
  </conditionalFormatting>
  <conditionalFormatting sqref="CN24">
    <cfRule type="expression" dxfId="35" priority="35">
      <formula>OR(IF(CN24&lt;CO24,TRUE),IF(AND(CO24="",CN24&lt;&gt;""),TRUE))</formula>
    </cfRule>
    <cfRule type="expression" dxfId="34" priority="36">
      <formula>IF(CN24&gt;=CO24,IF(CN24="",FALSE,TRUE))</formula>
    </cfRule>
  </conditionalFormatting>
  <conditionalFormatting sqref="CP24">
    <cfRule type="expression" dxfId="33" priority="33">
      <formula>OR(IF(CP24&lt;CQ24,TRUE),IF(AND(CQ24="",CP24&lt;&gt;""),TRUE))</formula>
    </cfRule>
    <cfRule type="expression" dxfId="32" priority="34">
      <formula>IF(CP24&gt;=CQ24,IF(CP24="",FALSE,TRUE))</formula>
    </cfRule>
  </conditionalFormatting>
  <conditionalFormatting sqref="CN23 CP23">
    <cfRule type="expression" dxfId="31" priority="31">
      <formula>OR(IF(CN23&lt;CO23,TRUE),IF(AND(CO23="",CN23&lt;&gt;""),TRUE))</formula>
    </cfRule>
    <cfRule type="expression" dxfId="30" priority="32">
      <formula>IF(CN23&gt;=CO23,IF(CN23="",FALSE,TRUE))</formula>
    </cfRule>
  </conditionalFormatting>
  <conditionalFormatting sqref="CN22 CP22">
    <cfRule type="expression" dxfId="29" priority="29">
      <formula>OR(IF(CN22&lt;CO22,TRUE),IF(AND(CO22="",CN22&lt;&gt;""),TRUE))</formula>
    </cfRule>
    <cfRule type="expression" dxfId="28" priority="30">
      <formula>IF(CN22&gt;=CO22,IF(CN22="",FALSE,TRUE))</formula>
    </cfRule>
  </conditionalFormatting>
  <conditionalFormatting sqref="CN21 CP21">
    <cfRule type="expression" dxfId="27" priority="27">
      <formula>OR(IF(CN21&lt;CO21,TRUE),IF(AND(CO21="",CN21&lt;&gt;""),TRUE))</formula>
    </cfRule>
    <cfRule type="expression" dxfId="26" priority="28">
      <formula>IF(CN21&gt;=CO21,IF(CN21="",FALSE,TRUE))</formula>
    </cfRule>
  </conditionalFormatting>
  <conditionalFormatting sqref="CN19 CP19">
    <cfRule type="expression" dxfId="25" priority="25">
      <formula>OR(IF(CN19&lt;CO19,TRUE),IF(AND(CO19="",CN19&lt;&gt;""),TRUE))</formula>
    </cfRule>
    <cfRule type="expression" dxfId="24" priority="26">
      <formula>IF(CN19&gt;=CO19,IF(CN19="",FALSE,TRUE))</formula>
    </cfRule>
  </conditionalFormatting>
  <conditionalFormatting sqref="CN20">
    <cfRule type="expression" dxfId="23" priority="23">
      <formula>OR(IF(CN20&lt;CO20,TRUE),IF(AND(CO20="",CN20&lt;&gt;""),TRUE))</formula>
    </cfRule>
    <cfRule type="expression" dxfId="22" priority="24">
      <formula>IF(CN20&gt;=CO20,IF(CN20="",FALSE,TRUE))</formula>
    </cfRule>
  </conditionalFormatting>
  <conditionalFormatting sqref="CP20">
    <cfRule type="expression" dxfId="21" priority="21">
      <formula>OR(IF(CP20&lt;CQ20,TRUE),IF(AND(CQ20="",CP20&lt;&gt;""),TRUE))</formula>
    </cfRule>
    <cfRule type="expression" dxfId="20" priority="22">
      <formula>IF(CP20&gt;=CQ20,IF(CP20="",FALSE,TRUE))</formula>
    </cfRule>
  </conditionalFormatting>
  <conditionalFormatting sqref="CN15:CN18 CP15:CP18">
    <cfRule type="expression" dxfId="19" priority="19">
      <formula>OR(IF(CN15&lt;CO15,TRUE),IF(AND(CO15="",CN15&lt;&gt;""),TRUE))</formula>
    </cfRule>
    <cfRule type="expression" dxfId="18" priority="20">
      <formula>IF(CN15&gt;=CO15,IF(CN15="",FALSE,TRUE))</formula>
    </cfRule>
  </conditionalFormatting>
  <conditionalFormatting sqref="CU24">
    <cfRule type="expression" dxfId="17" priority="17">
      <formula>OR(IF(CU24&lt;CV24,TRUE),IF(AND(CV24="",CU24&lt;&gt;""),TRUE))</formula>
    </cfRule>
    <cfRule type="expression" dxfId="16" priority="18">
      <formula>IF(CU24&gt;=CV24,IF(CU24="",FALSE,TRUE))</formula>
    </cfRule>
  </conditionalFormatting>
  <conditionalFormatting sqref="CW24">
    <cfRule type="expression" dxfId="15" priority="15">
      <formula>OR(IF(CW24&lt;CX24,TRUE),IF(AND(CX24="",CW24&lt;&gt;""),TRUE))</formula>
    </cfRule>
    <cfRule type="expression" dxfId="14" priority="16">
      <formula>IF(CW24&gt;=CX24,IF(CW24="",FALSE,TRUE))</formula>
    </cfRule>
  </conditionalFormatting>
  <conditionalFormatting sqref="CU23 CW23">
    <cfRule type="expression" dxfId="13" priority="13">
      <formula>OR(IF(CU23&lt;CV23,TRUE),IF(AND(CV23="",CU23&lt;&gt;""),TRUE))</formula>
    </cfRule>
    <cfRule type="expression" dxfId="12" priority="14">
      <formula>IF(CU23&gt;=CV23,IF(CU23="",FALSE,TRUE))</formula>
    </cfRule>
  </conditionalFormatting>
  <conditionalFormatting sqref="CU22 CW22">
    <cfRule type="expression" dxfId="11" priority="11">
      <formula>OR(IF(CU22&lt;CV22,TRUE),IF(AND(CV22="",CU22&lt;&gt;""),TRUE))</formula>
    </cfRule>
    <cfRule type="expression" dxfId="10" priority="12">
      <formula>IF(CU22&gt;=CV22,IF(CU22="",FALSE,TRUE))</formula>
    </cfRule>
  </conditionalFormatting>
  <conditionalFormatting sqref="CU21 CW21">
    <cfRule type="expression" dxfId="9" priority="9">
      <formula>OR(IF(CU21&lt;CV21,TRUE),IF(AND(CV21="",CU21&lt;&gt;""),TRUE))</formula>
    </cfRule>
    <cfRule type="expression" dxfId="8" priority="10">
      <formula>IF(CU21&gt;=CV21,IF(CU21="",FALSE,TRUE))</formula>
    </cfRule>
  </conditionalFormatting>
  <conditionalFormatting sqref="CU19 CW19">
    <cfRule type="expression" dxfId="7" priority="7">
      <formula>OR(IF(CU19&lt;CV19,TRUE),IF(AND(CV19="",CU19&lt;&gt;""),TRUE))</formula>
    </cfRule>
    <cfRule type="expression" dxfId="6" priority="8">
      <formula>IF(CU19&gt;=CV19,IF(CU19="",FALSE,TRUE))</formula>
    </cfRule>
  </conditionalFormatting>
  <conditionalFormatting sqref="CU20">
    <cfRule type="expression" dxfId="5" priority="5">
      <formula>OR(IF(CU20&lt;CV20,TRUE),IF(AND(CV20="",CU20&lt;&gt;""),TRUE))</formula>
    </cfRule>
    <cfRule type="expression" dxfId="4" priority="6">
      <formula>IF(CU20&gt;=CV20,IF(CU20="",FALSE,TRUE))</formula>
    </cfRule>
  </conditionalFormatting>
  <conditionalFormatting sqref="CW20">
    <cfRule type="expression" dxfId="3" priority="3">
      <formula>OR(IF(CW20&lt;CX20,TRUE),IF(AND(CX20="",CW20&lt;&gt;""),TRUE))</formula>
    </cfRule>
    <cfRule type="expression" dxfId="2" priority="4">
      <formula>IF(CW20&gt;=CX20,IF(CW20="",FALSE,TRUE))</formula>
    </cfRule>
  </conditionalFormatting>
  <conditionalFormatting sqref="CU15:CU18 CW15:CW18">
    <cfRule type="expression" dxfId="1" priority="1">
      <formula>OR(IF(CU15&lt;CV15,TRUE),IF(AND(CV15="",CU15&lt;&gt;""),TRUE))</formula>
    </cfRule>
    <cfRule type="expression" dxfId="0" priority="2">
      <formula>IF(CU15&gt;=CV15,IF(CU15="",FALSE,TRUE))</formula>
    </cfRule>
  </conditionalFormatting>
  <dataValidations count="1">
    <dataValidation type="list" allowBlank="1" showInputMessage="1" showErrorMessage="1" sqref="CU5:CX12 DI5:DL12 V15:Y24 DB5:DE12 AC15:AF24 V5:Y12 AC5:AF12 AJ15:AM24 DI15:DL24 AJ5:AM12 O15:R24 AQ15:AT24 AQ5:AT12 AX15:BA24 AX5:BA12 BE15:BH24 BE5:BH12 BL15:BO24 BZ5:CC12 BS15:BV24 BL5:BO12 BZ15:CC24 CG5:CJ12 CG15:CJ24 BS5:BV12 CN15:CQ24 CN5:CQ12 CU15:CX24 ED5:EG12 DB15:DE24 ED15:EG24 O5:R12" xr:uid="{DF46768B-76BD-4AD1-BDD9-05E5E50A35C8}">
      <formula1>"10%,20%,30%,40%,50%,60%,70%,80%,90%,100%"</formula1>
    </dataValidation>
  </dataValidations>
  <pageMargins left="0.7" right="0.7" top="0.75" bottom="0.75" header="0.3" footer="0.3"/>
  <pageSetup paperSize="9" orientation="portrait" horizontalDpi="200" verticalDpi="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J10" sqref="J10"/>
    </sheetView>
  </sheetViews>
  <sheetFormatPr baseColWidth="10" defaultRowHeight="15.75"/>
  <cols>
    <col min="1" max="1" width="16.8125" style="11" customWidth="1"/>
    <col min="2" max="2" width="19.1875" style="11" customWidth="1"/>
    <col min="3" max="3" width="18.1875" style="11" customWidth="1"/>
    <col min="4" max="4" width="19.5" style="11" customWidth="1"/>
    <col min="8" max="8" width="15.1875" customWidth="1"/>
    <col min="10" max="10" width="42" customWidth="1"/>
    <col min="11" max="11" width="28.5" customWidth="1"/>
  </cols>
  <sheetData>
    <row r="1" spans="1:11" ht="31.5">
      <c r="A1" s="11" t="s">
        <v>40</v>
      </c>
      <c r="B1" s="16" t="s">
        <v>37</v>
      </c>
      <c r="C1" s="16" t="s">
        <v>38</v>
      </c>
      <c r="D1" s="16" t="s">
        <v>39</v>
      </c>
      <c r="E1" s="1" t="s">
        <v>41</v>
      </c>
      <c r="F1" s="1" t="s">
        <v>42</v>
      </c>
      <c r="G1" s="1" t="s">
        <v>43</v>
      </c>
      <c r="H1" s="1" t="s">
        <v>44</v>
      </c>
      <c r="I1" s="1" t="s">
        <v>45</v>
      </c>
      <c r="J1" s="1" t="s">
        <v>46</v>
      </c>
      <c r="K1" s="1" t="s">
        <v>47</v>
      </c>
    </row>
    <row r="2" spans="1:11">
      <c r="A2" s="15">
        <v>44118</v>
      </c>
      <c r="D2" s="17">
        <v>1</v>
      </c>
    </row>
    <row r="3" spans="1:11">
      <c r="A3" s="15">
        <v>44119</v>
      </c>
    </row>
    <row r="4" spans="1:11">
      <c r="A4" s="15">
        <v>44120</v>
      </c>
    </row>
    <row r="5" spans="1:11">
      <c r="A5" s="15">
        <v>44121</v>
      </c>
    </row>
    <row r="6" spans="1:11">
      <c r="A6" s="15">
        <v>44122</v>
      </c>
    </row>
    <row r="7" spans="1:11">
      <c r="A7" s="15">
        <v>44123</v>
      </c>
    </row>
    <row r="8" spans="1:11">
      <c r="A8" s="15">
        <v>44124</v>
      </c>
    </row>
    <row r="9" spans="1:11">
      <c r="A9" s="15">
        <v>44125</v>
      </c>
    </row>
    <row r="10" spans="1:11">
      <c r="A10" s="15">
        <v>44126</v>
      </c>
    </row>
    <row r="11" spans="1:11">
      <c r="A11" s="15">
        <v>44127</v>
      </c>
    </row>
    <row r="12" spans="1:11">
      <c r="A12" s="15">
        <v>44128</v>
      </c>
    </row>
    <row r="13" spans="1:11">
      <c r="A13" s="15">
        <v>44129</v>
      </c>
    </row>
    <row r="14" spans="1:11">
      <c r="A14" s="15">
        <v>44130</v>
      </c>
    </row>
    <row r="15" spans="1:11">
      <c r="A15" s="15">
        <v>44131</v>
      </c>
    </row>
    <row r="16" spans="1:11">
      <c r="A16" s="15">
        <v>44132</v>
      </c>
    </row>
    <row r="17" spans="1:1">
      <c r="A17" s="15">
        <v>44133</v>
      </c>
    </row>
    <row r="18" spans="1:1">
      <c r="A18" s="15">
        <v>44134</v>
      </c>
    </row>
    <row r="19" spans="1:1">
      <c r="A19" s="15">
        <v>44135</v>
      </c>
    </row>
    <row r="20" spans="1:1">
      <c r="A20" s="15">
        <v>44136</v>
      </c>
    </row>
    <row r="21" spans="1:1">
      <c r="A21" s="15">
        <v>44137</v>
      </c>
    </row>
    <row r="22" spans="1:1">
      <c r="A22" s="15">
        <v>44138</v>
      </c>
    </row>
    <row r="23" spans="1:1">
      <c r="A23" s="15">
        <v>44139</v>
      </c>
    </row>
    <row r="24" spans="1:1">
      <c r="A24" s="15">
        <v>44140</v>
      </c>
    </row>
    <row r="25" spans="1:1">
      <c r="A25" s="15">
        <v>44141</v>
      </c>
    </row>
    <row r="26" spans="1:1">
      <c r="A26" s="15">
        <v>44142</v>
      </c>
    </row>
    <row r="27" spans="1:1">
      <c r="A27" s="15">
        <v>44143</v>
      </c>
    </row>
    <row r="28" spans="1:1">
      <c r="A28" s="15">
        <v>44144</v>
      </c>
    </row>
    <row r="29" spans="1:1">
      <c r="A29" s="15">
        <v>44145</v>
      </c>
    </row>
    <row r="30" spans="1:1">
      <c r="A30" s="15">
        <v>44146</v>
      </c>
    </row>
    <row r="31" spans="1:1">
      <c r="A31" s="15">
        <v>44147</v>
      </c>
    </row>
    <row r="32" spans="1:1">
      <c r="A32" s="15">
        <v>44148</v>
      </c>
    </row>
    <row r="33" spans="1:1">
      <c r="A33" s="15">
        <v>44149</v>
      </c>
    </row>
    <row r="34" spans="1:1">
      <c r="A34" s="15">
        <v>44150</v>
      </c>
    </row>
    <row r="35" spans="1:1">
      <c r="A35" s="15">
        <v>44151</v>
      </c>
    </row>
    <row r="36" spans="1:1">
      <c r="A36" s="15">
        <v>44152</v>
      </c>
    </row>
    <row r="37" spans="1:1">
      <c r="A37" s="15">
        <v>44153</v>
      </c>
    </row>
    <row r="38" spans="1:1">
      <c r="A38" s="15">
        <v>44154</v>
      </c>
    </row>
    <row r="39" spans="1:1">
      <c r="A39" s="15">
        <v>44155</v>
      </c>
    </row>
    <row r="40" spans="1:1">
      <c r="A40" s="15">
        <v>44156</v>
      </c>
    </row>
    <row r="41" spans="1:1">
      <c r="A41" s="15">
        <v>44157</v>
      </c>
    </row>
    <row r="42" spans="1:1">
      <c r="A42" s="15">
        <v>44158</v>
      </c>
    </row>
    <row r="43" spans="1:1">
      <c r="A43" s="15">
        <v>44159</v>
      </c>
    </row>
    <row r="44" spans="1:1">
      <c r="A44" s="15">
        <v>44160</v>
      </c>
    </row>
    <row r="45" spans="1:1">
      <c r="A45" s="15">
        <v>44161</v>
      </c>
    </row>
    <row r="46" spans="1:1">
      <c r="A46" s="15">
        <v>44162</v>
      </c>
    </row>
  </sheetData>
  <conditionalFormatting sqref="B2:B46">
    <cfRule type="cellIs" dxfId="285" priority="14" operator="equal">
      <formula>"Ja"</formula>
    </cfRule>
    <cfRule type="cellIs" dxfId="284" priority="15" operator="equal">
      <formula>"Nein"</formula>
    </cfRule>
  </conditionalFormatting>
  <conditionalFormatting sqref="D2">
    <cfRule type="cellIs" dxfId="283" priority="6" operator="equal">
      <formula>1</formula>
    </cfRule>
    <cfRule type="cellIs" dxfId="282" priority="7" operator="equal">
      <formula>0.8</formula>
    </cfRule>
    <cfRule type="cellIs" dxfId="281" priority="8" operator="equal">
      <formula>0.6</formula>
    </cfRule>
    <cfRule type="cellIs" dxfId="280" priority="9" operator="equal">
      <formula>0.4</formula>
    </cfRule>
    <cfRule type="cellIs" dxfId="279" priority="10" operator="equal">
      <formula>0.2</formula>
    </cfRule>
    <cfRule type="cellIs" dxfId="278" priority="11" operator="equal">
      <formula>0</formula>
    </cfRule>
  </conditionalFormatting>
  <conditionalFormatting sqref="B2:B46">
    <cfRule type="cellIs" dxfId="277" priority="4" operator="equal">
      <formula>"Ja"</formula>
    </cfRule>
  </conditionalFormatting>
  <conditionalFormatting sqref="C2:C46">
    <cfRule type="cellIs" dxfId="276" priority="2" operator="equal">
      <formula>"Ja"</formula>
    </cfRule>
    <cfRule type="cellIs" dxfId="275" priority="3" operator="equal">
      <formula>"Nein"</formula>
    </cfRule>
  </conditionalFormatting>
  <conditionalFormatting sqref="C2:C46">
    <cfRule type="cellIs" dxfId="274" priority="1" operator="equal">
      <formula>"Ja"</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zoomScale="117" workbookViewId="0">
      <selection activeCell="C8" sqref="C8"/>
    </sheetView>
  </sheetViews>
  <sheetFormatPr baseColWidth="10" defaultColWidth="10.6875" defaultRowHeight="15.75"/>
  <sheetData>
    <row r="1" spans="1:8" ht="25.15">
      <c r="B1" s="8" t="s">
        <v>25</v>
      </c>
    </row>
    <row r="4" spans="1:8">
      <c r="B4" s="3" t="s">
        <v>4</v>
      </c>
      <c r="C4" s="3" t="s">
        <v>5</v>
      </c>
      <c r="D4" s="3" t="s">
        <v>6</v>
      </c>
      <c r="E4" s="3" t="s">
        <v>7</v>
      </c>
      <c r="F4" s="3" t="s">
        <v>10</v>
      </c>
      <c r="G4" s="3" t="s">
        <v>8</v>
      </c>
      <c r="H4" s="3" t="s">
        <v>9</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row>
    <row r="14" spans="1:8">
      <c r="A14" s="10">
        <v>0.35416666666666702</v>
      </c>
    </row>
    <row r="15" spans="1:8">
      <c r="A15" s="10">
        <v>0.375</v>
      </c>
    </row>
    <row r="16" spans="1:8">
      <c r="A16" s="10">
        <v>0.39583333333333398</v>
      </c>
    </row>
    <row r="17" spans="1:1">
      <c r="A17" s="10">
        <v>0.41666666666666702</v>
      </c>
    </row>
    <row r="18" spans="1:1">
      <c r="A18" s="10">
        <v>0.4375</v>
      </c>
    </row>
    <row r="19" spans="1:1">
      <c r="A19" s="10">
        <v>0.45833333333333398</v>
      </c>
    </row>
    <row r="20" spans="1:1">
      <c r="A20" s="10">
        <v>0.47916666666666702</v>
      </c>
    </row>
    <row r="21" spans="1:1">
      <c r="A21" s="10">
        <v>0.5</v>
      </c>
    </row>
    <row r="22" spans="1:1">
      <c r="A22" s="10">
        <v>0.52083333333333404</v>
      </c>
    </row>
    <row r="23" spans="1:1">
      <c r="A23" s="10">
        <v>0.54166666666666696</v>
      </c>
    </row>
    <row r="24" spans="1:1">
      <c r="A24" s="10">
        <v>0.5625</v>
      </c>
    </row>
    <row r="25" spans="1:1">
      <c r="A25" s="10">
        <v>0.58333333333333404</v>
      </c>
    </row>
    <row r="26" spans="1:1">
      <c r="A26" s="10">
        <v>0.60416666666666696</v>
      </c>
    </row>
    <row r="27" spans="1:1">
      <c r="A27" s="10">
        <v>0.625000000000001</v>
      </c>
    </row>
    <row r="28" spans="1:1">
      <c r="A28" s="10">
        <v>0.64583333333333404</v>
      </c>
    </row>
    <row r="29" spans="1:1">
      <c r="A29" s="10">
        <v>0.66666666666666696</v>
      </c>
    </row>
    <row r="30" spans="1:1">
      <c r="A30" s="10">
        <v>0.687500000000001</v>
      </c>
    </row>
    <row r="31" spans="1:1">
      <c r="A31" s="10">
        <v>0.70833333333333404</v>
      </c>
    </row>
    <row r="32" spans="1:1">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pageMargins left="0.7" right="0.7" top="0.75" bottom="0.75" header="0.3" footer="0.3"/>
  <pageSetup paperSize="9" orientation="portrait" horizontalDpi="4294967293" verticalDpi="4294967293"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C9" sqref="C9:C16"/>
    </sheetView>
  </sheetViews>
  <sheetFormatPr baseColWidth="10" defaultColWidth="10.6875" defaultRowHeight="15.75"/>
  <sheetData>
    <row r="1" spans="1:8" ht="25.15">
      <c r="B1" s="8" t="s">
        <v>25</v>
      </c>
    </row>
    <row r="4" spans="1:8">
      <c r="B4" s="3" t="s">
        <v>4</v>
      </c>
      <c r="C4" s="3" t="s">
        <v>5</v>
      </c>
      <c r="D4" s="3" t="s">
        <v>6</v>
      </c>
      <c r="E4" s="3" t="s">
        <v>7</v>
      </c>
      <c r="F4" s="3" t="s">
        <v>10</v>
      </c>
      <c r="G4" s="3" t="s">
        <v>8</v>
      </c>
      <c r="H4" s="3" t="s">
        <v>9</v>
      </c>
    </row>
    <row r="5" spans="1:8">
      <c r="A5" s="10">
        <v>0.16666666666666666</v>
      </c>
    </row>
    <row r="6" spans="1:8">
      <c r="A6" s="10">
        <v>0.1875</v>
      </c>
    </row>
    <row r="7" spans="1:8">
      <c r="A7" s="10">
        <v>0.20833333333333301</v>
      </c>
    </row>
    <row r="8" spans="1:8">
      <c r="A8" s="10">
        <v>0.22916666666666699</v>
      </c>
    </row>
    <row r="9" spans="1:8">
      <c r="A9" s="10">
        <v>0.25</v>
      </c>
    </row>
    <row r="10" spans="1:8">
      <c r="A10" s="10">
        <v>0.27083333333333398</v>
      </c>
    </row>
    <row r="11" spans="1:8">
      <c r="A11" s="10">
        <v>0.29166666666666702</v>
      </c>
    </row>
    <row r="12" spans="1:8">
      <c r="A12" s="10">
        <v>0.3125</v>
      </c>
    </row>
    <row r="13" spans="1:8">
      <c r="A13" s="10">
        <v>0.33333333333333398</v>
      </c>
    </row>
    <row r="14" spans="1:8">
      <c r="A14" s="10">
        <v>0.35416666666666702</v>
      </c>
    </row>
    <row r="15" spans="1:8">
      <c r="A15" s="10">
        <v>0.375</v>
      </c>
    </row>
    <row r="16" spans="1:8">
      <c r="A16" s="10">
        <v>0.39583333333333398</v>
      </c>
    </row>
    <row r="17" spans="1:1">
      <c r="A17" s="10">
        <v>0.41666666666666702</v>
      </c>
    </row>
    <row r="18" spans="1:1">
      <c r="A18" s="10">
        <v>0.4375</v>
      </c>
    </row>
    <row r="19" spans="1:1">
      <c r="A19" s="10">
        <v>0.45833333333333398</v>
      </c>
    </row>
    <row r="20" spans="1:1">
      <c r="A20" s="10">
        <v>0.47916666666666702</v>
      </c>
    </row>
    <row r="21" spans="1:1">
      <c r="A21" s="10">
        <v>0.5</v>
      </c>
    </row>
    <row r="22" spans="1:1">
      <c r="A22" s="10">
        <v>0.52083333333333404</v>
      </c>
    </row>
    <row r="23" spans="1:1">
      <c r="A23" s="10">
        <v>0.54166666666666696</v>
      </c>
    </row>
    <row r="24" spans="1:1">
      <c r="A24" s="10">
        <v>0.5625</v>
      </c>
    </row>
    <row r="25" spans="1:1">
      <c r="A25" s="10">
        <v>0.58333333333333404</v>
      </c>
    </row>
    <row r="26" spans="1:1">
      <c r="A26" s="10">
        <v>0.60416666666666696</v>
      </c>
    </row>
    <row r="27" spans="1:1">
      <c r="A27" s="10">
        <v>0.625000000000001</v>
      </c>
    </row>
    <row r="28" spans="1:1">
      <c r="A28" s="10">
        <v>0.64583333333333404</v>
      </c>
    </row>
    <row r="29" spans="1:1">
      <c r="A29" s="10">
        <v>0.66666666666666696</v>
      </c>
    </row>
    <row r="30" spans="1:1">
      <c r="A30" s="10">
        <v>0.687500000000001</v>
      </c>
    </row>
    <row r="31" spans="1:1">
      <c r="A31" s="10">
        <v>0.70833333333333404</v>
      </c>
    </row>
    <row r="32" spans="1:1">
      <c r="A32" s="10">
        <v>0.72916666666666696</v>
      </c>
    </row>
    <row r="33" spans="1:1">
      <c r="A33" s="10">
        <v>0.750000000000001</v>
      </c>
    </row>
    <row r="34" spans="1:1">
      <c r="A34" s="10">
        <v>0.77083333333333404</v>
      </c>
    </row>
    <row r="35" spans="1:1">
      <c r="A35" s="10">
        <v>0.79166666666666696</v>
      </c>
    </row>
    <row r="36" spans="1:1">
      <c r="A36" s="10">
        <v>0.812500000000001</v>
      </c>
    </row>
    <row r="37" spans="1:1">
      <c r="A37" s="10">
        <v>0.83333333333333404</v>
      </c>
    </row>
    <row r="38" spans="1:1">
      <c r="A38" s="10">
        <v>0.85416666666666696</v>
      </c>
    </row>
    <row r="39" spans="1:1">
      <c r="A39" s="10">
        <v>0.875000000000001</v>
      </c>
    </row>
    <row r="40" spans="1:1">
      <c r="A40" s="10">
        <v>0.89583333333333404</v>
      </c>
    </row>
    <row r="41" spans="1:1">
      <c r="A41" s="10">
        <v>0.91666666666666696</v>
      </c>
    </row>
    <row r="42" spans="1:1">
      <c r="A42" s="10">
        <v>0.937500000000001</v>
      </c>
    </row>
    <row r="43" spans="1:1">
      <c r="A43" s="10">
        <v>0.95833333333333404</v>
      </c>
    </row>
    <row r="44" spans="1:1">
      <c r="A44" s="10">
        <v>0.97916666666666696</v>
      </c>
    </row>
    <row r="45" spans="1:1">
      <c r="A45" s="10">
        <v>1</v>
      </c>
    </row>
    <row r="46" spans="1:1">
      <c r="A46" s="10">
        <v>1.0208333333333299</v>
      </c>
    </row>
    <row r="47" spans="1:1">
      <c r="A47" s="10">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5</vt:i4>
      </vt:variant>
    </vt:vector>
  </HeadingPairs>
  <TitlesOfParts>
    <vt:vector size="5" baseType="lpstr">
      <vt:lpstr>Anleitung</vt:lpstr>
      <vt:lpstr>Semesterplan</vt:lpstr>
      <vt:lpstr>COMMITTMENT</vt:lpstr>
      <vt:lpstr>Wochenplan KW 19</vt:lpstr>
      <vt:lpstr>Wochenplan KW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Jan-Dirk Wermeling</cp:lastModifiedBy>
  <dcterms:created xsi:type="dcterms:W3CDTF">2020-04-19T13:33:28Z</dcterms:created>
  <dcterms:modified xsi:type="dcterms:W3CDTF">2021-09-12T13:55:10Z</dcterms:modified>
</cp:coreProperties>
</file>